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tunjuk Pengisian" sheetId="1" r:id="rId1"/>
    <sheet name="Lembar Kuesioner RTM" sheetId="2" r:id="rId2"/>
    <sheet name="Tabulasi &amp; Aiken's V" sheetId="3" r:id="rId3"/>
  </sheets>
  <calcPr calcId="124519" fullCalcOnLoad="1"/>
</workbook>
</file>

<file path=xl/sharedStrings.xml><?xml version="1.0" encoding="utf-8"?>
<sst xmlns="http://schemas.openxmlformats.org/spreadsheetml/2006/main" count="91" uniqueCount="71">
  <si>
    <t>INSTRUMEN VALIDASI PAKAR (EXPERT JUDGMENT)</t>
  </si>
  <si>
    <t>Penilaian Requirements Traceability Matrix (RTM) Sistem Web Scraping Berbasis Legalitas dan Etika Privasi</t>
  </si>
  <si>
    <t>1. TUJUAN: Instrumen ini digunakan untuk menguji validitas isi (content validity) dari Spesifikasi Kebutuhan Perangkat Lunak (SRS) yang diekstraksi dari regulasi hukum Indonesia (UU PDP, UU Perlindungan Anak, UU Perlindungan Konsumen, Perpres Satu Data, dll.) menggunakan metode Krippendorff Content Analysis.</t>
  </si>
  <si>
    <t>2. SKALA PENILAIAN: Menggunakan skala genap 1 sampai 4 (tanpa opsi netral/ragu-ragu) untuk memaksa dikotomi penilaian:</t>
  </si>
  <si>
    <t xml:space="preserve">   - Skor 4 = Sangat Relevan (Sesuai penuh dan mendasar secara hukum/teknis)</t>
  </si>
  <si>
    <t xml:space="preserve">   - Skor 3 = Relevan (Sesuai dengan catatan minor)</t>
  </si>
  <si>
    <t xml:space="preserve">   - Skor 2 = Kurang Relevan (Memerlukan perbaikan substansial)</t>
  </si>
  <si>
    <t xml:space="preserve">   - Skor 1 = Tidak Relevan (Tidak sesuai atau bertentangan)</t>
  </si>
  <si>
    <t xml:space="preserve">   *Catatan: Skor 3 dan 4 dikategorikan sebagai Relevan/Valid, sedangkan Skor 1 dan 2 dikategorikan sebagai Tidak Relevan.</t>
  </si>
  <si>
    <t>3. CARA PENGISIAN: Mohon berikan tanda angka (1, 2, 3, atau 4) pada kolom 'Skor Relevansi' di sheet 'Lembar Kuesioner RTM', serta berikan masukan kualitatif/revisi pada kolom catatan jika diperlukan.</t>
  </si>
  <si>
    <t>ID Req</t>
  </si>
  <si>
    <t>Kategori</t>
  </si>
  <si>
    <t>Pernyataan SRS (RFC 2119)</t>
  </si>
  <si>
    <t>Sumber Hukum</t>
  </si>
  <si>
    <t>Fokus Validasi Pakar Hukum</t>
  </si>
  <si>
    <t>Fokus Validasi Pakar Teknis</t>
  </si>
  <si>
    <t>Skor Pakar (1-4)</t>
  </si>
  <si>
    <t>Catatan / Saran Perbaikan</t>
  </si>
  <si>
    <t>FR-01</t>
  </si>
  <si>
    <t>FR-02</t>
  </si>
  <si>
    <t>FR-03</t>
  </si>
  <si>
    <t>FR-04</t>
  </si>
  <si>
    <t>FR-05</t>
  </si>
  <si>
    <t>NFR-01</t>
  </si>
  <si>
    <t>NFR-02</t>
  </si>
  <si>
    <t>NFR-03</t>
  </si>
  <si>
    <t>[CSN] Consent</t>
  </si>
  <si>
    <t>[VUL] Vulnerable</t>
  </si>
  <si>
    <t>[PRP] Purpose</t>
  </si>
  <si>
    <t>[RGH] Rights</t>
  </si>
  <si>
    <t>[SEC] Security</t>
  </si>
  <si>
    <t>The system MUST validate user opt-in consent logs before initiating any HTTP data extraction requests to the target endpoint.</t>
  </si>
  <si>
    <t>The system MUST implement an age-gating mechanism and SHALL NOT parse Personally Identifiable Information (PII) associated with minors without authenticated parental API tokens.</t>
  </si>
  <si>
    <t>The scraper SHOULD enforce dynamic rate limits to prevent target server degradation.</t>
  </si>
  <si>
    <t>The system MUST execute automated CRON-based auto-delete routines for data exceeding its defined Time-To-Live (TTL).</t>
  </si>
  <si>
    <t>The system architecture MUST expose an external API endpoint enabling data subjects to trace their data provenance and execute their Right to be Forgotten via verifiable requests.</t>
  </si>
  <si>
    <t>The system MUST encrypt all PII at rest utilizing the AES-256 encryption standard.</t>
  </si>
  <si>
    <t>The system MUST route all extraction payload transmissions exclusively through TLS 1.3 protocols.</t>
  </si>
  <si>
    <t>The data pipeline SHOULD apply pseudonymization algorithms immediately after the DOM/JSON structure is successfully parsed.</t>
  </si>
  <si>
    <t>UU No. 27 Thn 2022 (PDP) Psl. 20; UU No. 8 Thn 1999 (Perlindungan Konsumen)</t>
  </si>
  <si>
    <t>UU No. 23 Thn 2002 (Perlindungan Anak) Psl. 14; UU No. 27 Thn 2022 Psl. 25</t>
  </si>
  <si>
    <t>Perpres No. 39 Thn 2019 (Satu Data); Etika Web Scraping</t>
  </si>
  <si>
    <t>UU No. 27 Thn 2022 (PDP) Psl. 16</t>
  </si>
  <si>
    <t>UU No. 27 Thn 2022 (PDP) Psl. 64; 2019MHN201</t>
  </si>
  <si>
    <t>UU No. 27 Thn 2022 (PDP) Psl. 39; Perpres No. 39 Thn 2019 Psl. 41</t>
  </si>
  <si>
    <t>UU No. 27 Thn 2022 (PDP) Psl. 39; UU ITE</t>
  </si>
  <si>
    <t>UU No. 27 Thn 2022 (PDP) Psl. 39</t>
  </si>
  <si>
    <t>Validitas landasan hukum opt-in consent terhadap hak subjek data</t>
  </si>
  <si>
    <t>Kesesuaian proteksi khusus anak dan perlindungan data anak</t>
  </si>
  <si>
    <t>Kepatuhan etika akses sistem dan pencegahan gangguan operasional pihak lain</t>
  </si>
  <si>
    <t>Kesesuaian batas waktu retensi data pribadi dengan mandat hukum</t>
  </si>
  <si>
    <t>Pemenuhan hak akses dan hak penghapusan data subjek (Right to be Forgotten)</t>
  </si>
  <si>
    <t>Kecukupan standar perlindungan kerahasiaan data pribadi</t>
  </si>
  <si>
    <t>Standar keamanan transmisi data elektronik</t>
  </si>
  <si>
    <t>Mitigasi risiko paparan data identitas pribadi selama pemrosesan</t>
  </si>
  <si>
    <t>Feasibility implementasi middleware validasi consent sebelum HTTP request</t>
  </si>
  <si>
    <t>Implementasi mekanisme age-gating dan token otentikasi wali</t>
  </si>
  <si>
    <t>Efektivitas algoritma pembatasan laju (rate-limiting) dinamis</t>
  </si>
  <si>
    <t>Keandalan eksekusi CRON job dan penghapusan data secara tuntas</t>
  </si>
  <si>
    <t>Keamanan arsitektur API endpoint dan mekanisme verifikasi permintaan hapus</t>
  </si>
  <si>
    <t>Implementasi enkripsi database dan manajemen kunci AES-256</t>
  </si>
  <si>
    <t>Konfigurasi protokol jaringan dan enkripsi in-transit TLS 1.3</t>
  </si>
  <si>
    <t>Integrasi pipeline model NER/pseudonimisasi sebelum penyimpanan database</t>
  </si>
  <si>
    <t>TABULASI ANALISIS VALIDITAS AIKEN'S V (SKALA 1-4)</t>
  </si>
  <si>
    <t>Formula: V = sum(s) / [n(c - 1)]  dimana s = r - l, l = skor terkecil (1), c = kategori skala (4)</t>
  </si>
  <si>
    <t>Pakar 1</t>
  </si>
  <si>
    <t>Pakar 2</t>
  </si>
  <si>
    <t>Pakar 3</t>
  </si>
  <si>
    <t>Sigma (s)</t>
  </si>
  <si>
    <t>Indeks Aiken's V</t>
  </si>
  <si>
    <t>Keterangan Validitas (V &gt; 0.78)</t>
  </si>
</sst>
</file>

<file path=xl/styles.xml><?xml version="1.0" encoding="utf-8"?>
<styleSheet xmlns="http://schemas.openxmlformats.org/spreadsheetml/2006/main">
  <fonts count="4">
    <font>
      <sz val="11"/>
      <color theme="1"/>
      <name val="Calibri"/>
      <family val="2"/>
      <scheme val="minor"/>
    </font>
    <font>
      <b/>
      <sz val="14"/>
      <color rgb="FF1F4E78"/>
      <name val="Calibri"/>
      <family val="2"/>
      <scheme val="minor"/>
    </font>
    <font>
      <b/>
      <sz val="11"/>
      <color rgb="FF595959"/>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1" xfId="0" applyBorder="1" applyAlignment="1">
      <alignment horizontal="center" vertical="top" wrapText="1"/>
    </xf>
    <xf numFmtId="0" fontId="0" fillId="0" borderId="1" xfId="0" applyBorder="1" applyAlignment="1">
      <alignment vertical="top" wrapText="1"/>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1"/>
  <sheetViews>
    <sheetView tabSelected="1" workbookViewId="0"/>
  </sheetViews>
  <sheetFormatPr defaultRowHeight="15"/>
  <cols>
    <col min="1" max="1" width="100.7109375" customWidth="1"/>
  </cols>
  <sheetData>
    <row r="1" spans="1:1">
      <c r="A1" s="1" t="s">
        <v>0</v>
      </c>
    </row>
    <row r="2" spans="1:1">
      <c r="A2" s="2"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9"/>
  <sheetViews>
    <sheetView workbookViewId="0"/>
  </sheetViews>
  <sheetFormatPr defaultRowHeight="15"/>
  <cols>
    <col min="1" max="1" width="10.7109375" style="3" customWidth="1"/>
    <col min="2" max="2" width="20.7109375" style="4" customWidth="1"/>
    <col min="3" max="3" width="40.7109375" style="4" customWidth="1"/>
    <col min="4" max="6" width="30.7109375" style="4" customWidth="1"/>
    <col min="7" max="7" width="15.7109375" style="3" customWidth="1"/>
    <col min="8" max="8" width="30.7109375" style="4" customWidth="1"/>
  </cols>
  <sheetData>
    <row r="1" spans="1:8">
      <c r="A1" s="5" t="s">
        <v>10</v>
      </c>
      <c r="B1" s="5" t="s">
        <v>11</v>
      </c>
      <c r="C1" s="5" t="s">
        <v>12</v>
      </c>
      <c r="D1" s="5" t="s">
        <v>13</v>
      </c>
      <c r="E1" s="5" t="s">
        <v>14</v>
      </c>
      <c r="F1" s="5" t="s">
        <v>15</v>
      </c>
      <c r="G1" s="5" t="s">
        <v>16</v>
      </c>
      <c r="H1" s="5" t="s">
        <v>17</v>
      </c>
    </row>
    <row r="2" spans="1:8">
      <c r="A2" s="3" t="s">
        <v>18</v>
      </c>
      <c r="B2" s="4" t="s">
        <v>26</v>
      </c>
      <c r="C2" s="4" t="s">
        <v>31</v>
      </c>
      <c r="D2" s="4" t="s">
        <v>39</v>
      </c>
      <c r="E2" s="4" t="s">
        <v>47</v>
      </c>
      <c r="F2" s="4" t="s">
        <v>55</v>
      </c>
    </row>
    <row r="3" spans="1:8">
      <c r="A3" s="3" t="s">
        <v>19</v>
      </c>
      <c r="B3" s="4" t="s">
        <v>27</v>
      </c>
      <c r="C3" s="4" t="s">
        <v>32</v>
      </c>
      <c r="D3" s="4" t="s">
        <v>40</v>
      </c>
      <c r="E3" s="4" t="s">
        <v>48</v>
      </c>
      <c r="F3" s="4" t="s">
        <v>56</v>
      </c>
    </row>
    <row r="4" spans="1:8">
      <c r="A4" s="3" t="s">
        <v>20</v>
      </c>
      <c r="B4" s="4" t="s">
        <v>28</v>
      </c>
      <c r="C4" s="4" t="s">
        <v>33</v>
      </c>
      <c r="D4" s="4" t="s">
        <v>41</v>
      </c>
      <c r="E4" s="4" t="s">
        <v>49</v>
      </c>
      <c r="F4" s="4" t="s">
        <v>57</v>
      </c>
    </row>
    <row r="5" spans="1:8">
      <c r="A5" s="3" t="s">
        <v>21</v>
      </c>
      <c r="B5" s="4" t="s">
        <v>28</v>
      </c>
      <c r="C5" s="4" t="s">
        <v>34</v>
      </c>
      <c r="D5" s="4" t="s">
        <v>42</v>
      </c>
      <c r="E5" s="4" t="s">
        <v>50</v>
      </c>
      <c r="F5" s="4" t="s">
        <v>58</v>
      </c>
    </row>
    <row r="6" spans="1:8">
      <c r="A6" s="3" t="s">
        <v>22</v>
      </c>
      <c r="B6" s="4" t="s">
        <v>29</v>
      </c>
      <c r="C6" s="4" t="s">
        <v>35</v>
      </c>
      <c r="D6" s="4" t="s">
        <v>43</v>
      </c>
      <c r="E6" s="4" t="s">
        <v>51</v>
      </c>
      <c r="F6" s="4" t="s">
        <v>59</v>
      </c>
    </row>
    <row r="7" spans="1:8">
      <c r="A7" s="3" t="s">
        <v>23</v>
      </c>
      <c r="B7" s="4" t="s">
        <v>30</v>
      </c>
      <c r="C7" s="4" t="s">
        <v>36</v>
      </c>
      <c r="D7" s="4" t="s">
        <v>44</v>
      </c>
      <c r="E7" s="4" t="s">
        <v>52</v>
      </c>
      <c r="F7" s="4" t="s">
        <v>60</v>
      </c>
    </row>
    <row r="8" spans="1:8">
      <c r="A8" s="3" t="s">
        <v>24</v>
      </c>
      <c r="B8" s="4" t="s">
        <v>30</v>
      </c>
      <c r="C8" s="4" t="s">
        <v>37</v>
      </c>
      <c r="D8" s="4" t="s">
        <v>45</v>
      </c>
      <c r="E8" s="4" t="s">
        <v>53</v>
      </c>
      <c r="F8" s="4" t="s">
        <v>61</v>
      </c>
    </row>
    <row r="9" spans="1:8">
      <c r="A9" s="3" t="s">
        <v>25</v>
      </c>
      <c r="B9" s="4" t="s">
        <v>30</v>
      </c>
      <c r="C9" s="4" t="s">
        <v>38</v>
      </c>
      <c r="D9" s="4" t="s">
        <v>46</v>
      </c>
      <c r="E9" s="4" t="s">
        <v>54</v>
      </c>
      <c r="F9" s="4"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2"/>
  <sheetViews>
    <sheetView workbookViewId="0"/>
  </sheetViews>
  <sheetFormatPr defaultRowHeight="15"/>
  <cols>
    <col min="1" max="1" width="10.7109375" style="3" customWidth="1"/>
    <col min="2" max="5" width="12.7109375" style="3" customWidth="1"/>
    <col min="6" max="6" width="18.7109375" style="3" customWidth="1"/>
    <col min="7" max="7" width="25.7109375" style="3" customWidth="1"/>
  </cols>
  <sheetData>
    <row r="1" spans="1:7">
      <c r="A1" s="1" t="s">
        <v>63</v>
      </c>
    </row>
    <row r="2" spans="1:7">
      <c r="A2" s="2" t="s">
        <v>64</v>
      </c>
    </row>
    <row r="4" spans="1:7">
      <c r="A4" s="5" t="s">
        <v>10</v>
      </c>
      <c r="B4" s="5" t="s">
        <v>65</v>
      </c>
      <c r="C4" s="5" t="s">
        <v>66</v>
      </c>
      <c r="D4" s="5" t="s">
        <v>67</v>
      </c>
      <c r="E4" s="5" t="s">
        <v>68</v>
      </c>
      <c r="F4" s="5" t="s">
        <v>69</v>
      </c>
      <c r="G4" s="5" t="s">
        <v>70</v>
      </c>
    </row>
    <row r="5" spans="1:7">
      <c r="A5" s="3" t="s">
        <v>18</v>
      </c>
      <c r="B5" s="3"/>
      <c r="C5" s="3"/>
      <c r="D5" s="3"/>
      <c r="E5" s="4">
        <f>SUM(B5:D5)-3*MIN(COUNTA(B5:D5),1)</f>
        <v>0</v>
      </c>
      <c r="F5" s="4">
        <f>E5/(3*COUNTA(B5:D5))</f>
        <v>0</v>
      </c>
      <c r="G5" s="4">
        <f>IF(F5&gt;=0.78, "Valid / Tinggi", "Tidak Valid")</f>
        <v>0</v>
      </c>
    </row>
    <row r="6" spans="1:7">
      <c r="A6" s="3" t="s">
        <v>19</v>
      </c>
      <c r="B6" s="3"/>
      <c r="C6" s="3"/>
      <c r="D6" s="3"/>
      <c r="E6" s="4">
        <f>SUM(B6:D6)-3*MIN(COUNTA(B6:D6),1)</f>
        <v>0</v>
      </c>
      <c r="F6" s="4">
        <f>E6/(3*COUNTA(B6:D6))</f>
        <v>0</v>
      </c>
      <c r="G6" s="4">
        <f>IF(F6&gt;=0.78, "Valid / Tinggi", "Tidak Valid")</f>
        <v>0</v>
      </c>
    </row>
    <row r="7" spans="1:7">
      <c r="A7" s="3" t="s">
        <v>20</v>
      </c>
      <c r="B7" s="3"/>
      <c r="C7" s="3"/>
      <c r="D7" s="3"/>
      <c r="E7" s="4">
        <f>SUM(B7:D7)-3*MIN(COUNTA(B7:D7),1)</f>
        <v>0</v>
      </c>
      <c r="F7" s="4">
        <f>E7/(3*COUNTA(B7:D7))</f>
        <v>0</v>
      </c>
      <c r="G7" s="4">
        <f>IF(F7&gt;=0.78, "Valid / Tinggi", "Tidak Valid")</f>
        <v>0</v>
      </c>
    </row>
    <row r="8" spans="1:7">
      <c r="A8" s="3" t="s">
        <v>21</v>
      </c>
      <c r="B8" s="3"/>
      <c r="C8" s="3"/>
      <c r="D8" s="3"/>
      <c r="E8" s="4">
        <f>SUM(B8:D8)-3*MIN(COUNTA(B8:D8),1)</f>
        <v>0</v>
      </c>
      <c r="F8" s="4">
        <f>E8/(3*COUNTA(B8:D8))</f>
        <v>0</v>
      </c>
      <c r="G8" s="4">
        <f>IF(F8&gt;=0.78, "Valid / Tinggi", "Tidak Valid")</f>
        <v>0</v>
      </c>
    </row>
    <row r="9" spans="1:7">
      <c r="A9" s="3" t="s">
        <v>22</v>
      </c>
      <c r="B9" s="3"/>
      <c r="C9" s="3"/>
      <c r="D9" s="3"/>
      <c r="E9" s="4">
        <f>SUM(B9:D9)-3*MIN(COUNTA(B9:D9),1)</f>
        <v>0</v>
      </c>
      <c r="F9" s="4">
        <f>E9/(3*COUNTA(B9:D9))</f>
        <v>0</v>
      </c>
      <c r="G9" s="4">
        <f>IF(F9&gt;=0.78, "Valid / Tinggi", "Tidak Valid")</f>
        <v>0</v>
      </c>
    </row>
    <row r="10" spans="1:7">
      <c r="A10" s="3" t="s">
        <v>23</v>
      </c>
      <c r="B10" s="3"/>
      <c r="C10" s="3"/>
      <c r="D10" s="3"/>
      <c r="E10" s="4">
        <f>SUM(B10:D10)-3*MIN(COUNTA(B10:D10),1)</f>
        <v>0</v>
      </c>
      <c r="F10" s="4">
        <f>E10/(3*COUNTA(B10:D10))</f>
        <v>0</v>
      </c>
      <c r="G10" s="4">
        <f>IF(F10&gt;=0.78, "Valid / Tinggi", "Tidak Valid")</f>
        <v>0</v>
      </c>
    </row>
    <row r="11" spans="1:7">
      <c r="A11" s="3" t="s">
        <v>24</v>
      </c>
      <c r="B11" s="3"/>
      <c r="C11" s="3"/>
      <c r="D11" s="3"/>
      <c r="E11" s="4">
        <f>SUM(B11:D11)-3*MIN(COUNTA(B11:D11),1)</f>
        <v>0</v>
      </c>
      <c r="F11" s="4">
        <f>E11/(3*COUNTA(B11:D11))</f>
        <v>0</v>
      </c>
      <c r="G11" s="4">
        <f>IF(F11&gt;=0.78, "Valid / Tinggi", "Tidak Valid")</f>
        <v>0</v>
      </c>
    </row>
    <row r="12" spans="1:7">
      <c r="A12" s="3" t="s">
        <v>25</v>
      </c>
      <c r="B12" s="3"/>
      <c r="C12" s="3"/>
      <c r="D12" s="3"/>
      <c r="E12" s="4">
        <f>SUM(B12:D12)-3*MIN(COUNTA(B12:D12),1)</f>
        <v>0</v>
      </c>
      <c r="F12" s="4">
        <f>E12/(3*COUNTA(B12:D12))</f>
        <v>0</v>
      </c>
      <c r="G12" s="4">
        <f>IF(F12&gt;=0.78, "Valid / Tinggi", "Tidak Valid")</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Petunjuk Pengisian</vt:lpstr>
      <vt:lpstr>Lembar Kuesioner RTM</vt:lpstr>
      <vt:lpstr>Tabulasi &amp; Aiken's V</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2026-08-27T02:42:45Z</dcterms:created>
  <dcterms:modified xsi:type="dcterms:W3CDTF">2026-08-27T02:42:45Z</dcterms:modified>
</cp:coreProperties>
</file>