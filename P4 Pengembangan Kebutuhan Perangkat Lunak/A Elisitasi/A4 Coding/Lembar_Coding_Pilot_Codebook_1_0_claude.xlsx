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etunjuk" sheetId="1" state="visible" r:id="rId1"/>
    <sheet xmlns:r="http://schemas.openxmlformats.org/officeDocument/2006/relationships" name="Lembar Coding" sheetId="2" state="visible" r:id="rId2"/>
    <sheet xmlns:r="http://schemas.openxmlformats.org/officeDocument/2006/relationships" name="Daftar Kode" sheetId="3" state="visible" r:id="rId3"/>
  </sheets>
  <definedNames>
    <definedName name="_xlnm._FilterDatabase" localSheetId="1" hidden="1">'Lembar Coding'!$A$1:$R$86</definedName>
    <definedName name="_xlnm.Print_Titles" localSheetId="1">'Lembar Coding'!$1:$1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color rgb="FF0000FF"/>
      <sz val="10"/>
    </font>
    <font>
      <name val="Arial"/>
      <charset val="1"/>
      <family val="0"/>
      <b val="1"/>
      <color rgb="FFFFFFFF"/>
      <sz val="10"/>
    </font>
    <font>
      <name val="Arial"/>
      <charset val="1"/>
      <family val="0"/>
      <i val="1"/>
      <sz val="9"/>
    </font>
    <font>
      <name val="Arial"/>
      <family val="2"/>
      <sz val="10"/>
    </font>
  </fonts>
  <fills count="7">
    <fill>
      <patternFill/>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
      <patternFill patternType="solid">
        <fgColor rgb="FFFFD966"/>
        <bgColor rgb="FFFFE699"/>
      </patternFill>
    </fill>
    <fill>
      <patternFill patternType="solid">
        <fgColor rgb="FFD9E1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right" vertical="top"/>
    </xf>
    <xf numFmtId="0" fontId="8" fillId="3" borderId="1" applyAlignment="1" pivotButton="0" quotePrefix="0" xfId="0">
      <alignment horizontal="general" vertical="bottom"/>
    </xf>
    <xf numFmtId="0" fontId="5" fillId="0"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left" vertical="bottom"/>
    </xf>
    <xf numFmtId="0" fontId="8" fillId="3"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general" vertical="top" wrapText="1"/>
    </xf>
    <xf numFmtId="0" fontId="7" fillId="2" borderId="1" applyAlignment="1" pivotButton="0" quotePrefix="0" xfId="0">
      <alignment horizontal="center" vertical="top" wrapText="1"/>
    </xf>
    <xf numFmtId="0" fontId="7" fillId="2" borderId="1" applyAlignment="1" pivotButton="0" quotePrefix="0" xfId="0">
      <alignment horizontal="general" vertical="top" wrapText="1"/>
    </xf>
    <xf numFmtId="0" fontId="6" fillId="5" borderId="1" applyAlignment="1" pivotButton="0" quotePrefix="0" xfId="0">
      <alignment horizontal="center" vertical="top" wrapText="1"/>
    </xf>
    <xf numFmtId="0" fontId="6" fillId="6" borderId="0" applyAlignment="1" pivotButton="0" quotePrefix="0" xfId="0">
      <alignment horizontal="general" vertical="bottom"/>
    </xf>
    <xf numFmtId="0" fontId="0" fillId="6"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right" vertical="top"/>
    </xf>
    <xf numFmtId="0" fontId="8" fillId="3" borderId="1" applyAlignment="1" pivotButton="0" quotePrefix="0" xfId="0">
      <alignment horizontal="general" vertical="bottom"/>
    </xf>
    <xf numFmtId="0" fontId="5" fillId="0"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left" vertical="bottom"/>
    </xf>
    <xf numFmtId="0" fontId="8" fillId="3"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general" vertical="top" wrapText="1"/>
    </xf>
    <xf numFmtId="0" fontId="7" fillId="2" borderId="1" applyAlignment="1" pivotButton="0" quotePrefix="0" xfId="0">
      <alignment horizontal="center" vertical="top" wrapText="1"/>
    </xf>
    <xf numFmtId="0" fontId="7" fillId="2" borderId="1" applyAlignment="1" pivotButton="0" quotePrefix="0" xfId="0">
      <alignment horizontal="general" vertical="top" wrapText="1"/>
    </xf>
    <xf numFmtId="0" fontId="6" fillId="5" borderId="1" applyAlignment="1" pivotButton="0" quotePrefix="0" xfId="0">
      <alignment horizontal="center" vertical="top" wrapText="1"/>
    </xf>
    <xf numFmtId="0" fontId="6" fillId="6" borderId="0" applyAlignment="1" pivotButton="0" quotePrefix="0" xfId="0">
      <alignment horizontal="general" vertical="bottom"/>
    </xf>
    <xf numFmtId="0" fontId="0" fillId="6"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D966"/>
          <bgColor rgb="FF000000"/>
        </patternFill>
      </fill>
    </dxf>
    <dxf>
      <fill>
        <patternFill patternType="solid">
          <fgColor rgb="FFFFF2CC"/>
          <bgColor rgb="FF000000"/>
        </patternFill>
      </fill>
    </dxf>
    <dxf>
      <fill>
        <patternFill patternType="solid">
          <fgColor rgb="FF0000FF"/>
          <bgColor rgb="FF000000"/>
        </patternFill>
      </fill>
    </dxf>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 Author</author>
  </authors>
  <commentList>
    <comment ref="C4" authorId="0" shapeId="0">
      <text>
        <t>Isi dengan inisial atau nomor coder, misalnya C1. Nilai ini otomatis masuk ke kolom V2 pada Lembar Coding.</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B1:C3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0" min="1" max="1"/>
    <col width="34" customWidth="1" style="20" min="2" max="2"/>
    <col width="70" customWidth="1" style="20" min="3" max="3"/>
    <col width="16" customWidth="1" style="20" min="4" max="4"/>
  </cols>
  <sheetData>
    <row r="1" ht="17.35" customHeight="1" s="21">
      <c r="B1" s="22" t="inlineStr">
        <is>
          <t>Lembar Coding Pilot: Codebook Analisis Isi Krippendorff (Versi 1.0)</t>
        </is>
      </c>
    </row>
    <row r="2" ht="15" customHeight="1" s="21">
      <c r="B2" s="23" t="inlineStr">
        <is>
          <t>Sumber data: For_Codebook_1.xlsx (85 unit dengan kolom Isi terisi, baris Excel 2 sampai 86).</t>
        </is>
      </c>
    </row>
    <row r="4" ht="15" customHeight="1" s="21">
      <c r="B4" s="24" t="inlineStr">
        <is>
          <t>Kode coder Anda (isi sekali):</t>
        </is>
      </c>
      <c r="C4" s="25" t="n"/>
    </row>
    <row r="6" ht="15" customHeight="1" s="21">
      <c r="B6" s="24" t="inlineStr">
        <is>
          <t>Sel yang boleh diisi</t>
        </is>
      </c>
    </row>
    <row r="7" ht="15" customHeight="1" s="21">
      <c r="B7" s="26" t="inlineStr">
        <is>
          <t>Kuning (kolom V4 sampai V12)</t>
        </is>
      </c>
      <c r="C7" s="27" t="inlineStr">
        <is>
          <t>Diisi coder. V4 sampai V9 wajib (pilih dari daftar), V10 sampai V12 opsional.</t>
        </is>
      </c>
    </row>
    <row r="8" ht="23.85" customHeight="1" s="21">
      <c r="B8" s="26" t="inlineStr">
        <is>
          <t>Abu-abu (V1, V2, V3, Pilot, Rujukan, Isi)</t>
        </is>
      </c>
      <c r="C8" s="27" t="inlineStr">
        <is>
          <t>Rujukan. Jangan diubah. V2 terisi otomatis dari sel C4 di atas. Kolom Rujukan memuat Pasal (peraturan) atau Paragraf dan Kalimat (artikel).</t>
        </is>
      </c>
    </row>
    <row r="9" ht="35.05" customHeight="1" s="21">
      <c r="B9" s="26" t="inlineStr">
        <is>
          <t>Kolom BAB dan Bagian (tersembunyi)</t>
        </is>
      </c>
      <c r="C9" s="27" t="inlineStr">
        <is>
          <t>Disembunyikan agar judul BAB atau Bagian tidak memengaruhi pemilihan tema. Buka dengan tombol + di atas kolom hanya bila perlu memahami rujukan antarunit. Jangan menentukan V5 dari judulnya.</t>
        </is>
      </c>
    </row>
    <row r="10" ht="23.85" customHeight="1" s="21">
      <c r="B10" s="26" t="inlineStr">
        <is>
          <t>Kolom Cek</t>
        </is>
      </c>
      <c r="C10" s="27" t="inlineStr">
        <is>
          <t>Otomatis. "OK" berarti kombinasi kode memenuhi aturan konsistensi Bagian 9. Pesan "Periksa..." berarti jelaskan di V12 atau ulangi coding.</t>
        </is>
      </c>
    </row>
    <row r="11" ht="23.85" customHeight="1" s="21">
      <c r="B11" s="26" t="inlineStr">
        <is>
          <t>Kolom Pilot</t>
        </is>
      </c>
      <c r="C11" s="27" t="inlineStr">
        <is>
          <t>Penanda "Ya" menunjukkan unit yang masuk pilot. Untuk pilot, kodekan hanya unit bertanda Ya (12 unit).</t>
        </is>
      </c>
    </row>
    <row r="13" ht="15" customHeight="1" s="21">
      <c r="B13" s="24" t="inlineStr">
        <is>
          <t>Aturan singkat</t>
        </is>
      </c>
    </row>
    <row r="14" ht="23.85" customHeight="1" s="21">
      <c r="B14" s="28" t="inlineStr">
        <is>
          <t>1.</t>
        </is>
      </c>
      <c r="C14" s="27" t="inlineStr">
        <is>
          <t>Kodekan isi yang tertulis di kolom Isi. Jangan menambah pengetahuan hukum dari luar baris tersebut.</t>
        </is>
      </c>
    </row>
    <row r="15" ht="23.85" customHeight="1" s="21">
      <c r="B15" s="28" t="inlineStr">
        <is>
          <t>2.</t>
        </is>
      </c>
      <c r="C15" s="27" t="inlineStr">
        <is>
          <t>Urutan: V4 (Uji Implikasi), V5 (pohon keputusan Bagian 6.2), V6, V7, V8, V9, lalu periksa kolom Cek.</t>
        </is>
      </c>
    </row>
    <row r="16" ht="15" customHeight="1" s="21">
      <c r="B16" s="28" t="inlineStr">
        <is>
          <t>3.</t>
        </is>
      </c>
      <c r="C16" s="27" t="inlineStr">
        <is>
          <t>Jangan mengoreksi salah ketik atau teks terpotong. Catat kendalanya di V12.</t>
        </is>
      </c>
    </row>
    <row r="17" ht="15" customHeight="1" s="21">
      <c r="B17" s="28" t="inlineStr">
        <is>
          <t>4.</t>
        </is>
      </c>
      <c r="C17" s="27" t="inlineStr">
        <is>
          <t>Tentukan V5 dan V7 dari kolom Isi, bukan dari judul BAB atau Bagian.</t>
        </is>
      </c>
    </row>
    <row r="18" ht="23.85" customHeight="1" s="21">
      <c r="B18" s="28" t="inlineStr">
        <is>
          <t>5.</t>
        </is>
      </c>
      <c r="C18" s="27" t="inlineStr">
        <is>
          <t>Bila tidak ada tema yang cocok: T99 pada V5 dan jelaskan di V12. Bila tidak ada jenis V6 yang cocok: pilih jenis terdekat dan catat alasannya di V12.</t>
        </is>
      </c>
    </row>
    <row r="19" ht="15" customHeight="1" s="21">
      <c r="B19" s="28" t="inlineStr">
        <is>
          <t>6.</t>
        </is>
      </c>
      <c r="C19" s="27" t="inlineStr">
        <is>
          <t>Jangan berdiskusi dengan coder lain sebelum seluruh unit selesai dikodekan.</t>
        </is>
      </c>
    </row>
    <row r="21" ht="15" customHeight="1" s="21">
      <c r="B21" s="24" t="inlineStr">
        <is>
          <t>Contoh format pengisian (bukan data; hanya ilustrasi)</t>
        </is>
      </c>
    </row>
    <row r="22" ht="15" customHeight="1" s="21">
      <c r="B22" s="29" t="inlineStr">
        <is>
          <t>Kolom</t>
        </is>
      </c>
      <c r="C22" s="29" t="inlineStr">
        <is>
          <t>Nilai contoh</t>
        </is>
      </c>
    </row>
    <row r="23" ht="15" customHeight="1" s="21">
      <c r="B23" s="30" t="inlineStr">
        <is>
          <t>V4 Relevansi</t>
        </is>
      </c>
      <c r="C23" s="30" t="inlineStr">
        <is>
          <t>R2</t>
        </is>
      </c>
    </row>
    <row r="24" ht="15" customHeight="1" s="21">
      <c r="B24" s="30" t="inlineStr">
        <is>
          <t>V5 Tema_Utama</t>
        </is>
      </c>
      <c r="C24" s="30" t="inlineStr">
        <is>
          <t>T11</t>
        </is>
      </c>
    </row>
    <row r="25" ht="15" customHeight="1" s="21">
      <c r="B25" s="30" t="inlineStr">
        <is>
          <t>V6 Jenis_Pernyataan</t>
        </is>
      </c>
      <c r="C25" s="30" t="inlineStr">
        <is>
          <t>P2</t>
        </is>
      </c>
    </row>
    <row r="26" ht="15" customHeight="1" s="21">
      <c r="B26" s="30" t="inlineStr">
        <is>
          <t>V7 Subjek_Norma</t>
        </is>
      </c>
      <c r="C26" s="30" t="inlineStr">
        <is>
          <t>S1</t>
        </is>
      </c>
    </row>
    <row r="27" ht="15" customHeight="1" s="21">
      <c r="B27" s="30" t="inlineStr">
        <is>
          <t>V8 Tahap_Scraping</t>
        </is>
      </c>
      <c r="C27" s="30" t="inlineStr">
        <is>
          <t>F6</t>
        </is>
      </c>
    </row>
    <row r="28" ht="15" customHeight="1" s="21">
      <c r="B28" s="30" t="inlineStr">
        <is>
          <t>V9 Kebutuhan_SRS</t>
        </is>
      </c>
      <c r="C28" s="30" t="inlineStr">
        <is>
          <t>K1</t>
        </is>
      </c>
    </row>
    <row r="29" ht="15" customHeight="1" s="21">
      <c r="B29" s="30" t="inlineStr">
        <is>
          <t>V10 Tema_Sekunder</t>
        </is>
      </c>
      <c r="C29" s="30" t="inlineStr">
        <is>
          <t>(kosong)</t>
        </is>
      </c>
    </row>
    <row r="30" ht="23.85" customHeight="1" s="21">
      <c r="B30" s="30" t="inlineStr">
        <is>
          <t>V11 Draf_Kebutuhan</t>
        </is>
      </c>
      <c r="C30" s="30" t="inlineStr">
        <is>
          <t>Sistem harus menghentikan pemrosesan data pribadi paling lambat 3 x 24 jam setelah penarikan persetujuan.</t>
        </is>
      </c>
    </row>
    <row r="31" ht="15" customHeight="1" s="21">
      <c r="B31" s="30" t="inlineStr">
        <is>
          <t>V12 Catatan</t>
        </is>
      </c>
      <c r="C31" s="30" t="inlineStr">
        <is>
          <t>(kosong)</t>
        </is>
      </c>
    </row>
    <row r="33" ht="15" customHeight="1" s="21">
      <c r="B33" s="31" t="inlineStr">
        <is>
          <t>Contoh di atas mengikuti contoh baris 67 pada codebook (Bagian 12 dan 11). Baris 67 bukan unit pilot.</t>
        </is>
      </c>
    </row>
    <row r="35" ht="15" customHeight="1" s="21">
      <c r="B35" s="24" t="inlineStr">
        <is>
          <t>Kemajuan</t>
        </is>
      </c>
    </row>
    <row r="36" ht="15" customHeight="1" s="21">
      <c r="B36" s="23" t="inlineStr">
        <is>
          <t>Unit terkode lengkap</t>
        </is>
      </c>
      <c r="C36" s="32">
        <f>COUNTIF('Lembar Coding'!R2:R86,"OK")+COUNTIF('Lembar Coding'!R2:R86,"Periksa*")</f>
        <v/>
      </c>
    </row>
    <row r="37" ht="15" customHeight="1" s="21">
      <c r="B37" s="23" t="inlineStr">
        <is>
          <t>Unit pilot terkode lengkap</t>
        </is>
      </c>
      <c r="C37" s="32">
        <f>COUNTIFS('Lembar Coding'!R2:R86,"OK",'Lembar Coding'!D2:D86,"Ya")+COUNTIFS('Lembar Coding'!R2:R86,"Periksa*",'Lembar Coding'!D2:D86,"Ya")</f>
        <v/>
      </c>
    </row>
    <row r="38" ht="15" customHeight="1" s="21">
      <c r="B38" s="23" t="inlineStr">
        <is>
          <t>Unit yang perlu diperbaiki</t>
        </is>
      </c>
      <c r="C38" s="32">
        <f>COUNTIF('Lembar Coding'!R2:R86,"R*")+COUNTIF('Lembar Coding'!R2:R86,"P9*")</f>
        <v/>
      </c>
    </row>
    <row r="39" ht="15" customHeight="1" s="21">
      <c r="B39" s="31" t="inlineStr">
        <is>
          <t>Unit yang perlu diperbaiki = pesan Cek yang diawali R (aturan R0, R1, R2) atau P9. Pesan "Lengkapi V4-V9" belum dihitung sebagai kesalahan.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R86"/>
  <sheetViews>
    <sheetView showFormulas="0" showGridLines="1" showRowColHeaders="1" showZeros="1" rightToLeft="0" tabSelected="0" showOutlineSymbols="1" defaultGridColor="1"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20" min="1" max="1"/>
    <col width="10" customWidth="1" style="20" min="2" max="2"/>
    <col width="22" customWidth="1" style="20" min="3" max="3"/>
    <col width="7" customWidth="1" style="20" min="4" max="4"/>
    <col width="20" customWidth="1" style="20" min="5" max="5"/>
    <col hidden="1" outlineLevel="1" width="24" customWidth="1" style="20" min="6" max="7"/>
    <col width="75" customWidth="1" style="20" min="8" max="8"/>
    <col width="11" customWidth="1" style="20" min="9" max="10"/>
    <col width="13" customWidth="1" style="20" min="11" max="11"/>
    <col width="11" customWidth="1" style="20" min="12" max="12"/>
    <col width="12" customWidth="1" style="20" min="13" max="13"/>
    <col width="13" customWidth="1" style="20" min="14" max="14"/>
    <col width="14" customWidth="1" style="20" min="15" max="15"/>
    <col width="38" customWidth="1" style="20" min="16" max="16"/>
    <col width="32" customWidth="1" style="20" min="17" max="17"/>
    <col width="30" customWidth="1" style="20" min="18" max="18"/>
  </cols>
  <sheetData>
    <row r="1" ht="42" customHeight="1" s="21">
      <c r="A1" s="33" t="inlineStr">
        <is>
          <t>V1 ID_Unit</t>
        </is>
      </c>
      <c r="B1" s="33" t="inlineStr">
        <is>
          <t>V2 Kode_Coder</t>
        </is>
      </c>
      <c r="C1" s="33" t="inlineStr">
        <is>
          <t>V3 Dokumen</t>
        </is>
      </c>
      <c r="D1" s="33" t="inlineStr">
        <is>
          <t>Pilot</t>
        </is>
      </c>
      <c r="E1" s="33" t="inlineStr">
        <is>
          <t>Rujukan (Pasal / Paragraf, Kalimat)</t>
        </is>
      </c>
      <c r="F1" s="33" t="inlineStr">
        <is>
          <t>BAB</t>
        </is>
      </c>
      <c r="G1" s="33" t="inlineStr">
        <is>
          <t>Bagian</t>
        </is>
      </c>
      <c r="H1" s="33" t="inlineStr">
        <is>
          <t>Isi</t>
        </is>
      </c>
      <c r="I1" s="33" t="inlineStr">
        <is>
          <t>V4 Relevansi</t>
        </is>
      </c>
      <c r="J1" s="33" t="inlineStr">
        <is>
          <t>V5 Tema_Utama</t>
        </is>
      </c>
      <c r="K1" s="33" t="inlineStr">
        <is>
          <t>V6 Jenis_Pernyataan</t>
        </is>
      </c>
      <c r="L1" s="33" t="inlineStr">
        <is>
          <t>V7 Subjek_Norma</t>
        </is>
      </c>
      <c r="M1" s="33" t="inlineStr">
        <is>
          <t>V8 Tahap_Scraping</t>
        </is>
      </c>
      <c r="N1" s="33" t="inlineStr">
        <is>
          <t>V9 Kebutuhan_SRS</t>
        </is>
      </c>
      <c r="O1" s="33" t="inlineStr">
        <is>
          <t>V10 Tema_Sekunder (opsional)</t>
        </is>
      </c>
      <c r="P1" s="33" t="inlineStr">
        <is>
          <t>V11 Draf_Kebutuhan (opsional)</t>
        </is>
      </c>
      <c r="Q1" s="33" t="inlineStr">
        <is>
          <t>V12 Catatan</t>
        </is>
      </c>
      <c r="R1" s="33" t="inlineStr">
        <is>
          <t>Cek</t>
        </is>
      </c>
    </row>
    <row r="2" ht="23.85" customHeight="1" s="21">
      <c r="A2" s="34" t="n">
        <v>2</v>
      </c>
      <c r="B2" s="34">
        <f>IF(Petunjuk!$C$4="","",Petunjuk!$C$4)</f>
        <v/>
      </c>
      <c r="C2" s="35" t="inlineStr">
        <is>
          <t>2019MHN201</t>
        </is>
      </c>
      <c r="D2" s="34" t="n"/>
      <c r="E2" s="35" t="inlineStr">
        <is>
          <t>Paragraf 3, Kalimat 1</t>
        </is>
      </c>
      <c r="F2" s="35" t="inlineStr">
        <is>
          <t>C. Pembahasan</t>
        </is>
      </c>
      <c r="G2" s="35" t="inlineStr">
        <is>
          <t>5. Pentingnya Perlindungan Data Pribadi</t>
        </is>
      </c>
      <c r="H2" s="35" t="inlineStr">
        <is>
          <t>Melihat banyaknya kasus penyalahgunaan data pribadi, sangat penting untuk memberikan perlindungan data pribadi.</t>
        </is>
      </c>
      <c r="I2" s="36" t="n"/>
      <c r="J2" s="36" t="n"/>
      <c r="K2" s="36" t="n"/>
      <c r="L2" s="36" t="n"/>
      <c r="M2" s="36" t="n"/>
      <c r="N2" s="36" t="n"/>
      <c r="O2" s="36" t="n"/>
      <c r="P2" s="37" t="n"/>
      <c r="Q2" s="37" t="n"/>
      <c r="R2" s="30">
        <f>IF(COUNTA(I2:N2)&lt;6,"Lengkapi V4-V9",IF(AND(I2="R0",N2&lt;&gt;"K5"),"R0 harus berpasangan dengan K5",IF(AND(I2="R1",N2&lt;&gt;"K4",N2&lt;&gt;"K5"),"R1 hanya dengan K4 atau K5",IF(AND(I2="R2",N2="K5"),"R2 tidak boleh K5",IF(AND(K2="P9",J2&lt;&gt;"T17"),"P9 hanya dengan T17",IF(AND(J2="T01",K2&lt;&gt;"P6",Q2=""),"Periksa T01-P6: jelaskan di V12",IF(AND(K2="P1",N2&lt;&gt;"K4",Q2=""),"Periksa P1-K4: jelaskan di V12",IF(AND(J2="T99",Q2=""),"Periksa T99: wajib isi V12","OK"))))))))</f>
        <v/>
      </c>
    </row>
    <row r="3" ht="23.85" customHeight="1" s="21">
      <c r="A3" s="34" t="n">
        <v>3</v>
      </c>
      <c r="B3" s="34">
        <f>IF(Petunjuk!$C$4="","",Petunjuk!$C$4)</f>
        <v/>
      </c>
      <c r="C3" s="35" t="inlineStr">
        <is>
          <t>2019MHN201</t>
        </is>
      </c>
      <c r="D3" s="34" t="n"/>
      <c r="E3" s="35" t="inlineStr">
        <is>
          <t>Paragraf 3, Kalimat 2</t>
        </is>
      </c>
      <c r="F3" s="35" t="inlineStr">
        <is>
          <t>C. Pembahasan</t>
        </is>
      </c>
      <c r="G3" s="35" t="inlineStr">
        <is>
          <t>5. Pentingnya Perlindungan Data Pribadi</t>
        </is>
      </c>
      <c r="H3" s="35" t="inlineStr">
        <is>
          <t>Pentingnya memberikan perlindungan data pribadi mulai menguat seiring dengan meningkatnya jumlah pengguna telepon seluler dan internet.</t>
        </is>
      </c>
      <c r="I3" s="36" t="n"/>
      <c r="J3" s="36" t="n"/>
      <c r="K3" s="36" t="n"/>
      <c r="L3" s="36" t="n"/>
      <c r="M3" s="36" t="n"/>
      <c r="N3" s="36" t="n"/>
      <c r="O3" s="36" t="n"/>
      <c r="P3" s="37" t="n"/>
      <c r="Q3" s="37" t="n"/>
      <c r="R3" s="30">
        <f>IF(COUNTA(I3:N3)&lt;6,"Lengkapi V4-V9",IF(AND(I3="R0",N3&lt;&gt;"K5"),"R0 harus berpasangan dengan K5",IF(AND(I3="R1",N3&lt;&gt;"K4",N3&lt;&gt;"K5"),"R1 hanya dengan K4 atau K5",IF(AND(I3="R2",N3="K5"),"R2 tidak boleh K5",IF(AND(K3="P9",J3&lt;&gt;"T17"),"P9 hanya dengan T17",IF(AND(J3="T01",K3&lt;&gt;"P6",Q3=""),"Periksa T01-P6: jelaskan di V12",IF(AND(K3="P1",N3&lt;&gt;"K4",Q3=""),"Periksa P1-K4: jelaskan di V12",IF(AND(J3="T99",Q3=""),"Periksa T99: wajib isi V12","OK"))))))))</f>
        <v/>
      </c>
    </row>
    <row r="4" ht="35.05" customHeight="1" s="21">
      <c r="A4" s="34" t="n">
        <v>4</v>
      </c>
      <c r="B4" s="34">
        <f>IF(Petunjuk!$C$4="","",Petunjuk!$C$4)</f>
        <v/>
      </c>
      <c r="C4" s="35" t="inlineStr">
        <is>
          <t>2019MHN201</t>
        </is>
      </c>
      <c r="D4" s="34" t="n"/>
      <c r="E4" s="35" t="inlineStr">
        <is>
          <t>Paragraf 3, Kalimat 3</t>
        </is>
      </c>
      <c r="F4" s="35" t="inlineStr">
        <is>
          <t>C. Pembahasan</t>
        </is>
      </c>
      <c r="G4" s="35" t="inlineStr">
        <is>
          <t>5. Pentingnya Perlindungan Data Pribadi</t>
        </is>
      </c>
      <c r="H4" s="35" t="inlineStr">
        <is>
          <t>Sejumlah kasus yang mencuat, terutama yang memiliki keterkaitan dengan kebocoran data pribadi seseorang dan bermuara kepada aksi penipuan atau tindak kriminal pornografi, menguatkan wacana pentingnya pembuatan aturan hukum untuk melindungi data pribadi.</t>
        </is>
      </c>
      <c r="I4" s="36" t="n"/>
      <c r="J4" s="36" t="n"/>
      <c r="K4" s="36" t="n"/>
      <c r="L4" s="36" t="n"/>
      <c r="M4" s="36" t="n"/>
      <c r="N4" s="36" t="n"/>
      <c r="O4" s="36" t="n"/>
      <c r="P4" s="37" t="n"/>
      <c r="Q4" s="37" t="n"/>
      <c r="R4" s="30">
        <f>IF(COUNTA(I4:N4)&lt;6,"Lengkapi V4-V9",IF(AND(I4="R0",N4&lt;&gt;"K5"),"R0 harus berpasangan dengan K5",IF(AND(I4="R1",N4&lt;&gt;"K4",N4&lt;&gt;"K5"),"R1 hanya dengan K4 atau K5",IF(AND(I4="R2",N4="K5"),"R2 tidak boleh K5",IF(AND(K4="P9",J4&lt;&gt;"T17"),"P9 hanya dengan T17",IF(AND(J4="T01",K4&lt;&gt;"P6",Q4=""),"Periksa T01-P6: jelaskan di V12",IF(AND(K4="P1",N4&lt;&gt;"K4",Q4=""),"Periksa P1-K4: jelaskan di V12",IF(AND(J4="T99",Q4=""),"Periksa T99: wajib isi V12","OK"))))))))</f>
        <v/>
      </c>
    </row>
    <row r="5" ht="23.85" customHeight="1" s="21">
      <c r="A5" s="34" t="n">
        <v>5</v>
      </c>
      <c r="B5" s="34">
        <f>IF(Petunjuk!$C$4="","",Petunjuk!$C$4)</f>
        <v/>
      </c>
      <c r="C5" s="35" t="inlineStr">
        <is>
          <t>2019MHN201</t>
        </is>
      </c>
      <c r="D5" s="34" t="n"/>
      <c r="E5" s="35" t="inlineStr">
        <is>
          <t>Paragraf 3, Kalimat 4</t>
        </is>
      </c>
      <c r="F5" s="35" t="inlineStr">
        <is>
          <t>C. Pembahasan</t>
        </is>
      </c>
      <c r="G5" s="35" t="inlineStr">
        <is>
          <t>5. Pentingnya Perlindungan Data Pribadi</t>
        </is>
      </c>
      <c r="H5" s="35" t="inlineStr">
        <is>
          <t>Perlindungan data pribadi berhubungan dengan konsep privasi.</t>
        </is>
      </c>
      <c r="I5" s="36" t="n"/>
      <c r="J5" s="36" t="n"/>
      <c r="K5" s="36" t="n"/>
      <c r="L5" s="36" t="n"/>
      <c r="M5" s="36" t="n"/>
      <c r="N5" s="36" t="n"/>
      <c r="O5" s="36" t="n"/>
      <c r="P5" s="37" t="n"/>
      <c r="Q5" s="37" t="n"/>
      <c r="R5" s="30">
        <f>IF(COUNTA(I5:N5)&lt;6,"Lengkapi V4-V9",IF(AND(I5="R0",N5&lt;&gt;"K5"),"R0 harus berpasangan dengan K5",IF(AND(I5="R1",N5&lt;&gt;"K4",N5&lt;&gt;"K5"),"R1 hanya dengan K4 atau K5",IF(AND(I5="R2",N5="K5"),"R2 tidak boleh K5",IF(AND(K5="P9",J5&lt;&gt;"T17"),"P9 hanya dengan T17",IF(AND(J5="T01",K5&lt;&gt;"P6",Q5=""),"Periksa T01-P6: jelaskan di V12",IF(AND(K5="P1",N5&lt;&gt;"K4",Q5=""),"Periksa P1-K4: jelaskan di V12",IF(AND(J5="T99",Q5=""),"Periksa T99: wajib isi V12","OK"))))))))</f>
        <v/>
      </c>
    </row>
    <row r="6" ht="23.85" customHeight="1" s="21">
      <c r="A6" s="34" t="n">
        <v>6</v>
      </c>
      <c r="B6" s="34">
        <f>IF(Petunjuk!$C$4="","",Petunjuk!$C$4)</f>
        <v/>
      </c>
      <c r="C6" s="35" t="inlineStr">
        <is>
          <t>2019MHN201</t>
        </is>
      </c>
      <c r="D6" s="34" t="n"/>
      <c r="E6" s="35" t="inlineStr">
        <is>
          <t>Paragraf 3, Kalimat 5</t>
        </is>
      </c>
      <c r="F6" s="35" t="inlineStr">
        <is>
          <t>C. Pembahasan</t>
        </is>
      </c>
      <c r="G6" s="35" t="inlineStr">
        <is>
          <t>5. Pentingnya Perlindungan Data Pribadi</t>
        </is>
      </c>
      <c r="H6" s="35" t="inlineStr">
        <is>
          <t>Konsep privasi sendiri adalah gagasan untuk menjaga integritas dan martabat pribadi.</t>
        </is>
      </c>
      <c r="I6" s="36" t="n"/>
      <c r="J6" s="36" t="n"/>
      <c r="K6" s="36" t="n"/>
      <c r="L6" s="36" t="n"/>
      <c r="M6" s="36" t="n"/>
      <c r="N6" s="36" t="n"/>
      <c r="O6" s="36" t="n"/>
      <c r="P6" s="37" t="n"/>
      <c r="Q6" s="37" t="n"/>
      <c r="R6" s="30">
        <f>IF(COUNTA(I6:N6)&lt;6,"Lengkapi V4-V9",IF(AND(I6="R0",N6&lt;&gt;"K5"),"R0 harus berpasangan dengan K5",IF(AND(I6="R1",N6&lt;&gt;"K4",N6&lt;&gt;"K5"),"R1 hanya dengan K4 atau K5",IF(AND(I6="R2",N6="K5"),"R2 tidak boleh K5",IF(AND(K6="P9",J6&lt;&gt;"T17"),"P9 hanya dengan T17",IF(AND(J6="T01",K6&lt;&gt;"P6",Q6=""),"Periksa T01-P6: jelaskan di V12",IF(AND(K6="P1",N6&lt;&gt;"K4",Q6=""),"Periksa P1-K4: jelaskan di V12",IF(AND(J6="T99",Q6=""),"Periksa T99: wajib isi V12","OK"))))))))</f>
        <v/>
      </c>
    </row>
    <row r="7" ht="23.85" customHeight="1" s="21">
      <c r="A7" s="34" t="n">
        <v>7</v>
      </c>
      <c r="B7" s="34">
        <f>IF(Petunjuk!$C$4="","",Petunjuk!$C$4)</f>
        <v/>
      </c>
      <c r="C7" s="35" t="inlineStr">
        <is>
          <t>2019MHN201</t>
        </is>
      </c>
      <c r="D7" s="34" t="n"/>
      <c r="E7" s="35" t="inlineStr">
        <is>
          <t>Paragraf 3, Kalimat 6</t>
        </is>
      </c>
      <c r="F7" s="35" t="inlineStr">
        <is>
          <t>C. Pembahasan</t>
        </is>
      </c>
      <c r="G7" s="35" t="inlineStr">
        <is>
          <t>5. Pentingnya Perlindungan Data Pribadi</t>
        </is>
      </c>
      <c r="H7" s="35" t="inlineStr">
        <is>
          <t>Hak privasi juga merupakan kemampuan individu untuk menentukan siapa yang memegang informasi tentang mereka dan bagaimana informasi tersebut digunakan.</t>
        </is>
      </c>
      <c r="I7" s="36" t="n"/>
      <c r="J7" s="36" t="n"/>
      <c r="K7" s="36" t="n"/>
      <c r="L7" s="36" t="n"/>
      <c r="M7" s="36" t="n"/>
      <c r="N7" s="36" t="n"/>
      <c r="O7" s="36" t="n"/>
      <c r="P7" s="37" t="n"/>
      <c r="Q7" s="37" t="n"/>
      <c r="R7" s="30">
        <f>IF(COUNTA(I7:N7)&lt;6,"Lengkapi V4-V9",IF(AND(I7="R0",N7&lt;&gt;"K5"),"R0 harus berpasangan dengan K5",IF(AND(I7="R1",N7&lt;&gt;"K4",N7&lt;&gt;"K5"),"R1 hanya dengan K4 atau K5",IF(AND(I7="R2",N7="K5"),"R2 tidak boleh K5",IF(AND(K7="P9",J7&lt;&gt;"T17"),"P9 hanya dengan T17",IF(AND(J7="T01",K7&lt;&gt;"P6",Q7=""),"Periksa T01-P6: jelaskan di V12",IF(AND(K7="P1",N7&lt;&gt;"K4",Q7=""),"Periksa P1-K4: jelaskan di V12",IF(AND(J7="T99",Q7=""),"Periksa T99: wajib isi V12","OK"))))))))</f>
        <v/>
      </c>
    </row>
    <row r="8" ht="23.85" customHeight="1" s="21">
      <c r="A8" s="34" t="n">
        <v>8</v>
      </c>
      <c r="B8" s="34">
        <f>IF(Petunjuk!$C$4="","",Petunjuk!$C$4)</f>
        <v/>
      </c>
      <c r="C8" s="35" t="inlineStr">
        <is>
          <t>2019MHN201</t>
        </is>
      </c>
      <c r="D8" s="34" t="n"/>
      <c r="E8" s="35" t="inlineStr">
        <is>
          <t>Paragraf 4, Kalimat 1</t>
        </is>
      </c>
      <c r="F8" s="35" t="inlineStr">
        <is>
          <t>C. Pembahasan</t>
        </is>
      </c>
      <c r="G8" s="35" t="inlineStr">
        <is>
          <t>5. Pentingnya Perlindungan Data Pribadi</t>
        </is>
      </c>
      <c r="H8" s="35" t="inlineStr">
        <is>
          <t>Konsep perlindungan data mengisyaratkan bahwa individu memiliki hak untuk menentukan apakah mereka akan membagi atau bertukar data pribadi mereka atau tidak.</t>
        </is>
      </c>
      <c r="I8" s="36" t="n"/>
      <c r="J8" s="36" t="n"/>
      <c r="K8" s="36" t="n"/>
      <c r="L8" s="36" t="n"/>
      <c r="M8" s="36" t="n"/>
      <c r="N8" s="36" t="n"/>
      <c r="O8" s="36" t="n"/>
      <c r="P8" s="37" t="n"/>
      <c r="Q8" s="37" t="n"/>
      <c r="R8" s="30">
        <f>IF(COUNTA(I8:N8)&lt;6,"Lengkapi V4-V9",IF(AND(I8="R0",N8&lt;&gt;"K5"),"R0 harus berpasangan dengan K5",IF(AND(I8="R1",N8&lt;&gt;"K4",N8&lt;&gt;"K5"),"R1 hanya dengan K4 atau K5",IF(AND(I8="R2",N8="K5"),"R2 tidak boleh K5",IF(AND(K8="P9",J8&lt;&gt;"T17"),"P9 hanya dengan T17",IF(AND(J8="T01",K8&lt;&gt;"P6",Q8=""),"Periksa T01-P6: jelaskan di V12",IF(AND(K8="P1",N8&lt;&gt;"K4",Q8=""),"Periksa P1-K4: jelaskan di V12",IF(AND(J8="T99",Q8=""),"Periksa T99: wajib isi V12","OK"))))))))</f>
        <v/>
      </c>
    </row>
    <row r="9" ht="23.85" customHeight="1" s="21">
      <c r="A9" s="34" t="n">
        <v>9</v>
      </c>
      <c r="B9" s="34">
        <f>IF(Petunjuk!$C$4="","",Petunjuk!$C$4)</f>
        <v/>
      </c>
      <c r="C9" s="35" t="inlineStr">
        <is>
          <t>2019MHN201</t>
        </is>
      </c>
      <c r="D9" s="34" t="n"/>
      <c r="E9" s="35" t="inlineStr">
        <is>
          <t>Paragraf 4, Kalimat 2</t>
        </is>
      </c>
      <c r="F9" s="35" t="inlineStr">
        <is>
          <t>C. Pembahasan</t>
        </is>
      </c>
      <c r="G9" s="35" t="inlineStr">
        <is>
          <t>5. Pentingnya Perlindungan Data Pribadi</t>
        </is>
      </c>
      <c r="H9" s="35" t="inlineStr">
        <is>
          <t>Selain itu, individu juga memiliki hak untuk menentukan syarat-syarat pelaksanaan pemindahan data pribadi tersebut.</t>
        </is>
      </c>
      <c r="I9" s="36" t="n"/>
      <c r="J9" s="36" t="n"/>
      <c r="K9" s="36" t="n"/>
      <c r="L9" s="36" t="n"/>
      <c r="M9" s="36" t="n"/>
      <c r="N9" s="36" t="n"/>
      <c r="O9" s="36" t="n"/>
      <c r="P9" s="37" t="n"/>
      <c r="Q9" s="37" t="n"/>
      <c r="R9" s="30">
        <f>IF(COUNTA(I9:N9)&lt;6,"Lengkapi V4-V9",IF(AND(I9="R0",N9&lt;&gt;"K5"),"R0 harus berpasangan dengan K5",IF(AND(I9="R1",N9&lt;&gt;"K4",N9&lt;&gt;"K5"),"R1 hanya dengan K4 atau K5",IF(AND(I9="R2",N9="K5"),"R2 tidak boleh K5",IF(AND(K9="P9",J9&lt;&gt;"T17"),"P9 hanya dengan T17",IF(AND(J9="T01",K9&lt;&gt;"P6",Q9=""),"Periksa T01-P6: jelaskan di V12",IF(AND(K9="P1",N9&lt;&gt;"K4",Q9=""),"Periksa P1-K4: jelaskan di V12",IF(AND(J9="T99",Q9=""),"Periksa T99: wajib isi V12","OK"))))))))</f>
        <v/>
      </c>
    </row>
    <row r="10" ht="23.85" customHeight="1" s="21">
      <c r="A10" s="34" t="n">
        <v>10</v>
      </c>
      <c r="B10" s="34">
        <f>IF(Petunjuk!$C$4="","",Petunjuk!$C$4)</f>
        <v/>
      </c>
      <c r="C10" s="35" t="inlineStr">
        <is>
          <t>2019MHN201</t>
        </is>
      </c>
      <c r="D10" s="34" t="n"/>
      <c r="E10" s="35" t="inlineStr">
        <is>
          <t>Paragraf 4, Kalimat 3</t>
        </is>
      </c>
      <c r="F10" s="35" t="inlineStr">
        <is>
          <t>C. Pembahasan</t>
        </is>
      </c>
      <c r="G10" s="35" t="inlineStr">
        <is>
          <t>5. Pentingnya Perlindungan Data Pribadi</t>
        </is>
      </c>
      <c r="H10" s="35" t="inlineStr">
        <is>
          <t>Lebih jauh, perlindungan privasi.</t>
        </is>
      </c>
      <c r="I10" s="36" t="n"/>
      <c r="J10" s="36" t="n"/>
      <c r="K10" s="36" t="n"/>
      <c r="L10" s="36" t="n"/>
      <c r="M10" s="36" t="n"/>
      <c r="N10" s="36" t="n"/>
      <c r="O10" s="36" t="n"/>
      <c r="P10" s="37" t="n"/>
      <c r="Q10" s="37" t="n"/>
      <c r="R10" s="30">
        <f>IF(COUNTA(I10:N10)&lt;6,"Lengkapi V4-V9",IF(AND(I10="R0",N10&lt;&gt;"K5"),"R0 harus berpasangan dengan K5",IF(AND(I10="R1",N10&lt;&gt;"K4",N10&lt;&gt;"K5"),"R1 hanya dengan K4 atau K5",IF(AND(I10="R2",N10="K5"),"R2 tidak boleh K5",IF(AND(K10="P9",J10&lt;&gt;"T17"),"P9 hanya dengan T17",IF(AND(J10="T01",K10&lt;&gt;"P6",Q10=""),"Periksa T01-P6: jelaskan di V12",IF(AND(K10="P1",N10&lt;&gt;"K4",Q10=""),"Periksa P1-K4: jelaskan di V12",IF(AND(J10="T99",Q10=""),"Periksa T99: wajib isi V12","OK"))))))))</f>
        <v/>
      </c>
    </row>
    <row r="11" ht="23.85" customHeight="1" s="21">
      <c r="A11" s="34" t="n">
        <v>11</v>
      </c>
      <c r="B11" s="34">
        <f>IF(Petunjuk!$C$4="","",Petunjuk!$C$4)</f>
        <v/>
      </c>
      <c r="C11" s="35" t="inlineStr">
        <is>
          <t>2019MHN201</t>
        </is>
      </c>
      <c r="D11" s="34" t="n"/>
      <c r="E11" s="35" t="inlineStr">
        <is>
          <t>Paragraf 4, Kalimat 4</t>
        </is>
      </c>
      <c r="F11" s="35" t="inlineStr">
        <is>
          <t>C. Pembahasan</t>
        </is>
      </c>
      <c r="G11" s="35" t="inlineStr">
        <is>
          <t>5. Pentingnya Perlindungan Data Pribadi</t>
        </is>
      </c>
      <c r="H11" s="35" t="inlineStr">
        <is>
          <t>Hak privasi telah berkembang sehingga dapat digunakan untuk merumuskan hak untuk melindungi data pribadi.</t>
        </is>
      </c>
      <c r="I11" s="36" t="n"/>
      <c r="J11" s="36" t="n"/>
      <c r="K11" s="36" t="n"/>
      <c r="L11" s="36" t="n"/>
      <c r="M11" s="36" t="n"/>
      <c r="N11" s="36" t="n"/>
      <c r="O11" s="36" t="n"/>
      <c r="P11" s="37" t="n"/>
      <c r="Q11" s="37" t="n"/>
      <c r="R11" s="30">
        <f>IF(COUNTA(I11:N11)&lt;6,"Lengkapi V4-V9",IF(AND(I11="R0",N11&lt;&gt;"K5"),"R0 harus berpasangan dengan K5",IF(AND(I11="R1",N11&lt;&gt;"K4",N11&lt;&gt;"K5"),"R1 hanya dengan K4 atau K5",IF(AND(I11="R2",N11="K5"),"R2 tidak boleh K5",IF(AND(K11="P9",J11&lt;&gt;"T17"),"P9 hanya dengan T17",IF(AND(J11="T01",K11&lt;&gt;"P6",Q11=""),"Periksa T01-P6: jelaskan di V12",IF(AND(K11="P1",N11&lt;&gt;"K4",Q11=""),"Periksa P1-K4: jelaskan di V12",IF(AND(J11="T99",Q11=""),"Periksa T99: wajib isi V12","OK"))))))))</f>
        <v/>
      </c>
    </row>
    <row r="12" ht="23.85" customHeight="1" s="21">
      <c r="A12" s="34" t="n">
        <v>12</v>
      </c>
      <c r="B12" s="34">
        <f>IF(Petunjuk!$C$4="","",Petunjuk!$C$4)</f>
        <v/>
      </c>
      <c r="C12" s="35" t="inlineStr">
        <is>
          <t>2019MHN201</t>
        </is>
      </c>
      <c r="D12" s="34" t="n"/>
      <c r="E12" s="35" t="inlineStr">
        <is>
          <t>Paragraf 5, Kalimat 1</t>
        </is>
      </c>
      <c r="F12" s="35" t="inlineStr">
        <is>
          <t>C. Pembahasan</t>
        </is>
      </c>
      <c r="G12" s="35" t="inlineStr">
        <is>
          <t>5. Pentingnya Perlindungan Data Pribadi</t>
        </is>
      </c>
      <c r="H12" s="35" t="inlineStr">
        <is>
          <t>Perlindungan data pribadi telah diatur di dalam UUD NKRI Tahun 1945.</t>
        </is>
      </c>
      <c r="I12" s="36" t="n"/>
      <c r="J12" s="36" t="n"/>
      <c r="K12" s="36" t="n"/>
      <c r="L12" s="36" t="n"/>
      <c r="M12" s="36" t="n"/>
      <c r="N12" s="36" t="n"/>
      <c r="O12" s="36" t="n"/>
      <c r="P12" s="37" t="n"/>
      <c r="Q12" s="37" t="n"/>
      <c r="R12" s="30">
        <f>IF(COUNTA(I12:N12)&lt;6,"Lengkapi V4-V9",IF(AND(I12="R0",N12&lt;&gt;"K5"),"R0 harus berpasangan dengan K5",IF(AND(I12="R1",N12&lt;&gt;"K4",N12&lt;&gt;"K5"),"R1 hanya dengan K4 atau K5",IF(AND(I12="R2",N12="K5"),"R2 tidak boleh K5",IF(AND(K12="P9",J12&lt;&gt;"T17"),"P9 hanya dengan T17",IF(AND(J12="T01",K12&lt;&gt;"P6",Q12=""),"Periksa T01-P6: jelaskan di V12",IF(AND(K12="P1",N12&lt;&gt;"K4",Q12=""),"Periksa P1-K4: jelaskan di V12",IF(AND(J12="T99",Q12=""),"Periksa T99: wajib isi V12","OK"))))))))</f>
        <v/>
      </c>
    </row>
    <row r="13" ht="57.45" customHeight="1" s="21">
      <c r="A13" s="34" t="n">
        <v>13</v>
      </c>
      <c r="B13" s="34">
        <f>IF(Petunjuk!$C$4="","",Petunjuk!$C$4)</f>
        <v/>
      </c>
      <c r="C13" s="35" t="inlineStr">
        <is>
          <t>2019MHN201</t>
        </is>
      </c>
      <c r="D13" s="38" t="inlineStr">
        <is>
          <t>Ya</t>
        </is>
      </c>
      <c r="E13" s="35" t="inlineStr">
        <is>
          <t>Paragraf 5, Kalimat 2</t>
        </is>
      </c>
      <c r="F13" s="35" t="inlineStr">
        <is>
          <t>C. Pembahasan</t>
        </is>
      </c>
      <c r="G13" s="35" t="inlineStr">
        <is>
          <t>5. Pentingnya Perlindungan Data Pribadi</t>
        </is>
      </c>
      <c r="H13" s="35" t="inlineStr">
        <is>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is>
      </c>
      <c r="I13" s="36" t="inlineStr">
        <is>
          <t>R1</t>
        </is>
      </c>
      <c r="J13" s="36" t="inlineStr">
        <is>
          <t>T16</t>
        </is>
      </c>
      <c r="K13" s="36" t="inlineStr">
        <is>
          <t>P3</t>
        </is>
      </c>
      <c r="L13" s="36" t="inlineStr">
        <is>
          <t>S5</t>
        </is>
      </c>
      <c r="M13" s="36" t="inlineStr">
        <is>
          <t>F8</t>
        </is>
      </c>
      <c r="N13" s="36" t="inlineStr">
        <is>
          <t>K5</t>
        </is>
      </c>
      <c r="O13" s="36" t="n"/>
      <c r="P13" s="37" t="n"/>
      <c r="Q13" s="37" t="inlineStr">
        <is>
          <t>Kutipan UUD 1945 Pasal 28G ayat (1) dalam artikel; dikodekan sebagai landasan konstitusional (T16) dan tidak dapat diturunkan langsung menjadi kalimat "Sistem harus...". Teks kutipan tampak terpotong/janggal ("data juga berhubungan dengan konsep hak keluarga").</t>
        </is>
      </c>
      <c r="R13" s="30">
        <f>IF(COUNTA(I13:N13)&lt;6,"Lengkapi V4-V9",IF(AND(I13="R0",N13&lt;&gt;"K5"),"R0 harus berpasangan dengan K5",IF(AND(I13="R1",N13&lt;&gt;"K4",N13&lt;&gt;"K5"),"R1 hanya dengan K4 atau K5",IF(AND(I13="R2",N13="K5"),"R2 tidak boleh K5",IF(AND(K13="P9",J13&lt;&gt;"T17"),"P9 hanya dengan T17",IF(AND(J13="T01",K13&lt;&gt;"P6",Q13=""),"Periksa T01-P6: jelaskan di V12",IF(AND(K13="P1",N13&lt;&gt;"K4",Q13=""),"Periksa P1-K4: jelaskan di V12",IF(AND(J13="T99",Q13=""),"Periksa T99: wajib isi V12","OK"))))))))</f>
        <v/>
      </c>
    </row>
    <row r="14" ht="23.85" customHeight="1" s="21">
      <c r="A14" s="34" t="n">
        <v>14</v>
      </c>
      <c r="B14" s="34">
        <f>IF(Petunjuk!$C$4="","",Petunjuk!$C$4)</f>
        <v/>
      </c>
      <c r="C14" s="35" t="inlineStr">
        <is>
          <t>2019MHN201</t>
        </is>
      </c>
      <c r="D14" s="34" t="n"/>
      <c r="E14" s="35" t="inlineStr">
        <is>
          <t>Paragraf 6, Kalimat 1</t>
        </is>
      </c>
      <c r="F14" s="35" t="inlineStr">
        <is>
          <t>C. Pembahasan</t>
        </is>
      </c>
      <c r="G14" s="35" t="inlineStr">
        <is>
          <t>5. Pentingnya Perlindungan Data Pribadi</t>
        </is>
      </c>
      <c r="H14" s="35" t="inlineStr">
        <is>
          <t>Selain itu beberapa peraturan nasional secara umum telah mengatur untuk memberikan perlindungan data pribadi antara lain:</t>
        </is>
      </c>
      <c r="I14" s="36" t="n"/>
      <c r="J14" s="36" t="n"/>
      <c r="K14" s="36" t="n"/>
      <c r="L14" s="36" t="n"/>
      <c r="M14" s="36" t="n"/>
      <c r="N14" s="36" t="n"/>
      <c r="O14" s="36" t="n"/>
      <c r="P14" s="37" t="n"/>
      <c r="Q14" s="37" t="n"/>
      <c r="R14" s="30">
        <f>IF(COUNTA(I14:N14)&lt;6,"Lengkapi V4-V9",IF(AND(I14="R0",N14&lt;&gt;"K5"),"R0 harus berpasangan dengan K5",IF(AND(I14="R1",N14&lt;&gt;"K4",N14&lt;&gt;"K5"),"R1 hanya dengan K4 atau K5",IF(AND(I14="R2",N14="K5"),"R2 tidak boleh K5",IF(AND(K14="P9",J14&lt;&gt;"T17"),"P9 hanya dengan T17",IF(AND(J14="T01",K14&lt;&gt;"P6",Q14=""),"Periksa T01-P6: jelaskan di V12",IF(AND(K14="P1",N14&lt;&gt;"K4",Q14=""),"Periksa P1-K4: jelaskan di V12",IF(AND(J14="T99",Q14=""),"Periksa T99: wajib isi V12","OK"))))))))</f>
        <v/>
      </c>
    </row>
    <row r="15" ht="23.85" customHeight="1" s="21">
      <c r="A15" s="34" t="n">
        <v>15</v>
      </c>
      <c r="B15" s="34">
        <f>IF(Petunjuk!$C$4="","",Petunjuk!$C$4)</f>
        <v/>
      </c>
      <c r="C15" s="35" t="inlineStr">
        <is>
          <t>2019MHN201</t>
        </is>
      </c>
      <c r="D15" s="34" t="n"/>
      <c r="E15" s="35" t="inlineStr">
        <is>
          <t>Paragraf 6, Kalimat 2</t>
        </is>
      </c>
      <c r="F15" s="35" t="inlineStr">
        <is>
          <t>C. Pembahasan</t>
        </is>
      </c>
      <c r="G15" s="35" t="inlineStr">
        <is>
          <t>5. Pentingnya Perlindungan Data Pribadi</t>
        </is>
      </c>
      <c r="H15" s="35" t="inlineStr">
        <is>
          <t>1) Undang-Undang Nomor 19 Tahun 2016 Tentang Perubahan Atas Undang-Undang Nomor 11 Tahun 2008 Tentang Informasi dan Transaksi Elektronik</t>
        </is>
      </c>
      <c r="I15" s="36" t="n"/>
      <c r="J15" s="36" t="n"/>
      <c r="K15" s="36" t="n"/>
      <c r="L15" s="36" t="n"/>
      <c r="M15" s="36" t="n"/>
      <c r="N15" s="36" t="n"/>
      <c r="O15" s="36" t="n"/>
      <c r="P15" s="37" t="n"/>
      <c r="Q15" s="37" t="n"/>
      <c r="R15" s="30">
        <f>IF(COUNTA(I15:N15)&lt;6,"Lengkapi V4-V9",IF(AND(I15="R0",N15&lt;&gt;"K5"),"R0 harus berpasangan dengan K5",IF(AND(I15="R1",N15&lt;&gt;"K4",N15&lt;&gt;"K5"),"R1 hanya dengan K4 atau K5",IF(AND(I15="R2",N15="K5"),"R2 tidak boleh K5",IF(AND(K15="P9",J15&lt;&gt;"T17"),"P9 hanya dengan T17",IF(AND(J15="T01",K15&lt;&gt;"P6",Q15=""),"Periksa T01-P6: jelaskan di V12",IF(AND(K15="P1",N15&lt;&gt;"K4",Q15=""),"Periksa P1-K4: jelaskan di V12",IF(AND(J15="T99",Q15=""),"Periksa T99: wajib isi V12","OK"))))))))</f>
        <v/>
      </c>
    </row>
    <row r="16" ht="23.85" customHeight="1" s="21">
      <c r="A16" s="34" t="n">
        <v>16</v>
      </c>
      <c r="B16" s="34">
        <f>IF(Petunjuk!$C$4="","",Petunjuk!$C$4)</f>
        <v/>
      </c>
      <c r="C16" s="35" t="inlineStr">
        <is>
          <t>2019MHN201</t>
        </is>
      </c>
      <c r="D16" s="34" t="n"/>
      <c r="E16" s="35" t="inlineStr">
        <is>
          <t>Paragraf 6, Kalimat 3</t>
        </is>
      </c>
      <c r="F16" s="35" t="inlineStr">
        <is>
          <t>C. Pembahasan</t>
        </is>
      </c>
      <c r="G16" s="35" t="inlineStr">
        <is>
          <t>5. Pentingnya Perlindungan Data Pribadi</t>
        </is>
      </c>
      <c r="H16" s="35" t="inlineStr">
        <is>
          <t>2) Undang-Undang Nomor 11 Tahun 2008 Tentang Informasi dan Transaksi Elektronik</t>
        </is>
      </c>
      <c r="I16" s="36" t="n"/>
      <c r="J16" s="36" t="n"/>
      <c r="K16" s="36" t="n"/>
      <c r="L16" s="36" t="n"/>
      <c r="M16" s="36" t="n"/>
      <c r="N16" s="36" t="n"/>
      <c r="O16" s="36" t="n"/>
      <c r="P16" s="37" t="n"/>
      <c r="Q16" s="37" t="n"/>
      <c r="R16" s="30">
        <f>IF(COUNTA(I16:N16)&lt;6,"Lengkapi V4-V9",IF(AND(I16="R0",N16&lt;&gt;"K5"),"R0 harus berpasangan dengan K5",IF(AND(I16="R1",N16&lt;&gt;"K4",N16&lt;&gt;"K5"),"R1 hanya dengan K4 atau K5",IF(AND(I16="R2",N16="K5"),"R2 tidak boleh K5",IF(AND(K16="P9",J16&lt;&gt;"T17"),"P9 hanya dengan T17",IF(AND(J16="T01",K16&lt;&gt;"P6",Q16=""),"Periksa T01-P6: jelaskan di V12",IF(AND(K16="P1",N16&lt;&gt;"K4",Q16=""),"Periksa P1-K4: jelaskan di V12",IF(AND(J16="T99",Q16=""),"Periksa T99: wajib isi V12","OK"))))))))</f>
        <v/>
      </c>
    </row>
    <row r="17" ht="23.85" customHeight="1" s="21">
      <c r="A17" s="34" t="n">
        <v>17</v>
      </c>
      <c r="B17" s="34">
        <f>IF(Petunjuk!$C$4="","",Petunjuk!$C$4)</f>
        <v/>
      </c>
      <c r="C17" s="35" t="inlineStr">
        <is>
          <t>2019MHN201</t>
        </is>
      </c>
      <c r="D17" s="34" t="n"/>
      <c r="E17" s="35" t="inlineStr">
        <is>
          <t>Paragraf 6, Kalimat 13</t>
        </is>
      </c>
      <c r="F17" s="35" t="inlineStr">
        <is>
          <t>C. Pembahasan</t>
        </is>
      </c>
      <c r="G17" s="35" t="inlineStr">
        <is>
          <t>5. Pentingnya Perlindungan Data Pribadi</t>
        </is>
      </c>
      <c r="H17" s="35" t="inlineStr">
        <is>
          <t>12) Peraturan Menteri Komunikasi dan Informasi Nomor 20 Tahun 2016 Tentang Perlindungan Data Pribadi Dalam Sistem Elektronik</t>
        </is>
      </c>
      <c r="I17" s="36" t="n"/>
      <c r="J17" s="36" t="n"/>
      <c r="K17" s="36" t="n"/>
      <c r="L17" s="36" t="n"/>
      <c r="M17" s="36" t="n"/>
      <c r="N17" s="36" t="n"/>
      <c r="O17" s="36" t="n"/>
      <c r="P17" s="37" t="n"/>
      <c r="Q17" s="37" t="n"/>
      <c r="R17" s="30">
        <f>IF(COUNTA(I17:N17)&lt;6,"Lengkapi V4-V9",IF(AND(I17="R0",N17&lt;&gt;"K5"),"R0 harus berpasangan dengan K5",IF(AND(I17="R1",N17&lt;&gt;"K4",N17&lt;&gt;"K5"),"R1 hanya dengan K4 atau K5",IF(AND(I17="R2",N17="K5"),"R2 tidak boleh K5",IF(AND(K17="P9",J17&lt;&gt;"T17"),"P9 hanya dengan T17",IF(AND(J17="T01",K17&lt;&gt;"P6",Q17=""),"Periksa T01-P6: jelaskan di V12",IF(AND(K17="P1",N17&lt;&gt;"K4",Q17=""),"Periksa P1-K4: jelaskan di V12",IF(AND(J17="T99",Q17=""),"Periksa T99: wajib isi V12","OK"))))))))</f>
        <v/>
      </c>
    </row>
    <row r="18" ht="23.85" customHeight="1" s="21">
      <c r="A18" s="34" t="n">
        <v>18</v>
      </c>
      <c r="B18" s="34">
        <f>IF(Petunjuk!$C$4="","",Petunjuk!$C$4)</f>
        <v/>
      </c>
      <c r="C18" s="35" t="inlineStr">
        <is>
          <t>2019MHN201</t>
        </is>
      </c>
      <c r="D18" s="34" t="n"/>
      <c r="E18" s="35" t="inlineStr">
        <is>
          <t>Paragraf 6, Kalimat 14</t>
        </is>
      </c>
      <c r="F18" s="35" t="inlineStr">
        <is>
          <t>C. Pembahasan</t>
        </is>
      </c>
      <c r="G18" s="35" t="inlineStr">
        <is>
          <t>5. Pentingnya Perlindungan Data Pribadi</t>
        </is>
      </c>
      <c r="H18" s="35" t="inlineStr">
        <is>
          <t>13) Peraturan Pemerintah Nomor 82 Tahun 2012 Tentang Penyelenggaraan Sistem dan Transaksi Elektronik</t>
        </is>
      </c>
      <c r="I18" s="36" t="n"/>
      <c r="J18" s="36" t="n"/>
      <c r="K18" s="36" t="n"/>
      <c r="L18" s="36" t="n"/>
      <c r="M18" s="36" t="n"/>
      <c r="N18" s="36" t="n"/>
      <c r="O18" s="36" t="n"/>
      <c r="P18" s="37" t="n"/>
      <c r="Q18" s="37" t="n"/>
      <c r="R18" s="30">
        <f>IF(COUNTA(I18:N18)&lt;6,"Lengkapi V4-V9",IF(AND(I18="R0",N18&lt;&gt;"K5"),"R0 harus berpasangan dengan K5",IF(AND(I18="R1",N18&lt;&gt;"K4",N18&lt;&gt;"K5"),"R1 hanya dengan K4 atau K5",IF(AND(I18="R2",N18="K5"),"R2 tidak boleh K5",IF(AND(K18="P9",J18&lt;&gt;"T17"),"P9 hanya dengan T17",IF(AND(J18="T01",K18&lt;&gt;"P6",Q18=""),"Periksa T01-P6: jelaskan di V12",IF(AND(K18="P1",N18&lt;&gt;"K4",Q18=""),"Periksa P1-K4: jelaskan di V12",IF(AND(J18="T99",Q18=""),"Periksa T99: wajib isi V12","OK"))))))))</f>
        <v/>
      </c>
    </row>
    <row r="19" ht="23.85" customHeight="1" s="21">
      <c r="A19" s="34" t="n">
        <v>19</v>
      </c>
      <c r="B19" s="34">
        <f>IF(Petunjuk!$C$4="","",Petunjuk!$C$4)</f>
        <v/>
      </c>
      <c r="C19" s="35" t="inlineStr">
        <is>
          <t>2019MHN201</t>
        </is>
      </c>
      <c r="D19" s="34" t="n"/>
      <c r="E19" s="35" t="inlineStr">
        <is>
          <t>Paragraf 6, Kalimat 16</t>
        </is>
      </c>
      <c r="F19" s="35" t="inlineStr">
        <is>
          <t>C. Pembahasan</t>
        </is>
      </c>
      <c r="G19" s="35" t="inlineStr">
        <is>
          <t>5. Pentingnya Perlindungan Data Pribadi</t>
        </is>
      </c>
      <c r="H19" s="35" t="inlineStr">
        <is>
          <t>15) Peraturan Menteri Komunikasi dan Informasi Nomor 4 Tahun 2016 Tentang Sistem Manajemen Pengaman Informasi</t>
        </is>
      </c>
      <c r="I19" s="36" t="n"/>
      <c r="J19" s="36" t="n"/>
      <c r="K19" s="36" t="n"/>
      <c r="L19" s="36" t="n"/>
      <c r="M19" s="36" t="n"/>
      <c r="N19" s="36" t="n"/>
      <c r="O19" s="36" t="n"/>
      <c r="P19" s="37" t="n"/>
      <c r="Q19" s="37" t="n"/>
      <c r="R19" s="30">
        <f>IF(COUNTA(I19:N19)&lt;6,"Lengkapi V4-V9",IF(AND(I19="R0",N19&lt;&gt;"K5"),"R0 harus berpasangan dengan K5",IF(AND(I19="R1",N19&lt;&gt;"K4",N19&lt;&gt;"K5"),"R1 hanya dengan K4 atau K5",IF(AND(I19="R2",N19="K5"),"R2 tidak boleh K5",IF(AND(K19="P9",J19&lt;&gt;"T17"),"P9 hanya dengan T17",IF(AND(J19="T01",K19&lt;&gt;"P6",Q19=""),"Periksa T01-P6: jelaskan di V12",IF(AND(K19="P1",N19&lt;&gt;"K4",Q19=""),"Periksa P1-K4: jelaskan di V12",IF(AND(J19="T99",Q19=""),"Periksa T99: wajib isi V12","OK"))))))))</f>
        <v/>
      </c>
    </row>
    <row r="20" ht="35.05" customHeight="1" s="21">
      <c r="A20" s="34" t="n">
        <v>20</v>
      </c>
      <c r="B20" s="34">
        <f>IF(Petunjuk!$C$4="","",Petunjuk!$C$4)</f>
        <v/>
      </c>
      <c r="C20" s="35" t="inlineStr">
        <is>
          <t>2019MHN201</t>
        </is>
      </c>
      <c r="D20" s="34" t="n"/>
      <c r="E20" s="35" t="inlineStr">
        <is>
          <t>Paragraf 7, Kalimat 2</t>
        </is>
      </c>
      <c r="F20" s="35" t="inlineStr">
        <is>
          <t>C. Pembahasan</t>
        </is>
      </c>
      <c r="G20" s="35" t="inlineStr">
        <is>
          <t>5. Pentingnya Perlindungan Data Pribadi</t>
        </is>
      </c>
      <c r="H20" s="35" t="inlineStr">
        <is>
          <t>Dalam Pasal 26 huruf a disebutkan bahwa menjaga kerahasiaan, keutuhan, dan ketersediaan data pribadi, data transaksi, dan data keuangan yang dikelolanya sejak data diperoleh hingga data tersebut dimusnahkan.</t>
        </is>
      </c>
      <c r="I20" s="36" t="n"/>
      <c r="J20" s="36" t="n"/>
      <c r="K20" s="36" t="n"/>
      <c r="L20" s="36" t="n"/>
      <c r="M20" s="36" t="n"/>
      <c r="N20" s="36" t="n"/>
      <c r="O20" s="36" t="n"/>
      <c r="P20" s="37" t="n"/>
      <c r="Q20" s="37" t="n"/>
      <c r="R20" s="30">
        <f>IF(COUNTA(I20:N20)&lt;6,"Lengkapi V4-V9",IF(AND(I20="R0",N20&lt;&gt;"K5"),"R0 harus berpasangan dengan K5",IF(AND(I20="R1",N20&lt;&gt;"K4",N20&lt;&gt;"K5"),"R1 hanya dengan K4 atau K5",IF(AND(I20="R2",N20="K5"),"R2 tidak boleh K5",IF(AND(K20="P9",J20&lt;&gt;"T17"),"P9 hanya dengan T17",IF(AND(J20="T01",K20&lt;&gt;"P6",Q20=""),"Periksa T01-P6: jelaskan di V12",IF(AND(K20="P1",N20&lt;&gt;"K4",Q20=""),"Periksa P1-K4: jelaskan di V12",IF(AND(J20="T99",Q20=""),"Periksa T99: wajib isi V12","OK"))))))))</f>
        <v/>
      </c>
    </row>
    <row r="21" ht="23.85" customHeight="1" s="21">
      <c r="A21" s="34" t="n">
        <v>21</v>
      </c>
      <c r="B21" s="34">
        <f>IF(Petunjuk!$C$4="","",Petunjuk!$C$4)</f>
        <v/>
      </c>
      <c r="C21" s="35" t="inlineStr">
        <is>
          <t>2019MHN201</t>
        </is>
      </c>
      <c r="D21" s="38" t="inlineStr">
        <is>
          <t>Ya</t>
        </is>
      </c>
      <c r="E21" s="35" t="inlineStr">
        <is>
          <t>Paragraf 7, Kalimat 3</t>
        </is>
      </c>
      <c r="F21" s="35" t="inlineStr">
        <is>
          <t>C. Pembahasan</t>
        </is>
      </c>
      <c r="G21" s="35" t="inlineStr">
        <is>
          <t>5. Pentingnya Perlindungan Data Pribadi</t>
        </is>
      </c>
      <c r="H21" s="35" t="inlineStr">
        <is>
          <t>Selain itu Peraturan OJK Nomor 13 Tahun 2018 Tentang Inovasi Keuangan Digital di Sektor Keuangan, telah memasukkan poin terkait perlindungan dan kerahasiaan data.</t>
        </is>
      </c>
      <c r="I21" s="36" t="inlineStr">
        <is>
          <t>R0</t>
        </is>
      </c>
      <c r="J21" s="36" t="inlineStr">
        <is>
          <t>T17</t>
        </is>
      </c>
      <c r="K21" s="36" t="inlineStr">
        <is>
          <t>P9</t>
        </is>
      </c>
      <c r="L21" s="36" t="inlineStr">
        <is>
          <t>S9</t>
        </is>
      </c>
      <c r="M21" s="36" t="inlineStr">
        <is>
          <t>F8</t>
        </is>
      </c>
      <c r="N21" s="36" t="inlineStr">
        <is>
          <t>K5</t>
        </is>
      </c>
      <c r="O21" s="36" t="n"/>
      <c r="P21" s="37" t="n"/>
      <c r="Q21" s="37" t="inlineStr">
        <is>
          <t>Hanya menyebut bahwa Peraturan OJK memuat poin perlindungan dan kerahasiaan tanpa mengutip normanya (T17, bukan T10). Ragu R0 vs R1; dipilih R0 karena tidak ada definisi, asas, atau norma yang dikutip.</t>
        </is>
      </c>
      <c r="R21" s="30">
        <f>IF(COUNTA(I21:N21)&lt;6,"Lengkapi V4-V9",IF(AND(I21="R0",N21&lt;&gt;"K5"),"R0 harus berpasangan dengan K5",IF(AND(I21="R1",N21&lt;&gt;"K4",N21&lt;&gt;"K5"),"R1 hanya dengan K4 atau K5",IF(AND(I21="R2",N21="K5"),"R2 tidak boleh K5",IF(AND(K21="P9",J21&lt;&gt;"T17"),"P9 hanya dengan T17",IF(AND(J21="T01",K21&lt;&gt;"P6",Q21=""),"Periksa T01-P6: jelaskan di V12",IF(AND(K21="P1",N21&lt;&gt;"K4",Q21=""),"Periksa P1-K4: jelaskan di V12",IF(AND(J21="T99",Q21=""),"Periksa T99: wajib isi V12","OK"))))))))</f>
        <v/>
      </c>
    </row>
    <row r="22" ht="35.05" customHeight="1" s="21">
      <c r="A22" s="34" t="n">
        <v>22</v>
      </c>
      <c r="B22" s="34">
        <f>IF(Petunjuk!$C$4="","",Petunjuk!$C$4)</f>
        <v/>
      </c>
      <c r="C22" s="35" t="inlineStr">
        <is>
          <t>2019MHN201</t>
        </is>
      </c>
      <c r="D22" s="34" t="n"/>
      <c r="E22" s="35" t="inlineStr">
        <is>
          <t>Paragraf 7, Kalimat 4</t>
        </is>
      </c>
      <c r="F22" s="35" t="inlineStr">
        <is>
          <t>C. Pembahasan</t>
        </is>
      </c>
      <c r="G22" s="35" t="inlineStr">
        <is>
          <t>5. Pentingnya Perlindungan Data Pribadi</t>
        </is>
      </c>
      <c r="H22" s="35" t="inlineStr">
        <is>
          <t>Pasal 30 ayat (1) menyebutkan bahwa Penyelenggara wajib menjaga kerahasiaan data pribadi, data transaksi, dan data keuangan yang dikelolanya sejak diperoleh hingga data tersebut dimusnahkan.</t>
        </is>
      </c>
      <c r="I22" s="36" t="n"/>
      <c r="J22" s="36" t="n"/>
      <c r="K22" s="36" t="n"/>
      <c r="L22" s="36" t="n"/>
      <c r="M22" s="36" t="n"/>
      <c r="N22" s="36" t="n"/>
      <c r="O22" s="36" t="n"/>
      <c r="P22" s="37" t="n"/>
      <c r="Q22" s="37" t="n"/>
      <c r="R22" s="30">
        <f>IF(COUNTA(I22:N22)&lt;6,"Lengkapi V4-V9",IF(AND(I22="R0",N22&lt;&gt;"K5"),"R0 harus berpasangan dengan K5",IF(AND(I22="R1",N22&lt;&gt;"K4",N22&lt;&gt;"K5"),"R1 hanya dengan K4 atau K5",IF(AND(I22="R2",N22="K5"),"R2 tidak boleh K5",IF(AND(K22="P9",J22&lt;&gt;"T17"),"P9 hanya dengan T17",IF(AND(J22="T01",K22&lt;&gt;"P6",Q22=""),"Periksa T01-P6: jelaskan di V12",IF(AND(K22="P1",N22&lt;&gt;"K4",Q22=""),"Periksa P1-K4: jelaskan di V12",IF(AND(J22="T99",Q22=""),"Periksa T99: wajib isi V12","OK"))))))))</f>
        <v/>
      </c>
    </row>
    <row r="23" ht="23.85" customHeight="1" s="21">
      <c r="A23" s="34" t="n">
        <v>23</v>
      </c>
      <c r="B23" s="34">
        <f>IF(Petunjuk!$C$4="","",Petunjuk!$C$4)</f>
        <v/>
      </c>
      <c r="C23" s="35" t="inlineStr">
        <is>
          <t>2019MHN201</t>
        </is>
      </c>
      <c r="D23" s="34" t="n"/>
      <c r="E23" s="35" t="inlineStr">
        <is>
          <t>Paragraf 8, Kalimat 1</t>
        </is>
      </c>
      <c r="F23" s="35" t="inlineStr">
        <is>
          <t>C. Pembahasan</t>
        </is>
      </c>
      <c r="G23" s="35" t="inlineStr">
        <is>
          <t>5. Pentingnya Perlindungan Data Pribadi</t>
        </is>
      </c>
      <c r="H23" s="35" t="inlineStr">
        <is>
          <t>Banyaknya peraturan yang mengatur tentang perlindungan data pribadi menunjukkan pentingnya data pribadi untuk dilindungi.</t>
        </is>
      </c>
      <c r="I23" s="36" t="n"/>
      <c r="J23" s="36" t="n"/>
      <c r="K23" s="36" t="n"/>
      <c r="L23" s="36" t="n"/>
      <c r="M23" s="36" t="n"/>
      <c r="N23" s="36" t="n"/>
      <c r="O23" s="36" t="n"/>
      <c r="P23" s="37" t="n"/>
      <c r="Q23" s="37" t="n"/>
      <c r="R23" s="30">
        <f>IF(COUNTA(I23:N23)&lt;6,"Lengkapi V4-V9",IF(AND(I23="R0",N23&lt;&gt;"K5"),"R0 harus berpasangan dengan K5",IF(AND(I23="R1",N23&lt;&gt;"K4",N23&lt;&gt;"K5"),"R1 hanya dengan K4 atau K5",IF(AND(I23="R2",N23="K5"),"R2 tidak boleh K5",IF(AND(K23="P9",J23&lt;&gt;"T17"),"P9 hanya dengan T17",IF(AND(J23="T01",K23&lt;&gt;"P6",Q23=""),"Periksa T01-P6: jelaskan di V12",IF(AND(K23="P1",N23&lt;&gt;"K4",Q23=""),"Periksa P1-K4: jelaskan di V12",IF(AND(J23="T99",Q23=""),"Periksa T99: wajib isi V12","OK"))))))))</f>
        <v/>
      </c>
    </row>
    <row r="24" ht="23.85" customHeight="1" s="21">
      <c r="A24" s="34" t="n">
        <v>24</v>
      </c>
      <c r="B24" s="34">
        <f>IF(Petunjuk!$C$4="","",Petunjuk!$C$4)</f>
        <v/>
      </c>
      <c r="C24" s="35" t="inlineStr">
        <is>
          <t>2019MHN201</t>
        </is>
      </c>
      <c r="D24" s="34" t="n"/>
      <c r="E24" s="35" t="inlineStr">
        <is>
          <t>Paragraf 8, Kalimat 3</t>
        </is>
      </c>
      <c r="F24" s="35" t="inlineStr">
        <is>
          <t>C. Pembahasan</t>
        </is>
      </c>
      <c r="G24" s="35" t="inlineStr">
        <is>
          <t>5. Pentingnya Perlindungan Data Pribadi</t>
        </is>
      </c>
      <c r="H24" s="35" t="inlineStr">
        <is>
          <t>Oleh karena itu perlu disusun suatu undang-undang yang secara khusus dapat memberikan perlindungan data pribadi.</t>
        </is>
      </c>
      <c r="I24" s="36" t="n"/>
      <c r="J24" s="36" t="n"/>
      <c r="K24" s="36" t="n"/>
      <c r="L24" s="36" t="n"/>
      <c r="M24" s="36" t="n"/>
      <c r="N24" s="36" t="n"/>
      <c r="O24" s="36" t="n"/>
      <c r="P24" s="37" t="n"/>
      <c r="Q24" s="37" t="n"/>
      <c r="R24" s="30">
        <f>IF(COUNTA(I24:N24)&lt;6,"Lengkapi V4-V9",IF(AND(I24="R0",N24&lt;&gt;"K5"),"R0 harus berpasangan dengan K5",IF(AND(I24="R1",N24&lt;&gt;"K4",N24&lt;&gt;"K5"),"R1 hanya dengan K4 atau K5",IF(AND(I24="R2",N24="K5"),"R2 tidak boleh K5",IF(AND(K24="P9",J24&lt;&gt;"T17"),"P9 hanya dengan T17",IF(AND(J24="T01",K24&lt;&gt;"P6",Q24=""),"Periksa T01-P6: jelaskan di V12",IF(AND(K24="P1",N24&lt;&gt;"K4",Q24=""),"Periksa P1-K4: jelaskan di V12",IF(AND(J24="T99",Q24=""),"Periksa T99: wajib isi V12","OK"))))))))</f>
        <v/>
      </c>
    </row>
    <row r="25" ht="23.85" customHeight="1" s="21">
      <c r="A25" s="34" t="n">
        <v>25</v>
      </c>
      <c r="B25" s="34">
        <f>IF(Petunjuk!$C$4="","",Petunjuk!$C$4)</f>
        <v/>
      </c>
      <c r="C25" s="35" t="inlineStr">
        <is>
          <t>2019MHN201</t>
        </is>
      </c>
      <c r="D25" s="38" t="inlineStr">
        <is>
          <t>Ya</t>
        </is>
      </c>
      <c r="E25" s="35" t="inlineStr">
        <is>
          <t>Paragraf 1, Kalimat 3</t>
        </is>
      </c>
      <c r="F25" s="35" t="inlineStr">
        <is>
          <t>D. Penutup</t>
        </is>
      </c>
      <c r="G25" s="35" t="n"/>
      <c r="H25" s="35" t="inlineStr">
        <is>
          <t>Selain itu juga sudah ada Peraturan Menteri Nomor 20 Tahun 2016 tentang Perlindungan Data Pribadi namun belum cukup memberikan perlindungan kepada konsumen.</t>
        </is>
      </c>
      <c r="I25" s="36" t="inlineStr">
        <is>
          <t>R1</t>
        </is>
      </c>
      <c r="J25" s="36" t="inlineStr">
        <is>
          <t>T16</t>
        </is>
      </c>
      <c r="K25" s="36" t="inlineStr">
        <is>
          <t>P8</t>
        </is>
      </c>
      <c r="L25" s="36" t="inlineStr">
        <is>
          <t>S9</t>
        </is>
      </c>
      <c r="M25" s="36" t="inlineStr">
        <is>
          <t>F8</t>
        </is>
      </c>
      <c r="N25" s="36" t="inlineStr">
        <is>
          <t>K5</t>
        </is>
      </c>
      <c r="O25" s="36" t="n"/>
      <c r="P25" s="37" t="n"/>
      <c r="Q25" s="37" t="inlineStr">
        <is>
          <t>Opini penulis tentang kurang memadainya Permen 20/2016. Ragu T16 vs T17; dipilih T16 karena fungsi utamanya argumentatif/urgensi, bukan sekadar menyebut judul peraturan.</t>
        </is>
      </c>
      <c r="R25" s="30">
        <f>IF(COUNTA(I25:N25)&lt;6,"Lengkapi V4-V9",IF(AND(I25="R0",N25&lt;&gt;"K5"),"R0 harus berpasangan dengan K5",IF(AND(I25="R1",N25&lt;&gt;"K4",N25&lt;&gt;"K5"),"R1 hanya dengan K4 atau K5",IF(AND(I25="R2",N25="K5"),"R2 tidak boleh K5",IF(AND(K25="P9",J25&lt;&gt;"T17"),"P9 hanya dengan T17",IF(AND(J25="T01",K25&lt;&gt;"P6",Q25=""),"Periksa T01-P6: jelaskan di V12",IF(AND(K25="P1",N25&lt;&gt;"K4",Q25=""),"Periksa P1-K4: jelaskan di V12",IF(AND(J25="T99",Q25=""),"Periksa T99: wajib isi V12","OK"))))))))</f>
        <v/>
      </c>
    </row>
    <row r="26" ht="23.85" customHeight="1" s="21">
      <c r="A26" s="34" t="n">
        <v>26</v>
      </c>
      <c r="B26" s="34">
        <f>IF(Petunjuk!$C$4="","",Petunjuk!$C$4)</f>
        <v/>
      </c>
      <c r="C26" s="35" t="inlineStr">
        <is>
          <t>2019MHN201</t>
        </is>
      </c>
      <c r="D26" s="34" t="n"/>
      <c r="E26" s="35" t="inlineStr">
        <is>
          <t>Paragraf 1, Kalimat 4</t>
        </is>
      </c>
      <c r="F26" s="35" t="inlineStr">
        <is>
          <t>D. Penutup</t>
        </is>
      </c>
      <c r="G26" s="35" t="n"/>
      <c r="H26" s="35" t="inlineStr">
        <is>
          <t>Oleh karenanya Pemerintah perlu segera memberikan perlindungan data pribadi nasabah agar tidak disalahgunakan.</t>
        </is>
      </c>
      <c r="I26" s="36" t="n"/>
      <c r="J26" s="36" t="n"/>
      <c r="K26" s="36" t="n"/>
      <c r="L26" s="36" t="n"/>
      <c r="M26" s="36" t="n"/>
      <c r="N26" s="36" t="n"/>
      <c r="O26" s="36" t="n"/>
      <c r="P26" s="37" t="n"/>
      <c r="Q26" s="37" t="n"/>
      <c r="R26" s="30">
        <f>IF(COUNTA(I26:N26)&lt;6,"Lengkapi V4-V9",IF(AND(I26="R0",N26&lt;&gt;"K5"),"R0 harus berpasangan dengan K5",IF(AND(I26="R1",N26&lt;&gt;"K4",N26&lt;&gt;"K5"),"R1 hanya dengan K4 atau K5",IF(AND(I26="R2",N26="K5"),"R2 tidak boleh K5",IF(AND(K26="P9",J26&lt;&gt;"T17"),"P9 hanya dengan T17",IF(AND(J26="T01",K26&lt;&gt;"P6",Q26=""),"Periksa T01-P6: jelaskan di V12",IF(AND(K26="P1",N26&lt;&gt;"K4",Q26=""),"Periksa P1-K4: jelaskan di V12",IF(AND(J26="T99",Q26=""),"Periksa T99: wajib isi V12","OK"))))))))</f>
        <v/>
      </c>
    </row>
    <row r="27" ht="68.65000000000001" customHeight="1" s="21">
      <c r="A27" s="34" t="n">
        <v>27</v>
      </c>
      <c r="B27" s="34">
        <f>IF(Petunjuk!$C$4="","",Petunjuk!$C$4)</f>
        <v/>
      </c>
      <c r="C27" s="35" t="inlineStr">
        <is>
          <t>UU 23 Thn 2002 (Perlindungan Anak)</t>
        </is>
      </c>
      <c r="D27" s="34" t="n"/>
      <c r="E27" s="35" t="inlineStr">
        <is>
          <t>Pasal 27</t>
        </is>
      </c>
      <c r="F27" s="35" t="inlineStr">
        <is>
          <t>BAB V
KEDUDUKAN ANAK</t>
        </is>
      </c>
      <c r="G27" s="35" t="inlineStr">
        <is>
          <t>Bagian Kesatu
Identitas Anak</t>
        </is>
      </c>
      <c r="H27" s="35" t="inlineStr">
        <is>
          <t>(1)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is>
      </c>
      <c r="I27" s="36" t="n"/>
      <c r="J27" s="36" t="n"/>
      <c r="K27" s="36" t="n"/>
      <c r="L27" s="36" t="n"/>
      <c r="M27" s="36" t="n"/>
      <c r="N27" s="36" t="n"/>
      <c r="O27" s="36" t="n"/>
      <c r="P27" s="37" t="n"/>
      <c r="Q27" s="37" t="n"/>
      <c r="R27" s="30">
        <f>IF(COUNTA(I27:N27)&lt;6,"Lengkapi V4-V9",IF(AND(I27="R0",N27&lt;&gt;"K5"),"R0 harus berpasangan dengan K5",IF(AND(I27="R1",N27&lt;&gt;"K4",N27&lt;&gt;"K5"),"R1 hanya dengan K4 atau K5",IF(AND(I27="R2",N27="K5"),"R2 tidak boleh K5",IF(AND(K27="P9",J27&lt;&gt;"T17"),"P9 hanya dengan T17",IF(AND(J27="T01",K27&lt;&gt;"P6",Q27=""),"Periksa T01-P6: jelaskan di V12",IF(AND(K27="P1",N27&lt;&gt;"K4",Q27=""),"Periksa P1-K4: jelaskan di V12",IF(AND(J27="T99",Q27=""),"Periksa T99: wajib isi V12","OK"))))))))</f>
        <v/>
      </c>
    </row>
    <row r="28" ht="292.5" customHeight="1" s="21">
      <c r="A28" s="34" t="n">
        <v>28</v>
      </c>
      <c r="B28" s="34">
        <f>IF(Petunjuk!$C$4="","",Petunjuk!$C$4)</f>
        <v/>
      </c>
      <c r="C28" s="35" t="inlineStr">
        <is>
          <t>UU 27 Thn 2022 (PDP)</t>
        </is>
      </c>
      <c r="D28" s="34" t="n"/>
      <c r="E28" s="35" t="inlineStr">
        <is>
          <t>Pasal 1</t>
        </is>
      </c>
      <c r="F28" s="35" t="inlineStr">
        <is>
          <t>BAB I
KETENTUAN UMUM</t>
        </is>
      </c>
      <c r="G28" s="35" t="n"/>
      <c r="H28" s="35" t="inlineStr">
        <is>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is>
      </c>
      <c r="I28" s="36" t="n"/>
      <c r="J28" s="36" t="n"/>
      <c r="K28" s="36" t="n"/>
      <c r="L28" s="36" t="n"/>
      <c r="M28" s="36" t="n"/>
      <c r="N28" s="36" t="n"/>
      <c r="O28" s="36" t="n"/>
      <c r="P28" s="37" t="n"/>
      <c r="Q28" s="37" t="n"/>
      <c r="R28" s="30">
        <f>IF(COUNTA(I28:N28)&lt;6,"Lengkapi V4-V9",IF(AND(I28="R0",N28&lt;&gt;"K5"),"R0 harus berpasangan dengan K5",IF(AND(I28="R1",N28&lt;&gt;"K4",N28&lt;&gt;"K5"),"R1 hanya dengan K4 atau K5",IF(AND(I28="R2",N28="K5"),"R2 tidak boleh K5",IF(AND(K28="P9",J28&lt;&gt;"T17"),"P9 hanya dengan T17",IF(AND(J28="T01",K28&lt;&gt;"P6",Q28=""),"Periksa T01-P6: jelaskan di V12",IF(AND(K28="P1",N28&lt;&gt;"K4",Q28=""),"Periksa P1-K4: jelaskan di V12",IF(AND(J28="T99",Q28=""),"Periksa T99: wajib isi V12","OK"))))))))</f>
        <v/>
      </c>
    </row>
    <row r="29" ht="91" customHeight="1" s="21">
      <c r="A29" s="34" t="n">
        <v>29</v>
      </c>
      <c r="B29" s="34">
        <f>IF(Petunjuk!$C$4="","",Petunjuk!$C$4)</f>
        <v/>
      </c>
      <c r="C29" s="35" t="inlineStr">
        <is>
          <t>UU 27 Thn 2022 (PDP)</t>
        </is>
      </c>
      <c r="D29" s="34" t="n"/>
      <c r="E29" s="35" t="inlineStr">
        <is>
          <t>Pasal 2</t>
        </is>
      </c>
      <c r="F29" s="35" t="inlineStr">
        <is>
          <t>BAB I
KETENTUAN UMUM</t>
        </is>
      </c>
      <c r="G29" s="35" t="n"/>
      <c r="H29" s="35" t="inlineStr">
        <is>
          <t>(1)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is>
      </c>
      <c r="I29" s="36" t="n"/>
      <c r="J29" s="36" t="n"/>
      <c r="K29" s="36" t="n"/>
      <c r="L29" s="36" t="n"/>
      <c r="M29" s="36" t="n"/>
      <c r="N29" s="36" t="n"/>
      <c r="O29" s="36" t="n"/>
      <c r="P29" s="37" t="n"/>
      <c r="Q29" s="37" t="n"/>
      <c r="R29" s="30">
        <f>IF(COUNTA(I29:N29)&lt;6,"Lengkapi V4-V9",IF(AND(I29="R0",N29&lt;&gt;"K5"),"R0 harus berpasangan dengan K5",IF(AND(I29="R1",N29&lt;&gt;"K4",N29&lt;&gt;"K5"),"R1 hanya dengan K4 atau K5",IF(AND(I29="R2",N29="K5"),"R2 tidak boleh K5",IF(AND(K29="P9",J29&lt;&gt;"T17"),"P9 hanya dengan T17",IF(AND(J29="T01",K29&lt;&gt;"P6",Q29=""),"Periksa T01-P6: jelaskan di V12",IF(AND(K29="P1",N29&lt;&gt;"K4",Q29=""),"Periksa P1-K4: jelaskan di V12",IF(AND(J29="T99",Q29=""),"Periksa T99: wajib isi V12","OK"))))))))</f>
        <v/>
      </c>
    </row>
    <row r="30" ht="23.85" customHeight="1" s="21">
      <c r="A30" s="34" t="n">
        <v>30</v>
      </c>
      <c r="B30" s="34">
        <f>IF(Petunjuk!$C$4="","",Petunjuk!$C$4)</f>
        <v/>
      </c>
      <c r="C30" s="35" t="inlineStr">
        <is>
          <t>UU 27 Thn 2022 (PDP)</t>
        </is>
      </c>
      <c r="D30" s="34" t="n"/>
      <c r="E30" s="35" t="inlineStr">
        <is>
          <t>Pasal 3</t>
        </is>
      </c>
      <c r="F30" s="35" t="inlineStr">
        <is>
          <t>BAB II
ASAS</t>
        </is>
      </c>
      <c r="G30" s="35" t="n"/>
      <c r="H30" s="35" t="inlineStr">
        <is>
          <t>a. perlindungan; b. kepastian hukum; c. kepentingan umum; d. Kemanfaatan; e. Kehati-hatian; f. Keseimbangan; g. Pertanggungjawaban; dan h. kerahasiaan.</t>
        </is>
      </c>
      <c r="I30" s="36" t="n"/>
      <c r="J30" s="36" t="n"/>
      <c r="K30" s="36" t="n"/>
      <c r="L30" s="36" t="n"/>
      <c r="M30" s="36" t="n"/>
      <c r="N30" s="36" t="n"/>
      <c r="O30" s="36" t="n"/>
      <c r="P30" s="37" t="n"/>
      <c r="Q30" s="37" t="n"/>
      <c r="R30" s="30">
        <f>IF(COUNTA(I30:N30)&lt;6,"Lengkapi V4-V9",IF(AND(I30="R0",N30&lt;&gt;"K5"),"R0 harus berpasangan dengan K5",IF(AND(I30="R1",N30&lt;&gt;"K4",N30&lt;&gt;"K5"),"R1 hanya dengan K4 atau K5",IF(AND(I30="R2",N30="K5"),"R2 tidak boleh K5",IF(AND(K30="P9",J30&lt;&gt;"T17"),"P9 hanya dengan T17",IF(AND(J30="T01",K30&lt;&gt;"P6",Q30=""),"Periksa T01-P6: jelaskan di V12",IF(AND(K30="P1",N30&lt;&gt;"K4",Q30=""),"Periksa P1-K4: jelaskan di V12",IF(AND(J30="T99",Q30=""),"Periksa T99: wajib isi V12","OK"))))))))</f>
        <v/>
      </c>
    </row>
    <row r="31" ht="91" customHeight="1" s="21">
      <c r="A31" s="34" t="n">
        <v>31</v>
      </c>
      <c r="B31" s="34">
        <f>IF(Petunjuk!$C$4="","",Petunjuk!$C$4)</f>
        <v/>
      </c>
      <c r="C31" s="35" t="inlineStr">
        <is>
          <t>UU 27 Thn 2022 (PDP)</t>
        </is>
      </c>
      <c r="D31" s="34" t="n"/>
      <c r="E31" s="35" t="inlineStr">
        <is>
          <t>Pasal 4</t>
        </is>
      </c>
      <c r="F31" s="35" t="inlineStr">
        <is>
          <t>BAB III
JENIS DATA PRIBADI</t>
        </is>
      </c>
      <c r="G31" s="35" t="n"/>
      <c r="H31" s="35" t="inlineStr">
        <is>
          <t>(1)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is>
      </c>
      <c r="I31" s="36" t="n"/>
      <c r="J31" s="36" t="n"/>
      <c r="K31" s="36" t="n"/>
      <c r="L31" s="36" t="n"/>
      <c r="M31" s="36" t="n"/>
      <c r="N31" s="36" t="n"/>
      <c r="O31" s="36" t="n"/>
      <c r="P31" s="37" t="n"/>
      <c r="Q31" s="37" t="n"/>
      <c r="R31" s="30">
        <f>IF(COUNTA(I31:N31)&lt;6,"Lengkapi V4-V9",IF(AND(I31="R0",N31&lt;&gt;"K5"),"R0 harus berpasangan dengan K5",IF(AND(I31="R1",N31&lt;&gt;"K4",N31&lt;&gt;"K5"),"R1 hanya dengan K4 atau K5",IF(AND(I31="R2",N31="K5"),"R2 tidak boleh K5",IF(AND(K31="P9",J31&lt;&gt;"T17"),"P9 hanya dengan T17",IF(AND(J31="T01",K31&lt;&gt;"P6",Q31=""),"Periksa T01-P6: jelaskan di V12",IF(AND(K31="P1",N31&lt;&gt;"K4",Q31=""),"Periksa P1-K4: jelaskan di V12",IF(AND(J31="T99",Q31=""),"Periksa T99: wajib isi V12","OK"))))))))</f>
        <v/>
      </c>
    </row>
    <row r="32" ht="35.05" customHeight="1" s="21">
      <c r="A32" s="34" t="n">
        <v>32</v>
      </c>
      <c r="B32" s="34">
        <f>IF(Petunjuk!$C$4="","",Petunjuk!$C$4)</f>
        <v/>
      </c>
      <c r="C32" s="35" t="inlineStr">
        <is>
          <t>UU 27 Thn 2022 (PDP)</t>
        </is>
      </c>
      <c r="D32" s="34" t="n"/>
      <c r="E32" s="35" t="inlineStr">
        <is>
          <t>Pasal 5</t>
        </is>
      </c>
      <c r="F32" s="35" t="inlineStr">
        <is>
          <t>BAB IV
HAK SUBJEK DATA PRIBADI</t>
        </is>
      </c>
      <c r="G32" s="35" t="n"/>
      <c r="H32" s="35" t="inlineStr">
        <is>
          <t>Subjek Data Pribadi berhak mendapatkan Informasi tentang kejelasan identitas, dasar kepentingan hukum, tujuan permintaan dan penggunaan Data Pribadi, dan akuntabilitas pihak yang meminta Data Pribadi.</t>
        </is>
      </c>
      <c r="I32" s="36" t="n"/>
      <c r="J32" s="36" t="n"/>
      <c r="K32" s="36" t="n"/>
      <c r="L32" s="36" t="n"/>
      <c r="M32" s="36" t="n"/>
      <c r="N32" s="36" t="n"/>
      <c r="O32" s="36" t="n"/>
      <c r="P32" s="37" t="n"/>
      <c r="Q32" s="37" t="n"/>
      <c r="R32" s="30">
        <f>IF(COUNTA(I32:N32)&lt;6,"Lengkapi V4-V9",IF(AND(I32="R0",N32&lt;&gt;"K5"),"R0 harus berpasangan dengan K5",IF(AND(I32="R1",N32&lt;&gt;"K4",N32&lt;&gt;"K5"),"R1 hanya dengan K4 atau K5",IF(AND(I32="R2",N32="K5"),"R2 tidak boleh K5",IF(AND(K32="P9",J32&lt;&gt;"T17"),"P9 hanya dengan T17",IF(AND(J32="T01",K32&lt;&gt;"P6",Q32=""),"Periksa T01-P6: jelaskan di V12",IF(AND(K32="P1",N32&lt;&gt;"K4",Q32=""),"Periksa P1-K4: jelaskan di V12",IF(AND(J32="T99",Q32=""),"Periksa T99: wajib isi V12","OK"))))))))</f>
        <v/>
      </c>
    </row>
    <row r="33" ht="35.05" customHeight="1" s="21">
      <c r="A33" s="34" t="n">
        <v>33</v>
      </c>
      <c r="B33" s="34">
        <f>IF(Petunjuk!$C$4="","",Petunjuk!$C$4)</f>
        <v/>
      </c>
      <c r="C33" s="35" t="inlineStr">
        <is>
          <t>UU 27 Thn 2022 (PDP)</t>
        </is>
      </c>
      <c r="D33" s="34" t="n"/>
      <c r="E33" s="35" t="inlineStr">
        <is>
          <t>Pasal 6</t>
        </is>
      </c>
      <c r="F33" s="35" t="inlineStr">
        <is>
          <t>BAB IV
HAK SUBJEK DATA PRIBADI</t>
        </is>
      </c>
      <c r="G33" s="35" t="n"/>
      <c r="H33" s="35" t="inlineStr">
        <is>
          <t>Subjek Data Pribadi berhak melengkapi, memperbarui, dan/atau memperbaiki kesalahan dan/atau ketidakakuratan Data Pribadi tentang dirinya sesuai dengan tujuan pemrosesan Data Pribadi.</t>
        </is>
      </c>
      <c r="I33" s="36" t="n"/>
      <c r="J33" s="36" t="n"/>
      <c r="K33" s="36" t="n"/>
      <c r="L33" s="36" t="n"/>
      <c r="M33" s="36" t="n"/>
      <c r="N33" s="36" t="n"/>
      <c r="O33" s="36" t="n"/>
      <c r="P33" s="37" t="n"/>
      <c r="Q33" s="37" t="n"/>
      <c r="R33" s="30">
        <f>IF(COUNTA(I33:N33)&lt;6,"Lengkapi V4-V9",IF(AND(I33="R0",N33&lt;&gt;"K5"),"R0 harus berpasangan dengan K5",IF(AND(I33="R1",N33&lt;&gt;"K4",N33&lt;&gt;"K5"),"R1 hanya dengan K4 atau K5",IF(AND(I33="R2",N33="K5"),"R2 tidak boleh K5",IF(AND(K33="P9",J33&lt;&gt;"T17"),"P9 hanya dengan T17",IF(AND(J33="T01",K33&lt;&gt;"P6",Q33=""),"Periksa T01-P6: jelaskan di V12",IF(AND(K33="P1",N33&lt;&gt;"K4",Q33=""),"Periksa P1-K4: jelaskan di V12",IF(AND(J33="T99",Q33=""),"Periksa T99: wajib isi V12","OK"))))))))</f>
        <v/>
      </c>
    </row>
    <row r="34" ht="35.05" customHeight="1" s="21">
      <c r="A34" s="34" t="n">
        <v>34</v>
      </c>
      <c r="B34" s="34">
        <f>IF(Petunjuk!$C$4="","",Petunjuk!$C$4)</f>
        <v/>
      </c>
      <c r="C34" s="35" t="inlineStr">
        <is>
          <t>UU 27 Thn 2022 (PDP)</t>
        </is>
      </c>
      <c r="D34" s="34" t="n"/>
      <c r="E34" s="35" t="inlineStr">
        <is>
          <t>Pasal 7</t>
        </is>
      </c>
      <c r="F34" s="35" t="inlineStr">
        <is>
          <t>BAB IV
HAK SUBJEK DATA PRIBADI</t>
        </is>
      </c>
      <c r="G34" s="35" t="n"/>
      <c r="H34" s="35" t="inlineStr">
        <is>
          <t>Subjek Data Pribadi berhak mendapatkan akses dan memperoleh salinan Data Pribadi tentang dirinya sesuai dengan ketentuan peraturan perundang-undangan.</t>
        </is>
      </c>
      <c r="I34" s="36" t="n"/>
      <c r="J34" s="36" t="n"/>
      <c r="K34" s="36" t="n"/>
      <c r="L34" s="36" t="n"/>
      <c r="M34" s="36" t="n"/>
      <c r="N34" s="36" t="n"/>
      <c r="O34" s="36" t="n"/>
      <c r="P34" s="37" t="n"/>
      <c r="Q34" s="37" t="n"/>
      <c r="R34" s="30">
        <f>IF(COUNTA(I34:N34)&lt;6,"Lengkapi V4-V9",IF(AND(I34="R0",N34&lt;&gt;"K5"),"R0 harus berpasangan dengan K5",IF(AND(I34="R1",N34&lt;&gt;"K4",N34&lt;&gt;"K5"),"R1 hanya dengan K4 atau K5",IF(AND(I34="R2",N34="K5"),"R2 tidak boleh K5",IF(AND(K34="P9",J34&lt;&gt;"T17"),"P9 hanya dengan T17",IF(AND(J34="T01",K34&lt;&gt;"P6",Q34=""),"Periksa T01-P6: jelaskan di V12",IF(AND(K34="P1",N34&lt;&gt;"K4",Q34=""),"Periksa P1-K4: jelaskan di V12",IF(AND(J34="T99",Q34=""),"Periksa T99: wajib isi V12","OK"))))))))</f>
        <v/>
      </c>
    </row>
    <row r="35" ht="35.05" customHeight="1" s="21">
      <c r="A35" s="34" t="n">
        <v>35</v>
      </c>
      <c r="B35" s="34">
        <f>IF(Petunjuk!$C$4="","",Petunjuk!$C$4)</f>
        <v/>
      </c>
      <c r="C35" s="35" t="inlineStr">
        <is>
          <t>UU 27 Thn 2022 (PDP)</t>
        </is>
      </c>
      <c r="D35" s="38" t="inlineStr">
        <is>
          <t>Ya</t>
        </is>
      </c>
      <c r="E35" s="35" t="inlineStr">
        <is>
          <t>Pasal 8</t>
        </is>
      </c>
      <c r="F35" s="35" t="inlineStr">
        <is>
          <t>BAB IV
HAK SUBJEK DATA PRIBADI</t>
        </is>
      </c>
      <c r="G35" s="35" t="n"/>
      <c r="H35" s="35" t="inlineStr">
        <is>
          <t>Subjek Data Pribadi berhak untuk mengakhiri pemrosesan, menghapus, dan/ atau memusnahkan Data Pribadi tentang dirinya sesuai dengan ketentuan peraturan perundang-undangan.</t>
        </is>
      </c>
      <c r="I35" s="36" t="inlineStr">
        <is>
          <t>R2</t>
        </is>
      </c>
      <c r="J35" s="36" t="inlineStr">
        <is>
          <t>T04</t>
        </is>
      </c>
      <c r="K35" s="36" t="inlineStr">
        <is>
          <t>P3</t>
        </is>
      </c>
      <c r="L35" s="36" t="inlineStr">
        <is>
          <t>S4</t>
        </is>
      </c>
      <c r="M35" s="36" t="inlineStr">
        <is>
          <t>F7</t>
        </is>
      </c>
      <c r="N35" s="36" t="inlineStr">
        <is>
          <t>K1</t>
        </is>
      </c>
      <c r="O35" s="36" t="n"/>
      <c r="P35" s="37" t="inlineStr">
        <is>
          <t>Sistem harus menyediakan mekanisme bagi Subjek Data Pribadi untuk mengakhiri pemrosesan, menghapus, dan/atau memusnahkan data pribadinya.</t>
        </is>
      </c>
      <c r="Q35" s="37" t="inlineStr">
        <is>
          <t>Berbunyi "berhak" sehingga T04 (bukan T11). Ragu F7 vs F6; dipilih F7 karena fokus teks adalah hak subjek data.</t>
        </is>
      </c>
      <c r="R35" s="30">
        <f>IF(COUNTA(I35:N35)&lt;6,"Lengkapi V4-V9",IF(AND(I35="R0",N35&lt;&gt;"K5"),"R0 harus berpasangan dengan K5",IF(AND(I35="R1",N35&lt;&gt;"K4",N35&lt;&gt;"K5"),"R1 hanya dengan K4 atau K5",IF(AND(I35="R2",N35="K5"),"R2 tidak boleh K5",IF(AND(K35="P9",J35&lt;&gt;"T17"),"P9 hanya dengan T17",IF(AND(J35="T01",K35&lt;&gt;"P6",Q35=""),"Periksa T01-P6: jelaskan di V12",IF(AND(K35="P1",N35&lt;&gt;"K4",Q35=""),"Periksa P1-K4: jelaskan di V12",IF(AND(J35="T99",Q35=""),"Periksa T99: wajib isi V12","OK"))))))))</f>
        <v/>
      </c>
    </row>
    <row r="36" ht="35.05" customHeight="1" s="21">
      <c r="A36" s="34" t="n">
        <v>36</v>
      </c>
      <c r="B36" s="34">
        <f>IF(Petunjuk!$C$4="","",Petunjuk!$C$4)</f>
        <v/>
      </c>
      <c r="C36" s="35" t="inlineStr">
        <is>
          <t>UU 27 Thn 2022 (PDP)</t>
        </is>
      </c>
      <c r="D36" s="34" t="n"/>
      <c r="E36" s="35" t="inlineStr">
        <is>
          <t>Pasal 9</t>
        </is>
      </c>
      <c r="F36" s="35" t="inlineStr">
        <is>
          <t>BAB IV
HAK SUBJEK DATA PRIBADI</t>
        </is>
      </c>
      <c r="G36" s="35" t="n"/>
      <c r="H36" s="35" t="inlineStr">
        <is>
          <t>Subjek Data Pribadi berhak menarik kembali persetujuan pemrosesan Data Pribadi tentang dirinya yang telah diberikan kepada Pengendali Data Pribadi.</t>
        </is>
      </c>
      <c r="I36" s="36" t="n"/>
      <c r="J36" s="36" t="n"/>
      <c r="K36" s="36" t="n"/>
      <c r="L36" s="36" t="n"/>
      <c r="M36" s="36" t="n"/>
      <c r="N36" s="36" t="n"/>
      <c r="O36" s="36" t="n"/>
      <c r="P36" s="37" t="n"/>
      <c r="Q36" s="37" t="n"/>
      <c r="R36" s="30">
        <f>IF(COUNTA(I36:N36)&lt;6,"Lengkapi V4-V9",IF(AND(I36="R0",N36&lt;&gt;"K5"),"R0 harus berpasangan dengan K5",IF(AND(I36="R1",N36&lt;&gt;"K4",N36&lt;&gt;"K5"),"R1 hanya dengan K4 atau K5",IF(AND(I36="R2",N36="K5"),"R2 tidak boleh K5",IF(AND(K36="P9",J36&lt;&gt;"T17"),"P9 hanya dengan T17",IF(AND(J36="T01",K36&lt;&gt;"P6",Q36=""),"Periksa T01-P6: jelaskan di V12",IF(AND(K36="P1",N36&lt;&gt;"K4",Q36=""),"Periksa P1-K4: jelaskan di V12",IF(AND(J36="T99",Q36=""),"Periksa T99: wajib isi V12","OK"))))))))</f>
        <v/>
      </c>
    </row>
    <row r="37" ht="57.45" customHeight="1" s="21">
      <c r="A37" s="34" t="n">
        <v>37</v>
      </c>
      <c r="B37" s="34">
        <f>IF(Petunjuk!$C$4="","",Petunjuk!$C$4)</f>
        <v/>
      </c>
      <c r="C37" s="35" t="inlineStr">
        <is>
          <t>UU 27 Thn 2022 (PDP)</t>
        </is>
      </c>
      <c r="D37" s="34" t="n"/>
      <c r="E37" s="35" t="inlineStr">
        <is>
          <t>Pasal 10</t>
        </is>
      </c>
      <c r="F37" s="35" t="inlineStr">
        <is>
          <t>BAB IV
HAK SUBJEK DATA PRIBADI</t>
        </is>
      </c>
      <c r="G37" s="35" t="n"/>
      <c r="H37" s="35" t="inlineStr">
        <is>
          <t>(1)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is>
      </c>
      <c r="I37" s="36" t="n"/>
      <c r="J37" s="36" t="n"/>
      <c r="K37" s="36" t="n"/>
      <c r="L37" s="36" t="n"/>
      <c r="M37" s="36" t="n"/>
      <c r="N37" s="36" t="n"/>
      <c r="O37" s="36" t="n"/>
      <c r="P37" s="37" t="n"/>
      <c r="Q37" s="37" t="n"/>
      <c r="R37" s="30">
        <f>IF(COUNTA(I37:N37)&lt;6,"Lengkapi V4-V9",IF(AND(I37="R0",N37&lt;&gt;"K5"),"R0 harus berpasangan dengan K5",IF(AND(I37="R1",N37&lt;&gt;"K4",N37&lt;&gt;"K5"),"R1 hanya dengan K4 atau K5",IF(AND(I37="R2",N37="K5"),"R2 tidak boleh K5",IF(AND(K37="P9",J37&lt;&gt;"T17"),"P9 hanya dengan T17",IF(AND(J37="T01",K37&lt;&gt;"P6",Q37=""),"Periksa T01-P6: jelaskan di V12",IF(AND(K37="P1",N37&lt;&gt;"K4",Q37=""),"Periksa P1-K4: jelaskan di V12",IF(AND(J37="T99",Q37=""),"Periksa T99: wajib isi V12","OK"))))))))</f>
        <v/>
      </c>
    </row>
    <row r="38" ht="35.05" customHeight="1" s="21">
      <c r="A38" s="34" t="n">
        <v>38</v>
      </c>
      <c r="B38" s="34">
        <f>IF(Petunjuk!$C$4="","",Petunjuk!$C$4)</f>
        <v/>
      </c>
      <c r="C38" s="35" t="inlineStr">
        <is>
          <t>UU 27 Thn 2022 (PDP)</t>
        </is>
      </c>
      <c r="D38" s="34" t="n"/>
      <c r="E38" s="35" t="inlineStr">
        <is>
          <t>Pasal 11</t>
        </is>
      </c>
      <c r="F38" s="35" t="inlineStr">
        <is>
          <t>BAB IV
HAK SUBJEK DATA PRIBADI</t>
        </is>
      </c>
      <c r="G38" s="35" t="n"/>
      <c r="H38" s="35" t="inlineStr">
        <is>
          <t>Subjek Data Pribadi berhak menunda atau membatasi pemrosesan Data Pribadi secara proporsional sesuai dengan tujuan pemrosesan Data Pribadi.</t>
        </is>
      </c>
      <c r="I38" s="36" t="n"/>
      <c r="J38" s="36" t="n"/>
      <c r="K38" s="36" t="n"/>
      <c r="L38" s="36" t="n"/>
      <c r="M38" s="36" t="n"/>
      <c r="N38" s="36" t="n"/>
      <c r="O38" s="36" t="n"/>
      <c r="P38" s="37" t="n"/>
      <c r="Q38" s="37" t="n"/>
      <c r="R38" s="30">
        <f>IF(COUNTA(I38:N38)&lt;6,"Lengkapi V4-V9",IF(AND(I38="R0",N38&lt;&gt;"K5"),"R0 harus berpasangan dengan K5",IF(AND(I38="R1",N38&lt;&gt;"K4",N38&lt;&gt;"K5"),"R1 hanya dengan K4 atau K5",IF(AND(I38="R2",N38="K5"),"R2 tidak boleh K5",IF(AND(K38="P9",J38&lt;&gt;"T17"),"P9 hanya dengan T17",IF(AND(J38="T01",K38&lt;&gt;"P6",Q38=""),"Periksa T01-P6: jelaskan di V12",IF(AND(K38="P1",N38&lt;&gt;"K4",Q38=""),"Periksa P1-K4: jelaskan di V12",IF(AND(J38="T99",Q38=""),"Periksa T99: wajib isi V12","OK"))))))))</f>
        <v/>
      </c>
    </row>
    <row r="39" ht="57.45" customHeight="1" s="21">
      <c r="A39" s="34" t="n">
        <v>39</v>
      </c>
      <c r="B39" s="34">
        <f>IF(Petunjuk!$C$4="","",Petunjuk!$C$4)</f>
        <v/>
      </c>
      <c r="C39" s="35" t="inlineStr">
        <is>
          <t>UU 27 Thn 2022 (PDP)</t>
        </is>
      </c>
      <c r="D39" s="34" t="n"/>
      <c r="E39" s="35" t="inlineStr">
        <is>
          <t>Pasal 12</t>
        </is>
      </c>
      <c r="F39" s="35" t="inlineStr">
        <is>
          <t>BAB IV
HAK SUBJEK DATA PRIBADI</t>
        </is>
      </c>
      <c r="G39" s="35" t="n"/>
      <c r="H39" s="35" t="inlineStr">
        <is>
          <t>(1)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is>
      </c>
      <c r="I39" s="36" t="n"/>
      <c r="J39" s="36" t="n"/>
      <c r="K39" s="36" t="n"/>
      <c r="L39" s="36" t="n"/>
      <c r="M39" s="36" t="n"/>
      <c r="N39" s="36" t="n"/>
      <c r="O39" s="36" t="n"/>
      <c r="P39" s="37" t="n"/>
      <c r="Q39" s="37" t="n"/>
      <c r="R39" s="30">
        <f>IF(COUNTA(I39:N39)&lt;6,"Lengkapi V4-V9",IF(AND(I39="R0",N39&lt;&gt;"K5"),"R0 harus berpasangan dengan K5",IF(AND(I39="R1",N39&lt;&gt;"K4",N39&lt;&gt;"K5"),"R1 hanya dengan K4 atau K5",IF(AND(I39="R2",N39="K5"),"R2 tidak boleh K5",IF(AND(K39="P9",J39&lt;&gt;"T17"),"P9 hanya dengan T17",IF(AND(J39="T01",K39&lt;&gt;"P6",Q39=""),"Periksa T01-P6: jelaskan di V12",IF(AND(K39="P1",N39&lt;&gt;"K4",Q39=""),"Periksa P1-K4: jelaskan di V12",IF(AND(J39="T99",Q39=""),"Periksa T99: wajib isi V12","OK"))))))))</f>
        <v/>
      </c>
    </row>
    <row r="40" ht="102.2" customHeight="1" s="21">
      <c r="A40" s="34" t="n">
        <v>40</v>
      </c>
      <c r="B40" s="34">
        <f>IF(Petunjuk!$C$4="","",Petunjuk!$C$4)</f>
        <v/>
      </c>
      <c r="C40" s="35" t="inlineStr">
        <is>
          <t>UU 27 Thn 2022 (PDP)</t>
        </is>
      </c>
      <c r="D40" s="34" t="n"/>
      <c r="E40" s="35" t="inlineStr">
        <is>
          <t>Pasal 13</t>
        </is>
      </c>
      <c r="F40" s="35" t="inlineStr">
        <is>
          <t>BAB IV
HAK SUBJEK DATA PRIBADI</t>
        </is>
      </c>
      <c r="G40" s="35" t="n"/>
      <c r="H40" s="35" t="inlineStr">
        <is>
          <t>(1)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is>
      </c>
      <c r="I40" s="36" t="n"/>
      <c r="J40" s="36" t="n"/>
      <c r="K40" s="36" t="n"/>
      <c r="L40" s="36" t="n"/>
      <c r="M40" s="36" t="n"/>
      <c r="N40" s="36" t="n"/>
      <c r="O40" s="36" t="n"/>
      <c r="P40" s="37" t="n"/>
      <c r="Q40" s="37" t="n"/>
      <c r="R40" s="30">
        <f>IF(COUNTA(I40:N40)&lt;6,"Lengkapi V4-V9",IF(AND(I40="R0",N40&lt;&gt;"K5"),"R0 harus berpasangan dengan K5",IF(AND(I40="R1",N40&lt;&gt;"K4",N40&lt;&gt;"K5"),"R1 hanya dengan K4 atau K5",IF(AND(I40="R2",N40="K5"),"R2 tidak boleh K5",IF(AND(K40="P9",J40&lt;&gt;"T17"),"P9 hanya dengan T17",IF(AND(J40="T01",K40&lt;&gt;"P6",Q40=""),"Periksa T01-P6: jelaskan di V12",IF(AND(K40="P1",N40&lt;&gt;"K4",Q40=""),"Periksa P1-K4: jelaskan di V12",IF(AND(J40="T99",Q40=""),"Periksa T99: wajib isi V12","OK"))))))))</f>
        <v/>
      </c>
    </row>
    <row r="41" ht="35.05" customHeight="1" s="21">
      <c r="A41" s="34" t="n">
        <v>41</v>
      </c>
      <c r="B41" s="34">
        <f>IF(Petunjuk!$C$4="","",Petunjuk!$C$4)</f>
        <v/>
      </c>
      <c r="C41" s="35" t="inlineStr">
        <is>
          <t>UU 27 Thn 2022 (PDP)</t>
        </is>
      </c>
      <c r="D41" s="34" t="n"/>
      <c r="E41" s="35" t="inlineStr">
        <is>
          <t>Pasal 14</t>
        </is>
      </c>
      <c r="F41" s="35" t="inlineStr">
        <is>
          <t>BAB IV
HAK SUBJEK DATA PRIBADI</t>
        </is>
      </c>
      <c r="G41" s="35" t="n"/>
      <c r="H41" s="35" t="inlineStr">
        <is>
          <t>Pelaksanaan hak Subjek Data Pribadi sebagaimana dimaksud dalam Pasal 6 sampai dengan Pasal 11 diajukan melalui permohonan tercatat yang disampaikan secara elektronik atau nonelektronik kepada Pengendali Data Pribadi.</t>
        </is>
      </c>
      <c r="I41" s="36" t="n"/>
      <c r="J41" s="36" t="n"/>
      <c r="K41" s="36" t="n"/>
      <c r="L41" s="36" t="n"/>
      <c r="M41" s="36" t="n"/>
      <c r="N41" s="36" t="n"/>
      <c r="O41" s="36" t="n"/>
      <c r="P41" s="37" t="n"/>
      <c r="Q41" s="37" t="n"/>
      <c r="R41" s="30">
        <f>IF(COUNTA(I41:N41)&lt;6,"Lengkapi V4-V9",IF(AND(I41="R0",N41&lt;&gt;"K5"),"R0 harus berpasangan dengan K5",IF(AND(I41="R1",N41&lt;&gt;"K4",N41&lt;&gt;"K5"),"R1 hanya dengan K4 atau K5",IF(AND(I41="R2",N41="K5"),"R2 tidak boleh K5",IF(AND(K41="P9",J41&lt;&gt;"T17"),"P9 hanya dengan T17",IF(AND(J41="T01",K41&lt;&gt;"P6",Q41=""),"Periksa T01-P6: jelaskan di V12",IF(AND(K41="P1",N41&lt;&gt;"K4",Q41=""),"Periksa P1-K4: jelaskan di V12",IF(AND(J41="T99",Q41=""),"Periksa T99: wajib isi V12","OK"))))))))</f>
        <v/>
      </c>
    </row>
    <row r="42" ht="91" customHeight="1" s="21">
      <c r="A42" s="34" t="n">
        <v>42</v>
      </c>
      <c r="B42" s="34">
        <f>IF(Petunjuk!$C$4="","",Petunjuk!$C$4)</f>
        <v/>
      </c>
      <c r="C42" s="35" t="inlineStr">
        <is>
          <t>UU 27 Thn 2022 (PDP)</t>
        </is>
      </c>
      <c r="D42" s="38" t="inlineStr">
        <is>
          <t>Ya</t>
        </is>
      </c>
      <c r="E42" s="35" t="inlineStr">
        <is>
          <t>Pasal 15</t>
        </is>
      </c>
      <c r="F42" s="35" t="inlineStr">
        <is>
          <t>BAB IV
HAK SUBJEK DATA PRIBADI</t>
        </is>
      </c>
      <c r="G42" s="35" t="n"/>
      <c r="H42" s="35" t="inlineStr">
        <is>
          <t>(1)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is>
      </c>
      <c r="I42" s="36" t="inlineStr">
        <is>
          <t>R2</t>
        </is>
      </c>
      <c r="J42" s="36" t="inlineStr">
        <is>
          <t>T12</t>
        </is>
      </c>
      <c r="K42" s="36" t="inlineStr">
        <is>
          <t>P5</t>
        </is>
      </c>
      <c r="L42" s="36" t="inlineStr">
        <is>
          <t>S4</t>
        </is>
      </c>
      <c r="M42" s="36" t="inlineStr">
        <is>
          <t>F7</t>
        </is>
      </c>
      <c r="N42" s="36" t="inlineStr">
        <is>
          <t>K4</t>
        </is>
      </c>
      <c r="O42" s="36" t="n"/>
      <c r="P42" s="37" t="inlineStr">
        <is>
          <t>Sistem harus mengecualikan pelaksanaan hak Subjek Data Pribadi (Pasal 8, 9, 10 ayat 1, 11, 13 ayat 1 dan 2) untuk kepentingan pertahanan dan keamanan nasional, penegakan hukum, kepentingan umum, pengawasan sektor keuangan, serta statistik dan penelitian ilmiah.</t>
        </is>
      </c>
      <c r="Q42" s="37" t="inlineStr">
        <is>
          <t>Fungsi utama pengecualian hak (T12, bukan T04). Subjek: kalimat tanpa pelaku eksplisit, hak milik Subjek Data Pribadi dipilih S4; ragu dengan S9.</t>
        </is>
      </c>
      <c r="R42" s="30">
        <f>IF(COUNTA(I42:N42)&lt;6,"Lengkapi V4-V9",IF(AND(I42="R0",N42&lt;&gt;"K5"),"R0 harus berpasangan dengan K5",IF(AND(I42="R1",N42&lt;&gt;"K4",N42&lt;&gt;"K5"),"R1 hanya dengan K4 atau K5",IF(AND(I42="R2",N42="K5"),"R2 tidak boleh K5",IF(AND(K42="P9",J42&lt;&gt;"T17"),"P9 hanya dengan T17",IF(AND(J42="T01",K42&lt;&gt;"P6",Q42=""),"Periksa T01-P6: jelaskan di V12",IF(AND(K42="P1",N42&lt;&gt;"K4",Q42=""),"Periksa P1-K4: jelaskan di V12",IF(AND(J42="T99",Q42=""),"Periksa T99: wajib isi V12","OK"))))))))</f>
        <v/>
      </c>
    </row>
    <row r="43" ht="202.95" customHeight="1" s="21">
      <c r="A43" s="34" t="n">
        <v>43</v>
      </c>
      <c r="B43" s="34">
        <f>IF(Petunjuk!$C$4="","",Petunjuk!$C$4)</f>
        <v/>
      </c>
      <c r="C43" s="35" t="inlineStr">
        <is>
          <t>UU 27 Thn 2022 (PDP)</t>
        </is>
      </c>
      <c r="D43" s="34" t="n"/>
      <c r="E43" s="35" t="inlineStr">
        <is>
          <t>Pasal 16</t>
        </is>
      </c>
      <c r="F43" s="35" t="inlineStr">
        <is>
          <t>BAB V
PEMROSESAN DATA PRIBADI</t>
        </is>
      </c>
      <c r="G43" s="35" t="n"/>
      <c r="H43" s="35" t="inlineStr">
        <is>
          <t>(1)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is>
      </c>
      <c r="I43" s="36" t="n"/>
      <c r="J43" s="36" t="n"/>
      <c r="K43" s="36" t="n"/>
      <c r="L43" s="36" t="n"/>
      <c r="M43" s="36" t="n"/>
      <c r="N43" s="36" t="n"/>
      <c r="O43" s="36" t="n"/>
      <c r="P43" s="37" t="n"/>
      <c r="Q43" s="37" t="n"/>
      <c r="R43" s="30">
        <f>IF(COUNTA(I43:N43)&lt;6,"Lengkapi V4-V9",IF(AND(I43="R0",N43&lt;&gt;"K5"),"R0 harus berpasangan dengan K5",IF(AND(I43="R1",N43&lt;&gt;"K4",N43&lt;&gt;"K5"),"R1 hanya dengan K4 atau K5",IF(AND(I43="R2",N43="K5"),"R2 tidak boleh K5",IF(AND(K43="P9",J43&lt;&gt;"T17"),"P9 hanya dengan T17",IF(AND(J43="T01",K43&lt;&gt;"P6",Q43=""),"Periksa T01-P6: jelaskan di V12",IF(AND(K43="P1",N43&lt;&gt;"K4",Q43=""),"Periksa P1-K4: jelaskan di V12",IF(AND(J43="T99",Q43=""),"Periksa T99: wajib isi V12","OK"))))))))</f>
        <v/>
      </c>
    </row>
    <row r="44" ht="79.84999999999999" customHeight="1" s="21">
      <c r="A44" s="34" t="n">
        <v>44</v>
      </c>
      <c r="B44" s="34">
        <f>IF(Petunjuk!$C$4="","",Petunjuk!$C$4)</f>
        <v/>
      </c>
      <c r="C44" s="35" t="inlineStr">
        <is>
          <t>UU 27 Thn 2022 (PDP)</t>
        </is>
      </c>
      <c r="D44" s="38" t="inlineStr">
        <is>
          <t>Ya</t>
        </is>
      </c>
      <c r="E44" s="35" t="inlineStr">
        <is>
          <t>Pasal 17</t>
        </is>
      </c>
      <c r="F44" s="35" t="inlineStr">
        <is>
          <t>BAB V
PEMROSESAN DATA PRIBADI</t>
        </is>
      </c>
      <c r="G44" s="35" t="n"/>
      <c r="H44" s="35" t="inlineStr">
        <is>
          <t>(1)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is>
      </c>
      <c r="I44" s="36" t="inlineStr">
        <is>
          <t>R1</t>
        </is>
      </c>
      <c r="J44" s="36" t="inlineStr">
        <is>
          <t>T06</t>
        </is>
      </c>
      <c r="K44" s="36" t="inlineStr">
        <is>
          <t>P2</t>
        </is>
      </c>
      <c r="L44" s="36" t="inlineStr">
        <is>
          <t>S9</t>
        </is>
      </c>
      <c r="M44" s="36" t="inlineStr">
        <is>
          <t>F2</t>
        </is>
      </c>
      <c r="N44" s="36" t="inlineStr">
        <is>
          <t>K4</t>
        </is>
      </c>
      <c r="O44" s="36" t="inlineStr">
        <is>
          <t>T12</t>
        </is>
      </c>
      <c r="P44" s="37" t="n"/>
      <c r="Q44" s="37" t="inlineStr">
        <is>
          <t>Teks kehilangan kata/terpotong (ayat 1 huruf b dan c, mis. "tidak digunakan untuk seseorang"), sehingga kalimat kebutuhan tidak dapat ditulis tanpa asumsi: R1. Ayat (1) berupa syarat/kewajiban (P2), ayat (2) pengecualian (P5); seri antarayat, prioritas P2 di atas P5. Tema kedua T12 (ayat 2).</t>
        </is>
      </c>
      <c r="R44" s="30">
        <f>IF(COUNTA(I44:N44)&lt;6,"Lengkapi V4-V9",IF(AND(I44="R0",N44&lt;&gt;"K5"),"R0 harus berpasangan dengan K5",IF(AND(I44="R1",N44&lt;&gt;"K4",N44&lt;&gt;"K5"),"R1 hanya dengan K4 atau K5",IF(AND(I44="R2",N44="K5"),"R2 tidak boleh K5",IF(AND(K44="P9",J44&lt;&gt;"T17"),"P9 hanya dengan T17",IF(AND(J44="T01",K44&lt;&gt;"P6",Q44=""),"Periksa T01-P6: jelaskan di V12",IF(AND(K44="P1",N44&lt;&gt;"K4",Q44=""),"Periksa P1-K4: jelaskan di V12",IF(AND(J44="T99",Q44=""),"Periksa T99: wajib isi V12","OK"))))))))</f>
        <v/>
      </c>
    </row>
    <row r="45" ht="79.84999999999999" customHeight="1" s="21">
      <c r="A45" s="34" t="n">
        <v>45</v>
      </c>
      <c r="B45" s="34">
        <f>IF(Petunjuk!$C$4="","",Petunjuk!$C$4)</f>
        <v/>
      </c>
      <c r="C45" s="35" t="inlineStr">
        <is>
          <t>UU 27 Thn 2022 (PDP)</t>
        </is>
      </c>
      <c r="D45" s="34" t="n"/>
      <c r="E45" s="35" t="inlineStr">
        <is>
          <t>Pasal 18</t>
        </is>
      </c>
      <c r="F45" s="35" t="inlineStr">
        <is>
          <t>BAB V
PEMROSESAN DATA PRIBADI</t>
        </is>
      </c>
      <c r="G45" s="35" t="n"/>
      <c r="H45" s="35" t="inlineStr">
        <is>
          <t>(1)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is>
      </c>
      <c r="I45" s="36" t="n"/>
      <c r="J45" s="36" t="n"/>
      <c r="K45" s="36" t="n"/>
      <c r="L45" s="36" t="n"/>
      <c r="M45" s="36" t="n"/>
      <c r="N45" s="36" t="n"/>
      <c r="O45" s="36" t="n"/>
      <c r="P45" s="37" t="n"/>
      <c r="Q45" s="37" t="n"/>
      <c r="R45" s="30">
        <f>IF(COUNTA(I45:N45)&lt;6,"Lengkapi V4-V9",IF(AND(I45="R0",N45&lt;&gt;"K5"),"R0 harus berpasangan dengan K5",IF(AND(I45="R1",N45&lt;&gt;"K4",N45&lt;&gt;"K5"),"R1 hanya dengan K4 atau K5",IF(AND(I45="R2",N45="K5"),"R2 tidak boleh K5",IF(AND(K45="P9",J45&lt;&gt;"T17"),"P9 hanya dengan T17",IF(AND(J45="T01",K45&lt;&gt;"P6",Q45=""),"Periksa T01-P6: jelaskan di V12",IF(AND(K45="P1",N45&lt;&gt;"K4",Q45=""),"Periksa P1-K4: jelaskan di V12",IF(AND(J45="T99",Q45=""),"Periksa T99: wajib isi V12","OK"))))))))</f>
        <v/>
      </c>
    </row>
    <row r="46" ht="68.65000000000001" customHeight="1" s="21">
      <c r="A46" s="34" t="n">
        <v>46</v>
      </c>
      <c r="B46" s="34">
        <f>IF(Petunjuk!$C$4="","",Petunjuk!$C$4)</f>
        <v/>
      </c>
      <c r="C46" s="35" t="inlineStr">
        <is>
          <t>UU 27 Thn 2022 (PDP)</t>
        </is>
      </c>
      <c r="D46" s="34" t="n"/>
      <c r="E46" s="35" t="inlineStr">
        <is>
          <t>Pasal 19</t>
        </is>
      </c>
      <c r="F46" s="35" t="inlineStr">
        <is>
          <t>BAB VI
KEWAJIBAN PENGENDALI DATA PRIBADI DAN PROSESOR DATA PRIBADI DALAM PEMROSESAN DATA PRIBADI</t>
        </is>
      </c>
      <c r="G46" s="35" t="inlineStr">
        <is>
          <t>Bagian Kesatu
Umum</t>
        </is>
      </c>
      <c r="H46" s="35" t="inlineStr">
        <is>
          <t>Pengendali Data Pribadi dan Prosesor Data Pribadi meliputi: a. Setiap Orang; b. Badan Publik; dan c. Organisasi Internasional.</t>
        </is>
      </c>
      <c r="I46" s="36" t="n"/>
      <c r="J46" s="36" t="n"/>
      <c r="K46" s="36" t="n"/>
      <c r="L46" s="36" t="n"/>
      <c r="M46" s="36" t="n"/>
      <c r="N46" s="36" t="n"/>
      <c r="O46" s="36" t="n"/>
      <c r="P46" s="37" t="n"/>
      <c r="Q46" s="37" t="n"/>
      <c r="R46" s="30">
        <f>IF(COUNTA(I46:N46)&lt;6,"Lengkapi V4-V9",IF(AND(I46="R0",N46&lt;&gt;"K5"),"R0 harus berpasangan dengan K5",IF(AND(I46="R1",N46&lt;&gt;"K4",N46&lt;&gt;"K5"),"R1 hanya dengan K4 atau K5",IF(AND(I46="R2",N46="K5"),"R2 tidak boleh K5",IF(AND(K46="P9",J46&lt;&gt;"T17"),"P9 hanya dengan T17",IF(AND(J46="T01",K46&lt;&gt;"P6",Q46=""),"Periksa T01-P6: jelaskan di V12",IF(AND(K46="P1",N46&lt;&gt;"K4",Q46=""),"Periksa P1-K4: jelaskan di V12",IF(AND(J46="T99",Q46=""),"Periksa T99: wajib isi V12","OK"))))))))</f>
        <v/>
      </c>
    </row>
    <row r="47" ht="147" customHeight="1" s="21">
      <c r="A47" s="34" t="n">
        <v>47</v>
      </c>
      <c r="B47" s="34">
        <f>IF(Petunjuk!$C$4="","",Petunjuk!$C$4)</f>
        <v/>
      </c>
      <c r="C47" s="35" t="inlineStr">
        <is>
          <t>UU 27 Thn 2022 (PDP)</t>
        </is>
      </c>
      <c r="D47" s="34" t="n"/>
      <c r="E47" s="35" t="inlineStr">
        <is>
          <t>Pasal 20</t>
        </is>
      </c>
      <c r="F47" s="35" t="inlineStr">
        <is>
          <t>BAB VI
KEWAJIBAN PENGENDALI DATA PRIBADI DAN PROSESOR DATA PRIBADI DALAM PEMROSESAN DATA PRIBADI</t>
        </is>
      </c>
      <c r="G47" s="35" t="inlineStr">
        <is>
          <t>Bagian Kedua Kewajiban Pengendali Data Pribadi</t>
        </is>
      </c>
      <c r="H47" s="35" t="inlineStr">
        <is>
          <t>(1)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is>
      </c>
      <c r="I47" s="36" t="n"/>
      <c r="J47" s="36" t="n"/>
      <c r="K47" s="36" t="n"/>
      <c r="L47" s="36" t="n"/>
      <c r="M47" s="36" t="n"/>
      <c r="N47" s="36" t="n"/>
      <c r="O47" s="36" t="n"/>
      <c r="P47" s="37" t="n"/>
      <c r="Q47" s="37" t="n"/>
      <c r="R47" s="30">
        <f>IF(COUNTA(I47:N47)&lt;6,"Lengkapi V4-V9",IF(AND(I47="R0",N47&lt;&gt;"K5"),"R0 harus berpasangan dengan K5",IF(AND(I47="R1",N47&lt;&gt;"K4",N47&lt;&gt;"K5"),"R1 hanya dengan K4 atau K5",IF(AND(I47="R2",N47="K5"),"R2 tidak boleh K5",IF(AND(K47="P9",J47&lt;&gt;"T17"),"P9 hanya dengan T17",IF(AND(J47="T01",K47&lt;&gt;"P6",Q47=""),"Periksa T01-P6: jelaskan di V12",IF(AND(K47="P1",N47&lt;&gt;"K4",Q47=""),"Periksa P1-K4: jelaskan di V12",IF(AND(J47="T99",Q47=""),"Periksa T99: wajib isi V12","OK"))))))))</f>
        <v/>
      </c>
    </row>
    <row r="48" ht="91" customHeight="1" s="21">
      <c r="A48" s="34" t="n">
        <v>48</v>
      </c>
      <c r="B48" s="34">
        <f>IF(Petunjuk!$C$4="","",Petunjuk!$C$4)</f>
        <v/>
      </c>
      <c r="C48" s="35" t="inlineStr">
        <is>
          <t>UU 27 Thn 2022 (PDP)</t>
        </is>
      </c>
      <c r="D48" s="34" t="n"/>
      <c r="E48" s="35" t="inlineStr">
        <is>
          <t>Pasal 21</t>
        </is>
      </c>
      <c r="F48" s="35" t="inlineStr">
        <is>
          <t>BAB VI
KEWAJIBAN PENGENDALI DATA PRIBADI DAN PROSESOR DATA PRIBADI DALAM PEMROSESAN DATA PRIBADI</t>
        </is>
      </c>
      <c r="G48" s="35" t="inlineStr">
        <is>
          <t>Bagian Kedua Kewajiban Pengendali Data Pribadi</t>
        </is>
      </c>
      <c r="H48" s="35" t="inlineStr">
        <is>
          <t>(1)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is>
      </c>
      <c r="I48" s="36" t="n"/>
      <c r="J48" s="36" t="n"/>
      <c r="K48" s="36" t="n"/>
      <c r="L48" s="36" t="n"/>
      <c r="M48" s="36" t="n"/>
      <c r="N48" s="36" t="n"/>
      <c r="O48" s="36" t="n"/>
      <c r="P48" s="37" t="n"/>
      <c r="Q48" s="37" t="n"/>
      <c r="R48" s="30">
        <f>IF(COUNTA(I48:N48)&lt;6,"Lengkapi V4-V9",IF(AND(I48="R0",N48&lt;&gt;"K5"),"R0 harus berpasangan dengan K5",IF(AND(I48="R1",N48&lt;&gt;"K4",N48&lt;&gt;"K5"),"R1 hanya dengan K4 atau K5",IF(AND(I48="R2",N48="K5"),"R2 tidak boleh K5",IF(AND(K48="P9",J48&lt;&gt;"T17"),"P9 hanya dengan T17",IF(AND(J48="T01",K48&lt;&gt;"P6",Q48=""),"Periksa T01-P6: jelaskan di V12",IF(AND(K48="P1",N48&lt;&gt;"K4",Q48=""),"Periksa P1-K4: jelaskan di V12",IF(AND(J48="T99",Q48=""),"Periksa T99: wajib isi V12","OK"))))))))</f>
        <v/>
      </c>
    </row>
    <row r="49" ht="102.2" customHeight="1" s="21">
      <c r="A49" s="34" t="n">
        <v>49</v>
      </c>
      <c r="B49" s="34">
        <f>IF(Petunjuk!$C$4="","",Petunjuk!$C$4)</f>
        <v/>
      </c>
      <c r="C49" s="35" t="inlineStr">
        <is>
          <t>UU 27 Thn 2022 (PDP)</t>
        </is>
      </c>
      <c r="D49" s="34" t="n"/>
      <c r="E49" s="35" t="inlineStr">
        <is>
          <t>Pasal 22</t>
        </is>
      </c>
      <c r="F49" s="35" t="inlineStr">
        <is>
          <t>BAB VI
KEWAJIBAN PENGENDALI DATA PRIBADI DAN PROSESOR DATA PRIBADI DALAM PEMROSESAN DATA PRIBADI</t>
        </is>
      </c>
      <c r="G49" s="35" t="inlineStr">
        <is>
          <t>Bagian Kedua Kewajiban Pengendali Data Pribadi</t>
        </is>
      </c>
      <c r="H49" s="35" t="inlineStr">
        <is>
          <t>(1)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is>
      </c>
      <c r="I49" s="36" t="n"/>
      <c r="J49" s="36" t="n"/>
      <c r="K49" s="36" t="n"/>
      <c r="L49" s="36" t="n"/>
      <c r="M49" s="36" t="n"/>
      <c r="N49" s="36" t="n"/>
      <c r="O49" s="36" t="n"/>
      <c r="P49" s="37" t="n"/>
      <c r="Q49" s="37" t="n"/>
      <c r="R49" s="30">
        <f>IF(COUNTA(I49:N49)&lt;6,"Lengkapi V4-V9",IF(AND(I49="R0",N49&lt;&gt;"K5"),"R0 harus berpasangan dengan K5",IF(AND(I49="R1",N49&lt;&gt;"K4",N49&lt;&gt;"K5"),"R1 hanya dengan K4 atau K5",IF(AND(I49="R2",N49="K5"),"R2 tidak boleh K5",IF(AND(K49="P9",J49&lt;&gt;"T17"),"P9 hanya dengan T17",IF(AND(J49="T01",K49&lt;&gt;"P6",Q49=""),"Periksa T01-P6: jelaskan di V12",IF(AND(K49="P1",N49&lt;&gt;"K4",Q49=""),"Periksa P1-K4: jelaskan di V12",IF(AND(J49="T99",Q49=""),"Periksa T99: wajib isi V12","OK"))))))))</f>
        <v/>
      </c>
    </row>
    <row r="50" ht="68.65000000000001" customHeight="1" s="21">
      <c r="A50" s="34" t="n">
        <v>50</v>
      </c>
      <c r="B50" s="34">
        <f>IF(Petunjuk!$C$4="","",Petunjuk!$C$4)</f>
        <v/>
      </c>
      <c r="C50" s="35" t="inlineStr">
        <is>
          <t>UU 27 Thn 2022 (PDP)</t>
        </is>
      </c>
      <c r="D50" s="34" t="n"/>
      <c r="E50" s="35" t="inlineStr">
        <is>
          <t>Pasal 23</t>
        </is>
      </c>
      <c r="F50" s="35" t="inlineStr">
        <is>
          <t>BAB VI
KEWAJIBAN PENGENDALI DATA PRIBADI DAN PROSESOR DATA PRIBADI DALAM PEMROSESAN DATA PRIBADI</t>
        </is>
      </c>
      <c r="G50" s="35" t="inlineStr">
        <is>
          <t>Bagian Kedua Kewajiban Pengendali Data Pribadi</t>
        </is>
      </c>
      <c r="H50" s="35" t="inlineStr">
        <is>
          <t>Klausul perjanjian yang di dalamnya terdapat permintaan pemrosesan Data Pribadi yang tidak memuat persetujuan yang sah secara eksplisit dari Subjek Data Pribadi dinyatakan batal demi hukum.</t>
        </is>
      </c>
      <c r="I50" s="36" t="n"/>
      <c r="J50" s="36" t="n"/>
      <c r="K50" s="36" t="n"/>
      <c r="L50" s="36" t="n"/>
      <c r="M50" s="36" t="n"/>
      <c r="N50" s="36" t="n"/>
      <c r="O50" s="36" t="n"/>
      <c r="P50" s="37" t="n"/>
      <c r="Q50" s="37" t="n"/>
      <c r="R50" s="30">
        <f>IF(COUNTA(I50:N50)&lt;6,"Lengkapi V4-V9",IF(AND(I50="R0",N50&lt;&gt;"K5"),"R0 harus berpasangan dengan K5",IF(AND(I50="R1",N50&lt;&gt;"K4",N50&lt;&gt;"K5"),"R1 hanya dengan K4 atau K5",IF(AND(I50="R2",N50="K5"),"R2 tidak boleh K5",IF(AND(K50="P9",J50&lt;&gt;"T17"),"P9 hanya dengan T17",IF(AND(J50="T01",K50&lt;&gt;"P6",Q50=""),"Periksa T01-P6: jelaskan di V12",IF(AND(K50="P1",N50&lt;&gt;"K4",Q50=""),"Periksa P1-K4: jelaskan di V12",IF(AND(J50="T99",Q50=""),"Periksa T99: wajib isi V12","OK"))))))))</f>
        <v/>
      </c>
    </row>
    <row r="51" ht="68.65000000000001" customHeight="1" s="21">
      <c r="A51" s="34" t="n">
        <v>51</v>
      </c>
      <c r="B51" s="34">
        <f>IF(Petunjuk!$C$4="","",Petunjuk!$C$4)</f>
        <v/>
      </c>
      <c r="C51" s="35" t="inlineStr">
        <is>
          <t>UU 27 Thn 2022 (PDP)</t>
        </is>
      </c>
      <c r="D51" s="34" t="n"/>
      <c r="E51" s="35" t="inlineStr">
        <is>
          <t>Pasal 24</t>
        </is>
      </c>
      <c r="F51" s="35" t="inlineStr">
        <is>
          <t>BAB VI
KEWAJIBAN PENGENDALI DATA PRIBADI DAN PROSESOR DATA PRIBADI DALAM PEMROSESAN DATA PRIBADI</t>
        </is>
      </c>
      <c r="G51" s="35" t="inlineStr">
        <is>
          <t>Bagian Kedua Kewajiban Pengendali Data Pribadi</t>
        </is>
      </c>
      <c r="H51" s="35" t="inlineStr">
        <is>
          <t>Dalam melakukan pemrosesan Data Pribadi, Pengendali Data Pribadi wajib menunjukkan bukti persetujuan yang telah diberikan oleh Subjek Data Pribadi.</t>
        </is>
      </c>
      <c r="I51" s="36" t="n"/>
      <c r="J51" s="36" t="n"/>
      <c r="K51" s="36" t="n"/>
      <c r="L51" s="36" t="n"/>
      <c r="M51" s="36" t="n"/>
      <c r="N51" s="36" t="n"/>
      <c r="O51" s="36" t="n"/>
      <c r="P51" s="37" t="n"/>
      <c r="Q51" s="37" t="n"/>
      <c r="R51" s="30">
        <f>IF(COUNTA(I51:N51)&lt;6,"Lengkapi V4-V9",IF(AND(I51="R0",N51&lt;&gt;"K5"),"R0 harus berpasangan dengan K5",IF(AND(I51="R1",N51&lt;&gt;"K4",N51&lt;&gt;"K5"),"R1 hanya dengan K4 atau K5",IF(AND(I51="R2",N51="K5"),"R2 tidak boleh K5",IF(AND(K51="P9",J51&lt;&gt;"T17"),"P9 hanya dengan T17",IF(AND(J51="T01",K51&lt;&gt;"P6",Q51=""),"Periksa T01-P6: jelaskan di V12",IF(AND(K51="P1",N51&lt;&gt;"K4",Q51=""),"Periksa P1-K4: jelaskan di V12",IF(AND(J51="T99",Q51=""),"Periksa T99: wajib isi V12","OK"))))))))</f>
        <v/>
      </c>
    </row>
    <row r="52" ht="68.65000000000001" customHeight="1" s="21">
      <c r="A52" s="34" t="n">
        <v>52</v>
      </c>
      <c r="B52" s="34">
        <f>IF(Petunjuk!$C$4="","",Petunjuk!$C$4)</f>
        <v/>
      </c>
      <c r="C52" s="35" t="inlineStr">
        <is>
          <t>UU 27 Thn 2022 (PDP)</t>
        </is>
      </c>
      <c r="D52" s="38" t="inlineStr">
        <is>
          <t>Ya</t>
        </is>
      </c>
      <c r="E52" s="35" t="inlineStr">
        <is>
          <t>Pasal 25</t>
        </is>
      </c>
      <c r="F52" s="35" t="inlineStr">
        <is>
          <t>BAB VI
KEWAJIBAN PENGENDALI DATA PRIBADI DAN PROSESOR DATA PRIBADI DALAM PEMROSESAN DATA PRIBADI</t>
        </is>
      </c>
      <c r="G52" s="35" t="inlineStr">
        <is>
          <t>Bagian Kedua Kewajiban Pengendali Data Pribadi</t>
        </is>
      </c>
      <c r="H52" s="35" t="inlineStr">
        <is>
          <t>(1) Pemrosesan Data Pribadi anak secara khusus.(2) Pemrosesan Data Pribadi anak sebagaimana dimaksud pada ayat (1) wajib mendapat persetujuan dari orang tua anak dan/ atau wali anak sesuai dengan ketentuan peraturan perundang-undangan.</t>
        </is>
      </c>
      <c r="I52" s="36" t="inlineStr">
        <is>
          <t>R2</t>
        </is>
      </c>
      <c r="J52" s="36" t="inlineStr">
        <is>
          <t>T07</t>
        </is>
      </c>
      <c r="K52" s="36" t="inlineStr">
        <is>
          <t>P2</t>
        </is>
      </c>
      <c r="L52" s="36" t="inlineStr">
        <is>
          <t>S9</t>
        </is>
      </c>
      <c r="M52" s="36" t="inlineStr">
        <is>
          <t>F1</t>
        </is>
      </c>
      <c r="N52" s="36" t="inlineStr">
        <is>
          <t>K1</t>
        </is>
      </c>
      <c r="O52" s="36" t="n"/>
      <c r="P52" s="37" t="inlineStr">
        <is>
          <t>Sistem harus meminta dan memperoleh persetujuan orang tua dan/atau wali anak sebelum memproses data pribadi anak.</t>
        </is>
      </c>
      <c r="Q52" s="37" t="inlineStr">
        <is>
          <t>Ayat (1) kehilangan kata ("Pemrosesan Data Pribadi anak secara khusus"); dikodekan berdasarkan ayat (2). Tidak ada subjek eksplisit (S9).</t>
        </is>
      </c>
      <c r="R52" s="30">
        <f>IF(COUNTA(I52:N52)&lt;6,"Lengkapi V4-V9",IF(AND(I52="R0",N52&lt;&gt;"K5"),"R0 harus berpasangan dengan K5",IF(AND(I52="R1",N52&lt;&gt;"K4",N52&lt;&gt;"K5"),"R1 hanya dengan K4 atau K5",IF(AND(I52="R2",N52="K5"),"R2 tidak boleh K5",IF(AND(K52="P9",J52&lt;&gt;"T17"),"P9 hanya dengan T17",IF(AND(J52="T01",K52&lt;&gt;"P6",Q52=""),"Periksa T01-P6: jelaskan di V12",IF(AND(K52="P1",N52&lt;&gt;"K4",Q52=""),"Periksa P1-K4: jelaskan di V12",IF(AND(J52="T99",Q52=""),"Periksa T99: wajib isi V12","OK"))))))))</f>
        <v/>
      </c>
    </row>
    <row r="53" ht="68.65000000000001" customHeight="1" s="21">
      <c r="A53" s="34" t="n">
        <v>53</v>
      </c>
      <c r="B53" s="34">
        <f>IF(Petunjuk!$C$4="","",Petunjuk!$C$4)</f>
        <v/>
      </c>
      <c r="C53" s="35" t="inlineStr">
        <is>
          <t>UU 27 Thn 2022 (PDP)</t>
        </is>
      </c>
      <c r="D53" s="34" t="n"/>
      <c r="E53" s="35" t="inlineStr">
        <is>
          <t>Pasal 26</t>
        </is>
      </c>
      <c r="F53" s="35" t="inlineStr">
        <is>
          <t>BAB VI
KEWAJIBAN PENGENDALI DATA PRIBADI DAN PROSESOR DATA PRIBADI DALAM PEMROSESAN DATA PRIBADI</t>
        </is>
      </c>
      <c r="G53" s="35" t="inlineStr">
        <is>
          <t>Bagian Kedua Kewajiban Pengendali Data Pribadi</t>
        </is>
      </c>
      <c r="H53" s="35" t="inlineStr">
        <is>
          <t>(1)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is>
      </c>
      <c r="I53" s="36" t="n"/>
      <c r="J53" s="36" t="n"/>
      <c r="K53" s="36" t="n"/>
      <c r="L53" s="36" t="n"/>
      <c r="M53" s="36" t="n"/>
      <c r="N53" s="36" t="n"/>
      <c r="O53" s="36" t="n"/>
      <c r="P53" s="37" t="n"/>
      <c r="Q53" s="37" t="n"/>
      <c r="R53" s="30">
        <f>IF(COUNTA(I53:N53)&lt;6,"Lengkapi V4-V9",IF(AND(I53="R0",N53&lt;&gt;"K5"),"R0 harus berpasangan dengan K5",IF(AND(I53="R1",N53&lt;&gt;"K4",N53&lt;&gt;"K5"),"R1 hanya dengan K4 atau K5",IF(AND(I53="R2",N53="K5"),"R2 tidak boleh K5",IF(AND(K53="P9",J53&lt;&gt;"T17"),"P9 hanya dengan T17",IF(AND(J53="T01",K53&lt;&gt;"P6",Q53=""),"Periksa T01-P6: jelaskan di V12",IF(AND(K53="P1",N53&lt;&gt;"K4",Q53=""),"Periksa P1-K4: jelaskan di V12",IF(AND(J53="T99",Q53=""),"Periksa T99: wajib isi V12","OK"))))))))</f>
        <v/>
      </c>
    </row>
    <row r="54" ht="68.65000000000001" customHeight="1" s="21">
      <c r="A54" s="34" t="n">
        <v>54</v>
      </c>
      <c r="B54" s="34">
        <f>IF(Petunjuk!$C$4="","",Petunjuk!$C$4)</f>
        <v/>
      </c>
      <c r="C54" s="35" t="inlineStr">
        <is>
          <t>UU 27 Thn 2022 (PDP)</t>
        </is>
      </c>
      <c r="D54" s="38" t="inlineStr">
        <is>
          <t>Ya</t>
        </is>
      </c>
      <c r="E54" s="35" t="inlineStr">
        <is>
          <t>Pasal 27</t>
        </is>
      </c>
      <c r="F54" s="35" t="inlineStr">
        <is>
          <t>BAB VI
KEWAJIBAN PENGENDALI DATA PRIBADI DAN PROSESOR DATA PRIBADI DALAM PEMROSESAN DATA PRIBADI</t>
        </is>
      </c>
      <c r="G54" s="35" t="inlineStr">
        <is>
          <t>Bagian Kedua Kewajiban Pengendali Data Pribadi</t>
        </is>
      </c>
      <c r="H54" s="35" t="inlineStr">
        <is>
          <t>Pengendali Data Pribadi wajib melakukan pemrosesan Data Pribadi secara terbatas dan spesifik, sah secara hukum, dan transparan.</t>
        </is>
      </c>
      <c r="I54" s="36" t="inlineStr">
        <is>
          <t>R2</t>
        </is>
      </c>
      <c r="J54" s="36" t="inlineStr">
        <is>
          <t>T02</t>
        </is>
      </c>
      <c r="K54" s="36" t="inlineStr">
        <is>
          <t>P2</t>
        </is>
      </c>
      <c r="L54" s="36" t="inlineStr">
        <is>
          <t>S1</t>
        </is>
      </c>
      <c r="M54" s="36" t="inlineStr">
        <is>
          <t>F8</t>
        </is>
      </c>
      <c r="N54" s="36" t="inlineStr">
        <is>
          <t>K3</t>
        </is>
      </c>
      <c r="O54" s="36" t="n"/>
      <c r="P54" s="37" t="inlineStr">
        <is>
          <t>Sistem harus memproses data pribadi secara terbatas dan spesifik, sah secara hukum, dan transparan.</t>
        </is>
      </c>
      <c r="Q54" s="37" t="inlineStr">
        <is>
          <t>Prinsip "sah" dan "transparan" masuk T02 (bukan T06). Ragu K3 vs K4; dipilih K3 karena inti teks adalah mutu/tata kelola (transparansi). Tahap F8 karena berlaku lintas tahap.</t>
        </is>
      </c>
      <c r="R54" s="30">
        <f>IF(COUNTA(I54:N54)&lt;6,"Lengkapi V4-V9",IF(AND(I54="R0",N54&lt;&gt;"K5"),"R0 harus berpasangan dengan K5",IF(AND(I54="R1",N54&lt;&gt;"K4",N54&lt;&gt;"K5"),"R1 hanya dengan K4 atau K5",IF(AND(I54="R2",N54="K5"),"R2 tidak boleh K5",IF(AND(K54="P9",J54&lt;&gt;"T17"),"P9 hanya dengan T17",IF(AND(J54="T01",K54&lt;&gt;"P6",Q54=""),"Periksa T01-P6: jelaskan di V12",IF(AND(K54="P1",N54&lt;&gt;"K4",Q54=""),"Periksa P1-K4: jelaskan di V12",IF(AND(J54="T99",Q54=""),"Periksa T99: wajib isi V12","OK"))))))))</f>
        <v/>
      </c>
    </row>
    <row r="55" ht="68.65000000000001" customHeight="1" s="21">
      <c r="A55" s="34" t="n">
        <v>55</v>
      </c>
      <c r="B55" s="34">
        <f>IF(Petunjuk!$C$4="","",Petunjuk!$C$4)</f>
        <v/>
      </c>
      <c r="C55" s="35" t="inlineStr">
        <is>
          <t>UU 27 Thn 2022 (PDP)</t>
        </is>
      </c>
      <c r="D55" s="34" t="n"/>
      <c r="E55" s="35" t="inlineStr">
        <is>
          <t>Pasal 28</t>
        </is>
      </c>
      <c r="F55" s="35" t="inlineStr">
        <is>
          <t>BAB VI
KEWAJIBAN PENGENDALI DATA PRIBADI DAN PROSESOR DATA PRIBADI DALAM PEMROSESAN DATA PRIBADI</t>
        </is>
      </c>
      <c r="G55" s="35" t="inlineStr">
        <is>
          <t>Bagian Kedua Kewajiban Pengendali Data Pribadi</t>
        </is>
      </c>
      <c r="H55" s="35" t="inlineStr">
        <is>
          <t>Pengendali Data Pribadi wajib melakukan pemrosesan Data Pribadi sesuai dengan tujuan pemrosesan Data Pribadi.</t>
        </is>
      </c>
      <c r="I55" s="36" t="n"/>
      <c r="J55" s="36" t="n"/>
      <c r="K55" s="36" t="n"/>
      <c r="L55" s="36" t="n"/>
      <c r="M55" s="36" t="n"/>
      <c r="N55" s="36" t="n"/>
      <c r="O55" s="36" t="n"/>
      <c r="P55" s="37" t="n"/>
      <c r="Q55" s="37" t="n"/>
      <c r="R55" s="30">
        <f>IF(COUNTA(I55:N55)&lt;6,"Lengkapi V4-V9",IF(AND(I55="R0",N55&lt;&gt;"K5"),"R0 harus berpasangan dengan K5",IF(AND(I55="R1",N55&lt;&gt;"K4",N55&lt;&gt;"K5"),"R1 hanya dengan K4 atau K5",IF(AND(I55="R2",N55="K5"),"R2 tidak boleh K5",IF(AND(K55="P9",J55&lt;&gt;"T17"),"P9 hanya dengan T17",IF(AND(J55="T01",K55&lt;&gt;"P6",Q55=""),"Periksa T01-P6: jelaskan di V12",IF(AND(K55="P1",N55&lt;&gt;"K4",Q55=""),"Periksa P1-K4: jelaskan di V12",IF(AND(J55="T99",Q55=""),"Periksa T99: wajib isi V12","OK"))))))))</f>
        <v/>
      </c>
    </row>
    <row r="56" ht="68.65000000000001" customHeight="1" s="21">
      <c r="A56" s="34" t="n">
        <v>56</v>
      </c>
      <c r="B56" s="34">
        <f>IF(Petunjuk!$C$4="","",Petunjuk!$C$4)</f>
        <v/>
      </c>
      <c r="C56" s="35" t="inlineStr">
        <is>
          <t>UU 27 Thn 2022 (PDP)</t>
        </is>
      </c>
      <c r="D56" s="38" t="inlineStr">
        <is>
          <t>Ya</t>
        </is>
      </c>
      <c r="E56" s="35" t="inlineStr">
        <is>
          <t>Pasal 29</t>
        </is>
      </c>
      <c r="F56" s="35" t="inlineStr">
        <is>
          <t>BAB VI
KEWAJIBAN PENGENDALI DATA PRIBADI DAN PROSESOR DATA PRIBADI DALAM PEMROSESAN DATA PRIBADI</t>
        </is>
      </c>
      <c r="G56" s="35" t="inlineStr">
        <is>
          <t>Bagian Kedua Kewajiban Pengendali Data Pribadi</t>
        </is>
      </c>
      <c r="H56" s="35" t="inlineStr">
        <is>
          <t>(1)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is>
      </c>
      <c r="I56" s="36" t="inlineStr">
        <is>
          <t>R2</t>
        </is>
      </c>
      <c r="J56" s="36" t="inlineStr">
        <is>
          <t>T08</t>
        </is>
      </c>
      <c r="K56" s="36" t="inlineStr">
        <is>
          <t>P2</t>
        </is>
      </c>
      <c r="L56" s="36" t="inlineStr">
        <is>
          <t>S1</t>
        </is>
      </c>
      <c r="M56" s="36" t="inlineStr">
        <is>
          <t>F3</t>
        </is>
      </c>
      <c r="N56" s="36" t="inlineStr">
        <is>
          <t>K3</t>
        </is>
      </c>
      <c r="O56" s="36" t="n"/>
      <c r="P56" s="37" t="inlineStr">
        <is>
          <t>Sistem harus memastikan akurasi, kelengkapan, dan konsistensi data pribadi serta melakukan verifikasi data.</t>
        </is>
      </c>
      <c r="Q56" s="37" t="n"/>
      <c r="R56" s="30">
        <f>IF(COUNTA(I56:N56)&lt;6,"Lengkapi V4-V9",IF(AND(I56="R0",N56&lt;&gt;"K5"),"R0 harus berpasangan dengan K5",IF(AND(I56="R1",N56&lt;&gt;"K4",N56&lt;&gt;"K5"),"R1 hanya dengan K4 atau K5",IF(AND(I56="R2",N56="K5"),"R2 tidak boleh K5",IF(AND(K56="P9",J56&lt;&gt;"T17"),"P9 hanya dengan T17",IF(AND(J56="T01",K56&lt;&gt;"P6",Q56=""),"Periksa T01-P6: jelaskan di V12",IF(AND(K56="P1",N56&lt;&gt;"K4",Q56=""),"Periksa P1-K4: jelaskan di V12",IF(AND(J56="T99",Q56=""),"Periksa T99: wajib isi V12","OK"))))))))</f>
        <v/>
      </c>
    </row>
    <row r="57" ht="68.65000000000001" customHeight="1" s="21">
      <c r="A57" s="34" t="n">
        <v>57</v>
      </c>
      <c r="B57" s="34">
        <f>IF(Petunjuk!$C$4="","",Petunjuk!$C$4)</f>
        <v/>
      </c>
      <c r="C57" s="35" t="inlineStr">
        <is>
          <t>UU 27 Thn 2022 (PDP)</t>
        </is>
      </c>
      <c r="D57" s="34" t="n"/>
      <c r="E57" s="35" t="inlineStr">
        <is>
          <t>Pasal 30</t>
        </is>
      </c>
      <c r="F57" s="35" t="inlineStr">
        <is>
          <t>BAB VI
KEWAJIBAN PENGENDALI DATA PRIBADI DAN PROSESOR DATA PRIBADI DALAM PEMROSESAN DATA PRIBADI</t>
        </is>
      </c>
      <c r="G57" s="35" t="inlineStr">
        <is>
          <t>Bagian Kedua Kewajiban Pengendali Data Pribadi</t>
        </is>
      </c>
      <c r="H57" s="35" t="inlineStr">
        <is>
          <t>(1)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is>
      </c>
      <c r="I57" s="36" t="n"/>
      <c r="J57" s="36" t="n"/>
      <c r="K57" s="36" t="n"/>
      <c r="L57" s="36" t="n"/>
      <c r="M57" s="36" t="n"/>
      <c r="N57" s="36" t="n"/>
      <c r="O57" s="36" t="n"/>
      <c r="P57" s="37" t="n"/>
      <c r="Q57" s="37" t="n"/>
      <c r="R57" s="30">
        <f>IF(COUNTA(I57:N57)&lt;6,"Lengkapi V4-V9",IF(AND(I57="R0",N57&lt;&gt;"K5"),"R0 harus berpasangan dengan K5",IF(AND(I57="R1",N57&lt;&gt;"K4",N57&lt;&gt;"K5"),"R1 hanya dengan K4 atau K5",IF(AND(I57="R2",N57="K5"),"R2 tidak boleh K5",IF(AND(K57="P9",J57&lt;&gt;"T17"),"P9 hanya dengan T17",IF(AND(J57="T01",K57&lt;&gt;"P6",Q57=""),"Periksa T01-P6: jelaskan di V12",IF(AND(K57="P1",N57&lt;&gt;"K4",Q57=""),"Periksa P1-K4: jelaskan di V12",IF(AND(J57="T99",Q57=""),"Periksa T99: wajib isi V12","OK"))))))))</f>
        <v/>
      </c>
    </row>
    <row r="58" ht="68.65000000000001" customHeight="1" s="21">
      <c r="A58" s="34" t="n">
        <v>58</v>
      </c>
      <c r="B58" s="34">
        <f>IF(Petunjuk!$C$4="","",Petunjuk!$C$4)</f>
        <v/>
      </c>
      <c r="C58" s="35" t="inlineStr">
        <is>
          <t>UU 27 Thn 2022 (PDP)</t>
        </is>
      </c>
      <c r="D58" s="34" t="n"/>
      <c r="E58" s="35" t="inlineStr">
        <is>
          <t>Pasal 31</t>
        </is>
      </c>
      <c r="F58" s="35" t="inlineStr">
        <is>
          <t>BAB VI
KEWAJIBAN PENGENDALI DATA PRIBADI DAN PROSESOR DATA PRIBADI DALAM PEMROSESAN DATA PRIBADI</t>
        </is>
      </c>
      <c r="G58" s="35" t="inlineStr">
        <is>
          <t>Bagian Kedua Kewajiban Pengendali Data Pribadi</t>
        </is>
      </c>
      <c r="H58" s="35" t="inlineStr">
        <is>
          <t>Pengendali Data Pribadi wajib melakukan perekaman terhadap seluruh kegiatan pemrosesan Data Pribadi.</t>
        </is>
      </c>
      <c r="I58" s="36" t="n"/>
      <c r="J58" s="36" t="n"/>
      <c r="K58" s="36" t="n"/>
      <c r="L58" s="36" t="n"/>
      <c r="M58" s="36" t="n"/>
      <c r="N58" s="36" t="n"/>
      <c r="O58" s="36" t="n"/>
      <c r="P58" s="37" t="n"/>
      <c r="Q58" s="37" t="n"/>
      <c r="R58" s="30">
        <f>IF(COUNTA(I58:N58)&lt;6,"Lengkapi V4-V9",IF(AND(I58="R0",N58&lt;&gt;"K5"),"R0 harus berpasangan dengan K5",IF(AND(I58="R1",N58&lt;&gt;"K4",N58&lt;&gt;"K5"),"R1 hanya dengan K4 atau K5",IF(AND(I58="R2",N58="K5"),"R2 tidak boleh K5",IF(AND(K58="P9",J58&lt;&gt;"T17"),"P9 hanya dengan T17",IF(AND(J58="T01",K58&lt;&gt;"P6",Q58=""),"Periksa T01-P6: jelaskan di V12",IF(AND(K58="P1",N58&lt;&gt;"K4",Q58=""),"Periksa P1-K4: jelaskan di V12",IF(AND(J58="T99",Q58=""),"Periksa T99: wajib isi V12","OK"))))))))</f>
        <v/>
      </c>
    </row>
    <row r="59" ht="68.65000000000001" customHeight="1" s="21">
      <c r="A59" s="34" t="n">
        <v>59</v>
      </c>
      <c r="B59" s="34">
        <f>IF(Petunjuk!$C$4="","",Petunjuk!$C$4)</f>
        <v/>
      </c>
      <c r="C59" s="35" t="inlineStr">
        <is>
          <t>UU 27 Thn 2022 (PDP)</t>
        </is>
      </c>
      <c r="D59" s="34" t="n"/>
      <c r="E59" s="35" t="inlineStr">
        <is>
          <t>Pasal 32</t>
        </is>
      </c>
      <c r="F59" s="35" t="inlineStr">
        <is>
          <t>BAB VI
KEWAJIBAN PENGENDALI DATA PRIBADI DAN PROSESOR DATA PRIBADI DALAM PEMROSESAN DATA PRIBADI</t>
        </is>
      </c>
      <c r="G59" s="35" t="inlineStr">
        <is>
          <t>Bagian Kedua Kewajiban Pengendali Data Pribadi</t>
        </is>
      </c>
      <c r="H59" s="35" t="inlineStr">
        <is>
          <t>(1)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is>
      </c>
      <c r="I59" s="36" t="n"/>
      <c r="J59" s="36" t="n"/>
      <c r="K59" s="36" t="n"/>
      <c r="L59" s="36" t="n"/>
      <c r="M59" s="36" t="n"/>
      <c r="N59" s="36" t="n"/>
      <c r="O59" s="36" t="n"/>
      <c r="P59" s="37" t="n"/>
      <c r="Q59" s="37" t="n"/>
      <c r="R59" s="30">
        <f>IF(COUNTA(I59:N59)&lt;6,"Lengkapi V4-V9",IF(AND(I59="R0",N59&lt;&gt;"K5"),"R0 harus berpasangan dengan K5",IF(AND(I59="R1",N59&lt;&gt;"K4",N59&lt;&gt;"K5"),"R1 hanya dengan K4 atau K5",IF(AND(I59="R2",N59="K5"),"R2 tidak boleh K5",IF(AND(K59="P9",J59&lt;&gt;"T17"),"P9 hanya dengan T17",IF(AND(J59="T01",K59&lt;&gt;"P6",Q59=""),"Periksa T01-P6: jelaskan di V12",IF(AND(K59="P1",N59&lt;&gt;"K4",Q59=""),"Periksa P1-K4: jelaskan di V12",IF(AND(J59="T99",Q59=""),"Periksa T99: wajib isi V12","OK"))))))))</f>
        <v/>
      </c>
    </row>
    <row r="60" ht="68.65000000000001" customHeight="1" s="21">
      <c r="A60" s="34" t="n">
        <v>60</v>
      </c>
      <c r="B60" s="34">
        <f>IF(Petunjuk!$C$4="","",Petunjuk!$C$4)</f>
        <v/>
      </c>
      <c r="C60" s="35" t="inlineStr">
        <is>
          <t>UU 27 Thn 2022 (PDP)</t>
        </is>
      </c>
      <c r="D60" s="34" t="n"/>
      <c r="E60" s="35" t="inlineStr">
        <is>
          <t>Pasal 33</t>
        </is>
      </c>
      <c r="F60" s="35" t="inlineStr">
        <is>
          <t>BAB VI
KEWAJIBAN PENGENDALI DATA PRIBADI DAN PROSESOR DATA PRIBADI DALAM PEMROSESAN DATA PRIBADI</t>
        </is>
      </c>
      <c r="G60" s="35" t="inlineStr">
        <is>
          <t>Bagian Kedua Kewajiban Pengendali Data Pribadi</t>
        </is>
      </c>
      <c r="H60" s="35" t="inlineStr">
        <is>
          <t>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is>
      </c>
      <c r="I60" s="36" t="n"/>
      <c r="J60" s="36" t="n"/>
      <c r="K60" s="36" t="n"/>
      <c r="L60" s="36" t="n"/>
      <c r="M60" s="36" t="n"/>
      <c r="N60" s="36" t="n"/>
      <c r="O60" s="36" t="n"/>
      <c r="P60" s="37" t="n"/>
      <c r="Q60" s="37" t="n"/>
      <c r="R60" s="30">
        <f>IF(COUNTA(I60:N60)&lt;6,"Lengkapi V4-V9",IF(AND(I60="R0",N60&lt;&gt;"K5"),"R0 harus berpasangan dengan K5",IF(AND(I60="R1",N60&lt;&gt;"K4",N60&lt;&gt;"K5"),"R1 hanya dengan K4 atau K5",IF(AND(I60="R2",N60="K5"),"R2 tidak boleh K5",IF(AND(K60="P9",J60&lt;&gt;"T17"),"P9 hanya dengan T17",IF(AND(J60="T01",K60&lt;&gt;"P6",Q60=""),"Periksa T01-P6: jelaskan di V12",IF(AND(K60="P1",N60&lt;&gt;"K4",Q60=""),"Periksa P1-K4: jelaskan di V12",IF(AND(J60="T99",Q60=""),"Periksa T99: wajib isi V12","OK"))))))))</f>
        <v/>
      </c>
    </row>
    <row r="61" ht="135.8" customHeight="1" s="21">
      <c r="A61" s="34" t="n">
        <v>61</v>
      </c>
      <c r="B61" s="34">
        <f>IF(Petunjuk!$C$4="","",Petunjuk!$C$4)</f>
        <v/>
      </c>
      <c r="C61" s="35" t="inlineStr">
        <is>
          <t>UU 27 Thn 2022 (PDP)</t>
        </is>
      </c>
      <c r="D61" s="34" t="n"/>
      <c r="E61" s="35" t="inlineStr">
        <is>
          <t>Pasal 34</t>
        </is>
      </c>
      <c r="F61" s="35" t="inlineStr">
        <is>
          <t>BAB VI
KEWAJIBAN PENGENDALI DATA PRIBADI DAN PROSESOR DATA PRIBADI DALAM PEMROSESAN DATA PRIBADI</t>
        </is>
      </c>
      <c r="G61" s="35" t="inlineStr">
        <is>
          <t>Bagian Kedua
Kewajiban Pengendali Data Pribadi</t>
        </is>
      </c>
      <c r="H61" s="35" t="inlineStr">
        <is>
          <t>(1)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is>
      </c>
      <c r="I61" s="36" t="n"/>
      <c r="J61" s="36" t="n"/>
      <c r="K61" s="36" t="n"/>
      <c r="L61" s="36" t="n"/>
      <c r="M61" s="36" t="n"/>
      <c r="N61" s="36" t="n"/>
      <c r="O61" s="36" t="n"/>
      <c r="P61" s="37" t="n"/>
      <c r="Q61" s="37" t="n"/>
      <c r="R61" s="30">
        <f>IF(COUNTA(I61:N61)&lt;6,"Lengkapi V4-V9",IF(AND(I61="R0",N61&lt;&gt;"K5"),"R0 harus berpasangan dengan K5",IF(AND(I61="R1",N61&lt;&gt;"K4",N61&lt;&gt;"K5"),"R1 hanya dengan K4 atau K5",IF(AND(I61="R2",N61="K5"),"R2 tidak boleh K5",IF(AND(K61="P9",J61&lt;&gt;"T17"),"P9 hanya dengan T17",IF(AND(J61="T01",K61&lt;&gt;"P6",Q61=""),"Periksa T01-P6: jelaskan di V12",IF(AND(K61="P1",N61&lt;&gt;"K4",Q61=""),"Periksa P1-K4: jelaskan di V12",IF(AND(J61="T99",Q61=""),"Periksa T99: wajib isi V12","OK"))))))))</f>
        <v/>
      </c>
    </row>
    <row r="62" ht="68.65000000000001" customHeight="1" s="21">
      <c r="A62" s="34" t="n">
        <v>62</v>
      </c>
      <c r="B62" s="34">
        <f>IF(Petunjuk!$C$4="","",Petunjuk!$C$4)</f>
        <v/>
      </c>
      <c r="C62" s="35" t="inlineStr">
        <is>
          <t>UU 27 Thn 2022 (PDP)</t>
        </is>
      </c>
      <c r="D62" s="34" t="n"/>
      <c r="E62" s="35" t="inlineStr">
        <is>
          <t>Pasal 35</t>
        </is>
      </c>
      <c r="F62" s="35" t="inlineStr">
        <is>
          <t>BAB VI
KEWAJIBAN PENGENDALI DATA PRIBADI DAN PROSESOR DATA PRIBADI DALAM PEMROSESAN DATA PRIBADI</t>
        </is>
      </c>
      <c r="G62" s="35" t="inlineStr">
        <is>
          <t>Bagian Kedua
Kewajiban Pengendali Data Pribadi</t>
        </is>
      </c>
      <c r="H62" s="35" t="inlineStr">
        <is>
          <t>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is>
      </c>
      <c r="I62" s="36" t="n"/>
      <c r="J62" s="36" t="n"/>
      <c r="K62" s="36" t="n"/>
      <c r="L62" s="36" t="n"/>
      <c r="M62" s="36" t="n"/>
      <c r="N62" s="36" t="n"/>
      <c r="O62" s="36" t="n"/>
      <c r="P62" s="37" t="n"/>
      <c r="Q62" s="37" t="n"/>
      <c r="R62" s="30">
        <f>IF(COUNTA(I62:N62)&lt;6,"Lengkapi V4-V9",IF(AND(I62="R0",N62&lt;&gt;"K5"),"R0 harus berpasangan dengan K5",IF(AND(I62="R1",N62&lt;&gt;"K4",N62&lt;&gt;"K5"),"R1 hanya dengan K4 atau K5",IF(AND(I62="R2",N62="K5"),"R2 tidak boleh K5",IF(AND(K62="P9",J62&lt;&gt;"T17"),"P9 hanya dengan T17",IF(AND(J62="T01",K62&lt;&gt;"P6",Q62=""),"Periksa T01-P6: jelaskan di V12",IF(AND(K62="P1",N62&lt;&gt;"K4",Q62=""),"Periksa P1-K4: jelaskan di V12",IF(AND(J62="T99",Q62=""),"Periksa T99: wajib isi V12","OK"))))))))</f>
        <v/>
      </c>
    </row>
    <row r="63" ht="68.65000000000001" customHeight="1" s="21">
      <c r="A63" s="34" t="n">
        <v>63</v>
      </c>
      <c r="B63" s="34">
        <f>IF(Petunjuk!$C$4="","",Petunjuk!$C$4)</f>
        <v/>
      </c>
      <c r="C63" s="35" t="inlineStr">
        <is>
          <t>UU 27 Thn 2022 (PDP)</t>
        </is>
      </c>
      <c r="D63" s="34" t="n"/>
      <c r="E63" s="35" t="inlineStr">
        <is>
          <t>Pasal 36</t>
        </is>
      </c>
      <c r="F63" s="35" t="inlineStr">
        <is>
          <t>BAB VI
KEWAJIBAN PENGENDALI DATA PRIBADI DAN PROSESOR DATA PRIBADI DALAM PEMROSESAN DATA PRIBADI</t>
        </is>
      </c>
      <c r="G63" s="35" t="inlineStr">
        <is>
          <t>Bagian Kedua
Kewajiban Pengendali Data Pribadi</t>
        </is>
      </c>
      <c r="H63" s="35" t="inlineStr">
        <is>
          <t>Dalam melakukan pemrosesan Data Pribadi, Pengendali Data Pribadi wajib menjaga kerahasiaan Data Pribadi.</t>
        </is>
      </c>
      <c r="I63" s="36" t="n"/>
      <c r="J63" s="36" t="n"/>
      <c r="K63" s="36" t="n"/>
      <c r="L63" s="36" t="n"/>
      <c r="M63" s="36" t="n"/>
      <c r="N63" s="36" t="n"/>
      <c r="O63" s="36" t="n"/>
      <c r="P63" s="37" t="n"/>
      <c r="Q63" s="37" t="n"/>
      <c r="R63" s="30">
        <f>IF(COUNTA(I63:N63)&lt;6,"Lengkapi V4-V9",IF(AND(I63="R0",N63&lt;&gt;"K5"),"R0 harus berpasangan dengan K5",IF(AND(I63="R1",N63&lt;&gt;"K4",N63&lt;&gt;"K5"),"R1 hanya dengan K4 atau K5",IF(AND(I63="R2",N63="K5"),"R2 tidak boleh K5",IF(AND(K63="P9",J63&lt;&gt;"T17"),"P9 hanya dengan T17",IF(AND(J63="T01",K63&lt;&gt;"P6",Q63=""),"Periksa T01-P6: jelaskan di V12",IF(AND(K63="P1",N63&lt;&gt;"K4",Q63=""),"Periksa P1-K4: jelaskan di V12",IF(AND(J63="T99",Q63=""),"Periksa T99: wajib isi V12","OK"))))))))</f>
        <v/>
      </c>
    </row>
    <row r="64" ht="68.65000000000001" customHeight="1" s="21">
      <c r="A64" s="34" t="n">
        <v>64</v>
      </c>
      <c r="B64" s="34">
        <f>IF(Petunjuk!$C$4="","",Petunjuk!$C$4)</f>
        <v/>
      </c>
      <c r="C64" s="35" t="inlineStr">
        <is>
          <t>UU 27 Thn 2022 (PDP)</t>
        </is>
      </c>
      <c r="D64" s="34" t="n"/>
      <c r="E64" s="35" t="inlineStr">
        <is>
          <t>Pasal 37</t>
        </is>
      </c>
      <c r="F64" s="35" t="inlineStr">
        <is>
          <t>BAB VI
KEWAJIBAN PENGENDALI DATA PRIBADI DAN PROSESOR DATA PRIBADI DALAM PEMROSESAN DATA PRIBADI</t>
        </is>
      </c>
      <c r="G64" s="35" t="inlineStr">
        <is>
          <t>Bagian Kedua
Kewajiban Pengendali Data Pribadi</t>
        </is>
      </c>
      <c r="H64" s="35" t="inlineStr">
        <is>
          <t>Pengendali Data Pribadi wajib melakukan pengawasan terhadap setiap pihak yang terlibat dalam pemrosesan Data Pribadi di bawah kendali Pengendali Data Pribadi.</t>
        </is>
      </c>
      <c r="I64" s="36" t="n"/>
      <c r="J64" s="36" t="n"/>
      <c r="K64" s="36" t="n"/>
      <c r="L64" s="36" t="n"/>
      <c r="M64" s="36" t="n"/>
      <c r="N64" s="36" t="n"/>
      <c r="O64" s="36" t="n"/>
      <c r="P64" s="37" t="n"/>
      <c r="Q64" s="37" t="n"/>
      <c r="R64" s="30">
        <f>IF(COUNTA(I64:N64)&lt;6,"Lengkapi V4-V9",IF(AND(I64="R0",N64&lt;&gt;"K5"),"R0 harus berpasangan dengan K5",IF(AND(I64="R1",N64&lt;&gt;"K4",N64&lt;&gt;"K5"),"R1 hanya dengan K4 atau K5",IF(AND(I64="R2",N64="K5"),"R2 tidak boleh K5",IF(AND(K64="P9",J64&lt;&gt;"T17"),"P9 hanya dengan T17",IF(AND(J64="T01",K64&lt;&gt;"P6",Q64=""),"Periksa T01-P6: jelaskan di V12",IF(AND(K64="P1",N64&lt;&gt;"K4",Q64=""),"Periksa P1-K4: jelaskan di V12",IF(AND(J64="T99",Q64=""),"Periksa T99: wajib isi V12","OK"))))))))</f>
        <v/>
      </c>
    </row>
    <row r="65" ht="68.65000000000001" customHeight="1" s="21">
      <c r="A65" s="34" t="n">
        <v>65</v>
      </c>
      <c r="B65" s="34">
        <f>IF(Petunjuk!$C$4="","",Petunjuk!$C$4)</f>
        <v/>
      </c>
      <c r="C65" s="35" t="inlineStr">
        <is>
          <t>UU 27 Thn 2022 (PDP)</t>
        </is>
      </c>
      <c r="D65" s="34" t="n"/>
      <c r="E65" s="35" t="inlineStr">
        <is>
          <t>Pasal 38</t>
        </is>
      </c>
      <c r="F65" s="35" t="inlineStr">
        <is>
          <t>BAB VI
KEWAJIBAN PENGENDALI DATA PRIBADI DAN PROSESOR DATA PRIBADI DALAM PEMROSESAN DATA PRIBADI</t>
        </is>
      </c>
      <c r="G65" s="35" t="inlineStr">
        <is>
          <t>Bagian Kedua
Kewajiban Pengendali Data Pribadi</t>
        </is>
      </c>
      <c r="H65" s="35" t="inlineStr">
        <is>
          <t>Pengendali Data Pribadi wajib melindungi Data Pribadi dari pemrosesan yang tidak sah.</t>
        </is>
      </c>
      <c r="I65" s="36" t="n"/>
      <c r="J65" s="36" t="n"/>
      <c r="K65" s="36" t="n"/>
      <c r="L65" s="36" t="n"/>
      <c r="M65" s="36" t="n"/>
      <c r="N65" s="36" t="n"/>
      <c r="O65" s="36" t="n"/>
      <c r="P65" s="37" t="n"/>
      <c r="Q65" s="37" t="n"/>
      <c r="R65" s="30">
        <f>IF(COUNTA(I65:N65)&lt;6,"Lengkapi V4-V9",IF(AND(I65="R0",N65&lt;&gt;"K5"),"R0 harus berpasangan dengan K5",IF(AND(I65="R1",N65&lt;&gt;"K4",N65&lt;&gt;"K5"),"R1 hanya dengan K4 atau K5",IF(AND(I65="R2",N65="K5"),"R2 tidak boleh K5",IF(AND(K65="P9",J65&lt;&gt;"T17"),"P9 hanya dengan T17",IF(AND(J65="T01",K65&lt;&gt;"P6",Q65=""),"Periksa T01-P6: jelaskan di V12",IF(AND(K65="P1",N65&lt;&gt;"K4",Q65=""),"Periksa P1-K4: jelaskan di V12",IF(AND(J65="T99",Q65=""),"Periksa T99: wajib isi V12","OK"))))))))</f>
        <v/>
      </c>
    </row>
    <row r="66" ht="68.65000000000001" customHeight="1" s="21">
      <c r="A66" s="34" t="n">
        <v>66</v>
      </c>
      <c r="B66" s="34">
        <f>IF(Petunjuk!$C$4="","",Petunjuk!$C$4)</f>
        <v/>
      </c>
      <c r="C66" s="35" t="inlineStr">
        <is>
          <t>UU 27 Thn 2022 (PDP)</t>
        </is>
      </c>
      <c r="D66" s="34" t="n"/>
      <c r="E66" s="35" t="inlineStr">
        <is>
          <t>Pasal 39</t>
        </is>
      </c>
      <c r="F66" s="35" t="inlineStr">
        <is>
          <t>BAB VI
KEWAJIBAN PENGENDALI DATA PRIBADI DAN PROSESOR DATA PRIBADI DALAM PEMROSESAN DATA PRIBADI</t>
        </is>
      </c>
      <c r="G66" s="35" t="inlineStr">
        <is>
          <t>Bagian Kedua
Kewajiban Pengendali Data Pribadi</t>
        </is>
      </c>
      <c r="H66" s="35" t="inlineStr">
        <is>
          <t>(1)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is>
      </c>
      <c r="I66" s="36" t="n"/>
      <c r="J66" s="36" t="n"/>
      <c r="K66" s="36" t="n"/>
      <c r="L66" s="36" t="n"/>
      <c r="M66" s="36" t="n"/>
      <c r="N66" s="36" t="n"/>
      <c r="O66" s="36" t="n"/>
      <c r="P66" s="37" t="n"/>
      <c r="Q66" s="37" t="n"/>
      <c r="R66" s="30">
        <f>IF(COUNTA(I66:N66)&lt;6,"Lengkapi V4-V9",IF(AND(I66="R0",N66&lt;&gt;"K5"),"R0 harus berpasangan dengan K5",IF(AND(I66="R1",N66&lt;&gt;"K4",N66&lt;&gt;"K5"),"R1 hanya dengan K4 atau K5",IF(AND(I66="R2",N66="K5"),"R2 tidak boleh K5",IF(AND(K66="P9",J66&lt;&gt;"T17"),"P9 hanya dengan T17",IF(AND(J66="T01",K66&lt;&gt;"P6",Q66=""),"Periksa T01-P6: jelaskan di V12",IF(AND(K66="P1",N66&lt;&gt;"K4",Q66=""),"Periksa P1-K4: jelaskan di V12",IF(AND(J66="T99",Q66=""),"Periksa T99: wajib isi V12","OK"))))))))</f>
        <v/>
      </c>
    </row>
    <row r="67" ht="68.65000000000001" customHeight="1" s="21">
      <c r="A67" s="34" t="n">
        <v>67</v>
      </c>
      <c r="B67" s="34">
        <f>IF(Petunjuk!$C$4="","",Petunjuk!$C$4)</f>
        <v/>
      </c>
      <c r="C67" s="35" t="inlineStr">
        <is>
          <t>UU 27 Thn 2022 (PDP)</t>
        </is>
      </c>
      <c r="D67" s="34" t="n"/>
      <c r="E67" s="35" t="inlineStr">
        <is>
          <t>Pasal 40</t>
        </is>
      </c>
      <c r="F67" s="35" t="inlineStr">
        <is>
          <t>BAB VI
KEWAJIBAN PENGENDALI DATA PRIBADI DAN PROSESOR DATA PRIBADI DALAM PEMROSESAN DATA PRIBADI</t>
        </is>
      </c>
      <c r="G67" s="35" t="inlineStr">
        <is>
          <t>Bagian Kedua
Kewajiban Pengendali Data Pribadi</t>
        </is>
      </c>
      <c r="H67" s="35" t="inlineStr">
        <is>
          <t>(1)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is>
      </c>
      <c r="I67" s="36" t="n"/>
      <c r="J67" s="36" t="n"/>
      <c r="K67" s="36" t="n"/>
      <c r="L67" s="36" t="n"/>
      <c r="M67" s="36" t="n"/>
      <c r="N67" s="36" t="n"/>
      <c r="O67" s="36" t="n"/>
      <c r="P67" s="37" t="n"/>
      <c r="Q67" s="37" t="n"/>
      <c r="R67" s="30">
        <f>IF(COUNTA(I67:N67)&lt;6,"Lengkapi V4-V9",IF(AND(I67="R0",N67&lt;&gt;"K5"),"R0 harus berpasangan dengan K5",IF(AND(I67="R1",N67&lt;&gt;"K4",N67&lt;&gt;"K5"),"R1 hanya dengan K4 atau K5",IF(AND(I67="R2",N67="K5"),"R2 tidak boleh K5",IF(AND(K67="P9",J67&lt;&gt;"T17"),"P9 hanya dengan T17",IF(AND(J67="T01",K67&lt;&gt;"P6",Q67=""),"Periksa T01-P6: jelaskan di V12",IF(AND(K67="P1",N67&lt;&gt;"K4",Q67=""),"Periksa P1-K4: jelaskan di V12",IF(AND(J67="T99",Q67=""),"Periksa T99: wajib isi V12","OK"))))))))</f>
        <v/>
      </c>
    </row>
    <row r="68" ht="124.6" customHeight="1" s="21">
      <c r="A68" s="34" t="n">
        <v>68</v>
      </c>
      <c r="B68" s="34">
        <f>IF(Petunjuk!$C$4="","",Petunjuk!$C$4)</f>
        <v/>
      </c>
      <c r="C68" s="35" t="inlineStr">
        <is>
          <t>UU 27 Thn 2022 (PDP)</t>
        </is>
      </c>
      <c r="D68" s="34" t="n"/>
      <c r="E68" s="35" t="inlineStr">
        <is>
          <t>Pasal 41</t>
        </is>
      </c>
      <c r="F68" s="35" t="inlineStr">
        <is>
          <t>BAB VI
KEWAJIBAN PENGENDALI DATA PRIBADI DAN PROSESOR DATA PRIBADI DALAM PEMROSESAN DATA PRIBADI</t>
        </is>
      </c>
      <c r="G68" s="35" t="inlineStr">
        <is>
          <t>Bagian Kedua
Kewajiban Pengendali Data Pribadi</t>
        </is>
      </c>
      <c r="H68" s="35" t="inlineStr">
        <is>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is>
      </c>
      <c r="I68" s="36" t="n"/>
      <c r="J68" s="36" t="n"/>
      <c r="K68" s="36" t="n"/>
      <c r="L68" s="36" t="n"/>
      <c r="M68" s="36" t="n"/>
      <c r="N68" s="36" t="n"/>
      <c r="O68" s="36" t="n"/>
      <c r="P68" s="37" t="n"/>
      <c r="Q68" s="37" t="n"/>
      <c r="R68" s="30">
        <f>IF(COUNTA(I68:N68)&lt;6,"Lengkapi V4-V9",IF(AND(I68="R0",N68&lt;&gt;"K5"),"R0 harus berpasangan dengan K5",IF(AND(I68="R1",N68&lt;&gt;"K4",N68&lt;&gt;"K5"),"R1 hanya dengan K4 atau K5",IF(AND(I68="R2",N68="K5"),"R2 tidak boleh K5",IF(AND(K68="P9",J68&lt;&gt;"T17"),"P9 hanya dengan T17",IF(AND(J68="T01",K68&lt;&gt;"P6",Q68=""),"Periksa T01-P6: jelaskan di V12",IF(AND(K68="P1",N68&lt;&gt;"K4",Q68=""),"Periksa P1-K4: jelaskan di V12",IF(AND(J68="T99",Q68=""),"Periksa T99: wajib isi V12","OK"))))))))</f>
        <v/>
      </c>
    </row>
    <row r="69" ht="68.65000000000001" customHeight="1" s="21">
      <c r="A69" s="34" t="n">
        <v>69</v>
      </c>
      <c r="B69" s="34">
        <f>IF(Petunjuk!$C$4="","",Petunjuk!$C$4)</f>
        <v/>
      </c>
      <c r="C69" s="35" t="inlineStr">
        <is>
          <t>UU 27 Thn 2022 (PDP)</t>
        </is>
      </c>
      <c r="D69" s="34" t="n"/>
      <c r="E69" s="35" t="inlineStr">
        <is>
          <t>Pasal 42</t>
        </is>
      </c>
      <c r="F69" s="35" t="inlineStr">
        <is>
          <t>BAB VI
KEWAJIBAN PENGENDALI DATA PRIBADI DAN PROSESOR DATA PRIBADI DALAM PEMROSESAN DATA PRIBADI</t>
        </is>
      </c>
      <c r="G69" s="35" t="inlineStr">
        <is>
          <t>Bagian Kedua
Kewajiban Pengendali Data Pribadi</t>
        </is>
      </c>
      <c r="H69" s="35" t="inlineStr">
        <is>
          <t>(1)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is>
      </c>
      <c r="I69" s="36" t="n"/>
      <c r="J69" s="36" t="n"/>
      <c r="K69" s="36" t="n"/>
      <c r="L69" s="36" t="n"/>
      <c r="M69" s="36" t="n"/>
      <c r="N69" s="36" t="n"/>
      <c r="O69" s="36" t="n"/>
      <c r="P69" s="37" t="n"/>
      <c r="Q69" s="37" t="n"/>
      <c r="R69" s="30">
        <f>IF(COUNTA(I69:N69)&lt;6,"Lengkapi V4-V9",IF(AND(I69="R0",N69&lt;&gt;"K5"),"R0 harus berpasangan dengan K5",IF(AND(I69="R1",N69&lt;&gt;"K4",N69&lt;&gt;"K5"),"R1 hanya dengan K4 atau K5",IF(AND(I69="R2",N69="K5"),"R2 tidak boleh K5",IF(AND(K69="P9",J69&lt;&gt;"T17"),"P9 hanya dengan T17",IF(AND(J69="T01",K69&lt;&gt;"P6",Q69=""),"Periksa T01-P6: jelaskan di V12",IF(AND(K69="P1",N69&lt;&gt;"K4",Q69=""),"Periksa P1-K4: jelaskan di V12",IF(AND(J69="T99",Q69=""),"Periksa T99: wajib isi V12","OK"))))))))</f>
        <v/>
      </c>
    </row>
    <row r="70" ht="68.65000000000001" customHeight="1" s="21">
      <c r="A70" s="34" t="n">
        <v>70</v>
      </c>
      <c r="B70" s="34">
        <f>IF(Petunjuk!$C$4="","",Petunjuk!$C$4)</f>
        <v/>
      </c>
      <c r="C70" s="35" t="inlineStr">
        <is>
          <t>UU 27 Thn 2022 (PDP)</t>
        </is>
      </c>
      <c r="D70" s="38" t="inlineStr">
        <is>
          <t>Ya</t>
        </is>
      </c>
      <c r="E70" s="35" t="inlineStr">
        <is>
          <t>Pasal 43</t>
        </is>
      </c>
      <c r="F70" s="35" t="inlineStr">
        <is>
          <t>BAB VI
KEWAJIBAN PENGENDALI DATA PRIBADI DAN PROSESOR DATA PRIBADI DALAM PEMROSESAN DATA PRIBADI</t>
        </is>
      </c>
      <c r="G70" s="35" t="inlineStr">
        <is>
          <t>Bagian Kedua
Kewajiban Pengendali Data Pribadi</t>
        </is>
      </c>
      <c r="H70" s="35" t="inlineStr">
        <is>
          <t>(1)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is>
      </c>
      <c r="I70" s="36" t="inlineStr">
        <is>
          <t>R2</t>
        </is>
      </c>
      <c r="J70" s="36" t="inlineStr">
        <is>
          <t>T11</t>
        </is>
      </c>
      <c r="K70" s="36" t="inlineStr">
        <is>
          <t>P2</t>
        </is>
      </c>
      <c r="L70" s="36" t="inlineStr">
        <is>
          <t>S1</t>
        </is>
      </c>
      <c r="M70" s="36" t="inlineStr">
        <is>
          <t>F6</t>
        </is>
      </c>
      <c r="N70" s="36" t="inlineStr">
        <is>
          <t>K1</t>
        </is>
      </c>
      <c r="O70" s="36" t="n"/>
      <c r="P70" s="37" t="inlineStr">
        <is>
          <t>Sistem harus menghapus data pribadi apabila data tidak lagi diperlukan untuk tujuan pemrosesan, persetujuan ditarik kembali, ada permintaan Subjek Data Pribadi, atau data diperoleh/diproses secara melawan hukum.</t>
        </is>
      </c>
      <c r="Q70" s="37" t="inlineStr">
        <is>
          <t>Kewajiban Pengendali (bukan hak), sehingga T11. Ayat (2) kalimatnya kurang jelas ("Data Pribadi sebagaimana dimaksud pada ayat (1) dilakukan sesuai dengan ketentuan...").</t>
        </is>
      </c>
      <c r="R70" s="30">
        <f>IF(COUNTA(I70:N70)&lt;6,"Lengkapi V4-V9",IF(AND(I70="R0",N70&lt;&gt;"K5"),"R0 harus berpasangan dengan K5",IF(AND(I70="R1",N70&lt;&gt;"K4",N70&lt;&gt;"K5"),"R1 hanya dengan K4 atau K5",IF(AND(I70="R2",N70="K5"),"R2 tidak boleh K5",IF(AND(K70="P9",J70&lt;&gt;"T17"),"P9 hanya dengan T17",IF(AND(J70="T01",K70&lt;&gt;"P6",Q70=""),"Periksa T01-P6: jelaskan di V12",IF(AND(K70="P1",N70&lt;&gt;"K4",Q70=""),"Periksa P1-K4: jelaskan di V12",IF(AND(J70="T99",Q70=""),"Periksa T99: wajib isi V12","OK"))))))))</f>
        <v/>
      </c>
    </row>
    <row r="71" ht="68.65000000000001" customHeight="1" s="21">
      <c r="A71" s="34" t="n">
        <v>71</v>
      </c>
      <c r="B71" s="34">
        <f>IF(Petunjuk!$C$4="","",Petunjuk!$C$4)</f>
        <v/>
      </c>
      <c r="C71" s="35" t="inlineStr">
        <is>
          <t>UU 27 Thn 2022 (PDP)</t>
        </is>
      </c>
      <c r="D71" s="34" t="n"/>
      <c r="E71" s="35" t="inlineStr">
        <is>
          <t>Pasal 44</t>
        </is>
      </c>
      <c r="F71" s="35" t="inlineStr">
        <is>
          <t>BAB VI
KEWAJIBAN PENGENDALI DATA PRIBADI DAN PROSESOR DATA PRIBADI DALAM PEMROSESAN DATA PRIBADI</t>
        </is>
      </c>
      <c r="G71" s="35" t="inlineStr">
        <is>
          <t>Bagian Kedua
Kewajiban Pengendali Data Pribadi</t>
        </is>
      </c>
      <c r="H71" s="35" t="inlineStr">
        <is>
          <t>(1)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is>
      </c>
      <c r="I71" s="36" t="n"/>
      <c r="J71" s="36" t="n"/>
      <c r="K71" s="36" t="n"/>
      <c r="L71" s="36" t="n"/>
      <c r="M71" s="36" t="n"/>
      <c r="N71" s="36" t="n"/>
      <c r="O71" s="36" t="n"/>
      <c r="P71" s="37" t="n"/>
      <c r="Q71" s="37" t="n"/>
      <c r="R71" s="30">
        <f>IF(COUNTA(I71:N71)&lt;6,"Lengkapi V4-V9",IF(AND(I71="R0",N71&lt;&gt;"K5"),"R0 harus berpasangan dengan K5",IF(AND(I71="R1",N71&lt;&gt;"K4",N71&lt;&gt;"K5"),"R1 hanya dengan K4 atau K5",IF(AND(I71="R2",N71="K5"),"R2 tidak boleh K5",IF(AND(K71="P9",J71&lt;&gt;"T17"),"P9 hanya dengan T17",IF(AND(J71="T01",K71&lt;&gt;"P6",Q71=""),"Periksa T01-P6: jelaskan di V12",IF(AND(K71="P1",N71&lt;&gt;"K4",Q71=""),"Periksa P1-K4: jelaskan di V12",IF(AND(J71="T99",Q71=""),"Periksa T99: wajib isi V12","OK"))))))))</f>
        <v/>
      </c>
    </row>
    <row r="72" ht="68.65000000000001" customHeight="1" s="21">
      <c r="A72" s="34" t="n">
        <v>72</v>
      </c>
      <c r="B72" s="34">
        <f>IF(Petunjuk!$C$4="","",Petunjuk!$C$4)</f>
        <v/>
      </c>
      <c r="C72" s="35" t="inlineStr">
        <is>
          <t>UU 27 Thn 2022 (PDP)</t>
        </is>
      </c>
      <c r="D72" s="34" t="n"/>
      <c r="E72" s="35" t="inlineStr">
        <is>
          <t>Pasal 45</t>
        </is>
      </c>
      <c r="F72" s="35" t="inlineStr">
        <is>
          <t>BAB VI
KEWAJIBAN PENGENDALI DATA PRIBADI DAN PROSESOR DATA PRIBADI DALAM PEMROSESAN DATA PRIBADI</t>
        </is>
      </c>
      <c r="G72" s="35" t="inlineStr">
        <is>
          <t>Bagian Kedua
Kewajiban Pengendali Data Pribadi</t>
        </is>
      </c>
      <c r="H72" s="35" t="inlineStr">
        <is>
          <t>Pengendali Data Pribadi wajib memberitahukan penghapusan dan/atau pemusnahan Data Pribadi kepada Subjek Data Pribadi.</t>
        </is>
      </c>
      <c r="I72" s="36" t="n"/>
      <c r="J72" s="36" t="n"/>
      <c r="K72" s="36" t="n"/>
      <c r="L72" s="36" t="n"/>
      <c r="M72" s="36" t="n"/>
      <c r="N72" s="36" t="n"/>
      <c r="O72" s="36" t="n"/>
      <c r="P72" s="37" t="n"/>
      <c r="Q72" s="37" t="n"/>
      <c r="R72" s="30">
        <f>IF(COUNTA(I72:N72)&lt;6,"Lengkapi V4-V9",IF(AND(I72="R0",N72&lt;&gt;"K5"),"R0 harus berpasangan dengan K5",IF(AND(I72="R1",N72&lt;&gt;"K4",N72&lt;&gt;"K5"),"R1 hanya dengan K4 atau K5",IF(AND(I72="R2",N72="K5"),"R2 tidak boleh K5",IF(AND(K72="P9",J72&lt;&gt;"T17"),"P9 hanya dengan T17",IF(AND(J72="T01",K72&lt;&gt;"P6",Q72=""),"Periksa T01-P6: jelaskan di V12",IF(AND(K72="P1",N72&lt;&gt;"K4",Q72=""),"Periksa P1-K4: jelaskan di V12",IF(AND(J72="T99",Q72=""),"Periksa T99: wajib isi V12","OK"))))))))</f>
        <v/>
      </c>
    </row>
    <row r="73" ht="79.84999999999999" customHeight="1" s="21">
      <c r="A73" s="34" t="n">
        <v>73</v>
      </c>
      <c r="B73" s="34">
        <f>IF(Petunjuk!$C$4="","",Petunjuk!$C$4)</f>
        <v/>
      </c>
      <c r="C73" s="35" t="inlineStr">
        <is>
          <t>UU 27 Thn 2022 (PDP)</t>
        </is>
      </c>
      <c r="D73" s="34" t="n"/>
      <c r="E73" s="35" t="inlineStr">
        <is>
          <t>Pasal 46</t>
        </is>
      </c>
      <c r="F73" s="35" t="inlineStr">
        <is>
          <t>BAB VI
KEWAJIBAN PENGENDALI DATA PRIBADI DAN PROSESOR DATA PRIBADI DALAM PEMROSESAN DATA PRIBADI</t>
        </is>
      </c>
      <c r="G73" s="35" t="inlineStr">
        <is>
          <t>Bagian Kedua
Kewajiban Pengendali Data Pribadi</t>
        </is>
      </c>
      <c r="H73" s="35" t="inlineStr">
        <is>
          <t>(1)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is>
      </c>
      <c r="I73" s="36" t="n"/>
      <c r="J73" s="36" t="n"/>
      <c r="K73" s="36" t="n"/>
      <c r="L73" s="36" t="n"/>
      <c r="M73" s="36" t="n"/>
      <c r="N73" s="36" t="n"/>
      <c r="O73" s="36" t="n"/>
      <c r="P73" s="37" t="n"/>
      <c r="Q73" s="37" t="n"/>
      <c r="R73" s="30">
        <f>IF(COUNTA(I73:N73)&lt;6,"Lengkapi V4-V9",IF(AND(I73="R0",N73&lt;&gt;"K5"),"R0 harus berpasangan dengan K5",IF(AND(I73="R1",N73&lt;&gt;"K4",N73&lt;&gt;"K5"),"R1 hanya dengan K4 atau K5",IF(AND(I73="R2",N73="K5"),"R2 tidak boleh K5",IF(AND(K73="P9",J73&lt;&gt;"T17"),"P9 hanya dengan T17",IF(AND(J73="T01",K73&lt;&gt;"P6",Q73=""),"Periksa T01-P6: jelaskan di V12",IF(AND(K73="P1",N73&lt;&gt;"K4",Q73=""),"Periksa P1-K4: jelaskan di V12",IF(AND(J73="T99",Q73=""),"Periksa T99: wajib isi V12","OK"))))))))</f>
        <v/>
      </c>
    </row>
    <row r="74" ht="68.65000000000001" customHeight="1" s="21">
      <c r="A74" s="34" t="n">
        <v>74</v>
      </c>
      <c r="B74" s="34">
        <f>IF(Petunjuk!$C$4="","",Petunjuk!$C$4)</f>
        <v/>
      </c>
      <c r="C74" s="35" t="inlineStr">
        <is>
          <t>UU 27 Thn 2022 (PDP)</t>
        </is>
      </c>
      <c r="D74" s="34" t="n"/>
      <c r="E74" s="35" t="inlineStr">
        <is>
          <t>Pasal 47</t>
        </is>
      </c>
      <c r="F74" s="35" t="inlineStr">
        <is>
          <t>BAB VI
KEWAJIBAN PENGENDALI DATA PRIBADI DAN PROSESOR DATA PRIBADI DALAM PEMROSESAN DATA PRIBADI</t>
        </is>
      </c>
      <c r="G74" s="35" t="inlineStr">
        <is>
          <t>Bagian Kedua
Kewajiban Pengendali Data Pribadi</t>
        </is>
      </c>
      <c r="H74" s="35" t="inlineStr">
        <is>
          <t>Pengendali Data Pribadi wajib bertanggung jawab atas pemrosesan Data Pribadi dan menunjukkan pertanggungjawaban dalam pemenuhan kewajiban pelaksanaan prinsip Pelindungan Data Pribadi.</t>
        </is>
      </c>
      <c r="I74" s="36" t="n"/>
      <c r="J74" s="36" t="n"/>
      <c r="K74" s="36" t="n"/>
      <c r="L74" s="36" t="n"/>
      <c r="M74" s="36" t="n"/>
      <c r="N74" s="36" t="n"/>
      <c r="O74" s="36" t="n"/>
      <c r="P74" s="37" t="n"/>
      <c r="Q74" s="37" t="n"/>
      <c r="R74" s="30">
        <f>IF(COUNTA(I74:N74)&lt;6,"Lengkapi V4-V9",IF(AND(I74="R0",N74&lt;&gt;"K5"),"R0 harus berpasangan dengan K5",IF(AND(I74="R1",N74&lt;&gt;"K4",N74&lt;&gt;"K5"),"R1 hanya dengan K4 atau K5",IF(AND(I74="R2",N74="K5"),"R2 tidak boleh K5",IF(AND(K74="P9",J74&lt;&gt;"T17"),"P9 hanya dengan T17",IF(AND(J74="T01",K74&lt;&gt;"P6",Q74=""),"Periksa T01-P6: jelaskan di V12",IF(AND(K74="P1",N74&lt;&gt;"K4",Q74=""),"Periksa P1-K4: jelaskan di V12",IF(AND(J74="T99",Q74=""),"Periksa T99: wajib isi V12","OK"))))))))</f>
        <v/>
      </c>
    </row>
    <row r="75" ht="135.8" customHeight="1" s="21">
      <c r="A75" s="34" t="n">
        <v>75</v>
      </c>
      <c r="B75" s="34">
        <f>IF(Petunjuk!$C$4="","",Petunjuk!$C$4)</f>
        <v/>
      </c>
      <c r="C75" s="35" t="inlineStr">
        <is>
          <t>UU 27 Thn 2022 (PDP)</t>
        </is>
      </c>
      <c r="D75" s="34" t="n"/>
      <c r="E75" s="35" t="inlineStr">
        <is>
          <t>Pasal 48</t>
        </is>
      </c>
      <c r="F75" s="35" t="inlineStr">
        <is>
          <t>BAB VI
KEWAJIBAN PENGENDALI DATA PRIBADI DAN PROSESOR DATA PRIBADI DALAM PEMROSESAN DATA PRIBADI</t>
        </is>
      </c>
      <c r="G75" s="35" t="inlineStr">
        <is>
          <t>Bagian Kedua
Kewajiban Pengendali Data Pribadi</t>
        </is>
      </c>
      <c r="H75" s="35" t="inlineStr">
        <is>
          <t>(1)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is>
      </c>
      <c r="I75" s="36" t="n"/>
      <c r="J75" s="36" t="n"/>
      <c r="K75" s="36" t="n"/>
      <c r="L75" s="36" t="n"/>
      <c r="M75" s="36" t="n"/>
      <c r="N75" s="36" t="n"/>
      <c r="O75" s="36" t="n"/>
      <c r="P75" s="37" t="n"/>
      <c r="Q75" s="37" t="n"/>
      <c r="R75" s="30">
        <f>IF(COUNTA(I75:N75)&lt;6,"Lengkapi V4-V9",IF(AND(I75="R0",N75&lt;&gt;"K5"),"R0 harus berpasangan dengan K5",IF(AND(I75="R1",N75&lt;&gt;"K4",N75&lt;&gt;"K5"),"R1 hanya dengan K4 atau K5",IF(AND(I75="R2",N75="K5"),"R2 tidak boleh K5",IF(AND(K75="P9",J75&lt;&gt;"T17"),"P9 hanya dengan T17",IF(AND(J75="T01",K75&lt;&gt;"P6",Q75=""),"Periksa T01-P6: jelaskan di V12",IF(AND(K75="P1",N75&lt;&gt;"K4",Q75=""),"Periksa P1-K4: jelaskan di V12",IF(AND(J75="T99",Q75=""),"Periksa T99: wajib isi V12","OK"))))))))</f>
        <v/>
      </c>
    </row>
    <row r="76" ht="68.65000000000001" customHeight="1" s="21">
      <c r="A76" s="34" t="n">
        <v>76</v>
      </c>
      <c r="B76" s="34">
        <f>IF(Petunjuk!$C$4="","",Petunjuk!$C$4)</f>
        <v/>
      </c>
      <c r="C76" s="35" t="inlineStr">
        <is>
          <t>UU 27 Thn 2022 (PDP)</t>
        </is>
      </c>
      <c r="D76" s="34" t="n"/>
      <c r="E76" s="35" t="inlineStr">
        <is>
          <t>Pasal 49</t>
        </is>
      </c>
      <c r="F76" s="35" t="inlineStr">
        <is>
          <t>BAB VI
KEWAJIBAN PENGENDALI DATA PRIBADI DAN PROSESOR DATA PRIBADI DALAM PEMROSESAN DATA PRIBADI</t>
        </is>
      </c>
      <c r="G76" s="35" t="inlineStr">
        <is>
          <t>Bagian Kedua
Kewajiban Pengendali Data Pribadi</t>
        </is>
      </c>
      <c r="H76" s="35" t="inlineStr">
        <is>
          <t>Pengendali Data Pribadi dan/ atau Prosesor Data Pribadi wajib melaksanakan perintah lembaga dalam rangka penyelenggaraan Pelindungan Data Pribadi sesuai dengan Undang-Undang ini.</t>
        </is>
      </c>
      <c r="I76" s="36" t="n"/>
      <c r="J76" s="36" t="n"/>
      <c r="K76" s="36" t="n"/>
      <c r="L76" s="36" t="n"/>
      <c r="M76" s="36" t="n"/>
      <c r="N76" s="36" t="n"/>
      <c r="O76" s="36" t="n"/>
      <c r="P76" s="37" t="n"/>
      <c r="Q76" s="37" t="n"/>
      <c r="R76" s="30">
        <f>IF(COUNTA(I76:N76)&lt;6,"Lengkapi V4-V9",IF(AND(I76="R0",N76&lt;&gt;"K5"),"R0 harus berpasangan dengan K5",IF(AND(I76="R1",N76&lt;&gt;"K4",N76&lt;&gt;"K5"),"R1 hanya dengan K4 atau K5",IF(AND(I76="R2",N76="K5"),"R2 tidak boleh K5",IF(AND(K76="P9",J76&lt;&gt;"T17"),"P9 hanya dengan T17",IF(AND(J76="T01",K76&lt;&gt;"P6",Q76=""),"Periksa T01-P6: jelaskan di V12",IF(AND(K76="P1",N76&lt;&gt;"K4",Q76=""),"Periksa P1-K4: jelaskan di V12",IF(AND(J76="T99",Q76=""),"Periksa T99: wajib isi V12","OK"))))))))</f>
        <v/>
      </c>
    </row>
    <row r="77" ht="91" customHeight="1" s="21">
      <c r="A77" s="34" t="n">
        <v>77</v>
      </c>
      <c r="B77" s="34">
        <f>IF(Petunjuk!$C$4="","",Petunjuk!$C$4)</f>
        <v/>
      </c>
      <c r="C77" s="35" t="inlineStr">
        <is>
          <t>UU 27 Thn 2022 (PDP)</t>
        </is>
      </c>
      <c r="D77" s="34" t="n"/>
      <c r="E77" s="35" t="inlineStr">
        <is>
          <t>Pasal 50</t>
        </is>
      </c>
      <c r="F77" s="35" t="inlineStr">
        <is>
          <t>BAB VI
KEWAJIBAN PENGENDALI DATA PRIBADI DAN PROSESOR DATA PRIBADI DALAM PEMROSESAN DATA PRIBADI</t>
        </is>
      </c>
      <c r="G77" s="35" t="inlineStr">
        <is>
          <t>Bagian Kedua
Kewajiban Pengendali Data Pribadi</t>
        </is>
      </c>
      <c r="H77" s="35" t="inlineStr">
        <is>
          <t>(1)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is>
      </c>
      <c r="I77" s="36" t="n"/>
      <c r="J77" s="36" t="n"/>
      <c r="K77" s="36" t="n"/>
      <c r="L77" s="36" t="n"/>
      <c r="M77" s="36" t="n"/>
      <c r="N77" s="36" t="n"/>
      <c r="O77" s="36" t="n"/>
      <c r="P77" s="37" t="n"/>
      <c r="Q77" s="37" t="n"/>
      <c r="R77" s="30">
        <f>IF(COUNTA(I77:N77)&lt;6,"Lengkapi V4-V9",IF(AND(I77="R0",N77&lt;&gt;"K5"),"R0 harus berpasangan dengan K5",IF(AND(I77="R1",N77&lt;&gt;"K4",N77&lt;&gt;"K5"),"R1 hanya dengan K4 atau K5",IF(AND(I77="R2",N77="K5"),"R2 tidak boleh K5",IF(AND(K77="P9",J77&lt;&gt;"T17"),"P9 hanya dengan T17",IF(AND(J77="T01",K77&lt;&gt;"P6",Q77=""),"Periksa T01-P6: jelaskan di V12",IF(AND(K77="P1",N77&lt;&gt;"K4",Q77=""),"Periksa P1-K4: jelaskan di V12",IF(AND(J77="T99",Q77=""),"Periksa T99: wajib isi V12","OK"))))))))</f>
        <v/>
      </c>
    </row>
    <row r="78" ht="124.6" customHeight="1" s="21">
      <c r="A78" s="34" t="n">
        <v>78</v>
      </c>
      <c r="B78" s="34">
        <f>IF(Petunjuk!$C$4="","",Petunjuk!$C$4)</f>
        <v/>
      </c>
      <c r="C78" s="35" t="inlineStr">
        <is>
          <t>UU 27 Thn 2022 (PDP)</t>
        </is>
      </c>
      <c r="D78" s="34" t="n"/>
      <c r="E78" s="35" t="inlineStr">
        <is>
          <t>Pasal 51</t>
        </is>
      </c>
      <c r="F78" s="35" t="inlineStr">
        <is>
          <t>BAB VI
KEWAJIBAN PENGENDALI DATA PRIBADI DAN PROSESOR DATA PRIBADI DALAM PEMROSESAN DATA PRIBADI</t>
        </is>
      </c>
      <c r="G78" s="35" t="inlineStr">
        <is>
          <t>Bagian Ketiga
Kewajiban Prosesor Data Pribadi</t>
        </is>
      </c>
      <c r="H78" s="35" t="inlineStr">
        <is>
          <t>(1)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is>
      </c>
      <c r="I78" s="36" t="n"/>
      <c r="J78" s="36" t="n"/>
      <c r="K78" s="36" t="n"/>
      <c r="L78" s="36" t="n"/>
      <c r="M78" s="36" t="n"/>
      <c r="N78" s="36" t="n"/>
      <c r="O78" s="36" t="n"/>
      <c r="P78" s="37" t="n"/>
      <c r="Q78" s="37" t="n"/>
      <c r="R78" s="30">
        <f>IF(COUNTA(I78:N78)&lt;6,"Lengkapi V4-V9",IF(AND(I78="R0",N78&lt;&gt;"K5"),"R0 harus berpasangan dengan K5",IF(AND(I78="R1",N78&lt;&gt;"K4",N78&lt;&gt;"K5"),"R1 hanya dengan K4 atau K5",IF(AND(I78="R2",N78="K5"),"R2 tidak boleh K5",IF(AND(K78="P9",J78&lt;&gt;"T17"),"P9 hanya dengan T17",IF(AND(J78="T01",K78&lt;&gt;"P6",Q78=""),"Periksa T01-P6: jelaskan di V12",IF(AND(K78="P1",N78&lt;&gt;"K4",Q78=""),"Periksa P1-K4: jelaskan di V12",IF(AND(J78="T99",Q78=""),"Periksa T99: wajib isi V12","OK"))))))))</f>
        <v/>
      </c>
    </row>
    <row r="79" ht="68.65000000000001" customHeight="1" s="21">
      <c r="A79" s="34" t="n">
        <v>79</v>
      </c>
      <c r="B79" s="34">
        <f>IF(Petunjuk!$C$4="","",Petunjuk!$C$4)</f>
        <v/>
      </c>
      <c r="C79" s="35" t="inlineStr">
        <is>
          <t>UU 27 Thn 2022 (PDP)</t>
        </is>
      </c>
      <c r="D79" s="38" t="inlineStr">
        <is>
          <t>Ya</t>
        </is>
      </c>
      <c r="E79" s="35" t="inlineStr">
        <is>
          <t>Pasal 52</t>
        </is>
      </c>
      <c r="F79" s="35" t="inlineStr">
        <is>
          <t>BAB VI
KEWAJIBAN PENGENDALI DATA PRIBADI DAN PROSESOR DATA PRIBADI DALAM PEMROSESAN DATA PRIBADI</t>
        </is>
      </c>
      <c r="G79" s="35" t="inlineStr">
        <is>
          <t>Bagian Ketiga
Kewajiban Prosesor Data Pribadi</t>
        </is>
      </c>
      <c r="H79" s="35" t="inlineStr">
        <is>
          <t>Ketentuan mengenai kewajiban Pengendali Data Pribadi sebagaimana dimaksud dalam Pasal 29, Pasal 31, Pasal 35, Pasal 36, Pasal 37, Pasal 38, dan Pasal 39 berlaku juga terhadap Prosesor Data Pribadi.</t>
        </is>
      </c>
      <c r="I79" s="36" t="inlineStr">
        <is>
          <t>R1</t>
        </is>
      </c>
      <c r="J79" s="36" t="inlineStr">
        <is>
          <t>T01</t>
        </is>
      </c>
      <c r="K79" s="36" t="inlineStr">
        <is>
          <t>P6</t>
        </is>
      </c>
      <c r="L79" s="36" t="inlineStr">
        <is>
          <t>S3</t>
        </is>
      </c>
      <c r="M79" s="36" t="inlineStr">
        <is>
          <t>F8</t>
        </is>
      </c>
      <c r="N79" s="36" t="inlineStr">
        <is>
          <t>K4</t>
        </is>
      </c>
      <c r="O79" s="36" t="n"/>
      <c r="P79" s="37" t="n"/>
      <c r="Q79" s="37" t="inlineStr">
        <is>
          <t>Menentukan keberlakuan kewajiban Pengendali terhadap Prosesor (T01, P6). Merujuk Pasal 36-39 yang tidak ada di korpus; tidak dilengkapi dari pengetahuan luar. Perlu ditafsirkan bersama pasal yang dirujuk, sehingga R1.</t>
        </is>
      </c>
      <c r="R79" s="30">
        <f>IF(COUNTA(I79:N79)&lt;6,"Lengkapi V4-V9",IF(AND(I79="R0",N79&lt;&gt;"K5"),"R0 harus berpasangan dengan K5",IF(AND(I79="R1",N79&lt;&gt;"K4",N79&lt;&gt;"K5"),"R1 hanya dengan K4 atau K5",IF(AND(I79="R2",N79="K5"),"R2 tidak boleh K5",IF(AND(K79="P9",J79&lt;&gt;"T17"),"P9 hanya dengan T17",IF(AND(J79="T01",K79&lt;&gt;"P6",Q79=""),"Periksa T01-P6: jelaskan di V12",IF(AND(K79="P1",N79&lt;&gt;"K4",Q79=""),"Periksa P1-K4: jelaskan di V12",IF(AND(J79="T99",Q79=""),"Periksa T99: wajib isi V12","OK"))))))))</f>
        <v/>
      </c>
    </row>
    <row r="80" ht="135.8" customHeight="1" s="21">
      <c r="A80" s="34" t="n">
        <v>80</v>
      </c>
      <c r="B80" s="34">
        <f>IF(Petunjuk!$C$4="","",Petunjuk!$C$4)</f>
        <v/>
      </c>
      <c r="C80" s="35" t="inlineStr">
        <is>
          <t>UU 27 Thn 2022 (PDP)</t>
        </is>
      </c>
      <c r="D80" s="34" t="n"/>
      <c r="E80" s="35" t="inlineStr">
        <is>
          <t>Pasal 53</t>
        </is>
      </c>
      <c r="F80" s="35" t="inlineStr">
        <is>
          <t>BAB VI
KEWAJIBAN PENGENDALI DATA PRIBADI DAN PROSESOR DATA PRIBADI DALAM PEMROSESAN DATA PRIBADI</t>
        </is>
      </c>
      <c r="G80" s="35" t="inlineStr">
        <is>
          <t>Bagian Keempat
Pejabat atau Petugas yang Melaksanakan Fungsi Pelindungan Data Pribadi</t>
        </is>
      </c>
      <c r="H80" s="35" t="inlineStr">
        <is>
          <t>(1)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is>
      </c>
      <c r="I80" s="36" t="n"/>
      <c r="J80" s="36" t="n"/>
      <c r="K80" s="36" t="n"/>
      <c r="L80" s="36" t="n"/>
      <c r="M80" s="36" t="n"/>
      <c r="N80" s="36" t="n"/>
      <c r="O80" s="36" t="n"/>
      <c r="P80" s="37" t="n"/>
      <c r="Q80" s="37" t="n"/>
      <c r="R80" s="30">
        <f>IF(COUNTA(I80:N80)&lt;6,"Lengkapi V4-V9",IF(AND(I80="R0",N80&lt;&gt;"K5"),"R0 harus berpasangan dengan K5",IF(AND(I80="R1",N80&lt;&gt;"K4",N80&lt;&gt;"K5"),"R1 hanya dengan K4 atau K5",IF(AND(I80="R2",N80="K5"),"R2 tidak boleh K5",IF(AND(K80="P9",J80&lt;&gt;"T17"),"P9 hanya dengan T17",IF(AND(J80="T01",K80&lt;&gt;"P6",Q80=""),"Periksa T01-P6: jelaskan di V12",IF(AND(K80="P1",N80&lt;&gt;"K4",Q80=""),"Periksa P1-K4: jelaskan di V12",IF(AND(J80="T99",Q80=""),"Periksa T99: wajib isi V12","OK"))))))))</f>
        <v/>
      </c>
    </row>
    <row r="81" ht="57.45" customHeight="1" s="21">
      <c r="A81" s="34" t="n">
        <v>81</v>
      </c>
      <c r="B81" s="34">
        <f>IF(Petunjuk!$C$4="","",Petunjuk!$C$4)</f>
        <v/>
      </c>
      <c r="C81" s="35" t="inlineStr">
        <is>
          <t>UU 27 Thn 2022 (PDP)</t>
        </is>
      </c>
      <c r="D81" s="38" t="inlineStr">
        <is>
          <t>Ya</t>
        </is>
      </c>
      <c r="E81" s="35" t="inlineStr">
        <is>
          <t>Pasal 55</t>
        </is>
      </c>
      <c r="F81" s="35" t="inlineStr">
        <is>
          <t>BAB VII TRANSFER DATA PRIBADI</t>
        </is>
      </c>
      <c r="G81" s="35" t="inlineStr">
        <is>
          <t>Bagian Kesatu
Transfer Data Pribadi Dalam Wilayah Hukum Negara Republik Indonesia</t>
        </is>
      </c>
      <c r="H81" s="35" t="inlineStr">
        <is>
          <t>(1)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is>
      </c>
      <c r="I81" s="36" t="inlineStr">
        <is>
          <t>R2</t>
        </is>
      </c>
      <c r="J81" s="36" t="inlineStr">
        <is>
          <t>T13</t>
        </is>
      </c>
      <c r="K81" s="36" t="inlineStr">
        <is>
          <t>P2</t>
        </is>
      </c>
      <c r="L81" s="36" t="inlineStr">
        <is>
          <t>S1</t>
        </is>
      </c>
      <c r="M81" s="36" t="inlineStr">
        <is>
          <t>F5</t>
        </is>
      </c>
      <c r="N81" s="36" t="inlineStr">
        <is>
          <t>K4</t>
        </is>
      </c>
      <c r="O81" s="36" t="n"/>
      <c r="P81" s="37" t="inlineStr">
        <is>
          <t>Sistem hanya boleh mentransfer data pribadi kepada Pengendali Data Pribadi lain dalam wilayah hukum Indonesia, dan pihak pengirim maupun penerima wajib melindungi data pribadi tersebut.</t>
        </is>
      </c>
      <c r="Q81" s="37" t="inlineStr">
        <is>
          <t>Ayat (1) kebolehan (P4), ayat (2) kewajiban (P2); seri antarayat, prioritas P2 di atas P4.</t>
        </is>
      </c>
      <c r="R81" s="30">
        <f>IF(COUNTA(I81:N81)&lt;6,"Lengkapi V4-V9",IF(AND(I81="R0",N81&lt;&gt;"K5"),"R0 harus berpasangan dengan K5",IF(AND(I81="R1",N81&lt;&gt;"K4",N81&lt;&gt;"K5"),"R1 hanya dengan K4 atau K5",IF(AND(I81="R2",N81="K5"),"R2 tidak boleh K5",IF(AND(K81="P9",J81&lt;&gt;"T17"),"P9 hanya dengan T17",IF(AND(J81="T01",K81&lt;&gt;"P6",Q81=""),"Periksa T01-P6: jelaskan di V12",IF(AND(K81="P1",N81&lt;&gt;"K4",Q81=""),"Periksa P1-K4: jelaskan di V12",IF(AND(J81="T99",Q81=""),"Periksa T99: wajib isi V12","OK"))))))))</f>
        <v/>
      </c>
    </row>
    <row r="82" ht="135.8" customHeight="1" s="21">
      <c r="A82" s="34" t="n">
        <v>82</v>
      </c>
      <c r="B82" s="34">
        <f>IF(Petunjuk!$C$4="","",Petunjuk!$C$4)</f>
        <v/>
      </c>
      <c r="C82" s="35" t="inlineStr">
        <is>
          <t>UU 27 Thn 2022 (PDP)</t>
        </is>
      </c>
      <c r="D82" s="34" t="n"/>
      <c r="E82" s="35" t="inlineStr">
        <is>
          <t>Pasal 56</t>
        </is>
      </c>
      <c r="F82" s="35" t="inlineStr">
        <is>
          <t>BAB VII TRANSFER DATA PRIBADI</t>
        </is>
      </c>
      <c r="G82" s="35" t="inlineStr">
        <is>
          <t>Bagian Kedua</t>
        </is>
      </c>
      <c r="H82" s="35" t="inlineStr">
        <is>
          <t>(1)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is>
      </c>
      <c r="I82" s="36" t="n"/>
      <c r="J82" s="36" t="n"/>
      <c r="K82" s="36" t="n"/>
      <c r="L82" s="36" t="n"/>
      <c r="M82" s="36" t="n"/>
      <c r="N82" s="36" t="n"/>
      <c r="O82" s="36" t="n"/>
      <c r="P82" s="37" t="n"/>
      <c r="Q82" s="37" t="n"/>
      <c r="R82" s="30">
        <f>IF(COUNTA(I82:N82)&lt;6,"Lengkapi V4-V9",IF(AND(I82="R0",N82&lt;&gt;"K5"),"R0 harus berpasangan dengan K5",IF(AND(I82="R1",N82&lt;&gt;"K4",N82&lt;&gt;"K5"),"R1 hanya dengan K4 atau K5",IF(AND(I82="R2",N82="K5"),"R2 tidak boleh K5",IF(AND(K82="P9",J82&lt;&gt;"T17"),"P9 hanya dengan T17",IF(AND(J82="T01",K82&lt;&gt;"P6",Q82=""),"Periksa T01-P6: jelaskan di V12",IF(AND(K82="P1",N82&lt;&gt;"K4",Q82=""),"Periksa P1-K4: jelaskan di V12",IF(AND(J82="T99",Q82=""),"Periksa T99: wajib isi V12","OK"))))))))</f>
        <v/>
      </c>
    </row>
    <row r="83" ht="57.45" customHeight="1" s="21">
      <c r="A83" s="34" t="n">
        <v>83</v>
      </c>
      <c r="B83" s="34">
        <f>IF(Petunjuk!$C$4="","",Petunjuk!$C$4)</f>
        <v/>
      </c>
      <c r="C83" s="35" t="inlineStr">
        <is>
          <t>UU 27 Thn 2022 (PDP)</t>
        </is>
      </c>
      <c r="D83" s="34" t="n"/>
      <c r="E83" s="35" t="inlineStr">
        <is>
          <t>Pasal 65</t>
        </is>
      </c>
      <c r="F83" s="35" t="inlineStr">
        <is>
          <t>BAB XIII
LARANGAN DALAM PENGGUNAAN DATA PRIBADI</t>
        </is>
      </c>
      <c r="G83" s="35" t="n"/>
      <c r="H83" s="35" t="inlineStr">
        <is>
          <t>(1)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is>
      </c>
      <c r="I83" s="36" t="n"/>
      <c r="J83" s="36" t="n"/>
      <c r="K83" s="36" t="n"/>
      <c r="L83" s="36" t="n"/>
      <c r="M83" s="36" t="n"/>
      <c r="N83" s="36" t="n"/>
      <c r="O83" s="36" t="n"/>
      <c r="P83" s="37" t="n"/>
      <c r="Q83" s="37" t="n"/>
      <c r="R83" s="30">
        <f>IF(COUNTA(I83:N83)&lt;6,"Lengkapi V4-V9",IF(AND(I83="R0",N83&lt;&gt;"K5"),"R0 harus berpasangan dengan K5",IF(AND(I83="R1",N83&lt;&gt;"K4",N83&lt;&gt;"K5"),"R1 hanya dengan K4 atau K5",IF(AND(I83="R2",N83="K5"),"R2 tidak boleh K5",IF(AND(K83="P9",J83&lt;&gt;"T17"),"P9 hanya dengan T17",IF(AND(J83="T01",K83&lt;&gt;"P6",Q83=""),"Periksa T01-P6: jelaskan di V12",IF(AND(K83="P1",N83&lt;&gt;"K4",Q83=""),"Periksa P1-K4: jelaskan di V12",IF(AND(J83="T99",Q83=""),"Periksa T99: wajib isi V12","OK"))))))))</f>
        <v/>
      </c>
    </row>
    <row r="84" ht="46.25" customHeight="1" s="21">
      <c r="A84" s="34" t="n">
        <v>84</v>
      </c>
      <c r="B84" s="34">
        <f>IF(Petunjuk!$C$4="","",Petunjuk!$C$4)</f>
        <v/>
      </c>
      <c r="C84" s="35" t="inlineStr">
        <is>
          <t>UU 27 Thn 2022 (PDP)</t>
        </is>
      </c>
      <c r="D84" s="34" t="n"/>
      <c r="E84" s="35" t="inlineStr">
        <is>
          <t>Pasal 66</t>
        </is>
      </c>
      <c r="F84" s="35" t="inlineStr">
        <is>
          <t>BAB XIII
LARANGAN DALAM PENGGUNAAN DATA PRIBADI</t>
        </is>
      </c>
      <c r="G84" s="35" t="n"/>
      <c r="H84" s="35" t="inlineStr">
        <is>
          <t>Setiap Orang dilarang membuat Data Pribadi palsu atau memalsukan Data Pribadi dengan maksud untuk menguntungkan diri sendiri atau orang lain yang dapat mengakibatkan kerugian bagi orang lain.</t>
        </is>
      </c>
      <c r="I84" s="36" t="n"/>
      <c r="J84" s="36" t="n"/>
      <c r="K84" s="36" t="n"/>
      <c r="L84" s="36" t="n"/>
      <c r="M84" s="36" t="n"/>
      <c r="N84" s="36" t="n"/>
      <c r="O84" s="36" t="n"/>
      <c r="P84" s="37" t="n"/>
      <c r="Q84" s="37" t="n"/>
      <c r="R84" s="30">
        <f>IF(COUNTA(I84:N84)&lt;6,"Lengkapi V4-V9",IF(AND(I84="R0",N84&lt;&gt;"K5"),"R0 harus berpasangan dengan K5",IF(AND(I84="R1",N84&lt;&gt;"K4",N84&lt;&gt;"K5"),"R1 hanya dengan K4 atau K5",IF(AND(I84="R2",N84="K5"),"R2 tidak boleh K5",IF(AND(K84="P9",J84&lt;&gt;"T17"),"P9 hanya dengan T17",IF(AND(J84="T01",K84&lt;&gt;"P6",Q84=""),"Periksa T01-P6: jelaskan di V12",IF(AND(K84="P1",N84&lt;&gt;"K4",Q84=""),"Periksa P1-K4: jelaskan di V12",IF(AND(J84="T99",Q84=""),"Periksa T99: wajib isi V12","OK"))))))))</f>
        <v/>
      </c>
    </row>
    <row r="85" ht="494" customHeight="1" s="21">
      <c r="A85" s="34" t="n">
        <v>85</v>
      </c>
      <c r="B85" s="34">
        <f>IF(Petunjuk!$C$4="","",Petunjuk!$C$4)</f>
        <v/>
      </c>
      <c r="C85" s="35" t="inlineStr">
        <is>
          <t>Perpres 39 Thn 2019 (Satu Data)</t>
        </is>
      </c>
      <c r="D85" s="34" t="n"/>
      <c r="E85" s="35" t="inlineStr">
        <is>
          <t>Pasal 1</t>
        </is>
      </c>
      <c r="F85" s="35" t="inlineStr">
        <is>
          <t>BAB I
KETENTUAN UMUM</t>
        </is>
      </c>
      <c r="G85" s="35" t="n"/>
      <c r="H85" s="35" t="inlineStr">
        <is>
          <t>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is>
      </c>
      <c r="I85" s="36" t="n"/>
      <c r="J85" s="36" t="n"/>
      <c r="K85" s="36" t="n"/>
      <c r="L85" s="36" t="n"/>
      <c r="M85" s="36" t="n"/>
      <c r="N85" s="36" t="n"/>
      <c r="O85" s="36" t="n"/>
      <c r="P85" s="37" t="n"/>
      <c r="Q85" s="37" t="n"/>
      <c r="R85" s="30">
        <f>IF(COUNTA(I85:N85)&lt;6,"Lengkapi V4-V9",IF(AND(I85="R0",N85&lt;&gt;"K5"),"R0 harus berpasangan dengan K5",IF(AND(I85="R1",N85&lt;&gt;"K4",N85&lt;&gt;"K5"),"R1 hanya dengan K4 atau K5",IF(AND(I85="R2",N85="K5"),"R2 tidak boleh K5",IF(AND(K85="P9",J85&lt;&gt;"T17"),"P9 hanya dengan T17",IF(AND(J85="T01",K85&lt;&gt;"P6",Q85=""),"Periksa T01-P6: jelaskan di V12",IF(AND(K85="P1",N85&lt;&gt;"K4",Q85=""),"Periksa P1-K4: jelaskan di V12",IF(AND(J85="T99",Q85=""),"Periksa T99: wajib isi V12","OK"))))))))</f>
        <v/>
      </c>
    </row>
    <row r="86" ht="46.25" customHeight="1" s="21">
      <c r="A86" s="34" t="n">
        <v>86</v>
      </c>
      <c r="B86" s="34">
        <f>IF(Petunjuk!$C$4="","",Petunjuk!$C$4)</f>
        <v/>
      </c>
      <c r="C86" s="35" t="inlineStr">
        <is>
          <t>Perpres 39 Thn 2019 (Satu Data)</t>
        </is>
      </c>
      <c r="D86" s="34" t="n"/>
      <c r="E86" s="35" t="inlineStr">
        <is>
          <t>Pasal 39</t>
        </is>
      </c>
      <c r="F86" s="35" t="inlineStr">
        <is>
          <t>BAB IV
PENYELENGGARAAN SATU DATA INDONESIA</t>
        </is>
      </c>
      <c r="G86" s="35" t="inlineStr">
        <is>
          <t>Bagian Kelima
Penyebarluasan Data</t>
        </is>
      </c>
      <c r="H86" s="35" t="inlineStr">
        <is>
          <t>(1)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is>
      </c>
      <c r="I86" s="36" t="n"/>
      <c r="J86" s="36" t="n"/>
      <c r="K86" s="36" t="n"/>
      <c r="L86" s="36" t="n"/>
      <c r="M86" s="36" t="n"/>
      <c r="N86" s="36" t="n"/>
      <c r="O86" s="36" t="n"/>
      <c r="P86" s="37" t="n"/>
      <c r="Q86" s="37" t="n"/>
      <c r="R86" s="30">
        <f>IF(COUNTA(I86:N86)&lt;6,"Lengkapi V4-V9",IF(AND(I86="R0",N86&lt;&gt;"K5"),"R0 harus berpasangan dengan K5",IF(AND(I86="R1",N86&lt;&gt;"K4",N86&lt;&gt;"K5"),"R1 hanya dengan K4 atau K5",IF(AND(I86="R2",N86="K5"),"R2 tidak boleh K5",IF(AND(K86="P9",J86&lt;&gt;"T17"),"P9 hanya dengan T17",IF(AND(J86="T01",K86&lt;&gt;"P6",Q86=""),"Periksa T01-P6: jelaskan di V12",IF(AND(K86="P1",N86&lt;&gt;"K4",Q86=""),"Periksa P1-K4: jelaskan di V12",IF(AND(J86="T99",Q86=""),"Periksa T99: wajib isi V12","OK"))))))))</f>
        <v/>
      </c>
    </row>
  </sheetData>
  <autoFilter ref="A1:R86"/>
  <conditionalFormatting sqref="R2:R86">
    <cfRule type="expression" rank="0" priority="2" equalAverage="0" aboveAverage="0" dxfId="7" text="" percent="0" bottom="0">
      <formula>R2="OK"</formula>
    </cfRule>
    <cfRule type="expression" rank="0" priority="3" equalAverage="0" aboveAverage="0" dxfId="8" text="" percent="0" bottom="0">
      <formula>LEFT(R2,7)="Periksa"</formula>
    </cfRule>
    <cfRule type="expression" rank="0" priority="4" equalAverage="0" aboveAverage="0" dxfId="9" text="" percent="0" bottom="0">
      <formula>OR(LEFT(R2,1)="R",LEFT(R2,2)="P9")</formula>
    </cfRule>
  </conditionalFormatting>
  <dataValidations count="7">
    <dataValidation sqref="I2:I86" showDropDown="0" showInputMessage="0" showErrorMessage="1" allowBlank="1" errorTitle="Kode tidak valid" error="Pilih kode dari daftar. Lihat sheet Daftar Kode." type="list" errorStyle="stop" operator="between">
      <formula1>"R0,R1,R2"</formula1>
      <formula2>0</formula2>
    </dataValidation>
    <dataValidation sqref="J2:J86" showDropDown="0" showInputMessage="0" showErrorMessage="1" allowBlank="1" errorTitle="Kode tidak valid" error="Pilih kode dari daftar. Lihat sheet Daftar Kode." type="list" errorStyle="stop" operator="between">
      <formula1>"T01,T02,T03,T04,T05,T06,T07,T08,T09,T10,T11,T12,T13,T14,T15,T16,T17,T99"</formula1>
      <formula2>0</formula2>
    </dataValidation>
    <dataValidation sqref="K2:K86" showDropDown="0" showInputMessage="0" showErrorMessage="1" allowBlank="1" errorTitle="Kode tidak valid" error="Pilih kode dari daftar. Lihat sheet Daftar Kode." type="list" errorStyle="stop" operator="between">
      <formula1>"P1,P2,P3,P4,P5,P6,P7,P8,P9"</formula1>
      <formula2>0</formula2>
    </dataValidation>
    <dataValidation sqref="L2:L86" showDropDown="0" showInputMessage="0" showErrorMessage="1" allowBlank="1" errorTitle="Kode tidak valid" error="Pilih kode dari daftar. Lihat sheet Daftar Kode." type="list" errorStyle="stop" operator="between">
      <formula1>"S1,S2,S3,S4,S5,S6,S7,S8,S9"</formula1>
      <formula2>0</formula2>
    </dataValidation>
    <dataValidation sqref="M2:M86" showDropDown="0" showInputMessage="0" showErrorMessage="1" allowBlank="1" errorTitle="Kode tidak valid" error="Pilih kode dari daftar. Lihat sheet Daftar Kode." type="list" errorStyle="stop" operator="between">
      <formula1>"F1,F2,F3,F4,F5,F6,F7,F8"</formula1>
      <formula2>0</formula2>
    </dataValidation>
    <dataValidation sqref="N2:N86" showDropDown="0" showInputMessage="0" showErrorMessage="1" allowBlank="1" errorTitle="Kode tidak valid" error="Pilih kode dari daftar. Lihat sheet Daftar Kode." type="list" errorStyle="stop" operator="between">
      <formula1>"K1,K2,K3,K4,K5"</formula1>
      <formula2>0</formula2>
    </dataValidation>
    <dataValidation sqref="O2:O86" showDropDown="0" showInputMessage="0" showErrorMessage="1" allowBlank="1" errorTitle="Kode tidak valid" error="Pilih kode dari daftar. Lihat sheet Daftar Kode." type="list" errorStyle="stop" operator="between">
      <formula1>"T01,T02,T03,T04,T05,T06,T07,T08,T09,T10,T11,T12,T13,T14,T15,T16,T17"</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6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0" min="1" max="1"/>
    <col width="46" customWidth="1" style="20" min="2" max="2"/>
    <col width="70" customWidth="1" style="20" min="3" max="3"/>
  </cols>
  <sheetData>
    <row r="1" ht="15" customHeight="1" s="21">
      <c r="A1" s="24" t="inlineStr">
        <is>
          <t>Daftar kode (ringkasan dari codebook Versi 1.0; definisi lengkap ada di codebook)</t>
        </is>
      </c>
    </row>
    <row r="3" ht="15" customHeight="1" s="21">
      <c r="A3" s="39" t="inlineStr">
        <is>
          <t>V4 Relevansi</t>
        </is>
      </c>
      <c r="B3" s="40" t="n"/>
      <c r="C3" s="40" t="n"/>
    </row>
    <row r="4" ht="15" customHeight="1" s="21">
      <c r="A4" s="30" t="inlineStr">
        <is>
          <t>R0</t>
        </is>
      </c>
      <c r="B4" s="30" t="inlineStr">
        <is>
          <t>Tidak relevan</t>
        </is>
      </c>
      <c r="C4" s="30" t="inlineStr">
        <is>
          <t>Tidak memengaruhi desain atau perilaku sistem</t>
        </is>
      </c>
    </row>
    <row r="5" ht="15" customHeight="1" s="21">
      <c r="A5" s="30" t="inlineStr">
        <is>
          <t>R1</t>
        </is>
      </c>
      <c r="B5" s="30" t="inlineStr">
        <is>
          <t>Relevan tidak langsung</t>
        </is>
      </c>
      <c r="C5" s="30" t="inlineStr">
        <is>
          <t>Definisi, asas, konsep, latar, atau norma khusus pihak tertentu</t>
        </is>
      </c>
    </row>
    <row r="6" ht="23.85" customHeight="1" s="21">
      <c r="A6" s="30" t="inlineStr">
        <is>
          <t>R2</t>
        </is>
      </c>
      <c r="B6" s="30" t="inlineStr">
        <is>
          <t>Relevan langsung</t>
        </is>
      </c>
      <c r="C6" s="30" t="inlineStr">
        <is>
          <t>Kewajiban, larangan, hak, syarat, atau batasan yang dapat diturunkan menjadi kebutuhan sistem</t>
        </is>
      </c>
    </row>
    <row r="8" ht="15" customHeight="1" s="21">
      <c r="A8" s="39" t="inlineStr">
        <is>
          <t>V5 Tema Utama (jalankan pohon keputusan Bagian 6.2)</t>
        </is>
      </c>
      <c r="B8" s="40" t="n"/>
      <c r="C8" s="40" t="n"/>
    </row>
    <row r="9" ht="15" customHeight="1" s="21">
      <c r="A9" s="30" t="inlineStr">
        <is>
          <t>T01</t>
        </is>
      </c>
      <c r="B9" s="30" t="inlineStr">
        <is>
          <t>Definisi, Istilah, dan Ruang Lingkup</t>
        </is>
      </c>
      <c r="C9" s="30" t="n"/>
    </row>
    <row r="10" ht="15" customHeight="1" s="21">
      <c r="A10" s="30" t="inlineStr">
        <is>
          <t>T02</t>
        </is>
      </c>
      <c r="B10" s="30" t="inlineStr">
        <is>
          <t>Asas dan Prinsip Pemrosesan</t>
        </is>
      </c>
      <c r="C10" s="30" t="n"/>
    </row>
    <row r="11" ht="15" customHeight="1" s="21">
      <c r="A11" s="30" t="inlineStr">
        <is>
          <t>T03</t>
        </is>
      </c>
      <c r="B11" s="30" t="inlineStr">
        <is>
          <t>Jenis dan Klasifikasi Data Pribadi</t>
        </is>
      </c>
      <c r="C11" s="30" t="n"/>
    </row>
    <row r="12" ht="15" customHeight="1" s="21">
      <c r="A12" s="30" t="inlineStr">
        <is>
          <t>T04</t>
        </is>
      </c>
      <c r="B12" s="30" t="inlineStr">
        <is>
          <t>Hak Subjek Data Pribadi</t>
        </is>
      </c>
      <c r="C12" s="30" t="n"/>
    </row>
    <row r="13" ht="15" customHeight="1" s="21">
      <c r="A13" s="30" t="inlineStr">
        <is>
          <t>T05</t>
        </is>
      </c>
      <c r="B13" s="30" t="inlineStr">
        <is>
          <t>Dasar Pemrosesan dan Persetujuan</t>
        </is>
      </c>
      <c r="C13" s="30" t="n"/>
    </row>
    <row r="14" ht="15" customHeight="1" s="21">
      <c r="A14" s="30" t="inlineStr">
        <is>
          <t>T06</t>
        </is>
      </c>
      <c r="B14" s="30" t="inlineStr">
        <is>
          <t>Aktivitas Pemrosesan dan Pengumpulan</t>
        </is>
      </c>
      <c r="C14" s="30" t="n"/>
    </row>
    <row r="15" ht="15" customHeight="1" s="21">
      <c r="A15" s="30" t="inlineStr">
        <is>
          <t>T07</t>
        </is>
      </c>
      <c r="B15" s="30" t="inlineStr">
        <is>
          <t>Data Pribadi Anak dan Kelompok Rentan</t>
        </is>
      </c>
      <c r="C15" s="30" t="n"/>
    </row>
    <row r="16" ht="15" customHeight="1" s="21">
      <c r="A16" s="30" t="inlineStr">
        <is>
          <t>T08</t>
        </is>
      </c>
      <c r="B16" s="30" t="inlineStr">
        <is>
          <t>Kualitas, Akurasi, dan Pembaruan Data</t>
        </is>
      </c>
      <c r="C16" s="30" t="n"/>
    </row>
    <row r="17" ht="15" customHeight="1" s="21">
      <c r="A17" s="30" t="inlineStr">
        <is>
          <t>T09</t>
        </is>
      </c>
      <c r="B17" s="30" t="inlineStr">
        <is>
          <t>Akuntabilitas, Pencatatan, dan Tata Kelola Kepatuhan</t>
        </is>
      </c>
      <c r="C17" s="30" t="n"/>
    </row>
    <row r="18" ht="15" customHeight="1" s="21">
      <c r="A18" s="30" t="inlineStr">
        <is>
          <t>T10</t>
        </is>
      </c>
      <c r="B18" s="30" t="inlineStr">
        <is>
          <t>Keamanan, Kerahasiaan, dan Penanganan Insiden</t>
        </is>
      </c>
      <c r="C18" s="30" t="n"/>
    </row>
    <row r="19" ht="15" customHeight="1" s="21">
      <c r="A19" s="30" t="inlineStr">
        <is>
          <t>T11</t>
        </is>
      </c>
      <c r="B19" s="30" t="inlineStr">
        <is>
          <t>Retensi, Penghentian, Penghapusan, dan Pemusnahan</t>
        </is>
      </c>
      <c r="C19" s="30" t="n"/>
    </row>
    <row r="20" ht="15" customHeight="1" s="21">
      <c r="A20" s="30" t="inlineStr">
        <is>
          <t>T12</t>
        </is>
      </c>
      <c r="B20" s="30" t="inlineStr">
        <is>
          <t>Pengecualian dan Pembatasan</t>
        </is>
      </c>
      <c r="C20" s="30" t="n"/>
    </row>
    <row r="21" ht="15" customHeight="1" s="21">
      <c r="A21" s="30" t="inlineStr">
        <is>
          <t>T13</t>
        </is>
      </c>
      <c r="B21" s="30" t="inlineStr">
        <is>
          <t>Transfer dan Pengalihan Data</t>
        </is>
      </c>
      <c r="C21" s="30" t="n"/>
    </row>
    <row r="22" ht="15" customHeight="1" s="21">
      <c r="A22" s="30" t="inlineStr">
        <is>
          <t>T14</t>
        </is>
      </c>
      <c r="B22" s="30" t="inlineStr">
        <is>
          <t>Larangan dan Perbuatan Melawan Hukum</t>
        </is>
      </c>
      <c r="C22" s="30" t="n"/>
    </row>
    <row r="23" ht="15" customHeight="1" s="21">
      <c r="A23" s="30" t="inlineStr">
        <is>
          <t>T15</t>
        </is>
      </c>
      <c r="B23" s="30" t="inlineStr">
        <is>
          <t>Akses dan Pemanfaatan Data Pemerintah</t>
        </is>
      </c>
      <c r="C23" s="30" t="n"/>
    </row>
    <row r="24" ht="15" customHeight="1" s="21">
      <c r="A24" s="30" t="inlineStr">
        <is>
          <t>T16</t>
        </is>
      </c>
      <c r="B24" s="30" t="inlineStr">
        <is>
          <t>Urgensi, Konsep, dan Landasan Pelindungan Data</t>
        </is>
      </c>
      <c r="C24" s="30" t="n"/>
    </row>
    <row r="25" ht="15" customHeight="1" s="21">
      <c r="A25" s="30" t="inlineStr">
        <is>
          <t>T17</t>
        </is>
      </c>
      <c r="B25" s="30" t="inlineStr">
        <is>
          <t>Rujukan Regulasi Lain</t>
        </is>
      </c>
      <c r="C25" s="30" t="n"/>
    </row>
    <row r="26" ht="15" customHeight="1" s="21">
      <c r="A26" s="30" t="inlineStr">
        <is>
          <t>T99</t>
        </is>
      </c>
      <c r="B26" s="30" t="inlineStr">
        <is>
          <t>Lainnya</t>
        </is>
      </c>
      <c r="C26" s="30" t="inlineStr">
        <is>
          <t>Residual: hanya bila pohon keputusan tidak menghasilkan tema; wajib isi V12</t>
        </is>
      </c>
    </row>
    <row r="28" ht="15" customHeight="1" s="21">
      <c r="A28" s="39" t="inlineStr">
        <is>
          <t>V6 Jenis Pernyataan (prioritas bila seri: P1 &gt; P2 &gt; P3 &gt; P5 &gt; P4 &gt; P6 &gt; P7 &gt; P8 &gt; P9)</t>
        </is>
      </c>
      <c r="B28" s="40" t="n"/>
      <c r="C28" s="40" t="n"/>
    </row>
    <row r="29" ht="15" customHeight="1" s="21">
      <c r="A29" s="30" t="inlineStr">
        <is>
          <t>P1</t>
        </is>
      </c>
      <c r="B29" s="30" t="inlineStr">
        <is>
          <t>Larangan</t>
        </is>
      </c>
      <c r="C29" s="30" t="inlineStr">
        <is>
          <t>dilarang, tidak boleh</t>
        </is>
      </c>
    </row>
    <row r="30" ht="15" customHeight="1" s="21">
      <c r="A30" s="30" t="inlineStr">
        <is>
          <t>P2</t>
        </is>
      </c>
      <c r="B30" s="30" t="inlineStr">
        <is>
          <t>Kewajiban</t>
        </is>
      </c>
      <c r="C30" s="30" t="inlineStr">
        <is>
          <t>wajib, harus, berkewajiban</t>
        </is>
      </c>
    </row>
    <row r="31" ht="15" customHeight="1" s="21">
      <c r="A31" s="30" t="inlineStr">
        <is>
          <t>P3</t>
        </is>
      </c>
      <c r="B31" s="30" t="inlineStr">
        <is>
          <t>Hak</t>
        </is>
      </c>
      <c r="C31" s="30" t="inlineStr">
        <is>
          <t>berhak, hak</t>
        </is>
      </c>
    </row>
    <row r="32" ht="15" customHeight="1" s="21">
      <c r="A32" s="30" t="inlineStr">
        <is>
          <t>P4</t>
        </is>
      </c>
      <c r="B32" s="30" t="inlineStr">
        <is>
          <t>Kebolehan atau kewenangan</t>
        </is>
      </c>
      <c r="C32" s="30" t="inlineStr">
        <is>
          <t>dapat, boleh, berwenang</t>
        </is>
      </c>
    </row>
    <row r="33" ht="15" customHeight="1" s="21">
      <c r="A33" s="30" t="inlineStr">
        <is>
          <t>P5</t>
        </is>
      </c>
      <c r="B33" s="30" t="inlineStr">
        <is>
          <t>Pengecualian atau pembatasan</t>
        </is>
      </c>
      <c r="C33" s="30" t="inlineStr">
        <is>
          <t>dikecualikan, tidak berlaku, wajib menolak</t>
        </is>
      </c>
    </row>
    <row r="34" ht="15" customHeight="1" s="21">
      <c r="A34" s="30" t="inlineStr">
        <is>
          <t>P6</t>
        </is>
      </c>
      <c r="B34" s="30" t="inlineStr">
        <is>
          <t>Definisi, klasifikasi, atau ruang lingkup</t>
        </is>
      </c>
      <c r="C34" s="30" t="inlineStr">
        <is>
          <t>yang dimaksud dengan, meliputi, berlaku untuk</t>
        </is>
      </c>
    </row>
    <row r="35" ht="15" customHeight="1" s="21">
      <c r="A35" s="30" t="inlineStr">
        <is>
          <t>P7</t>
        </is>
      </c>
      <c r="B35" s="30" t="inlineStr">
        <is>
          <t>Asas, prinsip, atau tujuan umum</t>
        </is>
      </c>
      <c r="C35" s="30" t="n"/>
    </row>
    <row r="36" ht="15" customHeight="1" s="21">
      <c r="A36" s="30" t="inlineStr">
        <is>
          <t>P8</t>
        </is>
      </c>
      <c r="B36" s="30" t="inlineStr">
        <is>
          <t>Deskriptif, argumentatif, atau rekomendasi</t>
        </is>
      </c>
      <c r="C36" s="30" t="inlineStr">
        <is>
          <t>khas artikel</t>
        </is>
      </c>
    </row>
    <row r="37" ht="15" customHeight="1" s="21">
      <c r="A37" s="30" t="inlineStr">
        <is>
          <t>P9</t>
        </is>
      </c>
      <c r="B37" s="30" t="inlineStr">
        <is>
          <t>Rujukan atau daftar</t>
        </is>
      </c>
      <c r="C37" s="30" t="inlineStr">
        <is>
          <t>hanya berpasangan dengan T17</t>
        </is>
      </c>
    </row>
    <row r="39" ht="15" customHeight="1" s="21">
      <c r="A39" s="39" t="inlineStr">
        <is>
          <t>V7 Subjek Norma</t>
        </is>
      </c>
      <c r="B39" s="40" t="n"/>
      <c r="C39" s="40" t="n"/>
    </row>
    <row r="40" ht="15" customHeight="1" s="21">
      <c r="A40" s="30" t="inlineStr">
        <is>
          <t>S1</t>
        </is>
      </c>
      <c r="B40" s="30" t="inlineStr">
        <is>
          <t>Pengendali Data Pribadi</t>
        </is>
      </c>
      <c r="C40" s="30" t="n"/>
    </row>
    <row r="41" ht="15" customHeight="1" s="21">
      <c r="A41" s="30" t="inlineStr">
        <is>
          <t>S2</t>
        </is>
      </c>
      <c r="B41" s="30" t="inlineStr">
        <is>
          <t>Prosesor Data Pribadi</t>
        </is>
      </c>
      <c r="C41" s="30" t="n"/>
    </row>
    <row r="42" ht="15" customHeight="1" s="21">
      <c r="A42" s="30" t="inlineStr">
        <is>
          <t>S3</t>
        </is>
      </c>
      <c r="B42" s="30" t="inlineStr">
        <is>
          <t>Pengendali dan Prosesor</t>
        </is>
      </c>
      <c r="C42" s="30" t="inlineStr">
        <is>
          <t>keduanya disebut</t>
        </is>
      </c>
    </row>
    <row r="43" ht="15" customHeight="1" s="21">
      <c r="A43" s="30" t="inlineStr">
        <is>
          <t>S4</t>
        </is>
      </c>
      <c r="B43" s="30" t="inlineStr">
        <is>
          <t>Subjek Data Pribadi</t>
        </is>
      </c>
      <c r="C43" s="30" t="n"/>
    </row>
    <row r="44" ht="15" customHeight="1" s="21">
      <c r="A44" s="30" t="inlineStr">
        <is>
          <t>S5</t>
        </is>
      </c>
      <c r="B44" s="30" t="inlineStr">
        <is>
          <t>Setiap Orang atau pihak umum</t>
        </is>
      </c>
      <c r="C44" s="30" t="n"/>
    </row>
    <row r="45" ht="15" customHeight="1" s="21">
      <c r="A45" s="30" t="inlineStr">
        <is>
          <t>S6</t>
        </is>
      </c>
      <c r="B45" s="30" t="inlineStr">
        <is>
          <t>Instansi atau Badan Publik</t>
        </is>
      </c>
      <c r="C45" s="30" t="n"/>
    </row>
    <row r="46" ht="15" customHeight="1" s="21">
      <c r="A46" s="30" t="inlineStr">
        <is>
          <t>S7</t>
        </is>
      </c>
      <c r="B46" s="30" t="inlineStr">
        <is>
          <t>Lembaga atau Pemerintah (otoritas)</t>
        </is>
      </c>
      <c r="C46" s="30" t="n"/>
    </row>
    <row r="47" ht="15" customHeight="1" s="21">
      <c r="A47" s="30" t="inlineStr">
        <is>
          <t>S8</t>
        </is>
      </c>
      <c r="B47" s="30" t="inlineStr">
        <is>
          <t>Penyelenggara sektor atau pihak lain</t>
        </is>
      </c>
      <c r="C47" s="30" t="n"/>
    </row>
    <row r="48" ht="15" customHeight="1" s="21">
      <c r="A48" s="30" t="inlineStr">
        <is>
          <t>S9</t>
        </is>
      </c>
      <c r="B48" s="30" t="inlineStr">
        <is>
          <t>Tidak ada subjek eksplisit</t>
        </is>
      </c>
      <c r="C48" s="30" t="inlineStr">
        <is>
          <t>jangan menebak subjek</t>
        </is>
      </c>
    </row>
    <row r="50" ht="15" customHeight="1" s="21">
      <c r="A50" s="39" t="inlineStr">
        <is>
          <t>V8 Tahap Siklus Scraping (bila beberapa tahap F1 sampai F6, pilih yang paling awal)</t>
        </is>
      </c>
      <c r="B50" s="40" t="n"/>
      <c r="C50" s="40" t="n"/>
    </row>
    <row r="51" ht="15" customHeight="1" s="21">
      <c r="A51" s="30" t="inlineStr">
        <is>
          <t>F1</t>
        </is>
      </c>
      <c r="B51" s="30" t="inlineStr">
        <is>
          <t>Perencanaan dan dasar pemrosesan</t>
        </is>
      </c>
      <c r="C51" s="30" t="n"/>
    </row>
    <row r="52" ht="15" customHeight="1" s="21">
      <c r="A52" s="30" t="inlineStr">
        <is>
          <t>F2</t>
        </is>
      </c>
      <c r="B52" s="30" t="inlineStr">
        <is>
          <t>Pengumpulan atau akuisisi</t>
        </is>
      </c>
      <c r="C52" s="30" t="n"/>
    </row>
    <row r="53" ht="15" customHeight="1" s="21">
      <c r="A53" s="30" t="inlineStr">
        <is>
          <t>F3</t>
        </is>
      </c>
      <c r="B53" s="30" t="inlineStr">
        <is>
          <t>Pengolahan dan analisis</t>
        </is>
      </c>
      <c r="C53" s="30" t="n"/>
    </row>
    <row r="54" ht="15" customHeight="1" s="21">
      <c r="A54" s="30" t="inlineStr">
        <is>
          <t>F4</t>
        </is>
      </c>
      <c r="B54" s="30" t="inlineStr">
        <is>
          <t>Penyimpanan dan pengamanan</t>
        </is>
      </c>
      <c r="C54" s="30" t="n"/>
    </row>
    <row r="55" ht="15" customHeight="1" s="21">
      <c r="A55" s="30" t="inlineStr">
        <is>
          <t>F5</t>
        </is>
      </c>
      <c r="B55" s="30" t="inlineStr">
        <is>
          <t>Penyebarluasan dan transfer</t>
        </is>
      </c>
      <c r="C55" s="30" t="n"/>
    </row>
    <row r="56" ht="15" customHeight="1" s="21">
      <c r="A56" s="30" t="inlineStr">
        <is>
          <t>F6</t>
        </is>
      </c>
      <c r="B56" s="30" t="inlineStr">
        <is>
          <t>Retensi dan penghapusan</t>
        </is>
      </c>
      <c r="C56" s="30" t="n"/>
    </row>
    <row r="57" ht="15" customHeight="1" s="21">
      <c r="A57" s="30" t="inlineStr">
        <is>
          <t>F7</t>
        </is>
      </c>
      <c r="B57" s="30" t="inlineStr">
        <is>
          <t>Tata kelola dan hak subjek</t>
        </is>
      </c>
      <c r="C57" s="30" t="n"/>
    </row>
    <row r="58" ht="15" customHeight="1" s="21">
      <c r="A58" s="30" t="inlineStr">
        <is>
          <t>F8</t>
        </is>
      </c>
      <c r="B58" s="30" t="inlineStr">
        <is>
          <t>Lintas tahap atau tidak spesifik</t>
        </is>
      </c>
      <c r="C58" s="30" t="n"/>
    </row>
    <row r="60" ht="15" customHeight="1" s="21">
      <c r="A60" s="39" t="inlineStr">
        <is>
          <t>V9 Kandidat Kebutuhan SRS (urutan periksa: K1, K2, K3, K4)</t>
        </is>
      </c>
      <c r="B60" s="40" t="n"/>
      <c r="C60" s="40" t="n"/>
    </row>
    <row r="61" ht="15" customHeight="1" s="21">
      <c r="A61" s="30" t="inlineStr">
        <is>
          <t>K1</t>
        </is>
      </c>
      <c r="B61" s="30" t="inlineStr">
        <is>
          <t>Fungsional</t>
        </is>
      </c>
      <c r="C61" s="30" t="inlineStr">
        <is>
          <t>Tindakan spesifik yang dapat diuji</t>
        </is>
      </c>
    </row>
    <row r="62" ht="15" customHeight="1" s="21">
      <c r="A62" s="30" t="inlineStr">
        <is>
          <t>K2</t>
        </is>
      </c>
      <c r="B62" s="30" t="inlineStr">
        <is>
          <t>Non-fungsional: keamanan dan kerahasiaan</t>
        </is>
      </c>
      <c r="C62" s="30" t="n"/>
    </row>
    <row r="63" ht="15" customHeight="1" s="21">
      <c r="A63" s="30" t="inlineStr">
        <is>
          <t>K3</t>
        </is>
      </c>
      <c r="B63" s="30" t="inlineStr">
        <is>
          <t>Non-fungsional: kepatuhan dan akuntabilitas</t>
        </is>
      </c>
      <c r="C63" s="30" t="n"/>
    </row>
    <row r="64" ht="15" customHeight="1" s="21">
      <c r="A64" s="30" t="inlineStr">
        <is>
          <t>K4</t>
        </is>
      </c>
      <c r="B64" s="30" t="inlineStr">
        <is>
          <t>Batasan atau aturan bisnis hukum</t>
        </is>
      </c>
      <c r="C64" s="30" t="n"/>
    </row>
    <row r="65" ht="15" customHeight="1" s="21">
      <c r="A65" s="30" t="inlineStr">
        <is>
          <t>K5</t>
        </is>
      </c>
      <c r="B65" s="30" t="inlineStr">
        <is>
          <t>Tidak menghasilkan kebutuhan</t>
        </is>
      </c>
      <c r="C65" s="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2026-10-15T03:05:08Z</dcterms:created>
  <dcterms:modified xmlns:dcterms="http://purl.org/dc/terms/" xmlns:xsi="http://www.w3.org/2001/XMLSchema-instance" xsi:type="dcterms:W3CDTF">2026-10-19T04:14:39Z</dcterms:modified>
  <cp:revision>0</cp:revision>
</cp:coreProperties>
</file>