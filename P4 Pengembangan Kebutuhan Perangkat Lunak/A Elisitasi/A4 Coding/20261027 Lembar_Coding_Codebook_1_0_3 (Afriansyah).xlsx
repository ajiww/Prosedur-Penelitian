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Petunjuk" sheetId="1" state="visible" r:id="rId1"/>
    <sheet name="Lembar Coding" sheetId="2" state="visible" r:id="rId2"/>
    <sheet name="Daftar Kode" sheetId="3" state="visible" r:id="rId3"/>
    <sheet name="Korpus" sheetId="4" state="hidden" r:id="rId4"/>
  </sheets>
  <definedNames>
    <definedName name="_xlnm._FilterDatabase" localSheetId="1" hidden="1">'Lembar Coding'!$A$1:$S$86</definedName>
    <definedName name="_xlnm._FilterDatabase" localSheetId="1" hidden="1">'Lembar Coding'!$A$1:$S$86</definedName>
  </definedNames>
  <calcPr iterateDelta="0.0001"/>
  <extLst>
    <ext xmlns:x15="http://schemas.microsoft.com/office/spreadsheetml/2010/11/main" uri="{D0CA8CA8-9F24-4464-BF8E-62219DCF47F9}"/>
  </extLst>
</workbook>
</file>

<file path=xl/sharedStrings.xml><?xml version="1.0" encoding="utf-8"?>
<sst xmlns="http://schemas.openxmlformats.org/spreadsheetml/2006/main" count="408" uniqueCount="408">
  <si>
    <t xml:space="preserve">Lembar Coding: Analisis Isi Krippendorff</t>
  </si>
  <si>
    <t xml:space="preserve">Codebook versi 1.0.3 (25 Oktober 2026). Panduan Coder untuk Penyusunan SRS Web Scraping yang Mengintegrasikan Aspek Legalitas dan Etika Privasi Data.</t>
  </si>
  <si>
    <t xml:space="preserve">Kode coder (isi satu kali):</t>
  </si>
  <si>
    <t>Afriansyah</t>
  </si>
  <si>
    <t xml:space="preserve">V2 pada Lembar Coding terisi otomatis dari sel ini.</t>
  </si>
  <si>
    <t xml:space="preserve">Prosedur singkat (Bagian 5 codebook)</t>
  </si>
  <si>
    <t>1</t>
  </si>
  <si>
    <t xml:space="preserve">Baca kolom Isi secara utuh, lalu kolom Rujukan. Buka BAB dan Bagian (kolom R dan S, tersembunyi) hanya bila perlu memahami rujukan antarunit.</t>
  </si>
  <si>
    <t>2</t>
  </si>
  <si>
    <t xml:space="preserve">Tentukan V4 Subjek Norma terlebih dahulu (Bagian 7.1), lalu V5 Relevansi dengan Uji Implikasi (Bagian 6 dan 7.2).</t>
  </si>
  <si>
    <t>3</t>
  </si>
  <si>
    <t xml:space="preserve">Tentukan V6 Tema Utama dengan pohon keputusan (Bagian 7.3), lalu V7 (Bagian 7.4), V8 (Bagian 7.5), dan V9 (Bagian 7.6).</t>
  </si>
  <si>
    <t>4</t>
  </si>
  <si>
    <t xml:space="preserve">Untuk unit R2, tulis V11 Draf Kebutuhan satu kalimat (opsional). Catat keraguan di V12. Kode residual T99 hanya bila tidak ada tema yang cocok.</t>
  </si>
  <si>
    <t>5</t>
  </si>
  <si>
    <t xml:space="preserve">Periksa kolom Cek Konsistensi (Q) setiap selesai satu baris (Bagian 9). Bila tidak OK, ulangi coding atau jelaskan di V12.</t>
  </si>
  <si>
    <t>6</t>
  </si>
  <si>
    <t xml:space="preserve">Kodekan setiap unit secara independen. Jangan berdiskusi dengan coder lain sebelum seluruh unit selesai.</t>
  </si>
  <si>
    <t>Legenda</t>
  </si>
  <si>
    <t xml:space="preserve">Sel kuning</t>
  </si>
  <si>
    <t xml:space="preserve">Sel yang diisi coder (V4 sampai V12). Sel V4 sampai V10 memakai daftar pilihan (Kode - Label).</t>
  </si>
  <si>
    <t xml:space="preserve">Sel putih</t>
  </si>
  <si>
    <t xml:space="preserve">Terisi otomatis dari sheet Korpus atau formula. Jangan diubah.</t>
  </si>
  <si>
    <t xml:space="preserve">Kolom Pilot</t>
  </si>
  <si>
    <t xml:space="preserve">Unit bertanda Ya dipakai pada uji coba (pilot): baris 13, 21, 25, 30, 35, 42, 44, 52, 54, 56, 70, 79, 81.</t>
  </si>
  <si>
    <t xml:space="preserve">Variabel dan nilai sah (Bagian 4)</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</si>
  <si>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</si>
  <si>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</si>
  <si>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</si>
  <si>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</si>
  <si>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</si>
  <si>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</si>
  <si>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</si>
  <si>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</si>
  <si>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</si>
  <si>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</si>
  <si>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</si>
  <si>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T16, T99</t>
  </si>
  <si>
    <t xml:space="preserve">V7 Jenis_Pernyataan</t>
  </si>
  <si>
    <t xml:space="preserve">P1 sampai P8</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</si>
  <si>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</si>
  <si>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</si>
  <si>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</si>
  <si>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</si>
  <si>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</si>
  <si>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T16 (opsional)</t>
  </si>
  <si>
    <t xml:space="preserve">V11 Draf_Kebutuhan</t>
  </si>
  <si>
    <t xml:space="preserve">Teks bebas, satu kalimat "Sistem harus/tidak boleh..." (opsional, untuk R2)</t>
  </si>
  <si>
    <t xml:space="preserve">V12 Catatan</t>
  </si>
  <si>
    <t xml:space="preserve">Teks bebas</t>
  </si>
  <si>
    <t xml:space="preserve">Contoh pengisian satu baris (Bagian 3 dan 10)</t>
  </si>
  <si>
    <t xml:space="preserve">Isi (ringkas)</t>
  </si>
  <si>
    <t xml:space="preserve">Baris 67, Pasal 40 UU 27/2022: wajib menghentikan pemrosesan setelah persetujuan ditarik, paling lambat 3 x 24 jam.</t>
  </si>
  <si>
    <t>Kode</t>
  </si>
  <si>
    <t xml:space="preserve">V4 S1 | V5 R2 | V6 T08 | V7 P2 | V8 F6 | V9 K3. Alasan: kewajiban dengan batas waktu yang dapat diuji.</t>
  </si>
  <si>
    <t xml:space="preserve">Rujukan (Pasal atau Paragraf dan Kalimat)</t>
  </si>
  <si>
    <t>Isi</t>
  </si>
  <si>
    <t>Pilot</t>
  </si>
  <si>
    <t xml:space="preserve">Kelengkapan V4 sampai V9</t>
  </si>
  <si>
    <t xml:space="preserve">Cek Konsistensi (Bagian 9)</t>
  </si>
  <si>
    <t>BAB</t>
  </si>
  <si>
    <t>Bagian</t>
  </si>
  <si>
    <t xml:space="preserve">S9 - Tidak ada subjek perorangan atau organisasi eksplisit</t>
  </si>
  <si>
    <t xml:space="preserve">R2 - Relevan langsung</t>
  </si>
  <si>
    <t xml:space="preserve">T11 - Keamanan, Kerahasiaan, dan Penanganan Insiden</t>
  </si>
  <si>
    <t xml:space="preserve">P7 - Asas, prinsip, atau tujuan umum</t>
  </si>
  <si>
    <t xml:space="preserve">F8 - Lintas tahap atau tidak spesifik</t>
  </si>
  <si>
    <t xml:space="preserve">K1 - Non-fungsional: keamanan dan kerahasiaan. Apakah inti teks melindungi data dari akses atau gangguan tidak sah?</t>
  </si>
  <si>
    <t xml:space="preserve">T03 - Larangan dan Perbuatan Melawan Hukum</t>
  </si>
  <si>
    <t>CC</t>
  </si>
  <si>
    <t xml:space="preserve">S4 - Subjek Data Pribadi</t>
  </si>
  <si>
    <t xml:space="preserve">R1 - Relevan tidak langsung</t>
  </si>
  <si>
    <t xml:space="preserve">T01 - Definisi, Istilah, dan Ruang Lingkup</t>
  </si>
  <si>
    <t xml:space="preserve">P3 - Hak</t>
  </si>
  <si>
    <t xml:space="preserve">F7 - Tata kelola dan hak subjek</t>
  </si>
  <si>
    <t xml:space="preserve">T15 - Asas dan Prinsip Pemrosesan</t>
  </si>
  <si>
    <t xml:space="preserve">Dipilih P3 (Hak) karena isi utama secara eksplisit menyebutkan kata-kata "Setiap orang berhak…."</t>
  </si>
  <si>
    <t>Ya</t>
  </si>
  <si>
    <t xml:space="preserve">T02 - Latar Normatif dan Rujukan Non-operasional</t>
  </si>
  <si>
    <t xml:space="preserve">P8 - Deskriptif, argumentatif, dan rujukan</t>
  </si>
  <si>
    <t xml:space="preserve">K2 - Non-fungsional: mutu data, kepatuhan, dan akuntabilitas. Apakah ini mutu atau bukti yang berlaku untuk seluruh sistem, bukan hanya satu operasi?</t>
  </si>
  <si>
    <t xml:space="preserve">S7 - Otoritas Penetap atau Pengawas Kebijakan</t>
  </si>
  <si>
    <t xml:space="preserve">S8 - Penyelenggara sektor atau pihak lain</t>
  </si>
  <si>
    <t xml:space="preserve">P2 - Kewajiban</t>
  </si>
  <si>
    <t xml:space="preserve">T08 - Retensi, Penghentian, Penghapusan, dan Pemusnahan</t>
  </si>
  <si>
    <t xml:space="preserve">R0 - Tidak relevan</t>
  </si>
  <si>
    <t xml:space="preserve">K5 - Tidak menghasilkan kebutuhan. Apakah teks benar-benar tidak dapat diterjemahkan menjadi kalimat "Sistem harus/tidak boleh …"?</t>
  </si>
  <si>
    <t xml:space="preserve">P6 - Definisi, klasifikasi, atau ruang lingkup</t>
  </si>
  <si>
    <t xml:space="preserve">K4 - Batasan atau aturan bisnis hukum. Apakah teks membatasi apa yang boleh dilakukan sistem, atau apa dan siapa yang tercakup?</t>
  </si>
  <si>
    <t xml:space="preserve">T05 - Jenis dan Klasifikasi Data Pribadi</t>
  </si>
  <si>
    <t xml:space="preserve">T13 - Akuntabilitas, Pencatatan, dan Tata Kelola Kepatuhan</t>
  </si>
  <si>
    <t xml:space="preserve">T07 - Hak Subjek Data Pribadi</t>
  </si>
  <si>
    <t xml:space="preserve">K3 - Fungsional. Dapatkah ditulis "Sistem harus [melakukan X]" dengan hasil hanya lulus atau gagal?</t>
  </si>
  <si>
    <t xml:space="preserve">F6 - Retensi dan penghapusan</t>
  </si>
  <si>
    <t xml:space="preserve">T04 - Pengecualian dan Pembatasan</t>
  </si>
  <si>
    <t xml:space="preserve">F2 - Pengumpulan atau akuisisi</t>
  </si>
  <si>
    <t xml:space="preserve">T16 - Aktivitas Pemrosesan dan Pengumpulan</t>
  </si>
  <si>
    <t xml:space="preserve">T09 - Dasar Pemrosesan dan Persetujuan</t>
  </si>
  <si>
    <t xml:space="preserve">F1 - Perencanaan dan dasar pemrosesan</t>
  </si>
  <si>
    <t xml:space="preserve">S5 - Setiap Orang atau pihak umum</t>
  </si>
  <si>
    <t xml:space="preserve">T06 - Data Pribadi Anak dan Kelompok Rentan</t>
  </si>
  <si>
    <t xml:space="preserve">S2 - Pengendali Data Pribadi</t>
  </si>
  <si>
    <t xml:space="preserve">F3 - Pengolahan dan analisis</t>
  </si>
  <si>
    <t xml:space="preserve">T12 - Kualitas, Akurasi, dan Pembaruan Data</t>
  </si>
  <si>
    <t xml:space="preserve">F4 - Penyimpanan dan pengamanan</t>
  </si>
  <si>
    <t xml:space="preserve">T10 - Transfer dan Pengalihan Data</t>
  </si>
  <si>
    <t xml:space="preserve">P5 - Kebolehan atau kewenangan</t>
  </si>
  <si>
    <t xml:space="preserve">F5 - Penyebarluasan dan transfer</t>
  </si>
  <si>
    <t xml:space="preserve">P1 - Larangan</t>
  </si>
  <si>
    <t xml:space="preserve">S6 - Instansi atau Badan Publik</t>
  </si>
  <si>
    <t xml:space="preserve">T14 - Akses dan Pemanfaatan Data Pemerintah</t>
  </si>
  <si>
    <t xml:space="preserve">Daftar kode sah (Codebook versi 1.0.3)</t>
  </si>
  <si>
    <t xml:space="preserve">Sumber: Bagian 7 codebook (7.1 sampai 7.6). Kolom Kode (B) dipakai oleh daftar pilihan (validasi data) pada lembar coding; kolom D hanya tampilan gabungan kode dan label.</t>
  </si>
  <si>
    <t>Variabel</t>
  </si>
  <si>
    <t>Label</t>
  </si>
  <si>
    <t>S1</t>
  </si>
  <si>
    <t xml:space="preserve">Pengendali dan Prosesor</t>
  </si>
  <si>
    <t>S2</t>
  </si>
  <si>
    <t xml:space="preserve">Pengendali Data Pribadi</t>
  </si>
  <si>
    <t>S3</t>
  </si>
  <si>
    <t xml:space="preserve">Prosesor Data Pribadi</t>
  </si>
  <si>
    <t>S4</t>
  </si>
  <si>
    <t xml:space="preserve">Subjek Data Pribadi</t>
  </si>
  <si>
    <t>S5</t>
  </si>
  <si>
    <t xml:space="preserve">Setiap Orang atau pihak umum</t>
  </si>
  <si>
    <t>S6</t>
  </si>
  <si>
    <t xml:space="preserve">Instansi atau Badan Publik</t>
  </si>
  <si>
    <t>S7</t>
  </si>
  <si>
    <t xml:space="preserve">Otoritas Penetap atau Pengawas Kebijakan</t>
  </si>
  <si>
    <t>S8</t>
  </si>
  <si>
    <t xml:space="preserve">Penyelenggara sektor atau pihak lain</t>
  </si>
  <si>
    <t>S9</t>
  </si>
  <si>
    <t xml:space="preserve">Tidak ada subjek perorangan atau organisasi eksplisit</t>
  </si>
  <si>
    <t>R0</t>
  </si>
  <si>
    <t xml:space="preserve">Tidak relevan</t>
  </si>
  <si>
    <t>R1</t>
  </si>
  <si>
    <t xml:space="preserve">Relevan tidak langsung</t>
  </si>
  <si>
    <t>R2</t>
  </si>
  <si>
    <t xml:space="preserve">Relevan langsung</t>
  </si>
  <si>
    <t>T01</t>
  </si>
  <si>
    <t xml:space="preserve">Definisi, Istilah, dan Ruang Lingkup</t>
  </si>
  <si>
    <t>T02</t>
  </si>
  <si>
    <t xml:space="preserve">Latar Normatif dan Rujukan Non-operasional</t>
  </si>
  <si>
    <t>T03</t>
  </si>
  <si>
    <t xml:space="preserve">Larangan dan Perbuatan Melawan Hukum</t>
  </si>
  <si>
    <t>T04</t>
  </si>
  <si>
    <t xml:space="preserve">Pengecualian dan Pembatasan</t>
  </si>
  <si>
    <t>T05</t>
  </si>
  <si>
    <t xml:space="preserve">Jenis dan Klasifikasi Data Pribadi</t>
  </si>
  <si>
    <t>T06</t>
  </si>
  <si>
    <t xml:space="preserve">Data Pribadi Anak dan Kelompok Rentan</t>
  </si>
  <si>
    <t>T07</t>
  </si>
  <si>
    <t xml:space="preserve">Hak Subjek Data Pribadi</t>
  </si>
  <si>
    <t>T08</t>
  </si>
  <si>
    <t xml:space="preserve">Retensi, Penghentian, Penghapusan, dan Pemusnahan</t>
  </si>
  <si>
    <t>T09</t>
  </si>
  <si>
    <t xml:space="preserve">Dasar Pemrosesan dan Persetujuan</t>
  </si>
  <si>
    <t>T10</t>
  </si>
  <si>
    <t xml:space="preserve">Transfer dan Pengalihan Data</t>
  </si>
  <si>
    <t>T11</t>
  </si>
  <si>
    <t xml:space="preserve">Keamanan, Kerahasiaan, dan Penanganan Insiden</t>
  </si>
  <si>
    <t>T12</t>
  </si>
  <si>
    <t xml:space="preserve">Kualitas, Akurasi, dan Pembaruan Data</t>
  </si>
  <si>
    <t>T13</t>
  </si>
  <si>
    <t xml:space="preserve">Akuntabilitas, Pencatatan, dan Tata Kelola Kepatuhan</t>
  </si>
  <si>
    <t>T14</t>
  </si>
  <si>
    <t xml:space="preserve">Akses dan Pemanfaatan Data Pemerintah</t>
  </si>
  <si>
    <t>T15</t>
  </si>
  <si>
    <t xml:space="preserve">Asas dan Prinsip Pemrosesan</t>
  </si>
  <si>
    <t>T16</t>
  </si>
  <si>
    <t xml:space="preserve">Aktivitas Pemrosesan dan Pengumpulan</t>
  </si>
  <si>
    <t>T99</t>
  </si>
  <si>
    <t xml:space="preserve">Lainnya (wajib jelaskan di V12)</t>
  </si>
  <si>
    <t>P1</t>
  </si>
  <si>
    <t>Larangan</t>
  </si>
  <si>
    <t>P2</t>
  </si>
  <si>
    <t>Kewajiban</t>
  </si>
  <si>
    <t>P3</t>
  </si>
  <si>
    <t>Hak</t>
  </si>
  <si>
    <t>P4</t>
  </si>
  <si>
    <t xml:space="preserve">Pengecualian atau pembatasan</t>
  </si>
  <si>
    <t>P5</t>
  </si>
  <si>
    <t xml:space="preserve">Kebolehan atau kewenangan</t>
  </si>
  <si>
    <t>P6</t>
  </si>
  <si>
    <t xml:space="preserve">Definisi, klasifikasi, atau ruang lingkup</t>
  </si>
  <si>
    <t>P7</t>
  </si>
  <si>
    <t xml:space="preserve">Asas, prinsip, atau tujuan umum</t>
  </si>
  <si>
    <t>P8</t>
  </si>
  <si>
    <t xml:space="preserve">Deskriptif, argumentatif, dan rujukan</t>
  </si>
  <si>
    <t>F1</t>
  </si>
  <si>
    <t xml:space="preserve">Perencanaan dan dasar pemrosesan</t>
  </si>
  <si>
    <t>F2</t>
  </si>
  <si>
    <t xml:space="preserve">Pengumpulan atau akuisisi</t>
  </si>
  <si>
    <t>F3</t>
  </si>
  <si>
    <t xml:space="preserve">Pengolahan dan analisis</t>
  </si>
  <si>
    <t>F4</t>
  </si>
  <si>
    <t xml:space="preserve">Penyimpanan dan pengamanan</t>
  </si>
  <si>
    <t>F5</t>
  </si>
  <si>
    <t xml:space="preserve">Penyebarluasan dan transfer</t>
  </si>
  <si>
    <t>F6</t>
  </si>
  <si>
    <t xml:space="preserve">Retensi dan penghapusan</t>
  </si>
  <si>
    <t>F7</t>
  </si>
  <si>
    <t xml:space="preserve">Tata kelola dan hak subjek</t>
  </si>
  <si>
    <t>F8</t>
  </si>
  <si>
    <t xml:space="preserve">Lintas tahap atau tidak spesifik</t>
  </si>
  <si>
    <t>K1</t>
  </si>
  <si>
    <t xml:space="preserve">Non-fungsional: keamanan dan kerahasiaan. Apakah inti teks melindungi data dari akses atau gangguan tidak sah?</t>
  </si>
  <si>
    <t>K2</t>
  </si>
  <si>
    <t xml:space="preserve">Non-fungsional: mutu data, kepatuhan, dan akuntabilitas. Apakah ini mutu atau bukti yang berlaku untuk seluruh sistem, bukan hanya satu operasi?</t>
  </si>
  <si>
    <t>K3</t>
  </si>
  <si>
    <t xml:space="preserve">Fungsional. Dapatkah ditulis "Sistem harus [melakukan X]" dengan hasil hanya lulus atau gagal?</t>
  </si>
  <si>
    <t>K4</t>
  </si>
  <si>
    <t xml:space="preserve">Batasan atau aturan bisnis hukum. Apakah teks membatasi apa yang boleh dilakukan sistem, atau apa dan siapa yang tercakup?</t>
  </si>
  <si>
    <t>K5</t>
  </si>
  <si>
    <t xml:space="preserve">Tidak menghasilkan kebutuhan. Apakah teks benar-benar tidak dapat diterjemahkan menjadi kalimat "Sistem harus/tidak boleh …"?</t>
  </si>
  <si>
    <t>Dokumen</t>
  </si>
  <si>
    <t>Paragraf</t>
  </si>
  <si>
    <t>Pasal</t>
  </si>
  <si>
    <t>CATATAN</t>
  </si>
  <si>
    <t>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</si>
  <si>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</si>
  <si>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</si>
  <si>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</si>
  <si>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</si>
  <si>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</si>
  <si>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Korpus_Codebook_1.xlsx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</si>
  <si>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</si>
  <si>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</si>
  <si>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</si>
  <si>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</si>
  <si>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</si>
  <si>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12.2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</si>
  <si>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</si>
  <si>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</si>
  <si>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</si>
  <si>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</si>
  <si>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</si>
  <si>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</si>
  <si>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</si>
  <si>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</si>
  <si>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</si>
  <si>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</si>
  <si>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</si>
  <si>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</si>
  <si>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</si>
  <si>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</si>
  <si>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</si>
  <si>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</si>
  <si>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</si>
  <si>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</si>
  <si>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</si>
  <si>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</si>
  <si>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</si>
  <si>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</si>
  <si>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</si>
  <si>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</si>
  <si>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</si>
  <si>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</si>
  <si>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</si>
  <si>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</si>
  <si>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</si>
  <si>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</si>
  <si>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</si>
  <si>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</si>
  <si>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</si>
  <si>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</si>
  <si>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</si>
  <si>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</si>
  <si>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</si>
  <si>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</si>
  <si>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</si>
  <si>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</si>
  <si>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</si>
  <si>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</si>
  <si>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</si>
  <si>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</si>
  <si>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</si>
  <si>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</si>
  <si>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</si>
  <si>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</si>
  <si>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</si>
  <si>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</si>
  <si>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</si>
  <si>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</si>
  <si>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</si>
  <si>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</si>
  <si>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</si>
  <si>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</si>
  <si>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</si>
  <si>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</si>
  <si>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</si>
  <si>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</si>
  <si>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</si>
  <si>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</si>
  <si>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</si>
  <si>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</si>
  <si>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</si>
  <si>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</si>
  <si>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</si>
  <si>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</si>
  <si>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</si>
  <si>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</si>
  <si>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</si>
  <si>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</si>
  <si>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</si>
  <si>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</si>
  <si>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</si>
  <si>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</si>
  <si>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</si>
  <si>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</si>
  <si>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</si>
  <si>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</si>
  <si>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</si>
  <si>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</si>
  <si>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</si>
  <si>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</si>
  <si>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</si>
  <si>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</si>
  <si>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</si>
  <si>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</si>
  <si>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</si>
  <si>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</si>
  <si>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</si>
  <si>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</si>
  <si>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</si>
  <si>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</si>
  <si>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</si>
  <si>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</si>
  <si>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</si>
  <si>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</si>
  <si>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</si>
  <si>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</si>
  <si>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</si>
  <si>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</si>
  <si>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</si>
  <si>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</si>
  <si>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</si>
  <si>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</si>
  <si>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</si>
  <si>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</si>
  <si>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</si>
  <si>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</si>
  <si>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</si>
  <si>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</si>
  <si>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</si>
  <si>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</si>
  <si>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</si>
  <si>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</si>
  <si>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</si>
  <si>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</si>
  <si>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</si>
  <si>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</si>
  <si>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</si>
  <si>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</si>
  <si>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</si>
  <si>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</si>
  <si>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</si>
  <si>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</si>
  <si>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</si>
  <si>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</si>
  <si>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</si>
  <si>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</si>
  <si>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</si>
  <si>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</si>
  <si>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</si>
  <si>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</si>
  <si>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</si>
  <si>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</si>
  <si>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</si>
  <si>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</si>
  <si>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</si>
  <si>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</si>
  <si>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</si>
  <si>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</si>
  <si>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</si>
  <si>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</si>
  <si>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</si>
  <si>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</si>
  <si>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</si>
  <si>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</si>
  <si>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</si>
  <si>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</si>
  <si>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</si>
  <si>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rFont val="FiraCode Nerd Font"/>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rFont val="Linux Libertine G"/>
      </rPr>
      <t>ُ</t>
    </r>
    <r>
      <rPr>
        <sz val="10"/>
        <rFont val="FiraCode Nerd Font"/>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</si>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</sst>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0">
    <font>
      <sz val="11.000000"/>
      <color theme="1"/>
      <name val="Calibri"/>
    </font>
    <font>
      <sz val="11.000000"/>
      <color theme="1"/>
      <name val="Arial"/>
    </font>
    <font>
      <b/>
      <sz val="14.000000"/>
      <name val="Arial"/>
    </font>
    <font>
      <i/>
      <sz val="9.000000"/>
      <color rgb="FF595959"/>
      <name val="Arial"/>
    </font>
    <font>
      <b/>
      <sz val="10.000000"/>
      <name val="Arial"/>
    </font>
    <font>
      <sz val="10.000000"/>
      <color indexed="4"/>
      <name val="Arial"/>
    </font>
    <font>
      <b/>
      <sz val="10.000000"/>
      <color indexed="65"/>
      <name val="Arial"/>
    </font>
    <font>
      <sz val="10.000000"/>
      <name val="Arial"/>
    </font>
    <font>
      <sz val="10.000000"/>
      <color theme="1"/>
      <name val="Arial"/>
    </font>
    <font>
      <sz val="10.000000"/>
      <name val="FiraCode Nerd Font"/>
    </font>
  </fonts>
  <fills count="5">
    <fill>
      <patternFill patternType="none"/>
    </fill>
    <fill>
      <patternFill patternType="gray125"/>
    </fill>
    <fill>
      <patternFill patternType="solid">
        <fgColor rgb="FFFFF2CC"/>
        <bgColor rgb="FFFFEB9C"/>
      </patternFill>
    </fill>
    <fill>
      <patternFill patternType="solid">
        <fgColor rgb="FF1F3864"/>
        <bgColor indexed="63"/>
      </patternFill>
    </fill>
    <fill>
      <patternFill patternType="solid">
        <fgColor rgb="FF2F5496"/>
        <bgColor rgb="FF1F3864"/>
      </patternFill>
    </fill>
  </fills>
  <borders count="2">
    <border>
      <left style="none"/>
      <right style="none"/>
      <top style="none"/>
      <bottom style="none"/>
      <diagonal style="none"/>
    </border>
    <border>
      <left style="thin">
        <color rgb="FFBFBFBF"/>
      </left>
      <right style="thin">
        <color rgb="FFBFBFBF"/>
      </right>
      <top style="thin">
        <color rgb="FFBFBFBF"/>
      </top>
      <bottom style="thin">
        <color rgb="FFBFBFBF"/>
      </bottom>
      <diagonal style="none"/>
    </border>
  </borders>
  <cellStyleXfs count="1">
    <xf fontId="0" fillId="0" borderId="0" numFmtId="0" applyNumberFormat="1" applyFont="1" applyFill="1" applyBorder="1"/>
  </cellStyleXfs>
  <cellXfs count="26">
    <xf fontId="0" fillId="0" borderId="0" numFmtId="0" xfId="0"/>
    <xf fontId="1" fillId="0" borderId="0" numFmtId="0" xfId="0" applyFont="1"/>
    <xf fontId="2" fillId="0" borderId="0" numFmtId="0" xfId="0" applyFont="1"/>
    <xf fontId="3" fillId="0" borderId="0" numFmtId="0" xfId="0" applyFont="1"/>
    <xf fontId="4" fillId="0" borderId="0" numFmtId="0" xfId="0" applyFont="1"/>
    <xf fontId="5" fillId="2" borderId="1" numFmtId="0" xfId="0" applyFont="1" applyFill="1" applyBorder="1" applyAlignment="1">
      <alignment horizontal="left" vertical="center" wrapText="1"/>
    </xf>
    <xf fontId="6" fillId="3" borderId="0" numFmtId="0" xfId="0" applyFont="1" applyFill="1"/>
    <xf fontId="1" fillId="3" borderId="0" numFmtId="0" xfId="0" applyFont="1" applyFill="1"/>
    <xf fontId="4" fillId="0" borderId="0" numFmtId="0" xfId="0" applyFont="1" applyAlignment="1">
      <alignment vertical="top"/>
    </xf>
    <xf fontId="7" fillId="0" borderId="0" numFmtId="0" xfId="0" applyFont="1" applyAlignment="1">
      <alignment vertical="top" wrapText="1"/>
    </xf>
    <xf fontId="4" fillId="2" borderId="0" numFmtId="0" xfId="0" applyFont="1" applyFill="1" applyAlignment="1">
      <alignment vertical="top"/>
    </xf>
    <xf fontId="0" fillId="0" borderId="0" numFmtId="0" xfId="0" applyAlignment="1">
      <alignment wrapText="1"/>
    </xf>
    <xf fontId="0" fillId="0" borderId="0" numFmtId="0" xfId="0" applyAlignment="1">
      <alignment horizontal="center"/>
    </xf>
    <xf fontId="6" fillId="3" borderId="1" numFmtId="0" xfId="0" applyFont="1" applyFill="1" applyBorder="1" applyAlignment="1">
      <alignment horizontal="center" vertical="center" wrapText="1"/>
    </xf>
    <xf fontId="6" fillId="4" borderId="1" numFmtId="0" xfId="0" applyFont="1" applyFill="1" applyBorder="1" applyAlignment="1">
      <alignment horizontal="center" vertical="center" wrapText="1"/>
    </xf>
    <xf fontId="7" fillId="0" borderId="1" numFmtId="0" xfId="0" applyFont="1" applyBorder="1" applyAlignment="1">
      <alignment horizontal="center" vertical="top"/>
    </xf>
    <xf fontId="7" fillId="0" borderId="1" numFmtId="0" xfId="0" applyFont="1" applyBorder="1" applyAlignment="1">
      <alignment horizontal="center" vertical="top" wrapText="1"/>
    </xf>
    <xf fontId="7" fillId="0" borderId="1" numFmtId="0" xfId="0" applyFont="1" applyBorder="1" applyAlignment="1">
      <alignment vertical="top" wrapText="1"/>
    </xf>
    <xf fontId="5" fillId="2" borderId="1" numFmtId="0" xfId="0" applyFont="1" applyFill="1" applyBorder="1" applyAlignment="1">
      <alignment horizontal="center" vertical="top" wrapText="1"/>
    </xf>
    <xf fontId="5" fillId="2" borderId="1" numFmtId="0" xfId="0" applyFont="1" applyFill="1" applyBorder="1" applyAlignment="1">
      <alignment vertical="top" wrapText="1"/>
    </xf>
    <xf fontId="8" fillId="0" borderId="0" numFmtId="0" xfId="0" applyFont="1"/>
    <xf fontId="6" fillId="3" borderId="0" numFmtId="0" xfId="0" applyFont="1" applyFill="1" applyAlignment="1">
      <alignment horizontal="center"/>
    </xf>
    <xf fontId="7" fillId="0" borderId="1" numFmtId="0" xfId="0" applyFont="1" applyBorder="1"/>
    <xf fontId="4" fillId="0" borderId="1" numFmtId="0" xfId="0" applyFont="1" applyBorder="1"/>
    <xf fontId="4" fillId="2" borderId="1" numFmtId="0" xfId="0" applyFont="1" applyFill="1" applyBorder="1"/>
    <xf fontId="9" fillId="0" borderId="0" numFmt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showGridLines="0" topLeftCell="C1" zoomScale="85" workbookViewId="0">
      <selection activeCell="C4" activeCellId="0" sqref="C4"/>
    </sheetView>
  </sheetViews>
  <sheetFormatPr defaultColWidth="8.6328125" defaultRowHeight="14"/>
  <cols>
    <col customWidth="1" min="1" max="1" style="1" width="3"/>
    <col customWidth="1" min="2" max="2" style="1" width="30"/>
    <col customWidth="1" min="3" max="3" style="1" width="110"/>
    <col min="4" max="16384" style="1" width="8.6328125"/>
  </cols>
  <sheetData>
    <row r="1" ht="18">
      <c r="A1" s="2" t="s">
        <v>0</v>
      </c>
    </row>
    <row r="2">
      <c r="A2" s="3" t="s">
        <v>1</v>
      </c>
    </row>
    <row r="4">
      <c r="B4" s="4" t="s">
        <v>2</v>
      </c>
      <c r="C4" s="5" t="s">
        <v>3</v>
      </c>
      <c r="D4" s="3" t="s">
        <v>4</v>
      </c>
    </row>
    <row r="6">
      <c r="B6" s="6" t="s">
        <v>5</v>
      </c>
      <c r="C6" s="7"/>
    </row>
    <row r="7" ht="25">
      <c r="B7" s="8" t="s">
        <v>6</v>
      </c>
      <c r="C7" s="9" t="s">
        <v>7</v>
      </c>
    </row>
    <row r="8">
      <c r="B8" s="8" t="s">
        <v>8</v>
      </c>
      <c r="C8" s="9" t="s">
        <v>9</v>
      </c>
    </row>
    <row r="9">
      <c r="B9" s="8" t="s">
        <v>10</v>
      </c>
      <c r="C9" s="9" t="s">
        <v>11</v>
      </c>
    </row>
    <row r="10" ht="25">
      <c r="B10" s="8" t="s">
        <v>12</v>
      </c>
      <c r="C10" s="9" t="s">
        <v>13</v>
      </c>
    </row>
    <row r="11">
      <c r="B11" s="8" t="s">
        <v>14</v>
      </c>
      <c r="C11" s="9" t="s">
        <v>15</v>
      </c>
    </row>
    <row r="12">
      <c r="B12" s="8" t="s">
        <v>16</v>
      </c>
      <c r="C12" s="9" t="s">
        <v>17</v>
      </c>
    </row>
    <row r="13">
      <c r="B13" s="6" t="s">
        <v>18</v>
      </c>
      <c r="C13" s="7"/>
    </row>
    <row r="14">
      <c r="B14" s="10" t="s">
        <v>19</v>
      </c>
      <c r="C14" s="9" t="s">
        <v>20</v>
      </c>
    </row>
    <row r="15">
      <c r="B15" s="8" t="s">
        <v>21</v>
      </c>
      <c r="C15" s="9" t="s">
        <v>22</v>
      </c>
    </row>
    <row r="16">
      <c r="B16" s="8" t="s">
        <v>23</v>
      </c>
      <c r="C16" s="9" t="s">
        <v>24</v>
      </c>
    </row>
    <row r="18">
      <c r="B18" s="6" t="s">
        <v>25</v>
      </c>
      <c r="C18" s="7"/>
    </row>
    <row r="19">
      <c r="B19" s="4" t="s">
        <v>26</v>
      </c>
      <c r="C19" s="9" t="s">
        <v>27</v>
      </c>
    </row>
    <row r="20">
      <c r="B20" s="4" t="s">
        <v>28</v>
      </c>
      <c r="C20" s="9" t="s">
        <v>29</v>
      </c>
    </row>
    <row r="21">
      <c r="B21" s="4" t="s">
        <v>30</v>
      </c>
      <c r="C21" s="9" t="s">
        <v>31</v>
      </c>
    </row>
    <row r="22">
      <c r="B22" s="4" t="s">
        <v>32</v>
      </c>
      <c r="C22" s="9" t="s">
        <v>33</v>
      </c>
    </row>
    <row r="23">
      <c r="B23" s="4" t="s">
        <v>34</v>
      </c>
      <c r="C23" s="9" t="s">
        <v>35</v>
      </c>
    </row>
    <row r="24">
      <c r="B24" s="4" t="s">
        <v>36</v>
      </c>
      <c r="C24" s="9" t="s">
        <v>37</v>
      </c>
    </row>
    <row r="25">
      <c r="B25" s="4" t="s">
        <v>38</v>
      </c>
      <c r="C25" s="9" t="s">
        <v>39</v>
      </c>
    </row>
    <row r="26">
      <c r="B26" s="4" t="s">
        <v>40</v>
      </c>
      <c r="C26" s="9" t="s">
        <v>41</v>
      </c>
    </row>
    <row r="27">
      <c r="B27" s="4" t="s">
        <v>42</v>
      </c>
      <c r="C27" s="9" t="s">
        <v>43</v>
      </c>
    </row>
    <row r="28">
      <c r="B28" s="4" t="s">
        <v>44</v>
      </c>
      <c r="C28" s="9" t="s">
        <v>45</v>
      </c>
    </row>
    <row r="29">
      <c r="B29" s="4" t="s">
        <v>46</v>
      </c>
      <c r="C29" s="9" t="s">
        <v>47</v>
      </c>
    </row>
    <row r="30">
      <c r="B30" s="4" t="s">
        <v>48</v>
      </c>
      <c r="C30" s="9" t="s">
        <v>49</v>
      </c>
    </row>
    <row r="32">
      <c r="B32" s="6" t="s">
        <v>50</v>
      </c>
      <c r="C32" s="7"/>
    </row>
    <row r="33">
      <c r="B33" s="4" t="s">
        <v>51</v>
      </c>
      <c r="C33" s="9" t="s">
        <v>52</v>
      </c>
    </row>
    <row r="34">
      <c r="B34" s="4" t="s">
        <v>53</v>
      </c>
      <c r="C34" s="9" t="s">
        <v>54</v>
      </c>
    </row>
  </sheetData>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1">
    <outlinePr applyStyles="0" summaryBelow="1" summaryRight="1" showOutlineSymbols="1"/>
    <pageSetUpPr autoPageBreaks="1" fitToPage="0"/>
  </sheetPr>
  <sheetViews>
    <sheetView topLeftCell="N1" zoomScale="85" workbookViewId="0">
      <pane ySplit="1" topLeftCell="A2" activePane="bottomLeft" state="frozen"/>
      <selection activeCell="M86" activeCellId="0" sqref="M86"/>
    </sheetView>
  </sheetViews>
  <sheetFormatPr defaultColWidth="8.6328125" defaultRowHeight="14.25"/>
  <cols>
    <col customWidth="1" min="1" max="1" width="10.1796875"/>
    <col customWidth="1" min="2" max="2" style="11" width="11.26953125"/>
    <col customWidth="1" min="3" max="4" width="17.90625"/>
    <col customWidth="1" min="5" max="5" width="66.36328125"/>
    <col customWidth="1" min="6" max="12" style="11" width="11.7265625"/>
    <col customWidth="1" min="13" max="14" style="11" width="25.54296875"/>
    <col customWidth="1" min="15" max="15" width="7"/>
    <col customWidth="1" min="16" max="16" width="16"/>
    <col customWidth="1" min="17" max="17" width="25.54296875"/>
    <col customWidth="1" hidden="1" min="18" max="19" width="18"/>
  </cols>
  <sheetData>
    <row r="1" s="12" customFormat="1" ht="42" customHeight="1">
      <c r="A1" s="13" t="s">
        <v>26</v>
      </c>
      <c r="B1" s="13" t="s">
        <v>28</v>
      </c>
      <c r="C1" s="13" t="s">
        <v>30</v>
      </c>
      <c r="D1" s="13" t="s">
        <v>55</v>
      </c>
      <c r="E1" s="13" t="s">
        <v>56</v>
      </c>
      <c r="F1" s="14" t="s">
        <v>32</v>
      </c>
      <c r="G1" s="14" t="s">
        <v>34</v>
      </c>
      <c r="H1" s="14" t="s">
        <v>36</v>
      </c>
      <c r="I1" s="14" t="s">
        <v>38</v>
      </c>
      <c r="J1" s="14" t="s">
        <v>40</v>
      </c>
      <c r="K1" s="14" t="s">
        <v>42</v>
      </c>
      <c r="L1" s="14" t="s">
        <v>44</v>
      </c>
      <c r="M1" s="14" t="s">
        <v>46</v>
      </c>
      <c r="N1" s="14" t="s">
        <v>48</v>
      </c>
      <c r="O1" s="13" t="s">
        <v>57</v>
      </c>
      <c r="P1" s="13" t="s">
        <v>58</v>
      </c>
      <c r="Q1" s="13" t="s">
        <v>59</v>
      </c>
      <c r="R1" s="13" t="s">
        <v>60</v>
      </c>
      <c r="S1" s="13" t="s">
        <v>61</v>
      </c>
    </row>
    <row r="2" ht="60" customHeight="1">
      <c r="A2" s="15">
        <v>2</v>
      </c>
      <c r="B2" s="16" t="str">
        <f>IF(Petunjuk!$C$4="","",Petunjuk!$C$4)</f>
        <v>Afriansyah</v>
      </c>
      <c r="C2" s="17" t="str">
        <f>IF(INDEX(Korpus!$A:$A,$A2)="","",INDEX(Korpus!$A:$A,$A2))</f>
        <v>2019MHN201</v>
      </c>
      <c r="D2" s="17" t="str">
        <f>TRIM(INDEX(Korpus!$D:$D,$A2)&amp;" "&amp;INDEX(Korpus!$E:$E,$A2))</f>
        <v xml:space="preserve">Paragraf 3 Kalimat 1</v>
      </c>
      <c r="E2" s="17" t="str">
        <f>IF(INDEX(Korpus!$F:$F,$A2)="","",INDEX(Korpus!$F:$F,$A2))</f>
        <v xml:space="preserve">Melihat banyaknya kasus penyalahgunaan data pribadi, sangat penting untuk memberikan perlindungan data pribadi.</v>
      </c>
      <c r="F2" s="18" t="s">
        <v>62</v>
      </c>
      <c r="G2" s="18" t="s">
        <v>63</v>
      </c>
      <c r="H2" s="18" t="s">
        <v>64</v>
      </c>
      <c r="I2" s="18" t="s">
        <v>65</v>
      </c>
      <c r="J2" s="18" t="s">
        <v>66</v>
      </c>
      <c r="K2" s="18" t="s">
        <v>67</v>
      </c>
      <c r="L2" s="18" t="s">
        <v>68</v>
      </c>
      <c r="M2" s="19"/>
      <c r="N2" s="19"/>
      <c r="O2" s="15" t="s">
        <v>69</v>
      </c>
      <c r="P2" s="17" t="str">
        <f t="shared" ref="P2:P9" si="0">IF(COUNTA(F2:K2)=6,"Lengkap","Belum lengkap ("&amp;(6-COUNTA(F2:K2))&amp;")")</f>
        <v>Lengkap</v>
      </c>
      <c r="Q2" s="17" t="str">
        <f t="shared" ref="Q2:Q9" si="1">IF(COUNTA(F2:K2)&lt;6,"",IF(IF(AND(LEFT(G2,2)="R0",LEFT(K2,2)&lt;&gt;"K5"),"R0 harus K5; ","")&amp;IF(AND(LEFT(G2,2)="R1",LEFT(K2,2)="K3"),"R1 tidak boleh K3 (fungsional); ","")&amp;IF(AND(LEFT(G2,2)="R2",LEFT(K2,2)="K5"),"R2 tidak boleh K5; ","")&amp;IF(AND(LEFT(G2,2)="R2",OR(LEFT(F2,2)="S6",LEFT(F2,2)="S7",LEFT(F2,2)="S8")),"R2 tidak boleh S6/S7/S8; ","")&amp;IF(AND(LEFT(G2,2)="R2",OR(LEFT(H2,3)="T02",LEFT(I2,2)="P8")),"T02 atau P8 tidak boleh R2; ","")&amp;IF(AND(LEFT(H2,3)="T01",LEFT(I2,2)&lt;&gt;"P6",N2=""),"T01 biasanya P6; jelaskan di V12; ","")&amp;IF(AND(LEFT(I2,2)="P1",LEFT(K2,2)&lt;&gt;"K4",N2=""),"P1 biasanya K4; jelaskan di V12; ","")="","OK",IF(AND(LEFT(G2,2)="R0",LEFT(K2,2)&lt;&gt;"K5"),"R0 harus K5; ","")&amp;IF(AND(LEFT(G2,2)="R1",LEFT(K2,2)="K3"),"R1 tidak boleh K3 (fungsional); ","")&amp;IF(AND(LEFT(G2,2)="R2",LEFT(K2,2)="K5"),"R2 tidak boleh K5; ","")&amp;IF(AND(LEFT(G2,2)="R2",OR(LEFT(F2,2)="S6",LEFT(F2,2)="S7",LEFT(F2,2)="S8")),"R2 tidak boleh S6/S7/S8; ","")&amp;IF(AND(LEFT(G2,2)="R2",OR(LEFT(H2,3)="T02",LEFT(I2,2)="P8")),"T02 atau P8 tidak boleh R2; ","")&amp;IF(AND(LEFT(H2,3)="T01",LEFT(I2,2)&lt;&gt;"P6",N2=""),"T01 biasanya P6; jelaskan di V12; ","")&amp;IF(AND(LEFT(I2,2)="P1",LEFT(K2,2)&lt;&gt;"K4",N2=""),"P1 biasanya K4; jelaskan di V12; ","")))</f>
        <v>OK</v>
      </c>
      <c r="R2" s="17" t="str">
        <f>IF(INDEX(Korpus!$B:$B,$A2)="","",INDEX(Korpus!$B:$B,$A2))</f>
        <v xml:space="preserve">C. Pembahasan</v>
      </c>
      <c r="S2" s="17" t="str">
        <f>IF(INDEX(Korpus!$C:$C,$A2)="","",INDEX(Korpus!$C:$C,$A2))</f>
        <v xml:space="preserve">5. Pentingnya Perlindungan Data Pribadi</v>
      </c>
    </row>
    <row r="3" ht="60" customHeight="1">
      <c r="A3" s="15">
        <v>3</v>
      </c>
      <c r="B3" s="16" t="str">
        <f>IF(Petunjuk!$C$4="","",Petunjuk!$C$4)</f>
        <v>Afriansyah</v>
      </c>
      <c r="C3" s="17" t="str">
        <f>IF(INDEX(Korpus!$A:$A,$A3)="","",INDEX(Korpus!$A:$A,$A3))</f>
        <v>2019MHN201</v>
      </c>
      <c r="D3" s="17" t="str">
        <f>TRIM(INDEX(Korpus!$D:$D,$A3)&amp;" "&amp;INDEX(Korpus!$E:$E,$A3))</f>
        <v xml:space="preserve">Paragraf 3 Kalimat 2</v>
      </c>
      <c r="E3" s="17" t="str">
        <f>IF(INDEX(Korpus!$F:$F,$A3)="","",INDEX(Korpus!$F:$F,$A3))</f>
        <v xml:space="preserve">Pentingnya memberikan perlindungan data pribadi mulai menguat seiring dengan meningkatnya jumlah pengguna telepon seluler dan internet.</v>
      </c>
      <c r="F3" s="18"/>
      <c r="G3" s="18"/>
      <c r="H3" s="18"/>
      <c r="I3" s="18"/>
      <c r="J3" s="18"/>
      <c r="K3" s="18"/>
      <c r="L3" s="18"/>
      <c r="M3" s="19"/>
      <c r="N3" s="19"/>
      <c r="O3" s="15"/>
      <c r="P3" s="17" t="str">
        <f t="shared" si="0"/>
        <v xml:space="preserve">Belum lengkap (6)</v>
      </c>
      <c r="Q3" s="17" t="str">
        <f t="shared" si="1"/>
        <v/>
      </c>
      <c r="R3" s="17" t="str">
        <f>IF(INDEX(Korpus!$B:$B,$A3)="","",INDEX(Korpus!$B:$B,$A3))</f>
        <v xml:space="preserve">C. Pembahasan</v>
      </c>
      <c r="S3" s="17" t="str">
        <f>IF(INDEX(Korpus!$C:$C,$A3)="","",INDEX(Korpus!$C:$C,$A3))</f>
        <v xml:space="preserve">5. Pentingnya Perlindungan Data Pribadi</v>
      </c>
    </row>
    <row r="4" ht="60" customHeight="1">
      <c r="A4" s="15">
        <v>4</v>
      </c>
      <c r="B4" s="16" t="str">
        <f>IF(Petunjuk!$C$4="","",Petunjuk!$C$4)</f>
        <v>Afriansyah</v>
      </c>
      <c r="C4" s="17" t="str">
        <f>IF(INDEX(Korpus!$A:$A,$A4)="","",INDEX(Korpus!$A:$A,$A4))</f>
        <v>2019MHN201</v>
      </c>
      <c r="D4" s="17" t="str">
        <f>TRIM(INDEX(Korpus!$D:$D,$A4)&amp;" "&amp;INDEX(Korpus!$E:$E,$A4))</f>
        <v xml:space="preserve">Paragraf 3 Kalimat 3</v>
      </c>
      <c r="E4" s="17" t="str">
        <f>IF(INDEX(Korpus!$F:$F,$A4)="","",INDEX(Korpus!$F:$F,$A4))</f>
        <v xml:space="preserve">Sejumlah kasus yang mencuat, terutama yang memiliki keterkaitan dengan kebocoran data pribadi seseorang dan bermuara kepada aksi penipuan atau tindak kriminal pornografi, menguatkan wacana pentingnya pembuatan aturan hukum untuk melindungi data pribadi.</v>
      </c>
      <c r="F4" s="18"/>
      <c r="G4" s="18"/>
      <c r="H4" s="18"/>
      <c r="I4" s="18"/>
      <c r="J4" s="18"/>
      <c r="K4" s="18"/>
      <c r="L4" s="18"/>
      <c r="M4" s="19"/>
      <c r="N4" s="19"/>
      <c r="O4" s="15"/>
      <c r="P4" s="17" t="str">
        <f t="shared" si="0"/>
        <v xml:space="preserve">Belum lengkap (6)</v>
      </c>
      <c r="Q4" s="17" t="str">
        <f t="shared" si="1"/>
        <v/>
      </c>
      <c r="R4" s="17" t="str">
        <f>IF(INDEX(Korpus!$B:$B,$A4)="","",INDEX(Korpus!$B:$B,$A4))</f>
        <v xml:space="preserve">C. Pembahasan</v>
      </c>
      <c r="S4" s="17" t="str">
        <f>IF(INDEX(Korpus!$C:$C,$A4)="","",INDEX(Korpus!$C:$C,$A4))</f>
        <v xml:space="preserve">5. Pentingnya Perlindungan Data Pribadi</v>
      </c>
    </row>
    <row r="5" ht="60" customHeight="1">
      <c r="A5" s="15">
        <v>5</v>
      </c>
      <c r="B5" s="16" t="str">
        <f>IF(Petunjuk!$C$4="","",Petunjuk!$C$4)</f>
        <v>Afriansyah</v>
      </c>
      <c r="C5" s="17" t="str">
        <f>IF(INDEX(Korpus!$A:$A,$A5)="","",INDEX(Korpus!$A:$A,$A5))</f>
        <v>2019MHN201</v>
      </c>
      <c r="D5" s="17" t="str">
        <f>TRIM(INDEX(Korpus!$D:$D,$A5)&amp;" "&amp;INDEX(Korpus!$E:$E,$A5))</f>
        <v xml:space="preserve">Paragraf 3 Kalimat 4</v>
      </c>
      <c r="E5" s="17" t="str">
        <f>IF(INDEX(Korpus!$F:$F,$A5)="","",INDEX(Korpus!$F:$F,$A5))</f>
        <v xml:space="preserve">Perlindungan data pribadi berhubungan dengan konsep privasi.</v>
      </c>
      <c r="F5" s="18"/>
      <c r="G5" s="18"/>
      <c r="H5" s="18"/>
      <c r="I5" s="18"/>
      <c r="J5" s="18"/>
      <c r="K5" s="18"/>
      <c r="L5" s="18"/>
      <c r="M5" s="19"/>
      <c r="N5" s="19"/>
      <c r="O5" s="15"/>
      <c r="P5" s="17" t="str">
        <f t="shared" si="0"/>
        <v xml:space="preserve">Belum lengkap (6)</v>
      </c>
      <c r="Q5" s="17" t="str">
        <f t="shared" si="1"/>
        <v/>
      </c>
      <c r="R5" s="17" t="str">
        <f>IF(INDEX(Korpus!$B:$B,$A5)="","",INDEX(Korpus!$B:$B,$A5))</f>
        <v xml:space="preserve">C. Pembahasan</v>
      </c>
      <c r="S5" s="17" t="str">
        <f>IF(INDEX(Korpus!$C:$C,$A5)="","",INDEX(Korpus!$C:$C,$A5))</f>
        <v xml:space="preserve">5. Pentingnya Perlindungan Data Pribadi</v>
      </c>
    </row>
    <row r="6" ht="60" customHeight="1">
      <c r="A6" s="15">
        <v>6</v>
      </c>
      <c r="B6" s="16" t="str">
        <f>IF(Petunjuk!$C$4="","",Petunjuk!$C$4)</f>
        <v>Afriansyah</v>
      </c>
      <c r="C6" s="17" t="str">
        <f>IF(INDEX(Korpus!$A:$A,$A6)="","",INDEX(Korpus!$A:$A,$A6))</f>
        <v>2019MHN201</v>
      </c>
      <c r="D6" s="17" t="str">
        <f>TRIM(INDEX(Korpus!$D:$D,$A6)&amp;" "&amp;INDEX(Korpus!$E:$E,$A6))</f>
        <v xml:space="preserve">Paragraf 3 Kalimat 5</v>
      </c>
      <c r="E6" s="17" t="str">
        <f>IF(INDEX(Korpus!$F:$F,$A6)="","",INDEX(Korpus!$F:$F,$A6))</f>
        <v xml:space="preserve">Konsep privasi sendiri adalah gagasan untuk menjaga integritas dan martabat pribadi.</v>
      </c>
      <c r="F6" s="18"/>
      <c r="G6" s="18"/>
      <c r="H6" s="18"/>
      <c r="I6" s="18"/>
      <c r="J6" s="18"/>
      <c r="K6" s="18"/>
      <c r="L6" s="18"/>
      <c r="M6" s="19"/>
      <c r="N6" s="19"/>
      <c r="O6" s="15"/>
      <c r="P6" s="17" t="str">
        <f t="shared" si="0"/>
        <v xml:space="preserve">Belum lengkap (6)</v>
      </c>
      <c r="Q6" s="17" t="str">
        <f t="shared" si="1"/>
        <v/>
      </c>
      <c r="R6" s="17" t="str">
        <f>IF(INDEX(Korpus!$B:$B,$A6)="","",INDEX(Korpus!$B:$B,$A6))</f>
        <v xml:space="preserve">C. Pembahasan</v>
      </c>
      <c r="S6" s="17" t="str">
        <f>IF(INDEX(Korpus!$C:$C,$A6)="","",INDEX(Korpus!$C:$C,$A6))</f>
        <v xml:space="preserve">5. Pentingnya Perlindungan Data Pribadi</v>
      </c>
    </row>
    <row r="7" ht="60" customHeight="1">
      <c r="A7" s="15">
        <v>7</v>
      </c>
      <c r="B7" s="16" t="str">
        <f>IF(Petunjuk!$C$4="","",Petunjuk!$C$4)</f>
        <v>Afriansyah</v>
      </c>
      <c r="C7" s="17" t="str">
        <f>IF(INDEX(Korpus!$A:$A,$A7)="","",INDEX(Korpus!$A:$A,$A7))</f>
        <v>2019MHN201</v>
      </c>
      <c r="D7" s="17" t="str">
        <f>TRIM(INDEX(Korpus!$D:$D,$A7)&amp;" "&amp;INDEX(Korpus!$E:$E,$A7))</f>
        <v xml:space="preserve">Paragraf 3 Kalimat 6</v>
      </c>
      <c r="E7" s="17" t="str">
        <f>IF(INDEX(Korpus!$F:$F,$A7)="","",INDEX(Korpus!$F:$F,$A7))</f>
        <v xml:space="preserve">Hak privasi juga merupakan kemampuan individu untuk menentukan siapa yang memegang informasi tentang mereka dan bagaimana informasi tersebut digunakan.</v>
      </c>
      <c r="F7" s="18"/>
      <c r="G7" s="18"/>
      <c r="H7" s="18"/>
      <c r="I7" s="18"/>
      <c r="J7" s="18"/>
      <c r="K7" s="18"/>
      <c r="L7" s="18"/>
      <c r="M7" s="19"/>
      <c r="N7" s="19"/>
      <c r="O7" s="15"/>
      <c r="P7" s="17" t="str">
        <f t="shared" si="0"/>
        <v xml:space="preserve">Belum lengkap (6)</v>
      </c>
      <c r="Q7" s="17" t="str">
        <f t="shared" si="1"/>
        <v/>
      </c>
      <c r="R7" s="17" t="str">
        <f>IF(INDEX(Korpus!$B:$B,$A7)="","",INDEX(Korpus!$B:$B,$A7))</f>
        <v xml:space="preserve">C. Pembahasan</v>
      </c>
      <c r="S7" s="17" t="str">
        <f>IF(INDEX(Korpus!$C:$C,$A7)="","",INDEX(Korpus!$C:$C,$A7))</f>
        <v xml:space="preserve">5. Pentingnya Perlindungan Data Pribadi</v>
      </c>
    </row>
    <row r="8" ht="60" customHeight="1">
      <c r="A8" s="15">
        <v>8</v>
      </c>
      <c r="B8" s="16" t="str">
        <f>IF(Petunjuk!$C$4="","",Petunjuk!$C$4)</f>
        <v>Afriansyah</v>
      </c>
      <c r="C8" s="17" t="str">
        <f>IF(INDEX(Korpus!$A:$A,$A8)="","",INDEX(Korpus!$A:$A,$A8))</f>
        <v>2019MHN201</v>
      </c>
      <c r="D8" s="17" t="str">
        <f>TRIM(INDEX(Korpus!$D:$D,$A8)&amp;" "&amp;INDEX(Korpus!$E:$E,$A8))</f>
        <v xml:space="preserve">Paragraf 4 Kalimat 1</v>
      </c>
      <c r="E8" s="17" t="str">
        <f>IF(INDEX(Korpus!$F:$F,$A8)="","",INDEX(Korpus!$F:$F,$A8))</f>
        <v xml:space="preserve">Konsep perlindungan data mengisyaratkan bahwa individu memiliki hak untuk menentukan apakah mereka akan membagi atau bertukar data pribadi mereka atau tidak.</v>
      </c>
      <c r="F8" s="18"/>
      <c r="G8" s="18"/>
      <c r="H8" s="18"/>
      <c r="I8" s="18"/>
      <c r="J8" s="18"/>
      <c r="K8" s="18"/>
      <c r="L8" s="18"/>
      <c r="M8" s="19"/>
      <c r="N8" s="19"/>
      <c r="O8" s="15"/>
      <c r="P8" s="17" t="str">
        <f t="shared" si="0"/>
        <v xml:space="preserve">Belum lengkap (6)</v>
      </c>
      <c r="Q8" s="17" t="str">
        <f t="shared" si="1"/>
        <v/>
      </c>
      <c r="R8" s="17" t="str">
        <f>IF(INDEX(Korpus!$B:$B,$A8)="","",INDEX(Korpus!$B:$B,$A8))</f>
        <v xml:space="preserve">C. Pembahasan</v>
      </c>
      <c r="S8" s="17" t="str">
        <f>IF(INDEX(Korpus!$C:$C,$A8)="","",INDEX(Korpus!$C:$C,$A8))</f>
        <v xml:space="preserve">5. Pentingnya Perlindungan Data Pribadi</v>
      </c>
    </row>
    <row r="9" ht="60" customHeight="1">
      <c r="A9" s="15">
        <v>9</v>
      </c>
      <c r="B9" s="16" t="str">
        <f>IF(Petunjuk!$C$4="","",Petunjuk!$C$4)</f>
        <v>Afriansyah</v>
      </c>
      <c r="C9" s="17" t="str">
        <f>IF(INDEX(Korpus!$A:$A,$A9)="","",INDEX(Korpus!$A:$A,$A9))</f>
        <v>2019MHN201</v>
      </c>
      <c r="D9" s="17" t="str">
        <f>TRIM(INDEX(Korpus!$D:$D,$A9)&amp;" "&amp;INDEX(Korpus!$E:$E,$A9))</f>
        <v xml:space="preserve">Paragraf 4 Kalimat 2</v>
      </c>
      <c r="E9" s="17" t="str">
        <f>IF(INDEX(Korpus!$F:$F,$A9)="","",INDEX(Korpus!$F:$F,$A9))</f>
        <v xml:space="preserve">Selain itu, individu juga memiliki hak untuk menentukan syarat-syarat pelaksanaan pemindahan data pribadi tersebut.</v>
      </c>
      <c r="F9" s="18"/>
      <c r="G9" s="18"/>
      <c r="H9" s="18"/>
      <c r="I9" s="18"/>
      <c r="J9" s="18"/>
      <c r="K9" s="18"/>
      <c r="L9" s="18"/>
      <c r="M9" s="19"/>
      <c r="N9" s="19"/>
      <c r="O9" s="15"/>
      <c r="P9" s="17" t="str">
        <f t="shared" si="0"/>
        <v xml:space="preserve">Belum lengkap (6)</v>
      </c>
      <c r="Q9" s="17" t="str">
        <f t="shared" si="1"/>
        <v/>
      </c>
      <c r="R9" s="17" t="str">
        <f>IF(INDEX(Korpus!$B:$B,$A9)="","",INDEX(Korpus!$B:$B,$A9))</f>
        <v xml:space="preserve">C. Pembahasan</v>
      </c>
      <c r="S9" s="17" t="str">
        <f>IF(INDEX(Korpus!$C:$C,$A9)="","",INDEX(Korpus!$C:$C,$A9))</f>
        <v xml:space="preserve">5. Pentingnya Perlindungan Data Pribadi</v>
      </c>
    </row>
    <row r="10" ht="60" customHeight="1">
      <c r="A10" s="15">
        <v>10</v>
      </c>
      <c r="B10" s="16" t="str">
        <f>IF(Petunjuk!$C$4="","",Petunjuk!$C$4)</f>
        <v>Afriansyah</v>
      </c>
      <c r="C10" s="17" t="str">
        <f>IF(INDEX(Korpus!$A:$A,$A10)="","",INDEX(Korpus!$A:$A,$A10))</f>
        <v>2019MHN201</v>
      </c>
      <c r="D10" s="17" t="str">
        <f>TRIM(INDEX(Korpus!$D:$D,$A10)&amp;" "&amp;INDEX(Korpus!$E:$E,$A10))</f>
        <v xml:space="preserve">Paragraf 4 Kalimat 3</v>
      </c>
      <c r="E10" s="17" t="str">
        <f>IF(INDEX(Korpus!$F:$F,$A10)="","",INDEX(Korpus!$F:$F,$A10))</f>
        <v xml:space="preserve">Lebih jauh, perlindungan privasi.</v>
      </c>
      <c r="F10" s="18"/>
      <c r="G10" s="18"/>
      <c r="H10" s="18"/>
      <c r="I10" s="18"/>
      <c r="J10" s="18"/>
      <c r="K10" s="18"/>
      <c r="L10" s="18"/>
      <c r="M10" s="19"/>
      <c r="N10" s="19"/>
      <c r="O10" s="15"/>
      <c r="P10" s="17" t="str">
        <f t="shared" ref="P10:P73" si="2">IF(COUNTA(F10:K10)=6,"Lengkap","Belum lengkap ("&amp;(6-COUNTA(F10:K10))&amp;")")</f>
        <v xml:space="preserve">Belum lengkap (6)</v>
      </c>
      <c r="Q10" s="17" t="str">
        <f t="shared" ref="Q10:Q73" si="3">IF(COUNTA(F10:K10)&lt;6,"",IF(IF(AND(LEFT(G10,2)="R0",LEFT(K10,2)&lt;&gt;"K5"),"R0 harus K5; ","")&amp;IF(AND(LEFT(G10,2)="R1",LEFT(K10,2)="K3"),"R1 tidak boleh K3 (fungsional); ","")&amp;IF(AND(LEFT(G10,2)="R2",LEFT(K10,2)="K5"),"R2 tidak boleh K5; ","")&amp;IF(AND(LEFT(G10,2)="R2",OR(LEFT(F10,2)="S6",LEFT(F10,2)="S7",LEFT(F10,2)="S8")),"R2 tidak boleh S6/S7/S8; ","")&amp;IF(AND(LEFT(G10,2)="R2",OR(LEFT(H10,3)="T02",LEFT(I10,2)="P8")),"T02 atau P8 tidak boleh R2; ","")&amp;IF(AND(LEFT(H10,3)="T01",LEFT(I10,2)&lt;&gt;"P6",N10=""),"T01 biasanya P6; jelaskan di V12; ","")&amp;IF(AND(LEFT(I10,2)="P1",LEFT(K10,2)&lt;&gt;"K4",N10=""),"P1 biasanya K4; jelaskan di V12; ","")="","OK",IF(AND(LEFT(G10,2)="R0",LEFT(K10,2)&lt;&gt;"K5"),"R0 harus K5; ","")&amp;IF(AND(LEFT(G10,2)="R1",LEFT(K10,2)="K3"),"R1 tidak boleh K3 (fungsional); ","")&amp;IF(AND(LEFT(G10,2)="R2",LEFT(K10,2)="K5"),"R2 tidak boleh K5; ","")&amp;IF(AND(LEFT(G10,2)="R2",OR(LEFT(F10,2)="S6",LEFT(F10,2)="S7",LEFT(F10,2)="S8")),"R2 tidak boleh S6/S7/S8; ","")&amp;IF(AND(LEFT(G10,2)="R2",OR(LEFT(H10,3)="T02",LEFT(I10,2)="P8")),"T02 atau P8 tidak boleh R2; ","")&amp;IF(AND(LEFT(H10,3)="T01",LEFT(I10,2)&lt;&gt;"P6",N10=""),"T01 biasanya P6; jelaskan di V12; ","")&amp;IF(AND(LEFT(I10,2)="P1",LEFT(K10,2)&lt;&gt;"K4",N10=""),"P1 biasanya K4; jelaskan di V12; ","")))</f>
        <v/>
      </c>
      <c r="R10" s="17" t="str">
        <f>IF(INDEX(Korpus!$B:$B,$A10)="","",INDEX(Korpus!$B:$B,$A10))</f>
        <v xml:space="preserve">C. Pembahasan</v>
      </c>
      <c r="S10" s="17" t="str">
        <f>IF(INDEX(Korpus!$C:$C,$A10)="","",INDEX(Korpus!$C:$C,$A10))</f>
        <v xml:space="preserve">5. Pentingnya Perlindungan Data Pribadi</v>
      </c>
    </row>
    <row r="11" ht="60" customHeight="1">
      <c r="A11" s="15">
        <v>11</v>
      </c>
      <c r="B11" s="16" t="str">
        <f>IF(Petunjuk!$C$4="","",Petunjuk!$C$4)</f>
        <v>Afriansyah</v>
      </c>
      <c r="C11" s="17" t="str">
        <f>IF(INDEX(Korpus!$A:$A,$A11)="","",INDEX(Korpus!$A:$A,$A11))</f>
        <v>2019MHN201</v>
      </c>
      <c r="D11" s="17" t="str">
        <f>TRIM(INDEX(Korpus!$D:$D,$A11)&amp;" "&amp;INDEX(Korpus!$E:$E,$A11))</f>
        <v xml:space="preserve">Paragraf 4 Kalimat 4</v>
      </c>
      <c r="E11" s="17" t="str">
        <f>IF(INDEX(Korpus!$F:$F,$A11)="","",INDEX(Korpus!$F:$F,$A11))</f>
        <v xml:space="preserve">Hak privasi telah berkembang sehingga dapat digunakan untuk merumuskan hak untuk melindungi data pribadi.</v>
      </c>
      <c r="F11" s="18"/>
      <c r="G11" s="18"/>
      <c r="H11" s="18"/>
      <c r="I11" s="18"/>
      <c r="J11" s="18"/>
      <c r="K11" s="18"/>
      <c r="L11" s="18"/>
      <c r="M11" s="19"/>
      <c r="N11" s="19"/>
      <c r="O11" s="15"/>
      <c r="P11" s="17" t="str">
        <f t="shared" si="2"/>
        <v xml:space="preserve">Belum lengkap (6)</v>
      </c>
      <c r="Q11" s="17" t="str">
        <f t="shared" si="3"/>
        <v/>
      </c>
      <c r="R11" s="17" t="str">
        <f>IF(INDEX(Korpus!$B:$B,$A11)="","",INDEX(Korpus!$B:$B,$A11))</f>
        <v xml:space="preserve">C. Pembahasan</v>
      </c>
      <c r="S11" s="17" t="str">
        <f>IF(INDEX(Korpus!$C:$C,$A11)="","",INDEX(Korpus!$C:$C,$A11))</f>
        <v xml:space="preserve">5. Pentingnya Perlindungan Data Pribadi</v>
      </c>
    </row>
    <row r="12" ht="60" customHeight="1">
      <c r="A12" s="15">
        <v>12</v>
      </c>
      <c r="B12" s="16" t="str">
        <f>IF(Petunjuk!$C$4="","",Petunjuk!$C$4)</f>
        <v>Afriansyah</v>
      </c>
      <c r="C12" s="17" t="str">
        <f>IF(INDEX(Korpus!$A:$A,$A12)="","",INDEX(Korpus!$A:$A,$A12))</f>
        <v>2019MHN201</v>
      </c>
      <c r="D12" s="17" t="str">
        <f>TRIM(INDEX(Korpus!$D:$D,$A12)&amp;" "&amp;INDEX(Korpus!$E:$E,$A12))</f>
        <v xml:space="preserve">Paragraf 5 Kalimat 1</v>
      </c>
      <c r="E12" s="17" t="str">
        <f>IF(INDEX(Korpus!$F:$F,$A12)="","",INDEX(Korpus!$F:$F,$A12))</f>
        <v xml:space="preserve">Perlindungan data pribadi telah diatur di dalam UUD NKRI Tahun 1945.</v>
      </c>
      <c r="F12" s="18"/>
      <c r="G12" s="18"/>
      <c r="H12" s="18"/>
      <c r="I12" s="18"/>
      <c r="J12" s="18"/>
      <c r="K12" s="18"/>
      <c r="L12" s="18"/>
      <c r="M12" s="19"/>
      <c r="N12" s="19"/>
      <c r="O12" s="15"/>
      <c r="P12" s="17" t="str">
        <f t="shared" si="2"/>
        <v xml:space="preserve">Belum lengkap (6)</v>
      </c>
      <c r="Q12" s="17" t="str">
        <f t="shared" si="3"/>
        <v/>
      </c>
      <c r="R12" s="17" t="str">
        <f>IF(INDEX(Korpus!$B:$B,$A12)="","",INDEX(Korpus!$B:$B,$A12))</f>
        <v xml:space="preserve">C. Pembahasan</v>
      </c>
      <c r="S12" s="17" t="str">
        <f>IF(INDEX(Korpus!$C:$C,$A12)="","",INDEX(Korpus!$C:$C,$A12))</f>
        <v xml:space="preserve">5. Pentingnya Perlindungan Data Pribadi</v>
      </c>
    </row>
    <row r="13" ht="60" customHeight="1">
      <c r="A13" s="15">
        <v>13</v>
      </c>
      <c r="B13" s="16" t="str">
        <f>IF(Petunjuk!$C$4="","",Petunjuk!$C$4)</f>
        <v>Afriansyah</v>
      </c>
      <c r="C13" s="17" t="str">
        <f>IF(INDEX(Korpus!$A:$A,$A13)="","",INDEX(Korpus!$A:$A,$A13))</f>
        <v>2019MHN201</v>
      </c>
      <c r="D13" s="17" t="str">
        <f>TRIM(INDEX(Korpus!$D:$D,$A13)&amp;" "&amp;INDEX(Korpus!$E:$E,$A13))</f>
        <v xml:space="preserve">Paragraf 5 Kalimat 2</v>
      </c>
      <c r="E13" s="17" t="str">
        <f>IF(INDEX(Korpus!$F:$F,$A13)="","",INDEX(Korpus!$F:$F,$A13))</f>
        <v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18" t="s">
        <v>70</v>
      </c>
      <c r="G13" s="18" t="s">
        <v>71</v>
      </c>
      <c r="H13" s="18" t="s">
        <v>72</v>
      </c>
      <c r="I13" s="18" t="s">
        <v>73</v>
      </c>
      <c r="J13" s="18" t="s">
        <v>74</v>
      </c>
      <c r="K13" s="18" t="s">
        <v>67</v>
      </c>
      <c r="L13" s="18" t="s">
        <v>75</v>
      </c>
      <c r="M13" s="19"/>
      <c r="N13" s="19" t="s">
        <v>76</v>
      </c>
      <c r="O13" s="15" t="s">
        <v>77</v>
      </c>
      <c r="P13" s="17" t="str">
        <f t="shared" si="2"/>
        <v>Lengkap</v>
      </c>
      <c r="Q13" s="17" t="str">
        <f t="shared" si="3"/>
        <v>OK</v>
      </c>
      <c r="R13" s="17" t="str">
        <f>IF(INDEX(Korpus!$B:$B,$A13)="","",INDEX(Korpus!$B:$B,$A13))</f>
        <v xml:space="preserve">C. Pembahasan</v>
      </c>
      <c r="S13" s="17" t="str">
        <f>IF(INDEX(Korpus!$C:$C,$A13)="","",INDEX(Korpus!$C:$C,$A13))</f>
        <v xml:space="preserve">5. Pentingnya Perlindungan Data Pribadi</v>
      </c>
    </row>
    <row r="14" ht="60" customHeight="1">
      <c r="A14" s="15">
        <v>14</v>
      </c>
      <c r="B14" s="16" t="str">
        <f>IF(Petunjuk!$C$4="","",Petunjuk!$C$4)</f>
        <v>Afriansyah</v>
      </c>
      <c r="C14" s="17" t="str">
        <f>IF(INDEX(Korpus!$A:$A,$A14)="","",INDEX(Korpus!$A:$A,$A14))</f>
        <v>2019MHN201</v>
      </c>
      <c r="D14" s="17" t="str">
        <f>TRIM(INDEX(Korpus!$D:$D,$A14)&amp;" "&amp;INDEX(Korpus!$E:$E,$A14))</f>
        <v xml:space="preserve">Paragraf 6 Kalimat 1</v>
      </c>
      <c r="E14" s="17" t="str">
        <f>IF(INDEX(Korpus!$F:$F,$A14)="","",INDEX(Korpus!$F:$F,$A14))</f>
        <v xml:space="preserve">Selain itu beberapa peraturan nasional secara umum telah mengatur untuk memberikan perlindungan data pribadi antara lain:</v>
      </c>
      <c r="F14" s="18"/>
      <c r="G14" s="18"/>
      <c r="H14" s="18"/>
      <c r="I14" s="18"/>
      <c r="J14" s="18"/>
      <c r="K14" s="18"/>
      <c r="L14" s="18"/>
      <c r="M14" s="19"/>
      <c r="N14" s="19"/>
      <c r="O14" s="15"/>
      <c r="P14" s="17" t="str">
        <f t="shared" si="2"/>
        <v xml:space="preserve">Belum lengkap (6)</v>
      </c>
      <c r="Q14" s="17" t="str">
        <f t="shared" si="3"/>
        <v/>
      </c>
      <c r="R14" s="17" t="str">
        <f>IF(INDEX(Korpus!$B:$B,$A14)="","",INDEX(Korpus!$B:$B,$A14))</f>
        <v xml:space="preserve">C. Pembahasan</v>
      </c>
      <c r="S14" s="17" t="str">
        <f>IF(INDEX(Korpus!$C:$C,$A14)="","",INDEX(Korpus!$C:$C,$A14))</f>
        <v xml:space="preserve">5. Pentingnya Perlindungan Data Pribadi</v>
      </c>
    </row>
    <row r="15" ht="60" customHeight="1">
      <c r="A15" s="15">
        <v>15</v>
      </c>
      <c r="B15" s="16" t="str">
        <f>IF(Petunjuk!$C$4="","",Petunjuk!$C$4)</f>
        <v>Afriansyah</v>
      </c>
      <c r="C15" s="17" t="str">
        <f>IF(INDEX(Korpus!$A:$A,$A15)="","",INDEX(Korpus!$A:$A,$A15))</f>
        <v>2019MHN201</v>
      </c>
      <c r="D15" s="17" t="str">
        <f>TRIM(INDEX(Korpus!$D:$D,$A15)&amp;" "&amp;INDEX(Korpus!$E:$E,$A15))</f>
        <v xml:space="preserve">Paragraf 6 Kalimat 2</v>
      </c>
      <c r="E15" s="17" t="str">
        <f>IF(INDEX(Korpus!$F:$F,$A15)="","",INDEX(Korpus!$F:$F,$A15))</f>
        <v xml:space="preserve">1) Undang-Undang Nomor 19 Tahun 2016 Tentang Perubahan Atas Undang-Undang Nomor 11 Tahun 2008 Tentang Informasi dan Transaksi Elektronik</v>
      </c>
      <c r="F15" s="18" t="s">
        <v>62</v>
      </c>
      <c r="G15" s="18" t="s">
        <v>71</v>
      </c>
      <c r="H15" s="18" t="s">
        <v>78</v>
      </c>
      <c r="I15" s="18" t="s">
        <v>79</v>
      </c>
      <c r="J15" s="18" t="s">
        <v>66</v>
      </c>
      <c r="K15" s="18" t="s">
        <v>80</v>
      </c>
      <c r="L15" s="18" t="s">
        <v>64</v>
      </c>
      <c r="M15" s="19"/>
      <c r="N15" s="19"/>
      <c r="O15" s="15" t="s">
        <v>69</v>
      </c>
      <c r="P15" s="17" t="str">
        <f t="shared" si="2"/>
        <v>Lengkap</v>
      </c>
      <c r="Q15" s="17" t="str">
        <f t="shared" si="3"/>
        <v>OK</v>
      </c>
      <c r="R15" s="17" t="str">
        <f>IF(INDEX(Korpus!$B:$B,$A15)="","",INDEX(Korpus!$B:$B,$A15))</f>
        <v xml:space="preserve">C. Pembahasan</v>
      </c>
      <c r="S15" s="17" t="str">
        <f>IF(INDEX(Korpus!$C:$C,$A15)="","",INDEX(Korpus!$C:$C,$A15))</f>
        <v xml:space="preserve">5. Pentingnya Perlindungan Data Pribadi</v>
      </c>
    </row>
    <row r="16" ht="60" customHeight="1">
      <c r="A16" s="15">
        <v>16</v>
      </c>
      <c r="B16" s="16" t="str">
        <f>IF(Petunjuk!$C$4="","",Petunjuk!$C$4)</f>
        <v>Afriansyah</v>
      </c>
      <c r="C16" s="17" t="str">
        <f>IF(INDEX(Korpus!$A:$A,$A16)="","",INDEX(Korpus!$A:$A,$A16))</f>
        <v>2019MHN201</v>
      </c>
      <c r="D16" s="17" t="str">
        <f>TRIM(INDEX(Korpus!$D:$D,$A16)&amp;" "&amp;INDEX(Korpus!$E:$E,$A16))</f>
        <v xml:space="preserve">Paragraf 6 Kalimat 3</v>
      </c>
      <c r="E16" s="17" t="str">
        <f>IF(INDEX(Korpus!$F:$F,$A16)="","",INDEX(Korpus!$F:$F,$A16))</f>
        <v xml:space="preserve">2) Undang-Undang Nomor 11 Tahun 2008 Tentang Informasi dan Transaksi Elektronik</v>
      </c>
      <c r="F16" s="18"/>
      <c r="G16" s="18"/>
      <c r="H16" s="18"/>
      <c r="I16" s="18"/>
      <c r="J16" s="18"/>
      <c r="K16" s="18"/>
      <c r="L16" s="18"/>
      <c r="M16" s="19"/>
      <c r="N16" s="19"/>
      <c r="O16" s="15"/>
      <c r="P16" s="17" t="str">
        <f t="shared" si="2"/>
        <v xml:space="preserve">Belum lengkap (6)</v>
      </c>
      <c r="Q16" s="17" t="str">
        <f t="shared" si="3"/>
        <v/>
      </c>
      <c r="R16" s="17" t="str">
        <f>IF(INDEX(Korpus!$B:$B,$A16)="","",INDEX(Korpus!$B:$B,$A16))</f>
        <v xml:space="preserve">C. Pembahasan</v>
      </c>
      <c r="S16" s="17" t="str">
        <f>IF(INDEX(Korpus!$C:$C,$A16)="","",INDEX(Korpus!$C:$C,$A16))</f>
        <v xml:space="preserve">5. Pentingnya Perlindungan Data Pribadi</v>
      </c>
    </row>
    <row r="17" ht="60" customHeight="1">
      <c r="A17" s="15">
        <v>17</v>
      </c>
      <c r="B17" s="16" t="str">
        <f>IF(Petunjuk!$C$4="","",Petunjuk!$C$4)</f>
        <v>Afriansyah</v>
      </c>
      <c r="C17" s="17" t="str">
        <f>IF(INDEX(Korpus!$A:$A,$A17)="","",INDEX(Korpus!$A:$A,$A17))</f>
        <v>2019MHN201</v>
      </c>
      <c r="D17" s="17" t="str">
        <f>TRIM(INDEX(Korpus!$D:$D,$A17)&amp;" "&amp;INDEX(Korpus!$E:$E,$A17))</f>
        <v xml:space="preserve">Paragraf 6 Kalimat 13</v>
      </c>
      <c r="E17" s="17" t="str">
        <f>IF(INDEX(Korpus!$F:$F,$A17)="","",INDEX(Korpus!$F:$F,$A17))</f>
        <v xml:space="preserve">12) Peraturan Menteri Komunikasi dan Informasi Nomor 20 Tahun 2016 Tentang Perlindungan Data Pribadi Dalam Sistem Elektronik</v>
      </c>
      <c r="F17" s="18"/>
      <c r="G17" s="18"/>
      <c r="H17" s="18"/>
      <c r="I17" s="18"/>
      <c r="J17" s="18"/>
      <c r="K17" s="18"/>
      <c r="L17" s="18"/>
      <c r="M17" s="19"/>
      <c r="N17" s="19"/>
      <c r="O17" s="15"/>
      <c r="P17" s="17" t="str">
        <f t="shared" si="2"/>
        <v xml:space="preserve">Belum lengkap (6)</v>
      </c>
      <c r="Q17" s="17" t="str">
        <f t="shared" si="3"/>
        <v/>
      </c>
      <c r="R17" s="17" t="str">
        <f>IF(INDEX(Korpus!$B:$B,$A17)="","",INDEX(Korpus!$B:$B,$A17))</f>
        <v xml:space="preserve">C. Pembahasan</v>
      </c>
      <c r="S17" s="17" t="str">
        <f>IF(INDEX(Korpus!$C:$C,$A17)="","",INDEX(Korpus!$C:$C,$A17))</f>
        <v xml:space="preserve">5. Pentingnya Perlindungan Data Pribadi</v>
      </c>
    </row>
    <row r="18" ht="60" customHeight="1">
      <c r="A18" s="15">
        <v>18</v>
      </c>
      <c r="B18" s="16" t="str">
        <f>IF(Petunjuk!$C$4="","",Petunjuk!$C$4)</f>
        <v>Afriansyah</v>
      </c>
      <c r="C18" s="17" t="str">
        <f>IF(INDEX(Korpus!$A:$A,$A18)="","",INDEX(Korpus!$A:$A,$A18))</f>
        <v>2019MHN201</v>
      </c>
      <c r="D18" s="17" t="str">
        <f>TRIM(INDEX(Korpus!$D:$D,$A18)&amp;" "&amp;INDEX(Korpus!$E:$E,$A18))</f>
        <v xml:space="preserve">Paragraf 6 Kalimat 14</v>
      </c>
      <c r="E18" s="17" t="str">
        <f>IF(INDEX(Korpus!$F:$F,$A18)="","",INDEX(Korpus!$F:$F,$A18))</f>
        <v xml:space="preserve">13) Peraturan Pemerintah Nomor 82 Tahun 2012 Tentang Penyelenggaraan Sistem dan Transaksi Elektronik</v>
      </c>
      <c r="F18" s="18"/>
      <c r="G18" s="18"/>
      <c r="H18" s="18"/>
      <c r="I18" s="18"/>
      <c r="J18" s="18"/>
      <c r="K18" s="18"/>
      <c r="L18" s="18"/>
      <c r="M18" s="19"/>
      <c r="N18" s="19"/>
      <c r="O18" s="15"/>
      <c r="P18" s="17" t="str">
        <f t="shared" si="2"/>
        <v xml:space="preserve">Belum lengkap (6)</v>
      </c>
      <c r="Q18" s="17" t="str">
        <f t="shared" si="3"/>
        <v/>
      </c>
      <c r="R18" s="17" t="str">
        <f>IF(INDEX(Korpus!$B:$B,$A18)="","",INDEX(Korpus!$B:$B,$A18))</f>
        <v xml:space="preserve">C. Pembahasan</v>
      </c>
      <c r="S18" s="17" t="str">
        <f>IF(INDEX(Korpus!$C:$C,$A18)="","",INDEX(Korpus!$C:$C,$A18))</f>
        <v xml:space="preserve">5. Pentingnya Perlindungan Data Pribadi</v>
      </c>
    </row>
    <row r="19" ht="60" customHeight="1">
      <c r="A19" s="15">
        <v>19</v>
      </c>
      <c r="B19" s="16" t="str">
        <f>IF(Petunjuk!$C$4="","",Petunjuk!$C$4)</f>
        <v>Afriansyah</v>
      </c>
      <c r="C19" s="17" t="str">
        <f>IF(INDEX(Korpus!$A:$A,$A19)="","",INDEX(Korpus!$A:$A,$A19))</f>
        <v>2019MHN201</v>
      </c>
      <c r="D19" s="17" t="str">
        <f>TRIM(INDEX(Korpus!$D:$D,$A19)&amp;" "&amp;INDEX(Korpus!$E:$E,$A19))</f>
        <v xml:space="preserve">Paragraf 6 Kalimat 16</v>
      </c>
      <c r="E19" s="17" t="str">
        <f>IF(INDEX(Korpus!$F:$F,$A19)="","",INDEX(Korpus!$F:$F,$A19))</f>
        <v xml:space="preserve">15) Peraturan Menteri Komunikasi dan Informasi Nomor 4 Tahun 2016 Tentang Sistem Manajemen Pengaman Informasi</v>
      </c>
      <c r="F19" s="18"/>
      <c r="G19" s="18"/>
      <c r="H19" s="18"/>
      <c r="I19" s="18"/>
      <c r="J19" s="18"/>
      <c r="K19" s="18"/>
      <c r="L19" s="18"/>
      <c r="M19" s="19"/>
      <c r="N19" s="19"/>
      <c r="O19" s="15"/>
      <c r="P19" s="17" t="str">
        <f t="shared" si="2"/>
        <v xml:space="preserve">Belum lengkap (6)</v>
      </c>
      <c r="Q19" s="17" t="str">
        <f t="shared" si="3"/>
        <v/>
      </c>
      <c r="R19" s="17" t="str">
        <f>IF(INDEX(Korpus!$B:$B,$A19)="","",INDEX(Korpus!$B:$B,$A19))</f>
        <v xml:space="preserve">C. Pembahasan</v>
      </c>
      <c r="S19" s="17" t="str">
        <f>IF(INDEX(Korpus!$C:$C,$A19)="","",INDEX(Korpus!$C:$C,$A19))</f>
        <v xml:space="preserve">5. Pentingnya Perlindungan Data Pribadi</v>
      </c>
    </row>
    <row r="20" ht="60" customHeight="1">
      <c r="A20" s="15">
        <v>20</v>
      </c>
      <c r="B20" s="16" t="str">
        <f>IF(Petunjuk!$C$4="","",Petunjuk!$C$4)</f>
        <v>Afriansyah</v>
      </c>
      <c r="C20" s="17" t="str">
        <f>IF(INDEX(Korpus!$A:$A,$A20)="","",INDEX(Korpus!$A:$A,$A20))</f>
        <v>2019MHN201</v>
      </c>
      <c r="D20" s="17" t="str">
        <f>TRIM(INDEX(Korpus!$D:$D,$A20)&amp;" "&amp;INDEX(Korpus!$E:$E,$A20))</f>
        <v xml:space="preserve">Paragraf 7 Kalimat 2</v>
      </c>
      <c r="E20" s="17" t="str">
        <f>IF(INDEX(Korpus!$F:$F,$A20)="","",INDEX(Korpus!$F:$F,$A20))</f>
        <v xml:space="preserve">Dalam Pasal 26 huruf a disebutkan bahwa menjaga kerahasiaan, keutuhan, dan ketersediaan data pribadi, data transaksi, dan data keuangan yang dikelolanya sejak data diperoleh hingga data tersebut dimusnahkan.</v>
      </c>
      <c r="F20" s="18"/>
      <c r="G20" s="18"/>
      <c r="H20" s="18"/>
      <c r="I20" s="18"/>
      <c r="J20" s="18"/>
      <c r="K20" s="18"/>
      <c r="L20" s="18"/>
      <c r="M20" s="19"/>
      <c r="N20" s="19"/>
      <c r="O20" s="15"/>
      <c r="P20" s="17" t="str">
        <f t="shared" si="2"/>
        <v xml:space="preserve">Belum lengkap (6)</v>
      </c>
      <c r="Q20" s="17" t="str">
        <f t="shared" si="3"/>
        <v/>
      </c>
      <c r="R20" s="17" t="str">
        <f>IF(INDEX(Korpus!$B:$B,$A20)="","",INDEX(Korpus!$B:$B,$A20))</f>
        <v xml:space="preserve">C. Pembahasan</v>
      </c>
      <c r="S20" s="17" t="str">
        <f>IF(INDEX(Korpus!$C:$C,$A20)="","",INDEX(Korpus!$C:$C,$A20))</f>
        <v xml:space="preserve">5. Pentingnya Perlindungan Data Pribadi</v>
      </c>
    </row>
    <row r="21" ht="60" customHeight="1">
      <c r="A21" s="15">
        <v>21</v>
      </c>
      <c r="B21" s="16" t="str">
        <f>IF(Petunjuk!$C$4="","",Petunjuk!$C$4)</f>
        <v>Afriansyah</v>
      </c>
      <c r="C21" s="17" t="str">
        <f>IF(INDEX(Korpus!$A:$A,$A21)="","",INDEX(Korpus!$A:$A,$A21))</f>
        <v>2019MHN201</v>
      </c>
      <c r="D21" s="17" t="str">
        <f>TRIM(INDEX(Korpus!$D:$D,$A21)&amp;" "&amp;INDEX(Korpus!$E:$E,$A21))</f>
        <v xml:space="preserve">Paragraf 7 Kalimat 3</v>
      </c>
      <c r="E21" s="17" t="str">
        <f>IF(INDEX(Korpus!$F:$F,$A21)="","",INDEX(Korpus!$F:$F,$A21))</f>
        <v xml:space="preserve">Selain itu Peraturan OJK Nomor 13 Tahun 2018 Tentang Inovasi Keuangan Digital di Sektor Keuangan, telah memasukkan poin terkait perlindungan dan kerahasiaan data.</v>
      </c>
      <c r="F21" s="18" t="s">
        <v>81</v>
      </c>
      <c r="G21" s="18" t="s">
        <v>71</v>
      </c>
      <c r="H21" s="18" t="s">
        <v>78</v>
      </c>
      <c r="I21" s="18" t="s">
        <v>79</v>
      </c>
      <c r="J21" s="18" t="s">
        <v>74</v>
      </c>
      <c r="K21" s="18" t="s">
        <v>80</v>
      </c>
      <c r="L21" s="18" t="s">
        <v>78</v>
      </c>
      <c r="M21" s="19"/>
      <c r="N21" s="19"/>
      <c r="O21" s="15" t="s">
        <v>77</v>
      </c>
      <c r="P21" s="17" t="str">
        <f t="shared" si="2"/>
        <v>Lengkap</v>
      </c>
      <c r="Q21" s="17" t="str">
        <f t="shared" si="3"/>
        <v>OK</v>
      </c>
      <c r="R21" s="17" t="str">
        <f>IF(INDEX(Korpus!$B:$B,$A21)="","",INDEX(Korpus!$B:$B,$A21))</f>
        <v xml:space="preserve">C. Pembahasan</v>
      </c>
      <c r="S21" s="17" t="str">
        <f>IF(INDEX(Korpus!$C:$C,$A21)="","",INDEX(Korpus!$C:$C,$A21))</f>
        <v xml:space="preserve">5. Pentingnya Perlindungan Data Pribadi</v>
      </c>
    </row>
    <row r="22" ht="60" customHeight="1">
      <c r="A22" s="15">
        <v>22</v>
      </c>
      <c r="B22" s="16" t="str">
        <f>IF(Petunjuk!$C$4="","",Petunjuk!$C$4)</f>
        <v>Afriansyah</v>
      </c>
      <c r="C22" s="17" t="str">
        <f>IF(INDEX(Korpus!$A:$A,$A22)="","",INDEX(Korpus!$A:$A,$A22))</f>
        <v>2019MHN201</v>
      </c>
      <c r="D22" s="17" t="str">
        <f>TRIM(INDEX(Korpus!$D:$D,$A22)&amp;" "&amp;INDEX(Korpus!$E:$E,$A22))</f>
        <v xml:space="preserve">Paragraf 7 Kalimat 4</v>
      </c>
      <c r="E22" s="17" t="str">
        <f>IF(INDEX(Korpus!$F:$F,$A22)="","",INDEX(Korpus!$F:$F,$A22))</f>
        <v xml:space="preserve">Pasal 30 ayat (1) menyebutkan bahwa Penyelenggara wajib menjaga kerahasiaan data pribadi, data transaksi, dan data keuangan yang dikelolanya sejak diperoleh hingga data tersebut dimusnahkan.</v>
      </c>
      <c r="F22" s="18" t="s">
        <v>82</v>
      </c>
      <c r="G22" s="18" t="s">
        <v>71</v>
      </c>
      <c r="H22" s="18" t="s">
        <v>64</v>
      </c>
      <c r="I22" s="18" t="s">
        <v>83</v>
      </c>
      <c r="J22" s="18" t="s">
        <v>66</v>
      </c>
      <c r="K22" s="18" t="s">
        <v>67</v>
      </c>
      <c r="L22" s="18" t="s">
        <v>84</v>
      </c>
      <c r="M22" s="19"/>
      <c r="N22" s="19"/>
      <c r="O22" s="15" t="s">
        <v>69</v>
      </c>
      <c r="P22" s="17" t="str">
        <f t="shared" si="2"/>
        <v>Lengkap</v>
      </c>
      <c r="Q22" s="17" t="str">
        <f t="shared" si="3"/>
        <v>OK</v>
      </c>
      <c r="R22" s="17" t="str">
        <f>IF(INDEX(Korpus!$B:$B,$A22)="","",INDEX(Korpus!$B:$B,$A22))</f>
        <v xml:space="preserve">C. Pembahasan</v>
      </c>
      <c r="S22" s="17" t="str">
        <f>IF(INDEX(Korpus!$C:$C,$A22)="","",INDEX(Korpus!$C:$C,$A22))</f>
        <v xml:space="preserve">5. Pentingnya Perlindungan Data Pribadi</v>
      </c>
    </row>
    <row r="23" ht="60" customHeight="1">
      <c r="A23" s="15">
        <v>23</v>
      </c>
      <c r="B23" s="16" t="str">
        <f>IF(Petunjuk!$C$4="","",Petunjuk!$C$4)</f>
        <v>Afriansyah</v>
      </c>
      <c r="C23" s="17" t="str">
        <f>IF(INDEX(Korpus!$A:$A,$A23)="","",INDEX(Korpus!$A:$A,$A23))</f>
        <v>2019MHN201</v>
      </c>
      <c r="D23" s="17" t="str">
        <f>TRIM(INDEX(Korpus!$D:$D,$A23)&amp;" "&amp;INDEX(Korpus!$E:$E,$A23))</f>
        <v xml:space="preserve">Paragraf 8 Kalimat 1</v>
      </c>
      <c r="E23" s="17" t="str">
        <f>IF(INDEX(Korpus!$F:$F,$A23)="","",INDEX(Korpus!$F:$F,$A23))</f>
        <v xml:space="preserve">Banyaknya peraturan yang mengatur tentang perlindungan data pribadi menunjukkan pentingnya data pribadi untuk dilindungi.</v>
      </c>
      <c r="F23" s="18"/>
      <c r="G23" s="18"/>
      <c r="H23" s="18"/>
      <c r="I23" s="18"/>
      <c r="J23" s="18"/>
      <c r="K23" s="18"/>
      <c r="L23" s="18"/>
      <c r="M23" s="19"/>
      <c r="N23" s="19"/>
      <c r="O23" s="15"/>
      <c r="P23" s="17" t="str">
        <f t="shared" si="2"/>
        <v xml:space="preserve">Belum lengkap (6)</v>
      </c>
      <c r="Q23" s="17" t="str">
        <f t="shared" si="3"/>
        <v/>
      </c>
      <c r="R23" s="17" t="str">
        <f>IF(INDEX(Korpus!$B:$B,$A23)="","",INDEX(Korpus!$B:$B,$A23))</f>
        <v xml:space="preserve">C. Pembahasan</v>
      </c>
      <c r="S23" s="17" t="str">
        <f>IF(INDEX(Korpus!$C:$C,$A23)="","",INDEX(Korpus!$C:$C,$A23))</f>
        <v xml:space="preserve">5. Pentingnya Perlindungan Data Pribadi</v>
      </c>
    </row>
    <row r="24" ht="60" customHeight="1">
      <c r="A24" s="15">
        <v>24</v>
      </c>
      <c r="B24" s="16" t="str">
        <f>IF(Petunjuk!$C$4="","",Petunjuk!$C$4)</f>
        <v>Afriansyah</v>
      </c>
      <c r="C24" s="17" t="str">
        <f>IF(INDEX(Korpus!$A:$A,$A24)="","",INDEX(Korpus!$A:$A,$A24))</f>
        <v>2019MHN201</v>
      </c>
      <c r="D24" s="17" t="str">
        <f>TRIM(INDEX(Korpus!$D:$D,$A24)&amp;" "&amp;INDEX(Korpus!$E:$E,$A24))</f>
        <v xml:space="preserve">Paragraf 8 Kalimat 3</v>
      </c>
      <c r="E24" s="17" t="str">
        <f>IF(INDEX(Korpus!$F:$F,$A24)="","",INDEX(Korpus!$F:$F,$A24))</f>
        <v xml:space="preserve">Oleh karena itu perlu disusun suatu undang-undang yang secara khusus dapat memberikan perlindungan data pribadi.</v>
      </c>
      <c r="F24" s="18"/>
      <c r="G24" s="18"/>
      <c r="H24" s="18"/>
      <c r="I24" s="18"/>
      <c r="J24" s="18"/>
      <c r="K24" s="18"/>
      <c r="L24" s="18"/>
      <c r="M24" s="19"/>
      <c r="N24" s="19"/>
      <c r="O24" s="15"/>
      <c r="P24" s="17" t="str">
        <f t="shared" si="2"/>
        <v xml:space="preserve">Belum lengkap (6)</v>
      </c>
      <c r="Q24" s="17" t="str">
        <f t="shared" si="3"/>
        <v/>
      </c>
      <c r="R24" s="17" t="str">
        <f>IF(INDEX(Korpus!$B:$B,$A24)="","",INDEX(Korpus!$B:$B,$A24))</f>
        <v xml:space="preserve">C. Pembahasan</v>
      </c>
      <c r="S24" s="17" t="str">
        <f>IF(INDEX(Korpus!$C:$C,$A24)="","",INDEX(Korpus!$C:$C,$A24))</f>
        <v xml:space="preserve">5. Pentingnya Perlindungan Data Pribadi</v>
      </c>
    </row>
    <row r="25" ht="60" customHeight="1">
      <c r="A25" s="15">
        <v>25</v>
      </c>
      <c r="B25" s="16" t="str">
        <f>IF(Petunjuk!$C$4="","",Petunjuk!$C$4)</f>
        <v>Afriansyah</v>
      </c>
      <c r="C25" s="17" t="str">
        <f>IF(INDEX(Korpus!$A:$A,$A25)="","",INDEX(Korpus!$A:$A,$A25))</f>
        <v>2019MHN201</v>
      </c>
      <c r="D25" s="17" t="str">
        <f>TRIM(INDEX(Korpus!$D:$D,$A25)&amp;" "&amp;INDEX(Korpus!$E:$E,$A25))</f>
        <v xml:space="preserve">Paragraf 1 Kalimat 3</v>
      </c>
      <c r="E25" s="17" t="str">
        <f>IF(INDEX(Korpus!$F:$F,$A25)="","",INDEX(Korpus!$F:$F,$A25))</f>
        <v xml:space="preserve">Selain itu juga sudah ada Peraturan Menteri Nomor 20 Tahun 2016 tentang Perlindungan Data Pribadi namun belum cukup memberikan perlindungan kepada konsumen.</v>
      </c>
      <c r="F25" s="18" t="s">
        <v>81</v>
      </c>
      <c r="G25" s="18" t="s">
        <v>85</v>
      </c>
      <c r="H25" s="18" t="s">
        <v>78</v>
      </c>
      <c r="I25" s="18" t="s">
        <v>79</v>
      </c>
      <c r="J25" s="18" t="s">
        <v>74</v>
      </c>
      <c r="K25" s="18" t="s">
        <v>86</v>
      </c>
      <c r="L25" s="18" t="s">
        <v>64</v>
      </c>
      <c r="M25" s="19"/>
      <c r="N25" s="19"/>
      <c r="O25" s="15" t="s">
        <v>77</v>
      </c>
      <c r="P25" s="17" t="str">
        <f t="shared" si="2"/>
        <v>Lengkap</v>
      </c>
      <c r="Q25" s="17" t="str">
        <f t="shared" si="3"/>
        <v>OK</v>
      </c>
      <c r="R25" s="17" t="str">
        <f>IF(INDEX(Korpus!$B:$B,$A25)="","",INDEX(Korpus!$B:$B,$A25))</f>
        <v xml:space="preserve">D. Penutup</v>
      </c>
      <c r="S25" s="17" t="str">
        <f>IF(INDEX(Korpus!$C:$C,$A25)="","",INDEX(Korpus!$C:$C,$A25))</f>
        <v/>
      </c>
    </row>
    <row r="26" ht="60" customHeight="1">
      <c r="A26" s="15">
        <v>26</v>
      </c>
      <c r="B26" s="16" t="str">
        <f>IF(Petunjuk!$C$4="","",Petunjuk!$C$4)</f>
        <v>Afriansyah</v>
      </c>
      <c r="C26" s="17" t="str">
        <f>IF(INDEX(Korpus!$A:$A,$A26)="","",INDEX(Korpus!$A:$A,$A26))</f>
        <v>2019MHN201</v>
      </c>
      <c r="D26" s="17" t="str">
        <f>TRIM(INDEX(Korpus!$D:$D,$A26)&amp;" "&amp;INDEX(Korpus!$E:$E,$A26))</f>
        <v xml:space="preserve">Paragraf 1 Kalimat 4</v>
      </c>
      <c r="E26" s="17" t="str">
        <f>IF(INDEX(Korpus!$F:$F,$A26)="","",INDEX(Korpus!$F:$F,$A26))</f>
        <v xml:space="preserve">Oleh karenanya Pemerintah perlu segera memberikan perlindungan data pribadi nasabah agar tidak disalahgunakan.</v>
      </c>
      <c r="F26" s="18"/>
      <c r="G26" s="18"/>
      <c r="H26" s="18"/>
      <c r="I26" s="18"/>
      <c r="J26" s="18"/>
      <c r="K26" s="18"/>
      <c r="L26" s="18"/>
      <c r="M26" s="19"/>
      <c r="N26" s="19"/>
      <c r="O26" s="15"/>
      <c r="P26" s="17" t="str">
        <f t="shared" si="2"/>
        <v xml:space="preserve">Belum lengkap (6)</v>
      </c>
      <c r="Q26" s="17" t="str">
        <f t="shared" si="3"/>
        <v/>
      </c>
      <c r="R26" s="17" t="str">
        <f>IF(INDEX(Korpus!$B:$B,$A26)="","",INDEX(Korpus!$B:$B,$A26))</f>
        <v xml:space="preserve">D. Penutup</v>
      </c>
      <c r="S26" s="17" t="str">
        <f>IF(INDEX(Korpus!$C:$C,$A26)="","",INDEX(Korpus!$C:$C,$A26))</f>
        <v/>
      </c>
    </row>
    <row r="27" ht="60" customHeight="1">
      <c r="A27" s="15">
        <v>27</v>
      </c>
      <c r="B27" s="16" t="str">
        <f>IF(Petunjuk!$C$4="","",Petunjuk!$C$4)</f>
        <v>Afriansyah</v>
      </c>
      <c r="C27" s="17" t="str">
        <f>IF(INDEX(Korpus!$A:$A,$A27)="","",INDEX(Korpus!$A:$A,$A27))</f>
        <v xml:space="preserve">UU 23 Thn 2002 (Perlindungan Anak)</v>
      </c>
      <c r="D27" s="17" t="str">
        <f>TRIM(INDEX(Korpus!$D:$D,$A27)&amp;" "&amp;INDEX(Korpus!$E:$E,$A27))</f>
        <v xml:space="preserve">Pasal 27</v>
      </c>
      <c r="E27" s="17" t="str">
        <f>IF(INDEX(Korpus!$F:$F,$A27)="","",INDEX(Korpus!$F:$F,$A27))</f>
        <v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8"/>
      <c r="G27" s="18"/>
      <c r="H27" s="18"/>
      <c r="I27" s="18"/>
      <c r="J27" s="18"/>
      <c r="K27" s="18"/>
      <c r="L27" s="18"/>
      <c r="M27" s="19"/>
      <c r="N27" s="19"/>
      <c r="O27" s="15"/>
      <c r="P27" s="17" t="str">
        <f t="shared" si="2"/>
        <v xml:space="preserve">Belum lengkap (6)</v>
      </c>
      <c r="Q27" s="17" t="str">
        <f t="shared" si="3"/>
        <v/>
      </c>
      <c r="R27" s="17" t="str">
        <f>IF(INDEX(Korpus!$B:$B,$A27)="","",INDEX(Korpus!$B:$B,$A27))</f>
        <v xml:space="preserve">BAB V
KEDUDUKAN ANAK</v>
      </c>
      <c r="S27" s="17" t="str">
        <f>IF(INDEX(Korpus!$C:$C,$A27)="","",INDEX(Korpus!$C:$C,$A27))</f>
        <v xml:space="preserve">Bagian Kesatu
Identitas Anak</v>
      </c>
    </row>
    <row r="28" ht="395.25">
      <c r="A28" s="15">
        <v>28</v>
      </c>
      <c r="B28" s="16" t="str">
        <f>IF(Petunjuk!$C$4="","",Petunjuk!$C$4)</f>
        <v>Afriansyah</v>
      </c>
      <c r="C28" s="17" t="str">
        <f>IF(INDEX(Korpus!$A:$A,$A28)="","",INDEX(Korpus!$A:$A,$A28))</f>
        <v xml:space="preserve">UU 27 Thn 2022 (PDP)</v>
      </c>
      <c r="D28" s="17" t="str">
        <f>TRIM(INDEX(Korpus!$D:$D,$A28)&amp;" "&amp;INDEX(Korpus!$E:$E,$A28))</f>
        <v xml:space="preserve">Pasal 1</v>
      </c>
      <c r="E28" s="17" t="str">
        <f>IF(INDEX(Korpus!$F:$F,$A28)="","",INDEX(Korpus!$F:$F,$A28))</f>
        <v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8" t="s">
        <v>62</v>
      </c>
      <c r="G28" s="18" t="s">
        <v>71</v>
      </c>
      <c r="H28" s="18" t="s">
        <v>72</v>
      </c>
      <c r="I28" s="18" t="s">
        <v>87</v>
      </c>
      <c r="J28" s="18" t="s">
        <v>66</v>
      </c>
      <c r="K28" s="18" t="s">
        <v>88</v>
      </c>
      <c r="L28" s="18" t="s">
        <v>89</v>
      </c>
      <c r="M28" s="19"/>
      <c r="N28" s="19"/>
      <c r="O28" s="15" t="s">
        <v>69</v>
      </c>
      <c r="P28" s="17" t="str">
        <f t="shared" si="2"/>
        <v>Lengkap</v>
      </c>
      <c r="Q28" s="17" t="str">
        <f t="shared" si="3"/>
        <v>OK</v>
      </c>
      <c r="R28" s="17" t="str">
        <f>IF(INDEX(Korpus!$B:$B,$A28)="","",INDEX(Korpus!$B:$B,$A28))</f>
        <v xml:space="preserve">BAB I
KETENTUAN UMUM</v>
      </c>
      <c r="S28" s="17" t="str">
        <f>IF(INDEX(Korpus!$C:$C,$A28)="","",INDEX(Korpus!$C:$C,$A28))</f>
        <v/>
      </c>
    </row>
    <row r="29" ht="60" customHeight="1">
      <c r="A29" s="15">
        <v>29</v>
      </c>
      <c r="B29" s="16" t="str">
        <f>IF(Petunjuk!$C$4="","",Petunjuk!$C$4)</f>
        <v>Afriansyah</v>
      </c>
      <c r="C29" s="17" t="str">
        <f>IF(INDEX(Korpus!$A:$A,$A29)="","",INDEX(Korpus!$A:$A,$A29))</f>
        <v xml:space="preserve">UU 27 Thn 2022 (PDP)</v>
      </c>
      <c r="D29" s="17" t="str">
        <f>TRIM(INDEX(Korpus!$D:$D,$A29)&amp;" "&amp;INDEX(Korpus!$E:$E,$A29))</f>
        <v xml:space="preserve">Pasal 2</v>
      </c>
      <c r="E29" s="17" t="str">
        <f>IF(INDEX(Korpus!$F:$F,$A29)="","",INDEX(Korpus!$F:$F,$A29))</f>
        <v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8"/>
      <c r="G29" s="18"/>
      <c r="H29" s="18"/>
      <c r="I29" s="18"/>
      <c r="J29" s="18"/>
      <c r="K29" s="18"/>
      <c r="L29" s="18"/>
      <c r="M29" s="19"/>
      <c r="N29" s="19"/>
      <c r="O29" s="15"/>
      <c r="P29" s="17" t="str">
        <f t="shared" si="2"/>
        <v xml:space="preserve">Belum lengkap (6)</v>
      </c>
      <c r="Q29" s="17" t="str">
        <f t="shared" si="3"/>
        <v/>
      </c>
      <c r="R29" s="17" t="str">
        <f>IF(INDEX(Korpus!$B:$B,$A29)="","",INDEX(Korpus!$B:$B,$A29))</f>
        <v xml:space="preserve">BAB I
KETENTUAN UMUM</v>
      </c>
      <c r="S29" s="17" t="str">
        <f>IF(INDEX(Korpus!$C:$C,$A29)="","",INDEX(Korpus!$C:$C,$A29))</f>
        <v/>
      </c>
    </row>
    <row r="30" ht="60" customHeight="1">
      <c r="A30" s="15">
        <v>30</v>
      </c>
      <c r="B30" s="16" t="str">
        <f>IF(Petunjuk!$C$4="","",Petunjuk!$C$4)</f>
        <v>Afriansyah</v>
      </c>
      <c r="C30" s="17" t="str">
        <f>IF(INDEX(Korpus!$A:$A,$A30)="","",INDEX(Korpus!$A:$A,$A30))</f>
        <v xml:space="preserve">UU 27 Thn 2022 (PDP)</v>
      </c>
      <c r="D30" s="17" t="str">
        <f>TRIM(INDEX(Korpus!$D:$D,$A30)&amp;" "&amp;INDEX(Korpus!$E:$E,$A30))</f>
        <v xml:space="preserve">Pasal 3</v>
      </c>
      <c r="E30" s="17" t="str">
        <f>IF(INDEX(Korpus!$F:$F,$A30)="","",INDEX(Korpus!$F:$F,$A30))</f>
        <v xml:space="preserve">a. perlindungan; b. kepastian hukum; c. kepentingan umum; d. Kemanfaatan; e. Kehati-hatian; f. Keseimbangan; g. Pertanggungjawaban; dan h. kerahasiaan.</v>
      </c>
      <c r="F30" s="18" t="s">
        <v>62</v>
      </c>
      <c r="G30" s="18" t="s">
        <v>85</v>
      </c>
      <c r="H30" s="18" t="s">
        <v>75</v>
      </c>
      <c r="I30" s="18" t="s">
        <v>65</v>
      </c>
      <c r="J30" s="18" t="s">
        <v>66</v>
      </c>
      <c r="K30" s="18" t="s">
        <v>86</v>
      </c>
      <c r="L30" s="18" t="s">
        <v>90</v>
      </c>
      <c r="M30" s="19"/>
      <c r="N30" s="19"/>
      <c r="O30" s="15" t="s">
        <v>77</v>
      </c>
      <c r="P30" s="17" t="str">
        <f t="shared" si="2"/>
        <v>Lengkap</v>
      </c>
      <c r="Q30" s="17" t="str">
        <f t="shared" si="3"/>
        <v>OK</v>
      </c>
      <c r="R30" s="17" t="str">
        <f>IF(INDEX(Korpus!$B:$B,$A30)="","",INDEX(Korpus!$B:$B,$A30))</f>
        <v xml:space="preserve">BAB II
ASAS</v>
      </c>
      <c r="S30" s="17" t="str">
        <f>IF(INDEX(Korpus!$C:$C,$A30)="","",INDEX(Korpus!$C:$C,$A30))</f>
        <v/>
      </c>
    </row>
    <row r="31" ht="60" customHeight="1">
      <c r="A31" s="15">
        <v>31</v>
      </c>
      <c r="B31" s="16" t="str">
        <f>IF(Petunjuk!$C$4="","",Petunjuk!$C$4)</f>
        <v>Afriansyah</v>
      </c>
      <c r="C31" s="17" t="str">
        <f>IF(INDEX(Korpus!$A:$A,$A31)="","",INDEX(Korpus!$A:$A,$A31))</f>
        <v xml:space="preserve">UU 27 Thn 2022 (PDP)</v>
      </c>
      <c r="D31" s="17" t="str">
        <f>TRIM(INDEX(Korpus!$D:$D,$A31)&amp;" "&amp;INDEX(Korpus!$E:$E,$A31))</f>
        <v xml:space="preserve">Pasal 4</v>
      </c>
      <c r="E31" s="17" t="str">
        <f>IF(INDEX(Korpus!$F:$F,$A31)="","",INDEX(Korpus!$F:$F,$A31))</f>
        <v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8"/>
      <c r="G31" s="18"/>
      <c r="H31" s="18"/>
      <c r="I31" s="18"/>
      <c r="J31" s="18"/>
      <c r="K31" s="18"/>
      <c r="L31" s="18"/>
      <c r="M31" s="19"/>
      <c r="N31" s="19"/>
      <c r="O31" s="15"/>
      <c r="P31" s="17" t="str">
        <f t="shared" si="2"/>
        <v xml:space="preserve">Belum lengkap (6)</v>
      </c>
      <c r="Q31" s="17" t="str">
        <f t="shared" si="3"/>
        <v/>
      </c>
      <c r="R31" s="17" t="str">
        <f>IF(INDEX(Korpus!$B:$B,$A31)="","",INDEX(Korpus!$B:$B,$A31))</f>
        <v xml:space="preserve">BAB III
JENIS DATA PRIBADI</v>
      </c>
      <c r="S31" s="17" t="str">
        <f>IF(INDEX(Korpus!$C:$C,$A31)="","",INDEX(Korpus!$C:$C,$A31))</f>
        <v/>
      </c>
    </row>
    <row r="32" ht="60" customHeight="1">
      <c r="A32" s="15">
        <v>32</v>
      </c>
      <c r="B32" s="16" t="str">
        <f>IF(Petunjuk!$C$4="","",Petunjuk!$C$4)</f>
        <v>Afriansyah</v>
      </c>
      <c r="C32" s="17" t="str">
        <f>IF(INDEX(Korpus!$A:$A,$A32)="","",INDEX(Korpus!$A:$A,$A32))</f>
        <v xml:space="preserve">UU 27 Thn 2022 (PDP)</v>
      </c>
      <c r="D32" s="17" t="str">
        <f>TRIM(INDEX(Korpus!$D:$D,$A32)&amp;" "&amp;INDEX(Korpus!$E:$E,$A32))</f>
        <v xml:space="preserve">Pasal 5</v>
      </c>
      <c r="E32" s="17" t="str">
        <f>IF(INDEX(Korpus!$F:$F,$A32)="","",INDEX(Korpus!$F:$F,$A32))</f>
        <v xml:space="preserve">Subjek Data Pribadi berhak mendapatkan Informasi tentang kejelasan identitas, dasar kepentingan hukum, tujuan permintaan dan penggunaan Data Pribadi, dan akuntabilitas pihak yang meminta Data Pribadi.</v>
      </c>
      <c r="F32" s="18" t="s">
        <v>70</v>
      </c>
      <c r="G32" s="18" t="s">
        <v>63</v>
      </c>
      <c r="H32" s="18" t="s">
        <v>91</v>
      </c>
      <c r="I32" s="18" t="s">
        <v>73</v>
      </c>
      <c r="J32" s="18" t="s">
        <v>74</v>
      </c>
      <c r="K32" s="18" t="s">
        <v>92</v>
      </c>
      <c r="L32" s="18" t="s">
        <v>90</v>
      </c>
      <c r="M32" s="19"/>
      <c r="N32" s="19"/>
      <c r="O32" s="15" t="s">
        <v>69</v>
      </c>
      <c r="P32" s="17" t="str">
        <f t="shared" si="2"/>
        <v>Lengkap</v>
      </c>
      <c r="Q32" s="17" t="str">
        <f t="shared" si="3"/>
        <v>OK</v>
      </c>
      <c r="R32" s="17" t="str">
        <f>IF(INDEX(Korpus!$B:$B,$A32)="","",INDEX(Korpus!$B:$B,$A32))</f>
        <v xml:space="preserve">BAB IV
HAK SUBJEK DATA PRIBADI</v>
      </c>
      <c r="S32" s="17" t="str">
        <f>IF(INDEX(Korpus!$C:$C,$A32)="","",INDEX(Korpus!$C:$C,$A32))</f>
        <v/>
      </c>
    </row>
    <row r="33" ht="60" customHeight="1">
      <c r="A33" s="15">
        <v>33</v>
      </c>
      <c r="B33" s="16" t="str">
        <f>IF(Petunjuk!$C$4="","",Petunjuk!$C$4)</f>
        <v>Afriansyah</v>
      </c>
      <c r="C33" s="17" t="str">
        <f>IF(INDEX(Korpus!$A:$A,$A33)="","",INDEX(Korpus!$A:$A,$A33))</f>
        <v xml:space="preserve">UU 27 Thn 2022 (PDP)</v>
      </c>
      <c r="D33" s="17" t="str">
        <f>TRIM(INDEX(Korpus!$D:$D,$A33)&amp;" "&amp;INDEX(Korpus!$E:$E,$A33))</f>
        <v xml:space="preserve">Pasal 6</v>
      </c>
      <c r="E33" s="17" t="str">
        <f>IF(INDEX(Korpus!$F:$F,$A33)="","",INDEX(Korpus!$F:$F,$A33))</f>
        <v xml:space="preserve">Subjek Data Pribadi berhak melengkapi, memperbarui, dan/atau memperbaiki kesalahan dan/atau ketidakakuratan Data Pribadi tentang dirinya sesuai dengan tujuan pemrosesan Data Pribadi.</v>
      </c>
      <c r="F33" s="18"/>
      <c r="G33" s="18"/>
      <c r="H33" s="18"/>
      <c r="I33" s="18"/>
      <c r="J33" s="18"/>
      <c r="K33" s="18"/>
      <c r="L33" s="18"/>
      <c r="M33" s="19"/>
      <c r="N33" s="19"/>
      <c r="O33" s="15"/>
      <c r="P33" s="17" t="str">
        <f t="shared" si="2"/>
        <v xml:space="preserve">Belum lengkap (6)</v>
      </c>
      <c r="Q33" s="17" t="str">
        <f t="shared" si="3"/>
        <v/>
      </c>
      <c r="R33" s="17" t="str">
        <f>IF(INDEX(Korpus!$B:$B,$A33)="","",INDEX(Korpus!$B:$B,$A33))</f>
        <v xml:space="preserve">BAB IV
HAK SUBJEK DATA PRIBADI</v>
      </c>
      <c r="S33" s="17" t="str">
        <f>IF(INDEX(Korpus!$C:$C,$A33)="","",INDEX(Korpus!$C:$C,$A33))</f>
        <v/>
      </c>
    </row>
    <row r="34" ht="60" customHeight="1">
      <c r="A34" s="15">
        <v>34</v>
      </c>
      <c r="B34" s="16" t="str">
        <f>IF(Petunjuk!$C$4="","",Petunjuk!$C$4)</f>
        <v>Afriansyah</v>
      </c>
      <c r="C34" s="17" t="str">
        <f>IF(INDEX(Korpus!$A:$A,$A34)="","",INDEX(Korpus!$A:$A,$A34))</f>
        <v xml:space="preserve">UU 27 Thn 2022 (PDP)</v>
      </c>
      <c r="D34" s="17" t="str">
        <f>TRIM(INDEX(Korpus!$D:$D,$A34)&amp;" "&amp;INDEX(Korpus!$E:$E,$A34))</f>
        <v xml:space="preserve">Pasal 7</v>
      </c>
      <c r="E34" s="17" t="str">
        <f>IF(INDEX(Korpus!$F:$F,$A34)="","",INDEX(Korpus!$F:$F,$A34))</f>
        <v xml:space="preserve">Subjek Data Pribadi berhak mendapatkan akses dan memperoleh salinan Data Pribadi tentang dirinya sesuai dengan ketentuan peraturan perundang-undangan.</v>
      </c>
      <c r="F34" s="18"/>
      <c r="G34" s="18"/>
      <c r="H34" s="18"/>
      <c r="I34" s="18"/>
      <c r="J34" s="18"/>
      <c r="K34" s="18"/>
      <c r="L34" s="18"/>
      <c r="M34" s="19"/>
      <c r="N34" s="19"/>
      <c r="O34" s="15"/>
      <c r="P34" s="17" t="str">
        <f t="shared" si="2"/>
        <v xml:space="preserve">Belum lengkap (6)</v>
      </c>
      <c r="Q34" s="17" t="str">
        <f t="shared" si="3"/>
        <v/>
      </c>
      <c r="R34" s="17" t="str">
        <f>IF(INDEX(Korpus!$B:$B,$A34)="","",INDEX(Korpus!$B:$B,$A34))</f>
        <v xml:space="preserve">BAB IV
HAK SUBJEK DATA PRIBADI</v>
      </c>
      <c r="S34" s="17" t="str">
        <f>IF(INDEX(Korpus!$C:$C,$A34)="","",INDEX(Korpus!$C:$C,$A34))</f>
        <v/>
      </c>
    </row>
    <row r="35" ht="60" customHeight="1">
      <c r="A35" s="15">
        <v>35</v>
      </c>
      <c r="B35" s="16" t="str">
        <f>IF(Petunjuk!$C$4="","",Petunjuk!$C$4)</f>
        <v>Afriansyah</v>
      </c>
      <c r="C35" s="17" t="str">
        <f>IF(INDEX(Korpus!$A:$A,$A35)="","",INDEX(Korpus!$A:$A,$A35))</f>
        <v xml:space="preserve">UU 27 Thn 2022 (PDP)</v>
      </c>
      <c r="D35" s="17" t="str">
        <f>TRIM(INDEX(Korpus!$D:$D,$A35)&amp;" "&amp;INDEX(Korpus!$E:$E,$A35))</f>
        <v xml:space="preserve">Pasal 8</v>
      </c>
      <c r="E35" s="17" t="str">
        <f>IF(INDEX(Korpus!$F:$F,$A35)="","",INDEX(Korpus!$F:$F,$A35))</f>
        <v xml:space="preserve">Subjek Data Pribadi berhak untuk mengakhiri pemrosesan, menghapus, dan/ atau memusnahkan Data Pribadi tentang dirinya sesuai dengan ketentuan peraturan perundang-undangan.</v>
      </c>
      <c r="F35" s="18" t="s">
        <v>70</v>
      </c>
      <c r="G35" s="18" t="s">
        <v>63</v>
      </c>
      <c r="H35" s="18" t="s">
        <v>84</v>
      </c>
      <c r="I35" s="18" t="s">
        <v>73</v>
      </c>
      <c r="J35" s="18" t="s">
        <v>93</v>
      </c>
      <c r="K35" s="18" t="s">
        <v>92</v>
      </c>
      <c r="L35" s="18" t="s">
        <v>91</v>
      </c>
      <c r="M35" s="19"/>
      <c r="N35" s="19"/>
      <c r="O35" s="15" t="s">
        <v>77</v>
      </c>
      <c r="P35" s="17" t="str">
        <f t="shared" si="2"/>
        <v>Lengkap</v>
      </c>
      <c r="Q35" s="17" t="str">
        <f t="shared" si="3"/>
        <v>OK</v>
      </c>
      <c r="R35" s="17" t="str">
        <f>IF(INDEX(Korpus!$B:$B,$A35)="","",INDEX(Korpus!$B:$B,$A35))</f>
        <v xml:space="preserve">BAB IV
HAK SUBJEK DATA PRIBADI</v>
      </c>
      <c r="S35" s="17" t="str">
        <f>IF(INDEX(Korpus!$C:$C,$A35)="","",INDEX(Korpus!$C:$C,$A35))</f>
        <v/>
      </c>
    </row>
    <row r="36" ht="60" customHeight="1">
      <c r="A36" s="15">
        <v>36</v>
      </c>
      <c r="B36" s="16" t="str">
        <f>IF(Petunjuk!$C$4="","",Petunjuk!$C$4)</f>
        <v>Afriansyah</v>
      </c>
      <c r="C36" s="17" t="str">
        <f>IF(INDEX(Korpus!$A:$A,$A36)="","",INDEX(Korpus!$A:$A,$A36))</f>
        <v xml:space="preserve">UU 27 Thn 2022 (PDP)</v>
      </c>
      <c r="D36" s="17" t="str">
        <f>TRIM(INDEX(Korpus!$D:$D,$A36)&amp;" "&amp;INDEX(Korpus!$E:$E,$A36))</f>
        <v xml:space="preserve">Pasal 9</v>
      </c>
      <c r="E36" s="17" t="str">
        <f>IF(INDEX(Korpus!$F:$F,$A36)="","",INDEX(Korpus!$F:$F,$A36))</f>
        <v xml:space="preserve">Subjek Data Pribadi berhak menarik kembali persetujuan pemrosesan Data Pribadi tentang dirinya yang telah diberikan kepada Pengendali Data Pribadi.</v>
      </c>
      <c r="F36" s="18"/>
      <c r="G36" s="18"/>
      <c r="H36" s="18"/>
      <c r="I36" s="18"/>
      <c r="J36" s="18"/>
      <c r="K36" s="18"/>
      <c r="L36" s="18"/>
      <c r="M36" s="19"/>
      <c r="N36" s="19"/>
      <c r="O36" s="15"/>
      <c r="P36" s="17" t="str">
        <f t="shared" si="2"/>
        <v xml:space="preserve">Belum lengkap (6)</v>
      </c>
      <c r="Q36" s="17" t="str">
        <f t="shared" si="3"/>
        <v/>
      </c>
      <c r="R36" s="17" t="str">
        <f>IF(INDEX(Korpus!$B:$B,$A36)="","",INDEX(Korpus!$B:$B,$A36))</f>
        <v xml:space="preserve">BAB IV
HAK SUBJEK DATA PRIBADI</v>
      </c>
      <c r="S36" s="17" t="str">
        <f>IF(INDEX(Korpus!$C:$C,$A36)="","",INDEX(Korpus!$C:$C,$A36))</f>
        <v/>
      </c>
    </row>
    <row r="37" ht="60" customHeight="1">
      <c r="A37" s="15">
        <v>37</v>
      </c>
      <c r="B37" s="16" t="str">
        <f>IF(Petunjuk!$C$4="","",Petunjuk!$C$4)</f>
        <v>Afriansyah</v>
      </c>
      <c r="C37" s="17" t="str">
        <f>IF(INDEX(Korpus!$A:$A,$A37)="","",INDEX(Korpus!$A:$A,$A37))</f>
        <v xml:space="preserve">UU 27 Thn 2022 (PDP)</v>
      </c>
      <c r="D37" s="17" t="str">
        <f>TRIM(INDEX(Korpus!$D:$D,$A37)&amp;" "&amp;INDEX(Korpus!$E:$E,$A37))</f>
        <v xml:space="preserve">Pasal 10</v>
      </c>
      <c r="E37" s="17" t="str">
        <f>IF(INDEX(Korpus!$F:$F,$A37)="","",INDEX(Korpus!$F:$F,$A37))</f>
        <v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8"/>
      <c r="G37" s="18"/>
      <c r="H37" s="18"/>
      <c r="I37" s="18"/>
      <c r="J37" s="18"/>
      <c r="K37" s="18"/>
      <c r="L37" s="18"/>
      <c r="M37" s="19"/>
      <c r="N37" s="19"/>
      <c r="O37" s="15"/>
      <c r="P37" s="17" t="str">
        <f t="shared" si="2"/>
        <v xml:space="preserve">Belum lengkap (6)</v>
      </c>
      <c r="Q37" s="17" t="str">
        <f t="shared" si="3"/>
        <v/>
      </c>
      <c r="R37" s="17" t="str">
        <f>IF(INDEX(Korpus!$B:$B,$A37)="","",INDEX(Korpus!$B:$B,$A37))</f>
        <v xml:space="preserve">BAB IV
HAK SUBJEK DATA PRIBADI</v>
      </c>
      <c r="S37" s="17" t="str">
        <f>IF(INDEX(Korpus!$C:$C,$A37)="","",INDEX(Korpus!$C:$C,$A37))</f>
        <v/>
      </c>
    </row>
    <row r="38" ht="60" customHeight="1">
      <c r="A38" s="15">
        <v>38</v>
      </c>
      <c r="B38" s="16" t="str">
        <f>IF(Petunjuk!$C$4="","",Petunjuk!$C$4)</f>
        <v>Afriansyah</v>
      </c>
      <c r="C38" s="17" t="str">
        <f>IF(INDEX(Korpus!$A:$A,$A38)="","",INDEX(Korpus!$A:$A,$A38))</f>
        <v xml:space="preserve">UU 27 Thn 2022 (PDP)</v>
      </c>
      <c r="D38" s="17" t="str">
        <f>TRIM(INDEX(Korpus!$D:$D,$A38)&amp;" "&amp;INDEX(Korpus!$E:$E,$A38))</f>
        <v xml:space="preserve">Pasal 11</v>
      </c>
      <c r="E38" s="17" t="str">
        <f>IF(INDEX(Korpus!$F:$F,$A38)="","",INDEX(Korpus!$F:$F,$A38))</f>
        <v xml:space="preserve">Subjek Data Pribadi berhak menunda atau membatasi pemrosesan Data Pribadi secara proporsional sesuai dengan tujuan pemrosesan Data Pribadi.</v>
      </c>
      <c r="F38" s="18"/>
      <c r="G38" s="18"/>
      <c r="H38" s="18"/>
      <c r="I38" s="18"/>
      <c r="J38" s="18"/>
      <c r="K38" s="18"/>
      <c r="L38" s="18"/>
      <c r="M38" s="19"/>
      <c r="N38" s="19"/>
      <c r="O38" s="15"/>
      <c r="P38" s="17" t="str">
        <f t="shared" si="2"/>
        <v xml:space="preserve">Belum lengkap (6)</v>
      </c>
      <c r="Q38" s="17" t="str">
        <f t="shared" si="3"/>
        <v/>
      </c>
      <c r="R38" s="17" t="str">
        <f>IF(INDEX(Korpus!$B:$B,$A38)="","",INDEX(Korpus!$B:$B,$A38))</f>
        <v xml:space="preserve">BAB IV
HAK SUBJEK DATA PRIBADI</v>
      </c>
      <c r="S38" s="17" t="str">
        <f>IF(INDEX(Korpus!$C:$C,$A38)="","",INDEX(Korpus!$C:$C,$A38))</f>
        <v/>
      </c>
    </row>
    <row r="39" ht="60" customHeight="1">
      <c r="A39" s="15">
        <v>39</v>
      </c>
      <c r="B39" s="16" t="str">
        <f>IF(Petunjuk!$C$4="","",Petunjuk!$C$4)</f>
        <v>Afriansyah</v>
      </c>
      <c r="C39" s="17" t="str">
        <f>IF(INDEX(Korpus!$A:$A,$A39)="","",INDEX(Korpus!$A:$A,$A39))</f>
        <v xml:space="preserve">UU 27 Thn 2022 (PDP)</v>
      </c>
      <c r="D39" s="17" t="str">
        <f>TRIM(INDEX(Korpus!$D:$D,$A39)&amp;" "&amp;INDEX(Korpus!$E:$E,$A39))</f>
        <v xml:space="preserve">Pasal 12</v>
      </c>
      <c r="E39" s="17" t="str">
        <f>IF(INDEX(Korpus!$F:$F,$A39)="","",INDEX(Korpus!$F:$F,$A39))</f>
        <v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8"/>
      <c r="G39" s="18"/>
      <c r="H39" s="18"/>
      <c r="I39" s="18"/>
      <c r="J39" s="18"/>
      <c r="K39" s="18"/>
      <c r="L39" s="18"/>
      <c r="M39" s="19"/>
      <c r="N39" s="19"/>
      <c r="O39" s="15"/>
      <c r="P39" s="17" t="str">
        <f t="shared" si="2"/>
        <v xml:space="preserve">Belum lengkap (6)</v>
      </c>
      <c r="Q39" s="17" t="str">
        <f t="shared" si="3"/>
        <v/>
      </c>
      <c r="R39" s="17" t="str">
        <f>IF(INDEX(Korpus!$B:$B,$A39)="","",INDEX(Korpus!$B:$B,$A39))</f>
        <v xml:space="preserve">BAB IV
HAK SUBJEK DATA PRIBADI</v>
      </c>
      <c r="S39" s="17" t="str">
        <f>IF(INDEX(Korpus!$C:$C,$A39)="","",INDEX(Korpus!$C:$C,$A39))</f>
        <v/>
      </c>
    </row>
    <row r="40" ht="60" customHeight="1">
      <c r="A40" s="15">
        <v>40</v>
      </c>
      <c r="B40" s="16" t="str">
        <f>IF(Petunjuk!$C$4="","",Petunjuk!$C$4)</f>
        <v>Afriansyah</v>
      </c>
      <c r="C40" s="17" t="str">
        <f>IF(INDEX(Korpus!$A:$A,$A40)="","",INDEX(Korpus!$A:$A,$A40))</f>
        <v xml:space="preserve">UU 27 Thn 2022 (PDP)</v>
      </c>
      <c r="D40" s="17" t="str">
        <f>TRIM(INDEX(Korpus!$D:$D,$A40)&amp;" "&amp;INDEX(Korpus!$E:$E,$A40))</f>
        <v xml:space="preserve">Pasal 13</v>
      </c>
      <c r="E40" s="17" t="str">
        <f>IF(INDEX(Korpus!$F:$F,$A40)="","",INDEX(Korpus!$F:$F,$A40))</f>
        <v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8"/>
      <c r="G40" s="18"/>
      <c r="H40" s="18"/>
      <c r="I40" s="18"/>
      <c r="J40" s="18"/>
      <c r="K40" s="18"/>
      <c r="L40" s="18"/>
      <c r="M40" s="19"/>
      <c r="N40" s="19"/>
      <c r="O40" s="15"/>
      <c r="P40" s="17" t="str">
        <f t="shared" si="2"/>
        <v xml:space="preserve">Belum lengkap (6)</v>
      </c>
      <c r="Q40" s="17" t="str">
        <f t="shared" si="3"/>
        <v/>
      </c>
      <c r="R40" s="17" t="str">
        <f>IF(INDEX(Korpus!$B:$B,$A40)="","",INDEX(Korpus!$B:$B,$A40))</f>
        <v xml:space="preserve">BAB IV
HAK SUBJEK DATA PRIBADI</v>
      </c>
      <c r="S40" s="17" t="str">
        <f>IF(INDEX(Korpus!$C:$C,$A40)="","",INDEX(Korpus!$C:$C,$A40))</f>
        <v/>
      </c>
    </row>
    <row r="41" ht="60" customHeight="1">
      <c r="A41" s="15">
        <v>41</v>
      </c>
      <c r="B41" s="16" t="str">
        <f>IF(Petunjuk!$C$4="","",Petunjuk!$C$4)</f>
        <v>Afriansyah</v>
      </c>
      <c r="C41" s="17" t="str">
        <f>IF(INDEX(Korpus!$A:$A,$A41)="","",INDEX(Korpus!$A:$A,$A41))</f>
        <v xml:space="preserve">UU 27 Thn 2022 (PDP)</v>
      </c>
      <c r="D41" s="17" t="str">
        <f>TRIM(INDEX(Korpus!$D:$D,$A41)&amp;" "&amp;INDEX(Korpus!$E:$E,$A41))</f>
        <v xml:space="preserve">Pasal 14</v>
      </c>
      <c r="E41" s="17" t="str">
        <f>IF(INDEX(Korpus!$F:$F,$A41)="","",INDEX(Korpus!$F:$F,$A41))</f>
        <v xml:space="preserve">Pelaksanaan hak Subjek Data Pribadi sebagaimana dimaksud dalam Pasal 6 sampai dengan Pasal 11 diajukan melalui permohonan tercatat yang disampaikan secara elektronik atau nonelektronik kepada Pengendali Data Pribadi.</v>
      </c>
      <c r="F41" s="18"/>
      <c r="G41" s="18"/>
      <c r="H41" s="18"/>
      <c r="I41" s="18"/>
      <c r="J41" s="18"/>
      <c r="K41" s="18"/>
      <c r="L41" s="18"/>
      <c r="M41" s="19"/>
      <c r="N41" s="19"/>
      <c r="O41" s="15"/>
      <c r="P41" s="17" t="str">
        <f t="shared" si="2"/>
        <v xml:space="preserve">Belum lengkap (6)</v>
      </c>
      <c r="Q41" s="17" t="str">
        <f t="shared" si="3"/>
        <v/>
      </c>
      <c r="R41" s="17" t="str">
        <f>IF(INDEX(Korpus!$B:$B,$A41)="","",INDEX(Korpus!$B:$B,$A41))</f>
        <v xml:space="preserve">BAB IV
HAK SUBJEK DATA PRIBADI</v>
      </c>
      <c r="S41" s="17" t="str">
        <f>IF(INDEX(Korpus!$C:$C,$A41)="","",INDEX(Korpus!$C:$C,$A41))</f>
        <v/>
      </c>
    </row>
    <row r="42" ht="60" customHeight="1">
      <c r="A42" s="15">
        <v>42</v>
      </c>
      <c r="B42" s="16" t="str">
        <f>IF(Petunjuk!$C$4="","",Petunjuk!$C$4)</f>
        <v>Afriansyah</v>
      </c>
      <c r="C42" s="17" t="str">
        <f>IF(INDEX(Korpus!$A:$A,$A42)="","",INDEX(Korpus!$A:$A,$A42))</f>
        <v xml:space="preserve">UU 27 Thn 2022 (PDP)</v>
      </c>
      <c r="D42" s="17" t="str">
        <f>TRIM(INDEX(Korpus!$D:$D,$A42)&amp;" "&amp;INDEX(Korpus!$E:$E,$A42))</f>
        <v xml:space="preserve">Pasal 15</v>
      </c>
      <c r="E42" s="17" t="str">
        <f>IF(INDEX(Korpus!$F:$F,$A42)="","",INDEX(Korpus!$F:$F,$A42))</f>
        <v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18" t="s">
        <v>70</v>
      </c>
      <c r="G42" s="18" t="s">
        <v>63</v>
      </c>
      <c r="H42" s="18" t="s">
        <v>94</v>
      </c>
      <c r="I42" s="18" t="s">
        <v>73</v>
      </c>
      <c r="J42" s="18" t="s">
        <v>74</v>
      </c>
      <c r="K42" s="18" t="s">
        <v>88</v>
      </c>
      <c r="L42" s="18" t="s">
        <v>91</v>
      </c>
      <c r="M42" s="19"/>
      <c r="N42" s="19"/>
      <c r="O42" s="15" t="s">
        <v>77</v>
      </c>
      <c r="P42" s="17" t="str">
        <f t="shared" si="2"/>
        <v>Lengkap</v>
      </c>
      <c r="Q42" s="17" t="str">
        <f t="shared" si="3"/>
        <v>OK</v>
      </c>
      <c r="R42" s="17" t="str">
        <f>IF(INDEX(Korpus!$B:$B,$A42)="","",INDEX(Korpus!$B:$B,$A42))</f>
        <v xml:space="preserve">BAB IV
HAK SUBJEK DATA PRIBADI</v>
      </c>
      <c r="S42" s="17" t="str">
        <f>IF(INDEX(Korpus!$C:$C,$A42)="","",INDEX(Korpus!$C:$C,$A42))</f>
        <v/>
      </c>
    </row>
    <row r="43" ht="60" customHeight="1">
      <c r="A43" s="15">
        <v>43</v>
      </c>
      <c r="B43" s="16" t="str">
        <f>IF(Petunjuk!$C$4="","",Petunjuk!$C$4)</f>
        <v>Afriansyah</v>
      </c>
      <c r="C43" s="17" t="str">
        <f>IF(INDEX(Korpus!$A:$A,$A43)="","",INDEX(Korpus!$A:$A,$A43))</f>
        <v xml:space="preserve">UU 27 Thn 2022 (PDP)</v>
      </c>
      <c r="D43" s="17" t="str">
        <f>TRIM(INDEX(Korpus!$D:$D,$A43)&amp;" "&amp;INDEX(Korpus!$E:$E,$A43))</f>
        <v xml:space="preserve">Pasal 16</v>
      </c>
      <c r="E43" s="17" t="str">
        <f>IF(INDEX(Korpus!$F:$F,$A43)="","",INDEX(Korpus!$F:$F,$A43))</f>
        <v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8"/>
      <c r="G43" s="18"/>
      <c r="H43" s="18"/>
      <c r="I43" s="18"/>
      <c r="J43" s="18"/>
      <c r="K43" s="18"/>
      <c r="L43" s="18"/>
      <c r="M43" s="19"/>
      <c r="N43" s="19"/>
      <c r="O43" s="15"/>
      <c r="P43" s="17" t="str">
        <f t="shared" si="2"/>
        <v xml:space="preserve">Belum lengkap (6)</v>
      </c>
      <c r="Q43" s="17" t="str">
        <f t="shared" si="3"/>
        <v/>
      </c>
      <c r="R43" s="17" t="str">
        <f>IF(INDEX(Korpus!$B:$B,$A43)="","",INDEX(Korpus!$B:$B,$A43))</f>
        <v xml:space="preserve">BAB V
PEMROSESAN DATA PRIBADI</v>
      </c>
      <c r="S43" s="17" t="str">
        <f>IF(INDEX(Korpus!$C:$C,$A43)="","",INDEX(Korpus!$C:$C,$A43))</f>
        <v/>
      </c>
    </row>
    <row r="44" ht="60" customHeight="1">
      <c r="A44" s="15">
        <v>44</v>
      </c>
      <c r="B44" s="16" t="str">
        <f>IF(Petunjuk!$C$4="","",Petunjuk!$C$4)</f>
        <v>Afriansyah</v>
      </c>
      <c r="C44" s="17" t="str">
        <f>IF(INDEX(Korpus!$A:$A,$A44)="","",INDEX(Korpus!$A:$A,$A44))</f>
        <v xml:space="preserve">UU 27 Thn 2022 (PDP)</v>
      </c>
      <c r="D44" s="17" t="str">
        <f>TRIM(INDEX(Korpus!$D:$D,$A44)&amp;" "&amp;INDEX(Korpus!$E:$E,$A44))</f>
        <v xml:space="preserve">Pasal 17</v>
      </c>
      <c r="E44" s="17" t="str">
        <f>IF(INDEX(Korpus!$F:$F,$A44)="","",INDEX(Korpus!$F:$F,$A44))</f>
        <v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18" t="s">
        <v>82</v>
      </c>
      <c r="G44" s="18" t="s">
        <v>71</v>
      </c>
      <c r="H44" s="18" t="s">
        <v>94</v>
      </c>
      <c r="I44" s="18" t="s">
        <v>87</v>
      </c>
      <c r="J44" s="18" t="s">
        <v>95</v>
      </c>
      <c r="K44" s="18" t="s">
        <v>88</v>
      </c>
      <c r="L44" s="18" t="s">
        <v>96</v>
      </c>
      <c r="M44" s="19"/>
      <c r="N44" s="19"/>
      <c r="O44" s="15" t="s">
        <v>77</v>
      </c>
      <c r="P44" s="17" t="str">
        <f t="shared" si="2"/>
        <v>Lengkap</v>
      </c>
      <c r="Q44" s="17" t="str">
        <f t="shared" si="3"/>
        <v>OK</v>
      </c>
      <c r="R44" s="17" t="str">
        <f>IF(INDEX(Korpus!$B:$B,$A44)="","",INDEX(Korpus!$B:$B,$A44))</f>
        <v xml:space="preserve">BAB V
PEMROSESAN DATA PRIBADI</v>
      </c>
      <c r="S44" s="17" t="str">
        <f>IF(INDEX(Korpus!$C:$C,$A44)="","",INDEX(Korpus!$C:$C,$A44))</f>
        <v/>
      </c>
    </row>
    <row r="45" ht="60" customHeight="1">
      <c r="A45" s="15">
        <v>45</v>
      </c>
      <c r="B45" s="16" t="str">
        <f>IF(Petunjuk!$C$4="","",Petunjuk!$C$4)</f>
        <v>Afriansyah</v>
      </c>
      <c r="C45" s="17" t="str">
        <f>IF(INDEX(Korpus!$A:$A,$A45)="","",INDEX(Korpus!$A:$A,$A45))</f>
        <v xml:space="preserve">UU 27 Thn 2022 (PDP)</v>
      </c>
      <c r="D45" s="17" t="str">
        <f>TRIM(INDEX(Korpus!$D:$D,$A45)&amp;" "&amp;INDEX(Korpus!$E:$E,$A45))</f>
        <v xml:space="preserve">Pasal 18</v>
      </c>
      <c r="E45" s="17" t="str">
        <f>IF(INDEX(Korpus!$F:$F,$A45)="","",INDEX(Korpus!$F:$F,$A45))</f>
        <v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8"/>
      <c r="G45" s="18"/>
      <c r="H45" s="18"/>
      <c r="I45" s="18"/>
      <c r="J45" s="18"/>
      <c r="K45" s="18"/>
      <c r="L45" s="18"/>
      <c r="M45" s="19"/>
      <c r="N45" s="19"/>
      <c r="O45" s="15"/>
      <c r="P45" s="17" t="str">
        <f t="shared" si="2"/>
        <v xml:space="preserve">Belum lengkap (6)</v>
      </c>
      <c r="Q45" s="17" t="str">
        <f t="shared" si="3"/>
        <v/>
      </c>
      <c r="R45" s="17" t="str">
        <f>IF(INDEX(Korpus!$B:$B,$A45)="","",INDEX(Korpus!$B:$B,$A45))</f>
        <v xml:space="preserve">BAB V
PEMROSESAN DATA PRIBADI</v>
      </c>
      <c r="S45" s="17" t="str">
        <f>IF(INDEX(Korpus!$C:$C,$A45)="","",INDEX(Korpus!$C:$C,$A45))</f>
        <v/>
      </c>
    </row>
    <row r="46" ht="60" customHeight="1">
      <c r="A46" s="15">
        <v>46</v>
      </c>
      <c r="B46" s="16" t="str">
        <f>IF(Petunjuk!$C$4="","",Petunjuk!$C$4)</f>
        <v>Afriansyah</v>
      </c>
      <c r="C46" s="17" t="str">
        <f>IF(INDEX(Korpus!$A:$A,$A46)="","",INDEX(Korpus!$A:$A,$A46))</f>
        <v xml:space="preserve">UU 27 Thn 2022 (PDP)</v>
      </c>
      <c r="D46" s="17" t="str">
        <f>TRIM(INDEX(Korpus!$D:$D,$A46)&amp;" "&amp;INDEX(Korpus!$E:$E,$A46))</f>
        <v xml:space="preserve">Pasal 19</v>
      </c>
      <c r="E46" s="17" t="str">
        <f>IF(INDEX(Korpus!$F:$F,$A46)="","",INDEX(Korpus!$F:$F,$A46))</f>
        <v xml:space="preserve">Pengendali Data Pribadi dan Prosesor Data Pribadi meliputi: a. Setiap Orang; b. Badan Publik; dan c. Organisasi Internasional.</v>
      </c>
      <c r="F46" s="18"/>
      <c r="G46" s="18"/>
      <c r="H46" s="18"/>
      <c r="I46" s="18"/>
      <c r="J46" s="18"/>
      <c r="K46" s="18"/>
      <c r="L46" s="18"/>
      <c r="M46" s="19"/>
      <c r="N46" s="19"/>
      <c r="O46" s="15"/>
      <c r="P46" s="17" t="str">
        <f t="shared" si="2"/>
        <v xml:space="preserve">Belum lengkap (6)</v>
      </c>
      <c r="Q46" s="17" t="str">
        <f t="shared" si="3"/>
        <v/>
      </c>
      <c r="R46" s="17" t="str">
        <f>IF(INDEX(Korpus!$B:$B,$A46)="","",INDEX(Korpus!$B:$B,$A46))</f>
        <v xml:space="preserve">BAB VI
KEWAJIBAN PENGENDALI DATA PRIBADI DAN PROSESOR DATA PRIBADI DALAM PEMROSESAN DATA PRIBADI</v>
      </c>
      <c r="S46" s="17" t="str">
        <f>IF(INDEX(Korpus!$C:$C,$A46)="","",INDEX(Korpus!$C:$C,$A46))</f>
        <v xml:space="preserve">Bagian Kesatu
Umum</v>
      </c>
    </row>
    <row r="47" ht="60" customHeight="1">
      <c r="A47" s="15">
        <v>47</v>
      </c>
      <c r="B47" s="16" t="str">
        <f>IF(Petunjuk!$C$4="","",Petunjuk!$C$4)</f>
        <v>Afriansyah</v>
      </c>
      <c r="C47" s="17" t="str">
        <f>IF(INDEX(Korpus!$A:$A,$A47)="","",INDEX(Korpus!$A:$A,$A47))</f>
        <v xml:space="preserve">UU 27 Thn 2022 (PDP)</v>
      </c>
      <c r="D47" s="17" t="str">
        <f>TRIM(INDEX(Korpus!$D:$D,$A47)&amp;" "&amp;INDEX(Korpus!$E:$E,$A47))</f>
        <v xml:space="preserve">Pasal 20</v>
      </c>
      <c r="E47" s="17" t="str">
        <f>IF(INDEX(Korpus!$F:$F,$A47)="","",INDEX(Korpus!$F:$F,$A47))</f>
        <v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8"/>
      <c r="G47" s="18"/>
      <c r="H47" s="18"/>
      <c r="I47" s="18"/>
      <c r="J47" s="18"/>
      <c r="K47" s="18"/>
      <c r="L47" s="18"/>
      <c r="M47" s="19"/>
      <c r="N47" s="19"/>
      <c r="O47" s="15"/>
      <c r="P47" s="17" t="str">
        <f t="shared" si="2"/>
        <v xml:space="preserve">Belum lengkap (6)</v>
      </c>
      <c r="Q47" s="17" t="str">
        <f t="shared" si="3"/>
        <v/>
      </c>
      <c r="R47" s="17" t="str">
        <f>IF(INDEX(Korpus!$B:$B,$A47)="","",INDEX(Korpus!$B:$B,$A47))</f>
        <v xml:space="preserve">BAB VI
KEWAJIBAN PENGENDALI DATA PRIBADI DAN PROSESOR DATA PRIBADI DALAM PEMROSESAN DATA PRIBADI</v>
      </c>
      <c r="S47" s="17" t="str">
        <f>IF(INDEX(Korpus!$C:$C,$A47)="","",INDEX(Korpus!$C:$C,$A47))</f>
        <v xml:space="preserve">Bagian Kedua Kewajiban Pengendali Data Pribadi</v>
      </c>
    </row>
    <row r="48" ht="60" customHeight="1">
      <c r="A48" s="15">
        <v>48</v>
      </c>
      <c r="B48" s="16" t="str">
        <f>IF(Petunjuk!$C$4="","",Petunjuk!$C$4)</f>
        <v>Afriansyah</v>
      </c>
      <c r="C48" s="17" t="str">
        <f>IF(INDEX(Korpus!$A:$A,$A48)="","",INDEX(Korpus!$A:$A,$A48))</f>
        <v xml:space="preserve">UU 27 Thn 2022 (PDP)</v>
      </c>
      <c r="D48" s="17" t="str">
        <f>TRIM(INDEX(Korpus!$D:$D,$A48)&amp;" "&amp;INDEX(Korpus!$E:$E,$A48))</f>
        <v xml:space="preserve">Pasal 21</v>
      </c>
      <c r="E48" s="17" t="str">
        <f>IF(INDEX(Korpus!$F:$F,$A48)="","",INDEX(Korpus!$F:$F,$A48))</f>
        <v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8"/>
      <c r="G48" s="18"/>
      <c r="H48" s="18"/>
      <c r="I48" s="18"/>
      <c r="J48" s="18"/>
      <c r="K48" s="18"/>
      <c r="L48" s="18"/>
      <c r="M48" s="19"/>
      <c r="N48" s="19"/>
      <c r="O48" s="15"/>
      <c r="P48" s="17" t="str">
        <f t="shared" si="2"/>
        <v xml:space="preserve">Belum lengkap (6)</v>
      </c>
      <c r="Q48" s="17" t="str">
        <f t="shared" si="3"/>
        <v/>
      </c>
      <c r="R48" s="17" t="str">
        <f>IF(INDEX(Korpus!$B:$B,$A48)="","",INDEX(Korpus!$B:$B,$A48))</f>
        <v xml:space="preserve">BAB VI
KEWAJIBAN PENGENDALI DATA PRIBADI DAN PROSESOR DATA PRIBADI DALAM PEMROSESAN DATA PRIBADI</v>
      </c>
      <c r="S48" s="17" t="str">
        <f>IF(INDEX(Korpus!$C:$C,$A48)="","",INDEX(Korpus!$C:$C,$A48))</f>
        <v xml:space="preserve">Bagian Kedua Kewajiban Pengendali Data Pribadi</v>
      </c>
    </row>
    <row r="49" ht="140.25">
      <c r="A49" s="15">
        <v>49</v>
      </c>
      <c r="B49" s="16" t="str">
        <f>IF(Petunjuk!$C$4="","",Petunjuk!$C$4)</f>
        <v>Afriansyah</v>
      </c>
      <c r="C49" s="17" t="str">
        <f>IF(INDEX(Korpus!$A:$A,$A49)="","",INDEX(Korpus!$A:$A,$A49))</f>
        <v xml:space="preserve">UU 27 Thn 2022 (PDP)</v>
      </c>
      <c r="D49" s="17" t="str">
        <f>TRIM(INDEX(Korpus!$D:$D,$A49)&amp;" "&amp;INDEX(Korpus!$E:$E,$A49))</f>
        <v xml:space="preserve">Pasal 22</v>
      </c>
      <c r="E49" s="17" t="str">
        <f>IF(INDEX(Korpus!$F:$F,$A49)="","",INDEX(Korpus!$F:$F,$A49))</f>
        <v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8" t="s">
        <v>70</v>
      </c>
      <c r="G49" s="18" t="s">
        <v>63</v>
      </c>
      <c r="H49" s="18" t="s">
        <v>97</v>
      </c>
      <c r="I49" s="18" t="s">
        <v>83</v>
      </c>
      <c r="J49" s="18" t="s">
        <v>98</v>
      </c>
      <c r="K49" s="18" t="s">
        <v>92</v>
      </c>
      <c r="L49" s="18" t="s">
        <v>90</v>
      </c>
      <c r="M49" s="19"/>
      <c r="N49" s="19"/>
      <c r="O49" s="15" t="s">
        <v>69</v>
      </c>
      <c r="P49" s="17" t="str">
        <f t="shared" si="2"/>
        <v>Lengkap</v>
      </c>
      <c r="Q49" s="17" t="str">
        <f t="shared" si="3"/>
        <v>OK</v>
      </c>
      <c r="R49" s="17" t="str">
        <f>IF(INDEX(Korpus!$B:$B,$A49)="","",INDEX(Korpus!$B:$B,$A49))</f>
        <v xml:space="preserve">BAB VI
KEWAJIBAN PENGENDALI DATA PRIBADI DAN PROSESOR DATA PRIBADI DALAM PEMROSESAN DATA PRIBADI</v>
      </c>
      <c r="S49" s="17" t="str">
        <f>IF(INDEX(Korpus!$C:$C,$A49)="","",INDEX(Korpus!$C:$C,$A49))</f>
        <v xml:space="preserve">Bagian Kedua Kewajiban Pengendali Data Pribadi</v>
      </c>
    </row>
    <row r="50" ht="60" customHeight="1">
      <c r="A50" s="15">
        <v>50</v>
      </c>
      <c r="B50" s="16" t="str">
        <f>IF(Petunjuk!$C$4="","",Petunjuk!$C$4)</f>
        <v>Afriansyah</v>
      </c>
      <c r="C50" s="17" t="str">
        <f>IF(INDEX(Korpus!$A:$A,$A50)="","",INDEX(Korpus!$A:$A,$A50))</f>
        <v xml:space="preserve">UU 27 Thn 2022 (PDP)</v>
      </c>
      <c r="D50" s="17" t="str">
        <f>TRIM(INDEX(Korpus!$D:$D,$A50)&amp;" "&amp;INDEX(Korpus!$E:$E,$A50))</f>
        <v xml:space="preserve">Pasal 23</v>
      </c>
      <c r="E50" s="17" t="str">
        <f>IF(INDEX(Korpus!$F:$F,$A50)="","",INDEX(Korpus!$F:$F,$A50))</f>
        <v xml:space="preserve">Klausul perjanjian yang di dalamnya terdapat permintaan pemrosesan Data Pribadi yang tidak memuat persetujuan yang sah secara eksplisit dari Subjek Data Pribadi dinyatakan batal demi hukum.</v>
      </c>
      <c r="F50" s="18"/>
      <c r="G50" s="18"/>
      <c r="H50" s="18"/>
      <c r="I50" s="18"/>
      <c r="J50" s="18"/>
      <c r="K50" s="18"/>
      <c r="L50" s="18"/>
      <c r="M50" s="19"/>
      <c r="N50" s="19"/>
      <c r="O50" s="15"/>
      <c r="P50" s="17" t="str">
        <f t="shared" si="2"/>
        <v xml:space="preserve">Belum lengkap (6)</v>
      </c>
      <c r="Q50" s="17" t="str">
        <f t="shared" si="3"/>
        <v/>
      </c>
      <c r="R50" s="17" t="str">
        <f>IF(INDEX(Korpus!$B:$B,$A50)="","",INDEX(Korpus!$B:$B,$A50))</f>
        <v xml:space="preserve">BAB VI
KEWAJIBAN PENGENDALI DATA PRIBADI DAN PROSESOR DATA PRIBADI DALAM PEMROSESAN DATA PRIBADI</v>
      </c>
      <c r="S50" s="17" t="str">
        <f>IF(INDEX(Korpus!$C:$C,$A50)="","",INDEX(Korpus!$C:$C,$A50))</f>
        <v xml:space="preserve">Bagian Kedua Kewajiban Pengendali Data Pribadi</v>
      </c>
    </row>
    <row r="51" ht="60" customHeight="1">
      <c r="A51" s="15">
        <v>51</v>
      </c>
      <c r="B51" s="16" t="str">
        <f>IF(Petunjuk!$C$4="","",Petunjuk!$C$4)</f>
        <v>Afriansyah</v>
      </c>
      <c r="C51" s="17" t="str">
        <f>IF(INDEX(Korpus!$A:$A,$A51)="","",INDEX(Korpus!$A:$A,$A51))</f>
        <v xml:space="preserve">UU 27 Thn 2022 (PDP)</v>
      </c>
      <c r="D51" s="17" t="str">
        <f>TRIM(INDEX(Korpus!$D:$D,$A51)&amp;" "&amp;INDEX(Korpus!$E:$E,$A51))</f>
        <v xml:space="preserve">Pasal 24</v>
      </c>
      <c r="E51" s="17" t="str">
        <f>IF(INDEX(Korpus!$F:$F,$A51)="","",INDEX(Korpus!$F:$F,$A51))</f>
        <v xml:space="preserve">Dalam melakukan pemrosesan Data Pribadi, Pengendali Data Pribadi wajib menunjukkan bukti persetujuan yang telah diberikan oleh Subjek Data Pribadi.</v>
      </c>
      <c r="F51" s="18"/>
      <c r="G51" s="18"/>
      <c r="H51" s="18"/>
      <c r="I51" s="18"/>
      <c r="J51" s="18"/>
      <c r="K51" s="18"/>
      <c r="L51" s="18"/>
      <c r="M51" s="19"/>
      <c r="N51" s="19"/>
      <c r="O51" s="15"/>
      <c r="P51" s="17" t="str">
        <f t="shared" si="2"/>
        <v xml:space="preserve">Belum lengkap (6)</v>
      </c>
      <c r="Q51" s="17" t="str">
        <f t="shared" si="3"/>
        <v/>
      </c>
      <c r="R51" s="17" t="str">
        <f>IF(INDEX(Korpus!$B:$B,$A51)="","",INDEX(Korpus!$B:$B,$A51))</f>
        <v xml:space="preserve">BAB VI
KEWAJIBAN PENGENDALI DATA PRIBADI DAN PROSESOR DATA PRIBADI DALAM PEMROSESAN DATA PRIBADI</v>
      </c>
      <c r="S51" s="17" t="str">
        <f>IF(INDEX(Korpus!$C:$C,$A51)="","",INDEX(Korpus!$C:$C,$A51))</f>
        <v xml:space="preserve">Bagian Kedua Kewajiban Pengendali Data Pribadi</v>
      </c>
    </row>
    <row r="52" ht="60" customHeight="1">
      <c r="A52" s="15">
        <v>52</v>
      </c>
      <c r="B52" s="16" t="str">
        <f>IF(Petunjuk!$C$4="","",Petunjuk!$C$4)</f>
        <v>Afriansyah</v>
      </c>
      <c r="C52" s="17" t="str">
        <f>IF(INDEX(Korpus!$A:$A,$A52)="","",INDEX(Korpus!$A:$A,$A52))</f>
        <v xml:space="preserve">UU 27 Thn 2022 (PDP)</v>
      </c>
      <c r="D52" s="17" t="str">
        <f>TRIM(INDEX(Korpus!$D:$D,$A52)&amp;" "&amp;INDEX(Korpus!$E:$E,$A52))</f>
        <v xml:space="preserve">Pasal 25</v>
      </c>
      <c r="E52" s="17" t="str">
        <f>IF(INDEX(Korpus!$F:$F,$A52)="","",INDEX(Korpus!$F:$F,$A52))</f>
        <v xml:space="preserve">(1) Pemrosesan Data Pribadi anak secara khusus.(2) Pemrosesan Data Pribadi anak sebagaimana dimaksud pada ayat (1) wajib mendapat persetujuan dari orang tua anak dan/ atau wali anak sesuai dengan ketentuan peraturan perundang-undangan.</v>
      </c>
      <c r="F52" s="18" t="s">
        <v>99</v>
      </c>
      <c r="G52" s="18" t="s">
        <v>63</v>
      </c>
      <c r="H52" s="18" t="s">
        <v>100</v>
      </c>
      <c r="I52" s="18" t="s">
        <v>83</v>
      </c>
      <c r="J52" s="18" t="s">
        <v>95</v>
      </c>
      <c r="K52" s="18" t="s">
        <v>88</v>
      </c>
      <c r="L52" s="18" t="s">
        <v>97</v>
      </c>
      <c r="M52" s="19"/>
      <c r="N52" s="19"/>
      <c r="O52" s="15" t="s">
        <v>77</v>
      </c>
      <c r="P52" s="17" t="str">
        <f t="shared" si="2"/>
        <v>Lengkap</v>
      </c>
      <c r="Q52" s="17" t="str">
        <f t="shared" si="3"/>
        <v>OK</v>
      </c>
      <c r="R52" s="17" t="str">
        <f>IF(INDEX(Korpus!$B:$B,$A52)="","",INDEX(Korpus!$B:$B,$A52))</f>
        <v xml:space="preserve">BAB VI
KEWAJIBAN PENGENDALI DATA PRIBADI DAN PROSESOR DATA PRIBADI DALAM PEMROSESAN DATA PRIBADI</v>
      </c>
      <c r="S52" s="17" t="str">
        <f>IF(INDEX(Korpus!$C:$C,$A52)="","",INDEX(Korpus!$C:$C,$A52))</f>
        <v xml:space="preserve">Bagian Kedua Kewajiban Pengendali Data Pribadi</v>
      </c>
    </row>
    <row r="53" ht="100" customHeight="1">
      <c r="A53" s="15">
        <v>53</v>
      </c>
      <c r="B53" s="16" t="str">
        <f>IF(Petunjuk!$C$4="","",Petunjuk!$C$4)</f>
        <v>Afriansyah</v>
      </c>
      <c r="C53" s="17" t="str">
        <f>IF(INDEX(Korpus!$A:$A,$A53)="","",INDEX(Korpus!$A:$A,$A53))</f>
        <v xml:space="preserve">UU 27 Thn 2022 (PDP)</v>
      </c>
      <c r="D53" s="17" t="str">
        <f>TRIM(INDEX(Korpus!$D:$D,$A53)&amp;" "&amp;INDEX(Korpus!$E:$E,$A53))</f>
        <v xml:space="preserve">Pasal 26</v>
      </c>
      <c r="E53" s="17" t="str">
        <f>IF(INDEX(Korpus!$F:$F,$A53)="","",INDEX(Korpus!$F:$F,$A53))</f>
        <v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8"/>
      <c r="G53" s="18"/>
      <c r="H53" s="18"/>
      <c r="I53" s="18"/>
      <c r="J53" s="18"/>
      <c r="K53" s="18"/>
      <c r="L53" s="18"/>
      <c r="M53" s="19"/>
      <c r="N53" s="19"/>
      <c r="O53" s="15"/>
      <c r="P53" s="17" t="str">
        <f t="shared" si="2"/>
        <v xml:space="preserve">Belum lengkap (6)</v>
      </c>
      <c r="Q53" s="17" t="str">
        <f t="shared" si="3"/>
        <v/>
      </c>
      <c r="R53" s="17" t="str">
        <f>IF(INDEX(Korpus!$B:$B,$A53)="","",INDEX(Korpus!$B:$B,$A53))</f>
        <v xml:space="preserve">BAB VI
KEWAJIBAN PENGENDALI DATA PRIBADI DAN PROSESOR DATA PRIBADI DALAM PEMROSESAN DATA PRIBADI</v>
      </c>
      <c r="S53" s="17" t="str">
        <f>IF(INDEX(Korpus!$C:$C,$A53)="","",INDEX(Korpus!$C:$C,$A53))</f>
        <v xml:space="preserve">Bagian Kedua Kewajiban Pengendali Data Pribadi</v>
      </c>
    </row>
    <row r="54" ht="150" customHeight="1">
      <c r="A54" s="15">
        <v>54</v>
      </c>
      <c r="B54" s="16" t="str">
        <f>IF(Petunjuk!$C$4="","",Petunjuk!$C$4)</f>
        <v>Afriansyah</v>
      </c>
      <c r="C54" s="17" t="str">
        <f>IF(INDEX(Korpus!$A:$A,$A54)="","",INDEX(Korpus!$A:$A,$A54))</f>
        <v xml:space="preserve">UU 27 Thn 2022 (PDP)</v>
      </c>
      <c r="D54" s="17" t="str">
        <f>TRIM(INDEX(Korpus!$D:$D,$A54)&amp;" "&amp;INDEX(Korpus!$E:$E,$A54))</f>
        <v xml:space="preserve">Pasal 27</v>
      </c>
      <c r="E54" s="17" t="str">
        <f>IF(INDEX(Korpus!$F:$F,$A54)="","",INDEX(Korpus!$F:$F,$A54))</f>
        <v xml:space="preserve">Pengendali Data Pribadi wajib melakukan pemrosesan Data Pribadi secara terbatas dan spesifik, sah secara hukum, dan transparan.</v>
      </c>
      <c r="F54" s="18" t="s">
        <v>101</v>
      </c>
      <c r="G54" s="18" t="s">
        <v>63</v>
      </c>
      <c r="H54" s="18" t="s">
        <v>75</v>
      </c>
      <c r="I54" s="18" t="s">
        <v>83</v>
      </c>
      <c r="J54" s="18" t="s">
        <v>98</v>
      </c>
      <c r="K54" s="18" t="s">
        <v>88</v>
      </c>
      <c r="L54" s="18" t="s">
        <v>96</v>
      </c>
      <c r="M54" s="19"/>
      <c r="N54" s="19"/>
      <c r="O54" s="15" t="s">
        <v>77</v>
      </c>
      <c r="P54" s="17" t="str">
        <f t="shared" si="2"/>
        <v>Lengkap</v>
      </c>
      <c r="Q54" s="17" t="str">
        <f t="shared" si="3"/>
        <v>OK</v>
      </c>
      <c r="R54" s="17" t="str">
        <f>IF(INDEX(Korpus!$B:$B,$A54)="","",INDEX(Korpus!$B:$B,$A54))</f>
        <v xml:space="preserve">BAB VI
KEWAJIBAN PENGENDALI DATA PRIBADI DAN PROSESOR DATA PRIBADI DALAM PEMROSESAN DATA PRIBADI</v>
      </c>
      <c r="S54" s="17" t="str">
        <f>IF(INDEX(Korpus!$C:$C,$A54)="","",INDEX(Korpus!$C:$C,$A54))</f>
        <v xml:space="preserve">Bagian Kedua Kewajiban Pengendali Data Pribadi</v>
      </c>
    </row>
    <row r="55" ht="60" customHeight="1">
      <c r="A55" s="15">
        <v>55</v>
      </c>
      <c r="B55" s="16" t="str">
        <f>IF(Petunjuk!$C$4="","",Petunjuk!$C$4)</f>
        <v>Afriansyah</v>
      </c>
      <c r="C55" s="17" t="str">
        <f>IF(INDEX(Korpus!$A:$A,$A55)="","",INDEX(Korpus!$A:$A,$A55))</f>
        <v xml:space="preserve">UU 27 Thn 2022 (PDP)</v>
      </c>
      <c r="D55" s="17" t="str">
        <f>TRIM(INDEX(Korpus!$D:$D,$A55)&amp;" "&amp;INDEX(Korpus!$E:$E,$A55))</f>
        <v xml:space="preserve">Pasal 28</v>
      </c>
      <c r="E55" s="17" t="str">
        <f>IF(INDEX(Korpus!$F:$F,$A55)="","",INDEX(Korpus!$F:$F,$A55))</f>
        <v xml:space="preserve">Pengendali Data Pribadi wajib melakukan pemrosesan Data Pribadi sesuai dengan tujuan pemrosesan Data Pribadi.</v>
      </c>
      <c r="F55" s="18" t="s">
        <v>101</v>
      </c>
      <c r="G55" s="18" t="s">
        <v>63</v>
      </c>
      <c r="H55" s="18" t="s">
        <v>75</v>
      </c>
      <c r="I55" s="18" t="s">
        <v>83</v>
      </c>
      <c r="J55" s="18" t="s">
        <v>102</v>
      </c>
      <c r="K55" s="18" t="s">
        <v>88</v>
      </c>
      <c r="L55" s="18" t="s">
        <v>96</v>
      </c>
      <c r="M55" s="19"/>
      <c r="N55" s="19"/>
      <c r="O55" s="15" t="s">
        <v>69</v>
      </c>
      <c r="P55" s="17" t="str">
        <f t="shared" si="2"/>
        <v>Lengkap</v>
      </c>
      <c r="Q55" s="17" t="str">
        <f t="shared" si="3"/>
        <v>OK</v>
      </c>
      <c r="R55" s="17" t="str">
        <f>IF(INDEX(Korpus!$B:$B,$A55)="","",INDEX(Korpus!$B:$B,$A55))</f>
        <v xml:space="preserve">BAB VI
KEWAJIBAN PENGENDALI DATA PRIBADI DAN PROSESOR DATA PRIBADI DALAM PEMROSESAN DATA PRIBADI</v>
      </c>
      <c r="S55" s="17" t="str">
        <f>IF(INDEX(Korpus!$C:$C,$A55)="","",INDEX(Korpus!$C:$C,$A55))</f>
        <v xml:space="preserve">Bagian Kedua Kewajiban Pengendali Data Pribadi</v>
      </c>
    </row>
    <row r="56" ht="60" customHeight="1">
      <c r="A56" s="15">
        <v>56</v>
      </c>
      <c r="B56" s="16" t="str">
        <f>IF(Petunjuk!$C$4="","",Petunjuk!$C$4)</f>
        <v>Afriansyah</v>
      </c>
      <c r="C56" s="17" t="str">
        <f>IF(INDEX(Korpus!$A:$A,$A56)="","",INDEX(Korpus!$A:$A,$A56))</f>
        <v xml:space="preserve">UU 27 Thn 2022 (PDP)</v>
      </c>
      <c r="D56" s="17" t="str">
        <f>TRIM(INDEX(Korpus!$D:$D,$A56)&amp;" "&amp;INDEX(Korpus!$E:$E,$A56))</f>
        <v xml:space="preserve">Pasal 29</v>
      </c>
      <c r="E56" s="17" t="str">
        <f>IF(INDEX(Korpus!$F:$F,$A56)="","",INDEX(Korpus!$F:$F,$A56))</f>
        <v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18" t="s">
        <v>101</v>
      </c>
      <c r="G56" s="18" t="s">
        <v>63</v>
      </c>
      <c r="H56" s="18" t="s">
        <v>103</v>
      </c>
      <c r="I56" s="18" t="s">
        <v>83</v>
      </c>
      <c r="J56" s="18" t="s">
        <v>102</v>
      </c>
      <c r="K56" s="18" t="s">
        <v>92</v>
      </c>
      <c r="L56" s="18" t="s">
        <v>90</v>
      </c>
      <c r="M56" s="19"/>
      <c r="N56" s="19"/>
      <c r="O56" s="15" t="s">
        <v>77</v>
      </c>
      <c r="P56" s="17" t="str">
        <f t="shared" si="2"/>
        <v>Lengkap</v>
      </c>
      <c r="Q56" s="17" t="str">
        <f t="shared" si="3"/>
        <v>OK</v>
      </c>
      <c r="R56" s="17" t="str">
        <f>IF(INDEX(Korpus!$B:$B,$A56)="","",INDEX(Korpus!$B:$B,$A56))</f>
        <v xml:space="preserve">BAB VI
KEWAJIBAN PENGENDALI DATA PRIBADI DAN PROSESOR DATA PRIBADI DALAM PEMROSESAN DATA PRIBADI</v>
      </c>
      <c r="S56" s="17" t="str">
        <f>IF(INDEX(Korpus!$C:$C,$A56)="","",INDEX(Korpus!$C:$C,$A56))</f>
        <v xml:space="preserve">Bagian Kedua Kewajiban Pengendali Data Pribadi</v>
      </c>
    </row>
    <row r="57" ht="60" customHeight="1">
      <c r="A57" s="15">
        <v>57</v>
      </c>
      <c r="B57" s="16" t="str">
        <f>IF(Petunjuk!$C$4="","",Petunjuk!$C$4)</f>
        <v>Afriansyah</v>
      </c>
      <c r="C57" s="17" t="str">
        <f>IF(INDEX(Korpus!$A:$A,$A57)="","",INDEX(Korpus!$A:$A,$A57))</f>
        <v xml:space="preserve">UU 27 Thn 2022 (PDP)</v>
      </c>
      <c r="D57" s="17" t="str">
        <f>TRIM(INDEX(Korpus!$D:$D,$A57)&amp;" "&amp;INDEX(Korpus!$E:$E,$A57))</f>
        <v xml:space="preserve">Pasal 30</v>
      </c>
      <c r="E57" s="17" t="str">
        <f>IF(INDEX(Korpus!$F:$F,$A57)="","",INDEX(Korpus!$F:$F,$A57))</f>
        <v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8"/>
      <c r="G57" s="18"/>
      <c r="H57" s="18"/>
      <c r="I57" s="18"/>
      <c r="J57" s="18"/>
      <c r="K57" s="18"/>
      <c r="L57" s="18"/>
      <c r="M57" s="19"/>
      <c r="N57" s="19"/>
      <c r="O57" s="15"/>
      <c r="P57" s="17" t="str">
        <f t="shared" si="2"/>
        <v xml:space="preserve">Belum lengkap (6)</v>
      </c>
      <c r="Q57" s="17" t="str">
        <f t="shared" si="3"/>
        <v/>
      </c>
      <c r="R57" s="17" t="str">
        <f>IF(INDEX(Korpus!$B:$B,$A57)="","",INDEX(Korpus!$B:$B,$A57))</f>
        <v xml:space="preserve">BAB VI
KEWAJIBAN PENGENDALI DATA PRIBADI DAN PROSESOR DATA PRIBADI DALAM PEMROSESAN DATA PRIBADI</v>
      </c>
      <c r="S57" s="17" t="str">
        <f>IF(INDEX(Korpus!$C:$C,$A57)="","",INDEX(Korpus!$C:$C,$A57))</f>
        <v xml:space="preserve">Bagian Kedua Kewajiban Pengendali Data Pribadi</v>
      </c>
    </row>
    <row r="58" ht="60" customHeight="1">
      <c r="A58" s="15">
        <v>58</v>
      </c>
      <c r="B58" s="16" t="str">
        <f>IF(Petunjuk!$C$4="","",Petunjuk!$C$4)</f>
        <v>Afriansyah</v>
      </c>
      <c r="C58" s="17" t="str">
        <f>IF(INDEX(Korpus!$A:$A,$A58)="","",INDEX(Korpus!$A:$A,$A58))</f>
        <v xml:space="preserve">UU 27 Thn 2022 (PDP)</v>
      </c>
      <c r="D58" s="17" t="str">
        <f>TRIM(INDEX(Korpus!$D:$D,$A58)&amp;" "&amp;INDEX(Korpus!$E:$E,$A58))</f>
        <v xml:space="preserve">Pasal 31</v>
      </c>
      <c r="E58" s="17" t="str">
        <f>IF(INDEX(Korpus!$F:$F,$A58)="","",INDEX(Korpus!$F:$F,$A58))</f>
        <v xml:space="preserve">Pengendali Data Pribadi wajib melakukan perekaman terhadap seluruh kegiatan pemrosesan Data Pribadi.</v>
      </c>
      <c r="F58" s="18"/>
      <c r="G58" s="18"/>
      <c r="H58" s="18"/>
      <c r="I58" s="18"/>
      <c r="J58" s="18"/>
      <c r="K58" s="18"/>
      <c r="L58" s="18"/>
      <c r="M58" s="19"/>
      <c r="N58" s="19"/>
      <c r="O58" s="15"/>
      <c r="P58" s="17" t="str">
        <f t="shared" si="2"/>
        <v xml:space="preserve">Belum lengkap (6)</v>
      </c>
      <c r="Q58" s="17" t="str">
        <f t="shared" si="3"/>
        <v/>
      </c>
      <c r="R58" s="17" t="str">
        <f>IF(INDEX(Korpus!$B:$B,$A58)="","",INDEX(Korpus!$B:$B,$A58))</f>
        <v xml:space="preserve">BAB VI
KEWAJIBAN PENGENDALI DATA PRIBADI DAN PROSESOR DATA PRIBADI DALAM PEMROSESAN DATA PRIBADI</v>
      </c>
      <c r="S58" s="17" t="str">
        <f>IF(INDEX(Korpus!$C:$C,$A58)="","",INDEX(Korpus!$C:$C,$A58))</f>
        <v xml:space="preserve">Bagian Kedua Kewajiban Pengendali Data Pribadi</v>
      </c>
    </row>
    <row r="59" ht="60" customHeight="1">
      <c r="A59" s="15">
        <v>59</v>
      </c>
      <c r="B59" s="16" t="str">
        <f>IF(Petunjuk!$C$4="","",Petunjuk!$C$4)</f>
        <v>Afriansyah</v>
      </c>
      <c r="C59" s="17" t="str">
        <f>IF(INDEX(Korpus!$A:$A,$A59)="","",INDEX(Korpus!$A:$A,$A59))</f>
        <v xml:space="preserve">UU 27 Thn 2022 (PDP)</v>
      </c>
      <c r="D59" s="17" t="str">
        <f>TRIM(INDEX(Korpus!$D:$D,$A59)&amp;" "&amp;INDEX(Korpus!$E:$E,$A59))</f>
        <v xml:space="preserve">Pasal 32</v>
      </c>
      <c r="E59" s="17" t="str">
        <f>IF(INDEX(Korpus!$F:$F,$A59)="","",INDEX(Korpus!$F:$F,$A59))</f>
        <v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8"/>
      <c r="G59" s="18"/>
      <c r="H59" s="18"/>
      <c r="I59" s="18"/>
      <c r="J59" s="18"/>
      <c r="K59" s="18"/>
      <c r="L59" s="18"/>
      <c r="M59" s="19"/>
      <c r="N59" s="19"/>
      <c r="O59" s="15"/>
      <c r="P59" s="17" t="str">
        <f t="shared" si="2"/>
        <v xml:space="preserve">Belum lengkap (6)</v>
      </c>
      <c r="Q59" s="17" t="str">
        <f t="shared" si="3"/>
        <v/>
      </c>
      <c r="R59" s="17" t="str">
        <f>IF(INDEX(Korpus!$B:$B,$A59)="","",INDEX(Korpus!$B:$B,$A59))</f>
        <v xml:space="preserve">BAB VI
KEWAJIBAN PENGENDALI DATA PRIBADI DAN PROSESOR DATA PRIBADI DALAM PEMROSESAN DATA PRIBADI</v>
      </c>
      <c r="S59" s="17" t="str">
        <f>IF(INDEX(Korpus!$C:$C,$A59)="","",INDEX(Korpus!$C:$C,$A59))</f>
        <v xml:space="preserve">Bagian Kedua Kewajiban Pengendali Data Pribadi</v>
      </c>
    </row>
    <row r="60" ht="60" customHeight="1">
      <c r="A60" s="15">
        <v>60</v>
      </c>
      <c r="B60" s="16" t="str">
        <f>IF(Petunjuk!$C$4="","",Petunjuk!$C$4)</f>
        <v>Afriansyah</v>
      </c>
      <c r="C60" s="17" t="str">
        <f>IF(INDEX(Korpus!$A:$A,$A60)="","",INDEX(Korpus!$A:$A,$A60))</f>
        <v xml:space="preserve">UU 27 Thn 2022 (PDP)</v>
      </c>
      <c r="D60" s="17" t="str">
        <f>TRIM(INDEX(Korpus!$D:$D,$A60)&amp;" "&amp;INDEX(Korpus!$E:$E,$A60))</f>
        <v xml:space="preserve">Pasal 33</v>
      </c>
      <c r="E60" s="17" t="str">
        <f>IF(INDEX(Korpus!$F:$F,$A60)="","",INDEX(Korpus!$F:$F,$A60))</f>
        <v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8"/>
      <c r="G60" s="18"/>
      <c r="H60" s="18"/>
      <c r="I60" s="18"/>
      <c r="J60" s="18"/>
      <c r="K60" s="18"/>
      <c r="L60" s="18"/>
      <c r="M60" s="19"/>
      <c r="N60" s="19"/>
      <c r="O60" s="15"/>
      <c r="P60" s="17" t="str">
        <f t="shared" si="2"/>
        <v xml:space="preserve">Belum lengkap (6)</v>
      </c>
      <c r="Q60" s="17" t="str">
        <f t="shared" si="3"/>
        <v/>
      </c>
      <c r="R60" s="17" t="str">
        <f>IF(INDEX(Korpus!$B:$B,$A60)="","",INDEX(Korpus!$B:$B,$A60))</f>
        <v xml:space="preserve">BAB VI
KEWAJIBAN PENGENDALI DATA PRIBADI DAN PROSESOR DATA PRIBADI DALAM PEMROSESAN DATA PRIBADI</v>
      </c>
      <c r="S60" s="17" t="str">
        <f>IF(INDEX(Korpus!$C:$C,$A60)="","",INDEX(Korpus!$C:$C,$A60))</f>
        <v xml:space="preserve">Bagian Kedua Kewajiban Pengendali Data Pribadi</v>
      </c>
    </row>
    <row r="61" ht="60" customHeight="1">
      <c r="A61" s="15">
        <v>61</v>
      </c>
      <c r="B61" s="16" t="str">
        <f>IF(Petunjuk!$C$4="","",Petunjuk!$C$4)</f>
        <v>Afriansyah</v>
      </c>
      <c r="C61" s="17" t="str">
        <f>IF(INDEX(Korpus!$A:$A,$A61)="","",INDEX(Korpus!$A:$A,$A61))</f>
        <v xml:space="preserve">UU 27 Thn 2022 (PDP)</v>
      </c>
      <c r="D61" s="17" t="str">
        <f>TRIM(INDEX(Korpus!$D:$D,$A61)&amp;" "&amp;INDEX(Korpus!$E:$E,$A61))</f>
        <v xml:space="preserve">Pasal 34</v>
      </c>
      <c r="E61" s="17" t="str">
        <f>IF(INDEX(Korpus!$F:$F,$A61)="","",INDEX(Korpus!$F:$F,$A61))</f>
        <v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8"/>
      <c r="G61" s="18"/>
      <c r="H61" s="18"/>
      <c r="I61" s="18"/>
      <c r="J61" s="18"/>
      <c r="K61" s="18"/>
      <c r="L61" s="18"/>
      <c r="M61" s="19"/>
      <c r="N61" s="19"/>
      <c r="O61" s="15"/>
      <c r="P61" s="17" t="str">
        <f t="shared" si="2"/>
        <v xml:space="preserve">Belum lengkap (6)</v>
      </c>
      <c r="Q61" s="17" t="str">
        <f t="shared" si="3"/>
        <v/>
      </c>
      <c r="R61" s="17" t="str">
        <f>IF(INDEX(Korpus!$B:$B,$A61)="","",INDEX(Korpus!$B:$B,$A61))</f>
        <v xml:space="preserve">BAB VI
KEWAJIBAN PENGENDALI DATA PRIBADI DAN PROSESOR DATA PRIBADI DALAM PEMROSESAN DATA PRIBADI</v>
      </c>
      <c r="S61" s="17" t="str">
        <f>IF(INDEX(Korpus!$C:$C,$A61)="","",INDEX(Korpus!$C:$C,$A61))</f>
        <v xml:space="preserve">Bagian Kedua
Kewajiban Pengendali Data Pribadi</v>
      </c>
    </row>
    <row r="62" ht="153">
      <c r="A62" s="15">
        <v>62</v>
      </c>
      <c r="B62" s="16" t="str">
        <f>IF(Petunjuk!$C$4="","",Petunjuk!$C$4)</f>
        <v>Afriansyah</v>
      </c>
      <c r="C62" s="17" t="str">
        <f>IF(INDEX(Korpus!$A:$A,$A62)="","",INDEX(Korpus!$A:$A,$A62))</f>
        <v xml:space="preserve">UU 27 Thn 2022 (PDP)</v>
      </c>
      <c r="D62" s="17" t="str">
        <f>TRIM(INDEX(Korpus!$D:$D,$A62)&amp;" "&amp;INDEX(Korpus!$E:$E,$A62))</f>
        <v xml:space="preserve">Pasal 35</v>
      </c>
      <c r="E62" s="17" t="str">
        <f>IF(INDEX(Korpus!$F:$F,$A62)="","",INDEX(Korpus!$F:$F,$A62))</f>
        <v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8" t="s">
        <v>101</v>
      </c>
      <c r="G62" s="18" t="s">
        <v>63</v>
      </c>
      <c r="H62" s="18" t="s">
        <v>64</v>
      </c>
      <c r="I62" s="18" t="s">
        <v>83</v>
      </c>
      <c r="J62" s="18" t="s">
        <v>104</v>
      </c>
      <c r="K62" s="18" t="s">
        <v>67</v>
      </c>
      <c r="L62" s="18" t="s">
        <v>90</v>
      </c>
      <c r="M62" s="19"/>
      <c r="N62" s="19"/>
      <c r="O62" s="15" t="s">
        <v>69</v>
      </c>
      <c r="P62" s="17" t="str">
        <f t="shared" si="2"/>
        <v>Lengkap</v>
      </c>
      <c r="Q62" s="17" t="str">
        <f t="shared" si="3"/>
        <v>OK</v>
      </c>
      <c r="R62" s="17" t="str">
        <f>IF(INDEX(Korpus!$B:$B,$A62)="","",INDEX(Korpus!$B:$B,$A62))</f>
        <v xml:space="preserve">BAB VI
KEWAJIBAN PENGENDALI DATA PRIBADI DAN PROSESOR DATA PRIBADI DALAM PEMROSESAN DATA PRIBADI</v>
      </c>
      <c r="S62" s="17" t="str">
        <f>IF(INDEX(Korpus!$C:$C,$A62)="","",INDEX(Korpus!$C:$C,$A62))</f>
        <v xml:space="preserve">Bagian Kedua
Kewajiban Pengendali Data Pribadi</v>
      </c>
    </row>
    <row r="63" ht="60" customHeight="1">
      <c r="A63" s="15">
        <v>63</v>
      </c>
      <c r="B63" s="16" t="str">
        <f>IF(Petunjuk!$C$4="","",Petunjuk!$C$4)</f>
        <v>Afriansyah</v>
      </c>
      <c r="C63" s="17" t="str">
        <f>IF(INDEX(Korpus!$A:$A,$A63)="","",INDEX(Korpus!$A:$A,$A63))</f>
        <v xml:space="preserve">UU 27 Thn 2022 (PDP)</v>
      </c>
      <c r="D63" s="17" t="str">
        <f>TRIM(INDEX(Korpus!$D:$D,$A63)&amp;" "&amp;INDEX(Korpus!$E:$E,$A63))</f>
        <v xml:space="preserve">Pasal 36</v>
      </c>
      <c r="E63" s="17" t="str">
        <f>IF(INDEX(Korpus!$F:$F,$A63)="","",INDEX(Korpus!$F:$F,$A63))</f>
        <v xml:space="preserve">Dalam melakukan pemrosesan Data Pribadi, Pengendali Data Pribadi wajib menjaga kerahasiaan Data Pribadi.</v>
      </c>
      <c r="F63" s="18"/>
      <c r="G63" s="18"/>
      <c r="H63" s="18"/>
      <c r="I63" s="18"/>
      <c r="J63" s="18"/>
      <c r="K63" s="18"/>
      <c r="L63" s="18"/>
      <c r="M63" s="19"/>
      <c r="N63" s="19"/>
      <c r="O63" s="15"/>
      <c r="P63" s="17" t="str">
        <f t="shared" si="2"/>
        <v xml:space="preserve">Belum lengkap (6)</v>
      </c>
      <c r="Q63" s="17" t="str">
        <f t="shared" si="3"/>
        <v/>
      </c>
      <c r="R63" s="17" t="str">
        <f>IF(INDEX(Korpus!$B:$B,$A63)="","",INDEX(Korpus!$B:$B,$A63))</f>
        <v xml:space="preserve">BAB VI
KEWAJIBAN PENGENDALI DATA PRIBADI DAN PROSESOR DATA PRIBADI DALAM PEMROSESAN DATA PRIBADI</v>
      </c>
      <c r="S63" s="17" t="str">
        <f>IF(INDEX(Korpus!$C:$C,$A63)="","",INDEX(Korpus!$C:$C,$A63))</f>
        <v xml:space="preserve">Bagian Kedua
Kewajiban Pengendali Data Pribadi</v>
      </c>
    </row>
    <row r="64" ht="60" customHeight="1">
      <c r="A64" s="15">
        <v>64</v>
      </c>
      <c r="B64" s="16" t="str">
        <f>IF(Petunjuk!$C$4="","",Petunjuk!$C$4)</f>
        <v>Afriansyah</v>
      </c>
      <c r="C64" s="17" t="str">
        <f>IF(INDEX(Korpus!$A:$A,$A64)="","",INDEX(Korpus!$A:$A,$A64))</f>
        <v xml:space="preserve">UU 27 Thn 2022 (PDP)</v>
      </c>
      <c r="D64" s="17" t="str">
        <f>TRIM(INDEX(Korpus!$D:$D,$A64)&amp;" "&amp;INDEX(Korpus!$E:$E,$A64))</f>
        <v xml:space="preserve">Pasal 37</v>
      </c>
      <c r="E64" s="17" t="str">
        <f>IF(INDEX(Korpus!$F:$F,$A64)="","",INDEX(Korpus!$F:$F,$A64))</f>
        <v xml:space="preserve">Pengendali Data Pribadi wajib melakukan pengawasan terhadap setiap pihak yang terlibat dalam pemrosesan Data Pribadi di bawah kendali Pengendali Data Pribadi.</v>
      </c>
      <c r="F64" s="18"/>
      <c r="G64" s="18"/>
      <c r="H64" s="18"/>
      <c r="I64" s="18"/>
      <c r="J64" s="18"/>
      <c r="K64" s="18"/>
      <c r="L64" s="18"/>
      <c r="M64" s="19"/>
      <c r="N64" s="19"/>
      <c r="O64" s="15"/>
      <c r="P64" s="17" t="str">
        <f t="shared" si="2"/>
        <v xml:space="preserve">Belum lengkap (6)</v>
      </c>
      <c r="Q64" s="17" t="str">
        <f t="shared" si="3"/>
        <v/>
      </c>
      <c r="R64" s="17" t="str">
        <f>IF(INDEX(Korpus!$B:$B,$A64)="","",INDEX(Korpus!$B:$B,$A64))</f>
        <v xml:space="preserve">BAB VI
KEWAJIBAN PENGENDALI DATA PRIBADI DAN PROSESOR DATA PRIBADI DALAM PEMROSESAN DATA PRIBADI</v>
      </c>
      <c r="S64" s="17" t="str">
        <f>IF(INDEX(Korpus!$C:$C,$A64)="","",INDEX(Korpus!$C:$C,$A64))</f>
        <v xml:space="preserve">Bagian Kedua
Kewajiban Pengendali Data Pribadi</v>
      </c>
    </row>
    <row r="65" ht="60" customHeight="1">
      <c r="A65" s="15">
        <v>65</v>
      </c>
      <c r="B65" s="16" t="str">
        <f>IF(Petunjuk!$C$4="","",Petunjuk!$C$4)</f>
        <v>Afriansyah</v>
      </c>
      <c r="C65" s="17" t="str">
        <f>IF(INDEX(Korpus!$A:$A,$A65)="","",INDEX(Korpus!$A:$A,$A65))</f>
        <v xml:space="preserve">UU 27 Thn 2022 (PDP)</v>
      </c>
      <c r="D65" s="17" t="str">
        <f>TRIM(INDEX(Korpus!$D:$D,$A65)&amp;" "&amp;INDEX(Korpus!$E:$E,$A65))</f>
        <v xml:space="preserve">Pasal 38</v>
      </c>
      <c r="E65" s="17" t="str">
        <f>IF(INDEX(Korpus!$F:$F,$A65)="","",INDEX(Korpus!$F:$F,$A65))</f>
        <v xml:space="preserve">Pengendali Data Pribadi wajib melindungi Data Pribadi dari pemrosesan yang tidak sah.</v>
      </c>
      <c r="F65" s="18"/>
      <c r="G65" s="18"/>
      <c r="H65" s="18"/>
      <c r="I65" s="18"/>
      <c r="J65" s="18"/>
      <c r="K65" s="18"/>
      <c r="L65" s="18"/>
      <c r="M65" s="19"/>
      <c r="N65" s="19"/>
      <c r="O65" s="15"/>
      <c r="P65" s="17" t="str">
        <f t="shared" si="2"/>
        <v xml:space="preserve">Belum lengkap (6)</v>
      </c>
      <c r="Q65" s="17" t="str">
        <f t="shared" si="3"/>
        <v/>
      </c>
      <c r="R65" s="17" t="str">
        <f>IF(INDEX(Korpus!$B:$B,$A65)="","",INDEX(Korpus!$B:$B,$A65))</f>
        <v xml:space="preserve">BAB VI
KEWAJIBAN PENGENDALI DATA PRIBADI DAN PROSESOR DATA PRIBADI DALAM PEMROSESAN DATA PRIBADI</v>
      </c>
      <c r="S65" s="17" t="str">
        <f>IF(INDEX(Korpus!$C:$C,$A65)="","",INDEX(Korpus!$C:$C,$A65))</f>
        <v xml:space="preserve">Bagian Kedua
Kewajiban Pengendali Data Pribadi</v>
      </c>
    </row>
    <row r="66" ht="60" customHeight="1">
      <c r="A66" s="15">
        <v>66</v>
      </c>
      <c r="B66" s="16" t="str">
        <f>IF(Petunjuk!$C$4="","",Petunjuk!$C$4)</f>
        <v>Afriansyah</v>
      </c>
      <c r="C66" s="17" t="str">
        <f>IF(INDEX(Korpus!$A:$A,$A66)="","",INDEX(Korpus!$A:$A,$A66))</f>
        <v xml:space="preserve">UU 27 Thn 2022 (PDP)</v>
      </c>
      <c r="D66" s="17" t="str">
        <f>TRIM(INDEX(Korpus!$D:$D,$A66)&amp;" "&amp;INDEX(Korpus!$E:$E,$A66))</f>
        <v xml:space="preserve">Pasal 39</v>
      </c>
      <c r="E66" s="17" t="str">
        <f>IF(INDEX(Korpus!$F:$F,$A66)="","",INDEX(Korpus!$F:$F,$A66))</f>
        <v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8"/>
      <c r="G66" s="18"/>
      <c r="H66" s="18"/>
      <c r="I66" s="18"/>
      <c r="J66" s="18"/>
      <c r="K66" s="18"/>
      <c r="L66" s="18"/>
      <c r="M66" s="19"/>
      <c r="N66" s="19"/>
      <c r="O66" s="15"/>
      <c r="P66" s="17" t="str">
        <f t="shared" si="2"/>
        <v xml:space="preserve">Belum lengkap (6)</v>
      </c>
      <c r="Q66" s="17" t="str">
        <f t="shared" si="3"/>
        <v/>
      </c>
      <c r="R66" s="17" t="str">
        <f>IF(INDEX(Korpus!$B:$B,$A66)="","",INDEX(Korpus!$B:$B,$A66))</f>
        <v xml:space="preserve">BAB VI
KEWAJIBAN PENGENDALI DATA PRIBADI DAN PROSESOR DATA PRIBADI DALAM PEMROSESAN DATA PRIBADI</v>
      </c>
      <c r="S66" s="17" t="str">
        <f>IF(INDEX(Korpus!$C:$C,$A66)="","",INDEX(Korpus!$C:$C,$A66))</f>
        <v xml:space="preserve">Bagian Kedua
Kewajiban Pengendali Data Pribadi</v>
      </c>
    </row>
    <row r="67" ht="137.5">
      <c r="A67" s="15">
        <v>67</v>
      </c>
      <c r="B67" s="16" t="str">
        <f>IF(Petunjuk!$C$4="","",Petunjuk!$C$4)</f>
        <v>Afriansyah</v>
      </c>
      <c r="C67" s="17" t="str">
        <f>IF(INDEX(Korpus!$A:$A,$A67)="","",INDEX(Korpus!$A:$A,$A67))</f>
        <v xml:space="preserve">UU 27 Thn 2022 (PDP)</v>
      </c>
      <c r="D67" s="17" t="str">
        <f>TRIM(INDEX(Korpus!$D:$D,$A67)&amp;" "&amp;INDEX(Korpus!$E:$E,$A67))</f>
        <v xml:space="preserve">Pasal 40</v>
      </c>
      <c r="E67" s="17" t="str">
        <f>IF(INDEX(Korpus!$F:$F,$A67)="","",INDEX(Korpus!$F:$F,$A67))</f>
        <v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8" t="s">
        <v>101</v>
      </c>
      <c r="G67" s="18" t="s">
        <v>63</v>
      </c>
      <c r="H67" s="18" t="s">
        <v>97</v>
      </c>
      <c r="I67" s="18" t="s">
        <v>83</v>
      </c>
      <c r="J67" s="18" t="s">
        <v>93</v>
      </c>
      <c r="K67" s="18" t="s">
        <v>92</v>
      </c>
      <c r="L67" s="18" t="s">
        <v>84</v>
      </c>
      <c r="M67" s="19"/>
      <c r="N67" s="19"/>
      <c r="O67" s="15" t="s">
        <v>69</v>
      </c>
      <c r="P67" s="17" t="str">
        <f t="shared" si="2"/>
        <v>Lengkap</v>
      </c>
      <c r="Q67" s="17" t="str">
        <f t="shared" si="3"/>
        <v>OK</v>
      </c>
      <c r="R67" s="17" t="str">
        <f>IF(INDEX(Korpus!$B:$B,$A67)="","",INDEX(Korpus!$B:$B,$A67))</f>
        <v xml:space="preserve">BAB VI
KEWAJIBAN PENGENDALI DATA PRIBADI DAN PROSESOR DATA PRIBADI DALAM PEMROSESAN DATA PRIBADI</v>
      </c>
      <c r="S67" s="17" t="str">
        <f>IF(INDEX(Korpus!$C:$C,$A67)="","",INDEX(Korpus!$C:$C,$A67))</f>
        <v xml:space="preserve">Bagian Kedua
Kewajiban Pengendali Data Pribadi</v>
      </c>
    </row>
    <row r="68" ht="60" customHeight="1">
      <c r="A68" s="15">
        <v>68</v>
      </c>
      <c r="B68" s="16" t="str">
        <f>IF(Petunjuk!$C$4="","",Petunjuk!$C$4)</f>
        <v>Afriansyah</v>
      </c>
      <c r="C68" s="17" t="str">
        <f>IF(INDEX(Korpus!$A:$A,$A68)="","",INDEX(Korpus!$A:$A,$A68))</f>
        <v xml:space="preserve">UU 27 Thn 2022 (PDP)</v>
      </c>
      <c r="D68" s="17" t="str">
        <f>TRIM(INDEX(Korpus!$D:$D,$A68)&amp;" "&amp;INDEX(Korpus!$E:$E,$A68))</f>
        <v xml:space="preserve">Pasal 41</v>
      </c>
      <c r="E68" s="17" t="str">
        <f>IF(INDEX(Korpus!$F:$F,$A68)="","",INDEX(Korpus!$F:$F,$A68))</f>
        <v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8"/>
      <c r="G68" s="18"/>
      <c r="H68" s="18"/>
      <c r="I68" s="18"/>
      <c r="J68" s="18"/>
      <c r="K68" s="18"/>
      <c r="L68" s="18"/>
      <c r="M68" s="19"/>
      <c r="N68" s="19"/>
      <c r="O68" s="15"/>
      <c r="P68" s="17" t="str">
        <f t="shared" si="2"/>
        <v xml:space="preserve">Belum lengkap (6)</v>
      </c>
      <c r="Q68" s="17" t="str">
        <f t="shared" si="3"/>
        <v/>
      </c>
      <c r="R68" s="17" t="str">
        <f>IF(INDEX(Korpus!$B:$B,$A68)="","",INDEX(Korpus!$B:$B,$A68))</f>
        <v xml:space="preserve">BAB VI
KEWAJIBAN PENGENDALI DATA PRIBADI DAN PROSESOR DATA PRIBADI DALAM PEMROSESAN DATA PRIBADI</v>
      </c>
      <c r="S68" s="17" t="str">
        <f>IF(INDEX(Korpus!$C:$C,$A68)="","",INDEX(Korpus!$C:$C,$A68))</f>
        <v xml:space="preserve">Bagian Kedua
Kewajiban Pengendali Data Pribadi</v>
      </c>
    </row>
    <row r="69" ht="60" customHeight="1">
      <c r="A69" s="15">
        <v>69</v>
      </c>
      <c r="B69" s="16" t="str">
        <f>IF(Petunjuk!$C$4="","",Petunjuk!$C$4)</f>
        <v>Afriansyah</v>
      </c>
      <c r="C69" s="17" t="str">
        <f>IF(INDEX(Korpus!$A:$A,$A69)="","",INDEX(Korpus!$A:$A,$A69))</f>
        <v xml:space="preserve">UU 27 Thn 2022 (PDP)</v>
      </c>
      <c r="D69" s="17" t="str">
        <f>TRIM(INDEX(Korpus!$D:$D,$A69)&amp;" "&amp;INDEX(Korpus!$E:$E,$A69))</f>
        <v xml:space="preserve">Pasal 42</v>
      </c>
      <c r="E69" s="17" t="str">
        <f>IF(INDEX(Korpus!$F:$F,$A69)="","",INDEX(Korpus!$F:$F,$A69))</f>
        <v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8"/>
      <c r="G69" s="18"/>
      <c r="H69" s="18"/>
      <c r="I69" s="18"/>
      <c r="J69" s="18"/>
      <c r="K69" s="18"/>
      <c r="L69" s="18"/>
      <c r="M69" s="19"/>
      <c r="N69" s="19"/>
      <c r="O69" s="15"/>
      <c r="P69" s="17" t="str">
        <f t="shared" si="2"/>
        <v xml:space="preserve">Belum lengkap (6)</v>
      </c>
      <c r="Q69" s="17" t="str">
        <f t="shared" si="3"/>
        <v/>
      </c>
      <c r="R69" s="17" t="str">
        <f>IF(INDEX(Korpus!$B:$B,$A69)="","",INDEX(Korpus!$B:$B,$A69))</f>
        <v xml:space="preserve">BAB VI
KEWAJIBAN PENGENDALI DATA PRIBADI DAN PROSESOR DATA PRIBADI DALAM PEMROSESAN DATA PRIBADI</v>
      </c>
      <c r="S69" s="17" t="str">
        <f>IF(INDEX(Korpus!$C:$C,$A69)="","",INDEX(Korpus!$C:$C,$A69))</f>
        <v xml:space="preserve">Bagian Kedua
Kewajiban Pengendali Data Pribadi</v>
      </c>
    </row>
    <row r="70" ht="60" customHeight="1">
      <c r="A70" s="15">
        <v>70</v>
      </c>
      <c r="B70" s="16" t="str">
        <f>IF(Petunjuk!$C$4="","",Petunjuk!$C$4)</f>
        <v>Afriansyah</v>
      </c>
      <c r="C70" s="17" t="str">
        <f>IF(INDEX(Korpus!$A:$A,$A70)="","",INDEX(Korpus!$A:$A,$A70))</f>
        <v xml:space="preserve">UU 27 Thn 2022 (PDP)</v>
      </c>
      <c r="D70" s="17" t="str">
        <f>TRIM(INDEX(Korpus!$D:$D,$A70)&amp;" "&amp;INDEX(Korpus!$E:$E,$A70))</f>
        <v xml:space="preserve">Pasal 43</v>
      </c>
      <c r="E70" s="17" t="str">
        <f>IF(INDEX(Korpus!$F:$F,$A70)="","",INDEX(Korpus!$F:$F,$A70))</f>
        <v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18" t="s">
        <v>101</v>
      </c>
      <c r="G70" s="18" t="s">
        <v>63</v>
      </c>
      <c r="H70" s="18" t="s">
        <v>84</v>
      </c>
      <c r="I70" s="18" t="s">
        <v>83</v>
      </c>
      <c r="J70" s="18" t="s">
        <v>93</v>
      </c>
      <c r="K70" s="18" t="s">
        <v>92</v>
      </c>
      <c r="L70" s="18" t="s">
        <v>91</v>
      </c>
      <c r="M70" s="19"/>
      <c r="N70" s="19"/>
      <c r="O70" s="15" t="s">
        <v>77</v>
      </c>
      <c r="P70" s="17" t="str">
        <f t="shared" si="2"/>
        <v>Lengkap</v>
      </c>
      <c r="Q70" s="17" t="str">
        <f t="shared" si="3"/>
        <v>OK</v>
      </c>
      <c r="R70" s="17" t="str">
        <f>IF(INDEX(Korpus!$B:$B,$A70)="","",INDEX(Korpus!$B:$B,$A70))</f>
        <v xml:space="preserve">BAB VI
KEWAJIBAN PENGENDALI DATA PRIBADI DAN PROSESOR DATA PRIBADI DALAM PEMROSESAN DATA PRIBADI</v>
      </c>
      <c r="S70" s="17" t="str">
        <f>IF(INDEX(Korpus!$C:$C,$A70)="","",INDEX(Korpus!$C:$C,$A70))</f>
        <v xml:space="preserve">Bagian Kedua
Kewajiban Pengendali Data Pribadi</v>
      </c>
    </row>
    <row r="71" ht="60" customHeight="1">
      <c r="A71" s="15">
        <v>71</v>
      </c>
      <c r="B71" s="16" t="str">
        <f>IF(Petunjuk!$C$4="","",Petunjuk!$C$4)</f>
        <v>Afriansyah</v>
      </c>
      <c r="C71" s="17" t="str">
        <f>IF(INDEX(Korpus!$A:$A,$A71)="","",INDEX(Korpus!$A:$A,$A71))</f>
        <v xml:space="preserve">UU 27 Thn 2022 (PDP)</v>
      </c>
      <c r="D71" s="17" t="str">
        <f>TRIM(INDEX(Korpus!$D:$D,$A71)&amp;" "&amp;INDEX(Korpus!$E:$E,$A71))</f>
        <v xml:space="preserve">Pasal 44</v>
      </c>
      <c r="E71" s="17" t="str">
        <f>IF(INDEX(Korpus!$F:$F,$A71)="","",INDEX(Korpus!$F:$F,$A71))</f>
        <v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8"/>
      <c r="G71" s="18"/>
      <c r="H71" s="18"/>
      <c r="I71" s="18"/>
      <c r="J71" s="18"/>
      <c r="K71" s="18"/>
      <c r="L71" s="18"/>
      <c r="M71" s="19"/>
      <c r="N71" s="19"/>
      <c r="O71" s="15"/>
      <c r="P71" s="17" t="str">
        <f t="shared" si="2"/>
        <v xml:space="preserve">Belum lengkap (6)</v>
      </c>
      <c r="Q71" s="17" t="str">
        <f t="shared" si="3"/>
        <v/>
      </c>
      <c r="R71" s="17" t="str">
        <f>IF(INDEX(Korpus!$B:$B,$A71)="","",INDEX(Korpus!$B:$B,$A71))</f>
        <v xml:space="preserve">BAB VI
KEWAJIBAN PENGENDALI DATA PRIBADI DAN PROSESOR DATA PRIBADI DALAM PEMROSESAN DATA PRIBADI</v>
      </c>
      <c r="S71" s="17" t="str">
        <f>IF(INDEX(Korpus!$C:$C,$A71)="","",INDEX(Korpus!$C:$C,$A71))</f>
        <v xml:space="preserve">Bagian Kedua
Kewajiban Pengendali Data Pribadi</v>
      </c>
    </row>
    <row r="72" ht="60" customHeight="1">
      <c r="A72" s="15">
        <v>72</v>
      </c>
      <c r="B72" s="16" t="str">
        <f>IF(Petunjuk!$C$4="","",Petunjuk!$C$4)</f>
        <v>Afriansyah</v>
      </c>
      <c r="C72" s="17" t="str">
        <f>IF(INDEX(Korpus!$A:$A,$A72)="","",INDEX(Korpus!$A:$A,$A72))</f>
        <v xml:space="preserve">UU 27 Thn 2022 (PDP)</v>
      </c>
      <c r="D72" s="17" t="str">
        <f>TRIM(INDEX(Korpus!$D:$D,$A72)&amp;" "&amp;INDEX(Korpus!$E:$E,$A72))</f>
        <v xml:space="preserve">Pasal 45</v>
      </c>
      <c r="E72" s="17" t="str">
        <f>IF(INDEX(Korpus!$F:$F,$A72)="","",INDEX(Korpus!$F:$F,$A72))</f>
        <v xml:space="preserve">Pengendali Data Pribadi wajib memberitahukan penghapusan dan/atau pemusnahan Data Pribadi kepada Subjek Data Pribadi.</v>
      </c>
      <c r="F72" s="18"/>
      <c r="G72" s="18"/>
      <c r="H72" s="18"/>
      <c r="I72" s="18"/>
      <c r="J72" s="18"/>
      <c r="K72" s="18"/>
      <c r="L72" s="18"/>
      <c r="M72" s="19"/>
      <c r="N72" s="19"/>
      <c r="O72" s="15"/>
      <c r="P72" s="17" t="str">
        <f t="shared" si="2"/>
        <v xml:space="preserve">Belum lengkap (6)</v>
      </c>
      <c r="Q72" s="17" t="str">
        <f t="shared" si="3"/>
        <v/>
      </c>
      <c r="R72" s="17" t="str">
        <f>IF(INDEX(Korpus!$B:$B,$A72)="","",INDEX(Korpus!$B:$B,$A72))</f>
        <v xml:space="preserve">BAB VI
KEWAJIBAN PENGENDALI DATA PRIBADI DAN PROSESOR DATA PRIBADI DALAM PEMROSESAN DATA PRIBADI</v>
      </c>
      <c r="S72" s="17" t="str">
        <f>IF(INDEX(Korpus!$C:$C,$A72)="","",INDEX(Korpus!$C:$C,$A72))</f>
        <v xml:space="preserve">Bagian Kedua
Kewajiban Pengendali Data Pribadi</v>
      </c>
    </row>
    <row r="73" ht="60" customHeight="1">
      <c r="A73" s="15">
        <v>73</v>
      </c>
      <c r="B73" s="16" t="str">
        <f>IF(Petunjuk!$C$4="","",Petunjuk!$C$4)</f>
        <v>Afriansyah</v>
      </c>
      <c r="C73" s="17" t="str">
        <f>IF(INDEX(Korpus!$A:$A,$A73)="","",INDEX(Korpus!$A:$A,$A73))</f>
        <v xml:space="preserve">UU 27 Thn 2022 (PDP)</v>
      </c>
      <c r="D73" s="17" t="str">
        <f>TRIM(INDEX(Korpus!$D:$D,$A73)&amp;" "&amp;INDEX(Korpus!$E:$E,$A73))</f>
        <v xml:space="preserve">Pasal 46</v>
      </c>
      <c r="E73" s="17" t="str">
        <f>IF(INDEX(Korpus!$F:$F,$A73)="","",INDEX(Korpus!$F:$F,$A73))</f>
        <v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8"/>
      <c r="G73" s="18"/>
      <c r="H73" s="18"/>
      <c r="I73" s="18"/>
      <c r="J73" s="18"/>
      <c r="K73" s="18"/>
      <c r="L73" s="18"/>
      <c r="M73" s="19"/>
      <c r="N73" s="19"/>
      <c r="O73" s="15"/>
      <c r="P73" s="17" t="str">
        <f t="shared" si="2"/>
        <v xml:space="preserve">Belum lengkap (6)</v>
      </c>
      <c r="Q73" s="17" t="str">
        <f t="shared" si="3"/>
        <v/>
      </c>
      <c r="R73" s="17" t="str">
        <f>IF(INDEX(Korpus!$B:$B,$A73)="","",INDEX(Korpus!$B:$B,$A73))</f>
        <v xml:space="preserve">BAB VI
KEWAJIBAN PENGENDALI DATA PRIBADI DAN PROSESOR DATA PRIBADI DALAM PEMROSESAN DATA PRIBADI</v>
      </c>
      <c r="S73" s="17" t="str">
        <f>IF(INDEX(Korpus!$C:$C,$A73)="","",INDEX(Korpus!$C:$C,$A73))</f>
        <v xml:space="preserve">Bagian Kedua
Kewajiban Pengendali Data Pribadi</v>
      </c>
    </row>
    <row r="74" ht="60" customHeight="1">
      <c r="A74" s="15">
        <v>74</v>
      </c>
      <c r="B74" s="16" t="str">
        <f>IF(Petunjuk!$C$4="","",Petunjuk!$C$4)</f>
        <v>Afriansyah</v>
      </c>
      <c r="C74" s="17" t="str">
        <f>IF(INDEX(Korpus!$A:$A,$A74)="","",INDEX(Korpus!$A:$A,$A74))</f>
        <v xml:space="preserve">UU 27 Thn 2022 (PDP)</v>
      </c>
      <c r="D74" s="17" t="str">
        <f>TRIM(INDEX(Korpus!$D:$D,$A74)&amp;" "&amp;INDEX(Korpus!$E:$E,$A74))</f>
        <v xml:space="preserve">Pasal 47</v>
      </c>
      <c r="E74" s="17" t="str">
        <f>IF(INDEX(Korpus!$F:$F,$A74)="","",INDEX(Korpus!$F:$F,$A74))</f>
        <v xml:space="preserve">Pengendali Data Pribadi wajib bertanggung jawab atas pemrosesan Data Pribadi dan menunjukkan pertanggungjawaban dalam pemenuhan kewajiban pelaksanaan prinsip Pelindungan Data Pribadi.</v>
      </c>
      <c r="F74" s="18"/>
      <c r="G74" s="18"/>
      <c r="H74" s="18"/>
      <c r="I74" s="18"/>
      <c r="J74" s="18"/>
      <c r="K74" s="18"/>
      <c r="L74" s="18"/>
      <c r="M74" s="19"/>
      <c r="N74" s="19"/>
      <c r="O74" s="15"/>
      <c r="P74" s="17" t="str">
        <f t="shared" ref="P74:P86" si="4">IF(COUNTA(F74:K74)=6,"Lengkap","Belum lengkap ("&amp;(6-COUNTA(F74:K74))&amp;")")</f>
        <v xml:space="preserve">Belum lengkap (6)</v>
      </c>
      <c r="Q74" s="17" t="str">
        <f t="shared" ref="Q74:Q86" si="5">IF(COUNTA(F74:K74)&lt;6,"",IF(IF(AND(LEFT(G74,2)="R0",LEFT(K74,2)&lt;&gt;"K5"),"R0 harus K5; ","")&amp;IF(AND(LEFT(G74,2)="R1",LEFT(K74,2)="K3"),"R1 tidak boleh K3 (fungsional); ","")&amp;IF(AND(LEFT(G74,2)="R2",LEFT(K74,2)="K5"),"R2 tidak boleh K5; ","")&amp;IF(AND(LEFT(G74,2)="R2",OR(LEFT(F74,2)="S6",LEFT(F74,2)="S7",LEFT(F74,2)="S8")),"R2 tidak boleh S6/S7/S8; ","")&amp;IF(AND(LEFT(G74,2)="R2",OR(LEFT(H74,3)="T02",LEFT(I74,2)="P8")),"T02 atau P8 tidak boleh R2; ","")&amp;IF(AND(LEFT(H74,3)="T01",LEFT(I74,2)&lt;&gt;"P6",N74=""),"T01 biasanya P6; jelaskan di V12; ","")&amp;IF(AND(LEFT(I74,2)="P1",LEFT(K74,2)&lt;&gt;"K4",N74=""),"P1 biasanya K4; jelaskan di V12; ","")="","OK",IF(AND(LEFT(G74,2)="R0",LEFT(K74,2)&lt;&gt;"K5"),"R0 harus K5; ","")&amp;IF(AND(LEFT(G74,2)="R1",LEFT(K74,2)="K3"),"R1 tidak boleh K3 (fungsional); ","")&amp;IF(AND(LEFT(G74,2)="R2",LEFT(K74,2)="K5"),"R2 tidak boleh K5; ","")&amp;IF(AND(LEFT(G74,2)="R2",OR(LEFT(F74,2)="S6",LEFT(F74,2)="S7",LEFT(F74,2)="S8")),"R2 tidak boleh S6/S7/S8; ","")&amp;IF(AND(LEFT(G74,2)="R2",OR(LEFT(H74,3)="T02",LEFT(I74,2)="P8")),"T02 atau P8 tidak boleh R2; ","")&amp;IF(AND(LEFT(H74,3)="T01",LEFT(I74,2)&lt;&gt;"P6",N74=""),"T01 biasanya P6; jelaskan di V12; ","")&amp;IF(AND(LEFT(I74,2)="P1",LEFT(K74,2)&lt;&gt;"K4",N74=""),"P1 biasanya K4; jelaskan di V12; ","")))</f>
        <v/>
      </c>
      <c r="R74" s="17" t="str">
        <f>IF(INDEX(Korpus!$B:$B,$A74)="","",INDEX(Korpus!$B:$B,$A74))</f>
        <v xml:space="preserve">BAB VI
KEWAJIBAN PENGENDALI DATA PRIBADI DAN PROSESOR DATA PRIBADI DALAM PEMROSESAN DATA PRIBADI</v>
      </c>
      <c r="S74" s="17" t="str">
        <f>IF(INDEX(Korpus!$C:$C,$A74)="","",INDEX(Korpus!$C:$C,$A74))</f>
        <v xml:space="preserve">Bagian Kedua
Kewajiban Pengendali Data Pribadi</v>
      </c>
    </row>
    <row r="75" ht="60" customHeight="1">
      <c r="A75" s="15">
        <v>75</v>
      </c>
      <c r="B75" s="16" t="str">
        <f>IF(Petunjuk!$C$4="","",Petunjuk!$C$4)</f>
        <v>Afriansyah</v>
      </c>
      <c r="C75" s="17" t="str">
        <f>IF(INDEX(Korpus!$A:$A,$A75)="","",INDEX(Korpus!$A:$A,$A75))</f>
        <v xml:space="preserve">UU 27 Thn 2022 (PDP)</v>
      </c>
      <c r="D75" s="17" t="str">
        <f>TRIM(INDEX(Korpus!$D:$D,$A75)&amp;" "&amp;INDEX(Korpus!$E:$E,$A75))</f>
        <v xml:space="preserve">Pasal 48</v>
      </c>
      <c r="E75" s="17" t="str">
        <f>IF(INDEX(Korpus!$F:$F,$A75)="","",INDEX(Korpus!$F:$F,$A75))</f>
        <v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8"/>
      <c r="G75" s="18"/>
      <c r="H75" s="18"/>
      <c r="I75" s="18"/>
      <c r="J75" s="18"/>
      <c r="K75" s="18"/>
      <c r="L75" s="18"/>
      <c r="M75" s="19"/>
      <c r="N75" s="19"/>
      <c r="O75" s="15"/>
      <c r="P75" s="17" t="str">
        <f t="shared" si="4"/>
        <v xml:space="preserve">Belum lengkap (6)</v>
      </c>
      <c r="Q75" s="17" t="str">
        <f t="shared" si="5"/>
        <v/>
      </c>
      <c r="R75" s="17" t="str">
        <f>IF(INDEX(Korpus!$B:$B,$A75)="","",INDEX(Korpus!$B:$B,$A75))</f>
        <v xml:space="preserve">BAB VI
KEWAJIBAN PENGENDALI DATA PRIBADI DAN PROSESOR DATA PRIBADI DALAM PEMROSESAN DATA PRIBADI</v>
      </c>
      <c r="S75" s="17" t="str">
        <f>IF(INDEX(Korpus!$C:$C,$A75)="","",INDEX(Korpus!$C:$C,$A75))</f>
        <v xml:space="preserve">Bagian Kedua
Kewajiban Pengendali Data Pribadi</v>
      </c>
    </row>
    <row r="76" ht="60" customHeight="1">
      <c r="A76" s="15">
        <v>76</v>
      </c>
      <c r="B76" s="16" t="str">
        <f>IF(Petunjuk!$C$4="","",Petunjuk!$C$4)</f>
        <v>Afriansyah</v>
      </c>
      <c r="C76" s="17" t="str">
        <f>IF(INDEX(Korpus!$A:$A,$A76)="","",INDEX(Korpus!$A:$A,$A76))</f>
        <v xml:space="preserve">UU 27 Thn 2022 (PDP)</v>
      </c>
      <c r="D76" s="17" t="str">
        <f>TRIM(INDEX(Korpus!$D:$D,$A76)&amp;" "&amp;INDEX(Korpus!$E:$E,$A76))</f>
        <v xml:space="preserve">Pasal 49</v>
      </c>
      <c r="E76" s="17" t="str">
        <f>IF(INDEX(Korpus!$F:$F,$A76)="","",INDEX(Korpus!$F:$F,$A76))</f>
        <v xml:space="preserve">Pengendali Data Pribadi dan/ atau Prosesor Data Pribadi wajib melaksanakan perintah lembaga dalam rangka penyelenggaraan Pelindungan Data Pribadi sesuai dengan Undang-Undang ini.</v>
      </c>
      <c r="F76" s="18"/>
      <c r="G76" s="18"/>
      <c r="H76" s="18"/>
      <c r="I76" s="18"/>
      <c r="J76" s="18"/>
      <c r="K76" s="18"/>
      <c r="L76" s="18"/>
      <c r="M76" s="19"/>
      <c r="N76" s="19"/>
      <c r="O76" s="15"/>
      <c r="P76" s="17" t="str">
        <f t="shared" si="4"/>
        <v xml:space="preserve">Belum lengkap (6)</v>
      </c>
      <c r="Q76" s="17" t="str">
        <f t="shared" si="5"/>
        <v/>
      </c>
      <c r="R76" s="17" t="str">
        <f>IF(INDEX(Korpus!$B:$B,$A76)="","",INDEX(Korpus!$B:$B,$A76))</f>
        <v xml:space="preserve">BAB VI
KEWAJIBAN PENGENDALI DATA PRIBADI DAN PROSESOR DATA PRIBADI DALAM PEMROSESAN DATA PRIBADI</v>
      </c>
      <c r="S76" s="17" t="str">
        <f>IF(INDEX(Korpus!$C:$C,$A76)="","",INDEX(Korpus!$C:$C,$A76))</f>
        <v xml:space="preserve">Bagian Kedua
Kewajiban Pengendali Data Pribadi</v>
      </c>
    </row>
    <row r="77" ht="60" customHeight="1">
      <c r="A77" s="15">
        <v>77</v>
      </c>
      <c r="B77" s="16" t="str">
        <f>IF(Petunjuk!$C$4="","",Petunjuk!$C$4)</f>
        <v>Afriansyah</v>
      </c>
      <c r="C77" s="17" t="str">
        <f>IF(INDEX(Korpus!$A:$A,$A77)="","",INDEX(Korpus!$A:$A,$A77))</f>
        <v xml:space="preserve">UU 27 Thn 2022 (PDP)</v>
      </c>
      <c r="D77" s="17" t="str">
        <f>TRIM(INDEX(Korpus!$D:$D,$A77)&amp;" "&amp;INDEX(Korpus!$E:$E,$A77))</f>
        <v xml:space="preserve">Pasal 50</v>
      </c>
      <c r="E77" s="17" t="str">
        <f>IF(INDEX(Korpus!$F:$F,$A77)="","",INDEX(Korpus!$F:$F,$A77))</f>
        <v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8"/>
      <c r="G77" s="18"/>
      <c r="H77" s="18"/>
      <c r="I77" s="18"/>
      <c r="J77" s="18"/>
      <c r="K77" s="18"/>
      <c r="L77" s="18"/>
      <c r="M77" s="19"/>
      <c r="N77" s="19"/>
      <c r="O77" s="15"/>
      <c r="P77" s="17" t="str">
        <f t="shared" si="4"/>
        <v xml:space="preserve">Belum lengkap (6)</v>
      </c>
      <c r="Q77" s="17" t="str">
        <f t="shared" si="5"/>
        <v/>
      </c>
      <c r="R77" s="17" t="str">
        <f>IF(INDEX(Korpus!$B:$B,$A77)="","",INDEX(Korpus!$B:$B,$A77))</f>
        <v xml:space="preserve">BAB VI
KEWAJIBAN PENGENDALI DATA PRIBADI DAN PROSESOR DATA PRIBADI DALAM PEMROSESAN DATA PRIBADI</v>
      </c>
      <c r="S77" s="17" t="str">
        <f>IF(INDEX(Korpus!$C:$C,$A77)="","",INDEX(Korpus!$C:$C,$A77))</f>
        <v xml:space="preserve">Bagian Kedua
Kewajiban Pengendali Data Pribadi</v>
      </c>
    </row>
    <row r="78" ht="60" customHeight="1">
      <c r="A78" s="15">
        <v>78</v>
      </c>
      <c r="B78" s="16" t="str">
        <f>IF(Petunjuk!$C$4="","",Petunjuk!$C$4)</f>
        <v>Afriansyah</v>
      </c>
      <c r="C78" s="17" t="str">
        <f>IF(INDEX(Korpus!$A:$A,$A78)="","",INDEX(Korpus!$A:$A,$A78))</f>
        <v xml:space="preserve">UU 27 Thn 2022 (PDP)</v>
      </c>
      <c r="D78" s="17" t="str">
        <f>TRIM(INDEX(Korpus!$D:$D,$A78)&amp;" "&amp;INDEX(Korpus!$E:$E,$A78))</f>
        <v xml:space="preserve">Pasal 51</v>
      </c>
      <c r="E78" s="17" t="str">
        <f>IF(INDEX(Korpus!$F:$F,$A78)="","",INDEX(Korpus!$F:$F,$A78))</f>
        <v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8"/>
      <c r="G78" s="18"/>
      <c r="H78" s="18"/>
      <c r="I78" s="18"/>
      <c r="J78" s="18"/>
      <c r="K78" s="18"/>
      <c r="L78" s="18"/>
      <c r="M78" s="19"/>
      <c r="N78" s="19"/>
      <c r="O78" s="15"/>
      <c r="P78" s="17" t="str">
        <f t="shared" si="4"/>
        <v xml:space="preserve">Belum lengkap (6)</v>
      </c>
      <c r="Q78" s="17" t="str">
        <f t="shared" si="5"/>
        <v/>
      </c>
      <c r="R78" s="17" t="str">
        <f>IF(INDEX(Korpus!$B:$B,$A78)="","",INDEX(Korpus!$B:$B,$A78))</f>
        <v xml:space="preserve">BAB VI
KEWAJIBAN PENGENDALI DATA PRIBADI DAN PROSESOR DATA PRIBADI DALAM PEMROSESAN DATA PRIBADI</v>
      </c>
      <c r="S78" s="17" t="str">
        <f>IF(INDEX(Korpus!$C:$C,$A78)="","",INDEX(Korpus!$C:$C,$A78))</f>
        <v xml:space="preserve">Bagian Ketiga
Kewajiban Prosesor Data Pribadi</v>
      </c>
    </row>
    <row r="79" ht="60" customHeight="1">
      <c r="A79" s="15">
        <v>79</v>
      </c>
      <c r="B79" s="16" t="str">
        <f>IF(Petunjuk!$C$4="","",Petunjuk!$C$4)</f>
        <v>Afriansyah</v>
      </c>
      <c r="C79" s="17" t="str">
        <f>IF(INDEX(Korpus!$A:$A,$A79)="","",INDEX(Korpus!$A:$A,$A79))</f>
        <v xml:space="preserve">UU 27 Thn 2022 (PDP)</v>
      </c>
      <c r="D79" s="17" t="str">
        <f>TRIM(INDEX(Korpus!$D:$D,$A79)&amp;" "&amp;INDEX(Korpus!$E:$E,$A79))</f>
        <v xml:space="preserve">Pasal 52</v>
      </c>
      <c r="E79" s="17" t="str">
        <f>IF(INDEX(Korpus!$F:$F,$A79)="","",INDEX(Korpus!$F:$F,$A79))</f>
        <v xml:space="preserve">Ketentuan mengenai kewajiban Pengendali Data Pribadi sebagaimana dimaksud dalam Pasal 29, Pasal 31, Pasal 35, Pasal 36, Pasal 37, Pasal 38, dan Pasal 39 berlaku juga terhadap Prosesor Data Pribadi.</v>
      </c>
      <c r="F79" s="18" t="s">
        <v>70</v>
      </c>
      <c r="G79" s="18" t="s">
        <v>63</v>
      </c>
      <c r="H79" s="18" t="s">
        <v>90</v>
      </c>
      <c r="I79" s="18" t="s">
        <v>65</v>
      </c>
      <c r="J79" s="18" t="s">
        <v>66</v>
      </c>
      <c r="K79" s="18" t="s">
        <v>88</v>
      </c>
      <c r="L79" s="18" t="s">
        <v>64</v>
      </c>
      <c r="M79" s="19"/>
      <c r="N79" s="19"/>
      <c r="O79" s="15" t="s">
        <v>77</v>
      </c>
      <c r="P79" s="17" t="str">
        <f t="shared" si="4"/>
        <v>Lengkap</v>
      </c>
      <c r="Q79" s="17" t="str">
        <f t="shared" si="5"/>
        <v>OK</v>
      </c>
      <c r="R79" s="17" t="str">
        <f>IF(INDEX(Korpus!$B:$B,$A79)="","",INDEX(Korpus!$B:$B,$A79))</f>
        <v xml:space="preserve">BAB VI
KEWAJIBAN PENGENDALI DATA PRIBADI DAN PROSESOR DATA PRIBADI DALAM PEMROSESAN DATA PRIBADI</v>
      </c>
      <c r="S79" s="17" t="str">
        <f>IF(INDEX(Korpus!$C:$C,$A79)="","",INDEX(Korpus!$C:$C,$A79))</f>
        <v xml:space="preserve">Bagian Ketiga
Kewajiban Prosesor Data Pribadi</v>
      </c>
    </row>
    <row r="80" ht="60" customHeight="1">
      <c r="A80" s="15">
        <v>80</v>
      </c>
      <c r="B80" s="16" t="str">
        <f>IF(Petunjuk!$C$4="","",Petunjuk!$C$4)</f>
        <v>Afriansyah</v>
      </c>
      <c r="C80" s="17" t="str">
        <f>IF(INDEX(Korpus!$A:$A,$A80)="","",INDEX(Korpus!$A:$A,$A80))</f>
        <v xml:space="preserve">UU 27 Thn 2022 (PDP)</v>
      </c>
      <c r="D80" s="17" t="str">
        <f>TRIM(INDEX(Korpus!$D:$D,$A80)&amp;" "&amp;INDEX(Korpus!$E:$E,$A80))</f>
        <v xml:space="preserve">Pasal 53</v>
      </c>
      <c r="E80" s="17" t="str">
        <f>IF(INDEX(Korpus!$F:$F,$A80)="","",INDEX(Korpus!$F:$F,$A80))</f>
        <v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8"/>
      <c r="G80" s="18"/>
      <c r="H80" s="18"/>
      <c r="I80" s="18"/>
      <c r="J80" s="18"/>
      <c r="K80" s="18"/>
      <c r="L80" s="18"/>
      <c r="M80" s="19"/>
      <c r="N80" s="19"/>
      <c r="O80" s="15"/>
      <c r="P80" s="17" t="str">
        <f t="shared" si="4"/>
        <v xml:space="preserve">Belum lengkap (6)</v>
      </c>
      <c r="Q80" s="17" t="str">
        <f t="shared" si="5"/>
        <v/>
      </c>
      <c r="R80" s="17" t="str">
        <f>IF(INDEX(Korpus!$B:$B,$A80)="","",INDEX(Korpus!$B:$B,$A80))</f>
        <v xml:space="preserve">BAB VI
KEWAJIBAN PENGENDALI DATA PRIBADI DAN PROSESOR DATA PRIBADI DALAM PEMROSESAN DATA PRIBADI</v>
      </c>
      <c r="S80" s="17" t="str">
        <f>IF(INDEX(Korpus!$C:$C,$A80)="","",INDEX(Korpus!$C:$C,$A80))</f>
        <v xml:space="preserve">Bagian Keempat
Pejabat atau Petugas yang Melaksanakan Fungsi Pelindungan Data Pribadi</v>
      </c>
    </row>
    <row r="81" ht="60" customHeight="1">
      <c r="A81" s="15">
        <v>81</v>
      </c>
      <c r="B81" s="16" t="str">
        <f>IF(Petunjuk!$C$4="","",Petunjuk!$C$4)</f>
        <v>Afriansyah</v>
      </c>
      <c r="C81" s="17" t="str">
        <f>IF(INDEX(Korpus!$A:$A,$A81)="","",INDEX(Korpus!$A:$A,$A81))</f>
        <v xml:space="preserve">UU 27 Thn 2022 (PDP)</v>
      </c>
      <c r="D81" s="17" t="str">
        <f>TRIM(INDEX(Korpus!$D:$D,$A81)&amp;" "&amp;INDEX(Korpus!$E:$E,$A81))</f>
        <v xml:space="preserve">Pasal 55</v>
      </c>
      <c r="E81" s="17" t="str">
        <f>IF(INDEX(Korpus!$F:$F,$A81)="","",INDEX(Korpus!$F:$F,$A81))</f>
        <v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18" t="s">
        <v>101</v>
      </c>
      <c r="G81" s="18" t="s">
        <v>63</v>
      </c>
      <c r="H81" s="18" t="s">
        <v>105</v>
      </c>
      <c r="I81" s="18" t="s">
        <v>106</v>
      </c>
      <c r="J81" s="18" t="s">
        <v>107</v>
      </c>
      <c r="K81" s="18" t="s">
        <v>88</v>
      </c>
      <c r="L81" s="18" t="s">
        <v>64</v>
      </c>
      <c r="M81" s="19"/>
      <c r="N81" s="19"/>
      <c r="O81" s="15" t="s">
        <v>77</v>
      </c>
      <c r="P81" s="17" t="str">
        <f t="shared" si="4"/>
        <v>Lengkap</v>
      </c>
      <c r="Q81" s="17" t="str">
        <f t="shared" si="5"/>
        <v>OK</v>
      </c>
      <c r="R81" s="17" t="str">
        <f>IF(INDEX(Korpus!$B:$B,$A81)="","",INDEX(Korpus!$B:$B,$A81))</f>
        <v xml:space="preserve">BAB VII TRANSFER DATA PRIBADI</v>
      </c>
      <c r="S81" s="17" t="str">
        <f>IF(INDEX(Korpus!$C:$C,$A81)="","",INDEX(Korpus!$C:$C,$A81))</f>
        <v xml:space="preserve">Bagian Kesatu
Transfer Data Pribadi Dalam Wilayah Hukum Negara Republik Indonesia</v>
      </c>
    </row>
    <row r="82" ht="60" customHeight="1">
      <c r="A82" s="15">
        <v>82</v>
      </c>
      <c r="B82" s="16" t="str">
        <f>IF(Petunjuk!$C$4="","",Petunjuk!$C$4)</f>
        <v>Afriansyah</v>
      </c>
      <c r="C82" s="17" t="str">
        <f>IF(INDEX(Korpus!$A:$A,$A82)="","",INDEX(Korpus!$A:$A,$A82))</f>
        <v xml:space="preserve">UU 27 Thn 2022 (PDP)</v>
      </c>
      <c r="D82" s="17" t="str">
        <f>TRIM(INDEX(Korpus!$D:$D,$A82)&amp;" "&amp;INDEX(Korpus!$E:$E,$A82))</f>
        <v xml:space="preserve">Pasal 56</v>
      </c>
      <c r="E82" s="17" t="str">
        <f>IF(INDEX(Korpus!$F:$F,$A82)="","",INDEX(Korpus!$F:$F,$A82))</f>
        <v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8"/>
      <c r="G82" s="18"/>
      <c r="H82" s="18"/>
      <c r="I82" s="18"/>
      <c r="J82" s="18"/>
      <c r="K82" s="18"/>
      <c r="L82" s="18"/>
      <c r="M82" s="19"/>
      <c r="N82" s="19"/>
      <c r="O82" s="15"/>
      <c r="P82" s="17" t="str">
        <f t="shared" si="4"/>
        <v xml:space="preserve">Belum lengkap (6)</v>
      </c>
      <c r="Q82" s="17" t="str">
        <f t="shared" si="5"/>
        <v/>
      </c>
      <c r="R82" s="17" t="str">
        <f>IF(INDEX(Korpus!$B:$B,$A82)="","",INDEX(Korpus!$B:$B,$A82))</f>
        <v xml:space="preserve">BAB VII TRANSFER DATA PRIBADI</v>
      </c>
      <c r="S82" s="17" t="str">
        <f>IF(INDEX(Korpus!$C:$C,$A82)="","",INDEX(Korpus!$C:$C,$A82))</f>
        <v xml:space="preserve">Bagian Kedua</v>
      </c>
    </row>
    <row r="83" ht="150">
      <c r="A83" s="15">
        <v>83</v>
      </c>
      <c r="B83" s="16" t="str">
        <f>IF(Petunjuk!$C$4="","",Petunjuk!$C$4)</f>
        <v>Afriansyah</v>
      </c>
      <c r="C83" s="17" t="str">
        <f>IF(INDEX(Korpus!$A:$A,$A83)="","",INDEX(Korpus!$A:$A,$A83))</f>
        <v xml:space="preserve">UU 27 Thn 2022 (PDP)</v>
      </c>
      <c r="D83" s="17" t="str">
        <f>TRIM(INDEX(Korpus!$D:$D,$A83)&amp;" "&amp;INDEX(Korpus!$E:$E,$A83))</f>
        <v xml:space="preserve">Pasal 65</v>
      </c>
      <c r="E83" s="17" t="str">
        <f>IF(INDEX(Korpus!$F:$F,$A83)="","",INDEX(Korpus!$F:$F,$A83))</f>
        <v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8" t="s">
        <v>99</v>
      </c>
      <c r="G83" s="18" t="s">
        <v>63</v>
      </c>
      <c r="H83" s="18" t="s">
        <v>68</v>
      </c>
      <c r="I83" s="18" t="s">
        <v>108</v>
      </c>
      <c r="J83" s="18" t="s">
        <v>66</v>
      </c>
      <c r="K83" s="18" t="s">
        <v>88</v>
      </c>
      <c r="L83" s="18" t="s">
        <v>64</v>
      </c>
      <c r="M83" s="19"/>
      <c r="N83" s="19"/>
      <c r="O83" s="15" t="s">
        <v>69</v>
      </c>
      <c r="P83" s="17" t="str">
        <f t="shared" si="4"/>
        <v>Lengkap</v>
      </c>
      <c r="Q83" s="17" t="str">
        <f t="shared" si="5"/>
        <v>OK</v>
      </c>
      <c r="R83" s="17" t="str">
        <f>IF(INDEX(Korpus!$B:$B,$A83)="","",INDEX(Korpus!$B:$B,$A83))</f>
        <v xml:space="preserve">BAB XIII
LARANGAN DALAM PENGGUNAAN DATA PRIBADI</v>
      </c>
      <c r="S83" s="17" t="str">
        <f>IF(INDEX(Korpus!$C:$C,$A83)="","",INDEX(Korpus!$C:$C,$A83))</f>
        <v/>
      </c>
    </row>
    <row r="84" ht="60" customHeight="1">
      <c r="A84" s="15">
        <v>84</v>
      </c>
      <c r="B84" s="16" t="str">
        <f>IF(Petunjuk!$C$4="","",Petunjuk!$C$4)</f>
        <v>Afriansyah</v>
      </c>
      <c r="C84" s="17" t="str">
        <f>IF(INDEX(Korpus!$A:$A,$A84)="","",INDEX(Korpus!$A:$A,$A84))</f>
        <v xml:space="preserve">UU 27 Thn 2022 (PDP)</v>
      </c>
      <c r="D84" s="17" t="str">
        <f>TRIM(INDEX(Korpus!$D:$D,$A84)&amp;" "&amp;INDEX(Korpus!$E:$E,$A84))</f>
        <v xml:space="preserve">Pasal 66</v>
      </c>
      <c r="E84" s="17" t="str">
        <f>IF(INDEX(Korpus!$F:$F,$A84)="","",INDEX(Korpus!$F:$F,$A84))</f>
        <v xml:space="preserve">Setiap Orang dilarang membuat Data Pribadi palsu atau memalsukan Data Pribadi dengan maksud untuk menguntungkan diri sendiri atau orang lain yang dapat mengakibatkan kerugian bagi orang lain.</v>
      </c>
      <c r="F84" s="18"/>
      <c r="G84" s="18"/>
      <c r="H84" s="18"/>
      <c r="I84" s="18"/>
      <c r="J84" s="18"/>
      <c r="K84" s="18"/>
      <c r="L84" s="18"/>
      <c r="M84" s="19"/>
      <c r="N84" s="19"/>
      <c r="O84" s="15"/>
      <c r="P84" s="17" t="str">
        <f t="shared" si="4"/>
        <v xml:space="preserve">Belum lengkap (6)</v>
      </c>
      <c r="Q84" s="17" t="str">
        <f t="shared" si="5"/>
        <v/>
      </c>
      <c r="R84" s="17" t="str">
        <f>IF(INDEX(Korpus!$B:$B,$A84)="","",INDEX(Korpus!$B:$B,$A84))</f>
        <v xml:space="preserve">BAB XIII
LARANGAN DALAM PENGGUNAAN DATA PRIBADI</v>
      </c>
      <c r="S84" s="17" t="str">
        <f>IF(INDEX(Korpus!$C:$C,$A84)="","",INDEX(Korpus!$C:$C,$A84))</f>
        <v/>
      </c>
    </row>
    <row r="85" ht="60" customHeight="1">
      <c r="A85" s="15">
        <v>85</v>
      </c>
      <c r="B85" s="16" t="str">
        <f>IF(Petunjuk!$C$4="","",Petunjuk!$C$4)</f>
        <v>Afriansyah</v>
      </c>
      <c r="C85" s="17" t="str">
        <f>IF(INDEX(Korpus!$A:$A,$A85)="","",INDEX(Korpus!$A:$A,$A85))</f>
        <v xml:space="preserve">Perpres 39 Thn 2019 (Satu Data)</v>
      </c>
      <c r="D85" s="17" t="str">
        <f>TRIM(INDEX(Korpus!$D:$D,$A85)&amp;" "&amp;INDEX(Korpus!$E:$E,$A85))</f>
        <v xml:space="preserve">Pasal 1</v>
      </c>
      <c r="E85" s="17" t="str">
        <f>IF(INDEX(Korpus!$F:$F,$A85)="","",INDEX(Korpus!$F:$F,$A85))</f>
        <v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8"/>
      <c r="G85" s="18"/>
      <c r="H85" s="18"/>
      <c r="I85" s="18"/>
      <c r="J85" s="18"/>
      <c r="K85" s="18"/>
      <c r="L85" s="18"/>
      <c r="M85" s="19"/>
      <c r="N85" s="19"/>
      <c r="O85" s="15"/>
      <c r="P85" s="17" t="str">
        <f t="shared" si="4"/>
        <v xml:space="preserve">Belum lengkap (6)</v>
      </c>
      <c r="Q85" s="17" t="str">
        <f t="shared" si="5"/>
        <v/>
      </c>
      <c r="R85" s="17" t="str">
        <f>IF(INDEX(Korpus!$B:$B,$A85)="","",INDEX(Korpus!$B:$B,$A85))</f>
        <v xml:space="preserve">BAB I
KETENTUAN UMUM</v>
      </c>
      <c r="S85" s="17" t="str">
        <f>IF(INDEX(Korpus!$C:$C,$A85)="","",INDEX(Korpus!$C:$C,$A85))</f>
        <v/>
      </c>
    </row>
    <row r="86" ht="60" customHeight="1">
      <c r="A86" s="15">
        <v>86</v>
      </c>
      <c r="B86" s="16" t="str">
        <f>IF(Petunjuk!$C$4="","",Petunjuk!$C$4)</f>
        <v>Afriansyah</v>
      </c>
      <c r="C86" s="17" t="str">
        <f>IF(INDEX(Korpus!$A:$A,$A86)="","",INDEX(Korpus!$A:$A,$A86))</f>
        <v xml:space="preserve">Perpres 39 Thn 2019 (Satu Data)</v>
      </c>
      <c r="D86" s="17" t="str">
        <f>TRIM(INDEX(Korpus!$D:$D,$A86)&amp;" "&amp;INDEX(Korpus!$E:$E,$A86))</f>
        <v xml:space="preserve">Pasal 39</v>
      </c>
      <c r="E86" s="17" t="str">
        <f>IF(INDEX(Korpus!$F:$F,$A86)="","",INDEX(Korpus!$F:$F,$A86))</f>
        <v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8" t="s">
        <v>109</v>
      </c>
      <c r="G86" s="18" t="s">
        <v>71</v>
      </c>
      <c r="H86" s="18" t="s">
        <v>110</v>
      </c>
      <c r="I86" s="18" t="s">
        <v>106</v>
      </c>
      <c r="J86" s="18" t="s">
        <v>107</v>
      </c>
      <c r="K86" s="18" t="s">
        <v>88</v>
      </c>
      <c r="L86" s="18" t="s">
        <v>94</v>
      </c>
      <c r="M86" s="19"/>
      <c r="N86" s="19"/>
      <c r="O86" s="15" t="s">
        <v>69</v>
      </c>
      <c r="P86" s="17" t="str">
        <f t="shared" si="4"/>
        <v>Lengkap</v>
      </c>
      <c r="Q86" s="17" t="str">
        <f t="shared" si="5"/>
        <v>OK</v>
      </c>
      <c r="R86" s="17" t="str">
        <f>IF(INDEX(Korpus!$B:$B,$A86)="","",INDEX(Korpus!$B:$B,$A86))</f>
        <v xml:space="preserve">BAB IV
PENYELENGGARAAN SATU DATA INDONESIA</v>
      </c>
      <c r="S86" s="17" t="str">
        <f>IF(INDEX(Korpus!$C:$C,$A86)="","",INDEX(Korpus!$C:$C,$A86))</f>
        <v xml:space="preserve">Bagian Kelima
Penyebarluasan Data</v>
      </c>
    </row>
  </sheetData>
  <autoFilter ref="A1:S86"/>
  <dataValidations count="2" disablePrompts="0">
    <dataValidation sqref="M2:M86" type="none" allowBlank="1" errorStyle="stop" imeMode="noControl" operator="between" prompt="Teks bebas, satu kalimat &quot;Sistem harus …&quot; atau “Sistem tidak boleh ...” (opsional, untuk R2)" showDropDown="0" showErrorMessage="1" showInputMessage="1"/>
    <dataValidation sqref="N2:N86" type="none" allowBlank="1" errorStyle="stop" imeMode="noControl" operator="between" prompt="Digunakan untuk alasan T99, adanya keraguan, salah ketik atau teks terpotong, dan penjelasan lain bila aturan konsistensi tidak terpenuhi (Bagian 5.1 dan 9.1)." showDropDown="0" showErrorMessage="1" showInputMessage="1"/>
  </dataValidations>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78C0D931-6437-407d-A8EE-F0AAD7539E65}">
      <x14:conditionalFormattings>
        <x14:conditionalFormatting xmlns:xm="http://schemas.microsoft.com/office/excel/2006/main">
          <x14:cfRule type="expression" priority="4">
            <xm:f>P2="Lengkap"</xm:f>
            <x14:dxf>
              <font>
                <color rgb="FF006100"/>
                <name val="Arial"/>
              </font>
            </x14:dxf>
          </x14:cfRule>
          <xm:sqref>P2:P86</xm:sqref>
        </x14:conditionalFormatting>
        <x14:conditionalFormatting xmlns:xm="http://schemas.microsoft.com/office/excel/2006/main">
          <x14:cfRule type="expression" priority="2">
            <xm:f>Q2="OK"</xm:f>
            <x14:dxf>
              <font>
                <color rgb="FF006100"/>
                <name val="Arial"/>
              </font>
              <fill>
                <patternFill patternType="solid">
                  <fgColor rgb="FFC6EFCE"/>
                  <bgColor rgb="FFC6EFCE"/>
                </patternFill>
              </fill>
            </x14:dxf>
          </x14:cfRule>
          <xm:sqref>Q2:Q86</xm:sqref>
        </x14:conditionalFormatting>
        <x14:conditionalFormatting xmlns:xm="http://schemas.microsoft.com/office/excel/2006/main">
          <x14:cfRule type="expression" priority="3">
            <xm:f>AND(Q2&lt;&gt;"",Q2&lt;&gt;"OK",LEFT(Q2,7)&lt;&gt;"Belum l")</xm:f>
            <x14:dxf>
              <font>
                <color rgb="FF9C5700"/>
                <name val="Arial"/>
              </font>
              <fill>
                <patternFill patternType="solid">
                  <fgColor rgb="FFFFEB9C"/>
                  <bgColor rgb="FFFFEB9C"/>
                </patternFill>
              </fill>
            </x14:dxf>
          </x14:cfRule>
          <xm:sqref>Q2:Q86</xm:sqref>
        </x14:conditionalFormatting>
      </x14:conditionalFormattings>
    </ext>
    <ext xmlns:x14="http://schemas.microsoft.com/office/spreadsheetml/2009/9/main" uri="{CCE6A557-97BC-4b89-ADB6-D9C93CAAB3DF}">
      <x14:dataValidations xmlns:xm="http://schemas.microsoft.com/office/excel/2006/main" count="8" disablePrompts="0">
        <x14:dataValidation xr:uid="{49D78163-3F72-48B8-B1E8-456A6542C2F9}" type="list" allowBlank="1" error="Pilih kode dari daftar (lihat sheet Daftar Kode)." errorStyle="stop" errorTitle="Kode tidak sah" imeMode="noControl" operator="between" prompt="Kodekan pihak yang secara eksplisit menjadi subjek tata bahasa norma utama pada kolom “Isi”.&#10;Pilih kode berurutan dan berhenti pada Subjek Norma pertama yang dianggap sesuai (S1 &gt; S2 &gt; S3 &gt; S4 &gt; S5 &gt; S6 &gt; S7 &gt; S8 &gt; S9)." showDropDown="0" showErrorMessage="1" showInputMessage="1">
          <x14:formula1>
            <xm:f>'Daftar Kode'!$D$5:$D$13</xm:f>
          </x14:formula1>
          <x14:formula2>
            <xm:f>"""0"""</xm:f>
          </x14:formula2>
          <xm:sqref>F3:F86</xm:sqref>
        </x14:dataValidation>
        <x14:dataValidation xr:uid="{3CA30908-FB0F-40C5-A8A4-F92F32DB696F}" type="list" allowBlank="1" error="Pilih kode dari daftar (lihat sheet Daftar Kode)." errorStyle="stop" errorTitle="Kode tidak sah" imeMode="noControl" operator="between" prompt="Tentukan dengan Uji Implikasi Bagian 6." showDropDown="0" showErrorMessage="1" showInputMessage="1">
          <x14:formula1>
            <xm:f>'Daftar Kode'!$D$16:$D$18</xm:f>
          </x14:formula1>
          <x14:formula2>
            <xm:f>"""0"""</xm:f>
          </x14:formula2>
          <xm:sqref>G2:G86</xm:sqref>
        </x14:dataValidation>
        <x14:dataValidation xr:uid="{50CCF919-4331-4386-8595-79EA76AF6ACE}" type="list" allowBlank="1" error="Pilih kode dari daftar (lihat sheet Daftar Kode)." errorStyle="stop" errorTitle="Kode tidak sah" imeMode="noControl" operator="between" prompt="Pilih satu tema dominan dari pohon keputusan Bagian 7.3. Pemilihan T99 wajib dijelaskan di V12." showDropDown="0" showErrorMessage="1" showInputMessage="1">
          <x14:formula1>
            <xm:f>'Daftar Kode'!$D$21:$D$37</xm:f>
          </x14:formula1>
          <x14:formula2>
            <xm:f>"""0"""</xm:f>
          </x14:formula2>
          <xm:sqref>H2:H86</xm:sqref>
        </x14:dataValidation>
        <x14:dataValidation xr:uid="{7CE5C7BE-2BCD-4E40-8077-B585E11BC8A3}" type="list" allowBlank="1" error="Pilih kode dari daftar (lihat sheet Daftar Kode)." errorStyle="stop" errorTitle="Kode tidak sah" imeMode="noControl" operator="between" prompt="Lihat Bagian 7.4" showDropDown="0" showErrorMessage="1" showInputMessage="1">
          <x14:formula1>
            <xm:f>'Daftar Kode'!$D$40:$D$47</xm:f>
          </x14:formula1>
          <x14:formula2>
            <xm:f>"""0"""</xm:f>
          </x14:formula2>
          <xm:sqref>I2:I86</xm:sqref>
        </x14:dataValidation>
        <x14:dataValidation xr:uid="{4B666A14-D9D0-4FB3-9AD9-74AC08A78771}" type="list" allowBlank="1" error="Pilih kode dari daftar (lihat sheet Daftar Kode)." errorStyle="stop" errorTitle="Kode tidak sah" imeMode="noControl" operator="between" prompt="Tahap siklus data yang terkait dari awal hingga akhir.&#10;Lihat Bagian 7.5" showDropDown="0" showErrorMessage="1" showInputMessage="1">
          <x14:formula1>
            <xm:f>'Daftar Kode'!$D$50:$D$57</xm:f>
          </x14:formula1>
          <x14:formula2>
            <xm:f>"""0"""</xm:f>
          </x14:formula2>
          <xm:sqref>J2:J86</xm:sqref>
        </x14:dataValidation>
        <x14:dataValidation xr:uid="{58033816-4EA1-42A2-BB9D-361B87ADCAF2}" type="list" allowBlank="1" error="Pilih kode dari daftar (lihat sheet Daftar Kode)." errorStyle="stop" errorTitle="Kode tidak sah" imeMode="noControl" operator="between" prompt="Kandidat jenis kebutuhan SRS diperiksa berurutan K1 &gt; K2 &gt; K3 &gt; K4 &gt; K5. Lihat Bagian 7.6" showDropDown="0" showErrorMessage="1" showInputMessage="1">
          <x14:formula1>
            <xm:f>'Daftar Kode'!$D$60:$D$64</xm:f>
          </x14:formula1>
          <x14:formula2>
            <xm:f>"""0"""</xm:f>
          </x14:formula2>
          <xm:sqref>K2:K86</xm:sqref>
        </x14:dataValidation>
        <x14:dataValidation xr:uid="{28FFE57B-0C89-4BBF-B3BC-007541E19009}" type="list" allowBlank="1" error="Pilih kode dari daftar (lihat sheet Daftar Kode)." errorStyle="stop" errorTitle="Kode tidak sah" imeMode="noControl" operator="between" prompt="Tema kedua bila unit memuat dua tema (gunakan kode dari Bagian 7.3). T99 tidak digunakan di sini." promptTitle="Opsional" showDropDown="0" showErrorMessage="1" showInputMessage="1">
          <x14:formula1>
            <xm:f>'Daftar Kode'!$D$21:$D$36</xm:f>
          </x14:formula1>
          <x14:formula2>
            <xm:f>"""0"""</xm:f>
          </x14:formula2>
          <xm:sqref>L2:L86</xm:sqref>
        </x14:dataValidation>
        <x14:dataValidation xr:uid="{7C010E85-4AA4-44D9-8E38-7D4EE486F56C}" type="list" allowBlank="1" error="Pilih kode dari daftar (lihat sheet Daftar Kode)." errorStyle="stop" errorTitle="Kode tidak sah" imeMode="noControl" operator="between" prompt="Kodekan pihak yang secara eksplisit menjadi subjek tata bahasa norma utama pada kolom “Isi”. Jangan menyimpulkan subjek dari judul BAB." showDropDown="0" showErrorMessage="1" showInputMessage="1">
          <x14:formula1>
            <xm:f>'Daftar Kode'!$D$5:$D$13</xm:f>
          </x14:formula1>
          <x14:formula2>
            <xm:f>"""0"""</xm:f>
          </x14:formula2>
          <xm:sqref>F2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85" workbookViewId="0">
      <pane ySplit="3" topLeftCell="A4" activePane="bottomLeft" state="frozen"/>
      <selection activeCell="B59" activeCellId="0" sqref="B59:G66"/>
    </sheetView>
  </sheetViews>
  <sheetFormatPr defaultColWidth="8.6328125" defaultRowHeight="14"/>
  <cols>
    <col customWidth="1" min="1" max="1" style="1" width="22"/>
    <col customWidth="1" min="2" max="2" style="1" width="8"/>
    <col customWidth="1" min="3" max="3" style="1" width="51.90625"/>
    <col customWidth="1" min="4" max="4" style="20" width="58.36328125"/>
    <col min="5" max="16384" style="1" width="8.6328125"/>
  </cols>
  <sheetData>
    <row r="1" ht="18">
      <c r="A1" s="2" t="s">
        <v>111</v>
      </c>
    </row>
    <row r="2">
      <c r="A2" s="3" t="s">
        <v>112</v>
      </c>
    </row>
    <row r="4">
      <c r="A4" s="13" t="s">
        <v>113</v>
      </c>
      <c r="B4" s="13" t="s">
        <v>53</v>
      </c>
      <c r="C4" s="13" t="s">
        <v>114</v>
      </c>
      <c r="D4" s="21" t="str">
        <f t="shared" ref="D4:D9" si="6">$B4 &amp; " - " &amp; $C4</f>
        <v xml:space="preserve">Kode - Label</v>
      </c>
    </row>
    <row r="5">
      <c r="A5" s="22" t="s">
        <v>32</v>
      </c>
      <c r="B5" s="23" t="s">
        <v>115</v>
      </c>
      <c r="C5" s="22" t="s">
        <v>116</v>
      </c>
      <c r="D5" s="20" t="str">
        <f t="shared" si="6"/>
        <v xml:space="preserve">S1 - Pengendali dan Prosesor</v>
      </c>
    </row>
    <row r="6">
      <c r="A6" s="22" t="s">
        <v>32</v>
      </c>
      <c r="B6" s="23" t="s">
        <v>117</v>
      </c>
      <c r="C6" s="22" t="s">
        <v>118</v>
      </c>
      <c r="D6" s="20" t="str">
        <f t="shared" si="6"/>
        <v xml:space="preserve">S2 - Pengendali Data Pribadi</v>
      </c>
    </row>
    <row r="7">
      <c r="A7" s="22" t="s">
        <v>32</v>
      </c>
      <c r="B7" s="23" t="s">
        <v>119</v>
      </c>
      <c r="C7" s="22" t="s">
        <v>120</v>
      </c>
      <c r="D7" s="20" t="str">
        <f t="shared" si="6"/>
        <v xml:space="preserve">S3 - Prosesor Data Pribadi</v>
      </c>
    </row>
    <row r="8">
      <c r="A8" s="22" t="s">
        <v>32</v>
      </c>
      <c r="B8" s="23" t="s">
        <v>121</v>
      </c>
      <c r="C8" s="22" t="s">
        <v>122</v>
      </c>
      <c r="D8" s="20" t="str">
        <f t="shared" si="6"/>
        <v xml:space="preserve">S4 - Subjek Data Pribadi</v>
      </c>
    </row>
    <row r="9">
      <c r="A9" s="22" t="s">
        <v>32</v>
      </c>
      <c r="B9" s="23" t="s">
        <v>123</v>
      </c>
      <c r="C9" s="22" t="s">
        <v>124</v>
      </c>
      <c r="D9" s="20" t="str">
        <f t="shared" si="6"/>
        <v xml:space="preserve">S5 - Setiap Orang atau pihak umum</v>
      </c>
    </row>
    <row r="10">
      <c r="A10" s="22" t="s">
        <v>32</v>
      </c>
      <c r="B10" s="23" t="s">
        <v>125</v>
      </c>
      <c r="C10" s="22" t="s">
        <v>126</v>
      </c>
      <c r="D10" s="20" t="str">
        <f t="shared" ref="D10:D64" si="7">$B10 &amp; " - " &amp; $C10</f>
        <v xml:space="preserve">S6 - Instansi atau Badan Publik</v>
      </c>
    </row>
    <row r="11">
      <c r="A11" s="22" t="s">
        <v>32</v>
      </c>
      <c r="B11" s="23" t="s">
        <v>127</v>
      </c>
      <c r="C11" s="22" t="s">
        <v>128</v>
      </c>
      <c r="D11" s="20" t="str">
        <f t="shared" si="7"/>
        <v xml:space="preserve">S7 - Otoritas Penetap atau Pengawas Kebijakan</v>
      </c>
    </row>
    <row r="12">
      <c r="A12" s="22" t="s">
        <v>32</v>
      </c>
      <c r="B12" s="23" t="s">
        <v>129</v>
      </c>
      <c r="C12" s="22" t="s">
        <v>130</v>
      </c>
      <c r="D12" s="20" t="str">
        <f t="shared" si="7"/>
        <v xml:space="preserve">S8 - Penyelenggara sektor atau pihak lain</v>
      </c>
    </row>
    <row r="13">
      <c r="A13" s="22" t="s">
        <v>32</v>
      </c>
      <c r="B13" s="23" t="s">
        <v>131</v>
      </c>
      <c r="C13" s="22" t="s">
        <v>132</v>
      </c>
      <c r="D13" s="20" t="str">
        <f t="shared" si="7"/>
        <v xml:space="preserve">S9 - Tidak ada subjek perorangan atau organisasi eksplisit</v>
      </c>
    </row>
    <row r="15">
      <c r="A15" s="13" t="s">
        <v>113</v>
      </c>
      <c r="B15" s="13" t="s">
        <v>53</v>
      </c>
      <c r="C15" s="13" t="s">
        <v>114</v>
      </c>
      <c r="D15" s="21" t="str">
        <f t="shared" si="7"/>
        <v xml:space="preserve">Kode - Label</v>
      </c>
    </row>
    <row r="16">
      <c r="A16" s="22" t="s">
        <v>34</v>
      </c>
      <c r="B16" s="23" t="s">
        <v>133</v>
      </c>
      <c r="C16" s="22" t="s">
        <v>134</v>
      </c>
      <c r="D16" s="20" t="str">
        <f t="shared" si="7"/>
        <v xml:space="preserve">R0 - Tidak relevan</v>
      </c>
    </row>
    <row r="17">
      <c r="A17" s="22" t="s">
        <v>34</v>
      </c>
      <c r="B17" s="23" t="s">
        <v>135</v>
      </c>
      <c r="C17" s="22" t="s">
        <v>136</v>
      </c>
      <c r="D17" s="20" t="str">
        <f t="shared" si="7"/>
        <v xml:space="preserve">R1 - Relevan tidak langsung</v>
      </c>
    </row>
    <row r="18">
      <c r="A18" s="22" t="s">
        <v>34</v>
      </c>
      <c r="B18" s="23" t="s">
        <v>137</v>
      </c>
      <c r="C18" s="22" t="s">
        <v>138</v>
      </c>
      <c r="D18" s="20" t="str">
        <f t="shared" si="7"/>
        <v xml:space="preserve">R2 - Relevan langsung</v>
      </c>
    </row>
    <row r="20">
      <c r="A20" s="13" t="s">
        <v>113</v>
      </c>
      <c r="B20" s="13" t="s">
        <v>53</v>
      </c>
      <c r="C20" s="13" t="s">
        <v>114</v>
      </c>
      <c r="D20" s="21" t="str">
        <f t="shared" si="7"/>
        <v xml:space="preserve">Kode - Label</v>
      </c>
    </row>
    <row r="21">
      <c r="A21" s="22" t="s">
        <v>36</v>
      </c>
      <c r="B21" s="23" t="s">
        <v>139</v>
      </c>
      <c r="C21" s="22" t="s">
        <v>140</v>
      </c>
      <c r="D21" s="20" t="str">
        <f t="shared" si="7"/>
        <v xml:space="preserve">T01 - Definisi, Istilah, dan Ruang Lingkup</v>
      </c>
    </row>
    <row r="22">
      <c r="A22" s="22" t="s">
        <v>36</v>
      </c>
      <c r="B22" s="23" t="s">
        <v>141</v>
      </c>
      <c r="C22" s="22" t="s">
        <v>142</v>
      </c>
      <c r="D22" s="20" t="str">
        <f t="shared" si="7"/>
        <v xml:space="preserve">T02 - Latar Normatif dan Rujukan Non-operasional</v>
      </c>
    </row>
    <row r="23">
      <c r="A23" s="22" t="s">
        <v>36</v>
      </c>
      <c r="B23" s="23" t="s">
        <v>143</v>
      </c>
      <c r="C23" s="22" t="s">
        <v>144</v>
      </c>
      <c r="D23" s="20" t="str">
        <f t="shared" si="7"/>
        <v xml:space="preserve">T03 - Larangan dan Perbuatan Melawan Hukum</v>
      </c>
    </row>
    <row r="24">
      <c r="A24" s="22" t="s">
        <v>36</v>
      </c>
      <c r="B24" s="23" t="s">
        <v>145</v>
      </c>
      <c r="C24" s="22" t="s">
        <v>146</v>
      </c>
      <c r="D24" s="20" t="str">
        <f t="shared" si="7"/>
        <v xml:space="preserve">T04 - Pengecualian dan Pembatasan</v>
      </c>
    </row>
    <row r="25">
      <c r="A25" s="22" t="s">
        <v>36</v>
      </c>
      <c r="B25" s="23" t="s">
        <v>147</v>
      </c>
      <c r="C25" s="22" t="s">
        <v>148</v>
      </c>
      <c r="D25" s="20" t="str">
        <f t="shared" si="7"/>
        <v xml:space="preserve">T05 - Jenis dan Klasifikasi Data Pribadi</v>
      </c>
    </row>
    <row r="26">
      <c r="A26" s="22" t="s">
        <v>36</v>
      </c>
      <c r="B26" s="23" t="s">
        <v>149</v>
      </c>
      <c r="C26" s="22" t="s">
        <v>150</v>
      </c>
      <c r="D26" s="20" t="str">
        <f t="shared" si="7"/>
        <v xml:space="preserve">T06 - Data Pribadi Anak dan Kelompok Rentan</v>
      </c>
    </row>
    <row r="27">
      <c r="A27" s="22" t="s">
        <v>36</v>
      </c>
      <c r="B27" s="23" t="s">
        <v>151</v>
      </c>
      <c r="C27" s="22" t="s">
        <v>152</v>
      </c>
      <c r="D27" s="20" t="str">
        <f t="shared" si="7"/>
        <v xml:space="preserve">T07 - Hak Subjek Data Pribadi</v>
      </c>
    </row>
    <row r="28">
      <c r="A28" s="22" t="s">
        <v>36</v>
      </c>
      <c r="B28" s="23" t="s">
        <v>153</v>
      </c>
      <c r="C28" s="22" t="s">
        <v>154</v>
      </c>
      <c r="D28" s="20" t="str">
        <f t="shared" si="7"/>
        <v xml:space="preserve">T08 - Retensi, Penghentian, Penghapusan, dan Pemusnahan</v>
      </c>
    </row>
    <row r="29">
      <c r="A29" s="22" t="s">
        <v>36</v>
      </c>
      <c r="B29" s="23" t="s">
        <v>155</v>
      </c>
      <c r="C29" s="22" t="s">
        <v>156</v>
      </c>
      <c r="D29" s="20" t="str">
        <f t="shared" si="7"/>
        <v xml:space="preserve">T09 - Dasar Pemrosesan dan Persetujuan</v>
      </c>
    </row>
    <row r="30">
      <c r="A30" s="22" t="s">
        <v>36</v>
      </c>
      <c r="B30" s="23" t="s">
        <v>157</v>
      </c>
      <c r="C30" s="22" t="s">
        <v>158</v>
      </c>
      <c r="D30" s="20" t="str">
        <f t="shared" si="7"/>
        <v xml:space="preserve">T10 - Transfer dan Pengalihan Data</v>
      </c>
    </row>
    <row r="31">
      <c r="A31" s="22" t="s">
        <v>36</v>
      </c>
      <c r="B31" s="23" t="s">
        <v>159</v>
      </c>
      <c r="C31" s="22" t="s">
        <v>160</v>
      </c>
      <c r="D31" s="20" t="str">
        <f t="shared" si="7"/>
        <v xml:space="preserve">T11 - Keamanan, Kerahasiaan, dan Penanganan Insiden</v>
      </c>
    </row>
    <row r="32">
      <c r="A32" s="22" t="s">
        <v>36</v>
      </c>
      <c r="B32" s="23" t="s">
        <v>161</v>
      </c>
      <c r="C32" s="22" t="s">
        <v>162</v>
      </c>
      <c r="D32" s="20" t="str">
        <f t="shared" si="7"/>
        <v xml:space="preserve">T12 - Kualitas, Akurasi, dan Pembaruan Data</v>
      </c>
    </row>
    <row r="33">
      <c r="A33" s="22" t="s">
        <v>36</v>
      </c>
      <c r="B33" s="23" t="s">
        <v>163</v>
      </c>
      <c r="C33" s="22" t="s">
        <v>164</v>
      </c>
      <c r="D33" s="20" t="str">
        <f t="shared" si="7"/>
        <v xml:space="preserve">T13 - Akuntabilitas, Pencatatan, dan Tata Kelola Kepatuhan</v>
      </c>
    </row>
    <row r="34">
      <c r="A34" s="22" t="s">
        <v>36</v>
      </c>
      <c r="B34" s="23" t="s">
        <v>165</v>
      </c>
      <c r="C34" s="22" t="s">
        <v>166</v>
      </c>
      <c r="D34" s="20" t="str">
        <f t="shared" si="7"/>
        <v xml:space="preserve">T14 - Akses dan Pemanfaatan Data Pemerintah</v>
      </c>
    </row>
    <row r="35">
      <c r="A35" s="22" t="s">
        <v>36</v>
      </c>
      <c r="B35" s="23" t="s">
        <v>167</v>
      </c>
      <c r="C35" s="22" t="s">
        <v>168</v>
      </c>
      <c r="D35" s="20" t="str">
        <f t="shared" si="7"/>
        <v xml:space="preserve">T15 - Asas dan Prinsip Pemrosesan</v>
      </c>
    </row>
    <row r="36">
      <c r="A36" s="22" t="s">
        <v>36</v>
      </c>
      <c r="B36" s="23" t="s">
        <v>169</v>
      </c>
      <c r="C36" s="22" t="s">
        <v>170</v>
      </c>
      <c r="D36" s="20" t="str">
        <f t="shared" si="7"/>
        <v xml:space="preserve">T16 - Aktivitas Pemrosesan dan Pengumpulan</v>
      </c>
    </row>
    <row r="37">
      <c r="A37" s="22" t="s">
        <v>36</v>
      </c>
      <c r="B37" s="23" t="s">
        <v>171</v>
      </c>
      <c r="C37" s="22" t="s">
        <v>172</v>
      </c>
      <c r="D37" s="20" t="str">
        <f t="shared" si="7"/>
        <v xml:space="preserve">T99 - Lainnya (wajib jelaskan di V12)</v>
      </c>
    </row>
    <row r="39">
      <c r="A39" s="13" t="s">
        <v>113</v>
      </c>
      <c r="B39" s="13" t="s">
        <v>53</v>
      </c>
      <c r="C39" s="13" t="s">
        <v>114</v>
      </c>
      <c r="D39" s="21" t="str">
        <f t="shared" si="7"/>
        <v xml:space="preserve">Kode - Label</v>
      </c>
    </row>
    <row r="40">
      <c r="A40" s="22" t="s">
        <v>38</v>
      </c>
      <c r="B40" s="23" t="s">
        <v>173</v>
      </c>
      <c r="C40" s="22" t="s">
        <v>174</v>
      </c>
      <c r="D40" s="20" t="str">
        <f t="shared" si="7"/>
        <v xml:space="preserve">P1 - Larangan</v>
      </c>
    </row>
    <row r="41">
      <c r="A41" s="22" t="s">
        <v>38</v>
      </c>
      <c r="B41" s="23" t="s">
        <v>175</v>
      </c>
      <c r="C41" s="22" t="s">
        <v>176</v>
      </c>
      <c r="D41" s="20" t="str">
        <f t="shared" si="7"/>
        <v xml:space="preserve">P2 - Kewajiban</v>
      </c>
    </row>
    <row r="42">
      <c r="A42" s="22" t="s">
        <v>38</v>
      </c>
      <c r="B42" s="23" t="s">
        <v>177</v>
      </c>
      <c r="C42" s="22" t="s">
        <v>178</v>
      </c>
      <c r="D42" s="20" t="str">
        <f t="shared" si="7"/>
        <v xml:space="preserve">P3 - Hak</v>
      </c>
    </row>
    <row r="43">
      <c r="A43" s="22" t="s">
        <v>38</v>
      </c>
      <c r="B43" s="23" t="s">
        <v>179</v>
      </c>
      <c r="C43" s="22" t="s">
        <v>180</v>
      </c>
      <c r="D43" s="20" t="str">
        <f t="shared" si="7"/>
        <v xml:space="preserve">P4 - Pengecualian atau pembatasan</v>
      </c>
    </row>
    <row r="44">
      <c r="A44" s="22" t="s">
        <v>38</v>
      </c>
      <c r="B44" s="23" t="s">
        <v>181</v>
      </c>
      <c r="C44" s="22" t="s">
        <v>182</v>
      </c>
      <c r="D44" s="20" t="str">
        <f t="shared" si="7"/>
        <v xml:space="preserve">P5 - Kebolehan atau kewenangan</v>
      </c>
    </row>
    <row r="45">
      <c r="A45" s="22" t="s">
        <v>38</v>
      </c>
      <c r="B45" s="23" t="s">
        <v>183</v>
      </c>
      <c r="C45" s="22" t="s">
        <v>184</v>
      </c>
      <c r="D45" s="20" t="str">
        <f t="shared" si="7"/>
        <v xml:space="preserve">P6 - Definisi, klasifikasi, atau ruang lingkup</v>
      </c>
    </row>
    <row r="46">
      <c r="A46" s="22" t="s">
        <v>38</v>
      </c>
      <c r="B46" s="23" t="s">
        <v>185</v>
      </c>
      <c r="C46" s="22" t="s">
        <v>186</v>
      </c>
      <c r="D46" s="20" t="str">
        <f t="shared" si="7"/>
        <v xml:space="preserve">P7 - Asas, prinsip, atau tujuan umum</v>
      </c>
    </row>
    <row r="47">
      <c r="A47" s="22" t="s">
        <v>38</v>
      </c>
      <c r="B47" s="23" t="s">
        <v>187</v>
      </c>
      <c r="C47" s="22" t="s">
        <v>188</v>
      </c>
      <c r="D47" s="20" t="str">
        <f t="shared" si="7"/>
        <v xml:space="preserve">P8 - Deskriptif, argumentatif, dan rujukan</v>
      </c>
    </row>
    <row r="49">
      <c r="A49" s="13" t="s">
        <v>113</v>
      </c>
      <c r="B49" s="13" t="s">
        <v>53</v>
      </c>
      <c r="C49" s="13" t="s">
        <v>114</v>
      </c>
      <c r="D49" s="21" t="str">
        <f t="shared" si="7"/>
        <v xml:space="preserve">Kode - Label</v>
      </c>
    </row>
    <row r="50">
      <c r="A50" s="22" t="s">
        <v>40</v>
      </c>
      <c r="B50" s="23" t="s">
        <v>189</v>
      </c>
      <c r="C50" s="22" t="s">
        <v>190</v>
      </c>
      <c r="D50" s="20" t="str">
        <f t="shared" si="7"/>
        <v xml:space="preserve">F1 - Perencanaan dan dasar pemrosesan</v>
      </c>
    </row>
    <row r="51">
      <c r="A51" s="22" t="s">
        <v>40</v>
      </c>
      <c r="B51" s="23" t="s">
        <v>191</v>
      </c>
      <c r="C51" s="22" t="s">
        <v>192</v>
      </c>
      <c r="D51" s="20" t="str">
        <f t="shared" si="7"/>
        <v xml:space="preserve">F2 - Pengumpulan atau akuisisi</v>
      </c>
    </row>
    <row r="52">
      <c r="A52" s="22" t="s">
        <v>40</v>
      </c>
      <c r="B52" s="23" t="s">
        <v>193</v>
      </c>
      <c r="C52" s="22" t="s">
        <v>194</v>
      </c>
      <c r="D52" s="20" t="str">
        <f t="shared" si="7"/>
        <v xml:space="preserve">F3 - Pengolahan dan analisis</v>
      </c>
    </row>
    <row r="53">
      <c r="A53" s="22" t="s">
        <v>40</v>
      </c>
      <c r="B53" s="23" t="s">
        <v>195</v>
      </c>
      <c r="C53" s="22" t="s">
        <v>196</v>
      </c>
      <c r="D53" s="20" t="str">
        <f t="shared" si="7"/>
        <v xml:space="preserve">F4 - Penyimpanan dan pengamanan</v>
      </c>
    </row>
    <row r="54">
      <c r="A54" s="22" t="s">
        <v>40</v>
      </c>
      <c r="B54" s="23" t="s">
        <v>197</v>
      </c>
      <c r="C54" s="22" t="s">
        <v>198</v>
      </c>
      <c r="D54" s="20" t="str">
        <f t="shared" si="7"/>
        <v xml:space="preserve">F5 - Penyebarluasan dan transfer</v>
      </c>
    </row>
    <row r="55">
      <c r="A55" s="22" t="s">
        <v>40</v>
      </c>
      <c r="B55" s="23" t="s">
        <v>199</v>
      </c>
      <c r="C55" s="22" t="s">
        <v>200</v>
      </c>
      <c r="D55" s="20" t="str">
        <f t="shared" si="7"/>
        <v xml:space="preserve">F6 - Retensi dan penghapusan</v>
      </c>
    </row>
    <row r="56">
      <c r="A56" s="22" t="s">
        <v>40</v>
      </c>
      <c r="B56" s="23" t="s">
        <v>201</v>
      </c>
      <c r="C56" s="22" t="s">
        <v>202</v>
      </c>
      <c r="D56" s="20" t="str">
        <f t="shared" si="7"/>
        <v xml:space="preserve">F7 - Tata kelola dan hak subjek</v>
      </c>
    </row>
    <row r="57">
      <c r="A57" s="22" t="s">
        <v>40</v>
      </c>
      <c r="B57" s="23" t="s">
        <v>203</v>
      </c>
      <c r="C57" s="22" t="s">
        <v>204</v>
      </c>
      <c r="D57" s="20" t="str">
        <f t="shared" si="7"/>
        <v xml:space="preserve">F8 - Lintas tahap atau tidak spesifik</v>
      </c>
    </row>
    <row r="59">
      <c r="A59" s="13" t="s">
        <v>113</v>
      </c>
      <c r="B59" s="13" t="s">
        <v>53</v>
      </c>
      <c r="C59" s="13" t="s">
        <v>114</v>
      </c>
      <c r="D59" s="21" t="str">
        <f t="shared" si="7"/>
        <v xml:space="preserve">Kode - Label</v>
      </c>
    </row>
    <row r="60">
      <c r="A60" s="22" t="s">
        <v>42</v>
      </c>
      <c r="B60" s="23" t="s">
        <v>205</v>
      </c>
      <c r="C60" s="22" t="s">
        <v>206</v>
      </c>
      <c r="D60" s="20" t="str">
        <f t="shared" si="7"/>
        <v xml:space="preserve">K1 - Non-fungsional: keamanan dan kerahasiaan. Apakah inti teks melindungi data dari akses atau gangguan tidak sah?</v>
      </c>
    </row>
    <row r="61">
      <c r="A61" s="22" t="s">
        <v>42</v>
      </c>
      <c r="B61" s="23" t="s">
        <v>207</v>
      </c>
      <c r="C61" s="22" t="s">
        <v>208</v>
      </c>
      <c r="D61" s="20" t="str">
        <f t="shared" si="7"/>
        <v xml:space="preserve">K2 - Non-fungsional: mutu data, kepatuhan, dan akuntabilitas. Apakah ini mutu atau bukti yang berlaku untuk seluruh sistem, bukan hanya satu operasi?</v>
      </c>
    </row>
    <row r="62">
      <c r="A62" s="22" t="s">
        <v>42</v>
      </c>
      <c r="B62" s="23" t="s">
        <v>209</v>
      </c>
      <c r="C62" s="22" t="s">
        <v>210</v>
      </c>
      <c r="D62" s="20" t="str">
        <f t="shared" si="7"/>
        <v xml:space="preserve">K3 - Fungsional. Dapatkah ditulis "Sistem harus [melakukan X]" dengan hasil hanya lulus atau gagal?</v>
      </c>
    </row>
    <row r="63">
      <c r="A63" s="22" t="s">
        <v>42</v>
      </c>
      <c r="B63" s="23" t="s">
        <v>211</v>
      </c>
      <c r="C63" s="22" t="s">
        <v>212</v>
      </c>
      <c r="D63" s="20" t="str">
        <f t="shared" si="7"/>
        <v xml:space="preserve">K4 - Batasan atau aturan bisnis hukum. Apakah teks membatasi apa yang boleh dilakukan sistem, atau apa dan siapa yang tercakup?</v>
      </c>
    </row>
    <row r="64">
      <c r="A64" s="22" t="s">
        <v>42</v>
      </c>
      <c r="B64" s="23" t="s">
        <v>213</v>
      </c>
      <c r="C64" s="22" t="s">
        <v>214</v>
      </c>
      <c r="D64" s="20" t="str">
        <f t="shared" si="7"/>
        <v xml:space="preserve">K5 - Tidak menghasilkan kebutuhan. Apakah teks benar-benar tidak dapat diterjemahkan menjadi kalimat "Sistem harus/tidak boleh …"?</v>
      </c>
    </row>
  </sheetData>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rgb="FF7F7F7F"/>
    <outlinePr applyStyles="0" summaryBelow="1" summaryRight="1" showOutlineSymbols="1"/>
    <pageSetUpPr autoPageBreaks="1" fitToPage="0"/>
  </sheetPr>
  <sheetViews>
    <sheetView zoomScale="85" workbookViewId="0">
      <selection activeCell="C27" activeCellId="0" sqref="C27"/>
    </sheetView>
  </sheetViews>
  <sheetFormatPr defaultColWidth="8.6328125" defaultRowHeight="14.5"/>
  <cols>
    <col customWidth="1" min="6" max="6" width="60"/>
    <col customWidth="1" min="8" max="8" width="90"/>
  </cols>
  <sheetData>
    <row r="1">
      <c r="A1" s="24" t="s">
        <v>215</v>
      </c>
      <c r="B1" s="24" t="s">
        <v>60</v>
      </c>
      <c r="C1" s="24" t="s">
        <v>61</v>
      </c>
      <c r="D1" s="24" t="s">
        <v>216</v>
      </c>
      <c r="E1" s="24" t="s">
        <v>217</v>
      </c>
      <c r="F1" s="24" t="s">
        <v>56</v>
      </c>
      <c r="H1" s="4" t="s">
        <v>218</v>
      </c>
    </row>
    <row r="2">
      <c r="A2" t="s">
        <v>219</v>
      </c>
      <c r="B2" t="s">
        <v>220</v>
      </c>
      <c r="C2" t="s">
        <v>221</v>
      </c>
      <c r="D2" t="s">
        <v>222</v>
      </c>
      <c r="E2" t="s">
        <v>223</v>
      </c>
      <c r="F2" t="s">
        <v>224</v>
      </c>
      <c r="H2" s="3" t="s">
        <v>225</v>
      </c>
    </row>
    <row r="3">
      <c r="A3" t="s">
        <v>219</v>
      </c>
      <c r="B3" t="s">
        <v>220</v>
      </c>
      <c r="C3" t="s">
        <v>221</v>
      </c>
      <c r="D3" t="s">
        <v>222</v>
      </c>
      <c r="E3" t="s">
        <v>226</v>
      </c>
      <c r="F3" t="s">
        <v>227</v>
      </c>
      <c r="H3" s="3" t="s">
        <v>228</v>
      </c>
    </row>
    <row r="4">
      <c r="A4" t="s">
        <v>219</v>
      </c>
      <c r="B4" t="s">
        <v>220</v>
      </c>
      <c r="C4" t="s">
        <v>221</v>
      </c>
      <c r="D4" t="s">
        <v>222</v>
      </c>
      <c r="E4" t="s">
        <v>229</v>
      </c>
      <c r="F4" t="s">
        <v>230</v>
      </c>
      <c r="H4" s="3" t="s">
        <v>231</v>
      </c>
    </row>
    <row r="5">
      <c r="A5" t="s">
        <v>219</v>
      </c>
      <c r="B5" t="s">
        <v>220</v>
      </c>
      <c r="C5" t="s">
        <v>221</v>
      </c>
      <c r="D5" t="s">
        <v>222</v>
      </c>
      <c r="E5" t="s">
        <v>232</v>
      </c>
      <c r="F5" t="s">
        <v>233</v>
      </c>
    </row>
    <row r="6">
      <c r="A6" t="s">
        <v>219</v>
      </c>
      <c r="B6" t="s">
        <v>220</v>
      </c>
      <c r="C6" t="s">
        <v>221</v>
      </c>
      <c r="D6" t="s">
        <v>222</v>
      </c>
      <c r="E6" t="s">
        <v>234</v>
      </c>
      <c r="F6" t="s">
        <v>235</v>
      </c>
    </row>
    <row r="7">
      <c r="A7" t="s">
        <v>219</v>
      </c>
      <c r="B7" t="s">
        <v>220</v>
      </c>
      <c r="C7" t="s">
        <v>221</v>
      </c>
      <c r="D7" t="s">
        <v>222</v>
      </c>
      <c r="E7" t="s">
        <v>236</v>
      </c>
      <c r="F7" t="s">
        <v>237</v>
      </c>
    </row>
    <row r="8">
      <c r="A8" t="s">
        <v>219</v>
      </c>
      <c r="B8" t="s">
        <v>220</v>
      </c>
      <c r="C8" t="s">
        <v>221</v>
      </c>
      <c r="D8" t="s">
        <v>238</v>
      </c>
      <c r="E8" t="s">
        <v>223</v>
      </c>
      <c r="F8" t="s">
        <v>239</v>
      </c>
    </row>
    <row r="9">
      <c r="A9" t="s">
        <v>219</v>
      </c>
      <c r="B9" t="s">
        <v>220</v>
      </c>
      <c r="C9" t="s">
        <v>221</v>
      </c>
      <c r="D9" t="s">
        <v>238</v>
      </c>
      <c r="E9" t="s">
        <v>226</v>
      </c>
      <c r="F9" t="s">
        <v>240</v>
      </c>
    </row>
    <row r="10">
      <c r="A10" t="s">
        <v>219</v>
      </c>
      <c r="B10" t="s">
        <v>220</v>
      </c>
      <c r="C10" t="s">
        <v>221</v>
      </c>
      <c r="D10" t="s">
        <v>238</v>
      </c>
      <c r="E10" t="s">
        <v>229</v>
      </c>
      <c r="F10" t="s">
        <v>241</v>
      </c>
    </row>
    <row r="11">
      <c r="A11" t="s">
        <v>219</v>
      </c>
      <c r="B11" t="s">
        <v>220</v>
      </c>
      <c r="C11" t="s">
        <v>221</v>
      </c>
      <c r="D11" t="s">
        <v>238</v>
      </c>
      <c r="E11" t="s">
        <v>232</v>
      </c>
      <c r="F11" t="s">
        <v>242</v>
      </c>
    </row>
    <row r="12">
      <c r="A12" t="s">
        <v>219</v>
      </c>
      <c r="B12" t="s">
        <v>220</v>
      </c>
      <c r="C12" t="s">
        <v>221</v>
      </c>
      <c r="D12" t="s">
        <v>243</v>
      </c>
      <c r="E12" t="s">
        <v>223</v>
      </c>
      <c r="F12" t="s">
        <v>244</v>
      </c>
    </row>
    <row r="13">
      <c r="A13" t="s">
        <v>219</v>
      </c>
      <c r="B13" t="s">
        <v>220</v>
      </c>
      <c r="C13" t="s">
        <v>221</v>
      </c>
      <c r="D13" t="s">
        <v>243</v>
      </c>
      <c r="E13" t="s">
        <v>226</v>
      </c>
      <c r="F13" t="s">
        <v>245</v>
      </c>
    </row>
    <row r="14">
      <c r="A14" t="s">
        <v>219</v>
      </c>
      <c r="B14" t="s">
        <v>220</v>
      </c>
      <c r="C14" t="s">
        <v>221</v>
      </c>
      <c r="D14" t="s">
        <v>246</v>
      </c>
      <c r="E14" t="s">
        <v>223</v>
      </c>
      <c r="F14" t="s">
        <v>247</v>
      </c>
    </row>
    <row r="15">
      <c r="A15" t="s">
        <v>219</v>
      </c>
      <c r="B15" t="s">
        <v>220</v>
      </c>
      <c r="C15" t="s">
        <v>221</v>
      </c>
      <c r="D15" t="s">
        <v>246</v>
      </c>
      <c r="E15" t="s">
        <v>226</v>
      </c>
      <c r="F15" t="s">
        <v>248</v>
      </c>
    </row>
    <row r="16">
      <c r="A16" t="s">
        <v>219</v>
      </c>
      <c r="B16" t="s">
        <v>220</v>
      </c>
      <c r="C16" t="s">
        <v>221</v>
      </c>
      <c r="D16" t="s">
        <v>246</v>
      </c>
      <c r="E16" t="s">
        <v>229</v>
      </c>
      <c r="F16" t="s">
        <v>249</v>
      </c>
    </row>
    <row r="17">
      <c r="A17" t="s">
        <v>219</v>
      </c>
      <c r="B17" t="s">
        <v>220</v>
      </c>
      <c r="C17" t="s">
        <v>221</v>
      </c>
      <c r="D17" t="s">
        <v>246</v>
      </c>
      <c r="E17" t="s">
        <v>250</v>
      </c>
      <c r="F17" t="s">
        <v>251</v>
      </c>
    </row>
    <row r="18">
      <c r="A18" t="s">
        <v>219</v>
      </c>
      <c r="B18" t="s">
        <v>220</v>
      </c>
      <c r="C18" t="s">
        <v>221</v>
      </c>
      <c r="D18" t="s">
        <v>246</v>
      </c>
      <c r="E18" t="s">
        <v>252</v>
      </c>
      <c r="F18" t="s">
        <v>253</v>
      </c>
    </row>
    <row r="19">
      <c r="A19" t="s">
        <v>219</v>
      </c>
      <c r="B19" t="s">
        <v>220</v>
      </c>
      <c r="C19" t="s">
        <v>221</v>
      </c>
      <c r="D19" t="s">
        <v>246</v>
      </c>
      <c r="E19" t="s">
        <v>254</v>
      </c>
      <c r="F19" t="s">
        <v>255</v>
      </c>
    </row>
    <row r="20">
      <c r="A20" t="s">
        <v>219</v>
      </c>
      <c r="B20" t="s">
        <v>220</v>
      </c>
      <c r="C20" t="s">
        <v>221</v>
      </c>
      <c r="D20" t="s">
        <v>256</v>
      </c>
      <c r="E20" t="s">
        <v>226</v>
      </c>
      <c r="F20" t="s">
        <v>257</v>
      </c>
    </row>
    <row r="21">
      <c r="A21" t="s">
        <v>219</v>
      </c>
      <c r="B21" t="s">
        <v>220</v>
      </c>
      <c r="C21" t="s">
        <v>221</v>
      </c>
      <c r="D21" t="s">
        <v>256</v>
      </c>
      <c r="E21" t="s">
        <v>229</v>
      </c>
      <c r="F21" t="s">
        <v>258</v>
      </c>
    </row>
    <row r="22">
      <c r="A22" t="s">
        <v>219</v>
      </c>
      <c r="B22" t="s">
        <v>220</v>
      </c>
      <c r="C22" t="s">
        <v>221</v>
      </c>
      <c r="D22" t="s">
        <v>256</v>
      </c>
      <c r="E22" t="s">
        <v>232</v>
      </c>
      <c r="F22" t="s">
        <v>259</v>
      </c>
    </row>
    <row r="23">
      <c r="A23" t="s">
        <v>219</v>
      </c>
      <c r="B23" t="s">
        <v>220</v>
      </c>
      <c r="C23" t="s">
        <v>221</v>
      </c>
      <c r="D23" t="s">
        <v>260</v>
      </c>
      <c r="E23" t="s">
        <v>223</v>
      </c>
      <c r="F23" t="s">
        <v>261</v>
      </c>
    </row>
    <row r="24">
      <c r="A24" t="s">
        <v>219</v>
      </c>
      <c r="B24" t="s">
        <v>220</v>
      </c>
      <c r="C24" t="s">
        <v>221</v>
      </c>
      <c r="D24" t="s">
        <v>260</v>
      </c>
      <c r="E24" t="s">
        <v>229</v>
      </c>
      <c r="F24" t="s">
        <v>262</v>
      </c>
    </row>
    <row r="25">
      <c r="A25" t="s">
        <v>219</v>
      </c>
      <c r="B25" t="s">
        <v>263</v>
      </c>
      <c r="D25" t="s">
        <v>264</v>
      </c>
      <c r="E25" t="s">
        <v>229</v>
      </c>
      <c r="F25" t="s">
        <v>265</v>
      </c>
    </row>
    <row r="26">
      <c r="A26" t="s">
        <v>219</v>
      </c>
      <c r="B26" t="s">
        <v>263</v>
      </c>
      <c r="D26" t="s">
        <v>264</v>
      </c>
      <c r="E26" t="s">
        <v>232</v>
      </c>
      <c r="F26" t="s">
        <v>266</v>
      </c>
    </row>
    <row r="27" ht="58">
      <c r="A27" t="s">
        <v>267</v>
      </c>
      <c r="B27" s="11" t="s">
        <v>268</v>
      </c>
      <c r="C27" s="11" t="s">
        <v>269</v>
      </c>
      <c r="E27" t="s">
        <v>270</v>
      </c>
      <c r="F27" t="s">
        <v>271</v>
      </c>
    </row>
    <row r="28" ht="58">
      <c r="A28" t="s">
        <v>272</v>
      </c>
      <c r="B28" s="11" t="s">
        <v>273</v>
      </c>
      <c r="E28" t="s">
        <v>274</v>
      </c>
      <c r="F28" t="s">
        <v>275</v>
      </c>
    </row>
    <row r="29" ht="58">
      <c r="A29" t="s">
        <v>272</v>
      </c>
      <c r="B29" s="11" t="s">
        <v>273</v>
      </c>
      <c r="E29" t="s">
        <v>276</v>
      </c>
      <c r="F29" t="s">
        <v>277</v>
      </c>
    </row>
    <row r="30" ht="29">
      <c r="A30" t="s">
        <v>272</v>
      </c>
      <c r="B30" s="11" t="s">
        <v>278</v>
      </c>
      <c r="E30" t="s">
        <v>279</v>
      </c>
      <c r="F30" t="s">
        <v>280</v>
      </c>
    </row>
    <row r="31" ht="58">
      <c r="A31" t="s">
        <v>272</v>
      </c>
      <c r="B31" s="11" t="s">
        <v>281</v>
      </c>
      <c r="E31" t="s">
        <v>282</v>
      </c>
      <c r="F31" t="s">
        <v>283</v>
      </c>
    </row>
    <row r="32" ht="72.5">
      <c r="A32" t="s">
        <v>272</v>
      </c>
      <c r="B32" s="11" t="s">
        <v>284</v>
      </c>
      <c r="E32" t="s">
        <v>285</v>
      </c>
      <c r="F32" t="s">
        <v>286</v>
      </c>
    </row>
    <row r="33" ht="72.5">
      <c r="A33" t="s">
        <v>272</v>
      </c>
      <c r="B33" s="11" t="s">
        <v>284</v>
      </c>
      <c r="E33" t="s">
        <v>287</v>
      </c>
      <c r="F33" t="s">
        <v>288</v>
      </c>
    </row>
    <row r="34" ht="72.5">
      <c r="A34" t="s">
        <v>272</v>
      </c>
      <c r="B34" s="11" t="s">
        <v>284</v>
      </c>
      <c r="E34" t="s">
        <v>289</v>
      </c>
      <c r="F34" t="s">
        <v>290</v>
      </c>
    </row>
    <row r="35" ht="72.5">
      <c r="A35" t="s">
        <v>272</v>
      </c>
      <c r="B35" s="11" t="s">
        <v>284</v>
      </c>
      <c r="E35" t="s">
        <v>291</v>
      </c>
      <c r="F35" t="s">
        <v>292</v>
      </c>
    </row>
    <row r="36" ht="72.5">
      <c r="A36" t="s">
        <v>272</v>
      </c>
      <c r="B36" s="11" t="s">
        <v>284</v>
      </c>
      <c r="E36" t="s">
        <v>293</v>
      </c>
      <c r="F36" t="s">
        <v>294</v>
      </c>
    </row>
    <row r="37" ht="72.5">
      <c r="A37" t="s">
        <v>272</v>
      </c>
      <c r="B37" s="11" t="s">
        <v>284</v>
      </c>
      <c r="E37" t="s">
        <v>295</v>
      </c>
      <c r="F37" t="s">
        <v>296</v>
      </c>
    </row>
    <row r="38" ht="72.5">
      <c r="A38" t="s">
        <v>272</v>
      </c>
      <c r="B38" s="11" t="s">
        <v>284</v>
      </c>
      <c r="E38" t="s">
        <v>297</v>
      </c>
      <c r="F38" t="s">
        <v>298</v>
      </c>
    </row>
    <row r="39" ht="72.5">
      <c r="A39" t="s">
        <v>272</v>
      </c>
      <c r="B39" s="11" t="s">
        <v>284</v>
      </c>
      <c r="E39" t="s">
        <v>299</v>
      </c>
      <c r="F39" t="s">
        <v>300</v>
      </c>
    </row>
    <row r="40" ht="72.5">
      <c r="A40" t="s">
        <v>272</v>
      </c>
      <c r="B40" s="11" t="s">
        <v>284</v>
      </c>
      <c r="E40" t="s">
        <v>301</v>
      </c>
      <c r="F40" t="s">
        <v>302</v>
      </c>
    </row>
    <row r="41" ht="72.5">
      <c r="A41" t="s">
        <v>272</v>
      </c>
      <c r="B41" s="11" t="s">
        <v>284</v>
      </c>
      <c r="E41" t="s">
        <v>303</v>
      </c>
      <c r="F41" t="s">
        <v>304</v>
      </c>
    </row>
    <row r="42" ht="72.5">
      <c r="A42" t="s">
        <v>272</v>
      </c>
      <c r="B42" s="11" t="s">
        <v>284</v>
      </c>
      <c r="E42" t="s">
        <v>305</v>
      </c>
      <c r="F42" t="s">
        <v>306</v>
      </c>
    </row>
    <row r="43" ht="72.5">
      <c r="A43" t="s">
        <v>272</v>
      </c>
      <c r="B43" s="11" t="s">
        <v>307</v>
      </c>
      <c r="E43" t="s">
        <v>308</v>
      </c>
      <c r="F43" t="s">
        <v>309</v>
      </c>
    </row>
    <row r="44" ht="72.5">
      <c r="A44" t="s">
        <v>272</v>
      </c>
      <c r="B44" s="11" t="s">
        <v>307</v>
      </c>
      <c r="E44" t="s">
        <v>310</v>
      </c>
      <c r="F44" t="s">
        <v>311</v>
      </c>
    </row>
    <row r="45" ht="72.5">
      <c r="A45" t="s">
        <v>272</v>
      </c>
      <c r="B45" s="11" t="s">
        <v>307</v>
      </c>
      <c r="E45" t="s">
        <v>312</v>
      </c>
      <c r="F45" t="s">
        <v>313</v>
      </c>
    </row>
    <row r="46" ht="232">
      <c r="A46" t="s">
        <v>272</v>
      </c>
      <c r="B46" s="11" t="s">
        <v>314</v>
      </c>
      <c r="C46" s="11" t="s">
        <v>315</v>
      </c>
      <c r="E46" t="s">
        <v>316</v>
      </c>
      <c r="F46" t="s">
        <v>317</v>
      </c>
    </row>
    <row r="47" ht="232">
      <c r="A47" t="s">
        <v>272</v>
      </c>
      <c r="B47" s="11" t="s">
        <v>314</v>
      </c>
      <c r="C47" t="s">
        <v>318</v>
      </c>
      <c r="E47" t="s">
        <v>319</v>
      </c>
      <c r="F47" t="s">
        <v>320</v>
      </c>
    </row>
    <row r="48" ht="232">
      <c r="A48" t="s">
        <v>272</v>
      </c>
      <c r="B48" s="11" t="s">
        <v>314</v>
      </c>
      <c r="C48" t="s">
        <v>318</v>
      </c>
      <c r="E48" t="s">
        <v>321</v>
      </c>
      <c r="F48" t="s">
        <v>322</v>
      </c>
    </row>
    <row r="49" ht="232">
      <c r="A49" t="s">
        <v>272</v>
      </c>
      <c r="B49" s="11" t="s">
        <v>314</v>
      </c>
      <c r="C49" t="s">
        <v>318</v>
      </c>
      <c r="E49" t="s">
        <v>323</v>
      </c>
      <c r="F49" t="s">
        <v>324</v>
      </c>
    </row>
    <row r="50" ht="232">
      <c r="A50" t="s">
        <v>272</v>
      </c>
      <c r="B50" s="11" t="s">
        <v>314</v>
      </c>
      <c r="C50" t="s">
        <v>318</v>
      </c>
      <c r="E50" t="s">
        <v>325</v>
      </c>
      <c r="F50" t="s">
        <v>326</v>
      </c>
    </row>
    <row r="51" ht="232">
      <c r="A51" t="s">
        <v>272</v>
      </c>
      <c r="B51" s="11" t="s">
        <v>314</v>
      </c>
      <c r="C51" t="s">
        <v>318</v>
      </c>
      <c r="E51" t="s">
        <v>327</v>
      </c>
      <c r="F51" t="s">
        <v>328</v>
      </c>
    </row>
    <row r="52" ht="232">
      <c r="A52" t="s">
        <v>272</v>
      </c>
      <c r="B52" s="11" t="s">
        <v>314</v>
      </c>
      <c r="C52" t="s">
        <v>318</v>
      </c>
      <c r="E52" t="s">
        <v>329</v>
      </c>
      <c r="F52" t="s">
        <v>330</v>
      </c>
    </row>
    <row r="53" ht="232">
      <c r="A53" t="s">
        <v>272</v>
      </c>
      <c r="B53" s="11" t="s">
        <v>314</v>
      </c>
      <c r="C53" t="s">
        <v>318</v>
      </c>
      <c r="E53" t="s">
        <v>331</v>
      </c>
      <c r="F53" t="s">
        <v>332</v>
      </c>
    </row>
    <row r="54" ht="232">
      <c r="A54" t="s">
        <v>272</v>
      </c>
      <c r="B54" s="11" t="s">
        <v>314</v>
      </c>
      <c r="C54" t="s">
        <v>318</v>
      </c>
      <c r="E54" t="s">
        <v>270</v>
      </c>
      <c r="F54" t="s">
        <v>333</v>
      </c>
    </row>
    <row r="55" ht="232">
      <c r="A55" t="s">
        <v>272</v>
      </c>
      <c r="B55" s="11" t="s">
        <v>314</v>
      </c>
      <c r="C55" t="s">
        <v>318</v>
      </c>
      <c r="E55" t="s">
        <v>334</v>
      </c>
      <c r="F55" t="s">
        <v>335</v>
      </c>
    </row>
    <row r="56" ht="232">
      <c r="A56" t="s">
        <v>272</v>
      </c>
      <c r="B56" s="11" t="s">
        <v>314</v>
      </c>
      <c r="C56" t="s">
        <v>318</v>
      </c>
      <c r="E56" t="s">
        <v>336</v>
      </c>
      <c r="F56" t="s">
        <v>337</v>
      </c>
    </row>
    <row r="57" ht="232">
      <c r="A57" t="s">
        <v>272</v>
      </c>
      <c r="B57" s="11" t="s">
        <v>314</v>
      </c>
      <c r="C57" t="s">
        <v>318</v>
      </c>
      <c r="E57" t="s">
        <v>338</v>
      </c>
      <c r="F57" t="s">
        <v>339</v>
      </c>
    </row>
    <row r="58" ht="232">
      <c r="A58" t="s">
        <v>272</v>
      </c>
      <c r="B58" s="11" t="s">
        <v>314</v>
      </c>
      <c r="C58" t="s">
        <v>318</v>
      </c>
      <c r="E58" t="s">
        <v>340</v>
      </c>
      <c r="F58" t="s">
        <v>341</v>
      </c>
    </row>
    <row r="59" ht="232">
      <c r="A59" t="s">
        <v>272</v>
      </c>
      <c r="B59" s="11" t="s">
        <v>314</v>
      </c>
      <c r="C59" t="s">
        <v>318</v>
      </c>
      <c r="E59" t="s">
        <v>342</v>
      </c>
      <c r="F59" t="s">
        <v>343</v>
      </c>
    </row>
    <row r="60" ht="232">
      <c r="A60" t="s">
        <v>272</v>
      </c>
      <c r="B60" s="11" t="s">
        <v>314</v>
      </c>
      <c r="C60" t="s">
        <v>318</v>
      </c>
      <c r="E60" t="s">
        <v>344</v>
      </c>
      <c r="F60" t="s">
        <v>345</v>
      </c>
    </row>
    <row r="61" ht="232">
      <c r="A61" t="s">
        <v>272</v>
      </c>
      <c r="B61" s="11" t="s">
        <v>314</v>
      </c>
      <c r="C61" s="11" t="s">
        <v>346</v>
      </c>
      <c r="E61" t="s">
        <v>347</v>
      </c>
      <c r="F61" t="s">
        <v>348</v>
      </c>
    </row>
    <row r="62" ht="232">
      <c r="A62" t="s">
        <v>272</v>
      </c>
      <c r="B62" s="11" t="s">
        <v>314</v>
      </c>
      <c r="C62" s="11" t="s">
        <v>346</v>
      </c>
      <c r="E62" t="s">
        <v>349</v>
      </c>
      <c r="F62" t="s">
        <v>350</v>
      </c>
    </row>
    <row r="63" ht="232">
      <c r="A63" t="s">
        <v>272</v>
      </c>
      <c r="B63" s="11" t="s">
        <v>314</v>
      </c>
      <c r="C63" s="11" t="s">
        <v>346</v>
      </c>
      <c r="E63" t="s">
        <v>351</v>
      </c>
      <c r="F63" t="s">
        <v>352</v>
      </c>
    </row>
    <row r="64" ht="232">
      <c r="A64" t="s">
        <v>272</v>
      </c>
      <c r="B64" s="11" t="s">
        <v>314</v>
      </c>
      <c r="C64" s="11" t="s">
        <v>346</v>
      </c>
      <c r="E64" t="s">
        <v>353</v>
      </c>
      <c r="F64" t="s">
        <v>354</v>
      </c>
    </row>
    <row r="65" ht="232">
      <c r="A65" t="s">
        <v>272</v>
      </c>
      <c r="B65" s="11" t="s">
        <v>314</v>
      </c>
      <c r="C65" s="11" t="s">
        <v>346</v>
      </c>
      <c r="E65" t="s">
        <v>355</v>
      </c>
      <c r="F65" t="s">
        <v>356</v>
      </c>
    </row>
    <row r="66" ht="232">
      <c r="A66" t="s">
        <v>272</v>
      </c>
      <c r="B66" s="11" t="s">
        <v>314</v>
      </c>
      <c r="C66" s="11" t="s">
        <v>346</v>
      </c>
      <c r="E66" t="s">
        <v>357</v>
      </c>
      <c r="F66" t="s">
        <v>358</v>
      </c>
    </row>
    <row r="67" ht="232">
      <c r="A67" t="s">
        <v>272</v>
      </c>
      <c r="B67" s="11" t="s">
        <v>314</v>
      </c>
      <c r="C67" s="11" t="s">
        <v>346</v>
      </c>
      <c r="E67" t="s">
        <v>359</v>
      </c>
      <c r="F67" t="s">
        <v>360</v>
      </c>
    </row>
    <row r="68" ht="232">
      <c r="A68" t="s">
        <v>272</v>
      </c>
      <c r="B68" s="11" t="s">
        <v>314</v>
      </c>
      <c r="C68" s="11" t="s">
        <v>346</v>
      </c>
      <c r="E68" t="s">
        <v>361</v>
      </c>
      <c r="F68" t="s">
        <v>362</v>
      </c>
    </row>
    <row r="69" ht="232">
      <c r="A69" t="s">
        <v>272</v>
      </c>
      <c r="B69" s="11" t="s">
        <v>314</v>
      </c>
      <c r="C69" s="11" t="s">
        <v>346</v>
      </c>
      <c r="E69" t="s">
        <v>363</v>
      </c>
      <c r="F69" t="s">
        <v>364</v>
      </c>
    </row>
    <row r="70" ht="232">
      <c r="A70" t="s">
        <v>272</v>
      </c>
      <c r="B70" s="11" t="s">
        <v>314</v>
      </c>
      <c r="C70" s="11" t="s">
        <v>346</v>
      </c>
      <c r="E70" t="s">
        <v>365</v>
      </c>
      <c r="F70" t="s">
        <v>366</v>
      </c>
    </row>
    <row r="71" ht="232">
      <c r="A71" t="s">
        <v>272</v>
      </c>
      <c r="B71" s="11" t="s">
        <v>314</v>
      </c>
      <c r="C71" s="11" t="s">
        <v>346</v>
      </c>
      <c r="E71" t="s">
        <v>367</v>
      </c>
      <c r="F71" t="s">
        <v>368</v>
      </c>
    </row>
    <row r="72" ht="232">
      <c r="A72" t="s">
        <v>272</v>
      </c>
      <c r="B72" s="11" t="s">
        <v>314</v>
      </c>
      <c r="C72" s="11" t="s">
        <v>346</v>
      </c>
      <c r="E72" t="s">
        <v>369</v>
      </c>
      <c r="F72" t="s">
        <v>370</v>
      </c>
    </row>
    <row r="73" ht="232">
      <c r="A73" t="s">
        <v>272</v>
      </c>
      <c r="B73" s="11" t="s">
        <v>314</v>
      </c>
      <c r="C73" s="11" t="s">
        <v>346</v>
      </c>
      <c r="E73" t="s">
        <v>371</v>
      </c>
      <c r="F73" t="s">
        <v>372</v>
      </c>
    </row>
    <row r="74" ht="232">
      <c r="A74" t="s">
        <v>272</v>
      </c>
      <c r="B74" s="11" t="s">
        <v>314</v>
      </c>
      <c r="C74" s="11" t="s">
        <v>346</v>
      </c>
      <c r="E74" t="s">
        <v>373</v>
      </c>
      <c r="F74" t="s">
        <v>374</v>
      </c>
    </row>
    <row r="75" ht="232">
      <c r="A75" t="s">
        <v>272</v>
      </c>
      <c r="B75" s="11" t="s">
        <v>314</v>
      </c>
      <c r="C75" s="11" t="s">
        <v>346</v>
      </c>
      <c r="E75" t="s">
        <v>375</v>
      </c>
      <c r="F75" t="s">
        <v>376</v>
      </c>
    </row>
    <row r="76" ht="232">
      <c r="A76" t="s">
        <v>272</v>
      </c>
      <c r="B76" s="11" t="s">
        <v>314</v>
      </c>
      <c r="C76" s="11" t="s">
        <v>346</v>
      </c>
      <c r="E76" t="s">
        <v>377</v>
      </c>
      <c r="F76" t="s">
        <v>378</v>
      </c>
    </row>
    <row r="77" ht="232">
      <c r="A77" t="s">
        <v>272</v>
      </c>
      <c r="B77" s="11" t="s">
        <v>314</v>
      </c>
      <c r="C77" s="11" t="s">
        <v>346</v>
      </c>
      <c r="E77" t="s">
        <v>379</v>
      </c>
      <c r="F77" t="s">
        <v>380</v>
      </c>
    </row>
    <row r="78" ht="232">
      <c r="A78" t="s">
        <v>272</v>
      </c>
      <c r="B78" s="11" t="s">
        <v>314</v>
      </c>
      <c r="C78" s="11" t="s">
        <v>381</v>
      </c>
      <c r="E78" t="s">
        <v>382</v>
      </c>
      <c r="F78" s="25" t="s">
        <v>383</v>
      </c>
    </row>
    <row r="79" ht="232">
      <c r="A79" t="s">
        <v>272</v>
      </c>
      <c r="B79" s="11" t="s">
        <v>314</v>
      </c>
      <c r="C79" s="11" t="s">
        <v>381</v>
      </c>
      <c r="E79" t="s">
        <v>384</v>
      </c>
      <c r="F79" t="s">
        <v>385</v>
      </c>
    </row>
    <row r="80" ht="232">
      <c r="A80" t="s">
        <v>272</v>
      </c>
      <c r="B80" s="11" t="s">
        <v>314</v>
      </c>
      <c r="C80" s="11" t="s">
        <v>386</v>
      </c>
      <c r="E80" t="s">
        <v>387</v>
      </c>
      <c r="F80" t="s">
        <v>388</v>
      </c>
    </row>
    <row r="81" ht="174">
      <c r="A81" t="s">
        <v>272</v>
      </c>
      <c r="B81" t="s">
        <v>389</v>
      </c>
      <c r="C81" s="11" t="s">
        <v>390</v>
      </c>
      <c r="E81" t="s">
        <v>391</v>
      </c>
      <c r="F81" t="s">
        <v>392</v>
      </c>
    </row>
    <row r="82">
      <c r="A82" t="s">
        <v>272</v>
      </c>
      <c r="B82" t="s">
        <v>389</v>
      </c>
      <c r="C82" t="s">
        <v>393</v>
      </c>
      <c r="E82" t="s">
        <v>394</v>
      </c>
      <c r="F82" t="s">
        <v>395</v>
      </c>
    </row>
    <row r="83" ht="116">
      <c r="A83" t="s">
        <v>272</v>
      </c>
      <c r="B83" s="11" t="s">
        <v>396</v>
      </c>
      <c r="E83" t="s">
        <v>397</v>
      </c>
      <c r="F83" t="s">
        <v>398</v>
      </c>
    </row>
    <row r="84" ht="116">
      <c r="A84" t="s">
        <v>272</v>
      </c>
      <c r="B84" s="11" t="s">
        <v>396</v>
      </c>
      <c r="E84" t="s">
        <v>399</v>
      </c>
      <c r="F84" t="s">
        <v>400</v>
      </c>
    </row>
    <row r="85" ht="58">
      <c r="A85" t="s">
        <v>401</v>
      </c>
      <c r="B85" s="11" t="s">
        <v>273</v>
      </c>
      <c r="E85" t="s">
        <v>274</v>
      </c>
      <c r="F85" t="s">
        <v>402</v>
      </c>
    </row>
    <row r="86" ht="101.5">
      <c r="A86" t="s">
        <v>401</v>
      </c>
      <c r="B86" s="11" t="s">
        <v>403</v>
      </c>
      <c r="C86" s="11" t="s">
        <v>404</v>
      </c>
      <c r="E86" t="s">
        <v>357</v>
      </c>
      <c r="F86" t="s">
        <v>405</v>
      </c>
    </row>
    <row r="87">
      <c r="A87" t="s">
        <v>406</v>
      </c>
      <c r="B87" t="s">
        <v>407</v>
      </c>
    </row>
  </sheetData>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Template/>
  <Application>ONLYOFFICE/10.0.0.169</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dc:language>en-US</dc:language>
  <cp:revision>25</cp:revision>
  <dcterms:created xsi:type="dcterms:W3CDTF">2026-10-20T02:06:18Z</dcterms:created>
  <dcterms:modified xsi:type="dcterms:W3CDTF">2026-10-29T09:15:18Z</dcterms:modified>
</cp:coreProperties>
</file>