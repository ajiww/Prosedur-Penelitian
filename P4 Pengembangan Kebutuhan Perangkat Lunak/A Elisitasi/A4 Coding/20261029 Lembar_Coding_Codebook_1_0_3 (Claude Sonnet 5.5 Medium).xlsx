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1" showHorizontalScroll="1" showVerticalScroll="1"/>
  </bookViews>
  <sheets>
    <sheet name="Petunjuk" sheetId="1" state="visible" r:id="rId1"/>
    <sheet name="Lembar Coding" sheetId="2" state="visible" r:id="rId2"/>
    <sheet name="Daftar Kode" sheetId="3" state="visible" r:id="rId3"/>
    <sheet name="Korpus" sheetId="4" state="hidden" r:id="rId4"/>
  </sheets>
  <definedNames>
    <definedName name="_xlnm._FilterDatabase" localSheetId="1" hidden="1">'Lembar Coding'!$A$1:$S$86</definedName>
    <definedName name="_xlnm._FilterDatabase" localSheetId="1" hidden="1">'Lembar Coding'!$A$1:$S$86</definedName>
  </definedNames>
  <calcPr fullCalcOnLoad="1"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<sst xmlns="http://schemas.openxmlformats.org/spreadsheetml/2006/main" count="474" uniqueCount="474">
  <si>
    <t xml:space="preserve">Lembar Coding: Analisis Isi Krippendorff</t>
  </si>
  <si>
    <t xml:space="preserve">Codebook versi 1.0.3 (25 Oktober 2026). Panduan Coder untuk Penyusunan SRS Web Scraping yang Mengintegrasikan Aspek Legalitas dan Etika Privasi Data.</t>
  </si>
  <si>
    <t xml:space="preserve">Kode coder (isi satu kali):</t>
  </si>
  <si>
    <t xml:space="preserve">Ubah Coder ini di Sheet “Petunjuk”</t>
  </si>
  <si>
    <t xml:space="preserve">V2 pada Lembar Coding terisi otomatis dari sel ini.</t>
  </si>
  <si>
    <t xml:space="preserve">Prosedur singkat (Bagian 5 codebook)</t>
  </si>
  <si>
    <t>1</t>
  </si>
  <si>
    <t xml:space="preserve">Baca kolom Isi secara utuh, lalu kolom Rujukan. Buka BAB dan Bagian (kolom R dan S, tersembunyi) hanya bila perlu memahami rujukan antarunit.</t>
  </si>
  <si>
    <t>2</t>
  </si>
  <si>
    <t xml:space="preserve">Tentukan V4 Subjek Norma terlebih dahulu dengan memeriksa berurutan S1 sampai S9 (Bagian 7.1), lalu V5 Relevansi dengan Uji Implikasi (Bagian 6 dan 7.2).</t>
  </si>
  <si>
    <t>3</t>
  </si>
  <si>
    <t xml:space="preserve">Tentukan V6 Tema Utama dengan pohon keputusan (Bagian 7.3), lalu V7 (Bagian 7.4), V8 (Bagian 7.5), dan V9 (Bagian 7.6).</t>
  </si>
  <si>
    <t>4</t>
  </si>
  <si>
    <t xml:space="preserve">Untuk unit R2, tulis V11 Draf Kebutuhan satu kalimat (opsional). Catat keraguan di V12. Kode residual T99 hanya bila tidak ada tema yang cocok.</t>
  </si>
  <si>
    <t>5</t>
  </si>
  <si>
    <t xml:space="preserve">Periksa kolom Cek Konsistensi (Q) setiap selesai satu baris (Bagian 9). Bila tidak OK, ulangi coding atau jelaskan di V12.</t>
  </si>
  <si>
    <t>6</t>
  </si>
  <si>
    <t xml:space="preserve">Kodekan setiap unit secara independen. Jangan berdiskusi dengan coder lain sebelum seluruh unit selesai.</t>
  </si>
  <si>
    <t>Legenda</t>
  </si>
  <si>
    <t xml:space="preserve">Sel kuning</t>
  </si>
  <si>
    <t xml:space="preserve">Sel yang diisi coder (V4 sampai V12). Sel V4 sampai V10 memakai daftar pilihan (Kode - Label).</t>
  </si>
  <si>
    <t xml:space="preserve">Sel putih</t>
  </si>
  <si>
    <t xml:space="preserve">Terisi otomatis dari sheet Korpus atau formula. Jangan diubah.</t>
  </si>
  <si>
    <t xml:space="preserve">Kolom Pilot</t>
  </si>
  <si>
    <t xml:space="preserve">Unit bertanda Ya dipakai pada uji coba (pilot): baris 13, 21, 25, 30, 35, 42, 44, 52, 54, 56, 70, 79, 81.</t>
  </si>
  <si>
    <t xml:space="preserve">Variabel dan nilai sah (Bagian 4)</t>
  </si>
  <si>
    <t xml:space="preserve">V1 ID_Unit</t>
  </si>
  <si>
    <t xml:space="preserve">Nomor baris Excel (2 sampai 86), terisi otomatis</t>
  </si>
  <si>
    <t xml:space="preserve">V2 Kode_Coder</t>
  </si>
  <si>
    <t xml:space="preserve">Dari sel C4</t>
  </si>
  <si>
    <t xml:space="preserve">V3 Dokumen</t>
  </si>
  <si>
    <t xml:space="preserve">Salinan kolom Dokumen, terisi otomatis</t>
  </si>
  <si>
    <t xml:space="preserve">V4 Subjek_Norma</t>
  </si>
  <si>
    <t xml:space="preserve">S1 sampai S9</t>
  </si>
  <si>
    <t xml:space="preserve">V5 Relevansi</t>
  </si>
  <si>
    <t xml:space="preserve">R0, R1, R2</t>
  </si>
  <si>
    <t xml:space="preserve">V6 Tema_Utama</t>
  </si>
  <si>
    <t xml:space="preserve">T01 sampai T16, T99</t>
  </si>
  <si>
    <t xml:space="preserve">V7 Jenis_Pernyataan</t>
  </si>
  <si>
    <t xml:space="preserve">P1 sampai P8</t>
  </si>
  <si>
    <t xml:space="preserve">V8 Tahap_Scraping</t>
  </si>
  <si>
    <t xml:space="preserve">F1 sampai F8</t>
  </si>
  <si>
    <t xml:space="preserve">V9 Kebutuhan_SRS</t>
  </si>
  <si>
    <t xml:space="preserve">K1 sampai K5 (K1 keamanan, K2 mutu data dan akuntabilitas, K3 fungsional, K4 batasan hukum, K5 tidak menghasilkan kebutuhan)</t>
  </si>
  <si>
    <t xml:space="preserve">V10 Tema_Sekunder</t>
  </si>
  <si>
    <t xml:space="preserve">T01 sampai T16 (opsional)</t>
  </si>
  <si>
    <t xml:space="preserve">V11 Draf_Kebutuhan</t>
  </si>
  <si>
    <t xml:space="preserve">Teks bebas, satu kalimat "Sistem harus/tidak boleh..." (opsional, untuk R2)</t>
  </si>
  <si>
    <t xml:space="preserve">V12 Catatan</t>
  </si>
  <si>
    <t xml:space="preserve">Teks bebas</t>
  </si>
  <si>
    <t xml:space="preserve">Contoh pengisian satu baris (Bagian 3 dan 10)</t>
  </si>
  <si>
    <t xml:space="preserve">Isi (ringkas)</t>
  </si>
  <si>
    <t xml:space="preserve">Baris 67, Pasal 40 UU 27/2022: wajib menghentikan pemrosesan setelah persetujuan ditarik, paling lambat 3 x 24 jam.</t>
  </si>
  <si>
    <t>Kode</t>
  </si>
  <si>
    <t xml:space="preserve">V4 S2 | V5 R2 | V6 T08 | V7 P2 | V8 F6 | V9 K3. Alasan: kewajiban dengan batas waktu yang dapat diuji.</t>
  </si>
  <si>
    <t xml:space="preserve">Rujukan (Pasal atau Paragraf dan Kalimat)</t>
  </si>
  <si>
    <t>Isi</t>
  </si>
  <si>
    <t>Pilot</t>
  </si>
  <si>
    <t xml:space="preserve">Kelengkapan V4 sampai V9</t>
  </si>
  <si>
    <t xml:space="preserve">Cek Konsistensi (Bagian 9)</t>
  </si>
  <si>
    <t>BAB</t>
  </si>
  <si>
    <t>Bagian</t>
  </si>
  <si>
    <t xml:space="preserve">S9 - Tidak ada subjek perorangan atau organisasi eksplisit</t>
  </si>
  <si>
    <t xml:space="preserve">R1 - Relevan tidak langsung</t>
  </si>
  <si>
    <t xml:space="preserve">T02 - Latar Normatif dan Rujukan Non-operasional</t>
  </si>
  <si>
    <t xml:space="preserve">P8 - Deskriptif, argumentatif, dan rujukan</t>
  </si>
  <si>
    <t xml:space="preserve">F8 - Lintas tahap atau tidak spesifik</t>
  </si>
  <si>
    <t xml:space="preserve">K5 - Tidak menghasilkan kebutuhan. Apakah teks benar-benar tidak dapat diterjemahkan menjadi kalimat "Sistem harus/tidak boleh …"?</t>
  </si>
  <si>
    <t>CC</t>
  </si>
  <si>
    <t xml:space="preserve">S4 - Subjek Data Pribadi</t>
  </si>
  <si>
    <t xml:space="preserve">Kalimat lanjutan baris 8 (Selain itu); individu sebagai pemegang hak (S4), tetapi isinya uraian konsep sehingga R1, T02, P8.</t>
  </si>
  <si>
    <t xml:space="preserve">R0 - Tidak relevan</t>
  </si>
  <si>
    <t xml:space="preserve">Fragmen kalimat tanpa makna utuh (Bagian 8): R0, T02, P8.</t>
  </si>
  <si>
    <t xml:space="preserve">S5 - Setiap Orang atau pihak umum</t>
  </si>
  <si>
    <t xml:space="preserve">T07 - Hak Subjek Data Pribadi</t>
  </si>
  <si>
    <t xml:space="preserve">P3 - Hak</t>
  </si>
  <si>
    <t xml:space="preserve">F7 - Tata kelola dan hak subjek</t>
  </si>
  <si>
    <t xml:space="preserve">Kutipan norma konstitusional dikodekan menurut isi norma (hak). Hak umum tidak langsung dapat ditulis sebagai kalimat sistem (R1, kriteria e). Teks kutipan tampak rancu; tidak dikoreksi.</t>
  </si>
  <si>
    <t>Ya</t>
  </si>
  <si>
    <t xml:space="preserve">T11 - Keamanan, Kerahasiaan, dan Penanganan Insiden</t>
  </si>
  <si>
    <t xml:space="preserve">P2 - Kewajiban</t>
  </si>
  <si>
    <t xml:space="preserve">K1 - Non-fungsional: keamanan dan kerahasiaan. Apakah inti teks melindungi data dari akses atau gangguan tidak sah?</t>
  </si>
  <si>
    <t xml:space="preserve">Subjek tidak tertulis (S9, tidak menebak). Kutipan norma bersifat sektor keuangan (data transaksi dan data keuangan), sehingga R1 (Bagian 8). Kalimat tampak kehilangan kata (subjek/'wajib').</t>
  </si>
  <si>
    <t xml:space="preserve">S8 - Penyelenggara sektor atau pihak lain</t>
  </si>
  <si>
    <t xml:space="preserve">S7 - Otoritas Penetap atau Pengawas Kebijakan</t>
  </si>
  <si>
    <t xml:space="preserve">T06 - Data Pribadi Anak dan Kelompok Rentan</t>
  </si>
  <si>
    <t xml:space="preserve">Pertanyaan A Ya, B tidak terpenuhi: R1 kriteria (e) (Bagian 9.2). T06 sesuai Bagian 9.2.</t>
  </si>
  <si>
    <t xml:space="preserve">T01 - Definisi, Istilah, dan Ruang Lingkup</t>
  </si>
  <si>
    <t xml:space="preserve">P6 - Definisi, klasifikasi, atau ruang lingkup</t>
  </si>
  <si>
    <t xml:space="preserve">K4 - Batasan atau aturan bisnis hukum. Apakah teks membatasi apa yang boleh dilakukan sistem, atau apa dan siapa yang tercakup?</t>
  </si>
  <si>
    <t xml:space="preserve">T04 - Pengecualian dan Pembatasan</t>
  </si>
  <si>
    <t xml:space="preserve">T15 - Asas dan Prinsip Pemrosesan</t>
  </si>
  <si>
    <t xml:space="preserve">P7 - Asas, prinsip, atau tujuan umum</t>
  </si>
  <si>
    <t xml:space="preserve">T05 - Jenis dan Klasifikasi Data Pribadi</t>
  </si>
  <si>
    <t xml:space="preserve">R2 - Relevan langsung</t>
  </si>
  <si>
    <t xml:space="preserve">K3 - Fungsional. Dapatkah ditulis "Sistem harus [melakukan X]" dengan hasil hanya lulus atau gagal?</t>
  </si>
  <si>
    <t xml:space="preserve">Sistem harus menyampaikan kepada Subjek Data Pribadi informasi tentang kejelasan identitas, dasar kepentingan hukum, tujuan permintaan dan penggunaan data pribadi, serta akuntabilitas pihak yang meminta data.</t>
  </si>
  <si>
    <t xml:space="preserve">Sistem harus menyediakan fitur bagi Subjek Data Pribadi untuk melengkapi, memperbarui, dan memperbaiki data pribadinya sesuai tujuan pemrosesan.</t>
  </si>
  <si>
    <t xml:space="preserve">Sistem harus menyediakan akses dan salinan data pribadi kepada Subjek Data Pribadi yang memintanya.</t>
  </si>
  <si>
    <t xml:space="preserve">Sistem harus menyediakan fitur bagi Subjek Data Pribadi untuk mengakhiri pemrosesan serta menghapus atau memusnahkan data pribadinya.</t>
  </si>
  <si>
    <t xml:space="preserve">Sistem harus menyediakan fitur bagi Subjek Data Pribadi untuk menarik kembali persetujuan pemrosesan data pribadinya.</t>
  </si>
  <si>
    <t xml:space="preserve">Sistem harus menyediakan mekanisme pengajuan keberatan atas keputusan yang hanya didasarkan pada pemrosesan otomatis, termasuk pemrofilan.</t>
  </si>
  <si>
    <t xml:space="preserve">Sistem harus menyediakan fitur bagi Subjek Data Pribadi untuk menunda atau membatasi pemrosesan data pribadinya secara proporsional.</t>
  </si>
  <si>
    <t xml:space="preserve">Hak menggugat dan menerima ganti rugi bukan fungsi sistem sehingga tidak dapat ditulis 'Sistem harus ...': R1 kriteria (e).</t>
  </si>
  <si>
    <t xml:space="preserve">Sistem harus menyediakan data pribadi Subjek Data Pribadi dalam format yang lazim dan dapat dibaca sistem elektronik serta memungkinkan pengirimannya ke Pengendali Data Pribadi lain.</t>
  </si>
  <si>
    <t xml:space="preserve">Sistem harus menerima dan mencatat permohonan pelaksanaan hak Subjek Data Pribadi yang disampaikan secara elektronik atau nonelektronik.</t>
  </si>
  <si>
    <t xml:space="preserve">P4 - Pengecualian atau pembatasan</t>
  </si>
  <si>
    <t xml:space="preserve">Sistem harus mengecualikan hak-hak Subjek Data Pribadi tertentu bila pemrosesan untuk kepentingan pertahanan dan keamanan nasional, penegakan hukum, kepentingan umum, pengawasan sektor keuangan, atau statistik dan penelitian ilmiah.</t>
  </si>
  <si>
    <t xml:space="preserve">T16 - Aktivitas Pemrosesan dan Pengumpulan</t>
  </si>
  <si>
    <t xml:space="preserve">Ayat (1) T16/P6 dan ayat (2) T15/P7 seri; dipilih ayat (1) (Bagian 8), tema kedua di V10.</t>
  </si>
  <si>
    <t xml:space="preserve">F2 - Pengumpulan atau akuisisi</t>
  </si>
  <si>
    <t xml:space="preserve">Sistem harus menampilkan informasi pada area yang dipasangi alat pemroses atau pengolah data visual di tempat umum atau fasilitas pelayanan publik.</t>
  </si>
  <si>
    <t xml:space="preserve">Teks terpotong pada ayat (1) huruf c ('tidak digunakan untuk seseorang'); dikodekan menurut makna paling mungkin. Ayat (1) dominan; ayat (2) pengecualian (V10).</t>
  </si>
  <si>
    <t xml:space="preserve">S2 - Pengendali Data Pribadi</t>
  </si>
  <si>
    <t xml:space="preserve">F1 - Perencanaan dan dasar pemrosesan</t>
  </si>
  <si>
    <t xml:space="preserve">Sistem harus memastikan pemrosesan bersama oleh dua Pengendali Data Pribadi atau lebih didasarkan pada perjanjian yang memuat peran, tanggung jawab, dan hubungan, tujuan dan cara yang ditentukan bersama, serta narahubung bersama.</t>
  </si>
  <si>
    <t xml:space="preserve">S1 - Pengendali dan Prosesor</t>
  </si>
  <si>
    <t xml:space="preserve">T09 - Dasar Pemrosesan dan Persetujuan</t>
  </si>
  <si>
    <t xml:space="preserve">Sistem harus menetapkan dasar pemrosesan data pribadi yang sah sebelum memproses data pribadi.</t>
  </si>
  <si>
    <t xml:space="preserve">Sistem harus menyampaikan kepada Subjek Data Pribadi informasi tentang legalitas, tujuan, jenis dan relevansi data, jangka waktu retensi dan pemrosesan, rincian data yang dikumpulkan, serta hak Subjek Data Pribadi sebelum memproses data berdasarkan persetujuan.</t>
  </si>
  <si>
    <t xml:space="preserve">Sistem harus mencatat bentuk persetujuan (tertulis atau terekam, elektronik atau nonelektronik) atas pemrosesan data pribadi.</t>
  </si>
  <si>
    <t xml:space="preserve">Sistem tidak boleh memproses data pribadi berdasarkan klausul perjanjian yang tidak memuat persetujuan yang sah secara eksplisit dari Subjek Data Pribadi.</t>
  </si>
  <si>
    <t xml:space="preserve">P4 dipilih: 'batal demi hukum' berfungsi membatasi (setara 'tidak berlaku').</t>
  </si>
  <si>
    <t xml:space="preserve">Sistem harus dapat menunjukkan bukti persetujuan yang diberikan Subjek Data Pribadi.</t>
  </si>
  <si>
    <t xml:space="preserve">Sistem harus meminta persetujuan orang tua dan/atau wali anak sebelum memproses data pribadi anak.</t>
  </si>
  <si>
    <t xml:space="preserve">Ayat (1) kehilangan kata (kalimat tidak lengkap); dikodekan dari ayat (2) yang dominan.</t>
  </si>
  <si>
    <t xml:space="preserve">Sistem harus meminta persetujuan penyandang disabilitas dan/atau walinya sebelum memproses data pribadi penyandang disabilitas.</t>
  </si>
  <si>
    <t xml:space="preserve">Sistem harus memproses data pribadi secara terbatas dan spesifik, sah secara hukum, dan transparan.</t>
  </si>
  <si>
    <t xml:space="preserve">Mirip baris 55 (T15 dan K4); unsur 'transparan' tidak dijadikan K2 karena inti teks adalah batasan prinsip pemrosesan.</t>
  </si>
  <si>
    <t xml:space="preserve">Sistem harus memproses data pribadi sesuai dengan tujuan pemrosesan.</t>
  </si>
  <si>
    <t xml:space="preserve">T12 - Kualitas, Akurasi, dan Pembaruan Data</t>
  </si>
  <si>
    <t xml:space="preserve">F3 - Pengolahan dan analisis</t>
  </si>
  <si>
    <t xml:space="preserve">K2 - Non-fungsional: mutu data, kepatuhan, dan akuntabilitas. Apakah ini mutu atau bukti yang berlaku untuk seluruh sistem, bukan hanya satu operasi?</t>
  </si>
  <si>
    <t xml:space="preserve">Sistem harus memastikan akurasi, kelengkapan, dan konsistensi data pribadi serta melakukan verifikasi.</t>
  </si>
  <si>
    <t xml:space="preserve">Sistem harus memperbarui atau memperbaiki data pribadi paling lambat 3 x 24 jam sejak permintaan diterima dan memberitahukan hasilnya kepada Subjek Data Pribadi.</t>
  </si>
  <si>
    <t xml:space="preserve">T13 - Akuntabilitas, Pencatatan, dan Tata Kelola Kepatuhan</t>
  </si>
  <si>
    <t xml:space="preserve">Sistem harus merekam seluruh kegiatan pemrosesan data pribadi.</t>
  </si>
  <si>
    <t xml:space="preserve">Sistem harus memberikan akses kepada Subjek Data Pribadi atas data pribadi yang diproses beserta rekam jejak pemrosesannya paling lambat 3 x 24 jam sejak permintaan diterima.</t>
  </si>
  <si>
    <t xml:space="preserve">Sistem harus menolak permintaan akses perubahan data pribadi bila membahayakan keamanan atau kesehatan, mengungkapkan data pribadi orang lain, atau bertentangan dengan kepentingan pertahanan dan keamanan nasional.</t>
  </si>
  <si>
    <t xml:space="preserve">Sistem harus melakukan penilaian dampak pelindungan data pribadi bila pemrosesan berpotensi berisiko tinggi terhadap Subjek Data Pribadi.</t>
  </si>
  <si>
    <t xml:space="preserve">F4 - Penyimpanan dan pengamanan</t>
  </si>
  <si>
    <t xml:space="preserve">Sistem harus menerapkan langkah teknis operasional dan menentukan tingkat keamanan untuk melindungi data pribadi dari pemrosesan yang tidak sah.</t>
  </si>
  <si>
    <t xml:space="preserve">Sistem harus menjaga kerahasiaan data pribadi selama pemrosesan.</t>
  </si>
  <si>
    <t xml:space="preserve">Sistem harus mengawasi setiap pihak yang terlibat dalam pemrosesan data pribadi di bawah kendali Pengendali Data Pribadi.</t>
  </si>
  <si>
    <t xml:space="preserve">Sistem harus melindungi data pribadi dari pemrosesan yang tidak sah.</t>
  </si>
  <si>
    <t xml:space="preserve">Sistem harus mencegah akses tidak sah ke data pribadi dengan sistem keamanan yang andal, aman, dan bertanggung jawab.</t>
  </si>
  <si>
    <t xml:space="preserve">T08 - Retensi, Penghentian, Penghapusan, dan Pemusnahan</t>
  </si>
  <si>
    <t xml:space="preserve">F6 - Retensi dan penghapusan</t>
  </si>
  <si>
    <t xml:space="preserve">Sistem harus menghentikan pemrosesan data pribadi paling lambat 3 x 24 jam setelah penarikan persetujuan.</t>
  </si>
  <si>
    <t xml:space="preserve">Sistem harus menunda dan membatasi pemrosesan data pribadi paling lambat 3 x 24 jam sejak permintaan diterima dan memberitahukannya kepada Subjek Data Pribadi.</t>
  </si>
  <si>
    <t xml:space="preserve">Sistem harus mengakhiri pemrosesan data pribadi bila masa retensi tercapai, tujuan pemrosesan tercapai, atau Subjek Data Pribadi memintanya.</t>
  </si>
  <si>
    <t xml:space="preserve">Sistem harus menghapus data pribadi bila tidak lagi diperlukan, persetujuan ditarik, ada permintaan Subjek Data Pribadi, atau data diperoleh atau diproses secara melawan hukum.</t>
  </si>
  <si>
    <t xml:space="preserve">Sistem harus memusnahkan data pribadi bila masa retensi habis, ada permintaan Subjek Data Pribadi, tidak terkait proses hukum, atau data diperoleh atau diproses secara melawan hukum.</t>
  </si>
  <si>
    <t xml:space="preserve">Sistem harus memberitahukan penghapusan atau pemusnahan data pribadi kepada Subjek Data Pribadi.</t>
  </si>
  <si>
    <t xml:space="preserve">Sistem harus memberitahukan kegagalan pelindungan data pribadi secara tertulis kepada Subjek Data Pribadi dan lembaga paling lambat 3 x 24 jam.</t>
  </si>
  <si>
    <t xml:space="preserve">Teks terpotong pada ayat (1) ('wajib pemberitahuan'); dikodekan sebagai kewajiban memberitahukan.</t>
  </si>
  <si>
    <t xml:space="preserve">Sistem harus dapat menunjukkan pertanggungjawaban atas pemrosesan data pribadi dan pemenuhan prinsip pelindungan data pribadi.</t>
  </si>
  <si>
    <t xml:space="preserve">T10 - Transfer dan Pengalihan Data</t>
  </si>
  <si>
    <t xml:space="preserve">F5 - Penyebarluasan dan transfer</t>
  </si>
  <si>
    <t xml:space="preserve">Sistem harus memberitahukan pengalihan data pribadi kepada Subjek Data Pribadi sebelum dan sesudah penggabungan, pemisahan, pengambilalihan, peleburan, atau pembubaran badan hukum.</t>
  </si>
  <si>
    <t xml:space="preserve">Sistem harus melaksanakan perintah lembaga dalam rangka penyelenggaraan pelindungan data pribadi.</t>
  </si>
  <si>
    <t xml:space="preserve">Sistem harus mengecualikan kewajiban Pengendali Data Pribadi tertentu bila untuk kepentingan pertahanan dan keamanan nasional, penegakan hukum, kepentingan umum, atau pengawasan sektor keuangan.</t>
  </si>
  <si>
    <t xml:space="preserve">S3 - Prosesor Data Pribadi</t>
  </si>
  <si>
    <t xml:space="preserve">Sistem harus memproses data pribadi hanya berdasarkan perintah Pengendali Data Pribadi.</t>
  </si>
  <si>
    <t xml:space="preserve">Pasal rujukan silang: menentukan keberlakuan kewajiban Pengendali bagi Prosesor (T01, P6); isi pasal lain tidak ditambahkan dari luar baris, sehingga R1.</t>
  </si>
  <si>
    <t xml:space="preserve">Sistem harus menunjuk pejabat atau petugas pelindungan data pribadi bila pemrosesan untuk pelayanan publik, pemantauan teratur dan sistematis berskala besar, atau pemrosesan data spesifik berskala besar.</t>
  </si>
  <si>
    <t xml:space="preserve">Sistem harus melakukan pelindungan data pribadi pada transfer data pribadi antar-Pengendali di wilayah hukum Indonesia.</t>
  </si>
  <si>
    <t xml:space="preserve">Ayat (1) P5 dan ayat (2) P2 seri; prioritas P2 (Bagian 8), ayat (2) dominan.</t>
  </si>
  <si>
    <t xml:space="preserve">Sistem harus memastikan negara penerima transfer memiliki tingkat pelindungan data pribadi setara atau lebih tinggi, atau pelindungan yang memadai dan mengikat, atau memperoleh persetujuan Subjek Data Pribadi, sebelum transfer ke luar wilayah Indonesia.</t>
  </si>
  <si>
    <t xml:space="preserve">T03 - Larangan dan Perbuatan Melawan Hukum</t>
  </si>
  <si>
    <t xml:space="preserve">P1 - Larangan</t>
  </si>
  <si>
    <t xml:space="preserve">Sistem tidak boleh memperoleh atau mengumpulkan, mengungkapkan, maupun menggunakan data pribadi yang bukan milik sendiri secara melawan hukum.</t>
  </si>
  <si>
    <t xml:space="preserve">Sistem tidak boleh membuat data pribadi palsu atau memalsukan data pribadi.</t>
  </si>
  <si>
    <t xml:space="preserve">Istilah institusional (Bagian 9.2): R1 dan K5.</t>
  </si>
  <si>
    <t xml:space="preserve">S6 - Instansi atau Badan Publik</t>
  </si>
  <si>
    <t xml:space="preserve">T14 - Akses dan Pemanfaatan Data Pemerintah</t>
  </si>
  <si>
    <t xml:space="preserve">P5 - Kebolehan atau kewenangan</t>
  </si>
  <si>
    <t xml:space="preserve">Daftar kode sah (Codebook versi 1.0.3)</t>
  </si>
  <si>
    <t xml:space="preserve">Sumber: Bagian 7 codebook (7.1 sampai 7.6). Kolom Kode (B) dipakai oleh daftar pilihan (validasi data) pada lembar coding; kolom D hanya tampilan gabungan kode dan label.</t>
  </si>
  <si>
    <t>Variabel</t>
  </si>
  <si>
    <t>Label</t>
  </si>
  <si>
    <t>S1</t>
  </si>
  <si>
    <t xml:space="preserve">Pengendali dan Prosesor</t>
  </si>
  <si>
    <t>S2</t>
  </si>
  <si>
    <t xml:space="preserve">Pengendali Data Pribadi</t>
  </si>
  <si>
    <t>S3</t>
  </si>
  <si>
    <t xml:space="preserve">Prosesor Data Pribadi</t>
  </si>
  <si>
    <t>S4</t>
  </si>
  <si>
    <t xml:space="preserve">Subjek Data Pribadi</t>
  </si>
  <si>
    <t>S5</t>
  </si>
  <si>
    <t xml:space="preserve">Setiap Orang atau pihak umum</t>
  </si>
  <si>
    <t>S6</t>
  </si>
  <si>
    <t xml:space="preserve">Instansi atau Badan Publik</t>
  </si>
  <si>
    <t>S7</t>
  </si>
  <si>
    <t xml:space="preserve">Otoritas Penetap atau Pengawas Kebijakan</t>
  </si>
  <si>
    <t>S8</t>
  </si>
  <si>
    <t xml:space="preserve">Penyelenggara sektor atau pihak lain</t>
  </si>
  <si>
    <t>S9</t>
  </si>
  <si>
    <t xml:space="preserve">Tidak ada subjek perorangan atau organisasi eksplisit</t>
  </si>
  <si>
    <t>R0</t>
  </si>
  <si>
    <t xml:space="preserve">Tidak relevan</t>
  </si>
  <si>
    <t>R1</t>
  </si>
  <si>
    <t xml:space="preserve">Relevan tidak langsung</t>
  </si>
  <si>
    <t>R2</t>
  </si>
  <si>
    <t xml:space="preserve">Relevan langsung</t>
  </si>
  <si>
    <t>T01</t>
  </si>
  <si>
    <t xml:space="preserve">Definisi, Istilah, dan Ruang Lingkup</t>
  </si>
  <si>
    <t>T02</t>
  </si>
  <si>
    <t xml:space="preserve">Latar Normatif dan Rujukan Non-operasional</t>
  </si>
  <si>
    <t>T03</t>
  </si>
  <si>
    <t xml:space="preserve">Larangan dan Perbuatan Melawan Hukum</t>
  </si>
  <si>
    <t>T04</t>
  </si>
  <si>
    <t xml:space="preserve">Pengecualian dan Pembatasan</t>
  </si>
  <si>
    <t>T05</t>
  </si>
  <si>
    <t xml:space="preserve">Jenis dan Klasifikasi Data Pribadi</t>
  </si>
  <si>
    <t>T06</t>
  </si>
  <si>
    <t xml:space="preserve">Data Pribadi Anak dan Kelompok Rentan</t>
  </si>
  <si>
    <t>T07</t>
  </si>
  <si>
    <t xml:space="preserve">Hak Subjek Data Pribadi</t>
  </si>
  <si>
    <t>T08</t>
  </si>
  <si>
    <t xml:space="preserve">Retensi, Penghentian, Penghapusan, dan Pemusnahan</t>
  </si>
  <si>
    <t>T09</t>
  </si>
  <si>
    <t xml:space="preserve">Dasar Pemrosesan dan Persetujuan</t>
  </si>
  <si>
    <t>T10</t>
  </si>
  <si>
    <t xml:space="preserve">Transfer dan Pengalihan Data</t>
  </si>
  <si>
    <t>T11</t>
  </si>
  <si>
    <t xml:space="preserve">Keamanan, Kerahasiaan, dan Penanganan Insiden</t>
  </si>
  <si>
    <t>T12</t>
  </si>
  <si>
    <t xml:space="preserve">Kualitas, Akurasi, dan Pembaruan Data</t>
  </si>
  <si>
    <t>T13</t>
  </si>
  <si>
    <t xml:space="preserve">Akuntabilitas, Pencatatan, dan Tata Kelola Kepatuhan</t>
  </si>
  <si>
    <t>T14</t>
  </si>
  <si>
    <t xml:space="preserve">Akses dan Pemanfaatan Data Pemerintah</t>
  </si>
  <si>
    <t>T15</t>
  </si>
  <si>
    <t xml:space="preserve">Asas dan Prinsip Pemrosesan</t>
  </si>
  <si>
    <t>T16</t>
  </si>
  <si>
    <t xml:space="preserve">Aktivitas Pemrosesan dan Pengumpulan</t>
  </si>
  <si>
    <t>T99</t>
  </si>
  <si>
    <t xml:space="preserve">Lainnya (wajib jelaskan di V12)</t>
  </si>
  <si>
    <t>P1</t>
  </si>
  <si>
    <t>Larangan</t>
  </si>
  <si>
    <t>P2</t>
  </si>
  <si>
    <t>Kewajiban</t>
  </si>
  <si>
    <t>P3</t>
  </si>
  <si>
    <t>Hak</t>
  </si>
  <si>
    <t>P4</t>
  </si>
  <si>
    <t xml:space="preserve">Pengecualian atau pembatasan</t>
  </si>
  <si>
    <t>P5</t>
  </si>
  <si>
    <t xml:space="preserve">Kebolehan atau kewenangan</t>
  </si>
  <si>
    <t>P6</t>
  </si>
  <si>
    <t xml:space="preserve">Definisi, klasifikasi, atau ruang lingkup</t>
  </si>
  <si>
    <t>P7</t>
  </si>
  <si>
    <t xml:space="preserve">Asas, prinsip, atau tujuan umum</t>
  </si>
  <si>
    <t>P8</t>
  </si>
  <si>
    <t xml:space="preserve">Deskriptif, argumentatif, dan rujukan</t>
  </si>
  <si>
    <t>F1</t>
  </si>
  <si>
    <t xml:space="preserve">Perencanaan dan dasar pemrosesan</t>
  </si>
  <si>
    <t>F2</t>
  </si>
  <si>
    <t xml:space="preserve">Pengumpulan atau akuisisi</t>
  </si>
  <si>
    <t>F3</t>
  </si>
  <si>
    <t xml:space="preserve">Pengolahan dan analisis</t>
  </si>
  <si>
    <t>F4</t>
  </si>
  <si>
    <t xml:space="preserve">Penyimpanan dan pengamanan</t>
  </si>
  <si>
    <t>F5</t>
  </si>
  <si>
    <t xml:space="preserve">Penyebarluasan dan transfer</t>
  </si>
  <si>
    <t>F6</t>
  </si>
  <si>
    <t xml:space="preserve">Retensi dan penghapusan</t>
  </si>
  <si>
    <t>F7</t>
  </si>
  <si>
    <t xml:space="preserve">Tata kelola dan hak subjek</t>
  </si>
  <si>
    <t>F8</t>
  </si>
  <si>
    <t xml:space="preserve">Lintas tahap atau tidak spesifik</t>
  </si>
  <si>
    <t>K1</t>
  </si>
  <si>
    <t xml:space="preserve">Non-fungsional: keamanan dan kerahasiaan. Apakah inti teks melindungi data dari akses atau gangguan tidak sah?</t>
  </si>
  <si>
    <t>K2</t>
  </si>
  <si>
    <t xml:space="preserve">Non-fungsional: mutu data, kepatuhan, dan akuntabilitas. Apakah ini mutu atau bukti yang berlaku untuk seluruh sistem, bukan hanya satu operasi?</t>
  </si>
  <si>
    <t>K3</t>
  </si>
  <si>
    <t xml:space="preserve">Fungsional. Dapatkah ditulis "Sistem harus [melakukan X]" dengan hasil hanya lulus atau gagal?</t>
  </si>
  <si>
    <t>K4</t>
  </si>
  <si>
    <t xml:space="preserve">Batasan atau aturan bisnis hukum. Apakah teks membatasi apa yang boleh dilakukan sistem, atau apa dan siapa yang tercakup?</t>
  </si>
  <si>
    <t>K5</t>
  </si>
  <si>
    <t xml:space="preserve">Tidak menghasilkan kebutuhan. Apakah teks benar-benar tidak dapat diterjemahkan menjadi kalimat "Sistem harus/tidak boleh …"?</t>
  </si>
  <si>
    <t>Dokumen</t>
  </si>
  <si>
    <t>Paragraf</t>
  </si>
  <si>
    <t>Pasal</t>
  </si>
  <si>
    <t>CATATAN</t>
  </si>
  <si>
    <t>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</si>
  <si>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</si>
  <si>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</si>
  <si>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</si>
  <si>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</si>
  <si>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</si>
  <si>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Tempel seluruh isi sheet Lembar1 dari Korpus_Codebook_1.xlsx (A1:F87) ke sel A1 sheet ini, termasuk baris judul.</t>
  </si>
  <si>
    <t xml:space="preserve">Kalimat 2</t>
  </si>
  <si>
    <t xml:space="preserve">Pentingnya memberikan perlindungan data pribadi mulai menguat seiring dengan meningkatnya jumlah pengguna telepon seluler dan internet.</t>
  </si>
  <si>
    <t xml:space="preserve">Urutan kolom harus: Dokumen, BAB, Bagian, Paragraf, Pasal, Isi. Nomor baris Excel di sini = ID_Unit (V1) pada Lembar Coding.</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</si>
  <si>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</si>
  <si>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</si>
  <si>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Sebelum file dibagikan kepada coder, SEMBUNYIKAN sheet Korpus (klik kanan tab, Hide) agar kolom BAB dan Bagian tidak memengaruhi coding (Bagian 2.2 dan 12.2 codebook).</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</si>
  <si>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</si>
  <si>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</si>
  <si>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</si>
  <si>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</si>
  <si>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</si>
  <si>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</si>
  <si>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</si>
  <si>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</si>
  <si>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</si>
  <si>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</si>
  <si>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</si>
  <si>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</si>
  <si>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</si>
  <si>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</si>
  <si>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</si>
  <si>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</si>
  <si>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</si>
  <si>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</si>
  <si>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</si>
  <si>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</si>
  <si>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</si>
  <si>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</si>
  <si>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</si>
  <si>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</si>
  <si>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</si>
  <si>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</si>
  <si>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</si>
  <si>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</si>
  <si>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</si>
  <si>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</si>
  <si>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</si>
  <si>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</si>
  <si>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</si>
  <si>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</si>
  <si>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</si>
  <si>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</si>
  <si>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</si>
  <si>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</si>
  <si>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</si>
  <si>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</si>
  <si>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</si>
  <si>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</si>
  <si>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</si>
  <si>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</si>
  <si>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</si>
  <si>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</si>
  <si>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</si>
  <si>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</si>
  <si>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</si>
  <si>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</si>
  <si>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</si>
  <si>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</si>
  <si>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</si>
  <si>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</si>
  <si>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</si>
  <si>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</si>
  <si>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</si>
  <si>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</si>
  <si>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</si>
  <si>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</si>
  <si>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</si>
  <si>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</si>
  <si>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</si>
  <si>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</si>
  <si>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</si>
  <si>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</si>
  <si>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</si>
  <si>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</si>
  <si>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</si>
  <si>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</si>
  <si>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</si>
  <si>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</si>
  <si>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</si>
  <si>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</si>
  <si>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</si>
  <si>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</si>
  <si>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</si>
  <si>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</si>
  <si>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</si>
  <si>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</si>
  <si>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</si>
  <si>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</si>
  <si>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</si>
  <si>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</si>
  <si>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</si>
  <si>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</si>
  <si>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</si>
  <si>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</si>
  <si>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</si>
  <si>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</si>
  <si>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</si>
  <si>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</si>
  <si>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</si>
  <si>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</si>
  <si>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</si>
  <si>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</si>
  <si>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</si>
  <si>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</si>
  <si>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</si>
  <si>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</si>
  <si>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</si>
  <si>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</si>
  <si>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</si>
  <si>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</si>
  <si>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</si>
  <si>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</si>
  <si>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</si>
  <si>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</si>
  <si>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</si>
  <si>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</si>
  <si>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</si>
  <si>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</si>
  <si>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</si>
  <si>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</si>
  <si>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</si>
  <si>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</si>
  <si>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</si>
  <si>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</si>
  <si>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</si>
  <si>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</si>
  <si>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</si>
  <si>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</si>
  <si>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</si>
  <si>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</si>
  <si>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</si>
  <si>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</si>
  <si>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</si>
  <si>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</si>
  <si>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</si>
  <si>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</si>
  <si>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</si>
  <si>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</si>
  <si>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</si>
  <si>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</si>
  <si>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</si>
  <si>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</si>
  <si>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</si>
  <si>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</si>
  <si>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</si>
  <si>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</si>
  <si>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</si>
  <si>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</si>
  <si>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</si>
  <si>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</si>
  <si>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</si>
  <si>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</si>
  <si>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</si>
  <si>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</si>
  <si>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</si>
  <si>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</si>
  <si>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</si>
  <si>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0"/>
        <rFont val="FiraCode Nerd Font"/>
      </rPr>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rFont val="Linux Libertine G"/>
      </rPr>
      <t>ُ</t>
    </r>
    <r>
      <rPr>
        <sz val="10"/>
        <rFont val="FiraCode Nerd Font"/>
      </rPr>
      <t xml:space="preserve">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</si>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</sst>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0">
    <font>
      <sz val="11.000000"/>
      <color theme="1"/>
      <name val="Calibri"/>
    </font>
    <font>
      <sz val="10.000000"/>
      <name val="Arial"/>
    </font>
    <font>
      <sz val="11.000000"/>
      <color theme="1"/>
      <name val="Arial"/>
    </font>
    <font>
      <b/>
      <sz val="14.000000"/>
      <name val="Arial"/>
    </font>
    <font>
      <i/>
      <sz val="9.000000"/>
      <color rgb="FF595959"/>
      <name val="Arial"/>
    </font>
    <font>
      <b/>
      <sz val="10.000000"/>
      <name val="Arial"/>
    </font>
    <font>
      <sz val="10.000000"/>
      <color indexed="4"/>
      <name val="Arial"/>
    </font>
    <font>
      <b/>
      <sz val="10.000000"/>
      <color indexed="65"/>
      <name val="Arial"/>
    </font>
    <font>
      <sz val="10.000000"/>
      <color theme="1"/>
      <name val="Arial"/>
    </font>
    <font>
      <sz val="10.000000"/>
      <name val="FiraCode Nerd Font"/>
    </font>
  </fonts>
  <fills count="5">
    <fill>
      <patternFill patternType="none"/>
    </fill>
    <fill>
      <patternFill patternType="gray125"/>
    </fill>
    <fill>
      <patternFill patternType="solid">
        <fgColor rgb="FFFFF2CC"/>
        <bgColor rgb="FFFFEB9C"/>
      </patternFill>
    </fill>
    <fill>
      <patternFill patternType="solid">
        <fgColor rgb="FF1F3864"/>
        <bgColor indexed="63"/>
      </patternFill>
    </fill>
    <fill>
      <patternFill patternType="solid">
        <fgColor rgb="FF2F5496"/>
        <bgColor rgb="FF1F3864"/>
      </patternFill>
    </fill>
  </fills>
  <borders count="2">
    <border>
      <left style="none"/>
      <right style="none"/>
      <top style="none"/>
      <bottom style="none"/>
      <diagonal style="none"/>
    </border>
    <border>
      <left style="thin">
        <color rgb="FFBFBFBF"/>
      </left>
      <right style="thin">
        <color rgb="FFBFBFBF"/>
      </right>
      <top style="thin">
        <color rgb="FFBFBFBF"/>
      </top>
      <bottom style="thin">
        <color rgb="FFBFBFBF"/>
      </bottom>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27">
    <xf fontId="0" fillId="0" borderId="0" numFmtId="0" xfId="0" applyProtection="0">
      <protection hidden="0" locked="1"/>
    </xf>
    <xf fontId="2" fillId="0" borderId="0" numFmtId="0" xfId="0" applyFont="1" applyProtection="1">
      <protection hidden="0" locked="1"/>
    </xf>
    <xf fontId="3" fillId="0" borderId="0" numFmtId="0" xfId="0" applyFont="1" applyProtection="1">
      <protection hidden="0" locked="1"/>
    </xf>
    <xf fontId="4" fillId="0" borderId="0" numFmtId="0" xfId="0" applyFont="1" applyProtection="1">
      <protection hidden="0" locked="1"/>
    </xf>
    <xf fontId="5" fillId="0" borderId="0" numFmtId="0" xfId="0" applyFont="1" applyProtection="1">
      <protection hidden="0" locked="1"/>
    </xf>
    <xf fontId="6" fillId="2" borderId="1" numFmtId="0" xfId="0" applyFont="1" applyFill="1" applyBorder="1" applyAlignment="1" applyProtection="1">
      <alignment horizontal="left" vertical="center" wrapText="1"/>
      <protection hidden="0" locked="1"/>
    </xf>
    <xf fontId="7" fillId="3" borderId="0" numFmtId="0" xfId="0" applyFont="1" applyFill="1" applyProtection="1">
      <protection hidden="0" locked="1"/>
    </xf>
    <xf fontId="2" fillId="3" borderId="0" numFmtId="0" xfId="0" applyFont="1" applyFill="1" applyProtection="1">
      <protection hidden="0" locked="1"/>
    </xf>
    <xf fontId="5" fillId="0" borderId="0" numFmtId="0" xfId="0" applyFont="1" applyAlignment="1" applyProtection="1">
      <alignment vertical="top"/>
      <protection hidden="0" locked="1"/>
    </xf>
    <xf fontId="1" fillId="0" borderId="0" numFmtId="0" xfId="0" applyFont="1" applyAlignment="1" applyProtection="1">
      <alignment vertical="top" wrapText="1"/>
      <protection hidden="0" locked="1"/>
    </xf>
    <xf fontId="5" fillId="2" borderId="0" numFmtId="0" xfId="0" applyFont="1" applyFill="1" applyAlignment="1" applyProtection="1">
      <alignment vertical="top"/>
      <protection hidden="0" locked="1"/>
    </xf>
    <xf fontId="0" fillId="0" borderId="0" numFmtId="0" xfId="0" applyProtection="1">
      <protection hidden="0" locked="1"/>
    </xf>
    <xf fontId="0" fillId="0" borderId="0" numFmtId="0" xfId="0" applyAlignment="1" applyProtection="1">
      <alignment wrapText="1"/>
      <protection hidden="0" locked="1"/>
    </xf>
    <xf fontId="0" fillId="0" borderId="0" numFmtId="0" xfId="0" applyAlignment="1" applyProtection="1">
      <alignment horizontal="center"/>
      <protection hidden="0" locked="1"/>
    </xf>
    <xf fontId="7" fillId="3" borderId="1" numFmtId="0" xfId="0" applyFont="1" applyFill="1" applyBorder="1" applyAlignment="1" applyProtection="1">
      <alignment horizontal="center" vertical="center" wrapText="1"/>
      <protection hidden="0" locked="1"/>
    </xf>
    <xf fontId="7" fillId="4" borderId="1" numFmtId="0" xfId="0" applyFont="1" applyFill="1" applyBorder="1" applyAlignment="1" applyProtection="1">
      <alignment horizontal="center" vertical="center" wrapText="1"/>
      <protection hidden="0" locked="1"/>
    </xf>
    <xf fontId="1" fillId="0" borderId="1" numFmtId="0" xfId="0" applyFont="1" applyBorder="1" applyAlignment="1" applyProtection="1">
      <alignment horizontal="center" vertical="top"/>
      <protection hidden="0" locked="1"/>
    </xf>
    <xf fontId="1" fillId="0" borderId="1" numFmtId="0" xfId="0" applyFont="1" applyBorder="1" applyAlignment="1" applyProtection="1">
      <alignment horizontal="center" vertical="top" wrapText="1"/>
      <protection hidden="0" locked="1"/>
    </xf>
    <xf fontId="1" fillId="0" borderId="1" numFmtId="0" xfId="0" applyFont="1" applyBorder="1" applyAlignment="1" applyProtection="1">
      <alignment vertical="top" wrapText="1"/>
      <protection hidden="0" locked="1"/>
    </xf>
    <xf fontId="6" fillId="2" borderId="1" numFmtId="0" xfId="0" applyFont="1" applyFill="1" applyBorder="1" applyAlignment="1" applyProtection="1">
      <alignment horizontal="center" vertical="top" wrapText="1"/>
      <protection hidden="0" locked="1"/>
    </xf>
    <xf fontId="6" fillId="2" borderId="1" numFmtId="0" xfId="0" applyFont="1" applyFill="1" applyBorder="1" applyAlignment="1" applyProtection="1">
      <alignment vertical="top" wrapText="1"/>
      <protection hidden="0" locked="1"/>
    </xf>
    <xf fontId="8" fillId="0" borderId="0" numFmtId="0" xfId="0" applyFont="1" applyProtection="1">
      <protection hidden="0" locked="1"/>
    </xf>
    <xf fontId="7" fillId="3" borderId="0" numFmtId="0" xfId="0" applyFont="1" applyFill="1" applyAlignment="1" applyProtection="1">
      <alignment horizontal="center"/>
      <protection hidden="0" locked="1"/>
    </xf>
    <xf fontId="1" fillId="0" borderId="1" numFmtId="0" xfId="0" applyFont="1" applyBorder="1" applyProtection="1">
      <protection hidden="0" locked="1"/>
    </xf>
    <xf fontId="5" fillId="0" borderId="1" numFmtId="0" xfId="0" applyFont="1" applyBorder="1" applyProtection="1">
      <protection hidden="0" locked="1"/>
    </xf>
    <xf fontId="5" fillId="2" borderId="1" numFmtId="0" xfId="0" applyFont="1" applyFill="1" applyBorder="1" applyProtection="1">
      <protection hidden="0" locked="1"/>
    </xf>
    <xf fontId="9" fillId="0" borderId="0" numFmtId="0" xfId="0" applyFont="1" applyProtection="1">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C1" zoomScale="85" workbookViewId="0">
      <selection activeCell="C16" activeCellId="0" sqref="C16"/>
    </sheetView>
  </sheetViews>
  <sheetFormatPr defaultColWidth="8.6796875" defaultRowHeight="14.25"/>
  <cols>
    <col customWidth="1" min="1" max="1" style="1" width="3"/>
    <col customWidth="1" min="2" max="2" style="1" width="30"/>
    <col customWidth="1" min="3" max="3" style="1" width="110"/>
    <col customWidth="0" min="4" max="16384" style="1" width="8.6799999999999997"/>
  </cols>
  <sheetData>
    <row r="1" ht="16.5">
      <c r="A1" s="2" t="s">
        <v>0</v>
      </c>
    </row>
    <row r="2" ht="15">
      <c r="A2" s="3" t="s">
        <v>1</v>
      </c>
    </row>
    <row r="4" ht="15">
      <c r="B4" s="4" t="s">
        <v>2</v>
      </c>
      <c r="C4" s="5" t="s">
        <v>3</v>
      </c>
      <c r="D4" s="3" t="s">
        <v>4</v>
      </c>
    </row>
    <row r="6" ht="15">
      <c r="B6" s="6" t="s">
        <v>5</v>
      </c>
      <c r="C6" s="7"/>
    </row>
    <row r="7" ht="25.5">
      <c r="B7" s="8" t="s">
        <v>6</v>
      </c>
      <c r="C7" s="9" t="s">
        <v>7</v>
      </c>
    </row>
    <row r="8" ht="15">
      <c r="B8" s="8" t="s">
        <v>8</v>
      </c>
      <c r="C8" s="9" t="s">
        <v>9</v>
      </c>
    </row>
    <row r="9" ht="15">
      <c r="B9" s="8" t="s">
        <v>10</v>
      </c>
      <c r="C9" s="9" t="s">
        <v>11</v>
      </c>
    </row>
    <row r="10" ht="25.5">
      <c r="B10" s="8" t="s">
        <v>12</v>
      </c>
      <c r="C10" s="9" t="s">
        <v>13</v>
      </c>
    </row>
    <row r="11" ht="15">
      <c r="B11" s="8" t="s">
        <v>14</v>
      </c>
      <c r="C11" s="9" t="s">
        <v>15</v>
      </c>
    </row>
    <row r="12" ht="15">
      <c r="B12" s="8" t="s">
        <v>16</v>
      </c>
      <c r="C12" s="9" t="s">
        <v>17</v>
      </c>
    </row>
    <row r="13" ht="15">
      <c r="B13" s="6" t="s">
        <v>18</v>
      </c>
      <c r="C13" s="7"/>
    </row>
    <row r="14" ht="25.5">
      <c r="B14" s="10" t="s">
        <v>19</v>
      </c>
      <c r="C14" s="9" t="s">
        <v>20</v>
      </c>
    </row>
    <row r="15" ht="15">
      <c r="B15" s="8" t="s">
        <v>21</v>
      </c>
      <c r="C15" s="9" t="s">
        <v>22</v>
      </c>
    </row>
    <row r="16" ht="15">
      <c r="B16" s="8" t="s">
        <v>23</v>
      </c>
      <c r="C16" s="9" t="s">
        <v>24</v>
      </c>
    </row>
    <row r="18" ht="15">
      <c r="B18" s="6" t="s">
        <v>25</v>
      </c>
      <c r="C18" s="7"/>
    </row>
    <row r="19" ht="15">
      <c r="B19" s="4" t="s">
        <v>26</v>
      </c>
      <c r="C19" s="9" t="s">
        <v>27</v>
      </c>
    </row>
    <row r="20" ht="15">
      <c r="B20" s="4" t="s">
        <v>28</v>
      </c>
      <c r="C20" s="9" t="s">
        <v>29</v>
      </c>
    </row>
    <row r="21" ht="15">
      <c r="B21" s="4" t="s">
        <v>30</v>
      </c>
      <c r="C21" s="9" t="s">
        <v>31</v>
      </c>
    </row>
    <row r="22" ht="15">
      <c r="B22" s="4" t="s">
        <v>32</v>
      </c>
      <c r="C22" s="9" t="s">
        <v>33</v>
      </c>
    </row>
    <row r="23" ht="15">
      <c r="B23" s="4" t="s">
        <v>34</v>
      </c>
      <c r="C23" s="9" t="s">
        <v>35</v>
      </c>
    </row>
    <row r="24" ht="15">
      <c r="B24" s="4" t="s">
        <v>36</v>
      </c>
      <c r="C24" s="9" t="s">
        <v>37</v>
      </c>
    </row>
    <row r="25" ht="15">
      <c r="B25" s="4" t="s">
        <v>38</v>
      </c>
      <c r="C25" s="9" t="s">
        <v>39</v>
      </c>
    </row>
    <row r="26" ht="15">
      <c r="B26" s="4" t="s">
        <v>40</v>
      </c>
      <c r="C26" s="9" t="s">
        <v>41</v>
      </c>
    </row>
    <row r="27" ht="25.5">
      <c r="B27" s="4" t="s">
        <v>42</v>
      </c>
      <c r="C27" s="9" t="s">
        <v>43</v>
      </c>
    </row>
    <row r="28" ht="15">
      <c r="B28" s="4" t="s">
        <v>44</v>
      </c>
      <c r="C28" s="9" t="s">
        <v>45</v>
      </c>
    </row>
    <row r="29" ht="15">
      <c r="B29" s="4" t="s">
        <v>46</v>
      </c>
      <c r="C29" s="9" t="s">
        <v>47</v>
      </c>
    </row>
    <row r="30" ht="15">
      <c r="B30" s="4" t="s">
        <v>48</v>
      </c>
      <c r="C30" s="9" t="s">
        <v>49</v>
      </c>
    </row>
    <row r="32" ht="15">
      <c r="B32" s="6" t="s">
        <v>50</v>
      </c>
      <c r="C32" s="7"/>
    </row>
    <row r="33" ht="15">
      <c r="B33" s="4" t="s">
        <v>51</v>
      </c>
      <c r="C33" s="9" t="s">
        <v>52</v>
      </c>
    </row>
    <row r="34" ht="15">
      <c r="B34" s="4" t="s">
        <v>53</v>
      </c>
      <c r="C34" s="9" t="s">
        <v>54</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N1" zoomScale="85" workbookViewId="0">
      <pane ySplit="1" topLeftCell="A2" activePane="bottomLeft" state="frozen"/>
      <selection activeCell="M4" activeCellId="0" sqref="M4"/>
    </sheetView>
  </sheetViews>
  <sheetFormatPr defaultColWidth="8.6796875" defaultRowHeight="14.25"/>
  <cols>
    <col customWidth="1" min="1" max="1" style="11" width="10.199999999999999"/>
    <col customWidth="1" min="2" max="2" style="12" width="11.24"/>
    <col customWidth="1" min="3" max="4" style="11" width="17.879999999999999"/>
    <col customWidth="1" min="5" max="5" style="11" width="66.400000000000006"/>
    <col customWidth="1" min="6" max="12" style="12" width="11.75"/>
    <col customWidth="1" min="13" max="14" style="12" width="25.539999999999999"/>
    <col customWidth="1" min="15" max="15" style="11" width="7"/>
    <col customWidth="1" min="16" max="16" style="11" width="16"/>
    <col customWidth="1" min="17" max="17" style="11" width="25.539999999999999"/>
    <col customWidth="1" hidden="1" min="18" max="19" style="11" width="18"/>
  </cols>
  <sheetData>
    <row r="1" s="13" customFormat="1" ht="42" customHeight="1">
      <c r="A1" s="14" t="s">
        <v>26</v>
      </c>
      <c r="B1" s="14" t="s">
        <v>28</v>
      </c>
      <c r="C1" s="14" t="s">
        <v>30</v>
      </c>
      <c r="D1" s="14" t="s">
        <v>55</v>
      </c>
      <c r="E1" s="14" t="s">
        <v>56</v>
      </c>
      <c r="F1" s="15" t="s">
        <v>32</v>
      </c>
      <c r="G1" s="15" t="s">
        <v>34</v>
      </c>
      <c r="H1" s="15" t="s">
        <v>36</v>
      </c>
      <c r="I1" s="15" t="s">
        <v>38</v>
      </c>
      <c r="J1" s="15" t="s">
        <v>40</v>
      </c>
      <c r="K1" s="15" t="s">
        <v>42</v>
      </c>
      <c r="L1" s="15" t="s">
        <v>44</v>
      </c>
      <c r="M1" s="15" t="s">
        <v>46</v>
      </c>
      <c r="N1" s="15" t="s">
        <v>48</v>
      </c>
      <c r="O1" s="14" t="s">
        <v>57</v>
      </c>
      <c r="P1" s="14" t="s">
        <v>58</v>
      </c>
      <c r="Q1" s="14" t="s">
        <v>59</v>
      </c>
      <c r="R1" s="14" t="s">
        <v>60</v>
      </c>
      <c r="S1" s="14" t="s">
        <v>61</v>
      </c>
    </row>
    <row r="2" ht="60" customHeight="1">
      <c r="A2" s="16">
        <v>2</v>
      </c>
      <c r="B2" s="17" t="str">
        <f>IF(Petunjuk!$C$4="","",Petunjuk!$C$4)</f>
        <v xml:space="preserve">Ubah Coder ini di Sheet “Petunjuk”</v>
      </c>
      <c r="C2" s="18" t="str">
        <f>IF(INDEX(Korpus!$A:$A,$A2)="","",INDEX(Korpus!$A:$A,$A2))</f>
        <v>2019MHN201</v>
      </c>
      <c r="D2" s="18" t="str">
        <f>TRIM(INDEX(Korpus!$D:$D,$A2)&amp;" "&amp;INDEX(Korpus!$E:$E,$A2))</f>
        <v xml:space="preserve">Paragraf 3 Kalimat 1</v>
      </c>
      <c r="E2" s="18" t="str">
        <f>IF(INDEX(Korpus!$F:$F,$A2)="","",INDEX(Korpus!$F:$F,$A2))</f>
        <v xml:space="preserve">Melihat banyaknya kasus penyalahgunaan data pribadi, sangat penting untuk memberikan perlindungan data pribadi.</v>
      </c>
      <c r="F2" s="19" t="s">
        <v>62</v>
      </c>
      <c r="G2" s="19" t="s">
        <v>63</v>
      </c>
      <c r="H2" s="19" t="s">
        <v>64</v>
      </c>
      <c r="I2" s="19" t="s">
        <v>65</v>
      </c>
      <c r="J2" s="19" t="s">
        <v>66</v>
      </c>
      <c r="K2" s="19" t="s">
        <v>67</v>
      </c>
      <c r="L2" s="19"/>
      <c r="M2" s="20"/>
      <c r="N2" s="20"/>
      <c r="O2" s="16" t="s">
        <v>68</v>
      </c>
      <c r="P2" s="18" t="str">
        <f t="shared" ref="P2:P9" si="0">IF(COUNTA(F2:K2)=6,"Lengkap","Belum lengkap ("&amp;(6-COUNTA(F2:K2))&amp;")")</f>
        <v>Lengkap</v>
      </c>
      <c r="Q2" s="18" t="str">
        <f t="shared" ref="Q2:Q9" si="1">IF(COUNTA(F2:K2)&lt;6,"",IF(IF(AND(LEFT(G2,2)="R0",LEFT(K2,2)&lt;&gt;"K5"),"R0 harus K5; ","")&amp;IF(AND(LEFT(G2,2)="R1",LEFT(K2,2)="K3"),"R1 tidak boleh K3 (fungsional); ","")&amp;IF(AND(LEFT(G2,2)="R2",LEFT(K2,2)="K5"),"R2 tidak boleh K5; ","")&amp;IF(AND(LEFT(G2,2)="R2",OR(LEFT(F2,2)="S6",LEFT(F2,2)="S7",LEFT(F2,2)="S8")),"R2 tidak boleh S6/S7/S8; ","")&amp;IF(AND(LEFT(G2,2)="R2",OR(LEFT(H2,3)="T02",LEFT(I2,2)="P8")),"T02 atau P8 tidak boleh R2; ","")&amp;IF(AND(LEFT(H2,3)="T01",LEFT(I2,2)&lt;&gt;"P6",N2=""),"T01 biasanya P6; jelaskan di V12; ","")&amp;IF(AND(LEFT(I2,2)="P1",LEFT(K2,2)&lt;&gt;"K4",N2=""),"P1 biasanya K4; jelaskan di V12; ","")="","OK",IF(AND(LEFT(G2,2)="R0",LEFT(K2,2)&lt;&gt;"K5"),"R0 harus K5; ","")&amp;IF(AND(LEFT(G2,2)="R1",LEFT(K2,2)="K3"),"R1 tidak boleh K3 (fungsional); ","")&amp;IF(AND(LEFT(G2,2)="R2",LEFT(K2,2)="K5"),"R2 tidak boleh K5; ","")&amp;IF(AND(LEFT(G2,2)="R2",OR(LEFT(F2,2)="S6",LEFT(F2,2)="S7",LEFT(F2,2)="S8")),"R2 tidak boleh S6/S7/S8; ","")&amp;IF(AND(LEFT(G2,2)="R2",OR(LEFT(H2,3)="T02",LEFT(I2,2)="P8")),"T02 atau P8 tidak boleh R2; ","")&amp;IF(AND(LEFT(H2,3)="T01",LEFT(I2,2)&lt;&gt;"P6",N2=""),"T01 biasanya P6; jelaskan di V12; ","")&amp;IF(AND(LEFT(I2,2)="P1",LEFT(K2,2)&lt;&gt;"K4",N2=""),"P1 biasanya K4; jelaskan di V12; ","")))</f>
        <v>OK</v>
      </c>
      <c r="R2" s="18" t="str">
        <f>IF(INDEX(Korpus!$B:$B,$A2)="","",INDEX(Korpus!$B:$B,$A2))</f>
        <v xml:space="preserve">C. Pembahasan</v>
      </c>
      <c r="S2" s="18" t="str">
        <f>IF(INDEX(Korpus!$C:$C,$A2)="","",INDEX(Korpus!$C:$C,$A2))</f>
        <v xml:space="preserve">5. Pentingnya Perlindungan Data Pribadi</v>
      </c>
    </row>
    <row r="3" ht="60" customHeight="1">
      <c r="A3" s="16">
        <v>3</v>
      </c>
      <c r="B3" s="17" t="str">
        <f>IF(Petunjuk!$C$4="","",Petunjuk!$C$4)</f>
        <v xml:space="preserve">Ubah Coder ini di Sheet “Petunjuk”</v>
      </c>
      <c r="C3" s="18" t="str">
        <f>IF(INDEX(Korpus!$A:$A,$A3)="","",INDEX(Korpus!$A:$A,$A3))</f>
        <v>2019MHN201</v>
      </c>
      <c r="D3" s="18" t="str">
        <f>TRIM(INDEX(Korpus!$D:$D,$A3)&amp;" "&amp;INDEX(Korpus!$E:$E,$A3))</f>
        <v xml:space="preserve">Paragraf 3 Kalimat 2</v>
      </c>
      <c r="E3" s="18" t="str">
        <f>IF(INDEX(Korpus!$F:$F,$A3)="","",INDEX(Korpus!$F:$F,$A3))</f>
        <v xml:space="preserve">Pentingnya memberikan perlindungan data pribadi mulai menguat seiring dengan meningkatnya jumlah pengguna telepon seluler dan internet.</v>
      </c>
      <c r="F3" s="19" t="s">
        <v>62</v>
      </c>
      <c r="G3" s="19" t="s">
        <v>63</v>
      </c>
      <c r="H3" s="19" t="s">
        <v>64</v>
      </c>
      <c r="I3" s="19" t="s">
        <v>65</v>
      </c>
      <c r="J3" s="19" t="s">
        <v>66</v>
      </c>
      <c r="K3" s="19" t="s">
        <v>67</v>
      </c>
      <c r="L3" s="19"/>
      <c r="M3" s="20"/>
      <c r="N3" s="20"/>
      <c r="O3" s="16"/>
      <c r="P3" s="18" t="str">
        <f t="shared" si="0"/>
        <v>Lengkap</v>
      </c>
      <c r="Q3" s="18" t="str">
        <f t="shared" si="1"/>
        <v>OK</v>
      </c>
      <c r="R3" s="18" t="str">
        <f>IF(INDEX(Korpus!$B:$B,$A3)="","",INDEX(Korpus!$B:$B,$A3))</f>
        <v xml:space="preserve">C. Pembahasan</v>
      </c>
      <c r="S3" s="18" t="str">
        <f>IF(INDEX(Korpus!$C:$C,$A3)="","",INDEX(Korpus!$C:$C,$A3))</f>
        <v xml:space="preserve">5. Pentingnya Perlindungan Data Pribadi</v>
      </c>
    </row>
    <row r="4" ht="60" customHeight="1">
      <c r="A4" s="16">
        <v>4</v>
      </c>
      <c r="B4" s="17" t="str">
        <f>IF(Petunjuk!$C$4="","",Petunjuk!$C$4)</f>
        <v xml:space="preserve">Ubah Coder ini di Sheet “Petunjuk”</v>
      </c>
      <c r="C4" s="18" t="str">
        <f>IF(INDEX(Korpus!$A:$A,$A4)="","",INDEX(Korpus!$A:$A,$A4))</f>
        <v>2019MHN201</v>
      </c>
      <c r="D4" s="18" t="str">
        <f>TRIM(INDEX(Korpus!$D:$D,$A4)&amp;" "&amp;INDEX(Korpus!$E:$E,$A4))</f>
        <v xml:space="preserve">Paragraf 3 Kalimat 3</v>
      </c>
      <c r="E4" s="18" t="str">
        <f>IF(INDEX(Korpus!$F:$F,$A4)="","",INDEX(Korpus!$F:$F,$A4))</f>
        <v xml:space="preserve">Sejumlah kasus yang mencuat, terutama yang memiliki keterkaitan dengan kebocoran data pribadi seseorang dan bermuara kepada aksi penipuan atau tindak kriminal pornografi, menguatkan wacana pentingnya pembuatan aturan hukum untuk melindungi data pribadi.</v>
      </c>
      <c r="F4" s="19" t="s">
        <v>62</v>
      </c>
      <c r="G4" s="19" t="s">
        <v>63</v>
      </c>
      <c r="H4" s="19" t="s">
        <v>64</v>
      </c>
      <c r="I4" s="19" t="s">
        <v>65</v>
      </c>
      <c r="J4" s="19" t="s">
        <v>66</v>
      </c>
      <c r="K4" s="19" t="s">
        <v>67</v>
      </c>
      <c r="L4" s="19"/>
      <c r="M4" s="20"/>
      <c r="N4" s="20"/>
      <c r="O4" s="16"/>
      <c r="P4" s="18" t="str">
        <f t="shared" si="0"/>
        <v>Lengkap</v>
      </c>
      <c r="Q4" s="18" t="str">
        <f t="shared" si="1"/>
        <v>OK</v>
      </c>
      <c r="R4" s="18" t="str">
        <f>IF(INDEX(Korpus!$B:$B,$A4)="","",INDEX(Korpus!$B:$B,$A4))</f>
        <v xml:space="preserve">C. Pembahasan</v>
      </c>
      <c r="S4" s="18" t="str">
        <f>IF(INDEX(Korpus!$C:$C,$A4)="","",INDEX(Korpus!$C:$C,$A4))</f>
        <v xml:space="preserve">5. Pentingnya Perlindungan Data Pribadi</v>
      </c>
    </row>
    <row r="5" ht="60" customHeight="1">
      <c r="A5" s="16">
        <v>5</v>
      </c>
      <c r="B5" s="17" t="str">
        <f>IF(Petunjuk!$C$4="","",Petunjuk!$C$4)</f>
        <v xml:space="preserve">Ubah Coder ini di Sheet “Petunjuk”</v>
      </c>
      <c r="C5" s="18" t="str">
        <f>IF(INDEX(Korpus!$A:$A,$A5)="","",INDEX(Korpus!$A:$A,$A5))</f>
        <v>2019MHN201</v>
      </c>
      <c r="D5" s="18" t="str">
        <f>TRIM(INDEX(Korpus!$D:$D,$A5)&amp;" "&amp;INDEX(Korpus!$E:$E,$A5))</f>
        <v xml:space="preserve">Paragraf 3 Kalimat 4</v>
      </c>
      <c r="E5" s="18" t="str">
        <f>IF(INDEX(Korpus!$F:$F,$A5)="","",INDEX(Korpus!$F:$F,$A5))</f>
        <v xml:space="preserve">Perlindungan data pribadi berhubungan dengan konsep privasi.</v>
      </c>
      <c r="F5" s="19" t="s">
        <v>62</v>
      </c>
      <c r="G5" s="19" t="s">
        <v>63</v>
      </c>
      <c r="H5" s="19" t="s">
        <v>64</v>
      </c>
      <c r="I5" s="19" t="s">
        <v>65</v>
      </c>
      <c r="J5" s="19" t="s">
        <v>66</v>
      </c>
      <c r="K5" s="19" t="s">
        <v>67</v>
      </c>
      <c r="L5" s="19"/>
      <c r="M5" s="20"/>
      <c r="N5" s="20"/>
      <c r="O5" s="16"/>
      <c r="P5" s="18" t="str">
        <f t="shared" si="0"/>
        <v>Lengkap</v>
      </c>
      <c r="Q5" s="18" t="str">
        <f t="shared" si="1"/>
        <v>OK</v>
      </c>
      <c r="R5" s="18" t="str">
        <f>IF(INDEX(Korpus!$B:$B,$A5)="","",INDEX(Korpus!$B:$B,$A5))</f>
        <v xml:space="preserve">C. Pembahasan</v>
      </c>
      <c r="S5" s="18" t="str">
        <f>IF(INDEX(Korpus!$C:$C,$A5)="","",INDEX(Korpus!$C:$C,$A5))</f>
        <v xml:space="preserve">5. Pentingnya Perlindungan Data Pribadi</v>
      </c>
    </row>
    <row r="6" ht="60" customHeight="1">
      <c r="A6" s="16">
        <v>6</v>
      </c>
      <c r="B6" s="17" t="str">
        <f>IF(Petunjuk!$C$4="","",Petunjuk!$C$4)</f>
        <v xml:space="preserve">Ubah Coder ini di Sheet “Petunjuk”</v>
      </c>
      <c r="C6" s="18" t="str">
        <f>IF(INDEX(Korpus!$A:$A,$A6)="","",INDEX(Korpus!$A:$A,$A6))</f>
        <v>2019MHN201</v>
      </c>
      <c r="D6" s="18" t="str">
        <f>TRIM(INDEX(Korpus!$D:$D,$A6)&amp;" "&amp;INDEX(Korpus!$E:$E,$A6))</f>
        <v xml:space="preserve">Paragraf 3 Kalimat 5</v>
      </c>
      <c r="E6" s="18" t="str">
        <f>IF(INDEX(Korpus!$F:$F,$A6)="","",INDEX(Korpus!$F:$F,$A6))</f>
        <v xml:space="preserve">Konsep privasi sendiri adalah gagasan untuk menjaga integritas dan martabat pribadi.</v>
      </c>
      <c r="F6" s="19" t="s">
        <v>62</v>
      </c>
      <c r="G6" s="19" t="s">
        <v>63</v>
      </c>
      <c r="H6" s="19" t="s">
        <v>64</v>
      </c>
      <c r="I6" s="19" t="s">
        <v>65</v>
      </c>
      <c r="J6" s="19" t="s">
        <v>66</v>
      </c>
      <c r="K6" s="19" t="s">
        <v>67</v>
      </c>
      <c r="L6" s="19"/>
      <c r="M6" s="20"/>
      <c r="N6" s="20"/>
      <c r="O6" s="16"/>
      <c r="P6" s="18" t="str">
        <f t="shared" si="0"/>
        <v>Lengkap</v>
      </c>
      <c r="Q6" s="18" t="str">
        <f t="shared" si="1"/>
        <v>OK</v>
      </c>
      <c r="R6" s="18" t="str">
        <f>IF(INDEX(Korpus!$B:$B,$A6)="","",INDEX(Korpus!$B:$B,$A6))</f>
        <v xml:space="preserve">C. Pembahasan</v>
      </c>
      <c r="S6" s="18" t="str">
        <f>IF(INDEX(Korpus!$C:$C,$A6)="","",INDEX(Korpus!$C:$C,$A6))</f>
        <v xml:space="preserve">5. Pentingnya Perlindungan Data Pribadi</v>
      </c>
    </row>
    <row r="7" ht="60" customHeight="1">
      <c r="A7" s="16">
        <v>7</v>
      </c>
      <c r="B7" s="17" t="str">
        <f>IF(Petunjuk!$C$4="","",Petunjuk!$C$4)</f>
        <v xml:space="preserve">Ubah Coder ini di Sheet “Petunjuk”</v>
      </c>
      <c r="C7" s="18" t="str">
        <f>IF(INDEX(Korpus!$A:$A,$A7)="","",INDEX(Korpus!$A:$A,$A7))</f>
        <v>2019MHN201</v>
      </c>
      <c r="D7" s="18" t="str">
        <f>TRIM(INDEX(Korpus!$D:$D,$A7)&amp;" "&amp;INDEX(Korpus!$E:$E,$A7))</f>
        <v xml:space="preserve">Paragraf 3 Kalimat 6</v>
      </c>
      <c r="E7" s="18" t="str">
        <f>IF(INDEX(Korpus!$F:$F,$A7)="","",INDEX(Korpus!$F:$F,$A7))</f>
        <v xml:space="preserve">Hak privasi juga merupakan kemampuan individu untuk menentukan siapa yang memegang informasi tentang mereka dan bagaimana informasi tersebut digunakan.</v>
      </c>
      <c r="F7" s="19" t="s">
        <v>62</v>
      </c>
      <c r="G7" s="19" t="s">
        <v>63</v>
      </c>
      <c r="H7" s="19" t="s">
        <v>64</v>
      </c>
      <c r="I7" s="19" t="s">
        <v>65</v>
      </c>
      <c r="J7" s="19" t="s">
        <v>66</v>
      </c>
      <c r="K7" s="19" t="s">
        <v>67</v>
      </c>
      <c r="L7" s="19"/>
      <c r="M7" s="20"/>
      <c r="N7" s="20"/>
      <c r="O7" s="16"/>
      <c r="P7" s="18" t="str">
        <f t="shared" si="0"/>
        <v>Lengkap</v>
      </c>
      <c r="Q7" s="18" t="str">
        <f t="shared" si="1"/>
        <v>OK</v>
      </c>
      <c r="R7" s="18" t="str">
        <f>IF(INDEX(Korpus!$B:$B,$A7)="","",INDEX(Korpus!$B:$B,$A7))</f>
        <v xml:space="preserve">C. Pembahasan</v>
      </c>
      <c r="S7" s="18" t="str">
        <f>IF(INDEX(Korpus!$C:$C,$A7)="","",INDEX(Korpus!$C:$C,$A7))</f>
        <v xml:space="preserve">5. Pentingnya Perlindungan Data Pribadi</v>
      </c>
    </row>
    <row r="8" ht="60" customHeight="1">
      <c r="A8" s="16">
        <v>8</v>
      </c>
      <c r="B8" s="17" t="str">
        <f>IF(Petunjuk!$C$4="","",Petunjuk!$C$4)</f>
        <v xml:space="preserve">Ubah Coder ini di Sheet “Petunjuk”</v>
      </c>
      <c r="C8" s="18" t="str">
        <f>IF(INDEX(Korpus!$A:$A,$A8)="","",INDEX(Korpus!$A:$A,$A8))</f>
        <v>2019MHN201</v>
      </c>
      <c r="D8" s="18" t="str">
        <f>TRIM(INDEX(Korpus!$D:$D,$A8)&amp;" "&amp;INDEX(Korpus!$E:$E,$A8))</f>
        <v xml:space="preserve">Paragraf 4 Kalimat 1</v>
      </c>
      <c r="E8" s="18" t="str">
        <f>IF(INDEX(Korpus!$F:$F,$A8)="","",INDEX(Korpus!$F:$F,$A8))</f>
        <v xml:space="preserve">Konsep perlindungan data mengisyaratkan bahwa individu memiliki hak untuk menentukan apakah mereka akan membagi atau bertukar data pribadi mereka atau tidak.</v>
      </c>
      <c r="F8" s="19" t="s">
        <v>62</v>
      </c>
      <c r="G8" s="19" t="s">
        <v>63</v>
      </c>
      <c r="H8" s="19" t="s">
        <v>64</v>
      </c>
      <c r="I8" s="19" t="s">
        <v>65</v>
      </c>
      <c r="J8" s="19" t="s">
        <v>66</v>
      </c>
      <c r="K8" s="19" t="s">
        <v>67</v>
      </c>
      <c r="L8" s="19"/>
      <c r="M8" s="20"/>
      <c r="N8" s="20"/>
      <c r="O8" s="16"/>
      <c r="P8" s="18" t="str">
        <f t="shared" si="0"/>
        <v>Lengkap</v>
      </c>
      <c r="Q8" s="18" t="str">
        <f t="shared" si="1"/>
        <v>OK</v>
      </c>
      <c r="R8" s="18" t="str">
        <f>IF(INDEX(Korpus!$B:$B,$A8)="","",INDEX(Korpus!$B:$B,$A8))</f>
        <v xml:space="preserve">C. Pembahasan</v>
      </c>
      <c r="S8" s="18" t="str">
        <f>IF(INDEX(Korpus!$C:$C,$A8)="","",INDEX(Korpus!$C:$C,$A8))</f>
        <v xml:space="preserve">5. Pentingnya Perlindungan Data Pribadi</v>
      </c>
    </row>
    <row r="9" ht="60" customHeight="1">
      <c r="A9" s="16">
        <v>9</v>
      </c>
      <c r="B9" s="17" t="str">
        <f>IF(Petunjuk!$C$4="","",Petunjuk!$C$4)</f>
        <v xml:space="preserve">Ubah Coder ini di Sheet “Petunjuk”</v>
      </c>
      <c r="C9" s="18" t="str">
        <f>IF(INDEX(Korpus!$A:$A,$A9)="","",INDEX(Korpus!$A:$A,$A9))</f>
        <v>2019MHN201</v>
      </c>
      <c r="D9" s="18" t="str">
        <f>TRIM(INDEX(Korpus!$D:$D,$A9)&amp;" "&amp;INDEX(Korpus!$E:$E,$A9))</f>
        <v xml:space="preserve">Paragraf 4 Kalimat 2</v>
      </c>
      <c r="E9" s="18" t="str">
        <f>IF(INDEX(Korpus!$F:$F,$A9)="","",INDEX(Korpus!$F:$F,$A9))</f>
        <v xml:space="preserve">Selain itu, individu juga memiliki hak untuk menentukan syarat-syarat pelaksanaan pemindahan data pribadi tersebut.</v>
      </c>
      <c r="F9" s="19" t="s">
        <v>69</v>
      </c>
      <c r="G9" s="19" t="s">
        <v>63</v>
      </c>
      <c r="H9" s="19" t="s">
        <v>64</v>
      </c>
      <c r="I9" s="19" t="s">
        <v>65</v>
      </c>
      <c r="J9" s="19" t="s">
        <v>66</v>
      </c>
      <c r="K9" s="19" t="s">
        <v>67</v>
      </c>
      <c r="L9" s="19"/>
      <c r="M9" s="20"/>
      <c r="N9" s="20" t="s">
        <v>70</v>
      </c>
      <c r="O9" s="16"/>
      <c r="P9" s="18" t="str">
        <f t="shared" si="0"/>
        <v>Lengkap</v>
      </c>
      <c r="Q9" s="18" t="str">
        <f t="shared" si="1"/>
        <v>OK</v>
      </c>
      <c r="R9" s="18" t="str">
        <f>IF(INDEX(Korpus!$B:$B,$A9)="","",INDEX(Korpus!$B:$B,$A9))</f>
        <v xml:space="preserve">C. Pembahasan</v>
      </c>
      <c r="S9" s="18" t="str">
        <f>IF(INDEX(Korpus!$C:$C,$A9)="","",INDEX(Korpus!$C:$C,$A9))</f>
        <v xml:space="preserve">5. Pentingnya Perlindungan Data Pribadi</v>
      </c>
    </row>
    <row r="10" ht="60" customHeight="1">
      <c r="A10" s="16">
        <v>10</v>
      </c>
      <c r="B10" s="17" t="str">
        <f>IF(Petunjuk!$C$4="","",Petunjuk!$C$4)</f>
        <v xml:space="preserve">Ubah Coder ini di Sheet “Petunjuk”</v>
      </c>
      <c r="C10" s="18" t="str">
        <f>IF(INDEX(Korpus!$A:$A,$A10)="","",INDEX(Korpus!$A:$A,$A10))</f>
        <v>2019MHN201</v>
      </c>
      <c r="D10" s="18" t="str">
        <f>TRIM(INDEX(Korpus!$D:$D,$A10)&amp;" "&amp;INDEX(Korpus!$E:$E,$A10))</f>
        <v xml:space="preserve">Paragraf 4 Kalimat 3</v>
      </c>
      <c r="E10" s="18" t="str">
        <f>IF(INDEX(Korpus!$F:$F,$A10)="","",INDEX(Korpus!$F:$F,$A10))</f>
        <v xml:space="preserve">Lebih jauh, perlindungan privasi.</v>
      </c>
      <c r="F10" s="19" t="s">
        <v>62</v>
      </c>
      <c r="G10" s="19" t="s">
        <v>71</v>
      </c>
      <c r="H10" s="19" t="s">
        <v>64</v>
      </c>
      <c r="I10" s="19" t="s">
        <v>65</v>
      </c>
      <c r="J10" s="19" t="s">
        <v>66</v>
      </c>
      <c r="K10" s="19" t="s">
        <v>67</v>
      </c>
      <c r="L10" s="19"/>
      <c r="M10" s="20"/>
      <c r="N10" s="20" t="s">
        <v>72</v>
      </c>
      <c r="O10" s="16"/>
      <c r="P10" s="18" t="str">
        <f t="shared" ref="P10:P73" si="2">IF(COUNTA(F10:K10)=6,"Lengkap","Belum lengkap ("&amp;(6-COUNTA(F10:K10))&amp;")")</f>
        <v>Lengkap</v>
      </c>
      <c r="Q10" s="18" t="str">
        <f t="shared" ref="Q10:Q73" si="3">IF(COUNTA(F10:K10)&lt;6,"",IF(IF(AND(LEFT(G10,2)="R0",LEFT(K10,2)&lt;&gt;"K5"),"R0 harus K5; ","")&amp;IF(AND(LEFT(G10,2)="R1",LEFT(K10,2)="K3"),"R1 tidak boleh K3 (fungsional); ","")&amp;IF(AND(LEFT(G10,2)="R2",LEFT(K10,2)="K5"),"R2 tidak boleh K5; ","")&amp;IF(AND(LEFT(G10,2)="R2",OR(LEFT(F10,2)="S6",LEFT(F10,2)="S7",LEFT(F10,2)="S8")),"R2 tidak boleh S6/S7/S8; ","")&amp;IF(AND(LEFT(G10,2)="R2",OR(LEFT(H10,3)="T02",LEFT(I10,2)="P8")),"T02 atau P8 tidak boleh R2; ","")&amp;IF(AND(LEFT(H10,3)="T01",LEFT(I10,2)&lt;&gt;"P6",N10=""),"T01 biasanya P6; jelaskan di V12; ","")&amp;IF(AND(LEFT(I10,2)="P1",LEFT(K10,2)&lt;&gt;"K4",N10=""),"P1 biasanya K4; jelaskan di V12; ","")="","OK",IF(AND(LEFT(G10,2)="R0",LEFT(K10,2)&lt;&gt;"K5"),"R0 harus K5; ","")&amp;IF(AND(LEFT(G10,2)="R1",LEFT(K10,2)="K3"),"R1 tidak boleh K3 (fungsional); ","")&amp;IF(AND(LEFT(G10,2)="R2",LEFT(K10,2)="K5"),"R2 tidak boleh K5; ","")&amp;IF(AND(LEFT(G10,2)="R2",OR(LEFT(F10,2)="S6",LEFT(F10,2)="S7",LEFT(F10,2)="S8")),"R2 tidak boleh S6/S7/S8; ","")&amp;IF(AND(LEFT(G10,2)="R2",OR(LEFT(H10,3)="T02",LEFT(I10,2)="P8")),"T02 atau P8 tidak boleh R2; ","")&amp;IF(AND(LEFT(H10,3)="T01",LEFT(I10,2)&lt;&gt;"P6",N10=""),"T01 biasanya P6; jelaskan di V12; ","")&amp;IF(AND(LEFT(I10,2)="P1",LEFT(K10,2)&lt;&gt;"K4",N10=""),"P1 biasanya K4; jelaskan di V12; ","")))</f>
        <v>OK</v>
      </c>
      <c r="R10" s="18" t="str">
        <f>IF(INDEX(Korpus!$B:$B,$A10)="","",INDEX(Korpus!$B:$B,$A10))</f>
        <v xml:space="preserve">C. Pembahasan</v>
      </c>
      <c r="S10" s="18" t="str">
        <f>IF(INDEX(Korpus!$C:$C,$A10)="","",INDEX(Korpus!$C:$C,$A10))</f>
        <v xml:space="preserve">5. Pentingnya Perlindungan Data Pribadi</v>
      </c>
    </row>
    <row r="11" ht="60" customHeight="1">
      <c r="A11" s="16">
        <v>11</v>
      </c>
      <c r="B11" s="17" t="str">
        <f>IF(Petunjuk!$C$4="","",Petunjuk!$C$4)</f>
        <v xml:space="preserve">Ubah Coder ini di Sheet “Petunjuk”</v>
      </c>
      <c r="C11" s="18" t="str">
        <f>IF(INDEX(Korpus!$A:$A,$A11)="","",INDEX(Korpus!$A:$A,$A11))</f>
        <v>2019MHN201</v>
      </c>
      <c r="D11" s="18" t="str">
        <f>TRIM(INDEX(Korpus!$D:$D,$A11)&amp;" "&amp;INDEX(Korpus!$E:$E,$A11))</f>
        <v xml:space="preserve">Paragraf 4 Kalimat 4</v>
      </c>
      <c r="E11" s="18" t="str">
        <f>IF(INDEX(Korpus!$F:$F,$A11)="","",INDEX(Korpus!$F:$F,$A11))</f>
        <v xml:space="preserve">Hak privasi telah berkembang sehingga dapat digunakan untuk merumuskan hak untuk melindungi data pribadi.</v>
      </c>
      <c r="F11" s="19" t="s">
        <v>62</v>
      </c>
      <c r="G11" s="19" t="s">
        <v>63</v>
      </c>
      <c r="H11" s="19" t="s">
        <v>64</v>
      </c>
      <c r="I11" s="19" t="s">
        <v>65</v>
      </c>
      <c r="J11" s="19" t="s">
        <v>66</v>
      </c>
      <c r="K11" s="19" t="s">
        <v>67</v>
      </c>
      <c r="L11" s="19"/>
      <c r="M11" s="20"/>
      <c r="N11" s="20"/>
      <c r="O11" s="16"/>
      <c r="P11" s="18" t="str">
        <f t="shared" si="2"/>
        <v>Lengkap</v>
      </c>
      <c r="Q11" s="18" t="str">
        <f t="shared" si="3"/>
        <v>OK</v>
      </c>
      <c r="R11" s="18" t="str">
        <f>IF(INDEX(Korpus!$B:$B,$A11)="","",INDEX(Korpus!$B:$B,$A11))</f>
        <v xml:space="preserve">C. Pembahasan</v>
      </c>
      <c r="S11" s="18" t="str">
        <f>IF(INDEX(Korpus!$C:$C,$A11)="","",INDEX(Korpus!$C:$C,$A11))</f>
        <v xml:space="preserve">5. Pentingnya Perlindungan Data Pribadi</v>
      </c>
    </row>
    <row r="12" ht="60" customHeight="1">
      <c r="A12" s="16">
        <v>12</v>
      </c>
      <c r="B12" s="17" t="str">
        <f>IF(Petunjuk!$C$4="","",Petunjuk!$C$4)</f>
        <v xml:space="preserve">Ubah Coder ini di Sheet “Petunjuk”</v>
      </c>
      <c r="C12" s="18" t="str">
        <f>IF(INDEX(Korpus!$A:$A,$A12)="","",INDEX(Korpus!$A:$A,$A12))</f>
        <v>2019MHN201</v>
      </c>
      <c r="D12" s="18" t="str">
        <f>TRIM(INDEX(Korpus!$D:$D,$A12)&amp;" "&amp;INDEX(Korpus!$E:$E,$A12))</f>
        <v xml:space="preserve">Paragraf 5 Kalimat 1</v>
      </c>
      <c r="E12" s="18" t="str">
        <f>IF(INDEX(Korpus!$F:$F,$A12)="","",INDEX(Korpus!$F:$F,$A12))</f>
        <v xml:space="preserve">Perlindungan data pribadi telah diatur di dalam UUD NKRI Tahun 1945.</v>
      </c>
      <c r="F12" s="19" t="s">
        <v>62</v>
      </c>
      <c r="G12" s="19" t="s">
        <v>71</v>
      </c>
      <c r="H12" s="19" t="s">
        <v>64</v>
      </c>
      <c r="I12" s="19" t="s">
        <v>65</v>
      </c>
      <c r="J12" s="19" t="s">
        <v>66</v>
      </c>
      <c r="K12" s="19" t="s">
        <v>67</v>
      </c>
      <c r="L12" s="19"/>
      <c r="M12" s="20"/>
      <c r="N12" s="20"/>
      <c r="O12" s="16"/>
      <c r="P12" s="18" t="str">
        <f t="shared" si="2"/>
        <v>Lengkap</v>
      </c>
      <c r="Q12" s="18" t="str">
        <f t="shared" si="3"/>
        <v>OK</v>
      </c>
      <c r="R12" s="18" t="str">
        <f>IF(INDEX(Korpus!$B:$B,$A12)="","",INDEX(Korpus!$B:$B,$A12))</f>
        <v xml:space="preserve">C. Pembahasan</v>
      </c>
      <c r="S12" s="18" t="str">
        <f>IF(INDEX(Korpus!$C:$C,$A12)="","",INDEX(Korpus!$C:$C,$A12))</f>
        <v xml:space="preserve">5. Pentingnya Perlindungan Data Pribadi</v>
      </c>
    </row>
    <row r="13" ht="60" customHeight="1">
      <c r="A13" s="16">
        <v>13</v>
      </c>
      <c r="B13" s="17" t="str">
        <f>IF(Petunjuk!$C$4="","",Petunjuk!$C$4)</f>
        <v xml:space="preserve">Ubah Coder ini di Sheet “Petunjuk”</v>
      </c>
      <c r="C13" s="18" t="str">
        <f>IF(INDEX(Korpus!$A:$A,$A13)="","",INDEX(Korpus!$A:$A,$A13))</f>
        <v>2019MHN201</v>
      </c>
      <c r="D13" s="18" t="str">
        <f>TRIM(INDEX(Korpus!$D:$D,$A13)&amp;" "&amp;INDEX(Korpus!$E:$E,$A13))</f>
        <v xml:space="preserve">Paragraf 5 Kalimat 2</v>
      </c>
      <c r="E13" s="18" t="str">
        <f>IF(INDEX(Korpus!$F:$F,$A13)="","",INDEX(Korpus!$F:$F,$A13))</f>
        <v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F13" s="19" t="s">
        <v>73</v>
      </c>
      <c r="G13" s="19" t="s">
        <v>63</v>
      </c>
      <c r="H13" s="19" t="s">
        <v>74</v>
      </c>
      <c r="I13" s="19" t="s">
        <v>75</v>
      </c>
      <c r="J13" s="19" t="s">
        <v>76</v>
      </c>
      <c r="K13" s="19" t="s">
        <v>67</v>
      </c>
      <c r="L13" s="19" t="s">
        <v>64</v>
      </c>
      <c r="M13" s="20"/>
      <c r="N13" s="20" t="s">
        <v>77</v>
      </c>
      <c r="O13" s="16" t="s">
        <v>78</v>
      </c>
      <c r="P13" s="18" t="str">
        <f t="shared" si="2"/>
        <v>Lengkap</v>
      </c>
      <c r="Q13" s="18" t="str">
        <f t="shared" si="3"/>
        <v>OK</v>
      </c>
      <c r="R13" s="18" t="str">
        <f>IF(INDEX(Korpus!$B:$B,$A13)="","",INDEX(Korpus!$B:$B,$A13))</f>
        <v xml:space="preserve">C. Pembahasan</v>
      </c>
      <c r="S13" s="18" t="str">
        <f>IF(INDEX(Korpus!$C:$C,$A13)="","",INDEX(Korpus!$C:$C,$A13))</f>
        <v xml:space="preserve">5. Pentingnya Perlindungan Data Pribadi</v>
      </c>
    </row>
    <row r="14" ht="60" customHeight="1">
      <c r="A14" s="16">
        <v>14</v>
      </c>
      <c r="B14" s="17" t="str">
        <f>IF(Petunjuk!$C$4="","",Petunjuk!$C$4)</f>
        <v xml:space="preserve">Ubah Coder ini di Sheet “Petunjuk”</v>
      </c>
      <c r="C14" s="18" t="str">
        <f>IF(INDEX(Korpus!$A:$A,$A14)="","",INDEX(Korpus!$A:$A,$A14))</f>
        <v>2019MHN201</v>
      </c>
      <c r="D14" s="18" t="str">
        <f>TRIM(INDEX(Korpus!$D:$D,$A14)&amp;" "&amp;INDEX(Korpus!$E:$E,$A14))</f>
        <v xml:space="preserve">Paragraf 6 Kalimat 1</v>
      </c>
      <c r="E14" s="18" t="str">
        <f>IF(INDEX(Korpus!$F:$F,$A14)="","",INDEX(Korpus!$F:$F,$A14))</f>
        <v xml:space="preserve">Selain itu beberapa peraturan nasional secara umum telah mengatur untuk memberikan perlindungan data pribadi antara lain:</v>
      </c>
      <c r="F14" s="19" t="s">
        <v>62</v>
      </c>
      <c r="G14" s="19" t="s">
        <v>71</v>
      </c>
      <c r="H14" s="19" t="s">
        <v>64</v>
      </c>
      <c r="I14" s="19" t="s">
        <v>65</v>
      </c>
      <c r="J14" s="19" t="s">
        <v>66</v>
      </c>
      <c r="K14" s="19" t="s">
        <v>67</v>
      </c>
      <c r="L14" s="19"/>
      <c r="M14" s="20"/>
      <c r="N14" s="20"/>
      <c r="O14" s="16"/>
      <c r="P14" s="18" t="str">
        <f t="shared" si="2"/>
        <v>Lengkap</v>
      </c>
      <c r="Q14" s="18" t="str">
        <f t="shared" si="3"/>
        <v>OK</v>
      </c>
      <c r="R14" s="18" t="str">
        <f>IF(INDEX(Korpus!$B:$B,$A14)="","",INDEX(Korpus!$B:$B,$A14))</f>
        <v xml:space="preserve">C. Pembahasan</v>
      </c>
      <c r="S14" s="18" t="str">
        <f>IF(INDEX(Korpus!$C:$C,$A14)="","",INDEX(Korpus!$C:$C,$A14))</f>
        <v xml:space="preserve">5. Pentingnya Perlindungan Data Pribadi</v>
      </c>
    </row>
    <row r="15" ht="60" customHeight="1">
      <c r="A15" s="16">
        <v>15</v>
      </c>
      <c r="B15" s="17" t="str">
        <f>IF(Petunjuk!$C$4="","",Petunjuk!$C$4)</f>
        <v xml:space="preserve">Ubah Coder ini di Sheet “Petunjuk”</v>
      </c>
      <c r="C15" s="18" t="str">
        <f>IF(INDEX(Korpus!$A:$A,$A15)="","",INDEX(Korpus!$A:$A,$A15))</f>
        <v>2019MHN201</v>
      </c>
      <c r="D15" s="18" t="str">
        <f>TRIM(INDEX(Korpus!$D:$D,$A15)&amp;" "&amp;INDEX(Korpus!$E:$E,$A15))</f>
        <v xml:space="preserve">Paragraf 6 Kalimat 2</v>
      </c>
      <c r="E15" s="18" t="str">
        <f>IF(INDEX(Korpus!$F:$F,$A15)="","",INDEX(Korpus!$F:$F,$A15))</f>
        <v xml:space="preserve">1) Undang-Undang Nomor 19 Tahun 2016 Tentang Perubahan Atas Undang-Undang Nomor 11 Tahun 2008 Tentang Informasi dan Transaksi Elektronik</v>
      </c>
      <c r="F15" s="19" t="s">
        <v>62</v>
      </c>
      <c r="G15" s="19" t="s">
        <v>71</v>
      </c>
      <c r="H15" s="19" t="s">
        <v>64</v>
      </c>
      <c r="I15" s="19" t="s">
        <v>65</v>
      </c>
      <c r="J15" s="19" t="s">
        <v>66</v>
      </c>
      <c r="K15" s="19" t="s">
        <v>67</v>
      </c>
      <c r="L15" s="19"/>
      <c r="M15" s="20"/>
      <c r="N15" s="20"/>
      <c r="O15" s="16" t="s">
        <v>68</v>
      </c>
      <c r="P15" s="18" t="str">
        <f t="shared" si="2"/>
        <v>Lengkap</v>
      </c>
      <c r="Q15" s="18" t="str">
        <f t="shared" si="3"/>
        <v>OK</v>
      </c>
      <c r="R15" s="18" t="str">
        <f>IF(INDEX(Korpus!$B:$B,$A15)="","",INDEX(Korpus!$B:$B,$A15))</f>
        <v xml:space="preserve">C. Pembahasan</v>
      </c>
      <c r="S15" s="18" t="str">
        <f>IF(INDEX(Korpus!$C:$C,$A15)="","",INDEX(Korpus!$C:$C,$A15))</f>
        <v xml:space="preserve">5. Pentingnya Perlindungan Data Pribadi</v>
      </c>
    </row>
    <row r="16" ht="60" customHeight="1">
      <c r="A16" s="16">
        <v>16</v>
      </c>
      <c r="B16" s="17" t="str">
        <f>IF(Petunjuk!$C$4="","",Petunjuk!$C$4)</f>
        <v xml:space="preserve">Ubah Coder ini di Sheet “Petunjuk”</v>
      </c>
      <c r="C16" s="18" t="str">
        <f>IF(INDEX(Korpus!$A:$A,$A16)="","",INDEX(Korpus!$A:$A,$A16))</f>
        <v>2019MHN201</v>
      </c>
      <c r="D16" s="18" t="str">
        <f>TRIM(INDEX(Korpus!$D:$D,$A16)&amp;" "&amp;INDEX(Korpus!$E:$E,$A16))</f>
        <v xml:space="preserve">Paragraf 6 Kalimat 3</v>
      </c>
      <c r="E16" s="18" t="str">
        <f>IF(INDEX(Korpus!$F:$F,$A16)="","",INDEX(Korpus!$F:$F,$A16))</f>
        <v xml:space="preserve">2) Undang-Undang Nomor 11 Tahun 2008 Tentang Informasi dan Transaksi Elektronik</v>
      </c>
      <c r="F16" s="19" t="s">
        <v>62</v>
      </c>
      <c r="G16" s="19" t="s">
        <v>71</v>
      </c>
      <c r="H16" s="19" t="s">
        <v>64</v>
      </c>
      <c r="I16" s="19" t="s">
        <v>65</v>
      </c>
      <c r="J16" s="19" t="s">
        <v>66</v>
      </c>
      <c r="K16" s="19" t="s">
        <v>67</v>
      </c>
      <c r="L16" s="19"/>
      <c r="M16" s="20"/>
      <c r="N16" s="20"/>
      <c r="O16" s="16"/>
      <c r="P16" s="18" t="str">
        <f t="shared" si="2"/>
        <v>Lengkap</v>
      </c>
      <c r="Q16" s="18" t="str">
        <f t="shared" si="3"/>
        <v>OK</v>
      </c>
      <c r="R16" s="18" t="str">
        <f>IF(INDEX(Korpus!$B:$B,$A16)="","",INDEX(Korpus!$B:$B,$A16))</f>
        <v xml:space="preserve">C. Pembahasan</v>
      </c>
      <c r="S16" s="18" t="str">
        <f>IF(INDEX(Korpus!$C:$C,$A16)="","",INDEX(Korpus!$C:$C,$A16))</f>
        <v xml:space="preserve">5. Pentingnya Perlindungan Data Pribadi</v>
      </c>
    </row>
    <row r="17" ht="60" customHeight="1">
      <c r="A17" s="16">
        <v>17</v>
      </c>
      <c r="B17" s="17" t="str">
        <f>IF(Petunjuk!$C$4="","",Petunjuk!$C$4)</f>
        <v xml:space="preserve">Ubah Coder ini di Sheet “Petunjuk”</v>
      </c>
      <c r="C17" s="18" t="str">
        <f>IF(INDEX(Korpus!$A:$A,$A17)="","",INDEX(Korpus!$A:$A,$A17))</f>
        <v>2019MHN201</v>
      </c>
      <c r="D17" s="18" t="str">
        <f>TRIM(INDEX(Korpus!$D:$D,$A17)&amp;" "&amp;INDEX(Korpus!$E:$E,$A17))</f>
        <v xml:space="preserve">Paragraf 6 Kalimat 13</v>
      </c>
      <c r="E17" s="18" t="str">
        <f>IF(INDEX(Korpus!$F:$F,$A17)="","",INDEX(Korpus!$F:$F,$A17))</f>
        <v xml:space="preserve">12) Peraturan Menteri Komunikasi dan Informasi Nomor 20 Tahun 2016 Tentang Perlindungan Data Pribadi Dalam Sistem Elektronik</v>
      </c>
      <c r="F17" s="19" t="s">
        <v>62</v>
      </c>
      <c r="G17" s="19" t="s">
        <v>71</v>
      </c>
      <c r="H17" s="19" t="s">
        <v>64</v>
      </c>
      <c r="I17" s="19" t="s">
        <v>65</v>
      </c>
      <c r="J17" s="19" t="s">
        <v>66</v>
      </c>
      <c r="K17" s="19" t="s">
        <v>67</v>
      </c>
      <c r="L17" s="19"/>
      <c r="M17" s="20"/>
      <c r="N17" s="20"/>
      <c r="O17" s="16"/>
      <c r="P17" s="18" t="str">
        <f t="shared" si="2"/>
        <v>Lengkap</v>
      </c>
      <c r="Q17" s="18" t="str">
        <f t="shared" si="3"/>
        <v>OK</v>
      </c>
      <c r="R17" s="18" t="str">
        <f>IF(INDEX(Korpus!$B:$B,$A17)="","",INDEX(Korpus!$B:$B,$A17))</f>
        <v xml:space="preserve">C. Pembahasan</v>
      </c>
      <c r="S17" s="18" t="str">
        <f>IF(INDEX(Korpus!$C:$C,$A17)="","",INDEX(Korpus!$C:$C,$A17))</f>
        <v xml:space="preserve">5. Pentingnya Perlindungan Data Pribadi</v>
      </c>
    </row>
    <row r="18" ht="60" customHeight="1">
      <c r="A18" s="16">
        <v>18</v>
      </c>
      <c r="B18" s="17" t="str">
        <f>IF(Petunjuk!$C$4="","",Petunjuk!$C$4)</f>
        <v xml:space="preserve">Ubah Coder ini di Sheet “Petunjuk”</v>
      </c>
      <c r="C18" s="18" t="str">
        <f>IF(INDEX(Korpus!$A:$A,$A18)="","",INDEX(Korpus!$A:$A,$A18))</f>
        <v>2019MHN201</v>
      </c>
      <c r="D18" s="18" t="str">
        <f>TRIM(INDEX(Korpus!$D:$D,$A18)&amp;" "&amp;INDEX(Korpus!$E:$E,$A18))</f>
        <v xml:space="preserve">Paragraf 6 Kalimat 14</v>
      </c>
      <c r="E18" s="18" t="str">
        <f>IF(INDEX(Korpus!$F:$F,$A18)="","",INDEX(Korpus!$F:$F,$A18))</f>
        <v xml:space="preserve">13) Peraturan Pemerintah Nomor 82 Tahun 2012 Tentang Penyelenggaraan Sistem dan Transaksi Elektronik</v>
      </c>
      <c r="F18" s="19" t="s">
        <v>62</v>
      </c>
      <c r="G18" s="19" t="s">
        <v>71</v>
      </c>
      <c r="H18" s="19" t="s">
        <v>64</v>
      </c>
      <c r="I18" s="19" t="s">
        <v>65</v>
      </c>
      <c r="J18" s="19" t="s">
        <v>66</v>
      </c>
      <c r="K18" s="19" t="s">
        <v>67</v>
      </c>
      <c r="L18" s="19"/>
      <c r="M18" s="20"/>
      <c r="N18" s="20"/>
      <c r="O18" s="16"/>
      <c r="P18" s="18" t="str">
        <f t="shared" si="2"/>
        <v>Lengkap</v>
      </c>
      <c r="Q18" s="18" t="str">
        <f t="shared" si="3"/>
        <v>OK</v>
      </c>
      <c r="R18" s="18" t="str">
        <f>IF(INDEX(Korpus!$B:$B,$A18)="","",INDEX(Korpus!$B:$B,$A18))</f>
        <v xml:space="preserve">C. Pembahasan</v>
      </c>
      <c r="S18" s="18" t="str">
        <f>IF(INDEX(Korpus!$C:$C,$A18)="","",INDEX(Korpus!$C:$C,$A18))</f>
        <v xml:space="preserve">5. Pentingnya Perlindungan Data Pribadi</v>
      </c>
    </row>
    <row r="19" ht="60" customHeight="1">
      <c r="A19" s="16">
        <v>19</v>
      </c>
      <c r="B19" s="17" t="str">
        <f>IF(Petunjuk!$C$4="","",Petunjuk!$C$4)</f>
        <v xml:space="preserve">Ubah Coder ini di Sheet “Petunjuk”</v>
      </c>
      <c r="C19" s="18" t="str">
        <f>IF(INDEX(Korpus!$A:$A,$A19)="","",INDEX(Korpus!$A:$A,$A19))</f>
        <v>2019MHN201</v>
      </c>
      <c r="D19" s="18" t="str">
        <f>TRIM(INDEX(Korpus!$D:$D,$A19)&amp;" "&amp;INDEX(Korpus!$E:$E,$A19))</f>
        <v xml:space="preserve">Paragraf 6 Kalimat 16</v>
      </c>
      <c r="E19" s="18" t="str">
        <f>IF(INDEX(Korpus!$F:$F,$A19)="","",INDEX(Korpus!$F:$F,$A19))</f>
        <v xml:space="preserve">15) Peraturan Menteri Komunikasi dan Informasi Nomor 4 Tahun 2016 Tentang Sistem Manajemen Pengaman Informasi</v>
      </c>
      <c r="F19" s="19" t="s">
        <v>62</v>
      </c>
      <c r="G19" s="19" t="s">
        <v>71</v>
      </c>
      <c r="H19" s="19" t="s">
        <v>64</v>
      </c>
      <c r="I19" s="19" t="s">
        <v>65</v>
      </c>
      <c r="J19" s="19" t="s">
        <v>66</v>
      </c>
      <c r="K19" s="19" t="s">
        <v>67</v>
      </c>
      <c r="L19" s="19"/>
      <c r="M19" s="20"/>
      <c r="N19" s="20"/>
      <c r="O19" s="16"/>
      <c r="P19" s="18" t="str">
        <f t="shared" si="2"/>
        <v>Lengkap</v>
      </c>
      <c r="Q19" s="18" t="str">
        <f t="shared" si="3"/>
        <v>OK</v>
      </c>
      <c r="R19" s="18" t="str">
        <f>IF(INDEX(Korpus!$B:$B,$A19)="","",INDEX(Korpus!$B:$B,$A19))</f>
        <v xml:space="preserve">C. Pembahasan</v>
      </c>
      <c r="S19" s="18" t="str">
        <f>IF(INDEX(Korpus!$C:$C,$A19)="","",INDEX(Korpus!$C:$C,$A19))</f>
        <v xml:space="preserve">5. Pentingnya Perlindungan Data Pribadi</v>
      </c>
    </row>
    <row r="20" ht="60" customHeight="1">
      <c r="A20" s="16">
        <v>20</v>
      </c>
      <c r="B20" s="17" t="str">
        <f>IF(Petunjuk!$C$4="","",Petunjuk!$C$4)</f>
        <v xml:space="preserve">Ubah Coder ini di Sheet “Petunjuk”</v>
      </c>
      <c r="C20" s="18" t="str">
        <f>IF(INDEX(Korpus!$A:$A,$A20)="","",INDEX(Korpus!$A:$A,$A20))</f>
        <v>2019MHN201</v>
      </c>
      <c r="D20" s="18" t="str">
        <f>TRIM(INDEX(Korpus!$D:$D,$A20)&amp;" "&amp;INDEX(Korpus!$E:$E,$A20))</f>
        <v xml:space="preserve">Paragraf 7 Kalimat 2</v>
      </c>
      <c r="E20" s="18" t="str">
        <f>IF(INDEX(Korpus!$F:$F,$A20)="","",INDEX(Korpus!$F:$F,$A20))</f>
        <v xml:space="preserve">Dalam Pasal 26 huruf a disebutkan bahwa menjaga kerahasiaan, keutuhan, dan ketersediaan data pribadi, data transaksi, dan data keuangan yang dikelolanya sejak data diperoleh hingga data tersebut dimusnahkan.</v>
      </c>
      <c r="F20" s="19" t="s">
        <v>62</v>
      </c>
      <c r="G20" s="19" t="s">
        <v>63</v>
      </c>
      <c r="H20" s="19" t="s">
        <v>79</v>
      </c>
      <c r="I20" s="19" t="s">
        <v>80</v>
      </c>
      <c r="J20" s="19" t="s">
        <v>66</v>
      </c>
      <c r="K20" s="19" t="s">
        <v>81</v>
      </c>
      <c r="L20" s="19"/>
      <c r="M20" s="20"/>
      <c r="N20" s="20" t="s">
        <v>82</v>
      </c>
      <c r="O20" s="16"/>
      <c r="P20" s="18" t="str">
        <f t="shared" si="2"/>
        <v>Lengkap</v>
      </c>
      <c r="Q20" s="18" t="str">
        <f t="shared" si="3"/>
        <v>OK</v>
      </c>
      <c r="R20" s="18" t="str">
        <f>IF(INDEX(Korpus!$B:$B,$A20)="","",INDEX(Korpus!$B:$B,$A20))</f>
        <v xml:space="preserve">C. Pembahasan</v>
      </c>
      <c r="S20" s="18" t="str">
        <f>IF(INDEX(Korpus!$C:$C,$A20)="","",INDEX(Korpus!$C:$C,$A20))</f>
        <v xml:space="preserve">5. Pentingnya Perlindungan Data Pribadi</v>
      </c>
    </row>
    <row r="21" ht="60" customHeight="1">
      <c r="A21" s="16">
        <v>21</v>
      </c>
      <c r="B21" s="17" t="str">
        <f>IF(Petunjuk!$C$4="","",Petunjuk!$C$4)</f>
        <v xml:space="preserve">Ubah Coder ini di Sheet “Petunjuk”</v>
      </c>
      <c r="C21" s="18" t="str">
        <f>IF(INDEX(Korpus!$A:$A,$A21)="","",INDEX(Korpus!$A:$A,$A21))</f>
        <v>2019MHN201</v>
      </c>
      <c r="D21" s="18" t="str">
        <f>TRIM(INDEX(Korpus!$D:$D,$A21)&amp;" "&amp;INDEX(Korpus!$E:$E,$A21))</f>
        <v xml:space="preserve">Paragraf 7 Kalimat 3</v>
      </c>
      <c r="E21" s="18" t="str">
        <f>IF(INDEX(Korpus!$F:$F,$A21)="","",INDEX(Korpus!$F:$F,$A21))</f>
        <v xml:space="preserve">Selain itu Peraturan OJK Nomor 13 Tahun 2018 Tentang Inovasi Keuangan Digital di Sektor Keuangan, telah memasukkan poin terkait perlindungan dan kerahasiaan data.</v>
      </c>
      <c r="F21" s="19" t="s">
        <v>62</v>
      </c>
      <c r="G21" s="19" t="s">
        <v>71</v>
      </c>
      <c r="H21" s="19" t="s">
        <v>64</v>
      </c>
      <c r="I21" s="19" t="s">
        <v>65</v>
      </c>
      <c r="J21" s="19" t="s">
        <v>66</v>
      </c>
      <c r="K21" s="19" t="s">
        <v>67</v>
      </c>
      <c r="L21" s="19"/>
      <c r="M21" s="20"/>
      <c r="N21" s="20"/>
      <c r="O21" s="16" t="s">
        <v>78</v>
      </c>
      <c r="P21" s="18" t="str">
        <f t="shared" si="2"/>
        <v>Lengkap</v>
      </c>
      <c r="Q21" s="18" t="str">
        <f t="shared" si="3"/>
        <v>OK</v>
      </c>
      <c r="R21" s="18" t="str">
        <f>IF(INDEX(Korpus!$B:$B,$A21)="","",INDEX(Korpus!$B:$B,$A21))</f>
        <v xml:space="preserve">C. Pembahasan</v>
      </c>
      <c r="S21" s="18" t="str">
        <f>IF(INDEX(Korpus!$C:$C,$A21)="","",INDEX(Korpus!$C:$C,$A21))</f>
        <v xml:space="preserve">5. Pentingnya Perlindungan Data Pribadi</v>
      </c>
    </row>
    <row r="22" ht="60" customHeight="1">
      <c r="A22" s="16">
        <v>22</v>
      </c>
      <c r="B22" s="17" t="str">
        <f>IF(Petunjuk!$C$4="","",Petunjuk!$C$4)</f>
        <v xml:space="preserve">Ubah Coder ini di Sheet “Petunjuk”</v>
      </c>
      <c r="C22" s="18" t="str">
        <f>IF(INDEX(Korpus!$A:$A,$A22)="","",INDEX(Korpus!$A:$A,$A22))</f>
        <v>2019MHN201</v>
      </c>
      <c r="D22" s="18" t="str">
        <f>TRIM(INDEX(Korpus!$D:$D,$A22)&amp;" "&amp;INDEX(Korpus!$E:$E,$A22))</f>
        <v xml:space="preserve">Paragraf 7 Kalimat 4</v>
      </c>
      <c r="E22" s="18" t="str">
        <f>IF(INDEX(Korpus!$F:$F,$A22)="","",INDEX(Korpus!$F:$F,$A22))</f>
        <v xml:space="preserve">Pasal 30 ayat (1) menyebutkan bahwa Penyelenggara wajib menjaga kerahasiaan data pribadi, data transaksi, dan data keuangan yang dikelolanya sejak diperoleh hingga data tersebut dimusnahkan.</v>
      </c>
      <c r="F22" s="19" t="s">
        <v>83</v>
      </c>
      <c r="G22" s="19" t="s">
        <v>63</v>
      </c>
      <c r="H22" s="19" t="s">
        <v>79</v>
      </c>
      <c r="I22" s="19" t="s">
        <v>80</v>
      </c>
      <c r="J22" s="19" t="s">
        <v>66</v>
      </c>
      <c r="K22" s="19" t="s">
        <v>81</v>
      </c>
      <c r="L22" s="19"/>
      <c r="M22" s="20"/>
      <c r="N22" s="20"/>
      <c r="O22" s="16" t="s">
        <v>68</v>
      </c>
      <c r="P22" s="18" t="str">
        <f t="shared" si="2"/>
        <v>Lengkap</v>
      </c>
      <c r="Q22" s="18" t="str">
        <f t="shared" si="3"/>
        <v>OK</v>
      </c>
      <c r="R22" s="18" t="str">
        <f>IF(INDEX(Korpus!$B:$B,$A22)="","",INDEX(Korpus!$B:$B,$A22))</f>
        <v xml:space="preserve">C. Pembahasan</v>
      </c>
      <c r="S22" s="18" t="str">
        <f>IF(INDEX(Korpus!$C:$C,$A22)="","",INDEX(Korpus!$C:$C,$A22))</f>
        <v xml:space="preserve">5. Pentingnya Perlindungan Data Pribadi</v>
      </c>
    </row>
    <row r="23" ht="60" customHeight="1">
      <c r="A23" s="16">
        <v>23</v>
      </c>
      <c r="B23" s="17" t="str">
        <f>IF(Petunjuk!$C$4="","",Petunjuk!$C$4)</f>
        <v xml:space="preserve">Ubah Coder ini di Sheet “Petunjuk”</v>
      </c>
      <c r="C23" s="18" t="str">
        <f>IF(INDEX(Korpus!$A:$A,$A23)="","",INDEX(Korpus!$A:$A,$A23))</f>
        <v>2019MHN201</v>
      </c>
      <c r="D23" s="18" t="str">
        <f>TRIM(INDEX(Korpus!$D:$D,$A23)&amp;" "&amp;INDEX(Korpus!$E:$E,$A23))</f>
        <v xml:space="preserve">Paragraf 8 Kalimat 1</v>
      </c>
      <c r="E23" s="18" t="str">
        <f>IF(INDEX(Korpus!$F:$F,$A23)="","",INDEX(Korpus!$F:$F,$A23))</f>
        <v xml:space="preserve">Banyaknya peraturan yang mengatur tentang perlindungan data pribadi menunjukkan pentingnya data pribadi untuk dilindungi.</v>
      </c>
      <c r="F23" s="19" t="s">
        <v>62</v>
      </c>
      <c r="G23" s="19" t="s">
        <v>63</v>
      </c>
      <c r="H23" s="19" t="s">
        <v>64</v>
      </c>
      <c r="I23" s="19" t="s">
        <v>65</v>
      </c>
      <c r="J23" s="19" t="s">
        <v>66</v>
      </c>
      <c r="K23" s="19" t="s">
        <v>67</v>
      </c>
      <c r="L23" s="19"/>
      <c r="M23" s="20"/>
      <c r="N23" s="20"/>
      <c r="O23" s="16"/>
      <c r="P23" s="18" t="str">
        <f t="shared" si="2"/>
        <v>Lengkap</v>
      </c>
      <c r="Q23" s="18" t="str">
        <f t="shared" si="3"/>
        <v>OK</v>
      </c>
      <c r="R23" s="18" t="str">
        <f>IF(INDEX(Korpus!$B:$B,$A23)="","",INDEX(Korpus!$B:$B,$A23))</f>
        <v xml:space="preserve">C. Pembahasan</v>
      </c>
      <c r="S23" s="18" t="str">
        <f>IF(INDEX(Korpus!$C:$C,$A23)="","",INDEX(Korpus!$C:$C,$A23))</f>
        <v xml:space="preserve">5. Pentingnya Perlindungan Data Pribadi</v>
      </c>
    </row>
    <row r="24" ht="60" customHeight="1">
      <c r="A24" s="16">
        <v>24</v>
      </c>
      <c r="B24" s="17" t="str">
        <f>IF(Petunjuk!$C$4="","",Petunjuk!$C$4)</f>
        <v xml:space="preserve">Ubah Coder ini di Sheet “Petunjuk”</v>
      </c>
      <c r="C24" s="18" t="str">
        <f>IF(INDEX(Korpus!$A:$A,$A24)="","",INDEX(Korpus!$A:$A,$A24))</f>
        <v>2019MHN201</v>
      </c>
      <c r="D24" s="18" t="str">
        <f>TRIM(INDEX(Korpus!$D:$D,$A24)&amp;" "&amp;INDEX(Korpus!$E:$E,$A24))</f>
        <v xml:space="preserve">Paragraf 8 Kalimat 3</v>
      </c>
      <c r="E24" s="18" t="str">
        <f>IF(INDEX(Korpus!$F:$F,$A24)="","",INDEX(Korpus!$F:$F,$A24))</f>
        <v xml:space="preserve">Oleh karena itu perlu disusun suatu undang-undang yang secara khusus dapat memberikan perlindungan data pribadi.</v>
      </c>
      <c r="F24" s="19" t="s">
        <v>62</v>
      </c>
      <c r="G24" s="19" t="s">
        <v>63</v>
      </c>
      <c r="H24" s="19" t="s">
        <v>64</v>
      </c>
      <c r="I24" s="19" t="s">
        <v>65</v>
      </c>
      <c r="J24" s="19" t="s">
        <v>66</v>
      </c>
      <c r="K24" s="19" t="s">
        <v>67</v>
      </c>
      <c r="L24" s="19"/>
      <c r="M24" s="20"/>
      <c r="N24" s="20"/>
      <c r="O24" s="16"/>
      <c r="P24" s="18" t="str">
        <f t="shared" si="2"/>
        <v>Lengkap</v>
      </c>
      <c r="Q24" s="18" t="str">
        <f t="shared" si="3"/>
        <v>OK</v>
      </c>
      <c r="R24" s="18" t="str">
        <f>IF(INDEX(Korpus!$B:$B,$A24)="","",INDEX(Korpus!$B:$B,$A24))</f>
        <v xml:space="preserve">C. Pembahasan</v>
      </c>
      <c r="S24" s="18" t="str">
        <f>IF(INDEX(Korpus!$C:$C,$A24)="","",INDEX(Korpus!$C:$C,$A24))</f>
        <v xml:space="preserve">5. Pentingnya Perlindungan Data Pribadi</v>
      </c>
    </row>
    <row r="25" ht="60" customHeight="1">
      <c r="A25" s="16">
        <v>25</v>
      </c>
      <c r="B25" s="17" t="str">
        <f>IF(Petunjuk!$C$4="","",Petunjuk!$C$4)</f>
        <v xml:space="preserve">Ubah Coder ini di Sheet “Petunjuk”</v>
      </c>
      <c r="C25" s="18" t="str">
        <f>IF(INDEX(Korpus!$A:$A,$A25)="","",INDEX(Korpus!$A:$A,$A25))</f>
        <v>2019MHN201</v>
      </c>
      <c r="D25" s="18" t="str">
        <f>TRIM(INDEX(Korpus!$D:$D,$A25)&amp;" "&amp;INDEX(Korpus!$E:$E,$A25))</f>
        <v xml:space="preserve">Paragraf 1 Kalimat 3</v>
      </c>
      <c r="E25" s="18" t="str">
        <f>IF(INDEX(Korpus!$F:$F,$A25)="","",INDEX(Korpus!$F:$F,$A25))</f>
        <v xml:space="preserve">Selain itu juga sudah ada Peraturan Menteri Nomor 20 Tahun 2016 tentang Perlindungan Data Pribadi namun belum cukup memberikan perlindungan kepada konsumen.</v>
      </c>
      <c r="F25" s="19" t="s">
        <v>62</v>
      </c>
      <c r="G25" s="19" t="s">
        <v>63</v>
      </c>
      <c r="H25" s="19" t="s">
        <v>64</v>
      </c>
      <c r="I25" s="19" t="s">
        <v>65</v>
      </c>
      <c r="J25" s="19" t="s">
        <v>66</v>
      </c>
      <c r="K25" s="19" t="s">
        <v>67</v>
      </c>
      <c r="L25" s="19"/>
      <c r="M25" s="20"/>
      <c r="N25" s="20"/>
      <c r="O25" s="16" t="s">
        <v>78</v>
      </c>
      <c r="P25" s="18" t="str">
        <f t="shared" si="2"/>
        <v>Lengkap</v>
      </c>
      <c r="Q25" s="18" t="str">
        <f t="shared" si="3"/>
        <v>OK</v>
      </c>
      <c r="R25" s="18" t="str">
        <f>IF(INDEX(Korpus!$B:$B,$A25)="","",INDEX(Korpus!$B:$B,$A25))</f>
        <v xml:space="preserve">D. Penutup</v>
      </c>
      <c r="S25" s="18" t="str">
        <f>IF(INDEX(Korpus!$C:$C,$A25)="","",INDEX(Korpus!$C:$C,$A25))</f>
        <v/>
      </c>
    </row>
    <row r="26" ht="60" customHeight="1">
      <c r="A26" s="16">
        <v>26</v>
      </c>
      <c r="B26" s="17" t="str">
        <f>IF(Petunjuk!$C$4="","",Petunjuk!$C$4)</f>
        <v xml:space="preserve">Ubah Coder ini di Sheet “Petunjuk”</v>
      </c>
      <c r="C26" s="18" t="str">
        <f>IF(INDEX(Korpus!$A:$A,$A26)="","",INDEX(Korpus!$A:$A,$A26))</f>
        <v>2019MHN201</v>
      </c>
      <c r="D26" s="18" t="str">
        <f>TRIM(INDEX(Korpus!$D:$D,$A26)&amp;" "&amp;INDEX(Korpus!$E:$E,$A26))</f>
        <v xml:space="preserve">Paragraf 1 Kalimat 4</v>
      </c>
      <c r="E26" s="18" t="str">
        <f>IF(INDEX(Korpus!$F:$F,$A26)="","",INDEX(Korpus!$F:$F,$A26))</f>
        <v xml:space="preserve">Oleh karenanya Pemerintah perlu segera memberikan perlindungan data pribadi nasabah agar tidak disalahgunakan.</v>
      </c>
      <c r="F26" s="19" t="s">
        <v>84</v>
      </c>
      <c r="G26" s="19" t="s">
        <v>63</v>
      </c>
      <c r="H26" s="19" t="s">
        <v>64</v>
      </c>
      <c r="I26" s="19" t="s">
        <v>65</v>
      </c>
      <c r="J26" s="19" t="s">
        <v>66</v>
      </c>
      <c r="K26" s="19" t="s">
        <v>67</v>
      </c>
      <c r="L26" s="19"/>
      <c r="M26" s="20"/>
      <c r="N26" s="20"/>
      <c r="O26" s="16"/>
      <c r="P26" s="18" t="str">
        <f t="shared" si="2"/>
        <v>Lengkap</v>
      </c>
      <c r="Q26" s="18" t="str">
        <f t="shared" si="3"/>
        <v>OK</v>
      </c>
      <c r="R26" s="18" t="str">
        <f>IF(INDEX(Korpus!$B:$B,$A26)="","",INDEX(Korpus!$B:$B,$A26))</f>
        <v xml:space="preserve">D. Penutup</v>
      </c>
      <c r="S26" s="18" t="str">
        <f>IF(INDEX(Korpus!$C:$C,$A26)="","",INDEX(Korpus!$C:$C,$A26))</f>
        <v/>
      </c>
    </row>
    <row r="27" ht="60" customHeight="1">
      <c r="A27" s="16">
        <v>27</v>
      </c>
      <c r="B27" s="17" t="str">
        <f>IF(Petunjuk!$C$4="","",Petunjuk!$C$4)</f>
        <v xml:space="preserve">Ubah Coder ini di Sheet “Petunjuk”</v>
      </c>
      <c r="C27" s="18" t="str">
        <f>IF(INDEX(Korpus!$A:$A,$A27)="","",INDEX(Korpus!$A:$A,$A27))</f>
        <v xml:space="preserve">UU 23 Thn 2002 (Perlindungan Anak)</v>
      </c>
      <c r="D27" s="18" t="str">
        <f>TRIM(INDEX(Korpus!$D:$D,$A27)&amp;" "&amp;INDEX(Korpus!$E:$E,$A27))</f>
        <v xml:space="preserve">Pasal 27</v>
      </c>
      <c r="E27" s="18" t="str">
        <f>IF(INDEX(Korpus!$F:$F,$A27)="","",INDEX(Korpus!$F:$F,$A27))</f>
        <v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F27" s="19" t="s">
        <v>62</v>
      </c>
      <c r="G27" s="19" t="s">
        <v>63</v>
      </c>
      <c r="H27" s="19" t="s">
        <v>85</v>
      </c>
      <c r="I27" s="19" t="s">
        <v>80</v>
      </c>
      <c r="J27" s="19" t="s">
        <v>66</v>
      </c>
      <c r="K27" s="19" t="s">
        <v>67</v>
      </c>
      <c r="L27" s="19"/>
      <c r="M27" s="20"/>
      <c r="N27" s="20" t="s">
        <v>86</v>
      </c>
      <c r="O27" s="16"/>
      <c r="P27" s="18" t="str">
        <f t="shared" si="2"/>
        <v>Lengkap</v>
      </c>
      <c r="Q27" s="18" t="str">
        <f t="shared" si="3"/>
        <v>OK</v>
      </c>
      <c r="R27" s="18" t="str">
        <f>IF(INDEX(Korpus!$B:$B,$A27)="","",INDEX(Korpus!$B:$B,$A27))</f>
        <v xml:space="preserve">BAB V
KEDUDUKAN ANAK</v>
      </c>
      <c r="S27" s="18" t="str">
        <f>IF(INDEX(Korpus!$C:$C,$A27)="","",INDEX(Korpus!$C:$C,$A27))</f>
        <v xml:space="preserve">Bagian Kesatu
Identitas Anak</v>
      </c>
    </row>
    <row r="28" ht="60" customHeight="1">
      <c r="A28" s="16">
        <v>28</v>
      </c>
      <c r="B28" s="17" t="str">
        <f>IF(Petunjuk!$C$4="","",Petunjuk!$C$4)</f>
        <v xml:space="preserve">Ubah Coder ini di Sheet “Petunjuk”</v>
      </c>
      <c r="C28" s="18" t="str">
        <f>IF(INDEX(Korpus!$A:$A,$A28)="","",INDEX(Korpus!$A:$A,$A28))</f>
        <v xml:space="preserve">UU 27 Thn 2022 (PDP)</v>
      </c>
      <c r="D28" s="18" t="str">
        <f>TRIM(INDEX(Korpus!$D:$D,$A28)&amp;" "&amp;INDEX(Korpus!$E:$E,$A28))</f>
        <v xml:space="preserve">Pasal 1</v>
      </c>
      <c r="E28" s="18" t="str">
        <f>IF(INDEX(Korpus!$F:$F,$A28)="","",INDEX(Korpus!$F:$F,$A28))</f>
        <v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F28" s="19" t="s">
        <v>62</v>
      </c>
      <c r="G28" s="19" t="s">
        <v>63</v>
      </c>
      <c r="H28" s="19" t="s">
        <v>87</v>
      </c>
      <c r="I28" s="19" t="s">
        <v>88</v>
      </c>
      <c r="J28" s="19" t="s">
        <v>66</v>
      </c>
      <c r="K28" s="19" t="s">
        <v>89</v>
      </c>
      <c r="L28" s="19"/>
      <c r="M28" s="20"/>
      <c r="N28" s="20"/>
      <c r="O28" s="16" t="s">
        <v>68</v>
      </c>
      <c r="P28" s="18" t="str">
        <f t="shared" si="2"/>
        <v>Lengkap</v>
      </c>
      <c r="Q28" s="18" t="str">
        <f t="shared" si="3"/>
        <v>OK</v>
      </c>
      <c r="R28" s="18" t="str">
        <f>IF(INDEX(Korpus!$B:$B,$A28)="","",INDEX(Korpus!$B:$B,$A28))</f>
        <v xml:space="preserve">BAB I
KETENTUAN UMUM</v>
      </c>
      <c r="S28" s="18" t="str">
        <f>IF(INDEX(Korpus!$C:$C,$A28)="","",INDEX(Korpus!$C:$C,$A28))</f>
        <v/>
      </c>
    </row>
    <row r="29" ht="60" customHeight="1">
      <c r="A29" s="16">
        <v>29</v>
      </c>
      <c r="B29" s="17" t="str">
        <f>IF(Petunjuk!$C$4="","",Petunjuk!$C$4)</f>
        <v xml:space="preserve">Ubah Coder ini di Sheet “Petunjuk”</v>
      </c>
      <c r="C29" s="18" t="str">
        <f>IF(INDEX(Korpus!$A:$A,$A29)="","",INDEX(Korpus!$A:$A,$A29))</f>
        <v xml:space="preserve">UU 27 Thn 2022 (PDP)</v>
      </c>
      <c r="D29" s="18" t="str">
        <f>TRIM(INDEX(Korpus!$D:$D,$A29)&amp;" "&amp;INDEX(Korpus!$E:$E,$A29))</f>
        <v xml:space="preserve">Pasal 2</v>
      </c>
      <c r="E29" s="18" t="str">
        <f>IF(INDEX(Korpus!$F:$F,$A29)="","",INDEX(Korpus!$F:$F,$A29))</f>
        <v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F29" s="19" t="s">
        <v>73</v>
      </c>
      <c r="G29" s="19" t="s">
        <v>63</v>
      </c>
      <c r="H29" s="19" t="s">
        <v>87</v>
      </c>
      <c r="I29" s="19" t="s">
        <v>88</v>
      </c>
      <c r="J29" s="19" t="s">
        <v>66</v>
      </c>
      <c r="K29" s="19" t="s">
        <v>89</v>
      </c>
      <c r="L29" s="19" t="s">
        <v>90</v>
      </c>
      <c r="M29" s="20"/>
      <c r="N29" s="20"/>
      <c r="O29" s="16"/>
      <c r="P29" s="18" t="str">
        <f t="shared" si="2"/>
        <v>Lengkap</v>
      </c>
      <c r="Q29" s="18" t="str">
        <f t="shared" si="3"/>
        <v>OK</v>
      </c>
      <c r="R29" s="18" t="str">
        <f>IF(INDEX(Korpus!$B:$B,$A29)="","",INDEX(Korpus!$B:$B,$A29))</f>
        <v xml:space="preserve">BAB I
KETENTUAN UMUM</v>
      </c>
      <c r="S29" s="18" t="str">
        <f>IF(INDEX(Korpus!$C:$C,$A29)="","",INDEX(Korpus!$C:$C,$A29))</f>
        <v/>
      </c>
    </row>
    <row r="30" ht="60" customHeight="1">
      <c r="A30" s="16">
        <v>30</v>
      </c>
      <c r="B30" s="17" t="str">
        <f>IF(Petunjuk!$C$4="","",Petunjuk!$C$4)</f>
        <v xml:space="preserve">Ubah Coder ini di Sheet “Petunjuk”</v>
      </c>
      <c r="C30" s="18" t="str">
        <f>IF(INDEX(Korpus!$A:$A,$A30)="","",INDEX(Korpus!$A:$A,$A30))</f>
        <v xml:space="preserve">UU 27 Thn 2022 (PDP)</v>
      </c>
      <c r="D30" s="18" t="str">
        <f>TRIM(INDEX(Korpus!$D:$D,$A30)&amp;" "&amp;INDEX(Korpus!$E:$E,$A30))</f>
        <v xml:space="preserve">Pasal 3</v>
      </c>
      <c r="E30" s="18" t="str">
        <f>IF(INDEX(Korpus!$F:$F,$A30)="","",INDEX(Korpus!$F:$F,$A30))</f>
        <v xml:space="preserve">a. perlindungan; b. kepastian hukum; c. kepentingan umum; d. Kemanfaatan; e. Kehati-hatian; f. Keseimbangan; g. Pertanggungjawaban; dan h. kerahasiaan.</v>
      </c>
      <c r="F30" s="19" t="s">
        <v>62</v>
      </c>
      <c r="G30" s="19" t="s">
        <v>63</v>
      </c>
      <c r="H30" s="19" t="s">
        <v>91</v>
      </c>
      <c r="I30" s="19" t="s">
        <v>92</v>
      </c>
      <c r="J30" s="19" t="s">
        <v>66</v>
      </c>
      <c r="K30" s="19" t="s">
        <v>67</v>
      </c>
      <c r="L30" s="19"/>
      <c r="M30" s="20"/>
      <c r="N30" s="20"/>
      <c r="O30" s="16" t="s">
        <v>78</v>
      </c>
      <c r="P30" s="18" t="str">
        <f t="shared" si="2"/>
        <v>Lengkap</v>
      </c>
      <c r="Q30" s="18" t="str">
        <f t="shared" si="3"/>
        <v>OK</v>
      </c>
      <c r="R30" s="18" t="str">
        <f>IF(INDEX(Korpus!$B:$B,$A30)="","",INDEX(Korpus!$B:$B,$A30))</f>
        <v xml:space="preserve">BAB II
ASAS</v>
      </c>
      <c r="S30" s="18" t="str">
        <f>IF(INDEX(Korpus!$C:$C,$A30)="","",INDEX(Korpus!$C:$C,$A30))</f>
        <v/>
      </c>
    </row>
    <row r="31" ht="60" customHeight="1">
      <c r="A31" s="16">
        <v>31</v>
      </c>
      <c r="B31" s="17" t="str">
        <f>IF(Petunjuk!$C$4="","",Petunjuk!$C$4)</f>
        <v xml:space="preserve">Ubah Coder ini di Sheet “Petunjuk”</v>
      </c>
      <c r="C31" s="18" t="str">
        <f>IF(INDEX(Korpus!$A:$A,$A31)="","",INDEX(Korpus!$A:$A,$A31))</f>
        <v xml:space="preserve">UU 27 Thn 2022 (PDP)</v>
      </c>
      <c r="D31" s="18" t="str">
        <f>TRIM(INDEX(Korpus!$D:$D,$A31)&amp;" "&amp;INDEX(Korpus!$E:$E,$A31))</f>
        <v xml:space="preserve">Pasal 4</v>
      </c>
      <c r="E31" s="18" t="str">
        <f>IF(INDEX(Korpus!$F:$F,$A31)="","",INDEX(Korpus!$F:$F,$A31))</f>
        <v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F31" s="19" t="s">
        <v>62</v>
      </c>
      <c r="G31" s="19" t="s">
        <v>63</v>
      </c>
      <c r="H31" s="19" t="s">
        <v>93</v>
      </c>
      <c r="I31" s="19" t="s">
        <v>88</v>
      </c>
      <c r="J31" s="19" t="s">
        <v>66</v>
      </c>
      <c r="K31" s="19" t="s">
        <v>89</v>
      </c>
      <c r="L31" s="19"/>
      <c r="M31" s="20"/>
      <c r="N31" s="20"/>
      <c r="O31" s="16"/>
      <c r="P31" s="18" t="str">
        <f t="shared" si="2"/>
        <v>Lengkap</v>
      </c>
      <c r="Q31" s="18" t="str">
        <f t="shared" si="3"/>
        <v>OK</v>
      </c>
      <c r="R31" s="18" t="str">
        <f>IF(INDEX(Korpus!$B:$B,$A31)="","",INDEX(Korpus!$B:$B,$A31))</f>
        <v xml:space="preserve">BAB III
JENIS DATA PRIBADI</v>
      </c>
      <c r="S31" s="18" t="str">
        <f>IF(INDEX(Korpus!$C:$C,$A31)="","",INDEX(Korpus!$C:$C,$A31))</f>
        <v/>
      </c>
    </row>
    <row r="32" ht="60" customHeight="1">
      <c r="A32" s="16">
        <v>32</v>
      </c>
      <c r="B32" s="17" t="str">
        <f>IF(Petunjuk!$C$4="","",Petunjuk!$C$4)</f>
        <v xml:space="preserve">Ubah Coder ini di Sheet “Petunjuk”</v>
      </c>
      <c r="C32" s="18" t="str">
        <f>IF(INDEX(Korpus!$A:$A,$A32)="","",INDEX(Korpus!$A:$A,$A32))</f>
        <v xml:space="preserve">UU 27 Thn 2022 (PDP)</v>
      </c>
      <c r="D32" s="18" t="str">
        <f>TRIM(INDEX(Korpus!$D:$D,$A32)&amp;" "&amp;INDEX(Korpus!$E:$E,$A32))</f>
        <v xml:space="preserve">Pasal 5</v>
      </c>
      <c r="E32" s="18" t="str">
        <f>IF(INDEX(Korpus!$F:$F,$A32)="","",INDEX(Korpus!$F:$F,$A32))</f>
        <v xml:space="preserve">Subjek Data Pribadi berhak mendapatkan Informasi tentang kejelasan identitas, dasar kepentingan hukum, tujuan permintaan dan penggunaan Data Pribadi, dan akuntabilitas pihak yang meminta Data Pribadi.</v>
      </c>
      <c r="F32" s="19" t="s">
        <v>69</v>
      </c>
      <c r="G32" s="19" t="s">
        <v>94</v>
      </c>
      <c r="H32" s="19" t="s">
        <v>74</v>
      </c>
      <c r="I32" s="19" t="s">
        <v>75</v>
      </c>
      <c r="J32" s="19" t="s">
        <v>76</v>
      </c>
      <c r="K32" s="19" t="s">
        <v>95</v>
      </c>
      <c r="L32" s="19"/>
      <c r="M32" s="20" t="s">
        <v>96</v>
      </c>
      <c r="N32" s="20"/>
      <c r="O32" s="16" t="s">
        <v>68</v>
      </c>
      <c r="P32" s="18" t="str">
        <f t="shared" si="2"/>
        <v>Lengkap</v>
      </c>
      <c r="Q32" s="18" t="str">
        <f t="shared" si="3"/>
        <v>OK</v>
      </c>
      <c r="R32" s="18" t="str">
        <f>IF(INDEX(Korpus!$B:$B,$A32)="","",INDEX(Korpus!$B:$B,$A32))</f>
        <v xml:space="preserve">BAB IV
HAK SUBJEK DATA PRIBADI</v>
      </c>
      <c r="S32" s="18" t="str">
        <f>IF(INDEX(Korpus!$C:$C,$A32)="","",INDEX(Korpus!$C:$C,$A32))</f>
        <v/>
      </c>
    </row>
    <row r="33" ht="60" customHeight="1">
      <c r="A33" s="16">
        <v>33</v>
      </c>
      <c r="B33" s="17" t="str">
        <f>IF(Petunjuk!$C$4="","",Petunjuk!$C$4)</f>
        <v xml:space="preserve">Ubah Coder ini di Sheet “Petunjuk”</v>
      </c>
      <c r="C33" s="18" t="str">
        <f>IF(INDEX(Korpus!$A:$A,$A33)="","",INDEX(Korpus!$A:$A,$A33))</f>
        <v xml:space="preserve">UU 27 Thn 2022 (PDP)</v>
      </c>
      <c r="D33" s="18" t="str">
        <f>TRIM(INDEX(Korpus!$D:$D,$A33)&amp;" "&amp;INDEX(Korpus!$E:$E,$A33))</f>
        <v xml:space="preserve">Pasal 6</v>
      </c>
      <c r="E33" s="18" t="str">
        <f>IF(INDEX(Korpus!$F:$F,$A33)="","",INDEX(Korpus!$F:$F,$A33))</f>
        <v xml:space="preserve">Subjek Data Pribadi berhak melengkapi, memperbarui, dan/atau memperbaiki kesalahan dan/atau ketidakakuratan Data Pribadi tentang dirinya sesuai dengan tujuan pemrosesan Data Pribadi.</v>
      </c>
      <c r="F33" s="19" t="s">
        <v>69</v>
      </c>
      <c r="G33" s="19" t="s">
        <v>94</v>
      </c>
      <c r="H33" s="19" t="s">
        <v>74</v>
      </c>
      <c r="I33" s="19" t="s">
        <v>75</v>
      </c>
      <c r="J33" s="19" t="s">
        <v>76</v>
      </c>
      <c r="K33" s="19" t="s">
        <v>95</v>
      </c>
      <c r="L33" s="19"/>
      <c r="M33" s="20" t="s">
        <v>97</v>
      </c>
      <c r="N33" s="20"/>
      <c r="O33" s="16"/>
      <c r="P33" s="18" t="str">
        <f t="shared" si="2"/>
        <v>Lengkap</v>
      </c>
      <c r="Q33" s="18" t="str">
        <f t="shared" si="3"/>
        <v>OK</v>
      </c>
      <c r="R33" s="18" t="str">
        <f>IF(INDEX(Korpus!$B:$B,$A33)="","",INDEX(Korpus!$B:$B,$A33))</f>
        <v xml:space="preserve">BAB IV
HAK SUBJEK DATA PRIBADI</v>
      </c>
      <c r="S33" s="18" t="str">
        <f>IF(INDEX(Korpus!$C:$C,$A33)="","",INDEX(Korpus!$C:$C,$A33))</f>
        <v/>
      </c>
    </row>
    <row r="34" ht="60" customHeight="1">
      <c r="A34" s="16">
        <v>34</v>
      </c>
      <c r="B34" s="17" t="str">
        <f>IF(Petunjuk!$C$4="","",Petunjuk!$C$4)</f>
        <v xml:space="preserve">Ubah Coder ini di Sheet “Petunjuk”</v>
      </c>
      <c r="C34" s="18" t="str">
        <f>IF(INDEX(Korpus!$A:$A,$A34)="","",INDEX(Korpus!$A:$A,$A34))</f>
        <v xml:space="preserve">UU 27 Thn 2022 (PDP)</v>
      </c>
      <c r="D34" s="18" t="str">
        <f>TRIM(INDEX(Korpus!$D:$D,$A34)&amp;" "&amp;INDEX(Korpus!$E:$E,$A34))</f>
        <v xml:space="preserve">Pasal 7</v>
      </c>
      <c r="E34" s="18" t="str">
        <f>IF(INDEX(Korpus!$F:$F,$A34)="","",INDEX(Korpus!$F:$F,$A34))</f>
        <v xml:space="preserve">Subjek Data Pribadi berhak mendapatkan akses dan memperoleh salinan Data Pribadi tentang dirinya sesuai dengan ketentuan peraturan perundang-undangan.</v>
      </c>
      <c r="F34" s="19" t="s">
        <v>69</v>
      </c>
      <c r="G34" s="19" t="s">
        <v>94</v>
      </c>
      <c r="H34" s="19" t="s">
        <v>74</v>
      </c>
      <c r="I34" s="19" t="s">
        <v>75</v>
      </c>
      <c r="J34" s="19" t="s">
        <v>76</v>
      </c>
      <c r="K34" s="19" t="s">
        <v>95</v>
      </c>
      <c r="L34" s="19"/>
      <c r="M34" s="20" t="s">
        <v>98</v>
      </c>
      <c r="N34" s="20"/>
      <c r="O34" s="16"/>
      <c r="P34" s="18" t="str">
        <f t="shared" si="2"/>
        <v>Lengkap</v>
      </c>
      <c r="Q34" s="18" t="str">
        <f t="shared" si="3"/>
        <v>OK</v>
      </c>
      <c r="R34" s="18" t="str">
        <f>IF(INDEX(Korpus!$B:$B,$A34)="","",INDEX(Korpus!$B:$B,$A34))</f>
        <v xml:space="preserve">BAB IV
HAK SUBJEK DATA PRIBADI</v>
      </c>
      <c r="S34" s="18" t="str">
        <f>IF(INDEX(Korpus!$C:$C,$A34)="","",INDEX(Korpus!$C:$C,$A34))</f>
        <v/>
      </c>
    </row>
    <row r="35" ht="60" customHeight="1">
      <c r="A35" s="16">
        <v>35</v>
      </c>
      <c r="B35" s="17" t="str">
        <f>IF(Petunjuk!$C$4="","",Petunjuk!$C$4)</f>
        <v xml:space="preserve">Ubah Coder ini di Sheet “Petunjuk”</v>
      </c>
      <c r="C35" s="18" t="str">
        <f>IF(INDEX(Korpus!$A:$A,$A35)="","",INDEX(Korpus!$A:$A,$A35))</f>
        <v xml:space="preserve">UU 27 Thn 2022 (PDP)</v>
      </c>
      <c r="D35" s="18" t="str">
        <f>TRIM(INDEX(Korpus!$D:$D,$A35)&amp;" "&amp;INDEX(Korpus!$E:$E,$A35))</f>
        <v xml:space="preserve">Pasal 8</v>
      </c>
      <c r="E35" s="18" t="str">
        <f>IF(INDEX(Korpus!$F:$F,$A35)="","",INDEX(Korpus!$F:$F,$A35))</f>
        <v xml:space="preserve">Subjek Data Pribadi berhak untuk mengakhiri pemrosesan, menghapus, dan/ atau memusnahkan Data Pribadi tentang dirinya sesuai dengan ketentuan peraturan perundang-undangan.</v>
      </c>
      <c r="F35" s="19" t="s">
        <v>69</v>
      </c>
      <c r="G35" s="19" t="s">
        <v>94</v>
      </c>
      <c r="H35" s="19" t="s">
        <v>74</v>
      </c>
      <c r="I35" s="19" t="s">
        <v>75</v>
      </c>
      <c r="J35" s="19" t="s">
        <v>76</v>
      </c>
      <c r="K35" s="19" t="s">
        <v>95</v>
      </c>
      <c r="L35" s="19"/>
      <c r="M35" s="20" t="s">
        <v>99</v>
      </c>
      <c r="N35" s="20"/>
      <c r="O35" s="16" t="s">
        <v>78</v>
      </c>
      <c r="P35" s="18" t="str">
        <f t="shared" si="2"/>
        <v>Lengkap</v>
      </c>
      <c r="Q35" s="18" t="str">
        <f t="shared" si="3"/>
        <v>OK</v>
      </c>
      <c r="R35" s="18" t="str">
        <f>IF(INDEX(Korpus!$B:$B,$A35)="","",INDEX(Korpus!$B:$B,$A35))</f>
        <v xml:space="preserve">BAB IV
HAK SUBJEK DATA PRIBADI</v>
      </c>
      <c r="S35" s="18" t="str">
        <f>IF(INDEX(Korpus!$C:$C,$A35)="","",INDEX(Korpus!$C:$C,$A35))</f>
        <v/>
      </c>
    </row>
    <row r="36" ht="60" customHeight="1">
      <c r="A36" s="16">
        <v>36</v>
      </c>
      <c r="B36" s="17" t="str">
        <f>IF(Petunjuk!$C$4="","",Petunjuk!$C$4)</f>
        <v xml:space="preserve">Ubah Coder ini di Sheet “Petunjuk”</v>
      </c>
      <c r="C36" s="18" t="str">
        <f>IF(INDEX(Korpus!$A:$A,$A36)="","",INDEX(Korpus!$A:$A,$A36))</f>
        <v xml:space="preserve">UU 27 Thn 2022 (PDP)</v>
      </c>
      <c r="D36" s="18" t="str">
        <f>TRIM(INDEX(Korpus!$D:$D,$A36)&amp;" "&amp;INDEX(Korpus!$E:$E,$A36))</f>
        <v xml:space="preserve">Pasal 9</v>
      </c>
      <c r="E36" s="18" t="str">
        <f>IF(INDEX(Korpus!$F:$F,$A36)="","",INDEX(Korpus!$F:$F,$A36))</f>
        <v xml:space="preserve">Subjek Data Pribadi berhak menarik kembali persetujuan pemrosesan Data Pribadi tentang dirinya yang telah diberikan kepada Pengendali Data Pribadi.</v>
      </c>
      <c r="F36" s="19" t="s">
        <v>69</v>
      </c>
      <c r="G36" s="19" t="s">
        <v>94</v>
      </c>
      <c r="H36" s="19" t="s">
        <v>74</v>
      </c>
      <c r="I36" s="19" t="s">
        <v>75</v>
      </c>
      <c r="J36" s="19" t="s">
        <v>76</v>
      </c>
      <c r="K36" s="19" t="s">
        <v>95</v>
      </c>
      <c r="L36" s="19"/>
      <c r="M36" s="20" t="s">
        <v>100</v>
      </c>
      <c r="N36" s="20"/>
      <c r="O36" s="16"/>
      <c r="P36" s="18" t="str">
        <f t="shared" si="2"/>
        <v>Lengkap</v>
      </c>
      <c r="Q36" s="18" t="str">
        <f t="shared" si="3"/>
        <v>OK</v>
      </c>
      <c r="R36" s="18" t="str">
        <f>IF(INDEX(Korpus!$B:$B,$A36)="","",INDEX(Korpus!$B:$B,$A36))</f>
        <v xml:space="preserve">BAB IV
HAK SUBJEK DATA PRIBADI</v>
      </c>
      <c r="S36" s="18" t="str">
        <f>IF(INDEX(Korpus!$C:$C,$A36)="","",INDEX(Korpus!$C:$C,$A36))</f>
        <v/>
      </c>
    </row>
    <row r="37" ht="60" customHeight="1">
      <c r="A37" s="16">
        <v>37</v>
      </c>
      <c r="B37" s="17" t="str">
        <f>IF(Petunjuk!$C$4="","",Petunjuk!$C$4)</f>
        <v xml:space="preserve">Ubah Coder ini di Sheet “Petunjuk”</v>
      </c>
      <c r="C37" s="18" t="str">
        <f>IF(INDEX(Korpus!$A:$A,$A37)="","",INDEX(Korpus!$A:$A,$A37))</f>
        <v xml:space="preserve">UU 27 Thn 2022 (PDP)</v>
      </c>
      <c r="D37" s="18" t="str">
        <f>TRIM(INDEX(Korpus!$D:$D,$A37)&amp;" "&amp;INDEX(Korpus!$E:$E,$A37))</f>
        <v xml:space="preserve">Pasal 10</v>
      </c>
      <c r="E37" s="18" t="str">
        <f>IF(INDEX(Korpus!$F:$F,$A37)="","",INDEX(Korpus!$F:$F,$A37))</f>
        <v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F37" s="19" t="s">
        <v>69</v>
      </c>
      <c r="G37" s="19" t="s">
        <v>94</v>
      </c>
      <c r="H37" s="19" t="s">
        <v>74</v>
      </c>
      <c r="I37" s="19" t="s">
        <v>75</v>
      </c>
      <c r="J37" s="19" t="s">
        <v>76</v>
      </c>
      <c r="K37" s="19" t="s">
        <v>95</v>
      </c>
      <c r="L37" s="19"/>
      <c r="M37" s="20" t="s">
        <v>101</v>
      </c>
      <c r="N37" s="20"/>
      <c r="O37" s="16"/>
      <c r="P37" s="18" t="str">
        <f t="shared" si="2"/>
        <v>Lengkap</v>
      </c>
      <c r="Q37" s="18" t="str">
        <f t="shared" si="3"/>
        <v>OK</v>
      </c>
      <c r="R37" s="18" t="str">
        <f>IF(INDEX(Korpus!$B:$B,$A37)="","",INDEX(Korpus!$B:$B,$A37))</f>
        <v xml:space="preserve">BAB IV
HAK SUBJEK DATA PRIBADI</v>
      </c>
      <c r="S37" s="18" t="str">
        <f>IF(INDEX(Korpus!$C:$C,$A37)="","",INDEX(Korpus!$C:$C,$A37))</f>
        <v/>
      </c>
    </row>
    <row r="38" ht="60" customHeight="1">
      <c r="A38" s="16">
        <v>38</v>
      </c>
      <c r="B38" s="17" t="str">
        <f>IF(Petunjuk!$C$4="","",Petunjuk!$C$4)</f>
        <v xml:space="preserve">Ubah Coder ini di Sheet “Petunjuk”</v>
      </c>
      <c r="C38" s="18" t="str">
        <f>IF(INDEX(Korpus!$A:$A,$A38)="","",INDEX(Korpus!$A:$A,$A38))</f>
        <v xml:space="preserve">UU 27 Thn 2022 (PDP)</v>
      </c>
      <c r="D38" s="18" t="str">
        <f>TRIM(INDEX(Korpus!$D:$D,$A38)&amp;" "&amp;INDEX(Korpus!$E:$E,$A38))</f>
        <v xml:space="preserve">Pasal 11</v>
      </c>
      <c r="E38" s="18" t="str">
        <f>IF(INDEX(Korpus!$F:$F,$A38)="","",INDEX(Korpus!$F:$F,$A38))</f>
        <v xml:space="preserve">Subjek Data Pribadi berhak menunda atau membatasi pemrosesan Data Pribadi secara proporsional sesuai dengan tujuan pemrosesan Data Pribadi.</v>
      </c>
      <c r="F38" s="19" t="s">
        <v>69</v>
      </c>
      <c r="G38" s="19" t="s">
        <v>94</v>
      </c>
      <c r="H38" s="19" t="s">
        <v>74</v>
      </c>
      <c r="I38" s="19" t="s">
        <v>75</v>
      </c>
      <c r="J38" s="19" t="s">
        <v>76</v>
      </c>
      <c r="K38" s="19" t="s">
        <v>95</v>
      </c>
      <c r="L38" s="19"/>
      <c r="M38" s="20" t="s">
        <v>102</v>
      </c>
      <c r="N38" s="20"/>
      <c r="O38" s="16"/>
      <c r="P38" s="18" t="str">
        <f t="shared" si="2"/>
        <v>Lengkap</v>
      </c>
      <c r="Q38" s="18" t="str">
        <f t="shared" si="3"/>
        <v>OK</v>
      </c>
      <c r="R38" s="18" t="str">
        <f>IF(INDEX(Korpus!$B:$B,$A38)="","",INDEX(Korpus!$B:$B,$A38))</f>
        <v xml:space="preserve">BAB IV
HAK SUBJEK DATA PRIBADI</v>
      </c>
      <c r="S38" s="18" t="str">
        <f>IF(INDEX(Korpus!$C:$C,$A38)="","",INDEX(Korpus!$C:$C,$A38))</f>
        <v/>
      </c>
    </row>
    <row r="39" ht="60" customHeight="1">
      <c r="A39" s="16">
        <v>39</v>
      </c>
      <c r="B39" s="17" t="str">
        <f>IF(Petunjuk!$C$4="","",Petunjuk!$C$4)</f>
        <v xml:space="preserve">Ubah Coder ini di Sheet “Petunjuk”</v>
      </c>
      <c r="C39" s="18" t="str">
        <f>IF(INDEX(Korpus!$A:$A,$A39)="","",INDEX(Korpus!$A:$A,$A39))</f>
        <v xml:space="preserve">UU 27 Thn 2022 (PDP)</v>
      </c>
      <c r="D39" s="18" t="str">
        <f>TRIM(INDEX(Korpus!$D:$D,$A39)&amp;" "&amp;INDEX(Korpus!$E:$E,$A39))</f>
        <v xml:space="preserve">Pasal 12</v>
      </c>
      <c r="E39" s="18" t="str">
        <f>IF(INDEX(Korpus!$F:$F,$A39)="","",INDEX(Korpus!$F:$F,$A39))</f>
        <v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F39" s="19" t="s">
        <v>69</v>
      </c>
      <c r="G39" s="19" t="s">
        <v>63</v>
      </c>
      <c r="H39" s="19" t="s">
        <v>74</v>
      </c>
      <c r="I39" s="19" t="s">
        <v>75</v>
      </c>
      <c r="J39" s="19" t="s">
        <v>76</v>
      </c>
      <c r="K39" s="19" t="s">
        <v>67</v>
      </c>
      <c r="L39" s="19"/>
      <c r="M39" s="20"/>
      <c r="N39" s="20" t="s">
        <v>103</v>
      </c>
      <c r="O39" s="16"/>
      <c r="P39" s="18" t="str">
        <f t="shared" si="2"/>
        <v>Lengkap</v>
      </c>
      <c r="Q39" s="18" t="str">
        <f t="shared" si="3"/>
        <v>OK</v>
      </c>
      <c r="R39" s="18" t="str">
        <f>IF(INDEX(Korpus!$B:$B,$A39)="","",INDEX(Korpus!$B:$B,$A39))</f>
        <v xml:space="preserve">BAB IV
HAK SUBJEK DATA PRIBADI</v>
      </c>
      <c r="S39" s="18" t="str">
        <f>IF(INDEX(Korpus!$C:$C,$A39)="","",INDEX(Korpus!$C:$C,$A39))</f>
        <v/>
      </c>
    </row>
    <row r="40" ht="60" customHeight="1">
      <c r="A40" s="16">
        <v>40</v>
      </c>
      <c r="B40" s="17" t="str">
        <f>IF(Petunjuk!$C$4="","",Petunjuk!$C$4)</f>
        <v xml:space="preserve">Ubah Coder ini di Sheet “Petunjuk”</v>
      </c>
      <c r="C40" s="18" t="str">
        <f>IF(INDEX(Korpus!$A:$A,$A40)="","",INDEX(Korpus!$A:$A,$A40))</f>
        <v xml:space="preserve">UU 27 Thn 2022 (PDP)</v>
      </c>
      <c r="D40" s="18" t="str">
        <f>TRIM(INDEX(Korpus!$D:$D,$A40)&amp;" "&amp;INDEX(Korpus!$E:$E,$A40))</f>
        <v xml:space="preserve">Pasal 13</v>
      </c>
      <c r="E40" s="18" t="str">
        <f>IF(INDEX(Korpus!$F:$F,$A40)="","",INDEX(Korpus!$F:$F,$A40))</f>
        <v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F40" s="19" t="s">
        <v>69</v>
      </c>
      <c r="G40" s="19" t="s">
        <v>94</v>
      </c>
      <c r="H40" s="19" t="s">
        <v>74</v>
      </c>
      <c r="I40" s="19" t="s">
        <v>75</v>
      </c>
      <c r="J40" s="19" t="s">
        <v>76</v>
      </c>
      <c r="K40" s="19" t="s">
        <v>95</v>
      </c>
      <c r="L40" s="19"/>
      <c r="M40" s="20" t="s">
        <v>104</v>
      </c>
      <c r="N40" s="20"/>
      <c r="O40" s="16"/>
      <c r="P40" s="18" t="str">
        <f t="shared" si="2"/>
        <v>Lengkap</v>
      </c>
      <c r="Q40" s="18" t="str">
        <f t="shared" si="3"/>
        <v>OK</v>
      </c>
      <c r="R40" s="18" t="str">
        <f>IF(INDEX(Korpus!$B:$B,$A40)="","",INDEX(Korpus!$B:$B,$A40))</f>
        <v xml:space="preserve">BAB IV
HAK SUBJEK DATA PRIBADI</v>
      </c>
      <c r="S40" s="18" t="str">
        <f>IF(INDEX(Korpus!$C:$C,$A40)="","",INDEX(Korpus!$C:$C,$A40))</f>
        <v/>
      </c>
    </row>
    <row r="41" ht="60" customHeight="1">
      <c r="A41" s="16">
        <v>41</v>
      </c>
      <c r="B41" s="17" t="str">
        <f>IF(Petunjuk!$C$4="","",Petunjuk!$C$4)</f>
        <v xml:space="preserve">Ubah Coder ini di Sheet “Petunjuk”</v>
      </c>
      <c r="C41" s="18" t="str">
        <f>IF(INDEX(Korpus!$A:$A,$A41)="","",INDEX(Korpus!$A:$A,$A41))</f>
        <v xml:space="preserve">UU 27 Thn 2022 (PDP)</v>
      </c>
      <c r="D41" s="18" t="str">
        <f>TRIM(INDEX(Korpus!$D:$D,$A41)&amp;" "&amp;INDEX(Korpus!$E:$E,$A41))</f>
        <v xml:space="preserve">Pasal 14</v>
      </c>
      <c r="E41" s="18" t="str">
        <f>IF(INDEX(Korpus!$F:$F,$A41)="","",INDEX(Korpus!$F:$F,$A41))</f>
        <v xml:space="preserve">Pelaksanaan hak Subjek Data Pribadi sebagaimana dimaksud dalam Pasal 6 sampai dengan Pasal 11 diajukan melalui permohonan tercatat yang disampaikan secara elektronik atau nonelektronik kepada Pengendali Data Pribadi.</v>
      </c>
      <c r="F41" s="19" t="s">
        <v>69</v>
      </c>
      <c r="G41" s="19" t="s">
        <v>94</v>
      </c>
      <c r="H41" s="19" t="s">
        <v>74</v>
      </c>
      <c r="I41" s="19" t="s">
        <v>80</v>
      </c>
      <c r="J41" s="19" t="s">
        <v>76</v>
      </c>
      <c r="K41" s="19" t="s">
        <v>95</v>
      </c>
      <c r="L41" s="19"/>
      <c r="M41" s="20" t="s">
        <v>105</v>
      </c>
      <c r="N41" s="20"/>
      <c r="O41" s="16"/>
      <c r="P41" s="18" t="str">
        <f t="shared" si="2"/>
        <v>Lengkap</v>
      </c>
      <c r="Q41" s="18" t="str">
        <f t="shared" si="3"/>
        <v>OK</v>
      </c>
      <c r="R41" s="18" t="str">
        <f>IF(INDEX(Korpus!$B:$B,$A41)="","",INDEX(Korpus!$B:$B,$A41))</f>
        <v xml:space="preserve">BAB IV
HAK SUBJEK DATA PRIBADI</v>
      </c>
      <c r="S41" s="18" t="str">
        <f>IF(INDEX(Korpus!$C:$C,$A41)="","",INDEX(Korpus!$C:$C,$A41))</f>
        <v/>
      </c>
    </row>
    <row r="42" ht="60" customHeight="1">
      <c r="A42" s="16">
        <v>42</v>
      </c>
      <c r="B42" s="17" t="str">
        <f>IF(Petunjuk!$C$4="","",Petunjuk!$C$4)</f>
        <v xml:space="preserve">Ubah Coder ini di Sheet “Petunjuk”</v>
      </c>
      <c r="C42" s="18" t="str">
        <f>IF(INDEX(Korpus!$A:$A,$A42)="","",INDEX(Korpus!$A:$A,$A42))</f>
        <v xml:space="preserve">UU 27 Thn 2022 (PDP)</v>
      </c>
      <c r="D42" s="18" t="str">
        <f>TRIM(INDEX(Korpus!$D:$D,$A42)&amp;" "&amp;INDEX(Korpus!$E:$E,$A42))</f>
        <v xml:space="preserve">Pasal 15</v>
      </c>
      <c r="E42" s="18" t="str">
        <f>IF(INDEX(Korpus!$F:$F,$A42)="","",INDEX(Korpus!$F:$F,$A42))</f>
        <v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F42" s="19" t="s">
        <v>69</v>
      </c>
      <c r="G42" s="19" t="s">
        <v>94</v>
      </c>
      <c r="H42" s="19" t="s">
        <v>90</v>
      </c>
      <c r="I42" s="19" t="s">
        <v>106</v>
      </c>
      <c r="J42" s="19" t="s">
        <v>76</v>
      </c>
      <c r="K42" s="19" t="s">
        <v>89</v>
      </c>
      <c r="L42" s="19"/>
      <c r="M42" s="20" t="s">
        <v>107</v>
      </c>
      <c r="N42" s="20"/>
      <c r="O42" s="16" t="s">
        <v>78</v>
      </c>
      <c r="P42" s="18" t="str">
        <f t="shared" si="2"/>
        <v>Lengkap</v>
      </c>
      <c r="Q42" s="18" t="str">
        <f t="shared" si="3"/>
        <v>OK</v>
      </c>
      <c r="R42" s="18" t="str">
        <f>IF(INDEX(Korpus!$B:$B,$A42)="","",INDEX(Korpus!$B:$B,$A42))</f>
        <v xml:space="preserve">BAB IV
HAK SUBJEK DATA PRIBADI</v>
      </c>
      <c r="S42" s="18" t="str">
        <f>IF(INDEX(Korpus!$C:$C,$A42)="","",INDEX(Korpus!$C:$C,$A42))</f>
        <v/>
      </c>
    </row>
    <row r="43" ht="60" customHeight="1">
      <c r="A43" s="16">
        <v>43</v>
      </c>
      <c r="B43" s="17" t="str">
        <f>IF(Petunjuk!$C$4="","",Petunjuk!$C$4)</f>
        <v xml:space="preserve">Ubah Coder ini di Sheet “Petunjuk”</v>
      </c>
      <c r="C43" s="18" t="str">
        <f>IF(INDEX(Korpus!$A:$A,$A43)="","",INDEX(Korpus!$A:$A,$A43))</f>
        <v xml:space="preserve">UU 27 Thn 2022 (PDP)</v>
      </c>
      <c r="D43" s="18" t="str">
        <f>TRIM(INDEX(Korpus!$D:$D,$A43)&amp;" "&amp;INDEX(Korpus!$E:$E,$A43))</f>
        <v xml:space="preserve">Pasal 16</v>
      </c>
      <c r="E43" s="18" t="str">
        <f>IF(INDEX(Korpus!$F:$F,$A43)="","",INDEX(Korpus!$F:$F,$A43))</f>
        <v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F43" s="19" t="s">
        <v>62</v>
      </c>
      <c r="G43" s="19" t="s">
        <v>63</v>
      </c>
      <c r="H43" s="19" t="s">
        <v>108</v>
      </c>
      <c r="I43" s="19" t="s">
        <v>88</v>
      </c>
      <c r="J43" s="19" t="s">
        <v>66</v>
      </c>
      <c r="K43" s="19" t="s">
        <v>89</v>
      </c>
      <c r="L43" s="19" t="s">
        <v>91</v>
      </c>
      <c r="M43" s="20"/>
      <c r="N43" s="20" t="s">
        <v>109</v>
      </c>
      <c r="O43" s="16"/>
      <c r="P43" s="18" t="str">
        <f t="shared" si="2"/>
        <v>Lengkap</v>
      </c>
      <c r="Q43" s="18" t="str">
        <f t="shared" si="3"/>
        <v>OK</v>
      </c>
      <c r="R43" s="18" t="str">
        <f>IF(INDEX(Korpus!$B:$B,$A43)="","",INDEX(Korpus!$B:$B,$A43))</f>
        <v xml:space="preserve">BAB V
PEMROSESAN DATA PRIBADI</v>
      </c>
      <c r="S43" s="18" t="str">
        <f>IF(INDEX(Korpus!$C:$C,$A43)="","",INDEX(Korpus!$C:$C,$A43))</f>
        <v/>
      </c>
    </row>
    <row r="44" ht="60" customHeight="1">
      <c r="A44" s="16">
        <v>44</v>
      </c>
      <c r="B44" s="17" t="str">
        <f>IF(Petunjuk!$C$4="","",Petunjuk!$C$4)</f>
        <v xml:space="preserve">Ubah Coder ini di Sheet “Petunjuk”</v>
      </c>
      <c r="C44" s="18" t="str">
        <f>IF(INDEX(Korpus!$A:$A,$A44)="","",INDEX(Korpus!$A:$A,$A44))</f>
        <v xml:space="preserve">UU 27 Thn 2022 (PDP)</v>
      </c>
      <c r="D44" s="18" t="str">
        <f>TRIM(INDEX(Korpus!$D:$D,$A44)&amp;" "&amp;INDEX(Korpus!$E:$E,$A44))</f>
        <v xml:space="preserve">Pasal 17</v>
      </c>
      <c r="E44" s="18" t="str">
        <f>IF(INDEX(Korpus!$F:$F,$A44)="","",INDEX(Korpus!$F:$F,$A44))</f>
        <v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F44" s="19" t="s">
        <v>62</v>
      </c>
      <c r="G44" s="19" t="s">
        <v>94</v>
      </c>
      <c r="H44" s="19" t="s">
        <v>108</v>
      </c>
      <c r="I44" s="19" t="s">
        <v>80</v>
      </c>
      <c r="J44" s="19" t="s">
        <v>110</v>
      </c>
      <c r="K44" s="19" t="s">
        <v>95</v>
      </c>
      <c r="L44" s="19" t="s">
        <v>90</v>
      </c>
      <c r="M44" s="20" t="s">
        <v>111</v>
      </c>
      <c r="N44" s="20" t="s">
        <v>112</v>
      </c>
      <c r="O44" s="16" t="s">
        <v>78</v>
      </c>
      <c r="P44" s="18" t="str">
        <f t="shared" si="2"/>
        <v>Lengkap</v>
      </c>
      <c r="Q44" s="18" t="str">
        <f t="shared" si="3"/>
        <v>OK</v>
      </c>
      <c r="R44" s="18" t="str">
        <f>IF(INDEX(Korpus!$B:$B,$A44)="","",INDEX(Korpus!$B:$B,$A44))</f>
        <v xml:space="preserve">BAB V
PEMROSESAN DATA PRIBADI</v>
      </c>
      <c r="S44" s="18" t="str">
        <f>IF(INDEX(Korpus!$C:$C,$A44)="","",INDEX(Korpus!$C:$C,$A44))</f>
        <v/>
      </c>
    </row>
    <row r="45" ht="60" customHeight="1">
      <c r="A45" s="16">
        <v>45</v>
      </c>
      <c r="B45" s="17" t="str">
        <f>IF(Petunjuk!$C$4="","",Petunjuk!$C$4)</f>
        <v xml:space="preserve">Ubah Coder ini di Sheet “Petunjuk”</v>
      </c>
      <c r="C45" s="18" t="str">
        <f>IF(INDEX(Korpus!$A:$A,$A45)="","",INDEX(Korpus!$A:$A,$A45))</f>
        <v xml:space="preserve">UU 27 Thn 2022 (PDP)</v>
      </c>
      <c r="D45" s="18" t="str">
        <f>TRIM(INDEX(Korpus!$D:$D,$A45)&amp;" "&amp;INDEX(Korpus!$E:$E,$A45))</f>
        <v xml:space="preserve">Pasal 18</v>
      </c>
      <c r="E45" s="18" t="str">
        <f>IF(INDEX(Korpus!$F:$F,$A45)="","",INDEX(Korpus!$F:$F,$A45))</f>
        <v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F45" s="19" t="s">
        <v>113</v>
      </c>
      <c r="G45" s="19" t="s">
        <v>94</v>
      </c>
      <c r="H45" s="19" t="s">
        <v>108</v>
      </c>
      <c r="I45" s="19" t="s">
        <v>80</v>
      </c>
      <c r="J45" s="19" t="s">
        <v>114</v>
      </c>
      <c r="K45" s="19" t="s">
        <v>89</v>
      </c>
      <c r="L45" s="19"/>
      <c r="M45" s="20" t="s">
        <v>115</v>
      </c>
      <c r="N45" s="20"/>
      <c r="O45" s="16"/>
      <c r="P45" s="18" t="str">
        <f t="shared" si="2"/>
        <v>Lengkap</v>
      </c>
      <c r="Q45" s="18" t="str">
        <f t="shared" si="3"/>
        <v>OK</v>
      </c>
      <c r="R45" s="18" t="str">
        <f>IF(INDEX(Korpus!$B:$B,$A45)="","",INDEX(Korpus!$B:$B,$A45))</f>
        <v xml:space="preserve">BAB V
PEMROSESAN DATA PRIBADI</v>
      </c>
      <c r="S45" s="18" t="str">
        <f>IF(INDEX(Korpus!$C:$C,$A45)="","",INDEX(Korpus!$C:$C,$A45))</f>
        <v/>
      </c>
    </row>
    <row r="46" ht="60" customHeight="1">
      <c r="A46" s="16">
        <v>46</v>
      </c>
      <c r="B46" s="17" t="str">
        <f>IF(Petunjuk!$C$4="","",Petunjuk!$C$4)</f>
        <v xml:space="preserve">Ubah Coder ini di Sheet “Petunjuk”</v>
      </c>
      <c r="C46" s="18" t="str">
        <f>IF(INDEX(Korpus!$A:$A,$A46)="","",INDEX(Korpus!$A:$A,$A46))</f>
        <v xml:space="preserve">UU 27 Thn 2022 (PDP)</v>
      </c>
      <c r="D46" s="18" t="str">
        <f>TRIM(INDEX(Korpus!$D:$D,$A46)&amp;" "&amp;INDEX(Korpus!$E:$E,$A46))</f>
        <v xml:space="preserve">Pasal 19</v>
      </c>
      <c r="E46" s="18" t="str">
        <f>IF(INDEX(Korpus!$F:$F,$A46)="","",INDEX(Korpus!$F:$F,$A46))</f>
        <v xml:space="preserve">Pengendali Data Pribadi dan Prosesor Data Pribadi meliputi: a. Setiap Orang; b. Badan Publik; dan c. Organisasi Internasional.</v>
      </c>
      <c r="F46" s="19" t="s">
        <v>116</v>
      </c>
      <c r="G46" s="19" t="s">
        <v>63</v>
      </c>
      <c r="H46" s="19" t="s">
        <v>87</v>
      </c>
      <c r="I46" s="19" t="s">
        <v>88</v>
      </c>
      <c r="J46" s="19" t="s">
        <v>66</v>
      </c>
      <c r="K46" s="19" t="s">
        <v>89</v>
      </c>
      <c r="L46" s="19"/>
      <c r="M46" s="20"/>
      <c r="N46" s="20"/>
      <c r="O46" s="16"/>
      <c r="P46" s="18" t="str">
        <f t="shared" si="2"/>
        <v>Lengkap</v>
      </c>
      <c r="Q46" s="18" t="str">
        <f t="shared" si="3"/>
        <v>OK</v>
      </c>
      <c r="R46" s="18" t="str">
        <f>IF(INDEX(Korpus!$B:$B,$A46)="","",INDEX(Korpus!$B:$B,$A46))</f>
        <v xml:space="preserve">BAB VI
KEWAJIBAN PENGENDALI DATA PRIBADI DAN PROSESOR DATA PRIBADI DALAM PEMROSESAN DATA PRIBADI</v>
      </c>
      <c r="S46" s="18" t="str">
        <f>IF(INDEX(Korpus!$C:$C,$A46)="","",INDEX(Korpus!$C:$C,$A46))</f>
        <v xml:space="preserve">Bagian Kesatu
Umum</v>
      </c>
    </row>
    <row r="47" ht="60" customHeight="1">
      <c r="A47" s="16">
        <v>47</v>
      </c>
      <c r="B47" s="17" t="str">
        <f>IF(Petunjuk!$C$4="","",Petunjuk!$C$4)</f>
        <v xml:space="preserve">Ubah Coder ini di Sheet “Petunjuk”</v>
      </c>
      <c r="C47" s="18" t="str">
        <f>IF(INDEX(Korpus!$A:$A,$A47)="","",INDEX(Korpus!$A:$A,$A47))</f>
        <v xml:space="preserve">UU 27 Thn 2022 (PDP)</v>
      </c>
      <c r="D47" s="18" t="str">
        <f>TRIM(INDEX(Korpus!$D:$D,$A47)&amp;" "&amp;INDEX(Korpus!$E:$E,$A47))</f>
        <v xml:space="preserve">Pasal 20</v>
      </c>
      <c r="E47" s="18" t="str">
        <f>IF(INDEX(Korpus!$F:$F,$A47)="","",INDEX(Korpus!$F:$F,$A47))</f>
        <v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F47" s="19" t="s">
        <v>113</v>
      </c>
      <c r="G47" s="19" t="s">
        <v>94</v>
      </c>
      <c r="H47" s="19" t="s">
        <v>117</v>
      </c>
      <c r="I47" s="19" t="s">
        <v>80</v>
      </c>
      <c r="J47" s="19" t="s">
        <v>114</v>
      </c>
      <c r="K47" s="19" t="s">
        <v>95</v>
      </c>
      <c r="L47" s="19"/>
      <c r="M47" s="20" t="s">
        <v>118</v>
      </c>
      <c r="N47" s="20"/>
      <c r="O47" s="16"/>
      <c r="P47" s="18" t="str">
        <f t="shared" si="2"/>
        <v>Lengkap</v>
      </c>
      <c r="Q47" s="18" t="str">
        <f t="shared" si="3"/>
        <v>OK</v>
      </c>
      <c r="R47" s="18" t="str">
        <f>IF(INDEX(Korpus!$B:$B,$A47)="","",INDEX(Korpus!$B:$B,$A47))</f>
        <v xml:space="preserve">BAB VI
KEWAJIBAN PENGENDALI DATA PRIBADI DAN PROSESOR DATA PRIBADI DALAM PEMROSESAN DATA PRIBADI</v>
      </c>
      <c r="S47" s="18" t="str">
        <f>IF(INDEX(Korpus!$C:$C,$A47)="","",INDEX(Korpus!$C:$C,$A47))</f>
        <v xml:space="preserve">Bagian Kedua Kewajiban Pengendali Data Pribadi</v>
      </c>
    </row>
    <row r="48" ht="60" customHeight="1">
      <c r="A48" s="16">
        <v>48</v>
      </c>
      <c r="B48" s="17" t="str">
        <f>IF(Petunjuk!$C$4="","",Petunjuk!$C$4)</f>
        <v xml:space="preserve">Ubah Coder ini di Sheet “Petunjuk”</v>
      </c>
      <c r="C48" s="18" t="str">
        <f>IF(INDEX(Korpus!$A:$A,$A48)="","",INDEX(Korpus!$A:$A,$A48))</f>
        <v xml:space="preserve">UU 27 Thn 2022 (PDP)</v>
      </c>
      <c r="D48" s="18" t="str">
        <f>TRIM(INDEX(Korpus!$D:$D,$A48)&amp;" "&amp;INDEX(Korpus!$E:$E,$A48))</f>
        <v xml:space="preserve">Pasal 21</v>
      </c>
      <c r="E48" s="18" t="str">
        <f>IF(INDEX(Korpus!$F:$F,$A48)="","",INDEX(Korpus!$F:$F,$A48))</f>
        <v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F48" s="19" t="s">
        <v>113</v>
      </c>
      <c r="G48" s="19" t="s">
        <v>94</v>
      </c>
      <c r="H48" s="19" t="s">
        <v>117</v>
      </c>
      <c r="I48" s="19" t="s">
        <v>80</v>
      </c>
      <c r="J48" s="19" t="s">
        <v>114</v>
      </c>
      <c r="K48" s="19" t="s">
        <v>95</v>
      </c>
      <c r="L48" s="19"/>
      <c r="M48" s="20" t="s">
        <v>119</v>
      </c>
      <c r="N48" s="20"/>
      <c r="O48" s="16"/>
      <c r="P48" s="18" t="str">
        <f t="shared" si="2"/>
        <v>Lengkap</v>
      </c>
      <c r="Q48" s="18" t="str">
        <f t="shared" si="3"/>
        <v>OK</v>
      </c>
      <c r="R48" s="18" t="str">
        <f>IF(INDEX(Korpus!$B:$B,$A48)="","",INDEX(Korpus!$B:$B,$A48))</f>
        <v xml:space="preserve">BAB VI
KEWAJIBAN PENGENDALI DATA PRIBADI DAN PROSESOR DATA PRIBADI DALAM PEMROSESAN DATA PRIBADI</v>
      </c>
      <c r="S48" s="18" t="str">
        <f>IF(INDEX(Korpus!$C:$C,$A48)="","",INDEX(Korpus!$C:$C,$A48))</f>
        <v xml:space="preserve">Bagian Kedua Kewajiban Pengendali Data Pribadi</v>
      </c>
    </row>
    <row r="49" ht="60" customHeight="1">
      <c r="A49" s="16">
        <v>49</v>
      </c>
      <c r="B49" s="17" t="str">
        <f>IF(Petunjuk!$C$4="","",Petunjuk!$C$4)</f>
        <v xml:space="preserve">Ubah Coder ini di Sheet “Petunjuk”</v>
      </c>
      <c r="C49" s="18" t="str">
        <f>IF(INDEX(Korpus!$A:$A,$A49)="","",INDEX(Korpus!$A:$A,$A49))</f>
        <v xml:space="preserve">UU 27 Thn 2022 (PDP)</v>
      </c>
      <c r="D49" s="18" t="str">
        <f>TRIM(INDEX(Korpus!$D:$D,$A49)&amp;" "&amp;INDEX(Korpus!$E:$E,$A49))</f>
        <v xml:space="preserve">Pasal 22</v>
      </c>
      <c r="E49" s="18" t="str">
        <f>IF(INDEX(Korpus!$F:$F,$A49)="","",INDEX(Korpus!$F:$F,$A49))</f>
        <v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F49" s="19" t="s">
        <v>62</v>
      </c>
      <c r="G49" s="19" t="s">
        <v>94</v>
      </c>
      <c r="H49" s="19" t="s">
        <v>117</v>
      </c>
      <c r="I49" s="19" t="s">
        <v>80</v>
      </c>
      <c r="J49" s="19" t="s">
        <v>114</v>
      </c>
      <c r="K49" s="19" t="s">
        <v>95</v>
      </c>
      <c r="L49" s="19"/>
      <c r="M49" s="20" t="s">
        <v>120</v>
      </c>
      <c r="N49" s="20"/>
      <c r="O49" s="16" t="s">
        <v>68</v>
      </c>
      <c r="P49" s="18" t="str">
        <f t="shared" si="2"/>
        <v>Lengkap</v>
      </c>
      <c r="Q49" s="18" t="str">
        <f t="shared" si="3"/>
        <v>OK</v>
      </c>
      <c r="R49" s="18" t="str">
        <f>IF(INDEX(Korpus!$B:$B,$A49)="","",INDEX(Korpus!$B:$B,$A49))</f>
        <v xml:space="preserve">BAB VI
KEWAJIBAN PENGENDALI DATA PRIBADI DAN PROSESOR DATA PRIBADI DALAM PEMROSESAN DATA PRIBADI</v>
      </c>
      <c r="S49" s="18" t="str">
        <f>IF(INDEX(Korpus!$C:$C,$A49)="","",INDEX(Korpus!$C:$C,$A49))</f>
        <v xml:space="preserve">Bagian Kedua Kewajiban Pengendali Data Pribadi</v>
      </c>
    </row>
    <row r="50" ht="60" customHeight="1">
      <c r="A50" s="16">
        <v>50</v>
      </c>
      <c r="B50" s="17" t="str">
        <f>IF(Petunjuk!$C$4="","",Petunjuk!$C$4)</f>
        <v xml:space="preserve">Ubah Coder ini di Sheet “Petunjuk”</v>
      </c>
      <c r="C50" s="18" t="str">
        <f>IF(INDEX(Korpus!$A:$A,$A50)="","",INDEX(Korpus!$A:$A,$A50))</f>
        <v xml:space="preserve">UU 27 Thn 2022 (PDP)</v>
      </c>
      <c r="D50" s="18" t="str">
        <f>TRIM(INDEX(Korpus!$D:$D,$A50)&amp;" "&amp;INDEX(Korpus!$E:$E,$A50))</f>
        <v xml:space="preserve">Pasal 23</v>
      </c>
      <c r="E50" s="18" t="str">
        <f>IF(INDEX(Korpus!$F:$F,$A50)="","",INDEX(Korpus!$F:$F,$A50))</f>
        <v xml:space="preserve">Klausul perjanjian yang di dalamnya terdapat permintaan pemrosesan Data Pribadi yang tidak memuat persetujuan yang sah secara eksplisit dari Subjek Data Pribadi dinyatakan batal demi hukum.</v>
      </c>
      <c r="F50" s="19" t="s">
        <v>62</v>
      </c>
      <c r="G50" s="19" t="s">
        <v>94</v>
      </c>
      <c r="H50" s="19" t="s">
        <v>117</v>
      </c>
      <c r="I50" s="19" t="s">
        <v>106</v>
      </c>
      <c r="J50" s="19" t="s">
        <v>114</v>
      </c>
      <c r="K50" s="19" t="s">
        <v>89</v>
      </c>
      <c r="L50" s="19"/>
      <c r="M50" s="20" t="s">
        <v>121</v>
      </c>
      <c r="N50" s="20" t="s">
        <v>122</v>
      </c>
      <c r="O50" s="16"/>
      <c r="P50" s="18" t="str">
        <f t="shared" si="2"/>
        <v>Lengkap</v>
      </c>
      <c r="Q50" s="18" t="str">
        <f t="shared" si="3"/>
        <v>OK</v>
      </c>
      <c r="R50" s="18" t="str">
        <f>IF(INDEX(Korpus!$B:$B,$A50)="","",INDEX(Korpus!$B:$B,$A50))</f>
        <v xml:space="preserve">BAB VI
KEWAJIBAN PENGENDALI DATA PRIBADI DAN PROSESOR DATA PRIBADI DALAM PEMROSESAN DATA PRIBADI</v>
      </c>
      <c r="S50" s="18" t="str">
        <f>IF(INDEX(Korpus!$C:$C,$A50)="","",INDEX(Korpus!$C:$C,$A50))</f>
        <v xml:space="preserve">Bagian Kedua Kewajiban Pengendali Data Pribadi</v>
      </c>
    </row>
    <row r="51" ht="60" customHeight="1">
      <c r="A51" s="16">
        <v>51</v>
      </c>
      <c r="B51" s="17" t="str">
        <f>IF(Petunjuk!$C$4="","",Petunjuk!$C$4)</f>
        <v xml:space="preserve">Ubah Coder ini di Sheet “Petunjuk”</v>
      </c>
      <c r="C51" s="18" t="str">
        <f>IF(INDEX(Korpus!$A:$A,$A51)="","",INDEX(Korpus!$A:$A,$A51))</f>
        <v xml:space="preserve">UU 27 Thn 2022 (PDP)</v>
      </c>
      <c r="D51" s="18" t="str">
        <f>TRIM(INDEX(Korpus!$D:$D,$A51)&amp;" "&amp;INDEX(Korpus!$E:$E,$A51))</f>
        <v xml:space="preserve">Pasal 24</v>
      </c>
      <c r="E51" s="18" t="str">
        <f>IF(INDEX(Korpus!$F:$F,$A51)="","",INDEX(Korpus!$F:$F,$A51))</f>
        <v xml:space="preserve">Dalam melakukan pemrosesan Data Pribadi, Pengendali Data Pribadi wajib menunjukkan bukti persetujuan yang telah diberikan oleh Subjek Data Pribadi.</v>
      </c>
      <c r="F51" s="19" t="s">
        <v>113</v>
      </c>
      <c r="G51" s="19" t="s">
        <v>94</v>
      </c>
      <c r="H51" s="19" t="s">
        <v>117</v>
      </c>
      <c r="I51" s="19" t="s">
        <v>80</v>
      </c>
      <c r="J51" s="19" t="s">
        <v>114</v>
      </c>
      <c r="K51" s="19" t="s">
        <v>95</v>
      </c>
      <c r="L51" s="19"/>
      <c r="M51" s="20" t="s">
        <v>123</v>
      </c>
      <c r="N51" s="20"/>
      <c r="O51" s="16"/>
      <c r="P51" s="18" t="str">
        <f t="shared" si="2"/>
        <v>Lengkap</v>
      </c>
      <c r="Q51" s="18" t="str">
        <f t="shared" si="3"/>
        <v>OK</v>
      </c>
      <c r="R51" s="18" t="str">
        <f>IF(INDEX(Korpus!$B:$B,$A51)="","",INDEX(Korpus!$B:$B,$A51))</f>
        <v xml:space="preserve">BAB VI
KEWAJIBAN PENGENDALI DATA PRIBADI DAN PROSESOR DATA PRIBADI DALAM PEMROSESAN DATA PRIBADI</v>
      </c>
      <c r="S51" s="18" t="str">
        <f>IF(INDEX(Korpus!$C:$C,$A51)="","",INDEX(Korpus!$C:$C,$A51))</f>
        <v xml:space="preserve">Bagian Kedua Kewajiban Pengendali Data Pribadi</v>
      </c>
    </row>
    <row r="52" ht="60" customHeight="1">
      <c r="A52" s="16">
        <v>52</v>
      </c>
      <c r="B52" s="17" t="str">
        <f>IF(Petunjuk!$C$4="","",Petunjuk!$C$4)</f>
        <v xml:space="preserve">Ubah Coder ini di Sheet “Petunjuk”</v>
      </c>
      <c r="C52" s="18" t="str">
        <f>IF(INDEX(Korpus!$A:$A,$A52)="","",INDEX(Korpus!$A:$A,$A52))</f>
        <v xml:space="preserve">UU 27 Thn 2022 (PDP)</v>
      </c>
      <c r="D52" s="18" t="str">
        <f>TRIM(INDEX(Korpus!$D:$D,$A52)&amp;" "&amp;INDEX(Korpus!$E:$E,$A52))</f>
        <v xml:space="preserve">Pasal 25</v>
      </c>
      <c r="E52" s="18" t="str">
        <f>IF(INDEX(Korpus!$F:$F,$A52)="","",INDEX(Korpus!$F:$F,$A52))</f>
        <v xml:space="preserve">(1) Pemrosesan Data Pribadi anak secara khusus.(2) Pemrosesan Data Pribadi anak sebagaimana dimaksud pada ayat (1) wajib mendapat persetujuan dari orang tua anak dan/ atau wali anak sesuai dengan ketentuan peraturan perundang-undangan.</v>
      </c>
      <c r="F52" s="19" t="s">
        <v>62</v>
      </c>
      <c r="G52" s="19" t="s">
        <v>94</v>
      </c>
      <c r="H52" s="19" t="s">
        <v>85</v>
      </c>
      <c r="I52" s="19" t="s">
        <v>80</v>
      </c>
      <c r="J52" s="19" t="s">
        <v>114</v>
      </c>
      <c r="K52" s="19" t="s">
        <v>95</v>
      </c>
      <c r="L52" s="19" t="s">
        <v>117</v>
      </c>
      <c r="M52" s="20" t="s">
        <v>124</v>
      </c>
      <c r="N52" s="20" t="s">
        <v>125</v>
      </c>
      <c r="O52" s="16" t="s">
        <v>78</v>
      </c>
      <c r="P52" s="18" t="str">
        <f t="shared" si="2"/>
        <v>Lengkap</v>
      </c>
      <c r="Q52" s="18" t="str">
        <f t="shared" si="3"/>
        <v>OK</v>
      </c>
      <c r="R52" s="18" t="str">
        <f>IF(INDEX(Korpus!$B:$B,$A52)="","",INDEX(Korpus!$B:$B,$A52))</f>
        <v xml:space="preserve">BAB VI
KEWAJIBAN PENGENDALI DATA PRIBADI DAN PROSESOR DATA PRIBADI DALAM PEMROSESAN DATA PRIBADI</v>
      </c>
      <c r="S52" s="18" t="str">
        <f>IF(INDEX(Korpus!$C:$C,$A52)="","",INDEX(Korpus!$C:$C,$A52))</f>
        <v xml:space="preserve">Bagian Kedua Kewajiban Pengendali Data Pribadi</v>
      </c>
    </row>
    <row r="53" ht="60" customHeight="1">
      <c r="A53" s="16">
        <v>53</v>
      </c>
      <c r="B53" s="17" t="str">
        <f>IF(Petunjuk!$C$4="","",Petunjuk!$C$4)</f>
        <v xml:space="preserve">Ubah Coder ini di Sheet “Petunjuk”</v>
      </c>
      <c r="C53" s="18" t="str">
        <f>IF(INDEX(Korpus!$A:$A,$A53)="","",INDEX(Korpus!$A:$A,$A53))</f>
        <v xml:space="preserve">UU 27 Thn 2022 (PDP)</v>
      </c>
      <c r="D53" s="18" t="str">
        <f>TRIM(INDEX(Korpus!$D:$D,$A53)&amp;" "&amp;INDEX(Korpus!$E:$E,$A53))</f>
        <v xml:space="preserve">Pasal 26</v>
      </c>
      <c r="E53" s="18" t="str">
        <f>IF(INDEX(Korpus!$F:$F,$A53)="","",INDEX(Korpus!$F:$F,$A53))</f>
        <v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F53" s="19" t="s">
        <v>62</v>
      </c>
      <c r="G53" s="19" t="s">
        <v>94</v>
      </c>
      <c r="H53" s="19" t="s">
        <v>85</v>
      </c>
      <c r="I53" s="19" t="s">
        <v>80</v>
      </c>
      <c r="J53" s="19" t="s">
        <v>114</v>
      </c>
      <c r="K53" s="19" t="s">
        <v>95</v>
      </c>
      <c r="L53" s="19" t="s">
        <v>117</v>
      </c>
      <c r="M53" s="20" t="s">
        <v>126</v>
      </c>
      <c r="N53" s="20"/>
      <c r="O53" s="16"/>
      <c r="P53" s="18" t="str">
        <f t="shared" si="2"/>
        <v>Lengkap</v>
      </c>
      <c r="Q53" s="18" t="str">
        <f t="shared" si="3"/>
        <v>OK</v>
      </c>
      <c r="R53" s="18" t="str">
        <f>IF(INDEX(Korpus!$B:$B,$A53)="","",INDEX(Korpus!$B:$B,$A53))</f>
        <v xml:space="preserve">BAB VI
KEWAJIBAN PENGENDALI DATA PRIBADI DAN PROSESOR DATA PRIBADI DALAM PEMROSESAN DATA PRIBADI</v>
      </c>
      <c r="S53" s="18" t="str">
        <f>IF(INDEX(Korpus!$C:$C,$A53)="","",INDEX(Korpus!$C:$C,$A53))</f>
        <v xml:space="preserve">Bagian Kedua Kewajiban Pengendali Data Pribadi</v>
      </c>
    </row>
    <row r="54" ht="60" customHeight="1">
      <c r="A54" s="16">
        <v>54</v>
      </c>
      <c r="B54" s="17" t="str">
        <f>IF(Petunjuk!$C$4="","",Petunjuk!$C$4)</f>
        <v xml:space="preserve">Ubah Coder ini di Sheet “Petunjuk”</v>
      </c>
      <c r="C54" s="18" t="str">
        <f>IF(INDEX(Korpus!$A:$A,$A54)="","",INDEX(Korpus!$A:$A,$A54))</f>
        <v xml:space="preserve">UU 27 Thn 2022 (PDP)</v>
      </c>
      <c r="D54" s="18" t="str">
        <f>TRIM(INDEX(Korpus!$D:$D,$A54)&amp;" "&amp;INDEX(Korpus!$E:$E,$A54))</f>
        <v xml:space="preserve">Pasal 27</v>
      </c>
      <c r="E54" s="18" t="str">
        <f>IF(INDEX(Korpus!$F:$F,$A54)="","",INDEX(Korpus!$F:$F,$A54))</f>
        <v xml:space="preserve">Pengendali Data Pribadi wajib melakukan pemrosesan Data Pribadi secara terbatas dan spesifik, sah secara hukum, dan transparan.</v>
      </c>
      <c r="F54" s="19" t="s">
        <v>113</v>
      </c>
      <c r="G54" s="19" t="s">
        <v>94</v>
      </c>
      <c r="H54" s="19" t="s">
        <v>91</v>
      </c>
      <c r="I54" s="19" t="s">
        <v>80</v>
      </c>
      <c r="J54" s="19" t="s">
        <v>66</v>
      </c>
      <c r="K54" s="19" t="s">
        <v>89</v>
      </c>
      <c r="L54" s="19"/>
      <c r="M54" s="20" t="s">
        <v>127</v>
      </c>
      <c r="N54" s="20" t="s">
        <v>128</v>
      </c>
      <c r="O54" s="16" t="s">
        <v>78</v>
      </c>
      <c r="P54" s="18" t="str">
        <f t="shared" si="2"/>
        <v>Lengkap</v>
      </c>
      <c r="Q54" s="18" t="str">
        <f t="shared" si="3"/>
        <v>OK</v>
      </c>
      <c r="R54" s="18" t="str">
        <f>IF(INDEX(Korpus!$B:$B,$A54)="","",INDEX(Korpus!$B:$B,$A54))</f>
        <v xml:space="preserve">BAB VI
KEWAJIBAN PENGENDALI DATA PRIBADI DAN PROSESOR DATA PRIBADI DALAM PEMROSESAN DATA PRIBADI</v>
      </c>
      <c r="S54" s="18" t="str">
        <f>IF(INDEX(Korpus!$C:$C,$A54)="","",INDEX(Korpus!$C:$C,$A54))</f>
        <v xml:space="preserve">Bagian Kedua Kewajiban Pengendali Data Pribadi</v>
      </c>
    </row>
    <row r="55" ht="60" customHeight="1">
      <c r="A55" s="16">
        <v>55</v>
      </c>
      <c r="B55" s="17" t="str">
        <f>IF(Petunjuk!$C$4="","",Petunjuk!$C$4)</f>
        <v xml:space="preserve">Ubah Coder ini di Sheet “Petunjuk”</v>
      </c>
      <c r="C55" s="18" t="str">
        <f>IF(INDEX(Korpus!$A:$A,$A55)="","",INDEX(Korpus!$A:$A,$A55))</f>
        <v xml:space="preserve">UU 27 Thn 2022 (PDP)</v>
      </c>
      <c r="D55" s="18" t="str">
        <f>TRIM(INDEX(Korpus!$D:$D,$A55)&amp;" "&amp;INDEX(Korpus!$E:$E,$A55))</f>
        <v xml:space="preserve">Pasal 28</v>
      </c>
      <c r="E55" s="18" t="str">
        <f>IF(INDEX(Korpus!$F:$F,$A55)="","",INDEX(Korpus!$F:$F,$A55))</f>
        <v xml:space="preserve">Pengendali Data Pribadi wajib melakukan pemrosesan Data Pribadi sesuai dengan tujuan pemrosesan Data Pribadi.</v>
      </c>
      <c r="F55" s="19" t="s">
        <v>113</v>
      </c>
      <c r="G55" s="19" t="s">
        <v>94</v>
      </c>
      <c r="H55" s="19" t="s">
        <v>91</v>
      </c>
      <c r="I55" s="19" t="s">
        <v>80</v>
      </c>
      <c r="J55" s="19" t="s">
        <v>66</v>
      </c>
      <c r="K55" s="19" t="s">
        <v>89</v>
      </c>
      <c r="L55" s="19"/>
      <c r="M55" s="20" t="s">
        <v>129</v>
      </c>
      <c r="N55" s="20"/>
      <c r="O55" s="16" t="s">
        <v>68</v>
      </c>
      <c r="P55" s="18" t="str">
        <f t="shared" si="2"/>
        <v>Lengkap</v>
      </c>
      <c r="Q55" s="18" t="str">
        <f t="shared" si="3"/>
        <v>OK</v>
      </c>
      <c r="R55" s="18" t="str">
        <f>IF(INDEX(Korpus!$B:$B,$A55)="","",INDEX(Korpus!$B:$B,$A55))</f>
        <v xml:space="preserve">BAB VI
KEWAJIBAN PENGENDALI DATA PRIBADI DAN PROSESOR DATA PRIBADI DALAM PEMROSESAN DATA PRIBADI</v>
      </c>
      <c r="S55" s="18" t="str">
        <f>IF(INDEX(Korpus!$C:$C,$A55)="","",INDEX(Korpus!$C:$C,$A55))</f>
        <v xml:space="preserve">Bagian Kedua Kewajiban Pengendali Data Pribadi</v>
      </c>
    </row>
    <row r="56" ht="60" customHeight="1">
      <c r="A56" s="16">
        <v>56</v>
      </c>
      <c r="B56" s="17" t="str">
        <f>IF(Petunjuk!$C$4="","",Petunjuk!$C$4)</f>
        <v xml:space="preserve">Ubah Coder ini di Sheet “Petunjuk”</v>
      </c>
      <c r="C56" s="18" t="str">
        <f>IF(INDEX(Korpus!$A:$A,$A56)="","",INDEX(Korpus!$A:$A,$A56))</f>
        <v xml:space="preserve">UU 27 Thn 2022 (PDP)</v>
      </c>
      <c r="D56" s="18" t="str">
        <f>TRIM(INDEX(Korpus!$D:$D,$A56)&amp;" "&amp;INDEX(Korpus!$E:$E,$A56))</f>
        <v xml:space="preserve">Pasal 29</v>
      </c>
      <c r="E56" s="18" t="str">
        <f>IF(INDEX(Korpus!$F:$F,$A56)="","",INDEX(Korpus!$F:$F,$A56))</f>
        <v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F56" s="19" t="s">
        <v>113</v>
      </c>
      <c r="G56" s="19" t="s">
        <v>94</v>
      </c>
      <c r="H56" s="19" t="s">
        <v>130</v>
      </c>
      <c r="I56" s="19" t="s">
        <v>80</v>
      </c>
      <c r="J56" s="19" t="s">
        <v>131</v>
      </c>
      <c r="K56" s="19" t="s">
        <v>132</v>
      </c>
      <c r="L56" s="19"/>
      <c r="M56" s="20" t="s">
        <v>133</v>
      </c>
      <c r="N56" s="20"/>
      <c r="O56" s="16" t="s">
        <v>78</v>
      </c>
      <c r="P56" s="18" t="str">
        <f t="shared" si="2"/>
        <v>Lengkap</v>
      </c>
      <c r="Q56" s="18" t="str">
        <f t="shared" si="3"/>
        <v>OK</v>
      </c>
      <c r="R56" s="18" t="str">
        <f>IF(INDEX(Korpus!$B:$B,$A56)="","",INDEX(Korpus!$B:$B,$A56))</f>
        <v xml:space="preserve">BAB VI
KEWAJIBAN PENGENDALI DATA PRIBADI DAN PROSESOR DATA PRIBADI DALAM PEMROSESAN DATA PRIBADI</v>
      </c>
      <c r="S56" s="18" t="str">
        <f>IF(INDEX(Korpus!$C:$C,$A56)="","",INDEX(Korpus!$C:$C,$A56))</f>
        <v xml:space="preserve">Bagian Kedua Kewajiban Pengendali Data Pribadi</v>
      </c>
    </row>
    <row r="57" ht="60" customHeight="1">
      <c r="A57" s="16">
        <v>57</v>
      </c>
      <c r="B57" s="17" t="str">
        <f>IF(Petunjuk!$C$4="","",Petunjuk!$C$4)</f>
        <v xml:space="preserve">Ubah Coder ini di Sheet “Petunjuk”</v>
      </c>
      <c r="C57" s="18" t="str">
        <f>IF(INDEX(Korpus!$A:$A,$A57)="","",INDEX(Korpus!$A:$A,$A57))</f>
        <v xml:space="preserve">UU 27 Thn 2022 (PDP)</v>
      </c>
      <c r="D57" s="18" t="str">
        <f>TRIM(INDEX(Korpus!$D:$D,$A57)&amp;" "&amp;INDEX(Korpus!$E:$E,$A57))</f>
        <v xml:space="preserve">Pasal 30</v>
      </c>
      <c r="E57" s="18" t="str">
        <f>IF(INDEX(Korpus!$F:$F,$A57)="","",INDEX(Korpus!$F:$F,$A57))</f>
        <v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F57" s="19" t="s">
        <v>113</v>
      </c>
      <c r="G57" s="19" t="s">
        <v>94</v>
      </c>
      <c r="H57" s="19" t="s">
        <v>130</v>
      </c>
      <c r="I57" s="19" t="s">
        <v>80</v>
      </c>
      <c r="J57" s="19" t="s">
        <v>131</v>
      </c>
      <c r="K57" s="19" t="s">
        <v>95</v>
      </c>
      <c r="L57" s="19"/>
      <c r="M57" s="20" t="s">
        <v>134</v>
      </c>
      <c r="N57" s="20"/>
      <c r="O57" s="16"/>
      <c r="P57" s="18" t="str">
        <f t="shared" si="2"/>
        <v>Lengkap</v>
      </c>
      <c r="Q57" s="18" t="str">
        <f t="shared" si="3"/>
        <v>OK</v>
      </c>
      <c r="R57" s="18" t="str">
        <f>IF(INDEX(Korpus!$B:$B,$A57)="","",INDEX(Korpus!$B:$B,$A57))</f>
        <v xml:space="preserve">BAB VI
KEWAJIBAN PENGENDALI DATA PRIBADI DAN PROSESOR DATA PRIBADI DALAM PEMROSESAN DATA PRIBADI</v>
      </c>
      <c r="S57" s="18" t="str">
        <f>IF(INDEX(Korpus!$C:$C,$A57)="","",INDEX(Korpus!$C:$C,$A57))</f>
        <v xml:space="preserve">Bagian Kedua Kewajiban Pengendali Data Pribadi</v>
      </c>
    </row>
    <row r="58" ht="60" customHeight="1">
      <c r="A58" s="16">
        <v>58</v>
      </c>
      <c r="B58" s="17" t="str">
        <f>IF(Petunjuk!$C$4="","",Petunjuk!$C$4)</f>
        <v xml:space="preserve">Ubah Coder ini di Sheet “Petunjuk”</v>
      </c>
      <c r="C58" s="18" t="str">
        <f>IF(INDEX(Korpus!$A:$A,$A58)="","",INDEX(Korpus!$A:$A,$A58))</f>
        <v xml:space="preserve">UU 27 Thn 2022 (PDP)</v>
      </c>
      <c r="D58" s="18" t="str">
        <f>TRIM(INDEX(Korpus!$D:$D,$A58)&amp;" "&amp;INDEX(Korpus!$E:$E,$A58))</f>
        <v xml:space="preserve">Pasal 31</v>
      </c>
      <c r="E58" s="18" t="str">
        <f>IF(INDEX(Korpus!$F:$F,$A58)="","",INDEX(Korpus!$F:$F,$A58))</f>
        <v xml:space="preserve">Pengendali Data Pribadi wajib melakukan perekaman terhadap seluruh kegiatan pemrosesan Data Pribadi.</v>
      </c>
      <c r="F58" s="19" t="s">
        <v>113</v>
      </c>
      <c r="G58" s="19" t="s">
        <v>94</v>
      </c>
      <c r="H58" s="19" t="s">
        <v>135</v>
      </c>
      <c r="I58" s="19" t="s">
        <v>80</v>
      </c>
      <c r="J58" s="19" t="s">
        <v>76</v>
      </c>
      <c r="K58" s="19" t="s">
        <v>132</v>
      </c>
      <c r="L58" s="19"/>
      <c r="M58" s="20" t="s">
        <v>136</v>
      </c>
      <c r="N58" s="20"/>
      <c r="O58" s="16"/>
      <c r="P58" s="18" t="str">
        <f t="shared" si="2"/>
        <v>Lengkap</v>
      </c>
      <c r="Q58" s="18" t="str">
        <f t="shared" si="3"/>
        <v>OK</v>
      </c>
      <c r="R58" s="18" t="str">
        <f>IF(INDEX(Korpus!$B:$B,$A58)="","",INDEX(Korpus!$B:$B,$A58))</f>
        <v xml:space="preserve">BAB VI
KEWAJIBAN PENGENDALI DATA PRIBADI DAN PROSESOR DATA PRIBADI DALAM PEMROSESAN DATA PRIBADI</v>
      </c>
      <c r="S58" s="18" t="str">
        <f>IF(INDEX(Korpus!$C:$C,$A58)="","",INDEX(Korpus!$C:$C,$A58))</f>
        <v xml:space="preserve">Bagian Kedua Kewajiban Pengendali Data Pribadi</v>
      </c>
    </row>
    <row r="59" ht="60" customHeight="1">
      <c r="A59" s="16">
        <v>59</v>
      </c>
      <c r="B59" s="17" t="str">
        <f>IF(Petunjuk!$C$4="","",Petunjuk!$C$4)</f>
        <v xml:space="preserve">Ubah Coder ini di Sheet “Petunjuk”</v>
      </c>
      <c r="C59" s="18" t="str">
        <f>IF(INDEX(Korpus!$A:$A,$A59)="","",INDEX(Korpus!$A:$A,$A59))</f>
        <v xml:space="preserve">UU 27 Thn 2022 (PDP)</v>
      </c>
      <c r="D59" s="18" t="str">
        <f>TRIM(INDEX(Korpus!$D:$D,$A59)&amp;" "&amp;INDEX(Korpus!$E:$E,$A59))</f>
        <v xml:space="preserve">Pasal 32</v>
      </c>
      <c r="E59" s="18" t="str">
        <f>IF(INDEX(Korpus!$F:$F,$A59)="","",INDEX(Korpus!$F:$F,$A59))</f>
        <v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F59" s="19" t="s">
        <v>113</v>
      </c>
      <c r="G59" s="19" t="s">
        <v>94</v>
      </c>
      <c r="H59" s="19" t="s">
        <v>74</v>
      </c>
      <c r="I59" s="19" t="s">
        <v>80</v>
      </c>
      <c r="J59" s="19" t="s">
        <v>76</v>
      </c>
      <c r="K59" s="19" t="s">
        <v>95</v>
      </c>
      <c r="L59" s="19"/>
      <c r="M59" s="20" t="s">
        <v>137</v>
      </c>
      <c r="N59" s="20"/>
      <c r="O59" s="16"/>
      <c r="P59" s="18" t="str">
        <f t="shared" si="2"/>
        <v>Lengkap</v>
      </c>
      <c r="Q59" s="18" t="str">
        <f t="shared" si="3"/>
        <v>OK</v>
      </c>
      <c r="R59" s="18" t="str">
        <f>IF(INDEX(Korpus!$B:$B,$A59)="","",INDEX(Korpus!$B:$B,$A59))</f>
        <v xml:space="preserve">BAB VI
KEWAJIBAN PENGENDALI DATA PRIBADI DAN PROSESOR DATA PRIBADI DALAM PEMROSESAN DATA PRIBADI</v>
      </c>
      <c r="S59" s="18" t="str">
        <f>IF(INDEX(Korpus!$C:$C,$A59)="","",INDEX(Korpus!$C:$C,$A59))</f>
        <v xml:space="preserve">Bagian Kedua Kewajiban Pengendali Data Pribadi</v>
      </c>
    </row>
    <row r="60" ht="60" customHeight="1">
      <c r="A60" s="16">
        <v>60</v>
      </c>
      <c r="B60" s="17" t="str">
        <f>IF(Petunjuk!$C$4="","",Petunjuk!$C$4)</f>
        <v xml:space="preserve">Ubah Coder ini di Sheet “Petunjuk”</v>
      </c>
      <c r="C60" s="18" t="str">
        <f>IF(INDEX(Korpus!$A:$A,$A60)="","",INDEX(Korpus!$A:$A,$A60))</f>
        <v xml:space="preserve">UU 27 Thn 2022 (PDP)</v>
      </c>
      <c r="D60" s="18" t="str">
        <f>TRIM(INDEX(Korpus!$D:$D,$A60)&amp;" "&amp;INDEX(Korpus!$E:$E,$A60))</f>
        <v xml:space="preserve">Pasal 33</v>
      </c>
      <c r="E60" s="18" t="str">
        <f>IF(INDEX(Korpus!$F:$F,$A60)="","",INDEX(Korpus!$F:$F,$A60))</f>
        <v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F60" s="19" t="s">
        <v>113</v>
      </c>
      <c r="G60" s="19" t="s">
        <v>94</v>
      </c>
      <c r="H60" s="19" t="s">
        <v>90</v>
      </c>
      <c r="I60" s="19" t="s">
        <v>106</v>
      </c>
      <c r="J60" s="19" t="s">
        <v>76</v>
      </c>
      <c r="K60" s="19" t="s">
        <v>95</v>
      </c>
      <c r="L60" s="19"/>
      <c r="M60" s="20" t="s">
        <v>138</v>
      </c>
      <c r="N60" s="20"/>
      <c r="O60" s="16"/>
      <c r="P60" s="18" t="str">
        <f t="shared" si="2"/>
        <v>Lengkap</v>
      </c>
      <c r="Q60" s="18" t="str">
        <f t="shared" si="3"/>
        <v>OK</v>
      </c>
      <c r="R60" s="18" t="str">
        <f>IF(INDEX(Korpus!$B:$B,$A60)="","",INDEX(Korpus!$B:$B,$A60))</f>
        <v xml:space="preserve">BAB VI
KEWAJIBAN PENGENDALI DATA PRIBADI DAN PROSESOR DATA PRIBADI DALAM PEMROSESAN DATA PRIBADI</v>
      </c>
      <c r="S60" s="18" t="str">
        <f>IF(INDEX(Korpus!$C:$C,$A60)="","",INDEX(Korpus!$C:$C,$A60))</f>
        <v xml:space="preserve">Bagian Kedua Kewajiban Pengendali Data Pribadi</v>
      </c>
    </row>
    <row r="61" ht="60" customHeight="1">
      <c r="A61" s="16">
        <v>61</v>
      </c>
      <c r="B61" s="17" t="str">
        <f>IF(Petunjuk!$C$4="","",Petunjuk!$C$4)</f>
        <v xml:space="preserve">Ubah Coder ini di Sheet “Petunjuk”</v>
      </c>
      <c r="C61" s="18" t="str">
        <f>IF(INDEX(Korpus!$A:$A,$A61)="","",INDEX(Korpus!$A:$A,$A61))</f>
        <v xml:space="preserve">UU 27 Thn 2022 (PDP)</v>
      </c>
      <c r="D61" s="18" t="str">
        <f>TRIM(INDEX(Korpus!$D:$D,$A61)&amp;" "&amp;INDEX(Korpus!$E:$E,$A61))</f>
        <v xml:space="preserve">Pasal 34</v>
      </c>
      <c r="E61" s="18" t="str">
        <f>IF(INDEX(Korpus!$F:$F,$A61)="","",INDEX(Korpus!$F:$F,$A61))</f>
        <v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F61" s="19" t="s">
        <v>113</v>
      </c>
      <c r="G61" s="19" t="s">
        <v>94</v>
      </c>
      <c r="H61" s="19" t="s">
        <v>135</v>
      </c>
      <c r="I61" s="19" t="s">
        <v>80</v>
      </c>
      <c r="J61" s="19" t="s">
        <v>114</v>
      </c>
      <c r="K61" s="19" t="s">
        <v>95</v>
      </c>
      <c r="L61" s="19"/>
      <c r="M61" s="20" t="s">
        <v>139</v>
      </c>
      <c r="N61" s="20"/>
      <c r="O61" s="16"/>
      <c r="P61" s="18" t="str">
        <f t="shared" si="2"/>
        <v>Lengkap</v>
      </c>
      <c r="Q61" s="18" t="str">
        <f t="shared" si="3"/>
        <v>OK</v>
      </c>
      <c r="R61" s="18" t="str">
        <f>IF(INDEX(Korpus!$B:$B,$A61)="","",INDEX(Korpus!$B:$B,$A61))</f>
        <v xml:space="preserve">BAB VI
KEWAJIBAN PENGENDALI DATA PRIBADI DAN PROSESOR DATA PRIBADI DALAM PEMROSESAN DATA PRIBADI</v>
      </c>
      <c r="S61" s="18" t="str">
        <f>IF(INDEX(Korpus!$C:$C,$A61)="","",INDEX(Korpus!$C:$C,$A61))</f>
        <v xml:space="preserve">Bagian Kedua
Kewajiban Pengendali Data Pribadi</v>
      </c>
    </row>
    <row r="62" ht="60" customHeight="1">
      <c r="A62" s="16">
        <v>62</v>
      </c>
      <c r="B62" s="17" t="str">
        <f>IF(Petunjuk!$C$4="","",Petunjuk!$C$4)</f>
        <v xml:space="preserve">Ubah Coder ini di Sheet “Petunjuk”</v>
      </c>
      <c r="C62" s="18" t="str">
        <f>IF(INDEX(Korpus!$A:$A,$A62)="","",INDEX(Korpus!$A:$A,$A62))</f>
        <v xml:space="preserve">UU 27 Thn 2022 (PDP)</v>
      </c>
      <c r="D62" s="18" t="str">
        <f>TRIM(INDEX(Korpus!$D:$D,$A62)&amp;" "&amp;INDEX(Korpus!$E:$E,$A62))</f>
        <v xml:space="preserve">Pasal 35</v>
      </c>
      <c r="E62" s="18" t="str">
        <f>IF(INDEX(Korpus!$F:$F,$A62)="","",INDEX(Korpus!$F:$F,$A62))</f>
        <v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F62" s="19" t="s">
        <v>113</v>
      </c>
      <c r="G62" s="19" t="s">
        <v>94</v>
      </c>
      <c r="H62" s="19" t="s">
        <v>79</v>
      </c>
      <c r="I62" s="19" t="s">
        <v>80</v>
      </c>
      <c r="J62" s="19" t="s">
        <v>140</v>
      </c>
      <c r="K62" s="19" t="s">
        <v>81</v>
      </c>
      <c r="L62" s="19"/>
      <c r="M62" s="20" t="s">
        <v>141</v>
      </c>
      <c r="N62" s="20"/>
      <c r="O62" s="16" t="s">
        <v>68</v>
      </c>
      <c r="P62" s="18" t="str">
        <f t="shared" si="2"/>
        <v>Lengkap</v>
      </c>
      <c r="Q62" s="18" t="str">
        <f t="shared" si="3"/>
        <v>OK</v>
      </c>
      <c r="R62" s="18" t="str">
        <f>IF(INDEX(Korpus!$B:$B,$A62)="","",INDEX(Korpus!$B:$B,$A62))</f>
        <v xml:space="preserve">BAB VI
KEWAJIBAN PENGENDALI DATA PRIBADI DAN PROSESOR DATA PRIBADI DALAM PEMROSESAN DATA PRIBADI</v>
      </c>
      <c r="S62" s="18" t="str">
        <f>IF(INDEX(Korpus!$C:$C,$A62)="","",INDEX(Korpus!$C:$C,$A62))</f>
        <v xml:space="preserve">Bagian Kedua
Kewajiban Pengendali Data Pribadi</v>
      </c>
    </row>
    <row r="63" ht="60" customHeight="1">
      <c r="A63" s="16">
        <v>63</v>
      </c>
      <c r="B63" s="17" t="str">
        <f>IF(Petunjuk!$C$4="","",Petunjuk!$C$4)</f>
        <v xml:space="preserve">Ubah Coder ini di Sheet “Petunjuk”</v>
      </c>
      <c r="C63" s="18" t="str">
        <f>IF(INDEX(Korpus!$A:$A,$A63)="","",INDEX(Korpus!$A:$A,$A63))</f>
        <v xml:space="preserve">UU 27 Thn 2022 (PDP)</v>
      </c>
      <c r="D63" s="18" t="str">
        <f>TRIM(INDEX(Korpus!$D:$D,$A63)&amp;" "&amp;INDEX(Korpus!$E:$E,$A63))</f>
        <v xml:space="preserve">Pasal 36</v>
      </c>
      <c r="E63" s="18" t="str">
        <f>IF(INDEX(Korpus!$F:$F,$A63)="","",INDEX(Korpus!$F:$F,$A63))</f>
        <v xml:space="preserve">Dalam melakukan pemrosesan Data Pribadi, Pengendali Data Pribadi wajib menjaga kerahasiaan Data Pribadi.</v>
      </c>
      <c r="F63" s="19" t="s">
        <v>113</v>
      </c>
      <c r="G63" s="19" t="s">
        <v>94</v>
      </c>
      <c r="H63" s="19" t="s">
        <v>79</v>
      </c>
      <c r="I63" s="19" t="s">
        <v>80</v>
      </c>
      <c r="J63" s="19" t="s">
        <v>140</v>
      </c>
      <c r="K63" s="19" t="s">
        <v>81</v>
      </c>
      <c r="L63" s="19"/>
      <c r="M63" s="20" t="s">
        <v>142</v>
      </c>
      <c r="N63" s="20"/>
      <c r="O63" s="16"/>
      <c r="P63" s="18" t="str">
        <f t="shared" si="2"/>
        <v>Lengkap</v>
      </c>
      <c r="Q63" s="18" t="str">
        <f t="shared" si="3"/>
        <v>OK</v>
      </c>
      <c r="R63" s="18" t="str">
        <f>IF(INDEX(Korpus!$B:$B,$A63)="","",INDEX(Korpus!$B:$B,$A63))</f>
        <v xml:space="preserve">BAB VI
KEWAJIBAN PENGENDALI DATA PRIBADI DAN PROSESOR DATA PRIBADI DALAM PEMROSESAN DATA PRIBADI</v>
      </c>
      <c r="S63" s="18" t="str">
        <f>IF(INDEX(Korpus!$C:$C,$A63)="","",INDEX(Korpus!$C:$C,$A63))</f>
        <v xml:space="preserve">Bagian Kedua
Kewajiban Pengendali Data Pribadi</v>
      </c>
    </row>
    <row r="64" ht="60" customHeight="1">
      <c r="A64" s="16">
        <v>64</v>
      </c>
      <c r="B64" s="17" t="str">
        <f>IF(Petunjuk!$C$4="","",Petunjuk!$C$4)</f>
        <v xml:space="preserve">Ubah Coder ini di Sheet “Petunjuk”</v>
      </c>
      <c r="C64" s="18" t="str">
        <f>IF(INDEX(Korpus!$A:$A,$A64)="","",INDEX(Korpus!$A:$A,$A64))</f>
        <v xml:space="preserve">UU 27 Thn 2022 (PDP)</v>
      </c>
      <c r="D64" s="18" t="str">
        <f>TRIM(INDEX(Korpus!$D:$D,$A64)&amp;" "&amp;INDEX(Korpus!$E:$E,$A64))</f>
        <v xml:space="preserve">Pasal 37</v>
      </c>
      <c r="E64" s="18" t="str">
        <f>IF(INDEX(Korpus!$F:$F,$A64)="","",INDEX(Korpus!$F:$F,$A64))</f>
        <v xml:space="preserve">Pengendali Data Pribadi wajib melakukan pengawasan terhadap setiap pihak yang terlibat dalam pemrosesan Data Pribadi di bawah kendali Pengendali Data Pribadi.</v>
      </c>
      <c r="F64" s="19" t="s">
        <v>113</v>
      </c>
      <c r="G64" s="19" t="s">
        <v>94</v>
      </c>
      <c r="H64" s="19" t="s">
        <v>135</v>
      </c>
      <c r="I64" s="19" t="s">
        <v>80</v>
      </c>
      <c r="J64" s="19" t="s">
        <v>76</v>
      </c>
      <c r="K64" s="19" t="s">
        <v>132</v>
      </c>
      <c r="L64" s="19"/>
      <c r="M64" s="20" t="s">
        <v>143</v>
      </c>
      <c r="N64" s="20"/>
      <c r="O64" s="16"/>
      <c r="P64" s="18" t="str">
        <f t="shared" si="2"/>
        <v>Lengkap</v>
      </c>
      <c r="Q64" s="18" t="str">
        <f t="shared" si="3"/>
        <v>OK</v>
      </c>
      <c r="R64" s="18" t="str">
        <f>IF(INDEX(Korpus!$B:$B,$A64)="","",INDEX(Korpus!$B:$B,$A64))</f>
        <v xml:space="preserve">BAB VI
KEWAJIBAN PENGENDALI DATA PRIBADI DAN PROSESOR DATA PRIBADI DALAM PEMROSESAN DATA PRIBADI</v>
      </c>
      <c r="S64" s="18" t="str">
        <f>IF(INDEX(Korpus!$C:$C,$A64)="","",INDEX(Korpus!$C:$C,$A64))</f>
        <v xml:space="preserve">Bagian Kedua
Kewajiban Pengendali Data Pribadi</v>
      </c>
    </row>
    <row r="65" ht="60" customHeight="1">
      <c r="A65" s="16">
        <v>65</v>
      </c>
      <c r="B65" s="17" t="str">
        <f>IF(Petunjuk!$C$4="","",Petunjuk!$C$4)</f>
        <v xml:space="preserve">Ubah Coder ini di Sheet “Petunjuk”</v>
      </c>
      <c r="C65" s="18" t="str">
        <f>IF(INDEX(Korpus!$A:$A,$A65)="","",INDEX(Korpus!$A:$A,$A65))</f>
        <v xml:space="preserve">UU 27 Thn 2022 (PDP)</v>
      </c>
      <c r="D65" s="18" t="str">
        <f>TRIM(INDEX(Korpus!$D:$D,$A65)&amp;" "&amp;INDEX(Korpus!$E:$E,$A65))</f>
        <v xml:space="preserve">Pasal 38</v>
      </c>
      <c r="E65" s="18" t="str">
        <f>IF(INDEX(Korpus!$F:$F,$A65)="","",INDEX(Korpus!$F:$F,$A65))</f>
        <v xml:space="preserve">Pengendali Data Pribadi wajib melindungi Data Pribadi dari pemrosesan yang tidak sah.</v>
      </c>
      <c r="F65" s="19" t="s">
        <v>113</v>
      </c>
      <c r="G65" s="19" t="s">
        <v>94</v>
      </c>
      <c r="H65" s="19" t="s">
        <v>79</v>
      </c>
      <c r="I65" s="19" t="s">
        <v>80</v>
      </c>
      <c r="J65" s="19" t="s">
        <v>140</v>
      </c>
      <c r="K65" s="19" t="s">
        <v>81</v>
      </c>
      <c r="L65" s="19"/>
      <c r="M65" s="20" t="s">
        <v>144</v>
      </c>
      <c r="N65" s="20"/>
      <c r="O65" s="16"/>
      <c r="P65" s="18" t="str">
        <f t="shared" si="2"/>
        <v>Lengkap</v>
      </c>
      <c r="Q65" s="18" t="str">
        <f t="shared" si="3"/>
        <v>OK</v>
      </c>
      <c r="R65" s="18" t="str">
        <f>IF(INDEX(Korpus!$B:$B,$A65)="","",INDEX(Korpus!$B:$B,$A65))</f>
        <v xml:space="preserve">BAB VI
KEWAJIBAN PENGENDALI DATA PRIBADI DAN PROSESOR DATA PRIBADI DALAM PEMROSESAN DATA PRIBADI</v>
      </c>
      <c r="S65" s="18" t="str">
        <f>IF(INDEX(Korpus!$C:$C,$A65)="","",INDEX(Korpus!$C:$C,$A65))</f>
        <v xml:space="preserve">Bagian Kedua
Kewajiban Pengendali Data Pribadi</v>
      </c>
    </row>
    <row r="66" ht="60" customHeight="1">
      <c r="A66" s="16">
        <v>66</v>
      </c>
      <c r="B66" s="17" t="str">
        <f>IF(Petunjuk!$C$4="","",Petunjuk!$C$4)</f>
        <v xml:space="preserve">Ubah Coder ini di Sheet “Petunjuk”</v>
      </c>
      <c r="C66" s="18" t="str">
        <f>IF(INDEX(Korpus!$A:$A,$A66)="","",INDEX(Korpus!$A:$A,$A66))</f>
        <v xml:space="preserve">UU 27 Thn 2022 (PDP)</v>
      </c>
      <c r="D66" s="18" t="str">
        <f>TRIM(INDEX(Korpus!$D:$D,$A66)&amp;" "&amp;INDEX(Korpus!$E:$E,$A66))</f>
        <v xml:space="preserve">Pasal 39</v>
      </c>
      <c r="E66" s="18" t="str">
        <f>IF(INDEX(Korpus!$F:$F,$A66)="","",INDEX(Korpus!$F:$F,$A66))</f>
        <v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F66" s="19" t="s">
        <v>113</v>
      </c>
      <c r="G66" s="19" t="s">
        <v>94</v>
      </c>
      <c r="H66" s="19" t="s">
        <v>79</v>
      </c>
      <c r="I66" s="19" t="s">
        <v>80</v>
      </c>
      <c r="J66" s="19" t="s">
        <v>140</v>
      </c>
      <c r="K66" s="19" t="s">
        <v>81</v>
      </c>
      <c r="L66" s="19"/>
      <c r="M66" s="20" t="s">
        <v>145</v>
      </c>
      <c r="N66" s="20"/>
      <c r="O66" s="16"/>
      <c r="P66" s="18" t="str">
        <f t="shared" si="2"/>
        <v>Lengkap</v>
      </c>
      <c r="Q66" s="18" t="str">
        <f t="shared" si="3"/>
        <v>OK</v>
      </c>
      <c r="R66" s="18" t="str">
        <f>IF(INDEX(Korpus!$B:$B,$A66)="","",INDEX(Korpus!$B:$B,$A66))</f>
        <v xml:space="preserve">BAB VI
KEWAJIBAN PENGENDALI DATA PRIBADI DAN PROSESOR DATA PRIBADI DALAM PEMROSESAN DATA PRIBADI</v>
      </c>
      <c r="S66" s="18" t="str">
        <f>IF(INDEX(Korpus!$C:$C,$A66)="","",INDEX(Korpus!$C:$C,$A66))</f>
        <v xml:space="preserve">Bagian Kedua
Kewajiban Pengendali Data Pribadi</v>
      </c>
    </row>
    <row r="67" ht="60" customHeight="1">
      <c r="A67" s="16">
        <v>67</v>
      </c>
      <c r="B67" s="17" t="str">
        <f>IF(Petunjuk!$C$4="","",Petunjuk!$C$4)</f>
        <v xml:space="preserve">Ubah Coder ini di Sheet “Petunjuk”</v>
      </c>
      <c r="C67" s="18" t="str">
        <f>IF(INDEX(Korpus!$A:$A,$A67)="","",INDEX(Korpus!$A:$A,$A67))</f>
        <v xml:space="preserve">UU 27 Thn 2022 (PDP)</v>
      </c>
      <c r="D67" s="18" t="str">
        <f>TRIM(INDEX(Korpus!$D:$D,$A67)&amp;" "&amp;INDEX(Korpus!$E:$E,$A67))</f>
        <v xml:space="preserve">Pasal 40</v>
      </c>
      <c r="E67" s="18" t="str">
        <f>IF(INDEX(Korpus!$F:$F,$A67)="","",INDEX(Korpus!$F:$F,$A67))</f>
        <v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F67" s="19" t="s">
        <v>113</v>
      </c>
      <c r="G67" s="19" t="s">
        <v>94</v>
      </c>
      <c r="H67" s="19" t="s">
        <v>146</v>
      </c>
      <c r="I67" s="19" t="s">
        <v>80</v>
      </c>
      <c r="J67" s="19" t="s">
        <v>147</v>
      </c>
      <c r="K67" s="19" t="s">
        <v>95</v>
      </c>
      <c r="L67" s="19"/>
      <c r="M67" s="20" t="s">
        <v>148</v>
      </c>
      <c r="N67" s="20"/>
      <c r="O67" s="16" t="s">
        <v>68</v>
      </c>
      <c r="P67" s="18" t="str">
        <f t="shared" si="2"/>
        <v>Lengkap</v>
      </c>
      <c r="Q67" s="18" t="str">
        <f t="shared" si="3"/>
        <v>OK</v>
      </c>
      <c r="R67" s="18" t="str">
        <f>IF(INDEX(Korpus!$B:$B,$A67)="","",INDEX(Korpus!$B:$B,$A67))</f>
        <v xml:space="preserve">BAB VI
KEWAJIBAN PENGENDALI DATA PRIBADI DAN PROSESOR DATA PRIBADI DALAM PEMROSESAN DATA PRIBADI</v>
      </c>
      <c r="S67" s="18" t="str">
        <f>IF(INDEX(Korpus!$C:$C,$A67)="","",INDEX(Korpus!$C:$C,$A67))</f>
        <v xml:space="preserve">Bagian Kedua
Kewajiban Pengendali Data Pribadi</v>
      </c>
    </row>
    <row r="68" ht="60" customHeight="1">
      <c r="A68" s="16">
        <v>68</v>
      </c>
      <c r="B68" s="17" t="str">
        <f>IF(Petunjuk!$C$4="","",Petunjuk!$C$4)</f>
        <v xml:space="preserve">Ubah Coder ini di Sheet “Petunjuk”</v>
      </c>
      <c r="C68" s="18" t="str">
        <f>IF(INDEX(Korpus!$A:$A,$A68)="","",INDEX(Korpus!$A:$A,$A68))</f>
        <v xml:space="preserve">UU 27 Thn 2022 (PDP)</v>
      </c>
      <c r="D68" s="18" t="str">
        <f>TRIM(INDEX(Korpus!$D:$D,$A68)&amp;" "&amp;INDEX(Korpus!$E:$E,$A68))</f>
        <v xml:space="preserve">Pasal 41</v>
      </c>
      <c r="E68" s="18" t="str">
        <f>IF(INDEX(Korpus!$F:$F,$A68)="","",INDEX(Korpus!$F:$F,$A68))</f>
        <v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F68" s="19" t="s">
        <v>113</v>
      </c>
      <c r="G68" s="19" t="s">
        <v>94</v>
      </c>
      <c r="H68" s="19" t="s">
        <v>146</v>
      </c>
      <c r="I68" s="19" t="s">
        <v>80</v>
      </c>
      <c r="J68" s="19" t="s">
        <v>147</v>
      </c>
      <c r="K68" s="19" t="s">
        <v>95</v>
      </c>
      <c r="L68" s="19" t="s">
        <v>90</v>
      </c>
      <c r="M68" s="20" t="s">
        <v>149</v>
      </c>
      <c r="N68" s="20"/>
      <c r="O68" s="16"/>
      <c r="P68" s="18" t="str">
        <f t="shared" si="2"/>
        <v>Lengkap</v>
      </c>
      <c r="Q68" s="18" t="str">
        <f t="shared" si="3"/>
        <v>OK</v>
      </c>
      <c r="R68" s="18" t="str">
        <f>IF(INDEX(Korpus!$B:$B,$A68)="","",INDEX(Korpus!$B:$B,$A68))</f>
        <v xml:space="preserve">BAB VI
KEWAJIBAN PENGENDALI DATA PRIBADI DAN PROSESOR DATA PRIBADI DALAM PEMROSESAN DATA PRIBADI</v>
      </c>
      <c r="S68" s="18" t="str">
        <f>IF(INDEX(Korpus!$C:$C,$A68)="","",INDEX(Korpus!$C:$C,$A68))</f>
        <v xml:space="preserve">Bagian Kedua
Kewajiban Pengendali Data Pribadi</v>
      </c>
    </row>
    <row r="69" ht="60" customHeight="1">
      <c r="A69" s="16">
        <v>69</v>
      </c>
      <c r="B69" s="17" t="str">
        <f>IF(Petunjuk!$C$4="","",Petunjuk!$C$4)</f>
        <v xml:space="preserve">Ubah Coder ini di Sheet “Petunjuk”</v>
      </c>
      <c r="C69" s="18" t="str">
        <f>IF(INDEX(Korpus!$A:$A,$A69)="","",INDEX(Korpus!$A:$A,$A69))</f>
        <v xml:space="preserve">UU 27 Thn 2022 (PDP)</v>
      </c>
      <c r="D69" s="18" t="str">
        <f>TRIM(INDEX(Korpus!$D:$D,$A69)&amp;" "&amp;INDEX(Korpus!$E:$E,$A69))</f>
        <v xml:space="preserve">Pasal 42</v>
      </c>
      <c r="E69" s="18" t="str">
        <f>IF(INDEX(Korpus!$F:$F,$A69)="","",INDEX(Korpus!$F:$F,$A69))</f>
        <v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F69" s="19" t="s">
        <v>113</v>
      </c>
      <c r="G69" s="19" t="s">
        <v>94</v>
      </c>
      <c r="H69" s="19" t="s">
        <v>146</v>
      </c>
      <c r="I69" s="19" t="s">
        <v>80</v>
      </c>
      <c r="J69" s="19" t="s">
        <v>147</v>
      </c>
      <c r="K69" s="19" t="s">
        <v>95</v>
      </c>
      <c r="L69" s="19"/>
      <c r="M69" s="20" t="s">
        <v>150</v>
      </c>
      <c r="N69" s="20"/>
      <c r="O69" s="16"/>
      <c r="P69" s="18" t="str">
        <f t="shared" si="2"/>
        <v>Lengkap</v>
      </c>
      <c r="Q69" s="18" t="str">
        <f t="shared" si="3"/>
        <v>OK</v>
      </c>
      <c r="R69" s="18" t="str">
        <f>IF(INDEX(Korpus!$B:$B,$A69)="","",INDEX(Korpus!$B:$B,$A69))</f>
        <v xml:space="preserve">BAB VI
KEWAJIBAN PENGENDALI DATA PRIBADI DAN PROSESOR DATA PRIBADI DALAM PEMROSESAN DATA PRIBADI</v>
      </c>
      <c r="S69" s="18" t="str">
        <f>IF(INDEX(Korpus!$C:$C,$A69)="","",INDEX(Korpus!$C:$C,$A69))</f>
        <v xml:space="preserve">Bagian Kedua
Kewajiban Pengendali Data Pribadi</v>
      </c>
    </row>
    <row r="70" ht="60" customHeight="1">
      <c r="A70" s="16">
        <v>70</v>
      </c>
      <c r="B70" s="17" t="str">
        <f>IF(Petunjuk!$C$4="","",Petunjuk!$C$4)</f>
        <v xml:space="preserve">Ubah Coder ini di Sheet “Petunjuk”</v>
      </c>
      <c r="C70" s="18" t="str">
        <f>IF(INDEX(Korpus!$A:$A,$A70)="","",INDEX(Korpus!$A:$A,$A70))</f>
        <v xml:space="preserve">UU 27 Thn 2022 (PDP)</v>
      </c>
      <c r="D70" s="18" t="str">
        <f>TRIM(INDEX(Korpus!$D:$D,$A70)&amp;" "&amp;INDEX(Korpus!$E:$E,$A70))</f>
        <v xml:space="preserve">Pasal 43</v>
      </c>
      <c r="E70" s="18" t="str">
        <f>IF(INDEX(Korpus!$F:$F,$A70)="","",INDEX(Korpus!$F:$F,$A70))</f>
        <v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F70" s="19" t="s">
        <v>113</v>
      </c>
      <c r="G70" s="19" t="s">
        <v>94</v>
      </c>
      <c r="H70" s="19" t="s">
        <v>146</v>
      </c>
      <c r="I70" s="19" t="s">
        <v>80</v>
      </c>
      <c r="J70" s="19" t="s">
        <v>147</v>
      </c>
      <c r="K70" s="19" t="s">
        <v>95</v>
      </c>
      <c r="L70" s="19"/>
      <c r="M70" s="20" t="s">
        <v>151</v>
      </c>
      <c r="N70" s="20"/>
      <c r="O70" s="16" t="s">
        <v>78</v>
      </c>
      <c r="P70" s="18" t="str">
        <f t="shared" si="2"/>
        <v>Lengkap</v>
      </c>
      <c r="Q70" s="18" t="str">
        <f t="shared" si="3"/>
        <v>OK</v>
      </c>
      <c r="R70" s="18" t="str">
        <f>IF(INDEX(Korpus!$B:$B,$A70)="","",INDEX(Korpus!$B:$B,$A70))</f>
        <v xml:space="preserve">BAB VI
KEWAJIBAN PENGENDALI DATA PRIBADI DAN PROSESOR DATA PRIBADI DALAM PEMROSESAN DATA PRIBADI</v>
      </c>
      <c r="S70" s="18" t="str">
        <f>IF(INDEX(Korpus!$C:$C,$A70)="","",INDEX(Korpus!$C:$C,$A70))</f>
        <v xml:space="preserve">Bagian Kedua
Kewajiban Pengendali Data Pribadi</v>
      </c>
    </row>
    <row r="71" ht="60" customHeight="1">
      <c r="A71" s="16">
        <v>71</v>
      </c>
      <c r="B71" s="17" t="str">
        <f>IF(Petunjuk!$C$4="","",Petunjuk!$C$4)</f>
        <v xml:space="preserve">Ubah Coder ini di Sheet “Petunjuk”</v>
      </c>
      <c r="C71" s="18" t="str">
        <f>IF(INDEX(Korpus!$A:$A,$A71)="","",INDEX(Korpus!$A:$A,$A71))</f>
        <v xml:space="preserve">UU 27 Thn 2022 (PDP)</v>
      </c>
      <c r="D71" s="18" t="str">
        <f>TRIM(INDEX(Korpus!$D:$D,$A71)&amp;" "&amp;INDEX(Korpus!$E:$E,$A71))</f>
        <v xml:space="preserve">Pasal 44</v>
      </c>
      <c r="E71" s="18" t="str">
        <f>IF(INDEX(Korpus!$F:$F,$A71)="","",INDEX(Korpus!$F:$F,$A71))</f>
        <v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F71" s="19" t="s">
        <v>113</v>
      </c>
      <c r="G71" s="19" t="s">
        <v>94</v>
      </c>
      <c r="H71" s="19" t="s">
        <v>146</v>
      </c>
      <c r="I71" s="19" t="s">
        <v>80</v>
      </c>
      <c r="J71" s="19" t="s">
        <v>147</v>
      </c>
      <c r="K71" s="19" t="s">
        <v>95</v>
      </c>
      <c r="L71" s="19"/>
      <c r="M71" s="20" t="s">
        <v>152</v>
      </c>
      <c r="N71" s="20"/>
      <c r="O71" s="16"/>
      <c r="P71" s="18" t="str">
        <f t="shared" si="2"/>
        <v>Lengkap</v>
      </c>
      <c r="Q71" s="18" t="str">
        <f t="shared" si="3"/>
        <v>OK</v>
      </c>
      <c r="R71" s="18" t="str">
        <f>IF(INDEX(Korpus!$B:$B,$A71)="","",INDEX(Korpus!$B:$B,$A71))</f>
        <v xml:space="preserve">BAB VI
KEWAJIBAN PENGENDALI DATA PRIBADI DAN PROSESOR DATA PRIBADI DALAM PEMROSESAN DATA PRIBADI</v>
      </c>
      <c r="S71" s="18" t="str">
        <f>IF(INDEX(Korpus!$C:$C,$A71)="","",INDEX(Korpus!$C:$C,$A71))</f>
        <v xml:space="preserve">Bagian Kedua
Kewajiban Pengendali Data Pribadi</v>
      </c>
    </row>
    <row r="72" ht="60" customHeight="1">
      <c r="A72" s="16">
        <v>72</v>
      </c>
      <c r="B72" s="17" t="str">
        <f>IF(Petunjuk!$C$4="","",Petunjuk!$C$4)</f>
        <v xml:space="preserve">Ubah Coder ini di Sheet “Petunjuk”</v>
      </c>
      <c r="C72" s="18" t="str">
        <f>IF(INDEX(Korpus!$A:$A,$A72)="","",INDEX(Korpus!$A:$A,$A72))</f>
        <v xml:space="preserve">UU 27 Thn 2022 (PDP)</v>
      </c>
      <c r="D72" s="18" t="str">
        <f>TRIM(INDEX(Korpus!$D:$D,$A72)&amp;" "&amp;INDEX(Korpus!$E:$E,$A72))</f>
        <v xml:space="preserve">Pasal 45</v>
      </c>
      <c r="E72" s="18" t="str">
        <f>IF(INDEX(Korpus!$F:$F,$A72)="","",INDEX(Korpus!$F:$F,$A72))</f>
        <v xml:space="preserve">Pengendali Data Pribadi wajib memberitahukan penghapusan dan/atau pemusnahan Data Pribadi kepada Subjek Data Pribadi.</v>
      </c>
      <c r="F72" s="19" t="s">
        <v>113</v>
      </c>
      <c r="G72" s="19" t="s">
        <v>94</v>
      </c>
      <c r="H72" s="19" t="s">
        <v>146</v>
      </c>
      <c r="I72" s="19" t="s">
        <v>80</v>
      </c>
      <c r="J72" s="19" t="s">
        <v>147</v>
      </c>
      <c r="K72" s="19" t="s">
        <v>95</v>
      </c>
      <c r="L72" s="19"/>
      <c r="M72" s="20" t="s">
        <v>153</v>
      </c>
      <c r="N72" s="20"/>
      <c r="O72" s="16"/>
      <c r="P72" s="18" t="str">
        <f t="shared" si="2"/>
        <v>Lengkap</v>
      </c>
      <c r="Q72" s="18" t="str">
        <f t="shared" si="3"/>
        <v>OK</v>
      </c>
      <c r="R72" s="18" t="str">
        <f>IF(INDEX(Korpus!$B:$B,$A72)="","",INDEX(Korpus!$B:$B,$A72))</f>
        <v xml:space="preserve">BAB VI
KEWAJIBAN PENGENDALI DATA PRIBADI DAN PROSESOR DATA PRIBADI DALAM PEMROSESAN DATA PRIBADI</v>
      </c>
      <c r="S72" s="18" t="str">
        <f>IF(INDEX(Korpus!$C:$C,$A72)="","",INDEX(Korpus!$C:$C,$A72))</f>
        <v xml:space="preserve">Bagian Kedua
Kewajiban Pengendali Data Pribadi</v>
      </c>
    </row>
    <row r="73" ht="60" customHeight="1">
      <c r="A73" s="16">
        <v>73</v>
      </c>
      <c r="B73" s="17" t="str">
        <f>IF(Petunjuk!$C$4="","",Petunjuk!$C$4)</f>
        <v xml:space="preserve">Ubah Coder ini di Sheet “Petunjuk”</v>
      </c>
      <c r="C73" s="18" t="str">
        <f>IF(INDEX(Korpus!$A:$A,$A73)="","",INDEX(Korpus!$A:$A,$A73))</f>
        <v xml:space="preserve">UU 27 Thn 2022 (PDP)</v>
      </c>
      <c r="D73" s="18" t="str">
        <f>TRIM(INDEX(Korpus!$D:$D,$A73)&amp;" "&amp;INDEX(Korpus!$E:$E,$A73))</f>
        <v xml:space="preserve">Pasal 46</v>
      </c>
      <c r="E73" s="18" t="str">
        <f>IF(INDEX(Korpus!$F:$F,$A73)="","",INDEX(Korpus!$F:$F,$A73))</f>
        <v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F73" s="19" t="s">
        <v>113</v>
      </c>
      <c r="G73" s="19" t="s">
        <v>94</v>
      </c>
      <c r="H73" s="19" t="s">
        <v>79</v>
      </c>
      <c r="I73" s="19" t="s">
        <v>80</v>
      </c>
      <c r="J73" s="19" t="s">
        <v>76</v>
      </c>
      <c r="K73" s="19" t="s">
        <v>95</v>
      </c>
      <c r="L73" s="19"/>
      <c r="M73" s="20" t="s">
        <v>154</v>
      </c>
      <c r="N73" s="20" t="s">
        <v>155</v>
      </c>
      <c r="O73" s="16"/>
      <c r="P73" s="18" t="str">
        <f t="shared" si="2"/>
        <v>Lengkap</v>
      </c>
      <c r="Q73" s="18" t="str">
        <f t="shared" si="3"/>
        <v>OK</v>
      </c>
      <c r="R73" s="18" t="str">
        <f>IF(INDEX(Korpus!$B:$B,$A73)="","",INDEX(Korpus!$B:$B,$A73))</f>
        <v xml:space="preserve">BAB VI
KEWAJIBAN PENGENDALI DATA PRIBADI DAN PROSESOR DATA PRIBADI DALAM PEMROSESAN DATA PRIBADI</v>
      </c>
      <c r="S73" s="18" t="str">
        <f>IF(INDEX(Korpus!$C:$C,$A73)="","",INDEX(Korpus!$C:$C,$A73))</f>
        <v xml:space="preserve">Bagian Kedua
Kewajiban Pengendali Data Pribadi</v>
      </c>
    </row>
    <row r="74" ht="60" customHeight="1">
      <c r="A74" s="16">
        <v>74</v>
      </c>
      <c r="B74" s="17" t="str">
        <f>IF(Petunjuk!$C$4="","",Petunjuk!$C$4)</f>
        <v xml:space="preserve">Ubah Coder ini di Sheet “Petunjuk”</v>
      </c>
      <c r="C74" s="18" t="str">
        <f>IF(INDEX(Korpus!$A:$A,$A74)="","",INDEX(Korpus!$A:$A,$A74))</f>
        <v xml:space="preserve">UU 27 Thn 2022 (PDP)</v>
      </c>
      <c r="D74" s="18" t="str">
        <f>TRIM(INDEX(Korpus!$D:$D,$A74)&amp;" "&amp;INDEX(Korpus!$E:$E,$A74))</f>
        <v xml:space="preserve">Pasal 47</v>
      </c>
      <c r="E74" s="18" t="str">
        <f>IF(INDEX(Korpus!$F:$F,$A74)="","",INDEX(Korpus!$F:$F,$A74))</f>
        <v xml:space="preserve">Pengendali Data Pribadi wajib bertanggung jawab atas pemrosesan Data Pribadi dan menunjukkan pertanggungjawaban dalam pemenuhan kewajiban pelaksanaan prinsip Pelindungan Data Pribadi.</v>
      </c>
      <c r="F74" s="19" t="s">
        <v>113</v>
      </c>
      <c r="G74" s="19" t="s">
        <v>94</v>
      </c>
      <c r="H74" s="19" t="s">
        <v>135</v>
      </c>
      <c r="I74" s="19" t="s">
        <v>80</v>
      </c>
      <c r="J74" s="19" t="s">
        <v>76</v>
      </c>
      <c r="K74" s="19" t="s">
        <v>132</v>
      </c>
      <c r="L74" s="19"/>
      <c r="M74" s="20" t="s">
        <v>156</v>
      </c>
      <c r="N74" s="20"/>
      <c r="O74" s="16"/>
      <c r="P74" s="18" t="str">
        <f t="shared" ref="P74:P86" si="4">IF(COUNTA(F74:K74)=6,"Lengkap","Belum lengkap ("&amp;(6-COUNTA(F74:K74))&amp;")")</f>
        <v>Lengkap</v>
      </c>
      <c r="Q74" s="18" t="str">
        <f t="shared" ref="Q74:Q86" si="5">IF(COUNTA(F74:K74)&lt;6,"",IF(IF(AND(LEFT(G74,2)="R0",LEFT(K74,2)&lt;&gt;"K5"),"R0 harus K5; ","")&amp;IF(AND(LEFT(G74,2)="R1",LEFT(K74,2)="K3"),"R1 tidak boleh K3 (fungsional); ","")&amp;IF(AND(LEFT(G74,2)="R2",LEFT(K74,2)="K5"),"R2 tidak boleh K5; ","")&amp;IF(AND(LEFT(G74,2)="R2",OR(LEFT(F74,2)="S6",LEFT(F74,2)="S7",LEFT(F74,2)="S8")),"R2 tidak boleh S6/S7/S8; ","")&amp;IF(AND(LEFT(G74,2)="R2",OR(LEFT(H74,3)="T02",LEFT(I74,2)="P8")),"T02 atau P8 tidak boleh R2; ","")&amp;IF(AND(LEFT(H74,3)="T01",LEFT(I74,2)&lt;&gt;"P6",N74=""),"T01 biasanya P6; jelaskan di V12; ","")&amp;IF(AND(LEFT(I74,2)="P1",LEFT(K74,2)&lt;&gt;"K4",N74=""),"P1 biasanya K4; jelaskan di V12; ","")="","OK",IF(AND(LEFT(G74,2)="R0",LEFT(K74,2)&lt;&gt;"K5"),"R0 harus K5; ","")&amp;IF(AND(LEFT(G74,2)="R1",LEFT(K74,2)="K3"),"R1 tidak boleh K3 (fungsional); ","")&amp;IF(AND(LEFT(G74,2)="R2",LEFT(K74,2)="K5"),"R2 tidak boleh K5; ","")&amp;IF(AND(LEFT(G74,2)="R2",OR(LEFT(F74,2)="S6",LEFT(F74,2)="S7",LEFT(F74,2)="S8")),"R2 tidak boleh S6/S7/S8; ","")&amp;IF(AND(LEFT(G74,2)="R2",OR(LEFT(H74,3)="T02",LEFT(I74,2)="P8")),"T02 atau P8 tidak boleh R2; ","")&amp;IF(AND(LEFT(H74,3)="T01",LEFT(I74,2)&lt;&gt;"P6",N74=""),"T01 biasanya P6; jelaskan di V12; ","")&amp;IF(AND(LEFT(I74,2)="P1",LEFT(K74,2)&lt;&gt;"K4",N74=""),"P1 biasanya K4; jelaskan di V12; ","")))</f>
        <v>OK</v>
      </c>
      <c r="R74" s="18" t="str">
        <f>IF(INDEX(Korpus!$B:$B,$A74)="","",INDEX(Korpus!$B:$B,$A74))</f>
        <v xml:space="preserve">BAB VI
KEWAJIBAN PENGENDALI DATA PRIBADI DAN PROSESOR DATA PRIBADI DALAM PEMROSESAN DATA PRIBADI</v>
      </c>
      <c r="S74" s="18" t="str">
        <f>IF(INDEX(Korpus!$C:$C,$A74)="","",INDEX(Korpus!$C:$C,$A74))</f>
        <v xml:space="preserve">Bagian Kedua
Kewajiban Pengendali Data Pribadi</v>
      </c>
    </row>
    <row r="75" ht="60" customHeight="1">
      <c r="A75" s="16">
        <v>75</v>
      </c>
      <c r="B75" s="17" t="str">
        <f>IF(Petunjuk!$C$4="","",Petunjuk!$C$4)</f>
        <v xml:space="preserve">Ubah Coder ini di Sheet “Petunjuk”</v>
      </c>
      <c r="C75" s="18" t="str">
        <f>IF(INDEX(Korpus!$A:$A,$A75)="","",INDEX(Korpus!$A:$A,$A75))</f>
        <v xml:space="preserve">UU 27 Thn 2022 (PDP)</v>
      </c>
      <c r="D75" s="18" t="str">
        <f>TRIM(INDEX(Korpus!$D:$D,$A75)&amp;" "&amp;INDEX(Korpus!$E:$E,$A75))</f>
        <v xml:space="preserve">Pasal 48</v>
      </c>
      <c r="E75" s="18" t="str">
        <f>IF(INDEX(Korpus!$F:$F,$A75)="","",INDEX(Korpus!$F:$F,$A75))</f>
        <v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F75" s="19" t="s">
        <v>113</v>
      </c>
      <c r="G75" s="19" t="s">
        <v>94</v>
      </c>
      <c r="H75" s="19" t="s">
        <v>157</v>
      </c>
      <c r="I75" s="19" t="s">
        <v>80</v>
      </c>
      <c r="J75" s="19" t="s">
        <v>158</v>
      </c>
      <c r="K75" s="19" t="s">
        <v>95</v>
      </c>
      <c r="L75" s="19"/>
      <c r="M75" s="20" t="s">
        <v>159</v>
      </c>
      <c r="N75" s="20"/>
      <c r="O75" s="16"/>
      <c r="P75" s="18" t="str">
        <f t="shared" si="4"/>
        <v>Lengkap</v>
      </c>
      <c r="Q75" s="18" t="str">
        <f t="shared" si="5"/>
        <v>OK</v>
      </c>
      <c r="R75" s="18" t="str">
        <f>IF(INDEX(Korpus!$B:$B,$A75)="","",INDEX(Korpus!$B:$B,$A75))</f>
        <v xml:space="preserve">BAB VI
KEWAJIBAN PENGENDALI DATA PRIBADI DAN PROSESOR DATA PRIBADI DALAM PEMROSESAN DATA PRIBADI</v>
      </c>
      <c r="S75" s="18" t="str">
        <f>IF(INDEX(Korpus!$C:$C,$A75)="","",INDEX(Korpus!$C:$C,$A75))</f>
        <v xml:space="preserve">Bagian Kedua
Kewajiban Pengendali Data Pribadi</v>
      </c>
    </row>
    <row r="76" ht="60" customHeight="1">
      <c r="A76" s="16">
        <v>76</v>
      </c>
      <c r="B76" s="17" t="str">
        <f>IF(Petunjuk!$C$4="","",Petunjuk!$C$4)</f>
        <v xml:space="preserve">Ubah Coder ini di Sheet “Petunjuk”</v>
      </c>
      <c r="C76" s="18" t="str">
        <f>IF(INDEX(Korpus!$A:$A,$A76)="","",INDEX(Korpus!$A:$A,$A76))</f>
        <v xml:space="preserve">UU 27 Thn 2022 (PDP)</v>
      </c>
      <c r="D76" s="18" t="str">
        <f>TRIM(INDEX(Korpus!$D:$D,$A76)&amp;" "&amp;INDEX(Korpus!$E:$E,$A76))</f>
        <v xml:space="preserve">Pasal 49</v>
      </c>
      <c r="E76" s="18" t="str">
        <f>IF(INDEX(Korpus!$F:$F,$A76)="","",INDEX(Korpus!$F:$F,$A76))</f>
        <v xml:space="preserve">Pengendali Data Pribadi dan/ atau Prosesor Data Pribadi wajib melaksanakan perintah lembaga dalam rangka penyelenggaraan Pelindungan Data Pribadi sesuai dengan Undang-Undang ini.</v>
      </c>
      <c r="F76" s="19" t="s">
        <v>116</v>
      </c>
      <c r="G76" s="19" t="s">
        <v>94</v>
      </c>
      <c r="H76" s="19" t="s">
        <v>135</v>
      </c>
      <c r="I76" s="19" t="s">
        <v>80</v>
      </c>
      <c r="J76" s="19" t="s">
        <v>76</v>
      </c>
      <c r="K76" s="19" t="s">
        <v>132</v>
      </c>
      <c r="L76" s="19"/>
      <c r="M76" s="20" t="s">
        <v>160</v>
      </c>
      <c r="N76" s="20"/>
      <c r="O76" s="16"/>
      <c r="P76" s="18" t="str">
        <f t="shared" si="4"/>
        <v>Lengkap</v>
      </c>
      <c r="Q76" s="18" t="str">
        <f t="shared" si="5"/>
        <v>OK</v>
      </c>
      <c r="R76" s="18" t="str">
        <f>IF(INDEX(Korpus!$B:$B,$A76)="","",INDEX(Korpus!$B:$B,$A76))</f>
        <v xml:space="preserve">BAB VI
KEWAJIBAN PENGENDALI DATA PRIBADI DAN PROSESOR DATA PRIBADI DALAM PEMROSESAN DATA PRIBADI</v>
      </c>
      <c r="S76" s="18" t="str">
        <f>IF(INDEX(Korpus!$C:$C,$A76)="","",INDEX(Korpus!$C:$C,$A76))</f>
        <v xml:space="preserve">Bagian Kedua
Kewajiban Pengendali Data Pribadi</v>
      </c>
    </row>
    <row r="77" ht="60" customHeight="1">
      <c r="A77" s="16">
        <v>77</v>
      </c>
      <c r="B77" s="17" t="str">
        <f>IF(Petunjuk!$C$4="","",Petunjuk!$C$4)</f>
        <v xml:space="preserve">Ubah Coder ini di Sheet “Petunjuk”</v>
      </c>
      <c r="C77" s="18" t="str">
        <f>IF(INDEX(Korpus!$A:$A,$A77)="","",INDEX(Korpus!$A:$A,$A77))</f>
        <v xml:space="preserve">UU 27 Thn 2022 (PDP)</v>
      </c>
      <c r="D77" s="18" t="str">
        <f>TRIM(INDEX(Korpus!$D:$D,$A77)&amp;" "&amp;INDEX(Korpus!$E:$E,$A77))</f>
        <v xml:space="preserve">Pasal 50</v>
      </c>
      <c r="E77" s="18" t="str">
        <f>IF(INDEX(Korpus!$F:$F,$A77)="","",INDEX(Korpus!$F:$F,$A77))</f>
        <v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F77" s="19" t="s">
        <v>113</v>
      </c>
      <c r="G77" s="19" t="s">
        <v>94</v>
      </c>
      <c r="H77" s="19" t="s">
        <v>90</v>
      </c>
      <c r="I77" s="19" t="s">
        <v>106</v>
      </c>
      <c r="J77" s="19" t="s">
        <v>76</v>
      </c>
      <c r="K77" s="19" t="s">
        <v>89</v>
      </c>
      <c r="L77" s="19"/>
      <c r="M77" s="20" t="s">
        <v>161</v>
      </c>
      <c r="N77" s="20"/>
      <c r="O77" s="16"/>
      <c r="P77" s="18" t="str">
        <f t="shared" si="4"/>
        <v>Lengkap</v>
      </c>
      <c r="Q77" s="18" t="str">
        <f t="shared" si="5"/>
        <v>OK</v>
      </c>
      <c r="R77" s="18" t="str">
        <f>IF(INDEX(Korpus!$B:$B,$A77)="","",INDEX(Korpus!$B:$B,$A77))</f>
        <v xml:space="preserve">BAB VI
KEWAJIBAN PENGENDALI DATA PRIBADI DAN PROSESOR DATA PRIBADI DALAM PEMROSESAN DATA PRIBADI</v>
      </c>
      <c r="S77" s="18" t="str">
        <f>IF(INDEX(Korpus!$C:$C,$A77)="","",INDEX(Korpus!$C:$C,$A77))</f>
        <v xml:space="preserve">Bagian Kedua
Kewajiban Pengendali Data Pribadi</v>
      </c>
    </row>
    <row r="78" ht="60" customHeight="1">
      <c r="A78" s="16">
        <v>78</v>
      </c>
      <c r="B78" s="17" t="str">
        <f>IF(Petunjuk!$C$4="","",Petunjuk!$C$4)</f>
        <v xml:space="preserve">Ubah Coder ini di Sheet “Petunjuk”</v>
      </c>
      <c r="C78" s="18" t="str">
        <f>IF(INDEX(Korpus!$A:$A,$A78)="","",INDEX(Korpus!$A:$A,$A78))</f>
        <v xml:space="preserve">UU 27 Thn 2022 (PDP)</v>
      </c>
      <c r="D78" s="18" t="str">
        <f>TRIM(INDEX(Korpus!$D:$D,$A78)&amp;" "&amp;INDEX(Korpus!$E:$E,$A78))</f>
        <v xml:space="preserve">Pasal 51</v>
      </c>
      <c r="E78" s="18" t="str">
        <f>IF(INDEX(Korpus!$F:$F,$A78)="","",INDEX(Korpus!$F:$F,$A78))</f>
        <v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F78" s="19" t="s">
        <v>162</v>
      </c>
      <c r="G78" s="19" t="s">
        <v>94</v>
      </c>
      <c r="H78" s="19" t="s">
        <v>135</v>
      </c>
      <c r="I78" s="19" t="s">
        <v>80</v>
      </c>
      <c r="J78" s="19" t="s">
        <v>76</v>
      </c>
      <c r="K78" s="19" t="s">
        <v>89</v>
      </c>
      <c r="L78" s="19"/>
      <c r="M78" s="20" t="s">
        <v>163</v>
      </c>
      <c r="N78" s="20"/>
      <c r="O78" s="16"/>
      <c r="P78" s="18" t="str">
        <f t="shared" si="4"/>
        <v>Lengkap</v>
      </c>
      <c r="Q78" s="18" t="str">
        <f t="shared" si="5"/>
        <v>OK</v>
      </c>
      <c r="R78" s="18" t="str">
        <f>IF(INDEX(Korpus!$B:$B,$A78)="","",INDEX(Korpus!$B:$B,$A78))</f>
        <v xml:space="preserve">BAB VI
KEWAJIBAN PENGENDALI DATA PRIBADI DAN PROSESOR DATA PRIBADI DALAM PEMROSESAN DATA PRIBADI</v>
      </c>
      <c r="S78" s="18" t="str">
        <f>IF(INDEX(Korpus!$C:$C,$A78)="","",INDEX(Korpus!$C:$C,$A78))</f>
        <v xml:space="preserve">Bagian Ketiga
Kewajiban Prosesor Data Pribadi</v>
      </c>
    </row>
    <row r="79" ht="60" customHeight="1">
      <c r="A79" s="16">
        <v>79</v>
      </c>
      <c r="B79" s="17" t="str">
        <f>IF(Petunjuk!$C$4="","",Petunjuk!$C$4)</f>
        <v xml:space="preserve">Ubah Coder ini di Sheet “Petunjuk”</v>
      </c>
      <c r="C79" s="18" t="str">
        <f>IF(INDEX(Korpus!$A:$A,$A79)="","",INDEX(Korpus!$A:$A,$A79))</f>
        <v xml:space="preserve">UU 27 Thn 2022 (PDP)</v>
      </c>
      <c r="D79" s="18" t="str">
        <f>TRIM(INDEX(Korpus!$D:$D,$A79)&amp;" "&amp;INDEX(Korpus!$E:$E,$A79))</f>
        <v xml:space="preserve">Pasal 52</v>
      </c>
      <c r="E79" s="18" t="str">
        <f>IF(INDEX(Korpus!$F:$F,$A79)="","",INDEX(Korpus!$F:$F,$A79))</f>
        <v xml:space="preserve">Ketentuan mengenai kewajiban Pengendali Data Pribadi sebagaimana dimaksud dalam Pasal 29, Pasal 31, Pasal 35, Pasal 36, Pasal 37, Pasal 38, dan Pasal 39 berlaku juga terhadap Prosesor Data Pribadi.</v>
      </c>
      <c r="F79" s="19" t="s">
        <v>162</v>
      </c>
      <c r="G79" s="19" t="s">
        <v>63</v>
      </c>
      <c r="H79" s="19" t="s">
        <v>87</v>
      </c>
      <c r="I79" s="19" t="s">
        <v>88</v>
      </c>
      <c r="J79" s="19" t="s">
        <v>66</v>
      </c>
      <c r="K79" s="19" t="s">
        <v>89</v>
      </c>
      <c r="L79" s="19"/>
      <c r="M79" s="20"/>
      <c r="N79" s="20" t="s">
        <v>164</v>
      </c>
      <c r="O79" s="16" t="s">
        <v>78</v>
      </c>
      <c r="P79" s="18" t="str">
        <f t="shared" si="4"/>
        <v>Lengkap</v>
      </c>
      <c r="Q79" s="18" t="str">
        <f t="shared" si="5"/>
        <v>OK</v>
      </c>
      <c r="R79" s="18" t="str">
        <f>IF(INDEX(Korpus!$B:$B,$A79)="","",INDEX(Korpus!$B:$B,$A79))</f>
        <v xml:space="preserve">BAB VI
KEWAJIBAN PENGENDALI DATA PRIBADI DAN PROSESOR DATA PRIBADI DALAM PEMROSESAN DATA PRIBADI</v>
      </c>
      <c r="S79" s="18" t="str">
        <f>IF(INDEX(Korpus!$C:$C,$A79)="","",INDEX(Korpus!$C:$C,$A79))</f>
        <v xml:space="preserve">Bagian Ketiga
Kewajiban Prosesor Data Pribadi</v>
      </c>
    </row>
    <row r="80" ht="60" customHeight="1">
      <c r="A80" s="16">
        <v>80</v>
      </c>
      <c r="B80" s="17" t="str">
        <f>IF(Petunjuk!$C$4="","",Petunjuk!$C$4)</f>
        <v xml:space="preserve">Ubah Coder ini di Sheet “Petunjuk”</v>
      </c>
      <c r="C80" s="18" t="str">
        <f>IF(INDEX(Korpus!$A:$A,$A80)="","",INDEX(Korpus!$A:$A,$A80))</f>
        <v xml:space="preserve">UU 27 Thn 2022 (PDP)</v>
      </c>
      <c r="D80" s="18" t="str">
        <f>TRIM(INDEX(Korpus!$D:$D,$A80)&amp;" "&amp;INDEX(Korpus!$E:$E,$A80))</f>
        <v xml:space="preserve">Pasal 53</v>
      </c>
      <c r="E80" s="18" t="str">
        <f>IF(INDEX(Korpus!$F:$F,$A80)="","",INDEX(Korpus!$F:$F,$A80))</f>
        <v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F80" s="19" t="s">
        <v>116</v>
      </c>
      <c r="G80" s="19" t="s">
        <v>94</v>
      </c>
      <c r="H80" s="19" t="s">
        <v>135</v>
      </c>
      <c r="I80" s="19" t="s">
        <v>80</v>
      </c>
      <c r="J80" s="19" t="s">
        <v>76</v>
      </c>
      <c r="K80" s="19" t="s">
        <v>132</v>
      </c>
      <c r="L80" s="19"/>
      <c r="M80" s="20" t="s">
        <v>165</v>
      </c>
      <c r="N80" s="20"/>
      <c r="O80" s="16"/>
      <c r="P80" s="18" t="str">
        <f t="shared" si="4"/>
        <v>Lengkap</v>
      </c>
      <c r="Q80" s="18" t="str">
        <f t="shared" si="5"/>
        <v>OK</v>
      </c>
      <c r="R80" s="18" t="str">
        <f>IF(INDEX(Korpus!$B:$B,$A80)="","",INDEX(Korpus!$B:$B,$A80))</f>
        <v xml:space="preserve">BAB VI
KEWAJIBAN PENGENDALI DATA PRIBADI DAN PROSESOR DATA PRIBADI DALAM PEMROSESAN DATA PRIBADI</v>
      </c>
      <c r="S80" s="18" t="str">
        <f>IF(INDEX(Korpus!$C:$C,$A80)="","",INDEX(Korpus!$C:$C,$A80))</f>
        <v xml:space="preserve">Bagian Keempat
Pejabat atau Petugas yang Melaksanakan Fungsi Pelindungan Data Pribadi</v>
      </c>
    </row>
    <row r="81" ht="60" customHeight="1">
      <c r="A81" s="16">
        <v>81</v>
      </c>
      <c r="B81" s="17" t="str">
        <f>IF(Petunjuk!$C$4="","",Petunjuk!$C$4)</f>
        <v xml:space="preserve">Ubah Coder ini di Sheet “Petunjuk”</v>
      </c>
      <c r="C81" s="18" t="str">
        <f>IF(INDEX(Korpus!$A:$A,$A81)="","",INDEX(Korpus!$A:$A,$A81))</f>
        <v xml:space="preserve">UU 27 Thn 2022 (PDP)</v>
      </c>
      <c r="D81" s="18" t="str">
        <f>TRIM(INDEX(Korpus!$D:$D,$A81)&amp;" "&amp;INDEX(Korpus!$E:$E,$A81))</f>
        <v xml:space="preserve">Pasal 55</v>
      </c>
      <c r="E81" s="18" t="str">
        <f>IF(INDEX(Korpus!$F:$F,$A81)="","",INDEX(Korpus!$F:$F,$A81))</f>
        <v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F81" s="19" t="s">
        <v>113</v>
      </c>
      <c r="G81" s="19" t="s">
        <v>94</v>
      </c>
      <c r="H81" s="19" t="s">
        <v>157</v>
      </c>
      <c r="I81" s="19" t="s">
        <v>80</v>
      </c>
      <c r="J81" s="19" t="s">
        <v>158</v>
      </c>
      <c r="K81" s="19" t="s">
        <v>89</v>
      </c>
      <c r="L81" s="19"/>
      <c r="M81" s="20" t="s">
        <v>166</v>
      </c>
      <c r="N81" s="20" t="s">
        <v>167</v>
      </c>
      <c r="O81" s="16" t="s">
        <v>78</v>
      </c>
      <c r="P81" s="18" t="str">
        <f t="shared" si="4"/>
        <v>Lengkap</v>
      </c>
      <c r="Q81" s="18" t="str">
        <f t="shared" si="5"/>
        <v>OK</v>
      </c>
      <c r="R81" s="18" t="str">
        <f>IF(INDEX(Korpus!$B:$B,$A81)="","",INDEX(Korpus!$B:$B,$A81))</f>
        <v xml:space="preserve">BAB VII TRANSFER DATA PRIBADI</v>
      </c>
      <c r="S81" s="18" t="str">
        <f>IF(INDEX(Korpus!$C:$C,$A81)="","",INDEX(Korpus!$C:$C,$A81))</f>
        <v xml:space="preserve">Bagian Kesatu
Transfer Data Pribadi Dalam Wilayah Hukum Negara Republik Indonesia</v>
      </c>
    </row>
    <row r="82" ht="60" customHeight="1">
      <c r="A82" s="16">
        <v>82</v>
      </c>
      <c r="B82" s="17" t="str">
        <f>IF(Petunjuk!$C$4="","",Petunjuk!$C$4)</f>
        <v xml:space="preserve">Ubah Coder ini di Sheet “Petunjuk”</v>
      </c>
      <c r="C82" s="18" t="str">
        <f>IF(INDEX(Korpus!$A:$A,$A82)="","",INDEX(Korpus!$A:$A,$A82))</f>
        <v xml:space="preserve">UU 27 Thn 2022 (PDP)</v>
      </c>
      <c r="D82" s="18" t="str">
        <f>TRIM(INDEX(Korpus!$D:$D,$A82)&amp;" "&amp;INDEX(Korpus!$E:$E,$A82))</f>
        <v xml:space="preserve">Pasal 56</v>
      </c>
      <c r="E82" s="18" t="str">
        <f>IF(INDEX(Korpus!$F:$F,$A82)="","",INDEX(Korpus!$F:$F,$A82))</f>
        <v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F82" s="19" t="s">
        <v>113</v>
      </c>
      <c r="G82" s="19" t="s">
        <v>94</v>
      </c>
      <c r="H82" s="19" t="s">
        <v>157</v>
      </c>
      <c r="I82" s="19" t="s">
        <v>80</v>
      </c>
      <c r="J82" s="19" t="s">
        <v>158</v>
      </c>
      <c r="K82" s="19" t="s">
        <v>89</v>
      </c>
      <c r="L82" s="19"/>
      <c r="M82" s="20" t="s">
        <v>168</v>
      </c>
      <c r="N82" s="20"/>
      <c r="O82" s="16"/>
      <c r="P82" s="18" t="str">
        <f t="shared" si="4"/>
        <v>Lengkap</v>
      </c>
      <c r="Q82" s="18" t="str">
        <f t="shared" si="5"/>
        <v>OK</v>
      </c>
      <c r="R82" s="18" t="str">
        <f>IF(INDEX(Korpus!$B:$B,$A82)="","",INDEX(Korpus!$B:$B,$A82))</f>
        <v xml:space="preserve">BAB VII TRANSFER DATA PRIBADI</v>
      </c>
      <c r="S82" s="18" t="str">
        <f>IF(INDEX(Korpus!$C:$C,$A82)="","",INDEX(Korpus!$C:$C,$A82))</f>
        <v xml:space="preserve">Bagian Kedua</v>
      </c>
    </row>
    <row r="83" ht="60" customHeight="1">
      <c r="A83" s="16">
        <v>83</v>
      </c>
      <c r="B83" s="17" t="str">
        <f>IF(Petunjuk!$C$4="","",Petunjuk!$C$4)</f>
        <v xml:space="preserve">Ubah Coder ini di Sheet “Petunjuk”</v>
      </c>
      <c r="C83" s="18" t="str">
        <f>IF(INDEX(Korpus!$A:$A,$A83)="","",INDEX(Korpus!$A:$A,$A83))</f>
        <v xml:space="preserve">UU 27 Thn 2022 (PDP)</v>
      </c>
      <c r="D83" s="18" t="str">
        <f>TRIM(INDEX(Korpus!$D:$D,$A83)&amp;" "&amp;INDEX(Korpus!$E:$E,$A83))</f>
        <v xml:space="preserve">Pasal 65</v>
      </c>
      <c r="E83" s="18" t="str">
        <f>IF(INDEX(Korpus!$F:$F,$A83)="","",INDEX(Korpus!$F:$F,$A83))</f>
        <v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F83" s="19" t="s">
        <v>73</v>
      </c>
      <c r="G83" s="19" t="s">
        <v>94</v>
      </c>
      <c r="H83" s="19" t="s">
        <v>169</v>
      </c>
      <c r="I83" s="19" t="s">
        <v>170</v>
      </c>
      <c r="J83" s="19" t="s">
        <v>110</v>
      </c>
      <c r="K83" s="19" t="s">
        <v>89</v>
      </c>
      <c r="L83" s="19"/>
      <c r="M83" s="20" t="s">
        <v>171</v>
      </c>
      <c r="N83" s="20"/>
      <c r="O83" s="16" t="s">
        <v>68</v>
      </c>
      <c r="P83" s="18" t="str">
        <f t="shared" si="4"/>
        <v>Lengkap</v>
      </c>
      <c r="Q83" s="18" t="str">
        <f t="shared" si="5"/>
        <v>OK</v>
      </c>
      <c r="R83" s="18" t="str">
        <f>IF(INDEX(Korpus!$B:$B,$A83)="","",INDEX(Korpus!$B:$B,$A83))</f>
        <v xml:space="preserve">BAB XIII
LARANGAN DALAM PENGGUNAAN DATA PRIBADI</v>
      </c>
      <c r="S83" s="18" t="str">
        <f>IF(INDEX(Korpus!$C:$C,$A83)="","",INDEX(Korpus!$C:$C,$A83))</f>
        <v/>
      </c>
    </row>
    <row r="84" ht="60" customHeight="1">
      <c r="A84" s="16">
        <v>84</v>
      </c>
      <c r="B84" s="17" t="str">
        <f>IF(Petunjuk!$C$4="","",Petunjuk!$C$4)</f>
        <v xml:space="preserve">Ubah Coder ini di Sheet “Petunjuk”</v>
      </c>
      <c r="C84" s="18" t="str">
        <f>IF(INDEX(Korpus!$A:$A,$A84)="","",INDEX(Korpus!$A:$A,$A84))</f>
        <v xml:space="preserve">UU 27 Thn 2022 (PDP)</v>
      </c>
      <c r="D84" s="18" t="str">
        <f>TRIM(INDEX(Korpus!$D:$D,$A84)&amp;" "&amp;INDEX(Korpus!$E:$E,$A84))</f>
        <v xml:space="preserve">Pasal 66</v>
      </c>
      <c r="E84" s="18" t="str">
        <f>IF(INDEX(Korpus!$F:$F,$A84)="","",INDEX(Korpus!$F:$F,$A84))</f>
        <v xml:space="preserve">Setiap Orang dilarang membuat Data Pribadi palsu atau memalsukan Data Pribadi dengan maksud untuk menguntungkan diri sendiri atau orang lain yang dapat mengakibatkan kerugian bagi orang lain.</v>
      </c>
      <c r="F84" s="19" t="s">
        <v>73</v>
      </c>
      <c r="G84" s="19" t="s">
        <v>94</v>
      </c>
      <c r="H84" s="19" t="s">
        <v>169</v>
      </c>
      <c r="I84" s="19" t="s">
        <v>170</v>
      </c>
      <c r="J84" s="19" t="s">
        <v>131</v>
      </c>
      <c r="K84" s="19" t="s">
        <v>89</v>
      </c>
      <c r="L84" s="19"/>
      <c r="M84" s="20" t="s">
        <v>172</v>
      </c>
      <c r="N84" s="20"/>
      <c r="O84" s="16"/>
      <c r="P84" s="18" t="str">
        <f t="shared" si="4"/>
        <v>Lengkap</v>
      </c>
      <c r="Q84" s="18" t="str">
        <f t="shared" si="5"/>
        <v>OK</v>
      </c>
      <c r="R84" s="18" t="str">
        <f>IF(INDEX(Korpus!$B:$B,$A84)="","",INDEX(Korpus!$B:$B,$A84))</f>
        <v xml:space="preserve">BAB XIII
LARANGAN DALAM PENGGUNAAN DATA PRIBADI</v>
      </c>
      <c r="S84" s="18" t="str">
        <f>IF(INDEX(Korpus!$C:$C,$A84)="","",INDEX(Korpus!$C:$C,$A84))</f>
        <v/>
      </c>
    </row>
    <row r="85" ht="60" customHeight="1">
      <c r="A85" s="16">
        <v>85</v>
      </c>
      <c r="B85" s="17" t="str">
        <f>IF(Petunjuk!$C$4="","",Petunjuk!$C$4)</f>
        <v xml:space="preserve">Ubah Coder ini di Sheet “Petunjuk”</v>
      </c>
      <c r="C85" s="18" t="str">
        <f>IF(INDEX(Korpus!$A:$A,$A85)="","",INDEX(Korpus!$A:$A,$A85))</f>
        <v xml:space="preserve">Perpres 39 Thn 2019 (Satu Data)</v>
      </c>
      <c r="D85" s="18" t="str">
        <f>TRIM(INDEX(Korpus!$D:$D,$A85)&amp;" "&amp;INDEX(Korpus!$E:$E,$A85))</f>
        <v xml:space="preserve">Pasal 1</v>
      </c>
      <c r="E85" s="18" t="str">
        <f>IF(INDEX(Korpus!$F:$F,$A85)="","",INDEX(Korpus!$F:$F,$A85))</f>
        <v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F85" s="19" t="s">
        <v>62</v>
      </c>
      <c r="G85" s="19" t="s">
        <v>63</v>
      </c>
      <c r="H85" s="19" t="s">
        <v>87</v>
      </c>
      <c r="I85" s="19" t="s">
        <v>88</v>
      </c>
      <c r="J85" s="19" t="s">
        <v>66</v>
      </c>
      <c r="K85" s="19" t="s">
        <v>67</v>
      </c>
      <c r="L85" s="19"/>
      <c r="M85" s="20"/>
      <c r="N85" s="20" t="s">
        <v>173</v>
      </c>
      <c r="O85" s="16"/>
      <c r="P85" s="18" t="str">
        <f t="shared" si="4"/>
        <v>Lengkap</v>
      </c>
      <c r="Q85" s="18" t="str">
        <f t="shared" si="5"/>
        <v>OK</v>
      </c>
      <c r="R85" s="18" t="str">
        <f>IF(INDEX(Korpus!$B:$B,$A85)="","",INDEX(Korpus!$B:$B,$A85))</f>
        <v xml:space="preserve">BAB I
KETENTUAN UMUM</v>
      </c>
      <c r="S85" s="18" t="str">
        <f>IF(INDEX(Korpus!$C:$C,$A85)="","",INDEX(Korpus!$C:$C,$A85))</f>
        <v/>
      </c>
    </row>
    <row r="86" ht="60" customHeight="1">
      <c r="A86" s="16">
        <v>86</v>
      </c>
      <c r="B86" s="17" t="str">
        <f>IF(Petunjuk!$C$4="","",Petunjuk!$C$4)</f>
        <v xml:space="preserve">Ubah Coder ini di Sheet “Petunjuk”</v>
      </c>
      <c r="C86" s="18" t="str">
        <f>IF(INDEX(Korpus!$A:$A,$A86)="","",INDEX(Korpus!$A:$A,$A86))</f>
        <v xml:space="preserve">Perpres 39 Thn 2019 (Satu Data)</v>
      </c>
      <c r="D86" s="18" t="str">
        <f>TRIM(INDEX(Korpus!$D:$D,$A86)&amp;" "&amp;INDEX(Korpus!$E:$E,$A86))</f>
        <v xml:space="preserve">Pasal 39</v>
      </c>
      <c r="E86" s="18" t="str">
        <f>IF(INDEX(Korpus!$F:$F,$A86)="","",INDEX(Korpus!$F:$F,$A86))</f>
        <v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F86" s="19" t="s">
        <v>174</v>
      </c>
      <c r="G86" s="19" t="s">
        <v>63</v>
      </c>
      <c r="H86" s="19" t="s">
        <v>175</v>
      </c>
      <c r="I86" s="19" t="s">
        <v>176</v>
      </c>
      <c r="J86" s="19" t="s">
        <v>110</v>
      </c>
      <c r="K86" s="19" t="s">
        <v>89</v>
      </c>
      <c r="L86" s="19"/>
      <c r="M86" s="20"/>
      <c r="N86" s="20"/>
      <c r="O86" s="16" t="s">
        <v>68</v>
      </c>
      <c r="P86" s="18" t="str">
        <f t="shared" si="4"/>
        <v>Lengkap</v>
      </c>
      <c r="Q86" s="18" t="str">
        <f t="shared" si="5"/>
        <v>OK</v>
      </c>
      <c r="R86" s="18" t="str">
        <f>IF(INDEX(Korpus!$B:$B,$A86)="","",INDEX(Korpus!$B:$B,$A86))</f>
        <v xml:space="preserve">BAB IV
PENYELENGGARAAN SATU DATA INDONESIA</v>
      </c>
      <c r="S86" s="18" t="str">
        <f>IF(INDEX(Korpus!$C:$C,$A86)="","",INDEX(Korpus!$C:$C,$A86))</f>
        <v xml:space="preserve">Bagian Kelima
Penyebarluasan Data</v>
      </c>
    </row>
  </sheetData>
  <autoFilter ref="A1:S86"/>
  <dataValidations count="2" disablePrompts="0">
    <dataValidation sqref="M2:M86" type="none" allowBlank="1" errorStyle="stop" imeMode="noControl" operator="between" prompt="Teks bebas, satu kalimat &quot;Sistem harus …&quot; atau “Sistem tidak boleh ...” (opsional, untuk R2)" promptTitle="" showDropDown="0" showErrorMessage="1" showInputMessage="1"/>
    <dataValidation sqref="N2:N86" type="none" allowBlank="1" errorStyle="stop" imeMode="noControl" operator="between" prompt="Digunakan untuk alasan T99, adanya keraguan, salah ketik atau teks terpotong, dan penjelasan lain bila aturan konsistensi tidak terpenuhi (Bagian 5.1 dan 9.1)." promptTitle="" showDropDown="0" showErrorMessage="1" showInputMessage="1"/>
  </dataValidation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expression" priority="2" aboveAverage="0" rank="0" text="">
            <xm:f>Q2="OK"</xm:f>
            <x14:dxf>
              <font>
                <color rgb="FF006100"/>
                <name val="Arial"/>
              </font>
              <fill>
                <patternFill patternType="solid">
                  <fgColor rgb="FFC6EFCE"/>
                  <bgColor rgb="FFC6EFCE"/>
                </patternFill>
              </fill>
            </x14:dxf>
          </x14:cfRule>
          <xm:sqref>Q2:Q86</xm:sqref>
        </x14:conditionalFormatting>
        <x14:conditionalFormatting xmlns:xm="http://schemas.microsoft.com/office/excel/2006/main">
          <x14:cfRule type="expression" priority="3" aboveAverage="0" rank="0" text="">
            <xm:f>AND(Q2&lt;&gt;"",Q2&lt;&gt;"OK",LEFT(Q2,7)&lt;&gt;"Belum l")</xm:f>
            <x14:dxf>
              <font>
                <color rgb="FF9C5700"/>
                <name val="Arial"/>
              </font>
              <fill>
                <patternFill patternType="solid">
                  <fgColor rgb="FFFFEB9C"/>
                  <bgColor rgb="FFFFEB9C"/>
                </patternFill>
              </fill>
            </x14:dxf>
          </x14:cfRule>
          <xm:sqref>Q2:Q86</xm:sqref>
        </x14:conditionalFormatting>
        <x14:conditionalFormatting xmlns:xm="http://schemas.microsoft.com/office/excel/2006/main">
          <x14:cfRule type="expression" priority="4" aboveAverage="0" rank="0" text="">
            <xm:f>P2="Lengkap"</xm:f>
            <x14:dxf>
              <font>
                <color rgb="FF006100"/>
                <name val="Arial"/>
              </font>
            </x14:dxf>
          </x14:cfRule>
          <xm:sqref>P2:P86</xm:sqref>
        </x14:conditionalFormatting>
      </x14:conditionalFormattings>
    </ext>
    <ext xmlns:x14="http://schemas.microsoft.com/office/spreadsheetml/2009/9/main" uri="{CCE6A557-97BC-4b89-ADB6-D9C93CAAB3DF}">
      <x14:dataValidations xmlns:xm="http://schemas.microsoft.com/office/excel/2006/main" count="8" disablePrompts="0">
        <x14:dataValidation xr:uid="{01F9A6A2-D4B9-474A-A0F1-95846F35F873}" type="list" allowBlank="1" error="Pilih kode dari daftar (lihat sheet Daftar Kode)." errorStyle="stop" errorTitle="Kode tidak sah" imeMode="noControl" operator="between" prompt="Kodekan pihak yang secara eksplisit menjadi subjek tata bahasa norma utama pada kolom “Isi”.&#10;Pilih kode berurutan dan berhenti pada Subjek Norma pertama yang dianggap sesuai (S1 &gt; S2 &gt; S3 &gt; S4 &gt; S5 &gt; S6 &gt; S7 &gt; S8 &gt; S9)." promptTitle="" showDropDown="0" showErrorMessage="1" showInputMessage="1">
          <x14:formula1>
            <xm:f>'Daftar Kode'!$D$5:$D$13</xm:f>
          </x14:formula1>
          <x14:formula2>
            <xm:f>"""0"""</xm:f>
          </x14:formula2>
          <xm:sqref>F3:F86</xm:sqref>
        </x14:dataValidation>
        <x14:dataValidation xr:uid="{658619A4-E9A4-4127-9053-3C3409657B6B}" type="list" allowBlank="1" error="Pilih kode dari daftar (lihat sheet Daftar Kode)." errorStyle="stop" errorTitle="Kode tidak sah" imeMode="noControl" operator="between" prompt="Tentukan dengan Uji Implikasi Bagian 6." showDropDown="0" showErrorMessage="1" showInputMessage="1">
          <x14:formula1>
            <xm:f>'Daftar Kode'!$D$16:$D$18</xm:f>
          </x14:formula1>
          <x14:formula2>
            <xm:f>"""0"""</xm:f>
          </x14:formula2>
          <xm:sqref>G2:G86</xm:sqref>
        </x14:dataValidation>
        <x14:dataValidation xr:uid="{470A350A-AAC8-4160-9B47-C8DE5A94ADDA}" type="list" allowBlank="1" error="Pilih kode dari daftar (lihat sheet Daftar Kode)." errorStyle="stop" errorTitle="Kode tidak sah" imeMode="noControl" operator="between" prompt="Pilih satu tema dominan dari pohon keputusan Bagian 7.3. Pemilihan T99 wajib dijelaskan di V12." showDropDown="0" showErrorMessage="1" showInputMessage="1">
          <x14:formula1>
            <xm:f>'Daftar Kode'!$D$21:$D$37</xm:f>
          </x14:formula1>
          <x14:formula2>
            <xm:f>"""0"""</xm:f>
          </x14:formula2>
          <xm:sqref>H2:H86</xm:sqref>
        </x14:dataValidation>
        <x14:dataValidation xr:uid="{661923B2-084F-4D93-8AFC-402880AF5D78}" type="list" allowBlank="1" error="Pilih kode dari daftar (lihat sheet Daftar Kode)." errorStyle="stop" errorTitle="Kode tidak sah" imeMode="noControl" operator="between" prompt="Lihat Bagian 7.4" promptTitle="" showDropDown="0" showErrorMessage="1" showInputMessage="1">
          <x14:formula1>
            <xm:f>'Daftar Kode'!$D$40:$D$47</xm:f>
          </x14:formula1>
          <x14:formula2>
            <xm:f>"""0"""</xm:f>
          </x14:formula2>
          <xm:sqref>I2:I86</xm:sqref>
        </x14:dataValidation>
        <x14:dataValidation xr:uid="{1451B822-1501-471C-B94A-55597E5EBEF9}" type="list" allowBlank="1" error="Pilih kode dari daftar (lihat sheet Daftar Kode)." errorStyle="stop" errorTitle="Kode tidak sah" imeMode="noControl" operator="between" prompt="Tahap siklus data yang terkait dari awal hingga akhir. Lihat Bagian 7.5" promptTitle="" showDropDown="0" showErrorMessage="1" showInputMessage="1">
          <x14:formula1>
            <xm:f>'Daftar Kode'!$D$50:$D$57</xm:f>
          </x14:formula1>
          <x14:formula2>
            <xm:f>"""0"""</xm:f>
          </x14:formula2>
          <xm:sqref>J2:J86</xm:sqref>
        </x14:dataValidation>
        <x14:dataValidation xr:uid="{262DC0C9-B2C8-4BC1-9229-0F8A076A1EB4}" type="list" allowBlank="1" error="Pilih kode dari daftar (lihat sheet Daftar Kode)." errorStyle="stop" errorTitle="Kode tidak sah" imeMode="noControl" operator="between" prompt="Kandidat jenis kebutuhan SRS diperiksa berurutan K1 &gt; K2 &gt; K3 &gt; K4 &gt; K5. Lihat Bagian 7.6" promptTitle="" showDropDown="0" showErrorMessage="1" showInputMessage="1">
          <x14:formula1>
            <xm:f>'Daftar Kode'!$D$60:$D$64</xm:f>
          </x14:formula1>
          <x14:formula2>
            <xm:f>"""0"""</xm:f>
          </x14:formula2>
          <xm:sqref>K2:K86</xm:sqref>
        </x14:dataValidation>
        <x14:dataValidation xr:uid="{465E6044-6ED0-4903-ADD7-CD43FF4DF35C}" type="list" allowBlank="1" error="Pilih kode dari daftar (lihat sheet Daftar Kode)." errorStyle="stop" errorTitle="Kode tidak sah" imeMode="noControl" operator="between" prompt="Tema kedua bila unit memuat dua tema (gunakan kode dari Bagian 7.3). T99 tidak digunakan di sini." promptTitle="Opsional" showDropDown="0" showErrorMessage="1" showInputMessage="1">
          <x14:formula1>
            <xm:f>'Daftar Kode'!$D$21:$D$36</xm:f>
          </x14:formula1>
          <x14:formula2>
            <xm:f>"""0"""</xm:f>
          </x14:formula2>
          <xm:sqref>L2:L86</xm:sqref>
        </x14:dataValidation>
        <x14:dataValidation xr:uid="{1E8FDCC6-0315-445E-A3E2-5FB33BDE11F9}" type="list" allowBlank="1" error="Pilih kode dari daftar (lihat sheet Daftar Kode)." errorStyle="stop" errorTitle="Kode tidak sah" imeMode="noControl" operator="between" prompt="Kodekan pihak yang secara eksplisit menjadi subjek tata bahasa norma utama pada kolom “Isi”.&#10;Pilih kode berurutan dan berhenti pada Subjek Norma pertama yang dianggap sesuai (S1 &gt; S2 &gt; S3 &gt; S4 &gt; S5 &gt; S6 &gt; S7 &gt; S8 &gt; S9)." promptTitle="" showDropDown="0" showErrorMessage="1" showInputMessage="1">
          <x14:formula1>
            <xm:f>'Daftar Kode'!$D$5:$D$13</xm:f>
          </x14:formula1>
          <x14:formula2>
            <xm:f>"""0"""</xm:f>
          </x14:formula2>
          <xm:sqref>F2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zoomScale="85" workbookViewId="0">
      <pane ySplit="3" topLeftCell="A4" activePane="bottomLeft" state="frozen"/>
      <selection activeCell="C64" activeCellId="0" sqref="C64"/>
    </sheetView>
  </sheetViews>
  <sheetFormatPr defaultColWidth="8.6796875" defaultRowHeight="14.25"/>
  <cols>
    <col customWidth="1" min="1" max="1" style="1" width="22"/>
    <col customWidth="1" min="2" max="2" style="1" width="8"/>
    <col customWidth="1" min="3" max="3" style="1" width="51.890000000000001"/>
    <col customWidth="1" min="4" max="4" style="21" width="58.380000000000003"/>
    <col customWidth="0" min="5" max="16384" style="1" width="8.6799999999999997"/>
  </cols>
  <sheetData>
    <row r="1" ht="16.5">
      <c r="A1" s="2" t="s">
        <v>177</v>
      </c>
    </row>
    <row r="2" ht="15">
      <c r="A2" s="3" t="s">
        <v>178</v>
      </c>
    </row>
    <row r="4" ht="15">
      <c r="A4" s="14" t="s">
        <v>179</v>
      </c>
      <c r="B4" s="14" t="s">
        <v>53</v>
      </c>
      <c r="C4" s="14" t="s">
        <v>180</v>
      </c>
      <c r="D4" s="22" t="str">
        <f t="shared" ref="D4:D9" si="6">$B4 &amp; " - " &amp; $C4</f>
        <v xml:space="preserve">Kode - Label</v>
      </c>
    </row>
    <row r="5" ht="15">
      <c r="A5" s="23" t="s">
        <v>32</v>
      </c>
      <c r="B5" s="24" t="s">
        <v>181</v>
      </c>
      <c r="C5" s="23" t="s">
        <v>182</v>
      </c>
      <c r="D5" s="21" t="str">
        <f t="shared" si="6"/>
        <v xml:space="preserve">S1 - Pengendali dan Prosesor</v>
      </c>
    </row>
    <row r="6" ht="15">
      <c r="A6" s="23" t="s">
        <v>32</v>
      </c>
      <c r="B6" s="24" t="s">
        <v>183</v>
      </c>
      <c r="C6" s="23" t="s">
        <v>184</v>
      </c>
      <c r="D6" s="21" t="str">
        <f t="shared" si="6"/>
        <v xml:space="preserve">S2 - Pengendali Data Pribadi</v>
      </c>
    </row>
    <row r="7" ht="15">
      <c r="A7" s="23" t="s">
        <v>32</v>
      </c>
      <c r="B7" s="24" t="s">
        <v>185</v>
      </c>
      <c r="C7" s="23" t="s">
        <v>186</v>
      </c>
      <c r="D7" s="21" t="str">
        <f t="shared" si="6"/>
        <v xml:space="preserve">S3 - Prosesor Data Pribadi</v>
      </c>
    </row>
    <row r="8" ht="15">
      <c r="A8" s="23" t="s">
        <v>32</v>
      </c>
      <c r="B8" s="24" t="s">
        <v>187</v>
      </c>
      <c r="C8" s="23" t="s">
        <v>188</v>
      </c>
      <c r="D8" s="21" t="str">
        <f t="shared" si="6"/>
        <v xml:space="preserve">S4 - Subjek Data Pribadi</v>
      </c>
    </row>
    <row r="9" ht="15">
      <c r="A9" s="23" t="s">
        <v>32</v>
      </c>
      <c r="B9" s="24" t="s">
        <v>189</v>
      </c>
      <c r="C9" s="23" t="s">
        <v>190</v>
      </c>
      <c r="D9" s="21" t="str">
        <f t="shared" si="6"/>
        <v xml:space="preserve">S5 - Setiap Orang atau pihak umum</v>
      </c>
    </row>
    <row r="10" ht="15">
      <c r="A10" s="23" t="s">
        <v>32</v>
      </c>
      <c r="B10" s="24" t="s">
        <v>191</v>
      </c>
      <c r="C10" s="23" t="s">
        <v>192</v>
      </c>
      <c r="D10" s="21" t="str">
        <f t="shared" ref="D10:D64" si="7">$B10 &amp; " - " &amp; $C10</f>
        <v xml:space="preserve">S6 - Instansi atau Badan Publik</v>
      </c>
    </row>
    <row r="11" ht="15">
      <c r="A11" s="23" t="s">
        <v>32</v>
      </c>
      <c r="B11" s="24" t="s">
        <v>193</v>
      </c>
      <c r="C11" s="23" t="s">
        <v>194</v>
      </c>
      <c r="D11" s="21" t="str">
        <f t="shared" si="7"/>
        <v xml:space="preserve">S7 - Otoritas Penetap atau Pengawas Kebijakan</v>
      </c>
    </row>
    <row r="12" ht="15">
      <c r="A12" s="23" t="s">
        <v>32</v>
      </c>
      <c r="B12" s="24" t="s">
        <v>195</v>
      </c>
      <c r="C12" s="23" t="s">
        <v>196</v>
      </c>
      <c r="D12" s="21" t="str">
        <f t="shared" si="7"/>
        <v xml:space="preserve">S8 - Penyelenggara sektor atau pihak lain</v>
      </c>
    </row>
    <row r="13" ht="15">
      <c r="A13" s="23" t="s">
        <v>32</v>
      </c>
      <c r="B13" s="24" t="s">
        <v>197</v>
      </c>
      <c r="C13" s="23" t="s">
        <v>198</v>
      </c>
      <c r="D13" s="21" t="str">
        <f t="shared" si="7"/>
        <v xml:space="preserve">S9 - Tidak ada subjek perorangan atau organisasi eksplisit</v>
      </c>
    </row>
    <row r="15" ht="15">
      <c r="A15" s="14" t="s">
        <v>179</v>
      </c>
      <c r="B15" s="14" t="s">
        <v>53</v>
      </c>
      <c r="C15" s="14" t="s">
        <v>180</v>
      </c>
      <c r="D15" s="22" t="str">
        <f t="shared" si="7"/>
        <v xml:space="preserve">Kode - Label</v>
      </c>
    </row>
    <row r="16" ht="15">
      <c r="A16" s="23" t="s">
        <v>34</v>
      </c>
      <c r="B16" s="24" t="s">
        <v>199</v>
      </c>
      <c r="C16" s="23" t="s">
        <v>200</v>
      </c>
      <c r="D16" s="21" t="str">
        <f t="shared" si="7"/>
        <v xml:space="preserve">R0 - Tidak relevan</v>
      </c>
    </row>
    <row r="17" ht="15">
      <c r="A17" s="23" t="s">
        <v>34</v>
      </c>
      <c r="B17" s="24" t="s">
        <v>201</v>
      </c>
      <c r="C17" s="23" t="s">
        <v>202</v>
      </c>
      <c r="D17" s="21" t="str">
        <f t="shared" si="7"/>
        <v xml:space="preserve">R1 - Relevan tidak langsung</v>
      </c>
    </row>
    <row r="18" ht="15">
      <c r="A18" s="23" t="s">
        <v>34</v>
      </c>
      <c r="B18" s="24" t="s">
        <v>203</v>
      </c>
      <c r="C18" s="23" t="s">
        <v>204</v>
      </c>
      <c r="D18" s="21" t="str">
        <f t="shared" si="7"/>
        <v xml:space="preserve">R2 - Relevan langsung</v>
      </c>
    </row>
    <row r="20" ht="15">
      <c r="A20" s="14" t="s">
        <v>179</v>
      </c>
      <c r="B20" s="14" t="s">
        <v>53</v>
      </c>
      <c r="C20" s="14" t="s">
        <v>180</v>
      </c>
      <c r="D20" s="22" t="str">
        <f t="shared" si="7"/>
        <v xml:space="preserve">Kode - Label</v>
      </c>
    </row>
    <row r="21" ht="15">
      <c r="A21" s="23" t="s">
        <v>36</v>
      </c>
      <c r="B21" s="24" t="s">
        <v>205</v>
      </c>
      <c r="C21" s="23" t="s">
        <v>206</v>
      </c>
      <c r="D21" s="21" t="str">
        <f t="shared" si="7"/>
        <v xml:space="preserve">T01 - Definisi, Istilah, dan Ruang Lingkup</v>
      </c>
    </row>
    <row r="22" ht="15">
      <c r="A22" s="23" t="s">
        <v>36</v>
      </c>
      <c r="B22" s="24" t="s">
        <v>207</v>
      </c>
      <c r="C22" s="23" t="s">
        <v>208</v>
      </c>
      <c r="D22" s="21" t="str">
        <f t="shared" si="7"/>
        <v xml:space="preserve">T02 - Latar Normatif dan Rujukan Non-operasional</v>
      </c>
    </row>
    <row r="23" ht="15">
      <c r="A23" s="23" t="s">
        <v>36</v>
      </c>
      <c r="B23" s="24" t="s">
        <v>209</v>
      </c>
      <c r="C23" s="23" t="s">
        <v>210</v>
      </c>
      <c r="D23" s="21" t="str">
        <f t="shared" si="7"/>
        <v xml:space="preserve">T03 - Larangan dan Perbuatan Melawan Hukum</v>
      </c>
    </row>
    <row r="24" ht="15">
      <c r="A24" s="23" t="s">
        <v>36</v>
      </c>
      <c r="B24" s="24" t="s">
        <v>211</v>
      </c>
      <c r="C24" s="23" t="s">
        <v>212</v>
      </c>
      <c r="D24" s="21" t="str">
        <f t="shared" si="7"/>
        <v xml:space="preserve">T04 - Pengecualian dan Pembatasan</v>
      </c>
    </row>
    <row r="25" ht="15">
      <c r="A25" s="23" t="s">
        <v>36</v>
      </c>
      <c r="B25" s="24" t="s">
        <v>213</v>
      </c>
      <c r="C25" s="23" t="s">
        <v>214</v>
      </c>
      <c r="D25" s="21" t="str">
        <f t="shared" si="7"/>
        <v xml:space="preserve">T05 - Jenis dan Klasifikasi Data Pribadi</v>
      </c>
    </row>
    <row r="26" ht="15">
      <c r="A26" s="23" t="s">
        <v>36</v>
      </c>
      <c r="B26" s="24" t="s">
        <v>215</v>
      </c>
      <c r="C26" s="23" t="s">
        <v>216</v>
      </c>
      <c r="D26" s="21" t="str">
        <f t="shared" si="7"/>
        <v xml:space="preserve">T06 - Data Pribadi Anak dan Kelompok Rentan</v>
      </c>
    </row>
    <row r="27" ht="15">
      <c r="A27" s="23" t="s">
        <v>36</v>
      </c>
      <c r="B27" s="24" t="s">
        <v>217</v>
      </c>
      <c r="C27" s="23" t="s">
        <v>218</v>
      </c>
      <c r="D27" s="21" t="str">
        <f t="shared" si="7"/>
        <v xml:space="preserve">T07 - Hak Subjek Data Pribadi</v>
      </c>
    </row>
    <row r="28" ht="15">
      <c r="A28" s="23" t="s">
        <v>36</v>
      </c>
      <c r="B28" s="24" t="s">
        <v>219</v>
      </c>
      <c r="C28" s="23" t="s">
        <v>220</v>
      </c>
      <c r="D28" s="21" t="str">
        <f t="shared" si="7"/>
        <v xml:space="preserve">T08 - Retensi, Penghentian, Penghapusan, dan Pemusnahan</v>
      </c>
    </row>
    <row r="29" ht="15">
      <c r="A29" s="23" t="s">
        <v>36</v>
      </c>
      <c r="B29" s="24" t="s">
        <v>221</v>
      </c>
      <c r="C29" s="23" t="s">
        <v>222</v>
      </c>
      <c r="D29" s="21" t="str">
        <f t="shared" si="7"/>
        <v xml:space="preserve">T09 - Dasar Pemrosesan dan Persetujuan</v>
      </c>
    </row>
    <row r="30" ht="15">
      <c r="A30" s="23" t="s">
        <v>36</v>
      </c>
      <c r="B30" s="24" t="s">
        <v>223</v>
      </c>
      <c r="C30" s="23" t="s">
        <v>224</v>
      </c>
      <c r="D30" s="21" t="str">
        <f t="shared" si="7"/>
        <v xml:space="preserve">T10 - Transfer dan Pengalihan Data</v>
      </c>
    </row>
    <row r="31" ht="15">
      <c r="A31" s="23" t="s">
        <v>36</v>
      </c>
      <c r="B31" s="24" t="s">
        <v>225</v>
      </c>
      <c r="C31" s="23" t="s">
        <v>226</v>
      </c>
      <c r="D31" s="21" t="str">
        <f t="shared" si="7"/>
        <v xml:space="preserve">T11 - Keamanan, Kerahasiaan, dan Penanganan Insiden</v>
      </c>
    </row>
    <row r="32" ht="15">
      <c r="A32" s="23" t="s">
        <v>36</v>
      </c>
      <c r="B32" s="24" t="s">
        <v>227</v>
      </c>
      <c r="C32" s="23" t="s">
        <v>228</v>
      </c>
      <c r="D32" s="21" t="str">
        <f t="shared" si="7"/>
        <v xml:space="preserve">T12 - Kualitas, Akurasi, dan Pembaruan Data</v>
      </c>
    </row>
    <row r="33" ht="15">
      <c r="A33" s="23" t="s">
        <v>36</v>
      </c>
      <c r="B33" s="24" t="s">
        <v>229</v>
      </c>
      <c r="C33" s="23" t="s">
        <v>230</v>
      </c>
      <c r="D33" s="21" t="str">
        <f t="shared" si="7"/>
        <v xml:space="preserve">T13 - Akuntabilitas, Pencatatan, dan Tata Kelola Kepatuhan</v>
      </c>
    </row>
    <row r="34" ht="15">
      <c r="A34" s="23" t="s">
        <v>36</v>
      </c>
      <c r="B34" s="24" t="s">
        <v>231</v>
      </c>
      <c r="C34" s="23" t="s">
        <v>232</v>
      </c>
      <c r="D34" s="21" t="str">
        <f t="shared" si="7"/>
        <v xml:space="preserve">T14 - Akses dan Pemanfaatan Data Pemerintah</v>
      </c>
    </row>
    <row r="35" ht="15">
      <c r="A35" s="23" t="s">
        <v>36</v>
      </c>
      <c r="B35" s="24" t="s">
        <v>233</v>
      </c>
      <c r="C35" s="23" t="s">
        <v>234</v>
      </c>
      <c r="D35" s="21" t="str">
        <f t="shared" si="7"/>
        <v xml:space="preserve">T15 - Asas dan Prinsip Pemrosesan</v>
      </c>
    </row>
    <row r="36" ht="15">
      <c r="A36" s="23" t="s">
        <v>36</v>
      </c>
      <c r="B36" s="24" t="s">
        <v>235</v>
      </c>
      <c r="C36" s="23" t="s">
        <v>236</v>
      </c>
      <c r="D36" s="21" t="str">
        <f t="shared" si="7"/>
        <v xml:space="preserve">T16 - Aktivitas Pemrosesan dan Pengumpulan</v>
      </c>
    </row>
    <row r="37" ht="15">
      <c r="A37" s="23" t="s">
        <v>36</v>
      </c>
      <c r="B37" s="24" t="s">
        <v>237</v>
      </c>
      <c r="C37" s="23" t="s">
        <v>238</v>
      </c>
      <c r="D37" s="21" t="str">
        <f t="shared" si="7"/>
        <v xml:space="preserve">T99 - Lainnya (wajib jelaskan di V12)</v>
      </c>
    </row>
    <row r="39" ht="15">
      <c r="A39" s="14" t="s">
        <v>179</v>
      </c>
      <c r="B39" s="14" t="s">
        <v>53</v>
      </c>
      <c r="C39" s="14" t="s">
        <v>180</v>
      </c>
      <c r="D39" s="22" t="str">
        <f t="shared" si="7"/>
        <v xml:space="preserve">Kode - Label</v>
      </c>
    </row>
    <row r="40" ht="15">
      <c r="A40" s="23" t="s">
        <v>38</v>
      </c>
      <c r="B40" s="24" t="s">
        <v>239</v>
      </c>
      <c r="C40" s="23" t="s">
        <v>240</v>
      </c>
      <c r="D40" s="21" t="str">
        <f t="shared" si="7"/>
        <v xml:space="preserve">P1 - Larangan</v>
      </c>
    </row>
    <row r="41" ht="15">
      <c r="A41" s="23" t="s">
        <v>38</v>
      </c>
      <c r="B41" s="24" t="s">
        <v>241</v>
      </c>
      <c r="C41" s="23" t="s">
        <v>242</v>
      </c>
      <c r="D41" s="21" t="str">
        <f t="shared" si="7"/>
        <v xml:space="preserve">P2 - Kewajiban</v>
      </c>
    </row>
    <row r="42" ht="15">
      <c r="A42" s="23" t="s">
        <v>38</v>
      </c>
      <c r="B42" s="24" t="s">
        <v>243</v>
      </c>
      <c r="C42" s="23" t="s">
        <v>244</v>
      </c>
      <c r="D42" s="21" t="str">
        <f t="shared" si="7"/>
        <v xml:space="preserve">P3 - Hak</v>
      </c>
    </row>
    <row r="43" ht="15">
      <c r="A43" s="23" t="s">
        <v>38</v>
      </c>
      <c r="B43" s="24" t="s">
        <v>245</v>
      </c>
      <c r="C43" s="23" t="s">
        <v>246</v>
      </c>
      <c r="D43" s="21" t="str">
        <f t="shared" si="7"/>
        <v xml:space="preserve">P4 - Pengecualian atau pembatasan</v>
      </c>
    </row>
    <row r="44" ht="15">
      <c r="A44" s="23" t="s">
        <v>38</v>
      </c>
      <c r="B44" s="24" t="s">
        <v>247</v>
      </c>
      <c r="C44" s="23" t="s">
        <v>248</v>
      </c>
      <c r="D44" s="21" t="str">
        <f t="shared" si="7"/>
        <v xml:space="preserve">P5 - Kebolehan atau kewenangan</v>
      </c>
    </row>
    <row r="45" ht="15">
      <c r="A45" s="23" t="s">
        <v>38</v>
      </c>
      <c r="B45" s="24" t="s">
        <v>249</v>
      </c>
      <c r="C45" s="23" t="s">
        <v>250</v>
      </c>
      <c r="D45" s="21" t="str">
        <f t="shared" si="7"/>
        <v xml:space="preserve">P6 - Definisi, klasifikasi, atau ruang lingkup</v>
      </c>
    </row>
    <row r="46" ht="15">
      <c r="A46" s="23" t="s">
        <v>38</v>
      </c>
      <c r="B46" s="24" t="s">
        <v>251</v>
      </c>
      <c r="C46" s="23" t="s">
        <v>252</v>
      </c>
      <c r="D46" s="21" t="str">
        <f t="shared" si="7"/>
        <v xml:space="preserve">P7 - Asas, prinsip, atau tujuan umum</v>
      </c>
    </row>
    <row r="47" ht="15">
      <c r="A47" s="23" t="s">
        <v>38</v>
      </c>
      <c r="B47" s="24" t="s">
        <v>253</v>
      </c>
      <c r="C47" s="23" t="s">
        <v>254</v>
      </c>
      <c r="D47" s="21" t="str">
        <f t="shared" si="7"/>
        <v xml:space="preserve">P8 - Deskriptif, argumentatif, dan rujukan</v>
      </c>
    </row>
    <row r="49" ht="15">
      <c r="A49" s="14" t="s">
        <v>179</v>
      </c>
      <c r="B49" s="14" t="s">
        <v>53</v>
      </c>
      <c r="C49" s="14" t="s">
        <v>180</v>
      </c>
      <c r="D49" s="22" t="str">
        <f t="shared" si="7"/>
        <v xml:space="preserve">Kode - Label</v>
      </c>
    </row>
    <row r="50" ht="15">
      <c r="A50" s="23" t="s">
        <v>40</v>
      </c>
      <c r="B50" s="24" t="s">
        <v>255</v>
      </c>
      <c r="C50" s="23" t="s">
        <v>256</v>
      </c>
      <c r="D50" s="21" t="str">
        <f t="shared" si="7"/>
        <v xml:space="preserve">F1 - Perencanaan dan dasar pemrosesan</v>
      </c>
    </row>
    <row r="51" ht="15">
      <c r="A51" s="23" t="s">
        <v>40</v>
      </c>
      <c r="B51" s="24" t="s">
        <v>257</v>
      </c>
      <c r="C51" s="23" t="s">
        <v>258</v>
      </c>
      <c r="D51" s="21" t="str">
        <f t="shared" si="7"/>
        <v xml:space="preserve">F2 - Pengumpulan atau akuisisi</v>
      </c>
    </row>
    <row r="52" ht="15">
      <c r="A52" s="23" t="s">
        <v>40</v>
      </c>
      <c r="B52" s="24" t="s">
        <v>259</v>
      </c>
      <c r="C52" s="23" t="s">
        <v>260</v>
      </c>
      <c r="D52" s="21" t="str">
        <f t="shared" si="7"/>
        <v xml:space="preserve">F3 - Pengolahan dan analisis</v>
      </c>
    </row>
    <row r="53" ht="15">
      <c r="A53" s="23" t="s">
        <v>40</v>
      </c>
      <c r="B53" s="24" t="s">
        <v>261</v>
      </c>
      <c r="C53" s="23" t="s">
        <v>262</v>
      </c>
      <c r="D53" s="21" t="str">
        <f t="shared" si="7"/>
        <v xml:space="preserve">F4 - Penyimpanan dan pengamanan</v>
      </c>
    </row>
    <row r="54" ht="15">
      <c r="A54" s="23" t="s">
        <v>40</v>
      </c>
      <c r="B54" s="24" t="s">
        <v>263</v>
      </c>
      <c r="C54" s="23" t="s">
        <v>264</v>
      </c>
      <c r="D54" s="21" t="str">
        <f t="shared" si="7"/>
        <v xml:space="preserve">F5 - Penyebarluasan dan transfer</v>
      </c>
    </row>
    <row r="55" ht="15">
      <c r="A55" s="23" t="s">
        <v>40</v>
      </c>
      <c r="B55" s="24" t="s">
        <v>265</v>
      </c>
      <c r="C55" s="23" t="s">
        <v>266</v>
      </c>
      <c r="D55" s="21" t="str">
        <f t="shared" si="7"/>
        <v xml:space="preserve">F6 - Retensi dan penghapusan</v>
      </c>
    </row>
    <row r="56" ht="15">
      <c r="A56" s="23" t="s">
        <v>40</v>
      </c>
      <c r="B56" s="24" t="s">
        <v>267</v>
      </c>
      <c r="C56" s="23" t="s">
        <v>268</v>
      </c>
      <c r="D56" s="21" t="str">
        <f t="shared" si="7"/>
        <v xml:space="preserve">F7 - Tata kelola dan hak subjek</v>
      </c>
    </row>
    <row r="57" ht="15">
      <c r="A57" s="23" t="s">
        <v>40</v>
      </c>
      <c r="B57" s="24" t="s">
        <v>269</v>
      </c>
      <c r="C57" s="23" t="s">
        <v>270</v>
      </c>
      <c r="D57" s="21" t="str">
        <f t="shared" si="7"/>
        <v xml:space="preserve">F8 - Lintas tahap atau tidak spesifik</v>
      </c>
    </row>
    <row r="59" ht="15">
      <c r="A59" s="14" t="s">
        <v>179</v>
      </c>
      <c r="B59" s="14" t="s">
        <v>53</v>
      </c>
      <c r="C59" s="14" t="s">
        <v>180</v>
      </c>
      <c r="D59" s="22" t="str">
        <f t="shared" si="7"/>
        <v xml:space="preserve">Kode - Label</v>
      </c>
    </row>
    <row r="60" ht="15">
      <c r="A60" s="23" t="s">
        <v>42</v>
      </c>
      <c r="B60" s="24" t="s">
        <v>271</v>
      </c>
      <c r="C60" s="23" t="s">
        <v>272</v>
      </c>
      <c r="D60" s="21" t="str">
        <f t="shared" si="7"/>
        <v xml:space="preserve">K1 - Non-fungsional: keamanan dan kerahasiaan. Apakah inti teks melindungi data dari akses atau gangguan tidak sah?</v>
      </c>
    </row>
    <row r="61" ht="15">
      <c r="A61" s="23" t="s">
        <v>42</v>
      </c>
      <c r="B61" s="24" t="s">
        <v>273</v>
      </c>
      <c r="C61" s="23" t="s">
        <v>274</v>
      </c>
      <c r="D61" s="21" t="str">
        <f t="shared" si="7"/>
        <v xml:space="preserve">K2 - Non-fungsional: mutu data, kepatuhan, dan akuntabilitas. Apakah ini mutu atau bukti yang berlaku untuk seluruh sistem, bukan hanya satu operasi?</v>
      </c>
    </row>
    <row r="62" ht="15">
      <c r="A62" s="23" t="s">
        <v>42</v>
      </c>
      <c r="B62" s="24" t="s">
        <v>275</v>
      </c>
      <c r="C62" s="23" t="s">
        <v>276</v>
      </c>
      <c r="D62" s="21" t="str">
        <f t="shared" si="7"/>
        <v xml:space="preserve">K3 - Fungsional. Dapatkah ditulis "Sistem harus [melakukan X]" dengan hasil hanya lulus atau gagal?</v>
      </c>
    </row>
    <row r="63" ht="15">
      <c r="A63" s="23" t="s">
        <v>42</v>
      </c>
      <c r="B63" s="24" t="s">
        <v>277</v>
      </c>
      <c r="C63" s="23" t="s">
        <v>278</v>
      </c>
      <c r="D63" s="21" t="str">
        <f t="shared" si="7"/>
        <v xml:space="preserve">K4 - Batasan atau aturan bisnis hukum. Apakah teks membatasi apa yang boleh dilakukan sistem, atau apa dan siapa yang tercakup?</v>
      </c>
    </row>
    <row r="64" ht="15">
      <c r="A64" s="23" t="s">
        <v>42</v>
      </c>
      <c r="B64" s="24" t="s">
        <v>279</v>
      </c>
      <c r="C64" s="23" t="s">
        <v>280</v>
      </c>
      <c r="D64" s="21" t="str">
        <f t="shared" si="7"/>
        <v xml:space="preserve">K5 - Tidak menghasilkan kebutuhan. Apakah teks benar-benar tidak dapat diterjemahkan menjadi kalimat "Sistem harus/tidak boleh …"?</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tabColor rgb="FF7F7F7F"/>
    <outlinePr applyStyles="0" summaryBelow="1" summaryRight="1" showOutlineSymbols="1"/>
    <pageSetUpPr autoPageBreaks="1" fitToPage="0"/>
  </sheetPr>
  <sheetViews>
    <sheetView showFormulas="0" showGridLines="1" showRowColHeaders="1" showZeros="1" rightToLeft="0" view="normal" topLeftCell="A1" zoomScale="85" workbookViewId="0">
      <selection activeCell="C27" activeCellId="0" sqref="C27"/>
    </sheetView>
  </sheetViews>
  <sheetFormatPr defaultColWidth="8.6796875" defaultRowHeight="15"/>
  <cols>
    <col customWidth="1" min="6" max="6" style="11" width="60"/>
    <col customWidth="1" min="8" max="8" style="11" width="90"/>
  </cols>
  <sheetData>
    <row r="1" ht="15">
      <c r="A1" s="25" t="s">
        <v>281</v>
      </c>
      <c r="B1" s="25" t="s">
        <v>60</v>
      </c>
      <c r="C1" s="25" t="s">
        <v>61</v>
      </c>
      <c r="D1" s="25" t="s">
        <v>282</v>
      </c>
      <c r="E1" s="25" t="s">
        <v>283</v>
      </c>
      <c r="F1" s="25" t="s">
        <v>56</v>
      </c>
      <c r="H1" s="4" t="s">
        <v>284</v>
      </c>
    </row>
    <row r="2" ht="15">
      <c r="A2" s="11" t="s">
        <v>285</v>
      </c>
      <c r="B2" s="11" t="s">
        <v>286</v>
      </c>
      <c r="C2" s="11" t="s">
        <v>287</v>
      </c>
      <c r="D2" s="11" t="s">
        <v>288</v>
      </c>
      <c r="E2" s="11" t="s">
        <v>289</v>
      </c>
      <c r="F2" s="11" t="s">
        <v>290</v>
      </c>
      <c r="H2" s="3" t="s">
        <v>291</v>
      </c>
    </row>
    <row r="3" ht="15">
      <c r="A3" s="11" t="s">
        <v>285</v>
      </c>
      <c r="B3" s="11" t="s">
        <v>286</v>
      </c>
      <c r="C3" s="11" t="s">
        <v>287</v>
      </c>
      <c r="D3" s="11" t="s">
        <v>288</v>
      </c>
      <c r="E3" s="11" t="s">
        <v>292</v>
      </c>
      <c r="F3" s="11" t="s">
        <v>293</v>
      </c>
      <c r="H3" s="3" t="s">
        <v>294</v>
      </c>
    </row>
    <row r="4" ht="15">
      <c r="A4" s="11" t="s">
        <v>285</v>
      </c>
      <c r="B4" s="11" t="s">
        <v>286</v>
      </c>
      <c r="C4" s="11" t="s">
        <v>287</v>
      </c>
      <c r="D4" s="11" t="s">
        <v>288</v>
      </c>
      <c r="E4" s="11" t="s">
        <v>295</v>
      </c>
      <c r="F4" s="11" t="s">
        <v>296</v>
      </c>
      <c r="H4" s="3" t="s">
        <v>297</v>
      </c>
    </row>
    <row r="5" ht="15">
      <c r="A5" s="11" t="s">
        <v>285</v>
      </c>
      <c r="B5" s="11" t="s">
        <v>286</v>
      </c>
      <c r="C5" s="11" t="s">
        <v>287</v>
      </c>
      <c r="D5" s="11" t="s">
        <v>288</v>
      </c>
      <c r="E5" s="11" t="s">
        <v>298</v>
      </c>
      <c r="F5" s="11" t="s">
        <v>299</v>
      </c>
    </row>
    <row r="6" ht="15">
      <c r="A6" s="11" t="s">
        <v>285</v>
      </c>
      <c r="B6" s="11" t="s">
        <v>286</v>
      </c>
      <c r="C6" s="11" t="s">
        <v>287</v>
      </c>
      <c r="D6" s="11" t="s">
        <v>288</v>
      </c>
      <c r="E6" s="11" t="s">
        <v>300</v>
      </c>
      <c r="F6" s="11" t="s">
        <v>301</v>
      </c>
    </row>
    <row r="7" ht="15">
      <c r="A7" s="11" t="s">
        <v>285</v>
      </c>
      <c r="B7" s="11" t="s">
        <v>286</v>
      </c>
      <c r="C7" s="11" t="s">
        <v>287</v>
      </c>
      <c r="D7" s="11" t="s">
        <v>288</v>
      </c>
      <c r="E7" s="11" t="s">
        <v>302</v>
      </c>
      <c r="F7" s="11" t="s">
        <v>303</v>
      </c>
    </row>
    <row r="8" ht="15">
      <c r="A8" s="11" t="s">
        <v>285</v>
      </c>
      <c r="B8" s="11" t="s">
        <v>286</v>
      </c>
      <c r="C8" s="11" t="s">
        <v>287</v>
      </c>
      <c r="D8" s="11" t="s">
        <v>304</v>
      </c>
      <c r="E8" s="11" t="s">
        <v>289</v>
      </c>
      <c r="F8" s="11" t="s">
        <v>305</v>
      </c>
    </row>
    <row r="9" ht="15">
      <c r="A9" s="11" t="s">
        <v>285</v>
      </c>
      <c r="B9" s="11" t="s">
        <v>286</v>
      </c>
      <c r="C9" s="11" t="s">
        <v>287</v>
      </c>
      <c r="D9" s="11" t="s">
        <v>304</v>
      </c>
      <c r="E9" s="11" t="s">
        <v>292</v>
      </c>
      <c r="F9" s="11" t="s">
        <v>306</v>
      </c>
    </row>
    <row r="10" ht="15">
      <c r="A10" s="11" t="s">
        <v>285</v>
      </c>
      <c r="B10" s="11" t="s">
        <v>286</v>
      </c>
      <c r="C10" s="11" t="s">
        <v>287</v>
      </c>
      <c r="D10" s="11" t="s">
        <v>304</v>
      </c>
      <c r="E10" s="11" t="s">
        <v>295</v>
      </c>
      <c r="F10" s="11" t="s">
        <v>307</v>
      </c>
    </row>
    <row r="11" ht="15">
      <c r="A11" s="11" t="s">
        <v>285</v>
      </c>
      <c r="B11" s="11" t="s">
        <v>286</v>
      </c>
      <c r="C11" s="11" t="s">
        <v>287</v>
      </c>
      <c r="D11" s="11" t="s">
        <v>304</v>
      </c>
      <c r="E11" s="11" t="s">
        <v>298</v>
      </c>
      <c r="F11" s="11" t="s">
        <v>308</v>
      </c>
    </row>
    <row r="12" ht="15">
      <c r="A12" s="11" t="s">
        <v>285</v>
      </c>
      <c r="B12" s="11" t="s">
        <v>286</v>
      </c>
      <c r="C12" s="11" t="s">
        <v>287</v>
      </c>
      <c r="D12" s="11" t="s">
        <v>309</v>
      </c>
      <c r="E12" s="11" t="s">
        <v>289</v>
      </c>
      <c r="F12" s="11" t="s">
        <v>310</v>
      </c>
    </row>
    <row r="13" ht="15">
      <c r="A13" s="11" t="s">
        <v>285</v>
      </c>
      <c r="B13" s="11" t="s">
        <v>286</v>
      </c>
      <c r="C13" s="11" t="s">
        <v>287</v>
      </c>
      <c r="D13" s="11" t="s">
        <v>309</v>
      </c>
      <c r="E13" s="11" t="s">
        <v>292</v>
      </c>
      <c r="F13" s="11" t="s">
        <v>311</v>
      </c>
    </row>
    <row r="14" ht="15">
      <c r="A14" s="11" t="s">
        <v>285</v>
      </c>
      <c r="B14" s="11" t="s">
        <v>286</v>
      </c>
      <c r="C14" s="11" t="s">
        <v>287</v>
      </c>
      <c r="D14" s="11" t="s">
        <v>312</v>
      </c>
      <c r="E14" s="11" t="s">
        <v>289</v>
      </c>
      <c r="F14" s="11" t="s">
        <v>313</v>
      </c>
    </row>
    <row r="15" ht="15">
      <c r="A15" s="11" t="s">
        <v>285</v>
      </c>
      <c r="B15" s="11" t="s">
        <v>286</v>
      </c>
      <c r="C15" s="11" t="s">
        <v>287</v>
      </c>
      <c r="D15" s="11" t="s">
        <v>312</v>
      </c>
      <c r="E15" s="11" t="s">
        <v>292</v>
      </c>
      <c r="F15" s="11" t="s">
        <v>314</v>
      </c>
    </row>
    <row r="16" ht="15">
      <c r="A16" s="11" t="s">
        <v>285</v>
      </c>
      <c r="B16" s="11" t="s">
        <v>286</v>
      </c>
      <c r="C16" s="11" t="s">
        <v>287</v>
      </c>
      <c r="D16" s="11" t="s">
        <v>312</v>
      </c>
      <c r="E16" s="11" t="s">
        <v>295</v>
      </c>
      <c r="F16" s="11" t="s">
        <v>315</v>
      </c>
    </row>
    <row r="17" ht="15">
      <c r="A17" s="11" t="s">
        <v>285</v>
      </c>
      <c r="B17" s="11" t="s">
        <v>286</v>
      </c>
      <c r="C17" s="11" t="s">
        <v>287</v>
      </c>
      <c r="D17" s="11" t="s">
        <v>312</v>
      </c>
      <c r="E17" s="11" t="s">
        <v>316</v>
      </c>
      <c r="F17" s="11" t="s">
        <v>317</v>
      </c>
    </row>
    <row r="18" ht="15">
      <c r="A18" s="11" t="s">
        <v>285</v>
      </c>
      <c r="B18" s="11" t="s">
        <v>286</v>
      </c>
      <c r="C18" s="11" t="s">
        <v>287</v>
      </c>
      <c r="D18" s="11" t="s">
        <v>312</v>
      </c>
      <c r="E18" s="11" t="s">
        <v>318</v>
      </c>
      <c r="F18" s="11" t="s">
        <v>319</v>
      </c>
    </row>
    <row r="19" ht="15">
      <c r="A19" s="11" t="s">
        <v>285</v>
      </c>
      <c r="B19" s="11" t="s">
        <v>286</v>
      </c>
      <c r="C19" s="11" t="s">
        <v>287</v>
      </c>
      <c r="D19" s="11" t="s">
        <v>312</v>
      </c>
      <c r="E19" s="11" t="s">
        <v>320</v>
      </c>
      <c r="F19" s="11" t="s">
        <v>321</v>
      </c>
    </row>
    <row r="20" ht="15">
      <c r="A20" s="11" t="s">
        <v>285</v>
      </c>
      <c r="B20" s="11" t="s">
        <v>286</v>
      </c>
      <c r="C20" s="11" t="s">
        <v>287</v>
      </c>
      <c r="D20" s="11" t="s">
        <v>322</v>
      </c>
      <c r="E20" s="11" t="s">
        <v>292</v>
      </c>
      <c r="F20" s="11" t="s">
        <v>323</v>
      </c>
    </row>
    <row r="21" ht="15">
      <c r="A21" s="11" t="s">
        <v>285</v>
      </c>
      <c r="B21" s="11" t="s">
        <v>286</v>
      </c>
      <c r="C21" s="11" t="s">
        <v>287</v>
      </c>
      <c r="D21" s="11" t="s">
        <v>322</v>
      </c>
      <c r="E21" s="11" t="s">
        <v>295</v>
      </c>
      <c r="F21" s="11" t="s">
        <v>324</v>
      </c>
    </row>
    <row r="22" ht="15">
      <c r="A22" s="11" t="s">
        <v>285</v>
      </c>
      <c r="B22" s="11" t="s">
        <v>286</v>
      </c>
      <c r="C22" s="11" t="s">
        <v>287</v>
      </c>
      <c r="D22" s="11" t="s">
        <v>322</v>
      </c>
      <c r="E22" s="11" t="s">
        <v>298</v>
      </c>
      <c r="F22" s="11" t="s">
        <v>325</v>
      </c>
    </row>
    <row r="23" ht="15">
      <c r="A23" s="11" t="s">
        <v>285</v>
      </c>
      <c r="B23" s="11" t="s">
        <v>286</v>
      </c>
      <c r="C23" s="11" t="s">
        <v>287</v>
      </c>
      <c r="D23" s="11" t="s">
        <v>326</v>
      </c>
      <c r="E23" s="11" t="s">
        <v>289</v>
      </c>
      <c r="F23" s="11" t="s">
        <v>327</v>
      </c>
    </row>
    <row r="24" ht="15">
      <c r="A24" s="11" t="s">
        <v>285</v>
      </c>
      <c r="B24" s="11" t="s">
        <v>286</v>
      </c>
      <c r="C24" s="11" t="s">
        <v>287</v>
      </c>
      <c r="D24" s="11" t="s">
        <v>326</v>
      </c>
      <c r="E24" s="11" t="s">
        <v>295</v>
      </c>
      <c r="F24" s="11" t="s">
        <v>328</v>
      </c>
    </row>
    <row r="25" ht="15">
      <c r="A25" s="11" t="s">
        <v>285</v>
      </c>
      <c r="B25" s="11" t="s">
        <v>329</v>
      </c>
      <c r="D25" s="11" t="s">
        <v>330</v>
      </c>
      <c r="E25" s="11" t="s">
        <v>295</v>
      </c>
      <c r="F25" s="11" t="s">
        <v>331</v>
      </c>
    </row>
    <row r="26" ht="15">
      <c r="A26" s="11" t="s">
        <v>285</v>
      </c>
      <c r="B26" s="11" t="s">
        <v>329</v>
      </c>
      <c r="D26" s="11" t="s">
        <v>330</v>
      </c>
      <c r="E26" s="11" t="s">
        <v>298</v>
      </c>
      <c r="F26" s="11" t="s">
        <v>332</v>
      </c>
    </row>
    <row r="27" ht="55.200000000000003">
      <c r="A27" s="11" t="s">
        <v>333</v>
      </c>
      <c r="B27" s="12" t="s">
        <v>334</v>
      </c>
      <c r="C27" s="12" t="s">
        <v>335</v>
      </c>
      <c r="E27" s="11" t="s">
        <v>336</v>
      </c>
      <c r="F27" s="11" t="s">
        <v>337</v>
      </c>
    </row>
    <row r="28" ht="55.200000000000003">
      <c r="A28" s="11" t="s">
        <v>338</v>
      </c>
      <c r="B28" s="12" t="s">
        <v>339</v>
      </c>
      <c r="E28" s="11" t="s">
        <v>340</v>
      </c>
      <c r="F28" s="11" t="s">
        <v>341</v>
      </c>
    </row>
    <row r="29" ht="55.200000000000003">
      <c r="A29" s="11" t="s">
        <v>338</v>
      </c>
      <c r="B29" s="12" t="s">
        <v>339</v>
      </c>
      <c r="E29" s="11" t="s">
        <v>342</v>
      </c>
      <c r="F29" s="11" t="s">
        <v>343</v>
      </c>
    </row>
    <row r="30" ht="28.350000000000001">
      <c r="A30" s="11" t="s">
        <v>338</v>
      </c>
      <c r="B30" s="12" t="s">
        <v>344</v>
      </c>
      <c r="E30" s="11" t="s">
        <v>345</v>
      </c>
      <c r="F30" s="11" t="s">
        <v>346</v>
      </c>
    </row>
    <row r="31" ht="55.200000000000003">
      <c r="A31" s="11" t="s">
        <v>338</v>
      </c>
      <c r="B31" s="12" t="s">
        <v>347</v>
      </c>
      <c r="E31" s="11" t="s">
        <v>348</v>
      </c>
      <c r="F31" s="11" t="s">
        <v>349</v>
      </c>
    </row>
    <row r="32" ht="68.650000000000006">
      <c r="A32" s="11" t="s">
        <v>338</v>
      </c>
      <c r="B32" s="12" t="s">
        <v>350</v>
      </c>
      <c r="E32" s="11" t="s">
        <v>351</v>
      </c>
      <c r="F32" s="11" t="s">
        <v>352</v>
      </c>
    </row>
    <row r="33" ht="68.650000000000006">
      <c r="A33" s="11" t="s">
        <v>338</v>
      </c>
      <c r="B33" s="12" t="s">
        <v>350</v>
      </c>
      <c r="E33" s="11" t="s">
        <v>353</v>
      </c>
      <c r="F33" s="11" t="s">
        <v>354</v>
      </c>
    </row>
    <row r="34" ht="68.650000000000006">
      <c r="A34" s="11" t="s">
        <v>338</v>
      </c>
      <c r="B34" s="12" t="s">
        <v>350</v>
      </c>
      <c r="E34" s="11" t="s">
        <v>355</v>
      </c>
      <c r="F34" s="11" t="s">
        <v>356</v>
      </c>
    </row>
    <row r="35" ht="68.650000000000006">
      <c r="A35" s="11" t="s">
        <v>338</v>
      </c>
      <c r="B35" s="12" t="s">
        <v>350</v>
      </c>
      <c r="E35" s="11" t="s">
        <v>357</v>
      </c>
      <c r="F35" s="11" t="s">
        <v>358</v>
      </c>
    </row>
    <row r="36" ht="68.650000000000006">
      <c r="A36" s="11" t="s">
        <v>338</v>
      </c>
      <c r="B36" s="12" t="s">
        <v>350</v>
      </c>
      <c r="E36" s="11" t="s">
        <v>359</v>
      </c>
      <c r="F36" s="11" t="s">
        <v>360</v>
      </c>
    </row>
    <row r="37" ht="68.650000000000006">
      <c r="A37" s="11" t="s">
        <v>338</v>
      </c>
      <c r="B37" s="12" t="s">
        <v>350</v>
      </c>
      <c r="E37" s="11" t="s">
        <v>361</v>
      </c>
      <c r="F37" s="11" t="s">
        <v>362</v>
      </c>
    </row>
    <row r="38" ht="68.650000000000006">
      <c r="A38" s="11" t="s">
        <v>338</v>
      </c>
      <c r="B38" s="12" t="s">
        <v>350</v>
      </c>
      <c r="E38" s="11" t="s">
        <v>363</v>
      </c>
      <c r="F38" s="11" t="s">
        <v>364</v>
      </c>
    </row>
    <row r="39" ht="68.650000000000006">
      <c r="A39" s="11" t="s">
        <v>338</v>
      </c>
      <c r="B39" s="12" t="s">
        <v>350</v>
      </c>
      <c r="E39" s="11" t="s">
        <v>365</v>
      </c>
      <c r="F39" s="11" t="s">
        <v>366</v>
      </c>
    </row>
    <row r="40" ht="68.650000000000006">
      <c r="A40" s="11" t="s">
        <v>338</v>
      </c>
      <c r="B40" s="12" t="s">
        <v>350</v>
      </c>
      <c r="E40" s="11" t="s">
        <v>367</v>
      </c>
      <c r="F40" s="11" t="s">
        <v>368</v>
      </c>
    </row>
    <row r="41" ht="68.650000000000006">
      <c r="A41" s="11" t="s">
        <v>338</v>
      </c>
      <c r="B41" s="12" t="s">
        <v>350</v>
      </c>
      <c r="E41" s="11" t="s">
        <v>369</v>
      </c>
      <c r="F41" s="11" t="s">
        <v>370</v>
      </c>
    </row>
    <row r="42" ht="68.650000000000006">
      <c r="A42" s="11" t="s">
        <v>338</v>
      </c>
      <c r="B42" s="12" t="s">
        <v>350</v>
      </c>
      <c r="E42" s="11" t="s">
        <v>371</v>
      </c>
      <c r="F42" s="11" t="s">
        <v>372</v>
      </c>
    </row>
    <row r="43" ht="68.650000000000006">
      <c r="A43" s="11" t="s">
        <v>338</v>
      </c>
      <c r="B43" s="12" t="s">
        <v>373</v>
      </c>
      <c r="E43" s="11" t="s">
        <v>374</v>
      </c>
      <c r="F43" s="11" t="s">
        <v>375</v>
      </c>
    </row>
    <row r="44" ht="68.650000000000006">
      <c r="A44" s="11" t="s">
        <v>338</v>
      </c>
      <c r="B44" s="12" t="s">
        <v>373</v>
      </c>
      <c r="E44" s="11" t="s">
        <v>376</v>
      </c>
      <c r="F44" s="11" t="s">
        <v>377</v>
      </c>
    </row>
    <row r="45" ht="68.650000000000006">
      <c r="A45" s="11" t="s">
        <v>338</v>
      </c>
      <c r="B45" s="12" t="s">
        <v>373</v>
      </c>
      <c r="E45" s="11" t="s">
        <v>378</v>
      </c>
      <c r="F45" s="11" t="s">
        <v>379</v>
      </c>
    </row>
    <row r="46" ht="216.40000000000001">
      <c r="A46" s="11" t="s">
        <v>338</v>
      </c>
      <c r="B46" s="12" t="s">
        <v>380</v>
      </c>
      <c r="C46" s="12" t="s">
        <v>381</v>
      </c>
      <c r="E46" s="11" t="s">
        <v>382</v>
      </c>
      <c r="F46" s="11" t="s">
        <v>383</v>
      </c>
    </row>
    <row r="47" ht="216.40000000000001">
      <c r="A47" s="11" t="s">
        <v>338</v>
      </c>
      <c r="B47" s="12" t="s">
        <v>380</v>
      </c>
      <c r="C47" s="11" t="s">
        <v>384</v>
      </c>
      <c r="E47" s="11" t="s">
        <v>385</v>
      </c>
      <c r="F47" s="11" t="s">
        <v>386</v>
      </c>
    </row>
    <row r="48" ht="216.40000000000001">
      <c r="A48" s="11" t="s">
        <v>338</v>
      </c>
      <c r="B48" s="12" t="s">
        <v>380</v>
      </c>
      <c r="C48" s="11" t="s">
        <v>384</v>
      </c>
      <c r="E48" s="11" t="s">
        <v>387</v>
      </c>
      <c r="F48" s="11" t="s">
        <v>388</v>
      </c>
    </row>
    <row r="49" ht="216.40000000000001">
      <c r="A49" s="11" t="s">
        <v>338</v>
      </c>
      <c r="B49" s="12" t="s">
        <v>380</v>
      </c>
      <c r="C49" s="11" t="s">
        <v>384</v>
      </c>
      <c r="E49" s="11" t="s">
        <v>389</v>
      </c>
      <c r="F49" s="11" t="s">
        <v>390</v>
      </c>
    </row>
    <row r="50" ht="216.40000000000001">
      <c r="A50" s="11" t="s">
        <v>338</v>
      </c>
      <c r="B50" s="12" t="s">
        <v>380</v>
      </c>
      <c r="C50" s="11" t="s">
        <v>384</v>
      </c>
      <c r="E50" s="11" t="s">
        <v>391</v>
      </c>
      <c r="F50" s="11" t="s">
        <v>392</v>
      </c>
    </row>
    <row r="51" ht="216.40000000000001">
      <c r="A51" s="11" t="s">
        <v>338</v>
      </c>
      <c r="B51" s="12" t="s">
        <v>380</v>
      </c>
      <c r="C51" s="11" t="s">
        <v>384</v>
      </c>
      <c r="E51" s="11" t="s">
        <v>393</v>
      </c>
      <c r="F51" s="11" t="s">
        <v>394</v>
      </c>
    </row>
    <row r="52" ht="216.40000000000001">
      <c r="A52" s="11" t="s">
        <v>338</v>
      </c>
      <c r="B52" s="12" t="s">
        <v>380</v>
      </c>
      <c r="C52" s="11" t="s">
        <v>384</v>
      </c>
      <c r="E52" s="11" t="s">
        <v>395</v>
      </c>
      <c r="F52" s="11" t="s">
        <v>396</v>
      </c>
    </row>
    <row r="53" ht="216.40000000000001">
      <c r="A53" s="11" t="s">
        <v>338</v>
      </c>
      <c r="B53" s="12" t="s">
        <v>380</v>
      </c>
      <c r="C53" s="11" t="s">
        <v>384</v>
      </c>
      <c r="E53" s="11" t="s">
        <v>397</v>
      </c>
      <c r="F53" s="11" t="s">
        <v>398</v>
      </c>
    </row>
    <row r="54" ht="216.40000000000001">
      <c r="A54" s="11" t="s">
        <v>338</v>
      </c>
      <c r="B54" s="12" t="s">
        <v>380</v>
      </c>
      <c r="C54" s="11" t="s">
        <v>384</v>
      </c>
      <c r="E54" s="11" t="s">
        <v>336</v>
      </c>
      <c r="F54" s="11" t="s">
        <v>399</v>
      </c>
    </row>
    <row r="55" ht="216.40000000000001">
      <c r="A55" s="11" t="s">
        <v>338</v>
      </c>
      <c r="B55" s="12" t="s">
        <v>380</v>
      </c>
      <c r="C55" s="11" t="s">
        <v>384</v>
      </c>
      <c r="E55" s="11" t="s">
        <v>400</v>
      </c>
      <c r="F55" s="11" t="s">
        <v>401</v>
      </c>
    </row>
    <row r="56" ht="216.40000000000001">
      <c r="A56" s="11" t="s">
        <v>338</v>
      </c>
      <c r="B56" s="12" t="s">
        <v>380</v>
      </c>
      <c r="C56" s="11" t="s">
        <v>384</v>
      </c>
      <c r="E56" s="11" t="s">
        <v>402</v>
      </c>
      <c r="F56" s="11" t="s">
        <v>403</v>
      </c>
    </row>
    <row r="57" ht="216.40000000000001">
      <c r="A57" s="11" t="s">
        <v>338</v>
      </c>
      <c r="B57" s="12" t="s">
        <v>380</v>
      </c>
      <c r="C57" s="11" t="s">
        <v>384</v>
      </c>
      <c r="E57" s="11" t="s">
        <v>404</v>
      </c>
      <c r="F57" s="11" t="s">
        <v>405</v>
      </c>
    </row>
    <row r="58" ht="216.40000000000001">
      <c r="A58" s="11" t="s">
        <v>338</v>
      </c>
      <c r="B58" s="12" t="s">
        <v>380</v>
      </c>
      <c r="C58" s="11" t="s">
        <v>384</v>
      </c>
      <c r="E58" s="11" t="s">
        <v>406</v>
      </c>
      <c r="F58" s="11" t="s">
        <v>407</v>
      </c>
    </row>
    <row r="59" ht="216.40000000000001">
      <c r="A59" s="11" t="s">
        <v>338</v>
      </c>
      <c r="B59" s="12" t="s">
        <v>380</v>
      </c>
      <c r="C59" s="11" t="s">
        <v>384</v>
      </c>
      <c r="E59" s="11" t="s">
        <v>408</v>
      </c>
      <c r="F59" s="11" t="s">
        <v>409</v>
      </c>
    </row>
    <row r="60" ht="216.40000000000001">
      <c r="A60" s="11" t="s">
        <v>338</v>
      </c>
      <c r="B60" s="12" t="s">
        <v>380</v>
      </c>
      <c r="C60" s="11" t="s">
        <v>384</v>
      </c>
      <c r="E60" s="11" t="s">
        <v>410</v>
      </c>
      <c r="F60" s="11" t="s">
        <v>411</v>
      </c>
    </row>
    <row r="61" ht="216.40000000000001">
      <c r="A61" s="11" t="s">
        <v>338</v>
      </c>
      <c r="B61" s="12" t="s">
        <v>380</v>
      </c>
      <c r="C61" s="12" t="s">
        <v>412</v>
      </c>
      <c r="E61" s="11" t="s">
        <v>413</v>
      </c>
      <c r="F61" s="11" t="s">
        <v>414</v>
      </c>
    </row>
    <row r="62" ht="216.40000000000001">
      <c r="A62" s="11" t="s">
        <v>338</v>
      </c>
      <c r="B62" s="12" t="s">
        <v>380</v>
      </c>
      <c r="C62" s="12" t="s">
        <v>412</v>
      </c>
      <c r="E62" s="11" t="s">
        <v>415</v>
      </c>
      <c r="F62" s="11" t="s">
        <v>416</v>
      </c>
    </row>
    <row r="63" ht="216.40000000000001">
      <c r="A63" s="11" t="s">
        <v>338</v>
      </c>
      <c r="B63" s="12" t="s">
        <v>380</v>
      </c>
      <c r="C63" s="12" t="s">
        <v>412</v>
      </c>
      <c r="E63" s="11" t="s">
        <v>417</v>
      </c>
      <c r="F63" s="11" t="s">
        <v>418</v>
      </c>
    </row>
    <row r="64" ht="216.40000000000001">
      <c r="A64" s="11" t="s">
        <v>338</v>
      </c>
      <c r="B64" s="12" t="s">
        <v>380</v>
      </c>
      <c r="C64" s="12" t="s">
        <v>412</v>
      </c>
      <c r="E64" s="11" t="s">
        <v>419</v>
      </c>
      <c r="F64" s="11" t="s">
        <v>420</v>
      </c>
    </row>
    <row r="65" ht="216.40000000000001">
      <c r="A65" s="11" t="s">
        <v>338</v>
      </c>
      <c r="B65" s="12" t="s">
        <v>380</v>
      </c>
      <c r="C65" s="12" t="s">
        <v>412</v>
      </c>
      <c r="E65" s="11" t="s">
        <v>421</v>
      </c>
      <c r="F65" s="11" t="s">
        <v>422</v>
      </c>
    </row>
    <row r="66" ht="216.40000000000001">
      <c r="A66" s="11" t="s">
        <v>338</v>
      </c>
      <c r="B66" s="12" t="s">
        <v>380</v>
      </c>
      <c r="C66" s="12" t="s">
        <v>412</v>
      </c>
      <c r="E66" s="11" t="s">
        <v>423</v>
      </c>
      <c r="F66" s="11" t="s">
        <v>424</v>
      </c>
    </row>
    <row r="67" ht="216.40000000000001">
      <c r="A67" s="11" t="s">
        <v>338</v>
      </c>
      <c r="B67" s="12" t="s">
        <v>380</v>
      </c>
      <c r="C67" s="12" t="s">
        <v>412</v>
      </c>
      <c r="E67" s="11" t="s">
        <v>425</v>
      </c>
      <c r="F67" s="11" t="s">
        <v>426</v>
      </c>
    </row>
    <row r="68" ht="216.40000000000001">
      <c r="A68" s="11" t="s">
        <v>338</v>
      </c>
      <c r="B68" s="12" t="s">
        <v>380</v>
      </c>
      <c r="C68" s="12" t="s">
        <v>412</v>
      </c>
      <c r="E68" s="11" t="s">
        <v>427</v>
      </c>
      <c r="F68" s="11" t="s">
        <v>428</v>
      </c>
    </row>
    <row r="69" ht="216.40000000000001">
      <c r="A69" s="11" t="s">
        <v>338</v>
      </c>
      <c r="B69" s="12" t="s">
        <v>380</v>
      </c>
      <c r="C69" s="12" t="s">
        <v>412</v>
      </c>
      <c r="E69" s="11" t="s">
        <v>429</v>
      </c>
      <c r="F69" s="11" t="s">
        <v>430</v>
      </c>
    </row>
    <row r="70" ht="216.40000000000001">
      <c r="A70" s="11" t="s">
        <v>338</v>
      </c>
      <c r="B70" s="12" t="s">
        <v>380</v>
      </c>
      <c r="C70" s="12" t="s">
        <v>412</v>
      </c>
      <c r="E70" s="11" t="s">
        <v>431</v>
      </c>
      <c r="F70" s="11" t="s">
        <v>432</v>
      </c>
    </row>
    <row r="71" ht="216.40000000000001">
      <c r="A71" s="11" t="s">
        <v>338</v>
      </c>
      <c r="B71" s="12" t="s">
        <v>380</v>
      </c>
      <c r="C71" s="12" t="s">
        <v>412</v>
      </c>
      <c r="E71" s="11" t="s">
        <v>433</v>
      </c>
      <c r="F71" s="11" t="s">
        <v>434</v>
      </c>
    </row>
    <row r="72" ht="216.40000000000001">
      <c r="A72" s="11" t="s">
        <v>338</v>
      </c>
      <c r="B72" s="12" t="s">
        <v>380</v>
      </c>
      <c r="C72" s="12" t="s">
        <v>412</v>
      </c>
      <c r="E72" s="11" t="s">
        <v>435</v>
      </c>
      <c r="F72" s="11" t="s">
        <v>436</v>
      </c>
    </row>
    <row r="73" ht="216.40000000000001">
      <c r="A73" s="11" t="s">
        <v>338</v>
      </c>
      <c r="B73" s="12" t="s">
        <v>380</v>
      </c>
      <c r="C73" s="12" t="s">
        <v>412</v>
      </c>
      <c r="E73" s="11" t="s">
        <v>437</v>
      </c>
      <c r="F73" s="11" t="s">
        <v>438</v>
      </c>
    </row>
    <row r="74" ht="216.40000000000001">
      <c r="A74" s="11" t="s">
        <v>338</v>
      </c>
      <c r="B74" s="12" t="s">
        <v>380</v>
      </c>
      <c r="C74" s="12" t="s">
        <v>412</v>
      </c>
      <c r="E74" s="11" t="s">
        <v>439</v>
      </c>
      <c r="F74" s="11" t="s">
        <v>440</v>
      </c>
    </row>
    <row r="75" ht="216.40000000000001">
      <c r="A75" s="11" t="s">
        <v>338</v>
      </c>
      <c r="B75" s="12" t="s">
        <v>380</v>
      </c>
      <c r="C75" s="12" t="s">
        <v>412</v>
      </c>
      <c r="E75" s="11" t="s">
        <v>441</v>
      </c>
      <c r="F75" s="11" t="s">
        <v>442</v>
      </c>
    </row>
    <row r="76" ht="216.40000000000001">
      <c r="A76" s="11" t="s">
        <v>338</v>
      </c>
      <c r="B76" s="12" t="s">
        <v>380</v>
      </c>
      <c r="C76" s="12" t="s">
        <v>412</v>
      </c>
      <c r="E76" s="11" t="s">
        <v>443</v>
      </c>
      <c r="F76" s="11" t="s">
        <v>444</v>
      </c>
    </row>
    <row r="77" ht="216.40000000000001">
      <c r="A77" s="11" t="s">
        <v>338</v>
      </c>
      <c r="B77" s="12" t="s">
        <v>380</v>
      </c>
      <c r="C77" s="12" t="s">
        <v>412</v>
      </c>
      <c r="E77" s="11" t="s">
        <v>445</v>
      </c>
      <c r="F77" s="11" t="s">
        <v>446</v>
      </c>
    </row>
    <row r="78" ht="216.40000000000001">
      <c r="A78" s="11" t="s">
        <v>338</v>
      </c>
      <c r="B78" s="12" t="s">
        <v>380</v>
      </c>
      <c r="C78" s="12" t="s">
        <v>447</v>
      </c>
      <c r="E78" s="11" t="s">
        <v>448</v>
      </c>
      <c r="F78" s="26" t="s">
        <v>449</v>
      </c>
    </row>
    <row r="79" ht="216.40000000000001">
      <c r="A79" s="11" t="s">
        <v>338</v>
      </c>
      <c r="B79" s="12" t="s">
        <v>380</v>
      </c>
      <c r="C79" s="12" t="s">
        <v>447</v>
      </c>
      <c r="E79" s="11" t="s">
        <v>450</v>
      </c>
      <c r="F79" s="11" t="s">
        <v>451</v>
      </c>
    </row>
    <row r="80" ht="216.40000000000001">
      <c r="A80" s="11" t="s">
        <v>338</v>
      </c>
      <c r="B80" s="12" t="s">
        <v>380</v>
      </c>
      <c r="C80" s="12" t="s">
        <v>452</v>
      </c>
      <c r="E80" s="11" t="s">
        <v>453</v>
      </c>
      <c r="F80" s="11" t="s">
        <v>454</v>
      </c>
    </row>
    <row r="81" ht="162.65000000000001">
      <c r="A81" s="11" t="s">
        <v>338</v>
      </c>
      <c r="B81" s="11" t="s">
        <v>455</v>
      </c>
      <c r="C81" s="12" t="s">
        <v>456</v>
      </c>
      <c r="E81" s="11" t="s">
        <v>457</v>
      </c>
      <c r="F81" s="11" t="s">
        <v>458</v>
      </c>
    </row>
    <row r="82" ht="15">
      <c r="A82" s="11" t="s">
        <v>338</v>
      </c>
      <c r="B82" s="11" t="s">
        <v>455</v>
      </c>
      <c r="C82" s="11" t="s">
        <v>459</v>
      </c>
      <c r="E82" s="11" t="s">
        <v>460</v>
      </c>
      <c r="F82" s="11" t="s">
        <v>461</v>
      </c>
    </row>
    <row r="83" ht="108.95">
      <c r="A83" s="11" t="s">
        <v>338</v>
      </c>
      <c r="B83" s="12" t="s">
        <v>462</v>
      </c>
      <c r="E83" s="11" t="s">
        <v>463</v>
      </c>
      <c r="F83" s="11" t="s">
        <v>464</v>
      </c>
    </row>
    <row r="84" ht="108.95">
      <c r="A84" s="11" t="s">
        <v>338</v>
      </c>
      <c r="B84" s="12" t="s">
        <v>462</v>
      </c>
      <c r="E84" s="11" t="s">
        <v>465</v>
      </c>
      <c r="F84" s="11" t="s">
        <v>466</v>
      </c>
    </row>
    <row r="85" ht="55.200000000000003">
      <c r="A85" s="11" t="s">
        <v>467</v>
      </c>
      <c r="B85" s="12" t="s">
        <v>339</v>
      </c>
      <c r="E85" s="11" t="s">
        <v>340</v>
      </c>
      <c r="F85" s="11" t="s">
        <v>468</v>
      </c>
    </row>
    <row r="86" ht="95.5">
      <c r="A86" s="11" t="s">
        <v>467</v>
      </c>
      <c r="B86" s="12" t="s">
        <v>469</v>
      </c>
      <c r="C86" s="12" t="s">
        <v>470</v>
      </c>
      <c r="E86" s="11" t="s">
        <v>423</v>
      </c>
      <c r="F86" s="11" t="s">
        <v>471</v>
      </c>
    </row>
    <row r="87" ht="15">
      <c r="A87" s="11" t="s">
        <v>472</v>
      </c>
      <c r="B87" s="11" t="s">
        <v>473</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ONLYOFFICE/10.0.0.169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revision>22</cp:revision>
  <dcterms:created xsi:type="dcterms:W3CDTF">2026-10-20T02:06:18Z</dcterms:created>
  <dcterms:modified xsi:type="dcterms:W3CDTF">2026-10-29T03:33:07Z</dcterms:modified>
</cp:coreProperties>
</file>