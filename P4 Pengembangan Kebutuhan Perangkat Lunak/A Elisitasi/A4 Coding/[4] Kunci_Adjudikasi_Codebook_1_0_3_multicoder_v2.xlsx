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Petunjuk" sheetId="1" state="visible" r:id="rId1"/>
    <sheet name="Kunci Adjudikasi" sheetId="2" state="visible" r:id="rId2"/>
    <sheet name="Reliabilitas" sheetId="3" state="visible" r:id="rId3"/>
    <sheet name="Ringkasan Final" sheetId="4" state="visible" r:id="rId4"/>
    <sheet name="Hitung" sheetId="5" state="visible" r:id="rId5"/>
    <sheet name="Daftar Kode" sheetId="6" state="visible" r:id="rId6"/>
    <sheet name="Korpus" sheetId="7" state="visible" r:id="rId7"/>
  </sheets>
  <definedNames>
    <definedName name="_xlnm._FilterDatabase" localSheetId="1" hidden="1">'Kunci Adjudikasi'!$A$4:$BK$89</definedName>
    <definedName name="_xlnm._FilterDatabase" localSheetId="1" hidden="1">'Kunci Adjudikasi'!$A$4:$BK$89</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<sst xmlns="http://schemas.openxmlformats.org/spreadsheetml/2006/main" count="533" uniqueCount="533">
  <si>
    <t xml:space="preserve">File Kunci Adjudikasi: Analisis Isi Krippendorff</t>
  </si>
  <si>
    <t xml:space="preserve">Codebook versi 1.0.3 (25 Oktober 2026). Hanya untuk peneliti utama (adjudikator). Jangan dibagikan kepada coder.</t>
  </si>
  <si>
    <t xml:space="preserve">Alur kerja</t>
  </si>
  <si>
    <t>1</t>
  </si>
  <si>
    <t xml:space="preserve">Korpus sudah terisi di sheet Korpus (A1:F87) dari Korpus_Codebook_1.xlsx; tempel ulang bila korpus berubah. Kolom Dokumen, Rujukan, BAB, Bagian, dan Isi pada Kunci Adjudikasi terisi otomatis.</t>
  </si>
  <si>
    <t>2</t>
  </si>
  <si>
    <t xml:space="preserve">Pilih jumlah coder yang dinilai pada sel D1 sheet Kunci Adjudikasi (2 coder: A dan B; 3 coder: A, B, dan C; 4 coder: A sampai D). Setelah coder selesai, salin nilai V4 sampai V9 dari kolom F sampai K lembar coding masing-masing (baris 2 sampai 86) ke blok coder mulai baris 5: Coder A (M sampai R), Coder B (S sampai X), Coder C (Y sampai AD), dan Coder D (AE sampai AJ). Tempel sebagai nilai (Paste Values); nilai berformat Kode - Label ditempel apa adanya. Urutan baris sama, ID_Unit 2 sampai 86.</t>
  </si>
  <si>
    <t>3</t>
  </si>
  <si>
    <t xml:space="preserve">Kolom AK sampai AP menandai Sama (semua coder aktif identik) atau Beda per variabel. Sheet Reliabilitas menghitung Krippendorff alpha dari data sebelum rekonsiliasi; sheet Hitung adalah sheet bantu perhitungan dan tidak perlu diedit.</t>
  </si>
  <si>
    <t>4</t>
  </si>
  <si>
    <t xml:space="preserve">Setelah α dilaporkan, selesaikan setiap perbedaan melalui diskusi, isi Keputusan Adjudikator (AR sampai AW) hanya pada variabel yang berbeda, dan tulis alasannya di BD.</t>
  </si>
  <si>
    <t>5</t>
  </si>
  <si>
    <t xml:space="preserve">Kode Final (AX sampai BC) = keputusan adjudikator bila ada, selain itu kode yang disepakati semua coder aktif. Kolom BF memeriksa aturan konsistensi (Bagian 9) pada kode final. Sheet Ringkasan Final merangkum kemajuan adjudikasi, perbedaan per variabel, kecocokan coder dengan acuan, dan sebaran Kode Final.</t>
  </si>
  <si>
    <t>6</t>
  </si>
  <si>
    <t xml:space="preserve">Kode Acuan Peneliti (G sampai L) terisi untuk 11 contoh pada Bagian 10 codebook (baris 2, 15, 22, 28, 32, 49, 55, 62, 67, 83, 86). Kolom BG sampai BJ membandingkan jawaban tiap coder dengan acuan pada baris-baris itu (Ya bila 6 dari 6 variabel cocok); kolom ini tidak dihitung dalam α. Isi baris lain bila peneliti ingin menyimpan kunci sendiri.</t>
  </si>
  <si>
    <t xml:space="preserve">Catatan metode</t>
  </si>
  <si>
    <t>α</t>
  </si>
  <si>
    <t xml:space="preserve">Dihitung dari data coder aktif (2, 3, atau 4 coder): V4, V6, V7, V8, V9 nominal dan V5 ordinal (Bagian 12.1). Unit yang memiliki sedikitnya dua nilai dari coder aktif ikut dihitung; sel kosong dianggap data hilang. Hasil paling andal bila semua coder aktif mengisi semua unit.</t>
  </si>
  <si>
    <t xml:space="preserve">Selang kepercayaan</t>
  </si>
  <si>
    <t xml:space="preserve">Selang kepercayaan bootstrap belum dihitung di Excel. Hitung dengan paket krippendorff (Python) atau kripp.alpha pada paket irr (R) dari data yang sama.</t>
  </si>
  <si>
    <t>Kriteria</t>
  </si>
  <si>
    <t xml:space="preserve">α ≥ 0,800 dapat diterima; 0,667 ≤ α &lt; 0,800 hanya untuk kesimpulan tentatif; α &lt; 0,667 revisi variabel dan kodekan ulang.</t>
  </si>
  <si>
    <t>Warna</t>
  </si>
  <si>
    <t xml:space="preserve">Kuning: sel input. Biru muda: Coder A. Oranye muda: Coder B. Ungu muda: Coder C. Tosca muda: Coder D. Hijau muda: kunci peneliti dan kode final. Abu-abu: blok coder yang tidak aktif pada pilihan jumlah coder.</t>
  </si>
  <si>
    <t xml:space="preserve">Kunci Adjudikasi</t>
  </si>
  <si>
    <t xml:space="preserve">Jumlah coder dinilai:</t>
  </si>
  <si>
    <t xml:space="preserve">2 coder</t>
  </si>
  <si>
    <t xml:space="preserve">Isi V4 sampai V9 setiap coder (A, B, C, D). Pilih jumlah coder pada D1: 2 coder (A, B), 3 coder (A, B, C), atau 4 coder (A sampai D). Hanya coder aktif yang dihitung; blok coder tidak aktif berwarna abu-abu.</t>
  </si>
  <si>
    <t xml:space="preserve">Identitas dan teks (dari Korpus)</t>
  </si>
  <si>
    <t xml:space="preserve">Kode Acuan Peneliti (Bagian 10)</t>
  </si>
  <si>
    <t>Fenny</t>
  </si>
  <si>
    <t xml:space="preserve">Coder B</t>
  </si>
  <si>
    <t xml:space="preserve">Coder C (aktif bila 3 atau 4 coder)</t>
  </si>
  <si>
    <t xml:space="preserve">Coder D (aktif bila 4 coder)</t>
  </si>
  <si>
    <t xml:space="preserve">Sama / Beda</t>
  </si>
  <si>
    <t>Beda</t>
  </si>
  <si>
    <t xml:space="preserve">Keputusan Adjudikator</t>
  </si>
  <si>
    <t xml:space="preserve">Kode Final</t>
  </si>
  <si>
    <t>Catatan</t>
  </si>
  <si>
    <t>Status</t>
  </si>
  <si>
    <t>Cek</t>
  </si>
  <si>
    <t xml:space="preserve">Cocok dengan acuan? (hanya baris yang berkode acuan)</t>
  </si>
  <si>
    <t xml:space="preserve">V1 ID_Unit</t>
  </si>
  <si>
    <t>Dokumen</t>
  </si>
  <si>
    <t>Rujukan</t>
  </si>
  <si>
    <t>BAB</t>
  </si>
  <si>
    <t>Bagian</t>
  </si>
  <si>
    <t>Isi</t>
  </si>
  <si>
    <t xml:space="preserve">V4 Acuan</t>
  </si>
  <si>
    <t xml:space="preserve">V5 Acuan</t>
  </si>
  <si>
    <t xml:space="preserve">V6 Acuan</t>
  </si>
  <si>
    <t xml:space="preserve">V7 Acuan</t>
  </si>
  <si>
    <t xml:space="preserve">V8 Acuan</t>
  </si>
  <si>
    <t xml:space="preserve">V9 Acuan</t>
  </si>
  <si>
    <t xml:space="preserve">V4 A</t>
  </si>
  <si>
    <t xml:space="preserve">V5 A</t>
  </si>
  <si>
    <t xml:space="preserve">V6 A</t>
  </si>
  <si>
    <t xml:space="preserve">V7 A</t>
  </si>
  <si>
    <t xml:space="preserve">V8 A</t>
  </si>
  <si>
    <t xml:space="preserve">V9 A</t>
  </si>
  <si>
    <t xml:space="preserve">V4 B</t>
  </si>
  <si>
    <t xml:space="preserve">V5 B</t>
  </si>
  <si>
    <t xml:space="preserve">V6 B</t>
  </si>
  <si>
    <t xml:space="preserve">V7 B</t>
  </si>
  <si>
    <t xml:space="preserve">V8 B</t>
  </si>
  <si>
    <t xml:space="preserve">V9 B</t>
  </si>
  <si>
    <t xml:space="preserve">V4 C</t>
  </si>
  <si>
    <t xml:space="preserve">V5 C</t>
  </si>
  <si>
    <t xml:space="preserve">V6 C</t>
  </si>
  <si>
    <t xml:space="preserve">V7 C</t>
  </si>
  <si>
    <t xml:space="preserve">V8 C</t>
  </si>
  <si>
    <t xml:space="preserve">V9 C</t>
  </si>
  <si>
    <t xml:space="preserve">V4 D</t>
  </si>
  <si>
    <t xml:space="preserve">V5 D</t>
  </si>
  <si>
    <t xml:space="preserve">V6 D</t>
  </si>
  <si>
    <t xml:space="preserve">V7 D</t>
  </si>
  <si>
    <t xml:space="preserve">V8 D</t>
  </si>
  <si>
    <t xml:space="preserve">V9 D</t>
  </si>
  <si>
    <t>V4</t>
  </si>
  <si>
    <t>V5</t>
  </si>
  <si>
    <t>V6</t>
  </si>
  <si>
    <t>V7</t>
  </si>
  <si>
    <t>V8</t>
  </si>
  <si>
    <t>V9</t>
  </si>
  <si>
    <t xml:space="preserve">Jumlah Beda</t>
  </si>
  <si>
    <t xml:space="preserve">V4 Keputusan</t>
  </si>
  <si>
    <t xml:space="preserve">V5 Keputusan</t>
  </si>
  <si>
    <t xml:space="preserve">V6 Keputusan</t>
  </si>
  <si>
    <t xml:space="preserve">V7 Keputusan</t>
  </si>
  <si>
    <t xml:space="preserve">V8 Keputusan</t>
  </si>
  <si>
    <t xml:space="preserve">V9 Keputusan</t>
  </si>
  <si>
    <t xml:space="preserve">V4 Final</t>
  </si>
  <si>
    <t xml:space="preserve">V5 Final</t>
  </si>
  <si>
    <t xml:space="preserve">V6 Final</t>
  </si>
  <si>
    <t xml:space="preserve">V7 Final</t>
  </si>
  <si>
    <t xml:space="preserve">V8 Final</t>
  </si>
  <si>
    <t xml:space="preserve">V9 Final</t>
  </si>
  <si>
    <t xml:space="preserve">Alasan Adjudikasi</t>
  </si>
  <si>
    <t xml:space="preserve">Cek Konsistensi Final</t>
  </si>
  <si>
    <t xml:space="preserve">Cocok acuan A</t>
  </si>
  <si>
    <t xml:space="preserve">Cocok acuan B</t>
  </si>
  <si>
    <t xml:space="preserve">Cocok acuan C</t>
  </si>
  <si>
    <t xml:space="preserve">Cocok acuan D</t>
  </si>
  <si>
    <t>Pilot</t>
  </si>
  <si>
    <t xml:space="preserve">S9 - Tidak ada subjek perorangan atau organisasi eksplisit</t>
  </si>
  <si>
    <t xml:space="preserve">R1 - Relevan tidak langsung</t>
  </si>
  <si>
    <t xml:space="preserve">T02 - Latar Normatif dan Rujukan Non-operasional</t>
  </si>
  <si>
    <t xml:space="preserve">P8 - Deskriptif, argumentatif, dan rujukan</t>
  </si>
  <si>
    <t xml:space="preserve">F8 - Lintas tahap atau tidak spesifik</t>
  </si>
  <si>
    <t xml:space="preserve">K5 - Tidak menghasilkan kebutuhan. Apakah teks benar-benar tidak dapat diterjemahkan menjadi kalimat "Sistem harus/tidak boleh …"?</t>
  </si>
  <si>
    <t xml:space="preserve">S4 - Subjek Data Pribadi</t>
  </si>
  <si>
    <t xml:space="preserve">R2 - Relevan langsung</t>
  </si>
  <si>
    <t xml:space="preserve">T07 - Hak Subjek Data Pribadi</t>
  </si>
  <si>
    <t xml:space="preserve">P3 - Hak</t>
  </si>
  <si>
    <t xml:space="preserve">F4 - Penyimpanan dan pengamanan</t>
  </si>
  <si>
    <t xml:space="preserve">K2 - Non-fungsional: mutu data, kepatuhan, dan akuntabilitas. Apakah ini mutu atau bukti yang berlaku untuk seluruh sistem, bukan hanya satu operasi?</t>
  </si>
  <si>
    <t>CC</t>
  </si>
  <si>
    <t xml:space="preserve">S5 - Setiap Orang atau pihak umum</t>
  </si>
  <si>
    <t xml:space="preserve">K4 - Batasan atau aturan bisnis hukum. Apakah teks membatasi apa yang boleh dilakukan sistem, atau apa dan siapa yang tercakup?</t>
  </si>
  <si>
    <t>Ya</t>
  </si>
  <si>
    <t xml:space="preserve">R0 - Tidak relevan</t>
  </si>
  <si>
    <t xml:space="preserve">S6 - Instansi atau Badan Publik</t>
  </si>
  <si>
    <t xml:space="preserve">T14 - Akses dan Pemanfaatan Data Pemerintah</t>
  </si>
  <si>
    <t xml:space="preserve">P6 - Definisi, klasifikasi, atau ruang lingkup</t>
  </si>
  <si>
    <t xml:space="preserve">F3 - Pengolahan dan analisis</t>
  </si>
  <si>
    <t xml:space="preserve">K1 - Non-fungsional: keamanan dan kerahasiaan. Apakah inti teks melindungi data dari akses atau gangguan tidak sah?</t>
  </si>
  <si>
    <t xml:space="preserve">S8 - Penyelenggara sektor atau pihak lain</t>
  </si>
  <si>
    <t xml:space="preserve">T13 - Akuntabilitas, Pencatatan, dan Tata Kelola Kepatuhan</t>
  </si>
  <si>
    <t xml:space="preserve">P2 - Kewajiban</t>
  </si>
  <si>
    <t xml:space="preserve">T11 - Keamanan, Kerahasiaan, dan Penanganan Insiden</t>
  </si>
  <si>
    <t xml:space="preserve">F6 - Retensi dan penghapusan</t>
  </si>
  <si>
    <t xml:space="preserve">S2 - Pengendali Data Pribadi</t>
  </si>
  <si>
    <t xml:space="preserve">F2 - Pengumpulan atau akuisisi</t>
  </si>
  <si>
    <t xml:space="preserve">T01 - Definisi, Istilah, dan Ruang Lingkup</t>
  </si>
  <si>
    <t xml:space="preserve">F7 - Tata kelola dan hak subjek</t>
  </si>
  <si>
    <t xml:space="preserve">K3 - Fungsional. Dapatkah ditulis "Sistem harus [melakukan X]" dengan hasil hanya lulus atau gagal?</t>
  </si>
  <si>
    <t xml:space="preserve">S3 - Prosesor Data Pribadi</t>
  </si>
  <si>
    <t xml:space="preserve">T08 - Retensi, Penghentian, Penghapusan, dan Pemusnahan</t>
  </si>
  <si>
    <t xml:space="preserve">P7 - Asas, prinsip, atau tujuan umum</t>
  </si>
  <si>
    <t xml:space="preserve">F1 - Perencanaan dan dasar pemrosesan</t>
  </si>
  <si>
    <t xml:space="preserve">T16 - Aktivitas Pemrosesan dan Pengumpulan</t>
  </si>
  <si>
    <t xml:space="preserve">T09 - Dasar Pemrosesan dan Persetujuan</t>
  </si>
  <si>
    <t xml:space="preserve">P5 - Kebolehan atau kewenangan</t>
  </si>
  <si>
    <t xml:space="preserve">T06 - Data Pribadi Anak dan Kelompok Rentan</t>
  </si>
  <si>
    <t xml:space="preserve">T15 - Asas dan Prinsip Pemrosesan</t>
  </si>
  <si>
    <t xml:space="preserve">T12 - Kualitas, Akurasi, dan Pembaruan Data</t>
  </si>
  <si>
    <t xml:space="preserve">T10 - Transfer dan Pengalihan Data</t>
  </si>
  <si>
    <t xml:space="preserve">T03 - Larangan dan Perbuatan Melawan Hukum</t>
  </si>
  <si>
    <t xml:space="preserve">P1 - Larangan</t>
  </si>
  <si>
    <t xml:space="preserve">Reliabilitas: Krippendorff alpha (sebelum rekonsiliasi)</t>
  </si>
  <si>
    <t xml:space="preserve">Dihitung dari blok coder aktif pada sheet Kunci Adjudikasi (jumlah coder dipilih pada sel D1 sheet tersebut: 2, 3, atau 4 coder). Unit dengan sedikitnya dua nilai dari coder aktif ikut dihitung; sel kosong dianggap data hilang.</t>
  </si>
  <si>
    <t>Variabel</t>
  </si>
  <si>
    <t>Tipe</t>
  </si>
  <si>
    <t xml:space="preserve">Unit berpasangan (N)</t>
  </si>
  <si>
    <t xml:space="preserve">Unit berbeda</t>
  </si>
  <si>
    <t xml:space="preserve">Nilai total (n)</t>
  </si>
  <si>
    <t xml:space="preserve">Interpretasi (Bagian 12.1)</t>
  </si>
  <si>
    <t xml:space="preserve">V4 Subjek_Norma</t>
  </si>
  <si>
    <t>Nominal</t>
  </si>
  <si>
    <t xml:space="preserve">V5 Relevansi</t>
  </si>
  <si>
    <t>Ordinal</t>
  </si>
  <si>
    <t xml:space="preserve">V6 Tema_Utama</t>
  </si>
  <si>
    <t xml:space="preserve">V7 Jenis_Pernyataan</t>
  </si>
  <si>
    <t xml:space="preserve">V8 Tahap_Scraping</t>
  </si>
  <si>
    <t xml:space="preserve">V9 Kebutuhan_SRS</t>
  </si>
  <si>
    <t xml:space="preserve">Catatan: α dihitung ulang otomatis setiap data coder ditempel atau jumlah coder diubah. Jika semua nilai satu variabel identik pada semua coder aktif dan hanya satu kategori terpakai, α tidak terdefinisi (n/a).</t>
  </si>
  <si>
    <t xml:space="preserve">Rincian V4 Subjek_Norma</t>
  </si>
  <si>
    <t>Kategori</t>
  </si>
  <si>
    <t xml:space="preserve">n kode (coder aktif)</t>
  </si>
  <si>
    <t>n²</t>
  </si>
  <si>
    <t>S1</t>
  </si>
  <si>
    <t>S2</t>
  </si>
  <si>
    <t>S3</t>
  </si>
  <si>
    <t>S4</t>
  </si>
  <si>
    <t>S5</t>
  </si>
  <si>
    <t>S6</t>
  </si>
  <si>
    <t>S7</t>
  </si>
  <si>
    <t>S8</t>
  </si>
  <si>
    <t>S9</t>
  </si>
  <si>
    <t xml:space="preserve">Rincian V5 Relevansi</t>
  </si>
  <si>
    <t xml:space="preserve">Nilai kumulatif</t>
  </si>
  <si>
    <t>R0</t>
  </si>
  <si>
    <t>R1</t>
  </si>
  <si>
    <t>R2</t>
  </si>
  <si>
    <t>Pasangan</t>
  </si>
  <si>
    <t xml:space="preserve">Koinsidensi berbeda (o)</t>
  </si>
  <si>
    <t>δ²</t>
  </si>
  <si>
    <t>n_c·n_k·δ²</t>
  </si>
  <si>
    <t>R0-R1</t>
  </si>
  <si>
    <t>R1-R2</t>
  </si>
  <si>
    <t>R0-R2</t>
  </si>
  <si>
    <t xml:space="preserve">Rincian V6 Tema_Utama</t>
  </si>
  <si>
    <t>T01</t>
  </si>
  <si>
    <t>T02</t>
  </si>
  <si>
    <t>T03</t>
  </si>
  <si>
    <t>T04</t>
  </si>
  <si>
    <t>T05</t>
  </si>
  <si>
    <t>T06</t>
  </si>
  <si>
    <t>T07</t>
  </si>
  <si>
    <t>T08</t>
  </si>
  <si>
    <t>T09</t>
  </si>
  <si>
    <t>T10</t>
  </si>
  <si>
    <t>T11</t>
  </si>
  <si>
    <t>T12</t>
  </si>
  <si>
    <t>T13</t>
  </si>
  <si>
    <t>T14</t>
  </si>
  <si>
    <t>T15</t>
  </si>
  <si>
    <t>T16</t>
  </si>
  <si>
    <t>T99</t>
  </si>
  <si>
    <t xml:space="preserve">Rincian V7 Jenis_Pernyataan</t>
  </si>
  <si>
    <t>P1</t>
  </si>
  <si>
    <t>P2</t>
  </si>
  <si>
    <t>P3</t>
  </si>
  <si>
    <t>P4</t>
  </si>
  <si>
    <t>P5</t>
  </si>
  <si>
    <t>P6</t>
  </si>
  <si>
    <t>P7</t>
  </si>
  <si>
    <t>P8</t>
  </si>
  <si>
    <t xml:space="preserve">Rincian V8 Tahap_Scraping</t>
  </si>
  <si>
    <t>F1</t>
  </si>
  <si>
    <t>F2</t>
  </si>
  <si>
    <t>F3</t>
  </si>
  <si>
    <t>F4</t>
  </si>
  <si>
    <t>F5</t>
  </si>
  <si>
    <t>F6</t>
  </si>
  <si>
    <t>F7</t>
  </si>
  <si>
    <t>F8</t>
  </si>
  <si>
    <t xml:space="preserve">Rincian V9 Kebutuhan_SRS</t>
  </si>
  <si>
    <t>K1</t>
  </si>
  <si>
    <t>K2</t>
  </si>
  <si>
    <t>K3</t>
  </si>
  <si>
    <t>K4</t>
  </si>
  <si>
    <t>K5</t>
  </si>
  <si>
    <t xml:space="preserve">Ringkasan Final: hasil sesudah rekonsiliasi</t>
  </si>
  <si>
    <t xml:space="preserve">Dihitung dari Kode Final (kolom AX sampai BC), Status, dan blok coder aktif pada Kunci Adjudikasi. α tidak dihitung ulang di sini: rekonsiliasi menghapus perbedaan antar-coder, sehingga α yang dilaporkan tetap α sebelum rekonsiliasi (sheet Reliabilitas).</t>
  </si>
  <si>
    <t xml:space="preserve">1. Kemajuan adjudikasi</t>
  </si>
  <si>
    <t>Indikator</t>
  </si>
  <si>
    <t xml:space="preserve">Jumlah unit</t>
  </si>
  <si>
    <t xml:space="preserve">% dari semua unit</t>
  </si>
  <si>
    <t xml:space="preserve">Jumlah unit (ID_Unit)</t>
  </si>
  <si>
    <t xml:space="preserve">Menunggu coder</t>
  </si>
  <si>
    <t xml:space="preserve">Sepakat (tanpa adjudikasi)</t>
  </si>
  <si>
    <t xml:space="preserve">Perlu adjudikasi</t>
  </si>
  <si>
    <t xml:space="preserve">Selesai adjudikasi</t>
  </si>
  <si>
    <t xml:space="preserve">Unit dengan Kode Final lengkap (V4 sampai V9)</t>
  </si>
  <si>
    <t xml:space="preserve">Kode Final konsisten (OK)</t>
  </si>
  <si>
    <t xml:space="preserve">Pelanggaran konsistensi pada Kode Final</t>
  </si>
  <si>
    <t xml:space="preserve">2. Perbedaan antar-coder per variabel (coder aktif)</t>
  </si>
  <si>
    <t xml:space="preserve">Unit dibandingkan</t>
  </si>
  <si>
    <t xml:space="preserve">Unit beda</t>
  </si>
  <si>
    <t xml:space="preserve">% beda</t>
  </si>
  <si>
    <t xml:space="preserve">Sudah diputuskan</t>
  </si>
  <si>
    <t xml:space="preserve">Belum diputuskan</t>
  </si>
  <si>
    <t xml:space="preserve">3. Kecocokan setiap coder dengan Kode Acuan Peneliti</t>
  </si>
  <si>
    <t>Coder</t>
  </si>
  <si>
    <t xml:space="preserve">Baris acuan dibandingkan</t>
  </si>
  <si>
    <t xml:space="preserve">Cocok penuh (6/6)</t>
  </si>
  <si>
    <t xml:space="preserve">% cocok penuh</t>
  </si>
  <si>
    <t xml:space="preserve">Variabel cocok</t>
  </si>
  <si>
    <t xml:space="preserve">Variabel dibandingkan</t>
  </si>
  <si>
    <t xml:space="preserve">% variabel cocok</t>
  </si>
  <si>
    <t xml:space="preserve">Coder A</t>
  </si>
  <si>
    <t xml:space="preserve">Coder C</t>
  </si>
  <si>
    <t xml:space="preserve">Coder D</t>
  </si>
  <si>
    <t xml:space="preserve">4. Sebaran Kode Final per variabel</t>
  </si>
  <si>
    <t xml:space="preserve">Kode - Label</t>
  </si>
  <si>
    <t xml:space="preserve">% dari unit berkode final</t>
  </si>
  <si>
    <t xml:space="preserve">Total berkode final</t>
  </si>
  <si>
    <t xml:space="preserve">Hitung: sheet bantu perhitungan Krippendorff alpha</t>
  </si>
  <si>
    <t xml:space="preserve">Jangan diedit. Per unit: m = jumlah nilai dari coder aktif; w = pasangan coder berbeda dibagi (m-1). Untuk V5 juga jumlah R0/R1/R2 dan koinsidensi antarkategori.</t>
  </si>
  <si>
    <t xml:space="preserve">V4 m</t>
  </si>
  <si>
    <t xml:space="preserve">V4 w</t>
  </si>
  <si>
    <t xml:space="preserve">V5 m</t>
  </si>
  <si>
    <t xml:space="preserve">V5 w</t>
  </si>
  <si>
    <t xml:space="preserve">V6 m</t>
  </si>
  <si>
    <t xml:space="preserve">V6 w</t>
  </si>
  <si>
    <t xml:space="preserve">V7 m</t>
  </si>
  <si>
    <t xml:space="preserve">V7 w</t>
  </si>
  <si>
    <t xml:space="preserve">V8 m</t>
  </si>
  <si>
    <t xml:space="preserve">V8 w</t>
  </si>
  <si>
    <t xml:space="preserve">V9 m</t>
  </si>
  <si>
    <t xml:space="preserve">V9 w</t>
  </si>
  <si>
    <t xml:space="preserve">V5 n(R0)</t>
  </si>
  <si>
    <t xml:space="preserve">V5 n(R1)</t>
  </si>
  <si>
    <t xml:space="preserve">V5 n(R2)</t>
  </si>
  <si>
    <t xml:space="preserve">V5 o(R0-R1)</t>
  </si>
  <si>
    <t xml:space="preserve">V5 o(R1-R2)</t>
  </si>
  <si>
    <t xml:space="preserve">V5 o(R0-R2)</t>
  </si>
  <si>
    <t xml:space="preserve">Daftar kode sah (Codebook versi 1.0.3)</t>
  </si>
  <si>
    <t xml:space="preserve">Sumber: Bagian 7 codebook (7.1 sampai 7.6). Sheet ini dipakai oleh daftar pilihan (validasi data) pada Kunci Adjudikasi dan lembar coding.</t>
  </si>
  <si>
    <t>Kode</t>
  </si>
  <si>
    <t>Label</t>
  </si>
  <si>
    <t xml:space="preserve">Pengendali dan Prosesor</t>
  </si>
  <si>
    <t xml:space="preserve">Pengendali Data Pribadi</t>
  </si>
  <si>
    <t xml:space="preserve">Prosesor Data Pribadi</t>
  </si>
  <si>
    <t xml:space="preserve">Subjek Data Pribadi</t>
  </si>
  <si>
    <t xml:space="preserve">Setiap Orang atau pihak umum</t>
  </si>
  <si>
    <t xml:space="preserve">Instansi atau Badan Publik</t>
  </si>
  <si>
    <t xml:space="preserve">Otoritas Penetap atau Pengawas Kebijakan</t>
  </si>
  <si>
    <t xml:space="preserve">Penyelenggara sektor atau pihak lain</t>
  </si>
  <si>
    <t xml:space="preserve">Tidak ada subjek perorangan atau organisasi eksplisit</t>
  </si>
  <si>
    <t xml:space="preserve">Tidak relevan</t>
  </si>
  <si>
    <t xml:space="preserve">Relevan tidak langsung</t>
  </si>
  <si>
    <t xml:space="preserve">Relevan langsung</t>
  </si>
  <si>
    <t xml:space="preserve">Definisi, Istilah, dan Ruang Lingkup</t>
  </si>
  <si>
    <t xml:space="preserve">Latar Normatif dan Rujukan Non-operasional</t>
  </si>
  <si>
    <t xml:space="preserve">Larangan dan Perbuatan Melawan Hukum</t>
  </si>
  <si>
    <t xml:space="preserve">Pengecualian dan Pembatasan</t>
  </si>
  <si>
    <t xml:space="preserve">Jenis dan Klasifikasi Data Pribadi</t>
  </si>
  <si>
    <t xml:space="preserve">Data Pribadi Anak dan Kelompok Rentan</t>
  </si>
  <si>
    <t xml:space="preserve">Hak Subjek Data Pribadi</t>
  </si>
  <si>
    <t xml:space="preserve">Retensi, Penghentian, Penghapusan, dan Pemusnahan</t>
  </si>
  <si>
    <t xml:space="preserve">Dasar Pemrosesan dan Persetujuan</t>
  </si>
  <si>
    <t xml:space="preserve">Transfer dan Pengalihan Data</t>
  </si>
  <si>
    <t xml:space="preserve">Keamanan, Kerahasiaan, dan Penanganan Insiden</t>
  </si>
  <si>
    <t xml:space="preserve">Kualitas, Akurasi, dan Pembaruan Data</t>
  </si>
  <si>
    <t xml:space="preserve">Akuntabilitas, Pencatatan, dan Tata Kelola Kepatuhan</t>
  </si>
  <si>
    <t xml:space="preserve">Akses dan Pemanfaatan Data Pemerintah</t>
  </si>
  <si>
    <t xml:space="preserve">Asas dan Prinsip Pemrosesan</t>
  </si>
  <si>
    <t xml:space="preserve">Aktivitas Pemrosesan dan Pengumpulan</t>
  </si>
  <si>
    <t xml:space="preserve">Lainnya (wajib jelaskan di V12)</t>
  </si>
  <si>
    <t>Larangan</t>
  </si>
  <si>
    <t>Kewajiban</t>
  </si>
  <si>
    <t>Hak</t>
  </si>
  <si>
    <t xml:space="preserve">Pengecualian atau pembatasan</t>
  </si>
  <si>
    <t xml:space="preserve">Kebolehan atau kewenangan</t>
  </si>
  <si>
    <t xml:space="preserve">Definisi, klasifikasi, atau ruang lingkup</t>
  </si>
  <si>
    <t xml:space="preserve">Asas, prinsip, atau tujuan umum</t>
  </si>
  <si>
    <t xml:space="preserve">Deskriptif, argumentatif, dan rujukan</t>
  </si>
  <si>
    <t xml:space="preserve">Perencanaan dan dasar pemrosesan</t>
  </si>
  <si>
    <t xml:space="preserve">Pengumpulan atau akuisisi</t>
  </si>
  <si>
    <t xml:space="preserve">Pengolahan dan analisis</t>
  </si>
  <si>
    <t xml:space="preserve">Penyimpanan dan pengamanan</t>
  </si>
  <si>
    <t xml:space="preserve">Penyebarluasan dan transfer</t>
  </si>
  <si>
    <t xml:space="preserve">Retensi dan penghapusan</t>
  </si>
  <si>
    <t xml:space="preserve">Tata kelola dan hak subjek</t>
  </si>
  <si>
    <t xml:space="preserve">Lintas tahap atau tidak spesifik</t>
  </si>
  <si>
    <t xml:space="preserve">Non-fungsional: keamanan dan kerahasiaan. Apakah inti teks melindungi data dari akses atau gangguan tidak sah?</t>
  </si>
  <si>
    <t xml:space="preserve">Non-fungsional: mutu data, kepatuhan, dan akuntabilitas. Apakah ini mutu atau bukti yang berlaku untuk seluruh sistem, bukan hanya satu operasi?</t>
  </si>
  <si>
    <t xml:space="preserve">Fungsional. Dapatkah ditulis "Sistem harus [melakukan X]" dengan hasil hanya lulus atau gagal?</t>
  </si>
  <si>
    <t xml:space="preserve">Batasan atau aturan bisnis hukum. Apakah teks membatasi apa yang boleh dilakukan sistem, atau apa dan siapa yang tercakup?</t>
  </si>
  <si>
    <t xml:space="preserve">Tidak menghasilkan kebutuhan. Apakah teks benar-benar tidak dapat diterjemahkan menjadi kalimat "Sistem harus/tidak boleh …"?</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</si>
  <si>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</si>
  <si>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</si>
  <si>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</si>
  <si>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</si>
  <si>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</si>
  <si>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</si>
  <si>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</si>
  <si>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</si>
  <si>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</si>
  <si>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</si>
  <si>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</si>
  <si>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</si>
  <si>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Dokumen, BAB, Bagian, Paragraf, Pasal, Isi. File ini TIDAK dibagikan kepada coder (Bagian 2.2 dan 12.2 codebook).</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</si>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</sst>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0"/>
    <numFmt numFmtId="165" formatCode="0.0%"/>
  </numFmts>
  <fonts count="12">
    <font>
      <sz val="11.000000"/>
      <color theme="1"/>
      <name val="Calibri"/>
    </font>
    <font>
      <sz val="10.000000"/>
      <name val="Arial"/>
    </font>
    <font>
      <b/>
      <sz val="14.000000"/>
      <name val="Arial"/>
    </font>
    <font>
      <i/>
      <sz val="9.000000"/>
      <color rgb="FF595959"/>
      <name val="Arial"/>
    </font>
    <font>
      <b/>
      <sz val="10.000000"/>
      <color indexed="65"/>
      <name val="Arial"/>
    </font>
    <font>
      <b/>
      <sz val="10.000000"/>
      <name val="Arial"/>
    </font>
    <font>
      <sz val="11.000000"/>
      <color theme="1"/>
      <name val="Arial"/>
    </font>
    <font>
      <sz val="9.000000"/>
      <color indexed="23"/>
      <name val="Arial"/>
    </font>
    <font>
      <b/>
      <sz val="10.000000"/>
      <color theme="0" tint="0"/>
      <name val="Arial"/>
    </font>
    <font>
      <sz val="10.000000"/>
      <color indexed="4"/>
      <name val="Arial"/>
    </font>
    <font>
      <b/>
      <sz val="11.000000"/>
      <color indexed="65"/>
      <name val="Arial"/>
    </font>
    <font>
      <sz val="10.000000"/>
      <name val="Fira Code"/>
    </font>
  </fonts>
  <fills count="13">
    <fill>
      <patternFill patternType="none"/>
    </fill>
    <fill>
      <patternFill patternType="gray125"/>
    </fill>
    <fill>
      <patternFill patternType="solid">
        <fgColor rgb="FF1F3864"/>
        <bgColor indexed="63"/>
      </patternFill>
    </fill>
    <fill>
      <patternFill patternType="solid">
        <fgColor rgb="FFFFF2CC"/>
        <bgColor rgb="FFFCE4D6"/>
      </patternFill>
    </fill>
    <fill>
      <patternFill patternType="solid">
        <fgColor rgb="FF2F5496"/>
        <bgColor rgb="FF1F3864"/>
      </patternFill>
    </fill>
    <fill>
      <patternFill patternType="solid">
        <fgColor rgb="FF7030A0"/>
        <bgColor rgb="FF7030A0"/>
      </patternFill>
    </fill>
    <fill>
      <patternFill patternType="solid">
        <fgColor rgb="FF1F7A7A"/>
        <bgColor rgb="FF1F7A7A"/>
      </patternFill>
    </fill>
    <fill>
      <patternFill patternType="solid">
        <fgColor rgb="FF1F3864"/>
        <bgColor rgb="FF1F3864"/>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
      <patternFill patternType="solid">
        <fgColor rgb="FFE4DFEC"/>
        <bgColor rgb="FFE4DFEC"/>
      </patternFill>
    </fill>
    <fill>
      <patternFill patternType="solid">
        <fgColor rgb="FFD9F2F0"/>
        <bgColor rgb="FFD9F2F0"/>
      </patternFill>
    </fill>
  </fills>
  <borders count="4">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
      <left style="none"/>
      <right style="none"/>
      <top style="thin">
        <color rgb="FFBFBFBF"/>
      </top>
      <bottom style="thin">
        <color rgb="FFBFBFBF"/>
      </bottom>
      <diagonal style="none"/>
    </border>
    <border>
      <left style="none"/>
      <right style="thin">
        <color rgb="FFBFBFBF"/>
      </right>
      <top style="thin">
        <color rgb="FFBFBFBF"/>
      </top>
      <bottom style="thin">
        <color rgb="FFBFBFBF"/>
      </bottom>
      <diagonal style="none"/>
    </border>
  </borders>
  <cellStyleXfs count="6">
    <xf fontId="0" fillId="0" borderId="0" numFmtId="0"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cellStyleXfs>
  <cellXfs count="41">
    <xf fontId="0" fillId="0" borderId="0" numFmtId="0" xfId="0" quotePrefix="0" pivotButton="0"/>
    <xf fontId="0" fillId="0" borderId="0" numFmtId="0" xfId="0" quotePrefix="0" pivotButton="0"/>
    <xf fontId="2" fillId="0" borderId="0" numFmtId="0" xfId="0" applyFont="1" quotePrefix="0" pivotButton="0"/>
    <xf fontId="3" fillId="0" borderId="0" numFmtId="0" xfId="0" applyFont="1" quotePrefix="0" pivotButton="0"/>
    <xf fontId="4" fillId="2" borderId="0" numFmtId="0" xfId="0" applyFont="1" applyFill="1" quotePrefix="0" pivotButton="0"/>
    <xf fontId="0" fillId="2" borderId="0" numFmtId="0" xfId="0" applyFill="1" quotePrefix="0" pivotButton="0"/>
    <xf fontId="5" fillId="0" borderId="0" numFmtId="0" xfId="0" applyFont="1" applyAlignment="1" quotePrefix="0" pivotButton="0">
      <alignment vertical="top"/>
    </xf>
    <xf fontId="1" fillId="0" borderId="0" numFmtId="0" xfId="0" applyFont="1" applyAlignment="1" quotePrefix="0" pivotButton="0">
      <alignment vertical="top" wrapText="1"/>
    </xf>
    <xf fontId="6" fillId="0" borderId="0" numFmtId="0" xfId="0" applyFont="1" quotePrefix="0" pivotButton="0"/>
    <xf fontId="5" fillId="0" borderId="0" numFmtId="0" xfId="0" applyFont="1" applyAlignment="1" quotePrefix="0" pivotButton="0">
      <alignment horizontal="right" vertical="center"/>
    </xf>
    <xf fontId="5" fillId="3" borderId="1" numFmtId="0" xfId="0" applyFont="1" applyFill="1" applyBorder="1" applyAlignment="1" quotePrefix="0" pivotButton="0">
      <alignment horizontal="center" vertical="center"/>
    </xf>
    <xf fontId="7" fillId="0" borderId="0" numFmtId="0" xfId="0" applyFont="1" applyAlignment="1" quotePrefix="0" pivotButton="0">
      <alignment horizontal="left" vertical="center"/>
    </xf>
    <xf fontId="4" fillId="2" borderId="1" numFmtId="0" xfId="0" applyFont="1" applyFill="1" applyBorder="1" applyAlignment="1" quotePrefix="0" pivotButton="0">
      <alignment horizontal="center" vertical="center" wrapText="1"/>
    </xf>
    <xf fontId="6" fillId="0" borderId="2" numFmtId="0" xfId="0" applyFont="1" applyBorder="1" quotePrefix="0" pivotButton="0"/>
    <xf fontId="6" fillId="0" borderId="3" numFmtId="0" xfId="0" applyFont="1" applyBorder="1" quotePrefix="0" pivotButton="0"/>
    <xf fontId="4" fillId="4" borderId="1" numFmtId="0" xfId="0" applyFont="1" applyFill="1" applyBorder="1" applyAlignment="1" quotePrefix="0" pivotButton="0">
      <alignment horizontal="center" vertical="center" wrapText="1"/>
    </xf>
    <xf fontId="4" fillId="5" borderId="1" numFmtId="0" xfId="0" applyFont="1" applyFill="1" applyBorder="1" applyAlignment="1" quotePrefix="0" pivotButton="0">
      <alignment horizontal="center" vertical="center" wrapText="1"/>
    </xf>
    <xf fontId="4" fillId="6" borderId="1" numFmtId="0" xfId="0" applyFont="1" applyFill="1" applyBorder="1" applyAlignment="1" quotePrefix="0" pivotButton="0">
      <alignment horizontal="center" vertical="center" wrapText="1"/>
    </xf>
    <xf fontId="4" fillId="7" borderId="1" numFmtId="0" xfId="0" applyFont="1" applyFill="1" applyBorder="1" applyAlignment="1" quotePrefix="0" pivotButton="0">
      <alignment horizontal="center" vertical="center" wrapText="1"/>
    </xf>
    <xf fontId="8" fillId="7" borderId="0" numFmtId="0" xfId="0" applyFont="1" applyFill="1" applyAlignment="1" quotePrefix="0" pivotButton="0">
      <alignment horizontal="center" vertical="center" wrapText="1"/>
    </xf>
    <xf fontId="1" fillId="0" borderId="1" numFmtId="0" xfId="0" applyFont="1" applyBorder="1" applyAlignment="1" quotePrefix="0" pivotButton="0">
      <alignment horizontal="center" vertical="top" wrapText="1"/>
    </xf>
    <xf fontId="1" fillId="0" borderId="1" numFmtId="0" xfId="0" applyFont="1" applyBorder="1" applyAlignment="1" quotePrefix="0" pivotButton="0">
      <alignment vertical="top" wrapText="1"/>
    </xf>
    <xf fontId="9" fillId="8" borderId="1" numFmtId="0" xfId="0" applyFont="1" applyFill="1" applyBorder="1" applyAlignment="1" quotePrefix="0" pivotButton="0">
      <alignment horizontal="center" vertical="top" wrapText="1"/>
    </xf>
    <xf fontId="9" fillId="9" borderId="1" numFmtId="0" xfId="0" applyFont="1" applyFill="1" applyBorder="1" applyAlignment="1" quotePrefix="0" pivotButton="0">
      <alignment horizontal="center" vertical="top" wrapText="1"/>
    </xf>
    <xf fontId="9" fillId="10" borderId="1" numFmtId="0" xfId="0" applyFont="1" applyFill="1" applyBorder="1" applyAlignment="1" quotePrefix="0" pivotButton="0">
      <alignment horizontal="center" vertical="top" wrapText="1"/>
    </xf>
    <xf fontId="9" fillId="11" borderId="1" numFmtId="0" xfId="0" applyFont="1" applyFill="1" applyBorder="1" applyAlignment="1" quotePrefix="0" pivotButton="0">
      <alignment horizontal="center" vertical="top" wrapText="1"/>
    </xf>
    <xf fontId="9" fillId="12" borderId="1" numFmtId="0" xfId="0" applyFont="1" applyFill="1" applyBorder="1" applyAlignment="1" quotePrefix="0" pivotButton="0">
      <alignment horizontal="center" vertical="top" wrapText="1"/>
    </xf>
    <xf fontId="9" fillId="3" borderId="1" numFmtId="0" xfId="0" applyFont="1" applyFill="1" applyBorder="1" applyAlignment="1" quotePrefix="0" pivotButton="0">
      <alignment horizontal="center" vertical="top" wrapText="1"/>
    </xf>
    <xf fontId="5" fillId="8" borderId="1" numFmtId="0" xfId="0" applyFont="1" applyFill="1" applyBorder="1" applyAlignment="1" quotePrefix="0" pivotButton="0">
      <alignment horizontal="center" vertical="top" wrapText="1"/>
    </xf>
    <xf fontId="9" fillId="3" borderId="1" numFmtId="0" xfId="0" applyFont="1" applyFill="1" applyBorder="1" applyAlignment="1" quotePrefix="0" pivotButton="0">
      <alignment vertical="top" wrapText="1"/>
    </xf>
    <xf fontId="5" fillId="0" borderId="0" numFmtId="0" xfId="0" applyFont="1" quotePrefix="0" pivotButton="0"/>
    <xf fontId="1" fillId="0" borderId="1" numFmtId="0" xfId="0" applyFont="1" applyBorder="1" quotePrefix="0" pivotButton="0"/>
    <xf fontId="1" fillId="0" borderId="1" numFmtId="0" xfId="0" applyFont="1" applyBorder="1" applyAlignment="1" quotePrefix="0" pivotButton="0">
      <alignment horizontal="center"/>
    </xf>
    <xf fontId="1" fillId="0" borderId="1" numFmtId="164" xfId="0" applyNumberFormat="1" applyFont="1" applyBorder="1" applyAlignment="1" quotePrefix="0" pivotButton="0">
      <alignment horizontal="center"/>
    </xf>
    <xf fontId="5" fillId="0" borderId="1" numFmtId="0" xfId="0" applyFont="1" applyBorder="1" quotePrefix="0" pivotButton="0"/>
    <xf fontId="1" fillId="0" borderId="1" numFmtId="165" xfId="0" applyNumberFormat="1" applyFont="1" applyBorder="1" applyAlignment="1" quotePrefix="0" pivotButton="0">
      <alignment horizontal="center"/>
    </xf>
    <xf fontId="5" fillId="0" borderId="1" numFmtId="0" xfId="0" applyFont="1" applyBorder="1" applyAlignment="1" quotePrefix="0" pivotButton="0">
      <alignment horizontal="center"/>
    </xf>
    <xf fontId="10" fillId="2" borderId="0" numFmtId="0" xfId="0" applyFont="1" applyFill="1" applyAlignment="1" quotePrefix="0" pivotButton="0">
      <alignment horizontal="center"/>
    </xf>
    <xf fontId="5" fillId="3" borderId="1" numFmtId="0" xfId="0" applyFont="1" applyFill="1" applyBorder="1" quotePrefix="0" pivotButton="0"/>
    <xf fontId="11" fillId="0" borderId="0" numFmtId="0" xfId="0" applyFont="1" quotePrefix="0" pivotButton="0"/>
    <xf fontId="11" fillId="0" borderId="0" numFmtId="0" xfId="0" applyFont="1" applyAlignment="1" quotePrefix="0" pivotButton="0">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5" workbookViewId="0">
      <selection activeCell="A1" activeCellId="0" sqref="A1"/>
    </sheetView>
  </sheetViews>
  <sheetFormatPr baseColWidth="8" defaultColWidth="8.6796875" defaultRowHeight="15"/>
  <cols>
    <col customWidth="1" min="1" max="1" style="1" width="3"/>
    <col customWidth="1" min="2" max="2" style="1" width="20"/>
    <col customWidth="1" min="3" max="3" style="1" width="120"/>
  </cols>
  <sheetData>
    <row r="1" ht="17.350000000000001" customHeight="1">
      <c r="A1" s="2" t="s">
        <v>0</v>
      </c>
    </row>
    <row r="2" ht="15" customHeight="1">
      <c r="A2" s="3" t="s">
        <v>1</v>
      </c>
    </row>
    <row r="4" ht="15" customHeight="1">
      <c r="B4" s="4" t="s">
        <v>2</v>
      </c>
      <c r="C4" s="5"/>
    </row>
    <row r="5" ht="15" customHeight="1">
      <c r="B5" s="6" t="s">
        <v>3</v>
      </c>
      <c r="C5" s="7" t="s">
        <v>4</v>
      </c>
    </row>
    <row r="6" ht="23.850000000000001" customHeight="1">
      <c r="B6" s="6" t="s">
        <v>5</v>
      </c>
      <c r="C6" s="7" t="s">
        <v>6</v>
      </c>
    </row>
    <row r="7" ht="15" customHeight="1">
      <c r="B7" s="6" t="s">
        <v>7</v>
      </c>
      <c r="C7" s="7" t="s">
        <v>8</v>
      </c>
    </row>
    <row r="8" ht="23.850000000000001" customHeight="1">
      <c r="B8" s="6" t="s">
        <v>9</v>
      </c>
      <c r="C8" s="7" t="s">
        <v>10</v>
      </c>
    </row>
    <row r="9" ht="23.850000000000001" customHeight="1">
      <c r="B9" s="6" t="s">
        <v>11</v>
      </c>
      <c r="C9" s="7" t="s">
        <v>12</v>
      </c>
    </row>
    <row r="10" ht="23.850000000000001" customHeight="1">
      <c r="B10" s="6" t="s">
        <v>13</v>
      </c>
      <c r="C10" s="7" t="s">
        <v>14</v>
      </c>
    </row>
    <row r="11" ht="15" customHeight="1">
      <c r="B11" s="4" t="s">
        <v>15</v>
      </c>
      <c r="C11" s="5"/>
    </row>
    <row r="12" ht="23.850000000000001" customHeight="1">
      <c r="B12" s="6" t="s">
        <v>16</v>
      </c>
      <c r="C12" s="7" t="s">
        <v>17</v>
      </c>
    </row>
    <row r="13" ht="23.850000000000001" customHeight="1">
      <c r="B13" s="6" t="s">
        <v>18</v>
      </c>
      <c r="C13" s="7" t="s">
        <v>19</v>
      </c>
    </row>
    <row r="14" ht="15" customHeight="1">
      <c r="B14" s="6" t="s">
        <v>20</v>
      </c>
      <c r="C14" s="7" t="s">
        <v>21</v>
      </c>
    </row>
    <row r="15" ht="15" customHeight="1">
      <c r="B15" s="6" t="s">
        <v>22</v>
      </c>
      <c r="C15" s="7" t="s">
        <v>23</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65" workbookViewId="0">
      <pane xSplit="2" ySplit="4" topLeftCell="C5" activePane="bottomRight" state="frozen"/>
      <selection activeCell="BK86" activeCellId="0" sqref="BK86"/>
    </sheetView>
  </sheetViews>
  <sheetFormatPr baseColWidth="8" defaultColWidth="8.6796875" defaultRowHeight="14.25"/>
  <cols>
    <col customWidth="1" min="1" max="1" style="8" width="9"/>
    <col customWidth="1" min="2" max="2" style="8" width="24"/>
    <col customWidth="1" min="3" max="3" style="8" width="20"/>
    <col customWidth="1" min="4" max="4" style="8" width="16"/>
    <col customWidth="1" min="5" max="5" style="8" width="13"/>
    <col customWidth="1" min="6" max="6" style="8" width="70"/>
    <col customWidth="1" min="7" max="7" style="8" width="10"/>
    <col customWidth="1" min="8" max="55" style="8" width="13"/>
    <col customWidth="1" min="56" max="56" style="8" width="40"/>
    <col customWidth="1" min="57" max="57" style="8" width="18"/>
    <col customWidth="1" min="58" max="58" style="8" width="46"/>
    <col customWidth="1" min="59" max="62" style="8" width="24"/>
    <col min="63" max="16384" style="8" width="8.6796875"/>
  </cols>
  <sheetData>
    <row r="1" ht="16.5" customHeight="1">
      <c r="A1" s="2" t="s">
        <v>24</v>
      </c>
      <c r="C1" s="9" t="s">
        <v>25</v>
      </c>
      <c r="D1" s="10" t="s">
        <v>26</v>
      </c>
      <c r="E1" s="11">
        <f>IFERROR(VALUE(LEFT(D1,1)),2)</f>
        <v>2</v>
      </c>
    </row>
    <row r="2" ht="15" customHeight="1">
      <c r="A2" s="3" t="s">
        <v>27</v>
      </c>
    </row>
    <row r="3" ht="15" customHeight="1">
      <c r="A3" s="12" t="s">
        <v>28</v>
      </c>
      <c r="B3" s="13"/>
      <c r="C3" s="13"/>
      <c r="D3" s="13"/>
      <c r="E3" s="13"/>
      <c r="F3" s="14"/>
      <c r="G3" s="15" t="s">
        <v>29</v>
      </c>
      <c r="H3" s="13"/>
      <c r="I3" s="13"/>
      <c r="J3" s="13"/>
      <c r="K3" s="13"/>
      <c r="L3" s="14"/>
      <c r="M3" s="15" t="s">
        <v>30</v>
      </c>
      <c r="N3" s="13"/>
      <c r="O3" s="13"/>
      <c r="P3" s="13"/>
      <c r="Q3" s="13"/>
      <c r="R3" s="14"/>
      <c r="S3" s="15" t="s">
        <v>31</v>
      </c>
      <c r="T3" s="13"/>
      <c r="U3" s="13"/>
      <c r="V3" s="13"/>
      <c r="W3" s="13"/>
      <c r="X3" s="14"/>
      <c r="Y3" s="16" t="s">
        <v>32</v>
      </c>
      <c r="Z3" s="13"/>
      <c r="AA3" s="13"/>
      <c r="AB3" s="13"/>
      <c r="AC3" s="13"/>
      <c r="AD3" s="14"/>
      <c r="AE3" s="17" t="s">
        <v>33</v>
      </c>
      <c r="AF3" s="13"/>
      <c r="AG3" s="13"/>
      <c r="AH3" s="13"/>
      <c r="AI3" s="13"/>
      <c r="AJ3" s="14"/>
      <c r="AK3" s="12" t="s">
        <v>34</v>
      </c>
      <c r="AL3" s="13"/>
      <c r="AM3" s="13"/>
      <c r="AN3" s="13"/>
      <c r="AO3" s="13"/>
      <c r="AP3" s="14"/>
      <c r="AQ3" s="12" t="s">
        <v>35</v>
      </c>
      <c r="AR3" s="15" t="s">
        <v>36</v>
      </c>
      <c r="AS3" s="13"/>
      <c r="AT3" s="13"/>
      <c r="AU3" s="13"/>
      <c r="AV3" s="13"/>
      <c r="AW3" s="14"/>
      <c r="AX3" s="15" t="s">
        <v>37</v>
      </c>
      <c r="AY3" s="13"/>
      <c r="AZ3" s="13"/>
      <c r="BA3" s="13"/>
      <c r="BB3" s="13"/>
      <c r="BC3" s="14"/>
      <c r="BD3" s="12" t="s">
        <v>38</v>
      </c>
      <c r="BE3" s="12" t="s">
        <v>39</v>
      </c>
      <c r="BF3" s="12" t="s">
        <v>40</v>
      </c>
      <c r="BG3" s="12" t="s">
        <v>41</v>
      </c>
      <c r="BH3" s="12"/>
      <c r="BI3" s="12"/>
      <c r="BJ3" s="12"/>
    </row>
    <row r="4" ht="31.5" customHeight="1">
      <c r="A4" s="12" t="s">
        <v>42</v>
      </c>
      <c r="B4" s="12" t="s">
        <v>43</v>
      </c>
      <c r="C4" s="12" t="s">
        <v>44</v>
      </c>
      <c r="D4" s="12" t="s">
        <v>45</v>
      </c>
      <c r="E4" s="12" t="s">
        <v>46</v>
      </c>
      <c r="F4" s="12" t="s">
        <v>47</v>
      </c>
      <c r="G4" s="12" t="s">
        <v>48</v>
      </c>
      <c r="H4" s="12" t="s">
        <v>49</v>
      </c>
      <c r="I4" s="12" t="s">
        <v>50</v>
      </c>
      <c r="J4" s="12" t="s">
        <v>51</v>
      </c>
      <c r="K4" s="12" t="s">
        <v>52</v>
      </c>
      <c r="L4" s="12" t="s">
        <v>53</v>
      </c>
      <c r="M4" s="12" t="s">
        <v>54</v>
      </c>
      <c r="N4" s="12" t="s">
        <v>55</v>
      </c>
      <c r="O4" s="12" t="s">
        <v>56</v>
      </c>
      <c r="P4" s="12" t="s">
        <v>57</v>
      </c>
      <c r="Q4" s="12" t="s">
        <v>58</v>
      </c>
      <c r="R4" s="12" t="s">
        <v>59</v>
      </c>
      <c r="S4" s="12" t="s">
        <v>60</v>
      </c>
      <c r="T4" s="12" t="s">
        <v>61</v>
      </c>
      <c r="U4" s="12" t="s">
        <v>62</v>
      </c>
      <c r="V4" s="12" t="s">
        <v>63</v>
      </c>
      <c r="W4" s="12" t="s">
        <v>64</v>
      </c>
      <c r="X4" s="12" t="s">
        <v>65</v>
      </c>
      <c r="Y4" s="12" t="s">
        <v>66</v>
      </c>
      <c r="Z4" s="12" t="s">
        <v>67</v>
      </c>
      <c r="AA4" s="12" t="s">
        <v>68</v>
      </c>
      <c r="AB4" s="12" t="s">
        <v>69</v>
      </c>
      <c r="AC4" s="12" t="s">
        <v>70</v>
      </c>
      <c r="AD4" s="12" t="s">
        <v>71</v>
      </c>
      <c r="AE4" s="12" t="s">
        <v>72</v>
      </c>
      <c r="AF4" s="12" t="s">
        <v>73</v>
      </c>
      <c r="AG4" s="12" t="s">
        <v>74</v>
      </c>
      <c r="AH4" s="12" t="s">
        <v>75</v>
      </c>
      <c r="AI4" s="12" t="s">
        <v>76</v>
      </c>
      <c r="AJ4" s="12" t="s">
        <v>77</v>
      </c>
      <c r="AK4" s="12" t="s">
        <v>78</v>
      </c>
      <c r="AL4" s="12" t="s">
        <v>79</v>
      </c>
      <c r="AM4" s="12" t="s">
        <v>80</v>
      </c>
      <c r="AN4" s="12" t="s">
        <v>81</v>
      </c>
      <c r="AO4" s="12" t="s">
        <v>82</v>
      </c>
      <c r="AP4" s="12" t="s">
        <v>83</v>
      </c>
      <c r="AQ4" s="12" t="s">
        <v>84</v>
      </c>
      <c r="AR4" s="12" t="s">
        <v>85</v>
      </c>
      <c r="AS4" s="12" t="s">
        <v>86</v>
      </c>
      <c r="AT4" s="12" t="s">
        <v>87</v>
      </c>
      <c r="AU4" s="12" t="s">
        <v>88</v>
      </c>
      <c r="AV4" s="12" t="s">
        <v>89</v>
      </c>
      <c r="AW4" s="12" t="s">
        <v>90</v>
      </c>
      <c r="AX4" s="12" t="s">
        <v>91</v>
      </c>
      <c r="AY4" s="12" t="s">
        <v>92</v>
      </c>
      <c r="AZ4" s="12" t="s">
        <v>93</v>
      </c>
      <c r="BA4" s="12" t="s">
        <v>94</v>
      </c>
      <c r="BB4" s="12" t="s">
        <v>95</v>
      </c>
      <c r="BC4" s="12" t="s">
        <v>96</v>
      </c>
      <c r="BD4" s="12" t="s">
        <v>97</v>
      </c>
      <c r="BE4" s="12" t="s">
        <v>39</v>
      </c>
      <c r="BF4" s="12" t="s">
        <v>98</v>
      </c>
      <c r="BG4" s="12" t="s">
        <v>99</v>
      </c>
      <c r="BH4" s="12" t="s">
        <v>100</v>
      </c>
      <c r="BI4" s="12" t="s">
        <v>101</v>
      </c>
      <c r="BJ4" s="18" t="s">
        <v>102</v>
      </c>
      <c r="BK4" s="19" t="s">
        <v>103</v>
      </c>
    </row>
    <row r="5" ht="48" customHeight="1">
      <c r="A5" s="20">
        <v>2</v>
      </c>
      <c r="B5" s="21" t="str">
        <f>IF(INDEX(Korpus!$A:$A,$A5)="","",INDEX(Korpus!$A:$A,$A5))</f>
        <v>2019MHN201</v>
      </c>
      <c r="C5" s="21" t="str">
        <f>TRIM(INDEX(Korpus!$D:$D,$A5)&amp;" "&amp;INDEX(Korpus!$E:$E,$A5))</f>
        <v xml:space="preserve">Paragraf 3 Kalimat 1</v>
      </c>
      <c r="D5" s="21" t="str">
        <f>IF(INDEX(Korpus!$B:$B,$A5)="","",INDEX(Korpus!$B:$B,$A5))</f>
        <v xml:space="preserve">C. Pembahasan</v>
      </c>
      <c r="E5" s="21" t="str">
        <f>IF(INDEX(Korpus!$C:$C,$A5)="","",INDEX(Korpus!$C:$C,$A5))</f>
        <v xml:space="preserve">5. Pentingnya Perlindungan Data Pribadi</v>
      </c>
      <c r="F5" s="21" t="str">
        <f>IF(INDEX(Korpus!$F:$F,$A5)="","",INDEX(Korpus!$F:$F,$A5))</f>
        <v xml:space="preserve">Melihat banyaknya kasus penyalahgunaan data pribadi, sangat penting untuk memberikan perlindungan data pribadi.</v>
      </c>
      <c r="G5" s="22" t="s">
        <v>104</v>
      </c>
      <c r="H5" s="22" t="s">
        <v>105</v>
      </c>
      <c r="I5" s="22" t="s">
        <v>106</v>
      </c>
      <c r="J5" s="22" t="s">
        <v>107</v>
      </c>
      <c r="K5" s="22" t="s">
        <v>108</v>
      </c>
      <c r="L5" s="22" t="s">
        <v>109</v>
      </c>
      <c r="M5" s="23" t="s">
        <v>110</v>
      </c>
      <c r="N5" s="23" t="s">
        <v>111</v>
      </c>
      <c r="O5" s="23" t="s">
        <v>112</v>
      </c>
      <c r="P5" s="23" t="s">
        <v>113</v>
      </c>
      <c r="Q5" s="23" t="s">
        <v>114</v>
      </c>
      <c r="R5" s="23" t="s">
        <v>115</v>
      </c>
      <c r="S5" s="24"/>
      <c r="T5" s="24"/>
      <c r="U5" s="24"/>
      <c r="V5" s="24"/>
      <c r="W5" s="24"/>
      <c r="X5" s="24"/>
      <c r="Y5" s="25"/>
      <c r="Z5" s="25"/>
      <c r="AA5" s="25"/>
      <c r="AB5" s="25"/>
      <c r="AC5" s="25"/>
      <c r="AD5" s="25"/>
      <c r="AE5" s="26"/>
      <c r="AF5" s="26"/>
      <c r="AG5" s="26"/>
      <c r="AH5" s="26"/>
      <c r="AI5" s="26"/>
      <c r="AJ5" s="26"/>
      <c r="AK5" s="20" t="str">
        <f>IF(Hitung!B5&lt;$E$1,"",IF(Hitung!C5&gt;0,"Beda","Sama"))</f>
        <v/>
      </c>
      <c r="AL5" s="20" t="str">
        <f>IF(Hitung!D5&lt;$E$1,"",IF(Hitung!E5&gt;0,"Beda","Sama"))</f>
        <v/>
      </c>
      <c r="AM5" s="20" t="str">
        <f>IF(Hitung!F5&lt;$E$1,"",IF(Hitung!G5&gt;0,"Beda","Sama"))</f>
        <v/>
      </c>
      <c r="AN5" s="20" t="str">
        <f>IF(Hitung!H5&lt;$E$1,"",IF(Hitung!I5&gt;0,"Beda","Sama"))</f>
        <v/>
      </c>
      <c r="AO5" s="20" t="str">
        <f>IF(Hitung!J5&lt;$E$1,"",IF(Hitung!K5&gt;0,"Beda","Sama"))</f>
        <v/>
      </c>
      <c r="AP5" s="20" t="str">
        <f>IF(Hitung!L5&lt;$E$1,"",IF(Hitung!M5&gt;0,"Beda","Sama"))</f>
        <v/>
      </c>
      <c r="AQ5" s="20">
        <f t="shared" ref="AQ5:AQ9" si="0">COUNTIF(AK5:AP5,"Beda")</f>
        <v>0</v>
      </c>
      <c r="AR5" s="27"/>
      <c r="AS5" s="27"/>
      <c r="AT5" s="27"/>
      <c r="AU5" s="27"/>
      <c r="AV5" s="27"/>
      <c r="AW5" s="27"/>
      <c r="AX5" s="28" t="str">
        <f>IF(AR5&lt;&gt;"",AR5,IF(AND(Hitung!B5=$E$1,Hitung!C5=0),M5,""))</f>
        <v/>
      </c>
      <c r="AY5" s="28" t="str">
        <f>IF(AS5&lt;&gt;"",AS5,IF(AND(Hitung!D5=$E$1,Hitung!E5=0),N5,""))</f>
        <v/>
      </c>
      <c r="AZ5" s="28" t="str">
        <f>IF(AT5&lt;&gt;"",AT5,IF(AND(Hitung!F5=$E$1,Hitung!G5=0),O5,""))</f>
        <v/>
      </c>
      <c r="BA5" s="28" t="str">
        <f>IF(AU5&lt;&gt;"",AU5,IF(AND(Hitung!H5=$E$1,Hitung!I5=0),P5,""))</f>
        <v/>
      </c>
      <c r="BB5" s="28" t="str">
        <f>IF(AV5&lt;&gt;"",AV5,IF(AND(Hitung!J5=$E$1,Hitung!K5=0),Q5,""))</f>
        <v/>
      </c>
      <c r="BC5" s="28" t="str">
        <f>IF(AW5&lt;&gt;"",AW5,IF(AND(Hitung!L5=$E$1,Hitung!M5=0),R5,""))</f>
        <v/>
      </c>
      <c r="BD5" s="29"/>
      <c r="BE5" s="20" t="str">
        <f t="shared" ref="BE5:BE9" si="1">IF(COUNTA(M5:R5)+COUNTA(S5:X5)+($E$1&gt;=3)*COUNTA(Y5:AD5)+($E$1&gt;=4)*COUNTA(AE5:AJ5)&lt;6*$E$1,"Menunggu coder",IF(AQ5=0,"Sepakat",IF(SUMPRODUCT((AK5:AP5="Beda")*(AR5:AW5=""))=0,"Selesai adjudikasi","Perlu adjudikasi")))</f>
        <v xml:space="preserve">Menunggu coder</v>
      </c>
      <c r="BF5" s="21" t="str">
        <f t="shared" ref="BF5:BF9" si="2">IF(COUNTIF(AX5:BC5,"?*")&lt;6,"",IF(IF(AND(LEFT(AY5,2)="R0",LEFT(BC5,2)&lt;&gt;"K5"),"R0 harus K5; ","")&amp;IF(AND(LEFT(AY5,2)="R1",LEFT(BC5,2)="K3"),"R1 tidak boleh K3 (fungsional); ","")&amp;IF(AND(LEFT(AY5,2)="R2",LEFT(BC5,2)="K5"),"R2 tidak boleh K5; ","")&amp;IF(AND(LEFT(AY5,2)="R2",OR(LEFT(AX5,2)="S6",LEFT(AX5,2)="S7",LEFT(AX5,2)="S8")),"R2 tidak boleh S6/S7/S8; ","")&amp;IF(AND(LEFT(AY5,2)="R2",OR(LEFT(AZ5,3)="T02",LEFT(BA5,2)="P8")),"T02 atau P8 tidak boleh R2; ","")&amp;IF(AND(LEFT(AZ5,3)="T01",LEFT(BA5,2)&lt;&gt;"P6"),"T01 biasanya P6 (periksa); ","")&amp;IF(AND(LEFT(BA5,2)="P1",LEFT(BC5,2)&lt;&gt;"K4"),"P1 biasanya K4 (periksa); ","")="","OK",IF(AND(LEFT(AY5,2)="R0",LEFT(BC5,2)&lt;&gt;"K5"),"R0 harus K5; ","")&amp;IF(AND(LEFT(AY5,2)="R1",LEFT(BC5,2)="K3"),"R1 tidak boleh K3 (fungsional); ","")&amp;IF(AND(LEFT(AY5,2)="R2",LEFT(BC5,2)="K5"),"R2 tidak boleh K5; ","")&amp;IF(AND(LEFT(AY5,2)="R2",OR(LEFT(AX5,2)="S6",LEFT(AX5,2)="S7",LEFT(AX5,2)="S8")),"R2 tidak boleh S6/S7/S8; ","")&amp;IF(AND(LEFT(AY5,2)="R2",OR(LEFT(AZ5,3)="T02",LEFT(BA5,2)="P8")),"T02 atau P8 tidak boleh R2; ","")&amp;IF(AND(LEFT(AZ5,3)="T01",LEFT(BA5,2)&lt;&gt;"P6"),"T01 biasanya P6 (periksa); ","")&amp;IF(AND(LEFT(BA5,2)="P1",LEFT(BC5,2)&lt;&gt;"K4"),"P1 biasanya K4 (periksa); ","")))</f>
        <v/>
      </c>
      <c r="BG5" s="21" t="str">
        <f t="shared" ref="BG5:BG9" si="3">IF(COUNTA($G5:$L5)&lt;6,"",IF(COUNTA(M5:R5)&lt;6,"Belum lengkap",IF((LEFT(M5,2)=LEFT(G5,2))+(LEFT(N5,2)=LEFT(H5,2))+(LEFT(O5,3)=LEFT(I5,3))+(LEFT(P5,2)=LEFT(J5,2))+(LEFT(Q5,2)=LEFT(K5,2))+(LEFT(R5,2)=LEFT(L5,2))=6,"Ya (6/6)","Tidak ("&amp;(LEFT(M5,2)=LEFT(G5,2))+(LEFT(N5,2)=LEFT(H5,2))+(LEFT(O5,3)=LEFT(I5,3))+(LEFT(P5,2)=LEFT(J5,2))+(LEFT(Q5,2)=LEFT(K5,2))+(LEFT(R5,2)=LEFT(L5,2))&amp;"/6): "&amp;TRIM(IF(NOT(LEFT(M5,2)=LEFT(G5,2)),"V4 ","")&amp;IF(NOT(LEFT(N5,2)=LEFT(H5,2)),"V5 ","")&amp;IF(NOT(LEFT(O5,3)=LEFT(I5,3)),"V6 ","")&amp;IF(NOT(LEFT(P5,2)=LEFT(J5,2)),"V7 ","")&amp;IF(NOT(LEFT(Q5,2)=LEFT(K5,2)),"V8 ","")&amp;IF(NOT(LEFT(R5,2)=LEFT(L5,2)),"V9 ","")))))</f>
        <v xml:space="preserve">Tidak (0/6): V4 V5 V6 V7 V8 V9</v>
      </c>
      <c r="BH5" s="21" t="str">
        <f t="shared" ref="BH5:BH9" si="4">IF(COUNTA($G5:$L5)&lt;6,"",IF(COUNTA(S5:X5)&lt;6,"Belum lengkap",IF((LEFT(S5,2)=LEFT(G5,2))+(LEFT(T5,2)=LEFT(H5,2))+(LEFT(U5,3)=LEFT(I5,3))+(LEFT(V5,2)=LEFT(J5,2))+(LEFT(W5,2)=LEFT(K5,2))+(LEFT(X5,2)=LEFT(L5,2))=6,"Ya (6/6)","Tidak ("&amp;(LEFT(S5,2)=LEFT(G5,2))+(LEFT(T5,2)=LEFT(H5,2))+(LEFT(U5,3)=LEFT(I5,3))+(LEFT(V5,2)=LEFT(J5,2))+(LEFT(W5,2)=LEFT(K5,2))+(LEFT(X5,2)=LEFT(L5,2))&amp;"/6): "&amp;TRIM(IF(NOT(LEFT(S5,2)=LEFT(G5,2)),"V4 ","")&amp;IF(NOT(LEFT(T5,2)=LEFT(H5,2)),"V5 ","")&amp;IF(NOT(LEFT(U5,3)=LEFT(I5,3)),"V6 ","")&amp;IF(NOT(LEFT(V5,2)=LEFT(J5,2)),"V7 ","")&amp;IF(NOT(LEFT(W5,2)=LEFT(K5,2)),"V8 ","")&amp;IF(NOT(LEFT(X5,2)=LEFT(L5,2)),"V9 ","")))))</f>
        <v xml:space="preserve">Belum lengkap</v>
      </c>
      <c r="BI5" s="21" t="str">
        <f t="shared" ref="BI5:BI9" si="5">IF(COUNTA($G5:$L5)&lt;6,"",IF($E$1&lt;3,"",IF(COUNTA(Y5:AD5)&lt;6,"Belum lengkap",IF((LEFT(Y5,2)=LEFT(G5,2))+(LEFT(Z5,2)=LEFT(H5,2))+(LEFT(AA5,3)=LEFT(I5,3))+(LEFT(AB5,2)=LEFT(J5,2))+(LEFT(AC5,2)=LEFT(K5,2))+(LEFT(AD5,2)=LEFT(L5,2))=6,"Ya (6/6)","Tidak ("&amp;(LEFT(Y5,2)=LEFT(G5,2))+(LEFT(Z5,2)=LEFT(H5,2))+(LEFT(AA5,3)=LEFT(I5,3))+(LEFT(AB5,2)=LEFT(J5,2))+(LEFT(AC5,2)=LEFT(K5,2))+(LEFT(AD5,2)=LEFT(L5,2))&amp;"/6): "&amp;TRIM(IF(NOT(LEFT(Y5,2)=LEFT(G5,2)),"V4 ","")&amp;IF(NOT(LEFT(Z5,2)=LEFT(H5,2)),"V5 ","")&amp;IF(NOT(LEFT(AA5,3)=LEFT(I5,3)),"V6 ","")&amp;IF(NOT(LEFT(AB5,2)=LEFT(J5,2)),"V7 ","")&amp;IF(NOT(LEFT(AC5,2)=LEFT(K5,2)),"V8 ","")&amp;IF(NOT(LEFT(AD5,2)=LEFT(L5,2)),"V9 ",""))))))</f>
        <v/>
      </c>
      <c r="BJ5" s="21" t="str">
        <f t="shared" ref="BJ5:BJ9" si="6">IF(COUNTA($G5:$L5)&lt;6,"",IF($E$1&lt;4,"",IF(COUNTA(AE5:AJ5)&lt;6,"Belum lengkap",IF((LEFT(AE5,2)=LEFT(G5,2))+(LEFT(AF5,2)=LEFT(H5,2))+(LEFT(AG5,3)=LEFT(I5,3))+(LEFT(AH5,2)=LEFT(J5,2))+(LEFT(AI5,2)=LEFT(K5,2))+(LEFT(AJ5,2)=LEFT(L5,2))=6,"Ya (6/6)","Tidak ("&amp;(LEFT(AE5,2)=LEFT(G5,2))+(LEFT(AF5,2)=LEFT(H5,2))+(LEFT(AG5,3)=LEFT(I5,3))+(LEFT(AH5,2)=LEFT(J5,2))+(LEFT(AI5,2)=LEFT(K5,2))+(LEFT(AJ5,2)=LEFT(L5,2))&amp;"/6): "&amp;TRIM(IF(NOT(LEFT(AE5,2)=LEFT(G5,2)),"V4 ","")&amp;IF(NOT(LEFT(AF5,2)=LEFT(H5,2)),"V5 ","")&amp;IF(NOT(LEFT(AG5,3)=LEFT(I5,3)),"V6 ","")&amp;IF(NOT(LEFT(AH5,2)=LEFT(J5,2)),"V7 ","")&amp;IF(NOT(LEFT(AI5,2)=LEFT(K5,2)),"V8 ","")&amp;IF(NOT(LEFT(AJ5,2)=LEFT(L5,2)),"V9 ",""))))))</f>
        <v/>
      </c>
      <c r="BK5" s="8" t="s">
        <v>116</v>
      </c>
    </row>
    <row r="6" ht="48" customHeight="1">
      <c r="A6" s="20">
        <v>3</v>
      </c>
      <c r="B6" s="21" t="str">
        <f>IF(INDEX(Korpus!$A:$A,$A6)="","",INDEX(Korpus!$A:$A,$A6))</f>
        <v>2019MHN201</v>
      </c>
      <c r="C6" s="21" t="str">
        <f>TRIM(INDEX(Korpus!$D:$D,$A6)&amp;" "&amp;INDEX(Korpus!$E:$E,$A6))</f>
        <v xml:space="preserve">Paragraf 3 Kalimat 2</v>
      </c>
      <c r="D6" s="21" t="str">
        <f>IF(INDEX(Korpus!$B:$B,$A6)="","",INDEX(Korpus!$B:$B,$A6))</f>
        <v xml:space="preserve">C. Pembahasan</v>
      </c>
      <c r="E6" s="21" t="str">
        <f>IF(INDEX(Korpus!$C:$C,$A6)="","",INDEX(Korpus!$C:$C,$A6))</f>
        <v xml:space="preserve">5. Pentingnya Perlindungan Data Pribadi</v>
      </c>
      <c r="F6" s="21" t="str">
        <f>IF(INDEX(Korpus!$F:$F,$A6)="","",INDEX(Korpus!$F:$F,$A6))</f>
        <v xml:space="preserve">Pentingnya memberikan perlindungan data pribadi mulai menguat seiring dengan meningkatnya jumlah pengguna telepon seluler dan internet.</v>
      </c>
      <c r="G6" s="22"/>
      <c r="H6" s="22"/>
      <c r="I6" s="22"/>
      <c r="J6" s="22"/>
      <c r="K6" s="22"/>
      <c r="L6" s="22"/>
      <c r="M6" s="23"/>
      <c r="N6" s="23"/>
      <c r="O6" s="23"/>
      <c r="P6" s="23"/>
      <c r="Q6" s="23"/>
      <c r="R6" s="23"/>
      <c r="S6" s="24"/>
      <c r="T6" s="24"/>
      <c r="U6" s="24"/>
      <c r="V6" s="24"/>
      <c r="W6" s="24"/>
      <c r="X6" s="24"/>
      <c r="Y6" s="25"/>
      <c r="Z6" s="25"/>
      <c r="AA6" s="25"/>
      <c r="AB6" s="25"/>
      <c r="AC6" s="25"/>
      <c r="AD6" s="25"/>
      <c r="AE6" s="26"/>
      <c r="AF6" s="26"/>
      <c r="AG6" s="26"/>
      <c r="AH6" s="26"/>
      <c r="AI6" s="26"/>
      <c r="AJ6" s="26"/>
      <c r="AK6" s="20" t="str">
        <f>IF(Hitung!B6&lt;$E$1,"",IF(Hitung!C6&gt;0,"Beda","Sama"))</f>
        <v/>
      </c>
      <c r="AL6" s="20" t="str">
        <f>IF(Hitung!D6&lt;$E$1,"",IF(Hitung!E6&gt;0,"Beda","Sama"))</f>
        <v/>
      </c>
      <c r="AM6" s="20" t="str">
        <f>IF(Hitung!F6&lt;$E$1,"",IF(Hitung!G6&gt;0,"Beda","Sama"))</f>
        <v/>
      </c>
      <c r="AN6" s="20" t="str">
        <f>IF(Hitung!H6&lt;$E$1,"",IF(Hitung!I6&gt;0,"Beda","Sama"))</f>
        <v/>
      </c>
      <c r="AO6" s="20" t="str">
        <f>IF(Hitung!J6&lt;$E$1,"",IF(Hitung!K6&gt;0,"Beda","Sama"))</f>
        <v/>
      </c>
      <c r="AP6" s="20" t="str">
        <f>IF(Hitung!L6&lt;$E$1,"",IF(Hitung!M6&gt;0,"Beda","Sama"))</f>
        <v/>
      </c>
      <c r="AQ6" s="20">
        <f t="shared" si="0"/>
        <v>0</v>
      </c>
      <c r="AR6" s="27"/>
      <c r="AS6" s="27"/>
      <c r="AT6" s="27"/>
      <c r="AU6" s="27"/>
      <c r="AV6" s="27"/>
      <c r="AW6" s="27"/>
      <c r="AX6" s="28" t="str">
        <f>IF(AR6&lt;&gt;"",AR6,IF(AND(Hitung!B6=$E$1,Hitung!C6=0),M6,""))</f>
        <v/>
      </c>
      <c r="AY6" s="28" t="str">
        <f>IF(AS6&lt;&gt;"",AS6,IF(AND(Hitung!D6=$E$1,Hitung!E6=0),N6,""))</f>
        <v/>
      </c>
      <c r="AZ6" s="28" t="str">
        <f>IF(AT6&lt;&gt;"",AT6,IF(AND(Hitung!F6=$E$1,Hitung!G6=0),O6,""))</f>
        <v/>
      </c>
      <c r="BA6" s="28" t="str">
        <f>IF(AU6&lt;&gt;"",AU6,IF(AND(Hitung!H6=$E$1,Hitung!I6=0),P6,""))</f>
        <v/>
      </c>
      <c r="BB6" s="28" t="str">
        <f>IF(AV6&lt;&gt;"",AV6,IF(AND(Hitung!J6=$E$1,Hitung!K6=0),Q6,""))</f>
        <v/>
      </c>
      <c r="BC6" s="28" t="str">
        <f>IF(AW6&lt;&gt;"",AW6,IF(AND(Hitung!L6=$E$1,Hitung!M6=0),R6,""))</f>
        <v/>
      </c>
      <c r="BD6" s="29"/>
      <c r="BE6" s="20" t="str">
        <f t="shared" si="1"/>
        <v xml:space="preserve">Menunggu coder</v>
      </c>
      <c r="BF6" s="21" t="str">
        <f t="shared" si="2"/>
        <v/>
      </c>
      <c r="BG6" s="21" t="str">
        <f t="shared" si="3"/>
        <v/>
      </c>
      <c r="BH6" s="21" t="str">
        <f t="shared" si="4"/>
        <v/>
      </c>
      <c r="BI6" s="21" t="str">
        <f t="shared" si="5"/>
        <v/>
      </c>
      <c r="BJ6" s="21" t="str">
        <f t="shared" si="6"/>
        <v/>
      </c>
    </row>
    <row r="7" ht="48" customHeight="1">
      <c r="A7" s="20">
        <v>4</v>
      </c>
      <c r="B7" s="21" t="str">
        <f>IF(INDEX(Korpus!$A:$A,$A7)="","",INDEX(Korpus!$A:$A,$A7))</f>
        <v>2019MHN201</v>
      </c>
      <c r="C7" s="21" t="str">
        <f>TRIM(INDEX(Korpus!$D:$D,$A7)&amp;" "&amp;INDEX(Korpus!$E:$E,$A7))</f>
        <v xml:space="preserve">Paragraf 3 Kalimat 3</v>
      </c>
      <c r="D7" s="21" t="str">
        <f>IF(INDEX(Korpus!$B:$B,$A7)="","",INDEX(Korpus!$B:$B,$A7))</f>
        <v xml:space="preserve">C. Pembahasan</v>
      </c>
      <c r="E7" s="21" t="str">
        <f>IF(INDEX(Korpus!$C:$C,$A7)="","",INDEX(Korpus!$C:$C,$A7))</f>
        <v xml:space="preserve">5. Pentingnya Perlindungan Data Pribadi</v>
      </c>
      <c r="F7" s="21" t="str">
        <f>IF(INDEX(Korpus!$F:$F,$A7)="","",INDEX(Korpus!$F:$F,$A7))</f>
        <v xml:space="preserve">Sejumlah kasus yang mencuat, terutama yang memiliki keterkaitan dengan kebocoran data pribadi seseorang dan bermuara kepada aksi penipuan atau tindak kriminal pornografi, menguatkan wacana pentingnya pembuatan aturan hukum untuk melindungi data pribadi.</v>
      </c>
      <c r="G7" s="22"/>
      <c r="H7" s="22"/>
      <c r="I7" s="22"/>
      <c r="J7" s="22"/>
      <c r="K7" s="22"/>
      <c r="L7" s="22"/>
      <c r="M7" s="23"/>
      <c r="N7" s="23"/>
      <c r="O7" s="23"/>
      <c r="P7" s="23"/>
      <c r="Q7" s="23"/>
      <c r="R7" s="23"/>
      <c r="S7" s="24"/>
      <c r="T7" s="24"/>
      <c r="U7" s="24"/>
      <c r="V7" s="24"/>
      <c r="W7" s="24"/>
      <c r="X7" s="24"/>
      <c r="Y7" s="25"/>
      <c r="Z7" s="25"/>
      <c r="AA7" s="25"/>
      <c r="AB7" s="25"/>
      <c r="AC7" s="25"/>
      <c r="AD7" s="25"/>
      <c r="AE7" s="26"/>
      <c r="AF7" s="26"/>
      <c r="AG7" s="26"/>
      <c r="AH7" s="26"/>
      <c r="AI7" s="26"/>
      <c r="AJ7" s="26"/>
      <c r="AK7" s="20" t="str">
        <f>IF(Hitung!B7&lt;$E$1,"",IF(Hitung!C7&gt;0,"Beda","Sama"))</f>
        <v/>
      </c>
      <c r="AL7" s="20" t="str">
        <f>IF(Hitung!D7&lt;$E$1,"",IF(Hitung!E7&gt;0,"Beda","Sama"))</f>
        <v/>
      </c>
      <c r="AM7" s="20" t="str">
        <f>IF(Hitung!F7&lt;$E$1,"",IF(Hitung!G7&gt;0,"Beda","Sama"))</f>
        <v/>
      </c>
      <c r="AN7" s="20" t="str">
        <f>IF(Hitung!H7&lt;$E$1,"",IF(Hitung!I7&gt;0,"Beda","Sama"))</f>
        <v/>
      </c>
      <c r="AO7" s="20" t="str">
        <f>IF(Hitung!J7&lt;$E$1,"",IF(Hitung!K7&gt;0,"Beda","Sama"))</f>
        <v/>
      </c>
      <c r="AP7" s="20" t="str">
        <f>IF(Hitung!L7&lt;$E$1,"",IF(Hitung!M7&gt;0,"Beda","Sama"))</f>
        <v/>
      </c>
      <c r="AQ7" s="20">
        <f t="shared" si="0"/>
        <v>0</v>
      </c>
      <c r="AR7" s="27"/>
      <c r="AS7" s="27"/>
      <c r="AT7" s="27"/>
      <c r="AU7" s="27"/>
      <c r="AV7" s="27"/>
      <c r="AW7" s="27"/>
      <c r="AX7" s="28" t="str">
        <f>IF(AR7&lt;&gt;"",AR7,IF(AND(Hitung!B7=$E$1,Hitung!C7=0),M7,""))</f>
        <v/>
      </c>
      <c r="AY7" s="28" t="str">
        <f>IF(AS7&lt;&gt;"",AS7,IF(AND(Hitung!D7=$E$1,Hitung!E7=0),N7,""))</f>
        <v/>
      </c>
      <c r="AZ7" s="28" t="str">
        <f>IF(AT7&lt;&gt;"",AT7,IF(AND(Hitung!F7=$E$1,Hitung!G7=0),O7,""))</f>
        <v/>
      </c>
      <c r="BA7" s="28" t="str">
        <f>IF(AU7&lt;&gt;"",AU7,IF(AND(Hitung!H7=$E$1,Hitung!I7=0),P7,""))</f>
        <v/>
      </c>
      <c r="BB7" s="28" t="str">
        <f>IF(AV7&lt;&gt;"",AV7,IF(AND(Hitung!J7=$E$1,Hitung!K7=0),Q7,""))</f>
        <v/>
      </c>
      <c r="BC7" s="28" t="str">
        <f>IF(AW7&lt;&gt;"",AW7,IF(AND(Hitung!L7=$E$1,Hitung!M7=0),R7,""))</f>
        <v/>
      </c>
      <c r="BD7" s="29"/>
      <c r="BE7" s="20" t="str">
        <f t="shared" si="1"/>
        <v xml:space="preserve">Menunggu coder</v>
      </c>
      <c r="BF7" s="21" t="str">
        <f t="shared" si="2"/>
        <v/>
      </c>
      <c r="BG7" s="21" t="str">
        <f t="shared" si="3"/>
        <v/>
      </c>
      <c r="BH7" s="21" t="str">
        <f t="shared" si="4"/>
        <v/>
      </c>
      <c r="BI7" s="21" t="str">
        <f t="shared" si="5"/>
        <v/>
      </c>
      <c r="BJ7" s="21" t="str">
        <f t="shared" si="6"/>
        <v/>
      </c>
    </row>
    <row r="8" ht="48" customHeight="1">
      <c r="A8" s="20">
        <v>5</v>
      </c>
      <c r="B8" s="21" t="str">
        <f>IF(INDEX(Korpus!$A:$A,$A8)="","",INDEX(Korpus!$A:$A,$A8))</f>
        <v>2019MHN201</v>
      </c>
      <c r="C8" s="21" t="str">
        <f>TRIM(INDEX(Korpus!$D:$D,$A8)&amp;" "&amp;INDEX(Korpus!$E:$E,$A8))</f>
        <v xml:space="preserve">Paragraf 3 Kalimat 4</v>
      </c>
      <c r="D8" s="21" t="str">
        <f>IF(INDEX(Korpus!$B:$B,$A8)="","",INDEX(Korpus!$B:$B,$A8))</f>
        <v xml:space="preserve">C. Pembahasan</v>
      </c>
      <c r="E8" s="21" t="str">
        <f>IF(INDEX(Korpus!$C:$C,$A8)="","",INDEX(Korpus!$C:$C,$A8))</f>
        <v xml:space="preserve">5. Pentingnya Perlindungan Data Pribadi</v>
      </c>
      <c r="F8" s="21" t="str">
        <f>IF(INDEX(Korpus!$F:$F,$A8)="","",INDEX(Korpus!$F:$F,$A8))</f>
        <v xml:space="preserve">Perlindungan data pribadi berhubungan dengan konsep privasi.</v>
      </c>
      <c r="G8" s="22"/>
      <c r="H8" s="22"/>
      <c r="I8" s="22"/>
      <c r="J8" s="22"/>
      <c r="K8" s="22"/>
      <c r="L8" s="22"/>
      <c r="M8" s="23"/>
      <c r="N8" s="23"/>
      <c r="O8" s="23"/>
      <c r="P8" s="23"/>
      <c r="Q8" s="23"/>
      <c r="R8" s="23"/>
      <c r="S8" s="24"/>
      <c r="T8" s="24"/>
      <c r="U8" s="24"/>
      <c r="V8" s="24"/>
      <c r="W8" s="24"/>
      <c r="X8" s="24"/>
      <c r="Y8" s="25"/>
      <c r="Z8" s="25"/>
      <c r="AA8" s="25"/>
      <c r="AB8" s="25"/>
      <c r="AC8" s="25"/>
      <c r="AD8" s="25"/>
      <c r="AE8" s="26"/>
      <c r="AF8" s="26"/>
      <c r="AG8" s="26"/>
      <c r="AH8" s="26"/>
      <c r="AI8" s="26"/>
      <c r="AJ8" s="26"/>
      <c r="AK8" s="20" t="str">
        <f>IF(Hitung!B8&lt;$E$1,"",IF(Hitung!C8&gt;0,"Beda","Sama"))</f>
        <v/>
      </c>
      <c r="AL8" s="20" t="str">
        <f>IF(Hitung!D8&lt;$E$1,"",IF(Hitung!E8&gt;0,"Beda","Sama"))</f>
        <v/>
      </c>
      <c r="AM8" s="20" t="str">
        <f>IF(Hitung!F8&lt;$E$1,"",IF(Hitung!G8&gt;0,"Beda","Sama"))</f>
        <v/>
      </c>
      <c r="AN8" s="20" t="str">
        <f>IF(Hitung!H8&lt;$E$1,"",IF(Hitung!I8&gt;0,"Beda","Sama"))</f>
        <v/>
      </c>
      <c r="AO8" s="20" t="str">
        <f>IF(Hitung!J8&lt;$E$1,"",IF(Hitung!K8&gt;0,"Beda","Sama"))</f>
        <v/>
      </c>
      <c r="AP8" s="20" t="str">
        <f>IF(Hitung!L8&lt;$E$1,"",IF(Hitung!M8&gt;0,"Beda","Sama"))</f>
        <v/>
      </c>
      <c r="AQ8" s="20">
        <f t="shared" si="0"/>
        <v>0</v>
      </c>
      <c r="AR8" s="27"/>
      <c r="AS8" s="27"/>
      <c r="AT8" s="27"/>
      <c r="AU8" s="27"/>
      <c r="AV8" s="27"/>
      <c r="AW8" s="27"/>
      <c r="AX8" s="28" t="str">
        <f>IF(AR8&lt;&gt;"",AR8,IF(AND(Hitung!B8=$E$1,Hitung!C8=0),M8,""))</f>
        <v/>
      </c>
      <c r="AY8" s="28" t="str">
        <f>IF(AS8&lt;&gt;"",AS8,IF(AND(Hitung!D8=$E$1,Hitung!E8=0),N8,""))</f>
        <v/>
      </c>
      <c r="AZ8" s="28" t="str">
        <f>IF(AT8&lt;&gt;"",AT8,IF(AND(Hitung!F8=$E$1,Hitung!G8=0),O8,""))</f>
        <v/>
      </c>
      <c r="BA8" s="28" t="str">
        <f>IF(AU8&lt;&gt;"",AU8,IF(AND(Hitung!H8=$E$1,Hitung!I8=0),P8,""))</f>
        <v/>
      </c>
      <c r="BB8" s="28" t="str">
        <f>IF(AV8&lt;&gt;"",AV8,IF(AND(Hitung!J8=$E$1,Hitung!K8=0),Q8,""))</f>
        <v/>
      </c>
      <c r="BC8" s="28" t="str">
        <f>IF(AW8&lt;&gt;"",AW8,IF(AND(Hitung!L8=$E$1,Hitung!M8=0),R8,""))</f>
        <v/>
      </c>
      <c r="BD8" s="29"/>
      <c r="BE8" s="20" t="str">
        <f t="shared" si="1"/>
        <v xml:space="preserve">Menunggu coder</v>
      </c>
      <c r="BF8" s="21" t="str">
        <f t="shared" si="2"/>
        <v/>
      </c>
      <c r="BG8" s="21" t="str">
        <f t="shared" si="3"/>
        <v/>
      </c>
      <c r="BH8" s="21" t="str">
        <f t="shared" si="4"/>
        <v/>
      </c>
      <c r="BI8" s="21" t="str">
        <f t="shared" si="5"/>
        <v/>
      </c>
      <c r="BJ8" s="21" t="str">
        <f t="shared" si="6"/>
        <v/>
      </c>
    </row>
    <row r="9" ht="48" customHeight="1">
      <c r="A9" s="20">
        <v>6</v>
      </c>
      <c r="B9" s="21" t="str">
        <f>IF(INDEX(Korpus!$A:$A,$A9)="","",INDEX(Korpus!$A:$A,$A9))</f>
        <v>2019MHN201</v>
      </c>
      <c r="C9" s="21" t="str">
        <f>TRIM(INDEX(Korpus!$D:$D,$A9)&amp;" "&amp;INDEX(Korpus!$E:$E,$A9))</f>
        <v xml:space="preserve">Paragraf 3 Kalimat 5</v>
      </c>
      <c r="D9" s="21" t="str">
        <f>IF(INDEX(Korpus!$B:$B,$A9)="","",INDEX(Korpus!$B:$B,$A9))</f>
        <v xml:space="preserve">C. Pembahasan</v>
      </c>
      <c r="E9" s="21" t="str">
        <f>IF(INDEX(Korpus!$C:$C,$A9)="","",INDEX(Korpus!$C:$C,$A9))</f>
        <v xml:space="preserve">5. Pentingnya Perlindungan Data Pribadi</v>
      </c>
      <c r="F9" s="21" t="str">
        <f>IF(INDEX(Korpus!$F:$F,$A9)="","",INDEX(Korpus!$F:$F,$A9))</f>
        <v xml:space="preserve">Konsep privasi sendiri adalah gagasan untuk menjaga integritas dan martabat pribadi.</v>
      </c>
      <c r="G9" s="22"/>
      <c r="H9" s="22"/>
      <c r="I9" s="22"/>
      <c r="J9" s="22"/>
      <c r="K9" s="22"/>
      <c r="L9" s="22"/>
      <c r="M9" s="23"/>
      <c r="N9" s="23"/>
      <c r="O9" s="23"/>
      <c r="P9" s="23"/>
      <c r="Q9" s="23"/>
      <c r="R9" s="23"/>
      <c r="S9" s="24"/>
      <c r="T9" s="24"/>
      <c r="U9" s="24"/>
      <c r="V9" s="24"/>
      <c r="W9" s="24"/>
      <c r="X9" s="24"/>
      <c r="Y9" s="25"/>
      <c r="Z9" s="25"/>
      <c r="AA9" s="25"/>
      <c r="AB9" s="25"/>
      <c r="AC9" s="25"/>
      <c r="AD9" s="25"/>
      <c r="AE9" s="26"/>
      <c r="AF9" s="26"/>
      <c r="AG9" s="26"/>
      <c r="AH9" s="26"/>
      <c r="AI9" s="26"/>
      <c r="AJ9" s="26"/>
      <c r="AK9" s="20" t="str">
        <f>IF(Hitung!B9&lt;$E$1,"",IF(Hitung!C9&gt;0,"Beda","Sama"))</f>
        <v/>
      </c>
      <c r="AL9" s="20" t="str">
        <f>IF(Hitung!D9&lt;$E$1,"",IF(Hitung!E9&gt;0,"Beda","Sama"))</f>
        <v/>
      </c>
      <c r="AM9" s="20" t="str">
        <f>IF(Hitung!F9&lt;$E$1,"",IF(Hitung!G9&gt;0,"Beda","Sama"))</f>
        <v/>
      </c>
      <c r="AN9" s="20" t="str">
        <f>IF(Hitung!H9&lt;$E$1,"",IF(Hitung!I9&gt;0,"Beda","Sama"))</f>
        <v/>
      </c>
      <c r="AO9" s="20" t="str">
        <f>IF(Hitung!J9&lt;$E$1,"",IF(Hitung!K9&gt;0,"Beda","Sama"))</f>
        <v/>
      </c>
      <c r="AP9" s="20" t="str">
        <f>IF(Hitung!L9&lt;$E$1,"",IF(Hitung!M9&gt;0,"Beda","Sama"))</f>
        <v/>
      </c>
      <c r="AQ9" s="20">
        <f t="shared" si="0"/>
        <v>0</v>
      </c>
      <c r="AR9" s="27"/>
      <c r="AS9" s="27"/>
      <c r="AT9" s="27"/>
      <c r="AU9" s="27"/>
      <c r="AV9" s="27"/>
      <c r="AW9" s="27"/>
      <c r="AX9" s="28" t="str">
        <f>IF(AR9&lt;&gt;"",AR9,IF(AND(Hitung!B9=$E$1,Hitung!C9=0),M9,""))</f>
        <v/>
      </c>
      <c r="AY9" s="28" t="str">
        <f>IF(AS9&lt;&gt;"",AS9,IF(AND(Hitung!D9=$E$1,Hitung!E9=0),N9,""))</f>
        <v/>
      </c>
      <c r="AZ9" s="28" t="str">
        <f>IF(AT9&lt;&gt;"",AT9,IF(AND(Hitung!F9=$E$1,Hitung!G9=0),O9,""))</f>
        <v/>
      </c>
      <c r="BA9" s="28" t="str">
        <f>IF(AU9&lt;&gt;"",AU9,IF(AND(Hitung!H9=$E$1,Hitung!I9=0),P9,""))</f>
        <v/>
      </c>
      <c r="BB9" s="28" t="str">
        <f>IF(AV9&lt;&gt;"",AV9,IF(AND(Hitung!J9=$E$1,Hitung!K9=0),Q9,""))</f>
        <v/>
      </c>
      <c r="BC9" s="28" t="str">
        <f>IF(AW9&lt;&gt;"",AW9,IF(AND(Hitung!L9=$E$1,Hitung!M9=0),R9,""))</f>
        <v/>
      </c>
      <c r="BD9" s="29"/>
      <c r="BE9" s="20" t="str">
        <f t="shared" si="1"/>
        <v xml:space="preserve">Menunggu coder</v>
      </c>
      <c r="BF9" s="21" t="str">
        <f t="shared" si="2"/>
        <v/>
      </c>
      <c r="BG9" s="21" t="str">
        <f t="shared" si="3"/>
        <v/>
      </c>
      <c r="BH9" s="21" t="str">
        <f t="shared" si="4"/>
        <v/>
      </c>
      <c r="BI9" s="21" t="str">
        <f t="shared" si="5"/>
        <v/>
      </c>
      <c r="BJ9" s="21" t="str">
        <f t="shared" si="6"/>
        <v/>
      </c>
    </row>
    <row r="10" ht="48" customHeight="1">
      <c r="A10" s="20">
        <v>7</v>
      </c>
      <c r="B10" s="21" t="str">
        <f>IF(INDEX(Korpus!$A:$A,$A10)="","",INDEX(Korpus!$A:$A,$A10))</f>
        <v>2019MHN201</v>
      </c>
      <c r="C10" s="21" t="str">
        <f>TRIM(INDEX(Korpus!$D:$D,$A10)&amp;" "&amp;INDEX(Korpus!$E:$E,$A10))</f>
        <v xml:space="preserve">Paragraf 3 Kalimat 6</v>
      </c>
      <c r="D10" s="21" t="str">
        <f>IF(INDEX(Korpus!$B:$B,$A10)="","",INDEX(Korpus!$B:$B,$A10))</f>
        <v xml:space="preserve">C. Pembahasan</v>
      </c>
      <c r="E10" s="21" t="str">
        <f>IF(INDEX(Korpus!$C:$C,$A10)="","",INDEX(Korpus!$C:$C,$A10))</f>
        <v xml:space="preserve">5. Pentingnya Perlindungan Data Pribadi</v>
      </c>
      <c r="F10" s="21" t="str">
        <f>IF(INDEX(Korpus!$F:$F,$A10)="","",INDEX(Korpus!$F:$F,$A10))</f>
        <v xml:space="preserve">Hak privasi juga merupakan kemampuan individu untuk menentukan siapa yang memegang informasi tentang mereka dan bagaimana informasi tersebut digunakan.</v>
      </c>
      <c r="G10" s="22"/>
      <c r="H10" s="22"/>
      <c r="I10" s="22"/>
      <c r="J10" s="22"/>
      <c r="K10" s="22"/>
      <c r="L10" s="22"/>
      <c r="M10" s="23"/>
      <c r="N10" s="23"/>
      <c r="O10" s="23"/>
      <c r="P10" s="23"/>
      <c r="Q10" s="23"/>
      <c r="R10" s="23"/>
      <c r="S10" s="24"/>
      <c r="T10" s="24"/>
      <c r="U10" s="24"/>
      <c r="V10" s="24"/>
      <c r="W10" s="24"/>
      <c r="X10" s="24"/>
      <c r="Y10" s="25"/>
      <c r="Z10" s="25"/>
      <c r="AA10" s="25"/>
      <c r="AB10" s="25"/>
      <c r="AC10" s="25"/>
      <c r="AD10" s="25"/>
      <c r="AE10" s="26"/>
      <c r="AF10" s="26"/>
      <c r="AG10" s="26"/>
      <c r="AH10" s="26"/>
      <c r="AI10" s="26"/>
      <c r="AJ10" s="26"/>
      <c r="AK10" s="20" t="str">
        <f>IF(Hitung!B10&lt;$E$1,"",IF(Hitung!C10&gt;0,"Beda","Sama"))</f>
        <v/>
      </c>
      <c r="AL10" s="20" t="str">
        <f>IF(Hitung!D10&lt;$E$1,"",IF(Hitung!E10&gt;0,"Beda","Sama"))</f>
        <v/>
      </c>
      <c r="AM10" s="20" t="str">
        <f>IF(Hitung!F10&lt;$E$1,"",IF(Hitung!G10&gt;0,"Beda","Sama"))</f>
        <v/>
      </c>
      <c r="AN10" s="20" t="str">
        <f>IF(Hitung!H10&lt;$E$1,"",IF(Hitung!I10&gt;0,"Beda","Sama"))</f>
        <v/>
      </c>
      <c r="AO10" s="20" t="str">
        <f>IF(Hitung!J10&lt;$E$1,"",IF(Hitung!K10&gt;0,"Beda","Sama"))</f>
        <v/>
      </c>
      <c r="AP10" s="20" t="str">
        <f>IF(Hitung!L10&lt;$E$1,"",IF(Hitung!M10&gt;0,"Beda","Sama"))</f>
        <v/>
      </c>
      <c r="AQ10" s="20">
        <f t="shared" ref="AQ10:AQ73" si="7">COUNTIF(AK10:AP10,"Beda")</f>
        <v>0</v>
      </c>
      <c r="AR10" s="27"/>
      <c r="AS10" s="27"/>
      <c r="AT10" s="27"/>
      <c r="AU10" s="27"/>
      <c r="AV10" s="27"/>
      <c r="AW10" s="27"/>
      <c r="AX10" s="28" t="str">
        <f>IF(AR10&lt;&gt;"",AR10,IF(AND(Hitung!B10=$E$1,Hitung!C10=0),M10,""))</f>
        <v/>
      </c>
      <c r="AY10" s="28" t="str">
        <f>IF(AS10&lt;&gt;"",AS10,IF(AND(Hitung!D10=$E$1,Hitung!E10=0),N10,""))</f>
        <v/>
      </c>
      <c r="AZ10" s="28" t="str">
        <f>IF(AT10&lt;&gt;"",AT10,IF(AND(Hitung!F10=$E$1,Hitung!G10=0),O10,""))</f>
        <v/>
      </c>
      <c r="BA10" s="28" t="str">
        <f>IF(AU10&lt;&gt;"",AU10,IF(AND(Hitung!H10=$E$1,Hitung!I10=0),P10,""))</f>
        <v/>
      </c>
      <c r="BB10" s="28" t="str">
        <f>IF(AV10&lt;&gt;"",AV10,IF(AND(Hitung!J10=$E$1,Hitung!K10=0),Q10,""))</f>
        <v/>
      </c>
      <c r="BC10" s="28" t="str">
        <f>IF(AW10&lt;&gt;"",AW10,IF(AND(Hitung!L10=$E$1,Hitung!M10=0),R10,""))</f>
        <v/>
      </c>
      <c r="BD10" s="29"/>
      <c r="BE10" s="20" t="str">
        <f t="shared" ref="BE10:BE73" si="8">IF(COUNTA(M10:R10)+COUNTA(S10:X10)+($E$1&gt;=3)*COUNTA(Y10:AD10)+($E$1&gt;=4)*COUNTA(AE10:AJ10)&lt;6*$E$1,"Menunggu coder",IF(AQ10=0,"Sepakat",IF(SUMPRODUCT((AK10:AP10="Beda")*(AR10:AW10=""))=0,"Selesai adjudikasi","Perlu adjudikasi")))</f>
        <v xml:space="preserve">Menunggu coder</v>
      </c>
      <c r="BF10" s="21" t="str">
        <f t="shared" ref="BF10:BF73" si="9">IF(COUNTIF(AX10:BC10,"?*")&lt;6,"",IF(IF(AND(LEFT(AY10,2)="R0",LEFT(BC10,2)&lt;&gt;"K5"),"R0 harus K5; ","")&amp;IF(AND(LEFT(AY10,2)="R1",LEFT(BC10,2)="K3"),"R1 tidak boleh K3 (fungsional); ","")&amp;IF(AND(LEFT(AY10,2)="R2",LEFT(BC10,2)="K5"),"R2 tidak boleh K5; ","")&amp;IF(AND(LEFT(AY10,2)="R2",OR(LEFT(AX10,2)="S6",LEFT(AX10,2)="S7",LEFT(AX10,2)="S8")),"R2 tidak boleh S6/S7/S8; ","")&amp;IF(AND(LEFT(AY10,2)="R2",OR(LEFT(AZ10,3)="T02",LEFT(BA10,2)="P8")),"T02 atau P8 tidak boleh R2; ","")&amp;IF(AND(LEFT(AZ10,3)="T01",LEFT(BA10,2)&lt;&gt;"P6"),"T01 biasanya P6 (periksa); ","")&amp;IF(AND(LEFT(BA10,2)="P1",LEFT(BC10,2)&lt;&gt;"K4"),"P1 biasanya K4 (periksa); ","")="","OK",IF(AND(LEFT(AY10,2)="R0",LEFT(BC10,2)&lt;&gt;"K5"),"R0 harus K5; ","")&amp;IF(AND(LEFT(AY10,2)="R1",LEFT(BC10,2)="K3"),"R1 tidak boleh K3 (fungsional); ","")&amp;IF(AND(LEFT(AY10,2)="R2",LEFT(BC10,2)="K5"),"R2 tidak boleh K5; ","")&amp;IF(AND(LEFT(AY10,2)="R2",OR(LEFT(AX10,2)="S6",LEFT(AX10,2)="S7",LEFT(AX10,2)="S8")),"R2 tidak boleh S6/S7/S8; ","")&amp;IF(AND(LEFT(AY10,2)="R2",OR(LEFT(AZ10,3)="T02",LEFT(BA10,2)="P8")),"T02 atau P8 tidak boleh R2; ","")&amp;IF(AND(LEFT(AZ10,3)="T01",LEFT(BA10,2)&lt;&gt;"P6"),"T01 biasanya P6 (periksa); ","")&amp;IF(AND(LEFT(BA10,2)="P1",LEFT(BC10,2)&lt;&gt;"K4"),"P1 biasanya K4 (periksa); ","")))</f>
        <v/>
      </c>
      <c r="BG10" s="21" t="str">
        <f t="shared" ref="BG10:BG73" si="10">IF(COUNTA($G10:$L10)&lt;6,"",IF(COUNTA(M10:R10)&lt;6,"Belum lengkap",IF((LEFT(M10,2)=LEFT(G10,2))+(LEFT(N10,2)=LEFT(H10,2))+(LEFT(O10,3)=LEFT(I10,3))+(LEFT(P10,2)=LEFT(J10,2))+(LEFT(Q10,2)=LEFT(K10,2))+(LEFT(R10,2)=LEFT(L10,2))=6,"Ya (6/6)","Tidak ("&amp;(LEFT(M10,2)=LEFT(G10,2))+(LEFT(N10,2)=LEFT(H10,2))+(LEFT(O10,3)=LEFT(I10,3))+(LEFT(P10,2)=LEFT(J10,2))+(LEFT(Q10,2)=LEFT(K10,2))+(LEFT(R10,2)=LEFT(L10,2))&amp;"/6): "&amp;TRIM(IF(NOT(LEFT(M10,2)=LEFT(G10,2)),"V4 ","")&amp;IF(NOT(LEFT(N10,2)=LEFT(H10,2)),"V5 ","")&amp;IF(NOT(LEFT(O10,3)=LEFT(I10,3)),"V6 ","")&amp;IF(NOT(LEFT(P10,2)=LEFT(J10,2)),"V7 ","")&amp;IF(NOT(LEFT(Q10,2)=LEFT(K10,2)),"V8 ","")&amp;IF(NOT(LEFT(R10,2)=LEFT(L10,2)),"V9 ","")))))</f>
        <v/>
      </c>
      <c r="BH10" s="21" t="str">
        <f t="shared" ref="BH10:BH73" si="11">IF(COUNTA($G10:$L10)&lt;6,"",IF(COUNTA(S10:X10)&lt;6,"Belum lengkap",IF((LEFT(S10,2)=LEFT(G10,2))+(LEFT(T10,2)=LEFT(H10,2))+(LEFT(U10,3)=LEFT(I10,3))+(LEFT(V10,2)=LEFT(J10,2))+(LEFT(W10,2)=LEFT(K10,2))+(LEFT(X10,2)=LEFT(L10,2))=6,"Ya (6/6)","Tidak ("&amp;(LEFT(S10,2)=LEFT(G10,2))+(LEFT(T10,2)=LEFT(H10,2))+(LEFT(U10,3)=LEFT(I10,3))+(LEFT(V10,2)=LEFT(J10,2))+(LEFT(W10,2)=LEFT(K10,2))+(LEFT(X10,2)=LEFT(L10,2))&amp;"/6): "&amp;TRIM(IF(NOT(LEFT(S10,2)=LEFT(G10,2)),"V4 ","")&amp;IF(NOT(LEFT(T10,2)=LEFT(H10,2)),"V5 ","")&amp;IF(NOT(LEFT(U10,3)=LEFT(I10,3)),"V6 ","")&amp;IF(NOT(LEFT(V10,2)=LEFT(J10,2)),"V7 ","")&amp;IF(NOT(LEFT(W10,2)=LEFT(K10,2)),"V8 ","")&amp;IF(NOT(LEFT(X10,2)=LEFT(L10,2)),"V9 ","")))))</f>
        <v/>
      </c>
      <c r="BI10" s="21" t="str">
        <f t="shared" ref="BI10:BI73" si="12">IF(COUNTA($G10:$L10)&lt;6,"",IF($E$1&lt;3,"",IF(COUNTA(Y10:AD10)&lt;6,"Belum lengkap",IF((LEFT(Y10,2)=LEFT(G10,2))+(LEFT(Z10,2)=LEFT(H10,2))+(LEFT(AA10,3)=LEFT(I10,3))+(LEFT(AB10,2)=LEFT(J10,2))+(LEFT(AC10,2)=LEFT(K10,2))+(LEFT(AD10,2)=LEFT(L10,2))=6,"Ya (6/6)","Tidak ("&amp;(LEFT(Y10,2)=LEFT(G10,2))+(LEFT(Z10,2)=LEFT(H10,2))+(LEFT(AA10,3)=LEFT(I10,3))+(LEFT(AB10,2)=LEFT(J10,2))+(LEFT(AC10,2)=LEFT(K10,2))+(LEFT(AD10,2)=LEFT(L10,2))&amp;"/6): "&amp;TRIM(IF(NOT(LEFT(Y10,2)=LEFT(G10,2)),"V4 ","")&amp;IF(NOT(LEFT(Z10,2)=LEFT(H10,2)),"V5 ","")&amp;IF(NOT(LEFT(AA10,3)=LEFT(I10,3)),"V6 ","")&amp;IF(NOT(LEFT(AB10,2)=LEFT(J10,2)),"V7 ","")&amp;IF(NOT(LEFT(AC10,2)=LEFT(K10,2)),"V8 ","")&amp;IF(NOT(LEFT(AD10,2)=LEFT(L10,2)),"V9 ",""))))))</f>
        <v/>
      </c>
      <c r="BJ10" s="21" t="str">
        <f t="shared" ref="BJ10:BJ73" si="13">IF(COUNTA($G10:$L10)&lt;6,"",IF($E$1&lt;4,"",IF(COUNTA(AE10:AJ10)&lt;6,"Belum lengkap",IF((LEFT(AE10,2)=LEFT(G10,2))+(LEFT(AF10,2)=LEFT(H10,2))+(LEFT(AG10,3)=LEFT(I10,3))+(LEFT(AH10,2)=LEFT(J10,2))+(LEFT(AI10,2)=LEFT(K10,2))+(LEFT(AJ10,2)=LEFT(L10,2))=6,"Ya (6/6)","Tidak ("&amp;(LEFT(AE10,2)=LEFT(G10,2))+(LEFT(AF10,2)=LEFT(H10,2))+(LEFT(AG10,3)=LEFT(I10,3))+(LEFT(AH10,2)=LEFT(J10,2))+(LEFT(AI10,2)=LEFT(K10,2))+(LEFT(AJ10,2)=LEFT(L10,2))&amp;"/6): "&amp;TRIM(IF(NOT(LEFT(AE10,2)=LEFT(G10,2)),"V4 ","")&amp;IF(NOT(LEFT(AF10,2)=LEFT(H10,2)),"V5 ","")&amp;IF(NOT(LEFT(AG10,3)=LEFT(I10,3)),"V6 ","")&amp;IF(NOT(LEFT(AH10,2)=LEFT(J10,2)),"V7 ","")&amp;IF(NOT(LEFT(AI10,2)=LEFT(K10,2)),"V8 ","")&amp;IF(NOT(LEFT(AJ10,2)=LEFT(L10,2)),"V9 ",""))))))</f>
        <v/>
      </c>
    </row>
    <row r="11" ht="48" customHeight="1">
      <c r="A11" s="20">
        <v>8</v>
      </c>
      <c r="B11" s="21" t="str">
        <f>IF(INDEX(Korpus!$A:$A,$A11)="","",INDEX(Korpus!$A:$A,$A11))</f>
        <v>2019MHN201</v>
      </c>
      <c r="C11" s="21" t="str">
        <f>TRIM(INDEX(Korpus!$D:$D,$A11)&amp;" "&amp;INDEX(Korpus!$E:$E,$A11))</f>
        <v xml:space="preserve">Paragraf 4 Kalimat 1</v>
      </c>
      <c r="D11" s="21" t="str">
        <f>IF(INDEX(Korpus!$B:$B,$A11)="","",INDEX(Korpus!$B:$B,$A11))</f>
        <v xml:space="preserve">C. Pembahasan</v>
      </c>
      <c r="E11" s="21" t="str">
        <f>IF(INDEX(Korpus!$C:$C,$A11)="","",INDEX(Korpus!$C:$C,$A11))</f>
        <v xml:space="preserve">5. Pentingnya Perlindungan Data Pribadi</v>
      </c>
      <c r="F11" s="21" t="str">
        <f>IF(INDEX(Korpus!$F:$F,$A11)="","",INDEX(Korpus!$F:$F,$A11))</f>
        <v xml:space="preserve">Konsep perlindungan data mengisyaratkan bahwa individu memiliki hak untuk menentukan apakah mereka akan membagi atau bertukar data pribadi mereka atau tidak.</v>
      </c>
      <c r="G11" s="22"/>
      <c r="H11" s="22"/>
      <c r="I11" s="22"/>
      <c r="J11" s="22"/>
      <c r="K11" s="22"/>
      <c r="L11" s="22"/>
      <c r="M11" s="23"/>
      <c r="N11" s="23"/>
      <c r="O11" s="23"/>
      <c r="P11" s="23"/>
      <c r="Q11" s="23"/>
      <c r="R11" s="23"/>
      <c r="S11" s="24"/>
      <c r="T11" s="24"/>
      <c r="U11" s="24"/>
      <c r="V11" s="24"/>
      <c r="W11" s="24"/>
      <c r="X11" s="24"/>
      <c r="Y11" s="25"/>
      <c r="Z11" s="25"/>
      <c r="AA11" s="25"/>
      <c r="AB11" s="25"/>
      <c r="AC11" s="25"/>
      <c r="AD11" s="25"/>
      <c r="AE11" s="26"/>
      <c r="AF11" s="26"/>
      <c r="AG11" s="26"/>
      <c r="AH11" s="26"/>
      <c r="AI11" s="26"/>
      <c r="AJ11" s="26"/>
      <c r="AK11" s="20" t="str">
        <f>IF(Hitung!B11&lt;$E$1,"",IF(Hitung!C11&gt;0,"Beda","Sama"))</f>
        <v/>
      </c>
      <c r="AL11" s="20" t="str">
        <f>IF(Hitung!D11&lt;$E$1,"",IF(Hitung!E11&gt;0,"Beda","Sama"))</f>
        <v/>
      </c>
      <c r="AM11" s="20" t="str">
        <f>IF(Hitung!F11&lt;$E$1,"",IF(Hitung!G11&gt;0,"Beda","Sama"))</f>
        <v/>
      </c>
      <c r="AN11" s="20" t="str">
        <f>IF(Hitung!H11&lt;$E$1,"",IF(Hitung!I11&gt;0,"Beda","Sama"))</f>
        <v/>
      </c>
      <c r="AO11" s="20" t="str">
        <f>IF(Hitung!J11&lt;$E$1,"",IF(Hitung!K11&gt;0,"Beda","Sama"))</f>
        <v/>
      </c>
      <c r="AP11" s="20" t="str">
        <f>IF(Hitung!L11&lt;$E$1,"",IF(Hitung!M11&gt;0,"Beda","Sama"))</f>
        <v/>
      </c>
      <c r="AQ11" s="20">
        <f t="shared" si="7"/>
        <v>0</v>
      </c>
      <c r="AR11" s="27"/>
      <c r="AS11" s="27"/>
      <c r="AT11" s="27"/>
      <c r="AU11" s="27"/>
      <c r="AV11" s="27"/>
      <c r="AW11" s="27"/>
      <c r="AX11" s="28" t="str">
        <f>IF(AR11&lt;&gt;"",AR11,IF(AND(Hitung!B11=$E$1,Hitung!C11=0),M11,""))</f>
        <v/>
      </c>
      <c r="AY11" s="28" t="str">
        <f>IF(AS11&lt;&gt;"",AS11,IF(AND(Hitung!D11=$E$1,Hitung!E11=0),N11,""))</f>
        <v/>
      </c>
      <c r="AZ11" s="28" t="str">
        <f>IF(AT11&lt;&gt;"",AT11,IF(AND(Hitung!F11=$E$1,Hitung!G11=0),O11,""))</f>
        <v/>
      </c>
      <c r="BA11" s="28" t="str">
        <f>IF(AU11&lt;&gt;"",AU11,IF(AND(Hitung!H11=$E$1,Hitung!I11=0),P11,""))</f>
        <v/>
      </c>
      <c r="BB11" s="28" t="str">
        <f>IF(AV11&lt;&gt;"",AV11,IF(AND(Hitung!J11=$E$1,Hitung!K11=0),Q11,""))</f>
        <v/>
      </c>
      <c r="BC11" s="28" t="str">
        <f>IF(AW11&lt;&gt;"",AW11,IF(AND(Hitung!L11=$E$1,Hitung!M11=0),R11,""))</f>
        <v/>
      </c>
      <c r="BD11" s="29"/>
      <c r="BE11" s="20" t="str">
        <f t="shared" si="8"/>
        <v xml:space="preserve">Menunggu coder</v>
      </c>
      <c r="BF11" s="21" t="str">
        <f t="shared" si="9"/>
        <v/>
      </c>
      <c r="BG11" s="21" t="str">
        <f t="shared" si="10"/>
        <v/>
      </c>
      <c r="BH11" s="21" t="str">
        <f t="shared" si="11"/>
        <v/>
      </c>
      <c r="BI11" s="21" t="str">
        <f t="shared" si="12"/>
        <v/>
      </c>
      <c r="BJ11" s="21" t="str">
        <f t="shared" si="13"/>
        <v/>
      </c>
    </row>
    <row r="12" ht="48" customHeight="1">
      <c r="A12" s="20">
        <v>9</v>
      </c>
      <c r="B12" s="21" t="str">
        <f>IF(INDEX(Korpus!$A:$A,$A12)="","",INDEX(Korpus!$A:$A,$A12))</f>
        <v>2019MHN201</v>
      </c>
      <c r="C12" s="21" t="str">
        <f>TRIM(INDEX(Korpus!$D:$D,$A12)&amp;" "&amp;INDEX(Korpus!$E:$E,$A12))</f>
        <v xml:space="preserve">Paragraf 4 Kalimat 2</v>
      </c>
      <c r="D12" s="21" t="str">
        <f>IF(INDEX(Korpus!$B:$B,$A12)="","",INDEX(Korpus!$B:$B,$A12))</f>
        <v xml:space="preserve">C. Pembahasan</v>
      </c>
      <c r="E12" s="21" t="str">
        <f>IF(INDEX(Korpus!$C:$C,$A12)="","",INDEX(Korpus!$C:$C,$A12))</f>
        <v xml:space="preserve">5. Pentingnya Perlindungan Data Pribadi</v>
      </c>
      <c r="F12" s="21" t="str">
        <f>IF(INDEX(Korpus!$F:$F,$A12)="","",INDEX(Korpus!$F:$F,$A12))</f>
        <v xml:space="preserve">Selain itu, individu juga memiliki hak untuk menentukan syarat-syarat pelaksanaan pemindahan data pribadi tersebut.</v>
      </c>
      <c r="G12" s="22"/>
      <c r="H12" s="22"/>
      <c r="I12" s="22"/>
      <c r="J12" s="22"/>
      <c r="K12" s="22"/>
      <c r="L12" s="22"/>
      <c r="M12" s="23"/>
      <c r="N12" s="23"/>
      <c r="O12" s="23"/>
      <c r="P12" s="23"/>
      <c r="Q12" s="23"/>
      <c r="R12" s="23"/>
      <c r="S12" s="24"/>
      <c r="T12" s="24"/>
      <c r="U12" s="24"/>
      <c r="V12" s="24"/>
      <c r="W12" s="24"/>
      <c r="X12" s="24"/>
      <c r="Y12" s="25"/>
      <c r="Z12" s="25"/>
      <c r="AA12" s="25"/>
      <c r="AB12" s="25"/>
      <c r="AC12" s="25"/>
      <c r="AD12" s="25"/>
      <c r="AE12" s="26"/>
      <c r="AF12" s="26"/>
      <c r="AG12" s="26"/>
      <c r="AH12" s="26"/>
      <c r="AI12" s="26"/>
      <c r="AJ12" s="26"/>
      <c r="AK12" s="20" t="str">
        <f>IF(Hitung!B12&lt;$E$1,"",IF(Hitung!C12&gt;0,"Beda","Sama"))</f>
        <v/>
      </c>
      <c r="AL12" s="20" t="str">
        <f>IF(Hitung!D12&lt;$E$1,"",IF(Hitung!E12&gt;0,"Beda","Sama"))</f>
        <v/>
      </c>
      <c r="AM12" s="20" t="str">
        <f>IF(Hitung!F12&lt;$E$1,"",IF(Hitung!G12&gt;0,"Beda","Sama"))</f>
        <v/>
      </c>
      <c r="AN12" s="20" t="str">
        <f>IF(Hitung!H12&lt;$E$1,"",IF(Hitung!I12&gt;0,"Beda","Sama"))</f>
        <v/>
      </c>
      <c r="AO12" s="20" t="str">
        <f>IF(Hitung!J12&lt;$E$1,"",IF(Hitung!K12&gt;0,"Beda","Sama"))</f>
        <v/>
      </c>
      <c r="AP12" s="20" t="str">
        <f>IF(Hitung!L12&lt;$E$1,"",IF(Hitung!M12&gt;0,"Beda","Sama"))</f>
        <v/>
      </c>
      <c r="AQ12" s="20">
        <f t="shared" si="7"/>
        <v>0</v>
      </c>
      <c r="AR12" s="27"/>
      <c r="AS12" s="27"/>
      <c r="AT12" s="27"/>
      <c r="AU12" s="27"/>
      <c r="AV12" s="27"/>
      <c r="AW12" s="27"/>
      <c r="AX12" s="28" t="str">
        <f>IF(AR12&lt;&gt;"",AR12,IF(AND(Hitung!B12=$E$1,Hitung!C12=0),M12,""))</f>
        <v/>
      </c>
      <c r="AY12" s="28" t="str">
        <f>IF(AS12&lt;&gt;"",AS12,IF(AND(Hitung!D12=$E$1,Hitung!E12=0),N12,""))</f>
        <v/>
      </c>
      <c r="AZ12" s="28" t="str">
        <f>IF(AT12&lt;&gt;"",AT12,IF(AND(Hitung!F12=$E$1,Hitung!G12=0),O12,""))</f>
        <v/>
      </c>
      <c r="BA12" s="28" t="str">
        <f>IF(AU12&lt;&gt;"",AU12,IF(AND(Hitung!H12=$E$1,Hitung!I12=0),P12,""))</f>
        <v/>
      </c>
      <c r="BB12" s="28" t="str">
        <f>IF(AV12&lt;&gt;"",AV12,IF(AND(Hitung!J12=$E$1,Hitung!K12=0),Q12,""))</f>
        <v/>
      </c>
      <c r="BC12" s="28" t="str">
        <f>IF(AW12&lt;&gt;"",AW12,IF(AND(Hitung!L12=$E$1,Hitung!M12=0),R12,""))</f>
        <v/>
      </c>
      <c r="BD12" s="29"/>
      <c r="BE12" s="20" t="str">
        <f t="shared" si="8"/>
        <v xml:space="preserve">Menunggu coder</v>
      </c>
      <c r="BF12" s="21" t="str">
        <f t="shared" si="9"/>
        <v/>
      </c>
      <c r="BG12" s="21" t="str">
        <f t="shared" si="10"/>
        <v/>
      </c>
      <c r="BH12" s="21" t="str">
        <f t="shared" si="11"/>
        <v/>
      </c>
      <c r="BI12" s="21" t="str">
        <f t="shared" si="12"/>
        <v/>
      </c>
      <c r="BJ12" s="21" t="str">
        <f t="shared" si="13"/>
        <v/>
      </c>
    </row>
    <row r="13" ht="48" customHeight="1">
      <c r="A13" s="20">
        <v>10</v>
      </c>
      <c r="B13" s="21" t="str">
        <f>IF(INDEX(Korpus!$A:$A,$A13)="","",INDEX(Korpus!$A:$A,$A13))</f>
        <v>2019MHN201</v>
      </c>
      <c r="C13" s="21" t="str">
        <f>TRIM(INDEX(Korpus!$D:$D,$A13)&amp;" "&amp;INDEX(Korpus!$E:$E,$A13))</f>
        <v xml:space="preserve">Paragraf 4 Kalimat 3</v>
      </c>
      <c r="D13" s="21" t="str">
        <f>IF(INDEX(Korpus!$B:$B,$A13)="","",INDEX(Korpus!$B:$B,$A13))</f>
        <v xml:space="preserve">C. Pembahasan</v>
      </c>
      <c r="E13" s="21" t="str">
        <f>IF(INDEX(Korpus!$C:$C,$A13)="","",INDEX(Korpus!$C:$C,$A13))</f>
        <v xml:space="preserve">5. Pentingnya Perlindungan Data Pribadi</v>
      </c>
      <c r="F13" s="21" t="str">
        <f>IF(INDEX(Korpus!$F:$F,$A13)="","",INDEX(Korpus!$F:$F,$A13))</f>
        <v xml:space="preserve">Lebih jauh, perlindungan privasi.</v>
      </c>
      <c r="G13" s="22"/>
      <c r="H13" s="22"/>
      <c r="I13" s="22"/>
      <c r="J13" s="22"/>
      <c r="K13" s="22"/>
      <c r="L13" s="22"/>
      <c r="M13" s="23"/>
      <c r="N13" s="23"/>
      <c r="O13" s="23"/>
      <c r="P13" s="23"/>
      <c r="Q13" s="23"/>
      <c r="R13" s="23"/>
      <c r="S13" s="24"/>
      <c r="T13" s="24"/>
      <c r="U13" s="24"/>
      <c r="V13" s="24"/>
      <c r="W13" s="24"/>
      <c r="X13" s="24"/>
      <c r="Y13" s="25"/>
      <c r="Z13" s="25"/>
      <c r="AA13" s="25"/>
      <c r="AB13" s="25"/>
      <c r="AC13" s="25"/>
      <c r="AD13" s="25"/>
      <c r="AE13" s="26"/>
      <c r="AF13" s="26"/>
      <c r="AG13" s="26"/>
      <c r="AH13" s="26"/>
      <c r="AI13" s="26"/>
      <c r="AJ13" s="26"/>
      <c r="AK13" s="20" t="str">
        <f>IF(Hitung!B13&lt;$E$1,"",IF(Hitung!C13&gt;0,"Beda","Sama"))</f>
        <v/>
      </c>
      <c r="AL13" s="20" t="str">
        <f>IF(Hitung!D13&lt;$E$1,"",IF(Hitung!E13&gt;0,"Beda","Sama"))</f>
        <v/>
      </c>
      <c r="AM13" s="20" t="str">
        <f>IF(Hitung!F13&lt;$E$1,"",IF(Hitung!G13&gt;0,"Beda","Sama"))</f>
        <v/>
      </c>
      <c r="AN13" s="20" t="str">
        <f>IF(Hitung!H13&lt;$E$1,"",IF(Hitung!I13&gt;0,"Beda","Sama"))</f>
        <v/>
      </c>
      <c r="AO13" s="20" t="str">
        <f>IF(Hitung!J13&lt;$E$1,"",IF(Hitung!K13&gt;0,"Beda","Sama"))</f>
        <v/>
      </c>
      <c r="AP13" s="20" t="str">
        <f>IF(Hitung!L13&lt;$E$1,"",IF(Hitung!M13&gt;0,"Beda","Sama"))</f>
        <v/>
      </c>
      <c r="AQ13" s="20">
        <f t="shared" si="7"/>
        <v>0</v>
      </c>
      <c r="AR13" s="27"/>
      <c r="AS13" s="27"/>
      <c r="AT13" s="27"/>
      <c r="AU13" s="27"/>
      <c r="AV13" s="27"/>
      <c r="AW13" s="27"/>
      <c r="AX13" s="28" t="str">
        <f>IF(AR13&lt;&gt;"",AR13,IF(AND(Hitung!B13=$E$1,Hitung!C13=0),M13,""))</f>
        <v/>
      </c>
      <c r="AY13" s="28" t="str">
        <f>IF(AS13&lt;&gt;"",AS13,IF(AND(Hitung!D13=$E$1,Hitung!E13=0),N13,""))</f>
        <v/>
      </c>
      <c r="AZ13" s="28" t="str">
        <f>IF(AT13&lt;&gt;"",AT13,IF(AND(Hitung!F13=$E$1,Hitung!G13=0),O13,""))</f>
        <v/>
      </c>
      <c r="BA13" s="28" t="str">
        <f>IF(AU13&lt;&gt;"",AU13,IF(AND(Hitung!H13=$E$1,Hitung!I13=0),P13,""))</f>
        <v/>
      </c>
      <c r="BB13" s="28" t="str">
        <f>IF(AV13&lt;&gt;"",AV13,IF(AND(Hitung!J13=$E$1,Hitung!K13=0),Q13,""))</f>
        <v/>
      </c>
      <c r="BC13" s="28" t="str">
        <f>IF(AW13&lt;&gt;"",AW13,IF(AND(Hitung!L13=$E$1,Hitung!M13=0),R13,""))</f>
        <v/>
      </c>
      <c r="BD13" s="29"/>
      <c r="BE13" s="20" t="str">
        <f t="shared" si="8"/>
        <v xml:space="preserve">Menunggu coder</v>
      </c>
      <c r="BF13" s="21" t="str">
        <f t="shared" si="9"/>
        <v/>
      </c>
      <c r="BG13" s="21" t="str">
        <f t="shared" si="10"/>
        <v/>
      </c>
      <c r="BH13" s="21" t="str">
        <f t="shared" si="11"/>
        <v/>
      </c>
      <c r="BI13" s="21" t="str">
        <f t="shared" si="12"/>
        <v/>
      </c>
      <c r="BJ13" s="21" t="str">
        <f t="shared" si="13"/>
        <v/>
      </c>
    </row>
    <row r="14" ht="48" customHeight="1">
      <c r="A14" s="20">
        <v>11</v>
      </c>
      <c r="B14" s="21" t="str">
        <f>IF(INDEX(Korpus!$A:$A,$A14)="","",INDEX(Korpus!$A:$A,$A14))</f>
        <v>2019MHN201</v>
      </c>
      <c r="C14" s="21" t="str">
        <f>TRIM(INDEX(Korpus!$D:$D,$A14)&amp;" "&amp;INDEX(Korpus!$E:$E,$A14))</f>
        <v xml:space="preserve">Paragraf 4 Kalimat 4</v>
      </c>
      <c r="D14" s="21" t="str">
        <f>IF(INDEX(Korpus!$B:$B,$A14)="","",INDEX(Korpus!$B:$B,$A14))</f>
        <v xml:space="preserve">C. Pembahasan</v>
      </c>
      <c r="E14" s="21" t="str">
        <f>IF(INDEX(Korpus!$C:$C,$A14)="","",INDEX(Korpus!$C:$C,$A14))</f>
        <v xml:space="preserve">5. Pentingnya Perlindungan Data Pribadi</v>
      </c>
      <c r="F14" s="21" t="str">
        <f>IF(INDEX(Korpus!$F:$F,$A14)="","",INDEX(Korpus!$F:$F,$A14))</f>
        <v xml:space="preserve">Hak privasi telah berkembang sehingga dapat digunakan untuk merumuskan hak untuk melindungi data pribadi.</v>
      </c>
      <c r="G14" s="22"/>
      <c r="H14" s="22"/>
      <c r="I14" s="22"/>
      <c r="J14" s="22"/>
      <c r="K14" s="22"/>
      <c r="L14" s="22"/>
      <c r="M14" s="23"/>
      <c r="N14" s="23"/>
      <c r="O14" s="23"/>
      <c r="P14" s="23"/>
      <c r="Q14" s="23"/>
      <c r="R14" s="23"/>
      <c r="S14" s="24"/>
      <c r="T14" s="24"/>
      <c r="U14" s="24"/>
      <c r="V14" s="24"/>
      <c r="W14" s="24"/>
      <c r="X14" s="24"/>
      <c r="Y14" s="25"/>
      <c r="Z14" s="25"/>
      <c r="AA14" s="25"/>
      <c r="AB14" s="25"/>
      <c r="AC14" s="25"/>
      <c r="AD14" s="25"/>
      <c r="AE14" s="26"/>
      <c r="AF14" s="26"/>
      <c r="AG14" s="26"/>
      <c r="AH14" s="26"/>
      <c r="AI14" s="26"/>
      <c r="AJ14" s="26"/>
      <c r="AK14" s="20" t="str">
        <f>IF(Hitung!B14&lt;$E$1,"",IF(Hitung!C14&gt;0,"Beda","Sama"))</f>
        <v/>
      </c>
      <c r="AL14" s="20" t="str">
        <f>IF(Hitung!D14&lt;$E$1,"",IF(Hitung!E14&gt;0,"Beda","Sama"))</f>
        <v/>
      </c>
      <c r="AM14" s="20" t="str">
        <f>IF(Hitung!F14&lt;$E$1,"",IF(Hitung!G14&gt;0,"Beda","Sama"))</f>
        <v/>
      </c>
      <c r="AN14" s="20" t="str">
        <f>IF(Hitung!H14&lt;$E$1,"",IF(Hitung!I14&gt;0,"Beda","Sama"))</f>
        <v/>
      </c>
      <c r="AO14" s="20" t="str">
        <f>IF(Hitung!J14&lt;$E$1,"",IF(Hitung!K14&gt;0,"Beda","Sama"))</f>
        <v/>
      </c>
      <c r="AP14" s="20" t="str">
        <f>IF(Hitung!L14&lt;$E$1,"",IF(Hitung!M14&gt;0,"Beda","Sama"))</f>
        <v/>
      </c>
      <c r="AQ14" s="20">
        <f t="shared" si="7"/>
        <v>0</v>
      </c>
      <c r="AR14" s="27"/>
      <c r="AS14" s="27"/>
      <c r="AT14" s="27"/>
      <c r="AU14" s="27"/>
      <c r="AV14" s="27"/>
      <c r="AW14" s="27"/>
      <c r="AX14" s="28" t="str">
        <f>IF(AR14&lt;&gt;"",AR14,IF(AND(Hitung!B14=$E$1,Hitung!C14=0),M14,""))</f>
        <v/>
      </c>
      <c r="AY14" s="28" t="str">
        <f>IF(AS14&lt;&gt;"",AS14,IF(AND(Hitung!D14=$E$1,Hitung!E14=0),N14,""))</f>
        <v/>
      </c>
      <c r="AZ14" s="28" t="str">
        <f>IF(AT14&lt;&gt;"",AT14,IF(AND(Hitung!F14=$E$1,Hitung!G14=0),O14,""))</f>
        <v/>
      </c>
      <c r="BA14" s="28" t="str">
        <f>IF(AU14&lt;&gt;"",AU14,IF(AND(Hitung!H14=$E$1,Hitung!I14=0),P14,""))</f>
        <v/>
      </c>
      <c r="BB14" s="28" t="str">
        <f>IF(AV14&lt;&gt;"",AV14,IF(AND(Hitung!J14=$E$1,Hitung!K14=0),Q14,""))</f>
        <v/>
      </c>
      <c r="BC14" s="28" t="str">
        <f>IF(AW14&lt;&gt;"",AW14,IF(AND(Hitung!L14=$E$1,Hitung!M14=0),R14,""))</f>
        <v/>
      </c>
      <c r="BD14" s="29"/>
      <c r="BE14" s="20" t="str">
        <f t="shared" si="8"/>
        <v xml:space="preserve">Menunggu coder</v>
      </c>
      <c r="BF14" s="21" t="str">
        <f t="shared" si="9"/>
        <v/>
      </c>
      <c r="BG14" s="21" t="str">
        <f t="shared" si="10"/>
        <v/>
      </c>
      <c r="BH14" s="21" t="str">
        <f t="shared" si="11"/>
        <v/>
      </c>
      <c r="BI14" s="21" t="str">
        <f t="shared" si="12"/>
        <v/>
      </c>
      <c r="BJ14" s="21" t="str">
        <f t="shared" si="13"/>
        <v/>
      </c>
    </row>
    <row r="15" ht="48" customHeight="1">
      <c r="A15" s="20">
        <v>12</v>
      </c>
      <c r="B15" s="21" t="str">
        <f>IF(INDEX(Korpus!$A:$A,$A15)="","",INDEX(Korpus!$A:$A,$A15))</f>
        <v>2019MHN201</v>
      </c>
      <c r="C15" s="21" t="str">
        <f>TRIM(INDEX(Korpus!$D:$D,$A15)&amp;" "&amp;INDEX(Korpus!$E:$E,$A15))</f>
        <v xml:space="preserve">Paragraf 5 Kalimat 1</v>
      </c>
      <c r="D15" s="21" t="str">
        <f>IF(INDEX(Korpus!$B:$B,$A15)="","",INDEX(Korpus!$B:$B,$A15))</f>
        <v xml:space="preserve">C. Pembahasan</v>
      </c>
      <c r="E15" s="21" t="str">
        <f>IF(INDEX(Korpus!$C:$C,$A15)="","",INDEX(Korpus!$C:$C,$A15))</f>
        <v xml:space="preserve">5. Pentingnya Perlindungan Data Pribadi</v>
      </c>
      <c r="F15" s="21" t="str">
        <f>IF(INDEX(Korpus!$F:$F,$A15)="","",INDEX(Korpus!$F:$F,$A15))</f>
        <v xml:space="preserve">Perlindungan data pribadi telah diatur di dalam UUD NKRI Tahun 1945.</v>
      </c>
      <c r="G15" s="22"/>
      <c r="H15" s="22"/>
      <c r="I15" s="22"/>
      <c r="J15" s="22"/>
      <c r="K15" s="22"/>
      <c r="L15" s="22"/>
      <c r="M15" s="23"/>
      <c r="N15" s="23"/>
      <c r="O15" s="23"/>
      <c r="P15" s="23"/>
      <c r="Q15" s="23"/>
      <c r="R15" s="23"/>
      <c r="S15" s="24"/>
      <c r="T15" s="24"/>
      <c r="U15" s="24"/>
      <c r="V15" s="24"/>
      <c r="W15" s="24"/>
      <c r="X15" s="24"/>
      <c r="Y15" s="25"/>
      <c r="Z15" s="25"/>
      <c r="AA15" s="25"/>
      <c r="AB15" s="25"/>
      <c r="AC15" s="25"/>
      <c r="AD15" s="25"/>
      <c r="AE15" s="26"/>
      <c r="AF15" s="26"/>
      <c r="AG15" s="26"/>
      <c r="AH15" s="26"/>
      <c r="AI15" s="26"/>
      <c r="AJ15" s="26"/>
      <c r="AK15" s="20" t="str">
        <f>IF(Hitung!B15&lt;$E$1,"",IF(Hitung!C15&gt;0,"Beda","Sama"))</f>
        <v/>
      </c>
      <c r="AL15" s="20" t="str">
        <f>IF(Hitung!D15&lt;$E$1,"",IF(Hitung!E15&gt;0,"Beda","Sama"))</f>
        <v/>
      </c>
      <c r="AM15" s="20" t="str">
        <f>IF(Hitung!F15&lt;$E$1,"",IF(Hitung!G15&gt;0,"Beda","Sama"))</f>
        <v/>
      </c>
      <c r="AN15" s="20" t="str">
        <f>IF(Hitung!H15&lt;$E$1,"",IF(Hitung!I15&gt;0,"Beda","Sama"))</f>
        <v/>
      </c>
      <c r="AO15" s="20" t="str">
        <f>IF(Hitung!J15&lt;$E$1,"",IF(Hitung!K15&gt;0,"Beda","Sama"))</f>
        <v/>
      </c>
      <c r="AP15" s="20" t="str">
        <f>IF(Hitung!L15&lt;$E$1,"",IF(Hitung!M15&gt;0,"Beda","Sama"))</f>
        <v/>
      </c>
      <c r="AQ15" s="20">
        <f t="shared" si="7"/>
        <v>0</v>
      </c>
      <c r="AR15" s="27"/>
      <c r="AS15" s="27"/>
      <c r="AT15" s="27"/>
      <c r="AU15" s="27"/>
      <c r="AV15" s="27"/>
      <c r="AW15" s="27"/>
      <c r="AX15" s="28" t="str">
        <f>IF(AR15&lt;&gt;"",AR15,IF(AND(Hitung!B15=$E$1,Hitung!C15=0),M15,""))</f>
        <v/>
      </c>
      <c r="AY15" s="28" t="str">
        <f>IF(AS15&lt;&gt;"",AS15,IF(AND(Hitung!D15=$E$1,Hitung!E15=0),N15,""))</f>
        <v/>
      </c>
      <c r="AZ15" s="28" t="str">
        <f>IF(AT15&lt;&gt;"",AT15,IF(AND(Hitung!F15=$E$1,Hitung!G15=0),O15,""))</f>
        <v/>
      </c>
      <c r="BA15" s="28" t="str">
        <f>IF(AU15&lt;&gt;"",AU15,IF(AND(Hitung!H15=$E$1,Hitung!I15=0),P15,""))</f>
        <v/>
      </c>
      <c r="BB15" s="28" t="str">
        <f>IF(AV15&lt;&gt;"",AV15,IF(AND(Hitung!J15=$E$1,Hitung!K15=0),Q15,""))</f>
        <v/>
      </c>
      <c r="BC15" s="28" t="str">
        <f>IF(AW15&lt;&gt;"",AW15,IF(AND(Hitung!L15=$E$1,Hitung!M15=0),R15,""))</f>
        <v/>
      </c>
      <c r="BD15" s="29"/>
      <c r="BE15" s="20" t="str">
        <f t="shared" si="8"/>
        <v xml:space="preserve">Menunggu coder</v>
      </c>
      <c r="BF15" s="21" t="str">
        <f t="shared" si="9"/>
        <v/>
      </c>
      <c r="BG15" s="21" t="str">
        <f t="shared" si="10"/>
        <v/>
      </c>
      <c r="BH15" s="21" t="str">
        <f t="shared" si="11"/>
        <v/>
      </c>
      <c r="BI15" s="21" t="str">
        <f t="shared" si="12"/>
        <v/>
      </c>
      <c r="BJ15" s="21" t="str">
        <f t="shared" si="13"/>
        <v/>
      </c>
    </row>
    <row r="16" ht="48" customHeight="1">
      <c r="A16" s="20">
        <v>13</v>
      </c>
      <c r="B16" s="21" t="str">
        <f>IF(INDEX(Korpus!$A:$A,$A16)="","",INDEX(Korpus!$A:$A,$A16))</f>
        <v>2019MHN201</v>
      </c>
      <c r="C16" s="21" t="str">
        <f>TRIM(INDEX(Korpus!$D:$D,$A16)&amp;" "&amp;INDEX(Korpus!$E:$E,$A16))</f>
        <v xml:space="preserve">Paragraf 5 Kalimat 2</v>
      </c>
      <c r="D16" s="21" t="str">
        <f>IF(INDEX(Korpus!$B:$B,$A16)="","",INDEX(Korpus!$B:$B,$A16))</f>
        <v xml:space="preserve">C. Pembahasan</v>
      </c>
      <c r="E16" s="21" t="str">
        <f>IF(INDEX(Korpus!$C:$C,$A16)="","",INDEX(Korpus!$C:$C,$A16))</f>
        <v xml:space="preserve">5. Pentingnya Perlindungan Data Pribadi</v>
      </c>
      <c r="F16" s="21" t="str">
        <f>IF(INDEX(Korpus!$F:$F,$A16)="","",INDEX(Korpus!$F:$F,$A16))</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G16" s="22"/>
      <c r="H16" s="22"/>
      <c r="I16" s="22"/>
      <c r="J16" s="22"/>
      <c r="K16" s="22"/>
      <c r="L16" s="22"/>
      <c r="M16" s="23" t="s">
        <v>117</v>
      </c>
      <c r="N16" s="23" t="s">
        <v>111</v>
      </c>
      <c r="O16" s="23" t="s">
        <v>112</v>
      </c>
      <c r="P16" s="23" t="s">
        <v>113</v>
      </c>
      <c r="Q16" s="23" t="s">
        <v>114</v>
      </c>
      <c r="R16" s="23" t="s">
        <v>118</v>
      </c>
      <c r="S16" s="24"/>
      <c r="T16" s="24"/>
      <c r="U16" s="24"/>
      <c r="V16" s="24"/>
      <c r="W16" s="24"/>
      <c r="X16" s="24"/>
      <c r="Y16" s="25"/>
      <c r="Z16" s="25"/>
      <c r="AA16" s="25"/>
      <c r="AB16" s="25"/>
      <c r="AC16" s="25"/>
      <c r="AD16" s="25"/>
      <c r="AE16" s="26"/>
      <c r="AF16" s="26"/>
      <c r="AG16" s="26"/>
      <c r="AH16" s="26"/>
      <c r="AI16" s="26"/>
      <c r="AJ16" s="26"/>
      <c r="AK16" s="20" t="str">
        <f>IF(Hitung!B16&lt;$E$1,"",IF(Hitung!C16&gt;0,"Beda","Sama"))</f>
        <v/>
      </c>
      <c r="AL16" s="20" t="str">
        <f>IF(Hitung!D16&lt;$E$1,"",IF(Hitung!E16&gt;0,"Beda","Sama"))</f>
        <v/>
      </c>
      <c r="AM16" s="20" t="str">
        <f>IF(Hitung!F16&lt;$E$1,"",IF(Hitung!G16&gt;0,"Beda","Sama"))</f>
        <v/>
      </c>
      <c r="AN16" s="20" t="str">
        <f>IF(Hitung!H16&lt;$E$1,"",IF(Hitung!I16&gt;0,"Beda","Sama"))</f>
        <v/>
      </c>
      <c r="AO16" s="20" t="str">
        <f>IF(Hitung!J16&lt;$E$1,"",IF(Hitung!K16&gt;0,"Beda","Sama"))</f>
        <v/>
      </c>
      <c r="AP16" s="20" t="str">
        <f>IF(Hitung!L16&lt;$E$1,"",IF(Hitung!M16&gt;0,"Beda","Sama"))</f>
        <v/>
      </c>
      <c r="AQ16" s="20">
        <f t="shared" si="7"/>
        <v>0</v>
      </c>
      <c r="AR16" s="27"/>
      <c r="AS16" s="27"/>
      <c r="AT16" s="27"/>
      <c r="AU16" s="27"/>
      <c r="AV16" s="27"/>
      <c r="AW16" s="27"/>
      <c r="AX16" s="28" t="str">
        <f>IF(AR16&lt;&gt;"",AR16,IF(AND(Hitung!B16=$E$1,Hitung!C16=0),M16,""))</f>
        <v/>
      </c>
      <c r="AY16" s="28" t="str">
        <f>IF(AS16&lt;&gt;"",AS16,IF(AND(Hitung!D16=$E$1,Hitung!E16=0),N16,""))</f>
        <v/>
      </c>
      <c r="AZ16" s="28" t="str">
        <f>IF(AT16&lt;&gt;"",AT16,IF(AND(Hitung!F16=$E$1,Hitung!G16=0),O16,""))</f>
        <v/>
      </c>
      <c r="BA16" s="28" t="str">
        <f>IF(AU16&lt;&gt;"",AU16,IF(AND(Hitung!H16=$E$1,Hitung!I16=0),P16,""))</f>
        <v/>
      </c>
      <c r="BB16" s="28" t="str">
        <f>IF(AV16&lt;&gt;"",AV16,IF(AND(Hitung!J16=$E$1,Hitung!K16=0),Q16,""))</f>
        <v/>
      </c>
      <c r="BC16" s="28" t="str">
        <f>IF(AW16&lt;&gt;"",AW16,IF(AND(Hitung!L16=$E$1,Hitung!M16=0),R16,""))</f>
        <v/>
      </c>
      <c r="BD16" s="29"/>
      <c r="BE16" s="20" t="str">
        <f t="shared" si="8"/>
        <v xml:space="preserve">Menunggu coder</v>
      </c>
      <c r="BF16" s="21" t="str">
        <f t="shared" si="9"/>
        <v/>
      </c>
      <c r="BG16" s="21" t="str">
        <f t="shared" si="10"/>
        <v/>
      </c>
      <c r="BH16" s="21" t="str">
        <f t="shared" si="11"/>
        <v/>
      </c>
      <c r="BI16" s="21" t="str">
        <f t="shared" si="12"/>
        <v/>
      </c>
      <c r="BJ16" s="21" t="str">
        <f t="shared" si="13"/>
        <v/>
      </c>
      <c r="BK16" s="8" t="s">
        <v>119</v>
      </c>
    </row>
    <row r="17" ht="48" customHeight="1">
      <c r="A17" s="20">
        <v>14</v>
      </c>
      <c r="B17" s="21" t="str">
        <f>IF(INDEX(Korpus!$A:$A,$A17)="","",INDEX(Korpus!$A:$A,$A17))</f>
        <v>2019MHN201</v>
      </c>
      <c r="C17" s="21" t="str">
        <f>TRIM(INDEX(Korpus!$D:$D,$A17)&amp;" "&amp;INDEX(Korpus!$E:$E,$A17))</f>
        <v xml:space="preserve">Paragraf 6 Kalimat 1</v>
      </c>
      <c r="D17" s="21" t="str">
        <f>IF(INDEX(Korpus!$B:$B,$A17)="","",INDEX(Korpus!$B:$B,$A17))</f>
        <v xml:space="preserve">C. Pembahasan</v>
      </c>
      <c r="E17" s="21" t="str">
        <f>IF(INDEX(Korpus!$C:$C,$A17)="","",INDEX(Korpus!$C:$C,$A17))</f>
        <v xml:space="preserve">5. Pentingnya Perlindungan Data Pribadi</v>
      </c>
      <c r="F17" s="21" t="str">
        <f>IF(INDEX(Korpus!$F:$F,$A17)="","",INDEX(Korpus!$F:$F,$A17))</f>
        <v xml:space="preserve">Selain itu beberapa peraturan nasional secara umum telah mengatur untuk memberikan perlindungan data pribadi antara lain:</v>
      </c>
      <c r="G17" s="22"/>
      <c r="H17" s="22"/>
      <c r="I17" s="22"/>
      <c r="J17" s="22"/>
      <c r="K17" s="22"/>
      <c r="L17" s="22"/>
      <c r="M17" s="23"/>
      <c r="N17" s="23"/>
      <c r="O17" s="23"/>
      <c r="P17" s="23"/>
      <c r="Q17" s="23"/>
      <c r="R17" s="23"/>
      <c r="S17" s="24"/>
      <c r="T17" s="24"/>
      <c r="U17" s="24"/>
      <c r="V17" s="24"/>
      <c r="W17" s="24"/>
      <c r="X17" s="24"/>
      <c r="Y17" s="25"/>
      <c r="Z17" s="25"/>
      <c r="AA17" s="25"/>
      <c r="AB17" s="25"/>
      <c r="AC17" s="25"/>
      <c r="AD17" s="25"/>
      <c r="AE17" s="26"/>
      <c r="AF17" s="26"/>
      <c r="AG17" s="26"/>
      <c r="AH17" s="26"/>
      <c r="AI17" s="26"/>
      <c r="AJ17" s="26"/>
      <c r="AK17" s="20" t="str">
        <f>IF(Hitung!B17&lt;$E$1,"",IF(Hitung!C17&gt;0,"Beda","Sama"))</f>
        <v/>
      </c>
      <c r="AL17" s="20" t="str">
        <f>IF(Hitung!D17&lt;$E$1,"",IF(Hitung!E17&gt;0,"Beda","Sama"))</f>
        <v/>
      </c>
      <c r="AM17" s="20" t="str">
        <f>IF(Hitung!F17&lt;$E$1,"",IF(Hitung!G17&gt;0,"Beda","Sama"))</f>
        <v/>
      </c>
      <c r="AN17" s="20" t="str">
        <f>IF(Hitung!H17&lt;$E$1,"",IF(Hitung!I17&gt;0,"Beda","Sama"))</f>
        <v/>
      </c>
      <c r="AO17" s="20" t="str">
        <f>IF(Hitung!J17&lt;$E$1,"",IF(Hitung!K17&gt;0,"Beda","Sama"))</f>
        <v/>
      </c>
      <c r="AP17" s="20" t="str">
        <f>IF(Hitung!L17&lt;$E$1,"",IF(Hitung!M17&gt;0,"Beda","Sama"))</f>
        <v/>
      </c>
      <c r="AQ17" s="20">
        <f t="shared" si="7"/>
        <v>0</v>
      </c>
      <c r="AR17" s="27"/>
      <c r="AS17" s="27"/>
      <c r="AT17" s="27"/>
      <c r="AU17" s="27"/>
      <c r="AV17" s="27"/>
      <c r="AW17" s="27"/>
      <c r="AX17" s="28" t="str">
        <f>IF(AR17&lt;&gt;"",AR17,IF(AND(Hitung!B17=$E$1,Hitung!C17=0),M17,""))</f>
        <v/>
      </c>
      <c r="AY17" s="28" t="str">
        <f>IF(AS17&lt;&gt;"",AS17,IF(AND(Hitung!D17=$E$1,Hitung!E17=0),N17,""))</f>
        <v/>
      </c>
      <c r="AZ17" s="28" t="str">
        <f>IF(AT17&lt;&gt;"",AT17,IF(AND(Hitung!F17=$E$1,Hitung!G17=0),O17,""))</f>
        <v/>
      </c>
      <c r="BA17" s="28" t="str">
        <f>IF(AU17&lt;&gt;"",AU17,IF(AND(Hitung!H17=$E$1,Hitung!I17=0),P17,""))</f>
        <v/>
      </c>
      <c r="BB17" s="28" t="str">
        <f>IF(AV17&lt;&gt;"",AV17,IF(AND(Hitung!J17=$E$1,Hitung!K17=0),Q17,""))</f>
        <v/>
      </c>
      <c r="BC17" s="28" t="str">
        <f>IF(AW17&lt;&gt;"",AW17,IF(AND(Hitung!L17=$E$1,Hitung!M17=0),R17,""))</f>
        <v/>
      </c>
      <c r="BD17" s="29"/>
      <c r="BE17" s="20" t="str">
        <f t="shared" si="8"/>
        <v xml:space="preserve">Menunggu coder</v>
      </c>
      <c r="BF17" s="21" t="str">
        <f t="shared" si="9"/>
        <v/>
      </c>
      <c r="BG17" s="21" t="str">
        <f t="shared" si="10"/>
        <v/>
      </c>
      <c r="BH17" s="21" t="str">
        <f t="shared" si="11"/>
        <v/>
      </c>
      <c r="BI17" s="21" t="str">
        <f t="shared" si="12"/>
        <v/>
      </c>
      <c r="BJ17" s="21" t="str">
        <f t="shared" si="13"/>
        <v/>
      </c>
    </row>
    <row r="18" ht="48" customHeight="1">
      <c r="A18" s="20">
        <v>15</v>
      </c>
      <c r="B18" s="21" t="str">
        <f>IF(INDEX(Korpus!$A:$A,$A18)="","",INDEX(Korpus!$A:$A,$A18))</f>
        <v>2019MHN201</v>
      </c>
      <c r="C18" s="21" t="str">
        <f>TRIM(INDEX(Korpus!$D:$D,$A18)&amp;" "&amp;INDEX(Korpus!$E:$E,$A18))</f>
        <v xml:space="preserve">Paragraf 6 Kalimat 2</v>
      </c>
      <c r="D18" s="21" t="str">
        <f>IF(INDEX(Korpus!$B:$B,$A18)="","",INDEX(Korpus!$B:$B,$A18))</f>
        <v xml:space="preserve">C. Pembahasan</v>
      </c>
      <c r="E18" s="21" t="str">
        <f>IF(INDEX(Korpus!$C:$C,$A18)="","",INDEX(Korpus!$C:$C,$A18))</f>
        <v xml:space="preserve">5. Pentingnya Perlindungan Data Pribadi</v>
      </c>
      <c r="F18" s="21" t="str">
        <f>IF(INDEX(Korpus!$F:$F,$A18)="","",INDEX(Korpus!$F:$F,$A18))</f>
        <v xml:space="preserve">1) Undang-Undang Nomor 19 Tahun 2016 Tentang Perubahan Atas Undang-Undang Nomor 11 Tahun 2008 Tentang Informasi dan Transaksi Elektronik</v>
      </c>
      <c r="G18" s="22" t="s">
        <v>104</v>
      </c>
      <c r="H18" s="22" t="s">
        <v>120</v>
      </c>
      <c r="I18" s="22" t="s">
        <v>106</v>
      </c>
      <c r="J18" s="22" t="s">
        <v>107</v>
      </c>
      <c r="K18" s="22" t="s">
        <v>108</v>
      </c>
      <c r="L18" s="22" t="s">
        <v>109</v>
      </c>
      <c r="M18" s="23" t="s">
        <v>121</v>
      </c>
      <c r="N18" s="23" t="s">
        <v>105</v>
      </c>
      <c r="O18" s="23" t="s">
        <v>122</v>
      </c>
      <c r="P18" s="23" t="s">
        <v>123</v>
      </c>
      <c r="Q18" s="23" t="s">
        <v>124</v>
      </c>
      <c r="R18" s="23" t="s">
        <v>125</v>
      </c>
      <c r="S18" s="24"/>
      <c r="T18" s="24"/>
      <c r="U18" s="24"/>
      <c r="V18" s="24"/>
      <c r="W18" s="24"/>
      <c r="X18" s="24"/>
      <c r="Y18" s="25"/>
      <c r="Z18" s="25"/>
      <c r="AA18" s="25"/>
      <c r="AB18" s="25"/>
      <c r="AC18" s="25"/>
      <c r="AD18" s="25"/>
      <c r="AE18" s="26"/>
      <c r="AF18" s="26"/>
      <c r="AG18" s="26"/>
      <c r="AH18" s="26"/>
      <c r="AI18" s="26"/>
      <c r="AJ18" s="26"/>
      <c r="AK18" s="20" t="str">
        <f>IF(Hitung!B18&lt;$E$1,"",IF(Hitung!C18&gt;0,"Beda","Sama"))</f>
        <v/>
      </c>
      <c r="AL18" s="20" t="str">
        <f>IF(Hitung!D18&lt;$E$1,"",IF(Hitung!E18&gt;0,"Beda","Sama"))</f>
        <v/>
      </c>
      <c r="AM18" s="20" t="str">
        <f>IF(Hitung!F18&lt;$E$1,"",IF(Hitung!G18&gt;0,"Beda","Sama"))</f>
        <v/>
      </c>
      <c r="AN18" s="20" t="str">
        <f>IF(Hitung!H18&lt;$E$1,"",IF(Hitung!I18&gt;0,"Beda","Sama"))</f>
        <v/>
      </c>
      <c r="AO18" s="20" t="str">
        <f>IF(Hitung!J18&lt;$E$1,"",IF(Hitung!K18&gt;0,"Beda","Sama"))</f>
        <v/>
      </c>
      <c r="AP18" s="20" t="str">
        <f>IF(Hitung!L18&lt;$E$1,"",IF(Hitung!M18&gt;0,"Beda","Sama"))</f>
        <v/>
      </c>
      <c r="AQ18" s="20">
        <f t="shared" si="7"/>
        <v>0</v>
      </c>
      <c r="AR18" s="27"/>
      <c r="AS18" s="27"/>
      <c r="AT18" s="27"/>
      <c r="AU18" s="27"/>
      <c r="AV18" s="27"/>
      <c r="AW18" s="27"/>
      <c r="AX18" s="28" t="str">
        <f>IF(AR18&lt;&gt;"",AR18,IF(AND(Hitung!B18=$E$1,Hitung!C18=0),M18,""))</f>
        <v/>
      </c>
      <c r="AY18" s="28" t="str">
        <f>IF(AS18&lt;&gt;"",AS18,IF(AND(Hitung!D18=$E$1,Hitung!E18=0),N18,""))</f>
        <v/>
      </c>
      <c r="AZ18" s="28" t="str">
        <f>IF(AT18&lt;&gt;"",AT18,IF(AND(Hitung!F18=$E$1,Hitung!G18=0),O18,""))</f>
        <v/>
      </c>
      <c r="BA18" s="28" t="str">
        <f>IF(AU18&lt;&gt;"",AU18,IF(AND(Hitung!H18=$E$1,Hitung!I18=0),P18,""))</f>
        <v/>
      </c>
      <c r="BB18" s="28" t="str">
        <f>IF(AV18&lt;&gt;"",AV18,IF(AND(Hitung!J18=$E$1,Hitung!K18=0),Q18,""))</f>
        <v/>
      </c>
      <c r="BC18" s="28" t="str">
        <f>IF(AW18&lt;&gt;"",AW18,IF(AND(Hitung!L18=$E$1,Hitung!M18=0),R18,""))</f>
        <v/>
      </c>
      <c r="BD18" s="29"/>
      <c r="BE18" s="20" t="str">
        <f t="shared" si="8"/>
        <v xml:space="preserve">Menunggu coder</v>
      </c>
      <c r="BF18" s="21" t="str">
        <f t="shared" si="9"/>
        <v/>
      </c>
      <c r="BG18" s="21" t="str">
        <f t="shared" si="10"/>
        <v xml:space="preserve">Tidak (0/6): V4 V5 V6 V7 V8 V9</v>
      </c>
      <c r="BH18" s="21" t="str">
        <f t="shared" si="11"/>
        <v xml:space="preserve">Belum lengkap</v>
      </c>
      <c r="BI18" s="21" t="str">
        <f t="shared" si="12"/>
        <v/>
      </c>
      <c r="BJ18" s="21" t="str">
        <f t="shared" si="13"/>
        <v/>
      </c>
      <c r="BK18" s="8" t="s">
        <v>116</v>
      </c>
    </row>
    <row r="19" ht="48" customHeight="1">
      <c r="A19" s="20">
        <v>16</v>
      </c>
      <c r="B19" s="21" t="str">
        <f>IF(INDEX(Korpus!$A:$A,$A19)="","",INDEX(Korpus!$A:$A,$A19))</f>
        <v>2019MHN201</v>
      </c>
      <c r="C19" s="21" t="str">
        <f>TRIM(INDEX(Korpus!$D:$D,$A19)&amp;" "&amp;INDEX(Korpus!$E:$E,$A19))</f>
        <v xml:space="preserve">Paragraf 6 Kalimat 3</v>
      </c>
      <c r="D19" s="21" t="str">
        <f>IF(INDEX(Korpus!$B:$B,$A19)="","",INDEX(Korpus!$B:$B,$A19))</f>
        <v xml:space="preserve">C. Pembahasan</v>
      </c>
      <c r="E19" s="21" t="str">
        <f>IF(INDEX(Korpus!$C:$C,$A19)="","",INDEX(Korpus!$C:$C,$A19))</f>
        <v xml:space="preserve">5. Pentingnya Perlindungan Data Pribadi</v>
      </c>
      <c r="F19" s="21" t="str">
        <f>IF(INDEX(Korpus!$F:$F,$A19)="","",INDEX(Korpus!$F:$F,$A19))</f>
        <v xml:space="preserve">2) Undang-Undang Nomor 11 Tahun 2008 Tentang Informasi dan Transaksi Elektronik</v>
      </c>
      <c r="G19" s="22"/>
      <c r="H19" s="22"/>
      <c r="I19" s="22"/>
      <c r="J19" s="22"/>
      <c r="K19" s="22"/>
      <c r="L19" s="22"/>
      <c r="M19" s="23"/>
      <c r="N19" s="23"/>
      <c r="O19" s="23"/>
      <c r="P19" s="23"/>
      <c r="Q19" s="23"/>
      <c r="R19" s="23"/>
      <c r="S19" s="24"/>
      <c r="T19" s="24"/>
      <c r="U19" s="24"/>
      <c r="V19" s="24"/>
      <c r="W19" s="24"/>
      <c r="X19" s="24"/>
      <c r="Y19" s="25"/>
      <c r="Z19" s="25"/>
      <c r="AA19" s="25"/>
      <c r="AB19" s="25"/>
      <c r="AC19" s="25"/>
      <c r="AD19" s="25"/>
      <c r="AE19" s="26"/>
      <c r="AF19" s="26"/>
      <c r="AG19" s="26"/>
      <c r="AH19" s="26"/>
      <c r="AI19" s="26"/>
      <c r="AJ19" s="26"/>
      <c r="AK19" s="20" t="str">
        <f>IF(Hitung!B19&lt;$E$1,"",IF(Hitung!C19&gt;0,"Beda","Sama"))</f>
        <v/>
      </c>
      <c r="AL19" s="20" t="str">
        <f>IF(Hitung!D19&lt;$E$1,"",IF(Hitung!E19&gt;0,"Beda","Sama"))</f>
        <v/>
      </c>
      <c r="AM19" s="20" t="str">
        <f>IF(Hitung!F19&lt;$E$1,"",IF(Hitung!G19&gt;0,"Beda","Sama"))</f>
        <v/>
      </c>
      <c r="AN19" s="20" t="str">
        <f>IF(Hitung!H19&lt;$E$1,"",IF(Hitung!I19&gt;0,"Beda","Sama"))</f>
        <v/>
      </c>
      <c r="AO19" s="20" t="str">
        <f>IF(Hitung!J19&lt;$E$1,"",IF(Hitung!K19&gt;0,"Beda","Sama"))</f>
        <v/>
      </c>
      <c r="AP19" s="20" t="str">
        <f>IF(Hitung!L19&lt;$E$1,"",IF(Hitung!M19&gt;0,"Beda","Sama"))</f>
        <v/>
      </c>
      <c r="AQ19" s="20">
        <f t="shared" si="7"/>
        <v>0</v>
      </c>
      <c r="AR19" s="27"/>
      <c r="AS19" s="27"/>
      <c r="AT19" s="27"/>
      <c r="AU19" s="27"/>
      <c r="AV19" s="27"/>
      <c r="AW19" s="27"/>
      <c r="AX19" s="28" t="str">
        <f>IF(AR19&lt;&gt;"",AR19,IF(AND(Hitung!B19=$E$1,Hitung!C19=0),M19,""))</f>
        <v/>
      </c>
      <c r="AY19" s="28" t="str">
        <f>IF(AS19&lt;&gt;"",AS19,IF(AND(Hitung!D19=$E$1,Hitung!E19=0),N19,""))</f>
        <v/>
      </c>
      <c r="AZ19" s="28" t="str">
        <f>IF(AT19&lt;&gt;"",AT19,IF(AND(Hitung!F19=$E$1,Hitung!G19=0),O19,""))</f>
        <v/>
      </c>
      <c r="BA19" s="28" t="str">
        <f>IF(AU19&lt;&gt;"",AU19,IF(AND(Hitung!H19=$E$1,Hitung!I19=0),P19,""))</f>
        <v/>
      </c>
      <c r="BB19" s="28" t="str">
        <f>IF(AV19&lt;&gt;"",AV19,IF(AND(Hitung!J19=$E$1,Hitung!K19=0),Q19,""))</f>
        <v/>
      </c>
      <c r="BC19" s="28" t="str">
        <f>IF(AW19&lt;&gt;"",AW19,IF(AND(Hitung!L19=$E$1,Hitung!M19=0),R19,""))</f>
        <v/>
      </c>
      <c r="BD19" s="29"/>
      <c r="BE19" s="20" t="str">
        <f t="shared" si="8"/>
        <v xml:space="preserve">Menunggu coder</v>
      </c>
      <c r="BF19" s="21" t="str">
        <f t="shared" si="9"/>
        <v/>
      </c>
      <c r="BG19" s="21" t="str">
        <f t="shared" si="10"/>
        <v/>
      </c>
      <c r="BH19" s="21" t="str">
        <f t="shared" si="11"/>
        <v/>
      </c>
      <c r="BI19" s="21" t="str">
        <f t="shared" si="12"/>
        <v/>
      </c>
      <c r="BJ19" s="21" t="str">
        <f t="shared" si="13"/>
        <v/>
      </c>
    </row>
    <row r="20" ht="48" customHeight="1">
      <c r="A20" s="20">
        <v>17</v>
      </c>
      <c r="B20" s="21" t="str">
        <f>IF(INDEX(Korpus!$A:$A,$A20)="","",INDEX(Korpus!$A:$A,$A20))</f>
        <v>2019MHN201</v>
      </c>
      <c r="C20" s="21" t="str">
        <f>TRIM(INDEX(Korpus!$D:$D,$A20)&amp;" "&amp;INDEX(Korpus!$E:$E,$A20))</f>
        <v xml:space="preserve">Paragraf 6 Kalimat 13</v>
      </c>
      <c r="D20" s="21" t="str">
        <f>IF(INDEX(Korpus!$B:$B,$A20)="","",INDEX(Korpus!$B:$B,$A20))</f>
        <v xml:space="preserve">C. Pembahasan</v>
      </c>
      <c r="E20" s="21" t="str">
        <f>IF(INDEX(Korpus!$C:$C,$A20)="","",INDEX(Korpus!$C:$C,$A20))</f>
        <v xml:space="preserve">5. Pentingnya Perlindungan Data Pribadi</v>
      </c>
      <c r="F20" s="21" t="str">
        <f>IF(INDEX(Korpus!$F:$F,$A20)="","",INDEX(Korpus!$F:$F,$A20))</f>
        <v xml:space="preserve">12) Peraturan Menteri Komunikasi dan Informasi Nomor 20 Tahun 2016 Tentang Perlindungan Data Pribadi Dalam Sistem Elektronik</v>
      </c>
      <c r="G20" s="22"/>
      <c r="H20" s="22"/>
      <c r="I20" s="22"/>
      <c r="J20" s="22"/>
      <c r="K20" s="22"/>
      <c r="L20" s="22"/>
      <c r="M20" s="23"/>
      <c r="N20" s="23"/>
      <c r="O20" s="23"/>
      <c r="P20" s="23"/>
      <c r="Q20" s="23"/>
      <c r="R20" s="23"/>
      <c r="S20" s="24"/>
      <c r="T20" s="24"/>
      <c r="U20" s="24"/>
      <c r="V20" s="24"/>
      <c r="W20" s="24"/>
      <c r="X20" s="24"/>
      <c r="Y20" s="25"/>
      <c r="Z20" s="25"/>
      <c r="AA20" s="25"/>
      <c r="AB20" s="25"/>
      <c r="AC20" s="25"/>
      <c r="AD20" s="25"/>
      <c r="AE20" s="26"/>
      <c r="AF20" s="26"/>
      <c r="AG20" s="26"/>
      <c r="AH20" s="26"/>
      <c r="AI20" s="26"/>
      <c r="AJ20" s="26"/>
      <c r="AK20" s="20" t="str">
        <f>IF(Hitung!B20&lt;$E$1,"",IF(Hitung!C20&gt;0,"Beda","Sama"))</f>
        <v/>
      </c>
      <c r="AL20" s="20" t="str">
        <f>IF(Hitung!D20&lt;$E$1,"",IF(Hitung!E20&gt;0,"Beda","Sama"))</f>
        <v/>
      </c>
      <c r="AM20" s="20" t="str">
        <f>IF(Hitung!F20&lt;$E$1,"",IF(Hitung!G20&gt;0,"Beda","Sama"))</f>
        <v/>
      </c>
      <c r="AN20" s="20" t="str">
        <f>IF(Hitung!H20&lt;$E$1,"",IF(Hitung!I20&gt;0,"Beda","Sama"))</f>
        <v/>
      </c>
      <c r="AO20" s="20" t="str">
        <f>IF(Hitung!J20&lt;$E$1,"",IF(Hitung!K20&gt;0,"Beda","Sama"))</f>
        <v/>
      </c>
      <c r="AP20" s="20" t="str">
        <f>IF(Hitung!L20&lt;$E$1,"",IF(Hitung!M20&gt;0,"Beda","Sama"))</f>
        <v/>
      </c>
      <c r="AQ20" s="20">
        <f t="shared" si="7"/>
        <v>0</v>
      </c>
      <c r="AR20" s="27"/>
      <c r="AS20" s="27"/>
      <c r="AT20" s="27"/>
      <c r="AU20" s="27"/>
      <c r="AV20" s="27"/>
      <c r="AW20" s="27"/>
      <c r="AX20" s="28" t="str">
        <f>IF(AR20&lt;&gt;"",AR20,IF(AND(Hitung!B20=$E$1,Hitung!C20=0),M20,""))</f>
        <v/>
      </c>
      <c r="AY20" s="28" t="str">
        <f>IF(AS20&lt;&gt;"",AS20,IF(AND(Hitung!D20=$E$1,Hitung!E20=0),N20,""))</f>
        <v/>
      </c>
      <c r="AZ20" s="28" t="str">
        <f>IF(AT20&lt;&gt;"",AT20,IF(AND(Hitung!F20=$E$1,Hitung!G20=0),O20,""))</f>
        <v/>
      </c>
      <c r="BA20" s="28" t="str">
        <f>IF(AU20&lt;&gt;"",AU20,IF(AND(Hitung!H20=$E$1,Hitung!I20=0),P20,""))</f>
        <v/>
      </c>
      <c r="BB20" s="28" t="str">
        <f>IF(AV20&lt;&gt;"",AV20,IF(AND(Hitung!J20=$E$1,Hitung!K20=0),Q20,""))</f>
        <v/>
      </c>
      <c r="BC20" s="28" t="str">
        <f>IF(AW20&lt;&gt;"",AW20,IF(AND(Hitung!L20=$E$1,Hitung!M20=0),R20,""))</f>
        <v/>
      </c>
      <c r="BD20" s="29"/>
      <c r="BE20" s="20" t="str">
        <f t="shared" si="8"/>
        <v xml:space="preserve">Menunggu coder</v>
      </c>
      <c r="BF20" s="21" t="str">
        <f t="shared" si="9"/>
        <v/>
      </c>
      <c r="BG20" s="21" t="str">
        <f t="shared" si="10"/>
        <v/>
      </c>
      <c r="BH20" s="21" t="str">
        <f t="shared" si="11"/>
        <v/>
      </c>
      <c r="BI20" s="21" t="str">
        <f t="shared" si="12"/>
        <v/>
      </c>
      <c r="BJ20" s="21" t="str">
        <f t="shared" si="13"/>
        <v/>
      </c>
    </row>
    <row r="21" ht="48" customHeight="1">
      <c r="A21" s="20">
        <v>18</v>
      </c>
      <c r="B21" s="21" t="str">
        <f>IF(INDEX(Korpus!$A:$A,$A21)="","",INDEX(Korpus!$A:$A,$A21))</f>
        <v>2019MHN201</v>
      </c>
      <c r="C21" s="21" t="str">
        <f>TRIM(INDEX(Korpus!$D:$D,$A21)&amp;" "&amp;INDEX(Korpus!$E:$E,$A21))</f>
        <v xml:space="preserve">Paragraf 6 Kalimat 14</v>
      </c>
      <c r="D21" s="21" t="str">
        <f>IF(INDEX(Korpus!$B:$B,$A21)="","",INDEX(Korpus!$B:$B,$A21))</f>
        <v xml:space="preserve">C. Pembahasan</v>
      </c>
      <c r="E21" s="21" t="str">
        <f>IF(INDEX(Korpus!$C:$C,$A21)="","",INDEX(Korpus!$C:$C,$A21))</f>
        <v xml:space="preserve">5. Pentingnya Perlindungan Data Pribadi</v>
      </c>
      <c r="F21" s="21" t="str">
        <f>IF(INDEX(Korpus!$F:$F,$A21)="","",INDEX(Korpus!$F:$F,$A21))</f>
        <v xml:space="preserve">13) Peraturan Pemerintah Nomor 82 Tahun 2012 Tentang Penyelenggaraan Sistem dan Transaksi Elektronik</v>
      </c>
      <c r="G21" s="22"/>
      <c r="H21" s="22"/>
      <c r="I21" s="22"/>
      <c r="J21" s="22"/>
      <c r="K21" s="22"/>
      <c r="L21" s="22"/>
      <c r="M21" s="23"/>
      <c r="N21" s="23"/>
      <c r="O21" s="23"/>
      <c r="P21" s="23"/>
      <c r="Q21" s="23"/>
      <c r="R21" s="23"/>
      <c r="S21" s="24"/>
      <c r="T21" s="24"/>
      <c r="U21" s="24"/>
      <c r="V21" s="24"/>
      <c r="W21" s="24"/>
      <c r="X21" s="24"/>
      <c r="Y21" s="25"/>
      <c r="Z21" s="25"/>
      <c r="AA21" s="25"/>
      <c r="AB21" s="25"/>
      <c r="AC21" s="25"/>
      <c r="AD21" s="25"/>
      <c r="AE21" s="26"/>
      <c r="AF21" s="26"/>
      <c r="AG21" s="26"/>
      <c r="AH21" s="26"/>
      <c r="AI21" s="26"/>
      <c r="AJ21" s="26"/>
      <c r="AK21" s="20" t="str">
        <f>IF(Hitung!B21&lt;$E$1,"",IF(Hitung!C21&gt;0,"Beda","Sama"))</f>
        <v/>
      </c>
      <c r="AL21" s="20" t="str">
        <f>IF(Hitung!D21&lt;$E$1,"",IF(Hitung!E21&gt;0,"Beda","Sama"))</f>
        <v/>
      </c>
      <c r="AM21" s="20" t="str">
        <f>IF(Hitung!F21&lt;$E$1,"",IF(Hitung!G21&gt;0,"Beda","Sama"))</f>
        <v/>
      </c>
      <c r="AN21" s="20" t="str">
        <f>IF(Hitung!H21&lt;$E$1,"",IF(Hitung!I21&gt;0,"Beda","Sama"))</f>
        <v/>
      </c>
      <c r="AO21" s="20" t="str">
        <f>IF(Hitung!J21&lt;$E$1,"",IF(Hitung!K21&gt;0,"Beda","Sama"))</f>
        <v/>
      </c>
      <c r="AP21" s="20" t="str">
        <f>IF(Hitung!L21&lt;$E$1,"",IF(Hitung!M21&gt;0,"Beda","Sama"))</f>
        <v/>
      </c>
      <c r="AQ21" s="20">
        <f t="shared" si="7"/>
        <v>0</v>
      </c>
      <c r="AR21" s="27"/>
      <c r="AS21" s="27"/>
      <c r="AT21" s="27"/>
      <c r="AU21" s="27"/>
      <c r="AV21" s="27"/>
      <c r="AW21" s="27"/>
      <c r="AX21" s="28" t="str">
        <f>IF(AR21&lt;&gt;"",AR21,IF(AND(Hitung!B21=$E$1,Hitung!C21=0),M21,""))</f>
        <v/>
      </c>
      <c r="AY21" s="28" t="str">
        <f>IF(AS21&lt;&gt;"",AS21,IF(AND(Hitung!D21=$E$1,Hitung!E21=0),N21,""))</f>
        <v/>
      </c>
      <c r="AZ21" s="28" t="str">
        <f>IF(AT21&lt;&gt;"",AT21,IF(AND(Hitung!F21=$E$1,Hitung!G21=0),O21,""))</f>
        <v/>
      </c>
      <c r="BA21" s="28" t="str">
        <f>IF(AU21&lt;&gt;"",AU21,IF(AND(Hitung!H21=$E$1,Hitung!I21=0),P21,""))</f>
        <v/>
      </c>
      <c r="BB21" s="28" t="str">
        <f>IF(AV21&lt;&gt;"",AV21,IF(AND(Hitung!J21=$E$1,Hitung!K21=0),Q21,""))</f>
        <v/>
      </c>
      <c r="BC21" s="28" t="str">
        <f>IF(AW21&lt;&gt;"",AW21,IF(AND(Hitung!L21=$E$1,Hitung!M21=0),R21,""))</f>
        <v/>
      </c>
      <c r="BD21" s="29"/>
      <c r="BE21" s="20" t="str">
        <f t="shared" si="8"/>
        <v xml:space="preserve">Menunggu coder</v>
      </c>
      <c r="BF21" s="21" t="str">
        <f t="shared" si="9"/>
        <v/>
      </c>
      <c r="BG21" s="21" t="str">
        <f t="shared" si="10"/>
        <v/>
      </c>
      <c r="BH21" s="21" t="str">
        <f t="shared" si="11"/>
        <v/>
      </c>
      <c r="BI21" s="21" t="str">
        <f t="shared" si="12"/>
        <v/>
      </c>
      <c r="BJ21" s="21" t="str">
        <f t="shared" si="13"/>
        <v/>
      </c>
    </row>
    <row r="22" ht="48" customHeight="1">
      <c r="A22" s="20">
        <v>19</v>
      </c>
      <c r="B22" s="21" t="str">
        <f>IF(INDEX(Korpus!$A:$A,$A22)="","",INDEX(Korpus!$A:$A,$A22))</f>
        <v>2019MHN201</v>
      </c>
      <c r="C22" s="21" t="str">
        <f>TRIM(INDEX(Korpus!$D:$D,$A22)&amp;" "&amp;INDEX(Korpus!$E:$E,$A22))</f>
        <v xml:space="preserve">Paragraf 6 Kalimat 16</v>
      </c>
      <c r="D22" s="21" t="str">
        <f>IF(INDEX(Korpus!$B:$B,$A22)="","",INDEX(Korpus!$B:$B,$A22))</f>
        <v xml:space="preserve">C. Pembahasan</v>
      </c>
      <c r="E22" s="21" t="str">
        <f>IF(INDEX(Korpus!$C:$C,$A22)="","",INDEX(Korpus!$C:$C,$A22))</f>
        <v xml:space="preserve">5. Pentingnya Perlindungan Data Pribadi</v>
      </c>
      <c r="F22" s="21" t="str">
        <f>IF(INDEX(Korpus!$F:$F,$A22)="","",INDEX(Korpus!$F:$F,$A22))</f>
        <v xml:space="preserve">15) Peraturan Menteri Komunikasi dan Informasi Nomor 4 Tahun 2016 Tentang Sistem Manajemen Pengaman Informasi</v>
      </c>
      <c r="G22" s="22"/>
      <c r="H22" s="22"/>
      <c r="I22" s="22"/>
      <c r="J22" s="22"/>
      <c r="K22" s="22"/>
      <c r="L22" s="22"/>
      <c r="M22" s="23"/>
      <c r="N22" s="23"/>
      <c r="O22" s="23"/>
      <c r="P22" s="23"/>
      <c r="Q22" s="23"/>
      <c r="R22" s="23"/>
      <c r="S22" s="24"/>
      <c r="T22" s="24"/>
      <c r="U22" s="24"/>
      <c r="V22" s="24"/>
      <c r="W22" s="24"/>
      <c r="X22" s="24"/>
      <c r="Y22" s="25"/>
      <c r="Z22" s="25"/>
      <c r="AA22" s="25"/>
      <c r="AB22" s="25"/>
      <c r="AC22" s="25"/>
      <c r="AD22" s="25"/>
      <c r="AE22" s="26"/>
      <c r="AF22" s="26"/>
      <c r="AG22" s="26"/>
      <c r="AH22" s="26"/>
      <c r="AI22" s="26"/>
      <c r="AJ22" s="26"/>
      <c r="AK22" s="20" t="str">
        <f>IF(Hitung!B22&lt;$E$1,"",IF(Hitung!C22&gt;0,"Beda","Sama"))</f>
        <v/>
      </c>
      <c r="AL22" s="20" t="str">
        <f>IF(Hitung!D22&lt;$E$1,"",IF(Hitung!E22&gt;0,"Beda","Sama"))</f>
        <v/>
      </c>
      <c r="AM22" s="20" t="str">
        <f>IF(Hitung!F22&lt;$E$1,"",IF(Hitung!G22&gt;0,"Beda","Sama"))</f>
        <v/>
      </c>
      <c r="AN22" s="20" t="str">
        <f>IF(Hitung!H22&lt;$E$1,"",IF(Hitung!I22&gt;0,"Beda","Sama"))</f>
        <v/>
      </c>
      <c r="AO22" s="20" t="str">
        <f>IF(Hitung!J22&lt;$E$1,"",IF(Hitung!K22&gt;0,"Beda","Sama"))</f>
        <v/>
      </c>
      <c r="AP22" s="20" t="str">
        <f>IF(Hitung!L22&lt;$E$1,"",IF(Hitung!M22&gt;0,"Beda","Sama"))</f>
        <v/>
      </c>
      <c r="AQ22" s="20">
        <f t="shared" si="7"/>
        <v>0</v>
      </c>
      <c r="AR22" s="27"/>
      <c r="AS22" s="27"/>
      <c r="AT22" s="27"/>
      <c r="AU22" s="27"/>
      <c r="AV22" s="27"/>
      <c r="AW22" s="27"/>
      <c r="AX22" s="28" t="str">
        <f>IF(AR22&lt;&gt;"",AR22,IF(AND(Hitung!B22=$E$1,Hitung!C22=0),M22,""))</f>
        <v/>
      </c>
      <c r="AY22" s="28" t="str">
        <f>IF(AS22&lt;&gt;"",AS22,IF(AND(Hitung!D22=$E$1,Hitung!E22=0),N22,""))</f>
        <v/>
      </c>
      <c r="AZ22" s="28" t="str">
        <f>IF(AT22&lt;&gt;"",AT22,IF(AND(Hitung!F22=$E$1,Hitung!G22=0),O22,""))</f>
        <v/>
      </c>
      <c r="BA22" s="28" t="str">
        <f>IF(AU22&lt;&gt;"",AU22,IF(AND(Hitung!H22=$E$1,Hitung!I22=0),P22,""))</f>
        <v/>
      </c>
      <c r="BB22" s="28" t="str">
        <f>IF(AV22&lt;&gt;"",AV22,IF(AND(Hitung!J22=$E$1,Hitung!K22=0),Q22,""))</f>
        <v/>
      </c>
      <c r="BC22" s="28" t="str">
        <f>IF(AW22&lt;&gt;"",AW22,IF(AND(Hitung!L22=$E$1,Hitung!M22=0),R22,""))</f>
        <v/>
      </c>
      <c r="BD22" s="29"/>
      <c r="BE22" s="20" t="str">
        <f t="shared" si="8"/>
        <v xml:space="preserve">Menunggu coder</v>
      </c>
      <c r="BF22" s="21" t="str">
        <f t="shared" si="9"/>
        <v/>
      </c>
      <c r="BG22" s="21" t="str">
        <f t="shared" si="10"/>
        <v/>
      </c>
      <c r="BH22" s="21" t="str">
        <f t="shared" si="11"/>
        <v/>
      </c>
      <c r="BI22" s="21" t="str">
        <f t="shared" si="12"/>
        <v/>
      </c>
      <c r="BJ22" s="21" t="str">
        <f t="shared" si="13"/>
        <v/>
      </c>
    </row>
    <row r="23" ht="48" customHeight="1">
      <c r="A23" s="20">
        <v>20</v>
      </c>
      <c r="B23" s="21" t="str">
        <f>IF(INDEX(Korpus!$A:$A,$A23)="","",INDEX(Korpus!$A:$A,$A23))</f>
        <v>2019MHN201</v>
      </c>
      <c r="C23" s="21" t="str">
        <f>TRIM(INDEX(Korpus!$D:$D,$A23)&amp;" "&amp;INDEX(Korpus!$E:$E,$A23))</f>
        <v xml:space="preserve">Paragraf 7 Kalimat 2</v>
      </c>
      <c r="D23" s="21" t="str">
        <f>IF(INDEX(Korpus!$B:$B,$A23)="","",INDEX(Korpus!$B:$B,$A23))</f>
        <v xml:space="preserve">C. Pembahasan</v>
      </c>
      <c r="E23" s="21" t="str">
        <f>IF(INDEX(Korpus!$C:$C,$A23)="","",INDEX(Korpus!$C:$C,$A23))</f>
        <v xml:space="preserve">5. Pentingnya Perlindungan Data Pribadi</v>
      </c>
      <c r="F23" s="21" t="str">
        <f>IF(INDEX(Korpus!$F:$F,$A23)="","",INDEX(Korpus!$F:$F,$A23))</f>
        <v xml:space="preserve">Dalam Pasal 26 huruf a disebutkan bahwa menjaga kerahasiaan, keutuhan, dan ketersediaan data pribadi, data transaksi, dan data keuangan yang dikelolanya sejak data diperoleh hingga data tersebut dimusnahkan.</v>
      </c>
      <c r="G23" s="22"/>
      <c r="H23" s="22"/>
      <c r="I23" s="22"/>
      <c r="J23" s="22"/>
      <c r="K23" s="22"/>
      <c r="L23" s="22"/>
      <c r="M23" s="23"/>
      <c r="N23" s="23"/>
      <c r="O23" s="23"/>
      <c r="P23" s="23"/>
      <c r="Q23" s="23"/>
      <c r="R23" s="23"/>
      <c r="S23" s="24"/>
      <c r="T23" s="24"/>
      <c r="U23" s="24"/>
      <c r="V23" s="24"/>
      <c r="W23" s="24"/>
      <c r="X23" s="24"/>
      <c r="Y23" s="25"/>
      <c r="Z23" s="25"/>
      <c r="AA23" s="25"/>
      <c r="AB23" s="25"/>
      <c r="AC23" s="25"/>
      <c r="AD23" s="25"/>
      <c r="AE23" s="26"/>
      <c r="AF23" s="26"/>
      <c r="AG23" s="26"/>
      <c r="AH23" s="26"/>
      <c r="AI23" s="26"/>
      <c r="AJ23" s="26"/>
      <c r="AK23" s="20" t="str">
        <f>IF(Hitung!B23&lt;$E$1,"",IF(Hitung!C23&gt;0,"Beda","Sama"))</f>
        <v/>
      </c>
      <c r="AL23" s="20" t="str">
        <f>IF(Hitung!D23&lt;$E$1,"",IF(Hitung!E23&gt;0,"Beda","Sama"))</f>
        <v/>
      </c>
      <c r="AM23" s="20" t="str">
        <f>IF(Hitung!F23&lt;$E$1,"",IF(Hitung!G23&gt;0,"Beda","Sama"))</f>
        <v/>
      </c>
      <c r="AN23" s="20" t="str">
        <f>IF(Hitung!H23&lt;$E$1,"",IF(Hitung!I23&gt;0,"Beda","Sama"))</f>
        <v/>
      </c>
      <c r="AO23" s="20" t="str">
        <f>IF(Hitung!J23&lt;$E$1,"",IF(Hitung!K23&gt;0,"Beda","Sama"))</f>
        <v/>
      </c>
      <c r="AP23" s="20" t="str">
        <f>IF(Hitung!L23&lt;$E$1,"",IF(Hitung!M23&gt;0,"Beda","Sama"))</f>
        <v/>
      </c>
      <c r="AQ23" s="20">
        <f t="shared" si="7"/>
        <v>0</v>
      </c>
      <c r="AR23" s="27"/>
      <c r="AS23" s="27"/>
      <c r="AT23" s="27"/>
      <c r="AU23" s="27"/>
      <c r="AV23" s="27"/>
      <c r="AW23" s="27"/>
      <c r="AX23" s="28" t="str">
        <f>IF(AR23&lt;&gt;"",AR23,IF(AND(Hitung!B23=$E$1,Hitung!C23=0),M23,""))</f>
        <v/>
      </c>
      <c r="AY23" s="28" t="str">
        <f>IF(AS23&lt;&gt;"",AS23,IF(AND(Hitung!D23=$E$1,Hitung!E23=0),N23,""))</f>
        <v/>
      </c>
      <c r="AZ23" s="28" t="str">
        <f>IF(AT23&lt;&gt;"",AT23,IF(AND(Hitung!F23=$E$1,Hitung!G23=0),O23,""))</f>
        <v/>
      </c>
      <c r="BA23" s="28" t="str">
        <f>IF(AU23&lt;&gt;"",AU23,IF(AND(Hitung!H23=$E$1,Hitung!I23=0),P23,""))</f>
        <v/>
      </c>
      <c r="BB23" s="28" t="str">
        <f>IF(AV23&lt;&gt;"",AV23,IF(AND(Hitung!J23=$E$1,Hitung!K23=0),Q23,""))</f>
        <v/>
      </c>
      <c r="BC23" s="28" t="str">
        <f>IF(AW23&lt;&gt;"",AW23,IF(AND(Hitung!L23=$E$1,Hitung!M23=0),R23,""))</f>
        <v/>
      </c>
      <c r="BD23" s="29"/>
      <c r="BE23" s="20" t="str">
        <f t="shared" si="8"/>
        <v xml:space="preserve">Menunggu coder</v>
      </c>
      <c r="BF23" s="21" t="str">
        <f t="shared" si="9"/>
        <v/>
      </c>
      <c r="BG23" s="21" t="str">
        <f t="shared" si="10"/>
        <v/>
      </c>
      <c r="BH23" s="21" t="str">
        <f t="shared" si="11"/>
        <v/>
      </c>
      <c r="BI23" s="21" t="str">
        <f t="shared" si="12"/>
        <v/>
      </c>
      <c r="BJ23" s="21" t="str">
        <f t="shared" si="13"/>
        <v/>
      </c>
    </row>
    <row r="24" ht="48" customHeight="1">
      <c r="A24" s="20">
        <v>21</v>
      </c>
      <c r="B24" s="21" t="str">
        <f>IF(INDEX(Korpus!$A:$A,$A24)="","",INDEX(Korpus!$A:$A,$A24))</f>
        <v>2019MHN201</v>
      </c>
      <c r="C24" s="21" t="str">
        <f>TRIM(INDEX(Korpus!$D:$D,$A24)&amp;" "&amp;INDEX(Korpus!$E:$E,$A24))</f>
        <v xml:space="preserve">Paragraf 7 Kalimat 3</v>
      </c>
      <c r="D24" s="21" t="str">
        <f>IF(INDEX(Korpus!$B:$B,$A24)="","",INDEX(Korpus!$B:$B,$A24))</f>
        <v xml:space="preserve">C. Pembahasan</v>
      </c>
      <c r="E24" s="21" t="str">
        <f>IF(INDEX(Korpus!$C:$C,$A24)="","",INDEX(Korpus!$C:$C,$A24))</f>
        <v xml:space="preserve">5. Pentingnya Perlindungan Data Pribadi</v>
      </c>
      <c r="F24" s="21" t="str">
        <f>IF(INDEX(Korpus!$F:$F,$A24)="","",INDEX(Korpus!$F:$F,$A24))</f>
        <v xml:space="preserve">Selain itu Peraturan OJK Nomor 13 Tahun 2018 Tentang Inovasi Keuangan Digital di Sektor Keuangan, telah memasukkan poin terkait perlindungan dan kerahasiaan data.</v>
      </c>
      <c r="G24" s="22"/>
      <c r="H24" s="22"/>
      <c r="I24" s="22"/>
      <c r="J24" s="22"/>
      <c r="K24" s="22"/>
      <c r="L24" s="22"/>
      <c r="M24" s="23" t="s">
        <v>126</v>
      </c>
      <c r="N24" s="23" t="s">
        <v>105</v>
      </c>
      <c r="O24" s="23" t="s">
        <v>127</v>
      </c>
      <c r="P24" s="23" t="s">
        <v>128</v>
      </c>
      <c r="Q24" s="23" t="s">
        <v>114</v>
      </c>
      <c r="R24" s="23" t="s">
        <v>115</v>
      </c>
      <c r="S24" s="24"/>
      <c r="T24" s="24"/>
      <c r="U24" s="24"/>
      <c r="V24" s="24"/>
      <c r="W24" s="24"/>
      <c r="X24" s="24"/>
      <c r="Y24" s="25"/>
      <c r="Z24" s="25"/>
      <c r="AA24" s="25"/>
      <c r="AB24" s="25"/>
      <c r="AC24" s="25"/>
      <c r="AD24" s="25"/>
      <c r="AE24" s="26"/>
      <c r="AF24" s="26"/>
      <c r="AG24" s="26"/>
      <c r="AH24" s="26"/>
      <c r="AI24" s="26"/>
      <c r="AJ24" s="26"/>
      <c r="AK24" s="20" t="str">
        <f>IF(Hitung!B24&lt;$E$1,"",IF(Hitung!C24&gt;0,"Beda","Sama"))</f>
        <v/>
      </c>
      <c r="AL24" s="20" t="str">
        <f>IF(Hitung!D24&lt;$E$1,"",IF(Hitung!E24&gt;0,"Beda","Sama"))</f>
        <v/>
      </c>
      <c r="AM24" s="20" t="str">
        <f>IF(Hitung!F24&lt;$E$1,"",IF(Hitung!G24&gt;0,"Beda","Sama"))</f>
        <v/>
      </c>
      <c r="AN24" s="20" t="str">
        <f>IF(Hitung!H24&lt;$E$1,"",IF(Hitung!I24&gt;0,"Beda","Sama"))</f>
        <v/>
      </c>
      <c r="AO24" s="20" t="str">
        <f>IF(Hitung!J24&lt;$E$1,"",IF(Hitung!K24&gt;0,"Beda","Sama"))</f>
        <v/>
      </c>
      <c r="AP24" s="20" t="str">
        <f>IF(Hitung!L24&lt;$E$1,"",IF(Hitung!M24&gt;0,"Beda","Sama"))</f>
        <v/>
      </c>
      <c r="AQ24" s="20">
        <f t="shared" si="7"/>
        <v>0</v>
      </c>
      <c r="AR24" s="27"/>
      <c r="AS24" s="27"/>
      <c r="AT24" s="27"/>
      <c r="AU24" s="27"/>
      <c r="AV24" s="27"/>
      <c r="AW24" s="27"/>
      <c r="AX24" s="28" t="str">
        <f>IF(AR24&lt;&gt;"",AR24,IF(AND(Hitung!B24=$E$1,Hitung!C24=0),M24,""))</f>
        <v/>
      </c>
      <c r="AY24" s="28" t="str">
        <f>IF(AS24&lt;&gt;"",AS24,IF(AND(Hitung!D24=$E$1,Hitung!E24=0),N24,""))</f>
        <v/>
      </c>
      <c r="AZ24" s="28" t="str">
        <f>IF(AT24&lt;&gt;"",AT24,IF(AND(Hitung!F24=$E$1,Hitung!G24=0),O24,""))</f>
        <v/>
      </c>
      <c r="BA24" s="28" t="str">
        <f>IF(AU24&lt;&gt;"",AU24,IF(AND(Hitung!H24=$E$1,Hitung!I24=0),P24,""))</f>
        <v/>
      </c>
      <c r="BB24" s="28" t="str">
        <f>IF(AV24&lt;&gt;"",AV24,IF(AND(Hitung!J24=$E$1,Hitung!K24=0),Q24,""))</f>
        <v/>
      </c>
      <c r="BC24" s="28" t="str">
        <f>IF(AW24&lt;&gt;"",AW24,IF(AND(Hitung!L24=$E$1,Hitung!M24=0),R24,""))</f>
        <v/>
      </c>
      <c r="BD24" s="29"/>
      <c r="BE24" s="20" t="str">
        <f t="shared" si="8"/>
        <v xml:space="preserve">Menunggu coder</v>
      </c>
      <c r="BF24" s="21" t="str">
        <f t="shared" si="9"/>
        <v/>
      </c>
      <c r="BG24" s="21" t="str">
        <f t="shared" si="10"/>
        <v/>
      </c>
      <c r="BH24" s="21" t="str">
        <f t="shared" si="11"/>
        <v/>
      </c>
      <c r="BI24" s="21" t="str">
        <f t="shared" si="12"/>
        <v/>
      </c>
      <c r="BJ24" s="21" t="str">
        <f t="shared" si="13"/>
        <v/>
      </c>
      <c r="BK24" s="8" t="s">
        <v>119</v>
      </c>
    </row>
    <row r="25" ht="48" customHeight="1">
      <c r="A25" s="20">
        <v>22</v>
      </c>
      <c r="B25" s="21" t="str">
        <f>IF(INDEX(Korpus!$A:$A,$A25)="","",INDEX(Korpus!$A:$A,$A25))</f>
        <v>2019MHN201</v>
      </c>
      <c r="C25" s="21" t="str">
        <f>TRIM(INDEX(Korpus!$D:$D,$A25)&amp;" "&amp;INDEX(Korpus!$E:$E,$A25))</f>
        <v xml:space="preserve">Paragraf 7 Kalimat 4</v>
      </c>
      <c r="D25" s="21" t="str">
        <f>IF(INDEX(Korpus!$B:$B,$A25)="","",INDEX(Korpus!$B:$B,$A25))</f>
        <v xml:space="preserve">C. Pembahasan</v>
      </c>
      <c r="E25" s="21" t="str">
        <f>IF(INDEX(Korpus!$C:$C,$A25)="","",INDEX(Korpus!$C:$C,$A25))</f>
        <v xml:space="preserve">5. Pentingnya Perlindungan Data Pribadi</v>
      </c>
      <c r="F25" s="21" t="str">
        <f>IF(INDEX(Korpus!$F:$F,$A25)="","",INDEX(Korpus!$F:$F,$A25))</f>
        <v xml:space="preserve">Pasal 30 ayat (1) menyebutkan bahwa Penyelenggara wajib menjaga kerahasiaan data pribadi, data transaksi, dan data keuangan yang dikelolanya sejak diperoleh hingga data tersebut dimusnahkan.</v>
      </c>
      <c r="G25" s="22" t="s">
        <v>126</v>
      </c>
      <c r="H25" s="22" t="s">
        <v>105</v>
      </c>
      <c r="I25" s="22" t="s">
        <v>129</v>
      </c>
      <c r="J25" s="22" t="s">
        <v>128</v>
      </c>
      <c r="K25" s="22" t="s">
        <v>108</v>
      </c>
      <c r="L25" s="22" t="s">
        <v>125</v>
      </c>
      <c r="M25" s="23" t="s">
        <v>126</v>
      </c>
      <c r="N25" s="23" t="s">
        <v>105</v>
      </c>
      <c r="O25" s="23" t="s">
        <v>129</v>
      </c>
      <c r="P25" s="23" t="s">
        <v>128</v>
      </c>
      <c r="Q25" s="23" t="s">
        <v>130</v>
      </c>
      <c r="R25" s="23" t="s">
        <v>118</v>
      </c>
      <c r="S25" s="24"/>
      <c r="T25" s="24"/>
      <c r="U25" s="24"/>
      <c r="V25" s="24"/>
      <c r="W25" s="24"/>
      <c r="X25" s="24"/>
      <c r="Y25" s="25"/>
      <c r="Z25" s="25"/>
      <c r="AA25" s="25"/>
      <c r="AB25" s="25"/>
      <c r="AC25" s="25"/>
      <c r="AD25" s="25"/>
      <c r="AE25" s="26"/>
      <c r="AF25" s="26"/>
      <c r="AG25" s="26"/>
      <c r="AH25" s="26"/>
      <c r="AI25" s="26"/>
      <c r="AJ25" s="26"/>
      <c r="AK25" s="20" t="str">
        <f>IF(Hitung!B25&lt;$E$1,"",IF(Hitung!C25&gt;0,"Beda","Sama"))</f>
        <v/>
      </c>
      <c r="AL25" s="20" t="str">
        <f>IF(Hitung!D25&lt;$E$1,"",IF(Hitung!E25&gt;0,"Beda","Sama"))</f>
        <v/>
      </c>
      <c r="AM25" s="20" t="str">
        <f>IF(Hitung!F25&lt;$E$1,"",IF(Hitung!G25&gt;0,"Beda","Sama"))</f>
        <v/>
      </c>
      <c r="AN25" s="20" t="str">
        <f>IF(Hitung!H25&lt;$E$1,"",IF(Hitung!I25&gt;0,"Beda","Sama"))</f>
        <v/>
      </c>
      <c r="AO25" s="20" t="str">
        <f>IF(Hitung!J25&lt;$E$1,"",IF(Hitung!K25&gt;0,"Beda","Sama"))</f>
        <v/>
      </c>
      <c r="AP25" s="20" t="str">
        <f>IF(Hitung!L25&lt;$E$1,"",IF(Hitung!M25&gt;0,"Beda","Sama"))</f>
        <v/>
      </c>
      <c r="AQ25" s="20">
        <f t="shared" si="7"/>
        <v>0</v>
      </c>
      <c r="AR25" s="27"/>
      <c r="AS25" s="27"/>
      <c r="AT25" s="27"/>
      <c r="AU25" s="27"/>
      <c r="AV25" s="27"/>
      <c r="AW25" s="27"/>
      <c r="AX25" s="28" t="str">
        <f>IF(AR25&lt;&gt;"",AR25,IF(AND(Hitung!B25=$E$1,Hitung!C25=0),M25,""))</f>
        <v/>
      </c>
      <c r="AY25" s="28" t="str">
        <f>IF(AS25&lt;&gt;"",AS25,IF(AND(Hitung!D25=$E$1,Hitung!E25=0),N25,""))</f>
        <v/>
      </c>
      <c r="AZ25" s="28" t="str">
        <f>IF(AT25&lt;&gt;"",AT25,IF(AND(Hitung!F25=$E$1,Hitung!G25=0),O25,""))</f>
        <v/>
      </c>
      <c r="BA25" s="28" t="str">
        <f>IF(AU25&lt;&gt;"",AU25,IF(AND(Hitung!H25=$E$1,Hitung!I25=0),P25,""))</f>
        <v/>
      </c>
      <c r="BB25" s="28" t="str">
        <f>IF(AV25&lt;&gt;"",AV25,IF(AND(Hitung!J25=$E$1,Hitung!K25=0),Q25,""))</f>
        <v/>
      </c>
      <c r="BC25" s="28" t="str">
        <f>IF(AW25&lt;&gt;"",AW25,IF(AND(Hitung!L25=$E$1,Hitung!M25=0),R25,""))</f>
        <v/>
      </c>
      <c r="BD25" s="29"/>
      <c r="BE25" s="20" t="str">
        <f t="shared" si="8"/>
        <v xml:space="preserve">Menunggu coder</v>
      </c>
      <c r="BF25" s="21" t="str">
        <f t="shared" si="9"/>
        <v/>
      </c>
      <c r="BG25" s="21" t="str">
        <f t="shared" si="10"/>
        <v xml:space="preserve">Tidak (4/6): V8 V9</v>
      </c>
      <c r="BH25" s="21" t="str">
        <f t="shared" si="11"/>
        <v xml:space="preserve">Belum lengkap</v>
      </c>
      <c r="BI25" s="21" t="str">
        <f t="shared" si="12"/>
        <v/>
      </c>
      <c r="BJ25" s="21" t="str">
        <f t="shared" si="13"/>
        <v/>
      </c>
      <c r="BK25" s="8" t="s">
        <v>116</v>
      </c>
    </row>
    <row r="26" ht="48" customHeight="1">
      <c r="A26" s="20">
        <v>23</v>
      </c>
      <c r="B26" s="21" t="str">
        <f>IF(INDEX(Korpus!$A:$A,$A26)="","",INDEX(Korpus!$A:$A,$A26))</f>
        <v>2019MHN201</v>
      </c>
      <c r="C26" s="21" t="str">
        <f>TRIM(INDEX(Korpus!$D:$D,$A26)&amp;" "&amp;INDEX(Korpus!$E:$E,$A26))</f>
        <v xml:space="preserve">Paragraf 8 Kalimat 1</v>
      </c>
      <c r="D26" s="21" t="str">
        <f>IF(INDEX(Korpus!$B:$B,$A26)="","",INDEX(Korpus!$B:$B,$A26))</f>
        <v xml:space="preserve">C. Pembahasan</v>
      </c>
      <c r="E26" s="21" t="str">
        <f>IF(INDEX(Korpus!$C:$C,$A26)="","",INDEX(Korpus!$C:$C,$A26))</f>
        <v xml:space="preserve">5. Pentingnya Perlindungan Data Pribadi</v>
      </c>
      <c r="F26" s="21" t="str">
        <f>IF(INDEX(Korpus!$F:$F,$A26)="","",INDEX(Korpus!$F:$F,$A26))</f>
        <v xml:space="preserve">Banyaknya peraturan yang mengatur tentang perlindungan data pribadi menunjukkan pentingnya data pribadi untuk dilindungi.</v>
      </c>
      <c r="G26" s="22"/>
      <c r="H26" s="22"/>
      <c r="I26" s="22"/>
      <c r="J26" s="22"/>
      <c r="K26" s="22"/>
      <c r="L26" s="22"/>
      <c r="M26" s="23"/>
      <c r="N26" s="23"/>
      <c r="O26" s="23"/>
      <c r="P26" s="23"/>
      <c r="Q26" s="23"/>
      <c r="R26" s="23"/>
      <c r="S26" s="24"/>
      <c r="T26" s="24"/>
      <c r="U26" s="24"/>
      <c r="V26" s="24"/>
      <c r="W26" s="24"/>
      <c r="X26" s="24"/>
      <c r="Y26" s="25"/>
      <c r="Z26" s="25"/>
      <c r="AA26" s="25"/>
      <c r="AB26" s="25"/>
      <c r="AC26" s="25"/>
      <c r="AD26" s="25"/>
      <c r="AE26" s="26"/>
      <c r="AF26" s="26"/>
      <c r="AG26" s="26"/>
      <c r="AH26" s="26"/>
      <c r="AI26" s="26"/>
      <c r="AJ26" s="26"/>
      <c r="AK26" s="20" t="str">
        <f>IF(Hitung!B26&lt;$E$1,"",IF(Hitung!C26&gt;0,"Beda","Sama"))</f>
        <v/>
      </c>
      <c r="AL26" s="20" t="str">
        <f>IF(Hitung!D26&lt;$E$1,"",IF(Hitung!E26&gt;0,"Beda","Sama"))</f>
        <v/>
      </c>
      <c r="AM26" s="20" t="str">
        <f>IF(Hitung!F26&lt;$E$1,"",IF(Hitung!G26&gt;0,"Beda","Sama"))</f>
        <v/>
      </c>
      <c r="AN26" s="20" t="str">
        <f>IF(Hitung!H26&lt;$E$1,"",IF(Hitung!I26&gt;0,"Beda","Sama"))</f>
        <v/>
      </c>
      <c r="AO26" s="20" t="str">
        <f>IF(Hitung!J26&lt;$E$1,"",IF(Hitung!K26&gt;0,"Beda","Sama"))</f>
        <v/>
      </c>
      <c r="AP26" s="20" t="str">
        <f>IF(Hitung!L26&lt;$E$1,"",IF(Hitung!M26&gt;0,"Beda","Sama"))</f>
        <v/>
      </c>
      <c r="AQ26" s="20">
        <f t="shared" si="7"/>
        <v>0</v>
      </c>
      <c r="AR26" s="27"/>
      <c r="AS26" s="27"/>
      <c r="AT26" s="27"/>
      <c r="AU26" s="27"/>
      <c r="AV26" s="27"/>
      <c r="AW26" s="27"/>
      <c r="AX26" s="28" t="str">
        <f>IF(AR26&lt;&gt;"",AR26,IF(AND(Hitung!B26=$E$1,Hitung!C26=0),M26,""))</f>
        <v/>
      </c>
      <c r="AY26" s="28" t="str">
        <f>IF(AS26&lt;&gt;"",AS26,IF(AND(Hitung!D26=$E$1,Hitung!E26=0),N26,""))</f>
        <v/>
      </c>
      <c r="AZ26" s="28" t="str">
        <f>IF(AT26&lt;&gt;"",AT26,IF(AND(Hitung!F26=$E$1,Hitung!G26=0),O26,""))</f>
        <v/>
      </c>
      <c r="BA26" s="28" t="str">
        <f>IF(AU26&lt;&gt;"",AU26,IF(AND(Hitung!H26=$E$1,Hitung!I26=0),P26,""))</f>
        <v/>
      </c>
      <c r="BB26" s="28" t="str">
        <f>IF(AV26&lt;&gt;"",AV26,IF(AND(Hitung!J26=$E$1,Hitung!K26=0),Q26,""))</f>
        <v/>
      </c>
      <c r="BC26" s="28" t="str">
        <f>IF(AW26&lt;&gt;"",AW26,IF(AND(Hitung!L26=$E$1,Hitung!M26=0),R26,""))</f>
        <v/>
      </c>
      <c r="BD26" s="29"/>
      <c r="BE26" s="20" t="str">
        <f t="shared" si="8"/>
        <v xml:space="preserve">Menunggu coder</v>
      </c>
      <c r="BF26" s="21" t="str">
        <f t="shared" si="9"/>
        <v/>
      </c>
      <c r="BG26" s="21" t="str">
        <f t="shared" si="10"/>
        <v/>
      </c>
      <c r="BH26" s="21" t="str">
        <f t="shared" si="11"/>
        <v/>
      </c>
      <c r="BI26" s="21" t="str">
        <f t="shared" si="12"/>
        <v/>
      </c>
      <c r="BJ26" s="21" t="str">
        <f t="shared" si="13"/>
        <v/>
      </c>
    </row>
    <row r="27" ht="48" customHeight="1">
      <c r="A27" s="20">
        <v>24</v>
      </c>
      <c r="B27" s="21" t="str">
        <f>IF(INDEX(Korpus!$A:$A,$A27)="","",INDEX(Korpus!$A:$A,$A27))</f>
        <v>2019MHN201</v>
      </c>
      <c r="C27" s="21" t="str">
        <f>TRIM(INDEX(Korpus!$D:$D,$A27)&amp;" "&amp;INDEX(Korpus!$E:$E,$A27))</f>
        <v xml:space="preserve">Paragraf 8 Kalimat 3</v>
      </c>
      <c r="D27" s="21" t="str">
        <f>IF(INDEX(Korpus!$B:$B,$A27)="","",INDEX(Korpus!$B:$B,$A27))</f>
        <v xml:space="preserve">C. Pembahasan</v>
      </c>
      <c r="E27" s="21" t="str">
        <f>IF(INDEX(Korpus!$C:$C,$A27)="","",INDEX(Korpus!$C:$C,$A27))</f>
        <v xml:space="preserve">5. Pentingnya Perlindungan Data Pribadi</v>
      </c>
      <c r="F27" s="21" t="str">
        <f>IF(INDEX(Korpus!$F:$F,$A27)="","",INDEX(Korpus!$F:$F,$A27))</f>
        <v xml:space="preserve">Oleh karena itu perlu disusun suatu undang-undang yang secara khusus dapat memberikan perlindungan data pribadi.</v>
      </c>
      <c r="G27" s="22"/>
      <c r="H27" s="22"/>
      <c r="I27" s="22"/>
      <c r="J27" s="22"/>
      <c r="K27" s="22"/>
      <c r="L27" s="22"/>
      <c r="M27" s="23"/>
      <c r="N27" s="23"/>
      <c r="O27" s="23"/>
      <c r="P27" s="23"/>
      <c r="Q27" s="23"/>
      <c r="R27" s="23"/>
      <c r="S27" s="24"/>
      <c r="T27" s="24"/>
      <c r="U27" s="24"/>
      <c r="V27" s="24"/>
      <c r="W27" s="24"/>
      <c r="X27" s="24"/>
      <c r="Y27" s="25"/>
      <c r="Z27" s="25"/>
      <c r="AA27" s="25"/>
      <c r="AB27" s="25"/>
      <c r="AC27" s="25"/>
      <c r="AD27" s="25"/>
      <c r="AE27" s="26"/>
      <c r="AF27" s="26"/>
      <c r="AG27" s="26"/>
      <c r="AH27" s="26"/>
      <c r="AI27" s="26"/>
      <c r="AJ27" s="26"/>
      <c r="AK27" s="20" t="str">
        <f>IF(Hitung!B27&lt;$E$1,"",IF(Hitung!C27&gt;0,"Beda","Sama"))</f>
        <v/>
      </c>
      <c r="AL27" s="20" t="str">
        <f>IF(Hitung!D27&lt;$E$1,"",IF(Hitung!E27&gt;0,"Beda","Sama"))</f>
        <v/>
      </c>
      <c r="AM27" s="20" t="str">
        <f>IF(Hitung!F27&lt;$E$1,"",IF(Hitung!G27&gt;0,"Beda","Sama"))</f>
        <v/>
      </c>
      <c r="AN27" s="20" t="str">
        <f>IF(Hitung!H27&lt;$E$1,"",IF(Hitung!I27&gt;0,"Beda","Sama"))</f>
        <v/>
      </c>
      <c r="AO27" s="20" t="str">
        <f>IF(Hitung!J27&lt;$E$1,"",IF(Hitung!K27&gt;0,"Beda","Sama"))</f>
        <v/>
      </c>
      <c r="AP27" s="20" t="str">
        <f>IF(Hitung!L27&lt;$E$1,"",IF(Hitung!M27&gt;0,"Beda","Sama"))</f>
        <v/>
      </c>
      <c r="AQ27" s="20">
        <f t="shared" si="7"/>
        <v>0</v>
      </c>
      <c r="AR27" s="27"/>
      <c r="AS27" s="27"/>
      <c r="AT27" s="27"/>
      <c r="AU27" s="27"/>
      <c r="AV27" s="27"/>
      <c r="AW27" s="27"/>
      <c r="AX27" s="28" t="str">
        <f>IF(AR27&lt;&gt;"",AR27,IF(AND(Hitung!B27=$E$1,Hitung!C27=0),M27,""))</f>
        <v/>
      </c>
      <c r="AY27" s="28" t="str">
        <f>IF(AS27&lt;&gt;"",AS27,IF(AND(Hitung!D27=$E$1,Hitung!E27=0),N27,""))</f>
        <v/>
      </c>
      <c r="AZ27" s="28" t="str">
        <f>IF(AT27&lt;&gt;"",AT27,IF(AND(Hitung!F27=$E$1,Hitung!G27=0),O27,""))</f>
        <v/>
      </c>
      <c r="BA27" s="28" t="str">
        <f>IF(AU27&lt;&gt;"",AU27,IF(AND(Hitung!H27=$E$1,Hitung!I27=0),P27,""))</f>
        <v/>
      </c>
      <c r="BB27" s="28" t="str">
        <f>IF(AV27&lt;&gt;"",AV27,IF(AND(Hitung!J27=$E$1,Hitung!K27=0),Q27,""))</f>
        <v/>
      </c>
      <c r="BC27" s="28" t="str">
        <f>IF(AW27&lt;&gt;"",AW27,IF(AND(Hitung!L27=$E$1,Hitung!M27=0),R27,""))</f>
        <v/>
      </c>
      <c r="BD27" s="29"/>
      <c r="BE27" s="20" t="str">
        <f t="shared" si="8"/>
        <v xml:space="preserve">Menunggu coder</v>
      </c>
      <c r="BF27" s="21" t="str">
        <f t="shared" si="9"/>
        <v/>
      </c>
      <c r="BG27" s="21" t="str">
        <f t="shared" si="10"/>
        <v/>
      </c>
      <c r="BH27" s="21" t="str">
        <f t="shared" si="11"/>
        <v/>
      </c>
      <c r="BI27" s="21" t="str">
        <f t="shared" si="12"/>
        <v/>
      </c>
      <c r="BJ27" s="21" t="str">
        <f t="shared" si="13"/>
        <v/>
      </c>
    </row>
    <row r="28" ht="48" customHeight="1">
      <c r="A28" s="20">
        <v>25</v>
      </c>
      <c r="B28" s="21" t="str">
        <f>IF(INDEX(Korpus!$A:$A,$A28)="","",INDEX(Korpus!$A:$A,$A28))</f>
        <v>2019MHN201</v>
      </c>
      <c r="C28" s="21" t="str">
        <f>TRIM(INDEX(Korpus!$D:$D,$A28)&amp;" "&amp;INDEX(Korpus!$E:$E,$A28))</f>
        <v xml:space="preserve">Paragraf 1 Kalimat 3</v>
      </c>
      <c r="D28" s="21" t="str">
        <f>IF(INDEX(Korpus!$B:$B,$A28)="","",INDEX(Korpus!$B:$B,$A28))</f>
        <v xml:space="preserve">D. Penutup</v>
      </c>
      <c r="E28" s="21" t="str">
        <f>IF(INDEX(Korpus!$C:$C,$A28)="","",INDEX(Korpus!$C:$C,$A28))</f>
        <v/>
      </c>
      <c r="F28" s="21" t="str">
        <f>IF(INDEX(Korpus!$F:$F,$A28)="","",INDEX(Korpus!$F:$F,$A28))</f>
        <v xml:space="preserve">Selain itu juga sudah ada Peraturan Menteri Nomor 20 Tahun 2016 tentang Perlindungan Data Pribadi namun belum cukup memberikan perlindungan kepada konsumen.</v>
      </c>
      <c r="G28" s="22"/>
      <c r="H28" s="22"/>
      <c r="I28" s="22"/>
      <c r="J28" s="22"/>
      <c r="K28" s="22"/>
      <c r="L28" s="22"/>
      <c r="M28" s="23" t="s">
        <v>131</v>
      </c>
      <c r="N28" s="23" t="s">
        <v>105</v>
      </c>
      <c r="O28" s="23" t="s">
        <v>122</v>
      </c>
      <c r="P28" s="23" t="s">
        <v>113</v>
      </c>
      <c r="Q28" s="23" t="s">
        <v>132</v>
      </c>
      <c r="R28" s="23" t="s">
        <v>109</v>
      </c>
      <c r="S28" s="24"/>
      <c r="T28" s="24"/>
      <c r="U28" s="24"/>
      <c r="V28" s="24"/>
      <c r="W28" s="24"/>
      <c r="X28" s="24"/>
      <c r="Y28" s="25"/>
      <c r="Z28" s="25"/>
      <c r="AA28" s="25"/>
      <c r="AB28" s="25"/>
      <c r="AC28" s="25"/>
      <c r="AD28" s="25"/>
      <c r="AE28" s="26"/>
      <c r="AF28" s="26"/>
      <c r="AG28" s="26"/>
      <c r="AH28" s="26"/>
      <c r="AI28" s="26"/>
      <c r="AJ28" s="26"/>
      <c r="AK28" s="20" t="str">
        <f>IF(Hitung!B28&lt;$E$1,"",IF(Hitung!C28&gt;0,"Beda","Sama"))</f>
        <v/>
      </c>
      <c r="AL28" s="20" t="str">
        <f>IF(Hitung!D28&lt;$E$1,"",IF(Hitung!E28&gt;0,"Beda","Sama"))</f>
        <v/>
      </c>
      <c r="AM28" s="20" t="str">
        <f>IF(Hitung!F28&lt;$E$1,"",IF(Hitung!G28&gt;0,"Beda","Sama"))</f>
        <v/>
      </c>
      <c r="AN28" s="20" t="str">
        <f>IF(Hitung!H28&lt;$E$1,"",IF(Hitung!I28&gt;0,"Beda","Sama"))</f>
        <v/>
      </c>
      <c r="AO28" s="20" t="str">
        <f>IF(Hitung!J28&lt;$E$1,"",IF(Hitung!K28&gt;0,"Beda","Sama"))</f>
        <v/>
      </c>
      <c r="AP28" s="20" t="str">
        <f>IF(Hitung!L28&lt;$E$1,"",IF(Hitung!M28&gt;0,"Beda","Sama"))</f>
        <v/>
      </c>
      <c r="AQ28" s="20">
        <f t="shared" si="7"/>
        <v>0</v>
      </c>
      <c r="AR28" s="27"/>
      <c r="AS28" s="27"/>
      <c r="AT28" s="27"/>
      <c r="AU28" s="27"/>
      <c r="AV28" s="27"/>
      <c r="AW28" s="27"/>
      <c r="AX28" s="28" t="str">
        <f>IF(AR28&lt;&gt;"",AR28,IF(AND(Hitung!B28=$E$1,Hitung!C28=0),M28,""))</f>
        <v/>
      </c>
      <c r="AY28" s="28" t="str">
        <f>IF(AS28&lt;&gt;"",AS28,IF(AND(Hitung!D28=$E$1,Hitung!E28=0),N28,""))</f>
        <v/>
      </c>
      <c r="AZ28" s="28" t="str">
        <f>IF(AT28&lt;&gt;"",AT28,IF(AND(Hitung!F28=$E$1,Hitung!G28=0),O28,""))</f>
        <v/>
      </c>
      <c r="BA28" s="28" t="str">
        <f>IF(AU28&lt;&gt;"",AU28,IF(AND(Hitung!H28=$E$1,Hitung!I28=0),P28,""))</f>
        <v/>
      </c>
      <c r="BB28" s="28" t="str">
        <f>IF(AV28&lt;&gt;"",AV28,IF(AND(Hitung!J28=$E$1,Hitung!K28=0),Q28,""))</f>
        <v/>
      </c>
      <c r="BC28" s="28" t="str">
        <f>IF(AW28&lt;&gt;"",AW28,IF(AND(Hitung!L28=$E$1,Hitung!M28=0),R28,""))</f>
        <v/>
      </c>
      <c r="BD28" s="29"/>
      <c r="BE28" s="20" t="str">
        <f t="shared" si="8"/>
        <v xml:space="preserve">Menunggu coder</v>
      </c>
      <c r="BF28" s="21" t="str">
        <f t="shared" si="9"/>
        <v/>
      </c>
      <c r="BG28" s="21" t="str">
        <f t="shared" si="10"/>
        <v/>
      </c>
      <c r="BH28" s="21" t="str">
        <f t="shared" si="11"/>
        <v/>
      </c>
      <c r="BI28" s="21" t="str">
        <f t="shared" si="12"/>
        <v/>
      </c>
      <c r="BJ28" s="21" t="str">
        <f t="shared" si="13"/>
        <v/>
      </c>
      <c r="BK28" s="8" t="s">
        <v>119</v>
      </c>
    </row>
    <row r="29" ht="48" customHeight="1">
      <c r="A29" s="20">
        <v>26</v>
      </c>
      <c r="B29" s="21" t="str">
        <f>IF(INDEX(Korpus!$A:$A,$A29)="","",INDEX(Korpus!$A:$A,$A29))</f>
        <v>2019MHN201</v>
      </c>
      <c r="C29" s="21" t="str">
        <f>TRIM(INDEX(Korpus!$D:$D,$A29)&amp;" "&amp;INDEX(Korpus!$E:$E,$A29))</f>
        <v xml:space="preserve">Paragraf 1 Kalimat 4</v>
      </c>
      <c r="D29" s="21" t="str">
        <f>IF(INDEX(Korpus!$B:$B,$A29)="","",INDEX(Korpus!$B:$B,$A29))</f>
        <v xml:space="preserve">D. Penutup</v>
      </c>
      <c r="E29" s="21" t="str">
        <f>IF(INDEX(Korpus!$C:$C,$A29)="","",INDEX(Korpus!$C:$C,$A29))</f>
        <v/>
      </c>
      <c r="F29" s="21" t="str">
        <f>IF(INDEX(Korpus!$F:$F,$A29)="","",INDEX(Korpus!$F:$F,$A29))</f>
        <v xml:space="preserve">Oleh karenanya Pemerintah perlu segera memberikan perlindungan data pribadi nasabah agar tidak disalahgunakan.</v>
      </c>
      <c r="G29" s="22"/>
      <c r="H29" s="22"/>
      <c r="I29" s="22"/>
      <c r="J29" s="22"/>
      <c r="K29" s="22"/>
      <c r="L29" s="22"/>
      <c r="M29" s="23"/>
      <c r="N29" s="23"/>
      <c r="O29" s="23"/>
      <c r="P29" s="23"/>
      <c r="Q29" s="23"/>
      <c r="R29" s="23"/>
      <c r="S29" s="24"/>
      <c r="T29" s="24"/>
      <c r="U29" s="24"/>
      <c r="V29" s="24"/>
      <c r="W29" s="24"/>
      <c r="X29" s="24"/>
      <c r="Y29" s="25"/>
      <c r="Z29" s="25"/>
      <c r="AA29" s="25"/>
      <c r="AB29" s="25"/>
      <c r="AC29" s="25"/>
      <c r="AD29" s="25"/>
      <c r="AE29" s="26"/>
      <c r="AF29" s="26"/>
      <c r="AG29" s="26"/>
      <c r="AH29" s="26"/>
      <c r="AI29" s="26"/>
      <c r="AJ29" s="26"/>
      <c r="AK29" s="20" t="str">
        <f>IF(Hitung!B29&lt;$E$1,"",IF(Hitung!C29&gt;0,"Beda","Sama"))</f>
        <v/>
      </c>
      <c r="AL29" s="20" t="str">
        <f>IF(Hitung!D29&lt;$E$1,"",IF(Hitung!E29&gt;0,"Beda","Sama"))</f>
        <v/>
      </c>
      <c r="AM29" s="20" t="str">
        <f>IF(Hitung!F29&lt;$E$1,"",IF(Hitung!G29&gt;0,"Beda","Sama"))</f>
        <v/>
      </c>
      <c r="AN29" s="20" t="str">
        <f>IF(Hitung!H29&lt;$E$1,"",IF(Hitung!I29&gt;0,"Beda","Sama"))</f>
        <v/>
      </c>
      <c r="AO29" s="20" t="str">
        <f>IF(Hitung!J29&lt;$E$1,"",IF(Hitung!K29&gt;0,"Beda","Sama"))</f>
        <v/>
      </c>
      <c r="AP29" s="20" t="str">
        <f>IF(Hitung!L29&lt;$E$1,"",IF(Hitung!M29&gt;0,"Beda","Sama"))</f>
        <v/>
      </c>
      <c r="AQ29" s="20">
        <f t="shared" si="7"/>
        <v>0</v>
      </c>
      <c r="AR29" s="27"/>
      <c r="AS29" s="27"/>
      <c r="AT29" s="27"/>
      <c r="AU29" s="27"/>
      <c r="AV29" s="27"/>
      <c r="AW29" s="27"/>
      <c r="AX29" s="28" t="str">
        <f>IF(AR29&lt;&gt;"",AR29,IF(AND(Hitung!B29=$E$1,Hitung!C29=0),M29,""))</f>
        <v/>
      </c>
      <c r="AY29" s="28" t="str">
        <f>IF(AS29&lt;&gt;"",AS29,IF(AND(Hitung!D29=$E$1,Hitung!E29=0),N29,""))</f>
        <v/>
      </c>
      <c r="AZ29" s="28" t="str">
        <f>IF(AT29&lt;&gt;"",AT29,IF(AND(Hitung!F29=$E$1,Hitung!G29=0),O29,""))</f>
        <v/>
      </c>
      <c r="BA29" s="28" t="str">
        <f>IF(AU29&lt;&gt;"",AU29,IF(AND(Hitung!H29=$E$1,Hitung!I29=0),P29,""))</f>
        <v/>
      </c>
      <c r="BB29" s="28" t="str">
        <f>IF(AV29&lt;&gt;"",AV29,IF(AND(Hitung!J29=$E$1,Hitung!K29=0),Q29,""))</f>
        <v/>
      </c>
      <c r="BC29" s="28" t="str">
        <f>IF(AW29&lt;&gt;"",AW29,IF(AND(Hitung!L29=$E$1,Hitung!M29=0),R29,""))</f>
        <v/>
      </c>
      <c r="BD29" s="29"/>
      <c r="BE29" s="20" t="str">
        <f t="shared" si="8"/>
        <v xml:space="preserve">Menunggu coder</v>
      </c>
      <c r="BF29" s="21" t="str">
        <f t="shared" si="9"/>
        <v/>
      </c>
      <c r="BG29" s="21" t="str">
        <f t="shared" si="10"/>
        <v/>
      </c>
      <c r="BH29" s="21" t="str">
        <f t="shared" si="11"/>
        <v/>
      </c>
      <c r="BI29" s="21" t="str">
        <f t="shared" si="12"/>
        <v/>
      </c>
      <c r="BJ29" s="21" t="str">
        <f t="shared" si="13"/>
        <v/>
      </c>
    </row>
    <row r="30" ht="48" customHeight="1">
      <c r="A30" s="20">
        <v>27</v>
      </c>
      <c r="B30" s="21" t="str">
        <f>IF(INDEX(Korpus!$A:$A,$A30)="","",INDEX(Korpus!$A:$A,$A30))</f>
        <v xml:space="preserve">UU 23 Thn 2002 (Perlindungan Anak)</v>
      </c>
      <c r="C30" s="21" t="str">
        <f>TRIM(INDEX(Korpus!$D:$D,$A30)&amp;" "&amp;INDEX(Korpus!$E:$E,$A30))</f>
        <v xml:space="preserve">Pasal 27</v>
      </c>
      <c r="D30" s="21" t="str">
        <f>IF(INDEX(Korpus!$B:$B,$A30)="","",INDEX(Korpus!$B:$B,$A30))</f>
        <v xml:space="preserve">BAB V
KEDUDUKAN ANAK</v>
      </c>
      <c r="E30" s="21" t="str">
        <f>IF(INDEX(Korpus!$C:$C,$A30)="","",INDEX(Korpus!$C:$C,$A30))</f>
        <v xml:space="preserve">Bagian Kesatu
Identitas Anak</v>
      </c>
      <c r="F30" s="21" t="str">
        <f>IF(INDEX(Korpus!$F:$F,$A30)="","",INDEX(Korpus!$F:$F,$A30))</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G30" s="22"/>
      <c r="H30" s="22"/>
      <c r="I30" s="22"/>
      <c r="J30" s="22"/>
      <c r="K30" s="22"/>
      <c r="L30" s="22"/>
      <c r="M30" s="23"/>
      <c r="N30" s="23"/>
      <c r="O30" s="23"/>
      <c r="P30" s="23"/>
      <c r="Q30" s="23"/>
      <c r="R30" s="23"/>
      <c r="S30" s="24"/>
      <c r="T30" s="24"/>
      <c r="U30" s="24"/>
      <c r="V30" s="24"/>
      <c r="W30" s="24"/>
      <c r="X30" s="24"/>
      <c r="Y30" s="25"/>
      <c r="Z30" s="25"/>
      <c r="AA30" s="25"/>
      <c r="AB30" s="25"/>
      <c r="AC30" s="25"/>
      <c r="AD30" s="25"/>
      <c r="AE30" s="26"/>
      <c r="AF30" s="26"/>
      <c r="AG30" s="26"/>
      <c r="AH30" s="26"/>
      <c r="AI30" s="26"/>
      <c r="AJ30" s="26"/>
      <c r="AK30" s="20" t="str">
        <f>IF(Hitung!B30&lt;$E$1,"",IF(Hitung!C30&gt;0,"Beda","Sama"))</f>
        <v/>
      </c>
      <c r="AL30" s="20" t="str">
        <f>IF(Hitung!D30&lt;$E$1,"",IF(Hitung!E30&gt;0,"Beda","Sama"))</f>
        <v/>
      </c>
      <c r="AM30" s="20" t="str">
        <f>IF(Hitung!F30&lt;$E$1,"",IF(Hitung!G30&gt;0,"Beda","Sama"))</f>
        <v/>
      </c>
      <c r="AN30" s="20" t="str">
        <f>IF(Hitung!H30&lt;$E$1,"",IF(Hitung!I30&gt;0,"Beda","Sama"))</f>
        <v/>
      </c>
      <c r="AO30" s="20" t="str">
        <f>IF(Hitung!J30&lt;$E$1,"",IF(Hitung!K30&gt;0,"Beda","Sama"))</f>
        <v/>
      </c>
      <c r="AP30" s="20" t="str">
        <f>IF(Hitung!L30&lt;$E$1,"",IF(Hitung!M30&gt;0,"Beda","Sama"))</f>
        <v/>
      </c>
      <c r="AQ30" s="20">
        <f t="shared" si="7"/>
        <v>0</v>
      </c>
      <c r="AR30" s="27"/>
      <c r="AS30" s="27"/>
      <c r="AT30" s="27"/>
      <c r="AU30" s="27"/>
      <c r="AV30" s="27"/>
      <c r="AW30" s="27"/>
      <c r="AX30" s="28" t="str">
        <f>IF(AR30&lt;&gt;"",AR30,IF(AND(Hitung!B30=$E$1,Hitung!C30=0),M30,""))</f>
        <v/>
      </c>
      <c r="AY30" s="28" t="str">
        <f>IF(AS30&lt;&gt;"",AS30,IF(AND(Hitung!D30=$E$1,Hitung!E30=0),N30,""))</f>
        <v/>
      </c>
      <c r="AZ30" s="28" t="str">
        <f>IF(AT30&lt;&gt;"",AT30,IF(AND(Hitung!F30=$E$1,Hitung!G30=0),O30,""))</f>
        <v/>
      </c>
      <c r="BA30" s="28" t="str">
        <f>IF(AU30&lt;&gt;"",AU30,IF(AND(Hitung!H30=$E$1,Hitung!I30=0),P30,""))</f>
        <v/>
      </c>
      <c r="BB30" s="28" t="str">
        <f>IF(AV30&lt;&gt;"",AV30,IF(AND(Hitung!J30=$E$1,Hitung!K30=0),Q30,""))</f>
        <v/>
      </c>
      <c r="BC30" s="28" t="str">
        <f>IF(AW30&lt;&gt;"",AW30,IF(AND(Hitung!L30=$E$1,Hitung!M30=0),R30,""))</f>
        <v/>
      </c>
      <c r="BD30" s="29"/>
      <c r="BE30" s="20" t="str">
        <f t="shared" si="8"/>
        <v xml:space="preserve">Menunggu coder</v>
      </c>
      <c r="BF30" s="21" t="str">
        <f t="shared" si="9"/>
        <v/>
      </c>
      <c r="BG30" s="21" t="str">
        <f t="shared" si="10"/>
        <v/>
      </c>
      <c r="BH30" s="21" t="str">
        <f t="shared" si="11"/>
        <v/>
      </c>
      <c r="BI30" s="21" t="str">
        <f t="shared" si="12"/>
        <v/>
      </c>
      <c r="BJ30" s="21" t="str">
        <f t="shared" si="13"/>
        <v/>
      </c>
    </row>
    <row r="31" ht="48" customHeight="1">
      <c r="A31" s="20">
        <v>28</v>
      </c>
      <c r="B31" s="21" t="str">
        <f>IF(INDEX(Korpus!$A:$A,$A31)="","",INDEX(Korpus!$A:$A,$A31))</f>
        <v xml:space="preserve">UU 27 Thn 2022 (PDP)</v>
      </c>
      <c r="C31" s="21" t="str">
        <f>TRIM(INDEX(Korpus!$D:$D,$A31)&amp;" "&amp;INDEX(Korpus!$E:$E,$A31))</f>
        <v xml:space="preserve">Pasal 1</v>
      </c>
      <c r="D31" s="21" t="str">
        <f>IF(INDEX(Korpus!$B:$B,$A31)="","",INDEX(Korpus!$B:$B,$A31))</f>
        <v xml:space="preserve">BAB I
KETENTUAN UMUM</v>
      </c>
      <c r="E31" s="21" t="str">
        <f>IF(INDEX(Korpus!$C:$C,$A31)="","",INDEX(Korpus!$C:$C,$A31))</f>
        <v/>
      </c>
      <c r="F31" s="21" t="str">
        <f>IF(INDEX(Korpus!$F:$F,$A31)="","",INDEX(Korpus!$F:$F,$A31))</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G31" s="22" t="s">
        <v>104</v>
      </c>
      <c r="H31" s="22" t="s">
        <v>105</v>
      </c>
      <c r="I31" s="22" t="s">
        <v>133</v>
      </c>
      <c r="J31" s="22" t="s">
        <v>123</v>
      </c>
      <c r="K31" s="22" t="s">
        <v>108</v>
      </c>
      <c r="L31" s="22" t="s">
        <v>118</v>
      </c>
      <c r="M31" s="23" t="s">
        <v>110</v>
      </c>
      <c r="N31" s="23" t="s">
        <v>111</v>
      </c>
      <c r="O31" s="23" t="s">
        <v>133</v>
      </c>
      <c r="P31" s="23" t="s">
        <v>123</v>
      </c>
      <c r="Q31" s="23" t="s">
        <v>124</v>
      </c>
      <c r="R31" s="23" t="s">
        <v>115</v>
      </c>
      <c r="S31" s="24"/>
      <c r="T31" s="24"/>
      <c r="U31" s="24"/>
      <c r="V31" s="24"/>
      <c r="W31" s="24"/>
      <c r="X31" s="24"/>
      <c r="Y31" s="25"/>
      <c r="Z31" s="25"/>
      <c r="AA31" s="25"/>
      <c r="AB31" s="25"/>
      <c r="AC31" s="25"/>
      <c r="AD31" s="25"/>
      <c r="AE31" s="26"/>
      <c r="AF31" s="26"/>
      <c r="AG31" s="26"/>
      <c r="AH31" s="26"/>
      <c r="AI31" s="26"/>
      <c r="AJ31" s="26"/>
      <c r="AK31" s="20" t="str">
        <f>IF(Hitung!B31&lt;$E$1,"",IF(Hitung!C31&gt;0,"Beda","Sama"))</f>
        <v/>
      </c>
      <c r="AL31" s="20" t="str">
        <f>IF(Hitung!D31&lt;$E$1,"",IF(Hitung!E31&gt;0,"Beda","Sama"))</f>
        <v/>
      </c>
      <c r="AM31" s="20" t="str">
        <f>IF(Hitung!F31&lt;$E$1,"",IF(Hitung!G31&gt;0,"Beda","Sama"))</f>
        <v/>
      </c>
      <c r="AN31" s="20" t="str">
        <f>IF(Hitung!H31&lt;$E$1,"",IF(Hitung!I31&gt;0,"Beda","Sama"))</f>
        <v/>
      </c>
      <c r="AO31" s="20" t="str">
        <f>IF(Hitung!J31&lt;$E$1,"",IF(Hitung!K31&gt;0,"Beda","Sama"))</f>
        <v/>
      </c>
      <c r="AP31" s="20" t="str">
        <f>IF(Hitung!L31&lt;$E$1,"",IF(Hitung!M31&gt;0,"Beda","Sama"))</f>
        <v/>
      </c>
      <c r="AQ31" s="20">
        <f t="shared" si="7"/>
        <v>0</v>
      </c>
      <c r="AR31" s="27"/>
      <c r="AS31" s="27"/>
      <c r="AT31" s="27"/>
      <c r="AU31" s="27"/>
      <c r="AV31" s="27"/>
      <c r="AW31" s="27"/>
      <c r="AX31" s="28" t="str">
        <f>IF(AR31&lt;&gt;"",AR31,IF(AND(Hitung!B31=$E$1,Hitung!C31=0),M31,""))</f>
        <v/>
      </c>
      <c r="AY31" s="28" t="str">
        <f>IF(AS31&lt;&gt;"",AS31,IF(AND(Hitung!D31=$E$1,Hitung!E31=0),N31,""))</f>
        <v/>
      </c>
      <c r="AZ31" s="28" t="str">
        <f>IF(AT31&lt;&gt;"",AT31,IF(AND(Hitung!F31=$E$1,Hitung!G31=0),O31,""))</f>
        <v/>
      </c>
      <c r="BA31" s="28" t="str">
        <f>IF(AU31&lt;&gt;"",AU31,IF(AND(Hitung!H31=$E$1,Hitung!I31=0),P31,""))</f>
        <v/>
      </c>
      <c r="BB31" s="28" t="str">
        <f>IF(AV31&lt;&gt;"",AV31,IF(AND(Hitung!J31=$E$1,Hitung!K31=0),Q31,""))</f>
        <v/>
      </c>
      <c r="BC31" s="28" t="str">
        <f>IF(AW31&lt;&gt;"",AW31,IF(AND(Hitung!L31=$E$1,Hitung!M31=0),R31,""))</f>
        <v/>
      </c>
      <c r="BD31" s="29"/>
      <c r="BE31" s="20" t="str">
        <f t="shared" si="8"/>
        <v xml:space="preserve">Menunggu coder</v>
      </c>
      <c r="BF31" s="21" t="str">
        <f t="shared" si="9"/>
        <v/>
      </c>
      <c r="BG31" s="21" t="str">
        <f t="shared" si="10"/>
        <v xml:space="preserve">Tidak (2/6): V4 V5 V8 V9</v>
      </c>
      <c r="BH31" s="21" t="str">
        <f t="shared" si="11"/>
        <v xml:space="preserve">Belum lengkap</v>
      </c>
      <c r="BI31" s="21" t="str">
        <f t="shared" si="12"/>
        <v/>
      </c>
      <c r="BJ31" s="21" t="str">
        <f t="shared" si="13"/>
        <v/>
      </c>
      <c r="BK31" s="8" t="s">
        <v>116</v>
      </c>
    </row>
    <row r="32" ht="48" customHeight="1">
      <c r="A32" s="20">
        <v>29</v>
      </c>
      <c r="B32" s="21" t="str">
        <f>IF(INDEX(Korpus!$A:$A,$A32)="","",INDEX(Korpus!$A:$A,$A32))</f>
        <v xml:space="preserve">UU 27 Thn 2022 (PDP)</v>
      </c>
      <c r="C32" s="21" t="str">
        <f>TRIM(INDEX(Korpus!$D:$D,$A32)&amp;" "&amp;INDEX(Korpus!$E:$E,$A32))</f>
        <v xml:space="preserve">Pasal 2</v>
      </c>
      <c r="D32" s="21" t="str">
        <f>IF(INDEX(Korpus!$B:$B,$A32)="","",INDEX(Korpus!$B:$B,$A32))</f>
        <v xml:space="preserve">BAB I
KETENTUAN UMUM</v>
      </c>
      <c r="E32" s="21" t="str">
        <f>IF(INDEX(Korpus!$C:$C,$A32)="","",INDEX(Korpus!$C:$C,$A32))</f>
        <v/>
      </c>
      <c r="F32" s="21" t="str">
        <f>IF(INDEX(Korpus!$F:$F,$A32)="","",INDEX(Korpus!$F:$F,$A32))</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G32" s="22"/>
      <c r="H32" s="22"/>
      <c r="I32" s="22"/>
      <c r="J32" s="22"/>
      <c r="K32" s="22"/>
      <c r="L32" s="22"/>
      <c r="M32" s="23"/>
      <c r="N32" s="23"/>
      <c r="O32" s="23"/>
      <c r="P32" s="23"/>
      <c r="Q32" s="23"/>
      <c r="R32" s="23"/>
      <c r="S32" s="24"/>
      <c r="T32" s="24"/>
      <c r="U32" s="24"/>
      <c r="V32" s="24"/>
      <c r="W32" s="24"/>
      <c r="X32" s="24"/>
      <c r="Y32" s="25"/>
      <c r="Z32" s="25"/>
      <c r="AA32" s="25"/>
      <c r="AB32" s="25"/>
      <c r="AC32" s="25"/>
      <c r="AD32" s="25"/>
      <c r="AE32" s="26"/>
      <c r="AF32" s="26"/>
      <c r="AG32" s="26"/>
      <c r="AH32" s="26"/>
      <c r="AI32" s="26"/>
      <c r="AJ32" s="26"/>
      <c r="AK32" s="20" t="str">
        <f>IF(Hitung!B32&lt;$E$1,"",IF(Hitung!C32&gt;0,"Beda","Sama"))</f>
        <v/>
      </c>
      <c r="AL32" s="20" t="str">
        <f>IF(Hitung!D32&lt;$E$1,"",IF(Hitung!E32&gt;0,"Beda","Sama"))</f>
        <v/>
      </c>
      <c r="AM32" s="20" t="str">
        <f>IF(Hitung!F32&lt;$E$1,"",IF(Hitung!G32&gt;0,"Beda","Sama"))</f>
        <v/>
      </c>
      <c r="AN32" s="20" t="str">
        <f>IF(Hitung!H32&lt;$E$1,"",IF(Hitung!I32&gt;0,"Beda","Sama"))</f>
        <v/>
      </c>
      <c r="AO32" s="20" t="str">
        <f>IF(Hitung!J32&lt;$E$1,"",IF(Hitung!K32&gt;0,"Beda","Sama"))</f>
        <v/>
      </c>
      <c r="AP32" s="20" t="str">
        <f>IF(Hitung!L32&lt;$E$1,"",IF(Hitung!M32&gt;0,"Beda","Sama"))</f>
        <v/>
      </c>
      <c r="AQ32" s="20">
        <f t="shared" si="7"/>
        <v>0</v>
      </c>
      <c r="AR32" s="27"/>
      <c r="AS32" s="27"/>
      <c r="AT32" s="27"/>
      <c r="AU32" s="27"/>
      <c r="AV32" s="27"/>
      <c r="AW32" s="27"/>
      <c r="AX32" s="28" t="str">
        <f>IF(AR32&lt;&gt;"",AR32,IF(AND(Hitung!B32=$E$1,Hitung!C32=0),M32,""))</f>
        <v/>
      </c>
      <c r="AY32" s="28" t="str">
        <f>IF(AS32&lt;&gt;"",AS32,IF(AND(Hitung!D32=$E$1,Hitung!E32=0),N32,""))</f>
        <v/>
      </c>
      <c r="AZ32" s="28" t="str">
        <f>IF(AT32&lt;&gt;"",AT32,IF(AND(Hitung!F32=$E$1,Hitung!G32=0),O32,""))</f>
        <v/>
      </c>
      <c r="BA32" s="28" t="str">
        <f>IF(AU32&lt;&gt;"",AU32,IF(AND(Hitung!H32=$E$1,Hitung!I32=0),P32,""))</f>
        <v/>
      </c>
      <c r="BB32" s="28" t="str">
        <f>IF(AV32&lt;&gt;"",AV32,IF(AND(Hitung!J32=$E$1,Hitung!K32=0),Q32,""))</f>
        <v/>
      </c>
      <c r="BC32" s="28" t="str">
        <f>IF(AW32&lt;&gt;"",AW32,IF(AND(Hitung!L32=$E$1,Hitung!M32=0),R32,""))</f>
        <v/>
      </c>
      <c r="BD32" s="29"/>
      <c r="BE32" s="20" t="str">
        <f t="shared" si="8"/>
        <v xml:space="preserve">Menunggu coder</v>
      </c>
      <c r="BF32" s="21" t="str">
        <f t="shared" si="9"/>
        <v/>
      </c>
      <c r="BG32" s="21" t="str">
        <f t="shared" si="10"/>
        <v/>
      </c>
      <c r="BH32" s="21" t="str">
        <f t="shared" si="11"/>
        <v/>
      </c>
      <c r="BI32" s="21" t="str">
        <f t="shared" si="12"/>
        <v/>
      </c>
      <c r="BJ32" s="21" t="str">
        <f t="shared" si="13"/>
        <v/>
      </c>
    </row>
    <row r="33" ht="48" customHeight="1">
      <c r="A33" s="20">
        <v>30</v>
      </c>
      <c r="B33" s="21" t="str">
        <f>IF(INDEX(Korpus!$A:$A,$A33)="","",INDEX(Korpus!$A:$A,$A33))</f>
        <v xml:space="preserve">UU 27 Thn 2022 (PDP)</v>
      </c>
      <c r="C33" s="21" t="str">
        <f>TRIM(INDEX(Korpus!$D:$D,$A33)&amp;" "&amp;INDEX(Korpus!$E:$E,$A33))</f>
        <v xml:space="preserve">Pasal 3</v>
      </c>
      <c r="D33" s="21" t="str">
        <f>IF(INDEX(Korpus!$B:$B,$A33)="","",INDEX(Korpus!$B:$B,$A33))</f>
        <v xml:space="preserve">BAB II
ASAS</v>
      </c>
      <c r="E33" s="21" t="str">
        <f>IF(INDEX(Korpus!$C:$C,$A33)="","",INDEX(Korpus!$C:$C,$A33))</f>
        <v/>
      </c>
      <c r="F33" s="21" t="str">
        <f>IF(INDEX(Korpus!$F:$F,$A33)="","",INDEX(Korpus!$F:$F,$A33))</f>
        <v xml:space="preserve">a. perlindungan; b. kepastian hukum; c. kepentingan umum; d. Kemanfaatan; e. Kehati-hatian; f. Keseimbangan; g. Pertanggungjawaban; dan h. kerahasiaan.</v>
      </c>
      <c r="G33" s="22"/>
      <c r="H33" s="22"/>
      <c r="I33" s="22"/>
      <c r="J33" s="22"/>
      <c r="K33" s="22"/>
      <c r="L33" s="22"/>
      <c r="M33" s="23" t="s">
        <v>131</v>
      </c>
      <c r="N33" s="23" t="s">
        <v>111</v>
      </c>
      <c r="O33" s="23" t="s">
        <v>112</v>
      </c>
      <c r="P33" s="23" t="s">
        <v>123</v>
      </c>
      <c r="Q33" s="23" t="s">
        <v>134</v>
      </c>
      <c r="R33" s="23" t="s">
        <v>125</v>
      </c>
      <c r="S33" s="24"/>
      <c r="T33" s="24"/>
      <c r="U33" s="24"/>
      <c r="V33" s="24"/>
      <c r="W33" s="24"/>
      <c r="X33" s="24"/>
      <c r="Y33" s="25"/>
      <c r="Z33" s="25"/>
      <c r="AA33" s="25"/>
      <c r="AB33" s="25"/>
      <c r="AC33" s="25"/>
      <c r="AD33" s="25"/>
      <c r="AE33" s="26"/>
      <c r="AF33" s="26"/>
      <c r="AG33" s="26"/>
      <c r="AH33" s="26"/>
      <c r="AI33" s="26"/>
      <c r="AJ33" s="26"/>
      <c r="AK33" s="20" t="str">
        <f>IF(Hitung!B33&lt;$E$1,"",IF(Hitung!C33&gt;0,"Beda","Sama"))</f>
        <v/>
      </c>
      <c r="AL33" s="20" t="str">
        <f>IF(Hitung!D33&lt;$E$1,"",IF(Hitung!E33&gt;0,"Beda","Sama"))</f>
        <v/>
      </c>
      <c r="AM33" s="20" t="str">
        <f>IF(Hitung!F33&lt;$E$1,"",IF(Hitung!G33&gt;0,"Beda","Sama"))</f>
        <v/>
      </c>
      <c r="AN33" s="20" t="str">
        <f>IF(Hitung!H33&lt;$E$1,"",IF(Hitung!I33&gt;0,"Beda","Sama"))</f>
        <v/>
      </c>
      <c r="AO33" s="20" t="str">
        <f>IF(Hitung!J33&lt;$E$1,"",IF(Hitung!K33&gt;0,"Beda","Sama"))</f>
        <v/>
      </c>
      <c r="AP33" s="20" t="str">
        <f>IF(Hitung!L33&lt;$E$1,"",IF(Hitung!M33&gt;0,"Beda","Sama"))</f>
        <v/>
      </c>
      <c r="AQ33" s="20">
        <f t="shared" si="7"/>
        <v>0</v>
      </c>
      <c r="AR33" s="27"/>
      <c r="AS33" s="27"/>
      <c r="AT33" s="27"/>
      <c r="AU33" s="27"/>
      <c r="AV33" s="27"/>
      <c r="AW33" s="27"/>
      <c r="AX33" s="28" t="str">
        <f>IF(AR33&lt;&gt;"",AR33,IF(AND(Hitung!B33=$E$1,Hitung!C33=0),M33,""))</f>
        <v/>
      </c>
      <c r="AY33" s="28" t="str">
        <f>IF(AS33&lt;&gt;"",AS33,IF(AND(Hitung!D33=$E$1,Hitung!E33=0),N33,""))</f>
        <v/>
      </c>
      <c r="AZ33" s="28" t="str">
        <f>IF(AT33&lt;&gt;"",AT33,IF(AND(Hitung!F33=$E$1,Hitung!G33=0),O33,""))</f>
        <v/>
      </c>
      <c r="BA33" s="28" t="str">
        <f>IF(AU33&lt;&gt;"",AU33,IF(AND(Hitung!H33=$E$1,Hitung!I33=0),P33,""))</f>
        <v/>
      </c>
      <c r="BB33" s="28" t="str">
        <f>IF(AV33&lt;&gt;"",AV33,IF(AND(Hitung!J33=$E$1,Hitung!K33=0),Q33,""))</f>
        <v/>
      </c>
      <c r="BC33" s="28" t="str">
        <f>IF(AW33&lt;&gt;"",AW33,IF(AND(Hitung!L33=$E$1,Hitung!M33=0),R33,""))</f>
        <v/>
      </c>
      <c r="BD33" s="29"/>
      <c r="BE33" s="20" t="str">
        <f t="shared" si="8"/>
        <v xml:space="preserve">Menunggu coder</v>
      </c>
      <c r="BF33" s="21" t="str">
        <f t="shared" si="9"/>
        <v/>
      </c>
      <c r="BG33" s="21" t="str">
        <f t="shared" si="10"/>
        <v/>
      </c>
      <c r="BH33" s="21" t="str">
        <f t="shared" si="11"/>
        <v/>
      </c>
      <c r="BI33" s="21" t="str">
        <f t="shared" si="12"/>
        <v/>
      </c>
      <c r="BJ33" s="21" t="str">
        <f t="shared" si="13"/>
        <v/>
      </c>
      <c r="BK33" s="8" t="s">
        <v>119</v>
      </c>
    </row>
    <row r="34" ht="48" customHeight="1">
      <c r="A34" s="20">
        <v>31</v>
      </c>
      <c r="B34" s="21" t="str">
        <f>IF(INDEX(Korpus!$A:$A,$A34)="","",INDEX(Korpus!$A:$A,$A34))</f>
        <v xml:space="preserve">UU 27 Thn 2022 (PDP)</v>
      </c>
      <c r="C34" s="21" t="str">
        <f>TRIM(INDEX(Korpus!$D:$D,$A34)&amp;" "&amp;INDEX(Korpus!$E:$E,$A34))</f>
        <v xml:space="preserve">Pasal 4</v>
      </c>
      <c r="D34" s="21" t="str">
        <f>IF(INDEX(Korpus!$B:$B,$A34)="","",INDEX(Korpus!$B:$B,$A34))</f>
        <v xml:space="preserve">BAB III
JENIS DATA PRIBADI</v>
      </c>
      <c r="E34" s="21" t="str">
        <f>IF(INDEX(Korpus!$C:$C,$A34)="","",INDEX(Korpus!$C:$C,$A34))</f>
        <v/>
      </c>
      <c r="F34" s="21" t="str">
        <f>IF(INDEX(Korpus!$F:$F,$A34)="","",INDEX(Korpus!$F:$F,$A34))</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G34" s="22"/>
      <c r="H34" s="22"/>
      <c r="I34" s="22"/>
      <c r="J34" s="22"/>
      <c r="K34" s="22"/>
      <c r="L34" s="22"/>
      <c r="M34" s="23"/>
      <c r="N34" s="23"/>
      <c r="O34" s="23"/>
      <c r="P34" s="23"/>
      <c r="Q34" s="23"/>
      <c r="R34" s="23"/>
      <c r="S34" s="24"/>
      <c r="T34" s="24"/>
      <c r="U34" s="24"/>
      <c r="V34" s="24"/>
      <c r="W34" s="24"/>
      <c r="X34" s="24"/>
      <c r="Y34" s="25"/>
      <c r="Z34" s="25"/>
      <c r="AA34" s="25"/>
      <c r="AB34" s="25"/>
      <c r="AC34" s="25"/>
      <c r="AD34" s="25"/>
      <c r="AE34" s="26"/>
      <c r="AF34" s="26"/>
      <c r="AG34" s="26"/>
      <c r="AH34" s="26"/>
      <c r="AI34" s="26"/>
      <c r="AJ34" s="26"/>
      <c r="AK34" s="20" t="str">
        <f>IF(Hitung!B34&lt;$E$1,"",IF(Hitung!C34&gt;0,"Beda","Sama"))</f>
        <v/>
      </c>
      <c r="AL34" s="20" t="str">
        <f>IF(Hitung!D34&lt;$E$1,"",IF(Hitung!E34&gt;0,"Beda","Sama"))</f>
        <v/>
      </c>
      <c r="AM34" s="20" t="str">
        <f>IF(Hitung!F34&lt;$E$1,"",IF(Hitung!G34&gt;0,"Beda","Sama"))</f>
        <v/>
      </c>
      <c r="AN34" s="20" t="str">
        <f>IF(Hitung!H34&lt;$E$1,"",IF(Hitung!I34&gt;0,"Beda","Sama"))</f>
        <v/>
      </c>
      <c r="AO34" s="20" t="str">
        <f>IF(Hitung!J34&lt;$E$1,"",IF(Hitung!K34&gt;0,"Beda","Sama"))</f>
        <v/>
      </c>
      <c r="AP34" s="20" t="str">
        <f>IF(Hitung!L34&lt;$E$1,"",IF(Hitung!M34&gt;0,"Beda","Sama"))</f>
        <v/>
      </c>
      <c r="AQ34" s="20">
        <f t="shared" si="7"/>
        <v>0</v>
      </c>
      <c r="AR34" s="27"/>
      <c r="AS34" s="27"/>
      <c r="AT34" s="27"/>
      <c r="AU34" s="27"/>
      <c r="AV34" s="27"/>
      <c r="AW34" s="27"/>
      <c r="AX34" s="28" t="str">
        <f>IF(AR34&lt;&gt;"",AR34,IF(AND(Hitung!B34=$E$1,Hitung!C34=0),M34,""))</f>
        <v/>
      </c>
      <c r="AY34" s="28" t="str">
        <f>IF(AS34&lt;&gt;"",AS34,IF(AND(Hitung!D34=$E$1,Hitung!E34=0),N34,""))</f>
        <v/>
      </c>
      <c r="AZ34" s="28" t="str">
        <f>IF(AT34&lt;&gt;"",AT34,IF(AND(Hitung!F34=$E$1,Hitung!G34=0),O34,""))</f>
        <v/>
      </c>
      <c r="BA34" s="28" t="str">
        <f>IF(AU34&lt;&gt;"",AU34,IF(AND(Hitung!H34=$E$1,Hitung!I34=0),P34,""))</f>
        <v/>
      </c>
      <c r="BB34" s="28" t="str">
        <f>IF(AV34&lt;&gt;"",AV34,IF(AND(Hitung!J34=$E$1,Hitung!K34=0),Q34,""))</f>
        <v/>
      </c>
      <c r="BC34" s="28" t="str">
        <f>IF(AW34&lt;&gt;"",AW34,IF(AND(Hitung!L34=$E$1,Hitung!M34=0),R34,""))</f>
        <v/>
      </c>
      <c r="BD34" s="29"/>
      <c r="BE34" s="20" t="str">
        <f t="shared" si="8"/>
        <v xml:space="preserve">Menunggu coder</v>
      </c>
      <c r="BF34" s="21" t="str">
        <f t="shared" si="9"/>
        <v/>
      </c>
      <c r="BG34" s="21" t="str">
        <f t="shared" si="10"/>
        <v/>
      </c>
      <c r="BH34" s="21" t="str">
        <f t="shared" si="11"/>
        <v/>
      </c>
      <c r="BI34" s="21" t="str">
        <f t="shared" si="12"/>
        <v/>
      </c>
      <c r="BJ34" s="21" t="str">
        <f t="shared" si="13"/>
        <v/>
      </c>
    </row>
    <row r="35" ht="48" customHeight="1">
      <c r="A35" s="20">
        <v>32</v>
      </c>
      <c r="B35" s="21" t="str">
        <f>IF(INDEX(Korpus!$A:$A,$A35)="","",INDEX(Korpus!$A:$A,$A35))</f>
        <v xml:space="preserve">UU 27 Thn 2022 (PDP)</v>
      </c>
      <c r="C35" s="21" t="str">
        <f>TRIM(INDEX(Korpus!$D:$D,$A35)&amp;" "&amp;INDEX(Korpus!$E:$E,$A35))</f>
        <v xml:space="preserve">Pasal 5</v>
      </c>
      <c r="D35" s="21" t="str">
        <f>IF(INDEX(Korpus!$B:$B,$A35)="","",INDEX(Korpus!$B:$B,$A35))</f>
        <v xml:space="preserve">BAB IV
HAK SUBJEK DATA PRIBADI</v>
      </c>
      <c r="E35" s="21" t="str">
        <f>IF(INDEX(Korpus!$C:$C,$A35)="","",INDEX(Korpus!$C:$C,$A35))</f>
        <v/>
      </c>
      <c r="F35" s="21" t="str">
        <f>IF(INDEX(Korpus!$F:$F,$A35)="","",INDEX(Korpus!$F:$F,$A35))</f>
        <v xml:space="preserve">Subjek Data Pribadi berhak mendapatkan Informasi tentang kejelasan identitas, dasar kepentingan hukum, tujuan permintaan dan penggunaan Data Pribadi, dan akuntabilitas pihak yang meminta Data Pribadi.</v>
      </c>
      <c r="G35" s="22" t="s">
        <v>110</v>
      </c>
      <c r="H35" s="22" t="s">
        <v>111</v>
      </c>
      <c r="I35" s="22" t="s">
        <v>112</v>
      </c>
      <c r="J35" s="22" t="s">
        <v>113</v>
      </c>
      <c r="K35" s="22" t="s">
        <v>134</v>
      </c>
      <c r="L35" s="22" t="s">
        <v>135</v>
      </c>
      <c r="M35" s="23" t="s">
        <v>136</v>
      </c>
      <c r="N35" s="23" t="s">
        <v>111</v>
      </c>
      <c r="O35" s="23" t="s">
        <v>112</v>
      </c>
      <c r="P35" s="23" t="s">
        <v>113</v>
      </c>
      <c r="Q35" s="23" t="s">
        <v>134</v>
      </c>
      <c r="R35" s="23" t="s">
        <v>125</v>
      </c>
      <c r="S35" s="24"/>
      <c r="T35" s="24"/>
      <c r="U35" s="24"/>
      <c r="V35" s="24"/>
      <c r="W35" s="24"/>
      <c r="X35" s="24"/>
      <c r="Y35" s="25"/>
      <c r="Z35" s="25"/>
      <c r="AA35" s="25"/>
      <c r="AB35" s="25"/>
      <c r="AC35" s="25"/>
      <c r="AD35" s="25"/>
      <c r="AE35" s="26"/>
      <c r="AF35" s="26"/>
      <c r="AG35" s="26"/>
      <c r="AH35" s="26"/>
      <c r="AI35" s="26"/>
      <c r="AJ35" s="26"/>
      <c r="AK35" s="20" t="str">
        <f>IF(Hitung!B35&lt;$E$1,"",IF(Hitung!C35&gt;0,"Beda","Sama"))</f>
        <v/>
      </c>
      <c r="AL35" s="20" t="str">
        <f>IF(Hitung!D35&lt;$E$1,"",IF(Hitung!E35&gt;0,"Beda","Sama"))</f>
        <v/>
      </c>
      <c r="AM35" s="20" t="str">
        <f>IF(Hitung!F35&lt;$E$1,"",IF(Hitung!G35&gt;0,"Beda","Sama"))</f>
        <v/>
      </c>
      <c r="AN35" s="20" t="str">
        <f>IF(Hitung!H35&lt;$E$1,"",IF(Hitung!I35&gt;0,"Beda","Sama"))</f>
        <v/>
      </c>
      <c r="AO35" s="20" t="str">
        <f>IF(Hitung!J35&lt;$E$1,"",IF(Hitung!K35&gt;0,"Beda","Sama"))</f>
        <v/>
      </c>
      <c r="AP35" s="20" t="str">
        <f>IF(Hitung!L35&lt;$E$1,"",IF(Hitung!M35&gt;0,"Beda","Sama"))</f>
        <v/>
      </c>
      <c r="AQ35" s="20">
        <f t="shared" si="7"/>
        <v>0</v>
      </c>
      <c r="AR35" s="27"/>
      <c r="AS35" s="27"/>
      <c r="AT35" s="27"/>
      <c r="AU35" s="27"/>
      <c r="AV35" s="27"/>
      <c r="AW35" s="27"/>
      <c r="AX35" s="28" t="str">
        <f>IF(AR35&lt;&gt;"",AR35,IF(AND(Hitung!B35=$E$1,Hitung!C35=0),M35,""))</f>
        <v/>
      </c>
      <c r="AY35" s="28" t="str">
        <f>IF(AS35&lt;&gt;"",AS35,IF(AND(Hitung!D35=$E$1,Hitung!E35=0),N35,""))</f>
        <v/>
      </c>
      <c r="AZ35" s="28" t="str">
        <f>IF(AT35&lt;&gt;"",AT35,IF(AND(Hitung!F35=$E$1,Hitung!G35=0),O35,""))</f>
        <v/>
      </c>
      <c r="BA35" s="28" t="str">
        <f>IF(AU35&lt;&gt;"",AU35,IF(AND(Hitung!H35=$E$1,Hitung!I35=0),P35,""))</f>
        <v/>
      </c>
      <c r="BB35" s="28" t="str">
        <f>IF(AV35&lt;&gt;"",AV35,IF(AND(Hitung!J35=$E$1,Hitung!K35=0),Q35,""))</f>
        <v/>
      </c>
      <c r="BC35" s="28" t="str">
        <f>IF(AW35&lt;&gt;"",AW35,IF(AND(Hitung!L35=$E$1,Hitung!M35=0),R35,""))</f>
        <v/>
      </c>
      <c r="BD35" s="29"/>
      <c r="BE35" s="20" t="str">
        <f t="shared" si="8"/>
        <v xml:space="preserve">Menunggu coder</v>
      </c>
      <c r="BF35" s="21" t="str">
        <f t="shared" si="9"/>
        <v/>
      </c>
      <c r="BG35" s="21" t="str">
        <f t="shared" si="10"/>
        <v xml:space="preserve">Tidak (4/6): V4 V9</v>
      </c>
      <c r="BH35" s="21" t="str">
        <f t="shared" si="11"/>
        <v xml:space="preserve">Belum lengkap</v>
      </c>
      <c r="BI35" s="21" t="str">
        <f t="shared" si="12"/>
        <v/>
      </c>
      <c r="BJ35" s="21" t="str">
        <f t="shared" si="13"/>
        <v/>
      </c>
      <c r="BK35" s="8" t="s">
        <v>116</v>
      </c>
    </row>
    <row r="36" ht="48" customHeight="1">
      <c r="A36" s="20">
        <v>33</v>
      </c>
      <c r="B36" s="21" t="str">
        <f>IF(INDEX(Korpus!$A:$A,$A36)="","",INDEX(Korpus!$A:$A,$A36))</f>
        <v xml:space="preserve">UU 27 Thn 2022 (PDP)</v>
      </c>
      <c r="C36" s="21" t="str">
        <f>TRIM(INDEX(Korpus!$D:$D,$A36)&amp;" "&amp;INDEX(Korpus!$E:$E,$A36))</f>
        <v xml:space="preserve">Pasal 6</v>
      </c>
      <c r="D36" s="21" t="str">
        <f>IF(INDEX(Korpus!$B:$B,$A36)="","",INDEX(Korpus!$B:$B,$A36))</f>
        <v xml:space="preserve">BAB IV
HAK SUBJEK DATA PRIBADI</v>
      </c>
      <c r="E36" s="21" t="str">
        <f>IF(INDEX(Korpus!$C:$C,$A36)="","",INDEX(Korpus!$C:$C,$A36))</f>
        <v/>
      </c>
      <c r="F36" s="21" t="str">
        <f>IF(INDEX(Korpus!$F:$F,$A36)="","",INDEX(Korpus!$F:$F,$A36))</f>
        <v xml:space="preserve">Subjek Data Pribadi berhak melengkapi, memperbarui, dan/atau memperbaiki kesalahan dan/atau ketidakakuratan Data Pribadi tentang dirinya sesuai dengan tujuan pemrosesan Data Pribadi.</v>
      </c>
      <c r="G36" s="22"/>
      <c r="H36" s="22"/>
      <c r="I36" s="22"/>
      <c r="J36" s="22"/>
      <c r="K36" s="22"/>
      <c r="L36" s="22"/>
      <c r="M36" s="23"/>
      <c r="N36" s="23"/>
      <c r="O36" s="23"/>
      <c r="P36" s="23"/>
      <c r="Q36" s="23"/>
      <c r="R36" s="23"/>
      <c r="S36" s="24"/>
      <c r="T36" s="24"/>
      <c r="U36" s="24"/>
      <c r="V36" s="24"/>
      <c r="W36" s="24"/>
      <c r="X36" s="24"/>
      <c r="Y36" s="25"/>
      <c r="Z36" s="25"/>
      <c r="AA36" s="25"/>
      <c r="AB36" s="25"/>
      <c r="AC36" s="25"/>
      <c r="AD36" s="25"/>
      <c r="AE36" s="26"/>
      <c r="AF36" s="26"/>
      <c r="AG36" s="26"/>
      <c r="AH36" s="26"/>
      <c r="AI36" s="26"/>
      <c r="AJ36" s="26"/>
      <c r="AK36" s="20" t="str">
        <f>IF(Hitung!B36&lt;$E$1,"",IF(Hitung!C36&gt;0,"Beda","Sama"))</f>
        <v/>
      </c>
      <c r="AL36" s="20" t="str">
        <f>IF(Hitung!D36&lt;$E$1,"",IF(Hitung!E36&gt;0,"Beda","Sama"))</f>
        <v/>
      </c>
      <c r="AM36" s="20" t="str">
        <f>IF(Hitung!F36&lt;$E$1,"",IF(Hitung!G36&gt;0,"Beda","Sama"))</f>
        <v/>
      </c>
      <c r="AN36" s="20" t="str">
        <f>IF(Hitung!H36&lt;$E$1,"",IF(Hitung!I36&gt;0,"Beda","Sama"))</f>
        <v/>
      </c>
      <c r="AO36" s="20" t="str">
        <f>IF(Hitung!J36&lt;$E$1,"",IF(Hitung!K36&gt;0,"Beda","Sama"))</f>
        <v/>
      </c>
      <c r="AP36" s="20" t="str">
        <f>IF(Hitung!L36&lt;$E$1,"",IF(Hitung!M36&gt;0,"Beda","Sama"))</f>
        <v/>
      </c>
      <c r="AQ36" s="20">
        <f t="shared" si="7"/>
        <v>0</v>
      </c>
      <c r="AR36" s="27"/>
      <c r="AS36" s="27"/>
      <c r="AT36" s="27"/>
      <c r="AU36" s="27"/>
      <c r="AV36" s="27"/>
      <c r="AW36" s="27"/>
      <c r="AX36" s="28" t="str">
        <f>IF(AR36&lt;&gt;"",AR36,IF(AND(Hitung!B36=$E$1,Hitung!C36=0),M36,""))</f>
        <v/>
      </c>
      <c r="AY36" s="28" t="str">
        <f>IF(AS36&lt;&gt;"",AS36,IF(AND(Hitung!D36=$E$1,Hitung!E36=0),N36,""))</f>
        <v/>
      </c>
      <c r="AZ36" s="28" t="str">
        <f>IF(AT36&lt;&gt;"",AT36,IF(AND(Hitung!F36=$E$1,Hitung!G36=0),O36,""))</f>
        <v/>
      </c>
      <c r="BA36" s="28" t="str">
        <f>IF(AU36&lt;&gt;"",AU36,IF(AND(Hitung!H36=$E$1,Hitung!I36=0),P36,""))</f>
        <v/>
      </c>
      <c r="BB36" s="28" t="str">
        <f>IF(AV36&lt;&gt;"",AV36,IF(AND(Hitung!J36=$E$1,Hitung!K36=0),Q36,""))</f>
        <v/>
      </c>
      <c r="BC36" s="28" t="str">
        <f>IF(AW36&lt;&gt;"",AW36,IF(AND(Hitung!L36=$E$1,Hitung!M36=0),R36,""))</f>
        <v/>
      </c>
      <c r="BD36" s="29"/>
      <c r="BE36" s="20" t="str">
        <f t="shared" si="8"/>
        <v xml:space="preserve">Menunggu coder</v>
      </c>
      <c r="BF36" s="21" t="str">
        <f t="shared" si="9"/>
        <v/>
      </c>
      <c r="BG36" s="21" t="str">
        <f t="shared" si="10"/>
        <v/>
      </c>
      <c r="BH36" s="21" t="str">
        <f t="shared" si="11"/>
        <v/>
      </c>
      <c r="BI36" s="21" t="str">
        <f t="shared" si="12"/>
        <v/>
      </c>
      <c r="BJ36" s="21" t="str">
        <f t="shared" si="13"/>
        <v/>
      </c>
    </row>
    <row r="37" ht="48" customHeight="1">
      <c r="A37" s="20">
        <v>34</v>
      </c>
      <c r="B37" s="21" t="str">
        <f>IF(INDEX(Korpus!$A:$A,$A37)="","",INDEX(Korpus!$A:$A,$A37))</f>
        <v xml:space="preserve">UU 27 Thn 2022 (PDP)</v>
      </c>
      <c r="C37" s="21" t="str">
        <f>TRIM(INDEX(Korpus!$D:$D,$A37)&amp;" "&amp;INDEX(Korpus!$E:$E,$A37))</f>
        <v xml:space="preserve">Pasal 7</v>
      </c>
      <c r="D37" s="21" t="str">
        <f>IF(INDEX(Korpus!$B:$B,$A37)="","",INDEX(Korpus!$B:$B,$A37))</f>
        <v xml:space="preserve">BAB IV
HAK SUBJEK DATA PRIBADI</v>
      </c>
      <c r="E37" s="21" t="str">
        <f>IF(INDEX(Korpus!$C:$C,$A37)="","",INDEX(Korpus!$C:$C,$A37))</f>
        <v/>
      </c>
      <c r="F37" s="21" t="str">
        <f>IF(INDEX(Korpus!$F:$F,$A37)="","",INDEX(Korpus!$F:$F,$A37))</f>
        <v xml:space="preserve">Subjek Data Pribadi berhak mendapatkan akses dan memperoleh salinan Data Pribadi tentang dirinya sesuai dengan ketentuan peraturan perundang-undangan.</v>
      </c>
      <c r="G37" s="22"/>
      <c r="H37" s="22"/>
      <c r="I37" s="22"/>
      <c r="J37" s="22"/>
      <c r="K37" s="22"/>
      <c r="L37" s="22"/>
      <c r="M37" s="23"/>
      <c r="N37" s="23"/>
      <c r="O37" s="23"/>
      <c r="P37" s="23"/>
      <c r="Q37" s="23"/>
      <c r="R37" s="23"/>
      <c r="S37" s="24"/>
      <c r="T37" s="24"/>
      <c r="U37" s="24"/>
      <c r="V37" s="24"/>
      <c r="W37" s="24"/>
      <c r="X37" s="24"/>
      <c r="Y37" s="25"/>
      <c r="Z37" s="25"/>
      <c r="AA37" s="25"/>
      <c r="AB37" s="25"/>
      <c r="AC37" s="25"/>
      <c r="AD37" s="25"/>
      <c r="AE37" s="26"/>
      <c r="AF37" s="26"/>
      <c r="AG37" s="26"/>
      <c r="AH37" s="26"/>
      <c r="AI37" s="26"/>
      <c r="AJ37" s="26"/>
      <c r="AK37" s="20" t="str">
        <f>IF(Hitung!B37&lt;$E$1,"",IF(Hitung!C37&gt;0,"Beda","Sama"))</f>
        <v/>
      </c>
      <c r="AL37" s="20" t="str">
        <f>IF(Hitung!D37&lt;$E$1,"",IF(Hitung!E37&gt;0,"Beda","Sama"))</f>
        <v/>
      </c>
      <c r="AM37" s="20" t="str">
        <f>IF(Hitung!F37&lt;$E$1,"",IF(Hitung!G37&gt;0,"Beda","Sama"))</f>
        <v/>
      </c>
      <c r="AN37" s="20" t="str">
        <f>IF(Hitung!H37&lt;$E$1,"",IF(Hitung!I37&gt;0,"Beda","Sama"))</f>
        <v/>
      </c>
      <c r="AO37" s="20" t="str">
        <f>IF(Hitung!J37&lt;$E$1,"",IF(Hitung!K37&gt;0,"Beda","Sama"))</f>
        <v/>
      </c>
      <c r="AP37" s="20" t="str">
        <f>IF(Hitung!L37&lt;$E$1,"",IF(Hitung!M37&gt;0,"Beda","Sama"))</f>
        <v/>
      </c>
      <c r="AQ37" s="20">
        <f t="shared" si="7"/>
        <v>0</v>
      </c>
      <c r="AR37" s="27"/>
      <c r="AS37" s="27"/>
      <c r="AT37" s="27"/>
      <c r="AU37" s="27"/>
      <c r="AV37" s="27"/>
      <c r="AW37" s="27"/>
      <c r="AX37" s="28" t="str">
        <f>IF(AR37&lt;&gt;"",AR37,IF(AND(Hitung!B37=$E$1,Hitung!C37=0),M37,""))</f>
        <v/>
      </c>
      <c r="AY37" s="28" t="str">
        <f>IF(AS37&lt;&gt;"",AS37,IF(AND(Hitung!D37=$E$1,Hitung!E37=0),N37,""))</f>
        <v/>
      </c>
      <c r="AZ37" s="28" t="str">
        <f>IF(AT37&lt;&gt;"",AT37,IF(AND(Hitung!F37=$E$1,Hitung!G37=0),O37,""))</f>
        <v/>
      </c>
      <c r="BA37" s="28" t="str">
        <f>IF(AU37&lt;&gt;"",AU37,IF(AND(Hitung!H37=$E$1,Hitung!I37=0),P37,""))</f>
        <v/>
      </c>
      <c r="BB37" s="28" t="str">
        <f>IF(AV37&lt;&gt;"",AV37,IF(AND(Hitung!J37=$E$1,Hitung!K37=0),Q37,""))</f>
        <v/>
      </c>
      <c r="BC37" s="28" t="str">
        <f>IF(AW37&lt;&gt;"",AW37,IF(AND(Hitung!L37=$E$1,Hitung!M37=0),R37,""))</f>
        <v/>
      </c>
      <c r="BD37" s="29"/>
      <c r="BE37" s="20" t="str">
        <f t="shared" si="8"/>
        <v xml:space="preserve">Menunggu coder</v>
      </c>
      <c r="BF37" s="21" t="str">
        <f t="shared" si="9"/>
        <v/>
      </c>
      <c r="BG37" s="21" t="str">
        <f t="shared" si="10"/>
        <v/>
      </c>
      <c r="BH37" s="21" t="str">
        <f t="shared" si="11"/>
        <v/>
      </c>
      <c r="BI37" s="21" t="str">
        <f t="shared" si="12"/>
        <v/>
      </c>
      <c r="BJ37" s="21" t="str">
        <f t="shared" si="13"/>
        <v/>
      </c>
    </row>
    <row r="38" ht="48" customHeight="1">
      <c r="A38" s="20">
        <v>35</v>
      </c>
      <c r="B38" s="21" t="str">
        <f>IF(INDEX(Korpus!$A:$A,$A38)="","",INDEX(Korpus!$A:$A,$A38))</f>
        <v xml:space="preserve">UU 27 Thn 2022 (PDP)</v>
      </c>
      <c r="C38" s="21" t="str">
        <f>TRIM(INDEX(Korpus!$D:$D,$A38)&amp;" "&amp;INDEX(Korpus!$E:$E,$A38))</f>
        <v xml:space="preserve">Pasal 8</v>
      </c>
      <c r="D38" s="21" t="str">
        <f>IF(INDEX(Korpus!$B:$B,$A38)="","",INDEX(Korpus!$B:$B,$A38))</f>
        <v xml:space="preserve">BAB IV
HAK SUBJEK DATA PRIBADI</v>
      </c>
      <c r="E38" s="21" t="str">
        <f>IF(INDEX(Korpus!$C:$C,$A38)="","",INDEX(Korpus!$C:$C,$A38))</f>
        <v/>
      </c>
      <c r="F38" s="21" t="str">
        <f>IF(INDEX(Korpus!$F:$F,$A38)="","",INDEX(Korpus!$F:$F,$A38))</f>
        <v xml:space="preserve">Subjek Data Pribadi berhak untuk mengakhiri pemrosesan, menghapus, dan/ atau memusnahkan Data Pribadi tentang dirinya sesuai dengan ketentuan peraturan perundang-undangan.</v>
      </c>
      <c r="G38" s="22"/>
      <c r="H38" s="22"/>
      <c r="I38" s="22"/>
      <c r="J38" s="22"/>
      <c r="K38" s="22"/>
      <c r="L38" s="22"/>
      <c r="M38" s="23" t="s">
        <v>110</v>
      </c>
      <c r="N38" s="23" t="s">
        <v>111</v>
      </c>
      <c r="O38" s="23" t="s">
        <v>137</v>
      </c>
      <c r="P38" s="23" t="s">
        <v>113</v>
      </c>
      <c r="Q38" s="23" t="s">
        <v>130</v>
      </c>
      <c r="R38" s="23" t="s">
        <v>118</v>
      </c>
      <c r="S38" s="24"/>
      <c r="T38" s="24"/>
      <c r="U38" s="24"/>
      <c r="V38" s="24"/>
      <c r="W38" s="24"/>
      <c r="X38" s="24"/>
      <c r="Y38" s="25"/>
      <c r="Z38" s="25"/>
      <c r="AA38" s="25"/>
      <c r="AB38" s="25"/>
      <c r="AC38" s="25"/>
      <c r="AD38" s="25"/>
      <c r="AE38" s="26"/>
      <c r="AF38" s="26"/>
      <c r="AG38" s="26"/>
      <c r="AH38" s="26"/>
      <c r="AI38" s="26"/>
      <c r="AJ38" s="26"/>
      <c r="AK38" s="20" t="str">
        <f>IF(Hitung!B38&lt;$E$1,"",IF(Hitung!C38&gt;0,"Beda","Sama"))</f>
        <v/>
      </c>
      <c r="AL38" s="20" t="str">
        <f>IF(Hitung!D38&lt;$E$1,"",IF(Hitung!E38&gt;0,"Beda","Sama"))</f>
        <v/>
      </c>
      <c r="AM38" s="20" t="str">
        <f>IF(Hitung!F38&lt;$E$1,"",IF(Hitung!G38&gt;0,"Beda","Sama"))</f>
        <v/>
      </c>
      <c r="AN38" s="20" t="str">
        <f>IF(Hitung!H38&lt;$E$1,"",IF(Hitung!I38&gt;0,"Beda","Sama"))</f>
        <v/>
      </c>
      <c r="AO38" s="20" t="str">
        <f>IF(Hitung!J38&lt;$E$1,"",IF(Hitung!K38&gt;0,"Beda","Sama"))</f>
        <v/>
      </c>
      <c r="AP38" s="20" t="str">
        <f>IF(Hitung!L38&lt;$E$1,"",IF(Hitung!M38&gt;0,"Beda","Sama"))</f>
        <v/>
      </c>
      <c r="AQ38" s="20">
        <f t="shared" si="7"/>
        <v>0</v>
      </c>
      <c r="AR38" s="27"/>
      <c r="AS38" s="27"/>
      <c r="AT38" s="27"/>
      <c r="AU38" s="27"/>
      <c r="AV38" s="27"/>
      <c r="AW38" s="27"/>
      <c r="AX38" s="28" t="str">
        <f>IF(AR38&lt;&gt;"",AR38,IF(AND(Hitung!B38=$E$1,Hitung!C38=0),M38,""))</f>
        <v/>
      </c>
      <c r="AY38" s="28" t="str">
        <f>IF(AS38&lt;&gt;"",AS38,IF(AND(Hitung!D38=$E$1,Hitung!E38=0),N38,""))</f>
        <v/>
      </c>
      <c r="AZ38" s="28" t="str">
        <f>IF(AT38&lt;&gt;"",AT38,IF(AND(Hitung!F38=$E$1,Hitung!G38=0),O38,""))</f>
        <v/>
      </c>
      <c r="BA38" s="28" t="str">
        <f>IF(AU38&lt;&gt;"",AU38,IF(AND(Hitung!H38=$E$1,Hitung!I38=0),P38,""))</f>
        <v/>
      </c>
      <c r="BB38" s="28" t="str">
        <f>IF(AV38&lt;&gt;"",AV38,IF(AND(Hitung!J38=$E$1,Hitung!K38=0),Q38,""))</f>
        <v/>
      </c>
      <c r="BC38" s="28" t="str">
        <f>IF(AW38&lt;&gt;"",AW38,IF(AND(Hitung!L38=$E$1,Hitung!M38=0),R38,""))</f>
        <v/>
      </c>
      <c r="BD38" s="29"/>
      <c r="BE38" s="20" t="str">
        <f t="shared" si="8"/>
        <v xml:space="preserve">Menunggu coder</v>
      </c>
      <c r="BF38" s="21" t="str">
        <f t="shared" si="9"/>
        <v/>
      </c>
      <c r="BG38" s="21" t="str">
        <f t="shared" si="10"/>
        <v/>
      </c>
      <c r="BH38" s="21" t="str">
        <f t="shared" si="11"/>
        <v/>
      </c>
      <c r="BI38" s="21" t="str">
        <f t="shared" si="12"/>
        <v/>
      </c>
      <c r="BJ38" s="21" t="str">
        <f t="shared" si="13"/>
        <v/>
      </c>
      <c r="BK38" s="8" t="s">
        <v>119</v>
      </c>
    </row>
    <row r="39" ht="48" customHeight="1">
      <c r="A39" s="20">
        <v>36</v>
      </c>
      <c r="B39" s="21" t="str">
        <f>IF(INDEX(Korpus!$A:$A,$A39)="","",INDEX(Korpus!$A:$A,$A39))</f>
        <v xml:space="preserve">UU 27 Thn 2022 (PDP)</v>
      </c>
      <c r="C39" s="21" t="str">
        <f>TRIM(INDEX(Korpus!$D:$D,$A39)&amp;" "&amp;INDEX(Korpus!$E:$E,$A39))</f>
        <v xml:space="preserve">Pasal 9</v>
      </c>
      <c r="D39" s="21" t="str">
        <f>IF(INDEX(Korpus!$B:$B,$A39)="","",INDEX(Korpus!$B:$B,$A39))</f>
        <v xml:space="preserve">BAB IV
HAK SUBJEK DATA PRIBADI</v>
      </c>
      <c r="E39" s="21" t="str">
        <f>IF(INDEX(Korpus!$C:$C,$A39)="","",INDEX(Korpus!$C:$C,$A39))</f>
        <v/>
      </c>
      <c r="F39" s="21" t="str">
        <f>IF(INDEX(Korpus!$F:$F,$A39)="","",INDEX(Korpus!$F:$F,$A39))</f>
        <v xml:space="preserve">Subjek Data Pribadi berhak menarik kembali persetujuan pemrosesan Data Pribadi tentang dirinya yang telah diberikan kepada Pengendali Data Pribadi.</v>
      </c>
      <c r="G39" s="22"/>
      <c r="H39" s="22"/>
      <c r="I39" s="22"/>
      <c r="J39" s="22"/>
      <c r="K39" s="22"/>
      <c r="L39" s="22"/>
      <c r="M39" s="23"/>
      <c r="N39" s="23"/>
      <c r="O39" s="23"/>
      <c r="P39" s="23"/>
      <c r="Q39" s="23"/>
      <c r="R39" s="23"/>
      <c r="S39" s="24"/>
      <c r="T39" s="24"/>
      <c r="U39" s="24"/>
      <c r="V39" s="24"/>
      <c r="W39" s="24"/>
      <c r="X39" s="24"/>
      <c r="Y39" s="25"/>
      <c r="Z39" s="25"/>
      <c r="AA39" s="25"/>
      <c r="AB39" s="25"/>
      <c r="AC39" s="25"/>
      <c r="AD39" s="25"/>
      <c r="AE39" s="26"/>
      <c r="AF39" s="26"/>
      <c r="AG39" s="26"/>
      <c r="AH39" s="26"/>
      <c r="AI39" s="26"/>
      <c r="AJ39" s="26"/>
      <c r="AK39" s="20" t="str">
        <f>IF(Hitung!B39&lt;$E$1,"",IF(Hitung!C39&gt;0,"Beda","Sama"))</f>
        <v/>
      </c>
      <c r="AL39" s="20" t="str">
        <f>IF(Hitung!D39&lt;$E$1,"",IF(Hitung!E39&gt;0,"Beda","Sama"))</f>
        <v/>
      </c>
      <c r="AM39" s="20" t="str">
        <f>IF(Hitung!F39&lt;$E$1,"",IF(Hitung!G39&gt;0,"Beda","Sama"))</f>
        <v/>
      </c>
      <c r="AN39" s="20" t="str">
        <f>IF(Hitung!H39&lt;$E$1,"",IF(Hitung!I39&gt;0,"Beda","Sama"))</f>
        <v/>
      </c>
      <c r="AO39" s="20" t="str">
        <f>IF(Hitung!J39&lt;$E$1,"",IF(Hitung!K39&gt;0,"Beda","Sama"))</f>
        <v/>
      </c>
      <c r="AP39" s="20" t="str">
        <f>IF(Hitung!L39&lt;$E$1,"",IF(Hitung!M39&gt;0,"Beda","Sama"))</f>
        <v/>
      </c>
      <c r="AQ39" s="20">
        <f t="shared" si="7"/>
        <v>0</v>
      </c>
      <c r="AR39" s="27"/>
      <c r="AS39" s="27"/>
      <c r="AT39" s="27"/>
      <c r="AU39" s="27"/>
      <c r="AV39" s="27"/>
      <c r="AW39" s="27"/>
      <c r="AX39" s="28" t="str">
        <f>IF(AR39&lt;&gt;"",AR39,IF(AND(Hitung!B39=$E$1,Hitung!C39=0),M39,""))</f>
        <v/>
      </c>
      <c r="AY39" s="28" t="str">
        <f>IF(AS39&lt;&gt;"",AS39,IF(AND(Hitung!D39=$E$1,Hitung!E39=0),N39,""))</f>
        <v/>
      </c>
      <c r="AZ39" s="28" t="str">
        <f>IF(AT39&lt;&gt;"",AT39,IF(AND(Hitung!F39=$E$1,Hitung!G39=0),O39,""))</f>
        <v/>
      </c>
      <c r="BA39" s="28" t="str">
        <f>IF(AU39&lt;&gt;"",AU39,IF(AND(Hitung!H39=$E$1,Hitung!I39=0),P39,""))</f>
        <v/>
      </c>
      <c r="BB39" s="28" t="str">
        <f>IF(AV39&lt;&gt;"",AV39,IF(AND(Hitung!J39=$E$1,Hitung!K39=0),Q39,""))</f>
        <v/>
      </c>
      <c r="BC39" s="28" t="str">
        <f>IF(AW39&lt;&gt;"",AW39,IF(AND(Hitung!L39=$E$1,Hitung!M39=0),R39,""))</f>
        <v/>
      </c>
      <c r="BD39" s="29"/>
      <c r="BE39" s="20" t="str">
        <f t="shared" si="8"/>
        <v xml:space="preserve">Menunggu coder</v>
      </c>
      <c r="BF39" s="21" t="str">
        <f t="shared" si="9"/>
        <v/>
      </c>
      <c r="BG39" s="21" t="str">
        <f t="shared" si="10"/>
        <v/>
      </c>
      <c r="BH39" s="21" t="str">
        <f t="shared" si="11"/>
        <v/>
      </c>
      <c r="BI39" s="21" t="str">
        <f t="shared" si="12"/>
        <v/>
      </c>
      <c r="BJ39" s="21" t="str">
        <f t="shared" si="13"/>
        <v/>
      </c>
    </row>
    <row r="40" ht="48" customHeight="1">
      <c r="A40" s="20">
        <v>37</v>
      </c>
      <c r="B40" s="21" t="str">
        <f>IF(INDEX(Korpus!$A:$A,$A40)="","",INDEX(Korpus!$A:$A,$A40))</f>
        <v xml:space="preserve">UU 27 Thn 2022 (PDP)</v>
      </c>
      <c r="C40" s="21" t="str">
        <f>TRIM(INDEX(Korpus!$D:$D,$A40)&amp;" "&amp;INDEX(Korpus!$E:$E,$A40))</f>
        <v xml:space="preserve">Pasal 10</v>
      </c>
      <c r="D40" s="21" t="str">
        <f>IF(INDEX(Korpus!$B:$B,$A40)="","",INDEX(Korpus!$B:$B,$A40))</f>
        <v xml:space="preserve">BAB IV
HAK SUBJEK DATA PRIBADI</v>
      </c>
      <c r="E40" s="21" t="str">
        <f>IF(INDEX(Korpus!$C:$C,$A40)="","",INDEX(Korpus!$C:$C,$A40))</f>
        <v/>
      </c>
      <c r="F40" s="21" t="str">
        <f>IF(INDEX(Korpus!$F:$F,$A40)="","",INDEX(Korpus!$F:$F,$A40))</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G40" s="22"/>
      <c r="H40" s="22"/>
      <c r="I40" s="22"/>
      <c r="J40" s="22"/>
      <c r="K40" s="22"/>
      <c r="L40" s="22"/>
      <c r="M40" s="23"/>
      <c r="N40" s="23"/>
      <c r="O40" s="23"/>
      <c r="P40" s="23"/>
      <c r="Q40" s="23"/>
      <c r="R40" s="23"/>
      <c r="S40" s="24"/>
      <c r="T40" s="24"/>
      <c r="U40" s="24"/>
      <c r="V40" s="24"/>
      <c r="W40" s="24"/>
      <c r="X40" s="24"/>
      <c r="Y40" s="25"/>
      <c r="Z40" s="25"/>
      <c r="AA40" s="25"/>
      <c r="AB40" s="25"/>
      <c r="AC40" s="25"/>
      <c r="AD40" s="25"/>
      <c r="AE40" s="26"/>
      <c r="AF40" s="26"/>
      <c r="AG40" s="26"/>
      <c r="AH40" s="26"/>
      <c r="AI40" s="26"/>
      <c r="AJ40" s="26"/>
      <c r="AK40" s="20" t="str">
        <f>IF(Hitung!B40&lt;$E$1,"",IF(Hitung!C40&gt;0,"Beda","Sama"))</f>
        <v/>
      </c>
      <c r="AL40" s="20" t="str">
        <f>IF(Hitung!D40&lt;$E$1,"",IF(Hitung!E40&gt;0,"Beda","Sama"))</f>
        <v/>
      </c>
      <c r="AM40" s="20" t="str">
        <f>IF(Hitung!F40&lt;$E$1,"",IF(Hitung!G40&gt;0,"Beda","Sama"))</f>
        <v/>
      </c>
      <c r="AN40" s="20" t="str">
        <f>IF(Hitung!H40&lt;$E$1,"",IF(Hitung!I40&gt;0,"Beda","Sama"))</f>
        <v/>
      </c>
      <c r="AO40" s="20" t="str">
        <f>IF(Hitung!J40&lt;$E$1,"",IF(Hitung!K40&gt;0,"Beda","Sama"))</f>
        <v/>
      </c>
      <c r="AP40" s="20" t="str">
        <f>IF(Hitung!L40&lt;$E$1,"",IF(Hitung!M40&gt;0,"Beda","Sama"))</f>
        <v/>
      </c>
      <c r="AQ40" s="20">
        <f t="shared" si="7"/>
        <v>0</v>
      </c>
      <c r="AR40" s="27"/>
      <c r="AS40" s="27"/>
      <c r="AT40" s="27"/>
      <c r="AU40" s="27"/>
      <c r="AV40" s="27"/>
      <c r="AW40" s="27"/>
      <c r="AX40" s="28" t="str">
        <f>IF(AR40&lt;&gt;"",AR40,IF(AND(Hitung!B40=$E$1,Hitung!C40=0),M40,""))</f>
        <v/>
      </c>
      <c r="AY40" s="28" t="str">
        <f>IF(AS40&lt;&gt;"",AS40,IF(AND(Hitung!D40=$E$1,Hitung!E40=0),N40,""))</f>
        <v/>
      </c>
      <c r="AZ40" s="28" t="str">
        <f>IF(AT40&lt;&gt;"",AT40,IF(AND(Hitung!F40=$E$1,Hitung!G40=0),O40,""))</f>
        <v/>
      </c>
      <c r="BA40" s="28" t="str">
        <f>IF(AU40&lt;&gt;"",AU40,IF(AND(Hitung!H40=$E$1,Hitung!I40=0),P40,""))</f>
        <v/>
      </c>
      <c r="BB40" s="28" t="str">
        <f>IF(AV40&lt;&gt;"",AV40,IF(AND(Hitung!J40=$E$1,Hitung!K40=0),Q40,""))</f>
        <v/>
      </c>
      <c r="BC40" s="28" t="str">
        <f>IF(AW40&lt;&gt;"",AW40,IF(AND(Hitung!L40=$E$1,Hitung!M40=0),R40,""))</f>
        <v/>
      </c>
      <c r="BD40" s="29"/>
      <c r="BE40" s="20" t="str">
        <f t="shared" si="8"/>
        <v xml:space="preserve">Menunggu coder</v>
      </c>
      <c r="BF40" s="21" t="str">
        <f t="shared" si="9"/>
        <v/>
      </c>
      <c r="BG40" s="21" t="str">
        <f t="shared" si="10"/>
        <v/>
      </c>
      <c r="BH40" s="21" t="str">
        <f t="shared" si="11"/>
        <v/>
      </c>
      <c r="BI40" s="21" t="str">
        <f t="shared" si="12"/>
        <v/>
      </c>
      <c r="BJ40" s="21" t="str">
        <f t="shared" si="13"/>
        <v/>
      </c>
    </row>
    <row r="41" ht="48" customHeight="1">
      <c r="A41" s="20">
        <v>38</v>
      </c>
      <c r="B41" s="21" t="str">
        <f>IF(INDEX(Korpus!$A:$A,$A41)="","",INDEX(Korpus!$A:$A,$A41))</f>
        <v xml:space="preserve">UU 27 Thn 2022 (PDP)</v>
      </c>
      <c r="C41" s="21" t="str">
        <f>TRIM(INDEX(Korpus!$D:$D,$A41)&amp;" "&amp;INDEX(Korpus!$E:$E,$A41))</f>
        <v xml:space="preserve">Pasal 11</v>
      </c>
      <c r="D41" s="21" t="str">
        <f>IF(INDEX(Korpus!$B:$B,$A41)="","",INDEX(Korpus!$B:$B,$A41))</f>
        <v xml:space="preserve">BAB IV
HAK SUBJEK DATA PRIBADI</v>
      </c>
      <c r="E41" s="21" t="str">
        <f>IF(INDEX(Korpus!$C:$C,$A41)="","",INDEX(Korpus!$C:$C,$A41))</f>
        <v/>
      </c>
      <c r="F41" s="21" t="str">
        <f>IF(INDEX(Korpus!$F:$F,$A41)="","",INDEX(Korpus!$F:$F,$A41))</f>
        <v xml:space="preserve">Subjek Data Pribadi berhak menunda atau membatasi pemrosesan Data Pribadi secara proporsional sesuai dengan tujuan pemrosesan Data Pribadi.</v>
      </c>
      <c r="G41" s="22"/>
      <c r="H41" s="22"/>
      <c r="I41" s="22"/>
      <c r="J41" s="22"/>
      <c r="K41" s="22"/>
      <c r="L41" s="22"/>
      <c r="M41" s="23"/>
      <c r="N41" s="23"/>
      <c r="O41" s="23"/>
      <c r="P41" s="23"/>
      <c r="Q41" s="23"/>
      <c r="R41" s="23"/>
      <c r="S41" s="24"/>
      <c r="T41" s="24"/>
      <c r="U41" s="24"/>
      <c r="V41" s="24"/>
      <c r="W41" s="24"/>
      <c r="X41" s="24"/>
      <c r="Y41" s="25"/>
      <c r="Z41" s="25"/>
      <c r="AA41" s="25"/>
      <c r="AB41" s="25"/>
      <c r="AC41" s="25"/>
      <c r="AD41" s="25"/>
      <c r="AE41" s="26"/>
      <c r="AF41" s="26"/>
      <c r="AG41" s="26"/>
      <c r="AH41" s="26"/>
      <c r="AI41" s="26"/>
      <c r="AJ41" s="26"/>
      <c r="AK41" s="20" t="str">
        <f>IF(Hitung!B41&lt;$E$1,"",IF(Hitung!C41&gt;0,"Beda","Sama"))</f>
        <v/>
      </c>
      <c r="AL41" s="20" t="str">
        <f>IF(Hitung!D41&lt;$E$1,"",IF(Hitung!E41&gt;0,"Beda","Sama"))</f>
        <v/>
      </c>
      <c r="AM41" s="20" t="str">
        <f>IF(Hitung!F41&lt;$E$1,"",IF(Hitung!G41&gt;0,"Beda","Sama"))</f>
        <v/>
      </c>
      <c r="AN41" s="20" t="str">
        <f>IF(Hitung!H41&lt;$E$1,"",IF(Hitung!I41&gt;0,"Beda","Sama"))</f>
        <v/>
      </c>
      <c r="AO41" s="20" t="str">
        <f>IF(Hitung!J41&lt;$E$1,"",IF(Hitung!K41&gt;0,"Beda","Sama"))</f>
        <v/>
      </c>
      <c r="AP41" s="20" t="str">
        <f>IF(Hitung!L41&lt;$E$1,"",IF(Hitung!M41&gt;0,"Beda","Sama"))</f>
        <v/>
      </c>
      <c r="AQ41" s="20">
        <f t="shared" si="7"/>
        <v>0</v>
      </c>
      <c r="AR41" s="27"/>
      <c r="AS41" s="27"/>
      <c r="AT41" s="27"/>
      <c r="AU41" s="27"/>
      <c r="AV41" s="27"/>
      <c r="AW41" s="27"/>
      <c r="AX41" s="28" t="str">
        <f>IF(AR41&lt;&gt;"",AR41,IF(AND(Hitung!B41=$E$1,Hitung!C41=0),M41,""))</f>
        <v/>
      </c>
      <c r="AY41" s="28" t="str">
        <f>IF(AS41&lt;&gt;"",AS41,IF(AND(Hitung!D41=$E$1,Hitung!E41=0),N41,""))</f>
        <v/>
      </c>
      <c r="AZ41" s="28" t="str">
        <f>IF(AT41&lt;&gt;"",AT41,IF(AND(Hitung!F41=$E$1,Hitung!G41=0),O41,""))</f>
        <v/>
      </c>
      <c r="BA41" s="28" t="str">
        <f>IF(AU41&lt;&gt;"",AU41,IF(AND(Hitung!H41=$E$1,Hitung!I41=0),P41,""))</f>
        <v/>
      </c>
      <c r="BB41" s="28" t="str">
        <f>IF(AV41&lt;&gt;"",AV41,IF(AND(Hitung!J41=$E$1,Hitung!K41=0),Q41,""))</f>
        <v/>
      </c>
      <c r="BC41" s="28" t="str">
        <f>IF(AW41&lt;&gt;"",AW41,IF(AND(Hitung!L41=$E$1,Hitung!M41=0),R41,""))</f>
        <v/>
      </c>
      <c r="BD41" s="29"/>
      <c r="BE41" s="20" t="str">
        <f t="shared" si="8"/>
        <v xml:space="preserve">Menunggu coder</v>
      </c>
      <c r="BF41" s="21" t="str">
        <f t="shared" si="9"/>
        <v/>
      </c>
      <c r="BG41" s="21" t="str">
        <f t="shared" si="10"/>
        <v/>
      </c>
      <c r="BH41" s="21" t="str">
        <f t="shared" si="11"/>
        <v/>
      </c>
      <c r="BI41" s="21" t="str">
        <f t="shared" si="12"/>
        <v/>
      </c>
      <c r="BJ41" s="21" t="str">
        <f t="shared" si="13"/>
        <v/>
      </c>
    </row>
    <row r="42" ht="48" customHeight="1">
      <c r="A42" s="20">
        <v>39</v>
      </c>
      <c r="B42" s="21" t="str">
        <f>IF(INDEX(Korpus!$A:$A,$A42)="","",INDEX(Korpus!$A:$A,$A42))</f>
        <v xml:space="preserve">UU 27 Thn 2022 (PDP)</v>
      </c>
      <c r="C42" s="21" t="str">
        <f>TRIM(INDEX(Korpus!$D:$D,$A42)&amp;" "&amp;INDEX(Korpus!$E:$E,$A42))</f>
        <v xml:space="preserve">Pasal 12</v>
      </c>
      <c r="D42" s="21" t="str">
        <f>IF(INDEX(Korpus!$B:$B,$A42)="","",INDEX(Korpus!$B:$B,$A42))</f>
        <v xml:space="preserve">BAB IV
HAK SUBJEK DATA PRIBADI</v>
      </c>
      <c r="E42" s="21" t="str">
        <f>IF(INDEX(Korpus!$C:$C,$A42)="","",INDEX(Korpus!$C:$C,$A42))</f>
        <v/>
      </c>
      <c r="F42" s="21" t="str">
        <f>IF(INDEX(Korpus!$F:$F,$A42)="","",INDEX(Korpus!$F:$F,$A42))</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G42" s="22"/>
      <c r="H42" s="22"/>
      <c r="I42" s="22"/>
      <c r="J42" s="22"/>
      <c r="K42" s="22"/>
      <c r="L42" s="22"/>
      <c r="M42" s="23"/>
      <c r="N42" s="23"/>
      <c r="O42" s="23"/>
      <c r="P42" s="23"/>
      <c r="Q42" s="23"/>
      <c r="R42" s="23"/>
      <c r="S42" s="24"/>
      <c r="T42" s="24"/>
      <c r="U42" s="24"/>
      <c r="V42" s="24"/>
      <c r="W42" s="24"/>
      <c r="X42" s="24"/>
      <c r="Y42" s="25"/>
      <c r="Z42" s="25"/>
      <c r="AA42" s="25"/>
      <c r="AB42" s="25"/>
      <c r="AC42" s="25"/>
      <c r="AD42" s="25"/>
      <c r="AE42" s="26"/>
      <c r="AF42" s="26"/>
      <c r="AG42" s="26"/>
      <c r="AH42" s="26"/>
      <c r="AI42" s="26"/>
      <c r="AJ42" s="26"/>
      <c r="AK42" s="20" t="str">
        <f>IF(Hitung!B42&lt;$E$1,"",IF(Hitung!C42&gt;0,"Beda","Sama"))</f>
        <v/>
      </c>
      <c r="AL42" s="20" t="str">
        <f>IF(Hitung!D42&lt;$E$1,"",IF(Hitung!E42&gt;0,"Beda","Sama"))</f>
        <v/>
      </c>
      <c r="AM42" s="20" t="str">
        <f>IF(Hitung!F42&lt;$E$1,"",IF(Hitung!G42&gt;0,"Beda","Sama"))</f>
        <v/>
      </c>
      <c r="AN42" s="20" t="str">
        <f>IF(Hitung!H42&lt;$E$1,"",IF(Hitung!I42&gt;0,"Beda","Sama"))</f>
        <v/>
      </c>
      <c r="AO42" s="20" t="str">
        <f>IF(Hitung!J42&lt;$E$1,"",IF(Hitung!K42&gt;0,"Beda","Sama"))</f>
        <v/>
      </c>
      <c r="AP42" s="20" t="str">
        <f>IF(Hitung!L42&lt;$E$1,"",IF(Hitung!M42&gt;0,"Beda","Sama"))</f>
        <v/>
      </c>
      <c r="AQ42" s="20">
        <f t="shared" si="7"/>
        <v>0</v>
      </c>
      <c r="AR42" s="27"/>
      <c r="AS42" s="27"/>
      <c r="AT42" s="27"/>
      <c r="AU42" s="27"/>
      <c r="AV42" s="27"/>
      <c r="AW42" s="27"/>
      <c r="AX42" s="28" t="str">
        <f>IF(AR42&lt;&gt;"",AR42,IF(AND(Hitung!B42=$E$1,Hitung!C42=0),M42,""))</f>
        <v/>
      </c>
      <c r="AY42" s="28" t="str">
        <f>IF(AS42&lt;&gt;"",AS42,IF(AND(Hitung!D42=$E$1,Hitung!E42=0),N42,""))</f>
        <v/>
      </c>
      <c r="AZ42" s="28" t="str">
        <f>IF(AT42&lt;&gt;"",AT42,IF(AND(Hitung!F42=$E$1,Hitung!G42=0),O42,""))</f>
        <v/>
      </c>
      <c r="BA42" s="28" t="str">
        <f>IF(AU42&lt;&gt;"",AU42,IF(AND(Hitung!H42=$E$1,Hitung!I42=0),P42,""))</f>
        <v/>
      </c>
      <c r="BB42" s="28" t="str">
        <f>IF(AV42&lt;&gt;"",AV42,IF(AND(Hitung!J42=$E$1,Hitung!K42=0),Q42,""))</f>
        <v/>
      </c>
      <c r="BC42" s="28" t="str">
        <f>IF(AW42&lt;&gt;"",AW42,IF(AND(Hitung!L42=$E$1,Hitung!M42=0),R42,""))</f>
        <v/>
      </c>
      <c r="BD42" s="29"/>
      <c r="BE42" s="20" t="str">
        <f t="shared" si="8"/>
        <v xml:space="preserve">Menunggu coder</v>
      </c>
      <c r="BF42" s="21" t="str">
        <f t="shared" si="9"/>
        <v/>
      </c>
      <c r="BG42" s="21" t="str">
        <f t="shared" si="10"/>
        <v/>
      </c>
      <c r="BH42" s="21" t="str">
        <f t="shared" si="11"/>
        <v/>
      </c>
      <c r="BI42" s="21" t="str">
        <f t="shared" si="12"/>
        <v/>
      </c>
      <c r="BJ42" s="21" t="str">
        <f t="shared" si="13"/>
        <v/>
      </c>
    </row>
    <row r="43" ht="48" customHeight="1">
      <c r="A43" s="20">
        <v>40</v>
      </c>
      <c r="B43" s="21" t="str">
        <f>IF(INDEX(Korpus!$A:$A,$A43)="","",INDEX(Korpus!$A:$A,$A43))</f>
        <v xml:space="preserve">UU 27 Thn 2022 (PDP)</v>
      </c>
      <c r="C43" s="21" t="str">
        <f>TRIM(INDEX(Korpus!$D:$D,$A43)&amp;" "&amp;INDEX(Korpus!$E:$E,$A43))</f>
        <v xml:space="preserve">Pasal 13</v>
      </c>
      <c r="D43" s="21" t="str">
        <f>IF(INDEX(Korpus!$B:$B,$A43)="","",INDEX(Korpus!$B:$B,$A43))</f>
        <v xml:space="preserve">BAB IV
HAK SUBJEK DATA PRIBADI</v>
      </c>
      <c r="E43" s="21" t="str">
        <f>IF(INDEX(Korpus!$C:$C,$A43)="","",INDEX(Korpus!$C:$C,$A43))</f>
        <v/>
      </c>
      <c r="F43" s="21" t="str">
        <f>IF(INDEX(Korpus!$F:$F,$A43)="","",INDEX(Korpus!$F:$F,$A43))</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G43" s="22"/>
      <c r="H43" s="22"/>
      <c r="I43" s="22"/>
      <c r="J43" s="22"/>
      <c r="K43" s="22"/>
      <c r="L43" s="22"/>
      <c r="M43" s="23"/>
      <c r="N43" s="23"/>
      <c r="O43" s="23"/>
      <c r="P43" s="23"/>
      <c r="Q43" s="23"/>
      <c r="R43" s="23"/>
      <c r="S43" s="24"/>
      <c r="T43" s="24"/>
      <c r="U43" s="24"/>
      <c r="V43" s="24"/>
      <c r="W43" s="24"/>
      <c r="X43" s="24"/>
      <c r="Y43" s="25"/>
      <c r="Z43" s="25"/>
      <c r="AA43" s="25"/>
      <c r="AB43" s="25"/>
      <c r="AC43" s="25"/>
      <c r="AD43" s="25"/>
      <c r="AE43" s="26"/>
      <c r="AF43" s="26"/>
      <c r="AG43" s="26"/>
      <c r="AH43" s="26"/>
      <c r="AI43" s="26"/>
      <c r="AJ43" s="26"/>
      <c r="AK43" s="20" t="str">
        <f>IF(Hitung!B43&lt;$E$1,"",IF(Hitung!C43&gt;0,"Beda","Sama"))</f>
        <v/>
      </c>
      <c r="AL43" s="20" t="str">
        <f>IF(Hitung!D43&lt;$E$1,"",IF(Hitung!E43&gt;0,"Beda","Sama"))</f>
        <v/>
      </c>
      <c r="AM43" s="20" t="str">
        <f>IF(Hitung!F43&lt;$E$1,"",IF(Hitung!G43&gt;0,"Beda","Sama"))</f>
        <v/>
      </c>
      <c r="AN43" s="20" t="str">
        <f>IF(Hitung!H43&lt;$E$1,"",IF(Hitung!I43&gt;0,"Beda","Sama"))</f>
        <v/>
      </c>
      <c r="AO43" s="20" t="str">
        <f>IF(Hitung!J43&lt;$E$1,"",IF(Hitung!K43&gt;0,"Beda","Sama"))</f>
        <v/>
      </c>
      <c r="AP43" s="20" t="str">
        <f>IF(Hitung!L43&lt;$E$1,"",IF(Hitung!M43&gt;0,"Beda","Sama"))</f>
        <v/>
      </c>
      <c r="AQ43" s="20">
        <f t="shared" si="7"/>
        <v>0</v>
      </c>
      <c r="AR43" s="27"/>
      <c r="AS43" s="27"/>
      <c r="AT43" s="27"/>
      <c r="AU43" s="27"/>
      <c r="AV43" s="27"/>
      <c r="AW43" s="27"/>
      <c r="AX43" s="28" t="str">
        <f>IF(AR43&lt;&gt;"",AR43,IF(AND(Hitung!B43=$E$1,Hitung!C43=0),M43,""))</f>
        <v/>
      </c>
      <c r="AY43" s="28" t="str">
        <f>IF(AS43&lt;&gt;"",AS43,IF(AND(Hitung!D43=$E$1,Hitung!E43=0),N43,""))</f>
        <v/>
      </c>
      <c r="AZ43" s="28" t="str">
        <f>IF(AT43&lt;&gt;"",AT43,IF(AND(Hitung!F43=$E$1,Hitung!G43=0),O43,""))</f>
        <v/>
      </c>
      <c r="BA43" s="28" t="str">
        <f>IF(AU43&lt;&gt;"",AU43,IF(AND(Hitung!H43=$E$1,Hitung!I43=0),P43,""))</f>
        <v/>
      </c>
      <c r="BB43" s="28" t="str">
        <f>IF(AV43&lt;&gt;"",AV43,IF(AND(Hitung!J43=$E$1,Hitung!K43=0),Q43,""))</f>
        <v/>
      </c>
      <c r="BC43" s="28" t="str">
        <f>IF(AW43&lt;&gt;"",AW43,IF(AND(Hitung!L43=$E$1,Hitung!M43=0),R43,""))</f>
        <v/>
      </c>
      <c r="BD43" s="29"/>
      <c r="BE43" s="20" t="str">
        <f t="shared" si="8"/>
        <v xml:space="preserve">Menunggu coder</v>
      </c>
      <c r="BF43" s="21" t="str">
        <f t="shared" si="9"/>
        <v/>
      </c>
      <c r="BG43" s="21" t="str">
        <f t="shared" si="10"/>
        <v/>
      </c>
      <c r="BH43" s="21" t="str">
        <f t="shared" si="11"/>
        <v/>
      </c>
      <c r="BI43" s="21" t="str">
        <f t="shared" si="12"/>
        <v/>
      </c>
      <c r="BJ43" s="21" t="str">
        <f t="shared" si="13"/>
        <v/>
      </c>
    </row>
    <row r="44" ht="48" customHeight="1">
      <c r="A44" s="20">
        <v>41</v>
      </c>
      <c r="B44" s="21" t="str">
        <f>IF(INDEX(Korpus!$A:$A,$A44)="","",INDEX(Korpus!$A:$A,$A44))</f>
        <v xml:space="preserve">UU 27 Thn 2022 (PDP)</v>
      </c>
      <c r="C44" s="21" t="str">
        <f>TRIM(INDEX(Korpus!$D:$D,$A44)&amp;" "&amp;INDEX(Korpus!$E:$E,$A44))</f>
        <v xml:space="preserve">Pasal 14</v>
      </c>
      <c r="D44" s="21" t="str">
        <f>IF(INDEX(Korpus!$B:$B,$A44)="","",INDEX(Korpus!$B:$B,$A44))</f>
        <v xml:space="preserve">BAB IV
HAK SUBJEK DATA PRIBADI</v>
      </c>
      <c r="E44" s="21" t="str">
        <f>IF(INDEX(Korpus!$C:$C,$A44)="","",INDEX(Korpus!$C:$C,$A44))</f>
        <v/>
      </c>
      <c r="F44" s="21" t="str">
        <f>IF(INDEX(Korpus!$F:$F,$A44)="","",INDEX(Korpus!$F:$F,$A44))</f>
        <v xml:space="preserve">Pelaksanaan hak Subjek Data Pribadi sebagaimana dimaksud dalam Pasal 6 sampai dengan Pasal 11 diajukan melalui permohonan tercatat yang disampaikan secara elektronik atau nonelektronik kepada Pengendali Data Pribadi.</v>
      </c>
      <c r="G44" s="22"/>
      <c r="H44" s="22"/>
      <c r="I44" s="22"/>
      <c r="J44" s="22"/>
      <c r="K44" s="22"/>
      <c r="L44" s="22"/>
      <c r="M44" s="23"/>
      <c r="N44" s="23"/>
      <c r="O44" s="23"/>
      <c r="P44" s="23"/>
      <c r="Q44" s="23"/>
      <c r="R44" s="23"/>
      <c r="S44" s="24"/>
      <c r="T44" s="24"/>
      <c r="U44" s="24"/>
      <c r="V44" s="24"/>
      <c r="W44" s="24"/>
      <c r="X44" s="24"/>
      <c r="Y44" s="25"/>
      <c r="Z44" s="25"/>
      <c r="AA44" s="25"/>
      <c r="AB44" s="25"/>
      <c r="AC44" s="25"/>
      <c r="AD44" s="25"/>
      <c r="AE44" s="26"/>
      <c r="AF44" s="26"/>
      <c r="AG44" s="26"/>
      <c r="AH44" s="26"/>
      <c r="AI44" s="26"/>
      <c r="AJ44" s="26"/>
      <c r="AK44" s="20" t="str">
        <f>IF(Hitung!B44&lt;$E$1,"",IF(Hitung!C44&gt;0,"Beda","Sama"))</f>
        <v/>
      </c>
      <c r="AL44" s="20" t="str">
        <f>IF(Hitung!D44&lt;$E$1,"",IF(Hitung!E44&gt;0,"Beda","Sama"))</f>
        <v/>
      </c>
      <c r="AM44" s="20" t="str">
        <f>IF(Hitung!F44&lt;$E$1,"",IF(Hitung!G44&gt;0,"Beda","Sama"))</f>
        <v/>
      </c>
      <c r="AN44" s="20" t="str">
        <f>IF(Hitung!H44&lt;$E$1,"",IF(Hitung!I44&gt;0,"Beda","Sama"))</f>
        <v/>
      </c>
      <c r="AO44" s="20" t="str">
        <f>IF(Hitung!J44&lt;$E$1,"",IF(Hitung!K44&gt;0,"Beda","Sama"))</f>
        <v/>
      </c>
      <c r="AP44" s="20" t="str">
        <f>IF(Hitung!L44&lt;$E$1,"",IF(Hitung!M44&gt;0,"Beda","Sama"))</f>
        <v/>
      </c>
      <c r="AQ44" s="20">
        <f t="shared" si="7"/>
        <v>0</v>
      </c>
      <c r="AR44" s="27"/>
      <c r="AS44" s="27"/>
      <c r="AT44" s="27"/>
      <c r="AU44" s="27"/>
      <c r="AV44" s="27"/>
      <c r="AW44" s="27"/>
      <c r="AX44" s="28" t="str">
        <f>IF(AR44&lt;&gt;"",AR44,IF(AND(Hitung!B44=$E$1,Hitung!C44=0),M44,""))</f>
        <v/>
      </c>
      <c r="AY44" s="28" t="str">
        <f>IF(AS44&lt;&gt;"",AS44,IF(AND(Hitung!D44=$E$1,Hitung!E44=0),N44,""))</f>
        <v/>
      </c>
      <c r="AZ44" s="28" t="str">
        <f>IF(AT44&lt;&gt;"",AT44,IF(AND(Hitung!F44=$E$1,Hitung!G44=0),O44,""))</f>
        <v/>
      </c>
      <c r="BA44" s="28" t="str">
        <f>IF(AU44&lt;&gt;"",AU44,IF(AND(Hitung!H44=$E$1,Hitung!I44=0),P44,""))</f>
        <v/>
      </c>
      <c r="BB44" s="28" t="str">
        <f>IF(AV44&lt;&gt;"",AV44,IF(AND(Hitung!J44=$E$1,Hitung!K44=0),Q44,""))</f>
        <v/>
      </c>
      <c r="BC44" s="28" t="str">
        <f>IF(AW44&lt;&gt;"",AW44,IF(AND(Hitung!L44=$E$1,Hitung!M44=0),R44,""))</f>
        <v/>
      </c>
      <c r="BD44" s="29"/>
      <c r="BE44" s="20" t="str">
        <f t="shared" si="8"/>
        <v xml:space="preserve">Menunggu coder</v>
      </c>
      <c r="BF44" s="21" t="str">
        <f t="shared" si="9"/>
        <v/>
      </c>
      <c r="BG44" s="21" t="str">
        <f t="shared" si="10"/>
        <v/>
      </c>
      <c r="BH44" s="21" t="str">
        <f t="shared" si="11"/>
        <v/>
      </c>
      <c r="BI44" s="21" t="str">
        <f t="shared" si="12"/>
        <v/>
      </c>
      <c r="BJ44" s="21" t="str">
        <f t="shared" si="13"/>
        <v/>
      </c>
    </row>
    <row r="45" ht="48" customHeight="1">
      <c r="A45" s="20">
        <v>42</v>
      </c>
      <c r="B45" s="21" t="str">
        <f>IF(INDEX(Korpus!$A:$A,$A45)="","",INDEX(Korpus!$A:$A,$A45))</f>
        <v xml:space="preserve">UU 27 Thn 2022 (PDP)</v>
      </c>
      <c r="C45" s="21" t="str">
        <f>TRIM(INDEX(Korpus!$D:$D,$A45)&amp;" "&amp;INDEX(Korpus!$E:$E,$A45))</f>
        <v xml:space="preserve">Pasal 15</v>
      </c>
      <c r="D45" s="21" t="str">
        <f>IF(INDEX(Korpus!$B:$B,$A45)="","",INDEX(Korpus!$B:$B,$A45))</f>
        <v xml:space="preserve">BAB IV
HAK SUBJEK DATA PRIBADI</v>
      </c>
      <c r="E45" s="21" t="str">
        <f>IF(INDEX(Korpus!$C:$C,$A45)="","",INDEX(Korpus!$C:$C,$A45))</f>
        <v/>
      </c>
      <c r="F45" s="21" t="str">
        <f>IF(INDEX(Korpus!$F:$F,$A45)="","",INDEX(Korpus!$F:$F,$A45))</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G45" s="22"/>
      <c r="H45" s="22"/>
      <c r="I45" s="22"/>
      <c r="J45" s="22"/>
      <c r="K45" s="22"/>
      <c r="L45" s="22"/>
      <c r="M45" s="23" t="s">
        <v>121</v>
      </c>
      <c r="N45" s="23" t="s">
        <v>105</v>
      </c>
      <c r="O45" s="23" t="s">
        <v>112</v>
      </c>
      <c r="P45" s="23" t="s">
        <v>138</v>
      </c>
      <c r="Q45" s="23" t="s">
        <v>139</v>
      </c>
      <c r="R45" s="23" t="s">
        <v>118</v>
      </c>
      <c r="S45" s="24"/>
      <c r="T45" s="24"/>
      <c r="U45" s="24"/>
      <c r="V45" s="24"/>
      <c r="W45" s="24"/>
      <c r="X45" s="24"/>
      <c r="Y45" s="25"/>
      <c r="Z45" s="25"/>
      <c r="AA45" s="25"/>
      <c r="AB45" s="25"/>
      <c r="AC45" s="25"/>
      <c r="AD45" s="25"/>
      <c r="AE45" s="26"/>
      <c r="AF45" s="26"/>
      <c r="AG45" s="26"/>
      <c r="AH45" s="26"/>
      <c r="AI45" s="26"/>
      <c r="AJ45" s="26"/>
      <c r="AK45" s="20" t="str">
        <f>IF(Hitung!B45&lt;$E$1,"",IF(Hitung!C45&gt;0,"Beda","Sama"))</f>
        <v/>
      </c>
      <c r="AL45" s="20" t="str">
        <f>IF(Hitung!D45&lt;$E$1,"",IF(Hitung!E45&gt;0,"Beda","Sama"))</f>
        <v/>
      </c>
      <c r="AM45" s="20" t="str">
        <f>IF(Hitung!F45&lt;$E$1,"",IF(Hitung!G45&gt;0,"Beda","Sama"))</f>
        <v/>
      </c>
      <c r="AN45" s="20" t="str">
        <f>IF(Hitung!H45&lt;$E$1,"",IF(Hitung!I45&gt;0,"Beda","Sama"))</f>
        <v/>
      </c>
      <c r="AO45" s="20" t="str">
        <f>IF(Hitung!J45&lt;$E$1,"",IF(Hitung!K45&gt;0,"Beda","Sama"))</f>
        <v/>
      </c>
      <c r="AP45" s="20" t="str">
        <f>IF(Hitung!L45&lt;$E$1,"",IF(Hitung!M45&gt;0,"Beda","Sama"))</f>
        <v/>
      </c>
      <c r="AQ45" s="20">
        <f t="shared" si="7"/>
        <v>0</v>
      </c>
      <c r="AR45" s="27"/>
      <c r="AS45" s="27"/>
      <c r="AT45" s="27"/>
      <c r="AU45" s="27"/>
      <c r="AV45" s="27"/>
      <c r="AW45" s="27"/>
      <c r="AX45" s="28" t="str">
        <f>IF(AR45&lt;&gt;"",AR45,IF(AND(Hitung!B45=$E$1,Hitung!C45=0),M45,""))</f>
        <v/>
      </c>
      <c r="AY45" s="28" t="str">
        <f>IF(AS45&lt;&gt;"",AS45,IF(AND(Hitung!D45=$E$1,Hitung!E45=0),N45,""))</f>
        <v/>
      </c>
      <c r="AZ45" s="28" t="str">
        <f>IF(AT45&lt;&gt;"",AT45,IF(AND(Hitung!F45=$E$1,Hitung!G45=0),O45,""))</f>
        <v/>
      </c>
      <c r="BA45" s="28" t="str">
        <f>IF(AU45&lt;&gt;"",AU45,IF(AND(Hitung!H45=$E$1,Hitung!I45=0),P45,""))</f>
        <v/>
      </c>
      <c r="BB45" s="28" t="str">
        <f>IF(AV45&lt;&gt;"",AV45,IF(AND(Hitung!J45=$E$1,Hitung!K45=0),Q45,""))</f>
        <v/>
      </c>
      <c r="BC45" s="28" t="str">
        <f>IF(AW45&lt;&gt;"",AW45,IF(AND(Hitung!L45=$E$1,Hitung!M45=0),R45,""))</f>
        <v/>
      </c>
      <c r="BD45" s="29"/>
      <c r="BE45" s="20" t="str">
        <f t="shared" si="8"/>
        <v xml:space="preserve">Menunggu coder</v>
      </c>
      <c r="BF45" s="21" t="str">
        <f t="shared" si="9"/>
        <v/>
      </c>
      <c r="BG45" s="21" t="str">
        <f t="shared" si="10"/>
        <v/>
      </c>
      <c r="BH45" s="21" t="str">
        <f t="shared" si="11"/>
        <v/>
      </c>
      <c r="BI45" s="21" t="str">
        <f t="shared" si="12"/>
        <v/>
      </c>
      <c r="BJ45" s="21" t="str">
        <f t="shared" si="13"/>
        <v/>
      </c>
      <c r="BK45" s="8" t="s">
        <v>119</v>
      </c>
    </row>
    <row r="46" ht="48" customHeight="1">
      <c r="A46" s="20">
        <v>43</v>
      </c>
      <c r="B46" s="21" t="str">
        <f>IF(INDEX(Korpus!$A:$A,$A46)="","",INDEX(Korpus!$A:$A,$A46))</f>
        <v xml:space="preserve">UU 27 Thn 2022 (PDP)</v>
      </c>
      <c r="C46" s="21" t="str">
        <f>TRIM(INDEX(Korpus!$D:$D,$A46)&amp;" "&amp;INDEX(Korpus!$E:$E,$A46))</f>
        <v xml:space="preserve">Pasal 16</v>
      </c>
      <c r="D46" s="21" t="str">
        <f>IF(INDEX(Korpus!$B:$B,$A46)="","",INDEX(Korpus!$B:$B,$A46))</f>
        <v xml:space="preserve">BAB V
PEMROSESAN DATA PRIBADI</v>
      </c>
      <c r="E46" s="21" t="str">
        <f>IF(INDEX(Korpus!$C:$C,$A46)="","",INDEX(Korpus!$C:$C,$A46))</f>
        <v/>
      </c>
      <c r="F46" s="21" t="str">
        <f>IF(INDEX(Korpus!$F:$F,$A46)="","",INDEX(Korpus!$F:$F,$A46))</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G46" s="22"/>
      <c r="H46" s="22"/>
      <c r="I46" s="22"/>
      <c r="J46" s="22"/>
      <c r="K46" s="22"/>
      <c r="L46" s="22"/>
      <c r="M46" s="23"/>
      <c r="N46" s="23"/>
      <c r="O46" s="23"/>
      <c r="P46" s="23"/>
      <c r="Q46" s="23"/>
      <c r="R46" s="23"/>
      <c r="S46" s="24"/>
      <c r="T46" s="24"/>
      <c r="U46" s="24"/>
      <c r="V46" s="24"/>
      <c r="W46" s="24"/>
      <c r="X46" s="24"/>
      <c r="Y46" s="25"/>
      <c r="Z46" s="25"/>
      <c r="AA46" s="25"/>
      <c r="AB46" s="25"/>
      <c r="AC46" s="25"/>
      <c r="AD46" s="25"/>
      <c r="AE46" s="26"/>
      <c r="AF46" s="26"/>
      <c r="AG46" s="26"/>
      <c r="AH46" s="26"/>
      <c r="AI46" s="26"/>
      <c r="AJ46" s="26"/>
      <c r="AK46" s="20" t="str">
        <f>IF(Hitung!B46&lt;$E$1,"",IF(Hitung!C46&gt;0,"Beda","Sama"))</f>
        <v/>
      </c>
      <c r="AL46" s="20" t="str">
        <f>IF(Hitung!D46&lt;$E$1,"",IF(Hitung!E46&gt;0,"Beda","Sama"))</f>
        <v/>
      </c>
      <c r="AM46" s="20" t="str">
        <f>IF(Hitung!F46&lt;$E$1,"",IF(Hitung!G46&gt;0,"Beda","Sama"))</f>
        <v/>
      </c>
      <c r="AN46" s="20" t="str">
        <f>IF(Hitung!H46&lt;$E$1,"",IF(Hitung!I46&gt;0,"Beda","Sama"))</f>
        <v/>
      </c>
      <c r="AO46" s="20" t="str">
        <f>IF(Hitung!J46&lt;$E$1,"",IF(Hitung!K46&gt;0,"Beda","Sama"))</f>
        <v/>
      </c>
      <c r="AP46" s="20" t="str">
        <f>IF(Hitung!L46&lt;$E$1,"",IF(Hitung!M46&gt;0,"Beda","Sama"))</f>
        <v/>
      </c>
      <c r="AQ46" s="20">
        <f t="shared" si="7"/>
        <v>0</v>
      </c>
      <c r="AR46" s="27"/>
      <c r="AS46" s="27"/>
      <c r="AT46" s="27"/>
      <c r="AU46" s="27"/>
      <c r="AV46" s="27"/>
      <c r="AW46" s="27"/>
      <c r="AX46" s="28" t="str">
        <f>IF(AR46&lt;&gt;"",AR46,IF(AND(Hitung!B46=$E$1,Hitung!C46=0),M46,""))</f>
        <v/>
      </c>
      <c r="AY46" s="28" t="str">
        <f>IF(AS46&lt;&gt;"",AS46,IF(AND(Hitung!D46=$E$1,Hitung!E46=0),N46,""))</f>
        <v/>
      </c>
      <c r="AZ46" s="28" t="str">
        <f>IF(AT46&lt;&gt;"",AT46,IF(AND(Hitung!F46=$E$1,Hitung!G46=0),O46,""))</f>
        <v/>
      </c>
      <c r="BA46" s="28" t="str">
        <f>IF(AU46&lt;&gt;"",AU46,IF(AND(Hitung!H46=$E$1,Hitung!I46=0),P46,""))</f>
        <v/>
      </c>
      <c r="BB46" s="28" t="str">
        <f>IF(AV46&lt;&gt;"",AV46,IF(AND(Hitung!J46=$E$1,Hitung!K46=0),Q46,""))</f>
        <v/>
      </c>
      <c r="BC46" s="28" t="str">
        <f>IF(AW46&lt;&gt;"",AW46,IF(AND(Hitung!L46=$E$1,Hitung!M46=0),R46,""))</f>
        <v/>
      </c>
      <c r="BD46" s="29"/>
      <c r="BE46" s="20" t="str">
        <f t="shared" si="8"/>
        <v xml:space="preserve">Menunggu coder</v>
      </c>
      <c r="BF46" s="21" t="str">
        <f t="shared" si="9"/>
        <v/>
      </c>
      <c r="BG46" s="21" t="str">
        <f t="shared" si="10"/>
        <v/>
      </c>
      <c r="BH46" s="21" t="str">
        <f t="shared" si="11"/>
        <v/>
      </c>
      <c r="BI46" s="21" t="str">
        <f t="shared" si="12"/>
        <v/>
      </c>
      <c r="BJ46" s="21" t="str">
        <f t="shared" si="13"/>
        <v/>
      </c>
    </row>
    <row r="47" ht="48" customHeight="1">
      <c r="A47" s="20">
        <v>44</v>
      </c>
      <c r="B47" s="21" t="str">
        <f>IF(INDEX(Korpus!$A:$A,$A47)="","",INDEX(Korpus!$A:$A,$A47))</f>
        <v xml:space="preserve">UU 27 Thn 2022 (PDP)</v>
      </c>
      <c r="C47" s="21" t="str">
        <f>TRIM(INDEX(Korpus!$D:$D,$A47)&amp;" "&amp;INDEX(Korpus!$E:$E,$A47))</f>
        <v xml:space="preserve">Pasal 17</v>
      </c>
      <c r="D47" s="21" t="str">
        <f>IF(INDEX(Korpus!$B:$B,$A47)="","",INDEX(Korpus!$B:$B,$A47))</f>
        <v xml:space="preserve">BAB V
PEMROSESAN DATA PRIBADI</v>
      </c>
      <c r="E47" s="21" t="str">
        <f>IF(INDEX(Korpus!$C:$C,$A47)="","",INDEX(Korpus!$C:$C,$A47))</f>
        <v/>
      </c>
      <c r="F47" s="21" t="str">
        <f>IF(INDEX(Korpus!$F:$F,$A47)="","",INDEX(Korpus!$F:$F,$A47))</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G47" s="22"/>
      <c r="H47" s="22"/>
      <c r="I47" s="22"/>
      <c r="J47" s="22"/>
      <c r="K47" s="22"/>
      <c r="L47" s="22"/>
      <c r="M47" s="23" t="s">
        <v>136</v>
      </c>
      <c r="N47" s="23" t="s">
        <v>111</v>
      </c>
      <c r="O47" s="23" t="s">
        <v>140</v>
      </c>
      <c r="P47" s="23" t="s">
        <v>128</v>
      </c>
      <c r="Q47" s="23" t="s">
        <v>139</v>
      </c>
      <c r="R47" s="23" t="s">
        <v>115</v>
      </c>
      <c r="S47" s="24"/>
      <c r="T47" s="24"/>
      <c r="U47" s="24"/>
      <c r="V47" s="24"/>
      <c r="W47" s="24"/>
      <c r="X47" s="24"/>
      <c r="Y47" s="25"/>
      <c r="Z47" s="25"/>
      <c r="AA47" s="25"/>
      <c r="AB47" s="25"/>
      <c r="AC47" s="25"/>
      <c r="AD47" s="25"/>
      <c r="AE47" s="26"/>
      <c r="AF47" s="26"/>
      <c r="AG47" s="26"/>
      <c r="AH47" s="26"/>
      <c r="AI47" s="26"/>
      <c r="AJ47" s="26"/>
      <c r="AK47" s="20" t="str">
        <f>IF(Hitung!B47&lt;$E$1,"",IF(Hitung!C47&gt;0,"Beda","Sama"))</f>
        <v/>
      </c>
      <c r="AL47" s="20" t="str">
        <f>IF(Hitung!D47&lt;$E$1,"",IF(Hitung!E47&gt;0,"Beda","Sama"))</f>
        <v/>
      </c>
      <c r="AM47" s="20" t="str">
        <f>IF(Hitung!F47&lt;$E$1,"",IF(Hitung!G47&gt;0,"Beda","Sama"))</f>
        <v/>
      </c>
      <c r="AN47" s="20" t="str">
        <f>IF(Hitung!H47&lt;$E$1,"",IF(Hitung!I47&gt;0,"Beda","Sama"))</f>
        <v/>
      </c>
      <c r="AO47" s="20" t="str">
        <f>IF(Hitung!J47&lt;$E$1,"",IF(Hitung!K47&gt;0,"Beda","Sama"))</f>
        <v/>
      </c>
      <c r="AP47" s="20" t="str">
        <f>IF(Hitung!L47&lt;$E$1,"",IF(Hitung!M47&gt;0,"Beda","Sama"))</f>
        <v/>
      </c>
      <c r="AQ47" s="20">
        <f t="shared" si="7"/>
        <v>0</v>
      </c>
      <c r="AR47" s="27"/>
      <c r="AS47" s="27"/>
      <c r="AT47" s="27"/>
      <c r="AU47" s="27"/>
      <c r="AV47" s="27"/>
      <c r="AW47" s="27"/>
      <c r="AX47" s="28" t="str">
        <f>IF(AR47&lt;&gt;"",AR47,IF(AND(Hitung!B47=$E$1,Hitung!C47=0),M47,""))</f>
        <v/>
      </c>
      <c r="AY47" s="28" t="str">
        <f>IF(AS47&lt;&gt;"",AS47,IF(AND(Hitung!D47=$E$1,Hitung!E47=0),N47,""))</f>
        <v/>
      </c>
      <c r="AZ47" s="28" t="str">
        <f>IF(AT47&lt;&gt;"",AT47,IF(AND(Hitung!F47=$E$1,Hitung!G47=0),O47,""))</f>
        <v/>
      </c>
      <c r="BA47" s="28" t="str">
        <f>IF(AU47&lt;&gt;"",AU47,IF(AND(Hitung!H47=$E$1,Hitung!I47=0),P47,""))</f>
        <v/>
      </c>
      <c r="BB47" s="28" t="str">
        <f>IF(AV47&lt;&gt;"",AV47,IF(AND(Hitung!J47=$E$1,Hitung!K47=0),Q47,""))</f>
        <v/>
      </c>
      <c r="BC47" s="28" t="str">
        <f>IF(AW47&lt;&gt;"",AW47,IF(AND(Hitung!L47=$E$1,Hitung!M47=0),R47,""))</f>
        <v/>
      </c>
      <c r="BD47" s="29"/>
      <c r="BE47" s="20" t="str">
        <f t="shared" si="8"/>
        <v xml:space="preserve">Menunggu coder</v>
      </c>
      <c r="BF47" s="21" t="str">
        <f t="shared" si="9"/>
        <v/>
      </c>
      <c r="BG47" s="21" t="str">
        <f t="shared" si="10"/>
        <v/>
      </c>
      <c r="BH47" s="21" t="str">
        <f t="shared" si="11"/>
        <v/>
      </c>
      <c r="BI47" s="21" t="str">
        <f t="shared" si="12"/>
        <v/>
      </c>
      <c r="BJ47" s="21" t="str">
        <f t="shared" si="13"/>
        <v/>
      </c>
      <c r="BK47" s="8" t="s">
        <v>119</v>
      </c>
    </row>
    <row r="48" ht="48" customHeight="1">
      <c r="A48" s="20">
        <v>45</v>
      </c>
      <c r="B48" s="21" t="str">
        <f>IF(INDEX(Korpus!$A:$A,$A48)="","",INDEX(Korpus!$A:$A,$A48))</f>
        <v xml:space="preserve">UU 27 Thn 2022 (PDP)</v>
      </c>
      <c r="C48" s="21" t="str">
        <f>TRIM(INDEX(Korpus!$D:$D,$A48)&amp;" "&amp;INDEX(Korpus!$E:$E,$A48))</f>
        <v xml:space="preserve">Pasal 18</v>
      </c>
      <c r="D48" s="21" t="str">
        <f>IF(INDEX(Korpus!$B:$B,$A48)="","",INDEX(Korpus!$B:$B,$A48))</f>
        <v xml:space="preserve">BAB V
PEMROSESAN DATA PRIBADI</v>
      </c>
      <c r="E48" s="21" t="str">
        <f>IF(INDEX(Korpus!$C:$C,$A48)="","",INDEX(Korpus!$C:$C,$A48))</f>
        <v/>
      </c>
      <c r="F48" s="21" t="str">
        <f>IF(INDEX(Korpus!$F:$F,$A48)="","",INDEX(Korpus!$F:$F,$A48))</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G48" s="22"/>
      <c r="H48" s="22"/>
      <c r="I48" s="22"/>
      <c r="J48" s="22"/>
      <c r="K48" s="22"/>
      <c r="L48" s="22"/>
      <c r="M48" s="23"/>
      <c r="N48" s="23"/>
      <c r="O48" s="23"/>
      <c r="P48" s="23"/>
      <c r="Q48" s="23"/>
      <c r="R48" s="23"/>
      <c r="S48" s="24"/>
      <c r="T48" s="24"/>
      <c r="U48" s="24"/>
      <c r="V48" s="24"/>
      <c r="W48" s="24"/>
      <c r="X48" s="24"/>
      <c r="Y48" s="25"/>
      <c r="Z48" s="25"/>
      <c r="AA48" s="25"/>
      <c r="AB48" s="25"/>
      <c r="AC48" s="25"/>
      <c r="AD48" s="25"/>
      <c r="AE48" s="26"/>
      <c r="AF48" s="26"/>
      <c r="AG48" s="26"/>
      <c r="AH48" s="26"/>
      <c r="AI48" s="26"/>
      <c r="AJ48" s="26"/>
      <c r="AK48" s="20" t="str">
        <f>IF(Hitung!B48&lt;$E$1,"",IF(Hitung!C48&gt;0,"Beda","Sama"))</f>
        <v/>
      </c>
      <c r="AL48" s="20" t="str">
        <f>IF(Hitung!D48&lt;$E$1,"",IF(Hitung!E48&gt;0,"Beda","Sama"))</f>
        <v/>
      </c>
      <c r="AM48" s="20" t="str">
        <f>IF(Hitung!F48&lt;$E$1,"",IF(Hitung!G48&gt;0,"Beda","Sama"))</f>
        <v/>
      </c>
      <c r="AN48" s="20" t="str">
        <f>IF(Hitung!H48&lt;$E$1,"",IF(Hitung!I48&gt;0,"Beda","Sama"))</f>
        <v/>
      </c>
      <c r="AO48" s="20" t="str">
        <f>IF(Hitung!J48&lt;$E$1,"",IF(Hitung!K48&gt;0,"Beda","Sama"))</f>
        <v/>
      </c>
      <c r="AP48" s="20" t="str">
        <f>IF(Hitung!L48&lt;$E$1,"",IF(Hitung!M48&gt;0,"Beda","Sama"))</f>
        <v/>
      </c>
      <c r="AQ48" s="20">
        <f t="shared" si="7"/>
        <v>0</v>
      </c>
      <c r="AR48" s="27"/>
      <c r="AS48" s="27"/>
      <c r="AT48" s="27"/>
      <c r="AU48" s="27"/>
      <c r="AV48" s="27"/>
      <c r="AW48" s="27"/>
      <c r="AX48" s="28" t="str">
        <f>IF(AR48&lt;&gt;"",AR48,IF(AND(Hitung!B48=$E$1,Hitung!C48=0),M48,""))</f>
        <v/>
      </c>
      <c r="AY48" s="28" t="str">
        <f>IF(AS48&lt;&gt;"",AS48,IF(AND(Hitung!D48=$E$1,Hitung!E48=0),N48,""))</f>
        <v/>
      </c>
      <c r="AZ48" s="28" t="str">
        <f>IF(AT48&lt;&gt;"",AT48,IF(AND(Hitung!F48=$E$1,Hitung!G48=0),O48,""))</f>
        <v/>
      </c>
      <c r="BA48" s="28" t="str">
        <f>IF(AU48&lt;&gt;"",AU48,IF(AND(Hitung!H48=$E$1,Hitung!I48=0),P48,""))</f>
        <v/>
      </c>
      <c r="BB48" s="28" t="str">
        <f>IF(AV48&lt;&gt;"",AV48,IF(AND(Hitung!J48=$E$1,Hitung!K48=0),Q48,""))</f>
        <v/>
      </c>
      <c r="BC48" s="28" t="str">
        <f>IF(AW48&lt;&gt;"",AW48,IF(AND(Hitung!L48=$E$1,Hitung!M48=0),R48,""))</f>
        <v/>
      </c>
      <c r="BD48" s="29"/>
      <c r="BE48" s="20" t="str">
        <f t="shared" si="8"/>
        <v xml:space="preserve">Menunggu coder</v>
      </c>
      <c r="BF48" s="21" t="str">
        <f t="shared" si="9"/>
        <v/>
      </c>
      <c r="BG48" s="21" t="str">
        <f t="shared" si="10"/>
        <v/>
      </c>
      <c r="BH48" s="21" t="str">
        <f t="shared" si="11"/>
        <v/>
      </c>
      <c r="BI48" s="21" t="str">
        <f t="shared" si="12"/>
        <v/>
      </c>
      <c r="BJ48" s="21" t="str">
        <f t="shared" si="13"/>
        <v/>
      </c>
    </row>
    <row r="49" ht="48" customHeight="1">
      <c r="A49" s="20">
        <v>46</v>
      </c>
      <c r="B49" s="21" t="str">
        <f>IF(INDEX(Korpus!$A:$A,$A49)="","",INDEX(Korpus!$A:$A,$A49))</f>
        <v xml:space="preserve">UU 27 Thn 2022 (PDP)</v>
      </c>
      <c r="C49" s="21" t="str">
        <f>TRIM(INDEX(Korpus!$D:$D,$A49)&amp;" "&amp;INDEX(Korpus!$E:$E,$A49))</f>
        <v xml:space="preserve">Pasal 19</v>
      </c>
      <c r="D49" s="21" t="str">
        <f>IF(INDEX(Korpus!$B:$B,$A49)="","",INDEX(Korpus!$B:$B,$A49))</f>
        <v xml:space="preserve">BAB VI
KEWAJIBAN PENGENDALI DATA PRIBADI DAN PROSESOR DATA PRIBADI DALAM PEMROSESAN DATA PRIBADI</v>
      </c>
      <c r="E49" s="21" t="str">
        <f>IF(INDEX(Korpus!$C:$C,$A49)="","",INDEX(Korpus!$C:$C,$A49))</f>
        <v xml:space="preserve">Bagian Kesatu
Umum</v>
      </c>
      <c r="F49" s="21" t="str">
        <f>IF(INDEX(Korpus!$F:$F,$A49)="","",INDEX(Korpus!$F:$F,$A49))</f>
        <v xml:space="preserve">Pengendali Data Pribadi dan Prosesor Data Pribadi meliputi: a. Setiap Orang; b. Badan Publik; dan c. Organisasi Internasional.</v>
      </c>
      <c r="G49" s="22"/>
      <c r="H49" s="22"/>
      <c r="I49" s="22"/>
      <c r="J49" s="22"/>
      <c r="K49" s="22"/>
      <c r="L49" s="22"/>
      <c r="M49" s="23"/>
      <c r="N49" s="23"/>
      <c r="O49" s="23"/>
      <c r="P49" s="23"/>
      <c r="Q49" s="23"/>
      <c r="R49" s="23"/>
      <c r="S49" s="24"/>
      <c r="T49" s="24"/>
      <c r="U49" s="24"/>
      <c r="V49" s="24"/>
      <c r="W49" s="24"/>
      <c r="X49" s="24"/>
      <c r="Y49" s="25"/>
      <c r="Z49" s="25"/>
      <c r="AA49" s="25"/>
      <c r="AB49" s="25"/>
      <c r="AC49" s="25"/>
      <c r="AD49" s="25"/>
      <c r="AE49" s="26"/>
      <c r="AF49" s="26"/>
      <c r="AG49" s="26"/>
      <c r="AH49" s="26"/>
      <c r="AI49" s="26"/>
      <c r="AJ49" s="26"/>
      <c r="AK49" s="20" t="str">
        <f>IF(Hitung!B49&lt;$E$1,"",IF(Hitung!C49&gt;0,"Beda","Sama"))</f>
        <v/>
      </c>
      <c r="AL49" s="20" t="str">
        <f>IF(Hitung!D49&lt;$E$1,"",IF(Hitung!E49&gt;0,"Beda","Sama"))</f>
        <v/>
      </c>
      <c r="AM49" s="20" t="str">
        <f>IF(Hitung!F49&lt;$E$1,"",IF(Hitung!G49&gt;0,"Beda","Sama"))</f>
        <v/>
      </c>
      <c r="AN49" s="20" t="str">
        <f>IF(Hitung!H49&lt;$E$1,"",IF(Hitung!I49&gt;0,"Beda","Sama"))</f>
        <v/>
      </c>
      <c r="AO49" s="20" t="str">
        <f>IF(Hitung!J49&lt;$E$1,"",IF(Hitung!K49&gt;0,"Beda","Sama"))</f>
        <v/>
      </c>
      <c r="AP49" s="20" t="str">
        <f>IF(Hitung!L49&lt;$E$1,"",IF(Hitung!M49&gt;0,"Beda","Sama"))</f>
        <v/>
      </c>
      <c r="AQ49" s="20">
        <f t="shared" si="7"/>
        <v>0</v>
      </c>
      <c r="AR49" s="27"/>
      <c r="AS49" s="27"/>
      <c r="AT49" s="27"/>
      <c r="AU49" s="27"/>
      <c r="AV49" s="27"/>
      <c r="AW49" s="27"/>
      <c r="AX49" s="28" t="str">
        <f>IF(AR49&lt;&gt;"",AR49,IF(AND(Hitung!B49=$E$1,Hitung!C49=0),M49,""))</f>
        <v/>
      </c>
      <c r="AY49" s="28" t="str">
        <f>IF(AS49&lt;&gt;"",AS49,IF(AND(Hitung!D49=$E$1,Hitung!E49=0),N49,""))</f>
        <v/>
      </c>
      <c r="AZ49" s="28" t="str">
        <f>IF(AT49&lt;&gt;"",AT49,IF(AND(Hitung!F49=$E$1,Hitung!G49=0),O49,""))</f>
        <v/>
      </c>
      <c r="BA49" s="28" t="str">
        <f>IF(AU49&lt;&gt;"",AU49,IF(AND(Hitung!H49=$E$1,Hitung!I49=0),P49,""))</f>
        <v/>
      </c>
      <c r="BB49" s="28" t="str">
        <f>IF(AV49&lt;&gt;"",AV49,IF(AND(Hitung!J49=$E$1,Hitung!K49=0),Q49,""))</f>
        <v/>
      </c>
      <c r="BC49" s="28" t="str">
        <f>IF(AW49&lt;&gt;"",AW49,IF(AND(Hitung!L49=$E$1,Hitung!M49=0),R49,""))</f>
        <v/>
      </c>
      <c r="BD49" s="29"/>
      <c r="BE49" s="20" t="str">
        <f t="shared" si="8"/>
        <v xml:space="preserve">Menunggu coder</v>
      </c>
      <c r="BF49" s="21" t="str">
        <f t="shared" si="9"/>
        <v/>
      </c>
      <c r="BG49" s="21" t="str">
        <f t="shared" si="10"/>
        <v/>
      </c>
      <c r="BH49" s="21" t="str">
        <f t="shared" si="11"/>
        <v/>
      </c>
      <c r="BI49" s="21" t="str">
        <f t="shared" si="12"/>
        <v/>
      </c>
      <c r="BJ49" s="21" t="str">
        <f t="shared" si="13"/>
        <v/>
      </c>
    </row>
    <row r="50" ht="48" customHeight="1">
      <c r="A50" s="20">
        <v>47</v>
      </c>
      <c r="B50" s="21" t="str">
        <f>IF(INDEX(Korpus!$A:$A,$A50)="","",INDEX(Korpus!$A:$A,$A50))</f>
        <v xml:space="preserve">UU 27 Thn 2022 (PDP)</v>
      </c>
      <c r="C50" s="21" t="str">
        <f>TRIM(INDEX(Korpus!$D:$D,$A50)&amp;" "&amp;INDEX(Korpus!$E:$E,$A50))</f>
        <v xml:space="preserve">Pasal 20</v>
      </c>
      <c r="D50" s="21" t="str">
        <f>IF(INDEX(Korpus!$B:$B,$A50)="","",INDEX(Korpus!$B:$B,$A50))</f>
        <v xml:space="preserve">BAB VI
KEWAJIBAN PENGENDALI DATA PRIBADI DAN PROSESOR DATA PRIBADI DALAM PEMROSESAN DATA PRIBADI</v>
      </c>
      <c r="E50" s="21" t="str">
        <f>IF(INDEX(Korpus!$C:$C,$A50)="","",INDEX(Korpus!$C:$C,$A50))</f>
        <v xml:space="preserve">Bagian Kedua Kewajiban Pengendali Data Pribadi</v>
      </c>
      <c r="F50" s="21" t="str">
        <f>IF(INDEX(Korpus!$F:$F,$A50)="","",INDEX(Korpus!$F:$F,$A50))</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G50" s="22"/>
      <c r="H50" s="22"/>
      <c r="I50" s="22"/>
      <c r="J50" s="22"/>
      <c r="K50" s="22"/>
      <c r="L50" s="22"/>
      <c r="M50" s="23"/>
      <c r="N50" s="23"/>
      <c r="O50" s="23"/>
      <c r="P50" s="23"/>
      <c r="Q50" s="23"/>
      <c r="R50" s="23"/>
      <c r="S50" s="24"/>
      <c r="T50" s="24"/>
      <c r="U50" s="24"/>
      <c r="V50" s="24"/>
      <c r="W50" s="24"/>
      <c r="X50" s="24"/>
      <c r="Y50" s="25"/>
      <c r="Z50" s="25"/>
      <c r="AA50" s="25"/>
      <c r="AB50" s="25"/>
      <c r="AC50" s="25"/>
      <c r="AD50" s="25"/>
      <c r="AE50" s="26"/>
      <c r="AF50" s="26"/>
      <c r="AG50" s="26"/>
      <c r="AH50" s="26"/>
      <c r="AI50" s="26"/>
      <c r="AJ50" s="26"/>
      <c r="AK50" s="20" t="str">
        <f>IF(Hitung!B50&lt;$E$1,"",IF(Hitung!C50&gt;0,"Beda","Sama"))</f>
        <v/>
      </c>
      <c r="AL50" s="20" t="str">
        <f>IF(Hitung!D50&lt;$E$1,"",IF(Hitung!E50&gt;0,"Beda","Sama"))</f>
        <v/>
      </c>
      <c r="AM50" s="20" t="str">
        <f>IF(Hitung!F50&lt;$E$1,"",IF(Hitung!G50&gt;0,"Beda","Sama"))</f>
        <v/>
      </c>
      <c r="AN50" s="20" t="str">
        <f>IF(Hitung!H50&lt;$E$1,"",IF(Hitung!I50&gt;0,"Beda","Sama"))</f>
        <v/>
      </c>
      <c r="AO50" s="20" t="str">
        <f>IF(Hitung!J50&lt;$E$1,"",IF(Hitung!K50&gt;0,"Beda","Sama"))</f>
        <v/>
      </c>
      <c r="AP50" s="20" t="str">
        <f>IF(Hitung!L50&lt;$E$1,"",IF(Hitung!M50&gt;0,"Beda","Sama"))</f>
        <v/>
      </c>
      <c r="AQ50" s="20">
        <f t="shared" si="7"/>
        <v>0</v>
      </c>
      <c r="AR50" s="27"/>
      <c r="AS50" s="27"/>
      <c r="AT50" s="27"/>
      <c r="AU50" s="27"/>
      <c r="AV50" s="27"/>
      <c r="AW50" s="27"/>
      <c r="AX50" s="28" t="str">
        <f>IF(AR50&lt;&gt;"",AR50,IF(AND(Hitung!B50=$E$1,Hitung!C50=0),M50,""))</f>
        <v/>
      </c>
      <c r="AY50" s="28" t="str">
        <f>IF(AS50&lt;&gt;"",AS50,IF(AND(Hitung!D50=$E$1,Hitung!E50=0),N50,""))</f>
        <v/>
      </c>
      <c r="AZ50" s="28" t="str">
        <f>IF(AT50&lt;&gt;"",AT50,IF(AND(Hitung!F50=$E$1,Hitung!G50=0),O50,""))</f>
        <v/>
      </c>
      <c r="BA50" s="28" t="str">
        <f>IF(AU50&lt;&gt;"",AU50,IF(AND(Hitung!H50=$E$1,Hitung!I50=0),P50,""))</f>
        <v/>
      </c>
      <c r="BB50" s="28" t="str">
        <f>IF(AV50&lt;&gt;"",AV50,IF(AND(Hitung!J50=$E$1,Hitung!K50=0),Q50,""))</f>
        <v/>
      </c>
      <c r="BC50" s="28" t="str">
        <f>IF(AW50&lt;&gt;"",AW50,IF(AND(Hitung!L50=$E$1,Hitung!M50=0),R50,""))</f>
        <v/>
      </c>
      <c r="BD50" s="29"/>
      <c r="BE50" s="20" t="str">
        <f t="shared" si="8"/>
        <v xml:space="preserve">Menunggu coder</v>
      </c>
      <c r="BF50" s="21" t="str">
        <f t="shared" si="9"/>
        <v/>
      </c>
      <c r="BG50" s="21" t="str">
        <f t="shared" si="10"/>
        <v/>
      </c>
      <c r="BH50" s="21" t="str">
        <f t="shared" si="11"/>
        <v/>
      </c>
      <c r="BI50" s="21" t="str">
        <f t="shared" si="12"/>
        <v/>
      </c>
      <c r="BJ50" s="21" t="str">
        <f t="shared" si="13"/>
        <v/>
      </c>
    </row>
    <row r="51" ht="48" customHeight="1">
      <c r="A51" s="20">
        <v>48</v>
      </c>
      <c r="B51" s="21" t="str">
        <f>IF(INDEX(Korpus!$A:$A,$A51)="","",INDEX(Korpus!$A:$A,$A51))</f>
        <v xml:space="preserve">UU 27 Thn 2022 (PDP)</v>
      </c>
      <c r="C51" s="21" t="str">
        <f>TRIM(INDEX(Korpus!$D:$D,$A51)&amp;" "&amp;INDEX(Korpus!$E:$E,$A51))</f>
        <v xml:space="preserve">Pasal 21</v>
      </c>
      <c r="D51" s="21" t="str">
        <f>IF(INDEX(Korpus!$B:$B,$A51)="","",INDEX(Korpus!$B:$B,$A51))</f>
        <v xml:space="preserve">BAB VI
KEWAJIBAN PENGENDALI DATA PRIBADI DAN PROSESOR DATA PRIBADI DALAM PEMROSESAN DATA PRIBADI</v>
      </c>
      <c r="E51" s="21" t="str">
        <f>IF(INDEX(Korpus!$C:$C,$A51)="","",INDEX(Korpus!$C:$C,$A51))</f>
        <v xml:space="preserve">Bagian Kedua Kewajiban Pengendali Data Pribadi</v>
      </c>
      <c r="F51" s="21" t="str">
        <f>IF(INDEX(Korpus!$F:$F,$A51)="","",INDEX(Korpus!$F:$F,$A51))</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G51" s="22"/>
      <c r="H51" s="22"/>
      <c r="I51" s="22"/>
      <c r="J51" s="22"/>
      <c r="K51" s="22"/>
      <c r="L51" s="22"/>
      <c r="M51" s="23"/>
      <c r="N51" s="23"/>
      <c r="O51" s="23"/>
      <c r="P51" s="23"/>
      <c r="Q51" s="23"/>
      <c r="R51" s="23"/>
      <c r="S51" s="24"/>
      <c r="T51" s="24"/>
      <c r="U51" s="24"/>
      <c r="V51" s="24"/>
      <c r="W51" s="24"/>
      <c r="X51" s="24"/>
      <c r="Y51" s="25"/>
      <c r="Z51" s="25"/>
      <c r="AA51" s="25"/>
      <c r="AB51" s="25"/>
      <c r="AC51" s="25"/>
      <c r="AD51" s="25"/>
      <c r="AE51" s="26"/>
      <c r="AF51" s="26"/>
      <c r="AG51" s="26"/>
      <c r="AH51" s="26"/>
      <c r="AI51" s="26"/>
      <c r="AJ51" s="26"/>
      <c r="AK51" s="20" t="str">
        <f>IF(Hitung!B51&lt;$E$1,"",IF(Hitung!C51&gt;0,"Beda","Sama"))</f>
        <v/>
      </c>
      <c r="AL51" s="20" t="str">
        <f>IF(Hitung!D51&lt;$E$1,"",IF(Hitung!E51&gt;0,"Beda","Sama"))</f>
        <v/>
      </c>
      <c r="AM51" s="20" t="str">
        <f>IF(Hitung!F51&lt;$E$1,"",IF(Hitung!G51&gt;0,"Beda","Sama"))</f>
        <v/>
      </c>
      <c r="AN51" s="20" t="str">
        <f>IF(Hitung!H51&lt;$E$1,"",IF(Hitung!I51&gt;0,"Beda","Sama"))</f>
        <v/>
      </c>
      <c r="AO51" s="20" t="str">
        <f>IF(Hitung!J51&lt;$E$1,"",IF(Hitung!K51&gt;0,"Beda","Sama"))</f>
        <v/>
      </c>
      <c r="AP51" s="20" t="str">
        <f>IF(Hitung!L51&lt;$E$1,"",IF(Hitung!M51&gt;0,"Beda","Sama"))</f>
        <v/>
      </c>
      <c r="AQ51" s="20">
        <f t="shared" si="7"/>
        <v>0</v>
      </c>
      <c r="AR51" s="27"/>
      <c r="AS51" s="27"/>
      <c r="AT51" s="27"/>
      <c r="AU51" s="27"/>
      <c r="AV51" s="27"/>
      <c r="AW51" s="27"/>
      <c r="AX51" s="28" t="str">
        <f>IF(AR51&lt;&gt;"",AR51,IF(AND(Hitung!B51=$E$1,Hitung!C51=0),M51,""))</f>
        <v/>
      </c>
      <c r="AY51" s="28" t="str">
        <f>IF(AS51&lt;&gt;"",AS51,IF(AND(Hitung!D51=$E$1,Hitung!E51=0),N51,""))</f>
        <v/>
      </c>
      <c r="AZ51" s="28" t="str">
        <f>IF(AT51&lt;&gt;"",AT51,IF(AND(Hitung!F51=$E$1,Hitung!G51=0),O51,""))</f>
        <v/>
      </c>
      <c r="BA51" s="28" t="str">
        <f>IF(AU51&lt;&gt;"",AU51,IF(AND(Hitung!H51=$E$1,Hitung!I51=0),P51,""))</f>
        <v/>
      </c>
      <c r="BB51" s="28" t="str">
        <f>IF(AV51&lt;&gt;"",AV51,IF(AND(Hitung!J51=$E$1,Hitung!K51=0),Q51,""))</f>
        <v/>
      </c>
      <c r="BC51" s="28" t="str">
        <f>IF(AW51&lt;&gt;"",AW51,IF(AND(Hitung!L51=$E$1,Hitung!M51=0),R51,""))</f>
        <v/>
      </c>
      <c r="BD51" s="29"/>
      <c r="BE51" s="20" t="str">
        <f t="shared" si="8"/>
        <v xml:space="preserve">Menunggu coder</v>
      </c>
      <c r="BF51" s="21" t="str">
        <f t="shared" si="9"/>
        <v/>
      </c>
      <c r="BG51" s="21" t="str">
        <f t="shared" si="10"/>
        <v/>
      </c>
      <c r="BH51" s="21" t="str">
        <f t="shared" si="11"/>
        <v/>
      </c>
      <c r="BI51" s="21" t="str">
        <f t="shared" si="12"/>
        <v/>
      </c>
      <c r="BJ51" s="21" t="str">
        <f t="shared" si="13"/>
        <v/>
      </c>
    </row>
    <row r="52" ht="48" customHeight="1">
      <c r="A52" s="20">
        <v>49</v>
      </c>
      <c r="B52" s="21" t="str">
        <f>IF(INDEX(Korpus!$A:$A,$A52)="","",INDEX(Korpus!$A:$A,$A52))</f>
        <v xml:space="preserve">UU 27 Thn 2022 (PDP)</v>
      </c>
      <c r="C52" s="21" t="str">
        <f>TRIM(INDEX(Korpus!$D:$D,$A52)&amp;" "&amp;INDEX(Korpus!$E:$E,$A52))</f>
        <v xml:space="preserve">Pasal 22</v>
      </c>
      <c r="D52" s="21" t="str">
        <f>IF(INDEX(Korpus!$B:$B,$A52)="","",INDEX(Korpus!$B:$B,$A52))</f>
        <v xml:space="preserve">BAB VI
KEWAJIBAN PENGENDALI DATA PRIBADI DAN PROSESOR DATA PRIBADI DALAM PEMROSESAN DATA PRIBADI</v>
      </c>
      <c r="E52" s="21" t="str">
        <f>IF(INDEX(Korpus!$C:$C,$A52)="","",INDEX(Korpus!$C:$C,$A52))</f>
        <v xml:space="preserve">Bagian Kedua Kewajiban Pengendali Data Pribadi</v>
      </c>
      <c r="F52" s="21" t="str">
        <f>IF(INDEX(Korpus!$F:$F,$A52)="","",INDEX(Korpus!$F:$F,$A52))</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G52" s="22" t="s">
        <v>104</v>
      </c>
      <c r="H52" s="22" t="s">
        <v>111</v>
      </c>
      <c r="I52" s="22" t="s">
        <v>141</v>
      </c>
      <c r="J52" s="22" t="s">
        <v>128</v>
      </c>
      <c r="K52" s="22" t="s">
        <v>139</v>
      </c>
      <c r="L52" s="22" t="s">
        <v>135</v>
      </c>
      <c r="M52" s="23" t="s">
        <v>131</v>
      </c>
      <c r="N52" s="23" t="s">
        <v>111</v>
      </c>
      <c r="O52" s="23" t="s">
        <v>129</v>
      </c>
      <c r="P52" s="23" t="s">
        <v>142</v>
      </c>
      <c r="Q52" s="23" t="s">
        <v>134</v>
      </c>
      <c r="R52" s="23" t="s">
        <v>118</v>
      </c>
      <c r="S52" s="24"/>
      <c r="T52" s="24"/>
      <c r="U52" s="24"/>
      <c r="V52" s="24"/>
      <c r="W52" s="24"/>
      <c r="X52" s="24"/>
      <c r="Y52" s="25"/>
      <c r="Z52" s="25"/>
      <c r="AA52" s="25"/>
      <c r="AB52" s="25"/>
      <c r="AC52" s="25"/>
      <c r="AD52" s="25"/>
      <c r="AE52" s="26"/>
      <c r="AF52" s="26"/>
      <c r="AG52" s="26"/>
      <c r="AH52" s="26"/>
      <c r="AI52" s="26"/>
      <c r="AJ52" s="26"/>
      <c r="AK52" s="20" t="str">
        <f>IF(Hitung!B52&lt;$E$1,"",IF(Hitung!C52&gt;0,"Beda","Sama"))</f>
        <v/>
      </c>
      <c r="AL52" s="20" t="str">
        <f>IF(Hitung!D52&lt;$E$1,"",IF(Hitung!E52&gt;0,"Beda","Sama"))</f>
        <v/>
      </c>
      <c r="AM52" s="20" t="str">
        <f>IF(Hitung!F52&lt;$E$1,"",IF(Hitung!G52&gt;0,"Beda","Sama"))</f>
        <v/>
      </c>
      <c r="AN52" s="20" t="str">
        <f>IF(Hitung!H52&lt;$E$1,"",IF(Hitung!I52&gt;0,"Beda","Sama"))</f>
        <v/>
      </c>
      <c r="AO52" s="20" t="str">
        <f>IF(Hitung!J52&lt;$E$1,"",IF(Hitung!K52&gt;0,"Beda","Sama"))</f>
        <v/>
      </c>
      <c r="AP52" s="20" t="str">
        <f>IF(Hitung!L52&lt;$E$1,"",IF(Hitung!M52&gt;0,"Beda","Sama"))</f>
        <v/>
      </c>
      <c r="AQ52" s="20">
        <f t="shared" si="7"/>
        <v>0</v>
      </c>
      <c r="AR52" s="27"/>
      <c r="AS52" s="27"/>
      <c r="AT52" s="27"/>
      <c r="AU52" s="27"/>
      <c r="AV52" s="27"/>
      <c r="AW52" s="27"/>
      <c r="AX52" s="28" t="str">
        <f>IF(AR52&lt;&gt;"",AR52,IF(AND(Hitung!B52=$E$1,Hitung!C52=0),M52,""))</f>
        <v/>
      </c>
      <c r="AY52" s="28" t="str">
        <f>IF(AS52&lt;&gt;"",AS52,IF(AND(Hitung!D52=$E$1,Hitung!E52=0),N52,""))</f>
        <v/>
      </c>
      <c r="AZ52" s="28" t="str">
        <f>IF(AT52&lt;&gt;"",AT52,IF(AND(Hitung!F52=$E$1,Hitung!G52=0),O52,""))</f>
        <v/>
      </c>
      <c r="BA52" s="28" t="str">
        <f>IF(AU52&lt;&gt;"",AU52,IF(AND(Hitung!H52=$E$1,Hitung!I52=0),P52,""))</f>
        <v/>
      </c>
      <c r="BB52" s="28" t="str">
        <f>IF(AV52&lt;&gt;"",AV52,IF(AND(Hitung!J52=$E$1,Hitung!K52=0),Q52,""))</f>
        <v/>
      </c>
      <c r="BC52" s="28" t="str">
        <f>IF(AW52&lt;&gt;"",AW52,IF(AND(Hitung!L52=$E$1,Hitung!M52=0),R52,""))</f>
        <v/>
      </c>
      <c r="BD52" s="29"/>
      <c r="BE52" s="20" t="str">
        <f t="shared" si="8"/>
        <v xml:space="preserve">Menunggu coder</v>
      </c>
      <c r="BF52" s="21" t="str">
        <f t="shared" si="9"/>
        <v/>
      </c>
      <c r="BG52" s="21" t="str">
        <f t="shared" si="10"/>
        <v xml:space="preserve">Tidak (1/6): V4 V6 V7 V8 V9</v>
      </c>
      <c r="BH52" s="21" t="str">
        <f t="shared" si="11"/>
        <v xml:space="preserve">Belum lengkap</v>
      </c>
      <c r="BI52" s="21" t="str">
        <f t="shared" si="12"/>
        <v/>
      </c>
      <c r="BJ52" s="21" t="str">
        <f t="shared" si="13"/>
        <v/>
      </c>
      <c r="BK52" s="8" t="s">
        <v>116</v>
      </c>
    </row>
    <row r="53" ht="48" customHeight="1">
      <c r="A53" s="20">
        <v>50</v>
      </c>
      <c r="B53" s="21" t="str">
        <f>IF(INDEX(Korpus!$A:$A,$A53)="","",INDEX(Korpus!$A:$A,$A53))</f>
        <v xml:space="preserve">UU 27 Thn 2022 (PDP)</v>
      </c>
      <c r="C53" s="21" t="str">
        <f>TRIM(INDEX(Korpus!$D:$D,$A53)&amp;" "&amp;INDEX(Korpus!$E:$E,$A53))</f>
        <v xml:space="preserve">Pasal 23</v>
      </c>
      <c r="D53" s="21" t="str">
        <f>IF(INDEX(Korpus!$B:$B,$A53)="","",INDEX(Korpus!$B:$B,$A53))</f>
        <v xml:space="preserve">BAB VI
KEWAJIBAN PENGENDALI DATA PRIBADI DAN PROSESOR DATA PRIBADI DALAM PEMROSESAN DATA PRIBADI</v>
      </c>
      <c r="E53" s="21" t="str">
        <f>IF(INDEX(Korpus!$C:$C,$A53)="","",INDEX(Korpus!$C:$C,$A53))</f>
        <v xml:space="preserve">Bagian Kedua Kewajiban Pengendali Data Pribadi</v>
      </c>
      <c r="F53" s="21" t="str">
        <f>IF(INDEX(Korpus!$F:$F,$A53)="","",INDEX(Korpus!$F:$F,$A53))</f>
        <v xml:space="preserve">Klausul perjanjian yang di dalamnya terdapat permintaan pemrosesan Data Pribadi yang tidak memuat persetujuan yang sah secara eksplisit dari Subjek Data Pribadi dinyatakan batal demi hukum.</v>
      </c>
      <c r="G53" s="22"/>
      <c r="H53" s="22"/>
      <c r="I53" s="22"/>
      <c r="J53" s="22"/>
      <c r="K53" s="22"/>
      <c r="L53" s="22"/>
      <c r="M53" s="23"/>
      <c r="N53" s="23"/>
      <c r="O53" s="23"/>
      <c r="P53" s="23"/>
      <c r="Q53" s="23"/>
      <c r="R53" s="23"/>
      <c r="S53" s="24"/>
      <c r="T53" s="24"/>
      <c r="U53" s="24"/>
      <c r="V53" s="24"/>
      <c r="W53" s="24"/>
      <c r="X53" s="24"/>
      <c r="Y53" s="25"/>
      <c r="Z53" s="25"/>
      <c r="AA53" s="25"/>
      <c r="AB53" s="25"/>
      <c r="AC53" s="25"/>
      <c r="AD53" s="25"/>
      <c r="AE53" s="26"/>
      <c r="AF53" s="26"/>
      <c r="AG53" s="26"/>
      <c r="AH53" s="26"/>
      <c r="AI53" s="26"/>
      <c r="AJ53" s="26"/>
      <c r="AK53" s="20" t="str">
        <f>IF(Hitung!B53&lt;$E$1,"",IF(Hitung!C53&gt;0,"Beda","Sama"))</f>
        <v/>
      </c>
      <c r="AL53" s="20" t="str">
        <f>IF(Hitung!D53&lt;$E$1,"",IF(Hitung!E53&gt;0,"Beda","Sama"))</f>
        <v/>
      </c>
      <c r="AM53" s="20" t="str">
        <f>IF(Hitung!F53&lt;$E$1,"",IF(Hitung!G53&gt;0,"Beda","Sama"))</f>
        <v/>
      </c>
      <c r="AN53" s="20" t="str">
        <f>IF(Hitung!H53&lt;$E$1,"",IF(Hitung!I53&gt;0,"Beda","Sama"))</f>
        <v/>
      </c>
      <c r="AO53" s="20" t="str">
        <f>IF(Hitung!J53&lt;$E$1,"",IF(Hitung!K53&gt;0,"Beda","Sama"))</f>
        <v/>
      </c>
      <c r="AP53" s="20" t="str">
        <f>IF(Hitung!L53&lt;$E$1,"",IF(Hitung!M53&gt;0,"Beda","Sama"))</f>
        <v/>
      </c>
      <c r="AQ53" s="20">
        <f t="shared" si="7"/>
        <v>0</v>
      </c>
      <c r="AR53" s="27"/>
      <c r="AS53" s="27"/>
      <c r="AT53" s="27"/>
      <c r="AU53" s="27"/>
      <c r="AV53" s="27"/>
      <c r="AW53" s="27"/>
      <c r="AX53" s="28" t="str">
        <f>IF(AR53&lt;&gt;"",AR53,IF(AND(Hitung!B53=$E$1,Hitung!C53=0),M53,""))</f>
        <v/>
      </c>
      <c r="AY53" s="28" t="str">
        <f>IF(AS53&lt;&gt;"",AS53,IF(AND(Hitung!D53=$E$1,Hitung!E53=0),N53,""))</f>
        <v/>
      </c>
      <c r="AZ53" s="28" t="str">
        <f>IF(AT53&lt;&gt;"",AT53,IF(AND(Hitung!F53=$E$1,Hitung!G53=0),O53,""))</f>
        <v/>
      </c>
      <c r="BA53" s="28" t="str">
        <f>IF(AU53&lt;&gt;"",AU53,IF(AND(Hitung!H53=$E$1,Hitung!I53=0),P53,""))</f>
        <v/>
      </c>
      <c r="BB53" s="28" t="str">
        <f>IF(AV53&lt;&gt;"",AV53,IF(AND(Hitung!J53=$E$1,Hitung!K53=0),Q53,""))</f>
        <v/>
      </c>
      <c r="BC53" s="28" t="str">
        <f>IF(AW53&lt;&gt;"",AW53,IF(AND(Hitung!L53=$E$1,Hitung!M53=0),R53,""))</f>
        <v/>
      </c>
      <c r="BD53" s="29"/>
      <c r="BE53" s="20" t="str">
        <f t="shared" si="8"/>
        <v xml:space="preserve">Menunggu coder</v>
      </c>
      <c r="BF53" s="21" t="str">
        <f t="shared" si="9"/>
        <v/>
      </c>
      <c r="BG53" s="21" t="str">
        <f t="shared" si="10"/>
        <v/>
      </c>
      <c r="BH53" s="21" t="str">
        <f t="shared" si="11"/>
        <v/>
      </c>
      <c r="BI53" s="21" t="str">
        <f t="shared" si="12"/>
        <v/>
      </c>
      <c r="BJ53" s="21" t="str">
        <f t="shared" si="13"/>
        <v/>
      </c>
    </row>
    <row r="54" ht="48" customHeight="1">
      <c r="A54" s="20">
        <v>51</v>
      </c>
      <c r="B54" s="21" t="str">
        <f>IF(INDEX(Korpus!$A:$A,$A54)="","",INDEX(Korpus!$A:$A,$A54))</f>
        <v xml:space="preserve">UU 27 Thn 2022 (PDP)</v>
      </c>
      <c r="C54" s="21" t="str">
        <f>TRIM(INDEX(Korpus!$D:$D,$A54)&amp;" "&amp;INDEX(Korpus!$E:$E,$A54))</f>
        <v xml:space="preserve">Pasal 24</v>
      </c>
      <c r="D54" s="21" t="str">
        <f>IF(INDEX(Korpus!$B:$B,$A54)="","",INDEX(Korpus!$B:$B,$A54))</f>
        <v xml:space="preserve">BAB VI
KEWAJIBAN PENGENDALI DATA PRIBADI DAN PROSESOR DATA PRIBADI DALAM PEMROSESAN DATA PRIBADI</v>
      </c>
      <c r="E54" s="21" t="str">
        <f>IF(INDEX(Korpus!$C:$C,$A54)="","",INDEX(Korpus!$C:$C,$A54))</f>
        <v xml:space="preserve">Bagian Kedua Kewajiban Pengendali Data Pribadi</v>
      </c>
      <c r="F54" s="21" t="str">
        <f>IF(INDEX(Korpus!$F:$F,$A54)="","",INDEX(Korpus!$F:$F,$A54))</f>
        <v xml:space="preserve">Dalam melakukan pemrosesan Data Pribadi, Pengendali Data Pribadi wajib menunjukkan bukti persetujuan yang telah diberikan oleh Subjek Data Pribadi.</v>
      </c>
      <c r="G54" s="22"/>
      <c r="H54" s="22"/>
      <c r="I54" s="22"/>
      <c r="J54" s="22"/>
      <c r="K54" s="22"/>
      <c r="L54" s="22"/>
      <c r="M54" s="23"/>
      <c r="N54" s="23"/>
      <c r="O54" s="23"/>
      <c r="P54" s="23"/>
      <c r="Q54" s="23"/>
      <c r="R54" s="23"/>
      <c r="S54" s="24"/>
      <c r="T54" s="24"/>
      <c r="U54" s="24"/>
      <c r="V54" s="24"/>
      <c r="W54" s="24"/>
      <c r="X54" s="24"/>
      <c r="Y54" s="25"/>
      <c r="Z54" s="25"/>
      <c r="AA54" s="25"/>
      <c r="AB54" s="25"/>
      <c r="AC54" s="25"/>
      <c r="AD54" s="25"/>
      <c r="AE54" s="26"/>
      <c r="AF54" s="26"/>
      <c r="AG54" s="26"/>
      <c r="AH54" s="26"/>
      <c r="AI54" s="26"/>
      <c r="AJ54" s="26"/>
      <c r="AK54" s="20" t="str">
        <f>IF(Hitung!B54&lt;$E$1,"",IF(Hitung!C54&gt;0,"Beda","Sama"))</f>
        <v/>
      </c>
      <c r="AL54" s="20" t="str">
        <f>IF(Hitung!D54&lt;$E$1,"",IF(Hitung!E54&gt;0,"Beda","Sama"))</f>
        <v/>
      </c>
      <c r="AM54" s="20" t="str">
        <f>IF(Hitung!F54&lt;$E$1,"",IF(Hitung!G54&gt;0,"Beda","Sama"))</f>
        <v/>
      </c>
      <c r="AN54" s="20" t="str">
        <f>IF(Hitung!H54&lt;$E$1,"",IF(Hitung!I54&gt;0,"Beda","Sama"))</f>
        <v/>
      </c>
      <c r="AO54" s="20" t="str">
        <f>IF(Hitung!J54&lt;$E$1,"",IF(Hitung!K54&gt;0,"Beda","Sama"))</f>
        <v/>
      </c>
      <c r="AP54" s="20" t="str">
        <f>IF(Hitung!L54&lt;$E$1,"",IF(Hitung!M54&gt;0,"Beda","Sama"))</f>
        <v/>
      </c>
      <c r="AQ54" s="20">
        <f t="shared" si="7"/>
        <v>0</v>
      </c>
      <c r="AR54" s="27"/>
      <c r="AS54" s="27"/>
      <c r="AT54" s="27"/>
      <c r="AU54" s="27"/>
      <c r="AV54" s="27"/>
      <c r="AW54" s="27"/>
      <c r="AX54" s="28" t="str">
        <f>IF(AR54&lt;&gt;"",AR54,IF(AND(Hitung!B54=$E$1,Hitung!C54=0),M54,""))</f>
        <v/>
      </c>
      <c r="AY54" s="28" t="str">
        <f>IF(AS54&lt;&gt;"",AS54,IF(AND(Hitung!D54=$E$1,Hitung!E54=0),N54,""))</f>
        <v/>
      </c>
      <c r="AZ54" s="28" t="str">
        <f>IF(AT54&lt;&gt;"",AT54,IF(AND(Hitung!F54=$E$1,Hitung!G54=0),O54,""))</f>
        <v/>
      </c>
      <c r="BA54" s="28" t="str">
        <f>IF(AU54&lt;&gt;"",AU54,IF(AND(Hitung!H54=$E$1,Hitung!I54=0),P54,""))</f>
        <v/>
      </c>
      <c r="BB54" s="28" t="str">
        <f>IF(AV54&lt;&gt;"",AV54,IF(AND(Hitung!J54=$E$1,Hitung!K54=0),Q54,""))</f>
        <v/>
      </c>
      <c r="BC54" s="28" t="str">
        <f>IF(AW54&lt;&gt;"",AW54,IF(AND(Hitung!L54=$E$1,Hitung!M54=0),R54,""))</f>
        <v/>
      </c>
      <c r="BD54" s="29"/>
      <c r="BE54" s="20" t="str">
        <f t="shared" si="8"/>
        <v xml:space="preserve">Menunggu coder</v>
      </c>
      <c r="BF54" s="21" t="str">
        <f t="shared" si="9"/>
        <v/>
      </c>
      <c r="BG54" s="21" t="str">
        <f t="shared" si="10"/>
        <v/>
      </c>
      <c r="BH54" s="21" t="str">
        <f t="shared" si="11"/>
        <v/>
      </c>
      <c r="BI54" s="21" t="str">
        <f t="shared" si="12"/>
        <v/>
      </c>
      <c r="BJ54" s="21" t="str">
        <f t="shared" si="13"/>
        <v/>
      </c>
    </row>
    <row r="55" ht="48" customHeight="1">
      <c r="A55" s="20">
        <v>52</v>
      </c>
      <c r="B55" s="21" t="str">
        <f>IF(INDEX(Korpus!$A:$A,$A55)="","",INDEX(Korpus!$A:$A,$A55))</f>
        <v xml:space="preserve">UU 27 Thn 2022 (PDP)</v>
      </c>
      <c r="C55" s="21" t="str">
        <f>TRIM(INDEX(Korpus!$D:$D,$A55)&amp;" "&amp;INDEX(Korpus!$E:$E,$A55))</f>
        <v xml:space="preserve">Pasal 25</v>
      </c>
      <c r="D55" s="21" t="str">
        <f>IF(INDEX(Korpus!$B:$B,$A55)="","",INDEX(Korpus!$B:$B,$A55))</f>
        <v xml:space="preserve">BAB VI
KEWAJIBAN PENGENDALI DATA PRIBADI DAN PROSESOR DATA PRIBADI DALAM PEMROSESAN DATA PRIBADI</v>
      </c>
      <c r="E55" s="21" t="str">
        <f>IF(INDEX(Korpus!$C:$C,$A55)="","",INDEX(Korpus!$C:$C,$A55))</f>
        <v xml:space="preserve">Bagian Kedua Kewajiban Pengendali Data Pribadi</v>
      </c>
      <c r="F55" s="21" t="str">
        <f>IF(INDEX(Korpus!$F:$F,$A55)="","",INDEX(Korpus!$F:$F,$A55))</f>
        <v xml:space="preserve">(1) Pemrosesan Data Pribadi anak secara khusus.(2) Pemrosesan Data Pribadi anak sebagaimana dimaksud pada ayat (1) wajib mendapat persetujuan dari orang tua anak dan/ atau wali anak sesuai dengan ketentuan peraturan perundang-undangan.</v>
      </c>
      <c r="G55" s="22"/>
      <c r="H55" s="22"/>
      <c r="I55" s="22"/>
      <c r="J55" s="22"/>
      <c r="K55" s="22"/>
      <c r="L55" s="22"/>
      <c r="M55" s="23" t="s">
        <v>131</v>
      </c>
      <c r="N55" s="23" t="s">
        <v>111</v>
      </c>
      <c r="O55" s="23" t="s">
        <v>143</v>
      </c>
      <c r="P55" s="23" t="s">
        <v>128</v>
      </c>
      <c r="Q55" s="23" t="s">
        <v>132</v>
      </c>
      <c r="R55" s="23" t="s">
        <v>125</v>
      </c>
      <c r="S55" s="24"/>
      <c r="T55" s="24"/>
      <c r="U55" s="24"/>
      <c r="V55" s="24"/>
      <c r="W55" s="24"/>
      <c r="X55" s="24"/>
      <c r="Y55" s="25"/>
      <c r="Z55" s="25"/>
      <c r="AA55" s="25"/>
      <c r="AB55" s="25"/>
      <c r="AC55" s="25"/>
      <c r="AD55" s="25"/>
      <c r="AE55" s="26"/>
      <c r="AF55" s="26"/>
      <c r="AG55" s="26"/>
      <c r="AH55" s="26"/>
      <c r="AI55" s="26"/>
      <c r="AJ55" s="26"/>
      <c r="AK55" s="20" t="str">
        <f>IF(Hitung!B55&lt;$E$1,"",IF(Hitung!C55&gt;0,"Beda","Sama"))</f>
        <v/>
      </c>
      <c r="AL55" s="20" t="str">
        <f>IF(Hitung!D55&lt;$E$1,"",IF(Hitung!E55&gt;0,"Beda","Sama"))</f>
        <v/>
      </c>
      <c r="AM55" s="20" t="str">
        <f>IF(Hitung!F55&lt;$E$1,"",IF(Hitung!G55&gt;0,"Beda","Sama"))</f>
        <v/>
      </c>
      <c r="AN55" s="20" t="str">
        <f>IF(Hitung!H55&lt;$E$1,"",IF(Hitung!I55&gt;0,"Beda","Sama"))</f>
        <v/>
      </c>
      <c r="AO55" s="20" t="str">
        <f>IF(Hitung!J55&lt;$E$1,"",IF(Hitung!K55&gt;0,"Beda","Sama"))</f>
        <v/>
      </c>
      <c r="AP55" s="20" t="str">
        <f>IF(Hitung!L55&lt;$E$1,"",IF(Hitung!M55&gt;0,"Beda","Sama"))</f>
        <v/>
      </c>
      <c r="AQ55" s="20">
        <f t="shared" si="7"/>
        <v>0</v>
      </c>
      <c r="AR55" s="27"/>
      <c r="AS55" s="27"/>
      <c r="AT55" s="27"/>
      <c r="AU55" s="27"/>
      <c r="AV55" s="27"/>
      <c r="AW55" s="27"/>
      <c r="AX55" s="28" t="str">
        <f>IF(AR55&lt;&gt;"",AR55,IF(AND(Hitung!B55=$E$1,Hitung!C55=0),M55,""))</f>
        <v/>
      </c>
      <c r="AY55" s="28" t="str">
        <f>IF(AS55&lt;&gt;"",AS55,IF(AND(Hitung!D55=$E$1,Hitung!E55=0),N55,""))</f>
        <v/>
      </c>
      <c r="AZ55" s="28" t="str">
        <f>IF(AT55&lt;&gt;"",AT55,IF(AND(Hitung!F55=$E$1,Hitung!G55=0),O55,""))</f>
        <v/>
      </c>
      <c r="BA55" s="28" t="str">
        <f>IF(AU55&lt;&gt;"",AU55,IF(AND(Hitung!H55=$E$1,Hitung!I55=0),P55,""))</f>
        <v/>
      </c>
      <c r="BB55" s="28" t="str">
        <f>IF(AV55&lt;&gt;"",AV55,IF(AND(Hitung!J55=$E$1,Hitung!K55=0),Q55,""))</f>
        <v/>
      </c>
      <c r="BC55" s="28" t="str">
        <f>IF(AW55&lt;&gt;"",AW55,IF(AND(Hitung!L55=$E$1,Hitung!M55=0),R55,""))</f>
        <v/>
      </c>
      <c r="BD55" s="29"/>
      <c r="BE55" s="20" t="str">
        <f t="shared" si="8"/>
        <v xml:space="preserve">Menunggu coder</v>
      </c>
      <c r="BF55" s="21" t="str">
        <f t="shared" si="9"/>
        <v/>
      </c>
      <c r="BG55" s="21" t="str">
        <f t="shared" si="10"/>
        <v/>
      </c>
      <c r="BH55" s="21" t="str">
        <f t="shared" si="11"/>
        <v/>
      </c>
      <c r="BI55" s="21" t="str">
        <f t="shared" si="12"/>
        <v/>
      </c>
      <c r="BJ55" s="21" t="str">
        <f t="shared" si="13"/>
        <v/>
      </c>
      <c r="BK55" s="8" t="s">
        <v>119</v>
      </c>
    </row>
    <row r="56" ht="48" customHeight="1">
      <c r="A56" s="20">
        <v>53</v>
      </c>
      <c r="B56" s="21" t="str">
        <f>IF(INDEX(Korpus!$A:$A,$A56)="","",INDEX(Korpus!$A:$A,$A56))</f>
        <v xml:space="preserve">UU 27 Thn 2022 (PDP)</v>
      </c>
      <c r="C56" s="21" t="str">
        <f>TRIM(INDEX(Korpus!$D:$D,$A56)&amp;" "&amp;INDEX(Korpus!$E:$E,$A56))</f>
        <v xml:space="preserve">Pasal 26</v>
      </c>
      <c r="D56" s="21" t="str">
        <f>IF(INDEX(Korpus!$B:$B,$A56)="","",INDEX(Korpus!$B:$B,$A56))</f>
        <v xml:space="preserve">BAB VI
KEWAJIBAN PENGENDALI DATA PRIBADI DAN PROSESOR DATA PRIBADI DALAM PEMROSESAN DATA PRIBADI</v>
      </c>
      <c r="E56" s="21" t="str">
        <f>IF(INDEX(Korpus!$C:$C,$A56)="","",INDEX(Korpus!$C:$C,$A56))</f>
        <v xml:space="preserve">Bagian Kedua Kewajiban Pengendali Data Pribadi</v>
      </c>
      <c r="F56" s="21" t="str">
        <f>IF(INDEX(Korpus!$F:$F,$A56)="","",INDEX(Korpus!$F:$F,$A56))</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G56" s="22"/>
      <c r="H56" s="22"/>
      <c r="I56" s="22"/>
      <c r="J56" s="22"/>
      <c r="K56" s="22"/>
      <c r="L56" s="22"/>
      <c r="M56" s="23"/>
      <c r="N56" s="23"/>
      <c r="O56" s="23"/>
      <c r="P56" s="23"/>
      <c r="Q56" s="23"/>
      <c r="R56" s="23"/>
      <c r="S56" s="24"/>
      <c r="T56" s="24"/>
      <c r="U56" s="24"/>
      <c r="V56" s="24"/>
      <c r="W56" s="24"/>
      <c r="X56" s="24"/>
      <c r="Y56" s="25"/>
      <c r="Z56" s="25"/>
      <c r="AA56" s="25"/>
      <c r="AB56" s="25"/>
      <c r="AC56" s="25"/>
      <c r="AD56" s="25"/>
      <c r="AE56" s="26"/>
      <c r="AF56" s="26"/>
      <c r="AG56" s="26"/>
      <c r="AH56" s="26"/>
      <c r="AI56" s="26"/>
      <c r="AJ56" s="26"/>
      <c r="AK56" s="20" t="str">
        <f>IF(Hitung!B56&lt;$E$1,"",IF(Hitung!C56&gt;0,"Beda","Sama"))</f>
        <v/>
      </c>
      <c r="AL56" s="20" t="str">
        <f>IF(Hitung!D56&lt;$E$1,"",IF(Hitung!E56&gt;0,"Beda","Sama"))</f>
        <v/>
      </c>
      <c r="AM56" s="20" t="str">
        <f>IF(Hitung!F56&lt;$E$1,"",IF(Hitung!G56&gt;0,"Beda","Sama"))</f>
        <v/>
      </c>
      <c r="AN56" s="20" t="str">
        <f>IF(Hitung!H56&lt;$E$1,"",IF(Hitung!I56&gt;0,"Beda","Sama"))</f>
        <v/>
      </c>
      <c r="AO56" s="20" t="str">
        <f>IF(Hitung!J56&lt;$E$1,"",IF(Hitung!K56&gt;0,"Beda","Sama"))</f>
        <v/>
      </c>
      <c r="AP56" s="20" t="str">
        <f>IF(Hitung!L56&lt;$E$1,"",IF(Hitung!M56&gt;0,"Beda","Sama"))</f>
        <v/>
      </c>
      <c r="AQ56" s="20">
        <f t="shared" si="7"/>
        <v>0</v>
      </c>
      <c r="AR56" s="27"/>
      <c r="AS56" s="27"/>
      <c r="AT56" s="27"/>
      <c r="AU56" s="27"/>
      <c r="AV56" s="27"/>
      <c r="AW56" s="27"/>
      <c r="AX56" s="28" t="str">
        <f>IF(AR56&lt;&gt;"",AR56,IF(AND(Hitung!B56=$E$1,Hitung!C56=0),M56,""))</f>
        <v/>
      </c>
      <c r="AY56" s="28" t="str">
        <f>IF(AS56&lt;&gt;"",AS56,IF(AND(Hitung!D56=$E$1,Hitung!E56=0),N56,""))</f>
        <v/>
      </c>
      <c r="AZ56" s="28" t="str">
        <f>IF(AT56&lt;&gt;"",AT56,IF(AND(Hitung!F56=$E$1,Hitung!G56=0),O56,""))</f>
        <v/>
      </c>
      <c r="BA56" s="28" t="str">
        <f>IF(AU56&lt;&gt;"",AU56,IF(AND(Hitung!H56=$E$1,Hitung!I56=0),P56,""))</f>
        <v/>
      </c>
      <c r="BB56" s="28" t="str">
        <f>IF(AV56&lt;&gt;"",AV56,IF(AND(Hitung!J56=$E$1,Hitung!K56=0),Q56,""))</f>
        <v/>
      </c>
      <c r="BC56" s="28" t="str">
        <f>IF(AW56&lt;&gt;"",AW56,IF(AND(Hitung!L56=$E$1,Hitung!M56=0),R56,""))</f>
        <v/>
      </c>
      <c r="BD56" s="29"/>
      <c r="BE56" s="20" t="str">
        <f t="shared" si="8"/>
        <v xml:space="preserve">Menunggu coder</v>
      </c>
      <c r="BF56" s="21" t="str">
        <f t="shared" si="9"/>
        <v/>
      </c>
      <c r="BG56" s="21" t="str">
        <f t="shared" si="10"/>
        <v/>
      </c>
      <c r="BH56" s="21" t="str">
        <f t="shared" si="11"/>
        <v/>
      </c>
      <c r="BI56" s="21" t="str">
        <f t="shared" si="12"/>
        <v/>
      </c>
      <c r="BJ56" s="21" t="str">
        <f t="shared" si="13"/>
        <v/>
      </c>
    </row>
    <row r="57" ht="48" customHeight="1">
      <c r="A57" s="20">
        <v>54</v>
      </c>
      <c r="B57" s="21" t="str">
        <f>IF(INDEX(Korpus!$A:$A,$A57)="","",INDEX(Korpus!$A:$A,$A57))</f>
        <v xml:space="preserve">UU 27 Thn 2022 (PDP)</v>
      </c>
      <c r="C57" s="21" t="str">
        <f>TRIM(INDEX(Korpus!$D:$D,$A57)&amp;" "&amp;INDEX(Korpus!$E:$E,$A57))</f>
        <v xml:space="preserve">Pasal 27</v>
      </c>
      <c r="D57" s="21" t="str">
        <f>IF(INDEX(Korpus!$B:$B,$A57)="","",INDEX(Korpus!$B:$B,$A57))</f>
        <v xml:space="preserve">BAB VI
KEWAJIBAN PENGENDALI DATA PRIBADI DAN PROSESOR DATA PRIBADI DALAM PEMROSESAN DATA PRIBADI</v>
      </c>
      <c r="E57" s="21" t="str">
        <f>IF(INDEX(Korpus!$C:$C,$A57)="","",INDEX(Korpus!$C:$C,$A57))</f>
        <v xml:space="preserve">Bagian Kedua Kewajiban Pengendali Data Pribadi</v>
      </c>
      <c r="F57" s="21" t="str">
        <f>IF(INDEX(Korpus!$F:$F,$A57)="","",INDEX(Korpus!$F:$F,$A57))</f>
        <v xml:space="preserve">Pengendali Data Pribadi wajib melakukan pemrosesan Data Pribadi secara terbatas dan spesifik, sah secara hukum, dan transparan.</v>
      </c>
      <c r="G57" s="22"/>
      <c r="H57" s="22"/>
      <c r="I57" s="22"/>
      <c r="J57" s="22"/>
      <c r="K57" s="22"/>
      <c r="L57" s="22"/>
      <c r="M57" s="23" t="s">
        <v>131</v>
      </c>
      <c r="N57" s="23" t="s">
        <v>111</v>
      </c>
      <c r="O57" s="23" t="s">
        <v>143</v>
      </c>
      <c r="P57" s="23" t="s">
        <v>128</v>
      </c>
      <c r="Q57" s="23" t="s">
        <v>134</v>
      </c>
      <c r="R57" s="23" t="s">
        <v>125</v>
      </c>
      <c r="S57" s="24"/>
      <c r="T57" s="24"/>
      <c r="U57" s="24"/>
      <c r="V57" s="24"/>
      <c r="W57" s="24"/>
      <c r="X57" s="24"/>
      <c r="Y57" s="25"/>
      <c r="Z57" s="25"/>
      <c r="AA57" s="25"/>
      <c r="AB57" s="25"/>
      <c r="AC57" s="25"/>
      <c r="AD57" s="25"/>
      <c r="AE57" s="26"/>
      <c r="AF57" s="26"/>
      <c r="AG57" s="26"/>
      <c r="AH57" s="26"/>
      <c r="AI57" s="26"/>
      <c r="AJ57" s="26"/>
      <c r="AK57" s="20" t="str">
        <f>IF(Hitung!B57&lt;$E$1,"",IF(Hitung!C57&gt;0,"Beda","Sama"))</f>
        <v/>
      </c>
      <c r="AL57" s="20" t="str">
        <f>IF(Hitung!D57&lt;$E$1,"",IF(Hitung!E57&gt;0,"Beda","Sama"))</f>
        <v/>
      </c>
      <c r="AM57" s="20" t="str">
        <f>IF(Hitung!F57&lt;$E$1,"",IF(Hitung!G57&gt;0,"Beda","Sama"))</f>
        <v/>
      </c>
      <c r="AN57" s="20" t="str">
        <f>IF(Hitung!H57&lt;$E$1,"",IF(Hitung!I57&gt;0,"Beda","Sama"))</f>
        <v/>
      </c>
      <c r="AO57" s="20" t="str">
        <f>IF(Hitung!J57&lt;$E$1,"",IF(Hitung!K57&gt;0,"Beda","Sama"))</f>
        <v/>
      </c>
      <c r="AP57" s="20" t="str">
        <f>IF(Hitung!L57&lt;$E$1,"",IF(Hitung!M57&gt;0,"Beda","Sama"))</f>
        <v/>
      </c>
      <c r="AQ57" s="20">
        <f t="shared" si="7"/>
        <v>0</v>
      </c>
      <c r="AR57" s="27"/>
      <c r="AS57" s="27"/>
      <c r="AT57" s="27"/>
      <c r="AU57" s="27"/>
      <c r="AV57" s="27"/>
      <c r="AW57" s="27"/>
      <c r="AX57" s="28" t="str">
        <f>IF(AR57&lt;&gt;"",AR57,IF(AND(Hitung!B57=$E$1,Hitung!C57=0),M57,""))</f>
        <v/>
      </c>
      <c r="AY57" s="28" t="str">
        <f>IF(AS57&lt;&gt;"",AS57,IF(AND(Hitung!D57=$E$1,Hitung!E57=0),N57,""))</f>
        <v/>
      </c>
      <c r="AZ57" s="28" t="str">
        <f>IF(AT57&lt;&gt;"",AT57,IF(AND(Hitung!F57=$E$1,Hitung!G57=0),O57,""))</f>
        <v/>
      </c>
      <c r="BA57" s="28" t="str">
        <f>IF(AU57&lt;&gt;"",AU57,IF(AND(Hitung!H57=$E$1,Hitung!I57=0),P57,""))</f>
        <v/>
      </c>
      <c r="BB57" s="28" t="str">
        <f>IF(AV57&lt;&gt;"",AV57,IF(AND(Hitung!J57=$E$1,Hitung!K57=0),Q57,""))</f>
        <v/>
      </c>
      <c r="BC57" s="28" t="str">
        <f>IF(AW57&lt;&gt;"",AW57,IF(AND(Hitung!L57=$E$1,Hitung!M57=0),R57,""))</f>
        <v/>
      </c>
      <c r="BD57" s="29"/>
      <c r="BE57" s="20" t="str">
        <f t="shared" si="8"/>
        <v xml:space="preserve">Menunggu coder</v>
      </c>
      <c r="BF57" s="21" t="str">
        <f t="shared" si="9"/>
        <v/>
      </c>
      <c r="BG57" s="21" t="str">
        <f t="shared" si="10"/>
        <v/>
      </c>
      <c r="BH57" s="21" t="str">
        <f t="shared" si="11"/>
        <v/>
      </c>
      <c r="BI57" s="21" t="str">
        <f t="shared" si="12"/>
        <v/>
      </c>
      <c r="BJ57" s="21" t="str">
        <f t="shared" si="13"/>
        <v/>
      </c>
      <c r="BK57" s="8" t="s">
        <v>119</v>
      </c>
    </row>
    <row r="58" ht="48" customHeight="1">
      <c r="A58" s="20">
        <v>55</v>
      </c>
      <c r="B58" s="21" t="str">
        <f>IF(INDEX(Korpus!$A:$A,$A58)="","",INDEX(Korpus!$A:$A,$A58))</f>
        <v xml:space="preserve">UU 27 Thn 2022 (PDP)</v>
      </c>
      <c r="C58" s="21" t="str">
        <f>TRIM(INDEX(Korpus!$D:$D,$A58)&amp;" "&amp;INDEX(Korpus!$E:$E,$A58))</f>
        <v xml:space="preserve">Pasal 28</v>
      </c>
      <c r="D58" s="21" t="str">
        <f>IF(INDEX(Korpus!$B:$B,$A58)="","",INDEX(Korpus!$B:$B,$A58))</f>
        <v xml:space="preserve">BAB VI
KEWAJIBAN PENGENDALI DATA PRIBADI DAN PROSESOR DATA PRIBADI DALAM PEMROSESAN DATA PRIBADI</v>
      </c>
      <c r="E58" s="21" t="str">
        <f>IF(INDEX(Korpus!$C:$C,$A58)="","",INDEX(Korpus!$C:$C,$A58))</f>
        <v xml:space="preserve">Bagian Kedua Kewajiban Pengendali Data Pribadi</v>
      </c>
      <c r="F58" s="21" t="str">
        <f>IF(INDEX(Korpus!$F:$F,$A58)="","",INDEX(Korpus!$F:$F,$A58))</f>
        <v xml:space="preserve">Pengendali Data Pribadi wajib melakukan pemrosesan Data Pribadi sesuai dengan tujuan pemrosesan Data Pribadi.</v>
      </c>
      <c r="G58" s="22" t="s">
        <v>131</v>
      </c>
      <c r="H58" s="22" t="s">
        <v>111</v>
      </c>
      <c r="I58" s="22" t="s">
        <v>144</v>
      </c>
      <c r="J58" s="22" t="s">
        <v>128</v>
      </c>
      <c r="K58" s="22" t="s">
        <v>108</v>
      </c>
      <c r="L58" s="22" t="s">
        <v>118</v>
      </c>
      <c r="M58" s="23" t="s">
        <v>131</v>
      </c>
      <c r="N58" s="23" t="s">
        <v>111</v>
      </c>
      <c r="O58" s="23" t="s">
        <v>141</v>
      </c>
      <c r="P58" s="23" t="s">
        <v>128</v>
      </c>
      <c r="Q58" s="23" t="s">
        <v>124</v>
      </c>
      <c r="R58" s="23" t="s">
        <v>135</v>
      </c>
      <c r="S58" s="24"/>
      <c r="T58" s="24"/>
      <c r="U58" s="24"/>
      <c r="V58" s="24"/>
      <c r="W58" s="24"/>
      <c r="X58" s="24"/>
      <c r="Y58" s="25"/>
      <c r="Z58" s="25"/>
      <c r="AA58" s="25"/>
      <c r="AB58" s="25"/>
      <c r="AC58" s="25"/>
      <c r="AD58" s="25"/>
      <c r="AE58" s="26"/>
      <c r="AF58" s="26"/>
      <c r="AG58" s="26"/>
      <c r="AH58" s="26"/>
      <c r="AI58" s="26"/>
      <c r="AJ58" s="26"/>
      <c r="AK58" s="20" t="str">
        <f>IF(Hitung!B58&lt;$E$1,"",IF(Hitung!C58&gt;0,"Beda","Sama"))</f>
        <v/>
      </c>
      <c r="AL58" s="20" t="str">
        <f>IF(Hitung!D58&lt;$E$1,"",IF(Hitung!E58&gt;0,"Beda","Sama"))</f>
        <v/>
      </c>
      <c r="AM58" s="20" t="str">
        <f>IF(Hitung!F58&lt;$E$1,"",IF(Hitung!G58&gt;0,"Beda","Sama"))</f>
        <v/>
      </c>
      <c r="AN58" s="20" t="str">
        <f>IF(Hitung!H58&lt;$E$1,"",IF(Hitung!I58&gt;0,"Beda","Sama"))</f>
        <v/>
      </c>
      <c r="AO58" s="20" t="str">
        <f>IF(Hitung!J58&lt;$E$1,"",IF(Hitung!K58&gt;0,"Beda","Sama"))</f>
        <v/>
      </c>
      <c r="AP58" s="20" t="str">
        <f>IF(Hitung!L58&lt;$E$1,"",IF(Hitung!M58&gt;0,"Beda","Sama"))</f>
        <v/>
      </c>
      <c r="AQ58" s="20">
        <f t="shared" si="7"/>
        <v>0</v>
      </c>
      <c r="AR58" s="27"/>
      <c r="AS58" s="27"/>
      <c r="AT58" s="27"/>
      <c r="AU58" s="27"/>
      <c r="AV58" s="27"/>
      <c r="AW58" s="27"/>
      <c r="AX58" s="28" t="str">
        <f>IF(AR58&lt;&gt;"",AR58,IF(AND(Hitung!B58=$E$1,Hitung!C58=0),M58,""))</f>
        <v/>
      </c>
      <c r="AY58" s="28" t="str">
        <f>IF(AS58&lt;&gt;"",AS58,IF(AND(Hitung!D58=$E$1,Hitung!E58=0),N58,""))</f>
        <v/>
      </c>
      <c r="AZ58" s="28" t="str">
        <f>IF(AT58&lt;&gt;"",AT58,IF(AND(Hitung!F58=$E$1,Hitung!G58=0),O58,""))</f>
        <v/>
      </c>
      <c r="BA58" s="28" t="str">
        <f>IF(AU58&lt;&gt;"",AU58,IF(AND(Hitung!H58=$E$1,Hitung!I58=0),P58,""))</f>
        <v/>
      </c>
      <c r="BB58" s="28" t="str">
        <f>IF(AV58&lt;&gt;"",AV58,IF(AND(Hitung!J58=$E$1,Hitung!K58=0),Q58,""))</f>
        <v/>
      </c>
      <c r="BC58" s="28" t="str">
        <f>IF(AW58&lt;&gt;"",AW58,IF(AND(Hitung!L58=$E$1,Hitung!M58=0),R58,""))</f>
        <v/>
      </c>
      <c r="BD58" s="29"/>
      <c r="BE58" s="20" t="str">
        <f t="shared" si="8"/>
        <v xml:space="preserve">Menunggu coder</v>
      </c>
      <c r="BF58" s="21" t="str">
        <f t="shared" si="9"/>
        <v/>
      </c>
      <c r="BG58" s="21" t="str">
        <f t="shared" si="10"/>
        <v xml:space="preserve">Tidak (3/6): V6 V8 V9</v>
      </c>
      <c r="BH58" s="21" t="str">
        <f t="shared" si="11"/>
        <v xml:space="preserve">Belum lengkap</v>
      </c>
      <c r="BI58" s="21" t="str">
        <f t="shared" si="12"/>
        <v/>
      </c>
      <c r="BJ58" s="21" t="str">
        <f t="shared" si="13"/>
        <v/>
      </c>
      <c r="BK58" s="8" t="s">
        <v>116</v>
      </c>
    </row>
    <row r="59" ht="48" customHeight="1">
      <c r="A59" s="20">
        <v>56</v>
      </c>
      <c r="B59" s="21" t="str">
        <f>IF(INDEX(Korpus!$A:$A,$A59)="","",INDEX(Korpus!$A:$A,$A59))</f>
        <v xml:space="preserve">UU 27 Thn 2022 (PDP)</v>
      </c>
      <c r="C59" s="21" t="str">
        <f>TRIM(INDEX(Korpus!$D:$D,$A59)&amp;" "&amp;INDEX(Korpus!$E:$E,$A59))</f>
        <v xml:space="preserve">Pasal 29</v>
      </c>
      <c r="D59" s="21" t="str">
        <f>IF(INDEX(Korpus!$B:$B,$A59)="","",INDEX(Korpus!$B:$B,$A59))</f>
        <v xml:space="preserve">BAB VI
KEWAJIBAN PENGENDALI DATA PRIBADI DAN PROSESOR DATA PRIBADI DALAM PEMROSESAN DATA PRIBADI</v>
      </c>
      <c r="E59" s="21" t="str">
        <f>IF(INDEX(Korpus!$C:$C,$A59)="","",INDEX(Korpus!$C:$C,$A59))</f>
        <v xml:space="preserve">Bagian Kedua Kewajiban Pengendali Data Pribadi</v>
      </c>
      <c r="F59" s="21" t="str">
        <f>IF(INDEX(Korpus!$F:$F,$A59)="","",INDEX(Korpus!$F:$F,$A59))</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G59" s="22"/>
      <c r="H59" s="22"/>
      <c r="I59" s="22"/>
      <c r="J59" s="22"/>
      <c r="K59" s="22"/>
      <c r="L59" s="22"/>
      <c r="M59" s="23" t="s">
        <v>131</v>
      </c>
      <c r="N59" s="23" t="s">
        <v>111</v>
      </c>
      <c r="O59" s="23" t="s">
        <v>145</v>
      </c>
      <c r="P59" s="23" t="s">
        <v>128</v>
      </c>
      <c r="Q59" s="23" t="s">
        <v>124</v>
      </c>
      <c r="R59" s="23" t="s">
        <v>115</v>
      </c>
      <c r="S59" s="24"/>
      <c r="T59" s="24"/>
      <c r="U59" s="24"/>
      <c r="V59" s="24"/>
      <c r="W59" s="24"/>
      <c r="X59" s="24"/>
      <c r="Y59" s="25"/>
      <c r="Z59" s="25"/>
      <c r="AA59" s="25"/>
      <c r="AB59" s="25"/>
      <c r="AC59" s="25"/>
      <c r="AD59" s="25"/>
      <c r="AE59" s="26"/>
      <c r="AF59" s="26"/>
      <c r="AG59" s="26"/>
      <c r="AH59" s="26"/>
      <c r="AI59" s="26"/>
      <c r="AJ59" s="26"/>
      <c r="AK59" s="20" t="str">
        <f>IF(Hitung!B59&lt;$E$1,"",IF(Hitung!C59&gt;0,"Beda","Sama"))</f>
        <v/>
      </c>
      <c r="AL59" s="20" t="str">
        <f>IF(Hitung!D59&lt;$E$1,"",IF(Hitung!E59&gt;0,"Beda","Sama"))</f>
        <v/>
      </c>
      <c r="AM59" s="20" t="str">
        <f>IF(Hitung!F59&lt;$E$1,"",IF(Hitung!G59&gt;0,"Beda","Sama"))</f>
        <v/>
      </c>
      <c r="AN59" s="20" t="str">
        <f>IF(Hitung!H59&lt;$E$1,"",IF(Hitung!I59&gt;0,"Beda","Sama"))</f>
        <v/>
      </c>
      <c r="AO59" s="20" t="str">
        <f>IF(Hitung!J59&lt;$E$1,"",IF(Hitung!K59&gt;0,"Beda","Sama"))</f>
        <v/>
      </c>
      <c r="AP59" s="20" t="str">
        <f>IF(Hitung!L59&lt;$E$1,"",IF(Hitung!M59&gt;0,"Beda","Sama"))</f>
        <v/>
      </c>
      <c r="AQ59" s="20">
        <f t="shared" si="7"/>
        <v>0</v>
      </c>
      <c r="AR59" s="27"/>
      <c r="AS59" s="27"/>
      <c r="AT59" s="27"/>
      <c r="AU59" s="27"/>
      <c r="AV59" s="27"/>
      <c r="AW59" s="27"/>
      <c r="AX59" s="28" t="str">
        <f>IF(AR59&lt;&gt;"",AR59,IF(AND(Hitung!B59=$E$1,Hitung!C59=0),M59,""))</f>
        <v/>
      </c>
      <c r="AY59" s="28" t="str">
        <f>IF(AS59&lt;&gt;"",AS59,IF(AND(Hitung!D59=$E$1,Hitung!E59=0),N59,""))</f>
        <v/>
      </c>
      <c r="AZ59" s="28" t="str">
        <f>IF(AT59&lt;&gt;"",AT59,IF(AND(Hitung!F59=$E$1,Hitung!G59=0),O59,""))</f>
        <v/>
      </c>
      <c r="BA59" s="28" t="str">
        <f>IF(AU59&lt;&gt;"",AU59,IF(AND(Hitung!H59=$E$1,Hitung!I59=0),P59,""))</f>
        <v/>
      </c>
      <c r="BB59" s="28" t="str">
        <f>IF(AV59&lt;&gt;"",AV59,IF(AND(Hitung!J59=$E$1,Hitung!K59=0),Q59,""))</f>
        <v/>
      </c>
      <c r="BC59" s="28" t="str">
        <f>IF(AW59&lt;&gt;"",AW59,IF(AND(Hitung!L59=$E$1,Hitung!M59=0),R59,""))</f>
        <v/>
      </c>
      <c r="BD59" s="29"/>
      <c r="BE59" s="20" t="str">
        <f t="shared" si="8"/>
        <v xml:space="preserve">Menunggu coder</v>
      </c>
      <c r="BF59" s="21" t="str">
        <f t="shared" si="9"/>
        <v/>
      </c>
      <c r="BG59" s="21" t="str">
        <f t="shared" si="10"/>
        <v/>
      </c>
      <c r="BH59" s="21" t="str">
        <f t="shared" si="11"/>
        <v/>
      </c>
      <c r="BI59" s="21" t="str">
        <f t="shared" si="12"/>
        <v/>
      </c>
      <c r="BJ59" s="21" t="str">
        <f t="shared" si="13"/>
        <v/>
      </c>
      <c r="BK59" s="8" t="s">
        <v>119</v>
      </c>
    </row>
    <row r="60" ht="48" customHeight="1">
      <c r="A60" s="20">
        <v>57</v>
      </c>
      <c r="B60" s="21" t="str">
        <f>IF(INDEX(Korpus!$A:$A,$A60)="","",INDEX(Korpus!$A:$A,$A60))</f>
        <v xml:space="preserve">UU 27 Thn 2022 (PDP)</v>
      </c>
      <c r="C60" s="21" t="str">
        <f>TRIM(INDEX(Korpus!$D:$D,$A60)&amp;" "&amp;INDEX(Korpus!$E:$E,$A60))</f>
        <v xml:space="preserve">Pasal 30</v>
      </c>
      <c r="D60" s="21" t="str">
        <f>IF(INDEX(Korpus!$B:$B,$A60)="","",INDEX(Korpus!$B:$B,$A60))</f>
        <v xml:space="preserve">BAB VI
KEWAJIBAN PENGENDALI DATA PRIBADI DAN PROSESOR DATA PRIBADI DALAM PEMROSESAN DATA PRIBADI</v>
      </c>
      <c r="E60" s="21" t="str">
        <f>IF(INDEX(Korpus!$C:$C,$A60)="","",INDEX(Korpus!$C:$C,$A60))</f>
        <v xml:space="preserve">Bagian Kedua Kewajiban Pengendali Data Pribadi</v>
      </c>
      <c r="F60" s="21" t="str">
        <f>IF(INDEX(Korpus!$F:$F,$A60)="","",INDEX(Korpus!$F:$F,$A60))</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G60" s="22"/>
      <c r="H60" s="22"/>
      <c r="I60" s="22"/>
      <c r="J60" s="22"/>
      <c r="K60" s="22"/>
      <c r="L60" s="22"/>
      <c r="M60" s="23"/>
      <c r="N60" s="23"/>
      <c r="O60" s="23"/>
      <c r="P60" s="23"/>
      <c r="Q60" s="23"/>
      <c r="R60" s="23"/>
      <c r="S60" s="24"/>
      <c r="T60" s="24"/>
      <c r="U60" s="24"/>
      <c r="V60" s="24"/>
      <c r="W60" s="24"/>
      <c r="X60" s="24"/>
      <c r="Y60" s="25"/>
      <c r="Z60" s="25"/>
      <c r="AA60" s="25"/>
      <c r="AB60" s="25"/>
      <c r="AC60" s="25"/>
      <c r="AD60" s="25"/>
      <c r="AE60" s="26"/>
      <c r="AF60" s="26"/>
      <c r="AG60" s="26"/>
      <c r="AH60" s="26"/>
      <c r="AI60" s="26"/>
      <c r="AJ60" s="26"/>
      <c r="AK60" s="20" t="str">
        <f>IF(Hitung!B60&lt;$E$1,"",IF(Hitung!C60&gt;0,"Beda","Sama"))</f>
        <v/>
      </c>
      <c r="AL60" s="20" t="str">
        <f>IF(Hitung!D60&lt;$E$1,"",IF(Hitung!E60&gt;0,"Beda","Sama"))</f>
        <v/>
      </c>
      <c r="AM60" s="20" t="str">
        <f>IF(Hitung!F60&lt;$E$1,"",IF(Hitung!G60&gt;0,"Beda","Sama"))</f>
        <v/>
      </c>
      <c r="AN60" s="20" t="str">
        <f>IF(Hitung!H60&lt;$E$1,"",IF(Hitung!I60&gt;0,"Beda","Sama"))</f>
        <v/>
      </c>
      <c r="AO60" s="20" t="str">
        <f>IF(Hitung!J60&lt;$E$1,"",IF(Hitung!K60&gt;0,"Beda","Sama"))</f>
        <v/>
      </c>
      <c r="AP60" s="20" t="str">
        <f>IF(Hitung!L60&lt;$E$1,"",IF(Hitung!M60&gt;0,"Beda","Sama"))</f>
        <v/>
      </c>
      <c r="AQ60" s="20">
        <f t="shared" si="7"/>
        <v>0</v>
      </c>
      <c r="AR60" s="27"/>
      <c r="AS60" s="27"/>
      <c r="AT60" s="27"/>
      <c r="AU60" s="27"/>
      <c r="AV60" s="27"/>
      <c r="AW60" s="27"/>
      <c r="AX60" s="28" t="str">
        <f>IF(AR60&lt;&gt;"",AR60,IF(AND(Hitung!B60=$E$1,Hitung!C60=0),M60,""))</f>
        <v/>
      </c>
      <c r="AY60" s="28" t="str">
        <f>IF(AS60&lt;&gt;"",AS60,IF(AND(Hitung!D60=$E$1,Hitung!E60=0),N60,""))</f>
        <v/>
      </c>
      <c r="AZ60" s="28" t="str">
        <f>IF(AT60&lt;&gt;"",AT60,IF(AND(Hitung!F60=$E$1,Hitung!G60=0),O60,""))</f>
        <v/>
      </c>
      <c r="BA60" s="28" t="str">
        <f>IF(AU60&lt;&gt;"",AU60,IF(AND(Hitung!H60=$E$1,Hitung!I60=0),P60,""))</f>
        <v/>
      </c>
      <c r="BB60" s="28" t="str">
        <f>IF(AV60&lt;&gt;"",AV60,IF(AND(Hitung!J60=$E$1,Hitung!K60=0),Q60,""))</f>
        <v/>
      </c>
      <c r="BC60" s="28" t="str">
        <f>IF(AW60&lt;&gt;"",AW60,IF(AND(Hitung!L60=$E$1,Hitung!M60=0),R60,""))</f>
        <v/>
      </c>
      <c r="BD60" s="29"/>
      <c r="BE60" s="20" t="str">
        <f t="shared" si="8"/>
        <v xml:space="preserve">Menunggu coder</v>
      </c>
      <c r="BF60" s="21" t="str">
        <f t="shared" si="9"/>
        <v/>
      </c>
      <c r="BG60" s="21" t="str">
        <f t="shared" si="10"/>
        <v/>
      </c>
      <c r="BH60" s="21" t="str">
        <f t="shared" si="11"/>
        <v/>
      </c>
      <c r="BI60" s="21" t="str">
        <f t="shared" si="12"/>
        <v/>
      </c>
      <c r="BJ60" s="21" t="str">
        <f t="shared" si="13"/>
        <v/>
      </c>
    </row>
    <row r="61" ht="48" customHeight="1">
      <c r="A61" s="20">
        <v>58</v>
      </c>
      <c r="B61" s="21" t="str">
        <f>IF(INDEX(Korpus!$A:$A,$A61)="","",INDEX(Korpus!$A:$A,$A61))</f>
        <v xml:space="preserve">UU 27 Thn 2022 (PDP)</v>
      </c>
      <c r="C61" s="21" t="str">
        <f>TRIM(INDEX(Korpus!$D:$D,$A61)&amp;" "&amp;INDEX(Korpus!$E:$E,$A61))</f>
        <v xml:space="preserve">Pasal 31</v>
      </c>
      <c r="D61" s="21" t="str">
        <f>IF(INDEX(Korpus!$B:$B,$A61)="","",INDEX(Korpus!$B:$B,$A61))</f>
        <v xml:space="preserve">BAB VI
KEWAJIBAN PENGENDALI DATA PRIBADI DAN PROSESOR DATA PRIBADI DALAM PEMROSESAN DATA PRIBADI</v>
      </c>
      <c r="E61" s="21" t="str">
        <f>IF(INDEX(Korpus!$C:$C,$A61)="","",INDEX(Korpus!$C:$C,$A61))</f>
        <v xml:space="preserve">Bagian Kedua Kewajiban Pengendali Data Pribadi</v>
      </c>
      <c r="F61" s="21" t="str">
        <f>IF(INDEX(Korpus!$F:$F,$A61)="","",INDEX(Korpus!$F:$F,$A61))</f>
        <v xml:space="preserve">Pengendali Data Pribadi wajib melakukan perekaman terhadap seluruh kegiatan pemrosesan Data Pribadi.</v>
      </c>
      <c r="G61" s="22"/>
      <c r="H61" s="22"/>
      <c r="I61" s="22"/>
      <c r="J61" s="22"/>
      <c r="K61" s="22"/>
      <c r="L61" s="22"/>
      <c r="M61" s="23"/>
      <c r="N61" s="23"/>
      <c r="O61" s="23"/>
      <c r="P61" s="23"/>
      <c r="Q61" s="23"/>
      <c r="R61" s="23"/>
      <c r="S61" s="24"/>
      <c r="T61" s="24"/>
      <c r="U61" s="24"/>
      <c r="V61" s="24"/>
      <c r="W61" s="24"/>
      <c r="X61" s="24"/>
      <c r="Y61" s="25"/>
      <c r="Z61" s="25"/>
      <c r="AA61" s="25"/>
      <c r="AB61" s="25"/>
      <c r="AC61" s="25"/>
      <c r="AD61" s="25"/>
      <c r="AE61" s="26"/>
      <c r="AF61" s="26"/>
      <c r="AG61" s="26"/>
      <c r="AH61" s="26"/>
      <c r="AI61" s="26"/>
      <c r="AJ61" s="26"/>
      <c r="AK61" s="20" t="str">
        <f>IF(Hitung!B61&lt;$E$1,"",IF(Hitung!C61&gt;0,"Beda","Sama"))</f>
        <v/>
      </c>
      <c r="AL61" s="20" t="str">
        <f>IF(Hitung!D61&lt;$E$1,"",IF(Hitung!E61&gt;0,"Beda","Sama"))</f>
        <v/>
      </c>
      <c r="AM61" s="20" t="str">
        <f>IF(Hitung!F61&lt;$E$1,"",IF(Hitung!G61&gt;0,"Beda","Sama"))</f>
        <v/>
      </c>
      <c r="AN61" s="20" t="str">
        <f>IF(Hitung!H61&lt;$E$1,"",IF(Hitung!I61&gt;0,"Beda","Sama"))</f>
        <v/>
      </c>
      <c r="AO61" s="20" t="str">
        <f>IF(Hitung!J61&lt;$E$1,"",IF(Hitung!K61&gt;0,"Beda","Sama"))</f>
        <v/>
      </c>
      <c r="AP61" s="20" t="str">
        <f>IF(Hitung!L61&lt;$E$1,"",IF(Hitung!M61&gt;0,"Beda","Sama"))</f>
        <v/>
      </c>
      <c r="AQ61" s="20">
        <f t="shared" si="7"/>
        <v>0</v>
      </c>
      <c r="AR61" s="27"/>
      <c r="AS61" s="27"/>
      <c r="AT61" s="27"/>
      <c r="AU61" s="27"/>
      <c r="AV61" s="27"/>
      <c r="AW61" s="27"/>
      <c r="AX61" s="28" t="str">
        <f>IF(AR61&lt;&gt;"",AR61,IF(AND(Hitung!B61=$E$1,Hitung!C61=0),M61,""))</f>
        <v/>
      </c>
      <c r="AY61" s="28" t="str">
        <f>IF(AS61&lt;&gt;"",AS61,IF(AND(Hitung!D61=$E$1,Hitung!E61=0),N61,""))</f>
        <v/>
      </c>
      <c r="AZ61" s="28" t="str">
        <f>IF(AT61&lt;&gt;"",AT61,IF(AND(Hitung!F61=$E$1,Hitung!G61=0),O61,""))</f>
        <v/>
      </c>
      <c r="BA61" s="28" t="str">
        <f>IF(AU61&lt;&gt;"",AU61,IF(AND(Hitung!H61=$E$1,Hitung!I61=0),P61,""))</f>
        <v/>
      </c>
      <c r="BB61" s="28" t="str">
        <f>IF(AV61&lt;&gt;"",AV61,IF(AND(Hitung!J61=$E$1,Hitung!K61=0),Q61,""))</f>
        <v/>
      </c>
      <c r="BC61" s="28" t="str">
        <f>IF(AW61&lt;&gt;"",AW61,IF(AND(Hitung!L61=$E$1,Hitung!M61=0),R61,""))</f>
        <v/>
      </c>
      <c r="BD61" s="29"/>
      <c r="BE61" s="20" t="str">
        <f t="shared" si="8"/>
        <v xml:space="preserve">Menunggu coder</v>
      </c>
      <c r="BF61" s="21" t="str">
        <f t="shared" si="9"/>
        <v/>
      </c>
      <c r="BG61" s="21" t="str">
        <f t="shared" si="10"/>
        <v/>
      </c>
      <c r="BH61" s="21" t="str">
        <f t="shared" si="11"/>
        <v/>
      </c>
      <c r="BI61" s="21" t="str">
        <f t="shared" si="12"/>
        <v/>
      </c>
      <c r="BJ61" s="21" t="str">
        <f t="shared" si="13"/>
        <v/>
      </c>
    </row>
    <row r="62" ht="48" customHeight="1">
      <c r="A62" s="20">
        <v>59</v>
      </c>
      <c r="B62" s="21" t="str">
        <f>IF(INDEX(Korpus!$A:$A,$A62)="","",INDEX(Korpus!$A:$A,$A62))</f>
        <v xml:space="preserve">UU 27 Thn 2022 (PDP)</v>
      </c>
      <c r="C62" s="21" t="str">
        <f>TRIM(INDEX(Korpus!$D:$D,$A62)&amp;" "&amp;INDEX(Korpus!$E:$E,$A62))</f>
        <v xml:space="preserve">Pasal 32</v>
      </c>
      <c r="D62" s="21" t="str">
        <f>IF(INDEX(Korpus!$B:$B,$A62)="","",INDEX(Korpus!$B:$B,$A62))</f>
        <v xml:space="preserve">BAB VI
KEWAJIBAN PENGENDALI DATA PRIBADI DAN PROSESOR DATA PRIBADI DALAM PEMROSESAN DATA PRIBADI</v>
      </c>
      <c r="E62" s="21" t="str">
        <f>IF(INDEX(Korpus!$C:$C,$A62)="","",INDEX(Korpus!$C:$C,$A62))</f>
        <v xml:space="preserve">Bagian Kedua Kewajiban Pengendali Data Pribadi</v>
      </c>
      <c r="F62" s="21" t="str">
        <f>IF(INDEX(Korpus!$F:$F,$A62)="","",INDEX(Korpus!$F:$F,$A62))</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G62" s="22"/>
      <c r="H62" s="22"/>
      <c r="I62" s="22"/>
      <c r="J62" s="22"/>
      <c r="K62" s="22"/>
      <c r="L62" s="22"/>
      <c r="M62" s="23"/>
      <c r="N62" s="23"/>
      <c r="O62" s="23"/>
      <c r="P62" s="23"/>
      <c r="Q62" s="23"/>
      <c r="R62" s="23"/>
      <c r="S62" s="24"/>
      <c r="T62" s="24"/>
      <c r="U62" s="24"/>
      <c r="V62" s="24"/>
      <c r="W62" s="24"/>
      <c r="X62" s="24"/>
      <c r="Y62" s="25"/>
      <c r="Z62" s="25"/>
      <c r="AA62" s="25"/>
      <c r="AB62" s="25"/>
      <c r="AC62" s="25"/>
      <c r="AD62" s="25"/>
      <c r="AE62" s="26"/>
      <c r="AF62" s="26"/>
      <c r="AG62" s="26"/>
      <c r="AH62" s="26"/>
      <c r="AI62" s="26"/>
      <c r="AJ62" s="26"/>
      <c r="AK62" s="20" t="str">
        <f>IF(Hitung!B62&lt;$E$1,"",IF(Hitung!C62&gt;0,"Beda","Sama"))</f>
        <v/>
      </c>
      <c r="AL62" s="20" t="str">
        <f>IF(Hitung!D62&lt;$E$1,"",IF(Hitung!E62&gt;0,"Beda","Sama"))</f>
        <v/>
      </c>
      <c r="AM62" s="20" t="str">
        <f>IF(Hitung!F62&lt;$E$1,"",IF(Hitung!G62&gt;0,"Beda","Sama"))</f>
        <v/>
      </c>
      <c r="AN62" s="20" t="str">
        <f>IF(Hitung!H62&lt;$E$1,"",IF(Hitung!I62&gt;0,"Beda","Sama"))</f>
        <v/>
      </c>
      <c r="AO62" s="20" t="str">
        <f>IF(Hitung!J62&lt;$E$1,"",IF(Hitung!K62&gt;0,"Beda","Sama"))</f>
        <v/>
      </c>
      <c r="AP62" s="20" t="str">
        <f>IF(Hitung!L62&lt;$E$1,"",IF(Hitung!M62&gt;0,"Beda","Sama"))</f>
        <v/>
      </c>
      <c r="AQ62" s="20">
        <f t="shared" si="7"/>
        <v>0</v>
      </c>
      <c r="AR62" s="27"/>
      <c r="AS62" s="27"/>
      <c r="AT62" s="27"/>
      <c r="AU62" s="27"/>
      <c r="AV62" s="27"/>
      <c r="AW62" s="27"/>
      <c r="AX62" s="28" t="str">
        <f>IF(AR62&lt;&gt;"",AR62,IF(AND(Hitung!B62=$E$1,Hitung!C62=0),M62,""))</f>
        <v/>
      </c>
      <c r="AY62" s="28" t="str">
        <f>IF(AS62&lt;&gt;"",AS62,IF(AND(Hitung!D62=$E$1,Hitung!E62=0),N62,""))</f>
        <v/>
      </c>
      <c r="AZ62" s="28" t="str">
        <f>IF(AT62&lt;&gt;"",AT62,IF(AND(Hitung!F62=$E$1,Hitung!G62=0),O62,""))</f>
        <v/>
      </c>
      <c r="BA62" s="28" t="str">
        <f>IF(AU62&lt;&gt;"",AU62,IF(AND(Hitung!H62=$E$1,Hitung!I62=0),P62,""))</f>
        <v/>
      </c>
      <c r="BB62" s="28" t="str">
        <f>IF(AV62&lt;&gt;"",AV62,IF(AND(Hitung!J62=$E$1,Hitung!K62=0),Q62,""))</f>
        <v/>
      </c>
      <c r="BC62" s="28" t="str">
        <f>IF(AW62&lt;&gt;"",AW62,IF(AND(Hitung!L62=$E$1,Hitung!M62=0),R62,""))</f>
        <v/>
      </c>
      <c r="BD62" s="29"/>
      <c r="BE62" s="20" t="str">
        <f t="shared" si="8"/>
        <v xml:space="preserve">Menunggu coder</v>
      </c>
      <c r="BF62" s="21" t="str">
        <f t="shared" si="9"/>
        <v/>
      </c>
      <c r="BG62" s="21" t="str">
        <f t="shared" si="10"/>
        <v/>
      </c>
      <c r="BH62" s="21" t="str">
        <f t="shared" si="11"/>
        <v/>
      </c>
      <c r="BI62" s="21" t="str">
        <f t="shared" si="12"/>
        <v/>
      </c>
      <c r="BJ62" s="21" t="str">
        <f t="shared" si="13"/>
        <v/>
      </c>
    </row>
    <row r="63" ht="48" customHeight="1">
      <c r="A63" s="20">
        <v>60</v>
      </c>
      <c r="B63" s="21" t="str">
        <f>IF(INDEX(Korpus!$A:$A,$A63)="","",INDEX(Korpus!$A:$A,$A63))</f>
        <v xml:space="preserve">UU 27 Thn 2022 (PDP)</v>
      </c>
      <c r="C63" s="21" t="str">
        <f>TRIM(INDEX(Korpus!$D:$D,$A63)&amp;" "&amp;INDEX(Korpus!$E:$E,$A63))</f>
        <v xml:space="preserve">Pasal 33</v>
      </c>
      <c r="D63" s="21" t="str">
        <f>IF(INDEX(Korpus!$B:$B,$A63)="","",INDEX(Korpus!$B:$B,$A63))</f>
        <v xml:space="preserve">BAB VI
KEWAJIBAN PENGENDALI DATA PRIBADI DAN PROSESOR DATA PRIBADI DALAM PEMROSESAN DATA PRIBADI</v>
      </c>
      <c r="E63" s="21" t="str">
        <f>IF(INDEX(Korpus!$C:$C,$A63)="","",INDEX(Korpus!$C:$C,$A63))</f>
        <v xml:space="preserve">Bagian Kedua Kewajiban Pengendali Data Pribadi</v>
      </c>
      <c r="F63" s="21" t="str">
        <f>IF(INDEX(Korpus!$F:$F,$A63)="","",INDEX(Korpus!$F:$F,$A63))</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G63" s="22"/>
      <c r="H63" s="22"/>
      <c r="I63" s="22"/>
      <c r="J63" s="22"/>
      <c r="K63" s="22"/>
      <c r="L63" s="22"/>
      <c r="M63" s="23"/>
      <c r="N63" s="23"/>
      <c r="O63" s="23"/>
      <c r="P63" s="23"/>
      <c r="Q63" s="23"/>
      <c r="R63" s="23"/>
      <c r="S63" s="24"/>
      <c r="T63" s="24"/>
      <c r="U63" s="24"/>
      <c r="V63" s="24"/>
      <c r="W63" s="24"/>
      <c r="X63" s="24"/>
      <c r="Y63" s="25"/>
      <c r="Z63" s="25"/>
      <c r="AA63" s="25"/>
      <c r="AB63" s="25"/>
      <c r="AC63" s="25"/>
      <c r="AD63" s="25"/>
      <c r="AE63" s="26"/>
      <c r="AF63" s="26"/>
      <c r="AG63" s="26"/>
      <c r="AH63" s="26"/>
      <c r="AI63" s="26"/>
      <c r="AJ63" s="26"/>
      <c r="AK63" s="20" t="str">
        <f>IF(Hitung!B63&lt;$E$1,"",IF(Hitung!C63&gt;0,"Beda","Sama"))</f>
        <v/>
      </c>
      <c r="AL63" s="20" t="str">
        <f>IF(Hitung!D63&lt;$E$1,"",IF(Hitung!E63&gt;0,"Beda","Sama"))</f>
        <v/>
      </c>
      <c r="AM63" s="20" t="str">
        <f>IF(Hitung!F63&lt;$E$1,"",IF(Hitung!G63&gt;0,"Beda","Sama"))</f>
        <v/>
      </c>
      <c r="AN63" s="20" t="str">
        <f>IF(Hitung!H63&lt;$E$1,"",IF(Hitung!I63&gt;0,"Beda","Sama"))</f>
        <v/>
      </c>
      <c r="AO63" s="20" t="str">
        <f>IF(Hitung!J63&lt;$E$1,"",IF(Hitung!K63&gt;0,"Beda","Sama"))</f>
        <v/>
      </c>
      <c r="AP63" s="20" t="str">
        <f>IF(Hitung!L63&lt;$E$1,"",IF(Hitung!M63&gt;0,"Beda","Sama"))</f>
        <v/>
      </c>
      <c r="AQ63" s="20">
        <f t="shared" si="7"/>
        <v>0</v>
      </c>
      <c r="AR63" s="27"/>
      <c r="AS63" s="27"/>
      <c r="AT63" s="27"/>
      <c r="AU63" s="27"/>
      <c r="AV63" s="27"/>
      <c r="AW63" s="27"/>
      <c r="AX63" s="28" t="str">
        <f>IF(AR63&lt;&gt;"",AR63,IF(AND(Hitung!B63=$E$1,Hitung!C63=0),M63,""))</f>
        <v/>
      </c>
      <c r="AY63" s="28" t="str">
        <f>IF(AS63&lt;&gt;"",AS63,IF(AND(Hitung!D63=$E$1,Hitung!E63=0),N63,""))</f>
        <v/>
      </c>
      <c r="AZ63" s="28" t="str">
        <f>IF(AT63&lt;&gt;"",AT63,IF(AND(Hitung!F63=$E$1,Hitung!G63=0),O63,""))</f>
        <v/>
      </c>
      <c r="BA63" s="28" t="str">
        <f>IF(AU63&lt;&gt;"",AU63,IF(AND(Hitung!H63=$E$1,Hitung!I63=0),P63,""))</f>
        <v/>
      </c>
      <c r="BB63" s="28" t="str">
        <f>IF(AV63&lt;&gt;"",AV63,IF(AND(Hitung!J63=$E$1,Hitung!K63=0),Q63,""))</f>
        <v/>
      </c>
      <c r="BC63" s="28" t="str">
        <f>IF(AW63&lt;&gt;"",AW63,IF(AND(Hitung!L63=$E$1,Hitung!M63=0),R63,""))</f>
        <v/>
      </c>
      <c r="BD63" s="29"/>
      <c r="BE63" s="20" t="str">
        <f t="shared" si="8"/>
        <v xml:space="preserve">Menunggu coder</v>
      </c>
      <c r="BF63" s="21" t="str">
        <f t="shared" si="9"/>
        <v/>
      </c>
      <c r="BG63" s="21" t="str">
        <f t="shared" si="10"/>
        <v/>
      </c>
      <c r="BH63" s="21" t="str">
        <f t="shared" si="11"/>
        <v/>
      </c>
      <c r="BI63" s="21" t="str">
        <f t="shared" si="12"/>
        <v/>
      </c>
      <c r="BJ63" s="21" t="str">
        <f t="shared" si="13"/>
        <v/>
      </c>
    </row>
    <row r="64" ht="48" customHeight="1">
      <c r="A64" s="20">
        <v>61</v>
      </c>
      <c r="B64" s="21" t="str">
        <f>IF(INDEX(Korpus!$A:$A,$A64)="","",INDEX(Korpus!$A:$A,$A64))</f>
        <v xml:space="preserve">UU 27 Thn 2022 (PDP)</v>
      </c>
      <c r="C64" s="21" t="str">
        <f>TRIM(INDEX(Korpus!$D:$D,$A64)&amp;" "&amp;INDEX(Korpus!$E:$E,$A64))</f>
        <v xml:space="preserve">Pasal 34</v>
      </c>
      <c r="D64" s="21" t="str">
        <f>IF(INDEX(Korpus!$B:$B,$A64)="","",INDEX(Korpus!$B:$B,$A64))</f>
        <v xml:space="preserve">BAB VI
KEWAJIBAN PENGENDALI DATA PRIBADI DAN PROSESOR DATA PRIBADI DALAM PEMROSESAN DATA PRIBADI</v>
      </c>
      <c r="E64" s="21" t="str">
        <f>IF(INDEX(Korpus!$C:$C,$A64)="","",INDEX(Korpus!$C:$C,$A64))</f>
        <v xml:space="preserve">Bagian Kedua
Kewajiban Pengendali Data Pribadi</v>
      </c>
      <c r="F64" s="21" t="str">
        <f>IF(INDEX(Korpus!$F:$F,$A64)="","",INDEX(Korpus!$F:$F,$A64))</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G64" s="22"/>
      <c r="H64" s="22"/>
      <c r="I64" s="22"/>
      <c r="J64" s="22"/>
      <c r="K64" s="22"/>
      <c r="L64" s="22"/>
      <c r="M64" s="23"/>
      <c r="N64" s="23"/>
      <c r="O64" s="23"/>
      <c r="P64" s="23"/>
      <c r="Q64" s="23"/>
      <c r="R64" s="23"/>
      <c r="S64" s="24"/>
      <c r="T64" s="24"/>
      <c r="U64" s="24"/>
      <c r="V64" s="24"/>
      <c r="W64" s="24"/>
      <c r="X64" s="24"/>
      <c r="Y64" s="25"/>
      <c r="Z64" s="25"/>
      <c r="AA64" s="25"/>
      <c r="AB64" s="25"/>
      <c r="AC64" s="25"/>
      <c r="AD64" s="25"/>
      <c r="AE64" s="26"/>
      <c r="AF64" s="26"/>
      <c r="AG64" s="26"/>
      <c r="AH64" s="26"/>
      <c r="AI64" s="26"/>
      <c r="AJ64" s="26"/>
      <c r="AK64" s="20" t="str">
        <f>IF(Hitung!B64&lt;$E$1,"",IF(Hitung!C64&gt;0,"Beda","Sama"))</f>
        <v/>
      </c>
      <c r="AL64" s="20" t="str">
        <f>IF(Hitung!D64&lt;$E$1,"",IF(Hitung!E64&gt;0,"Beda","Sama"))</f>
        <v/>
      </c>
      <c r="AM64" s="20" t="str">
        <f>IF(Hitung!F64&lt;$E$1,"",IF(Hitung!G64&gt;0,"Beda","Sama"))</f>
        <v/>
      </c>
      <c r="AN64" s="20" t="str">
        <f>IF(Hitung!H64&lt;$E$1,"",IF(Hitung!I64&gt;0,"Beda","Sama"))</f>
        <v/>
      </c>
      <c r="AO64" s="20" t="str">
        <f>IF(Hitung!J64&lt;$E$1,"",IF(Hitung!K64&gt;0,"Beda","Sama"))</f>
        <v/>
      </c>
      <c r="AP64" s="20" t="str">
        <f>IF(Hitung!L64&lt;$E$1,"",IF(Hitung!M64&gt;0,"Beda","Sama"))</f>
        <v/>
      </c>
      <c r="AQ64" s="20">
        <f t="shared" si="7"/>
        <v>0</v>
      </c>
      <c r="AR64" s="27"/>
      <c r="AS64" s="27"/>
      <c r="AT64" s="27"/>
      <c r="AU64" s="27"/>
      <c r="AV64" s="27"/>
      <c r="AW64" s="27"/>
      <c r="AX64" s="28" t="str">
        <f>IF(AR64&lt;&gt;"",AR64,IF(AND(Hitung!B64=$E$1,Hitung!C64=0),M64,""))</f>
        <v/>
      </c>
      <c r="AY64" s="28" t="str">
        <f>IF(AS64&lt;&gt;"",AS64,IF(AND(Hitung!D64=$E$1,Hitung!E64=0),N64,""))</f>
        <v/>
      </c>
      <c r="AZ64" s="28" t="str">
        <f>IF(AT64&lt;&gt;"",AT64,IF(AND(Hitung!F64=$E$1,Hitung!G64=0),O64,""))</f>
        <v/>
      </c>
      <c r="BA64" s="28" t="str">
        <f>IF(AU64&lt;&gt;"",AU64,IF(AND(Hitung!H64=$E$1,Hitung!I64=0),P64,""))</f>
        <v/>
      </c>
      <c r="BB64" s="28" t="str">
        <f>IF(AV64&lt;&gt;"",AV64,IF(AND(Hitung!J64=$E$1,Hitung!K64=0),Q64,""))</f>
        <v/>
      </c>
      <c r="BC64" s="28" t="str">
        <f>IF(AW64&lt;&gt;"",AW64,IF(AND(Hitung!L64=$E$1,Hitung!M64=0),R64,""))</f>
        <v/>
      </c>
      <c r="BD64" s="29"/>
      <c r="BE64" s="20" t="str">
        <f t="shared" si="8"/>
        <v xml:space="preserve">Menunggu coder</v>
      </c>
      <c r="BF64" s="21" t="str">
        <f t="shared" si="9"/>
        <v/>
      </c>
      <c r="BG64" s="21" t="str">
        <f t="shared" si="10"/>
        <v/>
      </c>
      <c r="BH64" s="21" t="str">
        <f t="shared" si="11"/>
        <v/>
      </c>
      <c r="BI64" s="21" t="str">
        <f t="shared" si="12"/>
        <v/>
      </c>
      <c r="BJ64" s="21" t="str">
        <f t="shared" si="13"/>
        <v/>
      </c>
    </row>
    <row r="65" ht="48" customHeight="1">
      <c r="A65" s="20">
        <v>62</v>
      </c>
      <c r="B65" s="21" t="str">
        <f>IF(INDEX(Korpus!$A:$A,$A65)="","",INDEX(Korpus!$A:$A,$A65))</f>
        <v xml:space="preserve">UU 27 Thn 2022 (PDP)</v>
      </c>
      <c r="C65" s="21" t="str">
        <f>TRIM(INDEX(Korpus!$D:$D,$A65)&amp;" "&amp;INDEX(Korpus!$E:$E,$A65))</f>
        <v xml:space="preserve">Pasal 35</v>
      </c>
      <c r="D65" s="21" t="str">
        <f>IF(INDEX(Korpus!$B:$B,$A65)="","",INDEX(Korpus!$B:$B,$A65))</f>
        <v xml:space="preserve">BAB VI
KEWAJIBAN PENGENDALI DATA PRIBADI DAN PROSESOR DATA PRIBADI DALAM PEMROSESAN DATA PRIBADI</v>
      </c>
      <c r="E65" s="21" t="str">
        <f>IF(INDEX(Korpus!$C:$C,$A65)="","",INDEX(Korpus!$C:$C,$A65))</f>
        <v xml:space="preserve">Bagian Kedua
Kewajiban Pengendali Data Pribadi</v>
      </c>
      <c r="F65" s="21" t="str">
        <f>IF(INDEX(Korpus!$F:$F,$A65)="","",INDEX(Korpus!$F:$F,$A65))</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G65" s="22" t="s">
        <v>131</v>
      </c>
      <c r="H65" s="22" t="s">
        <v>111</v>
      </c>
      <c r="I65" s="22" t="s">
        <v>129</v>
      </c>
      <c r="J65" s="22" t="s">
        <v>128</v>
      </c>
      <c r="K65" s="22" t="s">
        <v>114</v>
      </c>
      <c r="L65" s="22" t="s">
        <v>125</v>
      </c>
      <c r="M65" s="23" t="s">
        <v>131</v>
      </c>
      <c r="N65" s="23" t="s">
        <v>111</v>
      </c>
      <c r="O65" s="23" t="s">
        <v>129</v>
      </c>
      <c r="P65" s="23" t="s">
        <v>128</v>
      </c>
      <c r="Q65" s="23" t="s">
        <v>134</v>
      </c>
      <c r="R65" s="23" t="s">
        <v>118</v>
      </c>
      <c r="S65" s="24"/>
      <c r="T65" s="24"/>
      <c r="U65" s="24"/>
      <c r="V65" s="24"/>
      <c r="W65" s="24"/>
      <c r="X65" s="24"/>
      <c r="Y65" s="25"/>
      <c r="Z65" s="25"/>
      <c r="AA65" s="25"/>
      <c r="AB65" s="25"/>
      <c r="AC65" s="25"/>
      <c r="AD65" s="25"/>
      <c r="AE65" s="26"/>
      <c r="AF65" s="26"/>
      <c r="AG65" s="26"/>
      <c r="AH65" s="26"/>
      <c r="AI65" s="26"/>
      <c r="AJ65" s="26"/>
      <c r="AK65" s="20" t="str">
        <f>IF(Hitung!B65&lt;$E$1,"",IF(Hitung!C65&gt;0,"Beda","Sama"))</f>
        <v/>
      </c>
      <c r="AL65" s="20" t="str">
        <f>IF(Hitung!D65&lt;$E$1,"",IF(Hitung!E65&gt;0,"Beda","Sama"))</f>
        <v/>
      </c>
      <c r="AM65" s="20" t="str">
        <f>IF(Hitung!F65&lt;$E$1,"",IF(Hitung!G65&gt;0,"Beda","Sama"))</f>
        <v/>
      </c>
      <c r="AN65" s="20" t="str">
        <f>IF(Hitung!H65&lt;$E$1,"",IF(Hitung!I65&gt;0,"Beda","Sama"))</f>
        <v/>
      </c>
      <c r="AO65" s="20" t="str">
        <f>IF(Hitung!J65&lt;$E$1,"",IF(Hitung!K65&gt;0,"Beda","Sama"))</f>
        <v/>
      </c>
      <c r="AP65" s="20" t="str">
        <f>IF(Hitung!L65&lt;$E$1,"",IF(Hitung!M65&gt;0,"Beda","Sama"))</f>
        <v/>
      </c>
      <c r="AQ65" s="20">
        <f t="shared" si="7"/>
        <v>0</v>
      </c>
      <c r="AR65" s="27"/>
      <c r="AS65" s="27"/>
      <c r="AT65" s="27"/>
      <c r="AU65" s="27"/>
      <c r="AV65" s="27"/>
      <c r="AW65" s="27"/>
      <c r="AX65" s="28" t="str">
        <f>IF(AR65&lt;&gt;"",AR65,IF(AND(Hitung!B65=$E$1,Hitung!C65=0),M65,""))</f>
        <v/>
      </c>
      <c r="AY65" s="28" t="str">
        <f>IF(AS65&lt;&gt;"",AS65,IF(AND(Hitung!D65=$E$1,Hitung!E65=0),N65,""))</f>
        <v/>
      </c>
      <c r="AZ65" s="28" t="str">
        <f>IF(AT65&lt;&gt;"",AT65,IF(AND(Hitung!F65=$E$1,Hitung!G65=0),O65,""))</f>
        <v/>
      </c>
      <c r="BA65" s="28" t="str">
        <f>IF(AU65&lt;&gt;"",AU65,IF(AND(Hitung!H65=$E$1,Hitung!I65=0),P65,""))</f>
        <v/>
      </c>
      <c r="BB65" s="28" t="str">
        <f>IF(AV65&lt;&gt;"",AV65,IF(AND(Hitung!J65=$E$1,Hitung!K65=0),Q65,""))</f>
        <v/>
      </c>
      <c r="BC65" s="28" t="str">
        <f>IF(AW65&lt;&gt;"",AW65,IF(AND(Hitung!L65=$E$1,Hitung!M65=0),R65,""))</f>
        <v/>
      </c>
      <c r="BD65" s="29"/>
      <c r="BE65" s="20" t="str">
        <f t="shared" si="8"/>
        <v xml:space="preserve">Menunggu coder</v>
      </c>
      <c r="BF65" s="21" t="str">
        <f t="shared" si="9"/>
        <v/>
      </c>
      <c r="BG65" s="21" t="str">
        <f t="shared" si="10"/>
        <v xml:space="preserve">Tidak (4/6): V8 V9</v>
      </c>
      <c r="BH65" s="21" t="str">
        <f t="shared" si="11"/>
        <v xml:space="preserve">Belum lengkap</v>
      </c>
      <c r="BI65" s="21" t="str">
        <f t="shared" si="12"/>
        <v/>
      </c>
      <c r="BJ65" s="21" t="str">
        <f t="shared" si="13"/>
        <v/>
      </c>
      <c r="BK65" s="8" t="s">
        <v>116</v>
      </c>
    </row>
    <row r="66" ht="48" customHeight="1">
      <c r="A66" s="20">
        <v>63</v>
      </c>
      <c r="B66" s="21" t="str">
        <f>IF(INDEX(Korpus!$A:$A,$A66)="","",INDEX(Korpus!$A:$A,$A66))</f>
        <v xml:space="preserve">UU 27 Thn 2022 (PDP)</v>
      </c>
      <c r="C66" s="21" t="str">
        <f>TRIM(INDEX(Korpus!$D:$D,$A66)&amp;" "&amp;INDEX(Korpus!$E:$E,$A66))</f>
        <v xml:space="preserve">Pasal 36</v>
      </c>
      <c r="D66" s="21" t="str">
        <f>IF(INDEX(Korpus!$B:$B,$A66)="","",INDEX(Korpus!$B:$B,$A66))</f>
        <v xml:space="preserve">BAB VI
KEWAJIBAN PENGENDALI DATA PRIBADI DAN PROSESOR DATA PRIBADI DALAM PEMROSESAN DATA PRIBADI</v>
      </c>
      <c r="E66" s="21" t="str">
        <f>IF(INDEX(Korpus!$C:$C,$A66)="","",INDEX(Korpus!$C:$C,$A66))</f>
        <v xml:space="preserve">Bagian Kedua
Kewajiban Pengendali Data Pribadi</v>
      </c>
      <c r="F66" s="21" t="str">
        <f>IF(INDEX(Korpus!$F:$F,$A66)="","",INDEX(Korpus!$F:$F,$A66))</f>
        <v xml:space="preserve">Dalam melakukan pemrosesan Data Pribadi, Pengendali Data Pribadi wajib menjaga kerahasiaan Data Pribadi.</v>
      </c>
      <c r="G66" s="22"/>
      <c r="H66" s="22"/>
      <c r="I66" s="22"/>
      <c r="J66" s="22"/>
      <c r="K66" s="22"/>
      <c r="L66" s="22"/>
      <c r="M66" s="23"/>
      <c r="N66" s="23"/>
      <c r="O66" s="23"/>
      <c r="P66" s="23"/>
      <c r="Q66" s="23"/>
      <c r="R66" s="23"/>
      <c r="S66" s="24"/>
      <c r="T66" s="24"/>
      <c r="U66" s="24"/>
      <c r="V66" s="24"/>
      <c r="W66" s="24"/>
      <c r="X66" s="24"/>
      <c r="Y66" s="25"/>
      <c r="Z66" s="25"/>
      <c r="AA66" s="25"/>
      <c r="AB66" s="25"/>
      <c r="AC66" s="25"/>
      <c r="AD66" s="25"/>
      <c r="AE66" s="26"/>
      <c r="AF66" s="26"/>
      <c r="AG66" s="26"/>
      <c r="AH66" s="26"/>
      <c r="AI66" s="26"/>
      <c r="AJ66" s="26"/>
      <c r="AK66" s="20" t="str">
        <f>IF(Hitung!B66&lt;$E$1,"",IF(Hitung!C66&gt;0,"Beda","Sama"))</f>
        <v/>
      </c>
      <c r="AL66" s="20" t="str">
        <f>IF(Hitung!D66&lt;$E$1,"",IF(Hitung!E66&gt;0,"Beda","Sama"))</f>
        <v/>
      </c>
      <c r="AM66" s="20" t="str">
        <f>IF(Hitung!F66&lt;$E$1,"",IF(Hitung!G66&gt;0,"Beda","Sama"))</f>
        <v/>
      </c>
      <c r="AN66" s="20" t="str">
        <f>IF(Hitung!H66&lt;$E$1,"",IF(Hitung!I66&gt;0,"Beda","Sama"))</f>
        <v/>
      </c>
      <c r="AO66" s="20" t="str">
        <f>IF(Hitung!J66&lt;$E$1,"",IF(Hitung!K66&gt;0,"Beda","Sama"))</f>
        <v/>
      </c>
      <c r="AP66" s="20" t="str">
        <f>IF(Hitung!L66&lt;$E$1,"",IF(Hitung!M66&gt;0,"Beda","Sama"))</f>
        <v/>
      </c>
      <c r="AQ66" s="20">
        <f t="shared" si="7"/>
        <v>0</v>
      </c>
      <c r="AR66" s="27"/>
      <c r="AS66" s="27"/>
      <c r="AT66" s="27"/>
      <c r="AU66" s="27"/>
      <c r="AV66" s="27"/>
      <c r="AW66" s="27"/>
      <c r="AX66" s="28" t="str">
        <f>IF(AR66&lt;&gt;"",AR66,IF(AND(Hitung!B66=$E$1,Hitung!C66=0),M66,""))</f>
        <v/>
      </c>
      <c r="AY66" s="28" t="str">
        <f>IF(AS66&lt;&gt;"",AS66,IF(AND(Hitung!D66=$E$1,Hitung!E66=0),N66,""))</f>
        <v/>
      </c>
      <c r="AZ66" s="28" t="str">
        <f>IF(AT66&lt;&gt;"",AT66,IF(AND(Hitung!F66=$E$1,Hitung!G66=0),O66,""))</f>
        <v/>
      </c>
      <c r="BA66" s="28" t="str">
        <f>IF(AU66&lt;&gt;"",AU66,IF(AND(Hitung!H66=$E$1,Hitung!I66=0),P66,""))</f>
        <v/>
      </c>
      <c r="BB66" s="28" t="str">
        <f>IF(AV66&lt;&gt;"",AV66,IF(AND(Hitung!J66=$E$1,Hitung!K66=0),Q66,""))</f>
        <v/>
      </c>
      <c r="BC66" s="28" t="str">
        <f>IF(AW66&lt;&gt;"",AW66,IF(AND(Hitung!L66=$E$1,Hitung!M66=0),R66,""))</f>
        <v/>
      </c>
      <c r="BD66" s="29"/>
      <c r="BE66" s="20" t="str">
        <f t="shared" si="8"/>
        <v xml:space="preserve">Menunggu coder</v>
      </c>
      <c r="BF66" s="21" t="str">
        <f t="shared" si="9"/>
        <v/>
      </c>
      <c r="BG66" s="21" t="str">
        <f t="shared" si="10"/>
        <v/>
      </c>
      <c r="BH66" s="21" t="str">
        <f t="shared" si="11"/>
        <v/>
      </c>
      <c r="BI66" s="21" t="str">
        <f t="shared" si="12"/>
        <v/>
      </c>
      <c r="BJ66" s="21" t="str">
        <f t="shared" si="13"/>
        <v/>
      </c>
    </row>
    <row r="67" ht="48" customHeight="1">
      <c r="A67" s="20">
        <v>64</v>
      </c>
      <c r="B67" s="21" t="str">
        <f>IF(INDEX(Korpus!$A:$A,$A67)="","",INDEX(Korpus!$A:$A,$A67))</f>
        <v xml:space="preserve">UU 27 Thn 2022 (PDP)</v>
      </c>
      <c r="C67" s="21" t="str">
        <f>TRIM(INDEX(Korpus!$D:$D,$A67)&amp;" "&amp;INDEX(Korpus!$E:$E,$A67))</f>
        <v xml:space="preserve">Pasal 37</v>
      </c>
      <c r="D67" s="21" t="str">
        <f>IF(INDEX(Korpus!$B:$B,$A67)="","",INDEX(Korpus!$B:$B,$A67))</f>
        <v xml:space="preserve">BAB VI
KEWAJIBAN PENGENDALI DATA PRIBADI DAN PROSESOR DATA PRIBADI DALAM PEMROSESAN DATA PRIBADI</v>
      </c>
      <c r="E67" s="21" t="str">
        <f>IF(INDEX(Korpus!$C:$C,$A67)="","",INDEX(Korpus!$C:$C,$A67))</f>
        <v xml:space="preserve">Bagian Kedua
Kewajiban Pengendali Data Pribadi</v>
      </c>
      <c r="F67" s="21" t="str">
        <f>IF(INDEX(Korpus!$F:$F,$A67)="","",INDEX(Korpus!$F:$F,$A67))</f>
        <v xml:space="preserve">Pengendali Data Pribadi wajib melakukan pengawasan terhadap setiap pihak yang terlibat dalam pemrosesan Data Pribadi di bawah kendali Pengendali Data Pribadi.</v>
      </c>
      <c r="G67" s="22"/>
      <c r="H67" s="22"/>
      <c r="I67" s="22"/>
      <c r="J67" s="22"/>
      <c r="K67" s="22"/>
      <c r="L67" s="22"/>
      <c r="M67" s="23"/>
      <c r="N67" s="23"/>
      <c r="O67" s="23"/>
      <c r="P67" s="23"/>
      <c r="Q67" s="23"/>
      <c r="R67" s="23"/>
      <c r="S67" s="24"/>
      <c r="T67" s="24"/>
      <c r="U67" s="24"/>
      <c r="V67" s="24"/>
      <c r="W67" s="24"/>
      <c r="X67" s="24"/>
      <c r="Y67" s="25"/>
      <c r="Z67" s="25"/>
      <c r="AA67" s="25"/>
      <c r="AB67" s="25"/>
      <c r="AC67" s="25"/>
      <c r="AD67" s="25"/>
      <c r="AE67" s="26"/>
      <c r="AF67" s="26"/>
      <c r="AG67" s="26"/>
      <c r="AH67" s="26"/>
      <c r="AI67" s="26"/>
      <c r="AJ67" s="26"/>
      <c r="AK67" s="20" t="str">
        <f>IF(Hitung!B67&lt;$E$1,"",IF(Hitung!C67&gt;0,"Beda","Sama"))</f>
        <v/>
      </c>
      <c r="AL67" s="20" t="str">
        <f>IF(Hitung!D67&lt;$E$1,"",IF(Hitung!E67&gt;0,"Beda","Sama"))</f>
        <v/>
      </c>
      <c r="AM67" s="20" t="str">
        <f>IF(Hitung!F67&lt;$E$1,"",IF(Hitung!G67&gt;0,"Beda","Sama"))</f>
        <v/>
      </c>
      <c r="AN67" s="20" t="str">
        <f>IF(Hitung!H67&lt;$E$1,"",IF(Hitung!I67&gt;0,"Beda","Sama"))</f>
        <v/>
      </c>
      <c r="AO67" s="20" t="str">
        <f>IF(Hitung!J67&lt;$E$1,"",IF(Hitung!K67&gt;0,"Beda","Sama"))</f>
        <v/>
      </c>
      <c r="AP67" s="20" t="str">
        <f>IF(Hitung!L67&lt;$E$1,"",IF(Hitung!M67&gt;0,"Beda","Sama"))</f>
        <v/>
      </c>
      <c r="AQ67" s="20">
        <f t="shared" si="7"/>
        <v>0</v>
      </c>
      <c r="AR67" s="27"/>
      <c r="AS67" s="27"/>
      <c r="AT67" s="27"/>
      <c r="AU67" s="27"/>
      <c r="AV67" s="27"/>
      <c r="AW67" s="27"/>
      <c r="AX67" s="28" t="str">
        <f>IF(AR67&lt;&gt;"",AR67,IF(AND(Hitung!B67=$E$1,Hitung!C67=0),M67,""))</f>
        <v/>
      </c>
      <c r="AY67" s="28" t="str">
        <f>IF(AS67&lt;&gt;"",AS67,IF(AND(Hitung!D67=$E$1,Hitung!E67=0),N67,""))</f>
        <v/>
      </c>
      <c r="AZ67" s="28" t="str">
        <f>IF(AT67&lt;&gt;"",AT67,IF(AND(Hitung!F67=$E$1,Hitung!G67=0),O67,""))</f>
        <v/>
      </c>
      <c r="BA67" s="28" t="str">
        <f>IF(AU67&lt;&gt;"",AU67,IF(AND(Hitung!H67=$E$1,Hitung!I67=0),P67,""))</f>
        <v/>
      </c>
      <c r="BB67" s="28" t="str">
        <f>IF(AV67&lt;&gt;"",AV67,IF(AND(Hitung!J67=$E$1,Hitung!K67=0),Q67,""))</f>
        <v/>
      </c>
      <c r="BC67" s="28" t="str">
        <f>IF(AW67&lt;&gt;"",AW67,IF(AND(Hitung!L67=$E$1,Hitung!M67=0),R67,""))</f>
        <v/>
      </c>
      <c r="BD67" s="29"/>
      <c r="BE67" s="20" t="str">
        <f t="shared" si="8"/>
        <v xml:space="preserve">Menunggu coder</v>
      </c>
      <c r="BF67" s="21" t="str">
        <f t="shared" si="9"/>
        <v/>
      </c>
      <c r="BG67" s="21" t="str">
        <f t="shared" si="10"/>
        <v/>
      </c>
      <c r="BH67" s="21" t="str">
        <f t="shared" si="11"/>
        <v/>
      </c>
      <c r="BI67" s="21" t="str">
        <f t="shared" si="12"/>
        <v/>
      </c>
      <c r="BJ67" s="21" t="str">
        <f t="shared" si="13"/>
        <v/>
      </c>
    </row>
    <row r="68" ht="48" customHeight="1">
      <c r="A68" s="20">
        <v>65</v>
      </c>
      <c r="B68" s="21" t="str">
        <f>IF(INDEX(Korpus!$A:$A,$A68)="","",INDEX(Korpus!$A:$A,$A68))</f>
        <v xml:space="preserve">UU 27 Thn 2022 (PDP)</v>
      </c>
      <c r="C68" s="21" t="str">
        <f>TRIM(INDEX(Korpus!$D:$D,$A68)&amp;" "&amp;INDEX(Korpus!$E:$E,$A68))</f>
        <v xml:space="preserve">Pasal 38</v>
      </c>
      <c r="D68" s="21" t="str">
        <f>IF(INDEX(Korpus!$B:$B,$A68)="","",INDEX(Korpus!$B:$B,$A68))</f>
        <v xml:space="preserve">BAB VI
KEWAJIBAN PENGENDALI DATA PRIBADI DAN PROSESOR DATA PRIBADI DALAM PEMROSESAN DATA PRIBADI</v>
      </c>
      <c r="E68" s="21" t="str">
        <f>IF(INDEX(Korpus!$C:$C,$A68)="","",INDEX(Korpus!$C:$C,$A68))</f>
        <v xml:space="preserve">Bagian Kedua
Kewajiban Pengendali Data Pribadi</v>
      </c>
      <c r="F68" s="21" t="str">
        <f>IF(INDEX(Korpus!$F:$F,$A68)="","",INDEX(Korpus!$F:$F,$A68))</f>
        <v xml:space="preserve">Pengendali Data Pribadi wajib melindungi Data Pribadi dari pemrosesan yang tidak sah.</v>
      </c>
      <c r="G68" s="22"/>
      <c r="H68" s="22"/>
      <c r="I68" s="22"/>
      <c r="J68" s="22"/>
      <c r="K68" s="22"/>
      <c r="L68" s="22"/>
      <c r="M68" s="23"/>
      <c r="N68" s="23"/>
      <c r="O68" s="23"/>
      <c r="P68" s="23"/>
      <c r="Q68" s="23"/>
      <c r="R68" s="23"/>
      <c r="S68" s="24"/>
      <c r="T68" s="24"/>
      <c r="U68" s="24"/>
      <c r="V68" s="24"/>
      <c r="W68" s="24"/>
      <c r="X68" s="24"/>
      <c r="Y68" s="25"/>
      <c r="Z68" s="25"/>
      <c r="AA68" s="25"/>
      <c r="AB68" s="25"/>
      <c r="AC68" s="25"/>
      <c r="AD68" s="25"/>
      <c r="AE68" s="26"/>
      <c r="AF68" s="26"/>
      <c r="AG68" s="26"/>
      <c r="AH68" s="26"/>
      <c r="AI68" s="26"/>
      <c r="AJ68" s="26"/>
      <c r="AK68" s="20" t="str">
        <f>IF(Hitung!B68&lt;$E$1,"",IF(Hitung!C68&gt;0,"Beda","Sama"))</f>
        <v/>
      </c>
      <c r="AL68" s="20" t="str">
        <f>IF(Hitung!D68&lt;$E$1,"",IF(Hitung!E68&gt;0,"Beda","Sama"))</f>
        <v/>
      </c>
      <c r="AM68" s="20" t="str">
        <f>IF(Hitung!F68&lt;$E$1,"",IF(Hitung!G68&gt;0,"Beda","Sama"))</f>
        <v/>
      </c>
      <c r="AN68" s="20" t="str">
        <f>IF(Hitung!H68&lt;$E$1,"",IF(Hitung!I68&gt;0,"Beda","Sama"))</f>
        <v/>
      </c>
      <c r="AO68" s="20" t="str">
        <f>IF(Hitung!J68&lt;$E$1,"",IF(Hitung!K68&gt;0,"Beda","Sama"))</f>
        <v/>
      </c>
      <c r="AP68" s="20" t="str">
        <f>IF(Hitung!L68&lt;$E$1,"",IF(Hitung!M68&gt;0,"Beda","Sama"))</f>
        <v/>
      </c>
      <c r="AQ68" s="20">
        <f t="shared" si="7"/>
        <v>0</v>
      </c>
      <c r="AR68" s="27"/>
      <c r="AS68" s="27"/>
      <c r="AT68" s="27"/>
      <c r="AU68" s="27"/>
      <c r="AV68" s="27"/>
      <c r="AW68" s="27"/>
      <c r="AX68" s="28" t="str">
        <f>IF(AR68&lt;&gt;"",AR68,IF(AND(Hitung!B68=$E$1,Hitung!C68=0),M68,""))</f>
        <v/>
      </c>
      <c r="AY68" s="28" t="str">
        <f>IF(AS68&lt;&gt;"",AS68,IF(AND(Hitung!D68=$E$1,Hitung!E68=0),N68,""))</f>
        <v/>
      </c>
      <c r="AZ68" s="28" t="str">
        <f>IF(AT68&lt;&gt;"",AT68,IF(AND(Hitung!F68=$E$1,Hitung!G68=0),O68,""))</f>
        <v/>
      </c>
      <c r="BA68" s="28" t="str">
        <f>IF(AU68&lt;&gt;"",AU68,IF(AND(Hitung!H68=$E$1,Hitung!I68=0),P68,""))</f>
        <v/>
      </c>
      <c r="BB68" s="28" t="str">
        <f>IF(AV68&lt;&gt;"",AV68,IF(AND(Hitung!J68=$E$1,Hitung!K68=0),Q68,""))</f>
        <v/>
      </c>
      <c r="BC68" s="28" t="str">
        <f>IF(AW68&lt;&gt;"",AW68,IF(AND(Hitung!L68=$E$1,Hitung!M68=0),R68,""))</f>
        <v/>
      </c>
      <c r="BD68" s="29"/>
      <c r="BE68" s="20" t="str">
        <f t="shared" si="8"/>
        <v xml:space="preserve">Menunggu coder</v>
      </c>
      <c r="BF68" s="21" t="str">
        <f t="shared" si="9"/>
        <v/>
      </c>
      <c r="BG68" s="21" t="str">
        <f t="shared" si="10"/>
        <v/>
      </c>
      <c r="BH68" s="21" t="str">
        <f t="shared" si="11"/>
        <v/>
      </c>
      <c r="BI68" s="21" t="str">
        <f t="shared" si="12"/>
        <v/>
      </c>
      <c r="BJ68" s="21" t="str">
        <f t="shared" si="13"/>
        <v/>
      </c>
    </row>
    <row r="69" ht="48" customHeight="1">
      <c r="A69" s="20">
        <v>66</v>
      </c>
      <c r="B69" s="21" t="str">
        <f>IF(INDEX(Korpus!$A:$A,$A69)="","",INDEX(Korpus!$A:$A,$A69))</f>
        <v xml:space="preserve">UU 27 Thn 2022 (PDP)</v>
      </c>
      <c r="C69" s="21" t="str">
        <f>TRIM(INDEX(Korpus!$D:$D,$A69)&amp;" "&amp;INDEX(Korpus!$E:$E,$A69))</f>
        <v xml:space="preserve">Pasal 39</v>
      </c>
      <c r="D69" s="21" t="str">
        <f>IF(INDEX(Korpus!$B:$B,$A69)="","",INDEX(Korpus!$B:$B,$A69))</f>
        <v xml:space="preserve">BAB VI
KEWAJIBAN PENGENDALI DATA PRIBADI DAN PROSESOR DATA PRIBADI DALAM PEMROSESAN DATA PRIBADI</v>
      </c>
      <c r="E69" s="21" t="str">
        <f>IF(INDEX(Korpus!$C:$C,$A69)="","",INDEX(Korpus!$C:$C,$A69))</f>
        <v xml:space="preserve">Bagian Kedua
Kewajiban Pengendali Data Pribadi</v>
      </c>
      <c r="F69" s="21" t="str">
        <f>IF(INDEX(Korpus!$F:$F,$A69)="","",INDEX(Korpus!$F:$F,$A69))</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G69" s="22"/>
      <c r="H69" s="22"/>
      <c r="I69" s="22"/>
      <c r="J69" s="22"/>
      <c r="K69" s="22"/>
      <c r="L69" s="22"/>
      <c r="M69" s="23"/>
      <c r="N69" s="23"/>
      <c r="O69" s="23"/>
      <c r="P69" s="23"/>
      <c r="Q69" s="23"/>
      <c r="R69" s="23"/>
      <c r="S69" s="24"/>
      <c r="T69" s="24"/>
      <c r="U69" s="24"/>
      <c r="V69" s="24"/>
      <c r="W69" s="24"/>
      <c r="X69" s="24"/>
      <c r="Y69" s="25"/>
      <c r="Z69" s="25"/>
      <c r="AA69" s="25"/>
      <c r="AB69" s="25"/>
      <c r="AC69" s="25"/>
      <c r="AD69" s="25"/>
      <c r="AE69" s="26"/>
      <c r="AF69" s="26"/>
      <c r="AG69" s="26"/>
      <c r="AH69" s="26"/>
      <c r="AI69" s="26"/>
      <c r="AJ69" s="26"/>
      <c r="AK69" s="20" t="str">
        <f>IF(Hitung!B69&lt;$E$1,"",IF(Hitung!C69&gt;0,"Beda","Sama"))</f>
        <v/>
      </c>
      <c r="AL69" s="20" t="str">
        <f>IF(Hitung!D69&lt;$E$1,"",IF(Hitung!E69&gt;0,"Beda","Sama"))</f>
        <v/>
      </c>
      <c r="AM69" s="20" t="str">
        <f>IF(Hitung!F69&lt;$E$1,"",IF(Hitung!G69&gt;0,"Beda","Sama"))</f>
        <v/>
      </c>
      <c r="AN69" s="20" t="str">
        <f>IF(Hitung!H69&lt;$E$1,"",IF(Hitung!I69&gt;0,"Beda","Sama"))</f>
        <v/>
      </c>
      <c r="AO69" s="20" t="str">
        <f>IF(Hitung!J69&lt;$E$1,"",IF(Hitung!K69&gt;0,"Beda","Sama"))</f>
        <v/>
      </c>
      <c r="AP69" s="20" t="str">
        <f>IF(Hitung!L69&lt;$E$1,"",IF(Hitung!M69&gt;0,"Beda","Sama"))</f>
        <v/>
      </c>
      <c r="AQ69" s="20">
        <f t="shared" si="7"/>
        <v>0</v>
      </c>
      <c r="AR69" s="27"/>
      <c r="AS69" s="27"/>
      <c r="AT69" s="27"/>
      <c r="AU69" s="27"/>
      <c r="AV69" s="27"/>
      <c r="AW69" s="27"/>
      <c r="AX69" s="28" t="str">
        <f>IF(AR69&lt;&gt;"",AR69,IF(AND(Hitung!B69=$E$1,Hitung!C69=0),M69,""))</f>
        <v/>
      </c>
      <c r="AY69" s="28" t="str">
        <f>IF(AS69&lt;&gt;"",AS69,IF(AND(Hitung!D69=$E$1,Hitung!E69=0),N69,""))</f>
        <v/>
      </c>
      <c r="AZ69" s="28" t="str">
        <f>IF(AT69&lt;&gt;"",AT69,IF(AND(Hitung!F69=$E$1,Hitung!G69=0),O69,""))</f>
        <v/>
      </c>
      <c r="BA69" s="28" t="str">
        <f>IF(AU69&lt;&gt;"",AU69,IF(AND(Hitung!H69=$E$1,Hitung!I69=0),P69,""))</f>
        <v/>
      </c>
      <c r="BB69" s="28" t="str">
        <f>IF(AV69&lt;&gt;"",AV69,IF(AND(Hitung!J69=$E$1,Hitung!K69=0),Q69,""))</f>
        <v/>
      </c>
      <c r="BC69" s="28" t="str">
        <f>IF(AW69&lt;&gt;"",AW69,IF(AND(Hitung!L69=$E$1,Hitung!M69=0),R69,""))</f>
        <v/>
      </c>
      <c r="BD69" s="29"/>
      <c r="BE69" s="20" t="str">
        <f t="shared" si="8"/>
        <v xml:space="preserve">Menunggu coder</v>
      </c>
      <c r="BF69" s="21" t="str">
        <f t="shared" si="9"/>
        <v/>
      </c>
      <c r="BG69" s="21" t="str">
        <f t="shared" si="10"/>
        <v/>
      </c>
      <c r="BH69" s="21" t="str">
        <f t="shared" si="11"/>
        <v/>
      </c>
      <c r="BI69" s="21" t="str">
        <f t="shared" si="12"/>
        <v/>
      </c>
      <c r="BJ69" s="21" t="str">
        <f t="shared" si="13"/>
        <v/>
      </c>
    </row>
    <row r="70" ht="48" customHeight="1">
      <c r="A70" s="20">
        <v>67</v>
      </c>
      <c r="B70" s="21" t="str">
        <f>IF(INDEX(Korpus!$A:$A,$A70)="","",INDEX(Korpus!$A:$A,$A70))</f>
        <v xml:space="preserve">UU 27 Thn 2022 (PDP)</v>
      </c>
      <c r="C70" s="21" t="str">
        <f>TRIM(INDEX(Korpus!$D:$D,$A70)&amp;" "&amp;INDEX(Korpus!$E:$E,$A70))</f>
        <v xml:space="preserve">Pasal 40</v>
      </c>
      <c r="D70" s="21" t="str">
        <f>IF(INDEX(Korpus!$B:$B,$A70)="","",INDEX(Korpus!$B:$B,$A70))</f>
        <v xml:space="preserve">BAB VI
KEWAJIBAN PENGENDALI DATA PRIBADI DAN PROSESOR DATA PRIBADI DALAM PEMROSESAN DATA PRIBADI</v>
      </c>
      <c r="E70" s="21" t="str">
        <f>IF(INDEX(Korpus!$C:$C,$A70)="","",INDEX(Korpus!$C:$C,$A70))</f>
        <v xml:space="preserve">Bagian Kedua
Kewajiban Pengendali Data Pribadi</v>
      </c>
      <c r="F70" s="21" t="str">
        <f>IF(INDEX(Korpus!$F:$F,$A70)="","",INDEX(Korpus!$F:$F,$A70))</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G70" s="22" t="s">
        <v>131</v>
      </c>
      <c r="H70" s="22" t="s">
        <v>111</v>
      </c>
      <c r="I70" s="22" t="s">
        <v>137</v>
      </c>
      <c r="J70" s="22" t="s">
        <v>128</v>
      </c>
      <c r="K70" s="22" t="s">
        <v>130</v>
      </c>
      <c r="L70" s="22" t="s">
        <v>135</v>
      </c>
      <c r="M70" s="23" t="s">
        <v>131</v>
      </c>
      <c r="N70" s="23" t="s">
        <v>111</v>
      </c>
      <c r="O70" s="23" t="s">
        <v>141</v>
      </c>
      <c r="P70" s="23" t="s">
        <v>128</v>
      </c>
      <c r="Q70" s="23" t="s">
        <v>130</v>
      </c>
      <c r="R70" s="23" t="s">
        <v>125</v>
      </c>
      <c r="S70" s="24"/>
      <c r="T70" s="24"/>
      <c r="U70" s="24"/>
      <c r="V70" s="24"/>
      <c r="W70" s="24"/>
      <c r="X70" s="24"/>
      <c r="Y70" s="25"/>
      <c r="Z70" s="25"/>
      <c r="AA70" s="25"/>
      <c r="AB70" s="25"/>
      <c r="AC70" s="25"/>
      <c r="AD70" s="25"/>
      <c r="AE70" s="26"/>
      <c r="AF70" s="26"/>
      <c r="AG70" s="26"/>
      <c r="AH70" s="26"/>
      <c r="AI70" s="26"/>
      <c r="AJ70" s="26"/>
      <c r="AK70" s="20" t="str">
        <f>IF(Hitung!B70&lt;$E$1,"",IF(Hitung!C70&gt;0,"Beda","Sama"))</f>
        <v/>
      </c>
      <c r="AL70" s="20" t="str">
        <f>IF(Hitung!D70&lt;$E$1,"",IF(Hitung!E70&gt;0,"Beda","Sama"))</f>
        <v/>
      </c>
      <c r="AM70" s="20" t="str">
        <f>IF(Hitung!F70&lt;$E$1,"",IF(Hitung!G70&gt;0,"Beda","Sama"))</f>
        <v/>
      </c>
      <c r="AN70" s="20" t="str">
        <f>IF(Hitung!H70&lt;$E$1,"",IF(Hitung!I70&gt;0,"Beda","Sama"))</f>
        <v/>
      </c>
      <c r="AO70" s="20" t="str">
        <f>IF(Hitung!J70&lt;$E$1,"",IF(Hitung!K70&gt;0,"Beda","Sama"))</f>
        <v/>
      </c>
      <c r="AP70" s="20" t="str">
        <f>IF(Hitung!L70&lt;$E$1,"",IF(Hitung!M70&gt;0,"Beda","Sama"))</f>
        <v/>
      </c>
      <c r="AQ70" s="20">
        <f t="shared" si="7"/>
        <v>0</v>
      </c>
      <c r="AR70" s="27"/>
      <c r="AS70" s="27"/>
      <c r="AT70" s="27"/>
      <c r="AU70" s="27"/>
      <c r="AV70" s="27"/>
      <c r="AW70" s="27"/>
      <c r="AX70" s="28" t="str">
        <f>IF(AR70&lt;&gt;"",AR70,IF(AND(Hitung!B70=$E$1,Hitung!C70=0),M70,""))</f>
        <v/>
      </c>
      <c r="AY70" s="28" t="str">
        <f>IF(AS70&lt;&gt;"",AS70,IF(AND(Hitung!D70=$E$1,Hitung!E70=0),N70,""))</f>
        <v/>
      </c>
      <c r="AZ70" s="28" t="str">
        <f>IF(AT70&lt;&gt;"",AT70,IF(AND(Hitung!F70=$E$1,Hitung!G70=0),O70,""))</f>
        <v/>
      </c>
      <c r="BA70" s="28" t="str">
        <f>IF(AU70&lt;&gt;"",AU70,IF(AND(Hitung!H70=$E$1,Hitung!I70=0),P70,""))</f>
        <v/>
      </c>
      <c r="BB70" s="28" t="str">
        <f>IF(AV70&lt;&gt;"",AV70,IF(AND(Hitung!J70=$E$1,Hitung!K70=0),Q70,""))</f>
        <v/>
      </c>
      <c r="BC70" s="28" t="str">
        <f>IF(AW70&lt;&gt;"",AW70,IF(AND(Hitung!L70=$E$1,Hitung!M70=0),R70,""))</f>
        <v/>
      </c>
      <c r="BD70" s="29"/>
      <c r="BE70" s="20" t="str">
        <f t="shared" si="8"/>
        <v xml:space="preserve">Menunggu coder</v>
      </c>
      <c r="BF70" s="21" t="str">
        <f t="shared" si="9"/>
        <v/>
      </c>
      <c r="BG70" s="21" t="str">
        <f t="shared" si="10"/>
        <v xml:space="preserve">Tidak (4/6): V6 V9</v>
      </c>
      <c r="BH70" s="21" t="str">
        <f t="shared" si="11"/>
        <v xml:space="preserve">Belum lengkap</v>
      </c>
      <c r="BI70" s="21" t="str">
        <f t="shared" si="12"/>
        <v/>
      </c>
      <c r="BJ70" s="21" t="str">
        <f t="shared" si="13"/>
        <v/>
      </c>
      <c r="BK70" s="8" t="s">
        <v>116</v>
      </c>
    </row>
    <row r="71" ht="48" customHeight="1">
      <c r="A71" s="20">
        <v>68</v>
      </c>
      <c r="B71" s="21" t="str">
        <f>IF(INDEX(Korpus!$A:$A,$A71)="","",INDEX(Korpus!$A:$A,$A71))</f>
        <v xml:space="preserve">UU 27 Thn 2022 (PDP)</v>
      </c>
      <c r="C71" s="21" t="str">
        <f>TRIM(INDEX(Korpus!$D:$D,$A71)&amp;" "&amp;INDEX(Korpus!$E:$E,$A71))</f>
        <v xml:space="preserve">Pasal 41</v>
      </c>
      <c r="D71" s="21" t="str">
        <f>IF(INDEX(Korpus!$B:$B,$A71)="","",INDEX(Korpus!$B:$B,$A71))</f>
        <v xml:space="preserve">BAB VI
KEWAJIBAN PENGENDALI DATA PRIBADI DAN PROSESOR DATA PRIBADI DALAM PEMROSESAN DATA PRIBADI</v>
      </c>
      <c r="E71" s="21" t="str">
        <f>IF(INDEX(Korpus!$C:$C,$A71)="","",INDEX(Korpus!$C:$C,$A71))</f>
        <v xml:space="preserve">Bagian Kedua
Kewajiban Pengendali Data Pribadi</v>
      </c>
      <c r="F71" s="21" t="str">
        <f>IF(INDEX(Korpus!$F:$F,$A71)="","",INDEX(Korpus!$F:$F,$A71))</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G71" s="22"/>
      <c r="H71" s="22"/>
      <c r="I71" s="22"/>
      <c r="J71" s="22"/>
      <c r="K71" s="22"/>
      <c r="L71" s="22"/>
      <c r="M71" s="23"/>
      <c r="N71" s="23"/>
      <c r="O71" s="23"/>
      <c r="P71" s="23"/>
      <c r="Q71" s="23"/>
      <c r="R71" s="23"/>
      <c r="S71" s="24"/>
      <c r="T71" s="24"/>
      <c r="U71" s="24"/>
      <c r="V71" s="24"/>
      <c r="W71" s="24"/>
      <c r="X71" s="24"/>
      <c r="Y71" s="25"/>
      <c r="Z71" s="25"/>
      <c r="AA71" s="25"/>
      <c r="AB71" s="25"/>
      <c r="AC71" s="25"/>
      <c r="AD71" s="25"/>
      <c r="AE71" s="26"/>
      <c r="AF71" s="26"/>
      <c r="AG71" s="26"/>
      <c r="AH71" s="26"/>
      <c r="AI71" s="26"/>
      <c r="AJ71" s="26"/>
      <c r="AK71" s="20" t="str">
        <f>IF(Hitung!B71&lt;$E$1,"",IF(Hitung!C71&gt;0,"Beda","Sama"))</f>
        <v/>
      </c>
      <c r="AL71" s="20" t="str">
        <f>IF(Hitung!D71&lt;$E$1,"",IF(Hitung!E71&gt;0,"Beda","Sama"))</f>
        <v/>
      </c>
      <c r="AM71" s="20" t="str">
        <f>IF(Hitung!F71&lt;$E$1,"",IF(Hitung!G71&gt;0,"Beda","Sama"))</f>
        <v/>
      </c>
      <c r="AN71" s="20" t="str">
        <f>IF(Hitung!H71&lt;$E$1,"",IF(Hitung!I71&gt;0,"Beda","Sama"))</f>
        <v/>
      </c>
      <c r="AO71" s="20" t="str">
        <f>IF(Hitung!J71&lt;$E$1,"",IF(Hitung!K71&gt;0,"Beda","Sama"))</f>
        <v/>
      </c>
      <c r="AP71" s="20" t="str">
        <f>IF(Hitung!L71&lt;$E$1,"",IF(Hitung!M71&gt;0,"Beda","Sama"))</f>
        <v/>
      </c>
      <c r="AQ71" s="20">
        <f t="shared" si="7"/>
        <v>0</v>
      </c>
      <c r="AR71" s="27"/>
      <c r="AS71" s="27"/>
      <c r="AT71" s="27"/>
      <c r="AU71" s="27"/>
      <c r="AV71" s="27"/>
      <c r="AW71" s="27"/>
      <c r="AX71" s="28" t="str">
        <f>IF(AR71&lt;&gt;"",AR71,IF(AND(Hitung!B71=$E$1,Hitung!C71=0),M71,""))</f>
        <v/>
      </c>
      <c r="AY71" s="28" t="str">
        <f>IF(AS71&lt;&gt;"",AS71,IF(AND(Hitung!D71=$E$1,Hitung!E71=0),N71,""))</f>
        <v/>
      </c>
      <c r="AZ71" s="28" t="str">
        <f>IF(AT71&lt;&gt;"",AT71,IF(AND(Hitung!F71=$E$1,Hitung!G71=0),O71,""))</f>
        <v/>
      </c>
      <c r="BA71" s="28" t="str">
        <f>IF(AU71&lt;&gt;"",AU71,IF(AND(Hitung!H71=$E$1,Hitung!I71=0),P71,""))</f>
        <v/>
      </c>
      <c r="BB71" s="28" t="str">
        <f>IF(AV71&lt;&gt;"",AV71,IF(AND(Hitung!J71=$E$1,Hitung!K71=0),Q71,""))</f>
        <v/>
      </c>
      <c r="BC71" s="28" t="str">
        <f>IF(AW71&lt;&gt;"",AW71,IF(AND(Hitung!L71=$E$1,Hitung!M71=0),R71,""))</f>
        <v/>
      </c>
      <c r="BD71" s="29"/>
      <c r="BE71" s="20" t="str">
        <f t="shared" si="8"/>
        <v xml:space="preserve">Menunggu coder</v>
      </c>
      <c r="BF71" s="21" t="str">
        <f t="shared" si="9"/>
        <v/>
      </c>
      <c r="BG71" s="21" t="str">
        <f t="shared" si="10"/>
        <v/>
      </c>
      <c r="BH71" s="21" t="str">
        <f t="shared" si="11"/>
        <v/>
      </c>
      <c r="BI71" s="21" t="str">
        <f t="shared" si="12"/>
        <v/>
      </c>
      <c r="BJ71" s="21" t="str">
        <f t="shared" si="13"/>
        <v/>
      </c>
    </row>
    <row r="72" ht="48" customHeight="1">
      <c r="A72" s="20">
        <v>69</v>
      </c>
      <c r="B72" s="21" t="str">
        <f>IF(INDEX(Korpus!$A:$A,$A72)="","",INDEX(Korpus!$A:$A,$A72))</f>
        <v xml:space="preserve">UU 27 Thn 2022 (PDP)</v>
      </c>
      <c r="C72" s="21" t="str">
        <f>TRIM(INDEX(Korpus!$D:$D,$A72)&amp;" "&amp;INDEX(Korpus!$E:$E,$A72))</f>
        <v xml:space="preserve">Pasal 42</v>
      </c>
      <c r="D72" s="21" t="str">
        <f>IF(INDEX(Korpus!$B:$B,$A72)="","",INDEX(Korpus!$B:$B,$A72))</f>
        <v xml:space="preserve">BAB VI
KEWAJIBAN PENGENDALI DATA PRIBADI DAN PROSESOR DATA PRIBADI DALAM PEMROSESAN DATA PRIBADI</v>
      </c>
      <c r="E72" s="21" t="str">
        <f>IF(INDEX(Korpus!$C:$C,$A72)="","",INDEX(Korpus!$C:$C,$A72))</f>
        <v xml:space="preserve">Bagian Kedua
Kewajiban Pengendali Data Pribadi</v>
      </c>
      <c r="F72" s="21" t="str">
        <f>IF(INDEX(Korpus!$F:$F,$A72)="","",INDEX(Korpus!$F:$F,$A72))</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G72" s="22"/>
      <c r="H72" s="22"/>
      <c r="I72" s="22"/>
      <c r="J72" s="22"/>
      <c r="K72" s="22"/>
      <c r="L72" s="22"/>
      <c r="M72" s="23"/>
      <c r="N72" s="23"/>
      <c r="O72" s="23"/>
      <c r="P72" s="23"/>
      <c r="Q72" s="23"/>
      <c r="R72" s="23"/>
      <c r="S72" s="24"/>
      <c r="T72" s="24"/>
      <c r="U72" s="24"/>
      <c r="V72" s="24"/>
      <c r="W72" s="24"/>
      <c r="X72" s="24"/>
      <c r="Y72" s="25"/>
      <c r="Z72" s="25"/>
      <c r="AA72" s="25"/>
      <c r="AB72" s="25"/>
      <c r="AC72" s="25"/>
      <c r="AD72" s="25"/>
      <c r="AE72" s="26"/>
      <c r="AF72" s="26"/>
      <c r="AG72" s="26"/>
      <c r="AH72" s="26"/>
      <c r="AI72" s="26"/>
      <c r="AJ72" s="26"/>
      <c r="AK72" s="20" t="str">
        <f>IF(Hitung!B72&lt;$E$1,"",IF(Hitung!C72&gt;0,"Beda","Sama"))</f>
        <v/>
      </c>
      <c r="AL72" s="20" t="str">
        <f>IF(Hitung!D72&lt;$E$1,"",IF(Hitung!E72&gt;0,"Beda","Sama"))</f>
        <v/>
      </c>
      <c r="AM72" s="20" t="str">
        <f>IF(Hitung!F72&lt;$E$1,"",IF(Hitung!G72&gt;0,"Beda","Sama"))</f>
        <v/>
      </c>
      <c r="AN72" s="20" t="str">
        <f>IF(Hitung!H72&lt;$E$1,"",IF(Hitung!I72&gt;0,"Beda","Sama"))</f>
        <v/>
      </c>
      <c r="AO72" s="20" t="str">
        <f>IF(Hitung!J72&lt;$E$1,"",IF(Hitung!K72&gt;0,"Beda","Sama"))</f>
        <v/>
      </c>
      <c r="AP72" s="20" t="str">
        <f>IF(Hitung!L72&lt;$E$1,"",IF(Hitung!M72&gt;0,"Beda","Sama"))</f>
        <v/>
      </c>
      <c r="AQ72" s="20">
        <f t="shared" si="7"/>
        <v>0</v>
      </c>
      <c r="AR72" s="27"/>
      <c r="AS72" s="27"/>
      <c r="AT72" s="27"/>
      <c r="AU72" s="27"/>
      <c r="AV72" s="27"/>
      <c r="AW72" s="27"/>
      <c r="AX72" s="28" t="str">
        <f>IF(AR72&lt;&gt;"",AR72,IF(AND(Hitung!B72=$E$1,Hitung!C72=0),M72,""))</f>
        <v/>
      </c>
      <c r="AY72" s="28" t="str">
        <f>IF(AS72&lt;&gt;"",AS72,IF(AND(Hitung!D72=$E$1,Hitung!E72=0),N72,""))</f>
        <v/>
      </c>
      <c r="AZ72" s="28" t="str">
        <f>IF(AT72&lt;&gt;"",AT72,IF(AND(Hitung!F72=$E$1,Hitung!G72=0),O72,""))</f>
        <v/>
      </c>
      <c r="BA72" s="28" t="str">
        <f>IF(AU72&lt;&gt;"",AU72,IF(AND(Hitung!H72=$E$1,Hitung!I72=0),P72,""))</f>
        <v/>
      </c>
      <c r="BB72" s="28" t="str">
        <f>IF(AV72&lt;&gt;"",AV72,IF(AND(Hitung!J72=$E$1,Hitung!K72=0),Q72,""))</f>
        <v/>
      </c>
      <c r="BC72" s="28" t="str">
        <f>IF(AW72&lt;&gt;"",AW72,IF(AND(Hitung!L72=$E$1,Hitung!M72=0),R72,""))</f>
        <v/>
      </c>
      <c r="BD72" s="29"/>
      <c r="BE72" s="20" t="str">
        <f t="shared" si="8"/>
        <v xml:space="preserve">Menunggu coder</v>
      </c>
      <c r="BF72" s="21" t="str">
        <f t="shared" si="9"/>
        <v/>
      </c>
      <c r="BG72" s="21" t="str">
        <f t="shared" si="10"/>
        <v/>
      </c>
      <c r="BH72" s="21" t="str">
        <f t="shared" si="11"/>
        <v/>
      </c>
      <c r="BI72" s="21" t="str">
        <f t="shared" si="12"/>
        <v/>
      </c>
      <c r="BJ72" s="21" t="str">
        <f t="shared" si="13"/>
        <v/>
      </c>
    </row>
    <row r="73" ht="48" customHeight="1">
      <c r="A73" s="20">
        <v>70</v>
      </c>
      <c r="B73" s="21" t="str">
        <f>IF(INDEX(Korpus!$A:$A,$A73)="","",INDEX(Korpus!$A:$A,$A73))</f>
        <v xml:space="preserve">UU 27 Thn 2022 (PDP)</v>
      </c>
      <c r="C73" s="21" t="str">
        <f>TRIM(INDEX(Korpus!$D:$D,$A73)&amp;" "&amp;INDEX(Korpus!$E:$E,$A73))</f>
        <v xml:space="preserve">Pasal 43</v>
      </c>
      <c r="D73" s="21" t="str">
        <f>IF(INDEX(Korpus!$B:$B,$A73)="","",INDEX(Korpus!$B:$B,$A73))</f>
        <v xml:space="preserve">BAB VI
KEWAJIBAN PENGENDALI DATA PRIBADI DAN PROSESOR DATA PRIBADI DALAM PEMROSESAN DATA PRIBADI</v>
      </c>
      <c r="E73" s="21" t="str">
        <f>IF(INDEX(Korpus!$C:$C,$A73)="","",INDEX(Korpus!$C:$C,$A73))</f>
        <v xml:space="preserve">Bagian Kedua
Kewajiban Pengendali Data Pribadi</v>
      </c>
      <c r="F73" s="21" t="str">
        <f>IF(INDEX(Korpus!$F:$F,$A73)="","",INDEX(Korpus!$F:$F,$A73))</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G73" s="22"/>
      <c r="H73" s="22"/>
      <c r="I73" s="22"/>
      <c r="J73" s="22"/>
      <c r="K73" s="22"/>
      <c r="L73" s="22"/>
      <c r="M73" s="23" t="s">
        <v>131</v>
      </c>
      <c r="N73" s="23" t="s">
        <v>111</v>
      </c>
      <c r="O73" s="23" t="s">
        <v>137</v>
      </c>
      <c r="P73" s="23" t="s">
        <v>128</v>
      </c>
      <c r="Q73" s="23" t="s">
        <v>132</v>
      </c>
      <c r="R73" s="23" t="s">
        <v>118</v>
      </c>
      <c r="S73" s="24"/>
      <c r="T73" s="24"/>
      <c r="U73" s="24"/>
      <c r="V73" s="24"/>
      <c r="W73" s="24"/>
      <c r="X73" s="24"/>
      <c r="Y73" s="25"/>
      <c r="Z73" s="25"/>
      <c r="AA73" s="25"/>
      <c r="AB73" s="25"/>
      <c r="AC73" s="25"/>
      <c r="AD73" s="25"/>
      <c r="AE73" s="26"/>
      <c r="AF73" s="26"/>
      <c r="AG73" s="26"/>
      <c r="AH73" s="26"/>
      <c r="AI73" s="26"/>
      <c r="AJ73" s="26"/>
      <c r="AK73" s="20" t="str">
        <f>IF(Hitung!B73&lt;$E$1,"",IF(Hitung!C73&gt;0,"Beda","Sama"))</f>
        <v/>
      </c>
      <c r="AL73" s="20" t="str">
        <f>IF(Hitung!D73&lt;$E$1,"",IF(Hitung!E73&gt;0,"Beda","Sama"))</f>
        <v/>
      </c>
      <c r="AM73" s="20" t="str">
        <f>IF(Hitung!F73&lt;$E$1,"",IF(Hitung!G73&gt;0,"Beda","Sama"))</f>
        <v/>
      </c>
      <c r="AN73" s="20" t="str">
        <f>IF(Hitung!H73&lt;$E$1,"",IF(Hitung!I73&gt;0,"Beda","Sama"))</f>
        <v/>
      </c>
      <c r="AO73" s="20" t="str">
        <f>IF(Hitung!J73&lt;$E$1,"",IF(Hitung!K73&gt;0,"Beda","Sama"))</f>
        <v/>
      </c>
      <c r="AP73" s="20" t="str">
        <f>IF(Hitung!L73&lt;$E$1,"",IF(Hitung!M73&gt;0,"Beda","Sama"))</f>
        <v/>
      </c>
      <c r="AQ73" s="20">
        <f t="shared" si="7"/>
        <v>0</v>
      </c>
      <c r="AR73" s="27"/>
      <c r="AS73" s="27"/>
      <c r="AT73" s="27"/>
      <c r="AU73" s="27"/>
      <c r="AV73" s="27"/>
      <c r="AW73" s="27"/>
      <c r="AX73" s="28" t="str">
        <f>IF(AR73&lt;&gt;"",AR73,IF(AND(Hitung!B73=$E$1,Hitung!C73=0),M73,""))</f>
        <v/>
      </c>
      <c r="AY73" s="28" t="str">
        <f>IF(AS73&lt;&gt;"",AS73,IF(AND(Hitung!D73=$E$1,Hitung!E73=0),N73,""))</f>
        <v/>
      </c>
      <c r="AZ73" s="28" t="str">
        <f>IF(AT73&lt;&gt;"",AT73,IF(AND(Hitung!F73=$E$1,Hitung!G73=0),O73,""))</f>
        <v/>
      </c>
      <c r="BA73" s="28" t="str">
        <f>IF(AU73&lt;&gt;"",AU73,IF(AND(Hitung!H73=$E$1,Hitung!I73=0),P73,""))</f>
        <v/>
      </c>
      <c r="BB73" s="28" t="str">
        <f>IF(AV73&lt;&gt;"",AV73,IF(AND(Hitung!J73=$E$1,Hitung!K73=0),Q73,""))</f>
        <v/>
      </c>
      <c r="BC73" s="28" t="str">
        <f>IF(AW73&lt;&gt;"",AW73,IF(AND(Hitung!L73=$E$1,Hitung!M73=0),R73,""))</f>
        <v/>
      </c>
      <c r="BD73" s="29"/>
      <c r="BE73" s="20" t="str">
        <f t="shared" si="8"/>
        <v xml:space="preserve">Menunggu coder</v>
      </c>
      <c r="BF73" s="21" t="str">
        <f t="shared" si="9"/>
        <v/>
      </c>
      <c r="BG73" s="21" t="str">
        <f t="shared" si="10"/>
        <v/>
      </c>
      <c r="BH73" s="21" t="str">
        <f t="shared" si="11"/>
        <v/>
      </c>
      <c r="BI73" s="21" t="str">
        <f t="shared" si="12"/>
        <v/>
      </c>
      <c r="BJ73" s="21" t="str">
        <f t="shared" si="13"/>
        <v/>
      </c>
      <c r="BK73" s="8" t="s">
        <v>119</v>
      </c>
    </row>
    <row r="74" ht="48" customHeight="1">
      <c r="A74" s="20">
        <v>71</v>
      </c>
      <c r="B74" s="21" t="str">
        <f>IF(INDEX(Korpus!$A:$A,$A74)="","",INDEX(Korpus!$A:$A,$A74))</f>
        <v xml:space="preserve">UU 27 Thn 2022 (PDP)</v>
      </c>
      <c r="C74" s="21" t="str">
        <f>TRIM(INDEX(Korpus!$D:$D,$A74)&amp;" "&amp;INDEX(Korpus!$E:$E,$A74))</f>
        <v xml:space="preserve">Pasal 44</v>
      </c>
      <c r="D74" s="21" t="str">
        <f>IF(INDEX(Korpus!$B:$B,$A74)="","",INDEX(Korpus!$B:$B,$A74))</f>
        <v xml:space="preserve">BAB VI
KEWAJIBAN PENGENDALI DATA PRIBADI DAN PROSESOR DATA PRIBADI DALAM PEMROSESAN DATA PRIBADI</v>
      </c>
      <c r="E74" s="21" t="str">
        <f>IF(INDEX(Korpus!$C:$C,$A74)="","",INDEX(Korpus!$C:$C,$A74))</f>
        <v xml:space="preserve">Bagian Kedua
Kewajiban Pengendali Data Pribadi</v>
      </c>
      <c r="F74" s="21" t="str">
        <f>IF(INDEX(Korpus!$F:$F,$A74)="","",INDEX(Korpus!$F:$F,$A74))</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G74" s="22"/>
      <c r="H74" s="22"/>
      <c r="I74" s="22"/>
      <c r="J74" s="22"/>
      <c r="K74" s="22"/>
      <c r="L74" s="22"/>
      <c r="M74" s="23"/>
      <c r="N74" s="23"/>
      <c r="O74" s="23"/>
      <c r="P74" s="23"/>
      <c r="Q74" s="23"/>
      <c r="R74" s="23"/>
      <c r="S74" s="24"/>
      <c r="T74" s="24"/>
      <c r="U74" s="24"/>
      <c r="V74" s="24"/>
      <c r="W74" s="24"/>
      <c r="X74" s="24"/>
      <c r="Y74" s="25"/>
      <c r="Z74" s="25"/>
      <c r="AA74" s="25"/>
      <c r="AB74" s="25"/>
      <c r="AC74" s="25"/>
      <c r="AD74" s="25"/>
      <c r="AE74" s="26"/>
      <c r="AF74" s="26"/>
      <c r="AG74" s="26"/>
      <c r="AH74" s="26"/>
      <c r="AI74" s="26"/>
      <c r="AJ74" s="26"/>
      <c r="AK74" s="20" t="str">
        <f>IF(Hitung!B74&lt;$E$1,"",IF(Hitung!C74&gt;0,"Beda","Sama"))</f>
        <v/>
      </c>
      <c r="AL74" s="20" t="str">
        <f>IF(Hitung!D74&lt;$E$1,"",IF(Hitung!E74&gt;0,"Beda","Sama"))</f>
        <v/>
      </c>
      <c r="AM74" s="20" t="str">
        <f>IF(Hitung!F74&lt;$E$1,"",IF(Hitung!G74&gt;0,"Beda","Sama"))</f>
        <v/>
      </c>
      <c r="AN74" s="20" t="str">
        <f>IF(Hitung!H74&lt;$E$1,"",IF(Hitung!I74&gt;0,"Beda","Sama"))</f>
        <v/>
      </c>
      <c r="AO74" s="20" t="str">
        <f>IF(Hitung!J74&lt;$E$1,"",IF(Hitung!K74&gt;0,"Beda","Sama"))</f>
        <v/>
      </c>
      <c r="AP74" s="20" t="str">
        <f>IF(Hitung!L74&lt;$E$1,"",IF(Hitung!M74&gt;0,"Beda","Sama"))</f>
        <v/>
      </c>
      <c r="AQ74" s="20">
        <f t="shared" ref="AQ74:AQ89" si="14">COUNTIF(AK74:AP74,"Beda")</f>
        <v>0</v>
      </c>
      <c r="AR74" s="27"/>
      <c r="AS74" s="27"/>
      <c r="AT74" s="27"/>
      <c r="AU74" s="27"/>
      <c r="AV74" s="27"/>
      <c r="AW74" s="27"/>
      <c r="AX74" s="28" t="str">
        <f>IF(AR74&lt;&gt;"",AR74,IF(AND(Hitung!B74=$E$1,Hitung!C74=0),M74,""))</f>
        <v/>
      </c>
      <c r="AY74" s="28" t="str">
        <f>IF(AS74&lt;&gt;"",AS74,IF(AND(Hitung!D74=$E$1,Hitung!E74=0),N74,""))</f>
        <v/>
      </c>
      <c r="AZ74" s="28" t="str">
        <f>IF(AT74&lt;&gt;"",AT74,IF(AND(Hitung!F74=$E$1,Hitung!G74=0),O74,""))</f>
        <v/>
      </c>
      <c r="BA74" s="28" t="str">
        <f>IF(AU74&lt;&gt;"",AU74,IF(AND(Hitung!H74=$E$1,Hitung!I74=0),P74,""))</f>
        <v/>
      </c>
      <c r="BB74" s="28" t="str">
        <f>IF(AV74&lt;&gt;"",AV74,IF(AND(Hitung!J74=$E$1,Hitung!K74=0),Q74,""))</f>
        <v/>
      </c>
      <c r="BC74" s="28" t="str">
        <f>IF(AW74&lt;&gt;"",AW74,IF(AND(Hitung!L74=$E$1,Hitung!M74=0),R74,""))</f>
        <v/>
      </c>
      <c r="BD74" s="29"/>
      <c r="BE74" s="20" t="str">
        <f t="shared" ref="BE74:BE89" si="15">IF(COUNTA(M74:R74)+COUNTA(S74:X74)+($E$1&gt;=3)*COUNTA(Y74:AD74)+($E$1&gt;=4)*COUNTA(AE74:AJ74)&lt;6*$E$1,"Menunggu coder",IF(AQ74=0,"Sepakat",IF(SUMPRODUCT((AK74:AP74="Beda")*(AR74:AW74=""))=0,"Selesai adjudikasi","Perlu adjudikasi")))</f>
        <v xml:space="preserve">Menunggu coder</v>
      </c>
      <c r="BF74" s="21" t="str">
        <f t="shared" ref="BF74:BF89" si="16">IF(COUNTIF(AX74:BC74,"?*")&lt;6,"",IF(IF(AND(LEFT(AY74,2)="R0",LEFT(BC74,2)&lt;&gt;"K5"),"R0 harus K5; ","")&amp;IF(AND(LEFT(AY74,2)="R1",LEFT(BC74,2)="K3"),"R1 tidak boleh K3 (fungsional); ","")&amp;IF(AND(LEFT(AY74,2)="R2",LEFT(BC74,2)="K5"),"R2 tidak boleh K5; ","")&amp;IF(AND(LEFT(AY74,2)="R2",OR(LEFT(AX74,2)="S6",LEFT(AX74,2)="S7",LEFT(AX74,2)="S8")),"R2 tidak boleh S6/S7/S8; ","")&amp;IF(AND(LEFT(AY74,2)="R2",OR(LEFT(AZ74,3)="T02",LEFT(BA74,2)="P8")),"T02 atau P8 tidak boleh R2; ","")&amp;IF(AND(LEFT(AZ74,3)="T01",LEFT(BA74,2)&lt;&gt;"P6"),"T01 biasanya P6 (periksa); ","")&amp;IF(AND(LEFT(BA74,2)="P1",LEFT(BC74,2)&lt;&gt;"K4"),"P1 biasanya K4 (periksa); ","")="","OK",IF(AND(LEFT(AY74,2)="R0",LEFT(BC74,2)&lt;&gt;"K5"),"R0 harus K5; ","")&amp;IF(AND(LEFT(AY74,2)="R1",LEFT(BC74,2)="K3"),"R1 tidak boleh K3 (fungsional); ","")&amp;IF(AND(LEFT(AY74,2)="R2",LEFT(BC74,2)="K5"),"R2 tidak boleh K5; ","")&amp;IF(AND(LEFT(AY74,2)="R2",OR(LEFT(AX74,2)="S6",LEFT(AX74,2)="S7",LEFT(AX74,2)="S8")),"R2 tidak boleh S6/S7/S8; ","")&amp;IF(AND(LEFT(AY74,2)="R2",OR(LEFT(AZ74,3)="T02",LEFT(BA74,2)="P8")),"T02 atau P8 tidak boleh R2; ","")&amp;IF(AND(LEFT(AZ74,3)="T01",LEFT(BA74,2)&lt;&gt;"P6"),"T01 biasanya P6 (periksa); ","")&amp;IF(AND(LEFT(BA74,2)="P1",LEFT(BC74,2)&lt;&gt;"K4"),"P1 biasanya K4 (periksa); ","")))</f>
        <v/>
      </c>
      <c r="BG74" s="21" t="str">
        <f t="shared" ref="BG74:BG89" si="17">IF(COUNTA($G74:$L74)&lt;6,"",IF(COUNTA(M74:R74)&lt;6,"Belum lengkap",IF((LEFT(M74,2)=LEFT(G74,2))+(LEFT(N74,2)=LEFT(H74,2))+(LEFT(O74,3)=LEFT(I74,3))+(LEFT(P74,2)=LEFT(J74,2))+(LEFT(Q74,2)=LEFT(K74,2))+(LEFT(R74,2)=LEFT(L74,2))=6,"Ya (6/6)","Tidak ("&amp;(LEFT(M74,2)=LEFT(G74,2))+(LEFT(N74,2)=LEFT(H74,2))+(LEFT(O74,3)=LEFT(I74,3))+(LEFT(P74,2)=LEFT(J74,2))+(LEFT(Q74,2)=LEFT(K74,2))+(LEFT(R74,2)=LEFT(L74,2))&amp;"/6): "&amp;TRIM(IF(NOT(LEFT(M74,2)=LEFT(G74,2)),"V4 ","")&amp;IF(NOT(LEFT(N74,2)=LEFT(H74,2)),"V5 ","")&amp;IF(NOT(LEFT(O74,3)=LEFT(I74,3)),"V6 ","")&amp;IF(NOT(LEFT(P74,2)=LEFT(J74,2)),"V7 ","")&amp;IF(NOT(LEFT(Q74,2)=LEFT(K74,2)),"V8 ","")&amp;IF(NOT(LEFT(R74,2)=LEFT(L74,2)),"V9 ","")))))</f>
        <v/>
      </c>
      <c r="BH74" s="21" t="str">
        <f t="shared" ref="BH74:BH89" si="18">IF(COUNTA($G74:$L74)&lt;6,"",IF(COUNTA(S74:X74)&lt;6,"Belum lengkap",IF((LEFT(S74,2)=LEFT(G74,2))+(LEFT(T74,2)=LEFT(H74,2))+(LEFT(U74,3)=LEFT(I74,3))+(LEFT(V74,2)=LEFT(J74,2))+(LEFT(W74,2)=LEFT(K74,2))+(LEFT(X74,2)=LEFT(L74,2))=6,"Ya (6/6)","Tidak ("&amp;(LEFT(S74,2)=LEFT(G74,2))+(LEFT(T74,2)=LEFT(H74,2))+(LEFT(U74,3)=LEFT(I74,3))+(LEFT(V74,2)=LEFT(J74,2))+(LEFT(W74,2)=LEFT(K74,2))+(LEFT(X74,2)=LEFT(L74,2))&amp;"/6): "&amp;TRIM(IF(NOT(LEFT(S74,2)=LEFT(G74,2)),"V4 ","")&amp;IF(NOT(LEFT(T74,2)=LEFT(H74,2)),"V5 ","")&amp;IF(NOT(LEFT(U74,3)=LEFT(I74,3)),"V6 ","")&amp;IF(NOT(LEFT(V74,2)=LEFT(J74,2)),"V7 ","")&amp;IF(NOT(LEFT(W74,2)=LEFT(K74,2)),"V8 ","")&amp;IF(NOT(LEFT(X74,2)=LEFT(L74,2)),"V9 ","")))))</f>
        <v/>
      </c>
      <c r="BI74" s="21" t="str">
        <f t="shared" ref="BI74:BI89" si="19">IF(COUNTA($G74:$L74)&lt;6,"",IF($E$1&lt;3,"",IF(COUNTA(Y74:AD74)&lt;6,"Belum lengkap",IF((LEFT(Y74,2)=LEFT(G74,2))+(LEFT(Z74,2)=LEFT(H74,2))+(LEFT(AA74,3)=LEFT(I74,3))+(LEFT(AB74,2)=LEFT(J74,2))+(LEFT(AC74,2)=LEFT(K74,2))+(LEFT(AD74,2)=LEFT(L74,2))=6,"Ya (6/6)","Tidak ("&amp;(LEFT(Y74,2)=LEFT(G74,2))+(LEFT(Z74,2)=LEFT(H74,2))+(LEFT(AA74,3)=LEFT(I74,3))+(LEFT(AB74,2)=LEFT(J74,2))+(LEFT(AC74,2)=LEFT(K74,2))+(LEFT(AD74,2)=LEFT(L74,2))&amp;"/6): "&amp;TRIM(IF(NOT(LEFT(Y74,2)=LEFT(G74,2)),"V4 ","")&amp;IF(NOT(LEFT(Z74,2)=LEFT(H74,2)),"V5 ","")&amp;IF(NOT(LEFT(AA74,3)=LEFT(I74,3)),"V6 ","")&amp;IF(NOT(LEFT(AB74,2)=LEFT(J74,2)),"V7 ","")&amp;IF(NOT(LEFT(AC74,2)=LEFT(K74,2)),"V8 ","")&amp;IF(NOT(LEFT(AD74,2)=LEFT(L74,2)),"V9 ",""))))))</f>
        <v/>
      </c>
      <c r="BJ74" s="21" t="str">
        <f t="shared" ref="BJ74:BJ89" si="20">IF(COUNTA($G74:$L74)&lt;6,"",IF($E$1&lt;4,"",IF(COUNTA(AE74:AJ74)&lt;6,"Belum lengkap",IF((LEFT(AE74,2)=LEFT(G74,2))+(LEFT(AF74,2)=LEFT(H74,2))+(LEFT(AG74,3)=LEFT(I74,3))+(LEFT(AH74,2)=LEFT(J74,2))+(LEFT(AI74,2)=LEFT(K74,2))+(LEFT(AJ74,2)=LEFT(L74,2))=6,"Ya (6/6)","Tidak ("&amp;(LEFT(AE74,2)=LEFT(G74,2))+(LEFT(AF74,2)=LEFT(H74,2))+(LEFT(AG74,3)=LEFT(I74,3))+(LEFT(AH74,2)=LEFT(J74,2))+(LEFT(AI74,2)=LEFT(K74,2))+(LEFT(AJ74,2)=LEFT(L74,2))&amp;"/6): "&amp;TRIM(IF(NOT(LEFT(AE74,2)=LEFT(G74,2)),"V4 ","")&amp;IF(NOT(LEFT(AF74,2)=LEFT(H74,2)),"V5 ","")&amp;IF(NOT(LEFT(AG74,3)=LEFT(I74,3)),"V6 ","")&amp;IF(NOT(LEFT(AH74,2)=LEFT(J74,2)),"V7 ","")&amp;IF(NOT(LEFT(AI74,2)=LEFT(K74,2)),"V8 ","")&amp;IF(NOT(LEFT(AJ74,2)=LEFT(L74,2)),"V9 ",""))))))</f>
        <v/>
      </c>
    </row>
    <row r="75" ht="48" customHeight="1">
      <c r="A75" s="20">
        <v>72</v>
      </c>
      <c r="B75" s="21" t="str">
        <f>IF(INDEX(Korpus!$A:$A,$A75)="","",INDEX(Korpus!$A:$A,$A75))</f>
        <v xml:space="preserve">UU 27 Thn 2022 (PDP)</v>
      </c>
      <c r="C75" s="21" t="str">
        <f>TRIM(INDEX(Korpus!$D:$D,$A75)&amp;" "&amp;INDEX(Korpus!$E:$E,$A75))</f>
        <v xml:space="preserve">Pasal 45</v>
      </c>
      <c r="D75" s="21" t="str">
        <f>IF(INDEX(Korpus!$B:$B,$A75)="","",INDEX(Korpus!$B:$B,$A75))</f>
        <v xml:space="preserve">BAB VI
KEWAJIBAN PENGENDALI DATA PRIBADI DAN PROSESOR DATA PRIBADI DALAM PEMROSESAN DATA PRIBADI</v>
      </c>
      <c r="E75" s="21" t="str">
        <f>IF(INDEX(Korpus!$C:$C,$A75)="","",INDEX(Korpus!$C:$C,$A75))</f>
        <v xml:space="preserve">Bagian Kedua
Kewajiban Pengendali Data Pribadi</v>
      </c>
      <c r="F75" s="21" t="str">
        <f>IF(INDEX(Korpus!$F:$F,$A75)="","",INDEX(Korpus!$F:$F,$A75))</f>
        <v xml:space="preserve">Pengendali Data Pribadi wajib memberitahukan penghapusan dan/atau pemusnahan Data Pribadi kepada Subjek Data Pribadi.</v>
      </c>
      <c r="G75" s="22"/>
      <c r="H75" s="22"/>
      <c r="I75" s="22"/>
      <c r="J75" s="22"/>
      <c r="K75" s="22"/>
      <c r="L75" s="22"/>
      <c r="M75" s="23"/>
      <c r="N75" s="23"/>
      <c r="O75" s="23"/>
      <c r="P75" s="23"/>
      <c r="Q75" s="23"/>
      <c r="R75" s="23"/>
      <c r="S75" s="24"/>
      <c r="T75" s="24"/>
      <c r="U75" s="24"/>
      <c r="V75" s="24"/>
      <c r="W75" s="24"/>
      <c r="X75" s="24"/>
      <c r="Y75" s="25"/>
      <c r="Z75" s="25"/>
      <c r="AA75" s="25"/>
      <c r="AB75" s="25"/>
      <c r="AC75" s="25"/>
      <c r="AD75" s="25"/>
      <c r="AE75" s="26"/>
      <c r="AF75" s="26"/>
      <c r="AG75" s="26"/>
      <c r="AH75" s="26"/>
      <c r="AI75" s="26"/>
      <c r="AJ75" s="26"/>
      <c r="AK75" s="20" t="str">
        <f>IF(Hitung!B75&lt;$E$1,"",IF(Hitung!C75&gt;0,"Beda","Sama"))</f>
        <v/>
      </c>
      <c r="AL75" s="20" t="str">
        <f>IF(Hitung!D75&lt;$E$1,"",IF(Hitung!E75&gt;0,"Beda","Sama"))</f>
        <v/>
      </c>
      <c r="AM75" s="20" t="str">
        <f>IF(Hitung!F75&lt;$E$1,"",IF(Hitung!G75&gt;0,"Beda","Sama"))</f>
        <v/>
      </c>
      <c r="AN75" s="20" t="str">
        <f>IF(Hitung!H75&lt;$E$1,"",IF(Hitung!I75&gt;0,"Beda","Sama"))</f>
        <v/>
      </c>
      <c r="AO75" s="20" t="str">
        <f>IF(Hitung!J75&lt;$E$1,"",IF(Hitung!K75&gt;0,"Beda","Sama"))</f>
        <v/>
      </c>
      <c r="AP75" s="20" t="str">
        <f>IF(Hitung!L75&lt;$E$1,"",IF(Hitung!M75&gt;0,"Beda","Sama"))</f>
        <v/>
      </c>
      <c r="AQ75" s="20">
        <f t="shared" si="14"/>
        <v>0</v>
      </c>
      <c r="AR75" s="27"/>
      <c r="AS75" s="27"/>
      <c r="AT75" s="27"/>
      <c r="AU75" s="27"/>
      <c r="AV75" s="27"/>
      <c r="AW75" s="27"/>
      <c r="AX75" s="28" t="str">
        <f>IF(AR75&lt;&gt;"",AR75,IF(AND(Hitung!B75=$E$1,Hitung!C75=0),M75,""))</f>
        <v/>
      </c>
      <c r="AY75" s="28" t="str">
        <f>IF(AS75&lt;&gt;"",AS75,IF(AND(Hitung!D75=$E$1,Hitung!E75=0),N75,""))</f>
        <v/>
      </c>
      <c r="AZ75" s="28" t="str">
        <f>IF(AT75&lt;&gt;"",AT75,IF(AND(Hitung!F75=$E$1,Hitung!G75=0),O75,""))</f>
        <v/>
      </c>
      <c r="BA75" s="28" t="str">
        <f>IF(AU75&lt;&gt;"",AU75,IF(AND(Hitung!H75=$E$1,Hitung!I75=0),P75,""))</f>
        <v/>
      </c>
      <c r="BB75" s="28" t="str">
        <f>IF(AV75&lt;&gt;"",AV75,IF(AND(Hitung!J75=$E$1,Hitung!K75=0),Q75,""))</f>
        <v/>
      </c>
      <c r="BC75" s="28" t="str">
        <f>IF(AW75&lt;&gt;"",AW75,IF(AND(Hitung!L75=$E$1,Hitung!M75=0),R75,""))</f>
        <v/>
      </c>
      <c r="BD75" s="29"/>
      <c r="BE75" s="20" t="str">
        <f t="shared" si="15"/>
        <v xml:space="preserve">Menunggu coder</v>
      </c>
      <c r="BF75" s="21" t="str">
        <f t="shared" si="16"/>
        <v/>
      </c>
      <c r="BG75" s="21" t="str">
        <f t="shared" si="17"/>
        <v/>
      </c>
      <c r="BH75" s="21" t="str">
        <f t="shared" si="18"/>
        <v/>
      </c>
      <c r="BI75" s="21" t="str">
        <f t="shared" si="19"/>
        <v/>
      </c>
      <c r="BJ75" s="21" t="str">
        <f t="shared" si="20"/>
        <v/>
      </c>
    </row>
    <row r="76" ht="48" customHeight="1">
      <c r="A76" s="20">
        <v>73</v>
      </c>
      <c r="B76" s="21" t="str">
        <f>IF(INDEX(Korpus!$A:$A,$A76)="","",INDEX(Korpus!$A:$A,$A76))</f>
        <v xml:space="preserve">UU 27 Thn 2022 (PDP)</v>
      </c>
      <c r="C76" s="21" t="str">
        <f>TRIM(INDEX(Korpus!$D:$D,$A76)&amp;" "&amp;INDEX(Korpus!$E:$E,$A76))</f>
        <v xml:space="preserve">Pasal 46</v>
      </c>
      <c r="D76" s="21" t="str">
        <f>IF(INDEX(Korpus!$B:$B,$A76)="","",INDEX(Korpus!$B:$B,$A76))</f>
        <v xml:space="preserve">BAB VI
KEWAJIBAN PENGENDALI DATA PRIBADI DAN PROSESOR DATA PRIBADI DALAM PEMROSESAN DATA PRIBADI</v>
      </c>
      <c r="E76" s="21" t="str">
        <f>IF(INDEX(Korpus!$C:$C,$A76)="","",INDEX(Korpus!$C:$C,$A76))</f>
        <v xml:space="preserve">Bagian Kedua
Kewajiban Pengendali Data Pribadi</v>
      </c>
      <c r="F76" s="21" t="str">
        <f>IF(INDEX(Korpus!$F:$F,$A76)="","",INDEX(Korpus!$F:$F,$A76))</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G76" s="22"/>
      <c r="H76" s="22"/>
      <c r="I76" s="22"/>
      <c r="J76" s="22"/>
      <c r="K76" s="22"/>
      <c r="L76" s="22"/>
      <c r="M76" s="23"/>
      <c r="N76" s="23"/>
      <c r="O76" s="23"/>
      <c r="P76" s="23"/>
      <c r="Q76" s="23"/>
      <c r="R76" s="23"/>
      <c r="S76" s="24"/>
      <c r="T76" s="24"/>
      <c r="U76" s="24"/>
      <c r="V76" s="24"/>
      <c r="W76" s="24"/>
      <c r="X76" s="24"/>
      <c r="Y76" s="25"/>
      <c r="Z76" s="25"/>
      <c r="AA76" s="25"/>
      <c r="AB76" s="25"/>
      <c r="AC76" s="25"/>
      <c r="AD76" s="25"/>
      <c r="AE76" s="26"/>
      <c r="AF76" s="26"/>
      <c r="AG76" s="26"/>
      <c r="AH76" s="26"/>
      <c r="AI76" s="26"/>
      <c r="AJ76" s="26"/>
      <c r="AK76" s="20" t="str">
        <f>IF(Hitung!B76&lt;$E$1,"",IF(Hitung!C76&gt;0,"Beda","Sama"))</f>
        <v/>
      </c>
      <c r="AL76" s="20" t="str">
        <f>IF(Hitung!D76&lt;$E$1,"",IF(Hitung!E76&gt;0,"Beda","Sama"))</f>
        <v/>
      </c>
      <c r="AM76" s="20" t="str">
        <f>IF(Hitung!F76&lt;$E$1,"",IF(Hitung!G76&gt;0,"Beda","Sama"))</f>
        <v/>
      </c>
      <c r="AN76" s="20" t="str">
        <f>IF(Hitung!H76&lt;$E$1,"",IF(Hitung!I76&gt;0,"Beda","Sama"))</f>
        <v/>
      </c>
      <c r="AO76" s="20" t="str">
        <f>IF(Hitung!J76&lt;$E$1,"",IF(Hitung!K76&gt;0,"Beda","Sama"))</f>
        <v/>
      </c>
      <c r="AP76" s="20" t="str">
        <f>IF(Hitung!L76&lt;$E$1,"",IF(Hitung!M76&gt;0,"Beda","Sama"))</f>
        <v/>
      </c>
      <c r="AQ76" s="20">
        <f t="shared" si="14"/>
        <v>0</v>
      </c>
      <c r="AR76" s="27"/>
      <c r="AS76" s="27"/>
      <c r="AT76" s="27"/>
      <c r="AU76" s="27"/>
      <c r="AV76" s="27"/>
      <c r="AW76" s="27"/>
      <c r="AX76" s="28" t="str">
        <f>IF(AR76&lt;&gt;"",AR76,IF(AND(Hitung!B76=$E$1,Hitung!C76=0),M76,""))</f>
        <v/>
      </c>
      <c r="AY76" s="28" t="str">
        <f>IF(AS76&lt;&gt;"",AS76,IF(AND(Hitung!D76=$E$1,Hitung!E76=0),N76,""))</f>
        <v/>
      </c>
      <c r="AZ76" s="28" t="str">
        <f>IF(AT76&lt;&gt;"",AT76,IF(AND(Hitung!F76=$E$1,Hitung!G76=0),O76,""))</f>
        <v/>
      </c>
      <c r="BA76" s="28" t="str">
        <f>IF(AU76&lt;&gt;"",AU76,IF(AND(Hitung!H76=$E$1,Hitung!I76=0),P76,""))</f>
        <v/>
      </c>
      <c r="BB76" s="28" t="str">
        <f>IF(AV76&lt;&gt;"",AV76,IF(AND(Hitung!J76=$E$1,Hitung!K76=0),Q76,""))</f>
        <v/>
      </c>
      <c r="BC76" s="28" t="str">
        <f>IF(AW76&lt;&gt;"",AW76,IF(AND(Hitung!L76=$E$1,Hitung!M76=0),R76,""))</f>
        <v/>
      </c>
      <c r="BD76" s="29"/>
      <c r="BE76" s="20" t="str">
        <f t="shared" si="15"/>
        <v xml:space="preserve">Menunggu coder</v>
      </c>
      <c r="BF76" s="21" t="str">
        <f t="shared" si="16"/>
        <v/>
      </c>
      <c r="BG76" s="21" t="str">
        <f t="shared" si="17"/>
        <v/>
      </c>
      <c r="BH76" s="21" t="str">
        <f t="shared" si="18"/>
        <v/>
      </c>
      <c r="BI76" s="21" t="str">
        <f t="shared" si="19"/>
        <v/>
      </c>
      <c r="BJ76" s="21" t="str">
        <f t="shared" si="20"/>
        <v/>
      </c>
    </row>
    <row r="77" ht="48" customHeight="1">
      <c r="A77" s="20">
        <v>74</v>
      </c>
      <c r="B77" s="21" t="str">
        <f>IF(INDEX(Korpus!$A:$A,$A77)="","",INDEX(Korpus!$A:$A,$A77))</f>
        <v xml:space="preserve">UU 27 Thn 2022 (PDP)</v>
      </c>
      <c r="C77" s="21" t="str">
        <f>TRIM(INDEX(Korpus!$D:$D,$A77)&amp;" "&amp;INDEX(Korpus!$E:$E,$A77))</f>
        <v xml:space="preserve">Pasal 47</v>
      </c>
      <c r="D77" s="21" t="str">
        <f>IF(INDEX(Korpus!$B:$B,$A77)="","",INDEX(Korpus!$B:$B,$A77))</f>
        <v xml:space="preserve">BAB VI
KEWAJIBAN PENGENDALI DATA PRIBADI DAN PROSESOR DATA PRIBADI DALAM PEMROSESAN DATA PRIBADI</v>
      </c>
      <c r="E77" s="21" t="str">
        <f>IF(INDEX(Korpus!$C:$C,$A77)="","",INDEX(Korpus!$C:$C,$A77))</f>
        <v xml:space="preserve">Bagian Kedua
Kewajiban Pengendali Data Pribadi</v>
      </c>
      <c r="F77" s="21" t="str">
        <f>IF(INDEX(Korpus!$F:$F,$A77)="","",INDEX(Korpus!$F:$F,$A77))</f>
        <v xml:space="preserve">Pengendali Data Pribadi wajib bertanggung jawab atas pemrosesan Data Pribadi dan menunjukkan pertanggungjawaban dalam pemenuhan kewajiban pelaksanaan prinsip Pelindungan Data Pribadi.</v>
      </c>
      <c r="G77" s="22"/>
      <c r="H77" s="22"/>
      <c r="I77" s="22"/>
      <c r="J77" s="22"/>
      <c r="K77" s="22"/>
      <c r="L77" s="22"/>
      <c r="M77" s="23"/>
      <c r="N77" s="23"/>
      <c r="O77" s="23"/>
      <c r="P77" s="23"/>
      <c r="Q77" s="23"/>
      <c r="R77" s="23"/>
      <c r="S77" s="24"/>
      <c r="T77" s="24"/>
      <c r="U77" s="24"/>
      <c r="V77" s="24"/>
      <c r="W77" s="24"/>
      <c r="X77" s="24"/>
      <c r="Y77" s="25"/>
      <c r="Z77" s="25"/>
      <c r="AA77" s="25"/>
      <c r="AB77" s="25"/>
      <c r="AC77" s="25"/>
      <c r="AD77" s="25"/>
      <c r="AE77" s="26"/>
      <c r="AF77" s="26"/>
      <c r="AG77" s="26"/>
      <c r="AH77" s="26"/>
      <c r="AI77" s="26"/>
      <c r="AJ77" s="26"/>
      <c r="AK77" s="20" t="str">
        <f>IF(Hitung!B77&lt;$E$1,"",IF(Hitung!C77&gt;0,"Beda","Sama"))</f>
        <v/>
      </c>
      <c r="AL77" s="20" t="str">
        <f>IF(Hitung!D77&lt;$E$1,"",IF(Hitung!E77&gt;0,"Beda","Sama"))</f>
        <v/>
      </c>
      <c r="AM77" s="20" t="str">
        <f>IF(Hitung!F77&lt;$E$1,"",IF(Hitung!G77&gt;0,"Beda","Sama"))</f>
        <v/>
      </c>
      <c r="AN77" s="20" t="str">
        <f>IF(Hitung!H77&lt;$E$1,"",IF(Hitung!I77&gt;0,"Beda","Sama"))</f>
        <v/>
      </c>
      <c r="AO77" s="20" t="str">
        <f>IF(Hitung!J77&lt;$E$1,"",IF(Hitung!K77&gt;0,"Beda","Sama"))</f>
        <v/>
      </c>
      <c r="AP77" s="20" t="str">
        <f>IF(Hitung!L77&lt;$E$1,"",IF(Hitung!M77&gt;0,"Beda","Sama"))</f>
        <v/>
      </c>
      <c r="AQ77" s="20">
        <f t="shared" si="14"/>
        <v>0</v>
      </c>
      <c r="AR77" s="27"/>
      <c r="AS77" s="27"/>
      <c r="AT77" s="27"/>
      <c r="AU77" s="27"/>
      <c r="AV77" s="27"/>
      <c r="AW77" s="27"/>
      <c r="AX77" s="28" t="str">
        <f>IF(AR77&lt;&gt;"",AR77,IF(AND(Hitung!B77=$E$1,Hitung!C77=0),M77,""))</f>
        <v/>
      </c>
      <c r="AY77" s="28" t="str">
        <f>IF(AS77&lt;&gt;"",AS77,IF(AND(Hitung!D77=$E$1,Hitung!E77=0),N77,""))</f>
        <v/>
      </c>
      <c r="AZ77" s="28" t="str">
        <f>IF(AT77&lt;&gt;"",AT77,IF(AND(Hitung!F77=$E$1,Hitung!G77=0),O77,""))</f>
        <v/>
      </c>
      <c r="BA77" s="28" t="str">
        <f>IF(AU77&lt;&gt;"",AU77,IF(AND(Hitung!H77=$E$1,Hitung!I77=0),P77,""))</f>
        <v/>
      </c>
      <c r="BB77" s="28" t="str">
        <f>IF(AV77&lt;&gt;"",AV77,IF(AND(Hitung!J77=$E$1,Hitung!K77=0),Q77,""))</f>
        <v/>
      </c>
      <c r="BC77" s="28" t="str">
        <f>IF(AW77&lt;&gt;"",AW77,IF(AND(Hitung!L77=$E$1,Hitung!M77=0),R77,""))</f>
        <v/>
      </c>
      <c r="BD77" s="29"/>
      <c r="BE77" s="20" t="str">
        <f t="shared" si="15"/>
        <v xml:space="preserve">Menunggu coder</v>
      </c>
      <c r="BF77" s="21" t="str">
        <f t="shared" si="16"/>
        <v/>
      </c>
      <c r="BG77" s="21" t="str">
        <f t="shared" si="17"/>
        <v/>
      </c>
      <c r="BH77" s="21" t="str">
        <f t="shared" si="18"/>
        <v/>
      </c>
      <c r="BI77" s="21" t="str">
        <f t="shared" si="19"/>
        <v/>
      </c>
      <c r="BJ77" s="21" t="str">
        <f t="shared" si="20"/>
        <v/>
      </c>
    </row>
    <row r="78" ht="48" customHeight="1">
      <c r="A78" s="20">
        <v>75</v>
      </c>
      <c r="B78" s="21" t="str">
        <f>IF(INDEX(Korpus!$A:$A,$A78)="","",INDEX(Korpus!$A:$A,$A78))</f>
        <v xml:space="preserve">UU 27 Thn 2022 (PDP)</v>
      </c>
      <c r="C78" s="21" t="str">
        <f>TRIM(INDEX(Korpus!$D:$D,$A78)&amp;" "&amp;INDEX(Korpus!$E:$E,$A78))</f>
        <v xml:space="preserve">Pasal 48</v>
      </c>
      <c r="D78" s="21" t="str">
        <f>IF(INDEX(Korpus!$B:$B,$A78)="","",INDEX(Korpus!$B:$B,$A78))</f>
        <v xml:space="preserve">BAB VI
KEWAJIBAN PENGENDALI DATA PRIBADI DAN PROSESOR DATA PRIBADI DALAM PEMROSESAN DATA PRIBADI</v>
      </c>
      <c r="E78" s="21" t="str">
        <f>IF(INDEX(Korpus!$C:$C,$A78)="","",INDEX(Korpus!$C:$C,$A78))</f>
        <v xml:space="preserve">Bagian Kedua
Kewajiban Pengendali Data Pribadi</v>
      </c>
      <c r="F78" s="21" t="str">
        <f>IF(INDEX(Korpus!$F:$F,$A78)="","",INDEX(Korpus!$F:$F,$A78))</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G78" s="22"/>
      <c r="H78" s="22"/>
      <c r="I78" s="22"/>
      <c r="J78" s="22"/>
      <c r="K78" s="22"/>
      <c r="L78" s="22"/>
      <c r="M78" s="23"/>
      <c r="N78" s="23"/>
      <c r="O78" s="23"/>
      <c r="P78" s="23"/>
      <c r="Q78" s="23"/>
      <c r="R78" s="23"/>
      <c r="S78" s="24"/>
      <c r="T78" s="24"/>
      <c r="U78" s="24"/>
      <c r="V78" s="24"/>
      <c r="W78" s="24"/>
      <c r="X78" s="24"/>
      <c r="Y78" s="25"/>
      <c r="Z78" s="25"/>
      <c r="AA78" s="25"/>
      <c r="AB78" s="25"/>
      <c r="AC78" s="25"/>
      <c r="AD78" s="25"/>
      <c r="AE78" s="26"/>
      <c r="AF78" s="26"/>
      <c r="AG78" s="26"/>
      <c r="AH78" s="26"/>
      <c r="AI78" s="26"/>
      <c r="AJ78" s="26"/>
      <c r="AK78" s="20" t="str">
        <f>IF(Hitung!B78&lt;$E$1,"",IF(Hitung!C78&gt;0,"Beda","Sama"))</f>
        <v/>
      </c>
      <c r="AL78" s="20" t="str">
        <f>IF(Hitung!D78&lt;$E$1,"",IF(Hitung!E78&gt;0,"Beda","Sama"))</f>
        <v/>
      </c>
      <c r="AM78" s="20" t="str">
        <f>IF(Hitung!F78&lt;$E$1,"",IF(Hitung!G78&gt;0,"Beda","Sama"))</f>
        <v/>
      </c>
      <c r="AN78" s="20" t="str">
        <f>IF(Hitung!H78&lt;$E$1,"",IF(Hitung!I78&gt;0,"Beda","Sama"))</f>
        <v/>
      </c>
      <c r="AO78" s="20" t="str">
        <f>IF(Hitung!J78&lt;$E$1,"",IF(Hitung!K78&gt;0,"Beda","Sama"))</f>
        <v/>
      </c>
      <c r="AP78" s="20" t="str">
        <f>IF(Hitung!L78&lt;$E$1,"",IF(Hitung!M78&gt;0,"Beda","Sama"))</f>
        <v/>
      </c>
      <c r="AQ78" s="20">
        <f t="shared" si="14"/>
        <v>0</v>
      </c>
      <c r="AR78" s="27"/>
      <c r="AS78" s="27"/>
      <c r="AT78" s="27"/>
      <c r="AU78" s="27"/>
      <c r="AV78" s="27"/>
      <c r="AW78" s="27"/>
      <c r="AX78" s="28" t="str">
        <f>IF(AR78&lt;&gt;"",AR78,IF(AND(Hitung!B78=$E$1,Hitung!C78=0),M78,""))</f>
        <v/>
      </c>
      <c r="AY78" s="28" t="str">
        <f>IF(AS78&lt;&gt;"",AS78,IF(AND(Hitung!D78=$E$1,Hitung!E78=0),N78,""))</f>
        <v/>
      </c>
      <c r="AZ78" s="28" t="str">
        <f>IF(AT78&lt;&gt;"",AT78,IF(AND(Hitung!F78=$E$1,Hitung!G78=0),O78,""))</f>
        <v/>
      </c>
      <c r="BA78" s="28" t="str">
        <f>IF(AU78&lt;&gt;"",AU78,IF(AND(Hitung!H78=$E$1,Hitung!I78=0),P78,""))</f>
        <v/>
      </c>
      <c r="BB78" s="28" t="str">
        <f>IF(AV78&lt;&gt;"",AV78,IF(AND(Hitung!J78=$E$1,Hitung!K78=0),Q78,""))</f>
        <v/>
      </c>
      <c r="BC78" s="28" t="str">
        <f>IF(AW78&lt;&gt;"",AW78,IF(AND(Hitung!L78=$E$1,Hitung!M78=0),R78,""))</f>
        <v/>
      </c>
      <c r="BD78" s="29"/>
      <c r="BE78" s="20" t="str">
        <f t="shared" si="15"/>
        <v xml:space="preserve">Menunggu coder</v>
      </c>
      <c r="BF78" s="21" t="str">
        <f t="shared" si="16"/>
        <v/>
      </c>
      <c r="BG78" s="21" t="str">
        <f t="shared" si="17"/>
        <v/>
      </c>
      <c r="BH78" s="21" t="str">
        <f t="shared" si="18"/>
        <v/>
      </c>
      <c r="BI78" s="21" t="str">
        <f t="shared" si="19"/>
        <v/>
      </c>
      <c r="BJ78" s="21" t="str">
        <f t="shared" si="20"/>
        <v/>
      </c>
    </row>
    <row r="79" ht="48" customHeight="1">
      <c r="A79" s="20">
        <v>76</v>
      </c>
      <c r="B79" s="21" t="str">
        <f>IF(INDEX(Korpus!$A:$A,$A79)="","",INDEX(Korpus!$A:$A,$A79))</f>
        <v xml:space="preserve">UU 27 Thn 2022 (PDP)</v>
      </c>
      <c r="C79" s="21" t="str">
        <f>TRIM(INDEX(Korpus!$D:$D,$A79)&amp;" "&amp;INDEX(Korpus!$E:$E,$A79))</f>
        <v xml:space="preserve">Pasal 49</v>
      </c>
      <c r="D79" s="21" t="str">
        <f>IF(INDEX(Korpus!$B:$B,$A79)="","",INDEX(Korpus!$B:$B,$A79))</f>
        <v xml:space="preserve">BAB VI
KEWAJIBAN PENGENDALI DATA PRIBADI DAN PROSESOR DATA PRIBADI DALAM PEMROSESAN DATA PRIBADI</v>
      </c>
      <c r="E79" s="21" t="str">
        <f>IF(INDEX(Korpus!$C:$C,$A79)="","",INDEX(Korpus!$C:$C,$A79))</f>
        <v xml:space="preserve">Bagian Kedua
Kewajiban Pengendali Data Pribadi</v>
      </c>
      <c r="F79" s="21" t="str">
        <f>IF(INDEX(Korpus!$F:$F,$A79)="","",INDEX(Korpus!$F:$F,$A79))</f>
        <v xml:space="preserve">Pengendali Data Pribadi dan/ atau Prosesor Data Pribadi wajib melaksanakan perintah lembaga dalam rangka penyelenggaraan Pelindungan Data Pribadi sesuai dengan Undang-Undang ini.</v>
      </c>
      <c r="G79" s="22"/>
      <c r="H79" s="22"/>
      <c r="I79" s="22"/>
      <c r="J79" s="22"/>
      <c r="K79" s="22"/>
      <c r="L79" s="22"/>
      <c r="M79" s="23"/>
      <c r="N79" s="23"/>
      <c r="O79" s="23"/>
      <c r="P79" s="23"/>
      <c r="Q79" s="23"/>
      <c r="R79" s="23"/>
      <c r="S79" s="24"/>
      <c r="T79" s="24"/>
      <c r="U79" s="24"/>
      <c r="V79" s="24"/>
      <c r="W79" s="24"/>
      <c r="X79" s="24"/>
      <c r="Y79" s="25"/>
      <c r="Z79" s="25"/>
      <c r="AA79" s="25"/>
      <c r="AB79" s="25"/>
      <c r="AC79" s="25"/>
      <c r="AD79" s="25"/>
      <c r="AE79" s="26"/>
      <c r="AF79" s="26"/>
      <c r="AG79" s="26"/>
      <c r="AH79" s="26"/>
      <c r="AI79" s="26"/>
      <c r="AJ79" s="26"/>
      <c r="AK79" s="20" t="str">
        <f>IF(Hitung!B79&lt;$E$1,"",IF(Hitung!C79&gt;0,"Beda","Sama"))</f>
        <v/>
      </c>
      <c r="AL79" s="20" t="str">
        <f>IF(Hitung!D79&lt;$E$1,"",IF(Hitung!E79&gt;0,"Beda","Sama"))</f>
        <v/>
      </c>
      <c r="AM79" s="20" t="str">
        <f>IF(Hitung!F79&lt;$E$1,"",IF(Hitung!G79&gt;0,"Beda","Sama"))</f>
        <v/>
      </c>
      <c r="AN79" s="20" t="str">
        <f>IF(Hitung!H79&lt;$E$1,"",IF(Hitung!I79&gt;0,"Beda","Sama"))</f>
        <v/>
      </c>
      <c r="AO79" s="20" t="str">
        <f>IF(Hitung!J79&lt;$E$1,"",IF(Hitung!K79&gt;0,"Beda","Sama"))</f>
        <v/>
      </c>
      <c r="AP79" s="20" t="str">
        <f>IF(Hitung!L79&lt;$E$1,"",IF(Hitung!M79&gt;0,"Beda","Sama"))</f>
        <v/>
      </c>
      <c r="AQ79" s="20">
        <f t="shared" si="14"/>
        <v>0</v>
      </c>
      <c r="AR79" s="27"/>
      <c r="AS79" s="27"/>
      <c r="AT79" s="27"/>
      <c r="AU79" s="27"/>
      <c r="AV79" s="27"/>
      <c r="AW79" s="27"/>
      <c r="AX79" s="28" t="str">
        <f>IF(AR79&lt;&gt;"",AR79,IF(AND(Hitung!B79=$E$1,Hitung!C79=0),M79,""))</f>
        <v/>
      </c>
      <c r="AY79" s="28" t="str">
        <f>IF(AS79&lt;&gt;"",AS79,IF(AND(Hitung!D79=$E$1,Hitung!E79=0),N79,""))</f>
        <v/>
      </c>
      <c r="AZ79" s="28" t="str">
        <f>IF(AT79&lt;&gt;"",AT79,IF(AND(Hitung!F79=$E$1,Hitung!G79=0),O79,""))</f>
        <v/>
      </c>
      <c r="BA79" s="28" t="str">
        <f>IF(AU79&lt;&gt;"",AU79,IF(AND(Hitung!H79=$E$1,Hitung!I79=0),P79,""))</f>
        <v/>
      </c>
      <c r="BB79" s="28" t="str">
        <f>IF(AV79&lt;&gt;"",AV79,IF(AND(Hitung!J79=$E$1,Hitung!K79=0),Q79,""))</f>
        <v/>
      </c>
      <c r="BC79" s="28" t="str">
        <f>IF(AW79&lt;&gt;"",AW79,IF(AND(Hitung!L79=$E$1,Hitung!M79=0),R79,""))</f>
        <v/>
      </c>
      <c r="BD79" s="29"/>
      <c r="BE79" s="20" t="str">
        <f t="shared" si="15"/>
        <v xml:space="preserve">Menunggu coder</v>
      </c>
      <c r="BF79" s="21" t="str">
        <f t="shared" si="16"/>
        <v/>
      </c>
      <c r="BG79" s="21" t="str">
        <f t="shared" si="17"/>
        <v/>
      </c>
      <c r="BH79" s="21" t="str">
        <f t="shared" si="18"/>
        <v/>
      </c>
      <c r="BI79" s="21" t="str">
        <f t="shared" si="19"/>
        <v/>
      </c>
      <c r="BJ79" s="21" t="str">
        <f t="shared" si="20"/>
        <v/>
      </c>
    </row>
    <row r="80" ht="48" customHeight="1">
      <c r="A80" s="20">
        <v>77</v>
      </c>
      <c r="B80" s="21" t="str">
        <f>IF(INDEX(Korpus!$A:$A,$A80)="","",INDEX(Korpus!$A:$A,$A80))</f>
        <v xml:space="preserve">UU 27 Thn 2022 (PDP)</v>
      </c>
      <c r="C80" s="21" t="str">
        <f>TRIM(INDEX(Korpus!$D:$D,$A80)&amp;" "&amp;INDEX(Korpus!$E:$E,$A80))</f>
        <v xml:space="preserve">Pasal 50</v>
      </c>
      <c r="D80" s="21" t="str">
        <f>IF(INDEX(Korpus!$B:$B,$A80)="","",INDEX(Korpus!$B:$B,$A80))</f>
        <v xml:space="preserve">BAB VI
KEWAJIBAN PENGENDALI DATA PRIBADI DAN PROSESOR DATA PRIBADI DALAM PEMROSESAN DATA PRIBADI</v>
      </c>
      <c r="E80" s="21" t="str">
        <f>IF(INDEX(Korpus!$C:$C,$A80)="","",INDEX(Korpus!$C:$C,$A80))</f>
        <v xml:space="preserve">Bagian Kedua
Kewajiban Pengendali Data Pribadi</v>
      </c>
      <c r="F80" s="21" t="str">
        <f>IF(INDEX(Korpus!$F:$F,$A80)="","",INDEX(Korpus!$F:$F,$A80))</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G80" s="22"/>
      <c r="H80" s="22"/>
      <c r="I80" s="22"/>
      <c r="J80" s="22"/>
      <c r="K80" s="22"/>
      <c r="L80" s="22"/>
      <c r="M80" s="23"/>
      <c r="N80" s="23"/>
      <c r="O80" s="23"/>
      <c r="P80" s="23"/>
      <c r="Q80" s="23"/>
      <c r="R80" s="23"/>
      <c r="S80" s="24"/>
      <c r="T80" s="24"/>
      <c r="U80" s="24"/>
      <c r="V80" s="24"/>
      <c r="W80" s="24"/>
      <c r="X80" s="24"/>
      <c r="Y80" s="25"/>
      <c r="Z80" s="25"/>
      <c r="AA80" s="25"/>
      <c r="AB80" s="25"/>
      <c r="AC80" s="25"/>
      <c r="AD80" s="25"/>
      <c r="AE80" s="26"/>
      <c r="AF80" s="26"/>
      <c r="AG80" s="26"/>
      <c r="AH80" s="26"/>
      <c r="AI80" s="26"/>
      <c r="AJ80" s="26"/>
      <c r="AK80" s="20" t="str">
        <f>IF(Hitung!B80&lt;$E$1,"",IF(Hitung!C80&gt;0,"Beda","Sama"))</f>
        <v/>
      </c>
      <c r="AL80" s="20" t="str">
        <f>IF(Hitung!D80&lt;$E$1,"",IF(Hitung!E80&gt;0,"Beda","Sama"))</f>
        <v/>
      </c>
      <c r="AM80" s="20" t="str">
        <f>IF(Hitung!F80&lt;$E$1,"",IF(Hitung!G80&gt;0,"Beda","Sama"))</f>
        <v/>
      </c>
      <c r="AN80" s="20" t="str">
        <f>IF(Hitung!H80&lt;$E$1,"",IF(Hitung!I80&gt;0,"Beda","Sama"))</f>
        <v/>
      </c>
      <c r="AO80" s="20" t="str">
        <f>IF(Hitung!J80&lt;$E$1,"",IF(Hitung!K80&gt;0,"Beda","Sama"))</f>
        <v/>
      </c>
      <c r="AP80" s="20" t="str">
        <f>IF(Hitung!L80&lt;$E$1,"",IF(Hitung!M80&gt;0,"Beda","Sama"))</f>
        <v/>
      </c>
      <c r="AQ80" s="20">
        <f t="shared" si="14"/>
        <v>0</v>
      </c>
      <c r="AR80" s="27"/>
      <c r="AS80" s="27"/>
      <c r="AT80" s="27"/>
      <c r="AU80" s="27"/>
      <c r="AV80" s="27"/>
      <c r="AW80" s="27"/>
      <c r="AX80" s="28" t="str">
        <f>IF(AR80&lt;&gt;"",AR80,IF(AND(Hitung!B80=$E$1,Hitung!C80=0),M80,""))</f>
        <v/>
      </c>
      <c r="AY80" s="28" t="str">
        <f>IF(AS80&lt;&gt;"",AS80,IF(AND(Hitung!D80=$E$1,Hitung!E80=0),N80,""))</f>
        <v/>
      </c>
      <c r="AZ80" s="28" t="str">
        <f>IF(AT80&lt;&gt;"",AT80,IF(AND(Hitung!F80=$E$1,Hitung!G80=0),O80,""))</f>
        <v/>
      </c>
      <c r="BA80" s="28" t="str">
        <f>IF(AU80&lt;&gt;"",AU80,IF(AND(Hitung!H80=$E$1,Hitung!I80=0),P80,""))</f>
        <v/>
      </c>
      <c r="BB80" s="28" t="str">
        <f>IF(AV80&lt;&gt;"",AV80,IF(AND(Hitung!J80=$E$1,Hitung!K80=0),Q80,""))</f>
        <v/>
      </c>
      <c r="BC80" s="28" t="str">
        <f>IF(AW80&lt;&gt;"",AW80,IF(AND(Hitung!L80=$E$1,Hitung!M80=0),R80,""))</f>
        <v/>
      </c>
      <c r="BD80" s="29"/>
      <c r="BE80" s="20" t="str">
        <f t="shared" si="15"/>
        <v xml:space="preserve">Menunggu coder</v>
      </c>
      <c r="BF80" s="21" t="str">
        <f t="shared" si="16"/>
        <v/>
      </c>
      <c r="BG80" s="21" t="str">
        <f t="shared" si="17"/>
        <v/>
      </c>
      <c r="BH80" s="21" t="str">
        <f t="shared" si="18"/>
        <v/>
      </c>
      <c r="BI80" s="21" t="str">
        <f t="shared" si="19"/>
        <v/>
      </c>
      <c r="BJ80" s="21" t="str">
        <f t="shared" si="20"/>
        <v/>
      </c>
    </row>
    <row r="81" ht="48" customHeight="1">
      <c r="A81" s="20">
        <v>78</v>
      </c>
      <c r="B81" s="21" t="str">
        <f>IF(INDEX(Korpus!$A:$A,$A81)="","",INDEX(Korpus!$A:$A,$A81))</f>
        <v xml:space="preserve">UU 27 Thn 2022 (PDP)</v>
      </c>
      <c r="C81" s="21" t="str">
        <f>TRIM(INDEX(Korpus!$D:$D,$A81)&amp;" "&amp;INDEX(Korpus!$E:$E,$A81))</f>
        <v xml:space="preserve">Pasal 51</v>
      </c>
      <c r="D81" s="21" t="str">
        <f>IF(INDEX(Korpus!$B:$B,$A81)="","",INDEX(Korpus!$B:$B,$A81))</f>
        <v xml:space="preserve">BAB VI
KEWAJIBAN PENGENDALI DATA PRIBADI DAN PROSESOR DATA PRIBADI DALAM PEMROSESAN DATA PRIBADI</v>
      </c>
      <c r="E81" s="21" t="str">
        <f>IF(INDEX(Korpus!$C:$C,$A81)="","",INDEX(Korpus!$C:$C,$A81))</f>
        <v xml:space="preserve">Bagian Ketiga
Kewajiban Prosesor Data Pribadi</v>
      </c>
      <c r="F81" s="21" t="str">
        <f>IF(INDEX(Korpus!$F:$F,$A81)="","",INDEX(Korpus!$F:$F,$A81))</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G81" s="22"/>
      <c r="H81" s="22"/>
      <c r="I81" s="22"/>
      <c r="J81" s="22"/>
      <c r="K81" s="22"/>
      <c r="L81" s="22"/>
      <c r="M81" s="23"/>
      <c r="N81" s="23"/>
      <c r="O81" s="23"/>
      <c r="P81" s="23"/>
      <c r="Q81" s="23"/>
      <c r="R81" s="23"/>
      <c r="S81" s="24"/>
      <c r="T81" s="24"/>
      <c r="U81" s="24"/>
      <c r="V81" s="24"/>
      <c r="W81" s="24"/>
      <c r="X81" s="24"/>
      <c r="Y81" s="25"/>
      <c r="Z81" s="25"/>
      <c r="AA81" s="25"/>
      <c r="AB81" s="25"/>
      <c r="AC81" s="25"/>
      <c r="AD81" s="25"/>
      <c r="AE81" s="26"/>
      <c r="AF81" s="26"/>
      <c r="AG81" s="26"/>
      <c r="AH81" s="26"/>
      <c r="AI81" s="26"/>
      <c r="AJ81" s="26"/>
      <c r="AK81" s="20" t="str">
        <f>IF(Hitung!B81&lt;$E$1,"",IF(Hitung!C81&gt;0,"Beda","Sama"))</f>
        <v/>
      </c>
      <c r="AL81" s="20" t="str">
        <f>IF(Hitung!D81&lt;$E$1,"",IF(Hitung!E81&gt;0,"Beda","Sama"))</f>
        <v/>
      </c>
      <c r="AM81" s="20" t="str">
        <f>IF(Hitung!F81&lt;$E$1,"",IF(Hitung!G81&gt;0,"Beda","Sama"))</f>
        <v/>
      </c>
      <c r="AN81" s="20" t="str">
        <f>IF(Hitung!H81&lt;$E$1,"",IF(Hitung!I81&gt;0,"Beda","Sama"))</f>
        <v/>
      </c>
      <c r="AO81" s="20" t="str">
        <f>IF(Hitung!J81&lt;$E$1,"",IF(Hitung!K81&gt;0,"Beda","Sama"))</f>
        <v/>
      </c>
      <c r="AP81" s="20" t="str">
        <f>IF(Hitung!L81&lt;$E$1,"",IF(Hitung!M81&gt;0,"Beda","Sama"))</f>
        <v/>
      </c>
      <c r="AQ81" s="20">
        <f t="shared" si="14"/>
        <v>0</v>
      </c>
      <c r="AR81" s="27"/>
      <c r="AS81" s="27"/>
      <c r="AT81" s="27"/>
      <c r="AU81" s="27"/>
      <c r="AV81" s="27"/>
      <c r="AW81" s="27"/>
      <c r="AX81" s="28" t="str">
        <f>IF(AR81&lt;&gt;"",AR81,IF(AND(Hitung!B81=$E$1,Hitung!C81=0),M81,""))</f>
        <v/>
      </c>
      <c r="AY81" s="28" t="str">
        <f>IF(AS81&lt;&gt;"",AS81,IF(AND(Hitung!D81=$E$1,Hitung!E81=0),N81,""))</f>
        <v/>
      </c>
      <c r="AZ81" s="28" t="str">
        <f>IF(AT81&lt;&gt;"",AT81,IF(AND(Hitung!F81=$E$1,Hitung!G81=0),O81,""))</f>
        <v/>
      </c>
      <c r="BA81" s="28" t="str">
        <f>IF(AU81&lt;&gt;"",AU81,IF(AND(Hitung!H81=$E$1,Hitung!I81=0),P81,""))</f>
        <v/>
      </c>
      <c r="BB81" s="28" t="str">
        <f>IF(AV81&lt;&gt;"",AV81,IF(AND(Hitung!J81=$E$1,Hitung!K81=0),Q81,""))</f>
        <v/>
      </c>
      <c r="BC81" s="28" t="str">
        <f>IF(AW81&lt;&gt;"",AW81,IF(AND(Hitung!L81=$E$1,Hitung!M81=0),R81,""))</f>
        <v/>
      </c>
      <c r="BD81" s="29"/>
      <c r="BE81" s="20" t="str">
        <f t="shared" si="15"/>
        <v xml:space="preserve">Menunggu coder</v>
      </c>
      <c r="BF81" s="21" t="str">
        <f t="shared" si="16"/>
        <v/>
      </c>
      <c r="BG81" s="21" t="str">
        <f t="shared" si="17"/>
        <v/>
      </c>
      <c r="BH81" s="21" t="str">
        <f t="shared" si="18"/>
        <v/>
      </c>
      <c r="BI81" s="21" t="str">
        <f t="shared" si="19"/>
        <v/>
      </c>
      <c r="BJ81" s="21" t="str">
        <f t="shared" si="20"/>
        <v/>
      </c>
    </row>
    <row r="82" ht="48" customHeight="1">
      <c r="A82" s="20">
        <v>79</v>
      </c>
      <c r="B82" s="21" t="str">
        <f>IF(INDEX(Korpus!$A:$A,$A82)="","",INDEX(Korpus!$A:$A,$A82))</f>
        <v xml:space="preserve">UU 27 Thn 2022 (PDP)</v>
      </c>
      <c r="C82" s="21" t="str">
        <f>TRIM(INDEX(Korpus!$D:$D,$A82)&amp;" "&amp;INDEX(Korpus!$E:$E,$A82))</f>
        <v xml:space="preserve">Pasal 52</v>
      </c>
      <c r="D82" s="21" t="str">
        <f>IF(INDEX(Korpus!$B:$B,$A82)="","",INDEX(Korpus!$B:$B,$A82))</f>
        <v xml:space="preserve">BAB VI
KEWAJIBAN PENGENDALI DATA PRIBADI DAN PROSESOR DATA PRIBADI DALAM PEMROSESAN DATA PRIBADI</v>
      </c>
      <c r="E82" s="21" t="str">
        <f>IF(INDEX(Korpus!$C:$C,$A82)="","",INDEX(Korpus!$C:$C,$A82))</f>
        <v xml:space="preserve">Bagian Ketiga
Kewajiban Prosesor Data Pribadi</v>
      </c>
      <c r="F82" s="21" t="str">
        <f>IF(INDEX(Korpus!$F:$F,$A82)="","",INDEX(Korpus!$F:$F,$A82))</f>
        <v xml:space="preserve">Ketentuan mengenai kewajiban Pengendali Data Pribadi sebagaimana dimaksud dalam Pasal 29, Pasal 31, Pasal 35, Pasal 36, Pasal 37, Pasal 38, dan Pasal 39 berlaku juga terhadap Prosesor Data Pribadi.</v>
      </c>
      <c r="G82" s="22"/>
      <c r="H82" s="22"/>
      <c r="I82" s="22"/>
      <c r="J82" s="22"/>
      <c r="K82" s="22"/>
      <c r="L82" s="22"/>
      <c r="M82" s="23" t="s">
        <v>136</v>
      </c>
      <c r="N82" s="23" t="s">
        <v>111</v>
      </c>
      <c r="O82" s="23" t="s">
        <v>129</v>
      </c>
      <c r="P82" s="23" t="s">
        <v>128</v>
      </c>
      <c r="Q82" s="23" t="s">
        <v>132</v>
      </c>
      <c r="R82" s="23" t="s">
        <v>125</v>
      </c>
      <c r="S82" s="24"/>
      <c r="T82" s="24"/>
      <c r="U82" s="24"/>
      <c r="V82" s="24"/>
      <c r="W82" s="24"/>
      <c r="X82" s="24"/>
      <c r="Y82" s="25"/>
      <c r="Z82" s="25"/>
      <c r="AA82" s="25"/>
      <c r="AB82" s="25"/>
      <c r="AC82" s="25"/>
      <c r="AD82" s="25"/>
      <c r="AE82" s="26"/>
      <c r="AF82" s="26"/>
      <c r="AG82" s="26"/>
      <c r="AH82" s="26"/>
      <c r="AI82" s="26"/>
      <c r="AJ82" s="26"/>
      <c r="AK82" s="20" t="str">
        <f>IF(Hitung!B82&lt;$E$1,"",IF(Hitung!C82&gt;0,"Beda","Sama"))</f>
        <v/>
      </c>
      <c r="AL82" s="20" t="str">
        <f>IF(Hitung!D82&lt;$E$1,"",IF(Hitung!E82&gt;0,"Beda","Sama"))</f>
        <v/>
      </c>
      <c r="AM82" s="20" t="str">
        <f>IF(Hitung!F82&lt;$E$1,"",IF(Hitung!G82&gt;0,"Beda","Sama"))</f>
        <v/>
      </c>
      <c r="AN82" s="20" t="str">
        <f>IF(Hitung!H82&lt;$E$1,"",IF(Hitung!I82&gt;0,"Beda","Sama"))</f>
        <v/>
      </c>
      <c r="AO82" s="20" t="str">
        <f>IF(Hitung!J82&lt;$E$1,"",IF(Hitung!K82&gt;0,"Beda","Sama"))</f>
        <v/>
      </c>
      <c r="AP82" s="20" t="str">
        <f>IF(Hitung!L82&lt;$E$1,"",IF(Hitung!M82&gt;0,"Beda","Sama"))</f>
        <v/>
      </c>
      <c r="AQ82" s="20">
        <f t="shared" si="14"/>
        <v>0</v>
      </c>
      <c r="AR82" s="27"/>
      <c r="AS82" s="27"/>
      <c r="AT82" s="27"/>
      <c r="AU82" s="27"/>
      <c r="AV82" s="27"/>
      <c r="AW82" s="27"/>
      <c r="AX82" s="28" t="str">
        <f>IF(AR82&lt;&gt;"",AR82,IF(AND(Hitung!B82=$E$1,Hitung!C82=0),M82,""))</f>
        <v/>
      </c>
      <c r="AY82" s="28" t="str">
        <f>IF(AS82&lt;&gt;"",AS82,IF(AND(Hitung!D82=$E$1,Hitung!E82=0),N82,""))</f>
        <v/>
      </c>
      <c r="AZ82" s="28" t="str">
        <f>IF(AT82&lt;&gt;"",AT82,IF(AND(Hitung!F82=$E$1,Hitung!G82=0),O82,""))</f>
        <v/>
      </c>
      <c r="BA82" s="28" t="str">
        <f>IF(AU82&lt;&gt;"",AU82,IF(AND(Hitung!H82=$E$1,Hitung!I82=0),P82,""))</f>
        <v/>
      </c>
      <c r="BB82" s="28" t="str">
        <f>IF(AV82&lt;&gt;"",AV82,IF(AND(Hitung!J82=$E$1,Hitung!K82=0),Q82,""))</f>
        <v/>
      </c>
      <c r="BC82" s="28" t="str">
        <f>IF(AW82&lt;&gt;"",AW82,IF(AND(Hitung!L82=$E$1,Hitung!M82=0),R82,""))</f>
        <v/>
      </c>
      <c r="BD82" s="29"/>
      <c r="BE82" s="20" t="str">
        <f t="shared" si="15"/>
        <v xml:space="preserve">Menunggu coder</v>
      </c>
      <c r="BF82" s="21" t="str">
        <f t="shared" si="16"/>
        <v/>
      </c>
      <c r="BG82" s="21" t="str">
        <f t="shared" si="17"/>
        <v/>
      </c>
      <c r="BH82" s="21" t="str">
        <f t="shared" si="18"/>
        <v/>
      </c>
      <c r="BI82" s="21" t="str">
        <f t="shared" si="19"/>
        <v/>
      </c>
      <c r="BJ82" s="21" t="str">
        <f t="shared" si="20"/>
        <v/>
      </c>
      <c r="BK82" s="8" t="s">
        <v>119</v>
      </c>
    </row>
    <row r="83" ht="48" customHeight="1">
      <c r="A83" s="20">
        <v>80</v>
      </c>
      <c r="B83" s="21" t="str">
        <f>IF(INDEX(Korpus!$A:$A,$A83)="","",INDEX(Korpus!$A:$A,$A83))</f>
        <v xml:space="preserve">UU 27 Thn 2022 (PDP)</v>
      </c>
      <c r="C83" s="21" t="str">
        <f>TRIM(INDEX(Korpus!$D:$D,$A83)&amp;" "&amp;INDEX(Korpus!$E:$E,$A83))</f>
        <v xml:space="preserve">Pasal 53</v>
      </c>
      <c r="D83" s="21" t="str">
        <f>IF(INDEX(Korpus!$B:$B,$A83)="","",INDEX(Korpus!$B:$B,$A83))</f>
        <v xml:space="preserve">BAB VI
KEWAJIBAN PENGENDALI DATA PRIBADI DAN PROSESOR DATA PRIBADI DALAM PEMROSESAN DATA PRIBADI</v>
      </c>
      <c r="E83" s="21" t="str">
        <f>IF(INDEX(Korpus!$C:$C,$A83)="","",INDEX(Korpus!$C:$C,$A83))</f>
        <v xml:space="preserve">Bagian Keempat
Pejabat atau Petugas yang Melaksanakan Fungsi Pelindungan Data Pribadi</v>
      </c>
      <c r="F83" s="21" t="str">
        <f>IF(INDEX(Korpus!$F:$F,$A83)="","",INDEX(Korpus!$F:$F,$A83))</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G83" s="22"/>
      <c r="H83" s="22"/>
      <c r="I83" s="22"/>
      <c r="J83" s="22"/>
      <c r="K83" s="22"/>
      <c r="L83" s="22"/>
      <c r="M83" s="23"/>
      <c r="N83" s="23"/>
      <c r="O83" s="23"/>
      <c r="P83" s="23"/>
      <c r="Q83" s="23"/>
      <c r="R83" s="23"/>
      <c r="S83" s="24"/>
      <c r="T83" s="24"/>
      <c r="U83" s="24"/>
      <c r="V83" s="24"/>
      <c r="W83" s="24"/>
      <c r="X83" s="24"/>
      <c r="Y83" s="25"/>
      <c r="Z83" s="25"/>
      <c r="AA83" s="25"/>
      <c r="AB83" s="25"/>
      <c r="AC83" s="25"/>
      <c r="AD83" s="25"/>
      <c r="AE83" s="26"/>
      <c r="AF83" s="26"/>
      <c r="AG83" s="26"/>
      <c r="AH83" s="26"/>
      <c r="AI83" s="26"/>
      <c r="AJ83" s="26"/>
      <c r="AK83" s="20" t="str">
        <f>IF(Hitung!B83&lt;$E$1,"",IF(Hitung!C83&gt;0,"Beda","Sama"))</f>
        <v/>
      </c>
      <c r="AL83" s="20" t="str">
        <f>IF(Hitung!D83&lt;$E$1,"",IF(Hitung!E83&gt;0,"Beda","Sama"))</f>
        <v/>
      </c>
      <c r="AM83" s="20" t="str">
        <f>IF(Hitung!F83&lt;$E$1,"",IF(Hitung!G83&gt;0,"Beda","Sama"))</f>
        <v/>
      </c>
      <c r="AN83" s="20" t="str">
        <f>IF(Hitung!H83&lt;$E$1,"",IF(Hitung!I83&gt;0,"Beda","Sama"))</f>
        <v/>
      </c>
      <c r="AO83" s="20" t="str">
        <f>IF(Hitung!J83&lt;$E$1,"",IF(Hitung!K83&gt;0,"Beda","Sama"))</f>
        <v/>
      </c>
      <c r="AP83" s="20" t="str">
        <f>IF(Hitung!L83&lt;$E$1,"",IF(Hitung!M83&gt;0,"Beda","Sama"))</f>
        <v/>
      </c>
      <c r="AQ83" s="20">
        <f t="shared" si="14"/>
        <v>0</v>
      </c>
      <c r="AR83" s="27"/>
      <c r="AS83" s="27"/>
      <c r="AT83" s="27"/>
      <c r="AU83" s="27"/>
      <c r="AV83" s="27"/>
      <c r="AW83" s="27"/>
      <c r="AX83" s="28" t="str">
        <f>IF(AR83&lt;&gt;"",AR83,IF(AND(Hitung!B83=$E$1,Hitung!C83=0),M83,""))</f>
        <v/>
      </c>
      <c r="AY83" s="28" t="str">
        <f>IF(AS83&lt;&gt;"",AS83,IF(AND(Hitung!D83=$E$1,Hitung!E83=0),N83,""))</f>
        <v/>
      </c>
      <c r="AZ83" s="28" t="str">
        <f>IF(AT83&lt;&gt;"",AT83,IF(AND(Hitung!F83=$E$1,Hitung!G83=0),O83,""))</f>
        <v/>
      </c>
      <c r="BA83" s="28" t="str">
        <f>IF(AU83&lt;&gt;"",AU83,IF(AND(Hitung!H83=$E$1,Hitung!I83=0),P83,""))</f>
        <v/>
      </c>
      <c r="BB83" s="28" t="str">
        <f>IF(AV83&lt;&gt;"",AV83,IF(AND(Hitung!J83=$E$1,Hitung!K83=0),Q83,""))</f>
        <v/>
      </c>
      <c r="BC83" s="28" t="str">
        <f>IF(AW83&lt;&gt;"",AW83,IF(AND(Hitung!L83=$E$1,Hitung!M83=0),R83,""))</f>
        <v/>
      </c>
      <c r="BD83" s="29"/>
      <c r="BE83" s="20" t="str">
        <f t="shared" si="15"/>
        <v xml:space="preserve">Menunggu coder</v>
      </c>
      <c r="BF83" s="21" t="str">
        <f t="shared" si="16"/>
        <v/>
      </c>
      <c r="BG83" s="21" t="str">
        <f t="shared" si="17"/>
        <v/>
      </c>
      <c r="BH83" s="21" t="str">
        <f t="shared" si="18"/>
        <v/>
      </c>
      <c r="BI83" s="21" t="str">
        <f t="shared" si="19"/>
        <v/>
      </c>
      <c r="BJ83" s="21" t="str">
        <f t="shared" si="20"/>
        <v/>
      </c>
    </row>
    <row r="84" ht="48" customHeight="1">
      <c r="A84" s="20">
        <v>81</v>
      </c>
      <c r="B84" s="21" t="str">
        <f>IF(INDEX(Korpus!$A:$A,$A84)="","",INDEX(Korpus!$A:$A,$A84))</f>
        <v xml:space="preserve">UU 27 Thn 2022 (PDP)</v>
      </c>
      <c r="C84" s="21" t="str">
        <f>TRIM(INDEX(Korpus!$D:$D,$A84)&amp;" "&amp;INDEX(Korpus!$E:$E,$A84))</f>
        <v xml:space="preserve">Pasal 55</v>
      </c>
      <c r="D84" s="21" t="str">
        <f>IF(INDEX(Korpus!$B:$B,$A84)="","",INDEX(Korpus!$B:$B,$A84))</f>
        <v xml:space="preserve">BAB VII TRANSFER DATA PRIBADI</v>
      </c>
      <c r="E84" s="21" t="str">
        <f>IF(INDEX(Korpus!$C:$C,$A84)="","",INDEX(Korpus!$C:$C,$A84))</f>
        <v xml:space="preserve">Bagian Kesatu
Transfer Data Pribadi Dalam Wilayah Hukum Negara Republik Indonesia</v>
      </c>
      <c r="F84" s="21" t="str">
        <f>IF(INDEX(Korpus!$F:$F,$A84)="","",INDEX(Korpus!$F:$F,$A84))</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G84" s="22"/>
      <c r="H84" s="22"/>
      <c r="I84" s="22"/>
      <c r="J84" s="22"/>
      <c r="K84" s="22"/>
      <c r="L84" s="22"/>
      <c r="M84" s="23" t="s">
        <v>131</v>
      </c>
      <c r="N84" s="23" t="s">
        <v>111</v>
      </c>
      <c r="O84" s="23" t="s">
        <v>146</v>
      </c>
      <c r="P84" s="23" t="s">
        <v>142</v>
      </c>
      <c r="Q84" s="23" t="s">
        <v>134</v>
      </c>
      <c r="R84" s="23" t="s">
        <v>115</v>
      </c>
      <c r="S84" s="24"/>
      <c r="T84" s="24"/>
      <c r="U84" s="24"/>
      <c r="V84" s="24"/>
      <c r="W84" s="24"/>
      <c r="X84" s="24"/>
      <c r="Y84" s="25"/>
      <c r="Z84" s="25"/>
      <c r="AA84" s="25"/>
      <c r="AB84" s="25"/>
      <c r="AC84" s="25"/>
      <c r="AD84" s="25"/>
      <c r="AE84" s="26"/>
      <c r="AF84" s="26"/>
      <c r="AG84" s="26"/>
      <c r="AH84" s="26"/>
      <c r="AI84" s="26"/>
      <c r="AJ84" s="26"/>
      <c r="AK84" s="20" t="str">
        <f>IF(Hitung!B84&lt;$E$1,"",IF(Hitung!C84&gt;0,"Beda","Sama"))</f>
        <v/>
      </c>
      <c r="AL84" s="20" t="str">
        <f>IF(Hitung!D84&lt;$E$1,"",IF(Hitung!E84&gt;0,"Beda","Sama"))</f>
        <v/>
      </c>
      <c r="AM84" s="20" t="str">
        <f>IF(Hitung!F84&lt;$E$1,"",IF(Hitung!G84&gt;0,"Beda","Sama"))</f>
        <v/>
      </c>
      <c r="AN84" s="20" t="str">
        <f>IF(Hitung!H84&lt;$E$1,"",IF(Hitung!I84&gt;0,"Beda","Sama"))</f>
        <v/>
      </c>
      <c r="AO84" s="20" t="str">
        <f>IF(Hitung!J84&lt;$E$1,"",IF(Hitung!K84&gt;0,"Beda","Sama"))</f>
        <v/>
      </c>
      <c r="AP84" s="20" t="str">
        <f>IF(Hitung!L84&lt;$E$1,"",IF(Hitung!M84&gt;0,"Beda","Sama"))</f>
        <v/>
      </c>
      <c r="AQ84" s="20">
        <f t="shared" si="14"/>
        <v>0</v>
      </c>
      <c r="AR84" s="27"/>
      <c r="AS84" s="27"/>
      <c r="AT84" s="27"/>
      <c r="AU84" s="27"/>
      <c r="AV84" s="27"/>
      <c r="AW84" s="27"/>
      <c r="AX84" s="28" t="str">
        <f>IF(AR84&lt;&gt;"",AR84,IF(AND(Hitung!B84=$E$1,Hitung!C84=0),M84,""))</f>
        <v/>
      </c>
      <c r="AY84" s="28" t="str">
        <f>IF(AS84&lt;&gt;"",AS84,IF(AND(Hitung!D84=$E$1,Hitung!E84=0),N84,""))</f>
        <v/>
      </c>
      <c r="AZ84" s="28" t="str">
        <f>IF(AT84&lt;&gt;"",AT84,IF(AND(Hitung!F84=$E$1,Hitung!G84=0),O84,""))</f>
        <v/>
      </c>
      <c r="BA84" s="28" t="str">
        <f>IF(AU84&lt;&gt;"",AU84,IF(AND(Hitung!H84=$E$1,Hitung!I84=0),P84,""))</f>
        <v/>
      </c>
      <c r="BB84" s="28" t="str">
        <f>IF(AV84&lt;&gt;"",AV84,IF(AND(Hitung!J84=$E$1,Hitung!K84=0),Q84,""))</f>
        <v/>
      </c>
      <c r="BC84" s="28" t="str">
        <f>IF(AW84&lt;&gt;"",AW84,IF(AND(Hitung!L84=$E$1,Hitung!M84=0),R84,""))</f>
        <v/>
      </c>
      <c r="BD84" s="29"/>
      <c r="BE84" s="20" t="str">
        <f t="shared" si="15"/>
        <v xml:space="preserve">Menunggu coder</v>
      </c>
      <c r="BF84" s="21" t="str">
        <f t="shared" si="16"/>
        <v/>
      </c>
      <c r="BG84" s="21" t="str">
        <f t="shared" si="17"/>
        <v/>
      </c>
      <c r="BH84" s="21" t="str">
        <f t="shared" si="18"/>
        <v/>
      </c>
      <c r="BI84" s="21" t="str">
        <f t="shared" si="19"/>
        <v/>
      </c>
      <c r="BJ84" s="21" t="str">
        <f t="shared" si="20"/>
        <v/>
      </c>
      <c r="BK84" s="8" t="s">
        <v>119</v>
      </c>
    </row>
    <row r="85" ht="48" customHeight="1">
      <c r="A85" s="20">
        <v>82</v>
      </c>
      <c r="B85" s="21" t="str">
        <f>IF(INDEX(Korpus!$A:$A,$A85)="","",INDEX(Korpus!$A:$A,$A85))</f>
        <v xml:space="preserve">UU 27 Thn 2022 (PDP)</v>
      </c>
      <c r="C85" s="21" t="str">
        <f>TRIM(INDEX(Korpus!$D:$D,$A85)&amp;" "&amp;INDEX(Korpus!$E:$E,$A85))</f>
        <v xml:space="preserve">Pasal 56</v>
      </c>
      <c r="D85" s="21" t="str">
        <f>IF(INDEX(Korpus!$B:$B,$A85)="","",INDEX(Korpus!$B:$B,$A85))</f>
        <v xml:space="preserve">BAB VII TRANSFER DATA PRIBADI</v>
      </c>
      <c r="E85" s="21" t="str">
        <f>IF(INDEX(Korpus!$C:$C,$A85)="","",INDEX(Korpus!$C:$C,$A85))</f>
        <v xml:space="preserve">Bagian Kedua</v>
      </c>
      <c r="F85" s="21" t="str">
        <f>IF(INDEX(Korpus!$F:$F,$A85)="","",INDEX(Korpus!$F:$F,$A85))</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G85" s="22"/>
      <c r="H85" s="22"/>
      <c r="I85" s="22"/>
      <c r="J85" s="22"/>
      <c r="K85" s="22"/>
      <c r="L85" s="22"/>
      <c r="M85" s="23"/>
      <c r="N85" s="23"/>
      <c r="O85" s="23"/>
      <c r="P85" s="23"/>
      <c r="Q85" s="23"/>
      <c r="R85" s="23"/>
      <c r="S85" s="24"/>
      <c r="T85" s="24"/>
      <c r="U85" s="24"/>
      <c r="V85" s="24"/>
      <c r="W85" s="24"/>
      <c r="X85" s="24"/>
      <c r="Y85" s="25"/>
      <c r="Z85" s="25"/>
      <c r="AA85" s="25"/>
      <c r="AB85" s="25"/>
      <c r="AC85" s="25"/>
      <c r="AD85" s="25"/>
      <c r="AE85" s="26"/>
      <c r="AF85" s="26"/>
      <c r="AG85" s="26"/>
      <c r="AH85" s="26"/>
      <c r="AI85" s="26"/>
      <c r="AJ85" s="26"/>
      <c r="AK85" s="20" t="str">
        <f>IF(Hitung!B85&lt;$E$1,"",IF(Hitung!C85&gt;0,"Beda","Sama"))</f>
        <v/>
      </c>
      <c r="AL85" s="20" t="str">
        <f>IF(Hitung!D85&lt;$E$1,"",IF(Hitung!E85&gt;0,"Beda","Sama"))</f>
        <v/>
      </c>
      <c r="AM85" s="20" t="str">
        <f>IF(Hitung!F85&lt;$E$1,"",IF(Hitung!G85&gt;0,"Beda","Sama"))</f>
        <v/>
      </c>
      <c r="AN85" s="20" t="str">
        <f>IF(Hitung!H85&lt;$E$1,"",IF(Hitung!I85&gt;0,"Beda","Sama"))</f>
        <v/>
      </c>
      <c r="AO85" s="20" t="str">
        <f>IF(Hitung!J85&lt;$E$1,"",IF(Hitung!K85&gt;0,"Beda","Sama"))</f>
        <v/>
      </c>
      <c r="AP85" s="20" t="str">
        <f>IF(Hitung!L85&lt;$E$1,"",IF(Hitung!M85&gt;0,"Beda","Sama"))</f>
        <v/>
      </c>
      <c r="AQ85" s="20">
        <f t="shared" si="14"/>
        <v>0</v>
      </c>
      <c r="AR85" s="27"/>
      <c r="AS85" s="27"/>
      <c r="AT85" s="27"/>
      <c r="AU85" s="27"/>
      <c r="AV85" s="27"/>
      <c r="AW85" s="27"/>
      <c r="AX85" s="28" t="str">
        <f>IF(AR85&lt;&gt;"",AR85,IF(AND(Hitung!B85=$E$1,Hitung!C85=0),M85,""))</f>
        <v/>
      </c>
      <c r="AY85" s="28" t="str">
        <f>IF(AS85&lt;&gt;"",AS85,IF(AND(Hitung!D85=$E$1,Hitung!E85=0),N85,""))</f>
        <v/>
      </c>
      <c r="AZ85" s="28" t="str">
        <f>IF(AT85&lt;&gt;"",AT85,IF(AND(Hitung!F85=$E$1,Hitung!G85=0),O85,""))</f>
        <v/>
      </c>
      <c r="BA85" s="28" t="str">
        <f>IF(AU85&lt;&gt;"",AU85,IF(AND(Hitung!H85=$E$1,Hitung!I85=0),P85,""))</f>
        <v/>
      </c>
      <c r="BB85" s="28" t="str">
        <f>IF(AV85&lt;&gt;"",AV85,IF(AND(Hitung!J85=$E$1,Hitung!K85=0),Q85,""))</f>
        <v/>
      </c>
      <c r="BC85" s="28" t="str">
        <f>IF(AW85&lt;&gt;"",AW85,IF(AND(Hitung!L85=$E$1,Hitung!M85=0),R85,""))</f>
        <v/>
      </c>
      <c r="BD85" s="29"/>
      <c r="BE85" s="20" t="str">
        <f t="shared" si="15"/>
        <v xml:space="preserve">Menunggu coder</v>
      </c>
      <c r="BF85" s="21" t="str">
        <f t="shared" si="16"/>
        <v/>
      </c>
      <c r="BG85" s="21" t="str">
        <f t="shared" si="17"/>
        <v/>
      </c>
      <c r="BH85" s="21" t="str">
        <f t="shared" si="18"/>
        <v/>
      </c>
      <c r="BI85" s="21" t="str">
        <f t="shared" si="19"/>
        <v/>
      </c>
      <c r="BJ85" s="21" t="str">
        <f t="shared" si="20"/>
        <v/>
      </c>
    </row>
    <row r="86" ht="48" customHeight="1">
      <c r="A86" s="20">
        <v>83</v>
      </c>
      <c r="B86" s="21" t="str">
        <f>IF(INDEX(Korpus!$A:$A,$A86)="","",INDEX(Korpus!$A:$A,$A86))</f>
        <v xml:space="preserve">UU 27 Thn 2022 (PDP)</v>
      </c>
      <c r="C86" s="21" t="str">
        <f>TRIM(INDEX(Korpus!$D:$D,$A86)&amp;" "&amp;INDEX(Korpus!$E:$E,$A86))</f>
        <v xml:space="preserve">Pasal 65</v>
      </c>
      <c r="D86" s="21" t="str">
        <f>IF(INDEX(Korpus!$B:$B,$A86)="","",INDEX(Korpus!$B:$B,$A86))</f>
        <v xml:space="preserve">BAB XIII
LARANGAN DALAM PENGGUNAAN DATA PRIBADI</v>
      </c>
      <c r="E86" s="21" t="str">
        <f>IF(INDEX(Korpus!$C:$C,$A86)="","",INDEX(Korpus!$C:$C,$A86))</f>
        <v/>
      </c>
      <c r="F86" s="21" t="str">
        <f>IF(INDEX(Korpus!$F:$F,$A86)="","",INDEX(Korpus!$F:$F,$A86))</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G86" s="22" t="s">
        <v>117</v>
      </c>
      <c r="H86" s="22" t="s">
        <v>111</v>
      </c>
      <c r="I86" s="22" t="s">
        <v>147</v>
      </c>
      <c r="J86" s="22" t="s">
        <v>148</v>
      </c>
      <c r="K86" s="22" t="s">
        <v>132</v>
      </c>
      <c r="L86" s="22" t="s">
        <v>118</v>
      </c>
      <c r="M86" s="23" t="s">
        <v>117</v>
      </c>
      <c r="N86" s="23" t="s">
        <v>105</v>
      </c>
      <c r="O86" s="23" t="s">
        <v>147</v>
      </c>
      <c r="P86" s="23" t="s">
        <v>107</v>
      </c>
      <c r="Q86" s="23" t="s">
        <v>124</v>
      </c>
      <c r="R86" s="23" t="s">
        <v>118</v>
      </c>
      <c r="S86" s="24"/>
      <c r="T86" s="24"/>
      <c r="U86" s="24"/>
      <c r="V86" s="24"/>
      <c r="W86" s="24"/>
      <c r="X86" s="24"/>
      <c r="Y86" s="25"/>
      <c r="Z86" s="25"/>
      <c r="AA86" s="25"/>
      <c r="AB86" s="25"/>
      <c r="AC86" s="25"/>
      <c r="AD86" s="25"/>
      <c r="AE86" s="26"/>
      <c r="AF86" s="26"/>
      <c r="AG86" s="26"/>
      <c r="AH86" s="26"/>
      <c r="AI86" s="26"/>
      <c r="AJ86" s="26"/>
      <c r="AK86" s="20" t="str">
        <f>IF(Hitung!B86&lt;$E$1,"",IF(Hitung!C86&gt;0,"Beda","Sama"))</f>
        <v/>
      </c>
      <c r="AL86" s="20" t="str">
        <f>IF(Hitung!D86&lt;$E$1,"",IF(Hitung!E86&gt;0,"Beda","Sama"))</f>
        <v/>
      </c>
      <c r="AM86" s="20" t="str">
        <f>IF(Hitung!F86&lt;$E$1,"",IF(Hitung!G86&gt;0,"Beda","Sama"))</f>
        <v/>
      </c>
      <c r="AN86" s="20" t="str">
        <f>IF(Hitung!H86&lt;$E$1,"",IF(Hitung!I86&gt;0,"Beda","Sama"))</f>
        <v/>
      </c>
      <c r="AO86" s="20" t="str">
        <f>IF(Hitung!J86&lt;$E$1,"",IF(Hitung!K86&gt;0,"Beda","Sama"))</f>
        <v/>
      </c>
      <c r="AP86" s="20" t="str">
        <f>IF(Hitung!L86&lt;$E$1,"",IF(Hitung!M86&gt;0,"Beda","Sama"))</f>
        <v/>
      </c>
      <c r="AQ86" s="20">
        <f t="shared" si="14"/>
        <v>0</v>
      </c>
      <c r="AR86" s="27"/>
      <c r="AS86" s="27"/>
      <c r="AT86" s="27"/>
      <c r="AU86" s="27"/>
      <c r="AV86" s="27"/>
      <c r="AW86" s="27"/>
      <c r="AX86" s="28" t="str">
        <f>IF(AR86&lt;&gt;"",AR86,IF(AND(Hitung!B86=$E$1,Hitung!C86=0),M86,""))</f>
        <v/>
      </c>
      <c r="AY86" s="28" t="str">
        <f>IF(AS86&lt;&gt;"",AS86,IF(AND(Hitung!D86=$E$1,Hitung!E86=0),N86,""))</f>
        <v/>
      </c>
      <c r="AZ86" s="28" t="str">
        <f>IF(AT86&lt;&gt;"",AT86,IF(AND(Hitung!F86=$E$1,Hitung!G86=0),O86,""))</f>
        <v/>
      </c>
      <c r="BA86" s="28" t="str">
        <f>IF(AU86&lt;&gt;"",AU86,IF(AND(Hitung!H86=$E$1,Hitung!I86=0),P86,""))</f>
        <v/>
      </c>
      <c r="BB86" s="28" t="str">
        <f>IF(AV86&lt;&gt;"",AV86,IF(AND(Hitung!J86=$E$1,Hitung!K86=0),Q86,""))</f>
        <v/>
      </c>
      <c r="BC86" s="28" t="str">
        <f>IF(AW86&lt;&gt;"",AW86,IF(AND(Hitung!L86=$E$1,Hitung!M86=0),R86,""))</f>
        <v/>
      </c>
      <c r="BD86" s="29"/>
      <c r="BE86" s="20" t="str">
        <f t="shared" si="15"/>
        <v xml:space="preserve">Menunggu coder</v>
      </c>
      <c r="BF86" s="21" t="str">
        <f t="shared" si="16"/>
        <v/>
      </c>
      <c r="BG86" s="21" t="str">
        <f t="shared" si="17"/>
        <v xml:space="preserve">Tidak (3/6): V5 V7 V8</v>
      </c>
      <c r="BH86" s="21" t="str">
        <f t="shared" si="18"/>
        <v xml:space="preserve">Belum lengkap</v>
      </c>
      <c r="BI86" s="21" t="str">
        <f t="shared" si="19"/>
        <v/>
      </c>
      <c r="BJ86" s="21" t="str">
        <f t="shared" si="20"/>
        <v/>
      </c>
      <c r="BK86" s="8" t="s">
        <v>116</v>
      </c>
    </row>
    <row r="87" ht="48" customHeight="1">
      <c r="A87" s="20">
        <v>84</v>
      </c>
      <c r="B87" s="21" t="str">
        <f>IF(INDEX(Korpus!$A:$A,$A87)="","",INDEX(Korpus!$A:$A,$A87))</f>
        <v xml:space="preserve">UU 27 Thn 2022 (PDP)</v>
      </c>
      <c r="C87" s="21" t="str">
        <f>TRIM(INDEX(Korpus!$D:$D,$A87)&amp;" "&amp;INDEX(Korpus!$E:$E,$A87))</f>
        <v xml:space="preserve">Pasal 66</v>
      </c>
      <c r="D87" s="21" t="str">
        <f>IF(INDEX(Korpus!$B:$B,$A87)="","",INDEX(Korpus!$B:$B,$A87))</f>
        <v xml:space="preserve">BAB XIII
LARANGAN DALAM PENGGUNAAN DATA PRIBADI</v>
      </c>
      <c r="E87" s="21" t="str">
        <f>IF(INDEX(Korpus!$C:$C,$A87)="","",INDEX(Korpus!$C:$C,$A87))</f>
        <v/>
      </c>
      <c r="F87" s="21" t="str">
        <f>IF(INDEX(Korpus!$F:$F,$A87)="","",INDEX(Korpus!$F:$F,$A87))</f>
        <v xml:space="preserve">Setiap Orang dilarang membuat Data Pribadi palsu atau memalsukan Data Pribadi dengan maksud untuk menguntungkan diri sendiri atau orang lain yang dapat mengakibatkan kerugian bagi orang lain.</v>
      </c>
      <c r="G87" s="22"/>
      <c r="H87" s="22"/>
      <c r="I87" s="22"/>
      <c r="J87" s="22"/>
      <c r="K87" s="22"/>
      <c r="L87" s="22"/>
      <c r="M87" s="23"/>
      <c r="N87" s="23"/>
      <c r="O87" s="23"/>
      <c r="P87" s="23"/>
      <c r="Q87" s="23"/>
      <c r="R87" s="23"/>
      <c r="S87" s="24"/>
      <c r="T87" s="24"/>
      <c r="U87" s="24"/>
      <c r="V87" s="24"/>
      <c r="W87" s="24"/>
      <c r="X87" s="24"/>
      <c r="Y87" s="25"/>
      <c r="Z87" s="25"/>
      <c r="AA87" s="25"/>
      <c r="AB87" s="25"/>
      <c r="AC87" s="25"/>
      <c r="AD87" s="25"/>
      <c r="AE87" s="26"/>
      <c r="AF87" s="26"/>
      <c r="AG87" s="26"/>
      <c r="AH87" s="26"/>
      <c r="AI87" s="26"/>
      <c r="AJ87" s="26"/>
      <c r="AK87" s="20" t="str">
        <f>IF(Hitung!B87&lt;$E$1,"",IF(Hitung!C87&gt;0,"Beda","Sama"))</f>
        <v/>
      </c>
      <c r="AL87" s="20" t="str">
        <f>IF(Hitung!D87&lt;$E$1,"",IF(Hitung!E87&gt;0,"Beda","Sama"))</f>
        <v/>
      </c>
      <c r="AM87" s="20" t="str">
        <f>IF(Hitung!F87&lt;$E$1,"",IF(Hitung!G87&gt;0,"Beda","Sama"))</f>
        <v/>
      </c>
      <c r="AN87" s="20" t="str">
        <f>IF(Hitung!H87&lt;$E$1,"",IF(Hitung!I87&gt;0,"Beda","Sama"))</f>
        <v/>
      </c>
      <c r="AO87" s="20" t="str">
        <f>IF(Hitung!J87&lt;$E$1,"",IF(Hitung!K87&gt;0,"Beda","Sama"))</f>
        <v/>
      </c>
      <c r="AP87" s="20" t="str">
        <f>IF(Hitung!L87&lt;$E$1,"",IF(Hitung!M87&gt;0,"Beda","Sama"))</f>
        <v/>
      </c>
      <c r="AQ87" s="20">
        <f t="shared" si="14"/>
        <v>0</v>
      </c>
      <c r="AR87" s="27"/>
      <c r="AS87" s="27"/>
      <c r="AT87" s="27"/>
      <c r="AU87" s="27"/>
      <c r="AV87" s="27"/>
      <c r="AW87" s="27"/>
      <c r="AX87" s="28" t="str">
        <f>IF(AR87&lt;&gt;"",AR87,IF(AND(Hitung!B87=$E$1,Hitung!C87=0),M87,""))</f>
        <v/>
      </c>
      <c r="AY87" s="28" t="str">
        <f>IF(AS87&lt;&gt;"",AS87,IF(AND(Hitung!D87=$E$1,Hitung!E87=0),N87,""))</f>
        <v/>
      </c>
      <c r="AZ87" s="28" t="str">
        <f>IF(AT87&lt;&gt;"",AT87,IF(AND(Hitung!F87=$E$1,Hitung!G87=0),O87,""))</f>
        <v/>
      </c>
      <c r="BA87" s="28" t="str">
        <f>IF(AU87&lt;&gt;"",AU87,IF(AND(Hitung!H87=$E$1,Hitung!I87=0),P87,""))</f>
        <v/>
      </c>
      <c r="BB87" s="28" t="str">
        <f>IF(AV87&lt;&gt;"",AV87,IF(AND(Hitung!J87=$E$1,Hitung!K87=0),Q87,""))</f>
        <v/>
      </c>
      <c r="BC87" s="28" t="str">
        <f>IF(AW87&lt;&gt;"",AW87,IF(AND(Hitung!L87=$E$1,Hitung!M87=0),R87,""))</f>
        <v/>
      </c>
      <c r="BD87" s="29"/>
      <c r="BE87" s="20" t="str">
        <f t="shared" si="15"/>
        <v xml:space="preserve">Menunggu coder</v>
      </c>
      <c r="BF87" s="21" t="str">
        <f t="shared" si="16"/>
        <v/>
      </c>
      <c r="BG87" s="21" t="str">
        <f t="shared" si="17"/>
        <v/>
      </c>
      <c r="BH87" s="21" t="str">
        <f t="shared" si="18"/>
        <v/>
      </c>
      <c r="BI87" s="21" t="str">
        <f t="shared" si="19"/>
        <v/>
      </c>
      <c r="BJ87" s="21" t="str">
        <f t="shared" si="20"/>
        <v/>
      </c>
    </row>
    <row r="88" ht="48" customHeight="1">
      <c r="A88" s="20">
        <v>85</v>
      </c>
      <c r="B88" s="21" t="str">
        <f>IF(INDEX(Korpus!$A:$A,$A88)="","",INDEX(Korpus!$A:$A,$A88))</f>
        <v xml:space="preserve">Perpres 39 Thn 2019 (Satu Data)</v>
      </c>
      <c r="C88" s="21" t="str">
        <f>TRIM(INDEX(Korpus!$D:$D,$A88)&amp;" "&amp;INDEX(Korpus!$E:$E,$A88))</f>
        <v xml:space="preserve">Pasal 1</v>
      </c>
      <c r="D88" s="21" t="str">
        <f>IF(INDEX(Korpus!$B:$B,$A88)="","",INDEX(Korpus!$B:$B,$A88))</f>
        <v xml:space="preserve">BAB I
KETENTUAN UMUM</v>
      </c>
      <c r="E88" s="21" t="str">
        <f>IF(INDEX(Korpus!$C:$C,$A88)="","",INDEX(Korpus!$C:$C,$A88))</f>
        <v/>
      </c>
      <c r="F88" s="21" t="str">
        <f>IF(INDEX(Korpus!$F:$F,$A88)="","",INDEX(Korpus!$F:$F,$A88))</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G88" s="22"/>
      <c r="H88" s="22"/>
      <c r="I88" s="22"/>
      <c r="J88" s="22"/>
      <c r="K88" s="22"/>
      <c r="L88" s="22"/>
      <c r="M88" s="23"/>
      <c r="N88" s="23"/>
      <c r="O88" s="23"/>
      <c r="P88" s="23"/>
      <c r="Q88" s="23"/>
      <c r="R88" s="23"/>
      <c r="S88" s="24"/>
      <c r="T88" s="24"/>
      <c r="U88" s="24"/>
      <c r="V88" s="24"/>
      <c r="W88" s="24"/>
      <c r="X88" s="24"/>
      <c r="Y88" s="25"/>
      <c r="Z88" s="25"/>
      <c r="AA88" s="25"/>
      <c r="AB88" s="25"/>
      <c r="AC88" s="25"/>
      <c r="AD88" s="25"/>
      <c r="AE88" s="26"/>
      <c r="AF88" s="26"/>
      <c r="AG88" s="26"/>
      <c r="AH88" s="26"/>
      <c r="AI88" s="26"/>
      <c r="AJ88" s="26"/>
      <c r="AK88" s="20" t="str">
        <f>IF(Hitung!B88&lt;$E$1,"",IF(Hitung!C88&gt;0,"Beda","Sama"))</f>
        <v/>
      </c>
      <c r="AL88" s="20" t="str">
        <f>IF(Hitung!D88&lt;$E$1,"",IF(Hitung!E88&gt;0,"Beda","Sama"))</f>
        <v/>
      </c>
      <c r="AM88" s="20" t="str">
        <f>IF(Hitung!F88&lt;$E$1,"",IF(Hitung!G88&gt;0,"Beda","Sama"))</f>
        <v/>
      </c>
      <c r="AN88" s="20" t="str">
        <f>IF(Hitung!H88&lt;$E$1,"",IF(Hitung!I88&gt;0,"Beda","Sama"))</f>
        <v/>
      </c>
      <c r="AO88" s="20" t="str">
        <f>IF(Hitung!J88&lt;$E$1,"",IF(Hitung!K88&gt;0,"Beda","Sama"))</f>
        <v/>
      </c>
      <c r="AP88" s="20" t="str">
        <f>IF(Hitung!L88&lt;$E$1,"",IF(Hitung!M88&gt;0,"Beda","Sama"))</f>
        <v/>
      </c>
      <c r="AQ88" s="20">
        <f t="shared" si="14"/>
        <v>0</v>
      </c>
      <c r="AR88" s="27"/>
      <c r="AS88" s="27"/>
      <c r="AT88" s="27"/>
      <c r="AU88" s="27"/>
      <c r="AV88" s="27"/>
      <c r="AW88" s="27"/>
      <c r="AX88" s="28" t="str">
        <f>IF(AR88&lt;&gt;"",AR88,IF(AND(Hitung!B88=$E$1,Hitung!C88=0),M88,""))</f>
        <v/>
      </c>
      <c r="AY88" s="28" t="str">
        <f>IF(AS88&lt;&gt;"",AS88,IF(AND(Hitung!D88=$E$1,Hitung!E88=0),N88,""))</f>
        <v/>
      </c>
      <c r="AZ88" s="28" t="str">
        <f>IF(AT88&lt;&gt;"",AT88,IF(AND(Hitung!F88=$E$1,Hitung!G88=0),O88,""))</f>
        <v/>
      </c>
      <c r="BA88" s="28" t="str">
        <f>IF(AU88&lt;&gt;"",AU88,IF(AND(Hitung!H88=$E$1,Hitung!I88=0),P88,""))</f>
        <v/>
      </c>
      <c r="BB88" s="28" t="str">
        <f>IF(AV88&lt;&gt;"",AV88,IF(AND(Hitung!J88=$E$1,Hitung!K88=0),Q88,""))</f>
        <v/>
      </c>
      <c r="BC88" s="28" t="str">
        <f>IF(AW88&lt;&gt;"",AW88,IF(AND(Hitung!L88=$E$1,Hitung!M88=0),R88,""))</f>
        <v/>
      </c>
      <c r="BD88" s="29"/>
      <c r="BE88" s="20" t="str">
        <f t="shared" si="15"/>
        <v xml:space="preserve">Menunggu coder</v>
      </c>
      <c r="BF88" s="21" t="str">
        <f t="shared" si="16"/>
        <v/>
      </c>
      <c r="BG88" s="21" t="str">
        <f t="shared" si="17"/>
        <v/>
      </c>
      <c r="BH88" s="21" t="str">
        <f t="shared" si="18"/>
        <v/>
      </c>
      <c r="BI88" s="21" t="str">
        <f t="shared" si="19"/>
        <v/>
      </c>
      <c r="BJ88" s="21" t="str">
        <f t="shared" si="20"/>
        <v/>
      </c>
    </row>
    <row r="89" ht="48" customHeight="1">
      <c r="A89" s="20">
        <v>86</v>
      </c>
      <c r="B89" s="21" t="str">
        <f>IF(INDEX(Korpus!$A:$A,$A89)="","",INDEX(Korpus!$A:$A,$A89))</f>
        <v xml:space="preserve">Perpres 39 Thn 2019 (Satu Data)</v>
      </c>
      <c r="C89" s="21" t="str">
        <f>TRIM(INDEX(Korpus!$D:$D,$A89)&amp;" "&amp;INDEX(Korpus!$E:$E,$A89))</f>
        <v xml:space="preserve">Pasal 39</v>
      </c>
      <c r="D89" s="21" t="str">
        <f>IF(INDEX(Korpus!$B:$B,$A89)="","",INDEX(Korpus!$B:$B,$A89))</f>
        <v xml:space="preserve">BAB IV
PENYELENGGARAAN SATU DATA INDONESIA</v>
      </c>
      <c r="E89" s="21" t="str">
        <f>IF(INDEX(Korpus!$C:$C,$A89)="","",INDEX(Korpus!$C:$C,$A89))</f>
        <v xml:space="preserve">Bagian Kelima
Penyebarluasan Data</v>
      </c>
      <c r="F89" s="21" t="str">
        <f>IF(INDEX(Korpus!$F:$F,$A89)="","",INDEX(Korpus!$F:$F,$A89))</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G89" s="22" t="s">
        <v>121</v>
      </c>
      <c r="H89" s="22" t="s">
        <v>105</v>
      </c>
      <c r="I89" s="22" t="s">
        <v>122</v>
      </c>
      <c r="J89" s="22" t="s">
        <v>142</v>
      </c>
      <c r="K89" s="22" t="s">
        <v>132</v>
      </c>
      <c r="L89" s="22" t="s">
        <v>118</v>
      </c>
      <c r="M89" s="23" t="s">
        <v>121</v>
      </c>
      <c r="N89" s="23" t="s">
        <v>120</v>
      </c>
      <c r="O89" s="23" t="s">
        <v>122</v>
      </c>
      <c r="P89" s="23" t="s">
        <v>138</v>
      </c>
      <c r="Q89" s="23" t="s">
        <v>134</v>
      </c>
      <c r="R89" s="23" t="s">
        <v>109</v>
      </c>
      <c r="S89" s="24"/>
      <c r="T89" s="24"/>
      <c r="U89" s="24"/>
      <c r="V89" s="24"/>
      <c r="W89" s="24"/>
      <c r="X89" s="24"/>
      <c r="Y89" s="25"/>
      <c r="Z89" s="25"/>
      <c r="AA89" s="25"/>
      <c r="AB89" s="25"/>
      <c r="AC89" s="25"/>
      <c r="AD89" s="25"/>
      <c r="AE89" s="26"/>
      <c r="AF89" s="26"/>
      <c r="AG89" s="26"/>
      <c r="AH89" s="26"/>
      <c r="AI89" s="26"/>
      <c r="AJ89" s="26"/>
      <c r="AK89" s="20" t="str">
        <f>IF(Hitung!B89&lt;$E$1,"",IF(Hitung!C89&gt;0,"Beda","Sama"))</f>
        <v/>
      </c>
      <c r="AL89" s="20" t="str">
        <f>IF(Hitung!D89&lt;$E$1,"",IF(Hitung!E89&gt;0,"Beda","Sama"))</f>
        <v/>
      </c>
      <c r="AM89" s="20" t="str">
        <f>IF(Hitung!F89&lt;$E$1,"",IF(Hitung!G89&gt;0,"Beda","Sama"))</f>
        <v/>
      </c>
      <c r="AN89" s="20" t="str">
        <f>IF(Hitung!H89&lt;$E$1,"",IF(Hitung!I89&gt;0,"Beda","Sama"))</f>
        <v/>
      </c>
      <c r="AO89" s="20" t="str">
        <f>IF(Hitung!J89&lt;$E$1,"",IF(Hitung!K89&gt;0,"Beda","Sama"))</f>
        <v/>
      </c>
      <c r="AP89" s="20" t="str">
        <f>IF(Hitung!L89&lt;$E$1,"",IF(Hitung!M89&gt;0,"Beda","Sama"))</f>
        <v/>
      </c>
      <c r="AQ89" s="20">
        <f t="shared" si="14"/>
        <v>0</v>
      </c>
      <c r="AR89" s="27"/>
      <c r="AS89" s="27"/>
      <c r="AT89" s="27"/>
      <c r="AU89" s="27"/>
      <c r="AV89" s="27"/>
      <c r="AW89" s="27"/>
      <c r="AX89" s="28" t="str">
        <f>IF(AR89&lt;&gt;"",AR89,IF(AND(Hitung!B89=$E$1,Hitung!C89=0),M89,""))</f>
        <v/>
      </c>
      <c r="AY89" s="28" t="str">
        <f>IF(AS89&lt;&gt;"",AS89,IF(AND(Hitung!D89=$E$1,Hitung!E89=0),N89,""))</f>
        <v/>
      </c>
      <c r="AZ89" s="28" t="str">
        <f>IF(AT89&lt;&gt;"",AT89,IF(AND(Hitung!F89=$E$1,Hitung!G89=0),O89,""))</f>
        <v/>
      </c>
      <c r="BA89" s="28" t="str">
        <f>IF(AU89&lt;&gt;"",AU89,IF(AND(Hitung!H89=$E$1,Hitung!I89=0),P89,""))</f>
        <v/>
      </c>
      <c r="BB89" s="28" t="str">
        <f>IF(AV89&lt;&gt;"",AV89,IF(AND(Hitung!J89=$E$1,Hitung!K89=0),Q89,""))</f>
        <v/>
      </c>
      <c r="BC89" s="28" t="str">
        <f>IF(AW89&lt;&gt;"",AW89,IF(AND(Hitung!L89=$E$1,Hitung!M89=0),R89,""))</f>
        <v/>
      </c>
      <c r="BD89" s="29"/>
      <c r="BE89" s="20" t="str">
        <f t="shared" si="15"/>
        <v xml:space="preserve">Menunggu coder</v>
      </c>
      <c r="BF89" s="21" t="str">
        <f t="shared" si="16"/>
        <v/>
      </c>
      <c r="BG89" s="21" t="str">
        <f t="shared" si="17"/>
        <v xml:space="preserve">Tidak (2/6): V5 V7 V8 V9</v>
      </c>
      <c r="BH89" s="21" t="str">
        <f t="shared" si="18"/>
        <v xml:space="preserve">Belum lengkap</v>
      </c>
      <c r="BI89" s="21" t="str">
        <f t="shared" si="19"/>
        <v/>
      </c>
      <c r="BJ89" s="21" t="str">
        <f t="shared" si="20"/>
        <v/>
      </c>
    </row>
  </sheetData>
  <autoFilter ref="A4:BK89"/>
  <mergeCells count="10">
    <mergeCell ref="A3:F3"/>
    <mergeCell ref="G3:L3"/>
    <mergeCell ref="M3:R3"/>
    <mergeCell ref="S3:X3"/>
    <mergeCell ref="Y3:AD3"/>
    <mergeCell ref="AE3:AJ3"/>
    <mergeCell ref="AK3:AP3"/>
    <mergeCell ref="AR3:AW3"/>
    <mergeCell ref="AX3:BC3"/>
    <mergeCell ref="BG3:BJ3"/>
  </mergeCells>
  <dataValidations count="54" disablePrompts="0">
    <dataValidation sqref="G5:G89" type="list" allowBlank="1" error="Pilih kode dari daftar (lihat sheet Daftar Kode)." errorStyle="stop" errorTitle="Kode tidak sah" imeMode="noControl" operator="between" showDropDown="0" showErrorMessage="1" showInputMessage="0">
      <formula1>'Daftar Kode'!$D$5:$D$13</formula1>
    </dataValidation>
    <dataValidation sqref="H5:H89" type="list" allowBlank="1" error="Pilih kode dari daftar (lihat sheet Daftar Kode)." errorStyle="stop" errorTitle="Kode tidak sah" imeMode="noControl" operator="between" showDropDown="0" showErrorMessage="1" showInputMessage="0">
      <formula1>'Daftar Kode'!$D$16:$D$18</formula1>
    </dataValidation>
    <dataValidation sqref="I5:I89" type="list" allowBlank="1" error="Pilih kode dari daftar (lihat sheet Daftar Kode)." errorStyle="stop" errorTitle="Kode tidak sah" imeMode="noControl" operator="between" showDropDown="0" showErrorMessage="1" showInputMessage="0">
      <formula1>'Daftar Kode'!$D$21:$D$37</formula1>
    </dataValidation>
    <dataValidation sqref="J5:J89" type="list" allowBlank="1" error="Pilih kode dari daftar (lihat sheet Daftar Kode)." errorStyle="stop" errorTitle="Kode tidak sah" imeMode="noControl" operator="between" showDropDown="0" showErrorMessage="1" showInputMessage="0">
      <formula1>'Daftar Kode'!$D$40:$D$47</formula1>
    </dataValidation>
    <dataValidation sqref="K5:K89" type="list" allowBlank="1" error="Pilih kode dari daftar (lihat sheet Daftar Kode)." errorStyle="stop" errorTitle="Kode tidak sah" imeMode="noControl" operator="between" showDropDown="0" showErrorMessage="1" showInputMessage="0">
      <formula1>'Daftar Kode'!$D$50:$D$57</formula1>
    </dataValidation>
    <dataValidation sqref="L5:L89" type="list" allowBlank="1" error="Pilih kode dari daftar (lihat sheet Daftar Kode)." errorStyle="stop" errorTitle="Kode tidak sah" imeMode="noControl" operator="between" showDropDown="0" showErrorMessage="1" showInputMessage="0">
      <formula1>'Daftar Kode'!$D$60:$D$64</formula1>
    </dataValidation>
    <dataValidation sqref="M5:M44 M46:M56 M58:M81 M83:M89" type="list" allowBlank="1" error="Pilih kode dari daftar (lihat sheet Daftar Kode)." errorStyle="stop" errorTitle="Kode tidak sah" imeMode="noControl" operator="between" showDropDown="0" showErrorMessage="1" showInputMessage="0">
      <formula1>'Daftar Kode'!$D$5:$D$13</formula1>
    </dataValidation>
    <dataValidation sqref="N5:N44 N46:N56 N58:N81 N83:N89" type="list" allowBlank="1" error="Pilih kode dari daftar (lihat sheet Daftar Kode)." errorStyle="stop" errorTitle="Kode tidak sah" imeMode="noControl" operator="between" showDropDown="0" showErrorMessage="1" showInputMessage="0">
      <formula1>'Daftar Kode'!$D$16:$D$18</formula1>
    </dataValidation>
    <dataValidation sqref="O5:O44 O46:O56 O58:O81 O83:O89" type="list" allowBlank="1" error="Pilih kode dari daftar (lihat sheet Daftar Kode)." errorStyle="stop" errorTitle="Kode tidak sah" imeMode="noControl" operator="between" showDropDown="0" showErrorMessage="1" showInputMessage="0">
      <formula1>'Daftar Kode'!$D$21:$D$37</formula1>
    </dataValidation>
    <dataValidation sqref="P5:P44 P46:P56 P58:P81 P83:P89" type="list" allowBlank="1" error="Pilih kode dari daftar (lihat sheet Daftar Kode)." errorStyle="stop" errorTitle="Kode tidak sah" imeMode="noControl" operator="between" showDropDown="0" showErrorMessage="1" showInputMessage="0">
      <formula1>'Daftar Kode'!$D$40:$D$47</formula1>
    </dataValidation>
    <dataValidation sqref="Q5:Q44 Q46:Q56 Q58:Q81 Q83:Q89" type="list" allowBlank="1" error="Pilih kode dari daftar (lihat sheet Daftar Kode)." errorStyle="stop" errorTitle="Kode tidak sah" imeMode="noControl" operator="between" showDropDown="0" showErrorMessage="1" showInputMessage="0">
      <formula1>'Daftar Kode'!$D$50:$D$57</formula1>
    </dataValidation>
    <dataValidation sqref="R5:R44 R46:R56 R58:R81 R83:R89" type="list" allowBlank="1" error="Pilih kode dari daftar (lihat sheet Daftar Kode)." errorStyle="stop" errorTitle="Kode tidak sah" imeMode="noControl" operator="between" showDropDown="0" showErrorMessage="1" showInputMessage="0">
      <formula1>'Daftar Kode'!$D$60:$D$64</formula1>
    </dataValidation>
    <dataValidation sqref="S5:S89" type="list" allowBlank="1" error="Pilih kode dari daftar (lihat sheet Daftar Kode)." errorStyle="stop" errorTitle="Kode tidak sah" imeMode="noControl" operator="between" showDropDown="0" showErrorMessage="1" showInputMessage="0">
      <formula1>'Daftar Kode'!$D$5:$D$13</formula1>
    </dataValidation>
    <dataValidation sqref="T5:T89" type="list" allowBlank="1" error="Pilih kode dari daftar (lihat sheet Daftar Kode)." errorStyle="stop" errorTitle="Kode tidak sah" imeMode="noControl" operator="between" showDropDown="0" showErrorMessage="1" showInputMessage="0">
      <formula1>'Daftar Kode'!$D$16:$D$18</formula1>
    </dataValidation>
    <dataValidation sqref="U5:U89" type="list" allowBlank="1" error="Pilih kode dari daftar (lihat sheet Daftar Kode)." errorStyle="stop" errorTitle="Kode tidak sah" imeMode="noControl" operator="between" showDropDown="0" showErrorMessage="1" showInputMessage="0">
      <formula1>'Daftar Kode'!$D$21:$D$37</formula1>
    </dataValidation>
    <dataValidation sqref="V5:V89" type="list" allowBlank="1" error="Pilih kode dari daftar (lihat sheet Daftar Kode)." errorStyle="stop" errorTitle="Kode tidak sah" imeMode="noControl" operator="between" showDropDown="0" showErrorMessage="1" showInputMessage="0">
      <formula1>'Daftar Kode'!$D$40:$D$47</formula1>
    </dataValidation>
    <dataValidation sqref="W5:W89" type="list" allowBlank="1" error="Pilih kode dari daftar (lihat sheet Daftar Kode)." errorStyle="stop" errorTitle="Kode tidak sah" imeMode="noControl" operator="between" showDropDown="0" showErrorMessage="1" showInputMessage="0">
      <formula1>'Daftar Kode'!$D$50:$D$57</formula1>
    </dataValidation>
    <dataValidation sqref="X5:X89" type="list" allowBlank="1" error="Pilih kode dari daftar (lihat sheet Daftar Kode)." errorStyle="stop" errorTitle="Kode tidak sah" imeMode="noControl" operator="between" showDropDown="0" showErrorMessage="1" showInputMessage="0">
      <formula1>'Daftar Kode'!$D$60:$D$64</formula1>
    </dataValidation>
    <dataValidation sqref="Y5:Y89" type="list" allowBlank="1" error="Pilih kode dari daftar (lihat sheet Daftar Kode)." errorStyle="stop" errorTitle="Kode tidak sah" imeMode="noControl" operator="between" showDropDown="0" showErrorMessage="1" showInputMessage="0">
      <formula1>'Daftar Kode'!$D$5:$D$13</formula1>
    </dataValidation>
    <dataValidation sqref="Z5:Z89" type="list" allowBlank="1" error="Pilih kode dari daftar (lihat sheet Daftar Kode)." errorStyle="stop" errorTitle="Kode tidak sah" imeMode="noControl" operator="between" showDropDown="0" showErrorMessage="1" showInputMessage="0">
      <formula1>'Daftar Kode'!$D$16:$D$18</formula1>
    </dataValidation>
    <dataValidation sqref="AA5:AA89" type="list" allowBlank="1" error="Pilih kode dari daftar (lihat sheet Daftar Kode)." errorStyle="stop" errorTitle="Kode tidak sah" imeMode="noControl" operator="between" showDropDown="0" showErrorMessage="1" showInputMessage="0">
      <formula1>'Daftar Kode'!$D$21:$D$37</formula1>
    </dataValidation>
    <dataValidation sqref="AB5:AB89" type="list" allowBlank="1" error="Pilih kode dari daftar (lihat sheet Daftar Kode)." errorStyle="stop" errorTitle="Kode tidak sah" imeMode="noControl" operator="between" showDropDown="0" showErrorMessage="1" showInputMessage="0">
      <formula1>'Daftar Kode'!$D$40:$D$47</formula1>
    </dataValidation>
    <dataValidation sqref="AC5:AC89" type="list" allowBlank="1" error="Pilih kode dari daftar (lihat sheet Daftar Kode)." errorStyle="stop" errorTitle="Kode tidak sah" imeMode="noControl" operator="between" showDropDown="0" showErrorMessage="1" showInputMessage="0">
      <formula1>'Daftar Kode'!$D$50:$D$57</formula1>
    </dataValidation>
    <dataValidation sqref="AD5:AD89" type="list" allowBlank="1" error="Pilih kode dari daftar (lihat sheet Daftar Kode)." errorStyle="stop" errorTitle="Kode tidak sah" imeMode="noControl" operator="between" showDropDown="0" showErrorMessage="1" showInputMessage="0">
      <formula1>'Daftar Kode'!$D$60:$D$64</formula1>
    </dataValidation>
    <dataValidation sqref="AE5:AE89" type="list" allowBlank="1" error="Pilih kode dari daftar (lihat sheet Daftar Kode)." errorStyle="stop" errorTitle="Kode tidak sah" imeMode="noControl" operator="between" showDropDown="0" showErrorMessage="1" showInputMessage="0">
      <formula1>'Daftar Kode'!$D$5:$D$13</formula1>
    </dataValidation>
    <dataValidation sqref="AF5:AF89" type="list" allowBlank="1" error="Pilih kode dari daftar (lihat sheet Daftar Kode)." errorStyle="stop" errorTitle="Kode tidak sah" imeMode="noControl" operator="between" showDropDown="0" showErrorMessage="1" showInputMessage="0">
      <formula1>'Daftar Kode'!$D$16:$D$18</formula1>
    </dataValidation>
    <dataValidation sqref="AG5:AG89" type="list" allowBlank="1" error="Pilih kode dari daftar (lihat sheet Daftar Kode)." errorStyle="stop" errorTitle="Kode tidak sah" imeMode="noControl" operator="between" showDropDown="0" showErrorMessage="1" showInputMessage="0">
      <formula1>'Daftar Kode'!$D$21:$D$37</formula1>
    </dataValidation>
    <dataValidation sqref="AH5:AH89" type="list" allowBlank="1" error="Pilih kode dari daftar (lihat sheet Daftar Kode)." errorStyle="stop" errorTitle="Kode tidak sah" imeMode="noControl" operator="between" showDropDown="0" showErrorMessage="1" showInputMessage="0">
      <formula1>'Daftar Kode'!$D$40:$D$47</formula1>
    </dataValidation>
    <dataValidation sqref="AI5:AI89" type="list" allowBlank="1" error="Pilih kode dari daftar (lihat sheet Daftar Kode)." errorStyle="stop" errorTitle="Kode tidak sah" imeMode="noControl" operator="between" showDropDown="0" showErrorMessage="1" showInputMessage="0">
      <formula1>'Daftar Kode'!$D$50:$D$57</formula1>
    </dataValidation>
    <dataValidation sqref="AJ5:AJ89" type="list" allowBlank="1" error="Pilih kode dari daftar (lihat sheet Daftar Kode)." errorStyle="stop" errorTitle="Kode tidak sah" imeMode="noControl" operator="between" showDropDown="0" showErrorMessage="1" showInputMessage="0">
      <formula1>'Daftar Kode'!$D$60:$D$64</formula1>
    </dataValidation>
    <dataValidation sqref="AR5:AR89" type="list" allowBlank="1" error="Pilih kode dari daftar (lihat sheet Daftar Kode)." errorStyle="stop" errorTitle="Kode tidak sah" imeMode="noControl" operator="between" showDropDown="0" showErrorMessage="1" showInputMessage="0">
      <formula1>'Daftar Kode'!$D$5:$D$13</formula1>
    </dataValidation>
    <dataValidation sqref="AS5:AS89" type="list" allowBlank="1" error="Pilih kode dari daftar (lihat sheet Daftar Kode)." errorStyle="stop" errorTitle="Kode tidak sah" imeMode="noControl" operator="between" showDropDown="0" showErrorMessage="1" showInputMessage="0">
      <formula1>'Daftar Kode'!$D$16:$D$18</formula1>
    </dataValidation>
    <dataValidation sqref="AT5:AT89" type="list" allowBlank="1" error="Pilih kode dari daftar (lihat sheet Daftar Kode)." errorStyle="stop" errorTitle="Kode tidak sah" imeMode="noControl" operator="between" showDropDown="0" showErrorMessage="1" showInputMessage="0">
      <formula1>'Daftar Kode'!$D$21:$D$37</formula1>
    </dataValidation>
    <dataValidation sqref="AU5:AU89" type="list" allowBlank="1" error="Pilih kode dari daftar (lihat sheet Daftar Kode)." errorStyle="stop" errorTitle="Kode tidak sah" imeMode="noControl" operator="between" showDropDown="0" showErrorMessage="1" showInputMessage="0">
      <formula1>'Daftar Kode'!$D$40:$D$47</formula1>
    </dataValidation>
    <dataValidation sqref="AV5:AV89" type="list" allowBlank="1" error="Pilih kode dari daftar (lihat sheet Daftar Kode)." errorStyle="stop" errorTitle="Kode tidak sah" imeMode="noControl" operator="between" showDropDown="0" showErrorMessage="1" showInputMessage="0">
      <formula1>'Daftar Kode'!$D$50:$D$57</formula1>
    </dataValidation>
    <dataValidation sqref="AW5:AW89" type="list" allowBlank="1" error="Pilih kode dari daftar (lihat sheet Daftar Kode)." errorStyle="stop" errorTitle="Kode tidak sah" imeMode="noControl" operator="between" showDropDown="0" showErrorMessage="1" showInputMessage="0">
      <formula1>'Daftar Kode'!$D$60:$D$64</formula1>
    </dataValidation>
    <dataValidation sqref="M45" type="list" allowBlank="1" error="Pilih kode dari daftar (lihat sheet Daftar Kode)." errorStyle="stop" errorTitle="Kode tidak sah" imeMode="noControl" operator="between" showDropDown="0" showErrorMessage="1" showInputMessage="0">
      <formula1>'Daftar Kode'!$D$5:$D$13</formula1>
    </dataValidation>
    <dataValidation sqref="N45" type="list" allowBlank="1" error="Pilih kode dari daftar (lihat sheet Daftar Kode)." errorStyle="stop" errorTitle="Kode tidak sah" imeMode="noControl" operator="between" showDropDown="0" showErrorMessage="1" showInputMessage="0">
      <formula1>'Daftar Kode'!$D$16:$D$18</formula1>
    </dataValidation>
    <dataValidation sqref="O45" type="list" allowBlank="1" error="Pilih kode dari daftar (lihat sheet Daftar Kode)." errorStyle="stop" errorTitle="Kode tidak sah" imeMode="noControl" operator="between" showDropDown="0" showErrorMessage="1" showInputMessage="0">
      <formula1>'Daftar Kode'!$D$21:$D$37</formula1>
    </dataValidation>
    <dataValidation sqref="P45" type="list" allowBlank="1" error="Pilih kode dari daftar (lihat sheet Daftar Kode)." errorStyle="stop" errorTitle="Kode tidak sah" imeMode="noControl" operator="between" showDropDown="0" showErrorMessage="1" showInputMessage="0">
      <formula1>'Daftar Kode'!$D$40:$D$47</formula1>
    </dataValidation>
    <dataValidation sqref="Q45" type="list" allowBlank="1" error="Pilih kode dari daftar (lihat sheet Daftar Kode)." errorStyle="stop" errorTitle="Kode tidak sah" imeMode="noControl" operator="between" showDropDown="0" showErrorMessage="1" showInputMessage="0">
      <formula1>'Daftar Kode'!$D$50:$D$57</formula1>
    </dataValidation>
    <dataValidation sqref="R45" type="list" allowBlank="1" error="Pilih kode dari daftar (lihat sheet Daftar Kode)." errorStyle="stop" errorTitle="Kode tidak sah" imeMode="noControl" operator="between" showDropDown="0" showErrorMessage="1" showInputMessage="0">
      <formula1>'Daftar Kode'!$D$60:$D$64</formula1>
    </dataValidation>
    <dataValidation sqref="M57" type="list" allowBlank="1" error="Pilih kode dari daftar (lihat sheet Daftar Kode)." errorStyle="stop" errorTitle="Kode tidak sah" imeMode="noControl" operator="between" showDropDown="0" showErrorMessage="1" showInputMessage="0">
      <formula1>'Daftar Kode'!$D$5:$D$13</formula1>
    </dataValidation>
    <dataValidation sqref="N57" type="list" allowBlank="1" error="Pilih kode dari daftar (lihat sheet Daftar Kode)." errorStyle="stop" errorTitle="Kode tidak sah" imeMode="noControl" operator="between" showDropDown="0" showErrorMessage="1" showInputMessage="0">
      <formula1>'Daftar Kode'!$D$16:$D$18</formula1>
    </dataValidation>
    <dataValidation sqref="O57" type="list" allowBlank="1" error="Pilih kode dari daftar (lihat sheet Daftar Kode)." errorStyle="stop" errorTitle="Kode tidak sah" imeMode="noControl" operator="between" showDropDown="0" showErrorMessage="1" showInputMessage="0">
      <formula1>'Daftar Kode'!$D$21:$D$37</formula1>
    </dataValidation>
    <dataValidation sqref="P57" type="list" allowBlank="1" error="Pilih kode dari daftar (lihat sheet Daftar Kode)." errorStyle="stop" errorTitle="Kode tidak sah" imeMode="noControl" operator="between" showDropDown="0" showErrorMessage="1" showInputMessage="0">
      <formula1>'Daftar Kode'!$D$40:$D$47</formula1>
    </dataValidation>
    <dataValidation sqref="Q57" type="list" allowBlank="1" error="Pilih kode dari daftar (lihat sheet Daftar Kode)." errorStyle="stop" errorTitle="Kode tidak sah" imeMode="noControl" operator="between" showDropDown="0" showErrorMessage="1" showInputMessage="0">
      <formula1>'Daftar Kode'!$D$50:$D$57</formula1>
    </dataValidation>
    <dataValidation sqref="R57" type="list" allowBlank="1" error="Pilih kode dari daftar (lihat sheet Daftar Kode)." errorStyle="stop" errorTitle="Kode tidak sah" imeMode="noControl" operator="between" showDropDown="0" showErrorMessage="1" showInputMessage="0">
      <formula1>'Daftar Kode'!$D$60:$D$64</formula1>
    </dataValidation>
    <dataValidation sqref="M82" type="list" allowBlank="1" error="Pilih kode dari daftar (lihat sheet Daftar Kode)." errorStyle="stop" errorTitle="Kode tidak sah" imeMode="noControl" operator="between" showDropDown="0" showErrorMessage="1" showInputMessage="0">
      <formula1>'Daftar Kode'!$D$5:$D$13</formula1>
    </dataValidation>
    <dataValidation sqref="N82" type="list" allowBlank="1" error="Pilih kode dari daftar (lihat sheet Daftar Kode)." errorStyle="stop" errorTitle="Kode tidak sah" imeMode="noControl" operator="between" showDropDown="0" showErrorMessage="1" showInputMessage="0">
      <formula1>'Daftar Kode'!$D$16:$D$18</formula1>
    </dataValidation>
    <dataValidation sqref="O82" type="list" allowBlank="1" error="Pilih kode dari daftar (lihat sheet Daftar Kode)." errorStyle="stop" errorTitle="Kode tidak sah" imeMode="noControl" operator="between" showDropDown="0" showErrorMessage="1" showInputMessage="0">
      <formula1>'Daftar Kode'!$D$21:$D$37</formula1>
    </dataValidation>
    <dataValidation sqref="P82" type="list" allowBlank="1" error="Pilih kode dari daftar (lihat sheet Daftar Kode)." errorStyle="stop" errorTitle="Kode tidak sah" imeMode="noControl" operator="between" showDropDown="0" showErrorMessage="1" showInputMessage="0">
      <formula1>'Daftar Kode'!$D$40:$D$47</formula1>
    </dataValidation>
    <dataValidation sqref="Q82" type="list" allowBlank="1" error="Pilih kode dari daftar (lihat sheet Daftar Kode)." errorStyle="stop" errorTitle="Kode tidak sah" imeMode="noControl" operator="between" showDropDown="0" showErrorMessage="1" showInputMessage="0">
      <formula1>'Daftar Kode'!$D$50:$D$57</formula1>
    </dataValidation>
    <dataValidation sqref="R82" type="list" allowBlank="1" error="Pilih kode dari daftar (lihat sheet Daftar Kode)." errorStyle="stop" errorTitle="Kode tidak sah" imeMode="noControl" operator="between" showDropDown="0" showErrorMessage="1" showInputMessage="0">
      <formula1>'Daftar Kode'!$D$60:$D$64</formula1>
    </dataValidation>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1" operator="equal">
            <xm:f>"Beda"</xm:f>
            <x14:dxf>
              <font>
                <color rgb="FF9C0006"/>
              </font>
              <fill>
                <patternFill patternType="solid">
                  <fgColor rgb="FFFFC7CE"/>
                  <bgColor rgb="FFFFC7CE"/>
                </patternFill>
              </fill>
            </x14:dxf>
          </x14:cfRule>
          <xm:sqref>AK5:AP89</xm:sqref>
        </x14:conditionalFormatting>
        <x14:conditionalFormatting xmlns:xm="http://schemas.microsoft.com/office/excel/2006/main">
          <x14:cfRule type="expression" priority="2">
            <xm:f>BE5="Perlu adjudikasi"</xm:f>
            <x14:dxf>
              <fill>
                <patternFill patternType="solid">
                  <fgColor rgb="FFFFC7CE"/>
                  <bgColor rgb="FFFFC7CE"/>
                </patternFill>
              </fill>
            </x14:dxf>
          </x14:cfRule>
          <xm:sqref>BE5:BE89</xm:sqref>
        </x14:conditionalFormatting>
        <x14:conditionalFormatting xmlns:xm="http://schemas.microsoft.com/office/excel/2006/main">
          <x14:cfRule type="expression" priority="3">
            <xm:f>BF5="OK"</xm:f>
            <x14:dxf>
              <font>
                <color rgb="FF006100"/>
              </font>
              <fill>
                <patternFill patternType="solid">
                  <fgColor rgb="FFC6EFCE"/>
                  <bgColor rgb="FFC6EFCE"/>
                </patternFill>
              </fill>
            </x14:dxf>
          </x14:cfRule>
          <xm:sqref>BF5:BF89</xm:sqref>
        </x14:conditionalFormatting>
        <x14:conditionalFormatting xmlns:xm="http://schemas.microsoft.com/office/excel/2006/main">
          <x14:cfRule type="expression" priority="4">
            <xm:f>AND(BF5&lt;&gt;"",BF5&lt;&gt;"OK",LEFT(BF5,7)&lt;&gt;"Belum l")</xm:f>
            <x14:dxf>
              <font>
                <color rgb="FF9C5700"/>
              </font>
              <fill>
                <patternFill patternType="solid">
                  <fgColor rgb="FFFFEB9C"/>
                  <bgColor rgb="FFFFEB9C"/>
                </patternFill>
              </fill>
            </x14:dxf>
          </x14:cfRule>
          <xm:sqref>BF5:BF89</xm:sqref>
        </x14:conditionalFormatting>
        <x14:conditionalFormatting xmlns:xm="http://schemas.microsoft.com/office/excel/2006/main">
          <x14:cfRule type="expression" priority="5">
            <xm:f>$E$1&lt;3</xm:f>
            <x14:dxf>
              <font>
                <color indexed="23"/>
              </font>
              <fill>
                <patternFill patternType="solid">
                  <fgColor rgb="FFD9D9D9"/>
                  <bgColor rgb="FFD9D9D9"/>
                </patternFill>
              </fill>
            </x14:dxf>
          </x14:cfRule>
          <xm:sqref>Y5:AD89</xm:sqref>
        </x14:conditionalFormatting>
        <x14:conditionalFormatting xmlns:xm="http://schemas.microsoft.com/office/excel/2006/main">
          <x14:cfRule type="expression" priority="6">
            <xm:f>$E$1&lt;4</xm:f>
            <x14:dxf>
              <font>
                <color indexed="23"/>
              </font>
              <fill>
                <patternFill patternType="solid">
                  <fgColor rgb="FFD9D9D9"/>
                  <bgColor rgb="FFD9D9D9"/>
                </patternFill>
              </fill>
            </x14:dxf>
          </x14:cfRule>
          <xm:sqref>AE5:AJ89</xm:sqref>
        </x14:conditionalFormatting>
        <x14:conditionalFormatting xmlns:xm="http://schemas.microsoft.com/office/excel/2006/main">
          <x14:cfRule type="expression" priority="7">
            <xm:f>LEFT(BG5,2)="Ya"</xm:f>
            <x14:dxf>
              <font>
                <color rgb="FF006100"/>
              </font>
              <fill>
                <patternFill patternType="solid">
                  <fgColor rgb="FFC6EFCE"/>
                  <bgColor rgb="FFC6EFCE"/>
                </patternFill>
              </fill>
            </x14:dxf>
          </x14:cfRule>
          <xm:sqref>BG5:BJ89</xm:sqref>
        </x14:conditionalFormatting>
        <x14:conditionalFormatting xmlns:xm="http://schemas.microsoft.com/office/excel/2006/main">
          <x14:cfRule type="expression" priority="8">
            <xm:f>LEFT(BG5,5)="Tidak"</xm:f>
            <x14:dxf>
              <font>
                <color rgb="FF9C0006"/>
              </font>
              <fill>
                <patternFill patternType="solid">
                  <fgColor rgb="FFFFC7CE"/>
                  <bgColor rgb="FFFFC7CE"/>
                </patternFill>
              </fill>
            </x14:dxf>
          </x14:cfRule>
          <xm:sqref>BG5:BJ89</xm:sqref>
        </x14:conditionalFormatting>
        <x14:conditionalFormatting xmlns:xm="http://schemas.microsoft.com/office/excel/2006/main">
          <x14:cfRule type="expression" priority="9">
            <xm:f>LEFT(BG5,5)="Belum"</xm:f>
            <x14:dxf>
              <font>
                <color rgb="FF9C5700"/>
              </font>
              <fill>
                <patternFill patternType="solid">
                  <fgColor rgb="FFFFEB9C"/>
                  <bgColor rgb="FFFFEB9C"/>
                </patternFill>
              </fill>
            </x14:dxf>
          </x14:cfRule>
          <xm:sqref>BG5:BJ89</xm:sqref>
        </x14:conditionalFormatting>
      </x14:conditionalFormattings>
    </ext>
    <ext xmlns:x14="http://schemas.microsoft.com/office/spreadsheetml/2009/9/main" uri="{CCE6A557-97BC-4b89-ADB6-D9C93CAAB3DF}">
      <x14:dataValidations xmlns:xm="http://schemas.microsoft.com/office/excel/2006/main" count="1" disablePrompts="0">
        <x14:dataValidation xr:uid="{6F081D37-1ECF-4B8C-A241-89E3D685F4A7}" type="list" allowBlank="0" error="Pilih 2 coder, 3 coder, atau 4 coder." errorStyle="stop" errorTitle="Pilihan tidak sah" imeMode="noControl" operator="between" showDropDown="0" showErrorMessage="1" showInputMessage="0">
          <x14:formula1>
            <xm:f>"2 coder,3 coder,4 coder"</xm:f>
          </x14:formula1>
          <xm:sqref>D1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5" workbookViewId="0">
      <selection activeCell="A1" activeCellId="0" sqref="A1"/>
    </sheetView>
  </sheetViews>
  <sheetFormatPr baseColWidth="8" defaultColWidth="8.6796875" defaultRowHeight="15"/>
  <cols>
    <col customWidth="1" min="1" max="1" style="1" width="26"/>
    <col customWidth="1" min="2" max="2" style="1" width="16"/>
    <col customWidth="1" min="3" max="3" style="1" width="22"/>
    <col customWidth="1" min="4" max="4" style="1" width="14"/>
    <col customWidth="1" min="5" max="5" style="1" width="20"/>
    <col customWidth="1" min="6" max="6" style="1" width="10"/>
    <col customWidth="1" min="7" max="7" style="1" width="24"/>
  </cols>
  <sheetData>
    <row r="1" ht="17.350000000000001" customHeight="1">
      <c r="A1" s="2" t="s">
        <v>149</v>
      </c>
    </row>
    <row r="2" ht="15" customHeight="1">
      <c r="A2" s="3" t="s">
        <v>150</v>
      </c>
    </row>
    <row r="3">
      <c r="A3" s="30" t="str">
        <f>"Coder dinilai: "&amp;IF('Kunci Adjudikasi'!$E$1=2,"A, B",IF('Kunci Adjudikasi'!$E$1=3,"A, B, C","A, B, C, D"))&amp;" ("&amp;'Kunci Adjudikasi'!$E$1&amp;" coder)"</f>
        <v xml:space="preserve">Coder dinilai: A, B (2 coder)</v>
      </c>
    </row>
    <row r="4" ht="31.5" customHeight="1">
      <c r="A4" s="12" t="s">
        <v>151</v>
      </c>
      <c r="B4" s="12" t="s">
        <v>152</v>
      </c>
      <c r="C4" s="12" t="s">
        <v>153</v>
      </c>
      <c r="D4" s="12" t="s">
        <v>154</v>
      </c>
      <c r="E4" s="12" t="s">
        <v>155</v>
      </c>
      <c r="F4" s="12" t="s">
        <v>16</v>
      </c>
      <c r="G4" s="12" t="s">
        <v>156</v>
      </c>
    </row>
    <row r="5" ht="15" customHeight="1">
      <c r="A5" s="31" t="s">
        <v>157</v>
      </c>
      <c r="B5" s="32" t="s">
        <v>158</v>
      </c>
      <c r="C5" s="32">
        <f>COUNTIF(Hitung!$B$5:$B$89,"&gt;=2")</f>
        <v>0</v>
      </c>
      <c r="D5" s="32">
        <f>COUNTIF(Hitung!$C$5:$C$89,"&gt;0")</f>
        <v>0</v>
      </c>
      <c r="E5" s="32">
        <f>SUMIF(Hitung!$B$5:$B$89,"&gt;=2")</f>
        <v>0</v>
      </c>
      <c r="F5" s="33" t="str">
        <f>IF(C5=0,"",IF((E5^2-SUM(C16:C24))=0,"n/a",1-(E5-1)*2*SUM(Hitung!$C$5:$C$89)/(E5^2-SUM(C16:C24))))</f>
        <v/>
      </c>
      <c r="G5" s="32" t="str">
        <f t="shared" ref="G5:G9" si="21">IF(OR(F5="",F5="n/a"),"",IF(F5&gt;=0.8,"Dapat diterima",IF(F5&gt;=0.667,"Tentatif","Revisi variabel")))</f>
        <v/>
      </c>
    </row>
    <row r="6" ht="15" customHeight="1">
      <c r="A6" s="31" t="s">
        <v>159</v>
      </c>
      <c r="B6" s="32" t="s">
        <v>160</v>
      </c>
      <c r="C6" s="32">
        <f>COUNTIF(Hitung!$D$5:$D$89,"&gt;=2")</f>
        <v>0</v>
      </c>
      <c r="D6" s="32">
        <f>COUNTIF(Hitung!$E$5:$E$89,"&gt;0")</f>
        <v>0</v>
      </c>
      <c r="E6" s="32">
        <f>SUMIF(Hitung!$D$5:$D$89,"&gt;=2")</f>
        <v>0</v>
      </c>
      <c r="F6" s="33" t="str">
        <f>IF(C6=0,"",IF(SUM(D33:D35)=0,"n/a",1-(E6-1)*SUMPRODUCT(B33:B35,C33:C35)/SUM(D33:D35)))</f>
        <v/>
      </c>
      <c r="G6" s="32" t="str">
        <f t="shared" si="21"/>
        <v/>
      </c>
    </row>
    <row r="7" ht="15" customHeight="1">
      <c r="A7" s="31" t="s">
        <v>161</v>
      </c>
      <c r="B7" s="32" t="s">
        <v>158</v>
      </c>
      <c r="C7" s="32">
        <f>COUNTIF(Hitung!$F$5:$F$89,"&gt;=2")</f>
        <v>0</v>
      </c>
      <c r="D7" s="32">
        <f>COUNTIF(Hitung!$G$5:$G$89,"&gt;0")</f>
        <v>0</v>
      </c>
      <c r="E7" s="32">
        <f>SUMIF(Hitung!$F$5:$F$89,"&gt;=2")</f>
        <v>0</v>
      </c>
      <c r="F7" s="33" t="str">
        <f>IF(C7=0,"",IF((E7^2-SUM(C40:C56))=0,"n/a",1-(E7-1)*2*SUM(Hitung!$G$5:$G$89)/(E7^2-SUM(C40:C56))))</f>
        <v/>
      </c>
      <c r="G7" s="32" t="str">
        <f t="shared" si="21"/>
        <v/>
      </c>
    </row>
    <row r="8" ht="15" customHeight="1">
      <c r="A8" s="31" t="s">
        <v>162</v>
      </c>
      <c r="B8" s="32" t="s">
        <v>158</v>
      </c>
      <c r="C8" s="32">
        <f>COUNTIF(Hitung!$H$5:$H$89,"&gt;=2")</f>
        <v>0</v>
      </c>
      <c r="D8" s="32">
        <f>COUNTIF(Hitung!$I$5:$I$89,"&gt;0")</f>
        <v>0</v>
      </c>
      <c r="E8" s="32">
        <f>SUMIF(Hitung!$H$5:$H$89,"&gt;=2")</f>
        <v>0</v>
      </c>
      <c r="F8" s="33" t="str">
        <f>IF(C8=0,"",IF((E8^2-SUM(C62:C69))=0,"n/a",1-(E8-1)*2*SUM(Hitung!$I$5:$I$89)/(E8^2-SUM(C62:C69))))</f>
        <v/>
      </c>
      <c r="G8" s="32" t="str">
        <f t="shared" si="21"/>
        <v/>
      </c>
    </row>
    <row r="9" ht="15" customHeight="1">
      <c r="A9" s="31" t="s">
        <v>163</v>
      </c>
      <c r="B9" s="32" t="s">
        <v>158</v>
      </c>
      <c r="C9" s="32">
        <f>COUNTIF(Hitung!$J$5:$J$89,"&gt;=2")</f>
        <v>0</v>
      </c>
      <c r="D9" s="32">
        <f>COUNTIF(Hitung!$K$5:$K$89,"&gt;0")</f>
        <v>0</v>
      </c>
      <c r="E9" s="32">
        <f>SUMIF(Hitung!$J$5:$J$89,"&gt;=2")</f>
        <v>0</v>
      </c>
      <c r="F9" s="33" t="str">
        <f>IF(C9=0,"",IF((E9^2-SUM(C75:C82))=0,"n/a",1-(E9-1)*2*SUM(Hitung!$K$5:$K$89)/(E9^2-SUM(C75:C82))))</f>
        <v/>
      </c>
      <c r="G9" s="32" t="str">
        <f t="shared" si="21"/>
        <v/>
      </c>
    </row>
    <row r="10" ht="15" customHeight="1">
      <c r="A10" s="31" t="s">
        <v>164</v>
      </c>
      <c r="B10" s="32" t="s">
        <v>158</v>
      </c>
      <c r="C10" s="32">
        <f>COUNTIF(Hitung!$L$5:$L$89,"&gt;=2")</f>
        <v>0</v>
      </c>
      <c r="D10" s="32">
        <f>COUNTIF(Hitung!$M$5:$M$89,"&gt;0")</f>
        <v>0</v>
      </c>
      <c r="E10" s="32">
        <f>SUMIF(Hitung!$L$5:$L$89,"&gt;=2")</f>
        <v>0</v>
      </c>
      <c r="F10" s="33" t="str">
        <f>IF(C10=0,"",IF((E10^2-SUM(C87:C91))=0,"n/a",1-(E10-1)*2*SUM(Hitung!$M$5:$M$89)/(E10^2-SUM(C87:C91))))</f>
        <v/>
      </c>
      <c r="G10" s="32" t="str">
        <f>IF(OR(F10="",F10="n/a"),"",IF(F10&gt;=0.8,"Dapat diterima",IF(F10&gt;=0.667,"Tentatif","Revisi variabel")))</f>
        <v/>
      </c>
    </row>
    <row r="12" ht="15" customHeight="1">
      <c r="A12" s="3" t="s">
        <v>165</v>
      </c>
    </row>
    <row r="14" ht="15" customHeight="1">
      <c r="A14" s="30" t="s">
        <v>166</v>
      </c>
    </row>
    <row r="15" ht="23.850000000000001" customHeight="1">
      <c r="A15" s="12" t="s">
        <v>167</v>
      </c>
      <c r="B15" s="12" t="s">
        <v>168</v>
      </c>
      <c r="C15" s="12" t="s">
        <v>169</v>
      </c>
    </row>
    <row r="16" ht="15" customHeight="1">
      <c r="A16" s="34" t="s">
        <v>170</v>
      </c>
      <c r="B16" s="31">
        <f>COUNTIFS('Kunci Adjudikasi'!$M$5:$M$89,A16&amp;"*",Hitung!$B$5:$B$89,"&gt;=2")+COUNTIFS('Kunci Adjudikasi'!$S$5:$S$89,A16&amp;"*",Hitung!$B$5:$B$89,"&gt;=2")+('Kunci Adjudikasi'!$E$1&gt;=3)*COUNTIFS('Kunci Adjudikasi'!$Y$5:$Y$89,A16&amp;"*",Hitung!$B$5:$B$89,"&gt;=2")+('Kunci Adjudikasi'!$E$1&gt;=4)*COUNTIFS('Kunci Adjudikasi'!$AE$5:$AE$89,A16&amp;"*",Hitung!$B$5:$B$89,"&gt;=2")</f>
        <v>0</v>
      </c>
      <c r="C16" s="31">
        <f t="shared" ref="C16:C24" si="22">B16^2</f>
        <v>0</v>
      </c>
    </row>
    <row r="17" ht="15" customHeight="1">
      <c r="A17" s="34" t="s">
        <v>171</v>
      </c>
      <c r="B17" s="31">
        <f>COUNTIFS('Kunci Adjudikasi'!$M$5:$M$89,A17&amp;"*",Hitung!$B$5:$B$89,"&gt;=2")+COUNTIFS('Kunci Adjudikasi'!$S$5:$S$89,A17&amp;"*",Hitung!$B$5:$B$89,"&gt;=2")+('Kunci Adjudikasi'!$E$1&gt;=3)*COUNTIFS('Kunci Adjudikasi'!$Y$5:$Y$89,A17&amp;"*",Hitung!$B$5:$B$89,"&gt;=2")+('Kunci Adjudikasi'!$E$1&gt;=4)*COUNTIFS('Kunci Adjudikasi'!$AE$5:$AE$89,A17&amp;"*",Hitung!$B$5:$B$89,"&gt;=2")</f>
        <v>0</v>
      </c>
      <c r="C17" s="31">
        <f t="shared" si="22"/>
        <v>0</v>
      </c>
    </row>
    <row r="18" ht="15" customHeight="1">
      <c r="A18" s="34" t="s">
        <v>172</v>
      </c>
      <c r="B18" s="31">
        <f>COUNTIFS('Kunci Adjudikasi'!$M$5:$M$89,A18&amp;"*",Hitung!$B$5:$B$89,"&gt;=2")+COUNTIFS('Kunci Adjudikasi'!$S$5:$S$89,A18&amp;"*",Hitung!$B$5:$B$89,"&gt;=2")+('Kunci Adjudikasi'!$E$1&gt;=3)*COUNTIFS('Kunci Adjudikasi'!$Y$5:$Y$89,A18&amp;"*",Hitung!$B$5:$B$89,"&gt;=2")+('Kunci Adjudikasi'!$E$1&gt;=4)*COUNTIFS('Kunci Adjudikasi'!$AE$5:$AE$89,A18&amp;"*",Hitung!$B$5:$B$89,"&gt;=2")</f>
        <v>0</v>
      </c>
      <c r="C18" s="31">
        <f t="shared" si="22"/>
        <v>0</v>
      </c>
    </row>
    <row r="19" ht="15" customHeight="1">
      <c r="A19" s="34" t="s">
        <v>173</v>
      </c>
      <c r="B19" s="31">
        <f>COUNTIFS('Kunci Adjudikasi'!$M$5:$M$89,A19&amp;"*",Hitung!$B$5:$B$89,"&gt;=2")+COUNTIFS('Kunci Adjudikasi'!$S$5:$S$89,A19&amp;"*",Hitung!$B$5:$B$89,"&gt;=2")+('Kunci Adjudikasi'!$E$1&gt;=3)*COUNTIFS('Kunci Adjudikasi'!$Y$5:$Y$89,A19&amp;"*",Hitung!$B$5:$B$89,"&gt;=2")+('Kunci Adjudikasi'!$E$1&gt;=4)*COUNTIFS('Kunci Adjudikasi'!$AE$5:$AE$89,A19&amp;"*",Hitung!$B$5:$B$89,"&gt;=2")</f>
        <v>0</v>
      </c>
      <c r="C19" s="31">
        <f t="shared" si="22"/>
        <v>0</v>
      </c>
    </row>
    <row r="20" ht="15" customHeight="1">
      <c r="A20" s="34" t="s">
        <v>174</v>
      </c>
      <c r="B20" s="31">
        <f>COUNTIFS('Kunci Adjudikasi'!$M$5:$M$89,A20&amp;"*",Hitung!$B$5:$B$89,"&gt;=2")+COUNTIFS('Kunci Adjudikasi'!$S$5:$S$89,A20&amp;"*",Hitung!$B$5:$B$89,"&gt;=2")+('Kunci Adjudikasi'!$E$1&gt;=3)*COUNTIFS('Kunci Adjudikasi'!$Y$5:$Y$89,A20&amp;"*",Hitung!$B$5:$B$89,"&gt;=2")+('Kunci Adjudikasi'!$E$1&gt;=4)*COUNTIFS('Kunci Adjudikasi'!$AE$5:$AE$89,A20&amp;"*",Hitung!$B$5:$B$89,"&gt;=2")</f>
        <v>0</v>
      </c>
      <c r="C20" s="31">
        <f t="shared" si="22"/>
        <v>0</v>
      </c>
    </row>
    <row r="21" ht="15" customHeight="1">
      <c r="A21" s="34" t="s">
        <v>175</v>
      </c>
      <c r="B21" s="31">
        <f>COUNTIFS('Kunci Adjudikasi'!$M$5:$M$89,A21&amp;"*",Hitung!$B$5:$B$89,"&gt;=2")+COUNTIFS('Kunci Adjudikasi'!$S$5:$S$89,A21&amp;"*",Hitung!$B$5:$B$89,"&gt;=2")+('Kunci Adjudikasi'!$E$1&gt;=3)*COUNTIFS('Kunci Adjudikasi'!$Y$5:$Y$89,A21&amp;"*",Hitung!$B$5:$B$89,"&gt;=2")+('Kunci Adjudikasi'!$E$1&gt;=4)*COUNTIFS('Kunci Adjudikasi'!$AE$5:$AE$89,A21&amp;"*",Hitung!$B$5:$B$89,"&gt;=2")</f>
        <v>0</v>
      </c>
      <c r="C21" s="31">
        <f t="shared" si="22"/>
        <v>0</v>
      </c>
    </row>
    <row r="22" ht="15" customHeight="1">
      <c r="A22" s="34" t="s">
        <v>176</v>
      </c>
      <c r="B22" s="31">
        <f>COUNTIFS('Kunci Adjudikasi'!$M$5:$M$89,A22&amp;"*",Hitung!$B$5:$B$89,"&gt;=2")+COUNTIFS('Kunci Adjudikasi'!$S$5:$S$89,A22&amp;"*",Hitung!$B$5:$B$89,"&gt;=2")+('Kunci Adjudikasi'!$E$1&gt;=3)*COUNTIFS('Kunci Adjudikasi'!$Y$5:$Y$89,A22&amp;"*",Hitung!$B$5:$B$89,"&gt;=2")+('Kunci Adjudikasi'!$E$1&gt;=4)*COUNTIFS('Kunci Adjudikasi'!$AE$5:$AE$89,A22&amp;"*",Hitung!$B$5:$B$89,"&gt;=2")</f>
        <v>0</v>
      </c>
      <c r="C22" s="31">
        <f t="shared" si="22"/>
        <v>0</v>
      </c>
    </row>
    <row r="23" ht="15" customHeight="1">
      <c r="A23" s="34" t="s">
        <v>177</v>
      </c>
      <c r="B23" s="31">
        <f>COUNTIFS('Kunci Adjudikasi'!$M$5:$M$89,A23&amp;"*",Hitung!$B$5:$B$89,"&gt;=2")+COUNTIFS('Kunci Adjudikasi'!$S$5:$S$89,A23&amp;"*",Hitung!$B$5:$B$89,"&gt;=2")+('Kunci Adjudikasi'!$E$1&gt;=3)*COUNTIFS('Kunci Adjudikasi'!$Y$5:$Y$89,A23&amp;"*",Hitung!$B$5:$B$89,"&gt;=2")+('Kunci Adjudikasi'!$E$1&gt;=4)*COUNTIFS('Kunci Adjudikasi'!$AE$5:$AE$89,A23&amp;"*",Hitung!$B$5:$B$89,"&gt;=2")</f>
        <v>0</v>
      </c>
      <c r="C23" s="31">
        <f t="shared" si="22"/>
        <v>0</v>
      </c>
    </row>
    <row r="24" ht="15" customHeight="1">
      <c r="A24" s="34" t="s">
        <v>178</v>
      </c>
      <c r="B24" s="31">
        <f>COUNTIFS('Kunci Adjudikasi'!$M$5:$M$89,A24&amp;"*",Hitung!$B$5:$B$89,"&gt;=2")+COUNTIFS('Kunci Adjudikasi'!$S$5:$S$89,A24&amp;"*",Hitung!$B$5:$B$89,"&gt;=2")+('Kunci Adjudikasi'!$E$1&gt;=3)*COUNTIFS('Kunci Adjudikasi'!$Y$5:$Y$89,A24&amp;"*",Hitung!$B$5:$B$89,"&gt;=2")+('Kunci Adjudikasi'!$E$1&gt;=4)*COUNTIFS('Kunci Adjudikasi'!$AE$5:$AE$89,A24&amp;"*",Hitung!$B$5:$B$89,"&gt;=2")</f>
        <v>0</v>
      </c>
      <c r="C24" s="31">
        <f t="shared" si="22"/>
        <v>0</v>
      </c>
    </row>
    <row r="27" ht="15" customHeight="1">
      <c r="A27" s="30" t="s">
        <v>179</v>
      </c>
    </row>
    <row r="28" ht="23.850000000000001" customHeight="1">
      <c r="A28" s="12" t="s">
        <v>167</v>
      </c>
      <c r="B28" s="12" t="s">
        <v>168</v>
      </c>
      <c r="C28" s="12" t="s">
        <v>180</v>
      </c>
    </row>
    <row r="29" ht="15" customHeight="1">
      <c r="A29" s="34" t="s">
        <v>181</v>
      </c>
      <c r="B29" s="31">
        <f>COUNTIFS('Kunci Adjudikasi'!$N$5:$N$89,A29&amp;"*",Hitung!$D$5:$D$89,"&gt;=2")+COUNTIFS('Kunci Adjudikasi'!$T$5:$T$89,A29&amp;"*",Hitung!$D$5:$D$89,"&gt;=2")+('Kunci Adjudikasi'!$E$1&gt;=3)*COUNTIFS('Kunci Adjudikasi'!$Z$5:$Z$89,A29&amp;"*",Hitung!$D$5:$D$89,"&gt;=2")+('Kunci Adjudikasi'!$E$1&gt;=4)*COUNTIFS('Kunci Adjudikasi'!$AF$5:$AF$89,A29&amp;"*",Hitung!$D$5:$D$89,"&gt;=2")</f>
        <v>0</v>
      </c>
      <c r="C29" s="31">
        <f t="shared" ref="C29:C31" si="23">SUM($B$29:B29)</f>
        <v>0</v>
      </c>
    </row>
    <row r="30" ht="15" customHeight="1">
      <c r="A30" s="34" t="s">
        <v>182</v>
      </c>
      <c r="B30" s="31">
        <f>COUNTIFS('Kunci Adjudikasi'!$N$5:$N$89,A30&amp;"*",Hitung!$D$5:$D$89,"&gt;=2")+COUNTIFS('Kunci Adjudikasi'!$T$5:$T$89,A30&amp;"*",Hitung!$D$5:$D$89,"&gt;=2")+('Kunci Adjudikasi'!$E$1&gt;=3)*COUNTIFS('Kunci Adjudikasi'!$Z$5:$Z$89,A30&amp;"*",Hitung!$D$5:$D$89,"&gt;=2")+('Kunci Adjudikasi'!$E$1&gt;=4)*COUNTIFS('Kunci Adjudikasi'!$AF$5:$AF$89,A30&amp;"*",Hitung!$D$5:$D$89,"&gt;=2")</f>
        <v>0</v>
      </c>
      <c r="C30" s="31">
        <f t="shared" si="23"/>
        <v>0</v>
      </c>
    </row>
    <row r="31" ht="15" customHeight="1">
      <c r="A31" s="34" t="s">
        <v>183</v>
      </c>
      <c r="B31" s="31">
        <f>COUNTIFS('Kunci Adjudikasi'!$N$5:$N$89,A31&amp;"*",Hitung!$D$5:$D$89,"&gt;=2")+COUNTIFS('Kunci Adjudikasi'!$T$5:$T$89,A31&amp;"*",Hitung!$D$5:$D$89,"&gt;=2")+('Kunci Adjudikasi'!$E$1&gt;=3)*COUNTIFS('Kunci Adjudikasi'!$Z$5:$Z$89,A31&amp;"*",Hitung!$D$5:$D$89,"&gt;=2")+('Kunci Adjudikasi'!$E$1&gt;=4)*COUNTIFS('Kunci Adjudikasi'!$AF$5:$AF$89,A31&amp;"*",Hitung!$D$5:$D$89,"&gt;=2")</f>
        <v>0</v>
      </c>
      <c r="C31" s="31">
        <f t="shared" si="23"/>
        <v>0</v>
      </c>
    </row>
    <row r="32" ht="15" customHeight="1">
      <c r="A32" s="30" t="s">
        <v>184</v>
      </c>
      <c r="B32" s="30" t="s">
        <v>185</v>
      </c>
      <c r="C32" s="30" t="s">
        <v>186</v>
      </c>
      <c r="D32" s="30" t="s">
        <v>187</v>
      </c>
    </row>
    <row r="33" ht="15" customHeight="1">
      <c r="A33" s="31" t="s">
        <v>188</v>
      </c>
      <c r="B33" s="31">
        <f>SUM(Hitung!$Q$5:$Q$89)</f>
        <v>0</v>
      </c>
      <c r="C33" s="31">
        <f t="shared" ref="C33:C34" si="24">((B29+B30)/2)^2</f>
        <v>0</v>
      </c>
      <c r="D33" s="31">
        <f t="shared" ref="D33:D34" si="25">B29*B30*C33</f>
        <v>0</v>
      </c>
    </row>
    <row r="34" ht="15" customHeight="1">
      <c r="A34" s="31" t="s">
        <v>189</v>
      </c>
      <c r="B34" s="31">
        <f>SUM(Hitung!$R$5:$R$89)</f>
        <v>0</v>
      </c>
      <c r="C34" s="31">
        <f t="shared" si="24"/>
        <v>0</v>
      </c>
      <c r="D34" s="31">
        <f t="shared" si="25"/>
        <v>0</v>
      </c>
    </row>
    <row r="35" ht="15" customHeight="1">
      <c r="A35" s="31" t="s">
        <v>190</v>
      </c>
      <c r="B35" s="31">
        <f>SUM(Hitung!$S$5:$S$89)</f>
        <v>0</v>
      </c>
      <c r="C35" s="31">
        <f>(B30+(B29+B31)/2)^2</f>
        <v>0</v>
      </c>
      <c r="D35" s="31">
        <f>B29*B31*C35</f>
        <v>0</v>
      </c>
    </row>
    <row r="38" ht="15" customHeight="1">
      <c r="A38" s="30" t="s">
        <v>191</v>
      </c>
    </row>
    <row r="39" ht="23.850000000000001" customHeight="1">
      <c r="A39" s="12" t="s">
        <v>167</v>
      </c>
      <c r="B39" s="12" t="s">
        <v>168</v>
      </c>
      <c r="C39" s="12" t="s">
        <v>169</v>
      </c>
    </row>
    <row r="40" ht="15" customHeight="1">
      <c r="A40" s="34" t="s">
        <v>192</v>
      </c>
      <c r="B40" s="31">
        <f>COUNTIFS('Kunci Adjudikasi'!$O$5:$O$89,A40&amp;"*",Hitung!$F$5:$F$89,"&gt;=2")+COUNTIFS('Kunci Adjudikasi'!$U$5:$U$89,A40&amp;"*",Hitung!$F$5:$F$89,"&gt;=2")+('Kunci Adjudikasi'!$E$1&gt;=3)*COUNTIFS('Kunci Adjudikasi'!$AA$5:$AA$89,A40&amp;"*",Hitung!$F$5:$F$89,"&gt;=2")+('Kunci Adjudikasi'!$E$1&gt;=4)*COUNTIFS('Kunci Adjudikasi'!$AG$5:$AG$89,A40&amp;"*",Hitung!$F$5:$F$89,"&gt;=2")</f>
        <v>0</v>
      </c>
      <c r="C40" s="31">
        <f t="shared" ref="C40:C91" si="26">B40^2</f>
        <v>0</v>
      </c>
    </row>
    <row r="41" ht="15" customHeight="1">
      <c r="A41" s="34" t="s">
        <v>193</v>
      </c>
      <c r="B41" s="31">
        <f>COUNTIFS('Kunci Adjudikasi'!$O$5:$O$89,A41&amp;"*",Hitung!$F$5:$F$89,"&gt;=2")+COUNTIFS('Kunci Adjudikasi'!$U$5:$U$89,A41&amp;"*",Hitung!$F$5:$F$89,"&gt;=2")+('Kunci Adjudikasi'!$E$1&gt;=3)*COUNTIFS('Kunci Adjudikasi'!$AA$5:$AA$89,A41&amp;"*",Hitung!$F$5:$F$89,"&gt;=2")+('Kunci Adjudikasi'!$E$1&gt;=4)*COUNTIFS('Kunci Adjudikasi'!$AG$5:$AG$89,A41&amp;"*",Hitung!$F$5:$F$89,"&gt;=2")</f>
        <v>0</v>
      </c>
      <c r="C41" s="31">
        <f t="shared" si="26"/>
        <v>0</v>
      </c>
    </row>
    <row r="42" ht="15" customHeight="1">
      <c r="A42" s="34" t="s">
        <v>194</v>
      </c>
      <c r="B42" s="31">
        <f>COUNTIFS('Kunci Adjudikasi'!$O$5:$O$89,A42&amp;"*",Hitung!$F$5:$F$89,"&gt;=2")+COUNTIFS('Kunci Adjudikasi'!$U$5:$U$89,A42&amp;"*",Hitung!$F$5:$F$89,"&gt;=2")+('Kunci Adjudikasi'!$E$1&gt;=3)*COUNTIFS('Kunci Adjudikasi'!$AA$5:$AA$89,A42&amp;"*",Hitung!$F$5:$F$89,"&gt;=2")+('Kunci Adjudikasi'!$E$1&gt;=4)*COUNTIFS('Kunci Adjudikasi'!$AG$5:$AG$89,A42&amp;"*",Hitung!$F$5:$F$89,"&gt;=2")</f>
        <v>0</v>
      </c>
      <c r="C42" s="31">
        <f t="shared" si="26"/>
        <v>0</v>
      </c>
    </row>
    <row r="43" ht="15" customHeight="1">
      <c r="A43" s="34" t="s">
        <v>195</v>
      </c>
      <c r="B43" s="31">
        <f>COUNTIFS('Kunci Adjudikasi'!$O$5:$O$89,A43&amp;"*",Hitung!$F$5:$F$89,"&gt;=2")+COUNTIFS('Kunci Adjudikasi'!$U$5:$U$89,A43&amp;"*",Hitung!$F$5:$F$89,"&gt;=2")+('Kunci Adjudikasi'!$E$1&gt;=3)*COUNTIFS('Kunci Adjudikasi'!$AA$5:$AA$89,A43&amp;"*",Hitung!$F$5:$F$89,"&gt;=2")+('Kunci Adjudikasi'!$E$1&gt;=4)*COUNTIFS('Kunci Adjudikasi'!$AG$5:$AG$89,A43&amp;"*",Hitung!$F$5:$F$89,"&gt;=2")</f>
        <v>0</v>
      </c>
      <c r="C43" s="31">
        <f t="shared" si="26"/>
        <v>0</v>
      </c>
    </row>
    <row r="44" ht="15" customHeight="1">
      <c r="A44" s="34" t="s">
        <v>196</v>
      </c>
      <c r="B44" s="31">
        <f>COUNTIFS('Kunci Adjudikasi'!$O$5:$O$89,A44&amp;"*",Hitung!$F$5:$F$89,"&gt;=2")+COUNTIFS('Kunci Adjudikasi'!$U$5:$U$89,A44&amp;"*",Hitung!$F$5:$F$89,"&gt;=2")+('Kunci Adjudikasi'!$E$1&gt;=3)*COUNTIFS('Kunci Adjudikasi'!$AA$5:$AA$89,A44&amp;"*",Hitung!$F$5:$F$89,"&gt;=2")+('Kunci Adjudikasi'!$E$1&gt;=4)*COUNTIFS('Kunci Adjudikasi'!$AG$5:$AG$89,A44&amp;"*",Hitung!$F$5:$F$89,"&gt;=2")</f>
        <v>0</v>
      </c>
      <c r="C44" s="31">
        <f t="shared" si="26"/>
        <v>0</v>
      </c>
    </row>
    <row r="45" ht="15" customHeight="1">
      <c r="A45" s="34" t="s">
        <v>197</v>
      </c>
      <c r="B45" s="31">
        <f>COUNTIFS('Kunci Adjudikasi'!$O$5:$O$89,A45&amp;"*",Hitung!$F$5:$F$89,"&gt;=2")+COUNTIFS('Kunci Adjudikasi'!$U$5:$U$89,A45&amp;"*",Hitung!$F$5:$F$89,"&gt;=2")+('Kunci Adjudikasi'!$E$1&gt;=3)*COUNTIFS('Kunci Adjudikasi'!$AA$5:$AA$89,A45&amp;"*",Hitung!$F$5:$F$89,"&gt;=2")+('Kunci Adjudikasi'!$E$1&gt;=4)*COUNTIFS('Kunci Adjudikasi'!$AG$5:$AG$89,A45&amp;"*",Hitung!$F$5:$F$89,"&gt;=2")</f>
        <v>0</v>
      </c>
      <c r="C45" s="31">
        <f t="shared" si="26"/>
        <v>0</v>
      </c>
    </row>
    <row r="46" ht="15" customHeight="1">
      <c r="A46" s="34" t="s">
        <v>198</v>
      </c>
      <c r="B46" s="31">
        <f>COUNTIFS('Kunci Adjudikasi'!$O$5:$O$89,A46&amp;"*",Hitung!$F$5:$F$89,"&gt;=2")+COUNTIFS('Kunci Adjudikasi'!$U$5:$U$89,A46&amp;"*",Hitung!$F$5:$F$89,"&gt;=2")+('Kunci Adjudikasi'!$E$1&gt;=3)*COUNTIFS('Kunci Adjudikasi'!$AA$5:$AA$89,A46&amp;"*",Hitung!$F$5:$F$89,"&gt;=2")+('Kunci Adjudikasi'!$E$1&gt;=4)*COUNTIFS('Kunci Adjudikasi'!$AG$5:$AG$89,A46&amp;"*",Hitung!$F$5:$F$89,"&gt;=2")</f>
        <v>0</v>
      </c>
      <c r="C46" s="31">
        <f t="shared" si="26"/>
        <v>0</v>
      </c>
    </row>
    <row r="47" ht="15" customHeight="1">
      <c r="A47" s="34" t="s">
        <v>199</v>
      </c>
      <c r="B47" s="31">
        <f>COUNTIFS('Kunci Adjudikasi'!$O$5:$O$89,A47&amp;"*",Hitung!$F$5:$F$89,"&gt;=2")+COUNTIFS('Kunci Adjudikasi'!$U$5:$U$89,A47&amp;"*",Hitung!$F$5:$F$89,"&gt;=2")+('Kunci Adjudikasi'!$E$1&gt;=3)*COUNTIFS('Kunci Adjudikasi'!$AA$5:$AA$89,A47&amp;"*",Hitung!$F$5:$F$89,"&gt;=2")+('Kunci Adjudikasi'!$E$1&gt;=4)*COUNTIFS('Kunci Adjudikasi'!$AG$5:$AG$89,A47&amp;"*",Hitung!$F$5:$F$89,"&gt;=2")</f>
        <v>0</v>
      </c>
      <c r="C47" s="31">
        <f t="shared" si="26"/>
        <v>0</v>
      </c>
    </row>
    <row r="48" ht="15" customHeight="1">
      <c r="A48" s="34" t="s">
        <v>200</v>
      </c>
      <c r="B48" s="31">
        <f>COUNTIFS('Kunci Adjudikasi'!$O$5:$O$89,A48&amp;"*",Hitung!$F$5:$F$89,"&gt;=2")+COUNTIFS('Kunci Adjudikasi'!$U$5:$U$89,A48&amp;"*",Hitung!$F$5:$F$89,"&gt;=2")+('Kunci Adjudikasi'!$E$1&gt;=3)*COUNTIFS('Kunci Adjudikasi'!$AA$5:$AA$89,A48&amp;"*",Hitung!$F$5:$F$89,"&gt;=2")+('Kunci Adjudikasi'!$E$1&gt;=4)*COUNTIFS('Kunci Adjudikasi'!$AG$5:$AG$89,A48&amp;"*",Hitung!$F$5:$F$89,"&gt;=2")</f>
        <v>0</v>
      </c>
      <c r="C48" s="31">
        <f t="shared" si="26"/>
        <v>0</v>
      </c>
    </row>
    <row r="49" ht="15" customHeight="1">
      <c r="A49" s="34" t="s">
        <v>201</v>
      </c>
      <c r="B49" s="31">
        <f>COUNTIFS('Kunci Adjudikasi'!$O$5:$O$89,A49&amp;"*",Hitung!$F$5:$F$89,"&gt;=2")+COUNTIFS('Kunci Adjudikasi'!$U$5:$U$89,A49&amp;"*",Hitung!$F$5:$F$89,"&gt;=2")+('Kunci Adjudikasi'!$E$1&gt;=3)*COUNTIFS('Kunci Adjudikasi'!$AA$5:$AA$89,A49&amp;"*",Hitung!$F$5:$F$89,"&gt;=2")+('Kunci Adjudikasi'!$E$1&gt;=4)*COUNTIFS('Kunci Adjudikasi'!$AG$5:$AG$89,A49&amp;"*",Hitung!$F$5:$F$89,"&gt;=2")</f>
        <v>0</v>
      </c>
      <c r="C49" s="31">
        <f t="shared" si="26"/>
        <v>0</v>
      </c>
    </row>
    <row r="50" ht="15" customHeight="1">
      <c r="A50" s="34" t="s">
        <v>202</v>
      </c>
      <c r="B50" s="31">
        <f>COUNTIFS('Kunci Adjudikasi'!$O$5:$O$89,A50&amp;"*",Hitung!$F$5:$F$89,"&gt;=2")+COUNTIFS('Kunci Adjudikasi'!$U$5:$U$89,A50&amp;"*",Hitung!$F$5:$F$89,"&gt;=2")+('Kunci Adjudikasi'!$E$1&gt;=3)*COUNTIFS('Kunci Adjudikasi'!$AA$5:$AA$89,A50&amp;"*",Hitung!$F$5:$F$89,"&gt;=2")+('Kunci Adjudikasi'!$E$1&gt;=4)*COUNTIFS('Kunci Adjudikasi'!$AG$5:$AG$89,A50&amp;"*",Hitung!$F$5:$F$89,"&gt;=2")</f>
        <v>0</v>
      </c>
      <c r="C50" s="31">
        <f t="shared" si="26"/>
        <v>0</v>
      </c>
    </row>
    <row r="51" ht="15" customHeight="1">
      <c r="A51" s="34" t="s">
        <v>203</v>
      </c>
      <c r="B51" s="31">
        <f>COUNTIFS('Kunci Adjudikasi'!$O$5:$O$89,A51&amp;"*",Hitung!$F$5:$F$89,"&gt;=2")+COUNTIFS('Kunci Adjudikasi'!$U$5:$U$89,A51&amp;"*",Hitung!$F$5:$F$89,"&gt;=2")+('Kunci Adjudikasi'!$E$1&gt;=3)*COUNTIFS('Kunci Adjudikasi'!$AA$5:$AA$89,A51&amp;"*",Hitung!$F$5:$F$89,"&gt;=2")+('Kunci Adjudikasi'!$E$1&gt;=4)*COUNTIFS('Kunci Adjudikasi'!$AG$5:$AG$89,A51&amp;"*",Hitung!$F$5:$F$89,"&gt;=2")</f>
        <v>0</v>
      </c>
      <c r="C51" s="31">
        <f t="shared" si="26"/>
        <v>0</v>
      </c>
    </row>
    <row r="52" ht="15" customHeight="1">
      <c r="A52" s="34" t="s">
        <v>204</v>
      </c>
      <c r="B52" s="31">
        <f>COUNTIFS('Kunci Adjudikasi'!$O$5:$O$89,A52&amp;"*",Hitung!$F$5:$F$89,"&gt;=2")+COUNTIFS('Kunci Adjudikasi'!$U$5:$U$89,A52&amp;"*",Hitung!$F$5:$F$89,"&gt;=2")+('Kunci Adjudikasi'!$E$1&gt;=3)*COUNTIFS('Kunci Adjudikasi'!$AA$5:$AA$89,A52&amp;"*",Hitung!$F$5:$F$89,"&gt;=2")+('Kunci Adjudikasi'!$E$1&gt;=4)*COUNTIFS('Kunci Adjudikasi'!$AG$5:$AG$89,A52&amp;"*",Hitung!$F$5:$F$89,"&gt;=2")</f>
        <v>0</v>
      </c>
      <c r="C52" s="31">
        <f t="shared" si="26"/>
        <v>0</v>
      </c>
    </row>
    <row r="53" ht="15" customHeight="1">
      <c r="A53" s="34" t="s">
        <v>205</v>
      </c>
      <c r="B53" s="31">
        <f>COUNTIFS('Kunci Adjudikasi'!$O$5:$O$89,A53&amp;"*",Hitung!$F$5:$F$89,"&gt;=2")+COUNTIFS('Kunci Adjudikasi'!$U$5:$U$89,A53&amp;"*",Hitung!$F$5:$F$89,"&gt;=2")+('Kunci Adjudikasi'!$E$1&gt;=3)*COUNTIFS('Kunci Adjudikasi'!$AA$5:$AA$89,A53&amp;"*",Hitung!$F$5:$F$89,"&gt;=2")+('Kunci Adjudikasi'!$E$1&gt;=4)*COUNTIFS('Kunci Adjudikasi'!$AG$5:$AG$89,A53&amp;"*",Hitung!$F$5:$F$89,"&gt;=2")</f>
        <v>0</v>
      </c>
      <c r="C53" s="31">
        <f t="shared" si="26"/>
        <v>0</v>
      </c>
    </row>
    <row r="54" ht="15" customHeight="1">
      <c r="A54" s="34" t="s">
        <v>206</v>
      </c>
      <c r="B54" s="31">
        <f>COUNTIFS('Kunci Adjudikasi'!$O$5:$O$89,A54&amp;"*",Hitung!$F$5:$F$89,"&gt;=2")+COUNTIFS('Kunci Adjudikasi'!$U$5:$U$89,A54&amp;"*",Hitung!$F$5:$F$89,"&gt;=2")+('Kunci Adjudikasi'!$E$1&gt;=3)*COUNTIFS('Kunci Adjudikasi'!$AA$5:$AA$89,A54&amp;"*",Hitung!$F$5:$F$89,"&gt;=2")+('Kunci Adjudikasi'!$E$1&gt;=4)*COUNTIFS('Kunci Adjudikasi'!$AG$5:$AG$89,A54&amp;"*",Hitung!$F$5:$F$89,"&gt;=2")</f>
        <v>0</v>
      </c>
      <c r="C54" s="31">
        <f t="shared" si="26"/>
        <v>0</v>
      </c>
    </row>
    <row r="55" ht="15" customHeight="1">
      <c r="A55" s="34" t="s">
        <v>207</v>
      </c>
      <c r="B55" s="31">
        <f>COUNTIFS('Kunci Adjudikasi'!$O$5:$O$89,A55&amp;"*",Hitung!$F$5:$F$89,"&gt;=2")+COUNTIFS('Kunci Adjudikasi'!$U$5:$U$89,A55&amp;"*",Hitung!$F$5:$F$89,"&gt;=2")+('Kunci Adjudikasi'!$E$1&gt;=3)*COUNTIFS('Kunci Adjudikasi'!$AA$5:$AA$89,A55&amp;"*",Hitung!$F$5:$F$89,"&gt;=2")+('Kunci Adjudikasi'!$E$1&gt;=4)*COUNTIFS('Kunci Adjudikasi'!$AG$5:$AG$89,A55&amp;"*",Hitung!$F$5:$F$89,"&gt;=2")</f>
        <v>0</v>
      </c>
      <c r="C55" s="31">
        <f t="shared" si="26"/>
        <v>0</v>
      </c>
    </row>
    <row r="56" ht="15" customHeight="1">
      <c r="A56" s="34" t="s">
        <v>208</v>
      </c>
      <c r="B56" s="31">
        <f>COUNTIFS('Kunci Adjudikasi'!$O$5:$O$89,A56&amp;"*",Hitung!$F$5:$F$89,"&gt;=2")+COUNTIFS('Kunci Adjudikasi'!$U$5:$U$89,A56&amp;"*",Hitung!$F$5:$F$89,"&gt;=2")+('Kunci Adjudikasi'!$E$1&gt;=3)*COUNTIFS('Kunci Adjudikasi'!$AA$5:$AA$89,A56&amp;"*",Hitung!$F$5:$F$89,"&gt;=2")+('Kunci Adjudikasi'!$E$1&gt;=4)*COUNTIFS('Kunci Adjudikasi'!$AG$5:$AG$89,A56&amp;"*",Hitung!$F$5:$F$89,"&gt;=2")</f>
        <v>0</v>
      </c>
      <c r="C56" s="31">
        <f t="shared" si="26"/>
        <v>0</v>
      </c>
    </row>
    <row r="57" ht="15" customHeight="1">
      <c r="A57" s="34"/>
      <c r="B57" s="31"/>
      <c r="C57" s="31"/>
    </row>
    <row r="60" ht="15" customHeight="1">
      <c r="A60" s="30" t="s">
        <v>209</v>
      </c>
    </row>
    <row r="61" ht="23.850000000000001" customHeight="1">
      <c r="A61" s="12" t="s">
        <v>167</v>
      </c>
      <c r="B61" s="12" t="s">
        <v>168</v>
      </c>
      <c r="C61" s="12" t="s">
        <v>169</v>
      </c>
    </row>
    <row r="62" ht="15" customHeight="1">
      <c r="A62" s="34" t="s">
        <v>210</v>
      </c>
      <c r="B62" s="31">
        <f>COUNTIFS('Kunci Adjudikasi'!$P$5:$P$89,A62&amp;"*",Hitung!$H$5:$H$89,"&gt;=2")+COUNTIFS('Kunci Adjudikasi'!$V$5:$V$89,A62&amp;"*",Hitung!$H$5:$H$89,"&gt;=2")+('Kunci Adjudikasi'!$E$1&gt;=3)*COUNTIFS('Kunci Adjudikasi'!$AB$5:$AB$89,A62&amp;"*",Hitung!$H$5:$H$89,"&gt;=2")+('Kunci Adjudikasi'!$E$1&gt;=4)*COUNTIFS('Kunci Adjudikasi'!$AH$5:$AH$89,A62&amp;"*",Hitung!$H$5:$H$89,"&gt;=2")</f>
        <v>0</v>
      </c>
      <c r="C62" s="31">
        <f t="shared" si="26"/>
        <v>0</v>
      </c>
    </row>
    <row r="63" ht="15" customHeight="1">
      <c r="A63" s="34" t="s">
        <v>211</v>
      </c>
      <c r="B63" s="31">
        <f>COUNTIFS('Kunci Adjudikasi'!$P$5:$P$89,A63&amp;"*",Hitung!$H$5:$H$89,"&gt;=2")+COUNTIFS('Kunci Adjudikasi'!$V$5:$V$89,A63&amp;"*",Hitung!$H$5:$H$89,"&gt;=2")+('Kunci Adjudikasi'!$E$1&gt;=3)*COUNTIFS('Kunci Adjudikasi'!$AB$5:$AB$89,A63&amp;"*",Hitung!$H$5:$H$89,"&gt;=2")+('Kunci Adjudikasi'!$E$1&gt;=4)*COUNTIFS('Kunci Adjudikasi'!$AH$5:$AH$89,A63&amp;"*",Hitung!$H$5:$H$89,"&gt;=2")</f>
        <v>0</v>
      </c>
      <c r="C63" s="31">
        <f t="shared" si="26"/>
        <v>0</v>
      </c>
    </row>
    <row r="64" ht="15" customHeight="1">
      <c r="A64" s="34" t="s">
        <v>212</v>
      </c>
      <c r="B64" s="31">
        <f>COUNTIFS('Kunci Adjudikasi'!$P$5:$P$89,A64&amp;"*",Hitung!$H$5:$H$89,"&gt;=2")+COUNTIFS('Kunci Adjudikasi'!$V$5:$V$89,A64&amp;"*",Hitung!$H$5:$H$89,"&gt;=2")+('Kunci Adjudikasi'!$E$1&gt;=3)*COUNTIFS('Kunci Adjudikasi'!$AB$5:$AB$89,A64&amp;"*",Hitung!$H$5:$H$89,"&gt;=2")+('Kunci Adjudikasi'!$E$1&gt;=4)*COUNTIFS('Kunci Adjudikasi'!$AH$5:$AH$89,A64&amp;"*",Hitung!$H$5:$H$89,"&gt;=2")</f>
        <v>0</v>
      </c>
      <c r="C64" s="31">
        <f t="shared" si="26"/>
        <v>0</v>
      </c>
    </row>
    <row r="65" ht="15" customHeight="1">
      <c r="A65" s="34" t="s">
        <v>213</v>
      </c>
      <c r="B65" s="31">
        <f>COUNTIFS('Kunci Adjudikasi'!$P$5:$P$89,A65&amp;"*",Hitung!$H$5:$H$89,"&gt;=2")+COUNTIFS('Kunci Adjudikasi'!$V$5:$V$89,A65&amp;"*",Hitung!$H$5:$H$89,"&gt;=2")+('Kunci Adjudikasi'!$E$1&gt;=3)*COUNTIFS('Kunci Adjudikasi'!$AB$5:$AB$89,A65&amp;"*",Hitung!$H$5:$H$89,"&gt;=2")+('Kunci Adjudikasi'!$E$1&gt;=4)*COUNTIFS('Kunci Adjudikasi'!$AH$5:$AH$89,A65&amp;"*",Hitung!$H$5:$H$89,"&gt;=2")</f>
        <v>0</v>
      </c>
      <c r="C65" s="31">
        <f t="shared" si="26"/>
        <v>0</v>
      </c>
    </row>
    <row r="66" ht="15" customHeight="1">
      <c r="A66" s="34" t="s">
        <v>214</v>
      </c>
      <c r="B66" s="31">
        <f>COUNTIFS('Kunci Adjudikasi'!$P$5:$P$89,A66&amp;"*",Hitung!$H$5:$H$89,"&gt;=2")+COUNTIFS('Kunci Adjudikasi'!$V$5:$V$89,A66&amp;"*",Hitung!$H$5:$H$89,"&gt;=2")+('Kunci Adjudikasi'!$E$1&gt;=3)*COUNTIFS('Kunci Adjudikasi'!$AB$5:$AB$89,A66&amp;"*",Hitung!$H$5:$H$89,"&gt;=2")+('Kunci Adjudikasi'!$E$1&gt;=4)*COUNTIFS('Kunci Adjudikasi'!$AH$5:$AH$89,A66&amp;"*",Hitung!$H$5:$H$89,"&gt;=2")</f>
        <v>0</v>
      </c>
      <c r="C66" s="31">
        <f t="shared" si="26"/>
        <v>0</v>
      </c>
    </row>
    <row r="67" ht="15" customHeight="1">
      <c r="A67" s="34" t="s">
        <v>215</v>
      </c>
      <c r="B67" s="31">
        <f>COUNTIFS('Kunci Adjudikasi'!$P$5:$P$89,A67&amp;"*",Hitung!$H$5:$H$89,"&gt;=2")+COUNTIFS('Kunci Adjudikasi'!$V$5:$V$89,A67&amp;"*",Hitung!$H$5:$H$89,"&gt;=2")+('Kunci Adjudikasi'!$E$1&gt;=3)*COUNTIFS('Kunci Adjudikasi'!$AB$5:$AB$89,A67&amp;"*",Hitung!$H$5:$H$89,"&gt;=2")+('Kunci Adjudikasi'!$E$1&gt;=4)*COUNTIFS('Kunci Adjudikasi'!$AH$5:$AH$89,A67&amp;"*",Hitung!$H$5:$H$89,"&gt;=2")</f>
        <v>0</v>
      </c>
      <c r="C67" s="31">
        <f t="shared" si="26"/>
        <v>0</v>
      </c>
    </row>
    <row r="68" ht="15" customHeight="1">
      <c r="A68" s="34" t="s">
        <v>216</v>
      </c>
      <c r="B68" s="31">
        <f>COUNTIFS('Kunci Adjudikasi'!$P$5:$P$89,A68&amp;"*",Hitung!$H$5:$H$89,"&gt;=2")+COUNTIFS('Kunci Adjudikasi'!$V$5:$V$89,A68&amp;"*",Hitung!$H$5:$H$89,"&gt;=2")+('Kunci Adjudikasi'!$E$1&gt;=3)*COUNTIFS('Kunci Adjudikasi'!$AB$5:$AB$89,A68&amp;"*",Hitung!$H$5:$H$89,"&gt;=2")+('Kunci Adjudikasi'!$E$1&gt;=4)*COUNTIFS('Kunci Adjudikasi'!$AH$5:$AH$89,A68&amp;"*",Hitung!$H$5:$H$89,"&gt;=2")</f>
        <v>0</v>
      </c>
      <c r="C68" s="31">
        <f t="shared" si="26"/>
        <v>0</v>
      </c>
    </row>
    <row r="69" ht="15" customHeight="1">
      <c r="A69" s="34" t="s">
        <v>217</v>
      </c>
      <c r="B69" s="31">
        <f>COUNTIFS('Kunci Adjudikasi'!$P$5:$P$89,A69&amp;"*",Hitung!$H$5:$H$89,"&gt;=2")+COUNTIFS('Kunci Adjudikasi'!$V$5:$V$89,A69&amp;"*",Hitung!$H$5:$H$89,"&gt;=2")+('Kunci Adjudikasi'!$E$1&gt;=3)*COUNTIFS('Kunci Adjudikasi'!$AB$5:$AB$89,A69&amp;"*",Hitung!$H$5:$H$89,"&gt;=2")+('Kunci Adjudikasi'!$E$1&gt;=4)*COUNTIFS('Kunci Adjudikasi'!$AH$5:$AH$89,A69&amp;"*",Hitung!$H$5:$H$89,"&gt;=2")</f>
        <v>0</v>
      </c>
      <c r="C69" s="31">
        <f t="shared" si="26"/>
        <v>0</v>
      </c>
    </row>
    <row r="70" ht="15" customHeight="1">
      <c r="A70" s="34"/>
      <c r="B70" s="31"/>
      <c r="C70" s="31"/>
    </row>
    <row r="73" ht="15" customHeight="1">
      <c r="A73" s="30" t="s">
        <v>218</v>
      </c>
    </row>
    <row r="74" ht="23.850000000000001" customHeight="1">
      <c r="A74" s="12" t="s">
        <v>167</v>
      </c>
      <c r="B74" s="12" t="s">
        <v>168</v>
      </c>
      <c r="C74" s="12" t="s">
        <v>169</v>
      </c>
    </row>
    <row r="75" ht="15" customHeight="1">
      <c r="A75" s="34" t="s">
        <v>219</v>
      </c>
      <c r="B75" s="31">
        <f>COUNTIFS('Kunci Adjudikasi'!$Q$5:$Q$89,A75&amp;"*",Hitung!$J$5:$J$89,"&gt;=2")+COUNTIFS('Kunci Adjudikasi'!$W$5:$W$89,A75&amp;"*",Hitung!$J$5:$J$89,"&gt;=2")+('Kunci Adjudikasi'!$E$1&gt;=3)*COUNTIFS('Kunci Adjudikasi'!$AC$5:$AC$89,A75&amp;"*",Hitung!$J$5:$J$89,"&gt;=2")+('Kunci Adjudikasi'!$E$1&gt;=4)*COUNTIFS('Kunci Adjudikasi'!$AI$5:$AI$89,A75&amp;"*",Hitung!$J$5:$J$89,"&gt;=2")</f>
        <v>0</v>
      </c>
      <c r="C75" s="31">
        <f t="shared" si="26"/>
        <v>0</v>
      </c>
    </row>
    <row r="76" ht="15" customHeight="1">
      <c r="A76" s="34" t="s">
        <v>220</v>
      </c>
      <c r="B76" s="31">
        <f>COUNTIFS('Kunci Adjudikasi'!$Q$5:$Q$89,A76&amp;"*",Hitung!$J$5:$J$89,"&gt;=2")+COUNTIFS('Kunci Adjudikasi'!$W$5:$W$89,A76&amp;"*",Hitung!$J$5:$J$89,"&gt;=2")+('Kunci Adjudikasi'!$E$1&gt;=3)*COUNTIFS('Kunci Adjudikasi'!$AC$5:$AC$89,A76&amp;"*",Hitung!$J$5:$J$89,"&gt;=2")+('Kunci Adjudikasi'!$E$1&gt;=4)*COUNTIFS('Kunci Adjudikasi'!$AI$5:$AI$89,A76&amp;"*",Hitung!$J$5:$J$89,"&gt;=2")</f>
        <v>0</v>
      </c>
      <c r="C76" s="31">
        <f t="shared" si="26"/>
        <v>0</v>
      </c>
    </row>
    <row r="77" ht="15" customHeight="1">
      <c r="A77" s="34" t="s">
        <v>221</v>
      </c>
      <c r="B77" s="31">
        <f>COUNTIFS('Kunci Adjudikasi'!$Q$5:$Q$89,A77&amp;"*",Hitung!$J$5:$J$89,"&gt;=2")+COUNTIFS('Kunci Adjudikasi'!$W$5:$W$89,A77&amp;"*",Hitung!$J$5:$J$89,"&gt;=2")+('Kunci Adjudikasi'!$E$1&gt;=3)*COUNTIFS('Kunci Adjudikasi'!$AC$5:$AC$89,A77&amp;"*",Hitung!$J$5:$J$89,"&gt;=2")+('Kunci Adjudikasi'!$E$1&gt;=4)*COUNTIFS('Kunci Adjudikasi'!$AI$5:$AI$89,A77&amp;"*",Hitung!$J$5:$J$89,"&gt;=2")</f>
        <v>0</v>
      </c>
      <c r="C77" s="31">
        <f t="shared" si="26"/>
        <v>0</v>
      </c>
    </row>
    <row r="78" ht="15" customHeight="1">
      <c r="A78" s="34" t="s">
        <v>222</v>
      </c>
      <c r="B78" s="31">
        <f>COUNTIFS('Kunci Adjudikasi'!$Q$5:$Q$89,A78&amp;"*",Hitung!$J$5:$J$89,"&gt;=2")+COUNTIFS('Kunci Adjudikasi'!$W$5:$W$89,A78&amp;"*",Hitung!$J$5:$J$89,"&gt;=2")+('Kunci Adjudikasi'!$E$1&gt;=3)*COUNTIFS('Kunci Adjudikasi'!$AC$5:$AC$89,A78&amp;"*",Hitung!$J$5:$J$89,"&gt;=2")+('Kunci Adjudikasi'!$E$1&gt;=4)*COUNTIFS('Kunci Adjudikasi'!$AI$5:$AI$89,A78&amp;"*",Hitung!$J$5:$J$89,"&gt;=2")</f>
        <v>0</v>
      </c>
      <c r="C78" s="31">
        <f t="shared" si="26"/>
        <v>0</v>
      </c>
    </row>
    <row r="79" ht="15" customHeight="1">
      <c r="A79" s="34" t="s">
        <v>223</v>
      </c>
      <c r="B79" s="31">
        <f>COUNTIFS('Kunci Adjudikasi'!$Q$5:$Q$89,A79&amp;"*",Hitung!$J$5:$J$89,"&gt;=2")+COUNTIFS('Kunci Adjudikasi'!$W$5:$W$89,A79&amp;"*",Hitung!$J$5:$J$89,"&gt;=2")+('Kunci Adjudikasi'!$E$1&gt;=3)*COUNTIFS('Kunci Adjudikasi'!$AC$5:$AC$89,A79&amp;"*",Hitung!$J$5:$J$89,"&gt;=2")+('Kunci Adjudikasi'!$E$1&gt;=4)*COUNTIFS('Kunci Adjudikasi'!$AI$5:$AI$89,A79&amp;"*",Hitung!$J$5:$J$89,"&gt;=2")</f>
        <v>0</v>
      </c>
      <c r="C79" s="31">
        <f t="shared" si="26"/>
        <v>0</v>
      </c>
    </row>
    <row r="80" ht="15" customHeight="1">
      <c r="A80" s="34" t="s">
        <v>224</v>
      </c>
      <c r="B80" s="31">
        <f>COUNTIFS('Kunci Adjudikasi'!$Q$5:$Q$89,A80&amp;"*",Hitung!$J$5:$J$89,"&gt;=2")+COUNTIFS('Kunci Adjudikasi'!$W$5:$W$89,A80&amp;"*",Hitung!$J$5:$J$89,"&gt;=2")+('Kunci Adjudikasi'!$E$1&gt;=3)*COUNTIFS('Kunci Adjudikasi'!$AC$5:$AC$89,A80&amp;"*",Hitung!$J$5:$J$89,"&gt;=2")+('Kunci Adjudikasi'!$E$1&gt;=4)*COUNTIFS('Kunci Adjudikasi'!$AI$5:$AI$89,A80&amp;"*",Hitung!$J$5:$J$89,"&gt;=2")</f>
        <v>0</v>
      </c>
      <c r="C80" s="31">
        <f t="shared" si="26"/>
        <v>0</v>
      </c>
    </row>
    <row r="81" ht="15" customHeight="1">
      <c r="A81" s="34" t="s">
        <v>225</v>
      </c>
      <c r="B81" s="31">
        <f>COUNTIFS('Kunci Adjudikasi'!$Q$5:$Q$89,A81&amp;"*",Hitung!$J$5:$J$89,"&gt;=2")+COUNTIFS('Kunci Adjudikasi'!$W$5:$W$89,A81&amp;"*",Hitung!$J$5:$J$89,"&gt;=2")+('Kunci Adjudikasi'!$E$1&gt;=3)*COUNTIFS('Kunci Adjudikasi'!$AC$5:$AC$89,A81&amp;"*",Hitung!$J$5:$J$89,"&gt;=2")+('Kunci Adjudikasi'!$E$1&gt;=4)*COUNTIFS('Kunci Adjudikasi'!$AI$5:$AI$89,A81&amp;"*",Hitung!$J$5:$J$89,"&gt;=2")</f>
        <v>0</v>
      </c>
      <c r="C81" s="31">
        <f t="shared" si="26"/>
        <v>0</v>
      </c>
    </row>
    <row r="82" ht="15" customHeight="1">
      <c r="A82" s="34" t="s">
        <v>226</v>
      </c>
      <c r="B82" s="31">
        <f>COUNTIFS('Kunci Adjudikasi'!$Q$5:$Q$89,A82&amp;"*",Hitung!$J$5:$J$89,"&gt;=2")+COUNTIFS('Kunci Adjudikasi'!$W$5:$W$89,A82&amp;"*",Hitung!$J$5:$J$89,"&gt;=2")+('Kunci Adjudikasi'!$E$1&gt;=3)*COUNTIFS('Kunci Adjudikasi'!$AC$5:$AC$89,A82&amp;"*",Hitung!$J$5:$J$89,"&gt;=2")+('Kunci Adjudikasi'!$E$1&gt;=4)*COUNTIFS('Kunci Adjudikasi'!$AI$5:$AI$89,A82&amp;"*",Hitung!$J$5:$J$89,"&gt;=2")</f>
        <v>0</v>
      </c>
      <c r="C82" s="31">
        <f t="shared" si="26"/>
        <v>0</v>
      </c>
    </row>
    <row r="85" ht="15" customHeight="1">
      <c r="A85" s="30" t="s">
        <v>227</v>
      </c>
    </row>
    <row r="86" ht="23.850000000000001" customHeight="1">
      <c r="A86" s="12" t="s">
        <v>167</v>
      </c>
      <c r="B86" s="12" t="s">
        <v>168</v>
      </c>
      <c r="C86" s="12" t="s">
        <v>169</v>
      </c>
    </row>
    <row r="87" ht="15" customHeight="1">
      <c r="A87" s="34" t="s">
        <v>228</v>
      </c>
      <c r="B87" s="31">
        <f>COUNTIFS('Kunci Adjudikasi'!$R$5:$R$89,A87&amp;"*",Hitung!$L$5:$L$89,"&gt;=2")+COUNTIFS('Kunci Adjudikasi'!$X$5:$X$89,A87&amp;"*",Hitung!$L$5:$L$89,"&gt;=2")+('Kunci Adjudikasi'!$E$1&gt;=3)*COUNTIFS('Kunci Adjudikasi'!$AD$5:$AD$89,A87&amp;"*",Hitung!$L$5:$L$89,"&gt;=2")+('Kunci Adjudikasi'!$E$1&gt;=4)*COUNTIFS('Kunci Adjudikasi'!$AJ$5:$AJ$89,A87&amp;"*",Hitung!$L$5:$L$89,"&gt;=2")</f>
        <v>0</v>
      </c>
      <c r="C87" s="31">
        <f t="shared" si="26"/>
        <v>0</v>
      </c>
    </row>
    <row r="88" ht="15" customHeight="1">
      <c r="A88" s="34" t="s">
        <v>229</v>
      </c>
      <c r="B88" s="31">
        <f>COUNTIFS('Kunci Adjudikasi'!$R$5:$R$89,A88&amp;"*",Hitung!$L$5:$L$89,"&gt;=2")+COUNTIFS('Kunci Adjudikasi'!$X$5:$X$89,A88&amp;"*",Hitung!$L$5:$L$89,"&gt;=2")+('Kunci Adjudikasi'!$E$1&gt;=3)*COUNTIFS('Kunci Adjudikasi'!$AD$5:$AD$89,A88&amp;"*",Hitung!$L$5:$L$89,"&gt;=2")+('Kunci Adjudikasi'!$E$1&gt;=4)*COUNTIFS('Kunci Adjudikasi'!$AJ$5:$AJ$89,A88&amp;"*",Hitung!$L$5:$L$89,"&gt;=2")</f>
        <v>0</v>
      </c>
      <c r="C88" s="31">
        <f t="shared" si="26"/>
        <v>0</v>
      </c>
    </row>
    <row r="89" ht="15" customHeight="1">
      <c r="A89" s="34" t="s">
        <v>230</v>
      </c>
      <c r="B89" s="31">
        <f>COUNTIFS('Kunci Adjudikasi'!$R$5:$R$89,A89&amp;"*",Hitung!$L$5:$L$89,"&gt;=2")+COUNTIFS('Kunci Adjudikasi'!$X$5:$X$89,A89&amp;"*",Hitung!$L$5:$L$89,"&gt;=2")+('Kunci Adjudikasi'!$E$1&gt;=3)*COUNTIFS('Kunci Adjudikasi'!$AD$5:$AD$89,A89&amp;"*",Hitung!$L$5:$L$89,"&gt;=2")+('Kunci Adjudikasi'!$E$1&gt;=4)*COUNTIFS('Kunci Adjudikasi'!$AJ$5:$AJ$89,A89&amp;"*",Hitung!$L$5:$L$89,"&gt;=2")</f>
        <v>0</v>
      </c>
      <c r="C89" s="31">
        <f t="shared" si="26"/>
        <v>0</v>
      </c>
    </row>
    <row r="90" ht="15" customHeight="1">
      <c r="A90" s="34" t="s">
        <v>231</v>
      </c>
      <c r="B90" s="31">
        <f>COUNTIFS('Kunci Adjudikasi'!$R$5:$R$89,A90&amp;"*",Hitung!$L$5:$L$89,"&gt;=2")+COUNTIFS('Kunci Adjudikasi'!$X$5:$X$89,A90&amp;"*",Hitung!$L$5:$L$89,"&gt;=2")+('Kunci Adjudikasi'!$E$1&gt;=3)*COUNTIFS('Kunci Adjudikasi'!$AD$5:$AD$89,A90&amp;"*",Hitung!$L$5:$L$89,"&gt;=2")+('Kunci Adjudikasi'!$E$1&gt;=4)*COUNTIFS('Kunci Adjudikasi'!$AJ$5:$AJ$89,A90&amp;"*",Hitung!$L$5:$L$89,"&gt;=2")</f>
        <v>0</v>
      </c>
      <c r="C90" s="31">
        <f t="shared" si="26"/>
        <v>0</v>
      </c>
    </row>
    <row r="91" ht="15" customHeight="1">
      <c r="A91" s="34" t="s">
        <v>232</v>
      </c>
      <c r="B91" s="31">
        <f>COUNTIFS('Kunci Adjudikasi'!$R$5:$R$89,A91&amp;"*",Hitung!$L$5:$L$89,"&gt;=2")+COUNTIFS('Kunci Adjudikasi'!$X$5:$X$89,A91&amp;"*",Hitung!$L$5:$L$89,"&gt;=2")+('Kunci Adjudikasi'!$E$1&gt;=3)*COUNTIFS('Kunci Adjudikasi'!$AD$5:$AD$89,A91&amp;"*",Hitung!$L$5:$L$89,"&gt;=2")+('Kunci Adjudikasi'!$E$1&gt;=4)*COUNTIFS('Kunci Adjudikasi'!$AJ$5:$AJ$89,A91&amp;"*",Hitung!$L$5:$L$89,"&gt;=2")</f>
        <v>0</v>
      </c>
      <c r="C91" s="31">
        <f t="shared" si="26"/>
        <v>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4" topLeftCell="A5" activePane="bottomLeft" state="frozen"/>
      <selection activeCell="A1" activeCellId="0" sqref="A1"/>
    </sheetView>
  </sheetViews>
  <sheetFormatPr baseColWidth="8" defaultRowHeight="15"/>
  <cols>
    <col customWidth="1" min="1" max="1" style="1" width="52"/>
    <col customWidth="1" min="2" max="8" style="1" width="17"/>
  </cols>
  <sheetData>
    <row r="1">
      <c r="A1" s="2" t="s">
        <v>233</v>
      </c>
    </row>
    <row r="2">
      <c r="A2" s="3" t="s">
        <v>234</v>
      </c>
    </row>
    <row r="3">
      <c r="A3" s="30" t="str">
        <f>"Coder dinilai: "&amp;IF('Kunci Adjudikasi'!$E$1=2,"A, B",IF('Kunci Adjudikasi'!$E$1=3,"A, B, C","A, B, C, D"))&amp;" ("&amp;'Kunci Adjudikasi'!$E$1&amp;" coder)"</f>
        <v xml:space="preserve">Coder dinilai: A, B (2 coder)</v>
      </c>
    </row>
    <row r="5">
      <c r="A5" s="30" t="s">
        <v>235</v>
      </c>
    </row>
    <row r="6">
      <c r="A6" s="12" t="s">
        <v>236</v>
      </c>
      <c r="B6" s="12" t="s">
        <v>237</v>
      </c>
      <c r="C6" s="12" t="s">
        <v>238</v>
      </c>
    </row>
    <row r="7">
      <c r="A7" s="31" t="s">
        <v>239</v>
      </c>
      <c r="B7" s="32">
        <f>COUNT('Kunci Adjudikasi'!$A$5:$A$89)</f>
        <v>85</v>
      </c>
    </row>
    <row r="8">
      <c r="A8" s="31" t="s">
        <v>240</v>
      </c>
      <c r="B8" s="32">
        <f>COUNTIF('Kunci Adjudikasi'!$BE$5:$BE$89,"Menunggu coder")</f>
        <v>85</v>
      </c>
      <c r="C8" s="35">
        <f t="shared" ref="C8:C9" si="27">IF($B$7=0,"",B8/$B$7)</f>
        <v>1</v>
      </c>
    </row>
    <row r="9">
      <c r="A9" s="31" t="s">
        <v>241</v>
      </c>
      <c r="B9" s="32">
        <f>COUNTIF('Kunci Adjudikasi'!$BE$5:$BE$89,"Sepakat")</f>
        <v>0</v>
      </c>
      <c r="C9" s="35">
        <f t="shared" si="27"/>
        <v>0</v>
      </c>
    </row>
    <row r="10">
      <c r="A10" s="31" t="s">
        <v>242</v>
      </c>
      <c r="B10" s="32">
        <f>COUNTIF('Kunci Adjudikasi'!$BE$5:$BE$89,"Perlu adjudikasi")</f>
        <v>0</v>
      </c>
      <c r="C10" s="35">
        <f t="shared" ref="C10:C14" si="28">IF($B$7=0,"",B10/$B$7)</f>
        <v>0</v>
      </c>
    </row>
    <row r="11">
      <c r="A11" s="31" t="s">
        <v>243</v>
      </c>
      <c r="B11" s="32">
        <f>COUNTIF('Kunci Adjudikasi'!$BE$5:$BE$89,"Selesai adjudikasi")</f>
        <v>0</v>
      </c>
      <c r="C11" s="35">
        <f t="shared" si="28"/>
        <v>0</v>
      </c>
    </row>
    <row r="12">
      <c r="A12" s="31" t="s">
        <v>244</v>
      </c>
      <c r="B12" s="32">
        <f>SUMPRODUCT(('Kunci Adjudikasi'!$AX$5:$AX$89&lt;&gt;"")*('Kunci Adjudikasi'!$AY$5:$AY$89&lt;&gt;"")*('Kunci Adjudikasi'!$AZ$5:$AZ$89&lt;&gt;"")*('Kunci Adjudikasi'!$BA$5:$BA$89&lt;&gt;"")*('Kunci Adjudikasi'!$BB$5:$BB$89&lt;&gt;"")*('Kunci Adjudikasi'!$BC$5:$BC$89&lt;&gt;""))</f>
        <v>0</v>
      </c>
      <c r="C12" s="35">
        <f t="shared" si="28"/>
        <v>0</v>
      </c>
    </row>
    <row r="13">
      <c r="A13" s="31" t="s">
        <v>245</v>
      </c>
      <c r="B13" s="32">
        <f>COUNTIF('Kunci Adjudikasi'!$BF$5:$BF$89,"OK")</f>
        <v>0</v>
      </c>
      <c r="C13" s="35">
        <f t="shared" si="28"/>
        <v>0</v>
      </c>
    </row>
    <row r="14">
      <c r="A14" s="31" t="s">
        <v>246</v>
      </c>
      <c r="B14" s="32">
        <f>SUMPRODUCT(('Kunci Adjudikasi'!$BF$5:$BF$89&lt;&gt;"")*('Kunci Adjudikasi'!$BF$5:$BF$89&lt;&gt;"OK"))</f>
        <v>0</v>
      </c>
      <c r="C14" s="35">
        <f t="shared" si="28"/>
        <v>0</v>
      </c>
    </row>
    <row r="16">
      <c r="A16" s="30" t="s">
        <v>247</v>
      </c>
    </row>
    <row r="17">
      <c r="A17" s="12" t="s">
        <v>151</v>
      </c>
      <c r="B17" s="12" t="s">
        <v>248</v>
      </c>
      <c r="C17" s="12" t="s">
        <v>249</v>
      </c>
      <c r="D17" s="12" t="s">
        <v>250</v>
      </c>
      <c r="E17" s="12" t="s">
        <v>251</v>
      </c>
      <c r="F17" s="12" t="s">
        <v>252</v>
      </c>
    </row>
    <row r="18">
      <c r="A18" s="31" t="s">
        <v>157</v>
      </c>
      <c r="B18" s="32">
        <f>COUNTIF('Kunci Adjudikasi'!$AK$5:$AK$89,"Sama")+COUNTIF('Kunci Adjudikasi'!$AK$5:$AK$89,"Beda")</f>
        <v>0</v>
      </c>
      <c r="C18" s="32">
        <f>COUNTIF('Kunci Adjudikasi'!$AK$5:$AK$89,"Beda")</f>
        <v>0</v>
      </c>
      <c r="D18" s="35" t="str">
        <f t="shared" ref="D18:D23" si="29">IF(B18=0,"",C18/B18)</f>
        <v/>
      </c>
      <c r="E18" s="32">
        <f>SUMPRODUCT(('Kunci Adjudikasi'!$AK$5:$AK$89="Beda")*('Kunci Adjudikasi'!$AR$5:$AR$89&lt;&gt;""))</f>
        <v>0</v>
      </c>
      <c r="F18" s="32">
        <f t="shared" ref="F18:F23" si="30">C18-E18</f>
        <v>0</v>
      </c>
    </row>
    <row r="19">
      <c r="A19" s="31" t="s">
        <v>159</v>
      </c>
      <c r="B19" s="32">
        <f>COUNTIF('Kunci Adjudikasi'!$AL$5:$AL$89,"Sama")+COUNTIF('Kunci Adjudikasi'!$AL$5:$AL$89,"Beda")</f>
        <v>0</v>
      </c>
      <c r="C19" s="32">
        <f>COUNTIF('Kunci Adjudikasi'!$AL$5:$AL$89,"Beda")</f>
        <v>0</v>
      </c>
      <c r="D19" s="35" t="str">
        <f t="shared" si="29"/>
        <v/>
      </c>
      <c r="E19" s="32">
        <f>SUMPRODUCT(('Kunci Adjudikasi'!$AL$5:$AL$89="Beda")*('Kunci Adjudikasi'!$AS$5:$AS$89&lt;&gt;""))</f>
        <v>0</v>
      </c>
      <c r="F19" s="32">
        <f t="shared" si="30"/>
        <v>0</v>
      </c>
    </row>
    <row r="20">
      <c r="A20" s="31" t="s">
        <v>161</v>
      </c>
      <c r="B20" s="32">
        <f>COUNTIF('Kunci Adjudikasi'!$AM$5:$AM$89,"Sama")+COUNTIF('Kunci Adjudikasi'!$AM$5:$AM$89,"Beda")</f>
        <v>0</v>
      </c>
      <c r="C20" s="32">
        <f>COUNTIF('Kunci Adjudikasi'!$AM$5:$AM$89,"Beda")</f>
        <v>0</v>
      </c>
      <c r="D20" s="35" t="str">
        <f t="shared" si="29"/>
        <v/>
      </c>
      <c r="E20" s="32">
        <f>SUMPRODUCT(('Kunci Adjudikasi'!$AM$5:$AM$89="Beda")*('Kunci Adjudikasi'!$AT$5:$AT$89&lt;&gt;""))</f>
        <v>0</v>
      </c>
      <c r="F20" s="32">
        <f t="shared" si="30"/>
        <v>0</v>
      </c>
    </row>
    <row r="21">
      <c r="A21" s="31" t="s">
        <v>162</v>
      </c>
      <c r="B21" s="32">
        <f>COUNTIF('Kunci Adjudikasi'!$AN$5:$AN$89,"Sama")+COUNTIF('Kunci Adjudikasi'!$AN$5:$AN$89,"Beda")</f>
        <v>0</v>
      </c>
      <c r="C21" s="32">
        <f>COUNTIF('Kunci Adjudikasi'!$AN$5:$AN$89,"Beda")</f>
        <v>0</v>
      </c>
      <c r="D21" s="35" t="str">
        <f t="shared" si="29"/>
        <v/>
      </c>
      <c r="E21" s="32">
        <f>SUMPRODUCT(('Kunci Adjudikasi'!$AN$5:$AN$89="Beda")*('Kunci Adjudikasi'!$AU$5:$AU$89&lt;&gt;""))</f>
        <v>0</v>
      </c>
      <c r="F21" s="32">
        <f t="shared" si="30"/>
        <v>0</v>
      </c>
    </row>
    <row r="22">
      <c r="A22" s="31" t="s">
        <v>163</v>
      </c>
      <c r="B22" s="32">
        <f>COUNTIF('Kunci Adjudikasi'!$AO$5:$AO$89,"Sama")+COUNTIF('Kunci Adjudikasi'!$AO$5:$AO$89,"Beda")</f>
        <v>0</v>
      </c>
      <c r="C22" s="32">
        <f>COUNTIF('Kunci Adjudikasi'!$AO$5:$AO$89,"Beda")</f>
        <v>0</v>
      </c>
      <c r="D22" s="35" t="str">
        <f t="shared" si="29"/>
        <v/>
      </c>
      <c r="E22" s="32">
        <f>SUMPRODUCT(('Kunci Adjudikasi'!$AO$5:$AO$89="Beda")*('Kunci Adjudikasi'!$AV$5:$AV$89&lt;&gt;""))</f>
        <v>0</v>
      </c>
      <c r="F22" s="32">
        <f t="shared" si="30"/>
        <v>0</v>
      </c>
    </row>
    <row r="23">
      <c r="A23" s="31" t="s">
        <v>164</v>
      </c>
      <c r="B23" s="32">
        <f>COUNTIF('Kunci Adjudikasi'!$AP$5:$AP$89,"Sama")+COUNTIF('Kunci Adjudikasi'!$AP$5:$AP$89,"Beda")</f>
        <v>0</v>
      </c>
      <c r="C23" s="32">
        <f>COUNTIF('Kunci Adjudikasi'!$AP$5:$AP$89,"Beda")</f>
        <v>0</v>
      </c>
      <c r="D23" s="35" t="str">
        <f t="shared" si="29"/>
        <v/>
      </c>
      <c r="E23" s="32">
        <f>SUMPRODUCT(('Kunci Adjudikasi'!$AP$5:$AP$89="Beda")*('Kunci Adjudikasi'!$AW$5:$AW$89&lt;&gt;""))</f>
        <v>0</v>
      </c>
      <c r="F23" s="32">
        <f t="shared" si="30"/>
        <v>0</v>
      </c>
    </row>
    <row r="25">
      <c r="A25" s="30" t="s">
        <v>253</v>
      </c>
    </row>
    <row r="26">
      <c r="A26" s="12" t="s">
        <v>254</v>
      </c>
      <c r="B26" s="12" t="s">
        <v>39</v>
      </c>
      <c r="C26" s="12" t="s">
        <v>255</v>
      </c>
      <c r="D26" s="12" t="s">
        <v>256</v>
      </c>
      <c r="E26" s="12" t="s">
        <v>257</v>
      </c>
      <c r="F26" s="12" t="s">
        <v>258</v>
      </c>
      <c r="G26" s="12" t="s">
        <v>259</v>
      </c>
      <c r="H26" s="12" t="s">
        <v>260</v>
      </c>
    </row>
    <row r="27">
      <c r="A27" s="31" t="s">
        <v>261</v>
      </c>
      <c r="B27" s="32" t="str">
        <f t="shared" ref="B27:B28" si="31">"Aktif"</f>
        <v>Aktif</v>
      </c>
      <c r="C27" s="32">
        <f>IF(B27="Aktif",COUNTIF('Kunci Adjudikasi'!$BG$5:$BG$89,"Ya*")+COUNTIF('Kunci Adjudikasi'!$BG$5:$BG$89,"Tidak*"),"")</f>
        <v>11</v>
      </c>
      <c r="D27" s="32">
        <f>IF(B27="Aktif",COUNTIF('Kunci Adjudikasi'!$BG$5:$BG$89,"Ya*"),"")</f>
        <v>0</v>
      </c>
      <c r="E27" s="35">
        <f t="shared" ref="E27:E30" si="32">IF(OR(C27="",C27=0),"",D27/C27)</f>
        <v>0</v>
      </c>
      <c r="F27" s="32">
        <f>IF(B27="Aktif",SUMPRODUCT(('Kunci Adjudikasi'!$G$5:$G$89&lt;&gt;"")*('Kunci Adjudikasi'!$M$5:$M$89&lt;&gt;"")*(LEFT('Kunci Adjudikasi'!$M$5:$M$89,2)=LEFT('Kunci Adjudikasi'!$G$5:$G$89,2)))+SUMPRODUCT(('Kunci Adjudikasi'!$H$5:$H$89&lt;&gt;"")*('Kunci Adjudikasi'!$N$5:$N$89&lt;&gt;"")*(LEFT('Kunci Adjudikasi'!$N$5:$N$89,2)=LEFT('Kunci Adjudikasi'!$H$5:$H$89,2)))+SUMPRODUCT(('Kunci Adjudikasi'!$I$5:$I$89&lt;&gt;"")*('Kunci Adjudikasi'!$O$5:$O$89&lt;&gt;"")*(LEFT('Kunci Adjudikasi'!$O$5:$O$89,3)=LEFT('Kunci Adjudikasi'!$I$5:$I$89,3)))+SUMPRODUCT(('Kunci Adjudikasi'!$J$5:$J$89&lt;&gt;"")*('Kunci Adjudikasi'!$P$5:$P$89&lt;&gt;"")*(LEFT('Kunci Adjudikasi'!$P$5:$P$89,2)=LEFT('Kunci Adjudikasi'!$J$5:$J$89,2)))+SUMPRODUCT(('Kunci Adjudikasi'!$K$5:$K$89&lt;&gt;"")*('Kunci Adjudikasi'!$Q$5:$Q$89&lt;&gt;"")*(LEFT('Kunci Adjudikasi'!$Q$5:$Q$89,2)=LEFT('Kunci Adjudikasi'!$K$5:$K$89,2)))+SUMPRODUCT(('Kunci Adjudikasi'!$L$5:$L$89&lt;&gt;"")*('Kunci Adjudikasi'!$R$5:$R$89&lt;&gt;"")*(LEFT('Kunci Adjudikasi'!$R$5:$R$89,2)=LEFT('Kunci Adjudikasi'!$L$5:$L$89,2))),"")</f>
        <v>27</v>
      </c>
      <c r="G27" s="32">
        <f>IF(B27="Aktif",SUMPRODUCT(('Kunci Adjudikasi'!$G$5:$G$89&lt;&gt;"")*('Kunci Adjudikasi'!$M$5:$M$89&lt;&gt;""))+SUMPRODUCT(('Kunci Adjudikasi'!$H$5:$H$89&lt;&gt;"")*('Kunci Adjudikasi'!$N$5:$N$89&lt;&gt;""))+SUMPRODUCT(('Kunci Adjudikasi'!$I$5:$I$89&lt;&gt;"")*('Kunci Adjudikasi'!$O$5:$O$89&lt;&gt;""))+SUMPRODUCT(('Kunci Adjudikasi'!$J$5:$J$89&lt;&gt;"")*('Kunci Adjudikasi'!$P$5:$P$89&lt;&gt;""))+SUMPRODUCT(('Kunci Adjudikasi'!$K$5:$K$89&lt;&gt;"")*('Kunci Adjudikasi'!$Q$5:$Q$89&lt;&gt;""))+SUMPRODUCT(('Kunci Adjudikasi'!$L$5:$L$89&lt;&gt;"")*('Kunci Adjudikasi'!$R$5:$R$89&lt;&gt;"")),"")</f>
        <v>66</v>
      </c>
      <c r="H27" s="35">
        <f t="shared" ref="H27:H30" si="33">IF(OR(G27="",G27=0),"",F27/G27)</f>
        <v>0.409090909090909</v>
      </c>
    </row>
    <row r="28">
      <c r="A28" s="31" t="s">
        <v>31</v>
      </c>
      <c r="B28" s="32" t="str">
        <f t="shared" si="31"/>
        <v>Aktif</v>
      </c>
      <c r="C28" s="32">
        <f>IF(B28="Aktif",COUNTIF('Kunci Adjudikasi'!$BH$5:$BH$89,"Ya*")+COUNTIF('Kunci Adjudikasi'!$BH$5:$BH$89,"Tidak*"),"")</f>
        <v>0</v>
      </c>
      <c r="D28" s="32">
        <f>IF(B28="Aktif",COUNTIF('Kunci Adjudikasi'!$BH$5:$BH$89,"Ya*"),"")</f>
        <v>0</v>
      </c>
      <c r="E28" s="35" t="str">
        <f t="shared" si="32"/>
        <v/>
      </c>
      <c r="F28" s="32">
        <f>IF(B28="Aktif",SUMPRODUCT(('Kunci Adjudikasi'!$G$5:$G$89&lt;&gt;"")*('Kunci Adjudikasi'!$S$5:$S$89&lt;&gt;"")*(LEFT('Kunci Adjudikasi'!$S$5:$S$89,2)=LEFT('Kunci Adjudikasi'!$G$5:$G$89,2)))+SUMPRODUCT(('Kunci Adjudikasi'!$H$5:$H$89&lt;&gt;"")*('Kunci Adjudikasi'!$T$5:$T$89&lt;&gt;"")*(LEFT('Kunci Adjudikasi'!$T$5:$T$89,2)=LEFT('Kunci Adjudikasi'!$H$5:$H$89,2)))+SUMPRODUCT(('Kunci Adjudikasi'!$I$5:$I$89&lt;&gt;"")*('Kunci Adjudikasi'!$U$5:$U$89&lt;&gt;"")*(LEFT('Kunci Adjudikasi'!$U$5:$U$89,3)=LEFT('Kunci Adjudikasi'!$I$5:$I$89,3)))+SUMPRODUCT(('Kunci Adjudikasi'!$J$5:$J$89&lt;&gt;"")*('Kunci Adjudikasi'!$V$5:$V$89&lt;&gt;"")*(LEFT('Kunci Adjudikasi'!$V$5:$V$89,2)=LEFT('Kunci Adjudikasi'!$J$5:$J$89,2)))+SUMPRODUCT(('Kunci Adjudikasi'!$K$5:$K$89&lt;&gt;"")*('Kunci Adjudikasi'!$W$5:$W$89&lt;&gt;"")*(LEFT('Kunci Adjudikasi'!$W$5:$W$89,2)=LEFT('Kunci Adjudikasi'!$K$5:$K$89,2)))+SUMPRODUCT(('Kunci Adjudikasi'!$L$5:$L$89&lt;&gt;"")*('Kunci Adjudikasi'!$X$5:$X$89&lt;&gt;"")*(LEFT('Kunci Adjudikasi'!$X$5:$X$89,2)=LEFT('Kunci Adjudikasi'!$L$5:$L$89,2))),"")</f>
        <v>0</v>
      </c>
      <c r="G28" s="32">
        <f>IF(B28="Aktif",SUMPRODUCT(('Kunci Adjudikasi'!$G$5:$G$89&lt;&gt;"")*('Kunci Adjudikasi'!$S$5:$S$89&lt;&gt;""))+SUMPRODUCT(('Kunci Adjudikasi'!$H$5:$H$89&lt;&gt;"")*('Kunci Adjudikasi'!$T$5:$T$89&lt;&gt;""))+SUMPRODUCT(('Kunci Adjudikasi'!$I$5:$I$89&lt;&gt;"")*('Kunci Adjudikasi'!$U$5:$U$89&lt;&gt;""))+SUMPRODUCT(('Kunci Adjudikasi'!$J$5:$J$89&lt;&gt;"")*('Kunci Adjudikasi'!$V$5:$V$89&lt;&gt;""))+SUMPRODUCT(('Kunci Adjudikasi'!$K$5:$K$89&lt;&gt;"")*('Kunci Adjudikasi'!$W$5:$W$89&lt;&gt;""))+SUMPRODUCT(('Kunci Adjudikasi'!$L$5:$L$89&lt;&gt;"")*('Kunci Adjudikasi'!$X$5:$X$89&lt;&gt;"")),"")</f>
        <v>0</v>
      </c>
      <c r="H28" s="35" t="str">
        <f t="shared" si="33"/>
        <v/>
      </c>
    </row>
    <row r="29">
      <c r="A29" s="31" t="s">
        <v>262</v>
      </c>
      <c r="B29" s="32" t="str">
        <f>IF(('Kunci Adjudikasi'!$E$1&gt;=3),"Aktif","Tidak aktif")</f>
        <v xml:space="preserve">Tidak aktif</v>
      </c>
      <c r="C29" s="32" t="str">
        <f>IF(B29="Aktif",COUNTIF('Kunci Adjudikasi'!$BI$5:$BI$89,"Ya*")+COUNTIF('Kunci Adjudikasi'!$BI$5:$BI$89,"Tidak*"),"")</f>
        <v/>
      </c>
      <c r="D29" s="32" t="str">
        <f>IF(B29="Aktif",COUNTIF('Kunci Adjudikasi'!$BI$5:$BI$89,"Ya*"),"")</f>
        <v/>
      </c>
      <c r="E29" s="35" t="str">
        <f t="shared" si="32"/>
        <v/>
      </c>
      <c r="F29" s="32" t="str">
        <f>IF(B29="Aktif",SUMPRODUCT(('Kunci Adjudikasi'!$G$5:$G$89&lt;&gt;"")*('Kunci Adjudikasi'!$Y$5:$Y$89&lt;&gt;"")*(LEFT('Kunci Adjudikasi'!$Y$5:$Y$89,2)=LEFT('Kunci Adjudikasi'!$G$5:$G$89,2)))+SUMPRODUCT(('Kunci Adjudikasi'!$H$5:$H$89&lt;&gt;"")*('Kunci Adjudikasi'!$Z$5:$Z$89&lt;&gt;"")*(LEFT('Kunci Adjudikasi'!$Z$5:$Z$89,2)=LEFT('Kunci Adjudikasi'!$H$5:$H$89,2)))+SUMPRODUCT(('Kunci Adjudikasi'!$I$5:$I$89&lt;&gt;"")*('Kunci Adjudikasi'!$AA$5:$AA$89&lt;&gt;"")*(LEFT('Kunci Adjudikasi'!$AA$5:$AA$89,3)=LEFT('Kunci Adjudikasi'!$I$5:$I$89,3)))+SUMPRODUCT(('Kunci Adjudikasi'!$J$5:$J$89&lt;&gt;"")*('Kunci Adjudikasi'!$AB$5:$AB$89&lt;&gt;"")*(LEFT('Kunci Adjudikasi'!$AB$5:$AB$89,2)=LEFT('Kunci Adjudikasi'!$J$5:$J$89,2)))+SUMPRODUCT(('Kunci Adjudikasi'!$K$5:$K$89&lt;&gt;"")*('Kunci Adjudikasi'!$AC$5:$AC$89&lt;&gt;"")*(LEFT('Kunci Adjudikasi'!$AC$5:$AC$89,2)=LEFT('Kunci Adjudikasi'!$K$5:$K$89,2)))+SUMPRODUCT(('Kunci Adjudikasi'!$L$5:$L$89&lt;&gt;"")*('Kunci Adjudikasi'!$AD$5:$AD$89&lt;&gt;"")*(LEFT('Kunci Adjudikasi'!$AD$5:$AD$89,2)=LEFT('Kunci Adjudikasi'!$L$5:$L$89,2))),"")</f>
        <v/>
      </c>
      <c r="G29" s="32" t="str">
        <f>IF(B29="Aktif",SUMPRODUCT(('Kunci Adjudikasi'!$G$5:$G$89&lt;&gt;"")*('Kunci Adjudikasi'!$Y$5:$Y$89&lt;&gt;""))+SUMPRODUCT(('Kunci Adjudikasi'!$H$5:$H$89&lt;&gt;"")*('Kunci Adjudikasi'!$Z$5:$Z$89&lt;&gt;""))+SUMPRODUCT(('Kunci Adjudikasi'!$I$5:$I$89&lt;&gt;"")*('Kunci Adjudikasi'!$AA$5:$AA$89&lt;&gt;""))+SUMPRODUCT(('Kunci Adjudikasi'!$J$5:$J$89&lt;&gt;"")*('Kunci Adjudikasi'!$AB$5:$AB$89&lt;&gt;""))+SUMPRODUCT(('Kunci Adjudikasi'!$K$5:$K$89&lt;&gt;"")*('Kunci Adjudikasi'!$AC$5:$AC$89&lt;&gt;""))+SUMPRODUCT(('Kunci Adjudikasi'!$L$5:$L$89&lt;&gt;"")*('Kunci Adjudikasi'!$AD$5:$AD$89&lt;&gt;"")),"")</f>
        <v/>
      </c>
      <c r="H29" s="35" t="str">
        <f t="shared" si="33"/>
        <v/>
      </c>
    </row>
    <row r="30">
      <c r="A30" s="31" t="s">
        <v>263</v>
      </c>
      <c r="B30" s="32" t="str">
        <f>IF(('Kunci Adjudikasi'!$E$1&gt;=4),"Aktif","Tidak aktif")</f>
        <v xml:space="preserve">Tidak aktif</v>
      </c>
      <c r="C30" s="32" t="str">
        <f>IF(B30="Aktif",COUNTIF('Kunci Adjudikasi'!$BJ$5:$BJ$89,"Ya*")+COUNTIF('Kunci Adjudikasi'!$BJ$5:$BJ$89,"Tidak*"),"")</f>
        <v/>
      </c>
      <c r="D30" s="32" t="str">
        <f>IF(B30="Aktif",COUNTIF('Kunci Adjudikasi'!$BJ$5:$BJ$89,"Ya*"),"")</f>
        <v/>
      </c>
      <c r="E30" s="35" t="str">
        <f t="shared" si="32"/>
        <v/>
      </c>
      <c r="F30" s="32" t="str">
        <f>IF(B30="Aktif",SUMPRODUCT(('Kunci Adjudikasi'!$G$5:$G$89&lt;&gt;"")*('Kunci Adjudikasi'!$AE$5:$AE$89&lt;&gt;"")*(LEFT('Kunci Adjudikasi'!$AE$5:$AE$89,2)=LEFT('Kunci Adjudikasi'!$G$5:$G$89,2)))+SUMPRODUCT(('Kunci Adjudikasi'!$H$5:$H$89&lt;&gt;"")*('Kunci Adjudikasi'!$AF$5:$AF$89&lt;&gt;"")*(LEFT('Kunci Adjudikasi'!$AF$5:$AF$89,2)=LEFT('Kunci Adjudikasi'!$H$5:$H$89,2)))+SUMPRODUCT(('Kunci Adjudikasi'!$I$5:$I$89&lt;&gt;"")*('Kunci Adjudikasi'!$AG$5:$AG$89&lt;&gt;"")*(LEFT('Kunci Adjudikasi'!$AG$5:$AG$89,3)=LEFT('Kunci Adjudikasi'!$I$5:$I$89,3)))+SUMPRODUCT(('Kunci Adjudikasi'!$J$5:$J$89&lt;&gt;"")*('Kunci Adjudikasi'!$AH$5:$AH$89&lt;&gt;"")*(LEFT('Kunci Adjudikasi'!$AH$5:$AH$89,2)=LEFT('Kunci Adjudikasi'!$J$5:$J$89,2)))+SUMPRODUCT(('Kunci Adjudikasi'!$K$5:$K$89&lt;&gt;"")*('Kunci Adjudikasi'!$AI$5:$AI$89&lt;&gt;"")*(LEFT('Kunci Adjudikasi'!$AI$5:$AI$89,2)=LEFT('Kunci Adjudikasi'!$K$5:$K$89,2)))+SUMPRODUCT(('Kunci Adjudikasi'!$L$5:$L$89&lt;&gt;"")*('Kunci Adjudikasi'!$AJ$5:$AJ$89&lt;&gt;"")*(LEFT('Kunci Adjudikasi'!$AJ$5:$AJ$89,2)=LEFT('Kunci Adjudikasi'!$L$5:$L$89,2))),"")</f>
        <v/>
      </c>
      <c r="G30" s="32" t="str">
        <f>IF(B30="Aktif",SUMPRODUCT(('Kunci Adjudikasi'!$G$5:$G$89&lt;&gt;"")*('Kunci Adjudikasi'!$AE$5:$AE$89&lt;&gt;""))+SUMPRODUCT(('Kunci Adjudikasi'!$H$5:$H$89&lt;&gt;"")*('Kunci Adjudikasi'!$AF$5:$AF$89&lt;&gt;""))+SUMPRODUCT(('Kunci Adjudikasi'!$I$5:$I$89&lt;&gt;"")*('Kunci Adjudikasi'!$AG$5:$AG$89&lt;&gt;""))+SUMPRODUCT(('Kunci Adjudikasi'!$J$5:$J$89&lt;&gt;"")*('Kunci Adjudikasi'!$AH$5:$AH$89&lt;&gt;""))+SUMPRODUCT(('Kunci Adjudikasi'!$K$5:$K$89&lt;&gt;"")*('Kunci Adjudikasi'!$AI$5:$AI$89&lt;&gt;""))+SUMPRODUCT(('Kunci Adjudikasi'!$L$5:$L$89&lt;&gt;"")*('Kunci Adjudikasi'!$AJ$5:$AJ$89&lt;&gt;"")),"")</f>
        <v/>
      </c>
      <c r="H30" s="35" t="str">
        <f t="shared" si="33"/>
        <v/>
      </c>
    </row>
    <row r="32">
      <c r="A32" s="30" t="s">
        <v>264</v>
      </c>
    </row>
    <row r="33">
      <c r="A33" s="30" t="s">
        <v>157</v>
      </c>
    </row>
    <row r="34">
      <c r="A34" s="12" t="s">
        <v>265</v>
      </c>
      <c r="B34" s="12" t="s">
        <v>237</v>
      </c>
      <c r="C34" s="12" t="s">
        <v>266</v>
      </c>
    </row>
    <row r="35">
      <c r="A35" s="31" t="str">
        <f>'Daftar Kode'!B5&amp;" - "&amp;LEFT('Daftar Kode'!C5,FIND(". ",'Daftar Kode'!C5&amp;". ")-1)</f>
        <v xml:space="preserve">S1 - Pengendali dan Prosesor</v>
      </c>
      <c r="B35" s="32">
        <f>COUNTIF('Kunci Adjudikasi'!$AX$5:$AX$89,'Daftar Kode'!B5&amp;"*")</f>
        <v>0</v>
      </c>
      <c r="C35" s="35" t="str">
        <f t="shared" ref="C35:C43" si="34">IF($B$44=0,"",B35/$B$44)</f>
        <v/>
      </c>
    </row>
    <row r="36">
      <c r="A36" s="31" t="str">
        <f>'Daftar Kode'!B6&amp;" - "&amp;LEFT('Daftar Kode'!C6,FIND(". ",'Daftar Kode'!C6&amp;". ")-1)</f>
        <v xml:space="preserve">S2 - Pengendali Data Pribadi</v>
      </c>
      <c r="B36" s="32">
        <f>COUNTIF('Kunci Adjudikasi'!$AX$5:$AX$89,'Daftar Kode'!B6&amp;"*")</f>
        <v>0</v>
      </c>
      <c r="C36" s="35" t="str">
        <f t="shared" si="34"/>
        <v/>
      </c>
    </row>
    <row r="37">
      <c r="A37" s="31" t="str">
        <f>'Daftar Kode'!B7&amp;" - "&amp;LEFT('Daftar Kode'!C7,FIND(". ",'Daftar Kode'!C7&amp;". ")-1)</f>
        <v xml:space="preserve">S3 - Prosesor Data Pribadi</v>
      </c>
      <c r="B37" s="32">
        <f>COUNTIF('Kunci Adjudikasi'!$AX$5:$AX$89,'Daftar Kode'!B7&amp;"*")</f>
        <v>0</v>
      </c>
      <c r="C37" s="35" t="str">
        <f t="shared" si="34"/>
        <v/>
      </c>
    </row>
    <row r="38">
      <c r="A38" s="31" t="str">
        <f>'Daftar Kode'!B8&amp;" - "&amp;LEFT('Daftar Kode'!C8,FIND(". ",'Daftar Kode'!C8&amp;". ")-1)</f>
        <v xml:space="preserve">S4 - Subjek Data Pribadi</v>
      </c>
      <c r="B38" s="32">
        <f>COUNTIF('Kunci Adjudikasi'!$AX$5:$AX$89,'Daftar Kode'!B8&amp;"*")</f>
        <v>0</v>
      </c>
      <c r="C38" s="35" t="str">
        <f t="shared" si="34"/>
        <v/>
      </c>
    </row>
    <row r="39">
      <c r="A39" s="31" t="str">
        <f>'Daftar Kode'!B9&amp;" - "&amp;LEFT('Daftar Kode'!C9,FIND(". ",'Daftar Kode'!C9&amp;". ")-1)</f>
        <v xml:space="preserve">S5 - Setiap Orang atau pihak umum</v>
      </c>
      <c r="B39" s="32">
        <f>COUNTIF('Kunci Adjudikasi'!$AX$5:$AX$89,'Daftar Kode'!B9&amp;"*")</f>
        <v>0</v>
      </c>
      <c r="C39" s="35" t="str">
        <f t="shared" si="34"/>
        <v/>
      </c>
    </row>
    <row r="40">
      <c r="A40" s="31" t="str">
        <f>'Daftar Kode'!B10&amp;" - "&amp;LEFT('Daftar Kode'!C10,FIND(". ",'Daftar Kode'!C10&amp;". ")-1)</f>
        <v xml:space="preserve">S6 - Instansi atau Badan Publik</v>
      </c>
      <c r="B40" s="32">
        <f>COUNTIF('Kunci Adjudikasi'!$AX$5:$AX$89,'Daftar Kode'!B10&amp;"*")</f>
        <v>0</v>
      </c>
      <c r="C40" s="35" t="str">
        <f t="shared" si="34"/>
        <v/>
      </c>
    </row>
    <row r="41">
      <c r="A41" s="31" t="str">
        <f>'Daftar Kode'!B11&amp;" - "&amp;LEFT('Daftar Kode'!C11,FIND(". ",'Daftar Kode'!C11&amp;". ")-1)</f>
        <v xml:space="preserve">S7 - Otoritas Penetap atau Pengawas Kebijakan</v>
      </c>
      <c r="B41" s="32">
        <f>COUNTIF('Kunci Adjudikasi'!$AX$5:$AX$89,'Daftar Kode'!B11&amp;"*")</f>
        <v>0</v>
      </c>
      <c r="C41" s="35" t="str">
        <f t="shared" si="34"/>
        <v/>
      </c>
    </row>
    <row r="42">
      <c r="A42" s="31" t="str">
        <f>'Daftar Kode'!B12&amp;" - "&amp;LEFT('Daftar Kode'!C12,FIND(". ",'Daftar Kode'!C12&amp;". ")-1)</f>
        <v xml:space="preserve">S8 - Penyelenggara sektor atau pihak lain</v>
      </c>
      <c r="B42" s="32">
        <f>COUNTIF('Kunci Adjudikasi'!$AX$5:$AX$89,'Daftar Kode'!B12&amp;"*")</f>
        <v>0</v>
      </c>
      <c r="C42" s="35" t="str">
        <f t="shared" si="34"/>
        <v/>
      </c>
    </row>
    <row r="43">
      <c r="A43" s="31" t="str">
        <f>'Daftar Kode'!B13&amp;" - "&amp;LEFT('Daftar Kode'!C13,FIND(". ",'Daftar Kode'!C13&amp;". ")-1)</f>
        <v xml:space="preserve">S9 - Tidak ada subjek perorangan atau organisasi eksplisit</v>
      </c>
      <c r="B43" s="32">
        <f>COUNTIF('Kunci Adjudikasi'!$AX$5:$AX$89,'Daftar Kode'!B13&amp;"*")</f>
        <v>0</v>
      </c>
      <c r="C43" s="35" t="str">
        <f t="shared" si="34"/>
        <v/>
      </c>
    </row>
    <row r="44">
      <c r="A44" s="34" t="s">
        <v>267</v>
      </c>
      <c r="B44" s="36">
        <f>SUM(B35:B43)</f>
        <v>0</v>
      </c>
    </row>
    <row r="46">
      <c r="A46" s="30" t="s">
        <v>159</v>
      </c>
    </row>
    <row r="47">
      <c r="A47" s="12" t="s">
        <v>265</v>
      </c>
      <c r="B47" s="12" t="s">
        <v>237</v>
      </c>
      <c r="C47" s="12" t="s">
        <v>266</v>
      </c>
    </row>
    <row r="48">
      <c r="A48" s="31" t="str">
        <f>'Daftar Kode'!B16&amp;" - "&amp;LEFT('Daftar Kode'!C16,FIND(". ",'Daftar Kode'!C16&amp;". ")-1)</f>
        <v xml:space="preserve">R0 - Tidak relevan</v>
      </c>
      <c r="B48" s="32">
        <f>COUNTIF('Kunci Adjudikasi'!$AY$5:$AY$89,'Daftar Kode'!B16&amp;"*")</f>
        <v>0</v>
      </c>
      <c r="C48" s="35" t="str">
        <f t="shared" ref="C48:C50" si="35">IF($B$51=0,"",B48/$B$51)</f>
        <v/>
      </c>
    </row>
    <row r="49">
      <c r="A49" s="31" t="str">
        <f>'Daftar Kode'!B17&amp;" - "&amp;LEFT('Daftar Kode'!C17,FIND(". ",'Daftar Kode'!C17&amp;". ")-1)</f>
        <v xml:space="preserve">R1 - Relevan tidak langsung</v>
      </c>
      <c r="B49" s="32">
        <f>COUNTIF('Kunci Adjudikasi'!$AY$5:$AY$89,'Daftar Kode'!B17&amp;"*")</f>
        <v>0</v>
      </c>
      <c r="C49" s="35" t="str">
        <f t="shared" si="35"/>
        <v/>
      </c>
    </row>
    <row r="50">
      <c r="A50" s="31" t="str">
        <f>'Daftar Kode'!B18&amp;" - "&amp;LEFT('Daftar Kode'!C18,FIND(". ",'Daftar Kode'!C18&amp;". ")-1)</f>
        <v xml:space="preserve">R2 - Relevan langsung</v>
      </c>
      <c r="B50" s="32">
        <f>COUNTIF('Kunci Adjudikasi'!$AY$5:$AY$89,'Daftar Kode'!B18&amp;"*")</f>
        <v>0</v>
      </c>
      <c r="C50" s="35" t="str">
        <f t="shared" si="35"/>
        <v/>
      </c>
    </row>
    <row r="51">
      <c r="A51" s="34" t="s">
        <v>267</v>
      </c>
      <c r="B51" s="36">
        <f>SUM(B48:B50)</f>
        <v>0</v>
      </c>
    </row>
    <row r="53">
      <c r="A53" s="30" t="s">
        <v>161</v>
      </c>
    </row>
    <row r="54">
      <c r="A54" s="12" t="s">
        <v>265</v>
      </c>
      <c r="B54" s="12" t="s">
        <v>237</v>
      </c>
      <c r="C54" s="12" t="s">
        <v>266</v>
      </c>
    </row>
    <row r="55">
      <c r="A55" s="31" t="str">
        <f>'Daftar Kode'!B21&amp;" - "&amp;LEFT('Daftar Kode'!C21,FIND(". ",'Daftar Kode'!C21&amp;". ")-1)</f>
        <v xml:space="preserve">T01 - Definisi, Istilah, dan Ruang Lingkup</v>
      </c>
      <c r="B55" s="32">
        <f>COUNTIF('Kunci Adjudikasi'!$AZ$5:$AZ$89,'Daftar Kode'!B21&amp;"*")</f>
        <v>0</v>
      </c>
      <c r="C55" s="35" t="str">
        <f t="shared" ref="C55:C71" si="36">IF($B$72=0,"",B55/$B$72)</f>
        <v/>
      </c>
    </row>
    <row r="56">
      <c r="A56" s="31" t="str">
        <f>'Daftar Kode'!B22&amp;" - "&amp;LEFT('Daftar Kode'!C22,FIND(". ",'Daftar Kode'!C22&amp;". ")-1)</f>
        <v xml:space="preserve">T02 - Latar Normatif dan Rujukan Non-operasional</v>
      </c>
      <c r="B56" s="32">
        <f>COUNTIF('Kunci Adjudikasi'!$AZ$5:$AZ$89,'Daftar Kode'!B22&amp;"*")</f>
        <v>0</v>
      </c>
      <c r="C56" s="35" t="str">
        <f t="shared" si="36"/>
        <v/>
      </c>
    </row>
    <row r="57">
      <c r="A57" s="31" t="str">
        <f>'Daftar Kode'!B23&amp;" - "&amp;LEFT('Daftar Kode'!C23,FIND(". ",'Daftar Kode'!C23&amp;". ")-1)</f>
        <v xml:space="preserve">T03 - Larangan dan Perbuatan Melawan Hukum</v>
      </c>
      <c r="B57" s="32">
        <f>COUNTIF('Kunci Adjudikasi'!$AZ$5:$AZ$89,'Daftar Kode'!B23&amp;"*")</f>
        <v>0</v>
      </c>
      <c r="C57" s="35" t="str">
        <f t="shared" si="36"/>
        <v/>
      </c>
    </row>
    <row r="58">
      <c r="A58" s="31" t="str">
        <f>'Daftar Kode'!B24&amp;" - "&amp;LEFT('Daftar Kode'!C24,FIND(". ",'Daftar Kode'!C24&amp;". ")-1)</f>
        <v xml:space="preserve">T04 - Pengecualian dan Pembatasan</v>
      </c>
      <c r="B58" s="32">
        <f>COUNTIF('Kunci Adjudikasi'!$AZ$5:$AZ$89,'Daftar Kode'!B24&amp;"*")</f>
        <v>0</v>
      </c>
      <c r="C58" s="35" t="str">
        <f t="shared" si="36"/>
        <v/>
      </c>
    </row>
    <row r="59">
      <c r="A59" s="31" t="str">
        <f>'Daftar Kode'!B25&amp;" - "&amp;LEFT('Daftar Kode'!C25,FIND(". ",'Daftar Kode'!C25&amp;". ")-1)</f>
        <v xml:space="preserve">T05 - Jenis dan Klasifikasi Data Pribadi</v>
      </c>
      <c r="B59" s="32">
        <f>COUNTIF('Kunci Adjudikasi'!$AZ$5:$AZ$89,'Daftar Kode'!B25&amp;"*")</f>
        <v>0</v>
      </c>
      <c r="C59" s="35" t="str">
        <f t="shared" si="36"/>
        <v/>
      </c>
    </row>
    <row r="60">
      <c r="A60" s="31" t="str">
        <f>'Daftar Kode'!B26&amp;" - "&amp;LEFT('Daftar Kode'!C26,FIND(". ",'Daftar Kode'!C26&amp;". ")-1)</f>
        <v xml:space="preserve">T06 - Data Pribadi Anak dan Kelompok Rentan</v>
      </c>
      <c r="B60" s="32">
        <f>COUNTIF('Kunci Adjudikasi'!$AZ$5:$AZ$89,'Daftar Kode'!B26&amp;"*")</f>
        <v>0</v>
      </c>
      <c r="C60" s="35" t="str">
        <f t="shared" si="36"/>
        <v/>
      </c>
    </row>
    <row r="61">
      <c r="A61" s="31" t="str">
        <f>'Daftar Kode'!B27&amp;" - "&amp;LEFT('Daftar Kode'!C27,FIND(". ",'Daftar Kode'!C27&amp;". ")-1)</f>
        <v xml:space="preserve">T07 - Hak Subjek Data Pribadi</v>
      </c>
      <c r="B61" s="32">
        <f>COUNTIF('Kunci Adjudikasi'!$AZ$5:$AZ$89,'Daftar Kode'!B27&amp;"*")</f>
        <v>0</v>
      </c>
      <c r="C61" s="35" t="str">
        <f t="shared" si="36"/>
        <v/>
      </c>
    </row>
    <row r="62">
      <c r="A62" s="31" t="str">
        <f>'Daftar Kode'!B28&amp;" - "&amp;LEFT('Daftar Kode'!C28,FIND(". ",'Daftar Kode'!C28&amp;". ")-1)</f>
        <v xml:space="preserve">T08 - Retensi, Penghentian, Penghapusan, dan Pemusnahan</v>
      </c>
      <c r="B62" s="32">
        <f>COUNTIF('Kunci Adjudikasi'!$AZ$5:$AZ$89,'Daftar Kode'!B28&amp;"*")</f>
        <v>0</v>
      </c>
      <c r="C62" s="35" t="str">
        <f t="shared" si="36"/>
        <v/>
      </c>
    </row>
    <row r="63">
      <c r="A63" s="31" t="str">
        <f>'Daftar Kode'!B29&amp;" - "&amp;LEFT('Daftar Kode'!C29,FIND(". ",'Daftar Kode'!C29&amp;". ")-1)</f>
        <v xml:space="preserve">T09 - Dasar Pemrosesan dan Persetujuan</v>
      </c>
      <c r="B63" s="32">
        <f>COUNTIF('Kunci Adjudikasi'!$AZ$5:$AZ$89,'Daftar Kode'!B29&amp;"*")</f>
        <v>0</v>
      </c>
      <c r="C63" s="35" t="str">
        <f t="shared" si="36"/>
        <v/>
      </c>
    </row>
    <row r="64">
      <c r="A64" s="31" t="str">
        <f>'Daftar Kode'!B30&amp;" - "&amp;LEFT('Daftar Kode'!C30,FIND(". ",'Daftar Kode'!C30&amp;". ")-1)</f>
        <v xml:space="preserve">T10 - Transfer dan Pengalihan Data</v>
      </c>
      <c r="B64" s="32">
        <f>COUNTIF('Kunci Adjudikasi'!$AZ$5:$AZ$89,'Daftar Kode'!B30&amp;"*")</f>
        <v>0</v>
      </c>
      <c r="C64" s="35" t="str">
        <f t="shared" si="36"/>
        <v/>
      </c>
    </row>
    <row r="65">
      <c r="A65" s="31" t="str">
        <f>'Daftar Kode'!B31&amp;" - "&amp;LEFT('Daftar Kode'!C31,FIND(". ",'Daftar Kode'!C31&amp;". ")-1)</f>
        <v xml:space="preserve">T11 - Keamanan, Kerahasiaan, dan Penanganan Insiden</v>
      </c>
      <c r="B65" s="32">
        <f>COUNTIF('Kunci Adjudikasi'!$AZ$5:$AZ$89,'Daftar Kode'!B31&amp;"*")</f>
        <v>0</v>
      </c>
      <c r="C65" s="35" t="str">
        <f t="shared" si="36"/>
        <v/>
      </c>
    </row>
    <row r="66">
      <c r="A66" s="31" t="str">
        <f>'Daftar Kode'!B32&amp;" - "&amp;LEFT('Daftar Kode'!C32,FIND(". ",'Daftar Kode'!C32&amp;". ")-1)</f>
        <v xml:space="preserve">T12 - Kualitas, Akurasi, dan Pembaruan Data</v>
      </c>
      <c r="B66" s="32">
        <f>COUNTIF('Kunci Adjudikasi'!$AZ$5:$AZ$89,'Daftar Kode'!B32&amp;"*")</f>
        <v>0</v>
      </c>
      <c r="C66" s="35" t="str">
        <f t="shared" si="36"/>
        <v/>
      </c>
    </row>
    <row r="67">
      <c r="A67" s="31" t="str">
        <f>'Daftar Kode'!B33&amp;" - "&amp;LEFT('Daftar Kode'!C33,FIND(". ",'Daftar Kode'!C33&amp;". ")-1)</f>
        <v xml:space="preserve">T13 - Akuntabilitas, Pencatatan, dan Tata Kelola Kepatuhan</v>
      </c>
      <c r="B67" s="32">
        <f>COUNTIF('Kunci Adjudikasi'!$AZ$5:$AZ$89,'Daftar Kode'!B33&amp;"*")</f>
        <v>0</v>
      </c>
      <c r="C67" s="35" t="str">
        <f t="shared" si="36"/>
        <v/>
      </c>
    </row>
    <row r="68">
      <c r="A68" s="31" t="str">
        <f>'Daftar Kode'!B34&amp;" - "&amp;LEFT('Daftar Kode'!C34,FIND(". ",'Daftar Kode'!C34&amp;". ")-1)</f>
        <v xml:space="preserve">T14 - Akses dan Pemanfaatan Data Pemerintah</v>
      </c>
      <c r="B68" s="32">
        <f>COUNTIF('Kunci Adjudikasi'!$AZ$5:$AZ$89,'Daftar Kode'!B34&amp;"*")</f>
        <v>0</v>
      </c>
      <c r="C68" s="35" t="str">
        <f t="shared" si="36"/>
        <v/>
      </c>
    </row>
    <row r="69">
      <c r="A69" s="31" t="str">
        <f>'Daftar Kode'!B35&amp;" - "&amp;LEFT('Daftar Kode'!C35,FIND(". ",'Daftar Kode'!C35&amp;". ")-1)</f>
        <v xml:space="preserve">T15 - Asas dan Prinsip Pemrosesan</v>
      </c>
      <c r="B69" s="32">
        <f>COUNTIF('Kunci Adjudikasi'!$AZ$5:$AZ$89,'Daftar Kode'!B35&amp;"*")</f>
        <v>0</v>
      </c>
      <c r="C69" s="35" t="str">
        <f t="shared" si="36"/>
        <v/>
      </c>
    </row>
    <row r="70">
      <c r="A70" s="31" t="str">
        <f>'Daftar Kode'!B36&amp;" - "&amp;LEFT('Daftar Kode'!C36,FIND(". ",'Daftar Kode'!C36&amp;". ")-1)</f>
        <v xml:space="preserve">T16 - Aktivitas Pemrosesan dan Pengumpulan</v>
      </c>
      <c r="B70" s="32">
        <f>COUNTIF('Kunci Adjudikasi'!$AZ$5:$AZ$89,'Daftar Kode'!B36&amp;"*")</f>
        <v>0</v>
      </c>
      <c r="C70" s="35" t="str">
        <f t="shared" si="36"/>
        <v/>
      </c>
    </row>
    <row r="71">
      <c r="A71" s="31" t="str">
        <f>'Daftar Kode'!B37&amp;" - "&amp;LEFT('Daftar Kode'!C37,FIND(". ",'Daftar Kode'!C37&amp;". ")-1)</f>
        <v xml:space="preserve">T99 - Lainnya (wajib jelaskan di V12)</v>
      </c>
      <c r="B71" s="32">
        <f>COUNTIF('Kunci Adjudikasi'!$AZ$5:$AZ$89,'Daftar Kode'!B37&amp;"*")</f>
        <v>0</v>
      </c>
      <c r="C71" s="35" t="str">
        <f t="shared" si="36"/>
        <v/>
      </c>
    </row>
    <row r="72">
      <c r="A72" s="34" t="s">
        <v>267</v>
      </c>
      <c r="B72" s="36">
        <f>SUM(B55:B71)</f>
        <v>0</v>
      </c>
    </row>
    <row r="74">
      <c r="A74" s="30" t="s">
        <v>162</v>
      </c>
    </row>
    <row r="75">
      <c r="A75" s="12" t="s">
        <v>265</v>
      </c>
      <c r="B75" s="12" t="s">
        <v>237</v>
      </c>
      <c r="C75" s="12" t="s">
        <v>266</v>
      </c>
    </row>
    <row r="76">
      <c r="A76" s="31" t="str">
        <f>'Daftar Kode'!B40&amp;" - "&amp;LEFT('Daftar Kode'!C40,FIND(". ",'Daftar Kode'!C40&amp;". ")-1)</f>
        <v xml:space="preserve">P1 - Larangan</v>
      </c>
      <c r="B76" s="32">
        <f>COUNTIF('Kunci Adjudikasi'!$BA$5:$BA$89,'Daftar Kode'!B40&amp;"*")</f>
        <v>0</v>
      </c>
      <c r="C76" s="35" t="str">
        <f t="shared" ref="C76:C83" si="37">IF($B$84=0,"",B76/$B$84)</f>
        <v/>
      </c>
    </row>
    <row r="77">
      <c r="A77" s="31" t="str">
        <f>'Daftar Kode'!B41&amp;" - "&amp;LEFT('Daftar Kode'!C41,FIND(". ",'Daftar Kode'!C41&amp;". ")-1)</f>
        <v xml:space="preserve">P2 - Kewajiban</v>
      </c>
      <c r="B77" s="32">
        <f>COUNTIF('Kunci Adjudikasi'!$BA$5:$BA$89,'Daftar Kode'!B41&amp;"*")</f>
        <v>0</v>
      </c>
      <c r="C77" s="35" t="str">
        <f t="shared" si="37"/>
        <v/>
      </c>
    </row>
    <row r="78">
      <c r="A78" s="31" t="str">
        <f>'Daftar Kode'!B42&amp;" - "&amp;LEFT('Daftar Kode'!C42,FIND(". ",'Daftar Kode'!C42&amp;". ")-1)</f>
        <v xml:space="preserve">P3 - Hak</v>
      </c>
      <c r="B78" s="32">
        <f>COUNTIF('Kunci Adjudikasi'!$BA$5:$BA$89,'Daftar Kode'!B42&amp;"*")</f>
        <v>0</v>
      </c>
      <c r="C78" s="35" t="str">
        <f t="shared" si="37"/>
        <v/>
      </c>
    </row>
    <row r="79">
      <c r="A79" s="31" t="str">
        <f>'Daftar Kode'!B43&amp;" - "&amp;LEFT('Daftar Kode'!C43,FIND(". ",'Daftar Kode'!C43&amp;". ")-1)</f>
        <v xml:space="preserve">P4 - Pengecualian atau pembatasan</v>
      </c>
      <c r="B79" s="32">
        <f>COUNTIF('Kunci Adjudikasi'!$BA$5:$BA$89,'Daftar Kode'!B43&amp;"*")</f>
        <v>0</v>
      </c>
      <c r="C79" s="35" t="str">
        <f t="shared" si="37"/>
        <v/>
      </c>
    </row>
    <row r="80">
      <c r="A80" s="31" t="str">
        <f>'Daftar Kode'!B44&amp;" - "&amp;LEFT('Daftar Kode'!C44,FIND(". ",'Daftar Kode'!C44&amp;". ")-1)</f>
        <v xml:space="preserve">P5 - Kebolehan atau kewenangan</v>
      </c>
      <c r="B80" s="32">
        <f>COUNTIF('Kunci Adjudikasi'!$BA$5:$BA$89,'Daftar Kode'!B44&amp;"*")</f>
        <v>0</v>
      </c>
      <c r="C80" s="35" t="str">
        <f t="shared" si="37"/>
        <v/>
      </c>
    </row>
    <row r="81">
      <c r="A81" s="31" t="str">
        <f>'Daftar Kode'!B45&amp;" - "&amp;LEFT('Daftar Kode'!C45,FIND(". ",'Daftar Kode'!C45&amp;". ")-1)</f>
        <v xml:space="preserve">P6 - Definisi, klasifikasi, atau ruang lingkup</v>
      </c>
      <c r="B81" s="32">
        <f>COUNTIF('Kunci Adjudikasi'!$BA$5:$BA$89,'Daftar Kode'!B45&amp;"*")</f>
        <v>0</v>
      </c>
      <c r="C81" s="35" t="str">
        <f t="shared" si="37"/>
        <v/>
      </c>
    </row>
    <row r="82">
      <c r="A82" s="31" t="str">
        <f>'Daftar Kode'!B46&amp;" - "&amp;LEFT('Daftar Kode'!C46,FIND(". ",'Daftar Kode'!C46&amp;". ")-1)</f>
        <v xml:space="preserve">P7 - Asas, prinsip, atau tujuan umum</v>
      </c>
      <c r="B82" s="32">
        <f>COUNTIF('Kunci Adjudikasi'!$BA$5:$BA$89,'Daftar Kode'!B46&amp;"*")</f>
        <v>0</v>
      </c>
      <c r="C82" s="35" t="str">
        <f t="shared" si="37"/>
        <v/>
      </c>
    </row>
    <row r="83">
      <c r="A83" s="31" t="str">
        <f>'Daftar Kode'!B47&amp;" - "&amp;LEFT('Daftar Kode'!C47,FIND(". ",'Daftar Kode'!C47&amp;". ")-1)</f>
        <v xml:space="preserve">P8 - Deskriptif, argumentatif, dan rujukan</v>
      </c>
      <c r="B83" s="32">
        <f>COUNTIF('Kunci Adjudikasi'!$BA$5:$BA$89,'Daftar Kode'!B47&amp;"*")</f>
        <v>0</v>
      </c>
      <c r="C83" s="35" t="str">
        <f t="shared" si="37"/>
        <v/>
      </c>
    </row>
    <row r="84">
      <c r="A84" s="34" t="s">
        <v>267</v>
      </c>
      <c r="B84" s="36">
        <f>SUM(B76:B83)</f>
        <v>0</v>
      </c>
    </row>
    <row r="86">
      <c r="A86" s="30" t="s">
        <v>163</v>
      </c>
    </row>
    <row r="87">
      <c r="A87" s="12" t="s">
        <v>265</v>
      </c>
      <c r="B87" s="12" t="s">
        <v>237</v>
      </c>
      <c r="C87" s="12" t="s">
        <v>266</v>
      </c>
    </row>
    <row r="88">
      <c r="A88" s="31" t="str">
        <f>'Daftar Kode'!B50&amp;" - "&amp;LEFT('Daftar Kode'!C50,FIND(". ",'Daftar Kode'!C50&amp;". ")-1)</f>
        <v xml:space="preserve">F1 - Perencanaan dan dasar pemrosesan</v>
      </c>
      <c r="B88" s="32">
        <f>COUNTIF('Kunci Adjudikasi'!$BB$5:$BB$89,'Daftar Kode'!B50&amp;"*")</f>
        <v>0</v>
      </c>
      <c r="C88" s="35" t="str">
        <f t="shared" ref="C88:C95" si="38">IF($B$96=0,"",B88/$B$96)</f>
        <v/>
      </c>
    </row>
    <row r="89">
      <c r="A89" s="31" t="str">
        <f>'Daftar Kode'!B51&amp;" - "&amp;LEFT('Daftar Kode'!C51,FIND(". ",'Daftar Kode'!C51&amp;". ")-1)</f>
        <v xml:space="preserve">F2 - Pengumpulan atau akuisisi</v>
      </c>
      <c r="B89" s="32">
        <f>COUNTIF('Kunci Adjudikasi'!$BB$5:$BB$89,'Daftar Kode'!B51&amp;"*")</f>
        <v>0</v>
      </c>
      <c r="C89" s="35" t="str">
        <f t="shared" si="38"/>
        <v/>
      </c>
    </row>
    <row r="90">
      <c r="A90" s="31" t="str">
        <f>'Daftar Kode'!B52&amp;" - "&amp;LEFT('Daftar Kode'!C52,FIND(". ",'Daftar Kode'!C52&amp;". ")-1)</f>
        <v xml:space="preserve">F3 - Pengolahan dan analisis</v>
      </c>
      <c r="B90" s="32">
        <f>COUNTIF('Kunci Adjudikasi'!$BB$5:$BB$89,'Daftar Kode'!B52&amp;"*")</f>
        <v>0</v>
      </c>
      <c r="C90" s="35" t="str">
        <f t="shared" si="38"/>
        <v/>
      </c>
    </row>
    <row r="91">
      <c r="A91" s="31" t="str">
        <f>'Daftar Kode'!B53&amp;" - "&amp;LEFT('Daftar Kode'!C53,FIND(". ",'Daftar Kode'!C53&amp;". ")-1)</f>
        <v xml:space="preserve">F4 - Penyimpanan dan pengamanan</v>
      </c>
      <c r="B91" s="32">
        <f>COUNTIF('Kunci Adjudikasi'!$BB$5:$BB$89,'Daftar Kode'!B53&amp;"*")</f>
        <v>0</v>
      </c>
      <c r="C91" s="35" t="str">
        <f t="shared" si="38"/>
        <v/>
      </c>
    </row>
    <row r="92">
      <c r="A92" s="31" t="str">
        <f>'Daftar Kode'!B54&amp;" - "&amp;LEFT('Daftar Kode'!C54,FIND(". ",'Daftar Kode'!C54&amp;". ")-1)</f>
        <v xml:space="preserve">F5 - Penyebarluasan dan transfer</v>
      </c>
      <c r="B92" s="32">
        <f>COUNTIF('Kunci Adjudikasi'!$BB$5:$BB$89,'Daftar Kode'!B54&amp;"*")</f>
        <v>0</v>
      </c>
      <c r="C92" s="35" t="str">
        <f t="shared" si="38"/>
        <v/>
      </c>
    </row>
    <row r="93">
      <c r="A93" s="31" t="str">
        <f>'Daftar Kode'!B55&amp;" - "&amp;LEFT('Daftar Kode'!C55,FIND(". ",'Daftar Kode'!C55&amp;". ")-1)</f>
        <v xml:space="preserve">F6 - Retensi dan penghapusan</v>
      </c>
      <c r="B93" s="32">
        <f>COUNTIF('Kunci Adjudikasi'!$BB$5:$BB$89,'Daftar Kode'!B55&amp;"*")</f>
        <v>0</v>
      </c>
      <c r="C93" s="35" t="str">
        <f t="shared" si="38"/>
        <v/>
      </c>
    </row>
    <row r="94">
      <c r="A94" s="31" t="str">
        <f>'Daftar Kode'!B56&amp;" - "&amp;LEFT('Daftar Kode'!C56,FIND(". ",'Daftar Kode'!C56&amp;". ")-1)</f>
        <v xml:space="preserve">F7 - Tata kelola dan hak subjek</v>
      </c>
      <c r="B94" s="32">
        <f>COUNTIF('Kunci Adjudikasi'!$BB$5:$BB$89,'Daftar Kode'!B56&amp;"*")</f>
        <v>0</v>
      </c>
      <c r="C94" s="35" t="str">
        <f t="shared" si="38"/>
        <v/>
      </c>
    </row>
    <row r="95">
      <c r="A95" s="31" t="str">
        <f>'Daftar Kode'!B57&amp;" - "&amp;LEFT('Daftar Kode'!C57,FIND(". ",'Daftar Kode'!C57&amp;". ")-1)</f>
        <v xml:space="preserve">F8 - Lintas tahap atau tidak spesifik</v>
      </c>
      <c r="B95" s="32">
        <f>COUNTIF('Kunci Adjudikasi'!$BB$5:$BB$89,'Daftar Kode'!B57&amp;"*")</f>
        <v>0</v>
      </c>
      <c r="C95" s="35" t="str">
        <f t="shared" si="38"/>
        <v/>
      </c>
    </row>
    <row r="96">
      <c r="A96" s="34" t="s">
        <v>267</v>
      </c>
      <c r="B96" s="36">
        <f>SUM(B88:B95)</f>
        <v>0</v>
      </c>
    </row>
    <row r="98">
      <c r="A98" s="30" t="s">
        <v>164</v>
      </c>
    </row>
    <row r="99">
      <c r="A99" s="12" t="s">
        <v>265</v>
      </c>
      <c r="B99" s="12" t="s">
        <v>237</v>
      </c>
      <c r="C99" s="12" t="s">
        <v>266</v>
      </c>
    </row>
    <row r="100">
      <c r="A100" s="31" t="str">
        <f>'Daftar Kode'!B60&amp;" - "&amp;LEFT('Daftar Kode'!C60,FIND(". ",'Daftar Kode'!C60&amp;". ")-1)</f>
        <v xml:space="preserve">K1 - Non-fungsional: keamanan dan kerahasiaan</v>
      </c>
      <c r="B100" s="32">
        <f>COUNTIF('Kunci Adjudikasi'!$BC$5:$BC$89,'Daftar Kode'!B60&amp;"*")</f>
        <v>0</v>
      </c>
      <c r="C100" s="35" t="str">
        <f t="shared" ref="C100:C104" si="39">IF($B$105=0,"",B100/$B$105)</f>
        <v/>
      </c>
    </row>
    <row r="101">
      <c r="A101" s="31" t="str">
        <f>'Daftar Kode'!B61&amp;" - "&amp;LEFT('Daftar Kode'!C61,FIND(". ",'Daftar Kode'!C61&amp;". ")-1)</f>
        <v xml:space="preserve">K2 - Non-fungsional: mutu data, kepatuhan, dan akuntabilitas</v>
      </c>
      <c r="B101" s="32">
        <f>COUNTIF('Kunci Adjudikasi'!$BC$5:$BC$89,'Daftar Kode'!B61&amp;"*")</f>
        <v>0</v>
      </c>
      <c r="C101" s="35" t="str">
        <f t="shared" si="39"/>
        <v/>
      </c>
    </row>
    <row r="102">
      <c r="A102" s="31" t="str">
        <f>'Daftar Kode'!B62&amp;" - "&amp;LEFT('Daftar Kode'!C62,FIND(". ",'Daftar Kode'!C62&amp;". ")-1)</f>
        <v xml:space="preserve">K3 - Fungsional</v>
      </c>
      <c r="B102" s="32">
        <f>COUNTIF('Kunci Adjudikasi'!$BC$5:$BC$89,'Daftar Kode'!B62&amp;"*")</f>
        <v>0</v>
      </c>
      <c r="C102" s="35" t="str">
        <f t="shared" si="39"/>
        <v/>
      </c>
    </row>
    <row r="103">
      <c r="A103" s="31" t="str">
        <f>'Daftar Kode'!B63&amp;" - "&amp;LEFT('Daftar Kode'!C63,FIND(". ",'Daftar Kode'!C63&amp;". ")-1)</f>
        <v xml:space="preserve">K4 - Batasan atau aturan bisnis hukum</v>
      </c>
      <c r="B103" s="32">
        <f>COUNTIF('Kunci Adjudikasi'!$BC$5:$BC$89,'Daftar Kode'!B63&amp;"*")</f>
        <v>0</v>
      </c>
      <c r="C103" s="35" t="str">
        <f t="shared" si="39"/>
        <v/>
      </c>
    </row>
    <row r="104">
      <c r="A104" s="31" t="str">
        <f>'Daftar Kode'!B64&amp;" - "&amp;LEFT('Daftar Kode'!C64,FIND(". ",'Daftar Kode'!C64&amp;". ")-1)</f>
        <v xml:space="preserve">K5 - Tidak menghasilkan kebutuhan</v>
      </c>
      <c r="B104" s="32">
        <f>COUNTIF('Kunci Adjudikasi'!$BC$5:$BC$89,'Daftar Kode'!B64&amp;"*")</f>
        <v>0</v>
      </c>
      <c r="C104" s="35" t="str">
        <f t="shared" si="39"/>
        <v/>
      </c>
    </row>
    <row r="105">
      <c r="A105" s="34" t="s">
        <v>267</v>
      </c>
      <c r="B105" s="36">
        <f>SUM(B100:B104)</f>
        <v>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1" ySplit="4" topLeftCell="B5" activePane="bottomRight" state="frozen"/>
      <selection activeCell="A1" activeCellId="0" sqref="A1"/>
    </sheetView>
  </sheetViews>
  <sheetFormatPr baseColWidth="8" defaultRowHeight="14.25"/>
  <cols>
    <col customWidth="1" min="1" max="19" style="1" width="11"/>
  </cols>
  <sheetData>
    <row r="1" ht="16.5">
      <c r="A1" s="2" t="s">
        <v>268</v>
      </c>
    </row>
    <row r="2">
      <c r="A2" s="3" t="s">
        <v>269</v>
      </c>
    </row>
    <row r="4" ht="25.5">
      <c r="A4" s="12" t="s">
        <v>42</v>
      </c>
      <c r="B4" s="12" t="s">
        <v>270</v>
      </c>
      <c r="C4" s="12" t="s">
        <v>271</v>
      </c>
      <c r="D4" s="12" t="s">
        <v>272</v>
      </c>
      <c r="E4" s="12" t="s">
        <v>273</v>
      </c>
      <c r="F4" s="12" t="s">
        <v>274</v>
      </c>
      <c r="G4" s="12" t="s">
        <v>275</v>
      </c>
      <c r="H4" s="12" t="s">
        <v>276</v>
      </c>
      <c r="I4" s="12" t="s">
        <v>277</v>
      </c>
      <c r="J4" s="12" t="s">
        <v>278</v>
      </c>
      <c r="K4" s="12" t="s">
        <v>279</v>
      </c>
      <c r="L4" s="12" t="s">
        <v>280</v>
      </c>
      <c r="M4" s="12" t="s">
        <v>281</v>
      </c>
      <c r="N4" s="12" t="s">
        <v>282</v>
      </c>
      <c r="O4" s="12" t="s">
        <v>283</v>
      </c>
      <c r="P4" s="12" t="s">
        <v>284</v>
      </c>
      <c r="Q4" s="12" t="s">
        <v>285</v>
      </c>
      <c r="R4" s="12" t="s">
        <v>286</v>
      </c>
      <c r="S4" s="12" t="s">
        <v>287</v>
      </c>
    </row>
    <row r="5">
      <c r="A5" s="20">
        <f>'Kunci Adjudikasi'!A5</f>
        <v>2</v>
      </c>
      <c r="B5" s="20">
        <f>('Kunci Adjudikasi'!M5&lt;&gt;"")+('Kunci Adjudikasi'!S5&lt;&gt;"")+('Kunci Adjudikasi'!$E$1&gt;=3)*('Kunci Adjudikasi'!Y5&lt;&gt;"")+('Kunci Adjudikasi'!$E$1&gt;=4)*('Kunci Adjudikasi'!AE5&lt;&gt;"")</f>
        <v>1</v>
      </c>
      <c r="C5" s="20">
        <f>IF(B5&gt;=2,(B5*(B5-1)/2-(('Kunci Adjudikasi'!M5&lt;&gt;"")*('Kunci Adjudikasi'!S5&lt;&gt;"")*('Kunci Adjudikasi'!M5='Kunci Adjudikasi'!S5)+('Kunci Adjudikasi'!$E$1&gt;=3)*('Kunci Adjudikasi'!M5&lt;&gt;"")*('Kunci Adjudikasi'!Y5&lt;&gt;"")*('Kunci Adjudikasi'!M5='Kunci Adjudikasi'!Y5)+('Kunci Adjudikasi'!$E$1&gt;=4)*('Kunci Adjudikasi'!M5&lt;&gt;"")*('Kunci Adjudikasi'!AE5&lt;&gt;"")*('Kunci Adjudikasi'!M5='Kunci Adjudikasi'!AE5)+('Kunci Adjudikasi'!$E$1&gt;=3)*('Kunci Adjudikasi'!S5&lt;&gt;"")*('Kunci Adjudikasi'!Y5&lt;&gt;"")*('Kunci Adjudikasi'!S5='Kunci Adjudikasi'!Y5)+('Kunci Adjudikasi'!$E$1&gt;=4)*('Kunci Adjudikasi'!S5&lt;&gt;"")*('Kunci Adjudikasi'!AE5&lt;&gt;"")*('Kunci Adjudikasi'!S5='Kunci Adjudikasi'!AE5)+('Kunci Adjudikasi'!$E$1&gt;=4)*('Kunci Adjudikasi'!Y5&lt;&gt;"")*('Kunci Adjudikasi'!AE5&lt;&gt;"")*('Kunci Adjudikasi'!Y5='Kunci Adjudikasi'!AE5)))/(B5-1),0)</f>
        <v>0</v>
      </c>
      <c r="D5" s="20">
        <f>('Kunci Adjudikasi'!N5&lt;&gt;"")+('Kunci Adjudikasi'!T5&lt;&gt;"")+('Kunci Adjudikasi'!$E$1&gt;=3)*('Kunci Adjudikasi'!Z5&lt;&gt;"")+('Kunci Adjudikasi'!$E$1&gt;=4)*('Kunci Adjudikasi'!AF5&lt;&gt;"")</f>
        <v>1</v>
      </c>
      <c r="E5" s="20">
        <f>IF(D5&gt;=2,(D5*(D5-1)/2-(('Kunci Adjudikasi'!N5&lt;&gt;"")*('Kunci Adjudikasi'!T5&lt;&gt;"")*('Kunci Adjudikasi'!N5='Kunci Adjudikasi'!T5)+('Kunci Adjudikasi'!$E$1&gt;=3)*('Kunci Adjudikasi'!N5&lt;&gt;"")*('Kunci Adjudikasi'!Z5&lt;&gt;"")*('Kunci Adjudikasi'!N5='Kunci Adjudikasi'!Z5)+('Kunci Adjudikasi'!$E$1&gt;=4)*('Kunci Adjudikasi'!N5&lt;&gt;"")*('Kunci Adjudikasi'!AF5&lt;&gt;"")*('Kunci Adjudikasi'!N5='Kunci Adjudikasi'!AF5)+('Kunci Adjudikasi'!$E$1&gt;=3)*('Kunci Adjudikasi'!T5&lt;&gt;"")*('Kunci Adjudikasi'!Z5&lt;&gt;"")*('Kunci Adjudikasi'!T5='Kunci Adjudikasi'!Z5)+('Kunci Adjudikasi'!$E$1&gt;=4)*('Kunci Adjudikasi'!T5&lt;&gt;"")*('Kunci Adjudikasi'!AF5&lt;&gt;"")*('Kunci Adjudikasi'!T5='Kunci Adjudikasi'!AF5)+('Kunci Adjudikasi'!$E$1&gt;=4)*('Kunci Adjudikasi'!Z5&lt;&gt;"")*('Kunci Adjudikasi'!AF5&lt;&gt;"")*('Kunci Adjudikasi'!Z5='Kunci Adjudikasi'!AF5)))/(D5-1),0)</f>
        <v>0</v>
      </c>
      <c r="F5" s="20">
        <f>('Kunci Adjudikasi'!O5&lt;&gt;"")+('Kunci Adjudikasi'!U5&lt;&gt;"")+('Kunci Adjudikasi'!$E$1&gt;=3)*('Kunci Adjudikasi'!AA5&lt;&gt;"")+('Kunci Adjudikasi'!$E$1&gt;=4)*('Kunci Adjudikasi'!AG5&lt;&gt;"")</f>
        <v>1</v>
      </c>
      <c r="G5" s="20">
        <f>IF(F5&gt;=2,(F5*(F5-1)/2-(('Kunci Adjudikasi'!O5&lt;&gt;"")*('Kunci Adjudikasi'!U5&lt;&gt;"")*('Kunci Adjudikasi'!O5='Kunci Adjudikasi'!U5)+('Kunci Adjudikasi'!$E$1&gt;=3)*('Kunci Adjudikasi'!O5&lt;&gt;"")*('Kunci Adjudikasi'!AA5&lt;&gt;"")*('Kunci Adjudikasi'!O5='Kunci Adjudikasi'!AA5)+('Kunci Adjudikasi'!$E$1&gt;=4)*('Kunci Adjudikasi'!O5&lt;&gt;"")*('Kunci Adjudikasi'!AG5&lt;&gt;"")*('Kunci Adjudikasi'!O5='Kunci Adjudikasi'!AG5)+('Kunci Adjudikasi'!$E$1&gt;=3)*('Kunci Adjudikasi'!U5&lt;&gt;"")*('Kunci Adjudikasi'!AA5&lt;&gt;"")*('Kunci Adjudikasi'!U5='Kunci Adjudikasi'!AA5)+('Kunci Adjudikasi'!$E$1&gt;=4)*('Kunci Adjudikasi'!U5&lt;&gt;"")*('Kunci Adjudikasi'!AG5&lt;&gt;"")*('Kunci Adjudikasi'!U5='Kunci Adjudikasi'!AG5)+('Kunci Adjudikasi'!$E$1&gt;=4)*('Kunci Adjudikasi'!AA5&lt;&gt;"")*('Kunci Adjudikasi'!AG5&lt;&gt;"")*('Kunci Adjudikasi'!AA5='Kunci Adjudikasi'!AG5)))/(F5-1),0)</f>
        <v>0</v>
      </c>
      <c r="H5" s="20">
        <f>('Kunci Adjudikasi'!P5&lt;&gt;"")+('Kunci Adjudikasi'!V5&lt;&gt;"")+('Kunci Adjudikasi'!$E$1&gt;=3)*('Kunci Adjudikasi'!AB5&lt;&gt;"")+('Kunci Adjudikasi'!$E$1&gt;=4)*('Kunci Adjudikasi'!AH5&lt;&gt;"")</f>
        <v>1</v>
      </c>
      <c r="I5" s="20">
        <f>IF(H5&gt;=2,(H5*(H5-1)/2-(('Kunci Adjudikasi'!P5&lt;&gt;"")*('Kunci Adjudikasi'!V5&lt;&gt;"")*('Kunci Adjudikasi'!P5='Kunci Adjudikasi'!V5)+('Kunci Adjudikasi'!$E$1&gt;=3)*('Kunci Adjudikasi'!P5&lt;&gt;"")*('Kunci Adjudikasi'!AB5&lt;&gt;"")*('Kunci Adjudikasi'!P5='Kunci Adjudikasi'!AB5)+('Kunci Adjudikasi'!$E$1&gt;=4)*('Kunci Adjudikasi'!P5&lt;&gt;"")*('Kunci Adjudikasi'!AH5&lt;&gt;"")*('Kunci Adjudikasi'!P5='Kunci Adjudikasi'!AH5)+('Kunci Adjudikasi'!$E$1&gt;=3)*('Kunci Adjudikasi'!V5&lt;&gt;"")*('Kunci Adjudikasi'!AB5&lt;&gt;"")*('Kunci Adjudikasi'!V5='Kunci Adjudikasi'!AB5)+('Kunci Adjudikasi'!$E$1&gt;=4)*('Kunci Adjudikasi'!V5&lt;&gt;"")*('Kunci Adjudikasi'!AH5&lt;&gt;"")*('Kunci Adjudikasi'!V5='Kunci Adjudikasi'!AH5)+('Kunci Adjudikasi'!$E$1&gt;=4)*('Kunci Adjudikasi'!AB5&lt;&gt;"")*('Kunci Adjudikasi'!AH5&lt;&gt;"")*('Kunci Adjudikasi'!AB5='Kunci Adjudikasi'!AH5)))/(H5-1),0)</f>
        <v>0</v>
      </c>
      <c r="J5" s="20">
        <f>('Kunci Adjudikasi'!Q5&lt;&gt;"")+('Kunci Adjudikasi'!W5&lt;&gt;"")+('Kunci Adjudikasi'!$E$1&gt;=3)*('Kunci Adjudikasi'!AC5&lt;&gt;"")+('Kunci Adjudikasi'!$E$1&gt;=4)*('Kunci Adjudikasi'!AI5&lt;&gt;"")</f>
        <v>1</v>
      </c>
      <c r="K5" s="20">
        <f>IF(J5&gt;=2,(J5*(J5-1)/2-(('Kunci Adjudikasi'!Q5&lt;&gt;"")*('Kunci Adjudikasi'!W5&lt;&gt;"")*('Kunci Adjudikasi'!Q5='Kunci Adjudikasi'!W5)+('Kunci Adjudikasi'!$E$1&gt;=3)*('Kunci Adjudikasi'!Q5&lt;&gt;"")*('Kunci Adjudikasi'!AC5&lt;&gt;"")*('Kunci Adjudikasi'!Q5='Kunci Adjudikasi'!AC5)+('Kunci Adjudikasi'!$E$1&gt;=4)*('Kunci Adjudikasi'!Q5&lt;&gt;"")*('Kunci Adjudikasi'!AI5&lt;&gt;"")*('Kunci Adjudikasi'!Q5='Kunci Adjudikasi'!AI5)+('Kunci Adjudikasi'!$E$1&gt;=3)*('Kunci Adjudikasi'!W5&lt;&gt;"")*('Kunci Adjudikasi'!AC5&lt;&gt;"")*('Kunci Adjudikasi'!W5='Kunci Adjudikasi'!AC5)+('Kunci Adjudikasi'!$E$1&gt;=4)*('Kunci Adjudikasi'!W5&lt;&gt;"")*('Kunci Adjudikasi'!AI5&lt;&gt;"")*('Kunci Adjudikasi'!W5='Kunci Adjudikasi'!AI5)+('Kunci Adjudikasi'!$E$1&gt;=4)*('Kunci Adjudikasi'!AC5&lt;&gt;"")*('Kunci Adjudikasi'!AI5&lt;&gt;"")*('Kunci Adjudikasi'!AC5='Kunci Adjudikasi'!AI5)))/(J5-1),0)</f>
        <v>0</v>
      </c>
      <c r="L5" s="20">
        <f>('Kunci Adjudikasi'!R5&lt;&gt;"")+('Kunci Adjudikasi'!X5&lt;&gt;"")+('Kunci Adjudikasi'!$E$1&gt;=3)*('Kunci Adjudikasi'!AD5&lt;&gt;"")+('Kunci Adjudikasi'!$E$1&gt;=4)*('Kunci Adjudikasi'!AJ5&lt;&gt;"")</f>
        <v>1</v>
      </c>
      <c r="M5" s="20">
        <f>IF(L5&gt;=2,(L5*(L5-1)/2-(('Kunci Adjudikasi'!R5&lt;&gt;"")*('Kunci Adjudikasi'!X5&lt;&gt;"")*('Kunci Adjudikasi'!R5='Kunci Adjudikasi'!X5)+('Kunci Adjudikasi'!$E$1&gt;=3)*('Kunci Adjudikasi'!R5&lt;&gt;"")*('Kunci Adjudikasi'!AD5&lt;&gt;"")*('Kunci Adjudikasi'!R5='Kunci Adjudikasi'!AD5)+('Kunci Adjudikasi'!$E$1&gt;=4)*('Kunci Adjudikasi'!R5&lt;&gt;"")*('Kunci Adjudikasi'!AJ5&lt;&gt;"")*('Kunci Adjudikasi'!R5='Kunci Adjudikasi'!AJ5)+('Kunci Adjudikasi'!$E$1&gt;=3)*('Kunci Adjudikasi'!X5&lt;&gt;"")*('Kunci Adjudikasi'!AD5&lt;&gt;"")*('Kunci Adjudikasi'!X5='Kunci Adjudikasi'!AD5)+('Kunci Adjudikasi'!$E$1&gt;=4)*('Kunci Adjudikasi'!X5&lt;&gt;"")*('Kunci Adjudikasi'!AJ5&lt;&gt;"")*('Kunci Adjudikasi'!X5='Kunci Adjudikasi'!AJ5)+('Kunci Adjudikasi'!$E$1&gt;=4)*('Kunci Adjudikasi'!AD5&lt;&gt;"")*('Kunci Adjudikasi'!AJ5&lt;&gt;"")*('Kunci Adjudikasi'!AD5='Kunci Adjudikasi'!AJ5)))/(L5-1),0)</f>
        <v>0</v>
      </c>
      <c r="N5" s="20">
        <f>(LEFT('Kunci Adjudikasi'!N5,2)="R0")+(LEFT('Kunci Adjudikasi'!T5,2)="R0")+('Kunci Adjudikasi'!$E$1&gt;=3)*(LEFT('Kunci Adjudikasi'!Z5,2)="R0")+('Kunci Adjudikasi'!$E$1&gt;=4)*(LEFT('Kunci Adjudikasi'!AF5,2)="R0")</f>
        <v>0</v>
      </c>
      <c r="O5" s="20">
        <f>(LEFT('Kunci Adjudikasi'!N5,2)="R1")+(LEFT('Kunci Adjudikasi'!T5,2)="R1")+('Kunci Adjudikasi'!$E$1&gt;=3)*(LEFT('Kunci Adjudikasi'!Z5,2)="R1")+('Kunci Adjudikasi'!$E$1&gt;=4)*(LEFT('Kunci Adjudikasi'!AF5,2)="R1")</f>
        <v>0</v>
      </c>
      <c r="P5" s="20">
        <f>(LEFT('Kunci Adjudikasi'!N5,2)="R2")+(LEFT('Kunci Adjudikasi'!T5,2)="R2")+('Kunci Adjudikasi'!$E$1&gt;=3)*(LEFT('Kunci Adjudikasi'!Z5,2)="R2")+('Kunci Adjudikasi'!$E$1&gt;=4)*(LEFT('Kunci Adjudikasi'!AF5,2)="R2")</f>
        <v>1</v>
      </c>
      <c r="Q5" s="20">
        <f t="shared" ref="Q5:Q9" si="40">IF(D5&gt;=2,N5*O5/(D5-1),0)</f>
        <v>0</v>
      </c>
      <c r="R5" s="20">
        <f t="shared" ref="R5:R9" si="41">IF(D5&gt;=2,O5*P5/(D5-1),0)</f>
        <v>0</v>
      </c>
      <c r="S5" s="20">
        <f t="shared" ref="S5:S9" si="42">IF(D5&gt;=2,N5*P5/(D5-1),0)</f>
        <v>0</v>
      </c>
    </row>
    <row r="6">
      <c r="A6" s="20">
        <f>'Kunci Adjudikasi'!A6</f>
        <v>3</v>
      </c>
      <c r="B6" s="20">
        <f>('Kunci Adjudikasi'!M6&lt;&gt;"")+('Kunci Adjudikasi'!S6&lt;&gt;"")+('Kunci Adjudikasi'!$E$1&gt;=3)*('Kunci Adjudikasi'!Y6&lt;&gt;"")+('Kunci Adjudikasi'!$E$1&gt;=4)*('Kunci Adjudikasi'!AE6&lt;&gt;"")</f>
        <v>0</v>
      </c>
      <c r="C6" s="20">
        <f>IF(B6&gt;=2,(B6*(B6-1)/2-(('Kunci Adjudikasi'!M6&lt;&gt;"")*('Kunci Adjudikasi'!S6&lt;&gt;"")*('Kunci Adjudikasi'!M6='Kunci Adjudikasi'!S6)+('Kunci Adjudikasi'!$E$1&gt;=3)*('Kunci Adjudikasi'!M6&lt;&gt;"")*('Kunci Adjudikasi'!Y6&lt;&gt;"")*('Kunci Adjudikasi'!M6='Kunci Adjudikasi'!Y6)+('Kunci Adjudikasi'!$E$1&gt;=4)*('Kunci Adjudikasi'!M6&lt;&gt;"")*('Kunci Adjudikasi'!AE6&lt;&gt;"")*('Kunci Adjudikasi'!M6='Kunci Adjudikasi'!AE6)+('Kunci Adjudikasi'!$E$1&gt;=3)*('Kunci Adjudikasi'!S6&lt;&gt;"")*('Kunci Adjudikasi'!Y6&lt;&gt;"")*('Kunci Adjudikasi'!S6='Kunci Adjudikasi'!Y6)+('Kunci Adjudikasi'!$E$1&gt;=4)*('Kunci Adjudikasi'!S6&lt;&gt;"")*('Kunci Adjudikasi'!AE6&lt;&gt;"")*('Kunci Adjudikasi'!S6='Kunci Adjudikasi'!AE6)+('Kunci Adjudikasi'!$E$1&gt;=4)*('Kunci Adjudikasi'!Y6&lt;&gt;"")*('Kunci Adjudikasi'!AE6&lt;&gt;"")*('Kunci Adjudikasi'!Y6='Kunci Adjudikasi'!AE6)))/(B6-1),0)</f>
        <v>0</v>
      </c>
      <c r="D6" s="20">
        <f>('Kunci Adjudikasi'!N6&lt;&gt;"")+('Kunci Adjudikasi'!T6&lt;&gt;"")+('Kunci Adjudikasi'!$E$1&gt;=3)*('Kunci Adjudikasi'!Z6&lt;&gt;"")+('Kunci Adjudikasi'!$E$1&gt;=4)*('Kunci Adjudikasi'!AF6&lt;&gt;"")</f>
        <v>0</v>
      </c>
      <c r="E6" s="20">
        <f>IF(D6&gt;=2,(D6*(D6-1)/2-(('Kunci Adjudikasi'!N6&lt;&gt;"")*('Kunci Adjudikasi'!T6&lt;&gt;"")*('Kunci Adjudikasi'!N6='Kunci Adjudikasi'!T6)+('Kunci Adjudikasi'!$E$1&gt;=3)*('Kunci Adjudikasi'!N6&lt;&gt;"")*('Kunci Adjudikasi'!Z6&lt;&gt;"")*('Kunci Adjudikasi'!N6='Kunci Adjudikasi'!Z6)+('Kunci Adjudikasi'!$E$1&gt;=4)*('Kunci Adjudikasi'!N6&lt;&gt;"")*('Kunci Adjudikasi'!AF6&lt;&gt;"")*('Kunci Adjudikasi'!N6='Kunci Adjudikasi'!AF6)+('Kunci Adjudikasi'!$E$1&gt;=3)*('Kunci Adjudikasi'!T6&lt;&gt;"")*('Kunci Adjudikasi'!Z6&lt;&gt;"")*('Kunci Adjudikasi'!T6='Kunci Adjudikasi'!Z6)+('Kunci Adjudikasi'!$E$1&gt;=4)*('Kunci Adjudikasi'!T6&lt;&gt;"")*('Kunci Adjudikasi'!AF6&lt;&gt;"")*('Kunci Adjudikasi'!T6='Kunci Adjudikasi'!AF6)+('Kunci Adjudikasi'!$E$1&gt;=4)*('Kunci Adjudikasi'!Z6&lt;&gt;"")*('Kunci Adjudikasi'!AF6&lt;&gt;"")*('Kunci Adjudikasi'!Z6='Kunci Adjudikasi'!AF6)))/(D6-1),0)</f>
        <v>0</v>
      </c>
      <c r="F6" s="20">
        <f>('Kunci Adjudikasi'!O6&lt;&gt;"")+('Kunci Adjudikasi'!U6&lt;&gt;"")+('Kunci Adjudikasi'!$E$1&gt;=3)*('Kunci Adjudikasi'!AA6&lt;&gt;"")+('Kunci Adjudikasi'!$E$1&gt;=4)*('Kunci Adjudikasi'!AG6&lt;&gt;"")</f>
        <v>0</v>
      </c>
      <c r="G6" s="20">
        <f>IF(F6&gt;=2,(F6*(F6-1)/2-(('Kunci Adjudikasi'!O6&lt;&gt;"")*('Kunci Adjudikasi'!U6&lt;&gt;"")*('Kunci Adjudikasi'!O6='Kunci Adjudikasi'!U6)+('Kunci Adjudikasi'!$E$1&gt;=3)*('Kunci Adjudikasi'!O6&lt;&gt;"")*('Kunci Adjudikasi'!AA6&lt;&gt;"")*('Kunci Adjudikasi'!O6='Kunci Adjudikasi'!AA6)+('Kunci Adjudikasi'!$E$1&gt;=4)*('Kunci Adjudikasi'!O6&lt;&gt;"")*('Kunci Adjudikasi'!AG6&lt;&gt;"")*('Kunci Adjudikasi'!O6='Kunci Adjudikasi'!AG6)+('Kunci Adjudikasi'!$E$1&gt;=3)*('Kunci Adjudikasi'!U6&lt;&gt;"")*('Kunci Adjudikasi'!AA6&lt;&gt;"")*('Kunci Adjudikasi'!U6='Kunci Adjudikasi'!AA6)+('Kunci Adjudikasi'!$E$1&gt;=4)*('Kunci Adjudikasi'!U6&lt;&gt;"")*('Kunci Adjudikasi'!AG6&lt;&gt;"")*('Kunci Adjudikasi'!U6='Kunci Adjudikasi'!AG6)+('Kunci Adjudikasi'!$E$1&gt;=4)*('Kunci Adjudikasi'!AA6&lt;&gt;"")*('Kunci Adjudikasi'!AG6&lt;&gt;"")*('Kunci Adjudikasi'!AA6='Kunci Adjudikasi'!AG6)))/(F6-1),0)</f>
        <v>0</v>
      </c>
      <c r="H6" s="20">
        <f>('Kunci Adjudikasi'!P6&lt;&gt;"")+('Kunci Adjudikasi'!V6&lt;&gt;"")+('Kunci Adjudikasi'!$E$1&gt;=3)*('Kunci Adjudikasi'!AB6&lt;&gt;"")+('Kunci Adjudikasi'!$E$1&gt;=4)*('Kunci Adjudikasi'!AH6&lt;&gt;"")</f>
        <v>0</v>
      </c>
      <c r="I6" s="20">
        <f>IF(H6&gt;=2,(H6*(H6-1)/2-(('Kunci Adjudikasi'!P6&lt;&gt;"")*('Kunci Adjudikasi'!V6&lt;&gt;"")*('Kunci Adjudikasi'!P6='Kunci Adjudikasi'!V6)+('Kunci Adjudikasi'!$E$1&gt;=3)*('Kunci Adjudikasi'!P6&lt;&gt;"")*('Kunci Adjudikasi'!AB6&lt;&gt;"")*('Kunci Adjudikasi'!P6='Kunci Adjudikasi'!AB6)+('Kunci Adjudikasi'!$E$1&gt;=4)*('Kunci Adjudikasi'!P6&lt;&gt;"")*('Kunci Adjudikasi'!AH6&lt;&gt;"")*('Kunci Adjudikasi'!P6='Kunci Adjudikasi'!AH6)+('Kunci Adjudikasi'!$E$1&gt;=3)*('Kunci Adjudikasi'!V6&lt;&gt;"")*('Kunci Adjudikasi'!AB6&lt;&gt;"")*('Kunci Adjudikasi'!V6='Kunci Adjudikasi'!AB6)+('Kunci Adjudikasi'!$E$1&gt;=4)*('Kunci Adjudikasi'!V6&lt;&gt;"")*('Kunci Adjudikasi'!AH6&lt;&gt;"")*('Kunci Adjudikasi'!V6='Kunci Adjudikasi'!AH6)+('Kunci Adjudikasi'!$E$1&gt;=4)*('Kunci Adjudikasi'!AB6&lt;&gt;"")*('Kunci Adjudikasi'!AH6&lt;&gt;"")*('Kunci Adjudikasi'!AB6='Kunci Adjudikasi'!AH6)))/(H6-1),0)</f>
        <v>0</v>
      </c>
      <c r="J6" s="20">
        <f>('Kunci Adjudikasi'!Q6&lt;&gt;"")+('Kunci Adjudikasi'!W6&lt;&gt;"")+('Kunci Adjudikasi'!$E$1&gt;=3)*('Kunci Adjudikasi'!AC6&lt;&gt;"")+('Kunci Adjudikasi'!$E$1&gt;=4)*('Kunci Adjudikasi'!AI6&lt;&gt;"")</f>
        <v>0</v>
      </c>
      <c r="K6" s="20">
        <f>IF(J6&gt;=2,(J6*(J6-1)/2-(('Kunci Adjudikasi'!Q6&lt;&gt;"")*('Kunci Adjudikasi'!W6&lt;&gt;"")*('Kunci Adjudikasi'!Q6='Kunci Adjudikasi'!W6)+('Kunci Adjudikasi'!$E$1&gt;=3)*('Kunci Adjudikasi'!Q6&lt;&gt;"")*('Kunci Adjudikasi'!AC6&lt;&gt;"")*('Kunci Adjudikasi'!Q6='Kunci Adjudikasi'!AC6)+('Kunci Adjudikasi'!$E$1&gt;=4)*('Kunci Adjudikasi'!Q6&lt;&gt;"")*('Kunci Adjudikasi'!AI6&lt;&gt;"")*('Kunci Adjudikasi'!Q6='Kunci Adjudikasi'!AI6)+('Kunci Adjudikasi'!$E$1&gt;=3)*('Kunci Adjudikasi'!W6&lt;&gt;"")*('Kunci Adjudikasi'!AC6&lt;&gt;"")*('Kunci Adjudikasi'!W6='Kunci Adjudikasi'!AC6)+('Kunci Adjudikasi'!$E$1&gt;=4)*('Kunci Adjudikasi'!W6&lt;&gt;"")*('Kunci Adjudikasi'!AI6&lt;&gt;"")*('Kunci Adjudikasi'!W6='Kunci Adjudikasi'!AI6)+('Kunci Adjudikasi'!$E$1&gt;=4)*('Kunci Adjudikasi'!AC6&lt;&gt;"")*('Kunci Adjudikasi'!AI6&lt;&gt;"")*('Kunci Adjudikasi'!AC6='Kunci Adjudikasi'!AI6)))/(J6-1),0)</f>
        <v>0</v>
      </c>
      <c r="L6" s="20">
        <f>('Kunci Adjudikasi'!R6&lt;&gt;"")+('Kunci Adjudikasi'!X6&lt;&gt;"")+('Kunci Adjudikasi'!$E$1&gt;=3)*('Kunci Adjudikasi'!AD6&lt;&gt;"")+('Kunci Adjudikasi'!$E$1&gt;=4)*('Kunci Adjudikasi'!AJ6&lt;&gt;"")</f>
        <v>0</v>
      </c>
      <c r="M6" s="20">
        <f>IF(L6&gt;=2,(L6*(L6-1)/2-(('Kunci Adjudikasi'!R6&lt;&gt;"")*('Kunci Adjudikasi'!X6&lt;&gt;"")*('Kunci Adjudikasi'!R6='Kunci Adjudikasi'!X6)+('Kunci Adjudikasi'!$E$1&gt;=3)*('Kunci Adjudikasi'!R6&lt;&gt;"")*('Kunci Adjudikasi'!AD6&lt;&gt;"")*('Kunci Adjudikasi'!R6='Kunci Adjudikasi'!AD6)+('Kunci Adjudikasi'!$E$1&gt;=4)*('Kunci Adjudikasi'!R6&lt;&gt;"")*('Kunci Adjudikasi'!AJ6&lt;&gt;"")*('Kunci Adjudikasi'!R6='Kunci Adjudikasi'!AJ6)+('Kunci Adjudikasi'!$E$1&gt;=3)*('Kunci Adjudikasi'!X6&lt;&gt;"")*('Kunci Adjudikasi'!AD6&lt;&gt;"")*('Kunci Adjudikasi'!X6='Kunci Adjudikasi'!AD6)+('Kunci Adjudikasi'!$E$1&gt;=4)*('Kunci Adjudikasi'!X6&lt;&gt;"")*('Kunci Adjudikasi'!AJ6&lt;&gt;"")*('Kunci Adjudikasi'!X6='Kunci Adjudikasi'!AJ6)+('Kunci Adjudikasi'!$E$1&gt;=4)*('Kunci Adjudikasi'!AD6&lt;&gt;"")*('Kunci Adjudikasi'!AJ6&lt;&gt;"")*('Kunci Adjudikasi'!AD6='Kunci Adjudikasi'!AJ6)))/(L6-1),0)</f>
        <v>0</v>
      </c>
      <c r="N6" s="20">
        <f>(LEFT('Kunci Adjudikasi'!N6,2)="R0")+(LEFT('Kunci Adjudikasi'!T6,2)="R0")+('Kunci Adjudikasi'!$E$1&gt;=3)*(LEFT('Kunci Adjudikasi'!Z6,2)="R0")+('Kunci Adjudikasi'!$E$1&gt;=4)*(LEFT('Kunci Adjudikasi'!AF6,2)="R0")</f>
        <v>0</v>
      </c>
      <c r="O6" s="20">
        <f>(LEFT('Kunci Adjudikasi'!N6,2)="R1")+(LEFT('Kunci Adjudikasi'!T6,2)="R1")+('Kunci Adjudikasi'!$E$1&gt;=3)*(LEFT('Kunci Adjudikasi'!Z6,2)="R1")+('Kunci Adjudikasi'!$E$1&gt;=4)*(LEFT('Kunci Adjudikasi'!AF6,2)="R1")</f>
        <v>0</v>
      </c>
      <c r="P6" s="20">
        <f>(LEFT('Kunci Adjudikasi'!N6,2)="R2")+(LEFT('Kunci Adjudikasi'!T6,2)="R2")+('Kunci Adjudikasi'!$E$1&gt;=3)*(LEFT('Kunci Adjudikasi'!Z6,2)="R2")+('Kunci Adjudikasi'!$E$1&gt;=4)*(LEFT('Kunci Adjudikasi'!AF6,2)="R2")</f>
        <v>0</v>
      </c>
      <c r="Q6" s="20">
        <f t="shared" si="40"/>
        <v>0</v>
      </c>
      <c r="R6" s="20">
        <f t="shared" si="41"/>
        <v>0</v>
      </c>
      <c r="S6" s="20">
        <f t="shared" si="42"/>
        <v>0</v>
      </c>
    </row>
    <row r="7">
      <c r="A7" s="20">
        <f>'Kunci Adjudikasi'!A7</f>
        <v>4</v>
      </c>
      <c r="B7" s="20">
        <f>('Kunci Adjudikasi'!M7&lt;&gt;"")+('Kunci Adjudikasi'!S7&lt;&gt;"")+('Kunci Adjudikasi'!$E$1&gt;=3)*('Kunci Adjudikasi'!Y7&lt;&gt;"")+('Kunci Adjudikasi'!$E$1&gt;=4)*('Kunci Adjudikasi'!AE7&lt;&gt;"")</f>
        <v>0</v>
      </c>
      <c r="C7" s="20">
        <f>IF(B7&gt;=2,(B7*(B7-1)/2-(('Kunci Adjudikasi'!M7&lt;&gt;"")*('Kunci Adjudikasi'!S7&lt;&gt;"")*('Kunci Adjudikasi'!M7='Kunci Adjudikasi'!S7)+('Kunci Adjudikasi'!$E$1&gt;=3)*('Kunci Adjudikasi'!M7&lt;&gt;"")*('Kunci Adjudikasi'!Y7&lt;&gt;"")*('Kunci Adjudikasi'!M7='Kunci Adjudikasi'!Y7)+('Kunci Adjudikasi'!$E$1&gt;=4)*('Kunci Adjudikasi'!M7&lt;&gt;"")*('Kunci Adjudikasi'!AE7&lt;&gt;"")*('Kunci Adjudikasi'!M7='Kunci Adjudikasi'!AE7)+('Kunci Adjudikasi'!$E$1&gt;=3)*('Kunci Adjudikasi'!S7&lt;&gt;"")*('Kunci Adjudikasi'!Y7&lt;&gt;"")*('Kunci Adjudikasi'!S7='Kunci Adjudikasi'!Y7)+('Kunci Adjudikasi'!$E$1&gt;=4)*('Kunci Adjudikasi'!S7&lt;&gt;"")*('Kunci Adjudikasi'!AE7&lt;&gt;"")*('Kunci Adjudikasi'!S7='Kunci Adjudikasi'!AE7)+('Kunci Adjudikasi'!$E$1&gt;=4)*('Kunci Adjudikasi'!Y7&lt;&gt;"")*('Kunci Adjudikasi'!AE7&lt;&gt;"")*('Kunci Adjudikasi'!Y7='Kunci Adjudikasi'!AE7)))/(B7-1),0)</f>
        <v>0</v>
      </c>
      <c r="D7" s="20">
        <f>('Kunci Adjudikasi'!N7&lt;&gt;"")+('Kunci Adjudikasi'!T7&lt;&gt;"")+('Kunci Adjudikasi'!$E$1&gt;=3)*('Kunci Adjudikasi'!Z7&lt;&gt;"")+('Kunci Adjudikasi'!$E$1&gt;=4)*('Kunci Adjudikasi'!AF7&lt;&gt;"")</f>
        <v>0</v>
      </c>
      <c r="E7" s="20">
        <f>IF(D7&gt;=2,(D7*(D7-1)/2-(('Kunci Adjudikasi'!N7&lt;&gt;"")*('Kunci Adjudikasi'!T7&lt;&gt;"")*('Kunci Adjudikasi'!N7='Kunci Adjudikasi'!T7)+('Kunci Adjudikasi'!$E$1&gt;=3)*('Kunci Adjudikasi'!N7&lt;&gt;"")*('Kunci Adjudikasi'!Z7&lt;&gt;"")*('Kunci Adjudikasi'!N7='Kunci Adjudikasi'!Z7)+('Kunci Adjudikasi'!$E$1&gt;=4)*('Kunci Adjudikasi'!N7&lt;&gt;"")*('Kunci Adjudikasi'!AF7&lt;&gt;"")*('Kunci Adjudikasi'!N7='Kunci Adjudikasi'!AF7)+('Kunci Adjudikasi'!$E$1&gt;=3)*('Kunci Adjudikasi'!T7&lt;&gt;"")*('Kunci Adjudikasi'!Z7&lt;&gt;"")*('Kunci Adjudikasi'!T7='Kunci Adjudikasi'!Z7)+('Kunci Adjudikasi'!$E$1&gt;=4)*('Kunci Adjudikasi'!T7&lt;&gt;"")*('Kunci Adjudikasi'!AF7&lt;&gt;"")*('Kunci Adjudikasi'!T7='Kunci Adjudikasi'!AF7)+('Kunci Adjudikasi'!$E$1&gt;=4)*('Kunci Adjudikasi'!Z7&lt;&gt;"")*('Kunci Adjudikasi'!AF7&lt;&gt;"")*('Kunci Adjudikasi'!Z7='Kunci Adjudikasi'!AF7)))/(D7-1),0)</f>
        <v>0</v>
      </c>
      <c r="F7" s="20">
        <f>('Kunci Adjudikasi'!O7&lt;&gt;"")+('Kunci Adjudikasi'!U7&lt;&gt;"")+('Kunci Adjudikasi'!$E$1&gt;=3)*('Kunci Adjudikasi'!AA7&lt;&gt;"")+('Kunci Adjudikasi'!$E$1&gt;=4)*('Kunci Adjudikasi'!AG7&lt;&gt;"")</f>
        <v>0</v>
      </c>
      <c r="G7" s="20">
        <f>IF(F7&gt;=2,(F7*(F7-1)/2-(('Kunci Adjudikasi'!O7&lt;&gt;"")*('Kunci Adjudikasi'!U7&lt;&gt;"")*('Kunci Adjudikasi'!O7='Kunci Adjudikasi'!U7)+('Kunci Adjudikasi'!$E$1&gt;=3)*('Kunci Adjudikasi'!O7&lt;&gt;"")*('Kunci Adjudikasi'!AA7&lt;&gt;"")*('Kunci Adjudikasi'!O7='Kunci Adjudikasi'!AA7)+('Kunci Adjudikasi'!$E$1&gt;=4)*('Kunci Adjudikasi'!O7&lt;&gt;"")*('Kunci Adjudikasi'!AG7&lt;&gt;"")*('Kunci Adjudikasi'!O7='Kunci Adjudikasi'!AG7)+('Kunci Adjudikasi'!$E$1&gt;=3)*('Kunci Adjudikasi'!U7&lt;&gt;"")*('Kunci Adjudikasi'!AA7&lt;&gt;"")*('Kunci Adjudikasi'!U7='Kunci Adjudikasi'!AA7)+('Kunci Adjudikasi'!$E$1&gt;=4)*('Kunci Adjudikasi'!U7&lt;&gt;"")*('Kunci Adjudikasi'!AG7&lt;&gt;"")*('Kunci Adjudikasi'!U7='Kunci Adjudikasi'!AG7)+('Kunci Adjudikasi'!$E$1&gt;=4)*('Kunci Adjudikasi'!AA7&lt;&gt;"")*('Kunci Adjudikasi'!AG7&lt;&gt;"")*('Kunci Adjudikasi'!AA7='Kunci Adjudikasi'!AG7)))/(F7-1),0)</f>
        <v>0</v>
      </c>
      <c r="H7" s="20">
        <f>('Kunci Adjudikasi'!P7&lt;&gt;"")+('Kunci Adjudikasi'!V7&lt;&gt;"")+('Kunci Adjudikasi'!$E$1&gt;=3)*('Kunci Adjudikasi'!AB7&lt;&gt;"")+('Kunci Adjudikasi'!$E$1&gt;=4)*('Kunci Adjudikasi'!AH7&lt;&gt;"")</f>
        <v>0</v>
      </c>
      <c r="I7" s="20">
        <f>IF(H7&gt;=2,(H7*(H7-1)/2-(('Kunci Adjudikasi'!P7&lt;&gt;"")*('Kunci Adjudikasi'!V7&lt;&gt;"")*('Kunci Adjudikasi'!P7='Kunci Adjudikasi'!V7)+('Kunci Adjudikasi'!$E$1&gt;=3)*('Kunci Adjudikasi'!P7&lt;&gt;"")*('Kunci Adjudikasi'!AB7&lt;&gt;"")*('Kunci Adjudikasi'!P7='Kunci Adjudikasi'!AB7)+('Kunci Adjudikasi'!$E$1&gt;=4)*('Kunci Adjudikasi'!P7&lt;&gt;"")*('Kunci Adjudikasi'!AH7&lt;&gt;"")*('Kunci Adjudikasi'!P7='Kunci Adjudikasi'!AH7)+('Kunci Adjudikasi'!$E$1&gt;=3)*('Kunci Adjudikasi'!V7&lt;&gt;"")*('Kunci Adjudikasi'!AB7&lt;&gt;"")*('Kunci Adjudikasi'!V7='Kunci Adjudikasi'!AB7)+('Kunci Adjudikasi'!$E$1&gt;=4)*('Kunci Adjudikasi'!V7&lt;&gt;"")*('Kunci Adjudikasi'!AH7&lt;&gt;"")*('Kunci Adjudikasi'!V7='Kunci Adjudikasi'!AH7)+('Kunci Adjudikasi'!$E$1&gt;=4)*('Kunci Adjudikasi'!AB7&lt;&gt;"")*('Kunci Adjudikasi'!AH7&lt;&gt;"")*('Kunci Adjudikasi'!AB7='Kunci Adjudikasi'!AH7)))/(H7-1),0)</f>
        <v>0</v>
      </c>
      <c r="J7" s="20">
        <f>('Kunci Adjudikasi'!Q7&lt;&gt;"")+('Kunci Adjudikasi'!W7&lt;&gt;"")+('Kunci Adjudikasi'!$E$1&gt;=3)*('Kunci Adjudikasi'!AC7&lt;&gt;"")+('Kunci Adjudikasi'!$E$1&gt;=4)*('Kunci Adjudikasi'!AI7&lt;&gt;"")</f>
        <v>0</v>
      </c>
      <c r="K7" s="20">
        <f>IF(J7&gt;=2,(J7*(J7-1)/2-(('Kunci Adjudikasi'!Q7&lt;&gt;"")*('Kunci Adjudikasi'!W7&lt;&gt;"")*('Kunci Adjudikasi'!Q7='Kunci Adjudikasi'!W7)+('Kunci Adjudikasi'!$E$1&gt;=3)*('Kunci Adjudikasi'!Q7&lt;&gt;"")*('Kunci Adjudikasi'!AC7&lt;&gt;"")*('Kunci Adjudikasi'!Q7='Kunci Adjudikasi'!AC7)+('Kunci Adjudikasi'!$E$1&gt;=4)*('Kunci Adjudikasi'!Q7&lt;&gt;"")*('Kunci Adjudikasi'!AI7&lt;&gt;"")*('Kunci Adjudikasi'!Q7='Kunci Adjudikasi'!AI7)+('Kunci Adjudikasi'!$E$1&gt;=3)*('Kunci Adjudikasi'!W7&lt;&gt;"")*('Kunci Adjudikasi'!AC7&lt;&gt;"")*('Kunci Adjudikasi'!W7='Kunci Adjudikasi'!AC7)+('Kunci Adjudikasi'!$E$1&gt;=4)*('Kunci Adjudikasi'!W7&lt;&gt;"")*('Kunci Adjudikasi'!AI7&lt;&gt;"")*('Kunci Adjudikasi'!W7='Kunci Adjudikasi'!AI7)+('Kunci Adjudikasi'!$E$1&gt;=4)*('Kunci Adjudikasi'!AC7&lt;&gt;"")*('Kunci Adjudikasi'!AI7&lt;&gt;"")*('Kunci Adjudikasi'!AC7='Kunci Adjudikasi'!AI7)))/(J7-1),0)</f>
        <v>0</v>
      </c>
      <c r="L7" s="20">
        <f>('Kunci Adjudikasi'!R7&lt;&gt;"")+('Kunci Adjudikasi'!X7&lt;&gt;"")+('Kunci Adjudikasi'!$E$1&gt;=3)*('Kunci Adjudikasi'!AD7&lt;&gt;"")+('Kunci Adjudikasi'!$E$1&gt;=4)*('Kunci Adjudikasi'!AJ7&lt;&gt;"")</f>
        <v>0</v>
      </c>
      <c r="M7" s="20">
        <f>IF(L7&gt;=2,(L7*(L7-1)/2-(('Kunci Adjudikasi'!R7&lt;&gt;"")*('Kunci Adjudikasi'!X7&lt;&gt;"")*('Kunci Adjudikasi'!R7='Kunci Adjudikasi'!X7)+('Kunci Adjudikasi'!$E$1&gt;=3)*('Kunci Adjudikasi'!R7&lt;&gt;"")*('Kunci Adjudikasi'!AD7&lt;&gt;"")*('Kunci Adjudikasi'!R7='Kunci Adjudikasi'!AD7)+('Kunci Adjudikasi'!$E$1&gt;=4)*('Kunci Adjudikasi'!R7&lt;&gt;"")*('Kunci Adjudikasi'!AJ7&lt;&gt;"")*('Kunci Adjudikasi'!R7='Kunci Adjudikasi'!AJ7)+('Kunci Adjudikasi'!$E$1&gt;=3)*('Kunci Adjudikasi'!X7&lt;&gt;"")*('Kunci Adjudikasi'!AD7&lt;&gt;"")*('Kunci Adjudikasi'!X7='Kunci Adjudikasi'!AD7)+('Kunci Adjudikasi'!$E$1&gt;=4)*('Kunci Adjudikasi'!X7&lt;&gt;"")*('Kunci Adjudikasi'!AJ7&lt;&gt;"")*('Kunci Adjudikasi'!X7='Kunci Adjudikasi'!AJ7)+('Kunci Adjudikasi'!$E$1&gt;=4)*('Kunci Adjudikasi'!AD7&lt;&gt;"")*('Kunci Adjudikasi'!AJ7&lt;&gt;"")*('Kunci Adjudikasi'!AD7='Kunci Adjudikasi'!AJ7)))/(L7-1),0)</f>
        <v>0</v>
      </c>
      <c r="N7" s="20">
        <f>(LEFT('Kunci Adjudikasi'!N7,2)="R0")+(LEFT('Kunci Adjudikasi'!T7,2)="R0")+('Kunci Adjudikasi'!$E$1&gt;=3)*(LEFT('Kunci Adjudikasi'!Z7,2)="R0")+('Kunci Adjudikasi'!$E$1&gt;=4)*(LEFT('Kunci Adjudikasi'!AF7,2)="R0")</f>
        <v>0</v>
      </c>
      <c r="O7" s="20">
        <f>(LEFT('Kunci Adjudikasi'!N7,2)="R1")+(LEFT('Kunci Adjudikasi'!T7,2)="R1")+('Kunci Adjudikasi'!$E$1&gt;=3)*(LEFT('Kunci Adjudikasi'!Z7,2)="R1")+('Kunci Adjudikasi'!$E$1&gt;=4)*(LEFT('Kunci Adjudikasi'!AF7,2)="R1")</f>
        <v>0</v>
      </c>
      <c r="P7" s="20">
        <f>(LEFT('Kunci Adjudikasi'!N7,2)="R2")+(LEFT('Kunci Adjudikasi'!T7,2)="R2")+('Kunci Adjudikasi'!$E$1&gt;=3)*(LEFT('Kunci Adjudikasi'!Z7,2)="R2")+('Kunci Adjudikasi'!$E$1&gt;=4)*(LEFT('Kunci Adjudikasi'!AF7,2)="R2")</f>
        <v>0</v>
      </c>
      <c r="Q7" s="20">
        <f t="shared" si="40"/>
        <v>0</v>
      </c>
      <c r="R7" s="20">
        <f t="shared" si="41"/>
        <v>0</v>
      </c>
      <c r="S7" s="20">
        <f t="shared" si="42"/>
        <v>0</v>
      </c>
    </row>
    <row r="8">
      <c r="A8" s="20">
        <f>'Kunci Adjudikasi'!A8</f>
        <v>5</v>
      </c>
      <c r="B8" s="20">
        <f>('Kunci Adjudikasi'!M8&lt;&gt;"")+('Kunci Adjudikasi'!S8&lt;&gt;"")+('Kunci Adjudikasi'!$E$1&gt;=3)*('Kunci Adjudikasi'!Y8&lt;&gt;"")+('Kunci Adjudikasi'!$E$1&gt;=4)*('Kunci Adjudikasi'!AE8&lt;&gt;"")</f>
        <v>0</v>
      </c>
      <c r="C8" s="20">
        <f>IF(B8&gt;=2,(B8*(B8-1)/2-(('Kunci Adjudikasi'!M8&lt;&gt;"")*('Kunci Adjudikasi'!S8&lt;&gt;"")*('Kunci Adjudikasi'!M8='Kunci Adjudikasi'!S8)+('Kunci Adjudikasi'!$E$1&gt;=3)*('Kunci Adjudikasi'!M8&lt;&gt;"")*('Kunci Adjudikasi'!Y8&lt;&gt;"")*('Kunci Adjudikasi'!M8='Kunci Adjudikasi'!Y8)+('Kunci Adjudikasi'!$E$1&gt;=4)*('Kunci Adjudikasi'!M8&lt;&gt;"")*('Kunci Adjudikasi'!AE8&lt;&gt;"")*('Kunci Adjudikasi'!M8='Kunci Adjudikasi'!AE8)+('Kunci Adjudikasi'!$E$1&gt;=3)*('Kunci Adjudikasi'!S8&lt;&gt;"")*('Kunci Adjudikasi'!Y8&lt;&gt;"")*('Kunci Adjudikasi'!S8='Kunci Adjudikasi'!Y8)+('Kunci Adjudikasi'!$E$1&gt;=4)*('Kunci Adjudikasi'!S8&lt;&gt;"")*('Kunci Adjudikasi'!AE8&lt;&gt;"")*('Kunci Adjudikasi'!S8='Kunci Adjudikasi'!AE8)+('Kunci Adjudikasi'!$E$1&gt;=4)*('Kunci Adjudikasi'!Y8&lt;&gt;"")*('Kunci Adjudikasi'!AE8&lt;&gt;"")*('Kunci Adjudikasi'!Y8='Kunci Adjudikasi'!AE8)))/(B8-1),0)</f>
        <v>0</v>
      </c>
      <c r="D8" s="20">
        <f>('Kunci Adjudikasi'!N8&lt;&gt;"")+('Kunci Adjudikasi'!T8&lt;&gt;"")+('Kunci Adjudikasi'!$E$1&gt;=3)*('Kunci Adjudikasi'!Z8&lt;&gt;"")+('Kunci Adjudikasi'!$E$1&gt;=4)*('Kunci Adjudikasi'!AF8&lt;&gt;"")</f>
        <v>0</v>
      </c>
      <c r="E8" s="20">
        <f>IF(D8&gt;=2,(D8*(D8-1)/2-(('Kunci Adjudikasi'!N8&lt;&gt;"")*('Kunci Adjudikasi'!T8&lt;&gt;"")*('Kunci Adjudikasi'!N8='Kunci Adjudikasi'!T8)+('Kunci Adjudikasi'!$E$1&gt;=3)*('Kunci Adjudikasi'!N8&lt;&gt;"")*('Kunci Adjudikasi'!Z8&lt;&gt;"")*('Kunci Adjudikasi'!N8='Kunci Adjudikasi'!Z8)+('Kunci Adjudikasi'!$E$1&gt;=4)*('Kunci Adjudikasi'!N8&lt;&gt;"")*('Kunci Adjudikasi'!AF8&lt;&gt;"")*('Kunci Adjudikasi'!N8='Kunci Adjudikasi'!AF8)+('Kunci Adjudikasi'!$E$1&gt;=3)*('Kunci Adjudikasi'!T8&lt;&gt;"")*('Kunci Adjudikasi'!Z8&lt;&gt;"")*('Kunci Adjudikasi'!T8='Kunci Adjudikasi'!Z8)+('Kunci Adjudikasi'!$E$1&gt;=4)*('Kunci Adjudikasi'!T8&lt;&gt;"")*('Kunci Adjudikasi'!AF8&lt;&gt;"")*('Kunci Adjudikasi'!T8='Kunci Adjudikasi'!AF8)+('Kunci Adjudikasi'!$E$1&gt;=4)*('Kunci Adjudikasi'!Z8&lt;&gt;"")*('Kunci Adjudikasi'!AF8&lt;&gt;"")*('Kunci Adjudikasi'!Z8='Kunci Adjudikasi'!AF8)))/(D8-1),0)</f>
        <v>0</v>
      </c>
      <c r="F8" s="20">
        <f>('Kunci Adjudikasi'!O8&lt;&gt;"")+('Kunci Adjudikasi'!U8&lt;&gt;"")+('Kunci Adjudikasi'!$E$1&gt;=3)*('Kunci Adjudikasi'!AA8&lt;&gt;"")+('Kunci Adjudikasi'!$E$1&gt;=4)*('Kunci Adjudikasi'!AG8&lt;&gt;"")</f>
        <v>0</v>
      </c>
      <c r="G8" s="20">
        <f>IF(F8&gt;=2,(F8*(F8-1)/2-(('Kunci Adjudikasi'!O8&lt;&gt;"")*('Kunci Adjudikasi'!U8&lt;&gt;"")*('Kunci Adjudikasi'!O8='Kunci Adjudikasi'!U8)+('Kunci Adjudikasi'!$E$1&gt;=3)*('Kunci Adjudikasi'!O8&lt;&gt;"")*('Kunci Adjudikasi'!AA8&lt;&gt;"")*('Kunci Adjudikasi'!O8='Kunci Adjudikasi'!AA8)+('Kunci Adjudikasi'!$E$1&gt;=4)*('Kunci Adjudikasi'!O8&lt;&gt;"")*('Kunci Adjudikasi'!AG8&lt;&gt;"")*('Kunci Adjudikasi'!O8='Kunci Adjudikasi'!AG8)+('Kunci Adjudikasi'!$E$1&gt;=3)*('Kunci Adjudikasi'!U8&lt;&gt;"")*('Kunci Adjudikasi'!AA8&lt;&gt;"")*('Kunci Adjudikasi'!U8='Kunci Adjudikasi'!AA8)+('Kunci Adjudikasi'!$E$1&gt;=4)*('Kunci Adjudikasi'!U8&lt;&gt;"")*('Kunci Adjudikasi'!AG8&lt;&gt;"")*('Kunci Adjudikasi'!U8='Kunci Adjudikasi'!AG8)+('Kunci Adjudikasi'!$E$1&gt;=4)*('Kunci Adjudikasi'!AA8&lt;&gt;"")*('Kunci Adjudikasi'!AG8&lt;&gt;"")*('Kunci Adjudikasi'!AA8='Kunci Adjudikasi'!AG8)))/(F8-1),0)</f>
        <v>0</v>
      </c>
      <c r="H8" s="20">
        <f>('Kunci Adjudikasi'!P8&lt;&gt;"")+('Kunci Adjudikasi'!V8&lt;&gt;"")+('Kunci Adjudikasi'!$E$1&gt;=3)*('Kunci Adjudikasi'!AB8&lt;&gt;"")+('Kunci Adjudikasi'!$E$1&gt;=4)*('Kunci Adjudikasi'!AH8&lt;&gt;"")</f>
        <v>0</v>
      </c>
      <c r="I8" s="20">
        <f>IF(H8&gt;=2,(H8*(H8-1)/2-(('Kunci Adjudikasi'!P8&lt;&gt;"")*('Kunci Adjudikasi'!V8&lt;&gt;"")*('Kunci Adjudikasi'!P8='Kunci Adjudikasi'!V8)+('Kunci Adjudikasi'!$E$1&gt;=3)*('Kunci Adjudikasi'!P8&lt;&gt;"")*('Kunci Adjudikasi'!AB8&lt;&gt;"")*('Kunci Adjudikasi'!P8='Kunci Adjudikasi'!AB8)+('Kunci Adjudikasi'!$E$1&gt;=4)*('Kunci Adjudikasi'!P8&lt;&gt;"")*('Kunci Adjudikasi'!AH8&lt;&gt;"")*('Kunci Adjudikasi'!P8='Kunci Adjudikasi'!AH8)+('Kunci Adjudikasi'!$E$1&gt;=3)*('Kunci Adjudikasi'!V8&lt;&gt;"")*('Kunci Adjudikasi'!AB8&lt;&gt;"")*('Kunci Adjudikasi'!V8='Kunci Adjudikasi'!AB8)+('Kunci Adjudikasi'!$E$1&gt;=4)*('Kunci Adjudikasi'!V8&lt;&gt;"")*('Kunci Adjudikasi'!AH8&lt;&gt;"")*('Kunci Adjudikasi'!V8='Kunci Adjudikasi'!AH8)+('Kunci Adjudikasi'!$E$1&gt;=4)*('Kunci Adjudikasi'!AB8&lt;&gt;"")*('Kunci Adjudikasi'!AH8&lt;&gt;"")*('Kunci Adjudikasi'!AB8='Kunci Adjudikasi'!AH8)))/(H8-1),0)</f>
        <v>0</v>
      </c>
      <c r="J8" s="20">
        <f>('Kunci Adjudikasi'!Q8&lt;&gt;"")+('Kunci Adjudikasi'!W8&lt;&gt;"")+('Kunci Adjudikasi'!$E$1&gt;=3)*('Kunci Adjudikasi'!AC8&lt;&gt;"")+('Kunci Adjudikasi'!$E$1&gt;=4)*('Kunci Adjudikasi'!AI8&lt;&gt;"")</f>
        <v>0</v>
      </c>
      <c r="K8" s="20">
        <f>IF(J8&gt;=2,(J8*(J8-1)/2-(('Kunci Adjudikasi'!Q8&lt;&gt;"")*('Kunci Adjudikasi'!W8&lt;&gt;"")*('Kunci Adjudikasi'!Q8='Kunci Adjudikasi'!W8)+('Kunci Adjudikasi'!$E$1&gt;=3)*('Kunci Adjudikasi'!Q8&lt;&gt;"")*('Kunci Adjudikasi'!AC8&lt;&gt;"")*('Kunci Adjudikasi'!Q8='Kunci Adjudikasi'!AC8)+('Kunci Adjudikasi'!$E$1&gt;=4)*('Kunci Adjudikasi'!Q8&lt;&gt;"")*('Kunci Adjudikasi'!AI8&lt;&gt;"")*('Kunci Adjudikasi'!Q8='Kunci Adjudikasi'!AI8)+('Kunci Adjudikasi'!$E$1&gt;=3)*('Kunci Adjudikasi'!W8&lt;&gt;"")*('Kunci Adjudikasi'!AC8&lt;&gt;"")*('Kunci Adjudikasi'!W8='Kunci Adjudikasi'!AC8)+('Kunci Adjudikasi'!$E$1&gt;=4)*('Kunci Adjudikasi'!W8&lt;&gt;"")*('Kunci Adjudikasi'!AI8&lt;&gt;"")*('Kunci Adjudikasi'!W8='Kunci Adjudikasi'!AI8)+('Kunci Adjudikasi'!$E$1&gt;=4)*('Kunci Adjudikasi'!AC8&lt;&gt;"")*('Kunci Adjudikasi'!AI8&lt;&gt;"")*('Kunci Adjudikasi'!AC8='Kunci Adjudikasi'!AI8)))/(J8-1),0)</f>
        <v>0</v>
      </c>
      <c r="L8" s="20">
        <f>('Kunci Adjudikasi'!R8&lt;&gt;"")+('Kunci Adjudikasi'!X8&lt;&gt;"")+('Kunci Adjudikasi'!$E$1&gt;=3)*('Kunci Adjudikasi'!AD8&lt;&gt;"")+('Kunci Adjudikasi'!$E$1&gt;=4)*('Kunci Adjudikasi'!AJ8&lt;&gt;"")</f>
        <v>0</v>
      </c>
      <c r="M8" s="20">
        <f>IF(L8&gt;=2,(L8*(L8-1)/2-(('Kunci Adjudikasi'!R8&lt;&gt;"")*('Kunci Adjudikasi'!X8&lt;&gt;"")*('Kunci Adjudikasi'!R8='Kunci Adjudikasi'!X8)+('Kunci Adjudikasi'!$E$1&gt;=3)*('Kunci Adjudikasi'!R8&lt;&gt;"")*('Kunci Adjudikasi'!AD8&lt;&gt;"")*('Kunci Adjudikasi'!R8='Kunci Adjudikasi'!AD8)+('Kunci Adjudikasi'!$E$1&gt;=4)*('Kunci Adjudikasi'!R8&lt;&gt;"")*('Kunci Adjudikasi'!AJ8&lt;&gt;"")*('Kunci Adjudikasi'!R8='Kunci Adjudikasi'!AJ8)+('Kunci Adjudikasi'!$E$1&gt;=3)*('Kunci Adjudikasi'!X8&lt;&gt;"")*('Kunci Adjudikasi'!AD8&lt;&gt;"")*('Kunci Adjudikasi'!X8='Kunci Adjudikasi'!AD8)+('Kunci Adjudikasi'!$E$1&gt;=4)*('Kunci Adjudikasi'!X8&lt;&gt;"")*('Kunci Adjudikasi'!AJ8&lt;&gt;"")*('Kunci Adjudikasi'!X8='Kunci Adjudikasi'!AJ8)+('Kunci Adjudikasi'!$E$1&gt;=4)*('Kunci Adjudikasi'!AD8&lt;&gt;"")*('Kunci Adjudikasi'!AJ8&lt;&gt;"")*('Kunci Adjudikasi'!AD8='Kunci Adjudikasi'!AJ8)))/(L8-1),0)</f>
        <v>0</v>
      </c>
      <c r="N8" s="20">
        <f>(LEFT('Kunci Adjudikasi'!N8,2)="R0")+(LEFT('Kunci Adjudikasi'!T8,2)="R0")+('Kunci Adjudikasi'!$E$1&gt;=3)*(LEFT('Kunci Adjudikasi'!Z8,2)="R0")+('Kunci Adjudikasi'!$E$1&gt;=4)*(LEFT('Kunci Adjudikasi'!AF8,2)="R0")</f>
        <v>0</v>
      </c>
      <c r="O8" s="20">
        <f>(LEFT('Kunci Adjudikasi'!N8,2)="R1")+(LEFT('Kunci Adjudikasi'!T8,2)="R1")+('Kunci Adjudikasi'!$E$1&gt;=3)*(LEFT('Kunci Adjudikasi'!Z8,2)="R1")+('Kunci Adjudikasi'!$E$1&gt;=4)*(LEFT('Kunci Adjudikasi'!AF8,2)="R1")</f>
        <v>0</v>
      </c>
      <c r="P8" s="20">
        <f>(LEFT('Kunci Adjudikasi'!N8,2)="R2")+(LEFT('Kunci Adjudikasi'!T8,2)="R2")+('Kunci Adjudikasi'!$E$1&gt;=3)*(LEFT('Kunci Adjudikasi'!Z8,2)="R2")+('Kunci Adjudikasi'!$E$1&gt;=4)*(LEFT('Kunci Adjudikasi'!AF8,2)="R2")</f>
        <v>0</v>
      </c>
      <c r="Q8" s="20">
        <f t="shared" si="40"/>
        <v>0</v>
      </c>
      <c r="R8" s="20">
        <f t="shared" si="41"/>
        <v>0</v>
      </c>
      <c r="S8" s="20">
        <f t="shared" si="42"/>
        <v>0</v>
      </c>
    </row>
    <row r="9">
      <c r="A9" s="20">
        <f>'Kunci Adjudikasi'!A9</f>
        <v>6</v>
      </c>
      <c r="B9" s="20">
        <f>('Kunci Adjudikasi'!M9&lt;&gt;"")+('Kunci Adjudikasi'!S9&lt;&gt;"")+('Kunci Adjudikasi'!$E$1&gt;=3)*('Kunci Adjudikasi'!Y9&lt;&gt;"")+('Kunci Adjudikasi'!$E$1&gt;=4)*('Kunci Adjudikasi'!AE9&lt;&gt;"")</f>
        <v>0</v>
      </c>
      <c r="C9" s="20">
        <f>IF(B9&gt;=2,(B9*(B9-1)/2-(('Kunci Adjudikasi'!M9&lt;&gt;"")*('Kunci Adjudikasi'!S9&lt;&gt;"")*('Kunci Adjudikasi'!M9='Kunci Adjudikasi'!S9)+('Kunci Adjudikasi'!$E$1&gt;=3)*('Kunci Adjudikasi'!M9&lt;&gt;"")*('Kunci Adjudikasi'!Y9&lt;&gt;"")*('Kunci Adjudikasi'!M9='Kunci Adjudikasi'!Y9)+('Kunci Adjudikasi'!$E$1&gt;=4)*('Kunci Adjudikasi'!M9&lt;&gt;"")*('Kunci Adjudikasi'!AE9&lt;&gt;"")*('Kunci Adjudikasi'!M9='Kunci Adjudikasi'!AE9)+('Kunci Adjudikasi'!$E$1&gt;=3)*('Kunci Adjudikasi'!S9&lt;&gt;"")*('Kunci Adjudikasi'!Y9&lt;&gt;"")*('Kunci Adjudikasi'!S9='Kunci Adjudikasi'!Y9)+('Kunci Adjudikasi'!$E$1&gt;=4)*('Kunci Adjudikasi'!S9&lt;&gt;"")*('Kunci Adjudikasi'!AE9&lt;&gt;"")*('Kunci Adjudikasi'!S9='Kunci Adjudikasi'!AE9)+('Kunci Adjudikasi'!$E$1&gt;=4)*('Kunci Adjudikasi'!Y9&lt;&gt;"")*('Kunci Adjudikasi'!AE9&lt;&gt;"")*('Kunci Adjudikasi'!Y9='Kunci Adjudikasi'!AE9)))/(B9-1),0)</f>
        <v>0</v>
      </c>
      <c r="D9" s="20">
        <f>('Kunci Adjudikasi'!N9&lt;&gt;"")+('Kunci Adjudikasi'!T9&lt;&gt;"")+('Kunci Adjudikasi'!$E$1&gt;=3)*('Kunci Adjudikasi'!Z9&lt;&gt;"")+('Kunci Adjudikasi'!$E$1&gt;=4)*('Kunci Adjudikasi'!AF9&lt;&gt;"")</f>
        <v>0</v>
      </c>
      <c r="E9" s="20">
        <f>IF(D9&gt;=2,(D9*(D9-1)/2-(('Kunci Adjudikasi'!N9&lt;&gt;"")*('Kunci Adjudikasi'!T9&lt;&gt;"")*('Kunci Adjudikasi'!N9='Kunci Adjudikasi'!T9)+('Kunci Adjudikasi'!$E$1&gt;=3)*('Kunci Adjudikasi'!N9&lt;&gt;"")*('Kunci Adjudikasi'!Z9&lt;&gt;"")*('Kunci Adjudikasi'!N9='Kunci Adjudikasi'!Z9)+('Kunci Adjudikasi'!$E$1&gt;=4)*('Kunci Adjudikasi'!N9&lt;&gt;"")*('Kunci Adjudikasi'!AF9&lt;&gt;"")*('Kunci Adjudikasi'!N9='Kunci Adjudikasi'!AF9)+('Kunci Adjudikasi'!$E$1&gt;=3)*('Kunci Adjudikasi'!T9&lt;&gt;"")*('Kunci Adjudikasi'!Z9&lt;&gt;"")*('Kunci Adjudikasi'!T9='Kunci Adjudikasi'!Z9)+('Kunci Adjudikasi'!$E$1&gt;=4)*('Kunci Adjudikasi'!T9&lt;&gt;"")*('Kunci Adjudikasi'!AF9&lt;&gt;"")*('Kunci Adjudikasi'!T9='Kunci Adjudikasi'!AF9)+('Kunci Adjudikasi'!$E$1&gt;=4)*('Kunci Adjudikasi'!Z9&lt;&gt;"")*('Kunci Adjudikasi'!AF9&lt;&gt;"")*('Kunci Adjudikasi'!Z9='Kunci Adjudikasi'!AF9)))/(D9-1),0)</f>
        <v>0</v>
      </c>
      <c r="F9" s="20">
        <f>('Kunci Adjudikasi'!O9&lt;&gt;"")+('Kunci Adjudikasi'!U9&lt;&gt;"")+('Kunci Adjudikasi'!$E$1&gt;=3)*('Kunci Adjudikasi'!AA9&lt;&gt;"")+('Kunci Adjudikasi'!$E$1&gt;=4)*('Kunci Adjudikasi'!AG9&lt;&gt;"")</f>
        <v>0</v>
      </c>
      <c r="G9" s="20">
        <f>IF(F9&gt;=2,(F9*(F9-1)/2-(('Kunci Adjudikasi'!O9&lt;&gt;"")*('Kunci Adjudikasi'!U9&lt;&gt;"")*('Kunci Adjudikasi'!O9='Kunci Adjudikasi'!U9)+('Kunci Adjudikasi'!$E$1&gt;=3)*('Kunci Adjudikasi'!O9&lt;&gt;"")*('Kunci Adjudikasi'!AA9&lt;&gt;"")*('Kunci Adjudikasi'!O9='Kunci Adjudikasi'!AA9)+('Kunci Adjudikasi'!$E$1&gt;=4)*('Kunci Adjudikasi'!O9&lt;&gt;"")*('Kunci Adjudikasi'!AG9&lt;&gt;"")*('Kunci Adjudikasi'!O9='Kunci Adjudikasi'!AG9)+('Kunci Adjudikasi'!$E$1&gt;=3)*('Kunci Adjudikasi'!U9&lt;&gt;"")*('Kunci Adjudikasi'!AA9&lt;&gt;"")*('Kunci Adjudikasi'!U9='Kunci Adjudikasi'!AA9)+('Kunci Adjudikasi'!$E$1&gt;=4)*('Kunci Adjudikasi'!U9&lt;&gt;"")*('Kunci Adjudikasi'!AG9&lt;&gt;"")*('Kunci Adjudikasi'!U9='Kunci Adjudikasi'!AG9)+('Kunci Adjudikasi'!$E$1&gt;=4)*('Kunci Adjudikasi'!AA9&lt;&gt;"")*('Kunci Adjudikasi'!AG9&lt;&gt;"")*('Kunci Adjudikasi'!AA9='Kunci Adjudikasi'!AG9)))/(F9-1),0)</f>
        <v>0</v>
      </c>
      <c r="H9" s="20">
        <f>('Kunci Adjudikasi'!P9&lt;&gt;"")+('Kunci Adjudikasi'!V9&lt;&gt;"")+('Kunci Adjudikasi'!$E$1&gt;=3)*('Kunci Adjudikasi'!AB9&lt;&gt;"")+('Kunci Adjudikasi'!$E$1&gt;=4)*('Kunci Adjudikasi'!AH9&lt;&gt;"")</f>
        <v>0</v>
      </c>
      <c r="I9" s="20">
        <f>IF(H9&gt;=2,(H9*(H9-1)/2-(('Kunci Adjudikasi'!P9&lt;&gt;"")*('Kunci Adjudikasi'!V9&lt;&gt;"")*('Kunci Adjudikasi'!P9='Kunci Adjudikasi'!V9)+('Kunci Adjudikasi'!$E$1&gt;=3)*('Kunci Adjudikasi'!P9&lt;&gt;"")*('Kunci Adjudikasi'!AB9&lt;&gt;"")*('Kunci Adjudikasi'!P9='Kunci Adjudikasi'!AB9)+('Kunci Adjudikasi'!$E$1&gt;=4)*('Kunci Adjudikasi'!P9&lt;&gt;"")*('Kunci Adjudikasi'!AH9&lt;&gt;"")*('Kunci Adjudikasi'!P9='Kunci Adjudikasi'!AH9)+('Kunci Adjudikasi'!$E$1&gt;=3)*('Kunci Adjudikasi'!V9&lt;&gt;"")*('Kunci Adjudikasi'!AB9&lt;&gt;"")*('Kunci Adjudikasi'!V9='Kunci Adjudikasi'!AB9)+('Kunci Adjudikasi'!$E$1&gt;=4)*('Kunci Adjudikasi'!V9&lt;&gt;"")*('Kunci Adjudikasi'!AH9&lt;&gt;"")*('Kunci Adjudikasi'!V9='Kunci Adjudikasi'!AH9)+('Kunci Adjudikasi'!$E$1&gt;=4)*('Kunci Adjudikasi'!AB9&lt;&gt;"")*('Kunci Adjudikasi'!AH9&lt;&gt;"")*('Kunci Adjudikasi'!AB9='Kunci Adjudikasi'!AH9)))/(H9-1),0)</f>
        <v>0</v>
      </c>
      <c r="J9" s="20">
        <f>('Kunci Adjudikasi'!Q9&lt;&gt;"")+('Kunci Adjudikasi'!W9&lt;&gt;"")+('Kunci Adjudikasi'!$E$1&gt;=3)*('Kunci Adjudikasi'!AC9&lt;&gt;"")+('Kunci Adjudikasi'!$E$1&gt;=4)*('Kunci Adjudikasi'!AI9&lt;&gt;"")</f>
        <v>0</v>
      </c>
      <c r="K9" s="20">
        <f>IF(J9&gt;=2,(J9*(J9-1)/2-(('Kunci Adjudikasi'!Q9&lt;&gt;"")*('Kunci Adjudikasi'!W9&lt;&gt;"")*('Kunci Adjudikasi'!Q9='Kunci Adjudikasi'!W9)+('Kunci Adjudikasi'!$E$1&gt;=3)*('Kunci Adjudikasi'!Q9&lt;&gt;"")*('Kunci Adjudikasi'!AC9&lt;&gt;"")*('Kunci Adjudikasi'!Q9='Kunci Adjudikasi'!AC9)+('Kunci Adjudikasi'!$E$1&gt;=4)*('Kunci Adjudikasi'!Q9&lt;&gt;"")*('Kunci Adjudikasi'!AI9&lt;&gt;"")*('Kunci Adjudikasi'!Q9='Kunci Adjudikasi'!AI9)+('Kunci Adjudikasi'!$E$1&gt;=3)*('Kunci Adjudikasi'!W9&lt;&gt;"")*('Kunci Adjudikasi'!AC9&lt;&gt;"")*('Kunci Adjudikasi'!W9='Kunci Adjudikasi'!AC9)+('Kunci Adjudikasi'!$E$1&gt;=4)*('Kunci Adjudikasi'!W9&lt;&gt;"")*('Kunci Adjudikasi'!AI9&lt;&gt;"")*('Kunci Adjudikasi'!W9='Kunci Adjudikasi'!AI9)+('Kunci Adjudikasi'!$E$1&gt;=4)*('Kunci Adjudikasi'!AC9&lt;&gt;"")*('Kunci Adjudikasi'!AI9&lt;&gt;"")*('Kunci Adjudikasi'!AC9='Kunci Adjudikasi'!AI9)))/(J9-1),0)</f>
        <v>0</v>
      </c>
      <c r="L9" s="20">
        <f>('Kunci Adjudikasi'!R9&lt;&gt;"")+('Kunci Adjudikasi'!X9&lt;&gt;"")+('Kunci Adjudikasi'!$E$1&gt;=3)*('Kunci Adjudikasi'!AD9&lt;&gt;"")+('Kunci Adjudikasi'!$E$1&gt;=4)*('Kunci Adjudikasi'!AJ9&lt;&gt;"")</f>
        <v>0</v>
      </c>
      <c r="M9" s="20">
        <f>IF(L9&gt;=2,(L9*(L9-1)/2-(('Kunci Adjudikasi'!R9&lt;&gt;"")*('Kunci Adjudikasi'!X9&lt;&gt;"")*('Kunci Adjudikasi'!R9='Kunci Adjudikasi'!X9)+('Kunci Adjudikasi'!$E$1&gt;=3)*('Kunci Adjudikasi'!R9&lt;&gt;"")*('Kunci Adjudikasi'!AD9&lt;&gt;"")*('Kunci Adjudikasi'!R9='Kunci Adjudikasi'!AD9)+('Kunci Adjudikasi'!$E$1&gt;=4)*('Kunci Adjudikasi'!R9&lt;&gt;"")*('Kunci Adjudikasi'!AJ9&lt;&gt;"")*('Kunci Adjudikasi'!R9='Kunci Adjudikasi'!AJ9)+('Kunci Adjudikasi'!$E$1&gt;=3)*('Kunci Adjudikasi'!X9&lt;&gt;"")*('Kunci Adjudikasi'!AD9&lt;&gt;"")*('Kunci Adjudikasi'!X9='Kunci Adjudikasi'!AD9)+('Kunci Adjudikasi'!$E$1&gt;=4)*('Kunci Adjudikasi'!X9&lt;&gt;"")*('Kunci Adjudikasi'!AJ9&lt;&gt;"")*('Kunci Adjudikasi'!X9='Kunci Adjudikasi'!AJ9)+('Kunci Adjudikasi'!$E$1&gt;=4)*('Kunci Adjudikasi'!AD9&lt;&gt;"")*('Kunci Adjudikasi'!AJ9&lt;&gt;"")*('Kunci Adjudikasi'!AD9='Kunci Adjudikasi'!AJ9)))/(L9-1),0)</f>
        <v>0</v>
      </c>
      <c r="N9" s="20">
        <f>(LEFT('Kunci Adjudikasi'!N9,2)="R0")+(LEFT('Kunci Adjudikasi'!T9,2)="R0")+('Kunci Adjudikasi'!$E$1&gt;=3)*(LEFT('Kunci Adjudikasi'!Z9,2)="R0")+('Kunci Adjudikasi'!$E$1&gt;=4)*(LEFT('Kunci Adjudikasi'!AF9,2)="R0")</f>
        <v>0</v>
      </c>
      <c r="O9" s="20">
        <f>(LEFT('Kunci Adjudikasi'!N9,2)="R1")+(LEFT('Kunci Adjudikasi'!T9,2)="R1")+('Kunci Adjudikasi'!$E$1&gt;=3)*(LEFT('Kunci Adjudikasi'!Z9,2)="R1")+('Kunci Adjudikasi'!$E$1&gt;=4)*(LEFT('Kunci Adjudikasi'!AF9,2)="R1")</f>
        <v>0</v>
      </c>
      <c r="P9" s="20">
        <f>(LEFT('Kunci Adjudikasi'!N9,2)="R2")+(LEFT('Kunci Adjudikasi'!T9,2)="R2")+('Kunci Adjudikasi'!$E$1&gt;=3)*(LEFT('Kunci Adjudikasi'!Z9,2)="R2")+('Kunci Adjudikasi'!$E$1&gt;=4)*(LEFT('Kunci Adjudikasi'!AF9,2)="R2")</f>
        <v>0</v>
      </c>
      <c r="Q9" s="20">
        <f t="shared" si="40"/>
        <v>0</v>
      </c>
      <c r="R9" s="20">
        <f t="shared" si="41"/>
        <v>0</v>
      </c>
      <c r="S9" s="20">
        <f t="shared" si="42"/>
        <v>0</v>
      </c>
    </row>
    <row r="10">
      <c r="A10" s="20">
        <f>'Kunci Adjudikasi'!A10</f>
        <v>7</v>
      </c>
      <c r="B10" s="20">
        <f>('Kunci Adjudikasi'!M10&lt;&gt;"")+('Kunci Adjudikasi'!S10&lt;&gt;"")+('Kunci Adjudikasi'!$E$1&gt;=3)*('Kunci Adjudikasi'!Y10&lt;&gt;"")+('Kunci Adjudikasi'!$E$1&gt;=4)*('Kunci Adjudikasi'!AE10&lt;&gt;"")</f>
        <v>0</v>
      </c>
      <c r="C10" s="20">
        <f>IF(B10&gt;=2,(B10*(B10-1)/2-(('Kunci Adjudikasi'!M10&lt;&gt;"")*('Kunci Adjudikasi'!S10&lt;&gt;"")*('Kunci Adjudikasi'!M10='Kunci Adjudikasi'!S10)+('Kunci Adjudikasi'!$E$1&gt;=3)*('Kunci Adjudikasi'!M10&lt;&gt;"")*('Kunci Adjudikasi'!Y10&lt;&gt;"")*('Kunci Adjudikasi'!M10='Kunci Adjudikasi'!Y10)+('Kunci Adjudikasi'!$E$1&gt;=4)*('Kunci Adjudikasi'!M10&lt;&gt;"")*('Kunci Adjudikasi'!AE10&lt;&gt;"")*('Kunci Adjudikasi'!M10='Kunci Adjudikasi'!AE10)+('Kunci Adjudikasi'!$E$1&gt;=3)*('Kunci Adjudikasi'!S10&lt;&gt;"")*('Kunci Adjudikasi'!Y10&lt;&gt;"")*('Kunci Adjudikasi'!S10='Kunci Adjudikasi'!Y10)+('Kunci Adjudikasi'!$E$1&gt;=4)*('Kunci Adjudikasi'!S10&lt;&gt;"")*('Kunci Adjudikasi'!AE10&lt;&gt;"")*('Kunci Adjudikasi'!S10='Kunci Adjudikasi'!AE10)+('Kunci Adjudikasi'!$E$1&gt;=4)*('Kunci Adjudikasi'!Y10&lt;&gt;"")*('Kunci Adjudikasi'!AE10&lt;&gt;"")*('Kunci Adjudikasi'!Y10='Kunci Adjudikasi'!AE10)))/(B10-1),0)</f>
        <v>0</v>
      </c>
      <c r="D10" s="20">
        <f>('Kunci Adjudikasi'!N10&lt;&gt;"")+('Kunci Adjudikasi'!T10&lt;&gt;"")+('Kunci Adjudikasi'!$E$1&gt;=3)*('Kunci Adjudikasi'!Z10&lt;&gt;"")+('Kunci Adjudikasi'!$E$1&gt;=4)*('Kunci Adjudikasi'!AF10&lt;&gt;"")</f>
        <v>0</v>
      </c>
      <c r="E10" s="20">
        <f>IF(D10&gt;=2,(D10*(D10-1)/2-(('Kunci Adjudikasi'!N10&lt;&gt;"")*('Kunci Adjudikasi'!T10&lt;&gt;"")*('Kunci Adjudikasi'!N10='Kunci Adjudikasi'!T10)+('Kunci Adjudikasi'!$E$1&gt;=3)*('Kunci Adjudikasi'!N10&lt;&gt;"")*('Kunci Adjudikasi'!Z10&lt;&gt;"")*('Kunci Adjudikasi'!N10='Kunci Adjudikasi'!Z10)+('Kunci Adjudikasi'!$E$1&gt;=4)*('Kunci Adjudikasi'!N10&lt;&gt;"")*('Kunci Adjudikasi'!AF10&lt;&gt;"")*('Kunci Adjudikasi'!N10='Kunci Adjudikasi'!AF10)+('Kunci Adjudikasi'!$E$1&gt;=3)*('Kunci Adjudikasi'!T10&lt;&gt;"")*('Kunci Adjudikasi'!Z10&lt;&gt;"")*('Kunci Adjudikasi'!T10='Kunci Adjudikasi'!Z10)+('Kunci Adjudikasi'!$E$1&gt;=4)*('Kunci Adjudikasi'!T10&lt;&gt;"")*('Kunci Adjudikasi'!AF10&lt;&gt;"")*('Kunci Adjudikasi'!T10='Kunci Adjudikasi'!AF10)+('Kunci Adjudikasi'!$E$1&gt;=4)*('Kunci Adjudikasi'!Z10&lt;&gt;"")*('Kunci Adjudikasi'!AF10&lt;&gt;"")*('Kunci Adjudikasi'!Z10='Kunci Adjudikasi'!AF10)))/(D10-1),0)</f>
        <v>0</v>
      </c>
      <c r="F10" s="20">
        <f>('Kunci Adjudikasi'!O10&lt;&gt;"")+('Kunci Adjudikasi'!U10&lt;&gt;"")+('Kunci Adjudikasi'!$E$1&gt;=3)*('Kunci Adjudikasi'!AA10&lt;&gt;"")+('Kunci Adjudikasi'!$E$1&gt;=4)*('Kunci Adjudikasi'!AG10&lt;&gt;"")</f>
        <v>0</v>
      </c>
      <c r="G10" s="20">
        <f>IF(F10&gt;=2,(F10*(F10-1)/2-(('Kunci Adjudikasi'!O10&lt;&gt;"")*('Kunci Adjudikasi'!U10&lt;&gt;"")*('Kunci Adjudikasi'!O10='Kunci Adjudikasi'!U10)+('Kunci Adjudikasi'!$E$1&gt;=3)*('Kunci Adjudikasi'!O10&lt;&gt;"")*('Kunci Adjudikasi'!AA10&lt;&gt;"")*('Kunci Adjudikasi'!O10='Kunci Adjudikasi'!AA10)+('Kunci Adjudikasi'!$E$1&gt;=4)*('Kunci Adjudikasi'!O10&lt;&gt;"")*('Kunci Adjudikasi'!AG10&lt;&gt;"")*('Kunci Adjudikasi'!O10='Kunci Adjudikasi'!AG10)+('Kunci Adjudikasi'!$E$1&gt;=3)*('Kunci Adjudikasi'!U10&lt;&gt;"")*('Kunci Adjudikasi'!AA10&lt;&gt;"")*('Kunci Adjudikasi'!U10='Kunci Adjudikasi'!AA10)+('Kunci Adjudikasi'!$E$1&gt;=4)*('Kunci Adjudikasi'!U10&lt;&gt;"")*('Kunci Adjudikasi'!AG10&lt;&gt;"")*('Kunci Adjudikasi'!U10='Kunci Adjudikasi'!AG10)+('Kunci Adjudikasi'!$E$1&gt;=4)*('Kunci Adjudikasi'!AA10&lt;&gt;"")*('Kunci Adjudikasi'!AG10&lt;&gt;"")*('Kunci Adjudikasi'!AA10='Kunci Adjudikasi'!AG10)))/(F10-1),0)</f>
        <v>0</v>
      </c>
      <c r="H10" s="20">
        <f>('Kunci Adjudikasi'!P10&lt;&gt;"")+('Kunci Adjudikasi'!V10&lt;&gt;"")+('Kunci Adjudikasi'!$E$1&gt;=3)*('Kunci Adjudikasi'!AB10&lt;&gt;"")+('Kunci Adjudikasi'!$E$1&gt;=4)*('Kunci Adjudikasi'!AH10&lt;&gt;"")</f>
        <v>0</v>
      </c>
      <c r="I10" s="20">
        <f>IF(H10&gt;=2,(H10*(H10-1)/2-(('Kunci Adjudikasi'!P10&lt;&gt;"")*('Kunci Adjudikasi'!V10&lt;&gt;"")*('Kunci Adjudikasi'!P10='Kunci Adjudikasi'!V10)+('Kunci Adjudikasi'!$E$1&gt;=3)*('Kunci Adjudikasi'!P10&lt;&gt;"")*('Kunci Adjudikasi'!AB10&lt;&gt;"")*('Kunci Adjudikasi'!P10='Kunci Adjudikasi'!AB10)+('Kunci Adjudikasi'!$E$1&gt;=4)*('Kunci Adjudikasi'!P10&lt;&gt;"")*('Kunci Adjudikasi'!AH10&lt;&gt;"")*('Kunci Adjudikasi'!P10='Kunci Adjudikasi'!AH10)+('Kunci Adjudikasi'!$E$1&gt;=3)*('Kunci Adjudikasi'!V10&lt;&gt;"")*('Kunci Adjudikasi'!AB10&lt;&gt;"")*('Kunci Adjudikasi'!V10='Kunci Adjudikasi'!AB10)+('Kunci Adjudikasi'!$E$1&gt;=4)*('Kunci Adjudikasi'!V10&lt;&gt;"")*('Kunci Adjudikasi'!AH10&lt;&gt;"")*('Kunci Adjudikasi'!V10='Kunci Adjudikasi'!AH10)+('Kunci Adjudikasi'!$E$1&gt;=4)*('Kunci Adjudikasi'!AB10&lt;&gt;"")*('Kunci Adjudikasi'!AH10&lt;&gt;"")*('Kunci Adjudikasi'!AB10='Kunci Adjudikasi'!AH10)))/(H10-1),0)</f>
        <v>0</v>
      </c>
      <c r="J10" s="20">
        <f>('Kunci Adjudikasi'!Q10&lt;&gt;"")+('Kunci Adjudikasi'!W10&lt;&gt;"")+('Kunci Adjudikasi'!$E$1&gt;=3)*('Kunci Adjudikasi'!AC10&lt;&gt;"")+('Kunci Adjudikasi'!$E$1&gt;=4)*('Kunci Adjudikasi'!AI10&lt;&gt;"")</f>
        <v>0</v>
      </c>
      <c r="K10" s="20">
        <f>IF(J10&gt;=2,(J10*(J10-1)/2-(('Kunci Adjudikasi'!Q10&lt;&gt;"")*('Kunci Adjudikasi'!W10&lt;&gt;"")*('Kunci Adjudikasi'!Q10='Kunci Adjudikasi'!W10)+('Kunci Adjudikasi'!$E$1&gt;=3)*('Kunci Adjudikasi'!Q10&lt;&gt;"")*('Kunci Adjudikasi'!AC10&lt;&gt;"")*('Kunci Adjudikasi'!Q10='Kunci Adjudikasi'!AC10)+('Kunci Adjudikasi'!$E$1&gt;=4)*('Kunci Adjudikasi'!Q10&lt;&gt;"")*('Kunci Adjudikasi'!AI10&lt;&gt;"")*('Kunci Adjudikasi'!Q10='Kunci Adjudikasi'!AI10)+('Kunci Adjudikasi'!$E$1&gt;=3)*('Kunci Adjudikasi'!W10&lt;&gt;"")*('Kunci Adjudikasi'!AC10&lt;&gt;"")*('Kunci Adjudikasi'!W10='Kunci Adjudikasi'!AC10)+('Kunci Adjudikasi'!$E$1&gt;=4)*('Kunci Adjudikasi'!W10&lt;&gt;"")*('Kunci Adjudikasi'!AI10&lt;&gt;"")*('Kunci Adjudikasi'!W10='Kunci Adjudikasi'!AI10)+('Kunci Adjudikasi'!$E$1&gt;=4)*('Kunci Adjudikasi'!AC10&lt;&gt;"")*('Kunci Adjudikasi'!AI10&lt;&gt;"")*('Kunci Adjudikasi'!AC10='Kunci Adjudikasi'!AI10)))/(J10-1),0)</f>
        <v>0</v>
      </c>
      <c r="L10" s="20">
        <f>('Kunci Adjudikasi'!R10&lt;&gt;"")+('Kunci Adjudikasi'!X10&lt;&gt;"")+('Kunci Adjudikasi'!$E$1&gt;=3)*('Kunci Adjudikasi'!AD10&lt;&gt;"")+('Kunci Adjudikasi'!$E$1&gt;=4)*('Kunci Adjudikasi'!AJ10&lt;&gt;"")</f>
        <v>0</v>
      </c>
      <c r="M10" s="20">
        <f>IF(L10&gt;=2,(L10*(L10-1)/2-(('Kunci Adjudikasi'!R10&lt;&gt;"")*('Kunci Adjudikasi'!X10&lt;&gt;"")*('Kunci Adjudikasi'!R10='Kunci Adjudikasi'!X10)+('Kunci Adjudikasi'!$E$1&gt;=3)*('Kunci Adjudikasi'!R10&lt;&gt;"")*('Kunci Adjudikasi'!AD10&lt;&gt;"")*('Kunci Adjudikasi'!R10='Kunci Adjudikasi'!AD10)+('Kunci Adjudikasi'!$E$1&gt;=4)*('Kunci Adjudikasi'!R10&lt;&gt;"")*('Kunci Adjudikasi'!AJ10&lt;&gt;"")*('Kunci Adjudikasi'!R10='Kunci Adjudikasi'!AJ10)+('Kunci Adjudikasi'!$E$1&gt;=3)*('Kunci Adjudikasi'!X10&lt;&gt;"")*('Kunci Adjudikasi'!AD10&lt;&gt;"")*('Kunci Adjudikasi'!X10='Kunci Adjudikasi'!AD10)+('Kunci Adjudikasi'!$E$1&gt;=4)*('Kunci Adjudikasi'!X10&lt;&gt;"")*('Kunci Adjudikasi'!AJ10&lt;&gt;"")*('Kunci Adjudikasi'!X10='Kunci Adjudikasi'!AJ10)+('Kunci Adjudikasi'!$E$1&gt;=4)*('Kunci Adjudikasi'!AD10&lt;&gt;"")*('Kunci Adjudikasi'!AJ10&lt;&gt;"")*('Kunci Adjudikasi'!AD10='Kunci Adjudikasi'!AJ10)))/(L10-1),0)</f>
        <v>0</v>
      </c>
      <c r="N10" s="20">
        <f>(LEFT('Kunci Adjudikasi'!N10,2)="R0")+(LEFT('Kunci Adjudikasi'!T10,2)="R0")+('Kunci Adjudikasi'!$E$1&gt;=3)*(LEFT('Kunci Adjudikasi'!Z10,2)="R0")+('Kunci Adjudikasi'!$E$1&gt;=4)*(LEFT('Kunci Adjudikasi'!AF10,2)="R0")</f>
        <v>0</v>
      </c>
      <c r="O10" s="20">
        <f>(LEFT('Kunci Adjudikasi'!N10,2)="R1")+(LEFT('Kunci Adjudikasi'!T10,2)="R1")+('Kunci Adjudikasi'!$E$1&gt;=3)*(LEFT('Kunci Adjudikasi'!Z10,2)="R1")+('Kunci Adjudikasi'!$E$1&gt;=4)*(LEFT('Kunci Adjudikasi'!AF10,2)="R1")</f>
        <v>0</v>
      </c>
      <c r="P10" s="20">
        <f>(LEFT('Kunci Adjudikasi'!N10,2)="R2")+(LEFT('Kunci Adjudikasi'!T10,2)="R2")+('Kunci Adjudikasi'!$E$1&gt;=3)*(LEFT('Kunci Adjudikasi'!Z10,2)="R2")+('Kunci Adjudikasi'!$E$1&gt;=4)*(LEFT('Kunci Adjudikasi'!AF10,2)="R2")</f>
        <v>0</v>
      </c>
      <c r="Q10" s="20">
        <f t="shared" ref="Q10:Q73" si="43">IF(D10&gt;=2,N10*O10/(D10-1),0)</f>
        <v>0</v>
      </c>
      <c r="R10" s="20">
        <f t="shared" ref="R10:R73" si="44">IF(D10&gt;=2,O10*P10/(D10-1),0)</f>
        <v>0</v>
      </c>
      <c r="S10" s="20">
        <f t="shared" ref="S10:S73" si="45">IF(D10&gt;=2,N10*P10/(D10-1),0)</f>
        <v>0</v>
      </c>
    </row>
    <row r="11">
      <c r="A11" s="20">
        <f>'Kunci Adjudikasi'!A11</f>
        <v>8</v>
      </c>
      <c r="B11" s="20">
        <f>('Kunci Adjudikasi'!M11&lt;&gt;"")+('Kunci Adjudikasi'!S11&lt;&gt;"")+('Kunci Adjudikasi'!$E$1&gt;=3)*('Kunci Adjudikasi'!Y11&lt;&gt;"")+('Kunci Adjudikasi'!$E$1&gt;=4)*('Kunci Adjudikasi'!AE11&lt;&gt;"")</f>
        <v>0</v>
      </c>
      <c r="C11" s="20">
        <f>IF(B11&gt;=2,(B11*(B11-1)/2-(('Kunci Adjudikasi'!M11&lt;&gt;"")*('Kunci Adjudikasi'!S11&lt;&gt;"")*('Kunci Adjudikasi'!M11='Kunci Adjudikasi'!S11)+('Kunci Adjudikasi'!$E$1&gt;=3)*('Kunci Adjudikasi'!M11&lt;&gt;"")*('Kunci Adjudikasi'!Y11&lt;&gt;"")*('Kunci Adjudikasi'!M11='Kunci Adjudikasi'!Y11)+('Kunci Adjudikasi'!$E$1&gt;=4)*('Kunci Adjudikasi'!M11&lt;&gt;"")*('Kunci Adjudikasi'!AE11&lt;&gt;"")*('Kunci Adjudikasi'!M11='Kunci Adjudikasi'!AE11)+('Kunci Adjudikasi'!$E$1&gt;=3)*('Kunci Adjudikasi'!S11&lt;&gt;"")*('Kunci Adjudikasi'!Y11&lt;&gt;"")*('Kunci Adjudikasi'!S11='Kunci Adjudikasi'!Y11)+('Kunci Adjudikasi'!$E$1&gt;=4)*('Kunci Adjudikasi'!S11&lt;&gt;"")*('Kunci Adjudikasi'!AE11&lt;&gt;"")*('Kunci Adjudikasi'!S11='Kunci Adjudikasi'!AE11)+('Kunci Adjudikasi'!$E$1&gt;=4)*('Kunci Adjudikasi'!Y11&lt;&gt;"")*('Kunci Adjudikasi'!AE11&lt;&gt;"")*('Kunci Adjudikasi'!Y11='Kunci Adjudikasi'!AE11)))/(B11-1),0)</f>
        <v>0</v>
      </c>
      <c r="D11" s="20">
        <f>('Kunci Adjudikasi'!N11&lt;&gt;"")+('Kunci Adjudikasi'!T11&lt;&gt;"")+('Kunci Adjudikasi'!$E$1&gt;=3)*('Kunci Adjudikasi'!Z11&lt;&gt;"")+('Kunci Adjudikasi'!$E$1&gt;=4)*('Kunci Adjudikasi'!AF11&lt;&gt;"")</f>
        <v>0</v>
      </c>
      <c r="E11" s="20">
        <f>IF(D11&gt;=2,(D11*(D11-1)/2-(('Kunci Adjudikasi'!N11&lt;&gt;"")*('Kunci Adjudikasi'!T11&lt;&gt;"")*('Kunci Adjudikasi'!N11='Kunci Adjudikasi'!T11)+('Kunci Adjudikasi'!$E$1&gt;=3)*('Kunci Adjudikasi'!N11&lt;&gt;"")*('Kunci Adjudikasi'!Z11&lt;&gt;"")*('Kunci Adjudikasi'!N11='Kunci Adjudikasi'!Z11)+('Kunci Adjudikasi'!$E$1&gt;=4)*('Kunci Adjudikasi'!N11&lt;&gt;"")*('Kunci Adjudikasi'!AF11&lt;&gt;"")*('Kunci Adjudikasi'!N11='Kunci Adjudikasi'!AF11)+('Kunci Adjudikasi'!$E$1&gt;=3)*('Kunci Adjudikasi'!T11&lt;&gt;"")*('Kunci Adjudikasi'!Z11&lt;&gt;"")*('Kunci Adjudikasi'!T11='Kunci Adjudikasi'!Z11)+('Kunci Adjudikasi'!$E$1&gt;=4)*('Kunci Adjudikasi'!T11&lt;&gt;"")*('Kunci Adjudikasi'!AF11&lt;&gt;"")*('Kunci Adjudikasi'!T11='Kunci Adjudikasi'!AF11)+('Kunci Adjudikasi'!$E$1&gt;=4)*('Kunci Adjudikasi'!Z11&lt;&gt;"")*('Kunci Adjudikasi'!AF11&lt;&gt;"")*('Kunci Adjudikasi'!Z11='Kunci Adjudikasi'!AF11)))/(D11-1),0)</f>
        <v>0</v>
      </c>
      <c r="F11" s="20">
        <f>('Kunci Adjudikasi'!O11&lt;&gt;"")+('Kunci Adjudikasi'!U11&lt;&gt;"")+('Kunci Adjudikasi'!$E$1&gt;=3)*('Kunci Adjudikasi'!AA11&lt;&gt;"")+('Kunci Adjudikasi'!$E$1&gt;=4)*('Kunci Adjudikasi'!AG11&lt;&gt;"")</f>
        <v>0</v>
      </c>
      <c r="G11" s="20">
        <f>IF(F11&gt;=2,(F11*(F11-1)/2-(('Kunci Adjudikasi'!O11&lt;&gt;"")*('Kunci Adjudikasi'!U11&lt;&gt;"")*('Kunci Adjudikasi'!O11='Kunci Adjudikasi'!U11)+('Kunci Adjudikasi'!$E$1&gt;=3)*('Kunci Adjudikasi'!O11&lt;&gt;"")*('Kunci Adjudikasi'!AA11&lt;&gt;"")*('Kunci Adjudikasi'!O11='Kunci Adjudikasi'!AA11)+('Kunci Adjudikasi'!$E$1&gt;=4)*('Kunci Adjudikasi'!O11&lt;&gt;"")*('Kunci Adjudikasi'!AG11&lt;&gt;"")*('Kunci Adjudikasi'!O11='Kunci Adjudikasi'!AG11)+('Kunci Adjudikasi'!$E$1&gt;=3)*('Kunci Adjudikasi'!U11&lt;&gt;"")*('Kunci Adjudikasi'!AA11&lt;&gt;"")*('Kunci Adjudikasi'!U11='Kunci Adjudikasi'!AA11)+('Kunci Adjudikasi'!$E$1&gt;=4)*('Kunci Adjudikasi'!U11&lt;&gt;"")*('Kunci Adjudikasi'!AG11&lt;&gt;"")*('Kunci Adjudikasi'!U11='Kunci Adjudikasi'!AG11)+('Kunci Adjudikasi'!$E$1&gt;=4)*('Kunci Adjudikasi'!AA11&lt;&gt;"")*('Kunci Adjudikasi'!AG11&lt;&gt;"")*('Kunci Adjudikasi'!AA11='Kunci Adjudikasi'!AG11)))/(F11-1),0)</f>
        <v>0</v>
      </c>
      <c r="H11" s="20">
        <f>('Kunci Adjudikasi'!P11&lt;&gt;"")+('Kunci Adjudikasi'!V11&lt;&gt;"")+('Kunci Adjudikasi'!$E$1&gt;=3)*('Kunci Adjudikasi'!AB11&lt;&gt;"")+('Kunci Adjudikasi'!$E$1&gt;=4)*('Kunci Adjudikasi'!AH11&lt;&gt;"")</f>
        <v>0</v>
      </c>
      <c r="I11" s="20">
        <f>IF(H11&gt;=2,(H11*(H11-1)/2-(('Kunci Adjudikasi'!P11&lt;&gt;"")*('Kunci Adjudikasi'!V11&lt;&gt;"")*('Kunci Adjudikasi'!P11='Kunci Adjudikasi'!V11)+('Kunci Adjudikasi'!$E$1&gt;=3)*('Kunci Adjudikasi'!P11&lt;&gt;"")*('Kunci Adjudikasi'!AB11&lt;&gt;"")*('Kunci Adjudikasi'!P11='Kunci Adjudikasi'!AB11)+('Kunci Adjudikasi'!$E$1&gt;=4)*('Kunci Adjudikasi'!P11&lt;&gt;"")*('Kunci Adjudikasi'!AH11&lt;&gt;"")*('Kunci Adjudikasi'!P11='Kunci Adjudikasi'!AH11)+('Kunci Adjudikasi'!$E$1&gt;=3)*('Kunci Adjudikasi'!V11&lt;&gt;"")*('Kunci Adjudikasi'!AB11&lt;&gt;"")*('Kunci Adjudikasi'!V11='Kunci Adjudikasi'!AB11)+('Kunci Adjudikasi'!$E$1&gt;=4)*('Kunci Adjudikasi'!V11&lt;&gt;"")*('Kunci Adjudikasi'!AH11&lt;&gt;"")*('Kunci Adjudikasi'!V11='Kunci Adjudikasi'!AH11)+('Kunci Adjudikasi'!$E$1&gt;=4)*('Kunci Adjudikasi'!AB11&lt;&gt;"")*('Kunci Adjudikasi'!AH11&lt;&gt;"")*('Kunci Adjudikasi'!AB11='Kunci Adjudikasi'!AH11)))/(H11-1),0)</f>
        <v>0</v>
      </c>
      <c r="J11" s="20">
        <f>('Kunci Adjudikasi'!Q11&lt;&gt;"")+('Kunci Adjudikasi'!W11&lt;&gt;"")+('Kunci Adjudikasi'!$E$1&gt;=3)*('Kunci Adjudikasi'!AC11&lt;&gt;"")+('Kunci Adjudikasi'!$E$1&gt;=4)*('Kunci Adjudikasi'!AI11&lt;&gt;"")</f>
        <v>0</v>
      </c>
      <c r="K11" s="20">
        <f>IF(J11&gt;=2,(J11*(J11-1)/2-(('Kunci Adjudikasi'!Q11&lt;&gt;"")*('Kunci Adjudikasi'!W11&lt;&gt;"")*('Kunci Adjudikasi'!Q11='Kunci Adjudikasi'!W11)+('Kunci Adjudikasi'!$E$1&gt;=3)*('Kunci Adjudikasi'!Q11&lt;&gt;"")*('Kunci Adjudikasi'!AC11&lt;&gt;"")*('Kunci Adjudikasi'!Q11='Kunci Adjudikasi'!AC11)+('Kunci Adjudikasi'!$E$1&gt;=4)*('Kunci Adjudikasi'!Q11&lt;&gt;"")*('Kunci Adjudikasi'!AI11&lt;&gt;"")*('Kunci Adjudikasi'!Q11='Kunci Adjudikasi'!AI11)+('Kunci Adjudikasi'!$E$1&gt;=3)*('Kunci Adjudikasi'!W11&lt;&gt;"")*('Kunci Adjudikasi'!AC11&lt;&gt;"")*('Kunci Adjudikasi'!W11='Kunci Adjudikasi'!AC11)+('Kunci Adjudikasi'!$E$1&gt;=4)*('Kunci Adjudikasi'!W11&lt;&gt;"")*('Kunci Adjudikasi'!AI11&lt;&gt;"")*('Kunci Adjudikasi'!W11='Kunci Adjudikasi'!AI11)+('Kunci Adjudikasi'!$E$1&gt;=4)*('Kunci Adjudikasi'!AC11&lt;&gt;"")*('Kunci Adjudikasi'!AI11&lt;&gt;"")*('Kunci Adjudikasi'!AC11='Kunci Adjudikasi'!AI11)))/(J11-1),0)</f>
        <v>0</v>
      </c>
      <c r="L11" s="20">
        <f>('Kunci Adjudikasi'!R11&lt;&gt;"")+('Kunci Adjudikasi'!X11&lt;&gt;"")+('Kunci Adjudikasi'!$E$1&gt;=3)*('Kunci Adjudikasi'!AD11&lt;&gt;"")+('Kunci Adjudikasi'!$E$1&gt;=4)*('Kunci Adjudikasi'!AJ11&lt;&gt;"")</f>
        <v>0</v>
      </c>
      <c r="M11" s="20">
        <f>IF(L11&gt;=2,(L11*(L11-1)/2-(('Kunci Adjudikasi'!R11&lt;&gt;"")*('Kunci Adjudikasi'!X11&lt;&gt;"")*('Kunci Adjudikasi'!R11='Kunci Adjudikasi'!X11)+('Kunci Adjudikasi'!$E$1&gt;=3)*('Kunci Adjudikasi'!R11&lt;&gt;"")*('Kunci Adjudikasi'!AD11&lt;&gt;"")*('Kunci Adjudikasi'!R11='Kunci Adjudikasi'!AD11)+('Kunci Adjudikasi'!$E$1&gt;=4)*('Kunci Adjudikasi'!R11&lt;&gt;"")*('Kunci Adjudikasi'!AJ11&lt;&gt;"")*('Kunci Adjudikasi'!R11='Kunci Adjudikasi'!AJ11)+('Kunci Adjudikasi'!$E$1&gt;=3)*('Kunci Adjudikasi'!X11&lt;&gt;"")*('Kunci Adjudikasi'!AD11&lt;&gt;"")*('Kunci Adjudikasi'!X11='Kunci Adjudikasi'!AD11)+('Kunci Adjudikasi'!$E$1&gt;=4)*('Kunci Adjudikasi'!X11&lt;&gt;"")*('Kunci Adjudikasi'!AJ11&lt;&gt;"")*('Kunci Adjudikasi'!X11='Kunci Adjudikasi'!AJ11)+('Kunci Adjudikasi'!$E$1&gt;=4)*('Kunci Adjudikasi'!AD11&lt;&gt;"")*('Kunci Adjudikasi'!AJ11&lt;&gt;"")*('Kunci Adjudikasi'!AD11='Kunci Adjudikasi'!AJ11)))/(L11-1),0)</f>
        <v>0</v>
      </c>
      <c r="N11" s="20">
        <f>(LEFT('Kunci Adjudikasi'!N11,2)="R0")+(LEFT('Kunci Adjudikasi'!T11,2)="R0")+('Kunci Adjudikasi'!$E$1&gt;=3)*(LEFT('Kunci Adjudikasi'!Z11,2)="R0")+('Kunci Adjudikasi'!$E$1&gt;=4)*(LEFT('Kunci Adjudikasi'!AF11,2)="R0")</f>
        <v>0</v>
      </c>
      <c r="O11" s="20">
        <f>(LEFT('Kunci Adjudikasi'!N11,2)="R1")+(LEFT('Kunci Adjudikasi'!T11,2)="R1")+('Kunci Adjudikasi'!$E$1&gt;=3)*(LEFT('Kunci Adjudikasi'!Z11,2)="R1")+('Kunci Adjudikasi'!$E$1&gt;=4)*(LEFT('Kunci Adjudikasi'!AF11,2)="R1")</f>
        <v>0</v>
      </c>
      <c r="P11" s="20">
        <f>(LEFT('Kunci Adjudikasi'!N11,2)="R2")+(LEFT('Kunci Adjudikasi'!T11,2)="R2")+('Kunci Adjudikasi'!$E$1&gt;=3)*(LEFT('Kunci Adjudikasi'!Z11,2)="R2")+('Kunci Adjudikasi'!$E$1&gt;=4)*(LEFT('Kunci Adjudikasi'!AF11,2)="R2")</f>
        <v>0</v>
      </c>
      <c r="Q11" s="20">
        <f t="shared" si="43"/>
        <v>0</v>
      </c>
      <c r="R11" s="20">
        <f t="shared" si="44"/>
        <v>0</v>
      </c>
      <c r="S11" s="20">
        <f t="shared" si="45"/>
        <v>0</v>
      </c>
    </row>
    <row r="12">
      <c r="A12" s="20">
        <f>'Kunci Adjudikasi'!A12</f>
        <v>9</v>
      </c>
      <c r="B12" s="20">
        <f>('Kunci Adjudikasi'!M12&lt;&gt;"")+('Kunci Adjudikasi'!S12&lt;&gt;"")+('Kunci Adjudikasi'!$E$1&gt;=3)*('Kunci Adjudikasi'!Y12&lt;&gt;"")+('Kunci Adjudikasi'!$E$1&gt;=4)*('Kunci Adjudikasi'!AE12&lt;&gt;"")</f>
        <v>0</v>
      </c>
      <c r="C12" s="20">
        <f>IF(B12&gt;=2,(B12*(B12-1)/2-(('Kunci Adjudikasi'!M12&lt;&gt;"")*('Kunci Adjudikasi'!S12&lt;&gt;"")*('Kunci Adjudikasi'!M12='Kunci Adjudikasi'!S12)+('Kunci Adjudikasi'!$E$1&gt;=3)*('Kunci Adjudikasi'!M12&lt;&gt;"")*('Kunci Adjudikasi'!Y12&lt;&gt;"")*('Kunci Adjudikasi'!M12='Kunci Adjudikasi'!Y12)+('Kunci Adjudikasi'!$E$1&gt;=4)*('Kunci Adjudikasi'!M12&lt;&gt;"")*('Kunci Adjudikasi'!AE12&lt;&gt;"")*('Kunci Adjudikasi'!M12='Kunci Adjudikasi'!AE12)+('Kunci Adjudikasi'!$E$1&gt;=3)*('Kunci Adjudikasi'!S12&lt;&gt;"")*('Kunci Adjudikasi'!Y12&lt;&gt;"")*('Kunci Adjudikasi'!S12='Kunci Adjudikasi'!Y12)+('Kunci Adjudikasi'!$E$1&gt;=4)*('Kunci Adjudikasi'!S12&lt;&gt;"")*('Kunci Adjudikasi'!AE12&lt;&gt;"")*('Kunci Adjudikasi'!S12='Kunci Adjudikasi'!AE12)+('Kunci Adjudikasi'!$E$1&gt;=4)*('Kunci Adjudikasi'!Y12&lt;&gt;"")*('Kunci Adjudikasi'!AE12&lt;&gt;"")*('Kunci Adjudikasi'!Y12='Kunci Adjudikasi'!AE12)))/(B12-1),0)</f>
        <v>0</v>
      </c>
      <c r="D12" s="20">
        <f>('Kunci Adjudikasi'!N12&lt;&gt;"")+('Kunci Adjudikasi'!T12&lt;&gt;"")+('Kunci Adjudikasi'!$E$1&gt;=3)*('Kunci Adjudikasi'!Z12&lt;&gt;"")+('Kunci Adjudikasi'!$E$1&gt;=4)*('Kunci Adjudikasi'!AF12&lt;&gt;"")</f>
        <v>0</v>
      </c>
      <c r="E12" s="20">
        <f>IF(D12&gt;=2,(D12*(D12-1)/2-(('Kunci Adjudikasi'!N12&lt;&gt;"")*('Kunci Adjudikasi'!T12&lt;&gt;"")*('Kunci Adjudikasi'!N12='Kunci Adjudikasi'!T12)+('Kunci Adjudikasi'!$E$1&gt;=3)*('Kunci Adjudikasi'!N12&lt;&gt;"")*('Kunci Adjudikasi'!Z12&lt;&gt;"")*('Kunci Adjudikasi'!N12='Kunci Adjudikasi'!Z12)+('Kunci Adjudikasi'!$E$1&gt;=4)*('Kunci Adjudikasi'!N12&lt;&gt;"")*('Kunci Adjudikasi'!AF12&lt;&gt;"")*('Kunci Adjudikasi'!N12='Kunci Adjudikasi'!AF12)+('Kunci Adjudikasi'!$E$1&gt;=3)*('Kunci Adjudikasi'!T12&lt;&gt;"")*('Kunci Adjudikasi'!Z12&lt;&gt;"")*('Kunci Adjudikasi'!T12='Kunci Adjudikasi'!Z12)+('Kunci Adjudikasi'!$E$1&gt;=4)*('Kunci Adjudikasi'!T12&lt;&gt;"")*('Kunci Adjudikasi'!AF12&lt;&gt;"")*('Kunci Adjudikasi'!T12='Kunci Adjudikasi'!AF12)+('Kunci Adjudikasi'!$E$1&gt;=4)*('Kunci Adjudikasi'!Z12&lt;&gt;"")*('Kunci Adjudikasi'!AF12&lt;&gt;"")*('Kunci Adjudikasi'!Z12='Kunci Adjudikasi'!AF12)))/(D12-1),0)</f>
        <v>0</v>
      </c>
      <c r="F12" s="20">
        <f>('Kunci Adjudikasi'!O12&lt;&gt;"")+('Kunci Adjudikasi'!U12&lt;&gt;"")+('Kunci Adjudikasi'!$E$1&gt;=3)*('Kunci Adjudikasi'!AA12&lt;&gt;"")+('Kunci Adjudikasi'!$E$1&gt;=4)*('Kunci Adjudikasi'!AG12&lt;&gt;"")</f>
        <v>0</v>
      </c>
      <c r="G12" s="20">
        <f>IF(F12&gt;=2,(F12*(F12-1)/2-(('Kunci Adjudikasi'!O12&lt;&gt;"")*('Kunci Adjudikasi'!U12&lt;&gt;"")*('Kunci Adjudikasi'!O12='Kunci Adjudikasi'!U12)+('Kunci Adjudikasi'!$E$1&gt;=3)*('Kunci Adjudikasi'!O12&lt;&gt;"")*('Kunci Adjudikasi'!AA12&lt;&gt;"")*('Kunci Adjudikasi'!O12='Kunci Adjudikasi'!AA12)+('Kunci Adjudikasi'!$E$1&gt;=4)*('Kunci Adjudikasi'!O12&lt;&gt;"")*('Kunci Adjudikasi'!AG12&lt;&gt;"")*('Kunci Adjudikasi'!O12='Kunci Adjudikasi'!AG12)+('Kunci Adjudikasi'!$E$1&gt;=3)*('Kunci Adjudikasi'!U12&lt;&gt;"")*('Kunci Adjudikasi'!AA12&lt;&gt;"")*('Kunci Adjudikasi'!U12='Kunci Adjudikasi'!AA12)+('Kunci Adjudikasi'!$E$1&gt;=4)*('Kunci Adjudikasi'!U12&lt;&gt;"")*('Kunci Adjudikasi'!AG12&lt;&gt;"")*('Kunci Adjudikasi'!U12='Kunci Adjudikasi'!AG12)+('Kunci Adjudikasi'!$E$1&gt;=4)*('Kunci Adjudikasi'!AA12&lt;&gt;"")*('Kunci Adjudikasi'!AG12&lt;&gt;"")*('Kunci Adjudikasi'!AA12='Kunci Adjudikasi'!AG12)))/(F12-1),0)</f>
        <v>0</v>
      </c>
      <c r="H12" s="20">
        <f>('Kunci Adjudikasi'!P12&lt;&gt;"")+('Kunci Adjudikasi'!V12&lt;&gt;"")+('Kunci Adjudikasi'!$E$1&gt;=3)*('Kunci Adjudikasi'!AB12&lt;&gt;"")+('Kunci Adjudikasi'!$E$1&gt;=4)*('Kunci Adjudikasi'!AH12&lt;&gt;"")</f>
        <v>0</v>
      </c>
      <c r="I12" s="20">
        <f>IF(H12&gt;=2,(H12*(H12-1)/2-(('Kunci Adjudikasi'!P12&lt;&gt;"")*('Kunci Adjudikasi'!V12&lt;&gt;"")*('Kunci Adjudikasi'!P12='Kunci Adjudikasi'!V12)+('Kunci Adjudikasi'!$E$1&gt;=3)*('Kunci Adjudikasi'!P12&lt;&gt;"")*('Kunci Adjudikasi'!AB12&lt;&gt;"")*('Kunci Adjudikasi'!P12='Kunci Adjudikasi'!AB12)+('Kunci Adjudikasi'!$E$1&gt;=4)*('Kunci Adjudikasi'!P12&lt;&gt;"")*('Kunci Adjudikasi'!AH12&lt;&gt;"")*('Kunci Adjudikasi'!P12='Kunci Adjudikasi'!AH12)+('Kunci Adjudikasi'!$E$1&gt;=3)*('Kunci Adjudikasi'!V12&lt;&gt;"")*('Kunci Adjudikasi'!AB12&lt;&gt;"")*('Kunci Adjudikasi'!V12='Kunci Adjudikasi'!AB12)+('Kunci Adjudikasi'!$E$1&gt;=4)*('Kunci Adjudikasi'!V12&lt;&gt;"")*('Kunci Adjudikasi'!AH12&lt;&gt;"")*('Kunci Adjudikasi'!V12='Kunci Adjudikasi'!AH12)+('Kunci Adjudikasi'!$E$1&gt;=4)*('Kunci Adjudikasi'!AB12&lt;&gt;"")*('Kunci Adjudikasi'!AH12&lt;&gt;"")*('Kunci Adjudikasi'!AB12='Kunci Adjudikasi'!AH12)))/(H12-1),0)</f>
        <v>0</v>
      </c>
      <c r="J12" s="20">
        <f>('Kunci Adjudikasi'!Q12&lt;&gt;"")+('Kunci Adjudikasi'!W12&lt;&gt;"")+('Kunci Adjudikasi'!$E$1&gt;=3)*('Kunci Adjudikasi'!AC12&lt;&gt;"")+('Kunci Adjudikasi'!$E$1&gt;=4)*('Kunci Adjudikasi'!AI12&lt;&gt;"")</f>
        <v>0</v>
      </c>
      <c r="K12" s="20">
        <f>IF(J12&gt;=2,(J12*(J12-1)/2-(('Kunci Adjudikasi'!Q12&lt;&gt;"")*('Kunci Adjudikasi'!W12&lt;&gt;"")*('Kunci Adjudikasi'!Q12='Kunci Adjudikasi'!W12)+('Kunci Adjudikasi'!$E$1&gt;=3)*('Kunci Adjudikasi'!Q12&lt;&gt;"")*('Kunci Adjudikasi'!AC12&lt;&gt;"")*('Kunci Adjudikasi'!Q12='Kunci Adjudikasi'!AC12)+('Kunci Adjudikasi'!$E$1&gt;=4)*('Kunci Adjudikasi'!Q12&lt;&gt;"")*('Kunci Adjudikasi'!AI12&lt;&gt;"")*('Kunci Adjudikasi'!Q12='Kunci Adjudikasi'!AI12)+('Kunci Adjudikasi'!$E$1&gt;=3)*('Kunci Adjudikasi'!W12&lt;&gt;"")*('Kunci Adjudikasi'!AC12&lt;&gt;"")*('Kunci Adjudikasi'!W12='Kunci Adjudikasi'!AC12)+('Kunci Adjudikasi'!$E$1&gt;=4)*('Kunci Adjudikasi'!W12&lt;&gt;"")*('Kunci Adjudikasi'!AI12&lt;&gt;"")*('Kunci Adjudikasi'!W12='Kunci Adjudikasi'!AI12)+('Kunci Adjudikasi'!$E$1&gt;=4)*('Kunci Adjudikasi'!AC12&lt;&gt;"")*('Kunci Adjudikasi'!AI12&lt;&gt;"")*('Kunci Adjudikasi'!AC12='Kunci Adjudikasi'!AI12)))/(J12-1),0)</f>
        <v>0</v>
      </c>
      <c r="L12" s="20">
        <f>('Kunci Adjudikasi'!R12&lt;&gt;"")+('Kunci Adjudikasi'!X12&lt;&gt;"")+('Kunci Adjudikasi'!$E$1&gt;=3)*('Kunci Adjudikasi'!AD12&lt;&gt;"")+('Kunci Adjudikasi'!$E$1&gt;=4)*('Kunci Adjudikasi'!AJ12&lt;&gt;"")</f>
        <v>0</v>
      </c>
      <c r="M12" s="20">
        <f>IF(L12&gt;=2,(L12*(L12-1)/2-(('Kunci Adjudikasi'!R12&lt;&gt;"")*('Kunci Adjudikasi'!X12&lt;&gt;"")*('Kunci Adjudikasi'!R12='Kunci Adjudikasi'!X12)+('Kunci Adjudikasi'!$E$1&gt;=3)*('Kunci Adjudikasi'!R12&lt;&gt;"")*('Kunci Adjudikasi'!AD12&lt;&gt;"")*('Kunci Adjudikasi'!R12='Kunci Adjudikasi'!AD12)+('Kunci Adjudikasi'!$E$1&gt;=4)*('Kunci Adjudikasi'!R12&lt;&gt;"")*('Kunci Adjudikasi'!AJ12&lt;&gt;"")*('Kunci Adjudikasi'!R12='Kunci Adjudikasi'!AJ12)+('Kunci Adjudikasi'!$E$1&gt;=3)*('Kunci Adjudikasi'!X12&lt;&gt;"")*('Kunci Adjudikasi'!AD12&lt;&gt;"")*('Kunci Adjudikasi'!X12='Kunci Adjudikasi'!AD12)+('Kunci Adjudikasi'!$E$1&gt;=4)*('Kunci Adjudikasi'!X12&lt;&gt;"")*('Kunci Adjudikasi'!AJ12&lt;&gt;"")*('Kunci Adjudikasi'!X12='Kunci Adjudikasi'!AJ12)+('Kunci Adjudikasi'!$E$1&gt;=4)*('Kunci Adjudikasi'!AD12&lt;&gt;"")*('Kunci Adjudikasi'!AJ12&lt;&gt;"")*('Kunci Adjudikasi'!AD12='Kunci Adjudikasi'!AJ12)))/(L12-1),0)</f>
        <v>0</v>
      </c>
      <c r="N12" s="20">
        <f>(LEFT('Kunci Adjudikasi'!N12,2)="R0")+(LEFT('Kunci Adjudikasi'!T12,2)="R0")+('Kunci Adjudikasi'!$E$1&gt;=3)*(LEFT('Kunci Adjudikasi'!Z12,2)="R0")+('Kunci Adjudikasi'!$E$1&gt;=4)*(LEFT('Kunci Adjudikasi'!AF12,2)="R0")</f>
        <v>0</v>
      </c>
      <c r="O12" s="20">
        <f>(LEFT('Kunci Adjudikasi'!N12,2)="R1")+(LEFT('Kunci Adjudikasi'!T12,2)="R1")+('Kunci Adjudikasi'!$E$1&gt;=3)*(LEFT('Kunci Adjudikasi'!Z12,2)="R1")+('Kunci Adjudikasi'!$E$1&gt;=4)*(LEFT('Kunci Adjudikasi'!AF12,2)="R1")</f>
        <v>0</v>
      </c>
      <c r="P12" s="20">
        <f>(LEFT('Kunci Adjudikasi'!N12,2)="R2")+(LEFT('Kunci Adjudikasi'!T12,2)="R2")+('Kunci Adjudikasi'!$E$1&gt;=3)*(LEFT('Kunci Adjudikasi'!Z12,2)="R2")+('Kunci Adjudikasi'!$E$1&gt;=4)*(LEFT('Kunci Adjudikasi'!AF12,2)="R2")</f>
        <v>0</v>
      </c>
      <c r="Q12" s="20">
        <f t="shared" si="43"/>
        <v>0</v>
      </c>
      <c r="R12" s="20">
        <f t="shared" si="44"/>
        <v>0</v>
      </c>
      <c r="S12" s="20">
        <f t="shared" si="45"/>
        <v>0</v>
      </c>
    </row>
    <row r="13">
      <c r="A13" s="20">
        <f>'Kunci Adjudikasi'!A13</f>
        <v>10</v>
      </c>
      <c r="B13" s="20">
        <f>('Kunci Adjudikasi'!M13&lt;&gt;"")+('Kunci Adjudikasi'!S13&lt;&gt;"")+('Kunci Adjudikasi'!$E$1&gt;=3)*('Kunci Adjudikasi'!Y13&lt;&gt;"")+('Kunci Adjudikasi'!$E$1&gt;=4)*('Kunci Adjudikasi'!AE13&lt;&gt;"")</f>
        <v>0</v>
      </c>
      <c r="C13" s="20">
        <f>IF(B13&gt;=2,(B13*(B13-1)/2-(('Kunci Adjudikasi'!M13&lt;&gt;"")*('Kunci Adjudikasi'!S13&lt;&gt;"")*('Kunci Adjudikasi'!M13='Kunci Adjudikasi'!S13)+('Kunci Adjudikasi'!$E$1&gt;=3)*('Kunci Adjudikasi'!M13&lt;&gt;"")*('Kunci Adjudikasi'!Y13&lt;&gt;"")*('Kunci Adjudikasi'!M13='Kunci Adjudikasi'!Y13)+('Kunci Adjudikasi'!$E$1&gt;=4)*('Kunci Adjudikasi'!M13&lt;&gt;"")*('Kunci Adjudikasi'!AE13&lt;&gt;"")*('Kunci Adjudikasi'!M13='Kunci Adjudikasi'!AE13)+('Kunci Adjudikasi'!$E$1&gt;=3)*('Kunci Adjudikasi'!S13&lt;&gt;"")*('Kunci Adjudikasi'!Y13&lt;&gt;"")*('Kunci Adjudikasi'!S13='Kunci Adjudikasi'!Y13)+('Kunci Adjudikasi'!$E$1&gt;=4)*('Kunci Adjudikasi'!S13&lt;&gt;"")*('Kunci Adjudikasi'!AE13&lt;&gt;"")*('Kunci Adjudikasi'!S13='Kunci Adjudikasi'!AE13)+('Kunci Adjudikasi'!$E$1&gt;=4)*('Kunci Adjudikasi'!Y13&lt;&gt;"")*('Kunci Adjudikasi'!AE13&lt;&gt;"")*('Kunci Adjudikasi'!Y13='Kunci Adjudikasi'!AE13)))/(B13-1),0)</f>
        <v>0</v>
      </c>
      <c r="D13" s="20">
        <f>('Kunci Adjudikasi'!N13&lt;&gt;"")+('Kunci Adjudikasi'!T13&lt;&gt;"")+('Kunci Adjudikasi'!$E$1&gt;=3)*('Kunci Adjudikasi'!Z13&lt;&gt;"")+('Kunci Adjudikasi'!$E$1&gt;=4)*('Kunci Adjudikasi'!AF13&lt;&gt;"")</f>
        <v>0</v>
      </c>
      <c r="E13" s="20">
        <f>IF(D13&gt;=2,(D13*(D13-1)/2-(('Kunci Adjudikasi'!N13&lt;&gt;"")*('Kunci Adjudikasi'!T13&lt;&gt;"")*('Kunci Adjudikasi'!N13='Kunci Adjudikasi'!T13)+('Kunci Adjudikasi'!$E$1&gt;=3)*('Kunci Adjudikasi'!N13&lt;&gt;"")*('Kunci Adjudikasi'!Z13&lt;&gt;"")*('Kunci Adjudikasi'!N13='Kunci Adjudikasi'!Z13)+('Kunci Adjudikasi'!$E$1&gt;=4)*('Kunci Adjudikasi'!N13&lt;&gt;"")*('Kunci Adjudikasi'!AF13&lt;&gt;"")*('Kunci Adjudikasi'!N13='Kunci Adjudikasi'!AF13)+('Kunci Adjudikasi'!$E$1&gt;=3)*('Kunci Adjudikasi'!T13&lt;&gt;"")*('Kunci Adjudikasi'!Z13&lt;&gt;"")*('Kunci Adjudikasi'!T13='Kunci Adjudikasi'!Z13)+('Kunci Adjudikasi'!$E$1&gt;=4)*('Kunci Adjudikasi'!T13&lt;&gt;"")*('Kunci Adjudikasi'!AF13&lt;&gt;"")*('Kunci Adjudikasi'!T13='Kunci Adjudikasi'!AF13)+('Kunci Adjudikasi'!$E$1&gt;=4)*('Kunci Adjudikasi'!Z13&lt;&gt;"")*('Kunci Adjudikasi'!AF13&lt;&gt;"")*('Kunci Adjudikasi'!Z13='Kunci Adjudikasi'!AF13)))/(D13-1),0)</f>
        <v>0</v>
      </c>
      <c r="F13" s="20">
        <f>('Kunci Adjudikasi'!O13&lt;&gt;"")+('Kunci Adjudikasi'!U13&lt;&gt;"")+('Kunci Adjudikasi'!$E$1&gt;=3)*('Kunci Adjudikasi'!AA13&lt;&gt;"")+('Kunci Adjudikasi'!$E$1&gt;=4)*('Kunci Adjudikasi'!AG13&lt;&gt;"")</f>
        <v>0</v>
      </c>
      <c r="G13" s="20">
        <f>IF(F13&gt;=2,(F13*(F13-1)/2-(('Kunci Adjudikasi'!O13&lt;&gt;"")*('Kunci Adjudikasi'!U13&lt;&gt;"")*('Kunci Adjudikasi'!O13='Kunci Adjudikasi'!U13)+('Kunci Adjudikasi'!$E$1&gt;=3)*('Kunci Adjudikasi'!O13&lt;&gt;"")*('Kunci Adjudikasi'!AA13&lt;&gt;"")*('Kunci Adjudikasi'!O13='Kunci Adjudikasi'!AA13)+('Kunci Adjudikasi'!$E$1&gt;=4)*('Kunci Adjudikasi'!O13&lt;&gt;"")*('Kunci Adjudikasi'!AG13&lt;&gt;"")*('Kunci Adjudikasi'!O13='Kunci Adjudikasi'!AG13)+('Kunci Adjudikasi'!$E$1&gt;=3)*('Kunci Adjudikasi'!U13&lt;&gt;"")*('Kunci Adjudikasi'!AA13&lt;&gt;"")*('Kunci Adjudikasi'!U13='Kunci Adjudikasi'!AA13)+('Kunci Adjudikasi'!$E$1&gt;=4)*('Kunci Adjudikasi'!U13&lt;&gt;"")*('Kunci Adjudikasi'!AG13&lt;&gt;"")*('Kunci Adjudikasi'!U13='Kunci Adjudikasi'!AG13)+('Kunci Adjudikasi'!$E$1&gt;=4)*('Kunci Adjudikasi'!AA13&lt;&gt;"")*('Kunci Adjudikasi'!AG13&lt;&gt;"")*('Kunci Adjudikasi'!AA13='Kunci Adjudikasi'!AG13)))/(F13-1),0)</f>
        <v>0</v>
      </c>
      <c r="H13" s="20">
        <f>('Kunci Adjudikasi'!P13&lt;&gt;"")+('Kunci Adjudikasi'!V13&lt;&gt;"")+('Kunci Adjudikasi'!$E$1&gt;=3)*('Kunci Adjudikasi'!AB13&lt;&gt;"")+('Kunci Adjudikasi'!$E$1&gt;=4)*('Kunci Adjudikasi'!AH13&lt;&gt;"")</f>
        <v>0</v>
      </c>
      <c r="I13" s="20">
        <f>IF(H13&gt;=2,(H13*(H13-1)/2-(('Kunci Adjudikasi'!P13&lt;&gt;"")*('Kunci Adjudikasi'!V13&lt;&gt;"")*('Kunci Adjudikasi'!P13='Kunci Adjudikasi'!V13)+('Kunci Adjudikasi'!$E$1&gt;=3)*('Kunci Adjudikasi'!P13&lt;&gt;"")*('Kunci Adjudikasi'!AB13&lt;&gt;"")*('Kunci Adjudikasi'!P13='Kunci Adjudikasi'!AB13)+('Kunci Adjudikasi'!$E$1&gt;=4)*('Kunci Adjudikasi'!P13&lt;&gt;"")*('Kunci Adjudikasi'!AH13&lt;&gt;"")*('Kunci Adjudikasi'!P13='Kunci Adjudikasi'!AH13)+('Kunci Adjudikasi'!$E$1&gt;=3)*('Kunci Adjudikasi'!V13&lt;&gt;"")*('Kunci Adjudikasi'!AB13&lt;&gt;"")*('Kunci Adjudikasi'!V13='Kunci Adjudikasi'!AB13)+('Kunci Adjudikasi'!$E$1&gt;=4)*('Kunci Adjudikasi'!V13&lt;&gt;"")*('Kunci Adjudikasi'!AH13&lt;&gt;"")*('Kunci Adjudikasi'!V13='Kunci Adjudikasi'!AH13)+('Kunci Adjudikasi'!$E$1&gt;=4)*('Kunci Adjudikasi'!AB13&lt;&gt;"")*('Kunci Adjudikasi'!AH13&lt;&gt;"")*('Kunci Adjudikasi'!AB13='Kunci Adjudikasi'!AH13)))/(H13-1),0)</f>
        <v>0</v>
      </c>
      <c r="J13" s="20">
        <f>('Kunci Adjudikasi'!Q13&lt;&gt;"")+('Kunci Adjudikasi'!W13&lt;&gt;"")+('Kunci Adjudikasi'!$E$1&gt;=3)*('Kunci Adjudikasi'!AC13&lt;&gt;"")+('Kunci Adjudikasi'!$E$1&gt;=4)*('Kunci Adjudikasi'!AI13&lt;&gt;"")</f>
        <v>0</v>
      </c>
      <c r="K13" s="20">
        <f>IF(J13&gt;=2,(J13*(J13-1)/2-(('Kunci Adjudikasi'!Q13&lt;&gt;"")*('Kunci Adjudikasi'!W13&lt;&gt;"")*('Kunci Adjudikasi'!Q13='Kunci Adjudikasi'!W13)+('Kunci Adjudikasi'!$E$1&gt;=3)*('Kunci Adjudikasi'!Q13&lt;&gt;"")*('Kunci Adjudikasi'!AC13&lt;&gt;"")*('Kunci Adjudikasi'!Q13='Kunci Adjudikasi'!AC13)+('Kunci Adjudikasi'!$E$1&gt;=4)*('Kunci Adjudikasi'!Q13&lt;&gt;"")*('Kunci Adjudikasi'!AI13&lt;&gt;"")*('Kunci Adjudikasi'!Q13='Kunci Adjudikasi'!AI13)+('Kunci Adjudikasi'!$E$1&gt;=3)*('Kunci Adjudikasi'!W13&lt;&gt;"")*('Kunci Adjudikasi'!AC13&lt;&gt;"")*('Kunci Adjudikasi'!W13='Kunci Adjudikasi'!AC13)+('Kunci Adjudikasi'!$E$1&gt;=4)*('Kunci Adjudikasi'!W13&lt;&gt;"")*('Kunci Adjudikasi'!AI13&lt;&gt;"")*('Kunci Adjudikasi'!W13='Kunci Adjudikasi'!AI13)+('Kunci Adjudikasi'!$E$1&gt;=4)*('Kunci Adjudikasi'!AC13&lt;&gt;"")*('Kunci Adjudikasi'!AI13&lt;&gt;"")*('Kunci Adjudikasi'!AC13='Kunci Adjudikasi'!AI13)))/(J13-1),0)</f>
        <v>0</v>
      </c>
      <c r="L13" s="20">
        <f>('Kunci Adjudikasi'!R13&lt;&gt;"")+('Kunci Adjudikasi'!X13&lt;&gt;"")+('Kunci Adjudikasi'!$E$1&gt;=3)*('Kunci Adjudikasi'!AD13&lt;&gt;"")+('Kunci Adjudikasi'!$E$1&gt;=4)*('Kunci Adjudikasi'!AJ13&lt;&gt;"")</f>
        <v>0</v>
      </c>
      <c r="M13" s="20">
        <f>IF(L13&gt;=2,(L13*(L13-1)/2-(('Kunci Adjudikasi'!R13&lt;&gt;"")*('Kunci Adjudikasi'!X13&lt;&gt;"")*('Kunci Adjudikasi'!R13='Kunci Adjudikasi'!X13)+('Kunci Adjudikasi'!$E$1&gt;=3)*('Kunci Adjudikasi'!R13&lt;&gt;"")*('Kunci Adjudikasi'!AD13&lt;&gt;"")*('Kunci Adjudikasi'!R13='Kunci Adjudikasi'!AD13)+('Kunci Adjudikasi'!$E$1&gt;=4)*('Kunci Adjudikasi'!R13&lt;&gt;"")*('Kunci Adjudikasi'!AJ13&lt;&gt;"")*('Kunci Adjudikasi'!R13='Kunci Adjudikasi'!AJ13)+('Kunci Adjudikasi'!$E$1&gt;=3)*('Kunci Adjudikasi'!X13&lt;&gt;"")*('Kunci Adjudikasi'!AD13&lt;&gt;"")*('Kunci Adjudikasi'!X13='Kunci Adjudikasi'!AD13)+('Kunci Adjudikasi'!$E$1&gt;=4)*('Kunci Adjudikasi'!X13&lt;&gt;"")*('Kunci Adjudikasi'!AJ13&lt;&gt;"")*('Kunci Adjudikasi'!X13='Kunci Adjudikasi'!AJ13)+('Kunci Adjudikasi'!$E$1&gt;=4)*('Kunci Adjudikasi'!AD13&lt;&gt;"")*('Kunci Adjudikasi'!AJ13&lt;&gt;"")*('Kunci Adjudikasi'!AD13='Kunci Adjudikasi'!AJ13)))/(L13-1),0)</f>
        <v>0</v>
      </c>
      <c r="N13" s="20">
        <f>(LEFT('Kunci Adjudikasi'!N13,2)="R0")+(LEFT('Kunci Adjudikasi'!T13,2)="R0")+('Kunci Adjudikasi'!$E$1&gt;=3)*(LEFT('Kunci Adjudikasi'!Z13,2)="R0")+('Kunci Adjudikasi'!$E$1&gt;=4)*(LEFT('Kunci Adjudikasi'!AF13,2)="R0")</f>
        <v>0</v>
      </c>
      <c r="O13" s="20">
        <f>(LEFT('Kunci Adjudikasi'!N13,2)="R1")+(LEFT('Kunci Adjudikasi'!T13,2)="R1")+('Kunci Adjudikasi'!$E$1&gt;=3)*(LEFT('Kunci Adjudikasi'!Z13,2)="R1")+('Kunci Adjudikasi'!$E$1&gt;=4)*(LEFT('Kunci Adjudikasi'!AF13,2)="R1")</f>
        <v>0</v>
      </c>
      <c r="P13" s="20">
        <f>(LEFT('Kunci Adjudikasi'!N13,2)="R2")+(LEFT('Kunci Adjudikasi'!T13,2)="R2")+('Kunci Adjudikasi'!$E$1&gt;=3)*(LEFT('Kunci Adjudikasi'!Z13,2)="R2")+('Kunci Adjudikasi'!$E$1&gt;=4)*(LEFT('Kunci Adjudikasi'!AF13,2)="R2")</f>
        <v>0</v>
      </c>
      <c r="Q13" s="20">
        <f t="shared" si="43"/>
        <v>0</v>
      </c>
      <c r="R13" s="20">
        <f t="shared" si="44"/>
        <v>0</v>
      </c>
      <c r="S13" s="20">
        <f t="shared" si="45"/>
        <v>0</v>
      </c>
    </row>
    <row r="14">
      <c r="A14" s="20">
        <f>'Kunci Adjudikasi'!A14</f>
        <v>11</v>
      </c>
      <c r="B14" s="20">
        <f>('Kunci Adjudikasi'!M14&lt;&gt;"")+('Kunci Adjudikasi'!S14&lt;&gt;"")+('Kunci Adjudikasi'!$E$1&gt;=3)*('Kunci Adjudikasi'!Y14&lt;&gt;"")+('Kunci Adjudikasi'!$E$1&gt;=4)*('Kunci Adjudikasi'!AE14&lt;&gt;"")</f>
        <v>0</v>
      </c>
      <c r="C14" s="20">
        <f>IF(B14&gt;=2,(B14*(B14-1)/2-(('Kunci Adjudikasi'!M14&lt;&gt;"")*('Kunci Adjudikasi'!S14&lt;&gt;"")*('Kunci Adjudikasi'!M14='Kunci Adjudikasi'!S14)+('Kunci Adjudikasi'!$E$1&gt;=3)*('Kunci Adjudikasi'!M14&lt;&gt;"")*('Kunci Adjudikasi'!Y14&lt;&gt;"")*('Kunci Adjudikasi'!M14='Kunci Adjudikasi'!Y14)+('Kunci Adjudikasi'!$E$1&gt;=4)*('Kunci Adjudikasi'!M14&lt;&gt;"")*('Kunci Adjudikasi'!AE14&lt;&gt;"")*('Kunci Adjudikasi'!M14='Kunci Adjudikasi'!AE14)+('Kunci Adjudikasi'!$E$1&gt;=3)*('Kunci Adjudikasi'!S14&lt;&gt;"")*('Kunci Adjudikasi'!Y14&lt;&gt;"")*('Kunci Adjudikasi'!S14='Kunci Adjudikasi'!Y14)+('Kunci Adjudikasi'!$E$1&gt;=4)*('Kunci Adjudikasi'!S14&lt;&gt;"")*('Kunci Adjudikasi'!AE14&lt;&gt;"")*('Kunci Adjudikasi'!S14='Kunci Adjudikasi'!AE14)+('Kunci Adjudikasi'!$E$1&gt;=4)*('Kunci Adjudikasi'!Y14&lt;&gt;"")*('Kunci Adjudikasi'!AE14&lt;&gt;"")*('Kunci Adjudikasi'!Y14='Kunci Adjudikasi'!AE14)))/(B14-1),0)</f>
        <v>0</v>
      </c>
      <c r="D14" s="20">
        <f>('Kunci Adjudikasi'!N14&lt;&gt;"")+('Kunci Adjudikasi'!T14&lt;&gt;"")+('Kunci Adjudikasi'!$E$1&gt;=3)*('Kunci Adjudikasi'!Z14&lt;&gt;"")+('Kunci Adjudikasi'!$E$1&gt;=4)*('Kunci Adjudikasi'!AF14&lt;&gt;"")</f>
        <v>0</v>
      </c>
      <c r="E14" s="20">
        <f>IF(D14&gt;=2,(D14*(D14-1)/2-(('Kunci Adjudikasi'!N14&lt;&gt;"")*('Kunci Adjudikasi'!T14&lt;&gt;"")*('Kunci Adjudikasi'!N14='Kunci Adjudikasi'!T14)+('Kunci Adjudikasi'!$E$1&gt;=3)*('Kunci Adjudikasi'!N14&lt;&gt;"")*('Kunci Adjudikasi'!Z14&lt;&gt;"")*('Kunci Adjudikasi'!N14='Kunci Adjudikasi'!Z14)+('Kunci Adjudikasi'!$E$1&gt;=4)*('Kunci Adjudikasi'!N14&lt;&gt;"")*('Kunci Adjudikasi'!AF14&lt;&gt;"")*('Kunci Adjudikasi'!N14='Kunci Adjudikasi'!AF14)+('Kunci Adjudikasi'!$E$1&gt;=3)*('Kunci Adjudikasi'!T14&lt;&gt;"")*('Kunci Adjudikasi'!Z14&lt;&gt;"")*('Kunci Adjudikasi'!T14='Kunci Adjudikasi'!Z14)+('Kunci Adjudikasi'!$E$1&gt;=4)*('Kunci Adjudikasi'!T14&lt;&gt;"")*('Kunci Adjudikasi'!AF14&lt;&gt;"")*('Kunci Adjudikasi'!T14='Kunci Adjudikasi'!AF14)+('Kunci Adjudikasi'!$E$1&gt;=4)*('Kunci Adjudikasi'!Z14&lt;&gt;"")*('Kunci Adjudikasi'!AF14&lt;&gt;"")*('Kunci Adjudikasi'!Z14='Kunci Adjudikasi'!AF14)))/(D14-1),0)</f>
        <v>0</v>
      </c>
      <c r="F14" s="20">
        <f>('Kunci Adjudikasi'!O14&lt;&gt;"")+('Kunci Adjudikasi'!U14&lt;&gt;"")+('Kunci Adjudikasi'!$E$1&gt;=3)*('Kunci Adjudikasi'!AA14&lt;&gt;"")+('Kunci Adjudikasi'!$E$1&gt;=4)*('Kunci Adjudikasi'!AG14&lt;&gt;"")</f>
        <v>0</v>
      </c>
      <c r="G14" s="20">
        <f>IF(F14&gt;=2,(F14*(F14-1)/2-(('Kunci Adjudikasi'!O14&lt;&gt;"")*('Kunci Adjudikasi'!U14&lt;&gt;"")*('Kunci Adjudikasi'!O14='Kunci Adjudikasi'!U14)+('Kunci Adjudikasi'!$E$1&gt;=3)*('Kunci Adjudikasi'!O14&lt;&gt;"")*('Kunci Adjudikasi'!AA14&lt;&gt;"")*('Kunci Adjudikasi'!O14='Kunci Adjudikasi'!AA14)+('Kunci Adjudikasi'!$E$1&gt;=4)*('Kunci Adjudikasi'!O14&lt;&gt;"")*('Kunci Adjudikasi'!AG14&lt;&gt;"")*('Kunci Adjudikasi'!O14='Kunci Adjudikasi'!AG14)+('Kunci Adjudikasi'!$E$1&gt;=3)*('Kunci Adjudikasi'!U14&lt;&gt;"")*('Kunci Adjudikasi'!AA14&lt;&gt;"")*('Kunci Adjudikasi'!U14='Kunci Adjudikasi'!AA14)+('Kunci Adjudikasi'!$E$1&gt;=4)*('Kunci Adjudikasi'!U14&lt;&gt;"")*('Kunci Adjudikasi'!AG14&lt;&gt;"")*('Kunci Adjudikasi'!U14='Kunci Adjudikasi'!AG14)+('Kunci Adjudikasi'!$E$1&gt;=4)*('Kunci Adjudikasi'!AA14&lt;&gt;"")*('Kunci Adjudikasi'!AG14&lt;&gt;"")*('Kunci Adjudikasi'!AA14='Kunci Adjudikasi'!AG14)))/(F14-1),0)</f>
        <v>0</v>
      </c>
      <c r="H14" s="20">
        <f>('Kunci Adjudikasi'!P14&lt;&gt;"")+('Kunci Adjudikasi'!V14&lt;&gt;"")+('Kunci Adjudikasi'!$E$1&gt;=3)*('Kunci Adjudikasi'!AB14&lt;&gt;"")+('Kunci Adjudikasi'!$E$1&gt;=4)*('Kunci Adjudikasi'!AH14&lt;&gt;"")</f>
        <v>0</v>
      </c>
      <c r="I14" s="20">
        <f>IF(H14&gt;=2,(H14*(H14-1)/2-(('Kunci Adjudikasi'!P14&lt;&gt;"")*('Kunci Adjudikasi'!V14&lt;&gt;"")*('Kunci Adjudikasi'!P14='Kunci Adjudikasi'!V14)+('Kunci Adjudikasi'!$E$1&gt;=3)*('Kunci Adjudikasi'!P14&lt;&gt;"")*('Kunci Adjudikasi'!AB14&lt;&gt;"")*('Kunci Adjudikasi'!P14='Kunci Adjudikasi'!AB14)+('Kunci Adjudikasi'!$E$1&gt;=4)*('Kunci Adjudikasi'!P14&lt;&gt;"")*('Kunci Adjudikasi'!AH14&lt;&gt;"")*('Kunci Adjudikasi'!P14='Kunci Adjudikasi'!AH14)+('Kunci Adjudikasi'!$E$1&gt;=3)*('Kunci Adjudikasi'!V14&lt;&gt;"")*('Kunci Adjudikasi'!AB14&lt;&gt;"")*('Kunci Adjudikasi'!V14='Kunci Adjudikasi'!AB14)+('Kunci Adjudikasi'!$E$1&gt;=4)*('Kunci Adjudikasi'!V14&lt;&gt;"")*('Kunci Adjudikasi'!AH14&lt;&gt;"")*('Kunci Adjudikasi'!V14='Kunci Adjudikasi'!AH14)+('Kunci Adjudikasi'!$E$1&gt;=4)*('Kunci Adjudikasi'!AB14&lt;&gt;"")*('Kunci Adjudikasi'!AH14&lt;&gt;"")*('Kunci Adjudikasi'!AB14='Kunci Adjudikasi'!AH14)))/(H14-1),0)</f>
        <v>0</v>
      </c>
      <c r="J14" s="20">
        <f>('Kunci Adjudikasi'!Q14&lt;&gt;"")+('Kunci Adjudikasi'!W14&lt;&gt;"")+('Kunci Adjudikasi'!$E$1&gt;=3)*('Kunci Adjudikasi'!AC14&lt;&gt;"")+('Kunci Adjudikasi'!$E$1&gt;=4)*('Kunci Adjudikasi'!AI14&lt;&gt;"")</f>
        <v>0</v>
      </c>
      <c r="K14" s="20">
        <f>IF(J14&gt;=2,(J14*(J14-1)/2-(('Kunci Adjudikasi'!Q14&lt;&gt;"")*('Kunci Adjudikasi'!W14&lt;&gt;"")*('Kunci Adjudikasi'!Q14='Kunci Adjudikasi'!W14)+('Kunci Adjudikasi'!$E$1&gt;=3)*('Kunci Adjudikasi'!Q14&lt;&gt;"")*('Kunci Adjudikasi'!AC14&lt;&gt;"")*('Kunci Adjudikasi'!Q14='Kunci Adjudikasi'!AC14)+('Kunci Adjudikasi'!$E$1&gt;=4)*('Kunci Adjudikasi'!Q14&lt;&gt;"")*('Kunci Adjudikasi'!AI14&lt;&gt;"")*('Kunci Adjudikasi'!Q14='Kunci Adjudikasi'!AI14)+('Kunci Adjudikasi'!$E$1&gt;=3)*('Kunci Adjudikasi'!W14&lt;&gt;"")*('Kunci Adjudikasi'!AC14&lt;&gt;"")*('Kunci Adjudikasi'!W14='Kunci Adjudikasi'!AC14)+('Kunci Adjudikasi'!$E$1&gt;=4)*('Kunci Adjudikasi'!W14&lt;&gt;"")*('Kunci Adjudikasi'!AI14&lt;&gt;"")*('Kunci Adjudikasi'!W14='Kunci Adjudikasi'!AI14)+('Kunci Adjudikasi'!$E$1&gt;=4)*('Kunci Adjudikasi'!AC14&lt;&gt;"")*('Kunci Adjudikasi'!AI14&lt;&gt;"")*('Kunci Adjudikasi'!AC14='Kunci Adjudikasi'!AI14)))/(J14-1),0)</f>
        <v>0</v>
      </c>
      <c r="L14" s="20">
        <f>('Kunci Adjudikasi'!R14&lt;&gt;"")+('Kunci Adjudikasi'!X14&lt;&gt;"")+('Kunci Adjudikasi'!$E$1&gt;=3)*('Kunci Adjudikasi'!AD14&lt;&gt;"")+('Kunci Adjudikasi'!$E$1&gt;=4)*('Kunci Adjudikasi'!AJ14&lt;&gt;"")</f>
        <v>0</v>
      </c>
      <c r="M14" s="20">
        <f>IF(L14&gt;=2,(L14*(L14-1)/2-(('Kunci Adjudikasi'!R14&lt;&gt;"")*('Kunci Adjudikasi'!X14&lt;&gt;"")*('Kunci Adjudikasi'!R14='Kunci Adjudikasi'!X14)+('Kunci Adjudikasi'!$E$1&gt;=3)*('Kunci Adjudikasi'!R14&lt;&gt;"")*('Kunci Adjudikasi'!AD14&lt;&gt;"")*('Kunci Adjudikasi'!R14='Kunci Adjudikasi'!AD14)+('Kunci Adjudikasi'!$E$1&gt;=4)*('Kunci Adjudikasi'!R14&lt;&gt;"")*('Kunci Adjudikasi'!AJ14&lt;&gt;"")*('Kunci Adjudikasi'!R14='Kunci Adjudikasi'!AJ14)+('Kunci Adjudikasi'!$E$1&gt;=3)*('Kunci Adjudikasi'!X14&lt;&gt;"")*('Kunci Adjudikasi'!AD14&lt;&gt;"")*('Kunci Adjudikasi'!X14='Kunci Adjudikasi'!AD14)+('Kunci Adjudikasi'!$E$1&gt;=4)*('Kunci Adjudikasi'!X14&lt;&gt;"")*('Kunci Adjudikasi'!AJ14&lt;&gt;"")*('Kunci Adjudikasi'!X14='Kunci Adjudikasi'!AJ14)+('Kunci Adjudikasi'!$E$1&gt;=4)*('Kunci Adjudikasi'!AD14&lt;&gt;"")*('Kunci Adjudikasi'!AJ14&lt;&gt;"")*('Kunci Adjudikasi'!AD14='Kunci Adjudikasi'!AJ14)))/(L14-1),0)</f>
        <v>0</v>
      </c>
      <c r="N14" s="20">
        <f>(LEFT('Kunci Adjudikasi'!N14,2)="R0")+(LEFT('Kunci Adjudikasi'!T14,2)="R0")+('Kunci Adjudikasi'!$E$1&gt;=3)*(LEFT('Kunci Adjudikasi'!Z14,2)="R0")+('Kunci Adjudikasi'!$E$1&gt;=4)*(LEFT('Kunci Adjudikasi'!AF14,2)="R0")</f>
        <v>0</v>
      </c>
      <c r="O14" s="20">
        <f>(LEFT('Kunci Adjudikasi'!N14,2)="R1")+(LEFT('Kunci Adjudikasi'!T14,2)="R1")+('Kunci Adjudikasi'!$E$1&gt;=3)*(LEFT('Kunci Adjudikasi'!Z14,2)="R1")+('Kunci Adjudikasi'!$E$1&gt;=4)*(LEFT('Kunci Adjudikasi'!AF14,2)="R1")</f>
        <v>0</v>
      </c>
      <c r="P14" s="20">
        <f>(LEFT('Kunci Adjudikasi'!N14,2)="R2")+(LEFT('Kunci Adjudikasi'!T14,2)="R2")+('Kunci Adjudikasi'!$E$1&gt;=3)*(LEFT('Kunci Adjudikasi'!Z14,2)="R2")+('Kunci Adjudikasi'!$E$1&gt;=4)*(LEFT('Kunci Adjudikasi'!AF14,2)="R2")</f>
        <v>0</v>
      </c>
      <c r="Q14" s="20">
        <f t="shared" si="43"/>
        <v>0</v>
      </c>
      <c r="R14" s="20">
        <f t="shared" si="44"/>
        <v>0</v>
      </c>
      <c r="S14" s="20">
        <f t="shared" si="45"/>
        <v>0</v>
      </c>
    </row>
    <row r="15">
      <c r="A15" s="20">
        <f>'Kunci Adjudikasi'!A15</f>
        <v>12</v>
      </c>
      <c r="B15" s="20">
        <f>('Kunci Adjudikasi'!M15&lt;&gt;"")+('Kunci Adjudikasi'!S15&lt;&gt;"")+('Kunci Adjudikasi'!$E$1&gt;=3)*('Kunci Adjudikasi'!Y15&lt;&gt;"")+('Kunci Adjudikasi'!$E$1&gt;=4)*('Kunci Adjudikasi'!AE15&lt;&gt;"")</f>
        <v>0</v>
      </c>
      <c r="C15" s="20">
        <f>IF(B15&gt;=2,(B15*(B15-1)/2-(('Kunci Adjudikasi'!M15&lt;&gt;"")*('Kunci Adjudikasi'!S15&lt;&gt;"")*('Kunci Adjudikasi'!M15='Kunci Adjudikasi'!S15)+('Kunci Adjudikasi'!$E$1&gt;=3)*('Kunci Adjudikasi'!M15&lt;&gt;"")*('Kunci Adjudikasi'!Y15&lt;&gt;"")*('Kunci Adjudikasi'!M15='Kunci Adjudikasi'!Y15)+('Kunci Adjudikasi'!$E$1&gt;=4)*('Kunci Adjudikasi'!M15&lt;&gt;"")*('Kunci Adjudikasi'!AE15&lt;&gt;"")*('Kunci Adjudikasi'!M15='Kunci Adjudikasi'!AE15)+('Kunci Adjudikasi'!$E$1&gt;=3)*('Kunci Adjudikasi'!S15&lt;&gt;"")*('Kunci Adjudikasi'!Y15&lt;&gt;"")*('Kunci Adjudikasi'!S15='Kunci Adjudikasi'!Y15)+('Kunci Adjudikasi'!$E$1&gt;=4)*('Kunci Adjudikasi'!S15&lt;&gt;"")*('Kunci Adjudikasi'!AE15&lt;&gt;"")*('Kunci Adjudikasi'!S15='Kunci Adjudikasi'!AE15)+('Kunci Adjudikasi'!$E$1&gt;=4)*('Kunci Adjudikasi'!Y15&lt;&gt;"")*('Kunci Adjudikasi'!AE15&lt;&gt;"")*('Kunci Adjudikasi'!Y15='Kunci Adjudikasi'!AE15)))/(B15-1),0)</f>
        <v>0</v>
      </c>
      <c r="D15" s="20">
        <f>('Kunci Adjudikasi'!N15&lt;&gt;"")+('Kunci Adjudikasi'!T15&lt;&gt;"")+('Kunci Adjudikasi'!$E$1&gt;=3)*('Kunci Adjudikasi'!Z15&lt;&gt;"")+('Kunci Adjudikasi'!$E$1&gt;=4)*('Kunci Adjudikasi'!AF15&lt;&gt;"")</f>
        <v>0</v>
      </c>
      <c r="E15" s="20">
        <f>IF(D15&gt;=2,(D15*(D15-1)/2-(('Kunci Adjudikasi'!N15&lt;&gt;"")*('Kunci Adjudikasi'!T15&lt;&gt;"")*('Kunci Adjudikasi'!N15='Kunci Adjudikasi'!T15)+('Kunci Adjudikasi'!$E$1&gt;=3)*('Kunci Adjudikasi'!N15&lt;&gt;"")*('Kunci Adjudikasi'!Z15&lt;&gt;"")*('Kunci Adjudikasi'!N15='Kunci Adjudikasi'!Z15)+('Kunci Adjudikasi'!$E$1&gt;=4)*('Kunci Adjudikasi'!N15&lt;&gt;"")*('Kunci Adjudikasi'!AF15&lt;&gt;"")*('Kunci Adjudikasi'!N15='Kunci Adjudikasi'!AF15)+('Kunci Adjudikasi'!$E$1&gt;=3)*('Kunci Adjudikasi'!T15&lt;&gt;"")*('Kunci Adjudikasi'!Z15&lt;&gt;"")*('Kunci Adjudikasi'!T15='Kunci Adjudikasi'!Z15)+('Kunci Adjudikasi'!$E$1&gt;=4)*('Kunci Adjudikasi'!T15&lt;&gt;"")*('Kunci Adjudikasi'!AF15&lt;&gt;"")*('Kunci Adjudikasi'!T15='Kunci Adjudikasi'!AF15)+('Kunci Adjudikasi'!$E$1&gt;=4)*('Kunci Adjudikasi'!Z15&lt;&gt;"")*('Kunci Adjudikasi'!AF15&lt;&gt;"")*('Kunci Adjudikasi'!Z15='Kunci Adjudikasi'!AF15)))/(D15-1),0)</f>
        <v>0</v>
      </c>
      <c r="F15" s="20">
        <f>('Kunci Adjudikasi'!O15&lt;&gt;"")+('Kunci Adjudikasi'!U15&lt;&gt;"")+('Kunci Adjudikasi'!$E$1&gt;=3)*('Kunci Adjudikasi'!AA15&lt;&gt;"")+('Kunci Adjudikasi'!$E$1&gt;=4)*('Kunci Adjudikasi'!AG15&lt;&gt;"")</f>
        <v>0</v>
      </c>
      <c r="G15" s="20">
        <f>IF(F15&gt;=2,(F15*(F15-1)/2-(('Kunci Adjudikasi'!O15&lt;&gt;"")*('Kunci Adjudikasi'!U15&lt;&gt;"")*('Kunci Adjudikasi'!O15='Kunci Adjudikasi'!U15)+('Kunci Adjudikasi'!$E$1&gt;=3)*('Kunci Adjudikasi'!O15&lt;&gt;"")*('Kunci Adjudikasi'!AA15&lt;&gt;"")*('Kunci Adjudikasi'!O15='Kunci Adjudikasi'!AA15)+('Kunci Adjudikasi'!$E$1&gt;=4)*('Kunci Adjudikasi'!O15&lt;&gt;"")*('Kunci Adjudikasi'!AG15&lt;&gt;"")*('Kunci Adjudikasi'!O15='Kunci Adjudikasi'!AG15)+('Kunci Adjudikasi'!$E$1&gt;=3)*('Kunci Adjudikasi'!U15&lt;&gt;"")*('Kunci Adjudikasi'!AA15&lt;&gt;"")*('Kunci Adjudikasi'!U15='Kunci Adjudikasi'!AA15)+('Kunci Adjudikasi'!$E$1&gt;=4)*('Kunci Adjudikasi'!U15&lt;&gt;"")*('Kunci Adjudikasi'!AG15&lt;&gt;"")*('Kunci Adjudikasi'!U15='Kunci Adjudikasi'!AG15)+('Kunci Adjudikasi'!$E$1&gt;=4)*('Kunci Adjudikasi'!AA15&lt;&gt;"")*('Kunci Adjudikasi'!AG15&lt;&gt;"")*('Kunci Adjudikasi'!AA15='Kunci Adjudikasi'!AG15)))/(F15-1),0)</f>
        <v>0</v>
      </c>
      <c r="H15" s="20">
        <f>('Kunci Adjudikasi'!P15&lt;&gt;"")+('Kunci Adjudikasi'!V15&lt;&gt;"")+('Kunci Adjudikasi'!$E$1&gt;=3)*('Kunci Adjudikasi'!AB15&lt;&gt;"")+('Kunci Adjudikasi'!$E$1&gt;=4)*('Kunci Adjudikasi'!AH15&lt;&gt;"")</f>
        <v>0</v>
      </c>
      <c r="I15" s="20">
        <f>IF(H15&gt;=2,(H15*(H15-1)/2-(('Kunci Adjudikasi'!P15&lt;&gt;"")*('Kunci Adjudikasi'!V15&lt;&gt;"")*('Kunci Adjudikasi'!P15='Kunci Adjudikasi'!V15)+('Kunci Adjudikasi'!$E$1&gt;=3)*('Kunci Adjudikasi'!P15&lt;&gt;"")*('Kunci Adjudikasi'!AB15&lt;&gt;"")*('Kunci Adjudikasi'!P15='Kunci Adjudikasi'!AB15)+('Kunci Adjudikasi'!$E$1&gt;=4)*('Kunci Adjudikasi'!P15&lt;&gt;"")*('Kunci Adjudikasi'!AH15&lt;&gt;"")*('Kunci Adjudikasi'!P15='Kunci Adjudikasi'!AH15)+('Kunci Adjudikasi'!$E$1&gt;=3)*('Kunci Adjudikasi'!V15&lt;&gt;"")*('Kunci Adjudikasi'!AB15&lt;&gt;"")*('Kunci Adjudikasi'!V15='Kunci Adjudikasi'!AB15)+('Kunci Adjudikasi'!$E$1&gt;=4)*('Kunci Adjudikasi'!V15&lt;&gt;"")*('Kunci Adjudikasi'!AH15&lt;&gt;"")*('Kunci Adjudikasi'!V15='Kunci Adjudikasi'!AH15)+('Kunci Adjudikasi'!$E$1&gt;=4)*('Kunci Adjudikasi'!AB15&lt;&gt;"")*('Kunci Adjudikasi'!AH15&lt;&gt;"")*('Kunci Adjudikasi'!AB15='Kunci Adjudikasi'!AH15)))/(H15-1),0)</f>
        <v>0</v>
      </c>
      <c r="J15" s="20">
        <f>('Kunci Adjudikasi'!Q15&lt;&gt;"")+('Kunci Adjudikasi'!W15&lt;&gt;"")+('Kunci Adjudikasi'!$E$1&gt;=3)*('Kunci Adjudikasi'!AC15&lt;&gt;"")+('Kunci Adjudikasi'!$E$1&gt;=4)*('Kunci Adjudikasi'!AI15&lt;&gt;"")</f>
        <v>0</v>
      </c>
      <c r="K15" s="20">
        <f>IF(J15&gt;=2,(J15*(J15-1)/2-(('Kunci Adjudikasi'!Q15&lt;&gt;"")*('Kunci Adjudikasi'!W15&lt;&gt;"")*('Kunci Adjudikasi'!Q15='Kunci Adjudikasi'!W15)+('Kunci Adjudikasi'!$E$1&gt;=3)*('Kunci Adjudikasi'!Q15&lt;&gt;"")*('Kunci Adjudikasi'!AC15&lt;&gt;"")*('Kunci Adjudikasi'!Q15='Kunci Adjudikasi'!AC15)+('Kunci Adjudikasi'!$E$1&gt;=4)*('Kunci Adjudikasi'!Q15&lt;&gt;"")*('Kunci Adjudikasi'!AI15&lt;&gt;"")*('Kunci Adjudikasi'!Q15='Kunci Adjudikasi'!AI15)+('Kunci Adjudikasi'!$E$1&gt;=3)*('Kunci Adjudikasi'!W15&lt;&gt;"")*('Kunci Adjudikasi'!AC15&lt;&gt;"")*('Kunci Adjudikasi'!W15='Kunci Adjudikasi'!AC15)+('Kunci Adjudikasi'!$E$1&gt;=4)*('Kunci Adjudikasi'!W15&lt;&gt;"")*('Kunci Adjudikasi'!AI15&lt;&gt;"")*('Kunci Adjudikasi'!W15='Kunci Adjudikasi'!AI15)+('Kunci Adjudikasi'!$E$1&gt;=4)*('Kunci Adjudikasi'!AC15&lt;&gt;"")*('Kunci Adjudikasi'!AI15&lt;&gt;"")*('Kunci Adjudikasi'!AC15='Kunci Adjudikasi'!AI15)))/(J15-1),0)</f>
        <v>0</v>
      </c>
      <c r="L15" s="20">
        <f>('Kunci Adjudikasi'!R15&lt;&gt;"")+('Kunci Adjudikasi'!X15&lt;&gt;"")+('Kunci Adjudikasi'!$E$1&gt;=3)*('Kunci Adjudikasi'!AD15&lt;&gt;"")+('Kunci Adjudikasi'!$E$1&gt;=4)*('Kunci Adjudikasi'!AJ15&lt;&gt;"")</f>
        <v>0</v>
      </c>
      <c r="M15" s="20">
        <f>IF(L15&gt;=2,(L15*(L15-1)/2-(('Kunci Adjudikasi'!R15&lt;&gt;"")*('Kunci Adjudikasi'!X15&lt;&gt;"")*('Kunci Adjudikasi'!R15='Kunci Adjudikasi'!X15)+('Kunci Adjudikasi'!$E$1&gt;=3)*('Kunci Adjudikasi'!R15&lt;&gt;"")*('Kunci Adjudikasi'!AD15&lt;&gt;"")*('Kunci Adjudikasi'!R15='Kunci Adjudikasi'!AD15)+('Kunci Adjudikasi'!$E$1&gt;=4)*('Kunci Adjudikasi'!R15&lt;&gt;"")*('Kunci Adjudikasi'!AJ15&lt;&gt;"")*('Kunci Adjudikasi'!R15='Kunci Adjudikasi'!AJ15)+('Kunci Adjudikasi'!$E$1&gt;=3)*('Kunci Adjudikasi'!X15&lt;&gt;"")*('Kunci Adjudikasi'!AD15&lt;&gt;"")*('Kunci Adjudikasi'!X15='Kunci Adjudikasi'!AD15)+('Kunci Adjudikasi'!$E$1&gt;=4)*('Kunci Adjudikasi'!X15&lt;&gt;"")*('Kunci Adjudikasi'!AJ15&lt;&gt;"")*('Kunci Adjudikasi'!X15='Kunci Adjudikasi'!AJ15)+('Kunci Adjudikasi'!$E$1&gt;=4)*('Kunci Adjudikasi'!AD15&lt;&gt;"")*('Kunci Adjudikasi'!AJ15&lt;&gt;"")*('Kunci Adjudikasi'!AD15='Kunci Adjudikasi'!AJ15)))/(L15-1),0)</f>
        <v>0</v>
      </c>
      <c r="N15" s="20">
        <f>(LEFT('Kunci Adjudikasi'!N15,2)="R0")+(LEFT('Kunci Adjudikasi'!T15,2)="R0")+('Kunci Adjudikasi'!$E$1&gt;=3)*(LEFT('Kunci Adjudikasi'!Z15,2)="R0")+('Kunci Adjudikasi'!$E$1&gt;=4)*(LEFT('Kunci Adjudikasi'!AF15,2)="R0")</f>
        <v>0</v>
      </c>
      <c r="O15" s="20">
        <f>(LEFT('Kunci Adjudikasi'!N15,2)="R1")+(LEFT('Kunci Adjudikasi'!T15,2)="R1")+('Kunci Adjudikasi'!$E$1&gt;=3)*(LEFT('Kunci Adjudikasi'!Z15,2)="R1")+('Kunci Adjudikasi'!$E$1&gt;=4)*(LEFT('Kunci Adjudikasi'!AF15,2)="R1")</f>
        <v>0</v>
      </c>
      <c r="P15" s="20">
        <f>(LEFT('Kunci Adjudikasi'!N15,2)="R2")+(LEFT('Kunci Adjudikasi'!T15,2)="R2")+('Kunci Adjudikasi'!$E$1&gt;=3)*(LEFT('Kunci Adjudikasi'!Z15,2)="R2")+('Kunci Adjudikasi'!$E$1&gt;=4)*(LEFT('Kunci Adjudikasi'!AF15,2)="R2")</f>
        <v>0</v>
      </c>
      <c r="Q15" s="20">
        <f t="shared" si="43"/>
        <v>0</v>
      </c>
      <c r="R15" s="20">
        <f t="shared" si="44"/>
        <v>0</v>
      </c>
      <c r="S15" s="20">
        <f t="shared" si="45"/>
        <v>0</v>
      </c>
    </row>
    <row r="16">
      <c r="A16" s="20">
        <f>'Kunci Adjudikasi'!A16</f>
        <v>13</v>
      </c>
      <c r="B16" s="20">
        <f>('Kunci Adjudikasi'!M16&lt;&gt;"")+('Kunci Adjudikasi'!S16&lt;&gt;"")+('Kunci Adjudikasi'!$E$1&gt;=3)*('Kunci Adjudikasi'!Y16&lt;&gt;"")+('Kunci Adjudikasi'!$E$1&gt;=4)*('Kunci Adjudikasi'!AE16&lt;&gt;"")</f>
        <v>1</v>
      </c>
      <c r="C16" s="20">
        <f>IF(B16&gt;=2,(B16*(B16-1)/2-(('Kunci Adjudikasi'!M16&lt;&gt;"")*('Kunci Adjudikasi'!S16&lt;&gt;"")*('Kunci Adjudikasi'!M16='Kunci Adjudikasi'!S16)+('Kunci Adjudikasi'!$E$1&gt;=3)*('Kunci Adjudikasi'!M16&lt;&gt;"")*('Kunci Adjudikasi'!Y16&lt;&gt;"")*('Kunci Adjudikasi'!M16='Kunci Adjudikasi'!Y16)+('Kunci Adjudikasi'!$E$1&gt;=4)*('Kunci Adjudikasi'!M16&lt;&gt;"")*('Kunci Adjudikasi'!AE16&lt;&gt;"")*('Kunci Adjudikasi'!M16='Kunci Adjudikasi'!AE16)+('Kunci Adjudikasi'!$E$1&gt;=3)*('Kunci Adjudikasi'!S16&lt;&gt;"")*('Kunci Adjudikasi'!Y16&lt;&gt;"")*('Kunci Adjudikasi'!S16='Kunci Adjudikasi'!Y16)+('Kunci Adjudikasi'!$E$1&gt;=4)*('Kunci Adjudikasi'!S16&lt;&gt;"")*('Kunci Adjudikasi'!AE16&lt;&gt;"")*('Kunci Adjudikasi'!S16='Kunci Adjudikasi'!AE16)+('Kunci Adjudikasi'!$E$1&gt;=4)*('Kunci Adjudikasi'!Y16&lt;&gt;"")*('Kunci Adjudikasi'!AE16&lt;&gt;"")*('Kunci Adjudikasi'!Y16='Kunci Adjudikasi'!AE16)))/(B16-1),0)</f>
        <v>0</v>
      </c>
      <c r="D16" s="20">
        <f>('Kunci Adjudikasi'!N16&lt;&gt;"")+('Kunci Adjudikasi'!T16&lt;&gt;"")+('Kunci Adjudikasi'!$E$1&gt;=3)*('Kunci Adjudikasi'!Z16&lt;&gt;"")+('Kunci Adjudikasi'!$E$1&gt;=4)*('Kunci Adjudikasi'!AF16&lt;&gt;"")</f>
        <v>1</v>
      </c>
      <c r="E16" s="20">
        <f>IF(D16&gt;=2,(D16*(D16-1)/2-(('Kunci Adjudikasi'!N16&lt;&gt;"")*('Kunci Adjudikasi'!T16&lt;&gt;"")*('Kunci Adjudikasi'!N16='Kunci Adjudikasi'!T16)+('Kunci Adjudikasi'!$E$1&gt;=3)*('Kunci Adjudikasi'!N16&lt;&gt;"")*('Kunci Adjudikasi'!Z16&lt;&gt;"")*('Kunci Adjudikasi'!N16='Kunci Adjudikasi'!Z16)+('Kunci Adjudikasi'!$E$1&gt;=4)*('Kunci Adjudikasi'!N16&lt;&gt;"")*('Kunci Adjudikasi'!AF16&lt;&gt;"")*('Kunci Adjudikasi'!N16='Kunci Adjudikasi'!AF16)+('Kunci Adjudikasi'!$E$1&gt;=3)*('Kunci Adjudikasi'!T16&lt;&gt;"")*('Kunci Adjudikasi'!Z16&lt;&gt;"")*('Kunci Adjudikasi'!T16='Kunci Adjudikasi'!Z16)+('Kunci Adjudikasi'!$E$1&gt;=4)*('Kunci Adjudikasi'!T16&lt;&gt;"")*('Kunci Adjudikasi'!AF16&lt;&gt;"")*('Kunci Adjudikasi'!T16='Kunci Adjudikasi'!AF16)+('Kunci Adjudikasi'!$E$1&gt;=4)*('Kunci Adjudikasi'!Z16&lt;&gt;"")*('Kunci Adjudikasi'!AF16&lt;&gt;"")*('Kunci Adjudikasi'!Z16='Kunci Adjudikasi'!AF16)))/(D16-1),0)</f>
        <v>0</v>
      </c>
      <c r="F16" s="20">
        <f>('Kunci Adjudikasi'!O16&lt;&gt;"")+('Kunci Adjudikasi'!U16&lt;&gt;"")+('Kunci Adjudikasi'!$E$1&gt;=3)*('Kunci Adjudikasi'!AA16&lt;&gt;"")+('Kunci Adjudikasi'!$E$1&gt;=4)*('Kunci Adjudikasi'!AG16&lt;&gt;"")</f>
        <v>1</v>
      </c>
      <c r="G16" s="20">
        <f>IF(F16&gt;=2,(F16*(F16-1)/2-(('Kunci Adjudikasi'!O16&lt;&gt;"")*('Kunci Adjudikasi'!U16&lt;&gt;"")*('Kunci Adjudikasi'!O16='Kunci Adjudikasi'!U16)+('Kunci Adjudikasi'!$E$1&gt;=3)*('Kunci Adjudikasi'!O16&lt;&gt;"")*('Kunci Adjudikasi'!AA16&lt;&gt;"")*('Kunci Adjudikasi'!O16='Kunci Adjudikasi'!AA16)+('Kunci Adjudikasi'!$E$1&gt;=4)*('Kunci Adjudikasi'!O16&lt;&gt;"")*('Kunci Adjudikasi'!AG16&lt;&gt;"")*('Kunci Adjudikasi'!O16='Kunci Adjudikasi'!AG16)+('Kunci Adjudikasi'!$E$1&gt;=3)*('Kunci Adjudikasi'!U16&lt;&gt;"")*('Kunci Adjudikasi'!AA16&lt;&gt;"")*('Kunci Adjudikasi'!U16='Kunci Adjudikasi'!AA16)+('Kunci Adjudikasi'!$E$1&gt;=4)*('Kunci Adjudikasi'!U16&lt;&gt;"")*('Kunci Adjudikasi'!AG16&lt;&gt;"")*('Kunci Adjudikasi'!U16='Kunci Adjudikasi'!AG16)+('Kunci Adjudikasi'!$E$1&gt;=4)*('Kunci Adjudikasi'!AA16&lt;&gt;"")*('Kunci Adjudikasi'!AG16&lt;&gt;"")*('Kunci Adjudikasi'!AA16='Kunci Adjudikasi'!AG16)))/(F16-1),0)</f>
        <v>0</v>
      </c>
      <c r="H16" s="20">
        <f>('Kunci Adjudikasi'!P16&lt;&gt;"")+('Kunci Adjudikasi'!V16&lt;&gt;"")+('Kunci Adjudikasi'!$E$1&gt;=3)*('Kunci Adjudikasi'!AB16&lt;&gt;"")+('Kunci Adjudikasi'!$E$1&gt;=4)*('Kunci Adjudikasi'!AH16&lt;&gt;"")</f>
        <v>1</v>
      </c>
      <c r="I16" s="20">
        <f>IF(H16&gt;=2,(H16*(H16-1)/2-(('Kunci Adjudikasi'!P16&lt;&gt;"")*('Kunci Adjudikasi'!V16&lt;&gt;"")*('Kunci Adjudikasi'!P16='Kunci Adjudikasi'!V16)+('Kunci Adjudikasi'!$E$1&gt;=3)*('Kunci Adjudikasi'!P16&lt;&gt;"")*('Kunci Adjudikasi'!AB16&lt;&gt;"")*('Kunci Adjudikasi'!P16='Kunci Adjudikasi'!AB16)+('Kunci Adjudikasi'!$E$1&gt;=4)*('Kunci Adjudikasi'!P16&lt;&gt;"")*('Kunci Adjudikasi'!AH16&lt;&gt;"")*('Kunci Adjudikasi'!P16='Kunci Adjudikasi'!AH16)+('Kunci Adjudikasi'!$E$1&gt;=3)*('Kunci Adjudikasi'!V16&lt;&gt;"")*('Kunci Adjudikasi'!AB16&lt;&gt;"")*('Kunci Adjudikasi'!V16='Kunci Adjudikasi'!AB16)+('Kunci Adjudikasi'!$E$1&gt;=4)*('Kunci Adjudikasi'!V16&lt;&gt;"")*('Kunci Adjudikasi'!AH16&lt;&gt;"")*('Kunci Adjudikasi'!V16='Kunci Adjudikasi'!AH16)+('Kunci Adjudikasi'!$E$1&gt;=4)*('Kunci Adjudikasi'!AB16&lt;&gt;"")*('Kunci Adjudikasi'!AH16&lt;&gt;"")*('Kunci Adjudikasi'!AB16='Kunci Adjudikasi'!AH16)))/(H16-1),0)</f>
        <v>0</v>
      </c>
      <c r="J16" s="20">
        <f>('Kunci Adjudikasi'!Q16&lt;&gt;"")+('Kunci Adjudikasi'!W16&lt;&gt;"")+('Kunci Adjudikasi'!$E$1&gt;=3)*('Kunci Adjudikasi'!AC16&lt;&gt;"")+('Kunci Adjudikasi'!$E$1&gt;=4)*('Kunci Adjudikasi'!AI16&lt;&gt;"")</f>
        <v>1</v>
      </c>
      <c r="K16" s="20">
        <f>IF(J16&gt;=2,(J16*(J16-1)/2-(('Kunci Adjudikasi'!Q16&lt;&gt;"")*('Kunci Adjudikasi'!W16&lt;&gt;"")*('Kunci Adjudikasi'!Q16='Kunci Adjudikasi'!W16)+('Kunci Adjudikasi'!$E$1&gt;=3)*('Kunci Adjudikasi'!Q16&lt;&gt;"")*('Kunci Adjudikasi'!AC16&lt;&gt;"")*('Kunci Adjudikasi'!Q16='Kunci Adjudikasi'!AC16)+('Kunci Adjudikasi'!$E$1&gt;=4)*('Kunci Adjudikasi'!Q16&lt;&gt;"")*('Kunci Adjudikasi'!AI16&lt;&gt;"")*('Kunci Adjudikasi'!Q16='Kunci Adjudikasi'!AI16)+('Kunci Adjudikasi'!$E$1&gt;=3)*('Kunci Adjudikasi'!W16&lt;&gt;"")*('Kunci Adjudikasi'!AC16&lt;&gt;"")*('Kunci Adjudikasi'!W16='Kunci Adjudikasi'!AC16)+('Kunci Adjudikasi'!$E$1&gt;=4)*('Kunci Adjudikasi'!W16&lt;&gt;"")*('Kunci Adjudikasi'!AI16&lt;&gt;"")*('Kunci Adjudikasi'!W16='Kunci Adjudikasi'!AI16)+('Kunci Adjudikasi'!$E$1&gt;=4)*('Kunci Adjudikasi'!AC16&lt;&gt;"")*('Kunci Adjudikasi'!AI16&lt;&gt;"")*('Kunci Adjudikasi'!AC16='Kunci Adjudikasi'!AI16)))/(J16-1),0)</f>
        <v>0</v>
      </c>
      <c r="L16" s="20">
        <f>('Kunci Adjudikasi'!R16&lt;&gt;"")+('Kunci Adjudikasi'!X16&lt;&gt;"")+('Kunci Adjudikasi'!$E$1&gt;=3)*('Kunci Adjudikasi'!AD16&lt;&gt;"")+('Kunci Adjudikasi'!$E$1&gt;=4)*('Kunci Adjudikasi'!AJ16&lt;&gt;"")</f>
        <v>1</v>
      </c>
      <c r="M16" s="20">
        <f>IF(L16&gt;=2,(L16*(L16-1)/2-(('Kunci Adjudikasi'!R16&lt;&gt;"")*('Kunci Adjudikasi'!X16&lt;&gt;"")*('Kunci Adjudikasi'!R16='Kunci Adjudikasi'!X16)+('Kunci Adjudikasi'!$E$1&gt;=3)*('Kunci Adjudikasi'!R16&lt;&gt;"")*('Kunci Adjudikasi'!AD16&lt;&gt;"")*('Kunci Adjudikasi'!R16='Kunci Adjudikasi'!AD16)+('Kunci Adjudikasi'!$E$1&gt;=4)*('Kunci Adjudikasi'!R16&lt;&gt;"")*('Kunci Adjudikasi'!AJ16&lt;&gt;"")*('Kunci Adjudikasi'!R16='Kunci Adjudikasi'!AJ16)+('Kunci Adjudikasi'!$E$1&gt;=3)*('Kunci Adjudikasi'!X16&lt;&gt;"")*('Kunci Adjudikasi'!AD16&lt;&gt;"")*('Kunci Adjudikasi'!X16='Kunci Adjudikasi'!AD16)+('Kunci Adjudikasi'!$E$1&gt;=4)*('Kunci Adjudikasi'!X16&lt;&gt;"")*('Kunci Adjudikasi'!AJ16&lt;&gt;"")*('Kunci Adjudikasi'!X16='Kunci Adjudikasi'!AJ16)+('Kunci Adjudikasi'!$E$1&gt;=4)*('Kunci Adjudikasi'!AD16&lt;&gt;"")*('Kunci Adjudikasi'!AJ16&lt;&gt;"")*('Kunci Adjudikasi'!AD16='Kunci Adjudikasi'!AJ16)))/(L16-1),0)</f>
        <v>0</v>
      </c>
      <c r="N16" s="20">
        <f>(LEFT('Kunci Adjudikasi'!N16,2)="R0")+(LEFT('Kunci Adjudikasi'!T16,2)="R0")+('Kunci Adjudikasi'!$E$1&gt;=3)*(LEFT('Kunci Adjudikasi'!Z16,2)="R0")+('Kunci Adjudikasi'!$E$1&gt;=4)*(LEFT('Kunci Adjudikasi'!AF16,2)="R0")</f>
        <v>0</v>
      </c>
      <c r="O16" s="20">
        <f>(LEFT('Kunci Adjudikasi'!N16,2)="R1")+(LEFT('Kunci Adjudikasi'!T16,2)="R1")+('Kunci Adjudikasi'!$E$1&gt;=3)*(LEFT('Kunci Adjudikasi'!Z16,2)="R1")+('Kunci Adjudikasi'!$E$1&gt;=4)*(LEFT('Kunci Adjudikasi'!AF16,2)="R1")</f>
        <v>0</v>
      </c>
      <c r="P16" s="20">
        <f>(LEFT('Kunci Adjudikasi'!N16,2)="R2")+(LEFT('Kunci Adjudikasi'!T16,2)="R2")+('Kunci Adjudikasi'!$E$1&gt;=3)*(LEFT('Kunci Adjudikasi'!Z16,2)="R2")+('Kunci Adjudikasi'!$E$1&gt;=4)*(LEFT('Kunci Adjudikasi'!AF16,2)="R2")</f>
        <v>1</v>
      </c>
      <c r="Q16" s="20">
        <f t="shared" si="43"/>
        <v>0</v>
      </c>
      <c r="R16" s="20">
        <f t="shared" si="44"/>
        <v>0</v>
      </c>
      <c r="S16" s="20">
        <f t="shared" si="45"/>
        <v>0</v>
      </c>
    </row>
    <row r="17">
      <c r="A17" s="20">
        <f>'Kunci Adjudikasi'!A17</f>
        <v>14</v>
      </c>
      <c r="B17" s="20">
        <f>('Kunci Adjudikasi'!M17&lt;&gt;"")+('Kunci Adjudikasi'!S17&lt;&gt;"")+('Kunci Adjudikasi'!$E$1&gt;=3)*('Kunci Adjudikasi'!Y17&lt;&gt;"")+('Kunci Adjudikasi'!$E$1&gt;=4)*('Kunci Adjudikasi'!AE17&lt;&gt;"")</f>
        <v>0</v>
      </c>
      <c r="C17" s="20">
        <f>IF(B17&gt;=2,(B17*(B17-1)/2-(('Kunci Adjudikasi'!M17&lt;&gt;"")*('Kunci Adjudikasi'!S17&lt;&gt;"")*('Kunci Adjudikasi'!M17='Kunci Adjudikasi'!S17)+('Kunci Adjudikasi'!$E$1&gt;=3)*('Kunci Adjudikasi'!M17&lt;&gt;"")*('Kunci Adjudikasi'!Y17&lt;&gt;"")*('Kunci Adjudikasi'!M17='Kunci Adjudikasi'!Y17)+('Kunci Adjudikasi'!$E$1&gt;=4)*('Kunci Adjudikasi'!M17&lt;&gt;"")*('Kunci Adjudikasi'!AE17&lt;&gt;"")*('Kunci Adjudikasi'!M17='Kunci Adjudikasi'!AE17)+('Kunci Adjudikasi'!$E$1&gt;=3)*('Kunci Adjudikasi'!S17&lt;&gt;"")*('Kunci Adjudikasi'!Y17&lt;&gt;"")*('Kunci Adjudikasi'!S17='Kunci Adjudikasi'!Y17)+('Kunci Adjudikasi'!$E$1&gt;=4)*('Kunci Adjudikasi'!S17&lt;&gt;"")*('Kunci Adjudikasi'!AE17&lt;&gt;"")*('Kunci Adjudikasi'!S17='Kunci Adjudikasi'!AE17)+('Kunci Adjudikasi'!$E$1&gt;=4)*('Kunci Adjudikasi'!Y17&lt;&gt;"")*('Kunci Adjudikasi'!AE17&lt;&gt;"")*('Kunci Adjudikasi'!Y17='Kunci Adjudikasi'!AE17)))/(B17-1),0)</f>
        <v>0</v>
      </c>
      <c r="D17" s="20">
        <f>('Kunci Adjudikasi'!N17&lt;&gt;"")+('Kunci Adjudikasi'!T17&lt;&gt;"")+('Kunci Adjudikasi'!$E$1&gt;=3)*('Kunci Adjudikasi'!Z17&lt;&gt;"")+('Kunci Adjudikasi'!$E$1&gt;=4)*('Kunci Adjudikasi'!AF17&lt;&gt;"")</f>
        <v>0</v>
      </c>
      <c r="E17" s="20">
        <f>IF(D17&gt;=2,(D17*(D17-1)/2-(('Kunci Adjudikasi'!N17&lt;&gt;"")*('Kunci Adjudikasi'!T17&lt;&gt;"")*('Kunci Adjudikasi'!N17='Kunci Adjudikasi'!T17)+('Kunci Adjudikasi'!$E$1&gt;=3)*('Kunci Adjudikasi'!N17&lt;&gt;"")*('Kunci Adjudikasi'!Z17&lt;&gt;"")*('Kunci Adjudikasi'!N17='Kunci Adjudikasi'!Z17)+('Kunci Adjudikasi'!$E$1&gt;=4)*('Kunci Adjudikasi'!N17&lt;&gt;"")*('Kunci Adjudikasi'!AF17&lt;&gt;"")*('Kunci Adjudikasi'!N17='Kunci Adjudikasi'!AF17)+('Kunci Adjudikasi'!$E$1&gt;=3)*('Kunci Adjudikasi'!T17&lt;&gt;"")*('Kunci Adjudikasi'!Z17&lt;&gt;"")*('Kunci Adjudikasi'!T17='Kunci Adjudikasi'!Z17)+('Kunci Adjudikasi'!$E$1&gt;=4)*('Kunci Adjudikasi'!T17&lt;&gt;"")*('Kunci Adjudikasi'!AF17&lt;&gt;"")*('Kunci Adjudikasi'!T17='Kunci Adjudikasi'!AF17)+('Kunci Adjudikasi'!$E$1&gt;=4)*('Kunci Adjudikasi'!Z17&lt;&gt;"")*('Kunci Adjudikasi'!AF17&lt;&gt;"")*('Kunci Adjudikasi'!Z17='Kunci Adjudikasi'!AF17)))/(D17-1),0)</f>
        <v>0</v>
      </c>
      <c r="F17" s="20">
        <f>('Kunci Adjudikasi'!O17&lt;&gt;"")+('Kunci Adjudikasi'!U17&lt;&gt;"")+('Kunci Adjudikasi'!$E$1&gt;=3)*('Kunci Adjudikasi'!AA17&lt;&gt;"")+('Kunci Adjudikasi'!$E$1&gt;=4)*('Kunci Adjudikasi'!AG17&lt;&gt;"")</f>
        <v>0</v>
      </c>
      <c r="G17" s="20">
        <f>IF(F17&gt;=2,(F17*(F17-1)/2-(('Kunci Adjudikasi'!O17&lt;&gt;"")*('Kunci Adjudikasi'!U17&lt;&gt;"")*('Kunci Adjudikasi'!O17='Kunci Adjudikasi'!U17)+('Kunci Adjudikasi'!$E$1&gt;=3)*('Kunci Adjudikasi'!O17&lt;&gt;"")*('Kunci Adjudikasi'!AA17&lt;&gt;"")*('Kunci Adjudikasi'!O17='Kunci Adjudikasi'!AA17)+('Kunci Adjudikasi'!$E$1&gt;=4)*('Kunci Adjudikasi'!O17&lt;&gt;"")*('Kunci Adjudikasi'!AG17&lt;&gt;"")*('Kunci Adjudikasi'!O17='Kunci Adjudikasi'!AG17)+('Kunci Adjudikasi'!$E$1&gt;=3)*('Kunci Adjudikasi'!U17&lt;&gt;"")*('Kunci Adjudikasi'!AA17&lt;&gt;"")*('Kunci Adjudikasi'!U17='Kunci Adjudikasi'!AA17)+('Kunci Adjudikasi'!$E$1&gt;=4)*('Kunci Adjudikasi'!U17&lt;&gt;"")*('Kunci Adjudikasi'!AG17&lt;&gt;"")*('Kunci Adjudikasi'!U17='Kunci Adjudikasi'!AG17)+('Kunci Adjudikasi'!$E$1&gt;=4)*('Kunci Adjudikasi'!AA17&lt;&gt;"")*('Kunci Adjudikasi'!AG17&lt;&gt;"")*('Kunci Adjudikasi'!AA17='Kunci Adjudikasi'!AG17)))/(F17-1),0)</f>
        <v>0</v>
      </c>
      <c r="H17" s="20">
        <f>('Kunci Adjudikasi'!P17&lt;&gt;"")+('Kunci Adjudikasi'!V17&lt;&gt;"")+('Kunci Adjudikasi'!$E$1&gt;=3)*('Kunci Adjudikasi'!AB17&lt;&gt;"")+('Kunci Adjudikasi'!$E$1&gt;=4)*('Kunci Adjudikasi'!AH17&lt;&gt;"")</f>
        <v>0</v>
      </c>
      <c r="I17" s="20">
        <f>IF(H17&gt;=2,(H17*(H17-1)/2-(('Kunci Adjudikasi'!P17&lt;&gt;"")*('Kunci Adjudikasi'!V17&lt;&gt;"")*('Kunci Adjudikasi'!P17='Kunci Adjudikasi'!V17)+('Kunci Adjudikasi'!$E$1&gt;=3)*('Kunci Adjudikasi'!P17&lt;&gt;"")*('Kunci Adjudikasi'!AB17&lt;&gt;"")*('Kunci Adjudikasi'!P17='Kunci Adjudikasi'!AB17)+('Kunci Adjudikasi'!$E$1&gt;=4)*('Kunci Adjudikasi'!P17&lt;&gt;"")*('Kunci Adjudikasi'!AH17&lt;&gt;"")*('Kunci Adjudikasi'!P17='Kunci Adjudikasi'!AH17)+('Kunci Adjudikasi'!$E$1&gt;=3)*('Kunci Adjudikasi'!V17&lt;&gt;"")*('Kunci Adjudikasi'!AB17&lt;&gt;"")*('Kunci Adjudikasi'!V17='Kunci Adjudikasi'!AB17)+('Kunci Adjudikasi'!$E$1&gt;=4)*('Kunci Adjudikasi'!V17&lt;&gt;"")*('Kunci Adjudikasi'!AH17&lt;&gt;"")*('Kunci Adjudikasi'!V17='Kunci Adjudikasi'!AH17)+('Kunci Adjudikasi'!$E$1&gt;=4)*('Kunci Adjudikasi'!AB17&lt;&gt;"")*('Kunci Adjudikasi'!AH17&lt;&gt;"")*('Kunci Adjudikasi'!AB17='Kunci Adjudikasi'!AH17)))/(H17-1),0)</f>
        <v>0</v>
      </c>
      <c r="J17" s="20">
        <f>('Kunci Adjudikasi'!Q17&lt;&gt;"")+('Kunci Adjudikasi'!W17&lt;&gt;"")+('Kunci Adjudikasi'!$E$1&gt;=3)*('Kunci Adjudikasi'!AC17&lt;&gt;"")+('Kunci Adjudikasi'!$E$1&gt;=4)*('Kunci Adjudikasi'!AI17&lt;&gt;"")</f>
        <v>0</v>
      </c>
      <c r="K17" s="20">
        <f>IF(J17&gt;=2,(J17*(J17-1)/2-(('Kunci Adjudikasi'!Q17&lt;&gt;"")*('Kunci Adjudikasi'!W17&lt;&gt;"")*('Kunci Adjudikasi'!Q17='Kunci Adjudikasi'!W17)+('Kunci Adjudikasi'!$E$1&gt;=3)*('Kunci Adjudikasi'!Q17&lt;&gt;"")*('Kunci Adjudikasi'!AC17&lt;&gt;"")*('Kunci Adjudikasi'!Q17='Kunci Adjudikasi'!AC17)+('Kunci Adjudikasi'!$E$1&gt;=4)*('Kunci Adjudikasi'!Q17&lt;&gt;"")*('Kunci Adjudikasi'!AI17&lt;&gt;"")*('Kunci Adjudikasi'!Q17='Kunci Adjudikasi'!AI17)+('Kunci Adjudikasi'!$E$1&gt;=3)*('Kunci Adjudikasi'!W17&lt;&gt;"")*('Kunci Adjudikasi'!AC17&lt;&gt;"")*('Kunci Adjudikasi'!W17='Kunci Adjudikasi'!AC17)+('Kunci Adjudikasi'!$E$1&gt;=4)*('Kunci Adjudikasi'!W17&lt;&gt;"")*('Kunci Adjudikasi'!AI17&lt;&gt;"")*('Kunci Adjudikasi'!W17='Kunci Adjudikasi'!AI17)+('Kunci Adjudikasi'!$E$1&gt;=4)*('Kunci Adjudikasi'!AC17&lt;&gt;"")*('Kunci Adjudikasi'!AI17&lt;&gt;"")*('Kunci Adjudikasi'!AC17='Kunci Adjudikasi'!AI17)))/(J17-1),0)</f>
        <v>0</v>
      </c>
      <c r="L17" s="20">
        <f>('Kunci Adjudikasi'!R17&lt;&gt;"")+('Kunci Adjudikasi'!X17&lt;&gt;"")+('Kunci Adjudikasi'!$E$1&gt;=3)*('Kunci Adjudikasi'!AD17&lt;&gt;"")+('Kunci Adjudikasi'!$E$1&gt;=4)*('Kunci Adjudikasi'!AJ17&lt;&gt;"")</f>
        <v>0</v>
      </c>
      <c r="M17" s="20">
        <f>IF(L17&gt;=2,(L17*(L17-1)/2-(('Kunci Adjudikasi'!R17&lt;&gt;"")*('Kunci Adjudikasi'!X17&lt;&gt;"")*('Kunci Adjudikasi'!R17='Kunci Adjudikasi'!X17)+('Kunci Adjudikasi'!$E$1&gt;=3)*('Kunci Adjudikasi'!R17&lt;&gt;"")*('Kunci Adjudikasi'!AD17&lt;&gt;"")*('Kunci Adjudikasi'!R17='Kunci Adjudikasi'!AD17)+('Kunci Adjudikasi'!$E$1&gt;=4)*('Kunci Adjudikasi'!R17&lt;&gt;"")*('Kunci Adjudikasi'!AJ17&lt;&gt;"")*('Kunci Adjudikasi'!R17='Kunci Adjudikasi'!AJ17)+('Kunci Adjudikasi'!$E$1&gt;=3)*('Kunci Adjudikasi'!X17&lt;&gt;"")*('Kunci Adjudikasi'!AD17&lt;&gt;"")*('Kunci Adjudikasi'!X17='Kunci Adjudikasi'!AD17)+('Kunci Adjudikasi'!$E$1&gt;=4)*('Kunci Adjudikasi'!X17&lt;&gt;"")*('Kunci Adjudikasi'!AJ17&lt;&gt;"")*('Kunci Adjudikasi'!X17='Kunci Adjudikasi'!AJ17)+('Kunci Adjudikasi'!$E$1&gt;=4)*('Kunci Adjudikasi'!AD17&lt;&gt;"")*('Kunci Adjudikasi'!AJ17&lt;&gt;"")*('Kunci Adjudikasi'!AD17='Kunci Adjudikasi'!AJ17)))/(L17-1),0)</f>
        <v>0</v>
      </c>
      <c r="N17" s="20">
        <f>(LEFT('Kunci Adjudikasi'!N17,2)="R0")+(LEFT('Kunci Adjudikasi'!T17,2)="R0")+('Kunci Adjudikasi'!$E$1&gt;=3)*(LEFT('Kunci Adjudikasi'!Z17,2)="R0")+('Kunci Adjudikasi'!$E$1&gt;=4)*(LEFT('Kunci Adjudikasi'!AF17,2)="R0")</f>
        <v>0</v>
      </c>
      <c r="O17" s="20">
        <f>(LEFT('Kunci Adjudikasi'!N17,2)="R1")+(LEFT('Kunci Adjudikasi'!T17,2)="R1")+('Kunci Adjudikasi'!$E$1&gt;=3)*(LEFT('Kunci Adjudikasi'!Z17,2)="R1")+('Kunci Adjudikasi'!$E$1&gt;=4)*(LEFT('Kunci Adjudikasi'!AF17,2)="R1")</f>
        <v>0</v>
      </c>
      <c r="P17" s="20">
        <f>(LEFT('Kunci Adjudikasi'!N17,2)="R2")+(LEFT('Kunci Adjudikasi'!T17,2)="R2")+('Kunci Adjudikasi'!$E$1&gt;=3)*(LEFT('Kunci Adjudikasi'!Z17,2)="R2")+('Kunci Adjudikasi'!$E$1&gt;=4)*(LEFT('Kunci Adjudikasi'!AF17,2)="R2")</f>
        <v>0</v>
      </c>
      <c r="Q17" s="20">
        <f t="shared" si="43"/>
        <v>0</v>
      </c>
      <c r="R17" s="20">
        <f t="shared" si="44"/>
        <v>0</v>
      </c>
      <c r="S17" s="20">
        <f t="shared" si="45"/>
        <v>0</v>
      </c>
    </row>
    <row r="18">
      <c r="A18" s="20">
        <f>'Kunci Adjudikasi'!A18</f>
        <v>15</v>
      </c>
      <c r="B18" s="20">
        <f>('Kunci Adjudikasi'!M18&lt;&gt;"")+('Kunci Adjudikasi'!S18&lt;&gt;"")+('Kunci Adjudikasi'!$E$1&gt;=3)*('Kunci Adjudikasi'!Y18&lt;&gt;"")+('Kunci Adjudikasi'!$E$1&gt;=4)*('Kunci Adjudikasi'!AE18&lt;&gt;"")</f>
        <v>1</v>
      </c>
      <c r="C18" s="20">
        <f>IF(B18&gt;=2,(B18*(B18-1)/2-(('Kunci Adjudikasi'!M18&lt;&gt;"")*('Kunci Adjudikasi'!S18&lt;&gt;"")*('Kunci Adjudikasi'!M18='Kunci Adjudikasi'!S18)+('Kunci Adjudikasi'!$E$1&gt;=3)*('Kunci Adjudikasi'!M18&lt;&gt;"")*('Kunci Adjudikasi'!Y18&lt;&gt;"")*('Kunci Adjudikasi'!M18='Kunci Adjudikasi'!Y18)+('Kunci Adjudikasi'!$E$1&gt;=4)*('Kunci Adjudikasi'!M18&lt;&gt;"")*('Kunci Adjudikasi'!AE18&lt;&gt;"")*('Kunci Adjudikasi'!M18='Kunci Adjudikasi'!AE18)+('Kunci Adjudikasi'!$E$1&gt;=3)*('Kunci Adjudikasi'!S18&lt;&gt;"")*('Kunci Adjudikasi'!Y18&lt;&gt;"")*('Kunci Adjudikasi'!S18='Kunci Adjudikasi'!Y18)+('Kunci Adjudikasi'!$E$1&gt;=4)*('Kunci Adjudikasi'!S18&lt;&gt;"")*('Kunci Adjudikasi'!AE18&lt;&gt;"")*('Kunci Adjudikasi'!S18='Kunci Adjudikasi'!AE18)+('Kunci Adjudikasi'!$E$1&gt;=4)*('Kunci Adjudikasi'!Y18&lt;&gt;"")*('Kunci Adjudikasi'!AE18&lt;&gt;"")*('Kunci Adjudikasi'!Y18='Kunci Adjudikasi'!AE18)))/(B18-1),0)</f>
        <v>0</v>
      </c>
      <c r="D18" s="20">
        <f>('Kunci Adjudikasi'!N18&lt;&gt;"")+('Kunci Adjudikasi'!T18&lt;&gt;"")+('Kunci Adjudikasi'!$E$1&gt;=3)*('Kunci Adjudikasi'!Z18&lt;&gt;"")+('Kunci Adjudikasi'!$E$1&gt;=4)*('Kunci Adjudikasi'!AF18&lt;&gt;"")</f>
        <v>1</v>
      </c>
      <c r="E18" s="20">
        <f>IF(D18&gt;=2,(D18*(D18-1)/2-(('Kunci Adjudikasi'!N18&lt;&gt;"")*('Kunci Adjudikasi'!T18&lt;&gt;"")*('Kunci Adjudikasi'!N18='Kunci Adjudikasi'!T18)+('Kunci Adjudikasi'!$E$1&gt;=3)*('Kunci Adjudikasi'!N18&lt;&gt;"")*('Kunci Adjudikasi'!Z18&lt;&gt;"")*('Kunci Adjudikasi'!N18='Kunci Adjudikasi'!Z18)+('Kunci Adjudikasi'!$E$1&gt;=4)*('Kunci Adjudikasi'!N18&lt;&gt;"")*('Kunci Adjudikasi'!AF18&lt;&gt;"")*('Kunci Adjudikasi'!N18='Kunci Adjudikasi'!AF18)+('Kunci Adjudikasi'!$E$1&gt;=3)*('Kunci Adjudikasi'!T18&lt;&gt;"")*('Kunci Adjudikasi'!Z18&lt;&gt;"")*('Kunci Adjudikasi'!T18='Kunci Adjudikasi'!Z18)+('Kunci Adjudikasi'!$E$1&gt;=4)*('Kunci Adjudikasi'!T18&lt;&gt;"")*('Kunci Adjudikasi'!AF18&lt;&gt;"")*('Kunci Adjudikasi'!T18='Kunci Adjudikasi'!AF18)+('Kunci Adjudikasi'!$E$1&gt;=4)*('Kunci Adjudikasi'!Z18&lt;&gt;"")*('Kunci Adjudikasi'!AF18&lt;&gt;"")*('Kunci Adjudikasi'!Z18='Kunci Adjudikasi'!AF18)))/(D18-1),0)</f>
        <v>0</v>
      </c>
      <c r="F18" s="20">
        <f>('Kunci Adjudikasi'!O18&lt;&gt;"")+('Kunci Adjudikasi'!U18&lt;&gt;"")+('Kunci Adjudikasi'!$E$1&gt;=3)*('Kunci Adjudikasi'!AA18&lt;&gt;"")+('Kunci Adjudikasi'!$E$1&gt;=4)*('Kunci Adjudikasi'!AG18&lt;&gt;"")</f>
        <v>1</v>
      </c>
      <c r="G18" s="20">
        <f>IF(F18&gt;=2,(F18*(F18-1)/2-(('Kunci Adjudikasi'!O18&lt;&gt;"")*('Kunci Adjudikasi'!U18&lt;&gt;"")*('Kunci Adjudikasi'!O18='Kunci Adjudikasi'!U18)+('Kunci Adjudikasi'!$E$1&gt;=3)*('Kunci Adjudikasi'!O18&lt;&gt;"")*('Kunci Adjudikasi'!AA18&lt;&gt;"")*('Kunci Adjudikasi'!O18='Kunci Adjudikasi'!AA18)+('Kunci Adjudikasi'!$E$1&gt;=4)*('Kunci Adjudikasi'!O18&lt;&gt;"")*('Kunci Adjudikasi'!AG18&lt;&gt;"")*('Kunci Adjudikasi'!O18='Kunci Adjudikasi'!AG18)+('Kunci Adjudikasi'!$E$1&gt;=3)*('Kunci Adjudikasi'!U18&lt;&gt;"")*('Kunci Adjudikasi'!AA18&lt;&gt;"")*('Kunci Adjudikasi'!U18='Kunci Adjudikasi'!AA18)+('Kunci Adjudikasi'!$E$1&gt;=4)*('Kunci Adjudikasi'!U18&lt;&gt;"")*('Kunci Adjudikasi'!AG18&lt;&gt;"")*('Kunci Adjudikasi'!U18='Kunci Adjudikasi'!AG18)+('Kunci Adjudikasi'!$E$1&gt;=4)*('Kunci Adjudikasi'!AA18&lt;&gt;"")*('Kunci Adjudikasi'!AG18&lt;&gt;"")*('Kunci Adjudikasi'!AA18='Kunci Adjudikasi'!AG18)))/(F18-1),0)</f>
        <v>0</v>
      </c>
      <c r="H18" s="20">
        <f>('Kunci Adjudikasi'!P18&lt;&gt;"")+('Kunci Adjudikasi'!V18&lt;&gt;"")+('Kunci Adjudikasi'!$E$1&gt;=3)*('Kunci Adjudikasi'!AB18&lt;&gt;"")+('Kunci Adjudikasi'!$E$1&gt;=4)*('Kunci Adjudikasi'!AH18&lt;&gt;"")</f>
        <v>1</v>
      </c>
      <c r="I18" s="20">
        <f>IF(H18&gt;=2,(H18*(H18-1)/2-(('Kunci Adjudikasi'!P18&lt;&gt;"")*('Kunci Adjudikasi'!V18&lt;&gt;"")*('Kunci Adjudikasi'!P18='Kunci Adjudikasi'!V18)+('Kunci Adjudikasi'!$E$1&gt;=3)*('Kunci Adjudikasi'!P18&lt;&gt;"")*('Kunci Adjudikasi'!AB18&lt;&gt;"")*('Kunci Adjudikasi'!P18='Kunci Adjudikasi'!AB18)+('Kunci Adjudikasi'!$E$1&gt;=4)*('Kunci Adjudikasi'!P18&lt;&gt;"")*('Kunci Adjudikasi'!AH18&lt;&gt;"")*('Kunci Adjudikasi'!P18='Kunci Adjudikasi'!AH18)+('Kunci Adjudikasi'!$E$1&gt;=3)*('Kunci Adjudikasi'!V18&lt;&gt;"")*('Kunci Adjudikasi'!AB18&lt;&gt;"")*('Kunci Adjudikasi'!V18='Kunci Adjudikasi'!AB18)+('Kunci Adjudikasi'!$E$1&gt;=4)*('Kunci Adjudikasi'!V18&lt;&gt;"")*('Kunci Adjudikasi'!AH18&lt;&gt;"")*('Kunci Adjudikasi'!V18='Kunci Adjudikasi'!AH18)+('Kunci Adjudikasi'!$E$1&gt;=4)*('Kunci Adjudikasi'!AB18&lt;&gt;"")*('Kunci Adjudikasi'!AH18&lt;&gt;"")*('Kunci Adjudikasi'!AB18='Kunci Adjudikasi'!AH18)))/(H18-1),0)</f>
        <v>0</v>
      </c>
      <c r="J18" s="20">
        <f>('Kunci Adjudikasi'!Q18&lt;&gt;"")+('Kunci Adjudikasi'!W18&lt;&gt;"")+('Kunci Adjudikasi'!$E$1&gt;=3)*('Kunci Adjudikasi'!AC18&lt;&gt;"")+('Kunci Adjudikasi'!$E$1&gt;=4)*('Kunci Adjudikasi'!AI18&lt;&gt;"")</f>
        <v>1</v>
      </c>
      <c r="K18" s="20">
        <f>IF(J18&gt;=2,(J18*(J18-1)/2-(('Kunci Adjudikasi'!Q18&lt;&gt;"")*('Kunci Adjudikasi'!W18&lt;&gt;"")*('Kunci Adjudikasi'!Q18='Kunci Adjudikasi'!W18)+('Kunci Adjudikasi'!$E$1&gt;=3)*('Kunci Adjudikasi'!Q18&lt;&gt;"")*('Kunci Adjudikasi'!AC18&lt;&gt;"")*('Kunci Adjudikasi'!Q18='Kunci Adjudikasi'!AC18)+('Kunci Adjudikasi'!$E$1&gt;=4)*('Kunci Adjudikasi'!Q18&lt;&gt;"")*('Kunci Adjudikasi'!AI18&lt;&gt;"")*('Kunci Adjudikasi'!Q18='Kunci Adjudikasi'!AI18)+('Kunci Adjudikasi'!$E$1&gt;=3)*('Kunci Adjudikasi'!W18&lt;&gt;"")*('Kunci Adjudikasi'!AC18&lt;&gt;"")*('Kunci Adjudikasi'!W18='Kunci Adjudikasi'!AC18)+('Kunci Adjudikasi'!$E$1&gt;=4)*('Kunci Adjudikasi'!W18&lt;&gt;"")*('Kunci Adjudikasi'!AI18&lt;&gt;"")*('Kunci Adjudikasi'!W18='Kunci Adjudikasi'!AI18)+('Kunci Adjudikasi'!$E$1&gt;=4)*('Kunci Adjudikasi'!AC18&lt;&gt;"")*('Kunci Adjudikasi'!AI18&lt;&gt;"")*('Kunci Adjudikasi'!AC18='Kunci Adjudikasi'!AI18)))/(J18-1),0)</f>
        <v>0</v>
      </c>
      <c r="L18" s="20">
        <f>('Kunci Adjudikasi'!R18&lt;&gt;"")+('Kunci Adjudikasi'!X18&lt;&gt;"")+('Kunci Adjudikasi'!$E$1&gt;=3)*('Kunci Adjudikasi'!AD18&lt;&gt;"")+('Kunci Adjudikasi'!$E$1&gt;=4)*('Kunci Adjudikasi'!AJ18&lt;&gt;"")</f>
        <v>1</v>
      </c>
      <c r="M18" s="20">
        <f>IF(L18&gt;=2,(L18*(L18-1)/2-(('Kunci Adjudikasi'!R18&lt;&gt;"")*('Kunci Adjudikasi'!X18&lt;&gt;"")*('Kunci Adjudikasi'!R18='Kunci Adjudikasi'!X18)+('Kunci Adjudikasi'!$E$1&gt;=3)*('Kunci Adjudikasi'!R18&lt;&gt;"")*('Kunci Adjudikasi'!AD18&lt;&gt;"")*('Kunci Adjudikasi'!R18='Kunci Adjudikasi'!AD18)+('Kunci Adjudikasi'!$E$1&gt;=4)*('Kunci Adjudikasi'!R18&lt;&gt;"")*('Kunci Adjudikasi'!AJ18&lt;&gt;"")*('Kunci Adjudikasi'!R18='Kunci Adjudikasi'!AJ18)+('Kunci Adjudikasi'!$E$1&gt;=3)*('Kunci Adjudikasi'!X18&lt;&gt;"")*('Kunci Adjudikasi'!AD18&lt;&gt;"")*('Kunci Adjudikasi'!X18='Kunci Adjudikasi'!AD18)+('Kunci Adjudikasi'!$E$1&gt;=4)*('Kunci Adjudikasi'!X18&lt;&gt;"")*('Kunci Adjudikasi'!AJ18&lt;&gt;"")*('Kunci Adjudikasi'!X18='Kunci Adjudikasi'!AJ18)+('Kunci Adjudikasi'!$E$1&gt;=4)*('Kunci Adjudikasi'!AD18&lt;&gt;"")*('Kunci Adjudikasi'!AJ18&lt;&gt;"")*('Kunci Adjudikasi'!AD18='Kunci Adjudikasi'!AJ18)))/(L18-1),0)</f>
        <v>0</v>
      </c>
      <c r="N18" s="20">
        <f>(LEFT('Kunci Adjudikasi'!N18,2)="R0")+(LEFT('Kunci Adjudikasi'!T18,2)="R0")+('Kunci Adjudikasi'!$E$1&gt;=3)*(LEFT('Kunci Adjudikasi'!Z18,2)="R0")+('Kunci Adjudikasi'!$E$1&gt;=4)*(LEFT('Kunci Adjudikasi'!AF18,2)="R0")</f>
        <v>0</v>
      </c>
      <c r="O18" s="20">
        <f>(LEFT('Kunci Adjudikasi'!N18,2)="R1")+(LEFT('Kunci Adjudikasi'!T18,2)="R1")+('Kunci Adjudikasi'!$E$1&gt;=3)*(LEFT('Kunci Adjudikasi'!Z18,2)="R1")+('Kunci Adjudikasi'!$E$1&gt;=4)*(LEFT('Kunci Adjudikasi'!AF18,2)="R1")</f>
        <v>1</v>
      </c>
      <c r="P18" s="20">
        <f>(LEFT('Kunci Adjudikasi'!N18,2)="R2")+(LEFT('Kunci Adjudikasi'!T18,2)="R2")+('Kunci Adjudikasi'!$E$1&gt;=3)*(LEFT('Kunci Adjudikasi'!Z18,2)="R2")+('Kunci Adjudikasi'!$E$1&gt;=4)*(LEFT('Kunci Adjudikasi'!AF18,2)="R2")</f>
        <v>0</v>
      </c>
      <c r="Q18" s="20">
        <f t="shared" si="43"/>
        <v>0</v>
      </c>
      <c r="R18" s="20">
        <f t="shared" si="44"/>
        <v>0</v>
      </c>
      <c r="S18" s="20">
        <f t="shared" si="45"/>
        <v>0</v>
      </c>
    </row>
    <row r="19">
      <c r="A19" s="20">
        <f>'Kunci Adjudikasi'!A19</f>
        <v>16</v>
      </c>
      <c r="B19" s="20">
        <f>('Kunci Adjudikasi'!M19&lt;&gt;"")+('Kunci Adjudikasi'!S19&lt;&gt;"")+('Kunci Adjudikasi'!$E$1&gt;=3)*('Kunci Adjudikasi'!Y19&lt;&gt;"")+('Kunci Adjudikasi'!$E$1&gt;=4)*('Kunci Adjudikasi'!AE19&lt;&gt;"")</f>
        <v>0</v>
      </c>
      <c r="C19" s="20">
        <f>IF(B19&gt;=2,(B19*(B19-1)/2-(('Kunci Adjudikasi'!M19&lt;&gt;"")*('Kunci Adjudikasi'!S19&lt;&gt;"")*('Kunci Adjudikasi'!M19='Kunci Adjudikasi'!S19)+('Kunci Adjudikasi'!$E$1&gt;=3)*('Kunci Adjudikasi'!M19&lt;&gt;"")*('Kunci Adjudikasi'!Y19&lt;&gt;"")*('Kunci Adjudikasi'!M19='Kunci Adjudikasi'!Y19)+('Kunci Adjudikasi'!$E$1&gt;=4)*('Kunci Adjudikasi'!M19&lt;&gt;"")*('Kunci Adjudikasi'!AE19&lt;&gt;"")*('Kunci Adjudikasi'!M19='Kunci Adjudikasi'!AE19)+('Kunci Adjudikasi'!$E$1&gt;=3)*('Kunci Adjudikasi'!S19&lt;&gt;"")*('Kunci Adjudikasi'!Y19&lt;&gt;"")*('Kunci Adjudikasi'!S19='Kunci Adjudikasi'!Y19)+('Kunci Adjudikasi'!$E$1&gt;=4)*('Kunci Adjudikasi'!S19&lt;&gt;"")*('Kunci Adjudikasi'!AE19&lt;&gt;"")*('Kunci Adjudikasi'!S19='Kunci Adjudikasi'!AE19)+('Kunci Adjudikasi'!$E$1&gt;=4)*('Kunci Adjudikasi'!Y19&lt;&gt;"")*('Kunci Adjudikasi'!AE19&lt;&gt;"")*('Kunci Adjudikasi'!Y19='Kunci Adjudikasi'!AE19)))/(B19-1),0)</f>
        <v>0</v>
      </c>
      <c r="D19" s="20">
        <f>('Kunci Adjudikasi'!N19&lt;&gt;"")+('Kunci Adjudikasi'!T19&lt;&gt;"")+('Kunci Adjudikasi'!$E$1&gt;=3)*('Kunci Adjudikasi'!Z19&lt;&gt;"")+('Kunci Adjudikasi'!$E$1&gt;=4)*('Kunci Adjudikasi'!AF19&lt;&gt;"")</f>
        <v>0</v>
      </c>
      <c r="E19" s="20">
        <f>IF(D19&gt;=2,(D19*(D19-1)/2-(('Kunci Adjudikasi'!N19&lt;&gt;"")*('Kunci Adjudikasi'!T19&lt;&gt;"")*('Kunci Adjudikasi'!N19='Kunci Adjudikasi'!T19)+('Kunci Adjudikasi'!$E$1&gt;=3)*('Kunci Adjudikasi'!N19&lt;&gt;"")*('Kunci Adjudikasi'!Z19&lt;&gt;"")*('Kunci Adjudikasi'!N19='Kunci Adjudikasi'!Z19)+('Kunci Adjudikasi'!$E$1&gt;=4)*('Kunci Adjudikasi'!N19&lt;&gt;"")*('Kunci Adjudikasi'!AF19&lt;&gt;"")*('Kunci Adjudikasi'!N19='Kunci Adjudikasi'!AF19)+('Kunci Adjudikasi'!$E$1&gt;=3)*('Kunci Adjudikasi'!T19&lt;&gt;"")*('Kunci Adjudikasi'!Z19&lt;&gt;"")*('Kunci Adjudikasi'!T19='Kunci Adjudikasi'!Z19)+('Kunci Adjudikasi'!$E$1&gt;=4)*('Kunci Adjudikasi'!T19&lt;&gt;"")*('Kunci Adjudikasi'!AF19&lt;&gt;"")*('Kunci Adjudikasi'!T19='Kunci Adjudikasi'!AF19)+('Kunci Adjudikasi'!$E$1&gt;=4)*('Kunci Adjudikasi'!Z19&lt;&gt;"")*('Kunci Adjudikasi'!AF19&lt;&gt;"")*('Kunci Adjudikasi'!Z19='Kunci Adjudikasi'!AF19)))/(D19-1),0)</f>
        <v>0</v>
      </c>
      <c r="F19" s="20">
        <f>('Kunci Adjudikasi'!O19&lt;&gt;"")+('Kunci Adjudikasi'!U19&lt;&gt;"")+('Kunci Adjudikasi'!$E$1&gt;=3)*('Kunci Adjudikasi'!AA19&lt;&gt;"")+('Kunci Adjudikasi'!$E$1&gt;=4)*('Kunci Adjudikasi'!AG19&lt;&gt;"")</f>
        <v>0</v>
      </c>
      <c r="G19" s="20">
        <f>IF(F19&gt;=2,(F19*(F19-1)/2-(('Kunci Adjudikasi'!O19&lt;&gt;"")*('Kunci Adjudikasi'!U19&lt;&gt;"")*('Kunci Adjudikasi'!O19='Kunci Adjudikasi'!U19)+('Kunci Adjudikasi'!$E$1&gt;=3)*('Kunci Adjudikasi'!O19&lt;&gt;"")*('Kunci Adjudikasi'!AA19&lt;&gt;"")*('Kunci Adjudikasi'!O19='Kunci Adjudikasi'!AA19)+('Kunci Adjudikasi'!$E$1&gt;=4)*('Kunci Adjudikasi'!O19&lt;&gt;"")*('Kunci Adjudikasi'!AG19&lt;&gt;"")*('Kunci Adjudikasi'!O19='Kunci Adjudikasi'!AG19)+('Kunci Adjudikasi'!$E$1&gt;=3)*('Kunci Adjudikasi'!U19&lt;&gt;"")*('Kunci Adjudikasi'!AA19&lt;&gt;"")*('Kunci Adjudikasi'!U19='Kunci Adjudikasi'!AA19)+('Kunci Adjudikasi'!$E$1&gt;=4)*('Kunci Adjudikasi'!U19&lt;&gt;"")*('Kunci Adjudikasi'!AG19&lt;&gt;"")*('Kunci Adjudikasi'!U19='Kunci Adjudikasi'!AG19)+('Kunci Adjudikasi'!$E$1&gt;=4)*('Kunci Adjudikasi'!AA19&lt;&gt;"")*('Kunci Adjudikasi'!AG19&lt;&gt;"")*('Kunci Adjudikasi'!AA19='Kunci Adjudikasi'!AG19)))/(F19-1),0)</f>
        <v>0</v>
      </c>
      <c r="H19" s="20">
        <f>('Kunci Adjudikasi'!P19&lt;&gt;"")+('Kunci Adjudikasi'!V19&lt;&gt;"")+('Kunci Adjudikasi'!$E$1&gt;=3)*('Kunci Adjudikasi'!AB19&lt;&gt;"")+('Kunci Adjudikasi'!$E$1&gt;=4)*('Kunci Adjudikasi'!AH19&lt;&gt;"")</f>
        <v>0</v>
      </c>
      <c r="I19" s="20">
        <f>IF(H19&gt;=2,(H19*(H19-1)/2-(('Kunci Adjudikasi'!P19&lt;&gt;"")*('Kunci Adjudikasi'!V19&lt;&gt;"")*('Kunci Adjudikasi'!P19='Kunci Adjudikasi'!V19)+('Kunci Adjudikasi'!$E$1&gt;=3)*('Kunci Adjudikasi'!P19&lt;&gt;"")*('Kunci Adjudikasi'!AB19&lt;&gt;"")*('Kunci Adjudikasi'!P19='Kunci Adjudikasi'!AB19)+('Kunci Adjudikasi'!$E$1&gt;=4)*('Kunci Adjudikasi'!P19&lt;&gt;"")*('Kunci Adjudikasi'!AH19&lt;&gt;"")*('Kunci Adjudikasi'!P19='Kunci Adjudikasi'!AH19)+('Kunci Adjudikasi'!$E$1&gt;=3)*('Kunci Adjudikasi'!V19&lt;&gt;"")*('Kunci Adjudikasi'!AB19&lt;&gt;"")*('Kunci Adjudikasi'!V19='Kunci Adjudikasi'!AB19)+('Kunci Adjudikasi'!$E$1&gt;=4)*('Kunci Adjudikasi'!V19&lt;&gt;"")*('Kunci Adjudikasi'!AH19&lt;&gt;"")*('Kunci Adjudikasi'!V19='Kunci Adjudikasi'!AH19)+('Kunci Adjudikasi'!$E$1&gt;=4)*('Kunci Adjudikasi'!AB19&lt;&gt;"")*('Kunci Adjudikasi'!AH19&lt;&gt;"")*('Kunci Adjudikasi'!AB19='Kunci Adjudikasi'!AH19)))/(H19-1),0)</f>
        <v>0</v>
      </c>
      <c r="J19" s="20">
        <f>('Kunci Adjudikasi'!Q19&lt;&gt;"")+('Kunci Adjudikasi'!W19&lt;&gt;"")+('Kunci Adjudikasi'!$E$1&gt;=3)*('Kunci Adjudikasi'!AC19&lt;&gt;"")+('Kunci Adjudikasi'!$E$1&gt;=4)*('Kunci Adjudikasi'!AI19&lt;&gt;"")</f>
        <v>0</v>
      </c>
      <c r="K19" s="20">
        <f>IF(J19&gt;=2,(J19*(J19-1)/2-(('Kunci Adjudikasi'!Q19&lt;&gt;"")*('Kunci Adjudikasi'!W19&lt;&gt;"")*('Kunci Adjudikasi'!Q19='Kunci Adjudikasi'!W19)+('Kunci Adjudikasi'!$E$1&gt;=3)*('Kunci Adjudikasi'!Q19&lt;&gt;"")*('Kunci Adjudikasi'!AC19&lt;&gt;"")*('Kunci Adjudikasi'!Q19='Kunci Adjudikasi'!AC19)+('Kunci Adjudikasi'!$E$1&gt;=4)*('Kunci Adjudikasi'!Q19&lt;&gt;"")*('Kunci Adjudikasi'!AI19&lt;&gt;"")*('Kunci Adjudikasi'!Q19='Kunci Adjudikasi'!AI19)+('Kunci Adjudikasi'!$E$1&gt;=3)*('Kunci Adjudikasi'!W19&lt;&gt;"")*('Kunci Adjudikasi'!AC19&lt;&gt;"")*('Kunci Adjudikasi'!W19='Kunci Adjudikasi'!AC19)+('Kunci Adjudikasi'!$E$1&gt;=4)*('Kunci Adjudikasi'!W19&lt;&gt;"")*('Kunci Adjudikasi'!AI19&lt;&gt;"")*('Kunci Adjudikasi'!W19='Kunci Adjudikasi'!AI19)+('Kunci Adjudikasi'!$E$1&gt;=4)*('Kunci Adjudikasi'!AC19&lt;&gt;"")*('Kunci Adjudikasi'!AI19&lt;&gt;"")*('Kunci Adjudikasi'!AC19='Kunci Adjudikasi'!AI19)))/(J19-1),0)</f>
        <v>0</v>
      </c>
      <c r="L19" s="20">
        <f>('Kunci Adjudikasi'!R19&lt;&gt;"")+('Kunci Adjudikasi'!X19&lt;&gt;"")+('Kunci Adjudikasi'!$E$1&gt;=3)*('Kunci Adjudikasi'!AD19&lt;&gt;"")+('Kunci Adjudikasi'!$E$1&gt;=4)*('Kunci Adjudikasi'!AJ19&lt;&gt;"")</f>
        <v>0</v>
      </c>
      <c r="M19" s="20">
        <f>IF(L19&gt;=2,(L19*(L19-1)/2-(('Kunci Adjudikasi'!R19&lt;&gt;"")*('Kunci Adjudikasi'!X19&lt;&gt;"")*('Kunci Adjudikasi'!R19='Kunci Adjudikasi'!X19)+('Kunci Adjudikasi'!$E$1&gt;=3)*('Kunci Adjudikasi'!R19&lt;&gt;"")*('Kunci Adjudikasi'!AD19&lt;&gt;"")*('Kunci Adjudikasi'!R19='Kunci Adjudikasi'!AD19)+('Kunci Adjudikasi'!$E$1&gt;=4)*('Kunci Adjudikasi'!R19&lt;&gt;"")*('Kunci Adjudikasi'!AJ19&lt;&gt;"")*('Kunci Adjudikasi'!R19='Kunci Adjudikasi'!AJ19)+('Kunci Adjudikasi'!$E$1&gt;=3)*('Kunci Adjudikasi'!X19&lt;&gt;"")*('Kunci Adjudikasi'!AD19&lt;&gt;"")*('Kunci Adjudikasi'!X19='Kunci Adjudikasi'!AD19)+('Kunci Adjudikasi'!$E$1&gt;=4)*('Kunci Adjudikasi'!X19&lt;&gt;"")*('Kunci Adjudikasi'!AJ19&lt;&gt;"")*('Kunci Adjudikasi'!X19='Kunci Adjudikasi'!AJ19)+('Kunci Adjudikasi'!$E$1&gt;=4)*('Kunci Adjudikasi'!AD19&lt;&gt;"")*('Kunci Adjudikasi'!AJ19&lt;&gt;"")*('Kunci Adjudikasi'!AD19='Kunci Adjudikasi'!AJ19)))/(L19-1),0)</f>
        <v>0</v>
      </c>
      <c r="N19" s="20">
        <f>(LEFT('Kunci Adjudikasi'!N19,2)="R0")+(LEFT('Kunci Adjudikasi'!T19,2)="R0")+('Kunci Adjudikasi'!$E$1&gt;=3)*(LEFT('Kunci Adjudikasi'!Z19,2)="R0")+('Kunci Adjudikasi'!$E$1&gt;=4)*(LEFT('Kunci Adjudikasi'!AF19,2)="R0")</f>
        <v>0</v>
      </c>
      <c r="O19" s="20">
        <f>(LEFT('Kunci Adjudikasi'!N19,2)="R1")+(LEFT('Kunci Adjudikasi'!T19,2)="R1")+('Kunci Adjudikasi'!$E$1&gt;=3)*(LEFT('Kunci Adjudikasi'!Z19,2)="R1")+('Kunci Adjudikasi'!$E$1&gt;=4)*(LEFT('Kunci Adjudikasi'!AF19,2)="R1")</f>
        <v>0</v>
      </c>
      <c r="P19" s="20">
        <f>(LEFT('Kunci Adjudikasi'!N19,2)="R2")+(LEFT('Kunci Adjudikasi'!T19,2)="R2")+('Kunci Adjudikasi'!$E$1&gt;=3)*(LEFT('Kunci Adjudikasi'!Z19,2)="R2")+('Kunci Adjudikasi'!$E$1&gt;=4)*(LEFT('Kunci Adjudikasi'!AF19,2)="R2")</f>
        <v>0</v>
      </c>
      <c r="Q19" s="20">
        <f t="shared" si="43"/>
        <v>0</v>
      </c>
      <c r="R19" s="20">
        <f t="shared" si="44"/>
        <v>0</v>
      </c>
      <c r="S19" s="20">
        <f t="shared" si="45"/>
        <v>0</v>
      </c>
    </row>
    <row r="20">
      <c r="A20" s="20">
        <f>'Kunci Adjudikasi'!A20</f>
        <v>17</v>
      </c>
      <c r="B20" s="20">
        <f>('Kunci Adjudikasi'!M20&lt;&gt;"")+('Kunci Adjudikasi'!S20&lt;&gt;"")+('Kunci Adjudikasi'!$E$1&gt;=3)*('Kunci Adjudikasi'!Y20&lt;&gt;"")+('Kunci Adjudikasi'!$E$1&gt;=4)*('Kunci Adjudikasi'!AE20&lt;&gt;"")</f>
        <v>0</v>
      </c>
      <c r="C20" s="20">
        <f>IF(B20&gt;=2,(B20*(B20-1)/2-(('Kunci Adjudikasi'!M20&lt;&gt;"")*('Kunci Adjudikasi'!S20&lt;&gt;"")*('Kunci Adjudikasi'!M20='Kunci Adjudikasi'!S20)+('Kunci Adjudikasi'!$E$1&gt;=3)*('Kunci Adjudikasi'!M20&lt;&gt;"")*('Kunci Adjudikasi'!Y20&lt;&gt;"")*('Kunci Adjudikasi'!M20='Kunci Adjudikasi'!Y20)+('Kunci Adjudikasi'!$E$1&gt;=4)*('Kunci Adjudikasi'!M20&lt;&gt;"")*('Kunci Adjudikasi'!AE20&lt;&gt;"")*('Kunci Adjudikasi'!M20='Kunci Adjudikasi'!AE20)+('Kunci Adjudikasi'!$E$1&gt;=3)*('Kunci Adjudikasi'!S20&lt;&gt;"")*('Kunci Adjudikasi'!Y20&lt;&gt;"")*('Kunci Adjudikasi'!S20='Kunci Adjudikasi'!Y20)+('Kunci Adjudikasi'!$E$1&gt;=4)*('Kunci Adjudikasi'!S20&lt;&gt;"")*('Kunci Adjudikasi'!AE20&lt;&gt;"")*('Kunci Adjudikasi'!S20='Kunci Adjudikasi'!AE20)+('Kunci Adjudikasi'!$E$1&gt;=4)*('Kunci Adjudikasi'!Y20&lt;&gt;"")*('Kunci Adjudikasi'!AE20&lt;&gt;"")*('Kunci Adjudikasi'!Y20='Kunci Adjudikasi'!AE20)))/(B20-1),0)</f>
        <v>0</v>
      </c>
      <c r="D20" s="20">
        <f>('Kunci Adjudikasi'!N20&lt;&gt;"")+('Kunci Adjudikasi'!T20&lt;&gt;"")+('Kunci Adjudikasi'!$E$1&gt;=3)*('Kunci Adjudikasi'!Z20&lt;&gt;"")+('Kunci Adjudikasi'!$E$1&gt;=4)*('Kunci Adjudikasi'!AF20&lt;&gt;"")</f>
        <v>0</v>
      </c>
      <c r="E20" s="20">
        <f>IF(D20&gt;=2,(D20*(D20-1)/2-(('Kunci Adjudikasi'!N20&lt;&gt;"")*('Kunci Adjudikasi'!T20&lt;&gt;"")*('Kunci Adjudikasi'!N20='Kunci Adjudikasi'!T20)+('Kunci Adjudikasi'!$E$1&gt;=3)*('Kunci Adjudikasi'!N20&lt;&gt;"")*('Kunci Adjudikasi'!Z20&lt;&gt;"")*('Kunci Adjudikasi'!N20='Kunci Adjudikasi'!Z20)+('Kunci Adjudikasi'!$E$1&gt;=4)*('Kunci Adjudikasi'!N20&lt;&gt;"")*('Kunci Adjudikasi'!AF20&lt;&gt;"")*('Kunci Adjudikasi'!N20='Kunci Adjudikasi'!AF20)+('Kunci Adjudikasi'!$E$1&gt;=3)*('Kunci Adjudikasi'!T20&lt;&gt;"")*('Kunci Adjudikasi'!Z20&lt;&gt;"")*('Kunci Adjudikasi'!T20='Kunci Adjudikasi'!Z20)+('Kunci Adjudikasi'!$E$1&gt;=4)*('Kunci Adjudikasi'!T20&lt;&gt;"")*('Kunci Adjudikasi'!AF20&lt;&gt;"")*('Kunci Adjudikasi'!T20='Kunci Adjudikasi'!AF20)+('Kunci Adjudikasi'!$E$1&gt;=4)*('Kunci Adjudikasi'!Z20&lt;&gt;"")*('Kunci Adjudikasi'!AF20&lt;&gt;"")*('Kunci Adjudikasi'!Z20='Kunci Adjudikasi'!AF20)))/(D20-1),0)</f>
        <v>0</v>
      </c>
      <c r="F20" s="20">
        <f>('Kunci Adjudikasi'!O20&lt;&gt;"")+('Kunci Adjudikasi'!U20&lt;&gt;"")+('Kunci Adjudikasi'!$E$1&gt;=3)*('Kunci Adjudikasi'!AA20&lt;&gt;"")+('Kunci Adjudikasi'!$E$1&gt;=4)*('Kunci Adjudikasi'!AG20&lt;&gt;"")</f>
        <v>0</v>
      </c>
      <c r="G20" s="20">
        <f>IF(F20&gt;=2,(F20*(F20-1)/2-(('Kunci Adjudikasi'!O20&lt;&gt;"")*('Kunci Adjudikasi'!U20&lt;&gt;"")*('Kunci Adjudikasi'!O20='Kunci Adjudikasi'!U20)+('Kunci Adjudikasi'!$E$1&gt;=3)*('Kunci Adjudikasi'!O20&lt;&gt;"")*('Kunci Adjudikasi'!AA20&lt;&gt;"")*('Kunci Adjudikasi'!O20='Kunci Adjudikasi'!AA20)+('Kunci Adjudikasi'!$E$1&gt;=4)*('Kunci Adjudikasi'!O20&lt;&gt;"")*('Kunci Adjudikasi'!AG20&lt;&gt;"")*('Kunci Adjudikasi'!O20='Kunci Adjudikasi'!AG20)+('Kunci Adjudikasi'!$E$1&gt;=3)*('Kunci Adjudikasi'!U20&lt;&gt;"")*('Kunci Adjudikasi'!AA20&lt;&gt;"")*('Kunci Adjudikasi'!U20='Kunci Adjudikasi'!AA20)+('Kunci Adjudikasi'!$E$1&gt;=4)*('Kunci Adjudikasi'!U20&lt;&gt;"")*('Kunci Adjudikasi'!AG20&lt;&gt;"")*('Kunci Adjudikasi'!U20='Kunci Adjudikasi'!AG20)+('Kunci Adjudikasi'!$E$1&gt;=4)*('Kunci Adjudikasi'!AA20&lt;&gt;"")*('Kunci Adjudikasi'!AG20&lt;&gt;"")*('Kunci Adjudikasi'!AA20='Kunci Adjudikasi'!AG20)))/(F20-1),0)</f>
        <v>0</v>
      </c>
      <c r="H20" s="20">
        <f>('Kunci Adjudikasi'!P20&lt;&gt;"")+('Kunci Adjudikasi'!V20&lt;&gt;"")+('Kunci Adjudikasi'!$E$1&gt;=3)*('Kunci Adjudikasi'!AB20&lt;&gt;"")+('Kunci Adjudikasi'!$E$1&gt;=4)*('Kunci Adjudikasi'!AH20&lt;&gt;"")</f>
        <v>0</v>
      </c>
      <c r="I20" s="20">
        <f>IF(H20&gt;=2,(H20*(H20-1)/2-(('Kunci Adjudikasi'!P20&lt;&gt;"")*('Kunci Adjudikasi'!V20&lt;&gt;"")*('Kunci Adjudikasi'!P20='Kunci Adjudikasi'!V20)+('Kunci Adjudikasi'!$E$1&gt;=3)*('Kunci Adjudikasi'!P20&lt;&gt;"")*('Kunci Adjudikasi'!AB20&lt;&gt;"")*('Kunci Adjudikasi'!P20='Kunci Adjudikasi'!AB20)+('Kunci Adjudikasi'!$E$1&gt;=4)*('Kunci Adjudikasi'!P20&lt;&gt;"")*('Kunci Adjudikasi'!AH20&lt;&gt;"")*('Kunci Adjudikasi'!P20='Kunci Adjudikasi'!AH20)+('Kunci Adjudikasi'!$E$1&gt;=3)*('Kunci Adjudikasi'!V20&lt;&gt;"")*('Kunci Adjudikasi'!AB20&lt;&gt;"")*('Kunci Adjudikasi'!V20='Kunci Adjudikasi'!AB20)+('Kunci Adjudikasi'!$E$1&gt;=4)*('Kunci Adjudikasi'!V20&lt;&gt;"")*('Kunci Adjudikasi'!AH20&lt;&gt;"")*('Kunci Adjudikasi'!V20='Kunci Adjudikasi'!AH20)+('Kunci Adjudikasi'!$E$1&gt;=4)*('Kunci Adjudikasi'!AB20&lt;&gt;"")*('Kunci Adjudikasi'!AH20&lt;&gt;"")*('Kunci Adjudikasi'!AB20='Kunci Adjudikasi'!AH20)))/(H20-1),0)</f>
        <v>0</v>
      </c>
      <c r="J20" s="20">
        <f>('Kunci Adjudikasi'!Q20&lt;&gt;"")+('Kunci Adjudikasi'!W20&lt;&gt;"")+('Kunci Adjudikasi'!$E$1&gt;=3)*('Kunci Adjudikasi'!AC20&lt;&gt;"")+('Kunci Adjudikasi'!$E$1&gt;=4)*('Kunci Adjudikasi'!AI20&lt;&gt;"")</f>
        <v>0</v>
      </c>
      <c r="K20" s="20">
        <f>IF(J20&gt;=2,(J20*(J20-1)/2-(('Kunci Adjudikasi'!Q20&lt;&gt;"")*('Kunci Adjudikasi'!W20&lt;&gt;"")*('Kunci Adjudikasi'!Q20='Kunci Adjudikasi'!W20)+('Kunci Adjudikasi'!$E$1&gt;=3)*('Kunci Adjudikasi'!Q20&lt;&gt;"")*('Kunci Adjudikasi'!AC20&lt;&gt;"")*('Kunci Adjudikasi'!Q20='Kunci Adjudikasi'!AC20)+('Kunci Adjudikasi'!$E$1&gt;=4)*('Kunci Adjudikasi'!Q20&lt;&gt;"")*('Kunci Adjudikasi'!AI20&lt;&gt;"")*('Kunci Adjudikasi'!Q20='Kunci Adjudikasi'!AI20)+('Kunci Adjudikasi'!$E$1&gt;=3)*('Kunci Adjudikasi'!W20&lt;&gt;"")*('Kunci Adjudikasi'!AC20&lt;&gt;"")*('Kunci Adjudikasi'!W20='Kunci Adjudikasi'!AC20)+('Kunci Adjudikasi'!$E$1&gt;=4)*('Kunci Adjudikasi'!W20&lt;&gt;"")*('Kunci Adjudikasi'!AI20&lt;&gt;"")*('Kunci Adjudikasi'!W20='Kunci Adjudikasi'!AI20)+('Kunci Adjudikasi'!$E$1&gt;=4)*('Kunci Adjudikasi'!AC20&lt;&gt;"")*('Kunci Adjudikasi'!AI20&lt;&gt;"")*('Kunci Adjudikasi'!AC20='Kunci Adjudikasi'!AI20)))/(J20-1),0)</f>
        <v>0</v>
      </c>
      <c r="L20" s="20">
        <f>('Kunci Adjudikasi'!R20&lt;&gt;"")+('Kunci Adjudikasi'!X20&lt;&gt;"")+('Kunci Adjudikasi'!$E$1&gt;=3)*('Kunci Adjudikasi'!AD20&lt;&gt;"")+('Kunci Adjudikasi'!$E$1&gt;=4)*('Kunci Adjudikasi'!AJ20&lt;&gt;"")</f>
        <v>0</v>
      </c>
      <c r="M20" s="20">
        <f>IF(L20&gt;=2,(L20*(L20-1)/2-(('Kunci Adjudikasi'!R20&lt;&gt;"")*('Kunci Adjudikasi'!X20&lt;&gt;"")*('Kunci Adjudikasi'!R20='Kunci Adjudikasi'!X20)+('Kunci Adjudikasi'!$E$1&gt;=3)*('Kunci Adjudikasi'!R20&lt;&gt;"")*('Kunci Adjudikasi'!AD20&lt;&gt;"")*('Kunci Adjudikasi'!R20='Kunci Adjudikasi'!AD20)+('Kunci Adjudikasi'!$E$1&gt;=4)*('Kunci Adjudikasi'!R20&lt;&gt;"")*('Kunci Adjudikasi'!AJ20&lt;&gt;"")*('Kunci Adjudikasi'!R20='Kunci Adjudikasi'!AJ20)+('Kunci Adjudikasi'!$E$1&gt;=3)*('Kunci Adjudikasi'!X20&lt;&gt;"")*('Kunci Adjudikasi'!AD20&lt;&gt;"")*('Kunci Adjudikasi'!X20='Kunci Adjudikasi'!AD20)+('Kunci Adjudikasi'!$E$1&gt;=4)*('Kunci Adjudikasi'!X20&lt;&gt;"")*('Kunci Adjudikasi'!AJ20&lt;&gt;"")*('Kunci Adjudikasi'!X20='Kunci Adjudikasi'!AJ20)+('Kunci Adjudikasi'!$E$1&gt;=4)*('Kunci Adjudikasi'!AD20&lt;&gt;"")*('Kunci Adjudikasi'!AJ20&lt;&gt;"")*('Kunci Adjudikasi'!AD20='Kunci Adjudikasi'!AJ20)))/(L20-1),0)</f>
        <v>0</v>
      </c>
      <c r="N20" s="20">
        <f>(LEFT('Kunci Adjudikasi'!N20,2)="R0")+(LEFT('Kunci Adjudikasi'!T20,2)="R0")+('Kunci Adjudikasi'!$E$1&gt;=3)*(LEFT('Kunci Adjudikasi'!Z20,2)="R0")+('Kunci Adjudikasi'!$E$1&gt;=4)*(LEFT('Kunci Adjudikasi'!AF20,2)="R0")</f>
        <v>0</v>
      </c>
      <c r="O20" s="20">
        <f>(LEFT('Kunci Adjudikasi'!N20,2)="R1")+(LEFT('Kunci Adjudikasi'!T20,2)="R1")+('Kunci Adjudikasi'!$E$1&gt;=3)*(LEFT('Kunci Adjudikasi'!Z20,2)="R1")+('Kunci Adjudikasi'!$E$1&gt;=4)*(LEFT('Kunci Adjudikasi'!AF20,2)="R1")</f>
        <v>0</v>
      </c>
      <c r="P20" s="20">
        <f>(LEFT('Kunci Adjudikasi'!N20,2)="R2")+(LEFT('Kunci Adjudikasi'!T20,2)="R2")+('Kunci Adjudikasi'!$E$1&gt;=3)*(LEFT('Kunci Adjudikasi'!Z20,2)="R2")+('Kunci Adjudikasi'!$E$1&gt;=4)*(LEFT('Kunci Adjudikasi'!AF20,2)="R2")</f>
        <v>0</v>
      </c>
      <c r="Q20" s="20">
        <f t="shared" si="43"/>
        <v>0</v>
      </c>
      <c r="R20" s="20">
        <f t="shared" si="44"/>
        <v>0</v>
      </c>
      <c r="S20" s="20">
        <f t="shared" si="45"/>
        <v>0</v>
      </c>
    </row>
    <row r="21">
      <c r="A21" s="20">
        <f>'Kunci Adjudikasi'!A21</f>
        <v>18</v>
      </c>
      <c r="B21" s="20">
        <f>('Kunci Adjudikasi'!M21&lt;&gt;"")+('Kunci Adjudikasi'!S21&lt;&gt;"")+('Kunci Adjudikasi'!$E$1&gt;=3)*('Kunci Adjudikasi'!Y21&lt;&gt;"")+('Kunci Adjudikasi'!$E$1&gt;=4)*('Kunci Adjudikasi'!AE21&lt;&gt;"")</f>
        <v>0</v>
      </c>
      <c r="C21" s="20">
        <f>IF(B21&gt;=2,(B21*(B21-1)/2-(('Kunci Adjudikasi'!M21&lt;&gt;"")*('Kunci Adjudikasi'!S21&lt;&gt;"")*('Kunci Adjudikasi'!M21='Kunci Adjudikasi'!S21)+('Kunci Adjudikasi'!$E$1&gt;=3)*('Kunci Adjudikasi'!M21&lt;&gt;"")*('Kunci Adjudikasi'!Y21&lt;&gt;"")*('Kunci Adjudikasi'!M21='Kunci Adjudikasi'!Y21)+('Kunci Adjudikasi'!$E$1&gt;=4)*('Kunci Adjudikasi'!M21&lt;&gt;"")*('Kunci Adjudikasi'!AE21&lt;&gt;"")*('Kunci Adjudikasi'!M21='Kunci Adjudikasi'!AE21)+('Kunci Adjudikasi'!$E$1&gt;=3)*('Kunci Adjudikasi'!S21&lt;&gt;"")*('Kunci Adjudikasi'!Y21&lt;&gt;"")*('Kunci Adjudikasi'!S21='Kunci Adjudikasi'!Y21)+('Kunci Adjudikasi'!$E$1&gt;=4)*('Kunci Adjudikasi'!S21&lt;&gt;"")*('Kunci Adjudikasi'!AE21&lt;&gt;"")*('Kunci Adjudikasi'!S21='Kunci Adjudikasi'!AE21)+('Kunci Adjudikasi'!$E$1&gt;=4)*('Kunci Adjudikasi'!Y21&lt;&gt;"")*('Kunci Adjudikasi'!AE21&lt;&gt;"")*('Kunci Adjudikasi'!Y21='Kunci Adjudikasi'!AE21)))/(B21-1),0)</f>
        <v>0</v>
      </c>
      <c r="D21" s="20">
        <f>('Kunci Adjudikasi'!N21&lt;&gt;"")+('Kunci Adjudikasi'!T21&lt;&gt;"")+('Kunci Adjudikasi'!$E$1&gt;=3)*('Kunci Adjudikasi'!Z21&lt;&gt;"")+('Kunci Adjudikasi'!$E$1&gt;=4)*('Kunci Adjudikasi'!AF21&lt;&gt;"")</f>
        <v>0</v>
      </c>
      <c r="E21" s="20">
        <f>IF(D21&gt;=2,(D21*(D21-1)/2-(('Kunci Adjudikasi'!N21&lt;&gt;"")*('Kunci Adjudikasi'!T21&lt;&gt;"")*('Kunci Adjudikasi'!N21='Kunci Adjudikasi'!T21)+('Kunci Adjudikasi'!$E$1&gt;=3)*('Kunci Adjudikasi'!N21&lt;&gt;"")*('Kunci Adjudikasi'!Z21&lt;&gt;"")*('Kunci Adjudikasi'!N21='Kunci Adjudikasi'!Z21)+('Kunci Adjudikasi'!$E$1&gt;=4)*('Kunci Adjudikasi'!N21&lt;&gt;"")*('Kunci Adjudikasi'!AF21&lt;&gt;"")*('Kunci Adjudikasi'!N21='Kunci Adjudikasi'!AF21)+('Kunci Adjudikasi'!$E$1&gt;=3)*('Kunci Adjudikasi'!T21&lt;&gt;"")*('Kunci Adjudikasi'!Z21&lt;&gt;"")*('Kunci Adjudikasi'!T21='Kunci Adjudikasi'!Z21)+('Kunci Adjudikasi'!$E$1&gt;=4)*('Kunci Adjudikasi'!T21&lt;&gt;"")*('Kunci Adjudikasi'!AF21&lt;&gt;"")*('Kunci Adjudikasi'!T21='Kunci Adjudikasi'!AF21)+('Kunci Adjudikasi'!$E$1&gt;=4)*('Kunci Adjudikasi'!Z21&lt;&gt;"")*('Kunci Adjudikasi'!AF21&lt;&gt;"")*('Kunci Adjudikasi'!Z21='Kunci Adjudikasi'!AF21)))/(D21-1),0)</f>
        <v>0</v>
      </c>
      <c r="F21" s="20">
        <f>('Kunci Adjudikasi'!O21&lt;&gt;"")+('Kunci Adjudikasi'!U21&lt;&gt;"")+('Kunci Adjudikasi'!$E$1&gt;=3)*('Kunci Adjudikasi'!AA21&lt;&gt;"")+('Kunci Adjudikasi'!$E$1&gt;=4)*('Kunci Adjudikasi'!AG21&lt;&gt;"")</f>
        <v>0</v>
      </c>
      <c r="G21" s="20">
        <f>IF(F21&gt;=2,(F21*(F21-1)/2-(('Kunci Adjudikasi'!O21&lt;&gt;"")*('Kunci Adjudikasi'!U21&lt;&gt;"")*('Kunci Adjudikasi'!O21='Kunci Adjudikasi'!U21)+('Kunci Adjudikasi'!$E$1&gt;=3)*('Kunci Adjudikasi'!O21&lt;&gt;"")*('Kunci Adjudikasi'!AA21&lt;&gt;"")*('Kunci Adjudikasi'!O21='Kunci Adjudikasi'!AA21)+('Kunci Adjudikasi'!$E$1&gt;=4)*('Kunci Adjudikasi'!O21&lt;&gt;"")*('Kunci Adjudikasi'!AG21&lt;&gt;"")*('Kunci Adjudikasi'!O21='Kunci Adjudikasi'!AG21)+('Kunci Adjudikasi'!$E$1&gt;=3)*('Kunci Adjudikasi'!U21&lt;&gt;"")*('Kunci Adjudikasi'!AA21&lt;&gt;"")*('Kunci Adjudikasi'!U21='Kunci Adjudikasi'!AA21)+('Kunci Adjudikasi'!$E$1&gt;=4)*('Kunci Adjudikasi'!U21&lt;&gt;"")*('Kunci Adjudikasi'!AG21&lt;&gt;"")*('Kunci Adjudikasi'!U21='Kunci Adjudikasi'!AG21)+('Kunci Adjudikasi'!$E$1&gt;=4)*('Kunci Adjudikasi'!AA21&lt;&gt;"")*('Kunci Adjudikasi'!AG21&lt;&gt;"")*('Kunci Adjudikasi'!AA21='Kunci Adjudikasi'!AG21)))/(F21-1),0)</f>
        <v>0</v>
      </c>
      <c r="H21" s="20">
        <f>('Kunci Adjudikasi'!P21&lt;&gt;"")+('Kunci Adjudikasi'!V21&lt;&gt;"")+('Kunci Adjudikasi'!$E$1&gt;=3)*('Kunci Adjudikasi'!AB21&lt;&gt;"")+('Kunci Adjudikasi'!$E$1&gt;=4)*('Kunci Adjudikasi'!AH21&lt;&gt;"")</f>
        <v>0</v>
      </c>
      <c r="I21" s="20">
        <f>IF(H21&gt;=2,(H21*(H21-1)/2-(('Kunci Adjudikasi'!P21&lt;&gt;"")*('Kunci Adjudikasi'!V21&lt;&gt;"")*('Kunci Adjudikasi'!P21='Kunci Adjudikasi'!V21)+('Kunci Adjudikasi'!$E$1&gt;=3)*('Kunci Adjudikasi'!P21&lt;&gt;"")*('Kunci Adjudikasi'!AB21&lt;&gt;"")*('Kunci Adjudikasi'!P21='Kunci Adjudikasi'!AB21)+('Kunci Adjudikasi'!$E$1&gt;=4)*('Kunci Adjudikasi'!P21&lt;&gt;"")*('Kunci Adjudikasi'!AH21&lt;&gt;"")*('Kunci Adjudikasi'!P21='Kunci Adjudikasi'!AH21)+('Kunci Adjudikasi'!$E$1&gt;=3)*('Kunci Adjudikasi'!V21&lt;&gt;"")*('Kunci Adjudikasi'!AB21&lt;&gt;"")*('Kunci Adjudikasi'!V21='Kunci Adjudikasi'!AB21)+('Kunci Adjudikasi'!$E$1&gt;=4)*('Kunci Adjudikasi'!V21&lt;&gt;"")*('Kunci Adjudikasi'!AH21&lt;&gt;"")*('Kunci Adjudikasi'!V21='Kunci Adjudikasi'!AH21)+('Kunci Adjudikasi'!$E$1&gt;=4)*('Kunci Adjudikasi'!AB21&lt;&gt;"")*('Kunci Adjudikasi'!AH21&lt;&gt;"")*('Kunci Adjudikasi'!AB21='Kunci Adjudikasi'!AH21)))/(H21-1),0)</f>
        <v>0</v>
      </c>
      <c r="J21" s="20">
        <f>('Kunci Adjudikasi'!Q21&lt;&gt;"")+('Kunci Adjudikasi'!W21&lt;&gt;"")+('Kunci Adjudikasi'!$E$1&gt;=3)*('Kunci Adjudikasi'!AC21&lt;&gt;"")+('Kunci Adjudikasi'!$E$1&gt;=4)*('Kunci Adjudikasi'!AI21&lt;&gt;"")</f>
        <v>0</v>
      </c>
      <c r="K21" s="20">
        <f>IF(J21&gt;=2,(J21*(J21-1)/2-(('Kunci Adjudikasi'!Q21&lt;&gt;"")*('Kunci Adjudikasi'!W21&lt;&gt;"")*('Kunci Adjudikasi'!Q21='Kunci Adjudikasi'!W21)+('Kunci Adjudikasi'!$E$1&gt;=3)*('Kunci Adjudikasi'!Q21&lt;&gt;"")*('Kunci Adjudikasi'!AC21&lt;&gt;"")*('Kunci Adjudikasi'!Q21='Kunci Adjudikasi'!AC21)+('Kunci Adjudikasi'!$E$1&gt;=4)*('Kunci Adjudikasi'!Q21&lt;&gt;"")*('Kunci Adjudikasi'!AI21&lt;&gt;"")*('Kunci Adjudikasi'!Q21='Kunci Adjudikasi'!AI21)+('Kunci Adjudikasi'!$E$1&gt;=3)*('Kunci Adjudikasi'!W21&lt;&gt;"")*('Kunci Adjudikasi'!AC21&lt;&gt;"")*('Kunci Adjudikasi'!W21='Kunci Adjudikasi'!AC21)+('Kunci Adjudikasi'!$E$1&gt;=4)*('Kunci Adjudikasi'!W21&lt;&gt;"")*('Kunci Adjudikasi'!AI21&lt;&gt;"")*('Kunci Adjudikasi'!W21='Kunci Adjudikasi'!AI21)+('Kunci Adjudikasi'!$E$1&gt;=4)*('Kunci Adjudikasi'!AC21&lt;&gt;"")*('Kunci Adjudikasi'!AI21&lt;&gt;"")*('Kunci Adjudikasi'!AC21='Kunci Adjudikasi'!AI21)))/(J21-1),0)</f>
        <v>0</v>
      </c>
      <c r="L21" s="20">
        <f>('Kunci Adjudikasi'!R21&lt;&gt;"")+('Kunci Adjudikasi'!X21&lt;&gt;"")+('Kunci Adjudikasi'!$E$1&gt;=3)*('Kunci Adjudikasi'!AD21&lt;&gt;"")+('Kunci Adjudikasi'!$E$1&gt;=4)*('Kunci Adjudikasi'!AJ21&lt;&gt;"")</f>
        <v>0</v>
      </c>
      <c r="M21" s="20">
        <f>IF(L21&gt;=2,(L21*(L21-1)/2-(('Kunci Adjudikasi'!R21&lt;&gt;"")*('Kunci Adjudikasi'!X21&lt;&gt;"")*('Kunci Adjudikasi'!R21='Kunci Adjudikasi'!X21)+('Kunci Adjudikasi'!$E$1&gt;=3)*('Kunci Adjudikasi'!R21&lt;&gt;"")*('Kunci Adjudikasi'!AD21&lt;&gt;"")*('Kunci Adjudikasi'!R21='Kunci Adjudikasi'!AD21)+('Kunci Adjudikasi'!$E$1&gt;=4)*('Kunci Adjudikasi'!R21&lt;&gt;"")*('Kunci Adjudikasi'!AJ21&lt;&gt;"")*('Kunci Adjudikasi'!R21='Kunci Adjudikasi'!AJ21)+('Kunci Adjudikasi'!$E$1&gt;=3)*('Kunci Adjudikasi'!X21&lt;&gt;"")*('Kunci Adjudikasi'!AD21&lt;&gt;"")*('Kunci Adjudikasi'!X21='Kunci Adjudikasi'!AD21)+('Kunci Adjudikasi'!$E$1&gt;=4)*('Kunci Adjudikasi'!X21&lt;&gt;"")*('Kunci Adjudikasi'!AJ21&lt;&gt;"")*('Kunci Adjudikasi'!X21='Kunci Adjudikasi'!AJ21)+('Kunci Adjudikasi'!$E$1&gt;=4)*('Kunci Adjudikasi'!AD21&lt;&gt;"")*('Kunci Adjudikasi'!AJ21&lt;&gt;"")*('Kunci Adjudikasi'!AD21='Kunci Adjudikasi'!AJ21)))/(L21-1),0)</f>
        <v>0</v>
      </c>
      <c r="N21" s="20">
        <f>(LEFT('Kunci Adjudikasi'!N21,2)="R0")+(LEFT('Kunci Adjudikasi'!T21,2)="R0")+('Kunci Adjudikasi'!$E$1&gt;=3)*(LEFT('Kunci Adjudikasi'!Z21,2)="R0")+('Kunci Adjudikasi'!$E$1&gt;=4)*(LEFT('Kunci Adjudikasi'!AF21,2)="R0")</f>
        <v>0</v>
      </c>
      <c r="O21" s="20">
        <f>(LEFT('Kunci Adjudikasi'!N21,2)="R1")+(LEFT('Kunci Adjudikasi'!T21,2)="R1")+('Kunci Adjudikasi'!$E$1&gt;=3)*(LEFT('Kunci Adjudikasi'!Z21,2)="R1")+('Kunci Adjudikasi'!$E$1&gt;=4)*(LEFT('Kunci Adjudikasi'!AF21,2)="R1")</f>
        <v>0</v>
      </c>
      <c r="P21" s="20">
        <f>(LEFT('Kunci Adjudikasi'!N21,2)="R2")+(LEFT('Kunci Adjudikasi'!T21,2)="R2")+('Kunci Adjudikasi'!$E$1&gt;=3)*(LEFT('Kunci Adjudikasi'!Z21,2)="R2")+('Kunci Adjudikasi'!$E$1&gt;=4)*(LEFT('Kunci Adjudikasi'!AF21,2)="R2")</f>
        <v>0</v>
      </c>
      <c r="Q21" s="20">
        <f t="shared" si="43"/>
        <v>0</v>
      </c>
      <c r="R21" s="20">
        <f t="shared" si="44"/>
        <v>0</v>
      </c>
      <c r="S21" s="20">
        <f t="shared" si="45"/>
        <v>0</v>
      </c>
    </row>
    <row r="22">
      <c r="A22" s="20">
        <f>'Kunci Adjudikasi'!A22</f>
        <v>19</v>
      </c>
      <c r="B22" s="20">
        <f>('Kunci Adjudikasi'!M22&lt;&gt;"")+('Kunci Adjudikasi'!S22&lt;&gt;"")+('Kunci Adjudikasi'!$E$1&gt;=3)*('Kunci Adjudikasi'!Y22&lt;&gt;"")+('Kunci Adjudikasi'!$E$1&gt;=4)*('Kunci Adjudikasi'!AE22&lt;&gt;"")</f>
        <v>0</v>
      </c>
      <c r="C22" s="20">
        <f>IF(B22&gt;=2,(B22*(B22-1)/2-(('Kunci Adjudikasi'!M22&lt;&gt;"")*('Kunci Adjudikasi'!S22&lt;&gt;"")*('Kunci Adjudikasi'!M22='Kunci Adjudikasi'!S22)+('Kunci Adjudikasi'!$E$1&gt;=3)*('Kunci Adjudikasi'!M22&lt;&gt;"")*('Kunci Adjudikasi'!Y22&lt;&gt;"")*('Kunci Adjudikasi'!M22='Kunci Adjudikasi'!Y22)+('Kunci Adjudikasi'!$E$1&gt;=4)*('Kunci Adjudikasi'!M22&lt;&gt;"")*('Kunci Adjudikasi'!AE22&lt;&gt;"")*('Kunci Adjudikasi'!M22='Kunci Adjudikasi'!AE22)+('Kunci Adjudikasi'!$E$1&gt;=3)*('Kunci Adjudikasi'!S22&lt;&gt;"")*('Kunci Adjudikasi'!Y22&lt;&gt;"")*('Kunci Adjudikasi'!S22='Kunci Adjudikasi'!Y22)+('Kunci Adjudikasi'!$E$1&gt;=4)*('Kunci Adjudikasi'!S22&lt;&gt;"")*('Kunci Adjudikasi'!AE22&lt;&gt;"")*('Kunci Adjudikasi'!S22='Kunci Adjudikasi'!AE22)+('Kunci Adjudikasi'!$E$1&gt;=4)*('Kunci Adjudikasi'!Y22&lt;&gt;"")*('Kunci Adjudikasi'!AE22&lt;&gt;"")*('Kunci Adjudikasi'!Y22='Kunci Adjudikasi'!AE22)))/(B22-1),0)</f>
        <v>0</v>
      </c>
      <c r="D22" s="20">
        <f>('Kunci Adjudikasi'!N22&lt;&gt;"")+('Kunci Adjudikasi'!T22&lt;&gt;"")+('Kunci Adjudikasi'!$E$1&gt;=3)*('Kunci Adjudikasi'!Z22&lt;&gt;"")+('Kunci Adjudikasi'!$E$1&gt;=4)*('Kunci Adjudikasi'!AF22&lt;&gt;"")</f>
        <v>0</v>
      </c>
      <c r="E22" s="20">
        <f>IF(D22&gt;=2,(D22*(D22-1)/2-(('Kunci Adjudikasi'!N22&lt;&gt;"")*('Kunci Adjudikasi'!T22&lt;&gt;"")*('Kunci Adjudikasi'!N22='Kunci Adjudikasi'!T22)+('Kunci Adjudikasi'!$E$1&gt;=3)*('Kunci Adjudikasi'!N22&lt;&gt;"")*('Kunci Adjudikasi'!Z22&lt;&gt;"")*('Kunci Adjudikasi'!N22='Kunci Adjudikasi'!Z22)+('Kunci Adjudikasi'!$E$1&gt;=4)*('Kunci Adjudikasi'!N22&lt;&gt;"")*('Kunci Adjudikasi'!AF22&lt;&gt;"")*('Kunci Adjudikasi'!N22='Kunci Adjudikasi'!AF22)+('Kunci Adjudikasi'!$E$1&gt;=3)*('Kunci Adjudikasi'!T22&lt;&gt;"")*('Kunci Adjudikasi'!Z22&lt;&gt;"")*('Kunci Adjudikasi'!T22='Kunci Adjudikasi'!Z22)+('Kunci Adjudikasi'!$E$1&gt;=4)*('Kunci Adjudikasi'!T22&lt;&gt;"")*('Kunci Adjudikasi'!AF22&lt;&gt;"")*('Kunci Adjudikasi'!T22='Kunci Adjudikasi'!AF22)+('Kunci Adjudikasi'!$E$1&gt;=4)*('Kunci Adjudikasi'!Z22&lt;&gt;"")*('Kunci Adjudikasi'!AF22&lt;&gt;"")*('Kunci Adjudikasi'!Z22='Kunci Adjudikasi'!AF22)))/(D22-1),0)</f>
        <v>0</v>
      </c>
      <c r="F22" s="20">
        <f>('Kunci Adjudikasi'!O22&lt;&gt;"")+('Kunci Adjudikasi'!U22&lt;&gt;"")+('Kunci Adjudikasi'!$E$1&gt;=3)*('Kunci Adjudikasi'!AA22&lt;&gt;"")+('Kunci Adjudikasi'!$E$1&gt;=4)*('Kunci Adjudikasi'!AG22&lt;&gt;"")</f>
        <v>0</v>
      </c>
      <c r="G22" s="20">
        <f>IF(F22&gt;=2,(F22*(F22-1)/2-(('Kunci Adjudikasi'!O22&lt;&gt;"")*('Kunci Adjudikasi'!U22&lt;&gt;"")*('Kunci Adjudikasi'!O22='Kunci Adjudikasi'!U22)+('Kunci Adjudikasi'!$E$1&gt;=3)*('Kunci Adjudikasi'!O22&lt;&gt;"")*('Kunci Adjudikasi'!AA22&lt;&gt;"")*('Kunci Adjudikasi'!O22='Kunci Adjudikasi'!AA22)+('Kunci Adjudikasi'!$E$1&gt;=4)*('Kunci Adjudikasi'!O22&lt;&gt;"")*('Kunci Adjudikasi'!AG22&lt;&gt;"")*('Kunci Adjudikasi'!O22='Kunci Adjudikasi'!AG22)+('Kunci Adjudikasi'!$E$1&gt;=3)*('Kunci Adjudikasi'!U22&lt;&gt;"")*('Kunci Adjudikasi'!AA22&lt;&gt;"")*('Kunci Adjudikasi'!U22='Kunci Adjudikasi'!AA22)+('Kunci Adjudikasi'!$E$1&gt;=4)*('Kunci Adjudikasi'!U22&lt;&gt;"")*('Kunci Adjudikasi'!AG22&lt;&gt;"")*('Kunci Adjudikasi'!U22='Kunci Adjudikasi'!AG22)+('Kunci Adjudikasi'!$E$1&gt;=4)*('Kunci Adjudikasi'!AA22&lt;&gt;"")*('Kunci Adjudikasi'!AG22&lt;&gt;"")*('Kunci Adjudikasi'!AA22='Kunci Adjudikasi'!AG22)))/(F22-1),0)</f>
        <v>0</v>
      </c>
      <c r="H22" s="20">
        <f>('Kunci Adjudikasi'!P22&lt;&gt;"")+('Kunci Adjudikasi'!V22&lt;&gt;"")+('Kunci Adjudikasi'!$E$1&gt;=3)*('Kunci Adjudikasi'!AB22&lt;&gt;"")+('Kunci Adjudikasi'!$E$1&gt;=4)*('Kunci Adjudikasi'!AH22&lt;&gt;"")</f>
        <v>0</v>
      </c>
      <c r="I22" s="20">
        <f>IF(H22&gt;=2,(H22*(H22-1)/2-(('Kunci Adjudikasi'!P22&lt;&gt;"")*('Kunci Adjudikasi'!V22&lt;&gt;"")*('Kunci Adjudikasi'!P22='Kunci Adjudikasi'!V22)+('Kunci Adjudikasi'!$E$1&gt;=3)*('Kunci Adjudikasi'!P22&lt;&gt;"")*('Kunci Adjudikasi'!AB22&lt;&gt;"")*('Kunci Adjudikasi'!P22='Kunci Adjudikasi'!AB22)+('Kunci Adjudikasi'!$E$1&gt;=4)*('Kunci Adjudikasi'!P22&lt;&gt;"")*('Kunci Adjudikasi'!AH22&lt;&gt;"")*('Kunci Adjudikasi'!P22='Kunci Adjudikasi'!AH22)+('Kunci Adjudikasi'!$E$1&gt;=3)*('Kunci Adjudikasi'!V22&lt;&gt;"")*('Kunci Adjudikasi'!AB22&lt;&gt;"")*('Kunci Adjudikasi'!V22='Kunci Adjudikasi'!AB22)+('Kunci Adjudikasi'!$E$1&gt;=4)*('Kunci Adjudikasi'!V22&lt;&gt;"")*('Kunci Adjudikasi'!AH22&lt;&gt;"")*('Kunci Adjudikasi'!V22='Kunci Adjudikasi'!AH22)+('Kunci Adjudikasi'!$E$1&gt;=4)*('Kunci Adjudikasi'!AB22&lt;&gt;"")*('Kunci Adjudikasi'!AH22&lt;&gt;"")*('Kunci Adjudikasi'!AB22='Kunci Adjudikasi'!AH22)))/(H22-1),0)</f>
        <v>0</v>
      </c>
      <c r="J22" s="20">
        <f>('Kunci Adjudikasi'!Q22&lt;&gt;"")+('Kunci Adjudikasi'!W22&lt;&gt;"")+('Kunci Adjudikasi'!$E$1&gt;=3)*('Kunci Adjudikasi'!AC22&lt;&gt;"")+('Kunci Adjudikasi'!$E$1&gt;=4)*('Kunci Adjudikasi'!AI22&lt;&gt;"")</f>
        <v>0</v>
      </c>
      <c r="K22" s="20">
        <f>IF(J22&gt;=2,(J22*(J22-1)/2-(('Kunci Adjudikasi'!Q22&lt;&gt;"")*('Kunci Adjudikasi'!W22&lt;&gt;"")*('Kunci Adjudikasi'!Q22='Kunci Adjudikasi'!W22)+('Kunci Adjudikasi'!$E$1&gt;=3)*('Kunci Adjudikasi'!Q22&lt;&gt;"")*('Kunci Adjudikasi'!AC22&lt;&gt;"")*('Kunci Adjudikasi'!Q22='Kunci Adjudikasi'!AC22)+('Kunci Adjudikasi'!$E$1&gt;=4)*('Kunci Adjudikasi'!Q22&lt;&gt;"")*('Kunci Adjudikasi'!AI22&lt;&gt;"")*('Kunci Adjudikasi'!Q22='Kunci Adjudikasi'!AI22)+('Kunci Adjudikasi'!$E$1&gt;=3)*('Kunci Adjudikasi'!W22&lt;&gt;"")*('Kunci Adjudikasi'!AC22&lt;&gt;"")*('Kunci Adjudikasi'!W22='Kunci Adjudikasi'!AC22)+('Kunci Adjudikasi'!$E$1&gt;=4)*('Kunci Adjudikasi'!W22&lt;&gt;"")*('Kunci Adjudikasi'!AI22&lt;&gt;"")*('Kunci Adjudikasi'!W22='Kunci Adjudikasi'!AI22)+('Kunci Adjudikasi'!$E$1&gt;=4)*('Kunci Adjudikasi'!AC22&lt;&gt;"")*('Kunci Adjudikasi'!AI22&lt;&gt;"")*('Kunci Adjudikasi'!AC22='Kunci Adjudikasi'!AI22)))/(J22-1),0)</f>
        <v>0</v>
      </c>
      <c r="L22" s="20">
        <f>('Kunci Adjudikasi'!R22&lt;&gt;"")+('Kunci Adjudikasi'!X22&lt;&gt;"")+('Kunci Adjudikasi'!$E$1&gt;=3)*('Kunci Adjudikasi'!AD22&lt;&gt;"")+('Kunci Adjudikasi'!$E$1&gt;=4)*('Kunci Adjudikasi'!AJ22&lt;&gt;"")</f>
        <v>0</v>
      </c>
      <c r="M22" s="20">
        <f>IF(L22&gt;=2,(L22*(L22-1)/2-(('Kunci Adjudikasi'!R22&lt;&gt;"")*('Kunci Adjudikasi'!X22&lt;&gt;"")*('Kunci Adjudikasi'!R22='Kunci Adjudikasi'!X22)+('Kunci Adjudikasi'!$E$1&gt;=3)*('Kunci Adjudikasi'!R22&lt;&gt;"")*('Kunci Adjudikasi'!AD22&lt;&gt;"")*('Kunci Adjudikasi'!R22='Kunci Adjudikasi'!AD22)+('Kunci Adjudikasi'!$E$1&gt;=4)*('Kunci Adjudikasi'!R22&lt;&gt;"")*('Kunci Adjudikasi'!AJ22&lt;&gt;"")*('Kunci Adjudikasi'!R22='Kunci Adjudikasi'!AJ22)+('Kunci Adjudikasi'!$E$1&gt;=3)*('Kunci Adjudikasi'!X22&lt;&gt;"")*('Kunci Adjudikasi'!AD22&lt;&gt;"")*('Kunci Adjudikasi'!X22='Kunci Adjudikasi'!AD22)+('Kunci Adjudikasi'!$E$1&gt;=4)*('Kunci Adjudikasi'!X22&lt;&gt;"")*('Kunci Adjudikasi'!AJ22&lt;&gt;"")*('Kunci Adjudikasi'!X22='Kunci Adjudikasi'!AJ22)+('Kunci Adjudikasi'!$E$1&gt;=4)*('Kunci Adjudikasi'!AD22&lt;&gt;"")*('Kunci Adjudikasi'!AJ22&lt;&gt;"")*('Kunci Adjudikasi'!AD22='Kunci Adjudikasi'!AJ22)))/(L22-1),0)</f>
        <v>0</v>
      </c>
      <c r="N22" s="20">
        <f>(LEFT('Kunci Adjudikasi'!N22,2)="R0")+(LEFT('Kunci Adjudikasi'!T22,2)="R0")+('Kunci Adjudikasi'!$E$1&gt;=3)*(LEFT('Kunci Adjudikasi'!Z22,2)="R0")+('Kunci Adjudikasi'!$E$1&gt;=4)*(LEFT('Kunci Adjudikasi'!AF22,2)="R0")</f>
        <v>0</v>
      </c>
      <c r="O22" s="20">
        <f>(LEFT('Kunci Adjudikasi'!N22,2)="R1")+(LEFT('Kunci Adjudikasi'!T22,2)="R1")+('Kunci Adjudikasi'!$E$1&gt;=3)*(LEFT('Kunci Adjudikasi'!Z22,2)="R1")+('Kunci Adjudikasi'!$E$1&gt;=4)*(LEFT('Kunci Adjudikasi'!AF22,2)="R1")</f>
        <v>0</v>
      </c>
      <c r="P22" s="20">
        <f>(LEFT('Kunci Adjudikasi'!N22,2)="R2")+(LEFT('Kunci Adjudikasi'!T22,2)="R2")+('Kunci Adjudikasi'!$E$1&gt;=3)*(LEFT('Kunci Adjudikasi'!Z22,2)="R2")+('Kunci Adjudikasi'!$E$1&gt;=4)*(LEFT('Kunci Adjudikasi'!AF22,2)="R2")</f>
        <v>0</v>
      </c>
      <c r="Q22" s="20">
        <f t="shared" si="43"/>
        <v>0</v>
      </c>
      <c r="R22" s="20">
        <f t="shared" si="44"/>
        <v>0</v>
      </c>
      <c r="S22" s="20">
        <f t="shared" si="45"/>
        <v>0</v>
      </c>
    </row>
    <row r="23">
      <c r="A23" s="20">
        <f>'Kunci Adjudikasi'!A23</f>
        <v>20</v>
      </c>
      <c r="B23" s="20">
        <f>('Kunci Adjudikasi'!M23&lt;&gt;"")+('Kunci Adjudikasi'!S23&lt;&gt;"")+('Kunci Adjudikasi'!$E$1&gt;=3)*('Kunci Adjudikasi'!Y23&lt;&gt;"")+('Kunci Adjudikasi'!$E$1&gt;=4)*('Kunci Adjudikasi'!AE23&lt;&gt;"")</f>
        <v>0</v>
      </c>
      <c r="C23" s="20">
        <f>IF(B23&gt;=2,(B23*(B23-1)/2-(('Kunci Adjudikasi'!M23&lt;&gt;"")*('Kunci Adjudikasi'!S23&lt;&gt;"")*('Kunci Adjudikasi'!M23='Kunci Adjudikasi'!S23)+('Kunci Adjudikasi'!$E$1&gt;=3)*('Kunci Adjudikasi'!M23&lt;&gt;"")*('Kunci Adjudikasi'!Y23&lt;&gt;"")*('Kunci Adjudikasi'!M23='Kunci Adjudikasi'!Y23)+('Kunci Adjudikasi'!$E$1&gt;=4)*('Kunci Adjudikasi'!M23&lt;&gt;"")*('Kunci Adjudikasi'!AE23&lt;&gt;"")*('Kunci Adjudikasi'!M23='Kunci Adjudikasi'!AE23)+('Kunci Adjudikasi'!$E$1&gt;=3)*('Kunci Adjudikasi'!S23&lt;&gt;"")*('Kunci Adjudikasi'!Y23&lt;&gt;"")*('Kunci Adjudikasi'!S23='Kunci Adjudikasi'!Y23)+('Kunci Adjudikasi'!$E$1&gt;=4)*('Kunci Adjudikasi'!S23&lt;&gt;"")*('Kunci Adjudikasi'!AE23&lt;&gt;"")*('Kunci Adjudikasi'!S23='Kunci Adjudikasi'!AE23)+('Kunci Adjudikasi'!$E$1&gt;=4)*('Kunci Adjudikasi'!Y23&lt;&gt;"")*('Kunci Adjudikasi'!AE23&lt;&gt;"")*('Kunci Adjudikasi'!Y23='Kunci Adjudikasi'!AE23)))/(B23-1),0)</f>
        <v>0</v>
      </c>
      <c r="D23" s="20">
        <f>('Kunci Adjudikasi'!N23&lt;&gt;"")+('Kunci Adjudikasi'!T23&lt;&gt;"")+('Kunci Adjudikasi'!$E$1&gt;=3)*('Kunci Adjudikasi'!Z23&lt;&gt;"")+('Kunci Adjudikasi'!$E$1&gt;=4)*('Kunci Adjudikasi'!AF23&lt;&gt;"")</f>
        <v>0</v>
      </c>
      <c r="E23" s="20">
        <f>IF(D23&gt;=2,(D23*(D23-1)/2-(('Kunci Adjudikasi'!N23&lt;&gt;"")*('Kunci Adjudikasi'!T23&lt;&gt;"")*('Kunci Adjudikasi'!N23='Kunci Adjudikasi'!T23)+('Kunci Adjudikasi'!$E$1&gt;=3)*('Kunci Adjudikasi'!N23&lt;&gt;"")*('Kunci Adjudikasi'!Z23&lt;&gt;"")*('Kunci Adjudikasi'!N23='Kunci Adjudikasi'!Z23)+('Kunci Adjudikasi'!$E$1&gt;=4)*('Kunci Adjudikasi'!N23&lt;&gt;"")*('Kunci Adjudikasi'!AF23&lt;&gt;"")*('Kunci Adjudikasi'!N23='Kunci Adjudikasi'!AF23)+('Kunci Adjudikasi'!$E$1&gt;=3)*('Kunci Adjudikasi'!T23&lt;&gt;"")*('Kunci Adjudikasi'!Z23&lt;&gt;"")*('Kunci Adjudikasi'!T23='Kunci Adjudikasi'!Z23)+('Kunci Adjudikasi'!$E$1&gt;=4)*('Kunci Adjudikasi'!T23&lt;&gt;"")*('Kunci Adjudikasi'!AF23&lt;&gt;"")*('Kunci Adjudikasi'!T23='Kunci Adjudikasi'!AF23)+('Kunci Adjudikasi'!$E$1&gt;=4)*('Kunci Adjudikasi'!Z23&lt;&gt;"")*('Kunci Adjudikasi'!AF23&lt;&gt;"")*('Kunci Adjudikasi'!Z23='Kunci Adjudikasi'!AF23)))/(D23-1),0)</f>
        <v>0</v>
      </c>
      <c r="F23" s="20">
        <f>('Kunci Adjudikasi'!O23&lt;&gt;"")+('Kunci Adjudikasi'!U23&lt;&gt;"")+('Kunci Adjudikasi'!$E$1&gt;=3)*('Kunci Adjudikasi'!AA23&lt;&gt;"")+('Kunci Adjudikasi'!$E$1&gt;=4)*('Kunci Adjudikasi'!AG23&lt;&gt;"")</f>
        <v>0</v>
      </c>
      <c r="G23" s="20">
        <f>IF(F23&gt;=2,(F23*(F23-1)/2-(('Kunci Adjudikasi'!O23&lt;&gt;"")*('Kunci Adjudikasi'!U23&lt;&gt;"")*('Kunci Adjudikasi'!O23='Kunci Adjudikasi'!U23)+('Kunci Adjudikasi'!$E$1&gt;=3)*('Kunci Adjudikasi'!O23&lt;&gt;"")*('Kunci Adjudikasi'!AA23&lt;&gt;"")*('Kunci Adjudikasi'!O23='Kunci Adjudikasi'!AA23)+('Kunci Adjudikasi'!$E$1&gt;=4)*('Kunci Adjudikasi'!O23&lt;&gt;"")*('Kunci Adjudikasi'!AG23&lt;&gt;"")*('Kunci Adjudikasi'!O23='Kunci Adjudikasi'!AG23)+('Kunci Adjudikasi'!$E$1&gt;=3)*('Kunci Adjudikasi'!U23&lt;&gt;"")*('Kunci Adjudikasi'!AA23&lt;&gt;"")*('Kunci Adjudikasi'!U23='Kunci Adjudikasi'!AA23)+('Kunci Adjudikasi'!$E$1&gt;=4)*('Kunci Adjudikasi'!U23&lt;&gt;"")*('Kunci Adjudikasi'!AG23&lt;&gt;"")*('Kunci Adjudikasi'!U23='Kunci Adjudikasi'!AG23)+('Kunci Adjudikasi'!$E$1&gt;=4)*('Kunci Adjudikasi'!AA23&lt;&gt;"")*('Kunci Adjudikasi'!AG23&lt;&gt;"")*('Kunci Adjudikasi'!AA23='Kunci Adjudikasi'!AG23)))/(F23-1),0)</f>
        <v>0</v>
      </c>
      <c r="H23" s="20">
        <f>('Kunci Adjudikasi'!P23&lt;&gt;"")+('Kunci Adjudikasi'!V23&lt;&gt;"")+('Kunci Adjudikasi'!$E$1&gt;=3)*('Kunci Adjudikasi'!AB23&lt;&gt;"")+('Kunci Adjudikasi'!$E$1&gt;=4)*('Kunci Adjudikasi'!AH23&lt;&gt;"")</f>
        <v>0</v>
      </c>
      <c r="I23" s="20">
        <f>IF(H23&gt;=2,(H23*(H23-1)/2-(('Kunci Adjudikasi'!P23&lt;&gt;"")*('Kunci Adjudikasi'!V23&lt;&gt;"")*('Kunci Adjudikasi'!P23='Kunci Adjudikasi'!V23)+('Kunci Adjudikasi'!$E$1&gt;=3)*('Kunci Adjudikasi'!P23&lt;&gt;"")*('Kunci Adjudikasi'!AB23&lt;&gt;"")*('Kunci Adjudikasi'!P23='Kunci Adjudikasi'!AB23)+('Kunci Adjudikasi'!$E$1&gt;=4)*('Kunci Adjudikasi'!P23&lt;&gt;"")*('Kunci Adjudikasi'!AH23&lt;&gt;"")*('Kunci Adjudikasi'!P23='Kunci Adjudikasi'!AH23)+('Kunci Adjudikasi'!$E$1&gt;=3)*('Kunci Adjudikasi'!V23&lt;&gt;"")*('Kunci Adjudikasi'!AB23&lt;&gt;"")*('Kunci Adjudikasi'!V23='Kunci Adjudikasi'!AB23)+('Kunci Adjudikasi'!$E$1&gt;=4)*('Kunci Adjudikasi'!V23&lt;&gt;"")*('Kunci Adjudikasi'!AH23&lt;&gt;"")*('Kunci Adjudikasi'!V23='Kunci Adjudikasi'!AH23)+('Kunci Adjudikasi'!$E$1&gt;=4)*('Kunci Adjudikasi'!AB23&lt;&gt;"")*('Kunci Adjudikasi'!AH23&lt;&gt;"")*('Kunci Adjudikasi'!AB23='Kunci Adjudikasi'!AH23)))/(H23-1),0)</f>
        <v>0</v>
      </c>
      <c r="J23" s="20">
        <f>('Kunci Adjudikasi'!Q23&lt;&gt;"")+('Kunci Adjudikasi'!W23&lt;&gt;"")+('Kunci Adjudikasi'!$E$1&gt;=3)*('Kunci Adjudikasi'!AC23&lt;&gt;"")+('Kunci Adjudikasi'!$E$1&gt;=4)*('Kunci Adjudikasi'!AI23&lt;&gt;"")</f>
        <v>0</v>
      </c>
      <c r="K23" s="20">
        <f>IF(J23&gt;=2,(J23*(J23-1)/2-(('Kunci Adjudikasi'!Q23&lt;&gt;"")*('Kunci Adjudikasi'!W23&lt;&gt;"")*('Kunci Adjudikasi'!Q23='Kunci Adjudikasi'!W23)+('Kunci Adjudikasi'!$E$1&gt;=3)*('Kunci Adjudikasi'!Q23&lt;&gt;"")*('Kunci Adjudikasi'!AC23&lt;&gt;"")*('Kunci Adjudikasi'!Q23='Kunci Adjudikasi'!AC23)+('Kunci Adjudikasi'!$E$1&gt;=4)*('Kunci Adjudikasi'!Q23&lt;&gt;"")*('Kunci Adjudikasi'!AI23&lt;&gt;"")*('Kunci Adjudikasi'!Q23='Kunci Adjudikasi'!AI23)+('Kunci Adjudikasi'!$E$1&gt;=3)*('Kunci Adjudikasi'!W23&lt;&gt;"")*('Kunci Adjudikasi'!AC23&lt;&gt;"")*('Kunci Adjudikasi'!W23='Kunci Adjudikasi'!AC23)+('Kunci Adjudikasi'!$E$1&gt;=4)*('Kunci Adjudikasi'!W23&lt;&gt;"")*('Kunci Adjudikasi'!AI23&lt;&gt;"")*('Kunci Adjudikasi'!W23='Kunci Adjudikasi'!AI23)+('Kunci Adjudikasi'!$E$1&gt;=4)*('Kunci Adjudikasi'!AC23&lt;&gt;"")*('Kunci Adjudikasi'!AI23&lt;&gt;"")*('Kunci Adjudikasi'!AC23='Kunci Adjudikasi'!AI23)))/(J23-1),0)</f>
        <v>0</v>
      </c>
      <c r="L23" s="20">
        <f>('Kunci Adjudikasi'!R23&lt;&gt;"")+('Kunci Adjudikasi'!X23&lt;&gt;"")+('Kunci Adjudikasi'!$E$1&gt;=3)*('Kunci Adjudikasi'!AD23&lt;&gt;"")+('Kunci Adjudikasi'!$E$1&gt;=4)*('Kunci Adjudikasi'!AJ23&lt;&gt;"")</f>
        <v>0</v>
      </c>
      <c r="M23" s="20">
        <f>IF(L23&gt;=2,(L23*(L23-1)/2-(('Kunci Adjudikasi'!R23&lt;&gt;"")*('Kunci Adjudikasi'!X23&lt;&gt;"")*('Kunci Adjudikasi'!R23='Kunci Adjudikasi'!X23)+('Kunci Adjudikasi'!$E$1&gt;=3)*('Kunci Adjudikasi'!R23&lt;&gt;"")*('Kunci Adjudikasi'!AD23&lt;&gt;"")*('Kunci Adjudikasi'!R23='Kunci Adjudikasi'!AD23)+('Kunci Adjudikasi'!$E$1&gt;=4)*('Kunci Adjudikasi'!R23&lt;&gt;"")*('Kunci Adjudikasi'!AJ23&lt;&gt;"")*('Kunci Adjudikasi'!R23='Kunci Adjudikasi'!AJ23)+('Kunci Adjudikasi'!$E$1&gt;=3)*('Kunci Adjudikasi'!X23&lt;&gt;"")*('Kunci Adjudikasi'!AD23&lt;&gt;"")*('Kunci Adjudikasi'!X23='Kunci Adjudikasi'!AD23)+('Kunci Adjudikasi'!$E$1&gt;=4)*('Kunci Adjudikasi'!X23&lt;&gt;"")*('Kunci Adjudikasi'!AJ23&lt;&gt;"")*('Kunci Adjudikasi'!X23='Kunci Adjudikasi'!AJ23)+('Kunci Adjudikasi'!$E$1&gt;=4)*('Kunci Adjudikasi'!AD23&lt;&gt;"")*('Kunci Adjudikasi'!AJ23&lt;&gt;"")*('Kunci Adjudikasi'!AD23='Kunci Adjudikasi'!AJ23)))/(L23-1),0)</f>
        <v>0</v>
      </c>
      <c r="N23" s="20">
        <f>(LEFT('Kunci Adjudikasi'!N23,2)="R0")+(LEFT('Kunci Adjudikasi'!T23,2)="R0")+('Kunci Adjudikasi'!$E$1&gt;=3)*(LEFT('Kunci Adjudikasi'!Z23,2)="R0")+('Kunci Adjudikasi'!$E$1&gt;=4)*(LEFT('Kunci Adjudikasi'!AF23,2)="R0")</f>
        <v>0</v>
      </c>
      <c r="O23" s="20">
        <f>(LEFT('Kunci Adjudikasi'!N23,2)="R1")+(LEFT('Kunci Adjudikasi'!T23,2)="R1")+('Kunci Adjudikasi'!$E$1&gt;=3)*(LEFT('Kunci Adjudikasi'!Z23,2)="R1")+('Kunci Adjudikasi'!$E$1&gt;=4)*(LEFT('Kunci Adjudikasi'!AF23,2)="R1")</f>
        <v>0</v>
      </c>
      <c r="P23" s="20">
        <f>(LEFT('Kunci Adjudikasi'!N23,2)="R2")+(LEFT('Kunci Adjudikasi'!T23,2)="R2")+('Kunci Adjudikasi'!$E$1&gt;=3)*(LEFT('Kunci Adjudikasi'!Z23,2)="R2")+('Kunci Adjudikasi'!$E$1&gt;=4)*(LEFT('Kunci Adjudikasi'!AF23,2)="R2")</f>
        <v>0</v>
      </c>
      <c r="Q23" s="20">
        <f t="shared" si="43"/>
        <v>0</v>
      </c>
      <c r="R23" s="20">
        <f t="shared" si="44"/>
        <v>0</v>
      </c>
      <c r="S23" s="20">
        <f t="shared" si="45"/>
        <v>0</v>
      </c>
    </row>
    <row r="24">
      <c r="A24" s="20">
        <f>'Kunci Adjudikasi'!A24</f>
        <v>21</v>
      </c>
      <c r="B24" s="20">
        <f>('Kunci Adjudikasi'!M24&lt;&gt;"")+('Kunci Adjudikasi'!S24&lt;&gt;"")+('Kunci Adjudikasi'!$E$1&gt;=3)*('Kunci Adjudikasi'!Y24&lt;&gt;"")+('Kunci Adjudikasi'!$E$1&gt;=4)*('Kunci Adjudikasi'!AE24&lt;&gt;"")</f>
        <v>1</v>
      </c>
      <c r="C24" s="20">
        <f>IF(B24&gt;=2,(B24*(B24-1)/2-(('Kunci Adjudikasi'!M24&lt;&gt;"")*('Kunci Adjudikasi'!S24&lt;&gt;"")*('Kunci Adjudikasi'!M24='Kunci Adjudikasi'!S24)+('Kunci Adjudikasi'!$E$1&gt;=3)*('Kunci Adjudikasi'!M24&lt;&gt;"")*('Kunci Adjudikasi'!Y24&lt;&gt;"")*('Kunci Adjudikasi'!M24='Kunci Adjudikasi'!Y24)+('Kunci Adjudikasi'!$E$1&gt;=4)*('Kunci Adjudikasi'!M24&lt;&gt;"")*('Kunci Adjudikasi'!AE24&lt;&gt;"")*('Kunci Adjudikasi'!M24='Kunci Adjudikasi'!AE24)+('Kunci Adjudikasi'!$E$1&gt;=3)*('Kunci Adjudikasi'!S24&lt;&gt;"")*('Kunci Adjudikasi'!Y24&lt;&gt;"")*('Kunci Adjudikasi'!S24='Kunci Adjudikasi'!Y24)+('Kunci Adjudikasi'!$E$1&gt;=4)*('Kunci Adjudikasi'!S24&lt;&gt;"")*('Kunci Adjudikasi'!AE24&lt;&gt;"")*('Kunci Adjudikasi'!S24='Kunci Adjudikasi'!AE24)+('Kunci Adjudikasi'!$E$1&gt;=4)*('Kunci Adjudikasi'!Y24&lt;&gt;"")*('Kunci Adjudikasi'!AE24&lt;&gt;"")*('Kunci Adjudikasi'!Y24='Kunci Adjudikasi'!AE24)))/(B24-1),0)</f>
        <v>0</v>
      </c>
      <c r="D24" s="20">
        <f>('Kunci Adjudikasi'!N24&lt;&gt;"")+('Kunci Adjudikasi'!T24&lt;&gt;"")+('Kunci Adjudikasi'!$E$1&gt;=3)*('Kunci Adjudikasi'!Z24&lt;&gt;"")+('Kunci Adjudikasi'!$E$1&gt;=4)*('Kunci Adjudikasi'!AF24&lt;&gt;"")</f>
        <v>1</v>
      </c>
      <c r="E24" s="20">
        <f>IF(D24&gt;=2,(D24*(D24-1)/2-(('Kunci Adjudikasi'!N24&lt;&gt;"")*('Kunci Adjudikasi'!T24&lt;&gt;"")*('Kunci Adjudikasi'!N24='Kunci Adjudikasi'!T24)+('Kunci Adjudikasi'!$E$1&gt;=3)*('Kunci Adjudikasi'!N24&lt;&gt;"")*('Kunci Adjudikasi'!Z24&lt;&gt;"")*('Kunci Adjudikasi'!N24='Kunci Adjudikasi'!Z24)+('Kunci Adjudikasi'!$E$1&gt;=4)*('Kunci Adjudikasi'!N24&lt;&gt;"")*('Kunci Adjudikasi'!AF24&lt;&gt;"")*('Kunci Adjudikasi'!N24='Kunci Adjudikasi'!AF24)+('Kunci Adjudikasi'!$E$1&gt;=3)*('Kunci Adjudikasi'!T24&lt;&gt;"")*('Kunci Adjudikasi'!Z24&lt;&gt;"")*('Kunci Adjudikasi'!T24='Kunci Adjudikasi'!Z24)+('Kunci Adjudikasi'!$E$1&gt;=4)*('Kunci Adjudikasi'!T24&lt;&gt;"")*('Kunci Adjudikasi'!AF24&lt;&gt;"")*('Kunci Adjudikasi'!T24='Kunci Adjudikasi'!AF24)+('Kunci Adjudikasi'!$E$1&gt;=4)*('Kunci Adjudikasi'!Z24&lt;&gt;"")*('Kunci Adjudikasi'!AF24&lt;&gt;"")*('Kunci Adjudikasi'!Z24='Kunci Adjudikasi'!AF24)))/(D24-1),0)</f>
        <v>0</v>
      </c>
      <c r="F24" s="20">
        <f>('Kunci Adjudikasi'!O24&lt;&gt;"")+('Kunci Adjudikasi'!U24&lt;&gt;"")+('Kunci Adjudikasi'!$E$1&gt;=3)*('Kunci Adjudikasi'!AA24&lt;&gt;"")+('Kunci Adjudikasi'!$E$1&gt;=4)*('Kunci Adjudikasi'!AG24&lt;&gt;"")</f>
        <v>1</v>
      </c>
      <c r="G24" s="20">
        <f>IF(F24&gt;=2,(F24*(F24-1)/2-(('Kunci Adjudikasi'!O24&lt;&gt;"")*('Kunci Adjudikasi'!U24&lt;&gt;"")*('Kunci Adjudikasi'!O24='Kunci Adjudikasi'!U24)+('Kunci Adjudikasi'!$E$1&gt;=3)*('Kunci Adjudikasi'!O24&lt;&gt;"")*('Kunci Adjudikasi'!AA24&lt;&gt;"")*('Kunci Adjudikasi'!O24='Kunci Adjudikasi'!AA24)+('Kunci Adjudikasi'!$E$1&gt;=4)*('Kunci Adjudikasi'!O24&lt;&gt;"")*('Kunci Adjudikasi'!AG24&lt;&gt;"")*('Kunci Adjudikasi'!O24='Kunci Adjudikasi'!AG24)+('Kunci Adjudikasi'!$E$1&gt;=3)*('Kunci Adjudikasi'!U24&lt;&gt;"")*('Kunci Adjudikasi'!AA24&lt;&gt;"")*('Kunci Adjudikasi'!U24='Kunci Adjudikasi'!AA24)+('Kunci Adjudikasi'!$E$1&gt;=4)*('Kunci Adjudikasi'!U24&lt;&gt;"")*('Kunci Adjudikasi'!AG24&lt;&gt;"")*('Kunci Adjudikasi'!U24='Kunci Adjudikasi'!AG24)+('Kunci Adjudikasi'!$E$1&gt;=4)*('Kunci Adjudikasi'!AA24&lt;&gt;"")*('Kunci Adjudikasi'!AG24&lt;&gt;"")*('Kunci Adjudikasi'!AA24='Kunci Adjudikasi'!AG24)))/(F24-1),0)</f>
        <v>0</v>
      </c>
      <c r="H24" s="20">
        <f>('Kunci Adjudikasi'!P24&lt;&gt;"")+('Kunci Adjudikasi'!V24&lt;&gt;"")+('Kunci Adjudikasi'!$E$1&gt;=3)*('Kunci Adjudikasi'!AB24&lt;&gt;"")+('Kunci Adjudikasi'!$E$1&gt;=4)*('Kunci Adjudikasi'!AH24&lt;&gt;"")</f>
        <v>1</v>
      </c>
      <c r="I24" s="20">
        <f>IF(H24&gt;=2,(H24*(H24-1)/2-(('Kunci Adjudikasi'!P24&lt;&gt;"")*('Kunci Adjudikasi'!V24&lt;&gt;"")*('Kunci Adjudikasi'!P24='Kunci Adjudikasi'!V24)+('Kunci Adjudikasi'!$E$1&gt;=3)*('Kunci Adjudikasi'!P24&lt;&gt;"")*('Kunci Adjudikasi'!AB24&lt;&gt;"")*('Kunci Adjudikasi'!P24='Kunci Adjudikasi'!AB24)+('Kunci Adjudikasi'!$E$1&gt;=4)*('Kunci Adjudikasi'!P24&lt;&gt;"")*('Kunci Adjudikasi'!AH24&lt;&gt;"")*('Kunci Adjudikasi'!P24='Kunci Adjudikasi'!AH24)+('Kunci Adjudikasi'!$E$1&gt;=3)*('Kunci Adjudikasi'!V24&lt;&gt;"")*('Kunci Adjudikasi'!AB24&lt;&gt;"")*('Kunci Adjudikasi'!V24='Kunci Adjudikasi'!AB24)+('Kunci Adjudikasi'!$E$1&gt;=4)*('Kunci Adjudikasi'!V24&lt;&gt;"")*('Kunci Adjudikasi'!AH24&lt;&gt;"")*('Kunci Adjudikasi'!V24='Kunci Adjudikasi'!AH24)+('Kunci Adjudikasi'!$E$1&gt;=4)*('Kunci Adjudikasi'!AB24&lt;&gt;"")*('Kunci Adjudikasi'!AH24&lt;&gt;"")*('Kunci Adjudikasi'!AB24='Kunci Adjudikasi'!AH24)))/(H24-1),0)</f>
        <v>0</v>
      </c>
      <c r="J24" s="20">
        <f>('Kunci Adjudikasi'!Q24&lt;&gt;"")+('Kunci Adjudikasi'!W24&lt;&gt;"")+('Kunci Adjudikasi'!$E$1&gt;=3)*('Kunci Adjudikasi'!AC24&lt;&gt;"")+('Kunci Adjudikasi'!$E$1&gt;=4)*('Kunci Adjudikasi'!AI24&lt;&gt;"")</f>
        <v>1</v>
      </c>
      <c r="K24" s="20">
        <f>IF(J24&gt;=2,(J24*(J24-1)/2-(('Kunci Adjudikasi'!Q24&lt;&gt;"")*('Kunci Adjudikasi'!W24&lt;&gt;"")*('Kunci Adjudikasi'!Q24='Kunci Adjudikasi'!W24)+('Kunci Adjudikasi'!$E$1&gt;=3)*('Kunci Adjudikasi'!Q24&lt;&gt;"")*('Kunci Adjudikasi'!AC24&lt;&gt;"")*('Kunci Adjudikasi'!Q24='Kunci Adjudikasi'!AC24)+('Kunci Adjudikasi'!$E$1&gt;=4)*('Kunci Adjudikasi'!Q24&lt;&gt;"")*('Kunci Adjudikasi'!AI24&lt;&gt;"")*('Kunci Adjudikasi'!Q24='Kunci Adjudikasi'!AI24)+('Kunci Adjudikasi'!$E$1&gt;=3)*('Kunci Adjudikasi'!W24&lt;&gt;"")*('Kunci Adjudikasi'!AC24&lt;&gt;"")*('Kunci Adjudikasi'!W24='Kunci Adjudikasi'!AC24)+('Kunci Adjudikasi'!$E$1&gt;=4)*('Kunci Adjudikasi'!W24&lt;&gt;"")*('Kunci Adjudikasi'!AI24&lt;&gt;"")*('Kunci Adjudikasi'!W24='Kunci Adjudikasi'!AI24)+('Kunci Adjudikasi'!$E$1&gt;=4)*('Kunci Adjudikasi'!AC24&lt;&gt;"")*('Kunci Adjudikasi'!AI24&lt;&gt;"")*('Kunci Adjudikasi'!AC24='Kunci Adjudikasi'!AI24)))/(J24-1),0)</f>
        <v>0</v>
      </c>
      <c r="L24" s="20">
        <f>('Kunci Adjudikasi'!R24&lt;&gt;"")+('Kunci Adjudikasi'!X24&lt;&gt;"")+('Kunci Adjudikasi'!$E$1&gt;=3)*('Kunci Adjudikasi'!AD24&lt;&gt;"")+('Kunci Adjudikasi'!$E$1&gt;=4)*('Kunci Adjudikasi'!AJ24&lt;&gt;"")</f>
        <v>1</v>
      </c>
      <c r="M24" s="20">
        <f>IF(L24&gt;=2,(L24*(L24-1)/2-(('Kunci Adjudikasi'!R24&lt;&gt;"")*('Kunci Adjudikasi'!X24&lt;&gt;"")*('Kunci Adjudikasi'!R24='Kunci Adjudikasi'!X24)+('Kunci Adjudikasi'!$E$1&gt;=3)*('Kunci Adjudikasi'!R24&lt;&gt;"")*('Kunci Adjudikasi'!AD24&lt;&gt;"")*('Kunci Adjudikasi'!R24='Kunci Adjudikasi'!AD24)+('Kunci Adjudikasi'!$E$1&gt;=4)*('Kunci Adjudikasi'!R24&lt;&gt;"")*('Kunci Adjudikasi'!AJ24&lt;&gt;"")*('Kunci Adjudikasi'!R24='Kunci Adjudikasi'!AJ24)+('Kunci Adjudikasi'!$E$1&gt;=3)*('Kunci Adjudikasi'!X24&lt;&gt;"")*('Kunci Adjudikasi'!AD24&lt;&gt;"")*('Kunci Adjudikasi'!X24='Kunci Adjudikasi'!AD24)+('Kunci Adjudikasi'!$E$1&gt;=4)*('Kunci Adjudikasi'!X24&lt;&gt;"")*('Kunci Adjudikasi'!AJ24&lt;&gt;"")*('Kunci Adjudikasi'!X24='Kunci Adjudikasi'!AJ24)+('Kunci Adjudikasi'!$E$1&gt;=4)*('Kunci Adjudikasi'!AD24&lt;&gt;"")*('Kunci Adjudikasi'!AJ24&lt;&gt;"")*('Kunci Adjudikasi'!AD24='Kunci Adjudikasi'!AJ24)))/(L24-1),0)</f>
        <v>0</v>
      </c>
      <c r="N24" s="20">
        <f>(LEFT('Kunci Adjudikasi'!N24,2)="R0")+(LEFT('Kunci Adjudikasi'!T24,2)="R0")+('Kunci Adjudikasi'!$E$1&gt;=3)*(LEFT('Kunci Adjudikasi'!Z24,2)="R0")+('Kunci Adjudikasi'!$E$1&gt;=4)*(LEFT('Kunci Adjudikasi'!AF24,2)="R0")</f>
        <v>0</v>
      </c>
      <c r="O24" s="20">
        <f>(LEFT('Kunci Adjudikasi'!N24,2)="R1")+(LEFT('Kunci Adjudikasi'!T24,2)="R1")+('Kunci Adjudikasi'!$E$1&gt;=3)*(LEFT('Kunci Adjudikasi'!Z24,2)="R1")+('Kunci Adjudikasi'!$E$1&gt;=4)*(LEFT('Kunci Adjudikasi'!AF24,2)="R1")</f>
        <v>1</v>
      </c>
      <c r="P24" s="20">
        <f>(LEFT('Kunci Adjudikasi'!N24,2)="R2")+(LEFT('Kunci Adjudikasi'!T24,2)="R2")+('Kunci Adjudikasi'!$E$1&gt;=3)*(LEFT('Kunci Adjudikasi'!Z24,2)="R2")+('Kunci Adjudikasi'!$E$1&gt;=4)*(LEFT('Kunci Adjudikasi'!AF24,2)="R2")</f>
        <v>0</v>
      </c>
      <c r="Q24" s="20">
        <f t="shared" si="43"/>
        <v>0</v>
      </c>
      <c r="R24" s="20">
        <f t="shared" si="44"/>
        <v>0</v>
      </c>
      <c r="S24" s="20">
        <f t="shared" si="45"/>
        <v>0</v>
      </c>
    </row>
    <row r="25">
      <c r="A25" s="20">
        <f>'Kunci Adjudikasi'!A25</f>
        <v>22</v>
      </c>
      <c r="B25" s="20">
        <f>('Kunci Adjudikasi'!M25&lt;&gt;"")+('Kunci Adjudikasi'!S25&lt;&gt;"")+('Kunci Adjudikasi'!$E$1&gt;=3)*('Kunci Adjudikasi'!Y25&lt;&gt;"")+('Kunci Adjudikasi'!$E$1&gt;=4)*('Kunci Adjudikasi'!AE25&lt;&gt;"")</f>
        <v>1</v>
      </c>
      <c r="C25" s="20">
        <f>IF(B25&gt;=2,(B25*(B25-1)/2-(('Kunci Adjudikasi'!M25&lt;&gt;"")*('Kunci Adjudikasi'!S25&lt;&gt;"")*('Kunci Adjudikasi'!M25='Kunci Adjudikasi'!S25)+('Kunci Adjudikasi'!$E$1&gt;=3)*('Kunci Adjudikasi'!M25&lt;&gt;"")*('Kunci Adjudikasi'!Y25&lt;&gt;"")*('Kunci Adjudikasi'!M25='Kunci Adjudikasi'!Y25)+('Kunci Adjudikasi'!$E$1&gt;=4)*('Kunci Adjudikasi'!M25&lt;&gt;"")*('Kunci Adjudikasi'!AE25&lt;&gt;"")*('Kunci Adjudikasi'!M25='Kunci Adjudikasi'!AE25)+('Kunci Adjudikasi'!$E$1&gt;=3)*('Kunci Adjudikasi'!S25&lt;&gt;"")*('Kunci Adjudikasi'!Y25&lt;&gt;"")*('Kunci Adjudikasi'!S25='Kunci Adjudikasi'!Y25)+('Kunci Adjudikasi'!$E$1&gt;=4)*('Kunci Adjudikasi'!S25&lt;&gt;"")*('Kunci Adjudikasi'!AE25&lt;&gt;"")*('Kunci Adjudikasi'!S25='Kunci Adjudikasi'!AE25)+('Kunci Adjudikasi'!$E$1&gt;=4)*('Kunci Adjudikasi'!Y25&lt;&gt;"")*('Kunci Adjudikasi'!AE25&lt;&gt;"")*('Kunci Adjudikasi'!Y25='Kunci Adjudikasi'!AE25)))/(B25-1),0)</f>
        <v>0</v>
      </c>
      <c r="D25" s="20">
        <f>('Kunci Adjudikasi'!N25&lt;&gt;"")+('Kunci Adjudikasi'!T25&lt;&gt;"")+('Kunci Adjudikasi'!$E$1&gt;=3)*('Kunci Adjudikasi'!Z25&lt;&gt;"")+('Kunci Adjudikasi'!$E$1&gt;=4)*('Kunci Adjudikasi'!AF25&lt;&gt;"")</f>
        <v>1</v>
      </c>
      <c r="E25" s="20">
        <f>IF(D25&gt;=2,(D25*(D25-1)/2-(('Kunci Adjudikasi'!N25&lt;&gt;"")*('Kunci Adjudikasi'!T25&lt;&gt;"")*('Kunci Adjudikasi'!N25='Kunci Adjudikasi'!T25)+('Kunci Adjudikasi'!$E$1&gt;=3)*('Kunci Adjudikasi'!N25&lt;&gt;"")*('Kunci Adjudikasi'!Z25&lt;&gt;"")*('Kunci Adjudikasi'!N25='Kunci Adjudikasi'!Z25)+('Kunci Adjudikasi'!$E$1&gt;=4)*('Kunci Adjudikasi'!N25&lt;&gt;"")*('Kunci Adjudikasi'!AF25&lt;&gt;"")*('Kunci Adjudikasi'!N25='Kunci Adjudikasi'!AF25)+('Kunci Adjudikasi'!$E$1&gt;=3)*('Kunci Adjudikasi'!T25&lt;&gt;"")*('Kunci Adjudikasi'!Z25&lt;&gt;"")*('Kunci Adjudikasi'!T25='Kunci Adjudikasi'!Z25)+('Kunci Adjudikasi'!$E$1&gt;=4)*('Kunci Adjudikasi'!T25&lt;&gt;"")*('Kunci Adjudikasi'!AF25&lt;&gt;"")*('Kunci Adjudikasi'!T25='Kunci Adjudikasi'!AF25)+('Kunci Adjudikasi'!$E$1&gt;=4)*('Kunci Adjudikasi'!Z25&lt;&gt;"")*('Kunci Adjudikasi'!AF25&lt;&gt;"")*('Kunci Adjudikasi'!Z25='Kunci Adjudikasi'!AF25)))/(D25-1),0)</f>
        <v>0</v>
      </c>
      <c r="F25" s="20">
        <f>('Kunci Adjudikasi'!O25&lt;&gt;"")+('Kunci Adjudikasi'!U25&lt;&gt;"")+('Kunci Adjudikasi'!$E$1&gt;=3)*('Kunci Adjudikasi'!AA25&lt;&gt;"")+('Kunci Adjudikasi'!$E$1&gt;=4)*('Kunci Adjudikasi'!AG25&lt;&gt;"")</f>
        <v>1</v>
      </c>
      <c r="G25" s="20">
        <f>IF(F25&gt;=2,(F25*(F25-1)/2-(('Kunci Adjudikasi'!O25&lt;&gt;"")*('Kunci Adjudikasi'!U25&lt;&gt;"")*('Kunci Adjudikasi'!O25='Kunci Adjudikasi'!U25)+('Kunci Adjudikasi'!$E$1&gt;=3)*('Kunci Adjudikasi'!O25&lt;&gt;"")*('Kunci Adjudikasi'!AA25&lt;&gt;"")*('Kunci Adjudikasi'!O25='Kunci Adjudikasi'!AA25)+('Kunci Adjudikasi'!$E$1&gt;=4)*('Kunci Adjudikasi'!O25&lt;&gt;"")*('Kunci Adjudikasi'!AG25&lt;&gt;"")*('Kunci Adjudikasi'!O25='Kunci Adjudikasi'!AG25)+('Kunci Adjudikasi'!$E$1&gt;=3)*('Kunci Adjudikasi'!U25&lt;&gt;"")*('Kunci Adjudikasi'!AA25&lt;&gt;"")*('Kunci Adjudikasi'!U25='Kunci Adjudikasi'!AA25)+('Kunci Adjudikasi'!$E$1&gt;=4)*('Kunci Adjudikasi'!U25&lt;&gt;"")*('Kunci Adjudikasi'!AG25&lt;&gt;"")*('Kunci Adjudikasi'!U25='Kunci Adjudikasi'!AG25)+('Kunci Adjudikasi'!$E$1&gt;=4)*('Kunci Adjudikasi'!AA25&lt;&gt;"")*('Kunci Adjudikasi'!AG25&lt;&gt;"")*('Kunci Adjudikasi'!AA25='Kunci Adjudikasi'!AG25)))/(F25-1),0)</f>
        <v>0</v>
      </c>
      <c r="H25" s="20">
        <f>('Kunci Adjudikasi'!P25&lt;&gt;"")+('Kunci Adjudikasi'!V25&lt;&gt;"")+('Kunci Adjudikasi'!$E$1&gt;=3)*('Kunci Adjudikasi'!AB25&lt;&gt;"")+('Kunci Adjudikasi'!$E$1&gt;=4)*('Kunci Adjudikasi'!AH25&lt;&gt;"")</f>
        <v>1</v>
      </c>
      <c r="I25" s="20">
        <f>IF(H25&gt;=2,(H25*(H25-1)/2-(('Kunci Adjudikasi'!P25&lt;&gt;"")*('Kunci Adjudikasi'!V25&lt;&gt;"")*('Kunci Adjudikasi'!P25='Kunci Adjudikasi'!V25)+('Kunci Adjudikasi'!$E$1&gt;=3)*('Kunci Adjudikasi'!P25&lt;&gt;"")*('Kunci Adjudikasi'!AB25&lt;&gt;"")*('Kunci Adjudikasi'!P25='Kunci Adjudikasi'!AB25)+('Kunci Adjudikasi'!$E$1&gt;=4)*('Kunci Adjudikasi'!P25&lt;&gt;"")*('Kunci Adjudikasi'!AH25&lt;&gt;"")*('Kunci Adjudikasi'!P25='Kunci Adjudikasi'!AH25)+('Kunci Adjudikasi'!$E$1&gt;=3)*('Kunci Adjudikasi'!V25&lt;&gt;"")*('Kunci Adjudikasi'!AB25&lt;&gt;"")*('Kunci Adjudikasi'!V25='Kunci Adjudikasi'!AB25)+('Kunci Adjudikasi'!$E$1&gt;=4)*('Kunci Adjudikasi'!V25&lt;&gt;"")*('Kunci Adjudikasi'!AH25&lt;&gt;"")*('Kunci Adjudikasi'!V25='Kunci Adjudikasi'!AH25)+('Kunci Adjudikasi'!$E$1&gt;=4)*('Kunci Adjudikasi'!AB25&lt;&gt;"")*('Kunci Adjudikasi'!AH25&lt;&gt;"")*('Kunci Adjudikasi'!AB25='Kunci Adjudikasi'!AH25)))/(H25-1),0)</f>
        <v>0</v>
      </c>
      <c r="J25" s="20">
        <f>('Kunci Adjudikasi'!Q25&lt;&gt;"")+('Kunci Adjudikasi'!W25&lt;&gt;"")+('Kunci Adjudikasi'!$E$1&gt;=3)*('Kunci Adjudikasi'!AC25&lt;&gt;"")+('Kunci Adjudikasi'!$E$1&gt;=4)*('Kunci Adjudikasi'!AI25&lt;&gt;"")</f>
        <v>1</v>
      </c>
      <c r="K25" s="20">
        <f>IF(J25&gt;=2,(J25*(J25-1)/2-(('Kunci Adjudikasi'!Q25&lt;&gt;"")*('Kunci Adjudikasi'!W25&lt;&gt;"")*('Kunci Adjudikasi'!Q25='Kunci Adjudikasi'!W25)+('Kunci Adjudikasi'!$E$1&gt;=3)*('Kunci Adjudikasi'!Q25&lt;&gt;"")*('Kunci Adjudikasi'!AC25&lt;&gt;"")*('Kunci Adjudikasi'!Q25='Kunci Adjudikasi'!AC25)+('Kunci Adjudikasi'!$E$1&gt;=4)*('Kunci Adjudikasi'!Q25&lt;&gt;"")*('Kunci Adjudikasi'!AI25&lt;&gt;"")*('Kunci Adjudikasi'!Q25='Kunci Adjudikasi'!AI25)+('Kunci Adjudikasi'!$E$1&gt;=3)*('Kunci Adjudikasi'!W25&lt;&gt;"")*('Kunci Adjudikasi'!AC25&lt;&gt;"")*('Kunci Adjudikasi'!W25='Kunci Adjudikasi'!AC25)+('Kunci Adjudikasi'!$E$1&gt;=4)*('Kunci Adjudikasi'!W25&lt;&gt;"")*('Kunci Adjudikasi'!AI25&lt;&gt;"")*('Kunci Adjudikasi'!W25='Kunci Adjudikasi'!AI25)+('Kunci Adjudikasi'!$E$1&gt;=4)*('Kunci Adjudikasi'!AC25&lt;&gt;"")*('Kunci Adjudikasi'!AI25&lt;&gt;"")*('Kunci Adjudikasi'!AC25='Kunci Adjudikasi'!AI25)))/(J25-1),0)</f>
        <v>0</v>
      </c>
      <c r="L25" s="20">
        <f>('Kunci Adjudikasi'!R25&lt;&gt;"")+('Kunci Adjudikasi'!X25&lt;&gt;"")+('Kunci Adjudikasi'!$E$1&gt;=3)*('Kunci Adjudikasi'!AD25&lt;&gt;"")+('Kunci Adjudikasi'!$E$1&gt;=4)*('Kunci Adjudikasi'!AJ25&lt;&gt;"")</f>
        <v>1</v>
      </c>
      <c r="M25" s="20">
        <f>IF(L25&gt;=2,(L25*(L25-1)/2-(('Kunci Adjudikasi'!R25&lt;&gt;"")*('Kunci Adjudikasi'!X25&lt;&gt;"")*('Kunci Adjudikasi'!R25='Kunci Adjudikasi'!X25)+('Kunci Adjudikasi'!$E$1&gt;=3)*('Kunci Adjudikasi'!R25&lt;&gt;"")*('Kunci Adjudikasi'!AD25&lt;&gt;"")*('Kunci Adjudikasi'!R25='Kunci Adjudikasi'!AD25)+('Kunci Adjudikasi'!$E$1&gt;=4)*('Kunci Adjudikasi'!R25&lt;&gt;"")*('Kunci Adjudikasi'!AJ25&lt;&gt;"")*('Kunci Adjudikasi'!R25='Kunci Adjudikasi'!AJ25)+('Kunci Adjudikasi'!$E$1&gt;=3)*('Kunci Adjudikasi'!X25&lt;&gt;"")*('Kunci Adjudikasi'!AD25&lt;&gt;"")*('Kunci Adjudikasi'!X25='Kunci Adjudikasi'!AD25)+('Kunci Adjudikasi'!$E$1&gt;=4)*('Kunci Adjudikasi'!X25&lt;&gt;"")*('Kunci Adjudikasi'!AJ25&lt;&gt;"")*('Kunci Adjudikasi'!X25='Kunci Adjudikasi'!AJ25)+('Kunci Adjudikasi'!$E$1&gt;=4)*('Kunci Adjudikasi'!AD25&lt;&gt;"")*('Kunci Adjudikasi'!AJ25&lt;&gt;"")*('Kunci Adjudikasi'!AD25='Kunci Adjudikasi'!AJ25)))/(L25-1),0)</f>
        <v>0</v>
      </c>
      <c r="N25" s="20">
        <f>(LEFT('Kunci Adjudikasi'!N25,2)="R0")+(LEFT('Kunci Adjudikasi'!T25,2)="R0")+('Kunci Adjudikasi'!$E$1&gt;=3)*(LEFT('Kunci Adjudikasi'!Z25,2)="R0")+('Kunci Adjudikasi'!$E$1&gt;=4)*(LEFT('Kunci Adjudikasi'!AF25,2)="R0")</f>
        <v>0</v>
      </c>
      <c r="O25" s="20">
        <f>(LEFT('Kunci Adjudikasi'!N25,2)="R1")+(LEFT('Kunci Adjudikasi'!T25,2)="R1")+('Kunci Adjudikasi'!$E$1&gt;=3)*(LEFT('Kunci Adjudikasi'!Z25,2)="R1")+('Kunci Adjudikasi'!$E$1&gt;=4)*(LEFT('Kunci Adjudikasi'!AF25,2)="R1")</f>
        <v>1</v>
      </c>
      <c r="P25" s="20">
        <f>(LEFT('Kunci Adjudikasi'!N25,2)="R2")+(LEFT('Kunci Adjudikasi'!T25,2)="R2")+('Kunci Adjudikasi'!$E$1&gt;=3)*(LEFT('Kunci Adjudikasi'!Z25,2)="R2")+('Kunci Adjudikasi'!$E$1&gt;=4)*(LEFT('Kunci Adjudikasi'!AF25,2)="R2")</f>
        <v>0</v>
      </c>
      <c r="Q25" s="20">
        <f t="shared" si="43"/>
        <v>0</v>
      </c>
      <c r="R25" s="20">
        <f t="shared" si="44"/>
        <v>0</v>
      </c>
      <c r="S25" s="20">
        <f t="shared" si="45"/>
        <v>0</v>
      </c>
    </row>
    <row r="26">
      <c r="A26" s="20">
        <f>'Kunci Adjudikasi'!A26</f>
        <v>23</v>
      </c>
      <c r="B26" s="20">
        <f>('Kunci Adjudikasi'!M26&lt;&gt;"")+('Kunci Adjudikasi'!S26&lt;&gt;"")+('Kunci Adjudikasi'!$E$1&gt;=3)*('Kunci Adjudikasi'!Y26&lt;&gt;"")+('Kunci Adjudikasi'!$E$1&gt;=4)*('Kunci Adjudikasi'!AE26&lt;&gt;"")</f>
        <v>0</v>
      </c>
      <c r="C26" s="20">
        <f>IF(B26&gt;=2,(B26*(B26-1)/2-(('Kunci Adjudikasi'!M26&lt;&gt;"")*('Kunci Adjudikasi'!S26&lt;&gt;"")*('Kunci Adjudikasi'!M26='Kunci Adjudikasi'!S26)+('Kunci Adjudikasi'!$E$1&gt;=3)*('Kunci Adjudikasi'!M26&lt;&gt;"")*('Kunci Adjudikasi'!Y26&lt;&gt;"")*('Kunci Adjudikasi'!M26='Kunci Adjudikasi'!Y26)+('Kunci Adjudikasi'!$E$1&gt;=4)*('Kunci Adjudikasi'!M26&lt;&gt;"")*('Kunci Adjudikasi'!AE26&lt;&gt;"")*('Kunci Adjudikasi'!M26='Kunci Adjudikasi'!AE26)+('Kunci Adjudikasi'!$E$1&gt;=3)*('Kunci Adjudikasi'!S26&lt;&gt;"")*('Kunci Adjudikasi'!Y26&lt;&gt;"")*('Kunci Adjudikasi'!S26='Kunci Adjudikasi'!Y26)+('Kunci Adjudikasi'!$E$1&gt;=4)*('Kunci Adjudikasi'!S26&lt;&gt;"")*('Kunci Adjudikasi'!AE26&lt;&gt;"")*('Kunci Adjudikasi'!S26='Kunci Adjudikasi'!AE26)+('Kunci Adjudikasi'!$E$1&gt;=4)*('Kunci Adjudikasi'!Y26&lt;&gt;"")*('Kunci Adjudikasi'!AE26&lt;&gt;"")*('Kunci Adjudikasi'!Y26='Kunci Adjudikasi'!AE26)))/(B26-1),0)</f>
        <v>0</v>
      </c>
      <c r="D26" s="20">
        <f>('Kunci Adjudikasi'!N26&lt;&gt;"")+('Kunci Adjudikasi'!T26&lt;&gt;"")+('Kunci Adjudikasi'!$E$1&gt;=3)*('Kunci Adjudikasi'!Z26&lt;&gt;"")+('Kunci Adjudikasi'!$E$1&gt;=4)*('Kunci Adjudikasi'!AF26&lt;&gt;"")</f>
        <v>0</v>
      </c>
      <c r="E26" s="20">
        <f>IF(D26&gt;=2,(D26*(D26-1)/2-(('Kunci Adjudikasi'!N26&lt;&gt;"")*('Kunci Adjudikasi'!T26&lt;&gt;"")*('Kunci Adjudikasi'!N26='Kunci Adjudikasi'!T26)+('Kunci Adjudikasi'!$E$1&gt;=3)*('Kunci Adjudikasi'!N26&lt;&gt;"")*('Kunci Adjudikasi'!Z26&lt;&gt;"")*('Kunci Adjudikasi'!N26='Kunci Adjudikasi'!Z26)+('Kunci Adjudikasi'!$E$1&gt;=4)*('Kunci Adjudikasi'!N26&lt;&gt;"")*('Kunci Adjudikasi'!AF26&lt;&gt;"")*('Kunci Adjudikasi'!N26='Kunci Adjudikasi'!AF26)+('Kunci Adjudikasi'!$E$1&gt;=3)*('Kunci Adjudikasi'!T26&lt;&gt;"")*('Kunci Adjudikasi'!Z26&lt;&gt;"")*('Kunci Adjudikasi'!T26='Kunci Adjudikasi'!Z26)+('Kunci Adjudikasi'!$E$1&gt;=4)*('Kunci Adjudikasi'!T26&lt;&gt;"")*('Kunci Adjudikasi'!AF26&lt;&gt;"")*('Kunci Adjudikasi'!T26='Kunci Adjudikasi'!AF26)+('Kunci Adjudikasi'!$E$1&gt;=4)*('Kunci Adjudikasi'!Z26&lt;&gt;"")*('Kunci Adjudikasi'!AF26&lt;&gt;"")*('Kunci Adjudikasi'!Z26='Kunci Adjudikasi'!AF26)))/(D26-1),0)</f>
        <v>0</v>
      </c>
      <c r="F26" s="20">
        <f>('Kunci Adjudikasi'!O26&lt;&gt;"")+('Kunci Adjudikasi'!U26&lt;&gt;"")+('Kunci Adjudikasi'!$E$1&gt;=3)*('Kunci Adjudikasi'!AA26&lt;&gt;"")+('Kunci Adjudikasi'!$E$1&gt;=4)*('Kunci Adjudikasi'!AG26&lt;&gt;"")</f>
        <v>0</v>
      </c>
      <c r="G26" s="20">
        <f>IF(F26&gt;=2,(F26*(F26-1)/2-(('Kunci Adjudikasi'!O26&lt;&gt;"")*('Kunci Adjudikasi'!U26&lt;&gt;"")*('Kunci Adjudikasi'!O26='Kunci Adjudikasi'!U26)+('Kunci Adjudikasi'!$E$1&gt;=3)*('Kunci Adjudikasi'!O26&lt;&gt;"")*('Kunci Adjudikasi'!AA26&lt;&gt;"")*('Kunci Adjudikasi'!O26='Kunci Adjudikasi'!AA26)+('Kunci Adjudikasi'!$E$1&gt;=4)*('Kunci Adjudikasi'!O26&lt;&gt;"")*('Kunci Adjudikasi'!AG26&lt;&gt;"")*('Kunci Adjudikasi'!O26='Kunci Adjudikasi'!AG26)+('Kunci Adjudikasi'!$E$1&gt;=3)*('Kunci Adjudikasi'!U26&lt;&gt;"")*('Kunci Adjudikasi'!AA26&lt;&gt;"")*('Kunci Adjudikasi'!U26='Kunci Adjudikasi'!AA26)+('Kunci Adjudikasi'!$E$1&gt;=4)*('Kunci Adjudikasi'!U26&lt;&gt;"")*('Kunci Adjudikasi'!AG26&lt;&gt;"")*('Kunci Adjudikasi'!U26='Kunci Adjudikasi'!AG26)+('Kunci Adjudikasi'!$E$1&gt;=4)*('Kunci Adjudikasi'!AA26&lt;&gt;"")*('Kunci Adjudikasi'!AG26&lt;&gt;"")*('Kunci Adjudikasi'!AA26='Kunci Adjudikasi'!AG26)))/(F26-1),0)</f>
        <v>0</v>
      </c>
      <c r="H26" s="20">
        <f>('Kunci Adjudikasi'!P26&lt;&gt;"")+('Kunci Adjudikasi'!V26&lt;&gt;"")+('Kunci Adjudikasi'!$E$1&gt;=3)*('Kunci Adjudikasi'!AB26&lt;&gt;"")+('Kunci Adjudikasi'!$E$1&gt;=4)*('Kunci Adjudikasi'!AH26&lt;&gt;"")</f>
        <v>0</v>
      </c>
      <c r="I26" s="20">
        <f>IF(H26&gt;=2,(H26*(H26-1)/2-(('Kunci Adjudikasi'!P26&lt;&gt;"")*('Kunci Adjudikasi'!V26&lt;&gt;"")*('Kunci Adjudikasi'!P26='Kunci Adjudikasi'!V26)+('Kunci Adjudikasi'!$E$1&gt;=3)*('Kunci Adjudikasi'!P26&lt;&gt;"")*('Kunci Adjudikasi'!AB26&lt;&gt;"")*('Kunci Adjudikasi'!P26='Kunci Adjudikasi'!AB26)+('Kunci Adjudikasi'!$E$1&gt;=4)*('Kunci Adjudikasi'!P26&lt;&gt;"")*('Kunci Adjudikasi'!AH26&lt;&gt;"")*('Kunci Adjudikasi'!P26='Kunci Adjudikasi'!AH26)+('Kunci Adjudikasi'!$E$1&gt;=3)*('Kunci Adjudikasi'!V26&lt;&gt;"")*('Kunci Adjudikasi'!AB26&lt;&gt;"")*('Kunci Adjudikasi'!V26='Kunci Adjudikasi'!AB26)+('Kunci Adjudikasi'!$E$1&gt;=4)*('Kunci Adjudikasi'!V26&lt;&gt;"")*('Kunci Adjudikasi'!AH26&lt;&gt;"")*('Kunci Adjudikasi'!V26='Kunci Adjudikasi'!AH26)+('Kunci Adjudikasi'!$E$1&gt;=4)*('Kunci Adjudikasi'!AB26&lt;&gt;"")*('Kunci Adjudikasi'!AH26&lt;&gt;"")*('Kunci Adjudikasi'!AB26='Kunci Adjudikasi'!AH26)))/(H26-1),0)</f>
        <v>0</v>
      </c>
      <c r="J26" s="20">
        <f>('Kunci Adjudikasi'!Q26&lt;&gt;"")+('Kunci Adjudikasi'!W26&lt;&gt;"")+('Kunci Adjudikasi'!$E$1&gt;=3)*('Kunci Adjudikasi'!AC26&lt;&gt;"")+('Kunci Adjudikasi'!$E$1&gt;=4)*('Kunci Adjudikasi'!AI26&lt;&gt;"")</f>
        <v>0</v>
      </c>
      <c r="K26" s="20">
        <f>IF(J26&gt;=2,(J26*(J26-1)/2-(('Kunci Adjudikasi'!Q26&lt;&gt;"")*('Kunci Adjudikasi'!W26&lt;&gt;"")*('Kunci Adjudikasi'!Q26='Kunci Adjudikasi'!W26)+('Kunci Adjudikasi'!$E$1&gt;=3)*('Kunci Adjudikasi'!Q26&lt;&gt;"")*('Kunci Adjudikasi'!AC26&lt;&gt;"")*('Kunci Adjudikasi'!Q26='Kunci Adjudikasi'!AC26)+('Kunci Adjudikasi'!$E$1&gt;=4)*('Kunci Adjudikasi'!Q26&lt;&gt;"")*('Kunci Adjudikasi'!AI26&lt;&gt;"")*('Kunci Adjudikasi'!Q26='Kunci Adjudikasi'!AI26)+('Kunci Adjudikasi'!$E$1&gt;=3)*('Kunci Adjudikasi'!W26&lt;&gt;"")*('Kunci Adjudikasi'!AC26&lt;&gt;"")*('Kunci Adjudikasi'!W26='Kunci Adjudikasi'!AC26)+('Kunci Adjudikasi'!$E$1&gt;=4)*('Kunci Adjudikasi'!W26&lt;&gt;"")*('Kunci Adjudikasi'!AI26&lt;&gt;"")*('Kunci Adjudikasi'!W26='Kunci Adjudikasi'!AI26)+('Kunci Adjudikasi'!$E$1&gt;=4)*('Kunci Adjudikasi'!AC26&lt;&gt;"")*('Kunci Adjudikasi'!AI26&lt;&gt;"")*('Kunci Adjudikasi'!AC26='Kunci Adjudikasi'!AI26)))/(J26-1),0)</f>
        <v>0</v>
      </c>
      <c r="L26" s="20">
        <f>('Kunci Adjudikasi'!R26&lt;&gt;"")+('Kunci Adjudikasi'!X26&lt;&gt;"")+('Kunci Adjudikasi'!$E$1&gt;=3)*('Kunci Adjudikasi'!AD26&lt;&gt;"")+('Kunci Adjudikasi'!$E$1&gt;=4)*('Kunci Adjudikasi'!AJ26&lt;&gt;"")</f>
        <v>0</v>
      </c>
      <c r="M26" s="20">
        <f>IF(L26&gt;=2,(L26*(L26-1)/2-(('Kunci Adjudikasi'!R26&lt;&gt;"")*('Kunci Adjudikasi'!X26&lt;&gt;"")*('Kunci Adjudikasi'!R26='Kunci Adjudikasi'!X26)+('Kunci Adjudikasi'!$E$1&gt;=3)*('Kunci Adjudikasi'!R26&lt;&gt;"")*('Kunci Adjudikasi'!AD26&lt;&gt;"")*('Kunci Adjudikasi'!R26='Kunci Adjudikasi'!AD26)+('Kunci Adjudikasi'!$E$1&gt;=4)*('Kunci Adjudikasi'!R26&lt;&gt;"")*('Kunci Adjudikasi'!AJ26&lt;&gt;"")*('Kunci Adjudikasi'!R26='Kunci Adjudikasi'!AJ26)+('Kunci Adjudikasi'!$E$1&gt;=3)*('Kunci Adjudikasi'!X26&lt;&gt;"")*('Kunci Adjudikasi'!AD26&lt;&gt;"")*('Kunci Adjudikasi'!X26='Kunci Adjudikasi'!AD26)+('Kunci Adjudikasi'!$E$1&gt;=4)*('Kunci Adjudikasi'!X26&lt;&gt;"")*('Kunci Adjudikasi'!AJ26&lt;&gt;"")*('Kunci Adjudikasi'!X26='Kunci Adjudikasi'!AJ26)+('Kunci Adjudikasi'!$E$1&gt;=4)*('Kunci Adjudikasi'!AD26&lt;&gt;"")*('Kunci Adjudikasi'!AJ26&lt;&gt;"")*('Kunci Adjudikasi'!AD26='Kunci Adjudikasi'!AJ26)))/(L26-1),0)</f>
        <v>0</v>
      </c>
      <c r="N26" s="20">
        <f>(LEFT('Kunci Adjudikasi'!N26,2)="R0")+(LEFT('Kunci Adjudikasi'!T26,2)="R0")+('Kunci Adjudikasi'!$E$1&gt;=3)*(LEFT('Kunci Adjudikasi'!Z26,2)="R0")+('Kunci Adjudikasi'!$E$1&gt;=4)*(LEFT('Kunci Adjudikasi'!AF26,2)="R0")</f>
        <v>0</v>
      </c>
      <c r="O26" s="20">
        <f>(LEFT('Kunci Adjudikasi'!N26,2)="R1")+(LEFT('Kunci Adjudikasi'!T26,2)="R1")+('Kunci Adjudikasi'!$E$1&gt;=3)*(LEFT('Kunci Adjudikasi'!Z26,2)="R1")+('Kunci Adjudikasi'!$E$1&gt;=4)*(LEFT('Kunci Adjudikasi'!AF26,2)="R1")</f>
        <v>0</v>
      </c>
      <c r="P26" s="20">
        <f>(LEFT('Kunci Adjudikasi'!N26,2)="R2")+(LEFT('Kunci Adjudikasi'!T26,2)="R2")+('Kunci Adjudikasi'!$E$1&gt;=3)*(LEFT('Kunci Adjudikasi'!Z26,2)="R2")+('Kunci Adjudikasi'!$E$1&gt;=4)*(LEFT('Kunci Adjudikasi'!AF26,2)="R2")</f>
        <v>0</v>
      </c>
      <c r="Q26" s="20">
        <f t="shared" si="43"/>
        <v>0</v>
      </c>
      <c r="R26" s="20">
        <f t="shared" si="44"/>
        <v>0</v>
      </c>
      <c r="S26" s="20">
        <f t="shared" si="45"/>
        <v>0</v>
      </c>
    </row>
    <row r="27">
      <c r="A27" s="20">
        <f>'Kunci Adjudikasi'!A27</f>
        <v>24</v>
      </c>
      <c r="B27" s="20">
        <f>('Kunci Adjudikasi'!M27&lt;&gt;"")+('Kunci Adjudikasi'!S27&lt;&gt;"")+('Kunci Adjudikasi'!$E$1&gt;=3)*('Kunci Adjudikasi'!Y27&lt;&gt;"")+('Kunci Adjudikasi'!$E$1&gt;=4)*('Kunci Adjudikasi'!AE27&lt;&gt;"")</f>
        <v>0</v>
      </c>
      <c r="C27" s="20">
        <f>IF(B27&gt;=2,(B27*(B27-1)/2-(('Kunci Adjudikasi'!M27&lt;&gt;"")*('Kunci Adjudikasi'!S27&lt;&gt;"")*('Kunci Adjudikasi'!M27='Kunci Adjudikasi'!S27)+('Kunci Adjudikasi'!$E$1&gt;=3)*('Kunci Adjudikasi'!M27&lt;&gt;"")*('Kunci Adjudikasi'!Y27&lt;&gt;"")*('Kunci Adjudikasi'!M27='Kunci Adjudikasi'!Y27)+('Kunci Adjudikasi'!$E$1&gt;=4)*('Kunci Adjudikasi'!M27&lt;&gt;"")*('Kunci Adjudikasi'!AE27&lt;&gt;"")*('Kunci Adjudikasi'!M27='Kunci Adjudikasi'!AE27)+('Kunci Adjudikasi'!$E$1&gt;=3)*('Kunci Adjudikasi'!S27&lt;&gt;"")*('Kunci Adjudikasi'!Y27&lt;&gt;"")*('Kunci Adjudikasi'!S27='Kunci Adjudikasi'!Y27)+('Kunci Adjudikasi'!$E$1&gt;=4)*('Kunci Adjudikasi'!S27&lt;&gt;"")*('Kunci Adjudikasi'!AE27&lt;&gt;"")*('Kunci Adjudikasi'!S27='Kunci Adjudikasi'!AE27)+('Kunci Adjudikasi'!$E$1&gt;=4)*('Kunci Adjudikasi'!Y27&lt;&gt;"")*('Kunci Adjudikasi'!AE27&lt;&gt;"")*('Kunci Adjudikasi'!Y27='Kunci Adjudikasi'!AE27)))/(B27-1),0)</f>
        <v>0</v>
      </c>
      <c r="D27" s="20">
        <f>('Kunci Adjudikasi'!N27&lt;&gt;"")+('Kunci Adjudikasi'!T27&lt;&gt;"")+('Kunci Adjudikasi'!$E$1&gt;=3)*('Kunci Adjudikasi'!Z27&lt;&gt;"")+('Kunci Adjudikasi'!$E$1&gt;=4)*('Kunci Adjudikasi'!AF27&lt;&gt;"")</f>
        <v>0</v>
      </c>
      <c r="E27" s="20">
        <f>IF(D27&gt;=2,(D27*(D27-1)/2-(('Kunci Adjudikasi'!N27&lt;&gt;"")*('Kunci Adjudikasi'!T27&lt;&gt;"")*('Kunci Adjudikasi'!N27='Kunci Adjudikasi'!T27)+('Kunci Adjudikasi'!$E$1&gt;=3)*('Kunci Adjudikasi'!N27&lt;&gt;"")*('Kunci Adjudikasi'!Z27&lt;&gt;"")*('Kunci Adjudikasi'!N27='Kunci Adjudikasi'!Z27)+('Kunci Adjudikasi'!$E$1&gt;=4)*('Kunci Adjudikasi'!N27&lt;&gt;"")*('Kunci Adjudikasi'!AF27&lt;&gt;"")*('Kunci Adjudikasi'!N27='Kunci Adjudikasi'!AF27)+('Kunci Adjudikasi'!$E$1&gt;=3)*('Kunci Adjudikasi'!T27&lt;&gt;"")*('Kunci Adjudikasi'!Z27&lt;&gt;"")*('Kunci Adjudikasi'!T27='Kunci Adjudikasi'!Z27)+('Kunci Adjudikasi'!$E$1&gt;=4)*('Kunci Adjudikasi'!T27&lt;&gt;"")*('Kunci Adjudikasi'!AF27&lt;&gt;"")*('Kunci Adjudikasi'!T27='Kunci Adjudikasi'!AF27)+('Kunci Adjudikasi'!$E$1&gt;=4)*('Kunci Adjudikasi'!Z27&lt;&gt;"")*('Kunci Adjudikasi'!AF27&lt;&gt;"")*('Kunci Adjudikasi'!Z27='Kunci Adjudikasi'!AF27)))/(D27-1),0)</f>
        <v>0</v>
      </c>
      <c r="F27" s="20">
        <f>('Kunci Adjudikasi'!O27&lt;&gt;"")+('Kunci Adjudikasi'!U27&lt;&gt;"")+('Kunci Adjudikasi'!$E$1&gt;=3)*('Kunci Adjudikasi'!AA27&lt;&gt;"")+('Kunci Adjudikasi'!$E$1&gt;=4)*('Kunci Adjudikasi'!AG27&lt;&gt;"")</f>
        <v>0</v>
      </c>
      <c r="G27" s="20">
        <f>IF(F27&gt;=2,(F27*(F27-1)/2-(('Kunci Adjudikasi'!O27&lt;&gt;"")*('Kunci Adjudikasi'!U27&lt;&gt;"")*('Kunci Adjudikasi'!O27='Kunci Adjudikasi'!U27)+('Kunci Adjudikasi'!$E$1&gt;=3)*('Kunci Adjudikasi'!O27&lt;&gt;"")*('Kunci Adjudikasi'!AA27&lt;&gt;"")*('Kunci Adjudikasi'!O27='Kunci Adjudikasi'!AA27)+('Kunci Adjudikasi'!$E$1&gt;=4)*('Kunci Adjudikasi'!O27&lt;&gt;"")*('Kunci Adjudikasi'!AG27&lt;&gt;"")*('Kunci Adjudikasi'!O27='Kunci Adjudikasi'!AG27)+('Kunci Adjudikasi'!$E$1&gt;=3)*('Kunci Adjudikasi'!U27&lt;&gt;"")*('Kunci Adjudikasi'!AA27&lt;&gt;"")*('Kunci Adjudikasi'!U27='Kunci Adjudikasi'!AA27)+('Kunci Adjudikasi'!$E$1&gt;=4)*('Kunci Adjudikasi'!U27&lt;&gt;"")*('Kunci Adjudikasi'!AG27&lt;&gt;"")*('Kunci Adjudikasi'!U27='Kunci Adjudikasi'!AG27)+('Kunci Adjudikasi'!$E$1&gt;=4)*('Kunci Adjudikasi'!AA27&lt;&gt;"")*('Kunci Adjudikasi'!AG27&lt;&gt;"")*('Kunci Adjudikasi'!AA27='Kunci Adjudikasi'!AG27)))/(F27-1),0)</f>
        <v>0</v>
      </c>
      <c r="H27" s="20">
        <f>('Kunci Adjudikasi'!P27&lt;&gt;"")+('Kunci Adjudikasi'!V27&lt;&gt;"")+('Kunci Adjudikasi'!$E$1&gt;=3)*('Kunci Adjudikasi'!AB27&lt;&gt;"")+('Kunci Adjudikasi'!$E$1&gt;=4)*('Kunci Adjudikasi'!AH27&lt;&gt;"")</f>
        <v>0</v>
      </c>
      <c r="I27" s="20">
        <f>IF(H27&gt;=2,(H27*(H27-1)/2-(('Kunci Adjudikasi'!P27&lt;&gt;"")*('Kunci Adjudikasi'!V27&lt;&gt;"")*('Kunci Adjudikasi'!P27='Kunci Adjudikasi'!V27)+('Kunci Adjudikasi'!$E$1&gt;=3)*('Kunci Adjudikasi'!P27&lt;&gt;"")*('Kunci Adjudikasi'!AB27&lt;&gt;"")*('Kunci Adjudikasi'!P27='Kunci Adjudikasi'!AB27)+('Kunci Adjudikasi'!$E$1&gt;=4)*('Kunci Adjudikasi'!P27&lt;&gt;"")*('Kunci Adjudikasi'!AH27&lt;&gt;"")*('Kunci Adjudikasi'!P27='Kunci Adjudikasi'!AH27)+('Kunci Adjudikasi'!$E$1&gt;=3)*('Kunci Adjudikasi'!V27&lt;&gt;"")*('Kunci Adjudikasi'!AB27&lt;&gt;"")*('Kunci Adjudikasi'!V27='Kunci Adjudikasi'!AB27)+('Kunci Adjudikasi'!$E$1&gt;=4)*('Kunci Adjudikasi'!V27&lt;&gt;"")*('Kunci Adjudikasi'!AH27&lt;&gt;"")*('Kunci Adjudikasi'!V27='Kunci Adjudikasi'!AH27)+('Kunci Adjudikasi'!$E$1&gt;=4)*('Kunci Adjudikasi'!AB27&lt;&gt;"")*('Kunci Adjudikasi'!AH27&lt;&gt;"")*('Kunci Adjudikasi'!AB27='Kunci Adjudikasi'!AH27)))/(H27-1),0)</f>
        <v>0</v>
      </c>
      <c r="J27" s="20">
        <f>('Kunci Adjudikasi'!Q27&lt;&gt;"")+('Kunci Adjudikasi'!W27&lt;&gt;"")+('Kunci Adjudikasi'!$E$1&gt;=3)*('Kunci Adjudikasi'!AC27&lt;&gt;"")+('Kunci Adjudikasi'!$E$1&gt;=4)*('Kunci Adjudikasi'!AI27&lt;&gt;"")</f>
        <v>0</v>
      </c>
      <c r="K27" s="20">
        <f>IF(J27&gt;=2,(J27*(J27-1)/2-(('Kunci Adjudikasi'!Q27&lt;&gt;"")*('Kunci Adjudikasi'!W27&lt;&gt;"")*('Kunci Adjudikasi'!Q27='Kunci Adjudikasi'!W27)+('Kunci Adjudikasi'!$E$1&gt;=3)*('Kunci Adjudikasi'!Q27&lt;&gt;"")*('Kunci Adjudikasi'!AC27&lt;&gt;"")*('Kunci Adjudikasi'!Q27='Kunci Adjudikasi'!AC27)+('Kunci Adjudikasi'!$E$1&gt;=4)*('Kunci Adjudikasi'!Q27&lt;&gt;"")*('Kunci Adjudikasi'!AI27&lt;&gt;"")*('Kunci Adjudikasi'!Q27='Kunci Adjudikasi'!AI27)+('Kunci Adjudikasi'!$E$1&gt;=3)*('Kunci Adjudikasi'!W27&lt;&gt;"")*('Kunci Adjudikasi'!AC27&lt;&gt;"")*('Kunci Adjudikasi'!W27='Kunci Adjudikasi'!AC27)+('Kunci Adjudikasi'!$E$1&gt;=4)*('Kunci Adjudikasi'!W27&lt;&gt;"")*('Kunci Adjudikasi'!AI27&lt;&gt;"")*('Kunci Adjudikasi'!W27='Kunci Adjudikasi'!AI27)+('Kunci Adjudikasi'!$E$1&gt;=4)*('Kunci Adjudikasi'!AC27&lt;&gt;"")*('Kunci Adjudikasi'!AI27&lt;&gt;"")*('Kunci Adjudikasi'!AC27='Kunci Adjudikasi'!AI27)))/(J27-1),0)</f>
        <v>0</v>
      </c>
      <c r="L27" s="20">
        <f>('Kunci Adjudikasi'!R27&lt;&gt;"")+('Kunci Adjudikasi'!X27&lt;&gt;"")+('Kunci Adjudikasi'!$E$1&gt;=3)*('Kunci Adjudikasi'!AD27&lt;&gt;"")+('Kunci Adjudikasi'!$E$1&gt;=4)*('Kunci Adjudikasi'!AJ27&lt;&gt;"")</f>
        <v>0</v>
      </c>
      <c r="M27" s="20">
        <f>IF(L27&gt;=2,(L27*(L27-1)/2-(('Kunci Adjudikasi'!R27&lt;&gt;"")*('Kunci Adjudikasi'!X27&lt;&gt;"")*('Kunci Adjudikasi'!R27='Kunci Adjudikasi'!X27)+('Kunci Adjudikasi'!$E$1&gt;=3)*('Kunci Adjudikasi'!R27&lt;&gt;"")*('Kunci Adjudikasi'!AD27&lt;&gt;"")*('Kunci Adjudikasi'!R27='Kunci Adjudikasi'!AD27)+('Kunci Adjudikasi'!$E$1&gt;=4)*('Kunci Adjudikasi'!R27&lt;&gt;"")*('Kunci Adjudikasi'!AJ27&lt;&gt;"")*('Kunci Adjudikasi'!R27='Kunci Adjudikasi'!AJ27)+('Kunci Adjudikasi'!$E$1&gt;=3)*('Kunci Adjudikasi'!X27&lt;&gt;"")*('Kunci Adjudikasi'!AD27&lt;&gt;"")*('Kunci Adjudikasi'!X27='Kunci Adjudikasi'!AD27)+('Kunci Adjudikasi'!$E$1&gt;=4)*('Kunci Adjudikasi'!X27&lt;&gt;"")*('Kunci Adjudikasi'!AJ27&lt;&gt;"")*('Kunci Adjudikasi'!X27='Kunci Adjudikasi'!AJ27)+('Kunci Adjudikasi'!$E$1&gt;=4)*('Kunci Adjudikasi'!AD27&lt;&gt;"")*('Kunci Adjudikasi'!AJ27&lt;&gt;"")*('Kunci Adjudikasi'!AD27='Kunci Adjudikasi'!AJ27)))/(L27-1),0)</f>
        <v>0</v>
      </c>
      <c r="N27" s="20">
        <f>(LEFT('Kunci Adjudikasi'!N27,2)="R0")+(LEFT('Kunci Adjudikasi'!T27,2)="R0")+('Kunci Adjudikasi'!$E$1&gt;=3)*(LEFT('Kunci Adjudikasi'!Z27,2)="R0")+('Kunci Adjudikasi'!$E$1&gt;=4)*(LEFT('Kunci Adjudikasi'!AF27,2)="R0")</f>
        <v>0</v>
      </c>
      <c r="O27" s="20">
        <f>(LEFT('Kunci Adjudikasi'!N27,2)="R1")+(LEFT('Kunci Adjudikasi'!T27,2)="R1")+('Kunci Adjudikasi'!$E$1&gt;=3)*(LEFT('Kunci Adjudikasi'!Z27,2)="R1")+('Kunci Adjudikasi'!$E$1&gt;=4)*(LEFT('Kunci Adjudikasi'!AF27,2)="R1")</f>
        <v>0</v>
      </c>
      <c r="P27" s="20">
        <f>(LEFT('Kunci Adjudikasi'!N27,2)="R2")+(LEFT('Kunci Adjudikasi'!T27,2)="R2")+('Kunci Adjudikasi'!$E$1&gt;=3)*(LEFT('Kunci Adjudikasi'!Z27,2)="R2")+('Kunci Adjudikasi'!$E$1&gt;=4)*(LEFT('Kunci Adjudikasi'!AF27,2)="R2")</f>
        <v>0</v>
      </c>
      <c r="Q27" s="20">
        <f t="shared" si="43"/>
        <v>0</v>
      </c>
      <c r="R27" s="20">
        <f t="shared" si="44"/>
        <v>0</v>
      </c>
      <c r="S27" s="20">
        <f t="shared" si="45"/>
        <v>0</v>
      </c>
    </row>
    <row r="28">
      <c r="A28" s="20">
        <f>'Kunci Adjudikasi'!A28</f>
        <v>25</v>
      </c>
      <c r="B28" s="20">
        <f>('Kunci Adjudikasi'!M28&lt;&gt;"")+('Kunci Adjudikasi'!S28&lt;&gt;"")+('Kunci Adjudikasi'!$E$1&gt;=3)*('Kunci Adjudikasi'!Y28&lt;&gt;"")+('Kunci Adjudikasi'!$E$1&gt;=4)*('Kunci Adjudikasi'!AE28&lt;&gt;"")</f>
        <v>1</v>
      </c>
      <c r="C28" s="20">
        <f>IF(B28&gt;=2,(B28*(B28-1)/2-(('Kunci Adjudikasi'!M28&lt;&gt;"")*('Kunci Adjudikasi'!S28&lt;&gt;"")*('Kunci Adjudikasi'!M28='Kunci Adjudikasi'!S28)+('Kunci Adjudikasi'!$E$1&gt;=3)*('Kunci Adjudikasi'!M28&lt;&gt;"")*('Kunci Adjudikasi'!Y28&lt;&gt;"")*('Kunci Adjudikasi'!M28='Kunci Adjudikasi'!Y28)+('Kunci Adjudikasi'!$E$1&gt;=4)*('Kunci Adjudikasi'!M28&lt;&gt;"")*('Kunci Adjudikasi'!AE28&lt;&gt;"")*('Kunci Adjudikasi'!M28='Kunci Adjudikasi'!AE28)+('Kunci Adjudikasi'!$E$1&gt;=3)*('Kunci Adjudikasi'!S28&lt;&gt;"")*('Kunci Adjudikasi'!Y28&lt;&gt;"")*('Kunci Adjudikasi'!S28='Kunci Adjudikasi'!Y28)+('Kunci Adjudikasi'!$E$1&gt;=4)*('Kunci Adjudikasi'!S28&lt;&gt;"")*('Kunci Adjudikasi'!AE28&lt;&gt;"")*('Kunci Adjudikasi'!S28='Kunci Adjudikasi'!AE28)+('Kunci Adjudikasi'!$E$1&gt;=4)*('Kunci Adjudikasi'!Y28&lt;&gt;"")*('Kunci Adjudikasi'!AE28&lt;&gt;"")*('Kunci Adjudikasi'!Y28='Kunci Adjudikasi'!AE28)))/(B28-1),0)</f>
        <v>0</v>
      </c>
      <c r="D28" s="20">
        <f>('Kunci Adjudikasi'!N28&lt;&gt;"")+('Kunci Adjudikasi'!T28&lt;&gt;"")+('Kunci Adjudikasi'!$E$1&gt;=3)*('Kunci Adjudikasi'!Z28&lt;&gt;"")+('Kunci Adjudikasi'!$E$1&gt;=4)*('Kunci Adjudikasi'!AF28&lt;&gt;"")</f>
        <v>1</v>
      </c>
      <c r="E28" s="20">
        <f>IF(D28&gt;=2,(D28*(D28-1)/2-(('Kunci Adjudikasi'!N28&lt;&gt;"")*('Kunci Adjudikasi'!T28&lt;&gt;"")*('Kunci Adjudikasi'!N28='Kunci Adjudikasi'!T28)+('Kunci Adjudikasi'!$E$1&gt;=3)*('Kunci Adjudikasi'!N28&lt;&gt;"")*('Kunci Adjudikasi'!Z28&lt;&gt;"")*('Kunci Adjudikasi'!N28='Kunci Adjudikasi'!Z28)+('Kunci Adjudikasi'!$E$1&gt;=4)*('Kunci Adjudikasi'!N28&lt;&gt;"")*('Kunci Adjudikasi'!AF28&lt;&gt;"")*('Kunci Adjudikasi'!N28='Kunci Adjudikasi'!AF28)+('Kunci Adjudikasi'!$E$1&gt;=3)*('Kunci Adjudikasi'!T28&lt;&gt;"")*('Kunci Adjudikasi'!Z28&lt;&gt;"")*('Kunci Adjudikasi'!T28='Kunci Adjudikasi'!Z28)+('Kunci Adjudikasi'!$E$1&gt;=4)*('Kunci Adjudikasi'!T28&lt;&gt;"")*('Kunci Adjudikasi'!AF28&lt;&gt;"")*('Kunci Adjudikasi'!T28='Kunci Adjudikasi'!AF28)+('Kunci Adjudikasi'!$E$1&gt;=4)*('Kunci Adjudikasi'!Z28&lt;&gt;"")*('Kunci Adjudikasi'!AF28&lt;&gt;"")*('Kunci Adjudikasi'!Z28='Kunci Adjudikasi'!AF28)))/(D28-1),0)</f>
        <v>0</v>
      </c>
      <c r="F28" s="20">
        <f>('Kunci Adjudikasi'!O28&lt;&gt;"")+('Kunci Adjudikasi'!U28&lt;&gt;"")+('Kunci Adjudikasi'!$E$1&gt;=3)*('Kunci Adjudikasi'!AA28&lt;&gt;"")+('Kunci Adjudikasi'!$E$1&gt;=4)*('Kunci Adjudikasi'!AG28&lt;&gt;"")</f>
        <v>1</v>
      </c>
      <c r="G28" s="20">
        <f>IF(F28&gt;=2,(F28*(F28-1)/2-(('Kunci Adjudikasi'!O28&lt;&gt;"")*('Kunci Adjudikasi'!U28&lt;&gt;"")*('Kunci Adjudikasi'!O28='Kunci Adjudikasi'!U28)+('Kunci Adjudikasi'!$E$1&gt;=3)*('Kunci Adjudikasi'!O28&lt;&gt;"")*('Kunci Adjudikasi'!AA28&lt;&gt;"")*('Kunci Adjudikasi'!O28='Kunci Adjudikasi'!AA28)+('Kunci Adjudikasi'!$E$1&gt;=4)*('Kunci Adjudikasi'!O28&lt;&gt;"")*('Kunci Adjudikasi'!AG28&lt;&gt;"")*('Kunci Adjudikasi'!O28='Kunci Adjudikasi'!AG28)+('Kunci Adjudikasi'!$E$1&gt;=3)*('Kunci Adjudikasi'!U28&lt;&gt;"")*('Kunci Adjudikasi'!AA28&lt;&gt;"")*('Kunci Adjudikasi'!U28='Kunci Adjudikasi'!AA28)+('Kunci Adjudikasi'!$E$1&gt;=4)*('Kunci Adjudikasi'!U28&lt;&gt;"")*('Kunci Adjudikasi'!AG28&lt;&gt;"")*('Kunci Adjudikasi'!U28='Kunci Adjudikasi'!AG28)+('Kunci Adjudikasi'!$E$1&gt;=4)*('Kunci Adjudikasi'!AA28&lt;&gt;"")*('Kunci Adjudikasi'!AG28&lt;&gt;"")*('Kunci Adjudikasi'!AA28='Kunci Adjudikasi'!AG28)))/(F28-1),0)</f>
        <v>0</v>
      </c>
      <c r="H28" s="20">
        <f>('Kunci Adjudikasi'!P28&lt;&gt;"")+('Kunci Adjudikasi'!V28&lt;&gt;"")+('Kunci Adjudikasi'!$E$1&gt;=3)*('Kunci Adjudikasi'!AB28&lt;&gt;"")+('Kunci Adjudikasi'!$E$1&gt;=4)*('Kunci Adjudikasi'!AH28&lt;&gt;"")</f>
        <v>1</v>
      </c>
      <c r="I28" s="20">
        <f>IF(H28&gt;=2,(H28*(H28-1)/2-(('Kunci Adjudikasi'!P28&lt;&gt;"")*('Kunci Adjudikasi'!V28&lt;&gt;"")*('Kunci Adjudikasi'!P28='Kunci Adjudikasi'!V28)+('Kunci Adjudikasi'!$E$1&gt;=3)*('Kunci Adjudikasi'!P28&lt;&gt;"")*('Kunci Adjudikasi'!AB28&lt;&gt;"")*('Kunci Adjudikasi'!P28='Kunci Adjudikasi'!AB28)+('Kunci Adjudikasi'!$E$1&gt;=4)*('Kunci Adjudikasi'!P28&lt;&gt;"")*('Kunci Adjudikasi'!AH28&lt;&gt;"")*('Kunci Adjudikasi'!P28='Kunci Adjudikasi'!AH28)+('Kunci Adjudikasi'!$E$1&gt;=3)*('Kunci Adjudikasi'!V28&lt;&gt;"")*('Kunci Adjudikasi'!AB28&lt;&gt;"")*('Kunci Adjudikasi'!V28='Kunci Adjudikasi'!AB28)+('Kunci Adjudikasi'!$E$1&gt;=4)*('Kunci Adjudikasi'!V28&lt;&gt;"")*('Kunci Adjudikasi'!AH28&lt;&gt;"")*('Kunci Adjudikasi'!V28='Kunci Adjudikasi'!AH28)+('Kunci Adjudikasi'!$E$1&gt;=4)*('Kunci Adjudikasi'!AB28&lt;&gt;"")*('Kunci Adjudikasi'!AH28&lt;&gt;"")*('Kunci Adjudikasi'!AB28='Kunci Adjudikasi'!AH28)))/(H28-1),0)</f>
        <v>0</v>
      </c>
      <c r="J28" s="20">
        <f>('Kunci Adjudikasi'!Q28&lt;&gt;"")+('Kunci Adjudikasi'!W28&lt;&gt;"")+('Kunci Adjudikasi'!$E$1&gt;=3)*('Kunci Adjudikasi'!AC28&lt;&gt;"")+('Kunci Adjudikasi'!$E$1&gt;=4)*('Kunci Adjudikasi'!AI28&lt;&gt;"")</f>
        <v>1</v>
      </c>
      <c r="K28" s="20">
        <f>IF(J28&gt;=2,(J28*(J28-1)/2-(('Kunci Adjudikasi'!Q28&lt;&gt;"")*('Kunci Adjudikasi'!W28&lt;&gt;"")*('Kunci Adjudikasi'!Q28='Kunci Adjudikasi'!W28)+('Kunci Adjudikasi'!$E$1&gt;=3)*('Kunci Adjudikasi'!Q28&lt;&gt;"")*('Kunci Adjudikasi'!AC28&lt;&gt;"")*('Kunci Adjudikasi'!Q28='Kunci Adjudikasi'!AC28)+('Kunci Adjudikasi'!$E$1&gt;=4)*('Kunci Adjudikasi'!Q28&lt;&gt;"")*('Kunci Adjudikasi'!AI28&lt;&gt;"")*('Kunci Adjudikasi'!Q28='Kunci Adjudikasi'!AI28)+('Kunci Adjudikasi'!$E$1&gt;=3)*('Kunci Adjudikasi'!W28&lt;&gt;"")*('Kunci Adjudikasi'!AC28&lt;&gt;"")*('Kunci Adjudikasi'!W28='Kunci Adjudikasi'!AC28)+('Kunci Adjudikasi'!$E$1&gt;=4)*('Kunci Adjudikasi'!W28&lt;&gt;"")*('Kunci Adjudikasi'!AI28&lt;&gt;"")*('Kunci Adjudikasi'!W28='Kunci Adjudikasi'!AI28)+('Kunci Adjudikasi'!$E$1&gt;=4)*('Kunci Adjudikasi'!AC28&lt;&gt;"")*('Kunci Adjudikasi'!AI28&lt;&gt;"")*('Kunci Adjudikasi'!AC28='Kunci Adjudikasi'!AI28)))/(J28-1),0)</f>
        <v>0</v>
      </c>
      <c r="L28" s="20">
        <f>('Kunci Adjudikasi'!R28&lt;&gt;"")+('Kunci Adjudikasi'!X28&lt;&gt;"")+('Kunci Adjudikasi'!$E$1&gt;=3)*('Kunci Adjudikasi'!AD28&lt;&gt;"")+('Kunci Adjudikasi'!$E$1&gt;=4)*('Kunci Adjudikasi'!AJ28&lt;&gt;"")</f>
        <v>1</v>
      </c>
      <c r="M28" s="20">
        <f>IF(L28&gt;=2,(L28*(L28-1)/2-(('Kunci Adjudikasi'!R28&lt;&gt;"")*('Kunci Adjudikasi'!X28&lt;&gt;"")*('Kunci Adjudikasi'!R28='Kunci Adjudikasi'!X28)+('Kunci Adjudikasi'!$E$1&gt;=3)*('Kunci Adjudikasi'!R28&lt;&gt;"")*('Kunci Adjudikasi'!AD28&lt;&gt;"")*('Kunci Adjudikasi'!R28='Kunci Adjudikasi'!AD28)+('Kunci Adjudikasi'!$E$1&gt;=4)*('Kunci Adjudikasi'!R28&lt;&gt;"")*('Kunci Adjudikasi'!AJ28&lt;&gt;"")*('Kunci Adjudikasi'!R28='Kunci Adjudikasi'!AJ28)+('Kunci Adjudikasi'!$E$1&gt;=3)*('Kunci Adjudikasi'!X28&lt;&gt;"")*('Kunci Adjudikasi'!AD28&lt;&gt;"")*('Kunci Adjudikasi'!X28='Kunci Adjudikasi'!AD28)+('Kunci Adjudikasi'!$E$1&gt;=4)*('Kunci Adjudikasi'!X28&lt;&gt;"")*('Kunci Adjudikasi'!AJ28&lt;&gt;"")*('Kunci Adjudikasi'!X28='Kunci Adjudikasi'!AJ28)+('Kunci Adjudikasi'!$E$1&gt;=4)*('Kunci Adjudikasi'!AD28&lt;&gt;"")*('Kunci Adjudikasi'!AJ28&lt;&gt;"")*('Kunci Adjudikasi'!AD28='Kunci Adjudikasi'!AJ28)))/(L28-1),0)</f>
        <v>0</v>
      </c>
      <c r="N28" s="20">
        <f>(LEFT('Kunci Adjudikasi'!N28,2)="R0")+(LEFT('Kunci Adjudikasi'!T28,2)="R0")+('Kunci Adjudikasi'!$E$1&gt;=3)*(LEFT('Kunci Adjudikasi'!Z28,2)="R0")+('Kunci Adjudikasi'!$E$1&gt;=4)*(LEFT('Kunci Adjudikasi'!AF28,2)="R0")</f>
        <v>0</v>
      </c>
      <c r="O28" s="20">
        <f>(LEFT('Kunci Adjudikasi'!N28,2)="R1")+(LEFT('Kunci Adjudikasi'!T28,2)="R1")+('Kunci Adjudikasi'!$E$1&gt;=3)*(LEFT('Kunci Adjudikasi'!Z28,2)="R1")+('Kunci Adjudikasi'!$E$1&gt;=4)*(LEFT('Kunci Adjudikasi'!AF28,2)="R1")</f>
        <v>1</v>
      </c>
      <c r="P28" s="20">
        <f>(LEFT('Kunci Adjudikasi'!N28,2)="R2")+(LEFT('Kunci Adjudikasi'!T28,2)="R2")+('Kunci Adjudikasi'!$E$1&gt;=3)*(LEFT('Kunci Adjudikasi'!Z28,2)="R2")+('Kunci Adjudikasi'!$E$1&gt;=4)*(LEFT('Kunci Adjudikasi'!AF28,2)="R2")</f>
        <v>0</v>
      </c>
      <c r="Q28" s="20">
        <f t="shared" si="43"/>
        <v>0</v>
      </c>
      <c r="R28" s="20">
        <f t="shared" si="44"/>
        <v>0</v>
      </c>
      <c r="S28" s="20">
        <f t="shared" si="45"/>
        <v>0</v>
      </c>
    </row>
    <row r="29">
      <c r="A29" s="20">
        <f>'Kunci Adjudikasi'!A29</f>
        <v>26</v>
      </c>
      <c r="B29" s="20">
        <f>('Kunci Adjudikasi'!M29&lt;&gt;"")+('Kunci Adjudikasi'!S29&lt;&gt;"")+('Kunci Adjudikasi'!$E$1&gt;=3)*('Kunci Adjudikasi'!Y29&lt;&gt;"")+('Kunci Adjudikasi'!$E$1&gt;=4)*('Kunci Adjudikasi'!AE29&lt;&gt;"")</f>
        <v>0</v>
      </c>
      <c r="C29" s="20">
        <f>IF(B29&gt;=2,(B29*(B29-1)/2-(('Kunci Adjudikasi'!M29&lt;&gt;"")*('Kunci Adjudikasi'!S29&lt;&gt;"")*('Kunci Adjudikasi'!M29='Kunci Adjudikasi'!S29)+('Kunci Adjudikasi'!$E$1&gt;=3)*('Kunci Adjudikasi'!M29&lt;&gt;"")*('Kunci Adjudikasi'!Y29&lt;&gt;"")*('Kunci Adjudikasi'!M29='Kunci Adjudikasi'!Y29)+('Kunci Adjudikasi'!$E$1&gt;=4)*('Kunci Adjudikasi'!M29&lt;&gt;"")*('Kunci Adjudikasi'!AE29&lt;&gt;"")*('Kunci Adjudikasi'!M29='Kunci Adjudikasi'!AE29)+('Kunci Adjudikasi'!$E$1&gt;=3)*('Kunci Adjudikasi'!S29&lt;&gt;"")*('Kunci Adjudikasi'!Y29&lt;&gt;"")*('Kunci Adjudikasi'!S29='Kunci Adjudikasi'!Y29)+('Kunci Adjudikasi'!$E$1&gt;=4)*('Kunci Adjudikasi'!S29&lt;&gt;"")*('Kunci Adjudikasi'!AE29&lt;&gt;"")*('Kunci Adjudikasi'!S29='Kunci Adjudikasi'!AE29)+('Kunci Adjudikasi'!$E$1&gt;=4)*('Kunci Adjudikasi'!Y29&lt;&gt;"")*('Kunci Adjudikasi'!AE29&lt;&gt;"")*('Kunci Adjudikasi'!Y29='Kunci Adjudikasi'!AE29)))/(B29-1),0)</f>
        <v>0</v>
      </c>
      <c r="D29" s="20">
        <f>('Kunci Adjudikasi'!N29&lt;&gt;"")+('Kunci Adjudikasi'!T29&lt;&gt;"")+('Kunci Adjudikasi'!$E$1&gt;=3)*('Kunci Adjudikasi'!Z29&lt;&gt;"")+('Kunci Adjudikasi'!$E$1&gt;=4)*('Kunci Adjudikasi'!AF29&lt;&gt;"")</f>
        <v>0</v>
      </c>
      <c r="E29" s="20">
        <f>IF(D29&gt;=2,(D29*(D29-1)/2-(('Kunci Adjudikasi'!N29&lt;&gt;"")*('Kunci Adjudikasi'!T29&lt;&gt;"")*('Kunci Adjudikasi'!N29='Kunci Adjudikasi'!T29)+('Kunci Adjudikasi'!$E$1&gt;=3)*('Kunci Adjudikasi'!N29&lt;&gt;"")*('Kunci Adjudikasi'!Z29&lt;&gt;"")*('Kunci Adjudikasi'!N29='Kunci Adjudikasi'!Z29)+('Kunci Adjudikasi'!$E$1&gt;=4)*('Kunci Adjudikasi'!N29&lt;&gt;"")*('Kunci Adjudikasi'!AF29&lt;&gt;"")*('Kunci Adjudikasi'!N29='Kunci Adjudikasi'!AF29)+('Kunci Adjudikasi'!$E$1&gt;=3)*('Kunci Adjudikasi'!T29&lt;&gt;"")*('Kunci Adjudikasi'!Z29&lt;&gt;"")*('Kunci Adjudikasi'!T29='Kunci Adjudikasi'!Z29)+('Kunci Adjudikasi'!$E$1&gt;=4)*('Kunci Adjudikasi'!T29&lt;&gt;"")*('Kunci Adjudikasi'!AF29&lt;&gt;"")*('Kunci Adjudikasi'!T29='Kunci Adjudikasi'!AF29)+('Kunci Adjudikasi'!$E$1&gt;=4)*('Kunci Adjudikasi'!Z29&lt;&gt;"")*('Kunci Adjudikasi'!AF29&lt;&gt;"")*('Kunci Adjudikasi'!Z29='Kunci Adjudikasi'!AF29)))/(D29-1),0)</f>
        <v>0</v>
      </c>
      <c r="F29" s="20">
        <f>('Kunci Adjudikasi'!O29&lt;&gt;"")+('Kunci Adjudikasi'!U29&lt;&gt;"")+('Kunci Adjudikasi'!$E$1&gt;=3)*('Kunci Adjudikasi'!AA29&lt;&gt;"")+('Kunci Adjudikasi'!$E$1&gt;=4)*('Kunci Adjudikasi'!AG29&lt;&gt;"")</f>
        <v>0</v>
      </c>
      <c r="G29" s="20">
        <f>IF(F29&gt;=2,(F29*(F29-1)/2-(('Kunci Adjudikasi'!O29&lt;&gt;"")*('Kunci Adjudikasi'!U29&lt;&gt;"")*('Kunci Adjudikasi'!O29='Kunci Adjudikasi'!U29)+('Kunci Adjudikasi'!$E$1&gt;=3)*('Kunci Adjudikasi'!O29&lt;&gt;"")*('Kunci Adjudikasi'!AA29&lt;&gt;"")*('Kunci Adjudikasi'!O29='Kunci Adjudikasi'!AA29)+('Kunci Adjudikasi'!$E$1&gt;=4)*('Kunci Adjudikasi'!O29&lt;&gt;"")*('Kunci Adjudikasi'!AG29&lt;&gt;"")*('Kunci Adjudikasi'!O29='Kunci Adjudikasi'!AG29)+('Kunci Adjudikasi'!$E$1&gt;=3)*('Kunci Adjudikasi'!U29&lt;&gt;"")*('Kunci Adjudikasi'!AA29&lt;&gt;"")*('Kunci Adjudikasi'!U29='Kunci Adjudikasi'!AA29)+('Kunci Adjudikasi'!$E$1&gt;=4)*('Kunci Adjudikasi'!U29&lt;&gt;"")*('Kunci Adjudikasi'!AG29&lt;&gt;"")*('Kunci Adjudikasi'!U29='Kunci Adjudikasi'!AG29)+('Kunci Adjudikasi'!$E$1&gt;=4)*('Kunci Adjudikasi'!AA29&lt;&gt;"")*('Kunci Adjudikasi'!AG29&lt;&gt;"")*('Kunci Adjudikasi'!AA29='Kunci Adjudikasi'!AG29)))/(F29-1),0)</f>
        <v>0</v>
      </c>
      <c r="H29" s="20">
        <f>('Kunci Adjudikasi'!P29&lt;&gt;"")+('Kunci Adjudikasi'!V29&lt;&gt;"")+('Kunci Adjudikasi'!$E$1&gt;=3)*('Kunci Adjudikasi'!AB29&lt;&gt;"")+('Kunci Adjudikasi'!$E$1&gt;=4)*('Kunci Adjudikasi'!AH29&lt;&gt;"")</f>
        <v>0</v>
      </c>
      <c r="I29" s="20">
        <f>IF(H29&gt;=2,(H29*(H29-1)/2-(('Kunci Adjudikasi'!P29&lt;&gt;"")*('Kunci Adjudikasi'!V29&lt;&gt;"")*('Kunci Adjudikasi'!P29='Kunci Adjudikasi'!V29)+('Kunci Adjudikasi'!$E$1&gt;=3)*('Kunci Adjudikasi'!P29&lt;&gt;"")*('Kunci Adjudikasi'!AB29&lt;&gt;"")*('Kunci Adjudikasi'!P29='Kunci Adjudikasi'!AB29)+('Kunci Adjudikasi'!$E$1&gt;=4)*('Kunci Adjudikasi'!P29&lt;&gt;"")*('Kunci Adjudikasi'!AH29&lt;&gt;"")*('Kunci Adjudikasi'!P29='Kunci Adjudikasi'!AH29)+('Kunci Adjudikasi'!$E$1&gt;=3)*('Kunci Adjudikasi'!V29&lt;&gt;"")*('Kunci Adjudikasi'!AB29&lt;&gt;"")*('Kunci Adjudikasi'!V29='Kunci Adjudikasi'!AB29)+('Kunci Adjudikasi'!$E$1&gt;=4)*('Kunci Adjudikasi'!V29&lt;&gt;"")*('Kunci Adjudikasi'!AH29&lt;&gt;"")*('Kunci Adjudikasi'!V29='Kunci Adjudikasi'!AH29)+('Kunci Adjudikasi'!$E$1&gt;=4)*('Kunci Adjudikasi'!AB29&lt;&gt;"")*('Kunci Adjudikasi'!AH29&lt;&gt;"")*('Kunci Adjudikasi'!AB29='Kunci Adjudikasi'!AH29)))/(H29-1),0)</f>
        <v>0</v>
      </c>
      <c r="J29" s="20">
        <f>('Kunci Adjudikasi'!Q29&lt;&gt;"")+('Kunci Adjudikasi'!W29&lt;&gt;"")+('Kunci Adjudikasi'!$E$1&gt;=3)*('Kunci Adjudikasi'!AC29&lt;&gt;"")+('Kunci Adjudikasi'!$E$1&gt;=4)*('Kunci Adjudikasi'!AI29&lt;&gt;"")</f>
        <v>0</v>
      </c>
      <c r="K29" s="20">
        <f>IF(J29&gt;=2,(J29*(J29-1)/2-(('Kunci Adjudikasi'!Q29&lt;&gt;"")*('Kunci Adjudikasi'!W29&lt;&gt;"")*('Kunci Adjudikasi'!Q29='Kunci Adjudikasi'!W29)+('Kunci Adjudikasi'!$E$1&gt;=3)*('Kunci Adjudikasi'!Q29&lt;&gt;"")*('Kunci Adjudikasi'!AC29&lt;&gt;"")*('Kunci Adjudikasi'!Q29='Kunci Adjudikasi'!AC29)+('Kunci Adjudikasi'!$E$1&gt;=4)*('Kunci Adjudikasi'!Q29&lt;&gt;"")*('Kunci Adjudikasi'!AI29&lt;&gt;"")*('Kunci Adjudikasi'!Q29='Kunci Adjudikasi'!AI29)+('Kunci Adjudikasi'!$E$1&gt;=3)*('Kunci Adjudikasi'!W29&lt;&gt;"")*('Kunci Adjudikasi'!AC29&lt;&gt;"")*('Kunci Adjudikasi'!W29='Kunci Adjudikasi'!AC29)+('Kunci Adjudikasi'!$E$1&gt;=4)*('Kunci Adjudikasi'!W29&lt;&gt;"")*('Kunci Adjudikasi'!AI29&lt;&gt;"")*('Kunci Adjudikasi'!W29='Kunci Adjudikasi'!AI29)+('Kunci Adjudikasi'!$E$1&gt;=4)*('Kunci Adjudikasi'!AC29&lt;&gt;"")*('Kunci Adjudikasi'!AI29&lt;&gt;"")*('Kunci Adjudikasi'!AC29='Kunci Adjudikasi'!AI29)))/(J29-1),0)</f>
        <v>0</v>
      </c>
      <c r="L29" s="20">
        <f>('Kunci Adjudikasi'!R29&lt;&gt;"")+('Kunci Adjudikasi'!X29&lt;&gt;"")+('Kunci Adjudikasi'!$E$1&gt;=3)*('Kunci Adjudikasi'!AD29&lt;&gt;"")+('Kunci Adjudikasi'!$E$1&gt;=4)*('Kunci Adjudikasi'!AJ29&lt;&gt;"")</f>
        <v>0</v>
      </c>
      <c r="M29" s="20">
        <f>IF(L29&gt;=2,(L29*(L29-1)/2-(('Kunci Adjudikasi'!R29&lt;&gt;"")*('Kunci Adjudikasi'!X29&lt;&gt;"")*('Kunci Adjudikasi'!R29='Kunci Adjudikasi'!X29)+('Kunci Adjudikasi'!$E$1&gt;=3)*('Kunci Adjudikasi'!R29&lt;&gt;"")*('Kunci Adjudikasi'!AD29&lt;&gt;"")*('Kunci Adjudikasi'!R29='Kunci Adjudikasi'!AD29)+('Kunci Adjudikasi'!$E$1&gt;=4)*('Kunci Adjudikasi'!R29&lt;&gt;"")*('Kunci Adjudikasi'!AJ29&lt;&gt;"")*('Kunci Adjudikasi'!R29='Kunci Adjudikasi'!AJ29)+('Kunci Adjudikasi'!$E$1&gt;=3)*('Kunci Adjudikasi'!X29&lt;&gt;"")*('Kunci Adjudikasi'!AD29&lt;&gt;"")*('Kunci Adjudikasi'!X29='Kunci Adjudikasi'!AD29)+('Kunci Adjudikasi'!$E$1&gt;=4)*('Kunci Adjudikasi'!X29&lt;&gt;"")*('Kunci Adjudikasi'!AJ29&lt;&gt;"")*('Kunci Adjudikasi'!X29='Kunci Adjudikasi'!AJ29)+('Kunci Adjudikasi'!$E$1&gt;=4)*('Kunci Adjudikasi'!AD29&lt;&gt;"")*('Kunci Adjudikasi'!AJ29&lt;&gt;"")*('Kunci Adjudikasi'!AD29='Kunci Adjudikasi'!AJ29)))/(L29-1),0)</f>
        <v>0</v>
      </c>
      <c r="N29" s="20">
        <f>(LEFT('Kunci Adjudikasi'!N29,2)="R0")+(LEFT('Kunci Adjudikasi'!T29,2)="R0")+('Kunci Adjudikasi'!$E$1&gt;=3)*(LEFT('Kunci Adjudikasi'!Z29,2)="R0")+('Kunci Adjudikasi'!$E$1&gt;=4)*(LEFT('Kunci Adjudikasi'!AF29,2)="R0")</f>
        <v>0</v>
      </c>
      <c r="O29" s="20">
        <f>(LEFT('Kunci Adjudikasi'!N29,2)="R1")+(LEFT('Kunci Adjudikasi'!T29,2)="R1")+('Kunci Adjudikasi'!$E$1&gt;=3)*(LEFT('Kunci Adjudikasi'!Z29,2)="R1")+('Kunci Adjudikasi'!$E$1&gt;=4)*(LEFT('Kunci Adjudikasi'!AF29,2)="R1")</f>
        <v>0</v>
      </c>
      <c r="P29" s="20">
        <f>(LEFT('Kunci Adjudikasi'!N29,2)="R2")+(LEFT('Kunci Adjudikasi'!T29,2)="R2")+('Kunci Adjudikasi'!$E$1&gt;=3)*(LEFT('Kunci Adjudikasi'!Z29,2)="R2")+('Kunci Adjudikasi'!$E$1&gt;=4)*(LEFT('Kunci Adjudikasi'!AF29,2)="R2")</f>
        <v>0</v>
      </c>
      <c r="Q29" s="20">
        <f t="shared" si="43"/>
        <v>0</v>
      </c>
      <c r="R29" s="20">
        <f t="shared" si="44"/>
        <v>0</v>
      </c>
      <c r="S29" s="20">
        <f t="shared" si="45"/>
        <v>0</v>
      </c>
    </row>
    <row r="30">
      <c r="A30" s="20">
        <f>'Kunci Adjudikasi'!A30</f>
        <v>27</v>
      </c>
      <c r="B30" s="20">
        <f>('Kunci Adjudikasi'!M30&lt;&gt;"")+('Kunci Adjudikasi'!S30&lt;&gt;"")+('Kunci Adjudikasi'!$E$1&gt;=3)*('Kunci Adjudikasi'!Y30&lt;&gt;"")+('Kunci Adjudikasi'!$E$1&gt;=4)*('Kunci Adjudikasi'!AE30&lt;&gt;"")</f>
        <v>0</v>
      </c>
      <c r="C30" s="20">
        <f>IF(B30&gt;=2,(B30*(B30-1)/2-(('Kunci Adjudikasi'!M30&lt;&gt;"")*('Kunci Adjudikasi'!S30&lt;&gt;"")*('Kunci Adjudikasi'!M30='Kunci Adjudikasi'!S30)+('Kunci Adjudikasi'!$E$1&gt;=3)*('Kunci Adjudikasi'!M30&lt;&gt;"")*('Kunci Adjudikasi'!Y30&lt;&gt;"")*('Kunci Adjudikasi'!M30='Kunci Adjudikasi'!Y30)+('Kunci Adjudikasi'!$E$1&gt;=4)*('Kunci Adjudikasi'!M30&lt;&gt;"")*('Kunci Adjudikasi'!AE30&lt;&gt;"")*('Kunci Adjudikasi'!M30='Kunci Adjudikasi'!AE30)+('Kunci Adjudikasi'!$E$1&gt;=3)*('Kunci Adjudikasi'!S30&lt;&gt;"")*('Kunci Adjudikasi'!Y30&lt;&gt;"")*('Kunci Adjudikasi'!S30='Kunci Adjudikasi'!Y30)+('Kunci Adjudikasi'!$E$1&gt;=4)*('Kunci Adjudikasi'!S30&lt;&gt;"")*('Kunci Adjudikasi'!AE30&lt;&gt;"")*('Kunci Adjudikasi'!S30='Kunci Adjudikasi'!AE30)+('Kunci Adjudikasi'!$E$1&gt;=4)*('Kunci Adjudikasi'!Y30&lt;&gt;"")*('Kunci Adjudikasi'!AE30&lt;&gt;"")*('Kunci Adjudikasi'!Y30='Kunci Adjudikasi'!AE30)))/(B30-1),0)</f>
        <v>0</v>
      </c>
      <c r="D30" s="20">
        <f>('Kunci Adjudikasi'!N30&lt;&gt;"")+('Kunci Adjudikasi'!T30&lt;&gt;"")+('Kunci Adjudikasi'!$E$1&gt;=3)*('Kunci Adjudikasi'!Z30&lt;&gt;"")+('Kunci Adjudikasi'!$E$1&gt;=4)*('Kunci Adjudikasi'!AF30&lt;&gt;"")</f>
        <v>0</v>
      </c>
      <c r="E30" s="20">
        <f>IF(D30&gt;=2,(D30*(D30-1)/2-(('Kunci Adjudikasi'!N30&lt;&gt;"")*('Kunci Adjudikasi'!T30&lt;&gt;"")*('Kunci Adjudikasi'!N30='Kunci Adjudikasi'!T30)+('Kunci Adjudikasi'!$E$1&gt;=3)*('Kunci Adjudikasi'!N30&lt;&gt;"")*('Kunci Adjudikasi'!Z30&lt;&gt;"")*('Kunci Adjudikasi'!N30='Kunci Adjudikasi'!Z30)+('Kunci Adjudikasi'!$E$1&gt;=4)*('Kunci Adjudikasi'!N30&lt;&gt;"")*('Kunci Adjudikasi'!AF30&lt;&gt;"")*('Kunci Adjudikasi'!N30='Kunci Adjudikasi'!AF30)+('Kunci Adjudikasi'!$E$1&gt;=3)*('Kunci Adjudikasi'!T30&lt;&gt;"")*('Kunci Adjudikasi'!Z30&lt;&gt;"")*('Kunci Adjudikasi'!T30='Kunci Adjudikasi'!Z30)+('Kunci Adjudikasi'!$E$1&gt;=4)*('Kunci Adjudikasi'!T30&lt;&gt;"")*('Kunci Adjudikasi'!AF30&lt;&gt;"")*('Kunci Adjudikasi'!T30='Kunci Adjudikasi'!AF30)+('Kunci Adjudikasi'!$E$1&gt;=4)*('Kunci Adjudikasi'!Z30&lt;&gt;"")*('Kunci Adjudikasi'!AF30&lt;&gt;"")*('Kunci Adjudikasi'!Z30='Kunci Adjudikasi'!AF30)))/(D30-1),0)</f>
        <v>0</v>
      </c>
      <c r="F30" s="20">
        <f>('Kunci Adjudikasi'!O30&lt;&gt;"")+('Kunci Adjudikasi'!U30&lt;&gt;"")+('Kunci Adjudikasi'!$E$1&gt;=3)*('Kunci Adjudikasi'!AA30&lt;&gt;"")+('Kunci Adjudikasi'!$E$1&gt;=4)*('Kunci Adjudikasi'!AG30&lt;&gt;"")</f>
        <v>0</v>
      </c>
      <c r="G30" s="20">
        <f>IF(F30&gt;=2,(F30*(F30-1)/2-(('Kunci Adjudikasi'!O30&lt;&gt;"")*('Kunci Adjudikasi'!U30&lt;&gt;"")*('Kunci Adjudikasi'!O30='Kunci Adjudikasi'!U30)+('Kunci Adjudikasi'!$E$1&gt;=3)*('Kunci Adjudikasi'!O30&lt;&gt;"")*('Kunci Adjudikasi'!AA30&lt;&gt;"")*('Kunci Adjudikasi'!O30='Kunci Adjudikasi'!AA30)+('Kunci Adjudikasi'!$E$1&gt;=4)*('Kunci Adjudikasi'!O30&lt;&gt;"")*('Kunci Adjudikasi'!AG30&lt;&gt;"")*('Kunci Adjudikasi'!O30='Kunci Adjudikasi'!AG30)+('Kunci Adjudikasi'!$E$1&gt;=3)*('Kunci Adjudikasi'!U30&lt;&gt;"")*('Kunci Adjudikasi'!AA30&lt;&gt;"")*('Kunci Adjudikasi'!U30='Kunci Adjudikasi'!AA30)+('Kunci Adjudikasi'!$E$1&gt;=4)*('Kunci Adjudikasi'!U30&lt;&gt;"")*('Kunci Adjudikasi'!AG30&lt;&gt;"")*('Kunci Adjudikasi'!U30='Kunci Adjudikasi'!AG30)+('Kunci Adjudikasi'!$E$1&gt;=4)*('Kunci Adjudikasi'!AA30&lt;&gt;"")*('Kunci Adjudikasi'!AG30&lt;&gt;"")*('Kunci Adjudikasi'!AA30='Kunci Adjudikasi'!AG30)))/(F30-1),0)</f>
        <v>0</v>
      </c>
      <c r="H30" s="20">
        <f>('Kunci Adjudikasi'!P30&lt;&gt;"")+('Kunci Adjudikasi'!V30&lt;&gt;"")+('Kunci Adjudikasi'!$E$1&gt;=3)*('Kunci Adjudikasi'!AB30&lt;&gt;"")+('Kunci Adjudikasi'!$E$1&gt;=4)*('Kunci Adjudikasi'!AH30&lt;&gt;"")</f>
        <v>0</v>
      </c>
      <c r="I30" s="20">
        <f>IF(H30&gt;=2,(H30*(H30-1)/2-(('Kunci Adjudikasi'!P30&lt;&gt;"")*('Kunci Adjudikasi'!V30&lt;&gt;"")*('Kunci Adjudikasi'!P30='Kunci Adjudikasi'!V30)+('Kunci Adjudikasi'!$E$1&gt;=3)*('Kunci Adjudikasi'!P30&lt;&gt;"")*('Kunci Adjudikasi'!AB30&lt;&gt;"")*('Kunci Adjudikasi'!P30='Kunci Adjudikasi'!AB30)+('Kunci Adjudikasi'!$E$1&gt;=4)*('Kunci Adjudikasi'!P30&lt;&gt;"")*('Kunci Adjudikasi'!AH30&lt;&gt;"")*('Kunci Adjudikasi'!P30='Kunci Adjudikasi'!AH30)+('Kunci Adjudikasi'!$E$1&gt;=3)*('Kunci Adjudikasi'!V30&lt;&gt;"")*('Kunci Adjudikasi'!AB30&lt;&gt;"")*('Kunci Adjudikasi'!V30='Kunci Adjudikasi'!AB30)+('Kunci Adjudikasi'!$E$1&gt;=4)*('Kunci Adjudikasi'!V30&lt;&gt;"")*('Kunci Adjudikasi'!AH30&lt;&gt;"")*('Kunci Adjudikasi'!V30='Kunci Adjudikasi'!AH30)+('Kunci Adjudikasi'!$E$1&gt;=4)*('Kunci Adjudikasi'!AB30&lt;&gt;"")*('Kunci Adjudikasi'!AH30&lt;&gt;"")*('Kunci Adjudikasi'!AB30='Kunci Adjudikasi'!AH30)))/(H30-1),0)</f>
        <v>0</v>
      </c>
      <c r="J30" s="20">
        <f>('Kunci Adjudikasi'!Q30&lt;&gt;"")+('Kunci Adjudikasi'!W30&lt;&gt;"")+('Kunci Adjudikasi'!$E$1&gt;=3)*('Kunci Adjudikasi'!AC30&lt;&gt;"")+('Kunci Adjudikasi'!$E$1&gt;=4)*('Kunci Adjudikasi'!AI30&lt;&gt;"")</f>
        <v>0</v>
      </c>
      <c r="K30" s="20">
        <f>IF(J30&gt;=2,(J30*(J30-1)/2-(('Kunci Adjudikasi'!Q30&lt;&gt;"")*('Kunci Adjudikasi'!W30&lt;&gt;"")*('Kunci Adjudikasi'!Q30='Kunci Adjudikasi'!W30)+('Kunci Adjudikasi'!$E$1&gt;=3)*('Kunci Adjudikasi'!Q30&lt;&gt;"")*('Kunci Adjudikasi'!AC30&lt;&gt;"")*('Kunci Adjudikasi'!Q30='Kunci Adjudikasi'!AC30)+('Kunci Adjudikasi'!$E$1&gt;=4)*('Kunci Adjudikasi'!Q30&lt;&gt;"")*('Kunci Adjudikasi'!AI30&lt;&gt;"")*('Kunci Adjudikasi'!Q30='Kunci Adjudikasi'!AI30)+('Kunci Adjudikasi'!$E$1&gt;=3)*('Kunci Adjudikasi'!W30&lt;&gt;"")*('Kunci Adjudikasi'!AC30&lt;&gt;"")*('Kunci Adjudikasi'!W30='Kunci Adjudikasi'!AC30)+('Kunci Adjudikasi'!$E$1&gt;=4)*('Kunci Adjudikasi'!W30&lt;&gt;"")*('Kunci Adjudikasi'!AI30&lt;&gt;"")*('Kunci Adjudikasi'!W30='Kunci Adjudikasi'!AI30)+('Kunci Adjudikasi'!$E$1&gt;=4)*('Kunci Adjudikasi'!AC30&lt;&gt;"")*('Kunci Adjudikasi'!AI30&lt;&gt;"")*('Kunci Adjudikasi'!AC30='Kunci Adjudikasi'!AI30)))/(J30-1),0)</f>
        <v>0</v>
      </c>
      <c r="L30" s="20">
        <f>('Kunci Adjudikasi'!R30&lt;&gt;"")+('Kunci Adjudikasi'!X30&lt;&gt;"")+('Kunci Adjudikasi'!$E$1&gt;=3)*('Kunci Adjudikasi'!AD30&lt;&gt;"")+('Kunci Adjudikasi'!$E$1&gt;=4)*('Kunci Adjudikasi'!AJ30&lt;&gt;"")</f>
        <v>0</v>
      </c>
      <c r="M30" s="20">
        <f>IF(L30&gt;=2,(L30*(L30-1)/2-(('Kunci Adjudikasi'!R30&lt;&gt;"")*('Kunci Adjudikasi'!X30&lt;&gt;"")*('Kunci Adjudikasi'!R30='Kunci Adjudikasi'!X30)+('Kunci Adjudikasi'!$E$1&gt;=3)*('Kunci Adjudikasi'!R30&lt;&gt;"")*('Kunci Adjudikasi'!AD30&lt;&gt;"")*('Kunci Adjudikasi'!R30='Kunci Adjudikasi'!AD30)+('Kunci Adjudikasi'!$E$1&gt;=4)*('Kunci Adjudikasi'!R30&lt;&gt;"")*('Kunci Adjudikasi'!AJ30&lt;&gt;"")*('Kunci Adjudikasi'!R30='Kunci Adjudikasi'!AJ30)+('Kunci Adjudikasi'!$E$1&gt;=3)*('Kunci Adjudikasi'!X30&lt;&gt;"")*('Kunci Adjudikasi'!AD30&lt;&gt;"")*('Kunci Adjudikasi'!X30='Kunci Adjudikasi'!AD30)+('Kunci Adjudikasi'!$E$1&gt;=4)*('Kunci Adjudikasi'!X30&lt;&gt;"")*('Kunci Adjudikasi'!AJ30&lt;&gt;"")*('Kunci Adjudikasi'!X30='Kunci Adjudikasi'!AJ30)+('Kunci Adjudikasi'!$E$1&gt;=4)*('Kunci Adjudikasi'!AD30&lt;&gt;"")*('Kunci Adjudikasi'!AJ30&lt;&gt;"")*('Kunci Adjudikasi'!AD30='Kunci Adjudikasi'!AJ30)))/(L30-1),0)</f>
        <v>0</v>
      </c>
      <c r="N30" s="20">
        <f>(LEFT('Kunci Adjudikasi'!N30,2)="R0")+(LEFT('Kunci Adjudikasi'!T30,2)="R0")+('Kunci Adjudikasi'!$E$1&gt;=3)*(LEFT('Kunci Adjudikasi'!Z30,2)="R0")+('Kunci Adjudikasi'!$E$1&gt;=4)*(LEFT('Kunci Adjudikasi'!AF30,2)="R0")</f>
        <v>0</v>
      </c>
      <c r="O30" s="20">
        <f>(LEFT('Kunci Adjudikasi'!N30,2)="R1")+(LEFT('Kunci Adjudikasi'!T30,2)="R1")+('Kunci Adjudikasi'!$E$1&gt;=3)*(LEFT('Kunci Adjudikasi'!Z30,2)="R1")+('Kunci Adjudikasi'!$E$1&gt;=4)*(LEFT('Kunci Adjudikasi'!AF30,2)="R1")</f>
        <v>0</v>
      </c>
      <c r="P30" s="20">
        <f>(LEFT('Kunci Adjudikasi'!N30,2)="R2")+(LEFT('Kunci Adjudikasi'!T30,2)="R2")+('Kunci Adjudikasi'!$E$1&gt;=3)*(LEFT('Kunci Adjudikasi'!Z30,2)="R2")+('Kunci Adjudikasi'!$E$1&gt;=4)*(LEFT('Kunci Adjudikasi'!AF30,2)="R2")</f>
        <v>0</v>
      </c>
      <c r="Q30" s="20">
        <f t="shared" si="43"/>
        <v>0</v>
      </c>
      <c r="R30" s="20">
        <f t="shared" si="44"/>
        <v>0</v>
      </c>
      <c r="S30" s="20">
        <f t="shared" si="45"/>
        <v>0</v>
      </c>
    </row>
    <row r="31">
      <c r="A31" s="20">
        <f>'Kunci Adjudikasi'!A31</f>
        <v>28</v>
      </c>
      <c r="B31" s="20">
        <f>('Kunci Adjudikasi'!M31&lt;&gt;"")+('Kunci Adjudikasi'!S31&lt;&gt;"")+('Kunci Adjudikasi'!$E$1&gt;=3)*('Kunci Adjudikasi'!Y31&lt;&gt;"")+('Kunci Adjudikasi'!$E$1&gt;=4)*('Kunci Adjudikasi'!AE31&lt;&gt;"")</f>
        <v>1</v>
      </c>
      <c r="C31" s="20">
        <f>IF(B31&gt;=2,(B31*(B31-1)/2-(('Kunci Adjudikasi'!M31&lt;&gt;"")*('Kunci Adjudikasi'!S31&lt;&gt;"")*('Kunci Adjudikasi'!M31='Kunci Adjudikasi'!S31)+('Kunci Adjudikasi'!$E$1&gt;=3)*('Kunci Adjudikasi'!M31&lt;&gt;"")*('Kunci Adjudikasi'!Y31&lt;&gt;"")*('Kunci Adjudikasi'!M31='Kunci Adjudikasi'!Y31)+('Kunci Adjudikasi'!$E$1&gt;=4)*('Kunci Adjudikasi'!M31&lt;&gt;"")*('Kunci Adjudikasi'!AE31&lt;&gt;"")*('Kunci Adjudikasi'!M31='Kunci Adjudikasi'!AE31)+('Kunci Adjudikasi'!$E$1&gt;=3)*('Kunci Adjudikasi'!S31&lt;&gt;"")*('Kunci Adjudikasi'!Y31&lt;&gt;"")*('Kunci Adjudikasi'!S31='Kunci Adjudikasi'!Y31)+('Kunci Adjudikasi'!$E$1&gt;=4)*('Kunci Adjudikasi'!S31&lt;&gt;"")*('Kunci Adjudikasi'!AE31&lt;&gt;"")*('Kunci Adjudikasi'!S31='Kunci Adjudikasi'!AE31)+('Kunci Adjudikasi'!$E$1&gt;=4)*('Kunci Adjudikasi'!Y31&lt;&gt;"")*('Kunci Adjudikasi'!AE31&lt;&gt;"")*('Kunci Adjudikasi'!Y31='Kunci Adjudikasi'!AE31)))/(B31-1),0)</f>
        <v>0</v>
      </c>
      <c r="D31" s="20">
        <f>('Kunci Adjudikasi'!N31&lt;&gt;"")+('Kunci Adjudikasi'!T31&lt;&gt;"")+('Kunci Adjudikasi'!$E$1&gt;=3)*('Kunci Adjudikasi'!Z31&lt;&gt;"")+('Kunci Adjudikasi'!$E$1&gt;=4)*('Kunci Adjudikasi'!AF31&lt;&gt;"")</f>
        <v>1</v>
      </c>
      <c r="E31" s="20">
        <f>IF(D31&gt;=2,(D31*(D31-1)/2-(('Kunci Adjudikasi'!N31&lt;&gt;"")*('Kunci Adjudikasi'!T31&lt;&gt;"")*('Kunci Adjudikasi'!N31='Kunci Adjudikasi'!T31)+('Kunci Adjudikasi'!$E$1&gt;=3)*('Kunci Adjudikasi'!N31&lt;&gt;"")*('Kunci Adjudikasi'!Z31&lt;&gt;"")*('Kunci Adjudikasi'!N31='Kunci Adjudikasi'!Z31)+('Kunci Adjudikasi'!$E$1&gt;=4)*('Kunci Adjudikasi'!N31&lt;&gt;"")*('Kunci Adjudikasi'!AF31&lt;&gt;"")*('Kunci Adjudikasi'!N31='Kunci Adjudikasi'!AF31)+('Kunci Adjudikasi'!$E$1&gt;=3)*('Kunci Adjudikasi'!T31&lt;&gt;"")*('Kunci Adjudikasi'!Z31&lt;&gt;"")*('Kunci Adjudikasi'!T31='Kunci Adjudikasi'!Z31)+('Kunci Adjudikasi'!$E$1&gt;=4)*('Kunci Adjudikasi'!T31&lt;&gt;"")*('Kunci Adjudikasi'!AF31&lt;&gt;"")*('Kunci Adjudikasi'!T31='Kunci Adjudikasi'!AF31)+('Kunci Adjudikasi'!$E$1&gt;=4)*('Kunci Adjudikasi'!Z31&lt;&gt;"")*('Kunci Adjudikasi'!AF31&lt;&gt;"")*('Kunci Adjudikasi'!Z31='Kunci Adjudikasi'!AF31)))/(D31-1),0)</f>
        <v>0</v>
      </c>
      <c r="F31" s="20">
        <f>('Kunci Adjudikasi'!O31&lt;&gt;"")+('Kunci Adjudikasi'!U31&lt;&gt;"")+('Kunci Adjudikasi'!$E$1&gt;=3)*('Kunci Adjudikasi'!AA31&lt;&gt;"")+('Kunci Adjudikasi'!$E$1&gt;=4)*('Kunci Adjudikasi'!AG31&lt;&gt;"")</f>
        <v>1</v>
      </c>
      <c r="G31" s="20">
        <f>IF(F31&gt;=2,(F31*(F31-1)/2-(('Kunci Adjudikasi'!O31&lt;&gt;"")*('Kunci Adjudikasi'!U31&lt;&gt;"")*('Kunci Adjudikasi'!O31='Kunci Adjudikasi'!U31)+('Kunci Adjudikasi'!$E$1&gt;=3)*('Kunci Adjudikasi'!O31&lt;&gt;"")*('Kunci Adjudikasi'!AA31&lt;&gt;"")*('Kunci Adjudikasi'!O31='Kunci Adjudikasi'!AA31)+('Kunci Adjudikasi'!$E$1&gt;=4)*('Kunci Adjudikasi'!O31&lt;&gt;"")*('Kunci Adjudikasi'!AG31&lt;&gt;"")*('Kunci Adjudikasi'!O31='Kunci Adjudikasi'!AG31)+('Kunci Adjudikasi'!$E$1&gt;=3)*('Kunci Adjudikasi'!U31&lt;&gt;"")*('Kunci Adjudikasi'!AA31&lt;&gt;"")*('Kunci Adjudikasi'!U31='Kunci Adjudikasi'!AA31)+('Kunci Adjudikasi'!$E$1&gt;=4)*('Kunci Adjudikasi'!U31&lt;&gt;"")*('Kunci Adjudikasi'!AG31&lt;&gt;"")*('Kunci Adjudikasi'!U31='Kunci Adjudikasi'!AG31)+('Kunci Adjudikasi'!$E$1&gt;=4)*('Kunci Adjudikasi'!AA31&lt;&gt;"")*('Kunci Adjudikasi'!AG31&lt;&gt;"")*('Kunci Adjudikasi'!AA31='Kunci Adjudikasi'!AG31)))/(F31-1),0)</f>
        <v>0</v>
      </c>
      <c r="H31" s="20">
        <f>('Kunci Adjudikasi'!P31&lt;&gt;"")+('Kunci Adjudikasi'!V31&lt;&gt;"")+('Kunci Adjudikasi'!$E$1&gt;=3)*('Kunci Adjudikasi'!AB31&lt;&gt;"")+('Kunci Adjudikasi'!$E$1&gt;=4)*('Kunci Adjudikasi'!AH31&lt;&gt;"")</f>
        <v>1</v>
      </c>
      <c r="I31" s="20">
        <f>IF(H31&gt;=2,(H31*(H31-1)/2-(('Kunci Adjudikasi'!P31&lt;&gt;"")*('Kunci Adjudikasi'!V31&lt;&gt;"")*('Kunci Adjudikasi'!P31='Kunci Adjudikasi'!V31)+('Kunci Adjudikasi'!$E$1&gt;=3)*('Kunci Adjudikasi'!P31&lt;&gt;"")*('Kunci Adjudikasi'!AB31&lt;&gt;"")*('Kunci Adjudikasi'!P31='Kunci Adjudikasi'!AB31)+('Kunci Adjudikasi'!$E$1&gt;=4)*('Kunci Adjudikasi'!P31&lt;&gt;"")*('Kunci Adjudikasi'!AH31&lt;&gt;"")*('Kunci Adjudikasi'!P31='Kunci Adjudikasi'!AH31)+('Kunci Adjudikasi'!$E$1&gt;=3)*('Kunci Adjudikasi'!V31&lt;&gt;"")*('Kunci Adjudikasi'!AB31&lt;&gt;"")*('Kunci Adjudikasi'!V31='Kunci Adjudikasi'!AB31)+('Kunci Adjudikasi'!$E$1&gt;=4)*('Kunci Adjudikasi'!V31&lt;&gt;"")*('Kunci Adjudikasi'!AH31&lt;&gt;"")*('Kunci Adjudikasi'!V31='Kunci Adjudikasi'!AH31)+('Kunci Adjudikasi'!$E$1&gt;=4)*('Kunci Adjudikasi'!AB31&lt;&gt;"")*('Kunci Adjudikasi'!AH31&lt;&gt;"")*('Kunci Adjudikasi'!AB31='Kunci Adjudikasi'!AH31)))/(H31-1),0)</f>
        <v>0</v>
      </c>
      <c r="J31" s="20">
        <f>('Kunci Adjudikasi'!Q31&lt;&gt;"")+('Kunci Adjudikasi'!W31&lt;&gt;"")+('Kunci Adjudikasi'!$E$1&gt;=3)*('Kunci Adjudikasi'!AC31&lt;&gt;"")+('Kunci Adjudikasi'!$E$1&gt;=4)*('Kunci Adjudikasi'!AI31&lt;&gt;"")</f>
        <v>1</v>
      </c>
      <c r="K31" s="20">
        <f>IF(J31&gt;=2,(J31*(J31-1)/2-(('Kunci Adjudikasi'!Q31&lt;&gt;"")*('Kunci Adjudikasi'!W31&lt;&gt;"")*('Kunci Adjudikasi'!Q31='Kunci Adjudikasi'!W31)+('Kunci Adjudikasi'!$E$1&gt;=3)*('Kunci Adjudikasi'!Q31&lt;&gt;"")*('Kunci Adjudikasi'!AC31&lt;&gt;"")*('Kunci Adjudikasi'!Q31='Kunci Adjudikasi'!AC31)+('Kunci Adjudikasi'!$E$1&gt;=4)*('Kunci Adjudikasi'!Q31&lt;&gt;"")*('Kunci Adjudikasi'!AI31&lt;&gt;"")*('Kunci Adjudikasi'!Q31='Kunci Adjudikasi'!AI31)+('Kunci Adjudikasi'!$E$1&gt;=3)*('Kunci Adjudikasi'!W31&lt;&gt;"")*('Kunci Adjudikasi'!AC31&lt;&gt;"")*('Kunci Adjudikasi'!W31='Kunci Adjudikasi'!AC31)+('Kunci Adjudikasi'!$E$1&gt;=4)*('Kunci Adjudikasi'!W31&lt;&gt;"")*('Kunci Adjudikasi'!AI31&lt;&gt;"")*('Kunci Adjudikasi'!W31='Kunci Adjudikasi'!AI31)+('Kunci Adjudikasi'!$E$1&gt;=4)*('Kunci Adjudikasi'!AC31&lt;&gt;"")*('Kunci Adjudikasi'!AI31&lt;&gt;"")*('Kunci Adjudikasi'!AC31='Kunci Adjudikasi'!AI31)))/(J31-1),0)</f>
        <v>0</v>
      </c>
      <c r="L31" s="20">
        <f>('Kunci Adjudikasi'!R31&lt;&gt;"")+('Kunci Adjudikasi'!X31&lt;&gt;"")+('Kunci Adjudikasi'!$E$1&gt;=3)*('Kunci Adjudikasi'!AD31&lt;&gt;"")+('Kunci Adjudikasi'!$E$1&gt;=4)*('Kunci Adjudikasi'!AJ31&lt;&gt;"")</f>
        <v>1</v>
      </c>
      <c r="M31" s="20">
        <f>IF(L31&gt;=2,(L31*(L31-1)/2-(('Kunci Adjudikasi'!R31&lt;&gt;"")*('Kunci Adjudikasi'!X31&lt;&gt;"")*('Kunci Adjudikasi'!R31='Kunci Adjudikasi'!X31)+('Kunci Adjudikasi'!$E$1&gt;=3)*('Kunci Adjudikasi'!R31&lt;&gt;"")*('Kunci Adjudikasi'!AD31&lt;&gt;"")*('Kunci Adjudikasi'!R31='Kunci Adjudikasi'!AD31)+('Kunci Adjudikasi'!$E$1&gt;=4)*('Kunci Adjudikasi'!R31&lt;&gt;"")*('Kunci Adjudikasi'!AJ31&lt;&gt;"")*('Kunci Adjudikasi'!R31='Kunci Adjudikasi'!AJ31)+('Kunci Adjudikasi'!$E$1&gt;=3)*('Kunci Adjudikasi'!X31&lt;&gt;"")*('Kunci Adjudikasi'!AD31&lt;&gt;"")*('Kunci Adjudikasi'!X31='Kunci Adjudikasi'!AD31)+('Kunci Adjudikasi'!$E$1&gt;=4)*('Kunci Adjudikasi'!X31&lt;&gt;"")*('Kunci Adjudikasi'!AJ31&lt;&gt;"")*('Kunci Adjudikasi'!X31='Kunci Adjudikasi'!AJ31)+('Kunci Adjudikasi'!$E$1&gt;=4)*('Kunci Adjudikasi'!AD31&lt;&gt;"")*('Kunci Adjudikasi'!AJ31&lt;&gt;"")*('Kunci Adjudikasi'!AD31='Kunci Adjudikasi'!AJ31)))/(L31-1),0)</f>
        <v>0</v>
      </c>
      <c r="N31" s="20">
        <f>(LEFT('Kunci Adjudikasi'!N31,2)="R0")+(LEFT('Kunci Adjudikasi'!T31,2)="R0")+('Kunci Adjudikasi'!$E$1&gt;=3)*(LEFT('Kunci Adjudikasi'!Z31,2)="R0")+('Kunci Adjudikasi'!$E$1&gt;=4)*(LEFT('Kunci Adjudikasi'!AF31,2)="R0")</f>
        <v>0</v>
      </c>
      <c r="O31" s="20">
        <f>(LEFT('Kunci Adjudikasi'!N31,2)="R1")+(LEFT('Kunci Adjudikasi'!T31,2)="R1")+('Kunci Adjudikasi'!$E$1&gt;=3)*(LEFT('Kunci Adjudikasi'!Z31,2)="R1")+('Kunci Adjudikasi'!$E$1&gt;=4)*(LEFT('Kunci Adjudikasi'!AF31,2)="R1")</f>
        <v>0</v>
      </c>
      <c r="P31" s="20">
        <f>(LEFT('Kunci Adjudikasi'!N31,2)="R2")+(LEFT('Kunci Adjudikasi'!T31,2)="R2")+('Kunci Adjudikasi'!$E$1&gt;=3)*(LEFT('Kunci Adjudikasi'!Z31,2)="R2")+('Kunci Adjudikasi'!$E$1&gt;=4)*(LEFT('Kunci Adjudikasi'!AF31,2)="R2")</f>
        <v>1</v>
      </c>
      <c r="Q31" s="20">
        <f t="shared" si="43"/>
        <v>0</v>
      </c>
      <c r="R31" s="20">
        <f t="shared" si="44"/>
        <v>0</v>
      </c>
      <c r="S31" s="20">
        <f t="shared" si="45"/>
        <v>0</v>
      </c>
    </row>
    <row r="32">
      <c r="A32" s="20">
        <f>'Kunci Adjudikasi'!A32</f>
        <v>29</v>
      </c>
      <c r="B32" s="20">
        <f>('Kunci Adjudikasi'!M32&lt;&gt;"")+('Kunci Adjudikasi'!S32&lt;&gt;"")+('Kunci Adjudikasi'!$E$1&gt;=3)*('Kunci Adjudikasi'!Y32&lt;&gt;"")+('Kunci Adjudikasi'!$E$1&gt;=4)*('Kunci Adjudikasi'!AE32&lt;&gt;"")</f>
        <v>0</v>
      </c>
      <c r="C32" s="20">
        <f>IF(B32&gt;=2,(B32*(B32-1)/2-(('Kunci Adjudikasi'!M32&lt;&gt;"")*('Kunci Adjudikasi'!S32&lt;&gt;"")*('Kunci Adjudikasi'!M32='Kunci Adjudikasi'!S32)+('Kunci Adjudikasi'!$E$1&gt;=3)*('Kunci Adjudikasi'!M32&lt;&gt;"")*('Kunci Adjudikasi'!Y32&lt;&gt;"")*('Kunci Adjudikasi'!M32='Kunci Adjudikasi'!Y32)+('Kunci Adjudikasi'!$E$1&gt;=4)*('Kunci Adjudikasi'!M32&lt;&gt;"")*('Kunci Adjudikasi'!AE32&lt;&gt;"")*('Kunci Adjudikasi'!M32='Kunci Adjudikasi'!AE32)+('Kunci Adjudikasi'!$E$1&gt;=3)*('Kunci Adjudikasi'!S32&lt;&gt;"")*('Kunci Adjudikasi'!Y32&lt;&gt;"")*('Kunci Adjudikasi'!S32='Kunci Adjudikasi'!Y32)+('Kunci Adjudikasi'!$E$1&gt;=4)*('Kunci Adjudikasi'!S32&lt;&gt;"")*('Kunci Adjudikasi'!AE32&lt;&gt;"")*('Kunci Adjudikasi'!S32='Kunci Adjudikasi'!AE32)+('Kunci Adjudikasi'!$E$1&gt;=4)*('Kunci Adjudikasi'!Y32&lt;&gt;"")*('Kunci Adjudikasi'!AE32&lt;&gt;"")*('Kunci Adjudikasi'!Y32='Kunci Adjudikasi'!AE32)))/(B32-1),0)</f>
        <v>0</v>
      </c>
      <c r="D32" s="20">
        <f>('Kunci Adjudikasi'!N32&lt;&gt;"")+('Kunci Adjudikasi'!T32&lt;&gt;"")+('Kunci Adjudikasi'!$E$1&gt;=3)*('Kunci Adjudikasi'!Z32&lt;&gt;"")+('Kunci Adjudikasi'!$E$1&gt;=4)*('Kunci Adjudikasi'!AF32&lt;&gt;"")</f>
        <v>0</v>
      </c>
      <c r="E32" s="20">
        <f>IF(D32&gt;=2,(D32*(D32-1)/2-(('Kunci Adjudikasi'!N32&lt;&gt;"")*('Kunci Adjudikasi'!T32&lt;&gt;"")*('Kunci Adjudikasi'!N32='Kunci Adjudikasi'!T32)+('Kunci Adjudikasi'!$E$1&gt;=3)*('Kunci Adjudikasi'!N32&lt;&gt;"")*('Kunci Adjudikasi'!Z32&lt;&gt;"")*('Kunci Adjudikasi'!N32='Kunci Adjudikasi'!Z32)+('Kunci Adjudikasi'!$E$1&gt;=4)*('Kunci Adjudikasi'!N32&lt;&gt;"")*('Kunci Adjudikasi'!AF32&lt;&gt;"")*('Kunci Adjudikasi'!N32='Kunci Adjudikasi'!AF32)+('Kunci Adjudikasi'!$E$1&gt;=3)*('Kunci Adjudikasi'!T32&lt;&gt;"")*('Kunci Adjudikasi'!Z32&lt;&gt;"")*('Kunci Adjudikasi'!T32='Kunci Adjudikasi'!Z32)+('Kunci Adjudikasi'!$E$1&gt;=4)*('Kunci Adjudikasi'!T32&lt;&gt;"")*('Kunci Adjudikasi'!AF32&lt;&gt;"")*('Kunci Adjudikasi'!T32='Kunci Adjudikasi'!AF32)+('Kunci Adjudikasi'!$E$1&gt;=4)*('Kunci Adjudikasi'!Z32&lt;&gt;"")*('Kunci Adjudikasi'!AF32&lt;&gt;"")*('Kunci Adjudikasi'!Z32='Kunci Adjudikasi'!AF32)))/(D32-1),0)</f>
        <v>0</v>
      </c>
      <c r="F32" s="20">
        <f>('Kunci Adjudikasi'!O32&lt;&gt;"")+('Kunci Adjudikasi'!U32&lt;&gt;"")+('Kunci Adjudikasi'!$E$1&gt;=3)*('Kunci Adjudikasi'!AA32&lt;&gt;"")+('Kunci Adjudikasi'!$E$1&gt;=4)*('Kunci Adjudikasi'!AG32&lt;&gt;"")</f>
        <v>0</v>
      </c>
      <c r="G32" s="20">
        <f>IF(F32&gt;=2,(F32*(F32-1)/2-(('Kunci Adjudikasi'!O32&lt;&gt;"")*('Kunci Adjudikasi'!U32&lt;&gt;"")*('Kunci Adjudikasi'!O32='Kunci Adjudikasi'!U32)+('Kunci Adjudikasi'!$E$1&gt;=3)*('Kunci Adjudikasi'!O32&lt;&gt;"")*('Kunci Adjudikasi'!AA32&lt;&gt;"")*('Kunci Adjudikasi'!O32='Kunci Adjudikasi'!AA32)+('Kunci Adjudikasi'!$E$1&gt;=4)*('Kunci Adjudikasi'!O32&lt;&gt;"")*('Kunci Adjudikasi'!AG32&lt;&gt;"")*('Kunci Adjudikasi'!O32='Kunci Adjudikasi'!AG32)+('Kunci Adjudikasi'!$E$1&gt;=3)*('Kunci Adjudikasi'!U32&lt;&gt;"")*('Kunci Adjudikasi'!AA32&lt;&gt;"")*('Kunci Adjudikasi'!U32='Kunci Adjudikasi'!AA32)+('Kunci Adjudikasi'!$E$1&gt;=4)*('Kunci Adjudikasi'!U32&lt;&gt;"")*('Kunci Adjudikasi'!AG32&lt;&gt;"")*('Kunci Adjudikasi'!U32='Kunci Adjudikasi'!AG32)+('Kunci Adjudikasi'!$E$1&gt;=4)*('Kunci Adjudikasi'!AA32&lt;&gt;"")*('Kunci Adjudikasi'!AG32&lt;&gt;"")*('Kunci Adjudikasi'!AA32='Kunci Adjudikasi'!AG32)))/(F32-1),0)</f>
        <v>0</v>
      </c>
      <c r="H32" s="20">
        <f>('Kunci Adjudikasi'!P32&lt;&gt;"")+('Kunci Adjudikasi'!V32&lt;&gt;"")+('Kunci Adjudikasi'!$E$1&gt;=3)*('Kunci Adjudikasi'!AB32&lt;&gt;"")+('Kunci Adjudikasi'!$E$1&gt;=4)*('Kunci Adjudikasi'!AH32&lt;&gt;"")</f>
        <v>0</v>
      </c>
      <c r="I32" s="20">
        <f>IF(H32&gt;=2,(H32*(H32-1)/2-(('Kunci Adjudikasi'!P32&lt;&gt;"")*('Kunci Adjudikasi'!V32&lt;&gt;"")*('Kunci Adjudikasi'!P32='Kunci Adjudikasi'!V32)+('Kunci Adjudikasi'!$E$1&gt;=3)*('Kunci Adjudikasi'!P32&lt;&gt;"")*('Kunci Adjudikasi'!AB32&lt;&gt;"")*('Kunci Adjudikasi'!P32='Kunci Adjudikasi'!AB32)+('Kunci Adjudikasi'!$E$1&gt;=4)*('Kunci Adjudikasi'!P32&lt;&gt;"")*('Kunci Adjudikasi'!AH32&lt;&gt;"")*('Kunci Adjudikasi'!P32='Kunci Adjudikasi'!AH32)+('Kunci Adjudikasi'!$E$1&gt;=3)*('Kunci Adjudikasi'!V32&lt;&gt;"")*('Kunci Adjudikasi'!AB32&lt;&gt;"")*('Kunci Adjudikasi'!V32='Kunci Adjudikasi'!AB32)+('Kunci Adjudikasi'!$E$1&gt;=4)*('Kunci Adjudikasi'!V32&lt;&gt;"")*('Kunci Adjudikasi'!AH32&lt;&gt;"")*('Kunci Adjudikasi'!V32='Kunci Adjudikasi'!AH32)+('Kunci Adjudikasi'!$E$1&gt;=4)*('Kunci Adjudikasi'!AB32&lt;&gt;"")*('Kunci Adjudikasi'!AH32&lt;&gt;"")*('Kunci Adjudikasi'!AB32='Kunci Adjudikasi'!AH32)))/(H32-1),0)</f>
        <v>0</v>
      </c>
      <c r="J32" s="20">
        <f>('Kunci Adjudikasi'!Q32&lt;&gt;"")+('Kunci Adjudikasi'!W32&lt;&gt;"")+('Kunci Adjudikasi'!$E$1&gt;=3)*('Kunci Adjudikasi'!AC32&lt;&gt;"")+('Kunci Adjudikasi'!$E$1&gt;=4)*('Kunci Adjudikasi'!AI32&lt;&gt;"")</f>
        <v>0</v>
      </c>
      <c r="K32" s="20">
        <f>IF(J32&gt;=2,(J32*(J32-1)/2-(('Kunci Adjudikasi'!Q32&lt;&gt;"")*('Kunci Adjudikasi'!W32&lt;&gt;"")*('Kunci Adjudikasi'!Q32='Kunci Adjudikasi'!W32)+('Kunci Adjudikasi'!$E$1&gt;=3)*('Kunci Adjudikasi'!Q32&lt;&gt;"")*('Kunci Adjudikasi'!AC32&lt;&gt;"")*('Kunci Adjudikasi'!Q32='Kunci Adjudikasi'!AC32)+('Kunci Adjudikasi'!$E$1&gt;=4)*('Kunci Adjudikasi'!Q32&lt;&gt;"")*('Kunci Adjudikasi'!AI32&lt;&gt;"")*('Kunci Adjudikasi'!Q32='Kunci Adjudikasi'!AI32)+('Kunci Adjudikasi'!$E$1&gt;=3)*('Kunci Adjudikasi'!W32&lt;&gt;"")*('Kunci Adjudikasi'!AC32&lt;&gt;"")*('Kunci Adjudikasi'!W32='Kunci Adjudikasi'!AC32)+('Kunci Adjudikasi'!$E$1&gt;=4)*('Kunci Adjudikasi'!W32&lt;&gt;"")*('Kunci Adjudikasi'!AI32&lt;&gt;"")*('Kunci Adjudikasi'!W32='Kunci Adjudikasi'!AI32)+('Kunci Adjudikasi'!$E$1&gt;=4)*('Kunci Adjudikasi'!AC32&lt;&gt;"")*('Kunci Adjudikasi'!AI32&lt;&gt;"")*('Kunci Adjudikasi'!AC32='Kunci Adjudikasi'!AI32)))/(J32-1),0)</f>
        <v>0</v>
      </c>
      <c r="L32" s="20">
        <f>('Kunci Adjudikasi'!R32&lt;&gt;"")+('Kunci Adjudikasi'!X32&lt;&gt;"")+('Kunci Adjudikasi'!$E$1&gt;=3)*('Kunci Adjudikasi'!AD32&lt;&gt;"")+('Kunci Adjudikasi'!$E$1&gt;=4)*('Kunci Adjudikasi'!AJ32&lt;&gt;"")</f>
        <v>0</v>
      </c>
      <c r="M32" s="20">
        <f>IF(L32&gt;=2,(L32*(L32-1)/2-(('Kunci Adjudikasi'!R32&lt;&gt;"")*('Kunci Adjudikasi'!X32&lt;&gt;"")*('Kunci Adjudikasi'!R32='Kunci Adjudikasi'!X32)+('Kunci Adjudikasi'!$E$1&gt;=3)*('Kunci Adjudikasi'!R32&lt;&gt;"")*('Kunci Adjudikasi'!AD32&lt;&gt;"")*('Kunci Adjudikasi'!R32='Kunci Adjudikasi'!AD32)+('Kunci Adjudikasi'!$E$1&gt;=4)*('Kunci Adjudikasi'!R32&lt;&gt;"")*('Kunci Adjudikasi'!AJ32&lt;&gt;"")*('Kunci Adjudikasi'!R32='Kunci Adjudikasi'!AJ32)+('Kunci Adjudikasi'!$E$1&gt;=3)*('Kunci Adjudikasi'!X32&lt;&gt;"")*('Kunci Adjudikasi'!AD32&lt;&gt;"")*('Kunci Adjudikasi'!X32='Kunci Adjudikasi'!AD32)+('Kunci Adjudikasi'!$E$1&gt;=4)*('Kunci Adjudikasi'!X32&lt;&gt;"")*('Kunci Adjudikasi'!AJ32&lt;&gt;"")*('Kunci Adjudikasi'!X32='Kunci Adjudikasi'!AJ32)+('Kunci Adjudikasi'!$E$1&gt;=4)*('Kunci Adjudikasi'!AD32&lt;&gt;"")*('Kunci Adjudikasi'!AJ32&lt;&gt;"")*('Kunci Adjudikasi'!AD32='Kunci Adjudikasi'!AJ32)))/(L32-1),0)</f>
        <v>0</v>
      </c>
      <c r="N32" s="20">
        <f>(LEFT('Kunci Adjudikasi'!N32,2)="R0")+(LEFT('Kunci Adjudikasi'!T32,2)="R0")+('Kunci Adjudikasi'!$E$1&gt;=3)*(LEFT('Kunci Adjudikasi'!Z32,2)="R0")+('Kunci Adjudikasi'!$E$1&gt;=4)*(LEFT('Kunci Adjudikasi'!AF32,2)="R0")</f>
        <v>0</v>
      </c>
      <c r="O32" s="20">
        <f>(LEFT('Kunci Adjudikasi'!N32,2)="R1")+(LEFT('Kunci Adjudikasi'!T32,2)="R1")+('Kunci Adjudikasi'!$E$1&gt;=3)*(LEFT('Kunci Adjudikasi'!Z32,2)="R1")+('Kunci Adjudikasi'!$E$1&gt;=4)*(LEFT('Kunci Adjudikasi'!AF32,2)="R1")</f>
        <v>0</v>
      </c>
      <c r="P32" s="20">
        <f>(LEFT('Kunci Adjudikasi'!N32,2)="R2")+(LEFT('Kunci Adjudikasi'!T32,2)="R2")+('Kunci Adjudikasi'!$E$1&gt;=3)*(LEFT('Kunci Adjudikasi'!Z32,2)="R2")+('Kunci Adjudikasi'!$E$1&gt;=4)*(LEFT('Kunci Adjudikasi'!AF32,2)="R2")</f>
        <v>0</v>
      </c>
      <c r="Q32" s="20">
        <f t="shared" si="43"/>
        <v>0</v>
      </c>
      <c r="R32" s="20">
        <f t="shared" si="44"/>
        <v>0</v>
      </c>
      <c r="S32" s="20">
        <f t="shared" si="45"/>
        <v>0</v>
      </c>
    </row>
    <row r="33">
      <c r="A33" s="20">
        <f>'Kunci Adjudikasi'!A33</f>
        <v>30</v>
      </c>
      <c r="B33" s="20">
        <f>('Kunci Adjudikasi'!M33&lt;&gt;"")+('Kunci Adjudikasi'!S33&lt;&gt;"")+('Kunci Adjudikasi'!$E$1&gt;=3)*('Kunci Adjudikasi'!Y33&lt;&gt;"")+('Kunci Adjudikasi'!$E$1&gt;=4)*('Kunci Adjudikasi'!AE33&lt;&gt;"")</f>
        <v>1</v>
      </c>
      <c r="C33" s="20">
        <f>IF(B33&gt;=2,(B33*(B33-1)/2-(('Kunci Adjudikasi'!M33&lt;&gt;"")*('Kunci Adjudikasi'!S33&lt;&gt;"")*('Kunci Adjudikasi'!M33='Kunci Adjudikasi'!S33)+('Kunci Adjudikasi'!$E$1&gt;=3)*('Kunci Adjudikasi'!M33&lt;&gt;"")*('Kunci Adjudikasi'!Y33&lt;&gt;"")*('Kunci Adjudikasi'!M33='Kunci Adjudikasi'!Y33)+('Kunci Adjudikasi'!$E$1&gt;=4)*('Kunci Adjudikasi'!M33&lt;&gt;"")*('Kunci Adjudikasi'!AE33&lt;&gt;"")*('Kunci Adjudikasi'!M33='Kunci Adjudikasi'!AE33)+('Kunci Adjudikasi'!$E$1&gt;=3)*('Kunci Adjudikasi'!S33&lt;&gt;"")*('Kunci Adjudikasi'!Y33&lt;&gt;"")*('Kunci Adjudikasi'!S33='Kunci Adjudikasi'!Y33)+('Kunci Adjudikasi'!$E$1&gt;=4)*('Kunci Adjudikasi'!S33&lt;&gt;"")*('Kunci Adjudikasi'!AE33&lt;&gt;"")*('Kunci Adjudikasi'!S33='Kunci Adjudikasi'!AE33)+('Kunci Adjudikasi'!$E$1&gt;=4)*('Kunci Adjudikasi'!Y33&lt;&gt;"")*('Kunci Adjudikasi'!AE33&lt;&gt;"")*('Kunci Adjudikasi'!Y33='Kunci Adjudikasi'!AE33)))/(B33-1),0)</f>
        <v>0</v>
      </c>
      <c r="D33" s="20">
        <f>('Kunci Adjudikasi'!N33&lt;&gt;"")+('Kunci Adjudikasi'!T33&lt;&gt;"")+('Kunci Adjudikasi'!$E$1&gt;=3)*('Kunci Adjudikasi'!Z33&lt;&gt;"")+('Kunci Adjudikasi'!$E$1&gt;=4)*('Kunci Adjudikasi'!AF33&lt;&gt;"")</f>
        <v>1</v>
      </c>
      <c r="E33" s="20">
        <f>IF(D33&gt;=2,(D33*(D33-1)/2-(('Kunci Adjudikasi'!N33&lt;&gt;"")*('Kunci Adjudikasi'!T33&lt;&gt;"")*('Kunci Adjudikasi'!N33='Kunci Adjudikasi'!T33)+('Kunci Adjudikasi'!$E$1&gt;=3)*('Kunci Adjudikasi'!N33&lt;&gt;"")*('Kunci Adjudikasi'!Z33&lt;&gt;"")*('Kunci Adjudikasi'!N33='Kunci Adjudikasi'!Z33)+('Kunci Adjudikasi'!$E$1&gt;=4)*('Kunci Adjudikasi'!N33&lt;&gt;"")*('Kunci Adjudikasi'!AF33&lt;&gt;"")*('Kunci Adjudikasi'!N33='Kunci Adjudikasi'!AF33)+('Kunci Adjudikasi'!$E$1&gt;=3)*('Kunci Adjudikasi'!T33&lt;&gt;"")*('Kunci Adjudikasi'!Z33&lt;&gt;"")*('Kunci Adjudikasi'!T33='Kunci Adjudikasi'!Z33)+('Kunci Adjudikasi'!$E$1&gt;=4)*('Kunci Adjudikasi'!T33&lt;&gt;"")*('Kunci Adjudikasi'!AF33&lt;&gt;"")*('Kunci Adjudikasi'!T33='Kunci Adjudikasi'!AF33)+('Kunci Adjudikasi'!$E$1&gt;=4)*('Kunci Adjudikasi'!Z33&lt;&gt;"")*('Kunci Adjudikasi'!AF33&lt;&gt;"")*('Kunci Adjudikasi'!Z33='Kunci Adjudikasi'!AF33)))/(D33-1),0)</f>
        <v>0</v>
      </c>
      <c r="F33" s="20">
        <f>('Kunci Adjudikasi'!O33&lt;&gt;"")+('Kunci Adjudikasi'!U33&lt;&gt;"")+('Kunci Adjudikasi'!$E$1&gt;=3)*('Kunci Adjudikasi'!AA33&lt;&gt;"")+('Kunci Adjudikasi'!$E$1&gt;=4)*('Kunci Adjudikasi'!AG33&lt;&gt;"")</f>
        <v>1</v>
      </c>
      <c r="G33" s="20">
        <f>IF(F33&gt;=2,(F33*(F33-1)/2-(('Kunci Adjudikasi'!O33&lt;&gt;"")*('Kunci Adjudikasi'!U33&lt;&gt;"")*('Kunci Adjudikasi'!O33='Kunci Adjudikasi'!U33)+('Kunci Adjudikasi'!$E$1&gt;=3)*('Kunci Adjudikasi'!O33&lt;&gt;"")*('Kunci Adjudikasi'!AA33&lt;&gt;"")*('Kunci Adjudikasi'!O33='Kunci Adjudikasi'!AA33)+('Kunci Adjudikasi'!$E$1&gt;=4)*('Kunci Adjudikasi'!O33&lt;&gt;"")*('Kunci Adjudikasi'!AG33&lt;&gt;"")*('Kunci Adjudikasi'!O33='Kunci Adjudikasi'!AG33)+('Kunci Adjudikasi'!$E$1&gt;=3)*('Kunci Adjudikasi'!U33&lt;&gt;"")*('Kunci Adjudikasi'!AA33&lt;&gt;"")*('Kunci Adjudikasi'!U33='Kunci Adjudikasi'!AA33)+('Kunci Adjudikasi'!$E$1&gt;=4)*('Kunci Adjudikasi'!U33&lt;&gt;"")*('Kunci Adjudikasi'!AG33&lt;&gt;"")*('Kunci Adjudikasi'!U33='Kunci Adjudikasi'!AG33)+('Kunci Adjudikasi'!$E$1&gt;=4)*('Kunci Adjudikasi'!AA33&lt;&gt;"")*('Kunci Adjudikasi'!AG33&lt;&gt;"")*('Kunci Adjudikasi'!AA33='Kunci Adjudikasi'!AG33)))/(F33-1),0)</f>
        <v>0</v>
      </c>
      <c r="H33" s="20">
        <f>('Kunci Adjudikasi'!P33&lt;&gt;"")+('Kunci Adjudikasi'!V33&lt;&gt;"")+('Kunci Adjudikasi'!$E$1&gt;=3)*('Kunci Adjudikasi'!AB33&lt;&gt;"")+('Kunci Adjudikasi'!$E$1&gt;=4)*('Kunci Adjudikasi'!AH33&lt;&gt;"")</f>
        <v>1</v>
      </c>
      <c r="I33" s="20">
        <f>IF(H33&gt;=2,(H33*(H33-1)/2-(('Kunci Adjudikasi'!P33&lt;&gt;"")*('Kunci Adjudikasi'!V33&lt;&gt;"")*('Kunci Adjudikasi'!P33='Kunci Adjudikasi'!V33)+('Kunci Adjudikasi'!$E$1&gt;=3)*('Kunci Adjudikasi'!P33&lt;&gt;"")*('Kunci Adjudikasi'!AB33&lt;&gt;"")*('Kunci Adjudikasi'!P33='Kunci Adjudikasi'!AB33)+('Kunci Adjudikasi'!$E$1&gt;=4)*('Kunci Adjudikasi'!P33&lt;&gt;"")*('Kunci Adjudikasi'!AH33&lt;&gt;"")*('Kunci Adjudikasi'!P33='Kunci Adjudikasi'!AH33)+('Kunci Adjudikasi'!$E$1&gt;=3)*('Kunci Adjudikasi'!V33&lt;&gt;"")*('Kunci Adjudikasi'!AB33&lt;&gt;"")*('Kunci Adjudikasi'!V33='Kunci Adjudikasi'!AB33)+('Kunci Adjudikasi'!$E$1&gt;=4)*('Kunci Adjudikasi'!V33&lt;&gt;"")*('Kunci Adjudikasi'!AH33&lt;&gt;"")*('Kunci Adjudikasi'!V33='Kunci Adjudikasi'!AH33)+('Kunci Adjudikasi'!$E$1&gt;=4)*('Kunci Adjudikasi'!AB33&lt;&gt;"")*('Kunci Adjudikasi'!AH33&lt;&gt;"")*('Kunci Adjudikasi'!AB33='Kunci Adjudikasi'!AH33)))/(H33-1),0)</f>
        <v>0</v>
      </c>
      <c r="J33" s="20">
        <f>('Kunci Adjudikasi'!Q33&lt;&gt;"")+('Kunci Adjudikasi'!W33&lt;&gt;"")+('Kunci Adjudikasi'!$E$1&gt;=3)*('Kunci Adjudikasi'!AC33&lt;&gt;"")+('Kunci Adjudikasi'!$E$1&gt;=4)*('Kunci Adjudikasi'!AI33&lt;&gt;"")</f>
        <v>1</v>
      </c>
      <c r="K33" s="20">
        <f>IF(J33&gt;=2,(J33*(J33-1)/2-(('Kunci Adjudikasi'!Q33&lt;&gt;"")*('Kunci Adjudikasi'!W33&lt;&gt;"")*('Kunci Adjudikasi'!Q33='Kunci Adjudikasi'!W33)+('Kunci Adjudikasi'!$E$1&gt;=3)*('Kunci Adjudikasi'!Q33&lt;&gt;"")*('Kunci Adjudikasi'!AC33&lt;&gt;"")*('Kunci Adjudikasi'!Q33='Kunci Adjudikasi'!AC33)+('Kunci Adjudikasi'!$E$1&gt;=4)*('Kunci Adjudikasi'!Q33&lt;&gt;"")*('Kunci Adjudikasi'!AI33&lt;&gt;"")*('Kunci Adjudikasi'!Q33='Kunci Adjudikasi'!AI33)+('Kunci Adjudikasi'!$E$1&gt;=3)*('Kunci Adjudikasi'!W33&lt;&gt;"")*('Kunci Adjudikasi'!AC33&lt;&gt;"")*('Kunci Adjudikasi'!W33='Kunci Adjudikasi'!AC33)+('Kunci Adjudikasi'!$E$1&gt;=4)*('Kunci Adjudikasi'!W33&lt;&gt;"")*('Kunci Adjudikasi'!AI33&lt;&gt;"")*('Kunci Adjudikasi'!W33='Kunci Adjudikasi'!AI33)+('Kunci Adjudikasi'!$E$1&gt;=4)*('Kunci Adjudikasi'!AC33&lt;&gt;"")*('Kunci Adjudikasi'!AI33&lt;&gt;"")*('Kunci Adjudikasi'!AC33='Kunci Adjudikasi'!AI33)))/(J33-1),0)</f>
        <v>0</v>
      </c>
      <c r="L33" s="20">
        <f>('Kunci Adjudikasi'!R33&lt;&gt;"")+('Kunci Adjudikasi'!X33&lt;&gt;"")+('Kunci Adjudikasi'!$E$1&gt;=3)*('Kunci Adjudikasi'!AD33&lt;&gt;"")+('Kunci Adjudikasi'!$E$1&gt;=4)*('Kunci Adjudikasi'!AJ33&lt;&gt;"")</f>
        <v>1</v>
      </c>
      <c r="M33" s="20">
        <f>IF(L33&gt;=2,(L33*(L33-1)/2-(('Kunci Adjudikasi'!R33&lt;&gt;"")*('Kunci Adjudikasi'!X33&lt;&gt;"")*('Kunci Adjudikasi'!R33='Kunci Adjudikasi'!X33)+('Kunci Adjudikasi'!$E$1&gt;=3)*('Kunci Adjudikasi'!R33&lt;&gt;"")*('Kunci Adjudikasi'!AD33&lt;&gt;"")*('Kunci Adjudikasi'!R33='Kunci Adjudikasi'!AD33)+('Kunci Adjudikasi'!$E$1&gt;=4)*('Kunci Adjudikasi'!R33&lt;&gt;"")*('Kunci Adjudikasi'!AJ33&lt;&gt;"")*('Kunci Adjudikasi'!R33='Kunci Adjudikasi'!AJ33)+('Kunci Adjudikasi'!$E$1&gt;=3)*('Kunci Adjudikasi'!X33&lt;&gt;"")*('Kunci Adjudikasi'!AD33&lt;&gt;"")*('Kunci Adjudikasi'!X33='Kunci Adjudikasi'!AD33)+('Kunci Adjudikasi'!$E$1&gt;=4)*('Kunci Adjudikasi'!X33&lt;&gt;"")*('Kunci Adjudikasi'!AJ33&lt;&gt;"")*('Kunci Adjudikasi'!X33='Kunci Adjudikasi'!AJ33)+('Kunci Adjudikasi'!$E$1&gt;=4)*('Kunci Adjudikasi'!AD33&lt;&gt;"")*('Kunci Adjudikasi'!AJ33&lt;&gt;"")*('Kunci Adjudikasi'!AD33='Kunci Adjudikasi'!AJ33)))/(L33-1),0)</f>
        <v>0</v>
      </c>
      <c r="N33" s="20">
        <f>(LEFT('Kunci Adjudikasi'!N33,2)="R0")+(LEFT('Kunci Adjudikasi'!T33,2)="R0")+('Kunci Adjudikasi'!$E$1&gt;=3)*(LEFT('Kunci Adjudikasi'!Z33,2)="R0")+('Kunci Adjudikasi'!$E$1&gt;=4)*(LEFT('Kunci Adjudikasi'!AF33,2)="R0")</f>
        <v>0</v>
      </c>
      <c r="O33" s="20">
        <f>(LEFT('Kunci Adjudikasi'!N33,2)="R1")+(LEFT('Kunci Adjudikasi'!T33,2)="R1")+('Kunci Adjudikasi'!$E$1&gt;=3)*(LEFT('Kunci Adjudikasi'!Z33,2)="R1")+('Kunci Adjudikasi'!$E$1&gt;=4)*(LEFT('Kunci Adjudikasi'!AF33,2)="R1")</f>
        <v>0</v>
      </c>
      <c r="P33" s="20">
        <f>(LEFT('Kunci Adjudikasi'!N33,2)="R2")+(LEFT('Kunci Adjudikasi'!T33,2)="R2")+('Kunci Adjudikasi'!$E$1&gt;=3)*(LEFT('Kunci Adjudikasi'!Z33,2)="R2")+('Kunci Adjudikasi'!$E$1&gt;=4)*(LEFT('Kunci Adjudikasi'!AF33,2)="R2")</f>
        <v>1</v>
      </c>
      <c r="Q33" s="20">
        <f t="shared" si="43"/>
        <v>0</v>
      </c>
      <c r="R33" s="20">
        <f t="shared" si="44"/>
        <v>0</v>
      </c>
      <c r="S33" s="20">
        <f t="shared" si="45"/>
        <v>0</v>
      </c>
    </row>
    <row r="34">
      <c r="A34" s="20">
        <f>'Kunci Adjudikasi'!A34</f>
        <v>31</v>
      </c>
      <c r="B34" s="20">
        <f>('Kunci Adjudikasi'!M34&lt;&gt;"")+('Kunci Adjudikasi'!S34&lt;&gt;"")+('Kunci Adjudikasi'!$E$1&gt;=3)*('Kunci Adjudikasi'!Y34&lt;&gt;"")+('Kunci Adjudikasi'!$E$1&gt;=4)*('Kunci Adjudikasi'!AE34&lt;&gt;"")</f>
        <v>0</v>
      </c>
      <c r="C34" s="20">
        <f>IF(B34&gt;=2,(B34*(B34-1)/2-(('Kunci Adjudikasi'!M34&lt;&gt;"")*('Kunci Adjudikasi'!S34&lt;&gt;"")*('Kunci Adjudikasi'!M34='Kunci Adjudikasi'!S34)+('Kunci Adjudikasi'!$E$1&gt;=3)*('Kunci Adjudikasi'!M34&lt;&gt;"")*('Kunci Adjudikasi'!Y34&lt;&gt;"")*('Kunci Adjudikasi'!M34='Kunci Adjudikasi'!Y34)+('Kunci Adjudikasi'!$E$1&gt;=4)*('Kunci Adjudikasi'!M34&lt;&gt;"")*('Kunci Adjudikasi'!AE34&lt;&gt;"")*('Kunci Adjudikasi'!M34='Kunci Adjudikasi'!AE34)+('Kunci Adjudikasi'!$E$1&gt;=3)*('Kunci Adjudikasi'!S34&lt;&gt;"")*('Kunci Adjudikasi'!Y34&lt;&gt;"")*('Kunci Adjudikasi'!S34='Kunci Adjudikasi'!Y34)+('Kunci Adjudikasi'!$E$1&gt;=4)*('Kunci Adjudikasi'!S34&lt;&gt;"")*('Kunci Adjudikasi'!AE34&lt;&gt;"")*('Kunci Adjudikasi'!S34='Kunci Adjudikasi'!AE34)+('Kunci Adjudikasi'!$E$1&gt;=4)*('Kunci Adjudikasi'!Y34&lt;&gt;"")*('Kunci Adjudikasi'!AE34&lt;&gt;"")*('Kunci Adjudikasi'!Y34='Kunci Adjudikasi'!AE34)))/(B34-1),0)</f>
        <v>0</v>
      </c>
      <c r="D34" s="20">
        <f>('Kunci Adjudikasi'!N34&lt;&gt;"")+('Kunci Adjudikasi'!T34&lt;&gt;"")+('Kunci Adjudikasi'!$E$1&gt;=3)*('Kunci Adjudikasi'!Z34&lt;&gt;"")+('Kunci Adjudikasi'!$E$1&gt;=4)*('Kunci Adjudikasi'!AF34&lt;&gt;"")</f>
        <v>0</v>
      </c>
      <c r="E34" s="20">
        <f>IF(D34&gt;=2,(D34*(D34-1)/2-(('Kunci Adjudikasi'!N34&lt;&gt;"")*('Kunci Adjudikasi'!T34&lt;&gt;"")*('Kunci Adjudikasi'!N34='Kunci Adjudikasi'!T34)+('Kunci Adjudikasi'!$E$1&gt;=3)*('Kunci Adjudikasi'!N34&lt;&gt;"")*('Kunci Adjudikasi'!Z34&lt;&gt;"")*('Kunci Adjudikasi'!N34='Kunci Adjudikasi'!Z34)+('Kunci Adjudikasi'!$E$1&gt;=4)*('Kunci Adjudikasi'!N34&lt;&gt;"")*('Kunci Adjudikasi'!AF34&lt;&gt;"")*('Kunci Adjudikasi'!N34='Kunci Adjudikasi'!AF34)+('Kunci Adjudikasi'!$E$1&gt;=3)*('Kunci Adjudikasi'!T34&lt;&gt;"")*('Kunci Adjudikasi'!Z34&lt;&gt;"")*('Kunci Adjudikasi'!T34='Kunci Adjudikasi'!Z34)+('Kunci Adjudikasi'!$E$1&gt;=4)*('Kunci Adjudikasi'!T34&lt;&gt;"")*('Kunci Adjudikasi'!AF34&lt;&gt;"")*('Kunci Adjudikasi'!T34='Kunci Adjudikasi'!AF34)+('Kunci Adjudikasi'!$E$1&gt;=4)*('Kunci Adjudikasi'!Z34&lt;&gt;"")*('Kunci Adjudikasi'!AF34&lt;&gt;"")*('Kunci Adjudikasi'!Z34='Kunci Adjudikasi'!AF34)))/(D34-1),0)</f>
        <v>0</v>
      </c>
      <c r="F34" s="20">
        <f>('Kunci Adjudikasi'!O34&lt;&gt;"")+('Kunci Adjudikasi'!U34&lt;&gt;"")+('Kunci Adjudikasi'!$E$1&gt;=3)*('Kunci Adjudikasi'!AA34&lt;&gt;"")+('Kunci Adjudikasi'!$E$1&gt;=4)*('Kunci Adjudikasi'!AG34&lt;&gt;"")</f>
        <v>0</v>
      </c>
      <c r="G34" s="20">
        <f>IF(F34&gt;=2,(F34*(F34-1)/2-(('Kunci Adjudikasi'!O34&lt;&gt;"")*('Kunci Adjudikasi'!U34&lt;&gt;"")*('Kunci Adjudikasi'!O34='Kunci Adjudikasi'!U34)+('Kunci Adjudikasi'!$E$1&gt;=3)*('Kunci Adjudikasi'!O34&lt;&gt;"")*('Kunci Adjudikasi'!AA34&lt;&gt;"")*('Kunci Adjudikasi'!O34='Kunci Adjudikasi'!AA34)+('Kunci Adjudikasi'!$E$1&gt;=4)*('Kunci Adjudikasi'!O34&lt;&gt;"")*('Kunci Adjudikasi'!AG34&lt;&gt;"")*('Kunci Adjudikasi'!O34='Kunci Adjudikasi'!AG34)+('Kunci Adjudikasi'!$E$1&gt;=3)*('Kunci Adjudikasi'!U34&lt;&gt;"")*('Kunci Adjudikasi'!AA34&lt;&gt;"")*('Kunci Adjudikasi'!U34='Kunci Adjudikasi'!AA34)+('Kunci Adjudikasi'!$E$1&gt;=4)*('Kunci Adjudikasi'!U34&lt;&gt;"")*('Kunci Adjudikasi'!AG34&lt;&gt;"")*('Kunci Adjudikasi'!U34='Kunci Adjudikasi'!AG34)+('Kunci Adjudikasi'!$E$1&gt;=4)*('Kunci Adjudikasi'!AA34&lt;&gt;"")*('Kunci Adjudikasi'!AG34&lt;&gt;"")*('Kunci Adjudikasi'!AA34='Kunci Adjudikasi'!AG34)))/(F34-1),0)</f>
        <v>0</v>
      </c>
      <c r="H34" s="20">
        <f>('Kunci Adjudikasi'!P34&lt;&gt;"")+('Kunci Adjudikasi'!V34&lt;&gt;"")+('Kunci Adjudikasi'!$E$1&gt;=3)*('Kunci Adjudikasi'!AB34&lt;&gt;"")+('Kunci Adjudikasi'!$E$1&gt;=4)*('Kunci Adjudikasi'!AH34&lt;&gt;"")</f>
        <v>0</v>
      </c>
      <c r="I34" s="20">
        <f>IF(H34&gt;=2,(H34*(H34-1)/2-(('Kunci Adjudikasi'!P34&lt;&gt;"")*('Kunci Adjudikasi'!V34&lt;&gt;"")*('Kunci Adjudikasi'!P34='Kunci Adjudikasi'!V34)+('Kunci Adjudikasi'!$E$1&gt;=3)*('Kunci Adjudikasi'!P34&lt;&gt;"")*('Kunci Adjudikasi'!AB34&lt;&gt;"")*('Kunci Adjudikasi'!P34='Kunci Adjudikasi'!AB34)+('Kunci Adjudikasi'!$E$1&gt;=4)*('Kunci Adjudikasi'!P34&lt;&gt;"")*('Kunci Adjudikasi'!AH34&lt;&gt;"")*('Kunci Adjudikasi'!P34='Kunci Adjudikasi'!AH34)+('Kunci Adjudikasi'!$E$1&gt;=3)*('Kunci Adjudikasi'!V34&lt;&gt;"")*('Kunci Adjudikasi'!AB34&lt;&gt;"")*('Kunci Adjudikasi'!V34='Kunci Adjudikasi'!AB34)+('Kunci Adjudikasi'!$E$1&gt;=4)*('Kunci Adjudikasi'!V34&lt;&gt;"")*('Kunci Adjudikasi'!AH34&lt;&gt;"")*('Kunci Adjudikasi'!V34='Kunci Adjudikasi'!AH34)+('Kunci Adjudikasi'!$E$1&gt;=4)*('Kunci Adjudikasi'!AB34&lt;&gt;"")*('Kunci Adjudikasi'!AH34&lt;&gt;"")*('Kunci Adjudikasi'!AB34='Kunci Adjudikasi'!AH34)))/(H34-1),0)</f>
        <v>0</v>
      </c>
      <c r="J34" s="20">
        <f>('Kunci Adjudikasi'!Q34&lt;&gt;"")+('Kunci Adjudikasi'!W34&lt;&gt;"")+('Kunci Adjudikasi'!$E$1&gt;=3)*('Kunci Adjudikasi'!AC34&lt;&gt;"")+('Kunci Adjudikasi'!$E$1&gt;=4)*('Kunci Adjudikasi'!AI34&lt;&gt;"")</f>
        <v>0</v>
      </c>
      <c r="K34" s="20">
        <f>IF(J34&gt;=2,(J34*(J34-1)/2-(('Kunci Adjudikasi'!Q34&lt;&gt;"")*('Kunci Adjudikasi'!W34&lt;&gt;"")*('Kunci Adjudikasi'!Q34='Kunci Adjudikasi'!W34)+('Kunci Adjudikasi'!$E$1&gt;=3)*('Kunci Adjudikasi'!Q34&lt;&gt;"")*('Kunci Adjudikasi'!AC34&lt;&gt;"")*('Kunci Adjudikasi'!Q34='Kunci Adjudikasi'!AC34)+('Kunci Adjudikasi'!$E$1&gt;=4)*('Kunci Adjudikasi'!Q34&lt;&gt;"")*('Kunci Adjudikasi'!AI34&lt;&gt;"")*('Kunci Adjudikasi'!Q34='Kunci Adjudikasi'!AI34)+('Kunci Adjudikasi'!$E$1&gt;=3)*('Kunci Adjudikasi'!W34&lt;&gt;"")*('Kunci Adjudikasi'!AC34&lt;&gt;"")*('Kunci Adjudikasi'!W34='Kunci Adjudikasi'!AC34)+('Kunci Adjudikasi'!$E$1&gt;=4)*('Kunci Adjudikasi'!W34&lt;&gt;"")*('Kunci Adjudikasi'!AI34&lt;&gt;"")*('Kunci Adjudikasi'!W34='Kunci Adjudikasi'!AI34)+('Kunci Adjudikasi'!$E$1&gt;=4)*('Kunci Adjudikasi'!AC34&lt;&gt;"")*('Kunci Adjudikasi'!AI34&lt;&gt;"")*('Kunci Adjudikasi'!AC34='Kunci Adjudikasi'!AI34)))/(J34-1),0)</f>
        <v>0</v>
      </c>
      <c r="L34" s="20">
        <f>('Kunci Adjudikasi'!R34&lt;&gt;"")+('Kunci Adjudikasi'!X34&lt;&gt;"")+('Kunci Adjudikasi'!$E$1&gt;=3)*('Kunci Adjudikasi'!AD34&lt;&gt;"")+('Kunci Adjudikasi'!$E$1&gt;=4)*('Kunci Adjudikasi'!AJ34&lt;&gt;"")</f>
        <v>0</v>
      </c>
      <c r="M34" s="20">
        <f>IF(L34&gt;=2,(L34*(L34-1)/2-(('Kunci Adjudikasi'!R34&lt;&gt;"")*('Kunci Adjudikasi'!X34&lt;&gt;"")*('Kunci Adjudikasi'!R34='Kunci Adjudikasi'!X34)+('Kunci Adjudikasi'!$E$1&gt;=3)*('Kunci Adjudikasi'!R34&lt;&gt;"")*('Kunci Adjudikasi'!AD34&lt;&gt;"")*('Kunci Adjudikasi'!R34='Kunci Adjudikasi'!AD34)+('Kunci Adjudikasi'!$E$1&gt;=4)*('Kunci Adjudikasi'!R34&lt;&gt;"")*('Kunci Adjudikasi'!AJ34&lt;&gt;"")*('Kunci Adjudikasi'!R34='Kunci Adjudikasi'!AJ34)+('Kunci Adjudikasi'!$E$1&gt;=3)*('Kunci Adjudikasi'!X34&lt;&gt;"")*('Kunci Adjudikasi'!AD34&lt;&gt;"")*('Kunci Adjudikasi'!X34='Kunci Adjudikasi'!AD34)+('Kunci Adjudikasi'!$E$1&gt;=4)*('Kunci Adjudikasi'!X34&lt;&gt;"")*('Kunci Adjudikasi'!AJ34&lt;&gt;"")*('Kunci Adjudikasi'!X34='Kunci Adjudikasi'!AJ34)+('Kunci Adjudikasi'!$E$1&gt;=4)*('Kunci Adjudikasi'!AD34&lt;&gt;"")*('Kunci Adjudikasi'!AJ34&lt;&gt;"")*('Kunci Adjudikasi'!AD34='Kunci Adjudikasi'!AJ34)))/(L34-1),0)</f>
        <v>0</v>
      </c>
      <c r="N34" s="20">
        <f>(LEFT('Kunci Adjudikasi'!N34,2)="R0")+(LEFT('Kunci Adjudikasi'!T34,2)="R0")+('Kunci Adjudikasi'!$E$1&gt;=3)*(LEFT('Kunci Adjudikasi'!Z34,2)="R0")+('Kunci Adjudikasi'!$E$1&gt;=4)*(LEFT('Kunci Adjudikasi'!AF34,2)="R0")</f>
        <v>0</v>
      </c>
      <c r="O34" s="20">
        <f>(LEFT('Kunci Adjudikasi'!N34,2)="R1")+(LEFT('Kunci Adjudikasi'!T34,2)="R1")+('Kunci Adjudikasi'!$E$1&gt;=3)*(LEFT('Kunci Adjudikasi'!Z34,2)="R1")+('Kunci Adjudikasi'!$E$1&gt;=4)*(LEFT('Kunci Adjudikasi'!AF34,2)="R1")</f>
        <v>0</v>
      </c>
      <c r="P34" s="20">
        <f>(LEFT('Kunci Adjudikasi'!N34,2)="R2")+(LEFT('Kunci Adjudikasi'!T34,2)="R2")+('Kunci Adjudikasi'!$E$1&gt;=3)*(LEFT('Kunci Adjudikasi'!Z34,2)="R2")+('Kunci Adjudikasi'!$E$1&gt;=4)*(LEFT('Kunci Adjudikasi'!AF34,2)="R2")</f>
        <v>0</v>
      </c>
      <c r="Q34" s="20">
        <f t="shared" si="43"/>
        <v>0</v>
      </c>
      <c r="R34" s="20">
        <f t="shared" si="44"/>
        <v>0</v>
      </c>
      <c r="S34" s="20">
        <f t="shared" si="45"/>
        <v>0</v>
      </c>
    </row>
    <row r="35">
      <c r="A35" s="20">
        <f>'Kunci Adjudikasi'!A35</f>
        <v>32</v>
      </c>
      <c r="B35" s="20">
        <f>('Kunci Adjudikasi'!M35&lt;&gt;"")+('Kunci Adjudikasi'!S35&lt;&gt;"")+('Kunci Adjudikasi'!$E$1&gt;=3)*('Kunci Adjudikasi'!Y35&lt;&gt;"")+('Kunci Adjudikasi'!$E$1&gt;=4)*('Kunci Adjudikasi'!AE35&lt;&gt;"")</f>
        <v>1</v>
      </c>
      <c r="C35" s="20">
        <f>IF(B35&gt;=2,(B35*(B35-1)/2-(('Kunci Adjudikasi'!M35&lt;&gt;"")*('Kunci Adjudikasi'!S35&lt;&gt;"")*('Kunci Adjudikasi'!M35='Kunci Adjudikasi'!S35)+('Kunci Adjudikasi'!$E$1&gt;=3)*('Kunci Adjudikasi'!M35&lt;&gt;"")*('Kunci Adjudikasi'!Y35&lt;&gt;"")*('Kunci Adjudikasi'!M35='Kunci Adjudikasi'!Y35)+('Kunci Adjudikasi'!$E$1&gt;=4)*('Kunci Adjudikasi'!M35&lt;&gt;"")*('Kunci Adjudikasi'!AE35&lt;&gt;"")*('Kunci Adjudikasi'!M35='Kunci Adjudikasi'!AE35)+('Kunci Adjudikasi'!$E$1&gt;=3)*('Kunci Adjudikasi'!S35&lt;&gt;"")*('Kunci Adjudikasi'!Y35&lt;&gt;"")*('Kunci Adjudikasi'!S35='Kunci Adjudikasi'!Y35)+('Kunci Adjudikasi'!$E$1&gt;=4)*('Kunci Adjudikasi'!S35&lt;&gt;"")*('Kunci Adjudikasi'!AE35&lt;&gt;"")*('Kunci Adjudikasi'!S35='Kunci Adjudikasi'!AE35)+('Kunci Adjudikasi'!$E$1&gt;=4)*('Kunci Adjudikasi'!Y35&lt;&gt;"")*('Kunci Adjudikasi'!AE35&lt;&gt;"")*('Kunci Adjudikasi'!Y35='Kunci Adjudikasi'!AE35)))/(B35-1),0)</f>
        <v>0</v>
      </c>
      <c r="D35" s="20">
        <f>('Kunci Adjudikasi'!N35&lt;&gt;"")+('Kunci Adjudikasi'!T35&lt;&gt;"")+('Kunci Adjudikasi'!$E$1&gt;=3)*('Kunci Adjudikasi'!Z35&lt;&gt;"")+('Kunci Adjudikasi'!$E$1&gt;=4)*('Kunci Adjudikasi'!AF35&lt;&gt;"")</f>
        <v>1</v>
      </c>
      <c r="E35" s="20">
        <f>IF(D35&gt;=2,(D35*(D35-1)/2-(('Kunci Adjudikasi'!N35&lt;&gt;"")*('Kunci Adjudikasi'!T35&lt;&gt;"")*('Kunci Adjudikasi'!N35='Kunci Adjudikasi'!T35)+('Kunci Adjudikasi'!$E$1&gt;=3)*('Kunci Adjudikasi'!N35&lt;&gt;"")*('Kunci Adjudikasi'!Z35&lt;&gt;"")*('Kunci Adjudikasi'!N35='Kunci Adjudikasi'!Z35)+('Kunci Adjudikasi'!$E$1&gt;=4)*('Kunci Adjudikasi'!N35&lt;&gt;"")*('Kunci Adjudikasi'!AF35&lt;&gt;"")*('Kunci Adjudikasi'!N35='Kunci Adjudikasi'!AF35)+('Kunci Adjudikasi'!$E$1&gt;=3)*('Kunci Adjudikasi'!T35&lt;&gt;"")*('Kunci Adjudikasi'!Z35&lt;&gt;"")*('Kunci Adjudikasi'!T35='Kunci Adjudikasi'!Z35)+('Kunci Adjudikasi'!$E$1&gt;=4)*('Kunci Adjudikasi'!T35&lt;&gt;"")*('Kunci Adjudikasi'!AF35&lt;&gt;"")*('Kunci Adjudikasi'!T35='Kunci Adjudikasi'!AF35)+('Kunci Adjudikasi'!$E$1&gt;=4)*('Kunci Adjudikasi'!Z35&lt;&gt;"")*('Kunci Adjudikasi'!AF35&lt;&gt;"")*('Kunci Adjudikasi'!Z35='Kunci Adjudikasi'!AF35)))/(D35-1),0)</f>
        <v>0</v>
      </c>
      <c r="F35" s="20">
        <f>('Kunci Adjudikasi'!O35&lt;&gt;"")+('Kunci Adjudikasi'!U35&lt;&gt;"")+('Kunci Adjudikasi'!$E$1&gt;=3)*('Kunci Adjudikasi'!AA35&lt;&gt;"")+('Kunci Adjudikasi'!$E$1&gt;=4)*('Kunci Adjudikasi'!AG35&lt;&gt;"")</f>
        <v>1</v>
      </c>
      <c r="G35" s="20">
        <f>IF(F35&gt;=2,(F35*(F35-1)/2-(('Kunci Adjudikasi'!O35&lt;&gt;"")*('Kunci Adjudikasi'!U35&lt;&gt;"")*('Kunci Adjudikasi'!O35='Kunci Adjudikasi'!U35)+('Kunci Adjudikasi'!$E$1&gt;=3)*('Kunci Adjudikasi'!O35&lt;&gt;"")*('Kunci Adjudikasi'!AA35&lt;&gt;"")*('Kunci Adjudikasi'!O35='Kunci Adjudikasi'!AA35)+('Kunci Adjudikasi'!$E$1&gt;=4)*('Kunci Adjudikasi'!O35&lt;&gt;"")*('Kunci Adjudikasi'!AG35&lt;&gt;"")*('Kunci Adjudikasi'!O35='Kunci Adjudikasi'!AG35)+('Kunci Adjudikasi'!$E$1&gt;=3)*('Kunci Adjudikasi'!U35&lt;&gt;"")*('Kunci Adjudikasi'!AA35&lt;&gt;"")*('Kunci Adjudikasi'!U35='Kunci Adjudikasi'!AA35)+('Kunci Adjudikasi'!$E$1&gt;=4)*('Kunci Adjudikasi'!U35&lt;&gt;"")*('Kunci Adjudikasi'!AG35&lt;&gt;"")*('Kunci Adjudikasi'!U35='Kunci Adjudikasi'!AG35)+('Kunci Adjudikasi'!$E$1&gt;=4)*('Kunci Adjudikasi'!AA35&lt;&gt;"")*('Kunci Adjudikasi'!AG35&lt;&gt;"")*('Kunci Adjudikasi'!AA35='Kunci Adjudikasi'!AG35)))/(F35-1),0)</f>
        <v>0</v>
      </c>
      <c r="H35" s="20">
        <f>('Kunci Adjudikasi'!P35&lt;&gt;"")+('Kunci Adjudikasi'!V35&lt;&gt;"")+('Kunci Adjudikasi'!$E$1&gt;=3)*('Kunci Adjudikasi'!AB35&lt;&gt;"")+('Kunci Adjudikasi'!$E$1&gt;=4)*('Kunci Adjudikasi'!AH35&lt;&gt;"")</f>
        <v>1</v>
      </c>
      <c r="I35" s="20">
        <f>IF(H35&gt;=2,(H35*(H35-1)/2-(('Kunci Adjudikasi'!P35&lt;&gt;"")*('Kunci Adjudikasi'!V35&lt;&gt;"")*('Kunci Adjudikasi'!P35='Kunci Adjudikasi'!V35)+('Kunci Adjudikasi'!$E$1&gt;=3)*('Kunci Adjudikasi'!P35&lt;&gt;"")*('Kunci Adjudikasi'!AB35&lt;&gt;"")*('Kunci Adjudikasi'!P35='Kunci Adjudikasi'!AB35)+('Kunci Adjudikasi'!$E$1&gt;=4)*('Kunci Adjudikasi'!P35&lt;&gt;"")*('Kunci Adjudikasi'!AH35&lt;&gt;"")*('Kunci Adjudikasi'!P35='Kunci Adjudikasi'!AH35)+('Kunci Adjudikasi'!$E$1&gt;=3)*('Kunci Adjudikasi'!V35&lt;&gt;"")*('Kunci Adjudikasi'!AB35&lt;&gt;"")*('Kunci Adjudikasi'!V35='Kunci Adjudikasi'!AB35)+('Kunci Adjudikasi'!$E$1&gt;=4)*('Kunci Adjudikasi'!V35&lt;&gt;"")*('Kunci Adjudikasi'!AH35&lt;&gt;"")*('Kunci Adjudikasi'!V35='Kunci Adjudikasi'!AH35)+('Kunci Adjudikasi'!$E$1&gt;=4)*('Kunci Adjudikasi'!AB35&lt;&gt;"")*('Kunci Adjudikasi'!AH35&lt;&gt;"")*('Kunci Adjudikasi'!AB35='Kunci Adjudikasi'!AH35)))/(H35-1),0)</f>
        <v>0</v>
      </c>
      <c r="J35" s="20">
        <f>('Kunci Adjudikasi'!Q35&lt;&gt;"")+('Kunci Adjudikasi'!W35&lt;&gt;"")+('Kunci Adjudikasi'!$E$1&gt;=3)*('Kunci Adjudikasi'!AC35&lt;&gt;"")+('Kunci Adjudikasi'!$E$1&gt;=4)*('Kunci Adjudikasi'!AI35&lt;&gt;"")</f>
        <v>1</v>
      </c>
      <c r="K35" s="20">
        <f>IF(J35&gt;=2,(J35*(J35-1)/2-(('Kunci Adjudikasi'!Q35&lt;&gt;"")*('Kunci Adjudikasi'!W35&lt;&gt;"")*('Kunci Adjudikasi'!Q35='Kunci Adjudikasi'!W35)+('Kunci Adjudikasi'!$E$1&gt;=3)*('Kunci Adjudikasi'!Q35&lt;&gt;"")*('Kunci Adjudikasi'!AC35&lt;&gt;"")*('Kunci Adjudikasi'!Q35='Kunci Adjudikasi'!AC35)+('Kunci Adjudikasi'!$E$1&gt;=4)*('Kunci Adjudikasi'!Q35&lt;&gt;"")*('Kunci Adjudikasi'!AI35&lt;&gt;"")*('Kunci Adjudikasi'!Q35='Kunci Adjudikasi'!AI35)+('Kunci Adjudikasi'!$E$1&gt;=3)*('Kunci Adjudikasi'!W35&lt;&gt;"")*('Kunci Adjudikasi'!AC35&lt;&gt;"")*('Kunci Adjudikasi'!W35='Kunci Adjudikasi'!AC35)+('Kunci Adjudikasi'!$E$1&gt;=4)*('Kunci Adjudikasi'!W35&lt;&gt;"")*('Kunci Adjudikasi'!AI35&lt;&gt;"")*('Kunci Adjudikasi'!W35='Kunci Adjudikasi'!AI35)+('Kunci Adjudikasi'!$E$1&gt;=4)*('Kunci Adjudikasi'!AC35&lt;&gt;"")*('Kunci Adjudikasi'!AI35&lt;&gt;"")*('Kunci Adjudikasi'!AC35='Kunci Adjudikasi'!AI35)))/(J35-1),0)</f>
        <v>0</v>
      </c>
      <c r="L35" s="20">
        <f>('Kunci Adjudikasi'!R35&lt;&gt;"")+('Kunci Adjudikasi'!X35&lt;&gt;"")+('Kunci Adjudikasi'!$E$1&gt;=3)*('Kunci Adjudikasi'!AD35&lt;&gt;"")+('Kunci Adjudikasi'!$E$1&gt;=4)*('Kunci Adjudikasi'!AJ35&lt;&gt;"")</f>
        <v>1</v>
      </c>
      <c r="M35" s="20">
        <f>IF(L35&gt;=2,(L35*(L35-1)/2-(('Kunci Adjudikasi'!R35&lt;&gt;"")*('Kunci Adjudikasi'!X35&lt;&gt;"")*('Kunci Adjudikasi'!R35='Kunci Adjudikasi'!X35)+('Kunci Adjudikasi'!$E$1&gt;=3)*('Kunci Adjudikasi'!R35&lt;&gt;"")*('Kunci Adjudikasi'!AD35&lt;&gt;"")*('Kunci Adjudikasi'!R35='Kunci Adjudikasi'!AD35)+('Kunci Adjudikasi'!$E$1&gt;=4)*('Kunci Adjudikasi'!R35&lt;&gt;"")*('Kunci Adjudikasi'!AJ35&lt;&gt;"")*('Kunci Adjudikasi'!R35='Kunci Adjudikasi'!AJ35)+('Kunci Adjudikasi'!$E$1&gt;=3)*('Kunci Adjudikasi'!X35&lt;&gt;"")*('Kunci Adjudikasi'!AD35&lt;&gt;"")*('Kunci Adjudikasi'!X35='Kunci Adjudikasi'!AD35)+('Kunci Adjudikasi'!$E$1&gt;=4)*('Kunci Adjudikasi'!X35&lt;&gt;"")*('Kunci Adjudikasi'!AJ35&lt;&gt;"")*('Kunci Adjudikasi'!X35='Kunci Adjudikasi'!AJ35)+('Kunci Adjudikasi'!$E$1&gt;=4)*('Kunci Adjudikasi'!AD35&lt;&gt;"")*('Kunci Adjudikasi'!AJ35&lt;&gt;"")*('Kunci Adjudikasi'!AD35='Kunci Adjudikasi'!AJ35)))/(L35-1),0)</f>
        <v>0</v>
      </c>
      <c r="N35" s="20">
        <f>(LEFT('Kunci Adjudikasi'!N35,2)="R0")+(LEFT('Kunci Adjudikasi'!T35,2)="R0")+('Kunci Adjudikasi'!$E$1&gt;=3)*(LEFT('Kunci Adjudikasi'!Z35,2)="R0")+('Kunci Adjudikasi'!$E$1&gt;=4)*(LEFT('Kunci Adjudikasi'!AF35,2)="R0")</f>
        <v>0</v>
      </c>
      <c r="O35" s="20">
        <f>(LEFT('Kunci Adjudikasi'!N35,2)="R1")+(LEFT('Kunci Adjudikasi'!T35,2)="R1")+('Kunci Adjudikasi'!$E$1&gt;=3)*(LEFT('Kunci Adjudikasi'!Z35,2)="R1")+('Kunci Adjudikasi'!$E$1&gt;=4)*(LEFT('Kunci Adjudikasi'!AF35,2)="R1")</f>
        <v>0</v>
      </c>
      <c r="P35" s="20">
        <f>(LEFT('Kunci Adjudikasi'!N35,2)="R2")+(LEFT('Kunci Adjudikasi'!T35,2)="R2")+('Kunci Adjudikasi'!$E$1&gt;=3)*(LEFT('Kunci Adjudikasi'!Z35,2)="R2")+('Kunci Adjudikasi'!$E$1&gt;=4)*(LEFT('Kunci Adjudikasi'!AF35,2)="R2")</f>
        <v>1</v>
      </c>
      <c r="Q35" s="20">
        <f t="shared" si="43"/>
        <v>0</v>
      </c>
      <c r="R35" s="20">
        <f t="shared" si="44"/>
        <v>0</v>
      </c>
      <c r="S35" s="20">
        <f t="shared" si="45"/>
        <v>0</v>
      </c>
    </row>
    <row r="36">
      <c r="A36" s="20">
        <f>'Kunci Adjudikasi'!A36</f>
        <v>33</v>
      </c>
      <c r="B36" s="20">
        <f>('Kunci Adjudikasi'!M36&lt;&gt;"")+('Kunci Adjudikasi'!S36&lt;&gt;"")+('Kunci Adjudikasi'!$E$1&gt;=3)*('Kunci Adjudikasi'!Y36&lt;&gt;"")+('Kunci Adjudikasi'!$E$1&gt;=4)*('Kunci Adjudikasi'!AE36&lt;&gt;"")</f>
        <v>0</v>
      </c>
      <c r="C36" s="20">
        <f>IF(B36&gt;=2,(B36*(B36-1)/2-(('Kunci Adjudikasi'!M36&lt;&gt;"")*('Kunci Adjudikasi'!S36&lt;&gt;"")*('Kunci Adjudikasi'!M36='Kunci Adjudikasi'!S36)+('Kunci Adjudikasi'!$E$1&gt;=3)*('Kunci Adjudikasi'!M36&lt;&gt;"")*('Kunci Adjudikasi'!Y36&lt;&gt;"")*('Kunci Adjudikasi'!M36='Kunci Adjudikasi'!Y36)+('Kunci Adjudikasi'!$E$1&gt;=4)*('Kunci Adjudikasi'!M36&lt;&gt;"")*('Kunci Adjudikasi'!AE36&lt;&gt;"")*('Kunci Adjudikasi'!M36='Kunci Adjudikasi'!AE36)+('Kunci Adjudikasi'!$E$1&gt;=3)*('Kunci Adjudikasi'!S36&lt;&gt;"")*('Kunci Adjudikasi'!Y36&lt;&gt;"")*('Kunci Adjudikasi'!S36='Kunci Adjudikasi'!Y36)+('Kunci Adjudikasi'!$E$1&gt;=4)*('Kunci Adjudikasi'!S36&lt;&gt;"")*('Kunci Adjudikasi'!AE36&lt;&gt;"")*('Kunci Adjudikasi'!S36='Kunci Adjudikasi'!AE36)+('Kunci Adjudikasi'!$E$1&gt;=4)*('Kunci Adjudikasi'!Y36&lt;&gt;"")*('Kunci Adjudikasi'!AE36&lt;&gt;"")*('Kunci Adjudikasi'!Y36='Kunci Adjudikasi'!AE36)))/(B36-1),0)</f>
        <v>0</v>
      </c>
      <c r="D36" s="20">
        <f>('Kunci Adjudikasi'!N36&lt;&gt;"")+('Kunci Adjudikasi'!T36&lt;&gt;"")+('Kunci Adjudikasi'!$E$1&gt;=3)*('Kunci Adjudikasi'!Z36&lt;&gt;"")+('Kunci Adjudikasi'!$E$1&gt;=4)*('Kunci Adjudikasi'!AF36&lt;&gt;"")</f>
        <v>0</v>
      </c>
      <c r="E36" s="20">
        <f>IF(D36&gt;=2,(D36*(D36-1)/2-(('Kunci Adjudikasi'!N36&lt;&gt;"")*('Kunci Adjudikasi'!T36&lt;&gt;"")*('Kunci Adjudikasi'!N36='Kunci Adjudikasi'!T36)+('Kunci Adjudikasi'!$E$1&gt;=3)*('Kunci Adjudikasi'!N36&lt;&gt;"")*('Kunci Adjudikasi'!Z36&lt;&gt;"")*('Kunci Adjudikasi'!N36='Kunci Adjudikasi'!Z36)+('Kunci Adjudikasi'!$E$1&gt;=4)*('Kunci Adjudikasi'!N36&lt;&gt;"")*('Kunci Adjudikasi'!AF36&lt;&gt;"")*('Kunci Adjudikasi'!N36='Kunci Adjudikasi'!AF36)+('Kunci Adjudikasi'!$E$1&gt;=3)*('Kunci Adjudikasi'!T36&lt;&gt;"")*('Kunci Adjudikasi'!Z36&lt;&gt;"")*('Kunci Adjudikasi'!T36='Kunci Adjudikasi'!Z36)+('Kunci Adjudikasi'!$E$1&gt;=4)*('Kunci Adjudikasi'!T36&lt;&gt;"")*('Kunci Adjudikasi'!AF36&lt;&gt;"")*('Kunci Adjudikasi'!T36='Kunci Adjudikasi'!AF36)+('Kunci Adjudikasi'!$E$1&gt;=4)*('Kunci Adjudikasi'!Z36&lt;&gt;"")*('Kunci Adjudikasi'!AF36&lt;&gt;"")*('Kunci Adjudikasi'!Z36='Kunci Adjudikasi'!AF36)))/(D36-1),0)</f>
        <v>0</v>
      </c>
      <c r="F36" s="20">
        <f>('Kunci Adjudikasi'!O36&lt;&gt;"")+('Kunci Adjudikasi'!U36&lt;&gt;"")+('Kunci Adjudikasi'!$E$1&gt;=3)*('Kunci Adjudikasi'!AA36&lt;&gt;"")+('Kunci Adjudikasi'!$E$1&gt;=4)*('Kunci Adjudikasi'!AG36&lt;&gt;"")</f>
        <v>0</v>
      </c>
      <c r="G36" s="20">
        <f>IF(F36&gt;=2,(F36*(F36-1)/2-(('Kunci Adjudikasi'!O36&lt;&gt;"")*('Kunci Adjudikasi'!U36&lt;&gt;"")*('Kunci Adjudikasi'!O36='Kunci Adjudikasi'!U36)+('Kunci Adjudikasi'!$E$1&gt;=3)*('Kunci Adjudikasi'!O36&lt;&gt;"")*('Kunci Adjudikasi'!AA36&lt;&gt;"")*('Kunci Adjudikasi'!O36='Kunci Adjudikasi'!AA36)+('Kunci Adjudikasi'!$E$1&gt;=4)*('Kunci Adjudikasi'!O36&lt;&gt;"")*('Kunci Adjudikasi'!AG36&lt;&gt;"")*('Kunci Adjudikasi'!O36='Kunci Adjudikasi'!AG36)+('Kunci Adjudikasi'!$E$1&gt;=3)*('Kunci Adjudikasi'!U36&lt;&gt;"")*('Kunci Adjudikasi'!AA36&lt;&gt;"")*('Kunci Adjudikasi'!U36='Kunci Adjudikasi'!AA36)+('Kunci Adjudikasi'!$E$1&gt;=4)*('Kunci Adjudikasi'!U36&lt;&gt;"")*('Kunci Adjudikasi'!AG36&lt;&gt;"")*('Kunci Adjudikasi'!U36='Kunci Adjudikasi'!AG36)+('Kunci Adjudikasi'!$E$1&gt;=4)*('Kunci Adjudikasi'!AA36&lt;&gt;"")*('Kunci Adjudikasi'!AG36&lt;&gt;"")*('Kunci Adjudikasi'!AA36='Kunci Adjudikasi'!AG36)))/(F36-1),0)</f>
        <v>0</v>
      </c>
      <c r="H36" s="20">
        <f>('Kunci Adjudikasi'!P36&lt;&gt;"")+('Kunci Adjudikasi'!V36&lt;&gt;"")+('Kunci Adjudikasi'!$E$1&gt;=3)*('Kunci Adjudikasi'!AB36&lt;&gt;"")+('Kunci Adjudikasi'!$E$1&gt;=4)*('Kunci Adjudikasi'!AH36&lt;&gt;"")</f>
        <v>0</v>
      </c>
      <c r="I36" s="20">
        <f>IF(H36&gt;=2,(H36*(H36-1)/2-(('Kunci Adjudikasi'!P36&lt;&gt;"")*('Kunci Adjudikasi'!V36&lt;&gt;"")*('Kunci Adjudikasi'!P36='Kunci Adjudikasi'!V36)+('Kunci Adjudikasi'!$E$1&gt;=3)*('Kunci Adjudikasi'!P36&lt;&gt;"")*('Kunci Adjudikasi'!AB36&lt;&gt;"")*('Kunci Adjudikasi'!P36='Kunci Adjudikasi'!AB36)+('Kunci Adjudikasi'!$E$1&gt;=4)*('Kunci Adjudikasi'!P36&lt;&gt;"")*('Kunci Adjudikasi'!AH36&lt;&gt;"")*('Kunci Adjudikasi'!P36='Kunci Adjudikasi'!AH36)+('Kunci Adjudikasi'!$E$1&gt;=3)*('Kunci Adjudikasi'!V36&lt;&gt;"")*('Kunci Adjudikasi'!AB36&lt;&gt;"")*('Kunci Adjudikasi'!V36='Kunci Adjudikasi'!AB36)+('Kunci Adjudikasi'!$E$1&gt;=4)*('Kunci Adjudikasi'!V36&lt;&gt;"")*('Kunci Adjudikasi'!AH36&lt;&gt;"")*('Kunci Adjudikasi'!V36='Kunci Adjudikasi'!AH36)+('Kunci Adjudikasi'!$E$1&gt;=4)*('Kunci Adjudikasi'!AB36&lt;&gt;"")*('Kunci Adjudikasi'!AH36&lt;&gt;"")*('Kunci Adjudikasi'!AB36='Kunci Adjudikasi'!AH36)))/(H36-1),0)</f>
        <v>0</v>
      </c>
      <c r="J36" s="20">
        <f>('Kunci Adjudikasi'!Q36&lt;&gt;"")+('Kunci Adjudikasi'!W36&lt;&gt;"")+('Kunci Adjudikasi'!$E$1&gt;=3)*('Kunci Adjudikasi'!AC36&lt;&gt;"")+('Kunci Adjudikasi'!$E$1&gt;=4)*('Kunci Adjudikasi'!AI36&lt;&gt;"")</f>
        <v>0</v>
      </c>
      <c r="K36" s="20">
        <f>IF(J36&gt;=2,(J36*(J36-1)/2-(('Kunci Adjudikasi'!Q36&lt;&gt;"")*('Kunci Adjudikasi'!W36&lt;&gt;"")*('Kunci Adjudikasi'!Q36='Kunci Adjudikasi'!W36)+('Kunci Adjudikasi'!$E$1&gt;=3)*('Kunci Adjudikasi'!Q36&lt;&gt;"")*('Kunci Adjudikasi'!AC36&lt;&gt;"")*('Kunci Adjudikasi'!Q36='Kunci Adjudikasi'!AC36)+('Kunci Adjudikasi'!$E$1&gt;=4)*('Kunci Adjudikasi'!Q36&lt;&gt;"")*('Kunci Adjudikasi'!AI36&lt;&gt;"")*('Kunci Adjudikasi'!Q36='Kunci Adjudikasi'!AI36)+('Kunci Adjudikasi'!$E$1&gt;=3)*('Kunci Adjudikasi'!W36&lt;&gt;"")*('Kunci Adjudikasi'!AC36&lt;&gt;"")*('Kunci Adjudikasi'!W36='Kunci Adjudikasi'!AC36)+('Kunci Adjudikasi'!$E$1&gt;=4)*('Kunci Adjudikasi'!W36&lt;&gt;"")*('Kunci Adjudikasi'!AI36&lt;&gt;"")*('Kunci Adjudikasi'!W36='Kunci Adjudikasi'!AI36)+('Kunci Adjudikasi'!$E$1&gt;=4)*('Kunci Adjudikasi'!AC36&lt;&gt;"")*('Kunci Adjudikasi'!AI36&lt;&gt;"")*('Kunci Adjudikasi'!AC36='Kunci Adjudikasi'!AI36)))/(J36-1),0)</f>
        <v>0</v>
      </c>
      <c r="L36" s="20">
        <f>('Kunci Adjudikasi'!R36&lt;&gt;"")+('Kunci Adjudikasi'!X36&lt;&gt;"")+('Kunci Adjudikasi'!$E$1&gt;=3)*('Kunci Adjudikasi'!AD36&lt;&gt;"")+('Kunci Adjudikasi'!$E$1&gt;=4)*('Kunci Adjudikasi'!AJ36&lt;&gt;"")</f>
        <v>0</v>
      </c>
      <c r="M36" s="20">
        <f>IF(L36&gt;=2,(L36*(L36-1)/2-(('Kunci Adjudikasi'!R36&lt;&gt;"")*('Kunci Adjudikasi'!X36&lt;&gt;"")*('Kunci Adjudikasi'!R36='Kunci Adjudikasi'!X36)+('Kunci Adjudikasi'!$E$1&gt;=3)*('Kunci Adjudikasi'!R36&lt;&gt;"")*('Kunci Adjudikasi'!AD36&lt;&gt;"")*('Kunci Adjudikasi'!R36='Kunci Adjudikasi'!AD36)+('Kunci Adjudikasi'!$E$1&gt;=4)*('Kunci Adjudikasi'!R36&lt;&gt;"")*('Kunci Adjudikasi'!AJ36&lt;&gt;"")*('Kunci Adjudikasi'!R36='Kunci Adjudikasi'!AJ36)+('Kunci Adjudikasi'!$E$1&gt;=3)*('Kunci Adjudikasi'!X36&lt;&gt;"")*('Kunci Adjudikasi'!AD36&lt;&gt;"")*('Kunci Adjudikasi'!X36='Kunci Adjudikasi'!AD36)+('Kunci Adjudikasi'!$E$1&gt;=4)*('Kunci Adjudikasi'!X36&lt;&gt;"")*('Kunci Adjudikasi'!AJ36&lt;&gt;"")*('Kunci Adjudikasi'!X36='Kunci Adjudikasi'!AJ36)+('Kunci Adjudikasi'!$E$1&gt;=4)*('Kunci Adjudikasi'!AD36&lt;&gt;"")*('Kunci Adjudikasi'!AJ36&lt;&gt;"")*('Kunci Adjudikasi'!AD36='Kunci Adjudikasi'!AJ36)))/(L36-1),0)</f>
        <v>0</v>
      </c>
      <c r="N36" s="20">
        <f>(LEFT('Kunci Adjudikasi'!N36,2)="R0")+(LEFT('Kunci Adjudikasi'!T36,2)="R0")+('Kunci Adjudikasi'!$E$1&gt;=3)*(LEFT('Kunci Adjudikasi'!Z36,2)="R0")+('Kunci Adjudikasi'!$E$1&gt;=4)*(LEFT('Kunci Adjudikasi'!AF36,2)="R0")</f>
        <v>0</v>
      </c>
      <c r="O36" s="20">
        <f>(LEFT('Kunci Adjudikasi'!N36,2)="R1")+(LEFT('Kunci Adjudikasi'!T36,2)="R1")+('Kunci Adjudikasi'!$E$1&gt;=3)*(LEFT('Kunci Adjudikasi'!Z36,2)="R1")+('Kunci Adjudikasi'!$E$1&gt;=4)*(LEFT('Kunci Adjudikasi'!AF36,2)="R1")</f>
        <v>0</v>
      </c>
      <c r="P36" s="20">
        <f>(LEFT('Kunci Adjudikasi'!N36,2)="R2")+(LEFT('Kunci Adjudikasi'!T36,2)="R2")+('Kunci Adjudikasi'!$E$1&gt;=3)*(LEFT('Kunci Adjudikasi'!Z36,2)="R2")+('Kunci Adjudikasi'!$E$1&gt;=4)*(LEFT('Kunci Adjudikasi'!AF36,2)="R2")</f>
        <v>0</v>
      </c>
      <c r="Q36" s="20">
        <f t="shared" si="43"/>
        <v>0</v>
      </c>
      <c r="R36" s="20">
        <f t="shared" si="44"/>
        <v>0</v>
      </c>
      <c r="S36" s="20">
        <f t="shared" si="45"/>
        <v>0</v>
      </c>
    </row>
    <row r="37">
      <c r="A37" s="20">
        <f>'Kunci Adjudikasi'!A37</f>
        <v>34</v>
      </c>
      <c r="B37" s="20">
        <f>('Kunci Adjudikasi'!M37&lt;&gt;"")+('Kunci Adjudikasi'!S37&lt;&gt;"")+('Kunci Adjudikasi'!$E$1&gt;=3)*('Kunci Adjudikasi'!Y37&lt;&gt;"")+('Kunci Adjudikasi'!$E$1&gt;=4)*('Kunci Adjudikasi'!AE37&lt;&gt;"")</f>
        <v>0</v>
      </c>
      <c r="C37" s="20">
        <f>IF(B37&gt;=2,(B37*(B37-1)/2-(('Kunci Adjudikasi'!M37&lt;&gt;"")*('Kunci Adjudikasi'!S37&lt;&gt;"")*('Kunci Adjudikasi'!M37='Kunci Adjudikasi'!S37)+('Kunci Adjudikasi'!$E$1&gt;=3)*('Kunci Adjudikasi'!M37&lt;&gt;"")*('Kunci Adjudikasi'!Y37&lt;&gt;"")*('Kunci Adjudikasi'!M37='Kunci Adjudikasi'!Y37)+('Kunci Adjudikasi'!$E$1&gt;=4)*('Kunci Adjudikasi'!M37&lt;&gt;"")*('Kunci Adjudikasi'!AE37&lt;&gt;"")*('Kunci Adjudikasi'!M37='Kunci Adjudikasi'!AE37)+('Kunci Adjudikasi'!$E$1&gt;=3)*('Kunci Adjudikasi'!S37&lt;&gt;"")*('Kunci Adjudikasi'!Y37&lt;&gt;"")*('Kunci Adjudikasi'!S37='Kunci Adjudikasi'!Y37)+('Kunci Adjudikasi'!$E$1&gt;=4)*('Kunci Adjudikasi'!S37&lt;&gt;"")*('Kunci Adjudikasi'!AE37&lt;&gt;"")*('Kunci Adjudikasi'!S37='Kunci Adjudikasi'!AE37)+('Kunci Adjudikasi'!$E$1&gt;=4)*('Kunci Adjudikasi'!Y37&lt;&gt;"")*('Kunci Adjudikasi'!AE37&lt;&gt;"")*('Kunci Adjudikasi'!Y37='Kunci Adjudikasi'!AE37)))/(B37-1),0)</f>
        <v>0</v>
      </c>
      <c r="D37" s="20">
        <f>('Kunci Adjudikasi'!N37&lt;&gt;"")+('Kunci Adjudikasi'!T37&lt;&gt;"")+('Kunci Adjudikasi'!$E$1&gt;=3)*('Kunci Adjudikasi'!Z37&lt;&gt;"")+('Kunci Adjudikasi'!$E$1&gt;=4)*('Kunci Adjudikasi'!AF37&lt;&gt;"")</f>
        <v>0</v>
      </c>
      <c r="E37" s="20">
        <f>IF(D37&gt;=2,(D37*(D37-1)/2-(('Kunci Adjudikasi'!N37&lt;&gt;"")*('Kunci Adjudikasi'!T37&lt;&gt;"")*('Kunci Adjudikasi'!N37='Kunci Adjudikasi'!T37)+('Kunci Adjudikasi'!$E$1&gt;=3)*('Kunci Adjudikasi'!N37&lt;&gt;"")*('Kunci Adjudikasi'!Z37&lt;&gt;"")*('Kunci Adjudikasi'!N37='Kunci Adjudikasi'!Z37)+('Kunci Adjudikasi'!$E$1&gt;=4)*('Kunci Adjudikasi'!N37&lt;&gt;"")*('Kunci Adjudikasi'!AF37&lt;&gt;"")*('Kunci Adjudikasi'!N37='Kunci Adjudikasi'!AF37)+('Kunci Adjudikasi'!$E$1&gt;=3)*('Kunci Adjudikasi'!T37&lt;&gt;"")*('Kunci Adjudikasi'!Z37&lt;&gt;"")*('Kunci Adjudikasi'!T37='Kunci Adjudikasi'!Z37)+('Kunci Adjudikasi'!$E$1&gt;=4)*('Kunci Adjudikasi'!T37&lt;&gt;"")*('Kunci Adjudikasi'!AF37&lt;&gt;"")*('Kunci Adjudikasi'!T37='Kunci Adjudikasi'!AF37)+('Kunci Adjudikasi'!$E$1&gt;=4)*('Kunci Adjudikasi'!Z37&lt;&gt;"")*('Kunci Adjudikasi'!AF37&lt;&gt;"")*('Kunci Adjudikasi'!Z37='Kunci Adjudikasi'!AF37)))/(D37-1),0)</f>
        <v>0</v>
      </c>
      <c r="F37" s="20">
        <f>('Kunci Adjudikasi'!O37&lt;&gt;"")+('Kunci Adjudikasi'!U37&lt;&gt;"")+('Kunci Adjudikasi'!$E$1&gt;=3)*('Kunci Adjudikasi'!AA37&lt;&gt;"")+('Kunci Adjudikasi'!$E$1&gt;=4)*('Kunci Adjudikasi'!AG37&lt;&gt;"")</f>
        <v>0</v>
      </c>
      <c r="G37" s="20">
        <f>IF(F37&gt;=2,(F37*(F37-1)/2-(('Kunci Adjudikasi'!O37&lt;&gt;"")*('Kunci Adjudikasi'!U37&lt;&gt;"")*('Kunci Adjudikasi'!O37='Kunci Adjudikasi'!U37)+('Kunci Adjudikasi'!$E$1&gt;=3)*('Kunci Adjudikasi'!O37&lt;&gt;"")*('Kunci Adjudikasi'!AA37&lt;&gt;"")*('Kunci Adjudikasi'!O37='Kunci Adjudikasi'!AA37)+('Kunci Adjudikasi'!$E$1&gt;=4)*('Kunci Adjudikasi'!O37&lt;&gt;"")*('Kunci Adjudikasi'!AG37&lt;&gt;"")*('Kunci Adjudikasi'!O37='Kunci Adjudikasi'!AG37)+('Kunci Adjudikasi'!$E$1&gt;=3)*('Kunci Adjudikasi'!U37&lt;&gt;"")*('Kunci Adjudikasi'!AA37&lt;&gt;"")*('Kunci Adjudikasi'!U37='Kunci Adjudikasi'!AA37)+('Kunci Adjudikasi'!$E$1&gt;=4)*('Kunci Adjudikasi'!U37&lt;&gt;"")*('Kunci Adjudikasi'!AG37&lt;&gt;"")*('Kunci Adjudikasi'!U37='Kunci Adjudikasi'!AG37)+('Kunci Adjudikasi'!$E$1&gt;=4)*('Kunci Adjudikasi'!AA37&lt;&gt;"")*('Kunci Adjudikasi'!AG37&lt;&gt;"")*('Kunci Adjudikasi'!AA37='Kunci Adjudikasi'!AG37)))/(F37-1),0)</f>
        <v>0</v>
      </c>
      <c r="H37" s="20">
        <f>('Kunci Adjudikasi'!P37&lt;&gt;"")+('Kunci Adjudikasi'!V37&lt;&gt;"")+('Kunci Adjudikasi'!$E$1&gt;=3)*('Kunci Adjudikasi'!AB37&lt;&gt;"")+('Kunci Adjudikasi'!$E$1&gt;=4)*('Kunci Adjudikasi'!AH37&lt;&gt;"")</f>
        <v>0</v>
      </c>
      <c r="I37" s="20">
        <f>IF(H37&gt;=2,(H37*(H37-1)/2-(('Kunci Adjudikasi'!P37&lt;&gt;"")*('Kunci Adjudikasi'!V37&lt;&gt;"")*('Kunci Adjudikasi'!P37='Kunci Adjudikasi'!V37)+('Kunci Adjudikasi'!$E$1&gt;=3)*('Kunci Adjudikasi'!P37&lt;&gt;"")*('Kunci Adjudikasi'!AB37&lt;&gt;"")*('Kunci Adjudikasi'!P37='Kunci Adjudikasi'!AB37)+('Kunci Adjudikasi'!$E$1&gt;=4)*('Kunci Adjudikasi'!P37&lt;&gt;"")*('Kunci Adjudikasi'!AH37&lt;&gt;"")*('Kunci Adjudikasi'!P37='Kunci Adjudikasi'!AH37)+('Kunci Adjudikasi'!$E$1&gt;=3)*('Kunci Adjudikasi'!V37&lt;&gt;"")*('Kunci Adjudikasi'!AB37&lt;&gt;"")*('Kunci Adjudikasi'!V37='Kunci Adjudikasi'!AB37)+('Kunci Adjudikasi'!$E$1&gt;=4)*('Kunci Adjudikasi'!V37&lt;&gt;"")*('Kunci Adjudikasi'!AH37&lt;&gt;"")*('Kunci Adjudikasi'!V37='Kunci Adjudikasi'!AH37)+('Kunci Adjudikasi'!$E$1&gt;=4)*('Kunci Adjudikasi'!AB37&lt;&gt;"")*('Kunci Adjudikasi'!AH37&lt;&gt;"")*('Kunci Adjudikasi'!AB37='Kunci Adjudikasi'!AH37)))/(H37-1),0)</f>
        <v>0</v>
      </c>
      <c r="J37" s="20">
        <f>('Kunci Adjudikasi'!Q37&lt;&gt;"")+('Kunci Adjudikasi'!W37&lt;&gt;"")+('Kunci Adjudikasi'!$E$1&gt;=3)*('Kunci Adjudikasi'!AC37&lt;&gt;"")+('Kunci Adjudikasi'!$E$1&gt;=4)*('Kunci Adjudikasi'!AI37&lt;&gt;"")</f>
        <v>0</v>
      </c>
      <c r="K37" s="20">
        <f>IF(J37&gt;=2,(J37*(J37-1)/2-(('Kunci Adjudikasi'!Q37&lt;&gt;"")*('Kunci Adjudikasi'!W37&lt;&gt;"")*('Kunci Adjudikasi'!Q37='Kunci Adjudikasi'!W37)+('Kunci Adjudikasi'!$E$1&gt;=3)*('Kunci Adjudikasi'!Q37&lt;&gt;"")*('Kunci Adjudikasi'!AC37&lt;&gt;"")*('Kunci Adjudikasi'!Q37='Kunci Adjudikasi'!AC37)+('Kunci Adjudikasi'!$E$1&gt;=4)*('Kunci Adjudikasi'!Q37&lt;&gt;"")*('Kunci Adjudikasi'!AI37&lt;&gt;"")*('Kunci Adjudikasi'!Q37='Kunci Adjudikasi'!AI37)+('Kunci Adjudikasi'!$E$1&gt;=3)*('Kunci Adjudikasi'!W37&lt;&gt;"")*('Kunci Adjudikasi'!AC37&lt;&gt;"")*('Kunci Adjudikasi'!W37='Kunci Adjudikasi'!AC37)+('Kunci Adjudikasi'!$E$1&gt;=4)*('Kunci Adjudikasi'!W37&lt;&gt;"")*('Kunci Adjudikasi'!AI37&lt;&gt;"")*('Kunci Adjudikasi'!W37='Kunci Adjudikasi'!AI37)+('Kunci Adjudikasi'!$E$1&gt;=4)*('Kunci Adjudikasi'!AC37&lt;&gt;"")*('Kunci Adjudikasi'!AI37&lt;&gt;"")*('Kunci Adjudikasi'!AC37='Kunci Adjudikasi'!AI37)))/(J37-1),0)</f>
        <v>0</v>
      </c>
      <c r="L37" s="20">
        <f>('Kunci Adjudikasi'!R37&lt;&gt;"")+('Kunci Adjudikasi'!X37&lt;&gt;"")+('Kunci Adjudikasi'!$E$1&gt;=3)*('Kunci Adjudikasi'!AD37&lt;&gt;"")+('Kunci Adjudikasi'!$E$1&gt;=4)*('Kunci Adjudikasi'!AJ37&lt;&gt;"")</f>
        <v>0</v>
      </c>
      <c r="M37" s="20">
        <f>IF(L37&gt;=2,(L37*(L37-1)/2-(('Kunci Adjudikasi'!R37&lt;&gt;"")*('Kunci Adjudikasi'!X37&lt;&gt;"")*('Kunci Adjudikasi'!R37='Kunci Adjudikasi'!X37)+('Kunci Adjudikasi'!$E$1&gt;=3)*('Kunci Adjudikasi'!R37&lt;&gt;"")*('Kunci Adjudikasi'!AD37&lt;&gt;"")*('Kunci Adjudikasi'!R37='Kunci Adjudikasi'!AD37)+('Kunci Adjudikasi'!$E$1&gt;=4)*('Kunci Adjudikasi'!R37&lt;&gt;"")*('Kunci Adjudikasi'!AJ37&lt;&gt;"")*('Kunci Adjudikasi'!R37='Kunci Adjudikasi'!AJ37)+('Kunci Adjudikasi'!$E$1&gt;=3)*('Kunci Adjudikasi'!X37&lt;&gt;"")*('Kunci Adjudikasi'!AD37&lt;&gt;"")*('Kunci Adjudikasi'!X37='Kunci Adjudikasi'!AD37)+('Kunci Adjudikasi'!$E$1&gt;=4)*('Kunci Adjudikasi'!X37&lt;&gt;"")*('Kunci Adjudikasi'!AJ37&lt;&gt;"")*('Kunci Adjudikasi'!X37='Kunci Adjudikasi'!AJ37)+('Kunci Adjudikasi'!$E$1&gt;=4)*('Kunci Adjudikasi'!AD37&lt;&gt;"")*('Kunci Adjudikasi'!AJ37&lt;&gt;"")*('Kunci Adjudikasi'!AD37='Kunci Adjudikasi'!AJ37)))/(L37-1),0)</f>
        <v>0</v>
      </c>
      <c r="N37" s="20">
        <f>(LEFT('Kunci Adjudikasi'!N37,2)="R0")+(LEFT('Kunci Adjudikasi'!T37,2)="R0")+('Kunci Adjudikasi'!$E$1&gt;=3)*(LEFT('Kunci Adjudikasi'!Z37,2)="R0")+('Kunci Adjudikasi'!$E$1&gt;=4)*(LEFT('Kunci Adjudikasi'!AF37,2)="R0")</f>
        <v>0</v>
      </c>
      <c r="O37" s="20">
        <f>(LEFT('Kunci Adjudikasi'!N37,2)="R1")+(LEFT('Kunci Adjudikasi'!T37,2)="R1")+('Kunci Adjudikasi'!$E$1&gt;=3)*(LEFT('Kunci Adjudikasi'!Z37,2)="R1")+('Kunci Adjudikasi'!$E$1&gt;=4)*(LEFT('Kunci Adjudikasi'!AF37,2)="R1")</f>
        <v>0</v>
      </c>
      <c r="P37" s="20">
        <f>(LEFT('Kunci Adjudikasi'!N37,2)="R2")+(LEFT('Kunci Adjudikasi'!T37,2)="R2")+('Kunci Adjudikasi'!$E$1&gt;=3)*(LEFT('Kunci Adjudikasi'!Z37,2)="R2")+('Kunci Adjudikasi'!$E$1&gt;=4)*(LEFT('Kunci Adjudikasi'!AF37,2)="R2")</f>
        <v>0</v>
      </c>
      <c r="Q37" s="20">
        <f t="shared" si="43"/>
        <v>0</v>
      </c>
      <c r="R37" s="20">
        <f t="shared" si="44"/>
        <v>0</v>
      </c>
      <c r="S37" s="20">
        <f t="shared" si="45"/>
        <v>0</v>
      </c>
    </row>
    <row r="38">
      <c r="A38" s="20">
        <f>'Kunci Adjudikasi'!A38</f>
        <v>35</v>
      </c>
      <c r="B38" s="20">
        <f>('Kunci Adjudikasi'!M38&lt;&gt;"")+('Kunci Adjudikasi'!S38&lt;&gt;"")+('Kunci Adjudikasi'!$E$1&gt;=3)*('Kunci Adjudikasi'!Y38&lt;&gt;"")+('Kunci Adjudikasi'!$E$1&gt;=4)*('Kunci Adjudikasi'!AE38&lt;&gt;"")</f>
        <v>1</v>
      </c>
      <c r="C38" s="20">
        <f>IF(B38&gt;=2,(B38*(B38-1)/2-(('Kunci Adjudikasi'!M38&lt;&gt;"")*('Kunci Adjudikasi'!S38&lt;&gt;"")*('Kunci Adjudikasi'!M38='Kunci Adjudikasi'!S38)+('Kunci Adjudikasi'!$E$1&gt;=3)*('Kunci Adjudikasi'!M38&lt;&gt;"")*('Kunci Adjudikasi'!Y38&lt;&gt;"")*('Kunci Adjudikasi'!M38='Kunci Adjudikasi'!Y38)+('Kunci Adjudikasi'!$E$1&gt;=4)*('Kunci Adjudikasi'!M38&lt;&gt;"")*('Kunci Adjudikasi'!AE38&lt;&gt;"")*('Kunci Adjudikasi'!M38='Kunci Adjudikasi'!AE38)+('Kunci Adjudikasi'!$E$1&gt;=3)*('Kunci Adjudikasi'!S38&lt;&gt;"")*('Kunci Adjudikasi'!Y38&lt;&gt;"")*('Kunci Adjudikasi'!S38='Kunci Adjudikasi'!Y38)+('Kunci Adjudikasi'!$E$1&gt;=4)*('Kunci Adjudikasi'!S38&lt;&gt;"")*('Kunci Adjudikasi'!AE38&lt;&gt;"")*('Kunci Adjudikasi'!S38='Kunci Adjudikasi'!AE38)+('Kunci Adjudikasi'!$E$1&gt;=4)*('Kunci Adjudikasi'!Y38&lt;&gt;"")*('Kunci Adjudikasi'!AE38&lt;&gt;"")*('Kunci Adjudikasi'!Y38='Kunci Adjudikasi'!AE38)))/(B38-1),0)</f>
        <v>0</v>
      </c>
      <c r="D38" s="20">
        <f>('Kunci Adjudikasi'!N38&lt;&gt;"")+('Kunci Adjudikasi'!T38&lt;&gt;"")+('Kunci Adjudikasi'!$E$1&gt;=3)*('Kunci Adjudikasi'!Z38&lt;&gt;"")+('Kunci Adjudikasi'!$E$1&gt;=4)*('Kunci Adjudikasi'!AF38&lt;&gt;"")</f>
        <v>1</v>
      </c>
      <c r="E38" s="20">
        <f>IF(D38&gt;=2,(D38*(D38-1)/2-(('Kunci Adjudikasi'!N38&lt;&gt;"")*('Kunci Adjudikasi'!T38&lt;&gt;"")*('Kunci Adjudikasi'!N38='Kunci Adjudikasi'!T38)+('Kunci Adjudikasi'!$E$1&gt;=3)*('Kunci Adjudikasi'!N38&lt;&gt;"")*('Kunci Adjudikasi'!Z38&lt;&gt;"")*('Kunci Adjudikasi'!N38='Kunci Adjudikasi'!Z38)+('Kunci Adjudikasi'!$E$1&gt;=4)*('Kunci Adjudikasi'!N38&lt;&gt;"")*('Kunci Adjudikasi'!AF38&lt;&gt;"")*('Kunci Adjudikasi'!N38='Kunci Adjudikasi'!AF38)+('Kunci Adjudikasi'!$E$1&gt;=3)*('Kunci Adjudikasi'!T38&lt;&gt;"")*('Kunci Adjudikasi'!Z38&lt;&gt;"")*('Kunci Adjudikasi'!T38='Kunci Adjudikasi'!Z38)+('Kunci Adjudikasi'!$E$1&gt;=4)*('Kunci Adjudikasi'!T38&lt;&gt;"")*('Kunci Adjudikasi'!AF38&lt;&gt;"")*('Kunci Adjudikasi'!T38='Kunci Adjudikasi'!AF38)+('Kunci Adjudikasi'!$E$1&gt;=4)*('Kunci Adjudikasi'!Z38&lt;&gt;"")*('Kunci Adjudikasi'!AF38&lt;&gt;"")*('Kunci Adjudikasi'!Z38='Kunci Adjudikasi'!AF38)))/(D38-1),0)</f>
        <v>0</v>
      </c>
      <c r="F38" s="20">
        <f>('Kunci Adjudikasi'!O38&lt;&gt;"")+('Kunci Adjudikasi'!U38&lt;&gt;"")+('Kunci Adjudikasi'!$E$1&gt;=3)*('Kunci Adjudikasi'!AA38&lt;&gt;"")+('Kunci Adjudikasi'!$E$1&gt;=4)*('Kunci Adjudikasi'!AG38&lt;&gt;"")</f>
        <v>1</v>
      </c>
      <c r="G38" s="20">
        <f>IF(F38&gt;=2,(F38*(F38-1)/2-(('Kunci Adjudikasi'!O38&lt;&gt;"")*('Kunci Adjudikasi'!U38&lt;&gt;"")*('Kunci Adjudikasi'!O38='Kunci Adjudikasi'!U38)+('Kunci Adjudikasi'!$E$1&gt;=3)*('Kunci Adjudikasi'!O38&lt;&gt;"")*('Kunci Adjudikasi'!AA38&lt;&gt;"")*('Kunci Adjudikasi'!O38='Kunci Adjudikasi'!AA38)+('Kunci Adjudikasi'!$E$1&gt;=4)*('Kunci Adjudikasi'!O38&lt;&gt;"")*('Kunci Adjudikasi'!AG38&lt;&gt;"")*('Kunci Adjudikasi'!O38='Kunci Adjudikasi'!AG38)+('Kunci Adjudikasi'!$E$1&gt;=3)*('Kunci Adjudikasi'!U38&lt;&gt;"")*('Kunci Adjudikasi'!AA38&lt;&gt;"")*('Kunci Adjudikasi'!U38='Kunci Adjudikasi'!AA38)+('Kunci Adjudikasi'!$E$1&gt;=4)*('Kunci Adjudikasi'!U38&lt;&gt;"")*('Kunci Adjudikasi'!AG38&lt;&gt;"")*('Kunci Adjudikasi'!U38='Kunci Adjudikasi'!AG38)+('Kunci Adjudikasi'!$E$1&gt;=4)*('Kunci Adjudikasi'!AA38&lt;&gt;"")*('Kunci Adjudikasi'!AG38&lt;&gt;"")*('Kunci Adjudikasi'!AA38='Kunci Adjudikasi'!AG38)))/(F38-1),0)</f>
        <v>0</v>
      </c>
      <c r="H38" s="20">
        <f>('Kunci Adjudikasi'!P38&lt;&gt;"")+('Kunci Adjudikasi'!V38&lt;&gt;"")+('Kunci Adjudikasi'!$E$1&gt;=3)*('Kunci Adjudikasi'!AB38&lt;&gt;"")+('Kunci Adjudikasi'!$E$1&gt;=4)*('Kunci Adjudikasi'!AH38&lt;&gt;"")</f>
        <v>1</v>
      </c>
      <c r="I38" s="20">
        <f>IF(H38&gt;=2,(H38*(H38-1)/2-(('Kunci Adjudikasi'!P38&lt;&gt;"")*('Kunci Adjudikasi'!V38&lt;&gt;"")*('Kunci Adjudikasi'!P38='Kunci Adjudikasi'!V38)+('Kunci Adjudikasi'!$E$1&gt;=3)*('Kunci Adjudikasi'!P38&lt;&gt;"")*('Kunci Adjudikasi'!AB38&lt;&gt;"")*('Kunci Adjudikasi'!P38='Kunci Adjudikasi'!AB38)+('Kunci Adjudikasi'!$E$1&gt;=4)*('Kunci Adjudikasi'!P38&lt;&gt;"")*('Kunci Adjudikasi'!AH38&lt;&gt;"")*('Kunci Adjudikasi'!P38='Kunci Adjudikasi'!AH38)+('Kunci Adjudikasi'!$E$1&gt;=3)*('Kunci Adjudikasi'!V38&lt;&gt;"")*('Kunci Adjudikasi'!AB38&lt;&gt;"")*('Kunci Adjudikasi'!V38='Kunci Adjudikasi'!AB38)+('Kunci Adjudikasi'!$E$1&gt;=4)*('Kunci Adjudikasi'!V38&lt;&gt;"")*('Kunci Adjudikasi'!AH38&lt;&gt;"")*('Kunci Adjudikasi'!V38='Kunci Adjudikasi'!AH38)+('Kunci Adjudikasi'!$E$1&gt;=4)*('Kunci Adjudikasi'!AB38&lt;&gt;"")*('Kunci Adjudikasi'!AH38&lt;&gt;"")*('Kunci Adjudikasi'!AB38='Kunci Adjudikasi'!AH38)))/(H38-1),0)</f>
        <v>0</v>
      </c>
      <c r="J38" s="20">
        <f>('Kunci Adjudikasi'!Q38&lt;&gt;"")+('Kunci Adjudikasi'!W38&lt;&gt;"")+('Kunci Adjudikasi'!$E$1&gt;=3)*('Kunci Adjudikasi'!AC38&lt;&gt;"")+('Kunci Adjudikasi'!$E$1&gt;=4)*('Kunci Adjudikasi'!AI38&lt;&gt;"")</f>
        <v>1</v>
      </c>
      <c r="K38" s="20">
        <f>IF(J38&gt;=2,(J38*(J38-1)/2-(('Kunci Adjudikasi'!Q38&lt;&gt;"")*('Kunci Adjudikasi'!W38&lt;&gt;"")*('Kunci Adjudikasi'!Q38='Kunci Adjudikasi'!W38)+('Kunci Adjudikasi'!$E$1&gt;=3)*('Kunci Adjudikasi'!Q38&lt;&gt;"")*('Kunci Adjudikasi'!AC38&lt;&gt;"")*('Kunci Adjudikasi'!Q38='Kunci Adjudikasi'!AC38)+('Kunci Adjudikasi'!$E$1&gt;=4)*('Kunci Adjudikasi'!Q38&lt;&gt;"")*('Kunci Adjudikasi'!AI38&lt;&gt;"")*('Kunci Adjudikasi'!Q38='Kunci Adjudikasi'!AI38)+('Kunci Adjudikasi'!$E$1&gt;=3)*('Kunci Adjudikasi'!W38&lt;&gt;"")*('Kunci Adjudikasi'!AC38&lt;&gt;"")*('Kunci Adjudikasi'!W38='Kunci Adjudikasi'!AC38)+('Kunci Adjudikasi'!$E$1&gt;=4)*('Kunci Adjudikasi'!W38&lt;&gt;"")*('Kunci Adjudikasi'!AI38&lt;&gt;"")*('Kunci Adjudikasi'!W38='Kunci Adjudikasi'!AI38)+('Kunci Adjudikasi'!$E$1&gt;=4)*('Kunci Adjudikasi'!AC38&lt;&gt;"")*('Kunci Adjudikasi'!AI38&lt;&gt;"")*('Kunci Adjudikasi'!AC38='Kunci Adjudikasi'!AI38)))/(J38-1),0)</f>
        <v>0</v>
      </c>
      <c r="L38" s="20">
        <f>('Kunci Adjudikasi'!R38&lt;&gt;"")+('Kunci Adjudikasi'!X38&lt;&gt;"")+('Kunci Adjudikasi'!$E$1&gt;=3)*('Kunci Adjudikasi'!AD38&lt;&gt;"")+('Kunci Adjudikasi'!$E$1&gt;=4)*('Kunci Adjudikasi'!AJ38&lt;&gt;"")</f>
        <v>1</v>
      </c>
      <c r="M38" s="20">
        <f>IF(L38&gt;=2,(L38*(L38-1)/2-(('Kunci Adjudikasi'!R38&lt;&gt;"")*('Kunci Adjudikasi'!X38&lt;&gt;"")*('Kunci Adjudikasi'!R38='Kunci Adjudikasi'!X38)+('Kunci Adjudikasi'!$E$1&gt;=3)*('Kunci Adjudikasi'!R38&lt;&gt;"")*('Kunci Adjudikasi'!AD38&lt;&gt;"")*('Kunci Adjudikasi'!R38='Kunci Adjudikasi'!AD38)+('Kunci Adjudikasi'!$E$1&gt;=4)*('Kunci Adjudikasi'!R38&lt;&gt;"")*('Kunci Adjudikasi'!AJ38&lt;&gt;"")*('Kunci Adjudikasi'!R38='Kunci Adjudikasi'!AJ38)+('Kunci Adjudikasi'!$E$1&gt;=3)*('Kunci Adjudikasi'!X38&lt;&gt;"")*('Kunci Adjudikasi'!AD38&lt;&gt;"")*('Kunci Adjudikasi'!X38='Kunci Adjudikasi'!AD38)+('Kunci Adjudikasi'!$E$1&gt;=4)*('Kunci Adjudikasi'!X38&lt;&gt;"")*('Kunci Adjudikasi'!AJ38&lt;&gt;"")*('Kunci Adjudikasi'!X38='Kunci Adjudikasi'!AJ38)+('Kunci Adjudikasi'!$E$1&gt;=4)*('Kunci Adjudikasi'!AD38&lt;&gt;"")*('Kunci Adjudikasi'!AJ38&lt;&gt;"")*('Kunci Adjudikasi'!AD38='Kunci Adjudikasi'!AJ38)))/(L38-1),0)</f>
        <v>0</v>
      </c>
      <c r="N38" s="20">
        <f>(LEFT('Kunci Adjudikasi'!N38,2)="R0")+(LEFT('Kunci Adjudikasi'!T38,2)="R0")+('Kunci Adjudikasi'!$E$1&gt;=3)*(LEFT('Kunci Adjudikasi'!Z38,2)="R0")+('Kunci Adjudikasi'!$E$1&gt;=4)*(LEFT('Kunci Adjudikasi'!AF38,2)="R0")</f>
        <v>0</v>
      </c>
      <c r="O38" s="20">
        <f>(LEFT('Kunci Adjudikasi'!N38,2)="R1")+(LEFT('Kunci Adjudikasi'!T38,2)="R1")+('Kunci Adjudikasi'!$E$1&gt;=3)*(LEFT('Kunci Adjudikasi'!Z38,2)="R1")+('Kunci Adjudikasi'!$E$1&gt;=4)*(LEFT('Kunci Adjudikasi'!AF38,2)="R1")</f>
        <v>0</v>
      </c>
      <c r="P38" s="20">
        <f>(LEFT('Kunci Adjudikasi'!N38,2)="R2")+(LEFT('Kunci Adjudikasi'!T38,2)="R2")+('Kunci Adjudikasi'!$E$1&gt;=3)*(LEFT('Kunci Adjudikasi'!Z38,2)="R2")+('Kunci Adjudikasi'!$E$1&gt;=4)*(LEFT('Kunci Adjudikasi'!AF38,2)="R2")</f>
        <v>1</v>
      </c>
      <c r="Q38" s="20">
        <f t="shared" si="43"/>
        <v>0</v>
      </c>
      <c r="R38" s="20">
        <f t="shared" si="44"/>
        <v>0</v>
      </c>
      <c r="S38" s="20">
        <f t="shared" si="45"/>
        <v>0</v>
      </c>
    </row>
    <row r="39">
      <c r="A39" s="20">
        <f>'Kunci Adjudikasi'!A39</f>
        <v>36</v>
      </c>
      <c r="B39" s="20">
        <f>('Kunci Adjudikasi'!M39&lt;&gt;"")+('Kunci Adjudikasi'!S39&lt;&gt;"")+('Kunci Adjudikasi'!$E$1&gt;=3)*('Kunci Adjudikasi'!Y39&lt;&gt;"")+('Kunci Adjudikasi'!$E$1&gt;=4)*('Kunci Adjudikasi'!AE39&lt;&gt;"")</f>
        <v>0</v>
      </c>
      <c r="C39" s="20">
        <f>IF(B39&gt;=2,(B39*(B39-1)/2-(('Kunci Adjudikasi'!M39&lt;&gt;"")*('Kunci Adjudikasi'!S39&lt;&gt;"")*('Kunci Adjudikasi'!M39='Kunci Adjudikasi'!S39)+('Kunci Adjudikasi'!$E$1&gt;=3)*('Kunci Adjudikasi'!M39&lt;&gt;"")*('Kunci Adjudikasi'!Y39&lt;&gt;"")*('Kunci Adjudikasi'!M39='Kunci Adjudikasi'!Y39)+('Kunci Adjudikasi'!$E$1&gt;=4)*('Kunci Adjudikasi'!M39&lt;&gt;"")*('Kunci Adjudikasi'!AE39&lt;&gt;"")*('Kunci Adjudikasi'!M39='Kunci Adjudikasi'!AE39)+('Kunci Adjudikasi'!$E$1&gt;=3)*('Kunci Adjudikasi'!S39&lt;&gt;"")*('Kunci Adjudikasi'!Y39&lt;&gt;"")*('Kunci Adjudikasi'!S39='Kunci Adjudikasi'!Y39)+('Kunci Adjudikasi'!$E$1&gt;=4)*('Kunci Adjudikasi'!S39&lt;&gt;"")*('Kunci Adjudikasi'!AE39&lt;&gt;"")*('Kunci Adjudikasi'!S39='Kunci Adjudikasi'!AE39)+('Kunci Adjudikasi'!$E$1&gt;=4)*('Kunci Adjudikasi'!Y39&lt;&gt;"")*('Kunci Adjudikasi'!AE39&lt;&gt;"")*('Kunci Adjudikasi'!Y39='Kunci Adjudikasi'!AE39)))/(B39-1),0)</f>
        <v>0</v>
      </c>
      <c r="D39" s="20">
        <f>('Kunci Adjudikasi'!N39&lt;&gt;"")+('Kunci Adjudikasi'!T39&lt;&gt;"")+('Kunci Adjudikasi'!$E$1&gt;=3)*('Kunci Adjudikasi'!Z39&lt;&gt;"")+('Kunci Adjudikasi'!$E$1&gt;=4)*('Kunci Adjudikasi'!AF39&lt;&gt;"")</f>
        <v>0</v>
      </c>
      <c r="E39" s="20">
        <f>IF(D39&gt;=2,(D39*(D39-1)/2-(('Kunci Adjudikasi'!N39&lt;&gt;"")*('Kunci Adjudikasi'!T39&lt;&gt;"")*('Kunci Adjudikasi'!N39='Kunci Adjudikasi'!T39)+('Kunci Adjudikasi'!$E$1&gt;=3)*('Kunci Adjudikasi'!N39&lt;&gt;"")*('Kunci Adjudikasi'!Z39&lt;&gt;"")*('Kunci Adjudikasi'!N39='Kunci Adjudikasi'!Z39)+('Kunci Adjudikasi'!$E$1&gt;=4)*('Kunci Adjudikasi'!N39&lt;&gt;"")*('Kunci Adjudikasi'!AF39&lt;&gt;"")*('Kunci Adjudikasi'!N39='Kunci Adjudikasi'!AF39)+('Kunci Adjudikasi'!$E$1&gt;=3)*('Kunci Adjudikasi'!T39&lt;&gt;"")*('Kunci Adjudikasi'!Z39&lt;&gt;"")*('Kunci Adjudikasi'!T39='Kunci Adjudikasi'!Z39)+('Kunci Adjudikasi'!$E$1&gt;=4)*('Kunci Adjudikasi'!T39&lt;&gt;"")*('Kunci Adjudikasi'!AF39&lt;&gt;"")*('Kunci Adjudikasi'!T39='Kunci Adjudikasi'!AF39)+('Kunci Adjudikasi'!$E$1&gt;=4)*('Kunci Adjudikasi'!Z39&lt;&gt;"")*('Kunci Adjudikasi'!AF39&lt;&gt;"")*('Kunci Adjudikasi'!Z39='Kunci Adjudikasi'!AF39)))/(D39-1),0)</f>
        <v>0</v>
      </c>
      <c r="F39" s="20">
        <f>('Kunci Adjudikasi'!O39&lt;&gt;"")+('Kunci Adjudikasi'!U39&lt;&gt;"")+('Kunci Adjudikasi'!$E$1&gt;=3)*('Kunci Adjudikasi'!AA39&lt;&gt;"")+('Kunci Adjudikasi'!$E$1&gt;=4)*('Kunci Adjudikasi'!AG39&lt;&gt;"")</f>
        <v>0</v>
      </c>
      <c r="G39" s="20">
        <f>IF(F39&gt;=2,(F39*(F39-1)/2-(('Kunci Adjudikasi'!O39&lt;&gt;"")*('Kunci Adjudikasi'!U39&lt;&gt;"")*('Kunci Adjudikasi'!O39='Kunci Adjudikasi'!U39)+('Kunci Adjudikasi'!$E$1&gt;=3)*('Kunci Adjudikasi'!O39&lt;&gt;"")*('Kunci Adjudikasi'!AA39&lt;&gt;"")*('Kunci Adjudikasi'!O39='Kunci Adjudikasi'!AA39)+('Kunci Adjudikasi'!$E$1&gt;=4)*('Kunci Adjudikasi'!O39&lt;&gt;"")*('Kunci Adjudikasi'!AG39&lt;&gt;"")*('Kunci Adjudikasi'!O39='Kunci Adjudikasi'!AG39)+('Kunci Adjudikasi'!$E$1&gt;=3)*('Kunci Adjudikasi'!U39&lt;&gt;"")*('Kunci Adjudikasi'!AA39&lt;&gt;"")*('Kunci Adjudikasi'!U39='Kunci Adjudikasi'!AA39)+('Kunci Adjudikasi'!$E$1&gt;=4)*('Kunci Adjudikasi'!U39&lt;&gt;"")*('Kunci Adjudikasi'!AG39&lt;&gt;"")*('Kunci Adjudikasi'!U39='Kunci Adjudikasi'!AG39)+('Kunci Adjudikasi'!$E$1&gt;=4)*('Kunci Adjudikasi'!AA39&lt;&gt;"")*('Kunci Adjudikasi'!AG39&lt;&gt;"")*('Kunci Adjudikasi'!AA39='Kunci Adjudikasi'!AG39)))/(F39-1),0)</f>
        <v>0</v>
      </c>
      <c r="H39" s="20">
        <f>('Kunci Adjudikasi'!P39&lt;&gt;"")+('Kunci Adjudikasi'!V39&lt;&gt;"")+('Kunci Adjudikasi'!$E$1&gt;=3)*('Kunci Adjudikasi'!AB39&lt;&gt;"")+('Kunci Adjudikasi'!$E$1&gt;=4)*('Kunci Adjudikasi'!AH39&lt;&gt;"")</f>
        <v>0</v>
      </c>
      <c r="I39" s="20">
        <f>IF(H39&gt;=2,(H39*(H39-1)/2-(('Kunci Adjudikasi'!P39&lt;&gt;"")*('Kunci Adjudikasi'!V39&lt;&gt;"")*('Kunci Adjudikasi'!P39='Kunci Adjudikasi'!V39)+('Kunci Adjudikasi'!$E$1&gt;=3)*('Kunci Adjudikasi'!P39&lt;&gt;"")*('Kunci Adjudikasi'!AB39&lt;&gt;"")*('Kunci Adjudikasi'!P39='Kunci Adjudikasi'!AB39)+('Kunci Adjudikasi'!$E$1&gt;=4)*('Kunci Adjudikasi'!P39&lt;&gt;"")*('Kunci Adjudikasi'!AH39&lt;&gt;"")*('Kunci Adjudikasi'!P39='Kunci Adjudikasi'!AH39)+('Kunci Adjudikasi'!$E$1&gt;=3)*('Kunci Adjudikasi'!V39&lt;&gt;"")*('Kunci Adjudikasi'!AB39&lt;&gt;"")*('Kunci Adjudikasi'!V39='Kunci Adjudikasi'!AB39)+('Kunci Adjudikasi'!$E$1&gt;=4)*('Kunci Adjudikasi'!V39&lt;&gt;"")*('Kunci Adjudikasi'!AH39&lt;&gt;"")*('Kunci Adjudikasi'!V39='Kunci Adjudikasi'!AH39)+('Kunci Adjudikasi'!$E$1&gt;=4)*('Kunci Adjudikasi'!AB39&lt;&gt;"")*('Kunci Adjudikasi'!AH39&lt;&gt;"")*('Kunci Adjudikasi'!AB39='Kunci Adjudikasi'!AH39)))/(H39-1),0)</f>
        <v>0</v>
      </c>
      <c r="J39" s="20">
        <f>('Kunci Adjudikasi'!Q39&lt;&gt;"")+('Kunci Adjudikasi'!W39&lt;&gt;"")+('Kunci Adjudikasi'!$E$1&gt;=3)*('Kunci Adjudikasi'!AC39&lt;&gt;"")+('Kunci Adjudikasi'!$E$1&gt;=4)*('Kunci Adjudikasi'!AI39&lt;&gt;"")</f>
        <v>0</v>
      </c>
      <c r="K39" s="20">
        <f>IF(J39&gt;=2,(J39*(J39-1)/2-(('Kunci Adjudikasi'!Q39&lt;&gt;"")*('Kunci Adjudikasi'!W39&lt;&gt;"")*('Kunci Adjudikasi'!Q39='Kunci Adjudikasi'!W39)+('Kunci Adjudikasi'!$E$1&gt;=3)*('Kunci Adjudikasi'!Q39&lt;&gt;"")*('Kunci Adjudikasi'!AC39&lt;&gt;"")*('Kunci Adjudikasi'!Q39='Kunci Adjudikasi'!AC39)+('Kunci Adjudikasi'!$E$1&gt;=4)*('Kunci Adjudikasi'!Q39&lt;&gt;"")*('Kunci Adjudikasi'!AI39&lt;&gt;"")*('Kunci Adjudikasi'!Q39='Kunci Adjudikasi'!AI39)+('Kunci Adjudikasi'!$E$1&gt;=3)*('Kunci Adjudikasi'!W39&lt;&gt;"")*('Kunci Adjudikasi'!AC39&lt;&gt;"")*('Kunci Adjudikasi'!W39='Kunci Adjudikasi'!AC39)+('Kunci Adjudikasi'!$E$1&gt;=4)*('Kunci Adjudikasi'!W39&lt;&gt;"")*('Kunci Adjudikasi'!AI39&lt;&gt;"")*('Kunci Adjudikasi'!W39='Kunci Adjudikasi'!AI39)+('Kunci Adjudikasi'!$E$1&gt;=4)*('Kunci Adjudikasi'!AC39&lt;&gt;"")*('Kunci Adjudikasi'!AI39&lt;&gt;"")*('Kunci Adjudikasi'!AC39='Kunci Adjudikasi'!AI39)))/(J39-1),0)</f>
        <v>0</v>
      </c>
      <c r="L39" s="20">
        <f>('Kunci Adjudikasi'!R39&lt;&gt;"")+('Kunci Adjudikasi'!X39&lt;&gt;"")+('Kunci Adjudikasi'!$E$1&gt;=3)*('Kunci Adjudikasi'!AD39&lt;&gt;"")+('Kunci Adjudikasi'!$E$1&gt;=4)*('Kunci Adjudikasi'!AJ39&lt;&gt;"")</f>
        <v>0</v>
      </c>
      <c r="M39" s="20">
        <f>IF(L39&gt;=2,(L39*(L39-1)/2-(('Kunci Adjudikasi'!R39&lt;&gt;"")*('Kunci Adjudikasi'!X39&lt;&gt;"")*('Kunci Adjudikasi'!R39='Kunci Adjudikasi'!X39)+('Kunci Adjudikasi'!$E$1&gt;=3)*('Kunci Adjudikasi'!R39&lt;&gt;"")*('Kunci Adjudikasi'!AD39&lt;&gt;"")*('Kunci Adjudikasi'!R39='Kunci Adjudikasi'!AD39)+('Kunci Adjudikasi'!$E$1&gt;=4)*('Kunci Adjudikasi'!R39&lt;&gt;"")*('Kunci Adjudikasi'!AJ39&lt;&gt;"")*('Kunci Adjudikasi'!R39='Kunci Adjudikasi'!AJ39)+('Kunci Adjudikasi'!$E$1&gt;=3)*('Kunci Adjudikasi'!X39&lt;&gt;"")*('Kunci Adjudikasi'!AD39&lt;&gt;"")*('Kunci Adjudikasi'!X39='Kunci Adjudikasi'!AD39)+('Kunci Adjudikasi'!$E$1&gt;=4)*('Kunci Adjudikasi'!X39&lt;&gt;"")*('Kunci Adjudikasi'!AJ39&lt;&gt;"")*('Kunci Adjudikasi'!X39='Kunci Adjudikasi'!AJ39)+('Kunci Adjudikasi'!$E$1&gt;=4)*('Kunci Adjudikasi'!AD39&lt;&gt;"")*('Kunci Adjudikasi'!AJ39&lt;&gt;"")*('Kunci Adjudikasi'!AD39='Kunci Adjudikasi'!AJ39)))/(L39-1),0)</f>
        <v>0</v>
      </c>
      <c r="N39" s="20">
        <f>(LEFT('Kunci Adjudikasi'!N39,2)="R0")+(LEFT('Kunci Adjudikasi'!T39,2)="R0")+('Kunci Adjudikasi'!$E$1&gt;=3)*(LEFT('Kunci Adjudikasi'!Z39,2)="R0")+('Kunci Adjudikasi'!$E$1&gt;=4)*(LEFT('Kunci Adjudikasi'!AF39,2)="R0")</f>
        <v>0</v>
      </c>
      <c r="O39" s="20">
        <f>(LEFT('Kunci Adjudikasi'!N39,2)="R1")+(LEFT('Kunci Adjudikasi'!T39,2)="R1")+('Kunci Adjudikasi'!$E$1&gt;=3)*(LEFT('Kunci Adjudikasi'!Z39,2)="R1")+('Kunci Adjudikasi'!$E$1&gt;=4)*(LEFT('Kunci Adjudikasi'!AF39,2)="R1")</f>
        <v>0</v>
      </c>
      <c r="P39" s="20">
        <f>(LEFT('Kunci Adjudikasi'!N39,2)="R2")+(LEFT('Kunci Adjudikasi'!T39,2)="R2")+('Kunci Adjudikasi'!$E$1&gt;=3)*(LEFT('Kunci Adjudikasi'!Z39,2)="R2")+('Kunci Adjudikasi'!$E$1&gt;=4)*(LEFT('Kunci Adjudikasi'!AF39,2)="R2")</f>
        <v>0</v>
      </c>
      <c r="Q39" s="20">
        <f t="shared" si="43"/>
        <v>0</v>
      </c>
      <c r="R39" s="20">
        <f t="shared" si="44"/>
        <v>0</v>
      </c>
      <c r="S39" s="20">
        <f t="shared" si="45"/>
        <v>0</v>
      </c>
    </row>
    <row r="40">
      <c r="A40" s="20">
        <f>'Kunci Adjudikasi'!A40</f>
        <v>37</v>
      </c>
      <c r="B40" s="20">
        <f>('Kunci Adjudikasi'!M40&lt;&gt;"")+('Kunci Adjudikasi'!S40&lt;&gt;"")+('Kunci Adjudikasi'!$E$1&gt;=3)*('Kunci Adjudikasi'!Y40&lt;&gt;"")+('Kunci Adjudikasi'!$E$1&gt;=4)*('Kunci Adjudikasi'!AE40&lt;&gt;"")</f>
        <v>0</v>
      </c>
      <c r="C40" s="20">
        <f>IF(B40&gt;=2,(B40*(B40-1)/2-(('Kunci Adjudikasi'!M40&lt;&gt;"")*('Kunci Adjudikasi'!S40&lt;&gt;"")*('Kunci Adjudikasi'!M40='Kunci Adjudikasi'!S40)+('Kunci Adjudikasi'!$E$1&gt;=3)*('Kunci Adjudikasi'!M40&lt;&gt;"")*('Kunci Adjudikasi'!Y40&lt;&gt;"")*('Kunci Adjudikasi'!M40='Kunci Adjudikasi'!Y40)+('Kunci Adjudikasi'!$E$1&gt;=4)*('Kunci Adjudikasi'!M40&lt;&gt;"")*('Kunci Adjudikasi'!AE40&lt;&gt;"")*('Kunci Adjudikasi'!M40='Kunci Adjudikasi'!AE40)+('Kunci Adjudikasi'!$E$1&gt;=3)*('Kunci Adjudikasi'!S40&lt;&gt;"")*('Kunci Adjudikasi'!Y40&lt;&gt;"")*('Kunci Adjudikasi'!S40='Kunci Adjudikasi'!Y40)+('Kunci Adjudikasi'!$E$1&gt;=4)*('Kunci Adjudikasi'!S40&lt;&gt;"")*('Kunci Adjudikasi'!AE40&lt;&gt;"")*('Kunci Adjudikasi'!S40='Kunci Adjudikasi'!AE40)+('Kunci Adjudikasi'!$E$1&gt;=4)*('Kunci Adjudikasi'!Y40&lt;&gt;"")*('Kunci Adjudikasi'!AE40&lt;&gt;"")*('Kunci Adjudikasi'!Y40='Kunci Adjudikasi'!AE40)))/(B40-1),0)</f>
        <v>0</v>
      </c>
      <c r="D40" s="20">
        <f>('Kunci Adjudikasi'!N40&lt;&gt;"")+('Kunci Adjudikasi'!T40&lt;&gt;"")+('Kunci Adjudikasi'!$E$1&gt;=3)*('Kunci Adjudikasi'!Z40&lt;&gt;"")+('Kunci Adjudikasi'!$E$1&gt;=4)*('Kunci Adjudikasi'!AF40&lt;&gt;"")</f>
        <v>0</v>
      </c>
      <c r="E40" s="20">
        <f>IF(D40&gt;=2,(D40*(D40-1)/2-(('Kunci Adjudikasi'!N40&lt;&gt;"")*('Kunci Adjudikasi'!T40&lt;&gt;"")*('Kunci Adjudikasi'!N40='Kunci Adjudikasi'!T40)+('Kunci Adjudikasi'!$E$1&gt;=3)*('Kunci Adjudikasi'!N40&lt;&gt;"")*('Kunci Adjudikasi'!Z40&lt;&gt;"")*('Kunci Adjudikasi'!N40='Kunci Adjudikasi'!Z40)+('Kunci Adjudikasi'!$E$1&gt;=4)*('Kunci Adjudikasi'!N40&lt;&gt;"")*('Kunci Adjudikasi'!AF40&lt;&gt;"")*('Kunci Adjudikasi'!N40='Kunci Adjudikasi'!AF40)+('Kunci Adjudikasi'!$E$1&gt;=3)*('Kunci Adjudikasi'!T40&lt;&gt;"")*('Kunci Adjudikasi'!Z40&lt;&gt;"")*('Kunci Adjudikasi'!T40='Kunci Adjudikasi'!Z40)+('Kunci Adjudikasi'!$E$1&gt;=4)*('Kunci Adjudikasi'!T40&lt;&gt;"")*('Kunci Adjudikasi'!AF40&lt;&gt;"")*('Kunci Adjudikasi'!T40='Kunci Adjudikasi'!AF40)+('Kunci Adjudikasi'!$E$1&gt;=4)*('Kunci Adjudikasi'!Z40&lt;&gt;"")*('Kunci Adjudikasi'!AF40&lt;&gt;"")*('Kunci Adjudikasi'!Z40='Kunci Adjudikasi'!AF40)))/(D40-1),0)</f>
        <v>0</v>
      </c>
      <c r="F40" s="20">
        <f>('Kunci Adjudikasi'!O40&lt;&gt;"")+('Kunci Adjudikasi'!U40&lt;&gt;"")+('Kunci Adjudikasi'!$E$1&gt;=3)*('Kunci Adjudikasi'!AA40&lt;&gt;"")+('Kunci Adjudikasi'!$E$1&gt;=4)*('Kunci Adjudikasi'!AG40&lt;&gt;"")</f>
        <v>0</v>
      </c>
      <c r="G40" s="20">
        <f>IF(F40&gt;=2,(F40*(F40-1)/2-(('Kunci Adjudikasi'!O40&lt;&gt;"")*('Kunci Adjudikasi'!U40&lt;&gt;"")*('Kunci Adjudikasi'!O40='Kunci Adjudikasi'!U40)+('Kunci Adjudikasi'!$E$1&gt;=3)*('Kunci Adjudikasi'!O40&lt;&gt;"")*('Kunci Adjudikasi'!AA40&lt;&gt;"")*('Kunci Adjudikasi'!O40='Kunci Adjudikasi'!AA40)+('Kunci Adjudikasi'!$E$1&gt;=4)*('Kunci Adjudikasi'!O40&lt;&gt;"")*('Kunci Adjudikasi'!AG40&lt;&gt;"")*('Kunci Adjudikasi'!O40='Kunci Adjudikasi'!AG40)+('Kunci Adjudikasi'!$E$1&gt;=3)*('Kunci Adjudikasi'!U40&lt;&gt;"")*('Kunci Adjudikasi'!AA40&lt;&gt;"")*('Kunci Adjudikasi'!U40='Kunci Adjudikasi'!AA40)+('Kunci Adjudikasi'!$E$1&gt;=4)*('Kunci Adjudikasi'!U40&lt;&gt;"")*('Kunci Adjudikasi'!AG40&lt;&gt;"")*('Kunci Adjudikasi'!U40='Kunci Adjudikasi'!AG40)+('Kunci Adjudikasi'!$E$1&gt;=4)*('Kunci Adjudikasi'!AA40&lt;&gt;"")*('Kunci Adjudikasi'!AG40&lt;&gt;"")*('Kunci Adjudikasi'!AA40='Kunci Adjudikasi'!AG40)))/(F40-1),0)</f>
        <v>0</v>
      </c>
      <c r="H40" s="20">
        <f>('Kunci Adjudikasi'!P40&lt;&gt;"")+('Kunci Adjudikasi'!V40&lt;&gt;"")+('Kunci Adjudikasi'!$E$1&gt;=3)*('Kunci Adjudikasi'!AB40&lt;&gt;"")+('Kunci Adjudikasi'!$E$1&gt;=4)*('Kunci Adjudikasi'!AH40&lt;&gt;"")</f>
        <v>0</v>
      </c>
      <c r="I40" s="20">
        <f>IF(H40&gt;=2,(H40*(H40-1)/2-(('Kunci Adjudikasi'!P40&lt;&gt;"")*('Kunci Adjudikasi'!V40&lt;&gt;"")*('Kunci Adjudikasi'!P40='Kunci Adjudikasi'!V40)+('Kunci Adjudikasi'!$E$1&gt;=3)*('Kunci Adjudikasi'!P40&lt;&gt;"")*('Kunci Adjudikasi'!AB40&lt;&gt;"")*('Kunci Adjudikasi'!P40='Kunci Adjudikasi'!AB40)+('Kunci Adjudikasi'!$E$1&gt;=4)*('Kunci Adjudikasi'!P40&lt;&gt;"")*('Kunci Adjudikasi'!AH40&lt;&gt;"")*('Kunci Adjudikasi'!P40='Kunci Adjudikasi'!AH40)+('Kunci Adjudikasi'!$E$1&gt;=3)*('Kunci Adjudikasi'!V40&lt;&gt;"")*('Kunci Adjudikasi'!AB40&lt;&gt;"")*('Kunci Adjudikasi'!V40='Kunci Adjudikasi'!AB40)+('Kunci Adjudikasi'!$E$1&gt;=4)*('Kunci Adjudikasi'!V40&lt;&gt;"")*('Kunci Adjudikasi'!AH40&lt;&gt;"")*('Kunci Adjudikasi'!V40='Kunci Adjudikasi'!AH40)+('Kunci Adjudikasi'!$E$1&gt;=4)*('Kunci Adjudikasi'!AB40&lt;&gt;"")*('Kunci Adjudikasi'!AH40&lt;&gt;"")*('Kunci Adjudikasi'!AB40='Kunci Adjudikasi'!AH40)))/(H40-1),0)</f>
        <v>0</v>
      </c>
      <c r="J40" s="20">
        <f>('Kunci Adjudikasi'!Q40&lt;&gt;"")+('Kunci Adjudikasi'!W40&lt;&gt;"")+('Kunci Adjudikasi'!$E$1&gt;=3)*('Kunci Adjudikasi'!AC40&lt;&gt;"")+('Kunci Adjudikasi'!$E$1&gt;=4)*('Kunci Adjudikasi'!AI40&lt;&gt;"")</f>
        <v>0</v>
      </c>
      <c r="K40" s="20">
        <f>IF(J40&gt;=2,(J40*(J40-1)/2-(('Kunci Adjudikasi'!Q40&lt;&gt;"")*('Kunci Adjudikasi'!W40&lt;&gt;"")*('Kunci Adjudikasi'!Q40='Kunci Adjudikasi'!W40)+('Kunci Adjudikasi'!$E$1&gt;=3)*('Kunci Adjudikasi'!Q40&lt;&gt;"")*('Kunci Adjudikasi'!AC40&lt;&gt;"")*('Kunci Adjudikasi'!Q40='Kunci Adjudikasi'!AC40)+('Kunci Adjudikasi'!$E$1&gt;=4)*('Kunci Adjudikasi'!Q40&lt;&gt;"")*('Kunci Adjudikasi'!AI40&lt;&gt;"")*('Kunci Adjudikasi'!Q40='Kunci Adjudikasi'!AI40)+('Kunci Adjudikasi'!$E$1&gt;=3)*('Kunci Adjudikasi'!W40&lt;&gt;"")*('Kunci Adjudikasi'!AC40&lt;&gt;"")*('Kunci Adjudikasi'!W40='Kunci Adjudikasi'!AC40)+('Kunci Adjudikasi'!$E$1&gt;=4)*('Kunci Adjudikasi'!W40&lt;&gt;"")*('Kunci Adjudikasi'!AI40&lt;&gt;"")*('Kunci Adjudikasi'!W40='Kunci Adjudikasi'!AI40)+('Kunci Adjudikasi'!$E$1&gt;=4)*('Kunci Adjudikasi'!AC40&lt;&gt;"")*('Kunci Adjudikasi'!AI40&lt;&gt;"")*('Kunci Adjudikasi'!AC40='Kunci Adjudikasi'!AI40)))/(J40-1),0)</f>
        <v>0</v>
      </c>
      <c r="L40" s="20">
        <f>('Kunci Adjudikasi'!R40&lt;&gt;"")+('Kunci Adjudikasi'!X40&lt;&gt;"")+('Kunci Adjudikasi'!$E$1&gt;=3)*('Kunci Adjudikasi'!AD40&lt;&gt;"")+('Kunci Adjudikasi'!$E$1&gt;=4)*('Kunci Adjudikasi'!AJ40&lt;&gt;"")</f>
        <v>0</v>
      </c>
      <c r="M40" s="20">
        <f>IF(L40&gt;=2,(L40*(L40-1)/2-(('Kunci Adjudikasi'!R40&lt;&gt;"")*('Kunci Adjudikasi'!X40&lt;&gt;"")*('Kunci Adjudikasi'!R40='Kunci Adjudikasi'!X40)+('Kunci Adjudikasi'!$E$1&gt;=3)*('Kunci Adjudikasi'!R40&lt;&gt;"")*('Kunci Adjudikasi'!AD40&lt;&gt;"")*('Kunci Adjudikasi'!R40='Kunci Adjudikasi'!AD40)+('Kunci Adjudikasi'!$E$1&gt;=4)*('Kunci Adjudikasi'!R40&lt;&gt;"")*('Kunci Adjudikasi'!AJ40&lt;&gt;"")*('Kunci Adjudikasi'!R40='Kunci Adjudikasi'!AJ40)+('Kunci Adjudikasi'!$E$1&gt;=3)*('Kunci Adjudikasi'!X40&lt;&gt;"")*('Kunci Adjudikasi'!AD40&lt;&gt;"")*('Kunci Adjudikasi'!X40='Kunci Adjudikasi'!AD40)+('Kunci Adjudikasi'!$E$1&gt;=4)*('Kunci Adjudikasi'!X40&lt;&gt;"")*('Kunci Adjudikasi'!AJ40&lt;&gt;"")*('Kunci Adjudikasi'!X40='Kunci Adjudikasi'!AJ40)+('Kunci Adjudikasi'!$E$1&gt;=4)*('Kunci Adjudikasi'!AD40&lt;&gt;"")*('Kunci Adjudikasi'!AJ40&lt;&gt;"")*('Kunci Adjudikasi'!AD40='Kunci Adjudikasi'!AJ40)))/(L40-1),0)</f>
        <v>0</v>
      </c>
      <c r="N40" s="20">
        <f>(LEFT('Kunci Adjudikasi'!N40,2)="R0")+(LEFT('Kunci Adjudikasi'!T40,2)="R0")+('Kunci Adjudikasi'!$E$1&gt;=3)*(LEFT('Kunci Adjudikasi'!Z40,2)="R0")+('Kunci Adjudikasi'!$E$1&gt;=4)*(LEFT('Kunci Adjudikasi'!AF40,2)="R0")</f>
        <v>0</v>
      </c>
      <c r="O40" s="20">
        <f>(LEFT('Kunci Adjudikasi'!N40,2)="R1")+(LEFT('Kunci Adjudikasi'!T40,2)="R1")+('Kunci Adjudikasi'!$E$1&gt;=3)*(LEFT('Kunci Adjudikasi'!Z40,2)="R1")+('Kunci Adjudikasi'!$E$1&gt;=4)*(LEFT('Kunci Adjudikasi'!AF40,2)="R1")</f>
        <v>0</v>
      </c>
      <c r="P40" s="20">
        <f>(LEFT('Kunci Adjudikasi'!N40,2)="R2")+(LEFT('Kunci Adjudikasi'!T40,2)="R2")+('Kunci Adjudikasi'!$E$1&gt;=3)*(LEFT('Kunci Adjudikasi'!Z40,2)="R2")+('Kunci Adjudikasi'!$E$1&gt;=4)*(LEFT('Kunci Adjudikasi'!AF40,2)="R2")</f>
        <v>0</v>
      </c>
      <c r="Q40" s="20">
        <f t="shared" si="43"/>
        <v>0</v>
      </c>
      <c r="R40" s="20">
        <f t="shared" si="44"/>
        <v>0</v>
      </c>
      <c r="S40" s="20">
        <f t="shared" si="45"/>
        <v>0</v>
      </c>
    </row>
    <row r="41">
      <c r="A41" s="20">
        <f>'Kunci Adjudikasi'!A41</f>
        <v>38</v>
      </c>
      <c r="B41" s="20">
        <f>('Kunci Adjudikasi'!M41&lt;&gt;"")+('Kunci Adjudikasi'!S41&lt;&gt;"")+('Kunci Adjudikasi'!$E$1&gt;=3)*('Kunci Adjudikasi'!Y41&lt;&gt;"")+('Kunci Adjudikasi'!$E$1&gt;=4)*('Kunci Adjudikasi'!AE41&lt;&gt;"")</f>
        <v>0</v>
      </c>
      <c r="C41" s="20">
        <f>IF(B41&gt;=2,(B41*(B41-1)/2-(('Kunci Adjudikasi'!M41&lt;&gt;"")*('Kunci Adjudikasi'!S41&lt;&gt;"")*('Kunci Adjudikasi'!M41='Kunci Adjudikasi'!S41)+('Kunci Adjudikasi'!$E$1&gt;=3)*('Kunci Adjudikasi'!M41&lt;&gt;"")*('Kunci Adjudikasi'!Y41&lt;&gt;"")*('Kunci Adjudikasi'!M41='Kunci Adjudikasi'!Y41)+('Kunci Adjudikasi'!$E$1&gt;=4)*('Kunci Adjudikasi'!M41&lt;&gt;"")*('Kunci Adjudikasi'!AE41&lt;&gt;"")*('Kunci Adjudikasi'!M41='Kunci Adjudikasi'!AE41)+('Kunci Adjudikasi'!$E$1&gt;=3)*('Kunci Adjudikasi'!S41&lt;&gt;"")*('Kunci Adjudikasi'!Y41&lt;&gt;"")*('Kunci Adjudikasi'!S41='Kunci Adjudikasi'!Y41)+('Kunci Adjudikasi'!$E$1&gt;=4)*('Kunci Adjudikasi'!S41&lt;&gt;"")*('Kunci Adjudikasi'!AE41&lt;&gt;"")*('Kunci Adjudikasi'!S41='Kunci Adjudikasi'!AE41)+('Kunci Adjudikasi'!$E$1&gt;=4)*('Kunci Adjudikasi'!Y41&lt;&gt;"")*('Kunci Adjudikasi'!AE41&lt;&gt;"")*('Kunci Adjudikasi'!Y41='Kunci Adjudikasi'!AE41)))/(B41-1),0)</f>
        <v>0</v>
      </c>
      <c r="D41" s="20">
        <f>('Kunci Adjudikasi'!N41&lt;&gt;"")+('Kunci Adjudikasi'!T41&lt;&gt;"")+('Kunci Adjudikasi'!$E$1&gt;=3)*('Kunci Adjudikasi'!Z41&lt;&gt;"")+('Kunci Adjudikasi'!$E$1&gt;=4)*('Kunci Adjudikasi'!AF41&lt;&gt;"")</f>
        <v>0</v>
      </c>
      <c r="E41" s="20">
        <f>IF(D41&gt;=2,(D41*(D41-1)/2-(('Kunci Adjudikasi'!N41&lt;&gt;"")*('Kunci Adjudikasi'!T41&lt;&gt;"")*('Kunci Adjudikasi'!N41='Kunci Adjudikasi'!T41)+('Kunci Adjudikasi'!$E$1&gt;=3)*('Kunci Adjudikasi'!N41&lt;&gt;"")*('Kunci Adjudikasi'!Z41&lt;&gt;"")*('Kunci Adjudikasi'!N41='Kunci Adjudikasi'!Z41)+('Kunci Adjudikasi'!$E$1&gt;=4)*('Kunci Adjudikasi'!N41&lt;&gt;"")*('Kunci Adjudikasi'!AF41&lt;&gt;"")*('Kunci Adjudikasi'!N41='Kunci Adjudikasi'!AF41)+('Kunci Adjudikasi'!$E$1&gt;=3)*('Kunci Adjudikasi'!T41&lt;&gt;"")*('Kunci Adjudikasi'!Z41&lt;&gt;"")*('Kunci Adjudikasi'!T41='Kunci Adjudikasi'!Z41)+('Kunci Adjudikasi'!$E$1&gt;=4)*('Kunci Adjudikasi'!T41&lt;&gt;"")*('Kunci Adjudikasi'!AF41&lt;&gt;"")*('Kunci Adjudikasi'!T41='Kunci Adjudikasi'!AF41)+('Kunci Adjudikasi'!$E$1&gt;=4)*('Kunci Adjudikasi'!Z41&lt;&gt;"")*('Kunci Adjudikasi'!AF41&lt;&gt;"")*('Kunci Adjudikasi'!Z41='Kunci Adjudikasi'!AF41)))/(D41-1),0)</f>
        <v>0</v>
      </c>
      <c r="F41" s="20">
        <f>('Kunci Adjudikasi'!O41&lt;&gt;"")+('Kunci Adjudikasi'!U41&lt;&gt;"")+('Kunci Adjudikasi'!$E$1&gt;=3)*('Kunci Adjudikasi'!AA41&lt;&gt;"")+('Kunci Adjudikasi'!$E$1&gt;=4)*('Kunci Adjudikasi'!AG41&lt;&gt;"")</f>
        <v>0</v>
      </c>
      <c r="G41" s="20">
        <f>IF(F41&gt;=2,(F41*(F41-1)/2-(('Kunci Adjudikasi'!O41&lt;&gt;"")*('Kunci Adjudikasi'!U41&lt;&gt;"")*('Kunci Adjudikasi'!O41='Kunci Adjudikasi'!U41)+('Kunci Adjudikasi'!$E$1&gt;=3)*('Kunci Adjudikasi'!O41&lt;&gt;"")*('Kunci Adjudikasi'!AA41&lt;&gt;"")*('Kunci Adjudikasi'!O41='Kunci Adjudikasi'!AA41)+('Kunci Adjudikasi'!$E$1&gt;=4)*('Kunci Adjudikasi'!O41&lt;&gt;"")*('Kunci Adjudikasi'!AG41&lt;&gt;"")*('Kunci Adjudikasi'!O41='Kunci Adjudikasi'!AG41)+('Kunci Adjudikasi'!$E$1&gt;=3)*('Kunci Adjudikasi'!U41&lt;&gt;"")*('Kunci Adjudikasi'!AA41&lt;&gt;"")*('Kunci Adjudikasi'!U41='Kunci Adjudikasi'!AA41)+('Kunci Adjudikasi'!$E$1&gt;=4)*('Kunci Adjudikasi'!U41&lt;&gt;"")*('Kunci Adjudikasi'!AG41&lt;&gt;"")*('Kunci Adjudikasi'!U41='Kunci Adjudikasi'!AG41)+('Kunci Adjudikasi'!$E$1&gt;=4)*('Kunci Adjudikasi'!AA41&lt;&gt;"")*('Kunci Adjudikasi'!AG41&lt;&gt;"")*('Kunci Adjudikasi'!AA41='Kunci Adjudikasi'!AG41)))/(F41-1),0)</f>
        <v>0</v>
      </c>
      <c r="H41" s="20">
        <f>('Kunci Adjudikasi'!P41&lt;&gt;"")+('Kunci Adjudikasi'!V41&lt;&gt;"")+('Kunci Adjudikasi'!$E$1&gt;=3)*('Kunci Adjudikasi'!AB41&lt;&gt;"")+('Kunci Adjudikasi'!$E$1&gt;=4)*('Kunci Adjudikasi'!AH41&lt;&gt;"")</f>
        <v>0</v>
      </c>
      <c r="I41" s="20">
        <f>IF(H41&gt;=2,(H41*(H41-1)/2-(('Kunci Adjudikasi'!P41&lt;&gt;"")*('Kunci Adjudikasi'!V41&lt;&gt;"")*('Kunci Adjudikasi'!P41='Kunci Adjudikasi'!V41)+('Kunci Adjudikasi'!$E$1&gt;=3)*('Kunci Adjudikasi'!P41&lt;&gt;"")*('Kunci Adjudikasi'!AB41&lt;&gt;"")*('Kunci Adjudikasi'!P41='Kunci Adjudikasi'!AB41)+('Kunci Adjudikasi'!$E$1&gt;=4)*('Kunci Adjudikasi'!P41&lt;&gt;"")*('Kunci Adjudikasi'!AH41&lt;&gt;"")*('Kunci Adjudikasi'!P41='Kunci Adjudikasi'!AH41)+('Kunci Adjudikasi'!$E$1&gt;=3)*('Kunci Adjudikasi'!V41&lt;&gt;"")*('Kunci Adjudikasi'!AB41&lt;&gt;"")*('Kunci Adjudikasi'!V41='Kunci Adjudikasi'!AB41)+('Kunci Adjudikasi'!$E$1&gt;=4)*('Kunci Adjudikasi'!V41&lt;&gt;"")*('Kunci Adjudikasi'!AH41&lt;&gt;"")*('Kunci Adjudikasi'!V41='Kunci Adjudikasi'!AH41)+('Kunci Adjudikasi'!$E$1&gt;=4)*('Kunci Adjudikasi'!AB41&lt;&gt;"")*('Kunci Adjudikasi'!AH41&lt;&gt;"")*('Kunci Adjudikasi'!AB41='Kunci Adjudikasi'!AH41)))/(H41-1),0)</f>
        <v>0</v>
      </c>
      <c r="J41" s="20">
        <f>('Kunci Adjudikasi'!Q41&lt;&gt;"")+('Kunci Adjudikasi'!W41&lt;&gt;"")+('Kunci Adjudikasi'!$E$1&gt;=3)*('Kunci Adjudikasi'!AC41&lt;&gt;"")+('Kunci Adjudikasi'!$E$1&gt;=4)*('Kunci Adjudikasi'!AI41&lt;&gt;"")</f>
        <v>0</v>
      </c>
      <c r="K41" s="20">
        <f>IF(J41&gt;=2,(J41*(J41-1)/2-(('Kunci Adjudikasi'!Q41&lt;&gt;"")*('Kunci Adjudikasi'!W41&lt;&gt;"")*('Kunci Adjudikasi'!Q41='Kunci Adjudikasi'!W41)+('Kunci Adjudikasi'!$E$1&gt;=3)*('Kunci Adjudikasi'!Q41&lt;&gt;"")*('Kunci Adjudikasi'!AC41&lt;&gt;"")*('Kunci Adjudikasi'!Q41='Kunci Adjudikasi'!AC41)+('Kunci Adjudikasi'!$E$1&gt;=4)*('Kunci Adjudikasi'!Q41&lt;&gt;"")*('Kunci Adjudikasi'!AI41&lt;&gt;"")*('Kunci Adjudikasi'!Q41='Kunci Adjudikasi'!AI41)+('Kunci Adjudikasi'!$E$1&gt;=3)*('Kunci Adjudikasi'!W41&lt;&gt;"")*('Kunci Adjudikasi'!AC41&lt;&gt;"")*('Kunci Adjudikasi'!W41='Kunci Adjudikasi'!AC41)+('Kunci Adjudikasi'!$E$1&gt;=4)*('Kunci Adjudikasi'!W41&lt;&gt;"")*('Kunci Adjudikasi'!AI41&lt;&gt;"")*('Kunci Adjudikasi'!W41='Kunci Adjudikasi'!AI41)+('Kunci Adjudikasi'!$E$1&gt;=4)*('Kunci Adjudikasi'!AC41&lt;&gt;"")*('Kunci Adjudikasi'!AI41&lt;&gt;"")*('Kunci Adjudikasi'!AC41='Kunci Adjudikasi'!AI41)))/(J41-1),0)</f>
        <v>0</v>
      </c>
      <c r="L41" s="20">
        <f>('Kunci Adjudikasi'!R41&lt;&gt;"")+('Kunci Adjudikasi'!X41&lt;&gt;"")+('Kunci Adjudikasi'!$E$1&gt;=3)*('Kunci Adjudikasi'!AD41&lt;&gt;"")+('Kunci Adjudikasi'!$E$1&gt;=4)*('Kunci Adjudikasi'!AJ41&lt;&gt;"")</f>
        <v>0</v>
      </c>
      <c r="M41" s="20">
        <f>IF(L41&gt;=2,(L41*(L41-1)/2-(('Kunci Adjudikasi'!R41&lt;&gt;"")*('Kunci Adjudikasi'!X41&lt;&gt;"")*('Kunci Adjudikasi'!R41='Kunci Adjudikasi'!X41)+('Kunci Adjudikasi'!$E$1&gt;=3)*('Kunci Adjudikasi'!R41&lt;&gt;"")*('Kunci Adjudikasi'!AD41&lt;&gt;"")*('Kunci Adjudikasi'!R41='Kunci Adjudikasi'!AD41)+('Kunci Adjudikasi'!$E$1&gt;=4)*('Kunci Adjudikasi'!R41&lt;&gt;"")*('Kunci Adjudikasi'!AJ41&lt;&gt;"")*('Kunci Adjudikasi'!R41='Kunci Adjudikasi'!AJ41)+('Kunci Adjudikasi'!$E$1&gt;=3)*('Kunci Adjudikasi'!X41&lt;&gt;"")*('Kunci Adjudikasi'!AD41&lt;&gt;"")*('Kunci Adjudikasi'!X41='Kunci Adjudikasi'!AD41)+('Kunci Adjudikasi'!$E$1&gt;=4)*('Kunci Adjudikasi'!X41&lt;&gt;"")*('Kunci Adjudikasi'!AJ41&lt;&gt;"")*('Kunci Adjudikasi'!X41='Kunci Adjudikasi'!AJ41)+('Kunci Adjudikasi'!$E$1&gt;=4)*('Kunci Adjudikasi'!AD41&lt;&gt;"")*('Kunci Adjudikasi'!AJ41&lt;&gt;"")*('Kunci Adjudikasi'!AD41='Kunci Adjudikasi'!AJ41)))/(L41-1),0)</f>
        <v>0</v>
      </c>
      <c r="N41" s="20">
        <f>(LEFT('Kunci Adjudikasi'!N41,2)="R0")+(LEFT('Kunci Adjudikasi'!T41,2)="R0")+('Kunci Adjudikasi'!$E$1&gt;=3)*(LEFT('Kunci Adjudikasi'!Z41,2)="R0")+('Kunci Adjudikasi'!$E$1&gt;=4)*(LEFT('Kunci Adjudikasi'!AF41,2)="R0")</f>
        <v>0</v>
      </c>
      <c r="O41" s="20">
        <f>(LEFT('Kunci Adjudikasi'!N41,2)="R1")+(LEFT('Kunci Adjudikasi'!T41,2)="R1")+('Kunci Adjudikasi'!$E$1&gt;=3)*(LEFT('Kunci Adjudikasi'!Z41,2)="R1")+('Kunci Adjudikasi'!$E$1&gt;=4)*(LEFT('Kunci Adjudikasi'!AF41,2)="R1")</f>
        <v>0</v>
      </c>
      <c r="P41" s="20">
        <f>(LEFT('Kunci Adjudikasi'!N41,2)="R2")+(LEFT('Kunci Adjudikasi'!T41,2)="R2")+('Kunci Adjudikasi'!$E$1&gt;=3)*(LEFT('Kunci Adjudikasi'!Z41,2)="R2")+('Kunci Adjudikasi'!$E$1&gt;=4)*(LEFT('Kunci Adjudikasi'!AF41,2)="R2")</f>
        <v>0</v>
      </c>
      <c r="Q41" s="20">
        <f t="shared" si="43"/>
        <v>0</v>
      </c>
      <c r="R41" s="20">
        <f t="shared" si="44"/>
        <v>0</v>
      </c>
      <c r="S41" s="20">
        <f t="shared" si="45"/>
        <v>0</v>
      </c>
    </row>
    <row r="42">
      <c r="A42" s="20">
        <f>'Kunci Adjudikasi'!A42</f>
        <v>39</v>
      </c>
      <c r="B42" s="20">
        <f>('Kunci Adjudikasi'!M42&lt;&gt;"")+('Kunci Adjudikasi'!S42&lt;&gt;"")+('Kunci Adjudikasi'!$E$1&gt;=3)*('Kunci Adjudikasi'!Y42&lt;&gt;"")+('Kunci Adjudikasi'!$E$1&gt;=4)*('Kunci Adjudikasi'!AE42&lt;&gt;"")</f>
        <v>0</v>
      </c>
      <c r="C42" s="20">
        <f>IF(B42&gt;=2,(B42*(B42-1)/2-(('Kunci Adjudikasi'!M42&lt;&gt;"")*('Kunci Adjudikasi'!S42&lt;&gt;"")*('Kunci Adjudikasi'!M42='Kunci Adjudikasi'!S42)+('Kunci Adjudikasi'!$E$1&gt;=3)*('Kunci Adjudikasi'!M42&lt;&gt;"")*('Kunci Adjudikasi'!Y42&lt;&gt;"")*('Kunci Adjudikasi'!M42='Kunci Adjudikasi'!Y42)+('Kunci Adjudikasi'!$E$1&gt;=4)*('Kunci Adjudikasi'!M42&lt;&gt;"")*('Kunci Adjudikasi'!AE42&lt;&gt;"")*('Kunci Adjudikasi'!M42='Kunci Adjudikasi'!AE42)+('Kunci Adjudikasi'!$E$1&gt;=3)*('Kunci Adjudikasi'!S42&lt;&gt;"")*('Kunci Adjudikasi'!Y42&lt;&gt;"")*('Kunci Adjudikasi'!S42='Kunci Adjudikasi'!Y42)+('Kunci Adjudikasi'!$E$1&gt;=4)*('Kunci Adjudikasi'!S42&lt;&gt;"")*('Kunci Adjudikasi'!AE42&lt;&gt;"")*('Kunci Adjudikasi'!S42='Kunci Adjudikasi'!AE42)+('Kunci Adjudikasi'!$E$1&gt;=4)*('Kunci Adjudikasi'!Y42&lt;&gt;"")*('Kunci Adjudikasi'!AE42&lt;&gt;"")*('Kunci Adjudikasi'!Y42='Kunci Adjudikasi'!AE42)))/(B42-1),0)</f>
        <v>0</v>
      </c>
      <c r="D42" s="20">
        <f>('Kunci Adjudikasi'!N42&lt;&gt;"")+('Kunci Adjudikasi'!T42&lt;&gt;"")+('Kunci Adjudikasi'!$E$1&gt;=3)*('Kunci Adjudikasi'!Z42&lt;&gt;"")+('Kunci Adjudikasi'!$E$1&gt;=4)*('Kunci Adjudikasi'!AF42&lt;&gt;"")</f>
        <v>0</v>
      </c>
      <c r="E42" s="20">
        <f>IF(D42&gt;=2,(D42*(D42-1)/2-(('Kunci Adjudikasi'!N42&lt;&gt;"")*('Kunci Adjudikasi'!T42&lt;&gt;"")*('Kunci Adjudikasi'!N42='Kunci Adjudikasi'!T42)+('Kunci Adjudikasi'!$E$1&gt;=3)*('Kunci Adjudikasi'!N42&lt;&gt;"")*('Kunci Adjudikasi'!Z42&lt;&gt;"")*('Kunci Adjudikasi'!N42='Kunci Adjudikasi'!Z42)+('Kunci Adjudikasi'!$E$1&gt;=4)*('Kunci Adjudikasi'!N42&lt;&gt;"")*('Kunci Adjudikasi'!AF42&lt;&gt;"")*('Kunci Adjudikasi'!N42='Kunci Adjudikasi'!AF42)+('Kunci Adjudikasi'!$E$1&gt;=3)*('Kunci Adjudikasi'!T42&lt;&gt;"")*('Kunci Adjudikasi'!Z42&lt;&gt;"")*('Kunci Adjudikasi'!T42='Kunci Adjudikasi'!Z42)+('Kunci Adjudikasi'!$E$1&gt;=4)*('Kunci Adjudikasi'!T42&lt;&gt;"")*('Kunci Adjudikasi'!AF42&lt;&gt;"")*('Kunci Adjudikasi'!T42='Kunci Adjudikasi'!AF42)+('Kunci Adjudikasi'!$E$1&gt;=4)*('Kunci Adjudikasi'!Z42&lt;&gt;"")*('Kunci Adjudikasi'!AF42&lt;&gt;"")*('Kunci Adjudikasi'!Z42='Kunci Adjudikasi'!AF42)))/(D42-1),0)</f>
        <v>0</v>
      </c>
      <c r="F42" s="20">
        <f>('Kunci Adjudikasi'!O42&lt;&gt;"")+('Kunci Adjudikasi'!U42&lt;&gt;"")+('Kunci Adjudikasi'!$E$1&gt;=3)*('Kunci Adjudikasi'!AA42&lt;&gt;"")+('Kunci Adjudikasi'!$E$1&gt;=4)*('Kunci Adjudikasi'!AG42&lt;&gt;"")</f>
        <v>0</v>
      </c>
      <c r="G42" s="20">
        <f>IF(F42&gt;=2,(F42*(F42-1)/2-(('Kunci Adjudikasi'!O42&lt;&gt;"")*('Kunci Adjudikasi'!U42&lt;&gt;"")*('Kunci Adjudikasi'!O42='Kunci Adjudikasi'!U42)+('Kunci Adjudikasi'!$E$1&gt;=3)*('Kunci Adjudikasi'!O42&lt;&gt;"")*('Kunci Adjudikasi'!AA42&lt;&gt;"")*('Kunci Adjudikasi'!O42='Kunci Adjudikasi'!AA42)+('Kunci Adjudikasi'!$E$1&gt;=4)*('Kunci Adjudikasi'!O42&lt;&gt;"")*('Kunci Adjudikasi'!AG42&lt;&gt;"")*('Kunci Adjudikasi'!O42='Kunci Adjudikasi'!AG42)+('Kunci Adjudikasi'!$E$1&gt;=3)*('Kunci Adjudikasi'!U42&lt;&gt;"")*('Kunci Adjudikasi'!AA42&lt;&gt;"")*('Kunci Adjudikasi'!U42='Kunci Adjudikasi'!AA42)+('Kunci Adjudikasi'!$E$1&gt;=4)*('Kunci Adjudikasi'!U42&lt;&gt;"")*('Kunci Adjudikasi'!AG42&lt;&gt;"")*('Kunci Adjudikasi'!U42='Kunci Adjudikasi'!AG42)+('Kunci Adjudikasi'!$E$1&gt;=4)*('Kunci Adjudikasi'!AA42&lt;&gt;"")*('Kunci Adjudikasi'!AG42&lt;&gt;"")*('Kunci Adjudikasi'!AA42='Kunci Adjudikasi'!AG42)))/(F42-1),0)</f>
        <v>0</v>
      </c>
      <c r="H42" s="20">
        <f>('Kunci Adjudikasi'!P42&lt;&gt;"")+('Kunci Adjudikasi'!V42&lt;&gt;"")+('Kunci Adjudikasi'!$E$1&gt;=3)*('Kunci Adjudikasi'!AB42&lt;&gt;"")+('Kunci Adjudikasi'!$E$1&gt;=4)*('Kunci Adjudikasi'!AH42&lt;&gt;"")</f>
        <v>0</v>
      </c>
      <c r="I42" s="20">
        <f>IF(H42&gt;=2,(H42*(H42-1)/2-(('Kunci Adjudikasi'!P42&lt;&gt;"")*('Kunci Adjudikasi'!V42&lt;&gt;"")*('Kunci Adjudikasi'!P42='Kunci Adjudikasi'!V42)+('Kunci Adjudikasi'!$E$1&gt;=3)*('Kunci Adjudikasi'!P42&lt;&gt;"")*('Kunci Adjudikasi'!AB42&lt;&gt;"")*('Kunci Adjudikasi'!P42='Kunci Adjudikasi'!AB42)+('Kunci Adjudikasi'!$E$1&gt;=4)*('Kunci Adjudikasi'!P42&lt;&gt;"")*('Kunci Adjudikasi'!AH42&lt;&gt;"")*('Kunci Adjudikasi'!P42='Kunci Adjudikasi'!AH42)+('Kunci Adjudikasi'!$E$1&gt;=3)*('Kunci Adjudikasi'!V42&lt;&gt;"")*('Kunci Adjudikasi'!AB42&lt;&gt;"")*('Kunci Adjudikasi'!V42='Kunci Adjudikasi'!AB42)+('Kunci Adjudikasi'!$E$1&gt;=4)*('Kunci Adjudikasi'!V42&lt;&gt;"")*('Kunci Adjudikasi'!AH42&lt;&gt;"")*('Kunci Adjudikasi'!V42='Kunci Adjudikasi'!AH42)+('Kunci Adjudikasi'!$E$1&gt;=4)*('Kunci Adjudikasi'!AB42&lt;&gt;"")*('Kunci Adjudikasi'!AH42&lt;&gt;"")*('Kunci Adjudikasi'!AB42='Kunci Adjudikasi'!AH42)))/(H42-1),0)</f>
        <v>0</v>
      </c>
      <c r="J42" s="20">
        <f>('Kunci Adjudikasi'!Q42&lt;&gt;"")+('Kunci Adjudikasi'!W42&lt;&gt;"")+('Kunci Adjudikasi'!$E$1&gt;=3)*('Kunci Adjudikasi'!AC42&lt;&gt;"")+('Kunci Adjudikasi'!$E$1&gt;=4)*('Kunci Adjudikasi'!AI42&lt;&gt;"")</f>
        <v>0</v>
      </c>
      <c r="K42" s="20">
        <f>IF(J42&gt;=2,(J42*(J42-1)/2-(('Kunci Adjudikasi'!Q42&lt;&gt;"")*('Kunci Adjudikasi'!W42&lt;&gt;"")*('Kunci Adjudikasi'!Q42='Kunci Adjudikasi'!W42)+('Kunci Adjudikasi'!$E$1&gt;=3)*('Kunci Adjudikasi'!Q42&lt;&gt;"")*('Kunci Adjudikasi'!AC42&lt;&gt;"")*('Kunci Adjudikasi'!Q42='Kunci Adjudikasi'!AC42)+('Kunci Adjudikasi'!$E$1&gt;=4)*('Kunci Adjudikasi'!Q42&lt;&gt;"")*('Kunci Adjudikasi'!AI42&lt;&gt;"")*('Kunci Adjudikasi'!Q42='Kunci Adjudikasi'!AI42)+('Kunci Adjudikasi'!$E$1&gt;=3)*('Kunci Adjudikasi'!W42&lt;&gt;"")*('Kunci Adjudikasi'!AC42&lt;&gt;"")*('Kunci Adjudikasi'!W42='Kunci Adjudikasi'!AC42)+('Kunci Adjudikasi'!$E$1&gt;=4)*('Kunci Adjudikasi'!W42&lt;&gt;"")*('Kunci Adjudikasi'!AI42&lt;&gt;"")*('Kunci Adjudikasi'!W42='Kunci Adjudikasi'!AI42)+('Kunci Adjudikasi'!$E$1&gt;=4)*('Kunci Adjudikasi'!AC42&lt;&gt;"")*('Kunci Adjudikasi'!AI42&lt;&gt;"")*('Kunci Adjudikasi'!AC42='Kunci Adjudikasi'!AI42)))/(J42-1),0)</f>
        <v>0</v>
      </c>
      <c r="L42" s="20">
        <f>('Kunci Adjudikasi'!R42&lt;&gt;"")+('Kunci Adjudikasi'!X42&lt;&gt;"")+('Kunci Adjudikasi'!$E$1&gt;=3)*('Kunci Adjudikasi'!AD42&lt;&gt;"")+('Kunci Adjudikasi'!$E$1&gt;=4)*('Kunci Adjudikasi'!AJ42&lt;&gt;"")</f>
        <v>0</v>
      </c>
      <c r="M42" s="20">
        <f>IF(L42&gt;=2,(L42*(L42-1)/2-(('Kunci Adjudikasi'!R42&lt;&gt;"")*('Kunci Adjudikasi'!X42&lt;&gt;"")*('Kunci Adjudikasi'!R42='Kunci Adjudikasi'!X42)+('Kunci Adjudikasi'!$E$1&gt;=3)*('Kunci Adjudikasi'!R42&lt;&gt;"")*('Kunci Adjudikasi'!AD42&lt;&gt;"")*('Kunci Adjudikasi'!R42='Kunci Adjudikasi'!AD42)+('Kunci Adjudikasi'!$E$1&gt;=4)*('Kunci Adjudikasi'!R42&lt;&gt;"")*('Kunci Adjudikasi'!AJ42&lt;&gt;"")*('Kunci Adjudikasi'!R42='Kunci Adjudikasi'!AJ42)+('Kunci Adjudikasi'!$E$1&gt;=3)*('Kunci Adjudikasi'!X42&lt;&gt;"")*('Kunci Adjudikasi'!AD42&lt;&gt;"")*('Kunci Adjudikasi'!X42='Kunci Adjudikasi'!AD42)+('Kunci Adjudikasi'!$E$1&gt;=4)*('Kunci Adjudikasi'!X42&lt;&gt;"")*('Kunci Adjudikasi'!AJ42&lt;&gt;"")*('Kunci Adjudikasi'!X42='Kunci Adjudikasi'!AJ42)+('Kunci Adjudikasi'!$E$1&gt;=4)*('Kunci Adjudikasi'!AD42&lt;&gt;"")*('Kunci Adjudikasi'!AJ42&lt;&gt;"")*('Kunci Adjudikasi'!AD42='Kunci Adjudikasi'!AJ42)))/(L42-1),0)</f>
        <v>0</v>
      </c>
      <c r="N42" s="20">
        <f>(LEFT('Kunci Adjudikasi'!N42,2)="R0")+(LEFT('Kunci Adjudikasi'!T42,2)="R0")+('Kunci Adjudikasi'!$E$1&gt;=3)*(LEFT('Kunci Adjudikasi'!Z42,2)="R0")+('Kunci Adjudikasi'!$E$1&gt;=4)*(LEFT('Kunci Adjudikasi'!AF42,2)="R0")</f>
        <v>0</v>
      </c>
      <c r="O42" s="20">
        <f>(LEFT('Kunci Adjudikasi'!N42,2)="R1")+(LEFT('Kunci Adjudikasi'!T42,2)="R1")+('Kunci Adjudikasi'!$E$1&gt;=3)*(LEFT('Kunci Adjudikasi'!Z42,2)="R1")+('Kunci Adjudikasi'!$E$1&gt;=4)*(LEFT('Kunci Adjudikasi'!AF42,2)="R1")</f>
        <v>0</v>
      </c>
      <c r="P42" s="20">
        <f>(LEFT('Kunci Adjudikasi'!N42,2)="R2")+(LEFT('Kunci Adjudikasi'!T42,2)="R2")+('Kunci Adjudikasi'!$E$1&gt;=3)*(LEFT('Kunci Adjudikasi'!Z42,2)="R2")+('Kunci Adjudikasi'!$E$1&gt;=4)*(LEFT('Kunci Adjudikasi'!AF42,2)="R2")</f>
        <v>0</v>
      </c>
      <c r="Q42" s="20">
        <f t="shared" si="43"/>
        <v>0</v>
      </c>
      <c r="R42" s="20">
        <f t="shared" si="44"/>
        <v>0</v>
      </c>
      <c r="S42" s="20">
        <f t="shared" si="45"/>
        <v>0</v>
      </c>
    </row>
    <row r="43">
      <c r="A43" s="20">
        <f>'Kunci Adjudikasi'!A43</f>
        <v>40</v>
      </c>
      <c r="B43" s="20">
        <f>('Kunci Adjudikasi'!M43&lt;&gt;"")+('Kunci Adjudikasi'!S43&lt;&gt;"")+('Kunci Adjudikasi'!$E$1&gt;=3)*('Kunci Adjudikasi'!Y43&lt;&gt;"")+('Kunci Adjudikasi'!$E$1&gt;=4)*('Kunci Adjudikasi'!AE43&lt;&gt;"")</f>
        <v>0</v>
      </c>
      <c r="C43" s="20">
        <f>IF(B43&gt;=2,(B43*(B43-1)/2-(('Kunci Adjudikasi'!M43&lt;&gt;"")*('Kunci Adjudikasi'!S43&lt;&gt;"")*('Kunci Adjudikasi'!M43='Kunci Adjudikasi'!S43)+('Kunci Adjudikasi'!$E$1&gt;=3)*('Kunci Adjudikasi'!M43&lt;&gt;"")*('Kunci Adjudikasi'!Y43&lt;&gt;"")*('Kunci Adjudikasi'!M43='Kunci Adjudikasi'!Y43)+('Kunci Adjudikasi'!$E$1&gt;=4)*('Kunci Adjudikasi'!M43&lt;&gt;"")*('Kunci Adjudikasi'!AE43&lt;&gt;"")*('Kunci Adjudikasi'!M43='Kunci Adjudikasi'!AE43)+('Kunci Adjudikasi'!$E$1&gt;=3)*('Kunci Adjudikasi'!S43&lt;&gt;"")*('Kunci Adjudikasi'!Y43&lt;&gt;"")*('Kunci Adjudikasi'!S43='Kunci Adjudikasi'!Y43)+('Kunci Adjudikasi'!$E$1&gt;=4)*('Kunci Adjudikasi'!S43&lt;&gt;"")*('Kunci Adjudikasi'!AE43&lt;&gt;"")*('Kunci Adjudikasi'!S43='Kunci Adjudikasi'!AE43)+('Kunci Adjudikasi'!$E$1&gt;=4)*('Kunci Adjudikasi'!Y43&lt;&gt;"")*('Kunci Adjudikasi'!AE43&lt;&gt;"")*('Kunci Adjudikasi'!Y43='Kunci Adjudikasi'!AE43)))/(B43-1),0)</f>
        <v>0</v>
      </c>
      <c r="D43" s="20">
        <f>('Kunci Adjudikasi'!N43&lt;&gt;"")+('Kunci Adjudikasi'!T43&lt;&gt;"")+('Kunci Adjudikasi'!$E$1&gt;=3)*('Kunci Adjudikasi'!Z43&lt;&gt;"")+('Kunci Adjudikasi'!$E$1&gt;=4)*('Kunci Adjudikasi'!AF43&lt;&gt;"")</f>
        <v>0</v>
      </c>
      <c r="E43" s="20">
        <f>IF(D43&gt;=2,(D43*(D43-1)/2-(('Kunci Adjudikasi'!N43&lt;&gt;"")*('Kunci Adjudikasi'!T43&lt;&gt;"")*('Kunci Adjudikasi'!N43='Kunci Adjudikasi'!T43)+('Kunci Adjudikasi'!$E$1&gt;=3)*('Kunci Adjudikasi'!N43&lt;&gt;"")*('Kunci Adjudikasi'!Z43&lt;&gt;"")*('Kunci Adjudikasi'!N43='Kunci Adjudikasi'!Z43)+('Kunci Adjudikasi'!$E$1&gt;=4)*('Kunci Adjudikasi'!N43&lt;&gt;"")*('Kunci Adjudikasi'!AF43&lt;&gt;"")*('Kunci Adjudikasi'!N43='Kunci Adjudikasi'!AF43)+('Kunci Adjudikasi'!$E$1&gt;=3)*('Kunci Adjudikasi'!T43&lt;&gt;"")*('Kunci Adjudikasi'!Z43&lt;&gt;"")*('Kunci Adjudikasi'!T43='Kunci Adjudikasi'!Z43)+('Kunci Adjudikasi'!$E$1&gt;=4)*('Kunci Adjudikasi'!T43&lt;&gt;"")*('Kunci Adjudikasi'!AF43&lt;&gt;"")*('Kunci Adjudikasi'!T43='Kunci Adjudikasi'!AF43)+('Kunci Adjudikasi'!$E$1&gt;=4)*('Kunci Adjudikasi'!Z43&lt;&gt;"")*('Kunci Adjudikasi'!AF43&lt;&gt;"")*('Kunci Adjudikasi'!Z43='Kunci Adjudikasi'!AF43)))/(D43-1),0)</f>
        <v>0</v>
      </c>
      <c r="F43" s="20">
        <f>('Kunci Adjudikasi'!O43&lt;&gt;"")+('Kunci Adjudikasi'!U43&lt;&gt;"")+('Kunci Adjudikasi'!$E$1&gt;=3)*('Kunci Adjudikasi'!AA43&lt;&gt;"")+('Kunci Adjudikasi'!$E$1&gt;=4)*('Kunci Adjudikasi'!AG43&lt;&gt;"")</f>
        <v>0</v>
      </c>
      <c r="G43" s="20">
        <f>IF(F43&gt;=2,(F43*(F43-1)/2-(('Kunci Adjudikasi'!O43&lt;&gt;"")*('Kunci Adjudikasi'!U43&lt;&gt;"")*('Kunci Adjudikasi'!O43='Kunci Adjudikasi'!U43)+('Kunci Adjudikasi'!$E$1&gt;=3)*('Kunci Adjudikasi'!O43&lt;&gt;"")*('Kunci Adjudikasi'!AA43&lt;&gt;"")*('Kunci Adjudikasi'!O43='Kunci Adjudikasi'!AA43)+('Kunci Adjudikasi'!$E$1&gt;=4)*('Kunci Adjudikasi'!O43&lt;&gt;"")*('Kunci Adjudikasi'!AG43&lt;&gt;"")*('Kunci Adjudikasi'!O43='Kunci Adjudikasi'!AG43)+('Kunci Adjudikasi'!$E$1&gt;=3)*('Kunci Adjudikasi'!U43&lt;&gt;"")*('Kunci Adjudikasi'!AA43&lt;&gt;"")*('Kunci Adjudikasi'!U43='Kunci Adjudikasi'!AA43)+('Kunci Adjudikasi'!$E$1&gt;=4)*('Kunci Adjudikasi'!U43&lt;&gt;"")*('Kunci Adjudikasi'!AG43&lt;&gt;"")*('Kunci Adjudikasi'!U43='Kunci Adjudikasi'!AG43)+('Kunci Adjudikasi'!$E$1&gt;=4)*('Kunci Adjudikasi'!AA43&lt;&gt;"")*('Kunci Adjudikasi'!AG43&lt;&gt;"")*('Kunci Adjudikasi'!AA43='Kunci Adjudikasi'!AG43)))/(F43-1),0)</f>
        <v>0</v>
      </c>
      <c r="H43" s="20">
        <f>('Kunci Adjudikasi'!P43&lt;&gt;"")+('Kunci Adjudikasi'!V43&lt;&gt;"")+('Kunci Adjudikasi'!$E$1&gt;=3)*('Kunci Adjudikasi'!AB43&lt;&gt;"")+('Kunci Adjudikasi'!$E$1&gt;=4)*('Kunci Adjudikasi'!AH43&lt;&gt;"")</f>
        <v>0</v>
      </c>
      <c r="I43" s="20">
        <f>IF(H43&gt;=2,(H43*(H43-1)/2-(('Kunci Adjudikasi'!P43&lt;&gt;"")*('Kunci Adjudikasi'!V43&lt;&gt;"")*('Kunci Adjudikasi'!P43='Kunci Adjudikasi'!V43)+('Kunci Adjudikasi'!$E$1&gt;=3)*('Kunci Adjudikasi'!P43&lt;&gt;"")*('Kunci Adjudikasi'!AB43&lt;&gt;"")*('Kunci Adjudikasi'!P43='Kunci Adjudikasi'!AB43)+('Kunci Adjudikasi'!$E$1&gt;=4)*('Kunci Adjudikasi'!P43&lt;&gt;"")*('Kunci Adjudikasi'!AH43&lt;&gt;"")*('Kunci Adjudikasi'!P43='Kunci Adjudikasi'!AH43)+('Kunci Adjudikasi'!$E$1&gt;=3)*('Kunci Adjudikasi'!V43&lt;&gt;"")*('Kunci Adjudikasi'!AB43&lt;&gt;"")*('Kunci Adjudikasi'!V43='Kunci Adjudikasi'!AB43)+('Kunci Adjudikasi'!$E$1&gt;=4)*('Kunci Adjudikasi'!V43&lt;&gt;"")*('Kunci Adjudikasi'!AH43&lt;&gt;"")*('Kunci Adjudikasi'!V43='Kunci Adjudikasi'!AH43)+('Kunci Adjudikasi'!$E$1&gt;=4)*('Kunci Adjudikasi'!AB43&lt;&gt;"")*('Kunci Adjudikasi'!AH43&lt;&gt;"")*('Kunci Adjudikasi'!AB43='Kunci Adjudikasi'!AH43)))/(H43-1),0)</f>
        <v>0</v>
      </c>
      <c r="J43" s="20">
        <f>('Kunci Adjudikasi'!Q43&lt;&gt;"")+('Kunci Adjudikasi'!W43&lt;&gt;"")+('Kunci Adjudikasi'!$E$1&gt;=3)*('Kunci Adjudikasi'!AC43&lt;&gt;"")+('Kunci Adjudikasi'!$E$1&gt;=4)*('Kunci Adjudikasi'!AI43&lt;&gt;"")</f>
        <v>0</v>
      </c>
      <c r="K43" s="20">
        <f>IF(J43&gt;=2,(J43*(J43-1)/2-(('Kunci Adjudikasi'!Q43&lt;&gt;"")*('Kunci Adjudikasi'!W43&lt;&gt;"")*('Kunci Adjudikasi'!Q43='Kunci Adjudikasi'!W43)+('Kunci Adjudikasi'!$E$1&gt;=3)*('Kunci Adjudikasi'!Q43&lt;&gt;"")*('Kunci Adjudikasi'!AC43&lt;&gt;"")*('Kunci Adjudikasi'!Q43='Kunci Adjudikasi'!AC43)+('Kunci Adjudikasi'!$E$1&gt;=4)*('Kunci Adjudikasi'!Q43&lt;&gt;"")*('Kunci Adjudikasi'!AI43&lt;&gt;"")*('Kunci Adjudikasi'!Q43='Kunci Adjudikasi'!AI43)+('Kunci Adjudikasi'!$E$1&gt;=3)*('Kunci Adjudikasi'!W43&lt;&gt;"")*('Kunci Adjudikasi'!AC43&lt;&gt;"")*('Kunci Adjudikasi'!W43='Kunci Adjudikasi'!AC43)+('Kunci Adjudikasi'!$E$1&gt;=4)*('Kunci Adjudikasi'!W43&lt;&gt;"")*('Kunci Adjudikasi'!AI43&lt;&gt;"")*('Kunci Adjudikasi'!W43='Kunci Adjudikasi'!AI43)+('Kunci Adjudikasi'!$E$1&gt;=4)*('Kunci Adjudikasi'!AC43&lt;&gt;"")*('Kunci Adjudikasi'!AI43&lt;&gt;"")*('Kunci Adjudikasi'!AC43='Kunci Adjudikasi'!AI43)))/(J43-1),0)</f>
        <v>0</v>
      </c>
      <c r="L43" s="20">
        <f>('Kunci Adjudikasi'!R43&lt;&gt;"")+('Kunci Adjudikasi'!X43&lt;&gt;"")+('Kunci Adjudikasi'!$E$1&gt;=3)*('Kunci Adjudikasi'!AD43&lt;&gt;"")+('Kunci Adjudikasi'!$E$1&gt;=4)*('Kunci Adjudikasi'!AJ43&lt;&gt;"")</f>
        <v>0</v>
      </c>
      <c r="M43" s="20">
        <f>IF(L43&gt;=2,(L43*(L43-1)/2-(('Kunci Adjudikasi'!R43&lt;&gt;"")*('Kunci Adjudikasi'!X43&lt;&gt;"")*('Kunci Adjudikasi'!R43='Kunci Adjudikasi'!X43)+('Kunci Adjudikasi'!$E$1&gt;=3)*('Kunci Adjudikasi'!R43&lt;&gt;"")*('Kunci Adjudikasi'!AD43&lt;&gt;"")*('Kunci Adjudikasi'!R43='Kunci Adjudikasi'!AD43)+('Kunci Adjudikasi'!$E$1&gt;=4)*('Kunci Adjudikasi'!R43&lt;&gt;"")*('Kunci Adjudikasi'!AJ43&lt;&gt;"")*('Kunci Adjudikasi'!R43='Kunci Adjudikasi'!AJ43)+('Kunci Adjudikasi'!$E$1&gt;=3)*('Kunci Adjudikasi'!X43&lt;&gt;"")*('Kunci Adjudikasi'!AD43&lt;&gt;"")*('Kunci Adjudikasi'!X43='Kunci Adjudikasi'!AD43)+('Kunci Adjudikasi'!$E$1&gt;=4)*('Kunci Adjudikasi'!X43&lt;&gt;"")*('Kunci Adjudikasi'!AJ43&lt;&gt;"")*('Kunci Adjudikasi'!X43='Kunci Adjudikasi'!AJ43)+('Kunci Adjudikasi'!$E$1&gt;=4)*('Kunci Adjudikasi'!AD43&lt;&gt;"")*('Kunci Adjudikasi'!AJ43&lt;&gt;"")*('Kunci Adjudikasi'!AD43='Kunci Adjudikasi'!AJ43)))/(L43-1),0)</f>
        <v>0</v>
      </c>
      <c r="N43" s="20">
        <f>(LEFT('Kunci Adjudikasi'!N43,2)="R0")+(LEFT('Kunci Adjudikasi'!T43,2)="R0")+('Kunci Adjudikasi'!$E$1&gt;=3)*(LEFT('Kunci Adjudikasi'!Z43,2)="R0")+('Kunci Adjudikasi'!$E$1&gt;=4)*(LEFT('Kunci Adjudikasi'!AF43,2)="R0")</f>
        <v>0</v>
      </c>
      <c r="O43" s="20">
        <f>(LEFT('Kunci Adjudikasi'!N43,2)="R1")+(LEFT('Kunci Adjudikasi'!T43,2)="R1")+('Kunci Adjudikasi'!$E$1&gt;=3)*(LEFT('Kunci Adjudikasi'!Z43,2)="R1")+('Kunci Adjudikasi'!$E$1&gt;=4)*(LEFT('Kunci Adjudikasi'!AF43,2)="R1")</f>
        <v>0</v>
      </c>
      <c r="P43" s="20">
        <f>(LEFT('Kunci Adjudikasi'!N43,2)="R2")+(LEFT('Kunci Adjudikasi'!T43,2)="R2")+('Kunci Adjudikasi'!$E$1&gt;=3)*(LEFT('Kunci Adjudikasi'!Z43,2)="R2")+('Kunci Adjudikasi'!$E$1&gt;=4)*(LEFT('Kunci Adjudikasi'!AF43,2)="R2")</f>
        <v>0</v>
      </c>
      <c r="Q43" s="20">
        <f t="shared" si="43"/>
        <v>0</v>
      </c>
      <c r="R43" s="20">
        <f t="shared" si="44"/>
        <v>0</v>
      </c>
      <c r="S43" s="20">
        <f t="shared" si="45"/>
        <v>0</v>
      </c>
    </row>
    <row r="44">
      <c r="A44" s="20">
        <f>'Kunci Adjudikasi'!A44</f>
        <v>41</v>
      </c>
      <c r="B44" s="20">
        <f>('Kunci Adjudikasi'!M44&lt;&gt;"")+('Kunci Adjudikasi'!S44&lt;&gt;"")+('Kunci Adjudikasi'!$E$1&gt;=3)*('Kunci Adjudikasi'!Y44&lt;&gt;"")+('Kunci Adjudikasi'!$E$1&gt;=4)*('Kunci Adjudikasi'!AE44&lt;&gt;"")</f>
        <v>0</v>
      </c>
      <c r="C44" s="20">
        <f>IF(B44&gt;=2,(B44*(B44-1)/2-(('Kunci Adjudikasi'!M44&lt;&gt;"")*('Kunci Adjudikasi'!S44&lt;&gt;"")*('Kunci Adjudikasi'!M44='Kunci Adjudikasi'!S44)+('Kunci Adjudikasi'!$E$1&gt;=3)*('Kunci Adjudikasi'!M44&lt;&gt;"")*('Kunci Adjudikasi'!Y44&lt;&gt;"")*('Kunci Adjudikasi'!M44='Kunci Adjudikasi'!Y44)+('Kunci Adjudikasi'!$E$1&gt;=4)*('Kunci Adjudikasi'!M44&lt;&gt;"")*('Kunci Adjudikasi'!AE44&lt;&gt;"")*('Kunci Adjudikasi'!M44='Kunci Adjudikasi'!AE44)+('Kunci Adjudikasi'!$E$1&gt;=3)*('Kunci Adjudikasi'!S44&lt;&gt;"")*('Kunci Adjudikasi'!Y44&lt;&gt;"")*('Kunci Adjudikasi'!S44='Kunci Adjudikasi'!Y44)+('Kunci Adjudikasi'!$E$1&gt;=4)*('Kunci Adjudikasi'!S44&lt;&gt;"")*('Kunci Adjudikasi'!AE44&lt;&gt;"")*('Kunci Adjudikasi'!S44='Kunci Adjudikasi'!AE44)+('Kunci Adjudikasi'!$E$1&gt;=4)*('Kunci Adjudikasi'!Y44&lt;&gt;"")*('Kunci Adjudikasi'!AE44&lt;&gt;"")*('Kunci Adjudikasi'!Y44='Kunci Adjudikasi'!AE44)))/(B44-1),0)</f>
        <v>0</v>
      </c>
      <c r="D44" s="20">
        <f>('Kunci Adjudikasi'!N44&lt;&gt;"")+('Kunci Adjudikasi'!T44&lt;&gt;"")+('Kunci Adjudikasi'!$E$1&gt;=3)*('Kunci Adjudikasi'!Z44&lt;&gt;"")+('Kunci Adjudikasi'!$E$1&gt;=4)*('Kunci Adjudikasi'!AF44&lt;&gt;"")</f>
        <v>0</v>
      </c>
      <c r="E44" s="20">
        <f>IF(D44&gt;=2,(D44*(D44-1)/2-(('Kunci Adjudikasi'!N44&lt;&gt;"")*('Kunci Adjudikasi'!T44&lt;&gt;"")*('Kunci Adjudikasi'!N44='Kunci Adjudikasi'!T44)+('Kunci Adjudikasi'!$E$1&gt;=3)*('Kunci Adjudikasi'!N44&lt;&gt;"")*('Kunci Adjudikasi'!Z44&lt;&gt;"")*('Kunci Adjudikasi'!N44='Kunci Adjudikasi'!Z44)+('Kunci Adjudikasi'!$E$1&gt;=4)*('Kunci Adjudikasi'!N44&lt;&gt;"")*('Kunci Adjudikasi'!AF44&lt;&gt;"")*('Kunci Adjudikasi'!N44='Kunci Adjudikasi'!AF44)+('Kunci Adjudikasi'!$E$1&gt;=3)*('Kunci Adjudikasi'!T44&lt;&gt;"")*('Kunci Adjudikasi'!Z44&lt;&gt;"")*('Kunci Adjudikasi'!T44='Kunci Adjudikasi'!Z44)+('Kunci Adjudikasi'!$E$1&gt;=4)*('Kunci Adjudikasi'!T44&lt;&gt;"")*('Kunci Adjudikasi'!AF44&lt;&gt;"")*('Kunci Adjudikasi'!T44='Kunci Adjudikasi'!AF44)+('Kunci Adjudikasi'!$E$1&gt;=4)*('Kunci Adjudikasi'!Z44&lt;&gt;"")*('Kunci Adjudikasi'!AF44&lt;&gt;"")*('Kunci Adjudikasi'!Z44='Kunci Adjudikasi'!AF44)))/(D44-1),0)</f>
        <v>0</v>
      </c>
      <c r="F44" s="20">
        <f>('Kunci Adjudikasi'!O44&lt;&gt;"")+('Kunci Adjudikasi'!U44&lt;&gt;"")+('Kunci Adjudikasi'!$E$1&gt;=3)*('Kunci Adjudikasi'!AA44&lt;&gt;"")+('Kunci Adjudikasi'!$E$1&gt;=4)*('Kunci Adjudikasi'!AG44&lt;&gt;"")</f>
        <v>0</v>
      </c>
      <c r="G44" s="20">
        <f>IF(F44&gt;=2,(F44*(F44-1)/2-(('Kunci Adjudikasi'!O44&lt;&gt;"")*('Kunci Adjudikasi'!U44&lt;&gt;"")*('Kunci Adjudikasi'!O44='Kunci Adjudikasi'!U44)+('Kunci Adjudikasi'!$E$1&gt;=3)*('Kunci Adjudikasi'!O44&lt;&gt;"")*('Kunci Adjudikasi'!AA44&lt;&gt;"")*('Kunci Adjudikasi'!O44='Kunci Adjudikasi'!AA44)+('Kunci Adjudikasi'!$E$1&gt;=4)*('Kunci Adjudikasi'!O44&lt;&gt;"")*('Kunci Adjudikasi'!AG44&lt;&gt;"")*('Kunci Adjudikasi'!O44='Kunci Adjudikasi'!AG44)+('Kunci Adjudikasi'!$E$1&gt;=3)*('Kunci Adjudikasi'!U44&lt;&gt;"")*('Kunci Adjudikasi'!AA44&lt;&gt;"")*('Kunci Adjudikasi'!U44='Kunci Adjudikasi'!AA44)+('Kunci Adjudikasi'!$E$1&gt;=4)*('Kunci Adjudikasi'!U44&lt;&gt;"")*('Kunci Adjudikasi'!AG44&lt;&gt;"")*('Kunci Adjudikasi'!U44='Kunci Adjudikasi'!AG44)+('Kunci Adjudikasi'!$E$1&gt;=4)*('Kunci Adjudikasi'!AA44&lt;&gt;"")*('Kunci Adjudikasi'!AG44&lt;&gt;"")*('Kunci Adjudikasi'!AA44='Kunci Adjudikasi'!AG44)))/(F44-1),0)</f>
        <v>0</v>
      </c>
      <c r="H44" s="20">
        <f>('Kunci Adjudikasi'!P44&lt;&gt;"")+('Kunci Adjudikasi'!V44&lt;&gt;"")+('Kunci Adjudikasi'!$E$1&gt;=3)*('Kunci Adjudikasi'!AB44&lt;&gt;"")+('Kunci Adjudikasi'!$E$1&gt;=4)*('Kunci Adjudikasi'!AH44&lt;&gt;"")</f>
        <v>0</v>
      </c>
      <c r="I44" s="20">
        <f>IF(H44&gt;=2,(H44*(H44-1)/2-(('Kunci Adjudikasi'!P44&lt;&gt;"")*('Kunci Adjudikasi'!V44&lt;&gt;"")*('Kunci Adjudikasi'!P44='Kunci Adjudikasi'!V44)+('Kunci Adjudikasi'!$E$1&gt;=3)*('Kunci Adjudikasi'!P44&lt;&gt;"")*('Kunci Adjudikasi'!AB44&lt;&gt;"")*('Kunci Adjudikasi'!P44='Kunci Adjudikasi'!AB44)+('Kunci Adjudikasi'!$E$1&gt;=4)*('Kunci Adjudikasi'!P44&lt;&gt;"")*('Kunci Adjudikasi'!AH44&lt;&gt;"")*('Kunci Adjudikasi'!P44='Kunci Adjudikasi'!AH44)+('Kunci Adjudikasi'!$E$1&gt;=3)*('Kunci Adjudikasi'!V44&lt;&gt;"")*('Kunci Adjudikasi'!AB44&lt;&gt;"")*('Kunci Adjudikasi'!V44='Kunci Adjudikasi'!AB44)+('Kunci Adjudikasi'!$E$1&gt;=4)*('Kunci Adjudikasi'!V44&lt;&gt;"")*('Kunci Adjudikasi'!AH44&lt;&gt;"")*('Kunci Adjudikasi'!V44='Kunci Adjudikasi'!AH44)+('Kunci Adjudikasi'!$E$1&gt;=4)*('Kunci Adjudikasi'!AB44&lt;&gt;"")*('Kunci Adjudikasi'!AH44&lt;&gt;"")*('Kunci Adjudikasi'!AB44='Kunci Adjudikasi'!AH44)))/(H44-1),0)</f>
        <v>0</v>
      </c>
      <c r="J44" s="20">
        <f>('Kunci Adjudikasi'!Q44&lt;&gt;"")+('Kunci Adjudikasi'!W44&lt;&gt;"")+('Kunci Adjudikasi'!$E$1&gt;=3)*('Kunci Adjudikasi'!AC44&lt;&gt;"")+('Kunci Adjudikasi'!$E$1&gt;=4)*('Kunci Adjudikasi'!AI44&lt;&gt;"")</f>
        <v>0</v>
      </c>
      <c r="K44" s="20">
        <f>IF(J44&gt;=2,(J44*(J44-1)/2-(('Kunci Adjudikasi'!Q44&lt;&gt;"")*('Kunci Adjudikasi'!W44&lt;&gt;"")*('Kunci Adjudikasi'!Q44='Kunci Adjudikasi'!W44)+('Kunci Adjudikasi'!$E$1&gt;=3)*('Kunci Adjudikasi'!Q44&lt;&gt;"")*('Kunci Adjudikasi'!AC44&lt;&gt;"")*('Kunci Adjudikasi'!Q44='Kunci Adjudikasi'!AC44)+('Kunci Adjudikasi'!$E$1&gt;=4)*('Kunci Adjudikasi'!Q44&lt;&gt;"")*('Kunci Adjudikasi'!AI44&lt;&gt;"")*('Kunci Adjudikasi'!Q44='Kunci Adjudikasi'!AI44)+('Kunci Adjudikasi'!$E$1&gt;=3)*('Kunci Adjudikasi'!W44&lt;&gt;"")*('Kunci Adjudikasi'!AC44&lt;&gt;"")*('Kunci Adjudikasi'!W44='Kunci Adjudikasi'!AC44)+('Kunci Adjudikasi'!$E$1&gt;=4)*('Kunci Adjudikasi'!W44&lt;&gt;"")*('Kunci Adjudikasi'!AI44&lt;&gt;"")*('Kunci Adjudikasi'!W44='Kunci Adjudikasi'!AI44)+('Kunci Adjudikasi'!$E$1&gt;=4)*('Kunci Adjudikasi'!AC44&lt;&gt;"")*('Kunci Adjudikasi'!AI44&lt;&gt;"")*('Kunci Adjudikasi'!AC44='Kunci Adjudikasi'!AI44)))/(J44-1),0)</f>
        <v>0</v>
      </c>
      <c r="L44" s="20">
        <f>('Kunci Adjudikasi'!R44&lt;&gt;"")+('Kunci Adjudikasi'!X44&lt;&gt;"")+('Kunci Adjudikasi'!$E$1&gt;=3)*('Kunci Adjudikasi'!AD44&lt;&gt;"")+('Kunci Adjudikasi'!$E$1&gt;=4)*('Kunci Adjudikasi'!AJ44&lt;&gt;"")</f>
        <v>0</v>
      </c>
      <c r="M44" s="20">
        <f>IF(L44&gt;=2,(L44*(L44-1)/2-(('Kunci Adjudikasi'!R44&lt;&gt;"")*('Kunci Adjudikasi'!X44&lt;&gt;"")*('Kunci Adjudikasi'!R44='Kunci Adjudikasi'!X44)+('Kunci Adjudikasi'!$E$1&gt;=3)*('Kunci Adjudikasi'!R44&lt;&gt;"")*('Kunci Adjudikasi'!AD44&lt;&gt;"")*('Kunci Adjudikasi'!R44='Kunci Adjudikasi'!AD44)+('Kunci Adjudikasi'!$E$1&gt;=4)*('Kunci Adjudikasi'!R44&lt;&gt;"")*('Kunci Adjudikasi'!AJ44&lt;&gt;"")*('Kunci Adjudikasi'!R44='Kunci Adjudikasi'!AJ44)+('Kunci Adjudikasi'!$E$1&gt;=3)*('Kunci Adjudikasi'!X44&lt;&gt;"")*('Kunci Adjudikasi'!AD44&lt;&gt;"")*('Kunci Adjudikasi'!X44='Kunci Adjudikasi'!AD44)+('Kunci Adjudikasi'!$E$1&gt;=4)*('Kunci Adjudikasi'!X44&lt;&gt;"")*('Kunci Adjudikasi'!AJ44&lt;&gt;"")*('Kunci Adjudikasi'!X44='Kunci Adjudikasi'!AJ44)+('Kunci Adjudikasi'!$E$1&gt;=4)*('Kunci Adjudikasi'!AD44&lt;&gt;"")*('Kunci Adjudikasi'!AJ44&lt;&gt;"")*('Kunci Adjudikasi'!AD44='Kunci Adjudikasi'!AJ44)))/(L44-1),0)</f>
        <v>0</v>
      </c>
      <c r="N44" s="20">
        <f>(LEFT('Kunci Adjudikasi'!N44,2)="R0")+(LEFT('Kunci Adjudikasi'!T44,2)="R0")+('Kunci Adjudikasi'!$E$1&gt;=3)*(LEFT('Kunci Adjudikasi'!Z44,2)="R0")+('Kunci Adjudikasi'!$E$1&gt;=4)*(LEFT('Kunci Adjudikasi'!AF44,2)="R0")</f>
        <v>0</v>
      </c>
      <c r="O44" s="20">
        <f>(LEFT('Kunci Adjudikasi'!N44,2)="R1")+(LEFT('Kunci Adjudikasi'!T44,2)="R1")+('Kunci Adjudikasi'!$E$1&gt;=3)*(LEFT('Kunci Adjudikasi'!Z44,2)="R1")+('Kunci Adjudikasi'!$E$1&gt;=4)*(LEFT('Kunci Adjudikasi'!AF44,2)="R1")</f>
        <v>0</v>
      </c>
      <c r="P44" s="20">
        <f>(LEFT('Kunci Adjudikasi'!N44,2)="R2")+(LEFT('Kunci Adjudikasi'!T44,2)="R2")+('Kunci Adjudikasi'!$E$1&gt;=3)*(LEFT('Kunci Adjudikasi'!Z44,2)="R2")+('Kunci Adjudikasi'!$E$1&gt;=4)*(LEFT('Kunci Adjudikasi'!AF44,2)="R2")</f>
        <v>0</v>
      </c>
      <c r="Q44" s="20">
        <f t="shared" si="43"/>
        <v>0</v>
      </c>
      <c r="R44" s="20">
        <f t="shared" si="44"/>
        <v>0</v>
      </c>
      <c r="S44" s="20">
        <f t="shared" si="45"/>
        <v>0</v>
      </c>
    </row>
    <row r="45">
      <c r="A45" s="20">
        <f>'Kunci Adjudikasi'!A45</f>
        <v>42</v>
      </c>
      <c r="B45" s="20">
        <f>('Kunci Adjudikasi'!M45&lt;&gt;"")+('Kunci Adjudikasi'!S45&lt;&gt;"")+('Kunci Adjudikasi'!$E$1&gt;=3)*('Kunci Adjudikasi'!Y45&lt;&gt;"")+('Kunci Adjudikasi'!$E$1&gt;=4)*('Kunci Adjudikasi'!AE45&lt;&gt;"")</f>
        <v>1</v>
      </c>
      <c r="C45" s="20">
        <f>IF(B45&gt;=2,(B45*(B45-1)/2-(('Kunci Adjudikasi'!M45&lt;&gt;"")*('Kunci Adjudikasi'!S45&lt;&gt;"")*('Kunci Adjudikasi'!M45='Kunci Adjudikasi'!S45)+('Kunci Adjudikasi'!$E$1&gt;=3)*('Kunci Adjudikasi'!M45&lt;&gt;"")*('Kunci Adjudikasi'!Y45&lt;&gt;"")*('Kunci Adjudikasi'!M45='Kunci Adjudikasi'!Y45)+('Kunci Adjudikasi'!$E$1&gt;=4)*('Kunci Adjudikasi'!M45&lt;&gt;"")*('Kunci Adjudikasi'!AE45&lt;&gt;"")*('Kunci Adjudikasi'!M45='Kunci Adjudikasi'!AE45)+('Kunci Adjudikasi'!$E$1&gt;=3)*('Kunci Adjudikasi'!S45&lt;&gt;"")*('Kunci Adjudikasi'!Y45&lt;&gt;"")*('Kunci Adjudikasi'!S45='Kunci Adjudikasi'!Y45)+('Kunci Adjudikasi'!$E$1&gt;=4)*('Kunci Adjudikasi'!S45&lt;&gt;"")*('Kunci Adjudikasi'!AE45&lt;&gt;"")*('Kunci Adjudikasi'!S45='Kunci Adjudikasi'!AE45)+('Kunci Adjudikasi'!$E$1&gt;=4)*('Kunci Adjudikasi'!Y45&lt;&gt;"")*('Kunci Adjudikasi'!AE45&lt;&gt;"")*('Kunci Adjudikasi'!Y45='Kunci Adjudikasi'!AE45)))/(B45-1),0)</f>
        <v>0</v>
      </c>
      <c r="D45" s="20">
        <f>('Kunci Adjudikasi'!N45&lt;&gt;"")+('Kunci Adjudikasi'!T45&lt;&gt;"")+('Kunci Adjudikasi'!$E$1&gt;=3)*('Kunci Adjudikasi'!Z45&lt;&gt;"")+('Kunci Adjudikasi'!$E$1&gt;=4)*('Kunci Adjudikasi'!AF45&lt;&gt;"")</f>
        <v>1</v>
      </c>
      <c r="E45" s="20">
        <f>IF(D45&gt;=2,(D45*(D45-1)/2-(('Kunci Adjudikasi'!N45&lt;&gt;"")*('Kunci Adjudikasi'!T45&lt;&gt;"")*('Kunci Adjudikasi'!N45='Kunci Adjudikasi'!T45)+('Kunci Adjudikasi'!$E$1&gt;=3)*('Kunci Adjudikasi'!N45&lt;&gt;"")*('Kunci Adjudikasi'!Z45&lt;&gt;"")*('Kunci Adjudikasi'!N45='Kunci Adjudikasi'!Z45)+('Kunci Adjudikasi'!$E$1&gt;=4)*('Kunci Adjudikasi'!N45&lt;&gt;"")*('Kunci Adjudikasi'!AF45&lt;&gt;"")*('Kunci Adjudikasi'!N45='Kunci Adjudikasi'!AF45)+('Kunci Adjudikasi'!$E$1&gt;=3)*('Kunci Adjudikasi'!T45&lt;&gt;"")*('Kunci Adjudikasi'!Z45&lt;&gt;"")*('Kunci Adjudikasi'!T45='Kunci Adjudikasi'!Z45)+('Kunci Adjudikasi'!$E$1&gt;=4)*('Kunci Adjudikasi'!T45&lt;&gt;"")*('Kunci Adjudikasi'!AF45&lt;&gt;"")*('Kunci Adjudikasi'!T45='Kunci Adjudikasi'!AF45)+('Kunci Adjudikasi'!$E$1&gt;=4)*('Kunci Adjudikasi'!Z45&lt;&gt;"")*('Kunci Adjudikasi'!AF45&lt;&gt;"")*('Kunci Adjudikasi'!Z45='Kunci Adjudikasi'!AF45)))/(D45-1),0)</f>
        <v>0</v>
      </c>
      <c r="F45" s="20">
        <f>('Kunci Adjudikasi'!O45&lt;&gt;"")+('Kunci Adjudikasi'!U45&lt;&gt;"")+('Kunci Adjudikasi'!$E$1&gt;=3)*('Kunci Adjudikasi'!AA45&lt;&gt;"")+('Kunci Adjudikasi'!$E$1&gt;=4)*('Kunci Adjudikasi'!AG45&lt;&gt;"")</f>
        <v>1</v>
      </c>
      <c r="G45" s="20">
        <f>IF(F45&gt;=2,(F45*(F45-1)/2-(('Kunci Adjudikasi'!O45&lt;&gt;"")*('Kunci Adjudikasi'!U45&lt;&gt;"")*('Kunci Adjudikasi'!O45='Kunci Adjudikasi'!U45)+('Kunci Adjudikasi'!$E$1&gt;=3)*('Kunci Adjudikasi'!O45&lt;&gt;"")*('Kunci Adjudikasi'!AA45&lt;&gt;"")*('Kunci Adjudikasi'!O45='Kunci Adjudikasi'!AA45)+('Kunci Adjudikasi'!$E$1&gt;=4)*('Kunci Adjudikasi'!O45&lt;&gt;"")*('Kunci Adjudikasi'!AG45&lt;&gt;"")*('Kunci Adjudikasi'!O45='Kunci Adjudikasi'!AG45)+('Kunci Adjudikasi'!$E$1&gt;=3)*('Kunci Adjudikasi'!U45&lt;&gt;"")*('Kunci Adjudikasi'!AA45&lt;&gt;"")*('Kunci Adjudikasi'!U45='Kunci Adjudikasi'!AA45)+('Kunci Adjudikasi'!$E$1&gt;=4)*('Kunci Adjudikasi'!U45&lt;&gt;"")*('Kunci Adjudikasi'!AG45&lt;&gt;"")*('Kunci Adjudikasi'!U45='Kunci Adjudikasi'!AG45)+('Kunci Adjudikasi'!$E$1&gt;=4)*('Kunci Adjudikasi'!AA45&lt;&gt;"")*('Kunci Adjudikasi'!AG45&lt;&gt;"")*('Kunci Adjudikasi'!AA45='Kunci Adjudikasi'!AG45)))/(F45-1),0)</f>
        <v>0</v>
      </c>
      <c r="H45" s="20">
        <f>('Kunci Adjudikasi'!P45&lt;&gt;"")+('Kunci Adjudikasi'!V45&lt;&gt;"")+('Kunci Adjudikasi'!$E$1&gt;=3)*('Kunci Adjudikasi'!AB45&lt;&gt;"")+('Kunci Adjudikasi'!$E$1&gt;=4)*('Kunci Adjudikasi'!AH45&lt;&gt;"")</f>
        <v>1</v>
      </c>
      <c r="I45" s="20">
        <f>IF(H45&gt;=2,(H45*(H45-1)/2-(('Kunci Adjudikasi'!P45&lt;&gt;"")*('Kunci Adjudikasi'!V45&lt;&gt;"")*('Kunci Adjudikasi'!P45='Kunci Adjudikasi'!V45)+('Kunci Adjudikasi'!$E$1&gt;=3)*('Kunci Adjudikasi'!P45&lt;&gt;"")*('Kunci Adjudikasi'!AB45&lt;&gt;"")*('Kunci Adjudikasi'!P45='Kunci Adjudikasi'!AB45)+('Kunci Adjudikasi'!$E$1&gt;=4)*('Kunci Adjudikasi'!P45&lt;&gt;"")*('Kunci Adjudikasi'!AH45&lt;&gt;"")*('Kunci Adjudikasi'!P45='Kunci Adjudikasi'!AH45)+('Kunci Adjudikasi'!$E$1&gt;=3)*('Kunci Adjudikasi'!V45&lt;&gt;"")*('Kunci Adjudikasi'!AB45&lt;&gt;"")*('Kunci Adjudikasi'!V45='Kunci Adjudikasi'!AB45)+('Kunci Adjudikasi'!$E$1&gt;=4)*('Kunci Adjudikasi'!V45&lt;&gt;"")*('Kunci Adjudikasi'!AH45&lt;&gt;"")*('Kunci Adjudikasi'!V45='Kunci Adjudikasi'!AH45)+('Kunci Adjudikasi'!$E$1&gt;=4)*('Kunci Adjudikasi'!AB45&lt;&gt;"")*('Kunci Adjudikasi'!AH45&lt;&gt;"")*('Kunci Adjudikasi'!AB45='Kunci Adjudikasi'!AH45)))/(H45-1),0)</f>
        <v>0</v>
      </c>
      <c r="J45" s="20">
        <f>('Kunci Adjudikasi'!Q45&lt;&gt;"")+('Kunci Adjudikasi'!W45&lt;&gt;"")+('Kunci Adjudikasi'!$E$1&gt;=3)*('Kunci Adjudikasi'!AC45&lt;&gt;"")+('Kunci Adjudikasi'!$E$1&gt;=4)*('Kunci Adjudikasi'!AI45&lt;&gt;"")</f>
        <v>1</v>
      </c>
      <c r="K45" s="20">
        <f>IF(J45&gt;=2,(J45*(J45-1)/2-(('Kunci Adjudikasi'!Q45&lt;&gt;"")*('Kunci Adjudikasi'!W45&lt;&gt;"")*('Kunci Adjudikasi'!Q45='Kunci Adjudikasi'!W45)+('Kunci Adjudikasi'!$E$1&gt;=3)*('Kunci Adjudikasi'!Q45&lt;&gt;"")*('Kunci Adjudikasi'!AC45&lt;&gt;"")*('Kunci Adjudikasi'!Q45='Kunci Adjudikasi'!AC45)+('Kunci Adjudikasi'!$E$1&gt;=4)*('Kunci Adjudikasi'!Q45&lt;&gt;"")*('Kunci Adjudikasi'!AI45&lt;&gt;"")*('Kunci Adjudikasi'!Q45='Kunci Adjudikasi'!AI45)+('Kunci Adjudikasi'!$E$1&gt;=3)*('Kunci Adjudikasi'!W45&lt;&gt;"")*('Kunci Adjudikasi'!AC45&lt;&gt;"")*('Kunci Adjudikasi'!W45='Kunci Adjudikasi'!AC45)+('Kunci Adjudikasi'!$E$1&gt;=4)*('Kunci Adjudikasi'!W45&lt;&gt;"")*('Kunci Adjudikasi'!AI45&lt;&gt;"")*('Kunci Adjudikasi'!W45='Kunci Adjudikasi'!AI45)+('Kunci Adjudikasi'!$E$1&gt;=4)*('Kunci Adjudikasi'!AC45&lt;&gt;"")*('Kunci Adjudikasi'!AI45&lt;&gt;"")*('Kunci Adjudikasi'!AC45='Kunci Adjudikasi'!AI45)))/(J45-1),0)</f>
        <v>0</v>
      </c>
      <c r="L45" s="20">
        <f>('Kunci Adjudikasi'!R45&lt;&gt;"")+('Kunci Adjudikasi'!X45&lt;&gt;"")+('Kunci Adjudikasi'!$E$1&gt;=3)*('Kunci Adjudikasi'!AD45&lt;&gt;"")+('Kunci Adjudikasi'!$E$1&gt;=4)*('Kunci Adjudikasi'!AJ45&lt;&gt;"")</f>
        <v>1</v>
      </c>
      <c r="M45" s="20">
        <f>IF(L45&gt;=2,(L45*(L45-1)/2-(('Kunci Adjudikasi'!R45&lt;&gt;"")*('Kunci Adjudikasi'!X45&lt;&gt;"")*('Kunci Adjudikasi'!R45='Kunci Adjudikasi'!X45)+('Kunci Adjudikasi'!$E$1&gt;=3)*('Kunci Adjudikasi'!R45&lt;&gt;"")*('Kunci Adjudikasi'!AD45&lt;&gt;"")*('Kunci Adjudikasi'!R45='Kunci Adjudikasi'!AD45)+('Kunci Adjudikasi'!$E$1&gt;=4)*('Kunci Adjudikasi'!R45&lt;&gt;"")*('Kunci Adjudikasi'!AJ45&lt;&gt;"")*('Kunci Adjudikasi'!R45='Kunci Adjudikasi'!AJ45)+('Kunci Adjudikasi'!$E$1&gt;=3)*('Kunci Adjudikasi'!X45&lt;&gt;"")*('Kunci Adjudikasi'!AD45&lt;&gt;"")*('Kunci Adjudikasi'!X45='Kunci Adjudikasi'!AD45)+('Kunci Adjudikasi'!$E$1&gt;=4)*('Kunci Adjudikasi'!X45&lt;&gt;"")*('Kunci Adjudikasi'!AJ45&lt;&gt;"")*('Kunci Adjudikasi'!X45='Kunci Adjudikasi'!AJ45)+('Kunci Adjudikasi'!$E$1&gt;=4)*('Kunci Adjudikasi'!AD45&lt;&gt;"")*('Kunci Adjudikasi'!AJ45&lt;&gt;"")*('Kunci Adjudikasi'!AD45='Kunci Adjudikasi'!AJ45)))/(L45-1),0)</f>
        <v>0</v>
      </c>
      <c r="N45" s="20">
        <f>(LEFT('Kunci Adjudikasi'!N45,2)="R0")+(LEFT('Kunci Adjudikasi'!T45,2)="R0")+('Kunci Adjudikasi'!$E$1&gt;=3)*(LEFT('Kunci Adjudikasi'!Z45,2)="R0")+('Kunci Adjudikasi'!$E$1&gt;=4)*(LEFT('Kunci Adjudikasi'!AF45,2)="R0")</f>
        <v>0</v>
      </c>
      <c r="O45" s="20">
        <f>(LEFT('Kunci Adjudikasi'!N45,2)="R1")+(LEFT('Kunci Adjudikasi'!T45,2)="R1")+('Kunci Adjudikasi'!$E$1&gt;=3)*(LEFT('Kunci Adjudikasi'!Z45,2)="R1")+('Kunci Adjudikasi'!$E$1&gt;=4)*(LEFT('Kunci Adjudikasi'!AF45,2)="R1")</f>
        <v>1</v>
      </c>
      <c r="P45" s="20">
        <f>(LEFT('Kunci Adjudikasi'!N45,2)="R2")+(LEFT('Kunci Adjudikasi'!T45,2)="R2")+('Kunci Adjudikasi'!$E$1&gt;=3)*(LEFT('Kunci Adjudikasi'!Z45,2)="R2")+('Kunci Adjudikasi'!$E$1&gt;=4)*(LEFT('Kunci Adjudikasi'!AF45,2)="R2")</f>
        <v>0</v>
      </c>
      <c r="Q45" s="20">
        <f t="shared" si="43"/>
        <v>0</v>
      </c>
      <c r="R45" s="20">
        <f t="shared" si="44"/>
        <v>0</v>
      </c>
      <c r="S45" s="20">
        <f t="shared" si="45"/>
        <v>0</v>
      </c>
    </row>
    <row r="46">
      <c r="A46" s="20">
        <f>'Kunci Adjudikasi'!A46</f>
        <v>43</v>
      </c>
      <c r="B46" s="20">
        <f>('Kunci Adjudikasi'!M46&lt;&gt;"")+('Kunci Adjudikasi'!S46&lt;&gt;"")+('Kunci Adjudikasi'!$E$1&gt;=3)*('Kunci Adjudikasi'!Y46&lt;&gt;"")+('Kunci Adjudikasi'!$E$1&gt;=4)*('Kunci Adjudikasi'!AE46&lt;&gt;"")</f>
        <v>0</v>
      </c>
      <c r="C46" s="20">
        <f>IF(B46&gt;=2,(B46*(B46-1)/2-(('Kunci Adjudikasi'!M46&lt;&gt;"")*('Kunci Adjudikasi'!S46&lt;&gt;"")*('Kunci Adjudikasi'!M46='Kunci Adjudikasi'!S46)+('Kunci Adjudikasi'!$E$1&gt;=3)*('Kunci Adjudikasi'!M46&lt;&gt;"")*('Kunci Adjudikasi'!Y46&lt;&gt;"")*('Kunci Adjudikasi'!M46='Kunci Adjudikasi'!Y46)+('Kunci Adjudikasi'!$E$1&gt;=4)*('Kunci Adjudikasi'!M46&lt;&gt;"")*('Kunci Adjudikasi'!AE46&lt;&gt;"")*('Kunci Adjudikasi'!M46='Kunci Adjudikasi'!AE46)+('Kunci Adjudikasi'!$E$1&gt;=3)*('Kunci Adjudikasi'!S46&lt;&gt;"")*('Kunci Adjudikasi'!Y46&lt;&gt;"")*('Kunci Adjudikasi'!S46='Kunci Adjudikasi'!Y46)+('Kunci Adjudikasi'!$E$1&gt;=4)*('Kunci Adjudikasi'!S46&lt;&gt;"")*('Kunci Adjudikasi'!AE46&lt;&gt;"")*('Kunci Adjudikasi'!S46='Kunci Adjudikasi'!AE46)+('Kunci Adjudikasi'!$E$1&gt;=4)*('Kunci Adjudikasi'!Y46&lt;&gt;"")*('Kunci Adjudikasi'!AE46&lt;&gt;"")*('Kunci Adjudikasi'!Y46='Kunci Adjudikasi'!AE46)))/(B46-1),0)</f>
        <v>0</v>
      </c>
      <c r="D46" s="20">
        <f>('Kunci Adjudikasi'!N46&lt;&gt;"")+('Kunci Adjudikasi'!T46&lt;&gt;"")+('Kunci Adjudikasi'!$E$1&gt;=3)*('Kunci Adjudikasi'!Z46&lt;&gt;"")+('Kunci Adjudikasi'!$E$1&gt;=4)*('Kunci Adjudikasi'!AF46&lt;&gt;"")</f>
        <v>0</v>
      </c>
      <c r="E46" s="20">
        <f>IF(D46&gt;=2,(D46*(D46-1)/2-(('Kunci Adjudikasi'!N46&lt;&gt;"")*('Kunci Adjudikasi'!T46&lt;&gt;"")*('Kunci Adjudikasi'!N46='Kunci Adjudikasi'!T46)+('Kunci Adjudikasi'!$E$1&gt;=3)*('Kunci Adjudikasi'!N46&lt;&gt;"")*('Kunci Adjudikasi'!Z46&lt;&gt;"")*('Kunci Adjudikasi'!N46='Kunci Adjudikasi'!Z46)+('Kunci Adjudikasi'!$E$1&gt;=4)*('Kunci Adjudikasi'!N46&lt;&gt;"")*('Kunci Adjudikasi'!AF46&lt;&gt;"")*('Kunci Adjudikasi'!N46='Kunci Adjudikasi'!AF46)+('Kunci Adjudikasi'!$E$1&gt;=3)*('Kunci Adjudikasi'!T46&lt;&gt;"")*('Kunci Adjudikasi'!Z46&lt;&gt;"")*('Kunci Adjudikasi'!T46='Kunci Adjudikasi'!Z46)+('Kunci Adjudikasi'!$E$1&gt;=4)*('Kunci Adjudikasi'!T46&lt;&gt;"")*('Kunci Adjudikasi'!AF46&lt;&gt;"")*('Kunci Adjudikasi'!T46='Kunci Adjudikasi'!AF46)+('Kunci Adjudikasi'!$E$1&gt;=4)*('Kunci Adjudikasi'!Z46&lt;&gt;"")*('Kunci Adjudikasi'!AF46&lt;&gt;"")*('Kunci Adjudikasi'!Z46='Kunci Adjudikasi'!AF46)))/(D46-1),0)</f>
        <v>0</v>
      </c>
      <c r="F46" s="20">
        <f>('Kunci Adjudikasi'!O46&lt;&gt;"")+('Kunci Adjudikasi'!U46&lt;&gt;"")+('Kunci Adjudikasi'!$E$1&gt;=3)*('Kunci Adjudikasi'!AA46&lt;&gt;"")+('Kunci Adjudikasi'!$E$1&gt;=4)*('Kunci Adjudikasi'!AG46&lt;&gt;"")</f>
        <v>0</v>
      </c>
      <c r="G46" s="20">
        <f>IF(F46&gt;=2,(F46*(F46-1)/2-(('Kunci Adjudikasi'!O46&lt;&gt;"")*('Kunci Adjudikasi'!U46&lt;&gt;"")*('Kunci Adjudikasi'!O46='Kunci Adjudikasi'!U46)+('Kunci Adjudikasi'!$E$1&gt;=3)*('Kunci Adjudikasi'!O46&lt;&gt;"")*('Kunci Adjudikasi'!AA46&lt;&gt;"")*('Kunci Adjudikasi'!O46='Kunci Adjudikasi'!AA46)+('Kunci Adjudikasi'!$E$1&gt;=4)*('Kunci Adjudikasi'!O46&lt;&gt;"")*('Kunci Adjudikasi'!AG46&lt;&gt;"")*('Kunci Adjudikasi'!O46='Kunci Adjudikasi'!AG46)+('Kunci Adjudikasi'!$E$1&gt;=3)*('Kunci Adjudikasi'!U46&lt;&gt;"")*('Kunci Adjudikasi'!AA46&lt;&gt;"")*('Kunci Adjudikasi'!U46='Kunci Adjudikasi'!AA46)+('Kunci Adjudikasi'!$E$1&gt;=4)*('Kunci Adjudikasi'!U46&lt;&gt;"")*('Kunci Adjudikasi'!AG46&lt;&gt;"")*('Kunci Adjudikasi'!U46='Kunci Adjudikasi'!AG46)+('Kunci Adjudikasi'!$E$1&gt;=4)*('Kunci Adjudikasi'!AA46&lt;&gt;"")*('Kunci Adjudikasi'!AG46&lt;&gt;"")*('Kunci Adjudikasi'!AA46='Kunci Adjudikasi'!AG46)))/(F46-1),0)</f>
        <v>0</v>
      </c>
      <c r="H46" s="20">
        <f>('Kunci Adjudikasi'!P46&lt;&gt;"")+('Kunci Adjudikasi'!V46&lt;&gt;"")+('Kunci Adjudikasi'!$E$1&gt;=3)*('Kunci Adjudikasi'!AB46&lt;&gt;"")+('Kunci Adjudikasi'!$E$1&gt;=4)*('Kunci Adjudikasi'!AH46&lt;&gt;"")</f>
        <v>0</v>
      </c>
      <c r="I46" s="20">
        <f>IF(H46&gt;=2,(H46*(H46-1)/2-(('Kunci Adjudikasi'!P46&lt;&gt;"")*('Kunci Adjudikasi'!V46&lt;&gt;"")*('Kunci Adjudikasi'!P46='Kunci Adjudikasi'!V46)+('Kunci Adjudikasi'!$E$1&gt;=3)*('Kunci Adjudikasi'!P46&lt;&gt;"")*('Kunci Adjudikasi'!AB46&lt;&gt;"")*('Kunci Adjudikasi'!P46='Kunci Adjudikasi'!AB46)+('Kunci Adjudikasi'!$E$1&gt;=4)*('Kunci Adjudikasi'!P46&lt;&gt;"")*('Kunci Adjudikasi'!AH46&lt;&gt;"")*('Kunci Adjudikasi'!P46='Kunci Adjudikasi'!AH46)+('Kunci Adjudikasi'!$E$1&gt;=3)*('Kunci Adjudikasi'!V46&lt;&gt;"")*('Kunci Adjudikasi'!AB46&lt;&gt;"")*('Kunci Adjudikasi'!V46='Kunci Adjudikasi'!AB46)+('Kunci Adjudikasi'!$E$1&gt;=4)*('Kunci Adjudikasi'!V46&lt;&gt;"")*('Kunci Adjudikasi'!AH46&lt;&gt;"")*('Kunci Adjudikasi'!V46='Kunci Adjudikasi'!AH46)+('Kunci Adjudikasi'!$E$1&gt;=4)*('Kunci Adjudikasi'!AB46&lt;&gt;"")*('Kunci Adjudikasi'!AH46&lt;&gt;"")*('Kunci Adjudikasi'!AB46='Kunci Adjudikasi'!AH46)))/(H46-1),0)</f>
        <v>0</v>
      </c>
      <c r="J46" s="20">
        <f>('Kunci Adjudikasi'!Q46&lt;&gt;"")+('Kunci Adjudikasi'!W46&lt;&gt;"")+('Kunci Adjudikasi'!$E$1&gt;=3)*('Kunci Adjudikasi'!AC46&lt;&gt;"")+('Kunci Adjudikasi'!$E$1&gt;=4)*('Kunci Adjudikasi'!AI46&lt;&gt;"")</f>
        <v>0</v>
      </c>
      <c r="K46" s="20">
        <f>IF(J46&gt;=2,(J46*(J46-1)/2-(('Kunci Adjudikasi'!Q46&lt;&gt;"")*('Kunci Adjudikasi'!W46&lt;&gt;"")*('Kunci Adjudikasi'!Q46='Kunci Adjudikasi'!W46)+('Kunci Adjudikasi'!$E$1&gt;=3)*('Kunci Adjudikasi'!Q46&lt;&gt;"")*('Kunci Adjudikasi'!AC46&lt;&gt;"")*('Kunci Adjudikasi'!Q46='Kunci Adjudikasi'!AC46)+('Kunci Adjudikasi'!$E$1&gt;=4)*('Kunci Adjudikasi'!Q46&lt;&gt;"")*('Kunci Adjudikasi'!AI46&lt;&gt;"")*('Kunci Adjudikasi'!Q46='Kunci Adjudikasi'!AI46)+('Kunci Adjudikasi'!$E$1&gt;=3)*('Kunci Adjudikasi'!W46&lt;&gt;"")*('Kunci Adjudikasi'!AC46&lt;&gt;"")*('Kunci Adjudikasi'!W46='Kunci Adjudikasi'!AC46)+('Kunci Adjudikasi'!$E$1&gt;=4)*('Kunci Adjudikasi'!W46&lt;&gt;"")*('Kunci Adjudikasi'!AI46&lt;&gt;"")*('Kunci Adjudikasi'!W46='Kunci Adjudikasi'!AI46)+('Kunci Adjudikasi'!$E$1&gt;=4)*('Kunci Adjudikasi'!AC46&lt;&gt;"")*('Kunci Adjudikasi'!AI46&lt;&gt;"")*('Kunci Adjudikasi'!AC46='Kunci Adjudikasi'!AI46)))/(J46-1),0)</f>
        <v>0</v>
      </c>
      <c r="L46" s="20">
        <f>('Kunci Adjudikasi'!R46&lt;&gt;"")+('Kunci Adjudikasi'!X46&lt;&gt;"")+('Kunci Adjudikasi'!$E$1&gt;=3)*('Kunci Adjudikasi'!AD46&lt;&gt;"")+('Kunci Adjudikasi'!$E$1&gt;=4)*('Kunci Adjudikasi'!AJ46&lt;&gt;"")</f>
        <v>0</v>
      </c>
      <c r="M46" s="20">
        <f>IF(L46&gt;=2,(L46*(L46-1)/2-(('Kunci Adjudikasi'!R46&lt;&gt;"")*('Kunci Adjudikasi'!X46&lt;&gt;"")*('Kunci Adjudikasi'!R46='Kunci Adjudikasi'!X46)+('Kunci Adjudikasi'!$E$1&gt;=3)*('Kunci Adjudikasi'!R46&lt;&gt;"")*('Kunci Adjudikasi'!AD46&lt;&gt;"")*('Kunci Adjudikasi'!R46='Kunci Adjudikasi'!AD46)+('Kunci Adjudikasi'!$E$1&gt;=4)*('Kunci Adjudikasi'!R46&lt;&gt;"")*('Kunci Adjudikasi'!AJ46&lt;&gt;"")*('Kunci Adjudikasi'!R46='Kunci Adjudikasi'!AJ46)+('Kunci Adjudikasi'!$E$1&gt;=3)*('Kunci Adjudikasi'!X46&lt;&gt;"")*('Kunci Adjudikasi'!AD46&lt;&gt;"")*('Kunci Adjudikasi'!X46='Kunci Adjudikasi'!AD46)+('Kunci Adjudikasi'!$E$1&gt;=4)*('Kunci Adjudikasi'!X46&lt;&gt;"")*('Kunci Adjudikasi'!AJ46&lt;&gt;"")*('Kunci Adjudikasi'!X46='Kunci Adjudikasi'!AJ46)+('Kunci Adjudikasi'!$E$1&gt;=4)*('Kunci Adjudikasi'!AD46&lt;&gt;"")*('Kunci Adjudikasi'!AJ46&lt;&gt;"")*('Kunci Adjudikasi'!AD46='Kunci Adjudikasi'!AJ46)))/(L46-1),0)</f>
        <v>0</v>
      </c>
      <c r="N46" s="20">
        <f>(LEFT('Kunci Adjudikasi'!N46,2)="R0")+(LEFT('Kunci Adjudikasi'!T46,2)="R0")+('Kunci Adjudikasi'!$E$1&gt;=3)*(LEFT('Kunci Adjudikasi'!Z46,2)="R0")+('Kunci Adjudikasi'!$E$1&gt;=4)*(LEFT('Kunci Adjudikasi'!AF46,2)="R0")</f>
        <v>0</v>
      </c>
      <c r="O46" s="20">
        <f>(LEFT('Kunci Adjudikasi'!N46,2)="R1")+(LEFT('Kunci Adjudikasi'!T46,2)="R1")+('Kunci Adjudikasi'!$E$1&gt;=3)*(LEFT('Kunci Adjudikasi'!Z46,2)="R1")+('Kunci Adjudikasi'!$E$1&gt;=4)*(LEFT('Kunci Adjudikasi'!AF46,2)="R1")</f>
        <v>0</v>
      </c>
      <c r="P46" s="20">
        <f>(LEFT('Kunci Adjudikasi'!N46,2)="R2")+(LEFT('Kunci Adjudikasi'!T46,2)="R2")+('Kunci Adjudikasi'!$E$1&gt;=3)*(LEFT('Kunci Adjudikasi'!Z46,2)="R2")+('Kunci Adjudikasi'!$E$1&gt;=4)*(LEFT('Kunci Adjudikasi'!AF46,2)="R2")</f>
        <v>0</v>
      </c>
      <c r="Q46" s="20">
        <f t="shared" si="43"/>
        <v>0</v>
      </c>
      <c r="R46" s="20">
        <f t="shared" si="44"/>
        <v>0</v>
      </c>
      <c r="S46" s="20">
        <f t="shared" si="45"/>
        <v>0</v>
      </c>
    </row>
    <row r="47">
      <c r="A47" s="20">
        <f>'Kunci Adjudikasi'!A47</f>
        <v>44</v>
      </c>
      <c r="B47" s="20">
        <f>('Kunci Adjudikasi'!M47&lt;&gt;"")+('Kunci Adjudikasi'!S47&lt;&gt;"")+('Kunci Adjudikasi'!$E$1&gt;=3)*('Kunci Adjudikasi'!Y47&lt;&gt;"")+('Kunci Adjudikasi'!$E$1&gt;=4)*('Kunci Adjudikasi'!AE47&lt;&gt;"")</f>
        <v>1</v>
      </c>
      <c r="C47" s="20">
        <f>IF(B47&gt;=2,(B47*(B47-1)/2-(('Kunci Adjudikasi'!M47&lt;&gt;"")*('Kunci Adjudikasi'!S47&lt;&gt;"")*('Kunci Adjudikasi'!M47='Kunci Adjudikasi'!S47)+('Kunci Adjudikasi'!$E$1&gt;=3)*('Kunci Adjudikasi'!M47&lt;&gt;"")*('Kunci Adjudikasi'!Y47&lt;&gt;"")*('Kunci Adjudikasi'!M47='Kunci Adjudikasi'!Y47)+('Kunci Adjudikasi'!$E$1&gt;=4)*('Kunci Adjudikasi'!M47&lt;&gt;"")*('Kunci Adjudikasi'!AE47&lt;&gt;"")*('Kunci Adjudikasi'!M47='Kunci Adjudikasi'!AE47)+('Kunci Adjudikasi'!$E$1&gt;=3)*('Kunci Adjudikasi'!S47&lt;&gt;"")*('Kunci Adjudikasi'!Y47&lt;&gt;"")*('Kunci Adjudikasi'!S47='Kunci Adjudikasi'!Y47)+('Kunci Adjudikasi'!$E$1&gt;=4)*('Kunci Adjudikasi'!S47&lt;&gt;"")*('Kunci Adjudikasi'!AE47&lt;&gt;"")*('Kunci Adjudikasi'!S47='Kunci Adjudikasi'!AE47)+('Kunci Adjudikasi'!$E$1&gt;=4)*('Kunci Adjudikasi'!Y47&lt;&gt;"")*('Kunci Adjudikasi'!AE47&lt;&gt;"")*('Kunci Adjudikasi'!Y47='Kunci Adjudikasi'!AE47)))/(B47-1),0)</f>
        <v>0</v>
      </c>
      <c r="D47" s="20">
        <f>('Kunci Adjudikasi'!N47&lt;&gt;"")+('Kunci Adjudikasi'!T47&lt;&gt;"")+('Kunci Adjudikasi'!$E$1&gt;=3)*('Kunci Adjudikasi'!Z47&lt;&gt;"")+('Kunci Adjudikasi'!$E$1&gt;=4)*('Kunci Adjudikasi'!AF47&lt;&gt;"")</f>
        <v>1</v>
      </c>
      <c r="E47" s="20">
        <f>IF(D47&gt;=2,(D47*(D47-1)/2-(('Kunci Adjudikasi'!N47&lt;&gt;"")*('Kunci Adjudikasi'!T47&lt;&gt;"")*('Kunci Adjudikasi'!N47='Kunci Adjudikasi'!T47)+('Kunci Adjudikasi'!$E$1&gt;=3)*('Kunci Adjudikasi'!N47&lt;&gt;"")*('Kunci Adjudikasi'!Z47&lt;&gt;"")*('Kunci Adjudikasi'!N47='Kunci Adjudikasi'!Z47)+('Kunci Adjudikasi'!$E$1&gt;=4)*('Kunci Adjudikasi'!N47&lt;&gt;"")*('Kunci Adjudikasi'!AF47&lt;&gt;"")*('Kunci Adjudikasi'!N47='Kunci Adjudikasi'!AF47)+('Kunci Adjudikasi'!$E$1&gt;=3)*('Kunci Adjudikasi'!T47&lt;&gt;"")*('Kunci Adjudikasi'!Z47&lt;&gt;"")*('Kunci Adjudikasi'!T47='Kunci Adjudikasi'!Z47)+('Kunci Adjudikasi'!$E$1&gt;=4)*('Kunci Adjudikasi'!T47&lt;&gt;"")*('Kunci Adjudikasi'!AF47&lt;&gt;"")*('Kunci Adjudikasi'!T47='Kunci Adjudikasi'!AF47)+('Kunci Adjudikasi'!$E$1&gt;=4)*('Kunci Adjudikasi'!Z47&lt;&gt;"")*('Kunci Adjudikasi'!AF47&lt;&gt;"")*('Kunci Adjudikasi'!Z47='Kunci Adjudikasi'!AF47)))/(D47-1),0)</f>
        <v>0</v>
      </c>
      <c r="F47" s="20">
        <f>('Kunci Adjudikasi'!O47&lt;&gt;"")+('Kunci Adjudikasi'!U47&lt;&gt;"")+('Kunci Adjudikasi'!$E$1&gt;=3)*('Kunci Adjudikasi'!AA47&lt;&gt;"")+('Kunci Adjudikasi'!$E$1&gt;=4)*('Kunci Adjudikasi'!AG47&lt;&gt;"")</f>
        <v>1</v>
      </c>
      <c r="G47" s="20">
        <f>IF(F47&gt;=2,(F47*(F47-1)/2-(('Kunci Adjudikasi'!O47&lt;&gt;"")*('Kunci Adjudikasi'!U47&lt;&gt;"")*('Kunci Adjudikasi'!O47='Kunci Adjudikasi'!U47)+('Kunci Adjudikasi'!$E$1&gt;=3)*('Kunci Adjudikasi'!O47&lt;&gt;"")*('Kunci Adjudikasi'!AA47&lt;&gt;"")*('Kunci Adjudikasi'!O47='Kunci Adjudikasi'!AA47)+('Kunci Adjudikasi'!$E$1&gt;=4)*('Kunci Adjudikasi'!O47&lt;&gt;"")*('Kunci Adjudikasi'!AG47&lt;&gt;"")*('Kunci Adjudikasi'!O47='Kunci Adjudikasi'!AG47)+('Kunci Adjudikasi'!$E$1&gt;=3)*('Kunci Adjudikasi'!U47&lt;&gt;"")*('Kunci Adjudikasi'!AA47&lt;&gt;"")*('Kunci Adjudikasi'!U47='Kunci Adjudikasi'!AA47)+('Kunci Adjudikasi'!$E$1&gt;=4)*('Kunci Adjudikasi'!U47&lt;&gt;"")*('Kunci Adjudikasi'!AG47&lt;&gt;"")*('Kunci Adjudikasi'!U47='Kunci Adjudikasi'!AG47)+('Kunci Adjudikasi'!$E$1&gt;=4)*('Kunci Adjudikasi'!AA47&lt;&gt;"")*('Kunci Adjudikasi'!AG47&lt;&gt;"")*('Kunci Adjudikasi'!AA47='Kunci Adjudikasi'!AG47)))/(F47-1),0)</f>
        <v>0</v>
      </c>
      <c r="H47" s="20">
        <f>('Kunci Adjudikasi'!P47&lt;&gt;"")+('Kunci Adjudikasi'!V47&lt;&gt;"")+('Kunci Adjudikasi'!$E$1&gt;=3)*('Kunci Adjudikasi'!AB47&lt;&gt;"")+('Kunci Adjudikasi'!$E$1&gt;=4)*('Kunci Adjudikasi'!AH47&lt;&gt;"")</f>
        <v>1</v>
      </c>
      <c r="I47" s="20">
        <f>IF(H47&gt;=2,(H47*(H47-1)/2-(('Kunci Adjudikasi'!P47&lt;&gt;"")*('Kunci Adjudikasi'!V47&lt;&gt;"")*('Kunci Adjudikasi'!P47='Kunci Adjudikasi'!V47)+('Kunci Adjudikasi'!$E$1&gt;=3)*('Kunci Adjudikasi'!P47&lt;&gt;"")*('Kunci Adjudikasi'!AB47&lt;&gt;"")*('Kunci Adjudikasi'!P47='Kunci Adjudikasi'!AB47)+('Kunci Adjudikasi'!$E$1&gt;=4)*('Kunci Adjudikasi'!P47&lt;&gt;"")*('Kunci Adjudikasi'!AH47&lt;&gt;"")*('Kunci Adjudikasi'!P47='Kunci Adjudikasi'!AH47)+('Kunci Adjudikasi'!$E$1&gt;=3)*('Kunci Adjudikasi'!V47&lt;&gt;"")*('Kunci Adjudikasi'!AB47&lt;&gt;"")*('Kunci Adjudikasi'!V47='Kunci Adjudikasi'!AB47)+('Kunci Adjudikasi'!$E$1&gt;=4)*('Kunci Adjudikasi'!V47&lt;&gt;"")*('Kunci Adjudikasi'!AH47&lt;&gt;"")*('Kunci Adjudikasi'!V47='Kunci Adjudikasi'!AH47)+('Kunci Adjudikasi'!$E$1&gt;=4)*('Kunci Adjudikasi'!AB47&lt;&gt;"")*('Kunci Adjudikasi'!AH47&lt;&gt;"")*('Kunci Adjudikasi'!AB47='Kunci Adjudikasi'!AH47)))/(H47-1),0)</f>
        <v>0</v>
      </c>
      <c r="J47" s="20">
        <f>('Kunci Adjudikasi'!Q47&lt;&gt;"")+('Kunci Adjudikasi'!W47&lt;&gt;"")+('Kunci Adjudikasi'!$E$1&gt;=3)*('Kunci Adjudikasi'!AC47&lt;&gt;"")+('Kunci Adjudikasi'!$E$1&gt;=4)*('Kunci Adjudikasi'!AI47&lt;&gt;"")</f>
        <v>1</v>
      </c>
      <c r="K47" s="20">
        <f>IF(J47&gt;=2,(J47*(J47-1)/2-(('Kunci Adjudikasi'!Q47&lt;&gt;"")*('Kunci Adjudikasi'!W47&lt;&gt;"")*('Kunci Adjudikasi'!Q47='Kunci Adjudikasi'!W47)+('Kunci Adjudikasi'!$E$1&gt;=3)*('Kunci Adjudikasi'!Q47&lt;&gt;"")*('Kunci Adjudikasi'!AC47&lt;&gt;"")*('Kunci Adjudikasi'!Q47='Kunci Adjudikasi'!AC47)+('Kunci Adjudikasi'!$E$1&gt;=4)*('Kunci Adjudikasi'!Q47&lt;&gt;"")*('Kunci Adjudikasi'!AI47&lt;&gt;"")*('Kunci Adjudikasi'!Q47='Kunci Adjudikasi'!AI47)+('Kunci Adjudikasi'!$E$1&gt;=3)*('Kunci Adjudikasi'!W47&lt;&gt;"")*('Kunci Adjudikasi'!AC47&lt;&gt;"")*('Kunci Adjudikasi'!W47='Kunci Adjudikasi'!AC47)+('Kunci Adjudikasi'!$E$1&gt;=4)*('Kunci Adjudikasi'!W47&lt;&gt;"")*('Kunci Adjudikasi'!AI47&lt;&gt;"")*('Kunci Adjudikasi'!W47='Kunci Adjudikasi'!AI47)+('Kunci Adjudikasi'!$E$1&gt;=4)*('Kunci Adjudikasi'!AC47&lt;&gt;"")*('Kunci Adjudikasi'!AI47&lt;&gt;"")*('Kunci Adjudikasi'!AC47='Kunci Adjudikasi'!AI47)))/(J47-1),0)</f>
        <v>0</v>
      </c>
      <c r="L47" s="20">
        <f>('Kunci Adjudikasi'!R47&lt;&gt;"")+('Kunci Adjudikasi'!X47&lt;&gt;"")+('Kunci Adjudikasi'!$E$1&gt;=3)*('Kunci Adjudikasi'!AD47&lt;&gt;"")+('Kunci Adjudikasi'!$E$1&gt;=4)*('Kunci Adjudikasi'!AJ47&lt;&gt;"")</f>
        <v>1</v>
      </c>
      <c r="M47" s="20">
        <f>IF(L47&gt;=2,(L47*(L47-1)/2-(('Kunci Adjudikasi'!R47&lt;&gt;"")*('Kunci Adjudikasi'!X47&lt;&gt;"")*('Kunci Adjudikasi'!R47='Kunci Adjudikasi'!X47)+('Kunci Adjudikasi'!$E$1&gt;=3)*('Kunci Adjudikasi'!R47&lt;&gt;"")*('Kunci Adjudikasi'!AD47&lt;&gt;"")*('Kunci Adjudikasi'!R47='Kunci Adjudikasi'!AD47)+('Kunci Adjudikasi'!$E$1&gt;=4)*('Kunci Adjudikasi'!R47&lt;&gt;"")*('Kunci Adjudikasi'!AJ47&lt;&gt;"")*('Kunci Adjudikasi'!R47='Kunci Adjudikasi'!AJ47)+('Kunci Adjudikasi'!$E$1&gt;=3)*('Kunci Adjudikasi'!X47&lt;&gt;"")*('Kunci Adjudikasi'!AD47&lt;&gt;"")*('Kunci Adjudikasi'!X47='Kunci Adjudikasi'!AD47)+('Kunci Adjudikasi'!$E$1&gt;=4)*('Kunci Adjudikasi'!X47&lt;&gt;"")*('Kunci Adjudikasi'!AJ47&lt;&gt;"")*('Kunci Adjudikasi'!X47='Kunci Adjudikasi'!AJ47)+('Kunci Adjudikasi'!$E$1&gt;=4)*('Kunci Adjudikasi'!AD47&lt;&gt;"")*('Kunci Adjudikasi'!AJ47&lt;&gt;"")*('Kunci Adjudikasi'!AD47='Kunci Adjudikasi'!AJ47)))/(L47-1),0)</f>
        <v>0</v>
      </c>
      <c r="N47" s="20">
        <f>(LEFT('Kunci Adjudikasi'!N47,2)="R0")+(LEFT('Kunci Adjudikasi'!T47,2)="R0")+('Kunci Adjudikasi'!$E$1&gt;=3)*(LEFT('Kunci Adjudikasi'!Z47,2)="R0")+('Kunci Adjudikasi'!$E$1&gt;=4)*(LEFT('Kunci Adjudikasi'!AF47,2)="R0")</f>
        <v>0</v>
      </c>
      <c r="O47" s="20">
        <f>(LEFT('Kunci Adjudikasi'!N47,2)="R1")+(LEFT('Kunci Adjudikasi'!T47,2)="R1")+('Kunci Adjudikasi'!$E$1&gt;=3)*(LEFT('Kunci Adjudikasi'!Z47,2)="R1")+('Kunci Adjudikasi'!$E$1&gt;=4)*(LEFT('Kunci Adjudikasi'!AF47,2)="R1")</f>
        <v>0</v>
      </c>
      <c r="P47" s="20">
        <f>(LEFT('Kunci Adjudikasi'!N47,2)="R2")+(LEFT('Kunci Adjudikasi'!T47,2)="R2")+('Kunci Adjudikasi'!$E$1&gt;=3)*(LEFT('Kunci Adjudikasi'!Z47,2)="R2")+('Kunci Adjudikasi'!$E$1&gt;=4)*(LEFT('Kunci Adjudikasi'!AF47,2)="R2")</f>
        <v>1</v>
      </c>
      <c r="Q47" s="20">
        <f t="shared" si="43"/>
        <v>0</v>
      </c>
      <c r="R47" s="20">
        <f t="shared" si="44"/>
        <v>0</v>
      </c>
      <c r="S47" s="20">
        <f t="shared" si="45"/>
        <v>0</v>
      </c>
    </row>
    <row r="48">
      <c r="A48" s="20">
        <f>'Kunci Adjudikasi'!A48</f>
        <v>45</v>
      </c>
      <c r="B48" s="20">
        <f>('Kunci Adjudikasi'!M48&lt;&gt;"")+('Kunci Adjudikasi'!S48&lt;&gt;"")+('Kunci Adjudikasi'!$E$1&gt;=3)*('Kunci Adjudikasi'!Y48&lt;&gt;"")+('Kunci Adjudikasi'!$E$1&gt;=4)*('Kunci Adjudikasi'!AE48&lt;&gt;"")</f>
        <v>0</v>
      </c>
      <c r="C48" s="20">
        <f>IF(B48&gt;=2,(B48*(B48-1)/2-(('Kunci Adjudikasi'!M48&lt;&gt;"")*('Kunci Adjudikasi'!S48&lt;&gt;"")*('Kunci Adjudikasi'!M48='Kunci Adjudikasi'!S48)+('Kunci Adjudikasi'!$E$1&gt;=3)*('Kunci Adjudikasi'!M48&lt;&gt;"")*('Kunci Adjudikasi'!Y48&lt;&gt;"")*('Kunci Adjudikasi'!M48='Kunci Adjudikasi'!Y48)+('Kunci Adjudikasi'!$E$1&gt;=4)*('Kunci Adjudikasi'!M48&lt;&gt;"")*('Kunci Adjudikasi'!AE48&lt;&gt;"")*('Kunci Adjudikasi'!M48='Kunci Adjudikasi'!AE48)+('Kunci Adjudikasi'!$E$1&gt;=3)*('Kunci Adjudikasi'!S48&lt;&gt;"")*('Kunci Adjudikasi'!Y48&lt;&gt;"")*('Kunci Adjudikasi'!S48='Kunci Adjudikasi'!Y48)+('Kunci Adjudikasi'!$E$1&gt;=4)*('Kunci Adjudikasi'!S48&lt;&gt;"")*('Kunci Adjudikasi'!AE48&lt;&gt;"")*('Kunci Adjudikasi'!S48='Kunci Adjudikasi'!AE48)+('Kunci Adjudikasi'!$E$1&gt;=4)*('Kunci Adjudikasi'!Y48&lt;&gt;"")*('Kunci Adjudikasi'!AE48&lt;&gt;"")*('Kunci Adjudikasi'!Y48='Kunci Adjudikasi'!AE48)))/(B48-1),0)</f>
        <v>0</v>
      </c>
      <c r="D48" s="20">
        <f>('Kunci Adjudikasi'!N48&lt;&gt;"")+('Kunci Adjudikasi'!T48&lt;&gt;"")+('Kunci Adjudikasi'!$E$1&gt;=3)*('Kunci Adjudikasi'!Z48&lt;&gt;"")+('Kunci Adjudikasi'!$E$1&gt;=4)*('Kunci Adjudikasi'!AF48&lt;&gt;"")</f>
        <v>0</v>
      </c>
      <c r="E48" s="20">
        <f>IF(D48&gt;=2,(D48*(D48-1)/2-(('Kunci Adjudikasi'!N48&lt;&gt;"")*('Kunci Adjudikasi'!T48&lt;&gt;"")*('Kunci Adjudikasi'!N48='Kunci Adjudikasi'!T48)+('Kunci Adjudikasi'!$E$1&gt;=3)*('Kunci Adjudikasi'!N48&lt;&gt;"")*('Kunci Adjudikasi'!Z48&lt;&gt;"")*('Kunci Adjudikasi'!N48='Kunci Adjudikasi'!Z48)+('Kunci Adjudikasi'!$E$1&gt;=4)*('Kunci Adjudikasi'!N48&lt;&gt;"")*('Kunci Adjudikasi'!AF48&lt;&gt;"")*('Kunci Adjudikasi'!N48='Kunci Adjudikasi'!AF48)+('Kunci Adjudikasi'!$E$1&gt;=3)*('Kunci Adjudikasi'!T48&lt;&gt;"")*('Kunci Adjudikasi'!Z48&lt;&gt;"")*('Kunci Adjudikasi'!T48='Kunci Adjudikasi'!Z48)+('Kunci Adjudikasi'!$E$1&gt;=4)*('Kunci Adjudikasi'!T48&lt;&gt;"")*('Kunci Adjudikasi'!AF48&lt;&gt;"")*('Kunci Adjudikasi'!T48='Kunci Adjudikasi'!AF48)+('Kunci Adjudikasi'!$E$1&gt;=4)*('Kunci Adjudikasi'!Z48&lt;&gt;"")*('Kunci Adjudikasi'!AF48&lt;&gt;"")*('Kunci Adjudikasi'!Z48='Kunci Adjudikasi'!AF48)))/(D48-1),0)</f>
        <v>0</v>
      </c>
      <c r="F48" s="20">
        <f>('Kunci Adjudikasi'!O48&lt;&gt;"")+('Kunci Adjudikasi'!U48&lt;&gt;"")+('Kunci Adjudikasi'!$E$1&gt;=3)*('Kunci Adjudikasi'!AA48&lt;&gt;"")+('Kunci Adjudikasi'!$E$1&gt;=4)*('Kunci Adjudikasi'!AG48&lt;&gt;"")</f>
        <v>0</v>
      </c>
      <c r="G48" s="20">
        <f>IF(F48&gt;=2,(F48*(F48-1)/2-(('Kunci Adjudikasi'!O48&lt;&gt;"")*('Kunci Adjudikasi'!U48&lt;&gt;"")*('Kunci Adjudikasi'!O48='Kunci Adjudikasi'!U48)+('Kunci Adjudikasi'!$E$1&gt;=3)*('Kunci Adjudikasi'!O48&lt;&gt;"")*('Kunci Adjudikasi'!AA48&lt;&gt;"")*('Kunci Adjudikasi'!O48='Kunci Adjudikasi'!AA48)+('Kunci Adjudikasi'!$E$1&gt;=4)*('Kunci Adjudikasi'!O48&lt;&gt;"")*('Kunci Adjudikasi'!AG48&lt;&gt;"")*('Kunci Adjudikasi'!O48='Kunci Adjudikasi'!AG48)+('Kunci Adjudikasi'!$E$1&gt;=3)*('Kunci Adjudikasi'!U48&lt;&gt;"")*('Kunci Adjudikasi'!AA48&lt;&gt;"")*('Kunci Adjudikasi'!U48='Kunci Adjudikasi'!AA48)+('Kunci Adjudikasi'!$E$1&gt;=4)*('Kunci Adjudikasi'!U48&lt;&gt;"")*('Kunci Adjudikasi'!AG48&lt;&gt;"")*('Kunci Adjudikasi'!U48='Kunci Adjudikasi'!AG48)+('Kunci Adjudikasi'!$E$1&gt;=4)*('Kunci Adjudikasi'!AA48&lt;&gt;"")*('Kunci Adjudikasi'!AG48&lt;&gt;"")*('Kunci Adjudikasi'!AA48='Kunci Adjudikasi'!AG48)))/(F48-1),0)</f>
        <v>0</v>
      </c>
      <c r="H48" s="20">
        <f>('Kunci Adjudikasi'!P48&lt;&gt;"")+('Kunci Adjudikasi'!V48&lt;&gt;"")+('Kunci Adjudikasi'!$E$1&gt;=3)*('Kunci Adjudikasi'!AB48&lt;&gt;"")+('Kunci Adjudikasi'!$E$1&gt;=4)*('Kunci Adjudikasi'!AH48&lt;&gt;"")</f>
        <v>0</v>
      </c>
      <c r="I48" s="20">
        <f>IF(H48&gt;=2,(H48*(H48-1)/2-(('Kunci Adjudikasi'!P48&lt;&gt;"")*('Kunci Adjudikasi'!V48&lt;&gt;"")*('Kunci Adjudikasi'!P48='Kunci Adjudikasi'!V48)+('Kunci Adjudikasi'!$E$1&gt;=3)*('Kunci Adjudikasi'!P48&lt;&gt;"")*('Kunci Adjudikasi'!AB48&lt;&gt;"")*('Kunci Adjudikasi'!P48='Kunci Adjudikasi'!AB48)+('Kunci Adjudikasi'!$E$1&gt;=4)*('Kunci Adjudikasi'!P48&lt;&gt;"")*('Kunci Adjudikasi'!AH48&lt;&gt;"")*('Kunci Adjudikasi'!P48='Kunci Adjudikasi'!AH48)+('Kunci Adjudikasi'!$E$1&gt;=3)*('Kunci Adjudikasi'!V48&lt;&gt;"")*('Kunci Adjudikasi'!AB48&lt;&gt;"")*('Kunci Adjudikasi'!V48='Kunci Adjudikasi'!AB48)+('Kunci Adjudikasi'!$E$1&gt;=4)*('Kunci Adjudikasi'!V48&lt;&gt;"")*('Kunci Adjudikasi'!AH48&lt;&gt;"")*('Kunci Adjudikasi'!V48='Kunci Adjudikasi'!AH48)+('Kunci Adjudikasi'!$E$1&gt;=4)*('Kunci Adjudikasi'!AB48&lt;&gt;"")*('Kunci Adjudikasi'!AH48&lt;&gt;"")*('Kunci Adjudikasi'!AB48='Kunci Adjudikasi'!AH48)))/(H48-1),0)</f>
        <v>0</v>
      </c>
      <c r="J48" s="20">
        <f>('Kunci Adjudikasi'!Q48&lt;&gt;"")+('Kunci Adjudikasi'!W48&lt;&gt;"")+('Kunci Adjudikasi'!$E$1&gt;=3)*('Kunci Adjudikasi'!AC48&lt;&gt;"")+('Kunci Adjudikasi'!$E$1&gt;=4)*('Kunci Adjudikasi'!AI48&lt;&gt;"")</f>
        <v>0</v>
      </c>
      <c r="K48" s="20">
        <f>IF(J48&gt;=2,(J48*(J48-1)/2-(('Kunci Adjudikasi'!Q48&lt;&gt;"")*('Kunci Adjudikasi'!W48&lt;&gt;"")*('Kunci Adjudikasi'!Q48='Kunci Adjudikasi'!W48)+('Kunci Adjudikasi'!$E$1&gt;=3)*('Kunci Adjudikasi'!Q48&lt;&gt;"")*('Kunci Adjudikasi'!AC48&lt;&gt;"")*('Kunci Adjudikasi'!Q48='Kunci Adjudikasi'!AC48)+('Kunci Adjudikasi'!$E$1&gt;=4)*('Kunci Adjudikasi'!Q48&lt;&gt;"")*('Kunci Adjudikasi'!AI48&lt;&gt;"")*('Kunci Adjudikasi'!Q48='Kunci Adjudikasi'!AI48)+('Kunci Adjudikasi'!$E$1&gt;=3)*('Kunci Adjudikasi'!W48&lt;&gt;"")*('Kunci Adjudikasi'!AC48&lt;&gt;"")*('Kunci Adjudikasi'!W48='Kunci Adjudikasi'!AC48)+('Kunci Adjudikasi'!$E$1&gt;=4)*('Kunci Adjudikasi'!W48&lt;&gt;"")*('Kunci Adjudikasi'!AI48&lt;&gt;"")*('Kunci Adjudikasi'!W48='Kunci Adjudikasi'!AI48)+('Kunci Adjudikasi'!$E$1&gt;=4)*('Kunci Adjudikasi'!AC48&lt;&gt;"")*('Kunci Adjudikasi'!AI48&lt;&gt;"")*('Kunci Adjudikasi'!AC48='Kunci Adjudikasi'!AI48)))/(J48-1),0)</f>
        <v>0</v>
      </c>
      <c r="L48" s="20">
        <f>('Kunci Adjudikasi'!R48&lt;&gt;"")+('Kunci Adjudikasi'!X48&lt;&gt;"")+('Kunci Adjudikasi'!$E$1&gt;=3)*('Kunci Adjudikasi'!AD48&lt;&gt;"")+('Kunci Adjudikasi'!$E$1&gt;=4)*('Kunci Adjudikasi'!AJ48&lt;&gt;"")</f>
        <v>0</v>
      </c>
      <c r="M48" s="20">
        <f>IF(L48&gt;=2,(L48*(L48-1)/2-(('Kunci Adjudikasi'!R48&lt;&gt;"")*('Kunci Adjudikasi'!X48&lt;&gt;"")*('Kunci Adjudikasi'!R48='Kunci Adjudikasi'!X48)+('Kunci Adjudikasi'!$E$1&gt;=3)*('Kunci Adjudikasi'!R48&lt;&gt;"")*('Kunci Adjudikasi'!AD48&lt;&gt;"")*('Kunci Adjudikasi'!R48='Kunci Adjudikasi'!AD48)+('Kunci Adjudikasi'!$E$1&gt;=4)*('Kunci Adjudikasi'!R48&lt;&gt;"")*('Kunci Adjudikasi'!AJ48&lt;&gt;"")*('Kunci Adjudikasi'!R48='Kunci Adjudikasi'!AJ48)+('Kunci Adjudikasi'!$E$1&gt;=3)*('Kunci Adjudikasi'!X48&lt;&gt;"")*('Kunci Adjudikasi'!AD48&lt;&gt;"")*('Kunci Adjudikasi'!X48='Kunci Adjudikasi'!AD48)+('Kunci Adjudikasi'!$E$1&gt;=4)*('Kunci Adjudikasi'!X48&lt;&gt;"")*('Kunci Adjudikasi'!AJ48&lt;&gt;"")*('Kunci Adjudikasi'!X48='Kunci Adjudikasi'!AJ48)+('Kunci Adjudikasi'!$E$1&gt;=4)*('Kunci Adjudikasi'!AD48&lt;&gt;"")*('Kunci Adjudikasi'!AJ48&lt;&gt;"")*('Kunci Adjudikasi'!AD48='Kunci Adjudikasi'!AJ48)))/(L48-1),0)</f>
        <v>0</v>
      </c>
      <c r="N48" s="20">
        <f>(LEFT('Kunci Adjudikasi'!N48,2)="R0")+(LEFT('Kunci Adjudikasi'!T48,2)="R0")+('Kunci Adjudikasi'!$E$1&gt;=3)*(LEFT('Kunci Adjudikasi'!Z48,2)="R0")+('Kunci Adjudikasi'!$E$1&gt;=4)*(LEFT('Kunci Adjudikasi'!AF48,2)="R0")</f>
        <v>0</v>
      </c>
      <c r="O48" s="20">
        <f>(LEFT('Kunci Adjudikasi'!N48,2)="R1")+(LEFT('Kunci Adjudikasi'!T48,2)="R1")+('Kunci Adjudikasi'!$E$1&gt;=3)*(LEFT('Kunci Adjudikasi'!Z48,2)="R1")+('Kunci Adjudikasi'!$E$1&gt;=4)*(LEFT('Kunci Adjudikasi'!AF48,2)="R1")</f>
        <v>0</v>
      </c>
      <c r="P48" s="20">
        <f>(LEFT('Kunci Adjudikasi'!N48,2)="R2")+(LEFT('Kunci Adjudikasi'!T48,2)="R2")+('Kunci Adjudikasi'!$E$1&gt;=3)*(LEFT('Kunci Adjudikasi'!Z48,2)="R2")+('Kunci Adjudikasi'!$E$1&gt;=4)*(LEFT('Kunci Adjudikasi'!AF48,2)="R2")</f>
        <v>0</v>
      </c>
      <c r="Q48" s="20">
        <f t="shared" si="43"/>
        <v>0</v>
      </c>
      <c r="R48" s="20">
        <f t="shared" si="44"/>
        <v>0</v>
      </c>
      <c r="S48" s="20">
        <f t="shared" si="45"/>
        <v>0</v>
      </c>
    </row>
    <row r="49">
      <c r="A49" s="20">
        <f>'Kunci Adjudikasi'!A49</f>
        <v>46</v>
      </c>
      <c r="B49" s="20">
        <f>('Kunci Adjudikasi'!M49&lt;&gt;"")+('Kunci Adjudikasi'!S49&lt;&gt;"")+('Kunci Adjudikasi'!$E$1&gt;=3)*('Kunci Adjudikasi'!Y49&lt;&gt;"")+('Kunci Adjudikasi'!$E$1&gt;=4)*('Kunci Adjudikasi'!AE49&lt;&gt;"")</f>
        <v>0</v>
      </c>
      <c r="C49" s="20">
        <f>IF(B49&gt;=2,(B49*(B49-1)/2-(('Kunci Adjudikasi'!M49&lt;&gt;"")*('Kunci Adjudikasi'!S49&lt;&gt;"")*('Kunci Adjudikasi'!M49='Kunci Adjudikasi'!S49)+('Kunci Adjudikasi'!$E$1&gt;=3)*('Kunci Adjudikasi'!M49&lt;&gt;"")*('Kunci Adjudikasi'!Y49&lt;&gt;"")*('Kunci Adjudikasi'!M49='Kunci Adjudikasi'!Y49)+('Kunci Adjudikasi'!$E$1&gt;=4)*('Kunci Adjudikasi'!M49&lt;&gt;"")*('Kunci Adjudikasi'!AE49&lt;&gt;"")*('Kunci Adjudikasi'!M49='Kunci Adjudikasi'!AE49)+('Kunci Adjudikasi'!$E$1&gt;=3)*('Kunci Adjudikasi'!S49&lt;&gt;"")*('Kunci Adjudikasi'!Y49&lt;&gt;"")*('Kunci Adjudikasi'!S49='Kunci Adjudikasi'!Y49)+('Kunci Adjudikasi'!$E$1&gt;=4)*('Kunci Adjudikasi'!S49&lt;&gt;"")*('Kunci Adjudikasi'!AE49&lt;&gt;"")*('Kunci Adjudikasi'!S49='Kunci Adjudikasi'!AE49)+('Kunci Adjudikasi'!$E$1&gt;=4)*('Kunci Adjudikasi'!Y49&lt;&gt;"")*('Kunci Adjudikasi'!AE49&lt;&gt;"")*('Kunci Adjudikasi'!Y49='Kunci Adjudikasi'!AE49)))/(B49-1),0)</f>
        <v>0</v>
      </c>
      <c r="D49" s="20">
        <f>('Kunci Adjudikasi'!N49&lt;&gt;"")+('Kunci Adjudikasi'!T49&lt;&gt;"")+('Kunci Adjudikasi'!$E$1&gt;=3)*('Kunci Adjudikasi'!Z49&lt;&gt;"")+('Kunci Adjudikasi'!$E$1&gt;=4)*('Kunci Adjudikasi'!AF49&lt;&gt;"")</f>
        <v>0</v>
      </c>
      <c r="E49" s="20">
        <f>IF(D49&gt;=2,(D49*(D49-1)/2-(('Kunci Adjudikasi'!N49&lt;&gt;"")*('Kunci Adjudikasi'!T49&lt;&gt;"")*('Kunci Adjudikasi'!N49='Kunci Adjudikasi'!T49)+('Kunci Adjudikasi'!$E$1&gt;=3)*('Kunci Adjudikasi'!N49&lt;&gt;"")*('Kunci Adjudikasi'!Z49&lt;&gt;"")*('Kunci Adjudikasi'!N49='Kunci Adjudikasi'!Z49)+('Kunci Adjudikasi'!$E$1&gt;=4)*('Kunci Adjudikasi'!N49&lt;&gt;"")*('Kunci Adjudikasi'!AF49&lt;&gt;"")*('Kunci Adjudikasi'!N49='Kunci Adjudikasi'!AF49)+('Kunci Adjudikasi'!$E$1&gt;=3)*('Kunci Adjudikasi'!T49&lt;&gt;"")*('Kunci Adjudikasi'!Z49&lt;&gt;"")*('Kunci Adjudikasi'!T49='Kunci Adjudikasi'!Z49)+('Kunci Adjudikasi'!$E$1&gt;=4)*('Kunci Adjudikasi'!T49&lt;&gt;"")*('Kunci Adjudikasi'!AF49&lt;&gt;"")*('Kunci Adjudikasi'!T49='Kunci Adjudikasi'!AF49)+('Kunci Adjudikasi'!$E$1&gt;=4)*('Kunci Adjudikasi'!Z49&lt;&gt;"")*('Kunci Adjudikasi'!AF49&lt;&gt;"")*('Kunci Adjudikasi'!Z49='Kunci Adjudikasi'!AF49)))/(D49-1),0)</f>
        <v>0</v>
      </c>
      <c r="F49" s="20">
        <f>('Kunci Adjudikasi'!O49&lt;&gt;"")+('Kunci Adjudikasi'!U49&lt;&gt;"")+('Kunci Adjudikasi'!$E$1&gt;=3)*('Kunci Adjudikasi'!AA49&lt;&gt;"")+('Kunci Adjudikasi'!$E$1&gt;=4)*('Kunci Adjudikasi'!AG49&lt;&gt;"")</f>
        <v>0</v>
      </c>
      <c r="G49" s="20">
        <f>IF(F49&gt;=2,(F49*(F49-1)/2-(('Kunci Adjudikasi'!O49&lt;&gt;"")*('Kunci Adjudikasi'!U49&lt;&gt;"")*('Kunci Adjudikasi'!O49='Kunci Adjudikasi'!U49)+('Kunci Adjudikasi'!$E$1&gt;=3)*('Kunci Adjudikasi'!O49&lt;&gt;"")*('Kunci Adjudikasi'!AA49&lt;&gt;"")*('Kunci Adjudikasi'!O49='Kunci Adjudikasi'!AA49)+('Kunci Adjudikasi'!$E$1&gt;=4)*('Kunci Adjudikasi'!O49&lt;&gt;"")*('Kunci Adjudikasi'!AG49&lt;&gt;"")*('Kunci Adjudikasi'!O49='Kunci Adjudikasi'!AG49)+('Kunci Adjudikasi'!$E$1&gt;=3)*('Kunci Adjudikasi'!U49&lt;&gt;"")*('Kunci Adjudikasi'!AA49&lt;&gt;"")*('Kunci Adjudikasi'!U49='Kunci Adjudikasi'!AA49)+('Kunci Adjudikasi'!$E$1&gt;=4)*('Kunci Adjudikasi'!U49&lt;&gt;"")*('Kunci Adjudikasi'!AG49&lt;&gt;"")*('Kunci Adjudikasi'!U49='Kunci Adjudikasi'!AG49)+('Kunci Adjudikasi'!$E$1&gt;=4)*('Kunci Adjudikasi'!AA49&lt;&gt;"")*('Kunci Adjudikasi'!AG49&lt;&gt;"")*('Kunci Adjudikasi'!AA49='Kunci Adjudikasi'!AG49)))/(F49-1),0)</f>
        <v>0</v>
      </c>
      <c r="H49" s="20">
        <f>('Kunci Adjudikasi'!P49&lt;&gt;"")+('Kunci Adjudikasi'!V49&lt;&gt;"")+('Kunci Adjudikasi'!$E$1&gt;=3)*('Kunci Adjudikasi'!AB49&lt;&gt;"")+('Kunci Adjudikasi'!$E$1&gt;=4)*('Kunci Adjudikasi'!AH49&lt;&gt;"")</f>
        <v>0</v>
      </c>
      <c r="I49" s="20">
        <f>IF(H49&gt;=2,(H49*(H49-1)/2-(('Kunci Adjudikasi'!P49&lt;&gt;"")*('Kunci Adjudikasi'!V49&lt;&gt;"")*('Kunci Adjudikasi'!P49='Kunci Adjudikasi'!V49)+('Kunci Adjudikasi'!$E$1&gt;=3)*('Kunci Adjudikasi'!P49&lt;&gt;"")*('Kunci Adjudikasi'!AB49&lt;&gt;"")*('Kunci Adjudikasi'!P49='Kunci Adjudikasi'!AB49)+('Kunci Adjudikasi'!$E$1&gt;=4)*('Kunci Adjudikasi'!P49&lt;&gt;"")*('Kunci Adjudikasi'!AH49&lt;&gt;"")*('Kunci Adjudikasi'!P49='Kunci Adjudikasi'!AH49)+('Kunci Adjudikasi'!$E$1&gt;=3)*('Kunci Adjudikasi'!V49&lt;&gt;"")*('Kunci Adjudikasi'!AB49&lt;&gt;"")*('Kunci Adjudikasi'!V49='Kunci Adjudikasi'!AB49)+('Kunci Adjudikasi'!$E$1&gt;=4)*('Kunci Adjudikasi'!V49&lt;&gt;"")*('Kunci Adjudikasi'!AH49&lt;&gt;"")*('Kunci Adjudikasi'!V49='Kunci Adjudikasi'!AH49)+('Kunci Adjudikasi'!$E$1&gt;=4)*('Kunci Adjudikasi'!AB49&lt;&gt;"")*('Kunci Adjudikasi'!AH49&lt;&gt;"")*('Kunci Adjudikasi'!AB49='Kunci Adjudikasi'!AH49)))/(H49-1),0)</f>
        <v>0</v>
      </c>
      <c r="J49" s="20">
        <f>('Kunci Adjudikasi'!Q49&lt;&gt;"")+('Kunci Adjudikasi'!W49&lt;&gt;"")+('Kunci Adjudikasi'!$E$1&gt;=3)*('Kunci Adjudikasi'!AC49&lt;&gt;"")+('Kunci Adjudikasi'!$E$1&gt;=4)*('Kunci Adjudikasi'!AI49&lt;&gt;"")</f>
        <v>0</v>
      </c>
      <c r="K49" s="20">
        <f>IF(J49&gt;=2,(J49*(J49-1)/2-(('Kunci Adjudikasi'!Q49&lt;&gt;"")*('Kunci Adjudikasi'!W49&lt;&gt;"")*('Kunci Adjudikasi'!Q49='Kunci Adjudikasi'!W49)+('Kunci Adjudikasi'!$E$1&gt;=3)*('Kunci Adjudikasi'!Q49&lt;&gt;"")*('Kunci Adjudikasi'!AC49&lt;&gt;"")*('Kunci Adjudikasi'!Q49='Kunci Adjudikasi'!AC49)+('Kunci Adjudikasi'!$E$1&gt;=4)*('Kunci Adjudikasi'!Q49&lt;&gt;"")*('Kunci Adjudikasi'!AI49&lt;&gt;"")*('Kunci Adjudikasi'!Q49='Kunci Adjudikasi'!AI49)+('Kunci Adjudikasi'!$E$1&gt;=3)*('Kunci Adjudikasi'!W49&lt;&gt;"")*('Kunci Adjudikasi'!AC49&lt;&gt;"")*('Kunci Adjudikasi'!W49='Kunci Adjudikasi'!AC49)+('Kunci Adjudikasi'!$E$1&gt;=4)*('Kunci Adjudikasi'!W49&lt;&gt;"")*('Kunci Adjudikasi'!AI49&lt;&gt;"")*('Kunci Adjudikasi'!W49='Kunci Adjudikasi'!AI49)+('Kunci Adjudikasi'!$E$1&gt;=4)*('Kunci Adjudikasi'!AC49&lt;&gt;"")*('Kunci Adjudikasi'!AI49&lt;&gt;"")*('Kunci Adjudikasi'!AC49='Kunci Adjudikasi'!AI49)))/(J49-1),0)</f>
        <v>0</v>
      </c>
      <c r="L49" s="20">
        <f>('Kunci Adjudikasi'!R49&lt;&gt;"")+('Kunci Adjudikasi'!X49&lt;&gt;"")+('Kunci Adjudikasi'!$E$1&gt;=3)*('Kunci Adjudikasi'!AD49&lt;&gt;"")+('Kunci Adjudikasi'!$E$1&gt;=4)*('Kunci Adjudikasi'!AJ49&lt;&gt;"")</f>
        <v>0</v>
      </c>
      <c r="M49" s="20">
        <f>IF(L49&gt;=2,(L49*(L49-1)/2-(('Kunci Adjudikasi'!R49&lt;&gt;"")*('Kunci Adjudikasi'!X49&lt;&gt;"")*('Kunci Adjudikasi'!R49='Kunci Adjudikasi'!X49)+('Kunci Adjudikasi'!$E$1&gt;=3)*('Kunci Adjudikasi'!R49&lt;&gt;"")*('Kunci Adjudikasi'!AD49&lt;&gt;"")*('Kunci Adjudikasi'!R49='Kunci Adjudikasi'!AD49)+('Kunci Adjudikasi'!$E$1&gt;=4)*('Kunci Adjudikasi'!R49&lt;&gt;"")*('Kunci Adjudikasi'!AJ49&lt;&gt;"")*('Kunci Adjudikasi'!R49='Kunci Adjudikasi'!AJ49)+('Kunci Adjudikasi'!$E$1&gt;=3)*('Kunci Adjudikasi'!X49&lt;&gt;"")*('Kunci Adjudikasi'!AD49&lt;&gt;"")*('Kunci Adjudikasi'!X49='Kunci Adjudikasi'!AD49)+('Kunci Adjudikasi'!$E$1&gt;=4)*('Kunci Adjudikasi'!X49&lt;&gt;"")*('Kunci Adjudikasi'!AJ49&lt;&gt;"")*('Kunci Adjudikasi'!X49='Kunci Adjudikasi'!AJ49)+('Kunci Adjudikasi'!$E$1&gt;=4)*('Kunci Adjudikasi'!AD49&lt;&gt;"")*('Kunci Adjudikasi'!AJ49&lt;&gt;"")*('Kunci Adjudikasi'!AD49='Kunci Adjudikasi'!AJ49)))/(L49-1),0)</f>
        <v>0</v>
      </c>
      <c r="N49" s="20">
        <f>(LEFT('Kunci Adjudikasi'!N49,2)="R0")+(LEFT('Kunci Adjudikasi'!T49,2)="R0")+('Kunci Adjudikasi'!$E$1&gt;=3)*(LEFT('Kunci Adjudikasi'!Z49,2)="R0")+('Kunci Adjudikasi'!$E$1&gt;=4)*(LEFT('Kunci Adjudikasi'!AF49,2)="R0")</f>
        <v>0</v>
      </c>
      <c r="O49" s="20">
        <f>(LEFT('Kunci Adjudikasi'!N49,2)="R1")+(LEFT('Kunci Adjudikasi'!T49,2)="R1")+('Kunci Adjudikasi'!$E$1&gt;=3)*(LEFT('Kunci Adjudikasi'!Z49,2)="R1")+('Kunci Adjudikasi'!$E$1&gt;=4)*(LEFT('Kunci Adjudikasi'!AF49,2)="R1")</f>
        <v>0</v>
      </c>
      <c r="P49" s="20">
        <f>(LEFT('Kunci Adjudikasi'!N49,2)="R2")+(LEFT('Kunci Adjudikasi'!T49,2)="R2")+('Kunci Adjudikasi'!$E$1&gt;=3)*(LEFT('Kunci Adjudikasi'!Z49,2)="R2")+('Kunci Adjudikasi'!$E$1&gt;=4)*(LEFT('Kunci Adjudikasi'!AF49,2)="R2")</f>
        <v>0</v>
      </c>
      <c r="Q49" s="20">
        <f t="shared" si="43"/>
        <v>0</v>
      </c>
      <c r="R49" s="20">
        <f t="shared" si="44"/>
        <v>0</v>
      </c>
      <c r="S49" s="20">
        <f t="shared" si="45"/>
        <v>0</v>
      </c>
    </row>
    <row r="50">
      <c r="A50" s="20">
        <f>'Kunci Adjudikasi'!A50</f>
        <v>47</v>
      </c>
      <c r="B50" s="20">
        <f>('Kunci Adjudikasi'!M50&lt;&gt;"")+('Kunci Adjudikasi'!S50&lt;&gt;"")+('Kunci Adjudikasi'!$E$1&gt;=3)*('Kunci Adjudikasi'!Y50&lt;&gt;"")+('Kunci Adjudikasi'!$E$1&gt;=4)*('Kunci Adjudikasi'!AE50&lt;&gt;"")</f>
        <v>0</v>
      </c>
      <c r="C50" s="20">
        <f>IF(B50&gt;=2,(B50*(B50-1)/2-(('Kunci Adjudikasi'!M50&lt;&gt;"")*('Kunci Adjudikasi'!S50&lt;&gt;"")*('Kunci Adjudikasi'!M50='Kunci Adjudikasi'!S50)+('Kunci Adjudikasi'!$E$1&gt;=3)*('Kunci Adjudikasi'!M50&lt;&gt;"")*('Kunci Adjudikasi'!Y50&lt;&gt;"")*('Kunci Adjudikasi'!M50='Kunci Adjudikasi'!Y50)+('Kunci Adjudikasi'!$E$1&gt;=4)*('Kunci Adjudikasi'!M50&lt;&gt;"")*('Kunci Adjudikasi'!AE50&lt;&gt;"")*('Kunci Adjudikasi'!M50='Kunci Adjudikasi'!AE50)+('Kunci Adjudikasi'!$E$1&gt;=3)*('Kunci Adjudikasi'!S50&lt;&gt;"")*('Kunci Adjudikasi'!Y50&lt;&gt;"")*('Kunci Adjudikasi'!S50='Kunci Adjudikasi'!Y50)+('Kunci Adjudikasi'!$E$1&gt;=4)*('Kunci Adjudikasi'!S50&lt;&gt;"")*('Kunci Adjudikasi'!AE50&lt;&gt;"")*('Kunci Adjudikasi'!S50='Kunci Adjudikasi'!AE50)+('Kunci Adjudikasi'!$E$1&gt;=4)*('Kunci Adjudikasi'!Y50&lt;&gt;"")*('Kunci Adjudikasi'!AE50&lt;&gt;"")*('Kunci Adjudikasi'!Y50='Kunci Adjudikasi'!AE50)))/(B50-1),0)</f>
        <v>0</v>
      </c>
      <c r="D50" s="20">
        <f>('Kunci Adjudikasi'!N50&lt;&gt;"")+('Kunci Adjudikasi'!T50&lt;&gt;"")+('Kunci Adjudikasi'!$E$1&gt;=3)*('Kunci Adjudikasi'!Z50&lt;&gt;"")+('Kunci Adjudikasi'!$E$1&gt;=4)*('Kunci Adjudikasi'!AF50&lt;&gt;"")</f>
        <v>0</v>
      </c>
      <c r="E50" s="20">
        <f>IF(D50&gt;=2,(D50*(D50-1)/2-(('Kunci Adjudikasi'!N50&lt;&gt;"")*('Kunci Adjudikasi'!T50&lt;&gt;"")*('Kunci Adjudikasi'!N50='Kunci Adjudikasi'!T50)+('Kunci Adjudikasi'!$E$1&gt;=3)*('Kunci Adjudikasi'!N50&lt;&gt;"")*('Kunci Adjudikasi'!Z50&lt;&gt;"")*('Kunci Adjudikasi'!N50='Kunci Adjudikasi'!Z50)+('Kunci Adjudikasi'!$E$1&gt;=4)*('Kunci Adjudikasi'!N50&lt;&gt;"")*('Kunci Adjudikasi'!AF50&lt;&gt;"")*('Kunci Adjudikasi'!N50='Kunci Adjudikasi'!AF50)+('Kunci Adjudikasi'!$E$1&gt;=3)*('Kunci Adjudikasi'!T50&lt;&gt;"")*('Kunci Adjudikasi'!Z50&lt;&gt;"")*('Kunci Adjudikasi'!T50='Kunci Adjudikasi'!Z50)+('Kunci Adjudikasi'!$E$1&gt;=4)*('Kunci Adjudikasi'!T50&lt;&gt;"")*('Kunci Adjudikasi'!AF50&lt;&gt;"")*('Kunci Adjudikasi'!T50='Kunci Adjudikasi'!AF50)+('Kunci Adjudikasi'!$E$1&gt;=4)*('Kunci Adjudikasi'!Z50&lt;&gt;"")*('Kunci Adjudikasi'!AF50&lt;&gt;"")*('Kunci Adjudikasi'!Z50='Kunci Adjudikasi'!AF50)))/(D50-1),0)</f>
        <v>0</v>
      </c>
      <c r="F50" s="20">
        <f>('Kunci Adjudikasi'!O50&lt;&gt;"")+('Kunci Adjudikasi'!U50&lt;&gt;"")+('Kunci Adjudikasi'!$E$1&gt;=3)*('Kunci Adjudikasi'!AA50&lt;&gt;"")+('Kunci Adjudikasi'!$E$1&gt;=4)*('Kunci Adjudikasi'!AG50&lt;&gt;"")</f>
        <v>0</v>
      </c>
      <c r="G50" s="20">
        <f>IF(F50&gt;=2,(F50*(F50-1)/2-(('Kunci Adjudikasi'!O50&lt;&gt;"")*('Kunci Adjudikasi'!U50&lt;&gt;"")*('Kunci Adjudikasi'!O50='Kunci Adjudikasi'!U50)+('Kunci Adjudikasi'!$E$1&gt;=3)*('Kunci Adjudikasi'!O50&lt;&gt;"")*('Kunci Adjudikasi'!AA50&lt;&gt;"")*('Kunci Adjudikasi'!O50='Kunci Adjudikasi'!AA50)+('Kunci Adjudikasi'!$E$1&gt;=4)*('Kunci Adjudikasi'!O50&lt;&gt;"")*('Kunci Adjudikasi'!AG50&lt;&gt;"")*('Kunci Adjudikasi'!O50='Kunci Adjudikasi'!AG50)+('Kunci Adjudikasi'!$E$1&gt;=3)*('Kunci Adjudikasi'!U50&lt;&gt;"")*('Kunci Adjudikasi'!AA50&lt;&gt;"")*('Kunci Adjudikasi'!U50='Kunci Adjudikasi'!AA50)+('Kunci Adjudikasi'!$E$1&gt;=4)*('Kunci Adjudikasi'!U50&lt;&gt;"")*('Kunci Adjudikasi'!AG50&lt;&gt;"")*('Kunci Adjudikasi'!U50='Kunci Adjudikasi'!AG50)+('Kunci Adjudikasi'!$E$1&gt;=4)*('Kunci Adjudikasi'!AA50&lt;&gt;"")*('Kunci Adjudikasi'!AG50&lt;&gt;"")*('Kunci Adjudikasi'!AA50='Kunci Adjudikasi'!AG50)))/(F50-1),0)</f>
        <v>0</v>
      </c>
      <c r="H50" s="20">
        <f>('Kunci Adjudikasi'!P50&lt;&gt;"")+('Kunci Adjudikasi'!V50&lt;&gt;"")+('Kunci Adjudikasi'!$E$1&gt;=3)*('Kunci Adjudikasi'!AB50&lt;&gt;"")+('Kunci Adjudikasi'!$E$1&gt;=4)*('Kunci Adjudikasi'!AH50&lt;&gt;"")</f>
        <v>0</v>
      </c>
      <c r="I50" s="20">
        <f>IF(H50&gt;=2,(H50*(H50-1)/2-(('Kunci Adjudikasi'!P50&lt;&gt;"")*('Kunci Adjudikasi'!V50&lt;&gt;"")*('Kunci Adjudikasi'!P50='Kunci Adjudikasi'!V50)+('Kunci Adjudikasi'!$E$1&gt;=3)*('Kunci Adjudikasi'!P50&lt;&gt;"")*('Kunci Adjudikasi'!AB50&lt;&gt;"")*('Kunci Adjudikasi'!P50='Kunci Adjudikasi'!AB50)+('Kunci Adjudikasi'!$E$1&gt;=4)*('Kunci Adjudikasi'!P50&lt;&gt;"")*('Kunci Adjudikasi'!AH50&lt;&gt;"")*('Kunci Adjudikasi'!P50='Kunci Adjudikasi'!AH50)+('Kunci Adjudikasi'!$E$1&gt;=3)*('Kunci Adjudikasi'!V50&lt;&gt;"")*('Kunci Adjudikasi'!AB50&lt;&gt;"")*('Kunci Adjudikasi'!V50='Kunci Adjudikasi'!AB50)+('Kunci Adjudikasi'!$E$1&gt;=4)*('Kunci Adjudikasi'!V50&lt;&gt;"")*('Kunci Adjudikasi'!AH50&lt;&gt;"")*('Kunci Adjudikasi'!V50='Kunci Adjudikasi'!AH50)+('Kunci Adjudikasi'!$E$1&gt;=4)*('Kunci Adjudikasi'!AB50&lt;&gt;"")*('Kunci Adjudikasi'!AH50&lt;&gt;"")*('Kunci Adjudikasi'!AB50='Kunci Adjudikasi'!AH50)))/(H50-1),0)</f>
        <v>0</v>
      </c>
      <c r="J50" s="20">
        <f>('Kunci Adjudikasi'!Q50&lt;&gt;"")+('Kunci Adjudikasi'!W50&lt;&gt;"")+('Kunci Adjudikasi'!$E$1&gt;=3)*('Kunci Adjudikasi'!AC50&lt;&gt;"")+('Kunci Adjudikasi'!$E$1&gt;=4)*('Kunci Adjudikasi'!AI50&lt;&gt;"")</f>
        <v>0</v>
      </c>
      <c r="K50" s="20">
        <f>IF(J50&gt;=2,(J50*(J50-1)/2-(('Kunci Adjudikasi'!Q50&lt;&gt;"")*('Kunci Adjudikasi'!W50&lt;&gt;"")*('Kunci Adjudikasi'!Q50='Kunci Adjudikasi'!W50)+('Kunci Adjudikasi'!$E$1&gt;=3)*('Kunci Adjudikasi'!Q50&lt;&gt;"")*('Kunci Adjudikasi'!AC50&lt;&gt;"")*('Kunci Adjudikasi'!Q50='Kunci Adjudikasi'!AC50)+('Kunci Adjudikasi'!$E$1&gt;=4)*('Kunci Adjudikasi'!Q50&lt;&gt;"")*('Kunci Adjudikasi'!AI50&lt;&gt;"")*('Kunci Adjudikasi'!Q50='Kunci Adjudikasi'!AI50)+('Kunci Adjudikasi'!$E$1&gt;=3)*('Kunci Adjudikasi'!W50&lt;&gt;"")*('Kunci Adjudikasi'!AC50&lt;&gt;"")*('Kunci Adjudikasi'!W50='Kunci Adjudikasi'!AC50)+('Kunci Adjudikasi'!$E$1&gt;=4)*('Kunci Adjudikasi'!W50&lt;&gt;"")*('Kunci Adjudikasi'!AI50&lt;&gt;"")*('Kunci Adjudikasi'!W50='Kunci Adjudikasi'!AI50)+('Kunci Adjudikasi'!$E$1&gt;=4)*('Kunci Adjudikasi'!AC50&lt;&gt;"")*('Kunci Adjudikasi'!AI50&lt;&gt;"")*('Kunci Adjudikasi'!AC50='Kunci Adjudikasi'!AI50)))/(J50-1),0)</f>
        <v>0</v>
      </c>
      <c r="L50" s="20">
        <f>('Kunci Adjudikasi'!R50&lt;&gt;"")+('Kunci Adjudikasi'!X50&lt;&gt;"")+('Kunci Adjudikasi'!$E$1&gt;=3)*('Kunci Adjudikasi'!AD50&lt;&gt;"")+('Kunci Adjudikasi'!$E$1&gt;=4)*('Kunci Adjudikasi'!AJ50&lt;&gt;"")</f>
        <v>0</v>
      </c>
      <c r="M50" s="20">
        <f>IF(L50&gt;=2,(L50*(L50-1)/2-(('Kunci Adjudikasi'!R50&lt;&gt;"")*('Kunci Adjudikasi'!X50&lt;&gt;"")*('Kunci Adjudikasi'!R50='Kunci Adjudikasi'!X50)+('Kunci Adjudikasi'!$E$1&gt;=3)*('Kunci Adjudikasi'!R50&lt;&gt;"")*('Kunci Adjudikasi'!AD50&lt;&gt;"")*('Kunci Adjudikasi'!R50='Kunci Adjudikasi'!AD50)+('Kunci Adjudikasi'!$E$1&gt;=4)*('Kunci Adjudikasi'!R50&lt;&gt;"")*('Kunci Adjudikasi'!AJ50&lt;&gt;"")*('Kunci Adjudikasi'!R50='Kunci Adjudikasi'!AJ50)+('Kunci Adjudikasi'!$E$1&gt;=3)*('Kunci Adjudikasi'!X50&lt;&gt;"")*('Kunci Adjudikasi'!AD50&lt;&gt;"")*('Kunci Adjudikasi'!X50='Kunci Adjudikasi'!AD50)+('Kunci Adjudikasi'!$E$1&gt;=4)*('Kunci Adjudikasi'!X50&lt;&gt;"")*('Kunci Adjudikasi'!AJ50&lt;&gt;"")*('Kunci Adjudikasi'!X50='Kunci Adjudikasi'!AJ50)+('Kunci Adjudikasi'!$E$1&gt;=4)*('Kunci Adjudikasi'!AD50&lt;&gt;"")*('Kunci Adjudikasi'!AJ50&lt;&gt;"")*('Kunci Adjudikasi'!AD50='Kunci Adjudikasi'!AJ50)))/(L50-1),0)</f>
        <v>0</v>
      </c>
      <c r="N50" s="20">
        <f>(LEFT('Kunci Adjudikasi'!N50,2)="R0")+(LEFT('Kunci Adjudikasi'!T50,2)="R0")+('Kunci Adjudikasi'!$E$1&gt;=3)*(LEFT('Kunci Adjudikasi'!Z50,2)="R0")+('Kunci Adjudikasi'!$E$1&gt;=4)*(LEFT('Kunci Adjudikasi'!AF50,2)="R0")</f>
        <v>0</v>
      </c>
      <c r="O50" s="20">
        <f>(LEFT('Kunci Adjudikasi'!N50,2)="R1")+(LEFT('Kunci Adjudikasi'!T50,2)="R1")+('Kunci Adjudikasi'!$E$1&gt;=3)*(LEFT('Kunci Adjudikasi'!Z50,2)="R1")+('Kunci Adjudikasi'!$E$1&gt;=4)*(LEFT('Kunci Adjudikasi'!AF50,2)="R1")</f>
        <v>0</v>
      </c>
      <c r="P50" s="20">
        <f>(LEFT('Kunci Adjudikasi'!N50,2)="R2")+(LEFT('Kunci Adjudikasi'!T50,2)="R2")+('Kunci Adjudikasi'!$E$1&gt;=3)*(LEFT('Kunci Adjudikasi'!Z50,2)="R2")+('Kunci Adjudikasi'!$E$1&gt;=4)*(LEFT('Kunci Adjudikasi'!AF50,2)="R2")</f>
        <v>0</v>
      </c>
      <c r="Q50" s="20">
        <f t="shared" si="43"/>
        <v>0</v>
      </c>
      <c r="R50" s="20">
        <f t="shared" si="44"/>
        <v>0</v>
      </c>
      <c r="S50" s="20">
        <f t="shared" si="45"/>
        <v>0</v>
      </c>
    </row>
    <row r="51">
      <c r="A51" s="20">
        <f>'Kunci Adjudikasi'!A51</f>
        <v>48</v>
      </c>
      <c r="B51" s="20">
        <f>('Kunci Adjudikasi'!M51&lt;&gt;"")+('Kunci Adjudikasi'!S51&lt;&gt;"")+('Kunci Adjudikasi'!$E$1&gt;=3)*('Kunci Adjudikasi'!Y51&lt;&gt;"")+('Kunci Adjudikasi'!$E$1&gt;=4)*('Kunci Adjudikasi'!AE51&lt;&gt;"")</f>
        <v>0</v>
      </c>
      <c r="C51" s="20">
        <f>IF(B51&gt;=2,(B51*(B51-1)/2-(('Kunci Adjudikasi'!M51&lt;&gt;"")*('Kunci Adjudikasi'!S51&lt;&gt;"")*('Kunci Adjudikasi'!M51='Kunci Adjudikasi'!S51)+('Kunci Adjudikasi'!$E$1&gt;=3)*('Kunci Adjudikasi'!M51&lt;&gt;"")*('Kunci Adjudikasi'!Y51&lt;&gt;"")*('Kunci Adjudikasi'!M51='Kunci Adjudikasi'!Y51)+('Kunci Adjudikasi'!$E$1&gt;=4)*('Kunci Adjudikasi'!M51&lt;&gt;"")*('Kunci Adjudikasi'!AE51&lt;&gt;"")*('Kunci Adjudikasi'!M51='Kunci Adjudikasi'!AE51)+('Kunci Adjudikasi'!$E$1&gt;=3)*('Kunci Adjudikasi'!S51&lt;&gt;"")*('Kunci Adjudikasi'!Y51&lt;&gt;"")*('Kunci Adjudikasi'!S51='Kunci Adjudikasi'!Y51)+('Kunci Adjudikasi'!$E$1&gt;=4)*('Kunci Adjudikasi'!S51&lt;&gt;"")*('Kunci Adjudikasi'!AE51&lt;&gt;"")*('Kunci Adjudikasi'!S51='Kunci Adjudikasi'!AE51)+('Kunci Adjudikasi'!$E$1&gt;=4)*('Kunci Adjudikasi'!Y51&lt;&gt;"")*('Kunci Adjudikasi'!AE51&lt;&gt;"")*('Kunci Adjudikasi'!Y51='Kunci Adjudikasi'!AE51)))/(B51-1),0)</f>
        <v>0</v>
      </c>
      <c r="D51" s="20">
        <f>('Kunci Adjudikasi'!N51&lt;&gt;"")+('Kunci Adjudikasi'!T51&lt;&gt;"")+('Kunci Adjudikasi'!$E$1&gt;=3)*('Kunci Adjudikasi'!Z51&lt;&gt;"")+('Kunci Adjudikasi'!$E$1&gt;=4)*('Kunci Adjudikasi'!AF51&lt;&gt;"")</f>
        <v>0</v>
      </c>
      <c r="E51" s="20">
        <f>IF(D51&gt;=2,(D51*(D51-1)/2-(('Kunci Adjudikasi'!N51&lt;&gt;"")*('Kunci Adjudikasi'!T51&lt;&gt;"")*('Kunci Adjudikasi'!N51='Kunci Adjudikasi'!T51)+('Kunci Adjudikasi'!$E$1&gt;=3)*('Kunci Adjudikasi'!N51&lt;&gt;"")*('Kunci Adjudikasi'!Z51&lt;&gt;"")*('Kunci Adjudikasi'!N51='Kunci Adjudikasi'!Z51)+('Kunci Adjudikasi'!$E$1&gt;=4)*('Kunci Adjudikasi'!N51&lt;&gt;"")*('Kunci Adjudikasi'!AF51&lt;&gt;"")*('Kunci Adjudikasi'!N51='Kunci Adjudikasi'!AF51)+('Kunci Adjudikasi'!$E$1&gt;=3)*('Kunci Adjudikasi'!T51&lt;&gt;"")*('Kunci Adjudikasi'!Z51&lt;&gt;"")*('Kunci Adjudikasi'!T51='Kunci Adjudikasi'!Z51)+('Kunci Adjudikasi'!$E$1&gt;=4)*('Kunci Adjudikasi'!T51&lt;&gt;"")*('Kunci Adjudikasi'!AF51&lt;&gt;"")*('Kunci Adjudikasi'!T51='Kunci Adjudikasi'!AF51)+('Kunci Adjudikasi'!$E$1&gt;=4)*('Kunci Adjudikasi'!Z51&lt;&gt;"")*('Kunci Adjudikasi'!AF51&lt;&gt;"")*('Kunci Adjudikasi'!Z51='Kunci Adjudikasi'!AF51)))/(D51-1),0)</f>
        <v>0</v>
      </c>
      <c r="F51" s="20">
        <f>('Kunci Adjudikasi'!O51&lt;&gt;"")+('Kunci Adjudikasi'!U51&lt;&gt;"")+('Kunci Adjudikasi'!$E$1&gt;=3)*('Kunci Adjudikasi'!AA51&lt;&gt;"")+('Kunci Adjudikasi'!$E$1&gt;=4)*('Kunci Adjudikasi'!AG51&lt;&gt;"")</f>
        <v>0</v>
      </c>
      <c r="G51" s="20">
        <f>IF(F51&gt;=2,(F51*(F51-1)/2-(('Kunci Adjudikasi'!O51&lt;&gt;"")*('Kunci Adjudikasi'!U51&lt;&gt;"")*('Kunci Adjudikasi'!O51='Kunci Adjudikasi'!U51)+('Kunci Adjudikasi'!$E$1&gt;=3)*('Kunci Adjudikasi'!O51&lt;&gt;"")*('Kunci Adjudikasi'!AA51&lt;&gt;"")*('Kunci Adjudikasi'!O51='Kunci Adjudikasi'!AA51)+('Kunci Adjudikasi'!$E$1&gt;=4)*('Kunci Adjudikasi'!O51&lt;&gt;"")*('Kunci Adjudikasi'!AG51&lt;&gt;"")*('Kunci Adjudikasi'!O51='Kunci Adjudikasi'!AG51)+('Kunci Adjudikasi'!$E$1&gt;=3)*('Kunci Adjudikasi'!U51&lt;&gt;"")*('Kunci Adjudikasi'!AA51&lt;&gt;"")*('Kunci Adjudikasi'!U51='Kunci Adjudikasi'!AA51)+('Kunci Adjudikasi'!$E$1&gt;=4)*('Kunci Adjudikasi'!U51&lt;&gt;"")*('Kunci Adjudikasi'!AG51&lt;&gt;"")*('Kunci Adjudikasi'!U51='Kunci Adjudikasi'!AG51)+('Kunci Adjudikasi'!$E$1&gt;=4)*('Kunci Adjudikasi'!AA51&lt;&gt;"")*('Kunci Adjudikasi'!AG51&lt;&gt;"")*('Kunci Adjudikasi'!AA51='Kunci Adjudikasi'!AG51)))/(F51-1),0)</f>
        <v>0</v>
      </c>
      <c r="H51" s="20">
        <f>('Kunci Adjudikasi'!P51&lt;&gt;"")+('Kunci Adjudikasi'!V51&lt;&gt;"")+('Kunci Adjudikasi'!$E$1&gt;=3)*('Kunci Adjudikasi'!AB51&lt;&gt;"")+('Kunci Adjudikasi'!$E$1&gt;=4)*('Kunci Adjudikasi'!AH51&lt;&gt;"")</f>
        <v>0</v>
      </c>
      <c r="I51" s="20">
        <f>IF(H51&gt;=2,(H51*(H51-1)/2-(('Kunci Adjudikasi'!P51&lt;&gt;"")*('Kunci Adjudikasi'!V51&lt;&gt;"")*('Kunci Adjudikasi'!P51='Kunci Adjudikasi'!V51)+('Kunci Adjudikasi'!$E$1&gt;=3)*('Kunci Adjudikasi'!P51&lt;&gt;"")*('Kunci Adjudikasi'!AB51&lt;&gt;"")*('Kunci Adjudikasi'!P51='Kunci Adjudikasi'!AB51)+('Kunci Adjudikasi'!$E$1&gt;=4)*('Kunci Adjudikasi'!P51&lt;&gt;"")*('Kunci Adjudikasi'!AH51&lt;&gt;"")*('Kunci Adjudikasi'!P51='Kunci Adjudikasi'!AH51)+('Kunci Adjudikasi'!$E$1&gt;=3)*('Kunci Adjudikasi'!V51&lt;&gt;"")*('Kunci Adjudikasi'!AB51&lt;&gt;"")*('Kunci Adjudikasi'!V51='Kunci Adjudikasi'!AB51)+('Kunci Adjudikasi'!$E$1&gt;=4)*('Kunci Adjudikasi'!V51&lt;&gt;"")*('Kunci Adjudikasi'!AH51&lt;&gt;"")*('Kunci Adjudikasi'!V51='Kunci Adjudikasi'!AH51)+('Kunci Adjudikasi'!$E$1&gt;=4)*('Kunci Adjudikasi'!AB51&lt;&gt;"")*('Kunci Adjudikasi'!AH51&lt;&gt;"")*('Kunci Adjudikasi'!AB51='Kunci Adjudikasi'!AH51)))/(H51-1),0)</f>
        <v>0</v>
      </c>
      <c r="J51" s="20">
        <f>('Kunci Adjudikasi'!Q51&lt;&gt;"")+('Kunci Adjudikasi'!W51&lt;&gt;"")+('Kunci Adjudikasi'!$E$1&gt;=3)*('Kunci Adjudikasi'!AC51&lt;&gt;"")+('Kunci Adjudikasi'!$E$1&gt;=4)*('Kunci Adjudikasi'!AI51&lt;&gt;"")</f>
        <v>0</v>
      </c>
      <c r="K51" s="20">
        <f>IF(J51&gt;=2,(J51*(J51-1)/2-(('Kunci Adjudikasi'!Q51&lt;&gt;"")*('Kunci Adjudikasi'!W51&lt;&gt;"")*('Kunci Adjudikasi'!Q51='Kunci Adjudikasi'!W51)+('Kunci Adjudikasi'!$E$1&gt;=3)*('Kunci Adjudikasi'!Q51&lt;&gt;"")*('Kunci Adjudikasi'!AC51&lt;&gt;"")*('Kunci Adjudikasi'!Q51='Kunci Adjudikasi'!AC51)+('Kunci Adjudikasi'!$E$1&gt;=4)*('Kunci Adjudikasi'!Q51&lt;&gt;"")*('Kunci Adjudikasi'!AI51&lt;&gt;"")*('Kunci Adjudikasi'!Q51='Kunci Adjudikasi'!AI51)+('Kunci Adjudikasi'!$E$1&gt;=3)*('Kunci Adjudikasi'!W51&lt;&gt;"")*('Kunci Adjudikasi'!AC51&lt;&gt;"")*('Kunci Adjudikasi'!W51='Kunci Adjudikasi'!AC51)+('Kunci Adjudikasi'!$E$1&gt;=4)*('Kunci Adjudikasi'!W51&lt;&gt;"")*('Kunci Adjudikasi'!AI51&lt;&gt;"")*('Kunci Adjudikasi'!W51='Kunci Adjudikasi'!AI51)+('Kunci Adjudikasi'!$E$1&gt;=4)*('Kunci Adjudikasi'!AC51&lt;&gt;"")*('Kunci Adjudikasi'!AI51&lt;&gt;"")*('Kunci Adjudikasi'!AC51='Kunci Adjudikasi'!AI51)))/(J51-1),0)</f>
        <v>0</v>
      </c>
      <c r="L51" s="20">
        <f>('Kunci Adjudikasi'!R51&lt;&gt;"")+('Kunci Adjudikasi'!X51&lt;&gt;"")+('Kunci Adjudikasi'!$E$1&gt;=3)*('Kunci Adjudikasi'!AD51&lt;&gt;"")+('Kunci Adjudikasi'!$E$1&gt;=4)*('Kunci Adjudikasi'!AJ51&lt;&gt;"")</f>
        <v>0</v>
      </c>
      <c r="M51" s="20">
        <f>IF(L51&gt;=2,(L51*(L51-1)/2-(('Kunci Adjudikasi'!R51&lt;&gt;"")*('Kunci Adjudikasi'!X51&lt;&gt;"")*('Kunci Adjudikasi'!R51='Kunci Adjudikasi'!X51)+('Kunci Adjudikasi'!$E$1&gt;=3)*('Kunci Adjudikasi'!R51&lt;&gt;"")*('Kunci Adjudikasi'!AD51&lt;&gt;"")*('Kunci Adjudikasi'!R51='Kunci Adjudikasi'!AD51)+('Kunci Adjudikasi'!$E$1&gt;=4)*('Kunci Adjudikasi'!R51&lt;&gt;"")*('Kunci Adjudikasi'!AJ51&lt;&gt;"")*('Kunci Adjudikasi'!R51='Kunci Adjudikasi'!AJ51)+('Kunci Adjudikasi'!$E$1&gt;=3)*('Kunci Adjudikasi'!X51&lt;&gt;"")*('Kunci Adjudikasi'!AD51&lt;&gt;"")*('Kunci Adjudikasi'!X51='Kunci Adjudikasi'!AD51)+('Kunci Adjudikasi'!$E$1&gt;=4)*('Kunci Adjudikasi'!X51&lt;&gt;"")*('Kunci Adjudikasi'!AJ51&lt;&gt;"")*('Kunci Adjudikasi'!X51='Kunci Adjudikasi'!AJ51)+('Kunci Adjudikasi'!$E$1&gt;=4)*('Kunci Adjudikasi'!AD51&lt;&gt;"")*('Kunci Adjudikasi'!AJ51&lt;&gt;"")*('Kunci Adjudikasi'!AD51='Kunci Adjudikasi'!AJ51)))/(L51-1),0)</f>
        <v>0</v>
      </c>
      <c r="N51" s="20">
        <f>(LEFT('Kunci Adjudikasi'!N51,2)="R0")+(LEFT('Kunci Adjudikasi'!T51,2)="R0")+('Kunci Adjudikasi'!$E$1&gt;=3)*(LEFT('Kunci Adjudikasi'!Z51,2)="R0")+('Kunci Adjudikasi'!$E$1&gt;=4)*(LEFT('Kunci Adjudikasi'!AF51,2)="R0")</f>
        <v>0</v>
      </c>
      <c r="O51" s="20">
        <f>(LEFT('Kunci Adjudikasi'!N51,2)="R1")+(LEFT('Kunci Adjudikasi'!T51,2)="R1")+('Kunci Adjudikasi'!$E$1&gt;=3)*(LEFT('Kunci Adjudikasi'!Z51,2)="R1")+('Kunci Adjudikasi'!$E$1&gt;=4)*(LEFT('Kunci Adjudikasi'!AF51,2)="R1")</f>
        <v>0</v>
      </c>
      <c r="P51" s="20">
        <f>(LEFT('Kunci Adjudikasi'!N51,2)="R2")+(LEFT('Kunci Adjudikasi'!T51,2)="R2")+('Kunci Adjudikasi'!$E$1&gt;=3)*(LEFT('Kunci Adjudikasi'!Z51,2)="R2")+('Kunci Adjudikasi'!$E$1&gt;=4)*(LEFT('Kunci Adjudikasi'!AF51,2)="R2")</f>
        <v>0</v>
      </c>
      <c r="Q51" s="20">
        <f t="shared" si="43"/>
        <v>0</v>
      </c>
      <c r="R51" s="20">
        <f t="shared" si="44"/>
        <v>0</v>
      </c>
      <c r="S51" s="20">
        <f t="shared" si="45"/>
        <v>0</v>
      </c>
    </row>
    <row r="52">
      <c r="A52" s="20">
        <f>'Kunci Adjudikasi'!A52</f>
        <v>49</v>
      </c>
      <c r="B52" s="20">
        <f>('Kunci Adjudikasi'!M52&lt;&gt;"")+('Kunci Adjudikasi'!S52&lt;&gt;"")+('Kunci Adjudikasi'!$E$1&gt;=3)*('Kunci Adjudikasi'!Y52&lt;&gt;"")+('Kunci Adjudikasi'!$E$1&gt;=4)*('Kunci Adjudikasi'!AE52&lt;&gt;"")</f>
        <v>1</v>
      </c>
      <c r="C52" s="20">
        <f>IF(B52&gt;=2,(B52*(B52-1)/2-(('Kunci Adjudikasi'!M52&lt;&gt;"")*('Kunci Adjudikasi'!S52&lt;&gt;"")*('Kunci Adjudikasi'!M52='Kunci Adjudikasi'!S52)+('Kunci Adjudikasi'!$E$1&gt;=3)*('Kunci Adjudikasi'!M52&lt;&gt;"")*('Kunci Adjudikasi'!Y52&lt;&gt;"")*('Kunci Adjudikasi'!M52='Kunci Adjudikasi'!Y52)+('Kunci Adjudikasi'!$E$1&gt;=4)*('Kunci Adjudikasi'!M52&lt;&gt;"")*('Kunci Adjudikasi'!AE52&lt;&gt;"")*('Kunci Adjudikasi'!M52='Kunci Adjudikasi'!AE52)+('Kunci Adjudikasi'!$E$1&gt;=3)*('Kunci Adjudikasi'!S52&lt;&gt;"")*('Kunci Adjudikasi'!Y52&lt;&gt;"")*('Kunci Adjudikasi'!S52='Kunci Adjudikasi'!Y52)+('Kunci Adjudikasi'!$E$1&gt;=4)*('Kunci Adjudikasi'!S52&lt;&gt;"")*('Kunci Adjudikasi'!AE52&lt;&gt;"")*('Kunci Adjudikasi'!S52='Kunci Adjudikasi'!AE52)+('Kunci Adjudikasi'!$E$1&gt;=4)*('Kunci Adjudikasi'!Y52&lt;&gt;"")*('Kunci Adjudikasi'!AE52&lt;&gt;"")*('Kunci Adjudikasi'!Y52='Kunci Adjudikasi'!AE52)))/(B52-1),0)</f>
        <v>0</v>
      </c>
      <c r="D52" s="20">
        <f>('Kunci Adjudikasi'!N52&lt;&gt;"")+('Kunci Adjudikasi'!T52&lt;&gt;"")+('Kunci Adjudikasi'!$E$1&gt;=3)*('Kunci Adjudikasi'!Z52&lt;&gt;"")+('Kunci Adjudikasi'!$E$1&gt;=4)*('Kunci Adjudikasi'!AF52&lt;&gt;"")</f>
        <v>1</v>
      </c>
      <c r="E52" s="20">
        <f>IF(D52&gt;=2,(D52*(D52-1)/2-(('Kunci Adjudikasi'!N52&lt;&gt;"")*('Kunci Adjudikasi'!T52&lt;&gt;"")*('Kunci Adjudikasi'!N52='Kunci Adjudikasi'!T52)+('Kunci Adjudikasi'!$E$1&gt;=3)*('Kunci Adjudikasi'!N52&lt;&gt;"")*('Kunci Adjudikasi'!Z52&lt;&gt;"")*('Kunci Adjudikasi'!N52='Kunci Adjudikasi'!Z52)+('Kunci Adjudikasi'!$E$1&gt;=4)*('Kunci Adjudikasi'!N52&lt;&gt;"")*('Kunci Adjudikasi'!AF52&lt;&gt;"")*('Kunci Adjudikasi'!N52='Kunci Adjudikasi'!AF52)+('Kunci Adjudikasi'!$E$1&gt;=3)*('Kunci Adjudikasi'!T52&lt;&gt;"")*('Kunci Adjudikasi'!Z52&lt;&gt;"")*('Kunci Adjudikasi'!T52='Kunci Adjudikasi'!Z52)+('Kunci Adjudikasi'!$E$1&gt;=4)*('Kunci Adjudikasi'!T52&lt;&gt;"")*('Kunci Adjudikasi'!AF52&lt;&gt;"")*('Kunci Adjudikasi'!T52='Kunci Adjudikasi'!AF52)+('Kunci Adjudikasi'!$E$1&gt;=4)*('Kunci Adjudikasi'!Z52&lt;&gt;"")*('Kunci Adjudikasi'!AF52&lt;&gt;"")*('Kunci Adjudikasi'!Z52='Kunci Adjudikasi'!AF52)))/(D52-1),0)</f>
        <v>0</v>
      </c>
      <c r="F52" s="20">
        <f>('Kunci Adjudikasi'!O52&lt;&gt;"")+('Kunci Adjudikasi'!U52&lt;&gt;"")+('Kunci Adjudikasi'!$E$1&gt;=3)*('Kunci Adjudikasi'!AA52&lt;&gt;"")+('Kunci Adjudikasi'!$E$1&gt;=4)*('Kunci Adjudikasi'!AG52&lt;&gt;"")</f>
        <v>1</v>
      </c>
      <c r="G52" s="20">
        <f>IF(F52&gt;=2,(F52*(F52-1)/2-(('Kunci Adjudikasi'!O52&lt;&gt;"")*('Kunci Adjudikasi'!U52&lt;&gt;"")*('Kunci Adjudikasi'!O52='Kunci Adjudikasi'!U52)+('Kunci Adjudikasi'!$E$1&gt;=3)*('Kunci Adjudikasi'!O52&lt;&gt;"")*('Kunci Adjudikasi'!AA52&lt;&gt;"")*('Kunci Adjudikasi'!O52='Kunci Adjudikasi'!AA52)+('Kunci Adjudikasi'!$E$1&gt;=4)*('Kunci Adjudikasi'!O52&lt;&gt;"")*('Kunci Adjudikasi'!AG52&lt;&gt;"")*('Kunci Adjudikasi'!O52='Kunci Adjudikasi'!AG52)+('Kunci Adjudikasi'!$E$1&gt;=3)*('Kunci Adjudikasi'!U52&lt;&gt;"")*('Kunci Adjudikasi'!AA52&lt;&gt;"")*('Kunci Adjudikasi'!U52='Kunci Adjudikasi'!AA52)+('Kunci Adjudikasi'!$E$1&gt;=4)*('Kunci Adjudikasi'!U52&lt;&gt;"")*('Kunci Adjudikasi'!AG52&lt;&gt;"")*('Kunci Adjudikasi'!U52='Kunci Adjudikasi'!AG52)+('Kunci Adjudikasi'!$E$1&gt;=4)*('Kunci Adjudikasi'!AA52&lt;&gt;"")*('Kunci Adjudikasi'!AG52&lt;&gt;"")*('Kunci Adjudikasi'!AA52='Kunci Adjudikasi'!AG52)))/(F52-1),0)</f>
        <v>0</v>
      </c>
      <c r="H52" s="20">
        <f>('Kunci Adjudikasi'!P52&lt;&gt;"")+('Kunci Adjudikasi'!V52&lt;&gt;"")+('Kunci Adjudikasi'!$E$1&gt;=3)*('Kunci Adjudikasi'!AB52&lt;&gt;"")+('Kunci Adjudikasi'!$E$1&gt;=4)*('Kunci Adjudikasi'!AH52&lt;&gt;"")</f>
        <v>1</v>
      </c>
      <c r="I52" s="20">
        <f>IF(H52&gt;=2,(H52*(H52-1)/2-(('Kunci Adjudikasi'!P52&lt;&gt;"")*('Kunci Adjudikasi'!V52&lt;&gt;"")*('Kunci Adjudikasi'!P52='Kunci Adjudikasi'!V52)+('Kunci Adjudikasi'!$E$1&gt;=3)*('Kunci Adjudikasi'!P52&lt;&gt;"")*('Kunci Adjudikasi'!AB52&lt;&gt;"")*('Kunci Adjudikasi'!P52='Kunci Adjudikasi'!AB52)+('Kunci Adjudikasi'!$E$1&gt;=4)*('Kunci Adjudikasi'!P52&lt;&gt;"")*('Kunci Adjudikasi'!AH52&lt;&gt;"")*('Kunci Adjudikasi'!P52='Kunci Adjudikasi'!AH52)+('Kunci Adjudikasi'!$E$1&gt;=3)*('Kunci Adjudikasi'!V52&lt;&gt;"")*('Kunci Adjudikasi'!AB52&lt;&gt;"")*('Kunci Adjudikasi'!V52='Kunci Adjudikasi'!AB52)+('Kunci Adjudikasi'!$E$1&gt;=4)*('Kunci Adjudikasi'!V52&lt;&gt;"")*('Kunci Adjudikasi'!AH52&lt;&gt;"")*('Kunci Adjudikasi'!V52='Kunci Adjudikasi'!AH52)+('Kunci Adjudikasi'!$E$1&gt;=4)*('Kunci Adjudikasi'!AB52&lt;&gt;"")*('Kunci Adjudikasi'!AH52&lt;&gt;"")*('Kunci Adjudikasi'!AB52='Kunci Adjudikasi'!AH52)))/(H52-1),0)</f>
        <v>0</v>
      </c>
      <c r="J52" s="20">
        <f>('Kunci Adjudikasi'!Q52&lt;&gt;"")+('Kunci Adjudikasi'!W52&lt;&gt;"")+('Kunci Adjudikasi'!$E$1&gt;=3)*('Kunci Adjudikasi'!AC52&lt;&gt;"")+('Kunci Adjudikasi'!$E$1&gt;=4)*('Kunci Adjudikasi'!AI52&lt;&gt;"")</f>
        <v>1</v>
      </c>
      <c r="K52" s="20">
        <f>IF(J52&gt;=2,(J52*(J52-1)/2-(('Kunci Adjudikasi'!Q52&lt;&gt;"")*('Kunci Adjudikasi'!W52&lt;&gt;"")*('Kunci Adjudikasi'!Q52='Kunci Adjudikasi'!W52)+('Kunci Adjudikasi'!$E$1&gt;=3)*('Kunci Adjudikasi'!Q52&lt;&gt;"")*('Kunci Adjudikasi'!AC52&lt;&gt;"")*('Kunci Adjudikasi'!Q52='Kunci Adjudikasi'!AC52)+('Kunci Adjudikasi'!$E$1&gt;=4)*('Kunci Adjudikasi'!Q52&lt;&gt;"")*('Kunci Adjudikasi'!AI52&lt;&gt;"")*('Kunci Adjudikasi'!Q52='Kunci Adjudikasi'!AI52)+('Kunci Adjudikasi'!$E$1&gt;=3)*('Kunci Adjudikasi'!W52&lt;&gt;"")*('Kunci Adjudikasi'!AC52&lt;&gt;"")*('Kunci Adjudikasi'!W52='Kunci Adjudikasi'!AC52)+('Kunci Adjudikasi'!$E$1&gt;=4)*('Kunci Adjudikasi'!W52&lt;&gt;"")*('Kunci Adjudikasi'!AI52&lt;&gt;"")*('Kunci Adjudikasi'!W52='Kunci Adjudikasi'!AI52)+('Kunci Adjudikasi'!$E$1&gt;=4)*('Kunci Adjudikasi'!AC52&lt;&gt;"")*('Kunci Adjudikasi'!AI52&lt;&gt;"")*('Kunci Adjudikasi'!AC52='Kunci Adjudikasi'!AI52)))/(J52-1),0)</f>
        <v>0</v>
      </c>
      <c r="L52" s="20">
        <f>('Kunci Adjudikasi'!R52&lt;&gt;"")+('Kunci Adjudikasi'!X52&lt;&gt;"")+('Kunci Adjudikasi'!$E$1&gt;=3)*('Kunci Adjudikasi'!AD52&lt;&gt;"")+('Kunci Adjudikasi'!$E$1&gt;=4)*('Kunci Adjudikasi'!AJ52&lt;&gt;"")</f>
        <v>1</v>
      </c>
      <c r="M52" s="20">
        <f>IF(L52&gt;=2,(L52*(L52-1)/2-(('Kunci Adjudikasi'!R52&lt;&gt;"")*('Kunci Adjudikasi'!X52&lt;&gt;"")*('Kunci Adjudikasi'!R52='Kunci Adjudikasi'!X52)+('Kunci Adjudikasi'!$E$1&gt;=3)*('Kunci Adjudikasi'!R52&lt;&gt;"")*('Kunci Adjudikasi'!AD52&lt;&gt;"")*('Kunci Adjudikasi'!R52='Kunci Adjudikasi'!AD52)+('Kunci Adjudikasi'!$E$1&gt;=4)*('Kunci Adjudikasi'!R52&lt;&gt;"")*('Kunci Adjudikasi'!AJ52&lt;&gt;"")*('Kunci Adjudikasi'!R52='Kunci Adjudikasi'!AJ52)+('Kunci Adjudikasi'!$E$1&gt;=3)*('Kunci Adjudikasi'!X52&lt;&gt;"")*('Kunci Adjudikasi'!AD52&lt;&gt;"")*('Kunci Adjudikasi'!X52='Kunci Adjudikasi'!AD52)+('Kunci Adjudikasi'!$E$1&gt;=4)*('Kunci Adjudikasi'!X52&lt;&gt;"")*('Kunci Adjudikasi'!AJ52&lt;&gt;"")*('Kunci Adjudikasi'!X52='Kunci Adjudikasi'!AJ52)+('Kunci Adjudikasi'!$E$1&gt;=4)*('Kunci Adjudikasi'!AD52&lt;&gt;"")*('Kunci Adjudikasi'!AJ52&lt;&gt;"")*('Kunci Adjudikasi'!AD52='Kunci Adjudikasi'!AJ52)))/(L52-1),0)</f>
        <v>0</v>
      </c>
      <c r="N52" s="20">
        <f>(LEFT('Kunci Adjudikasi'!N52,2)="R0")+(LEFT('Kunci Adjudikasi'!T52,2)="R0")+('Kunci Adjudikasi'!$E$1&gt;=3)*(LEFT('Kunci Adjudikasi'!Z52,2)="R0")+('Kunci Adjudikasi'!$E$1&gt;=4)*(LEFT('Kunci Adjudikasi'!AF52,2)="R0")</f>
        <v>0</v>
      </c>
      <c r="O52" s="20">
        <f>(LEFT('Kunci Adjudikasi'!N52,2)="R1")+(LEFT('Kunci Adjudikasi'!T52,2)="R1")+('Kunci Adjudikasi'!$E$1&gt;=3)*(LEFT('Kunci Adjudikasi'!Z52,2)="R1")+('Kunci Adjudikasi'!$E$1&gt;=4)*(LEFT('Kunci Adjudikasi'!AF52,2)="R1")</f>
        <v>0</v>
      </c>
      <c r="P52" s="20">
        <f>(LEFT('Kunci Adjudikasi'!N52,2)="R2")+(LEFT('Kunci Adjudikasi'!T52,2)="R2")+('Kunci Adjudikasi'!$E$1&gt;=3)*(LEFT('Kunci Adjudikasi'!Z52,2)="R2")+('Kunci Adjudikasi'!$E$1&gt;=4)*(LEFT('Kunci Adjudikasi'!AF52,2)="R2")</f>
        <v>1</v>
      </c>
      <c r="Q52" s="20">
        <f t="shared" si="43"/>
        <v>0</v>
      </c>
      <c r="R52" s="20">
        <f t="shared" si="44"/>
        <v>0</v>
      </c>
      <c r="S52" s="20">
        <f t="shared" si="45"/>
        <v>0</v>
      </c>
    </row>
    <row r="53">
      <c r="A53" s="20">
        <f>'Kunci Adjudikasi'!A53</f>
        <v>50</v>
      </c>
      <c r="B53" s="20">
        <f>('Kunci Adjudikasi'!M53&lt;&gt;"")+('Kunci Adjudikasi'!S53&lt;&gt;"")+('Kunci Adjudikasi'!$E$1&gt;=3)*('Kunci Adjudikasi'!Y53&lt;&gt;"")+('Kunci Adjudikasi'!$E$1&gt;=4)*('Kunci Adjudikasi'!AE53&lt;&gt;"")</f>
        <v>0</v>
      </c>
      <c r="C53" s="20">
        <f>IF(B53&gt;=2,(B53*(B53-1)/2-(('Kunci Adjudikasi'!M53&lt;&gt;"")*('Kunci Adjudikasi'!S53&lt;&gt;"")*('Kunci Adjudikasi'!M53='Kunci Adjudikasi'!S53)+('Kunci Adjudikasi'!$E$1&gt;=3)*('Kunci Adjudikasi'!M53&lt;&gt;"")*('Kunci Adjudikasi'!Y53&lt;&gt;"")*('Kunci Adjudikasi'!M53='Kunci Adjudikasi'!Y53)+('Kunci Adjudikasi'!$E$1&gt;=4)*('Kunci Adjudikasi'!M53&lt;&gt;"")*('Kunci Adjudikasi'!AE53&lt;&gt;"")*('Kunci Adjudikasi'!M53='Kunci Adjudikasi'!AE53)+('Kunci Adjudikasi'!$E$1&gt;=3)*('Kunci Adjudikasi'!S53&lt;&gt;"")*('Kunci Adjudikasi'!Y53&lt;&gt;"")*('Kunci Adjudikasi'!S53='Kunci Adjudikasi'!Y53)+('Kunci Adjudikasi'!$E$1&gt;=4)*('Kunci Adjudikasi'!S53&lt;&gt;"")*('Kunci Adjudikasi'!AE53&lt;&gt;"")*('Kunci Adjudikasi'!S53='Kunci Adjudikasi'!AE53)+('Kunci Adjudikasi'!$E$1&gt;=4)*('Kunci Adjudikasi'!Y53&lt;&gt;"")*('Kunci Adjudikasi'!AE53&lt;&gt;"")*('Kunci Adjudikasi'!Y53='Kunci Adjudikasi'!AE53)))/(B53-1),0)</f>
        <v>0</v>
      </c>
      <c r="D53" s="20">
        <f>('Kunci Adjudikasi'!N53&lt;&gt;"")+('Kunci Adjudikasi'!T53&lt;&gt;"")+('Kunci Adjudikasi'!$E$1&gt;=3)*('Kunci Adjudikasi'!Z53&lt;&gt;"")+('Kunci Adjudikasi'!$E$1&gt;=4)*('Kunci Adjudikasi'!AF53&lt;&gt;"")</f>
        <v>0</v>
      </c>
      <c r="E53" s="20">
        <f>IF(D53&gt;=2,(D53*(D53-1)/2-(('Kunci Adjudikasi'!N53&lt;&gt;"")*('Kunci Adjudikasi'!T53&lt;&gt;"")*('Kunci Adjudikasi'!N53='Kunci Adjudikasi'!T53)+('Kunci Adjudikasi'!$E$1&gt;=3)*('Kunci Adjudikasi'!N53&lt;&gt;"")*('Kunci Adjudikasi'!Z53&lt;&gt;"")*('Kunci Adjudikasi'!N53='Kunci Adjudikasi'!Z53)+('Kunci Adjudikasi'!$E$1&gt;=4)*('Kunci Adjudikasi'!N53&lt;&gt;"")*('Kunci Adjudikasi'!AF53&lt;&gt;"")*('Kunci Adjudikasi'!N53='Kunci Adjudikasi'!AF53)+('Kunci Adjudikasi'!$E$1&gt;=3)*('Kunci Adjudikasi'!T53&lt;&gt;"")*('Kunci Adjudikasi'!Z53&lt;&gt;"")*('Kunci Adjudikasi'!T53='Kunci Adjudikasi'!Z53)+('Kunci Adjudikasi'!$E$1&gt;=4)*('Kunci Adjudikasi'!T53&lt;&gt;"")*('Kunci Adjudikasi'!AF53&lt;&gt;"")*('Kunci Adjudikasi'!T53='Kunci Adjudikasi'!AF53)+('Kunci Adjudikasi'!$E$1&gt;=4)*('Kunci Adjudikasi'!Z53&lt;&gt;"")*('Kunci Adjudikasi'!AF53&lt;&gt;"")*('Kunci Adjudikasi'!Z53='Kunci Adjudikasi'!AF53)))/(D53-1),0)</f>
        <v>0</v>
      </c>
      <c r="F53" s="20">
        <f>('Kunci Adjudikasi'!O53&lt;&gt;"")+('Kunci Adjudikasi'!U53&lt;&gt;"")+('Kunci Adjudikasi'!$E$1&gt;=3)*('Kunci Adjudikasi'!AA53&lt;&gt;"")+('Kunci Adjudikasi'!$E$1&gt;=4)*('Kunci Adjudikasi'!AG53&lt;&gt;"")</f>
        <v>0</v>
      </c>
      <c r="G53" s="20">
        <f>IF(F53&gt;=2,(F53*(F53-1)/2-(('Kunci Adjudikasi'!O53&lt;&gt;"")*('Kunci Adjudikasi'!U53&lt;&gt;"")*('Kunci Adjudikasi'!O53='Kunci Adjudikasi'!U53)+('Kunci Adjudikasi'!$E$1&gt;=3)*('Kunci Adjudikasi'!O53&lt;&gt;"")*('Kunci Adjudikasi'!AA53&lt;&gt;"")*('Kunci Adjudikasi'!O53='Kunci Adjudikasi'!AA53)+('Kunci Adjudikasi'!$E$1&gt;=4)*('Kunci Adjudikasi'!O53&lt;&gt;"")*('Kunci Adjudikasi'!AG53&lt;&gt;"")*('Kunci Adjudikasi'!O53='Kunci Adjudikasi'!AG53)+('Kunci Adjudikasi'!$E$1&gt;=3)*('Kunci Adjudikasi'!U53&lt;&gt;"")*('Kunci Adjudikasi'!AA53&lt;&gt;"")*('Kunci Adjudikasi'!U53='Kunci Adjudikasi'!AA53)+('Kunci Adjudikasi'!$E$1&gt;=4)*('Kunci Adjudikasi'!U53&lt;&gt;"")*('Kunci Adjudikasi'!AG53&lt;&gt;"")*('Kunci Adjudikasi'!U53='Kunci Adjudikasi'!AG53)+('Kunci Adjudikasi'!$E$1&gt;=4)*('Kunci Adjudikasi'!AA53&lt;&gt;"")*('Kunci Adjudikasi'!AG53&lt;&gt;"")*('Kunci Adjudikasi'!AA53='Kunci Adjudikasi'!AG53)))/(F53-1),0)</f>
        <v>0</v>
      </c>
      <c r="H53" s="20">
        <f>('Kunci Adjudikasi'!P53&lt;&gt;"")+('Kunci Adjudikasi'!V53&lt;&gt;"")+('Kunci Adjudikasi'!$E$1&gt;=3)*('Kunci Adjudikasi'!AB53&lt;&gt;"")+('Kunci Adjudikasi'!$E$1&gt;=4)*('Kunci Adjudikasi'!AH53&lt;&gt;"")</f>
        <v>0</v>
      </c>
      <c r="I53" s="20">
        <f>IF(H53&gt;=2,(H53*(H53-1)/2-(('Kunci Adjudikasi'!P53&lt;&gt;"")*('Kunci Adjudikasi'!V53&lt;&gt;"")*('Kunci Adjudikasi'!P53='Kunci Adjudikasi'!V53)+('Kunci Adjudikasi'!$E$1&gt;=3)*('Kunci Adjudikasi'!P53&lt;&gt;"")*('Kunci Adjudikasi'!AB53&lt;&gt;"")*('Kunci Adjudikasi'!P53='Kunci Adjudikasi'!AB53)+('Kunci Adjudikasi'!$E$1&gt;=4)*('Kunci Adjudikasi'!P53&lt;&gt;"")*('Kunci Adjudikasi'!AH53&lt;&gt;"")*('Kunci Adjudikasi'!P53='Kunci Adjudikasi'!AH53)+('Kunci Adjudikasi'!$E$1&gt;=3)*('Kunci Adjudikasi'!V53&lt;&gt;"")*('Kunci Adjudikasi'!AB53&lt;&gt;"")*('Kunci Adjudikasi'!V53='Kunci Adjudikasi'!AB53)+('Kunci Adjudikasi'!$E$1&gt;=4)*('Kunci Adjudikasi'!V53&lt;&gt;"")*('Kunci Adjudikasi'!AH53&lt;&gt;"")*('Kunci Adjudikasi'!V53='Kunci Adjudikasi'!AH53)+('Kunci Adjudikasi'!$E$1&gt;=4)*('Kunci Adjudikasi'!AB53&lt;&gt;"")*('Kunci Adjudikasi'!AH53&lt;&gt;"")*('Kunci Adjudikasi'!AB53='Kunci Adjudikasi'!AH53)))/(H53-1),0)</f>
        <v>0</v>
      </c>
      <c r="J53" s="20">
        <f>('Kunci Adjudikasi'!Q53&lt;&gt;"")+('Kunci Adjudikasi'!W53&lt;&gt;"")+('Kunci Adjudikasi'!$E$1&gt;=3)*('Kunci Adjudikasi'!AC53&lt;&gt;"")+('Kunci Adjudikasi'!$E$1&gt;=4)*('Kunci Adjudikasi'!AI53&lt;&gt;"")</f>
        <v>0</v>
      </c>
      <c r="K53" s="20">
        <f>IF(J53&gt;=2,(J53*(J53-1)/2-(('Kunci Adjudikasi'!Q53&lt;&gt;"")*('Kunci Adjudikasi'!W53&lt;&gt;"")*('Kunci Adjudikasi'!Q53='Kunci Adjudikasi'!W53)+('Kunci Adjudikasi'!$E$1&gt;=3)*('Kunci Adjudikasi'!Q53&lt;&gt;"")*('Kunci Adjudikasi'!AC53&lt;&gt;"")*('Kunci Adjudikasi'!Q53='Kunci Adjudikasi'!AC53)+('Kunci Adjudikasi'!$E$1&gt;=4)*('Kunci Adjudikasi'!Q53&lt;&gt;"")*('Kunci Adjudikasi'!AI53&lt;&gt;"")*('Kunci Adjudikasi'!Q53='Kunci Adjudikasi'!AI53)+('Kunci Adjudikasi'!$E$1&gt;=3)*('Kunci Adjudikasi'!W53&lt;&gt;"")*('Kunci Adjudikasi'!AC53&lt;&gt;"")*('Kunci Adjudikasi'!W53='Kunci Adjudikasi'!AC53)+('Kunci Adjudikasi'!$E$1&gt;=4)*('Kunci Adjudikasi'!W53&lt;&gt;"")*('Kunci Adjudikasi'!AI53&lt;&gt;"")*('Kunci Adjudikasi'!W53='Kunci Adjudikasi'!AI53)+('Kunci Adjudikasi'!$E$1&gt;=4)*('Kunci Adjudikasi'!AC53&lt;&gt;"")*('Kunci Adjudikasi'!AI53&lt;&gt;"")*('Kunci Adjudikasi'!AC53='Kunci Adjudikasi'!AI53)))/(J53-1),0)</f>
        <v>0</v>
      </c>
      <c r="L53" s="20">
        <f>('Kunci Adjudikasi'!R53&lt;&gt;"")+('Kunci Adjudikasi'!X53&lt;&gt;"")+('Kunci Adjudikasi'!$E$1&gt;=3)*('Kunci Adjudikasi'!AD53&lt;&gt;"")+('Kunci Adjudikasi'!$E$1&gt;=4)*('Kunci Adjudikasi'!AJ53&lt;&gt;"")</f>
        <v>0</v>
      </c>
      <c r="M53" s="20">
        <f>IF(L53&gt;=2,(L53*(L53-1)/2-(('Kunci Adjudikasi'!R53&lt;&gt;"")*('Kunci Adjudikasi'!X53&lt;&gt;"")*('Kunci Adjudikasi'!R53='Kunci Adjudikasi'!X53)+('Kunci Adjudikasi'!$E$1&gt;=3)*('Kunci Adjudikasi'!R53&lt;&gt;"")*('Kunci Adjudikasi'!AD53&lt;&gt;"")*('Kunci Adjudikasi'!R53='Kunci Adjudikasi'!AD53)+('Kunci Adjudikasi'!$E$1&gt;=4)*('Kunci Adjudikasi'!R53&lt;&gt;"")*('Kunci Adjudikasi'!AJ53&lt;&gt;"")*('Kunci Adjudikasi'!R53='Kunci Adjudikasi'!AJ53)+('Kunci Adjudikasi'!$E$1&gt;=3)*('Kunci Adjudikasi'!X53&lt;&gt;"")*('Kunci Adjudikasi'!AD53&lt;&gt;"")*('Kunci Adjudikasi'!X53='Kunci Adjudikasi'!AD53)+('Kunci Adjudikasi'!$E$1&gt;=4)*('Kunci Adjudikasi'!X53&lt;&gt;"")*('Kunci Adjudikasi'!AJ53&lt;&gt;"")*('Kunci Adjudikasi'!X53='Kunci Adjudikasi'!AJ53)+('Kunci Adjudikasi'!$E$1&gt;=4)*('Kunci Adjudikasi'!AD53&lt;&gt;"")*('Kunci Adjudikasi'!AJ53&lt;&gt;"")*('Kunci Adjudikasi'!AD53='Kunci Adjudikasi'!AJ53)))/(L53-1),0)</f>
        <v>0</v>
      </c>
      <c r="N53" s="20">
        <f>(LEFT('Kunci Adjudikasi'!N53,2)="R0")+(LEFT('Kunci Adjudikasi'!T53,2)="R0")+('Kunci Adjudikasi'!$E$1&gt;=3)*(LEFT('Kunci Adjudikasi'!Z53,2)="R0")+('Kunci Adjudikasi'!$E$1&gt;=4)*(LEFT('Kunci Adjudikasi'!AF53,2)="R0")</f>
        <v>0</v>
      </c>
      <c r="O53" s="20">
        <f>(LEFT('Kunci Adjudikasi'!N53,2)="R1")+(LEFT('Kunci Adjudikasi'!T53,2)="R1")+('Kunci Adjudikasi'!$E$1&gt;=3)*(LEFT('Kunci Adjudikasi'!Z53,2)="R1")+('Kunci Adjudikasi'!$E$1&gt;=4)*(LEFT('Kunci Adjudikasi'!AF53,2)="R1")</f>
        <v>0</v>
      </c>
      <c r="P53" s="20">
        <f>(LEFT('Kunci Adjudikasi'!N53,2)="R2")+(LEFT('Kunci Adjudikasi'!T53,2)="R2")+('Kunci Adjudikasi'!$E$1&gt;=3)*(LEFT('Kunci Adjudikasi'!Z53,2)="R2")+('Kunci Adjudikasi'!$E$1&gt;=4)*(LEFT('Kunci Adjudikasi'!AF53,2)="R2")</f>
        <v>0</v>
      </c>
      <c r="Q53" s="20">
        <f t="shared" si="43"/>
        <v>0</v>
      </c>
      <c r="R53" s="20">
        <f t="shared" si="44"/>
        <v>0</v>
      </c>
      <c r="S53" s="20">
        <f t="shared" si="45"/>
        <v>0</v>
      </c>
    </row>
    <row r="54">
      <c r="A54" s="20">
        <f>'Kunci Adjudikasi'!A54</f>
        <v>51</v>
      </c>
      <c r="B54" s="20">
        <f>('Kunci Adjudikasi'!M54&lt;&gt;"")+('Kunci Adjudikasi'!S54&lt;&gt;"")+('Kunci Adjudikasi'!$E$1&gt;=3)*('Kunci Adjudikasi'!Y54&lt;&gt;"")+('Kunci Adjudikasi'!$E$1&gt;=4)*('Kunci Adjudikasi'!AE54&lt;&gt;"")</f>
        <v>0</v>
      </c>
      <c r="C54" s="20">
        <f>IF(B54&gt;=2,(B54*(B54-1)/2-(('Kunci Adjudikasi'!M54&lt;&gt;"")*('Kunci Adjudikasi'!S54&lt;&gt;"")*('Kunci Adjudikasi'!M54='Kunci Adjudikasi'!S54)+('Kunci Adjudikasi'!$E$1&gt;=3)*('Kunci Adjudikasi'!M54&lt;&gt;"")*('Kunci Adjudikasi'!Y54&lt;&gt;"")*('Kunci Adjudikasi'!M54='Kunci Adjudikasi'!Y54)+('Kunci Adjudikasi'!$E$1&gt;=4)*('Kunci Adjudikasi'!M54&lt;&gt;"")*('Kunci Adjudikasi'!AE54&lt;&gt;"")*('Kunci Adjudikasi'!M54='Kunci Adjudikasi'!AE54)+('Kunci Adjudikasi'!$E$1&gt;=3)*('Kunci Adjudikasi'!S54&lt;&gt;"")*('Kunci Adjudikasi'!Y54&lt;&gt;"")*('Kunci Adjudikasi'!S54='Kunci Adjudikasi'!Y54)+('Kunci Adjudikasi'!$E$1&gt;=4)*('Kunci Adjudikasi'!S54&lt;&gt;"")*('Kunci Adjudikasi'!AE54&lt;&gt;"")*('Kunci Adjudikasi'!S54='Kunci Adjudikasi'!AE54)+('Kunci Adjudikasi'!$E$1&gt;=4)*('Kunci Adjudikasi'!Y54&lt;&gt;"")*('Kunci Adjudikasi'!AE54&lt;&gt;"")*('Kunci Adjudikasi'!Y54='Kunci Adjudikasi'!AE54)))/(B54-1),0)</f>
        <v>0</v>
      </c>
      <c r="D54" s="20">
        <f>('Kunci Adjudikasi'!N54&lt;&gt;"")+('Kunci Adjudikasi'!T54&lt;&gt;"")+('Kunci Adjudikasi'!$E$1&gt;=3)*('Kunci Adjudikasi'!Z54&lt;&gt;"")+('Kunci Adjudikasi'!$E$1&gt;=4)*('Kunci Adjudikasi'!AF54&lt;&gt;"")</f>
        <v>0</v>
      </c>
      <c r="E54" s="20">
        <f>IF(D54&gt;=2,(D54*(D54-1)/2-(('Kunci Adjudikasi'!N54&lt;&gt;"")*('Kunci Adjudikasi'!T54&lt;&gt;"")*('Kunci Adjudikasi'!N54='Kunci Adjudikasi'!T54)+('Kunci Adjudikasi'!$E$1&gt;=3)*('Kunci Adjudikasi'!N54&lt;&gt;"")*('Kunci Adjudikasi'!Z54&lt;&gt;"")*('Kunci Adjudikasi'!N54='Kunci Adjudikasi'!Z54)+('Kunci Adjudikasi'!$E$1&gt;=4)*('Kunci Adjudikasi'!N54&lt;&gt;"")*('Kunci Adjudikasi'!AF54&lt;&gt;"")*('Kunci Adjudikasi'!N54='Kunci Adjudikasi'!AF54)+('Kunci Adjudikasi'!$E$1&gt;=3)*('Kunci Adjudikasi'!T54&lt;&gt;"")*('Kunci Adjudikasi'!Z54&lt;&gt;"")*('Kunci Adjudikasi'!T54='Kunci Adjudikasi'!Z54)+('Kunci Adjudikasi'!$E$1&gt;=4)*('Kunci Adjudikasi'!T54&lt;&gt;"")*('Kunci Adjudikasi'!AF54&lt;&gt;"")*('Kunci Adjudikasi'!T54='Kunci Adjudikasi'!AF54)+('Kunci Adjudikasi'!$E$1&gt;=4)*('Kunci Adjudikasi'!Z54&lt;&gt;"")*('Kunci Adjudikasi'!AF54&lt;&gt;"")*('Kunci Adjudikasi'!Z54='Kunci Adjudikasi'!AF54)))/(D54-1),0)</f>
        <v>0</v>
      </c>
      <c r="F54" s="20">
        <f>('Kunci Adjudikasi'!O54&lt;&gt;"")+('Kunci Adjudikasi'!U54&lt;&gt;"")+('Kunci Adjudikasi'!$E$1&gt;=3)*('Kunci Adjudikasi'!AA54&lt;&gt;"")+('Kunci Adjudikasi'!$E$1&gt;=4)*('Kunci Adjudikasi'!AG54&lt;&gt;"")</f>
        <v>0</v>
      </c>
      <c r="G54" s="20">
        <f>IF(F54&gt;=2,(F54*(F54-1)/2-(('Kunci Adjudikasi'!O54&lt;&gt;"")*('Kunci Adjudikasi'!U54&lt;&gt;"")*('Kunci Adjudikasi'!O54='Kunci Adjudikasi'!U54)+('Kunci Adjudikasi'!$E$1&gt;=3)*('Kunci Adjudikasi'!O54&lt;&gt;"")*('Kunci Adjudikasi'!AA54&lt;&gt;"")*('Kunci Adjudikasi'!O54='Kunci Adjudikasi'!AA54)+('Kunci Adjudikasi'!$E$1&gt;=4)*('Kunci Adjudikasi'!O54&lt;&gt;"")*('Kunci Adjudikasi'!AG54&lt;&gt;"")*('Kunci Adjudikasi'!O54='Kunci Adjudikasi'!AG54)+('Kunci Adjudikasi'!$E$1&gt;=3)*('Kunci Adjudikasi'!U54&lt;&gt;"")*('Kunci Adjudikasi'!AA54&lt;&gt;"")*('Kunci Adjudikasi'!U54='Kunci Adjudikasi'!AA54)+('Kunci Adjudikasi'!$E$1&gt;=4)*('Kunci Adjudikasi'!U54&lt;&gt;"")*('Kunci Adjudikasi'!AG54&lt;&gt;"")*('Kunci Adjudikasi'!U54='Kunci Adjudikasi'!AG54)+('Kunci Adjudikasi'!$E$1&gt;=4)*('Kunci Adjudikasi'!AA54&lt;&gt;"")*('Kunci Adjudikasi'!AG54&lt;&gt;"")*('Kunci Adjudikasi'!AA54='Kunci Adjudikasi'!AG54)))/(F54-1),0)</f>
        <v>0</v>
      </c>
      <c r="H54" s="20">
        <f>('Kunci Adjudikasi'!P54&lt;&gt;"")+('Kunci Adjudikasi'!V54&lt;&gt;"")+('Kunci Adjudikasi'!$E$1&gt;=3)*('Kunci Adjudikasi'!AB54&lt;&gt;"")+('Kunci Adjudikasi'!$E$1&gt;=4)*('Kunci Adjudikasi'!AH54&lt;&gt;"")</f>
        <v>0</v>
      </c>
      <c r="I54" s="20">
        <f>IF(H54&gt;=2,(H54*(H54-1)/2-(('Kunci Adjudikasi'!P54&lt;&gt;"")*('Kunci Adjudikasi'!V54&lt;&gt;"")*('Kunci Adjudikasi'!P54='Kunci Adjudikasi'!V54)+('Kunci Adjudikasi'!$E$1&gt;=3)*('Kunci Adjudikasi'!P54&lt;&gt;"")*('Kunci Adjudikasi'!AB54&lt;&gt;"")*('Kunci Adjudikasi'!P54='Kunci Adjudikasi'!AB54)+('Kunci Adjudikasi'!$E$1&gt;=4)*('Kunci Adjudikasi'!P54&lt;&gt;"")*('Kunci Adjudikasi'!AH54&lt;&gt;"")*('Kunci Adjudikasi'!P54='Kunci Adjudikasi'!AH54)+('Kunci Adjudikasi'!$E$1&gt;=3)*('Kunci Adjudikasi'!V54&lt;&gt;"")*('Kunci Adjudikasi'!AB54&lt;&gt;"")*('Kunci Adjudikasi'!V54='Kunci Adjudikasi'!AB54)+('Kunci Adjudikasi'!$E$1&gt;=4)*('Kunci Adjudikasi'!V54&lt;&gt;"")*('Kunci Adjudikasi'!AH54&lt;&gt;"")*('Kunci Adjudikasi'!V54='Kunci Adjudikasi'!AH54)+('Kunci Adjudikasi'!$E$1&gt;=4)*('Kunci Adjudikasi'!AB54&lt;&gt;"")*('Kunci Adjudikasi'!AH54&lt;&gt;"")*('Kunci Adjudikasi'!AB54='Kunci Adjudikasi'!AH54)))/(H54-1),0)</f>
        <v>0</v>
      </c>
      <c r="J54" s="20">
        <f>('Kunci Adjudikasi'!Q54&lt;&gt;"")+('Kunci Adjudikasi'!W54&lt;&gt;"")+('Kunci Adjudikasi'!$E$1&gt;=3)*('Kunci Adjudikasi'!AC54&lt;&gt;"")+('Kunci Adjudikasi'!$E$1&gt;=4)*('Kunci Adjudikasi'!AI54&lt;&gt;"")</f>
        <v>0</v>
      </c>
      <c r="K54" s="20">
        <f>IF(J54&gt;=2,(J54*(J54-1)/2-(('Kunci Adjudikasi'!Q54&lt;&gt;"")*('Kunci Adjudikasi'!W54&lt;&gt;"")*('Kunci Adjudikasi'!Q54='Kunci Adjudikasi'!W54)+('Kunci Adjudikasi'!$E$1&gt;=3)*('Kunci Adjudikasi'!Q54&lt;&gt;"")*('Kunci Adjudikasi'!AC54&lt;&gt;"")*('Kunci Adjudikasi'!Q54='Kunci Adjudikasi'!AC54)+('Kunci Adjudikasi'!$E$1&gt;=4)*('Kunci Adjudikasi'!Q54&lt;&gt;"")*('Kunci Adjudikasi'!AI54&lt;&gt;"")*('Kunci Adjudikasi'!Q54='Kunci Adjudikasi'!AI54)+('Kunci Adjudikasi'!$E$1&gt;=3)*('Kunci Adjudikasi'!W54&lt;&gt;"")*('Kunci Adjudikasi'!AC54&lt;&gt;"")*('Kunci Adjudikasi'!W54='Kunci Adjudikasi'!AC54)+('Kunci Adjudikasi'!$E$1&gt;=4)*('Kunci Adjudikasi'!W54&lt;&gt;"")*('Kunci Adjudikasi'!AI54&lt;&gt;"")*('Kunci Adjudikasi'!W54='Kunci Adjudikasi'!AI54)+('Kunci Adjudikasi'!$E$1&gt;=4)*('Kunci Adjudikasi'!AC54&lt;&gt;"")*('Kunci Adjudikasi'!AI54&lt;&gt;"")*('Kunci Adjudikasi'!AC54='Kunci Adjudikasi'!AI54)))/(J54-1),0)</f>
        <v>0</v>
      </c>
      <c r="L54" s="20">
        <f>('Kunci Adjudikasi'!R54&lt;&gt;"")+('Kunci Adjudikasi'!X54&lt;&gt;"")+('Kunci Adjudikasi'!$E$1&gt;=3)*('Kunci Adjudikasi'!AD54&lt;&gt;"")+('Kunci Adjudikasi'!$E$1&gt;=4)*('Kunci Adjudikasi'!AJ54&lt;&gt;"")</f>
        <v>0</v>
      </c>
      <c r="M54" s="20">
        <f>IF(L54&gt;=2,(L54*(L54-1)/2-(('Kunci Adjudikasi'!R54&lt;&gt;"")*('Kunci Adjudikasi'!X54&lt;&gt;"")*('Kunci Adjudikasi'!R54='Kunci Adjudikasi'!X54)+('Kunci Adjudikasi'!$E$1&gt;=3)*('Kunci Adjudikasi'!R54&lt;&gt;"")*('Kunci Adjudikasi'!AD54&lt;&gt;"")*('Kunci Adjudikasi'!R54='Kunci Adjudikasi'!AD54)+('Kunci Adjudikasi'!$E$1&gt;=4)*('Kunci Adjudikasi'!R54&lt;&gt;"")*('Kunci Adjudikasi'!AJ54&lt;&gt;"")*('Kunci Adjudikasi'!R54='Kunci Adjudikasi'!AJ54)+('Kunci Adjudikasi'!$E$1&gt;=3)*('Kunci Adjudikasi'!X54&lt;&gt;"")*('Kunci Adjudikasi'!AD54&lt;&gt;"")*('Kunci Adjudikasi'!X54='Kunci Adjudikasi'!AD54)+('Kunci Adjudikasi'!$E$1&gt;=4)*('Kunci Adjudikasi'!X54&lt;&gt;"")*('Kunci Adjudikasi'!AJ54&lt;&gt;"")*('Kunci Adjudikasi'!X54='Kunci Adjudikasi'!AJ54)+('Kunci Adjudikasi'!$E$1&gt;=4)*('Kunci Adjudikasi'!AD54&lt;&gt;"")*('Kunci Adjudikasi'!AJ54&lt;&gt;"")*('Kunci Adjudikasi'!AD54='Kunci Adjudikasi'!AJ54)))/(L54-1),0)</f>
        <v>0</v>
      </c>
      <c r="N54" s="20">
        <f>(LEFT('Kunci Adjudikasi'!N54,2)="R0")+(LEFT('Kunci Adjudikasi'!T54,2)="R0")+('Kunci Adjudikasi'!$E$1&gt;=3)*(LEFT('Kunci Adjudikasi'!Z54,2)="R0")+('Kunci Adjudikasi'!$E$1&gt;=4)*(LEFT('Kunci Adjudikasi'!AF54,2)="R0")</f>
        <v>0</v>
      </c>
      <c r="O54" s="20">
        <f>(LEFT('Kunci Adjudikasi'!N54,2)="R1")+(LEFT('Kunci Adjudikasi'!T54,2)="R1")+('Kunci Adjudikasi'!$E$1&gt;=3)*(LEFT('Kunci Adjudikasi'!Z54,2)="R1")+('Kunci Adjudikasi'!$E$1&gt;=4)*(LEFT('Kunci Adjudikasi'!AF54,2)="R1")</f>
        <v>0</v>
      </c>
      <c r="P54" s="20">
        <f>(LEFT('Kunci Adjudikasi'!N54,2)="R2")+(LEFT('Kunci Adjudikasi'!T54,2)="R2")+('Kunci Adjudikasi'!$E$1&gt;=3)*(LEFT('Kunci Adjudikasi'!Z54,2)="R2")+('Kunci Adjudikasi'!$E$1&gt;=4)*(LEFT('Kunci Adjudikasi'!AF54,2)="R2")</f>
        <v>0</v>
      </c>
      <c r="Q54" s="20">
        <f t="shared" si="43"/>
        <v>0</v>
      </c>
      <c r="R54" s="20">
        <f t="shared" si="44"/>
        <v>0</v>
      </c>
      <c r="S54" s="20">
        <f t="shared" si="45"/>
        <v>0</v>
      </c>
    </row>
    <row r="55">
      <c r="A55" s="20">
        <f>'Kunci Adjudikasi'!A55</f>
        <v>52</v>
      </c>
      <c r="B55" s="20">
        <f>('Kunci Adjudikasi'!M55&lt;&gt;"")+('Kunci Adjudikasi'!S55&lt;&gt;"")+('Kunci Adjudikasi'!$E$1&gt;=3)*('Kunci Adjudikasi'!Y55&lt;&gt;"")+('Kunci Adjudikasi'!$E$1&gt;=4)*('Kunci Adjudikasi'!AE55&lt;&gt;"")</f>
        <v>1</v>
      </c>
      <c r="C55" s="20">
        <f>IF(B55&gt;=2,(B55*(B55-1)/2-(('Kunci Adjudikasi'!M55&lt;&gt;"")*('Kunci Adjudikasi'!S55&lt;&gt;"")*('Kunci Adjudikasi'!M55='Kunci Adjudikasi'!S55)+('Kunci Adjudikasi'!$E$1&gt;=3)*('Kunci Adjudikasi'!M55&lt;&gt;"")*('Kunci Adjudikasi'!Y55&lt;&gt;"")*('Kunci Adjudikasi'!M55='Kunci Adjudikasi'!Y55)+('Kunci Adjudikasi'!$E$1&gt;=4)*('Kunci Adjudikasi'!M55&lt;&gt;"")*('Kunci Adjudikasi'!AE55&lt;&gt;"")*('Kunci Adjudikasi'!M55='Kunci Adjudikasi'!AE55)+('Kunci Adjudikasi'!$E$1&gt;=3)*('Kunci Adjudikasi'!S55&lt;&gt;"")*('Kunci Adjudikasi'!Y55&lt;&gt;"")*('Kunci Adjudikasi'!S55='Kunci Adjudikasi'!Y55)+('Kunci Adjudikasi'!$E$1&gt;=4)*('Kunci Adjudikasi'!S55&lt;&gt;"")*('Kunci Adjudikasi'!AE55&lt;&gt;"")*('Kunci Adjudikasi'!S55='Kunci Adjudikasi'!AE55)+('Kunci Adjudikasi'!$E$1&gt;=4)*('Kunci Adjudikasi'!Y55&lt;&gt;"")*('Kunci Adjudikasi'!AE55&lt;&gt;"")*('Kunci Adjudikasi'!Y55='Kunci Adjudikasi'!AE55)))/(B55-1),0)</f>
        <v>0</v>
      </c>
      <c r="D55" s="20">
        <f>('Kunci Adjudikasi'!N55&lt;&gt;"")+('Kunci Adjudikasi'!T55&lt;&gt;"")+('Kunci Adjudikasi'!$E$1&gt;=3)*('Kunci Adjudikasi'!Z55&lt;&gt;"")+('Kunci Adjudikasi'!$E$1&gt;=4)*('Kunci Adjudikasi'!AF55&lt;&gt;"")</f>
        <v>1</v>
      </c>
      <c r="E55" s="20">
        <f>IF(D55&gt;=2,(D55*(D55-1)/2-(('Kunci Adjudikasi'!N55&lt;&gt;"")*('Kunci Adjudikasi'!T55&lt;&gt;"")*('Kunci Adjudikasi'!N55='Kunci Adjudikasi'!T55)+('Kunci Adjudikasi'!$E$1&gt;=3)*('Kunci Adjudikasi'!N55&lt;&gt;"")*('Kunci Adjudikasi'!Z55&lt;&gt;"")*('Kunci Adjudikasi'!N55='Kunci Adjudikasi'!Z55)+('Kunci Adjudikasi'!$E$1&gt;=4)*('Kunci Adjudikasi'!N55&lt;&gt;"")*('Kunci Adjudikasi'!AF55&lt;&gt;"")*('Kunci Adjudikasi'!N55='Kunci Adjudikasi'!AF55)+('Kunci Adjudikasi'!$E$1&gt;=3)*('Kunci Adjudikasi'!T55&lt;&gt;"")*('Kunci Adjudikasi'!Z55&lt;&gt;"")*('Kunci Adjudikasi'!T55='Kunci Adjudikasi'!Z55)+('Kunci Adjudikasi'!$E$1&gt;=4)*('Kunci Adjudikasi'!T55&lt;&gt;"")*('Kunci Adjudikasi'!AF55&lt;&gt;"")*('Kunci Adjudikasi'!T55='Kunci Adjudikasi'!AF55)+('Kunci Adjudikasi'!$E$1&gt;=4)*('Kunci Adjudikasi'!Z55&lt;&gt;"")*('Kunci Adjudikasi'!AF55&lt;&gt;"")*('Kunci Adjudikasi'!Z55='Kunci Adjudikasi'!AF55)))/(D55-1),0)</f>
        <v>0</v>
      </c>
      <c r="F55" s="20">
        <f>('Kunci Adjudikasi'!O55&lt;&gt;"")+('Kunci Adjudikasi'!U55&lt;&gt;"")+('Kunci Adjudikasi'!$E$1&gt;=3)*('Kunci Adjudikasi'!AA55&lt;&gt;"")+('Kunci Adjudikasi'!$E$1&gt;=4)*('Kunci Adjudikasi'!AG55&lt;&gt;"")</f>
        <v>1</v>
      </c>
      <c r="G55" s="20">
        <f>IF(F55&gt;=2,(F55*(F55-1)/2-(('Kunci Adjudikasi'!O55&lt;&gt;"")*('Kunci Adjudikasi'!U55&lt;&gt;"")*('Kunci Adjudikasi'!O55='Kunci Adjudikasi'!U55)+('Kunci Adjudikasi'!$E$1&gt;=3)*('Kunci Adjudikasi'!O55&lt;&gt;"")*('Kunci Adjudikasi'!AA55&lt;&gt;"")*('Kunci Adjudikasi'!O55='Kunci Adjudikasi'!AA55)+('Kunci Adjudikasi'!$E$1&gt;=4)*('Kunci Adjudikasi'!O55&lt;&gt;"")*('Kunci Adjudikasi'!AG55&lt;&gt;"")*('Kunci Adjudikasi'!O55='Kunci Adjudikasi'!AG55)+('Kunci Adjudikasi'!$E$1&gt;=3)*('Kunci Adjudikasi'!U55&lt;&gt;"")*('Kunci Adjudikasi'!AA55&lt;&gt;"")*('Kunci Adjudikasi'!U55='Kunci Adjudikasi'!AA55)+('Kunci Adjudikasi'!$E$1&gt;=4)*('Kunci Adjudikasi'!U55&lt;&gt;"")*('Kunci Adjudikasi'!AG55&lt;&gt;"")*('Kunci Adjudikasi'!U55='Kunci Adjudikasi'!AG55)+('Kunci Adjudikasi'!$E$1&gt;=4)*('Kunci Adjudikasi'!AA55&lt;&gt;"")*('Kunci Adjudikasi'!AG55&lt;&gt;"")*('Kunci Adjudikasi'!AA55='Kunci Adjudikasi'!AG55)))/(F55-1),0)</f>
        <v>0</v>
      </c>
      <c r="H55" s="20">
        <f>('Kunci Adjudikasi'!P55&lt;&gt;"")+('Kunci Adjudikasi'!V55&lt;&gt;"")+('Kunci Adjudikasi'!$E$1&gt;=3)*('Kunci Adjudikasi'!AB55&lt;&gt;"")+('Kunci Adjudikasi'!$E$1&gt;=4)*('Kunci Adjudikasi'!AH55&lt;&gt;"")</f>
        <v>1</v>
      </c>
      <c r="I55" s="20">
        <f>IF(H55&gt;=2,(H55*(H55-1)/2-(('Kunci Adjudikasi'!P55&lt;&gt;"")*('Kunci Adjudikasi'!V55&lt;&gt;"")*('Kunci Adjudikasi'!P55='Kunci Adjudikasi'!V55)+('Kunci Adjudikasi'!$E$1&gt;=3)*('Kunci Adjudikasi'!P55&lt;&gt;"")*('Kunci Adjudikasi'!AB55&lt;&gt;"")*('Kunci Adjudikasi'!P55='Kunci Adjudikasi'!AB55)+('Kunci Adjudikasi'!$E$1&gt;=4)*('Kunci Adjudikasi'!P55&lt;&gt;"")*('Kunci Adjudikasi'!AH55&lt;&gt;"")*('Kunci Adjudikasi'!P55='Kunci Adjudikasi'!AH55)+('Kunci Adjudikasi'!$E$1&gt;=3)*('Kunci Adjudikasi'!V55&lt;&gt;"")*('Kunci Adjudikasi'!AB55&lt;&gt;"")*('Kunci Adjudikasi'!V55='Kunci Adjudikasi'!AB55)+('Kunci Adjudikasi'!$E$1&gt;=4)*('Kunci Adjudikasi'!V55&lt;&gt;"")*('Kunci Adjudikasi'!AH55&lt;&gt;"")*('Kunci Adjudikasi'!V55='Kunci Adjudikasi'!AH55)+('Kunci Adjudikasi'!$E$1&gt;=4)*('Kunci Adjudikasi'!AB55&lt;&gt;"")*('Kunci Adjudikasi'!AH55&lt;&gt;"")*('Kunci Adjudikasi'!AB55='Kunci Adjudikasi'!AH55)))/(H55-1),0)</f>
        <v>0</v>
      </c>
      <c r="J55" s="20">
        <f>('Kunci Adjudikasi'!Q55&lt;&gt;"")+('Kunci Adjudikasi'!W55&lt;&gt;"")+('Kunci Adjudikasi'!$E$1&gt;=3)*('Kunci Adjudikasi'!AC55&lt;&gt;"")+('Kunci Adjudikasi'!$E$1&gt;=4)*('Kunci Adjudikasi'!AI55&lt;&gt;"")</f>
        <v>1</v>
      </c>
      <c r="K55" s="20">
        <f>IF(J55&gt;=2,(J55*(J55-1)/2-(('Kunci Adjudikasi'!Q55&lt;&gt;"")*('Kunci Adjudikasi'!W55&lt;&gt;"")*('Kunci Adjudikasi'!Q55='Kunci Adjudikasi'!W55)+('Kunci Adjudikasi'!$E$1&gt;=3)*('Kunci Adjudikasi'!Q55&lt;&gt;"")*('Kunci Adjudikasi'!AC55&lt;&gt;"")*('Kunci Adjudikasi'!Q55='Kunci Adjudikasi'!AC55)+('Kunci Adjudikasi'!$E$1&gt;=4)*('Kunci Adjudikasi'!Q55&lt;&gt;"")*('Kunci Adjudikasi'!AI55&lt;&gt;"")*('Kunci Adjudikasi'!Q55='Kunci Adjudikasi'!AI55)+('Kunci Adjudikasi'!$E$1&gt;=3)*('Kunci Adjudikasi'!W55&lt;&gt;"")*('Kunci Adjudikasi'!AC55&lt;&gt;"")*('Kunci Adjudikasi'!W55='Kunci Adjudikasi'!AC55)+('Kunci Adjudikasi'!$E$1&gt;=4)*('Kunci Adjudikasi'!W55&lt;&gt;"")*('Kunci Adjudikasi'!AI55&lt;&gt;"")*('Kunci Adjudikasi'!W55='Kunci Adjudikasi'!AI55)+('Kunci Adjudikasi'!$E$1&gt;=4)*('Kunci Adjudikasi'!AC55&lt;&gt;"")*('Kunci Adjudikasi'!AI55&lt;&gt;"")*('Kunci Adjudikasi'!AC55='Kunci Adjudikasi'!AI55)))/(J55-1),0)</f>
        <v>0</v>
      </c>
      <c r="L55" s="20">
        <f>('Kunci Adjudikasi'!R55&lt;&gt;"")+('Kunci Adjudikasi'!X55&lt;&gt;"")+('Kunci Adjudikasi'!$E$1&gt;=3)*('Kunci Adjudikasi'!AD55&lt;&gt;"")+('Kunci Adjudikasi'!$E$1&gt;=4)*('Kunci Adjudikasi'!AJ55&lt;&gt;"")</f>
        <v>1</v>
      </c>
      <c r="M55" s="20">
        <f>IF(L55&gt;=2,(L55*(L55-1)/2-(('Kunci Adjudikasi'!R55&lt;&gt;"")*('Kunci Adjudikasi'!X55&lt;&gt;"")*('Kunci Adjudikasi'!R55='Kunci Adjudikasi'!X55)+('Kunci Adjudikasi'!$E$1&gt;=3)*('Kunci Adjudikasi'!R55&lt;&gt;"")*('Kunci Adjudikasi'!AD55&lt;&gt;"")*('Kunci Adjudikasi'!R55='Kunci Adjudikasi'!AD55)+('Kunci Adjudikasi'!$E$1&gt;=4)*('Kunci Adjudikasi'!R55&lt;&gt;"")*('Kunci Adjudikasi'!AJ55&lt;&gt;"")*('Kunci Adjudikasi'!R55='Kunci Adjudikasi'!AJ55)+('Kunci Adjudikasi'!$E$1&gt;=3)*('Kunci Adjudikasi'!X55&lt;&gt;"")*('Kunci Adjudikasi'!AD55&lt;&gt;"")*('Kunci Adjudikasi'!X55='Kunci Adjudikasi'!AD55)+('Kunci Adjudikasi'!$E$1&gt;=4)*('Kunci Adjudikasi'!X55&lt;&gt;"")*('Kunci Adjudikasi'!AJ55&lt;&gt;"")*('Kunci Adjudikasi'!X55='Kunci Adjudikasi'!AJ55)+('Kunci Adjudikasi'!$E$1&gt;=4)*('Kunci Adjudikasi'!AD55&lt;&gt;"")*('Kunci Adjudikasi'!AJ55&lt;&gt;"")*('Kunci Adjudikasi'!AD55='Kunci Adjudikasi'!AJ55)))/(L55-1),0)</f>
        <v>0</v>
      </c>
      <c r="N55" s="20">
        <f>(LEFT('Kunci Adjudikasi'!N55,2)="R0")+(LEFT('Kunci Adjudikasi'!T55,2)="R0")+('Kunci Adjudikasi'!$E$1&gt;=3)*(LEFT('Kunci Adjudikasi'!Z55,2)="R0")+('Kunci Adjudikasi'!$E$1&gt;=4)*(LEFT('Kunci Adjudikasi'!AF55,2)="R0")</f>
        <v>0</v>
      </c>
      <c r="O55" s="20">
        <f>(LEFT('Kunci Adjudikasi'!N55,2)="R1")+(LEFT('Kunci Adjudikasi'!T55,2)="R1")+('Kunci Adjudikasi'!$E$1&gt;=3)*(LEFT('Kunci Adjudikasi'!Z55,2)="R1")+('Kunci Adjudikasi'!$E$1&gt;=4)*(LEFT('Kunci Adjudikasi'!AF55,2)="R1")</f>
        <v>0</v>
      </c>
      <c r="P55" s="20">
        <f>(LEFT('Kunci Adjudikasi'!N55,2)="R2")+(LEFT('Kunci Adjudikasi'!T55,2)="R2")+('Kunci Adjudikasi'!$E$1&gt;=3)*(LEFT('Kunci Adjudikasi'!Z55,2)="R2")+('Kunci Adjudikasi'!$E$1&gt;=4)*(LEFT('Kunci Adjudikasi'!AF55,2)="R2")</f>
        <v>1</v>
      </c>
      <c r="Q55" s="20">
        <f t="shared" si="43"/>
        <v>0</v>
      </c>
      <c r="R55" s="20">
        <f t="shared" si="44"/>
        <v>0</v>
      </c>
      <c r="S55" s="20">
        <f t="shared" si="45"/>
        <v>0</v>
      </c>
    </row>
    <row r="56">
      <c r="A56" s="20">
        <f>'Kunci Adjudikasi'!A56</f>
        <v>53</v>
      </c>
      <c r="B56" s="20">
        <f>('Kunci Adjudikasi'!M56&lt;&gt;"")+('Kunci Adjudikasi'!S56&lt;&gt;"")+('Kunci Adjudikasi'!$E$1&gt;=3)*('Kunci Adjudikasi'!Y56&lt;&gt;"")+('Kunci Adjudikasi'!$E$1&gt;=4)*('Kunci Adjudikasi'!AE56&lt;&gt;"")</f>
        <v>0</v>
      </c>
      <c r="C56" s="20">
        <f>IF(B56&gt;=2,(B56*(B56-1)/2-(('Kunci Adjudikasi'!M56&lt;&gt;"")*('Kunci Adjudikasi'!S56&lt;&gt;"")*('Kunci Adjudikasi'!M56='Kunci Adjudikasi'!S56)+('Kunci Adjudikasi'!$E$1&gt;=3)*('Kunci Adjudikasi'!M56&lt;&gt;"")*('Kunci Adjudikasi'!Y56&lt;&gt;"")*('Kunci Adjudikasi'!M56='Kunci Adjudikasi'!Y56)+('Kunci Adjudikasi'!$E$1&gt;=4)*('Kunci Adjudikasi'!M56&lt;&gt;"")*('Kunci Adjudikasi'!AE56&lt;&gt;"")*('Kunci Adjudikasi'!M56='Kunci Adjudikasi'!AE56)+('Kunci Adjudikasi'!$E$1&gt;=3)*('Kunci Adjudikasi'!S56&lt;&gt;"")*('Kunci Adjudikasi'!Y56&lt;&gt;"")*('Kunci Adjudikasi'!S56='Kunci Adjudikasi'!Y56)+('Kunci Adjudikasi'!$E$1&gt;=4)*('Kunci Adjudikasi'!S56&lt;&gt;"")*('Kunci Adjudikasi'!AE56&lt;&gt;"")*('Kunci Adjudikasi'!S56='Kunci Adjudikasi'!AE56)+('Kunci Adjudikasi'!$E$1&gt;=4)*('Kunci Adjudikasi'!Y56&lt;&gt;"")*('Kunci Adjudikasi'!AE56&lt;&gt;"")*('Kunci Adjudikasi'!Y56='Kunci Adjudikasi'!AE56)))/(B56-1),0)</f>
        <v>0</v>
      </c>
      <c r="D56" s="20">
        <f>('Kunci Adjudikasi'!N56&lt;&gt;"")+('Kunci Adjudikasi'!T56&lt;&gt;"")+('Kunci Adjudikasi'!$E$1&gt;=3)*('Kunci Adjudikasi'!Z56&lt;&gt;"")+('Kunci Adjudikasi'!$E$1&gt;=4)*('Kunci Adjudikasi'!AF56&lt;&gt;"")</f>
        <v>0</v>
      </c>
      <c r="E56" s="20">
        <f>IF(D56&gt;=2,(D56*(D56-1)/2-(('Kunci Adjudikasi'!N56&lt;&gt;"")*('Kunci Adjudikasi'!T56&lt;&gt;"")*('Kunci Adjudikasi'!N56='Kunci Adjudikasi'!T56)+('Kunci Adjudikasi'!$E$1&gt;=3)*('Kunci Adjudikasi'!N56&lt;&gt;"")*('Kunci Adjudikasi'!Z56&lt;&gt;"")*('Kunci Adjudikasi'!N56='Kunci Adjudikasi'!Z56)+('Kunci Adjudikasi'!$E$1&gt;=4)*('Kunci Adjudikasi'!N56&lt;&gt;"")*('Kunci Adjudikasi'!AF56&lt;&gt;"")*('Kunci Adjudikasi'!N56='Kunci Adjudikasi'!AF56)+('Kunci Adjudikasi'!$E$1&gt;=3)*('Kunci Adjudikasi'!T56&lt;&gt;"")*('Kunci Adjudikasi'!Z56&lt;&gt;"")*('Kunci Adjudikasi'!T56='Kunci Adjudikasi'!Z56)+('Kunci Adjudikasi'!$E$1&gt;=4)*('Kunci Adjudikasi'!T56&lt;&gt;"")*('Kunci Adjudikasi'!AF56&lt;&gt;"")*('Kunci Adjudikasi'!T56='Kunci Adjudikasi'!AF56)+('Kunci Adjudikasi'!$E$1&gt;=4)*('Kunci Adjudikasi'!Z56&lt;&gt;"")*('Kunci Adjudikasi'!AF56&lt;&gt;"")*('Kunci Adjudikasi'!Z56='Kunci Adjudikasi'!AF56)))/(D56-1),0)</f>
        <v>0</v>
      </c>
      <c r="F56" s="20">
        <f>('Kunci Adjudikasi'!O56&lt;&gt;"")+('Kunci Adjudikasi'!U56&lt;&gt;"")+('Kunci Adjudikasi'!$E$1&gt;=3)*('Kunci Adjudikasi'!AA56&lt;&gt;"")+('Kunci Adjudikasi'!$E$1&gt;=4)*('Kunci Adjudikasi'!AG56&lt;&gt;"")</f>
        <v>0</v>
      </c>
      <c r="G56" s="20">
        <f>IF(F56&gt;=2,(F56*(F56-1)/2-(('Kunci Adjudikasi'!O56&lt;&gt;"")*('Kunci Adjudikasi'!U56&lt;&gt;"")*('Kunci Adjudikasi'!O56='Kunci Adjudikasi'!U56)+('Kunci Adjudikasi'!$E$1&gt;=3)*('Kunci Adjudikasi'!O56&lt;&gt;"")*('Kunci Adjudikasi'!AA56&lt;&gt;"")*('Kunci Adjudikasi'!O56='Kunci Adjudikasi'!AA56)+('Kunci Adjudikasi'!$E$1&gt;=4)*('Kunci Adjudikasi'!O56&lt;&gt;"")*('Kunci Adjudikasi'!AG56&lt;&gt;"")*('Kunci Adjudikasi'!O56='Kunci Adjudikasi'!AG56)+('Kunci Adjudikasi'!$E$1&gt;=3)*('Kunci Adjudikasi'!U56&lt;&gt;"")*('Kunci Adjudikasi'!AA56&lt;&gt;"")*('Kunci Adjudikasi'!U56='Kunci Adjudikasi'!AA56)+('Kunci Adjudikasi'!$E$1&gt;=4)*('Kunci Adjudikasi'!U56&lt;&gt;"")*('Kunci Adjudikasi'!AG56&lt;&gt;"")*('Kunci Adjudikasi'!U56='Kunci Adjudikasi'!AG56)+('Kunci Adjudikasi'!$E$1&gt;=4)*('Kunci Adjudikasi'!AA56&lt;&gt;"")*('Kunci Adjudikasi'!AG56&lt;&gt;"")*('Kunci Adjudikasi'!AA56='Kunci Adjudikasi'!AG56)))/(F56-1),0)</f>
        <v>0</v>
      </c>
      <c r="H56" s="20">
        <f>('Kunci Adjudikasi'!P56&lt;&gt;"")+('Kunci Adjudikasi'!V56&lt;&gt;"")+('Kunci Adjudikasi'!$E$1&gt;=3)*('Kunci Adjudikasi'!AB56&lt;&gt;"")+('Kunci Adjudikasi'!$E$1&gt;=4)*('Kunci Adjudikasi'!AH56&lt;&gt;"")</f>
        <v>0</v>
      </c>
      <c r="I56" s="20">
        <f>IF(H56&gt;=2,(H56*(H56-1)/2-(('Kunci Adjudikasi'!P56&lt;&gt;"")*('Kunci Adjudikasi'!V56&lt;&gt;"")*('Kunci Adjudikasi'!P56='Kunci Adjudikasi'!V56)+('Kunci Adjudikasi'!$E$1&gt;=3)*('Kunci Adjudikasi'!P56&lt;&gt;"")*('Kunci Adjudikasi'!AB56&lt;&gt;"")*('Kunci Adjudikasi'!P56='Kunci Adjudikasi'!AB56)+('Kunci Adjudikasi'!$E$1&gt;=4)*('Kunci Adjudikasi'!P56&lt;&gt;"")*('Kunci Adjudikasi'!AH56&lt;&gt;"")*('Kunci Adjudikasi'!P56='Kunci Adjudikasi'!AH56)+('Kunci Adjudikasi'!$E$1&gt;=3)*('Kunci Adjudikasi'!V56&lt;&gt;"")*('Kunci Adjudikasi'!AB56&lt;&gt;"")*('Kunci Adjudikasi'!V56='Kunci Adjudikasi'!AB56)+('Kunci Adjudikasi'!$E$1&gt;=4)*('Kunci Adjudikasi'!V56&lt;&gt;"")*('Kunci Adjudikasi'!AH56&lt;&gt;"")*('Kunci Adjudikasi'!V56='Kunci Adjudikasi'!AH56)+('Kunci Adjudikasi'!$E$1&gt;=4)*('Kunci Adjudikasi'!AB56&lt;&gt;"")*('Kunci Adjudikasi'!AH56&lt;&gt;"")*('Kunci Adjudikasi'!AB56='Kunci Adjudikasi'!AH56)))/(H56-1),0)</f>
        <v>0</v>
      </c>
      <c r="J56" s="20">
        <f>('Kunci Adjudikasi'!Q56&lt;&gt;"")+('Kunci Adjudikasi'!W56&lt;&gt;"")+('Kunci Adjudikasi'!$E$1&gt;=3)*('Kunci Adjudikasi'!AC56&lt;&gt;"")+('Kunci Adjudikasi'!$E$1&gt;=4)*('Kunci Adjudikasi'!AI56&lt;&gt;"")</f>
        <v>0</v>
      </c>
      <c r="K56" s="20">
        <f>IF(J56&gt;=2,(J56*(J56-1)/2-(('Kunci Adjudikasi'!Q56&lt;&gt;"")*('Kunci Adjudikasi'!W56&lt;&gt;"")*('Kunci Adjudikasi'!Q56='Kunci Adjudikasi'!W56)+('Kunci Adjudikasi'!$E$1&gt;=3)*('Kunci Adjudikasi'!Q56&lt;&gt;"")*('Kunci Adjudikasi'!AC56&lt;&gt;"")*('Kunci Adjudikasi'!Q56='Kunci Adjudikasi'!AC56)+('Kunci Adjudikasi'!$E$1&gt;=4)*('Kunci Adjudikasi'!Q56&lt;&gt;"")*('Kunci Adjudikasi'!AI56&lt;&gt;"")*('Kunci Adjudikasi'!Q56='Kunci Adjudikasi'!AI56)+('Kunci Adjudikasi'!$E$1&gt;=3)*('Kunci Adjudikasi'!W56&lt;&gt;"")*('Kunci Adjudikasi'!AC56&lt;&gt;"")*('Kunci Adjudikasi'!W56='Kunci Adjudikasi'!AC56)+('Kunci Adjudikasi'!$E$1&gt;=4)*('Kunci Adjudikasi'!W56&lt;&gt;"")*('Kunci Adjudikasi'!AI56&lt;&gt;"")*('Kunci Adjudikasi'!W56='Kunci Adjudikasi'!AI56)+('Kunci Adjudikasi'!$E$1&gt;=4)*('Kunci Adjudikasi'!AC56&lt;&gt;"")*('Kunci Adjudikasi'!AI56&lt;&gt;"")*('Kunci Adjudikasi'!AC56='Kunci Adjudikasi'!AI56)))/(J56-1),0)</f>
        <v>0</v>
      </c>
      <c r="L56" s="20">
        <f>('Kunci Adjudikasi'!R56&lt;&gt;"")+('Kunci Adjudikasi'!X56&lt;&gt;"")+('Kunci Adjudikasi'!$E$1&gt;=3)*('Kunci Adjudikasi'!AD56&lt;&gt;"")+('Kunci Adjudikasi'!$E$1&gt;=4)*('Kunci Adjudikasi'!AJ56&lt;&gt;"")</f>
        <v>0</v>
      </c>
      <c r="M56" s="20">
        <f>IF(L56&gt;=2,(L56*(L56-1)/2-(('Kunci Adjudikasi'!R56&lt;&gt;"")*('Kunci Adjudikasi'!X56&lt;&gt;"")*('Kunci Adjudikasi'!R56='Kunci Adjudikasi'!X56)+('Kunci Adjudikasi'!$E$1&gt;=3)*('Kunci Adjudikasi'!R56&lt;&gt;"")*('Kunci Adjudikasi'!AD56&lt;&gt;"")*('Kunci Adjudikasi'!R56='Kunci Adjudikasi'!AD56)+('Kunci Adjudikasi'!$E$1&gt;=4)*('Kunci Adjudikasi'!R56&lt;&gt;"")*('Kunci Adjudikasi'!AJ56&lt;&gt;"")*('Kunci Adjudikasi'!R56='Kunci Adjudikasi'!AJ56)+('Kunci Adjudikasi'!$E$1&gt;=3)*('Kunci Adjudikasi'!X56&lt;&gt;"")*('Kunci Adjudikasi'!AD56&lt;&gt;"")*('Kunci Adjudikasi'!X56='Kunci Adjudikasi'!AD56)+('Kunci Adjudikasi'!$E$1&gt;=4)*('Kunci Adjudikasi'!X56&lt;&gt;"")*('Kunci Adjudikasi'!AJ56&lt;&gt;"")*('Kunci Adjudikasi'!X56='Kunci Adjudikasi'!AJ56)+('Kunci Adjudikasi'!$E$1&gt;=4)*('Kunci Adjudikasi'!AD56&lt;&gt;"")*('Kunci Adjudikasi'!AJ56&lt;&gt;"")*('Kunci Adjudikasi'!AD56='Kunci Adjudikasi'!AJ56)))/(L56-1),0)</f>
        <v>0</v>
      </c>
      <c r="N56" s="20">
        <f>(LEFT('Kunci Adjudikasi'!N56,2)="R0")+(LEFT('Kunci Adjudikasi'!T56,2)="R0")+('Kunci Adjudikasi'!$E$1&gt;=3)*(LEFT('Kunci Adjudikasi'!Z56,2)="R0")+('Kunci Adjudikasi'!$E$1&gt;=4)*(LEFT('Kunci Adjudikasi'!AF56,2)="R0")</f>
        <v>0</v>
      </c>
      <c r="O56" s="20">
        <f>(LEFT('Kunci Adjudikasi'!N56,2)="R1")+(LEFT('Kunci Adjudikasi'!T56,2)="R1")+('Kunci Adjudikasi'!$E$1&gt;=3)*(LEFT('Kunci Adjudikasi'!Z56,2)="R1")+('Kunci Adjudikasi'!$E$1&gt;=4)*(LEFT('Kunci Adjudikasi'!AF56,2)="R1")</f>
        <v>0</v>
      </c>
      <c r="P56" s="20">
        <f>(LEFT('Kunci Adjudikasi'!N56,2)="R2")+(LEFT('Kunci Adjudikasi'!T56,2)="R2")+('Kunci Adjudikasi'!$E$1&gt;=3)*(LEFT('Kunci Adjudikasi'!Z56,2)="R2")+('Kunci Adjudikasi'!$E$1&gt;=4)*(LEFT('Kunci Adjudikasi'!AF56,2)="R2")</f>
        <v>0</v>
      </c>
      <c r="Q56" s="20">
        <f t="shared" si="43"/>
        <v>0</v>
      </c>
      <c r="R56" s="20">
        <f t="shared" si="44"/>
        <v>0</v>
      </c>
      <c r="S56" s="20">
        <f t="shared" si="45"/>
        <v>0</v>
      </c>
    </row>
    <row r="57">
      <c r="A57" s="20">
        <f>'Kunci Adjudikasi'!A57</f>
        <v>54</v>
      </c>
      <c r="B57" s="20">
        <f>('Kunci Adjudikasi'!M57&lt;&gt;"")+('Kunci Adjudikasi'!S57&lt;&gt;"")+('Kunci Adjudikasi'!$E$1&gt;=3)*('Kunci Adjudikasi'!Y57&lt;&gt;"")+('Kunci Adjudikasi'!$E$1&gt;=4)*('Kunci Adjudikasi'!AE57&lt;&gt;"")</f>
        <v>1</v>
      </c>
      <c r="C57" s="20">
        <f>IF(B57&gt;=2,(B57*(B57-1)/2-(('Kunci Adjudikasi'!M57&lt;&gt;"")*('Kunci Adjudikasi'!S57&lt;&gt;"")*('Kunci Adjudikasi'!M57='Kunci Adjudikasi'!S57)+('Kunci Adjudikasi'!$E$1&gt;=3)*('Kunci Adjudikasi'!M57&lt;&gt;"")*('Kunci Adjudikasi'!Y57&lt;&gt;"")*('Kunci Adjudikasi'!M57='Kunci Adjudikasi'!Y57)+('Kunci Adjudikasi'!$E$1&gt;=4)*('Kunci Adjudikasi'!M57&lt;&gt;"")*('Kunci Adjudikasi'!AE57&lt;&gt;"")*('Kunci Adjudikasi'!M57='Kunci Adjudikasi'!AE57)+('Kunci Adjudikasi'!$E$1&gt;=3)*('Kunci Adjudikasi'!S57&lt;&gt;"")*('Kunci Adjudikasi'!Y57&lt;&gt;"")*('Kunci Adjudikasi'!S57='Kunci Adjudikasi'!Y57)+('Kunci Adjudikasi'!$E$1&gt;=4)*('Kunci Adjudikasi'!S57&lt;&gt;"")*('Kunci Adjudikasi'!AE57&lt;&gt;"")*('Kunci Adjudikasi'!S57='Kunci Adjudikasi'!AE57)+('Kunci Adjudikasi'!$E$1&gt;=4)*('Kunci Adjudikasi'!Y57&lt;&gt;"")*('Kunci Adjudikasi'!AE57&lt;&gt;"")*('Kunci Adjudikasi'!Y57='Kunci Adjudikasi'!AE57)))/(B57-1),0)</f>
        <v>0</v>
      </c>
      <c r="D57" s="20">
        <f>('Kunci Adjudikasi'!N57&lt;&gt;"")+('Kunci Adjudikasi'!T57&lt;&gt;"")+('Kunci Adjudikasi'!$E$1&gt;=3)*('Kunci Adjudikasi'!Z57&lt;&gt;"")+('Kunci Adjudikasi'!$E$1&gt;=4)*('Kunci Adjudikasi'!AF57&lt;&gt;"")</f>
        <v>1</v>
      </c>
      <c r="E57" s="20">
        <f>IF(D57&gt;=2,(D57*(D57-1)/2-(('Kunci Adjudikasi'!N57&lt;&gt;"")*('Kunci Adjudikasi'!T57&lt;&gt;"")*('Kunci Adjudikasi'!N57='Kunci Adjudikasi'!T57)+('Kunci Adjudikasi'!$E$1&gt;=3)*('Kunci Adjudikasi'!N57&lt;&gt;"")*('Kunci Adjudikasi'!Z57&lt;&gt;"")*('Kunci Adjudikasi'!N57='Kunci Adjudikasi'!Z57)+('Kunci Adjudikasi'!$E$1&gt;=4)*('Kunci Adjudikasi'!N57&lt;&gt;"")*('Kunci Adjudikasi'!AF57&lt;&gt;"")*('Kunci Adjudikasi'!N57='Kunci Adjudikasi'!AF57)+('Kunci Adjudikasi'!$E$1&gt;=3)*('Kunci Adjudikasi'!T57&lt;&gt;"")*('Kunci Adjudikasi'!Z57&lt;&gt;"")*('Kunci Adjudikasi'!T57='Kunci Adjudikasi'!Z57)+('Kunci Adjudikasi'!$E$1&gt;=4)*('Kunci Adjudikasi'!T57&lt;&gt;"")*('Kunci Adjudikasi'!AF57&lt;&gt;"")*('Kunci Adjudikasi'!T57='Kunci Adjudikasi'!AF57)+('Kunci Adjudikasi'!$E$1&gt;=4)*('Kunci Adjudikasi'!Z57&lt;&gt;"")*('Kunci Adjudikasi'!AF57&lt;&gt;"")*('Kunci Adjudikasi'!Z57='Kunci Adjudikasi'!AF57)))/(D57-1),0)</f>
        <v>0</v>
      </c>
      <c r="F57" s="20">
        <f>('Kunci Adjudikasi'!O57&lt;&gt;"")+('Kunci Adjudikasi'!U57&lt;&gt;"")+('Kunci Adjudikasi'!$E$1&gt;=3)*('Kunci Adjudikasi'!AA57&lt;&gt;"")+('Kunci Adjudikasi'!$E$1&gt;=4)*('Kunci Adjudikasi'!AG57&lt;&gt;"")</f>
        <v>1</v>
      </c>
      <c r="G57" s="20">
        <f>IF(F57&gt;=2,(F57*(F57-1)/2-(('Kunci Adjudikasi'!O57&lt;&gt;"")*('Kunci Adjudikasi'!U57&lt;&gt;"")*('Kunci Adjudikasi'!O57='Kunci Adjudikasi'!U57)+('Kunci Adjudikasi'!$E$1&gt;=3)*('Kunci Adjudikasi'!O57&lt;&gt;"")*('Kunci Adjudikasi'!AA57&lt;&gt;"")*('Kunci Adjudikasi'!O57='Kunci Adjudikasi'!AA57)+('Kunci Adjudikasi'!$E$1&gt;=4)*('Kunci Adjudikasi'!O57&lt;&gt;"")*('Kunci Adjudikasi'!AG57&lt;&gt;"")*('Kunci Adjudikasi'!O57='Kunci Adjudikasi'!AG57)+('Kunci Adjudikasi'!$E$1&gt;=3)*('Kunci Adjudikasi'!U57&lt;&gt;"")*('Kunci Adjudikasi'!AA57&lt;&gt;"")*('Kunci Adjudikasi'!U57='Kunci Adjudikasi'!AA57)+('Kunci Adjudikasi'!$E$1&gt;=4)*('Kunci Adjudikasi'!U57&lt;&gt;"")*('Kunci Adjudikasi'!AG57&lt;&gt;"")*('Kunci Adjudikasi'!U57='Kunci Adjudikasi'!AG57)+('Kunci Adjudikasi'!$E$1&gt;=4)*('Kunci Adjudikasi'!AA57&lt;&gt;"")*('Kunci Adjudikasi'!AG57&lt;&gt;"")*('Kunci Adjudikasi'!AA57='Kunci Adjudikasi'!AG57)))/(F57-1),0)</f>
        <v>0</v>
      </c>
      <c r="H57" s="20">
        <f>('Kunci Adjudikasi'!P57&lt;&gt;"")+('Kunci Adjudikasi'!V57&lt;&gt;"")+('Kunci Adjudikasi'!$E$1&gt;=3)*('Kunci Adjudikasi'!AB57&lt;&gt;"")+('Kunci Adjudikasi'!$E$1&gt;=4)*('Kunci Adjudikasi'!AH57&lt;&gt;"")</f>
        <v>1</v>
      </c>
      <c r="I57" s="20">
        <f>IF(H57&gt;=2,(H57*(H57-1)/2-(('Kunci Adjudikasi'!P57&lt;&gt;"")*('Kunci Adjudikasi'!V57&lt;&gt;"")*('Kunci Adjudikasi'!P57='Kunci Adjudikasi'!V57)+('Kunci Adjudikasi'!$E$1&gt;=3)*('Kunci Adjudikasi'!P57&lt;&gt;"")*('Kunci Adjudikasi'!AB57&lt;&gt;"")*('Kunci Adjudikasi'!P57='Kunci Adjudikasi'!AB57)+('Kunci Adjudikasi'!$E$1&gt;=4)*('Kunci Adjudikasi'!P57&lt;&gt;"")*('Kunci Adjudikasi'!AH57&lt;&gt;"")*('Kunci Adjudikasi'!P57='Kunci Adjudikasi'!AH57)+('Kunci Adjudikasi'!$E$1&gt;=3)*('Kunci Adjudikasi'!V57&lt;&gt;"")*('Kunci Adjudikasi'!AB57&lt;&gt;"")*('Kunci Adjudikasi'!V57='Kunci Adjudikasi'!AB57)+('Kunci Adjudikasi'!$E$1&gt;=4)*('Kunci Adjudikasi'!V57&lt;&gt;"")*('Kunci Adjudikasi'!AH57&lt;&gt;"")*('Kunci Adjudikasi'!V57='Kunci Adjudikasi'!AH57)+('Kunci Adjudikasi'!$E$1&gt;=4)*('Kunci Adjudikasi'!AB57&lt;&gt;"")*('Kunci Adjudikasi'!AH57&lt;&gt;"")*('Kunci Adjudikasi'!AB57='Kunci Adjudikasi'!AH57)))/(H57-1),0)</f>
        <v>0</v>
      </c>
      <c r="J57" s="20">
        <f>('Kunci Adjudikasi'!Q57&lt;&gt;"")+('Kunci Adjudikasi'!W57&lt;&gt;"")+('Kunci Adjudikasi'!$E$1&gt;=3)*('Kunci Adjudikasi'!AC57&lt;&gt;"")+('Kunci Adjudikasi'!$E$1&gt;=4)*('Kunci Adjudikasi'!AI57&lt;&gt;"")</f>
        <v>1</v>
      </c>
      <c r="K57" s="20">
        <f>IF(J57&gt;=2,(J57*(J57-1)/2-(('Kunci Adjudikasi'!Q57&lt;&gt;"")*('Kunci Adjudikasi'!W57&lt;&gt;"")*('Kunci Adjudikasi'!Q57='Kunci Adjudikasi'!W57)+('Kunci Adjudikasi'!$E$1&gt;=3)*('Kunci Adjudikasi'!Q57&lt;&gt;"")*('Kunci Adjudikasi'!AC57&lt;&gt;"")*('Kunci Adjudikasi'!Q57='Kunci Adjudikasi'!AC57)+('Kunci Adjudikasi'!$E$1&gt;=4)*('Kunci Adjudikasi'!Q57&lt;&gt;"")*('Kunci Adjudikasi'!AI57&lt;&gt;"")*('Kunci Adjudikasi'!Q57='Kunci Adjudikasi'!AI57)+('Kunci Adjudikasi'!$E$1&gt;=3)*('Kunci Adjudikasi'!W57&lt;&gt;"")*('Kunci Adjudikasi'!AC57&lt;&gt;"")*('Kunci Adjudikasi'!W57='Kunci Adjudikasi'!AC57)+('Kunci Adjudikasi'!$E$1&gt;=4)*('Kunci Adjudikasi'!W57&lt;&gt;"")*('Kunci Adjudikasi'!AI57&lt;&gt;"")*('Kunci Adjudikasi'!W57='Kunci Adjudikasi'!AI57)+('Kunci Adjudikasi'!$E$1&gt;=4)*('Kunci Adjudikasi'!AC57&lt;&gt;"")*('Kunci Adjudikasi'!AI57&lt;&gt;"")*('Kunci Adjudikasi'!AC57='Kunci Adjudikasi'!AI57)))/(J57-1),0)</f>
        <v>0</v>
      </c>
      <c r="L57" s="20">
        <f>('Kunci Adjudikasi'!R57&lt;&gt;"")+('Kunci Adjudikasi'!X57&lt;&gt;"")+('Kunci Adjudikasi'!$E$1&gt;=3)*('Kunci Adjudikasi'!AD57&lt;&gt;"")+('Kunci Adjudikasi'!$E$1&gt;=4)*('Kunci Adjudikasi'!AJ57&lt;&gt;"")</f>
        <v>1</v>
      </c>
      <c r="M57" s="20">
        <f>IF(L57&gt;=2,(L57*(L57-1)/2-(('Kunci Adjudikasi'!R57&lt;&gt;"")*('Kunci Adjudikasi'!X57&lt;&gt;"")*('Kunci Adjudikasi'!R57='Kunci Adjudikasi'!X57)+('Kunci Adjudikasi'!$E$1&gt;=3)*('Kunci Adjudikasi'!R57&lt;&gt;"")*('Kunci Adjudikasi'!AD57&lt;&gt;"")*('Kunci Adjudikasi'!R57='Kunci Adjudikasi'!AD57)+('Kunci Adjudikasi'!$E$1&gt;=4)*('Kunci Adjudikasi'!R57&lt;&gt;"")*('Kunci Adjudikasi'!AJ57&lt;&gt;"")*('Kunci Adjudikasi'!R57='Kunci Adjudikasi'!AJ57)+('Kunci Adjudikasi'!$E$1&gt;=3)*('Kunci Adjudikasi'!X57&lt;&gt;"")*('Kunci Adjudikasi'!AD57&lt;&gt;"")*('Kunci Adjudikasi'!X57='Kunci Adjudikasi'!AD57)+('Kunci Adjudikasi'!$E$1&gt;=4)*('Kunci Adjudikasi'!X57&lt;&gt;"")*('Kunci Adjudikasi'!AJ57&lt;&gt;"")*('Kunci Adjudikasi'!X57='Kunci Adjudikasi'!AJ57)+('Kunci Adjudikasi'!$E$1&gt;=4)*('Kunci Adjudikasi'!AD57&lt;&gt;"")*('Kunci Adjudikasi'!AJ57&lt;&gt;"")*('Kunci Adjudikasi'!AD57='Kunci Adjudikasi'!AJ57)))/(L57-1),0)</f>
        <v>0</v>
      </c>
      <c r="N57" s="20">
        <f>(LEFT('Kunci Adjudikasi'!N57,2)="R0")+(LEFT('Kunci Adjudikasi'!T57,2)="R0")+('Kunci Adjudikasi'!$E$1&gt;=3)*(LEFT('Kunci Adjudikasi'!Z57,2)="R0")+('Kunci Adjudikasi'!$E$1&gt;=4)*(LEFT('Kunci Adjudikasi'!AF57,2)="R0")</f>
        <v>0</v>
      </c>
      <c r="O57" s="20">
        <f>(LEFT('Kunci Adjudikasi'!N57,2)="R1")+(LEFT('Kunci Adjudikasi'!T57,2)="R1")+('Kunci Adjudikasi'!$E$1&gt;=3)*(LEFT('Kunci Adjudikasi'!Z57,2)="R1")+('Kunci Adjudikasi'!$E$1&gt;=4)*(LEFT('Kunci Adjudikasi'!AF57,2)="R1")</f>
        <v>0</v>
      </c>
      <c r="P57" s="20">
        <f>(LEFT('Kunci Adjudikasi'!N57,2)="R2")+(LEFT('Kunci Adjudikasi'!T57,2)="R2")+('Kunci Adjudikasi'!$E$1&gt;=3)*(LEFT('Kunci Adjudikasi'!Z57,2)="R2")+('Kunci Adjudikasi'!$E$1&gt;=4)*(LEFT('Kunci Adjudikasi'!AF57,2)="R2")</f>
        <v>1</v>
      </c>
      <c r="Q57" s="20">
        <f t="shared" si="43"/>
        <v>0</v>
      </c>
      <c r="R57" s="20">
        <f t="shared" si="44"/>
        <v>0</v>
      </c>
      <c r="S57" s="20">
        <f t="shared" si="45"/>
        <v>0</v>
      </c>
    </row>
    <row r="58">
      <c r="A58" s="20">
        <f>'Kunci Adjudikasi'!A58</f>
        <v>55</v>
      </c>
      <c r="B58" s="20">
        <f>('Kunci Adjudikasi'!M58&lt;&gt;"")+('Kunci Adjudikasi'!S58&lt;&gt;"")+('Kunci Adjudikasi'!$E$1&gt;=3)*('Kunci Adjudikasi'!Y58&lt;&gt;"")+('Kunci Adjudikasi'!$E$1&gt;=4)*('Kunci Adjudikasi'!AE58&lt;&gt;"")</f>
        <v>1</v>
      </c>
      <c r="C58" s="20">
        <f>IF(B58&gt;=2,(B58*(B58-1)/2-(('Kunci Adjudikasi'!M58&lt;&gt;"")*('Kunci Adjudikasi'!S58&lt;&gt;"")*('Kunci Adjudikasi'!M58='Kunci Adjudikasi'!S58)+('Kunci Adjudikasi'!$E$1&gt;=3)*('Kunci Adjudikasi'!M58&lt;&gt;"")*('Kunci Adjudikasi'!Y58&lt;&gt;"")*('Kunci Adjudikasi'!M58='Kunci Adjudikasi'!Y58)+('Kunci Adjudikasi'!$E$1&gt;=4)*('Kunci Adjudikasi'!M58&lt;&gt;"")*('Kunci Adjudikasi'!AE58&lt;&gt;"")*('Kunci Adjudikasi'!M58='Kunci Adjudikasi'!AE58)+('Kunci Adjudikasi'!$E$1&gt;=3)*('Kunci Adjudikasi'!S58&lt;&gt;"")*('Kunci Adjudikasi'!Y58&lt;&gt;"")*('Kunci Adjudikasi'!S58='Kunci Adjudikasi'!Y58)+('Kunci Adjudikasi'!$E$1&gt;=4)*('Kunci Adjudikasi'!S58&lt;&gt;"")*('Kunci Adjudikasi'!AE58&lt;&gt;"")*('Kunci Adjudikasi'!S58='Kunci Adjudikasi'!AE58)+('Kunci Adjudikasi'!$E$1&gt;=4)*('Kunci Adjudikasi'!Y58&lt;&gt;"")*('Kunci Adjudikasi'!AE58&lt;&gt;"")*('Kunci Adjudikasi'!Y58='Kunci Adjudikasi'!AE58)))/(B58-1),0)</f>
        <v>0</v>
      </c>
      <c r="D58" s="20">
        <f>('Kunci Adjudikasi'!N58&lt;&gt;"")+('Kunci Adjudikasi'!T58&lt;&gt;"")+('Kunci Adjudikasi'!$E$1&gt;=3)*('Kunci Adjudikasi'!Z58&lt;&gt;"")+('Kunci Adjudikasi'!$E$1&gt;=4)*('Kunci Adjudikasi'!AF58&lt;&gt;"")</f>
        <v>1</v>
      </c>
      <c r="E58" s="20">
        <f>IF(D58&gt;=2,(D58*(D58-1)/2-(('Kunci Adjudikasi'!N58&lt;&gt;"")*('Kunci Adjudikasi'!T58&lt;&gt;"")*('Kunci Adjudikasi'!N58='Kunci Adjudikasi'!T58)+('Kunci Adjudikasi'!$E$1&gt;=3)*('Kunci Adjudikasi'!N58&lt;&gt;"")*('Kunci Adjudikasi'!Z58&lt;&gt;"")*('Kunci Adjudikasi'!N58='Kunci Adjudikasi'!Z58)+('Kunci Adjudikasi'!$E$1&gt;=4)*('Kunci Adjudikasi'!N58&lt;&gt;"")*('Kunci Adjudikasi'!AF58&lt;&gt;"")*('Kunci Adjudikasi'!N58='Kunci Adjudikasi'!AF58)+('Kunci Adjudikasi'!$E$1&gt;=3)*('Kunci Adjudikasi'!T58&lt;&gt;"")*('Kunci Adjudikasi'!Z58&lt;&gt;"")*('Kunci Adjudikasi'!T58='Kunci Adjudikasi'!Z58)+('Kunci Adjudikasi'!$E$1&gt;=4)*('Kunci Adjudikasi'!T58&lt;&gt;"")*('Kunci Adjudikasi'!AF58&lt;&gt;"")*('Kunci Adjudikasi'!T58='Kunci Adjudikasi'!AF58)+('Kunci Adjudikasi'!$E$1&gt;=4)*('Kunci Adjudikasi'!Z58&lt;&gt;"")*('Kunci Adjudikasi'!AF58&lt;&gt;"")*('Kunci Adjudikasi'!Z58='Kunci Adjudikasi'!AF58)))/(D58-1),0)</f>
        <v>0</v>
      </c>
      <c r="F58" s="20">
        <f>('Kunci Adjudikasi'!O58&lt;&gt;"")+('Kunci Adjudikasi'!U58&lt;&gt;"")+('Kunci Adjudikasi'!$E$1&gt;=3)*('Kunci Adjudikasi'!AA58&lt;&gt;"")+('Kunci Adjudikasi'!$E$1&gt;=4)*('Kunci Adjudikasi'!AG58&lt;&gt;"")</f>
        <v>1</v>
      </c>
      <c r="G58" s="20">
        <f>IF(F58&gt;=2,(F58*(F58-1)/2-(('Kunci Adjudikasi'!O58&lt;&gt;"")*('Kunci Adjudikasi'!U58&lt;&gt;"")*('Kunci Adjudikasi'!O58='Kunci Adjudikasi'!U58)+('Kunci Adjudikasi'!$E$1&gt;=3)*('Kunci Adjudikasi'!O58&lt;&gt;"")*('Kunci Adjudikasi'!AA58&lt;&gt;"")*('Kunci Adjudikasi'!O58='Kunci Adjudikasi'!AA58)+('Kunci Adjudikasi'!$E$1&gt;=4)*('Kunci Adjudikasi'!O58&lt;&gt;"")*('Kunci Adjudikasi'!AG58&lt;&gt;"")*('Kunci Adjudikasi'!O58='Kunci Adjudikasi'!AG58)+('Kunci Adjudikasi'!$E$1&gt;=3)*('Kunci Adjudikasi'!U58&lt;&gt;"")*('Kunci Adjudikasi'!AA58&lt;&gt;"")*('Kunci Adjudikasi'!U58='Kunci Adjudikasi'!AA58)+('Kunci Adjudikasi'!$E$1&gt;=4)*('Kunci Adjudikasi'!U58&lt;&gt;"")*('Kunci Adjudikasi'!AG58&lt;&gt;"")*('Kunci Adjudikasi'!U58='Kunci Adjudikasi'!AG58)+('Kunci Adjudikasi'!$E$1&gt;=4)*('Kunci Adjudikasi'!AA58&lt;&gt;"")*('Kunci Adjudikasi'!AG58&lt;&gt;"")*('Kunci Adjudikasi'!AA58='Kunci Adjudikasi'!AG58)))/(F58-1),0)</f>
        <v>0</v>
      </c>
      <c r="H58" s="20">
        <f>('Kunci Adjudikasi'!P58&lt;&gt;"")+('Kunci Adjudikasi'!V58&lt;&gt;"")+('Kunci Adjudikasi'!$E$1&gt;=3)*('Kunci Adjudikasi'!AB58&lt;&gt;"")+('Kunci Adjudikasi'!$E$1&gt;=4)*('Kunci Adjudikasi'!AH58&lt;&gt;"")</f>
        <v>1</v>
      </c>
      <c r="I58" s="20">
        <f>IF(H58&gt;=2,(H58*(H58-1)/2-(('Kunci Adjudikasi'!P58&lt;&gt;"")*('Kunci Adjudikasi'!V58&lt;&gt;"")*('Kunci Adjudikasi'!P58='Kunci Adjudikasi'!V58)+('Kunci Adjudikasi'!$E$1&gt;=3)*('Kunci Adjudikasi'!P58&lt;&gt;"")*('Kunci Adjudikasi'!AB58&lt;&gt;"")*('Kunci Adjudikasi'!P58='Kunci Adjudikasi'!AB58)+('Kunci Adjudikasi'!$E$1&gt;=4)*('Kunci Adjudikasi'!P58&lt;&gt;"")*('Kunci Adjudikasi'!AH58&lt;&gt;"")*('Kunci Adjudikasi'!P58='Kunci Adjudikasi'!AH58)+('Kunci Adjudikasi'!$E$1&gt;=3)*('Kunci Adjudikasi'!V58&lt;&gt;"")*('Kunci Adjudikasi'!AB58&lt;&gt;"")*('Kunci Adjudikasi'!V58='Kunci Adjudikasi'!AB58)+('Kunci Adjudikasi'!$E$1&gt;=4)*('Kunci Adjudikasi'!V58&lt;&gt;"")*('Kunci Adjudikasi'!AH58&lt;&gt;"")*('Kunci Adjudikasi'!V58='Kunci Adjudikasi'!AH58)+('Kunci Adjudikasi'!$E$1&gt;=4)*('Kunci Adjudikasi'!AB58&lt;&gt;"")*('Kunci Adjudikasi'!AH58&lt;&gt;"")*('Kunci Adjudikasi'!AB58='Kunci Adjudikasi'!AH58)))/(H58-1),0)</f>
        <v>0</v>
      </c>
      <c r="J58" s="20">
        <f>('Kunci Adjudikasi'!Q58&lt;&gt;"")+('Kunci Adjudikasi'!W58&lt;&gt;"")+('Kunci Adjudikasi'!$E$1&gt;=3)*('Kunci Adjudikasi'!AC58&lt;&gt;"")+('Kunci Adjudikasi'!$E$1&gt;=4)*('Kunci Adjudikasi'!AI58&lt;&gt;"")</f>
        <v>1</v>
      </c>
      <c r="K58" s="20">
        <f>IF(J58&gt;=2,(J58*(J58-1)/2-(('Kunci Adjudikasi'!Q58&lt;&gt;"")*('Kunci Adjudikasi'!W58&lt;&gt;"")*('Kunci Adjudikasi'!Q58='Kunci Adjudikasi'!W58)+('Kunci Adjudikasi'!$E$1&gt;=3)*('Kunci Adjudikasi'!Q58&lt;&gt;"")*('Kunci Adjudikasi'!AC58&lt;&gt;"")*('Kunci Adjudikasi'!Q58='Kunci Adjudikasi'!AC58)+('Kunci Adjudikasi'!$E$1&gt;=4)*('Kunci Adjudikasi'!Q58&lt;&gt;"")*('Kunci Adjudikasi'!AI58&lt;&gt;"")*('Kunci Adjudikasi'!Q58='Kunci Adjudikasi'!AI58)+('Kunci Adjudikasi'!$E$1&gt;=3)*('Kunci Adjudikasi'!W58&lt;&gt;"")*('Kunci Adjudikasi'!AC58&lt;&gt;"")*('Kunci Adjudikasi'!W58='Kunci Adjudikasi'!AC58)+('Kunci Adjudikasi'!$E$1&gt;=4)*('Kunci Adjudikasi'!W58&lt;&gt;"")*('Kunci Adjudikasi'!AI58&lt;&gt;"")*('Kunci Adjudikasi'!W58='Kunci Adjudikasi'!AI58)+('Kunci Adjudikasi'!$E$1&gt;=4)*('Kunci Adjudikasi'!AC58&lt;&gt;"")*('Kunci Adjudikasi'!AI58&lt;&gt;"")*('Kunci Adjudikasi'!AC58='Kunci Adjudikasi'!AI58)))/(J58-1),0)</f>
        <v>0</v>
      </c>
      <c r="L58" s="20">
        <f>('Kunci Adjudikasi'!R58&lt;&gt;"")+('Kunci Adjudikasi'!X58&lt;&gt;"")+('Kunci Adjudikasi'!$E$1&gt;=3)*('Kunci Adjudikasi'!AD58&lt;&gt;"")+('Kunci Adjudikasi'!$E$1&gt;=4)*('Kunci Adjudikasi'!AJ58&lt;&gt;"")</f>
        <v>1</v>
      </c>
      <c r="M58" s="20">
        <f>IF(L58&gt;=2,(L58*(L58-1)/2-(('Kunci Adjudikasi'!R58&lt;&gt;"")*('Kunci Adjudikasi'!X58&lt;&gt;"")*('Kunci Adjudikasi'!R58='Kunci Adjudikasi'!X58)+('Kunci Adjudikasi'!$E$1&gt;=3)*('Kunci Adjudikasi'!R58&lt;&gt;"")*('Kunci Adjudikasi'!AD58&lt;&gt;"")*('Kunci Adjudikasi'!R58='Kunci Adjudikasi'!AD58)+('Kunci Adjudikasi'!$E$1&gt;=4)*('Kunci Adjudikasi'!R58&lt;&gt;"")*('Kunci Adjudikasi'!AJ58&lt;&gt;"")*('Kunci Adjudikasi'!R58='Kunci Adjudikasi'!AJ58)+('Kunci Adjudikasi'!$E$1&gt;=3)*('Kunci Adjudikasi'!X58&lt;&gt;"")*('Kunci Adjudikasi'!AD58&lt;&gt;"")*('Kunci Adjudikasi'!X58='Kunci Adjudikasi'!AD58)+('Kunci Adjudikasi'!$E$1&gt;=4)*('Kunci Adjudikasi'!X58&lt;&gt;"")*('Kunci Adjudikasi'!AJ58&lt;&gt;"")*('Kunci Adjudikasi'!X58='Kunci Adjudikasi'!AJ58)+('Kunci Adjudikasi'!$E$1&gt;=4)*('Kunci Adjudikasi'!AD58&lt;&gt;"")*('Kunci Adjudikasi'!AJ58&lt;&gt;"")*('Kunci Adjudikasi'!AD58='Kunci Adjudikasi'!AJ58)))/(L58-1),0)</f>
        <v>0</v>
      </c>
      <c r="N58" s="20">
        <f>(LEFT('Kunci Adjudikasi'!N58,2)="R0")+(LEFT('Kunci Adjudikasi'!T58,2)="R0")+('Kunci Adjudikasi'!$E$1&gt;=3)*(LEFT('Kunci Adjudikasi'!Z58,2)="R0")+('Kunci Adjudikasi'!$E$1&gt;=4)*(LEFT('Kunci Adjudikasi'!AF58,2)="R0")</f>
        <v>0</v>
      </c>
      <c r="O58" s="20">
        <f>(LEFT('Kunci Adjudikasi'!N58,2)="R1")+(LEFT('Kunci Adjudikasi'!T58,2)="R1")+('Kunci Adjudikasi'!$E$1&gt;=3)*(LEFT('Kunci Adjudikasi'!Z58,2)="R1")+('Kunci Adjudikasi'!$E$1&gt;=4)*(LEFT('Kunci Adjudikasi'!AF58,2)="R1")</f>
        <v>0</v>
      </c>
      <c r="P58" s="20">
        <f>(LEFT('Kunci Adjudikasi'!N58,2)="R2")+(LEFT('Kunci Adjudikasi'!T58,2)="R2")+('Kunci Adjudikasi'!$E$1&gt;=3)*(LEFT('Kunci Adjudikasi'!Z58,2)="R2")+('Kunci Adjudikasi'!$E$1&gt;=4)*(LEFT('Kunci Adjudikasi'!AF58,2)="R2")</f>
        <v>1</v>
      </c>
      <c r="Q58" s="20">
        <f t="shared" si="43"/>
        <v>0</v>
      </c>
      <c r="R58" s="20">
        <f t="shared" si="44"/>
        <v>0</v>
      </c>
      <c r="S58" s="20">
        <f t="shared" si="45"/>
        <v>0</v>
      </c>
    </row>
    <row r="59">
      <c r="A59" s="20">
        <f>'Kunci Adjudikasi'!A59</f>
        <v>56</v>
      </c>
      <c r="B59" s="20">
        <f>('Kunci Adjudikasi'!M59&lt;&gt;"")+('Kunci Adjudikasi'!S59&lt;&gt;"")+('Kunci Adjudikasi'!$E$1&gt;=3)*('Kunci Adjudikasi'!Y59&lt;&gt;"")+('Kunci Adjudikasi'!$E$1&gt;=4)*('Kunci Adjudikasi'!AE59&lt;&gt;"")</f>
        <v>1</v>
      </c>
      <c r="C59" s="20">
        <f>IF(B59&gt;=2,(B59*(B59-1)/2-(('Kunci Adjudikasi'!M59&lt;&gt;"")*('Kunci Adjudikasi'!S59&lt;&gt;"")*('Kunci Adjudikasi'!M59='Kunci Adjudikasi'!S59)+('Kunci Adjudikasi'!$E$1&gt;=3)*('Kunci Adjudikasi'!M59&lt;&gt;"")*('Kunci Adjudikasi'!Y59&lt;&gt;"")*('Kunci Adjudikasi'!M59='Kunci Adjudikasi'!Y59)+('Kunci Adjudikasi'!$E$1&gt;=4)*('Kunci Adjudikasi'!M59&lt;&gt;"")*('Kunci Adjudikasi'!AE59&lt;&gt;"")*('Kunci Adjudikasi'!M59='Kunci Adjudikasi'!AE59)+('Kunci Adjudikasi'!$E$1&gt;=3)*('Kunci Adjudikasi'!S59&lt;&gt;"")*('Kunci Adjudikasi'!Y59&lt;&gt;"")*('Kunci Adjudikasi'!S59='Kunci Adjudikasi'!Y59)+('Kunci Adjudikasi'!$E$1&gt;=4)*('Kunci Adjudikasi'!S59&lt;&gt;"")*('Kunci Adjudikasi'!AE59&lt;&gt;"")*('Kunci Adjudikasi'!S59='Kunci Adjudikasi'!AE59)+('Kunci Adjudikasi'!$E$1&gt;=4)*('Kunci Adjudikasi'!Y59&lt;&gt;"")*('Kunci Adjudikasi'!AE59&lt;&gt;"")*('Kunci Adjudikasi'!Y59='Kunci Adjudikasi'!AE59)))/(B59-1),0)</f>
        <v>0</v>
      </c>
      <c r="D59" s="20">
        <f>('Kunci Adjudikasi'!N59&lt;&gt;"")+('Kunci Adjudikasi'!T59&lt;&gt;"")+('Kunci Adjudikasi'!$E$1&gt;=3)*('Kunci Adjudikasi'!Z59&lt;&gt;"")+('Kunci Adjudikasi'!$E$1&gt;=4)*('Kunci Adjudikasi'!AF59&lt;&gt;"")</f>
        <v>1</v>
      </c>
      <c r="E59" s="20">
        <f>IF(D59&gt;=2,(D59*(D59-1)/2-(('Kunci Adjudikasi'!N59&lt;&gt;"")*('Kunci Adjudikasi'!T59&lt;&gt;"")*('Kunci Adjudikasi'!N59='Kunci Adjudikasi'!T59)+('Kunci Adjudikasi'!$E$1&gt;=3)*('Kunci Adjudikasi'!N59&lt;&gt;"")*('Kunci Adjudikasi'!Z59&lt;&gt;"")*('Kunci Adjudikasi'!N59='Kunci Adjudikasi'!Z59)+('Kunci Adjudikasi'!$E$1&gt;=4)*('Kunci Adjudikasi'!N59&lt;&gt;"")*('Kunci Adjudikasi'!AF59&lt;&gt;"")*('Kunci Adjudikasi'!N59='Kunci Adjudikasi'!AF59)+('Kunci Adjudikasi'!$E$1&gt;=3)*('Kunci Adjudikasi'!T59&lt;&gt;"")*('Kunci Adjudikasi'!Z59&lt;&gt;"")*('Kunci Adjudikasi'!T59='Kunci Adjudikasi'!Z59)+('Kunci Adjudikasi'!$E$1&gt;=4)*('Kunci Adjudikasi'!T59&lt;&gt;"")*('Kunci Adjudikasi'!AF59&lt;&gt;"")*('Kunci Adjudikasi'!T59='Kunci Adjudikasi'!AF59)+('Kunci Adjudikasi'!$E$1&gt;=4)*('Kunci Adjudikasi'!Z59&lt;&gt;"")*('Kunci Adjudikasi'!AF59&lt;&gt;"")*('Kunci Adjudikasi'!Z59='Kunci Adjudikasi'!AF59)))/(D59-1),0)</f>
        <v>0</v>
      </c>
      <c r="F59" s="20">
        <f>('Kunci Adjudikasi'!O59&lt;&gt;"")+('Kunci Adjudikasi'!U59&lt;&gt;"")+('Kunci Adjudikasi'!$E$1&gt;=3)*('Kunci Adjudikasi'!AA59&lt;&gt;"")+('Kunci Adjudikasi'!$E$1&gt;=4)*('Kunci Adjudikasi'!AG59&lt;&gt;"")</f>
        <v>1</v>
      </c>
      <c r="G59" s="20">
        <f>IF(F59&gt;=2,(F59*(F59-1)/2-(('Kunci Adjudikasi'!O59&lt;&gt;"")*('Kunci Adjudikasi'!U59&lt;&gt;"")*('Kunci Adjudikasi'!O59='Kunci Adjudikasi'!U59)+('Kunci Adjudikasi'!$E$1&gt;=3)*('Kunci Adjudikasi'!O59&lt;&gt;"")*('Kunci Adjudikasi'!AA59&lt;&gt;"")*('Kunci Adjudikasi'!O59='Kunci Adjudikasi'!AA59)+('Kunci Adjudikasi'!$E$1&gt;=4)*('Kunci Adjudikasi'!O59&lt;&gt;"")*('Kunci Adjudikasi'!AG59&lt;&gt;"")*('Kunci Adjudikasi'!O59='Kunci Adjudikasi'!AG59)+('Kunci Adjudikasi'!$E$1&gt;=3)*('Kunci Adjudikasi'!U59&lt;&gt;"")*('Kunci Adjudikasi'!AA59&lt;&gt;"")*('Kunci Adjudikasi'!U59='Kunci Adjudikasi'!AA59)+('Kunci Adjudikasi'!$E$1&gt;=4)*('Kunci Adjudikasi'!U59&lt;&gt;"")*('Kunci Adjudikasi'!AG59&lt;&gt;"")*('Kunci Adjudikasi'!U59='Kunci Adjudikasi'!AG59)+('Kunci Adjudikasi'!$E$1&gt;=4)*('Kunci Adjudikasi'!AA59&lt;&gt;"")*('Kunci Adjudikasi'!AG59&lt;&gt;"")*('Kunci Adjudikasi'!AA59='Kunci Adjudikasi'!AG59)))/(F59-1),0)</f>
        <v>0</v>
      </c>
      <c r="H59" s="20">
        <f>('Kunci Adjudikasi'!P59&lt;&gt;"")+('Kunci Adjudikasi'!V59&lt;&gt;"")+('Kunci Adjudikasi'!$E$1&gt;=3)*('Kunci Adjudikasi'!AB59&lt;&gt;"")+('Kunci Adjudikasi'!$E$1&gt;=4)*('Kunci Adjudikasi'!AH59&lt;&gt;"")</f>
        <v>1</v>
      </c>
      <c r="I59" s="20">
        <f>IF(H59&gt;=2,(H59*(H59-1)/2-(('Kunci Adjudikasi'!P59&lt;&gt;"")*('Kunci Adjudikasi'!V59&lt;&gt;"")*('Kunci Adjudikasi'!P59='Kunci Adjudikasi'!V59)+('Kunci Adjudikasi'!$E$1&gt;=3)*('Kunci Adjudikasi'!P59&lt;&gt;"")*('Kunci Adjudikasi'!AB59&lt;&gt;"")*('Kunci Adjudikasi'!P59='Kunci Adjudikasi'!AB59)+('Kunci Adjudikasi'!$E$1&gt;=4)*('Kunci Adjudikasi'!P59&lt;&gt;"")*('Kunci Adjudikasi'!AH59&lt;&gt;"")*('Kunci Adjudikasi'!P59='Kunci Adjudikasi'!AH59)+('Kunci Adjudikasi'!$E$1&gt;=3)*('Kunci Adjudikasi'!V59&lt;&gt;"")*('Kunci Adjudikasi'!AB59&lt;&gt;"")*('Kunci Adjudikasi'!V59='Kunci Adjudikasi'!AB59)+('Kunci Adjudikasi'!$E$1&gt;=4)*('Kunci Adjudikasi'!V59&lt;&gt;"")*('Kunci Adjudikasi'!AH59&lt;&gt;"")*('Kunci Adjudikasi'!V59='Kunci Adjudikasi'!AH59)+('Kunci Adjudikasi'!$E$1&gt;=4)*('Kunci Adjudikasi'!AB59&lt;&gt;"")*('Kunci Adjudikasi'!AH59&lt;&gt;"")*('Kunci Adjudikasi'!AB59='Kunci Adjudikasi'!AH59)))/(H59-1),0)</f>
        <v>0</v>
      </c>
      <c r="J59" s="20">
        <f>('Kunci Adjudikasi'!Q59&lt;&gt;"")+('Kunci Adjudikasi'!W59&lt;&gt;"")+('Kunci Adjudikasi'!$E$1&gt;=3)*('Kunci Adjudikasi'!AC59&lt;&gt;"")+('Kunci Adjudikasi'!$E$1&gt;=4)*('Kunci Adjudikasi'!AI59&lt;&gt;"")</f>
        <v>1</v>
      </c>
      <c r="K59" s="20">
        <f>IF(J59&gt;=2,(J59*(J59-1)/2-(('Kunci Adjudikasi'!Q59&lt;&gt;"")*('Kunci Adjudikasi'!W59&lt;&gt;"")*('Kunci Adjudikasi'!Q59='Kunci Adjudikasi'!W59)+('Kunci Adjudikasi'!$E$1&gt;=3)*('Kunci Adjudikasi'!Q59&lt;&gt;"")*('Kunci Adjudikasi'!AC59&lt;&gt;"")*('Kunci Adjudikasi'!Q59='Kunci Adjudikasi'!AC59)+('Kunci Adjudikasi'!$E$1&gt;=4)*('Kunci Adjudikasi'!Q59&lt;&gt;"")*('Kunci Adjudikasi'!AI59&lt;&gt;"")*('Kunci Adjudikasi'!Q59='Kunci Adjudikasi'!AI59)+('Kunci Adjudikasi'!$E$1&gt;=3)*('Kunci Adjudikasi'!W59&lt;&gt;"")*('Kunci Adjudikasi'!AC59&lt;&gt;"")*('Kunci Adjudikasi'!W59='Kunci Adjudikasi'!AC59)+('Kunci Adjudikasi'!$E$1&gt;=4)*('Kunci Adjudikasi'!W59&lt;&gt;"")*('Kunci Adjudikasi'!AI59&lt;&gt;"")*('Kunci Adjudikasi'!W59='Kunci Adjudikasi'!AI59)+('Kunci Adjudikasi'!$E$1&gt;=4)*('Kunci Adjudikasi'!AC59&lt;&gt;"")*('Kunci Adjudikasi'!AI59&lt;&gt;"")*('Kunci Adjudikasi'!AC59='Kunci Adjudikasi'!AI59)))/(J59-1),0)</f>
        <v>0</v>
      </c>
      <c r="L59" s="20">
        <f>('Kunci Adjudikasi'!R59&lt;&gt;"")+('Kunci Adjudikasi'!X59&lt;&gt;"")+('Kunci Adjudikasi'!$E$1&gt;=3)*('Kunci Adjudikasi'!AD59&lt;&gt;"")+('Kunci Adjudikasi'!$E$1&gt;=4)*('Kunci Adjudikasi'!AJ59&lt;&gt;"")</f>
        <v>1</v>
      </c>
      <c r="M59" s="20">
        <f>IF(L59&gt;=2,(L59*(L59-1)/2-(('Kunci Adjudikasi'!R59&lt;&gt;"")*('Kunci Adjudikasi'!X59&lt;&gt;"")*('Kunci Adjudikasi'!R59='Kunci Adjudikasi'!X59)+('Kunci Adjudikasi'!$E$1&gt;=3)*('Kunci Adjudikasi'!R59&lt;&gt;"")*('Kunci Adjudikasi'!AD59&lt;&gt;"")*('Kunci Adjudikasi'!R59='Kunci Adjudikasi'!AD59)+('Kunci Adjudikasi'!$E$1&gt;=4)*('Kunci Adjudikasi'!R59&lt;&gt;"")*('Kunci Adjudikasi'!AJ59&lt;&gt;"")*('Kunci Adjudikasi'!R59='Kunci Adjudikasi'!AJ59)+('Kunci Adjudikasi'!$E$1&gt;=3)*('Kunci Adjudikasi'!X59&lt;&gt;"")*('Kunci Adjudikasi'!AD59&lt;&gt;"")*('Kunci Adjudikasi'!X59='Kunci Adjudikasi'!AD59)+('Kunci Adjudikasi'!$E$1&gt;=4)*('Kunci Adjudikasi'!X59&lt;&gt;"")*('Kunci Adjudikasi'!AJ59&lt;&gt;"")*('Kunci Adjudikasi'!X59='Kunci Adjudikasi'!AJ59)+('Kunci Adjudikasi'!$E$1&gt;=4)*('Kunci Adjudikasi'!AD59&lt;&gt;"")*('Kunci Adjudikasi'!AJ59&lt;&gt;"")*('Kunci Adjudikasi'!AD59='Kunci Adjudikasi'!AJ59)))/(L59-1),0)</f>
        <v>0</v>
      </c>
      <c r="N59" s="20">
        <f>(LEFT('Kunci Adjudikasi'!N59,2)="R0")+(LEFT('Kunci Adjudikasi'!T59,2)="R0")+('Kunci Adjudikasi'!$E$1&gt;=3)*(LEFT('Kunci Adjudikasi'!Z59,2)="R0")+('Kunci Adjudikasi'!$E$1&gt;=4)*(LEFT('Kunci Adjudikasi'!AF59,2)="R0")</f>
        <v>0</v>
      </c>
      <c r="O59" s="20">
        <f>(LEFT('Kunci Adjudikasi'!N59,2)="R1")+(LEFT('Kunci Adjudikasi'!T59,2)="R1")+('Kunci Adjudikasi'!$E$1&gt;=3)*(LEFT('Kunci Adjudikasi'!Z59,2)="R1")+('Kunci Adjudikasi'!$E$1&gt;=4)*(LEFT('Kunci Adjudikasi'!AF59,2)="R1")</f>
        <v>0</v>
      </c>
      <c r="P59" s="20">
        <f>(LEFT('Kunci Adjudikasi'!N59,2)="R2")+(LEFT('Kunci Adjudikasi'!T59,2)="R2")+('Kunci Adjudikasi'!$E$1&gt;=3)*(LEFT('Kunci Adjudikasi'!Z59,2)="R2")+('Kunci Adjudikasi'!$E$1&gt;=4)*(LEFT('Kunci Adjudikasi'!AF59,2)="R2")</f>
        <v>1</v>
      </c>
      <c r="Q59" s="20">
        <f t="shared" si="43"/>
        <v>0</v>
      </c>
      <c r="R59" s="20">
        <f t="shared" si="44"/>
        <v>0</v>
      </c>
      <c r="S59" s="20">
        <f t="shared" si="45"/>
        <v>0</v>
      </c>
    </row>
    <row r="60">
      <c r="A60" s="20">
        <f>'Kunci Adjudikasi'!A60</f>
        <v>57</v>
      </c>
      <c r="B60" s="20">
        <f>('Kunci Adjudikasi'!M60&lt;&gt;"")+('Kunci Adjudikasi'!S60&lt;&gt;"")+('Kunci Adjudikasi'!$E$1&gt;=3)*('Kunci Adjudikasi'!Y60&lt;&gt;"")+('Kunci Adjudikasi'!$E$1&gt;=4)*('Kunci Adjudikasi'!AE60&lt;&gt;"")</f>
        <v>0</v>
      </c>
      <c r="C60" s="20">
        <f>IF(B60&gt;=2,(B60*(B60-1)/2-(('Kunci Adjudikasi'!M60&lt;&gt;"")*('Kunci Adjudikasi'!S60&lt;&gt;"")*('Kunci Adjudikasi'!M60='Kunci Adjudikasi'!S60)+('Kunci Adjudikasi'!$E$1&gt;=3)*('Kunci Adjudikasi'!M60&lt;&gt;"")*('Kunci Adjudikasi'!Y60&lt;&gt;"")*('Kunci Adjudikasi'!M60='Kunci Adjudikasi'!Y60)+('Kunci Adjudikasi'!$E$1&gt;=4)*('Kunci Adjudikasi'!M60&lt;&gt;"")*('Kunci Adjudikasi'!AE60&lt;&gt;"")*('Kunci Adjudikasi'!M60='Kunci Adjudikasi'!AE60)+('Kunci Adjudikasi'!$E$1&gt;=3)*('Kunci Adjudikasi'!S60&lt;&gt;"")*('Kunci Adjudikasi'!Y60&lt;&gt;"")*('Kunci Adjudikasi'!S60='Kunci Adjudikasi'!Y60)+('Kunci Adjudikasi'!$E$1&gt;=4)*('Kunci Adjudikasi'!S60&lt;&gt;"")*('Kunci Adjudikasi'!AE60&lt;&gt;"")*('Kunci Adjudikasi'!S60='Kunci Adjudikasi'!AE60)+('Kunci Adjudikasi'!$E$1&gt;=4)*('Kunci Adjudikasi'!Y60&lt;&gt;"")*('Kunci Adjudikasi'!AE60&lt;&gt;"")*('Kunci Adjudikasi'!Y60='Kunci Adjudikasi'!AE60)))/(B60-1),0)</f>
        <v>0</v>
      </c>
      <c r="D60" s="20">
        <f>('Kunci Adjudikasi'!N60&lt;&gt;"")+('Kunci Adjudikasi'!T60&lt;&gt;"")+('Kunci Adjudikasi'!$E$1&gt;=3)*('Kunci Adjudikasi'!Z60&lt;&gt;"")+('Kunci Adjudikasi'!$E$1&gt;=4)*('Kunci Adjudikasi'!AF60&lt;&gt;"")</f>
        <v>0</v>
      </c>
      <c r="E60" s="20">
        <f>IF(D60&gt;=2,(D60*(D60-1)/2-(('Kunci Adjudikasi'!N60&lt;&gt;"")*('Kunci Adjudikasi'!T60&lt;&gt;"")*('Kunci Adjudikasi'!N60='Kunci Adjudikasi'!T60)+('Kunci Adjudikasi'!$E$1&gt;=3)*('Kunci Adjudikasi'!N60&lt;&gt;"")*('Kunci Adjudikasi'!Z60&lt;&gt;"")*('Kunci Adjudikasi'!N60='Kunci Adjudikasi'!Z60)+('Kunci Adjudikasi'!$E$1&gt;=4)*('Kunci Adjudikasi'!N60&lt;&gt;"")*('Kunci Adjudikasi'!AF60&lt;&gt;"")*('Kunci Adjudikasi'!N60='Kunci Adjudikasi'!AF60)+('Kunci Adjudikasi'!$E$1&gt;=3)*('Kunci Adjudikasi'!T60&lt;&gt;"")*('Kunci Adjudikasi'!Z60&lt;&gt;"")*('Kunci Adjudikasi'!T60='Kunci Adjudikasi'!Z60)+('Kunci Adjudikasi'!$E$1&gt;=4)*('Kunci Adjudikasi'!T60&lt;&gt;"")*('Kunci Adjudikasi'!AF60&lt;&gt;"")*('Kunci Adjudikasi'!T60='Kunci Adjudikasi'!AF60)+('Kunci Adjudikasi'!$E$1&gt;=4)*('Kunci Adjudikasi'!Z60&lt;&gt;"")*('Kunci Adjudikasi'!AF60&lt;&gt;"")*('Kunci Adjudikasi'!Z60='Kunci Adjudikasi'!AF60)))/(D60-1),0)</f>
        <v>0</v>
      </c>
      <c r="F60" s="20">
        <f>('Kunci Adjudikasi'!O60&lt;&gt;"")+('Kunci Adjudikasi'!U60&lt;&gt;"")+('Kunci Adjudikasi'!$E$1&gt;=3)*('Kunci Adjudikasi'!AA60&lt;&gt;"")+('Kunci Adjudikasi'!$E$1&gt;=4)*('Kunci Adjudikasi'!AG60&lt;&gt;"")</f>
        <v>0</v>
      </c>
      <c r="G60" s="20">
        <f>IF(F60&gt;=2,(F60*(F60-1)/2-(('Kunci Adjudikasi'!O60&lt;&gt;"")*('Kunci Adjudikasi'!U60&lt;&gt;"")*('Kunci Adjudikasi'!O60='Kunci Adjudikasi'!U60)+('Kunci Adjudikasi'!$E$1&gt;=3)*('Kunci Adjudikasi'!O60&lt;&gt;"")*('Kunci Adjudikasi'!AA60&lt;&gt;"")*('Kunci Adjudikasi'!O60='Kunci Adjudikasi'!AA60)+('Kunci Adjudikasi'!$E$1&gt;=4)*('Kunci Adjudikasi'!O60&lt;&gt;"")*('Kunci Adjudikasi'!AG60&lt;&gt;"")*('Kunci Adjudikasi'!O60='Kunci Adjudikasi'!AG60)+('Kunci Adjudikasi'!$E$1&gt;=3)*('Kunci Adjudikasi'!U60&lt;&gt;"")*('Kunci Adjudikasi'!AA60&lt;&gt;"")*('Kunci Adjudikasi'!U60='Kunci Adjudikasi'!AA60)+('Kunci Adjudikasi'!$E$1&gt;=4)*('Kunci Adjudikasi'!U60&lt;&gt;"")*('Kunci Adjudikasi'!AG60&lt;&gt;"")*('Kunci Adjudikasi'!U60='Kunci Adjudikasi'!AG60)+('Kunci Adjudikasi'!$E$1&gt;=4)*('Kunci Adjudikasi'!AA60&lt;&gt;"")*('Kunci Adjudikasi'!AG60&lt;&gt;"")*('Kunci Adjudikasi'!AA60='Kunci Adjudikasi'!AG60)))/(F60-1),0)</f>
        <v>0</v>
      </c>
      <c r="H60" s="20">
        <f>('Kunci Adjudikasi'!P60&lt;&gt;"")+('Kunci Adjudikasi'!V60&lt;&gt;"")+('Kunci Adjudikasi'!$E$1&gt;=3)*('Kunci Adjudikasi'!AB60&lt;&gt;"")+('Kunci Adjudikasi'!$E$1&gt;=4)*('Kunci Adjudikasi'!AH60&lt;&gt;"")</f>
        <v>0</v>
      </c>
      <c r="I60" s="20">
        <f>IF(H60&gt;=2,(H60*(H60-1)/2-(('Kunci Adjudikasi'!P60&lt;&gt;"")*('Kunci Adjudikasi'!V60&lt;&gt;"")*('Kunci Adjudikasi'!P60='Kunci Adjudikasi'!V60)+('Kunci Adjudikasi'!$E$1&gt;=3)*('Kunci Adjudikasi'!P60&lt;&gt;"")*('Kunci Adjudikasi'!AB60&lt;&gt;"")*('Kunci Adjudikasi'!P60='Kunci Adjudikasi'!AB60)+('Kunci Adjudikasi'!$E$1&gt;=4)*('Kunci Adjudikasi'!P60&lt;&gt;"")*('Kunci Adjudikasi'!AH60&lt;&gt;"")*('Kunci Adjudikasi'!P60='Kunci Adjudikasi'!AH60)+('Kunci Adjudikasi'!$E$1&gt;=3)*('Kunci Adjudikasi'!V60&lt;&gt;"")*('Kunci Adjudikasi'!AB60&lt;&gt;"")*('Kunci Adjudikasi'!V60='Kunci Adjudikasi'!AB60)+('Kunci Adjudikasi'!$E$1&gt;=4)*('Kunci Adjudikasi'!V60&lt;&gt;"")*('Kunci Adjudikasi'!AH60&lt;&gt;"")*('Kunci Adjudikasi'!V60='Kunci Adjudikasi'!AH60)+('Kunci Adjudikasi'!$E$1&gt;=4)*('Kunci Adjudikasi'!AB60&lt;&gt;"")*('Kunci Adjudikasi'!AH60&lt;&gt;"")*('Kunci Adjudikasi'!AB60='Kunci Adjudikasi'!AH60)))/(H60-1),0)</f>
        <v>0</v>
      </c>
      <c r="J60" s="20">
        <f>('Kunci Adjudikasi'!Q60&lt;&gt;"")+('Kunci Adjudikasi'!W60&lt;&gt;"")+('Kunci Adjudikasi'!$E$1&gt;=3)*('Kunci Adjudikasi'!AC60&lt;&gt;"")+('Kunci Adjudikasi'!$E$1&gt;=4)*('Kunci Adjudikasi'!AI60&lt;&gt;"")</f>
        <v>0</v>
      </c>
      <c r="K60" s="20">
        <f>IF(J60&gt;=2,(J60*(J60-1)/2-(('Kunci Adjudikasi'!Q60&lt;&gt;"")*('Kunci Adjudikasi'!W60&lt;&gt;"")*('Kunci Adjudikasi'!Q60='Kunci Adjudikasi'!W60)+('Kunci Adjudikasi'!$E$1&gt;=3)*('Kunci Adjudikasi'!Q60&lt;&gt;"")*('Kunci Adjudikasi'!AC60&lt;&gt;"")*('Kunci Adjudikasi'!Q60='Kunci Adjudikasi'!AC60)+('Kunci Adjudikasi'!$E$1&gt;=4)*('Kunci Adjudikasi'!Q60&lt;&gt;"")*('Kunci Adjudikasi'!AI60&lt;&gt;"")*('Kunci Adjudikasi'!Q60='Kunci Adjudikasi'!AI60)+('Kunci Adjudikasi'!$E$1&gt;=3)*('Kunci Adjudikasi'!W60&lt;&gt;"")*('Kunci Adjudikasi'!AC60&lt;&gt;"")*('Kunci Adjudikasi'!W60='Kunci Adjudikasi'!AC60)+('Kunci Adjudikasi'!$E$1&gt;=4)*('Kunci Adjudikasi'!W60&lt;&gt;"")*('Kunci Adjudikasi'!AI60&lt;&gt;"")*('Kunci Adjudikasi'!W60='Kunci Adjudikasi'!AI60)+('Kunci Adjudikasi'!$E$1&gt;=4)*('Kunci Adjudikasi'!AC60&lt;&gt;"")*('Kunci Adjudikasi'!AI60&lt;&gt;"")*('Kunci Adjudikasi'!AC60='Kunci Adjudikasi'!AI60)))/(J60-1),0)</f>
        <v>0</v>
      </c>
      <c r="L60" s="20">
        <f>('Kunci Adjudikasi'!R60&lt;&gt;"")+('Kunci Adjudikasi'!X60&lt;&gt;"")+('Kunci Adjudikasi'!$E$1&gt;=3)*('Kunci Adjudikasi'!AD60&lt;&gt;"")+('Kunci Adjudikasi'!$E$1&gt;=4)*('Kunci Adjudikasi'!AJ60&lt;&gt;"")</f>
        <v>0</v>
      </c>
      <c r="M60" s="20">
        <f>IF(L60&gt;=2,(L60*(L60-1)/2-(('Kunci Adjudikasi'!R60&lt;&gt;"")*('Kunci Adjudikasi'!X60&lt;&gt;"")*('Kunci Adjudikasi'!R60='Kunci Adjudikasi'!X60)+('Kunci Adjudikasi'!$E$1&gt;=3)*('Kunci Adjudikasi'!R60&lt;&gt;"")*('Kunci Adjudikasi'!AD60&lt;&gt;"")*('Kunci Adjudikasi'!R60='Kunci Adjudikasi'!AD60)+('Kunci Adjudikasi'!$E$1&gt;=4)*('Kunci Adjudikasi'!R60&lt;&gt;"")*('Kunci Adjudikasi'!AJ60&lt;&gt;"")*('Kunci Adjudikasi'!R60='Kunci Adjudikasi'!AJ60)+('Kunci Adjudikasi'!$E$1&gt;=3)*('Kunci Adjudikasi'!X60&lt;&gt;"")*('Kunci Adjudikasi'!AD60&lt;&gt;"")*('Kunci Adjudikasi'!X60='Kunci Adjudikasi'!AD60)+('Kunci Adjudikasi'!$E$1&gt;=4)*('Kunci Adjudikasi'!X60&lt;&gt;"")*('Kunci Adjudikasi'!AJ60&lt;&gt;"")*('Kunci Adjudikasi'!X60='Kunci Adjudikasi'!AJ60)+('Kunci Adjudikasi'!$E$1&gt;=4)*('Kunci Adjudikasi'!AD60&lt;&gt;"")*('Kunci Adjudikasi'!AJ60&lt;&gt;"")*('Kunci Adjudikasi'!AD60='Kunci Adjudikasi'!AJ60)))/(L60-1),0)</f>
        <v>0</v>
      </c>
      <c r="N60" s="20">
        <f>(LEFT('Kunci Adjudikasi'!N60,2)="R0")+(LEFT('Kunci Adjudikasi'!T60,2)="R0")+('Kunci Adjudikasi'!$E$1&gt;=3)*(LEFT('Kunci Adjudikasi'!Z60,2)="R0")+('Kunci Adjudikasi'!$E$1&gt;=4)*(LEFT('Kunci Adjudikasi'!AF60,2)="R0")</f>
        <v>0</v>
      </c>
      <c r="O60" s="20">
        <f>(LEFT('Kunci Adjudikasi'!N60,2)="R1")+(LEFT('Kunci Adjudikasi'!T60,2)="R1")+('Kunci Adjudikasi'!$E$1&gt;=3)*(LEFT('Kunci Adjudikasi'!Z60,2)="R1")+('Kunci Adjudikasi'!$E$1&gt;=4)*(LEFT('Kunci Adjudikasi'!AF60,2)="R1")</f>
        <v>0</v>
      </c>
      <c r="P60" s="20">
        <f>(LEFT('Kunci Adjudikasi'!N60,2)="R2")+(LEFT('Kunci Adjudikasi'!T60,2)="R2")+('Kunci Adjudikasi'!$E$1&gt;=3)*(LEFT('Kunci Adjudikasi'!Z60,2)="R2")+('Kunci Adjudikasi'!$E$1&gt;=4)*(LEFT('Kunci Adjudikasi'!AF60,2)="R2")</f>
        <v>0</v>
      </c>
      <c r="Q60" s="20">
        <f t="shared" si="43"/>
        <v>0</v>
      </c>
      <c r="R60" s="20">
        <f t="shared" si="44"/>
        <v>0</v>
      </c>
      <c r="S60" s="20">
        <f t="shared" si="45"/>
        <v>0</v>
      </c>
    </row>
    <row r="61">
      <c r="A61" s="20">
        <f>'Kunci Adjudikasi'!A61</f>
        <v>58</v>
      </c>
      <c r="B61" s="20">
        <f>('Kunci Adjudikasi'!M61&lt;&gt;"")+('Kunci Adjudikasi'!S61&lt;&gt;"")+('Kunci Adjudikasi'!$E$1&gt;=3)*('Kunci Adjudikasi'!Y61&lt;&gt;"")+('Kunci Adjudikasi'!$E$1&gt;=4)*('Kunci Adjudikasi'!AE61&lt;&gt;"")</f>
        <v>0</v>
      </c>
      <c r="C61" s="20">
        <f>IF(B61&gt;=2,(B61*(B61-1)/2-(('Kunci Adjudikasi'!M61&lt;&gt;"")*('Kunci Adjudikasi'!S61&lt;&gt;"")*('Kunci Adjudikasi'!M61='Kunci Adjudikasi'!S61)+('Kunci Adjudikasi'!$E$1&gt;=3)*('Kunci Adjudikasi'!M61&lt;&gt;"")*('Kunci Adjudikasi'!Y61&lt;&gt;"")*('Kunci Adjudikasi'!M61='Kunci Adjudikasi'!Y61)+('Kunci Adjudikasi'!$E$1&gt;=4)*('Kunci Adjudikasi'!M61&lt;&gt;"")*('Kunci Adjudikasi'!AE61&lt;&gt;"")*('Kunci Adjudikasi'!M61='Kunci Adjudikasi'!AE61)+('Kunci Adjudikasi'!$E$1&gt;=3)*('Kunci Adjudikasi'!S61&lt;&gt;"")*('Kunci Adjudikasi'!Y61&lt;&gt;"")*('Kunci Adjudikasi'!S61='Kunci Adjudikasi'!Y61)+('Kunci Adjudikasi'!$E$1&gt;=4)*('Kunci Adjudikasi'!S61&lt;&gt;"")*('Kunci Adjudikasi'!AE61&lt;&gt;"")*('Kunci Adjudikasi'!S61='Kunci Adjudikasi'!AE61)+('Kunci Adjudikasi'!$E$1&gt;=4)*('Kunci Adjudikasi'!Y61&lt;&gt;"")*('Kunci Adjudikasi'!AE61&lt;&gt;"")*('Kunci Adjudikasi'!Y61='Kunci Adjudikasi'!AE61)))/(B61-1),0)</f>
        <v>0</v>
      </c>
      <c r="D61" s="20">
        <f>('Kunci Adjudikasi'!N61&lt;&gt;"")+('Kunci Adjudikasi'!T61&lt;&gt;"")+('Kunci Adjudikasi'!$E$1&gt;=3)*('Kunci Adjudikasi'!Z61&lt;&gt;"")+('Kunci Adjudikasi'!$E$1&gt;=4)*('Kunci Adjudikasi'!AF61&lt;&gt;"")</f>
        <v>0</v>
      </c>
      <c r="E61" s="20">
        <f>IF(D61&gt;=2,(D61*(D61-1)/2-(('Kunci Adjudikasi'!N61&lt;&gt;"")*('Kunci Adjudikasi'!T61&lt;&gt;"")*('Kunci Adjudikasi'!N61='Kunci Adjudikasi'!T61)+('Kunci Adjudikasi'!$E$1&gt;=3)*('Kunci Adjudikasi'!N61&lt;&gt;"")*('Kunci Adjudikasi'!Z61&lt;&gt;"")*('Kunci Adjudikasi'!N61='Kunci Adjudikasi'!Z61)+('Kunci Adjudikasi'!$E$1&gt;=4)*('Kunci Adjudikasi'!N61&lt;&gt;"")*('Kunci Adjudikasi'!AF61&lt;&gt;"")*('Kunci Adjudikasi'!N61='Kunci Adjudikasi'!AF61)+('Kunci Adjudikasi'!$E$1&gt;=3)*('Kunci Adjudikasi'!T61&lt;&gt;"")*('Kunci Adjudikasi'!Z61&lt;&gt;"")*('Kunci Adjudikasi'!T61='Kunci Adjudikasi'!Z61)+('Kunci Adjudikasi'!$E$1&gt;=4)*('Kunci Adjudikasi'!T61&lt;&gt;"")*('Kunci Adjudikasi'!AF61&lt;&gt;"")*('Kunci Adjudikasi'!T61='Kunci Adjudikasi'!AF61)+('Kunci Adjudikasi'!$E$1&gt;=4)*('Kunci Adjudikasi'!Z61&lt;&gt;"")*('Kunci Adjudikasi'!AF61&lt;&gt;"")*('Kunci Adjudikasi'!Z61='Kunci Adjudikasi'!AF61)))/(D61-1),0)</f>
        <v>0</v>
      </c>
      <c r="F61" s="20">
        <f>('Kunci Adjudikasi'!O61&lt;&gt;"")+('Kunci Adjudikasi'!U61&lt;&gt;"")+('Kunci Adjudikasi'!$E$1&gt;=3)*('Kunci Adjudikasi'!AA61&lt;&gt;"")+('Kunci Adjudikasi'!$E$1&gt;=4)*('Kunci Adjudikasi'!AG61&lt;&gt;"")</f>
        <v>0</v>
      </c>
      <c r="G61" s="20">
        <f>IF(F61&gt;=2,(F61*(F61-1)/2-(('Kunci Adjudikasi'!O61&lt;&gt;"")*('Kunci Adjudikasi'!U61&lt;&gt;"")*('Kunci Adjudikasi'!O61='Kunci Adjudikasi'!U61)+('Kunci Adjudikasi'!$E$1&gt;=3)*('Kunci Adjudikasi'!O61&lt;&gt;"")*('Kunci Adjudikasi'!AA61&lt;&gt;"")*('Kunci Adjudikasi'!O61='Kunci Adjudikasi'!AA61)+('Kunci Adjudikasi'!$E$1&gt;=4)*('Kunci Adjudikasi'!O61&lt;&gt;"")*('Kunci Adjudikasi'!AG61&lt;&gt;"")*('Kunci Adjudikasi'!O61='Kunci Adjudikasi'!AG61)+('Kunci Adjudikasi'!$E$1&gt;=3)*('Kunci Adjudikasi'!U61&lt;&gt;"")*('Kunci Adjudikasi'!AA61&lt;&gt;"")*('Kunci Adjudikasi'!U61='Kunci Adjudikasi'!AA61)+('Kunci Adjudikasi'!$E$1&gt;=4)*('Kunci Adjudikasi'!U61&lt;&gt;"")*('Kunci Adjudikasi'!AG61&lt;&gt;"")*('Kunci Adjudikasi'!U61='Kunci Adjudikasi'!AG61)+('Kunci Adjudikasi'!$E$1&gt;=4)*('Kunci Adjudikasi'!AA61&lt;&gt;"")*('Kunci Adjudikasi'!AG61&lt;&gt;"")*('Kunci Adjudikasi'!AA61='Kunci Adjudikasi'!AG61)))/(F61-1),0)</f>
        <v>0</v>
      </c>
      <c r="H61" s="20">
        <f>('Kunci Adjudikasi'!P61&lt;&gt;"")+('Kunci Adjudikasi'!V61&lt;&gt;"")+('Kunci Adjudikasi'!$E$1&gt;=3)*('Kunci Adjudikasi'!AB61&lt;&gt;"")+('Kunci Adjudikasi'!$E$1&gt;=4)*('Kunci Adjudikasi'!AH61&lt;&gt;"")</f>
        <v>0</v>
      </c>
      <c r="I61" s="20">
        <f>IF(H61&gt;=2,(H61*(H61-1)/2-(('Kunci Adjudikasi'!P61&lt;&gt;"")*('Kunci Adjudikasi'!V61&lt;&gt;"")*('Kunci Adjudikasi'!P61='Kunci Adjudikasi'!V61)+('Kunci Adjudikasi'!$E$1&gt;=3)*('Kunci Adjudikasi'!P61&lt;&gt;"")*('Kunci Adjudikasi'!AB61&lt;&gt;"")*('Kunci Adjudikasi'!P61='Kunci Adjudikasi'!AB61)+('Kunci Adjudikasi'!$E$1&gt;=4)*('Kunci Adjudikasi'!P61&lt;&gt;"")*('Kunci Adjudikasi'!AH61&lt;&gt;"")*('Kunci Adjudikasi'!P61='Kunci Adjudikasi'!AH61)+('Kunci Adjudikasi'!$E$1&gt;=3)*('Kunci Adjudikasi'!V61&lt;&gt;"")*('Kunci Adjudikasi'!AB61&lt;&gt;"")*('Kunci Adjudikasi'!V61='Kunci Adjudikasi'!AB61)+('Kunci Adjudikasi'!$E$1&gt;=4)*('Kunci Adjudikasi'!V61&lt;&gt;"")*('Kunci Adjudikasi'!AH61&lt;&gt;"")*('Kunci Adjudikasi'!V61='Kunci Adjudikasi'!AH61)+('Kunci Adjudikasi'!$E$1&gt;=4)*('Kunci Adjudikasi'!AB61&lt;&gt;"")*('Kunci Adjudikasi'!AH61&lt;&gt;"")*('Kunci Adjudikasi'!AB61='Kunci Adjudikasi'!AH61)))/(H61-1),0)</f>
        <v>0</v>
      </c>
      <c r="J61" s="20">
        <f>('Kunci Adjudikasi'!Q61&lt;&gt;"")+('Kunci Adjudikasi'!W61&lt;&gt;"")+('Kunci Adjudikasi'!$E$1&gt;=3)*('Kunci Adjudikasi'!AC61&lt;&gt;"")+('Kunci Adjudikasi'!$E$1&gt;=4)*('Kunci Adjudikasi'!AI61&lt;&gt;"")</f>
        <v>0</v>
      </c>
      <c r="K61" s="20">
        <f>IF(J61&gt;=2,(J61*(J61-1)/2-(('Kunci Adjudikasi'!Q61&lt;&gt;"")*('Kunci Adjudikasi'!W61&lt;&gt;"")*('Kunci Adjudikasi'!Q61='Kunci Adjudikasi'!W61)+('Kunci Adjudikasi'!$E$1&gt;=3)*('Kunci Adjudikasi'!Q61&lt;&gt;"")*('Kunci Adjudikasi'!AC61&lt;&gt;"")*('Kunci Adjudikasi'!Q61='Kunci Adjudikasi'!AC61)+('Kunci Adjudikasi'!$E$1&gt;=4)*('Kunci Adjudikasi'!Q61&lt;&gt;"")*('Kunci Adjudikasi'!AI61&lt;&gt;"")*('Kunci Adjudikasi'!Q61='Kunci Adjudikasi'!AI61)+('Kunci Adjudikasi'!$E$1&gt;=3)*('Kunci Adjudikasi'!W61&lt;&gt;"")*('Kunci Adjudikasi'!AC61&lt;&gt;"")*('Kunci Adjudikasi'!W61='Kunci Adjudikasi'!AC61)+('Kunci Adjudikasi'!$E$1&gt;=4)*('Kunci Adjudikasi'!W61&lt;&gt;"")*('Kunci Adjudikasi'!AI61&lt;&gt;"")*('Kunci Adjudikasi'!W61='Kunci Adjudikasi'!AI61)+('Kunci Adjudikasi'!$E$1&gt;=4)*('Kunci Adjudikasi'!AC61&lt;&gt;"")*('Kunci Adjudikasi'!AI61&lt;&gt;"")*('Kunci Adjudikasi'!AC61='Kunci Adjudikasi'!AI61)))/(J61-1),0)</f>
        <v>0</v>
      </c>
      <c r="L61" s="20">
        <f>('Kunci Adjudikasi'!R61&lt;&gt;"")+('Kunci Adjudikasi'!X61&lt;&gt;"")+('Kunci Adjudikasi'!$E$1&gt;=3)*('Kunci Adjudikasi'!AD61&lt;&gt;"")+('Kunci Adjudikasi'!$E$1&gt;=4)*('Kunci Adjudikasi'!AJ61&lt;&gt;"")</f>
        <v>0</v>
      </c>
      <c r="M61" s="20">
        <f>IF(L61&gt;=2,(L61*(L61-1)/2-(('Kunci Adjudikasi'!R61&lt;&gt;"")*('Kunci Adjudikasi'!X61&lt;&gt;"")*('Kunci Adjudikasi'!R61='Kunci Adjudikasi'!X61)+('Kunci Adjudikasi'!$E$1&gt;=3)*('Kunci Adjudikasi'!R61&lt;&gt;"")*('Kunci Adjudikasi'!AD61&lt;&gt;"")*('Kunci Adjudikasi'!R61='Kunci Adjudikasi'!AD61)+('Kunci Adjudikasi'!$E$1&gt;=4)*('Kunci Adjudikasi'!R61&lt;&gt;"")*('Kunci Adjudikasi'!AJ61&lt;&gt;"")*('Kunci Adjudikasi'!R61='Kunci Adjudikasi'!AJ61)+('Kunci Adjudikasi'!$E$1&gt;=3)*('Kunci Adjudikasi'!X61&lt;&gt;"")*('Kunci Adjudikasi'!AD61&lt;&gt;"")*('Kunci Adjudikasi'!X61='Kunci Adjudikasi'!AD61)+('Kunci Adjudikasi'!$E$1&gt;=4)*('Kunci Adjudikasi'!X61&lt;&gt;"")*('Kunci Adjudikasi'!AJ61&lt;&gt;"")*('Kunci Adjudikasi'!X61='Kunci Adjudikasi'!AJ61)+('Kunci Adjudikasi'!$E$1&gt;=4)*('Kunci Adjudikasi'!AD61&lt;&gt;"")*('Kunci Adjudikasi'!AJ61&lt;&gt;"")*('Kunci Adjudikasi'!AD61='Kunci Adjudikasi'!AJ61)))/(L61-1),0)</f>
        <v>0</v>
      </c>
      <c r="N61" s="20">
        <f>(LEFT('Kunci Adjudikasi'!N61,2)="R0")+(LEFT('Kunci Adjudikasi'!T61,2)="R0")+('Kunci Adjudikasi'!$E$1&gt;=3)*(LEFT('Kunci Adjudikasi'!Z61,2)="R0")+('Kunci Adjudikasi'!$E$1&gt;=4)*(LEFT('Kunci Adjudikasi'!AF61,2)="R0")</f>
        <v>0</v>
      </c>
      <c r="O61" s="20">
        <f>(LEFT('Kunci Adjudikasi'!N61,2)="R1")+(LEFT('Kunci Adjudikasi'!T61,2)="R1")+('Kunci Adjudikasi'!$E$1&gt;=3)*(LEFT('Kunci Adjudikasi'!Z61,2)="R1")+('Kunci Adjudikasi'!$E$1&gt;=4)*(LEFT('Kunci Adjudikasi'!AF61,2)="R1")</f>
        <v>0</v>
      </c>
      <c r="P61" s="20">
        <f>(LEFT('Kunci Adjudikasi'!N61,2)="R2")+(LEFT('Kunci Adjudikasi'!T61,2)="R2")+('Kunci Adjudikasi'!$E$1&gt;=3)*(LEFT('Kunci Adjudikasi'!Z61,2)="R2")+('Kunci Adjudikasi'!$E$1&gt;=4)*(LEFT('Kunci Adjudikasi'!AF61,2)="R2")</f>
        <v>0</v>
      </c>
      <c r="Q61" s="20">
        <f t="shared" si="43"/>
        <v>0</v>
      </c>
      <c r="R61" s="20">
        <f t="shared" si="44"/>
        <v>0</v>
      </c>
      <c r="S61" s="20">
        <f t="shared" si="45"/>
        <v>0</v>
      </c>
    </row>
    <row r="62">
      <c r="A62" s="20">
        <f>'Kunci Adjudikasi'!A62</f>
        <v>59</v>
      </c>
      <c r="B62" s="20">
        <f>('Kunci Adjudikasi'!M62&lt;&gt;"")+('Kunci Adjudikasi'!S62&lt;&gt;"")+('Kunci Adjudikasi'!$E$1&gt;=3)*('Kunci Adjudikasi'!Y62&lt;&gt;"")+('Kunci Adjudikasi'!$E$1&gt;=4)*('Kunci Adjudikasi'!AE62&lt;&gt;"")</f>
        <v>0</v>
      </c>
      <c r="C62" s="20">
        <f>IF(B62&gt;=2,(B62*(B62-1)/2-(('Kunci Adjudikasi'!M62&lt;&gt;"")*('Kunci Adjudikasi'!S62&lt;&gt;"")*('Kunci Adjudikasi'!M62='Kunci Adjudikasi'!S62)+('Kunci Adjudikasi'!$E$1&gt;=3)*('Kunci Adjudikasi'!M62&lt;&gt;"")*('Kunci Adjudikasi'!Y62&lt;&gt;"")*('Kunci Adjudikasi'!M62='Kunci Adjudikasi'!Y62)+('Kunci Adjudikasi'!$E$1&gt;=4)*('Kunci Adjudikasi'!M62&lt;&gt;"")*('Kunci Adjudikasi'!AE62&lt;&gt;"")*('Kunci Adjudikasi'!M62='Kunci Adjudikasi'!AE62)+('Kunci Adjudikasi'!$E$1&gt;=3)*('Kunci Adjudikasi'!S62&lt;&gt;"")*('Kunci Adjudikasi'!Y62&lt;&gt;"")*('Kunci Adjudikasi'!S62='Kunci Adjudikasi'!Y62)+('Kunci Adjudikasi'!$E$1&gt;=4)*('Kunci Adjudikasi'!S62&lt;&gt;"")*('Kunci Adjudikasi'!AE62&lt;&gt;"")*('Kunci Adjudikasi'!S62='Kunci Adjudikasi'!AE62)+('Kunci Adjudikasi'!$E$1&gt;=4)*('Kunci Adjudikasi'!Y62&lt;&gt;"")*('Kunci Adjudikasi'!AE62&lt;&gt;"")*('Kunci Adjudikasi'!Y62='Kunci Adjudikasi'!AE62)))/(B62-1),0)</f>
        <v>0</v>
      </c>
      <c r="D62" s="20">
        <f>('Kunci Adjudikasi'!N62&lt;&gt;"")+('Kunci Adjudikasi'!T62&lt;&gt;"")+('Kunci Adjudikasi'!$E$1&gt;=3)*('Kunci Adjudikasi'!Z62&lt;&gt;"")+('Kunci Adjudikasi'!$E$1&gt;=4)*('Kunci Adjudikasi'!AF62&lt;&gt;"")</f>
        <v>0</v>
      </c>
      <c r="E62" s="20">
        <f>IF(D62&gt;=2,(D62*(D62-1)/2-(('Kunci Adjudikasi'!N62&lt;&gt;"")*('Kunci Adjudikasi'!T62&lt;&gt;"")*('Kunci Adjudikasi'!N62='Kunci Adjudikasi'!T62)+('Kunci Adjudikasi'!$E$1&gt;=3)*('Kunci Adjudikasi'!N62&lt;&gt;"")*('Kunci Adjudikasi'!Z62&lt;&gt;"")*('Kunci Adjudikasi'!N62='Kunci Adjudikasi'!Z62)+('Kunci Adjudikasi'!$E$1&gt;=4)*('Kunci Adjudikasi'!N62&lt;&gt;"")*('Kunci Adjudikasi'!AF62&lt;&gt;"")*('Kunci Adjudikasi'!N62='Kunci Adjudikasi'!AF62)+('Kunci Adjudikasi'!$E$1&gt;=3)*('Kunci Adjudikasi'!T62&lt;&gt;"")*('Kunci Adjudikasi'!Z62&lt;&gt;"")*('Kunci Adjudikasi'!T62='Kunci Adjudikasi'!Z62)+('Kunci Adjudikasi'!$E$1&gt;=4)*('Kunci Adjudikasi'!T62&lt;&gt;"")*('Kunci Adjudikasi'!AF62&lt;&gt;"")*('Kunci Adjudikasi'!T62='Kunci Adjudikasi'!AF62)+('Kunci Adjudikasi'!$E$1&gt;=4)*('Kunci Adjudikasi'!Z62&lt;&gt;"")*('Kunci Adjudikasi'!AF62&lt;&gt;"")*('Kunci Adjudikasi'!Z62='Kunci Adjudikasi'!AF62)))/(D62-1),0)</f>
        <v>0</v>
      </c>
      <c r="F62" s="20">
        <f>('Kunci Adjudikasi'!O62&lt;&gt;"")+('Kunci Adjudikasi'!U62&lt;&gt;"")+('Kunci Adjudikasi'!$E$1&gt;=3)*('Kunci Adjudikasi'!AA62&lt;&gt;"")+('Kunci Adjudikasi'!$E$1&gt;=4)*('Kunci Adjudikasi'!AG62&lt;&gt;"")</f>
        <v>0</v>
      </c>
      <c r="G62" s="20">
        <f>IF(F62&gt;=2,(F62*(F62-1)/2-(('Kunci Adjudikasi'!O62&lt;&gt;"")*('Kunci Adjudikasi'!U62&lt;&gt;"")*('Kunci Adjudikasi'!O62='Kunci Adjudikasi'!U62)+('Kunci Adjudikasi'!$E$1&gt;=3)*('Kunci Adjudikasi'!O62&lt;&gt;"")*('Kunci Adjudikasi'!AA62&lt;&gt;"")*('Kunci Adjudikasi'!O62='Kunci Adjudikasi'!AA62)+('Kunci Adjudikasi'!$E$1&gt;=4)*('Kunci Adjudikasi'!O62&lt;&gt;"")*('Kunci Adjudikasi'!AG62&lt;&gt;"")*('Kunci Adjudikasi'!O62='Kunci Adjudikasi'!AG62)+('Kunci Adjudikasi'!$E$1&gt;=3)*('Kunci Adjudikasi'!U62&lt;&gt;"")*('Kunci Adjudikasi'!AA62&lt;&gt;"")*('Kunci Adjudikasi'!U62='Kunci Adjudikasi'!AA62)+('Kunci Adjudikasi'!$E$1&gt;=4)*('Kunci Adjudikasi'!U62&lt;&gt;"")*('Kunci Adjudikasi'!AG62&lt;&gt;"")*('Kunci Adjudikasi'!U62='Kunci Adjudikasi'!AG62)+('Kunci Adjudikasi'!$E$1&gt;=4)*('Kunci Adjudikasi'!AA62&lt;&gt;"")*('Kunci Adjudikasi'!AG62&lt;&gt;"")*('Kunci Adjudikasi'!AA62='Kunci Adjudikasi'!AG62)))/(F62-1),0)</f>
        <v>0</v>
      </c>
      <c r="H62" s="20">
        <f>('Kunci Adjudikasi'!P62&lt;&gt;"")+('Kunci Adjudikasi'!V62&lt;&gt;"")+('Kunci Adjudikasi'!$E$1&gt;=3)*('Kunci Adjudikasi'!AB62&lt;&gt;"")+('Kunci Adjudikasi'!$E$1&gt;=4)*('Kunci Adjudikasi'!AH62&lt;&gt;"")</f>
        <v>0</v>
      </c>
      <c r="I62" s="20">
        <f>IF(H62&gt;=2,(H62*(H62-1)/2-(('Kunci Adjudikasi'!P62&lt;&gt;"")*('Kunci Adjudikasi'!V62&lt;&gt;"")*('Kunci Adjudikasi'!P62='Kunci Adjudikasi'!V62)+('Kunci Adjudikasi'!$E$1&gt;=3)*('Kunci Adjudikasi'!P62&lt;&gt;"")*('Kunci Adjudikasi'!AB62&lt;&gt;"")*('Kunci Adjudikasi'!P62='Kunci Adjudikasi'!AB62)+('Kunci Adjudikasi'!$E$1&gt;=4)*('Kunci Adjudikasi'!P62&lt;&gt;"")*('Kunci Adjudikasi'!AH62&lt;&gt;"")*('Kunci Adjudikasi'!P62='Kunci Adjudikasi'!AH62)+('Kunci Adjudikasi'!$E$1&gt;=3)*('Kunci Adjudikasi'!V62&lt;&gt;"")*('Kunci Adjudikasi'!AB62&lt;&gt;"")*('Kunci Adjudikasi'!V62='Kunci Adjudikasi'!AB62)+('Kunci Adjudikasi'!$E$1&gt;=4)*('Kunci Adjudikasi'!V62&lt;&gt;"")*('Kunci Adjudikasi'!AH62&lt;&gt;"")*('Kunci Adjudikasi'!V62='Kunci Adjudikasi'!AH62)+('Kunci Adjudikasi'!$E$1&gt;=4)*('Kunci Adjudikasi'!AB62&lt;&gt;"")*('Kunci Adjudikasi'!AH62&lt;&gt;"")*('Kunci Adjudikasi'!AB62='Kunci Adjudikasi'!AH62)))/(H62-1),0)</f>
        <v>0</v>
      </c>
      <c r="J62" s="20">
        <f>('Kunci Adjudikasi'!Q62&lt;&gt;"")+('Kunci Adjudikasi'!W62&lt;&gt;"")+('Kunci Adjudikasi'!$E$1&gt;=3)*('Kunci Adjudikasi'!AC62&lt;&gt;"")+('Kunci Adjudikasi'!$E$1&gt;=4)*('Kunci Adjudikasi'!AI62&lt;&gt;"")</f>
        <v>0</v>
      </c>
      <c r="K62" s="20">
        <f>IF(J62&gt;=2,(J62*(J62-1)/2-(('Kunci Adjudikasi'!Q62&lt;&gt;"")*('Kunci Adjudikasi'!W62&lt;&gt;"")*('Kunci Adjudikasi'!Q62='Kunci Adjudikasi'!W62)+('Kunci Adjudikasi'!$E$1&gt;=3)*('Kunci Adjudikasi'!Q62&lt;&gt;"")*('Kunci Adjudikasi'!AC62&lt;&gt;"")*('Kunci Adjudikasi'!Q62='Kunci Adjudikasi'!AC62)+('Kunci Adjudikasi'!$E$1&gt;=4)*('Kunci Adjudikasi'!Q62&lt;&gt;"")*('Kunci Adjudikasi'!AI62&lt;&gt;"")*('Kunci Adjudikasi'!Q62='Kunci Adjudikasi'!AI62)+('Kunci Adjudikasi'!$E$1&gt;=3)*('Kunci Adjudikasi'!W62&lt;&gt;"")*('Kunci Adjudikasi'!AC62&lt;&gt;"")*('Kunci Adjudikasi'!W62='Kunci Adjudikasi'!AC62)+('Kunci Adjudikasi'!$E$1&gt;=4)*('Kunci Adjudikasi'!W62&lt;&gt;"")*('Kunci Adjudikasi'!AI62&lt;&gt;"")*('Kunci Adjudikasi'!W62='Kunci Adjudikasi'!AI62)+('Kunci Adjudikasi'!$E$1&gt;=4)*('Kunci Adjudikasi'!AC62&lt;&gt;"")*('Kunci Adjudikasi'!AI62&lt;&gt;"")*('Kunci Adjudikasi'!AC62='Kunci Adjudikasi'!AI62)))/(J62-1),0)</f>
        <v>0</v>
      </c>
      <c r="L62" s="20">
        <f>('Kunci Adjudikasi'!R62&lt;&gt;"")+('Kunci Adjudikasi'!X62&lt;&gt;"")+('Kunci Adjudikasi'!$E$1&gt;=3)*('Kunci Adjudikasi'!AD62&lt;&gt;"")+('Kunci Adjudikasi'!$E$1&gt;=4)*('Kunci Adjudikasi'!AJ62&lt;&gt;"")</f>
        <v>0</v>
      </c>
      <c r="M62" s="20">
        <f>IF(L62&gt;=2,(L62*(L62-1)/2-(('Kunci Adjudikasi'!R62&lt;&gt;"")*('Kunci Adjudikasi'!X62&lt;&gt;"")*('Kunci Adjudikasi'!R62='Kunci Adjudikasi'!X62)+('Kunci Adjudikasi'!$E$1&gt;=3)*('Kunci Adjudikasi'!R62&lt;&gt;"")*('Kunci Adjudikasi'!AD62&lt;&gt;"")*('Kunci Adjudikasi'!R62='Kunci Adjudikasi'!AD62)+('Kunci Adjudikasi'!$E$1&gt;=4)*('Kunci Adjudikasi'!R62&lt;&gt;"")*('Kunci Adjudikasi'!AJ62&lt;&gt;"")*('Kunci Adjudikasi'!R62='Kunci Adjudikasi'!AJ62)+('Kunci Adjudikasi'!$E$1&gt;=3)*('Kunci Adjudikasi'!X62&lt;&gt;"")*('Kunci Adjudikasi'!AD62&lt;&gt;"")*('Kunci Adjudikasi'!X62='Kunci Adjudikasi'!AD62)+('Kunci Adjudikasi'!$E$1&gt;=4)*('Kunci Adjudikasi'!X62&lt;&gt;"")*('Kunci Adjudikasi'!AJ62&lt;&gt;"")*('Kunci Adjudikasi'!X62='Kunci Adjudikasi'!AJ62)+('Kunci Adjudikasi'!$E$1&gt;=4)*('Kunci Adjudikasi'!AD62&lt;&gt;"")*('Kunci Adjudikasi'!AJ62&lt;&gt;"")*('Kunci Adjudikasi'!AD62='Kunci Adjudikasi'!AJ62)))/(L62-1),0)</f>
        <v>0</v>
      </c>
      <c r="N62" s="20">
        <f>(LEFT('Kunci Adjudikasi'!N62,2)="R0")+(LEFT('Kunci Adjudikasi'!T62,2)="R0")+('Kunci Adjudikasi'!$E$1&gt;=3)*(LEFT('Kunci Adjudikasi'!Z62,2)="R0")+('Kunci Adjudikasi'!$E$1&gt;=4)*(LEFT('Kunci Adjudikasi'!AF62,2)="R0")</f>
        <v>0</v>
      </c>
      <c r="O62" s="20">
        <f>(LEFT('Kunci Adjudikasi'!N62,2)="R1")+(LEFT('Kunci Adjudikasi'!T62,2)="R1")+('Kunci Adjudikasi'!$E$1&gt;=3)*(LEFT('Kunci Adjudikasi'!Z62,2)="R1")+('Kunci Adjudikasi'!$E$1&gt;=4)*(LEFT('Kunci Adjudikasi'!AF62,2)="R1")</f>
        <v>0</v>
      </c>
      <c r="P62" s="20">
        <f>(LEFT('Kunci Adjudikasi'!N62,2)="R2")+(LEFT('Kunci Adjudikasi'!T62,2)="R2")+('Kunci Adjudikasi'!$E$1&gt;=3)*(LEFT('Kunci Adjudikasi'!Z62,2)="R2")+('Kunci Adjudikasi'!$E$1&gt;=4)*(LEFT('Kunci Adjudikasi'!AF62,2)="R2")</f>
        <v>0</v>
      </c>
      <c r="Q62" s="20">
        <f t="shared" si="43"/>
        <v>0</v>
      </c>
      <c r="R62" s="20">
        <f t="shared" si="44"/>
        <v>0</v>
      </c>
      <c r="S62" s="20">
        <f t="shared" si="45"/>
        <v>0</v>
      </c>
    </row>
    <row r="63">
      <c r="A63" s="20">
        <f>'Kunci Adjudikasi'!A63</f>
        <v>60</v>
      </c>
      <c r="B63" s="20">
        <f>('Kunci Adjudikasi'!M63&lt;&gt;"")+('Kunci Adjudikasi'!S63&lt;&gt;"")+('Kunci Adjudikasi'!$E$1&gt;=3)*('Kunci Adjudikasi'!Y63&lt;&gt;"")+('Kunci Adjudikasi'!$E$1&gt;=4)*('Kunci Adjudikasi'!AE63&lt;&gt;"")</f>
        <v>0</v>
      </c>
      <c r="C63" s="20">
        <f>IF(B63&gt;=2,(B63*(B63-1)/2-(('Kunci Adjudikasi'!M63&lt;&gt;"")*('Kunci Adjudikasi'!S63&lt;&gt;"")*('Kunci Adjudikasi'!M63='Kunci Adjudikasi'!S63)+('Kunci Adjudikasi'!$E$1&gt;=3)*('Kunci Adjudikasi'!M63&lt;&gt;"")*('Kunci Adjudikasi'!Y63&lt;&gt;"")*('Kunci Adjudikasi'!M63='Kunci Adjudikasi'!Y63)+('Kunci Adjudikasi'!$E$1&gt;=4)*('Kunci Adjudikasi'!M63&lt;&gt;"")*('Kunci Adjudikasi'!AE63&lt;&gt;"")*('Kunci Adjudikasi'!M63='Kunci Adjudikasi'!AE63)+('Kunci Adjudikasi'!$E$1&gt;=3)*('Kunci Adjudikasi'!S63&lt;&gt;"")*('Kunci Adjudikasi'!Y63&lt;&gt;"")*('Kunci Adjudikasi'!S63='Kunci Adjudikasi'!Y63)+('Kunci Adjudikasi'!$E$1&gt;=4)*('Kunci Adjudikasi'!S63&lt;&gt;"")*('Kunci Adjudikasi'!AE63&lt;&gt;"")*('Kunci Adjudikasi'!S63='Kunci Adjudikasi'!AE63)+('Kunci Adjudikasi'!$E$1&gt;=4)*('Kunci Adjudikasi'!Y63&lt;&gt;"")*('Kunci Adjudikasi'!AE63&lt;&gt;"")*('Kunci Adjudikasi'!Y63='Kunci Adjudikasi'!AE63)))/(B63-1),0)</f>
        <v>0</v>
      </c>
      <c r="D63" s="20">
        <f>('Kunci Adjudikasi'!N63&lt;&gt;"")+('Kunci Adjudikasi'!T63&lt;&gt;"")+('Kunci Adjudikasi'!$E$1&gt;=3)*('Kunci Adjudikasi'!Z63&lt;&gt;"")+('Kunci Adjudikasi'!$E$1&gt;=4)*('Kunci Adjudikasi'!AF63&lt;&gt;"")</f>
        <v>0</v>
      </c>
      <c r="E63" s="20">
        <f>IF(D63&gt;=2,(D63*(D63-1)/2-(('Kunci Adjudikasi'!N63&lt;&gt;"")*('Kunci Adjudikasi'!T63&lt;&gt;"")*('Kunci Adjudikasi'!N63='Kunci Adjudikasi'!T63)+('Kunci Adjudikasi'!$E$1&gt;=3)*('Kunci Adjudikasi'!N63&lt;&gt;"")*('Kunci Adjudikasi'!Z63&lt;&gt;"")*('Kunci Adjudikasi'!N63='Kunci Adjudikasi'!Z63)+('Kunci Adjudikasi'!$E$1&gt;=4)*('Kunci Adjudikasi'!N63&lt;&gt;"")*('Kunci Adjudikasi'!AF63&lt;&gt;"")*('Kunci Adjudikasi'!N63='Kunci Adjudikasi'!AF63)+('Kunci Adjudikasi'!$E$1&gt;=3)*('Kunci Adjudikasi'!T63&lt;&gt;"")*('Kunci Adjudikasi'!Z63&lt;&gt;"")*('Kunci Adjudikasi'!T63='Kunci Adjudikasi'!Z63)+('Kunci Adjudikasi'!$E$1&gt;=4)*('Kunci Adjudikasi'!T63&lt;&gt;"")*('Kunci Adjudikasi'!AF63&lt;&gt;"")*('Kunci Adjudikasi'!T63='Kunci Adjudikasi'!AF63)+('Kunci Adjudikasi'!$E$1&gt;=4)*('Kunci Adjudikasi'!Z63&lt;&gt;"")*('Kunci Adjudikasi'!AF63&lt;&gt;"")*('Kunci Adjudikasi'!Z63='Kunci Adjudikasi'!AF63)))/(D63-1),0)</f>
        <v>0</v>
      </c>
      <c r="F63" s="20">
        <f>('Kunci Adjudikasi'!O63&lt;&gt;"")+('Kunci Adjudikasi'!U63&lt;&gt;"")+('Kunci Adjudikasi'!$E$1&gt;=3)*('Kunci Adjudikasi'!AA63&lt;&gt;"")+('Kunci Adjudikasi'!$E$1&gt;=4)*('Kunci Adjudikasi'!AG63&lt;&gt;"")</f>
        <v>0</v>
      </c>
      <c r="G63" s="20">
        <f>IF(F63&gt;=2,(F63*(F63-1)/2-(('Kunci Adjudikasi'!O63&lt;&gt;"")*('Kunci Adjudikasi'!U63&lt;&gt;"")*('Kunci Adjudikasi'!O63='Kunci Adjudikasi'!U63)+('Kunci Adjudikasi'!$E$1&gt;=3)*('Kunci Adjudikasi'!O63&lt;&gt;"")*('Kunci Adjudikasi'!AA63&lt;&gt;"")*('Kunci Adjudikasi'!O63='Kunci Adjudikasi'!AA63)+('Kunci Adjudikasi'!$E$1&gt;=4)*('Kunci Adjudikasi'!O63&lt;&gt;"")*('Kunci Adjudikasi'!AG63&lt;&gt;"")*('Kunci Adjudikasi'!O63='Kunci Adjudikasi'!AG63)+('Kunci Adjudikasi'!$E$1&gt;=3)*('Kunci Adjudikasi'!U63&lt;&gt;"")*('Kunci Adjudikasi'!AA63&lt;&gt;"")*('Kunci Adjudikasi'!U63='Kunci Adjudikasi'!AA63)+('Kunci Adjudikasi'!$E$1&gt;=4)*('Kunci Adjudikasi'!U63&lt;&gt;"")*('Kunci Adjudikasi'!AG63&lt;&gt;"")*('Kunci Adjudikasi'!U63='Kunci Adjudikasi'!AG63)+('Kunci Adjudikasi'!$E$1&gt;=4)*('Kunci Adjudikasi'!AA63&lt;&gt;"")*('Kunci Adjudikasi'!AG63&lt;&gt;"")*('Kunci Adjudikasi'!AA63='Kunci Adjudikasi'!AG63)))/(F63-1),0)</f>
        <v>0</v>
      </c>
      <c r="H63" s="20">
        <f>('Kunci Adjudikasi'!P63&lt;&gt;"")+('Kunci Adjudikasi'!V63&lt;&gt;"")+('Kunci Adjudikasi'!$E$1&gt;=3)*('Kunci Adjudikasi'!AB63&lt;&gt;"")+('Kunci Adjudikasi'!$E$1&gt;=4)*('Kunci Adjudikasi'!AH63&lt;&gt;"")</f>
        <v>0</v>
      </c>
      <c r="I63" s="20">
        <f>IF(H63&gt;=2,(H63*(H63-1)/2-(('Kunci Adjudikasi'!P63&lt;&gt;"")*('Kunci Adjudikasi'!V63&lt;&gt;"")*('Kunci Adjudikasi'!P63='Kunci Adjudikasi'!V63)+('Kunci Adjudikasi'!$E$1&gt;=3)*('Kunci Adjudikasi'!P63&lt;&gt;"")*('Kunci Adjudikasi'!AB63&lt;&gt;"")*('Kunci Adjudikasi'!P63='Kunci Adjudikasi'!AB63)+('Kunci Adjudikasi'!$E$1&gt;=4)*('Kunci Adjudikasi'!P63&lt;&gt;"")*('Kunci Adjudikasi'!AH63&lt;&gt;"")*('Kunci Adjudikasi'!P63='Kunci Adjudikasi'!AH63)+('Kunci Adjudikasi'!$E$1&gt;=3)*('Kunci Adjudikasi'!V63&lt;&gt;"")*('Kunci Adjudikasi'!AB63&lt;&gt;"")*('Kunci Adjudikasi'!V63='Kunci Adjudikasi'!AB63)+('Kunci Adjudikasi'!$E$1&gt;=4)*('Kunci Adjudikasi'!V63&lt;&gt;"")*('Kunci Adjudikasi'!AH63&lt;&gt;"")*('Kunci Adjudikasi'!V63='Kunci Adjudikasi'!AH63)+('Kunci Adjudikasi'!$E$1&gt;=4)*('Kunci Adjudikasi'!AB63&lt;&gt;"")*('Kunci Adjudikasi'!AH63&lt;&gt;"")*('Kunci Adjudikasi'!AB63='Kunci Adjudikasi'!AH63)))/(H63-1),0)</f>
        <v>0</v>
      </c>
      <c r="J63" s="20">
        <f>('Kunci Adjudikasi'!Q63&lt;&gt;"")+('Kunci Adjudikasi'!W63&lt;&gt;"")+('Kunci Adjudikasi'!$E$1&gt;=3)*('Kunci Adjudikasi'!AC63&lt;&gt;"")+('Kunci Adjudikasi'!$E$1&gt;=4)*('Kunci Adjudikasi'!AI63&lt;&gt;"")</f>
        <v>0</v>
      </c>
      <c r="K63" s="20">
        <f>IF(J63&gt;=2,(J63*(J63-1)/2-(('Kunci Adjudikasi'!Q63&lt;&gt;"")*('Kunci Adjudikasi'!W63&lt;&gt;"")*('Kunci Adjudikasi'!Q63='Kunci Adjudikasi'!W63)+('Kunci Adjudikasi'!$E$1&gt;=3)*('Kunci Adjudikasi'!Q63&lt;&gt;"")*('Kunci Adjudikasi'!AC63&lt;&gt;"")*('Kunci Adjudikasi'!Q63='Kunci Adjudikasi'!AC63)+('Kunci Adjudikasi'!$E$1&gt;=4)*('Kunci Adjudikasi'!Q63&lt;&gt;"")*('Kunci Adjudikasi'!AI63&lt;&gt;"")*('Kunci Adjudikasi'!Q63='Kunci Adjudikasi'!AI63)+('Kunci Adjudikasi'!$E$1&gt;=3)*('Kunci Adjudikasi'!W63&lt;&gt;"")*('Kunci Adjudikasi'!AC63&lt;&gt;"")*('Kunci Adjudikasi'!W63='Kunci Adjudikasi'!AC63)+('Kunci Adjudikasi'!$E$1&gt;=4)*('Kunci Adjudikasi'!W63&lt;&gt;"")*('Kunci Adjudikasi'!AI63&lt;&gt;"")*('Kunci Adjudikasi'!W63='Kunci Adjudikasi'!AI63)+('Kunci Adjudikasi'!$E$1&gt;=4)*('Kunci Adjudikasi'!AC63&lt;&gt;"")*('Kunci Adjudikasi'!AI63&lt;&gt;"")*('Kunci Adjudikasi'!AC63='Kunci Adjudikasi'!AI63)))/(J63-1),0)</f>
        <v>0</v>
      </c>
      <c r="L63" s="20">
        <f>('Kunci Adjudikasi'!R63&lt;&gt;"")+('Kunci Adjudikasi'!X63&lt;&gt;"")+('Kunci Adjudikasi'!$E$1&gt;=3)*('Kunci Adjudikasi'!AD63&lt;&gt;"")+('Kunci Adjudikasi'!$E$1&gt;=4)*('Kunci Adjudikasi'!AJ63&lt;&gt;"")</f>
        <v>0</v>
      </c>
      <c r="M63" s="20">
        <f>IF(L63&gt;=2,(L63*(L63-1)/2-(('Kunci Adjudikasi'!R63&lt;&gt;"")*('Kunci Adjudikasi'!X63&lt;&gt;"")*('Kunci Adjudikasi'!R63='Kunci Adjudikasi'!X63)+('Kunci Adjudikasi'!$E$1&gt;=3)*('Kunci Adjudikasi'!R63&lt;&gt;"")*('Kunci Adjudikasi'!AD63&lt;&gt;"")*('Kunci Adjudikasi'!R63='Kunci Adjudikasi'!AD63)+('Kunci Adjudikasi'!$E$1&gt;=4)*('Kunci Adjudikasi'!R63&lt;&gt;"")*('Kunci Adjudikasi'!AJ63&lt;&gt;"")*('Kunci Adjudikasi'!R63='Kunci Adjudikasi'!AJ63)+('Kunci Adjudikasi'!$E$1&gt;=3)*('Kunci Adjudikasi'!X63&lt;&gt;"")*('Kunci Adjudikasi'!AD63&lt;&gt;"")*('Kunci Adjudikasi'!X63='Kunci Adjudikasi'!AD63)+('Kunci Adjudikasi'!$E$1&gt;=4)*('Kunci Adjudikasi'!X63&lt;&gt;"")*('Kunci Adjudikasi'!AJ63&lt;&gt;"")*('Kunci Adjudikasi'!X63='Kunci Adjudikasi'!AJ63)+('Kunci Adjudikasi'!$E$1&gt;=4)*('Kunci Adjudikasi'!AD63&lt;&gt;"")*('Kunci Adjudikasi'!AJ63&lt;&gt;"")*('Kunci Adjudikasi'!AD63='Kunci Adjudikasi'!AJ63)))/(L63-1),0)</f>
        <v>0</v>
      </c>
      <c r="N63" s="20">
        <f>(LEFT('Kunci Adjudikasi'!N63,2)="R0")+(LEFT('Kunci Adjudikasi'!T63,2)="R0")+('Kunci Adjudikasi'!$E$1&gt;=3)*(LEFT('Kunci Adjudikasi'!Z63,2)="R0")+('Kunci Adjudikasi'!$E$1&gt;=4)*(LEFT('Kunci Adjudikasi'!AF63,2)="R0")</f>
        <v>0</v>
      </c>
      <c r="O63" s="20">
        <f>(LEFT('Kunci Adjudikasi'!N63,2)="R1")+(LEFT('Kunci Adjudikasi'!T63,2)="R1")+('Kunci Adjudikasi'!$E$1&gt;=3)*(LEFT('Kunci Adjudikasi'!Z63,2)="R1")+('Kunci Adjudikasi'!$E$1&gt;=4)*(LEFT('Kunci Adjudikasi'!AF63,2)="R1")</f>
        <v>0</v>
      </c>
      <c r="P63" s="20">
        <f>(LEFT('Kunci Adjudikasi'!N63,2)="R2")+(LEFT('Kunci Adjudikasi'!T63,2)="R2")+('Kunci Adjudikasi'!$E$1&gt;=3)*(LEFT('Kunci Adjudikasi'!Z63,2)="R2")+('Kunci Adjudikasi'!$E$1&gt;=4)*(LEFT('Kunci Adjudikasi'!AF63,2)="R2")</f>
        <v>0</v>
      </c>
      <c r="Q63" s="20">
        <f t="shared" si="43"/>
        <v>0</v>
      </c>
      <c r="R63" s="20">
        <f t="shared" si="44"/>
        <v>0</v>
      </c>
      <c r="S63" s="20">
        <f t="shared" si="45"/>
        <v>0</v>
      </c>
    </row>
    <row r="64">
      <c r="A64" s="20">
        <f>'Kunci Adjudikasi'!A64</f>
        <v>61</v>
      </c>
      <c r="B64" s="20">
        <f>('Kunci Adjudikasi'!M64&lt;&gt;"")+('Kunci Adjudikasi'!S64&lt;&gt;"")+('Kunci Adjudikasi'!$E$1&gt;=3)*('Kunci Adjudikasi'!Y64&lt;&gt;"")+('Kunci Adjudikasi'!$E$1&gt;=4)*('Kunci Adjudikasi'!AE64&lt;&gt;"")</f>
        <v>0</v>
      </c>
      <c r="C64" s="20">
        <f>IF(B64&gt;=2,(B64*(B64-1)/2-(('Kunci Adjudikasi'!M64&lt;&gt;"")*('Kunci Adjudikasi'!S64&lt;&gt;"")*('Kunci Adjudikasi'!M64='Kunci Adjudikasi'!S64)+('Kunci Adjudikasi'!$E$1&gt;=3)*('Kunci Adjudikasi'!M64&lt;&gt;"")*('Kunci Adjudikasi'!Y64&lt;&gt;"")*('Kunci Adjudikasi'!M64='Kunci Adjudikasi'!Y64)+('Kunci Adjudikasi'!$E$1&gt;=4)*('Kunci Adjudikasi'!M64&lt;&gt;"")*('Kunci Adjudikasi'!AE64&lt;&gt;"")*('Kunci Adjudikasi'!M64='Kunci Adjudikasi'!AE64)+('Kunci Adjudikasi'!$E$1&gt;=3)*('Kunci Adjudikasi'!S64&lt;&gt;"")*('Kunci Adjudikasi'!Y64&lt;&gt;"")*('Kunci Adjudikasi'!S64='Kunci Adjudikasi'!Y64)+('Kunci Adjudikasi'!$E$1&gt;=4)*('Kunci Adjudikasi'!S64&lt;&gt;"")*('Kunci Adjudikasi'!AE64&lt;&gt;"")*('Kunci Adjudikasi'!S64='Kunci Adjudikasi'!AE64)+('Kunci Adjudikasi'!$E$1&gt;=4)*('Kunci Adjudikasi'!Y64&lt;&gt;"")*('Kunci Adjudikasi'!AE64&lt;&gt;"")*('Kunci Adjudikasi'!Y64='Kunci Adjudikasi'!AE64)))/(B64-1),0)</f>
        <v>0</v>
      </c>
      <c r="D64" s="20">
        <f>('Kunci Adjudikasi'!N64&lt;&gt;"")+('Kunci Adjudikasi'!T64&lt;&gt;"")+('Kunci Adjudikasi'!$E$1&gt;=3)*('Kunci Adjudikasi'!Z64&lt;&gt;"")+('Kunci Adjudikasi'!$E$1&gt;=4)*('Kunci Adjudikasi'!AF64&lt;&gt;"")</f>
        <v>0</v>
      </c>
      <c r="E64" s="20">
        <f>IF(D64&gt;=2,(D64*(D64-1)/2-(('Kunci Adjudikasi'!N64&lt;&gt;"")*('Kunci Adjudikasi'!T64&lt;&gt;"")*('Kunci Adjudikasi'!N64='Kunci Adjudikasi'!T64)+('Kunci Adjudikasi'!$E$1&gt;=3)*('Kunci Adjudikasi'!N64&lt;&gt;"")*('Kunci Adjudikasi'!Z64&lt;&gt;"")*('Kunci Adjudikasi'!N64='Kunci Adjudikasi'!Z64)+('Kunci Adjudikasi'!$E$1&gt;=4)*('Kunci Adjudikasi'!N64&lt;&gt;"")*('Kunci Adjudikasi'!AF64&lt;&gt;"")*('Kunci Adjudikasi'!N64='Kunci Adjudikasi'!AF64)+('Kunci Adjudikasi'!$E$1&gt;=3)*('Kunci Adjudikasi'!T64&lt;&gt;"")*('Kunci Adjudikasi'!Z64&lt;&gt;"")*('Kunci Adjudikasi'!T64='Kunci Adjudikasi'!Z64)+('Kunci Adjudikasi'!$E$1&gt;=4)*('Kunci Adjudikasi'!T64&lt;&gt;"")*('Kunci Adjudikasi'!AF64&lt;&gt;"")*('Kunci Adjudikasi'!T64='Kunci Adjudikasi'!AF64)+('Kunci Adjudikasi'!$E$1&gt;=4)*('Kunci Adjudikasi'!Z64&lt;&gt;"")*('Kunci Adjudikasi'!AF64&lt;&gt;"")*('Kunci Adjudikasi'!Z64='Kunci Adjudikasi'!AF64)))/(D64-1),0)</f>
        <v>0</v>
      </c>
      <c r="F64" s="20">
        <f>('Kunci Adjudikasi'!O64&lt;&gt;"")+('Kunci Adjudikasi'!U64&lt;&gt;"")+('Kunci Adjudikasi'!$E$1&gt;=3)*('Kunci Adjudikasi'!AA64&lt;&gt;"")+('Kunci Adjudikasi'!$E$1&gt;=4)*('Kunci Adjudikasi'!AG64&lt;&gt;"")</f>
        <v>0</v>
      </c>
      <c r="G64" s="20">
        <f>IF(F64&gt;=2,(F64*(F64-1)/2-(('Kunci Adjudikasi'!O64&lt;&gt;"")*('Kunci Adjudikasi'!U64&lt;&gt;"")*('Kunci Adjudikasi'!O64='Kunci Adjudikasi'!U64)+('Kunci Adjudikasi'!$E$1&gt;=3)*('Kunci Adjudikasi'!O64&lt;&gt;"")*('Kunci Adjudikasi'!AA64&lt;&gt;"")*('Kunci Adjudikasi'!O64='Kunci Adjudikasi'!AA64)+('Kunci Adjudikasi'!$E$1&gt;=4)*('Kunci Adjudikasi'!O64&lt;&gt;"")*('Kunci Adjudikasi'!AG64&lt;&gt;"")*('Kunci Adjudikasi'!O64='Kunci Adjudikasi'!AG64)+('Kunci Adjudikasi'!$E$1&gt;=3)*('Kunci Adjudikasi'!U64&lt;&gt;"")*('Kunci Adjudikasi'!AA64&lt;&gt;"")*('Kunci Adjudikasi'!U64='Kunci Adjudikasi'!AA64)+('Kunci Adjudikasi'!$E$1&gt;=4)*('Kunci Adjudikasi'!U64&lt;&gt;"")*('Kunci Adjudikasi'!AG64&lt;&gt;"")*('Kunci Adjudikasi'!U64='Kunci Adjudikasi'!AG64)+('Kunci Adjudikasi'!$E$1&gt;=4)*('Kunci Adjudikasi'!AA64&lt;&gt;"")*('Kunci Adjudikasi'!AG64&lt;&gt;"")*('Kunci Adjudikasi'!AA64='Kunci Adjudikasi'!AG64)))/(F64-1),0)</f>
        <v>0</v>
      </c>
      <c r="H64" s="20">
        <f>('Kunci Adjudikasi'!P64&lt;&gt;"")+('Kunci Adjudikasi'!V64&lt;&gt;"")+('Kunci Adjudikasi'!$E$1&gt;=3)*('Kunci Adjudikasi'!AB64&lt;&gt;"")+('Kunci Adjudikasi'!$E$1&gt;=4)*('Kunci Adjudikasi'!AH64&lt;&gt;"")</f>
        <v>0</v>
      </c>
      <c r="I64" s="20">
        <f>IF(H64&gt;=2,(H64*(H64-1)/2-(('Kunci Adjudikasi'!P64&lt;&gt;"")*('Kunci Adjudikasi'!V64&lt;&gt;"")*('Kunci Adjudikasi'!P64='Kunci Adjudikasi'!V64)+('Kunci Adjudikasi'!$E$1&gt;=3)*('Kunci Adjudikasi'!P64&lt;&gt;"")*('Kunci Adjudikasi'!AB64&lt;&gt;"")*('Kunci Adjudikasi'!P64='Kunci Adjudikasi'!AB64)+('Kunci Adjudikasi'!$E$1&gt;=4)*('Kunci Adjudikasi'!P64&lt;&gt;"")*('Kunci Adjudikasi'!AH64&lt;&gt;"")*('Kunci Adjudikasi'!P64='Kunci Adjudikasi'!AH64)+('Kunci Adjudikasi'!$E$1&gt;=3)*('Kunci Adjudikasi'!V64&lt;&gt;"")*('Kunci Adjudikasi'!AB64&lt;&gt;"")*('Kunci Adjudikasi'!V64='Kunci Adjudikasi'!AB64)+('Kunci Adjudikasi'!$E$1&gt;=4)*('Kunci Adjudikasi'!V64&lt;&gt;"")*('Kunci Adjudikasi'!AH64&lt;&gt;"")*('Kunci Adjudikasi'!V64='Kunci Adjudikasi'!AH64)+('Kunci Adjudikasi'!$E$1&gt;=4)*('Kunci Adjudikasi'!AB64&lt;&gt;"")*('Kunci Adjudikasi'!AH64&lt;&gt;"")*('Kunci Adjudikasi'!AB64='Kunci Adjudikasi'!AH64)))/(H64-1),0)</f>
        <v>0</v>
      </c>
      <c r="J64" s="20">
        <f>('Kunci Adjudikasi'!Q64&lt;&gt;"")+('Kunci Adjudikasi'!W64&lt;&gt;"")+('Kunci Adjudikasi'!$E$1&gt;=3)*('Kunci Adjudikasi'!AC64&lt;&gt;"")+('Kunci Adjudikasi'!$E$1&gt;=4)*('Kunci Adjudikasi'!AI64&lt;&gt;"")</f>
        <v>0</v>
      </c>
      <c r="K64" s="20">
        <f>IF(J64&gt;=2,(J64*(J64-1)/2-(('Kunci Adjudikasi'!Q64&lt;&gt;"")*('Kunci Adjudikasi'!W64&lt;&gt;"")*('Kunci Adjudikasi'!Q64='Kunci Adjudikasi'!W64)+('Kunci Adjudikasi'!$E$1&gt;=3)*('Kunci Adjudikasi'!Q64&lt;&gt;"")*('Kunci Adjudikasi'!AC64&lt;&gt;"")*('Kunci Adjudikasi'!Q64='Kunci Adjudikasi'!AC64)+('Kunci Adjudikasi'!$E$1&gt;=4)*('Kunci Adjudikasi'!Q64&lt;&gt;"")*('Kunci Adjudikasi'!AI64&lt;&gt;"")*('Kunci Adjudikasi'!Q64='Kunci Adjudikasi'!AI64)+('Kunci Adjudikasi'!$E$1&gt;=3)*('Kunci Adjudikasi'!W64&lt;&gt;"")*('Kunci Adjudikasi'!AC64&lt;&gt;"")*('Kunci Adjudikasi'!W64='Kunci Adjudikasi'!AC64)+('Kunci Adjudikasi'!$E$1&gt;=4)*('Kunci Adjudikasi'!W64&lt;&gt;"")*('Kunci Adjudikasi'!AI64&lt;&gt;"")*('Kunci Adjudikasi'!W64='Kunci Adjudikasi'!AI64)+('Kunci Adjudikasi'!$E$1&gt;=4)*('Kunci Adjudikasi'!AC64&lt;&gt;"")*('Kunci Adjudikasi'!AI64&lt;&gt;"")*('Kunci Adjudikasi'!AC64='Kunci Adjudikasi'!AI64)))/(J64-1),0)</f>
        <v>0</v>
      </c>
      <c r="L64" s="20">
        <f>('Kunci Adjudikasi'!R64&lt;&gt;"")+('Kunci Adjudikasi'!X64&lt;&gt;"")+('Kunci Adjudikasi'!$E$1&gt;=3)*('Kunci Adjudikasi'!AD64&lt;&gt;"")+('Kunci Adjudikasi'!$E$1&gt;=4)*('Kunci Adjudikasi'!AJ64&lt;&gt;"")</f>
        <v>0</v>
      </c>
      <c r="M64" s="20">
        <f>IF(L64&gt;=2,(L64*(L64-1)/2-(('Kunci Adjudikasi'!R64&lt;&gt;"")*('Kunci Adjudikasi'!X64&lt;&gt;"")*('Kunci Adjudikasi'!R64='Kunci Adjudikasi'!X64)+('Kunci Adjudikasi'!$E$1&gt;=3)*('Kunci Adjudikasi'!R64&lt;&gt;"")*('Kunci Adjudikasi'!AD64&lt;&gt;"")*('Kunci Adjudikasi'!R64='Kunci Adjudikasi'!AD64)+('Kunci Adjudikasi'!$E$1&gt;=4)*('Kunci Adjudikasi'!R64&lt;&gt;"")*('Kunci Adjudikasi'!AJ64&lt;&gt;"")*('Kunci Adjudikasi'!R64='Kunci Adjudikasi'!AJ64)+('Kunci Adjudikasi'!$E$1&gt;=3)*('Kunci Adjudikasi'!X64&lt;&gt;"")*('Kunci Adjudikasi'!AD64&lt;&gt;"")*('Kunci Adjudikasi'!X64='Kunci Adjudikasi'!AD64)+('Kunci Adjudikasi'!$E$1&gt;=4)*('Kunci Adjudikasi'!X64&lt;&gt;"")*('Kunci Adjudikasi'!AJ64&lt;&gt;"")*('Kunci Adjudikasi'!X64='Kunci Adjudikasi'!AJ64)+('Kunci Adjudikasi'!$E$1&gt;=4)*('Kunci Adjudikasi'!AD64&lt;&gt;"")*('Kunci Adjudikasi'!AJ64&lt;&gt;"")*('Kunci Adjudikasi'!AD64='Kunci Adjudikasi'!AJ64)))/(L64-1),0)</f>
        <v>0</v>
      </c>
      <c r="N64" s="20">
        <f>(LEFT('Kunci Adjudikasi'!N64,2)="R0")+(LEFT('Kunci Adjudikasi'!T64,2)="R0")+('Kunci Adjudikasi'!$E$1&gt;=3)*(LEFT('Kunci Adjudikasi'!Z64,2)="R0")+('Kunci Adjudikasi'!$E$1&gt;=4)*(LEFT('Kunci Adjudikasi'!AF64,2)="R0")</f>
        <v>0</v>
      </c>
      <c r="O64" s="20">
        <f>(LEFT('Kunci Adjudikasi'!N64,2)="R1")+(LEFT('Kunci Adjudikasi'!T64,2)="R1")+('Kunci Adjudikasi'!$E$1&gt;=3)*(LEFT('Kunci Adjudikasi'!Z64,2)="R1")+('Kunci Adjudikasi'!$E$1&gt;=4)*(LEFT('Kunci Adjudikasi'!AF64,2)="R1")</f>
        <v>0</v>
      </c>
      <c r="P64" s="20">
        <f>(LEFT('Kunci Adjudikasi'!N64,2)="R2")+(LEFT('Kunci Adjudikasi'!T64,2)="R2")+('Kunci Adjudikasi'!$E$1&gt;=3)*(LEFT('Kunci Adjudikasi'!Z64,2)="R2")+('Kunci Adjudikasi'!$E$1&gt;=4)*(LEFT('Kunci Adjudikasi'!AF64,2)="R2")</f>
        <v>0</v>
      </c>
      <c r="Q64" s="20">
        <f t="shared" si="43"/>
        <v>0</v>
      </c>
      <c r="R64" s="20">
        <f t="shared" si="44"/>
        <v>0</v>
      </c>
      <c r="S64" s="20">
        <f t="shared" si="45"/>
        <v>0</v>
      </c>
    </row>
    <row r="65">
      <c r="A65" s="20">
        <f>'Kunci Adjudikasi'!A65</f>
        <v>62</v>
      </c>
      <c r="B65" s="20">
        <f>('Kunci Adjudikasi'!M65&lt;&gt;"")+('Kunci Adjudikasi'!S65&lt;&gt;"")+('Kunci Adjudikasi'!$E$1&gt;=3)*('Kunci Adjudikasi'!Y65&lt;&gt;"")+('Kunci Adjudikasi'!$E$1&gt;=4)*('Kunci Adjudikasi'!AE65&lt;&gt;"")</f>
        <v>1</v>
      </c>
      <c r="C65" s="20">
        <f>IF(B65&gt;=2,(B65*(B65-1)/2-(('Kunci Adjudikasi'!M65&lt;&gt;"")*('Kunci Adjudikasi'!S65&lt;&gt;"")*('Kunci Adjudikasi'!M65='Kunci Adjudikasi'!S65)+('Kunci Adjudikasi'!$E$1&gt;=3)*('Kunci Adjudikasi'!M65&lt;&gt;"")*('Kunci Adjudikasi'!Y65&lt;&gt;"")*('Kunci Adjudikasi'!M65='Kunci Adjudikasi'!Y65)+('Kunci Adjudikasi'!$E$1&gt;=4)*('Kunci Adjudikasi'!M65&lt;&gt;"")*('Kunci Adjudikasi'!AE65&lt;&gt;"")*('Kunci Adjudikasi'!M65='Kunci Adjudikasi'!AE65)+('Kunci Adjudikasi'!$E$1&gt;=3)*('Kunci Adjudikasi'!S65&lt;&gt;"")*('Kunci Adjudikasi'!Y65&lt;&gt;"")*('Kunci Adjudikasi'!S65='Kunci Adjudikasi'!Y65)+('Kunci Adjudikasi'!$E$1&gt;=4)*('Kunci Adjudikasi'!S65&lt;&gt;"")*('Kunci Adjudikasi'!AE65&lt;&gt;"")*('Kunci Adjudikasi'!S65='Kunci Adjudikasi'!AE65)+('Kunci Adjudikasi'!$E$1&gt;=4)*('Kunci Adjudikasi'!Y65&lt;&gt;"")*('Kunci Adjudikasi'!AE65&lt;&gt;"")*('Kunci Adjudikasi'!Y65='Kunci Adjudikasi'!AE65)))/(B65-1),0)</f>
        <v>0</v>
      </c>
      <c r="D65" s="20">
        <f>('Kunci Adjudikasi'!N65&lt;&gt;"")+('Kunci Adjudikasi'!T65&lt;&gt;"")+('Kunci Adjudikasi'!$E$1&gt;=3)*('Kunci Adjudikasi'!Z65&lt;&gt;"")+('Kunci Adjudikasi'!$E$1&gt;=4)*('Kunci Adjudikasi'!AF65&lt;&gt;"")</f>
        <v>1</v>
      </c>
      <c r="E65" s="20">
        <f>IF(D65&gt;=2,(D65*(D65-1)/2-(('Kunci Adjudikasi'!N65&lt;&gt;"")*('Kunci Adjudikasi'!T65&lt;&gt;"")*('Kunci Adjudikasi'!N65='Kunci Adjudikasi'!T65)+('Kunci Adjudikasi'!$E$1&gt;=3)*('Kunci Adjudikasi'!N65&lt;&gt;"")*('Kunci Adjudikasi'!Z65&lt;&gt;"")*('Kunci Adjudikasi'!N65='Kunci Adjudikasi'!Z65)+('Kunci Adjudikasi'!$E$1&gt;=4)*('Kunci Adjudikasi'!N65&lt;&gt;"")*('Kunci Adjudikasi'!AF65&lt;&gt;"")*('Kunci Adjudikasi'!N65='Kunci Adjudikasi'!AF65)+('Kunci Adjudikasi'!$E$1&gt;=3)*('Kunci Adjudikasi'!T65&lt;&gt;"")*('Kunci Adjudikasi'!Z65&lt;&gt;"")*('Kunci Adjudikasi'!T65='Kunci Adjudikasi'!Z65)+('Kunci Adjudikasi'!$E$1&gt;=4)*('Kunci Adjudikasi'!T65&lt;&gt;"")*('Kunci Adjudikasi'!AF65&lt;&gt;"")*('Kunci Adjudikasi'!T65='Kunci Adjudikasi'!AF65)+('Kunci Adjudikasi'!$E$1&gt;=4)*('Kunci Adjudikasi'!Z65&lt;&gt;"")*('Kunci Adjudikasi'!AF65&lt;&gt;"")*('Kunci Adjudikasi'!Z65='Kunci Adjudikasi'!AF65)))/(D65-1),0)</f>
        <v>0</v>
      </c>
      <c r="F65" s="20">
        <f>('Kunci Adjudikasi'!O65&lt;&gt;"")+('Kunci Adjudikasi'!U65&lt;&gt;"")+('Kunci Adjudikasi'!$E$1&gt;=3)*('Kunci Adjudikasi'!AA65&lt;&gt;"")+('Kunci Adjudikasi'!$E$1&gt;=4)*('Kunci Adjudikasi'!AG65&lt;&gt;"")</f>
        <v>1</v>
      </c>
      <c r="G65" s="20">
        <f>IF(F65&gt;=2,(F65*(F65-1)/2-(('Kunci Adjudikasi'!O65&lt;&gt;"")*('Kunci Adjudikasi'!U65&lt;&gt;"")*('Kunci Adjudikasi'!O65='Kunci Adjudikasi'!U65)+('Kunci Adjudikasi'!$E$1&gt;=3)*('Kunci Adjudikasi'!O65&lt;&gt;"")*('Kunci Adjudikasi'!AA65&lt;&gt;"")*('Kunci Adjudikasi'!O65='Kunci Adjudikasi'!AA65)+('Kunci Adjudikasi'!$E$1&gt;=4)*('Kunci Adjudikasi'!O65&lt;&gt;"")*('Kunci Adjudikasi'!AG65&lt;&gt;"")*('Kunci Adjudikasi'!O65='Kunci Adjudikasi'!AG65)+('Kunci Adjudikasi'!$E$1&gt;=3)*('Kunci Adjudikasi'!U65&lt;&gt;"")*('Kunci Adjudikasi'!AA65&lt;&gt;"")*('Kunci Adjudikasi'!U65='Kunci Adjudikasi'!AA65)+('Kunci Adjudikasi'!$E$1&gt;=4)*('Kunci Adjudikasi'!U65&lt;&gt;"")*('Kunci Adjudikasi'!AG65&lt;&gt;"")*('Kunci Adjudikasi'!U65='Kunci Adjudikasi'!AG65)+('Kunci Adjudikasi'!$E$1&gt;=4)*('Kunci Adjudikasi'!AA65&lt;&gt;"")*('Kunci Adjudikasi'!AG65&lt;&gt;"")*('Kunci Adjudikasi'!AA65='Kunci Adjudikasi'!AG65)))/(F65-1),0)</f>
        <v>0</v>
      </c>
      <c r="H65" s="20">
        <f>('Kunci Adjudikasi'!P65&lt;&gt;"")+('Kunci Adjudikasi'!V65&lt;&gt;"")+('Kunci Adjudikasi'!$E$1&gt;=3)*('Kunci Adjudikasi'!AB65&lt;&gt;"")+('Kunci Adjudikasi'!$E$1&gt;=4)*('Kunci Adjudikasi'!AH65&lt;&gt;"")</f>
        <v>1</v>
      </c>
      <c r="I65" s="20">
        <f>IF(H65&gt;=2,(H65*(H65-1)/2-(('Kunci Adjudikasi'!P65&lt;&gt;"")*('Kunci Adjudikasi'!V65&lt;&gt;"")*('Kunci Adjudikasi'!P65='Kunci Adjudikasi'!V65)+('Kunci Adjudikasi'!$E$1&gt;=3)*('Kunci Adjudikasi'!P65&lt;&gt;"")*('Kunci Adjudikasi'!AB65&lt;&gt;"")*('Kunci Adjudikasi'!P65='Kunci Adjudikasi'!AB65)+('Kunci Adjudikasi'!$E$1&gt;=4)*('Kunci Adjudikasi'!P65&lt;&gt;"")*('Kunci Adjudikasi'!AH65&lt;&gt;"")*('Kunci Adjudikasi'!P65='Kunci Adjudikasi'!AH65)+('Kunci Adjudikasi'!$E$1&gt;=3)*('Kunci Adjudikasi'!V65&lt;&gt;"")*('Kunci Adjudikasi'!AB65&lt;&gt;"")*('Kunci Adjudikasi'!V65='Kunci Adjudikasi'!AB65)+('Kunci Adjudikasi'!$E$1&gt;=4)*('Kunci Adjudikasi'!V65&lt;&gt;"")*('Kunci Adjudikasi'!AH65&lt;&gt;"")*('Kunci Adjudikasi'!V65='Kunci Adjudikasi'!AH65)+('Kunci Adjudikasi'!$E$1&gt;=4)*('Kunci Adjudikasi'!AB65&lt;&gt;"")*('Kunci Adjudikasi'!AH65&lt;&gt;"")*('Kunci Adjudikasi'!AB65='Kunci Adjudikasi'!AH65)))/(H65-1),0)</f>
        <v>0</v>
      </c>
      <c r="J65" s="20">
        <f>('Kunci Adjudikasi'!Q65&lt;&gt;"")+('Kunci Adjudikasi'!W65&lt;&gt;"")+('Kunci Adjudikasi'!$E$1&gt;=3)*('Kunci Adjudikasi'!AC65&lt;&gt;"")+('Kunci Adjudikasi'!$E$1&gt;=4)*('Kunci Adjudikasi'!AI65&lt;&gt;"")</f>
        <v>1</v>
      </c>
      <c r="K65" s="20">
        <f>IF(J65&gt;=2,(J65*(J65-1)/2-(('Kunci Adjudikasi'!Q65&lt;&gt;"")*('Kunci Adjudikasi'!W65&lt;&gt;"")*('Kunci Adjudikasi'!Q65='Kunci Adjudikasi'!W65)+('Kunci Adjudikasi'!$E$1&gt;=3)*('Kunci Adjudikasi'!Q65&lt;&gt;"")*('Kunci Adjudikasi'!AC65&lt;&gt;"")*('Kunci Adjudikasi'!Q65='Kunci Adjudikasi'!AC65)+('Kunci Adjudikasi'!$E$1&gt;=4)*('Kunci Adjudikasi'!Q65&lt;&gt;"")*('Kunci Adjudikasi'!AI65&lt;&gt;"")*('Kunci Adjudikasi'!Q65='Kunci Adjudikasi'!AI65)+('Kunci Adjudikasi'!$E$1&gt;=3)*('Kunci Adjudikasi'!W65&lt;&gt;"")*('Kunci Adjudikasi'!AC65&lt;&gt;"")*('Kunci Adjudikasi'!W65='Kunci Adjudikasi'!AC65)+('Kunci Adjudikasi'!$E$1&gt;=4)*('Kunci Adjudikasi'!W65&lt;&gt;"")*('Kunci Adjudikasi'!AI65&lt;&gt;"")*('Kunci Adjudikasi'!W65='Kunci Adjudikasi'!AI65)+('Kunci Adjudikasi'!$E$1&gt;=4)*('Kunci Adjudikasi'!AC65&lt;&gt;"")*('Kunci Adjudikasi'!AI65&lt;&gt;"")*('Kunci Adjudikasi'!AC65='Kunci Adjudikasi'!AI65)))/(J65-1),0)</f>
        <v>0</v>
      </c>
      <c r="L65" s="20">
        <f>('Kunci Adjudikasi'!R65&lt;&gt;"")+('Kunci Adjudikasi'!X65&lt;&gt;"")+('Kunci Adjudikasi'!$E$1&gt;=3)*('Kunci Adjudikasi'!AD65&lt;&gt;"")+('Kunci Adjudikasi'!$E$1&gt;=4)*('Kunci Adjudikasi'!AJ65&lt;&gt;"")</f>
        <v>1</v>
      </c>
      <c r="M65" s="20">
        <f>IF(L65&gt;=2,(L65*(L65-1)/2-(('Kunci Adjudikasi'!R65&lt;&gt;"")*('Kunci Adjudikasi'!X65&lt;&gt;"")*('Kunci Adjudikasi'!R65='Kunci Adjudikasi'!X65)+('Kunci Adjudikasi'!$E$1&gt;=3)*('Kunci Adjudikasi'!R65&lt;&gt;"")*('Kunci Adjudikasi'!AD65&lt;&gt;"")*('Kunci Adjudikasi'!R65='Kunci Adjudikasi'!AD65)+('Kunci Adjudikasi'!$E$1&gt;=4)*('Kunci Adjudikasi'!R65&lt;&gt;"")*('Kunci Adjudikasi'!AJ65&lt;&gt;"")*('Kunci Adjudikasi'!R65='Kunci Adjudikasi'!AJ65)+('Kunci Adjudikasi'!$E$1&gt;=3)*('Kunci Adjudikasi'!X65&lt;&gt;"")*('Kunci Adjudikasi'!AD65&lt;&gt;"")*('Kunci Adjudikasi'!X65='Kunci Adjudikasi'!AD65)+('Kunci Adjudikasi'!$E$1&gt;=4)*('Kunci Adjudikasi'!X65&lt;&gt;"")*('Kunci Adjudikasi'!AJ65&lt;&gt;"")*('Kunci Adjudikasi'!X65='Kunci Adjudikasi'!AJ65)+('Kunci Adjudikasi'!$E$1&gt;=4)*('Kunci Adjudikasi'!AD65&lt;&gt;"")*('Kunci Adjudikasi'!AJ65&lt;&gt;"")*('Kunci Adjudikasi'!AD65='Kunci Adjudikasi'!AJ65)))/(L65-1),0)</f>
        <v>0</v>
      </c>
      <c r="N65" s="20">
        <f>(LEFT('Kunci Adjudikasi'!N65,2)="R0")+(LEFT('Kunci Adjudikasi'!T65,2)="R0")+('Kunci Adjudikasi'!$E$1&gt;=3)*(LEFT('Kunci Adjudikasi'!Z65,2)="R0")+('Kunci Adjudikasi'!$E$1&gt;=4)*(LEFT('Kunci Adjudikasi'!AF65,2)="R0")</f>
        <v>0</v>
      </c>
      <c r="O65" s="20">
        <f>(LEFT('Kunci Adjudikasi'!N65,2)="R1")+(LEFT('Kunci Adjudikasi'!T65,2)="R1")+('Kunci Adjudikasi'!$E$1&gt;=3)*(LEFT('Kunci Adjudikasi'!Z65,2)="R1")+('Kunci Adjudikasi'!$E$1&gt;=4)*(LEFT('Kunci Adjudikasi'!AF65,2)="R1")</f>
        <v>0</v>
      </c>
      <c r="P65" s="20">
        <f>(LEFT('Kunci Adjudikasi'!N65,2)="R2")+(LEFT('Kunci Adjudikasi'!T65,2)="R2")+('Kunci Adjudikasi'!$E$1&gt;=3)*(LEFT('Kunci Adjudikasi'!Z65,2)="R2")+('Kunci Adjudikasi'!$E$1&gt;=4)*(LEFT('Kunci Adjudikasi'!AF65,2)="R2")</f>
        <v>1</v>
      </c>
      <c r="Q65" s="20">
        <f t="shared" si="43"/>
        <v>0</v>
      </c>
      <c r="R65" s="20">
        <f t="shared" si="44"/>
        <v>0</v>
      </c>
      <c r="S65" s="20">
        <f t="shared" si="45"/>
        <v>0</v>
      </c>
    </row>
    <row r="66">
      <c r="A66" s="20">
        <f>'Kunci Adjudikasi'!A66</f>
        <v>63</v>
      </c>
      <c r="B66" s="20">
        <f>('Kunci Adjudikasi'!M66&lt;&gt;"")+('Kunci Adjudikasi'!S66&lt;&gt;"")+('Kunci Adjudikasi'!$E$1&gt;=3)*('Kunci Adjudikasi'!Y66&lt;&gt;"")+('Kunci Adjudikasi'!$E$1&gt;=4)*('Kunci Adjudikasi'!AE66&lt;&gt;"")</f>
        <v>0</v>
      </c>
      <c r="C66" s="20">
        <f>IF(B66&gt;=2,(B66*(B66-1)/2-(('Kunci Adjudikasi'!M66&lt;&gt;"")*('Kunci Adjudikasi'!S66&lt;&gt;"")*('Kunci Adjudikasi'!M66='Kunci Adjudikasi'!S66)+('Kunci Adjudikasi'!$E$1&gt;=3)*('Kunci Adjudikasi'!M66&lt;&gt;"")*('Kunci Adjudikasi'!Y66&lt;&gt;"")*('Kunci Adjudikasi'!M66='Kunci Adjudikasi'!Y66)+('Kunci Adjudikasi'!$E$1&gt;=4)*('Kunci Adjudikasi'!M66&lt;&gt;"")*('Kunci Adjudikasi'!AE66&lt;&gt;"")*('Kunci Adjudikasi'!M66='Kunci Adjudikasi'!AE66)+('Kunci Adjudikasi'!$E$1&gt;=3)*('Kunci Adjudikasi'!S66&lt;&gt;"")*('Kunci Adjudikasi'!Y66&lt;&gt;"")*('Kunci Adjudikasi'!S66='Kunci Adjudikasi'!Y66)+('Kunci Adjudikasi'!$E$1&gt;=4)*('Kunci Adjudikasi'!S66&lt;&gt;"")*('Kunci Adjudikasi'!AE66&lt;&gt;"")*('Kunci Adjudikasi'!S66='Kunci Adjudikasi'!AE66)+('Kunci Adjudikasi'!$E$1&gt;=4)*('Kunci Adjudikasi'!Y66&lt;&gt;"")*('Kunci Adjudikasi'!AE66&lt;&gt;"")*('Kunci Adjudikasi'!Y66='Kunci Adjudikasi'!AE66)))/(B66-1),0)</f>
        <v>0</v>
      </c>
      <c r="D66" s="20">
        <f>('Kunci Adjudikasi'!N66&lt;&gt;"")+('Kunci Adjudikasi'!T66&lt;&gt;"")+('Kunci Adjudikasi'!$E$1&gt;=3)*('Kunci Adjudikasi'!Z66&lt;&gt;"")+('Kunci Adjudikasi'!$E$1&gt;=4)*('Kunci Adjudikasi'!AF66&lt;&gt;"")</f>
        <v>0</v>
      </c>
      <c r="E66" s="20">
        <f>IF(D66&gt;=2,(D66*(D66-1)/2-(('Kunci Adjudikasi'!N66&lt;&gt;"")*('Kunci Adjudikasi'!T66&lt;&gt;"")*('Kunci Adjudikasi'!N66='Kunci Adjudikasi'!T66)+('Kunci Adjudikasi'!$E$1&gt;=3)*('Kunci Adjudikasi'!N66&lt;&gt;"")*('Kunci Adjudikasi'!Z66&lt;&gt;"")*('Kunci Adjudikasi'!N66='Kunci Adjudikasi'!Z66)+('Kunci Adjudikasi'!$E$1&gt;=4)*('Kunci Adjudikasi'!N66&lt;&gt;"")*('Kunci Adjudikasi'!AF66&lt;&gt;"")*('Kunci Adjudikasi'!N66='Kunci Adjudikasi'!AF66)+('Kunci Adjudikasi'!$E$1&gt;=3)*('Kunci Adjudikasi'!T66&lt;&gt;"")*('Kunci Adjudikasi'!Z66&lt;&gt;"")*('Kunci Adjudikasi'!T66='Kunci Adjudikasi'!Z66)+('Kunci Adjudikasi'!$E$1&gt;=4)*('Kunci Adjudikasi'!T66&lt;&gt;"")*('Kunci Adjudikasi'!AF66&lt;&gt;"")*('Kunci Adjudikasi'!T66='Kunci Adjudikasi'!AF66)+('Kunci Adjudikasi'!$E$1&gt;=4)*('Kunci Adjudikasi'!Z66&lt;&gt;"")*('Kunci Adjudikasi'!AF66&lt;&gt;"")*('Kunci Adjudikasi'!Z66='Kunci Adjudikasi'!AF66)))/(D66-1),0)</f>
        <v>0</v>
      </c>
      <c r="F66" s="20">
        <f>('Kunci Adjudikasi'!O66&lt;&gt;"")+('Kunci Adjudikasi'!U66&lt;&gt;"")+('Kunci Adjudikasi'!$E$1&gt;=3)*('Kunci Adjudikasi'!AA66&lt;&gt;"")+('Kunci Adjudikasi'!$E$1&gt;=4)*('Kunci Adjudikasi'!AG66&lt;&gt;"")</f>
        <v>0</v>
      </c>
      <c r="G66" s="20">
        <f>IF(F66&gt;=2,(F66*(F66-1)/2-(('Kunci Adjudikasi'!O66&lt;&gt;"")*('Kunci Adjudikasi'!U66&lt;&gt;"")*('Kunci Adjudikasi'!O66='Kunci Adjudikasi'!U66)+('Kunci Adjudikasi'!$E$1&gt;=3)*('Kunci Adjudikasi'!O66&lt;&gt;"")*('Kunci Adjudikasi'!AA66&lt;&gt;"")*('Kunci Adjudikasi'!O66='Kunci Adjudikasi'!AA66)+('Kunci Adjudikasi'!$E$1&gt;=4)*('Kunci Adjudikasi'!O66&lt;&gt;"")*('Kunci Adjudikasi'!AG66&lt;&gt;"")*('Kunci Adjudikasi'!O66='Kunci Adjudikasi'!AG66)+('Kunci Adjudikasi'!$E$1&gt;=3)*('Kunci Adjudikasi'!U66&lt;&gt;"")*('Kunci Adjudikasi'!AA66&lt;&gt;"")*('Kunci Adjudikasi'!U66='Kunci Adjudikasi'!AA66)+('Kunci Adjudikasi'!$E$1&gt;=4)*('Kunci Adjudikasi'!U66&lt;&gt;"")*('Kunci Adjudikasi'!AG66&lt;&gt;"")*('Kunci Adjudikasi'!U66='Kunci Adjudikasi'!AG66)+('Kunci Adjudikasi'!$E$1&gt;=4)*('Kunci Adjudikasi'!AA66&lt;&gt;"")*('Kunci Adjudikasi'!AG66&lt;&gt;"")*('Kunci Adjudikasi'!AA66='Kunci Adjudikasi'!AG66)))/(F66-1),0)</f>
        <v>0</v>
      </c>
      <c r="H66" s="20">
        <f>('Kunci Adjudikasi'!P66&lt;&gt;"")+('Kunci Adjudikasi'!V66&lt;&gt;"")+('Kunci Adjudikasi'!$E$1&gt;=3)*('Kunci Adjudikasi'!AB66&lt;&gt;"")+('Kunci Adjudikasi'!$E$1&gt;=4)*('Kunci Adjudikasi'!AH66&lt;&gt;"")</f>
        <v>0</v>
      </c>
      <c r="I66" s="20">
        <f>IF(H66&gt;=2,(H66*(H66-1)/2-(('Kunci Adjudikasi'!P66&lt;&gt;"")*('Kunci Adjudikasi'!V66&lt;&gt;"")*('Kunci Adjudikasi'!P66='Kunci Adjudikasi'!V66)+('Kunci Adjudikasi'!$E$1&gt;=3)*('Kunci Adjudikasi'!P66&lt;&gt;"")*('Kunci Adjudikasi'!AB66&lt;&gt;"")*('Kunci Adjudikasi'!P66='Kunci Adjudikasi'!AB66)+('Kunci Adjudikasi'!$E$1&gt;=4)*('Kunci Adjudikasi'!P66&lt;&gt;"")*('Kunci Adjudikasi'!AH66&lt;&gt;"")*('Kunci Adjudikasi'!P66='Kunci Adjudikasi'!AH66)+('Kunci Adjudikasi'!$E$1&gt;=3)*('Kunci Adjudikasi'!V66&lt;&gt;"")*('Kunci Adjudikasi'!AB66&lt;&gt;"")*('Kunci Adjudikasi'!V66='Kunci Adjudikasi'!AB66)+('Kunci Adjudikasi'!$E$1&gt;=4)*('Kunci Adjudikasi'!V66&lt;&gt;"")*('Kunci Adjudikasi'!AH66&lt;&gt;"")*('Kunci Adjudikasi'!V66='Kunci Adjudikasi'!AH66)+('Kunci Adjudikasi'!$E$1&gt;=4)*('Kunci Adjudikasi'!AB66&lt;&gt;"")*('Kunci Adjudikasi'!AH66&lt;&gt;"")*('Kunci Adjudikasi'!AB66='Kunci Adjudikasi'!AH66)))/(H66-1),0)</f>
        <v>0</v>
      </c>
      <c r="J66" s="20">
        <f>('Kunci Adjudikasi'!Q66&lt;&gt;"")+('Kunci Adjudikasi'!W66&lt;&gt;"")+('Kunci Adjudikasi'!$E$1&gt;=3)*('Kunci Adjudikasi'!AC66&lt;&gt;"")+('Kunci Adjudikasi'!$E$1&gt;=4)*('Kunci Adjudikasi'!AI66&lt;&gt;"")</f>
        <v>0</v>
      </c>
      <c r="K66" s="20">
        <f>IF(J66&gt;=2,(J66*(J66-1)/2-(('Kunci Adjudikasi'!Q66&lt;&gt;"")*('Kunci Adjudikasi'!W66&lt;&gt;"")*('Kunci Adjudikasi'!Q66='Kunci Adjudikasi'!W66)+('Kunci Adjudikasi'!$E$1&gt;=3)*('Kunci Adjudikasi'!Q66&lt;&gt;"")*('Kunci Adjudikasi'!AC66&lt;&gt;"")*('Kunci Adjudikasi'!Q66='Kunci Adjudikasi'!AC66)+('Kunci Adjudikasi'!$E$1&gt;=4)*('Kunci Adjudikasi'!Q66&lt;&gt;"")*('Kunci Adjudikasi'!AI66&lt;&gt;"")*('Kunci Adjudikasi'!Q66='Kunci Adjudikasi'!AI66)+('Kunci Adjudikasi'!$E$1&gt;=3)*('Kunci Adjudikasi'!W66&lt;&gt;"")*('Kunci Adjudikasi'!AC66&lt;&gt;"")*('Kunci Adjudikasi'!W66='Kunci Adjudikasi'!AC66)+('Kunci Adjudikasi'!$E$1&gt;=4)*('Kunci Adjudikasi'!W66&lt;&gt;"")*('Kunci Adjudikasi'!AI66&lt;&gt;"")*('Kunci Adjudikasi'!W66='Kunci Adjudikasi'!AI66)+('Kunci Adjudikasi'!$E$1&gt;=4)*('Kunci Adjudikasi'!AC66&lt;&gt;"")*('Kunci Adjudikasi'!AI66&lt;&gt;"")*('Kunci Adjudikasi'!AC66='Kunci Adjudikasi'!AI66)))/(J66-1),0)</f>
        <v>0</v>
      </c>
      <c r="L66" s="20">
        <f>('Kunci Adjudikasi'!R66&lt;&gt;"")+('Kunci Adjudikasi'!X66&lt;&gt;"")+('Kunci Adjudikasi'!$E$1&gt;=3)*('Kunci Adjudikasi'!AD66&lt;&gt;"")+('Kunci Adjudikasi'!$E$1&gt;=4)*('Kunci Adjudikasi'!AJ66&lt;&gt;"")</f>
        <v>0</v>
      </c>
      <c r="M66" s="20">
        <f>IF(L66&gt;=2,(L66*(L66-1)/2-(('Kunci Adjudikasi'!R66&lt;&gt;"")*('Kunci Adjudikasi'!X66&lt;&gt;"")*('Kunci Adjudikasi'!R66='Kunci Adjudikasi'!X66)+('Kunci Adjudikasi'!$E$1&gt;=3)*('Kunci Adjudikasi'!R66&lt;&gt;"")*('Kunci Adjudikasi'!AD66&lt;&gt;"")*('Kunci Adjudikasi'!R66='Kunci Adjudikasi'!AD66)+('Kunci Adjudikasi'!$E$1&gt;=4)*('Kunci Adjudikasi'!R66&lt;&gt;"")*('Kunci Adjudikasi'!AJ66&lt;&gt;"")*('Kunci Adjudikasi'!R66='Kunci Adjudikasi'!AJ66)+('Kunci Adjudikasi'!$E$1&gt;=3)*('Kunci Adjudikasi'!X66&lt;&gt;"")*('Kunci Adjudikasi'!AD66&lt;&gt;"")*('Kunci Adjudikasi'!X66='Kunci Adjudikasi'!AD66)+('Kunci Adjudikasi'!$E$1&gt;=4)*('Kunci Adjudikasi'!X66&lt;&gt;"")*('Kunci Adjudikasi'!AJ66&lt;&gt;"")*('Kunci Adjudikasi'!X66='Kunci Adjudikasi'!AJ66)+('Kunci Adjudikasi'!$E$1&gt;=4)*('Kunci Adjudikasi'!AD66&lt;&gt;"")*('Kunci Adjudikasi'!AJ66&lt;&gt;"")*('Kunci Adjudikasi'!AD66='Kunci Adjudikasi'!AJ66)))/(L66-1),0)</f>
        <v>0</v>
      </c>
      <c r="N66" s="20">
        <f>(LEFT('Kunci Adjudikasi'!N66,2)="R0")+(LEFT('Kunci Adjudikasi'!T66,2)="R0")+('Kunci Adjudikasi'!$E$1&gt;=3)*(LEFT('Kunci Adjudikasi'!Z66,2)="R0")+('Kunci Adjudikasi'!$E$1&gt;=4)*(LEFT('Kunci Adjudikasi'!AF66,2)="R0")</f>
        <v>0</v>
      </c>
      <c r="O66" s="20">
        <f>(LEFT('Kunci Adjudikasi'!N66,2)="R1")+(LEFT('Kunci Adjudikasi'!T66,2)="R1")+('Kunci Adjudikasi'!$E$1&gt;=3)*(LEFT('Kunci Adjudikasi'!Z66,2)="R1")+('Kunci Adjudikasi'!$E$1&gt;=4)*(LEFT('Kunci Adjudikasi'!AF66,2)="R1")</f>
        <v>0</v>
      </c>
      <c r="P66" s="20">
        <f>(LEFT('Kunci Adjudikasi'!N66,2)="R2")+(LEFT('Kunci Adjudikasi'!T66,2)="R2")+('Kunci Adjudikasi'!$E$1&gt;=3)*(LEFT('Kunci Adjudikasi'!Z66,2)="R2")+('Kunci Adjudikasi'!$E$1&gt;=4)*(LEFT('Kunci Adjudikasi'!AF66,2)="R2")</f>
        <v>0</v>
      </c>
      <c r="Q66" s="20">
        <f t="shared" si="43"/>
        <v>0</v>
      </c>
      <c r="R66" s="20">
        <f t="shared" si="44"/>
        <v>0</v>
      </c>
      <c r="S66" s="20">
        <f t="shared" si="45"/>
        <v>0</v>
      </c>
    </row>
    <row r="67">
      <c r="A67" s="20">
        <f>'Kunci Adjudikasi'!A67</f>
        <v>64</v>
      </c>
      <c r="B67" s="20">
        <f>('Kunci Adjudikasi'!M67&lt;&gt;"")+('Kunci Adjudikasi'!S67&lt;&gt;"")+('Kunci Adjudikasi'!$E$1&gt;=3)*('Kunci Adjudikasi'!Y67&lt;&gt;"")+('Kunci Adjudikasi'!$E$1&gt;=4)*('Kunci Adjudikasi'!AE67&lt;&gt;"")</f>
        <v>0</v>
      </c>
      <c r="C67" s="20">
        <f>IF(B67&gt;=2,(B67*(B67-1)/2-(('Kunci Adjudikasi'!M67&lt;&gt;"")*('Kunci Adjudikasi'!S67&lt;&gt;"")*('Kunci Adjudikasi'!M67='Kunci Adjudikasi'!S67)+('Kunci Adjudikasi'!$E$1&gt;=3)*('Kunci Adjudikasi'!M67&lt;&gt;"")*('Kunci Adjudikasi'!Y67&lt;&gt;"")*('Kunci Adjudikasi'!M67='Kunci Adjudikasi'!Y67)+('Kunci Adjudikasi'!$E$1&gt;=4)*('Kunci Adjudikasi'!M67&lt;&gt;"")*('Kunci Adjudikasi'!AE67&lt;&gt;"")*('Kunci Adjudikasi'!M67='Kunci Adjudikasi'!AE67)+('Kunci Adjudikasi'!$E$1&gt;=3)*('Kunci Adjudikasi'!S67&lt;&gt;"")*('Kunci Adjudikasi'!Y67&lt;&gt;"")*('Kunci Adjudikasi'!S67='Kunci Adjudikasi'!Y67)+('Kunci Adjudikasi'!$E$1&gt;=4)*('Kunci Adjudikasi'!S67&lt;&gt;"")*('Kunci Adjudikasi'!AE67&lt;&gt;"")*('Kunci Adjudikasi'!S67='Kunci Adjudikasi'!AE67)+('Kunci Adjudikasi'!$E$1&gt;=4)*('Kunci Adjudikasi'!Y67&lt;&gt;"")*('Kunci Adjudikasi'!AE67&lt;&gt;"")*('Kunci Adjudikasi'!Y67='Kunci Adjudikasi'!AE67)))/(B67-1),0)</f>
        <v>0</v>
      </c>
      <c r="D67" s="20">
        <f>('Kunci Adjudikasi'!N67&lt;&gt;"")+('Kunci Adjudikasi'!T67&lt;&gt;"")+('Kunci Adjudikasi'!$E$1&gt;=3)*('Kunci Adjudikasi'!Z67&lt;&gt;"")+('Kunci Adjudikasi'!$E$1&gt;=4)*('Kunci Adjudikasi'!AF67&lt;&gt;"")</f>
        <v>0</v>
      </c>
      <c r="E67" s="20">
        <f>IF(D67&gt;=2,(D67*(D67-1)/2-(('Kunci Adjudikasi'!N67&lt;&gt;"")*('Kunci Adjudikasi'!T67&lt;&gt;"")*('Kunci Adjudikasi'!N67='Kunci Adjudikasi'!T67)+('Kunci Adjudikasi'!$E$1&gt;=3)*('Kunci Adjudikasi'!N67&lt;&gt;"")*('Kunci Adjudikasi'!Z67&lt;&gt;"")*('Kunci Adjudikasi'!N67='Kunci Adjudikasi'!Z67)+('Kunci Adjudikasi'!$E$1&gt;=4)*('Kunci Adjudikasi'!N67&lt;&gt;"")*('Kunci Adjudikasi'!AF67&lt;&gt;"")*('Kunci Adjudikasi'!N67='Kunci Adjudikasi'!AF67)+('Kunci Adjudikasi'!$E$1&gt;=3)*('Kunci Adjudikasi'!T67&lt;&gt;"")*('Kunci Adjudikasi'!Z67&lt;&gt;"")*('Kunci Adjudikasi'!T67='Kunci Adjudikasi'!Z67)+('Kunci Adjudikasi'!$E$1&gt;=4)*('Kunci Adjudikasi'!T67&lt;&gt;"")*('Kunci Adjudikasi'!AF67&lt;&gt;"")*('Kunci Adjudikasi'!T67='Kunci Adjudikasi'!AF67)+('Kunci Adjudikasi'!$E$1&gt;=4)*('Kunci Adjudikasi'!Z67&lt;&gt;"")*('Kunci Adjudikasi'!AF67&lt;&gt;"")*('Kunci Adjudikasi'!Z67='Kunci Adjudikasi'!AF67)))/(D67-1),0)</f>
        <v>0</v>
      </c>
      <c r="F67" s="20">
        <f>('Kunci Adjudikasi'!O67&lt;&gt;"")+('Kunci Adjudikasi'!U67&lt;&gt;"")+('Kunci Adjudikasi'!$E$1&gt;=3)*('Kunci Adjudikasi'!AA67&lt;&gt;"")+('Kunci Adjudikasi'!$E$1&gt;=4)*('Kunci Adjudikasi'!AG67&lt;&gt;"")</f>
        <v>0</v>
      </c>
      <c r="G67" s="20">
        <f>IF(F67&gt;=2,(F67*(F67-1)/2-(('Kunci Adjudikasi'!O67&lt;&gt;"")*('Kunci Adjudikasi'!U67&lt;&gt;"")*('Kunci Adjudikasi'!O67='Kunci Adjudikasi'!U67)+('Kunci Adjudikasi'!$E$1&gt;=3)*('Kunci Adjudikasi'!O67&lt;&gt;"")*('Kunci Adjudikasi'!AA67&lt;&gt;"")*('Kunci Adjudikasi'!O67='Kunci Adjudikasi'!AA67)+('Kunci Adjudikasi'!$E$1&gt;=4)*('Kunci Adjudikasi'!O67&lt;&gt;"")*('Kunci Adjudikasi'!AG67&lt;&gt;"")*('Kunci Adjudikasi'!O67='Kunci Adjudikasi'!AG67)+('Kunci Adjudikasi'!$E$1&gt;=3)*('Kunci Adjudikasi'!U67&lt;&gt;"")*('Kunci Adjudikasi'!AA67&lt;&gt;"")*('Kunci Adjudikasi'!U67='Kunci Adjudikasi'!AA67)+('Kunci Adjudikasi'!$E$1&gt;=4)*('Kunci Adjudikasi'!U67&lt;&gt;"")*('Kunci Adjudikasi'!AG67&lt;&gt;"")*('Kunci Adjudikasi'!U67='Kunci Adjudikasi'!AG67)+('Kunci Adjudikasi'!$E$1&gt;=4)*('Kunci Adjudikasi'!AA67&lt;&gt;"")*('Kunci Adjudikasi'!AG67&lt;&gt;"")*('Kunci Adjudikasi'!AA67='Kunci Adjudikasi'!AG67)))/(F67-1),0)</f>
        <v>0</v>
      </c>
      <c r="H67" s="20">
        <f>('Kunci Adjudikasi'!P67&lt;&gt;"")+('Kunci Adjudikasi'!V67&lt;&gt;"")+('Kunci Adjudikasi'!$E$1&gt;=3)*('Kunci Adjudikasi'!AB67&lt;&gt;"")+('Kunci Adjudikasi'!$E$1&gt;=4)*('Kunci Adjudikasi'!AH67&lt;&gt;"")</f>
        <v>0</v>
      </c>
      <c r="I67" s="20">
        <f>IF(H67&gt;=2,(H67*(H67-1)/2-(('Kunci Adjudikasi'!P67&lt;&gt;"")*('Kunci Adjudikasi'!V67&lt;&gt;"")*('Kunci Adjudikasi'!P67='Kunci Adjudikasi'!V67)+('Kunci Adjudikasi'!$E$1&gt;=3)*('Kunci Adjudikasi'!P67&lt;&gt;"")*('Kunci Adjudikasi'!AB67&lt;&gt;"")*('Kunci Adjudikasi'!P67='Kunci Adjudikasi'!AB67)+('Kunci Adjudikasi'!$E$1&gt;=4)*('Kunci Adjudikasi'!P67&lt;&gt;"")*('Kunci Adjudikasi'!AH67&lt;&gt;"")*('Kunci Adjudikasi'!P67='Kunci Adjudikasi'!AH67)+('Kunci Adjudikasi'!$E$1&gt;=3)*('Kunci Adjudikasi'!V67&lt;&gt;"")*('Kunci Adjudikasi'!AB67&lt;&gt;"")*('Kunci Adjudikasi'!V67='Kunci Adjudikasi'!AB67)+('Kunci Adjudikasi'!$E$1&gt;=4)*('Kunci Adjudikasi'!V67&lt;&gt;"")*('Kunci Adjudikasi'!AH67&lt;&gt;"")*('Kunci Adjudikasi'!V67='Kunci Adjudikasi'!AH67)+('Kunci Adjudikasi'!$E$1&gt;=4)*('Kunci Adjudikasi'!AB67&lt;&gt;"")*('Kunci Adjudikasi'!AH67&lt;&gt;"")*('Kunci Adjudikasi'!AB67='Kunci Adjudikasi'!AH67)))/(H67-1),0)</f>
        <v>0</v>
      </c>
      <c r="J67" s="20">
        <f>('Kunci Adjudikasi'!Q67&lt;&gt;"")+('Kunci Adjudikasi'!W67&lt;&gt;"")+('Kunci Adjudikasi'!$E$1&gt;=3)*('Kunci Adjudikasi'!AC67&lt;&gt;"")+('Kunci Adjudikasi'!$E$1&gt;=4)*('Kunci Adjudikasi'!AI67&lt;&gt;"")</f>
        <v>0</v>
      </c>
      <c r="K67" s="20">
        <f>IF(J67&gt;=2,(J67*(J67-1)/2-(('Kunci Adjudikasi'!Q67&lt;&gt;"")*('Kunci Adjudikasi'!W67&lt;&gt;"")*('Kunci Adjudikasi'!Q67='Kunci Adjudikasi'!W67)+('Kunci Adjudikasi'!$E$1&gt;=3)*('Kunci Adjudikasi'!Q67&lt;&gt;"")*('Kunci Adjudikasi'!AC67&lt;&gt;"")*('Kunci Adjudikasi'!Q67='Kunci Adjudikasi'!AC67)+('Kunci Adjudikasi'!$E$1&gt;=4)*('Kunci Adjudikasi'!Q67&lt;&gt;"")*('Kunci Adjudikasi'!AI67&lt;&gt;"")*('Kunci Adjudikasi'!Q67='Kunci Adjudikasi'!AI67)+('Kunci Adjudikasi'!$E$1&gt;=3)*('Kunci Adjudikasi'!W67&lt;&gt;"")*('Kunci Adjudikasi'!AC67&lt;&gt;"")*('Kunci Adjudikasi'!W67='Kunci Adjudikasi'!AC67)+('Kunci Adjudikasi'!$E$1&gt;=4)*('Kunci Adjudikasi'!W67&lt;&gt;"")*('Kunci Adjudikasi'!AI67&lt;&gt;"")*('Kunci Adjudikasi'!W67='Kunci Adjudikasi'!AI67)+('Kunci Adjudikasi'!$E$1&gt;=4)*('Kunci Adjudikasi'!AC67&lt;&gt;"")*('Kunci Adjudikasi'!AI67&lt;&gt;"")*('Kunci Adjudikasi'!AC67='Kunci Adjudikasi'!AI67)))/(J67-1),0)</f>
        <v>0</v>
      </c>
      <c r="L67" s="20">
        <f>('Kunci Adjudikasi'!R67&lt;&gt;"")+('Kunci Adjudikasi'!X67&lt;&gt;"")+('Kunci Adjudikasi'!$E$1&gt;=3)*('Kunci Adjudikasi'!AD67&lt;&gt;"")+('Kunci Adjudikasi'!$E$1&gt;=4)*('Kunci Adjudikasi'!AJ67&lt;&gt;"")</f>
        <v>0</v>
      </c>
      <c r="M67" s="20">
        <f>IF(L67&gt;=2,(L67*(L67-1)/2-(('Kunci Adjudikasi'!R67&lt;&gt;"")*('Kunci Adjudikasi'!X67&lt;&gt;"")*('Kunci Adjudikasi'!R67='Kunci Adjudikasi'!X67)+('Kunci Adjudikasi'!$E$1&gt;=3)*('Kunci Adjudikasi'!R67&lt;&gt;"")*('Kunci Adjudikasi'!AD67&lt;&gt;"")*('Kunci Adjudikasi'!R67='Kunci Adjudikasi'!AD67)+('Kunci Adjudikasi'!$E$1&gt;=4)*('Kunci Adjudikasi'!R67&lt;&gt;"")*('Kunci Adjudikasi'!AJ67&lt;&gt;"")*('Kunci Adjudikasi'!R67='Kunci Adjudikasi'!AJ67)+('Kunci Adjudikasi'!$E$1&gt;=3)*('Kunci Adjudikasi'!X67&lt;&gt;"")*('Kunci Adjudikasi'!AD67&lt;&gt;"")*('Kunci Adjudikasi'!X67='Kunci Adjudikasi'!AD67)+('Kunci Adjudikasi'!$E$1&gt;=4)*('Kunci Adjudikasi'!X67&lt;&gt;"")*('Kunci Adjudikasi'!AJ67&lt;&gt;"")*('Kunci Adjudikasi'!X67='Kunci Adjudikasi'!AJ67)+('Kunci Adjudikasi'!$E$1&gt;=4)*('Kunci Adjudikasi'!AD67&lt;&gt;"")*('Kunci Adjudikasi'!AJ67&lt;&gt;"")*('Kunci Adjudikasi'!AD67='Kunci Adjudikasi'!AJ67)))/(L67-1),0)</f>
        <v>0</v>
      </c>
      <c r="N67" s="20">
        <f>(LEFT('Kunci Adjudikasi'!N67,2)="R0")+(LEFT('Kunci Adjudikasi'!T67,2)="R0")+('Kunci Adjudikasi'!$E$1&gt;=3)*(LEFT('Kunci Adjudikasi'!Z67,2)="R0")+('Kunci Adjudikasi'!$E$1&gt;=4)*(LEFT('Kunci Adjudikasi'!AF67,2)="R0")</f>
        <v>0</v>
      </c>
      <c r="O67" s="20">
        <f>(LEFT('Kunci Adjudikasi'!N67,2)="R1")+(LEFT('Kunci Adjudikasi'!T67,2)="R1")+('Kunci Adjudikasi'!$E$1&gt;=3)*(LEFT('Kunci Adjudikasi'!Z67,2)="R1")+('Kunci Adjudikasi'!$E$1&gt;=4)*(LEFT('Kunci Adjudikasi'!AF67,2)="R1")</f>
        <v>0</v>
      </c>
      <c r="P67" s="20">
        <f>(LEFT('Kunci Adjudikasi'!N67,2)="R2")+(LEFT('Kunci Adjudikasi'!T67,2)="R2")+('Kunci Adjudikasi'!$E$1&gt;=3)*(LEFT('Kunci Adjudikasi'!Z67,2)="R2")+('Kunci Adjudikasi'!$E$1&gt;=4)*(LEFT('Kunci Adjudikasi'!AF67,2)="R2")</f>
        <v>0</v>
      </c>
      <c r="Q67" s="20">
        <f t="shared" si="43"/>
        <v>0</v>
      </c>
      <c r="R67" s="20">
        <f t="shared" si="44"/>
        <v>0</v>
      </c>
      <c r="S67" s="20">
        <f t="shared" si="45"/>
        <v>0</v>
      </c>
    </row>
    <row r="68">
      <c r="A68" s="20">
        <f>'Kunci Adjudikasi'!A68</f>
        <v>65</v>
      </c>
      <c r="B68" s="20">
        <f>('Kunci Adjudikasi'!M68&lt;&gt;"")+('Kunci Adjudikasi'!S68&lt;&gt;"")+('Kunci Adjudikasi'!$E$1&gt;=3)*('Kunci Adjudikasi'!Y68&lt;&gt;"")+('Kunci Adjudikasi'!$E$1&gt;=4)*('Kunci Adjudikasi'!AE68&lt;&gt;"")</f>
        <v>0</v>
      </c>
      <c r="C68" s="20">
        <f>IF(B68&gt;=2,(B68*(B68-1)/2-(('Kunci Adjudikasi'!M68&lt;&gt;"")*('Kunci Adjudikasi'!S68&lt;&gt;"")*('Kunci Adjudikasi'!M68='Kunci Adjudikasi'!S68)+('Kunci Adjudikasi'!$E$1&gt;=3)*('Kunci Adjudikasi'!M68&lt;&gt;"")*('Kunci Adjudikasi'!Y68&lt;&gt;"")*('Kunci Adjudikasi'!M68='Kunci Adjudikasi'!Y68)+('Kunci Adjudikasi'!$E$1&gt;=4)*('Kunci Adjudikasi'!M68&lt;&gt;"")*('Kunci Adjudikasi'!AE68&lt;&gt;"")*('Kunci Adjudikasi'!M68='Kunci Adjudikasi'!AE68)+('Kunci Adjudikasi'!$E$1&gt;=3)*('Kunci Adjudikasi'!S68&lt;&gt;"")*('Kunci Adjudikasi'!Y68&lt;&gt;"")*('Kunci Adjudikasi'!S68='Kunci Adjudikasi'!Y68)+('Kunci Adjudikasi'!$E$1&gt;=4)*('Kunci Adjudikasi'!S68&lt;&gt;"")*('Kunci Adjudikasi'!AE68&lt;&gt;"")*('Kunci Adjudikasi'!S68='Kunci Adjudikasi'!AE68)+('Kunci Adjudikasi'!$E$1&gt;=4)*('Kunci Adjudikasi'!Y68&lt;&gt;"")*('Kunci Adjudikasi'!AE68&lt;&gt;"")*('Kunci Adjudikasi'!Y68='Kunci Adjudikasi'!AE68)))/(B68-1),0)</f>
        <v>0</v>
      </c>
      <c r="D68" s="20">
        <f>('Kunci Adjudikasi'!N68&lt;&gt;"")+('Kunci Adjudikasi'!T68&lt;&gt;"")+('Kunci Adjudikasi'!$E$1&gt;=3)*('Kunci Adjudikasi'!Z68&lt;&gt;"")+('Kunci Adjudikasi'!$E$1&gt;=4)*('Kunci Adjudikasi'!AF68&lt;&gt;"")</f>
        <v>0</v>
      </c>
      <c r="E68" s="20">
        <f>IF(D68&gt;=2,(D68*(D68-1)/2-(('Kunci Adjudikasi'!N68&lt;&gt;"")*('Kunci Adjudikasi'!T68&lt;&gt;"")*('Kunci Adjudikasi'!N68='Kunci Adjudikasi'!T68)+('Kunci Adjudikasi'!$E$1&gt;=3)*('Kunci Adjudikasi'!N68&lt;&gt;"")*('Kunci Adjudikasi'!Z68&lt;&gt;"")*('Kunci Adjudikasi'!N68='Kunci Adjudikasi'!Z68)+('Kunci Adjudikasi'!$E$1&gt;=4)*('Kunci Adjudikasi'!N68&lt;&gt;"")*('Kunci Adjudikasi'!AF68&lt;&gt;"")*('Kunci Adjudikasi'!N68='Kunci Adjudikasi'!AF68)+('Kunci Adjudikasi'!$E$1&gt;=3)*('Kunci Adjudikasi'!T68&lt;&gt;"")*('Kunci Adjudikasi'!Z68&lt;&gt;"")*('Kunci Adjudikasi'!T68='Kunci Adjudikasi'!Z68)+('Kunci Adjudikasi'!$E$1&gt;=4)*('Kunci Adjudikasi'!T68&lt;&gt;"")*('Kunci Adjudikasi'!AF68&lt;&gt;"")*('Kunci Adjudikasi'!T68='Kunci Adjudikasi'!AF68)+('Kunci Adjudikasi'!$E$1&gt;=4)*('Kunci Adjudikasi'!Z68&lt;&gt;"")*('Kunci Adjudikasi'!AF68&lt;&gt;"")*('Kunci Adjudikasi'!Z68='Kunci Adjudikasi'!AF68)))/(D68-1),0)</f>
        <v>0</v>
      </c>
      <c r="F68" s="20">
        <f>('Kunci Adjudikasi'!O68&lt;&gt;"")+('Kunci Adjudikasi'!U68&lt;&gt;"")+('Kunci Adjudikasi'!$E$1&gt;=3)*('Kunci Adjudikasi'!AA68&lt;&gt;"")+('Kunci Adjudikasi'!$E$1&gt;=4)*('Kunci Adjudikasi'!AG68&lt;&gt;"")</f>
        <v>0</v>
      </c>
      <c r="G68" s="20">
        <f>IF(F68&gt;=2,(F68*(F68-1)/2-(('Kunci Adjudikasi'!O68&lt;&gt;"")*('Kunci Adjudikasi'!U68&lt;&gt;"")*('Kunci Adjudikasi'!O68='Kunci Adjudikasi'!U68)+('Kunci Adjudikasi'!$E$1&gt;=3)*('Kunci Adjudikasi'!O68&lt;&gt;"")*('Kunci Adjudikasi'!AA68&lt;&gt;"")*('Kunci Adjudikasi'!O68='Kunci Adjudikasi'!AA68)+('Kunci Adjudikasi'!$E$1&gt;=4)*('Kunci Adjudikasi'!O68&lt;&gt;"")*('Kunci Adjudikasi'!AG68&lt;&gt;"")*('Kunci Adjudikasi'!O68='Kunci Adjudikasi'!AG68)+('Kunci Adjudikasi'!$E$1&gt;=3)*('Kunci Adjudikasi'!U68&lt;&gt;"")*('Kunci Adjudikasi'!AA68&lt;&gt;"")*('Kunci Adjudikasi'!U68='Kunci Adjudikasi'!AA68)+('Kunci Adjudikasi'!$E$1&gt;=4)*('Kunci Adjudikasi'!U68&lt;&gt;"")*('Kunci Adjudikasi'!AG68&lt;&gt;"")*('Kunci Adjudikasi'!U68='Kunci Adjudikasi'!AG68)+('Kunci Adjudikasi'!$E$1&gt;=4)*('Kunci Adjudikasi'!AA68&lt;&gt;"")*('Kunci Adjudikasi'!AG68&lt;&gt;"")*('Kunci Adjudikasi'!AA68='Kunci Adjudikasi'!AG68)))/(F68-1),0)</f>
        <v>0</v>
      </c>
      <c r="H68" s="20">
        <f>('Kunci Adjudikasi'!P68&lt;&gt;"")+('Kunci Adjudikasi'!V68&lt;&gt;"")+('Kunci Adjudikasi'!$E$1&gt;=3)*('Kunci Adjudikasi'!AB68&lt;&gt;"")+('Kunci Adjudikasi'!$E$1&gt;=4)*('Kunci Adjudikasi'!AH68&lt;&gt;"")</f>
        <v>0</v>
      </c>
      <c r="I68" s="20">
        <f>IF(H68&gt;=2,(H68*(H68-1)/2-(('Kunci Adjudikasi'!P68&lt;&gt;"")*('Kunci Adjudikasi'!V68&lt;&gt;"")*('Kunci Adjudikasi'!P68='Kunci Adjudikasi'!V68)+('Kunci Adjudikasi'!$E$1&gt;=3)*('Kunci Adjudikasi'!P68&lt;&gt;"")*('Kunci Adjudikasi'!AB68&lt;&gt;"")*('Kunci Adjudikasi'!P68='Kunci Adjudikasi'!AB68)+('Kunci Adjudikasi'!$E$1&gt;=4)*('Kunci Adjudikasi'!P68&lt;&gt;"")*('Kunci Adjudikasi'!AH68&lt;&gt;"")*('Kunci Adjudikasi'!P68='Kunci Adjudikasi'!AH68)+('Kunci Adjudikasi'!$E$1&gt;=3)*('Kunci Adjudikasi'!V68&lt;&gt;"")*('Kunci Adjudikasi'!AB68&lt;&gt;"")*('Kunci Adjudikasi'!V68='Kunci Adjudikasi'!AB68)+('Kunci Adjudikasi'!$E$1&gt;=4)*('Kunci Adjudikasi'!V68&lt;&gt;"")*('Kunci Adjudikasi'!AH68&lt;&gt;"")*('Kunci Adjudikasi'!V68='Kunci Adjudikasi'!AH68)+('Kunci Adjudikasi'!$E$1&gt;=4)*('Kunci Adjudikasi'!AB68&lt;&gt;"")*('Kunci Adjudikasi'!AH68&lt;&gt;"")*('Kunci Adjudikasi'!AB68='Kunci Adjudikasi'!AH68)))/(H68-1),0)</f>
        <v>0</v>
      </c>
      <c r="J68" s="20">
        <f>('Kunci Adjudikasi'!Q68&lt;&gt;"")+('Kunci Adjudikasi'!W68&lt;&gt;"")+('Kunci Adjudikasi'!$E$1&gt;=3)*('Kunci Adjudikasi'!AC68&lt;&gt;"")+('Kunci Adjudikasi'!$E$1&gt;=4)*('Kunci Adjudikasi'!AI68&lt;&gt;"")</f>
        <v>0</v>
      </c>
      <c r="K68" s="20">
        <f>IF(J68&gt;=2,(J68*(J68-1)/2-(('Kunci Adjudikasi'!Q68&lt;&gt;"")*('Kunci Adjudikasi'!W68&lt;&gt;"")*('Kunci Adjudikasi'!Q68='Kunci Adjudikasi'!W68)+('Kunci Adjudikasi'!$E$1&gt;=3)*('Kunci Adjudikasi'!Q68&lt;&gt;"")*('Kunci Adjudikasi'!AC68&lt;&gt;"")*('Kunci Adjudikasi'!Q68='Kunci Adjudikasi'!AC68)+('Kunci Adjudikasi'!$E$1&gt;=4)*('Kunci Adjudikasi'!Q68&lt;&gt;"")*('Kunci Adjudikasi'!AI68&lt;&gt;"")*('Kunci Adjudikasi'!Q68='Kunci Adjudikasi'!AI68)+('Kunci Adjudikasi'!$E$1&gt;=3)*('Kunci Adjudikasi'!W68&lt;&gt;"")*('Kunci Adjudikasi'!AC68&lt;&gt;"")*('Kunci Adjudikasi'!W68='Kunci Adjudikasi'!AC68)+('Kunci Adjudikasi'!$E$1&gt;=4)*('Kunci Adjudikasi'!W68&lt;&gt;"")*('Kunci Adjudikasi'!AI68&lt;&gt;"")*('Kunci Adjudikasi'!W68='Kunci Adjudikasi'!AI68)+('Kunci Adjudikasi'!$E$1&gt;=4)*('Kunci Adjudikasi'!AC68&lt;&gt;"")*('Kunci Adjudikasi'!AI68&lt;&gt;"")*('Kunci Adjudikasi'!AC68='Kunci Adjudikasi'!AI68)))/(J68-1),0)</f>
        <v>0</v>
      </c>
      <c r="L68" s="20">
        <f>('Kunci Adjudikasi'!R68&lt;&gt;"")+('Kunci Adjudikasi'!X68&lt;&gt;"")+('Kunci Adjudikasi'!$E$1&gt;=3)*('Kunci Adjudikasi'!AD68&lt;&gt;"")+('Kunci Adjudikasi'!$E$1&gt;=4)*('Kunci Adjudikasi'!AJ68&lt;&gt;"")</f>
        <v>0</v>
      </c>
      <c r="M68" s="20">
        <f>IF(L68&gt;=2,(L68*(L68-1)/2-(('Kunci Adjudikasi'!R68&lt;&gt;"")*('Kunci Adjudikasi'!X68&lt;&gt;"")*('Kunci Adjudikasi'!R68='Kunci Adjudikasi'!X68)+('Kunci Adjudikasi'!$E$1&gt;=3)*('Kunci Adjudikasi'!R68&lt;&gt;"")*('Kunci Adjudikasi'!AD68&lt;&gt;"")*('Kunci Adjudikasi'!R68='Kunci Adjudikasi'!AD68)+('Kunci Adjudikasi'!$E$1&gt;=4)*('Kunci Adjudikasi'!R68&lt;&gt;"")*('Kunci Adjudikasi'!AJ68&lt;&gt;"")*('Kunci Adjudikasi'!R68='Kunci Adjudikasi'!AJ68)+('Kunci Adjudikasi'!$E$1&gt;=3)*('Kunci Adjudikasi'!X68&lt;&gt;"")*('Kunci Adjudikasi'!AD68&lt;&gt;"")*('Kunci Adjudikasi'!X68='Kunci Adjudikasi'!AD68)+('Kunci Adjudikasi'!$E$1&gt;=4)*('Kunci Adjudikasi'!X68&lt;&gt;"")*('Kunci Adjudikasi'!AJ68&lt;&gt;"")*('Kunci Adjudikasi'!X68='Kunci Adjudikasi'!AJ68)+('Kunci Adjudikasi'!$E$1&gt;=4)*('Kunci Adjudikasi'!AD68&lt;&gt;"")*('Kunci Adjudikasi'!AJ68&lt;&gt;"")*('Kunci Adjudikasi'!AD68='Kunci Adjudikasi'!AJ68)))/(L68-1),0)</f>
        <v>0</v>
      </c>
      <c r="N68" s="20">
        <f>(LEFT('Kunci Adjudikasi'!N68,2)="R0")+(LEFT('Kunci Adjudikasi'!T68,2)="R0")+('Kunci Adjudikasi'!$E$1&gt;=3)*(LEFT('Kunci Adjudikasi'!Z68,2)="R0")+('Kunci Adjudikasi'!$E$1&gt;=4)*(LEFT('Kunci Adjudikasi'!AF68,2)="R0")</f>
        <v>0</v>
      </c>
      <c r="O68" s="20">
        <f>(LEFT('Kunci Adjudikasi'!N68,2)="R1")+(LEFT('Kunci Adjudikasi'!T68,2)="R1")+('Kunci Adjudikasi'!$E$1&gt;=3)*(LEFT('Kunci Adjudikasi'!Z68,2)="R1")+('Kunci Adjudikasi'!$E$1&gt;=4)*(LEFT('Kunci Adjudikasi'!AF68,2)="R1")</f>
        <v>0</v>
      </c>
      <c r="P68" s="20">
        <f>(LEFT('Kunci Adjudikasi'!N68,2)="R2")+(LEFT('Kunci Adjudikasi'!T68,2)="R2")+('Kunci Adjudikasi'!$E$1&gt;=3)*(LEFT('Kunci Adjudikasi'!Z68,2)="R2")+('Kunci Adjudikasi'!$E$1&gt;=4)*(LEFT('Kunci Adjudikasi'!AF68,2)="R2")</f>
        <v>0</v>
      </c>
      <c r="Q68" s="20">
        <f t="shared" si="43"/>
        <v>0</v>
      </c>
      <c r="R68" s="20">
        <f t="shared" si="44"/>
        <v>0</v>
      </c>
      <c r="S68" s="20">
        <f t="shared" si="45"/>
        <v>0</v>
      </c>
    </row>
    <row r="69">
      <c r="A69" s="20">
        <f>'Kunci Adjudikasi'!A69</f>
        <v>66</v>
      </c>
      <c r="B69" s="20">
        <f>('Kunci Adjudikasi'!M69&lt;&gt;"")+('Kunci Adjudikasi'!S69&lt;&gt;"")+('Kunci Adjudikasi'!$E$1&gt;=3)*('Kunci Adjudikasi'!Y69&lt;&gt;"")+('Kunci Adjudikasi'!$E$1&gt;=4)*('Kunci Adjudikasi'!AE69&lt;&gt;"")</f>
        <v>0</v>
      </c>
      <c r="C69" s="20">
        <f>IF(B69&gt;=2,(B69*(B69-1)/2-(('Kunci Adjudikasi'!M69&lt;&gt;"")*('Kunci Adjudikasi'!S69&lt;&gt;"")*('Kunci Adjudikasi'!M69='Kunci Adjudikasi'!S69)+('Kunci Adjudikasi'!$E$1&gt;=3)*('Kunci Adjudikasi'!M69&lt;&gt;"")*('Kunci Adjudikasi'!Y69&lt;&gt;"")*('Kunci Adjudikasi'!M69='Kunci Adjudikasi'!Y69)+('Kunci Adjudikasi'!$E$1&gt;=4)*('Kunci Adjudikasi'!M69&lt;&gt;"")*('Kunci Adjudikasi'!AE69&lt;&gt;"")*('Kunci Adjudikasi'!M69='Kunci Adjudikasi'!AE69)+('Kunci Adjudikasi'!$E$1&gt;=3)*('Kunci Adjudikasi'!S69&lt;&gt;"")*('Kunci Adjudikasi'!Y69&lt;&gt;"")*('Kunci Adjudikasi'!S69='Kunci Adjudikasi'!Y69)+('Kunci Adjudikasi'!$E$1&gt;=4)*('Kunci Adjudikasi'!S69&lt;&gt;"")*('Kunci Adjudikasi'!AE69&lt;&gt;"")*('Kunci Adjudikasi'!S69='Kunci Adjudikasi'!AE69)+('Kunci Adjudikasi'!$E$1&gt;=4)*('Kunci Adjudikasi'!Y69&lt;&gt;"")*('Kunci Adjudikasi'!AE69&lt;&gt;"")*('Kunci Adjudikasi'!Y69='Kunci Adjudikasi'!AE69)))/(B69-1),0)</f>
        <v>0</v>
      </c>
      <c r="D69" s="20">
        <f>('Kunci Adjudikasi'!N69&lt;&gt;"")+('Kunci Adjudikasi'!T69&lt;&gt;"")+('Kunci Adjudikasi'!$E$1&gt;=3)*('Kunci Adjudikasi'!Z69&lt;&gt;"")+('Kunci Adjudikasi'!$E$1&gt;=4)*('Kunci Adjudikasi'!AF69&lt;&gt;"")</f>
        <v>0</v>
      </c>
      <c r="E69" s="20">
        <f>IF(D69&gt;=2,(D69*(D69-1)/2-(('Kunci Adjudikasi'!N69&lt;&gt;"")*('Kunci Adjudikasi'!T69&lt;&gt;"")*('Kunci Adjudikasi'!N69='Kunci Adjudikasi'!T69)+('Kunci Adjudikasi'!$E$1&gt;=3)*('Kunci Adjudikasi'!N69&lt;&gt;"")*('Kunci Adjudikasi'!Z69&lt;&gt;"")*('Kunci Adjudikasi'!N69='Kunci Adjudikasi'!Z69)+('Kunci Adjudikasi'!$E$1&gt;=4)*('Kunci Adjudikasi'!N69&lt;&gt;"")*('Kunci Adjudikasi'!AF69&lt;&gt;"")*('Kunci Adjudikasi'!N69='Kunci Adjudikasi'!AF69)+('Kunci Adjudikasi'!$E$1&gt;=3)*('Kunci Adjudikasi'!T69&lt;&gt;"")*('Kunci Adjudikasi'!Z69&lt;&gt;"")*('Kunci Adjudikasi'!T69='Kunci Adjudikasi'!Z69)+('Kunci Adjudikasi'!$E$1&gt;=4)*('Kunci Adjudikasi'!T69&lt;&gt;"")*('Kunci Adjudikasi'!AF69&lt;&gt;"")*('Kunci Adjudikasi'!T69='Kunci Adjudikasi'!AF69)+('Kunci Adjudikasi'!$E$1&gt;=4)*('Kunci Adjudikasi'!Z69&lt;&gt;"")*('Kunci Adjudikasi'!AF69&lt;&gt;"")*('Kunci Adjudikasi'!Z69='Kunci Adjudikasi'!AF69)))/(D69-1),0)</f>
        <v>0</v>
      </c>
      <c r="F69" s="20">
        <f>('Kunci Adjudikasi'!O69&lt;&gt;"")+('Kunci Adjudikasi'!U69&lt;&gt;"")+('Kunci Adjudikasi'!$E$1&gt;=3)*('Kunci Adjudikasi'!AA69&lt;&gt;"")+('Kunci Adjudikasi'!$E$1&gt;=4)*('Kunci Adjudikasi'!AG69&lt;&gt;"")</f>
        <v>0</v>
      </c>
      <c r="G69" s="20">
        <f>IF(F69&gt;=2,(F69*(F69-1)/2-(('Kunci Adjudikasi'!O69&lt;&gt;"")*('Kunci Adjudikasi'!U69&lt;&gt;"")*('Kunci Adjudikasi'!O69='Kunci Adjudikasi'!U69)+('Kunci Adjudikasi'!$E$1&gt;=3)*('Kunci Adjudikasi'!O69&lt;&gt;"")*('Kunci Adjudikasi'!AA69&lt;&gt;"")*('Kunci Adjudikasi'!O69='Kunci Adjudikasi'!AA69)+('Kunci Adjudikasi'!$E$1&gt;=4)*('Kunci Adjudikasi'!O69&lt;&gt;"")*('Kunci Adjudikasi'!AG69&lt;&gt;"")*('Kunci Adjudikasi'!O69='Kunci Adjudikasi'!AG69)+('Kunci Adjudikasi'!$E$1&gt;=3)*('Kunci Adjudikasi'!U69&lt;&gt;"")*('Kunci Adjudikasi'!AA69&lt;&gt;"")*('Kunci Adjudikasi'!U69='Kunci Adjudikasi'!AA69)+('Kunci Adjudikasi'!$E$1&gt;=4)*('Kunci Adjudikasi'!U69&lt;&gt;"")*('Kunci Adjudikasi'!AG69&lt;&gt;"")*('Kunci Adjudikasi'!U69='Kunci Adjudikasi'!AG69)+('Kunci Adjudikasi'!$E$1&gt;=4)*('Kunci Adjudikasi'!AA69&lt;&gt;"")*('Kunci Adjudikasi'!AG69&lt;&gt;"")*('Kunci Adjudikasi'!AA69='Kunci Adjudikasi'!AG69)))/(F69-1),0)</f>
        <v>0</v>
      </c>
      <c r="H69" s="20">
        <f>('Kunci Adjudikasi'!P69&lt;&gt;"")+('Kunci Adjudikasi'!V69&lt;&gt;"")+('Kunci Adjudikasi'!$E$1&gt;=3)*('Kunci Adjudikasi'!AB69&lt;&gt;"")+('Kunci Adjudikasi'!$E$1&gt;=4)*('Kunci Adjudikasi'!AH69&lt;&gt;"")</f>
        <v>0</v>
      </c>
      <c r="I69" s="20">
        <f>IF(H69&gt;=2,(H69*(H69-1)/2-(('Kunci Adjudikasi'!P69&lt;&gt;"")*('Kunci Adjudikasi'!V69&lt;&gt;"")*('Kunci Adjudikasi'!P69='Kunci Adjudikasi'!V69)+('Kunci Adjudikasi'!$E$1&gt;=3)*('Kunci Adjudikasi'!P69&lt;&gt;"")*('Kunci Adjudikasi'!AB69&lt;&gt;"")*('Kunci Adjudikasi'!P69='Kunci Adjudikasi'!AB69)+('Kunci Adjudikasi'!$E$1&gt;=4)*('Kunci Adjudikasi'!P69&lt;&gt;"")*('Kunci Adjudikasi'!AH69&lt;&gt;"")*('Kunci Adjudikasi'!P69='Kunci Adjudikasi'!AH69)+('Kunci Adjudikasi'!$E$1&gt;=3)*('Kunci Adjudikasi'!V69&lt;&gt;"")*('Kunci Adjudikasi'!AB69&lt;&gt;"")*('Kunci Adjudikasi'!V69='Kunci Adjudikasi'!AB69)+('Kunci Adjudikasi'!$E$1&gt;=4)*('Kunci Adjudikasi'!V69&lt;&gt;"")*('Kunci Adjudikasi'!AH69&lt;&gt;"")*('Kunci Adjudikasi'!V69='Kunci Adjudikasi'!AH69)+('Kunci Adjudikasi'!$E$1&gt;=4)*('Kunci Adjudikasi'!AB69&lt;&gt;"")*('Kunci Adjudikasi'!AH69&lt;&gt;"")*('Kunci Adjudikasi'!AB69='Kunci Adjudikasi'!AH69)))/(H69-1),0)</f>
        <v>0</v>
      </c>
      <c r="J69" s="20">
        <f>('Kunci Adjudikasi'!Q69&lt;&gt;"")+('Kunci Adjudikasi'!W69&lt;&gt;"")+('Kunci Adjudikasi'!$E$1&gt;=3)*('Kunci Adjudikasi'!AC69&lt;&gt;"")+('Kunci Adjudikasi'!$E$1&gt;=4)*('Kunci Adjudikasi'!AI69&lt;&gt;"")</f>
        <v>0</v>
      </c>
      <c r="K69" s="20">
        <f>IF(J69&gt;=2,(J69*(J69-1)/2-(('Kunci Adjudikasi'!Q69&lt;&gt;"")*('Kunci Adjudikasi'!W69&lt;&gt;"")*('Kunci Adjudikasi'!Q69='Kunci Adjudikasi'!W69)+('Kunci Adjudikasi'!$E$1&gt;=3)*('Kunci Adjudikasi'!Q69&lt;&gt;"")*('Kunci Adjudikasi'!AC69&lt;&gt;"")*('Kunci Adjudikasi'!Q69='Kunci Adjudikasi'!AC69)+('Kunci Adjudikasi'!$E$1&gt;=4)*('Kunci Adjudikasi'!Q69&lt;&gt;"")*('Kunci Adjudikasi'!AI69&lt;&gt;"")*('Kunci Adjudikasi'!Q69='Kunci Adjudikasi'!AI69)+('Kunci Adjudikasi'!$E$1&gt;=3)*('Kunci Adjudikasi'!W69&lt;&gt;"")*('Kunci Adjudikasi'!AC69&lt;&gt;"")*('Kunci Adjudikasi'!W69='Kunci Adjudikasi'!AC69)+('Kunci Adjudikasi'!$E$1&gt;=4)*('Kunci Adjudikasi'!W69&lt;&gt;"")*('Kunci Adjudikasi'!AI69&lt;&gt;"")*('Kunci Adjudikasi'!W69='Kunci Adjudikasi'!AI69)+('Kunci Adjudikasi'!$E$1&gt;=4)*('Kunci Adjudikasi'!AC69&lt;&gt;"")*('Kunci Adjudikasi'!AI69&lt;&gt;"")*('Kunci Adjudikasi'!AC69='Kunci Adjudikasi'!AI69)))/(J69-1),0)</f>
        <v>0</v>
      </c>
      <c r="L69" s="20">
        <f>('Kunci Adjudikasi'!R69&lt;&gt;"")+('Kunci Adjudikasi'!X69&lt;&gt;"")+('Kunci Adjudikasi'!$E$1&gt;=3)*('Kunci Adjudikasi'!AD69&lt;&gt;"")+('Kunci Adjudikasi'!$E$1&gt;=4)*('Kunci Adjudikasi'!AJ69&lt;&gt;"")</f>
        <v>0</v>
      </c>
      <c r="M69" s="20">
        <f>IF(L69&gt;=2,(L69*(L69-1)/2-(('Kunci Adjudikasi'!R69&lt;&gt;"")*('Kunci Adjudikasi'!X69&lt;&gt;"")*('Kunci Adjudikasi'!R69='Kunci Adjudikasi'!X69)+('Kunci Adjudikasi'!$E$1&gt;=3)*('Kunci Adjudikasi'!R69&lt;&gt;"")*('Kunci Adjudikasi'!AD69&lt;&gt;"")*('Kunci Adjudikasi'!R69='Kunci Adjudikasi'!AD69)+('Kunci Adjudikasi'!$E$1&gt;=4)*('Kunci Adjudikasi'!R69&lt;&gt;"")*('Kunci Adjudikasi'!AJ69&lt;&gt;"")*('Kunci Adjudikasi'!R69='Kunci Adjudikasi'!AJ69)+('Kunci Adjudikasi'!$E$1&gt;=3)*('Kunci Adjudikasi'!X69&lt;&gt;"")*('Kunci Adjudikasi'!AD69&lt;&gt;"")*('Kunci Adjudikasi'!X69='Kunci Adjudikasi'!AD69)+('Kunci Adjudikasi'!$E$1&gt;=4)*('Kunci Adjudikasi'!X69&lt;&gt;"")*('Kunci Adjudikasi'!AJ69&lt;&gt;"")*('Kunci Adjudikasi'!X69='Kunci Adjudikasi'!AJ69)+('Kunci Adjudikasi'!$E$1&gt;=4)*('Kunci Adjudikasi'!AD69&lt;&gt;"")*('Kunci Adjudikasi'!AJ69&lt;&gt;"")*('Kunci Adjudikasi'!AD69='Kunci Adjudikasi'!AJ69)))/(L69-1),0)</f>
        <v>0</v>
      </c>
      <c r="N69" s="20">
        <f>(LEFT('Kunci Adjudikasi'!N69,2)="R0")+(LEFT('Kunci Adjudikasi'!T69,2)="R0")+('Kunci Adjudikasi'!$E$1&gt;=3)*(LEFT('Kunci Adjudikasi'!Z69,2)="R0")+('Kunci Adjudikasi'!$E$1&gt;=4)*(LEFT('Kunci Adjudikasi'!AF69,2)="R0")</f>
        <v>0</v>
      </c>
      <c r="O69" s="20">
        <f>(LEFT('Kunci Adjudikasi'!N69,2)="R1")+(LEFT('Kunci Adjudikasi'!T69,2)="R1")+('Kunci Adjudikasi'!$E$1&gt;=3)*(LEFT('Kunci Adjudikasi'!Z69,2)="R1")+('Kunci Adjudikasi'!$E$1&gt;=4)*(LEFT('Kunci Adjudikasi'!AF69,2)="R1")</f>
        <v>0</v>
      </c>
      <c r="P69" s="20">
        <f>(LEFT('Kunci Adjudikasi'!N69,2)="R2")+(LEFT('Kunci Adjudikasi'!T69,2)="R2")+('Kunci Adjudikasi'!$E$1&gt;=3)*(LEFT('Kunci Adjudikasi'!Z69,2)="R2")+('Kunci Adjudikasi'!$E$1&gt;=4)*(LEFT('Kunci Adjudikasi'!AF69,2)="R2")</f>
        <v>0</v>
      </c>
      <c r="Q69" s="20">
        <f t="shared" si="43"/>
        <v>0</v>
      </c>
      <c r="R69" s="20">
        <f t="shared" si="44"/>
        <v>0</v>
      </c>
      <c r="S69" s="20">
        <f t="shared" si="45"/>
        <v>0</v>
      </c>
    </row>
    <row r="70">
      <c r="A70" s="20">
        <f>'Kunci Adjudikasi'!A70</f>
        <v>67</v>
      </c>
      <c r="B70" s="20">
        <f>('Kunci Adjudikasi'!M70&lt;&gt;"")+('Kunci Adjudikasi'!S70&lt;&gt;"")+('Kunci Adjudikasi'!$E$1&gt;=3)*('Kunci Adjudikasi'!Y70&lt;&gt;"")+('Kunci Adjudikasi'!$E$1&gt;=4)*('Kunci Adjudikasi'!AE70&lt;&gt;"")</f>
        <v>1</v>
      </c>
      <c r="C70" s="20">
        <f>IF(B70&gt;=2,(B70*(B70-1)/2-(('Kunci Adjudikasi'!M70&lt;&gt;"")*('Kunci Adjudikasi'!S70&lt;&gt;"")*('Kunci Adjudikasi'!M70='Kunci Adjudikasi'!S70)+('Kunci Adjudikasi'!$E$1&gt;=3)*('Kunci Adjudikasi'!M70&lt;&gt;"")*('Kunci Adjudikasi'!Y70&lt;&gt;"")*('Kunci Adjudikasi'!M70='Kunci Adjudikasi'!Y70)+('Kunci Adjudikasi'!$E$1&gt;=4)*('Kunci Adjudikasi'!M70&lt;&gt;"")*('Kunci Adjudikasi'!AE70&lt;&gt;"")*('Kunci Adjudikasi'!M70='Kunci Adjudikasi'!AE70)+('Kunci Adjudikasi'!$E$1&gt;=3)*('Kunci Adjudikasi'!S70&lt;&gt;"")*('Kunci Adjudikasi'!Y70&lt;&gt;"")*('Kunci Adjudikasi'!S70='Kunci Adjudikasi'!Y70)+('Kunci Adjudikasi'!$E$1&gt;=4)*('Kunci Adjudikasi'!S70&lt;&gt;"")*('Kunci Adjudikasi'!AE70&lt;&gt;"")*('Kunci Adjudikasi'!S70='Kunci Adjudikasi'!AE70)+('Kunci Adjudikasi'!$E$1&gt;=4)*('Kunci Adjudikasi'!Y70&lt;&gt;"")*('Kunci Adjudikasi'!AE70&lt;&gt;"")*('Kunci Adjudikasi'!Y70='Kunci Adjudikasi'!AE70)))/(B70-1),0)</f>
        <v>0</v>
      </c>
      <c r="D70" s="20">
        <f>('Kunci Adjudikasi'!N70&lt;&gt;"")+('Kunci Adjudikasi'!T70&lt;&gt;"")+('Kunci Adjudikasi'!$E$1&gt;=3)*('Kunci Adjudikasi'!Z70&lt;&gt;"")+('Kunci Adjudikasi'!$E$1&gt;=4)*('Kunci Adjudikasi'!AF70&lt;&gt;"")</f>
        <v>1</v>
      </c>
      <c r="E70" s="20">
        <f>IF(D70&gt;=2,(D70*(D70-1)/2-(('Kunci Adjudikasi'!N70&lt;&gt;"")*('Kunci Adjudikasi'!T70&lt;&gt;"")*('Kunci Adjudikasi'!N70='Kunci Adjudikasi'!T70)+('Kunci Adjudikasi'!$E$1&gt;=3)*('Kunci Adjudikasi'!N70&lt;&gt;"")*('Kunci Adjudikasi'!Z70&lt;&gt;"")*('Kunci Adjudikasi'!N70='Kunci Adjudikasi'!Z70)+('Kunci Adjudikasi'!$E$1&gt;=4)*('Kunci Adjudikasi'!N70&lt;&gt;"")*('Kunci Adjudikasi'!AF70&lt;&gt;"")*('Kunci Adjudikasi'!N70='Kunci Adjudikasi'!AF70)+('Kunci Adjudikasi'!$E$1&gt;=3)*('Kunci Adjudikasi'!T70&lt;&gt;"")*('Kunci Adjudikasi'!Z70&lt;&gt;"")*('Kunci Adjudikasi'!T70='Kunci Adjudikasi'!Z70)+('Kunci Adjudikasi'!$E$1&gt;=4)*('Kunci Adjudikasi'!T70&lt;&gt;"")*('Kunci Adjudikasi'!AF70&lt;&gt;"")*('Kunci Adjudikasi'!T70='Kunci Adjudikasi'!AF70)+('Kunci Adjudikasi'!$E$1&gt;=4)*('Kunci Adjudikasi'!Z70&lt;&gt;"")*('Kunci Adjudikasi'!AF70&lt;&gt;"")*('Kunci Adjudikasi'!Z70='Kunci Adjudikasi'!AF70)))/(D70-1),0)</f>
        <v>0</v>
      </c>
      <c r="F70" s="20">
        <f>('Kunci Adjudikasi'!O70&lt;&gt;"")+('Kunci Adjudikasi'!U70&lt;&gt;"")+('Kunci Adjudikasi'!$E$1&gt;=3)*('Kunci Adjudikasi'!AA70&lt;&gt;"")+('Kunci Adjudikasi'!$E$1&gt;=4)*('Kunci Adjudikasi'!AG70&lt;&gt;"")</f>
        <v>1</v>
      </c>
      <c r="G70" s="20">
        <f>IF(F70&gt;=2,(F70*(F70-1)/2-(('Kunci Adjudikasi'!O70&lt;&gt;"")*('Kunci Adjudikasi'!U70&lt;&gt;"")*('Kunci Adjudikasi'!O70='Kunci Adjudikasi'!U70)+('Kunci Adjudikasi'!$E$1&gt;=3)*('Kunci Adjudikasi'!O70&lt;&gt;"")*('Kunci Adjudikasi'!AA70&lt;&gt;"")*('Kunci Adjudikasi'!O70='Kunci Adjudikasi'!AA70)+('Kunci Adjudikasi'!$E$1&gt;=4)*('Kunci Adjudikasi'!O70&lt;&gt;"")*('Kunci Adjudikasi'!AG70&lt;&gt;"")*('Kunci Adjudikasi'!O70='Kunci Adjudikasi'!AG70)+('Kunci Adjudikasi'!$E$1&gt;=3)*('Kunci Adjudikasi'!U70&lt;&gt;"")*('Kunci Adjudikasi'!AA70&lt;&gt;"")*('Kunci Adjudikasi'!U70='Kunci Adjudikasi'!AA70)+('Kunci Adjudikasi'!$E$1&gt;=4)*('Kunci Adjudikasi'!U70&lt;&gt;"")*('Kunci Adjudikasi'!AG70&lt;&gt;"")*('Kunci Adjudikasi'!U70='Kunci Adjudikasi'!AG70)+('Kunci Adjudikasi'!$E$1&gt;=4)*('Kunci Adjudikasi'!AA70&lt;&gt;"")*('Kunci Adjudikasi'!AG70&lt;&gt;"")*('Kunci Adjudikasi'!AA70='Kunci Adjudikasi'!AG70)))/(F70-1),0)</f>
        <v>0</v>
      </c>
      <c r="H70" s="20">
        <f>('Kunci Adjudikasi'!P70&lt;&gt;"")+('Kunci Adjudikasi'!V70&lt;&gt;"")+('Kunci Adjudikasi'!$E$1&gt;=3)*('Kunci Adjudikasi'!AB70&lt;&gt;"")+('Kunci Adjudikasi'!$E$1&gt;=4)*('Kunci Adjudikasi'!AH70&lt;&gt;"")</f>
        <v>1</v>
      </c>
      <c r="I70" s="20">
        <f>IF(H70&gt;=2,(H70*(H70-1)/2-(('Kunci Adjudikasi'!P70&lt;&gt;"")*('Kunci Adjudikasi'!V70&lt;&gt;"")*('Kunci Adjudikasi'!P70='Kunci Adjudikasi'!V70)+('Kunci Adjudikasi'!$E$1&gt;=3)*('Kunci Adjudikasi'!P70&lt;&gt;"")*('Kunci Adjudikasi'!AB70&lt;&gt;"")*('Kunci Adjudikasi'!P70='Kunci Adjudikasi'!AB70)+('Kunci Adjudikasi'!$E$1&gt;=4)*('Kunci Adjudikasi'!P70&lt;&gt;"")*('Kunci Adjudikasi'!AH70&lt;&gt;"")*('Kunci Adjudikasi'!P70='Kunci Adjudikasi'!AH70)+('Kunci Adjudikasi'!$E$1&gt;=3)*('Kunci Adjudikasi'!V70&lt;&gt;"")*('Kunci Adjudikasi'!AB70&lt;&gt;"")*('Kunci Adjudikasi'!V70='Kunci Adjudikasi'!AB70)+('Kunci Adjudikasi'!$E$1&gt;=4)*('Kunci Adjudikasi'!V70&lt;&gt;"")*('Kunci Adjudikasi'!AH70&lt;&gt;"")*('Kunci Adjudikasi'!V70='Kunci Adjudikasi'!AH70)+('Kunci Adjudikasi'!$E$1&gt;=4)*('Kunci Adjudikasi'!AB70&lt;&gt;"")*('Kunci Adjudikasi'!AH70&lt;&gt;"")*('Kunci Adjudikasi'!AB70='Kunci Adjudikasi'!AH70)))/(H70-1),0)</f>
        <v>0</v>
      </c>
      <c r="J70" s="20">
        <f>('Kunci Adjudikasi'!Q70&lt;&gt;"")+('Kunci Adjudikasi'!W70&lt;&gt;"")+('Kunci Adjudikasi'!$E$1&gt;=3)*('Kunci Adjudikasi'!AC70&lt;&gt;"")+('Kunci Adjudikasi'!$E$1&gt;=4)*('Kunci Adjudikasi'!AI70&lt;&gt;"")</f>
        <v>1</v>
      </c>
      <c r="K70" s="20">
        <f>IF(J70&gt;=2,(J70*(J70-1)/2-(('Kunci Adjudikasi'!Q70&lt;&gt;"")*('Kunci Adjudikasi'!W70&lt;&gt;"")*('Kunci Adjudikasi'!Q70='Kunci Adjudikasi'!W70)+('Kunci Adjudikasi'!$E$1&gt;=3)*('Kunci Adjudikasi'!Q70&lt;&gt;"")*('Kunci Adjudikasi'!AC70&lt;&gt;"")*('Kunci Adjudikasi'!Q70='Kunci Adjudikasi'!AC70)+('Kunci Adjudikasi'!$E$1&gt;=4)*('Kunci Adjudikasi'!Q70&lt;&gt;"")*('Kunci Adjudikasi'!AI70&lt;&gt;"")*('Kunci Adjudikasi'!Q70='Kunci Adjudikasi'!AI70)+('Kunci Adjudikasi'!$E$1&gt;=3)*('Kunci Adjudikasi'!W70&lt;&gt;"")*('Kunci Adjudikasi'!AC70&lt;&gt;"")*('Kunci Adjudikasi'!W70='Kunci Adjudikasi'!AC70)+('Kunci Adjudikasi'!$E$1&gt;=4)*('Kunci Adjudikasi'!W70&lt;&gt;"")*('Kunci Adjudikasi'!AI70&lt;&gt;"")*('Kunci Adjudikasi'!W70='Kunci Adjudikasi'!AI70)+('Kunci Adjudikasi'!$E$1&gt;=4)*('Kunci Adjudikasi'!AC70&lt;&gt;"")*('Kunci Adjudikasi'!AI70&lt;&gt;"")*('Kunci Adjudikasi'!AC70='Kunci Adjudikasi'!AI70)))/(J70-1),0)</f>
        <v>0</v>
      </c>
      <c r="L70" s="20">
        <f>('Kunci Adjudikasi'!R70&lt;&gt;"")+('Kunci Adjudikasi'!X70&lt;&gt;"")+('Kunci Adjudikasi'!$E$1&gt;=3)*('Kunci Adjudikasi'!AD70&lt;&gt;"")+('Kunci Adjudikasi'!$E$1&gt;=4)*('Kunci Adjudikasi'!AJ70&lt;&gt;"")</f>
        <v>1</v>
      </c>
      <c r="M70" s="20">
        <f>IF(L70&gt;=2,(L70*(L70-1)/2-(('Kunci Adjudikasi'!R70&lt;&gt;"")*('Kunci Adjudikasi'!X70&lt;&gt;"")*('Kunci Adjudikasi'!R70='Kunci Adjudikasi'!X70)+('Kunci Adjudikasi'!$E$1&gt;=3)*('Kunci Adjudikasi'!R70&lt;&gt;"")*('Kunci Adjudikasi'!AD70&lt;&gt;"")*('Kunci Adjudikasi'!R70='Kunci Adjudikasi'!AD70)+('Kunci Adjudikasi'!$E$1&gt;=4)*('Kunci Adjudikasi'!R70&lt;&gt;"")*('Kunci Adjudikasi'!AJ70&lt;&gt;"")*('Kunci Adjudikasi'!R70='Kunci Adjudikasi'!AJ70)+('Kunci Adjudikasi'!$E$1&gt;=3)*('Kunci Adjudikasi'!X70&lt;&gt;"")*('Kunci Adjudikasi'!AD70&lt;&gt;"")*('Kunci Adjudikasi'!X70='Kunci Adjudikasi'!AD70)+('Kunci Adjudikasi'!$E$1&gt;=4)*('Kunci Adjudikasi'!X70&lt;&gt;"")*('Kunci Adjudikasi'!AJ70&lt;&gt;"")*('Kunci Adjudikasi'!X70='Kunci Adjudikasi'!AJ70)+('Kunci Adjudikasi'!$E$1&gt;=4)*('Kunci Adjudikasi'!AD70&lt;&gt;"")*('Kunci Adjudikasi'!AJ70&lt;&gt;"")*('Kunci Adjudikasi'!AD70='Kunci Adjudikasi'!AJ70)))/(L70-1),0)</f>
        <v>0</v>
      </c>
      <c r="N70" s="20">
        <f>(LEFT('Kunci Adjudikasi'!N70,2)="R0")+(LEFT('Kunci Adjudikasi'!T70,2)="R0")+('Kunci Adjudikasi'!$E$1&gt;=3)*(LEFT('Kunci Adjudikasi'!Z70,2)="R0")+('Kunci Adjudikasi'!$E$1&gt;=4)*(LEFT('Kunci Adjudikasi'!AF70,2)="R0")</f>
        <v>0</v>
      </c>
      <c r="O70" s="20">
        <f>(LEFT('Kunci Adjudikasi'!N70,2)="R1")+(LEFT('Kunci Adjudikasi'!T70,2)="R1")+('Kunci Adjudikasi'!$E$1&gt;=3)*(LEFT('Kunci Adjudikasi'!Z70,2)="R1")+('Kunci Adjudikasi'!$E$1&gt;=4)*(LEFT('Kunci Adjudikasi'!AF70,2)="R1")</f>
        <v>0</v>
      </c>
      <c r="P70" s="20">
        <f>(LEFT('Kunci Adjudikasi'!N70,2)="R2")+(LEFT('Kunci Adjudikasi'!T70,2)="R2")+('Kunci Adjudikasi'!$E$1&gt;=3)*(LEFT('Kunci Adjudikasi'!Z70,2)="R2")+('Kunci Adjudikasi'!$E$1&gt;=4)*(LEFT('Kunci Adjudikasi'!AF70,2)="R2")</f>
        <v>1</v>
      </c>
      <c r="Q70" s="20">
        <f t="shared" si="43"/>
        <v>0</v>
      </c>
      <c r="R70" s="20">
        <f t="shared" si="44"/>
        <v>0</v>
      </c>
      <c r="S70" s="20">
        <f t="shared" si="45"/>
        <v>0</v>
      </c>
    </row>
    <row r="71">
      <c r="A71" s="20">
        <f>'Kunci Adjudikasi'!A71</f>
        <v>68</v>
      </c>
      <c r="B71" s="20">
        <f>('Kunci Adjudikasi'!M71&lt;&gt;"")+('Kunci Adjudikasi'!S71&lt;&gt;"")+('Kunci Adjudikasi'!$E$1&gt;=3)*('Kunci Adjudikasi'!Y71&lt;&gt;"")+('Kunci Adjudikasi'!$E$1&gt;=4)*('Kunci Adjudikasi'!AE71&lt;&gt;"")</f>
        <v>0</v>
      </c>
      <c r="C71" s="20">
        <f>IF(B71&gt;=2,(B71*(B71-1)/2-(('Kunci Adjudikasi'!M71&lt;&gt;"")*('Kunci Adjudikasi'!S71&lt;&gt;"")*('Kunci Adjudikasi'!M71='Kunci Adjudikasi'!S71)+('Kunci Adjudikasi'!$E$1&gt;=3)*('Kunci Adjudikasi'!M71&lt;&gt;"")*('Kunci Adjudikasi'!Y71&lt;&gt;"")*('Kunci Adjudikasi'!M71='Kunci Adjudikasi'!Y71)+('Kunci Adjudikasi'!$E$1&gt;=4)*('Kunci Adjudikasi'!M71&lt;&gt;"")*('Kunci Adjudikasi'!AE71&lt;&gt;"")*('Kunci Adjudikasi'!M71='Kunci Adjudikasi'!AE71)+('Kunci Adjudikasi'!$E$1&gt;=3)*('Kunci Adjudikasi'!S71&lt;&gt;"")*('Kunci Adjudikasi'!Y71&lt;&gt;"")*('Kunci Adjudikasi'!S71='Kunci Adjudikasi'!Y71)+('Kunci Adjudikasi'!$E$1&gt;=4)*('Kunci Adjudikasi'!S71&lt;&gt;"")*('Kunci Adjudikasi'!AE71&lt;&gt;"")*('Kunci Adjudikasi'!S71='Kunci Adjudikasi'!AE71)+('Kunci Adjudikasi'!$E$1&gt;=4)*('Kunci Adjudikasi'!Y71&lt;&gt;"")*('Kunci Adjudikasi'!AE71&lt;&gt;"")*('Kunci Adjudikasi'!Y71='Kunci Adjudikasi'!AE71)))/(B71-1),0)</f>
        <v>0</v>
      </c>
      <c r="D71" s="20">
        <f>('Kunci Adjudikasi'!N71&lt;&gt;"")+('Kunci Adjudikasi'!T71&lt;&gt;"")+('Kunci Adjudikasi'!$E$1&gt;=3)*('Kunci Adjudikasi'!Z71&lt;&gt;"")+('Kunci Adjudikasi'!$E$1&gt;=4)*('Kunci Adjudikasi'!AF71&lt;&gt;"")</f>
        <v>0</v>
      </c>
      <c r="E71" s="20">
        <f>IF(D71&gt;=2,(D71*(D71-1)/2-(('Kunci Adjudikasi'!N71&lt;&gt;"")*('Kunci Adjudikasi'!T71&lt;&gt;"")*('Kunci Adjudikasi'!N71='Kunci Adjudikasi'!T71)+('Kunci Adjudikasi'!$E$1&gt;=3)*('Kunci Adjudikasi'!N71&lt;&gt;"")*('Kunci Adjudikasi'!Z71&lt;&gt;"")*('Kunci Adjudikasi'!N71='Kunci Adjudikasi'!Z71)+('Kunci Adjudikasi'!$E$1&gt;=4)*('Kunci Adjudikasi'!N71&lt;&gt;"")*('Kunci Adjudikasi'!AF71&lt;&gt;"")*('Kunci Adjudikasi'!N71='Kunci Adjudikasi'!AF71)+('Kunci Adjudikasi'!$E$1&gt;=3)*('Kunci Adjudikasi'!T71&lt;&gt;"")*('Kunci Adjudikasi'!Z71&lt;&gt;"")*('Kunci Adjudikasi'!T71='Kunci Adjudikasi'!Z71)+('Kunci Adjudikasi'!$E$1&gt;=4)*('Kunci Adjudikasi'!T71&lt;&gt;"")*('Kunci Adjudikasi'!AF71&lt;&gt;"")*('Kunci Adjudikasi'!T71='Kunci Adjudikasi'!AF71)+('Kunci Adjudikasi'!$E$1&gt;=4)*('Kunci Adjudikasi'!Z71&lt;&gt;"")*('Kunci Adjudikasi'!AF71&lt;&gt;"")*('Kunci Adjudikasi'!Z71='Kunci Adjudikasi'!AF71)))/(D71-1),0)</f>
        <v>0</v>
      </c>
      <c r="F71" s="20">
        <f>('Kunci Adjudikasi'!O71&lt;&gt;"")+('Kunci Adjudikasi'!U71&lt;&gt;"")+('Kunci Adjudikasi'!$E$1&gt;=3)*('Kunci Adjudikasi'!AA71&lt;&gt;"")+('Kunci Adjudikasi'!$E$1&gt;=4)*('Kunci Adjudikasi'!AG71&lt;&gt;"")</f>
        <v>0</v>
      </c>
      <c r="G71" s="20">
        <f>IF(F71&gt;=2,(F71*(F71-1)/2-(('Kunci Adjudikasi'!O71&lt;&gt;"")*('Kunci Adjudikasi'!U71&lt;&gt;"")*('Kunci Adjudikasi'!O71='Kunci Adjudikasi'!U71)+('Kunci Adjudikasi'!$E$1&gt;=3)*('Kunci Adjudikasi'!O71&lt;&gt;"")*('Kunci Adjudikasi'!AA71&lt;&gt;"")*('Kunci Adjudikasi'!O71='Kunci Adjudikasi'!AA71)+('Kunci Adjudikasi'!$E$1&gt;=4)*('Kunci Adjudikasi'!O71&lt;&gt;"")*('Kunci Adjudikasi'!AG71&lt;&gt;"")*('Kunci Adjudikasi'!O71='Kunci Adjudikasi'!AG71)+('Kunci Adjudikasi'!$E$1&gt;=3)*('Kunci Adjudikasi'!U71&lt;&gt;"")*('Kunci Adjudikasi'!AA71&lt;&gt;"")*('Kunci Adjudikasi'!U71='Kunci Adjudikasi'!AA71)+('Kunci Adjudikasi'!$E$1&gt;=4)*('Kunci Adjudikasi'!U71&lt;&gt;"")*('Kunci Adjudikasi'!AG71&lt;&gt;"")*('Kunci Adjudikasi'!U71='Kunci Adjudikasi'!AG71)+('Kunci Adjudikasi'!$E$1&gt;=4)*('Kunci Adjudikasi'!AA71&lt;&gt;"")*('Kunci Adjudikasi'!AG71&lt;&gt;"")*('Kunci Adjudikasi'!AA71='Kunci Adjudikasi'!AG71)))/(F71-1),0)</f>
        <v>0</v>
      </c>
      <c r="H71" s="20">
        <f>('Kunci Adjudikasi'!P71&lt;&gt;"")+('Kunci Adjudikasi'!V71&lt;&gt;"")+('Kunci Adjudikasi'!$E$1&gt;=3)*('Kunci Adjudikasi'!AB71&lt;&gt;"")+('Kunci Adjudikasi'!$E$1&gt;=4)*('Kunci Adjudikasi'!AH71&lt;&gt;"")</f>
        <v>0</v>
      </c>
      <c r="I71" s="20">
        <f>IF(H71&gt;=2,(H71*(H71-1)/2-(('Kunci Adjudikasi'!P71&lt;&gt;"")*('Kunci Adjudikasi'!V71&lt;&gt;"")*('Kunci Adjudikasi'!P71='Kunci Adjudikasi'!V71)+('Kunci Adjudikasi'!$E$1&gt;=3)*('Kunci Adjudikasi'!P71&lt;&gt;"")*('Kunci Adjudikasi'!AB71&lt;&gt;"")*('Kunci Adjudikasi'!P71='Kunci Adjudikasi'!AB71)+('Kunci Adjudikasi'!$E$1&gt;=4)*('Kunci Adjudikasi'!P71&lt;&gt;"")*('Kunci Adjudikasi'!AH71&lt;&gt;"")*('Kunci Adjudikasi'!P71='Kunci Adjudikasi'!AH71)+('Kunci Adjudikasi'!$E$1&gt;=3)*('Kunci Adjudikasi'!V71&lt;&gt;"")*('Kunci Adjudikasi'!AB71&lt;&gt;"")*('Kunci Adjudikasi'!V71='Kunci Adjudikasi'!AB71)+('Kunci Adjudikasi'!$E$1&gt;=4)*('Kunci Adjudikasi'!V71&lt;&gt;"")*('Kunci Adjudikasi'!AH71&lt;&gt;"")*('Kunci Adjudikasi'!V71='Kunci Adjudikasi'!AH71)+('Kunci Adjudikasi'!$E$1&gt;=4)*('Kunci Adjudikasi'!AB71&lt;&gt;"")*('Kunci Adjudikasi'!AH71&lt;&gt;"")*('Kunci Adjudikasi'!AB71='Kunci Adjudikasi'!AH71)))/(H71-1),0)</f>
        <v>0</v>
      </c>
      <c r="J71" s="20">
        <f>('Kunci Adjudikasi'!Q71&lt;&gt;"")+('Kunci Adjudikasi'!W71&lt;&gt;"")+('Kunci Adjudikasi'!$E$1&gt;=3)*('Kunci Adjudikasi'!AC71&lt;&gt;"")+('Kunci Adjudikasi'!$E$1&gt;=4)*('Kunci Adjudikasi'!AI71&lt;&gt;"")</f>
        <v>0</v>
      </c>
      <c r="K71" s="20">
        <f>IF(J71&gt;=2,(J71*(J71-1)/2-(('Kunci Adjudikasi'!Q71&lt;&gt;"")*('Kunci Adjudikasi'!W71&lt;&gt;"")*('Kunci Adjudikasi'!Q71='Kunci Adjudikasi'!W71)+('Kunci Adjudikasi'!$E$1&gt;=3)*('Kunci Adjudikasi'!Q71&lt;&gt;"")*('Kunci Adjudikasi'!AC71&lt;&gt;"")*('Kunci Adjudikasi'!Q71='Kunci Adjudikasi'!AC71)+('Kunci Adjudikasi'!$E$1&gt;=4)*('Kunci Adjudikasi'!Q71&lt;&gt;"")*('Kunci Adjudikasi'!AI71&lt;&gt;"")*('Kunci Adjudikasi'!Q71='Kunci Adjudikasi'!AI71)+('Kunci Adjudikasi'!$E$1&gt;=3)*('Kunci Adjudikasi'!W71&lt;&gt;"")*('Kunci Adjudikasi'!AC71&lt;&gt;"")*('Kunci Adjudikasi'!W71='Kunci Adjudikasi'!AC71)+('Kunci Adjudikasi'!$E$1&gt;=4)*('Kunci Adjudikasi'!W71&lt;&gt;"")*('Kunci Adjudikasi'!AI71&lt;&gt;"")*('Kunci Adjudikasi'!W71='Kunci Adjudikasi'!AI71)+('Kunci Adjudikasi'!$E$1&gt;=4)*('Kunci Adjudikasi'!AC71&lt;&gt;"")*('Kunci Adjudikasi'!AI71&lt;&gt;"")*('Kunci Adjudikasi'!AC71='Kunci Adjudikasi'!AI71)))/(J71-1),0)</f>
        <v>0</v>
      </c>
      <c r="L71" s="20">
        <f>('Kunci Adjudikasi'!R71&lt;&gt;"")+('Kunci Adjudikasi'!X71&lt;&gt;"")+('Kunci Adjudikasi'!$E$1&gt;=3)*('Kunci Adjudikasi'!AD71&lt;&gt;"")+('Kunci Adjudikasi'!$E$1&gt;=4)*('Kunci Adjudikasi'!AJ71&lt;&gt;"")</f>
        <v>0</v>
      </c>
      <c r="M71" s="20">
        <f>IF(L71&gt;=2,(L71*(L71-1)/2-(('Kunci Adjudikasi'!R71&lt;&gt;"")*('Kunci Adjudikasi'!X71&lt;&gt;"")*('Kunci Adjudikasi'!R71='Kunci Adjudikasi'!X71)+('Kunci Adjudikasi'!$E$1&gt;=3)*('Kunci Adjudikasi'!R71&lt;&gt;"")*('Kunci Adjudikasi'!AD71&lt;&gt;"")*('Kunci Adjudikasi'!R71='Kunci Adjudikasi'!AD71)+('Kunci Adjudikasi'!$E$1&gt;=4)*('Kunci Adjudikasi'!R71&lt;&gt;"")*('Kunci Adjudikasi'!AJ71&lt;&gt;"")*('Kunci Adjudikasi'!R71='Kunci Adjudikasi'!AJ71)+('Kunci Adjudikasi'!$E$1&gt;=3)*('Kunci Adjudikasi'!X71&lt;&gt;"")*('Kunci Adjudikasi'!AD71&lt;&gt;"")*('Kunci Adjudikasi'!X71='Kunci Adjudikasi'!AD71)+('Kunci Adjudikasi'!$E$1&gt;=4)*('Kunci Adjudikasi'!X71&lt;&gt;"")*('Kunci Adjudikasi'!AJ71&lt;&gt;"")*('Kunci Adjudikasi'!X71='Kunci Adjudikasi'!AJ71)+('Kunci Adjudikasi'!$E$1&gt;=4)*('Kunci Adjudikasi'!AD71&lt;&gt;"")*('Kunci Adjudikasi'!AJ71&lt;&gt;"")*('Kunci Adjudikasi'!AD71='Kunci Adjudikasi'!AJ71)))/(L71-1),0)</f>
        <v>0</v>
      </c>
      <c r="N71" s="20">
        <f>(LEFT('Kunci Adjudikasi'!N71,2)="R0")+(LEFT('Kunci Adjudikasi'!T71,2)="R0")+('Kunci Adjudikasi'!$E$1&gt;=3)*(LEFT('Kunci Adjudikasi'!Z71,2)="R0")+('Kunci Adjudikasi'!$E$1&gt;=4)*(LEFT('Kunci Adjudikasi'!AF71,2)="R0")</f>
        <v>0</v>
      </c>
      <c r="O71" s="20">
        <f>(LEFT('Kunci Adjudikasi'!N71,2)="R1")+(LEFT('Kunci Adjudikasi'!T71,2)="R1")+('Kunci Adjudikasi'!$E$1&gt;=3)*(LEFT('Kunci Adjudikasi'!Z71,2)="R1")+('Kunci Adjudikasi'!$E$1&gt;=4)*(LEFT('Kunci Adjudikasi'!AF71,2)="R1")</f>
        <v>0</v>
      </c>
      <c r="P71" s="20">
        <f>(LEFT('Kunci Adjudikasi'!N71,2)="R2")+(LEFT('Kunci Adjudikasi'!T71,2)="R2")+('Kunci Adjudikasi'!$E$1&gt;=3)*(LEFT('Kunci Adjudikasi'!Z71,2)="R2")+('Kunci Adjudikasi'!$E$1&gt;=4)*(LEFT('Kunci Adjudikasi'!AF71,2)="R2")</f>
        <v>0</v>
      </c>
      <c r="Q71" s="20">
        <f t="shared" si="43"/>
        <v>0</v>
      </c>
      <c r="R71" s="20">
        <f t="shared" si="44"/>
        <v>0</v>
      </c>
      <c r="S71" s="20">
        <f t="shared" si="45"/>
        <v>0</v>
      </c>
    </row>
    <row r="72">
      <c r="A72" s="20">
        <f>'Kunci Adjudikasi'!A72</f>
        <v>69</v>
      </c>
      <c r="B72" s="20">
        <f>('Kunci Adjudikasi'!M72&lt;&gt;"")+('Kunci Adjudikasi'!S72&lt;&gt;"")+('Kunci Adjudikasi'!$E$1&gt;=3)*('Kunci Adjudikasi'!Y72&lt;&gt;"")+('Kunci Adjudikasi'!$E$1&gt;=4)*('Kunci Adjudikasi'!AE72&lt;&gt;"")</f>
        <v>0</v>
      </c>
      <c r="C72" s="20">
        <f>IF(B72&gt;=2,(B72*(B72-1)/2-(('Kunci Adjudikasi'!M72&lt;&gt;"")*('Kunci Adjudikasi'!S72&lt;&gt;"")*('Kunci Adjudikasi'!M72='Kunci Adjudikasi'!S72)+('Kunci Adjudikasi'!$E$1&gt;=3)*('Kunci Adjudikasi'!M72&lt;&gt;"")*('Kunci Adjudikasi'!Y72&lt;&gt;"")*('Kunci Adjudikasi'!M72='Kunci Adjudikasi'!Y72)+('Kunci Adjudikasi'!$E$1&gt;=4)*('Kunci Adjudikasi'!M72&lt;&gt;"")*('Kunci Adjudikasi'!AE72&lt;&gt;"")*('Kunci Adjudikasi'!M72='Kunci Adjudikasi'!AE72)+('Kunci Adjudikasi'!$E$1&gt;=3)*('Kunci Adjudikasi'!S72&lt;&gt;"")*('Kunci Adjudikasi'!Y72&lt;&gt;"")*('Kunci Adjudikasi'!S72='Kunci Adjudikasi'!Y72)+('Kunci Adjudikasi'!$E$1&gt;=4)*('Kunci Adjudikasi'!S72&lt;&gt;"")*('Kunci Adjudikasi'!AE72&lt;&gt;"")*('Kunci Adjudikasi'!S72='Kunci Adjudikasi'!AE72)+('Kunci Adjudikasi'!$E$1&gt;=4)*('Kunci Adjudikasi'!Y72&lt;&gt;"")*('Kunci Adjudikasi'!AE72&lt;&gt;"")*('Kunci Adjudikasi'!Y72='Kunci Adjudikasi'!AE72)))/(B72-1),0)</f>
        <v>0</v>
      </c>
      <c r="D72" s="20">
        <f>('Kunci Adjudikasi'!N72&lt;&gt;"")+('Kunci Adjudikasi'!T72&lt;&gt;"")+('Kunci Adjudikasi'!$E$1&gt;=3)*('Kunci Adjudikasi'!Z72&lt;&gt;"")+('Kunci Adjudikasi'!$E$1&gt;=4)*('Kunci Adjudikasi'!AF72&lt;&gt;"")</f>
        <v>0</v>
      </c>
      <c r="E72" s="20">
        <f>IF(D72&gt;=2,(D72*(D72-1)/2-(('Kunci Adjudikasi'!N72&lt;&gt;"")*('Kunci Adjudikasi'!T72&lt;&gt;"")*('Kunci Adjudikasi'!N72='Kunci Adjudikasi'!T72)+('Kunci Adjudikasi'!$E$1&gt;=3)*('Kunci Adjudikasi'!N72&lt;&gt;"")*('Kunci Adjudikasi'!Z72&lt;&gt;"")*('Kunci Adjudikasi'!N72='Kunci Adjudikasi'!Z72)+('Kunci Adjudikasi'!$E$1&gt;=4)*('Kunci Adjudikasi'!N72&lt;&gt;"")*('Kunci Adjudikasi'!AF72&lt;&gt;"")*('Kunci Adjudikasi'!N72='Kunci Adjudikasi'!AF72)+('Kunci Adjudikasi'!$E$1&gt;=3)*('Kunci Adjudikasi'!T72&lt;&gt;"")*('Kunci Adjudikasi'!Z72&lt;&gt;"")*('Kunci Adjudikasi'!T72='Kunci Adjudikasi'!Z72)+('Kunci Adjudikasi'!$E$1&gt;=4)*('Kunci Adjudikasi'!T72&lt;&gt;"")*('Kunci Adjudikasi'!AF72&lt;&gt;"")*('Kunci Adjudikasi'!T72='Kunci Adjudikasi'!AF72)+('Kunci Adjudikasi'!$E$1&gt;=4)*('Kunci Adjudikasi'!Z72&lt;&gt;"")*('Kunci Adjudikasi'!AF72&lt;&gt;"")*('Kunci Adjudikasi'!Z72='Kunci Adjudikasi'!AF72)))/(D72-1),0)</f>
        <v>0</v>
      </c>
      <c r="F72" s="20">
        <f>('Kunci Adjudikasi'!O72&lt;&gt;"")+('Kunci Adjudikasi'!U72&lt;&gt;"")+('Kunci Adjudikasi'!$E$1&gt;=3)*('Kunci Adjudikasi'!AA72&lt;&gt;"")+('Kunci Adjudikasi'!$E$1&gt;=4)*('Kunci Adjudikasi'!AG72&lt;&gt;"")</f>
        <v>0</v>
      </c>
      <c r="G72" s="20">
        <f>IF(F72&gt;=2,(F72*(F72-1)/2-(('Kunci Adjudikasi'!O72&lt;&gt;"")*('Kunci Adjudikasi'!U72&lt;&gt;"")*('Kunci Adjudikasi'!O72='Kunci Adjudikasi'!U72)+('Kunci Adjudikasi'!$E$1&gt;=3)*('Kunci Adjudikasi'!O72&lt;&gt;"")*('Kunci Adjudikasi'!AA72&lt;&gt;"")*('Kunci Adjudikasi'!O72='Kunci Adjudikasi'!AA72)+('Kunci Adjudikasi'!$E$1&gt;=4)*('Kunci Adjudikasi'!O72&lt;&gt;"")*('Kunci Adjudikasi'!AG72&lt;&gt;"")*('Kunci Adjudikasi'!O72='Kunci Adjudikasi'!AG72)+('Kunci Adjudikasi'!$E$1&gt;=3)*('Kunci Adjudikasi'!U72&lt;&gt;"")*('Kunci Adjudikasi'!AA72&lt;&gt;"")*('Kunci Adjudikasi'!U72='Kunci Adjudikasi'!AA72)+('Kunci Adjudikasi'!$E$1&gt;=4)*('Kunci Adjudikasi'!U72&lt;&gt;"")*('Kunci Adjudikasi'!AG72&lt;&gt;"")*('Kunci Adjudikasi'!U72='Kunci Adjudikasi'!AG72)+('Kunci Adjudikasi'!$E$1&gt;=4)*('Kunci Adjudikasi'!AA72&lt;&gt;"")*('Kunci Adjudikasi'!AG72&lt;&gt;"")*('Kunci Adjudikasi'!AA72='Kunci Adjudikasi'!AG72)))/(F72-1),0)</f>
        <v>0</v>
      </c>
      <c r="H72" s="20">
        <f>('Kunci Adjudikasi'!P72&lt;&gt;"")+('Kunci Adjudikasi'!V72&lt;&gt;"")+('Kunci Adjudikasi'!$E$1&gt;=3)*('Kunci Adjudikasi'!AB72&lt;&gt;"")+('Kunci Adjudikasi'!$E$1&gt;=4)*('Kunci Adjudikasi'!AH72&lt;&gt;"")</f>
        <v>0</v>
      </c>
      <c r="I72" s="20">
        <f>IF(H72&gt;=2,(H72*(H72-1)/2-(('Kunci Adjudikasi'!P72&lt;&gt;"")*('Kunci Adjudikasi'!V72&lt;&gt;"")*('Kunci Adjudikasi'!P72='Kunci Adjudikasi'!V72)+('Kunci Adjudikasi'!$E$1&gt;=3)*('Kunci Adjudikasi'!P72&lt;&gt;"")*('Kunci Adjudikasi'!AB72&lt;&gt;"")*('Kunci Adjudikasi'!P72='Kunci Adjudikasi'!AB72)+('Kunci Adjudikasi'!$E$1&gt;=4)*('Kunci Adjudikasi'!P72&lt;&gt;"")*('Kunci Adjudikasi'!AH72&lt;&gt;"")*('Kunci Adjudikasi'!P72='Kunci Adjudikasi'!AH72)+('Kunci Adjudikasi'!$E$1&gt;=3)*('Kunci Adjudikasi'!V72&lt;&gt;"")*('Kunci Adjudikasi'!AB72&lt;&gt;"")*('Kunci Adjudikasi'!V72='Kunci Adjudikasi'!AB72)+('Kunci Adjudikasi'!$E$1&gt;=4)*('Kunci Adjudikasi'!V72&lt;&gt;"")*('Kunci Adjudikasi'!AH72&lt;&gt;"")*('Kunci Adjudikasi'!V72='Kunci Adjudikasi'!AH72)+('Kunci Adjudikasi'!$E$1&gt;=4)*('Kunci Adjudikasi'!AB72&lt;&gt;"")*('Kunci Adjudikasi'!AH72&lt;&gt;"")*('Kunci Adjudikasi'!AB72='Kunci Adjudikasi'!AH72)))/(H72-1),0)</f>
        <v>0</v>
      </c>
      <c r="J72" s="20">
        <f>('Kunci Adjudikasi'!Q72&lt;&gt;"")+('Kunci Adjudikasi'!W72&lt;&gt;"")+('Kunci Adjudikasi'!$E$1&gt;=3)*('Kunci Adjudikasi'!AC72&lt;&gt;"")+('Kunci Adjudikasi'!$E$1&gt;=4)*('Kunci Adjudikasi'!AI72&lt;&gt;"")</f>
        <v>0</v>
      </c>
      <c r="K72" s="20">
        <f>IF(J72&gt;=2,(J72*(J72-1)/2-(('Kunci Adjudikasi'!Q72&lt;&gt;"")*('Kunci Adjudikasi'!W72&lt;&gt;"")*('Kunci Adjudikasi'!Q72='Kunci Adjudikasi'!W72)+('Kunci Adjudikasi'!$E$1&gt;=3)*('Kunci Adjudikasi'!Q72&lt;&gt;"")*('Kunci Adjudikasi'!AC72&lt;&gt;"")*('Kunci Adjudikasi'!Q72='Kunci Adjudikasi'!AC72)+('Kunci Adjudikasi'!$E$1&gt;=4)*('Kunci Adjudikasi'!Q72&lt;&gt;"")*('Kunci Adjudikasi'!AI72&lt;&gt;"")*('Kunci Adjudikasi'!Q72='Kunci Adjudikasi'!AI72)+('Kunci Adjudikasi'!$E$1&gt;=3)*('Kunci Adjudikasi'!W72&lt;&gt;"")*('Kunci Adjudikasi'!AC72&lt;&gt;"")*('Kunci Adjudikasi'!W72='Kunci Adjudikasi'!AC72)+('Kunci Adjudikasi'!$E$1&gt;=4)*('Kunci Adjudikasi'!W72&lt;&gt;"")*('Kunci Adjudikasi'!AI72&lt;&gt;"")*('Kunci Adjudikasi'!W72='Kunci Adjudikasi'!AI72)+('Kunci Adjudikasi'!$E$1&gt;=4)*('Kunci Adjudikasi'!AC72&lt;&gt;"")*('Kunci Adjudikasi'!AI72&lt;&gt;"")*('Kunci Adjudikasi'!AC72='Kunci Adjudikasi'!AI72)))/(J72-1),0)</f>
        <v>0</v>
      </c>
      <c r="L72" s="20">
        <f>('Kunci Adjudikasi'!R72&lt;&gt;"")+('Kunci Adjudikasi'!X72&lt;&gt;"")+('Kunci Adjudikasi'!$E$1&gt;=3)*('Kunci Adjudikasi'!AD72&lt;&gt;"")+('Kunci Adjudikasi'!$E$1&gt;=4)*('Kunci Adjudikasi'!AJ72&lt;&gt;"")</f>
        <v>0</v>
      </c>
      <c r="M72" s="20">
        <f>IF(L72&gt;=2,(L72*(L72-1)/2-(('Kunci Adjudikasi'!R72&lt;&gt;"")*('Kunci Adjudikasi'!X72&lt;&gt;"")*('Kunci Adjudikasi'!R72='Kunci Adjudikasi'!X72)+('Kunci Adjudikasi'!$E$1&gt;=3)*('Kunci Adjudikasi'!R72&lt;&gt;"")*('Kunci Adjudikasi'!AD72&lt;&gt;"")*('Kunci Adjudikasi'!R72='Kunci Adjudikasi'!AD72)+('Kunci Adjudikasi'!$E$1&gt;=4)*('Kunci Adjudikasi'!R72&lt;&gt;"")*('Kunci Adjudikasi'!AJ72&lt;&gt;"")*('Kunci Adjudikasi'!R72='Kunci Adjudikasi'!AJ72)+('Kunci Adjudikasi'!$E$1&gt;=3)*('Kunci Adjudikasi'!X72&lt;&gt;"")*('Kunci Adjudikasi'!AD72&lt;&gt;"")*('Kunci Adjudikasi'!X72='Kunci Adjudikasi'!AD72)+('Kunci Adjudikasi'!$E$1&gt;=4)*('Kunci Adjudikasi'!X72&lt;&gt;"")*('Kunci Adjudikasi'!AJ72&lt;&gt;"")*('Kunci Adjudikasi'!X72='Kunci Adjudikasi'!AJ72)+('Kunci Adjudikasi'!$E$1&gt;=4)*('Kunci Adjudikasi'!AD72&lt;&gt;"")*('Kunci Adjudikasi'!AJ72&lt;&gt;"")*('Kunci Adjudikasi'!AD72='Kunci Adjudikasi'!AJ72)))/(L72-1),0)</f>
        <v>0</v>
      </c>
      <c r="N72" s="20">
        <f>(LEFT('Kunci Adjudikasi'!N72,2)="R0")+(LEFT('Kunci Adjudikasi'!T72,2)="R0")+('Kunci Adjudikasi'!$E$1&gt;=3)*(LEFT('Kunci Adjudikasi'!Z72,2)="R0")+('Kunci Adjudikasi'!$E$1&gt;=4)*(LEFT('Kunci Adjudikasi'!AF72,2)="R0")</f>
        <v>0</v>
      </c>
      <c r="O72" s="20">
        <f>(LEFT('Kunci Adjudikasi'!N72,2)="R1")+(LEFT('Kunci Adjudikasi'!T72,2)="R1")+('Kunci Adjudikasi'!$E$1&gt;=3)*(LEFT('Kunci Adjudikasi'!Z72,2)="R1")+('Kunci Adjudikasi'!$E$1&gt;=4)*(LEFT('Kunci Adjudikasi'!AF72,2)="R1")</f>
        <v>0</v>
      </c>
      <c r="P72" s="20">
        <f>(LEFT('Kunci Adjudikasi'!N72,2)="R2")+(LEFT('Kunci Adjudikasi'!T72,2)="R2")+('Kunci Adjudikasi'!$E$1&gt;=3)*(LEFT('Kunci Adjudikasi'!Z72,2)="R2")+('Kunci Adjudikasi'!$E$1&gt;=4)*(LEFT('Kunci Adjudikasi'!AF72,2)="R2")</f>
        <v>0</v>
      </c>
      <c r="Q72" s="20">
        <f t="shared" si="43"/>
        <v>0</v>
      </c>
      <c r="R72" s="20">
        <f t="shared" si="44"/>
        <v>0</v>
      </c>
      <c r="S72" s="20">
        <f t="shared" si="45"/>
        <v>0</v>
      </c>
    </row>
    <row r="73">
      <c r="A73" s="20">
        <f>'Kunci Adjudikasi'!A73</f>
        <v>70</v>
      </c>
      <c r="B73" s="20">
        <f>('Kunci Adjudikasi'!M73&lt;&gt;"")+('Kunci Adjudikasi'!S73&lt;&gt;"")+('Kunci Adjudikasi'!$E$1&gt;=3)*('Kunci Adjudikasi'!Y73&lt;&gt;"")+('Kunci Adjudikasi'!$E$1&gt;=4)*('Kunci Adjudikasi'!AE73&lt;&gt;"")</f>
        <v>1</v>
      </c>
      <c r="C73" s="20">
        <f>IF(B73&gt;=2,(B73*(B73-1)/2-(('Kunci Adjudikasi'!M73&lt;&gt;"")*('Kunci Adjudikasi'!S73&lt;&gt;"")*('Kunci Adjudikasi'!M73='Kunci Adjudikasi'!S73)+('Kunci Adjudikasi'!$E$1&gt;=3)*('Kunci Adjudikasi'!M73&lt;&gt;"")*('Kunci Adjudikasi'!Y73&lt;&gt;"")*('Kunci Adjudikasi'!M73='Kunci Adjudikasi'!Y73)+('Kunci Adjudikasi'!$E$1&gt;=4)*('Kunci Adjudikasi'!M73&lt;&gt;"")*('Kunci Adjudikasi'!AE73&lt;&gt;"")*('Kunci Adjudikasi'!M73='Kunci Adjudikasi'!AE73)+('Kunci Adjudikasi'!$E$1&gt;=3)*('Kunci Adjudikasi'!S73&lt;&gt;"")*('Kunci Adjudikasi'!Y73&lt;&gt;"")*('Kunci Adjudikasi'!S73='Kunci Adjudikasi'!Y73)+('Kunci Adjudikasi'!$E$1&gt;=4)*('Kunci Adjudikasi'!S73&lt;&gt;"")*('Kunci Adjudikasi'!AE73&lt;&gt;"")*('Kunci Adjudikasi'!S73='Kunci Adjudikasi'!AE73)+('Kunci Adjudikasi'!$E$1&gt;=4)*('Kunci Adjudikasi'!Y73&lt;&gt;"")*('Kunci Adjudikasi'!AE73&lt;&gt;"")*('Kunci Adjudikasi'!Y73='Kunci Adjudikasi'!AE73)))/(B73-1),0)</f>
        <v>0</v>
      </c>
      <c r="D73" s="20">
        <f>('Kunci Adjudikasi'!N73&lt;&gt;"")+('Kunci Adjudikasi'!T73&lt;&gt;"")+('Kunci Adjudikasi'!$E$1&gt;=3)*('Kunci Adjudikasi'!Z73&lt;&gt;"")+('Kunci Adjudikasi'!$E$1&gt;=4)*('Kunci Adjudikasi'!AF73&lt;&gt;"")</f>
        <v>1</v>
      </c>
      <c r="E73" s="20">
        <f>IF(D73&gt;=2,(D73*(D73-1)/2-(('Kunci Adjudikasi'!N73&lt;&gt;"")*('Kunci Adjudikasi'!T73&lt;&gt;"")*('Kunci Adjudikasi'!N73='Kunci Adjudikasi'!T73)+('Kunci Adjudikasi'!$E$1&gt;=3)*('Kunci Adjudikasi'!N73&lt;&gt;"")*('Kunci Adjudikasi'!Z73&lt;&gt;"")*('Kunci Adjudikasi'!N73='Kunci Adjudikasi'!Z73)+('Kunci Adjudikasi'!$E$1&gt;=4)*('Kunci Adjudikasi'!N73&lt;&gt;"")*('Kunci Adjudikasi'!AF73&lt;&gt;"")*('Kunci Adjudikasi'!N73='Kunci Adjudikasi'!AF73)+('Kunci Adjudikasi'!$E$1&gt;=3)*('Kunci Adjudikasi'!T73&lt;&gt;"")*('Kunci Adjudikasi'!Z73&lt;&gt;"")*('Kunci Adjudikasi'!T73='Kunci Adjudikasi'!Z73)+('Kunci Adjudikasi'!$E$1&gt;=4)*('Kunci Adjudikasi'!T73&lt;&gt;"")*('Kunci Adjudikasi'!AF73&lt;&gt;"")*('Kunci Adjudikasi'!T73='Kunci Adjudikasi'!AF73)+('Kunci Adjudikasi'!$E$1&gt;=4)*('Kunci Adjudikasi'!Z73&lt;&gt;"")*('Kunci Adjudikasi'!AF73&lt;&gt;"")*('Kunci Adjudikasi'!Z73='Kunci Adjudikasi'!AF73)))/(D73-1),0)</f>
        <v>0</v>
      </c>
      <c r="F73" s="20">
        <f>('Kunci Adjudikasi'!O73&lt;&gt;"")+('Kunci Adjudikasi'!U73&lt;&gt;"")+('Kunci Adjudikasi'!$E$1&gt;=3)*('Kunci Adjudikasi'!AA73&lt;&gt;"")+('Kunci Adjudikasi'!$E$1&gt;=4)*('Kunci Adjudikasi'!AG73&lt;&gt;"")</f>
        <v>1</v>
      </c>
      <c r="G73" s="20">
        <f>IF(F73&gt;=2,(F73*(F73-1)/2-(('Kunci Adjudikasi'!O73&lt;&gt;"")*('Kunci Adjudikasi'!U73&lt;&gt;"")*('Kunci Adjudikasi'!O73='Kunci Adjudikasi'!U73)+('Kunci Adjudikasi'!$E$1&gt;=3)*('Kunci Adjudikasi'!O73&lt;&gt;"")*('Kunci Adjudikasi'!AA73&lt;&gt;"")*('Kunci Adjudikasi'!O73='Kunci Adjudikasi'!AA73)+('Kunci Adjudikasi'!$E$1&gt;=4)*('Kunci Adjudikasi'!O73&lt;&gt;"")*('Kunci Adjudikasi'!AG73&lt;&gt;"")*('Kunci Adjudikasi'!O73='Kunci Adjudikasi'!AG73)+('Kunci Adjudikasi'!$E$1&gt;=3)*('Kunci Adjudikasi'!U73&lt;&gt;"")*('Kunci Adjudikasi'!AA73&lt;&gt;"")*('Kunci Adjudikasi'!U73='Kunci Adjudikasi'!AA73)+('Kunci Adjudikasi'!$E$1&gt;=4)*('Kunci Adjudikasi'!U73&lt;&gt;"")*('Kunci Adjudikasi'!AG73&lt;&gt;"")*('Kunci Adjudikasi'!U73='Kunci Adjudikasi'!AG73)+('Kunci Adjudikasi'!$E$1&gt;=4)*('Kunci Adjudikasi'!AA73&lt;&gt;"")*('Kunci Adjudikasi'!AG73&lt;&gt;"")*('Kunci Adjudikasi'!AA73='Kunci Adjudikasi'!AG73)))/(F73-1),0)</f>
        <v>0</v>
      </c>
      <c r="H73" s="20">
        <f>('Kunci Adjudikasi'!P73&lt;&gt;"")+('Kunci Adjudikasi'!V73&lt;&gt;"")+('Kunci Adjudikasi'!$E$1&gt;=3)*('Kunci Adjudikasi'!AB73&lt;&gt;"")+('Kunci Adjudikasi'!$E$1&gt;=4)*('Kunci Adjudikasi'!AH73&lt;&gt;"")</f>
        <v>1</v>
      </c>
      <c r="I73" s="20">
        <f>IF(H73&gt;=2,(H73*(H73-1)/2-(('Kunci Adjudikasi'!P73&lt;&gt;"")*('Kunci Adjudikasi'!V73&lt;&gt;"")*('Kunci Adjudikasi'!P73='Kunci Adjudikasi'!V73)+('Kunci Adjudikasi'!$E$1&gt;=3)*('Kunci Adjudikasi'!P73&lt;&gt;"")*('Kunci Adjudikasi'!AB73&lt;&gt;"")*('Kunci Adjudikasi'!P73='Kunci Adjudikasi'!AB73)+('Kunci Adjudikasi'!$E$1&gt;=4)*('Kunci Adjudikasi'!P73&lt;&gt;"")*('Kunci Adjudikasi'!AH73&lt;&gt;"")*('Kunci Adjudikasi'!P73='Kunci Adjudikasi'!AH73)+('Kunci Adjudikasi'!$E$1&gt;=3)*('Kunci Adjudikasi'!V73&lt;&gt;"")*('Kunci Adjudikasi'!AB73&lt;&gt;"")*('Kunci Adjudikasi'!V73='Kunci Adjudikasi'!AB73)+('Kunci Adjudikasi'!$E$1&gt;=4)*('Kunci Adjudikasi'!V73&lt;&gt;"")*('Kunci Adjudikasi'!AH73&lt;&gt;"")*('Kunci Adjudikasi'!V73='Kunci Adjudikasi'!AH73)+('Kunci Adjudikasi'!$E$1&gt;=4)*('Kunci Adjudikasi'!AB73&lt;&gt;"")*('Kunci Adjudikasi'!AH73&lt;&gt;"")*('Kunci Adjudikasi'!AB73='Kunci Adjudikasi'!AH73)))/(H73-1),0)</f>
        <v>0</v>
      </c>
      <c r="J73" s="20">
        <f>('Kunci Adjudikasi'!Q73&lt;&gt;"")+('Kunci Adjudikasi'!W73&lt;&gt;"")+('Kunci Adjudikasi'!$E$1&gt;=3)*('Kunci Adjudikasi'!AC73&lt;&gt;"")+('Kunci Adjudikasi'!$E$1&gt;=4)*('Kunci Adjudikasi'!AI73&lt;&gt;"")</f>
        <v>1</v>
      </c>
      <c r="K73" s="20">
        <f>IF(J73&gt;=2,(J73*(J73-1)/2-(('Kunci Adjudikasi'!Q73&lt;&gt;"")*('Kunci Adjudikasi'!W73&lt;&gt;"")*('Kunci Adjudikasi'!Q73='Kunci Adjudikasi'!W73)+('Kunci Adjudikasi'!$E$1&gt;=3)*('Kunci Adjudikasi'!Q73&lt;&gt;"")*('Kunci Adjudikasi'!AC73&lt;&gt;"")*('Kunci Adjudikasi'!Q73='Kunci Adjudikasi'!AC73)+('Kunci Adjudikasi'!$E$1&gt;=4)*('Kunci Adjudikasi'!Q73&lt;&gt;"")*('Kunci Adjudikasi'!AI73&lt;&gt;"")*('Kunci Adjudikasi'!Q73='Kunci Adjudikasi'!AI73)+('Kunci Adjudikasi'!$E$1&gt;=3)*('Kunci Adjudikasi'!W73&lt;&gt;"")*('Kunci Adjudikasi'!AC73&lt;&gt;"")*('Kunci Adjudikasi'!W73='Kunci Adjudikasi'!AC73)+('Kunci Adjudikasi'!$E$1&gt;=4)*('Kunci Adjudikasi'!W73&lt;&gt;"")*('Kunci Adjudikasi'!AI73&lt;&gt;"")*('Kunci Adjudikasi'!W73='Kunci Adjudikasi'!AI73)+('Kunci Adjudikasi'!$E$1&gt;=4)*('Kunci Adjudikasi'!AC73&lt;&gt;"")*('Kunci Adjudikasi'!AI73&lt;&gt;"")*('Kunci Adjudikasi'!AC73='Kunci Adjudikasi'!AI73)))/(J73-1),0)</f>
        <v>0</v>
      </c>
      <c r="L73" s="20">
        <f>('Kunci Adjudikasi'!R73&lt;&gt;"")+('Kunci Adjudikasi'!X73&lt;&gt;"")+('Kunci Adjudikasi'!$E$1&gt;=3)*('Kunci Adjudikasi'!AD73&lt;&gt;"")+('Kunci Adjudikasi'!$E$1&gt;=4)*('Kunci Adjudikasi'!AJ73&lt;&gt;"")</f>
        <v>1</v>
      </c>
      <c r="M73" s="20">
        <f>IF(L73&gt;=2,(L73*(L73-1)/2-(('Kunci Adjudikasi'!R73&lt;&gt;"")*('Kunci Adjudikasi'!X73&lt;&gt;"")*('Kunci Adjudikasi'!R73='Kunci Adjudikasi'!X73)+('Kunci Adjudikasi'!$E$1&gt;=3)*('Kunci Adjudikasi'!R73&lt;&gt;"")*('Kunci Adjudikasi'!AD73&lt;&gt;"")*('Kunci Adjudikasi'!R73='Kunci Adjudikasi'!AD73)+('Kunci Adjudikasi'!$E$1&gt;=4)*('Kunci Adjudikasi'!R73&lt;&gt;"")*('Kunci Adjudikasi'!AJ73&lt;&gt;"")*('Kunci Adjudikasi'!R73='Kunci Adjudikasi'!AJ73)+('Kunci Adjudikasi'!$E$1&gt;=3)*('Kunci Adjudikasi'!X73&lt;&gt;"")*('Kunci Adjudikasi'!AD73&lt;&gt;"")*('Kunci Adjudikasi'!X73='Kunci Adjudikasi'!AD73)+('Kunci Adjudikasi'!$E$1&gt;=4)*('Kunci Adjudikasi'!X73&lt;&gt;"")*('Kunci Adjudikasi'!AJ73&lt;&gt;"")*('Kunci Adjudikasi'!X73='Kunci Adjudikasi'!AJ73)+('Kunci Adjudikasi'!$E$1&gt;=4)*('Kunci Adjudikasi'!AD73&lt;&gt;"")*('Kunci Adjudikasi'!AJ73&lt;&gt;"")*('Kunci Adjudikasi'!AD73='Kunci Adjudikasi'!AJ73)))/(L73-1),0)</f>
        <v>0</v>
      </c>
      <c r="N73" s="20">
        <f>(LEFT('Kunci Adjudikasi'!N73,2)="R0")+(LEFT('Kunci Adjudikasi'!T73,2)="R0")+('Kunci Adjudikasi'!$E$1&gt;=3)*(LEFT('Kunci Adjudikasi'!Z73,2)="R0")+('Kunci Adjudikasi'!$E$1&gt;=4)*(LEFT('Kunci Adjudikasi'!AF73,2)="R0")</f>
        <v>0</v>
      </c>
      <c r="O73" s="20">
        <f>(LEFT('Kunci Adjudikasi'!N73,2)="R1")+(LEFT('Kunci Adjudikasi'!T73,2)="R1")+('Kunci Adjudikasi'!$E$1&gt;=3)*(LEFT('Kunci Adjudikasi'!Z73,2)="R1")+('Kunci Adjudikasi'!$E$1&gt;=4)*(LEFT('Kunci Adjudikasi'!AF73,2)="R1")</f>
        <v>0</v>
      </c>
      <c r="P73" s="20">
        <f>(LEFT('Kunci Adjudikasi'!N73,2)="R2")+(LEFT('Kunci Adjudikasi'!T73,2)="R2")+('Kunci Adjudikasi'!$E$1&gt;=3)*(LEFT('Kunci Adjudikasi'!Z73,2)="R2")+('Kunci Adjudikasi'!$E$1&gt;=4)*(LEFT('Kunci Adjudikasi'!AF73,2)="R2")</f>
        <v>1</v>
      </c>
      <c r="Q73" s="20">
        <f t="shared" si="43"/>
        <v>0</v>
      </c>
      <c r="R73" s="20">
        <f t="shared" si="44"/>
        <v>0</v>
      </c>
      <c r="S73" s="20">
        <f t="shared" si="45"/>
        <v>0</v>
      </c>
    </row>
    <row r="74">
      <c r="A74" s="20">
        <f>'Kunci Adjudikasi'!A74</f>
        <v>71</v>
      </c>
      <c r="B74" s="20">
        <f>('Kunci Adjudikasi'!M74&lt;&gt;"")+('Kunci Adjudikasi'!S74&lt;&gt;"")+('Kunci Adjudikasi'!$E$1&gt;=3)*('Kunci Adjudikasi'!Y74&lt;&gt;"")+('Kunci Adjudikasi'!$E$1&gt;=4)*('Kunci Adjudikasi'!AE74&lt;&gt;"")</f>
        <v>0</v>
      </c>
      <c r="C74" s="20">
        <f>IF(B74&gt;=2,(B74*(B74-1)/2-(('Kunci Adjudikasi'!M74&lt;&gt;"")*('Kunci Adjudikasi'!S74&lt;&gt;"")*('Kunci Adjudikasi'!M74='Kunci Adjudikasi'!S74)+('Kunci Adjudikasi'!$E$1&gt;=3)*('Kunci Adjudikasi'!M74&lt;&gt;"")*('Kunci Adjudikasi'!Y74&lt;&gt;"")*('Kunci Adjudikasi'!M74='Kunci Adjudikasi'!Y74)+('Kunci Adjudikasi'!$E$1&gt;=4)*('Kunci Adjudikasi'!M74&lt;&gt;"")*('Kunci Adjudikasi'!AE74&lt;&gt;"")*('Kunci Adjudikasi'!M74='Kunci Adjudikasi'!AE74)+('Kunci Adjudikasi'!$E$1&gt;=3)*('Kunci Adjudikasi'!S74&lt;&gt;"")*('Kunci Adjudikasi'!Y74&lt;&gt;"")*('Kunci Adjudikasi'!S74='Kunci Adjudikasi'!Y74)+('Kunci Adjudikasi'!$E$1&gt;=4)*('Kunci Adjudikasi'!S74&lt;&gt;"")*('Kunci Adjudikasi'!AE74&lt;&gt;"")*('Kunci Adjudikasi'!S74='Kunci Adjudikasi'!AE74)+('Kunci Adjudikasi'!$E$1&gt;=4)*('Kunci Adjudikasi'!Y74&lt;&gt;"")*('Kunci Adjudikasi'!AE74&lt;&gt;"")*('Kunci Adjudikasi'!Y74='Kunci Adjudikasi'!AE74)))/(B74-1),0)</f>
        <v>0</v>
      </c>
      <c r="D74" s="20">
        <f>('Kunci Adjudikasi'!N74&lt;&gt;"")+('Kunci Adjudikasi'!T74&lt;&gt;"")+('Kunci Adjudikasi'!$E$1&gt;=3)*('Kunci Adjudikasi'!Z74&lt;&gt;"")+('Kunci Adjudikasi'!$E$1&gt;=4)*('Kunci Adjudikasi'!AF74&lt;&gt;"")</f>
        <v>0</v>
      </c>
      <c r="E74" s="20">
        <f>IF(D74&gt;=2,(D74*(D74-1)/2-(('Kunci Adjudikasi'!N74&lt;&gt;"")*('Kunci Adjudikasi'!T74&lt;&gt;"")*('Kunci Adjudikasi'!N74='Kunci Adjudikasi'!T74)+('Kunci Adjudikasi'!$E$1&gt;=3)*('Kunci Adjudikasi'!N74&lt;&gt;"")*('Kunci Adjudikasi'!Z74&lt;&gt;"")*('Kunci Adjudikasi'!N74='Kunci Adjudikasi'!Z74)+('Kunci Adjudikasi'!$E$1&gt;=4)*('Kunci Adjudikasi'!N74&lt;&gt;"")*('Kunci Adjudikasi'!AF74&lt;&gt;"")*('Kunci Adjudikasi'!N74='Kunci Adjudikasi'!AF74)+('Kunci Adjudikasi'!$E$1&gt;=3)*('Kunci Adjudikasi'!T74&lt;&gt;"")*('Kunci Adjudikasi'!Z74&lt;&gt;"")*('Kunci Adjudikasi'!T74='Kunci Adjudikasi'!Z74)+('Kunci Adjudikasi'!$E$1&gt;=4)*('Kunci Adjudikasi'!T74&lt;&gt;"")*('Kunci Adjudikasi'!AF74&lt;&gt;"")*('Kunci Adjudikasi'!T74='Kunci Adjudikasi'!AF74)+('Kunci Adjudikasi'!$E$1&gt;=4)*('Kunci Adjudikasi'!Z74&lt;&gt;"")*('Kunci Adjudikasi'!AF74&lt;&gt;"")*('Kunci Adjudikasi'!Z74='Kunci Adjudikasi'!AF74)))/(D74-1),0)</f>
        <v>0</v>
      </c>
      <c r="F74" s="20">
        <f>('Kunci Adjudikasi'!O74&lt;&gt;"")+('Kunci Adjudikasi'!U74&lt;&gt;"")+('Kunci Adjudikasi'!$E$1&gt;=3)*('Kunci Adjudikasi'!AA74&lt;&gt;"")+('Kunci Adjudikasi'!$E$1&gt;=4)*('Kunci Adjudikasi'!AG74&lt;&gt;"")</f>
        <v>0</v>
      </c>
      <c r="G74" s="20">
        <f>IF(F74&gt;=2,(F74*(F74-1)/2-(('Kunci Adjudikasi'!O74&lt;&gt;"")*('Kunci Adjudikasi'!U74&lt;&gt;"")*('Kunci Adjudikasi'!O74='Kunci Adjudikasi'!U74)+('Kunci Adjudikasi'!$E$1&gt;=3)*('Kunci Adjudikasi'!O74&lt;&gt;"")*('Kunci Adjudikasi'!AA74&lt;&gt;"")*('Kunci Adjudikasi'!O74='Kunci Adjudikasi'!AA74)+('Kunci Adjudikasi'!$E$1&gt;=4)*('Kunci Adjudikasi'!O74&lt;&gt;"")*('Kunci Adjudikasi'!AG74&lt;&gt;"")*('Kunci Adjudikasi'!O74='Kunci Adjudikasi'!AG74)+('Kunci Adjudikasi'!$E$1&gt;=3)*('Kunci Adjudikasi'!U74&lt;&gt;"")*('Kunci Adjudikasi'!AA74&lt;&gt;"")*('Kunci Adjudikasi'!U74='Kunci Adjudikasi'!AA74)+('Kunci Adjudikasi'!$E$1&gt;=4)*('Kunci Adjudikasi'!U74&lt;&gt;"")*('Kunci Adjudikasi'!AG74&lt;&gt;"")*('Kunci Adjudikasi'!U74='Kunci Adjudikasi'!AG74)+('Kunci Adjudikasi'!$E$1&gt;=4)*('Kunci Adjudikasi'!AA74&lt;&gt;"")*('Kunci Adjudikasi'!AG74&lt;&gt;"")*('Kunci Adjudikasi'!AA74='Kunci Adjudikasi'!AG74)))/(F74-1),0)</f>
        <v>0</v>
      </c>
      <c r="H74" s="20">
        <f>('Kunci Adjudikasi'!P74&lt;&gt;"")+('Kunci Adjudikasi'!V74&lt;&gt;"")+('Kunci Adjudikasi'!$E$1&gt;=3)*('Kunci Adjudikasi'!AB74&lt;&gt;"")+('Kunci Adjudikasi'!$E$1&gt;=4)*('Kunci Adjudikasi'!AH74&lt;&gt;"")</f>
        <v>0</v>
      </c>
      <c r="I74" s="20">
        <f>IF(H74&gt;=2,(H74*(H74-1)/2-(('Kunci Adjudikasi'!P74&lt;&gt;"")*('Kunci Adjudikasi'!V74&lt;&gt;"")*('Kunci Adjudikasi'!P74='Kunci Adjudikasi'!V74)+('Kunci Adjudikasi'!$E$1&gt;=3)*('Kunci Adjudikasi'!P74&lt;&gt;"")*('Kunci Adjudikasi'!AB74&lt;&gt;"")*('Kunci Adjudikasi'!P74='Kunci Adjudikasi'!AB74)+('Kunci Adjudikasi'!$E$1&gt;=4)*('Kunci Adjudikasi'!P74&lt;&gt;"")*('Kunci Adjudikasi'!AH74&lt;&gt;"")*('Kunci Adjudikasi'!P74='Kunci Adjudikasi'!AH74)+('Kunci Adjudikasi'!$E$1&gt;=3)*('Kunci Adjudikasi'!V74&lt;&gt;"")*('Kunci Adjudikasi'!AB74&lt;&gt;"")*('Kunci Adjudikasi'!V74='Kunci Adjudikasi'!AB74)+('Kunci Adjudikasi'!$E$1&gt;=4)*('Kunci Adjudikasi'!V74&lt;&gt;"")*('Kunci Adjudikasi'!AH74&lt;&gt;"")*('Kunci Adjudikasi'!V74='Kunci Adjudikasi'!AH74)+('Kunci Adjudikasi'!$E$1&gt;=4)*('Kunci Adjudikasi'!AB74&lt;&gt;"")*('Kunci Adjudikasi'!AH74&lt;&gt;"")*('Kunci Adjudikasi'!AB74='Kunci Adjudikasi'!AH74)))/(H74-1),0)</f>
        <v>0</v>
      </c>
      <c r="J74" s="20">
        <f>('Kunci Adjudikasi'!Q74&lt;&gt;"")+('Kunci Adjudikasi'!W74&lt;&gt;"")+('Kunci Adjudikasi'!$E$1&gt;=3)*('Kunci Adjudikasi'!AC74&lt;&gt;"")+('Kunci Adjudikasi'!$E$1&gt;=4)*('Kunci Adjudikasi'!AI74&lt;&gt;"")</f>
        <v>0</v>
      </c>
      <c r="K74" s="20">
        <f>IF(J74&gt;=2,(J74*(J74-1)/2-(('Kunci Adjudikasi'!Q74&lt;&gt;"")*('Kunci Adjudikasi'!W74&lt;&gt;"")*('Kunci Adjudikasi'!Q74='Kunci Adjudikasi'!W74)+('Kunci Adjudikasi'!$E$1&gt;=3)*('Kunci Adjudikasi'!Q74&lt;&gt;"")*('Kunci Adjudikasi'!AC74&lt;&gt;"")*('Kunci Adjudikasi'!Q74='Kunci Adjudikasi'!AC74)+('Kunci Adjudikasi'!$E$1&gt;=4)*('Kunci Adjudikasi'!Q74&lt;&gt;"")*('Kunci Adjudikasi'!AI74&lt;&gt;"")*('Kunci Adjudikasi'!Q74='Kunci Adjudikasi'!AI74)+('Kunci Adjudikasi'!$E$1&gt;=3)*('Kunci Adjudikasi'!W74&lt;&gt;"")*('Kunci Adjudikasi'!AC74&lt;&gt;"")*('Kunci Adjudikasi'!W74='Kunci Adjudikasi'!AC74)+('Kunci Adjudikasi'!$E$1&gt;=4)*('Kunci Adjudikasi'!W74&lt;&gt;"")*('Kunci Adjudikasi'!AI74&lt;&gt;"")*('Kunci Adjudikasi'!W74='Kunci Adjudikasi'!AI74)+('Kunci Adjudikasi'!$E$1&gt;=4)*('Kunci Adjudikasi'!AC74&lt;&gt;"")*('Kunci Adjudikasi'!AI74&lt;&gt;"")*('Kunci Adjudikasi'!AC74='Kunci Adjudikasi'!AI74)))/(J74-1),0)</f>
        <v>0</v>
      </c>
      <c r="L74" s="20">
        <f>('Kunci Adjudikasi'!R74&lt;&gt;"")+('Kunci Adjudikasi'!X74&lt;&gt;"")+('Kunci Adjudikasi'!$E$1&gt;=3)*('Kunci Adjudikasi'!AD74&lt;&gt;"")+('Kunci Adjudikasi'!$E$1&gt;=4)*('Kunci Adjudikasi'!AJ74&lt;&gt;"")</f>
        <v>0</v>
      </c>
      <c r="M74" s="20">
        <f>IF(L74&gt;=2,(L74*(L74-1)/2-(('Kunci Adjudikasi'!R74&lt;&gt;"")*('Kunci Adjudikasi'!X74&lt;&gt;"")*('Kunci Adjudikasi'!R74='Kunci Adjudikasi'!X74)+('Kunci Adjudikasi'!$E$1&gt;=3)*('Kunci Adjudikasi'!R74&lt;&gt;"")*('Kunci Adjudikasi'!AD74&lt;&gt;"")*('Kunci Adjudikasi'!R74='Kunci Adjudikasi'!AD74)+('Kunci Adjudikasi'!$E$1&gt;=4)*('Kunci Adjudikasi'!R74&lt;&gt;"")*('Kunci Adjudikasi'!AJ74&lt;&gt;"")*('Kunci Adjudikasi'!R74='Kunci Adjudikasi'!AJ74)+('Kunci Adjudikasi'!$E$1&gt;=3)*('Kunci Adjudikasi'!X74&lt;&gt;"")*('Kunci Adjudikasi'!AD74&lt;&gt;"")*('Kunci Adjudikasi'!X74='Kunci Adjudikasi'!AD74)+('Kunci Adjudikasi'!$E$1&gt;=4)*('Kunci Adjudikasi'!X74&lt;&gt;"")*('Kunci Adjudikasi'!AJ74&lt;&gt;"")*('Kunci Adjudikasi'!X74='Kunci Adjudikasi'!AJ74)+('Kunci Adjudikasi'!$E$1&gt;=4)*('Kunci Adjudikasi'!AD74&lt;&gt;"")*('Kunci Adjudikasi'!AJ74&lt;&gt;"")*('Kunci Adjudikasi'!AD74='Kunci Adjudikasi'!AJ74)))/(L74-1),0)</f>
        <v>0</v>
      </c>
      <c r="N74" s="20">
        <f>(LEFT('Kunci Adjudikasi'!N74,2)="R0")+(LEFT('Kunci Adjudikasi'!T74,2)="R0")+('Kunci Adjudikasi'!$E$1&gt;=3)*(LEFT('Kunci Adjudikasi'!Z74,2)="R0")+('Kunci Adjudikasi'!$E$1&gt;=4)*(LEFT('Kunci Adjudikasi'!AF74,2)="R0")</f>
        <v>0</v>
      </c>
      <c r="O74" s="20">
        <f>(LEFT('Kunci Adjudikasi'!N74,2)="R1")+(LEFT('Kunci Adjudikasi'!T74,2)="R1")+('Kunci Adjudikasi'!$E$1&gt;=3)*(LEFT('Kunci Adjudikasi'!Z74,2)="R1")+('Kunci Adjudikasi'!$E$1&gt;=4)*(LEFT('Kunci Adjudikasi'!AF74,2)="R1")</f>
        <v>0</v>
      </c>
      <c r="P74" s="20">
        <f>(LEFT('Kunci Adjudikasi'!N74,2)="R2")+(LEFT('Kunci Adjudikasi'!T74,2)="R2")+('Kunci Adjudikasi'!$E$1&gt;=3)*(LEFT('Kunci Adjudikasi'!Z74,2)="R2")+('Kunci Adjudikasi'!$E$1&gt;=4)*(LEFT('Kunci Adjudikasi'!AF74,2)="R2")</f>
        <v>0</v>
      </c>
      <c r="Q74" s="20">
        <f t="shared" ref="Q74:Q89" si="46">IF(D74&gt;=2,N74*O74/(D74-1),0)</f>
        <v>0</v>
      </c>
      <c r="R74" s="20">
        <f t="shared" ref="R74:R89" si="47">IF(D74&gt;=2,O74*P74/(D74-1),0)</f>
        <v>0</v>
      </c>
      <c r="S74" s="20">
        <f t="shared" ref="S74:S89" si="48">IF(D74&gt;=2,N74*P74/(D74-1),0)</f>
        <v>0</v>
      </c>
    </row>
    <row r="75">
      <c r="A75" s="20">
        <f>'Kunci Adjudikasi'!A75</f>
        <v>72</v>
      </c>
      <c r="B75" s="20">
        <f>('Kunci Adjudikasi'!M75&lt;&gt;"")+('Kunci Adjudikasi'!S75&lt;&gt;"")+('Kunci Adjudikasi'!$E$1&gt;=3)*('Kunci Adjudikasi'!Y75&lt;&gt;"")+('Kunci Adjudikasi'!$E$1&gt;=4)*('Kunci Adjudikasi'!AE75&lt;&gt;"")</f>
        <v>0</v>
      </c>
      <c r="C75" s="20">
        <f>IF(B75&gt;=2,(B75*(B75-1)/2-(('Kunci Adjudikasi'!M75&lt;&gt;"")*('Kunci Adjudikasi'!S75&lt;&gt;"")*('Kunci Adjudikasi'!M75='Kunci Adjudikasi'!S75)+('Kunci Adjudikasi'!$E$1&gt;=3)*('Kunci Adjudikasi'!M75&lt;&gt;"")*('Kunci Adjudikasi'!Y75&lt;&gt;"")*('Kunci Adjudikasi'!M75='Kunci Adjudikasi'!Y75)+('Kunci Adjudikasi'!$E$1&gt;=4)*('Kunci Adjudikasi'!M75&lt;&gt;"")*('Kunci Adjudikasi'!AE75&lt;&gt;"")*('Kunci Adjudikasi'!M75='Kunci Adjudikasi'!AE75)+('Kunci Adjudikasi'!$E$1&gt;=3)*('Kunci Adjudikasi'!S75&lt;&gt;"")*('Kunci Adjudikasi'!Y75&lt;&gt;"")*('Kunci Adjudikasi'!S75='Kunci Adjudikasi'!Y75)+('Kunci Adjudikasi'!$E$1&gt;=4)*('Kunci Adjudikasi'!S75&lt;&gt;"")*('Kunci Adjudikasi'!AE75&lt;&gt;"")*('Kunci Adjudikasi'!S75='Kunci Adjudikasi'!AE75)+('Kunci Adjudikasi'!$E$1&gt;=4)*('Kunci Adjudikasi'!Y75&lt;&gt;"")*('Kunci Adjudikasi'!AE75&lt;&gt;"")*('Kunci Adjudikasi'!Y75='Kunci Adjudikasi'!AE75)))/(B75-1),0)</f>
        <v>0</v>
      </c>
      <c r="D75" s="20">
        <f>('Kunci Adjudikasi'!N75&lt;&gt;"")+('Kunci Adjudikasi'!T75&lt;&gt;"")+('Kunci Adjudikasi'!$E$1&gt;=3)*('Kunci Adjudikasi'!Z75&lt;&gt;"")+('Kunci Adjudikasi'!$E$1&gt;=4)*('Kunci Adjudikasi'!AF75&lt;&gt;"")</f>
        <v>0</v>
      </c>
      <c r="E75" s="20">
        <f>IF(D75&gt;=2,(D75*(D75-1)/2-(('Kunci Adjudikasi'!N75&lt;&gt;"")*('Kunci Adjudikasi'!T75&lt;&gt;"")*('Kunci Adjudikasi'!N75='Kunci Adjudikasi'!T75)+('Kunci Adjudikasi'!$E$1&gt;=3)*('Kunci Adjudikasi'!N75&lt;&gt;"")*('Kunci Adjudikasi'!Z75&lt;&gt;"")*('Kunci Adjudikasi'!N75='Kunci Adjudikasi'!Z75)+('Kunci Adjudikasi'!$E$1&gt;=4)*('Kunci Adjudikasi'!N75&lt;&gt;"")*('Kunci Adjudikasi'!AF75&lt;&gt;"")*('Kunci Adjudikasi'!N75='Kunci Adjudikasi'!AF75)+('Kunci Adjudikasi'!$E$1&gt;=3)*('Kunci Adjudikasi'!T75&lt;&gt;"")*('Kunci Adjudikasi'!Z75&lt;&gt;"")*('Kunci Adjudikasi'!T75='Kunci Adjudikasi'!Z75)+('Kunci Adjudikasi'!$E$1&gt;=4)*('Kunci Adjudikasi'!T75&lt;&gt;"")*('Kunci Adjudikasi'!AF75&lt;&gt;"")*('Kunci Adjudikasi'!T75='Kunci Adjudikasi'!AF75)+('Kunci Adjudikasi'!$E$1&gt;=4)*('Kunci Adjudikasi'!Z75&lt;&gt;"")*('Kunci Adjudikasi'!AF75&lt;&gt;"")*('Kunci Adjudikasi'!Z75='Kunci Adjudikasi'!AF75)))/(D75-1),0)</f>
        <v>0</v>
      </c>
      <c r="F75" s="20">
        <f>('Kunci Adjudikasi'!O75&lt;&gt;"")+('Kunci Adjudikasi'!U75&lt;&gt;"")+('Kunci Adjudikasi'!$E$1&gt;=3)*('Kunci Adjudikasi'!AA75&lt;&gt;"")+('Kunci Adjudikasi'!$E$1&gt;=4)*('Kunci Adjudikasi'!AG75&lt;&gt;"")</f>
        <v>0</v>
      </c>
      <c r="G75" s="20">
        <f>IF(F75&gt;=2,(F75*(F75-1)/2-(('Kunci Adjudikasi'!O75&lt;&gt;"")*('Kunci Adjudikasi'!U75&lt;&gt;"")*('Kunci Adjudikasi'!O75='Kunci Adjudikasi'!U75)+('Kunci Adjudikasi'!$E$1&gt;=3)*('Kunci Adjudikasi'!O75&lt;&gt;"")*('Kunci Adjudikasi'!AA75&lt;&gt;"")*('Kunci Adjudikasi'!O75='Kunci Adjudikasi'!AA75)+('Kunci Adjudikasi'!$E$1&gt;=4)*('Kunci Adjudikasi'!O75&lt;&gt;"")*('Kunci Adjudikasi'!AG75&lt;&gt;"")*('Kunci Adjudikasi'!O75='Kunci Adjudikasi'!AG75)+('Kunci Adjudikasi'!$E$1&gt;=3)*('Kunci Adjudikasi'!U75&lt;&gt;"")*('Kunci Adjudikasi'!AA75&lt;&gt;"")*('Kunci Adjudikasi'!U75='Kunci Adjudikasi'!AA75)+('Kunci Adjudikasi'!$E$1&gt;=4)*('Kunci Adjudikasi'!U75&lt;&gt;"")*('Kunci Adjudikasi'!AG75&lt;&gt;"")*('Kunci Adjudikasi'!U75='Kunci Adjudikasi'!AG75)+('Kunci Adjudikasi'!$E$1&gt;=4)*('Kunci Adjudikasi'!AA75&lt;&gt;"")*('Kunci Adjudikasi'!AG75&lt;&gt;"")*('Kunci Adjudikasi'!AA75='Kunci Adjudikasi'!AG75)))/(F75-1),0)</f>
        <v>0</v>
      </c>
      <c r="H75" s="20">
        <f>('Kunci Adjudikasi'!P75&lt;&gt;"")+('Kunci Adjudikasi'!V75&lt;&gt;"")+('Kunci Adjudikasi'!$E$1&gt;=3)*('Kunci Adjudikasi'!AB75&lt;&gt;"")+('Kunci Adjudikasi'!$E$1&gt;=4)*('Kunci Adjudikasi'!AH75&lt;&gt;"")</f>
        <v>0</v>
      </c>
      <c r="I75" s="20">
        <f>IF(H75&gt;=2,(H75*(H75-1)/2-(('Kunci Adjudikasi'!P75&lt;&gt;"")*('Kunci Adjudikasi'!V75&lt;&gt;"")*('Kunci Adjudikasi'!P75='Kunci Adjudikasi'!V75)+('Kunci Adjudikasi'!$E$1&gt;=3)*('Kunci Adjudikasi'!P75&lt;&gt;"")*('Kunci Adjudikasi'!AB75&lt;&gt;"")*('Kunci Adjudikasi'!P75='Kunci Adjudikasi'!AB75)+('Kunci Adjudikasi'!$E$1&gt;=4)*('Kunci Adjudikasi'!P75&lt;&gt;"")*('Kunci Adjudikasi'!AH75&lt;&gt;"")*('Kunci Adjudikasi'!P75='Kunci Adjudikasi'!AH75)+('Kunci Adjudikasi'!$E$1&gt;=3)*('Kunci Adjudikasi'!V75&lt;&gt;"")*('Kunci Adjudikasi'!AB75&lt;&gt;"")*('Kunci Adjudikasi'!V75='Kunci Adjudikasi'!AB75)+('Kunci Adjudikasi'!$E$1&gt;=4)*('Kunci Adjudikasi'!V75&lt;&gt;"")*('Kunci Adjudikasi'!AH75&lt;&gt;"")*('Kunci Adjudikasi'!V75='Kunci Adjudikasi'!AH75)+('Kunci Adjudikasi'!$E$1&gt;=4)*('Kunci Adjudikasi'!AB75&lt;&gt;"")*('Kunci Adjudikasi'!AH75&lt;&gt;"")*('Kunci Adjudikasi'!AB75='Kunci Adjudikasi'!AH75)))/(H75-1),0)</f>
        <v>0</v>
      </c>
      <c r="J75" s="20">
        <f>('Kunci Adjudikasi'!Q75&lt;&gt;"")+('Kunci Adjudikasi'!W75&lt;&gt;"")+('Kunci Adjudikasi'!$E$1&gt;=3)*('Kunci Adjudikasi'!AC75&lt;&gt;"")+('Kunci Adjudikasi'!$E$1&gt;=4)*('Kunci Adjudikasi'!AI75&lt;&gt;"")</f>
        <v>0</v>
      </c>
      <c r="K75" s="20">
        <f>IF(J75&gt;=2,(J75*(J75-1)/2-(('Kunci Adjudikasi'!Q75&lt;&gt;"")*('Kunci Adjudikasi'!W75&lt;&gt;"")*('Kunci Adjudikasi'!Q75='Kunci Adjudikasi'!W75)+('Kunci Adjudikasi'!$E$1&gt;=3)*('Kunci Adjudikasi'!Q75&lt;&gt;"")*('Kunci Adjudikasi'!AC75&lt;&gt;"")*('Kunci Adjudikasi'!Q75='Kunci Adjudikasi'!AC75)+('Kunci Adjudikasi'!$E$1&gt;=4)*('Kunci Adjudikasi'!Q75&lt;&gt;"")*('Kunci Adjudikasi'!AI75&lt;&gt;"")*('Kunci Adjudikasi'!Q75='Kunci Adjudikasi'!AI75)+('Kunci Adjudikasi'!$E$1&gt;=3)*('Kunci Adjudikasi'!W75&lt;&gt;"")*('Kunci Adjudikasi'!AC75&lt;&gt;"")*('Kunci Adjudikasi'!W75='Kunci Adjudikasi'!AC75)+('Kunci Adjudikasi'!$E$1&gt;=4)*('Kunci Adjudikasi'!W75&lt;&gt;"")*('Kunci Adjudikasi'!AI75&lt;&gt;"")*('Kunci Adjudikasi'!W75='Kunci Adjudikasi'!AI75)+('Kunci Adjudikasi'!$E$1&gt;=4)*('Kunci Adjudikasi'!AC75&lt;&gt;"")*('Kunci Adjudikasi'!AI75&lt;&gt;"")*('Kunci Adjudikasi'!AC75='Kunci Adjudikasi'!AI75)))/(J75-1),0)</f>
        <v>0</v>
      </c>
      <c r="L75" s="20">
        <f>('Kunci Adjudikasi'!R75&lt;&gt;"")+('Kunci Adjudikasi'!X75&lt;&gt;"")+('Kunci Adjudikasi'!$E$1&gt;=3)*('Kunci Adjudikasi'!AD75&lt;&gt;"")+('Kunci Adjudikasi'!$E$1&gt;=4)*('Kunci Adjudikasi'!AJ75&lt;&gt;"")</f>
        <v>0</v>
      </c>
      <c r="M75" s="20">
        <f>IF(L75&gt;=2,(L75*(L75-1)/2-(('Kunci Adjudikasi'!R75&lt;&gt;"")*('Kunci Adjudikasi'!X75&lt;&gt;"")*('Kunci Adjudikasi'!R75='Kunci Adjudikasi'!X75)+('Kunci Adjudikasi'!$E$1&gt;=3)*('Kunci Adjudikasi'!R75&lt;&gt;"")*('Kunci Adjudikasi'!AD75&lt;&gt;"")*('Kunci Adjudikasi'!R75='Kunci Adjudikasi'!AD75)+('Kunci Adjudikasi'!$E$1&gt;=4)*('Kunci Adjudikasi'!R75&lt;&gt;"")*('Kunci Adjudikasi'!AJ75&lt;&gt;"")*('Kunci Adjudikasi'!R75='Kunci Adjudikasi'!AJ75)+('Kunci Adjudikasi'!$E$1&gt;=3)*('Kunci Adjudikasi'!X75&lt;&gt;"")*('Kunci Adjudikasi'!AD75&lt;&gt;"")*('Kunci Adjudikasi'!X75='Kunci Adjudikasi'!AD75)+('Kunci Adjudikasi'!$E$1&gt;=4)*('Kunci Adjudikasi'!X75&lt;&gt;"")*('Kunci Adjudikasi'!AJ75&lt;&gt;"")*('Kunci Adjudikasi'!X75='Kunci Adjudikasi'!AJ75)+('Kunci Adjudikasi'!$E$1&gt;=4)*('Kunci Adjudikasi'!AD75&lt;&gt;"")*('Kunci Adjudikasi'!AJ75&lt;&gt;"")*('Kunci Adjudikasi'!AD75='Kunci Adjudikasi'!AJ75)))/(L75-1),0)</f>
        <v>0</v>
      </c>
      <c r="N75" s="20">
        <f>(LEFT('Kunci Adjudikasi'!N75,2)="R0")+(LEFT('Kunci Adjudikasi'!T75,2)="R0")+('Kunci Adjudikasi'!$E$1&gt;=3)*(LEFT('Kunci Adjudikasi'!Z75,2)="R0")+('Kunci Adjudikasi'!$E$1&gt;=4)*(LEFT('Kunci Adjudikasi'!AF75,2)="R0")</f>
        <v>0</v>
      </c>
      <c r="O75" s="20">
        <f>(LEFT('Kunci Adjudikasi'!N75,2)="R1")+(LEFT('Kunci Adjudikasi'!T75,2)="R1")+('Kunci Adjudikasi'!$E$1&gt;=3)*(LEFT('Kunci Adjudikasi'!Z75,2)="R1")+('Kunci Adjudikasi'!$E$1&gt;=4)*(LEFT('Kunci Adjudikasi'!AF75,2)="R1")</f>
        <v>0</v>
      </c>
      <c r="P75" s="20">
        <f>(LEFT('Kunci Adjudikasi'!N75,2)="R2")+(LEFT('Kunci Adjudikasi'!T75,2)="R2")+('Kunci Adjudikasi'!$E$1&gt;=3)*(LEFT('Kunci Adjudikasi'!Z75,2)="R2")+('Kunci Adjudikasi'!$E$1&gt;=4)*(LEFT('Kunci Adjudikasi'!AF75,2)="R2")</f>
        <v>0</v>
      </c>
      <c r="Q75" s="20">
        <f t="shared" si="46"/>
        <v>0</v>
      </c>
      <c r="R75" s="20">
        <f t="shared" si="47"/>
        <v>0</v>
      </c>
      <c r="S75" s="20">
        <f t="shared" si="48"/>
        <v>0</v>
      </c>
    </row>
    <row r="76">
      <c r="A76" s="20">
        <f>'Kunci Adjudikasi'!A76</f>
        <v>73</v>
      </c>
      <c r="B76" s="20">
        <f>('Kunci Adjudikasi'!M76&lt;&gt;"")+('Kunci Adjudikasi'!S76&lt;&gt;"")+('Kunci Adjudikasi'!$E$1&gt;=3)*('Kunci Adjudikasi'!Y76&lt;&gt;"")+('Kunci Adjudikasi'!$E$1&gt;=4)*('Kunci Adjudikasi'!AE76&lt;&gt;"")</f>
        <v>0</v>
      </c>
      <c r="C76" s="20">
        <f>IF(B76&gt;=2,(B76*(B76-1)/2-(('Kunci Adjudikasi'!M76&lt;&gt;"")*('Kunci Adjudikasi'!S76&lt;&gt;"")*('Kunci Adjudikasi'!M76='Kunci Adjudikasi'!S76)+('Kunci Adjudikasi'!$E$1&gt;=3)*('Kunci Adjudikasi'!M76&lt;&gt;"")*('Kunci Adjudikasi'!Y76&lt;&gt;"")*('Kunci Adjudikasi'!M76='Kunci Adjudikasi'!Y76)+('Kunci Adjudikasi'!$E$1&gt;=4)*('Kunci Adjudikasi'!M76&lt;&gt;"")*('Kunci Adjudikasi'!AE76&lt;&gt;"")*('Kunci Adjudikasi'!M76='Kunci Adjudikasi'!AE76)+('Kunci Adjudikasi'!$E$1&gt;=3)*('Kunci Adjudikasi'!S76&lt;&gt;"")*('Kunci Adjudikasi'!Y76&lt;&gt;"")*('Kunci Adjudikasi'!S76='Kunci Adjudikasi'!Y76)+('Kunci Adjudikasi'!$E$1&gt;=4)*('Kunci Adjudikasi'!S76&lt;&gt;"")*('Kunci Adjudikasi'!AE76&lt;&gt;"")*('Kunci Adjudikasi'!S76='Kunci Adjudikasi'!AE76)+('Kunci Adjudikasi'!$E$1&gt;=4)*('Kunci Adjudikasi'!Y76&lt;&gt;"")*('Kunci Adjudikasi'!AE76&lt;&gt;"")*('Kunci Adjudikasi'!Y76='Kunci Adjudikasi'!AE76)))/(B76-1),0)</f>
        <v>0</v>
      </c>
      <c r="D76" s="20">
        <f>('Kunci Adjudikasi'!N76&lt;&gt;"")+('Kunci Adjudikasi'!T76&lt;&gt;"")+('Kunci Adjudikasi'!$E$1&gt;=3)*('Kunci Adjudikasi'!Z76&lt;&gt;"")+('Kunci Adjudikasi'!$E$1&gt;=4)*('Kunci Adjudikasi'!AF76&lt;&gt;"")</f>
        <v>0</v>
      </c>
      <c r="E76" s="20">
        <f>IF(D76&gt;=2,(D76*(D76-1)/2-(('Kunci Adjudikasi'!N76&lt;&gt;"")*('Kunci Adjudikasi'!T76&lt;&gt;"")*('Kunci Adjudikasi'!N76='Kunci Adjudikasi'!T76)+('Kunci Adjudikasi'!$E$1&gt;=3)*('Kunci Adjudikasi'!N76&lt;&gt;"")*('Kunci Adjudikasi'!Z76&lt;&gt;"")*('Kunci Adjudikasi'!N76='Kunci Adjudikasi'!Z76)+('Kunci Adjudikasi'!$E$1&gt;=4)*('Kunci Adjudikasi'!N76&lt;&gt;"")*('Kunci Adjudikasi'!AF76&lt;&gt;"")*('Kunci Adjudikasi'!N76='Kunci Adjudikasi'!AF76)+('Kunci Adjudikasi'!$E$1&gt;=3)*('Kunci Adjudikasi'!T76&lt;&gt;"")*('Kunci Adjudikasi'!Z76&lt;&gt;"")*('Kunci Adjudikasi'!T76='Kunci Adjudikasi'!Z76)+('Kunci Adjudikasi'!$E$1&gt;=4)*('Kunci Adjudikasi'!T76&lt;&gt;"")*('Kunci Adjudikasi'!AF76&lt;&gt;"")*('Kunci Adjudikasi'!T76='Kunci Adjudikasi'!AF76)+('Kunci Adjudikasi'!$E$1&gt;=4)*('Kunci Adjudikasi'!Z76&lt;&gt;"")*('Kunci Adjudikasi'!AF76&lt;&gt;"")*('Kunci Adjudikasi'!Z76='Kunci Adjudikasi'!AF76)))/(D76-1),0)</f>
        <v>0</v>
      </c>
      <c r="F76" s="20">
        <f>('Kunci Adjudikasi'!O76&lt;&gt;"")+('Kunci Adjudikasi'!U76&lt;&gt;"")+('Kunci Adjudikasi'!$E$1&gt;=3)*('Kunci Adjudikasi'!AA76&lt;&gt;"")+('Kunci Adjudikasi'!$E$1&gt;=4)*('Kunci Adjudikasi'!AG76&lt;&gt;"")</f>
        <v>0</v>
      </c>
      <c r="G76" s="20">
        <f>IF(F76&gt;=2,(F76*(F76-1)/2-(('Kunci Adjudikasi'!O76&lt;&gt;"")*('Kunci Adjudikasi'!U76&lt;&gt;"")*('Kunci Adjudikasi'!O76='Kunci Adjudikasi'!U76)+('Kunci Adjudikasi'!$E$1&gt;=3)*('Kunci Adjudikasi'!O76&lt;&gt;"")*('Kunci Adjudikasi'!AA76&lt;&gt;"")*('Kunci Adjudikasi'!O76='Kunci Adjudikasi'!AA76)+('Kunci Adjudikasi'!$E$1&gt;=4)*('Kunci Adjudikasi'!O76&lt;&gt;"")*('Kunci Adjudikasi'!AG76&lt;&gt;"")*('Kunci Adjudikasi'!O76='Kunci Adjudikasi'!AG76)+('Kunci Adjudikasi'!$E$1&gt;=3)*('Kunci Adjudikasi'!U76&lt;&gt;"")*('Kunci Adjudikasi'!AA76&lt;&gt;"")*('Kunci Adjudikasi'!U76='Kunci Adjudikasi'!AA76)+('Kunci Adjudikasi'!$E$1&gt;=4)*('Kunci Adjudikasi'!U76&lt;&gt;"")*('Kunci Adjudikasi'!AG76&lt;&gt;"")*('Kunci Adjudikasi'!U76='Kunci Adjudikasi'!AG76)+('Kunci Adjudikasi'!$E$1&gt;=4)*('Kunci Adjudikasi'!AA76&lt;&gt;"")*('Kunci Adjudikasi'!AG76&lt;&gt;"")*('Kunci Adjudikasi'!AA76='Kunci Adjudikasi'!AG76)))/(F76-1),0)</f>
        <v>0</v>
      </c>
      <c r="H76" s="20">
        <f>('Kunci Adjudikasi'!P76&lt;&gt;"")+('Kunci Adjudikasi'!V76&lt;&gt;"")+('Kunci Adjudikasi'!$E$1&gt;=3)*('Kunci Adjudikasi'!AB76&lt;&gt;"")+('Kunci Adjudikasi'!$E$1&gt;=4)*('Kunci Adjudikasi'!AH76&lt;&gt;"")</f>
        <v>0</v>
      </c>
      <c r="I76" s="20">
        <f>IF(H76&gt;=2,(H76*(H76-1)/2-(('Kunci Adjudikasi'!P76&lt;&gt;"")*('Kunci Adjudikasi'!V76&lt;&gt;"")*('Kunci Adjudikasi'!P76='Kunci Adjudikasi'!V76)+('Kunci Adjudikasi'!$E$1&gt;=3)*('Kunci Adjudikasi'!P76&lt;&gt;"")*('Kunci Adjudikasi'!AB76&lt;&gt;"")*('Kunci Adjudikasi'!P76='Kunci Adjudikasi'!AB76)+('Kunci Adjudikasi'!$E$1&gt;=4)*('Kunci Adjudikasi'!P76&lt;&gt;"")*('Kunci Adjudikasi'!AH76&lt;&gt;"")*('Kunci Adjudikasi'!P76='Kunci Adjudikasi'!AH76)+('Kunci Adjudikasi'!$E$1&gt;=3)*('Kunci Adjudikasi'!V76&lt;&gt;"")*('Kunci Adjudikasi'!AB76&lt;&gt;"")*('Kunci Adjudikasi'!V76='Kunci Adjudikasi'!AB76)+('Kunci Adjudikasi'!$E$1&gt;=4)*('Kunci Adjudikasi'!V76&lt;&gt;"")*('Kunci Adjudikasi'!AH76&lt;&gt;"")*('Kunci Adjudikasi'!V76='Kunci Adjudikasi'!AH76)+('Kunci Adjudikasi'!$E$1&gt;=4)*('Kunci Adjudikasi'!AB76&lt;&gt;"")*('Kunci Adjudikasi'!AH76&lt;&gt;"")*('Kunci Adjudikasi'!AB76='Kunci Adjudikasi'!AH76)))/(H76-1),0)</f>
        <v>0</v>
      </c>
      <c r="J76" s="20">
        <f>('Kunci Adjudikasi'!Q76&lt;&gt;"")+('Kunci Adjudikasi'!W76&lt;&gt;"")+('Kunci Adjudikasi'!$E$1&gt;=3)*('Kunci Adjudikasi'!AC76&lt;&gt;"")+('Kunci Adjudikasi'!$E$1&gt;=4)*('Kunci Adjudikasi'!AI76&lt;&gt;"")</f>
        <v>0</v>
      </c>
      <c r="K76" s="20">
        <f>IF(J76&gt;=2,(J76*(J76-1)/2-(('Kunci Adjudikasi'!Q76&lt;&gt;"")*('Kunci Adjudikasi'!W76&lt;&gt;"")*('Kunci Adjudikasi'!Q76='Kunci Adjudikasi'!W76)+('Kunci Adjudikasi'!$E$1&gt;=3)*('Kunci Adjudikasi'!Q76&lt;&gt;"")*('Kunci Adjudikasi'!AC76&lt;&gt;"")*('Kunci Adjudikasi'!Q76='Kunci Adjudikasi'!AC76)+('Kunci Adjudikasi'!$E$1&gt;=4)*('Kunci Adjudikasi'!Q76&lt;&gt;"")*('Kunci Adjudikasi'!AI76&lt;&gt;"")*('Kunci Adjudikasi'!Q76='Kunci Adjudikasi'!AI76)+('Kunci Adjudikasi'!$E$1&gt;=3)*('Kunci Adjudikasi'!W76&lt;&gt;"")*('Kunci Adjudikasi'!AC76&lt;&gt;"")*('Kunci Adjudikasi'!W76='Kunci Adjudikasi'!AC76)+('Kunci Adjudikasi'!$E$1&gt;=4)*('Kunci Adjudikasi'!W76&lt;&gt;"")*('Kunci Adjudikasi'!AI76&lt;&gt;"")*('Kunci Adjudikasi'!W76='Kunci Adjudikasi'!AI76)+('Kunci Adjudikasi'!$E$1&gt;=4)*('Kunci Adjudikasi'!AC76&lt;&gt;"")*('Kunci Adjudikasi'!AI76&lt;&gt;"")*('Kunci Adjudikasi'!AC76='Kunci Adjudikasi'!AI76)))/(J76-1),0)</f>
        <v>0</v>
      </c>
      <c r="L76" s="20">
        <f>('Kunci Adjudikasi'!R76&lt;&gt;"")+('Kunci Adjudikasi'!X76&lt;&gt;"")+('Kunci Adjudikasi'!$E$1&gt;=3)*('Kunci Adjudikasi'!AD76&lt;&gt;"")+('Kunci Adjudikasi'!$E$1&gt;=4)*('Kunci Adjudikasi'!AJ76&lt;&gt;"")</f>
        <v>0</v>
      </c>
      <c r="M76" s="20">
        <f>IF(L76&gt;=2,(L76*(L76-1)/2-(('Kunci Adjudikasi'!R76&lt;&gt;"")*('Kunci Adjudikasi'!X76&lt;&gt;"")*('Kunci Adjudikasi'!R76='Kunci Adjudikasi'!X76)+('Kunci Adjudikasi'!$E$1&gt;=3)*('Kunci Adjudikasi'!R76&lt;&gt;"")*('Kunci Adjudikasi'!AD76&lt;&gt;"")*('Kunci Adjudikasi'!R76='Kunci Adjudikasi'!AD76)+('Kunci Adjudikasi'!$E$1&gt;=4)*('Kunci Adjudikasi'!R76&lt;&gt;"")*('Kunci Adjudikasi'!AJ76&lt;&gt;"")*('Kunci Adjudikasi'!R76='Kunci Adjudikasi'!AJ76)+('Kunci Adjudikasi'!$E$1&gt;=3)*('Kunci Adjudikasi'!X76&lt;&gt;"")*('Kunci Adjudikasi'!AD76&lt;&gt;"")*('Kunci Adjudikasi'!X76='Kunci Adjudikasi'!AD76)+('Kunci Adjudikasi'!$E$1&gt;=4)*('Kunci Adjudikasi'!X76&lt;&gt;"")*('Kunci Adjudikasi'!AJ76&lt;&gt;"")*('Kunci Adjudikasi'!X76='Kunci Adjudikasi'!AJ76)+('Kunci Adjudikasi'!$E$1&gt;=4)*('Kunci Adjudikasi'!AD76&lt;&gt;"")*('Kunci Adjudikasi'!AJ76&lt;&gt;"")*('Kunci Adjudikasi'!AD76='Kunci Adjudikasi'!AJ76)))/(L76-1),0)</f>
        <v>0</v>
      </c>
      <c r="N76" s="20">
        <f>(LEFT('Kunci Adjudikasi'!N76,2)="R0")+(LEFT('Kunci Adjudikasi'!T76,2)="R0")+('Kunci Adjudikasi'!$E$1&gt;=3)*(LEFT('Kunci Adjudikasi'!Z76,2)="R0")+('Kunci Adjudikasi'!$E$1&gt;=4)*(LEFT('Kunci Adjudikasi'!AF76,2)="R0")</f>
        <v>0</v>
      </c>
      <c r="O76" s="20">
        <f>(LEFT('Kunci Adjudikasi'!N76,2)="R1")+(LEFT('Kunci Adjudikasi'!T76,2)="R1")+('Kunci Adjudikasi'!$E$1&gt;=3)*(LEFT('Kunci Adjudikasi'!Z76,2)="R1")+('Kunci Adjudikasi'!$E$1&gt;=4)*(LEFT('Kunci Adjudikasi'!AF76,2)="R1")</f>
        <v>0</v>
      </c>
      <c r="P76" s="20">
        <f>(LEFT('Kunci Adjudikasi'!N76,2)="R2")+(LEFT('Kunci Adjudikasi'!T76,2)="R2")+('Kunci Adjudikasi'!$E$1&gt;=3)*(LEFT('Kunci Adjudikasi'!Z76,2)="R2")+('Kunci Adjudikasi'!$E$1&gt;=4)*(LEFT('Kunci Adjudikasi'!AF76,2)="R2")</f>
        <v>0</v>
      </c>
      <c r="Q76" s="20">
        <f t="shared" si="46"/>
        <v>0</v>
      </c>
      <c r="R76" s="20">
        <f t="shared" si="47"/>
        <v>0</v>
      </c>
      <c r="S76" s="20">
        <f t="shared" si="48"/>
        <v>0</v>
      </c>
    </row>
    <row r="77">
      <c r="A77" s="20">
        <f>'Kunci Adjudikasi'!A77</f>
        <v>74</v>
      </c>
      <c r="B77" s="20">
        <f>('Kunci Adjudikasi'!M77&lt;&gt;"")+('Kunci Adjudikasi'!S77&lt;&gt;"")+('Kunci Adjudikasi'!$E$1&gt;=3)*('Kunci Adjudikasi'!Y77&lt;&gt;"")+('Kunci Adjudikasi'!$E$1&gt;=4)*('Kunci Adjudikasi'!AE77&lt;&gt;"")</f>
        <v>0</v>
      </c>
      <c r="C77" s="20">
        <f>IF(B77&gt;=2,(B77*(B77-1)/2-(('Kunci Adjudikasi'!M77&lt;&gt;"")*('Kunci Adjudikasi'!S77&lt;&gt;"")*('Kunci Adjudikasi'!M77='Kunci Adjudikasi'!S77)+('Kunci Adjudikasi'!$E$1&gt;=3)*('Kunci Adjudikasi'!M77&lt;&gt;"")*('Kunci Adjudikasi'!Y77&lt;&gt;"")*('Kunci Adjudikasi'!M77='Kunci Adjudikasi'!Y77)+('Kunci Adjudikasi'!$E$1&gt;=4)*('Kunci Adjudikasi'!M77&lt;&gt;"")*('Kunci Adjudikasi'!AE77&lt;&gt;"")*('Kunci Adjudikasi'!M77='Kunci Adjudikasi'!AE77)+('Kunci Adjudikasi'!$E$1&gt;=3)*('Kunci Adjudikasi'!S77&lt;&gt;"")*('Kunci Adjudikasi'!Y77&lt;&gt;"")*('Kunci Adjudikasi'!S77='Kunci Adjudikasi'!Y77)+('Kunci Adjudikasi'!$E$1&gt;=4)*('Kunci Adjudikasi'!S77&lt;&gt;"")*('Kunci Adjudikasi'!AE77&lt;&gt;"")*('Kunci Adjudikasi'!S77='Kunci Adjudikasi'!AE77)+('Kunci Adjudikasi'!$E$1&gt;=4)*('Kunci Adjudikasi'!Y77&lt;&gt;"")*('Kunci Adjudikasi'!AE77&lt;&gt;"")*('Kunci Adjudikasi'!Y77='Kunci Adjudikasi'!AE77)))/(B77-1),0)</f>
        <v>0</v>
      </c>
      <c r="D77" s="20">
        <f>('Kunci Adjudikasi'!N77&lt;&gt;"")+('Kunci Adjudikasi'!T77&lt;&gt;"")+('Kunci Adjudikasi'!$E$1&gt;=3)*('Kunci Adjudikasi'!Z77&lt;&gt;"")+('Kunci Adjudikasi'!$E$1&gt;=4)*('Kunci Adjudikasi'!AF77&lt;&gt;"")</f>
        <v>0</v>
      </c>
      <c r="E77" s="20">
        <f>IF(D77&gt;=2,(D77*(D77-1)/2-(('Kunci Adjudikasi'!N77&lt;&gt;"")*('Kunci Adjudikasi'!T77&lt;&gt;"")*('Kunci Adjudikasi'!N77='Kunci Adjudikasi'!T77)+('Kunci Adjudikasi'!$E$1&gt;=3)*('Kunci Adjudikasi'!N77&lt;&gt;"")*('Kunci Adjudikasi'!Z77&lt;&gt;"")*('Kunci Adjudikasi'!N77='Kunci Adjudikasi'!Z77)+('Kunci Adjudikasi'!$E$1&gt;=4)*('Kunci Adjudikasi'!N77&lt;&gt;"")*('Kunci Adjudikasi'!AF77&lt;&gt;"")*('Kunci Adjudikasi'!N77='Kunci Adjudikasi'!AF77)+('Kunci Adjudikasi'!$E$1&gt;=3)*('Kunci Adjudikasi'!T77&lt;&gt;"")*('Kunci Adjudikasi'!Z77&lt;&gt;"")*('Kunci Adjudikasi'!T77='Kunci Adjudikasi'!Z77)+('Kunci Adjudikasi'!$E$1&gt;=4)*('Kunci Adjudikasi'!T77&lt;&gt;"")*('Kunci Adjudikasi'!AF77&lt;&gt;"")*('Kunci Adjudikasi'!T77='Kunci Adjudikasi'!AF77)+('Kunci Adjudikasi'!$E$1&gt;=4)*('Kunci Adjudikasi'!Z77&lt;&gt;"")*('Kunci Adjudikasi'!AF77&lt;&gt;"")*('Kunci Adjudikasi'!Z77='Kunci Adjudikasi'!AF77)))/(D77-1),0)</f>
        <v>0</v>
      </c>
      <c r="F77" s="20">
        <f>('Kunci Adjudikasi'!O77&lt;&gt;"")+('Kunci Adjudikasi'!U77&lt;&gt;"")+('Kunci Adjudikasi'!$E$1&gt;=3)*('Kunci Adjudikasi'!AA77&lt;&gt;"")+('Kunci Adjudikasi'!$E$1&gt;=4)*('Kunci Adjudikasi'!AG77&lt;&gt;"")</f>
        <v>0</v>
      </c>
      <c r="G77" s="20">
        <f>IF(F77&gt;=2,(F77*(F77-1)/2-(('Kunci Adjudikasi'!O77&lt;&gt;"")*('Kunci Adjudikasi'!U77&lt;&gt;"")*('Kunci Adjudikasi'!O77='Kunci Adjudikasi'!U77)+('Kunci Adjudikasi'!$E$1&gt;=3)*('Kunci Adjudikasi'!O77&lt;&gt;"")*('Kunci Adjudikasi'!AA77&lt;&gt;"")*('Kunci Adjudikasi'!O77='Kunci Adjudikasi'!AA77)+('Kunci Adjudikasi'!$E$1&gt;=4)*('Kunci Adjudikasi'!O77&lt;&gt;"")*('Kunci Adjudikasi'!AG77&lt;&gt;"")*('Kunci Adjudikasi'!O77='Kunci Adjudikasi'!AG77)+('Kunci Adjudikasi'!$E$1&gt;=3)*('Kunci Adjudikasi'!U77&lt;&gt;"")*('Kunci Adjudikasi'!AA77&lt;&gt;"")*('Kunci Adjudikasi'!U77='Kunci Adjudikasi'!AA77)+('Kunci Adjudikasi'!$E$1&gt;=4)*('Kunci Adjudikasi'!U77&lt;&gt;"")*('Kunci Adjudikasi'!AG77&lt;&gt;"")*('Kunci Adjudikasi'!U77='Kunci Adjudikasi'!AG77)+('Kunci Adjudikasi'!$E$1&gt;=4)*('Kunci Adjudikasi'!AA77&lt;&gt;"")*('Kunci Adjudikasi'!AG77&lt;&gt;"")*('Kunci Adjudikasi'!AA77='Kunci Adjudikasi'!AG77)))/(F77-1),0)</f>
        <v>0</v>
      </c>
      <c r="H77" s="20">
        <f>('Kunci Adjudikasi'!P77&lt;&gt;"")+('Kunci Adjudikasi'!V77&lt;&gt;"")+('Kunci Adjudikasi'!$E$1&gt;=3)*('Kunci Adjudikasi'!AB77&lt;&gt;"")+('Kunci Adjudikasi'!$E$1&gt;=4)*('Kunci Adjudikasi'!AH77&lt;&gt;"")</f>
        <v>0</v>
      </c>
      <c r="I77" s="20">
        <f>IF(H77&gt;=2,(H77*(H77-1)/2-(('Kunci Adjudikasi'!P77&lt;&gt;"")*('Kunci Adjudikasi'!V77&lt;&gt;"")*('Kunci Adjudikasi'!P77='Kunci Adjudikasi'!V77)+('Kunci Adjudikasi'!$E$1&gt;=3)*('Kunci Adjudikasi'!P77&lt;&gt;"")*('Kunci Adjudikasi'!AB77&lt;&gt;"")*('Kunci Adjudikasi'!P77='Kunci Adjudikasi'!AB77)+('Kunci Adjudikasi'!$E$1&gt;=4)*('Kunci Adjudikasi'!P77&lt;&gt;"")*('Kunci Adjudikasi'!AH77&lt;&gt;"")*('Kunci Adjudikasi'!P77='Kunci Adjudikasi'!AH77)+('Kunci Adjudikasi'!$E$1&gt;=3)*('Kunci Adjudikasi'!V77&lt;&gt;"")*('Kunci Adjudikasi'!AB77&lt;&gt;"")*('Kunci Adjudikasi'!V77='Kunci Adjudikasi'!AB77)+('Kunci Adjudikasi'!$E$1&gt;=4)*('Kunci Adjudikasi'!V77&lt;&gt;"")*('Kunci Adjudikasi'!AH77&lt;&gt;"")*('Kunci Adjudikasi'!V77='Kunci Adjudikasi'!AH77)+('Kunci Adjudikasi'!$E$1&gt;=4)*('Kunci Adjudikasi'!AB77&lt;&gt;"")*('Kunci Adjudikasi'!AH77&lt;&gt;"")*('Kunci Adjudikasi'!AB77='Kunci Adjudikasi'!AH77)))/(H77-1),0)</f>
        <v>0</v>
      </c>
      <c r="J77" s="20">
        <f>('Kunci Adjudikasi'!Q77&lt;&gt;"")+('Kunci Adjudikasi'!W77&lt;&gt;"")+('Kunci Adjudikasi'!$E$1&gt;=3)*('Kunci Adjudikasi'!AC77&lt;&gt;"")+('Kunci Adjudikasi'!$E$1&gt;=4)*('Kunci Adjudikasi'!AI77&lt;&gt;"")</f>
        <v>0</v>
      </c>
      <c r="K77" s="20">
        <f>IF(J77&gt;=2,(J77*(J77-1)/2-(('Kunci Adjudikasi'!Q77&lt;&gt;"")*('Kunci Adjudikasi'!W77&lt;&gt;"")*('Kunci Adjudikasi'!Q77='Kunci Adjudikasi'!W77)+('Kunci Adjudikasi'!$E$1&gt;=3)*('Kunci Adjudikasi'!Q77&lt;&gt;"")*('Kunci Adjudikasi'!AC77&lt;&gt;"")*('Kunci Adjudikasi'!Q77='Kunci Adjudikasi'!AC77)+('Kunci Adjudikasi'!$E$1&gt;=4)*('Kunci Adjudikasi'!Q77&lt;&gt;"")*('Kunci Adjudikasi'!AI77&lt;&gt;"")*('Kunci Adjudikasi'!Q77='Kunci Adjudikasi'!AI77)+('Kunci Adjudikasi'!$E$1&gt;=3)*('Kunci Adjudikasi'!W77&lt;&gt;"")*('Kunci Adjudikasi'!AC77&lt;&gt;"")*('Kunci Adjudikasi'!W77='Kunci Adjudikasi'!AC77)+('Kunci Adjudikasi'!$E$1&gt;=4)*('Kunci Adjudikasi'!W77&lt;&gt;"")*('Kunci Adjudikasi'!AI77&lt;&gt;"")*('Kunci Adjudikasi'!W77='Kunci Adjudikasi'!AI77)+('Kunci Adjudikasi'!$E$1&gt;=4)*('Kunci Adjudikasi'!AC77&lt;&gt;"")*('Kunci Adjudikasi'!AI77&lt;&gt;"")*('Kunci Adjudikasi'!AC77='Kunci Adjudikasi'!AI77)))/(J77-1),0)</f>
        <v>0</v>
      </c>
      <c r="L77" s="20">
        <f>('Kunci Adjudikasi'!R77&lt;&gt;"")+('Kunci Adjudikasi'!X77&lt;&gt;"")+('Kunci Adjudikasi'!$E$1&gt;=3)*('Kunci Adjudikasi'!AD77&lt;&gt;"")+('Kunci Adjudikasi'!$E$1&gt;=4)*('Kunci Adjudikasi'!AJ77&lt;&gt;"")</f>
        <v>0</v>
      </c>
      <c r="M77" s="20">
        <f>IF(L77&gt;=2,(L77*(L77-1)/2-(('Kunci Adjudikasi'!R77&lt;&gt;"")*('Kunci Adjudikasi'!X77&lt;&gt;"")*('Kunci Adjudikasi'!R77='Kunci Adjudikasi'!X77)+('Kunci Adjudikasi'!$E$1&gt;=3)*('Kunci Adjudikasi'!R77&lt;&gt;"")*('Kunci Adjudikasi'!AD77&lt;&gt;"")*('Kunci Adjudikasi'!R77='Kunci Adjudikasi'!AD77)+('Kunci Adjudikasi'!$E$1&gt;=4)*('Kunci Adjudikasi'!R77&lt;&gt;"")*('Kunci Adjudikasi'!AJ77&lt;&gt;"")*('Kunci Adjudikasi'!R77='Kunci Adjudikasi'!AJ77)+('Kunci Adjudikasi'!$E$1&gt;=3)*('Kunci Adjudikasi'!X77&lt;&gt;"")*('Kunci Adjudikasi'!AD77&lt;&gt;"")*('Kunci Adjudikasi'!X77='Kunci Adjudikasi'!AD77)+('Kunci Adjudikasi'!$E$1&gt;=4)*('Kunci Adjudikasi'!X77&lt;&gt;"")*('Kunci Adjudikasi'!AJ77&lt;&gt;"")*('Kunci Adjudikasi'!X77='Kunci Adjudikasi'!AJ77)+('Kunci Adjudikasi'!$E$1&gt;=4)*('Kunci Adjudikasi'!AD77&lt;&gt;"")*('Kunci Adjudikasi'!AJ77&lt;&gt;"")*('Kunci Adjudikasi'!AD77='Kunci Adjudikasi'!AJ77)))/(L77-1),0)</f>
        <v>0</v>
      </c>
      <c r="N77" s="20">
        <f>(LEFT('Kunci Adjudikasi'!N77,2)="R0")+(LEFT('Kunci Adjudikasi'!T77,2)="R0")+('Kunci Adjudikasi'!$E$1&gt;=3)*(LEFT('Kunci Adjudikasi'!Z77,2)="R0")+('Kunci Adjudikasi'!$E$1&gt;=4)*(LEFT('Kunci Adjudikasi'!AF77,2)="R0")</f>
        <v>0</v>
      </c>
      <c r="O77" s="20">
        <f>(LEFT('Kunci Adjudikasi'!N77,2)="R1")+(LEFT('Kunci Adjudikasi'!T77,2)="R1")+('Kunci Adjudikasi'!$E$1&gt;=3)*(LEFT('Kunci Adjudikasi'!Z77,2)="R1")+('Kunci Adjudikasi'!$E$1&gt;=4)*(LEFT('Kunci Adjudikasi'!AF77,2)="R1")</f>
        <v>0</v>
      </c>
      <c r="P77" s="20">
        <f>(LEFT('Kunci Adjudikasi'!N77,2)="R2")+(LEFT('Kunci Adjudikasi'!T77,2)="R2")+('Kunci Adjudikasi'!$E$1&gt;=3)*(LEFT('Kunci Adjudikasi'!Z77,2)="R2")+('Kunci Adjudikasi'!$E$1&gt;=4)*(LEFT('Kunci Adjudikasi'!AF77,2)="R2")</f>
        <v>0</v>
      </c>
      <c r="Q77" s="20">
        <f t="shared" si="46"/>
        <v>0</v>
      </c>
      <c r="R77" s="20">
        <f t="shared" si="47"/>
        <v>0</v>
      </c>
      <c r="S77" s="20">
        <f t="shared" si="48"/>
        <v>0</v>
      </c>
    </row>
    <row r="78">
      <c r="A78" s="20">
        <f>'Kunci Adjudikasi'!A78</f>
        <v>75</v>
      </c>
      <c r="B78" s="20">
        <f>('Kunci Adjudikasi'!M78&lt;&gt;"")+('Kunci Adjudikasi'!S78&lt;&gt;"")+('Kunci Adjudikasi'!$E$1&gt;=3)*('Kunci Adjudikasi'!Y78&lt;&gt;"")+('Kunci Adjudikasi'!$E$1&gt;=4)*('Kunci Adjudikasi'!AE78&lt;&gt;"")</f>
        <v>0</v>
      </c>
      <c r="C78" s="20">
        <f>IF(B78&gt;=2,(B78*(B78-1)/2-(('Kunci Adjudikasi'!M78&lt;&gt;"")*('Kunci Adjudikasi'!S78&lt;&gt;"")*('Kunci Adjudikasi'!M78='Kunci Adjudikasi'!S78)+('Kunci Adjudikasi'!$E$1&gt;=3)*('Kunci Adjudikasi'!M78&lt;&gt;"")*('Kunci Adjudikasi'!Y78&lt;&gt;"")*('Kunci Adjudikasi'!M78='Kunci Adjudikasi'!Y78)+('Kunci Adjudikasi'!$E$1&gt;=4)*('Kunci Adjudikasi'!M78&lt;&gt;"")*('Kunci Adjudikasi'!AE78&lt;&gt;"")*('Kunci Adjudikasi'!M78='Kunci Adjudikasi'!AE78)+('Kunci Adjudikasi'!$E$1&gt;=3)*('Kunci Adjudikasi'!S78&lt;&gt;"")*('Kunci Adjudikasi'!Y78&lt;&gt;"")*('Kunci Adjudikasi'!S78='Kunci Adjudikasi'!Y78)+('Kunci Adjudikasi'!$E$1&gt;=4)*('Kunci Adjudikasi'!S78&lt;&gt;"")*('Kunci Adjudikasi'!AE78&lt;&gt;"")*('Kunci Adjudikasi'!S78='Kunci Adjudikasi'!AE78)+('Kunci Adjudikasi'!$E$1&gt;=4)*('Kunci Adjudikasi'!Y78&lt;&gt;"")*('Kunci Adjudikasi'!AE78&lt;&gt;"")*('Kunci Adjudikasi'!Y78='Kunci Adjudikasi'!AE78)))/(B78-1),0)</f>
        <v>0</v>
      </c>
      <c r="D78" s="20">
        <f>('Kunci Adjudikasi'!N78&lt;&gt;"")+('Kunci Adjudikasi'!T78&lt;&gt;"")+('Kunci Adjudikasi'!$E$1&gt;=3)*('Kunci Adjudikasi'!Z78&lt;&gt;"")+('Kunci Adjudikasi'!$E$1&gt;=4)*('Kunci Adjudikasi'!AF78&lt;&gt;"")</f>
        <v>0</v>
      </c>
      <c r="E78" s="20">
        <f>IF(D78&gt;=2,(D78*(D78-1)/2-(('Kunci Adjudikasi'!N78&lt;&gt;"")*('Kunci Adjudikasi'!T78&lt;&gt;"")*('Kunci Adjudikasi'!N78='Kunci Adjudikasi'!T78)+('Kunci Adjudikasi'!$E$1&gt;=3)*('Kunci Adjudikasi'!N78&lt;&gt;"")*('Kunci Adjudikasi'!Z78&lt;&gt;"")*('Kunci Adjudikasi'!N78='Kunci Adjudikasi'!Z78)+('Kunci Adjudikasi'!$E$1&gt;=4)*('Kunci Adjudikasi'!N78&lt;&gt;"")*('Kunci Adjudikasi'!AF78&lt;&gt;"")*('Kunci Adjudikasi'!N78='Kunci Adjudikasi'!AF78)+('Kunci Adjudikasi'!$E$1&gt;=3)*('Kunci Adjudikasi'!T78&lt;&gt;"")*('Kunci Adjudikasi'!Z78&lt;&gt;"")*('Kunci Adjudikasi'!T78='Kunci Adjudikasi'!Z78)+('Kunci Adjudikasi'!$E$1&gt;=4)*('Kunci Adjudikasi'!T78&lt;&gt;"")*('Kunci Adjudikasi'!AF78&lt;&gt;"")*('Kunci Adjudikasi'!T78='Kunci Adjudikasi'!AF78)+('Kunci Adjudikasi'!$E$1&gt;=4)*('Kunci Adjudikasi'!Z78&lt;&gt;"")*('Kunci Adjudikasi'!AF78&lt;&gt;"")*('Kunci Adjudikasi'!Z78='Kunci Adjudikasi'!AF78)))/(D78-1),0)</f>
        <v>0</v>
      </c>
      <c r="F78" s="20">
        <f>('Kunci Adjudikasi'!O78&lt;&gt;"")+('Kunci Adjudikasi'!U78&lt;&gt;"")+('Kunci Adjudikasi'!$E$1&gt;=3)*('Kunci Adjudikasi'!AA78&lt;&gt;"")+('Kunci Adjudikasi'!$E$1&gt;=4)*('Kunci Adjudikasi'!AG78&lt;&gt;"")</f>
        <v>0</v>
      </c>
      <c r="G78" s="20">
        <f>IF(F78&gt;=2,(F78*(F78-1)/2-(('Kunci Adjudikasi'!O78&lt;&gt;"")*('Kunci Adjudikasi'!U78&lt;&gt;"")*('Kunci Adjudikasi'!O78='Kunci Adjudikasi'!U78)+('Kunci Adjudikasi'!$E$1&gt;=3)*('Kunci Adjudikasi'!O78&lt;&gt;"")*('Kunci Adjudikasi'!AA78&lt;&gt;"")*('Kunci Adjudikasi'!O78='Kunci Adjudikasi'!AA78)+('Kunci Adjudikasi'!$E$1&gt;=4)*('Kunci Adjudikasi'!O78&lt;&gt;"")*('Kunci Adjudikasi'!AG78&lt;&gt;"")*('Kunci Adjudikasi'!O78='Kunci Adjudikasi'!AG78)+('Kunci Adjudikasi'!$E$1&gt;=3)*('Kunci Adjudikasi'!U78&lt;&gt;"")*('Kunci Adjudikasi'!AA78&lt;&gt;"")*('Kunci Adjudikasi'!U78='Kunci Adjudikasi'!AA78)+('Kunci Adjudikasi'!$E$1&gt;=4)*('Kunci Adjudikasi'!U78&lt;&gt;"")*('Kunci Adjudikasi'!AG78&lt;&gt;"")*('Kunci Adjudikasi'!U78='Kunci Adjudikasi'!AG78)+('Kunci Adjudikasi'!$E$1&gt;=4)*('Kunci Adjudikasi'!AA78&lt;&gt;"")*('Kunci Adjudikasi'!AG78&lt;&gt;"")*('Kunci Adjudikasi'!AA78='Kunci Adjudikasi'!AG78)))/(F78-1),0)</f>
        <v>0</v>
      </c>
      <c r="H78" s="20">
        <f>('Kunci Adjudikasi'!P78&lt;&gt;"")+('Kunci Adjudikasi'!V78&lt;&gt;"")+('Kunci Adjudikasi'!$E$1&gt;=3)*('Kunci Adjudikasi'!AB78&lt;&gt;"")+('Kunci Adjudikasi'!$E$1&gt;=4)*('Kunci Adjudikasi'!AH78&lt;&gt;"")</f>
        <v>0</v>
      </c>
      <c r="I78" s="20">
        <f>IF(H78&gt;=2,(H78*(H78-1)/2-(('Kunci Adjudikasi'!P78&lt;&gt;"")*('Kunci Adjudikasi'!V78&lt;&gt;"")*('Kunci Adjudikasi'!P78='Kunci Adjudikasi'!V78)+('Kunci Adjudikasi'!$E$1&gt;=3)*('Kunci Adjudikasi'!P78&lt;&gt;"")*('Kunci Adjudikasi'!AB78&lt;&gt;"")*('Kunci Adjudikasi'!P78='Kunci Adjudikasi'!AB78)+('Kunci Adjudikasi'!$E$1&gt;=4)*('Kunci Adjudikasi'!P78&lt;&gt;"")*('Kunci Adjudikasi'!AH78&lt;&gt;"")*('Kunci Adjudikasi'!P78='Kunci Adjudikasi'!AH78)+('Kunci Adjudikasi'!$E$1&gt;=3)*('Kunci Adjudikasi'!V78&lt;&gt;"")*('Kunci Adjudikasi'!AB78&lt;&gt;"")*('Kunci Adjudikasi'!V78='Kunci Adjudikasi'!AB78)+('Kunci Adjudikasi'!$E$1&gt;=4)*('Kunci Adjudikasi'!V78&lt;&gt;"")*('Kunci Adjudikasi'!AH78&lt;&gt;"")*('Kunci Adjudikasi'!V78='Kunci Adjudikasi'!AH78)+('Kunci Adjudikasi'!$E$1&gt;=4)*('Kunci Adjudikasi'!AB78&lt;&gt;"")*('Kunci Adjudikasi'!AH78&lt;&gt;"")*('Kunci Adjudikasi'!AB78='Kunci Adjudikasi'!AH78)))/(H78-1),0)</f>
        <v>0</v>
      </c>
      <c r="J78" s="20">
        <f>('Kunci Adjudikasi'!Q78&lt;&gt;"")+('Kunci Adjudikasi'!W78&lt;&gt;"")+('Kunci Adjudikasi'!$E$1&gt;=3)*('Kunci Adjudikasi'!AC78&lt;&gt;"")+('Kunci Adjudikasi'!$E$1&gt;=4)*('Kunci Adjudikasi'!AI78&lt;&gt;"")</f>
        <v>0</v>
      </c>
      <c r="K78" s="20">
        <f>IF(J78&gt;=2,(J78*(J78-1)/2-(('Kunci Adjudikasi'!Q78&lt;&gt;"")*('Kunci Adjudikasi'!W78&lt;&gt;"")*('Kunci Adjudikasi'!Q78='Kunci Adjudikasi'!W78)+('Kunci Adjudikasi'!$E$1&gt;=3)*('Kunci Adjudikasi'!Q78&lt;&gt;"")*('Kunci Adjudikasi'!AC78&lt;&gt;"")*('Kunci Adjudikasi'!Q78='Kunci Adjudikasi'!AC78)+('Kunci Adjudikasi'!$E$1&gt;=4)*('Kunci Adjudikasi'!Q78&lt;&gt;"")*('Kunci Adjudikasi'!AI78&lt;&gt;"")*('Kunci Adjudikasi'!Q78='Kunci Adjudikasi'!AI78)+('Kunci Adjudikasi'!$E$1&gt;=3)*('Kunci Adjudikasi'!W78&lt;&gt;"")*('Kunci Adjudikasi'!AC78&lt;&gt;"")*('Kunci Adjudikasi'!W78='Kunci Adjudikasi'!AC78)+('Kunci Adjudikasi'!$E$1&gt;=4)*('Kunci Adjudikasi'!W78&lt;&gt;"")*('Kunci Adjudikasi'!AI78&lt;&gt;"")*('Kunci Adjudikasi'!W78='Kunci Adjudikasi'!AI78)+('Kunci Adjudikasi'!$E$1&gt;=4)*('Kunci Adjudikasi'!AC78&lt;&gt;"")*('Kunci Adjudikasi'!AI78&lt;&gt;"")*('Kunci Adjudikasi'!AC78='Kunci Adjudikasi'!AI78)))/(J78-1),0)</f>
        <v>0</v>
      </c>
      <c r="L78" s="20">
        <f>('Kunci Adjudikasi'!R78&lt;&gt;"")+('Kunci Adjudikasi'!X78&lt;&gt;"")+('Kunci Adjudikasi'!$E$1&gt;=3)*('Kunci Adjudikasi'!AD78&lt;&gt;"")+('Kunci Adjudikasi'!$E$1&gt;=4)*('Kunci Adjudikasi'!AJ78&lt;&gt;"")</f>
        <v>0</v>
      </c>
      <c r="M78" s="20">
        <f>IF(L78&gt;=2,(L78*(L78-1)/2-(('Kunci Adjudikasi'!R78&lt;&gt;"")*('Kunci Adjudikasi'!X78&lt;&gt;"")*('Kunci Adjudikasi'!R78='Kunci Adjudikasi'!X78)+('Kunci Adjudikasi'!$E$1&gt;=3)*('Kunci Adjudikasi'!R78&lt;&gt;"")*('Kunci Adjudikasi'!AD78&lt;&gt;"")*('Kunci Adjudikasi'!R78='Kunci Adjudikasi'!AD78)+('Kunci Adjudikasi'!$E$1&gt;=4)*('Kunci Adjudikasi'!R78&lt;&gt;"")*('Kunci Adjudikasi'!AJ78&lt;&gt;"")*('Kunci Adjudikasi'!R78='Kunci Adjudikasi'!AJ78)+('Kunci Adjudikasi'!$E$1&gt;=3)*('Kunci Adjudikasi'!X78&lt;&gt;"")*('Kunci Adjudikasi'!AD78&lt;&gt;"")*('Kunci Adjudikasi'!X78='Kunci Adjudikasi'!AD78)+('Kunci Adjudikasi'!$E$1&gt;=4)*('Kunci Adjudikasi'!X78&lt;&gt;"")*('Kunci Adjudikasi'!AJ78&lt;&gt;"")*('Kunci Adjudikasi'!X78='Kunci Adjudikasi'!AJ78)+('Kunci Adjudikasi'!$E$1&gt;=4)*('Kunci Adjudikasi'!AD78&lt;&gt;"")*('Kunci Adjudikasi'!AJ78&lt;&gt;"")*('Kunci Adjudikasi'!AD78='Kunci Adjudikasi'!AJ78)))/(L78-1),0)</f>
        <v>0</v>
      </c>
      <c r="N78" s="20">
        <f>(LEFT('Kunci Adjudikasi'!N78,2)="R0")+(LEFT('Kunci Adjudikasi'!T78,2)="R0")+('Kunci Adjudikasi'!$E$1&gt;=3)*(LEFT('Kunci Adjudikasi'!Z78,2)="R0")+('Kunci Adjudikasi'!$E$1&gt;=4)*(LEFT('Kunci Adjudikasi'!AF78,2)="R0")</f>
        <v>0</v>
      </c>
      <c r="O78" s="20">
        <f>(LEFT('Kunci Adjudikasi'!N78,2)="R1")+(LEFT('Kunci Adjudikasi'!T78,2)="R1")+('Kunci Adjudikasi'!$E$1&gt;=3)*(LEFT('Kunci Adjudikasi'!Z78,2)="R1")+('Kunci Adjudikasi'!$E$1&gt;=4)*(LEFT('Kunci Adjudikasi'!AF78,2)="R1")</f>
        <v>0</v>
      </c>
      <c r="P78" s="20">
        <f>(LEFT('Kunci Adjudikasi'!N78,2)="R2")+(LEFT('Kunci Adjudikasi'!T78,2)="R2")+('Kunci Adjudikasi'!$E$1&gt;=3)*(LEFT('Kunci Adjudikasi'!Z78,2)="R2")+('Kunci Adjudikasi'!$E$1&gt;=4)*(LEFT('Kunci Adjudikasi'!AF78,2)="R2")</f>
        <v>0</v>
      </c>
      <c r="Q78" s="20">
        <f t="shared" si="46"/>
        <v>0</v>
      </c>
      <c r="R78" s="20">
        <f t="shared" si="47"/>
        <v>0</v>
      </c>
      <c r="S78" s="20">
        <f t="shared" si="48"/>
        <v>0</v>
      </c>
    </row>
    <row r="79">
      <c r="A79" s="20">
        <f>'Kunci Adjudikasi'!A79</f>
        <v>76</v>
      </c>
      <c r="B79" s="20">
        <f>('Kunci Adjudikasi'!M79&lt;&gt;"")+('Kunci Adjudikasi'!S79&lt;&gt;"")+('Kunci Adjudikasi'!$E$1&gt;=3)*('Kunci Adjudikasi'!Y79&lt;&gt;"")+('Kunci Adjudikasi'!$E$1&gt;=4)*('Kunci Adjudikasi'!AE79&lt;&gt;"")</f>
        <v>0</v>
      </c>
      <c r="C79" s="20">
        <f>IF(B79&gt;=2,(B79*(B79-1)/2-(('Kunci Adjudikasi'!M79&lt;&gt;"")*('Kunci Adjudikasi'!S79&lt;&gt;"")*('Kunci Adjudikasi'!M79='Kunci Adjudikasi'!S79)+('Kunci Adjudikasi'!$E$1&gt;=3)*('Kunci Adjudikasi'!M79&lt;&gt;"")*('Kunci Adjudikasi'!Y79&lt;&gt;"")*('Kunci Adjudikasi'!M79='Kunci Adjudikasi'!Y79)+('Kunci Adjudikasi'!$E$1&gt;=4)*('Kunci Adjudikasi'!M79&lt;&gt;"")*('Kunci Adjudikasi'!AE79&lt;&gt;"")*('Kunci Adjudikasi'!M79='Kunci Adjudikasi'!AE79)+('Kunci Adjudikasi'!$E$1&gt;=3)*('Kunci Adjudikasi'!S79&lt;&gt;"")*('Kunci Adjudikasi'!Y79&lt;&gt;"")*('Kunci Adjudikasi'!S79='Kunci Adjudikasi'!Y79)+('Kunci Adjudikasi'!$E$1&gt;=4)*('Kunci Adjudikasi'!S79&lt;&gt;"")*('Kunci Adjudikasi'!AE79&lt;&gt;"")*('Kunci Adjudikasi'!S79='Kunci Adjudikasi'!AE79)+('Kunci Adjudikasi'!$E$1&gt;=4)*('Kunci Adjudikasi'!Y79&lt;&gt;"")*('Kunci Adjudikasi'!AE79&lt;&gt;"")*('Kunci Adjudikasi'!Y79='Kunci Adjudikasi'!AE79)))/(B79-1),0)</f>
        <v>0</v>
      </c>
      <c r="D79" s="20">
        <f>('Kunci Adjudikasi'!N79&lt;&gt;"")+('Kunci Adjudikasi'!T79&lt;&gt;"")+('Kunci Adjudikasi'!$E$1&gt;=3)*('Kunci Adjudikasi'!Z79&lt;&gt;"")+('Kunci Adjudikasi'!$E$1&gt;=4)*('Kunci Adjudikasi'!AF79&lt;&gt;"")</f>
        <v>0</v>
      </c>
      <c r="E79" s="20">
        <f>IF(D79&gt;=2,(D79*(D79-1)/2-(('Kunci Adjudikasi'!N79&lt;&gt;"")*('Kunci Adjudikasi'!T79&lt;&gt;"")*('Kunci Adjudikasi'!N79='Kunci Adjudikasi'!T79)+('Kunci Adjudikasi'!$E$1&gt;=3)*('Kunci Adjudikasi'!N79&lt;&gt;"")*('Kunci Adjudikasi'!Z79&lt;&gt;"")*('Kunci Adjudikasi'!N79='Kunci Adjudikasi'!Z79)+('Kunci Adjudikasi'!$E$1&gt;=4)*('Kunci Adjudikasi'!N79&lt;&gt;"")*('Kunci Adjudikasi'!AF79&lt;&gt;"")*('Kunci Adjudikasi'!N79='Kunci Adjudikasi'!AF79)+('Kunci Adjudikasi'!$E$1&gt;=3)*('Kunci Adjudikasi'!T79&lt;&gt;"")*('Kunci Adjudikasi'!Z79&lt;&gt;"")*('Kunci Adjudikasi'!T79='Kunci Adjudikasi'!Z79)+('Kunci Adjudikasi'!$E$1&gt;=4)*('Kunci Adjudikasi'!T79&lt;&gt;"")*('Kunci Adjudikasi'!AF79&lt;&gt;"")*('Kunci Adjudikasi'!T79='Kunci Adjudikasi'!AF79)+('Kunci Adjudikasi'!$E$1&gt;=4)*('Kunci Adjudikasi'!Z79&lt;&gt;"")*('Kunci Adjudikasi'!AF79&lt;&gt;"")*('Kunci Adjudikasi'!Z79='Kunci Adjudikasi'!AF79)))/(D79-1),0)</f>
        <v>0</v>
      </c>
      <c r="F79" s="20">
        <f>('Kunci Adjudikasi'!O79&lt;&gt;"")+('Kunci Adjudikasi'!U79&lt;&gt;"")+('Kunci Adjudikasi'!$E$1&gt;=3)*('Kunci Adjudikasi'!AA79&lt;&gt;"")+('Kunci Adjudikasi'!$E$1&gt;=4)*('Kunci Adjudikasi'!AG79&lt;&gt;"")</f>
        <v>0</v>
      </c>
      <c r="G79" s="20">
        <f>IF(F79&gt;=2,(F79*(F79-1)/2-(('Kunci Adjudikasi'!O79&lt;&gt;"")*('Kunci Adjudikasi'!U79&lt;&gt;"")*('Kunci Adjudikasi'!O79='Kunci Adjudikasi'!U79)+('Kunci Adjudikasi'!$E$1&gt;=3)*('Kunci Adjudikasi'!O79&lt;&gt;"")*('Kunci Adjudikasi'!AA79&lt;&gt;"")*('Kunci Adjudikasi'!O79='Kunci Adjudikasi'!AA79)+('Kunci Adjudikasi'!$E$1&gt;=4)*('Kunci Adjudikasi'!O79&lt;&gt;"")*('Kunci Adjudikasi'!AG79&lt;&gt;"")*('Kunci Adjudikasi'!O79='Kunci Adjudikasi'!AG79)+('Kunci Adjudikasi'!$E$1&gt;=3)*('Kunci Adjudikasi'!U79&lt;&gt;"")*('Kunci Adjudikasi'!AA79&lt;&gt;"")*('Kunci Adjudikasi'!U79='Kunci Adjudikasi'!AA79)+('Kunci Adjudikasi'!$E$1&gt;=4)*('Kunci Adjudikasi'!U79&lt;&gt;"")*('Kunci Adjudikasi'!AG79&lt;&gt;"")*('Kunci Adjudikasi'!U79='Kunci Adjudikasi'!AG79)+('Kunci Adjudikasi'!$E$1&gt;=4)*('Kunci Adjudikasi'!AA79&lt;&gt;"")*('Kunci Adjudikasi'!AG79&lt;&gt;"")*('Kunci Adjudikasi'!AA79='Kunci Adjudikasi'!AG79)))/(F79-1),0)</f>
        <v>0</v>
      </c>
      <c r="H79" s="20">
        <f>('Kunci Adjudikasi'!P79&lt;&gt;"")+('Kunci Adjudikasi'!V79&lt;&gt;"")+('Kunci Adjudikasi'!$E$1&gt;=3)*('Kunci Adjudikasi'!AB79&lt;&gt;"")+('Kunci Adjudikasi'!$E$1&gt;=4)*('Kunci Adjudikasi'!AH79&lt;&gt;"")</f>
        <v>0</v>
      </c>
      <c r="I79" s="20">
        <f>IF(H79&gt;=2,(H79*(H79-1)/2-(('Kunci Adjudikasi'!P79&lt;&gt;"")*('Kunci Adjudikasi'!V79&lt;&gt;"")*('Kunci Adjudikasi'!P79='Kunci Adjudikasi'!V79)+('Kunci Adjudikasi'!$E$1&gt;=3)*('Kunci Adjudikasi'!P79&lt;&gt;"")*('Kunci Adjudikasi'!AB79&lt;&gt;"")*('Kunci Adjudikasi'!P79='Kunci Adjudikasi'!AB79)+('Kunci Adjudikasi'!$E$1&gt;=4)*('Kunci Adjudikasi'!P79&lt;&gt;"")*('Kunci Adjudikasi'!AH79&lt;&gt;"")*('Kunci Adjudikasi'!P79='Kunci Adjudikasi'!AH79)+('Kunci Adjudikasi'!$E$1&gt;=3)*('Kunci Adjudikasi'!V79&lt;&gt;"")*('Kunci Adjudikasi'!AB79&lt;&gt;"")*('Kunci Adjudikasi'!V79='Kunci Adjudikasi'!AB79)+('Kunci Adjudikasi'!$E$1&gt;=4)*('Kunci Adjudikasi'!V79&lt;&gt;"")*('Kunci Adjudikasi'!AH79&lt;&gt;"")*('Kunci Adjudikasi'!V79='Kunci Adjudikasi'!AH79)+('Kunci Adjudikasi'!$E$1&gt;=4)*('Kunci Adjudikasi'!AB79&lt;&gt;"")*('Kunci Adjudikasi'!AH79&lt;&gt;"")*('Kunci Adjudikasi'!AB79='Kunci Adjudikasi'!AH79)))/(H79-1),0)</f>
        <v>0</v>
      </c>
      <c r="J79" s="20">
        <f>('Kunci Adjudikasi'!Q79&lt;&gt;"")+('Kunci Adjudikasi'!W79&lt;&gt;"")+('Kunci Adjudikasi'!$E$1&gt;=3)*('Kunci Adjudikasi'!AC79&lt;&gt;"")+('Kunci Adjudikasi'!$E$1&gt;=4)*('Kunci Adjudikasi'!AI79&lt;&gt;"")</f>
        <v>0</v>
      </c>
      <c r="K79" s="20">
        <f>IF(J79&gt;=2,(J79*(J79-1)/2-(('Kunci Adjudikasi'!Q79&lt;&gt;"")*('Kunci Adjudikasi'!W79&lt;&gt;"")*('Kunci Adjudikasi'!Q79='Kunci Adjudikasi'!W79)+('Kunci Adjudikasi'!$E$1&gt;=3)*('Kunci Adjudikasi'!Q79&lt;&gt;"")*('Kunci Adjudikasi'!AC79&lt;&gt;"")*('Kunci Adjudikasi'!Q79='Kunci Adjudikasi'!AC79)+('Kunci Adjudikasi'!$E$1&gt;=4)*('Kunci Adjudikasi'!Q79&lt;&gt;"")*('Kunci Adjudikasi'!AI79&lt;&gt;"")*('Kunci Adjudikasi'!Q79='Kunci Adjudikasi'!AI79)+('Kunci Adjudikasi'!$E$1&gt;=3)*('Kunci Adjudikasi'!W79&lt;&gt;"")*('Kunci Adjudikasi'!AC79&lt;&gt;"")*('Kunci Adjudikasi'!W79='Kunci Adjudikasi'!AC79)+('Kunci Adjudikasi'!$E$1&gt;=4)*('Kunci Adjudikasi'!W79&lt;&gt;"")*('Kunci Adjudikasi'!AI79&lt;&gt;"")*('Kunci Adjudikasi'!W79='Kunci Adjudikasi'!AI79)+('Kunci Adjudikasi'!$E$1&gt;=4)*('Kunci Adjudikasi'!AC79&lt;&gt;"")*('Kunci Adjudikasi'!AI79&lt;&gt;"")*('Kunci Adjudikasi'!AC79='Kunci Adjudikasi'!AI79)))/(J79-1),0)</f>
        <v>0</v>
      </c>
      <c r="L79" s="20">
        <f>('Kunci Adjudikasi'!R79&lt;&gt;"")+('Kunci Adjudikasi'!X79&lt;&gt;"")+('Kunci Adjudikasi'!$E$1&gt;=3)*('Kunci Adjudikasi'!AD79&lt;&gt;"")+('Kunci Adjudikasi'!$E$1&gt;=4)*('Kunci Adjudikasi'!AJ79&lt;&gt;"")</f>
        <v>0</v>
      </c>
      <c r="M79" s="20">
        <f>IF(L79&gt;=2,(L79*(L79-1)/2-(('Kunci Adjudikasi'!R79&lt;&gt;"")*('Kunci Adjudikasi'!X79&lt;&gt;"")*('Kunci Adjudikasi'!R79='Kunci Adjudikasi'!X79)+('Kunci Adjudikasi'!$E$1&gt;=3)*('Kunci Adjudikasi'!R79&lt;&gt;"")*('Kunci Adjudikasi'!AD79&lt;&gt;"")*('Kunci Adjudikasi'!R79='Kunci Adjudikasi'!AD79)+('Kunci Adjudikasi'!$E$1&gt;=4)*('Kunci Adjudikasi'!R79&lt;&gt;"")*('Kunci Adjudikasi'!AJ79&lt;&gt;"")*('Kunci Adjudikasi'!R79='Kunci Adjudikasi'!AJ79)+('Kunci Adjudikasi'!$E$1&gt;=3)*('Kunci Adjudikasi'!X79&lt;&gt;"")*('Kunci Adjudikasi'!AD79&lt;&gt;"")*('Kunci Adjudikasi'!X79='Kunci Adjudikasi'!AD79)+('Kunci Adjudikasi'!$E$1&gt;=4)*('Kunci Adjudikasi'!X79&lt;&gt;"")*('Kunci Adjudikasi'!AJ79&lt;&gt;"")*('Kunci Adjudikasi'!X79='Kunci Adjudikasi'!AJ79)+('Kunci Adjudikasi'!$E$1&gt;=4)*('Kunci Adjudikasi'!AD79&lt;&gt;"")*('Kunci Adjudikasi'!AJ79&lt;&gt;"")*('Kunci Adjudikasi'!AD79='Kunci Adjudikasi'!AJ79)))/(L79-1),0)</f>
        <v>0</v>
      </c>
      <c r="N79" s="20">
        <f>(LEFT('Kunci Adjudikasi'!N79,2)="R0")+(LEFT('Kunci Adjudikasi'!T79,2)="R0")+('Kunci Adjudikasi'!$E$1&gt;=3)*(LEFT('Kunci Adjudikasi'!Z79,2)="R0")+('Kunci Adjudikasi'!$E$1&gt;=4)*(LEFT('Kunci Adjudikasi'!AF79,2)="R0")</f>
        <v>0</v>
      </c>
      <c r="O79" s="20">
        <f>(LEFT('Kunci Adjudikasi'!N79,2)="R1")+(LEFT('Kunci Adjudikasi'!T79,2)="R1")+('Kunci Adjudikasi'!$E$1&gt;=3)*(LEFT('Kunci Adjudikasi'!Z79,2)="R1")+('Kunci Adjudikasi'!$E$1&gt;=4)*(LEFT('Kunci Adjudikasi'!AF79,2)="R1")</f>
        <v>0</v>
      </c>
      <c r="P79" s="20">
        <f>(LEFT('Kunci Adjudikasi'!N79,2)="R2")+(LEFT('Kunci Adjudikasi'!T79,2)="R2")+('Kunci Adjudikasi'!$E$1&gt;=3)*(LEFT('Kunci Adjudikasi'!Z79,2)="R2")+('Kunci Adjudikasi'!$E$1&gt;=4)*(LEFT('Kunci Adjudikasi'!AF79,2)="R2")</f>
        <v>0</v>
      </c>
      <c r="Q79" s="20">
        <f t="shared" si="46"/>
        <v>0</v>
      </c>
      <c r="R79" s="20">
        <f t="shared" si="47"/>
        <v>0</v>
      </c>
      <c r="S79" s="20">
        <f t="shared" si="48"/>
        <v>0</v>
      </c>
    </row>
    <row r="80">
      <c r="A80" s="20">
        <f>'Kunci Adjudikasi'!A80</f>
        <v>77</v>
      </c>
      <c r="B80" s="20">
        <f>('Kunci Adjudikasi'!M80&lt;&gt;"")+('Kunci Adjudikasi'!S80&lt;&gt;"")+('Kunci Adjudikasi'!$E$1&gt;=3)*('Kunci Adjudikasi'!Y80&lt;&gt;"")+('Kunci Adjudikasi'!$E$1&gt;=4)*('Kunci Adjudikasi'!AE80&lt;&gt;"")</f>
        <v>0</v>
      </c>
      <c r="C80" s="20">
        <f>IF(B80&gt;=2,(B80*(B80-1)/2-(('Kunci Adjudikasi'!M80&lt;&gt;"")*('Kunci Adjudikasi'!S80&lt;&gt;"")*('Kunci Adjudikasi'!M80='Kunci Adjudikasi'!S80)+('Kunci Adjudikasi'!$E$1&gt;=3)*('Kunci Adjudikasi'!M80&lt;&gt;"")*('Kunci Adjudikasi'!Y80&lt;&gt;"")*('Kunci Adjudikasi'!M80='Kunci Adjudikasi'!Y80)+('Kunci Adjudikasi'!$E$1&gt;=4)*('Kunci Adjudikasi'!M80&lt;&gt;"")*('Kunci Adjudikasi'!AE80&lt;&gt;"")*('Kunci Adjudikasi'!M80='Kunci Adjudikasi'!AE80)+('Kunci Adjudikasi'!$E$1&gt;=3)*('Kunci Adjudikasi'!S80&lt;&gt;"")*('Kunci Adjudikasi'!Y80&lt;&gt;"")*('Kunci Adjudikasi'!S80='Kunci Adjudikasi'!Y80)+('Kunci Adjudikasi'!$E$1&gt;=4)*('Kunci Adjudikasi'!S80&lt;&gt;"")*('Kunci Adjudikasi'!AE80&lt;&gt;"")*('Kunci Adjudikasi'!S80='Kunci Adjudikasi'!AE80)+('Kunci Adjudikasi'!$E$1&gt;=4)*('Kunci Adjudikasi'!Y80&lt;&gt;"")*('Kunci Adjudikasi'!AE80&lt;&gt;"")*('Kunci Adjudikasi'!Y80='Kunci Adjudikasi'!AE80)))/(B80-1),0)</f>
        <v>0</v>
      </c>
      <c r="D80" s="20">
        <f>('Kunci Adjudikasi'!N80&lt;&gt;"")+('Kunci Adjudikasi'!T80&lt;&gt;"")+('Kunci Adjudikasi'!$E$1&gt;=3)*('Kunci Adjudikasi'!Z80&lt;&gt;"")+('Kunci Adjudikasi'!$E$1&gt;=4)*('Kunci Adjudikasi'!AF80&lt;&gt;"")</f>
        <v>0</v>
      </c>
      <c r="E80" s="20">
        <f>IF(D80&gt;=2,(D80*(D80-1)/2-(('Kunci Adjudikasi'!N80&lt;&gt;"")*('Kunci Adjudikasi'!T80&lt;&gt;"")*('Kunci Adjudikasi'!N80='Kunci Adjudikasi'!T80)+('Kunci Adjudikasi'!$E$1&gt;=3)*('Kunci Adjudikasi'!N80&lt;&gt;"")*('Kunci Adjudikasi'!Z80&lt;&gt;"")*('Kunci Adjudikasi'!N80='Kunci Adjudikasi'!Z80)+('Kunci Adjudikasi'!$E$1&gt;=4)*('Kunci Adjudikasi'!N80&lt;&gt;"")*('Kunci Adjudikasi'!AF80&lt;&gt;"")*('Kunci Adjudikasi'!N80='Kunci Adjudikasi'!AF80)+('Kunci Adjudikasi'!$E$1&gt;=3)*('Kunci Adjudikasi'!T80&lt;&gt;"")*('Kunci Adjudikasi'!Z80&lt;&gt;"")*('Kunci Adjudikasi'!T80='Kunci Adjudikasi'!Z80)+('Kunci Adjudikasi'!$E$1&gt;=4)*('Kunci Adjudikasi'!T80&lt;&gt;"")*('Kunci Adjudikasi'!AF80&lt;&gt;"")*('Kunci Adjudikasi'!T80='Kunci Adjudikasi'!AF80)+('Kunci Adjudikasi'!$E$1&gt;=4)*('Kunci Adjudikasi'!Z80&lt;&gt;"")*('Kunci Adjudikasi'!AF80&lt;&gt;"")*('Kunci Adjudikasi'!Z80='Kunci Adjudikasi'!AF80)))/(D80-1),0)</f>
        <v>0</v>
      </c>
      <c r="F80" s="20">
        <f>('Kunci Adjudikasi'!O80&lt;&gt;"")+('Kunci Adjudikasi'!U80&lt;&gt;"")+('Kunci Adjudikasi'!$E$1&gt;=3)*('Kunci Adjudikasi'!AA80&lt;&gt;"")+('Kunci Adjudikasi'!$E$1&gt;=4)*('Kunci Adjudikasi'!AG80&lt;&gt;"")</f>
        <v>0</v>
      </c>
      <c r="G80" s="20">
        <f>IF(F80&gt;=2,(F80*(F80-1)/2-(('Kunci Adjudikasi'!O80&lt;&gt;"")*('Kunci Adjudikasi'!U80&lt;&gt;"")*('Kunci Adjudikasi'!O80='Kunci Adjudikasi'!U80)+('Kunci Adjudikasi'!$E$1&gt;=3)*('Kunci Adjudikasi'!O80&lt;&gt;"")*('Kunci Adjudikasi'!AA80&lt;&gt;"")*('Kunci Adjudikasi'!O80='Kunci Adjudikasi'!AA80)+('Kunci Adjudikasi'!$E$1&gt;=4)*('Kunci Adjudikasi'!O80&lt;&gt;"")*('Kunci Adjudikasi'!AG80&lt;&gt;"")*('Kunci Adjudikasi'!O80='Kunci Adjudikasi'!AG80)+('Kunci Adjudikasi'!$E$1&gt;=3)*('Kunci Adjudikasi'!U80&lt;&gt;"")*('Kunci Adjudikasi'!AA80&lt;&gt;"")*('Kunci Adjudikasi'!U80='Kunci Adjudikasi'!AA80)+('Kunci Adjudikasi'!$E$1&gt;=4)*('Kunci Adjudikasi'!U80&lt;&gt;"")*('Kunci Adjudikasi'!AG80&lt;&gt;"")*('Kunci Adjudikasi'!U80='Kunci Adjudikasi'!AG80)+('Kunci Adjudikasi'!$E$1&gt;=4)*('Kunci Adjudikasi'!AA80&lt;&gt;"")*('Kunci Adjudikasi'!AG80&lt;&gt;"")*('Kunci Adjudikasi'!AA80='Kunci Adjudikasi'!AG80)))/(F80-1),0)</f>
        <v>0</v>
      </c>
      <c r="H80" s="20">
        <f>('Kunci Adjudikasi'!P80&lt;&gt;"")+('Kunci Adjudikasi'!V80&lt;&gt;"")+('Kunci Adjudikasi'!$E$1&gt;=3)*('Kunci Adjudikasi'!AB80&lt;&gt;"")+('Kunci Adjudikasi'!$E$1&gt;=4)*('Kunci Adjudikasi'!AH80&lt;&gt;"")</f>
        <v>0</v>
      </c>
      <c r="I80" s="20">
        <f>IF(H80&gt;=2,(H80*(H80-1)/2-(('Kunci Adjudikasi'!P80&lt;&gt;"")*('Kunci Adjudikasi'!V80&lt;&gt;"")*('Kunci Adjudikasi'!P80='Kunci Adjudikasi'!V80)+('Kunci Adjudikasi'!$E$1&gt;=3)*('Kunci Adjudikasi'!P80&lt;&gt;"")*('Kunci Adjudikasi'!AB80&lt;&gt;"")*('Kunci Adjudikasi'!P80='Kunci Adjudikasi'!AB80)+('Kunci Adjudikasi'!$E$1&gt;=4)*('Kunci Adjudikasi'!P80&lt;&gt;"")*('Kunci Adjudikasi'!AH80&lt;&gt;"")*('Kunci Adjudikasi'!P80='Kunci Adjudikasi'!AH80)+('Kunci Adjudikasi'!$E$1&gt;=3)*('Kunci Adjudikasi'!V80&lt;&gt;"")*('Kunci Adjudikasi'!AB80&lt;&gt;"")*('Kunci Adjudikasi'!V80='Kunci Adjudikasi'!AB80)+('Kunci Adjudikasi'!$E$1&gt;=4)*('Kunci Adjudikasi'!V80&lt;&gt;"")*('Kunci Adjudikasi'!AH80&lt;&gt;"")*('Kunci Adjudikasi'!V80='Kunci Adjudikasi'!AH80)+('Kunci Adjudikasi'!$E$1&gt;=4)*('Kunci Adjudikasi'!AB80&lt;&gt;"")*('Kunci Adjudikasi'!AH80&lt;&gt;"")*('Kunci Adjudikasi'!AB80='Kunci Adjudikasi'!AH80)))/(H80-1),0)</f>
        <v>0</v>
      </c>
      <c r="J80" s="20">
        <f>('Kunci Adjudikasi'!Q80&lt;&gt;"")+('Kunci Adjudikasi'!W80&lt;&gt;"")+('Kunci Adjudikasi'!$E$1&gt;=3)*('Kunci Adjudikasi'!AC80&lt;&gt;"")+('Kunci Adjudikasi'!$E$1&gt;=4)*('Kunci Adjudikasi'!AI80&lt;&gt;"")</f>
        <v>0</v>
      </c>
      <c r="K80" s="20">
        <f>IF(J80&gt;=2,(J80*(J80-1)/2-(('Kunci Adjudikasi'!Q80&lt;&gt;"")*('Kunci Adjudikasi'!W80&lt;&gt;"")*('Kunci Adjudikasi'!Q80='Kunci Adjudikasi'!W80)+('Kunci Adjudikasi'!$E$1&gt;=3)*('Kunci Adjudikasi'!Q80&lt;&gt;"")*('Kunci Adjudikasi'!AC80&lt;&gt;"")*('Kunci Adjudikasi'!Q80='Kunci Adjudikasi'!AC80)+('Kunci Adjudikasi'!$E$1&gt;=4)*('Kunci Adjudikasi'!Q80&lt;&gt;"")*('Kunci Adjudikasi'!AI80&lt;&gt;"")*('Kunci Adjudikasi'!Q80='Kunci Adjudikasi'!AI80)+('Kunci Adjudikasi'!$E$1&gt;=3)*('Kunci Adjudikasi'!W80&lt;&gt;"")*('Kunci Adjudikasi'!AC80&lt;&gt;"")*('Kunci Adjudikasi'!W80='Kunci Adjudikasi'!AC80)+('Kunci Adjudikasi'!$E$1&gt;=4)*('Kunci Adjudikasi'!W80&lt;&gt;"")*('Kunci Adjudikasi'!AI80&lt;&gt;"")*('Kunci Adjudikasi'!W80='Kunci Adjudikasi'!AI80)+('Kunci Adjudikasi'!$E$1&gt;=4)*('Kunci Adjudikasi'!AC80&lt;&gt;"")*('Kunci Adjudikasi'!AI80&lt;&gt;"")*('Kunci Adjudikasi'!AC80='Kunci Adjudikasi'!AI80)))/(J80-1),0)</f>
        <v>0</v>
      </c>
      <c r="L80" s="20">
        <f>('Kunci Adjudikasi'!R80&lt;&gt;"")+('Kunci Adjudikasi'!X80&lt;&gt;"")+('Kunci Adjudikasi'!$E$1&gt;=3)*('Kunci Adjudikasi'!AD80&lt;&gt;"")+('Kunci Adjudikasi'!$E$1&gt;=4)*('Kunci Adjudikasi'!AJ80&lt;&gt;"")</f>
        <v>0</v>
      </c>
      <c r="M80" s="20">
        <f>IF(L80&gt;=2,(L80*(L80-1)/2-(('Kunci Adjudikasi'!R80&lt;&gt;"")*('Kunci Adjudikasi'!X80&lt;&gt;"")*('Kunci Adjudikasi'!R80='Kunci Adjudikasi'!X80)+('Kunci Adjudikasi'!$E$1&gt;=3)*('Kunci Adjudikasi'!R80&lt;&gt;"")*('Kunci Adjudikasi'!AD80&lt;&gt;"")*('Kunci Adjudikasi'!R80='Kunci Adjudikasi'!AD80)+('Kunci Adjudikasi'!$E$1&gt;=4)*('Kunci Adjudikasi'!R80&lt;&gt;"")*('Kunci Adjudikasi'!AJ80&lt;&gt;"")*('Kunci Adjudikasi'!R80='Kunci Adjudikasi'!AJ80)+('Kunci Adjudikasi'!$E$1&gt;=3)*('Kunci Adjudikasi'!X80&lt;&gt;"")*('Kunci Adjudikasi'!AD80&lt;&gt;"")*('Kunci Adjudikasi'!X80='Kunci Adjudikasi'!AD80)+('Kunci Adjudikasi'!$E$1&gt;=4)*('Kunci Adjudikasi'!X80&lt;&gt;"")*('Kunci Adjudikasi'!AJ80&lt;&gt;"")*('Kunci Adjudikasi'!X80='Kunci Adjudikasi'!AJ80)+('Kunci Adjudikasi'!$E$1&gt;=4)*('Kunci Adjudikasi'!AD80&lt;&gt;"")*('Kunci Adjudikasi'!AJ80&lt;&gt;"")*('Kunci Adjudikasi'!AD80='Kunci Adjudikasi'!AJ80)))/(L80-1),0)</f>
        <v>0</v>
      </c>
      <c r="N80" s="20">
        <f>(LEFT('Kunci Adjudikasi'!N80,2)="R0")+(LEFT('Kunci Adjudikasi'!T80,2)="R0")+('Kunci Adjudikasi'!$E$1&gt;=3)*(LEFT('Kunci Adjudikasi'!Z80,2)="R0")+('Kunci Adjudikasi'!$E$1&gt;=4)*(LEFT('Kunci Adjudikasi'!AF80,2)="R0")</f>
        <v>0</v>
      </c>
      <c r="O80" s="20">
        <f>(LEFT('Kunci Adjudikasi'!N80,2)="R1")+(LEFT('Kunci Adjudikasi'!T80,2)="R1")+('Kunci Adjudikasi'!$E$1&gt;=3)*(LEFT('Kunci Adjudikasi'!Z80,2)="R1")+('Kunci Adjudikasi'!$E$1&gt;=4)*(LEFT('Kunci Adjudikasi'!AF80,2)="R1")</f>
        <v>0</v>
      </c>
      <c r="P80" s="20">
        <f>(LEFT('Kunci Adjudikasi'!N80,2)="R2")+(LEFT('Kunci Adjudikasi'!T80,2)="R2")+('Kunci Adjudikasi'!$E$1&gt;=3)*(LEFT('Kunci Adjudikasi'!Z80,2)="R2")+('Kunci Adjudikasi'!$E$1&gt;=4)*(LEFT('Kunci Adjudikasi'!AF80,2)="R2")</f>
        <v>0</v>
      </c>
      <c r="Q80" s="20">
        <f t="shared" si="46"/>
        <v>0</v>
      </c>
      <c r="R80" s="20">
        <f t="shared" si="47"/>
        <v>0</v>
      </c>
      <c r="S80" s="20">
        <f t="shared" si="48"/>
        <v>0</v>
      </c>
    </row>
    <row r="81">
      <c r="A81" s="20">
        <f>'Kunci Adjudikasi'!A81</f>
        <v>78</v>
      </c>
      <c r="B81" s="20">
        <f>('Kunci Adjudikasi'!M81&lt;&gt;"")+('Kunci Adjudikasi'!S81&lt;&gt;"")+('Kunci Adjudikasi'!$E$1&gt;=3)*('Kunci Adjudikasi'!Y81&lt;&gt;"")+('Kunci Adjudikasi'!$E$1&gt;=4)*('Kunci Adjudikasi'!AE81&lt;&gt;"")</f>
        <v>0</v>
      </c>
      <c r="C81" s="20">
        <f>IF(B81&gt;=2,(B81*(B81-1)/2-(('Kunci Adjudikasi'!M81&lt;&gt;"")*('Kunci Adjudikasi'!S81&lt;&gt;"")*('Kunci Adjudikasi'!M81='Kunci Adjudikasi'!S81)+('Kunci Adjudikasi'!$E$1&gt;=3)*('Kunci Adjudikasi'!M81&lt;&gt;"")*('Kunci Adjudikasi'!Y81&lt;&gt;"")*('Kunci Adjudikasi'!M81='Kunci Adjudikasi'!Y81)+('Kunci Adjudikasi'!$E$1&gt;=4)*('Kunci Adjudikasi'!M81&lt;&gt;"")*('Kunci Adjudikasi'!AE81&lt;&gt;"")*('Kunci Adjudikasi'!M81='Kunci Adjudikasi'!AE81)+('Kunci Adjudikasi'!$E$1&gt;=3)*('Kunci Adjudikasi'!S81&lt;&gt;"")*('Kunci Adjudikasi'!Y81&lt;&gt;"")*('Kunci Adjudikasi'!S81='Kunci Adjudikasi'!Y81)+('Kunci Adjudikasi'!$E$1&gt;=4)*('Kunci Adjudikasi'!S81&lt;&gt;"")*('Kunci Adjudikasi'!AE81&lt;&gt;"")*('Kunci Adjudikasi'!S81='Kunci Adjudikasi'!AE81)+('Kunci Adjudikasi'!$E$1&gt;=4)*('Kunci Adjudikasi'!Y81&lt;&gt;"")*('Kunci Adjudikasi'!AE81&lt;&gt;"")*('Kunci Adjudikasi'!Y81='Kunci Adjudikasi'!AE81)))/(B81-1),0)</f>
        <v>0</v>
      </c>
      <c r="D81" s="20">
        <f>('Kunci Adjudikasi'!N81&lt;&gt;"")+('Kunci Adjudikasi'!T81&lt;&gt;"")+('Kunci Adjudikasi'!$E$1&gt;=3)*('Kunci Adjudikasi'!Z81&lt;&gt;"")+('Kunci Adjudikasi'!$E$1&gt;=4)*('Kunci Adjudikasi'!AF81&lt;&gt;"")</f>
        <v>0</v>
      </c>
      <c r="E81" s="20">
        <f>IF(D81&gt;=2,(D81*(D81-1)/2-(('Kunci Adjudikasi'!N81&lt;&gt;"")*('Kunci Adjudikasi'!T81&lt;&gt;"")*('Kunci Adjudikasi'!N81='Kunci Adjudikasi'!T81)+('Kunci Adjudikasi'!$E$1&gt;=3)*('Kunci Adjudikasi'!N81&lt;&gt;"")*('Kunci Adjudikasi'!Z81&lt;&gt;"")*('Kunci Adjudikasi'!N81='Kunci Adjudikasi'!Z81)+('Kunci Adjudikasi'!$E$1&gt;=4)*('Kunci Adjudikasi'!N81&lt;&gt;"")*('Kunci Adjudikasi'!AF81&lt;&gt;"")*('Kunci Adjudikasi'!N81='Kunci Adjudikasi'!AF81)+('Kunci Adjudikasi'!$E$1&gt;=3)*('Kunci Adjudikasi'!T81&lt;&gt;"")*('Kunci Adjudikasi'!Z81&lt;&gt;"")*('Kunci Adjudikasi'!T81='Kunci Adjudikasi'!Z81)+('Kunci Adjudikasi'!$E$1&gt;=4)*('Kunci Adjudikasi'!T81&lt;&gt;"")*('Kunci Adjudikasi'!AF81&lt;&gt;"")*('Kunci Adjudikasi'!T81='Kunci Adjudikasi'!AF81)+('Kunci Adjudikasi'!$E$1&gt;=4)*('Kunci Adjudikasi'!Z81&lt;&gt;"")*('Kunci Adjudikasi'!AF81&lt;&gt;"")*('Kunci Adjudikasi'!Z81='Kunci Adjudikasi'!AF81)))/(D81-1),0)</f>
        <v>0</v>
      </c>
      <c r="F81" s="20">
        <f>('Kunci Adjudikasi'!O81&lt;&gt;"")+('Kunci Adjudikasi'!U81&lt;&gt;"")+('Kunci Adjudikasi'!$E$1&gt;=3)*('Kunci Adjudikasi'!AA81&lt;&gt;"")+('Kunci Adjudikasi'!$E$1&gt;=4)*('Kunci Adjudikasi'!AG81&lt;&gt;"")</f>
        <v>0</v>
      </c>
      <c r="G81" s="20">
        <f>IF(F81&gt;=2,(F81*(F81-1)/2-(('Kunci Adjudikasi'!O81&lt;&gt;"")*('Kunci Adjudikasi'!U81&lt;&gt;"")*('Kunci Adjudikasi'!O81='Kunci Adjudikasi'!U81)+('Kunci Adjudikasi'!$E$1&gt;=3)*('Kunci Adjudikasi'!O81&lt;&gt;"")*('Kunci Adjudikasi'!AA81&lt;&gt;"")*('Kunci Adjudikasi'!O81='Kunci Adjudikasi'!AA81)+('Kunci Adjudikasi'!$E$1&gt;=4)*('Kunci Adjudikasi'!O81&lt;&gt;"")*('Kunci Adjudikasi'!AG81&lt;&gt;"")*('Kunci Adjudikasi'!O81='Kunci Adjudikasi'!AG81)+('Kunci Adjudikasi'!$E$1&gt;=3)*('Kunci Adjudikasi'!U81&lt;&gt;"")*('Kunci Adjudikasi'!AA81&lt;&gt;"")*('Kunci Adjudikasi'!U81='Kunci Adjudikasi'!AA81)+('Kunci Adjudikasi'!$E$1&gt;=4)*('Kunci Adjudikasi'!U81&lt;&gt;"")*('Kunci Adjudikasi'!AG81&lt;&gt;"")*('Kunci Adjudikasi'!U81='Kunci Adjudikasi'!AG81)+('Kunci Adjudikasi'!$E$1&gt;=4)*('Kunci Adjudikasi'!AA81&lt;&gt;"")*('Kunci Adjudikasi'!AG81&lt;&gt;"")*('Kunci Adjudikasi'!AA81='Kunci Adjudikasi'!AG81)))/(F81-1),0)</f>
        <v>0</v>
      </c>
      <c r="H81" s="20">
        <f>('Kunci Adjudikasi'!P81&lt;&gt;"")+('Kunci Adjudikasi'!V81&lt;&gt;"")+('Kunci Adjudikasi'!$E$1&gt;=3)*('Kunci Adjudikasi'!AB81&lt;&gt;"")+('Kunci Adjudikasi'!$E$1&gt;=4)*('Kunci Adjudikasi'!AH81&lt;&gt;"")</f>
        <v>0</v>
      </c>
      <c r="I81" s="20">
        <f>IF(H81&gt;=2,(H81*(H81-1)/2-(('Kunci Adjudikasi'!P81&lt;&gt;"")*('Kunci Adjudikasi'!V81&lt;&gt;"")*('Kunci Adjudikasi'!P81='Kunci Adjudikasi'!V81)+('Kunci Adjudikasi'!$E$1&gt;=3)*('Kunci Adjudikasi'!P81&lt;&gt;"")*('Kunci Adjudikasi'!AB81&lt;&gt;"")*('Kunci Adjudikasi'!P81='Kunci Adjudikasi'!AB81)+('Kunci Adjudikasi'!$E$1&gt;=4)*('Kunci Adjudikasi'!P81&lt;&gt;"")*('Kunci Adjudikasi'!AH81&lt;&gt;"")*('Kunci Adjudikasi'!P81='Kunci Adjudikasi'!AH81)+('Kunci Adjudikasi'!$E$1&gt;=3)*('Kunci Adjudikasi'!V81&lt;&gt;"")*('Kunci Adjudikasi'!AB81&lt;&gt;"")*('Kunci Adjudikasi'!V81='Kunci Adjudikasi'!AB81)+('Kunci Adjudikasi'!$E$1&gt;=4)*('Kunci Adjudikasi'!V81&lt;&gt;"")*('Kunci Adjudikasi'!AH81&lt;&gt;"")*('Kunci Adjudikasi'!V81='Kunci Adjudikasi'!AH81)+('Kunci Adjudikasi'!$E$1&gt;=4)*('Kunci Adjudikasi'!AB81&lt;&gt;"")*('Kunci Adjudikasi'!AH81&lt;&gt;"")*('Kunci Adjudikasi'!AB81='Kunci Adjudikasi'!AH81)))/(H81-1),0)</f>
        <v>0</v>
      </c>
      <c r="J81" s="20">
        <f>('Kunci Adjudikasi'!Q81&lt;&gt;"")+('Kunci Adjudikasi'!W81&lt;&gt;"")+('Kunci Adjudikasi'!$E$1&gt;=3)*('Kunci Adjudikasi'!AC81&lt;&gt;"")+('Kunci Adjudikasi'!$E$1&gt;=4)*('Kunci Adjudikasi'!AI81&lt;&gt;"")</f>
        <v>0</v>
      </c>
      <c r="K81" s="20">
        <f>IF(J81&gt;=2,(J81*(J81-1)/2-(('Kunci Adjudikasi'!Q81&lt;&gt;"")*('Kunci Adjudikasi'!W81&lt;&gt;"")*('Kunci Adjudikasi'!Q81='Kunci Adjudikasi'!W81)+('Kunci Adjudikasi'!$E$1&gt;=3)*('Kunci Adjudikasi'!Q81&lt;&gt;"")*('Kunci Adjudikasi'!AC81&lt;&gt;"")*('Kunci Adjudikasi'!Q81='Kunci Adjudikasi'!AC81)+('Kunci Adjudikasi'!$E$1&gt;=4)*('Kunci Adjudikasi'!Q81&lt;&gt;"")*('Kunci Adjudikasi'!AI81&lt;&gt;"")*('Kunci Adjudikasi'!Q81='Kunci Adjudikasi'!AI81)+('Kunci Adjudikasi'!$E$1&gt;=3)*('Kunci Adjudikasi'!W81&lt;&gt;"")*('Kunci Adjudikasi'!AC81&lt;&gt;"")*('Kunci Adjudikasi'!W81='Kunci Adjudikasi'!AC81)+('Kunci Adjudikasi'!$E$1&gt;=4)*('Kunci Adjudikasi'!W81&lt;&gt;"")*('Kunci Adjudikasi'!AI81&lt;&gt;"")*('Kunci Adjudikasi'!W81='Kunci Adjudikasi'!AI81)+('Kunci Adjudikasi'!$E$1&gt;=4)*('Kunci Adjudikasi'!AC81&lt;&gt;"")*('Kunci Adjudikasi'!AI81&lt;&gt;"")*('Kunci Adjudikasi'!AC81='Kunci Adjudikasi'!AI81)))/(J81-1),0)</f>
        <v>0</v>
      </c>
      <c r="L81" s="20">
        <f>('Kunci Adjudikasi'!R81&lt;&gt;"")+('Kunci Adjudikasi'!X81&lt;&gt;"")+('Kunci Adjudikasi'!$E$1&gt;=3)*('Kunci Adjudikasi'!AD81&lt;&gt;"")+('Kunci Adjudikasi'!$E$1&gt;=4)*('Kunci Adjudikasi'!AJ81&lt;&gt;"")</f>
        <v>0</v>
      </c>
      <c r="M81" s="20">
        <f>IF(L81&gt;=2,(L81*(L81-1)/2-(('Kunci Adjudikasi'!R81&lt;&gt;"")*('Kunci Adjudikasi'!X81&lt;&gt;"")*('Kunci Adjudikasi'!R81='Kunci Adjudikasi'!X81)+('Kunci Adjudikasi'!$E$1&gt;=3)*('Kunci Adjudikasi'!R81&lt;&gt;"")*('Kunci Adjudikasi'!AD81&lt;&gt;"")*('Kunci Adjudikasi'!R81='Kunci Adjudikasi'!AD81)+('Kunci Adjudikasi'!$E$1&gt;=4)*('Kunci Adjudikasi'!R81&lt;&gt;"")*('Kunci Adjudikasi'!AJ81&lt;&gt;"")*('Kunci Adjudikasi'!R81='Kunci Adjudikasi'!AJ81)+('Kunci Adjudikasi'!$E$1&gt;=3)*('Kunci Adjudikasi'!X81&lt;&gt;"")*('Kunci Adjudikasi'!AD81&lt;&gt;"")*('Kunci Adjudikasi'!X81='Kunci Adjudikasi'!AD81)+('Kunci Adjudikasi'!$E$1&gt;=4)*('Kunci Adjudikasi'!X81&lt;&gt;"")*('Kunci Adjudikasi'!AJ81&lt;&gt;"")*('Kunci Adjudikasi'!X81='Kunci Adjudikasi'!AJ81)+('Kunci Adjudikasi'!$E$1&gt;=4)*('Kunci Adjudikasi'!AD81&lt;&gt;"")*('Kunci Adjudikasi'!AJ81&lt;&gt;"")*('Kunci Adjudikasi'!AD81='Kunci Adjudikasi'!AJ81)))/(L81-1),0)</f>
        <v>0</v>
      </c>
      <c r="N81" s="20">
        <f>(LEFT('Kunci Adjudikasi'!N81,2)="R0")+(LEFT('Kunci Adjudikasi'!T81,2)="R0")+('Kunci Adjudikasi'!$E$1&gt;=3)*(LEFT('Kunci Adjudikasi'!Z81,2)="R0")+('Kunci Adjudikasi'!$E$1&gt;=4)*(LEFT('Kunci Adjudikasi'!AF81,2)="R0")</f>
        <v>0</v>
      </c>
      <c r="O81" s="20">
        <f>(LEFT('Kunci Adjudikasi'!N81,2)="R1")+(LEFT('Kunci Adjudikasi'!T81,2)="R1")+('Kunci Adjudikasi'!$E$1&gt;=3)*(LEFT('Kunci Adjudikasi'!Z81,2)="R1")+('Kunci Adjudikasi'!$E$1&gt;=4)*(LEFT('Kunci Adjudikasi'!AF81,2)="R1")</f>
        <v>0</v>
      </c>
      <c r="P81" s="20">
        <f>(LEFT('Kunci Adjudikasi'!N81,2)="R2")+(LEFT('Kunci Adjudikasi'!T81,2)="R2")+('Kunci Adjudikasi'!$E$1&gt;=3)*(LEFT('Kunci Adjudikasi'!Z81,2)="R2")+('Kunci Adjudikasi'!$E$1&gt;=4)*(LEFT('Kunci Adjudikasi'!AF81,2)="R2")</f>
        <v>0</v>
      </c>
      <c r="Q81" s="20">
        <f t="shared" si="46"/>
        <v>0</v>
      </c>
      <c r="R81" s="20">
        <f t="shared" si="47"/>
        <v>0</v>
      </c>
      <c r="S81" s="20">
        <f t="shared" si="48"/>
        <v>0</v>
      </c>
    </row>
    <row r="82">
      <c r="A82" s="20">
        <f>'Kunci Adjudikasi'!A82</f>
        <v>79</v>
      </c>
      <c r="B82" s="20">
        <f>('Kunci Adjudikasi'!M82&lt;&gt;"")+('Kunci Adjudikasi'!S82&lt;&gt;"")+('Kunci Adjudikasi'!$E$1&gt;=3)*('Kunci Adjudikasi'!Y82&lt;&gt;"")+('Kunci Adjudikasi'!$E$1&gt;=4)*('Kunci Adjudikasi'!AE82&lt;&gt;"")</f>
        <v>1</v>
      </c>
      <c r="C82" s="20">
        <f>IF(B82&gt;=2,(B82*(B82-1)/2-(('Kunci Adjudikasi'!M82&lt;&gt;"")*('Kunci Adjudikasi'!S82&lt;&gt;"")*('Kunci Adjudikasi'!M82='Kunci Adjudikasi'!S82)+('Kunci Adjudikasi'!$E$1&gt;=3)*('Kunci Adjudikasi'!M82&lt;&gt;"")*('Kunci Adjudikasi'!Y82&lt;&gt;"")*('Kunci Adjudikasi'!M82='Kunci Adjudikasi'!Y82)+('Kunci Adjudikasi'!$E$1&gt;=4)*('Kunci Adjudikasi'!M82&lt;&gt;"")*('Kunci Adjudikasi'!AE82&lt;&gt;"")*('Kunci Adjudikasi'!M82='Kunci Adjudikasi'!AE82)+('Kunci Adjudikasi'!$E$1&gt;=3)*('Kunci Adjudikasi'!S82&lt;&gt;"")*('Kunci Adjudikasi'!Y82&lt;&gt;"")*('Kunci Adjudikasi'!S82='Kunci Adjudikasi'!Y82)+('Kunci Adjudikasi'!$E$1&gt;=4)*('Kunci Adjudikasi'!S82&lt;&gt;"")*('Kunci Adjudikasi'!AE82&lt;&gt;"")*('Kunci Adjudikasi'!S82='Kunci Adjudikasi'!AE82)+('Kunci Adjudikasi'!$E$1&gt;=4)*('Kunci Adjudikasi'!Y82&lt;&gt;"")*('Kunci Adjudikasi'!AE82&lt;&gt;"")*('Kunci Adjudikasi'!Y82='Kunci Adjudikasi'!AE82)))/(B82-1),0)</f>
        <v>0</v>
      </c>
      <c r="D82" s="20">
        <f>('Kunci Adjudikasi'!N82&lt;&gt;"")+('Kunci Adjudikasi'!T82&lt;&gt;"")+('Kunci Adjudikasi'!$E$1&gt;=3)*('Kunci Adjudikasi'!Z82&lt;&gt;"")+('Kunci Adjudikasi'!$E$1&gt;=4)*('Kunci Adjudikasi'!AF82&lt;&gt;"")</f>
        <v>1</v>
      </c>
      <c r="E82" s="20">
        <f>IF(D82&gt;=2,(D82*(D82-1)/2-(('Kunci Adjudikasi'!N82&lt;&gt;"")*('Kunci Adjudikasi'!T82&lt;&gt;"")*('Kunci Adjudikasi'!N82='Kunci Adjudikasi'!T82)+('Kunci Adjudikasi'!$E$1&gt;=3)*('Kunci Adjudikasi'!N82&lt;&gt;"")*('Kunci Adjudikasi'!Z82&lt;&gt;"")*('Kunci Adjudikasi'!N82='Kunci Adjudikasi'!Z82)+('Kunci Adjudikasi'!$E$1&gt;=4)*('Kunci Adjudikasi'!N82&lt;&gt;"")*('Kunci Adjudikasi'!AF82&lt;&gt;"")*('Kunci Adjudikasi'!N82='Kunci Adjudikasi'!AF82)+('Kunci Adjudikasi'!$E$1&gt;=3)*('Kunci Adjudikasi'!T82&lt;&gt;"")*('Kunci Adjudikasi'!Z82&lt;&gt;"")*('Kunci Adjudikasi'!T82='Kunci Adjudikasi'!Z82)+('Kunci Adjudikasi'!$E$1&gt;=4)*('Kunci Adjudikasi'!T82&lt;&gt;"")*('Kunci Adjudikasi'!AF82&lt;&gt;"")*('Kunci Adjudikasi'!T82='Kunci Adjudikasi'!AF82)+('Kunci Adjudikasi'!$E$1&gt;=4)*('Kunci Adjudikasi'!Z82&lt;&gt;"")*('Kunci Adjudikasi'!AF82&lt;&gt;"")*('Kunci Adjudikasi'!Z82='Kunci Adjudikasi'!AF82)))/(D82-1),0)</f>
        <v>0</v>
      </c>
      <c r="F82" s="20">
        <f>('Kunci Adjudikasi'!O82&lt;&gt;"")+('Kunci Adjudikasi'!U82&lt;&gt;"")+('Kunci Adjudikasi'!$E$1&gt;=3)*('Kunci Adjudikasi'!AA82&lt;&gt;"")+('Kunci Adjudikasi'!$E$1&gt;=4)*('Kunci Adjudikasi'!AG82&lt;&gt;"")</f>
        <v>1</v>
      </c>
      <c r="G82" s="20">
        <f>IF(F82&gt;=2,(F82*(F82-1)/2-(('Kunci Adjudikasi'!O82&lt;&gt;"")*('Kunci Adjudikasi'!U82&lt;&gt;"")*('Kunci Adjudikasi'!O82='Kunci Adjudikasi'!U82)+('Kunci Adjudikasi'!$E$1&gt;=3)*('Kunci Adjudikasi'!O82&lt;&gt;"")*('Kunci Adjudikasi'!AA82&lt;&gt;"")*('Kunci Adjudikasi'!O82='Kunci Adjudikasi'!AA82)+('Kunci Adjudikasi'!$E$1&gt;=4)*('Kunci Adjudikasi'!O82&lt;&gt;"")*('Kunci Adjudikasi'!AG82&lt;&gt;"")*('Kunci Adjudikasi'!O82='Kunci Adjudikasi'!AG82)+('Kunci Adjudikasi'!$E$1&gt;=3)*('Kunci Adjudikasi'!U82&lt;&gt;"")*('Kunci Adjudikasi'!AA82&lt;&gt;"")*('Kunci Adjudikasi'!U82='Kunci Adjudikasi'!AA82)+('Kunci Adjudikasi'!$E$1&gt;=4)*('Kunci Adjudikasi'!U82&lt;&gt;"")*('Kunci Adjudikasi'!AG82&lt;&gt;"")*('Kunci Adjudikasi'!U82='Kunci Adjudikasi'!AG82)+('Kunci Adjudikasi'!$E$1&gt;=4)*('Kunci Adjudikasi'!AA82&lt;&gt;"")*('Kunci Adjudikasi'!AG82&lt;&gt;"")*('Kunci Adjudikasi'!AA82='Kunci Adjudikasi'!AG82)))/(F82-1),0)</f>
        <v>0</v>
      </c>
      <c r="H82" s="20">
        <f>('Kunci Adjudikasi'!P82&lt;&gt;"")+('Kunci Adjudikasi'!V82&lt;&gt;"")+('Kunci Adjudikasi'!$E$1&gt;=3)*('Kunci Adjudikasi'!AB82&lt;&gt;"")+('Kunci Adjudikasi'!$E$1&gt;=4)*('Kunci Adjudikasi'!AH82&lt;&gt;"")</f>
        <v>1</v>
      </c>
      <c r="I82" s="20">
        <f>IF(H82&gt;=2,(H82*(H82-1)/2-(('Kunci Adjudikasi'!P82&lt;&gt;"")*('Kunci Adjudikasi'!V82&lt;&gt;"")*('Kunci Adjudikasi'!P82='Kunci Adjudikasi'!V82)+('Kunci Adjudikasi'!$E$1&gt;=3)*('Kunci Adjudikasi'!P82&lt;&gt;"")*('Kunci Adjudikasi'!AB82&lt;&gt;"")*('Kunci Adjudikasi'!P82='Kunci Adjudikasi'!AB82)+('Kunci Adjudikasi'!$E$1&gt;=4)*('Kunci Adjudikasi'!P82&lt;&gt;"")*('Kunci Adjudikasi'!AH82&lt;&gt;"")*('Kunci Adjudikasi'!P82='Kunci Adjudikasi'!AH82)+('Kunci Adjudikasi'!$E$1&gt;=3)*('Kunci Adjudikasi'!V82&lt;&gt;"")*('Kunci Adjudikasi'!AB82&lt;&gt;"")*('Kunci Adjudikasi'!V82='Kunci Adjudikasi'!AB82)+('Kunci Adjudikasi'!$E$1&gt;=4)*('Kunci Adjudikasi'!V82&lt;&gt;"")*('Kunci Adjudikasi'!AH82&lt;&gt;"")*('Kunci Adjudikasi'!V82='Kunci Adjudikasi'!AH82)+('Kunci Adjudikasi'!$E$1&gt;=4)*('Kunci Adjudikasi'!AB82&lt;&gt;"")*('Kunci Adjudikasi'!AH82&lt;&gt;"")*('Kunci Adjudikasi'!AB82='Kunci Adjudikasi'!AH82)))/(H82-1),0)</f>
        <v>0</v>
      </c>
      <c r="J82" s="20">
        <f>('Kunci Adjudikasi'!Q82&lt;&gt;"")+('Kunci Adjudikasi'!W82&lt;&gt;"")+('Kunci Adjudikasi'!$E$1&gt;=3)*('Kunci Adjudikasi'!AC82&lt;&gt;"")+('Kunci Adjudikasi'!$E$1&gt;=4)*('Kunci Adjudikasi'!AI82&lt;&gt;"")</f>
        <v>1</v>
      </c>
      <c r="K82" s="20">
        <f>IF(J82&gt;=2,(J82*(J82-1)/2-(('Kunci Adjudikasi'!Q82&lt;&gt;"")*('Kunci Adjudikasi'!W82&lt;&gt;"")*('Kunci Adjudikasi'!Q82='Kunci Adjudikasi'!W82)+('Kunci Adjudikasi'!$E$1&gt;=3)*('Kunci Adjudikasi'!Q82&lt;&gt;"")*('Kunci Adjudikasi'!AC82&lt;&gt;"")*('Kunci Adjudikasi'!Q82='Kunci Adjudikasi'!AC82)+('Kunci Adjudikasi'!$E$1&gt;=4)*('Kunci Adjudikasi'!Q82&lt;&gt;"")*('Kunci Adjudikasi'!AI82&lt;&gt;"")*('Kunci Adjudikasi'!Q82='Kunci Adjudikasi'!AI82)+('Kunci Adjudikasi'!$E$1&gt;=3)*('Kunci Adjudikasi'!W82&lt;&gt;"")*('Kunci Adjudikasi'!AC82&lt;&gt;"")*('Kunci Adjudikasi'!W82='Kunci Adjudikasi'!AC82)+('Kunci Adjudikasi'!$E$1&gt;=4)*('Kunci Adjudikasi'!W82&lt;&gt;"")*('Kunci Adjudikasi'!AI82&lt;&gt;"")*('Kunci Adjudikasi'!W82='Kunci Adjudikasi'!AI82)+('Kunci Adjudikasi'!$E$1&gt;=4)*('Kunci Adjudikasi'!AC82&lt;&gt;"")*('Kunci Adjudikasi'!AI82&lt;&gt;"")*('Kunci Adjudikasi'!AC82='Kunci Adjudikasi'!AI82)))/(J82-1),0)</f>
        <v>0</v>
      </c>
      <c r="L82" s="20">
        <f>('Kunci Adjudikasi'!R82&lt;&gt;"")+('Kunci Adjudikasi'!X82&lt;&gt;"")+('Kunci Adjudikasi'!$E$1&gt;=3)*('Kunci Adjudikasi'!AD82&lt;&gt;"")+('Kunci Adjudikasi'!$E$1&gt;=4)*('Kunci Adjudikasi'!AJ82&lt;&gt;"")</f>
        <v>1</v>
      </c>
      <c r="M82" s="20">
        <f>IF(L82&gt;=2,(L82*(L82-1)/2-(('Kunci Adjudikasi'!R82&lt;&gt;"")*('Kunci Adjudikasi'!X82&lt;&gt;"")*('Kunci Adjudikasi'!R82='Kunci Adjudikasi'!X82)+('Kunci Adjudikasi'!$E$1&gt;=3)*('Kunci Adjudikasi'!R82&lt;&gt;"")*('Kunci Adjudikasi'!AD82&lt;&gt;"")*('Kunci Adjudikasi'!R82='Kunci Adjudikasi'!AD82)+('Kunci Adjudikasi'!$E$1&gt;=4)*('Kunci Adjudikasi'!R82&lt;&gt;"")*('Kunci Adjudikasi'!AJ82&lt;&gt;"")*('Kunci Adjudikasi'!R82='Kunci Adjudikasi'!AJ82)+('Kunci Adjudikasi'!$E$1&gt;=3)*('Kunci Adjudikasi'!X82&lt;&gt;"")*('Kunci Adjudikasi'!AD82&lt;&gt;"")*('Kunci Adjudikasi'!X82='Kunci Adjudikasi'!AD82)+('Kunci Adjudikasi'!$E$1&gt;=4)*('Kunci Adjudikasi'!X82&lt;&gt;"")*('Kunci Adjudikasi'!AJ82&lt;&gt;"")*('Kunci Adjudikasi'!X82='Kunci Adjudikasi'!AJ82)+('Kunci Adjudikasi'!$E$1&gt;=4)*('Kunci Adjudikasi'!AD82&lt;&gt;"")*('Kunci Adjudikasi'!AJ82&lt;&gt;"")*('Kunci Adjudikasi'!AD82='Kunci Adjudikasi'!AJ82)))/(L82-1),0)</f>
        <v>0</v>
      </c>
      <c r="N82" s="20">
        <f>(LEFT('Kunci Adjudikasi'!N82,2)="R0")+(LEFT('Kunci Adjudikasi'!T82,2)="R0")+('Kunci Adjudikasi'!$E$1&gt;=3)*(LEFT('Kunci Adjudikasi'!Z82,2)="R0")+('Kunci Adjudikasi'!$E$1&gt;=4)*(LEFT('Kunci Adjudikasi'!AF82,2)="R0")</f>
        <v>0</v>
      </c>
      <c r="O82" s="20">
        <f>(LEFT('Kunci Adjudikasi'!N82,2)="R1")+(LEFT('Kunci Adjudikasi'!T82,2)="R1")+('Kunci Adjudikasi'!$E$1&gt;=3)*(LEFT('Kunci Adjudikasi'!Z82,2)="R1")+('Kunci Adjudikasi'!$E$1&gt;=4)*(LEFT('Kunci Adjudikasi'!AF82,2)="R1")</f>
        <v>0</v>
      </c>
      <c r="P82" s="20">
        <f>(LEFT('Kunci Adjudikasi'!N82,2)="R2")+(LEFT('Kunci Adjudikasi'!T82,2)="R2")+('Kunci Adjudikasi'!$E$1&gt;=3)*(LEFT('Kunci Adjudikasi'!Z82,2)="R2")+('Kunci Adjudikasi'!$E$1&gt;=4)*(LEFT('Kunci Adjudikasi'!AF82,2)="R2")</f>
        <v>1</v>
      </c>
      <c r="Q82" s="20">
        <f t="shared" si="46"/>
        <v>0</v>
      </c>
      <c r="R82" s="20">
        <f t="shared" si="47"/>
        <v>0</v>
      </c>
      <c r="S82" s="20">
        <f t="shared" si="48"/>
        <v>0</v>
      </c>
    </row>
    <row r="83">
      <c r="A83" s="20">
        <f>'Kunci Adjudikasi'!A83</f>
        <v>80</v>
      </c>
      <c r="B83" s="20">
        <f>('Kunci Adjudikasi'!M83&lt;&gt;"")+('Kunci Adjudikasi'!S83&lt;&gt;"")+('Kunci Adjudikasi'!$E$1&gt;=3)*('Kunci Adjudikasi'!Y83&lt;&gt;"")+('Kunci Adjudikasi'!$E$1&gt;=4)*('Kunci Adjudikasi'!AE83&lt;&gt;"")</f>
        <v>0</v>
      </c>
      <c r="C83" s="20">
        <f>IF(B83&gt;=2,(B83*(B83-1)/2-(('Kunci Adjudikasi'!M83&lt;&gt;"")*('Kunci Adjudikasi'!S83&lt;&gt;"")*('Kunci Adjudikasi'!M83='Kunci Adjudikasi'!S83)+('Kunci Adjudikasi'!$E$1&gt;=3)*('Kunci Adjudikasi'!M83&lt;&gt;"")*('Kunci Adjudikasi'!Y83&lt;&gt;"")*('Kunci Adjudikasi'!M83='Kunci Adjudikasi'!Y83)+('Kunci Adjudikasi'!$E$1&gt;=4)*('Kunci Adjudikasi'!M83&lt;&gt;"")*('Kunci Adjudikasi'!AE83&lt;&gt;"")*('Kunci Adjudikasi'!M83='Kunci Adjudikasi'!AE83)+('Kunci Adjudikasi'!$E$1&gt;=3)*('Kunci Adjudikasi'!S83&lt;&gt;"")*('Kunci Adjudikasi'!Y83&lt;&gt;"")*('Kunci Adjudikasi'!S83='Kunci Adjudikasi'!Y83)+('Kunci Adjudikasi'!$E$1&gt;=4)*('Kunci Adjudikasi'!S83&lt;&gt;"")*('Kunci Adjudikasi'!AE83&lt;&gt;"")*('Kunci Adjudikasi'!S83='Kunci Adjudikasi'!AE83)+('Kunci Adjudikasi'!$E$1&gt;=4)*('Kunci Adjudikasi'!Y83&lt;&gt;"")*('Kunci Adjudikasi'!AE83&lt;&gt;"")*('Kunci Adjudikasi'!Y83='Kunci Adjudikasi'!AE83)))/(B83-1),0)</f>
        <v>0</v>
      </c>
      <c r="D83" s="20">
        <f>('Kunci Adjudikasi'!N83&lt;&gt;"")+('Kunci Adjudikasi'!T83&lt;&gt;"")+('Kunci Adjudikasi'!$E$1&gt;=3)*('Kunci Adjudikasi'!Z83&lt;&gt;"")+('Kunci Adjudikasi'!$E$1&gt;=4)*('Kunci Adjudikasi'!AF83&lt;&gt;"")</f>
        <v>0</v>
      </c>
      <c r="E83" s="20">
        <f>IF(D83&gt;=2,(D83*(D83-1)/2-(('Kunci Adjudikasi'!N83&lt;&gt;"")*('Kunci Adjudikasi'!T83&lt;&gt;"")*('Kunci Adjudikasi'!N83='Kunci Adjudikasi'!T83)+('Kunci Adjudikasi'!$E$1&gt;=3)*('Kunci Adjudikasi'!N83&lt;&gt;"")*('Kunci Adjudikasi'!Z83&lt;&gt;"")*('Kunci Adjudikasi'!N83='Kunci Adjudikasi'!Z83)+('Kunci Adjudikasi'!$E$1&gt;=4)*('Kunci Adjudikasi'!N83&lt;&gt;"")*('Kunci Adjudikasi'!AF83&lt;&gt;"")*('Kunci Adjudikasi'!N83='Kunci Adjudikasi'!AF83)+('Kunci Adjudikasi'!$E$1&gt;=3)*('Kunci Adjudikasi'!T83&lt;&gt;"")*('Kunci Adjudikasi'!Z83&lt;&gt;"")*('Kunci Adjudikasi'!T83='Kunci Adjudikasi'!Z83)+('Kunci Adjudikasi'!$E$1&gt;=4)*('Kunci Adjudikasi'!T83&lt;&gt;"")*('Kunci Adjudikasi'!AF83&lt;&gt;"")*('Kunci Adjudikasi'!T83='Kunci Adjudikasi'!AF83)+('Kunci Adjudikasi'!$E$1&gt;=4)*('Kunci Adjudikasi'!Z83&lt;&gt;"")*('Kunci Adjudikasi'!AF83&lt;&gt;"")*('Kunci Adjudikasi'!Z83='Kunci Adjudikasi'!AF83)))/(D83-1),0)</f>
        <v>0</v>
      </c>
      <c r="F83" s="20">
        <f>('Kunci Adjudikasi'!O83&lt;&gt;"")+('Kunci Adjudikasi'!U83&lt;&gt;"")+('Kunci Adjudikasi'!$E$1&gt;=3)*('Kunci Adjudikasi'!AA83&lt;&gt;"")+('Kunci Adjudikasi'!$E$1&gt;=4)*('Kunci Adjudikasi'!AG83&lt;&gt;"")</f>
        <v>0</v>
      </c>
      <c r="G83" s="20">
        <f>IF(F83&gt;=2,(F83*(F83-1)/2-(('Kunci Adjudikasi'!O83&lt;&gt;"")*('Kunci Adjudikasi'!U83&lt;&gt;"")*('Kunci Adjudikasi'!O83='Kunci Adjudikasi'!U83)+('Kunci Adjudikasi'!$E$1&gt;=3)*('Kunci Adjudikasi'!O83&lt;&gt;"")*('Kunci Adjudikasi'!AA83&lt;&gt;"")*('Kunci Adjudikasi'!O83='Kunci Adjudikasi'!AA83)+('Kunci Adjudikasi'!$E$1&gt;=4)*('Kunci Adjudikasi'!O83&lt;&gt;"")*('Kunci Adjudikasi'!AG83&lt;&gt;"")*('Kunci Adjudikasi'!O83='Kunci Adjudikasi'!AG83)+('Kunci Adjudikasi'!$E$1&gt;=3)*('Kunci Adjudikasi'!U83&lt;&gt;"")*('Kunci Adjudikasi'!AA83&lt;&gt;"")*('Kunci Adjudikasi'!U83='Kunci Adjudikasi'!AA83)+('Kunci Adjudikasi'!$E$1&gt;=4)*('Kunci Adjudikasi'!U83&lt;&gt;"")*('Kunci Adjudikasi'!AG83&lt;&gt;"")*('Kunci Adjudikasi'!U83='Kunci Adjudikasi'!AG83)+('Kunci Adjudikasi'!$E$1&gt;=4)*('Kunci Adjudikasi'!AA83&lt;&gt;"")*('Kunci Adjudikasi'!AG83&lt;&gt;"")*('Kunci Adjudikasi'!AA83='Kunci Adjudikasi'!AG83)))/(F83-1),0)</f>
        <v>0</v>
      </c>
      <c r="H83" s="20">
        <f>('Kunci Adjudikasi'!P83&lt;&gt;"")+('Kunci Adjudikasi'!V83&lt;&gt;"")+('Kunci Adjudikasi'!$E$1&gt;=3)*('Kunci Adjudikasi'!AB83&lt;&gt;"")+('Kunci Adjudikasi'!$E$1&gt;=4)*('Kunci Adjudikasi'!AH83&lt;&gt;"")</f>
        <v>0</v>
      </c>
      <c r="I83" s="20">
        <f>IF(H83&gt;=2,(H83*(H83-1)/2-(('Kunci Adjudikasi'!P83&lt;&gt;"")*('Kunci Adjudikasi'!V83&lt;&gt;"")*('Kunci Adjudikasi'!P83='Kunci Adjudikasi'!V83)+('Kunci Adjudikasi'!$E$1&gt;=3)*('Kunci Adjudikasi'!P83&lt;&gt;"")*('Kunci Adjudikasi'!AB83&lt;&gt;"")*('Kunci Adjudikasi'!P83='Kunci Adjudikasi'!AB83)+('Kunci Adjudikasi'!$E$1&gt;=4)*('Kunci Adjudikasi'!P83&lt;&gt;"")*('Kunci Adjudikasi'!AH83&lt;&gt;"")*('Kunci Adjudikasi'!P83='Kunci Adjudikasi'!AH83)+('Kunci Adjudikasi'!$E$1&gt;=3)*('Kunci Adjudikasi'!V83&lt;&gt;"")*('Kunci Adjudikasi'!AB83&lt;&gt;"")*('Kunci Adjudikasi'!V83='Kunci Adjudikasi'!AB83)+('Kunci Adjudikasi'!$E$1&gt;=4)*('Kunci Adjudikasi'!V83&lt;&gt;"")*('Kunci Adjudikasi'!AH83&lt;&gt;"")*('Kunci Adjudikasi'!V83='Kunci Adjudikasi'!AH83)+('Kunci Adjudikasi'!$E$1&gt;=4)*('Kunci Adjudikasi'!AB83&lt;&gt;"")*('Kunci Adjudikasi'!AH83&lt;&gt;"")*('Kunci Adjudikasi'!AB83='Kunci Adjudikasi'!AH83)))/(H83-1),0)</f>
        <v>0</v>
      </c>
      <c r="J83" s="20">
        <f>('Kunci Adjudikasi'!Q83&lt;&gt;"")+('Kunci Adjudikasi'!W83&lt;&gt;"")+('Kunci Adjudikasi'!$E$1&gt;=3)*('Kunci Adjudikasi'!AC83&lt;&gt;"")+('Kunci Adjudikasi'!$E$1&gt;=4)*('Kunci Adjudikasi'!AI83&lt;&gt;"")</f>
        <v>0</v>
      </c>
      <c r="K83" s="20">
        <f>IF(J83&gt;=2,(J83*(J83-1)/2-(('Kunci Adjudikasi'!Q83&lt;&gt;"")*('Kunci Adjudikasi'!W83&lt;&gt;"")*('Kunci Adjudikasi'!Q83='Kunci Adjudikasi'!W83)+('Kunci Adjudikasi'!$E$1&gt;=3)*('Kunci Adjudikasi'!Q83&lt;&gt;"")*('Kunci Adjudikasi'!AC83&lt;&gt;"")*('Kunci Adjudikasi'!Q83='Kunci Adjudikasi'!AC83)+('Kunci Adjudikasi'!$E$1&gt;=4)*('Kunci Adjudikasi'!Q83&lt;&gt;"")*('Kunci Adjudikasi'!AI83&lt;&gt;"")*('Kunci Adjudikasi'!Q83='Kunci Adjudikasi'!AI83)+('Kunci Adjudikasi'!$E$1&gt;=3)*('Kunci Adjudikasi'!W83&lt;&gt;"")*('Kunci Adjudikasi'!AC83&lt;&gt;"")*('Kunci Adjudikasi'!W83='Kunci Adjudikasi'!AC83)+('Kunci Adjudikasi'!$E$1&gt;=4)*('Kunci Adjudikasi'!W83&lt;&gt;"")*('Kunci Adjudikasi'!AI83&lt;&gt;"")*('Kunci Adjudikasi'!W83='Kunci Adjudikasi'!AI83)+('Kunci Adjudikasi'!$E$1&gt;=4)*('Kunci Adjudikasi'!AC83&lt;&gt;"")*('Kunci Adjudikasi'!AI83&lt;&gt;"")*('Kunci Adjudikasi'!AC83='Kunci Adjudikasi'!AI83)))/(J83-1),0)</f>
        <v>0</v>
      </c>
      <c r="L83" s="20">
        <f>('Kunci Adjudikasi'!R83&lt;&gt;"")+('Kunci Adjudikasi'!X83&lt;&gt;"")+('Kunci Adjudikasi'!$E$1&gt;=3)*('Kunci Adjudikasi'!AD83&lt;&gt;"")+('Kunci Adjudikasi'!$E$1&gt;=4)*('Kunci Adjudikasi'!AJ83&lt;&gt;"")</f>
        <v>0</v>
      </c>
      <c r="M83" s="20">
        <f>IF(L83&gt;=2,(L83*(L83-1)/2-(('Kunci Adjudikasi'!R83&lt;&gt;"")*('Kunci Adjudikasi'!X83&lt;&gt;"")*('Kunci Adjudikasi'!R83='Kunci Adjudikasi'!X83)+('Kunci Adjudikasi'!$E$1&gt;=3)*('Kunci Adjudikasi'!R83&lt;&gt;"")*('Kunci Adjudikasi'!AD83&lt;&gt;"")*('Kunci Adjudikasi'!R83='Kunci Adjudikasi'!AD83)+('Kunci Adjudikasi'!$E$1&gt;=4)*('Kunci Adjudikasi'!R83&lt;&gt;"")*('Kunci Adjudikasi'!AJ83&lt;&gt;"")*('Kunci Adjudikasi'!R83='Kunci Adjudikasi'!AJ83)+('Kunci Adjudikasi'!$E$1&gt;=3)*('Kunci Adjudikasi'!X83&lt;&gt;"")*('Kunci Adjudikasi'!AD83&lt;&gt;"")*('Kunci Adjudikasi'!X83='Kunci Adjudikasi'!AD83)+('Kunci Adjudikasi'!$E$1&gt;=4)*('Kunci Adjudikasi'!X83&lt;&gt;"")*('Kunci Adjudikasi'!AJ83&lt;&gt;"")*('Kunci Adjudikasi'!X83='Kunci Adjudikasi'!AJ83)+('Kunci Adjudikasi'!$E$1&gt;=4)*('Kunci Adjudikasi'!AD83&lt;&gt;"")*('Kunci Adjudikasi'!AJ83&lt;&gt;"")*('Kunci Adjudikasi'!AD83='Kunci Adjudikasi'!AJ83)))/(L83-1),0)</f>
        <v>0</v>
      </c>
      <c r="N83" s="20">
        <f>(LEFT('Kunci Adjudikasi'!N83,2)="R0")+(LEFT('Kunci Adjudikasi'!T83,2)="R0")+('Kunci Adjudikasi'!$E$1&gt;=3)*(LEFT('Kunci Adjudikasi'!Z83,2)="R0")+('Kunci Adjudikasi'!$E$1&gt;=4)*(LEFT('Kunci Adjudikasi'!AF83,2)="R0")</f>
        <v>0</v>
      </c>
      <c r="O83" s="20">
        <f>(LEFT('Kunci Adjudikasi'!N83,2)="R1")+(LEFT('Kunci Adjudikasi'!T83,2)="R1")+('Kunci Adjudikasi'!$E$1&gt;=3)*(LEFT('Kunci Adjudikasi'!Z83,2)="R1")+('Kunci Adjudikasi'!$E$1&gt;=4)*(LEFT('Kunci Adjudikasi'!AF83,2)="R1")</f>
        <v>0</v>
      </c>
      <c r="P83" s="20">
        <f>(LEFT('Kunci Adjudikasi'!N83,2)="R2")+(LEFT('Kunci Adjudikasi'!T83,2)="R2")+('Kunci Adjudikasi'!$E$1&gt;=3)*(LEFT('Kunci Adjudikasi'!Z83,2)="R2")+('Kunci Adjudikasi'!$E$1&gt;=4)*(LEFT('Kunci Adjudikasi'!AF83,2)="R2")</f>
        <v>0</v>
      </c>
      <c r="Q83" s="20">
        <f t="shared" si="46"/>
        <v>0</v>
      </c>
      <c r="R83" s="20">
        <f t="shared" si="47"/>
        <v>0</v>
      </c>
      <c r="S83" s="20">
        <f t="shared" si="48"/>
        <v>0</v>
      </c>
    </row>
    <row r="84">
      <c r="A84" s="20">
        <f>'Kunci Adjudikasi'!A84</f>
        <v>81</v>
      </c>
      <c r="B84" s="20">
        <f>('Kunci Adjudikasi'!M84&lt;&gt;"")+('Kunci Adjudikasi'!S84&lt;&gt;"")+('Kunci Adjudikasi'!$E$1&gt;=3)*('Kunci Adjudikasi'!Y84&lt;&gt;"")+('Kunci Adjudikasi'!$E$1&gt;=4)*('Kunci Adjudikasi'!AE84&lt;&gt;"")</f>
        <v>1</v>
      </c>
      <c r="C84" s="20">
        <f>IF(B84&gt;=2,(B84*(B84-1)/2-(('Kunci Adjudikasi'!M84&lt;&gt;"")*('Kunci Adjudikasi'!S84&lt;&gt;"")*('Kunci Adjudikasi'!M84='Kunci Adjudikasi'!S84)+('Kunci Adjudikasi'!$E$1&gt;=3)*('Kunci Adjudikasi'!M84&lt;&gt;"")*('Kunci Adjudikasi'!Y84&lt;&gt;"")*('Kunci Adjudikasi'!M84='Kunci Adjudikasi'!Y84)+('Kunci Adjudikasi'!$E$1&gt;=4)*('Kunci Adjudikasi'!M84&lt;&gt;"")*('Kunci Adjudikasi'!AE84&lt;&gt;"")*('Kunci Adjudikasi'!M84='Kunci Adjudikasi'!AE84)+('Kunci Adjudikasi'!$E$1&gt;=3)*('Kunci Adjudikasi'!S84&lt;&gt;"")*('Kunci Adjudikasi'!Y84&lt;&gt;"")*('Kunci Adjudikasi'!S84='Kunci Adjudikasi'!Y84)+('Kunci Adjudikasi'!$E$1&gt;=4)*('Kunci Adjudikasi'!S84&lt;&gt;"")*('Kunci Adjudikasi'!AE84&lt;&gt;"")*('Kunci Adjudikasi'!S84='Kunci Adjudikasi'!AE84)+('Kunci Adjudikasi'!$E$1&gt;=4)*('Kunci Adjudikasi'!Y84&lt;&gt;"")*('Kunci Adjudikasi'!AE84&lt;&gt;"")*('Kunci Adjudikasi'!Y84='Kunci Adjudikasi'!AE84)))/(B84-1),0)</f>
        <v>0</v>
      </c>
      <c r="D84" s="20">
        <f>('Kunci Adjudikasi'!N84&lt;&gt;"")+('Kunci Adjudikasi'!T84&lt;&gt;"")+('Kunci Adjudikasi'!$E$1&gt;=3)*('Kunci Adjudikasi'!Z84&lt;&gt;"")+('Kunci Adjudikasi'!$E$1&gt;=4)*('Kunci Adjudikasi'!AF84&lt;&gt;"")</f>
        <v>1</v>
      </c>
      <c r="E84" s="20">
        <f>IF(D84&gt;=2,(D84*(D84-1)/2-(('Kunci Adjudikasi'!N84&lt;&gt;"")*('Kunci Adjudikasi'!T84&lt;&gt;"")*('Kunci Adjudikasi'!N84='Kunci Adjudikasi'!T84)+('Kunci Adjudikasi'!$E$1&gt;=3)*('Kunci Adjudikasi'!N84&lt;&gt;"")*('Kunci Adjudikasi'!Z84&lt;&gt;"")*('Kunci Adjudikasi'!N84='Kunci Adjudikasi'!Z84)+('Kunci Adjudikasi'!$E$1&gt;=4)*('Kunci Adjudikasi'!N84&lt;&gt;"")*('Kunci Adjudikasi'!AF84&lt;&gt;"")*('Kunci Adjudikasi'!N84='Kunci Adjudikasi'!AF84)+('Kunci Adjudikasi'!$E$1&gt;=3)*('Kunci Adjudikasi'!T84&lt;&gt;"")*('Kunci Adjudikasi'!Z84&lt;&gt;"")*('Kunci Adjudikasi'!T84='Kunci Adjudikasi'!Z84)+('Kunci Adjudikasi'!$E$1&gt;=4)*('Kunci Adjudikasi'!T84&lt;&gt;"")*('Kunci Adjudikasi'!AF84&lt;&gt;"")*('Kunci Adjudikasi'!T84='Kunci Adjudikasi'!AF84)+('Kunci Adjudikasi'!$E$1&gt;=4)*('Kunci Adjudikasi'!Z84&lt;&gt;"")*('Kunci Adjudikasi'!AF84&lt;&gt;"")*('Kunci Adjudikasi'!Z84='Kunci Adjudikasi'!AF84)))/(D84-1),0)</f>
        <v>0</v>
      </c>
      <c r="F84" s="20">
        <f>('Kunci Adjudikasi'!O84&lt;&gt;"")+('Kunci Adjudikasi'!U84&lt;&gt;"")+('Kunci Adjudikasi'!$E$1&gt;=3)*('Kunci Adjudikasi'!AA84&lt;&gt;"")+('Kunci Adjudikasi'!$E$1&gt;=4)*('Kunci Adjudikasi'!AG84&lt;&gt;"")</f>
        <v>1</v>
      </c>
      <c r="G84" s="20">
        <f>IF(F84&gt;=2,(F84*(F84-1)/2-(('Kunci Adjudikasi'!O84&lt;&gt;"")*('Kunci Adjudikasi'!U84&lt;&gt;"")*('Kunci Adjudikasi'!O84='Kunci Adjudikasi'!U84)+('Kunci Adjudikasi'!$E$1&gt;=3)*('Kunci Adjudikasi'!O84&lt;&gt;"")*('Kunci Adjudikasi'!AA84&lt;&gt;"")*('Kunci Adjudikasi'!O84='Kunci Adjudikasi'!AA84)+('Kunci Adjudikasi'!$E$1&gt;=4)*('Kunci Adjudikasi'!O84&lt;&gt;"")*('Kunci Adjudikasi'!AG84&lt;&gt;"")*('Kunci Adjudikasi'!O84='Kunci Adjudikasi'!AG84)+('Kunci Adjudikasi'!$E$1&gt;=3)*('Kunci Adjudikasi'!U84&lt;&gt;"")*('Kunci Adjudikasi'!AA84&lt;&gt;"")*('Kunci Adjudikasi'!U84='Kunci Adjudikasi'!AA84)+('Kunci Adjudikasi'!$E$1&gt;=4)*('Kunci Adjudikasi'!U84&lt;&gt;"")*('Kunci Adjudikasi'!AG84&lt;&gt;"")*('Kunci Adjudikasi'!U84='Kunci Adjudikasi'!AG84)+('Kunci Adjudikasi'!$E$1&gt;=4)*('Kunci Adjudikasi'!AA84&lt;&gt;"")*('Kunci Adjudikasi'!AG84&lt;&gt;"")*('Kunci Adjudikasi'!AA84='Kunci Adjudikasi'!AG84)))/(F84-1),0)</f>
        <v>0</v>
      </c>
      <c r="H84" s="20">
        <f>('Kunci Adjudikasi'!P84&lt;&gt;"")+('Kunci Adjudikasi'!V84&lt;&gt;"")+('Kunci Adjudikasi'!$E$1&gt;=3)*('Kunci Adjudikasi'!AB84&lt;&gt;"")+('Kunci Adjudikasi'!$E$1&gt;=4)*('Kunci Adjudikasi'!AH84&lt;&gt;"")</f>
        <v>1</v>
      </c>
      <c r="I84" s="20">
        <f>IF(H84&gt;=2,(H84*(H84-1)/2-(('Kunci Adjudikasi'!P84&lt;&gt;"")*('Kunci Adjudikasi'!V84&lt;&gt;"")*('Kunci Adjudikasi'!P84='Kunci Adjudikasi'!V84)+('Kunci Adjudikasi'!$E$1&gt;=3)*('Kunci Adjudikasi'!P84&lt;&gt;"")*('Kunci Adjudikasi'!AB84&lt;&gt;"")*('Kunci Adjudikasi'!P84='Kunci Adjudikasi'!AB84)+('Kunci Adjudikasi'!$E$1&gt;=4)*('Kunci Adjudikasi'!P84&lt;&gt;"")*('Kunci Adjudikasi'!AH84&lt;&gt;"")*('Kunci Adjudikasi'!P84='Kunci Adjudikasi'!AH84)+('Kunci Adjudikasi'!$E$1&gt;=3)*('Kunci Adjudikasi'!V84&lt;&gt;"")*('Kunci Adjudikasi'!AB84&lt;&gt;"")*('Kunci Adjudikasi'!V84='Kunci Adjudikasi'!AB84)+('Kunci Adjudikasi'!$E$1&gt;=4)*('Kunci Adjudikasi'!V84&lt;&gt;"")*('Kunci Adjudikasi'!AH84&lt;&gt;"")*('Kunci Adjudikasi'!V84='Kunci Adjudikasi'!AH84)+('Kunci Adjudikasi'!$E$1&gt;=4)*('Kunci Adjudikasi'!AB84&lt;&gt;"")*('Kunci Adjudikasi'!AH84&lt;&gt;"")*('Kunci Adjudikasi'!AB84='Kunci Adjudikasi'!AH84)))/(H84-1),0)</f>
        <v>0</v>
      </c>
      <c r="J84" s="20">
        <f>('Kunci Adjudikasi'!Q84&lt;&gt;"")+('Kunci Adjudikasi'!W84&lt;&gt;"")+('Kunci Adjudikasi'!$E$1&gt;=3)*('Kunci Adjudikasi'!AC84&lt;&gt;"")+('Kunci Adjudikasi'!$E$1&gt;=4)*('Kunci Adjudikasi'!AI84&lt;&gt;"")</f>
        <v>1</v>
      </c>
      <c r="K84" s="20">
        <f>IF(J84&gt;=2,(J84*(J84-1)/2-(('Kunci Adjudikasi'!Q84&lt;&gt;"")*('Kunci Adjudikasi'!W84&lt;&gt;"")*('Kunci Adjudikasi'!Q84='Kunci Adjudikasi'!W84)+('Kunci Adjudikasi'!$E$1&gt;=3)*('Kunci Adjudikasi'!Q84&lt;&gt;"")*('Kunci Adjudikasi'!AC84&lt;&gt;"")*('Kunci Adjudikasi'!Q84='Kunci Adjudikasi'!AC84)+('Kunci Adjudikasi'!$E$1&gt;=4)*('Kunci Adjudikasi'!Q84&lt;&gt;"")*('Kunci Adjudikasi'!AI84&lt;&gt;"")*('Kunci Adjudikasi'!Q84='Kunci Adjudikasi'!AI84)+('Kunci Adjudikasi'!$E$1&gt;=3)*('Kunci Adjudikasi'!W84&lt;&gt;"")*('Kunci Adjudikasi'!AC84&lt;&gt;"")*('Kunci Adjudikasi'!W84='Kunci Adjudikasi'!AC84)+('Kunci Adjudikasi'!$E$1&gt;=4)*('Kunci Adjudikasi'!W84&lt;&gt;"")*('Kunci Adjudikasi'!AI84&lt;&gt;"")*('Kunci Adjudikasi'!W84='Kunci Adjudikasi'!AI84)+('Kunci Adjudikasi'!$E$1&gt;=4)*('Kunci Adjudikasi'!AC84&lt;&gt;"")*('Kunci Adjudikasi'!AI84&lt;&gt;"")*('Kunci Adjudikasi'!AC84='Kunci Adjudikasi'!AI84)))/(J84-1),0)</f>
        <v>0</v>
      </c>
      <c r="L84" s="20">
        <f>('Kunci Adjudikasi'!R84&lt;&gt;"")+('Kunci Adjudikasi'!X84&lt;&gt;"")+('Kunci Adjudikasi'!$E$1&gt;=3)*('Kunci Adjudikasi'!AD84&lt;&gt;"")+('Kunci Adjudikasi'!$E$1&gt;=4)*('Kunci Adjudikasi'!AJ84&lt;&gt;"")</f>
        <v>1</v>
      </c>
      <c r="M84" s="20">
        <f>IF(L84&gt;=2,(L84*(L84-1)/2-(('Kunci Adjudikasi'!R84&lt;&gt;"")*('Kunci Adjudikasi'!X84&lt;&gt;"")*('Kunci Adjudikasi'!R84='Kunci Adjudikasi'!X84)+('Kunci Adjudikasi'!$E$1&gt;=3)*('Kunci Adjudikasi'!R84&lt;&gt;"")*('Kunci Adjudikasi'!AD84&lt;&gt;"")*('Kunci Adjudikasi'!R84='Kunci Adjudikasi'!AD84)+('Kunci Adjudikasi'!$E$1&gt;=4)*('Kunci Adjudikasi'!R84&lt;&gt;"")*('Kunci Adjudikasi'!AJ84&lt;&gt;"")*('Kunci Adjudikasi'!R84='Kunci Adjudikasi'!AJ84)+('Kunci Adjudikasi'!$E$1&gt;=3)*('Kunci Adjudikasi'!X84&lt;&gt;"")*('Kunci Adjudikasi'!AD84&lt;&gt;"")*('Kunci Adjudikasi'!X84='Kunci Adjudikasi'!AD84)+('Kunci Adjudikasi'!$E$1&gt;=4)*('Kunci Adjudikasi'!X84&lt;&gt;"")*('Kunci Adjudikasi'!AJ84&lt;&gt;"")*('Kunci Adjudikasi'!X84='Kunci Adjudikasi'!AJ84)+('Kunci Adjudikasi'!$E$1&gt;=4)*('Kunci Adjudikasi'!AD84&lt;&gt;"")*('Kunci Adjudikasi'!AJ84&lt;&gt;"")*('Kunci Adjudikasi'!AD84='Kunci Adjudikasi'!AJ84)))/(L84-1),0)</f>
        <v>0</v>
      </c>
      <c r="N84" s="20">
        <f>(LEFT('Kunci Adjudikasi'!N84,2)="R0")+(LEFT('Kunci Adjudikasi'!T84,2)="R0")+('Kunci Adjudikasi'!$E$1&gt;=3)*(LEFT('Kunci Adjudikasi'!Z84,2)="R0")+('Kunci Adjudikasi'!$E$1&gt;=4)*(LEFT('Kunci Adjudikasi'!AF84,2)="R0")</f>
        <v>0</v>
      </c>
      <c r="O84" s="20">
        <f>(LEFT('Kunci Adjudikasi'!N84,2)="R1")+(LEFT('Kunci Adjudikasi'!T84,2)="R1")+('Kunci Adjudikasi'!$E$1&gt;=3)*(LEFT('Kunci Adjudikasi'!Z84,2)="R1")+('Kunci Adjudikasi'!$E$1&gt;=4)*(LEFT('Kunci Adjudikasi'!AF84,2)="R1")</f>
        <v>0</v>
      </c>
      <c r="P84" s="20">
        <f>(LEFT('Kunci Adjudikasi'!N84,2)="R2")+(LEFT('Kunci Adjudikasi'!T84,2)="R2")+('Kunci Adjudikasi'!$E$1&gt;=3)*(LEFT('Kunci Adjudikasi'!Z84,2)="R2")+('Kunci Adjudikasi'!$E$1&gt;=4)*(LEFT('Kunci Adjudikasi'!AF84,2)="R2")</f>
        <v>1</v>
      </c>
      <c r="Q84" s="20">
        <f t="shared" si="46"/>
        <v>0</v>
      </c>
      <c r="R84" s="20">
        <f t="shared" si="47"/>
        <v>0</v>
      </c>
      <c r="S84" s="20">
        <f t="shared" si="48"/>
        <v>0</v>
      </c>
    </row>
    <row r="85">
      <c r="A85" s="20">
        <f>'Kunci Adjudikasi'!A85</f>
        <v>82</v>
      </c>
      <c r="B85" s="20">
        <f>('Kunci Adjudikasi'!M85&lt;&gt;"")+('Kunci Adjudikasi'!S85&lt;&gt;"")+('Kunci Adjudikasi'!$E$1&gt;=3)*('Kunci Adjudikasi'!Y85&lt;&gt;"")+('Kunci Adjudikasi'!$E$1&gt;=4)*('Kunci Adjudikasi'!AE85&lt;&gt;"")</f>
        <v>0</v>
      </c>
      <c r="C85" s="20">
        <f>IF(B85&gt;=2,(B85*(B85-1)/2-(('Kunci Adjudikasi'!M85&lt;&gt;"")*('Kunci Adjudikasi'!S85&lt;&gt;"")*('Kunci Adjudikasi'!M85='Kunci Adjudikasi'!S85)+('Kunci Adjudikasi'!$E$1&gt;=3)*('Kunci Adjudikasi'!M85&lt;&gt;"")*('Kunci Adjudikasi'!Y85&lt;&gt;"")*('Kunci Adjudikasi'!M85='Kunci Adjudikasi'!Y85)+('Kunci Adjudikasi'!$E$1&gt;=4)*('Kunci Adjudikasi'!M85&lt;&gt;"")*('Kunci Adjudikasi'!AE85&lt;&gt;"")*('Kunci Adjudikasi'!M85='Kunci Adjudikasi'!AE85)+('Kunci Adjudikasi'!$E$1&gt;=3)*('Kunci Adjudikasi'!S85&lt;&gt;"")*('Kunci Adjudikasi'!Y85&lt;&gt;"")*('Kunci Adjudikasi'!S85='Kunci Adjudikasi'!Y85)+('Kunci Adjudikasi'!$E$1&gt;=4)*('Kunci Adjudikasi'!S85&lt;&gt;"")*('Kunci Adjudikasi'!AE85&lt;&gt;"")*('Kunci Adjudikasi'!S85='Kunci Adjudikasi'!AE85)+('Kunci Adjudikasi'!$E$1&gt;=4)*('Kunci Adjudikasi'!Y85&lt;&gt;"")*('Kunci Adjudikasi'!AE85&lt;&gt;"")*('Kunci Adjudikasi'!Y85='Kunci Adjudikasi'!AE85)))/(B85-1),0)</f>
        <v>0</v>
      </c>
      <c r="D85" s="20">
        <f>('Kunci Adjudikasi'!N85&lt;&gt;"")+('Kunci Adjudikasi'!T85&lt;&gt;"")+('Kunci Adjudikasi'!$E$1&gt;=3)*('Kunci Adjudikasi'!Z85&lt;&gt;"")+('Kunci Adjudikasi'!$E$1&gt;=4)*('Kunci Adjudikasi'!AF85&lt;&gt;"")</f>
        <v>0</v>
      </c>
      <c r="E85" s="20">
        <f>IF(D85&gt;=2,(D85*(D85-1)/2-(('Kunci Adjudikasi'!N85&lt;&gt;"")*('Kunci Adjudikasi'!T85&lt;&gt;"")*('Kunci Adjudikasi'!N85='Kunci Adjudikasi'!T85)+('Kunci Adjudikasi'!$E$1&gt;=3)*('Kunci Adjudikasi'!N85&lt;&gt;"")*('Kunci Adjudikasi'!Z85&lt;&gt;"")*('Kunci Adjudikasi'!N85='Kunci Adjudikasi'!Z85)+('Kunci Adjudikasi'!$E$1&gt;=4)*('Kunci Adjudikasi'!N85&lt;&gt;"")*('Kunci Adjudikasi'!AF85&lt;&gt;"")*('Kunci Adjudikasi'!N85='Kunci Adjudikasi'!AF85)+('Kunci Adjudikasi'!$E$1&gt;=3)*('Kunci Adjudikasi'!T85&lt;&gt;"")*('Kunci Adjudikasi'!Z85&lt;&gt;"")*('Kunci Adjudikasi'!T85='Kunci Adjudikasi'!Z85)+('Kunci Adjudikasi'!$E$1&gt;=4)*('Kunci Adjudikasi'!T85&lt;&gt;"")*('Kunci Adjudikasi'!AF85&lt;&gt;"")*('Kunci Adjudikasi'!T85='Kunci Adjudikasi'!AF85)+('Kunci Adjudikasi'!$E$1&gt;=4)*('Kunci Adjudikasi'!Z85&lt;&gt;"")*('Kunci Adjudikasi'!AF85&lt;&gt;"")*('Kunci Adjudikasi'!Z85='Kunci Adjudikasi'!AF85)))/(D85-1),0)</f>
        <v>0</v>
      </c>
      <c r="F85" s="20">
        <f>('Kunci Adjudikasi'!O85&lt;&gt;"")+('Kunci Adjudikasi'!U85&lt;&gt;"")+('Kunci Adjudikasi'!$E$1&gt;=3)*('Kunci Adjudikasi'!AA85&lt;&gt;"")+('Kunci Adjudikasi'!$E$1&gt;=4)*('Kunci Adjudikasi'!AG85&lt;&gt;"")</f>
        <v>0</v>
      </c>
      <c r="G85" s="20">
        <f>IF(F85&gt;=2,(F85*(F85-1)/2-(('Kunci Adjudikasi'!O85&lt;&gt;"")*('Kunci Adjudikasi'!U85&lt;&gt;"")*('Kunci Adjudikasi'!O85='Kunci Adjudikasi'!U85)+('Kunci Adjudikasi'!$E$1&gt;=3)*('Kunci Adjudikasi'!O85&lt;&gt;"")*('Kunci Adjudikasi'!AA85&lt;&gt;"")*('Kunci Adjudikasi'!O85='Kunci Adjudikasi'!AA85)+('Kunci Adjudikasi'!$E$1&gt;=4)*('Kunci Adjudikasi'!O85&lt;&gt;"")*('Kunci Adjudikasi'!AG85&lt;&gt;"")*('Kunci Adjudikasi'!O85='Kunci Adjudikasi'!AG85)+('Kunci Adjudikasi'!$E$1&gt;=3)*('Kunci Adjudikasi'!U85&lt;&gt;"")*('Kunci Adjudikasi'!AA85&lt;&gt;"")*('Kunci Adjudikasi'!U85='Kunci Adjudikasi'!AA85)+('Kunci Adjudikasi'!$E$1&gt;=4)*('Kunci Adjudikasi'!U85&lt;&gt;"")*('Kunci Adjudikasi'!AG85&lt;&gt;"")*('Kunci Adjudikasi'!U85='Kunci Adjudikasi'!AG85)+('Kunci Adjudikasi'!$E$1&gt;=4)*('Kunci Adjudikasi'!AA85&lt;&gt;"")*('Kunci Adjudikasi'!AG85&lt;&gt;"")*('Kunci Adjudikasi'!AA85='Kunci Adjudikasi'!AG85)))/(F85-1),0)</f>
        <v>0</v>
      </c>
      <c r="H85" s="20">
        <f>('Kunci Adjudikasi'!P85&lt;&gt;"")+('Kunci Adjudikasi'!V85&lt;&gt;"")+('Kunci Adjudikasi'!$E$1&gt;=3)*('Kunci Adjudikasi'!AB85&lt;&gt;"")+('Kunci Adjudikasi'!$E$1&gt;=4)*('Kunci Adjudikasi'!AH85&lt;&gt;"")</f>
        <v>0</v>
      </c>
      <c r="I85" s="20">
        <f>IF(H85&gt;=2,(H85*(H85-1)/2-(('Kunci Adjudikasi'!P85&lt;&gt;"")*('Kunci Adjudikasi'!V85&lt;&gt;"")*('Kunci Adjudikasi'!P85='Kunci Adjudikasi'!V85)+('Kunci Adjudikasi'!$E$1&gt;=3)*('Kunci Adjudikasi'!P85&lt;&gt;"")*('Kunci Adjudikasi'!AB85&lt;&gt;"")*('Kunci Adjudikasi'!P85='Kunci Adjudikasi'!AB85)+('Kunci Adjudikasi'!$E$1&gt;=4)*('Kunci Adjudikasi'!P85&lt;&gt;"")*('Kunci Adjudikasi'!AH85&lt;&gt;"")*('Kunci Adjudikasi'!P85='Kunci Adjudikasi'!AH85)+('Kunci Adjudikasi'!$E$1&gt;=3)*('Kunci Adjudikasi'!V85&lt;&gt;"")*('Kunci Adjudikasi'!AB85&lt;&gt;"")*('Kunci Adjudikasi'!V85='Kunci Adjudikasi'!AB85)+('Kunci Adjudikasi'!$E$1&gt;=4)*('Kunci Adjudikasi'!V85&lt;&gt;"")*('Kunci Adjudikasi'!AH85&lt;&gt;"")*('Kunci Adjudikasi'!V85='Kunci Adjudikasi'!AH85)+('Kunci Adjudikasi'!$E$1&gt;=4)*('Kunci Adjudikasi'!AB85&lt;&gt;"")*('Kunci Adjudikasi'!AH85&lt;&gt;"")*('Kunci Adjudikasi'!AB85='Kunci Adjudikasi'!AH85)))/(H85-1),0)</f>
        <v>0</v>
      </c>
      <c r="J85" s="20">
        <f>('Kunci Adjudikasi'!Q85&lt;&gt;"")+('Kunci Adjudikasi'!W85&lt;&gt;"")+('Kunci Adjudikasi'!$E$1&gt;=3)*('Kunci Adjudikasi'!AC85&lt;&gt;"")+('Kunci Adjudikasi'!$E$1&gt;=4)*('Kunci Adjudikasi'!AI85&lt;&gt;"")</f>
        <v>0</v>
      </c>
      <c r="K85" s="20">
        <f>IF(J85&gt;=2,(J85*(J85-1)/2-(('Kunci Adjudikasi'!Q85&lt;&gt;"")*('Kunci Adjudikasi'!W85&lt;&gt;"")*('Kunci Adjudikasi'!Q85='Kunci Adjudikasi'!W85)+('Kunci Adjudikasi'!$E$1&gt;=3)*('Kunci Adjudikasi'!Q85&lt;&gt;"")*('Kunci Adjudikasi'!AC85&lt;&gt;"")*('Kunci Adjudikasi'!Q85='Kunci Adjudikasi'!AC85)+('Kunci Adjudikasi'!$E$1&gt;=4)*('Kunci Adjudikasi'!Q85&lt;&gt;"")*('Kunci Adjudikasi'!AI85&lt;&gt;"")*('Kunci Adjudikasi'!Q85='Kunci Adjudikasi'!AI85)+('Kunci Adjudikasi'!$E$1&gt;=3)*('Kunci Adjudikasi'!W85&lt;&gt;"")*('Kunci Adjudikasi'!AC85&lt;&gt;"")*('Kunci Adjudikasi'!W85='Kunci Adjudikasi'!AC85)+('Kunci Adjudikasi'!$E$1&gt;=4)*('Kunci Adjudikasi'!W85&lt;&gt;"")*('Kunci Adjudikasi'!AI85&lt;&gt;"")*('Kunci Adjudikasi'!W85='Kunci Adjudikasi'!AI85)+('Kunci Adjudikasi'!$E$1&gt;=4)*('Kunci Adjudikasi'!AC85&lt;&gt;"")*('Kunci Adjudikasi'!AI85&lt;&gt;"")*('Kunci Adjudikasi'!AC85='Kunci Adjudikasi'!AI85)))/(J85-1),0)</f>
        <v>0</v>
      </c>
      <c r="L85" s="20">
        <f>('Kunci Adjudikasi'!R85&lt;&gt;"")+('Kunci Adjudikasi'!X85&lt;&gt;"")+('Kunci Adjudikasi'!$E$1&gt;=3)*('Kunci Adjudikasi'!AD85&lt;&gt;"")+('Kunci Adjudikasi'!$E$1&gt;=4)*('Kunci Adjudikasi'!AJ85&lt;&gt;"")</f>
        <v>0</v>
      </c>
      <c r="M85" s="20">
        <f>IF(L85&gt;=2,(L85*(L85-1)/2-(('Kunci Adjudikasi'!R85&lt;&gt;"")*('Kunci Adjudikasi'!X85&lt;&gt;"")*('Kunci Adjudikasi'!R85='Kunci Adjudikasi'!X85)+('Kunci Adjudikasi'!$E$1&gt;=3)*('Kunci Adjudikasi'!R85&lt;&gt;"")*('Kunci Adjudikasi'!AD85&lt;&gt;"")*('Kunci Adjudikasi'!R85='Kunci Adjudikasi'!AD85)+('Kunci Adjudikasi'!$E$1&gt;=4)*('Kunci Adjudikasi'!R85&lt;&gt;"")*('Kunci Adjudikasi'!AJ85&lt;&gt;"")*('Kunci Adjudikasi'!R85='Kunci Adjudikasi'!AJ85)+('Kunci Adjudikasi'!$E$1&gt;=3)*('Kunci Adjudikasi'!X85&lt;&gt;"")*('Kunci Adjudikasi'!AD85&lt;&gt;"")*('Kunci Adjudikasi'!X85='Kunci Adjudikasi'!AD85)+('Kunci Adjudikasi'!$E$1&gt;=4)*('Kunci Adjudikasi'!X85&lt;&gt;"")*('Kunci Adjudikasi'!AJ85&lt;&gt;"")*('Kunci Adjudikasi'!X85='Kunci Adjudikasi'!AJ85)+('Kunci Adjudikasi'!$E$1&gt;=4)*('Kunci Adjudikasi'!AD85&lt;&gt;"")*('Kunci Adjudikasi'!AJ85&lt;&gt;"")*('Kunci Adjudikasi'!AD85='Kunci Adjudikasi'!AJ85)))/(L85-1),0)</f>
        <v>0</v>
      </c>
      <c r="N85" s="20">
        <f>(LEFT('Kunci Adjudikasi'!N85,2)="R0")+(LEFT('Kunci Adjudikasi'!T85,2)="R0")+('Kunci Adjudikasi'!$E$1&gt;=3)*(LEFT('Kunci Adjudikasi'!Z85,2)="R0")+('Kunci Adjudikasi'!$E$1&gt;=4)*(LEFT('Kunci Adjudikasi'!AF85,2)="R0")</f>
        <v>0</v>
      </c>
      <c r="O85" s="20">
        <f>(LEFT('Kunci Adjudikasi'!N85,2)="R1")+(LEFT('Kunci Adjudikasi'!T85,2)="R1")+('Kunci Adjudikasi'!$E$1&gt;=3)*(LEFT('Kunci Adjudikasi'!Z85,2)="R1")+('Kunci Adjudikasi'!$E$1&gt;=4)*(LEFT('Kunci Adjudikasi'!AF85,2)="R1")</f>
        <v>0</v>
      </c>
      <c r="P85" s="20">
        <f>(LEFT('Kunci Adjudikasi'!N85,2)="R2")+(LEFT('Kunci Adjudikasi'!T85,2)="R2")+('Kunci Adjudikasi'!$E$1&gt;=3)*(LEFT('Kunci Adjudikasi'!Z85,2)="R2")+('Kunci Adjudikasi'!$E$1&gt;=4)*(LEFT('Kunci Adjudikasi'!AF85,2)="R2")</f>
        <v>0</v>
      </c>
      <c r="Q85" s="20">
        <f t="shared" si="46"/>
        <v>0</v>
      </c>
      <c r="R85" s="20">
        <f t="shared" si="47"/>
        <v>0</v>
      </c>
      <c r="S85" s="20">
        <f t="shared" si="48"/>
        <v>0</v>
      </c>
    </row>
    <row r="86">
      <c r="A86" s="20">
        <f>'Kunci Adjudikasi'!A86</f>
        <v>83</v>
      </c>
      <c r="B86" s="20">
        <f>('Kunci Adjudikasi'!M86&lt;&gt;"")+('Kunci Adjudikasi'!S86&lt;&gt;"")+('Kunci Adjudikasi'!$E$1&gt;=3)*('Kunci Adjudikasi'!Y86&lt;&gt;"")+('Kunci Adjudikasi'!$E$1&gt;=4)*('Kunci Adjudikasi'!AE86&lt;&gt;"")</f>
        <v>1</v>
      </c>
      <c r="C86" s="20">
        <f>IF(B86&gt;=2,(B86*(B86-1)/2-(('Kunci Adjudikasi'!M86&lt;&gt;"")*('Kunci Adjudikasi'!S86&lt;&gt;"")*('Kunci Adjudikasi'!M86='Kunci Adjudikasi'!S86)+('Kunci Adjudikasi'!$E$1&gt;=3)*('Kunci Adjudikasi'!M86&lt;&gt;"")*('Kunci Adjudikasi'!Y86&lt;&gt;"")*('Kunci Adjudikasi'!M86='Kunci Adjudikasi'!Y86)+('Kunci Adjudikasi'!$E$1&gt;=4)*('Kunci Adjudikasi'!M86&lt;&gt;"")*('Kunci Adjudikasi'!AE86&lt;&gt;"")*('Kunci Adjudikasi'!M86='Kunci Adjudikasi'!AE86)+('Kunci Adjudikasi'!$E$1&gt;=3)*('Kunci Adjudikasi'!S86&lt;&gt;"")*('Kunci Adjudikasi'!Y86&lt;&gt;"")*('Kunci Adjudikasi'!S86='Kunci Adjudikasi'!Y86)+('Kunci Adjudikasi'!$E$1&gt;=4)*('Kunci Adjudikasi'!S86&lt;&gt;"")*('Kunci Adjudikasi'!AE86&lt;&gt;"")*('Kunci Adjudikasi'!S86='Kunci Adjudikasi'!AE86)+('Kunci Adjudikasi'!$E$1&gt;=4)*('Kunci Adjudikasi'!Y86&lt;&gt;"")*('Kunci Adjudikasi'!AE86&lt;&gt;"")*('Kunci Adjudikasi'!Y86='Kunci Adjudikasi'!AE86)))/(B86-1),0)</f>
        <v>0</v>
      </c>
      <c r="D86" s="20">
        <f>('Kunci Adjudikasi'!N86&lt;&gt;"")+('Kunci Adjudikasi'!T86&lt;&gt;"")+('Kunci Adjudikasi'!$E$1&gt;=3)*('Kunci Adjudikasi'!Z86&lt;&gt;"")+('Kunci Adjudikasi'!$E$1&gt;=4)*('Kunci Adjudikasi'!AF86&lt;&gt;"")</f>
        <v>1</v>
      </c>
      <c r="E86" s="20">
        <f>IF(D86&gt;=2,(D86*(D86-1)/2-(('Kunci Adjudikasi'!N86&lt;&gt;"")*('Kunci Adjudikasi'!T86&lt;&gt;"")*('Kunci Adjudikasi'!N86='Kunci Adjudikasi'!T86)+('Kunci Adjudikasi'!$E$1&gt;=3)*('Kunci Adjudikasi'!N86&lt;&gt;"")*('Kunci Adjudikasi'!Z86&lt;&gt;"")*('Kunci Adjudikasi'!N86='Kunci Adjudikasi'!Z86)+('Kunci Adjudikasi'!$E$1&gt;=4)*('Kunci Adjudikasi'!N86&lt;&gt;"")*('Kunci Adjudikasi'!AF86&lt;&gt;"")*('Kunci Adjudikasi'!N86='Kunci Adjudikasi'!AF86)+('Kunci Adjudikasi'!$E$1&gt;=3)*('Kunci Adjudikasi'!T86&lt;&gt;"")*('Kunci Adjudikasi'!Z86&lt;&gt;"")*('Kunci Adjudikasi'!T86='Kunci Adjudikasi'!Z86)+('Kunci Adjudikasi'!$E$1&gt;=4)*('Kunci Adjudikasi'!T86&lt;&gt;"")*('Kunci Adjudikasi'!AF86&lt;&gt;"")*('Kunci Adjudikasi'!T86='Kunci Adjudikasi'!AF86)+('Kunci Adjudikasi'!$E$1&gt;=4)*('Kunci Adjudikasi'!Z86&lt;&gt;"")*('Kunci Adjudikasi'!AF86&lt;&gt;"")*('Kunci Adjudikasi'!Z86='Kunci Adjudikasi'!AF86)))/(D86-1),0)</f>
        <v>0</v>
      </c>
      <c r="F86" s="20">
        <f>('Kunci Adjudikasi'!O86&lt;&gt;"")+('Kunci Adjudikasi'!U86&lt;&gt;"")+('Kunci Adjudikasi'!$E$1&gt;=3)*('Kunci Adjudikasi'!AA86&lt;&gt;"")+('Kunci Adjudikasi'!$E$1&gt;=4)*('Kunci Adjudikasi'!AG86&lt;&gt;"")</f>
        <v>1</v>
      </c>
      <c r="G86" s="20">
        <f>IF(F86&gt;=2,(F86*(F86-1)/2-(('Kunci Adjudikasi'!O86&lt;&gt;"")*('Kunci Adjudikasi'!U86&lt;&gt;"")*('Kunci Adjudikasi'!O86='Kunci Adjudikasi'!U86)+('Kunci Adjudikasi'!$E$1&gt;=3)*('Kunci Adjudikasi'!O86&lt;&gt;"")*('Kunci Adjudikasi'!AA86&lt;&gt;"")*('Kunci Adjudikasi'!O86='Kunci Adjudikasi'!AA86)+('Kunci Adjudikasi'!$E$1&gt;=4)*('Kunci Adjudikasi'!O86&lt;&gt;"")*('Kunci Adjudikasi'!AG86&lt;&gt;"")*('Kunci Adjudikasi'!O86='Kunci Adjudikasi'!AG86)+('Kunci Adjudikasi'!$E$1&gt;=3)*('Kunci Adjudikasi'!U86&lt;&gt;"")*('Kunci Adjudikasi'!AA86&lt;&gt;"")*('Kunci Adjudikasi'!U86='Kunci Adjudikasi'!AA86)+('Kunci Adjudikasi'!$E$1&gt;=4)*('Kunci Adjudikasi'!U86&lt;&gt;"")*('Kunci Adjudikasi'!AG86&lt;&gt;"")*('Kunci Adjudikasi'!U86='Kunci Adjudikasi'!AG86)+('Kunci Adjudikasi'!$E$1&gt;=4)*('Kunci Adjudikasi'!AA86&lt;&gt;"")*('Kunci Adjudikasi'!AG86&lt;&gt;"")*('Kunci Adjudikasi'!AA86='Kunci Adjudikasi'!AG86)))/(F86-1),0)</f>
        <v>0</v>
      </c>
      <c r="H86" s="20">
        <f>('Kunci Adjudikasi'!P86&lt;&gt;"")+('Kunci Adjudikasi'!V86&lt;&gt;"")+('Kunci Adjudikasi'!$E$1&gt;=3)*('Kunci Adjudikasi'!AB86&lt;&gt;"")+('Kunci Adjudikasi'!$E$1&gt;=4)*('Kunci Adjudikasi'!AH86&lt;&gt;"")</f>
        <v>1</v>
      </c>
      <c r="I86" s="20">
        <f>IF(H86&gt;=2,(H86*(H86-1)/2-(('Kunci Adjudikasi'!P86&lt;&gt;"")*('Kunci Adjudikasi'!V86&lt;&gt;"")*('Kunci Adjudikasi'!P86='Kunci Adjudikasi'!V86)+('Kunci Adjudikasi'!$E$1&gt;=3)*('Kunci Adjudikasi'!P86&lt;&gt;"")*('Kunci Adjudikasi'!AB86&lt;&gt;"")*('Kunci Adjudikasi'!P86='Kunci Adjudikasi'!AB86)+('Kunci Adjudikasi'!$E$1&gt;=4)*('Kunci Adjudikasi'!P86&lt;&gt;"")*('Kunci Adjudikasi'!AH86&lt;&gt;"")*('Kunci Adjudikasi'!P86='Kunci Adjudikasi'!AH86)+('Kunci Adjudikasi'!$E$1&gt;=3)*('Kunci Adjudikasi'!V86&lt;&gt;"")*('Kunci Adjudikasi'!AB86&lt;&gt;"")*('Kunci Adjudikasi'!V86='Kunci Adjudikasi'!AB86)+('Kunci Adjudikasi'!$E$1&gt;=4)*('Kunci Adjudikasi'!V86&lt;&gt;"")*('Kunci Adjudikasi'!AH86&lt;&gt;"")*('Kunci Adjudikasi'!V86='Kunci Adjudikasi'!AH86)+('Kunci Adjudikasi'!$E$1&gt;=4)*('Kunci Adjudikasi'!AB86&lt;&gt;"")*('Kunci Adjudikasi'!AH86&lt;&gt;"")*('Kunci Adjudikasi'!AB86='Kunci Adjudikasi'!AH86)))/(H86-1),0)</f>
        <v>0</v>
      </c>
      <c r="J86" s="20">
        <f>('Kunci Adjudikasi'!Q86&lt;&gt;"")+('Kunci Adjudikasi'!W86&lt;&gt;"")+('Kunci Adjudikasi'!$E$1&gt;=3)*('Kunci Adjudikasi'!AC86&lt;&gt;"")+('Kunci Adjudikasi'!$E$1&gt;=4)*('Kunci Adjudikasi'!AI86&lt;&gt;"")</f>
        <v>1</v>
      </c>
      <c r="K86" s="20">
        <f>IF(J86&gt;=2,(J86*(J86-1)/2-(('Kunci Adjudikasi'!Q86&lt;&gt;"")*('Kunci Adjudikasi'!W86&lt;&gt;"")*('Kunci Adjudikasi'!Q86='Kunci Adjudikasi'!W86)+('Kunci Adjudikasi'!$E$1&gt;=3)*('Kunci Adjudikasi'!Q86&lt;&gt;"")*('Kunci Adjudikasi'!AC86&lt;&gt;"")*('Kunci Adjudikasi'!Q86='Kunci Adjudikasi'!AC86)+('Kunci Adjudikasi'!$E$1&gt;=4)*('Kunci Adjudikasi'!Q86&lt;&gt;"")*('Kunci Adjudikasi'!AI86&lt;&gt;"")*('Kunci Adjudikasi'!Q86='Kunci Adjudikasi'!AI86)+('Kunci Adjudikasi'!$E$1&gt;=3)*('Kunci Adjudikasi'!W86&lt;&gt;"")*('Kunci Adjudikasi'!AC86&lt;&gt;"")*('Kunci Adjudikasi'!W86='Kunci Adjudikasi'!AC86)+('Kunci Adjudikasi'!$E$1&gt;=4)*('Kunci Adjudikasi'!W86&lt;&gt;"")*('Kunci Adjudikasi'!AI86&lt;&gt;"")*('Kunci Adjudikasi'!W86='Kunci Adjudikasi'!AI86)+('Kunci Adjudikasi'!$E$1&gt;=4)*('Kunci Adjudikasi'!AC86&lt;&gt;"")*('Kunci Adjudikasi'!AI86&lt;&gt;"")*('Kunci Adjudikasi'!AC86='Kunci Adjudikasi'!AI86)))/(J86-1),0)</f>
        <v>0</v>
      </c>
      <c r="L86" s="20">
        <f>('Kunci Adjudikasi'!R86&lt;&gt;"")+('Kunci Adjudikasi'!X86&lt;&gt;"")+('Kunci Adjudikasi'!$E$1&gt;=3)*('Kunci Adjudikasi'!AD86&lt;&gt;"")+('Kunci Adjudikasi'!$E$1&gt;=4)*('Kunci Adjudikasi'!AJ86&lt;&gt;"")</f>
        <v>1</v>
      </c>
      <c r="M86" s="20">
        <f>IF(L86&gt;=2,(L86*(L86-1)/2-(('Kunci Adjudikasi'!R86&lt;&gt;"")*('Kunci Adjudikasi'!X86&lt;&gt;"")*('Kunci Adjudikasi'!R86='Kunci Adjudikasi'!X86)+('Kunci Adjudikasi'!$E$1&gt;=3)*('Kunci Adjudikasi'!R86&lt;&gt;"")*('Kunci Adjudikasi'!AD86&lt;&gt;"")*('Kunci Adjudikasi'!R86='Kunci Adjudikasi'!AD86)+('Kunci Adjudikasi'!$E$1&gt;=4)*('Kunci Adjudikasi'!R86&lt;&gt;"")*('Kunci Adjudikasi'!AJ86&lt;&gt;"")*('Kunci Adjudikasi'!R86='Kunci Adjudikasi'!AJ86)+('Kunci Adjudikasi'!$E$1&gt;=3)*('Kunci Adjudikasi'!X86&lt;&gt;"")*('Kunci Adjudikasi'!AD86&lt;&gt;"")*('Kunci Adjudikasi'!X86='Kunci Adjudikasi'!AD86)+('Kunci Adjudikasi'!$E$1&gt;=4)*('Kunci Adjudikasi'!X86&lt;&gt;"")*('Kunci Adjudikasi'!AJ86&lt;&gt;"")*('Kunci Adjudikasi'!X86='Kunci Adjudikasi'!AJ86)+('Kunci Adjudikasi'!$E$1&gt;=4)*('Kunci Adjudikasi'!AD86&lt;&gt;"")*('Kunci Adjudikasi'!AJ86&lt;&gt;"")*('Kunci Adjudikasi'!AD86='Kunci Adjudikasi'!AJ86)))/(L86-1),0)</f>
        <v>0</v>
      </c>
      <c r="N86" s="20">
        <f>(LEFT('Kunci Adjudikasi'!N86,2)="R0")+(LEFT('Kunci Adjudikasi'!T86,2)="R0")+('Kunci Adjudikasi'!$E$1&gt;=3)*(LEFT('Kunci Adjudikasi'!Z86,2)="R0")+('Kunci Adjudikasi'!$E$1&gt;=4)*(LEFT('Kunci Adjudikasi'!AF86,2)="R0")</f>
        <v>0</v>
      </c>
      <c r="O86" s="20">
        <f>(LEFT('Kunci Adjudikasi'!N86,2)="R1")+(LEFT('Kunci Adjudikasi'!T86,2)="R1")+('Kunci Adjudikasi'!$E$1&gt;=3)*(LEFT('Kunci Adjudikasi'!Z86,2)="R1")+('Kunci Adjudikasi'!$E$1&gt;=4)*(LEFT('Kunci Adjudikasi'!AF86,2)="R1")</f>
        <v>1</v>
      </c>
      <c r="P86" s="20">
        <f>(LEFT('Kunci Adjudikasi'!N86,2)="R2")+(LEFT('Kunci Adjudikasi'!T86,2)="R2")+('Kunci Adjudikasi'!$E$1&gt;=3)*(LEFT('Kunci Adjudikasi'!Z86,2)="R2")+('Kunci Adjudikasi'!$E$1&gt;=4)*(LEFT('Kunci Adjudikasi'!AF86,2)="R2")</f>
        <v>0</v>
      </c>
      <c r="Q86" s="20">
        <f t="shared" si="46"/>
        <v>0</v>
      </c>
      <c r="R86" s="20">
        <f t="shared" si="47"/>
        <v>0</v>
      </c>
      <c r="S86" s="20">
        <f t="shared" si="48"/>
        <v>0</v>
      </c>
    </row>
    <row r="87">
      <c r="A87" s="20">
        <f>'Kunci Adjudikasi'!A87</f>
        <v>84</v>
      </c>
      <c r="B87" s="20">
        <f>('Kunci Adjudikasi'!M87&lt;&gt;"")+('Kunci Adjudikasi'!S87&lt;&gt;"")+('Kunci Adjudikasi'!$E$1&gt;=3)*('Kunci Adjudikasi'!Y87&lt;&gt;"")+('Kunci Adjudikasi'!$E$1&gt;=4)*('Kunci Adjudikasi'!AE87&lt;&gt;"")</f>
        <v>0</v>
      </c>
      <c r="C87" s="20">
        <f>IF(B87&gt;=2,(B87*(B87-1)/2-(('Kunci Adjudikasi'!M87&lt;&gt;"")*('Kunci Adjudikasi'!S87&lt;&gt;"")*('Kunci Adjudikasi'!M87='Kunci Adjudikasi'!S87)+('Kunci Adjudikasi'!$E$1&gt;=3)*('Kunci Adjudikasi'!M87&lt;&gt;"")*('Kunci Adjudikasi'!Y87&lt;&gt;"")*('Kunci Adjudikasi'!M87='Kunci Adjudikasi'!Y87)+('Kunci Adjudikasi'!$E$1&gt;=4)*('Kunci Adjudikasi'!M87&lt;&gt;"")*('Kunci Adjudikasi'!AE87&lt;&gt;"")*('Kunci Adjudikasi'!M87='Kunci Adjudikasi'!AE87)+('Kunci Adjudikasi'!$E$1&gt;=3)*('Kunci Adjudikasi'!S87&lt;&gt;"")*('Kunci Adjudikasi'!Y87&lt;&gt;"")*('Kunci Adjudikasi'!S87='Kunci Adjudikasi'!Y87)+('Kunci Adjudikasi'!$E$1&gt;=4)*('Kunci Adjudikasi'!S87&lt;&gt;"")*('Kunci Adjudikasi'!AE87&lt;&gt;"")*('Kunci Adjudikasi'!S87='Kunci Adjudikasi'!AE87)+('Kunci Adjudikasi'!$E$1&gt;=4)*('Kunci Adjudikasi'!Y87&lt;&gt;"")*('Kunci Adjudikasi'!AE87&lt;&gt;"")*('Kunci Adjudikasi'!Y87='Kunci Adjudikasi'!AE87)))/(B87-1),0)</f>
        <v>0</v>
      </c>
      <c r="D87" s="20">
        <f>('Kunci Adjudikasi'!N87&lt;&gt;"")+('Kunci Adjudikasi'!T87&lt;&gt;"")+('Kunci Adjudikasi'!$E$1&gt;=3)*('Kunci Adjudikasi'!Z87&lt;&gt;"")+('Kunci Adjudikasi'!$E$1&gt;=4)*('Kunci Adjudikasi'!AF87&lt;&gt;"")</f>
        <v>0</v>
      </c>
      <c r="E87" s="20">
        <f>IF(D87&gt;=2,(D87*(D87-1)/2-(('Kunci Adjudikasi'!N87&lt;&gt;"")*('Kunci Adjudikasi'!T87&lt;&gt;"")*('Kunci Adjudikasi'!N87='Kunci Adjudikasi'!T87)+('Kunci Adjudikasi'!$E$1&gt;=3)*('Kunci Adjudikasi'!N87&lt;&gt;"")*('Kunci Adjudikasi'!Z87&lt;&gt;"")*('Kunci Adjudikasi'!N87='Kunci Adjudikasi'!Z87)+('Kunci Adjudikasi'!$E$1&gt;=4)*('Kunci Adjudikasi'!N87&lt;&gt;"")*('Kunci Adjudikasi'!AF87&lt;&gt;"")*('Kunci Adjudikasi'!N87='Kunci Adjudikasi'!AF87)+('Kunci Adjudikasi'!$E$1&gt;=3)*('Kunci Adjudikasi'!T87&lt;&gt;"")*('Kunci Adjudikasi'!Z87&lt;&gt;"")*('Kunci Adjudikasi'!T87='Kunci Adjudikasi'!Z87)+('Kunci Adjudikasi'!$E$1&gt;=4)*('Kunci Adjudikasi'!T87&lt;&gt;"")*('Kunci Adjudikasi'!AF87&lt;&gt;"")*('Kunci Adjudikasi'!T87='Kunci Adjudikasi'!AF87)+('Kunci Adjudikasi'!$E$1&gt;=4)*('Kunci Adjudikasi'!Z87&lt;&gt;"")*('Kunci Adjudikasi'!AF87&lt;&gt;"")*('Kunci Adjudikasi'!Z87='Kunci Adjudikasi'!AF87)))/(D87-1),0)</f>
        <v>0</v>
      </c>
      <c r="F87" s="20">
        <f>('Kunci Adjudikasi'!O87&lt;&gt;"")+('Kunci Adjudikasi'!U87&lt;&gt;"")+('Kunci Adjudikasi'!$E$1&gt;=3)*('Kunci Adjudikasi'!AA87&lt;&gt;"")+('Kunci Adjudikasi'!$E$1&gt;=4)*('Kunci Adjudikasi'!AG87&lt;&gt;"")</f>
        <v>0</v>
      </c>
      <c r="G87" s="20">
        <f>IF(F87&gt;=2,(F87*(F87-1)/2-(('Kunci Adjudikasi'!O87&lt;&gt;"")*('Kunci Adjudikasi'!U87&lt;&gt;"")*('Kunci Adjudikasi'!O87='Kunci Adjudikasi'!U87)+('Kunci Adjudikasi'!$E$1&gt;=3)*('Kunci Adjudikasi'!O87&lt;&gt;"")*('Kunci Adjudikasi'!AA87&lt;&gt;"")*('Kunci Adjudikasi'!O87='Kunci Adjudikasi'!AA87)+('Kunci Adjudikasi'!$E$1&gt;=4)*('Kunci Adjudikasi'!O87&lt;&gt;"")*('Kunci Adjudikasi'!AG87&lt;&gt;"")*('Kunci Adjudikasi'!O87='Kunci Adjudikasi'!AG87)+('Kunci Adjudikasi'!$E$1&gt;=3)*('Kunci Adjudikasi'!U87&lt;&gt;"")*('Kunci Adjudikasi'!AA87&lt;&gt;"")*('Kunci Adjudikasi'!U87='Kunci Adjudikasi'!AA87)+('Kunci Adjudikasi'!$E$1&gt;=4)*('Kunci Adjudikasi'!U87&lt;&gt;"")*('Kunci Adjudikasi'!AG87&lt;&gt;"")*('Kunci Adjudikasi'!U87='Kunci Adjudikasi'!AG87)+('Kunci Adjudikasi'!$E$1&gt;=4)*('Kunci Adjudikasi'!AA87&lt;&gt;"")*('Kunci Adjudikasi'!AG87&lt;&gt;"")*('Kunci Adjudikasi'!AA87='Kunci Adjudikasi'!AG87)))/(F87-1),0)</f>
        <v>0</v>
      </c>
      <c r="H87" s="20">
        <f>('Kunci Adjudikasi'!P87&lt;&gt;"")+('Kunci Adjudikasi'!V87&lt;&gt;"")+('Kunci Adjudikasi'!$E$1&gt;=3)*('Kunci Adjudikasi'!AB87&lt;&gt;"")+('Kunci Adjudikasi'!$E$1&gt;=4)*('Kunci Adjudikasi'!AH87&lt;&gt;"")</f>
        <v>0</v>
      </c>
      <c r="I87" s="20">
        <f>IF(H87&gt;=2,(H87*(H87-1)/2-(('Kunci Adjudikasi'!P87&lt;&gt;"")*('Kunci Adjudikasi'!V87&lt;&gt;"")*('Kunci Adjudikasi'!P87='Kunci Adjudikasi'!V87)+('Kunci Adjudikasi'!$E$1&gt;=3)*('Kunci Adjudikasi'!P87&lt;&gt;"")*('Kunci Adjudikasi'!AB87&lt;&gt;"")*('Kunci Adjudikasi'!P87='Kunci Adjudikasi'!AB87)+('Kunci Adjudikasi'!$E$1&gt;=4)*('Kunci Adjudikasi'!P87&lt;&gt;"")*('Kunci Adjudikasi'!AH87&lt;&gt;"")*('Kunci Adjudikasi'!P87='Kunci Adjudikasi'!AH87)+('Kunci Adjudikasi'!$E$1&gt;=3)*('Kunci Adjudikasi'!V87&lt;&gt;"")*('Kunci Adjudikasi'!AB87&lt;&gt;"")*('Kunci Adjudikasi'!V87='Kunci Adjudikasi'!AB87)+('Kunci Adjudikasi'!$E$1&gt;=4)*('Kunci Adjudikasi'!V87&lt;&gt;"")*('Kunci Adjudikasi'!AH87&lt;&gt;"")*('Kunci Adjudikasi'!V87='Kunci Adjudikasi'!AH87)+('Kunci Adjudikasi'!$E$1&gt;=4)*('Kunci Adjudikasi'!AB87&lt;&gt;"")*('Kunci Adjudikasi'!AH87&lt;&gt;"")*('Kunci Adjudikasi'!AB87='Kunci Adjudikasi'!AH87)))/(H87-1),0)</f>
        <v>0</v>
      </c>
      <c r="J87" s="20">
        <f>('Kunci Adjudikasi'!Q87&lt;&gt;"")+('Kunci Adjudikasi'!W87&lt;&gt;"")+('Kunci Adjudikasi'!$E$1&gt;=3)*('Kunci Adjudikasi'!AC87&lt;&gt;"")+('Kunci Adjudikasi'!$E$1&gt;=4)*('Kunci Adjudikasi'!AI87&lt;&gt;"")</f>
        <v>0</v>
      </c>
      <c r="K87" s="20">
        <f>IF(J87&gt;=2,(J87*(J87-1)/2-(('Kunci Adjudikasi'!Q87&lt;&gt;"")*('Kunci Adjudikasi'!W87&lt;&gt;"")*('Kunci Adjudikasi'!Q87='Kunci Adjudikasi'!W87)+('Kunci Adjudikasi'!$E$1&gt;=3)*('Kunci Adjudikasi'!Q87&lt;&gt;"")*('Kunci Adjudikasi'!AC87&lt;&gt;"")*('Kunci Adjudikasi'!Q87='Kunci Adjudikasi'!AC87)+('Kunci Adjudikasi'!$E$1&gt;=4)*('Kunci Adjudikasi'!Q87&lt;&gt;"")*('Kunci Adjudikasi'!AI87&lt;&gt;"")*('Kunci Adjudikasi'!Q87='Kunci Adjudikasi'!AI87)+('Kunci Adjudikasi'!$E$1&gt;=3)*('Kunci Adjudikasi'!W87&lt;&gt;"")*('Kunci Adjudikasi'!AC87&lt;&gt;"")*('Kunci Adjudikasi'!W87='Kunci Adjudikasi'!AC87)+('Kunci Adjudikasi'!$E$1&gt;=4)*('Kunci Adjudikasi'!W87&lt;&gt;"")*('Kunci Adjudikasi'!AI87&lt;&gt;"")*('Kunci Adjudikasi'!W87='Kunci Adjudikasi'!AI87)+('Kunci Adjudikasi'!$E$1&gt;=4)*('Kunci Adjudikasi'!AC87&lt;&gt;"")*('Kunci Adjudikasi'!AI87&lt;&gt;"")*('Kunci Adjudikasi'!AC87='Kunci Adjudikasi'!AI87)))/(J87-1),0)</f>
        <v>0</v>
      </c>
      <c r="L87" s="20">
        <f>('Kunci Adjudikasi'!R87&lt;&gt;"")+('Kunci Adjudikasi'!X87&lt;&gt;"")+('Kunci Adjudikasi'!$E$1&gt;=3)*('Kunci Adjudikasi'!AD87&lt;&gt;"")+('Kunci Adjudikasi'!$E$1&gt;=4)*('Kunci Adjudikasi'!AJ87&lt;&gt;"")</f>
        <v>0</v>
      </c>
      <c r="M87" s="20">
        <f>IF(L87&gt;=2,(L87*(L87-1)/2-(('Kunci Adjudikasi'!R87&lt;&gt;"")*('Kunci Adjudikasi'!X87&lt;&gt;"")*('Kunci Adjudikasi'!R87='Kunci Adjudikasi'!X87)+('Kunci Adjudikasi'!$E$1&gt;=3)*('Kunci Adjudikasi'!R87&lt;&gt;"")*('Kunci Adjudikasi'!AD87&lt;&gt;"")*('Kunci Adjudikasi'!R87='Kunci Adjudikasi'!AD87)+('Kunci Adjudikasi'!$E$1&gt;=4)*('Kunci Adjudikasi'!R87&lt;&gt;"")*('Kunci Adjudikasi'!AJ87&lt;&gt;"")*('Kunci Adjudikasi'!R87='Kunci Adjudikasi'!AJ87)+('Kunci Adjudikasi'!$E$1&gt;=3)*('Kunci Adjudikasi'!X87&lt;&gt;"")*('Kunci Adjudikasi'!AD87&lt;&gt;"")*('Kunci Adjudikasi'!X87='Kunci Adjudikasi'!AD87)+('Kunci Adjudikasi'!$E$1&gt;=4)*('Kunci Adjudikasi'!X87&lt;&gt;"")*('Kunci Adjudikasi'!AJ87&lt;&gt;"")*('Kunci Adjudikasi'!X87='Kunci Adjudikasi'!AJ87)+('Kunci Adjudikasi'!$E$1&gt;=4)*('Kunci Adjudikasi'!AD87&lt;&gt;"")*('Kunci Adjudikasi'!AJ87&lt;&gt;"")*('Kunci Adjudikasi'!AD87='Kunci Adjudikasi'!AJ87)))/(L87-1),0)</f>
        <v>0</v>
      </c>
      <c r="N87" s="20">
        <f>(LEFT('Kunci Adjudikasi'!N87,2)="R0")+(LEFT('Kunci Adjudikasi'!T87,2)="R0")+('Kunci Adjudikasi'!$E$1&gt;=3)*(LEFT('Kunci Adjudikasi'!Z87,2)="R0")+('Kunci Adjudikasi'!$E$1&gt;=4)*(LEFT('Kunci Adjudikasi'!AF87,2)="R0")</f>
        <v>0</v>
      </c>
      <c r="O87" s="20">
        <f>(LEFT('Kunci Adjudikasi'!N87,2)="R1")+(LEFT('Kunci Adjudikasi'!T87,2)="R1")+('Kunci Adjudikasi'!$E$1&gt;=3)*(LEFT('Kunci Adjudikasi'!Z87,2)="R1")+('Kunci Adjudikasi'!$E$1&gt;=4)*(LEFT('Kunci Adjudikasi'!AF87,2)="R1")</f>
        <v>0</v>
      </c>
      <c r="P87" s="20">
        <f>(LEFT('Kunci Adjudikasi'!N87,2)="R2")+(LEFT('Kunci Adjudikasi'!T87,2)="R2")+('Kunci Adjudikasi'!$E$1&gt;=3)*(LEFT('Kunci Adjudikasi'!Z87,2)="R2")+('Kunci Adjudikasi'!$E$1&gt;=4)*(LEFT('Kunci Adjudikasi'!AF87,2)="R2")</f>
        <v>0</v>
      </c>
      <c r="Q87" s="20">
        <f t="shared" si="46"/>
        <v>0</v>
      </c>
      <c r="R87" s="20">
        <f t="shared" si="47"/>
        <v>0</v>
      </c>
      <c r="S87" s="20">
        <f t="shared" si="48"/>
        <v>0</v>
      </c>
    </row>
    <row r="88">
      <c r="A88" s="20">
        <f>'Kunci Adjudikasi'!A88</f>
        <v>85</v>
      </c>
      <c r="B88" s="20">
        <f>('Kunci Adjudikasi'!M88&lt;&gt;"")+('Kunci Adjudikasi'!S88&lt;&gt;"")+('Kunci Adjudikasi'!$E$1&gt;=3)*('Kunci Adjudikasi'!Y88&lt;&gt;"")+('Kunci Adjudikasi'!$E$1&gt;=4)*('Kunci Adjudikasi'!AE88&lt;&gt;"")</f>
        <v>0</v>
      </c>
      <c r="C88" s="20">
        <f>IF(B88&gt;=2,(B88*(B88-1)/2-(('Kunci Adjudikasi'!M88&lt;&gt;"")*('Kunci Adjudikasi'!S88&lt;&gt;"")*('Kunci Adjudikasi'!M88='Kunci Adjudikasi'!S88)+('Kunci Adjudikasi'!$E$1&gt;=3)*('Kunci Adjudikasi'!M88&lt;&gt;"")*('Kunci Adjudikasi'!Y88&lt;&gt;"")*('Kunci Adjudikasi'!M88='Kunci Adjudikasi'!Y88)+('Kunci Adjudikasi'!$E$1&gt;=4)*('Kunci Adjudikasi'!M88&lt;&gt;"")*('Kunci Adjudikasi'!AE88&lt;&gt;"")*('Kunci Adjudikasi'!M88='Kunci Adjudikasi'!AE88)+('Kunci Adjudikasi'!$E$1&gt;=3)*('Kunci Adjudikasi'!S88&lt;&gt;"")*('Kunci Adjudikasi'!Y88&lt;&gt;"")*('Kunci Adjudikasi'!S88='Kunci Adjudikasi'!Y88)+('Kunci Adjudikasi'!$E$1&gt;=4)*('Kunci Adjudikasi'!S88&lt;&gt;"")*('Kunci Adjudikasi'!AE88&lt;&gt;"")*('Kunci Adjudikasi'!S88='Kunci Adjudikasi'!AE88)+('Kunci Adjudikasi'!$E$1&gt;=4)*('Kunci Adjudikasi'!Y88&lt;&gt;"")*('Kunci Adjudikasi'!AE88&lt;&gt;"")*('Kunci Adjudikasi'!Y88='Kunci Adjudikasi'!AE88)))/(B88-1),0)</f>
        <v>0</v>
      </c>
      <c r="D88" s="20">
        <f>('Kunci Adjudikasi'!N88&lt;&gt;"")+('Kunci Adjudikasi'!T88&lt;&gt;"")+('Kunci Adjudikasi'!$E$1&gt;=3)*('Kunci Adjudikasi'!Z88&lt;&gt;"")+('Kunci Adjudikasi'!$E$1&gt;=4)*('Kunci Adjudikasi'!AF88&lt;&gt;"")</f>
        <v>0</v>
      </c>
      <c r="E88" s="20">
        <f>IF(D88&gt;=2,(D88*(D88-1)/2-(('Kunci Adjudikasi'!N88&lt;&gt;"")*('Kunci Adjudikasi'!T88&lt;&gt;"")*('Kunci Adjudikasi'!N88='Kunci Adjudikasi'!T88)+('Kunci Adjudikasi'!$E$1&gt;=3)*('Kunci Adjudikasi'!N88&lt;&gt;"")*('Kunci Adjudikasi'!Z88&lt;&gt;"")*('Kunci Adjudikasi'!N88='Kunci Adjudikasi'!Z88)+('Kunci Adjudikasi'!$E$1&gt;=4)*('Kunci Adjudikasi'!N88&lt;&gt;"")*('Kunci Adjudikasi'!AF88&lt;&gt;"")*('Kunci Adjudikasi'!N88='Kunci Adjudikasi'!AF88)+('Kunci Adjudikasi'!$E$1&gt;=3)*('Kunci Adjudikasi'!T88&lt;&gt;"")*('Kunci Adjudikasi'!Z88&lt;&gt;"")*('Kunci Adjudikasi'!T88='Kunci Adjudikasi'!Z88)+('Kunci Adjudikasi'!$E$1&gt;=4)*('Kunci Adjudikasi'!T88&lt;&gt;"")*('Kunci Adjudikasi'!AF88&lt;&gt;"")*('Kunci Adjudikasi'!T88='Kunci Adjudikasi'!AF88)+('Kunci Adjudikasi'!$E$1&gt;=4)*('Kunci Adjudikasi'!Z88&lt;&gt;"")*('Kunci Adjudikasi'!AF88&lt;&gt;"")*('Kunci Adjudikasi'!Z88='Kunci Adjudikasi'!AF88)))/(D88-1),0)</f>
        <v>0</v>
      </c>
      <c r="F88" s="20">
        <f>('Kunci Adjudikasi'!O88&lt;&gt;"")+('Kunci Adjudikasi'!U88&lt;&gt;"")+('Kunci Adjudikasi'!$E$1&gt;=3)*('Kunci Adjudikasi'!AA88&lt;&gt;"")+('Kunci Adjudikasi'!$E$1&gt;=4)*('Kunci Adjudikasi'!AG88&lt;&gt;"")</f>
        <v>0</v>
      </c>
      <c r="G88" s="20">
        <f>IF(F88&gt;=2,(F88*(F88-1)/2-(('Kunci Adjudikasi'!O88&lt;&gt;"")*('Kunci Adjudikasi'!U88&lt;&gt;"")*('Kunci Adjudikasi'!O88='Kunci Adjudikasi'!U88)+('Kunci Adjudikasi'!$E$1&gt;=3)*('Kunci Adjudikasi'!O88&lt;&gt;"")*('Kunci Adjudikasi'!AA88&lt;&gt;"")*('Kunci Adjudikasi'!O88='Kunci Adjudikasi'!AA88)+('Kunci Adjudikasi'!$E$1&gt;=4)*('Kunci Adjudikasi'!O88&lt;&gt;"")*('Kunci Adjudikasi'!AG88&lt;&gt;"")*('Kunci Adjudikasi'!O88='Kunci Adjudikasi'!AG88)+('Kunci Adjudikasi'!$E$1&gt;=3)*('Kunci Adjudikasi'!U88&lt;&gt;"")*('Kunci Adjudikasi'!AA88&lt;&gt;"")*('Kunci Adjudikasi'!U88='Kunci Adjudikasi'!AA88)+('Kunci Adjudikasi'!$E$1&gt;=4)*('Kunci Adjudikasi'!U88&lt;&gt;"")*('Kunci Adjudikasi'!AG88&lt;&gt;"")*('Kunci Adjudikasi'!U88='Kunci Adjudikasi'!AG88)+('Kunci Adjudikasi'!$E$1&gt;=4)*('Kunci Adjudikasi'!AA88&lt;&gt;"")*('Kunci Adjudikasi'!AG88&lt;&gt;"")*('Kunci Adjudikasi'!AA88='Kunci Adjudikasi'!AG88)))/(F88-1),0)</f>
        <v>0</v>
      </c>
      <c r="H88" s="20">
        <f>('Kunci Adjudikasi'!P88&lt;&gt;"")+('Kunci Adjudikasi'!V88&lt;&gt;"")+('Kunci Adjudikasi'!$E$1&gt;=3)*('Kunci Adjudikasi'!AB88&lt;&gt;"")+('Kunci Adjudikasi'!$E$1&gt;=4)*('Kunci Adjudikasi'!AH88&lt;&gt;"")</f>
        <v>0</v>
      </c>
      <c r="I88" s="20">
        <f>IF(H88&gt;=2,(H88*(H88-1)/2-(('Kunci Adjudikasi'!P88&lt;&gt;"")*('Kunci Adjudikasi'!V88&lt;&gt;"")*('Kunci Adjudikasi'!P88='Kunci Adjudikasi'!V88)+('Kunci Adjudikasi'!$E$1&gt;=3)*('Kunci Adjudikasi'!P88&lt;&gt;"")*('Kunci Adjudikasi'!AB88&lt;&gt;"")*('Kunci Adjudikasi'!P88='Kunci Adjudikasi'!AB88)+('Kunci Adjudikasi'!$E$1&gt;=4)*('Kunci Adjudikasi'!P88&lt;&gt;"")*('Kunci Adjudikasi'!AH88&lt;&gt;"")*('Kunci Adjudikasi'!P88='Kunci Adjudikasi'!AH88)+('Kunci Adjudikasi'!$E$1&gt;=3)*('Kunci Adjudikasi'!V88&lt;&gt;"")*('Kunci Adjudikasi'!AB88&lt;&gt;"")*('Kunci Adjudikasi'!V88='Kunci Adjudikasi'!AB88)+('Kunci Adjudikasi'!$E$1&gt;=4)*('Kunci Adjudikasi'!V88&lt;&gt;"")*('Kunci Adjudikasi'!AH88&lt;&gt;"")*('Kunci Adjudikasi'!V88='Kunci Adjudikasi'!AH88)+('Kunci Adjudikasi'!$E$1&gt;=4)*('Kunci Adjudikasi'!AB88&lt;&gt;"")*('Kunci Adjudikasi'!AH88&lt;&gt;"")*('Kunci Adjudikasi'!AB88='Kunci Adjudikasi'!AH88)))/(H88-1),0)</f>
        <v>0</v>
      </c>
      <c r="J88" s="20">
        <f>('Kunci Adjudikasi'!Q88&lt;&gt;"")+('Kunci Adjudikasi'!W88&lt;&gt;"")+('Kunci Adjudikasi'!$E$1&gt;=3)*('Kunci Adjudikasi'!AC88&lt;&gt;"")+('Kunci Adjudikasi'!$E$1&gt;=4)*('Kunci Adjudikasi'!AI88&lt;&gt;"")</f>
        <v>0</v>
      </c>
      <c r="K88" s="20">
        <f>IF(J88&gt;=2,(J88*(J88-1)/2-(('Kunci Adjudikasi'!Q88&lt;&gt;"")*('Kunci Adjudikasi'!W88&lt;&gt;"")*('Kunci Adjudikasi'!Q88='Kunci Adjudikasi'!W88)+('Kunci Adjudikasi'!$E$1&gt;=3)*('Kunci Adjudikasi'!Q88&lt;&gt;"")*('Kunci Adjudikasi'!AC88&lt;&gt;"")*('Kunci Adjudikasi'!Q88='Kunci Adjudikasi'!AC88)+('Kunci Adjudikasi'!$E$1&gt;=4)*('Kunci Adjudikasi'!Q88&lt;&gt;"")*('Kunci Adjudikasi'!AI88&lt;&gt;"")*('Kunci Adjudikasi'!Q88='Kunci Adjudikasi'!AI88)+('Kunci Adjudikasi'!$E$1&gt;=3)*('Kunci Adjudikasi'!W88&lt;&gt;"")*('Kunci Adjudikasi'!AC88&lt;&gt;"")*('Kunci Adjudikasi'!W88='Kunci Adjudikasi'!AC88)+('Kunci Adjudikasi'!$E$1&gt;=4)*('Kunci Adjudikasi'!W88&lt;&gt;"")*('Kunci Adjudikasi'!AI88&lt;&gt;"")*('Kunci Adjudikasi'!W88='Kunci Adjudikasi'!AI88)+('Kunci Adjudikasi'!$E$1&gt;=4)*('Kunci Adjudikasi'!AC88&lt;&gt;"")*('Kunci Adjudikasi'!AI88&lt;&gt;"")*('Kunci Adjudikasi'!AC88='Kunci Adjudikasi'!AI88)))/(J88-1),0)</f>
        <v>0</v>
      </c>
      <c r="L88" s="20">
        <f>('Kunci Adjudikasi'!R88&lt;&gt;"")+('Kunci Adjudikasi'!X88&lt;&gt;"")+('Kunci Adjudikasi'!$E$1&gt;=3)*('Kunci Adjudikasi'!AD88&lt;&gt;"")+('Kunci Adjudikasi'!$E$1&gt;=4)*('Kunci Adjudikasi'!AJ88&lt;&gt;"")</f>
        <v>0</v>
      </c>
      <c r="M88" s="20">
        <f>IF(L88&gt;=2,(L88*(L88-1)/2-(('Kunci Adjudikasi'!R88&lt;&gt;"")*('Kunci Adjudikasi'!X88&lt;&gt;"")*('Kunci Adjudikasi'!R88='Kunci Adjudikasi'!X88)+('Kunci Adjudikasi'!$E$1&gt;=3)*('Kunci Adjudikasi'!R88&lt;&gt;"")*('Kunci Adjudikasi'!AD88&lt;&gt;"")*('Kunci Adjudikasi'!R88='Kunci Adjudikasi'!AD88)+('Kunci Adjudikasi'!$E$1&gt;=4)*('Kunci Adjudikasi'!R88&lt;&gt;"")*('Kunci Adjudikasi'!AJ88&lt;&gt;"")*('Kunci Adjudikasi'!R88='Kunci Adjudikasi'!AJ88)+('Kunci Adjudikasi'!$E$1&gt;=3)*('Kunci Adjudikasi'!X88&lt;&gt;"")*('Kunci Adjudikasi'!AD88&lt;&gt;"")*('Kunci Adjudikasi'!X88='Kunci Adjudikasi'!AD88)+('Kunci Adjudikasi'!$E$1&gt;=4)*('Kunci Adjudikasi'!X88&lt;&gt;"")*('Kunci Adjudikasi'!AJ88&lt;&gt;"")*('Kunci Adjudikasi'!X88='Kunci Adjudikasi'!AJ88)+('Kunci Adjudikasi'!$E$1&gt;=4)*('Kunci Adjudikasi'!AD88&lt;&gt;"")*('Kunci Adjudikasi'!AJ88&lt;&gt;"")*('Kunci Adjudikasi'!AD88='Kunci Adjudikasi'!AJ88)))/(L88-1),0)</f>
        <v>0</v>
      </c>
      <c r="N88" s="20">
        <f>(LEFT('Kunci Adjudikasi'!N88,2)="R0")+(LEFT('Kunci Adjudikasi'!T88,2)="R0")+('Kunci Adjudikasi'!$E$1&gt;=3)*(LEFT('Kunci Adjudikasi'!Z88,2)="R0")+('Kunci Adjudikasi'!$E$1&gt;=4)*(LEFT('Kunci Adjudikasi'!AF88,2)="R0")</f>
        <v>0</v>
      </c>
      <c r="O88" s="20">
        <f>(LEFT('Kunci Adjudikasi'!N88,2)="R1")+(LEFT('Kunci Adjudikasi'!T88,2)="R1")+('Kunci Adjudikasi'!$E$1&gt;=3)*(LEFT('Kunci Adjudikasi'!Z88,2)="R1")+('Kunci Adjudikasi'!$E$1&gt;=4)*(LEFT('Kunci Adjudikasi'!AF88,2)="R1")</f>
        <v>0</v>
      </c>
      <c r="P88" s="20">
        <f>(LEFT('Kunci Adjudikasi'!N88,2)="R2")+(LEFT('Kunci Adjudikasi'!T88,2)="R2")+('Kunci Adjudikasi'!$E$1&gt;=3)*(LEFT('Kunci Adjudikasi'!Z88,2)="R2")+('Kunci Adjudikasi'!$E$1&gt;=4)*(LEFT('Kunci Adjudikasi'!AF88,2)="R2")</f>
        <v>0</v>
      </c>
      <c r="Q88" s="20">
        <f t="shared" si="46"/>
        <v>0</v>
      </c>
      <c r="R88" s="20">
        <f t="shared" si="47"/>
        <v>0</v>
      </c>
      <c r="S88" s="20">
        <f t="shared" si="48"/>
        <v>0</v>
      </c>
    </row>
    <row r="89">
      <c r="A89" s="20">
        <f>'Kunci Adjudikasi'!A89</f>
        <v>86</v>
      </c>
      <c r="B89" s="20">
        <f>('Kunci Adjudikasi'!M89&lt;&gt;"")+('Kunci Adjudikasi'!S89&lt;&gt;"")+('Kunci Adjudikasi'!$E$1&gt;=3)*('Kunci Adjudikasi'!Y89&lt;&gt;"")+('Kunci Adjudikasi'!$E$1&gt;=4)*('Kunci Adjudikasi'!AE89&lt;&gt;"")</f>
        <v>1</v>
      </c>
      <c r="C89" s="20">
        <f>IF(B89&gt;=2,(B89*(B89-1)/2-(('Kunci Adjudikasi'!M89&lt;&gt;"")*('Kunci Adjudikasi'!S89&lt;&gt;"")*('Kunci Adjudikasi'!M89='Kunci Adjudikasi'!S89)+('Kunci Adjudikasi'!$E$1&gt;=3)*('Kunci Adjudikasi'!M89&lt;&gt;"")*('Kunci Adjudikasi'!Y89&lt;&gt;"")*('Kunci Adjudikasi'!M89='Kunci Adjudikasi'!Y89)+('Kunci Adjudikasi'!$E$1&gt;=4)*('Kunci Adjudikasi'!M89&lt;&gt;"")*('Kunci Adjudikasi'!AE89&lt;&gt;"")*('Kunci Adjudikasi'!M89='Kunci Adjudikasi'!AE89)+('Kunci Adjudikasi'!$E$1&gt;=3)*('Kunci Adjudikasi'!S89&lt;&gt;"")*('Kunci Adjudikasi'!Y89&lt;&gt;"")*('Kunci Adjudikasi'!S89='Kunci Adjudikasi'!Y89)+('Kunci Adjudikasi'!$E$1&gt;=4)*('Kunci Adjudikasi'!S89&lt;&gt;"")*('Kunci Adjudikasi'!AE89&lt;&gt;"")*('Kunci Adjudikasi'!S89='Kunci Adjudikasi'!AE89)+('Kunci Adjudikasi'!$E$1&gt;=4)*('Kunci Adjudikasi'!Y89&lt;&gt;"")*('Kunci Adjudikasi'!AE89&lt;&gt;"")*('Kunci Adjudikasi'!Y89='Kunci Adjudikasi'!AE89)))/(B89-1),0)</f>
        <v>0</v>
      </c>
      <c r="D89" s="20">
        <f>('Kunci Adjudikasi'!N89&lt;&gt;"")+('Kunci Adjudikasi'!T89&lt;&gt;"")+('Kunci Adjudikasi'!$E$1&gt;=3)*('Kunci Adjudikasi'!Z89&lt;&gt;"")+('Kunci Adjudikasi'!$E$1&gt;=4)*('Kunci Adjudikasi'!AF89&lt;&gt;"")</f>
        <v>1</v>
      </c>
      <c r="E89" s="20">
        <f>IF(D89&gt;=2,(D89*(D89-1)/2-(('Kunci Adjudikasi'!N89&lt;&gt;"")*('Kunci Adjudikasi'!T89&lt;&gt;"")*('Kunci Adjudikasi'!N89='Kunci Adjudikasi'!T89)+('Kunci Adjudikasi'!$E$1&gt;=3)*('Kunci Adjudikasi'!N89&lt;&gt;"")*('Kunci Adjudikasi'!Z89&lt;&gt;"")*('Kunci Adjudikasi'!N89='Kunci Adjudikasi'!Z89)+('Kunci Adjudikasi'!$E$1&gt;=4)*('Kunci Adjudikasi'!N89&lt;&gt;"")*('Kunci Adjudikasi'!AF89&lt;&gt;"")*('Kunci Adjudikasi'!N89='Kunci Adjudikasi'!AF89)+('Kunci Adjudikasi'!$E$1&gt;=3)*('Kunci Adjudikasi'!T89&lt;&gt;"")*('Kunci Adjudikasi'!Z89&lt;&gt;"")*('Kunci Adjudikasi'!T89='Kunci Adjudikasi'!Z89)+('Kunci Adjudikasi'!$E$1&gt;=4)*('Kunci Adjudikasi'!T89&lt;&gt;"")*('Kunci Adjudikasi'!AF89&lt;&gt;"")*('Kunci Adjudikasi'!T89='Kunci Adjudikasi'!AF89)+('Kunci Adjudikasi'!$E$1&gt;=4)*('Kunci Adjudikasi'!Z89&lt;&gt;"")*('Kunci Adjudikasi'!AF89&lt;&gt;"")*('Kunci Adjudikasi'!Z89='Kunci Adjudikasi'!AF89)))/(D89-1),0)</f>
        <v>0</v>
      </c>
      <c r="F89" s="20">
        <f>('Kunci Adjudikasi'!O89&lt;&gt;"")+('Kunci Adjudikasi'!U89&lt;&gt;"")+('Kunci Adjudikasi'!$E$1&gt;=3)*('Kunci Adjudikasi'!AA89&lt;&gt;"")+('Kunci Adjudikasi'!$E$1&gt;=4)*('Kunci Adjudikasi'!AG89&lt;&gt;"")</f>
        <v>1</v>
      </c>
      <c r="G89" s="20">
        <f>IF(F89&gt;=2,(F89*(F89-1)/2-(('Kunci Adjudikasi'!O89&lt;&gt;"")*('Kunci Adjudikasi'!U89&lt;&gt;"")*('Kunci Adjudikasi'!O89='Kunci Adjudikasi'!U89)+('Kunci Adjudikasi'!$E$1&gt;=3)*('Kunci Adjudikasi'!O89&lt;&gt;"")*('Kunci Adjudikasi'!AA89&lt;&gt;"")*('Kunci Adjudikasi'!O89='Kunci Adjudikasi'!AA89)+('Kunci Adjudikasi'!$E$1&gt;=4)*('Kunci Adjudikasi'!O89&lt;&gt;"")*('Kunci Adjudikasi'!AG89&lt;&gt;"")*('Kunci Adjudikasi'!O89='Kunci Adjudikasi'!AG89)+('Kunci Adjudikasi'!$E$1&gt;=3)*('Kunci Adjudikasi'!U89&lt;&gt;"")*('Kunci Adjudikasi'!AA89&lt;&gt;"")*('Kunci Adjudikasi'!U89='Kunci Adjudikasi'!AA89)+('Kunci Adjudikasi'!$E$1&gt;=4)*('Kunci Adjudikasi'!U89&lt;&gt;"")*('Kunci Adjudikasi'!AG89&lt;&gt;"")*('Kunci Adjudikasi'!U89='Kunci Adjudikasi'!AG89)+('Kunci Adjudikasi'!$E$1&gt;=4)*('Kunci Adjudikasi'!AA89&lt;&gt;"")*('Kunci Adjudikasi'!AG89&lt;&gt;"")*('Kunci Adjudikasi'!AA89='Kunci Adjudikasi'!AG89)))/(F89-1),0)</f>
        <v>0</v>
      </c>
      <c r="H89" s="20">
        <f>('Kunci Adjudikasi'!P89&lt;&gt;"")+('Kunci Adjudikasi'!V89&lt;&gt;"")+('Kunci Adjudikasi'!$E$1&gt;=3)*('Kunci Adjudikasi'!AB89&lt;&gt;"")+('Kunci Adjudikasi'!$E$1&gt;=4)*('Kunci Adjudikasi'!AH89&lt;&gt;"")</f>
        <v>1</v>
      </c>
      <c r="I89" s="20">
        <f>IF(H89&gt;=2,(H89*(H89-1)/2-(('Kunci Adjudikasi'!P89&lt;&gt;"")*('Kunci Adjudikasi'!V89&lt;&gt;"")*('Kunci Adjudikasi'!P89='Kunci Adjudikasi'!V89)+('Kunci Adjudikasi'!$E$1&gt;=3)*('Kunci Adjudikasi'!P89&lt;&gt;"")*('Kunci Adjudikasi'!AB89&lt;&gt;"")*('Kunci Adjudikasi'!P89='Kunci Adjudikasi'!AB89)+('Kunci Adjudikasi'!$E$1&gt;=4)*('Kunci Adjudikasi'!P89&lt;&gt;"")*('Kunci Adjudikasi'!AH89&lt;&gt;"")*('Kunci Adjudikasi'!P89='Kunci Adjudikasi'!AH89)+('Kunci Adjudikasi'!$E$1&gt;=3)*('Kunci Adjudikasi'!V89&lt;&gt;"")*('Kunci Adjudikasi'!AB89&lt;&gt;"")*('Kunci Adjudikasi'!V89='Kunci Adjudikasi'!AB89)+('Kunci Adjudikasi'!$E$1&gt;=4)*('Kunci Adjudikasi'!V89&lt;&gt;"")*('Kunci Adjudikasi'!AH89&lt;&gt;"")*('Kunci Adjudikasi'!V89='Kunci Adjudikasi'!AH89)+('Kunci Adjudikasi'!$E$1&gt;=4)*('Kunci Adjudikasi'!AB89&lt;&gt;"")*('Kunci Adjudikasi'!AH89&lt;&gt;"")*('Kunci Adjudikasi'!AB89='Kunci Adjudikasi'!AH89)))/(H89-1),0)</f>
        <v>0</v>
      </c>
      <c r="J89" s="20">
        <f>('Kunci Adjudikasi'!Q89&lt;&gt;"")+('Kunci Adjudikasi'!W89&lt;&gt;"")+('Kunci Adjudikasi'!$E$1&gt;=3)*('Kunci Adjudikasi'!AC89&lt;&gt;"")+('Kunci Adjudikasi'!$E$1&gt;=4)*('Kunci Adjudikasi'!AI89&lt;&gt;"")</f>
        <v>1</v>
      </c>
      <c r="K89" s="20">
        <f>IF(J89&gt;=2,(J89*(J89-1)/2-(('Kunci Adjudikasi'!Q89&lt;&gt;"")*('Kunci Adjudikasi'!W89&lt;&gt;"")*('Kunci Adjudikasi'!Q89='Kunci Adjudikasi'!W89)+('Kunci Adjudikasi'!$E$1&gt;=3)*('Kunci Adjudikasi'!Q89&lt;&gt;"")*('Kunci Adjudikasi'!AC89&lt;&gt;"")*('Kunci Adjudikasi'!Q89='Kunci Adjudikasi'!AC89)+('Kunci Adjudikasi'!$E$1&gt;=4)*('Kunci Adjudikasi'!Q89&lt;&gt;"")*('Kunci Adjudikasi'!AI89&lt;&gt;"")*('Kunci Adjudikasi'!Q89='Kunci Adjudikasi'!AI89)+('Kunci Adjudikasi'!$E$1&gt;=3)*('Kunci Adjudikasi'!W89&lt;&gt;"")*('Kunci Adjudikasi'!AC89&lt;&gt;"")*('Kunci Adjudikasi'!W89='Kunci Adjudikasi'!AC89)+('Kunci Adjudikasi'!$E$1&gt;=4)*('Kunci Adjudikasi'!W89&lt;&gt;"")*('Kunci Adjudikasi'!AI89&lt;&gt;"")*('Kunci Adjudikasi'!W89='Kunci Adjudikasi'!AI89)+('Kunci Adjudikasi'!$E$1&gt;=4)*('Kunci Adjudikasi'!AC89&lt;&gt;"")*('Kunci Adjudikasi'!AI89&lt;&gt;"")*('Kunci Adjudikasi'!AC89='Kunci Adjudikasi'!AI89)))/(J89-1),0)</f>
        <v>0</v>
      </c>
      <c r="L89" s="20">
        <f>('Kunci Adjudikasi'!R89&lt;&gt;"")+('Kunci Adjudikasi'!X89&lt;&gt;"")+('Kunci Adjudikasi'!$E$1&gt;=3)*('Kunci Adjudikasi'!AD89&lt;&gt;"")+('Kunci Adjudikasi'!$E$1&gt;=4)*('Kunci Adjudikasi'!AJ89&lt;&gt;"")</f>
        <v>1</v>
      </c>
      <c r="M89" s="20">
        <f>IF(L89&gt;=2,(L89*(L89-1)/2-(('Kunci Adjudikasi'!R89&lt;&gt;"")*('Kunci Adjudikasi'!X89&lt;&gt;"")*('Kunci Adjudikasi'!R89='Kunci Adjudikasi'!X89)+('Kunci Adjudikasi'!$E$1&gt;=3)*('Kunci Adjudikasi'!R89&lt;&gt;"")*('Kunci Adjudikasi'!AD89&lt;&gt;"")*('Kunci Adjudikasi'!R89='Kunci Adjudikasi'!AD89)+('Kunci Adjudikasi'!$E$1&gt;=4)*('Kunci Adjudikasi'!R89&lt;&gt;"")*('Kunci Adjudikasi'!AJ89&lt;&gt;"")*('Kunci Adjudikasi'!R89='Kunci Adjudikasi'!AJ89)+('Kunci Adjudikasi'!$E$1&gt;=3)*('Kunci Adjudikasi'!X89&lt;&gt;"")*('Kunci Adjudikasi'!AD89&lt;&gt;"")*('Kunci Adjudikasi'!X89='Kunci Adjudikasi'!AD89)+('Kunci Adjudikasi'!$E$1&gt;=4)*('Kunci Adjudikasi'!X89&lt;&gt;"")*('Kunci Adjudikasi'!AJ89&lt;&gt;"")*('Kunci Adjudikasi'!X89='Kunci Adjudikasi'!AJ89)+('Kunci Adjudikasi'!$E$1&gt;=4)*('Kunci Adjudikasi'!AD89&lt;&gt;"")*('Kunci Adjudikasi'!AJ89&lt;&gt;"")*('Kunci Adjudikasi'!AD89='Kunci Adjudikasi'!AJ89)))/(L89-1),0)</f>
        <v>0</v>
      </c>
      <c r="N89" s="20">
        <f>(LEFT('Kunci Adjudikasi'!N89,2)="R0")+(LEFT('Kunci Adjudikasi'!T89,2)="R0")+('Kunci Adjudikasi'!$E$1&gt;=3)*(LEFT('Kunci Adjudikasi'!Z89,2)="R0")+('Kunci Adjudikasi'!$E$1&gt;=4)*(LEFT('Kunci Adjudikasi'!AF89,2)="R0")</f>
        <v>1</v>
      </c>
      <c r="O89" s="20">
        <f>(LEFT('Kunci Adjudikasi'!N89,2)="R1")+(LEFT('Kunci Adjudikasi'!T89,2)="R1")+('Kunci Adjudikasi'!$E$1&gt;=3)*(LEFT('Kunci Adjudikasi'!Z89,2)="R1")+('Kunci Adjudikasi'!$E$1&gt;=4)*(LEFT('Kunci Adjudikasi'!AF89,2)="R1")</f>
        <v>0</v>
      </c>
      <c r="P89" s="20">
        <f>(LEFT('Kunci Adjudikasi'!N89,2)="R2")+(LEFT('Kunci Adjudikasi'!T89,2)="R2")+('Kunci Adjudikasi'!$E$1&gt;=3)*(LEFT('Kunci Adjudikasi'!Z89,2)="R2")+('Kunci Adjudikasi'!$E$1&gt;=4)*(LEFT('Kunci Adjudikasi'!AF89,2)="R2")</f>
        <v>0</v>
      </c>
      <c r="Q89" s="20">
        <f t="shared" si="46"/>
        <v>0</v>
      </c>
      <c r="R89" s="20">
        <f t="shared" si="47"/>
        <v>0</v>
      </c>
      <c r="S89" s="20">
        <f t="shared" si="48"/>
        <v>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65" workbookViewId="0">
      <pane ySplit="3" topLeftCell="A4" activePane="bottomLeft" state="frozen"/>
      <selection activeCell="I38" activeCellId="0" sqref="I38"/>
    </sheetView>
  </sheetViews>
  <sheetFormatPr baseColWidth="8" defaultColWidth="8.6796875" defaultRowHeight="15"/>
  <cols>
    <col customWidth="1" min="1" max="1" style="8" width="22"/>
    <col customWidth="1" min="2" max="2" style="8" width="8"/>
    <col customWidth="1" min="3" max="3" style="8" width="51.890000000000001"/>
    <col customWidth="1" min="4" max="4" style="8" width="64.859999999999999"/>
    <col customWidth="1" min="5" max="16384" style="8" width="8.6799999999999997"/>
  </cols>
  <sheetData>
    <row r="1" ht="17.350000000000001" customHeight="1">
      <c r="A1" s="2" t="s">
        <v>288</v>
      </c>
    </row>
    <row r="2" ht="15" customHeight="1">
      <c r="A2" s="3" t="s">
        <v>289</v>
      </c>
    </row>
    <row r="4" ht="15" customHeight="1">
      <c r="A4" s="12" t="s">
        <v>151</v>
      </c>
      <c r="B4" s="12" t="s">
        <v>290</v>
      </c>
      <c r="C4" s="12" t="s">
        <v>291</v>
      </c>
      <c r="D4" s="37" t="str">
        <f t="shared" ref="D4:D9" si="49">$B4 &amp; " - " &amp; $C4</f>
        <v xml:space="preserve">Kode - Label</v>
      </c>
    </row>
    <row r="5" ht="15" customHeight="1">
      <c r="A5" s="31" t="s">
        <v>157</v>
      </c>
      <c r="B5" s="34" t="s">
        <v>170</v>
      </c>
      <c r="C5" s="31" t="s">
        <v>292</v>
      </c>
      <c r="D5" s="8" t="str">
        <f t="shared" si="49"/>
        <v xml:space="preserve">S1 - Pengendali dan Prosesor</v>
      </c>
    </row>
    <row r="6" ht="15" customHeight="1">
      <c r="A6" s="31" t="s">
        <v>157</v>
      </c>
      <c r="B6" s="34" t="s">
        <v>171</v>
      </c>
      <c r="C6" s="31" t="s">
        <v>293</v>
      </c>
      <c r="D6" s="8" t="str">
        <f t="shared" si="49"/>
        <v xml:space="preserve">S2 - Pengendali Data Pribadi</v>
      </c>
    </row>
    <row r="7" ht="15" customHeight="1">
      <c r="A7" s="31" t="s">
        <v>157</v>
      </c>
      <c r="B7" s="34" t="s">
        <v>172</v>
      </c>
      <c r="C7" s="31" t="s">
        <v>294</v>
      </c>
      <c r="D7" s="8" t="str">
        <f t="shared" si="49"/>
        <v xml:space="preserve">S3 - Prosesor Data Pribadi</v>
      </c>
    </row>
    <row r="8" ht="15" customHeight="1">
      <c r="A8" s="31" t="s">
        <v>157</v>
      </c>
      <c r="B8" s="34" t="s">
        <v>173</v>
      </c>
      <c r="C8" s="31" t="s">
        <v>295</v>
      </c>
      <c r="D8" s="8" t="str">
        <f t="shared" si="49"/>
        <v xml:space="preserve">S4 - Subjek Data Pribadi</v>
      </c>
    </row>
    <row r="9" ht="15" customHeight="1">
      <c r="A9" s="31" t="s">
        <v>157</v>
      </c>
      <c r="B9" s="34" t="s">
        <v>174</v>
      </c>
      <c r="C9" s="31" t="s">
        <v>296</v>
      </c>
      <c r="D9" s="8" t="str">
        <f t="shared" si="49"/>
        <v xml:space="preserve">S5 - Setiap Orang atau pihak umum</v>
      </c>
    </row>
    <row r="10" ht="15" customHeight="1">
      <c r="A10" s="31" t="s">
        <v>157</v>
      </c>
      <c r="B10" s="34" t="s">
        <v>175</v>
      </c>
      <c r="C10" s="31" t="s">
        <v>297</v>
      </c>
      <c r="D10" s="8" t="str">
        <f t="shared" ref="D10:D64" si="50">$B10 &amp; " - " &amp; $C10</f>
        <v xml:space="preserve">S6 - Instansi atau Badan Publik</v>
      </c>
    </row>
    <row r="11" ht="15" customHeight="1">
      <c r="A11" s="31" t="s">
        <v>157</v>
      </c>
      <c r="B11" s="34" t="s">
        <v>176</v>
      </c>
      <c r="C11" s="31" t="s">
        <v>298</v>
      </c>
      <c r="D11" s="8" t="str">
        <f t="shared" si="50"/>
        <v xml:space="preserve">S7 - Otoritas Penetap atau Pengawas Kebijakan</v>
      </c>
    </row>
    <row r="12" ht="15" customHeight="1">
      <c r="A12" s="31" t="s">
        <v>157</v>
      </c>
      <c r="B12" s="34" t="s">
        <v>177</v>
      </c>
      <c r="C12" s="31" t="s">
        <v>299</v>
      </c>
      <c r="D12" s="8" t="str">
        <f t="shared" si="50"/>
        <v xml:space="preserve">S8 - Penyelenggara sektor atau pihak lain</v>
      </c>
    </row>
    <row r="13" ht="15" customHeight="1">
      <c r="A13" s="31" t="s">
        <v>157</v>
      </c>
      <c r="B13" s="34" t="s">
        <v>178</v>
      </c>
      <c r="C13" s="31" t="s">
        <v>300</v>
      </c>
      <c r="D13" s="8" t="str">
        <f t="shared" si="50"/>
        <v xml:space="preserve">S9 - Tidak ada subjek perorangan atau organisasi eksplisit</v>
      </c>
    </row>
    <row r="15" ht="15" customHeight="1">
      <c r="A15" s="12" t="s">
        <v>151</v>
      </c>
      <c r="B15" s="12" t="s">
        <v>290</v>
      </c>
      <c r="C15" s="12" t="s">
        <v>291</v>
      </c>
      <c r="D15" s="37" t="str">
        <f t="shared" si="50"/>
        <v xml:space="preserve">Kode - Label</v>
      </c>
    </row>
    <row r="16" ht="15" customHeight="1">
      <c r="A16" s="31" t="s">
        <v>159</v>
      </c>
      <c r="B16" s="34" t="s">
        <v>181</v>
      </c>
      <c r="C16" s="31" t="s">
        <v>301</v>
      </c>
      <c r="D16" s="8" t="str">
        <f t="shared" si="50"/>
        <v xml:space="preserve">R0 - Tidak relevan</v>
      </c>
    </row>
    <row r="17" ht="15" customHeight="1">
      <c r="A17" s="31" t="s">
        <v>159</v>
      </c>
      <c r="B17" s="34" t="s">
        <v>182</v>
      </c>
      <c r="C17" s="31" t="s">
        <v>302</v>
      </c>
      <c r="D17" s="8" t="str">
        <f t="shared" si="50"/>
        <v xml:space="preserve">R1 - Relevan tidak langsung</v>
      </c>
    </row>
    <row r="18" ht="15" customHeight="1">
      <c r="A18" s="31" t="s">
        <v>159</v>
      </c>
      <c r="B18" s="34" t="s">
        <v>183</v>
      </c>
      <c r="C18" s="31" t="s">
        <v>303</v>
      </c>
      <c r="D18" s="8" t="str">
        <f t="shared" si="50"/>
        <v xml:space="preserve">R2 - Relevan langsung</v>
      </c>
    </row>
    <row r="20" ht="15" customHeight="1">
      <c r="A20" s="12" t="s">
        <v>151</v>
      </c>
      <c r="B20" s="12" t="s">
        <v>290</v>
      </c>
      <c r="C20" s="12" t="s">
        <v>291</v>
      </c>
      <c r="D20" s="37" t="str">
        <f t="shared" si="50"/>
        <v xml:space="preserve">Kode - Label</v>
      </c>
    </row>
    <row r="21" ht="15" customHeight="1">
      <c r="A21" s="31" t="s">
        <v>161</v>
      </c>
      <c r="B21" s="34" t="s">
        <v>192</v>
      </c>
      <c r="C21" s="31" t="s">
        <v>304</v>
      </c>
      <c r="D21" s="8" t="str">
        <f t="shared" si="50"/>
        <v xml:space="preserve">T01 - Definisi, Istilah, dan Ruang Lingkup</v>
      </c>
    </row>
    <row r="22" ht="15" customHeight="1">
      <c r="A22" s="31" t="s">
        <v>161</v>
      </c>
      <c r="B22" s="34" t="s">
        <v>193</v>
      </c>
      <c r="C22" s="31" t="s">
        <v>305</v>
      </c>
      <c r="D22" s="8" t="str">
        <f t="shared" si="50"/>
        <v xml:space="preserve">T02 - Latar Normatif dan Rujukan Non-operasional</v>
      </c>
    </row>
    <row r="23" ht="15" customHeight="1">
      <c r="A23" s="31" t="s">
        <v>161</v>
      </c>
      <c r="B23" s="34" t="s">
        <v>194</v>
      </c>
      <c r="C23" s="31" t="s">
        <v>306</v>
      </c>
      <c r="D23" s="8" t="str">
        <f t="shared" si="50"/>
        <v xml:space="preserve">T03 - Larangan dan Perbuatan Melawan Hukum</v>
      </c>
    </row>
    <row r="24" ht="15" customHeight="1">
      <c r="A24" s="31" t="s">
        <v>161</v>
      </c>
      <c r="B24" s="34" t="s">
        <v>195</v>
      </c>
      <c r="C24" s="31" t="s">
        <v>307</v>
      </c>
      <c r="D24" s="8" t="str">
        <f t="shared" si="50"/>
        <v xml:space="preserve">T04 - Pengecualian dan Pembatasan</v>
      </c>
    </row>
    <row r="25" ht="15" customHeight="1">
      <c r="A25" s="31" t="s">
        <v>161</v>
      </c>
      <c r="B25" s="34" t="s">
        <v>196</v>
      </c>
      <c r="C25" s="31" t="s">
        <v>308</v>
      </c>
      <c r="D25" s="8" t="str">
        <f t="shared" si="50"/>
        <v xml:space="preserve">T05 - Jenis dan Klasifikasi Data Pribadi</v>
      </c>
    </row>
    <row r="26" ht="15" customHeight="1">
      <c r="A26" s="31" t="s">
        <v>161</v>
      </c>
      <c r="B26" s="34" t="s">
        <v>197</v>
      </c>
      <c r="C26" s="31" t="s">
        <v>309</v>
      </c>
      <c r="D26" s="8" t="str">
        <f t="shared" si="50"/>
        <v xml:space="preserve">T06 - Data Pribadi Anak dan Kelompok Rentan</v>
      </c>
    </row>
    <row r="27" ht="15" customHeight="1">
      <c r="A27" s="31" t="s">
        <v>161</v>
      </c>
      <c r="B27" s="34" t="s">
        <v>198</v>
      </c>
      <c r="C27" s="31" t="s">
        <v>310</v>
      </c>
      <c r="D27" s="8" t="str">
        <f t="shared" si="50"/>
        <v xml:space="preserve">T07 - Hak Subjek Data Pribadi</v>
      </c>
    </row>
    <row r="28" ht="15" customHeight="1">
      <c r="A28" s="31" t="s">
        <v>161</v>
      </c>
      <c r="B28" s="34" t="s">
        <v>199</v>
      </c>
      <c r="C28" s="31" t="s">
        <v>311</v>
      </c>
      <c r="D28" s="8" t="str">
        <f t="shared" si="50"/>
        <v xml:space="preserve">T08 - Retensi, Penghentian, Penghapusan, dan Pemusnahan</v>
      </c>
    </row>
    <row r="29" ht="15" customHeight="1">
      <c r="A29" s="31" t="s">
        <v>161</v>
      </c>
      <c r="B29" s="34" t="s">
        <v>200</v>
      </c>
      <c r="C29" s="31" t="s">
        <v>312</v>
      </c>
      <c r="D29" s="8" t="str">
        <f t="shared" si="50"/>
        <v xml:space="preserve">T09 - Dasar Pemrosesan dan Persetujuan</v>
      </c>
    </row>
    <row r="30" ht="15" customHeight="1">
      <c r="A30" s="31" t="s">
        <v>161</v>
      </c>
      <c r="B30" s="34" t="s">
        <v>201</v>
      </c>
      <c r="C30" s="31" t="s">
        <v>313</v>
      </c>
      <c r="D30" s="8" t="str">
        <f t="shared" si="50"/>
        <v xml:space="preserve">T10 - Transfer dan Pengalihan Data</v>
      </c>
    </row>
    <row r="31" ht="15" customHeight="1">
      <c r="A31" s="31" t="s">
        <v>161</v>
      </c>
      <c r="B31" s="34" t="s">
        <v>202</v>
      </c>
      <c r="C31" s="31" t="s">
        <v>314</v>
      </c>
      <c r="D31" s="8" t="str">
        <f t="shared" si="50"/>
        <v xml:space="preserve">T11 - Keamanan, Kerahasiaan, dan Penanganan Insiden</v>
      </c>
    </row>
    <row r="32" ht="15" customHeight="1">
      <c r="A32" s="31" t="s">
        <v>161</v>
      </c>
      <c r="B32" s="34" t="s">
        <v>203</v>
      </c>
      <c r="C32" s="31" t="s">
        <v>315</v>
      </c>
      <c r="D32" s="8" t="str">
        <f t="shared" si="50"/>
        <v xml:space="preserve">T12 - Kualitas, Akurasi, dan Pembaruan Data</v>
      </c>
    </row>
    <row r="33" ht="15" customHeight="1">
      <c r="A33" s="31" t="s">
        <v>161</v>
      </c>
      <c r="B33" s="34" t="s">
        <v>204</v>
      </c>
      <c r="C33" s="31" t="s">
        <v>316</v>
      </c>
      <c r="D33" s="8" t="str">
        <f t="shared" si="50"/>
        <v xml:space="preserve">T13 - Akuntabilitas, Pencatatan, dan Tata Kelola Kepatuhan</v>
      </c>
    </row>
    <row r="34" ht="15" customHeight="1">
      <c r="A34" s="31" t="s">
        <v>161</v>
      </c>
      <c r="B34" s="34" t="s">
        <v>205</v>
      </c>
      <c r="C34" s="31" t="s">
        <v>317</v>
      </c>
      <c r="D34" s="8" t="str">
        <f t="shared" si="50"/>
        <v xml:space="preserve">T14 - Akses dan Pemanfaatan Data Pemerintah</v>
      </c>
    </row>
    <row r="35" ht="15" customHeight="1">
      <c r="A35" s="31" t="s">
        <v>161</v>
      </c>
      <c r="B35" s="34" t="s">
        <v>206</v>
      </c>
      <c r="C35" s="31" t="s">
        <v>318</v>
      </c>
      <c r="D35" s="8" t="str">
        <f t="shared" si="50"/>
        <v xml:space="preserve">T15 - Asas dan Prinsip Pemrosesan</v>
      </c>
    </row>
    <row r="36" ht="15" customHeight="1">
      <c r="A36" s="31" t="s">
        <v>161</v>
      </c>
      <c r="B36" s="34" t="s">
        <v>207</v>
      </c>
      <c r="C36" s="31" t="s">
        <v>319</v>
      </c>
      <c r="D36" s="8" t="str">
        <f t="shared" si="50"/>
        <v xml:space="preserve">T16 - Aktivitas Pemrosesan dan Pengumpulan</v>
      </c>
    </row>
    <row r="37" ht="15" customHeight="1">
      <c r="A37" s="31" t="s">
        <v>161</v>
      </c>
      <c r="B37" s="34" t="s">
        <v>208</v>
      </c>
      <c r="C37" s="31" t="s">
        <v>320</v>
      </c>
      <c r="D37" s="8" t="str">
        <f t="shared" si="50"/>
        <v xml:space="preserve">T99 - Lainnya (wajib jelaskan di V12)</v>
      </c>
    </row>
    <row r="39" ht="15" customHeight="1">
      <c r="A39" s="12" t="s">
        <v>151</v>
      </c>
      <c r="B39" s="12" t="s">
        <v>290</v>
      </c>
      <c r="C39" s="12" t="s">
        <v>291</v>
      </c>
      <c r="D39" s="37" t="str">
        <f t="shared" si="50"/>
        <v xml:space="preserve">Kode - Label</v>
      </c>
    </row>
    <row r="40" ht="15" customHeight="1">
      <c r="A40" s="31" t="s">
        <v>162</v>
      </c>
      <c r="B40" s="34" t="s">
        <v>210</v>
      </c>
      <c r="C40" s="31" t="s">
        <v>321</v>
      </c>
      <c r="D40" s="8" t="str">
        <f t="shared" si="50"/>
        <v xml:space="preserve">P1 - Larangan</v>
      </c>
    </row>
    <row r="41" ht="15" customHeight="1">
      <c r="A41" s="31" t="s">
        <v>162</v>
      </c>
      <c r="B41" s="34" t="s">
        <v>211</v>
      </c>
      <c r="C41" s="31" t="s">
        <v>322</v>
      </c>
      <c r="D41" s="8" t="str">
        <f t="shared" si="50"/>
        <v xml:space="preserve">P2 - Kewajiban</v>
      </c>
    </row>
    <row r="42" ht="15" customHeight="1">
      <c r="A42" s="31" t="s">
        <v>162</v>
      </c>
      <c r="B42" s="34" t="s">
        <v>212</v>
      </c>
      <c r="C42" s="31" t="s">
        <v>323</v>
      </c>
      <c r="D42" s="8" t="str">
        <f t="shared" si="50"/>
        <v xml:space="preserve">P3 - Hak</v>
      </c>
    </row>
    <row r="43" ht="15" customHeight="1">
      <c r="A43" s="31" t="s">
        <v>162</v>
      </c>
      <c r="B43" s="34" t="s">
        <v>213</v>
      </c>
      <c r="C43" s="31" t="s">
        <v>324</v>
      </c>
      <c r="D43" s="8" t="str">
        <f t="shared" si="50"/>
        <v xml:space="preserve">P4 - Pengecualian atau pembatasan</v>
      </c>
    </row>
    <row r="44" ht="15" customHeight="1">
      <c r="A44" s="31" t="s">
        <v>162</v>
      </c>
      <c r="B44" s="34" t="s">
        <v>214</v>
      </c>
      <c r="C44" s="31" t="s">
        <v>325</v>
      </c>
      <c r="D44" s="8" t="str">
        <f t="shared" si="50"/>
        <v xml:space="preserve">P5 - Kebolehan atau kewenangan</v>
      </c>
    </row>
    <row r="45" ht="15" customHeight="1">
      <c r="A45" s="31" t="s">
        <v>162</v>
      </c>
      <c r="B45" s="34" t="s">
        <v>215</v>
      </c>
      <c r="C45" s="31" t="s">
        <v>326</v>
      </c>
      <c r="D45" s="8" t="str">
        <f t="shared" si="50"/>
        <v xml:space="preserve">P6 - Definisi, klasifikasi, atau ruang lingkup</v>
      </c>
    </row>
    <row r="46" ht="15" customHeight="1">
      <c r="A46" s="31" t="s">
        <v>162</v>
      </c>
      <c r="B46" s="34" t="s">
        <v>216</v>
      </c>
      <c r="C46" s="31" t="s">
        <v>327</v>
      </c>
      <c r="D46" s="8" t="str">
        <f t="shared" si="50"/>
        <v xml:space="preserve">P7 - Asas, prinsip, atau tujuan umum</v>
      </c>
    </row>
    <row r="47" ht="15" customHeight="1">
      <c r="A47" s="31" t="s">
        <v>162</v>
      </c>
      <c r="B47" s="34" t="s">
        <v>217</v>
      </c>
      <c r="C47" s="31" t="s">
        <v>328</v>
      </c>
      <c r="D47" s="8" t="str">
        <f t="shared" si="50"/>
        <v xml:space="preserve">P8 - Deskriptif, argumentatif, dan rujukan</v>
      </c>
    </row>
    <row r="49" ht="15" customHeight="1">
      <c r="A49" s="12" t="s">
        <v>151</v>
      </c>
      <c r="B49" s="12" t="s">
        <v>290</v>
      </c>
      <c r="C49" s="12" t="s">
        <v>291</v>
      </c>
      <c r="D49" s="37" t="str">
        <f t="shared" si="50"/>
        <v xml:space="preserve">Kode - Label</v>
      </c>
    </row>
    <row r="50" ht="15" customHeight="1">
      <c r="A50" s="31" t="s">
        <v>163</v>
      </c>
      <c r="B50" s="34" t="s">
        <v>219</v>
      </c>
      <c r="C50" s="31" t="s">
        <v>329</v>
      </c>
      <c r="D50" s="8" t="str">
        <f t="shared" si="50"/>
        <v xml:space="preserve">F1 - Perencanaan dan dasar pemrosesan</v>
      </c>
    </row>
    <row r="51" ht="15" customHeight="1">
      <c r="A51" s="31" t="s">
        <v>163</v>
      </c>
      <c r="B51" s="34" t="s">
        <v>220</v>
      </c>
      <c r="C51" s="31" t="s">
        <v>330</v>
      </c>
      <c r="D51" s="8" t="str">
        <f t="shared" si="50"/>
        <v xml:space="preserve">F2 - Pengumpulan atau akuisisi</v>
      </c>
    </row>
    <row r="52" ht="15" customHeight="1">
      <c r="A52" s="31" t="s">
        <v>163</v>
      </c>
      <c r="B52" s="34" t="s">
        <v>221</v>
      </c>
      <c r="C52" s="31" t="s">
        <v>331</v>
      </c>
      <c r="D52" s="8" t="str">
        <f t="shared" si="50"/>
        <v xml:space="preserve">F3 - Pengolahan dan analisis</v>
      </c>
    </row>
    <row r="53" ht="15" customHeight="1">
      <c r="A53" s="31" t="s">
        <v>163</v>
      </c>
      <c r="B53" s="34" t="s">
        <v>222</v>
      </c>
      <c r="C53" s="31" t="s">
        <v>332</v>
      </c>
      <c r="D53" s="8" t="str">
        <f t="shared" si="50"/>
        <v xml:space="preserve">F4 - Penyimpanan dan pengamanan</v>
      </c>
    </row>
    <row r="54" ht="15" customHeight="1">
      <c r="A54" s="31" t="s">
        <v>163</v>
      </c>
      <c r="B54" s="34" t="s">
        <v>223</v>
      </c>
      <c r="C54" s="31" t="s">
        <v>333</v>
      </c>
      <c r="D54" s="8" t="str">
        <f t="shared" si="50"/>
        <v xml:space="preserve">F5 - Penyebarluasan dan transfer</v>
      </c>
    </row>
    <row r="55" ht="15" customHeight="1">
      <c r="A55" s="31" t="s">
        <v>163</v>
      </c>
      <c r="B55" s="34" t="s">
        <v>224</v>
      </c>
      <c r="C55" s="31" t="s">
        <v>334</v>
      </c>
      <c r="D55" s="8" t="str">
        <f t="shared" si="50"/>
        <v xml:space="preserve">F6 - Retensi dan penghapusan</v>
      </c>
    </row>
    <row r="56" ht="15" customHeight="1">
      <c r="A56" s="31" t="s">
        <v>163</v>
      </c>
      <c r="B56" s="34" t="s">
        <v>225</v>
      </c>
      <c r="C56" s="31" t="s">
        <v>335</v>
      </c>
      <c r="D56" s="8" t="str">
        <f t="shared" si="50"/>
        <v xml:space="preserve">F7 - Tata kelola dan hak subjek</v>
      </c>
    </row>
    <row r="57" ht="15" customHeight="1">
      <c r="A57" s="31" t="s">
        <v>163</v>
      </c>
      <c r="B57" s="34" t="s">
        <v>226</v>
      </c>
      <c r="C57" s="31" t="s">
        <v>336</v>
      </c>
      <c r="D57" s="8" t="str">
        <f t="shared" si="50"/>
        <v xml:space="preserve">F8 - Lintas tahap atau tidak spesifik</v>
      </c>
    </row>
    <row r="59" ht="15" customHeight="1">
      <c r="A59" s="12" t="s">
        <v>151</v>
      </c>
      <c r="B59" s="12" t="s">
        <v>290</v>
      </c>
      <c r="C59" s="12" t="s">
        <v>291</v>
      </c>
      <c r="D59" s="37" t="str">
        <f t="shared" si="50"/>
        <v xml:space="preserve">Kode - Label</v>
      </c>
    </row>
    <row r="60" ht="15" customHeight="1">
      <c r="A60" s="31" t="s">
        <v>164</v>
      </c>
      <c r="B60" s="34" t="s">
        <v>228</v>
      </c>
      <c r="C60" s="31" t="s">
        <v>337</v>
      </c>
      <c r="D60" s="8" t="str">
        <f t="shared" si="50"/>
        <v xml:space="preserve">K1 - Non-fungsional: keamanan dan kerahasiaan. Apakah inti teks melindungi data dari akses atau gangguan tidak sah?</v>
      </c>
    </row>
    <row r="61" ht="15" customHeight="1">
      <c r="A61" s="31" t="s">
        <v>164</v>
      </c>
      <c r="B61" s="34" t="s">
        <v>229</v>
      </c>
      <c r="C61" s="31" t="s">
        <v>338</v>
      </c>
      <c r="D61" s="8" t="str">
        <f t="shared" si="50"/>
        <v xml:space="preserve">K2 - Non-fungsional: mutu data, kepatuhan, dan akuntabilitas. Apakah ini mutu atau bukti yang berlaku untuk seluruh sistem, bukan hanya satu operasi?</v>
      </c>
    </row>
    <row r="62" ht="15" customHeight="1">
      <c r="A62" s="31" t="s">
        <v>164</v>
      </c>
      <c r="B62" s="34" t="s">
        <v>230</v>
      </c>
      <c r="C62" s="31" t="s">
        <v>339</v>
      </c>
      <c r="D62" s="8" t="str">
        <f t="shared" si="50"/>
        <v xml:space="preserve">K3 - Fungsional. Dapatkah ditulis "Sistem harus [melakukan X]" dengan hasil hanya lulus atau gagal?</v>
      </c>
    </row>
    <row r="63" ht="15" customHeight="1">
      <c r="A63" s="31" t="s">
        <v>164</v>
      </c>
      <c r="B63" s="34" t="s">
        <v>231</v>
      </c>
      <c r="C63" s="31" t="s">
        <v>340</v>
      </c>
      <c r="D63" s="8" t="str">
        <f t="shared" si="50"/>
        <v xml:space="preserve">K4 - Batasan atau aturan bisnis hukum. Apakah teks membatasi apa yang boleh dilakukan sistem, atau apa dan siapa yang tercakup?</v>
      </c>
    </row>
    <row r="64" ht="15" customHeight="1">
      <c r="A64" s="31" t="s">
        <v>164</v>
      </c>
      <c r="B64" s="34" t="s">
        <v>232</v>
      </c>
      <c r="C64" s="31" t="s">
        <v>341</v>
      </c>
      <c r="D64" s="8" t="str">
        <f t="shared" si="50"/>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E64" zoomScale="65" workbookViewId="0">
      <selection activeCell="A2" activeCellId="0" sqref="A2:F87"/>
    </sheetView>
  </sheetViews>
  <sheetFormatPr baseColWidth="8" defaultColWidth="8.6796875" defaultRowHeight="15"/>
  <cols>
    <col customWidth="1" min="6" max="6" style="1" width="60"/>
    <col customWidth="1" min="8" max="8" style="1" width="90"/>
  </cols>
  <sheetData>
    <row r="1">
      <c r="A1" s="38" t="s">
        <v>43</v>
      </c>
      <c r="B1" s="38" t="s">
        <v>45</v>
      </c>
      <c r="C1" s="38" t="s">
        <v>46</v>
      </c>
      <c r="D1" s="38" t="s">
        <v>342</v>
      </c>
      <c r="E1" s="38" t="s">
        <v>343</v>
      </c>
      <c r="F1" s="38" t="s">
        <v>47</v>
      </c>
      <c r="H1" s="30" t="s">
        <v>344</v>
      </c>
    </row>
    <row r="2">
      <c r="A2" s="39" t="s">
        <v>345</v>
      </c>
      <c r="B2" s="40" t="s">
        <v>346</v>
      </c>
      <c r="C2" s="40" t="s">
        <v>347</v>
      </c>
      <c r="D2" s="40" t="s">
        <v>348</v>
      </c>
      <c r="E2" s="40" t="s">
        <v>349</v>
      </c>
      <c r="F2" s="40" t="s">
        <v>350</v>
      </c>
      <c r="H2" s="3" t="s">
        <v>351</v>
      </c>
    </row>
    <row r="3">
      <c r="A3" s="39" t="s">
        <v>345</v>
      </c>
      <c r="B3" s="40" t="s">
        <v>346</v>
      </c>
      <c r="C3" s="40" t="s">
        <v>347</v>
      </c>
      <c r="D3" s="40" t="s">
        <v>348</v>
      </c>
      <c r="E3" s="40" t="s">
        <v>352</v>
      </c>
      <c r="F3" s="40" t="s">
        <v>353</v>
      </c>
      <c r="H3" s="3" t="s">
        <v>354</v>
      </c>
    </row>
    <row r="4">
      <c r="A4" s="39" t="s">
        <v>345</v>
      </c>
      <c r="B4" s="40" t="s">
        <v>346</v>
      </c>
      <c r="C4" s="40" t="s">
        <v>347</v>
      </c>
      <c r="D4" s="40" t="s">
        <v>348</v>
      </c>
      <c r="E4" s="40" t="s">
        <v>355</v>
      </c>
      <c r="F4" s="40" t="s">
        <v>356</v>
      </c>
    </row>
    <row r="5">
      <c r="A5" s="39" t="s">
        <v>345</v>
      </c>
      <c r="B5" s="40" t="s">
        <v>346</v>
      </c>
      <c r="C5" s="40" t="s">
        <v>347</v>
      </c>
      <c r="D5" s="40" t="s">
        <v>348</v>
      </c>
      <c r="E5" s="40" t="s">
        <v>357</v>
      </c>
      <c r="F5" s="40" t="s">
        <v>358</v>
      </c>
    </row>
    <row r="6">
      <c r="A6" s="39" t="s">
        <v>345</v>
      </c>
      <c r="B6" s="40" t="s">
        <v>346</v>
      </c>
      <c r="C6" s="40" t="s">
        <v>347</v>
      </c>
      <c r="D6" s="40" t="s">
        <v>348</v>
      </c>
      <c r="E6" s="40" t="s">
        <v>359</v>
      </c>
      <c r="F6" s="40" t="s">
        <v>360</v>
      </c>
    </row>
    <row r="7">
      <c r="A7" s="39" t="s">
        <v>345</v>
      </c>
      <c r="B7" s="40" t="s">
        <v>346</v>
      </c>
      <c r="C7" s="40" t="s">
        <v>347</v>
      </c>
      <c r="D7" s="40" t="s">
        <v>348</v>
      </c>
      <c r="E7" s="40" t="s">
        <v>361</v>
      </c>
      <c r="F7" s="40" t="s">
        <v>362</v>
      </c>
    </row>
    <row r="8">
      <c r="A8" s="39" t="s">
        <v>345</v>
      </c>
      <c r="B8" s="40" t="s">
        <v>346</v>
      </c>
      <c r="C8" s="40" t="s">
        <v>347</v>
      </c>
      <c r="D8" s="40" t="s">
        <v>363</v>
      </c>
      <c r="E8" s="40" t="s">
        <v>349</v>
      </c>
      <c r="F8" s="40" t="s">
        <v>364</v>
      </c>
    </row>
    <row r="9">
      <c r="A9" s="39" t="s">
        <v>345</v>
      </c>
      <c r="B9" s="40" t="s">
        <v>346</v>
      </c>
      <c r="C9" s="40" t="s">
        <v>347</v>
      </c>
      <c r="D9" s="40" t="s">
        <v>363</v>
      </c>
      <c r="E9" s="40" t="s">
        <v>352</v>
      </c>
      <c r="F9" s="40" t="s">
        <v>365</v>
      </c>
    </row>
    <row r="10">
      <c r="A10" s="39" t="s">
        <v>345</v>
      </c>
      <c r="B10" s="40" t="s">
        <v>346</v>
      </c>
      <c r="C10" s="40" t="s">
        <v>347</v>
      </c>
      <c r="D10" s="40" t="s">
        <v>363</v>
      </c>
      <c r="E10" s="40" t="s">
        <v>355</v>
      </c>
      <c r="F10" s="40" t="s">
        <v>366</v>
      </c>
    </row>
    <row r="11">
      <c r="A11" s="39" t="s">
        <v>345</v>
      </c>
      <c r="B11" s="40" t="s">
        <v>346</v>
      </c>
      <c r="C11" s="40" t="s">
        <v>347</v>
      </c>
      <c r="D11" s="40" t="s">
        <v>363</v>
      </c>
      <c r="E11" s="40" t="s">
        <v>357</v>
      </c>
      <c r="F11" s="40" t="s">
        <v>367</v>
      </c>
    </row>
    <row r="12">
      <c r="A12" s="39" t="s">
        <v>345</v>
      </c>
      <c r="B12" s="40" t="s">
        <v>346</v>
      </c>
      <c r="C12" s="40" t="s">
        <v>347</v>
      </c>
      <c r="D12" s="40" t="s">
        <v>368</v>
      </c>
      <c r="E12" s="40" t="s">
        <v>349</v>
      </c>
      <c r="F12" s="40" t="s">
        <v>369</v>
      </c>
    </row>
    <row r="13">
      <c r="A13" s="39" t="s">
        <v>345</v>
      </c>
      <c r="B13" s="40" t="s">
        <v>346</v>
      </c>
      <c r="C13" s="40" t="s">
        <v>347</v>
      </c>
      <c r="D13" s="40" t="s">
        <v>368</v>
      </c>
      <c r="E13" s="40" t="s">
        <v>352</v>
      </c>
      <c r="F13" s="40" t="s">
        <v>370</v>
      </c>
    </row>
    <row r="14">
      <c r="A14" s="39" t="s">
        <v>345</v>
      </c>
      <c r="B14" s="40" t="s">
        <v>346</v>
      </c>
      <c r="C14" s="40" t="s">
        <v>347</v>
      </c>
      <c r="D14" s="40" t="s">
        <v>371</v>
      </c>
      <c r="E14" s="40" t="s">
        <v>349</v>
      </c>
      <c r="F14" s="40" t="s">
        <v>372</v>
      </c>
    </row>
    <row r="15">
      <c r="A15" s="39" t="s">
        <v>345</v>
      </c>
      <c r="B15" s="40" t="s">
        <v>346</v>
      </c>
      <c r="C15" s="40" t="s">
        <v>347</v>
      </c>
      <c r="D15" s="40" t="s">
        <v>371</v>
      </c>
      <c r="E15" s="40" t="s">
        <v>352</v>
      </c>
      <c r="F15" s="40" t="s">
        <v>373</v>
      </c>
    </row>
    <row r="16">
      <c r="A16" s="39" t="s">
        <v>345</v>
      </c>
      <c r="B16" s="40" t="s">
        <v>346</v>
      </c>
      <c r="C16" s="40" t="s">
        <v>347</v>
      </c>
      <c r="D16" s="40" t="s">
        <v>371</v>
      </c>
      <c r="E16" s="40" t="s">
        <v>355</v>
      </c>
      <c r="F16" s="40" t="s">
        <v>374</v>
      </c>
    </row>
    <row r="17">
      <c r="A17" s="39" t="s">
        <v>345</v>
      </c>
      <c r="B17" s="40" t="s">
        <v>346</v>
      </c>
      <c r="C17" s="40" t="s">
        <v>347</v>
      </c>
      <c r="D17" s="40" t="s">
        <v>371</v>
      </c>
      <c r="E17" s="40" t="s">
        <v>375</v>
      </c>
      <c r="F17" s="40" t="s">
        <v>376</v>
      </c>
    </row>
    <row r="18">
      <c r="A18" s="39" t="s">
        <v>345</v>
      </c>
      <c r="B18" s="40" t="s">
        <v>346</v>
      </c>
      <c r="C18" s="40" t="s">
        <v>347</v>
      </c>
      <c r="D18" s="40" t="s">
        <v>371</v>
      </c>
      <c r="E18" s="40" t="s">
        <v>377</v>
      </c>
      <c r="F18" s="40" t="s">
        <v>378</v>
      </c>
    </row>
    <row r="19">
      <c r="A19" s="39" t="s">
        <v>345</v>
      </c>
      <c r="B19" s="40" t="s">
        <v>346</v>
      </c>
      <c r="C19" s="40" t="s">
        <v>347</v>
      </c>
      <c r="D19" s="40" t="s">
        <v>371</v>
      </c>
      <c r="E19" s="40" t="s">
        <v>379</v>
      </c>
      <c r="F19" s="40" t="s">
        <v>380</v>
      </c>
    </row>
    <row r="20">
      <c r="A20" s="39" t="s">
        <v>345</v>
      </c>
      <c r="B20" s="40" t="s">
        <v>346</v>
      </c>
      <c r="C20" s="40" t="s">
        <v>347</v>
      </c>
      <c r="D20" s="40" t="s">
        <v>381</v>
      </c>
      <c r="E20" s="40" t="s">
        <v>352</v>
      </c>
      <c r="F20" s="40" t="s">
        <v>382</v>
      </c>
    </row>
    <row r="21">
      <c r="A21" s="39" t="s">
        <v>345</v>
      </c>
      <c r="B21" s="40" t="s">
        <v>346</v>
      </c>
      <c r="C21" s="40" t="s">
        <v>347</v>
      </c>
      <c r="D21" s="40" t="s">
        <v>381</v>
      </c>
      <c r="E21" s="40" t="s">
        <v>355</v>
      </c>
      <c r="F21" s="40" t="s">
        <v>383</v>
      </c>
    </row>
    <row r="22">
      <c r="A22" s="39" t="s">
        <v>345</v>
      </c>
      <c r="B22" s="40" t="s">
        <v>346</v>
      </c>
      <c r="C22" s="40" t="s">
        <v>347</v>
      </c>
      <c r="D22" s="40" t="s">
        <v>381</v>
      </c>
      <c r="E22" s="40" t="s">
        <v>357</v>
      </c>
      <c r="F22" s="40" t="s">
        <v>384</v>
      </c>
    </row>
    <row r="23">
      <c r="A23" s="39" t="s">
        <v>345</v>
      </c>
      <c r="B23" s="40" t="s">
        <v>346</v>
      </c>
      <c r="C23" s="40" t="s">
        <v>347</v>
      </c>
      <c r="D23" s="40" t="s">
        <v>385</v>
      </c>
      <c r="E23" s="40" t="s">
        <v>349</v>
      </c>
      <c r="F23" s="40" t="s">
        <v>386</v>
      </c>
    </row>
    <row r="24">
      <c r="A24" s="39" t="s">
        <v>345</v>
      </c>
      <c r="B24" s="40" t="s">
        <v>346</v>
      </c>
      <c r="C24" s="40" t="s">
        <v>347</v>
      </c>
      <c r="D24" s="40" t="s">
        <v>385</v>
      </c>
      <c r="E24" s="40" t="s">
        <v>355</v>
      </c>
      <c r="F24" s="40" t="s">
        <v>387</v>
      </c>
    </row>
    <row r="25">
      <c r="A25" s="39" t="s">
        <v>345</v>
      </c>
      <c r="B25" s="40" t="s">
        <v>388</v>
      </c>
      <c r="C25" s="40"/>
      <c r="D25" s="40" t="s">
        <v>389</v>
      </c>
      <c r="E25" s="40" t="s">
        <v>355</v>
      </c>
      <c r="F25" s="40" t="s">
        <v>390</v>
      </c>
    </row>
    <row r="26">
      <c r="A26" s="39" t="s">
        <v>345</v>
      </c>
      <c r="B26" s="40" t="s">
        <v>388</v>
      </c>
      <c r="C26" s="40"/>
      <c r="D26" s="40" t="s">
        <v>389</v>
      </c>
      <c r="E26" s="40" t="s">
        <v>357</v>
      </c>
      <c r="F26" s="40" t="s">
        <v>391</v>
      </c>
    </row>
    <row r="27">
      <c r="A27" s="39" t="s">
        <v>392</v>
      </c>
      <c r="B27" s="40" t="s">
        <v>393</v>
      </c>
      <c r="C27" s="40" t="s">
        <v>394</v>
      </c>
      <c r="D27" s="40"/>
      <c r="E27" s="40" t="s">
        <v>395</v>
      </c>
      <c r="F27" s="40" t="s">
        <v>396</v>
      </c>
    </row>
    <row r="28">
      <c r="A28" s="39" t="s">
        <v>397</v>
      </c>
      <c r="B28" s="40" t="s">
        <v>398</v>
      </c>
      <c r="C28" s="40"/>
      <c r="D28" s="40"/>
      <c r="E28" s="40" t="s">
        <v>399</v>
      </c>
      <c r="F28" s="40" t="s">
        <v>400</v>
      </c>
    </row>
    <row r="29">
      <c r="A29" s="39" t="s">
        <v>397</v>
      </c>
      <c r="B29" s="40" t="s">
        <v>398</v>
      </c>
      <c r="C29" s="40"/>
      <c r="D29" s="40"/>
      <c r="E29" s="40" t="s">
        <v>401</v>
      </c>
      <c r="F29" s="40" t="s">
        <v>402</v>
      </c>
    </row>
    <row r="30">
      <c r="A30" s="39" t="s">
        <v>397</v>
      </c>
      <c r="B30" s="40" t="s">
        <v>403</v>
      </c>
      <c r="C30" s="40"/>
      <c r="D30" s="40"/>
      <c r="E30" s="40" t="s">
        <v>404</v>
      </c>
      <c r="F30" s="40" t="s">
        <v>405</v>
      </c>
    </row>
    <row r="31">
      <c r="A31" s="39" t="s">
        <v>397</v>
      </c>
      <c r="B31" s="40" t="s">
        <v>406</v>
      </c>
      <c r="C31" s="40"/>
      <c r="D31" s="40"/>
      <c r="E31" s="40" t="s">
        <v>407</v>
      </c>
      <c r="F31" s="40" t="s">
        <v>408</v>
      </c>
    </row>
    <row r="32">
      <c r="A32" s="39" t="s">
        <v>397</v>
      </c>
      <c r="B32" s="40" t="s">
        <v>409</v>
      </c>
      <c r="C32" s="40"/>
      <c r="D32" s="40"/>
      <c r="E32" s="40" t="s">
        <v>410</v>
      </c>
      <c r="F32" s="40" t="s">
        <v>411</v>
      </c>
    </row>
    <row r="33">
      <c r="A33" s="39" t="s">
        <v>397</v>
      </c>
      <c r="B33" s="40" t="s">
        <v>409</v>
      </c>
      <c r="C33" s="40"/>
      <c r="D33" s="40"/>
      <c r="E33" s="40" t="s">
        <v>412</v>
      </c>
      <c r="F33" s="40" t="s">
        <v>413</v>
      </c>
    </row>
    <row r="34">
      <c r="A34" s="39" t="s">
        <v>397</v>
      </c>
      <c r="B34" s="40" t="s">
        <v>409</v>
      </c>
      <c r="C34" s="40"/>
      <c r="D34" s="40"/>
      <c r="E34" s="40" t="s">
        <v>414</v>
      </c>
      <c r="F34" s="40" t="s">
        <v>415</v>
      </c>
    </row>
    <row r="35">
      <c r="A35" s="39" t="s">
        <v>397</v>
      </c>
      <c r="B35" s="40" t="s">
        <v>409</v>
      </c>
      <c r="C35" s="40"/>
      <c r="D35" s="40"/>
      <c r="E35" s="40" t="s">
        <v>416</v>
      </c>
      <c r="F35" s="40" t="s">
        <v>417</v>
      </c>
    </row>
    <row r="36">
      <c r="A36" s="39" t="s">
        <v>397</v>
      </c>
      <c r="B36" s="40" t="s">
        <v>409</v>
      </c>
      <c r="C36" s="40"/>
      <c r="D36" s="40"/>
      <c r="E36" s="40" t="s">
        <v>418</v>
      </c>
      <c r="F36" s="40" t="s">
        <v>419</v>
      </c>
    </row>
    <row r="37">
      <c r="A37" s="39" t="s">
        <v>397</v>
      </c>
      <c r="B37" s="40" t="s">
        <v>409</v>
      </c>
      <c r="C37" s="40"/>
      <c r="D37" s="40"/>
      <c r="E37" s="40" t="s">
        <v>420</v>
      </c>
      <c r="F37" s="40" t="s">
        <v>421</v>
      </c>
    </row>
    <row r="38">
      <c r="A38" s="39" t="s">
        <v>397</v>
      </c>
      <c r="B38" s="40" t="s">
        <v>409</v>
      </c>
      <c r="C38" s="40"/>
      <c r="D38" s="40"/>
      <c r="E38" s="40" t="s">
        <v>422</v>
      </c>
      <c r="F38" s="40" t="s">
        <v>423</v>
      </c>
    </row>
    <row r="39">
      <c r="A39" s="39" t="s">
        <v>397</v>
      </c>
      <c r="B39" s="40" t="s">
        <v>409</v>
      </c>
      <c r="C39" s="40"/>
      <c r="D39" s="40"/>
      <c r="E39" s="40" t="s">
        <v>424</v>
      </c>
      <c r="F39" s="40" t="s">
        <v>425</v>
      </c>
    </row>
    <row r="40">
      <c r="A40" s="39" t="s">
        <v>397</v>
      </c>
      <c r="B40" s="40" t="s">
        <v>409</v>
      </c>
      <c r="C40" s="40"/>
      <c r="D40" s="40"/>
      <c r="E40" s="40" t="s">
        <v>426</v>
      </c>
      <c r="F40" s="40" t="s">
        <v>427</v>
      </c>
    </row>
    <row r="41">
      <c r="A41" s="39" t="s">
        <v>397</v>
      </c>
      <c r="B41" s="40" t="s">
        <v>409</v>
      </c>
      <c r="C41" s="40"/>
      <c r="D41" s="40"/>
      <c r="E41" s="40" t="s">
        <v>428</v>
      </c>
      <c r="F41" s="40" t="s">
        <v>429</v>
      </c>
    </row>
    <row r="42">
      <c r="A42" s="39" t="s">
        <v>397</v>
      </c>
      <c r="B42" s="40" t="s">
        <v>409</v>
      </c>
      <c r="C42" s="40"/>
      <c r="D42" s="40"/>
      <c r="E42" s="40" t="s">
        <v>430</v>
      </c>
      <c r="F42" s="40" t="s">
        <v>431</v>
      </c>
    </row>
    <row r="43">
      <c r="A43" s="39" t="s">
        <v>397</v>
      </c>
      <c r="B43" s="40" t="s">
        <v>432</v>
      </c>
      <c r="C43" s="40"/>
      <c r="D43" s="40"/>
      <c r="E43" s="40" t="s">
        <v>433</v>
      </c>
      <c r="F43" s="40" t="s">
        <v>434</v>
      </c>
    </row>
    <row r="44">
      <c r="A44" s="39" t="s">
        <v>397</v>
      </c>
      <c r="B44" s="40" t="s">
        <v>432</v>
      </c>
      <c r="C44" s="40"/>
      <c r="D44" s="40"/>
      <c r="E44" s="40" t="s">
        <v>435</v>
      </c>
      <c r="F44" s="40" t="s">
        <v>436</v>
      </c>
    </row>
    <row r="45">
      <c r="A45" s="39" t="s">
        <v>397</v>
      </c>
      <c r="B45" s="40" t="s">
        <v>432</v>
      </c>
      <c r="C45" s="40"/>
      <c r="D45" s="40"/>
      <c r="E45" s="40" t="s">
        <v>437</v>
      </c>
      <c r="F45" s="40" t="s">
        <v>438</v>
      </c>
    </row>
    <row r="46">
      <c r="A46" s="39" t="s">
        <v>397</v>
      </c>
      <c r="B46" s="40" t="s">
        <v>439</v>
      </c>
      <c r="C46" s="40" t="s">
        <v>440</v>
      </c>
      <c r="D46" s="40"/>
      <c r="E46" s="40" t="s">
        <v>441</v>
      </c>
      <c r="F46" s="40" t="s">
        <v>442</v>
      </c>
    </row>
    <row r="47">
      <c r="A47" s="39" t="s">
        <v>397</v>
      </c>
      <c r="B47" s="40" t="s">
        <v>439</v>
      </c>
      <c r="C47" s="40" t="s">
        <v>443</v>
      </c>
      <c r="D47" s="40"/>
      <c r="E47" s="40" t="s">
        <v>444</v>
      </c>
      <c r="F47" s="40" t="s">
        <v>445</v>
      </c>
    </row>
    <row r="48">
      <c r="A48" s="39" t="s">
        <v>397</v>
      </c>
      <c r="B48" s="40" t="s">
        <v>439</v>
      </c>
      <c r="C48" s="40" t="s">
        <v>443</v>
      </c>
      <c r="D48" s="40"/>
      <c r="E48" s="40" t="s">
        <v>446</v>
      </c>
      <c r="F48" s="40" t="s">
        <v>447</v>
      </c>
    </row>
    <row r="49">
      <c r="A49" s="39" t="s">
        <v>397</v>
      </c>
      <c r="B49" s="40" t="s">
        <v>439</v>
      </c>
      <c r="C49" s="40" t="s">
        <v>443</v>
      </c>
      <c r="D49" s="40"/>
      <c r="E49" s="40" t="s">
        <v>448</v>
      </c>
      <c r="F49" s="40" t="s">
        <v>449</v>
      </c>
    </row>
    <row r="50">
      <c r="A50" s="39" t="s">
        <v>397</v>
      </c>
      <c r="B50" s="40" t="s">
        <v>439</v>
      </c>
      <c r="C50" s="40" t="s">
        <v>443</v>
      </c>
      <c r="D50" s="40"/>
      <c r="E50" s="40" t="s">
        <v>450</v>
      </c>
      <c r="F50" s="40" t="s">
        <v>451</v>
      </c>
    </row>
    <row r="51">
      <c r="A51" s="39" t="s">
        <v>397</v>
      </c>
      <c r="B51" s="40" t="s">
        <v>439</v>
      </c>
      <c r="C51" s="40" t="s">
        <v>443</v>
      </c>
      <c r="D51" s="40"/>
      <c r="E51" s="40" t="s">
        <v>452</v>
      </c>
      <c r="F51" s="40" t="s">
        <v>453</v>
      </c>
    </row>
    <row r="52">
      <c r="A52" s="39" t="s">
        <v>397</v>
      </c>
      <c r="B52" s="40" t="s">
        <v>439</v>
      </c>
      <c r="C52" s="40" t="s">
        <v>443</v>
      </c>
      <c r="D52" s="40"/>
      <c r="E52" s="40" t="s">
        <v>454</v>
      </c>
      <c r="F52" s="40" t="s">
        <v>455</v>
      </c>
    </row>
    <row r="53">
      <c r="A53" s="39" t="s">
        <v>397</v>
      </c>
      <c r="B53" s="40" t="s">
        <v>439</v>
      </c>
      <c r="C53" s="40" t="s">
        <v>443</v>
      </c>
      <c r="D53" s="40"/>
      <c r="E53" s="40" t="s">
        <v>456</v>
      </c>
      <c r="F53" s="40" t="s">
        <v>457</v>
      </c>
    </row>
    <row r="54">
      <c r="A54" s="39" t="s">
        <v>397</v>
      </c>
      <c r="B54" s="40" t="s">
        <v>439</v>
      </c>
      <c r="C54" s="40" t="s">
        <v>443</v>
      </c>
      <c r="D54" s="40"/>
      <c r="E54" s="40" t="s">
        <v>395</v>
      </c>
      <c r="F54" s="40" t="s">
        <v>458</v>
      </c>
    </row>
    <row r="55">
      <c r="A55" s="39" t="s">
        <v>397</v>
      </c>
      <c r="B55" s="40" t="s">
        <v>439</v>
      </c>
      <c r="C55" s="40" t="s">
        <v>443</v>
      </c>
      <c r="D55" s="40"/>
      <c r="E55" s="40" t="s">
        <v>459</v>
      </c>
      <c r="F55" s="40" t="s">
        <v>460</v>
      </c>
    </row>
    <row r="56">
      <c r="A56" s="39" t="s">
        <v>397</v>
      </c>
      <c r="B56" s="40" t="s">
        <v>439</v>
      </c>
      <c r="C56" s="40" t="s">
        <v>443</v>
      </c>
      <c r="D56" s="40"/>
      <c r="E56" s="40" t="s">
        <v>461</v>
      </c>
      <c r="F56" s="40" t="s">
        <v>462</v>
      </c>
    </row>
    <row r="57">
      <c r="A57" s="39" t="s">
        <v>397</v>
      </c>
      <c r="B57" s="40" t="s">
        <v>439</v>
      </c>
      <c r="C57" s="40" t="s">
        <v>443</v>
      </c>
      <c r="D57" s="40"/>
      <c r="E57" s="40" t="s">
        <v>463</v>
      </c>
      <c r="F57" s="40" t="s">
        <v>464</v>
      </c>
    </row>
    <row r="58">
      <c r="A58" s="39" t="s">
        <v>397</v>
      </c>
      <c r="B58" s="40" t="s">
        <v>439</v>
      </c>
      <c r="C58" s="40" t="s">
        <v>443</v>
      </c>
      <c r="D58" s="40"/>
      <c r="E58" s="40" t="s">
        <v>465</v>
      </c>
      <c r="F58" s="40" t="s">
        <v>466</v>
      </c>
    </row>
    <row r="59">
      <c r="A59" s="39" t="s">
        <v>397</v>
      </c>
      <c r="B59" s="40" t="s">
        <v>439</v>
      </c>
      <c r="C59" s="40" t="s">
        <v>443</v>
      </c>
      <c r="D59" s="40"/>
      <c r="E59" s="40" t="s">
        <v>467</v>
      </c>
      <c r="F59" s="40" t="s">
        <v>468</v>
      </c>
    </row>
    <row r="60">
      <c r="A60" s="39" t="s">
        <v>397</v>
      </c>
      <c r="B60" s="40" t="s">
        <v>439</v>
      </c>
      <c r="C60" s="40" t="s">
        <v>443</v>
      </c>
      <c r="D60" s="40"/>
      <c r="E60" s="40" t="s">
        <v>469</v>
      </c>
      <c r="F60" s="40" t="s">
        <v>470</v>
      </c>
    </row>
    <row r="61">
      <c r="A61" s="39" t="s">
        <v>397</v>
      </c>
      <c r="B61" s="40" t="s">
        <v>439</v>
      </c>
      <c r="C61" s="40" t="s">
        <v>471</v>
      </c>
      <c r="D61" s="40"/>
      <c r="E61" s="40" t="s">
        <v>472</v>
      </c>
      <c r="F61" s="40" t="s">
        <v>473</v>
      </c>
    </row>
    <row r="62">
      <c r="A62" s="39" t="s">
        <v>397</v>
      </c>
      <c r="B62" s="40" t="s">
        <v>439</v>
      </c>
      <c r="C62" s="40" t="s">
        <v>471</v>
      </c>
      <c r="D62" s="40"/>
      <c r="E62" s="40" t="s">
        <v>474</v>
      </c>
      <c r="F62" s="40" t="s">
        <v>475</v>
      </c>
    </row>
    <row r="63">
      <c r="A63" s="39" t="s">
        <v>397</v>
      </c>
      <c r="B63" s="40" t="s">
        <v>439</v>
      </c>
      <c r="C63" s="40" t="s">
        <v>471</v>
      </c>
      <c r="D63" s="40"/>
      <c r="E63" s="40" t="s">
        <v>476</v>
      </c>
      <c r="F63" s="40" t="s">
        <v>477</v>
      </c>
    </row>
    <row r="64">
      <c r="A64" s="39" t="s">
        <v>397</v>
      </c>
      <c r="B64" s="40" t="s">
        <v>439</v>
      </c>
      <c r="C64" s="40" t="s">
        <v>471</v>
      </c>
      <c r="D64" s="40"/>
      <c r="E64" s="40" t="s">
        <v>478</v>
      </c>
      <c r="F64" s="40" t="s">
        <v>479</v>
      </c>
    </row>
    <row r="65">
      <c r="A65" s="39" t="s">
        <v>397</v>
      </c>
      <c r="B65" s="40" t="s">
        <v>439</v>
      </c>
      <c r="C65" s="40" t="s">
        <v>471</v>
      </c>
      <c r="D65" s="40"/>
      <c r="E65" s="40" t="s">
        <v>480</v>
      </c>
      <c r="F65" s="40" t="s">
        <v>481</v>
      </c>
    </row>
    <row r="66">
      <c r="A66" s="39" t="s">
        <v>397</v>
      </c>
      <c r="B66" s="40" t="s">
        <v>439</v>
      </c>
      <c r="C66" s="40" t="s">
        <v>471</v>
      </c>
      <c r="D66" s="40"/>
      <c r="E66" s="40" t="s">
        <v>482</v>
      </c>
      <c r="F66" s="40" t="s">
        <v>483</v>
      </c>
    </row>
    <row r="67">
      <c r="A67" s="39" t="s">
        <v>397</v>
      </c>
      <c r="B67" s="40" t="s">
        <v>439</v>
      </c>
      <c r="C67" s="40" t="s">
        <v>471</v>
      </c>
      <c r="D67" s="40"/>
      <c r="E67" s="40" t="s">
        <v>484</v>
      </c>
      <c r="F67" s="40" t="s">
        <v>485</v>
      </c>
    </row>
    <row r="68">
      <c r="A68" s="39" t="s">
        <v>397</v>
      </c>
      <c r="B68" s="40" t="s">
        <v>439</v>
      </c>
      <c r="C68" s="40" t="s">
        <v>471</v>
      </c>
      <c r="D68" s="40"/>
      <c r="E68" s="40" t="s">
        <v>486</v>
      </c>
      <c r="F68" s="40" t="s">
        <v>487</v>
      </c>
    </row>
    <row r="69">
      <c r="A69" s="39" t="s">
        <v>397</v>
      </c>
      <c r="B69" s="40" t="s">
        <v>439</v>
      </c>
      <c r="C69" s="40" t="s">
        <v>471</v>
      </c>
      <c r="D69" s="40"/>
      <c r="E69" s="40" t="s">
        <v>488</v>
      </c>
      <c r="F69" s="40" t="s">
        <v>489</v>
      </c>
    </row>
    <row r="70">
      <c r="A70" s="39" t="s">
        <v>397</v>
      </c>
      <c r="B70" s="40" t="s">
        <v>439</v>
      </c>
      <c r="C70" s="40" t="s">
        <v>471</v>
      </c>
      <c r="D70" s="40"/>
      <c r="E70" s="40" t="s">
        <v>490</v>
      </c>
      <c r="F70" s="40" t="s">
        <v>491</v>
      </c>
    </row>
    <row r="71">
      <c r="A71" s="39" t="s">
        <v>397</v>
      </c>
      <c r="B71" s="40" t="s">
        <v>439</v>
      </c>
      <c r="C71" s="40" t="s">
        <v>471</v>
      </c>
      <c r="D71" s="40"/>
      <c r="E71" s="40" t="s">
        <v>492</v>
      </c>
      <c r="F71" s="40" t="s">
        <v>493</v>
      </c>
    </row>
    <row r="72">
      <c r="A72" s="39" t="s">
        <v>397</v>
      </c>
      <c r="B72" s="40" t="s">
        <v>439</v>
      </c>
      <c r="C72" s="40" t="s">
        <v>471</v>
      </c>
      <c r="D72" s="40"/>
      <c r="E72" s="40" t="s">
        <v>494</v>
      </c>
      <c r="F72" s="40" t="s">
        <v>495</v>
      </c>
    </row>
    <row r="73">
      <c r="A73" s="39" t="s">
        <v>397</v>
      </c>
      <c r="B73" s="40" t="s">
        <v>439</v>
      </c>
      <c r="C73" s="40" t="s">
        <v>471</v>
      </c>
      <c r="D73" s="40"/>
      <c r="E73" s="40" t="s">
        <v>496</v>
      </c>
      <c r="F73" s="40" t="s">
        <v>497</v>
      </c>
    </row>
    <row r="74">
      <c r="A74" s="39" t="s">
        <v>397</v>
      </c>
      <c r="B74" s="40" t="s">
        <v>439</v>
      </c>
      <c r="C74" s="40" t="s">
        <v>471</v>
      </c>
      <c r="D74" s="40"/>
      <c r="E74" s="40" t="s">
        <v>498</v>
      </c>
      <c r="F74" s="40" t="s">
        <v>499</v>
      </c>
    </row>
    <row r="75">
      <c r="A75" s="39" t="s">
        <v>397</v>
      </c>
      <c r="B75" s="40" t="s">
        <v>439</v>
      </c>
      <c r="C75" s="40" t="s">
        <v>471</v>
      </c>
      <c r="D75" s="40"/>
      <c r="E75" s="40" t="s">
        <v>500</v>
      </c>
      <c r="F75" s="40" t="s">
        <v>501</v>
      </c>
    </row>
    <row r="76">
      <c r="A76" s="39" t="s">
        <v>397</v>
      </c>
      <c r="B76" s="40" t="s">
        <v>439</v>
      </c>
      <c r="C76" s="40" t="s">
        <v>471</v>
      </c>
      <c r="D76" s="40"/>
      <c r="E76" s="40" t="s">
        <v>502</v>
      </c>
      <c r="F76" s="40" t="s">
        <v>503</v>
      </c>
    </row>
    <row r="77">
      <c r="A77" s="39" t="s">
        <v>397</v>
      </c>
      <c r="B77" s="40" t="s">
        <v>439</v>
      </c>
      <c r="C77" s="40" t="s">
        <v>471</v>
      </c>
      <c r="D77" s="40"/>
      <c r="E77" s="40" t="s">
        <v>504</v>
      </c>
      <c r="F77" s="40" t="s">
        <v>505</v>
      </c>
    </row>
    <row r="78">
      <c r="A78" s="39" t="s">
        <v>397</v>
      </c>
      <c r="B78" s="40" t="s">
        <v>439</v>
      </c>
      <c r="C78" s="40" t="s">
        <v>506</v>
      </c>
      <c r="D78" s="40"/>
      <c r="E78" s="40" t="s">
        <v>507</v>
      </c>
      <c r="F78" s="40" t="s">
        <v>508</v>
      </c>
    </row>
    <row r="79">
      <c r="A79" s="39" t="s">
        <v>397</v>
      </c>
      <c r="B79" s="40" t="s">
        <v>439</v>
      </c>
      <c r="C79" s="40" t="s">
        <v>506</v>
      </c>
      <c r="D79" s="40"/>
      <c r="E79" s="40" t="s">
        <v>509</v>
      </c>
      <c r="F79" s="40" t="s">
        <v>510</v>
      </c>
    </row>
    <row r="80">
      <c r="A80" s="39" t="s">
        <v>397</v>
      </c>
      <c r="B80" s="40" t="s">
        <v>439</v>
      </c>
      <c r="C80" s="40" t="s">
        <v>511</v>
      </c>
      <c r="D80" s="40"/>
      <c r="E80" s="40" t="s">
        <v>512</v>
      </c>
      <c r="F80" s="40" t="s">
        <v>513</v>
      </c>
    </row>
    <row r="81">
      <c r="A81" s="39" t="s">
        <v>397</v>
      </c>
      <c r="B81" s="40" t="s">
        <v>514</v>
      </c>
      <c r="C81" s="40" t="s">
        <v>515</v>
      </c>
      <c r="D81" s="40"/>
      <c r="E81" s="40" t="s">
        <v>516</v>
      </c>
      <c r="F81" s="40" t="s">
        <v>517</v>
      </c>
    </row>
    <row r="82">
      <c r="A82" s="39" t="s">
        <v>397</v>
      </c>
      <c r="B82" s="40" t="s">
        <v>514</v>
      </c>
      <c r="C82" s="40" t="s">
        <v>518</v>
      </c>
      <c r="D82" s="40"/>
      <c r="E82" s="40" t="s">
        <v>519</v>
      </c>
      <c r="F82" s="40" t="s">
        <v>520</v>
      </c>
    </row>
    <row r="83">
      <c r="A83" s="39" t="s">
        <v>397</v>
      </c>
      <c r="B83" s="40" t="s">
        <v>521</v>
      </c>
      <c r="C83" s="40"/>
      <c r="D83" s="40"/>
      <c r="E83" s="40" t="s">
        <v>522</v>
      </c>
      <c r="F83" s="40" t="s">
        <v>523</v>
      </c>
    </row>
    <row r="84">
      <c r="A84" s="39" t="s">
        <v>397</v>
      </c>
      <c r="B84" s="40" t="s">
        <v>521</v>
      </c>
      <c r="C84" s="40"/>
      <c r="D84" s="40"/>
      <c r="E84" s="40" t="s">
        <v>524</v>
      </c>
      <c r="F84" s="40" t="s">
        <v>525</v>
      </c>
    </row>
    <row r="85">
      <c r="A85" s="39" t="s">
        <v>526</v>
      </c>
      <c r="B85" s="40" t="s">
        <v>398</v>
      </c>
      <c r="C85" s="40"/>
      <c r="D85" s="40"/>
      <c r="E85" s="40" t="s">
        <v>399</v>
      </c>
      <c r="F85" s="40" t="s">
        <v>527</v>
      </c>
    </row>
    <row r="86">
      <c r="A86" s="39" t="s">
        <v>526</v>
      </c>
      <c r="B86" s="40" t="s">
        <v>528</v>
      </c>
      <c r="C86" s="40" t="s">
        <v>529</v>
      </c>
      <c r="D86" s="40"/>
      <c r="E86" s="40" t="s">
        <v>482</v>
      </c>
      <c r="F86" s="40" t="s">
        <v>530</v>
      </c>
    </row>
    <row r="87">
      <c r="A87" s="39" t="s">
        <v>531</v>
      </c>
      <c r="B87" s="40" t="s">
        <v>532</v>
      </c>
      <c r="C87" s="40"/>
      <c r="D87" s="40"/>
      <c r="E87" s="40"/>
      <c r="F87" s="40"/>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en-US</dc:language>
  <cp:revision>7</cp:revision>
  <dcterms:created xsi:type="dcterms:W3CDTF">2026-10-20T02:06:19Z</dcterms:created>
  <dcterms:modified xsi:type="dcterms:W3CDTF">2026-10-28T07:58:26Z</dcterms:modified>
</cp:coreProperties>
</file>