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Petunjuk" sheetId="1" state="visible" r:id="rId1"/>
    <sheet name="Input" sheetId="2" state="visible" r:id="rId2"/>
    <sheet name="Hitung_Unit" sheetId="3" state="visible" r:id="rId3"/>
    <sheet name="Hasil_Alpha" sheetId="4" state="visible" r:id="rId4"/>
    <sheet name="Contoh_Data" sheetId="5" state="visible" r:id="rId5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<sst xmlns="http://schemas.openxmlformats.org/spreadsheetml/2006/main" count="152" uniqueCount="152">
  <si>
    <t xml:space="preserve">Template Krippendorff's Alpha (α) – Petunjuk Penggunaan</t>
  </si>
  <si>
    <t xml:space="preserve">A. SPESIFIKASI TEMPLATE</t>
  </si>
  <si>
    <t>•</t>
  </si>
  <si>
    <t xml:space="preserve">Jumlah coder: 2 sampai 4 (dipilih di sel Input!H4).</t>
  </si>
  <si>
    <t xml:space="preserve">Jenis data: Nominal dan Ordinal (dipilih di sel Input!H5).</t>
  </si>
  <si>
    <t xml:space="preserve">Banyak data (unit) per coder: 1 sampai 100 baris (Input!A5:E104). Maksimal 20 kategori. Mendukung data hilang (sel kosong).</t>
  </si>
  <si>
    <t xml:space="preserve">Kategori boleh berupa angka (1, 2, 3 …) atau teks (Positif, Netral …).</t>
  </si>
  <si>
    <t xml:space="preserve">B. LANGKAH PENGGUNAAN</t>
  </si>
  <si>
    <t>1</t>
  </si>
  <si>
    <t xml:space="preserve">Buka sheet Input. Template sudah berisi Contoh 1 (nominal). Untuk data Anda: blok B5:E104 lalu tekan Delete; kosongkan H10:H29 dan H6.</t>
  </si>
  <si>
    <t>2</t>
  </si>
  <si>
    <t xml:space="preserve">Pilih Jumlah coder (H4) dan Jenis data (H5) dari dropdown. Kolom coder di luar jumlah yang dipilih otomatis berwarna abu-abu dan diabaikan.</t>
  </si>
  <si>
    <t>3</t>
  </si>
  <si>
    <t xml:space="preserve">Isi Daftar Kategori di H10:H29 mulai dari atas. Nominal: urutan bebas. Ordinal: WAJIB urut dari rendah ke tinggi (mis. 1,2,3,4,5 atau Rendah, Sedang, Tinggi).</t>
  </si>
  <si>
    <t>4</t>
  </si>
  <si>
    <t xml:space="preserve">Isi data pada B5:E104: satu baris = satu unit yang dikode, satu kolom = satu coder. Pilih dari dropdown atau ketik persis sama dengan kategori. Kosongkan sel jika coder tidak mengkode unit itu.</t>
  </si>
  <si>
    <t>5</t>
  </si>
  <si>
    <t xml:space="preserve">Lihat hasil di panel HASIL (Input!H32:H38) – Alpha, interpretasi, jumlah unit, dan status data. Rincian matriks ada di sheet Hasil_Alpha.</t>
  </si>
  <si>
    <t>6</t>
  </si>
  <si>
    <t xml:space="preserve">Periksa Status data. Sel merah di Input = entri yang tidak ada di daftar kategori (mis. salah ketik atau spasi berlebih) dan tidak ikut dihitung.</t>
  </si>
  <si>
    <t>7</t>
  </si>
  <si>
    <t xml:space="preserve">Untuk mencoba contoh ordinal: salin data dari Contoh_Data ke Input, set H4=3, H5=Ordinal, H10:H14 = 1–5, hapus kategori lain (H15:H29). Hasil harus = nilai acuan.</t>
  </si>
  <si>
    <t xml:space="preserve">C. ISI SETIAP SHEET</t>
  </si>
  <si>
    <t>Input</t>
  </si>
  <si>
    <t xml:space="preserve">Pengaturan, daftar kategori, data coder, dan ringkasan hasil (satu-satunya sheet yang perlu diisi).</t>
  </si>
  <si>
    <t>Hitung_Unit</t>
  </si>
  <si>
    <t xml:space="preserve">Konversi tiap nilai menjadi indeks kategori, jumlah nilai per unit (m), bobot 1/(m−1), dan hitungan per kategori.</t>
  </si>
  <si>
    <t>Hasil_Alpha</t>
  </si>
  <si>
    <t xml:space="preserve">Ringkasan (Do, De, Alpha, interpretasi), matriks koinsidensi, matriks harapan, dan matriks selisih kuadrat.</t>
  </si>
  <si>
    <t>Contoh_Data</t>
  </si>
  <si>
    <t xml:space="preserve">Dua contoh data (nominal &amp; ordinal) beserta nilai acuan Alpha untuk verifikasi.</t>
  </si>
  <si>
    <t xml:space="preserve">D. RUMUS YANG DIPAKAI</t>
  </si>
  <si>
    <t>Alpha</t>
  </si>
  <si>
    <t xml:space="preserve">α = 1 − Do / De, dengan Do = (1/n)·Σ o_ck·δ²_ck dan De = (1/n)·Σ e_ck·δ²_ck.</t>
  </si>
  <si>
    <t xml:space="preserve">Matriks koinsidensi</t>
  </si>
  <si>
    <t xml:space="preserve">o_ck = Σ_unit [ n_uc·n_uk − (c=k)·n_uc ] / (m_u − 1). Hanya unit dengan m_u ≥ 2 nilai yang dihitung.</t>
  </si>
  <si>
    <t xml:space="preserve">Matriks harapan</t>
  </si>
  <si>
    <t xml:space="preserve">e_ck = n_c·n_k / (n − 1) untuk c≠k; e_cc = n_c·(n_c − 1) / (n − 1). n_c = total baris c pada matriks koinsidensi.</t>
  </si>
  <si>
    <t xml:space="preserve">δ² Nominal</t>
  </si>
  <si>
    <t xml:space="preserve">0 bila c = k; 1 bila c ≠ k.</t>
  </si>
  <si>
    <t xml:space="preserve">δ² Ordinal</t>
  </si>
  <si>
    <t xml:space="preserve">(n_c/2 + n_(c+1) + … + n_(k−1) + n_k/2)², yaitu (Σ n_g dari c sampai k) − (n_c + n_k)/2, dikuadratkan.</t>
  </si>
  <si>
    <t xml:space="preserve">E. FORMULA EXCEL KUNCI</t>
  </si>
  <si>
    <t xml:space="preserve">Hitung_Unit!B5 (indeks)</t>
  </si>
  <si>
    <t>IF(Input!B5="","",IF(B$3&gt;Input!$H$4,"",IFERROR(MATCH(Input!B5,Input!$H$10:$H$29,0),"ERR")))</t>
  </si>
  <si>
    <t xml:space="preserve">Hitung_Unit!H5 (bobot)</t>
  </si>
  <si>
    <t xml:space="preserve">IF(F5&gt;=2, 1/(F5−1), 0)</t>
  </si>
  <si>
    <t xml:space="preserve">Hitung_Unit!I5 (n_uk)</t>
  </si>
  <si>
    <t xml:space="preserve">COUNTIF($B5:$E5, I$3)</t>
  </si>
  <si>
    <t xml:space="preserve">Hasil_Alpha!C21 (o_ck)</t>
  </si>
  <si>
    <t xml:space="preserve">SUMPRODUCT(Hitung_Unit!$I$5:$I$104, Hitung_Unit!$I$5:$I$104−1, Hitung_Unit!$H$5:$H$104)   [−1 hanya untuk c = k]</t>
  </si>
  <si>
    <t xml:space="preserve">Hasil_Alpha!F9 (Do)</t>
  </si>
  <si>
    <t xml:space="preserve">SUMPRODUCT(matriks_koinsidensi, matriks_selisih) / n</t>
  </si>
  <si>
    <t xml:space="preserve">Hasil_Alpha!F10 (De)</t>
  </si>
  <si>
    <t xml:space="preserve">SUMPRODUCT(matriks_harapan, matriks_selisih) / n</t>
  </si>
  <si>
    <t xml:space="preserve">Hasil_Alpha!F11 (Alpha)</t>
  </si>
  <si>
    <t xml:space="preserve">IF(n&lt;=1,"N/A",IF(De=0,"N/A",1 − Do/De))</t>
  </si>
  <si>
    <t xml:space="preserve">F. INTERPRETASI &amp; CATATAN</t>
  </si>
  <si>
    <t xml:space="preserve">α ≥ 0,800</t>
  </si>
  <si>
    <t xml:space="preserve">Reliabel – data dapat diandalkan.</t>
  </si>
  <si>
    <t xml:space="preserve">0,667 ≤ α &lt; 0,800</t>
  </si>
  <si>
    <t xml:space="preserve">Tentatif – hanya untuk kesimpulan awal.</t>
  </si>
  <si>
    <t xml:space="preserve">α &lt; 0,667</t>
  </si>
  <si>
    <t xml:space="preserve">Tidak reliabel. Ambang ini mengikuti saran Krippendorff (2004) dan dapat disesuaikan dengan bidang/tujuan penelitian Anda.</t>
  </si>
  <si>
    <t xml:space="preserve">Hasil N/A</t>
  </si>
  <si>
    <t xml:space="preserve">Terjadi bila tidak ada unit dengan ≥2 nilai, atau seluruh nilai jatuh pada satu kategori saja (variasi nol, De = 0), sehingga Alpha tidak terdefinisi.</t>
  </si>
  <si>
    <t xml:space="preserve">Data hilang</t>
  </si>
  <si>
    <t xml:space="preserve">Sel kosong diperbolehkan; unit dengan hanya 1 nilai tidak dihitung. Jumlah coder per unit boleh berbeda-beda.</t>
  </si>
  <si>
    <t xml:space="preserve">Sampel kecil</t>
  </si>
  <si>
    <t xml:space="preserve">Dengan unit sangat sedikit (mis. 1–5), Alpha sangat tidak stabil; interpretasikan dengan hati-hati.</t>
  </si>
  <si>
    <t>Ordinal</t>
  </si>
  <si>
    <t xml:space="preserve">Kategori yang ada di daftar tetapi tidak muncul di data tetap menjaga urutan dan tidak memengaruhi hasil.</t>
  </si>
  <si>
    <t xml:space="preserve">G. REFERENSI</t>
  </si>
  <si>
    <t xml:space="preserve">Krippendorff, K. (2011)</t>
  </si>
  <si>
    <t xml:space="preserve">Computing Krippendorff's Alpha-Reliability. Departmental Papers (ASC), University of Pennsylvania.</t>
  </si>
  <si>
    <t xml:space="preserve">Krippendorff, K. (2004)</t>
  </si>
  <si>
    <t xml:space="preserve">Content Analysis: An Introduction to Its Methodology (2nd ed.). Sage.</t>
  </si>
  <si>
    <t xml:space="preserve">Template Krippendorff's Alpha (α) – Reliabilitas Antar-Coder</t>
  </si>
  <si>
    <t xml:space="preserve">Sel kuning/biru = isi sendiri  |  Sel hitam = otomatis (jangan diubah)  |  Data mulai baris 5, satu baris = satu unit  |  Kosongkan sel bila coder tidak mengkode unit tsb.</t>
  </si>
  <si>
    <t xml:space="preserve">Jumlah data →</t>
  </si>
  <si>
    <t>PENGATURAN</t>
  </si>
  <si>
    <t xml:space="preserve">No. Unit</t>
  </si>
  <si>
    <t>Fenny</t>
  </si>
  <si>
    <t>Afriansyah</t>
  </si>
  <si>
    <t>Claude</t>
  </si>
  <si>
    <t>Gemini</t>
  </si>
  <si>
    <t xml:space="preserve">Jumlah coder (2–4)</t>
  </si>
  <si>
    <t>K2</t>
  </si>
  <si>
    <t>K1</t>
  </si>
  <si>
    <t>K5</t>
  </si>
  <si>
    <t xml:space="preserve">Jenis data (Nominal / Ordinal)</t>
  </si>
  <si>
    <t>Nominal</t>
  </si>
  <si>
    <t xml:space="preserve">Nama variabel (opsional)</t>
  </si>
  <si>
    <t>RELEVANSI</t>
  </si>
  <si>
    <t>K4</t>
  </si>
  <si>
    <t>K3</t>
  </si>
  <si>
    <t xml:space="preserve">DAFTAR KATEGORI (maks. 20)</t>
  </si>
  <si>
    <t>Urutan</t>
  </si>
  <si>
    <t xml:space="preserve">Kategori / kode (ordinal: rendah → tinggi)</t>
  </si>
  <si>
    <t>HASIL</t>
  </si>
  <si>
    <t xml:space="preserve">Krippendorff's Alpha (α)</t>
  </si>
  <si>
    <t>Interpretasi</t>
  </si>
  <si>
    <t xml:space="preserve">Jumlah unit terisi (N)</t>
  </si>
  <si>
    <t xml:space="preserve">Unit dipasangkan (≥2 nilai)</t>
  </si>
  <si>
    <t xml:space="preserve">Total nilai dipasangkan (n)</t>
  </si>
  <si>
    <t xml:space="preserve">Kesepakatan teramati</t>
  </si>
  <si>
    <t xml:space="preserve">Status data</t>
  </si>
  <si>
    <t xml:space="preserve">Perhitungan per Unit (otomatis – jangan diubah)</t>
  </si>
  <si>
    <t xml:space="preserve">Kolom B–E: indeks kategori tiap coder · F: jumlah nilai (m) · G: entri tidak valid · H: bobot 1/(m−1) · I–AB: jumlah nilai per kategori (n_uk)</t>
  </si>
  <si>
    <t xml:space="preserve">Indeks →</t>
  </si>
  <si>
    <t>Unit</t>
  </si>
  <si>
    <t>m</t>
  </si>
  <si>
    <t>ERR</t>
  </si>
  <si>
    <t>Bobot</t>
  </si>
  <si>
    <t xml:space="preserve">Hasil Perhitungan Krippendorff's Alpha</t>
  </si>
  <si>
    <t xml:space="preserve">Seluruh sel pada sheet ini otomatis (rumus). Alpha = 1 − Do/De.</t>
  </si>
  <si>
    <t>RINGKASAN</t>
  </si>
  <si>
    <t xml:space="preserve">Jenis data</t>
  </si>
  <si>
    <t xml:space="preserve">Jumlah coder</t>
  </si>
  <si>
    <t xml:space="preserve">Unit dapat dipasangkan (≥2 nilai)</t>
  </si>
  <si>
    <t xml:space="preserve">Do – disagreement teramati</t>
  </si>
  <si>
    <t xml:space="preserve">De – disagreement diharapkan</t>
  </si>
  <si>
    <t xml:space="preserve">KRIPPENDORFF'S ALPHA (α)</t>
  </si>
  <si>
    <t xml:space="preserve">Kesepakatan teramati (persen)</t>
  </si>
  <si>
    <t xml:space="preserve">Entri di luar daftar kategori</t>
  </si>
  <si>
    <t xml:space="preserve">1. Matriks Koinsidensi (o_ck) – jumlah pasangan nilai antar-coder dalam unit yang sama</t>
  </si>
  <si>
    <t xml:space="preserve">c \ k</t>
  </si>
  <si>
    <t>Kategori</t>
  </si>
  <si>
    <t>n_c</t>
  </si>
  <si>
    <t>n</t>
  </si>
  <si>
    <t>Total</t>
  </si>
  <si>
    <t xml:space="preserve">2. Matriks Harapan (e_ck) = n_c·n_k / (n−1)  (diagonal: n_c·(n_c−1)/(n−1))</t>
  </si>
  <si>
    <t xml:space="preserve">3. Matriks Selisih Kuadrat (δ²_ck) – nominal: 0/1; ordinal: (Σn_g − (n_c+n_k)/2)²</t>
  </si>
  <si>
    <t xml:space="preserve">Do = Σ o_ck·δ²_ck / n   ·   De = Σ e_ck·δ²_ck / n   ·   α = 1 − Do/De   (n = total nilai dalam unit yang dapat dipasangkan)</t>
  </si>
  <si>
    <t xml:space="preserve">Contoh Data &amp; Nilai Acuan</t>
  </si>
  <si>
    <t xml:space="preserve">Salin data contoh ke sheet Input (B5:E104) dan atur H4, H5, H10:H29 sesuai keterangan; hasil harus sama dengan nilai acuan.</t>
  </si>
  <si>
    <t xml:space="preserve">CONTOH 1 – NOMINAL (sentimen berita)</t>
  </si>
  <si>
    <t xml:space="preserve">CONTOH 2 – ORDINAL (skala 1–5)</t>
  </si>
  <si>
    <t xml:space="preserve">Jumlah coder: 4 | Jenis data: Nominal | 20 unit</t>
  </si>
  <si>
    <t xml:space="preserve">Jumlah coder: 3 | Jenis data: Ordinal | 15 unit</t>
  </si>
  <si>
    <t xml:space="preserve">Kategori (H10:H12): Positif, Netral, Negatif</t>
  </si>
  <si>
    <t xml:space="preserve">Kategori (H10:H14): 1, 2, 3, 4, 5 (urut rendah → tinggi)</t>
  </si>
  <si>
    <t xml:space="preserve">Sel kosong = coder tidak mengkode unit tsb.</t>
  </si>
  <si>
    <t xml:space="preserve">Coder 1</t>
  </si>
  <si>
    <t xml:space="preserve">Coder 2</t>
  </si>
  <si>
    <t xml:space="preserve">Coder 3</t>
  </si>
  <si>
    <t xml:space="preserve">Coder 4</t>
  </si>
  <si>
    <t>Positif</t>
  </si>
  <si>
    <t>Netral</t>
  </si>
  <si>
    <t>Negatif</t>
  </si>
  <si>
    <t xml:space="preserve">Nilai acuan α</t>
  </si>
  <si>
    <t xml:space="preserve">Acuan = hasil implementasi terpisah di Python (dicocokkan dengan paket 'krippendorff'); nilai ini sengaja berupa angka tetap untuk verifikasi.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</si>
</sst>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%"/>
    <numFmt numFmtId="166" formatCode="0.0000"/>
  </numFmts>
  <fonts count="8">
    <font>
      <sz val="11.000000"/>
      <color theme="1"/>
      <name val="Calibri"/>
    </font>
    <font>
      <sz val="10.000000"/>
      <name val="Arial"/>
    </font>
    <font>
      <b/>
      <sz val="14.000000"/>
      <color rgb="FF1F3864"/>
      <name val="Arial"/>
    </font>
    <font>
      <b/>
      <sz val="10.000000"/>
      <color indexed="65"/>
      <name val="Arial"/>
    </font>
    <font>
      <b/>
      <sz val="10.000000"/>
      <name val="Arial"/>
    </font>
    <font>
      <i/>
      <sz val="9.000000"/>
      <color rgb="FF595959"/>
      <name val="Arial"/>
    </font>
    <font>
      <sz val="10.000000"/>
      <color indexed="4"/>
      <name val="Arial"/>
    </font>
    <font>
      <b/>
      <sz val="12.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3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2F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34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2" fillId="0" borderId="0" numFmtId="0" xfId="0" applyFont="1" applyProtection="1">
      <protection hidden="0" locked="1"/>
    </xf>
    <xf fontId="3" fillId="2" borderId="0" numFmtId="0" xfId="0" applyFont="1" applyFill="1" applyProtection="1">
      <protection hidden="0" locked="1"/>
    </xf>
    <xf fontId="4" fillId="0" borderId="0" numFmtId="0" xfId="0" applyFont="1" applyAlignment="1" applyProtection="1">
      <alignment vertical="top"/>
      <protection hidden="0" locked="1"/>
    </xf>
    <xf fontId="1" fillId="0" borderId="0" numFmtId="0" xfId="0" applyFont="1" applyAlignment="1" applyProtection="1">
      <alignment vertical="top" wrapText="1"/>
      <protection hidden="0" locked="1"/>
    </xf>
    <xf fontId="5" fillId="0" borderId="0" numFmtId="0" xfId="0" applyFont="1" applyProtection="1">
      <protection hidden="0" locked="1"/>
    </xf>
    <xf fontId="4" fillId="0" borderId="0" numFmtId="0" xfId="0" applyFont="1" applyAlignment="1" applyProtection="1">
      <alignment horizontal="right"/>
      <protection hidden="0" locked="1"/>
    </xf>
    <xf fontId="4" fillId="3" borderId="1" numFmtId="0" xfId="0" applyFont="1" applyFill="1" applyBorder="1" applyAlignment="1" applyProtection="1">
      <alignment horizontal="center" vertical="center"/>
      <protection hidden="0" locked="1"/>
    </xf>
    <xf fontId="3" fillId="2" borderId="1" numFmtId="0" xfId="0" applyFont="1" applyFill="1" applyBorder="1" applyAlignment="1" applyProtection="1">
      <alignment horizontal="center" vertical="center"/>
      <protection hidden="0" locked="1"/>
    </xf>
    <xf fontId="1" fillId="0" borderId="1" numFmtId="0" xfId="0" applyFont="1" applyBorder="1" applyProtection="1">
      <protection hidden="0" locked="1"/>
    </xf>
    <xf fontId="6" fillId="4" borderId="1" numFmtId="0" xfId="0" applyFont="1" applyFill="1" applyBorder="1" applyAlignment="1" applyProtection="1">
      <alignment horizontal="center" vertical="center"/>
      <protection hidden="0" locked="1"/>
    </xf>
    <xf fontId="1" fillId="3" borderId="1" numFmtId="0" xfId="0" applyFont="1" applyFill="1" applyBorder="1" applyAlignment="1" applyProtection="1">
      <alignment horizontal="center" vertical="center"/>
      <protection hidden="0" locked="1"/>
    </xf>
    <xf fontId="6" fillId="0" borderId="1" numFmtId="0" xfId="0" applyFont="1" applyBorder="1" applyAlignment="1" applyProtection="1">
      <alignment horizontal="center" vertical="center"/>
      <protection hidden="0" locked="1"/>
    </xf>
    <xf fontId="4" fillId="0" borderId="1" numFmtId="0" xfId="0" applyFont="1" applyBorder="1" applyProtection="1">
      <protection hidden="0" locked="1"/>
    </xf>
    <xf fontId="7" fillId="5" borderId="1" numFmtId="164" xfId="0" applyNumberFormat="1" applyFont="1" applyFill="1" applyBorder="1" applyAlignment="1" applyProtection="1">
      <alignment horizontal="center" vertical="center"/>
      <protection hidden="0" locked="1"/>
    </xf>
    <xf fontId="4" fillId="5" borderId="1" numFmtId="0" xfId="0" applyFont="1" applyFill="1" applyBorder="1" applyAlignment="1" applyProtection="1">
      <alignment horizontal="center" vertical="center"/>
      <protection hidden="0" locked="1"/>
    </xf>
    <xf fontId="1" fillId="5" borderId="1" numFmtId="1" xfId="0" applyNumberFormat="1" applyFont="1" applyFill="1" applyBorder="1" applyAlignment="1" applyProtection="1">
      <alignment horizontal="center" vertical="center"/>
      <protection hidden="0" locked="1"/>
    </xf>
    <xf fontId="1" fillId="5" borderId="1" numFmtId="165" xfId="0" applyNumberFormat="1" applyFont="1" applyFill="1" applyBorder="1" applyAlignment="1" applyProtection="1">
      <alignment horizontal="center" vertical="center"/>
      <protection hidden="0" locked="1"/>
    </xf>
    <xf fontId="1" fillId="5" borderId="1" numFmtId="0" xfId="0" applyFont="1" applyFill="1" applyBorder="1" applyAlignment="1" applyProtection="1">
      <alignment horizontal="left"/>
      <protection hidden="0" locked="1"/>
    </xf>
    <xf fontId="1" fillId="0" borderId="1" numFmtId="0" xfId="0" applyFont="1" applyBorder="1" applyAlignment="1" applyProtection="1">
      <alignment horizontal="center" vertical="center"/>
      <protection hidden="0" locked="1"/>
    </xf>
    <xf fontId="1" fillId="0" borderId="1" numFmtId="164" xfId="0" applyNumberFormat="1" applyFont="1" applyBorder="1" applyAlignment="1" applyProtection="1">
      <alignment horizontal="center" vertical="center"/>
      <protection hidden="0" locked="1"/>
    </xf>
    <xf fontId="1" fillId="0" borderId="0" numFmtId="0" xfId="0" applyFont="1" applyProtection="1">
      <protection hidden="0" locked="1"/>
    </xf>
    <xf fontId="1" fillId="0" borderId="0" numFmtId="0" xfId="0" applyFont="1" applyAlignment="1" applyProtection="1">
      <alignment horizontal="center"/>
      <protection hidden="0" locked="1"/>
    </xf>
    <xf fontId="1" fillId="0" borderId="0" numFmtId="1" xfId="0" applyNumberFormat="1" applyFont="1" applyAlignment="1" applyProtection="1">
      <alignment horizontal="center"/>
      <protection hidden="0" locked="1"/>
    </xf>
    <xf fontId="1" fillId="0" borderId="0" numFmtId="166" xfId="0" applyNumberFormat="1" applyFont="1" applyAlignment="1" applyProtection="1">
      <alignment horizontal="center"/>
      <protection hidden="0" locked="1"/>
    </xf>
    <xf fontId="4" fillId="0" borderId="0" numFmtId="0" xfId="0" applyFont="1" applyProtection="1">
      <protection hidden="0" locked="1"/>
    </xf>
    <xf fontId="7" fillId="5" borderId="0" numFmtId="164" xfId="0" applyNumberFormat="1" applyFont="1" applyFill="1" applyAlignment="1" applyProtection="1">
      <alignment horizontal="center"/>
      <protection hidden="0" locked="1"/>
    </xf>
    <xf fontId="1" fillId="0" borderId="0" numFmtId="0" xfId="0" applyFont="1" applyAlignment="1" applyProtection="1">
      <alignment horizontal="left"/>
      <protection hidden="0" locked="1"/>
    </xf>
    <xf fontId="1" fillId="0" borderId="0" numFmtId="165" xfId="0" applyNumberFormat="1" applyFont="1" applyAlignment="1" applyProtection="1">
      <alignment horizontal="center"/>
      <protection hidden="0" locked="1"/>
    </xf>
    <xf fontId="1" fillId="0" borderId="1" numFmtId="2" xfId="0" applyNumberFormat="1" applyFont="1" applyBorder="1" applyAlignment="1" applyProtection="1">
      <alignment horizontal="center" vertical="center"/>
      <protection hidden="0" locked="1"/>
    </xf>
    <xf fontId="4" fillId="3" borderId="1" numFmtId="2" xfId="0" applyNumberFormat="1" applyFont="1" applyFill="1" applyBorder="1" applyAlignment="1" applyProtection="1">
      <alignment horizontal="center" vertical="center"/>
      <protection hidden="0" locked="1"/>
    </xf>
    <xf fontId="4" fillId="5" borderId="1" numFmtId="2" xfId="0" applyNumberFormat="1" applyFont="1" applyFill="1" applyBorder="1" applyAlignment="1" applyProtection="1">
      <alignment horizontal="center" vertical="center"/>
      <protection hidden="0" locked="1"/>
    </xf>
    <xf fontId="4" fillId="5" borderId="1" numFmtId="166" xfId="0" applyNumberFormat="1" applyFont="1" applyFill="1" applyBorder="1" applyAlignment="1" applyProtection="1">
      <alignment horizontal="center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1" width="4"/>
    <col customWidth="1" min="2" max="2" style="1" width="34"/>
    <col customWidth="1" min="3" max="3" style="1" width="100"/>
  </cols>
  <sheetData>
    <row r="1" ht="17.350000000000001">
      <c r="A1" s="2" t="s">
        <v>0</v>
      </c>
    </row>
    <row r="3" ht="15">
      <c r="A3" s="3" t="s">
        <v>1</v>
      </c>
      <c r="B3" s="3"/>
      <c r="C3" s="3"/>
    </row>
    <row r="4" ht="15" customHeight="1">
      <c r="A4" s="4" t="s">
        <v>2</v>
      </c>
      <c r="B4" s="5" t="s">
        <v>3</v>
      </c>
      <c r="C4" s="5"/>
    </row>
    <row r="5" ht="15" customHeight="1">
      <c r="A5" s="4" t="s">
        <v>2</v>
      </c>
      <c r="B5" s="5" t="s">
        <v>4</v>
      </c>
      <c r="C5" s="5"/>
    </row>
    <row r="6" ht="15" customHeight="1">
      <c r="A6" s="4" t="s">
        <v>2</v>
      </c>
      <c r="B6" s="5" t="s">
        <v>5</v>
      </c>
      <c r="C6" s="5"/>
    </row>
    <row r="7" ht="15" customHeight="1">
      <c r="A7" s="4" t="s">
        <v>2</v>
      </c>
      <c r="B7" s="5" t="s">
        <v>6</v>
      </c>
      <c r="C7" s="5"/>
    </row>
    <row r="9" ht="15">
      <c r="A9" s="3" t="s">
        <v>7</v>
      </c>
      <c r="B9" s="3"/>
      <c r="C9" s="3"/>
    </row>
    <row r="10" ht="15" customHeight="1">
      <c r="A10" s="4" t="s">
        <v>8</v>
      </c>
      <c r="B10" s="5" t="s">
        <v>9</v>
      </c>
      <c r="C10" s="5"/>
    </row>
    <row r="11" ht="15" customHeight="1">
      <c r="A11" s="4" t="s">
        <v>10</v>
      </c>
      <c r="B11" s="5" t="s">
        <v>11</v>
      </c>
      <c r="C11" s="5"/>
    </row>
    <row r="12" ht="28.5" customHeight="1">
      <c r="A12" s="4" t="s">
        <v>12</v>
      </c>
      <c r="B12" s="5" t="s">
        <v>13</v>
      </c>
      <c r="C12" s="5"/>
    </row>
    <row r="13" ht="28.5" customHeight="1">
      <c r="A13" s="4" t="s">
        <v>14</v>
      </c>
      <c r="B13" s="5" t="s">
        <v>15</v>
      </c>
      <c r="C13" s="5"/>
    </row>
    <row r="14" ht="15" customHeight="1">
      <c r="A14" s="4" t="s">
        <v>16</v>
      </c>
      <c r="B14" s="5" t="s">
        <v>17</v>
      </c>
      <c r="C14" s="5"/>
    </row>
    <row r="15" ht="28.5" customHeight="1">
      <c r="A15" s="4" t="s">
        <v>18</v>
      </c>
      <c r="B15" s="5" t="s">
        <v>19</v>
      </c>
      <c r="C15" s="5"/>
    </row>
    <row r="16" ht="28.5" customHeight="1">
      <c r="A16" s="4" t="s">
        <v>20</v>
      </c>
      <c r="B16" s="5" t="s">
        <v>21</v>
      </c>
      <c r="C16" s="5"/>
    </row>
    <row r="18" ht="15">
      <c r="A18" s="3" t="s">
        <v>22</v>
      </c>
      <c r="B18" s="3"/>
      <c r="C18" s="3"/>
    </row>
    <row r="19" ht="15" customHeight="1">
      <c r="A19" s="4"/>
      <c r="B19" s="5" t="s">
        <v>23</v>
      </c>
      <c r="C19" s="5" t="s">
        <v>24</v>
      </c>
    </row>
    <row r="20" ht="28.5" customHeight="1">
      <c r="A20" s="4"/>
      <c r="B20" s="5" t="s">
        <v>25</v>
      </c>
      <c r="C20" s="5" t="s">
        <v>26</v>
      </c>
    </row>
    <row r="21" ht="28.5" customHeight="1">
      <c r="A21" s="4"/>
      <c r="B21" s="5" t="s">
        <v>27</v>
      </c>
      <c r="C21" s="5" t="s">
        <v>28</v>
      </c>
    </row>
    <row r="22" ht="15" customHeight="1">
      <c r="A22" s="4"/>
      <c r="B22" s="5" t="s">
        <v>29</v>
      </c>
      <c r="C22" s="5" t="s">
        <v>30</v>
      </c>
    </row>
    <row r="24" ht="15">
      <c r="A24" s="3" t="s">
        <v>31</v>
      </c>
      <c r="B24" s="3"/>
      <c r="C24" s="3"/>
    </row>
    <row r="25" ht="15" customHeight="1">
      <c r="A25" s="4"/>
      <c r="B25" s="5" t="s">
        <v>32</v>
      </c>
      <c r="C25" s="5" t="s">
        <v>33</v>
      </c>
    </row>
    <row r="26" ht="15" customHeight="1">
      <c r="A26" s="4"/>
      <c r="B26" s="5" t="s">
        <v>34</v>
      </c>
      <c r="C26" s="5" t="s">
        <v>35</v>
      </c>
    </row>
    <row r="27" ht="28.5" customHeight="1">
      <c r="A27" s="4"/>
      <c r="B27" s="5" t="s">
        <v>36</v>
      </c>
      <c r="C27" s="5" t="s">
        <v>37</v>
      </c>
    </row>
    <row r="28" ht="15" customHeight="1">
      <c r="A28" s="4"/>
      <c r="B28" s="5" t="s">
        <v>38</v>
      </c>
      <c r="C28" s="5" t="s">
        <v>39</v>
      </c>
    </row>
    <row r="29" ht="15" customHeight="1">
      <c r="A29" s="4"/>
      <c r="B29" s="5" t="s">
        <v>40</v>
      </c>
      <c r="C29" s="5" t="s">
        <v>41</v>
      </c>
    </row>
    <row r="31" ht="15">
      <c r="A31" s="3" t="s">
        <v>42</v>
      </c>
      <c r="B31" s="3"/>
      <c r="C31" s="3"/>
    </row>
    <row r="32" ht="15" customHeight="1">
      <c r="A32" s="4"/>
      <c r="B32" s="5" t="s">
        <v>43</v>
      </c>
      <c r="C32" s="5" t="s">
        <v>44</v>
      </c>
    </row>
    <row r="33" ht="15" customHeight="1">
      <c r="A33" s="4"/>
      <c r="B33" s="5" t="s">
        <v>45</v>
      </c>
      <c r="C33" s="5" t="s">
        <v>46</v>
      </c>
    </row>
    <row r="34" ht="15" customHeight="1">
      <c r="A34" s="4"/>
      <c r="B34" s="5" t="s">
        <v>47</v>
      </c>
      <c r="C34" s="5" t="s">
        <v>48</v>
      </c>
    </row>
    <row r="35" ht="28.5" customHeight="1">
      <c r="A35" s="4"/>
      <c r="B35" s="5" t="s">
        <v>49</v>
      </c>
      <c r="C35" s="5" t="s">
        <v>50</v>
      </c>
    </row>
    <row r="36" ht="15" customHeight="1">
      <c r="A36" s="4"/>
      <c r="B36" s="5" t="s">
        <v>51</v>
      </c>
      <c r="C36" s="5" t="s">
        <v>52</v>
      </c>
    </row>
    <row r="37" ht="15" customHeight="1">
      <c r="A37" s="4"/>
      <c r="B37" s="5" t="s">
        <v>53</v>
      </c>
      <c r="C37" s="5" t="s">
        <v>54</v>
      </c>
    </row>
    <row r="38" ht="15" customHeight="1">
      <c r="A38" s="4"/>
      <c r="B38" s="5" t="s">
        <v>55</v>
      </c>
      <c r="C38" s="5" t="s">
        <v>56</v>
      </c>
    </row>
    <row r="40" ht="15">
      <c r="A40" s="3" t="s">
        <v>57</v>
      </c>
      <c r="B40" s="3"/>
      <c r="C40" s="3"/>
    </row>
    <row r="41" ht="15" customHeight="1">
      <c r="A41" s="4"/>
      <c r="B41" s="5" t="s">
        <v>58</v>
      </c>
      <c r="C41" s="5" t="s">
        <v>59</v>
      </c>
    </row>
    <row r="42" ht="15" customHeight="1">
      <c r="A42" s="4"/>
      <c r="B42" s="5" t="s">
        <v>60</v>
      </c>
      <c r="C42" s="5" t="s">
        <v>61</v>
      </c>
    </row>
    <row r="43" ht="28.5" customHeight="1">
      <c r="A43" s="4"/>
      <c r="B43" s="5" t="s">
        <v>62</v>
      </c>
      <c r="C43" s="5" t="s">
        <v>63</v>
      </c>
    </row>
    <row r="44" ht="28.5" customHeight="1">
      <c r="A44" s="4"/>
      <c r="B44" s="5" t="s">
        <v>64</v>
      </c>
      <c r="C44" s="5" t="s">
        <v>65</v>
      </c>
    </row>
    <row r="45" ht="28.5" customHeight="1">
      <c r="A45" s="4"/>
      <c r="B45" s="5" t="s">
        <v>66</v>
      </c>
      <c r="C45" s="5" t="s">
        <v>67</v>
      </c>
    </row>
    <row r="46" ht="15" customHeight="1">
      <c r="A46" s="4"/>
      <c r="B46" s="5" t="s">
        <v>68</v>
      </c>
      <c r="C46" s="5" t="s">
        <v>69</v>
      </c>
    </row>
    <row r="47" ht="15" customHeight="1">
      <c r="A47" s="4"/>
      <c r="B47" s="5" t="s">
        <v>70</v>
      </c>
      <c r="C47" s="5" t="s">
        <v>71</v>
      </c>
    </row>
    <row r="49" ht="15">
      <c r="A49" s="3" t="s">
        <v>72</v>
      </c>
      <c r="B49" s="3"/>
      <c r="C49" s="3"/>
    </row>
    <row r="50" ht="15" customHeight="1">
      <c r="A50" s="4"/>
      <c r="B50" s="5" t="s">
        <v>73</v>
      </c>
      <c r="C50" s="5" t="s">
        <v>74</v>
      </c>
    </row>
    <row r="51" ht="15" customHeight="1">
      <c r="A51" s="4"/>
      <c r="B51" s="5" t="s">
        <v>75</v>
      </c>
      <c r="C51" s="5" t="s">
        <v>76</v>
      </c>
    </row>
  </sheetData>
  <mergeCells count="11">
    <mergeCell ref="B4:C4"/>
    <mergeCell ref="B5:C5"/>
    <mergeCell ref="B6:C6"/>
    <mergeCell ref="B7:C7"/>
    <mergeCell ref="B10:C10"/>
    <mergeCell ref="B11:C11"/>
    <mergeCell ref="B12:C12"/>
    <mergeCell ref="B13:C13"/>
    <mergeCell ref="B14:C14"/>
    <mergeCell ref="B15:C15"/>
    <mergeCell ref="B16:C16"/>
  </mergeCells>
  <printOptions headings="0" gridLines="0" horizontalCentered="0" verticalCentered="0"/>
  <pageMargins left="0.75" right="0.75" top="1" bottom="1" header="0.51181102362204689" footer="0.51181102362204689"/>
  <pageSetup paperSize="1" scale="100" fitToWidth="1" fitToHeight="0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0" showRowColHeaders="1" showZeros="1" rightToLeft="0" view="normal" zoomScale="100" workbookViewId="0">
      <pane ySplit="4" topLeftCell="A5" activePane="bottomLeft" state="frozen"/>
      <selection activeCell="C16" activeCellId="0" sqref="C16"/>
    </sheetView>
  </sheetViews>
  <sheetFormatPr defaultColWidth="8.6796875" defaultRowHeight="14.25"/>
  <cols>
    <col customWidth="1" min="1" max="1" style="1" width="15"/>
    <col customWidth="1" min="2" max="5" style="1" width="12"/>
    <col customWidth="1" min="6" max="6" style="1" width="3"/>
    <col customWidth="1" min="7" max="7" style="1" width="32"/>
    <col customWidth="1" min="8" max="8" style="1" width="40"/>
  </cols>
  <sheetData>
    <row r="1" ht="16.5">
      <c r="A1" s="2" t="s">
        <v>77</v>
      </c>
    </row>
    <row r="2" ht="15">
      <c r="A2" s="6" t="s">
        <v>78</v>
      </c>
    </row>
    <row r="3" ht="15">
      <c r="A3" s="7" t="s">
        <v>79</v>
      </c>
      <c r="B3" s="8">
        <f>IF(1&lt;=$H$4,COUNTA(B5:B104),"-")</f>
        <v>12</v>
      </c>
      <c r="C3" s="8">
        <f>IF(2&lt;=$H$4,COUNTA(C5:C104),"-")</f>
        <v>12</v>
      </c>
      <c r="D3" s="8" t="str">
        <f>IF(3&lt;=$H$4,COUNTA(D5:D104),"-")</f>
        <v>-</v>
      </c>
      <c r="E3" s="8" t="str">
        <f>IF(4&lt;=$H$4,COUNTA(E5:E104),"-")</f>
        <v>-</v>
      </c>
      <c r="G3" s="3" t="s">
        <v>80</v>
      </c>
      <c r="H3" s="3"/>
    </row>
    <row r="4" ht="15">
      <c r="A4" s="9" t="s">
        <v>81</v>
      </c>
      <c r="B4" s="9" t="s">
        <v>82</v>
      </c>
      <c r="C4" s="9" t="s">
        <v>83</v>
      </c>
      <c r="D4" s="9" t="s">
        <v>84</v>
      </c>
      <c r="E4" s="9" t="s">
        <v>85</v>
      </c>
      <c r="G4" s="10" t="s">
        <v>86</v>
      </c>
      <c r="H4" s="11">
        <v>2</v>
      </c>
    </row>
    <row r="5" ht="15">
      <c r="A5" s="12">
        <v>1</v>
      </c>
      <c r="B5" s="13" t="s">
        <v>87</v>
      </c>
      <c r="C5" s="13" t="s">
        <v>88</v>
      </c>
      <c r="D5" s="13" t="s">
        <v>89</v>
      </c>
      <c r="E5" s="13" t="s">
        <v>89</v>
      </c>
      <c r="G5" s="10" t="s">
        <v>90</v>
      </c>
      <c r="H5" s="11" t="s">
        <v>91</v>
      </c>
    </row>
    <row r="6" ht="15">
      <c r="A6" s="12">
        <v>2</v>
      </c>
      <c r="B6" s="13" t="s">
        <v>87</v>
      </c>
      <c r="C6" s="13" t="s">
        <v>88</v>
      </c>
      <c r="D6" s="13" t="s">
        <v>89</v>
      </c>
      <c r="E6" s="13" t="s">
        <v>89</v>
      </c>
      <c r="G6" s="10" t="s">
        <v>92</v>
      </c>
      <c r="H6" s="11" t="s">
        <v>93</v>
      </c>
    </row>
    <row r="7" ht="15">
      <c r="A7" s="12">
        <v>3</v>
      </c>
      <c r="B7" s="13" t="s">
        <v>89</v>
      </c>
      <c r="C7" s="13" t="s">
        <v>94</v>
      </c>
      <c r="D7" s="13" t="s">
        <v>89</v>
      </c>
      <c r="E7" s="13" t="s">
        <v>89</v>
      </c>
    </row>
    <row r="8" ht="15">
      <c r="A8" s="12">
        <v>4</v>
      </c>
      <c r="B8" s="13" t="s">
        <v>94</v>
      </c>
      <c r="C8" s="13" t="s">
        <v>95</v>
      </c>
      <c r="D8" s="13" t="s">
        <v>95</v>
      </c>
      <c r="E8" s="13" t="s">
        <v>95</v>
      </c>
      <c r="G8" s="3" t="s">
        <v>96</v>
      </c>
      <c r="H8" s="3"/>
    </row>
    <row r="9" ht="15">
      <c r="A9" s="12">
        <v>5</v>
      </c>
      <c r="B9" s="13" t="s">
        <v>95</v>
      </c>
      <c r="C9" s="13" t="s">
        <v>94</v>
      </c>
      <c r="D9" s="13" t="s">
        <v>94</v>
      </c>
      <c r="E9" s="13" t="s">
        <v>94</v>
      </c>
      <c r="G9" s="8" t="s">
        <v>97</v>
      </c>
      <c r="H9" s="8" t="s">
        <v>98</v>
      </c>
    </row>
    <row r="10" ht="15">
      <c r="A10" s="12">
        <v>6</v>
      </c>
      <c r="B10" s="13" t="s">
        <v>89</v>
      </c>
      <c r="C10" s="13" t="s">
        <v>94</v>
      </c>
      <c r="D10" s="13" t="s">
        <v>94</v>
      </c>
      <c r="E10" s="13" t="s">
        <v>94</v>
      </c>
      <c r="G10" s="12">
        <v>1</v>
      </c>
      <c r="H10" s="11" t="s">
        <v>88</v>
      </c>
    </row>
    <row r="11" ht="15">
      <c r="A11" s="12">
        <v>7</v>
      </c>
      <c r="B11" s="13" t="s">
        <v>87</v>
      </c>
      <c r="C11" s="13" t="s">
        <v>94</v>
      </c>
      <c r="D11" s="13" t="s">
        <v>95</v>
      </c>
      <c r="E11" s="13" t="s">
        <v>95</v>
      </c>
      <c r="G11" s="12">
        <v>2</v>
      </c>
      <c r="H11" s="11" t="s">
        <v>87</v>
      </c>
    </row>
    <row r="12" ht="15">
      <c r="A12" s="12">
        <v>8</v>
      </c>
      <c r="B12" s="13" t="s">
        <v>87</v>
      </c>
      <c r="C12" s="13" t="s">
        <v>94</v>
      </c>
      <c r="D12" s="13" t="s">
        <v>87</v>
      </c>
      <c r="E12" s="13" t="s">
        <v>87</v>
      </c>
      <c r="G12" s="12">
        <v>3</v>
      </c>
      <c r="H12" s="11" t="s">
        <v>95</v>
      </c>
    </row>
    <row r="13" ht="15">
      <c r="A13" s="12">
        <v>9</v>
      </c>
      <c r="B13" s="13" t="s">
        <v>94</v>
      </c>
      <c r="C13" s="13" t="s">
        <v>95</v>
      </c>
      <c r="D13" s="13" t="s">
        <v>87</v>
      </c>
      <c r="E13" s="13" t="s">
        <v>87</v>
      </c>
      <c r="G13" s="12">
        <v>4</v>
      </c>
      <c r="H13" s="11" t="s">
        <v>94</v>
      </c>
    </row>
    <row r="14" ht="15">
      <c r="A14" s="12">
        <v>10</v>
      </c>
      <c r="B14" s="13" t="s">
        <v>94</v>
      </c>
      <c r="C14" s="13" t="s">
        <v>95</v>
      </c>
      <c r="D14" s="13" t="s">
        <v>95</v>
      </c>
      <c r="E14" s="13" t="s">
        <v>95</v>
      </c>
      <c r="G14" s="12">
        <v>5</v>
      </c>
      <c r="H14" s="11" t="s">
        <v>89</v>
      </c>
    </row>
    <row r="15" ht="15">
      <c r="A15" s="12">
        <v>11</v>
      </c>
      <c r="B15" s="13" t="s">
        <v>89</v>
      </c>
      <c r="C15" s="13" t="s">
        <v>94</v>
      </c>
      <c r="D15" s="13" t="s">
        <v>94</v>
      </c>
      <c r="E15" s="13" t="s">
        <v>94</v>
      </c>
      <c r="G15" s="12">
        <v>6</v>
      </c>
      <c r="H15" s="11"/>
    </row>
    <row r="16" ht="15">
      <c r="A16" s="12">
        <v>12</v>
      </c>
      <c r="B16" s="13" t="s">
        <v>87</v>
      </c>
      <c r="C16" s="13" t="s">
        <v>94</v>
      </c>
      <c r="D16" s="13" t="s">
        <v>88</v>
      </c>
      <c r="E16" s="13" t="s">
        <v>88</v>
      </c>
      <c r="G16" s="12">
        <v>7</v>
      </c>
      <c r="H16" s="11"/>
    </row>
    <row r="17" ht="15">
      <c r="A17" s="12">
        <v>13</v>
      </c>
      <c r="B17" s="13"/>
      <c r="C17" s="13"/>
      <c r="D17" s="13"/>
      <c r="E17" s="13"/>
      <c r="G17" s="12">
        <v>8</v>
      </c>
      <c r="H17" s="11"/>
    </row>
    <row r="18" ht="15">
      <c r="A18" s="12">
        <v>14</v>
      </c>
      <c r="B18" s="13"/>
      <c r="C18" s="13"/>
      <c r="D18" s="13"/>
      <c r="E18" s="13"/>
      <c r="G18" s="12">
        <v>9</v>
      </c>
      <c r="H18" s="11"/>
    </row>
    <row r="19" ht="15">
      <c r="A19" s="12">
        <v>15</v>
      </c>
      <c r="B19" s="13"/>
      <c r="C19" s="13"/>
      <c r="D19" s="13"/>
      <c r="E19" s="13"/>
      <c r="G19" s="12">
        <v>10</v>
      </c>
      <c r="H19" s="11"/>
    </row>
    <row r="20" ht="15">
      <c r="A20" s="12">
        <v>16</v>
      </c>
      <c r="B20" s="13"/>
      <c r="C20" s="13"/>
      <c r="D20" s="13"/>
      <c r="E20" s="13"/>
      <c r="G20" s="12">
        <v>11</v>
      </c>
      <c r="H20" s="11"/>
    </row>
    <row r="21" ht="15">
      <c r="A21" s="12">
        <v>17</v>
      </c>
      <c r="B21" s="13"/>
      <c r="C21" s="13"/>
      <c r="D21" s="13"/>
      <c r="E21" s="13"/>
      <c r="G21" s="12">
        <v>12</v>
      </c>
      <c r="H21" s="11"/>
    </row>
    <row r="22" ht="15">
      <c r="A22" s="12">
        <v>18</v>
      </c>
      <c r="B22" s="13"/>
      <c r="C22" s="13"/>
      <c r="D22" s="13"/>
      <c r="E22" s="13"/>
      <c r="G22" s="12">
        <v>13</v>
      </c>
      <c r="H22" s="11"/>
    </row>
    <row r="23" ht="15">
      <c r="A23" s="12">
        <v>19</v>
      </c>
      <c r="B23" s="13"/>
      <c r="C23" s="13"/>
      <c r="D23" s="13"/>
      <c r="E23" s="13"/>
      <c r="G23" s="12">
        <v>14</v>
      </c>
      <c r="H23" s="11"/>
    </row>
    <row r="24" ht="15">
      <c r="A24" s="12">
        <v>20</v>
      </c>
      <c r="B24" s="13"/>
      <c r="C24" s="13"/>
      <c r="D24" s="13"/>
      <c r="E24" s="13"/>
      <c r="G24" s="12">
        <v>15</v>
      </c>
      <c r="H24" s="11"/>
    </row>
    <row r="25" ht="15">
      <c r="A25" s="12">
        <v>21</v>
      </c>
      <c r="B25" s="13"/>
      <c r="C25" s="13"/>
      <c r="D25" s="13"/>
      <c r="E25" s="13"/>
      <c r="G25" s="12">
        <v>16</v>
      </c>
      <c r="H25" s="11"/>
    </row>
    <row r="26" ht="15">
      <c r="A26" s="12">
        <v>22</v>
      </c>
      <c r="B26" s="13"/>
      <c r="C26" s="13"/>
      <c r="D26" s="13"/>
      <c r="E26" s="13"/>
      <c r="G26" s="12">
        <v>17</v>
      </c>
      <c r="H26" s="11"/>
    </row>
    <row r="27" ht="15">
      <c r="A27" s="12">
        <v>23</v>
      </c>
      <c r="B27" s="13"/>
      <c r="C27" s="13"/>
      <c r="D27" s="13"/>
      <c r="E27" s="13"/>
      <c r="G27" s="12">
        <v>18</v>
      </c>
      <c r="H27" s="11"/>
    </row>
    <row r="28" ht="15">
      <c r="A28" s="12">
        <v>24</v>
      </c>
      <c r="B28" s="13"/>
      <c r="C28" s="13"/>
      <c r="D28" s="13"/>
      <c r="E28" s="13"/>
      <c r="G28" s="12">
        <v>19</v>
      </c>
      <c r="H28" s="11"/>
    </row>
    <row r="29" ht="15">
      <c r="A29" s="12">
        <v>25</v>
      </c>
      <c r="B29" s="13"/>
      <c r="C29" s="13"/>
      <c r="D29" s="13"/>
      <c r="E29" s="13"/>
      <c r="G29" s="12">
        <v>20</v>
      </c>
      <c r="H29" s="11"/>
    </row>
    <row r="30" ht="15">
      <c r="A30" s="12">
        <v>26</v>
      </c>
      <c r="B30" s="13"/>
      <c r="C30" s="13"/>
      <c r="D30" s="13"/>
      <c r="E30" s="13"/>
    </row>
    <row r="31" ht="15">
      <c r="A31" s="12">
        <v>27</v>
      </c>
      <c r="B31" s="13"/>
      <c r="C31" s="13"/>
      <c r="D31" s="13"/>
      <c r="E31" s="13"/>
      <c r="G31" s="3" t="s">
        <v>99</v>
      </c>
      <c r="H31" s="3"/>
    </row>
    <row r="32" ht="15">
      <c r="A32" s="12">
        <v>28</v>
      </c>
      <c r="B32" s="13"/>
      <c r="C32" s="13"/>
      <c r="D32" s="13"/>
      <c r="E32" s="13"/>
      <c r="G32" s="14" t="s">
        <v>100</v>
      </c>
      <c r="H32" s="15">
        <f>Hasil_Alpha!F11</f>
        <v>-0.428571428571429</v>
      </c>
    </row>
    <row r="33" ht="15">
      <c r="A33" s="12">
        <v>29</v>
      </c>
      <c r="B33" s="13"/>
      <c r="C33" s="13"/>
      <c r="D33" s="13"/>
      <c r="E33" s="13"/>
      <c r="G33" s="10" t="s">
        <v>101</v>
      </c>
      <c r="H33" s="16" t="str">
        <f>Hasil_Alpha!F12</f>
        <v xml:space="preserve">Tidak reliabel (α &lt; 0,667)</v>
      </c>
    </row>
    <row r="34" ht="15">
      <c r="A34" s="12">
        <v>30</v>
      </c>
      <c r="B34" s="13"/>
      <c r="C34" s="13"/>
      <c r="D34" s="13"/>
      <c r="E34" s="13"/>
      <c r="G34" s="10" t="s">
        <v>102</v>
      </c>
      <c r="H34" s="17">
        <f>Hasil_Alpha!F6</f>
        <v>12</v>
      </c>
    </row>
    <row r="35" ht="15">
      <c r="A35" s="12">
        <v>31</v>
      </c>
      <c r="B35" s="13"/>
      <c r="C35" s="13"/>
      <c r="D35" s="13"/>
      <c r="E35" s="13"/>
      <c r="G35" s="10" t="s">
        <v>103</v>
      </c>
      <c r="H35" s="17">
        <f>Hasil_Alpha!F7</f>
        <v>12</v>
      </c>
    </row>
    <row r="36" ht="15">
      <c r="A36" s="12">
        <v>32</v>
      </c>
      <c r="B36" s="13"/>
      <c r="C36" s="13"/>
      <c r="D36" s="13"/>
      <c r="E36" s="13"/>
      <c r="G36" s="10" t="s">
        <v>104</v>
      </c>
      <c r="H36" s="17">
        <f>Hasil_Alpha!F8</f>
        <v>20</v>
      </c>
    </row>
    <row r="37" ht="15">
      <c r="A37" s="12">
        <v>33</v>
      </c>
      <c r="B37" s="13"/>
      <c r="C37" s="13"/>
      <c r="D37" s="13"/>
      <c r="E37" s="13"/>
      <c r="G37" s="10" t="s">
        <v>105</v>
      </c>
      <c r="H37" s="18">
        <f>Hasil_Alpha!F13</f>
        <v>0</v>
      </c>
    </row>
    <row r="38" ht="15">
      <c r="A38" s="12">
        <v>34</v>
      </c>
      <c r="B38" s="13"/>
      <c r="C38" s="13"/>
      <c r="D38" s="13"/>
      <c r="E38" s="13"/>
      <c r="G38" s="10" t="s">
        <v>106</v>
      </c>
      <c r="H38" s="19" t="str">
        <f>Hasil_Alpha!F15</f>
        <v xml:space="preserve">Catatan: ada data pada kolom coder yang tidak dipakai (abu-abu)</v>
      </c>
    </row>
    <row r="39" ht="15">
      <c r="A39" s="12">
        <v>35</v>
      </c>
      <c r="B39" s="13"/>
      <c r="C39" s="13"/>
      <c r="D39" s="13"/>
      <c r="E39" s="13"/>
    </row>
    <row r="40" ht="15">
      <c r="A40" s="12">
        <v>36</v>
      </c>
      <c r="B40" s="13"/>
      <c r="C40" s="13"/>
      <c r="D40" s="13"/>
      <c r="E40" s="13"/>
    </row>
    <row r="41" ht="15">
      <c r="A41" s="12">
        <v>37</v>
      </c>
      <c r="B41" s="13"/>
      <c r="C41" s="13"/>
      <c r="D41" s="13"/>
      <c r="E41" s="13"/>
    </row>
    <row r="42" ht="15">
      <c r="A42" s="12">
        <v>38</v>
      </c>
      <c r="B42" s="13"/>
      <c r="C42" s="13"/>
      <c r="D42" s="13"/>
      <c r="E42" s="13"/>
    </row>
    <row r="43" ht="15">
      <c r="A43" s="12">
        <v>39</v>
      </c>
      <c r="B43" s="13"/>
      <c r="C43" s="13"/>
      <c r="D43" s="13"/>
      <c r="E43" s="13"/>
    </row>
    <row r="44" ht="15">
      <c r="A44" s="12">
        <v>40</v>
      </c>
      <c r="B44" s="13"/>
      <c r="C44" s="13"/>
      <c r="D44" s="13"/>
      <c r="E44" s="13"/>
    </row>
    <row r="45" ht="15">
      <c r="A45" s="12">
        <v>41</v>
      </c>
      <c r="B45" s="13"/>
      <c r="C45" s="13"/>
      <c r="D45" s="13"/>
      <c r="E45" s="13"/>
    </row>
    <row r="46" ht="15">
      <c r="A46" s="12">
        <v>42</v>
      </c>
      <c r="B46" s="13"/>
      <c r="C46" s="13"/>
      <c r="D46" s="13"/>
      <c r="E46" s="13"/>
    </row>
    <row r="47" ht="15">
      <c r="A47" s="12">
        <v>43</v>
      </c>
      <c r="B47" s="13"/>
      <c r="C47" s="13"/>
      <c r="D47" s="13"/>
      <c r="E47" s="13"/>
    </row>
    <row r="48" ht="15">
      <c r="A48" s="12">
        <v>44</v>
      </c>
      <c r="B48" s="13"/>
      <c r="C48" s="13"/>
      <c r="D48" s="13"/>
      <c r="E48" s="13"/>
    </row>
    <row r="49" ht="15">
      <c r="A49" s="12">
        <v>45</v>
      </c>
      <c r="B49" s="13"/>
      <c r="C49" s="13"/>
      <c r="D49" s="13"/>
      <c r="E49" s="13"/>
    </row>
    <row r="50" ht="15">
      <c r="A50" s="12">
        <v>46</v>
      </c>
      <c r="B50" s="13"/>
      <c r="C50" s="13"/>
      <c r="D50" s="13"/>
      <c r="E50" s="13"/>
    </row>
    <row r="51" ht="15">
      <c r="A51" s="12">
        <v>47</v>
      </c>
      <c r="B51" s="13"/>
      <c r="C51" s="13"/>
      <c r="D51" s="13"/>
      <c r="E51" s="13"/>
    </row>
    <row r="52" ht="15">
      <c r="A52" s="12">
        <v>48</v>
      </c>
      <c r="B52" s="13"/>
      <c r="C52" s="13"/>
      <c r="D52" s="13"/>
      <c r="E52" s="13"/>
    </row>
    <row r="53" ht="15">
      <c r="A53" s="12">
        <v>49</v>
      </c>
      <c r="B53" s="13"/>
      <c r="C53" s="13"/>
      <c r="D53" s="13"/>
      <c r="E53" s="13"/>
    </row>
    <row r="54" ht="15">
      <c r="A54" s="12">
        <v>50</v>
      </c>
      <c r="B54" s="13"/>
      <c r="C54" s="13"/>
      <c r="D54" s="13"/>
      <c r="E54" s="13"/>
    </row>
    <row r="55" ht="15">
      <c r="A55" s="12">
        <v>51</v>
      </c>
      <c r="B55" s="13"/>
      <c r="C55" s="13"/>
      <c r="D55" s="13"/>
      <c r="E55" s="13"/>
    </row>
    <row r="56" ht="15">
      <c r="A56" s="12">
        <v>52</v>
      </c>
      <c r="B56" s="13"/>
      <c r="C56" s="13"/>
      <c r="D56" s="13"/>
      <c r="E56" s="13"/>
    </row>
    <row r="57" ht="15">
      <c r="A57" s="12">
        <v>53</v>
      </c>
      <c r="B57" s="13"/>
      <c r="C57" s="13"/>
      <c r="D57" s="13"/>
      <c r="E57" s="13"/>
    </row>
    <row r="58" ht="15">
      <c r="A58" s="12">
        <v>54</v>
      </c>
      <c r="B58" s="13"/>
      <c r="C58" s="13"/>
      <c r="D58" s="13"/>
      <c r="E58" s="13"/>
    </row>
    <row r="59" ht="15">
      <c r="A59" s="12">
        <v>55</v>
      </c>
      <c r="B59" s="13"/>
      <c r="C59" s="13"/>
      <c r="D59" s="13"/>
      <c r="E59" s="13"/>
    </row>
    <row r="60" ht="15">
      <c r="A60" s="12">
        <v>56</v>
      </c>
      <c r="B60" s="13"/>
      <c r="C60" s="13"/>
      <c r="D60" s="13"/>
      <c r="E60" s="13"/>
    </row>
    <row r="61" ht="15">
      <c r="A61" s="12">
        <v>57</v>
      </c>
      <c r="B61" s="13"/>
      <c r="C61" s="13"/>
      <c r="D61" s="13"/>
      <c r="E61" s="13"/>
    </row>
    <row r="62" ht="15">
      <c r="A62" s="12">
        <v>58</v>
      </c>
      <c r="B62" s="13"/>
      <c r="C62" s="13"/>
      <c r="D62" s="13"/>
      <c r="E62" s="13"/>
    </row>
    <row r="63" ht="15">
      <c r="A63" s="12">
        <v>59</v>
      </c>
      <c r="B63" s="13"/>
      <c r="C63" s="13"/>
      <c r="D63" s="13"/>
      <c r="E63" s="13"/>
    </row>
    <row r="64" ht="15">
      <c r="A64" s="12">
        <v>60</v>
      </c>
      <c r="B64" s="13"/>
      <c r="C64" s="13"/>
      <c r="D64" s="13"/>
      <c r="E64" s="13"/>
    </row>
    <row r="65" ht="15">
      <c r="A65" s="12">
        <v>61</v>
      </c>
      <c r="B65" s="13"/>
      <c r="C65" s="13"/>
      <c r="D65" s="13"/>
      <c r="E65" s="13"/>
    </row>
    <row r="66" ht="15">
      <c r="A66" s="12">
        <v>62</v>
      </c>
      <c r="B66" s="13"/>
      <c r="C66" s="13"/>
      <c r="D66" s="13"/>
      <c r="E66" s="13"/>
    </row>
    <row r="67" ht="15">
      <c r="A67" s="12">
        <v>63</v>
      </c>
      <c r="B67" s="13"/>
      <c r="C67" s="13"/>
      <c r="D67" s="13"/>
      <c r="E67" s="13"/>
    </row>
    <row r="68" ht="15">
      <c r="A68" s="12">
        <v>64</v>
      </c>
      <c r="B68" s="13"/>
      <c r="C68" s="13"/>
      <c r="D68" s="13"/>
      <c r="E68" s="13"/>
    </row>
    <row r="69" ht="15">
      <c r="A69" s="12">
        <v>65</v>
      </c>
      <c r="B69" s="13"/>
      <c r="C69" s="13"/>
      <c r="D69" s="13"/>
      <c r="E69" s="13"/>
    </row>
    <row r="70" ht="15">
      <c r="A70" s="12">
        <v>66</v>
      </c>
      <c r="B70" s="13"/>
      <c r="C70" s="13"/>
      <c r="D70" s="13"/>
      <c r="E70" s="13"/>
    </row>
    <row r="71" ht="15">
      <c r="A71" s="12">
        <v>67</v>
      </c>
      <c r="B71" s="13"/>
      <c r="C71" s="13"/>
      <c r="D71" s="13"/>
      <c r="E71" s="13"/>
    </row>
    <row r="72" ht="15">
      <c r="A72" s="12">
        <v>68</v>
      </c>
      <c r="B72" s="13"/>
      <c r="C72" s="13"/>
      <c r="D72" s="13"/>
      <c r="E72" s="13"/>
    </row>
    <row r="73" ht="15">
      <c r="A73" s="12">
        <v>69</v>
      </c>
      <c r="B73" s="13"/>
      <c r="C73" s="13"/>
      <c r="D73" s="13"/>
      <c r="E73" s="13"/>
    </row>
    <row r="74" ht="15">
      <c r="A74" s="12">
        <v>70</v>
      </c>
      <c r="B74" s="13"/>
      <c r="C74" s="13"/>
      <c r="D74" s="13"/>
      <c r="E74" s="13"/>
    </row>
    <row r="75" ht="15">
      <c r="A75" s="12">
        <v>71</v>
      </c>
      <c r="B75" s="13"/>
      <c r="C75" s="13"/>
      <c r="D75" s="13"/>
      <c r="E75" s="13"/>
    </row>
    <row r="76" ht="15">
      <c r="A76" s="12">
        <v>72</v>
      </c>
      <c r="B76" s="13"/>
      <c r="C76" s="13"/>
      <c r="D76" s="13"/>
      <c r="E76" s="13"/>
    </row>
    <row r="77" ht="15">
      <c r="A77" s="12">
        <v>73</v>
      </c>
      <c r="B77" s="13"/>
      <c r="C77" s="13"/>
      <c r="D77" s="13"/>
      <c r="E77" s="13"/>
    </row>
    <row r="78" ht="15">
      <c r="A78" s="12">
        <v>74</v>
      </c>
      <c r="B78" s="13"/>
      <c r="C78" s="13"/>
      <c r="D78" s="13"/>
      <c r="E78" s="13"/>
    </row>
    <row r="79" ht="15">
      <c r="A79" s="12">
        <v>75</v>
      </c>
      <c r="B79" s="13"/>
      <c r="C79" s="13"/>
      <c r="D79" s="13"/>
      <c r="E79" s="13"/>
    </row>
    <row r="80" ht="15">
      <c r="A80" s="12">
        <v>76</v>
      </c>
      <c r="B80" s="13"/>
      <c r="C80" s="13"/>
      <c r="D80" s="13"/>
      <c r="E80" s="13"/>
    </row>
    <row r="81" ht="15">
      <c r="A81" s="12">
        <v>77</v>
      </c>
      <c r="B81" s="13"/>
      <c r="C81" s="13"/>
      <c r="D81" s="13"/>
      <c r="E81" s="13"/>
    </row>
    <row r="82" ht="15">
      <c r="A82" s="12">
        <v>78</v>
      </c>
      <c r="B82" s="13"/>
      <c r="C82" s="13"/>
      <c r="D82" s="13"/>
      <c r="E82" s="13"/>
    </row>
    <row r="83" ht="15">
      <c r="A83" s="12">
        <v>79</v>
      </c>
      <c r="B83" s="13"/>
      <c r="C83" s="13"/>
      <c r="D83" s="13"/>
      <c r="E83" s="13"/>
    </row>
    <row r="84" ht="15">
      <c r="A84" s="12">
        <v>80</v>
      </c>
      <c r="B84" s="13"/>
      <c r="C84" s="13"/>
      <c r="D84" s="13"/>
      <c r="E84" s="13"/>
    </row>
    <row r="85" ht="15">
      <c r="A85" s="12">
        <v>81</v>
      </c>
      <c r="B85" s="13"/>
      <c r="C85" s="13"/>
      <c r="D85" s="13"/>
      <c r="E85" s="13"/>
    </row>
    <row r="86" ht="15">
      <c r="A86" s="12">
        <v>82</v>
      </c>
      <c r="B86" s="13"/>
      <c r="C86" s="13"/>
      <c r="D86" s="13"/>
      <c r="E86" s="13"/>
    </row>
    <row r="87" ht="15">
      <c r="A87" s="12">
        <v>83</v>
      </c>
      <c r="B87" s="13"/>
      <c r="C87" s="13"/>
      <c r="D87" s="13"/>
      <c r="E87" s="13"/>
    </row>
    <row r="88" ht="15">
      <c r="A88" s="12">
        <v>84</v>
      </c>
      <c r="B88" s="13"/>
      <c r="C88" s="13"/>
      <c r="D88" s="13"/>
      <c r="E88" s="13"/>
    </row>
    <row r="89" ht="15">
      <c r="A89" s="12">
        <v>85</v>
      </c>
      <c r="B89" s="13"/>
      <c r="C89" s="13"/>
      <c r="D89" s="13"/>
      <c r="E89" s="13"/>
    </row>
    <row r="90" ht="15">
      <c r="A90" s="12">
        <v>86</v>
      </c>
      <c r="B90" s="13"/>
      <c r="C90" s="13"/>
      <c r="D90" s="13"/>
      <c r="E90" s="13"/>
    </row>
    <row r="91" ht="15">
      <c r="A91" s="12">
        <v>87</v>
      </c>
      <c r="B91" s="13"/>
      <c r="C91" s="13"/>
      <c r="D91" s="13"/>
      <c r="E91" s="13"/>
    </row>
    <row r="92" ht="15">
      <c r="A92" s="12">
        <v>88</v>
      </c>
      <c r="B92" s="13"/>
      <c r="C92" s="13"/>
      <c r="D92" s="13"/>
      <c r="E92" s="13"/>
    </row>
    <row r="93" ht="15">
      <c r="A93" s="12">
        <v>89</v>
      </c>
      <c r="B93" s="13"/>
      <c r="C93" s="13"/>
      <c r="D93" s="13"/>
      <c r="E93" s="13"/>
    </row>
    <row r="94" ht="15">
      <c r="A94" s="12">
        <v>90</v>
      </c>
      <c r="B94" s="13"/>
      <c r="C94" s="13"/>
      <c r="D94" s="13"/>
      <c r="E94" s="13"/>
    </row>
    <row r="95" ht="15">
      <c r="A95" s="12">
        <v>91</v>
      </c>
      <c r="B95" s="13"/>
      <c r="C95" s="13"/>
      <c r="D95" s="13"/>
      <c r="E95" s="13"/>
    </row>
    <row r="96" ht="15">
      <c r="A96" s="12">
        <v>92</v>
      </c>
      <c r="B96" s="13"/>
      <c r="C96" s="13"/>
      <c r="D96" s="13"/>
      <c r="E96" s="13"/>
    </row>
    <row r="97" ht="15">
      <c r="A97" s="12">
        <v>93</v>
      </c>
      <c r="B97" s="13"/>
      <c r="C97" s="13"/>
      <c r="D97" s="13"/>
      <c r="E97" s="13"/>
    </row>
    <row r="98" ht="15">
      <c r="A98" s="12">
        <v>94</v>
      </c>
      <c r="B98" s="13"/>
      <c r="C98" s="13"/>
      <c r="D98" s="13"/>
      <c r="E98" s="13"/>
    </row>
    <row r="99" ht="15">
      <c r="A99" s="12">
        <v>95</v>
      </c>
      <c r="B99" s="13"/>
      <c r="C99" s="13"/>
      <c r="D99" s="13"/>
      <c r="E99" s="13"/>
    </row>
    <row r="100" ht="15">
      <c r="A100" s="12">
        <v>96</v>
      </c>
      <c r="B100" s="13"/>
      <c r="C100" s="13"/>
      <c r="D100" s="13"/>
      <c r="E100" s="13"/>
    </row>
    <row r="101" ht="15">
      <c r="A101" s="12">
        <v>97</v>
      </c>
      <c r="B101" s="13"/>
      <c r="C101" s="13"/>
      <c r="D101" s="13"/>
      <c r="E101" s="13"/>
    </row>
    <row r="102" ht="15">
      <c r="A102" s="12">
        <v>98</v>
      </c>
      <c r="B102" s="13"/>
      <c r="C102" s="13"/>
      <c r="D102" s="13"/>
      <c r="E102" s="13"/>
    </row>
    <row r="103" ht="15">
      <c r="A103" s="12">
        <v>99</v>
      </c>
      <c r="B103" s="13"/>
      <c r="C103" s="13"/>
      <c r="D103" s="13"/>
      <c r="E103" s="13"/>
    </row>
    <row r="104" ht="15">
      <c r="A104" s="12">
        <v>100</v>
      </c>
      <c r="B104" s="13"/>
      <c r="C104" s="13"/>
      <c r="D104" s="13"/>
      <c r="E104" s="13"/>
    </row>
  </sheetData>
  <printOptions headings="0" gridLines="0" horizontalCentered="0" verticalCentered="0"/>
  <pageMargins left="0.75" right="0.75" top="1" bottom="1" header="0.51181102362204689" footer="0.51181102362204689"/>
  <pageSetup paperSize="1" scale="100" fitToWidth="1" fitToHeight="0" pageOrder="downThenOver" orientation="landscape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aboveAverage="0" rank="0" text="">
            <xm:f>AND(B5&lt;&gt;"",ISERROR(MATCH(B5,$H$10:$H$29,0)))</xm:f>
            <x14:dxf>
              <fill>
                <patternFill patternType="solid">
                  <fgColor rgb="FFF8CBAD"/>
                  <bgColor rgb="FFF8CBAD"/>
                </patternFill>
              </fill>
            </x14:dxf>
          </x14:cfRule>
          <xm:sqref>B5:E104</xm:sqref>
        </x14:conditionalFormatting>
        <x14:conditionalFormatting xmlns:xm="http://schemas.microsoft.com/office/excel/2006/main">
          <x14:cfRule type="expression" priority="3" aboveAverage="0" rank="0" text="">
            <xm:f>COLUMN()-1&gt;$H$4</xm:f>
            <x14:dxf>
              <fill>
                <patternFill patternType="solid">
                  <fgColor rgb="FFD9D9D9"/>
                  <bgColor rgb="FFD9D9D9"/>
                </patternFill>
              </fill>
            </x14:dxf>
          </x14:cfRule>
          <xm:sqref>B5:E104</xm:sqref>
        </x14:conditionalFormatting>
        <x14:conditionalFormatting xmlns:xm="http://schemas.microsoft.com/office/excel/2006/main">
          <x14:cfRule type="expression" priority="4" aboveAverage="0" rank="0" text="">
            <xm:f>COLUMN()-1&gt;$H$4</xm:f>
            <x14:dxf>
              <fill>
                <patternFill patternType="solid">
                  <fgColor rgb="FFD9D9D9"/>
                  <bgColor rgb="FFD9D9D9"/>
                </patternFill>
              </fill>
            </x14:dxf>
          </x14:cfRule>
          <xm:sqref>B3:E3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2AE6290B-B651-416D-9042-DE3ACF0A82F2}" type="list" allowBlank="0" error="Pilih Nominal atau Ordinal." errorStyle="stop" errorTitle="Jenis data" imeMode="noControl" operator="between" showDropDown="0" showErrorMessage="1" showInputMessage="0">
          <x14:formula1>
            <xm:f>"Nominal,Ordinal"</xm:f>
          </x14:formula1>
          <x14:formula2>
            <xm:f>0</xm:f>
          </x14:formula2>
          <xm:sqref>H5</xm:sqref>
        </x14:dataValidation>
        <x14:dataValidation xr:uid="{72562E90-5583-40D6-84CB-67728BBD2DB0}" type="list" allowBlank="1" error="Nilai harus ada di Daftar Kategori (H10:H29). Kosongkan sel jika tidak ada data." errorStyle="stop" errorTitle="Kategori tidak dikenal" imeMode="noControl" operator="between" showDropDown="0" showErrorMessage="1" showInputMessage="0">
          <x14:formula1>
            <xm:f>$H$10:$H$29</xm:f>
          </x14:formula1>
          <x14:formula2>
            <xm:f>0</xm:f>
          </x14:formula2>
          <xm:sqref>B5:E104</xm:sqref>
        </x14:dataValidation>
        <x14:dataValidation xr:uid="{22B6A0B9-E1A5-499E-9AE8-93C736681847}" type="list" allowBlank="0" error="Pilih 2, 3, atau 4." errorStyle="stop" errorTitle="Jumlah coder" imeMode="noControl" operator="between" showDropDown="0" showErrorMessage="1" showInputMessage="0">
          <x14:formula1>
            <xm:f>"2,3,4"</xm:f>
          </x14:formula1>
          <x14:formula2>
            <xm:f>0</xm:f>
          </x14:formula2>
          <xm:sqref>H4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0" showRowColHeaders="1" showZeros="1" rightToLeft="0" view="normal" topLeftCell="A1" zoomScale="100" workbookViewId="0">
      <pane xSplit="1" ySplit="4" topLeftCell="B5" activePane="bottomRight" state="frozen"/>
      <selection activeCell="E5" activeCellId="0" sqref="E5"/>
    </sheetView>
  </sheetViews>
  <sheetFormatPr defaultColWidth="8.6796875" defaultRowHeight="15"/>
  <cols>
    <col customWidth="1" min="1" max="28" style="1" width="10"/>
  </cols>
  <sheetData>
    <row r="1" ht="17.350000000000001">
      <c r="A1" s="2" t="s">
        <v>107</v>
      </c>
    </row>
    <row r="2" ht="15">
      <c r="A2" s="6" t="s">
        <v>108</v>
      </c>
    </row>
    <row r="3" ht="15">
      <c r="A3" s="8" t="s">
        <v>109</v>
      </c>
      <c r="B3" s="8">
        <v>1</v>
      </c>
      <c r="C3" s="8">
        <v>2</v>
      </c>
      <c r="D3" s="8">
        <v>3</v>
      </c>
      <c r="E3" s="8">
        <v>4</v>
      </c>
      <c r="F3" s="8"/>
      <c r="G3" s="8"/>
      <c r="H3" s="8"/>
      <c r="I3" s="8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8">
        <v>9</v>
      </c>
      <c r="R3" s="8">
        <v>10</v>
      </c>
      <c r="S3" s="8">
        <v>11</v>
      </c>
      <c r="T3" s="8">
        <v>12</v>
      </c>
      <c r="U3" s="8">
        <v>13</v>
      </c>
      <c r="V3" s="8">
        <v>14</v>
      </c>
      <c r="W3" s="8">
        <v>15</v>
      </c>
      <c r="X3" s="8">
        <v>16</v>
      </c>
      <c r="Y3" s="8">
        <v>17</v>
      </c>
      <c r="Z3" s="8">
        <v>18</v>
      </c>
      <c r="AA3" s="8">
        <v>19</v>
      </c>
      <c r="AB3" s="8">
        <v>20</v>
      </c>
    </row>
    <row r="4" ht="15">
      <c r="A4" s="9" t="s">
        <v>110</v>
      </c>
      <c r="B4" s="9" t="str">
        <f>Input!B4</f>
        <v>Fenny</v>
      </c>
      <c r="C4" s="9" t="str">
        <f>Input!C4</f>
        <v>Afriansyah</v>
      </c>
      <c r="D4" s="9" t="str">
        <f>Input!D4</f>
        <v>Claude</v>
      </c>
      <c r="E4" s="9" t="str">
        <f>Input!E4</f>
        <v>Gemini</v>
      </c>
      <c r="F4" s="9" t="s">
        <v>111</v>
      </c>
      <c r="G4" s="9" t="s">
        <v>112</v>
      </c>
      <c r="H4" s="9" t="s">
        <v>113</v>
      </c>
      <c r="I4" s="9" t="str">
        <f>IF(Input!$H$10="","",Input!$H$10)</f>
        <v>K1</v>
      </c>
      <c r="J4" s="9" t="str">
        <f>IF(Input!$H$11="","",Input!$H$11)</f>
        <v>K2</v>
      </c>
      <c r="K4" s="9" t="str">
        <f>IF(Input!$H$12="","",Input!$H$12)</f>
        <v>K3</v>
      </c>
      <c r="L4" s="9" t="str">
        <f>IF(Input!$H$13="","",Input!$H$13)</f>
        <v>K4</v>
      </c>
      <c r="M4" s="9" t="str">
        <f>IF(Input!$H$14="","",Input!$H$14)</f>
        <v>K5</v>
      </c>
      <c r="N4" s="9" t="str">
        <f>IF(Input!$H$15="","",Input!$H$15)</f>
        <v/>
      </c>
      <c r="O4" s="9" t="str">
        <f>IF(Input!$H$16="","",Input!$H$16)</f>
        <v/>
      </c>
      <c r="P4" s="9" t="str">
        <f>IF(Input!$H$17="","",Input!$H$17)</f>
        <v/>
      </c>
      <c r="Q4" s="9" t="str">
        <f>IF(Input!$H$18="","",Input!$H$18)</f>
        <v/>
      </c>
      <c r="R4" s="9" t="str">
        <f>IF(Input!$H$19="","",Input!$H$19)</f>
        <v/>
      </c>
      <c r="S4" s="9" t="str">
        <f>IF(Input!$H$20="","",Input!$H$20)</f>
        <v/>
      </c>
      <c r="T4" s="9" t="str">
        <f>IF(Input!$H$21="","",Input!$H$21)</f>
        <v/>
      </c>
      <c r="U4" s="9" t="str">
        <f>IF(Input!$H$22="","",Input!$H$22)</f>
        <v/>
      </c>
      <c r="V4" s="9" t="str">
        <f>IF(Input!$H$23="","",Input!$H$23)</f>
        <v/>
      </c>
      <c r="W4" s="9" t="str">
        <f>IF(Input!$H$24="","",Input!$H$24)</f>
        <v/>
      </c>
      <c r="X4" s="9" t="str">
        <f>IF(Input!$H$25="","",Input!$H$25)</f>
        <v/>
      </c>
      <c r="Y4" s="9" t="str">
        <f>IF(Input!$H$26="","",Input!$H$26)</f>
        <v/>
      </c>
      <c r="Z4" s="9" t="str">
        <f>IF(Input!$H$27="","",Input!$H$27)</f>
        <v/>
      </c>
      <c r="AA4" s="9" t="str">
        <f>IF(Input!$H$28="","",Input!$H$28)</f>
        <v/>
      </c>
      <c r="AB4" s="9" t="str">
        <f>IF(Input!$H$29="","",Input!$H$29)</f>
        <v/>
      </c>
    </row>
    <row r="5" ht="15">
      <c r="A5" s="20">
        <f>Input!A5</f>
        <v>1</v>
      </c>
      <c r="B5" s="20">
        <f>IF(Input!B5="","",IF(B$3&gt;Input!$H$4,"",IFERROR(MATCH(Input!B5,Input!$H$10:$H$29,0),"ERR")))</f>
        <v>2</v>
      </c>
      <c r="C5" s="20">
        <f>IF(Input!C5="","",IF(C$3&gt;Input!$H$4,"",IFERROR(MATCH(Input!C5,Input!$H$10:$H$29,0),"ERR")))</f>
        <v>1</v>
      </c>
      <c r="D5" s="20" t="str">
        <f>IF(Input!D5="","",IF(D$3&gt;Input!$H$4,"",IFERROR(MATCH(Input!D5,Input!$H$10:$H$29,0),"ERR")))</f>
        <v/>
      </c>
      <c r="E5" s="20" t="str">
        <f>IF(Input!E5="","",IF(E$3&gt;Input!$H$4,"",IFERROR(MATCH(Input!E5,Input!$H$10:$H$29,0),"ERR")))</f>
        <v/>
      </c>
      <c r="F5" s="20">
        <f t="shared" ref="F5:F9" si="0">COUNT(B5:E5)</f>
        <v>2</v>
      </c>
      <c r="G5" s="20">
        <f t="shared" ref="G5:G9" si="1">COUNTIF(B5:E5,"ERR")</f>
        <v>0</v>
      </c>
      <c r="H5" s="21">
        <f t="shared" ref="H5:H9" si="2">IF(F5&gt;=2,1/(F5-1),0)</f>
        <v>1</v>
      </c>
      <c r="I5" s="20">
        <f t="shared" ref="I5:I9" si="3">COUNTIF($B5:$E5,I$3)</f>
        <v>0</v>
      </c>
      <c r="J5" s="20">
        <f t="shared" ref="J5:J9" si="4">COUNTIF($B5:$E5,J$3)</f>
        <v>1</v>
      </c>
      <c r="K5" s="20">
        <f t="shared" ref="K5:K9" si="5">COUNTIF($B5:$E5,K$3)</f>
        <v>0</v>
      </c>
      <c r="L5" s="20">
        <f t="shared" ref="L5:L9" si="6">COUNTIF($B5:$E5,L$3)</f>
        <v>0</v>
      </c>
      <c r="M5" s="20">
        <f t="shared" ref="M5:M9" si="7">COUNTIF($B5:$E5,M$3)</f>
        <v>0</v>
      </c>
      <c r="N5" s="20">
        <f t="shared" ref="N5:N9" si="8">COUNTIF($B5:$E5,N$3)</f>
        <v>0</v>
      </c>
      <c r="O5" s="20">
        <f t="shared" ref="O5:O9" si="9">COUNTIF($B5:$E5,O$3)</f>
        <v>0</v>
      </c>
      <c r="P5" s="20">
        <f t="shared" ref="P5:P9" si="10">COUNTIF($B5:$E5,P$3)</f>
        <v>0</v>
      </c>
      <c r="Q5" s="20">
        <f t="shared" ref="Q5:Q9" si="11">COUNTIF($B5:$E5,Q$3)</f>
        <v>0</v>
      </c>
      <c r="R5" s="20">
        <f t="shared" ref="R5:R9" si="12">COUNTIF($B5:$E5,R$3)</f>
        <v>0</v>
      </c>
      <c r="S5" s="20">
        <f t="shared" ref="S5:S9" si="13">COUNTIF($B5:$E5,S$3)</f>
        <v>0</v>
      </c>
      <c r="T5" s="20">
        <f t="shared" ref="T5:T9" si="14">COUNTIF($B5:$E5,T$3)</f>
        <v>0</v>
      </c>
      <c r="U5" s="20">
        <f t="shared" ref="U5:U9" si="15">COUNTIF($B5:$E5,U$3)</f>
        <v>0</v>
      </c>
      <c r="V5" s="20">
        <f t="shared" ref="V5:V9" si="16">COUNTIF($B5:$E5,V$3)</f>
        <v>0</v>
      </c>
      <c r="W5" s="20">
        <f t="shared" ref="W5:W9" si="17">COUNTIF($B5:$E5,W$3)</f>
        <v>0</v>
      </c>
      <c r="X5" s="20">
        <f t="shared" ref="X5:X9" si="18">COUNTIF($B5:$E5,X$3)</f>
        <v>0</v>
      </c>
      <c r="Y5" s="20">
        <f t="shared" ref="Y5:Y9" si="19">COUNTIF($B5:$E5,Y$3)</f>
        <v>0</v>
      </c>
      <c r="Z5" s="20">
        <f t="shared" ref="Z5:Z9" si="20">COUNTIF($B5:$E5,Z$3)</f>
        <v>0</v>
      </c>
      <c r="AA5" s="20">
        <f t="shared" ref="AA5:AA9" si="21">COUNTIF($B5:$E5,AA$3)</f>
        <v>0</v>
      </c>
      <c r="AB5" s="20">
        <f t="shared" ref="AB5:AB9" si="22">COUNTIF($B5:$E5,AB$3)</f>
        <v>0</v>
      </c>
    </row>
    <row r="6" ht="15">
      <c r="A6" s="20">
        <f>Input!A6</f>
        <v>2</v>
      </c>
      <c r="B6" s="20">
        <f>IF(Input!B6="","",IF(B$3&gt;Input!$H$4,"",IFERROR(MATCH(Input!B6,Input!$H$10:$H$29,0),"ERR")))</f>
        <v>2</v>
      </c>
      <c r="C6" s="20">
        <f>IF(Input!C6="","",IF(C$3&gt;Input!$H$4,"",IFERROR(MATCH(Input!C6,Input!$H$10:$H$29,0),"ERR")))</f>
        <v>1</v>
      </c>
      <c r="D6" s="20" t="str">
        <f>IF(Input!D6="","",IF(D$3&gt;Input!$H$4,"",IFERROR(MATCH(Input!D6,Input!$H$10:$H$29,0),"ERR")))</f>
        <v/>
      </c>
      <c r="E6" s="20" t="str">
        <f>IF(Input!E6="","",IF(E$3&gt;Input!$H$4,"",IFERROR(MATCH(Input!E6,Input!$H$10:$H$29,0),"ERR")))</f>
        <v/>
      </c>
      <c r="F6" s="20">
        <f t="shared" si="0"/>
        <v>2</v>
      </c>
      <c r="G6" s="20">
        <f t="shared" si="1"/>
        <v>0</v>
      </c>
      <c r="H6" s="21">
        <f t="shared" si="2"/>
        <v>1</v>
      </c>
      <c r="I6" s="20">
        <f t="shared" si="3"/>
        <v>0</v>
      </c>
      <c r="J6" s="20">
        <f t="shared" si="4"/>
        <v>1</v>
      </c>
      <c r="K6" s="20">
        <f t="shared" si="5"/>
        <v>0</v>
      </c>
      <c r="L6" s="20">
        <f t="shared" si="6"/>
        <v>0</v>
      </c>
      <c r="M6" s="20">
        <f t="shared" si="7"/>
        <v>0</v>
      </c>
      <c r="N6" s="20">
        <f t="shared" si="8"/>
        <v>0</v>
      </c>
      <c r="O6" s="20">
        <f t="shared" si="9"/>
        <v>0</v>
      </c>
      <c r="P6" s="20">
        <f t="shared" si="10"/>
        <v>0</v>
      </c>
      <c r="Q6" s="20">
        <f t="shared" si="11"/>
        <v>0</v>
      </c>
      <c r="R6" s="20">
        <f t="shared" si="12"/>
        <v>0</v>
      </c>
      <c r="S6" s="20">
        <f t="shared" si="13"/>
        <v>0</v>
      </c>
      <c r="T6" s="20">
        <f t="shared" si="14"/>
        <v>0</v>
      </c>
      <c r="U6" s="20">
        <f t="shared" si="15"/>
        <v>0</v>
      </c>
      <c r="V6" s="20">
        <f t="shared" si="16"/>
        <v>0</v>
      </c>
      <c r="W6" s="20">
        <f t="shared" si="17"/>
        <v>0</v>
      </c>
      <c r="X6" s="20">
        <f t="shared" si="18"/>
        <v>0</v>
      </c>
      <c r="Y6" s="20">
        <f t="shared" si="19"/>
        <v>0</v>
      </c>
      <c r="Z6" s="20">
        <f t="shared" si="20"/>
        <v>0</v>
      </c>
      <c r="AA6" s="20">
        <f t="shared" si="21"/>
        <v>0</v>
      </c>
      <c r="AB6" s="20">
        <f t="shared" si="22"/>
        <v>0</v>
      </c>
    </row>
    <row r="7" ht="15">
      <c r="A7" s="20">
        <f>Input!A7</f>
        <v>3</v>
      </c>
      <c r="B7" s="20">
        <f>IF(Input!B7="","",IF(B$3&gt;Input!$H$4,"",IFERROR(MATCH(Input!B7,Input!$H$10:$H$29,0),"ERR")))</f>
        <v>5</v>
      </c>
      <c r="C7" s="20">
        <f>IF(Input!C7="","",IF(C$3&gt;Input!$H$4,"",IFERROR(MATCH(Input!C7,Input!$H$10:$H$29,0),"ERR")))</f>
        <v>4</v>
      </c>
      <c r="D7" s="20" t="str">
        <f>IF(Input!D7="","",IF(D$3&gt;Input!$H$4,"",IFERROR(MATCH(Input!D7,Input!$H$10:$H$29,0),"ERR")))</f>
        <v/>
      </c>
      <c r="E7" s="20" t="str">
        <f>IF(Input!E7="","",IF(E$3&gt;Input!$H$4,"",IFERROR(MATCH(Input!E7,Input!$H$10:$H$29,0),"ERR")))</f>
        <v/>
      </c>
      <c r="F7" s="20">
        <f t="shared" si="0"/>
        <v>2</v>
      </c>
      <c r="G7" s="20">
        <f t="shared" si="1"/>
        <v>0</v>
      </c>
      <c r="H7" s="21">
        <f t="shared" si="2"/>
        <v>1</v>
      </c>
      <c r="I7" s="20">
        <f t="shared" si="3"/>
        <v>0</v>
      </c>
      <c r="J7" s="20">
        <f t="shared" si="4"/>
        <v>0</v>
      </c>
      <c r="K7" s="20">
        <f t="shared" si="5"/>
        <v>0</v>
      </c>
      <c r="L7" s="20">
        <f t="shared" si="6"/>
        <v>1</v>
      </c>
      <c r="M7" s="20">
        <f t="shared" si="7"/>
        <v>1</v>
      </c>
      <c r="N7" s="20">
        <f t="shared" si="8"/>
        <v>0</v>
      </c>
      <c r="O7" s="20">
        <f t="shared" si="9"/>
        <v>0</v>
      </c>
      <c r="P7" s="20">
        <f t="shared" si="10"/>
        <v>0</v>
      </c>
      <c r="Q7" s="20">
        <f t="shared" si="11"/>
        <v>0</v>
      </c>
      <c r="R7" s="20">
        <f t="shared" si="12"/>
        <v>0</v>
      </c>
      <c r="S7" s="20">
        <f t="shared" si="13"/>
        <v>0</v>
      </c>
      <c r="T7" s="20">
        <f t="shared" si="14"/>
        <v>0</v>
      </c>
      <c r="U7" s="20">
        <f t="shared" si="15"/>
        <v>0</v>
      </c>
      <c r="V7" s="20">
        <f t="shared" si="16"/>
        <v>0</v>
      </c>
      <c r="W7" s="20">
        <f t="shared" si="17"/>
        <v>0</v>
      </c>
      <c r="X7" s="20">
        <f t="shared" si="18"/>
        <v>0</v>
      </c>
      <c r="Y7" s="20">
        <f t="shared" si="19"/>
        <v>0</v>
      </c>
      <c r="Z7" s="20">
        <f t="shared" si="20"/>
        <v>0</v>
      </c>
      <c r="AA7" s="20">
        <f t="shared" si="21"/>
        <v>0</v>
      </c>
      <c r="AB7" s="20">
        <f t="shared" si="22"/>
        <v>0</v>
      </c>
    </row>
    <row r="8" ht="15">
      <c r="A8" s="20">
        <f>Input!A8</f>
        <v>4</v>
      </c>
      <c r="B8" s="20">
        <f>IF(Input!B8="","",IF(B$3&gt;Input!$H$4,"",IFERROR(MATCH(Input!B8,Input!$H$10:$H$29,0),"ERR")))</f>
        <v>4</v>
      </c>
      <c r="C8" s="20">
        <f>IF(Input!C8="","",IF(C$3&gt;Input!$H$4,"",IFERROR(MATCH(Input!C8,Input!$H$10:$H$29,0),"ERR")))</f>
        <v>3</v>
      </c>
      <c r="D8" s="20" t="str">
        <f>IF(Input!D8="","",IF(D$3&gt;Input!$H$4,"",IFERROR(MATCH(Input!D8,Input!$H$10:$H$29,0),"ERR")))</f>
        <v/>
      </c>
      <c r="E8" s="20" t="str">
        <f>IF(Input!E8="","",IF(E$3&gt;Input!$H$4,"",IFERROR(MATCH(Input!E8,Input!$H$10:$H$29,0),"ERR")))</f>
        <v/>
      </c>
      <c r="F8" s="20">
        <f t="shared" si="0"/>
        <v>2</v>
      </c>
      <c r="G8" s="20">
        <f t="shared" si="1"/>
        <v>0</v>
      </c>
      <c r="H8" s="21">
        <f t="shared" si="2"/>
        <v>1</v>
      </c>
      <c r="I8" s="20">
        <f t="shared" si="3"/>
        <v>0</v>
      </c>
      <c r="J8" s="20">
        <f t="shared" si="4"/>
        <v>0</v>
      </c>
      <c r="K8" s="20">
        <f t="shared" si="5"/>
        <v>1</v>
      </c>
      <c r="L8" s="20">
        <f t="shared" si="6"/>
        <v>1</v>
      </c>
      <c r="M8" s="20">
        <f t="shared" si="7"/>
        <v>0</v>
      </c>
      <c r="N8" s="20">
        <f t="shared" si="8"/>
        <v>0</v>
      </c>
      <c r="O8" s="20">
        <f t="shared" si="9"/>
        <v>0</v>
      </c>
      <c r="P8" s="20">
        <f t="shared" si="10"/>
        <v>0</v>
      </c>
      <c r="Q8" s="20">
        <f t="shared" si="11"/>
        <v>0</v>
      </c>
      <c r="R8" s="20">
        <f t="shared" si="12"/>
        <v>0</v>
      </c>
      <c r="S8" s="20">
        <f t="shared" si="13"/>
        <v>0</v>
      </c>
      <c r="T8" s="20">
        <f t="shared" si="14"/>
        <v>0</v>
      </c>
      <c r="U8" s="20">
        <f t="shared" si="15"/>
        <v>0</v>
      </c>
      <c r="V8" s="20">
        <f t="shared" si="16"/>
        <v>0</v>
      </c>
      <c r="W8" s="20">
        <f t="shared" si="17"/>
        <v>0</v>
      </c>
      <c r="X8" s="20">
        <f t="shared" si="18"/>
        <v>0</v>
      </c>
      <c r="Y8" s="20">
        <f t="shared" si="19"/>
        <v>0</v>
      </c>
      <c r="Z8" s="20">
        <f t="shared" si="20"/>
        <v>0</v>
      </c>
      <c r="AA8" s="20">
        <f t="shared" si="21"/>
        <v>0</v>
      </c>
      <c r="AB8" s="20">
        <f t="shared" si="22"/>
        <v>0</v>
      </c>
    </row>
    <row r="9" ht="15">
      <c r="A9" s="20">
        <f>Input!A9</f>
        <v>5</v>
      </c>
      <c r="B9" s="20">
        <f>IF(Input!B9="","",IF(B$3&gt;Input!$H$4,"",IFERROR(MATCH(Input!B9,Input!$H$10:$H$29,0),"ERR")))</f>
        <v>3</v>
      </c>
      <c r="C9" s="20">
        <f>IF(Input!C9="","",IF(C$3&gt;Input!$H$4,"",IFERROR(MATCH(Input!C9,Input!$H$10:$H$29,0),"ERR")))</f>
        <v>4</v>
      </c>
      <c r="D9" s="20" t="str">
        <f>IF(Input!D9="","",IF(D$3&gt;Input!$H$4,"",IFERROR(MATCH(Input!D9,Input!$H$10:$H$29,0),"ERR")))</f>
        <v/>
      </c>
      <c r="E9" s="20" t="str">
        <f>IF(Input!E9="","",IF(E$3&gt;Input!$H$4,"",IFERROR(MATCH(Input!E9,Input!$H$10:$H$29,0),"ERR")))</f>
        <v/>
      </c>
      <c r="F9" s="20">
        <f t="shared" si="0"/>
        <v>2</v>
      </c>
      <c r="G9" s="20">
        <f t="shared" si="1"/>
        <v>0</v>
      </c>
      <c r="H9" s="21">
        <f t="shared" si="2"/>
        <v>1</v>
      </c>
      <c r="I9" s="20">
        <f t="shared" si="3"/>
        <v>0</v>
      </c>
      <c r="J9" s="20">
        <f t="shared" si="4"/>
        <v>0</v>
      </c>
      <c r="K9" s="20">
        <f t="shared" si="5"/>
        <v>1</v>
      </c>
      <c r="L9" s="20">
        <f t="shared" si="6"/>
        <v>1</v>
      </c>
      <c r="M9" s="20">
        <f t="shared" si="7"/>
        <v>0</v>
      </c>
      <c r="N9" s="20">
        <f t="shared" si="8"/>
        <v>0</v>
      </c>
      <c r="O9" s="20">
        <f t="shared" si="9"/>
        <v>0</v>
      </c>
      <c r="P9" s="20">
        <f t="shared" si="10"/>
        <v>0</v>
      </c>
      <c r="Q9" s="20">
        <f t="shared" si="11"/>
        <v>0</v>
      </c>
      <c r="R9" s="20">
        <f t="shared" si="12"/>
        <v>0</v>
      </c>
      <c r="S9" s="20">
        <f t="shared" si="13"/>
        <v>0</v>
      </c>
      <c r="T9" s="20">
        <f t="shared" si="14"/>
        <v>0</v>
      </c>
      <c r="U9" s="20">
        <f t="shared" si="15"/>
        <v>0</v>
      </c>
      <c r="V9" s="20">
        <f t="shared" si="16"/>
        <v>0</v>
      </c>
      <c r="W9" s="20">
        <f t="shared" si="17"/>
        <v>0</v>
      </c>
      <c r="X9" s="20">
        <f t="shared" si="18"/>
        <v>0</v>
      </c>
      <c r="Y9" s="20">
        <f t="shared" si="19"/>
        <v>0</v>
      </c>
      <c r="Z9" s="20">
        <f t="shared" si="20"/>
        <v>0</v>
      </c>
      <c r="AA9" s="20">
        <f t="shared" si="21"/>
        <v>0</v>
      </c>
      <c r="AB9" s="20">
        <f t="shared" si="22"/>
        <v>0</v>
      </c>
    </row>
    <row r="10" ht="15">
      <c r="A10" s="20">
        <f>Input!A10</f>
        <v>6</v>
      </c>
      <c r="B10" s="20">
        <f>IF(Input!B10="","",IF(B$3&gt;Input!$H$4,"",IFERROR(MATCH(Input!B10,Input!$H$10:$H$29,0),"ERR")))</f>
        <v>5</v>
      </c>
      <c r="C10" s="20">
        <f>IF(Input!C10="","",IF(C$3&gt;Input!$H$4,"",IFERROR(MATCH(Input!C10,Input!$H$10:$H$29,0),"ERR")))</f>
        <v>4</v>
      </c>
      <c r="D10" s="20" t="str">
        <f>IF(Input!D10="","",IF(D$3&gt;Input!$H$4,"",IFERROR(MATCH(Input!D10,Input!$H$10:$H$29,0),"ERR")))</f>
        <v/>
      </c>
      <c r="E10" s="20" t="str">
        <f>IF(Input!E10="","",IF(E$3&gt;Input!$H$4,"",IFERROR(MATCH(Input!E10,Input!$H$10:$H$29,0),"ERR")))</f>
        <v/>
      </c>
      <c r="F10" s="20">
        <f t="shared" ref="F10:F73" si="23">COUNT(B10:E10)</f>
        <v>2</v>
      </c>
      <c r="G10" s="20">
        <f t="shared" ref="G10:G73" si="24">COUNTIF(B10:E10,"ERR")</f>
        <v>0</v>
      </c>
      <c r="H10" s="21">
        <f t="shared" ref="H10:H73" si="25">IF(F10&gt;=2,1/(F10-1),0)</f>
        <v>1</v>
      </c>
      <c r="I10" s="20">
        <f t="shared" ref="I10:I73" si="26">COUNTIF($B10:$E10,I$3)</f>
        <v>0</v>
      </c>
      <c r="J10" s="20">
        <f t="shared" ref="J10:J73" si="27">COUNTIF($B10:$E10,J$3)</f>
        <v>0</v>
      </c>
      <c r="K10" s="20">
        <f t="shared" ref="K10:K73" si="28">COUNTIF($B10:$E10,K$3)</f>
        <v>0</v>
      </c>
      <c r="L10" s="20">
        <f t="shared" ref="L10:L73" si="29">COUNTIF($B10:$E10,L$3)</f>
        <v>1</v>
      </c>
      <c r="M10" s="20">
        <f t="shared" ref="M10:M73" si="30">COUNTIF($B10:$E10,M$3)</f>
        <v>1</v>
      </c>
      <c r="N10" s="20">
        <f t="shared" ref="N10:N73" si="31">COUNTIF($B10:$E10,N$3)</f>
        <v>0</v>
      </c>
      <c r="O10" s="20">
        <f t="shared" ref="O10:O73" si="32">COUNTIF($B10:$E10,O$3)</f>
        <v>0</v>
      </c>
      <c r="P10" s="20">
        <f t="shared" ref="P10:P73" si="33">COUNTIF($B10:$E10,P$3)</f>
        <v>0</v>
      </c>
      <c r="Q10" s="20">
        <f t="shared" ref="Q10:Q73" si="34">COUNTIF($B10:$E10,Q$3)</f>
        <v>0</v>
      </c>
      <c r="R10" s="20">
        <f t="shared" ref="R10:R73" si="35">COUNTIF($B10:$E10,R$3)</f>
        <v>0</v>
      </c>
      <c r="S10" s="20">
        <f t="shared" ref="S10:S73" si="36">COUNTIF($B10:$E10,S$3)</f>
        <v>0</v>
      </c>
      <c r="T10" s="20">
        <f t="shared" ref="T10:T73" si="37">COUNTIF($B10:$E10,T$3)</f>
        <v>0</v>
      </c>
      <c r="U10" s="20">
        <f t="shared" ref="U10:U73" si="38">COUNTIF($B10:$E10,U$3)</f>
        <v>0</v>
      </c>
      <c r="V10" s="20">
        <f t="shared" ref="V10:V73" si="39">COUNTIF($B10:$E10,V$3)</f>
        <v>0</v>
      </c>
      <c r="W10" s="20">
        <f t="shared" ref="W10:W73" si="40">COUNTIF($B10:$E10,W$3)</f>
        <v>0</v>
      </c>
      <c r="X10" s="20">
        <f t="shared" ref="X10:X73" si="41">COUNTIF($B10:$E10,X$3)</f>
        <v>0</v>
      </c>
      <c r="Y10" s="20">
        <f t="shared" ref="Y10:Y73" si="42">COUNTIF($B10:$E10,Y$3)</f>
        <v>0</v>
      </c>
      <c r="Z10" s="20">
        <f t="shared" ref="Z10:Z73" si="43">COUNTIF($B10:$E10,Z$3)</f>
        <v>0</v>
      </c>
      <c r="AA10" s="20">
        <f t="shared" ref="AA10:AA73" si="44">COUNTIF($B10:$E10,AA$3)</f>
        <v>0</v>
      </c>
      <c r="AB10" s="20">
        <f t="shared" ref="AB10:AB73" si="45">COUNTIF($B10:$E10,AB$3)</f>
        <v>0</v>
      </c>
    </row>
    <row r="11" ht="15">
      <c r="A11" s="20">
        <f>Input!A11</f>
        <v>7</v>
      </c>
      <c r="B11" s="20">
        <f>IF(Input!B11="","",IF(B$3&gt;Input!$H$4,"",IFERROR(MATCH(Input!B11,Input!$H$10:$H$29,0),"ERR")))</f>
        <v>2</v>
      </c>
      <c r="C11" s="20">
        <f>IF(Input!C11="","",IF(C$3&gt;Input!$H$4,"",IFERROR(MATCH(Input!C11,Input!$H$10:$H$29,0),"ERR")))</f>
        <v>4</v>
      </c>
      <c r="D11" s="20" t="str">
        <f>IF(Input!D11="","",IF(D$3&gt;Input!$H$4,"",IFERROR(MATCH(Input!D11,Input!$H$10:$H$29,0),"ERR")))</f>
        <v/>
      </c>
      <c r="E11" s="20" t="str">
        <f>IF(Input!E11="","",IF(E$3&gt;Input!$H$4,"",IFERROR(MATCH(Input!E11,Input!$H$10:$H$29,0),"ERR")))</f>
        <v/>
      </c>
      <c r="F11" s="20">
        <f t="shared" si="23"/>
        <v>2</v>
      </c>
      <c r="G11" s="20">
        <f t="shared" si="24"/>
        <v>0</v>
      </c>
      <c r="H11" s="21">
        <f t="shared" si="25"/>
        <v>1</v>
      </c>
      <c r="I11" s="20">
        <f t="shared" si="26"/>
        <v>0</v>
      </c>
      <c r="J11" s="20">
        <f t="shared" si="27"/>
        <v>1</v>
      </c>
      <c r="K11" s="20">
        <f t="shared" si="28"/>
        <v>0</v>
      </c>
      <c r="L11" s="20">
        <f t="shared" si="29"/>
        <v>1</v>
      </c>
      <c r="M11" s="20">
        <f t="shared" si="30"/>
        <v>0</v>
      </c>
      <c r="N11" s="20">
        <f t="shared" si="31"/>
        <v>0</v>
      </c>
      <c r="O11" s="20">
        <f t="shared" si="32"/>
        <v>0</v>
      </c>
      <c r="P11" s="20">
        <f t="shared" si="33"/>
        <v>0</v>
      </c>
      <c r="Q11" s="20">
        <f t="shared" si="34"/>
        <v>0</v>
      </c>
      <c r="R11" s="20">
        <f t="shared" si="35"/>
        <v>0</v>
      </c>
      <c r="S11" s="20">
        <f t="shared" si="36"/>
        <v>0</v>
      </c>
      <c r="T11" s="20">
        <f t="shared" si="37"/>
        <v>0</v>
      </c>
      <c r="U11" s="20">
        <f t="shared" si="38"/>
        <v>0</v>
      </c>
      <c r="V11" s="20">
        <f t="shared" si="39"/>
        <v>0</v>
      </c>
      <c r="W11" s="20">
        <f t="shared" si="40"/>
        <v>0</v>
      </c>
      <c r="X11" s="20">
        <f t="shared" si="41"/>
        <v>0</v>
      </c>
      <c r="Y11" s="20">
        <f t="shared" si="42"/>
        <v>0</v>
      </c>
      <c r="Z11" s="20">
        <f t="shared" si="43"/>
        <v>0</v>
      </c>
      <c r="AA11" s="20">
        <f t="shared" si="44"/>
        <v>0</v>
      </c>
      <c r="AB11" s="20">
        <f t="shared" si="45"/>
        <v>0</v>
      </c>
    </row>
    <row r="12" ht="15">
      <c r="A12" s="20">
        <f>Input!A12</f>
        <v>8</v>
      </c>
      <c r="B12" s="20">
        <f>IF(Input!B12="","",IF(B$3&gt;Input!$H$4,"",IFERROR(MATCH(Input!B12,Input!$H$10:$H$29,0),"ERR")))</f>
        <v>2</v>
      </c>
      <c r="C12" s="20">
        <f>IF(Input!C12="","",IF(C$3&gt;Input!$H$4,"",IFERROR(MATCH(Input!C12,Input!$H$10:$H$29,0),"ERR")))</f>
        <v>4</v>
      </c>
      <c r="D12" s="20" t="str">
        <f>IF(Input!D12="","",IF(D$3&gt;Input!$H$4,"",IFERROR(MATCH(Input!D12,Input!$H$10:$H$29,0),"ERR")))</f>
        <v/>
      </c>
      <c r="E12" s="20" t="str">
        <f>IF(Input!E12="","",IF(E$3&gt;Input!$H$4,"",IFERROR(MATCH(Input!E12,Input!$H$10:$H$29,0),"ERR")))</f>
        <v/>
      </c>
      <c r="F12" s="20">
        <f t="shared" si="23"/>
        <v>2</v>
      </c>
      <c r="G12" s="20">
        <f t="shared" si="24"/>
        <v>0</v>
      </c>
      <c r="H12" s="21">
        <f t="shared" si="25"/>
        <v>1</v>
      </c>
      <c r="I12" s="20">
        <f t="shared" si="26"/>
        <v>0</v>
      </c>
      <c r="J12" s="20">
        <f t="shared" si="27"/>
        <v>1</v>
      </c>
      <c r="K12" s="20">
        <f t="shared" si="28"/>
        <v>0</v>
      </c>
      <c r="L12" s="20">
        <f t="shared" si="29"/>
        <v>1</v>
      </c>
      <c r="M12" s="20">
        <f t="shared" si="30"/>
        <v>0</v>
      </c>
      <c r="N12" s="20">
        <f t="shared" si="31"/>
        <v>0</v>
      </c>
      <c r="O12" s="20">
        <f t="shared" si="32"/>
        <v>0</v>
      </c>
      <c r="P12" s="20">
        <f t="shared" si="33"/>
        <v>0</v>
      </c>
      <c r="Q12" s="20">
        <f t="shared" si="34"/>
        <v>0</v>
      </c>
      <c r="R12" s="20">
        <f t="shared" si="35"/>
        <v>0</v>
      </c>
      <c r="S12" s="20">
        <f t="shared" si="36"/>
        <v>0</v>
      </c>
      <c r="T12" s="20">
        <f t="shared" si="37"/>
        <v>0</v>
      </c>
      <c r="U12" s="20">
        <f t="shared" si="38"/>
        <v>0</v>
      </c>
      <c r="V12" s="20">
        <f t="shared" si="39"/>
        <v>0</v>
      </c>
      <c r="W12" s="20">
        <f t="shared" si="40"/>
        <v>0</v>
      </c>
      <c r="X12" s="20">
        <f t="shared" si="41"/>
        <v>0</v>
      </c>
      <c r="Y12" s="20">
        <f t="shared" si="42"/>
        <v>0</v>
      </c>
      <c r="Z12" s="20">
        <f t="shared" si="43"/>
        <v>0</v>
      </c>
      <c r="AA12" s="20">
        <f t="shared" si="44"/>
        <v>0</v>
      </c>
      <c r="AB12" s="20">
        <f t="shared" si="45"/>
        <v>0</v>
      </c>
    </row>
    <row r="13" ht="15">
      <c r="A13" s="20">
        <f>Input!A13</f>
        <v>9</v>
      </c>
      <c r="B13" s="20">
        <f>IF(Input!B13="","",IF(B$3&gt;Input!$H$4,"",IFERROR(MATCH(Input!B13,Input!$H$10:$H$29,0),"ERR")))</f>
        <v>4</v>
      </c>
      <c r="C13" s="20">
        <f>IF(Input!C13="","",IF(C$3&gt;Input!$H$4,"",IFERROR(MATCH(Input!C13,Input!$H$10:$H$29,0),"ERR")))</f>
        <v>3</v>
      </c>
      <c r="D13" s="20" t="str">
        <f>IF(Input!D13="","",IF(D$3&gt;Input!$H$4,"",IFERROR(MATCH(Input!D13,Input!$H$10:$H$29,0),"ERR")))</f>
        <v/>
      </c>
      <c r="E13" s="20" t="str">
        <f>IF(Input!E13="","",IF(E$3&gt;Input!$H$4,"",IFERROR(MATCH(Input!E13,Input!$H$10:$H$29,0),"ERR")))</f>
        <v/>
      </c>
      <c r="F13" s="20">
        <f t="shared" si="23"/>
        <v>2</v>
      </c>
      <c r="G13" s="20">
        <f t="shared" si="24"/>
        <v>0</v>
      </c>
      <c r="H13" s="21">
        <f t="shared" si="25"/>
        <v>1</v>
      </c>
      <c r="I13" s="20">
        <f t="shared" si="26"/>
        <v>0</v>
      </c>
      <c r="J13" s="20">
        <f t="shared" si="27"/>
        <v>0</v>
      </c>
      <c r="K13" s="20">
        <f t="shared" si="28"/>
        <v>1</v>
      </c>
      <c r="L13" s="20">
        <f t="shared" si="29"/>
        <v>1</v>
      </c>
      <c r="M13" s="20">
        <f t="shared" si="30"/>
        <v>0</v>
      </c>
      <c r="N13" s="20">
        <f t="shared" si="31"/>
        <v>0</v>
      </c>
      <c r="O13" s="20">
        <f t="shared" si="32"/>
        <v>0</v>
      </c>
      <c r="P13" s="20">
        <f t="shared" si="33"/>
        <v>0</v>
      </c>
      <c r="Q13" s="20">
        <f t="shared" si="34"/>
        <v>0</v>
      </c>
      <c r="R13" s="20">
        <f t="shared" si="35"/>
        <v>0</v>
      </c>
      <c r="S13" s="20">
        <f t="shared" si="36"/>
        <v>0</v>
      </c>
      <c r="T13" s="20">
        <f t="shared" si="37"/>
        <v>0</v>
      </c>
      <c r="U13" s="20">
        <f t="shared" si="38"/>
        <v>0</v>
      </c>
      <c r="V13" s="20">
        <f t="shared" si="39"/>
        <v>0</v>
      </c>
      <c r="W13" s="20">
        <f t="shared" si="40"/>
        <v>0</v>
      </c>
      <c r="X13" s="20">
        <f t="shared" si="41"/>
        <v>0</v>
      </c>
      <c r="Y13" s="20">
        <f t="shared" si="42"/>
        <v>0</v>
      </c>
      <c r="Z13" s="20">
        <f t="shared" si="43"/>
        <v>0</v>
      </c>
      <c r="AA13" s="20">
        <f t="shared" si="44"/>
        <v>0</v>
      </c>
      <c r="AB13" s="20">
        <f t="shared" si="45"/>
        <v>0</v>
      </c>
    </row>
    <row r="14" ht="15">
      <c r="A14" s="20">
        <f>Input!A14</f>
        <v>10</v>
      </c>
      <c r="B14" s="20">
        <f>IF(Input!B14="","",IF(B$3&gt;Input!$H$4,"",IFERROR(MATCH(Input!B14,Input!$H$10:$H$29,0),"ERR")))</f>
        <v>4</v>
      </c>
      <c r="C14" s="20">
        <f>IF(Input!C14="","",IF(C$3&gt;Input!$H$4,"",IFERROR(MATCH(Input!C14,Input!$H$10:$H$29,0),"ERR")))</f>
        <v>3</v>
      </c>
      <c r="D14" s="20" t="str">
        <f>IF(Input!D14="","",IF(D$3&gt;Input!$H$4,"",IFERROR(MATCH(Input!D14,Input!$H$10:$H$29,0),"ERR")))</f>
        <v/>
      </c>
      <c r="E14" s="20" t="str">
        <f>IF(Input!E14="","",IF(E$3&gt;Input!$H$4,"",IFERROR(MATCH(Input!E14,Input!$H$10:$H$29,0),"ERR")))</f>
        <v/>
      </c>
      <c r="F14" s="20">
        <f t="shared" si="23"/>
        <v>2</v>
      </c>
      <c r="G14" s="20">
        <f t="shared" si="24"/>
        <v>0</v>
      </c>
      <c r="H14" s="21">
        <f t="shared" si="25"/>
        <v>1</v>
      </c>
      <c r="I14" s="20">
        <f t="shared" si="26"/>
        <v>0</v>
      </c>
      <c r="J14" s="20">
        <f t="shared" si="27"/>
        <v>0</v>
      </c>
      <c r="K14" s="20">
        <f t="shared" si="28"/>
        <v>1</v>
      </c>
      <c r="L14" s="20">
        <f t="shared" si="29"/>
        <v>1</v>
      </c>
      <c r="M14" s="20">
        <f t="shared" si="30"/>
        <v>0</v>
      </c>
      <c r="N14" s="20">
        <f t="shared" si="31"/>
        <v>0</v>
      </c>
      <c r="O14" s="20">
        <f t="shared" si="32"/>
        <v>0</v>
      </c>
      <c r="P14" s="20">
        <f t="shared" si="33"/>
        <v>0</v>
      </c>
      <c r="Q14" s="20">
        <f t="shared" si="34"/>
        <v>0</v>
      </c>
      <c r="R14" s="20">
        <f t="shared" si="35"/>
        <v>0</v>
      </c>
      <c r="S14" s="20">
        <f t="shared" si="36"/>
        <v>0</v>
      </c>
      <c r="T14" s="20">
        <f t="shared" si="37"/>
        <v>0</v>
      </c>
      <c r="U14" s="20">
        <f t="shared" si="38"/>
        <v>0</v>
      </c>
      <c r="V14" s="20">
        <f t="shared" si="39"/>
        <v>0</v>
      </c>
      <c r="W14" s="20">
        <f t="shared" si="40"/>
        <v>0</v>
      </c>
      <c r="X14" s="20">
        <f t="shared" si="41"/>
        <v>0</v>
      </c>
      <c r="Y14" s="20">
        <f t="shared" si="42"/>
        <v>0</v>
      </c>
      <c r="Z14" s="20">
        <f t="shared" si="43"/>
        <v>0</v>
      </c>
      <c r="AA14" s="20">
        <f t="shared" si="44"/>
        <v>0</v>
      </c>
      <c r="AB14" s="20">
        <f t="shared" si="45"/>
        <v>0</v>
      </c>
    </row>
    <row r="15" ht="15">
      <c r="A15" s="20">
        <f>Input!A15</f>
        <v>11</v>
      </c>
      <c r="B15" s="20">
        <f>IF(Input!B15="","",IF(B$3&gt;Input!$H$4,"",IFERROR(MATCH(Input!B15,Input!$H$10:$H$29,0),"ERR")))</f>
        <v>5</v>
      </c>
      <c r="C15" s="20">
        <f>IF(Input!C15="","",IF(C$3&gt;Input!$H$4,"",IFERROR(MATCH(Input!C15,Input!$H$10:$H$29,0),"ERR")))</f>
        <v>4</v>
      </c>
      <c r="D15" s="20" t="str">
        <f>IF(Input!D15="","",IF(D$3&gt;Input!$H$4,"",IFERROR(MATCH(Input!D15,Input!$H$10:$H$29,0),"ERR")))</f>
        <v/>
      </c>
      <c r="E15" s="20" t="str">
        <f>IF(Input!E15="","",IF(E$3&gt;Input!$H$4,"",IFERROR(MATCH(Input!E15,Input!$H$10:$H$29,0),"ERR")))</f>
        <v/>
      </c>
      <c r="F15" s="20">
        <f t="shared" si="23"/>
        <v>2</v>
      </c>
      <c r="G15" s="20">
        <f t="shared" si="24"/>
        <v>0</v>
      </c>
      <c r="H15" s="21">
        <f t="shared" si="25"/>
        <v>1</v>
      </c>
      <c r="I15" s="20">
        <f t="shared" si="26"/>
        <v>0</v>
      </c>
      <c r="J15" s="20">
        <f t="shared" si="27"/>
        <v>0</v>
      </c>
      <c r="K15" s="20">
        <f t="shared" si="28"/>
        <v>0</v>
      </c>
      <c r="L15" s="20">
        <f t="shared" si="29"/>
        <v>1</v>
      </c>
      <c r="M15" s="20">
        <f t="shared" si="30"/>
        <v>1</v>
      </c>
      <c r="N15" s="20">
        <f t="shared" si="31"/>
        <v>0</v>
      </c>
      <c r="O15" s="20">
        <f t="shared" si="32"/>
        <v>0</v>
      </c>
      <c r="P15" s="20">
        <f t="shared" si="33"/>
        <v>0</v>
      </c>
      <c r="Q15" s="20">
        <f t="shared" si="34"/>
        <v>0</v>
      </c>
      <c r="R15" s="20">
        <f t="shared" si="35"/>
        <v>0</v>
      </c>
      <c r="S15" s="20">
        <f t="shared" si="36"/>
        <v>0</v>
      </c>
      <c r="T15" s="20">
        <f t="shared" si="37"/>
        <v>0</v>
      </c>
      <c r="U15" s="20">
        <f t="shared" si="38"/>
        <v>0</v>
      </c>
      <c r="V15" s="20">
        <f t="shared" si="39"/>
        <v>0</v>
      </c>
      <c r="W15" s="20">
        <f t="shared" si="40"/>
        <v>0</v>
      </c>
      <c r="X15" s="20">
        <f t="shared" si="41"/>
        <v>0</v>
      </c>
      <c r="Y15" s="20">
        <f t="shared" si="42"/>
        <v>0</v>
      </c>
      <c r="Z15" s="20">
        <f t="shared" si="43"/>
        <v>0</v>
      </c>
      <c r="AA15" s="20">
        <f t="shared" si="44"/>
        <v>0</v>
      </c>
      <c r="AB15" s="20">
        <f t="shared" si="45"/>
        <v>0</v>
      </c>
    </row>
    <row r="16" ht="15">
      <c r="A16" s="20">
        <f>Input!A16</f>
        <v>12</v>
      </c>
      <c r="B16" s="20">
        <f>IF(Input!B16="","",IF(B$3&gt;Input!$H$4,"",IFERROR(MATCH(Input!B16,Input!$H$10:$H$29,0),"ERR")))</f>
        <v>2</v>
      </c>
      <c r="C16" s="20">
        <f>IF(Input!C16="","",IF(C$3&gt;Input!$H$4,"",IFERROR(MATCH(Input!C16,Input!$H$10:$H$29,0),"ERR")))</f>
        <v>4</v>
      </c>
      <c r="D16" s="20" t="str">
        <f>IF(Input!D16="","",IF(D$3&gt;Input!$H$4,"",IFERROR(MATCH(Input!D16,Input!$H$10:$H$29,0),"ERR")))</f>
        <v/>
      </c>
      <c r="E16" s="20" t="str">
        <f>IF(Input!E16="","",IF(E$3&gt;Input!$H$4,"",IFERROR(MATCH(Input!E16,Input!$H$10:$H$29,0),"ERR")))</f>
        <v/>
      </c>
      <c r="F16" s="20">
        <f t="shared" si="23"/>
        <v>2</v>
      </c>
      <c r="G16" s="20">
        <f t="shared" si="24"/>
        <v>0</v>
      </c>
      <c r="H16" s="21">
        <f t="shared" si="25"/>
        <v>1</v>
      </c>
      <c r="I16" s="20">
        <f t="shared" si="26"/>
        <v>0</v>
      </c>
      <c r="J16" s="20">
        <f t="shared" si="27"/>
        <v>1</v>
      </c>
      <c r="K16" s="20">
        <f t="shared" si="28"/>
        <v>0</v>
      </c>
      <c r="L16" s="20">
        <f t="shared" si="29"/>
        <v>1</v>
      </c>
      <c r="M16" s="20">
        <f t="shared" si="30"/>
        <v>0</v>
      </c>
      <c r="N16" s="20">
        <f t="shared" si="31"/>
        <v>0</v>
      </c>
      <c r="O16" s="20">
        <f t="shared" si="32"/>
        <v>0</v>
      </c>
      <c r="P16" s="20">
        <f t="shared" si="33"/>
        <v>0</v>
      </c>
      <c r="Q16" s="20">
        <f t="shared" si="34"/>
        <v>0</v>
      </c>
      <c r="R16" s="20">
        <f t="shared" si="35"/>
        <v>0</v>
      </c>
      <c r="S16" s="20">
        <f t="shared" si="36"/>
        <v>0</v>
      </c>
      <c r="T16" s="20">
        <f t="shared" si="37"/>
        <v>0</v>
      </c>
      <c r="U16" s="20">
        <f t="shared" si="38"/>
        <v>0</v>
      </c>
      <c r="V16" s="20">
        <f t="shared" si="39"/>
        <v>0</v>
      </c>
      <c r="W16" s="20">
        <f t="shared" si="40"/>
        <v>0</v>
      </c>
      <c r="X16" s="20">
        <f t="shared" si="41"/>
        <v>0</v>
      </c>
      <c r="Y16" s="20">
        <f t="shared" si="42"/>
        <v>0</v>
      </c>
      <c r="Z16" s="20">
        <f t="shared" si="43"/>
        <v>0</v>
      </c>
      <c r="AA16" s="20">
        <f t="shared" si="44"/>
        <v>0</v>
      </c>
      <c r="AB16" s="20">
        <f t="shared" si="45"/>
        <v>0</v>
      </c>
    </row>
    <row r="17" ht="15">
      <c r="A17" s="20">
        <f>Input!A17</f>
        <v>13</v>
      </c>
      <c r="B17" s="20" t="str">
        <f>IF(Input!B17="","",IF(B$3&gt;Input!$H$4,"",IFERROR(MATCH(Input!B17,Input!$H$10:$H$29,0),"ERR")))</f>
        <v/>
      </c>
      <c r="C17" s="20" t="str">
        <f>IF(Input!C17="","",IF(C$3&gt;Input!$H$4,"",IFERROR(MATCH(Input!C17,Input!$H$10:$H$29,0),"ERR")))</f>
        <v/>
      </c>
      <c r="D17" s="20" t="str">
        <f>IF(Input!D17="","",IF(D$3&gt;Input!$H$4,"",IFERROR(MATCH(Input!D17,Input!$H$10:$H$29,0),"ERR")))</f>
        <v/>
      </c>
      <c r="E17" s="20" t="str">
        <f>IF(Input!E17="","",IF(E$3&gt;Input!$H$4,"",IFERROR(MATCH(Input!E17,Input!$H$10:$H$29,0),"ERR")))</f>
        <v/>
      </c>
      <c r="F17" s="20">
        <f t="shared" si="23"/>
        <v>0</v>
      </c>
      <c r="G17" s="20">
        <f t="shared" si="24"/>
        <v>0</v>
      </c>
      <c r="H17" s="21">
        <f t="shared" si="25"/>
        <v>0</v>
      </c>
      <c r="I17" s="20">
        <f t="shared" si="26"/>
        <v>0</v>
      </c>
      <c r="J17" s="20">
        <f t="shared" si="27"/>
        <v>0</v>
      </c>
      <c r="K17" s="20">
        <f t="shared" si="28"/>
        <v>0</v>
      </c>
      <c r="L17" s="20">
        <f t="shared" si="29"/>
        <v>0</v>
      </c>
      <c r="M17" s="20">
        <f t="shared" si="30"/>
        <v>0</v>
      </c>
      <c r="N17" s="20">
        <f t="shared" si="31"/>
        <v>0</v>
      </c>
      <c r="O17" s="20">
        <f t="shared" si="32"/>
        <v>0</v>
      </c>
      <c r="P17" s="20">
        <f t="shared" si="33"/>
        <v>0</v>
      </c>
      <c r="Q17" s="20">
        <f t="shared" si="34"/>
        <v>0</v>
      </c>
      <c r="R17" s="20">
        <f t="shared" si="35"/>
        <v>0</v>
      </c>
      <c r="S17" s="20">
        <f t="shared" si="36"/>
        <v>0</v>
      </c>
      <c r="T17" s="20">
        <f t="shared" si="37"/>
        <v>0</v>
      </c>
      <c r="U17" s="20">
        <f t="shared" si="38"/>
        <v>0</v>
      </c>
      <c r="V17" s="20">
        <f t="shared" si="39"/>
        <v>0</v>
      </c>
      <c r="W17" s="20">
        <f t="shared" si="40"/>
        <v>0</v>
      </c>
      <c r="X17" s="20">
        <f t="shared" si="41"/>
        <v>0</v>
      </c>
      <c r="Y17" s="20">
        <f t="shared" si="42"/>
        <v>0</v>
      </c>
      <c r="Z17" s="20">
        <f t="shared" si="43"/>
        <v>0</v>
      </c>
      <c r="AA17" s="20">
        <f t="shared" si="44"/>
        <v>0</v>
      </c>
      <c r="AB17" s="20">
        <f t="shared" si="45"/>
        <v>0</v>
      </c>
    </row>
    <row r="18" ht="15">
      <c r="A18" s="20">
        <f>Input!A18</f>
        <v>14</v>
      </c>
      <c r="B18" s="20" t="str">
        <f>IF(Input!B18="","",IF(B$3&gt;Input!$H$4,"",IFERROR(MATCH(Input!B18,Input!$H$10:$H$29,0),"ERR")))</f>
        <v/>
      </c>
      <c r="C18" s="20" t="str">
        <f>IF(Input!C18="","",IF(C$3&gt;Input!$H$4,"",IFERROR(MATCH(Input!C18,Input!$H$10:$H$29,0),"ERR")))</f>
        <v/>
      </c>
      <c r="D18" s="20" t="str">
        <f>IF(Input!D18="","",IF(D$3&gt;Input!$H$4,"",IFERROR(MATCH(Input!D18,Input!$H$10:$H$29,0),"ERR")))</f>
        <v/>
      </c>
      <c r="E18" s="20" t="str">
        <f>IF(Input!E18="","",IF(E$3&gt;Input!$H$4,"",IFERROR(MATCH(Input!E18,Input!$H$10:$H$29,0),"ERR")))</f>
        <v/>
      </c>
      <c r="F18" s="20">
        <f t="shared" si="23"/>
        <v>0</v>
      </c>
      <c r="G18" s="20">
        <f t="shared" si="24"/>
        <v>0</v>
      </c>
      <c r="H18" s="21">
        <f t="shared" si="25"/>
        <v>0</v>
      </c>
      <c r="I18" s="20">
        <f t="shared" si="26"/>
        <v>0</v>
      </c>
      <c r="J18" s="20">
        <f t="shared" si="27"/>
        <v>0</v>
      </c>
      <c r="K18" s="20">
        <f t="shared" si="28"/>
        <v>0</v>
      </c>
      <c r="L18" s="20">
        <f t="shared" si="29"/>
        <v>0</v>
      </c>
      <c r="M18" s="20">
        <f t="shared" si="30"/>
        <v>0</v>
      </c>
      <c r="N18" s="20">
        <f t="shared" si="31"/>
        <v>0</v>
      </c>
      <c r="O18" s="20">
        <f t="shared" si="32"/>
        <v>0</v>
      </c>
      <c r="P18" s="20">
        <f t="shared" si="33"/>
        <v>0</v>
      </c>
      <c r="Q18" s="20">
        <f t="shared" si="34"/>
        <v>0</v>
      </c>
      <c r="R18" s="20">
        <f t="shared" si="35"/>
        <v>0</v>
      </c>
      <c r="S18" s="20">
        <f t="shared" si="36"/>
        <v>0</v>
      </c>
      <c r="T18" s="20">
        <f t="shared" si="37"/>
        <v>0</v>
      </c>
      <c r="U18" s="20">
        <f t="shared" si="38"/>
        <v>0</v>
      </c>
      <c r="V18" s="20">
        <f t="shared" si="39"/>
        <v>0</v>
      </c>
      <c r="W18" s="20">
        <f t="shared" si="40"/>
        <v>0</v>
      </c>
      <c r="X18" s="20">
        <f t="shared" si="41"/>
        <v>0</v>
      </c>
      <c r="Y18" s="20">
        <f t="shared" si="42"/>
        <v>0</v>
      </c>
      <c r="Z18" s="20">
        <f t="shared" si="43"/>
        <v>0</v>
      </c>
      <c r="AA18" s="20">
        <f t="shared" si="44"/>
        <v>0</v>
      </c>
      <c r="AB18" s="20">
        <f t="shared" si="45"/>
        <v>0</v>
      </c>
    </row>
    <row r="19" ht="15">
      <c r="A19" s="20">
        <f>Input!A19</f>
        <v>15</v>
      </c>
      <c r="B19" s="20" t="str">
        <f>IF(Input!B19="","",IF(B$3&gt;Input!$H$4,"",IFERROR(MATCH(Input!B19,Input!$H$10:$H$29,0),"ERR")))</f>
        <v/>
      </c>
      <c r="C19" s="20" t="str">
        <f>IF(Input!C19="","",IF(C$3&gt;Input!$H$4,"",IFERROR(MATCH(Input!C19,Input!$H$10:$H$29,0),"ERR")))</f>
        <v/>
      </c>
      <c r="D19" s="20" t="str">
        <f>IF(Input!D19="","",IF(D$3&gt;Input!$H$4,"",IFERROR(MATCH(Input!D19,Input!$H$10:$H$29,0),"ERR")))</f>
        <v/>
      </c>
      <c r="E19" s="20" t="str">
        <f>IF(Input!E19="","",IF(E$3&gt;Input!$H$4,"",IFERROR(MATCH(Input!E19,Input!$H$10:$H$29,0),"ERR")))</f>
        <v/>
      </c>
      <c r="F19" s="20">
        <f t="shared" si="23"/>
        <v>0</v>
      </c>
      <c r="G19" s="20">
        <f t="shared" si="24"/>
        <v>0</v>
      </c>
      <c r="H19" s="21">
        <f t="shared" si="25"/>
        <v>0</v>
      </c>
      <c r="I19" s="20">
        <f t="shared" si="26"/>
        <v>0</v>
      </c>
      <c r="J19" s="20">
        <f t="shared" si="27"/>
        <v>0</v>
      </c>
      <c r="K19" s="20">
        <f t="shared" si="28"/>
        <v>0</v>
      </c>
      <c r="L19" s="20">
        <f t="shared" si="29"/>
        <v>0</v>
      </c>
      <c r="M19" s="20">
        <f t="shared" si="30"/>
        <v>0</v>
      </c>
      <c r="N19" s="20">
        <f t="shared" si="31"/>
        <v>0</v>
      </c>
      <c r="O19" s="20">
        <f t="shared" si="32"/>
        <v>0</v>
      </c>
      <c r="P19" s="20">
        <f t="shared" si="33"/>
        <v>0</v>
      </c>
      <c r="Q19" s="20">
        <f t="shared" si="34"/>
        <v>0</v>
      </c>
      <c r="R19" s="20">
        <f t="shared" si="35"/>
        <v>0</v>
      </c>
      <c r="S19" s="20">
        <f t="shared" si="36"/>
        <v>0</v>
      </c>
      <c r="T19" s="20">
        <f t="shared" si="37"/>
        <v>0</v>
      </c>
      <c r="U19" s="20">
        <f t="shared" si="38"/>
        <v>0</v>
      </c>
      <c r="V19" s="20">
        <f t="shared" si="39"/>
        <v>0</v>
      </c>
      <c r="W19" s="20">
        <f t="shared" si="40"/>
        <v>0</v>
      </c>
      <c r="X19" s="20">
        <f t="shared" si="41"/>
        <v>0</v>
      </c>
      <c r="Y19" s="20">
        <f t="shared" si="42"/>
        <v>0</v>
      </c>
      <c r="Z19" s="20">
        <f t="shared" si="43"/>
        <v>0</v>
      </c>
      <c r="AA19" s="20">
        <f t="shared" si="44"/>
        <v>0</v>
      </c>
      <c r="AB19" s="20">
        <f t="shared" si="45"/>
        <v>0</v>
      </c>
    </row>
    <row r="20" ht="15">
      <c r="A20" s="20">
        <f>Input!A20</f>
        <v>16</v>
      </c>
      <c r="B20" s="20" t="str">
        <f>IF(Input!B20="","",IF(B$3&gt;Input!$H$4,"",IFERROR(MATCH(Input!B20,Input!$H$10:$H$29,0),"ERR")))</f>
        <v/>
      </c>
      <c r="C20" s="20" t="str">
        <f>IF(Input!C20="","",IF(C$3&gt;Input!$H$4,"",IFERROR(MATCH(Input!C20,Input!$H$10:$H$29,0),"ERR")))</f>
        <v/>
      </c>
      <c r="D20" s="20" t="str">
        <f>IF(Input!D20="","",IF(D$3&gt;Input!$H$4,"",IFERROR(MATCH(Input!D20,Input!$H$10:$H$29,0),"ERR")))</f>
        <v/>
      </c>
      <c r="E20" s="20" t="str">
        <f>IF(Input!E20="","",IF(E$3&gt;Input!$H$4,"",IFERROR(MATCH(Input!E20,Input!$H$10:$H$29,0),"ERR")))</f>
        <v/>
      </c>
      <c r="F20" s="20">
        <f t="shared" si="23"/>
        <v>0</v>
      </c>
      <c r="G20" s="20">
        <f t="shared" si="24"/>
        <v>0</v>
      </c>
      <c r="H20" s="21">
        <f t="shared" si="25"/>
        <v>0</v>
      </c>
      <c r="I20" s="20">
        <f t="shared" si="26"/>
        <v>0</v>
      </c>
      <c r="J20" s="20">
        <f t="shared" si="27"/>
        <v>0</v>
      </c>
      <c r="K20" s="20">
        <f t="shared" si="28"/>
        <v>0</v>
      </c>
      <c r="L20" s="20">
        <f t="shared" si="29"/>
        <v>0</v>
      </c>
      <c r="M20" s="20">
        <f t="shared" si="30"/>
        <v>0</v>
      </c>
      <c r="N20" s="20">
        <f t="shared" si="31"/>
        <v>0</v>
      </c>
      <c r="O20" s="20">
        <f t="shared" si="32"/>
        <v>0</v>
      </c>
      <c r="P20" s="20">
        <f t="shared" si="33"/>
        <v>0</v>
      </c>
      <c r="Q20" s="20">
        <f t="shared" si="34"/>
        <v>0</v>
      </c>
      <c r="R20" s="20">
        <f t="shared" si="35"/>
        <v>0</v>
      </c>
      <c r="S20" s="20">
        <f t="shared" si="36"/>
        <v>0</v>
      </c>
      <c r="T20" s="20">
        <f t="shared" si="37"/>
        <v>0</v>
      </c>
      <c r="U20" s="20">
        <f t="shared" si="38"/>
        <v>0</v>
      </c>
      <c r="V20" s="20">
        <f t="shared" si="39"/>
        <v>0</v>
      </c>
      <c r="W20" s="20">
        <f t="shared" si="40"/>
        <v>0</v>
      </c>
      <c r="X20" s="20">
        <f t="shared" si="41"/>
        <v>0</v>
      </c>
      <c r="Y20" s="20">
        <f t="shared" si="42"/>
        <v>0</v>
      </c>
      <c r="Z20" s="20">
        <f t="shared" si="43"/>
        <v>0</v>
      </c>
      <c r="AA20" s="20">
        <f t="shared" si="44"/>
        <v>0</v>
      </c>
      <c r="AB20" s="20">
        <f t="shared" si="45"/>
        <v>0</v>
      </c>
    </row>
    <row r="21" ht="15">
      <c r="A21" s="20">
        <f>Input!A21</f>
        <v>17</v>
      </c>
      <c r="B21" s="20" t="str">
        <f>IF(Input!B21="","",IF(B$3&gt;Input!$H$4,"",IFERROR(MATCH(Input!B21,Input!$H$10:$H$29,0),"ERR")))</f>
        <v/>
      </c>
      <c r="C21" s="20" t="str">
        <f>IF(Input!C21="","",IF(C$3&gt;Input!$H$4,"",IFERROR(MATCH(Input!C21,Input!$H$10:$H$29,0),"ERR")))</f>
        <v/>
      </c>
      <c r="D21" s="20" t="str">
        <f>IF(Input!D21="","",IF(D$3&gt;Input!$H$4,"",IFERROR(MATCH(Input!D21,Input!$H$10:$H$29,0),"ERR")))</f>
        <v/>
      </c>
      <c r="E21" s="20" t="str">
        <f>IF(Input!E21="","",IF(E$3&gt;Input!$H$4,"",IFERROR(MATCH(Input!E21,Input!$H$10:$H$29,0),"ERR")))</f>
        <v/>
      </c>
      <c r="F21" s="20">
        <f t="shared" si="23"/>
        <v>0</v>
      </c>
      <c r="G21" s="20">
        <f t="shared" si="24"/>
        <v>0</v>
      </c>
      <c r="H21" s="21">
        <f t="shared" si="25"/>
        <v>0</v>
      </c>
      <c r="I21" s="20">
        <f t="shared" si="26"/>
        <v>0</v>
      </c>
      <c r="J21" s="20">
        <f t="shared" si="27"/>
        <v>0</v>
      </c>
      <c r="K21" s="20">
        <f t="shared" si="28"/>
        <v>0</v>
      </c>
      <c r="L21" s="20">
        <f t="shared" si="29"/>
        <v>0</v>
      </c>
      <c r="M21" s="20">
        <f t="shared" si="30"/>
        <v>0</v>
      </c>
      <c r="N21" s="20">
        <f t="shared" si="31"/>
        <v>0</v>
      </c>
      <c r="O21" s="20">
        <f t="shared" si="32"/>
        <v>0</v>
      </c>
      <c r="P21" s="20">
        <f t="shared" si="33"/>
        <v>0</v>
      </c>
      <c r="Q21" s="20">
        <f t="shared" si="34"/>
        <v>0</v>
      </c>
      <c r="R21" s="20">
        <f t="shared" si="35"/>
        <v>0</v>
      </c>
      <c r="S21" s="20">
        <f t="shared" si="36"/>
        <v>0</v>
      </c>
      <c r="T21" s="20">
        <f t="shared" si="37"/>
        <v>0</v>
      </c>
      <c r="U21" s="20">
        <f t="shared" si="38"/>
        <v>0</v>
      </c>
      <c r="V21" s="20">
        <f t="shared" si="39"/>
        <v>0</v>
      </c>
      <c r="W21" s="20">
        <f t="shared" si="40"/>
        <v>0</v>
      </c>
      <c r="X21" s="20">
        <f t="shared" si="41"/>
        <v>0</v>
      </c>
      <c r="Y21" s="20">
        <f t="shared" si="42"/>
        <v>0</v>
      </c>
      <c r="Z21" s="20">
        <f t="shared" si="43"/>
        <v>0</v>
      </c>
      <c r="AA21" s="20">
        <f t="shared" si="44"/>
        <v>0</v>
      </c>
      <c r="AB21" s="20">
        <f t="shared" si="45"/>
        <v>0</v>
      </c>
    </row>
    <row r="22" ht="15">
      <c r="A22" s="20">
        <f>Input!A22</f>
        <v>18</v>
      </c>
      <c r="B22" s="20" t="str">
        <f>IF(Input!B22="","",IF(B$3&gt;Input!$H$4,"",IFERROR(MATCH(Input!B22,Input!$H$10:$H$29,0),"ERR")))</f>
        <v/>
      </c>
      <c r="C22" s="20" t="str">
        <f>IF(Input!C22="","",IF(C$3&gt;Input!$H$4,"",IFERROR(MATCH(Input!C22,Input!$H$10:$H$29,0),"ERR")))</f>
        <v/>
      </c>
      <c r="D22" s="20" t="str">
        <f>IF(Input!D22="","",IF(D$3&gt;Input!$H$4,"",IFERROR(MATCH(Input!D22,Input!$H$10:$H$29,0),"ERR")))</f>
        <v/>
      </c>
      <c r="E22" s="20" t="str">
        <f>IF(Input!E22="","",IF(E$3&gt;Input!$H$4,"",IFERROR(MATCH(Input!E22,Input!$H$10:$H$29,0),"ERR")))</f>
        <v/>
      </c>
      <c r="F22" s="20">
        <f t="shared" si="23"/>
        <v>0</v>
      </c>
      <c r="G22" s="20">
        <f t="shared" si="24"/>
        <v>0</v>
      </c>
      <c r="H22" s="21">
        <f t="shared" si="25"/>
        <v>0</v>
      </c>
      <c r="I22" s="20">
        <f t="shared" si="26"/>
        <v>0</v>
      </c>
      <c r="J22" s="20">
        <f t="shared" si="27"/>
        <v>0</v>
      </c>
      <c r="K22" s="20">
        <f t="shared" si="28"/>
        <v>0</v>
      </c>
      <c r="L22" s="20">
        <f t="shared" si="29"/>
        <v>0</v>
      </c>
      <c r="M22" s="20">
        <f t="shared" si="30"/>
        <v>0</v>
      </c>
      <c r="N22" s="20">
        <f t="shared" si="31"/>
        <v>0</v>
      </c>
      <c r="O22" s="20">
        <f t="shared" si="32"/>
        <v>0</v>
      </c>
      <c r="P22" s="20">
        <f t="shared" si="33"/>
        <v>0</v>
      </c>
      <c r="Q22" s="20">
        <f t="shared" si="34"/>
        <v>0</v>
      </c>
      <c r="R22" s="20">
        <f t="shared" si="35"/>
        <v>0</v>
      </c>
      <c r="S22" s="20">
        <f t="shared" si="36"/>
        <v>0</v>
      </c>
      <c r="T22" s="20">
        <f t="shared" si="37"/>
        <v>0</v>
      </c>
      <c r="U22" s="20">
        <f t="shared" si="38"/>
        <v>0</v>
      </c>
      <c r="V22" s="20">
        <f t="shared" si="39"/>
        <v>0</v>
      </c>
      <c r="W22" s="20">
        <f t="shared" si="40"/>
        <v>0</v>
      </c>
      <c r="X22" s="20">
        <f t="shared" si="41"/>
        <v>0</v>
      </c>
      <c r="Y22" s="20">
        <f t="shared" si="42"/>
        <v>0</v>
      </c>
      <c r="Z22" s="20">
        <f t="shared" si="43"/>
        <v>0</v>
      </c>
      <c r="AA22" s="20">
        <f t="shared" si="44"/>
        <v>0</v>
      </c>
      <c r="AB22" s="20">
        <f t="shared" si="45"/>
        <v>0</v>
      </c>
    </row>
    <row r="23" ht="15">
      <c r="A23" s="20">
        <f>Input!A23</f>
        <v>19</v>
      </c>
      <c r="B23" s="20" t="str">
        <f>IF(Input!B23="","",IF(B$3&gt;Input!$H$4,"",IFERROR(MATCH(Input!B23,Input!$H$10:$H$29,0),"ERR")))</f>
        <v/>
      </c>
      <c r="C23" s="20" t="str">
        <f>IF(Input!C23="","",IF(C$3&gt;Input!$H$4,"",IFERROR(MATCH(Input!C23,Input!$H$10:$H$29,0),"ERR")))</f>
        <v/>
      </c>
      <c r="D23" s="20" t="str">
        <f>IF(Input!D23="","",IF(D$3&gt;Input!$H$4,"",IFERROR(MATCH(Input!D23,Input!$H$10:$H$29,0),"ERR")))</f>
        <v/>
      </c>
      <c r="E23" s="20" t="str">
        <f>IF(Input!E23="","",IF(E$3&gt;Input!$H$4,"",IFERROR(MATCH(Input!E23,Input!$H$10:$H$29,0),"ERR")))</f>
        <v/>
      </c>
      <c r="F23" s="20">
        <f t="shared" si="23"/>
        <v>0</v>
      </c>
      <c r="G23" s="20">
        <f t="shared" si="24"/>
        <v>0</v>
      </c>
      <c r="H23" s="21">
        <f t="shared" si="25"/>
        <v>0</v>
      </c>
      <c r="I23" s="20">
        <f t="shared" si="26"/>
        <v>0</v>
      </c>
      <c r="J23" s="20">
        <f t="shared" si="27"/>
        <v>0</v>
      </c>
      <c r="K23" s="20">
        <f t="shared" si="28"/>
        <v>0</v>
      </c>
      <c r="L23" s="20">
        <f t="shared" si="29"/>
        <v>0</v>
      </c>
      <c r="M23" s="20">
        <f t="shared" si="30"/>
        <v>0</v>
      </c>
      <c r="N23" s="20">
        <f t="shared" si="31"/>
        <v>0</v>
      </c>
      <c r="O23" s="20">
        <f t="shared" si="32"/>
        <v>0</v>
      </c>
      <c r="P23" s="20">
        <f t="shared" si="33"/>
        <v>0</v>
      </c>
      <c r="Q23" s="20">
        <f t="shared" si="34"/>
        <v>0</v>
      </c>
      <c r="R23" s="20">
        <f t="shared" si="35"/>
        <v>0</v>
      </c>
      <c r="S23" s="20">
        <f t="shared" si="36"/>
        <v>0</v>
      </c>
      <c r="T23" s="20">
        <f t="shared" si="37"/>
        <v>0</v>
      </c>
      <c r="U23" s="20">
        <f t="shared" si="38"/>
        <v>0</v>
      </c>
      <c r="V23" s="20">
        <f t="shared" si="39"/>
        <v>0</v>
      </c>
      <c r="W23" s="20">
        <f t="shared" si="40"/>
        <v>0</v>
      </c>
      <c r="X23" s="20">
        <f t="shared" si="41"/>
        <v>0</v>
      </c>
      <c r="Y23" s="20">
        <f t="shared" si="42"/>
        <v>0</v>
      </c>
      <c r="Z23" s="20">
        <f t="shared" si="43"/>
        <v>0</v>
      </c>
      <c r="AA23" s="20">
        <f t="shared" si="44"/>
        <v>0</v>
      </c>
      <c r="AB23" s="20">
        <f t="shared" si="45"/>
        <v>0</v>
      </c>
    </row>
    <row r="24" ht="15">
      <c r="A24" s="20">
        <f>Input!A24</f>
        <v>20</v>
      </c>
      <c r="B24" s="20" t="str">
        <f>IF(Input!B24="","",IF(B$3&gt;Input!$H$4,"",IFERROR(MATCH(Input!B24,Input!$H$10:$H$29,0),"ERR")))</f>
        <v/>
      </c>
      <c r="C24" s="20" t="str">
        <f>IF(Input!C24="","",IF(C$3&gt;Input!$H$4,"",IFERROR(MATCH(Input!C24,Input!$H$10:$H$29,0),"ERR")))</f>
        <v/>
      </c>
      <c r="D24" s="20" t="str">
        <f>IF(Input!D24="","",IF(D$3&gt;Input!$H$4,"",IFERROR(MATCH(Input!D24,Input!$H$10:$H$29,0),"ERR")))</f>
        <v/>
      </c>
      <c r="E24" s="20" t="str">
        <f>IF(Input!E24="","",IF(E$3&gt;Input!$H$4,"",IFERROR(MATCH(Input!E24,Input!$H$10:$H$29,0),"ERR")))</f>
        <v/>
      </c>
      <c r="F24" s="20">
        <f t="shared" si="23"/>
        <v>0</v>
      </c>
      <c r="G24" s="20">
        <f t="shared" si="24"/>
        <v>0</v>
      </c>
      <c r="H24" s="21">
        <f t="shared" si="25"/>
        <v>0</v>
      </c>
      <c r="I24" s="20">
        <f t="shared" si="26"/>
        <v>0</v>
      </c>
      <c r="J24" s="20">
        <f t="shared" si="27"/>
        <v>0</v>
      </c>
      <c r="K24" s="20">
        <f t="shared" si="28"/>
        <v>0</v>
      </c>
      <c r="L24" s="20">
        <f t="shared" si="29"/>
        <v>0</v>
      </c>
      <c r="M24" s="20">
        <f t="shared" si="30"/>
        <v>0</v>
      </c>
      <c r="N24" s="20">
        <f t="shared" si="31"/>
        <v>0</v>
      </c>
      <c r="O24" s="20">
        <f t="shared" si="32"/>
        <v>0</v>
      </c>
      <c r="P24" s="20">
        <f t="shared" si="33"/>
        <v>0</v>
      </c>
      <c r="Q24" s="20">
        <f t="shared" si="34"/>
        <v>0</v>
      </c>
      <c r="R24" s="20">
        <f t="shared" si="35"/>
        <v>0</v>
      </c>
      <c r="S24" s="20">
        <f t="shared" si="36"/>
        <v>0</v>
      </c>
      <c r="T24" s="20">
        <f t="shared" si="37"/>
        <v>0</v>
      </c>
      <c r="U24" s="20">
        <f t="shared" si="38"/>
        <v>0</v>
      </c>
      <c r="V24" s="20">
        <f t="shared" si="39"/>
        <v>0</v>
      </c>
      <c r="W24" s="20">
        <f t="shared" si="40"/>
        <v>0</v>
      </c>
      <c r="X24" s="20">
        <f t="shared" si="41"/>
        <v>0</v>
      </c>
      <c r="Y24" s="20">
        <f t="shared" si="42"/>
        <v>0</v>
      </c>
      <c r="Z24" s="20">
        <f t="shared" si="43"/>
        <v>0</v>
      </c>
      <c r="AA24" s="20">
        <f t="shared" si="44"/>
        <v>0</v>
      </c>
      <c r="AB24" s="20">
        <f t="shared" si="45"/>
        <v>0</v>
      </c>
    </row>
    <row r="25" ht="15">
      <c r="A25" s="20">
        <f>Input!A25</f>
        <v>21</v>
      </c>
      <c r="B25" s="20" t="str">
        <f>IF(Input!B25="","",IF(B$3&gt;Input!$H$4,"",IFERROR(MATCH(Input!B25,Input!$H$10:$H$29,0),"ERR")))</f>
        <v/>
      </c>
      <c r="C25" s="20" t="str">
        <f>IF(Input!C25="","",IF(C$3&gt;Input!$H$4,"",IFERROR(MATCH(Input!C25,Input!$H$10:$H$29,0),"ERR")))</f>
        <v/>
      </c>
      <c r="D25" s="20" t="str">
        <f>IF(Input!D25="","",IF(D$3&gt;Input!$H$4,"",IFERROR(MATCH(Input!D25,Input!$H$10:$H$29,0),"ERR")))</f>
        <v/>
      </c>
      <c r="E25" s="20" t="str">
        <f>IF(Input!E25="","",IF(E$3&gt;Input!$H$4,"",IFERROR(MATCH(Input!E25,Input!$H$10:$H$29,0),"ERR")))</f>
        <v/>
      </c>
      <c r="F25" s="20">
        <f t="shared" si="23"/>
        <v>0</v>
      </c>
      <c r="G25" s="20">
        <f t="shared" si="24"/>
        <v>0</v>
      </c>
      <c r="H25" s="21">
        <f t="shared" si="25"/>
        <v>0</v>
      </c>
      <c r="I25" s="20">
        <f t="shared" si="26"/>
        <v>0</v>
      </c>
      <c r="J25" s="20">
        <f t="shared" si="27"/>
        <v>0</v>
      </c>
      <c r="K25" s="20">
        <f t="shared" si="28"/>
        <v>0</v>
      </c>
      <c r="L25" s="20">
        <f t="shared" si="29"/>
        <v>0</v>
      </c>
      <c r="M25" s="20">
        <f t="shared" si="30"/>
        <v>0</v>
      </c>
      <c r="N25" s="20">
        <f t="shared" si="31"/>
        <v>0</v>
      </c>
      <c r="O25" s="20">
        <f t="shared" si="32"/>
        <v>0</v>
      </c>
      <c r="P25" s="20">
        <f t="shared" si="33"/>
        <v>0</v>
      </c>
      <c r="Q25" s="20">
        <f t="shared" si="34"/>
        <v>0</v>
      </c>
      <c r="R25" s="20">
        <f t="shared" si="35"/>
        <v>0</v>
      </c>
      <c r="S25" s="20">
        <f t="shared" si="36"/>
        <v>0</v>
      </c>
      <c r="T25" s="20">
        <f t="shared" si="37"/>
        <v>0</v>
      </c>
      <c r="U25" s="20">
        <f t="shared" si="38"/>
        <v>0</v>
      </c>
      <c r="V25" s="20">
        <f t="shared" si="39"/>
        <v>0</v>
      </c>
      <c r="W25" s="20">
        <f t="shared" si="40"/>
        <v>0</v>
      </c>
      <c r="X25" s="20">
        <f t="shared" si="41"/>
        <v>0</v>
      </c>
      <c r="Y25" s="20">
        <f t="shared" si="42"/>
        <v>0</v>
      </c>
      <c r="Z25" s="20">
        <f t="shared" si="43"/>
        <v>0</v>
      </c>
      <c r="AA25" s="20">
        <f t="shared" si="44"/>
        <v>0</v>
      </c>
      <c r="AB25" s="20">
        <f t="shared" si="45"/>
        <v>0</v>
      </c>
    </row>
    <row r="26" ht="15">
      <c r="A26" s="20">
        <f>Input!A26</f>
        <v>22</v>
      </c>
      <c r="B26" s="20" t="str">
        <f>IF(Input!B26="","",IF(B$3&gt;Input!$H$4,"",IFERROR(MATCH(Input!B26,Input!$H$10:$H$29,0),"ERR")))</f>
        <v/>
      </c>
      <c r="C26" s="20" t="str">
        <f>IF(Input!C26="","",IF(C$3&gt;Input!$H$4,"",IFERROR(MATCH(Input!C26,Input!$H$10:$H$29,0),"ERR")))</f>
        <v/>
      </c>
      <c r="D26" s="20" t="str">
        <f>IF(Input!D26="","",IF(D$3&gt;Input!$H$4,"",IFERROR(MATCH(Input!D26,Input!$H$10:$H$29,0),"ERR")))</f>
        <v/>
      </c>
      <c r="E26" s="20" t="str">
        <f>IF(Input!E26="","",IF(E$3&gt;Input!$H$4,"",IFERROR(MATCH(Input!E26,Input!$H$10:$H$29,0),"ERR")))</f>
        <v/>
      </c>
      <c r="F26" s="20">
        <f t="shared" si="23"/>
        <v>0</v>
      </c>
      <c r="G26" s="20">
        <f t="shared" si="24"/>
        <v>0</v>
      </c>
      <c r="H26" s="21">
        <f t="shared" si="25"/>
        <v>0</v>
      </c>
      <c r="I26" s="20">
        <f t="shared" si="26"/>
        <v>0</v>
      </c>
      <c r="J26" s="20">
        <f t="shared" si="27"/>
        <v>0</v>
      </c>
      <c r="K26" s="20">
        <f t="shared" si="28"/>
        <v>0</v>
      </c>
      <c r="L26" s="20">
        <f t="shared" si="29"/>
        <v>0</v>
      </c>
      <c r="M26" s="20">
        <f t="shared" si="30"/>
        <v>0</v>
      </c>
      <c r="N26" s="20">
        <f t="shared" si="31"/>
        <v>0</v>
      </c>
      <c r="O26" s="20">
        <f t="shared" si="32"/>
        <v>0</v>
      </c>
      <c r="P26" s="20">
        <f t="shared" si="33"/>
        <v>0</v>
      </c>
      <c r="Q26" s="20">
        <f t="shared" si="34"/>
        <v>0</v>
      </c>
      <c r="R26" s="20">
        <f t="shared" si="35"/>
        <v>0</v>
      </c>
      <c r="S26" s="20">
        <f t="shared" si="36"/>
        <v>0</v>
      </c>
      <c r="T26" s="20">
        <f t="shared" si="37"/>
        <v>0</v>
      </c>
      <c r="U26" s="20">
        <f t="shared" si="38"/>
        <v>0</v>
      </c>
      <c r="V26" s="20">
        <f t="shared" si="39"/>
        <v>0</v>
      </c>
      <c r="W26" s="20">
        <f t="shared" si="40"/>
        <v>0</v>
      </c>
      <c r="X26" s="20">
        <f t="shared" si="41"/>
        <v>0</v>
      </c>
      <c r="Y26" s="20">
        <f t="shared" si="42"/>
        <v>0</v>
      </c>
      <c r="Z26" s="20">
        <f t="shared" si="43"/>
        <v>0</v>
      </c>
      <c r="AA26" s="20">
        <f t="shared" si="44"/>
        <v>0</v>
      </c>
      <c r="AB26" s="20">
        <f t="shared" si="45"/>
        <v>0</v>
      </c>
    </row>
    <row r="27" ht="15">
      <c r="A27" s="20">
        <f>Input!A27</f>
        <v>23</v>
      </c>
      <c r="B27" s="20" t="str">
        <f>IF(Input!B27="","",IF(B$3&gt;Input!$H$4,"",IFERROR(MATCH(Input!B27,Input!$H$10:$H$29,0),"ERR")))</f>
        <v/>
      </c>
      <c r="C27" s="20" t="str">
        <f>IF(Input!C27="","",IF(C$3&gt;Input!$H$4,"",IFERROR(MATCH(Input!C27,Input!$H$10:$H$29,0),"ERR")))</f>
        <v/>
      </c>
      <c r="D27" s="20" t="str">
        <f>IF(Input!D27="","",IF(D$3&gt;Input!$H$4,"",IFERROR(MATCH(Input!D27,Input!$H$10:$H$29,0),"ERR")))</f>
        <v/>
      </c>
      <c r="E27" s="20" t="str">
        <f>IF(Input!E27="","",IF(E$3&gt;Input!$H$4,"",IFERROR(MATCH(Input!E27,Input!$H$10:$H$29,0),"ERR")))</f>
        <v/>
      </c>
      <c r="F27" s="20">
        <f t="shared" si="23"/>
        <v>0</v>
      </c>
      <c r="G27" s="20">
        <f t="shared" si="24"/>
        <v>0</v>
      </c>
      <c r="H27" s="21">
        <f t="shared" si="25"/>
        <v>0</v>
      </c>
      <c r="I27" s="20">
        <f t="shared" si="26"/>
        <v>0</v>
      </c>
      <c r="J27" s="20">
        <f t="shared" si="27"/>
        <v>0</v>
      </c>
      <c r="K27" s="20">
        <f t="shared" si="28"/>
        <v>0</v>
      </c>
      <c r="L27" s="20">
        <f t="shared" si="29"/>
        <v>0</v>
      </c>
      <c r="M27" s="20">
        <f t="shared" si="30"/>
        <v>0</v>
      </c>
      <c r="N27" s="20">
        <f t="shared" si="31"/>
        <v>0</v>
      </c>
      <c r="O27" s="20">
        <f t="shared" si="32"/>
        <v>0</v>
      </c>
      <c r="P27" s="20">
        <f t="shared" si="33"/>
        <v>0</v>
      </c>
      <c r="Q27" s="20">
        <f t="shared" si="34"/>
        <v>0</v>
      </c>
      <c r="R27" s="20">
        <f t="shared" si="35"/>
        <v>0</v>
      </c>
      <c r="S27" s="20">
        <f t="shared" si="36"/>
        <v>0</v>
      </c>
      <c r="T27" s="20">
        <f t="shared" si="37"/>
        <v>0</v>
      </c>
      <c r="U27" s="20">
        <f t="shared" si="38"/>
        <v>0</v>
      </c>
      <c r="V27" s="20">
        <f t="shared" si="39"/>
        <v>0</v>
      </c>
      <c r="W27" s="20">
        <f t="shared" si="40"/>
        <v>0</v>
      </c>
      <c r="X27" s="20">
        <f t="shared" si="41"/>
        <v>0</v>
      </c>
      <c r="Y27" s="20">
        <f t="shared" si="42"/>
        <v>0</v>
      </c>
      <c r="Z27" s="20">
        <f t="shared" si="43"/>
        <v>0</v>
      </c>
      <c r="AA27" s="20">
        <f t="shared" si="44"/>
        <v>0</v>
      </c>
      <c r="AB27" s="20">
        <f t="shared" si="45"/>
        <v>0</v>
      </c>
    </row>
    <row r="28" ht="15">
      <c r="A28" s="20">
        <f>Input!A28</f>
        <v>24</v>
      </c>
      <c r="B28" s="20" t="str">
        <f>IF(Input!B28="","",IF(B$3&gt;Input!$H$4,"",IFERROR(MATCH(Input!B28,Input!$H$10:$H$29,0),"ERR")))</f>
        <v/>
      </c>
      <c r="C28" s="20" t="str">
        <f>IF(Input!C28="","",IF(C$3&gt;Input!$H$4,"",IFERROR(MATCH(Input!C28,Input!$H$10:$H$29,0),"ERR")))</f>
        <v/>
      </c>
      <c r="D28" s="20" t="str">
        <f>IF(Input!D28="","",IF(D$3&gt;Input!$H$4,"",IFERROR(MATCH(Input!D28,Input!$H$10:$H$29,0),"ERR")))</f>
        <v/>
      </c>
      <c r="E28" s="20" t="str">
        <f>IF(Input!E28="","",IF(E$3&gt;Input!$H$4,"",IFERROR(MATCH(Input!E28,Input!$H$10:$H$29,0),"ERR")))</f>
        <v/>
      </c>
      <c r="F28" s="20">
        <f t="shared" si="23"/>
        <v>0</v>
      </c>
      <c r="G28" s="20">
        <f t="shared" si="24"/>
        <v>0</v>
      </c>
      <c r="H28" s="21">
        <f t="shared" si="25"/>
        <v>0</v>
      </c>
      <c r="I28" s="20">
        <f t="shared" si="26"/>
        <v>0</v>
      </c>
      <c r="J28" s="20">
        <f t="shared" si="27"/>
        <v>0</v>
      </c>
      <c r="K28" s="20">
        <f t="shared" si="28"/>
        <v>0</v>
      </c>
      <c r="L28" s="20">
        <f t="shared" si="29"/>
        <v>0</v>
      </c>
      <c r="M28" s="20">
        <f t="shared" si="30"/>
        <v>0</v>
      </c>
      <c r="N28" s="20">
        <f t="shared" si="31"/>
        <v>0</v>
      </c>
      <c r="O28" s="20">
        <f t="shared" si="32"/>
        <v>0</v>
      </c>
      <c r="P28" s="20">
        <f t="shared" si="33"/>
        <v>0</v>
      </c>
      <c r="Q28" s="20">
        <f t="shared" si="34"/>
        <v>0</v>
      </c>
      <c r="R28" s="20">
        <f t="shared" si="35"/>
        <v>0</v>
      </c>
      <c r="S28" s="20">
        <f t="shared" si="36"/>
        <v>0</v>
      </c>
      <c r="T28" s="20">
        <f t="shared" si="37"/>
        <v>0</v>
      </c>
      <c r="U28" s="20">
        <f t="shared" si="38"/>
        <v>0</v>
      </c>
      <c r="V28" s="20">
        <f t="shared" si="39"/>
        <v>0</v>
      </c>
      <c r="W28" s="20">
        <f t="shared" si="40"/>
        <v>0</v>
      </c>
      <c r="X28" s="20">
        <f t="shared" si="41"/>
        <v>0</v>
      </c>
      <c r="Y28" s="20">
        <f t="shared" si="42"/>
        <v>0</v>
      </c>
      <c r="Z28" s="20">
        <f t="shared" si="43"/>
        <v>0</v>
      </c>
      <c r="AA28" s="20">
        <f t="shared" si="44"/>
        <v>0</v>
      </c>
      <c r="AB28" s="20">
        <f t="shared" si="45"/>
        <v>0</v>
      </c>
    </row>
    <row r="29" ht="15">
      <c r="A29" s="20">
        <f>Input!A29</f>
        <v>25</v>
      </c>
      <c r="B29" s="20" t="str">
        <f>IF(Input!B29="","",IF(B$3&gt;Input!$H$4,"",IFERROR(MATCH(Input!B29,Input!$H$10:$H$29,0),"ERR")))</f>
        <v/>
      </c>
      <c r="C29" s="20" t="str">
        <f>IF(Input!C29="","",IF(C$3&gt;Input!$H$4,"",IFERROR(MATCH(Input!C29,Input!$H$10:$H$29,0),"ERR")))</f>
        <v/>
      </c>
      <c r="D29" s="20" t="str">
        <f>IF(Input!D29="","",IF(D$3&gt;Input!$H$4,"",IFERROR(MATCH(Input!D29,Input!$H$10:$H$29,0),"ERR")))</f>
        <v/>
      </c>
      <c r="E29" s="20" t="str">
        <f>IF(Input!E29="","",IF(E$3&gt;Input!$H$4,"",IFERROR(MATCH(Input!E29,Input!$H$10:$H$29,0),"ERR")))</f>
        <v/>
      </c>
      <c r="F29" s="20">
        <f t="shared" si="23"/>
        <v>0</v>
      </c>
      <c r="G29" s="20">
        <f t="shared" si="24"/>
        <v>0</v>
      </c>
      <c r="H29" s="21">
        <f t="shared" si="25"/>
        <v>0</v>
      </c>
      <c r="I29" s="20">
        <f t="shared" si="26"/>
        <v>0</v>
      </c>
      <c r="J29" s="20">
        <f t="shared" si="27"/>
        <v>0</v>
      </c>
      <c r="K29" s="20">
        <f t="shared" si="28"/>
        <v>0</v>
      </c>
      <c r="L29" s="20">
        <f t="shared" si="29"/>
        <v>0</v>
      </c>
      <c r="M29" s="20">
        <f t="shared" si="30"/>
        <v>0</v>
      </c>
      <c r="N29" s="20">
        <f t="shared" si="31"/>
        <v>0</v>
      </c>
      <c r="O29" s="20">
        <f t="shared" si="32"/>
        <v>0</v>
      </c>
      <c r="P29" s="20">
        <f t="shared" si="33"/>
        <v>0</v>
      </c>
      <c r="Q29" s="20">
        <f t="shared" si="34"/>
        <v>0</v>
      </c>
      <c r="R29" s="20">
        <f t="shared" si="35"/>
        <v>0</v>
      </c>
      <c r="S29" s="20">
        <f t="shared" si="36"/>
        <v>0</v>
      </c>
      <c r="T29" s="20">
        <f t="shared" si="37"/>
        <v>0</v>
      </c>
      <c r="U29" s="20">
        <f t="shared" si="38"/>
        <v>0</v>
      </c>
      <c r="V29" s="20">
        <f t="shared" si="39"/>
        <v>0</v>
      </c>
      <c r="W29" s="20">
        <f t="shared" si="40"/>
        <v>0</v>
      </c>
      <c r="X29" s="20">
        <f t="shared" si="41"/>
        <v>0</v>
      </c>
      <c r="Y29" s="20">
        <f t="shared" si="42"/>
        <v>0</v>
      </c>
      <c r="Z29" s="20">
        <f t="shared" si="43"/>
        <v>0</v>
      </c>
      <c r="AA29" s="20">
        <f t="shared" si="44"/>
        <v>0</v>
      </c>
      <c r="AB29" s="20">
        <f t="shared" si="45"/>
        <v>0</v>
      </c>
    </row>
    <row r="30" ht="15">
      <c r="A30" s="20">
        <f>Input!A30</f>
        <v>26</v>
      </c>
      <c r="B30" s="20" t="str">
        <f>IF(Input!B30="","",IF(B$3&gt;Input!$H$4,"",IFERROR(MATCH(Input!B30,Input!$H$10:$H$29,0),"ERR")))</f>
        <v/>
      </c>
      <c r="C30" s="20" t="str">
        <f>IF(Input!C30="","",IF(C$3&gt;Input!$H$4,"",IFERROR(MATCH(Input!C30,Input!$H$10:$H$29,0),"ERR")))</f>
        <v/>
      </c>
      <c r="D30" s="20" t="str">
        <f>IF(Input!D30="","",IF(D$3&gt;Input!$H$4,"",IFERROR(MATCH(Input!D30,Input!$H$10:$H$29,0),"ERR")))</f>
        <v/>
      </c>
      <c r="E30" s="20" t="str">
        <f>IF(Input!E30="","",IF(E$3&gt;Input!$H$4,"",IFERROR(MATCH(Input!E30,Input!$H$10:$H$29,0),"ERR")))</f>
        <v/>
      </c>
      <c r="F30" s="20">
        <f t="shared" si="23"/>
        <v>0</v>
      </c>
      <c r="G30" s="20">
        <f t="shared" si="24"/>
        <v>0</v>
      </c>
      <c r="H30" s="21">
        <f t="shared" si="25"/>
        <v>0</v>
      </c>
      <c r="I30" s="20">
        <f t="shared" si="26"/>
        <v>0</v>
      </c>
      <c r="J30" s="20">
        <f t="shared" si="27"/>
        <v>0</v>
      </c>
      <c r="K30" s="20">
        <f t="shared" si="28"/>
        <v>0</v>
      </c>
      <c r="L30" s="20">
        <f t="shared" si="29"/>
        <v>0</v>
      </c>
      <c r="M30" s="20">
        <f t="shared" si="30"/>
        <v>0</v>
      </c>
      <c r="N30" s="20">
        <f t="shared" si="31"/>
        <v>0</v>
      </c>
      <c r="O30" s="20">
        <f t="shared" si="32"/>
        <v>0</v>
      </c>
      <c r="P30" s="20">
        <f t="shared" si="33"/>
        <v>0</v>
      </c>
      <c r="Q30" s="20">
        <f t="shared" si="34"/>
        <v>0</v>
      </c>
      <c r="R30" s="20">
        <f t="shared" si="35"/>
        <v>0</v>
      </c>
      <c r="S30" s="20">
        <f t="shared" si="36"/>
        <v>0</v>
      </c>
      <c r="T30" s="20">
        <f t="shared" si="37"/>
        <v>0</v>
      </c>
      <c r="U30" s="20">
        <f t="shared" si="38"/>
        <v>0</v>
      </c>
      <c r="V30" s="20">
        <f t="shared" si="39"/>
        <v>0</v>
      </c>
      <c r="W30" s="20">
        <f t="shared" si="40"/>
        <v>0</v>
      </c>
      <c r="X30" s="20">
        <f t="shared" si="41"/>
        <v>0</v>
      </c>
      <c r="Y30" s="20">
        <f t="shared" si="42"/>
        <v>0</v>
      </c>
      <c r="Z30" s="20">
        <f t="shared" si="43"/>
        <v>0</v>
      </c>
      <c r="AA30" s="20">
        <f t="shared" si="44"/>
        <v>0</v>
      </c>
      <c r="AB30" s="20">
        <f t="shared" si="45"/>
        <v>0</v>
      </c>
    </row>
    <row r="31" ht="15">
      <c r="A31" s="20">
        <f>Input!A31</f>
        <v>27</v>
      </c>
      <c r="B31" s="20" t="str">
        <f>IF(Input!B31="","",IF(B$3&gt;Input!$H$4,"",IFERROR(MATCH(Input!B31,Input!$H$10:$H$29,0),"ERR")))</f>
        <v/>
      </c>
      <c r="C31" s="20" t="str">
        <f>IF(Input!C31="","",IF(C$3&gt;Input!$H$4,"",IFERROR(MATCH(Input!C31,Input!$H$10:$H$29,0),"ERR")))</f>
        <v/>
      </c>
      <c r="D31" s="20" t="str">
        <f>IF(Input!D31="","",IF(D$3&gt;Input!$H$4,"",IFERROR(MATCH(Input!D31,Input!$H$10:$H$29,0),"ERR")))</f>
        <v/>
      </c>
      <c r="E31" s="20" t="str">
        <f>IF(Input!E31="","",IF(E$3&gt;Input!$H$4,"",IFERROR(MATCH(Input!E31,Input!$H$10:$H$29,0),"ERR")))</f>
        <v/>
      </c>
      <c r="F31" s="20">
        <f t="shared" si="23"/>
        <v>0</v>
      </c>
      <c r="G31" s="20">
        <f t="shared" si="24"/>
        <v>0</v>
      </c>
      <c r="H31" s="21">
        <f t="shared" si="25"/>
        <v>0</v>
      </c>
      <c r="I31" s="20">
        <f t="shared" si="26"/>
        <v>0</v>
      </c>
      <c r="J31" s="20">
        <f t="shared" si="27"/>
        <v>0</v>
      </c>
      <c r="K31" s="20">
        <f t="shared" si="28"/>
        <v>0</v>
      </c>
      <c r="L31" s="20">
        <f t="shared" si="29"/>
        <v>0</v>
      </c>
      <c r="M31" s="20">
        <f t="shared" si="30"/>
        <v>0</v>
      </c>
      <c r="N31" s="20">
        <f t="shared" si="31"/>
        <v>0</v>
      </c>
      <c r="O31" s="20">
        <f t="shared" si="32"/>
        <v>0</v>
      </c>
      <c r="P31" s="20">
        <f t="shared" si="33"/>
        <v>0</v>
      </c>
      <c r="Q31" s="20">
        <f t="shared" si="34"/>
        <v>0</v>
      </c>
      <c r="R31" s="20">
        <f t="shared" si="35"/>
        <v>0</v>
      </c>
      <c r="S31" s="20">
        <f t="shared" si="36"/>
        <v>0</v>
      </c>
      <c r="T31" s="20">
        <f t="shared" si="37"/>
        <v>0</v>
      </c>
      <c r="U31" s="20">
        <f t="shared" si="38"/>
        <v>0</v>
      </c>
      <c r="V31" s="20">
        <f t="shared" si="39"/>
        <v>0</v>
      </c>
      <c r="W31" s="20">
        <f t="shared" si="40"/>
        <v>0</v>
      </c>
      <c r="X31" s="20">
        <f t="shared" si="41"/>
        <v>0</v>
      </c>
      <c r="Y31" s="20">
        <f t="shared" si="42"/>
        <v>0</v>
      </c>
      <c r="Z31" s="20">
        <f t="shared" si="43"/>
        <v>0</v>
      </c>
      <c r="AA31" s="20">
        <f t="shared" si="44"/>
        <v>0</v>
      </c>
      <c r="AB31" s="20">
        <f t="shared" si="45"/>
        <v>0</v>
      </c>
    </row>
    <row r="32" ht="15">
      <c r="A32" s="20">
        <f>Input!A32</f>
        <v>28</v>
      </c>
      <c r="B32" s="20" t="str">
        <f>IF(Input!B32="","",IF(B$3&gt;Input!$H$4,"",IFERROR(MATCH(Input!B32,Input!$H$10:$H$29,0),"ERR")))</f>
        <v/>
      </c>
      <c r="C32" s="20" t="str">
        <f>IF(Input!C32="","",IF(C$3&gt;Input!$H$4,"",IFERROR(MATCH(Input!C32,Input!$H$10:$H$29,0),"ERR")))</f>
        <v/>
      </c>
      <c r="D32" s="20" t="str">
        <f>IF(Input!D32="","",IF(D$3&gt;Input!$H$4,"",IFERROR(MATCH(Input!D32,Input!$H$10:$H$29,0),"ERR")))</f>
        <v/>
      </c>
      <c r="E32" s="20" t="str">
        <f>IF(Input!E32="","",IF(E$3&gt;Input!$H$4,"",IFERROR(MATCH(Input!E32,Input!$H$10:$H$29,0),"ERR")))</f>
        <v/>
      </c>
      <c r="F32" s="20">
        <f t="shared" si="23"/>
        <v>0</v>
      </c>
      <c r="G32" s="20">
        <f t="shared" si="24"/>
        <v>0</v>
      </c>
      <c r="H32" s="21">
        <f t="shared" si="25"/>
        <v>0</v>
      </c>
      <c r="I32" s="20">
        <f t="shared" si="26"/>
        <v>0</v>
      </c>
      <c r="J32" s="20">
        <f t="shared" si="27"/>
        <v>0</v>
      </c>
      <c r="K32" s="20">
        <f t="shared" si="28"/>
        <v>0</v>
      </c>
      <c r="L32" s="20">
        <f t="shared" si="29"/>
        <v>0</v>
      </c>
      <c r="M32" s="20">
        <f t="shared" si="30"/>
        <v>0</v>
      </c>
      <c r="N32" s="20">
        <f t="shared" si="31"/>
        <v>0</v>
      </c>
      <c r="O32" s="20">
        <f t="shared" si="32"/>
        <v>0</v>
      </c>
      <c r="P32" s="20">
        <f t="shared" si="33"/>
        <v>0</v>
      </c>
      <c r="Q32" s="20">
        <f t="shared" si="34"/>
        <v>0</v>
      </c>
      <c r="R32" s="20">
        <f t="shared" si="35"/>
        <v>0</v>
      </c>
      <c r="S32" s="20">
        <f t="shared" si="36"/>
        <v>0</v>
      </c>
      <c r="T32" s="20">
        <f t="shared" si="37"/>
        <v>0</v>
      </c>
      <c r="U32" s="20">
        <f t="shared" si="38"/>
        <v>0</v>
      </c>
      <c r="V32" s="20">
        <f t="shared" si="39"/>
        <v>0</v>
      </c>
      <c r="W32" s="20">
        <f t="shared" si="40"/>
        <v>0</v>
      </c>
      <c r="X32" s="20">
        <f t="shared" si="41"/>
        <v>0</v>
      </c>
      <c r="Y32" s="20">
        <f t="shared" si="42"/>
        <v>0</v>
      </c>
      <c r="Z32" s="20">
        <f t="shared" si="43"/>
        <v>0</v>
      </c>
      <c r="AA32" s="20">
        <f t="shared" si="44"/>
        <v>0</v>
      </c>
      <c r="AB32" s="20">
        <f t="shared" si="45"/>
        <v>0</v>
      </c>
    </row>
    <row r="33" ht="15">
      <c r="A33" s="20">
        <f>Input!A33</f>
        <v>29</v>
      </c>
      <c r="B33" s="20" t="str">
        <f>IF(Input!B33="","",IF(B$3&gt;Input!$H$4,"",IFERROR(MATCH(Input!B33,Input!$H$10:$H$29,0),"ERR")))</f>
        <v/>
      </c>
      <c r="C33" s="20" t="str">
        <f>IF(Input!C33="","",IF(C$3&gt;Input!$H$4,"",IFERROR(MATCH(Input!C33,Input!$H$10:$H$29,0),"ERR")))</f>
        <v/>
      </c>
      <c r="D33" s="20" t="str">
        <f>IF(Input!D33="","",IF(D$3&gt;Input!$H$4,"",IFERROR(MATCH(Input!D33,Input!$H$10:$H$29,0),"ERR")))</f>
        <v/>
      </c>
      <c r="E33" s="20" t="str">
        <f>IF(Input!E33="","",IF(E$3&gt;Input!$H$4,"",IFERROR(MATCH(Input!E33,Input!$H$10:$H$29,0),"ERR")))</f>
        <v/>
      </c>
      <c r="F33" s="20">
        <f t="shared" si="23"/>
        <v>0</v>
      </c>
      <c r="G33" s="20">
        <f t="shared" si="24"/>
        <v>0</v>
      </c>
      <c r="H33" s="21">
        <f t="shared" si="25"/>
        <v>0</v>
      </c>
      <c r="I33" s="20">
        <f t="shared" si="26"/>
        <v>0</v>
      </c>
      <c r="J33" s="20">
        <f t="shared" si="27"/>
        <v>0</v>
      </c>
      <c r="K33" s="20">
        <f t="shared" si="28"/>
        <v>0</v>
      </c>
      <c r="L33" s="20">
        <f t="shared" si="29"/>
        <v>0</v>
      </c>
      <c r="M33" s="20">
        <f t="shared" si="30"/>
        <v>0</v>
      </c>
      <c r="N33" s="20">
        <f t="shared" si="31"/>
        <v>0</v>
      </c>
      <c r="O33" s="20">
        <f t="shared" si="32"/>
        <v>0</v>
      </c>
      <c r="P33" s="20">
        <f t="shared" si="33"/>
        <v>0</v>
      </c>
      <c r="Q33" s="20">
        <f t="shared" si="34"/>
        <v>0</v>
      </c>
      <c r="R33" s="20">
        <f t="shared" si="35"/>
        <v>0</v>
      </c>
      <c r="S33" s="20">
        <f t="shared" si="36"/>
        <v>0</v>
      </c>
      <c r="T33" s="20">
        <f t="shared" si="37"/>
        <v>0</v>
      </c>
      <c r="U33" s="20">
        <f t="shared" si="38"/>
        <v>0</v>
      </c>
      <c r="V33" s="20">
        <f t="shared" si="39"/>
        <v>0</v>
      </c>
      <c r="W33" s="20">
        <f t="shared" si="40"/>
        <v>0</v>
      </c>
      <c r="X33" s="20">
        <f t="shared" si="41"/>
        <v>0</v>
      </c>
      <c r="Y33" s="20">
        <f t="shared" si="42"/>
        <v>0</v>
      </c>
      <c r="Z33" s="20">
        <f t="shared" si="43"/>
        <v>0</v>
      </c>
      <c r="AA33" s="20">
        <f t="shared" si="44"/>
        <v>0</v>
      </c>
      <c r="AB33" s="20">
        <f t="shared" si="45"/>
        <v>0</v>
      </c>
    </row>
    <row r="34" ht="15">
      <c r="A34" s="20">
        <f>Input!A34</f>
        <v>30</v>
      </c>
      <c r="B34" s="20" t="str">
        <f>IF(Input!B34="","",IF(B$3&gt;Input!$H$4,"",IFERROR(MATCH(Input!B34,Input!$H$10:$H$29,0),"ERR")))</f>
        <v/>
      </c>
      <c r="C34" s="20" t="str">
        <f>IF(Input!C34="","",IF(C$3&gt;Input!$H$4,"",IFERROR(MATCH(Input!C34,Input!$H$10:$H$29,0),"ERR")))</f>
        <v/>
      </c>
      <c r="D34" s="20" t="str">
        <f>IF(Input!D34="","",IF(D$3&gt;Input!$H$4,"",IFERROR(MATCH(Input!D34,Input!$H$10:$H$29,0),"ERR")))</f>
        <v/>
      </c>
      <c r="E34" s="20" t="str">
        <f>IF(Input!E34="","",IF(E$3&gt;Input!$H$4,"",IFERROR(MATCH(Input!E34,Input!$H$10:$H$29,0),"ERR")))</f>
        <v/>
      </c>
      <c r="F34" s="20">
        <f t="shared" si="23"/>
        <v>0</v>
      </c>
      <c r="G34" s="20">
        <f t="shared" si="24"/>
        <v>0</v>
      </c>
      <c r="H34" s="21">
        <f t="shared" si="25"/>
        <v>0</v>
      </c>
      <c r="I34" s="20">
        <f t="shared" si="26"/>
        <v>0</v>
      </c>
      <c r="J34" s="20">
        <f t="shared" si="27"/>
        <v>0</v>
      </c>
      <c r="K34" s="20">
        <f t="shared" si="28"/>
        <v>0</v>
      </c>
      <c r="L34" s="20">
        <f t="shared" si="29"/>
        <v>0</v>
      </c>
      <c r="M34" s="20">
        <f t="shared" si="30"/>
        <v>0</v>
      </c>
      <c r="N34" s="20">
        <f t="shared" si="31"/>
        <v>0</v>
      </c>
      <c r="O34" s="20">
        <f t="shared" si="32"/>
        <v>0</v>
      </c>
      <c r="P34" s="20">
        <f t="shared" si="33"/>
        <v>0</v>
      </c>
      <c r="Q34" s="20">
        <f t="shared" si="34"/>
        <v>0</v>
      </c>
      <c r="R34" s="20">
        <f t="shared" si="35"/>
        <v>0</v>
      </c>
      <c r="S34" s="20">
        <f t="shared" si="36"/>
        <v>0</v>
      </c>
      <c r="T34" s="20">
        <f t="shared" si="37"/>
        <v>0</v>
      </c>
      <c r="U34" s="20">
        <f t="shared" si="38"/>
        <v>0</v>
      </c>
      <c r="V34" s="20">
        <f t="shared" si="39"/>
        <v>0</v>
      </c>
      <c r="W34" s="20">
        <f t="shared" si="40"/>
        <v>0</v>
      </c>
      <c r="X34" s="20">
        <f t="shared" si="41"/>
        <v>0</v>
      </c>
      <c r="Y34" s="20">
        <f t="shared" si="42"/>
        <v>0</v>
      </c>
      <c r="Z34" s="20">
        <f t="shared" si="43"/>
        <v>0</v>
      </c>
      <c r="AA34" s="20">
        <f t="shared" si="44"/>
        <v>0</v>
      </c>
      <c r="AB34" s="20">
        <f t="shared" si="45"/>
        <v>0</v>
      </c>
    </row>
    <row r="35" ht="15">
      <c r="A35" s="20">
        <f>Input!A35</f>
        <v>31</v>
      </c>
      <c r="B35" s="20" t="str">
        <f>IF(Input!B35="","",IF(B$3&gt;Input!$H$4,"",IFERROR(MATCH(Input!B35,Input!$H$10:$H$29,0),"ERR")))</f>
        <v/>
      </c>
      <c r="C35" s="20" t="str">
        <f>IF(Input!C35="","",IF(C$3&gt;Input!$H$4,"",IFERROR(MATCH(Input!C35,Input!$H$10:$H$29,0),"ERR")))</f>
        <v/>
      </c>
      <c r="D35" s="20" t="str">
        <f>IF(Input!D35="","",IF(D$3&gt;Input!$H$4,"",IFERROR(MATCH(Input!D35,Input!$H$10:$H$29,0),"ERR")))</f>
        <v/>
      </c>
      <c r="E35" s="20" t="str">
        <f>IF(Input!E35="","",IF(E$3&gt;Input!$H$4,"",IFERROR(MATCH(Input!E35,Input!$H$10:$H$29,0),"ERR")))</f>
        <v/>
      </c>
      <c r="F35" s="20">
        <f t="shared" si="23"/>
        <v>0</v>
      </c>
      <c r="G35" s="20">
        <f t="shared" si="24"/>
        <v>0</v>
      </c>
      <c r="H35" s="21">
        <f t="shared" si="25"/>
        <v>0</v>
      </c>
      <c r="I35" s="20">
        <f t="shared" si="26"/>
        <v>0</v>
      </c>
      <c r="J35" s="20">
        <f t="shared" si="27"/>
        <v>0</v>
      </c>
      <c r="K35" s="20">
        <f t="shared" si="28"/>
        <v>0</v>
      </c>
      <c r="L35" s="20">
        <f t="shared" si="29"/>
        <v>0</v>
      </c>
      <c r="M35" s="20">
        <f t="shared" si="30"/>
        <v>0</v>
      </c>
      <c r="N35" s="20">
        <f t="shared" si="31"/>
        <v>0</v>
      </c>
      <c r="O35" s="20">
        <f t="shared" si="32"/>
        <v>0</v>
      </c>
      <c r="P35" s="20">
        <f t="shared" si="33"/>
        <v>0</v>
      </c>
      <c r="Q35" s="20">
        <f t="shared" si="34"/>
        <v>0</v>
      </c>
      <c r="R35" s="20">
        <f t="shared" si="35"/>
        <v>0</v>
      </c>
      <c r="S35" s="20">
        <f t="shared" si="36"/>
        <v>0</v>
      </c>
      <c r="T35" s="20">
        <f t="shared" si="37"/>
        <v>0</v>
      </c>
      <c r="U35" s="20">
        <f t="shared" si="38"/>
        <v>0</v>
      </c>
      <c r="V35" s="20">
        <f t="shared" si="39"/>
        <v>0</v>
      </c>
      <c r="W35" s="20">
        <f t="shared" si="40"/>
        <v>0</v>
      </c>
      <c r="X35" s="20">
        <f t="shared" si="41"/>
        <v>0</v>
      </c>
      <c r="Y35" s="20">
        <f t="shared" si="42"/>
        <v>0</v>
      </c>
      <c r="Z35" s="20">
        <f t="shared" si="43"/>
        <v>0</v>
      </c>
      <c r="AA35" s="20">
        <f t="shared" si="44"/>
        <v>0</v>
      </c>
      <c r="AB35" s="20">
        <f t="shared" si="45"/>
        <v>0</v>
      </c>
    </row>
    <row r="36" ht="15">
      <c r="A36" s="20">
        <f>Input!A36</f>
        <v>32</v>
      </c>
      <c r="B36" s="20" t="str">
        <f>IF(Input!B36="","",IF(B$3&gt;Input!$H$4,"",IFERROR(MATCH(Input!B36,Input!$H$10:$H$29,0),"ERR")))</f>
        <v/>
      </c>
      <c r="C36" s="20" t="str">
        <f>IF(Input!C36="","",IF(C$3&gt;Input!$H$4,"",IFERROR(MATCH(Input!C36,Input!$H$10:$H$29,0),"ERR")))</f>
        <v/>
      </c>
      <c r="D36" s="20" t="str">
        <f>IF(Input!D36="","",IF(D$3&gt;Input!$H$4,"",IFERROR(MATCH(Input!D36,Input!$H$10:$H$29,0),"ERR")))</f>
        <v/>
      </c>
      <c r="E36" s="20" t="str">
        <f>IF(Input!E36="","",IF(E$3&gt;Input!$H$4,"",IFERROR(MATCH(Input!E36,Input!$H$10:$H$29,0),"ERR")))</f>
        <v/>
      </c>
      <c r="F36" s="20">
        <f t="shared" si="23"/>
        <v>0</v>
      </c>
      <c r="G36" s="20">
        <f t="shared" si="24"/>
        <v>0</v>
      </c>
      <c r="H36" s="21">
        <f t="shared" si="25"/>
        <v>0</v>
      </c>
      <c r="I36" s="20">
        <f t="shared" si="26"/>
        <v>0</v>
      </c>
      <c r="J36" s="20">
        <f t="shared" si="27"/>
        <v>0</v>
      </c>
      <c r="K36" s="20">
        <f t="shared" si="28"/>
        <v>0</v>
      </c>
      <c r="L36" s="20">
        <f t="shared" si="29"/>
        <v>0</v>
      </c>
      <c r="M36" s="20">
        <f t="shared" si="30"/>
        <v>0</v>
      </c>
      <c r="N36" s="20">
        <f t="shared" si="31"/>
        <v>0</v>
      </c>
      <c r="O36" s="20">
        <f t="shared" si="32"/>
        <v>0</v>
      </c>
      <c r="P36" s="20">
        <f t="shared" si="33"/>
        <v>0</v>
      </c>
      <c r="Q36" s="20">
        <f t="shared" si="34"/>
        <v>0</v>
      </c>
      <c r="R36" s="20">
        <f t="shared" si="35"/>
        <v>0</v>
      </c>
      <c r="S36" s="20">
        <f t="shared" si="36"/>
        <v>0</v>
      </c>
      <c r="T36" s="20">
        <f t="shared" si="37"/>
        <v>0</v>
      </c>
      <c r="U36" s="20">
        <f t="shared" si="38"/>
        <v>0</v>
      </c>
      <c r="V36" s="20">
        <f t="shared" si="39"/>
        <v>0</v>
      </c>
      <c r="W36" s="20">
        <f t="shared" si="40"/>
        <v>0</v>
      </c>
      <c r="X36" s="20">
        <f t="shared" si="41"/>
        <v>0</v>
      </c>
      <c r="Y36" s="20">
        <f t="shared" si="42"/>
        <v>0</v>
      </c>
      <c r="Z36" s="20">
        <f t="shared" si="43"/>
        <v>0</v>
      </c>
      <c r="AA36" s="20">
        <f t="shared" si="44"/>
        <v>0</v>
      </c>
      <c r="AB36" s="20">
        <f t="shared" si="45"/>
        <v>0</v>
      </c>
    </row>
    <row r="37" ht="15">
      <c r="A37" s="20">
        <f>Input!A37</f>
        <v>33</v>
      </c>
      <c r="B37" s="20" t="str">
        <f>IF(Input!B37="","",IF(B$3&gt;Input!$H$4,"",IFERROR(MATCH(Input!B37,Input!$H$10:$H$29,0),"ERR")))</f>
        <v/>
      </c>
      <c r="C37" s="20" t="str">
        <f>IF(Input!C37="","",IF(C$3&gt;Input!$H$4,"",IFERROR(MATCH(Input!C37,Input!$H$10:$H$29,0),"ERR")))</f>
        <v/>
      </c>
      <c r="D37" s="20" t="str">
        <f>IF(Input!D37="","",IF(D$3&gt;Input!$H$4,"",IFERROR(MATCH(Input!D37,Input!$H$10:$H$29,0),"ERR")))</f>
        <v/>
      </c>
      <c r="E37" s="20" t="str">
        <f>IF(Input!E37="","",IF(E$3&gt;Input!$H$4,"",IFERROR(MATCH(Input!E37,Input!$H$10:$H$29,0),"ERR")))</f>
        <v/>
      </c>
      <c r="F37" s="20">
        <f t="shared" si="23"/>
        <v>0</v>
      </c>
      <c r="G37" s="20">
        <f t="shared" si="24"/>
        <v>0</v>
      </c>
      <c r="H37" s="21">
        <f t="shared" si="25"/>
        <v>0</v>
      </c>
      <c r="I37" s="20">
        <f t="shared" si="26"/>
        <v>0</v>
      </c>
      <c r="J37" s="20">
        <f t="shared" si="27"/>
        <v>0</v>
      </c>
      <c r="K37" s="20">
        <f t="shared" si="28"/>
        <v>0</v>
      </c>
      <c r="L37" s="20">
        <f t="shared" si="29"/>
        <v>0</v>
      </c>
      <c r="M37" s="20">
        <f t="shared" si="30"/>
        <v>0</v>
      </c>
      <c r="N37" s="20">
        <f t="shared" si="31"/>
        <v>0</v>
      </c>
      <c r="O37" s="20">
        <f t="shared" si="32"/>
        <v>0</v>
      </c>
      <c r="P37" s="20">
        <f t="shared" si="33"/>
        <v>0</v>
      </c>
      <c r="Q37" s="20">
        <f t="shared" si="34"/>
        <v>0</v>
      </c>
      <c r="R37" s="20">
        <f t="shared" si="35"/>
        <v>0</v>
      </c>
      <c r="S37" s="20">
        <f t="shared" si="36"/>
        <v>0</v>
      </c>
      <c r="T37" s="20">
        <f t="shared" si="37"/>
        <v>0</v>
      </c>
      <c r="U37" s="20">
        <f t="shared" si="38"/>
        <v>0</v>
      </c>
      <c r="V37" s="20">
        <f t="shared" si="39"/>
        <v>0</v>
      </c>
      <c r="W37" s="20">
        <f t="shared" si="40"/>
        <v>0</v>
      </c>
      <c r="X37" s="20">
        <f t="shared" si="41"/>
        <v>0</v>
      </c>
      <c r="Y37" s="20">
        <f t="shared" si="42"/>
        <v>0</v>
      </c>
      <c r="Z37" s="20">
        <f t="shared" si="43"/>
        <v>0</v>
      </c>
      <c r="AA37" s="20">
        <f t="shared" si="44"/>
        <v>0</v>
      </c>
      <c r="AB37" s="20">
        <f t="shared" si="45"/>
        <v>0</v>
      </c>
    </row>
    <row r="38" ht="15">
      <c r="A38" s="20">
        <f>Input!A38</f>
        <v>34</v>
      </c>
      <c r="B38" s="20" t="str">
        <f>IF(Input!B38="","",IF(B$3&gt;Input!$H$4,"",IFERROR(MATCH(Input!B38,Input!$H$10:$H$29,0),"ERR")))</f>
        <v/>
      </c>
      <c r="C38" s="20" t="str">
        <f>IF(Input!C38="","",IF(C$3&gt;Input!$H$4,"",IFERROR(MATCH(Input!C38,Input!$H$10:$H$29,0),"ERR")))</f>
        <v/>
      </c>
      <c r="D38" s="20" t="str">
        <f>IF(Input!D38="","",IF(D$3&gt;Input!$H$4,"",IFERROR(MATCH(Input!D38,Input!$H$10:$H$29,0),"ERR")))</f>
        <v/>
      </c>
      <c r="E38" s="20" t="str">
        <f>IF(Input!E38="","",IF(E$3&gt;Input!$H$4,"",IFERROR(MATCH(Input!E38,Input!$H$10:$H$29,0),"ERR")))</f>
        <v/>
      </c>
      <c r="F38" s="20">
        <f t="shared" si="23"/>
        <v>0</v>
      </c>
      <c r="G38" s="20">
        <f t="shared" si="24"/>
        <v>0</v>
      </c>
      <c r="H38" s="21">
        <f t="shared" si="25"/>
        <v>0</v>
      </c>
      <c r="I38" s="20">
        <f t="shared" si="26"/>
        <v>0</v>
      </c>
      <c r="J38" s="20">
        <f t="shared" si="27"/>
        <v>0</v>
      </c>
      <c r="K38" s="20">
        <f t="shared" si="28"/>
        <v>0</v>
      </c>
      <c r="L38" s="20">
        <f t="shared" si="29"/>
        <v>0</v>
      </c>
      <c r="M38" s="20">
        <f t="shared" si="30"/>
        <v>0</v>
      </c>
      <c r="N38" s="20">
        <f t="shared" si="31"/>
        <v>0</v>
      </c>
      <c r="O38" s="20">
        <f t="shared" si="32"/>
        <v>0</v>
      </c>
      <c r="P38" s="20">
        <f t="shared" si="33"/>
        <v>0</v>
      </c>
      <c r="Q38" s="20">
        <f t="shared" si="34"/>
        <v>0</v>
      </c>
      <c r="R38" s="20">
        <f t="shared" si="35"/>
        <v>0</v>
      </c>
      <c r="S38" s="20">
        <f t="shared" si="36"/>
        <v>0</v>
      </c>
      <c r="T38" s="20">
        <f t="shared" si="37"/>
        <v>0</v>
      </c>
      <c r="U38" s="20">
        <f t="shared" si="38"/>
        <v>0</v>
      </c>
      <c r="V38" s="20">
        <f t="shared" si="39"/>
        <v>0</v>
      </c>
      <c r="W38" s="20">
        <f t="shared" si="40"/>
        <v>0</v>
      </c>
      <c r="X38" s="20">
        <f t="shared" si="41"/>
        <v>0</v>
      </c>
      <c r="Y38" s="20">
        <f t="shared" si="42"/>
        <v>0</v>
      </c>
      <c r="Z38" s="20">
        <f t="shared" si="43"/>
        <v>0</v>
      </c>
      <c r="AA38" s="20">
        <f t="shared" si="44"/>
        <v>0</v>
      </c>
      <c r="AB38" s="20">
        <f t="shared" si="45"/>
        <v>0</v>
      </c>
    </row>
    <row r="39" ht="15">
      <c r="A39" s="20">
        <f>Input!A39</f>
        <v>35</v>
      </c>
      <c r="B39" s="20" t="str">
        <f>IF(Input!B39="","",IF(B$3&gt;Input!$H$4,"",IFERROR(MATCH(Input!B39,Input!$H$10:$H$29,0),"ERR")))</f>
        <v/>
      </c>
      <c r="C39" s="20" t="str">
        <f>IF(Input!C39="","",IF(C$3&gt;Input!$H$4,"",IFERROR(MATCH(Input!C39,Input!$H$10:$H$29,0),"ERR")))</f>
        <v/>
      </c>
      <c r="D39" s="20" t="str">
        <f>IF(Input!D39="","",IF(D$3&gt;Input!$H$4,"",IFERROR(MATCH(Input!D39,Input!$H$10:$H$29,0),"ERR")))</f>
        <v/>
      </c>
      <c r="E39" s="20" t="str">
        <f>IF(Input!E39="","",IF(E$3&gt;Input!$H$4,"",IFERROR(MATCH(Input!E39,Input!$H$10:$H$29,0),"ERR")))</f>
        <v/>
      </c>
      <c r="F39" s="20">
        <f t="shared" si="23"/>
        <v>0</v>
      </c>
      <c r="G39" s="20">
        <f t="shared" si="24"/>
        <v>0</v>
      </c>
      <c r="H39" s="21">
        <f t="shared" si="25"/>
        <v>0</v>
      </c>
      <c r="I39" s="20">
        <f t="shared" si="26"/>
        <v>0</v>
      </c>
      <c r="J39" s="20">
        <f t="shared" si="27"/>
        <v>0</v>
      </c>
      <c r="K39" s="20">
        <f t="shared" si="28"/>
        <v>0</v>
      </c>
      <c r="L39" s="20">
        <f t="shared" si="29"/>
        <v>0</v>
      </c>
      <c r="M39" s="20">
        <f t="shared" si="30"/>
        <v>0</v>
      </c>
      <c r="N39" s="20">
        <f t="shared" si="31"/>
        <v>0</v>
      </c>
      <c r="O39" s="20">
        <f t="shared" si="32"/>
        <v>0</v>
      </c>
      <c r="P39" s="20">
        <f t="shared" si="33"/>
        <v>0</v>
      </c>
      <c r="Q39" s="20">
        <f t="shared" si="34"/>
        <v>0</v>
      </c>
      <c r="R39" s="20">
        <f t="shared" si="35"/>
        <v>0</v>
      </c>
      <c r="S39" s="20">
        <f t="shared" si="36"/>
        <v>0</v>
      </c>
      <c r="T39" s="20">
        <f t="shared" si="37"/>
        <v>0</v>
      </c>
      <c r="U39" s="20">
        <f t="shared" si="38"/>
        <v>0</v>
      </c>
      <c r="V39" s="20">
        <f t="shared" si="39"/>
        <v>0</v>
      </c>
      <c r="W39" s="20">
        <f t="shared" si="40"/>
        <v>0</v>
      </c>
      <c r="X39" s="20">
        <f t="shared" si="41"/>
        <v>0</v>
      </c>
      <c r="Y39" s="20">
        <f t="shared" si="42"/>
        <v>0</v>
      </c>
      <c r="Z39" s="20">
        <f t="shared" si="43"/>
        <v>0</v>
      </c>
      <c r="AA39" s="20">
        <f t="shared" si="44"/>
        <v>0</v>
      </c>
      <c r="AB39" s="20">
        <f t="shared" si="45"/>
        <v>0</v>
      </c>
    </row>
    <row r="40" ht="15">
      <c r="A40" s="20">
        <f>Input!A40</f>
        <v>36</v>
      </c>
      <c r="B40" s="20" t="str">
        <f>IF(Input!B40="","",IF(B$3&gt;Input!$H$4,"",IFERROR(MATCH(Input!B40,Input!$H$10:$H$29,0),"ERR")))</f>
        <v/>
      </c>
      <c r="C40" s="20" t="str">
        <f>IF(Input!C40="","",IF(C$3&gt;Input!$H$4,"",IFERROR(MATCH(Input!C40,Input!$H$10:$H$29,0),"ERR")))</f>
        <v/>
      </c>
      <c r="D40" s="20" t="str">
        <f>IF(Input!D40="","",IF(D$3&gt;Input!$H$4,"",IFERROR(MATCH(Input!D40,Input!$H$10:$H$29,0),"ERR")))</f>
        <v/>
      </c>
      <c r="E40" s="20" t="str">
        <f>IF(Input!E40="","",IF(E$3&gt;Input!$H$4,"",IFERROR(MATCH(Input!E40,Input!$H$10:$H$29,0),"ERR")))</f>
        <v/>
      </c>
      <c r="F40" s="20">
        <f t="shared" si="23"/>
        <v>0</v>
      </c>
      <c r="G40" s="20">
        <f t="shared" si="24"/>
        <v>0</v>
      </c>
      <c r="H40" s="21">
        <f t="shared" si="25"/>
        <v>0</v>
      </c>
      <c r="I40" s="20">
        <f t="shared" si="26"/>
        <v>0</v>
      </c>
      <c r="J40" s="20">
        <f t="shared" si="27"/>
        <v>0</v>
      </c>
      <c r="K40" s="20">
        <f t="shared" si="28"/>
        <v>0</v>
      </c>
      <c r="L40" s="20">
        <f t="shared" si="29"/>
        <v>0</v>
      </c>
      <c r="M40" s="20">
        <f t="shared" si="30"/>
        <v>0</v>
      </c>
      <c r="N40" s="20">
        <f t="shared" si="31"/>
        <v>0</v>
      </c>
      <c r="O40" s="20">
        <f t="shared" si="32"/>
        <v>0</v>
      </c>
      <c r="P40" s="20">
        <f t="shared" si="33"/>
        <v>0</v>
      </c>
      <c r="Q40" s="20">
        <f t="shared" si="34"/>
        <v>0</v>
      </c>
      <c r="R40" s="20">
        <f t="shared" si="35"/>
        <v>0</v>
      </c>
      <c r="S40" s="20">
        <f t="shared" si="36"/>
        <v>0</v>
      </c>
      <c r="T40" s="20">
        <f t="shared" si="37"/>
        <v>0</v>
      </c>
      <c r="U40" s="20">
        <f t="shared" si="38"/>
        <v>0</v>
      </c>
      <c r="V40" s="20">
        <f t="shared" si="39"/>
        <v>0</v>
      </c>
      <c r="W40" s="20">
        <f t="shared" si="40"/>
        <v>0</v>
      </c>
      <c r="X40" s="20">
        <f t="shared" si="41"/>
        <v>0</v>
      </c>
      <c r="Y40" s="20">
        <f t="shared" si="42"/>
        <v>0</v>
      </c>
      <c r="Z40" s="20">
        <f t="shared" si="43"/>
        <v>0</v>
      </c>
      <c r="AA40" s="20">
        <f t="shared" si="44"/>
        <v>0</v>
      </c>
      <c r="AB40" s="20">
        <f t="shared" si="45"/>
        <v>0</v>
      </c>
    </row>
    <row r="41" ht="15">
      <c r="A41" s="20">
        <f>Input!A41</f>
        <v>37</v>
      </c>
      <c r="B41" s="20" t="str">
        <f>IF(Input!B41="","",IF(B$3&gt;Input!$H$4,"",IFERROR(MATCH(Input!B41,Input!$H$10:$H$29,0),"ERR")))</f>
        <v/>
      </c>
      <c r="C41" s="20" t="str">
        <f>IF(Input!C41="","",IF(C$3&gt;Input!$H$4,"",IFERROR(MATCH(Input!C41,Input!$H$10:$H$29,0),"ERR")))</f>
        <v/>
      </c>
      <c r="D41" s="20" t="str">
        <f>IF(Input!D41="","",IF(D$3&gt;Input!$H$4,"",IFERROR(MATCH(Input!D41,Input!$H$10:$H$29,0),"ERR")))</f>
        <v/>
      </c>
      <c r="E41" s="20" t="str">
        <f>IF(Input!E41="","",IF(E$3&gt;Input!$H$4,"",IFERROR(MATCH(Input!E41,Input!$H$10:$H$29,0),"ERR")))</f>
        <v/>
      </c>
      <c r="F41" s="20">
        <f t="shared" si="23"/>
        <v>0</v>
      </c>
      <c r="G41" s="20">
        <f t="shared" si="24"/>
        <v>0</v>
      </c>
      <c r="H41" s="21">
        <f t="shared" si="25"/>
        <v>0</v>
      </c>
      <c r="I41" s="20">
        <f t="shared" si="26"/>
        <v>0</v>
      </c>
      <c r="J41" s="20">
        <f t="shared" si="27"/>
        <v>0</v>
      </c>
      <c r="K41" s="20">
        <f t="shared" si="28"/>
        <v>0</v>
      </c>
      <c r="L41" s="20">
        <f t="shared" si="29"/>
        <v>0</v>
      </c>
      <c r="M41" s="20">
        <f t="shared" si="30"/>
        <v>0</v>
      </c>
      <c r="N41" s="20">
        <f t="shared" si="31"/>
        <v>0</v>
      </c>
      <c r="O41" s="20">
        <f t="shared" si="32"/>
        <v>0</v>
      </c>
      <c r="P41" s="20">
        <f t="shared" si="33"/>
        <v>0</v>
      </c>
      <c r="Q41" s="20">
        <f t="shared" si="34"/>
        <v>0</v>
      </c>
      <c r="R41" s="20">
        <f t="shared" si="35"/>
        <v>0</v>
      </c>
      <c r="S41" s="20">
        <f t="shared" si="36"/>
        <v>0</v>
      </c>
      <c r="T41" s="20">
        <f t="shared" si="37"/>
        <v>0</v>
      </c>
      <c r="U41" s="20">
        <f t="shared" si="38"/>
        <v>0</v>
      </c>
      <c r="V41" s="20">
        <f t="shared" si="39"/>
        <v>0</v>
      </c>
      <c r="W41" s="20">
        <f t="shared" si="40"/>
        <v>0</v>
      </c>
      <c r="X41" s="20">
        <f t="shared" si="41"/>
        <v>0</v>
      </c>
      <c r="Y41" s="20">
        <f t="shared" si="42"/>
        <v>0</v>
      </c>
      <c r="Z41" s="20">
        <f t="shared" si="43"/>
        <v>0</v>
      </c>
      <c r="AA41" s="20">
        <f t="shared" si="44"/>
        <v>0</v>
      </c>
      <c r="AB41" s="20">
        <f t="shared" si="45"/>
        <v>0</v>
      </c>
    </row>
    <row r="42" ht="15">
      <c r="A42" s="20">
        <f>Input!A42</f>
        <v>38</v>
      </c>
      <c r="B42" s="20" t="str">
        <f>IF(Input!B42="","",IF(B$3&gt;Input!$H$4,"",IFERROR(MATCH(Input!B42,Input!$H$10:$H$29,0),"ERR")))</f>
        <v/>
      </c>
      <c r="C42" s="20" t="str">
        <f>IF(Input!C42="","",IF(C$3&gt;Input!$H$4,"",IFERROR(MATCH(Input!C42,Input!$H$10:$H$29,0),"ERR")))</f>
        <v/>
      </c>
      <c r="D42" s="20" t="str">
        <f>IF(Input!D42="","",IF(D$3&gt;Input!$H$4,"",IFERROR(MATCH(Input!D42,Input!$H$10:$H$29,0),"ERR")))</f>
        <v/>
      </c>
      <c r="E42" s="20" t="str">
        <f>IF(Input!E42="","",IF(E$3&gt;Input!$H$4,"",IFERROR(MATCH(Input!E42,Input!$H$10:$H$29,0),"ERR")))</f>
        <v/>
      </c>
      <c r="F42" s="20">
        <f t="shared" si="23"/>
        <v>0</v>
      </c>
      <c r="G42" s="20">
        <f t="shared" si="24"/>
        <v>0</v>
      </c>
      <c r="H42" s="21">
        <f t="shared" si="25"/>
        <v>0</v>
      </c>
      <c r="I42" s="20">
        <f t="shared" si="26"/>
        <v>0</v>
      </c>
      <c r="J42" s="20">
        <f t="shared" si="27"/>
        <v>0</v>
      </c>
      <c r="K42" s="20">
        <f t="shared" si="28"/>
        <v>0</v>
      </c>
      <c r="L42" s="20">
        <f t="shared" si="29"/>
        <v>0</v>
      </c>
      <c r="M42" s="20">
        <f t="shared" si="30"/>
        <v>0</v>
      </c>
      <c r="N42" s="20">
        <f t="shared" si="31"/>
        <v>0</v>
      </c>
      <c r="O42" s="20">
        <f t="shared" si="32"/>
        <v>0</v>
      </c>
      <c r="P42" s="20">
        <f t="shared" si="33"/>
        <v>0</v>
      </c>
      <c r="Q42" s="20">
        <f t="shared" si="34"/>
        <v>0</v>
      </c>
      <c r="R42" s="20">
        <f t="shared" si="35"/>
        <v>0</v>
      </c>
      <c r="S42" s="20">
        <f t="shared" si="36"/>
        <v>0</v>
      </c>
      <c r="T42" s="20">
        <f t="shared" si="37"/>
        <v>0</v>
      </c>
      <c r="U42" s="20">
        <f t="shared" si="38"/>
        <v>0</v>
      </c>
      <c r="V42" s="20">
        <f t="shared" si="39"/>
        <v>0</v>
      </c>
      <c r="W42" s="20">
        <f t="shared" si="40"/>
        <v>0</v>
      </c>
      <c r="X42" s="20">
        <f t="shared" si="41"/>
        <v>0</v>
      </c>
      <c r="Y42" s="20">
        <f t="shared" si="42"/>
        <v>0</v>
      </c>
      <c r="Z42" s="20">
        <f t="shared" si="43"/>
        <v>0</v>
      </c>
      <c r="AA42" s="20">
        <f t="shared" si="44"/>
        <v>0</v>
      </c>
      <c r="AB42" s="20">
        <f t="shared" si="45"/>
        <v>0</v>
      </c>
    </row>
    <row r="43" ht="15">
      <c r="A43" s="20">
        <f>Input!A43</f>
        <v>39</v>
      </c>
      <c r="B43" s="20" t="str">
        <f>IF(Input!B43="","",IF(B$3&gt;Input!$H$4,"",IFERROR(MATCH(Input!B43,Input!$H$10:$H$29,0),"ERR")))</f>
        <v/>
      </c>
      <c r="C43" s="20" t="str">
        <f>IF(Input!C43="","",IF(C$3&gt;Input!$H$4,"",IFERROR(MATCH(Input!C43,Input!$H$10:$H$29,0),"ERR")))</f>
        <v/>
      </c>
      <c r="D43" s="20" t="str">
        <f>IF(Input!D43="","",IF(D$3&gt;Input!$H$4,"",IFERROR(MATCH(Input!D43,Input!$H$10:$H$29,0),"ERR")))</f>
        <v/>
      </c>
      <c r="E43" s="20" t="str">
        <f>IF(Input!E43="","",IF(E$3&gt;Input!$H$4,"",IFERROR(MATCH(Input!E43,Input!$H$10:$H$29,0),"ERR")))</f>
        <v/>
      </c>
      <c r="F43" s="20">
        <f t="shared" si="23"/>
        <v>0</v>
      </c>
      <c r="G43" s="20">
        <f t="shared" si="24"/>
        <v>0</v>
      </c>
      <c r="H43" s="21">
        <f t="shared" si="25"/>
        <v>0</v>
      </c>
      <c r="I43" s="20">
        <f t="shared" si="26"/>
        <v>0</v>
      </c>
      <c r="J43" s="20">
        <f t="shared" si="27"/>
        <v>0</v>
      </c>
      <c r="K43" s="20">
        <f t="shared" si="28"/>
        <v>0</v>
      </c>
      <c r="L43" s="20">
        <f t="shared" si="29"/>
        <v>0</v>
      </c>
      <c r="M43" s="20">
        <f t="shared" si="30"/>
        <v>0</v>
      </c>
      <c r="N43" s="20">
        <f t="shared" si="31"/>
        <v>0</v>
      </c>
      <c r="O43" s="20">
        <f t="shared" si="32"/>
        <v>0</v>
      </c>
      <c r="P43" s="20">
        <f t="shared" si="33"/>
        <v>0</v>
      </c>
      <c r="Q43" s="20">
        <f t="shared" si="34"/>
        <v>0</v>
      </c>
      <c r="R43" s="20">
        <f t="shared" si="35"/>
        <v>0</v>
      </c>
      <c r="S43" s="20">
        <f t="shared" si="36"/>
        <v>0</v>
      </c>
      <c r="T43" s="20">
        <f t="shared" si="37"/>
        <v>0</v>
      </c>
      <c r="U43" s="20">
        <f t="shared" si="38"/>
        <v>0</v>
      </c>
      <c r="V43" s="20">
        <f t="shared" si="39"/>
        <v>0</v>
      </c>
      <c r="W43" s="20">
        <f t="shared" si="40"/>
        <v>0</v>
      </c>
      <c r="X43" s="20">
        <f t="shared" si="41"/>
        <v>0</v>
      </c>
      <c r="Y43" s="20">
        <f t="shared" si="42"/>
        <v>0</v>
      </c>
      <c r="Z43" s="20">
        <f t="shared" si="43"/>
        <v>0</v>
      </c>
      <c r="AA43" s="20">
        <f t="shared" si="44"/>
        <v>0</v>
      </c>
      <c r="AB43" s="20">
        <f t="shared" si="45"/>
        <v>0</v>
      </c>
    </row>
    <row r="44" ht="15">
      <c r="A44" s="20">
        <f>Input!A44</f>
        <v>40</v>
      </c>
      <c r="B44" s="20" t="str">
        <f>IF(Input!B44="","",IF(B$3&gt;Input!$H$4,"",IFERROR(MATCH(Input!B44,Input!$H$10:$H$29,0),"ERR")))</f>
        <v/>
      </c>
      <c r="C44" s="20" t="str">
        <f>IF(Input!C44="","",IF(C$3&gt;Input!$H$4,"",IFERROR(MATCH(Input!C44,Input!$H$10:$H$29,0),"ERR")))</f>
        <v/>
      </c>
      <c r="D44" s="20" t="str">
        <f>IF(Input!D44="","",IF(D$3&gt;Input!$H$4,"",IFERROR(MATCH(Input!D44,Input!$H$10:$H$29,0),"ERR")))</f>
        <v/>
      </c>
      <c r="E44" s="20" t="str">
        <f>IF(Input!E44="","",IF(E$3&gt;Input!$H$4,"",IFERROR(MATCH(Input!E44,Input!$H$10:$H$29,0),"ERR")))</f>
        <v/>
      </c>
      <c r="F44" s="20">
        <f t="shared" si="23"/>
        <v>0</v>
      </c>
      <c r="G44" s="20">
        <f t="shared" si="24"/>
        <v>0</v>
      </c>
      <c r="H44" s="21">
        <f t="shared" si="25"/>
        <v>0</v>
      </c>
      <c r="I44" s="20">
        <f t="shared" si="26"/>
        <v>0</v>
      </c>
      <c r="J44" s="20">
        <f t="shared" si="27"/>
        <v>0</v>
      </c>
      <c r="K44" s="20">
        <f t="shared" si="28"/>
        <v>0</v>
      </c>
      <c r="L44" s="20">
        <f t="shared" si="29"/>
        <v>0</v>
      </c>
      <c r="M44" s="20">
        <f t="shared" si="30"/>
        <v>0</v>
      </c>
      <c r="N44" s="20">
        <f t="shared" si="31"/>
        <v>0</v>
      </c>
      <c r="O44" s="20">
        <f t="shared" si="32"/>
        <v>0</v>
      </c>
      <c r="P44" s="20">
        <f t="shared" si="33"/>
        <v>0</v>
      </c>
      <c r="Q44" s="20">
        <f t="shared" si="34"/>
        <v>0</v>
      </c>
      <c r="R44" s="20">
        <f t="shared" si="35"/>
        <v>0</v>
      </c>
      <c r="S44" s="20">
        <f t="shared" si="36"/>
        <v>0</v>
      </c>
      <c r="T44" s="20">
        <f t="shared" si="37"/>
        <v>0</v>
      </c>
      <c r="U44" s="20">
        <f t="shared" si="38"/>
        <v>0</v>
      </c>
      <c r="V44" s="20">
        <f t="shared" si="39"/>
        <v>0</v>
      </c>
      <c r="W44" s="20">
        <f t="shared" si="40"/>
        <v>0</v>
      </c>
      <c r="X44" s="20">
        <f t="shared" si="41"/>
        <v>0</v>
      </c>
      <c r="Y44" s="20">
        <f t="shared" si="42"/>
        <v>0</v>
      </c>
      <c r="Z44" s="20">
        <f t="shared" si="43"/>
        <v>0</v>
      </c>
      <c r="AA44" s="20">
        <f t="shared" si="44"/>
        <v>0</v>
      </c>
      <c r="AB44" s="20">
        <f t="shared" si="45"/>
        <v>0</v>
      </c>
    </row>
    <row r="45" ht="15">
      <c r="A45" s="20">
        <f>Input!A45</f>
        <v>41</v>
      </c>
      <c r="B45" s="20" t="str">
        <f>IF(Input!B45="","",IF(B$3&gt;Input!$H$4,"",IFERROR(MATCH(Input!B45,Input!$H$10:$H$29,0),"ERR")))</f>
        <v/>
      </c>
      <c r="C45" s="20" t="str">
        <f>IF(Input!C45="","",IF(C$3&gt;Input!$H$4,"",IFERROR(MATCH(Input!C45,Input!$H$10:$H$29,0),"ERR")))</f>
        <v/>
      </c>
      <c r="D45" s="20" t="str">
        <f>IF(Input!D45="","",IF(D$3&gt;Input!$H$4,"",IFERROR(MATCH(Input!D45,Input!$H$10:$H$29,0),"ERR")))</f>
        <v/>
      </c>
      <c r="E45" s="20" t="str">
        <f>IF(Input!E45="","",IF(E$3&gt;Input!$H$4,"",IFERROR(MATCH(Input!E45,Input!$H$10:$H$29,0),"ERR")))</f>
        <v/>
      </c>
      <c r="F45" s="20">
        <f t="shared" si="23"/>
        <v>0</v>
      </c>
      <c r="G45" s="20">
        <f t="shared" si="24"/>
        <v>0</v>
      </c>
      <c r="H45" s="21">
        <f t="shared" si="25"/>
        <v>0</v>
      </c>
      <c r="I45" s="20">
        <f t="shared" si="26"/>
        <v>0</v>
      </c>
      <c r="J45" s="20">
        <f t="shared" si="27"/>
        <v>0</v>
      </c>
      <c r="K45" s="20">
        <f t="shared" si="28"/>
        <v>0</v>
      </c>
      <c r="L45" s="20">
        <f t="shared" si="29"/>
        <v>0</v>
      </c>
      <c r="M45" s="20">
        <f t="shared" si="30"/>
        <v>0</v>
      </c>
      <c r="N45" s="20">
        <f t="shared" si="31"/>
        <v>0</v>
      </c>
      <c r="O45" s="20">
        <f t="shared" si="32"/>
        <v>0</v>
      </c>
      <c r="P45" s="20">
        <f t="shared" si="33"/>
        <v>0</v>
      </c>
      <c r="Q45" s="20">
        <f t="shared" si="34"/>
        <v>0</v>
      </c>
      <c r="R45" s="20">
        <f t="shared" si="35"/>
        <v>0</v>
      </c>
      <c r="S45" s="20">
        <f t="shared" si="36"/>
        <v>0</v>
      </c>
      <c r="T45" s="20">
        <f t="shared" si="37"/>
        <v>0</v>
      </c>
      <c r="U45" s="20">
        <f t="shared" si="38"/>
        <v>0</v>
      </c>
      <c r="V45" s="20">
        <f t="shared" si="39"/>
        <v>0</v>
      </c>
      <c r="W45" s="20">
        <f t="shared" si="40"/>
        <v>0</v>
      </c>
      <c r="X45" s="20">
        <f t="shared" si="41"/>
        <v>0</v>
      </c>
      <c r="Y45" s="20">
        <f t="shared" si="42"/>
        <v>0</v>
      </c>
      <c r="Z45" s="20">
        <f t="shared" si="43"/>
        <v>0</v>
      </c>
      <c r="AA45" s="20">
        <f t="shared" si="44"/>
        <v>0</v>
      </c>
      <c r="AB45" s="20">
        <f t="shared" si="45"/>
        <v>0</v>
      </c>
    </row>
    <row r="46" ht="15">
      <c r="A46" s="20">
        <f>Input!A46</f>
        <v>42</v>
      </c>
      <c r="B46" s="20" t="str">
        <f>IF(Input!B46="","",IF(B$3&gt;Input!$H$4,"",IFERROR(MATCH(Input!B46,Input!$H$10:$H$29,0),"ERR")))</f>
        <v/>
      </c>
      <c r="C46" s="20" t="str">
        <f>IF(Input!C46="","",IF(C$3&gt;Input!$H$4,"",IFERROR(MATCH(Input!C46,Input!$H$10:$H$29,0),"ERR")))</f>
        <v/>
      </c>
      <c r="D46" s="20" t="str">
        <f>IF(Input!D46="","",IF(D$3&gt;Input!$H$4,"",IFERROR(MATCH(Input!D46,Input!$H$10:$H$29,0),"ERR")))</f>
        <v/>
      </c>
      <c r="E46" s="20" t="str">
        <f>IF(Input!E46="","",IF(E$3&gt;Input!$H$4,"",IFERROR(MATCH(Input!E46,Input!$H$10:$H$29,0),"ERR")))</f>
        <v/>
      </c>
      <c r="F46" s="20">
        <f t="shared" si="23"/>
        <v>0</v>
      </c>
      <c r="G46" s="20">
        <f t="shared" si="24"/>
        <v>0</v>
      </c>
      <c r="H46" s="21">
        <f t="shared" si="25"/>
        <v>0</v>
      </c>
      <c r="I46" s="20">
        <f t="shared" si="26"/>
        <v>0</v>
      </c>
      <c r="J46" s="20">
        <f t="shared" si="27"/>
        <v>0</v>
      </c>
      <c r="K46" s="20">
        <f t="shared" si="28"/>
        <v>0</v>
      </c>
      <c r="L46" s="20">
        <f t="shared" si="29"/>
        <v>0</v>
      </c>
      <c r="M46" s="20">
        <f t="shared" si="30"/>
        <v>0</v>
      </c>
      <c r="N46" s="20">
        <f t="shared" si="31"/>
        <v>0</v>
      </c>
      <c r="O46" s="20">
        <f t="shared" si="32"/>
        <v>0</v>
      </c>
      <c r="P46" s="20">
        <f t="shared" si="33"/>
        <v>0</v>
      </c>
      <c r="Q46" s="20">
        <f t="shared" si="34"/>
        <v>0</v>
      </c>
      <c r="R46" s="20">
        <f t="shared" si="35"/>
        <v>0</v>
      </c>
      <c r="S46" s="20">
        <f t="shared" si="36"/>
        <v>0</v>
      </c>
      <c r="T46" s="20">
        <f t="shared" si="37"/>
        <v>0</v>
      </c>
      <c r="U46" s="20">
        <f t="shared" si="38"/>
        <v>0</v>
      </c>
      <c r="V46" s="20">
        <f t="shared" si="39"/>
        <v>0</v>
      </c>
      <c r="W46" s="20">
        <f t="shared" si="40"/>
        <v>0</v>
      </c>
      <c r="X46" s="20">
        <f t="shared" si="41"/>
        <v>0</v>
      </c>
      <c r="Y46" s="20">
        <f t="shared" si="42"/>
        <v>0</v>
      </c>
      <c r="Z46" s="20">
        <f t="shared" si="43"/>
        <v>0</v>
      </c>
      <c r="AA46" s="20">
        <f t="shared" si="44"/>
        <v>0</v>
      </c>
      <c r="AB46" s="20">
        <f t="shared" si="45"/>
        <v>0</v>
      </c>
    </row>
    <row r="47" ht="15">
      <c r="A47" s="20">
        <f>Input!A47</f>
        <v>43</v>
      </c>
      <c r="B47" s="20" t="str">
        <f>IF(Input!B47="","",IF(B$3&gt;Input!$H$4,"",IFERROR(MATCH(Input!B47,Input!$H$10:$H$29,0),"ERR")))</f>
        <v/>
      </c>
      <c r="C47" s="20" t="str">
        <f>IF(Input!C47="","",IF(C$3&gt;Input!$H$4,"",IFERROR(MATCH(Input!C47,Input!$H$10:$H$29,0),"ERR")))</f>
        <v/>
      </c>
      <c r="D47" s="20" t="str">
        <f>IF(Input!D47="","",IF(D$3&gt;Input!$H$4,"",IFERROR(MATCH(Input!D47,Input!$H$10:$H$29,0),"ERR")))</f>
        <v/>
      </c>
      <c r="E47" s="20" t="str">
        <f>IF(Input!E47="","",IF(E$3&gt;Input!$H$4,"",IFERROR(MATCH(Input!E47,Input!$H$10:$H$29,0),"ERR")))</f>
        <v/>
      </c>
      <c r="F47" s="20">
        <f t="shared" si="23"/>
        <v>0</v>
      </c>
      <c r="G47" s="20">
        <f t="shared" si="24"/>
        <v>0</v>
      </c>
      <c r="H47" s="21">
        <f t="shared" si="25"/>
        <v>0</v>
      </c>
      <c r="I47" s="20">
        <f t="shared" si="26"/>
        <v>0</v>
      </c>
      <c r="J47" s="20">
        <f t="shared" si="27"/>
        <v>0</v>
      </c>
      <c r="K47" s="20">
        <f t="shared" si="28"/>
        <v>0</v>
      </c>
      <c r="L47" s="20">
        <f t="shared" si="29"/>
        <v>0</v>
      </c>
      <c r="M47" s="20">
        <f t="shared" si="30"/>
        <v>0</v>
      </c>
      <c r="N47" s="20">
        <f t="shared" si="31"/>
        <v>0</v>
      </c>
      <c r="O47" s="20">
        <f t="shared" si="32"/>
        <v>0</v>
      </c>
      <c r="P47" s="20">
        <f t="shared" si="33"/>
        <v>0</v>
      </c>
      <c r="Q47" s="20">
        <f t="shared" si="34"/>
        <v>0</v>
      </c>
      <c r="R47" s="20">
        <f t="shared" si="35"/>
        <v>0</v>
      </c>
      <c r="S47" s="20">
        <f t="shared" si="36"/>
        <v>0</v>
      </c>
      <c r="T47" s="20">
        <f t="shared" si="37"/>
        <v>0</v>
      </c>
      <c r="U47" s="20">
        <f t="shared" si="38"/>
        <v>0</v>
      </c>
      <c r="V47" s="20">
        <f t="shared" si="39"/>
        <v>0</v>
      </c>
      <c r="W47" s="20">
        <f t="shared" si="40"/>
        <v>0</v>
      </c>
      <c r="X47" s="20">
        <f t="shared" si="41"/>
        <v>0</v>
      </c>
      <c r="Y47" s="20">
        <f t="shared" si="42"/>
        <v>0</v>
      </c>
      <c r="Z47" s="20">
        <f t="shared" si="43"/>
        <v>0</v>
      </c>
      <c r="AA47" s="20">
        <f t="shared" si="44"/>
        <v>0</v>
      </c>
      <c r="AB47" s="20">
        <f t="shared" si="45"/>
        <v>0</v>
      </c>
    </row>
    <row r="48" ht="15">
      <c r="A48" s="20">
        <f>Input!A48</f>
        <v>44</v>
      </c>
      <c r="B48" s="20" t="str">
        <f>IF(Input!B48="","",IF(B$3&gt;Input!$H$4,"",IFERROR(MATCH(Input!B48,Input!$H$10:$H$29,0),"ERR")))</f>
        <v/>
      </c>
      <c r="C48" s="20" t="str">
        <f>IF(Input!C48="","",IF(C$3&gt;Input!$H$4,"",IFERROR(MATCH(Input!C48,Input!$H$10:$H$29,0),"ERR")))</f>
        <v/>
      </c>
      <c r="D48" s="20" t="str">
        <f>IF(Input!D48="","",IF(D$3&gt;Input!$H$4,"",IFERROR(MATCH(Input!D48,Input!$H$10:$H$29,0),"ERR")))</f>
        <v/>
      </c>
      <c r="E48" s="20" t="str">
        <f>IF(Input!E48="","",IF(E$3&gt;Input!$H$4,"",IFERROR(MATCH(Input!E48,Input!$H$10:$H$29,0),"ERR")))</f>
        <v/>
      </c>
      <c r="F48" s="20">
        <f t="shared" si="23"/>
        <v>0</v>
      </c>
      <c r="G48" s="20">
        <f t="shared" si="24"/>
        <v>0</v>
      </c>
      <c r="H48" s="21">
        <f t="shared" si="25"/>
        <v>0</v>
      </c>
      <c r="I48" s="20">
        <f t="shared" si="26"/>
        <v>0</v>
      </c>
      <c r="J48" s="20">
        <f t="shared" si="27"/>
        <v>0</v>
      </c>
      <c r="K48" s="20">
        <f t="shared" si="28"/>
        <v>0</v>
      </c>
      <c r="L48" s="20">
        <f t="shared" si="29"/>
        <v>0</v>
      </c>
      <c r="M48" s="20">
        <f t="shared" si="30"/>
        <v>0</v>
      </c>
      <c r="N48" s="20">
        <f t="shared" si="31"/>
        <v>0</v>
      </c>
      <c r="O48" s="20">
        <f t="shared" si="32"/>
        <v>0</v>
      </c>
      <c r="P48" s="20">
        <f t="shared" si="33"/>
        <v>0</v>
      </c>
      <c r="Q48" s="20">
        <f t="shared" si="34"/>
        <v>0</v>
      </c>
      <c r="R48" s="20">
        <f t="shared" si="35"/>
        <v>0</v>
      </c>
      <c r="S48" s="20">
        <f t="shared" si="36"/>
        <v>0</v>
      </c>
      <c r="T48" s="20">
        <f t="shared" si="37"/>
        <v>0</v>
      </c>
      <c r="U48" s="20">
        <f t="shared" si="38"/>
        <v>0</v>
      </c>
      <c r="V48" s="20">
        <f t="shared" si="39"/>
        <v>0</v>
      </c>
      <c r="W48" s="20">
        <f t="shared" si="40"/>
        <v>0</v>
      </c>
      <c r="X48" s="20">
        <f t="shared" si="41"/>
        <v>0</v>
      </c>
      <c r="Y48" s="20">
        <f t="shared" si="42"/>
        <v>0</v>
      </c>
      <c r="Z48" s="20">
        <f t="shared" si="43"/>
        <v>0</v>
      </c>
      <c r="AA48" s="20">
        <f t="shared" si="44"/>
        <v>0</v>
      </c>
      <c r="AB48" s="20">
        <f t="shared" si="45"/>
        <v>0</v>
      </c>
    </row>
    <row r="49" ht="15">
      <c r="A49" s="20">
        <f>Input!A49</f>
        <v>45</v>
      </c>
      <c r="B49" s="20" t="str">
        <f>IF(Input!B49="","",IF(B$3&gt;Input!$H$4,"",IFERROR(MATCH(Input!B49,Input!$H$10:$H$29,0),"ERR")))</f>
        <v/>
      </c>
      <c r="C49" s="20" t="str">
        <f>IF(Input!C49="","",IF(C$3&gt;Input!$H$4,"",IFERROR(MATCH(Input!C49,Input!$H$10:$H$29,0),"ERR")))</f>
        <v/>
      </c>
      <c r="D49" s="20" t="str">
        <f>IF(Input!D49="","",IF(D$3&gt;Input!$H$4,"",IFERROR(MATCH(Input!D49,Input!$H$10:$H$29,0),"ERR")))</f>
        <v/>
      </c>
      <c r="E49" s="20" t="str">
        <f>IF(Input!E49="","",IF(E$3&gt;Input!$H$4,"",IFERROR(MATCH(Input!E49,Input!$H$10:$H$29,0),"ERR")))</f>
        <v/>
      </c>
      <c r="F49" s="20">
        <f t="shared" si="23"/>
        <v>0</v>
      </c>
      <c r="G49" s="20">
        <f t="shared" si="24"/>
        <v>0</v>
      </c>
      <c r="H49" s="21">
        <f t="shared" si="25"/>
        <v>0</v>
      </c>
      <c r="I49" s="20">
        <f t="shared" si="26"/>
        <v>0</v>
      </c>
      <c r="J49" s="20">
        <f t="shared" si="27"/>
        <v>0</v>
      </c>
      <c r="K49" s="20">
        <f t="shared" si="28"/>
        <v>0</v>
      </c>
      <c r="L49" s="20">
        <f t="shared" si="29"/>
        <v>0</v>
      </c>
      <c r="M49" s="20">
        <f t="shared" si="30"/>
        <v>0</v>
      </c>
      <c r="N49" s="20">
        <f t="shared" si="31"/>
        <v>0</v>
      </c>
      <c r="O49" s="20">
        <f t="shared" si="32"/>
        <v>0</v>
      </c>
      <c r="P49" s="20">
        <f t="shared" si="33"/>
        <v>0</v>
      </c>
      <c r="Q49" s="20">
        <f t="shared" si="34"/>
        <v>0</v>
      </c>
      <c r="R49" s="20">
        <f t="shared" si="35"/>
        <v>0</v>
      </c>
      <c r="S49" s="20">
        <f t="shared" si="36"/>
        <v>0</v>
      </c>
      <c r="T49" s="20">
        <f t="shared" si="37"/>
        <v>0</v>
      </c>
      <c r="U49" s="20">
        <f t="shared" si="38"/>
        <v>0</v>
      </c>
      <c r="V49" s="20">
        <f t="shared" si="39"/>
        <v>0</v>
      </c>
      <c r="W49" s="20">
        <f t="shared" si="40"/>
        <v>0</v>
      </c>
      <c r="X49" s="20">
        <f t="shared" si="41"/>
        <v>0</v>
      </c>
      <c r="Y49" s="20">
        <f t="shared" si="42"/>
        <v>0</v>
      </c>
      <c r="Z49" s="20">
        <f t="shared" si="43"/>
        <v>0</v>
      </c>
      <c r="AA49" s="20">
        <f t="shared" si="44"/>
        <v>0</v>
      </c>
      <c r="AB49" s="20">
        <f t="shared" si="45"/>
        <v>0</v>
      </c>
    </row>
    <row r="50" ht="15">
      <c r="A50" s="20">
        <f>Input!A50</f>
        <v>46</v>
      </c>
      <c r="B50" s="20" t="str">
        <f>IF(Input!B50="","",IF(B$3&gt;Input!$H$4,"",IFERROR(MATCH(Input!B50,Input!$H$10:$H$29,0),"ERR")))</f>
        <v/>
      </c>
      <c r="C50" s="20" t="str">
        <f>IF(Input!C50="","",IF(C$3&gt;Input!$H$4,"",IFERROR(MATCH(Input!C50,Input!$H$10:$H$29,0),"ERR")))</f>
        <v/>
      </c>
      <c r="D50" s="20" t="str">
        <f>IF(Input!D50="","",IF(D$3&gt;Input!$H$4,"",IFERROR(MATCH(Input!D50,Input!$H$10:$H$29,0),"ERR")))</f>
        <v/>
      </c>
      <c r="E50" s="20" t="str">
        <f>IF(Input!E50="","",IF(E$3&gt;Input!$H$4,"",IFERROR(MATCH(Input!E50,Input!$H$10:$H$29,0),"ERR")))</f>
        <v/>
      </c>
      <c r="F50" s="20">
        <f t="shared" si="23"/>
        <v>0</v>
      </c>
      <c r="G50" s="20">
        <f t="shared" si="24"/>
        <v>0</v>
      </c>
      <c r="H50" s="21">
        <f t="shared" si="25"/>
        <v>0</v>
      </c>
      <c r="I50" s="20">
        <f t="shared" si="26"/>
        <v>0</v>
      </c>
      <c r="J50" s="20">
        <f t="shared" si="27"/>
        <v>0</v>
      </c>
      <c r="K50" s="20">
        <f t="shared" si="28"/>
        <v>0</v>
      </c>
      <c r="L50" s="20">
        <f t="shared" si="29"/>
        <v>0</v>
      </c>
      <c r="M50" s="20">
        <f t="shared" si="30"/>
        <v>0</v>
      </c>
      <c r="N50" s="20">
        <f t="shared" si="31"/>
        <v>0</v>
      </c>
      <c r="O50" s="20">
        <f t="shared" si="32"/>
        <v>0</v>
      </c>
      <c r="P50" s="20">
        <f t="shared" si="33"/>
        <v>0</v>
      </c>
      <c r="Q50" s="20">
        <f t="shared" si="34"/>
        <v>0</v>
      </c>
      <c r="R50" s="20">
        <f t="shared" si="35"/>
        <v>0</v>
      </c>
      <c r="S50" s="20">
        <f t="shared" si="36"/>
        <v>0</v>
      </c>
      <c r="T50" s="20">
        <f t="shared" si="37"/>
        <v>0</v>
      </c>
      <c r="U50" s="20">
        <f t="shared" si="38"/>
        <v>0</v>
      </c>
      <c r="V50" s="20">
        <f t="shared" si="39"/>
        <v>0</v>
      </c>
      <c r="W50" s="20">
        <f t="shared" si="40"/>
        <v>0</v>
      </c>
      <c r="X50" s="20">
        <f t="shared" si="41"/>
        <v>0</v>
      </c>
      <c r="Y50" s="20">
        <f t="shared" si="42"/>
        <v>0</v>
      </c>
      <c r="Z50" s="20">
        <f t="shared" si="43"/>
        <v>0</v>
      </c>
      <c r="AA50" s="20">
        <f t="shared" si="44"/>
        <v>0</v>
      </c>
      <c r="AB50" s="20">
        <f t="shared" si="45"/>
        <v>0</v>
      </c>
    </row>
    <row r="51" ht="15">
      <c r="A51" s="20">
        <f>Input!A51</f>
        <v>47</v>
      </c>
      <c r="B51" s="20" t="str">
        <f>IF(Input!B51="","",IF(B$3&gt;Input!$H$4,"",IFERROR(MATCH(Input!B51,Input!$H$10:$H$29,0),"ERR")))</f>
        <v/>
      </c>
      <c r="C51" s="20" t="str">
        <f>IF(Input!C51="","",IF(C$3&gt;Input!$H$4,"",IFERROR(MATCH(Input!C51,Input!$H$10:$H$29,0),"ERR")))</f>
        <v/>
      </c>
      <c r="D51" s="20" t="str">
        <f>IF(Input!D51="","",IF(D$3&gt;Input!$H$4,"",IFERROR(MATCH(Input!D51,Input!$H$10:$H$29,0),"ERR")))</f>
        <v/>
      </c>
      <c r="E51" s="20" t="str">
        <f>IF(Input!E51="","",IF(E$3&gt;Input!$H$4,"",IFERROR(MATCH(Input!E51,Input!$H$10:$H$29,0),"ERR")))</f>
        <v/>
      </c>
      <c r="F51" s="20">
        <f t="shared" si="23"/>
        <v>0</v>
      </c>
      <c r="G51" s="20">
        <f t="shared" si="24"/>
        <v>0</v>
      </c>
      <c r="H51" s="21">
        <f t="shared" si="25"/>
        <v>0</v>
      </c>
      <c r="I51" s="20">
        <f t="shared" si="26"/>
        <v>0</v>
      </c>
      <c r="J51" s="20">
        <f t="shared" si="27"/>
        <v>0</v>
      </c>
      <c r="K51" s="20">
        <f t="shared" si="28"/>
        <v>0</v>
      </c>
      <c r="L51" s="20">
        <f t="shared" si="29"/>
        <v>0</v>
      </c>
      <c r="M51" s="20">
        <f t="shared" si="30"/>
        <v>0</v>
      </c>
      <c r="N51" s="20">
        <f t="shared" si="31"/>
        <v>0</v>
      </c>
      <c r="O51" s="20">
        <f t="shared" si="32"/>
        <v>0</v>
      </c>
      <c r="P51" s="20">
        <f t="shared" si="33"/>
        <v>0</v>
      </c>
      <c r="Q51" s="20">
        <f t="shared" si="34"/>
        <v>0</v>
      </c>
      <c r="R51" s="20">
        <f t="shared" si="35"/>
        <v>0</v>
      </c>
      <c r="S51" s="20">
        <f t="shared" si="36"/>
        <v>0</v>
      </c>
      <c r="T51" s="20">
        <f t="shared" si="37"/>
        <v>0</v>
      </c>
      <c r="U51" s="20">
        <f t="shared" si="38"/>
        <v>0</v>
      </c>
      <c r="V51" s="20">
        <f t="shared" si="39"/>
        <v>0</v>
      </c>
      <c r="W51" s="20">
        <f t="shared" si="40"/>
        <v>0</v>
      </c>
      <c r="X51" s="20">
        <f t="shared" si="41"/>
        <v>0</v>
      </c>
      <c r="Y51" s="20">
        <f t="shared" si="42"/>
        <v>0</v>
      </c>
      <c r="Z51" s="20">
        <f t="shared" si="43"/>
        <v>0</v>
      </c>
      <c r="AA51" s="20">
        <f t="shared" si="44"/>
        <v>0</v>
      </c>
      <c r="AB51" s="20">
        <f t="shared" si="45"/>
        <v>0</v>
      </c>
    </row>
    <row r="52" ht="15">
      <c r="A52" s="20">
        <f>Input!A52</f>
        <v>48</v>
      </c>
      <c r="B52" s="20" t="str">
        <f>IF(Input!B52="","",IF(B$3&gt;Input!$H$4,"",IFERROR(MATCH(Input!B52,Input!$H$10:$H$29,0),"ERR")))</f>
        <v/>
      </c>
      <c r="C52" s="20" t="str">
        <f>IF(Input!C52="","",IF(C$3&gt;Input!$H$4,"",IFERROR(MATCH(Input!C52,Input!$H$10:$H$29,0),"ERR")))</f>
        <v/>
      </c>
      <c r="D52" s="20" t="str">
        <f>IF(Input!D52="","",IF(D$3&gt;Input!$H$4,"",IFERROR(MATCH(Input!D52,Input!$H$10:$H$29,0),"ERR")))</f>
        <v/>
      </c>
      <c r="E52" s="20" t="str">
        <f>IF(Input!E52="","",IF(E$3&gt;Input!$H$4,"",IFERROR(MATCH(Input!E52,Input!$H$10:$H$29,0),"ERR")))</f>
        <v/>
      </c>
      <c r="F52" s="20">
        <f t="shared" si="23"/>
        <v>0</v>
      </c>
      <c r="G52" s="20">
        <f t="shared" si="24"/>
        <v>0</v>
      </c>
      <c r="H52" s="21">
        <f t="shared" si="25"/>
        <v>0</v>
      </c>
      <c r="I52" s="20">
        <f t="shared" si="26"/>
        <v>0</v>
      </c>
      <c r="J52" s="20">
        <f t="shared" si="27"/>
        <v>0</v>
      </c>
      <c r="K52" s="20">
        <f t="shared" si="28"/>
        <v>0</v>
      </c>
      <c r="L52" s="20">
        <f t="shared" si="29"/>
        <v>0</v>
      </c>
      <c r="M52" s="20">
        <f t="shared" si="30"/>
        <v>0</v>
      </c>
      <c r="N52" s="20">
        <f t="shared" si="31"/>
        <v>0</v>
      </c>
      <c r="O52" s="20">
        <f t="shared" si="32"/>
        <v>0</v>
      </c>
      <c r="P52" s="20">
        <f t="shared" si="33"/>
        <v>0</v>
      </c>
      <c r="Q52" s="20">
        <f t="shared" si="34"/>
        <v>0</v>
      </c>
      <c r="R52" s="20">
        <f t="shared" si="35"/>
        <v>0</v>
      </c>
      <c r="S52" s="20">
        <f t="shared" si="36"/>
        <v>0</v>
      </c>
      <c r="T52" s="20">
        <f t="shared" si="37"/>
        <v>0</v>
      </c>
      <c r="U52" s="20">
        <f t="shared" si="38"/>
        <v>0</v>
      </c>
      <c r="V52" s="20">
        <f t="shared" si="39"/>
        <v>0</v>
      </c>
      <c r="W52" s="20">
        <f t="shared" si="40"/>
        <v>0</v>
      </c>
      <c r="X52" s="20">
        <f t="shared" si="41"/>
        <v>0</v>
      </c>
      <c r="Y52" s="20">
        <f t="shared" si="42"/>
        <v>0</v>
      </c>
      <c r="Z52" s="20">
        <f t="shared" si="43"/>
        <v>0</v>
      </c>
      <c r="AA52" s="20">
        <f t="shared" si="44"/>
        <v>0</v>
      </c>
      <c r="AB52" s="20">
        <f t="shared" si="45"/>
        <v>0</v>
      </c>
    </row>
    <row r="53" ht="15">
      <c r="A53" s="20">
        <f>Input!A53</f>
        <v>49</v>
      </c>
      <c r="B53" s="20" t="str">
        <f>IF(Input!B53="","",IF(B$3&gt;Input!$H$4,"",IFERROR(MATCH(Input!B53,Input!$H$10:$H$29,0),"ERR")))</f>
        <v/>
      </c>
      <c r="C53" s="20" t="str">
        <f>IF(Input!C53="","",IF(C$3&gt;Input!$H$4,"",IFERROR(MATCH(Input!C53,Input!$H$10:$H$29,0),"ERR")))</f>
        <v/>
      </c>
      <c r="D53" s="20" t="str">
        <f>IF(Input!D53="","",IF(D$3&gt;Input!$H$4,"",IFERROR(MATCH(Input!D53,Input!$H$10:$H$29,0),"ERR")))</f>
        <v/>
      </c>
      <c r="E53" s="20" t="str">
        <f>IF(Input!E53="","",IF(E$3&gt;Input!$H$4,"",IFERROR(MATCH(Input!E53,Input!$H$10:$H$29,0),"ERR")))</f>
        <v/>
      </c>
      <c r="F53" s="20">
        <f t="shared" si="23"/>
        <v>0</v>
      </c>
      <c r="G53" s="20">
        <f t="shared" si="24"/>
        <v>0</v>
      </c>
      <c r="H53" s="21">
        <f t="shared" si="25"/>
        <v>0</v>
      </c>
      <c r="I53" s="20">
        <f t="shared" si="26"/>
        <v>0</v>
      </c>
      <c r="J53" s="20">
        <f t="shared" si="27"/>
        <v>0</v>
      </c>
      <c r="K53" s="20">
        <f t="shared" si="28"/>
        <v>0</v>
      </c>
      <c r="L53" s="20">
        <f t="shared" si="29"/>
        <v>0</v>
      </c>
      <c r="M53" s="20">
        <f t="shared" si="30"/>
        <v>0</v>
      </c>
      <c r="N53" s="20">
        <f t="shared" si="31"/>
        <v>0</v>
      </c>
      <c r="O53" s="20">
        <f t="shared" si="32"/>
        <v>0</v>
      </c>
      <c r="P53" s="20">
        <f t="shared" si="33"/>
        <v>0</v>
      </c>
      <c r="Q53" s="20">
        <f t="shared" si="34"/>
        <v>0</v>
      </c>
      <c r="R53" s="20">
        <f t="shared" si="35"/>
        <v>0</v>
      </c>
      <c r="S53" s="20">
        <f t="shared" si="36"/>
        <v>0</v>
      </c>
      <c r="T53" s="20">
        <f t="shared" si="37"/>
        <v>0</v>
      </c>
      <c r="U53" s="20">
        <f t="shared" si="38"/>
        <v>0</v>
      </c>
      <c r="V53" s="20">
        <f t="shared" si="39"/>
        <v>0</v>
      </c>
      <c r="W53" s="20">
        <f t="shared" si="40"/>
        <v>0</v>
      </c>
      <c r="X53" s="20">
        <f t="shared" si="41"/>
        <v>0</v>
      </c>
      <c r="Y53" s="20">
        <f t="shared" si="42"/>
        <v>0</v>
      </c>
      <c r="Z53" s="20">
        <f t="shared" si="43"/>
        <v>0</v>
      </c>
      <c r="AA53" s="20">
        <f t="shared" si="44"/>
        <v>0</v>
      </c>
      <c r="AB53" s="20">
        <f t="shared" si="45"/>
        <v>0</v>
      </c>
    </row>
    <row r="54" ht="15">
      <c r="A54" s="20">
        <f>Input!A54</f>
        <v>50</v>
      </c>
      <c r="B54" s="20" t="str">
        <f>IF(Input!B54="","",IF(B$3&gt;Input!$H$4,"",IFERROR(MATCH(Input!B54,Input!$H$10:$H$29,0),"ERR")))</f>
        <v/>
      </c>
      <c r="C54" s="20" t="str">
        <f>IF(Input!C54="","",IF(C$3&gt;Input!$H$4,"",IFERROR(MATCH(Input!C54,Input!$H$10:$H$29,0),"ERR")))</f>
        <v/>
      </c>
      <c r="D54" s="20" t="str">
        <f>IF(Input!D54="","",IF(D$3&gt;Input!$H$4,"",IFERROR(MATCH(Input!D54,Input!$H$10:$H$29,0),"ERR")))</f>
        <v/>
      </c>
      <c r="E54" s="20" t="str">
        <f>IF(Input!E54="","",IF(E$3&gt;Input!$H$4,"",IFERROR(MATCH(Input!E54,Input!$H$10:$H$29,0),"ERR")))</f>
        <v/>
      </c>
      <c r="F54" s="20">
        <f t="shared" si="23"/>
        <v>0</v>
      </c>
      <c r="G54" s="20">
        <f t="shared" si="24"/>
        <v>0</v>
      </c>
      <c r="H54" s="21">
        <f t="shared" si="25"/>
        <v>0</v>
      </c>
      <c r="I54" s="20">
        <f t="shared" si="26"/>
        <v>0</v>
      </c>
      <c r="J54" s="20">
        <f t="shared" si="27"/>
        <v>0</v>
      </c>
      <c r="K54" s="20">
        <f t="shared" si="28"/>
        <v>0</v>
      </c>
      <c r="L54" s="20">
        <f t="shared" si="29"/>
        <v>0</v>
      </c>
      <c r="M54" s="20">
        <f t="shared" si="30"/>
        <v>0</v>
      </c>
      <c r="N54" s="20">
        <f t="shared" si="31"/>
        <v>0</v>
      </c>
      <c r="O54" s="20">
        <f t="shared" si="32"/>
        <v>0</v>
      </c>
      <c r="P54" s="20">
        <f t="shared" si="33"/>
        <v>0</v>
      </c>
      <c r="Q54" s="20">
        <f t="shared" si="34"/>
        <v>0</v>
      </c>
      <c r="R54" s="20">
        <f t="shared" si="35"/>
        <v>0</v>
      </c>
      <c r="S54" s="20">
        <f t="shared" si="36"/>
        <v>0</v>
      </c>
      <c r="T54" s="20">
        <f t="shared" si="37"/>
        <v>0</v>
      </c>
      <c r="U54" s="20">
        <f t="shared" si="38"/>
        <v>0</v>
      </c>
      <c r="V54" s="20">
        <f t="shared" si="39"/>
        <v>0</v>
      </c>
      <c r="W54" s="20">
        <f t="shared" si="40"/>
        <v>0</v>
      </c>
      <c r="X54" s="20">
        <f t="shared" si="41"/>
        <v>0</v>
      </c>
      <c r="Y54" s="20">
        <f t="shared" si="42"/>
        <v>0</v>
      </c>
      <c r="Z54" s="20">
        <f t="shared" si="43"/>
        <v>0</v>
      </c>
      <c r="AA54" s="20">
        <f t="shared" si="44"/>
        <v>0</v>
      </c>
      <c r="AB54" s="20">
        <f t="shared" si="45"/>
        <v>0</v>
      </c>
    </row>
    <row r="55" ht="15">
      <c r="A55" s="20">
        <f>Input!A55</f>
        <v>51</v>
      </c>
      <c r="B55" s="20" t="str">
        <f>IF(Input!B55="","",IF(B$3&gt;Input!$H$4,"",IFERROR(MATCH(Input!B55,Input!$H$10:$H$29,0),"ERR")))</f>
        <v/>
      </c>
      <c r="C55" s="20" t="str">
        <f>IF(Input!C55="","",IF(C$3&gt;Input!$H$4,"",IFERROR(MATCH(Input!C55,Input!$H$10:$H$29,0),"ERR")))</f>
        <v/>
      </c>
      <c r="D55" s="20" t="str">
        <f>IF(Input!D55="","",IF(D$3&gt;Input!$H$4,"",IFERROR(MATCH(Input!D55,Input!$H$10:$H$29,0),"ERR")))</f>
        <v/>
      </c>
      <c r="E55" s="20" t="str">
        <f>IF(Input!E55="","",IF(E$3&gt;Input!$H$4,"",IFERROR(MATCH(Input!E55,Input!$H$10:$H$29,0),"ERR")))</f>
        <v/>
      </c>
      <c r="F55" s="20">
        <f t="shared" si="23"/>
        <v>0</v>
      </c>
      <c r="G55" s="20">
        <f t="shared" si="24"/>
        <v>0</v>
      </c>
      <c r="H55" s="21">
        <f t="shared" si="25"/>
        <v>0</v>
      </c>
      <c r="I55" s="20">
        <f t="shared" si="26"/>
        <v>0</v>
      </c>
      <c r="J55" s="20">
        <f t="shared" si="27"/>
        <v>0</v>
      </c>
      <c r="K55" s="20">
        <f t="shared" si="28"/>
        <v>0</v>
      </c>
      <c r="L55" s="20">
        <f t="shared" si="29"/>
        <v>0</v>
      </c>
      <c r="M55" s="20">
        <f t="shared" si="30"/>
        <v>0</v>
      </c>
      <c r="N55" s="20">
        <f t="shared" si="31"/>
        <v>0</v>
      </c>
      <c r="O55" s="20">
        <f t="shared" si="32"/>
        <v>0</v>
      </c>
      <c r="P55" s="20">
        <f t="shared" si="33"/>
        <v>0</v>
      </c>
      <c r="Q55" s="20">
        <f t="shared" si="34"/>
        <v>0</v>
      </c>
      <c r="R55" s="20">
        <f t="shared" si="35"/>
        <v>0</v>
      </c>
      <c r="S55" s="20">
        <f t="shared" si="36"/>
        <v>0</v>
      </c>
      <c r="T55" s="20">
        <f t="shared" si="37"/>
        <v>0</v>
      </c>
      <c r="U55" s="20">
        <f t="shared" si="38"/>
        <v>0</v>
      </c>
      <c r="V55" s="20">
        <f t="shared" si="39"/>
        <v>0</v>
      </c>
      <c r="W55" s="20">
        <f t="shared" si="40"/>
        <v>0</v>
      </c>
      <c r="X55" s="20">
        <f t="shared" si="41"/>
        <v>0</v>
      </c>
      <c r="Y55" s="20">
        <f t="shared" si="42"/>
        <v>0</v>
      </c>
      <c r="Z55" s="20">
        <f t="shared" si="43"/>
        <v>0</v>
      </c>
      <c r="AA55" s="20">
        <f t="shared" si="44"/>
        <v>0</v>
      </c>
      <c r="AB55" s="20">
        <f t="shared" si="45"/>
        <v>0</v>
      </c>
    </row>
    <row r="56" ht="15">
      <c r="A56" s="20">
        <f>Input!A56</f>
        <v>52</v>
      </c>
      <c r="B56" s="20" t="str">
        <f>IF(Input!B56="","",IF(B$3&gt;Input!$H$4,"",IFERROR(MATCH(Input!B56,Input!$H$10:$H$29,0),"ERR")))</f>
        <v/>
      </c>
      <c r="C56" s="20" t="str">
        <f>IF(Input!C56="","",IF(C$3&gt;Input!$H$4,"",IFERROR(MATCH(Input!C56,Input!$H$10:$H$29,0),"ERR")))</f>
        <v/>
      </c>
      <c r="D56" s="20" t="str">
        <f>IF(Input!D56="","",IF(D$3&gt;Input!$H$4,"",IFERROR(MATCH(Input!D56,Input!$H$10:$H$29,0),"ERR")))</f>
        <v/>
      </c>
      <c r="E56" s="20" t="str">
        <f>IF(Input!E56="","",IF(E$3&gt;Input!$H$4,"",IFERROR(MATCH(Input!E56,Input!$H$10:$H$29,0),"ERR")))</f>
        <v/>
      </c>
      <c r="F56" s="20">
        <f t="shared" si="23"/>
        <v>0</v>
      </c>
      <c r="G56" s="20">
        <f t="shared" si="24"/>
        <v>0</v>
      </c>
      <c r="H56" s="21">
        <f t="shared" si="25"/>
        <v>0</v>
      </c>
      <c r="I56" s="20">
        <f t="shared" si="26"/>
        <v>0</v>
      </c>
      <c r="J56" s="20">
        <f t="shared" si="27"/>
        <v>0</v>
      </c>
      <c r="K56" s="20">
        <f t="shared" si="28"/>
        <v>0</v>
      </c>
      <c r="L56" s="20">
        <f t="shared" si="29"/>
        <v>0</v>
      </c>
      <c r="M56" s="20">
        <f t="shared" si="30"/>
        <v>0</v>
      </c>
      <c r="N56" s="20">
        <f t="shared" si="31"/>
        <v>0</v>
      </c>
      <c r="O56" s="20">
        <f t="shared" si="32"/>
        <v>0</v>
      </c>
      <c r="P56" s="20">
        <f t="shared" si="33"/>
        <v>0</v>
      </c>
      <c r="Q56" s="20">
        <f t="shared" si="34"/>
        <v>0</v>
      </c>
      <c r="R56" s="20">
        <f t="shared" si="35"/>
        <v>0</v>
      </c>
      <c r="S56" s="20">
        <f t="shared" si="36"/>
        <v>0</v>
      </c>
      <c r="T56" s="20">
        <f t="shared" si="37"/>
        <v>0</v>
      </c>
      <c r="U56" s="20">
        <f t="shared" si="38"/>
        <v>0</v>
      </c>
      <c r="V56" s="20">
        <f t="shared" si="39"/>
        <v>0</v>
      </c>
      <c r="W56" s="20">
        <f t="shared" si="40"/>
        <v>0</v>
      </c>
      <c r="X56" s="20">
        <f t="shared" si="41"/>
        <v>0</v>
      </c>
      <c r="Y56" s="20">
        <f t="shared" si="42"/>
        <v>0</v>
      </c>
      <c r="Z56" s="20">
        <f t="shared" si="43"/>
        <v>0</v>
      </c>
      <c r="AA56" s="20">
        <f t="shared" si="44"/>
        <v>0</v>
      </c>
      <c r="AB56" s="20">
        <f t="shared" si="45"/>
        <v>0</v>
      </c>
    </row>
    <row r="57" ht="15">
      <c r="A57" s="20">
        <f>Input!A57</f>
        <v>53</v>
      </c>
      <c r="B57" s="20" t="str">
        <f>IF(Input!B57="","",IF(B$3&gt;Input!$H$4,"",IFERROR(MATCH(Input!B57,Input!$H$10:$H$29,0),"ERR")))</f>
        <v/>
      </c>
      <c r="C57" s="20" t="str">
        <f>IF(Input!C57="","",IF(C$3&gt;Input!$H$4,"",IFERROR(MATCH(Input!C57,Input!$H$10:$H$29,0),"ERR")))</f>
        <v/>
      </c>
      <c r="D57" s="20" t="str">
        <f>IF(Input!D57="","",IF(D$3&gt;Input!$H$4,"",IFERROR(MATCH(Input!D57,Input!$H$10:$H$29,0),"ERR")))</f>
        <v/>
      </c>
      <c r="E57" s="20" t="str">
        <f>IF(Input!E57="","",IF(E$3&gt;Input!$H$4,"",IFERROR(MATCH(Input!E57,Input!$H$10:$H$29,0),"ERR")))</f>
        <v/>
      </c>
      <c r="F57" s="20">
        <f t="shared" si="23"/>
        <v>0</v>
      </c>
      <c r="G57" s="20">
        <f t="shared" si="24"/>
        <v>0</v>
      </c>
      <c r="H57" s="21">
        <f t="shared" si="25"/>
        <v>0</v>
      </c>
      <c r="I57" s="20">
        <f t="shared" si="26"/>
        <v>0</v>
      </c>
      <c r="J57" s="20">
        <f t="shared" si="27"/>
        <v>0</v>
      </c>
      <c r="K57" s="20">
        <f t="shared" si="28"/>
        <v>0</v>
      </c>
      <c r="L57" s="20">
        <f t="shared" si="29"/>
        <v>0</v>
      </c>
      <c r="M57" s="20">
        <f t="shared" si="30"/>
        <v>0</v>
      </c>
      <c r="N57" s="20">
        <f t="shared" si="31"/>
        <v>0</v>
      </c>
      <c r="O57" s="20">
        <f t="shared" si="32"/>
        <v>0</v>
      </c>
      <c r="P57" s="20">
        <f t="shared" si="33"/>
        <v>0</v>
      </c>
      <c r="Q57" s="20">
        <f t="shared" si="34"/>
        <v>0</v>
      </c>
      <c r="R57" s="20">
        <f t="shared" si="35"/>
        <v>0</v>
      </c>
      <c r="S57" s="20">
        <f t="shared" si="36"/>
        <v>0</v>
      </c>
      <c r="T57" s="20">
        <f t="shared" si="37"/>
        <v>0</v>
      </c>
      <c r="U57" s="20">
        <f t="shared" si="38"/>
        <v>0</v>
      </c>
      <c r="V57" s="20">
        <f t="shared" si="39"/>
        <v>0</v>
      </c>
      <c r="W57" s="20">
        <f t="shared" si="40"/>
        <v>0</v>
      </c>
      <c r="X57" s="20">
        <f t="shared" si="41"/>
        <v>0</v>
      </c>
      <c r="Y57" s="20">
        <f t="shared" si="42"/>
        <v>0</v>
      </c>
      <c r="Z57" s="20">
        <f t="shared" si="43"/>
        <v>0</v>
      </c>
      <c r="AA57" s="20">
        <f t="shared" si="44"/>
        <v>0</v>
      </c>
      <c r="AB57" s="20">
        <f t="shared" si="45"/>
        <v>0</v>
      </c>
    </row>
    <row r="58" ht="15">
      <c r="A58" s="20">
        <f>Input!A58</f>
        <v>54</v>
      </c>
      <c r="B58" s="20" t="str">
        <f>IF(Input!B58="","",IF(B$3&gt;Input!$H$4,"",IFERROR(MATCH(Input!B58,Input!$H$10:$H$29,0),"ERR")))</f>
        <v/>
      </c>
      <c r="C58" s="20" t="str">
        <f>IF(Input!C58="","",IF(C$3&gt;Input!$H$4,"",IFERROR(MATCH(Input!C58,Input!$H$10:$H$29,0),"ERR")))</f>
        <v/>
      </c>
      <c r="D58" s="20" t="str">
        <f>IF(Input!D58="","",IF(D$3&gt;Input!$H$4,"",IFERROR(MATCH(Input!D58,Input!$H$10:$H$29,0),"ERR")))</f>
        <v/>
      </c>
      <c r="E58" s="20" t="str">
        <f>IF(Input!E58="","",IF(E$3&gt;Input!$H$4,"",IFERROR(MATCH(Input!E58,Input!$H$10:$H$29,0),"ERR")))</f>
        <v/>
      </c>
      <c r="F58" s="20">
        <f t="shared" si="23"/>
        <v>0</v>
      </c>
      <c r="G58" s="20">
        <f t="shared" si="24"/>
        <v>0</v>
      </c>
      <c r="H58" s="21">
        <f t="shared" si="25"/>
        <v>0</v>
      </c>
      <c r="I58" s="20">
        <f t="shared" si="26"/>
        <v>0</v>
      </c>
      <c r="J58" s="20">
        <f t="shared" si="27"/>
        <v>0</v>
      </c>
      <c r="K58" s="20">
        <f t="shared" si="28"/>
        <v>0</v>
      </c>
      <c r="L58" s="20">
        <f t="shared" si="29"/>
        <v>0</v>
      </c>
      <c r="M58" s="20">
        <f t="shared" si="30"/>
        <v>0</v>
      </c>
      <c r="N58" s="20">
        <f t="shared" si="31"/>
        <v>0</v>
      </c>
      <c r="O58" s="20">
        <f t="shared" si="32"/>
        <v>0</v>
      </c>
      <c r="P58" s="20">
        <f t="shared" si="33"/>
        <v>0</v>
      </c>
      <c r="Q58" s="20">
        <f t="shared" si="34"/>
        <v>0</v>
      </c>
      <c r="R58" s="20">
        <f t="shared" si="35"/>
        <v>0</v>
      </c>
      <c r="S58" s="20">
        <f t="shared" si="36"/>
        <v>0</v>
      </c>
      <c r="T58" s="20">
        <f t="shared" si="37"/>
        <v>0</v>
      </c>
      <c r="U58" s="20">
        <f t="shared" si="38"/>
        <v>0</v>
      </c>
      <c r="V58" s="20">
        <f t="shared" si="39"/>
        <v>0</v>
      </c>
      <c r="W58" s="20">
        <f t="shared" si="40"/>
        <v>0</v>
      </c>
      <c r="X58" s="20">
        <f t="shared" si="41"/>
        <v>0</v>
      </c>
      <c r="Y58" s="20">
        <f t="shared" si="42"/>
        <v>0</v>
      </c>
      <c r="Z58" s="20">
        <f t="shared" si="43"/>
        <v>0</v>
      </c>
      <c r="AA58" s="20">
        <f t="shared" si="44"/>
        <v>0</v>
      </c>
      <c r="AB58" s="20">
        <f t="shared" si="45"/>
        <v>0</v>
      </c>
    </row>
    <row r="59" ht="15">
      <c r="A59" s="20">
        <f>Input!A59</f>
        <v>55</v>
      </c>
      <c r="B59" s="20" t="str">
        <f>IF(Input!B59="","",IF(B$3&gt;Input!$H$4,"",IFERROR(MATCH(Input!B59,Input!$H$10:$H$29,0),"ERR")))</f>
        <v/>
      </c>
      <c r="C59" s="20" t="str">
        <f>IF(Input!C59="","",IF(C$3&gt;Input!$H$4,"",IFERROR(MATCH(Input!C59,Input!$H$10:$H$29,0),"ERR")))</f>
        <v/>
      </c>
      <c r="D59" s="20" t="str">
        <f>IF(Input!D59="","",IF(D$3&gt;Input!$H$4,"",IFERROR(MATCH(Input!D59,Input!$H$10:$H$29,0),"ERR")))</f>
        <v/>
      </c>
      <c r="E59" s="20" t="str">
        <f>IF(Input!E59="","",IF(E$3&gt;Input!$H$4,"",IFERROR(MATCH(Input!E59,Input!$H$10:$H$29,0),"ERR")))</f>
        <v/>
      </c>
      <c r="F59" s="20">
        <f t="shared" si="23"/>
        <v>0</v>
      </c>
      <c r="G59" s="20">
        <f t="shared" si="24"/>
        <v>0</v>
      </c>
      <c r="H59" s="21">
        <f t="shared" si="25"/>
        <v>0</v>
      </c>
      <c r="I59" s="20">
        <f t="shared" si="26"/>
        <v>0</v>
      </c>
      <c r="J59" s="20">
        <f t="shared" si="27"/>
        <v>0</v>
      </c>
      <c r="K59" s="20">
        <f t="shared" si="28"/>
        <v>0</v>
      </c>
      <c r="L59" s="20">
        <f t="shared" si="29"/>
        <v>0</v>
      </c>
      <c r="M59" s="20">
        <f t="shared" si="30"/>
        <v>0</v>
      </c>
      <c r="N59" s="20">
        <f t="shared" si="31"/>
        <v>0</v>
      </c>
      <c r="O59" s="20">
        <f t="shared" si="32"/>
        <v>0</v>
      </c>
      <c r="P59" s="20">
        <f t="shared" si="33"/>
        <v>0</v>
      </c>
      <c r="Q59" s="20">
        <f t="shared" si="34"/>
        <v>0</v>
      </c>
      <c r="R59" s="20">
        <f t="shared" si="35"/>
        <v>0</v>
      </c>
      <c r="S59" s="20">
        <f t="shared" si="36"/>
        <v>0</v>
      </c>
      <c r="T59" s="20">
        <f t="shared" si="37"/>
        <v>0</v>
      </c>
      <c r="U59" s="20">
        <f t="shared" si="38"/>
        <v>0</v>
      </c>
      <c r="V59" s="20">
        <f t="shared" si="39"/>
        <v>0</v>
      </c>
      <c r="W59" s="20">
        <f t="shared" si="40"/>
        <v>0</v>
      </c>
      <c r="X59" s="20">
        <f t="shared" si="41"/>
        <v>0</v>
      </c>
      <c r="Y59" s="20">
        <f t="shared" si="42"/>
        <v>0</v>
      </c>
      <c r="Z59" s="20">
        <f t="shared" si="43"/>
        <v>0</v>
      </c>
      <c r="AA59" s="20">
        <f t="shared" si="44"/>
        <v>0</v>
      </c>
      <c r="AB59" s="20">
        <f t="shared" si="45"/>
        <v>0</v>
      </c>
    </row>
    <row r="60" ht="15">
      <c r="A60" s="20">
        <f>Input!A60</f>
        <v>56</v>
      </c>
      <c r="B60" s="20" t="str">
        <f>IF(Input!B60="","",IF(B$3&gt;Input!$H$4,"",IFERROR(MATCH(Input!B60,Input!$H$10:$H$29,0),"ERR")))</f>
        <v/>
      </c>
      <c r="C60" s="20" t="str">
        <f>IF(Input!C60="","",IF(C$3&gt;Input!$H$4,"",IFERROR(MATCH(Input!C60,Input!$H$10:$H$29,0),"ERR")))</f>
        <v/>
      </c>
      <c r="D60" s="20" t="str">
        <f>IF(Input!D60="","",IF(D$3&gt;Input!$H$4,"",IFERROR(MATCH(Input!D60,Input!$H$10:$H$29,0),"ERR")))</f>
        <v/>
      </c>
      <c r="E60" s="20" t="str">
        <f>IF(Input!E60="","",IF(E$3&gt;Input!$H$4,"",IFERROR(MATCH(Input!E60,Input!$H$10:$H$29,0),"ERR")))</f>
        <v/>
      </c>
      <c r="F60" s="20">
        <f t="shared" si="23"/>
        <v>0</v>
      </c>
      <c r="G60" s="20">
        <f t="shared" si="24"/>
        <v>0</v>
      </c>
      <c r="H60" s="21">
        <f t="shared" si="25"/>
        <v>0</v>
      </c>
      <c r="I60" s="20">
        <f t="shared" si="26"/>
        <v>0</v>
      </c>
      <c r="J60" s="20">
        <f t="shared" si="27"/>
        <v>0</v>
      </c>
      <c r="K60" s="20">
        <f t="shared" si="28"/>
        <v>0</v>
      </c>
      <c r="L60" s="20">
        <f t="shared" si="29"/>
        <v>0</v>
      </c>
      <c r="M60" s="20">
        <f t="shared" si="30"/>
        <v>0</v>
      </c>
      <c r="N60" s="20">
        <f t="shared" si="31"/>
        <v>0</v>
      </c>
      <c r="O60" s="20">
        <f t="shared" si="32"/>
        <v>0</v>
      </c>
      <c r="P60" s="20">
        <f t="shared" si="33"/>
        <v>0</v>
      </c>
      <c r="Q60" s="20">
        <f t="shared" si="34"/>
        <v>0</v>
      </c>
      <c r="R60" s="20">
        <f t="shared" si="35"/>
        <v>0</v>
      </c>
      <c r="S60" s="20">
        <f t="shared" si="36"/>
        <v>0</v>
      </c>
      <c r="T60" s="20">
        <f t="shared" si="37"/>
        <v>0</v>
      </c>
      <c r="U60" s="20">
        <f t="shared" si="38"/>
        <v>0</v>
      </c>
      <c r="V60" s="20">
        <f t="shared" si="39"/>
        <v>0</v>
      </c>
      <c r="W60" s="20">
        <f t="shared" si="40"/>
        <v>0</v>
      </c>
      <c r="X60" s="20">
        <f t="shared" si="41"/>
        <v>0</v>
      </c>
      <c r="Y60" s="20">
        <f t="shared" si="42"/>
        <v>0</v>
      </c>
      <c r="Z60" s="20">
        <f t="shared" si="43"/>
        <v>0</v>
      </c>
      <c r="AA60" s="20">
        <f t="shared" si="44"/>
        <v>0</v>
      </c>
      <c r="AB60" s="20">
        <f t="shared" si="45"/>
        <v>0</v>
      </c>
    </row>
    <row r="61" ht="15">
      <c r="A61" s="20">
        <f>Input!A61</f>
        <v>57</v>
      </c>
      <c r="B61" s="20" t="str">
        <f>IF(Input!B61="","",IF(B$3&gt;Input!$H$4,"",IFERROR(MATCH(Input!B61,Input!$H$10:$H$29,0),"ERR")))</f>
        <v/>
      </c>
      <c r="C61" s="20" t="str">
        <f>IF(Input!C61="","",IF(C$3&gt;Input!$H$4,"",IFERROR(MATCH(Input!C61,Input!$H$10:$H$29,0),"ERR")))</f>
        <v/>
      </c>
      <c r="D61" s="20" t="str">
        <f>IF(Input!D61="","",IF(D$3&gt;Input!$H$4,"",IFERROR(MATCH(Input!D61,Input!$H$10:$H$29,0),"ERR")))</f>
        <v/>
      </c>
      <c r="E61" s="20" t="str">
        <f>IF(Input!E61="","",IF(E$3&gt;Input!$H$4,"",IFERROR(MATCH(Input!E61,Input!$H$10:$H$29,0),"ERR")))</f>
        <v/>
      </c>
      <c r="F61" s="20">
        <f t="shared" si="23"/>
        <v>0</v>
      </c>
      <c r="G61" s="20">
        <f t="shared" si="24"/>
        <v>0</v>
      </c>
      <c r="H61" s="21">
        <f t="shared" si="25"/>
        <v>0</v>
      </c>
      <c r="I61" s="20">
        <f t="shared" si="26"/>
        <v>0</v>
      </c>
      <c r="J61" s="20">
        <f t="shared" si="27"/>
        <v>0</v>
      </c>
      <c r="K61" s="20">
        <f t="shared" si="28"/>
        <v>0</v>
      </c>
      <c r="L61" s="20">
        <f t="shared" si="29"/>
        <v>0</v>
      </c>
      <c r="M61" s="20">
        <f t="shared" si="30"/>
        <v>0</v>
      </c>
      <c r="N61" s="20">
        <f t="shared" si="31"/>
        <v>0</v>
      </c>
      <c r="O61" s="20">
        <f t="shared" si="32"/>
        <v>0</v>
      </c>
      <c r="P61" s="20">
        <f t="shared" si="33"/>
        <v>0</v>
      </c>
      <c r="Q61" s="20">
        <f t="shared" si="34"/>
        <v>0</v>
      </c>
      <c r="R61" s="20">
        <f t="shared" si="35"/>
        <v>0</v>
      </c>
      <c r="S61" s="20">
        <f t="shared" si="36"/>
        <v>0</v>
      </c>
      <c r="T61" s="20">
        <f t="shared" si="37"/>
        <v>0</v>
      </c>
      <c r="U61" s="20">
        <f t="shared" si="38"/>
        <v>0</v>
      </c>
      <c r="V61" s="20">
        <f t="shared" si="39"/>
        <v>0</v>
      </c>
      <c r="W61" s="20">
        <f t="shared" si="40"/>
        <v>0</v>
      </c>
      <c r="X61" s="20">
        <f t="shared" si="41"/>
        <v>0</v>
      </c>
      <c r="Y61" s="20">
        <f t="shared" si="42"/>
        <v>0</v>
      </c>
      <c r="Z61" s="20">
        <f t="shared" si="43"/>
        <v>0</v>
      </c>
      <c r="AA61" s="20">
        <f t="shared" si="44"/>
        <v>0</v>
      </c>
      <c r="AB61" s="20">
        <f t="shared" si="45"/>
        <v>0</v>
      </c>
    </row>
    <row r="62" ht="15">
      <c r="A62" s="20">
        <f>Input!A62</f>
        <v>58</v>
      </c>
      <c r="B62" s="20" t="str">
        <f>IF(Input!B62="","",IF(B$3&gt;Input!$H$4,"",IFERROR(MATCH(Input!B62,Input!$H$10:$H$29,0),"ERR")))</f>
        <v/>
      </c>
      <c r="C62" s="20" t="str">
        <f>IF(Input!C62="","",IF(C$3&gt;Input!$H$4,"",IFERROR(MATCH(Input!C62,Input!$H$10:$H$29,0),"ERR")))</f>
        <v/>
      </c>
      <c r="D62" s="20" t="str">
        <f>IF(Input!D62="","",IF(D$3&gt;Input!$H$4,"",IFERROR(MATCH(Input!D62,Input!$H$10:$H$29,0),"ERR")))</f>
        <v/>
      </c>
      <c r="E62" s="20" t="str">
        <f>IF(Input!E62="","",IF(E$3&gt;Input!$H$4,"",IFERROR(MATCH(Input!E62,Input!$H$10:$H$29,0),"ERR")))</f>
        <v/>
      </c>
      <c r="F62" s="20">
        <f t="shared" si="23"/>
        <v>0</v>
      </c>
      <c r="G62" s="20">
        <f t="shared" si="24"/>
        <v>0</v>
      </c>
      <c r="H62" s="21">
        <f t="shared" si="25"/>
        <v>0</v>
      </c>
      <c r="I62" s="20">
        <f t="shared" si="26"/>
        <v>0</v>
      </c>
      <c r="J62" s="20">
        <f t="shared" si="27"/>
        <v>0</v>
      </c>
      <c r="K62" s="20">
        <f t="shared" si="28"/>
        <v>0</v>
      </c>
      <c r="L62" s="20">
        <f t="shared" si="29"/>
        <v>0</v>
      </c>
      <c r="M62" s="20">
        <f t="shared" si="30"/>
        <v>0</v>
      </c>
      <c r="N62" s="20">
        <f t="shared" si="31"/>
        <v>0</v>
      </c>
      <c r="O62" s="20">
        <f t="shared" si="32"/>
        <v>0</v>
      </c>
      <c r="P62" s="20">
        <f t="shared" si="33"/>
        <v>0</v>
      </c>
      <c r="Q62" s="20">
        <f t="shared" si="34"/>
        <v>0</v>
      </c>
      <c r="R62" s="20">
        <f t="shared" si="35"/>
        <v>0</v>
      </c>
      <c r="S62" s="20">
        <f t="shared" si="36"/>
        <v>0</v>
      </c>
      <c r="T62" s="20">
        <f t="shared" si="37"/>
        <v>0</v>
      </c>
      <c r="U62" s="20">
        <f t="shared" si="38"/>
        <v>0</v>
      </c>
      <c r="V62" s="20">
        <f t="shared" si="39"/>
        <v>0</v>
      </c>
      <c r="W62" s="20">
        <f t="shared" si="40"/>
        <v>0</v>
      </c>
      <c r="X62" s="20">
        <f t="shared" si="41"/>
        <v>0</v>
      </c>
      <c r="Y62" s="20">
        <f t="shared" si="42"/>
        <v>0</v>
      </c>
      <c r="Z62" s="20">
        <f t="shared" si="43"/>
        <v>0</v>
      </c>
      <c r="AA62" s="20">
        <f t="shared" si="44"/>
        <v>0</v>
      </c>
      <c r="AB62" s="20">
        <f t="shared" si="45"/>
        <v>0</v>
      </c>
    </row>
    <row r="63" ht="15">
      <c r="A63" s="20">
        <f>Input!A63</f>
        <v>59</v>
      </c>
      <c r="B63" s="20" t="str">
        <f>IF(Input!B63="","",IF(B$3&gt;Input!$H$4,"",IFERROR(MATCH(Input!B63,Input!$H$10:$H$29,0),"ERR")))</f>
        <v/>
      </c>
      <c r="C63" s="20" t="str">
        <f>IF(Input!C63="","",IF(C$3&gt;Input!$H$4,"",IFERROR(MATCH(Input!C63,Input!$H$10:$H$29,0),"ERR")))</f>
        <v/>
      </c>
      <c r="D63" s="20" t="str">
        <f>IF(Input!D63="","",IF(D$3&gt;Input!$H$4,"",IFERROR(MATCH(Input!D63,Input!$H$10:$H$29,0),"ERR")))</f>
        <v/>
      </c>
      <c r="E63" s="20" t="str">
        <f>IF(Input!E63="","",IF(E$3&gt;Input!$H$4,"",IFERROR(MATCH(Input!E63,Input!$H$10:$H$29,0),"ERR")))</f>
        <v/>
      </c>
      <c r="F63" s="20">
        <f t="shared" si="23"/>
        <v>0</v>
      </c>
      <c r="G63" s="20">
        <f t="shared" si="24"/>
        <v>0</v>
      </c>
      <c r="H63" s="21">
        <f t="shared" si="25"/>
        <v>0</v>
      </c>
      <c r="I63" s="20">
        <f t="shared" si="26"/>
        <v>0</v>
      </c>
      <c r="J63" s="20">
        <f t="shared" si="27"/>
        <v>0</v>
      </c>
      <c r="K63" s="20">
        <f t="shared" si="28"/>
        <v>0</v>
      </c>
      <c r="L63" s="20">
        <f t="shared" si="29"/>
        <v>0</v>
      </c>
      <c r="M63" s="20">
        <f t="shared" si="30"/>
        <v>0</v>
      </c>
      <c r="N63" s="20">
        <f t="shared" si="31"/>
        <v>0</v>
      </c>
      <c r="O63" s="20">
        <f t="shared" si="32"/>
        <v>0</v>
      </c>
      <c r="P63" s="20">
        <f t="shared" si="33"/>
        <v>0</v>
      </c>
      <c r="Q63" s="20">
        <f t="shared" si="34"/>
        <v>0</v>
      </c>
      <c r="R63" s="20">
        <f t="shared" si="35"/>
        <v>0</v>
      </c>
      <c r="S63" s="20">
        <f t="shared" si="36"/>
        <v>0</v>
      </c>
      <c r="T63" s="20">
        <f t="shared" si="37"/>
        <v>0</v>
      </c>
      <c r="U63" s="20">
        <f t="shared" si="38"/>
        <v>0</v>
      </c>
      <c r="V63" s="20">
        <f t="shared" si="39"/>
        <v>0</v>
      </c>
      <c r="W63" s="20">
        <f t="shared" si="40"/>
        <v>0</v>
      </c>
      <c r="X63" s="20">
        <f t="shared" si="41"/>
        <v>0</v>
      </c>
      <c r="Y63" s="20">
        <f t="shared" si="42"/>
        <v>0</v>
      </c>
      <c r="Z63" s="20">
        <f t="shared" si="43"/>
        <v>0</v>
      </c>
      <c r="AA63" s="20">
        <f t="shared" si="44"/>
        <v>0</v>
      </c>
      <c r="AB63" s="20">
        <f t="shared" si="45"/>
        <v>0</v>
      </c>
    </row>
    <row r="64" ht="15">
      <c r="A64" s="20">
        <f>Input!A64</f>
        <v>60</v>
      </c>
      <c r="B64" s="20" t="str">
        <f>IF(Input!B64="","",IF(B$3&gt;Input!$H$4,"",IFERROR(MATCH(Input!B64,Input!$H$10:$H$29,0),"ERR")))</f>
        <v/>
      </c>
      <c r="C64" s="20" t="str">
        <f>IF(Input!C64="","",IF(C$3&gt;Input!$H$4,"",IFERROR(MATCH(Input!C64,Input!$H$10:$H$29,0),"ERR")))</f>
        <v/>
      </c>
      <c r="D64" s="20" t="str">
        <f>IF(Input!D64="","",IF(D$3&gt;Input!$H$4,"",IFERROR(MATCH(Input!D64,Input!$H$10:$H$29,0),"ERR")))</f>
        <v/>
      </c>
      <c r="E64" s="20" t="str">
        <f>IF(Input!E64="","",IF(E$3&gt;Input!$H$4,"",IFERROR(MATCH(Input!E64,Input!$H$10:$H$29,0),"ERR")))</f>
        <v/>
      </c>
      <c r="F64" s="20">
        <f t="shared" si="23"/>
        <v>0</v>
      </c>
      <c r="G64" s="20">
        <f t="shared" si="24"/>
        <v>0</v>
      </c>
      <c r="H64" s="21">
        <f t="shared" si="25"/>
        <v>0</v>
      </c>
      <c r="I64" s="20">
        <f t="shared" si="26"/>
        <v>0</v>
      </c>
      <c r="J64" s="20">
        <f t="shared" si="27"/>
        <v>0</v>
      </c>
      <c r="K64" s="20">
        <f t="shared" si="28"/>
        <v>0</v>
      </c>
      <c r="L64" s="20">
        <f t="shared" si="29"/>
        <v>0</v>
      </c>
      <c r="M64" s="20">
        <f t="shared" si="30"/>
        <v>0</v>
      </c>
      <c r="N64" s="20">
        <f t="shared" si="31"/>
        <v>0</v>
      </c>
      <c r="O64" s="20">
        <f t="shared" si="32"/>
        <v>0</v>
      </c>
      <c r="P64" s="20">
        <f t="shared" si="33"/>
        <v>0</v>
      </c>
      <c r="Q64" s="20">
        <f t="shared" si="34"/>
        <v>0</v>
      </c>
      <c r="R64" s="20">
        <f t="shared" si="35"/>
        <v>0</v>
      </c>
      <c r="S64" s="20">
        <f t="shared" si="36"/>
        <v>0</v>
      </c>
      <c r="T64" s="20">
        <f t="shared" si="37"/>
        <v>0</v>
      </c>
      <c r="U64" s="20">
        <f t="shared" si="38"/>
        <v>0</v>
      </c>
      <c r="V64" s="20">
        <f t="shared" si="39"/>
        <v>0</v>
      </c>
      <c r="W64" s="20">
        <f t="shared" si="40"/>
        <v>0</v>
      </c>
      <c r="X64" s="20">
        <f t="shared" si="41"/>
        <v>0</v>
      </c>
      <c r="Y64" s="20">
        <f t="shared" si="42"/>
        <v>0</v>
      </c>
      <c r="Z64" s="20">
        <f t="shared" si="43"/>
        <v>0</v>
      </c>
      <c r="AA64" s="20">
        <f t="shared" si="44"/>
        <v>0</v>
      </c>
      <c r="AB64" s="20">
        <f t="shared" si="45"/>
        <v>0</v>
      </c>
    </row>
    <row r="65" ht="15">
      <c r="A65" s="20">
        <f>Input!A65</f>
        <v>61</v>
      </c>
      <c r="B65" s="20" t="str">
        <f>IF(Input!B65="","",IF(B$3&gt;Input!$H$4,"",IFERROR(MATCH(Input!B65,Input!$H$10:$H$29,0),"ERR")))</f>
        <v/>
      </c>
      <c r="C65" s="20" t="str">
        <f>IF(Input!C65="","",IF(C$3&gt;Input!$H$4,"",IFERROR(MATCH(Input!C65,Input!$H$10:$H$29,0),"ERR")))</f>
        <v/>
      </c>
      <c r="D65" s="20" t="str">
        <f>IF(Input!D65="","",IF(D$3&gt;Input!$H$4,"",IFERROR(MATCH(Input!D65,Input!$H$10:$H$29,0),"ERR")))</f>
        <v/>
      </c>
      <c r="E65" s="20" t="str">
        <f>IF(Input!E65="","",IF(E$3&gt;Input!$H$4,"",IFERROR(MATCH(Input!E65,Input!$H$10:$H$29,0),"ERR")))</f>
        <v/>
      </c>
      <c r="F65" s="20">
        <f t="shared" si="23"/>
        <v>0</v>
      </c>
      <c r="G65" s="20">
        <f t="shared" si="24"/>
        <v>0</v>
      </c>
      <c r="H65" s="21">
        <f t="shared" si="25"/>
        <v>0</v>
      </c>
      <c r="I65" s="20">
        <f t="shared" si="26"/>
        <v>0</v>
      </c>
      <c r="J65" s="20">
        <f t="shared" si="27"/>
        <v>0</v>
      </c>
      <c r="K65" s="20">
        <f t="shared" si="28"/>
        <v>0</v>
      </c>
      <c r="L65" s="20">
        <f t="shared" si="29"/>
        <v>0</v>
      </c>
      <c r="M65" s="20">
        <f t="shared" si="30"/>
        <v>0</v>
      </c>
      <c r="N65" s="20">
        <f t="shared" si="31"/>
        <v>0</v>
      </c>
      <c r="O65" s="20">
        <f t="shared" si="32"/>
        <v>0</v>
      </c>
      <c r="P65" s="20">
        <f t="shared" si="33"/>
        <v>0</v>
      </c>
      <c r="Q65" s="20">
        <f t="shared" si="34"/>
        <v>0</v>
      </c>
      <c r="R65" s="20">
        <f t="shared" si="35"/>
        <v>0</v>
      </c>
      <c r="S65" s="20">
        <f t="shared" si="36"/>
        <v>0</v>
      </c>
      <c r="T65" s="20">
        <f t="shared" si="37"/>
        <v>0</v>
      </c>
      <c r="U65" s="20">
        <f t="shared" si="38"/>
        <v>0</v>
      </c>
      <c r="V65" s="20">
        <f t="shared" si="39"/>
        <v>0</v>
      </c>
      <c r="W65" s="20">
        <f t="shared" si="40"/>
        <v>0</v>
      </c>
      <c r="X65" s="20">
        <f t="shared" si="41"/>
        <v>0</v>
      </c>
      <c r="Y65" s="20">
        <f t="shared" si="42"/>
        <v>0</v>
      </c>
      <c r="Z65" s="20">
        <f t="shared" si="43"/>
        <v>0</v>
      </c>
      <c r="AA65" s="20">
        <f t="shared" si="44"/>
        <v>0</v>
      </c>
      <c r="AB65" s="20">
        <f t="shared" si="45"/>
        <v>0</v>
      </c>
    </row>
    <row r="66" ht="15">
      <c r="A66" s="20">
        <f>Input!A66</f>
        <v>62</v>
      </c>
      <c r="B66" s="20" t="str">
        <f>IF(Input!B66="","",IF(B$3&gt;Input!$H$4,"",IFERROR(MATCH(Input!B66,Input!$H$10:$H$29,0),"ERR")))</f>
        <v/>
      </c>
      <c r="C66" s="20" t="str">
        <f>IF(Input!C66="","",IF(C$3&gt;Input!$H$4,"",IFERROR(MATCH(Input!C66,Input!$H$10:$H$29,0),"ERR")))</f>
        <v/>
      </c>
      <c r="D66" s="20" t="str">
        <f>IF(Input!D66="","",IF(D$3&gt;Input!$H$4,"",IFERROR(MATCH(Input!D66,Input!$H$10:$H$29,0),"ERR")))</f>
        <v/>
      </c>
      <c r="E66" s="20" t="str">
        <f>IF(Input!E66="","",IF(E$3&gt;Input!$H$4,"",IFERROR(MATCH(Input!E66,Input!$H$10:$H$29,0),"ERR")))</f>
        <v/>
      </c>
      <c r="F66" s="20">
        <f t="shared" si="23"/>
        <v>0</v>
      </c>
      <c r="G66" s="20">
        <f t="shared" si="24"/>
        <v>0</v>
      </c>
      <c r="H66" s="21">
        <f t="shared" si="25"/>
        <v>0</v>
      </c>
      <c r="I66" s="20">
        <f t="shared" si="26"/>
        <v>0</v>
      </c>
      <c r="J66" s="20">
        <f t="shared" si="27"/>
        <v>0</v>
      </c>
      <c r="K66" s="20">
        <f t="shared" si="28"/>
        <v>0</v>
      </c>
      <c r="L66" s="20">
        <f t="shared" si="29"/>
        <v>0</v>
      </c>
      <c r="M66" s="20">
        <f t="shared" si="30"/>
        <v>0</v>
      </c>
      <c r="N66" s="20">
        <f t="shared" si="31"/>
        <v>0</v>
      </c>
      <c r="O66" s="20">
        <f t="shared" si="32"/>
        <v>0</v>
      </c>
      <c r="P66" s="20">
        <f t="shared" si="33"/>
        <v>0</v>
      </c>
      <c r="Q66" s="20">
        <f t="shared" si="34"/>
        <v>0</v>
      </c>
      <c r="R66" s="20">
        <f t="shared" si="35"/>
        <v>0</v>
      </c>
      <c r="S66" s="20">
        <f t="shared" si="36"/>
        <v>0</v>
      </c>
      <c r="T66" s="20">
        <f t="shared" si="37"/>
        <v>0</v>
      </c>
      <c r="U66" s="20">
        <f t="shared" si="38"/>
        <v>0</v>
      </c>
      <c r="V66" s="20">
        <f t="shared" si="39"/>
        <v>0</v>
      </c>
      <c r="W66" s="20">
        <f t="shared" si="40"/>
        <v>0</v>
      </c>
      <c r="X66" s="20">
        <f t="shared" si="41"/>
        <v>0</v>
      </c>
      <c r="Y66" s="20">
        <f t="shared" si="42"/>
        <v>0</v>
      </c>
      <c r="Z66" s="20">
        <f t="shared" si="43"/>
        <v>0</v>
      </c>
      <c r="AA66" s="20">
        <f t="shared" si="44"/>
        <v>0</v>
      </c>
      <c r="AB66" s="20">
        <f t="shared" si="45"/>
        <v>0</v>
      </c>
    </row>
    <row r="67" ht="15">
      <c r="A67" s="20">
        <f>Input!A67</f>
        <v>63</v>
      </c>
      <c r="B67" s="20" t="str">
        <f>IF(Input!B67="","",IF(B$3&gt;Input!$H$4,"",IFERROR(MATCH(Input!B67,Input!$H$10:$H$29,0),"ERR")))</f>
        <v/>
      </c>
      <c r="C67" s="20" t="str">
        <f>IF(Input!C67="","",IF(C$3&gt;Input!$H$4,"",IFERROR(MATCH(Input!C67,Input!$H$10:$H$29,0),"ERR")))</f>
        <v/>
      </c>
      <c r="D67" s="20" t="str">
        <f>IF(Input!D67="","",IF(D$3&gt;Input!$H$4,"",IFERROR(MATCH(Input!D67,Input!$H$10:$H$29,0),"ERR")))</f>
        <v/>
      </c>
      <c r="E67" s="20" t="str">
        <f>IF(Input!E67="","",IF(E$3&gt;Input!$H$4,"",IFERROR(MATCH(Input!E67,Input!$H$10:$H$29,0),"ERR")))</f>
        <v/>
      </c>
      <c r="F67" s="20">
        <f t="shared" si="23"/>
        <v>0</v>
      </c>
      <c r="G67" s="20">
        <f t="shared" si="24"/>
        <v>0</v>
      </c>
      <c r="H67" s="21">
        <f t="shared" si="25"/>
        <v>0</v>
      </c>
      <c r="I67" s="20">
        <f t="shared" si="26"/>
        <v>0</v>
      </c>
      <c r="J67" s="20">
        <f t="shared" si="27"/>
        <v>0</v>
      </c>
      <c r="K67" s="20">
        <f t="shared" si="28"/>
        <v>0</v>
      </c>
      <c r="L67" s="20">
        <f t="shared" si="29"/>
        <v>0</v>
      </c>
      <c r="M67" s="20">
        <f t="shared" si="30"/>
        <v>0</v>
      </c>
      <c r="N67" s="20">
        <f t="shared" si="31"/>
        <v>0</v>
      </c>
      <c r="O67" s="20">
        <f t="shared" si="32"/>
        <v>0</v>
      </c>
      <c r="P67" s="20">
        <f t="shared" si="33"/>
        <v>0</v>
      </c>
      <c r="Q67" s="20">
        <f t="shared" si="34"/>
        <v>0</v>
      </c>
      <c r="R67" s="20">
        <f t="shared" si="35"/>
        <v>0</v>
      </c>
      <c r="S67" s="20">
        <f t="shared" si="36"/>
        <v>0</v>
      </c>
      <c r="T67" s="20">
        <f t="shared" si="37"/>
        <v>0</v>
      </c>
      <c r="U67" s="20">
        <f t="shared" si="38"/>
        <v>0</v>
      </c>
      <c r="V67" s="20">
        <f t="shared" si="39"/>
        <v>0</v>
      </c>
      <c r="W67" s="20">
        <f t="shared" si="40"/>
        <v>0</v>
      </c>
      <c r="X67" s="20">
        <f t="shared" si="41"/>
        <v>0</v>
      </c>
      <c r="Y67" s="20">
        <f t="shared" si="42"/>
        <v>0</v>
      </c>
      <c r="Z67" s="20">
        <f t="shared" si="43"/>
        <v>0</v>
      </c>
      <c r="AA67" s="20">
        <f t="shared" si="44"/>
        <v>0</v>
      </c>
      <c r="AB67" s="20">
        <f t="shared" si="45"/>
        <v>0</v>
      </c>
    </row>
    <row r="68" ht="15">
      <c r="A68" s="20">
        <f>Input!A68</f>
        <v>64</v>
      </c>
      <c r="B68" s="20" t="str">
        <f>IF(Input!B68="","",IF(B$3&gt;Input!$H$4,"",IFERROR(MATCH(Input!B68,Input!$H$10:$H$29,0),"ERR")))</f>
        <v/>
      </c>
      <c r="C68" s="20" t="str">
        <f>IF(Input!C68="","",IF(C$3&gt;Input!$H$4,"",IFERROR(MATCH(Input!C68,Input!$H$10:$H$29,0),"ERR")))</f>
        <v/>
      </c>
      <c r="D68" s="20" t="str">
        <f>IF(Input!D68="","",IF(D$3&gt;Input!$H$4,"",IFERROR(MATCH(Input!D68,Input!$H$10:$H$29,0),"ERR")))</f>
        <v/>
      </c>
      <c r="E68" s="20" t="str">
        <f>IF(Input!E68="","",IF(E$3&gt;Input!$H$4,"",IFERROR(MATCH(Input!E68,Input!$H$10:$H$29,0),"ERR")))</f>
        <v/>
      </c>
      <c r="F68" s="20">
        <f t="shared" si="23"/>
        <v>0</v>
      </c>
      <c r="G68" s="20">
        <f t="shared" si="24"/>
        <v>0</v>
      </c>
      <c r="H68" s="21">
        <f t="shared" si="25"/>
        <v>0</v>
      </c>
      <c r="I68" s="20">
        <f t="shared" si="26"/>
        <v>0</v>
      </c>
      <c r="J68" s="20">
        <f t="shared" si="27"/>
        <v>0</v>
      </c>
      <c r="K68" s="20">
        <f t="shared" si="28"/>
        <v>0</v>
      </c>
      <c r="L68" s="20">
        <f t="shared" si="29"/>
        <v>0</v>
      </c>
      <c r="M68" s="20">
        <f t="shared" si="30"/>
        <v>0</v>
      </c>
      <c r="N68" s="20">
        <f t="shared" si="31"/>
        <v>0</v>
      </c>
      <c r="O68" s="20">
        <f t="shared" si="32"/>
        <v>0</v>
      </c>
      <c r="P68" s="20">
        <f t="shared" si="33"/>
        <v>0</v>
      </c>
      <c r="Q68" s="20">
        <f t="shared" si="34"/>
        <v>0</v>
      </c>
      <c r="R68" s="20">
        <f t="shared" si="35"/>
        <v>0</v>
      </c>
      <c r="S68" s="20">
        <f t="shared" si="36"/>
        <v>0</v>
      </c>
      <c r="T68" s="20">
        <f t="shared" si="37"/>
        <v>0</v>
      </c>
      <c r="U68" s="20">
        <f t="shared" si="38"/>
        <v>0</v>
      </c>
      <c r="V68" s="20">
        <f t="shared" si="39"/>
        <v>0</v>
      </c>
      <c r="W68" s="20">
        <f t="shared" si="40"/>
        <v>0</v>
      </c>
      <c r="X68" s="20">
        <f t="shared" si="41"/>
        <v>0</v>
      </c>
      <c r="Y68" s="20">
        <f t="shared" si="42"/>
        <v>0</v>
      </c>
      <c r="Z68" s="20">
        <f t="shared" si="43"/>
        <v>0</v>
      </c>
      <c r="AA68" s="20">
        <f t="shared" si="44"/>
        <v>0</v>
      </c>
      <c r="AB68" s="20">
        <f t="shared" si="45"/>
        <v>0</v>
      </c>
    </row>
    <row r="69" ht="15">
      <c r="A69" s="20">
        <f>Input!A69</f>
        <v>65</v>
      </c>
      <c r="B69" s="20" t="str">
        <f>IF(Input!B69="","",IF(B$3&gt;Input!$H$4,"",IFERROR(MATCH(Input!B69,Input!$H$10:$H$29,0),"ERR")))</f>
        <v/>
      </c>
      <c r="C69" s="20" t="str">
        <f>IF(Input!C69="","",IF(C$3&gt;Input!$H$4,"",IFERROR(MATCH(Input!C69,Input!$H$10:$H$29,0),"ERR")))</f>
        <v/>
      </c>
      <c r="D69" s="20" t="str">
        <f>IF(Input!D69="","",IF(D$3&gt;Input!$H$4,"",IFERROR(MATCH(Input!D69,Input!$H$10:$H$29,0),"ERR")))</f>
        <v/>
      </c>
      <c r="E69" s="20" t="str">
        <f>IF(Input!E69="","",IF(E$3&gt;Input!$H$4,"",IFERROR(MATCH(Input!E69,Input!$H$10:$H$29,0),"ERR")))</f>
        <v/>
      </c>
      <c r="F69" s="20">
        <f t="shared" si="23"/>
        <v>0</v>
      </c>
      <c r="G69" s="20">
        <f t="shared" si="24"/>
        <v>0</v>
      </c>
      <c r="H69" s="21">
        <f t="shared" si="25"/>
        <v>0</v>
      </c>
      <c r="I69" s="20">
        <f t="shared" si="26"/>
        <v>0</v>
      </c>
      <c r="J69" s="20">
        <f t="shared" si="27"/>
        <v>0</v>
      </c>
      <c r="K69" s="20">
        <f t="shared" si="28"/>
        <v>0</v>
      </c>
      <c r="L69" s="20">
        <f t="shared" si="29"/>
        <v>0</v>
      </c>
      <c r="M69" s="20">
        <f t="shared" si="30"/>
        <v>0</v>
      </c>
      <c r="N69" s="20">
        <f t="shared" si="31"/>
        <v>0</v>
      </c>
      <c r="O69" s="20">
        <f t="shared" si="32"/>
        <v>0</v>
      </c>
      <c r="P69" s="20">
        <f t="shared" si="33"/>
        <v>0</v>
      </c>
      <c r="Q69" s="20">
        <f t="shared" si="34"/>
        <v>0</v>
      </c>
      <c r="R69" s="20">
        <f t="shared" si="35"/>
        <v>0</v>
      </c>
      <c r="S69" s="20">
        <f t="shared" si="36"/>
        <v>0</v>
      </c>
      <c r="T69" s="20">
        <f t="shared" si="37"/>
        <v>0</v>
      </c>
      <c r="U69" s="20">
        <f t="shared" si="38"/>
        <v>0</v>
      </c>
      <c r="V69" s="20">
        <f t="shared" si="39"/>
        <v>0</v>
      </c>
      <c r="W69" s="20">
        <f t="shared" si="40"/>
        <v>0</v>
      </c>
      <c r="X69" s="20">
        <f t="shared" si="41"/>
        <v>0</v>
      </c>
      <c r="Y69" s="20">
        <f t="shared" si="42"/>
        <v>0</v>
      </c>
      <c r="Z69" s="20">
        <f t="shared" si="43"/>
        <v>0</v>
      </c>
      <c r="AA69" s="20">
        <f t="shared" si="44"/>
        <v>0</v>
      </c>
      <c r="AB69" s="20">
        <f t="shared" si="45"/>
        <v>0</v>
      </c>
    </row>
    <row r="70" ht="15">
      <c r="A70" s="20">
        <f>Input!A70</f>
        <v>66</v>
      </c>
      <c r="B70" s="20" t="str">
        <f>IF(Input!B70="","",IF(B$3&gt;Input!$H$4,"",IFERROR(MATCH(Input!B70,Input!$H$10:$H$29,0),"ERR")))</f>
        <v/>
      </c>
      <c r="C70" s="20" t="str">
        <f>IF(Input!C70="","",IF(C$3&gt;Input!$H$4,"",IFERROR(MATCH(Input!C70,Input!$H$10:$H$29,0),"ERR")))</f>
        <v/>
      </c>
      <c r="D70" s="20" t="str">
        <f>IF(Input!D70="","",IF(D$3&gt;Input!$H$4,"",IFERROR(MATCH(Input!D70,Input!$H$10:$H$29,0),"ERR")))</f>
        <v/>
      </c>
      <c r="E70" s="20" t="str">
        <f>IF(Input!E70="","",IF(E$3&gt;Input!$H$4,"",IFERROR(MATCH(Input!E70,Input!$H$10:$H$29,0),"ERR")))</f>
        <v/>
      </c>
      <c r="F70" s="20">
        <f t="shared" si="23"/>
        <v>0</v>
      </c>
      <c r="G70" s="20">
        <f t="shared" si="24"/>
        <v>0</v>
      </c>
      <c r="H70" s="21">
        <f t="shared" si="25"/>
        <v>0</v>
      </c>
      <c r="I70" s="20">
        <f t="shared" si="26"/>
        <v>0</v>
      </c>
      <c r="J70" s="20">
        <f t="shared" si="27"/>
        <v>0</v>
      </c>
      <c r="K70" s="20">
        <f t="shared" si="28"/>
        <v>0</v>
      </c>
      <c r="L70" s="20">
        <f t="shared" si="29"/>
        <v>0</v>
      </c>
      <c r="M70" s="20">
        <f t="shared" si="30"/>
        <v>0</v>
      </c>
      <c r="N70" s="20">
        <f t="shared" si="31"/>
        <v>0</v>
      </c>
      <c r="O70" s="20">
        <f t="shared" si="32"/>
        <v>0</v>
      </c>
      <c r="P70" s="20">
        <f t="shared" si="33"/>
        <v>0</v>
      </c>
      <c r="Q70" s="20">
        <f t="shared" si="34"/>
        <v>0</v>
      </c>
      <c r="R70" s="20">
        <f t="shared" si="35"/>
        <v>0</v>
      </c>
      <c r="S70" s="20">
        <f t="shared" si="36"/>
        <v>0</v>
      </c>
      <c r="T70" s="20">
        <f t="shared" si="37"/>
        <v>0</v>
      </c>
      <c r="U70" s="20">
        <f t="shared" si="38"/>
        <v>0</v>
      </c>
      <c r="V70" s="20">
        <f t="shared" si="39"/>
        <v>0</v>
      </c>
      <c r="W70" s="20">
        <f t="shared" si="40"/>
        <v>0</v>
      </c>
      <c r="X70" s="20">
        <f t="shared" si="41"/>
        <v>0</v>
      </c>
      <c r="Y70" s="20">
        <f t="shared" si="42"/>
        <v>0</v>
      </c>
      <c r="Z70" s="20">
        <f t="shared" si="43"/>
        <v>0</v>
      </c>
      <c r="AA70" s="20">
        <f t="shared" si="44"/>
        <v>0</v>
      </c>
      <c r="AB70" s="20">
        <f t="shared" si="45"/>
        <v>0</v>
      </c>
    </row>
    <row r="71" ht="15">
      <c r="A71" s="20">
        <f>Input!A71</f>
        <v>67</v>
      </c>
      <c r="B71" s="20" t="str">
        <f>IF(Input!B71="","",IF(B$3&gt;Input!$H$4,"",IFERROR(MATCH(Input!B71,Input!$H$10:$H$29,0),"ERR")))</f>
        <v/>
      </c>
      <c r="C71" s="20" t="str">
        <f>IF(Input!C71="","",IF(C$3&gt;Input!$H$4,"",IFERROR(MATCH(Input!C71,Input!$H$10:$H$29,0),"ERR")))</f>
        <v/>
      </c>
      <c r="D71" s="20" t="str">
        <f>IF(Input!D71="","",IF(D$3&gt;Input!$H$4,"",IFERROR(MATCH(Input!D71,Input!$H$10:$H$29,0),"ERR")))</f>
        <v/>
      </c>
      <c r="E71" s="20" t="str">
        <f>IF(Input!E71="","",IF(E$3&gt;Input!$H$4,"",IFERROR(MATCH(Input!E71,Input!$H$10:$H$29,0),"ERR")))</f>
        <v/>
      </c>
      <c r="F71" s="20">
        <f t="shared" si="23"/>
        <v>0</v>
      </c>
      <c r="G71" s="20">
        <f t="shared" si="24"/>
        <v>0</v>
      </c>
      <c r="H71" s="21">
        <f t="shared" si="25"/>
        <v>0</v>
      </c>
      <c r="I71" s="20">
        <f t="shared" si="26"/>
        <v>0</v>
      </c>
      <c r="J71" s="20">
        <f t="shared" si="27"/>
        <v>0</v>
      </c>
      <c r="K71" s="20">
        <f t="shared" si="28"/>
        <v>0</v>
      </c>
      <c r="L71" s="20">
        <f t="shared" si="29"/>
        <v>0</v>
      </c>
      <c r="M71" s="20">
        <f t="shared" si="30"/>
        <v>0</v>
      </c>
      <c r="N71" s="20">
        <f t="shared" si="31"/>
        <v>0</v>
      </c>
      <c r="O71" s="20">
        <f t="shared" si="32"/>
        <v>0</v>
      </c>
      <c r="P71" s="20">
        <f t="shared" si="33"/>
        <v>0</v>
      </c>
      <c r="Q71" s="20">
        <f t="shared" si="34"/>
        <v>0</v>
      </c>
      <c r="R71" s="20">
        <f t="shared" si="35"/>
        <v>0</v>
      </c>
      <c r="S71" s="20">
        <f t="shared" si="36"/>
        <v>0</v>
      </c>
      <c r="T71" s="20">
        <f t="shared" si="37"/>
        <v>0</v>
      </c>
      <c r="U71" s="20">
        <f t="shared" si="38"/>
        <v>0</v>
      </c>
      <c r="V71" s="20">
        <f t="shared" si="39"/>
        <v>0</v>
      </c>
      <c r="W71" s="20">
        <f t="shared" si="40"/>
        <v>0</v>
      </c>
      <c r="X71" s="20">
        <f t="shared" si="41"/>
        <v>0</v>
      </c>
      <c r="Y71" s="20">
        <f t="shared" si="42"/>
        <v>0</v>
      </c>
      <c r="Z71" s="20">
        <f t="shared" si="43"/>
        <v>0</v>
      </c>
      <c r="AA71" s="20">
        <f t="shared" si="44"/>
        <v>0</v>
      </c>
      <c r="AB71" s="20">
        <f t="shared" si="45"/>
        <v>0</v>
      </c>
    </row>
    <row r="72" ht="15">
      <c r="A72" s="20">
        <f>Input!A72</f>
        <v>68</v>
      </c>
      <c r="B72" s="20" t="str">
        <f>IF(Input!B72="","",IF(B$3&gt;Input!$H$4,"",IFERROR(MATCH(Input!B72,Input!$H$10:$H$29,0),"ERR")))</f>
        <v/>
      </c>
      <c r="C72" s="20" t="str">
        <f>IF(Input!C72="","",IF(C$3&gt;Input!$H$4,"",IFERROR(MATCH(Input!C72,Input!$H$10:$H$29,0),"ERR")))</f>
        <v/>
      </c>
      <c r="D72" s="20" t="str">
        <f>IF(Input!D72="","",IF(D$3&gt;Input!$H$4,"",IFERROR(MATCH(Input!D72,Input!$H$10:$H$29,0),"ERR")))</f>
        <v/>
      </c>
      <c r="E72" s="20" t="str">
        <f>IF(Input!E72="","",IF(E$3&gt;Input!$H$4,"",IFERROR(MATCH(Input!E72,Input!$H$10:$H$29,0),"ERR")))</f>
        <v/>
      </c>
      <c r="F72" s="20">
        <f t="shared" si="23"/>
        <v>0</v>
      </c>
      <c r="G72" s="20">
        <f t="shared" si="24"/>
        <v>0</v>
      </c>
      <c r="H72" s="21">
        <f t="shared" si="25"/>
        <v>0</v>
      </c>
      <c r="I72" s="20">
        <f t="shared" si="26"/>
        <v>0</v>
      </c>
      <c r="J72" s="20">
        <f t="shared" si="27"/>
        <v>0</v>
      </c>
      <c r="K72" s="20">
        <f t="shared" si="28"/>
        <v>0</v>
      </c>
      <c r="L72" s="20">
        <f t="shared" si="29"/>
        <v>0</v>
      </c>
      <c r="M72" s="20">
        <f t="shared" si="30"/>
        <v>0</v>
      </c>
      <c r="N72" s="20">
        <f t="shared" si="31"/>
        <v>0</v>
      </c>
      <c r="O72" s="20">
        <f t="shared" si="32"/>
        <v>0</v>
      </c>
      <c r="P72" s="20">
        <f t="shared" si="33"/>
        <v>0</v>
      </c>
      <c r="Q72" s="20">
        <f t="shared" si="34"/>
        <v>0</v>
      </c>
      <c r="R72" s="20">
        <f t="shared" si="35"/>
        <v>0</v>
      </c>
      <c r="S72" s="20">
        <f t="shared" si="36"/>
        <v>0</v>
      </c>
      <c r="T72" s="20">
        <f t="shared" si="37"/>
        <v>0</v>
      </c>
      <c r="U72" s="20">
        <f t="shared" si="38"/>
        <v>0</v>
      </c>
      <c r="V72" s="20">
        <f t="shared" si="39"/>
        <v>0</v>
      </c>
      <c r="W72" s="20">
        <f t="shared" si="40"/>
        <v>0</v>
      </c>
      <c r="X72" s="20">
        <f t="shared" si="41"/>
        <v>0</v>
      </c>
      <c r="Y72" s="20">
        <f t="shared" si="42"/>
        <v>0</v>
      </c>
      <c r="Z72" s="20">
        <f t="shared" si="43"/>
        <v>0</v>
      </c>
      <c r="AA72" s="20">
        <f t="shared" si="44"/>
        <v>0</v>
      </c>
      <c r="AB72" s="20">
        <f t="shared" si="45"/>
        <v>0</v>
      </c>
    </row>
    <row r="73" ht="15">
      <c r="A73" s="20">
        <f>Input!A73</f>
        <v>69</v>
      </c>
      <c r="B73" s="20" t="str">
        <f>IF(Input!B73="","",IF(B$3&gt;Input!$H$4,"",IFERROR(MATCH(Input!B73,Input!$H$10:$H$29,0),"ERR")))</f>
        <v/>
      </c>
      <c r="C73" s="20" t="str">
        <f>IF(Input!C73="","",IF(C$3&gt;Input!$H$4,"",IFERROR(MATCH(Input!C73,Input!$H$10:$H$29,0),"ERR")))</f>
        <v/>
      </c>
      <c r="D73" s="20" t="str">
        <f>IF(Input!D73="","",IF(D$3&gt;Input!$H$4,"",IFERROR(MATCH(Input!D73,Input!$H$10:$H$29,0),"ERR")))</f>
        <v/>
      </c>
      <c r="E73" s="20" t="str">
        <f>IF(Input!E73="","",IF(E$3&gt;Input!$H$4,"",IFERROR(MATCH(Input!E73,Input!$H$10:$H$29,0),"ERR")))</f>
        <v/>
      </c>
      <c r="F73" s="20">
        <f t="shared" si="23"/>
        <v>0</v>
      </c>
      <c r="G73" s="20">
        <f t="shared" si="24"/>
        <v>0</v>
      </c>
      <c r="H73" s="21">
        <f t="shared" si="25"/>
        <v>0</v>
      </c>
      <c r="I73" s="20">
        <f t="shared" si="26"/>
        <v>0</v>
      </c>
      <c r="J73" s="20">
        <f t="shared" si="27"/>
        <v>0</v>
      </c>
      <c r="K73" s="20">
        <f t="shared" si="28"/>
        <v>0</v>
      </c>
      <c r="L73" s="20">
        <f t="shared" si="29"/>
        <v>0</v>
      </c>
      <c r="M73" s="20">
        <f t="shared" si="30"/>
        <v>0</v>
      </c>
      <c r="N73" s="20">
        <f t="shared" si="31"/>
        <v>0</v>
      </c>
      <c r="O73" s="20">
        <f t="shared" si="32"/>
        <v>0</v>
      </c>
      <c r="P73" s="20">
        <f t="shared" si="33"/>
        <v>0</v>
      </c>
      <c r="Q73" s="20">
        <f t="shared" si="34"/>
        <v>0</v>
      </c>
      <c r="R73" s="20">
        <f t="shared" si="35"/>
        <v>0</v>
      </c>
      <c r="S73" s="20">
        <f t="shared" si="36"/>
        <v>0</v>
      </c>
      <c r="T73" s="20">
        <f t="shared" si="37"/>
        <v>0</v>
      </c>
      <c r="U73" s="20">
        <f t="shared" si="38"/>
        <v>0</v>
      </c>
      <c r="V73" s="20">
        <f t="shared" si="39"/>
        <v>0</v>
      </c>
      <c r="W73" s="20">
        <f t="shared" si="40"/>
        <v>0</v>
      </c>
      <c r="X73" s="20">
        <f t="shared" si="41"/>
        <v>0</v>
      </c>
      <c r="Y73" s="20">
        <f t="shared" si="42"/>
        <v>0</v>
      </c>
      <c r="Z73" s="20">
        <f t="shared" si="43"/>
        <v>0</v>
      </c>
      <c r="AA73" s="20">
        <f t="shared" si="44"/>
        <v>0</v>
      </c>
      <c r="AB73" s="20">
        <f t="shared" si="45"/>
        <v>0</v>
      </c>
    </row>
    <row r="74" ht="15">
      <c r="A74" s="20">
        <f>Input!A74</f>
        <v>70</v>
      </c>
      <c r="B74" s="20" t="str">
        <f>IF(Input!B74="","",IF(B$3&gt;Input!$H$4,"",IFERROR(MATCH(Input!B74,Input!$H$10:$H$29,0),"ERR")))</f>
        <v/>
      </c>
      <c r="C74" s="20" t="str">
        <f>IF(Input!C74="","",IF(C$3&gt;Input!$H$4,"",IFERROR(MATCH(Input!C74,Input!$H$10:$H$29,0),"ERR")))</f>
        <v/>
      </c>
      <c r="D74" s="20" t="str">
        <f>IF(Input!D74="","",IF(D$3&gt;Input!$H$4,"",IFERROR(MATCH(Input!D74,Input!$H$10:$H$29,0),"ERR")))</f>
        <v/>
      </c>
      <c r="E74" s="20" t="str">
        <f>IF(Input!E74="","",IF(E$3&gt;Input!$H$4,"",IFERROR(MATCH(Input!E74,Input!$H$10:$H$29,0),"ERR")))</f>
        <v/>
      </c>
      <c r="F74" s="20">
        <f t="shared" ref="F74:F99" si="46">COUNT(B74:E74)</f>
        <v>0</v>
      </c>
      <c r="G74" s="20">
        <f t="shared" ref="G74:G99" si="47">COUNTIF(B74:E74,"ERR")</f>
        <v>0</v>
      </c>
      <c r="H74" s="21">
        <f t="shared" ref="H74:H99" si="48">IF(F74&gt;=2,1/(F74-1),0)</f>
        <v>0</v>
      </c>
      <c r="I74" s="20">
        <f t="shared" ref="I74:I99" si="49">COUNTIF($B74:$E74,I$3)</f>
        <v>0</v>
      </c>
      <c r="J74" s="20">
        <f t="shared" ref="J74:J99" si="50">COUNTIF($B74:$E74,J$3)</f>
        <v>0</v>
      </c>
      <c r="K74" s="20">
        <f t="shared" ref="K74:K99" si="51">COUNTIF($B74:$E74,K$3)</f>
        <v>0</v>
      </c>
      <c r="L74" s="20">
        <f t="shared" ref="L74:L99" si="52">COUNTIF($B74:$E74,L$3)</f>
        <v>0</v>
      </c>
      <c r="M74" s="20">
        <f t="shared" ref="M74:M99" si="53">COUNTIF($B74:$E74,M$3)</f>
        <v>0</v>
      </c>
      <c r="N74" s="20">
        <f t="shared" ref="N74:N99" si="54">COUNTIF($B74:$E74,N$3)</f>
        <v>0</v>
      </c>
      <c r="O74" s="20">
        <f t="shared" ref="O74:O99" si="55">COUNTIF($B74:$E74,O$3)</f>
        <v>0</v>
      </c>
      <c r="P74" s="20">
        <f t="shared" ref="P74:P99" si="56">COUNTIF($B74:$E74,P$3)</f>
        <v>0</v>
      </c>
      <c r="Q74" s="20">
        <f t="shared" ref="Q74:Q99" si="57">COUNTIF($B74:$E74,Q$3)</f>
        <v>0</v>
      </c>
      <c r="R74" s="20">
        <f t="shared" ref="R74:R99" si="58">COUNTIF($B74:$E74,R$3)</f>
        <v>0</v>
      </c>
      <c r="S74" s="20">
        <f t="shared" ref="S74:S99" si="59">COUNTIF($B74:$E74,S$3)</f>
        <v>0</v>
      </c>
      <c r="T74" s="20">
        <f t="shared" ref="T74:T99" si="60">COUNTIF($B74:$E74,T$3)</f>
        <v>0</v>
      </c>
      <c r="U74" s="20">
        <f t="shared" ref="U74:U99" si="61">COUNTIF($B74:$E74,U$3)</f>
        <v>0</v>
      </c>
      <c r="V74" s="20">
        <f t="shared" ref="V74:V99" si="62">COUNTIF($B74:$E74,V$3)</f>
        <v>0</v>
      </c>
      <c r="W74" s="20">
        <f t="shared" ref="W74:W99" si="63">COUNTIF($B74:$E74,W$3)</f>
        <v>0</v>
      </c>
      <c r="X74" s="20">
        <f t="shared" ref="X74:X99" si="64">COUNTIF($B74:$E74,X$3)</f>
        <v>0</v>
      </c>
      <c r="Y74" s="20">
        <f t="shared" ref="Y74:Y99" si="65">COUNTIF($B74:$E74,Y$3)</f>
        <v>0</v>
      </c>
      <c r="Z74" s="20">
        <f t="shared" ref="Z74:Z99" si="66">COUNTIF($B74:$E74,Z$3)</f>
        <v>0</v>
      </c>
      <c r="AA74" s="20">
        <f t="shared" ref="AA74:AA99" si="67">COUNTIF($B74:$E74,AA$3)</f>
        <v>0</v>
      </c>
      <c r="AB74" s="20">
        <f t="shared" ref="AB74:AB99" si="68">COUNTIF($B74:$E74,AB$3)</f>
        <v>0</v>
      </c>
    </row>
    <row r="75" ht="15">
      <c r="A75" s="20">
        <f>Input!A75</f>
        <v>71</v>
      </c>
      <c r="B75" s="20" t="str">
        <f>IF(Input!B75="","",IF(B$3&gt;Input!$H$4,"",IFERROR(MATCH(Input!B75,Input!$H$10:$H$29,0),"ERR")))</f>
        <v/>
      </c>
      <c r="C75" s="20" t="str">
        <f>IF(Input!C75="","",IF(C$3&gt;Input!$H$4,"",IFERROR(MATCH(Input!C75,Input!$H$10:$H$29,0),"ERR")))</f>
        <v/>
      </c>
      <c r="D75" s="20" t="str">
        <f>IF(Input!D75="","",IF(D$3&gt;Input!$H$4,"",IFERROR(MATCH(Input!D75,Input!$H$10:$H$29,0),"ERR")))</f>
        <v/>
      </c>
      <c r="E75" s="20" t="str">
        <f>IF(Input!E75="","",IF(E$3&gt;Input!$H$4,"",IFERROR(MATCH(Input!E75,Input!$H$10:$H$29,0),"ERR")))</f>
        <v/>
      </c>
      <c r="F75" s="20">
        <f t="shared" si="46"/>
        <v>0</v>
      </c>
      <c r="G75" s="20">
        <f t="shared" si="47"/>
        <v>0</v>
      </c>
      <c r="H75" s="21">
        <f t="shared" si="48"/>
        <v>0</v>
      </c>
      <c r="I75" s="20">
        <f t="shared" si="49"/>
        <v>0</v>
      </c>
      <c r="J75" s="20">
        <f t="shared" si="50"/>
        <v>0</v>
      </c>
      <c r="K75" s="20">
        <f t="shared" si="51"/>
        <v>0</v>
      </c>
      <c r="L75" s="20">
        <f t="shared" si="52"/>
        <v>0</v>
      </c>
      <c r="M75" s="20">
        <f t="shared" si="53"/>
        <v>0</v>
      </c>
      <c r="N75" s="20">
        <f t="shared" si="54"/>
        <v>0</v>
      </c>
      <c r="O75" s="20">
        <f t="shared" si="55"/>
        <v>0</v>
      </c>
      <c r="P75" s="20">
        <f t="shared" si="56"/>
        <v>0</v>
      </c>
      <c r="Q75" s="20">
        <f t="shared" si="57"/>
        <v>0</v>
      </c>
      <c r="R75" s="20">
        <f t="shared" si="58"/>
        <v>0</v>
      </c>
      <c r="S75" s="20">
        <f t="shared" si="59"/>
        <v>0</v>
      </c>
      <c r="T75" s="20">
        <f t="shared" si="60"/>
        <v>0</v>
      </c>
      <c r="U75" s="20">
        <f t="shared" si="61"/>
        <v>0</v>
      </c>
      <c r="V75" s="20">
        <f t="shared" si="62"/>
        <v>0</v>
      </c>
      <c r="W75" s="20">
        <f t="shared" si="63"/>
        <v>0</v>
      </c>
      <c r="X75" s="20">
        <f t="shared" si="64"/>
        <v>0</v>
      </c>
      <c r="Y75" s="20">
        <f t="shared" si="65"/>
        <v>0</v>
      </c>
      <c r="Z75" s="20">
        <f t="shared" si="66"/>
        <v>0</v>
      </c>
      <c r="AA75" s="20">
        <f t="shared" si="67"/>
        <v>0</v>
      </c>
      <c r="AB75" s="20">
        <f t="shared" si="68"/>
        <v>0</v>
      </c>
    </row>
    <row r="76" ht="15">
      <c r="A76" s="20">
        <f>Input!A76</f>
        <v>72</v>
      </c>
      <c r="B76" s="20" t="str">
        <f>IF(Input!B76="","",IF(B$3&gt;Input!$H$4,"",IFERROR(MATCH(Input!B76,Input!$H$10:$H$29,0),"ERR")))</f>
        <v/>
      </c>
      <c r="C76" s="20" t="str">
        <f>IF(Input!C76="","",IF(C$3&gt;Input!$H$4,"",IFERROR(MATCH(Input!C76,Input!$H$10:$H$29,0),"ERR")))</f>
        <v/>
      </c>
      <c r="D76" s="20" t="str">
        <f>IF(Input!D76="","",IF(D$3&gt;Input!$H$4,"",IFERROR(MATCH(Input!D76,Input!$H$10:$H$29,0),"ERR")))</f>
        <v/>
      </c>
      <c r="E76" s="20" t="str">
        <f>IF(Input!E76="","",IF(E$3&gt;Input!$H$4,"",IFERROR(MATCH(Input!E76,Input!$H$10:$H$29,0),"ERR")))</f>
        <v/>
      </c>
      <c r="F76" s="20">
        <f t="shared" si="46"/>
        <v>0</v>
      </c>
      <c r="G76" s="20">
        <f t="shared" si="47"/>
        <v>0</v>
      </c>
      <c r="H76" s="21">
        <f t="shared" si="48"/>
        <v>0</v>
      </c>
      <c r="I76" s="20">
        <f t="shared" si="49"/>
        <v>0</v>
      </c>
      <c r="J76" s="20">
        <f t="shared" si="50"/>
        <v>0</v>
      </c>
      <c r="K76" s="20">
        <f t="shared" si="51"/>
        <v>0</v>
      </c>
      <c r="L76" s="20">
        <f t="shared" si="52"/>
        <v>0</v>
      </c>
      <c r="M76" s="20">
        <f t="shared" si="53"/>
        <v>0</v>
      </c>
      <c r="N76" s="20">
        <f t="shared" si="54"/>
        <v>0</v>
      </c>
      <c r="O76" s="20">
        <f t="shared" si="55"/>
        <v>0</v>
      </c>
      <c r="P76" s="20">
        <f t="shared" si="56"/>
        <v>0</v>
      </c>
      <c r="Q76" s="20">
        <f t="shared" si="57"/>
        <v>0</v>
      </c>
      <c r="R76" s="20">
        <f t="shared" si="58"/>
        <v>0</v>
      </c>
      <c r="S76" s="20">
        <f t="shared" si="59"/>
        <v>0</v>
      </c>
      <c r="T76" s="20">
        <f t="shared" si="60"/>
        <v>0</v>
      </c>
      <c r="U76" s="20">
        <f t="shared" si="61"/>
        <v>0</v>
      </c>
      <c r="V76" s="20">
        <f t="shared" si="62"/>
        <v>0</v>
      </c>
      <c r="W76" s="20">
        <f t="shared" si="63"/>
        <v>0</v>
      </c>
      <c r="X76" s="20">
        <f t="shared" si="64"/>
        <v>0</v>
      </c>
      <c r="Y76" s="20">
        <f t="shared" si="65"/>
        <v>0</v>
      </c>
      <c r="Z76" s="20">
        <f t="shared" si="66"/>
        <v>0</v>
      </c>
      <c r="AA76" s="20">
        <f t="shared" si="67"/>
        <v>0</v>
      </c>
      <c r="AB76" s="20">
        <f t="shared" si="68"/>
        <v>0</v>
      </c>
    </row>
    <row r="77" ht="15">
      <c r="A77" s="20">
        <f>Input!A77</f>
        <v>73</v>
      </c>
      <c r="B77" s="20" t="str">
        <f>IF(Input!B77="","",IF(B$3&gt;Input!$H$4,"",IFERROR(MATCH(Input!B77,Input!$H$10:$H$29,0),"ERR")))</f>
        <v/>
      </c>
      <c r="C77" s="20" t="str">
        <f>IF(Input!C77="","",IF(C$3&gt;Input!$H$4,"",IFERROR(MATCH(Input!C77,Input!$H$10:$H$29,0),"ERR")))</f>
        <v/>
      </c>
      <c r="D77" s="20" t="str">
        <f>IF(Input!D77="","",IF(D$3&gt;Input!$H$4,"",IFERROR(MATCH(Input!D77,Input!$H$10:$H$29,0),"ERR")))</f>
        <v/>
      </c>
      <c r="E77" s="20" t="str">
        <f>IF(Input!E77="","",IF(E$3&gt;Input!$H$4,"",IFERROR(MATCH(Input!E77,Input!$H$10:$H$29,0),"ERR")))</f>
        <v/>
      </c>
      <c r="F77" s="20">
        <f t="shared" si="46"/>
        <v>0</v>
      </c>
      <c r="G77" s="20">
        <f t="shared" si="47"/>
        <v>0</v>
      </c>
      <c r="H77" s="21">
        <f t="shared" si="48"/>
        <v>0</v>
      </c>
      <c r="I77" s="20">
        <f t="shared" si="49"/>
        <v>0</v>
      </c>
      <c r="J77" s="20">
        <f t="shared" si="50"/>
        <v>0</v>
      </c>
      <c r="K77" s="20">
        <f t="shared" si="51"/>
        <v>0</v>
      </c>
      <c r="L77" s="20">
        <f t="shared" si="52"/>
        <v>0</v>
      </c>
      <c r="M77" s="20">
        <f t="shared" si="53"/>
        <v>0</v>
      </c>
      <c r="N77" s="20">
        <f t="shared" si="54"/>
        <v>0</v>
      </c>
      <c r="O77" s="20">
        <f t="shared" si="55"/>
        <v>0</v>
      </c>
      <c r="P77" s="20">
        <f t="shared" si="56"/>
        <v>0</v>
      </c>
      <c r="Q77" s="20">
        <f t="shared" si="57"/>
        <v>0</v>
      </c>
      <c r="R77" s="20">
        <f t="shared" si="58"/>
        <v>0</v>
      </c>
      <c r="S77" s="20">
        <f t="shared" si="59"/>
        <v>0</v>
      </c>
      <c r="T77" s="20">
        <f t="shared" si="60"/>
        <v>0</v>
      </c>
      <c r="U77" s="20">
        <f t="shared" si="61"/>
        <v>0</v>
      </c>
      <c r="V77" s="20">
        <f t="shared" si="62"/>
        <v>0</v>
      </c>
      <c r="W77" s="20">
        <f t="shared" si="63"/>
        <v>0</v>
      </c>
      <c r="X77" s="20">
        <f t="shared" si="64"/>
        <v>0</v>
      </c>
      <c r="Y77" s="20">
        <f t="shared" si="65"/>
        <v>0</v>
      </c>
      <c r="Z77" s="20">
        <f t="shared" si="66"/>
        <v>0</v>
      </c>
      <c r="AA77" s="20">
        <f t="shared" si="67"/>
        <v>0</v>
      </c>
      <c r="AB77" s="20">
        <f t="shared" si="68"/>
        <v>0</v>
      </c>
    </row>
    <row r="78" ht="15">
      <c r="A78" s="20">
        <f>Input!A78</f>
        <v>74</v>
      </c>
      <c r="B78" s="20" t="str">
        <f>IF(Input!B78="","",IF(B$3&gt;Input!$H$4,"",IFERROR(MATCH(Input!B78,Input!$H$10:$H$29,0),"ERR")))</f>
        <v/>
      </c>
      <c r="C78" s="20" t="str">
        <f>IF(Input!C78="","",IF(C$3&gt;Input!$H$4,"",IFERROR(MATCH(Input!C78,Input!$H$10:$H$29,0),"ERR")))</f>
        <v/>
      </c>
      <c r="D78" s="20" t="str">
        <f>IF(Input!D78="","",IF(D$3&gt;Input!$H$4,"",IFERROR(MATCH(Input!D78,Input!$H$10:$H$29,0),"ERR")))</f>
        <v/>
      </c>
      <c r="E78" s="20" t="str">
        <f>IF(Input!E78="","",IF(E$3&gt;Input!$H$4,"",IFERROR(MATCH(Input!E78,Input!$H$10:$H$29,0),"ERR")))</f>
        <v/>
      </c>
      <c r="F78" s="20">
        <f t="shared" si="46"/>
        <v>0</v>
      </c>
      <c r="G78" s="20">
        <f t="shared" si="47"/>
        <v>0</v>
      </c>
      <c r="H78" s="21">
        <f t="shared" si="48"/>
        <v>0</v>
      </c>
      <c r="I78" s="20">
        <f t="shared" si="49"/>
        <v>0</v>
      </c>
      <c r="J78" s="20">
        <f t="shared" si="50"/>
        <v>0</v>
      </c>
      <c r="K78" s="20">
        <f t="shared" si="51"/>
        <v>0</v>
      </c>
      <c r="L78" s="20">
        <f t="shared" si="52"/>
        <v>0</v>
      </c>
      <c r="M78" s="20">
        <f t="shared" si="53"/>
        <v>0</v>
      </c>
      <c r="N78" s="20">
        <f t="shared" si="54"/>
        <v>0</v>
      </c>
      <c r="O78" s="20">
        <f t="shared" si="55"/>
        <v>0</v>
      </c>
      <c r="P78" s="20">
        <f t="shared" si="56"/>
        <v>0</v>
      </c>
      <c r="Q78" s="20">
        <f t="shared" si="57"/>
        <v>0</v>
      </c>
      <c r="R78" s="20">
        <f t="shared" si="58"/>
        <v>0</v>
      </c>
      <c r="S78" s="20">
        <f t="shared" si="59"/>
        <v>0</v>
      </c>
      <c r="T78" s="20">
        <f t="shared" si="60"/>
        <v>0</v>
      </c>
      <c r="U78" s="20">
        <f t="shared" si="61"/>
        <v>0</v>
      </c>
      <c r="V78" s="20">
        <f t="shared" si="62"/>
        <v>0</v>
      </c>
      <c r="W78" s="20">
        <f t="shared" si="63"/>
        <v>0</v>
      </c>
      <c r="X78" s="20">
        <f t="shared" si="64"/>
        <v>0</v>
      </c>
      <c r="Y78" s="20">
        <f t="shared" si="65"/>
        <v>0</v>
      </c>
      <c r="Z78" s="20">
        <f t="shared" si="66"/>
        <v>0</v>
      </c>
      <c r="AA78" s="20">
        <f t="shared" si="67"/>
        <v>0</v>
      </c>
      <c r="AB78" s="20">
        <f t="shared" si="68"/>
        <v>0</v>
      </c>
    </row>
    <row r="79" ht="15">
      <c r="A79" s="20">
        <f>Input!A79</f>
        <v>75</v>
      </c>
      <c r="B79" s="20" t="str">
        <f>IF(Input!B79="","",IF(B$3&gt;Input!$H$4,"",IFERROR(MATCH(Input!B79,Input!$H$10:$H$29,0),"ERR")))</f>
        <v/>
      </c>
      <c r="C79" s="20" t="str">
        <f>IF(Input!C79="","",IF(C$3&gt;Input!$H$4,"",IFERROR(MATCH(Input!C79,Input!$H$10:$H$29,0),"ERR")))</f>
        <v/>
      </c>
      <c r="D79" s="20" t="str">
        <f>IF(Input!D79="","",IF(D$3&gt;Input!$H$4,"",IFERROR(MATCH(Input!D79,Input!$H$10:$H$29,0),"ERR")))</f>
        <v/>
      </c>
      <c r="E79" s="20" t="str">
        <f>IF(Input!E79="","",IF(E$3&gt;Input!$H$4,"",IFERROR(MATCH(Input!E79,Input!$H$10:$H$29,0),"ERR")))</f>
        <v/>
      </c>
      <c r="F79" s="20">
        <f t="shared" si="46"/>
        <v>0</v>
      </c>
      <c r="G79" s="20">
        <f t="shared" si="47"/>
        <v>0</v>
      </c>
      <c r="H79" s="21">
        <f t="shared" si="48"/>
        <v>0</v>
      </c>
      <c r="I79" s="20">
        <f t="shared" si="49"/>
        <v>0</v>
      </c>
      <c r="J79" s="20">
        <f t="shared" si="50"/>
        <v>0</v>
      </c>
      <c r="K79" s="20">
        <f t="shared" si="51"/>
        <v>0</v>
      </c>
      <c r="L79" s="20">
        <f t="shared" si="52"/>
        <v>0</v>
      </c>
      <c r="M79" s="20">
        <f t="shared" si="53"/>
        <v>0</v>
      </c>
      <c r="N79" s="20">
        <f t="shared" si="54"/>
        <v>0</v>
      </c>
      <c r="O79" s="20">
        <f t="shared" si="55"/>
        <v>0</v>
      </c>
      <c r="P79" s="20">
        <f t="shared" si="56"/>
        <v>0</v>
      </c>
      <c r="Q79" s="20">
        <f t="shared" si="57"/>
        <v>0</v>
      </c>
      <c r="R79" s="20">
        <f t="shared" si="58"/>
        <v>0</v>
      </c>
      <c r="S79" s="20">
        <f t="shared" si="59"/>
        <v>0</v>
      </c>
      <c r="T79" s="20">
        <f t="shared" si="60"/>
        <v>0</v>
      </c>
      <c r="U79" s="20">
        <f t="shared" si="61"/>
        <v>0</v>
      </c>
      <c r="V79" s="20">
        <f t="shared" si="62"/>
        <v>0</v>
      </c>
      <c r="W79" s="20">
        <f t="shared" si="63"/>
        <v>0</v>
      </c>
      <c r="X79" s="20">
        <f t="shared" si="64"/>
        <v>0</v>
      </c>
      <c r="Y79" s="20">
        <f t="shared" si="65"/>
        <v>0</v>
      </c>
      <c r="Z79" s="20">
        <f t="shared" si="66"/>
        <v>0</v>
      </c>
      <c r="AA79" s="20">
        <f t="shared" si="67"/>
        <v>0</v>
      </c>
      <c r="AB79" s="20">
        <f t="shared" si="68"/>
        <v>0</v>
      </c>
    </row>
    <row r="80" ht="15">
      <c r="A80" s="20">
        <f>Input!A80</f>
        <v>76</v>
      </c>
      <c r="B80" s="20" t="str">
        <f>IF(Input!B80="","",IF(B$3&gt;Input!$H$4,"",IFERROR(MATCH(Input!B80,Input!$H$10:$H$29,0),"ERR")))</f>
        <v/>
      </c>
      <c r="C80" s="20" t="str">
        <f>IF(Input!C80="","",IF(C$3&gt;Input!$H$4,"",IFERROR(MATCH(Input!C80,Input!$H$10:$H$29,0),"ERR")))</f>
        <v/>
      </c>
      <c r="D80" s="20" t="str">
        <f>IF(Input!D80="","",IF(D$3&gt;Input!$H$4,"",IFERROR(MATCH(Input!D80,Input!$H$10:$H$29,0),"ERR")))</f>
        <v/>
      </c>
      <c r="E80" s="20" t="str">
        <f>IF(Input!E80="","",IF(E$3&gt;Input!$H$4,"",IFERROR(MATCH(Input!E80,Input!$H$10:$H$29,0),"ERR")))</f>
        <v/>
      </c>
      <c r="F80" s="20">
        <f t="shared" si="46"/>
        <v>0</v>
      </c>
      <c r="G80" s="20">
        <f t="shared" si="47"/>
        <v>0</v>
      </c>
      <c r="H80" s="21">
        <f t="shared" si="48"/>
        <v>0</v>
      </c>
      <c r="I80" s="20">
        <f t="shared" si="49"/>
        <v>0</v>
      </c>
      <c r="J80" s="20">
        <f t="shared" si="50"/>
        <v>0</v>
      </c>
      <c r="K80" s="20">
        <f t="shared" si="51"/>
        <v>0</v>
      </c>
      <c r="L80" s="20">
        <f t="shared" si="52"/>
        <v>0</v>
      </c>
      <c r="M80" s="20">
        <f t="shared" si="53"/>
        <v>0</v>
      </c>
      <c r="N80" s="20">
        <f t="shared" si="54"/>
        <v>0</v>
      </c>
      <c r="O80" s="20">
        <f t="shared" si="55"/>
        <v>0</v>
      </c>
      <c r="P80" s="20">
        <f t="shared" si="56"/>
        <v>0</v>
      </c>
      <c r="Q80" s="20">
        <f t="shared" si="57"/>
        <v>0</v>
      </c>
      <c r="R80" s="20">
        <f t="shared" si="58"/>
        <v>0</v>
      </c>
      <c r="S80" s="20">
        <f t="shared" si="59"/>
        <v>0</v>
      </c>
      <c r="T80" s="20">
        <f t="shared" si="60"/>
        <v>0</v>
      </c>
      <c r="U80" s="20">
        <f t="shared" si="61"/>
        <v>0</v>
      </c>
      <c r="V80" s="20">
        <f t="shared" si="62"/>
        <v>0</v>
      </c>
      <c r="W80" s="20">
        <f t="shared" si="63"/>
        <v>0</v>
      </c>
      <c r="X80" s="20">
        <f t="shared" si="64"/>
        <v>0</v>
      </c>
      <c r="Y80" s="20">
        <f t="shared" si="65"/>
        <v>0</v>
      </c>
      <c r="Z80" s="20">
        <f t="shared" si="66"/>
        <v>0</v>
      </c>
      <c r="AA80" s="20">
        <f t="shared" si="67"/>
        <v>0</v>
      </c>
      <c r="AB80" s="20">
        <f t="shared" si="68"/>
        <v>0</v>
      </c>
    </row>
    <row r="81" ht="15">
      <c r="A81" s="20">
        <f>Input!A81</f>
        <v>77</v>
      </c>
      <c r="B81" s="20" t="str">
        <f>IF(Input!B81="","",IF(B$3&gt;Input!$H$4,"",IFERROR(MATCH(Input!B81,Input!$H$10:$H$29,0),"ERR")))</f>
        <v/>
      </c>
      <c r="C81" s="20" t="str">
        <f>IF(Input!C81="","",IF(C$3&gt;Input!$H$4,"",IFERROR(MATCH(Input!C81,Input!$H$10:$H$29,0),"ERR")))</f>
        <v/>
      </c>
      <c r="D81" s="20" t="str">
        <f>IF(Input!D81="","",IF(D$3&gt;Input!$H$4,"",IFERROR(MATCH(Input!D81,Input!$H$10:$H$29,0),"ERR")))</f>
        <v/>
      </c>
      <c r="E81" s="20" t="str">
        <f>IF(Input!E81="","",IF(E$3&gt;Input!$H$4,"",IFERROR(MATCH(Input!E81,Input!$H$10:$H$29,0),"ERR")))</f>
        <v/>
      </c>
      <c r="F81" s="20">
        <f t="shared" si="46"/>
        <v>0</v>
      </c>
      <c r="G81" s="20">
        <f t="shared" si="47"/>
        <v>0</v>
      </c>
      <c r="H81" s="21">
        <f t="shared" si="48"/>
        <v>0</v>
      </c>
      <c r="I81" s="20">
        <f t="shared" si="49"/>
        <v>0</v>
      </c>
      <c r="J81" s="20">
        <f t="shared" si="50"/>
        <v>0</v>
      </c>
      <c r="K81" s="20">
        <f t="shared" si="51"/>
        <v>0</v>
      </c>
      <c r="L81" s="20">
        <f t="shared" si="52"/>
        <v>0</v>
      </c>
      <c r="M81" s="20">
        <f t="shared" si="53"/>
        <v>0</v>
      </c>
      <c r="N81" s="20">
        <f t="shared" si="54"/>
        <v>0</v>
      </c>
      <c r="O81" s="20">
        <f t="shared" si="55"/>
        <v>0</v>
      </c>
      <c r="P81" s="20">
        <f t="shared" si="56"/>
        <v>0</v>
      </c>
      <c r="Q81" s="20">
        <f t="shared" si="57"/>
        <v>0</v>
      </c>
      <c r="R81" s="20">
        <f t="shared" si="58"/>
        <v>0</v>
      </c>
      <c r="S81" s="20">
        <f t="shared" si="59"/>
        <v>0</v>
      </c>
      <c r="T81" s="20">
        <f t="shared" si="60"/>
        <v>0</v>
      </c>
      <c r="U81" s="20">
        <f t="shared" si="61"/>
        <v>0</v>
      </c>
      <c r="V81" s="20">
        <f t="shared" si="62"/>
        <v>0</v>
      </c>
      <c r="W81" s="20">
        <f t="shared" si="63"/>
        <v>0</v>
      </c>
      <c r="X81" s="20">
        <f t="shared" si="64"/>
        <v>0</v>
      </c>
      <c r="Y81" s="20">
        <f t="shared" si="65"/>
        <v>0</v>
      </c>
      <c r="Z81" s="20">
        <f t="shared" si="66"/>
        <v>0</v>
      </c>
      <c r="AA81" s="20">
        <f t="shared" si="67"/>
        <v>0</v>
      </c>
      <c r="AB81" s="20">
        <f t="shared" si="68"/>
        <v>0</v>
      </c>
    </row>
    <row r="82" ht="15">
      <c r="A82" s="20">
        <f>Input!A82</f>
        <v>78</v>
      </c>
      <c r="B82" s="20" t="str">
        <f>IF(Input!B82="","",IF(B$3&gt;Input!$H$4,"",IFERROR(MATCH(Input!B82,Input!$H$10:$H$29,0),"ERR")))</f>
        <v/>
      </c>
      <c r="C82" s="20" t="str">
        <f>IF(Input!C82="","",IF(C$3&gt;Input!$H$4,"",IFERROR(MATCH(Input!C82,Input!$H$10:$H$29,0),"ERR")))</f>
        <v/>
      </c>
      <c r="D82" s="20" t="str">
        <f>IF(Input!D82="","",IF(D$3&gt;Input!$H$4,"",IFERROR(MATCH(Input!D82,Input!$H$10:$H$29,0),"ERR")))</f>
        <v/>
      </c>
      <c r="E82" s="20" t="str">
        <f>IF(Input!E82="","",IF(E$3&gt;Input!$H$4,"",IFERROR(MATCH(Input!E82,Input!$H$10:$H$29,0),"ERR")))</f>
        <v/>
      </c>
      <c r="F82" s="20">
        <f t="shared" si="46"/>
        <v>0</v>
      </c>
      <c r="G82" s="20">
        <f t="shared" si="47"/>
        <v>0</v>
      </c>
      <c r="H82" s="21">
        <f t="shared" si="48"/>
        <v>0</v>
      </c>
      <c r="I82" s="20">
        <f t="shared" si="49"/>
        <v>0</v>
      </c>
      <c r="J82" s="20">
        <f t="shared" si="50"/>
        <v>0</v>
      </c>
      <c r="K82" s="20">
        <f t="shared" si="51"/>
        <v>0</v>
      </c>
      <c r="L82" s="20">
        <f t="shared" si="52"/>
        <v>0</v>
      </c>
      <c r="M82" s="20">
        <f t="shared" si="53"/>
        <v>0</v>
      </c>
      <c r="N82" s="20">
        <f t="shared" si="54"/>
        <v>0</v>
      </c>
      <c r="O82" s="20">
        <f t="shared" si="55"/>
        <v>0</v>
      </c>
      <c r="P82" s="20">
        <f t="shared" si="56"/>
        <v>0</v>
      </c>
      <c r="Q82" s="20">
        <f t="shared" si="57"/>
        <v>0</v>
      </c>
      <c r="R82" s="20">
        <f t="shared" si="58"/>
        <v>0</v>
      </c>
      <c r="S82" s="20">
        <f t="shared" si="59"/>
        <v>0</v>
      </c>
      <c r="T82" s="20">
        <f t="shared" si="60"/>
        <v>0</v>
      </c>
      <c r="U82" s="20">
        <f t="shared" si="61"/>
        <v>0</v>
      </c>
      <c r="V82" s="20">
        <f t="shared" si="62"/>
        <v>0</v>
      </c>
      <c r="W82" s="20">
        <f t="shared" si="63"/>
        <v>0</v>
      </c>
      <c r="X82" s="20">
        <f t="shared" si="64"/>
        <v>0</v>
      </c>
      <c r="Y82" s="20">
        <f t="shared" si="65"/>
        <v>0</v>
      </c>
      <c r="Z82" s="20">
        <f t="shared" si="66"/>
        <v>0</v>
      </c>
      <c r="AA82" s="20">
        <f t="shared" si="67"/>
        <v>0</v>
      </c>
      <c r="AB82" s="20">
        <f t="shared" si="68"/>
        <v>0</v>
      </c>
    </row>
    <row r="83" ht="15">
      <c r="A83" s="20">
        <f>Input!A83</f>
        <v>79</v>
      </c>
      <c r="B83" s="20" t="str">
        <f>IF(Input!B83="","",IF(B$3&gt;Input!$H$4,"",IFERROR(MATCH(Input!B83,Input!$H$10:$H$29,0),"ERR")))</f>
        <v/>
      </c>
      <c r="C83" s="20" t="str">
        <f>IF(Input!C83="","",IF(C$3&gt;Input!$H$4,"",IFERROR(MATCH(Input!C83,Input!$H$10:$H$29,0),"ERR")))</f>
        <v/>
      </c>
      <c r="D83" s="20" t="str">
        <f>IF(Input!D83="","",IF(D$3&gt;Input!$H$4,"",IFERROR(MATCH(Input!D83,Input!$H$10:$H$29,0),"ERR")))</f>
        <v/>
      </c>
      <c r="E83" s="20" t="str">
        <f>IF(Input!E83="","",IF(E$3&gt;Input!$H$4,"",IFERROR(MATCH(Input!E83,Input!$H$10:$H$29,0),"ERR")))</f>
        <v/>
      </c>
      <c r="F83" s="20">
        <f t="shared" si="46"/>
        <v>0</v>
      </c>
      <c r="G83" s="20">
        <f t="shared" si="47"/>
        <v>0</v>
      </c>
      <c r="H83" s="21">
        <f t="shared" si="48"/>
        <v>0</v>
      </c>
      <c r="I83" s="20">
        <f t="shared" si="49"/>
        <v>0</v>
      </c>
      <c r="J83" s="20">
        <f t="shared" si="50"/>
        <v>0</v>
      </c>
      <c r="K83" s="20">
        <f t="shared" si="51"/>
        <v>0</v>
      </c>
      <c r="L83" s="20">
        <f t="shared" si="52"/>
        <v>0</v>
      </c>
      <c r="M83" s="20">
        <f t="shared" si="53"/>
        <v>0</v>
      </c>
      <c r="N83" s="20">
        <f t="shared" si="54"/>
        <v>0</v>
      </c>
      <c r="O83" s="20">
        <f t="shared" si="55"/>
        <v>0</v>
      </c>
      <c r="P83" s="20">
        <f t="shared" si="56"/>
        <v>0</v>
      </c>
      <c r="Q83" s="20">
        <f t="shared" si="57"/>
        <v>0</v>
      </c>
      <c r="R83" s="20">
        <f t="shared" si="58"/>
        <v>0</v>
      </c>
      <c r="S83" s="20">
        <f t="shared" si="59"/>
        <v>0</v>
      </c>
      <c r="T83" s="20">
        <f t="shared" si="60"/>
        <v>0</v>
      </c>
      <c r="U83" s="20">
        <f t="shared" si="61"/>
        <v>0</v>
      </c>
      <c r="V83" s="20">
        <f t="shared" si="62"/>
        <v>0</v>
      </c>
      <c r="W83" s="20">
        <f t="shared" si="63"/>
        <v>0</v>
      </c>
      <c r="X83" s="20">
        <f t="shared" si="64"/>
        <v>0</v>
      </c>
      <c r="Y83" s="20">
        <f t="shared" si="65"/>
        <v>0</v>
      </c>
      <c r="Z83" s="20">
        <f t="shared" si="66"/>
        <v>0</v>
      </c>
      <c r="AA83" s="20">
        <f t="shared" si="67"/>
        <v>0</v>
      </c>
      <c r="AB83" s="20">
        <f t="shared" si="68"/>
        <v>0</v>
      </c>
    </row>
    <row r="84" ht="15">
      <c r="A84" s="20">
        <f>Input!A84</f>
        <v>80</v>
      </c>
      <c r="B84" s="20" t="str">
        <f>IF(Input!B84="","",IF(B$3&gt;Input!$H$4,"",IFERROR(MATCH(Input!B84,Input!$H$10:$H$29,0),"ERR")))</f>
        <v/>
      </c>
      <c r="C84" s="20" t="str">
        <f>IF(Input!C84="","",IF(C$3&gt;Input!$H$4,"",IFERROR(MATCH(Input!C84,Input!$H$10:$H$29,0),"ERR")))</f>
        <v/>
      </c>
      <c r="D84" s="20" t="str">
        <f>IF(Input!D84="","",IF(D$3&gt;Input!$H$4,"",IFERROR(MATCH(Input!D84,Input!$H$10:$H$29,0),"ERR")))</f>
        <v/>
      </c>
      <c r="E84" s="20" t="str">
        <f>IF(Input!E84="","",IF(E$3&gt;Input!$H$4,"",IFERROR(MATCH(Input!E84,Input!$H$10:$H$29,0),"ERR")))</f>
        <v/>
      </c>
      <c r="F84" s="20">
        <f t="shared" si="46"/>
        <v>0</v>
      </c>
      <c r="G84" s="20">
        <f t="shared" si="47"/>
        <v>0</v>
      </c>
      <c r="H84" s="21">
        <f t="shared" si="48"/>
        <v>0</v>
      </c>
      <c r="I84" s="20">
        <f t="shared" si="49"/>
        <v>0</v>
      </c>
      <c r="J84" s="20">
        <f t="shared" si="50"/>
        <v>0</v>
      </c>
      <c r="K84" s="20">
        <f t="shared" si="51"/>
        <v>0</v>
      </c>
      <c r="L84" s="20">
        <f t="shared" si="52"/>
        <v>0</v>
      </c>
      <c r="M84" s="20">
        <f t="shared" si="53"/>
        <v>0</v>
      </c>
      <c r="N84" s="20">
        <f t="shared" si="54"/>
        <v>0</v>
      </c>
      <c r="O84" s="20">
        <f t="shared" si="55"/>
        <v>0</v>
      </c>
      <c r="P84" s="20">
        <f t="shared" si="56"/>
        <v>0</v>
      </c>
      <c r="Q84" s="20">
        <f t="shared" si="57"/>
        <v>0</v>
      </c>
      <c r="R84" s="20">
        <f t="shared" si="58"/>
        <v>0</v>
      </c>
      <c r="S84" s="20">
        <f t="shared" si="59"/>
        <v>0</v>
      </c>
      <c r="T84" s="20">
        <f t="shared" si="60"/>
        <v>0</v>
      </c>
      <c r="U84" s="20">
        <f t="shared" si="61"/>
        <v>0</v>
      </c>
      <c r="V84" s="20">
        <f t="shared" si="62"/>
        <v>0</v>
      </c>
      <c r="W84" s="20">
        <f t="shared" si="63"/>
        <v>0</v>
      </c>
      <c r="X84" s="20">
        <f t="shared" si="64"/>
        <v>0</v>
      </c>
      <c r="Y84" s="20">
        <f t="shared" si="65"/>
        <v>0</v>
      </c>
      <c r="Z84" s="20">
        <f t="shared" si="66"/>
        <v>0</v>
      </c>
      <c r="AA84" s="20">
        <f t="shared" si="67"/>
        <v>0</v>
      </c>
      <c r="AB84" s="20">
        <f t="shared" si="68"/>
        <v>0</v>
      </c>
    </row>
    <row r="85" ht="15">
      <c r="A85" s="20">
        <f>Input!A85</f>
        <v>81</v>
      </c>
      <c r="B85" s="20" t="str">
        <f>IF(Input!B85="","",IF(B$3&gt;Input!$H$4,"",IFERROR(MATCH(Input!B85,Input!$H$10:$H$29,0),"ERR")))</f>
        <v/>
      </c>
      <c r="C85" s="20" t="str">
        <f>IF(Input!C85="","",IF(C$3&gt;Input!$H$4,"",IFERROR(MATCH(Input!C85,Input!$H$10:$H$29,0),"ERR")))</f>
        <v/>
      </c>
      <c r="D85" s="20" t="str">
        <f>IF(Input!D85="","",IF(D$3&gt;Input!$H$4,"",IFERROR(MATCH(Input!D85,Input!$H$10:$H$29,0),"ERR")))</f>
        <v/>
      </c>
      <c r="E85" s="20" t="str">
        <f>IF(Input!E85="","",IF(E$3&gt;Input!$H$4,"",IFERROR(MATCH(Input!E85,Input!$H$10:$H$29,0),"ERR")))</f>
        <v/>
      </c>
      <c r="F85" s="20">
        <f t="shared" si="46"/>
        <v>0</v>
      </c>
      <c r="G85" s="20">
        <f t="shared" si="47"/>
        <v>0</v>
      </c>
      <c r="H85" s="21">
        <f t="shared" si="48"/>
        <v>0</v>
      </c>
      <c r="I85" s="20">
        <f t="shared" si="49"/>
        <v>0</v>
      </c>
      <c r="J85" s="20">
        <f t="shared" si="50"/>
        <v>0</v>
      </c>
      <c r="K85" s="20">
        <f t="shared" si="51"/>
        <v>0</v>
      </c>
      <c r="L85" s="20">
        <f t="shared" si="52"/>
        <v>0</v>
      </c>
      <c r="M85" s="20">
        <f t="shared" si="53"/>
        <v>0</v>
      </c>
      <c r="N85" s="20">
        <f t="shared" si="54"/>
        <v>0</v>
      </c>
      <c r="O85" s="20">
        <f t="shared" si="55"/>
        <v>0</v>
      </c>
      <c r="P85" s="20">
        <f t="shared" si="56"/>
        <v>0</v>
      </c>
      <c r="Q85" s="20">
        <f t="shared" si="57"/>
        <v>0</v>
      </c>
      <c r="R85" s="20">
        <f t="shared" si="58"/>
        <v>0</v>
      </c>
      <c r="S85" s="20">
        <f t="shared" si="59"/>
        <v>0</v>
      </c>
      <c r="T85" s="20">
        <f t="shared" si="60"/>
        <v>0</v>
      </c>
      <c r="U85" s="20">
        <f t="shared" si="61"/>
        <v>0</v>
      </c>
      <c r="V85" s="20">
        <f t="shared" si="62"/>
        <v>0</v>
      </c>
      <c r="W85" s="20">
        <f t="shared" si="63"/>
        <v>0</v>
      </c>
      <c r="X85" s="20">
        <f t="shared" si="64"/>
        <v>0</v>
      </c>
      <c r="Y85" s="20">
        <f t="shared" si="65"/>
        <v>0</v>
      </c>
      <c r="Z85" s="20">
        <f t="shared" si="66"/>
        <v>0</v>
      </c>
      <c r="AA85" s="20">
        <f t="shared" si="67"/>
        <v>0</v>
      </c>
      <c r="AB85" s="20">
        <f t="shared" si="68"/>
        <v>0</v>
      </c>
    </row>
    <row r="86" ht="15">
      <c r="A86" s="20">
        <f>Input!A86</f>
        <v>82</v>
      </c>
      <c r="B86" s="20" t="str">
        <f>IF(Input!B86="","",IF(B$3&gt;Input!$H$4,"",IFERROR(MATCH(Input!B86,Input!$H$10:$H$29,0),"ERR")))</f>
        <v/>
      </c>
      <c r="C86" s="20" t="str">
        <f>IF(Input!C86="","",IF(C$3&gt;Input!$H$4,"",IFERROR(MATCH(Input!C86,Input!$H$10:$H$29,0),"ERR")))</f>
        <v/>
      </c>
      <c r="D86" s="20" t="str">
        <f>IF(Input!D86="","",IF(D$3&gt;Input!$H$4,"",IFERROR(MATCH(Input!D86,Input!$H$10:$H$29,0),"ERR")))</f>
        <v/>
      </c>
      <c r="E86" s="20" t="str">
        <f>IF(Input!E86="","",IF(E$3&gt;Input!$H$4,"",IFERROR(MATCH(Input!E86,Input!$H$10:$H$29,0),"ERR")))</f>
        <v/>
      </c>
      <c r="F86" s="20">
        <f t="shared" si="46"/>
        <v>0</v>
      </c>
      <c r="G86" s="20">
        <f t="shared" si="47"/>
        <v>0</v>
      </c>
      <c r="H86" s="21">
        <f t="shared" si="48"/>
        <v>0</v>
      </c>
      <c r="I86" s="20">
        <f t="shared" si="49"/>
        <v>0</v>
      </c>
      <c r="J86" s="20">
        <f t="shared" si="50"/>
        <v>0</v>
      </c>
      <c r="K86" s="20">
        <f t="shared" si="51"/>
        <v>0</v>
      </c>
      <c r="L86" s="20">
        <f t="shared" si="52"/>
        <v>0</v>
      </c>
      <c r="M86" s="20">
        <f t="shared" si="53"/>
        <v>0</v>
      </c>
      <c r="N86" s="20">
        <f t="shared" si="54"/>
        <v>0</v>
      </c>
      <c r="O86" s="20">
        <f t="shared" si="55"/>
        <v>0</v>
      </c>
      <c r="P86" s="20">
        <f t="shared" si="56"/>
        <v>0</v>
      </c>
      <c r="Q86" s="20">
        <f t="shared" si="57"/>
        <v>0</v>
      </c>
      <c r="R86" s="20">
        <f t="shared" si="58"/>
        <v>0</v>
      </c>
      <c r="S86" s="20">
        <f t="shared" si="59"/>
        <v>0</v>
      </c>
      <c r="T86" s="20">
        <f t="shared" si="60"/>
        <v>0</v>
      </c>
      <c r="U86" s="20">
        <f t="shared" si="61"/>
        <v>0</v>
      </c>
      <c r="V86" s="20">
        <f t="shared" si="62"/>
        <v>0</v>
      </c>
      <c r="W86" s="20">
        <f t="shared" si="63"/>
        <v>0</v>
      </c>
      <c r="X86" s="20">
        <f t="shared" si="64"/>
        <v>0</v>
      </c>
      <c r="Y86" s="20">
        <f t="shared" si="65"/>
        <v>0</v>
      </c>
      <c r="Z86" s="20">
        <f t="shared" si="66"/>
        <v>0</v>
      </c>
      <c r="AA86" s="20">
        <f t="shared" si="67"/>
        <v>0</v>
      </c>
      <c r="AB86" s="20">
        <f t="shared" si="68"/>
        <v>0</v>
      </c>
    </row>
    <row r="87" ht="15">
      <c r="A87" s="20">
        <f>Input!A87</f>
        <v>83</v>
      </c>
      <c r="B87" s="20" t="str">
        <f>IF(Input!B87="","",IF(B$3&gt;Input!$H$4,"",IFERROR(MATCH(Input!B87,Input!$H$10:$H$29,0),"ERR")))</f>
        <v/>
      </c>
      <c r="C87" s="20" t="str">
        <f>IF(Input!C87="","",IF(C$3&gt;Input!$H$4,"",IFERROR(MATCH(Input!C87,Input!$H$10:$H$29,0),"ERR")))</f>
        <v/>
      </c>
      <c r="D87" s="20" t="str">
        <f>IF(Input!D87="","",IF(D$3&gt;Input!$H$4,"",IFERROR(MATCH(Input!D87,Input!$H$10:$H$29,0),"ERR")))</f>
        <v/>
      </c>
      <c r="E87" s="20" t="str">
        <f>IF(Input!E87="","",IF(E$3&gt;Input!$H$4,"",IFERROR(MATCH(Input!E87,Input!$H$10:$H$29,0),"ERR")))</f>
        <v/>
      </c>
      <c r="F87" s="20">
        <f t="shared" si="46"/>
        <v>0</v>
      </c>
      <c r="G87" s="20">
        <f t="shared" si="47"/>
        <v>0</v>
      </c>
      <c r="H87" s="21">
        <f t="shared" si="48"/>
        <v>0</v>
      </c>
      <c r="I87" s="20">
        <f t="shared" si="49"/>
        <v>0</v>
      </c>
      <c r="J87" s="20">
        <f t="shared" si="50"/>
        <v>0</v>
      </c>
      <c r="K87" s="20">
        <f t="shared" si="51"/>
        <v>0</v>
      </c>
      <c r="L87" s="20">
        <f t="shared" si="52"/>
        <v>0</v>
      </c>
      <c r="M87" s="20">
        <f t="shared" si="53"/>
        <v>0</v>
      </c>
      <c r="N87" s="20">
        <f t="shared" si="54"/>
        <v>0</v>
      </c>
      <c r="O87" s="20">
        <f t="shared" si="55"/>
        <v>0</v>
      </c>
      <c r="P87" s="20">
        <f t="shared" si="56"/>
        <v>0</v>
      </c>
      <c r="Q87" s="20">
        <f t="shared" si="57"/>
        <v>0</v>
      </c>
      <c r="R87" s="20">
        <f t="shared" si="58"/>
        <v>0</v>
      </c>
      <c r="S87" s="20">
        <f t="shared" si="59"/>
        <v>0</v>
      </c>
      <c r="T87" s="20">
        <f t="shared" si="60"/>
        <v>0</v>
      </c>
      <c r="U87" s="20">
        <f t="shared" si="61"/>
        <v>0</v>
      </c>
      <c r="V87" s="20">
        <f t="shared" si="62"/>
        <v>0</v>
      </c>
      <c r="W87" s="20">
        <f t="shared" si="63"/>
        <v>0</v>
      </c>
      <c r="X87" s="20">
        <f t="shared" si="64"/>
        <v>0</v>
      </c>
      <c r="Y87" s="20">
        <f t="shared" si="65"/>
        <v>0</v>
      </c>
      <c r="Z87" s="20">
        <f t="shared" si="66"/>
        <v>0</v>
      </c>
      <c r="AA87" s="20">
        <f t="shared" si="67"/>
        <v>0</v>
      </c>
      <c r="AB87" s="20">
        <f t="shared" si="68"/>
        <v>0</v>
      </c>
    </row>
    <row r="88" ht="15">
      <c r="A88" s="20">
        <f>Input!A88</f>
        <v>84</v>
      </c>
      <c r="B88" s="20" t="str">
        <f>IF(Input!B88="","",IF(B$3&gt;Input!$H$4,"",IFERROR(MATCH(Input!B88,Input!$H$10:$H$29,0),"ERR")))</f>
        <v/>
      </c>
      <c r="C88" s="20" t="str">
        <f>IF(Input!C88="","",IF(C$3&gt;Input!$H$4,"",IFERROR(MATCH(Input!C88,Input!$H$10:$H$29,0),"ERR")))</f>
        <v/>
      </c>
      <c r="D88" s="20" t="str">
        <f>IF(Input!D88="","",IF(D$3&gt;Input!$H$4,"",IFERROR(MATCH(Input!D88,Input!$H$10:$H$29,0),"ERR")))</f>
        <v/>
      </c>
      <c r="E88" s="20" t="str">
        <f>IF(Input!E88="","",IF(E$3&gt;Input!$H$4,"",IFERROR(MATCH(Input!E88,Input!$H$10:$H$29,0),"ERR")))</f>
        <v/>
      </c>
      <c r="F88" s="20">
        <f t="shared" si="46"/>
        <v>0</v>
      </c>
      <c r="G88" s="20">
        <f t="shared" si="47"/>
        <v>0</v>
      </c>
      <c r="H88" s="21">
        <f t="shared" si="48"/>
        <v>0</v>
      </c>
      <c r="I88" s="20">
        <f t="shared" si="49"/>
        <v>0</v>
      </c>
      <c r="J88" s="20">
        <f t="shared" si="50"/>
        <v>0</v>
      </c>
      <c r="K88" s="20">
        <f t="shared" si="51"/>
        <v>0</v>
      </c>
      <c r="L88" s="20">
        <f t="shared" si="52"/>
        <v>0</v>
      </c>
      <c r="M88" s="20">
        <f t="shared" si="53"/>
        <v>0</v>
      </c>
      <c r="N88" s="20">
        <f t="shared" si="54"/>
        <v>0</v>
      </c>
      <c r="O88" s="20">
        <f t="shared" si="55"/>
        <v>0</v>
      </c>
      <c r="P88" s="20">
        <f t="shared" si="56"/>
        <v>0</v>
      </c>
      <c r="Q88" s="20">
        <f t="shared" si="57"/>
        <v>0</v>
      </c>
      <c r="R88" s="20">
        <f t="shared" si="58"/>
        <v>0</v>
      </c>
      <c r="S88" s="20">
        <f t="shared" si="59"/>
        <v>0</v>
      </c>
      <c r="T88" s="20">
        <f t="shared" si="60"/>
        <v>0</v>
      </c>
      <c r="U88" s="20">
        <f t="shared" si="61"/>
        <v>0</v>
      </c>
      <c r="V88" s="20">
        <f t="shared" si="62"/>
        <v>0</v>
      </c>
      <c r="W88" s="20">
        <f t="shared" si="63"/>
        <v>0</v>
      </c>
      <c r="X88" s="20">
        <f t="shared" si="64"/>
        <v>0</v>
      </c>
      <c r="Y88" s="20">
        <f t="shared" si="65"/>
        <v>0</v>
      </c>
      <c r="Z88" s="20">
        <f t="shared" si="66"/>
        <v>0</v>
      </c>
      <c r="AA88" s="20">
        <f t="shared" si="67"/>
        <v>0</v>
      </c>
      <c r="AB88" s="20">
        <f t="shared" si="68"/>
        <v>0</v>
      </c>
    </row>
    <row r="89" ht="15">
      <c r="A89" s="20">
        <f>Input!A89</f>
        <v>85</v>
      </c>
      <c r="B89" s="20" t="str">
        <f>IF(Input!B89="","",IF(B$3&gt;Input!$H$4,"",IFERROR(MATCH(Input!B89,Input!$H$10:$H$29,0),"ERR")))</f>
        <v/>
      </c>
      <c r="C89" s="20" t="str">
        <f>IF(Input!C89="","",IF(C$3&gt;Input!$H$4,"",IFERROR(MATCH(Input!C89,Input!$H$10:$H$29,0),"ERR")))</f>
        <v/>
      </c>
      <c r="D89" s="20" t="str">
        <f>IF(Input!D89="","",IF(D$3&gt;Input!$H$4,"",IFERROR(MATCH(Input!D89,Input!$H$10:$H$29,0),"ERR")))</f>
        <v/>
      </c>
      <c r="E89" s="20" t="str">
        <f>IF(Input!E89="","",IF(E$3&gt;Input!$H$4,"",IFERROR(MATCH(Input!E89,Input!$H$10:$H$29,0),"ERR")))</f>
        <v/>
      </c>
      <c r="F89" s="20">
        <f t="shared" si="46"/>
        <v>0</v>
      </c>
      <c r="G89" s="20">
        <f t="shared" si="47"/>
        <v>0</v>
      </c>
      <c r="H89" s="21">
        <f t="shared" si="48"/>
        <v>0</v>
      </c>
      <c r="I89" s="20">
        <f t="shared" si="49"/>
        <v>0</v>
      </c>
      <c r="J89" s="20">
        <f t="shared" si="50"/>
        <v>0</v>
      </c>
      <c r="K89" s="20">
        <f t="shared" si="51"/>
        <v>0</v>
      </c>
      <c r="L89" s="20">
        <f t="shared" si="52"/>
        <v>0</v>
      </c>
      <c r="M89" s="20">
        <f t="shared" si="53"/>
        <v>0</v>
      </c>
      <c r="N89" s="20">
        <f t="shared" si="54"/>
        <v>0</v>
      </c>
      <c r="O89" s="20">
        <f t="shared" si="55"/>
        <v>0</v>
      </c>
      <c r="P89" s="20">
        <f t="shared" si="56"/>
        <v>0</v>
      </c>
      <c r="Q89" s="20">
        <f t="shared" si="57"/>
        <v>0</v>
      </c>
      <c r="R89" s="20">
        <f t="shared" si="58"/>
        <v>0</v>
      </c>
      <c r="S89" s="20">
        <f t="shared" si="59"/>
        <v>0</v>
      </c>
      <c r="T89" s="20">
        <f t="shared" si="60"/>
        <v>0</v>
      </c>
      <c r="U89" s="20">
        <f t="shared" si="61"/>
        <v>0</v>
      </c>
      <c r="V89" s="20">
        <f t="shared" si="62"/>
        <v>0</v>
      </c>
      <c r="W89" s="20">
        <f t="shared" si="63"/>
        <v>0</v>
      </c>
      <c r="X89" s="20">
        <f t="shared" si="64"/>
        <v>0</v>
      </c>
      <c r="Y89" s="20">
        <f t="shared" si="65"/>
        <v>0</v>
      </c>
      <c r="Z89" s="20">
        <f t="shared" si="66"/>
        <v>0</v>
      </c>
      <c r="AA89" s="20">
        <f t="shared" si="67"/>
        <v>0</v>
      </c>
      <c r="AB89" s="20">
        <f t="shared" si="68"/>
        <v>0</v>
      </c>
    </row>
    <row r="90" ht="15">
      <c r="A90" s="20">
        <f>Input!A90</f>
        <v>86</v>
      </c>
      <c r="B90" s="20" t="str">
        <f>IF(Input!B90="","",IF(B$3&gt;Input!$H$4,"",IFERROR(MATCH(Input!B90,Input!$H$10:$H$29,0),"ERR")))</f>
        <v/>
      </c>
      <c r="C90" s="20" t="str">
        <f>IF(Input!C90="","",IF(C$3&gt;Input!$H$4,"",IFERROR(MATCH(Input!C90,Input!$H$10:$H$29,0),"ERR")))</f>
        <v/>
      </c>
      <c r="D90" s="20" t="str">
        <f>IF(Input!D90="","",IF(D$3&gt;Input!$H$4,"",IFERROR(MATCH(Input!D90,Input!$H$10:$H$29,0),"ERR")))</f>
        <v/>
      </c>
      <c r="E90" s="20" t="str">
        <f>IF(Input!E90="","",IF(E$3&gt;Input!$H$4,"",IFERROR(MATCH(Input!E90,Input!$H$10:$H$29,0),"ERR")))</f>
        <v/>
      </c>
      <c r="F90" s="20">
        <f t="shared" si="46"/>
        <v>0</v>
      </c>
      <c r="G90" s="20">
        <f t="shared" si="47"/>
        <v>0</v>
      </c>
      <c r="H90" s="21">
        <f t="shared" si="48"/>
        <v>0</v>
      </c>
      <c r="I90" s="20">
        <f t="shared" si="49"/>
        <v>0</v>
      </c>
      <c r="J90" s="20">
        <f t="shared" si="50"/>
        <v>0</v>
      </c>
      <c r="K90" s="20">
        <f t="shared" si="51"/>
        <v>0</v>
      </c>
      <c r="L90" s="20">
        <f t="shared" si="52"/>
        <v>0</v>
      </c>
      <c r="M90" s="20">
        <f t="shared" si="53"/>
        <v>0</v>
      </c>
      <c r="N90" s="20">
        <f t="shared" si="54"/>
        <v>0</v>
      </c>
      <c r="O90" s="20">
        <f t="shared" si="55"/>
        <v>0</v>
      </c>
      <c r="P90" s="20">
        <f t="shared" si="56"/>
        <v>0</v>
      </c>
      <c r="Q90" s="20">
        <f t="shared" si="57"/>
        <v>0</v>
      </c>
      <c r="R90" s="20">
        <f t="shared" si="58"/>
        <v>0</v>
      </c>
      <c r="S90" s="20">
        <f t="shared" si="59"/>
        <v>0</v>
      </c>
      <c r="T90" s="20">
        <f t="shared" si="60"/>
        <v>0</v>
      </c>
      <c r="U90" s="20">
        <f t="shared" si="61"/>
        <v>0</v>
      </c>
      <c r="V90" s="20">
        <f t="shared" si="62"/>
        <v>0</v>
      </c>
      <c r="W90" s="20">
        <f t="shared" si="63"/>
        <v>0</v>
      </c>
      <c r="X90" s="20">
        <f t="shared" si="64"/>
        <v>0</v>
      </c>
      <c r="Y90" s="20">
        <f t="shared" si="65"/>
        <v>0</v>
      </c>
      <c r="Z90" s="20">
        <f t="shared" si="66"/>
        <v>0</v>
      </c>
      <c r="AA90" s="20">
        <f t="shared" si="67"/>
        <v>0</v>
      </c>
      <c r="AB90" s="20">
        <f t="shared" si="68"/>
        <v>0</v>
      </c>
    </row>
    <row r="91" ht="15">
      <c r="A91" s="20">
        <f>Input!A91</f>
        <v>87</v>
      </c>
      <c r="B91" s="20" t="str">
        <f>IF(Input!B91="","",IF(B$3&gt;Input!$H$4,"",IFERROR(MATCH(Input!B91,Input!$H$10:$H$29,0),"ERR")))</f>
        <v/>
      </c>
      <c r="C91" s="20" t="str">
        <f>IF(Input!C91="","",IF(C$3&gt;Input!$H$4,"",IFERROR(MATCH(Input!C91,Input!$H$10:$H$29,0),"ERR")))</f>
        <v/>
      </c>
      <c r="D91" s="20" t="str">
        <f>IF(Input!D91="","",IF(D$3&gt;Input!$H$4,"",IFERROR(MATCH(Input!D91,Input!$H$10:$H$29,0),"ERR")))</f>
        <v/>
      </c>
      <c r="E91" s="20" t="str">
        <f>IF(Input!E91="","",IF(E$3&gt;Input!$H$4,"",IFERROR(MATCH(Input!E91,Input!$H$10:$H$29,0),"ERR")))</f>
        <v/>
      </c>
      <c r="F91" s="20">
        <f t="shared" si="46"/>
        <v>0</v>
      </c>
      <c r="G91" s="20">
        <f t="shared" si="47"/>
        <v>0</v>
      </c>
      <c r="H91" s="21">
        <f t="shared" si="48"/>
        <v>0</v>
      </c>
      <c r="I91" s="20">
        <f t="shared" si="49"/>
        <v>0</v>
      </c>
      <c r="J91" s="20">
        <f t="shared" si="50"/>
        <v>0</v>
      </c>
      <c r="K91" s="20">
        <f t="shared" si="51"/>
        <v>0</v>
      </c>
      <c r="L91" s="20">
        <f t="shared" si="52"/>
        <v>0</v>
      </c>
      <c r="M91" s="20">
        <f t="shared" si="53"/>
        <v>0</v>
      </c>
      <c r="N91" s="20">
        <f t="shared" si="54"/>
        <v>0</v>
      </c>
      <c r="O91" s="20">
        <f t="shared" si="55"/>
        <v>0</v>
      </c>
      <c r="P91" s="20">
        <f t="shared" si="56"/>
        <v>0</v>
      </c>
      <c r="Q91" s="20">
        <f t="shared" si="57"/>
        <v>0</v>
      </c>
      <c r="R91" s="20">
        <f t="shared" si="58"/>
        <v>0</v>
      </c>
      <c r="S91" s="20">
        <f t="shared" si="59"/>
        <v>0</v>
      </c>
      <c r="T91" s="20">
        <f t="shared" si="60"/>
        <v>0</v>
      </c>
      <c r="U91" s="20">
        <f t="shared" si="61"/>
        <v>0</v>
      </c>
      <c r="V91" s="20">
        <f t="shared" si="62"/>
        <v>0</v>
      </c>
      <c r="W91" s="20">
        <f t="shared" si="63"/>
        <v>0</v>
      </c>
      <c r="X91" s="20">
        <f t="shared" si="64"/>
        <v>0</v>
      </c>
      <c r="Y91" s="20">
        <f t="shared" si="65"/>
        <v>0</v>
      </c>
      <c r="Z91" s="20">
        <f t="shared" si="66"/>
        <v>0</v>
      </c>
      <c r="AA91" s="20">
        <f t="shared" si="67"/>
        <v>0</v>
      </c>
      <c r="AB91" s="20">
        <f t="shared" si="68"/>
        <v>0</v>
      </c>
    </row>
    <row r="92" ht="15">
      <c r="A92" s="20">
        <f>Input!A92</f>
        <v>88</v>
      </c>
      <c r="B92" s="20" t="str">
        <f>IF(Input!B92="","",IF(B$3&gt;Input!$H$4,"",IFERROR(MATCH(Input!B92,Input!$H$10:$H$29,0),"ERR")))</f>
        <v/>
      </c>
      <c r="C92" s="20" t="str">
        <f>IF(Input!C92="","",IF(C$3&gt;Input!$H$4,"",IFERROR(MATCH(Input!C92,Input!$H$10:$H$29,0),"ERR")))</f>
        <v/>
      </c>
      <c r="D92" s="20" t="str">
        <f>IF(Input!D92="","",IF(D$3&gt;Input!$H$4,"",IFERROR(MATCH(Input!D92,Input!$H$10:$H$29,0),"ERR")))</f>
        <v/>
      </c>
      <c r="E92" s="20" t="str">
        <f>IF(Input!E92="","",IF(E$3&gt;Input!$H$4,"",IFERROR(MATCH(Input!E92,Input!$H$10:$H$29,0),"ERR")))</f>
        <v/>
      </c>
      <c r="F92" s="20">
        <f t="shared" si="46"/>
        <v>0</v>
      </c>
      <c r="G92" s="20">
        <f t="shared" si="47"/>
        <v>0</v>
      </c>
      <c r="H92" s="21">
        <f t="shared" si="48"/>
        <v>0</v>
      </c>
      <c r="I92" s="20">
        <f t="shared" si="49"/>
        <v>0</v>
      </c>
      <c r="J92" s="20">
        <f t="shared" si="50"/>
        <v>0</v>
      </c>
      <c r="K92" s="20">
        <f t="shared" si="51"/>
        <v>0</v>
      </c>
      <c r="L92" s="20">
        <f t="shared" si="52"/>
        <v>0</v>
      </c>
      <c r="M92" s="20">
        <f t="shared" si="53"/>
        <v>0</v>
      </c>
      <c r="N92" s="20">
        <f t="shared" si="54"/>
        <v>0</v>
      </c>
      <c r="O92" s="20">
        <f t="shared" si="55"/>
        <v>0</v>
      </c>
      <c r="P92" s="20">
        <f t="shared" si="56"/>
        <v>0</v>
      </c>
      <c r="Q92" s="20">
        <f t="shared" si="57"/>
        <v>0</v>
      </c>
      <c r="R92" s="20">
        <f t="shared" si="58"/>
        <v>0</v>
      </c>
      <c r="S92" s="20">
        <f t="shared" si="59"/>
        <v>0</v>
      </c>
      <c r="T92" s="20">
        <f t="shared" si="60"/>
        <v>0</v>
      </c>
      <c r="U92" s="20">
        <f t="shared" si="61"/>
        <v>0</v>
      </c>
      <c r="V92" s="20">
        <f t="shared" si="62"/>
        <v>0</v>
      </c>
      <c r="W92" s="20">
        <f t="shared" si="63"/>
        <v>0</v>
      </c>
      <c r="X92" s="20">
        <f t="shared" si="64"/>
        <v>0</v>
      </c>
      <c r="Y92" s="20">
        <f t="shared" si="65"/>
        <v>0</v>
      </c>
      <c r="Z92" s="20">
        <f t="shared" si="66"/>
        <v>0</v>
      </c>
      <c r="AA92" s="20">
        <f t="shared" si="67"/>
        <v>0</v>
      </c>
      <c r="AB92" s="20">
        <f t="shared" si="68"/>
        <v>0</v>
      </c>
    </row>
    <row r="93" ht="15">
      <c r="A93" s="20">
        <f>Input!A93</f>
        <v>89</v>
      </c>
      <c r="B93" s="20" t="str">
        <f>IF(Input!B93="","",IF(B$3&gt;Input!$H$4,"",IFERROR(MATCH(Input!B93,Input!$H$10:$H$29,0),"ERR")))</f>
        <v/>
      </c>
      <c r="C93" s="20" t="str">
        <f>IF(Input!C93="","",IF(C$3&gt;Input!$H$4,"",IFERROR(MATCH(Input!C93,Input!$H$10:$H$29,0),"ERR")))</f>
        <v/>
      </c>
      <c r="D93" s="20" t="str">
        <f>IF(Input!D93="","",IF(D$3&gt;Input!$H$4,"",IFERROR(MATCH(Input!D93,Input!$H$10:$H$29,0),"ERR")))</f>
        <v/>
      </c>
      <c r="E93" s="20" t="str">
        <f>IF(Input!E93="","",IF(E$3&gt;Input!$H$4,"",IFERROR(MATCH(Input!E93,Input!$H$10:$H$29,0),"ERR")))</f>
        <v/>
      </c>
      <c r="F93" s="20">
        <f t="shared" si="46"/>
        <v>0</v>
      </c>
      <c r="G93" s="20">
        <f t="shared" si="47"/>
        <v>0</v>
      </c>
      <c r="H93" s="21">
        <f t="shared" si="48"/>
        <v>0</v>
      </c>
      <c r="I93" s="20">
        <f t="shared" si="49"/>
        <v>0</v>
      </c>
      <c r="J93" s="20">
        <f t="shared" si="50"/>
        <v>0</v>
      </c>
      <c r="K93" s="20">
        <f t="shared" si="51"/>
        <v>0</v>
      </c>
      <c r="L93" s="20">
        <f t="shared" si="52"/>
        <v>0</v>
      </c>
      <c r="M93" s="20">
        <f t="shared" si="53"/>
        <v>0</v>
      </c>
      <c r="N93" s="20">
        <f t="shared" si="54"/>
        <v>0</v>
      </c>
      <c r="O93" s="20">
        <f t="shared" si="55"/>
        <v>0</v>
      </c>
      <c r="P93" s="20">
        <f t="shared" si="56"/>
        <v>0</v>
      </c>
      <c r="Q93" s="20">
        <f t="shared" si="57"/>
        <v>0</v>
      </c>
      <c r="R93" s="20">
        <f t="shared" si="58"/>
        <v>0</v>
      </c>
      <c r="S93" s="20">
        <f t="shared" si="59"/>
        <v>0</v>
      </c>
      <c r="T93" s="20">
        <f t="shared" si="60"/>
        <v>0</v>
      </c>
      <c r="U93" s="20">
        <f t="shared" si="61"/>
        <v>0</v>
      </c>
      <c r="V93" s="20">
        <f t="shared" si="62"/>
        <v>0</v>
      </c>
      <c r="W93" s="20">
        <f t="shared" si="63"/>
        <v>0</v>
      </c>
      <c r="X93" s="20">
        <f t="shared" si="64"/>
        <v>0</v>
      </c>
      <c r="Y93" s="20">
        <f t="shared" si="65"/>
        <v>0</v>
      </c>
      <c r="Z93" s="20">
        <f t="shared" si="66"/>
        <v>0</v>
      </c>
      <c r="AA93" s="20">
        <f t="shared" si="67"/>
        <v>0</v>
      </c>
      <c r="AB93" s="20">
        <f t="shared" si="68"/>
        <v>0</v>
      </c>
    </row>
    <row r="94" ht="15">
      <c r="A94" s="20">
        <f>Input!A94</f>
        <v>90</v>
      </c>
      <c r="B94" s="20" t="str">
        <f>IF(Input!B94="","",IF(B$3&gt;Input!$H$4,"",IFERROR(MATCH(Input!B94,Input!$H$10:$H$29,0),"ERR")))</f>
        <v/>
      </c>
      <c r="C94" s="20" t="str">
        <f>IF(Input!C94="","",IF(C$3&gt;Input!$H$4,"",IFERROR(MATCH(Input!C94,Input!$H$10:$H$29,0),"ERR")))</f>
        <v/>
      </c>
      <c r="D94" s="20" t="str">
        <f>IF(Input!D94="","",IF(D$3&gt;Input!$H$4,"",IFERROR(MATCH(Input!D94,Input!$H$10:$H$29,0),"ERR")))</f>
        <v/>
      </c>
      <c r="E94" s="20" t="str">
        <f>IF(Input!E94="","",IF(E$3&gt;Input!$H$4,"",IFERROR(MATCH(Input!E94,Input!$H$10:$H$29,0),"ERR")))</f>
        <v/>
      </c>
      <c r="F94" s="20">
        <f t="shared" si="46"/>
        <v>0</v>
      </c>
      <c r="G94" s="20">
        <f t="shared" si="47"/>
        <v>0</v>
      </c>
      <c r="H94" s="21">
        <f t="shared" si="48"/>
        <v>0</v>
      </c>
      <c r="I94" s="20">
        <f t="shared" si="49"/>
        <v>0</v>
      </c>
      <c r="J94" s="20">
        <f t="shared" si="50"/>
        <v>0</v>
      </c>
      <c r="K94" s="20">
        <f t="shared" si="51"/>
        <v>0</v>
      </c>
      <c r="L94" s="20">
        <f t="shared" si="52"/>
        <v>0</v>
      </c>
      <c r="M94" s="20">
        <f t="shared" si="53"/>
        <v>0</v>
      </c>
      <c r="N94" s="20">
        <f t="shared" si="54"/>
        <v>0</v>
      </c>
      <c r="O94" s="20">
        <f t="shared" si="55"/>
        <v>0</v>
      </c>
      <c r="P94" s="20">
        <f t="shared" si="56"/>
        <v>0</v>
      </c>
      <c r="Q94" s="20">
        <f t="shared" si="57"/>
        <v>0</v>
      </c>
      <c r="R94" s="20">
        <f t="shared" si="58"/>
        <v>0</v>
      </c>
      <c r="S94" s="20">
        <f t="shared" si="59"/>
        <v>0</v>
      </c>
      <c r="T94" s="20">
        <f t="shared" si="60"/>
        <v>0</v>
      </c>
      <c r="U94" s="20">
        <f t="shared" si="61"/>
        <v>0</v>
      </c>
      <c r="V94" s="20">
        <f t="shared" si="62"/>
        <v>0</v>
      </c>
      <c r="W94" s="20">
        <f t="shared" si="63"/>
        <v>0</v>
      </c>
      <c r="X94" s="20">
        <f t="shared" si="64"/>
        <v>0</v>
      </c>
      <c r="Y94" s="20">
        <f t="shared" si="65"/>
        <v>0</v>
      </c>
      <c r="Z94" s="20">
        <f t="shared" si="66"/>
        <v>0</v>
      </c>
      <c r="AA94" s="20">
        <f t="shared" si="67"/>
        <v>0</v>
      </c>
      <c r="AB94" s="20">
        <f t="shared" si="68"/>
        <v>0</v>
      </c>
    </row>
    <row r="95" ht="15">
      <c r="A95" s="20">
        <f>Input!A95</f>
        <v>91</v>
      </c>
      <c r="B95" s="20" t="str">
        <f>IF(Input!B95="","",IF(B$3&gt;Input!$H$4,"",IFERROR(MATCH(Input!B95,Input!$H$10:$H$29,0),"ERR")))</f>
        <v/>
      </c>
      <c r="C95" s="20" t="str">
        <f>IF(Input!C95="","",IF(C$3&gt;Input!$H$4,"",IFERROR(MATCH(Input!C95,Input!$H$10:$H$29,0),"ERR")))</f>
        <v/>
      </c>
      <c r="D95" s="20" t="str">
        <f>IF(Input!D95="","",IF(D$3&gt;Input!$H$4,"",IFERROR(MATCH(Input!D95,Input!$H$10:$H$29,0),"ERR")))</f>
        <v/>
      </c>
      <c r="E95" s="20" t="str">
        <f>IF(Input!E95="","",IF(E$3&gt;Input!$H$4,"",IFERROR(MATCH(Input!E95,Input!$H$10:$H$29,0),"ERR")))</f>
        <v/>
      </c>
      <c r="F95" s="20">
        <f t="shared" si="46"/>
        <v>0</v>
      </c>
      <c r="G95" s="20">
        <f t="shared" si="47"/>
        <v>0</v>
      </c>
      <c r="H95" s="21">
        <f t="shared" si="48"/>
        <v>0</v>
      </c>
      <c r="I95" s="20">
        <f t="shared" si="49"/>
        <v>0</v>
      </c>
      <c r="J95" s="20">
        <f t="shared" si="50"/>
        <v>0</v>
      </c>
      <c r="K95" s="20">
        <f t="shared" si="51"/>
        <v>0</v>
      </c>
      <c r="L95" s="20">
        <f t="shared" si="52"/>
        <v>0</v>
      </c>
      <c r="M95" s="20">
        <f t="shared" si="53"/>
        <v>0</v>
      </c>
      <c r="N95" s="20">
        <f t="shared" si="54"/>
        <v>0</v>
      </c>
      <c r="O95" s="20">
        <f t="shared" si="55"/>
        <v>0</v>
      </c>
      <c r="P95" s="20">
        <f t="shared" si="56"/>
        <v>0</v>
      </c>
      <c r="Q95" s="20">
        <f t="shared" si="57"/>
        <v>0</v>
      </c>
      <c r="R95" s="20">
        <f t="shared" si="58"/>
        <v>0</v>
      </c>
      <c r="S95" s="20">
        <f t="shared" si="59"/>
        <v>0</v>
      </c>
      <c r="T95" s="20">
        <f t="shared" si="60"/>
        <v>0</v>
      </c>
      <c r="U95" s="20">
        <f t="shared" si="61"/>
        <v>0</v>
      </c>
      <c r="V95" s="20">
        <f t="shared" si="62"/>
        <v>0</v>
      </c>
      <c r="W95" s="20">
        <f t="shared" si="63"/>
        <v>0</v>
      </c>
      <c r="X95" s="20">
        <f t="shared" si="64"/>
        <v>0</v>
      </c>
      <c r="Y95" s="20">
        <f t="shared" si="65"/>
        <v>0</v>
      </c>
      <c r="Z95" s="20">
        <f t="shared" si="66"/>
        <v>0</v>
      </c>
      <c r="AA95" s="20">
        <f t="shared" si="67"/>
        <v>0</v>
      </c>
      <c r="AB95" s="20">
        <f t="shared" si="68"/>
        <v>0</v>
      </c>
    </row>
    <row r="96" ht="15">
      <c r="A96" s="20">
        <f>Input!A96</f>
        <v>92</v>
      </c>
      <c r="B96" s="20" t="str">
        <f>IF(Input!B96="","",IF(B$3&gt;Input!$H$4,"",IFERROR(MATCH(Input!B96,Input!$H$10:$H$29,0),"ERR")))</f>
        <v/>
      </c>
      <c r="C96" s="20" t="str">
        <f>IF(Input!C96="","",IF(C$3&gt;Input!$H$4,"",IFERROR(MATCH(Input!C96,Input!$H$10:$H$29,0),"ERR")))</f>
        <v/>
      </c>
      <c r="D96" s="20" t="str">
        <f>IF(Input!D96="","",IF(D$3&gt;Input!$H$4,"",IFERROR(MATCH(Input!D96,Input!$H$10:$H$29,0),"ERR")))</f>
        <v/>
      </c>
      <c r="E96" s="20" t="str">
        <f>IF(Input!E96="","",IF(E$3&gt;Input!$H$4,"",IFERROR(MATCH(Input!E96,Input!$H$10:$H$29,0),"ERR")))</f>
        <v/>
      </c>
      <c r="F96" s="20">
        <f t="shared" si="46"/>
        <v>0</v>
      </c>
      <c r="G96" s="20">
        <f t="shared" si="47"/>
        <v>0</v>
      </c>
      <c r="H96" s="21">
        <f t="shared" si="48"/>
        <v>0</v>
      </c>
      <c r="I96" s="20">
        <f t="shared" si="49"/>
        <v>0</v>
      </c>
      <c r="J96" s="20">
        <f t="shared" si="50"/>
        <v>0</v>
      </c>
      <c r="K96" s="20">
        <f t="shared" si="51"/>
        <v>0</v>
      </c>
      <c r="L96" s="20">
        <f t="shared" si="52"/>
        <v>0</v>
      </c>
      <c r="M96" s="20">
        <f t="shared" si="53"/>
        <v>0</v>
      </c>
      <c r="N96" s="20">
        <f t="shared" si="54"/>
        <v>0</v>
      </c>
      <c r="O96" s="20">
        <f t="shared" si="55"/>
        <v>0</v>
      </c>
      <c r="P96" s="20">
        <f t="shared" si="56"/>
        <v>0</v>
      </c>
      <c r="Q96" s="20">
        <f t="shared" si="57"/>
        <v>0</v>
      </c>
      <c r="R96" s="20">
        <f t="shared" si="58"/>
        <v>0</v>
      </c>
      <c r="S96" s="20">
        <f t="shared" si="59"/>
        <v>0</v>
      </c>
      <c r="T96" s="20">
        <f t="shared" si="60"/>
        <v>0</v>
      </c>
      <c r="U96" s="20">
        <f t="shared" si="61"/>
        <v>0</v>
      </c>
      <c r="V96" s="20">
        <f t="shared" si="62"/>
        <v>0</v>
      </c>
      <c r="W96" s="20">
        <f t="shared" si="63"/>
        <v>0</v>
      </c>
      <c r="X96" s="20">
        <f t="shared" si="64"/>
        <v>0</v>
      </c>
      <c r="Y96" s="20">
        <f t="shared" si="65"/>
        <v>0</v>
      </c>
      <c r="Z96" s="20">
        <f t="shared" si="66"/>
        <v>0</v>
      </c>
      <c r="AA96" s="20">
        <f t="shared" si="67"/>
        <v>0</v>
      </c>
      <c r="AB96" s="20">
        <f t="shared" si="68"/>
        <v>0</v>
      </c>
    </row>
    <row r="97" ht="15">
      <c r="A97" s="20">
        <f>Input!A97</f>
        <v>93</v>
      </c>
      <c r="B97" s="20" t="str">
        <f>IF(Input!B97="","",IF(B$3&gt;Input!$H$4,"",IFERROR(MATCH(Input!B97,Input!$H$10:$H$29,0),"ERR")))</f>
        <v/>
      </c>
      <c r="C97" s="20" t="str">
        <f>IF(Input!C97="","",IF(C$3&gt;Input!$H$4,"",IFERROR(MATCH(Input!C97,Input!$H$10:$H$29,0),"ERR")))</f>
        <v/>
      </c>
      <c r="D97" s="20" t="str">
        <f>IF(Input!D97="","",IF(D$3&gt;Input!$H$4,"",IFERROR(MATCH(Input!D97,Input!$H$10:$H$29,0),"ERR")))</f>
        <v/>
      </c>
      <c r="E97" s="20" t="str">
        <f>IF(Input!E97="","",IF(E$3&gt;Input!$H$4,"",IFERROR(MATCH(Input!E97,Input!$H$10:$H$29,0),"ERR")))</f>
        <v/>
      </c>
      <c r="F97" s="20">
        <f t="shared" si="46"/>
        <v>0</v>
      </c>
      <c r="G97" s="20">
        <f t="shared" si="47"/>
        <v>0</v>
      </c>
      <c r="H97" s="21">
        <f t="shared" si="48"/>
        <v>0</v>
      </c>
      <c r="I97" s="20">
        <f t="shared" si="49"/>
        <v>0</v>
      </c>
      <c r="J97" s="20">
        <f t="shared" si="50"/>
        <v>0</v>
      </c>
      <c r="K97" s="20">
        <f t="shared" si="51"/>
        <v>0</v>
      </c>
      <c r="L97" s="20">
        <f t="shared" si="52"/>
        <v>0</v>
      </c>
      <c r="M97" s="20">
        <f t="shared" si="53"/>
        <v>0</v>
      </c>
      <c r="N97" s="20">
        <f t="shared" si="54"/>
        <v>0</v>
      </c>
      <c r="O97" s="20">
        <f t="shared" si="55"/>
        <v>0</v>
      </c>
      <c r="P97" s="20">
        <f t="shared" si="56"/>
        <v>0</v>
      </c>
      <c r="Q97" s="20">
        <f t="shared" si="57"/>
        <v>0</v>
      </c>
      <c r="R97" s="20">
        <f t="shared" si="58"/>
        <v>0</v>
      </c>
      <c r="S97" s="20">
        <f t="shared" si="59"/>
        <v>0</v>
      </c>
      <c r="T97" s="20">
        <f t="shared" si="60"/>
        <v>0</v>
      </c>
      <c r="U97" s="20">
        <f t="shared" si="61"/>
        <v>0</v>
      </c>
      <c r="V97" s="20">
        <f t="shared" si="62"/>
        <v>0</v>
      </c>
      <c r="W97" s="20">
        <f t="shared" si="63"/>
        <v>0</v>
      </c>
      <c r="X97" s="20">
        <f t="shared" si="64"/>
        <v>0</v>
      </c>
      <c r="Y97" s="20">
        <f t="shared" si="65"/>
        <v>0</v>
      </c>
      <c r="Z97" s="20">
        <f t="shared" si="66"/>
        <v>0</v>
      </c>
      <c r="AA97" s="20">
        <f t="shared" si="67"/>
        <v>0</v>
      </c>
      <c r="AB97" s="20">
        <f t="shared" si="68"/>
        <v>0</v>
      </c>
    </row>
    <row r="98" ht="15">
      <c r="A98" s="20">
        <f>Input!A98</f>
        <v>94</v>
      </c>
      <c r="B98" s="20" t="str">
        <f>IF(Input!B98="","",IF(B$3&gt;Input!$H$4,"",IFERROR(MATCH(Input!B98,Input!$H$10:$H$29,0),"ERR")))</f>
        <v/>
      </c>
      <c r="C98" s="20" t="str">
        <f>IF(Input!C98="","",IF(C$3&gt;Input!$H$4,"",IFERROR(MATCH(Input!C98,Input!$H$10:$H$29,0),"ERR")))</f>
        <v/>
      </c>
      <c r="D98" s="20" t="str">
        <f>IF(Input!D98="","",IF(D$3&gt;Input!$H$4,"",IFERROR(MATCH(Input!D98,Input!$H$10:$H$29,0),"ERR")))</f>
        <v/>
      </c>
      <c r="E98" s="20" t="str">
        <f>IF(Input!E98="","",IF(E$3&gt;Input!$H$4,"",IFERROR(MATCH(Input!E98,Input!$H$10:$H$29,0),"ERR")))</f>
        <v/>
      </c>
      <c r="F98" s="20">
        <f t="shared" si="46"/>
        <v>0</v>
      </c>
      <c r="G98" s="20">
        <f t="shared" si="47"/>
        <v>0</v>
      </c>
      <c r="H98" s="21">
        <f t="shared" si="48"/>
        <v>0</v>
      </c>
      <c r="I98" s="20">
        <f t="shared" si="49"/>
        <v>0</v>
      </c>
      <c r="J98" s="20">
        <f t="shared" si="50"/>
        <v>0</v>
      </c>
      <c r="K98" s="20">
        <f t="shared" si="51"/>
        <v>0</v>
      </c>
      <c r="L98" s="20">
        <f t="shared" si="52"/>
        <v>0</v>
      </c>
      <c r="M98" s="20">
        <f t="shared" si="53"/>
        <v>0</v>
      </c>
      <c r="N98" s="20">
        <f t="shared" si="54"/>
        <v>0</v>
      </c>
      <c r="O98" s="20">
        <f t="shared" si="55"/>
        <v>0</v>
      </c>
      <c r="P98" s="20">
        <f t="shared" si="56"/>
        <v>0</v>
      </c>
      <c r="Q98" s="20">
        <f t="shared" si="57"/>
        <v>0</v>
      </c>
      <c r="R98" s="20">
        <f t="shared" si="58"/>
        <v>0</v>
      </c>
      <c r="S98" s="20">
        <f t="shared" si="59"/>
        <v>0</v>
      </c>
      <c r="T98" s="20">
        <f t="shared" si="60"/>
        <v>0</v>
      </c>
      <c r="U98" s="20">
        <f t="shared" si="61"/>
        <v>0</v>
      </c>
      <c r="V98" s="20">
        <f t="shared" si="62"/>
        <v>0</v>
      </c>
      <c r="W98" s="20">
        <f t="shared" si="63"/>
        <v>0</v>
      </c>
      <c r="X98" s="20">
        <f t="shared" si="64"/>
        <v>0</v>
      </c>
      <c r="Y98" s="20">
        <f t="shared" si="65"/>
        <v>0</v>
      </c>
      <c r="Z98" s="20">
        <f t="shared" si="66"/>
        <v>0</v>
      </c>
      <c r="AA98" s="20">
        <f t="shared" si="67"/>
        <v>0</v>
      </c>
      <c r="AB98" s="20">
        <f t="shared" si="68"/>
        <v>0</v>
      </c>
    </row>
    <row r="99" ht="15">
      <c r="A99" s="20">
        <f>Input!A99</f>
        <v>95</v>
      </c>
      <c r="B99" s="20" t="str">
        <f>IF(Input!B99="","",IF(B$3&gt;Input!$H$4,"",IFERROR(MATCH(Input!B99,Input!$H$10:$H$29,0),"ERR")))</f>
        <v/>
      </c>
      <c r="C99" s="20" t="str">
        <f>IF(Input!C99="","",IF(C$3&gt;Input!$H$4,"",IFERROR(MATCH(Input!C99,Input!$H$10:$H$29,0),"ERR")))</f>
        <v/>
      </c>
      <c r="D99" s="20" t="str">
        <f>IF(Input!D99="","",IF(D$3&gt;Input!$H$4,"",IFERROR(MATCH(Input!D99,Input!$H$10:$H$29,0),"ERR")))</f>
        <v/>
      </c>
      <c r="E99" s="20" t="str">
        <f>IF(Input!E99="","",IF(E$3&gt;Input!$H$4,"",IFERROR(MATCH(Input!E99,Input!$H$10:$H$29,0),"ERR")))</f>
        <v/>
      </c>
      <c r="F99" s="20">
        <f t="shared" si="46"/>
        <v>0</v>
      </c>
      <c r="G99" s="20">
        <f t="shared" si="47"/>
        <v>0</v>
      </c>
      <c r="H99" s="21">
        <f t="shared" si="48"/>
        <v>0</v>
      </c>
      <c r="I99" s="20">
        <f t="shared" si="49"/>
        <v>0</v>
      </c>
      <c r="J99" s="20">
        <f t="shared" si="50"/>
        <v>0</v>
      </c>
      <c r="K99" s="20">
        <f t="shared" si="51"/>
        <v>0</v>
      </c>
      <c r="L99" s="20">
        <f t="shared" si="52"/>
        <v>0</v>
      </c>
      <c r="M99" s="20">
        <f t="shared" si="53"/>
        <v>0</v>
      </c>
      <c r="N99" s="20">
        <f t="shared" si="54"/>
        <v>0</v>
      </c>
      <c r="O99" s="20">
        <f t="shared" si="55"/>
        <v>0</v>
      </c>
      <c r="P99" s="20">
        <f t="shared" si="56"/>
        <v>0</v>
      </c>
      <c r="Q99" s="20">
        <f t="shared" si="57"/>
        <v>0</v>
      </c>
      <c r="R99" s="20">
        <f t="shared" si="58"/>
        <v>0</v>
      </c>
      <c r="S99" s="20">
        <f t="shared" si="59"/>
        <v>0</v>
      </c>
      <c r="T99" s="20">
        <f t="shared" si="60"/>
        <v>0</v>
      </c>
      <c r="U99" s="20">
        <f t="shared" si="61"/>
        <v>0</v>
      </c>
      <c r="V99" s="20">
        <f t="shared" si="62"/>
        <v>0</v>
      </c>
      <c r="W99" s="20">
        <f t="shared" si="63"/>
        <v>0</v>
      </c>
      <c r="X99" s="20">
        <f t="shared" si="64"/>
        <v>0</v>
      </c>
      <c r="Y99" s="20">
        <f t="shared" si="65"/>
        <v>0</v>
      </c>
      <c r="Z99" s="20">
        <f t="shared" si="66"/>
        <v>0</v>
      </c>
      <c r="AA99" s="20">
        <f t="shared" si="67"/>
        <v>0</v>
      </c>
      <c r="AB99" s="20">
        <f t="shared" si="68"/>
        <v>0</v>
      </c>
    </row>
    <row r="100" ht="15">
      <c r="A100" s="20">
        <f>Input!A100</f>
        <v>96</v>
      </c>
      <c r="B100" s="20" t="str">
        <f>IF(Input!B100="","",IF(B$3&gt;Input!$H$4,"",IFERROR(MATCH(Input!B100,Input!$H$10:$H$29,0),"ERR")))</f>
        <v/>
      </c>
      <c r="C100" s="20" t="str">
        <f>IF(Input!C100="","",IF(C$3&gt;Input!$H$4,"",IFERROR(MATCH(Input!C100,Input!$H$10:$H$29,0),"ERR")))</f>
        <v/>
      </c>
      <c r="D100" s="20" t="str">
        <f>IF(Input!D100="","",IF(D$3&gt;Input!$H$4,"",IFERROR(MATCH(Input!D100,Input!$H$10:$H$29,0),"ERR")))</f>
        <v/>
      </c>
      <c r="E100" s="20" t="str">
        <f>IF(Input!E100="","",IF(E$3&gt;Input!$H$4,"",IFERROR(MATCH(Input!E100,Input!$H$10:$H$29,0),"ERR")))</f>
        <v/>
      </c>
      <c r="F100" s="20">
        <f t="shared" ref="F100:F104" si="69">COUNT(B100:E100)</f>
        <v>0</v>
      </c>
      <c r="G100" s="20">
        <f t="shared" ref="G100:G104" si="70">COUNTIF(B100:E100,"ERR")</f>
        <v>0</v>
      </c>
      <c r="H100" s="21">
        <f t="shared" ref="H100:H104" si="71">IF(F100&gt;=2,1/(F100-1),0)</f>
        <v>0</v>
      </c>
      <c r="I100" s="20">
        <f t="shared" ref="I100:I104" si="72">COUNTIF($B100:$E100,I$3)</f>
        <v>0</v>
      </c>
      <c r="J100" s="20">
        <f t="shared" ref="J100:J104" si="73">COUNTIF($B100:$E100,J$3)</f>
        <v>0</v>
      </c>
      <c r="K100" s="20">
        <f t="shared" ref="K100:K104" si="74">COUNTIF($B100:$E100,K$3)</f>
        <v>0</v>
      </c>
      <c r="L100" s="20">
        <f t="shared" ref="L100:L104" si="75">COUNTIF($B100:$E100,L$3)</f>
        <v>0</v>
      </c>
      <c r="M100" s="20">
        <f t="shared" ref="M100:M104" si="76">COUNTIF($B100:$E100,M$3)</f>
        <v>0</v>
      </c>
      <c r="N100" s="20">
        <f t="shared" ref="N100:N104" si="77">COUNTIF($B100:$E100,N$3)</f>
        <v>0</v>
      </c>
      <c r="O100" s="20">
        <f t="shared" ref="O100:O104" si="78">COUNTIF($B100:$E100,O$3)</f>
        <v>0</v>
      </c>
      <c r="P100" s="20">
        <f t="shared" ref="P100:P104" si="79">COUNTIF($B100:$E100,P$3)</f>
        <v>0</v>
      </c>
      <c r="Q100" s="20">
        <f t="shared" ref="Q100:Q104" si="80">COUNTIF($B100:$E100,Q$3)</f>
        <v>0</v>
      </c>
      <c r="R100" s="20">
        <f t="shared" ref="R100:R104" si="81">COUNTIF($B100:$E100,R$3)</f>
        <v>0</v>
      </c>
      <c r="S100" s="20">
        <f t="shared" ref="S100:S104" si="82">COUNTIF($B100:$E100,S$3)</f>
        <v>0</v>
      </c>
      <c r="T100" s="20">
        <f t="shared" ref="T100:T104" si="83">COUNTIF($B100:$E100,T$3)</f>
        <v>0</v>
      </c>
      <c r="U100" s="20">
        <f t="shared" ref="U100:U104" si="84">COUNTIF($B100:$E100,U$3)</f>
        <v>0</v>
      </c>
      <c r="V100" s="20">
        <f t="shared" ref="V100:V104" si="85">COUNTIF($B100:$E100,V$3)</f>
        <v>0</v>
      </c>
      <c r="W100" s="20">
        <f t="shared" ref="W100:W104" si="86">COUNTIF($B100:$E100,W$3)</f>
        <v>0</v>
      </c>
      <c r="X100" s="20">
        <f t="shared" ref="X100:X104" si="87">COUNTIF($B100:$E100,X$3)</f>
        <v>0</v>
      </c>
      <c r="Y100" s="20">
        <f t="shared" ref="Y100:Y104" si="88">COUNTIF($B100:$E100,Y$3)</f>
        <v>0</v>
      </c>
      <c r="Z100" s="20">
        <f t="shared" ref="Z100:Z104" si="89">COUNTIF($B100:$E100,Z$3)</f>
        <v>0</v>
      </c>
      <c r="AA100" s="20">
        <f t="shared" ref="AA100:AA104" si="90">COUNTIF($B100:$E100,AA$3)</f>
        <v>0</v>
      </c>
      <c r="AB100" s="20">
        <f t="shared" ref="AB100:AB104" si="91">COUNTIF($B100:$E100,AB$3)</f>
        <v>0</v>
      </c>
    </row>
    <row r="101" ht="15">
      <c r="A101" s="20">
        <f>Input!A101</f>
        <v>97</v>
      </c>
      <c r="B101" s="20" t="str">
        <f>IF(Input!B101="","",IF(B$3&gt;Input!$H$4,"",IFERROR(MATCH(Input!B101,Input!$H$10:$H$29,0),"ERR")))</f>
        <v/>
      </c>
      <c r="C101" s="20" t="str">
        <f>IF(Input!C101="","",IF(C$3&gt;Input!$H$4,"",IFERROR(MATCH(Input!C101,Input!$H$10:$H$29,0),"ERR")))</f>
        <v/>
      </c>
      <c r="D101" s="20" t="str">
        <f>IF(Input!D101="","",IF(D$3&gt;Input!$H$4,"",IFERROR(MATCH(Input!D101,Input!$H$10:$H$29,0),"ERR")))</f>
        <v/>
      </c>
      <c r="E101" s="20" t="str">
        <f>IF(Input!E101="","",IF(E$3&gt;Input!$H$4,"",IFERROR(MATCH(Input!E101,Input!$H$10:$H$29,0),"ERR")))</f>
        <v/>
      </c>
      <c r="F101" s="20">
        <f t="shared" si="69"/>
        <v>0</v>
      </c>
      <c r="G101" s="20">
        <f t="shared" si="70"/>
        <v>0</v>
      </c>
      <c r="H101" s="21">
        <f t="shared" si="71"/>
        <v>0</v>
      </c>
      <c r="I101" s="20">
        <f t="shared" si="72"/>
        <v>0</v>
      </c>
      <c r="J101" s="20">
        <f t="shared" si="73"/>
        <v>0</v>
      </c>
      <c r="K101" s="20">
        <f t="shared" si="74"/>
        <v>0</v>
      </c>
      <c r="L101" s="20">
        <f t="shared" si="75"/>
        <v>0</v>
      </c>
      <c r="M101" s="20">
        <f t="shared" si="76"/>
        <v>0</v>
      </c>
      <c r="N101" s="20">
        <f t="shared" si="77"/>
        <v>0</v>
      </c>
      <c r="O101" s="20">
        <f t="shared" si="78"/>
        <v>0</v>
      </c>
      <c r="P101" s="20">
        <f t="shared" si="79"/>
        <v>0</v>
      </c>
      <c r="Q101" s="20">
        <f t="shared" si="80"/>
        <v>0</v>
      </c>
      <c r="R101" s="20">
        <f t="shared" si="81"/>
        <v>0</v>
      </c>
      <c r="S101" s="20">
        <f t="shared" si="82"/>
        <v>0</v>
      </c>
      <c r="T101" s="20">
        <f t="shared" si="83"/>
        <v>0</v>
      </c>
      <c r="U101" s="20">
        <f t="shared" si="84"/>
        <v>0</v>
      </c>
      <c r="V101" s="20">
        <f t="shared" si="85"/>
        <v>0</v>
      </c>
      <c r="W101" s="20">
        <f t="shared" si="86"/>
        <v>0</v>
      </c>
      <c r="X101" s="20">
        <f t="shared" si="87"/>
        <v>0</v>
      </c>
      <c r="Y101" s="20">
        <f t="shared" si="88"/>
        <v>0</v>
      </c>
      <c r="Z101" s="20">
        <f t="shared" si="89"/>
        <v>0</v>
      </c>
      <c r="AA101" s="20">
        <f t="shared" si="90"/>
        <v>0</v>
      </c>
      <c r="AB101" s="20">
        <f t="shared" si="91"/>
        <v>0</v>
      </c>
    </row>
    <row r="102" ht="15">
      <c r="A102" s="20">
        <f>Input!A102</f>
        <v>98</v>
      </c>
      <c r="B102" s="20" t="str">
        <f>IF(Input!B102="","",IF(B$3&gt;Input!$H$4,"",IFERROR(MATCH(Input!B102,Input!$H$10:$H$29,0),"ERR")))</f>
        <v/>
      </c>
      <c r="C102" s="20" t="str">
        <f>IF(Input!C102="","",IF(C$3&gt;Input!$H$4,"",IFERROR(MATCH(Input!C102,Input!$H$10:$H$29,0),"ERR")))</f>
        <v/>
      </c>
      <c r="D102" s="20" t="str">
        <f>IF(Input!D102="","",IF(D$3&gt;Input!$H$4,"",IFERROR(MATCH(Input!D102,Input!$H$10:$H$29,0),"ERR")))</f>
        <v/>
      </c>
      <c r="E102" s="20" t="str">
        <f>IF(Input!E102="","",IF(E$3&gt;Input!$H$4,"",IFERROR(MATCH(Input!E102,Input!$H$10:$H$29,0),"ERR")))</f>
        <v/>
      </c>
      <c r="F102" s="20">
        <f t="shared" si="69"/>
        <v>0</v>
      </c>
      <c r="G102" s="20">
        <f t="shared" si="70"/>
        <v>0</v>
      </c>
      <c r="H102" s="21">
        <f t="shared" si="71"/>
        <v>0</v>
      </c>
      <c r="I102" s="20">
        <f t="shared" si="72"/>
        <v>0</v>
      </c>
      <c r="J102" s="20">
        <f t="shared" si="73"/>
        <v>0</v>
      </c>
      <c r="K102" s="20">
        <f t="shared" si="74"/>
        <v>0</v>
      </c>
      <c r="L102" s="20">
        <f t="shared" si="75"/>
        <v>0</v>
      </c>
      <c r="M102" s="20">
        <f t="shared" si="76"/>
        <v>0</v>
      </c>
      <c r="N102" s="20">
        <f t="shared" si="77"/>
        <v>0</v>
      </c>
      <c r="O102" s="20">
        <f t="shared" si="78"/>
        <v>0</v>
      </c>
      <c r="P102" s="20">
        <f t="shared" si="79"/>
        <v>0</v>
      </c>
      <c r="Q102" s="20">
        <f t="shared" si="80"/>
        <v>0</v>
      </c>
      <c r="R102" s="20">
        <f t="shared" si="81"/>
        <v>0</v>
      </c>
      <c r="S102" s="20">
        <f t="shared" si="82"/>
        <v>0</v>
      </c>
      <c r="T102" s="20">
        <f t="shared" si="83"/>
        <v>0</v>
      </c>
      <c r="U102" s="20">
        <f t="shared" si="84"/>
        <v>0</v>
      </c>
      <c r="V102" s="20">
        <f t="shared" si="85"/>
        <v>0</v>
      </c>
      <c r="W102" s="20">
        <f t="shared" si="86"/>
        <v>0</v>
      </c>
      <c r="X102" s="20">
        <f t="shared" si="87"/>
        <v>0</v>
      </c>
      <c r="Y102" s="20">
        <f t="shared" si="88"/>
        <v>0</v>
      </c>
      <c r="Z102" s="20">
        <f t="shared" si="89"/>
        <v>0</v>
      </c>
      <c r="AA102" s="20">
        <f t="shared" si="90"/>
        <v>0</v>
      </c>
      <c r="AB102" s="20">
        <f t="shared" si="91"/>
        <v>0</v>
      </c>
    </row>
    <row r="103" ht="15">
      <c r="A103" s="20">
        <f>Input!A103</f>
        <v>99</v>
      </c>
      <c r="B103" s="20" t="str">
        <f>IF(Input!B103="","",IF(B$3&gt;Input!$H$4,"",IFERROR(MATCH(Input!B103,Input!$H$10:$H$29,0),"ERR")))</f>
        <v/>
      </c>
      <c r="C103" s="20" t="str">
        <f>IF(Input!C103="","",IF(C$3&gt;Input!$H$4,"",IFERROR(MATCH(Input!C103,Input!$H$10:$H$29,0),"ERR")))</f>
        <v/>
      </c>
      <c r="D103" s="20" t="str">
        <f>IF(Input!D103="","",IF(D$3&gt;Input!$H$4,"",IFERROR(MATCH(Input!D103,Input!$H$10:$H$29,0),"ERR")))</f>
        <v/>
      </c>
      <c r="E103" s="20" t="str">
        <f>IF(Input!E103="","",IF(E$3&gt;Input!$H$4,"",IFERROR(MATCH(Input!E103,Input!$H$10:$H$29,0),"ERR")))</f>
        <v/>
      </c>
      <c r="F103" s="20">
        <f t="shared" si="69"/>
        <v>0</v>
      </c>
      <c r="G103" s="20">
        <f t="shared" si="70"/>
        <v>0</v>
      </c>
      <c r="H103" s="21">
        <f t="shared" si="71"/>
        <v>0</v>
      </c>
      <c r="I103" s="20">
        <f t="shared" si="72"/>
        <v>0</v>
      </c>
      <c r="J103" s="20">
        <f t="shared" si="73"/>
        <v>0</v>
      </c>
      <c r="K103" s="20">
        <f t="shared" si="74"/>
        <v>0</v>
      </c>
      <c r="L103" s="20">
        <f t="shared" si="75"/>
        <v>0</v>
      </c>
      <c r="M103" s="20">
        <f t="shared" si="76"/>
        <v>0</v>
      </c>
      <c r="N103" s="20">
        <f t="shared" si="77"/>
        <v>0</v>
      </c>
      <c r="O103" s="20">
        <f t="shared" si="78"/>
        <v>0</v>
      </c>
      <c r="P103" s="20">
        <f t="shared" si="79"/>
        <v>0</v>
      </c>
      <c r="Q103" s="20">
        <f t="shared" si="80"/>
        <v>0</v>
      </c>
      <c r="R103" s="20">
        <f t="shared" si="81"/>
        <v>0</v>
      </c>
      <c r="S103" s="20">
        <f t="shared" si="82"/>
        <v>0</v>
      </c>
      <c r="T103" s="20">
        <f t="shared" si="83"/>
        <v>0</v>
      </c>
      <c r="U103" s="20">
        <f t="shared" si="84"/>
        <v>0</v>
      </c>
      <c r="V103" s="20">
        <f t="shared" si="85"/>
        <v>0</v>
      </c>
      <c r="W103" s="20">
        <f t="shared" si="86"/>
        <v>0</v>
      </c>
      <c r="X103" s="20">
        <f t="shared" si="87"/>
        <v>0</v>
      </c>
      <c r="Y103" s="20">
        <f t="shared" si="88"/>
        <v>0</v>
      </c>
      <c r="Z103" s="20">
        <f t="shared" si="89"/>
        <v>0</v>
      </c>
      <c r="AA103" s="20">
        <f t="shared" si="90"/>
        <v>0</v>
      </c>
      <c r="AB103" s="20">
        <f t="shared" si="91"/>
        <v>0</v>
      </c>
    </row>
    <row r="104" ht="15">
      <c r="A104" s="20">
        <f>Input!A104</f>
        <v>100</v>
      </c>
      <c r="B104" s="20" t="str">
        <f>IF(Input!B104="","",IF(B$3&gt;Input!$H$4,"",IFERROR(MATCH(Input!B104,Input!$H$10:$H$29,0),"ERR")))</f>
        <v/>
      </c>
      <c r="C104" s="20" t="str">
        <f>IF(Input!C104="","",IF(C$3&gt;Input!$H$4,"",IFERROR(MATCH(Input!C104,Input!$H$10:$H$29,0),"ERR")))</f>
        <v/>
      </c>
      <c r="D104" s="20" t="str">
        <f>IF(Input!D104="","",IF(D$3&gt;Input!$H$4,"",IFERROR(MATCH(Input!D104,Input!$H$10:$H$29,0),"ERR")))</f>
        <v/>
      </c>
      <c r="E104" s="20" t="str">
        <f>IF(Input!E104="","",IF(E$3&gt;Input!$H$4,"",IFERROR(MATCH(Input!E104,Input!$H$10:$H$29,0),"ERR")))</f>
        <v/>
      </c>
      <c r="F104" s="20">
        <f t="shared" si="69"/>
        <v>0</v>
      </c>
      <c r="G104" s="20">
        <f t="shared" si="70"/>
        <v>0</v>
      </c>
      <c r="H104" s="21">
        <f t="shared" si="71"/>
        <v>0</v>
      </c>
      <c r="I104" s="20">
        <f t="shared" si="72"/>
        <v>0</v>
      </c>
      <c r="J104" s="20">
        <f t="shared" si="73"/>
        <v>0</v>
      </c>
      <c r="K104" s="20">
        <f t="shared" si="74"/>
        <v>0</v>
      </c>
      <c r="L104" s="20">
        <f t="shared" si="75"/>
        <v>0</v>
      </c>
      <c r="M104" s="20">
        <f t="shared" si="76"/>
        <v>0</v>
      </c>
      <c r="N104" s="20">
        <f t="shared" si="77"/>
        <v>0</v>
      </c>
      <c r="O104" s="20">
        <f t="shared" si="78"/>
        <v>0</v>
      </c>
      <c r="P104" s="20">
        <f t="shared" si="79"/>
        <v>0</v>
      </c>
      <c r="Q104" s="20">
        <f t="shared" si="80"/>
        <v>0</v>
      </c>
      <c r="R104" s="20">
        <f t="shared" si="81"/>
        <v>0</v>
      </c>
      <c r="S104" s="20">
        <f t="shared" si="82"/>
        <v>0</v>
      </c>
      <c r="T104" s="20">
        <f t="shared" si="83"/>
        <v>0</v>
      </c>
      <c r="U104" s="20">
        <f t="shared" si="84"/>
        <v>0</v>
      </c>
      <c r="V104" s="20">
        <f t="shared" si="85"/>
        <v>0</v>
      </c>
      <c r="W104" s="20">
        <f t="shared" si="86"/>
        <v>0</v>
      </c>
      <c r="X104" s="20">
        <f t="shared" si="87"/>
        <v>0</v>
      </c>
      <c r="Y104" s="20">
        <f t="shared" si="88"/>
        <v>0</v>
      </c>
      <c r="Z104" s="20">
        <f t="shared" si="89"/>
        <v>0</v>
      </c>
      <c r="AA104" s="20">
        <f t="shared" si="90"/>
        <v>0</v>
      </c>
      <c r="AB104" s="20">
        <f t="shared" si="91"/>
        <v>0</v>
      </c>
    </row>
  </sheetData>
  <printOptions headings="0" gridLines="0" horizontalCentered="0" verticalCentered="0"/>
  <pageMargins left="0.75" right="0.75" top="1" bottom="1" header="0.51181102362204689" footer="0.51181102362204689"/>
  <pageSetup paperSize="1" scale="100" fitToWidth="1" fitToHeight="0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1" width="7"/>
    <col customWidth="1" min="2" max="2" style="1" width="13"/>
    <col customWidth="1" min="3" max="5" style="1" width="10"/>
    <col customWidth="1" min="6" max="6" style="1" width="12"/>
    <col customWidth="1" min="7" max="23" style="1" width="10"/>
  </cols>
  <sheetData>
    <row r="1" ht="17.350000000000001">
      <c r="A1" s="2" t="s">
        <v>114</v>
      </c>
    </row>
    <row r="2" ht="15">
      <c r="A2" s="6" t="s">
        <v>115</v>
      </c>
    </row>
    <row r="3" ht="15">
      <c r="A3" s="3" t="s">
        <v>116</v>
      </c>
      <c r="B3" s="3"/>
      <c r="C3" s="3"/>
      <c r="D3" s="3"/>
      <c r="E3" s="3"/>
      <c r="F3" s="3"/>
      <c r="G3" s="3"/>
    </row>
    <row r="4" ht="15">
      <c r="A4" s="22" t="s">
        <v>117</v>
      </c>
      <c r="F4" s="23" t="str">
        <f>Input!H5</f>
        <v>Nominal</v>
      </c>
    </row>
    <row r="5" ht="15">
      <c r="A5" s="22" t="s">
        <v>118</v>
      </c>
      <c r="F5" s="24">
        <f>Input!H4</f>
        <v>2</v>
      </c>
    </row>
    <row r="6" ht="15">
      <c r="A6" s="22" t="s">
        <v>102</v>
      </c>
      <c r="F6" s="24">
        <f>COUNTIF(Hitung_Unit!F5:F104,"&gt;=1")</f>
        <v>12</v>
      </c>
    </row>
    <row r="7" ht="15">
      <c r="A7" s="22" t="s">
        <v>119</v>
      </c>
      <c r="F7" s="24">
        <f>COUNTIF(Hitung_Unit!F5:F104,"&gt;=2")</f>
        <v>12</v>
      </c>
    </row>
    <row r="8" ht="15">
      <c r="A8" s="22" t="s">
        <v>104</v>
      </c>
      <c r="F8" s="24">
        <f>$W$41</f>
        <v>20</v>
      </c>
    </row>
    <row r="9" ht="15">
      <c r="A9" s="22" t="s">
        <v>120</v>
      </c>
      <c r="F9" s="25">
        <f>IF($W$41&gt;1,SUMPRODUCT($C$21:$V$40,$C$72:$V$91)/$W$41,"")</f>
        <v>1</v>
      </c>
    </row>
    <row r="10" ht="15">
      <c r="A10" s="22" t="s">
        <v>121</v>
      </c>
      <c r="F10" s="25">
        <f>IF($W$41&gt;1,SUMPRODUCT($C$47:$V$66,$C$72:$V$91)/$W$41,"")</f>
        <v>0.7</v>
      </c>
    </row>
    <row r="11" ht="15">
      <c r="A11" s="26" t="s">
        <v>122</v>
      </c>
      <c r="F11" s="27">
        <f>IF(F8&lt;=1,"N/A",IF(F10=0,"N/A",1-F9/F10))</f>
        <v>-0.428571428571429</v>
      </c>
    </row>
    <row r="12" ht="15">
      <c r="A12" s="22" t="s">
        <v>101</v>
      </c>
      <c r="F12" s="28" t="str">
        <f>IF(F11="N/A","Tidak dapat dihitung (data kurang / semua nilai sama)",IF(F11&gt;=0.8,"Reliabel (α ≥ 0,800)",IF(F11&gt;=0.667,"Tentatif (0,667 ≤ α &lt; 0,800)","Tidak reliabel (α &lt; 0,667)")))</f>
        <v xml:space="preserve">Tidak reliabel (α &lt; 0,667)</v>
      </c>
    </row>
    <row r="13" ht="15">
      <c r="A13" s="22" t="s">
        <v>123</v>
      </c>
      <c r="F13" s="29">
        <f>IF($W$41&gt;1,(C21+D22+E23+F24+G25+H26+I27+J28+K29+L30+M31+N32+O33+P34+Q35+R36+S37+T38+U39+V40)/$W$41,"")</f>
        <v>0</v>
      </c>
    </row>
    <row r="14" ht="15">
      <c r="A14" s="22" t="s">
        <v>124</v>
      </c>
      <c r="F14" s="24">
        <f>SUM(Hitung_Unit!G5:G104)</f>
        <v>0</v>
      </c>
    </row>
    <row r="15" ht="15">
      <c r="A15" s="22" t="s">
        <v>106</v>
      </c>
      <c r="F15" s="28" t="str">
        <f>IF(OR(Input!H4&lt;2,Input!H4&gt;4),"PERIKSA: jumlah coder harus 2–4",IF(AND(Input!H5&lt;&gt;"Nominal",Input!H5&lt;&gt;"Ordinal"),"PERIKSA: jenis data harus Nominal/Ordinal",IF(COUNTA(Input!H10:H29)&lt;2,"PERIKSA: isi minimal 2 kategori di Input",IF(F14&gt;0,"PERIKSA: "&amp;F14&amp;" entri tidak ada di daftar kategori (sel merah di Input)",IF(F6=0,"Belum ada data",IF(COUNTA(Input!B5:E104)&gt;SUM(Input!B3:E3),"Catatan: ada data pada kolom coder yang tidak dipakai (abu-abu)",IF(F7&lt;F6,"Catatan: "&amp;(F6-F7)&amp;" unit hanya punya 1 nilai, tidak ikut dihitung","OK – data valid")))))))</f>
        <v xml:space="preserve">Catatan: ada data pada kolom coder yang tidak dipakai (abu-abu)</v>
      </c>
    </row>
    <row r="18" ht="15">
      <c r="A18" s="3" t="s">
        <v>125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15">
      <c r="A19" s="8" t="s">
        <v>126</v>
      </c>
      <c r="B19" s="8" t="s">
        <v>127</v>
      </c>
      <c r="C19" s="8">
        <v>1</v>
      </c>
      <c r="D19" s="8">
        <v>2</v>
      </c>
      <c r="E19" s="8">
        <v>3</v>
      </c>
      <c r="F19" s="8">
        <v>4</v>
      </c>
      <c r="G19" s="8">
        <v>5</v>
      </c>
      <c r="H19" s="8">
        <v>6</v>
      </c>
      <c r="I19" s="8">
        <v>7</v>
      </c>
      <c r="J19" s="8">
        <v>8</v>
      </c>
      <c r="K19" s="8">
        <v>9</v>
      </c>
      <c r="L19" s="8">
        <v>10</v>
      </c>
      <c r="M19" s="8">
        <v>11</v>
      </c>
      <c r="N19" s="8">
        <v>12</v>
      </c>
      <c r="O19" s="8">
        <v>13</v>
      </c>
      <c r="P19" s="8">
        <v>14</v>
      </c>
      <c r="Q19" s="8">
        <v>15</v>
      </c>
      <c r="R19" s="8">
        <v>16</v>
      </c>
      <c r="S19" s="8">
        <v>17</v>
      </c>
      <c r="T19" s="8">
        <v>18</v>
      </c>
      <c r="U19" s="8">
        <v>19</v>
      </c>
      <c r="V19" s="8">
        <v>20</v>
      </c>
      <c r="W19" s="8" t="s">
        <v>128</v>
      </c>
    </row>
    <row r="20" ht="15">
      <c r="A20" s="8"/>
      <c r="B20" s="8"/>
      <c r="C20" s="8" t="str">
        <f>IF(Input!$H$10="","",Input!$H$10)</f>
        <v>K1</v>
      </c>
      <c r="D20" s="8" t="str">
        <f>IF(Input!$H$11="","",Input!$H$11)</f>
        <v>K2</v>
      </c>
      <c r="E20" s="8" t="str">
        <f>IF(Input!$H$12="","",Input!$H$12)</f>
        <v>K3</v>
      </c>
      <c r="F20" s="8" t="str">
        <f>IF(Input!$H$13="","",Input!$H$13)</f>
        <v>K4</v>
      </c>
      <c r="G20" s="8" t="str">
        <f>IF(Input!$H$14="","",Input!$H$14)</f>
        <v>K5</v>
      </c>
      <c r="H20" s="8" t="str">
        <f>IF(Input!$H$15="","",Input!$H$15)</f>
        <v/>
      </c>
      <c r="I20" s="8" t="str">
        <f>IF(Input!$H$16="","",Input!$H$16)</f>
        <v/>
      </c>
      <c r="J20" s="8" t="str">
        <f>IF(Input!$H$17="","",Input!$H$17)</f>
        <v/>
      </c>
      <c r="K20" s="8" t="str">
        <f>IF(Input!$H$18="","",Input!$H$18)</f>
        <v/>
      </c>
      <c r="L20" s="8" t="str">
        <f>IF(Input!$H$19="","",Input!$H$19)</f>
        <v/>
      </c>
      <c r="M20" s="8" t="str">
        <f>IF(Input!$H$20="","",Input!$H$20)</f>
        <v/>
      </c>
      <c r="N20" s="8" t="str">
        <f>IF(Input!$H$21="","",Input!$H$21)</f>
        <v/>
      </c>
      <c r="O20" s="8" t="str">
        <f>IF(Input!$H$22="","",Input!$H$22)</f>
        <v/>
      </c>
      <c r="P20" s="8" t="str">
        <f>IF(Input!$H$23="","",Input!$H$23)</f>
        <v/>
      </c>
      <c r="Q20" s="8" t="str">
        <f>IF(Input!$H$24="","",Input!$H$24)</f>
        <v/>
      </c>
      <c r="R20" s="8" t="str">
        <f>IF(Input!$H$25="","",Input!$H$25)</f>
        <v/>
      </c>
      <c r="S20" s="8" t="str">
        <f>IF(Input!$H$26="","",Input!$H$26)</f>
        <v/>
      </c>
      <c r="T20" s="8" t="str">
        <f>IF(Input!$H$27="","",Input!$H$27)</f>
        <v/>
      </c>
      <c r="U20" s="8" t="str">
        <f>IF(Input!$H$28="","",Input!$H$28)</f>
        <v/>
      </c>
      <c r="V20" s="8" t="str">
        <f>IF(Input!$H$29="","",Input!$H$29)</f>
        <v/>
      </c>
      <c r="W20" s="8"/>
    </row>
    <row r="21" ht="15">
      <c r="A21" s="8">
        <v>1</v>
      </c>
      <c r="B21" s="8" t="str">
        <f>IF(Input!$H$10="","",Input!$H$10)</f>
        <v>K1</v>
      </c>
      <c r="C21" s="30">
        <f>SUMPRODUCT(Hitung_Unit!$I$5:$I$104,Hitung_Unit!$I$5:$I$104-1,Hitung_Unit!$H$5:$H$104)</f>
        <v>0</v>
      </c>
      <c r="D21" s="30">
        <f>SUMPRODUCT(Hitung_Unit!$I$5:$I$104,Hitung_Unit!$J$5:$J$104,Hitung_Unit!$H$5:$H$104)</f>
        <v>0</v>
      </c>
      <c r="E21" s="30">
        <f>SUMPRODUCT(Hitung_Unit!$I$5:$I$104,Hitung_Unit!$K$5:$K$104,Hitung_Unit!$H$5:$H$104)</f>
        <v>0</v>
      </c>
      <c r="F21" s="30">
        <f>SUMPRODUCT(Hitung_Unit!$I$5:$I$104,Hitung_Unit!$L$5:$L$104,Hitung_Unit!$H$5:$H$104)</f>
        <v>0</v>
      </c>
      <c r="G21" s="30">
        <f>SUMPRODUCT(Hitung_Unit!$I$5:$I$104,Hitung_Unit!$M$5:$M$104,Hitung_Unit!$H$5:$H$104)</f>
        <v>0</v>
      </c>
      <c r="H21" s="30">
        <f>SUMPRODUCT(Hitung_Unit!$I$5:$I$104,Hitung_Unit!$N$5:$N$104,Hitung_Unit!$H$5:$H$104)</f>
        <v>0</v>
      </c>
      <c r="I21" s="30">
        <f>SUMPRODUCT(Hitung_Unit!$I$5:$I$104,Hitung_Unit!$O$5:$O$104,Hitung_Unit!$H$5:$H$104)</f>
        <v>0</v>
      </c>
      <c r="J21" s="30">
        <f>SUMPRODUCT(Hitung_Unit!$I$5:$I$104,Hitung_Unit!$P$5:$P$104,Hitung_Unit!$H$5:$H$104)</f>
        <v>0</v>
      </c>
      <c r="K21" s="30">
        <f>SUMPRODUCT(Hitung_Unit!$I$5:$I$104,Hitung_Unit!$Q$5:$Q$104,Hitung_Unit!$H$5:$H$104)</f>
        <v>0</v>
      </c>
      <c r="L21" s="30">
        <f>SUMPRODUCT(Hitung_Unit!$I$5:$I$104,Hitung_Unit!$R$5:$R$104,Hitung_Unit!$H$5:$H$104)</f>
        <v>0</v>
      </c>
      <c r="M21" s="30">
        <f>SUMPRODUCT(Hitung_Unit!$I$5:$I$104,Hitung_Unit!$S$5:$S$104,Hitung_Unit!$H$5:$H$104)</f>
        <v>0</v>
      </c>
      <c r="N21" s="30">
        <f>SUMPRODUCT(Hitung_Unit!$I$5:$I$104,Hitung_Unit!$T$5:$T$104,Hitung_Unit!$H$5:$H$104)</f>
        <v>0</v>
      </c>
      <c r="O21" s="30">
        <f>SUMPRODUCT(Hitung_Unit!$I$5:$I$104,Hitung_Unit!$U$5:$U$104,Hitung_Unit!$H$5:$H$104)</f>
        <v>0</v>
      </c>
      <c r="P21" s="30">
        <f>SUMPRODUCT(Hitung_Unit!$I$5:$I$104,Hitung_Unit!$V$5:$V$104,Hitung_Unit!$H$5:$H$104)</f>
        <v>0</v>
      </c>
      <c r="Q21" s="30">
        <f>SUMPRODUCT(Hitung_Unit!$I$5:$I$104,Hitung_Unit!$W$5:$W$104,Hitung_Unit!$H$5:$H$104)</f>
        <v>0</v>
      </c>
      <c r="R21" s="30">
        <f>SUMPRODUCT(Hitung_Unit!$I$5:$I$104,Hitung_Unit!$X$5:$X$104,Hitung_Unit!$H$5:$H$104)</f>
        <v>0</v>
      </c>
      <c r="S21" s="30">
        <f>SUMPRODUCT(Hitung_Unit!$I$5:$I$104,Hitung_Unit!$Y$5:$Y$104,Hitung_Unit!$H$5:$H$104)</f>
        <v>0</v>
      </c>
      <c r="T21" s="30">
        <f>SUMPRODUCT(Hitung_Unit!$I$5:$I$104,Hitung_Unit!$Z$5:$Z$104,Hitung_Unit!$H$5:$H$104)</f>
        <v>0</v>
      </c>
      <c r="U21" s="30">
        <f>SUMPRODUCT(Hitung_Unit!$I$5:$I$104,Hitung_Unit!$AA$5:$AA$104,Hitung_Unit!$H$5:$H$104)</f>
        <v>0</v>
      </c>
      <c r="V21" s="30">
        <f>SUMPRODUCT(Hitung_Unit!$I$5:$I$104,Hitung_Unit!$AB$5:$AB$104,Hitung_Unit!$H$5:$H$104)</f>
        <v>0</v>
      </c>
      <c r="W21" s="31">
        <f t="shared" ref="W21:W40" si="92">SUM(C21:V21)</f>
        <v>0</v>
      </c>
    </row>
    <row r="22" ht="15">
      <c r="A22" s="8">
        <v>2</v>
      </c>
      <c r="B22" s="8" t="str">
        <f>IF(Input!$H$11="","",Input!$H$11)</f>
        <v>K2</v>
      </c>
      <c r="C22" s="30">
        <f>SUMPRODUCT(Hitung_Unit!$J$5:$J$104,Hitung_Unit!$I$5:$I$104,Hitung_Unit!$H$5:$H$104)</f>
        <v>0</v>
      </c>
      <c r="D22" s="30">
        <f>SUMPRODUCT(Hitung_Unit!$J$5:$J$104,Hitung_Unit!$J$5:$J$104-1,Hitung_Unit!$H$5:$H$104)</f>
        <v>0</v>
      </c>
      <c r="E22" s="30">
        <f>SUMPRODUCT(Hitung_Unit!$J$5:$J$104,Hitung_Unit!$K$5:$K$104,Hitung_Unit!$H$5:$H$104)</f>
        <v>0</v>
      </c>
      <c r="F22" s="30">
        <f>SUMPRODUCT(Hitung_Unit!$J$5:$J$104,Hitung_Unit!$L$5:$L$104,Hitung_Unit!$H$5:$H$104)</f>
        <v>3</v>
      </c>
      <c r="G22" s="30">
        <f>SUMPRODUCT(Hitung_Unit!$J$5:$J$104,Hitung_Unit!$M$5:$M$104,Hitung_Unit!$H$5:$H$104)</f>
        <v>0</v>
      </c>
      <c r="H22" s="30">
        <f>SUMPRODUCT(Hitung_Unit!$J$5:$J$104,Hitung_Unit!$N$5:$N$104,Hitung_Unit!$H$5:$H$104)</f>
        <v>0</v>
      </c>
      <c r="I22" s="30">
        <f>SUMPRODUCT(Hitung_Unit!$J$5:$J$104,Hitung_Unit!$O$5:$O$104,Hitung_Unit!$H$5:$H$104)</f>
        <v>0</v>
      </c>
      <c r="J22" s="30">
        <f>SUMPRODUCT(Hitung_Unit!$J$5:$J$104,Hitung_Unit!$P$5:$P$104,Hitung_Unit!$H$5:$H$104)</f>
        <v>0</v>
      </c>
      <c r="K22" s="30">
        <f>SUMPRODUCT(Hitung_Unit!$J$5:$J$104,Hitung_Unit!$Q$5:$Q$104,Hitung_Unit!$H$5:$H$104)</f>
        <v>0</v>
      </c>
      <c r="L22" s="30">
        <f>SUMPRODUCT(Hitung_Unit!$J$5:$J$104,Hitung_Unit!$R$5:$R$104,Hitung_Unit!$H$5:$H$104)</f>
        <v>0</v>
      </c>
      <c r="M22" s="30">
        <f>SUMPRODUCT(Hitung_Unit!$J$5:$J$104,Hitung_Unit!$S$5:$S$104,Hitung_Unit!$H$5:$H$104)</f>
        <v>0</v>
      </c>
      <c r="N22" s="30">
        <f>SUMPRODUCT(Hitung_Unit!$J$5:$J$104,Hitung_Unit!$T$5:$T$104,Hitung_Unit!$H$5:$H$104)</f>
        <v>0</v>
      </c>
      <c r="O22" s="30">
        <f>SUMPRODUCT(Hitung_Unit!$J$5:$J$104,Hitung_Unit!$U$5:$U$104,Hitung_Unit!$H$5:$H$104)</f>
        <v>0</v>
      </c>
      <c r="P22" s="30">
        <f>SUMPRODUCT(Hitung_Unit!$J$5:$J$104,Hitung_Unit!$V$5:$V$104,Hitung_Unit!$H$5:$H$104)</f>
        <v>0</v>
      </c>
      <c r="Q22" s="30">
        <f>SUMPRODUCT(Hitung_Unit!$J$5:$J$104,Hitung_Unit!$W$5:$W$104,Hitung_Unit!$H$5:$H$104)</f>
        <v>0</v>
      </c>
      <c r="R22" s="30">
        <f>SUMPRODUCT(Hitung_Unit!$J$5:$J$104,Hitung_Unit!$X$5:$X$104,Hitung_Unit!$H$5:$H$104)</f>
        <v>0</v>
      </c>
      <c r="S22" s="30">
        <f>SUMPRODUCT(Hitung_Unit!$J$5:$J$104,Hitung_Unit!$Y$5:$Y$104,Hitung_Unit!$H$5:$H$104)</f>
        <v>0</v>
      </c>
      <c r="T22" s="30">
        <f>SUMPRODUCT(Hitung_Unit!$J$5:$J$104,Hitung_Unit!$Z$5:$Z$104,Hitung_Unit!$H$5:$H$104)</f>
        <v>0</v>
      </c>
      <c r="U22" s="30">
        <f>SUMPRODUCT(Hitung_Unit!$J$5:$J$104,Hitung_Unit!$AA$5:$AA$104,Hitung_Unit!$H$5:$H$104)</f>
        <v>0</v>
      </c>
      <c r="V22" s="30">
        <f>SUMPRODUCT(Hitung_Unit!$J$5:$J$104,Hitung_Unit!$AB$5:$AB$104,Hitung_Unit!$H$5:$H$104)</f>
        <v>0</v>
      </c>
      <c r="W22" s="31">
        <f t="shared" si="92"/>
        <v>3</v>
      </c>
    </row>
    <row r="23" ht="15">
      <c r="A23" s="8">
        <v>3</v>
      </c>
      <c r="B23" s="8" t="str">
        <f>IF(Input!$H$12="","",Input!$H$12)</f>
        <v>K3</v>
      </c>
      <c r="C23" s="30">
        <f>SUMPRODUCT(Hitung_Unit!$K$5:$K$104,Hitung_Unit!$I$5:$I$104,Hitung_Unit!$H$5:$H$104)</f>
        <v>0</v>
      </c>
      <c r="D23" s="30">
        <f>SUMPRODUCT(Hitung_Unit!$K$5:$K$104,Hitung_Unit!$J$5:$J$104,Hitung_Unit!$H$5:$H$104)</f>
        <v>0</v>
      </c>
      <c r="E23" s="30">
        <f>SUMPRODUCT(Hitung_Unit!$K$5:$K$104,Hitung_Unit!$K$5:$K$104-1,Hitung_Unit!$H$5:$H$104)</f>
        <v>0</v>
      </c>
      <c r="F23" s="30">
        <f>SUMPRODUCT(Hitung_Unit!$K$5:$K$104,Hitung_Unit!$L$5:$L$104,Hitung_Unit!$H$5:$H$104)</f>
        <v>4</v>
      </c>
      <c r="G23" s="30">
        <f>SUMPRODUCT(Hitung_Unit!$K$5:$K$104,Hitung_Unit!$M$5:$M$104,Hitung_Unit!$H$5:$H$104)</f>
        <v>0</v>
      </c>
      <c r="H23" s="30">
        <f>SUMPRODUCT(Hitung_Unit!$K$5:$K$104,Hitung_Unit!$N$5:$N$104,Hitung_Unit!$H$5:$H$104)</f>
        <v>0</v>
      </c>
      <c r="I23" s="30">
        <f>SUMPRODUCT(Hitung_Unit!$K$5:$K$104,Hitung_Unit!$O$5:$O$104,Hitung_Unit!$H$5:$H$104)</f>
        <v>0</v>
      </c>
      <c r="J23" s="30">
        <f>SUMPRODUCT(Hitung_Unit!$K$5:$K$104,Hitung_Unit!$P$5:$P$104,Hitung_Unit!$H$5:$H$104)</f>
        <v>0</v>
      </c>
      <c r="K23" s="30">
        <f>SUMPRODUCT(Hitung_Unit!$K$5:$K$104,Hitung_Unit!$Q$5:$Q$104,Hitung_Unit!$H$5:$H$104)</f>
        <v>0</v>
      </c>
      <c r="L23" s="30">
        <f>SUMPRODUCT(Hitung_Unit!$K$5:$K$104,Hitung_Unit!$R$5:$R$104,Hitung_Unit!$H$5:$H$104)</f>
        <v>0</v>
      </c>
      <c r="M23" s="30">
        <f>SUMPRODUCT(Hitung_Unit!$K$5:$K$104,Hitung_Unit!$S$5:$S$104,Hitung_Unit!$H$5:$H$104)</f>
        <v>0</v>
      </c>
      <c r="N23" s="30">
        <f>SUMPRODUCT(Hitung_Unit!$K$5:$K$104,Hitung_Unit!$T$5:$T$104,Hitung_Unit!$H$5:$H$104)</f>
        <v>0</v>
      </c>
      <c r="O23" s="30">
        <f>SUMPRODUCT(Hitung_Unit!$K$5:$K$104,Hitung_Unit!$U$5:$U$104,Hitung_Unit!$H$5:$H$104)</f>
        <v>0</v>
      </c>
      <c r="P23" s="30">
        <f>SUMPRODUCT(Hitung_Unit!$K$5:$K$104,Hitung_Unit!$V$5:$V$104,Hitung_Unit!$H$5:$H$104)</f>
        <v>0</v>
      </c>
      <c r="Q23" s="30">
        <f>SUMPRODUCT(Hitung_Unit!$K$5:$K$104,Hitung_Unit!$W$5:$W$104,Hitung_Unit!$H$5:$H$104)</f>
        <v>0</v>
      </c>
      <c r="R23" s="30">
        <f>SUMPRODUCT(Hitung_Unit!$K$5:$K$104,Hitung_Unit!$X$5:$X$104,Hitung_Unit!$H$5:$H$104)</f>
        <v>0</v>
      </c>
      <c r="S23" s="30">
        <f>SUMPRODUCT(Hitung_Unit!$K$5:$K$104,Hitung_Unit!$Y$5:$Y$104,Hitung_Unit!$H$5:$H$104)</f>
        <v>0</v>
      </c>
      <c r="T23" s="30">
        <f>SUMPRODUCT(Hitung_Unit!$K$5:$K$104,Hitung_Unit!$Z$5:$Z$104,Hitung_Unit!$H$5:$H$104)</f>
        <v>0</v>
      </c>
      <c r="U23" s="30">
        <f>SUMPRODUCT(Hitung_Unit!$K$5:$K$104,Hitung_Unit!$AA$5:$AA$104,Hitung_Unit!$H$5:$H$104)</f>
        <v>0</v>
      </c>
      <c r="V23" s="30">
        <f>SUMPRODUCT(Hitung_Unit!$K$5:$K$104,Hitung_Unit!$AB$5:$AB$104,Hitung_Unit!$H$5:$H$104)</f>
        <v>0</v>
      </c>
      <c r="W23" s="31">
        <f t="shared" si="92"/>
        <v>4</v>
      </c>
    </row>
    <row r="24" ht="15">
      <c r="A24" s="8">
        <v>4</v>
      </c>
      <c r="B24" s="8" t="str">
        <f>IF(Input!$H$13="","",Input!$H$13)</f>
        <v>K4</v>
      </c>
      <c r="C24" s="30">
        <f>SUMPRODUCT(Hitung_Unit!$L$5:$L$104,Hitung_Unit!$I$5:$I$104,Hitung_Unit!$H$5:$H$104)</f>
        <v>0</v>
      </c>
      <c r="D24" s="30">
        <f>SUMPRODUCT(Hitung_Unit!$L$5:$L$104,Hitung_Unit!$J$5:$J$104,Hitung_Unit!$H$5:$H$104)</f>
        <v>3</v>
      </c>
      <c r="E24" s="30">
        <f>SUMPRODUCT(Hitung_Unit!$L$5:$L$104,Hitung_Unit!$K$5:$K$104,Hitung_Unit!$H$5:$H$104)</f>
        <v>4</v>
      </c>
      <c r="F24" s="30">
        <f>SUMPRODUCT(Hitung_Unit!$L$5:$L$104,Hitung_Unit!$L$5:$L$104-1,Hitung_Unit!$H$5:$H$104)</f>
        <v>0</v>
      </c>
      <c r="G24" s="30">
        <f>SUMPRODUCT(Hitung_Unit!$L$5:$L$104,Hitung_Unit!$M$5:$M$104,Hitung_Unit!$H$5:$H$104)</f>
        <v>3</v>
      </c>
      <c r="H24" s="30">
        <f>SUMPRODUCT(Hitung_Unit!$L$5:$L$104,Hitung_Unit!$N$5:$N$104,Hitung_Unit!$H$5:$H$104)</f>
        <v>0</v>
      </c>
      <c r="I24" s="30">
        <f>SUMPRODUCT(Hitung_Unit!$L$5:$L$104,Hitung_Unit!$O$5:$O$104,Hitung_Unit!$H$5:$H$104)</f>
        <v>0</v>
      </c>
      <c r="J24" s="30">
        <f>SUMPRODUCT(Hitung_Unit!$L$5:$L$104,Hitung_Unit!$P$5:$P$104,Hitung_Unit!$H$5:$H$104)</f>
        <v>0</v>
      </c>
      <c r="K24" s="30">
        <f>SUMPRODUCT(Hitung_Unit!$L$5:$L$104,Hitung_Unit!$Q$5:$Q$104,Hitung_Unit!$H$5:$H$104)</f>
        <v>0</v>
      </c>
      <c r="L24" s="30">
        <f>SUMPRODUCT(Hitung_Unit!$L$5:$L$104,Hitung_Unit!$R$5:$R$104,Hitung_Unit!$H$5:$H$104)</f>
        <v>0</v>
      </c>
      <c r="M24" s="30">
        <f>SUMPRODUCT(Hitung_Unit!$L$5:$L$104,Hitung_Unit!$S$5:$S$104,Hitung_Unit!$H$5:$H$104)</f>
        <v>0</v>
      </c>
      <c r="N24" s="30">
        <f>SUMPRODUCT(Hitung_Unit!$L$5:$L$104,Hitung_Unit!$T$5:$T$104,Hitung_Unit!$H$5:$H$104)</f>
        <v>0</v>
      </c>
      <c r="O24" s="30">
        <f>SUMPRODUCT(Hitung_Unit!$L$5:$L$104,Hitung_Unit!$U$5:$U$104,Hitung_Unit!$H$5:$H$104)</f>
        <v>0</v>
      </c>
      <c r="P24" s="30">
        <f>SUMPRODUCT(Hitung_Unit!$L$5:$L$104,Hitung_Unit!$V$5:$V$104,Hitung_Unit!$H$5:$H$104)</f>
        <v>0</v>
      </c>
      <c r="Q24" s="30">
        <f>SUMPRODUCT(Hitung_Unit!$L$5:$L$104,Hitung_Unit!$W$5:$W$104,Hitung_Unit!$H$5:$H$104)</f>
        <v>0</v>
      </c>
      <c r="R24" s="30">
        <f>SUMPRODUCT(Hitung_Unit!$L$5:$L$104,Hitung_Unit!$X$5:$X$104,Hitung_Unit!$H$5:$H$104)</f>
        <v>0</v>
      </c>
      <c r="S24" s="30">
        <f>SUMPRODUCT(Hitung_Unit!$L$5:$L$104,Hitung_Unit!$Y$5:$Y$104,Hitung_Unit!$H$5:$H$104)</f>
        <v>0</v>
      </c>
      <c r="T24" s="30">
        <f>SUMPRODUCT(Hitung_Unit!$L$5:$L$104,Hitung_Unit!$Z$5:$Z$104,Hitung_Unit!$H$5:$H$104)</f>
        <v>0</v>
      </c>
      <c r="U24" s="30">
        <f>SUMPRODUCT(Hitung_Unit!$L$5:$L$104,Hitung_Unit!$AA$5:$AA$104,Hitung_Unit!$H$5:$H$104)</f>
        <v>0</v>
      </c>
      <c r="V24" s="30">
        <f>SUMPRODUCT(Hitung_Unit!$L$5:$L$104,Hitung_Unit!$AB$5:$AB$104,Hitung_Unit!$H$5:$H$104)</f>
        <v>0</v>
      </c>
      <c r="W24" s="31">
        <f t="shared" si="92"/>
        <v>10</v>
      </c>
    </row>
    <row r="25" ht="15">
      <c r="A25" s="8">
        <v>5</v>
      </c>
      <c r="B25" s="8" t="str">
        <f>IF(Input!$H$14="","",Input!$H$14)</f>
        <v>K5</v>
      </c>
      <c r="C25" s="30">
        <f>SUMPRODUCT(Hitung_Unit!$M$5:$M$104,Hitung_Unit!$I$5:$I$104,Hitung_Unit!$H$5:$H$104)</f>
        <v>0</v>
      </c>
      <c r="D25" s="30">
        <f>SUMPRODUCT(Hitung_Unit!$M$5:$M$104,Hitung_Unit!$J$5:$J$104,Hitung_Unit!$H$5:$H$104)</f>
        <v>0</v>
      </c>
      <c r="E25" s="30">
        <f>SUMPRODUCT(Hitung_Unit!$M$5:$M$104,Hitung_Unit!$K$5:$K$104,Hitung_Unit!$H$5:$H$104)</f>
        <v>0</v>
      </c>
      <c r="F25" s="30">
        <f>SUMPRODUCT(Hitung_Unit!$M$5:$M$104,Hitung_Unit!$L$5:$L$104,Hitung_Unit!$H$5:$H$104)</f>
        <v>3</v>
      </c>
      <c r="G25" s="30">
        <f>SUMPRODUCT(Hitung_Unit!$M$5:$M$104,Hitung_Unit!$M$5:$M$104-1,Hitung_Unit!$H$5:$H$104)</f>
        <v>0</v>
      </c>
      <c r="H25" s="30">
        <f>SUMPRODUCT(Hitung_Unit!$M$5:$M$104,Hitung_Unit!$N$5:$N$104,Hitung_Unit!$H$5:$H$104)</f>
        <v>0</v>
      </c>
      <c r="I25" s="30">
        <f>SUMPRODUCT(Hitung_Unit!$M$5:$M$104,Hitung_Unit!$O$5:$O$104,Hitung_Unit!$H$5:$H$104)</f>
        <v>0</v>
      </c>
      <c r="J25" s="30">
        <f>SUMPRODUCT(Hitung_Unit!$M$5:$M$104,Hitung_Unit!$P$5:$P$104,Hitung_Unit!$H$5:$H$104)</f>
        <v>0</v>
      </c>
      <c r="K25" s="30">
        <f>SUMPRODUCT(Hitung_Unit!$M$5:$M$104,Hitung_Unit!$Q$5:$Q$104,Hitung_Unit!$H$5:$H$104)</f>
        <v>0</v>
      </c>
      <c r="L25" s="30">
        <f>SUMPRODUCT(Hitung_Unit!$M$5:$M$104,Hitung_Unit!$R$5:$R$104,Hitung_Unit!$H$5:$H$104)</f>
        <v>0</v>
      </c>
      <c r="M25" s="30">
        <f>SUMPRODUCT(Hitung_Unit!$M$5:$M$104,Hitung_Unit!$S$5:$S$104,Hitung_Unit!$H$5:$H$104)</f>
        <v>0</v>
      </c>
      <c r="N25" s="30">
        <f>SUMPRODUCT(Hitung_Unit!$M$5:$M$104,Hitung_Unit!$T$5:$T$104,Hitung_Unit!$H$5:$H$104)</f>
        <v>0</v>
      </c>
      <c r="O25" s="30">
        <f>SUMPRODUCT(Hitung_Unit!$M$5:$M$104,Hitung_Unit!$U$5:$U$104,Hitung_Unit!$H$5:$H$104)</f>
        <v>0</v>
      </c>
      <c r="P25" s="30">
        <f>SUMPRODUCT(Hitung_Unit!$M$5:$M$104,Hitung_Unit!$V$5:$V$104,Hitung_Unit!$H$5:$H$104)</f>
        <v>0</v>
      </c>
      <c r="Q25" s="30">
        <f>SUMPRODUCT(Hitung_Unit!$M$5:$M$104,Hitung_Unit!$W$5:$W$104,Hitung_Unit!$H$5:$H$104)</f>
        <v>0</v>
      </c>
      <c r="R25" s="30">
        <f>SUMPRODUCT(Hitung_Unit!$M$5:$M$104,Hitung_Unit!$X$5:$X$104,Hitung_Unit!$H$5:$H$104)</f>
        <v>0</v>
      </c>
      <c r="S25" s="30">
        <f>SUMPRODUCT(Hitung_Unit!$M$5:$M$104,Hitung_Unit!$Y$5:$Y$104,Hitung_Unit!$H$5:$H$104)</f>
        <v>0</v>
      </c>
      <c r="T25" s="30">
        <f>SUMPRODUCT(Hitung_Unit!$M$5:$M$104,Hitung_Unit!$Z$5:$Z$104,Hitung_Unit!$H$5:$H$104)</f>
        <v>0</v>
      </c>
      <c r="U25" s="30">
        <f>SUMPRODUCT(Hitung_Unit!$M$5:$M$104,Hitung_Unit!$AA$5:$AA$104,Hitung_Unit!$H$5:$H$104)</f>
        <v>0</v>
      </c>
      <c r="V25" s="30">
        <f>SUMPRODUCT(Hitung_Unit!$M$5:$M$104,Hitung_Unit!$AB$5:$AB$104,Hitung_Unit!$H$5:$H$104)</f>
        <v>0</v>
      </c>
      <c r="W25" s="31">
        <f t="shared" si="92"/>
        <v>3</v>
      </c>
    </row>
    <row r="26" ht="15">
      <c r="A26" s="8">
        <v>6</v>
      </c>
      <c r="B26" s="8" t="str">
        <f>IF(Input!$H$15="","",Input!$H$15)</f>
        <v/>
      </c>
      <c r="C26" s="30">
        <f>SUMPRODUCT(Hitung_Unit!$N$5:$N$104,Hitung_Unit!$I$5:$I$104,Hitung_Unit!$H$5:$H$104)</f>
        <v>0</v>
      </c>
      <c r="D26" s="30">
        <f>SUMPRODUCT(Hitung_Unit!$N$5:$N$104,Hitung_Unit!$J$5:$J$104,Hitung_Unit!$H$5:$H$104)</f>
        <v>0</v>
      </c>
      <c r="E26" s="30">
        <f>SUMPRODUCT(Hitung_Unit!$N$5:$N$104,Hitung_Unit!$K$5:$K$104,Hitung_Unit!$H$5:$H$104)</f>
        <v>0</v>
      </c>
      <c r="F26" s="30">
        <f>SUMPRODUCT(Hitung_Unit!$N$5:$N$104,Hitung_Unit!$L$5:$L$104,Hitung_Unit!$H$5:$H$104)</f>
        <v>0</v>
      </c>
      <c r="G26" s="30">
        <f>SUMPRODUCT(Hitung_Unit!$N$5:$N$104,Hitung_Unit!$M$5:$M$104,Hitung_Unit!$H$5:$H$104)</f>
        <v>0</v>
      </c>
      <c r="H26" s="30">
        <f>SUMPRODUCT(Hitung_Unit!$N$5:$N$104,Hitung_Unit!$N$5:$N$104-1,Hitung_Unit!$H$5:$H$104)</f>
        <v>0</v>
      </c>
      <c r="I26" s="30">
        <f>SUMPRODUCT(Hitung_Unit!$N$5:$N$104,Hitung_Unit!$O$5:$O$104,Hitung_Unit!$H$5:$H$104)</f>
        <v>0</v>
      </c>
      <c r="J26" s="30">
        <f>SUMPRODUCT(Hitung_Unit!$N$5:$N$104,Hitung_Unit!$P$5:$P$104,Hitung_Unit!$H$5:$H$104)</f>
        <v>0</v>
      </c>
      <c r="K26" s="30">
        <f>SUMPRODUCT(Hitung_Unit!$N$5:$N$104,Hitung_Unit!$Q$5:$Q$104,Hitung_Unit!$H$5:$H$104)</f>
        <v>0</v>
      </c>
      <c r="L26" s="30">
        <f>SUMPRODUCT(Hitung_Unit!$N$5:$N$104,Hitung_Unit!$R$5:$R$104,Hitung_Unit!$H$5:$H$104)</f>
        <v>0</v>
      </c>
      <c r="M26" s="30">
        <f>SUMPRODUCT(Hitung_Unit!$N$5:$N$104,Hitung_Unit!$S$5:$S$104,Hitung_Unit!$H$5:$H$104)</f>
        <v>0</v>
      </c>
      <c r="N26" s="30">
        <f>SUMPRODUCT(Hitung_Unit!$N$5:$N$104,Hitung_Unit!$T$5:$T$104,Hitung_Unit!$H$5:$H$104)</f>
        <v>0</v>
      </c>
      <c r="O26" s="30">
        <f>SUMPRODUCT(Hitung_Unit!$N$5:$N$104,Hitung_Unit!$U$5:$U$104,Hitung_Unit!$H$5:$H$104)</f>
        <v>0</v>
      </c>
      <c r="P26" s="30">
        <f>SUMPRODUCT(Hitung_Unit!$N$5:$N$104,Hitung_Unit!$V$5:$V$104,Hitung_Unit!$H$5:$H$104)</f>
        <v>0</v>
      </c>
      <c r="Q26" s="30">
        <f>SUMPRODUCT(Hitung_Unit!$N$5:$N$104,Hitung_Unit!$W$5:$W$104,Hitung_Unit!$H$5:$H$104)</f>
        <v>0</v>
      </c>
      <c r="R26" s="30">
        <f>SUMPRODUCT(Hitung_Unit!$N$5:$N$104,Hitung_Unit!$X$5:$X$104,Hitung_Unit!$H$5:$H$104)</f>
        <v>0</v>
      </c>
      <c r="S26" s="30">
        <f>SUMPRODUCT(Hitung_Unit!$N$5:$N$104,Hitung_Unit!$Y$5:$Y$104,Hitung_Unit!$H$5:$H$104)</f>
        <v>0</v>
      </c>
      <c r="T26" s="30">
        <f>SUMPRODUCT(Hitung_Unit!$N$5:$N$104,Hitung_Unit!$Z$5:$Z$104,Hitung_Unit!$H$5:$H$104)</f>
        <v>0</v>
      </c>
      <c r="U26" s="30">
        <f>SUMPRODUCT(Hitung_Unit!$N$5:$N$104,Hitung_Unit!$AA$5:$AA$104,Hitung_Unit!$H$5:$H$104)</f>
        <v>0</v>
      </c>
      <c r="V26" s="30">
        <f>SUMPRODUCT(Hitung_Unit!$N$5:$N$104,Hitung_Unit!$AB$5:$AB$104,Hitung_Unit!$H$5:$H$104)</f>
        <v>0</v>
      </c>
      <c r="W26" s="31">
        <f t="shared" si="92"/>
        <v>0</v>
      </c>
    </row>
    <row r="27" ht="15">
      <c r="A27" s="8">
        <v>7</v>
      </c>
      <c r="B27" s="8" t="str">
        <f>IF(Input!$H$16="","",Input!$H$16)</f>
        <v/>
      </c>
      <c r="C27" s="30">
        <f>SUMPRODUCT(Hitung_Unit!$O$5:$O$104,Hitung_Unit!$I$5:$I$104,Hitung_Unit!$H$5:$H$104)</f>
        <v>0</v>
      </c>
      <c r="D27" s="30">
        <f>SUMPRODUCT(Hitung_Unit!$O$5:$O$104,Hitung_Unit!$J$5:$J$104,Hitung_Unit!$H$5:$H$104)</f>
        <v>0</v>
      </c>
      <c r="E27" s="30">
        <f>SUMPRODUCT(Hitung_Unit!$O$5:$O$104,Hitung_Unit!$K$5:$K$104,Hitung_Unit!$H$5:$H$104)</f>
        <v>0</v>
      </c>
      <c r="F27" s="30">
        <f>SUMPRODUCT(Hitung_Unit!$O$5:$O$104,Hitung_Unit!$L$5:$L$104,Hitung_Unit!$H$5:$H$104)</f>
        <v>0</v>
      </c>
      <c r="G27" s="30">
        <f>SUMPRODUCT(Hitung_Unit!$O$5:$O$104,Hitung_Unit!$M$5:$M$104,Hitung_Unit!$H$5:$H$104)</f>
        <v>0</v>
      </c>
      <c r="H27" s="30">
        <f>SUMPRODUCT(Hitung_Unit!$O$5:$O$104,Hitung_Unit!$N$5:$N$104,Hitung_Unit!$H$5:$H$104)</f>
        <v>0</v>
      </c>
      <c r="I27" s="30">
        <f>SUMPRODUCT(Hitung_Unit!$O$5:$O$104,Hitung_Unit!$O$5:$O$104-1,Hitung_Unit!$H$5:$H$104)</f>
        <v>0</v>
      </c>
      <c r="J27" s="30">
        <f>SUMPRODUCT(Hitung_Unit!$O$5:$O$104,Hitung_Unit!$P$5:$P$104,Hitung_Unit!$H$5:$H$104)</f>
        <v>0</v>
      </c>
      <c r="K27" s="30">
        <f>SUMPRODUCT(Hitung_Unit!$O$5:$O$104,Hitung_Unit!$Q$5:$Q$104,Hitung_Unit!$H$5:$H$104)</f>
        <v>0</v>
      </c>
      <c r="L27" s="30">
        <f>SUMPRODUCT(Hitung_Unit!$O$5:$O$104,Hitung_Unit!$R$5:$R$104,Hitung_Unit!$H$5:$H$104)</f>
        <v>0</v>
      </c>
      <c r="M27" s="30">
        <f>SUMPRODUCT(Hitung_Unit!$O$5:$O$104,Hitung_Unit!$S$5:$S$104,Hitung_Unit!$H$5:$H$104)</f>
        <v>0</v>
      </c>
      <c r="N27" s="30">
        <f>SUMPRODUCT(Hitung_Unit!$O$5:$O$104,Hitung_Unit!$T$5:$T$104,Hitung_Unit!$H$5:$H$104)</f>
        <v>0</v>
      </c>
      <c r="O27" s="30">
        <f>SUMPRODUCT(Hitung_Unit!$O$5:$O$104,Hitung_Unit!$U$5:$U$104,Hitung_Unit!$H$5:$H$104)</f>
        <v>0</v>
      </c>
      <c r="P27" s="30">
        <f>SUMPRODUCT(Hitung_Unit!$O$5:$O$104,Hitung_Unit!$V$5:$V$104,Hitung_Unit!$H$5:$H$104)</f>
        <v>0</v>
      </c>
      <c r="Q27" s="30">
        <f>SUMPRODUCT(Hitung_Unit!$O$5:$O$104,Hitung_Unit!$W$5:$W$104,Hitung_Unit!$H$5:$H$104)</f>
        <v>0</v>
      </c>
      <c r="R27" s="30">
        <f>SUMPRODUCT(Hitung_Unit!$O$5:$O$104,Hitung_Unit!$X$5:$X$104,Hitung_Unit!$H$5:$H$104)</f>
        <v>0</v>
      </c>
      <c r="S27" s="30">
        <f>SUMPRODUCT(Hitung_Unit!$O$5:$O$104,Hitung_Unit!$Y$5:$Y$104,Hitung_Unit!$H$5:$H$104)</f>
        <v>0</v>
      </c>
      <c r="T27" s="30">
        <f>SUMPRODUCT(Hitung_Unit!$O$5:$O$104,Hitung_Unit!$Z$5:$Z$104,Hitung_Unit!$H$5:$H$104)</f>
        <v>0</v>
      </c>
      <c r="U27" s="30">
        <f>SUMPRODUCT(Hitung_Unit!$O$5:$O$104,Hitung_Unit!$AA$5:$AA$104,Hitung_Unit!$H$5:$H$104)</f>
        <v>0</v>
      </c>
      <c r="V27" s="30">
        <f>SUMPRODUCT(Hitung_Unit!$O$5:$O$104,Hitung_Unit!$AB$5:$AB$104,Hitung_Unit!$H$5:$H$104)</f>
        <v>0</v>
      </c>
      <c r="W27" s="31">
        <f t="shared" si="92"/>
        <v>0</v>
      </c>
    </row>
    <row r="28" ht="15">
      <c r="A28" s="8">
        <v>8</v>
      </c>
      <c r="B28" s="8" t="str">
        <f>IF(Input!$H$17="","",Input!$H$17)</f>
        <v/>
      </c>
      <c r="C28" s="30">
        <f>SUMPRODUCT(Hitung_Unit!$P$5:$P$104,Hitung_Unit!$I$5:$I$104,Hitung_Unit!$H$5:$H$104)</f>
        <v>0</v>
      </c>
      <c r="D28" s="30">
        <f>SUMPRODUCT(Hitung_Unit!$P$5:$P$104,Hitung_Unit!$J$5:$J$104,Hitung_Unit!$H$5:$H$104)</f>
        <v>0</v>
      </c>
      <c r="E28" s="30">
        <f>SUMPRODUCT(Hitung_Unit!$P$5:$P$104,Hitung_Unit!$K$5:$K$104,Hitung_Unit!$H$5:$H$104)</f>
        <v>0</v>
      </c>
      <c r="F28" s="30">
        <f>SUMPRODUCT(Hitung_Unit!$P$5:$P$104,Hitung_Unit!$L$5:$L$104,Hitung_Unit!$H$5:$H$104)</f>
        <v>0</v>
      </c>
      <c r="G28" s="30">
        <f>SUMPRODUCT(Hitung_Unit!$P$5:$P$104,Hitung_Unit!$M$5:$M$104,Hitung_Unit!$H$5:$H$104)</f>
        <v>0</v>
      </c>
      <c r="H28" s="30">
        <f>SUMPRODUCT(Hitung_Unit!$P$5:$P$104,Hitung_Unit!$N$5:$N$104,Hitung_Unit!$H$5:$H$104)</f>
        <v>0</v>
      </c>
      <c r="I28" s="30">
        <f>SUMPRODUCT(Hitung_Unit!$P$5:$P$104,Hitung_Unit!$O$5:$O$104,Hitung_Unit!$H$5:$H$104)</f>
        <v>0</v>
      </c>
      <c r="J28" s="30">
        <f>SUMPRODUCT(Hitung_Unit!$P$5:$P$104,Hitung_Unit!$P$5:$P$104-1,Hitung_Unit!$H$5:$H$104)</f>
        <v>0</v>
      </c>
      <c r="K28" s="30">
        <f>SUMPRODUCT(Hitung_Unit!$P$5:$P$104,Hitung_Unit!$Q$5:$Q$104,Hitung_Unit!$H$5:$H$104)</f>
        <v>0</v>
      </c>
      <c r="L28" s="30">
        <f>SUMPRODUCT(Hitung_Unit!$P$5:$P$104,Hitung_Unit!$R$5:$R$104,Hitung_Unit!$H$5:$H$104)</f>
        <v>0</v>
      </c>
      <c r="M28" s="30">
        <f>SUMPRODUCT(Hitung_Unit!$P$5:$P$104,Hitung_Unit!$S$5:$S$104,Hitung_Unit!$H$5:$H$104)</f>
        <v>0</v>
      </c>
      <c r="N28" s="30">
        <f>SUMPRODUCT(Hitung_Unit!$P$5:$P$104,Hitung_Unit!$T$5:$T$104,Hitung_Unit!$H$5:$H$104)</f>
        <v>0</v>
      </c>
      <c r="O28" s="30">
        <f>SUMPRODUCT(Hitung_Unit!$P$5:$P$104,Hitung_Unit!$U$5:$U$104,Hitung_Unit!$H$5:$H$104)</f>
        <v>0</v>
      </c>
      <c r="P28" s="30">
        <f>SUMPRODUCT(Hitung_Unit!$P$5:$P$104,Hitung_Unit!$V$5:$V$104,Hitung_Unit!$H$5:$H$104)</f>
        <v>0</v>
      </c>
      <c r="Q28" s="30">
        <f>SUMPRODUCT(Hitung_Unit!$P$5:$P$104,Hitung_Unit!$W$5:$W$104,Hitung_Unit!$H$5:$H$104)</f>
        <v>0</v>
      </c>
      <c r="R28" s="30">
        <f>SUMPRODUCT(Hitung_Unit!$P$5:$P$104,Hitung_Unit!$X$5:$X$104,Hitung_Unit!$H$5:$H$104)</f>
        <v>0</v>
      </c>
      <c r="S28" s="30">
        <f>SUMPRODUCT(Hitung_Unit!$P$5:$P$104,Hitung_Unit!$Y$5:$Y$104,Hitung_Unit!$H$5:$H$104)</f>
        <v>0</v>
      </c>
      <c r="T28" s="30">
        <f>SUMPRODUCT(Hitung_Unit!$P$5:$P$104,Hitung_Unit!$Z$5:$Z$104,Hitung_Unit!$H$5:$H$104)</f>
        <v>0</v>
      </c>
      <c r="U28" s="30">
        <f>SUMPRODUCT(Hitung_Unit!$P$5:$P$104,Hitung_Unit!$AA$5:$AA$104,Hitung_Unit!$H$5:$H$104)</f>
        <v>0</v>
      </c>
      <c r="V28" s="30">
        <f>SUMPRODUCT(Hitung_Unit!$P$5:$P$104,Hitung_Unit!$AB$5:$AB$104,Hitung_Unit!$H$5:$H$104)</f>
        <v>0</v>
      </c>
      <c r="W28" s="31">
        <f t="shared" si="92"/>
        <v>0</v>
      </c>
    </row>
    <row r="29" ht="15">
      <c r="A29" s="8">
        <v>9</v>
      </c>
      <c r="B29" s="8" t="str">
        <f>IF(Input!$H$18="","",Input!$H$18)</f>
        <v/>
      </c>
      <c r="C29" s="30">
        <f>SUMPRODUCT(Hitung_Unit!$Q$5:$Q$104,Hitung_Unit!$I$5:$I$104,Hitung_Unit!$H$5:$H$104)</f>
        <v>0</v>
      </c>
      <c r="D29" s="30">
        <f>SUMPRODUCT(Hitung_Unit!$Q$5:$Q$104,Hitung_Unit!$J$5:$J$104,Hitung_Unit!$H$5:$H$104)</f>
        <v>0</v>
      </c>
      <c r="E29" s="30">
        <f>SUMPRODUCT(Hitung_Unit!$Q$5:$Q$104,Hitung_Unit!$K$5:$K$104,Hitung_Unit!$H$5:$H$104)</f>
        <v>0</v>
      </c>
      <c r="F29" s="30">
        <f>SUMPRODUCT(Hitung_Unit!$Q$5:$Q$104,Hitung_Unit!$L$5:$L$104,Hitung_Unit!$H$5:$H$104)</f>
        <v>0</v>
      </c>
      <c r="G29" s="30">
        <f>SUMPRODUCT(Hitung_Unit!$Q$5:$Q$104,Hitung_Unit!$M$5:$M$104,Hitung_Unit!$H$5:$H$104)</f>
        <v>0</v>
      </c>
      <c r="H29" s="30">
        <f>SUMPRODUCT(Hitung_Unit!$Q$5:$Q$104,Hitung_Unit!$N$5:$N$104,Hitung_Unit!$H$5:$H$104)</f>
        <v>0</v>
      </c>
      <c r="I29" s="30">
        <f>SUMPRODUCT(Hitung_Unit!$Q$5:$Q$104,Hitung_Unit!$O$5:$O$104,Hitung_Unit!$H$5:$H$104)</f>
        <v>0</v>
      </c>
      <c r="J29" s="30">
        <f>SUMPRODUCT(Hitung_Unit!$Q$5:$Q$104,Hitung_Unit!$P$5:$P$104,Hitung_Unit!$H$5:$H$104)</f>
        <v>0</v>
      </c>
      <c r="K29" s="30">
        <f>SUMPRODUCT(Hitung_Unit!$Q$5:$Q$104,Hitung_Unit!$Q$5:$Q$104-1,Hitung_Unit!$H$5:$H$104)</f>
        <v>0</v>
      </c>
      <c r="L29" s="30">
        <f>SUMPRODUCT(Hitung_Unit!$Q$5:$Q$104,Hitung_Unit!$R$5:$R$104,Hitung_Unit!$H$5:$H$104)</f>
        <v>0</v>
      </c>
      <c r="M29" s="30">
        <f>SUMPRODUCT(Hitung_Unit!$Q$5:$Q$104,Hitung_Unit!$S$5:$S$104,Hitung_Unit!$H$5:$H$104)</f>
        <v>0</v>
      </c>
      <c r="N29" s="30">
        <f>SUMPRODUCT(Hitung_Unit!$Q$5:$Q$104,Hitung_Unit!$T$5:$T$104,Hitung_Unit!$H$5:$H$104)</f>
        <v>0</v>
      </c>
      <c r="O29" s="30">
        <f>SUMPRODUCT(Hitung_Unit!$Q$5:$Q$104,Hitung_Unit!$U$5:$U$104,Hitung_Unit!$H$5:$H$104)</f>
        <v>0</v>
      </c>
      <c r="P29" s="30">
        <f>SUMPRODUCT(Hitung_Unit!$Q$5:$Q$104,Hitung_Unit!$V$5:$V$104,Hitung_Unit!$H$5:$H$104)</f>
        <v>0</v>
      </c>
      <c r="Q29" s="30">
        <f>SUMPRODUCT(Hitung_Unit!$Q$5:$Q$104,Hitung_Unit!$W$5:$W$104,Hitung_Unit!$H$5:$H$104)</f>
        <v>0</v>
      </c>
      <c r="R29" s="30">
        <f>SUMPRODUCT(Hitung_Unit!$Q$5:$Q$104,Hitung_Unit!$X$5:$X$104,Hitung_Unit!$H$5:$H$104)</f>
        <v>0</v>
      </c>
      <c r="S29" s="30">
        <f>SUMPRODUCT(Hitung_Unit!$Q$5:$Q$104,Hitung_Unit!$Y$5:$Y$104,Hitung_Unit!$H$5:$H$104)</f>
        <v>0</v>
      </c>
      <c r="T29" s="30">
        <f>SUMPRODUCT(Hitung_Unit!$Q$5:$Q$104,Hitung_Unit!$Z$5:$Z$104,Hitung_Unit!$H$5:$H$104)</f>
        <v>0</v>
      </c>
      <c r="U29" s="30">
        <f>SUMPRODUCT(Hitung_Unit!$Q$5:$Q$104,Hitung_Unit!$AA$5:$AA$104,Hitung_Unit!$H$5:$H$104)</f>
        <v>0</v>
      </c>
      <c r="V29" s="30">
        <f>SUMPRODUCT(Hitung_Unit!$Q$5:$Q$104,Hitung_Unit!$AB$5:$AB$104,Hitung_Unit!$H$5:$H$104)</f>
        <v>0</v>
      </c>
      <c r="W29" s="31">
        <f t="shared" si="92"/>
        <v>0</v>
      </c>
    </row>
    <row r="30" ht="15">
      <c r="A30" s="8">
        <v>10</v>
      </c>
      <c r="B30" s="8" t="str">
        <f>IF(Input!$H$19="","",Input!$H$19)</f>
        <v/>
      </c>
      <c r="C30" s="30">
        <f>SUMPRODUCT(Hitung_Unit!$R$5:$R$104,Hitung_Unit!$I$5:$I$104,Hitung_Unit!$H$5:$H$104)</f>
        <v>0</v>
      </c>
      <c r="D30" s="30">
        <f>SUMPRODUCT(Hitung_Unit!$R$5:$R$104,Hitung_Unit!$J$5:$J$104,Hitung_Unit!$H$5:$H$104)</f>
        <v>0</v>
      </c>
      <c r="E30" s="30">
        <f>SUMPRODUCT(Hitung_Unit!$R$5:$R$104,Hitung_Unit!$K$5:$K$104,Hitung_Unit!$H$5:$H$104)</f>
        <v>0</v>
      </c>
      <c r="F30" s="30">
        <f>SUMPRODUCT(Hitung_Unit!$R$5:$R$104,Hitung_Unit!$L$5:$L$104,Hitung_Unit!$H$5:$H$104)</f>
        <v>0</v>
      </c>
      <c r="G30" s="30">
        <f>SUMPRODUCT(Hitung_Unit!$R$5:$R$104,Hitung_Unit!$M$5:$M$104,Hitung_Unit!$H$5:$H$104)</f>
        <v>0</v>
      </c>
      <c r="H30" s="30">
        <f>SUMPRODUCT(Hitung_Unit!$R$5:$R$104,Hitung_Unit!$N$5:$N$104,Hitung_Unit!$H$5:$H$104)</f>
        <v>0</v>
      </c>
      <c r="I30" s="30">
        <f>SUMPRODUCT(Hitung_Unit!$R$5:$R$104,Hitung_Unit!$O$5:$O$104,Hitung_Unit!$H$5:$H$104)</f>
        <v>0</v>
      </c>
      <c r="J30" s="30">
        <f>SUMPRODUCT(Hitung_Unit!$R$5:$R$104,Hitung_Unit!$P$5:$P$104,Hitung_Unit!$H$5:$H$104)</f>
        <v>0</v>
      </c>
      <c r="K30" s="30">
        <f>SUMPRODUCT(Hitung_Unit!$R$5:$R$104,Hitung_Unit!$Q$5:$Q$104,Hitung_Unit!$H$5:$H$104)</f>
        <v>0</v>
      </c>
      <c r="L30" s="30">
        <f>SUMPRODUCT(Hitung_Unit!$R$5:$R$104,Hitung_Unit!$R$5:$R$104-1,Hitung_Unit!$H$5:$H$104)</f>
        <v>0</v>
      </c>
      <c r="M30" s="30">
        <f>SUMPRODUCT(Hitung_Unit!$R$5:$R$104,Hitung_Unit!$S$5:$S$104,Hitung_Unit!$H$5:$H$104)</f>
        <v>0</v>
      </c>
      <c r="N30" s="30">
        <f>SUMPRODUCT(Hitung_Unit!$R$5:$R$104,Hitung_Unit!$T$5:$T$104,Hitung_Unit!$H$5:$H$104)</f>
        <v>0</v>
      </c>
      <c r="O30" s="30">
        <f>SUMPRODUCT(Hitung_Unit!$R$5:$R$104,Hitung_Unit!$U$5:$U$104,Hitung_Unit!$H$5:$H$104)</f>
        <v>0</v>
      </c>
      <c r="P30" s="30">
        <f>SUMPRODUCT(Hitung_Unit!$R$5:$R$104,Hitung_Unit!$V$5:$V$104,Hitung_Unit!$H$5:$H$104)</f>
        <v>0</v>
      </c>
      <c r="Q30" s="30">
        <f>SUMPRODUCT(Hitung_Unit!$R$5:$R$104,Hitung_Unit!$W$5:$W$104,Hitung_Unit!$H$5:$H$104)</f>
        <v>0</v>
      </c>
      <c r="R30" s="30">
        <f>SUMPRODUCT(Hitung_Unit!$R$5:$R$104,Hitung_Unit!$X$5:$X$104,Hitung_Unit!$H$5:$H$104)</f>
        <v>0</v>
      </c>
      <c r="S30" s="30">
        <f>SUMPRODUCT(Hitung_Unit!$R$5:$R$104,Hitung_Unit!$Y$5:$Y$104,Hitung_Unit!$H$5:$H$104)</f>
        <v>0</v>
      </c>
      <c r="T30" s="30">
        <f>SUMPRODUCT(Hitung_Unit!$R$5:$R$104,Hitung_Unit!$Z$5:$Z$104,Hitung_Unit!$H$5:$H$104)</f>
        <v>0</v>
      </c>
      <c r="U30" s="30">
        <f>SUMPRODUCT(Hitung_Unit!$R$5:$R$104,Hitung_Unit!$AA$5:$AA$104,Hitung_Unit!$H$5:$H$104)</f>
        <v>0</v>
      </c>
      <c r="V30" s="30">
        <f>SUMPRODUCT(Hitung_Unit!$R$5:$R$104,Hitung_Unit!$AB$5:$AB$104,Hitung_Unit!$H$5:$H$104)</f>
        <v>0</v>
      </c>
      <c r="W30" s="31">
        <f t="shared" si="92"/>
        <v>0</v>
      </c>
    </row>
    <row r="31" ht="15">
      <c r="A31" s="8">
        <v>11</v>
      </c>
      <c r="B31" s="8" t="str">
        <f>IF(Input!$H$20="","",Input!$H$20)</f>
        <v/>
      </c>
      <c r="C31" s="30">
        <f>SUMPRODUCT(Hitung_Unit!$S$5:$S$104,Hitung_Unit!$I$5:$I$104,Hitung_Unit!$H$5:$H$104)</f>
        <v>0</v>
      </c>
      <c r="D31" s="30">
        <f>SUMPRODUCT(Hitung_Unit!$S$5:$S$104,Hitung_Unit!$J$5:$J$104,Hitung_Unit!$H$5:$H$104)</f>
        <v>0</v>
      </c>
      <c r="E31" s="30">
        <f>SUMPRODUCT(Hitung_Unit!$S$5:$S$104,Hitung_Unit!$K$5:$K$104,Hitung_Unit!$H$5:$H$104)</f>
        <v>0</v>
      </c>
      <c r="F31" s="30">
        <f>SUMPRODUCT(Hitung_Unit!$S$5:$S$104,Hitung_Unit!$L$5:$L$104,Hitung_Unit!$H$5:$H$104)</f>
        <v>0</v>
      </c>
      <c r="G31" s="30">
        <f>SUMPRODUCT(Hitung_Unit!$S$5:$S$104,Hitung_Unit!$M$5:$M$104,Hitung_Unit!$H$5:$H$104)</f>
        <v>0</v>
      </c>
      <c r="H31" s="30">
        <f>SUMPRODUCT(Hitung_Unit!$S$5:$S$104,Hitung_Unit!$N$5:$N$104,Hitung_Unit!$H$5:$H$104)</f>
        <v>0</v>
      </c>
      <c r="I31" s="30">
        <f>SUMPRODUCT(Hitung_Unit!$S$5:$S$104,Hitung_Unit!$O$5:$O$104,Hitung_Unit!$H$5:$H$104)</f>
        <v>0</v>
      </c>
      <c r="J31" s="30">
        <f>SUMPRODUCT(Hitung_Unit!$S$5:$S$104,Hitung_Unit!$P$5:$P$104,Hitung_Unit!$H$5:$H$104)</f>
        <v>0</v>
      </c>
      <c r="K31" s="30">
        <f>SUMPRODUCT(Hitung_Unit!$S$5:$S$104,Hitung_Unit!$Q$5:$Q$104,Hitung_Unit!$H$5:$H$104)</f>
        <v>0</v>
      </c>
      <c r="L31" s="30">
        <f>SUMPRODUCT(Hitung_Unit!$S$5:$S$104,Hitung_Unit!$R$5:$R$104,Hitung_Unit!$H$5:$H$104)</f>
        <v>0</v>
      </c>
      <c r="M31" s="30">
        <f>SUMPRODUCT(Hitung_Unit!$S$5:$S$104,Hitung_Unit!$S$5:$S$104-1,Hitung_Unit!$H$5:$H$104)</f>
        <v>0</v>
      </c>
      <c r="N31" s="30">
        <f>SUMPRODUCT(Hitung_Unit!$S$5:$S$104,Hitung_Unit!$T$5:$T$104,Hitung_Unit!$H$5:$H$104)</f>
        <v>0</v>
      </c>
      <c r="O31" s="30">
        <f>SUMPRODUCT(Hitung_Unit!$S$5:$S$104,Hitung_Unit!$U$5:$U$104,Hitung_Unit!$H$5:$H$104)</f>
        <v>0</v>
      </c>
      <c r="P31" s="30">
        <f>SUMPRODUCT(Hitung_Unit!$S$5:$S$104,Hitung_Unit!$V$5:$V$104,Hitung_Unit!$H$5:$H$104)</f>
        <v>0</v>
      </c>
      <c r="Q31" s="30">
        <f>SUMPRODUCT(Hitung_Unit!$S$5:$S$104,Hitung_Unit!$W$5:$W$104,Hitung_Unit!$H$5:$H$104)</f>
        <v>0</v>
      </c>
      <c r="R31" s="30">
        <f>SUMPRODUCT(Hitung_Unit!$S$5:$S$104,Hitung_Unit!$X$5:$X$104,Hitung_Unit!$H$5:$H$104)</f>
        <v>0</v>
      </c>
      <c r="S31" s="30">
        <f>SUMPRODUCT(Hitung_Unit!$S$5:$S$104,Hitung_Unit!$Y$5:$Y$104,Hitung_Unit!$H$5:$H$104)</f>
        <v>0</v>
      </c>
      <c r="T31" s="30">
        <f>SUMPRODUCT(Hitung_Unit!$S$5:$S$104,Hitung_Unit!$Z$5:$Z$104,Hitung_Unit!$H$5:$H$104)</f>
        <v>0</v>
      </c>
      <c r="U31" s="30">
        <f>SUMPRODUCT(Hitung_Unit!$S$5:$S$104,Hitung_Unit!$AA$5:$AA$104,Hitung_Unit!$H$5:$H$104)</f>
        <v>0</v>
      </c>
      <c r="V31" s="30">
        <f>SUMPRODUCT(Hitung_Unit!$S$5:$S$104,Hitung_Unit!$AB$5:$AB$104,Hitung_Unit!$H$5:$H$104)</f>
        <v>0</v>
      </c>
      <c r="W31" s="31">
        <f t="shared" si="92"/>
        <v>0</v>
      </c>
    </row>
    <row r="32" ht="15">
      <c r="A32" s="8">
        <v>12</v>
      </c>
      <c r="B32" s="8" t="str">
        <f>IF(Input!$H$21="","",Input!$H$21)</f>
        <v/>
      </c>
      <c r="C32" s="30">
        <f>SUMPRODUCT(Hitung_Unit!$T$5:$T$104,Hitung_Unit!$I$5:$I$104,Hitung_Unit!$H$5:$H$104)</f>
        <v>0</v>
      </c>
      <c r="D32" s="30">
        <f>SUMPRODUCT(Hitung_Unit!$T$5:$T$104,Hitung_Unit!$J$5:$J$104,Hitung_Unit!$H$5:$H$104)</f>
        <v>0</v>
      </c>
      <c r="E32" s="30">
        <f>SUMPRODUCT(Hitung_Unit!$T$5:$T$104,Hitung_Unit!$K$5:$K$104,Hitung_Unit!$H$5:$H$104)</f>
        <v>0</v>
      </c>
      <c r="F32" s="30">
        <f>SUMPRODUCT(Hitung_Unit!$T$5:$T$104,Hitung_Unit!$L$5:$L$104,Hitung_Unit!$H$5:$H$104)</f>
        <v>0</v>
      </c>
      <c r="G32" s="30">
        <f>SUMPRODUCT(Hitung_Unit!$T$5:$T$104,Hitung_Unit!$M$5:$M$104,Hitung_Unit!$H$5:$H$104)</f>
        <v>0</v>
      </c>
      <c r="H32" s="30">
        <f>SUMPRODUCT(Hitung_Unit!$T$5:$T$104,Hitung_Unit!$N$5:$N$104,Hitung_Unit!$H$5:$H$104)</f>
        <v>0</v>
      </c>
      <c r="I32" s="30">
        <f>SUMPRODUCT(Hitung_Unit!$T$5:$T$104,Hitung_Unit!$O$5:$O$104,Hitung_Unit!$H$5:$H$104)</f>
        <v>0</v>
      </c>
      <c r="J32" s="30">
        <f>SUMPRODUCT(Hitung_Unit!$T$5:$T$104,Hitung_Unit!$P$5:$P$104,Hitung_Unit!$H$5:$H$104)</f>
        <v>0</v>
      </c>
      <c r="K32" s="30">
        <f>SUMPRODUCT(Hitung_Unit!$T$5:$T$104,Hitung_Unit!$Q$5:$Q$104,Hitung_Unit!$H$5:$H$104)</f>
        <v>0</v>
      </c>
      <c r="L32" s="30">
        <f>SUMPRODUCT(Hitung_Unit!$T$5:$T$104,Hitung_Unit!$R$5:$R$104,Hitung_Unit!$H$5:$H$104)</f>
        <v>0</v>
      </c>
      <c r="M32" s="30">
        <f>SUMPRODUCT(Hitung_Unit!$T$5:$T$104,Hitung_Unit!$S$5:$S$104,Hitung_Unit!$H$5:$H$104)</f>
        <v>0</v>
      </c>
      <c r="N32" s="30">
        <f>SUMPRODUCT(Hitung_Unit!$T$5:$T$104,Hitung_Unit!$T$5:$T$104-1,Hitung_Unit!$H$5:$H$104)</f>
        <v>0</v>
      </c>
      <c r="O32" s="30">
        <f>SUMPRODUCT(Hitung_Unit!$T$5:$T$104,Hitung_Unit!$U$5:$U$104,Hitung_Unit!$H$5:$H$104)</f>
        <v>0</v>
      </c>
      <c r="P32" s="30">
        <f>SUMPRODUCT(Hitung_Unit!$T$5:$T$104,Hitung_Unit!$V$5:$V$104,Hitung_Unit!$H$5:$H$104)</f>
        <v>0</v>
      </c>
      <c r="Q32" s="30">
        <f>SUMPRODUCT(Hitung_Unit!$T$5:$T$104,Hitung_Unit!$W$5:$W$104,Hitung_Unit!$H$5:$H$104)</f>
        <v>0</v>
      </c>
      <c r="R32" s="30">
        <f>SUMPRODUCT(Hitung_Unit!$T$5:$T$104,Hitung_Unit!$X$5:$X$104,Hitung_Unit!$H$5:$H$104)</f>
        <v>0</v>
      </c>
      <c r="S32" s="30">
        <f>SUMPRODUCT(Hitung_Unit!$T$5:$T$104,Hitung_Unit!$Y$5:$Y$104,Hitung_Unit!$H$5:$H$104)</f>
        <v>0</v>
      </c>
      <c r="T32" s="30">
        <f>SUMPRODUCT(Hitung_Unit!$T$5:$T$104,Hitung_Unit!$Z$5:$Z$104,Hitung_Unit!$H$5:$H$104)</f>
        <v>0</v>
      </c>
      <c r="U32" s="30">
        <f>SUMPRODUCT(Hitung_Unit!$T$5:$T$104,Hitung_Unit!$AA$5:$AA$104,Hitung_Unit!$H$5:$H$104)</f>
        <v>0</v>
      </c>
      <c r="V32" s="30">
        <f>SUMPRODUCT(Hitung_Unit!$T$5:$T$104,Hitung_Unit!$AB$5:$AB$104,Hitung_Unit!$H$5:$H$104)</f>
        <v>0</v>
      </c>
      <c r="W32" s="31">
        <f t="shared" si="92"/>
        <v>0</v>
      </c>
    </row>
    <row r="33" ht="15">
      <c r="A33" s="8">
        <v>13</v>
      </c>
      <c r="B33" s="8" t="str">
        <f>IF(Input!$H$22="","",Input!$H$22)</f>
        <v/>
      </c>
      <c r="C33" s="30">
        <f>SUMPRODUCT(Hitung_Unit!$U$5:$U$104,Hitung_Unit!$I$5:$I$104,Hitung_Unit!$H$5:$H$104)</f>
        <v>0</v>
      </c>
      <c r="D33" s="30">
        <f>SUMPRODUCT(Hitung_Unit!$U$5:$U$104,Hitung_Unit!$J$5:$J$104,Hitung_Unit!$H$5:$H$104)</f>
        <v>0</v>
      </c>
      <c r="E33" s="30">
        <f>SUMPRODUCT(Hitung_Unit!$U$5:$U$104,Hitung_Unit!$K$5:$K$104,Hitung_Unit!$H$5:$H$104)</f>
        <v>0</v>
      </c>
      <c r="F33" s="30">
        <f>SUMPRODUCT(Hitung_Unit!$U$5:$U$104,Hitung_Unit!$L$5:$L$104,Hitung_Unit!$H$5:$H$104)</f>
        <v>0</v>
      </c>
      <c r="G33" s="30">
        <f>SUMPRODUCT(Hitung_Unit!$U$5:$U$104,Hitung_Unit!$M$5:$M$104,Hitung_Unit!$H$5:$H$104)</f>
        <v>0</v>
      </c>
      <c r="H33" s="30">
        <f>SUMPRODUCT(Hitung_Unit!$U$5:$U$104,Hitung_Unit!$N$5:$N$104,Hitung_Unit!$H$5:$H$104)</f>
        <v>0</v>
      </c>
      <c r="I33" s="30">
        <f>SUMPRODUCT(Hitung_Unit!$U$5:$U$104,Hitung_Unit!$O$5:$O$104,Hitung_Unit!$H$5:$H$104)</f>
        <v>0</v>
      </c>
      <c r="J33" s="30">
        <f>SUMPRODUCT(Hitung_Unit!$U$5:$U$104,Hitung_Unit!$P$5:$P$104,Hitung_Unit!$H$5:$H$104)</f>
        <v>0</v>
      </c>
      <c r="K33" s="30">
        <f>SUMPRODUCT(Hitung_Unit!$U$5:$U$104,Hitung_Unit!$Q$5:$Q$104,Hitung_Unit!$H$5:$H$104)</f>
        <v>0</v>
      </c>
      <c r="L33" s="30">
        <f>SUMPRODUCT(Hitung_Unit!$U$5:$U$104,Hitung_Unit!$R$5:$R$104,Hitung_Unit!$H$5:$H$104)</f>
        <v>0</v>
      </c>
      <c r="M33" s="30">
        <f>SUMPRODUCT(Hitung_Unit!$U$5:$U$104,Hitung_Unit!$S$5:$S$104,Hitung_Unit!$H$5:$H$104)</f>
        <v>0</v>
      </c>
      <c r="N33" s="30">
        <f>SUMPRODUCT(Hitung_Unit!$U$5:$U$104,Hitung_Unit!$T$5:$T$104,Hitung_Unit!$H$5:$H$104)</f>
        <v>0</v>
      </c>
      <c r="O33" s="30">
        <f>SUMPRODUCT(Hitung_Unit!$U$5:$U$104,Hitung_Unit!$U$5:$U$104-1,Hitung_Unit!$H$5:$H$104)</f>
        <v>0</v>
      </c>
      <c r="P33" s="30">
        <f>SUMPRODUCT(Hitung_Unit!$U$5:$U$104,Hitung_Unit!$V$5:$V$104,Hitung_Unit!$H$5:$H$104)</f>
        <v>0</v>
      </c>
      <c r="Q33" s="30">
        <f>SUMPRODUCT(Hitung_Unit!$U$5:$U$104,Hitung_Unit!$W$5:$W$104,Hitung_Unit!$H$5:$H$104)</f>
        <v>0</v>
      </c>
      <c r="R33" s="30">
        <f>SUMPRODUCT(Hitung_Unit!$U$5:$U$104,Hitung_Unit!$X$5:$X$104,Hitung_Unit!$H$5:$H$104)</f>
        <v>0</v>
      </c>
      <c r="S33" s="30">
        <f>SUMPRODUCT(Hitung_Unit!$U$5:$U$104,Hitung_Unit!$Y$5:$Y$104,Hitung_Unit!$H$5:$H$104)</f>
        <v>0</v>
      </c>
      <c r="T33" s="30">
        <f>SUMPRODUCT(Hitung_Unit!$U$5:$U$104,Hitung_Unit!$Z$5:$Z$104,Hitung_Unit!$H$5:$H$104)</f>
        <v>0</v>
      </c>
      <c r="U33" s="30">
        <f>SUMPRODUCT(Hitung_Unit!$U$5:$U$104,Hitung_Unit!$AA$5:$AA$104,Hitung_Unit!$H$5:$H$104)</f>
        <v>0</v>
      </c>
      <c r="V33" s="30">
        <f>SUMPRODUCT(Hitung_Unit!$U$5:$U$104,Hitung_Unit!$AB$5:$AB$104,Hitung_Unit!$H$5:$H$104)</f>
        <v>0</v>
      </c>
      <c r="W33" s="31">
        <f t="shared" si="92"/>
        <v>0</v>
      </c>
    </row>
    <row r="34" ht="15">
      <c r="A34" s="8">
        <v>14</v>
      </c>
      <c r="B34" s="8" t="str">
        <f>IF(Input!$H$23="","",Input!$H$23)</f>
        <v/>
      </c>
      <c r="C34" s="30">
        <f>SUMPRODUCT(Hitung_Unit!$V$5:$V$104,Hitung_Unit!$I$5:$I$104,Hitung_Unit!$H$5:$H$104)</f>
        <v>0</v>
      </c>
      <c r="D34" s="30">
        <f>SUMPRODUCT(Hitung_Unit!$V$5:$V$104,Hitung_Unit!$J$5:$J$104,Hitung_Unit!$H$5:$H$104)</f>
        <v>0</v>
      </c>
      <c r="E34" s="30">
        <f>SUMPRODUCT(Hitung_Unit!$V$5:$V$104,Hitung_Unit!$K$5:$K$104,Hitung_Unit!$H$5:$H$104)</f>
        <v>0</v>
      </c>
      <c r="F34" s="30">
        <f>SUMPRODUCT(Hitung_Unit!$V$5:$V$104,Hitung_Unit!$L$5:$L$104,Hitung_Unit!$H$5:$H$104)</f>
        <v>0</v>
      </c>
      <c r="G34" s="30">
        <f>SUMPRODUCT(Hitung_Unit!$V$5:$V$104,Hitung_Unit!$M$5:$M$104,Hitung_Unit!$H$5:$H$104)</f>
        <v>0</v>
      </c>
      <c r="H34" s="30">
        <f>SUMPRODUCT(Hitung_Unit!$V$5:$V$104,Hitung_Unit!$N$5:$N$104,Hitung_Unit!$H$5:$H$104)</f>
        <v>0</v>
      </c>
      <c r="I34" s="30">
        <f>SUMPRODUCT(Hitung_Unit!$V$5:$V$104,Hitung_Unit!$O$5:$O$104,Hitung_Unit!$H$5:$H$104)</f>
        <v>0</v>
      </c>
      <c r="J34" s="30">
        <f>SUMPRODUCT(Hitung_Unit!$V$5:$V$104,Hitung_Unit!$P$5:$P$104,Hitung_Unit!$H$5:$H$104)</f>
        <v>0</v>
      </c>
      <c r="K34" s="30">
        <f>SUMPRODUCT(Hitung_Unit!$V$5:$V$104,Hitung_Unit!$Q$5:$Q$104,Hitung_Unit!$H$5:$H$104)</f>
        <v>0</v>
      </c>
      <c r="L34" s="30">
        <f>SUMPRODUCT(Hitung_Unit!$V$5:$V$104,Hitung_Unit!$R$5:$R$104,Hitung_Unit!$H$5:$H$104)</f>
        <v>0</v>
      </c>
      <c r="M34" s="30">
        <f>SUMPRODUCT(Hitung_Unit!$V$5:$V$104,Hitung_Unit!$S$5:$S$104,Hitung_Unit!$H$5:$H$104)</f>
        <v>0</v>
      </c>
      <c r="N34" s="30">
        <f>SUMPRODUCT(Hitung_Unit!$V$5:$V$104,Hitung_Unit!$T$5:$T$104,Hitung_Unit!$H$5:$H$104)</f>
        <v>0</v>
      </c>
      <c r="O34" s="30">
        <f>SUMPRODUCT(Hitung_Unit!$V$5:$V$104,Hitung_Unit!$U$5:$U$104,Hitung_Unit!$H$5:$H$104)</f>
        <v>0</v>
      </c>
      <c r="P34" s="30">
        <f>SUMPRODUCT(Hitung_Unit!$V$5:$V$104,Hitung_Unit!$V$5:$V$104-1,Hitung_Unit!$H$5:$H$104)</f>
        <v>0</v>
      </c>
      <c r="Q34" s="30">
        <f>SUMPRODUCT(Hitung_Unit!$V$5:$V$104,Hitung_Unit!$W$5:$W$104,Hitung_Unit!$H$5:$H$104)</f>
        <v>0</v>
      </c>
      <c r="R34" s="30">
        <f>SUMPRODUCT(Hitung_Unit!$V$5:$V$104,Hitung_Unit!$X$5:$X$104,Hitung_Unit!$H$5:$H$104)</f>
        <v>0</v>
      </c>
      <c r="S34" s="30">
        <f>SUMPRODUCT(Hitung_Unit!$V$5:$V$104,Hitung_Unit!$Y$5:$Y$104,Hitung_Unit!$H$5:$H$104)</f>
        <v>0</v>
      </c>
      <c r="T34" s="30">
        <f>SUMPRODUCT(Hitung_Unit!$V$5:$V$104,Hitung_Unit!$Z$5:$Z$104,Hitung_Unit!$H$5:$H$104)</f>
        <v>0</v>
      </c>
      <c r="U34" s="30">
        <f>SUMPRODUCT(Hitung_Unit!$V$5:$V$104,Hitung_Unit!$AA$5:$AA$104,Hitung_Unit!$H$5:$H$104)</f>
        <v>0</v>
      </c>
      <c r="V34" s="30">
        <f>SUMPRODUCT(Hitung_Unit!$V$5:$V$104,Hitung_Unit!$AB$5:$AB$104,Hitung_Unit!$H$5:$H$104)</f>
        <v>0</v>
      </c>
      <c r="W34" s="31">
        <f t="shared" si="92"/>
        <v>0</v>
      </c>
    </row>
    <row r="35" ht="15">
      <c r="A35" s="8">
        <v>15</v>
      </c>
      <c r="B35" s="8" t="str">
        <f>IF(Input!$H$24="","",Input!$H$24)</f>
        <v/>
      </c>
      <c r="C35" s="30">
        <f>SUMPRODUCT(Hitung_Unit!$W$5:$W$104,Hitung_Unit!$I$5:$I$104,Hitung_Unit!$H$5:$H$104)</f>
        <v>0</v>
      </c>
      <c r="D35" s="30">
        <f>SUMPRODUCT(Hitung_Unit!$W$5:$W$104,Hitung_Unit!$J$5:$J$104,Hitung_Unit!$H$5:$H$104)</f>
        <v>0</v>
      </c>
      <c r="E35" s="30">
        <f>SUMPRODUCT(Hitung_Unit!$W$5:$W$104,Hitung_Unit!$K$5:$K$104,Hitung_Unit!$H$5:$H$104)</f>
        <v>0</v>
      </c>
      <c r="F35" s="30">
        <f>SUMPRODUCT(Hitung_Unit!$W$5:$W$104,Hitung_Unit!$L$5:$L$104,Hitung_Unit!$H$5:$H$104)</f>
        <v>0</v>
      </c>
      <c r="G35" s="30">
        <f>SUMPRODUCT(Hitung_Unit!$W$5:$W$104,Hitung_Unit!$M$5:$M$104,Hitung_Unit!$H$5:$H$104)</f>
        <v>0</v>
      </c>
      <c r="H35" s="30">
        <f>SUMPRODUCT(Hitung_Unit!$W$5:$W$104,Hitung_Unit!$N$5:$N$104,Hitung_Unit!$H$5:$H$104)</f>
        <v>0</v>
      </c>
      <c r="I35" s="30">
        <f>SUMPRODUCT(Hitung_Unit!$W$5:$W$104,Hitung_Unit!$O$5:$O$104,Hitung_Unit!$H$5:$H$104)</f>
        <v>0</v>
      </c>
      <c r="J35" s="30">
        <f>SUMPRODUCT(Hitung_Unit!$W$5:$W$104,Hitung_Unit!$P$5:$P$104,Hitung_Unit!$H$5:$H$104)</f>
        <v>0</v>
      </c>
      <c r="K35" s="30">
        <f>SUMPRODUCT(Hitung_Unit!$W$5:$W$104,Hitung_Unit!$Q$5:$Q$104,Hitung_Unit!$H$5:$H$104)</f>
        <v>0</v>
      </c>
      <c r="L35" s="30">
        <f>SUMPRODUCT(Hitung_Unit!$W$5:$W$104,Hitung_Unit!$R$5:$R$104,Hitung_Unit!$H$5:$H$104)</f>
        <v>0</v>
      </c>
      <c r="M35" s="30">
        <f>SUMPRODUCT(Hitung_Unit!$W$5:$W$104,Hitung_Unit!$S$5:$S$104,Hitung_Unit!$H$5:$H$104)</f>
        <v>0</v>
      </c>
      <c r="N35" s="30">
        <f>SUMPRODUCT(Hitung_Unit!$W$5:$W$104,Hitung_Unit!$T$5:$T$104,Hitung_Unit!$H$5:$H$104)</f>
        <v>0</v>
      </c>
      <c r="O35" s="30">
        <f>SUMPRODUCT(Hitung_Unit!$W$5:$W$104,Hitung_Unit!$U$5:$U$104,Hitung_Unit!$H$5:$H$104)</f>
        <v>0</v>
      </c>
      <c r="P35" s="30">
        <f>SUMPRODUCT(Hitung_Unit!$W$5:$W$104,Hitung_Unit!$V$5:$V$104,Hitung_Unit!$H$5:$H$104)</f>
        <v>0</v>
      </c>
      <c r="Q35" s="30">
        <f>SUMPRODUCT(Hitung_Unit!$W$5:$W$104,Hitung_Unit!$W$5:$W$104-1,Hitung_Unit!$H$5:$H$104)</f>
        <v>0</v>
      </c>
      <c r="R35" s="30">
        <f>SUMPRODUCT(Hitung_Unit!$W$5:$W$104,Hitung_Unit!$X$5:$X$104,Hitung_Unit!$H$5:$H$104)</f>
        <v>0</v>
      </c>
      <c r="S35" s="30">
        <f>SUMPRODUCT(Hitung_Unit!$W$5:$W$104,Hitung_Unit!$Y$5:$Y$104,Hitung_Unit!$H$5:$H$104)</f>
        <v>0</v>
      </c>
      <c r="T35" s="30">
        <f>SUMPRODUCT(Hitung_Unit!$W$5:$W$104,Hitung_Unit!$Z$5:$Z$104,Hitung_Unit!$H$5:$H$104)</f>
        <v>0</v>
      </c>
      <c r="U35" s="30">
        <f>SUMPRODUCT(Hitung_Unit!$W$5:$W$104,Hitung_Unit!$AA$5:$AA$104,Hitung_Unit!$H$5:$H$104)</f>
        <v>0</v>
      </c>
      <c r="V35" s="30">
        <f>SUMPRODUCT(Hitung_Unit!$W$5:$W$104,Hitung_Unit!$AB$5:$AB$104,Hitung_Unit!$H$5:$H$104)</f>
        <v>0</v>
      </c>
      <c r="W35" s="31">
        <f t="shared" si="92"/>
        <v>0</v>
      </c>
    </row>
    <row r="36" ht="15">
      <c r="A36" s="8">
        <v>16</v>
      </c>
      <c r="B36" s="8" t="str">
        <f>IF(Input!$H$25="","",Input!$H$25)</f>
        <v/>
      </c>
      <c r="C36" s="30">
        <f>SUMPRODUCT(Hitung_Unit!$X$5:$X$104,Hitung_Unit!$I$5:$I$104,Hitung_Unit!$H$5:$H$104)</f>
        <v>0</v>
      </c>
      <c r="D36" s="30">
        <f>SUMPRODUCT(Hitung_Unit!$X$5:$X$104,Hitung_Unit!$J$5:$J$104,Hitung_Unit!$H$5:$H$104)</f>
        <v>0</v>
      </c>
      <c r="E36" s="30">
        <f>SUMPRODUCT(Hitung_Unit!$X$5:$X$104,Hitung_Unit!$K$5:$K$104,Hitung_Unit!$H$5:$H$104)</f>
        <v>0</v>
      </c>
      <c r="F36" s="30">
        <f>SUMPRODUCT(Hitung_Unit!$X$5:$X$104,Hitung_Unit!$L$5:$L$104,Hitung_Unit!$H$5:$H$104)</f>
        <v>0</v>
      </c>
      <c r="G36" s="30">
        <f>SUMPRODUCT(Hitung_Unit!$X$5:$X$104,Hitung_Unit!$M$5:$M$104,Hitung_Unit!$H$5:$H$104)</f>
        <v>0</v>
      </c>
      <c r="H36" s="30">
        <f>SUMPRODUCT(Hitung_Unit!$X$5:$X$104,Hitung_Unit!$N$5:$N$104,Hitung_Unit!$H$5:$H$104)</f>
        <v>0</v>
      </c>
      <c r="I36" s="30">
        <f>SUMPRODUCT(Hitung_Unit!$X$5:$X$104,Hitung_Unit!$O$5:$O$104,Hitung_Unit!$H$5:$H$104)</f>
        <v>0</v>
      </c>
      <c r="J36" s="30">
        <f>SUMPRODUCT(Hitung_Unit!$X$5:$X$104,Hitung_Unit!$P$5:$P$104,Hitung_Unit!$H$5:$H$104)</f>
        <v>0</v>
      </c>
      <c r="K36" s="30">
        <f>SUMPRODUCT(Hitung_Unit!$X$5:$X$104,Hitung_Unit!$Q$5:$Q$104,Hitung_Unit!$H$5:$H$104)</f>
        <v>0</v>
      </c>
      <c r="L36" s="30">
        <f>SUMPRODUCT(Hitung_Unit!$X$5:$X$104,Hitung_Unit!$R$5:$R$104,Hitung_Unit!$H$5:$H$104)</f>
        <v>0</v>
      </c>
      <c r="M36" s="30">
        <f>SUMPRODUCT(Hitung_Unit!$X$5:$X$104,Hitung_Unit!$S$5:$S$104,Hitung_Unit!$H$5:$H$104)</f>
        <v>0</v>
      </c>
      <c r="N36" s="30">
        <f>SUMPRODUCT(Hitung_Unit!$X$5:$X$104,Hitung_Unit!$T$5:$T$104,Hitung_Unit!$H$5:$H$104)</f>
        <v>0</v>
      </c>
      <c r="O36" s="30">
        <f>SUMPRODUCT(Hitung_Unit!$X$5:$X$104,Hitung_Unit!$U$5:$U$104,Hitung_Unit!$H$5:$H$104)</f>
        <v>0</v>
      </c>
      <c r="P36" s="30">
        <f>SUMPRODUCT(Hitung_Unit!$X$5:$X$104,Hitung_Unit!$V$5:$V$104,Hitung_Unit!$H$5:$H$104)</f>
        <v>0</v>
      </c>
      <c r="Q36" s="30">
        <f>SUMPRODUCT(Hitung_Unit!$X$5:$X$104,Hitung_Unit!$W$5:$W$104,Hitung_Unit!$H$5:$H$104)</f>
        <v>0</v>
      </c>
      <c r="R36" s="30">
        <f>SUMPRODUCT(Hitung_Unit!$X$5:$X$104,Hitung_Unit!$X$5:$X$104-1,Hitung_Unit!$H$5:$H$104)</f>
        <v>0</v>
      </c>
      <c r="S36" s="30">
        <f>SUMPRODUCT(Hitung_Unit!$X$5:$X$104,Hitung_Unit!$Y$5:$Y$104,Hitung_Unit!$H$5:$H$104)</f>
        <v>0</v>
      </c>
      <c r="T36" s="30">
        <f>SUMPRODUCT(Hitung_Unit!$X$5:$X$104,Hitung_Unit!$Z$5:$Z$104,Hitung_Unit!$H$5:$H$104)</f>
        <v>0</v>
      </c>
      <c r="U36" s="30">
        <f>SUMPRODUCT(Hitung_Unit!$X$5:$X$104,Hitung_Unit!$AA$5:$AA$104,Hitung_Unit!$H$5:$H$104)</f>
        <v>0</v>
      </c>
      <c r="V36" s="30">
        <f>SUMPRODUCT(Hitung_Unit!$X$5:$X$104,Hitung_Unit!$AB$5:$AB$104,Hitung_Unit!$H$5:$H$104)</f>
        <v>0</v>
      </c>
      <c r="W36" s="31">
        <f t="shared" si="92"/>
        <v>0</v>
      </c>
    </row>
    <row r="37" ht="15">
      <c r="A37" s="8">
        <v>17</v>
      </c>
      <c r="B37" s="8" t="str">
        <f>IF(Input!$H$26="","",Input!$H$26)</f>
        <v/>
      </c>
      <c r="C37" s="30">
        <f>SUMPRODUCT(Hitung_Unit!$Y$5:$Y$104,Hitung_Unit!$I$5:$I$104,Hitung_Unit!$H$5:$H$104)</f>
        <v>0</v>
      </c>
      <c r="D37" s="30">
        <f>SUMPRODUCT(Hitung_Unit!$Y$5:$Y$104,Hitung_Unit!$J$5:$J$104,Hitung_Unit!$H$5:$H$104)</f>
        <v>0</v>
      </c>
      <c r="E37" s="30">
        <f>SUMPRODUCT(Hitung_Unit!$Y$5:$Y$104,Hitung_Unit!$K$5:$K$104,Hitung_Unit!$H$5:$H$104)</f>
        <v>0</v>
      </c>
      <c r="F37" s="30">
        <f>SUMPRODUCT(Hitung_Unit!$Y$5:$Y$104,Hitung_Unit!$L$5:$L$104,Hitung_Unit!$H$5:$H$104)</f>
        <v>0</v>
      </c>
      <c r="G37" s="30">
        <f>SUMPRODUCT(Hitung_Unit!$Y$5:$Y$104,Hitung_Unit!$M$5:$M$104,Hitung_Unit!$H$5:$H$104)</f>
        <v>0</v>
      </c>
      <c r="H37" s="30">
        <f>SUMPRODUCT(Hitung_Unit!$Y$5:$Y$104,Hitung_Unit!$N$5:$N$104,Hitung_Unit!$H$5:$H$104)</f>
        <v>0</v>
      </c>
      <c r="I37" s="30">
        <f>SUMPRODUCT(Hitung_Unit!$Y$5:$Y$104,Hitung_Unit!$O$5:$O$104,Hitung_Unit!$H$5:$H$104)</f>
        <v>0</v>
      </c>
      <c r="J37" s="30">
        <f>SUMPRODUCT(Hitung_Unit!$Y$5:$Y$104,Hitung_Unit!$P$5:$P$104,Hitung_Unit!$H$5:$H$104)</f>
        <v>0</v>
      </c>
      <c r="K37" s="30">
        <f>SUMPRODUCT(Hitung_Unit!$Y$5:$Y$104,Hitung_Unit!$Q$5:$Q$104,Hitung_Unit!$H$5:$H$104)</f>
        <v>0</v>
      </c>
      <c r="L37" s="30">
        <f>SUMPRODUCT(Hitung_Unit!$Y$5:$Y$104,Hitung_Unit!$R$5:$R$104,Hitung_Unit!$H$5:$H$104)</f>
        <v>0</v>
      </c>
      <c r="M37" s="30">
        <f>SUMPRODUCT(Hitung_Unit!$Y$5:$Y$104,Hitung_Unit!$S$5:$S$104,Hitung_Unit!$H$5:$H$104)</f>
        <v>0</v>
      </c>
      <c r="N37" s="30">
        <f>SUMPRODUCT(Hitung_Unit!$Y$5:$Y$104,Hitung_Unit!$T$5:$T$104,Hitung_Unit!$H$5:$H$104)</f>
        <v>0</v>
      </c>
      <c r="O37" s="30">
        <f>SUMPRODUCT(Hitung_Unit!$Y$5:$Y$104,Hitung_Unit!$U$5:$U$104,Hitung_Unit!$H$5:$H$104)</f>
        <v>0</v>
      </c>
      <c r="P37" s="30">
        <f>SUMPRODUCT(Hitung_Unit!$Y$5:$Y$104,Hitung_Unit!$V$5:$V$104,Hitung_Unit!$H$5:$H$104)</f>
        <v>0</v>
      </c>
      <c r="Q37" s="30">
        <f>SUMPRODUCT(Hitung_Unit!$Y$5:$Y$104,Hitung_Unit!$W$5:$W$104,Hitung_Unit!$H$5:$H$104)</f>
        <v>0</v>
      </c>
      <c r="R37" s="30">
        <f>SUMPRODUCT(Hitung_Unit!$Y$5:$Y$104,Hitung_Unit!$X$5:$X$104,Hitung_Unit!$H$5:$H$104)</f>
        <v>0</v>
      </c>
      <c r="S37" s="30">
        <f>SUMPRODUCT(Hitung_Unit!$Y$5:$Y$104,Hitung_Unit!$Y$5:$Y$104-1,Hitung_Unit!$H$5:$H$104)</f>
        <v>0</v>
      </c>
      <c r="T37" s="30">
        <f>SUMPRODUCT(Hitung_Unit!$Y$5:$Y$104,Hitung_Unit!$Z$5:$Z$104,Hitung_Unit!$H$5:$H$104)</f>
        <v>0</v>
      </c>
      <c r="U37" s="30">
        <f>SUMPRODUCT(Hitung_Unit!$Y$5:$Y$104,Hitung_Unit!$AA$5:$AA$104,Hitung_Unit!$H$5:$H$104)</f>
        <v>0</v>
      </c>
      <c r="V37" s="30">
        <f>SUMPRODUCT(Hitung_Unit!$Y$5:$Y$104,Hitung_Unit!$AB$5:$AB$104,Hitung_Unit!$H$5:$H$104)</f>
        <v>0</v>
      </c>
      <c r="W37" s="31">
        <f t="shared" si="92"/>
        <v>0</v>
      </c>
    </row>
    <row r="38" ht="15">
      <c r="A38" s="8">
        <v>18</v>
      </c>
      <c r="B38" s="8" t="str">
        <f>IF(Input!$H$27="","",Input!$H$27)</f>
        <v/>
      </c>
      <c r="C38" s="30">
        <f>SUMPRODUCT(Hitung_Unit!$Z$5:$Z$104,Hitung_Unit!$I$5:$I$104,Hitung_Unit!$H$5:$H$104)</f>
        <v>0</v>
      </c>
      <c r="D38" s="30">
        <f>SUMPRODUCT(Hitung_Unit!$Z$5:$Z$104,Hitung_Unit!$J$5:$J$104,Hitung_Unit!$H$5:$H$104)</f>
        <v>0</v>
      </c>
      <c r="E38" s="30">
        <f>SUMPRODUCT(Hitung_Unit!$Z$5:$Z$104,Hitung_Unit!$K$5:$K$104,Hitung_Unit!$H$5:$H$104)</f>
        <v>0</v>
      </c>
      <c r="F38" s="30">
        <f>SUMPRODUCT(Hitung_Unit!$Z$5:$Z$104,Hitung_Unit!$L$5:$L$104,Hitung_Unit!$H$5:$H$104)</f>
        <v>0</v>
      </c>
      <c r="G38" s="30">
        <f>SUMPRODUCT(Hitung_Unit!$Z$5:$Z$104,Hitung_Unit!$M$5:$M$104,Hitung_Unit!$H$5:$H$104)</f>
        <v>0</v>
      </c>
      <c r="H38" s="30">
        <f>SUMPRODUCT(Hitung_Unit!$Z$5:$Z$104,Hitung_Unit!$N$5:$N$104,Hitung_Unit!$H$5:$H$104)</f>
        <v>0</v>
      </c>
      <c r="I38" s="30">
        <f>SUMPRODUCT(Hitung_Unit!$Z$5:$Z$104,Hitung_Unit!$O$5:$O$104,Hitung_Unit!$H$5:$H$104)</f>
        <v>0</v>
      </c>
      <c r="J38" s="30">
        <f>SUMPRODUCT(Hitung_Unit!$Z$5:$Z$104,Hitung_Unit!$P$5:$P$104,Hitung_Unit!$H$5:$H$104)</f>
        <v>0</v>
      </c>
      <c r="K38" s="30">
        <f>SUMPRODUCT(Hitung_Unit!$Z$5:$Z$104,Hitung_Unit!$Q$5:$Q$104,Hitung_Unit!$H$5:$H$104)</f>
        <v>0</v>
      </c>
      <c r="L38" s="30">
        <f>SUMPRODUCT(Hitung_Unit!$Z$5:$Z$104,Hitung_Unit!$R$5:$R$104,Hitung_Unit!$H$5:$H$104)</f>
        <v>0</v>
      </c>
      <c r="M38" s="30">
        <f>SUMPRODUCT(Hitung_Unit!$Z$5:$Z$104,Hitung_Unit!$S$5:$S$104,Hitung_Unit!$H$5:$H$104)</f>
        <v>0</v>
      </c>
      <c r="N38" s="30">
        <f>SUMPRODUCT(Hitung_Unit!$Z$5:$Z$104,Hitung_Unit!$T$5:$T$104,Hitung_Unit!$H$5:$H$104)</f>
        <v>0</v>
      </c>
      <c r="O38" s="30">
        <f>SUMPRODUCT(Hitung_Unit!$Z$5:$Z$104,Hitung_Unit!$U$5:$U$104,Hitung_Unit!$H$5:$H$104)</f>
        <v>0</v>
      </c>
      <c r="P38" s="30">
        <f>SUMPRODUCT(Hitung_Unit!$Z$5:$Z$104,Hitung_Unit!$V$5:$V$104,Hitung_Unit!$H$5:$H$104)</f>
        <v>0</v>
      </c>
      <c r="Q38" s="30">
        <f>SUMPRODUCT(Hitung_Unit!$Z$5:$Z$104,Hitung_Unit!$W$5:$W$104,Hitung_Unit!$H$5:$H$104)</f>
        <v>0</v>
      </c>
      <c r="R38" s="30">
        <f>SUMPRODUCT(Hitung_Unit!$Z$5:$Z$104,Hitung_Unit!$X$5:$X$104,Hitung_Unit!$H$5:$H$104)</f>
        <v>0</v>
      </c>
      <c r="S38" s="30">
        <f>SUMPRODUCT(Hitung_Unit!$Z$5:$Z$104,Hitung_Unit!$Y$5:$Y$104,Hitung_Unit!$H$5:$H$104)</f>
        <v>0</v>
      </c>
      <c r="T38" s="30">
        <f>SUMPRODUCT(Hitung_Unit!$Z$5:$Z$104,Hitung_Unit!$Z$5:$Z$104-1,Hitung_Unit!$H$5:$H$104)</f>
        <v>0</v>
      </c>
      <c r="U38" s="30">
        <f>SUMPRODUCT(Hitung_Unit!$Z$5:$Z$104,Hitung_Unit!$AA$5:$AA$104,Hitung_Unit!$H$5:$H$104)</f>
        <v>0</v>
      </c>
      <c r="V38" s="30">
        <f>SUMPRODUCT(Hitung_Unit!$Z$5:$Z$104,Hitung_Unit!$AB$5:$AB$104,Hitung_Unit!$H$5:$H$104)</f>
        <v>0</v>
      </c>
      <c r="W38" s="31">
        <f t="shared" si="92"/>
        <v>0</v>
      </c>
    </row>
    <row r="39" ht="15">
      <c r="A39" s="8">
        <v>19</v>
      </c>
      <c r="B39" s="8" t="str">
        <f>IF(Input!$H$28="","",Input!$H$28)</f>
        <v/>
      </c>
      <c r="C39" s="30">
        <f>SUMPRODUCT(Hitung_Unit!$AA$5:$AA$104,Hitung_Unit!$I$5:$I$104,Hitung_Unit!$H$5:$H$104)</f>
        <v>0</v>
      </c>
      <c r="D39" s="30">
        <f>SUMPRODUCT(Hitung_Unit!$AA$5:$AA$104,Hitung_Unit!$J$5:$J$104,Hitung_Unit!$H$5:$H$104)</f>
        <v>0</v>
      </c>
      <c r="E39" s="30">
        <f>SUMPRODUCT(Hitung_Unit!$AA$5:$AA$104,Hitung_Unit!$K$5:$K$104,Hitung_Unit!$H$5:$H$104)</f>
        <v>0</v>
      </c>
      <c r="F39" s="30">
        <f>SUMPRODUCT(Hitung_Unit!$AA$5:$AA$104,Hitung_Unit!$L$5:$L$104,Hitung_Unit!$H$5:$H$104)</f>
        <v>0</v>
      </c>
      <c r="G39" s="30">
        <f>SUMPRODUCT(Hitung_Unit!$AA$5:$AA$104,Hitung_Unit!$M$5:$M$104,Hitung_Unit!$H$5:$H$104)</f>
        <v>0</v>
      </c>
      <c r="H39" s="30">
        <f>SUMPRODUCT(Hitung_Unit!$AA$5:$AA$104,Hitung_Unit!$N$5:$N$104,Hitung_Unit!$H$5:$H$104)</f>
        <v>0</v>
      </c>
      <c r="I39" s="30">
        <f>SUMPRODUCT(Hitung_Unit!$AA$5:$AA$104,Hitung_Unit!$O$5:$O$104,Hitung_Unit!$H$5:$H$104)</f>
        <v>0</v>
      </c>
      <c r="J39" s="30">
        <f>SUMPRODUCT(Hitung_Unit!$AA$5:$AA$104,Hitung_Unit!$P$5:$P$104,Hitung_Unit!$H$5:$H$104)</f>
        <v>0</v>
      </c>
      <c r="K39" s="30">
        <f>SUMPRODUCT(Hitung_Unit!$AA$5:$AA$104,Hitung_Unit!$Q$5:$Q$104,Hitung_Unit!$H$5:$H$104)</f>
        <v>0</v>
      </c>
      <c r="L39" s="30">
        <f>SUMPRODUCT(Hitung_Unit!$AA$5:$AA$104,Hitung_Unit!$R$5:$R$104,Hitung_Unit!$H$5:$H$104)</f>
        <v>0</v>
      </c>
      <c r="M39" s="30">
        <f>SUMPRODUCT(Hitung_Unit!$AA$5:$AA$104,Hitung_Unit!$S$5:$S$104,Hitung_Unit!$H$5:$H$104)</f>
        <v>0</v>
      </c>
      <c r="N39" s="30">
        <f>SUMPRODUCT(Hitung_Unit!$AA$5:$AA$104,Hitung_Unit!$T$5:$T$104,Hitung_Unit!$H$5:$H$104)</f>
        <v>0</v>
      </c>
      <c r="O39" s="30">
        <f>SUMPRODUCT(Hitung_Unit!$AA$5:$AA$104,Hitung_Unit!$U$5:$U$104,Hitung_Unit!$H$5:$H$104)</f>
        <v>0</v>
      </c>
      <c r="P39" s="30">
        <f>SUMPRODUCT(Hitung_Unit!$AA$5:$AA$104,Hitung_Unit!$V$5:$V$104,Hitung_Unit!$H$5:$H$104)</f>
        <v>0</v>
      </c>
      <c r="Q39" s="30">
        <f>SUMPRODUCT(Hitung_Unit!$AA$5:$AA$104,Hitung_Unit!$W$5:$W$104,Hitung_Unit!$H$5:$H$104)</f>
        <v>0</v>
      </c>
      <c r="R39" s="30">
        <f>SUMPRODUCT(Hitung_Unit!$AA$5:$AA$104,Hitung_Unit!$X$5:$X$104,Hitung_Unit!$H$5:$H$104)</f>
        <v>0</v>
      </c>
      <c r="S39" s="30">
        <f>SUMPRODUCT(Hitung_Unit!$AA$5:$AA$104,Hitung_Unit!$Y$5:$Y$104,Hitung_Unit!$H$5:$H$104)</f>
        <v>0</v>
      </c>
      <c r="T39" s="30">
        <f>SUMPRODUCT(Hitung_Unit!$AA$5:$AA$104,Hitung_Unit!$Z$5:$Z$104,Hitung_Unit!$H$5:$H$104)</f>
        <v>0</v>
      </c>
      <c r="U39" s="30">
        <f>SUMPRODUCT(Hitung_Unit!$AA$5:$AA$104,Hitung_Unit!$AA$5:$AA$104-1,Hitung_Unit!$H$5:$H$104)</f>
        <v>0</v>
      </c>
      <c r="V39" s="30">
        <f>SUMPRODUCT(Hitung_Unit!$AA$5:$AA$104,Hitung_Unit!$AB$5:$AB$104,Hitung_Unit!$H$5:$H$104)</f>
        <v>0</v>
      </c>
      <c r="W39" s="31">
        <f t="shared" si="92"/>
        <v>0</v>
      </c>
    </row>
    <row r="40" ht="15">
      <c r="A40" s="8">
        <v>20</v>
      </c>
      <c r="B40" s="8" t="str">
        <f>IF(Input!$H$29="","",Input!$H$29)</f>
        <v/>
      </c>
      <c r="C40" s="30">
        <f>SUMPRODUCT(Hitung_Unit!$AB$5:$AB$104,Hitung_Unit!$I$5:$I$104,Hitung_Unit!$H$5:$H$104)</f>
        <v>0</v>
      </c>
      <c r="D40" s="30">
        <f>SUMPRODUCT(Hitung_Unit!$AB$5:$AB$104,Hitung_Unit!$J$5:$J$104,Hitung_Unit!$H$5:$H$104)</f>
        <v>0</v>
      </c>
      <c r="E40" s="30">
        <f>SUMPRODUCT(Hitung_Unit!$AB$5:$AB$104,Hitung_Unit!$K$5:$K$104,Hitung_Unit!$H$5:$H$104)</f>
        <v>0</v>
      </c>
      <c r="F40" s="30">
        <f>SUMPRODUCT(Hitung_Unit!$AB$5:$AB$104,Hitung_Unit!$L$5:$L$104,Hitung_Unit!$H$5:$H$104)</f>
        <v>0</v>
      </c>
      <c r="G40" s="30">
        <f>SUMPRODUCT(Hitung_Unit!$AB$5:$AB$104,Hitung_Unit!$M$5:$M$104,Hitung_Unit!$H$5:$H$104)</f>
        <v>0</v>
      </c>
      <c r="H40" s="30">
        <f>SUMPRODUCT(Hitung_Unit!$AB$5:$AB$104,Hitung_Unit!$N$5:$N$104,Hitung_Unit!$H$5:$H$104)</f>
        <v>0</v>
      </c>
      <c r="I40" s="30">
        <f>SUMPRODUCT(Hitung_Unit!$AB$5:$AB$104,Hitung_Unit!$O$5:$O$104,Hitung_Unit!$H$5:$H$104)</f>
        <v>0</v>
      </c>
      <c r="J40" s="30">
        <f>SUMPRODUCT(Hitung_Unit!$AB$5:$AB$104,Hitung_Unit!$P$5:$P$104,Hitung_Unit!$H$5:$H$104)</f>
        <v>0</v>
      </c>
      <c r="K40" s="30">
        <f>SUMPRODUCT(Hitung_Unit!$AB$5:$AB$104,Hitung_Unit!$Q$5:$Q$104,Hitung_Unit!$H$5:$H$104)</f>
        <v>0</v>
      </c>
      <c r="L40" s="30">
        <f>SUMPRODUCT(Hitung_Unit!$AB$5:$AB$104,Hitung_Unit!$R$5:$R$104,Hitung_Unit!$H$5:$H$104)</f>
        <v>0</v>
      </c>
      <c r="M40" s="30">
        <f>SUMPRODUCT(Hitung_Unit!$AB$5:$AB$104,Hitung_Unit!$S$5:$S$104,Hitung_Unit!$H$5:$H$104)</f>
        <v>0</v>
      </c>
      <c r="N40" s="30">
        <f>SUMPRODUCT(Hitung_Unit!$AB$5:$AB$104,Hitung_Unit!$T$5:$T$104,Hitung_Unit!$H$5:$H$104)</f>
        <v>0</v>
      </c>
      <c r="O40" s="30">
        <f>SUMPRODUCT(Hitung_Unit!$AB$5:$AB$104,Hitung_Unit!$U$5:$U$104,Hitung_Unit!$H$5:$H$104)</f>
        <v>0</v>
      </c>
      <c r="P40" s="30">
        <f>SUMPRODUCT(Hitung_Unit!$AB$5:$AB$104,Hitung_Unit!$V$5:$V$104,Hitung_Unit!$H$5:$H$104)</f>
        <v>0</v>
      </c>
      <c r="Q40" s="30">
        <f>SUMPRODUCT(Hitung_Unit!$AB$5:$AB$104,Hitung_Unit!$W$5:$W$104,Hitung_Unit!$H$5:$H$104)</f>
        <v>0</v>
      </c>
      <c r="R40" s="30">
        <f>SUMPRODUCT(Hitung_Unit!$AB$5:$AB$104,Hitung_Unit!$X$5:$X$104,Hitung_Unit!$H$5:$H$104)</f>
        <v>0</v>
      </c>
      <c r="S40" s="30">
        <f>SUMPRODUCT(Hitung_Unit!$AB$5:$AB$104,Hitung_Unit!$Y$5:$Y$104,Hitung_Unit!$H$5:$H$104)</f>
        <v>0</v>
      </c>
      <c r="T40" s="30">
        <f>SUMPRODUCT(Hitung_Unit!$AB$5:$AB$104,Hitung_Unit!$Z$5:$Z$104,Hitung_Unit!$H$5:$H$104)</f>
        <v>0</v>
      </c>
      <c r="U40" s="30">
        <f>SUMPRODUCT(Hitung_Unit!$AB$5:$AB$104,Hitung_Unit!$AA$5:$AA$104,Hitung_Unit!$H$5:$H$104)</f>
        <v>0</v>
      </c>
      <c r="V40" s="30">
        <f>SUMPRODUCT(Hitung_Unit!$AB$5:$AB$104,Hitung_Unit!$AB$5:$AB$104-1,Hitung_Unit!$H$5:$H$104)</f>
        <v>0</v>
      </c>
      <c r="W40" s="31">
        <f t="shared" si="92"/>
        <v>0</v>
      </c>
    </row>
    <row r="41" ht="15">
      <c r="A41" s="8" t="s">
        <v>129</v>
      </c>
      <c r="B41" s="8" t="s">
        <v>130</v>
      </c>
      <c r="C41" s="31">
        <f>SUM(C21:C40)</f>
        <v>0</v>
      </c>
      <c r="D41" s="31">
        <f>SUM(D21:D40)</f>
        <v>3</v>
      </c>
      <c r="E41" s="31">
        <f>SUM(E21:E40)</f>
        <v>4</v>
      </c>
      <c r="F41" s="31">
        <f>SUM(F21:F40)</f>
        <v>10</v>
      </c>
      <c r="G41" s="31">
        <f>SUM(G21:G40)</f>
        <v>3</v>
      </c>
      <c r="H41" s="31">
        <f>SUM(H21:H40)</f>
        <v>0</v>
      </c>
      <c r="I41" s="31">
        <f>SUM(I21:I40)</f>
        <v>0</v>
      </c>
      <c r="J41" s="31">
        <f>SUM(J21:J40)</f>
        <v>0</v>
      </c>
      <c r="K41" s="31">
        <f>SUM(K21:K40)</f>
        <v>0</v>
      </c>
      <c r="L41" s="31">
        <f>SUM(L21:L40)</f>
        <v>0</v>
      </c>
      <c r="M41" s="31">
        <f>SUM(M21:M40)</f>
        <v>0</v>
      </c>
      <c r="N41" s="31">
        <f>SUM(N21:N40)</f>
        <v>0</v>
      </c>
      <c r="O41" s="31">
        <f>SUM(O21:O40)</f>
        <v>0</v>
      </c>
      <c r="P41" s="31">
        <f>SUM(P21:P40)</f>
        <v>0</v>
      </c>
      <c r="Q41" s="31">
        <f>SUM(Q21:Q40)</f>
        <v>0</v>
      </c>
      <c r="R41" s="31">
        <f>SUM(R21:R40)</f>
        <v>0</v>
      </c>
      <c r="S41" s="31">
        <f>SUM(S21:S40)</f>
        <v>0</v>
      </c>
      <c r="T41" s="31">
        <f>SUM(T21:T40)</f>
        <v>0</v>
      </c>
      <c r="U41" s="31">
        <f>SUM(U21:U40)</f>
        <v>0</v>
      </c>
      <c r="V41" s="31">
        <f>SUM(V21:V40)</f>
        <v>0</v>
      </c>
      <c r="W41" s="32">
        <f>SUM(W21:W40)</f>
        <v>20</v>
      </c>
    </row>
    <row r="44" ht="15">
      <c r="A44" s="3" t="s">
        <v>131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">
      <c r="A45" s="8" t="s">
        <v>126</v>
      </c>
      <c r="B45" s="8" t="s">
        <v>127</v>
      </c>
      <c r="C45" s="8">
        <v>1</v>
      </c>
      <c r="D45" s="8">
        <v>2</v>
      </c>
      <c r="E45" s="8">
        <v>3</v>
      </c>
      <c r="F45" s="8">
        <v>4</v>
      </c>
      <c r="G45" s="8">
        <v>5</v>
      </c>
      <c r="H45" s="8">
        <v>6</v>
      </c>
      <c r="I45" s="8">
        <v>7</v>
      </c>
      <c r="J45" s="8">
        <v>8</v>
      </c>
      <c r="K45" s="8">
        <v>9</v>
      </c>
      <c r="L45" s="8">
        <v>10</v>
      </c>
      <c r="M45" s="8">
        <v>11</v>
      </c>
      <c r="N45" s="8">
        <v>12</v>
      </c>
      <c r="O45" s="8">
        <v>13</v>
      </c>
      <c r="P45" s="8">
        <v>14</v>
      </c>
      <c r="Q45" s="8">
        <v>15</v>
      </c>
      <c r="R45" s="8">
        <v>16</v>
      </c>
      <c r="S45" s="8">
        <v>17</v>
      </c>
      <c r="T45" s="8">
        <v>18</v>
      </c>
      <c r="U45" s="8">
        <v>19</v>
      </c>
      <c r="V45" s="8">
        <v>20</v>
      </c>
    </row>
    <row r="46" ht="15">
      <c r="A46" s="8"/>
      <c r="B46" s="8"/>
      <c r="C46" s="8" t="str">
        <f>IF(Input!$H$10="","",Input!$H$10)</f>
        <v>K1</v>
      </c>
      <c r="D46" s="8" t="str">
        <f>IF(Input!$H$11="","",Input!$H$11)</f>
        <v>K2</v>
      </c>
      <c r="E46" s="8" t="str">
        <f>IF(Input!$H$12="","",Input!$H$12)</f>
        <v>K3</v>
      </c>
      <c r="F46" s="8" t="str">
        <f>IF(Input!$H$13="","",Input!$H$13)</f>
        <v>K4</v>
      </c>
      <c r="G46" s="8" t="str">
        <f>IF(Input!$H$14="","",Input!$H$14)</f>
        <v>K5</v>
      </c>
      <c r="H46" s="8" t="str">
        <f>IF(Input!$H$15="","",Input!$H$15)</f>
        <v/>
      </c>
      <c r="I46" s="8" t="str">
        <f>IF(Input!$H$16="","",Input!$H$16)</f>
        <v/>
      </c>
      <c r="J46" s="8" t="str">
        <f>IF(Input!$H$17="","",Input!$H$17)</f>
        <v/>
      </c>
      <c r="K46" s="8" t="str">
        <f>IF(Input!$H$18="","",Input!$H$18)</f>
        <v/>
      </c>
      <c r="L46" s="8" t="str">
        <f>IF(Input!$H$19="","",Input!$H$19)</f>
        <v/>
      </c>
      <c r="M46" s="8" t="str">
        <f>IF(Input!$H$20="","",Input!$H$20)</f>
        <v/>
      </c>
      <c r="N46" s="8" t="str">
        <f>IF(Input!$H$21="","",Input!$H$21)</f>
        <v/>
      </c>
      <c r="O46" s="8" t="str">
        <f>IF(Input!$H$22="","",Input!$H$22)</f>
        <v/>
      </c>
      <c r="P46" s="8" t="str">
        <f>IF(Input!$H$23="","",Input!$H$23)</f>
        <v/>
      </c>
      <c r="Q46" s="8" t="str">
        <f>IF(Input!$H$24="","",Input!$H$24)</f>
        <v/>
      </c>
      <c r="R46" s="8" t="str">
        <f>IF(Input!$H$25="","",Input!$H$25)</f>
        <v/>
      </c>
      <c r="S46" s="8" t="str">
        <f>IF(Input!$H$26="","",Input!$H$26)</f>
        <v/>
      </c>
      <c r="T46" s="8" t="str">
        <f>IF(Input!$H$27="","",Input!$H$27)</f>
        <v/>
      </c>
      <c r="U46" s="8" t="str">
        <f>IF(Input!$H$28="","",Input!$H$28)</f>
        <v/>
      </c>
      <c r="V46" s="8" t="str">
        <f>IF(Input!$H$29="","",Input!$H$29)</f>
        <v/>
      </c>
    </row>
    <row r="47" ht="15">
      <c r="A47" s="8">
        <v>1</v>
      </c>
      <c r="B47" s="8" t="str">
        <f>IF(Input!$H$10="","",Input!$H$10)</f>
        <v>K1</v>
      </c>
      <c r="C47" s="30">
        <f t="shared" ref="C47:C66" si="93">IF($W$41&gt;1,IF($A47=C$45,INDEX($W$21:$W$40,$A47)*(INDEX($W$21:$W$40,$A47)-1),INDEX($W$21:$W$40,$A47)*INDEX($W$21:$W$40,C$45))/($W$41-1),0)</f>
        <v>0</v>
      </c>
      <c r="D47" s="30">
        <f t="shared" ref="D47:D66" si="94">IF($W$41&gt;1,IF($A47=D$45,INDEX($W$21:$W$40,$A47)*(INDEX($W$21:$W$40,$A47)-1),INDEX($W$21:$W$40,$A47)*INDEX($W$21:$W$40,D$45))/($W$41-1),0)</f>
        <v>0</v>
      </c>
      <c r="E47" s="30">
        <f t="shared" ref="E47:E66" si="95">IF($W$41&gt;1,IF($A47=E$45,INDEX($W$21:$W$40,$A47)*(INDEX($W$21:$W$40,$A47)-1),INDEX($W$21:$W$40,$A47)*INDEX($W$21:$W$40,E$45))/($W$41-1),0)</f>
        <v>0</v>
      </c>
      <c r="F47" s="30">
        <f t="shared" ref="F47:F66" si="96">IF($W$41&gt;1,IF($A47=F$45,INDEX($W$21:$W$40,$A47)*(INDEX($W$21:$W$40,$A47)-1),INDEX($W$21:$W$40,$A47)*INDEX($W$21:$W$40,F$45))/($W$41-1),0)</f>
        <v>0</v>
      </c>
      <c r="G47" s="30">
        <f t="shared" ref="G47:G66" si="97">IF($W$41&gt;1,IF($A47=G$45,INDEX($W$21:$W$40,$A47)*(INDEX($W$21:$W$40,$A47)-1),INDEX($W$21:$W$40,$A47)*INDEX($W$21:$W$40,G$45))/($W$41-1),0)</f>
        <v>0</v>
      </c>
      <c r="H47" s="30">
        <f t="shared" ref="H47:H66" si="98">IF($W$41&gt;1,IF($A47=H$45,INDEX($W$21:$W$40,$A47)*(INDEX($W$21:$W$40,$A47)-1),INDEX($W$21:$W$40,$A47)*INDEX($W$21:$W$40,H$45))/($W$41-1),0)</f>
        <v>0</v>
      </c>
      <c r="I47" s="30">
        <f t="shared" ref="I47:I66" si="99">IF($W$41&gt;1,IF($A47=I$45,INDEX($W$21:$W$40,$A47)*(INDEX($W$21:$W$40,$A47)-1),INDEX($W$21:$W$40,$A47)*INDEX($W$21:$W$40,I$45))/($W$41-1),0)</f>
        <v>0</v>
      </c>
      <c r="J47" s="30">
        <f t="shared" ref="J47:J66" si="100">IF($W$41&gt;1,IF($A47=J$45,INDEX($W$21:$W$40,$A47)*(INDEX($W$21:$W$40,$A47)-1),INDEX($W$21:$W$40,$A47)*INDEX($W$21:$W$40,J$45))/($W$41-1),0)</f>
        <v>0</v>
      </c>
      <c r="K47" s="30">
        <f t="shared" ref="K47:K66" si="101">IF($W$41&gt;1,IF($A47=K$45,INDEX($W$21:$W$40,$A47)*(INDEX($W$21:$W$40,$A47)-1),INDEX($W$21:$W$40,$A47)*INDEX($W$21:$W$40,K$45))/($W$41-1),0)</f>
        <v>0</v>
      </c>
      <c r="L47" s="30">
        <f t="shared" ref="L47:L66" si="102">IF($W$41&gt;1,IF($A47=L$45,INDEX($W$21:$W$40,$A47)*(INDEX($W$21:$W$40,$A47)-1),INDEX($W$21:$W$40,$A47)*INDEX($W$21:$W$40,L$45))/($W$41-1),0)</f>
        <v>0</v>
      </c>
      <c r="M47" s="30">
        <f t="shared" ref="M47:M66" si="103">IF($W$41&gt;1,IF($A47=M$45,INDEX($W$21:$W$40,$A47)*(INDEX($W$21:$W$40,$A47)-1),INDEX($W$21:$W$40,$A47)*INDEX($W$21:$W$40,M$45))/($W$41-1),0)</f>
        <v>0</v>
      </c>
      <c r="N47" s="30">
        <f t="shared" ref="N47:N66" si="104">IF($W$41&gt;1,IF($A47=N$45,INDEX($W$21:$W$40,$A47)*(INDEX($W$21:$W$40,$A47)-1),INDEX($W$21:$W$40,$A47)*INDEX($W$21:$W$40,N$45))/($W$41-1),0)</f>
        <v>0</v>
      </c>
      <c r="O47" s="30">
        <f t="shared" ref="O47:O66" si="105">IF($W$41&gt;1,IF($A47=O$45,INDEX($W$21:$W$40,$A47)*(INDEX($W$21:$W$40,$A47)-1),INDEX($W$21:$W$40,$A47)*INDEX($W$21:$W$40,O$45))/($W$41-1),0)</f>
        <v>0</v>
      </c>
      <c r="P47" s="30">
        <f t="shared" ref="P47:P66" si="106">IF($W$41&gt;1,IF($A47=P$45,INDEX($W$21:$W$40,$A47)*(INDEX($W$21:$W$40,$A47)-1),INDEX($W$21:$W$40,$A47)*INDEX($W$21:$W$40,P$45))/($W$41-1),0)</f>
        <v>0</v>
      </c>
      <c r="Q47" s="30">
        <f t="shared" ref="Q47:Q66" si="107">IF($W$41&gt;1,IF($A47=Q$45,INDEX($W$21:$W$40,$A47)*(INDEX($W$21:$W$40,$A47)-1),INDEX($W$21:$W$40,$A47)*INDEX($W$21:$W$40,Q$45))/($W$41-1),0)</f>
        <v>0</v>
      </c>
      <c r="R47" s="30">
        <f t="shared" ref="R47:R66" si="108">IF($W$41&gt;1,IF($A47=R$45,INDEX($W$21:$W$40,$A47)*(INDEX($W$21:$W$40,$A47)-1),INDEX($W$21:$W$40,$A47)*INDEX($W$21:$W$40,R$45))/($W$41-1),0)</f>
        <v>0</v>
      </c>
      <c r="S47" s="30">
        <f t="shared" ref="S47:S66" si="109">IF($W$41&gt;1,IF($A47=S$45,INDEX($W$21:$W$40,$A47)*(INDEX($W$21:$W$40,$A47)-1),INDEX($W$21:$W$40,$A47)*INDEX($W$21:$W$40,S$45))/($W$41-1),0)</f>
        <v>0</v>
      </c>
      <c r="T47" s="30">
        <f t="shared" ref="T47:T66" si="110">IF($W$41&gt;1,IF($A47=T$45,INDEX($W$21:$W$40,$A47)*(INDEX($W$21:$W$40,$A47)-1),INDEX($W$21:$W$40,$A47)*INDEX($W$21:$W$40,T$45))/($W$41-1),0)</f>
        <v>0</v>
      </c>
      <c r="U47" s="30">
        <f t="shared" ref="U47:U66" si="111">IF($W$41&gt;1,IF($A47=U$45,INDEX($W$21:$W$40,$A47)*(INDEX($W$21:$W$40,$A47)-1),INDEX($W$21:$W$40,$A47)*INDEX($W$21:$W$40,U$45))/($W$41-1),0)</f>
        <v>0</v>
      </c>
      <c r="V47" s="30">
        <f t="shared" ref="V47:V66" si="112">IF($W$41&gt;1,IF($A47=V$45,INDEX($W$21:$W$40,$A47)*(INDEX($W$21:$W$40,$A47)-1),INDEX($W$21:$W$40,$A47)*INDEX($W$21:$W$40,V$45))/($W$41-1),0)</f>
        <v>0</v>
      </c>
    </row>
    <row r="48" ht="15">
      <c r="A48" s="8">
        <v>2</v>
      </c>
      <c r="B48" s="8" t="str">
        <f>IF(Input!$H$11="","",Input!$H$11)</f>
        <v>K2</v>
      </c>
      <c r="C48" s="30">
        <f t="shared" si="93"/>
        <v>0</v>
      </c>
      <c r="D48" s="30">
        <f t="shared" si="94"/>
        <v>0.315789473684211</v>
      </c>
      <c r="E48" s="30">
        <f t="shared" si="95"/>
        <v>0.631578947368421</v>
      </c>
      <c r="F48" s="30">
        <f t="shared" si="96"/>
        <v>1.57894736842105</v>
      </c>
      <c r="G48" s="30">
        <f t="shared" si="97"/>
        <v>0.473684210526316</v>
      </c>
      <c r="H48" s="30">
        <f t="shared" si="98"/>
        <v>0</v>
      </c>
      <c r="I48" s="30">
        <f t="shared" si="99"/>
        <v>0</v>
      </c>
      <c r="J48" s="30">
        <f t="shared" si="100"/>
        <v>0</v>
      </c>
      <c r="K48" s="30">
        <f t="shared" si="101"/>
        <v>0</v>
      </c>
      <c r="L48" s="30">
        <f t="shared" si="102"/>
        <v>0</v>
      </c>
      <c r="M48" s="30">
        <f t="shared" si="103"/>
        <v>0</v>
      </c>
      <c r="N48" s="30">
        <f t="shared" si="104"/>
        <v>0</v>
      </c>
      <c r="O48" s="30">
        <f t="shared" si="105"/>
        <v>0</v>
      </c>
      <c r="P48" s="30">
        <f t="shared" si="106"/>
        <v>0</v>
      </c>
      <c r="Q48" s="30">
        <f t="shared" si="107"/>
        <v>0</v>
      </c>
      <c r="R48" s="30">
        <f t="shared" si="108"/>
        <v>0</v>
      </c>
      <c r="S48" s="30">
        <f t="shared" si="109"/>
        <v>0</v>
      </c>
      <c r="T48" s="30">
        <f t="shared" si="110"/>
        <v>0</v>
      </c>
      <c r="U48" s="30">
        <f t="shared" si="111"/>
        <v>0</v>
      </c>
      <c r="V48" s="30">
        <f t="shared" si="112"/>
        <v>0</v>
      </c>
    </row>
    <row r="49" ht="15">
      <c r="A49" s="8">
        <v>3</v>
      </c>
      <c r="B49" s="8" t="str">
        <f>IF(Input!$H$12="","",Input!$H$12)</f>
        <v>K3</v>
      </c>
      <c r="C49" s="30">
        <f t="shared" si="93"/>
        <v>0</v>
      </c>
      <c r="D49" s="30">
        <f t="shared" si="94"/>
        <v>0.631578947368421</v>
      </c>
      <c r="E49" s="30">
        <f t="shared" si="95"/>
        <v>0.631578947368421</v>
      </c>
      <c r="F49" s="30">
        <f t="shared" si="96"/>
        <v>2.10526315789474</v>
      </c>
      <c r="G49" s="30">
        <f t="shared" si="97"/>
        <v>0.631578947368421</v>
      </c>
      <c r="H49" s="30">
        <f t="shared" si="98"/>
        <v>0</v>
      </c>
      <c r="I49" s="30">
        <f t="shared" si="99"/>
        <v>0</v>
      </c>
      <c r="J49" s="30">
        <f t="shared" si="100"/>
        <v>0</v>
      </c>
      <c r="K49" s="30">
        <f t="shared" si="101"/>
        <v>0</v>
      </c>
      <c r="L49" s="30">
        <f t="shared" si="102"/>
        <v>0</v>
      </c>
      <c r="M49" s="30">
        <f t="shared" si="103"/>
        <v>0</v>
      </c>
      <c r="N49" s="30">
        <f t="shared" si="104"/>
        <v>0</v>
      </c>
      <c r="O49" s="30">
        <f t="shared" si="105"/>
        <v>0</v>
      </c>
      <c r="P49" s="30">
        <f t="shared" si="106"/>
        <v>0</v>
      </c>
      <c r="Q49" s="30">
        <f t="shared" si="107"/>
        <v>0</v>
      </c>
      <c r="R49" s="30">
        <f t="shared" si="108"/>
        <v>0</v>
      </c>
      <c r="S49" s="30">
        <f t="shared" si="109"/>
        <v>0</v>
      </c>
      <c r="T49" s="30">
        <f t="shared" si="110"/>
        <v>0</v>
      </c>
      <c r="U49" s="30">
        <f t="shared" si="111"/>
        <v>0</v>
      </c>
      <c r="V49" s="30">
        <f t="shared" si="112"/>
        <v>0</v>
      </c>
    </row>
    <row r="50" ht="15">
      <c r="A50" s="8">
        <v>4</v>
      </c>
      <c r="B50" s="8" t="str">
        <f>IF(Input!$H$13="","",Input!$H$13)</f>
        <v>K4</v>
      </c>
      <c r="C50" s="30">
        <f t="shared" si="93"/>
        <v>0</v>
      </c>
      <c r="D50" s="30">
        <f t="shared" si="94"/>
        <v>1.57894736842105</v>
      </c>
      <c r="E50" s="30">
        <f t="shared" si="95"/>
        <v>2.10526315789474</v>
      </c>
      <c r="F50" s="30">
        <f t="shared" si="96"/>
        <v>4.73684210526316</v>
      </c>
      <c r="G50" s="30">
        <f t="shared" si="97"/>
        <v>1.57894736842105</v>
      </c>
      <c r="H50" s="30">
        <f t="shared" si="98"/>
        <v>0</v>
      </c>
      <c r="I50" s="30">
        <f t="shared" si="99"/>
        <v>0</v>
      </c>
      <c r="J50" s="30">
        <f t="shared" si="100"/>
        <v>0</v>
      </c>
      <c r="K50" s="30">
        <f t="shared" si="101"/>
        <v>0</v>
      </c>
      <c r="L50" s="30">
        <f t="shared" si="102"/>
        <v>0</v>
      </c>
      <c r="M50" s="30">
        <f t="shared" si="103"/>
        <v>0</v>
      </c>
      <c r="N50" s="30">
        <f t="shared" si="104"/>
        <v>0</v>
      </c>
      <c r="O50" s="30">
        <f t="shared" si="105"/>
        <v>0</v>
      </c>
      <c r="P50" s="30">
        <f t="shared" si="106"/>
        <v>0</v>
      </c>
      <c r="Q50" s="30">
        <f t="shared" si="107"/>
        <v>0</v>
      </c>
      <c r="R50" s="30">
        <f t="shared" si="108"/>
        <v>0</v>
      </c>
      <c r="S50" s="30">
        <f t="shared" si="109"/>
        <v>0</v>
      </c>
      <c r="T50" s="30">
        <f t="shared" si="110"/>
        <v>0</v>
      </c>
      <c r="U50" s="30">
        <f t="shared" si="111"/>
        <v>0</v>
      </c>
      <c r="V50" s="30">
        <f t="shared" si="112"/>
        <v>0</v>
      </c>
    </row>
    <row r="51" ht="15">
      <c r="A51" s="8">
        <v>5</v>
      </c>
      <c r="B51" s="8" t="str">
        <f>IF(Input!$H$14="","",Input!$H$14)</f>
        <v>K5</v>
      </c>
      <c r="C51" s="30">
        <f t="shared" si="93"/>
        <v>0</v>
      </c>
      <c r="D51" s="30">
        <f t="shared" si="94"/>
        <v>0.473684210526316</v>
      </c>
      <c r="E51" s="30">
        <f t="shared" si="95"/>
        <v>0.631578947368421</v>
      </c>
      <c r="F51" s="30">
        <f t="shared" si="96"/>
        <v>1.57894736842105</v>
      </c>
      <c r="G51" s="30">
        <f t="shared" si="97"/>
        <v>0.315789473684211</v>
      </c>
      <c r="H51" s="30">
        <f t="shared" si="98"/>
        <v>0</v>
      </c>
      <c r="I51" s="30">
        <f t="shared" si="99"/>
        <v>0</v>
      </c>
      <c r="J51" s="30">
        <f t="shared" si="100"/>
        <v>0</v>
      </c>
      <c r="K51" s="30">
        <f t="shared" si="101"/>
        <v>0</v>
      </c>
      <c r="L51" s="30">
        <f t="shared" si="102"/>
        <v>0</v>
      </c>
      <c r="M51" s="30">
        <f t="shared" si="103"/>
        <v>0</v>
      </c>
      <c r="N51" s="30">
        <f t="shared" si="104"/>
        <v>0</v>
      </c>
      <c r="O51" s="30">
        <f t="shared" si="105"/>
        <v>0</v>
      </c>
      <c r="P51" s="30">
        <f t="shared" si="106"/>
        <v>0</v>
      </c>
      <c r="Q51" s="30">
        <f t="shared" si="107"/>
        <v>0</v>
      </c>
      <c r="R51" s="30">
        <f t="shared" si="108"/>
        <v>0</v>
      </c>
      <c r="S51" s="30">
        <f t="shared" si="109"/>
        <v>0</v>
      </c>
      <c r="T51" s="30">
        <f t="shared" si="110"/>
        <v>0</v>
      </c>
      <c r="U51" s="30">
        <f t="shared" si="111"/>
        <v>0</v>
      </c>
      <c r="V51" s="30">
        <f t="shared" si="112"/>
        <v>0</v>
      </c>
    </row>
    <row r="52" ht="15">
      <c r="A52" s="8">
        <v>6</v>
      </c>
      <c r="B52" s="8" t="str">
        <f>IF(Input!$H$15="","",Input!$H$15)</f>
        <v/>
      </c>
      <c r="C52" s="30">
        <f t="shared" si="93"/>
        <v>0</v>
      </c>
      <c r="D52" s="30">
        <f t="shared" si="94"/>
        <v>0</v>
      </c>
      <c r="E52" s="30">
        <f t="shared" si="95"/>
        <v>0</v>
      </c>
      <c r="F52" s="30">
        <f t="shared" si="96"/>
        <v>0</v>
      </c>
      <c r="G52" s="30">
        <f t="shared" si="97"/>
        <v>0</v>
      </c>
      <c r="H52" s="30">
        <f t="shared" si="98"/>
        <v>0</v>
      </c>
      <c r="I52" s="30">
        <f t="shared" si="99"/>
        <v>0</v>
      </c>
      <c r="J52" s="30">
        <f t="shared" si="100"/>
        <v>0</v>
      </c>
      <c r="K52" s="30">
        <f t="shared" si="101"/>
        <v>0</v>
      </c>
      <c r="L52" s="30">
        <f t="shared" si="102"/>
        <v>0</v>
      </c>
      <c r="M52" s="30">
        <f t="shared" si="103"/>
        <v>0</v>
      </c>
      <c r="N52" s="30">
        <f t="shared" si="104"/>
        <v>0</v>
      </c>
      <c r="O52" s="30">
        <f t="shared" si="105"/>
        <v>0</v>
      </c>
      <c r="P52" s="30">
        <f t="shared" si="106"/>
        <v>0</v>
      </c>
      <c r="Q52" s="30">
        <f t="shared" si="107"/>
        <v>0</v>
      </c>
      <c r="R52" s="30">
        <f t="shared" si="108"/>
        <v>0</v>
      </c>
      <c r="S52" s="30">
        <f t="shared" si="109"/>
        <v>0</v>
      </c>
      <c r="T52" s="30">
        <f t="shared" si="110"/>
        <v>0</v>
      </c>
      <c r="U52" s="30">
        <f t="shared" si="111"/>
        <v>0</v>
      </c>
      <c r="V52" s="30">
        <f t="shared" si="112"/>
        <v>0</v>
      </c>
    </row>
    <row r="53" ht="15">
      <c r="A53" s="8">
        <v>7</v>
      </c>
      <c r="B53" s="8" t="str">
        <f>IF(Input!$H$16="","",Input!$H$16)</f>
        <v/>
      </c>
      <c r="C53" s="30">
        <f t="shared" si="93"/>
        <v>0</v>
      </c>
      <c r="D53" s="30">
        <f t="shared" si="94"/>
        <v>0</v>
      </c>
      <c r="E53" s="30">
        <f t="shared" si="95"/>
        <v>0</v>
      </c>
      <c r="F53" s="30">
        <f t="shared" si="96"/>
        <v>0</v>
      </c>
      <c r="G53" s="30">
        <f t="shared" si="97"/>
        <v>0</v>
      </c>
      <c r="H53" s="30">
        <f t="shared" si="98"/>
        <v>0</v>
      </c>
      <c r="I53" s="30">
        <f t="shared" si="99"/>
        <v>0</v>
      </c>
      <c r="J53" s="30">
        <f t="shared" si="100"/>
        <v>0</v>
      </c>
      <c r="K53" s="30">
        <f t="shared" si="101"/>
        <v>0</v>
      </c>
      <c r="L53" s="30">
        <f t="shared" si="102"/>
        <v>0</v>
      </c>
      <c r="M53" s="30">
        <f t="shared" si="103"/>
        <v>0</v>
      </c>
      <c r="N53" s="30">
        <f t="shared" si="104"/>
        <v>0</v>
      </c>
      <c r="O53" s="30">
        <f t="shared" si="105"/>
        <v>0</v>
      </c>
      <c r="P53" s="30">
        <f t="shared" si="106"/>
        <v>0</v>
      </c>
      <c r="Q53" s="30">
        <f t="shared" si="107"/>
        <v>0</v>
      </c>
      <c r="R53" s="30">
        <f t="shared" si="108"/>
        <v>0</v>
      </c>
      <c r="S53" s="30">
        <f t="shared" si="109"/>
        <v>0</v>
      </c>
      <c r="T53" s="30">
        <f t="shared" si="110"/>
        <v>0</v>
      </c>
      <c r="U53" s="30">
        <f t="shared" si="111"/>
        <v>0</v>
      </c>
      <c r="V53" s="30">
        <f t="shared" si="112"/>
        <v>0</v>
      </c>
    </row>
    <row r="54" ht="15">
      <c r="A54" s="8">
        <v>8</v>
      </c>
      <c r="B54" s="8" t="str">
        <f>IF(Input!$H$17="","",Input!$H$17)</f>
        <v/>
      </c>
      <c r="C54" s="30">
        <f t="shared" si="93"/>
        <v>0</v>
      </c>
      <c r="D54" s="30">
        <f t="shared" si="94"/>
        <v>0</v>
      </c>
      <c r="E54" s="30">
        <f t="shared" si="95"/>
        <v>0</v>
      </c>
      <c r="F54" s="30">
        <f t="shared" si="96"/>
        <v>0</v>
      </c>
      <c r="G54" s="30">
        <f t="shared" si="97"/>
        <v>0</v>
      </c>
      <c r="H54" s="30">
        <f t="shared" si="98"/>
        <v>0</v>
      </c>
      <c r="I54" s="30">
        <f t="shared" si="99"/>
        <v>0</v>
      </c>
      <c r="J54" s="30">
        <f t="shared" si="100"/>
        <v>0</v>
      </c>
      <c r="K54" s="30">
        <f t="shared" si="101"/>
        <v>0</v>
      </c>
      <c r="L54" s="30">
        <f t="shared" si="102"/>
        <v>0</v>
      </c>
      <c r="M54" s="30">
        <f t="shared" si="103"/>
        <v>0</v>
      </c>
      <c r="N54" s="30">
        <f t="shared" si="104"/>
        <v>0</v>
      </c>
      <c r="O54" s="30">
        <f t="shared" si="105"/>
        <v>0</v>
      </c>
      <c r="P54" s="30">
        <f t="shared" si="106"/>
        <v>0</v>
      </c>
      <c r="Q54" s="30">
        <f t="shared" si="107"/>
        <v>0</v>
      </c>
      <c r="R54" s="30">
        <f t="shared" si="108"/>
        <v>0</v>
      </c>
      <c r="S54" s="30">
        <f t="shared" si="109"/>
        <v>0</v>
      </c>
      <c r="T54" s="30">
        <f t="shared" si="110"/>
        <v>0</v>
      </c>
      <c r="U54" s="30">
        <f t="shared" si="111"/>
        <v>0</v>
      </c>
      <c r="V54" s="30">
        <f t="shared" si="112"/>
        <v>0</v>
      </c>
    </row>
    <row r="55" ht="15">
      <c r="A55" s="8">
        <v>9</v>
      </c>
      <c r="B55" s="8" t="str">
        <f>IF(Input!$H$18="","",Input!$H$18)</f>
        <v/>
      </c>
      <c r="C55" s="30">
        <f t="shared" si="93"/>
        <v>0</v>
      </c>
      <c r="D55" s="30">
        <f t="shared" si="94"/>
        <v>0</v>
      </c>
      <c r="E55" s="30">
        <f t="shared" si="95"/>
        <v>0</v>
      </c>
      <c r="F55" s="30">
        <f t="shared" si="96"/>
        <v>0</v>
      </c>
      <c r="G55" s="30">
        <f t="shared" si="97"/>
        <v>0</v>
      </c>
      <c r="H55" s="30">
        <f t="shared" si="98"/>
        <v>0</v>
      </c>
      <c r="I55" s="30">
        <f t="shared" si="99"/>
        <v>0</v>
      </c>
      <c r="J55" s="30">
        <f t="shared" si="100"/>
        <v>0</v>
      </c>
      <c r="K55" s="30">
        <f t="shared" si="101"/>
        <v>0</v>
      </c>
      <c r="L55" s="30">
        <f t="shared" si="102"/>
        <v>0</v>
      </c>
      <c r="M55" s="30">
        <f t="shared" si="103"/>
        <v>0</v>
      </c>
      <c r="N55" s="30">
        <f t="shared" si="104"/>
        <v>0</v>
      </c>
      <c r="O55" s="30">
        <f t="shared" si="105"/>
        <v>0</v>
      </c>
      <c r="P55" s="30">
        <f t="shared" si="106"/>
        <v>0</v>
      </c>
      <c r="Q55" s="30">
        <f t="shared" si="107"/>
        <v>0</v>
      </c>
      <c r="R55" s="30">
        <f t="shared" si="108"/>
        <v>0</v>
      </c>
      <c r="S55" s="30">
        <f t="shared" si="109"/>
        <v>0</v>
      </c>
      <c r="T55" s="30">
        <f t="shared" si="110"/>
        <v>0</v>
      </c>
      <c r="U55" s="30">
        <f t="shared" si="111"/>
        <v>0</v>
      </c>
      <c r="V55" s="30">
        <f t="shared" si="112"/>
        <v>0</v>
      </c>
    </row>
    <row r="56" ht="15">
      <c r="A56" s="8">
        <v>10</v>
      </c>
      <c r="B56" s="8" t="str">
        <f>IF(Input!$H$19="","",Input!$H$19)</f>
        <v/>
      </c>
      <c r="C56" s="30">
        <f t="shared" si="93"/>
        <v>0</v>
      </c>
      <c r="D56" s="30">
        <f t="shared" si="94"/>
        <v>0</v>
      </c>
      <c r="E56" s="30">
        <f t="shared" si="95"/>
        <v>0</v>
      </c>
      <c r="F56" s="30">
        <f t="shared" si="96"/>
        <v>0</v>
      </c>
      <c r="G56" s="30">
        <f t="shared" si="97"/>
        <v>0</v>
      </c>
      <c r="H56" s="30">
        <f t="shared" si="98"/>
        <v>0</v>
      </c>
      <c r="I56" s="30">
        <f t="shared" si="99"/>
        <v>0</v>
      </c>
      <c r="J56" s="30">
        <f t="shared" si="100"/>
        <v>0</v>
      </c>
      <c r="K56" s="30">
        <f t="shared" si="101"/>
        <v>0</v>
      </c>
      <c r="L56" s="30">
        <f t="shared" si="102"/>
        <v>0</v>
      </c>
      <c r="M56" s="30">
        <f t="shared" si="103"/>
        <v>0</v>
      </c>
      <c r="N56" s="30">
        <f t="shared" si="104"/>
        <v>0</v>
      </c>
      <c r="O56" s="30">
        <f t="shared" si="105"/>
        <v>0</v>
      </c>
      <c r="P56" s="30">
        <f t="shared" si="106"/>
        <v>0</v>
      </c>
      <c r="Q56" s="30">
        <f t="shared" si="107"/>
        <v>0</v>
      </c>
      <c r="R56" s="30">
        <f t="shared" si="108"/>
        <v>0</v>
      </c>
      <c r="S56" s="30">
        <f t="shared" si="109"/>
        <v>0</v>
      </c>
      <c r="T56" s="30">
        <f t="shared" si="110"/>
        <v>0</v>
      </c>
      <c r="U56" s="30">
        <f t="shared" si="111"/>
        <v>0</v>
      </c>
      <c r="V56" s="30">
        <f t="shared" si="112"/>
        <v>0</v>
      </c>
    </row>
    <row r="57" ht="15">
      <c r="A57" s="8">
        <v>11</v>
      </c>
      <c r="B57" s="8" t="str">
        <f>IF(Input!$H$20="","",Input!$H$20)</f>
        <v/>
      </c>
      <c r="C57" s="30">
        <f t="shared" si="93"/>
        <v>0</v>
      </c>
      <c r="D57" s="30">
        <f t="shared" si="94"/>
        <v>0</v>
      </c>
      <c r="E57" s="30">
        <f t="shared" si="95"/>
        <v>0</v>
      </c>
      <c r="F57" s="30">
        <f t="shared" si="96"/>
        <v>0</v>
      </c>
      <c r="G57" s="30">
        <f t="shared" si="97"/>
        <v>0</v>
      </c>
      <c r="H57" s="30">
        <f t="shared" si="98"/>
        <v>0</v>
      </c>
      <c r="I57" s="30">
        <f t="shared" si="99"/>
        <v>0</v>
      </c>
      <c r="J57" s="30">
        <f t="shared" si="100"/>
        <v>0</v>
      </c>
      <c r="K57" s="30">
        <f t="shared" si="101"/>
        <v>0</v>
      </c>
      <c r="L57" s="30">
        <f t="shared" si="102"/>
        <v>0</v>
      </c>
      <c r="M57" s="30">
        <f t="shared" si="103"/>
        <v>0</v>
      </c>
      <c r="N57" s="30">
        <f t="shared" si="104"/>
        <v>0</v>
      </c>
      <c r="O57" s="30">
        <f t="shared" si="105"/>
        <v>0</v>
      </c>
      <c r="P57" s="30">
        <f t="shared" si="106"/>
        <v>0</v>
      </c>
      <c r="Q57" s="30">
        <f t="shared" si="107"/>
        <v>0</v>
      </c>
      <c r="R57" s="30">
        <f t="shared" si="108"/>
        <v>0</v>
      </c>
      <c r="S57" s="30">
        <f t="shared" si="109"/>
        <v>0</v>
      </c>
      <c r="T57" s="30">
        <f t="shared" si="110"/>
        <v>0</v>
      </c>
      <c r="U57" s="30">
        <f t="shared" si="111"/>
        <v>0</v>
      </c>
      <c r="V57" s="30">
        <f t="shared" si="112"/>
        <v>0</v>
      </c>
    </row>
    <row r="58" ht="15">
      <c r="A58" s="8">
        <v>12</v>
      </c>
      <c r="B58" s="8" t="str">
        <f>IF(Input!$H$21="","",Input!$H$21)</f>
        <v/>
      </c>
      <c r="C58" s="30">
        <f t="shared" si="93"/>
        <v>0</v>
      </c>
      <c r="D58" s="30">
        <f t="shared" si="94"/>
        <v>0</v>
      </c>
      <c r="E58" s="30">
        <f t="shared" si="95"/>
        <v>0</v>
      </c>
      <c r="F58" s="30">
        <f t="shared" si="96"/>
        <v>0</v>
      </c>
      <c r="G58" s="30">
        <f t="shared" si="97"/>
        <v>0</v>
      </c>
      <c r="H58" s="30">
        <f t="shared" si="98"/>
        <v>0</v>
      </c>
      <c r="I58" s="30">
        <f t="shared" si="99"/>
        <v>0</v>
      </c>
      <c r="J58" s="30">
        <f t="shared" si="100"/>
        <v>0</v>
      </c>
      <c r="K58" s="30">
        <f t="shared" si="101"/>
        <v>0</v>
      </c>
      <c r="L58" s="30">
        <f t="shared" si="102"/>
        <v>0</v>
      </c>
      <c r="M58" s="30">
        <f t="shared" si="103"/>
        <v>0</v>
      </c>
      <c r="N58" s="30">
        <f t="shared" si="104"/>
        <v>0</v>
      </c>
      <c r="O58" s="30">
        <f t="shared" si="105"/>
        <v>0</v>
      </c>
      <c r="P58" s="30">
        <f t="shared" si="106"/>
        <v>0</v>
      </c>
      <c r="Q58" s="30">
        <f t="shared" si="107"/>
        <v>0</v>
      </c>
      <c r="R58" s="30">
        <f t="shared" si="108"/>
        <v>0</v>
      </c>
      <c r="S58" s="30">
        <f t="shared" si="109"/>
        <v>0</v>
      </c>
      <c r="T58" s="30">
        <f t="shared" si="110"/>
        <v>0</v>
      </c>
      <c r="U58" s="30">
        <f t="shared" si="111"/>
        <v>0</v>
      </c>
      <c r="V58" s="30">
        <f t="shared" si="112"/>
        <v>0</v>
      </c>
    </row>
    <row r="59" ht="15">
      <c r="A59" s="8">
        <v>13</v>
      </c>
      <c r="B59" s="8" t="str">
        <f>IF(Input!$H$22="","",Input!$H$22)</f>
        <v/>
      </c>
      <c r="C59" s="30">
        <f t="shared" si="93"/>
        <v>0</v>
      </c>
      <c r="D59" s="30">
        <f t="shared" si="94"/>
        <v>0</v>
      </c>
      <c r="E59" s="30">
        <f t="shared" si="95"/>
        <v>0</v>
      </c>
      <c r="F59" s="30">
        <f t="shared" si="96"/>
        <v>0</v>
      </c>
      <c r="G59" s="30">
        <f t="shared" si="97"/>
        <v>0</v>
      </c>
      <c r="H59" s="30">
        <f t="shared" si="98"/>
        <v>0</v>
      </c>
      <c r="I59" s="30">
        <f t="shared" si="99"/>
        <v>0</v>
      </c>
      <c r="J59" s="30">
        <f t="shared" si="100"/>
        <v>0</v>
      </c>
      <c r="K59" s="30">
        <f t="shared" si="101"/>
        <v>0</v>
      </c>
      <c r="L59" s="30">
        <f t="shared" si="102"/>
        <v>0</v>
      </c>
      <c r="M59" s="30">
        <f t="shared" si="103"/>
        <v>0</v>
      </c>
      <c r="N59" s="30">
        <f t="shared" si="104"/>
        <v>0</v>
      </c>
      <c r="O59" s="30">
        <f t="shared" si="105"/>
        <v>0</v>
      </c>
      <c r="P59" s="30">
        <f t="shared" si="106"/>
        <v>0</v>
      </c>
      <c r="Q59" s="30">
        <f t="shared" si="107"/>
        <v>0</v>
      </c>
      <c r="R59" s="30">
        <f t="shared" si="108"/>
        <v>0</v>
      </c>
      <c r="S59" s="30">
        <f t="shared" si="109"/>
        <v>0</v>
      </c>
      <c r="T59" s="30">
        <f t="shared" si="110"/>
        <v>0</v>
      </c>
      <c r="U59" s="30">
        <f t="shared" si="111"/>
        <v>0</v>
      </c>
      <c r="V59" s="30">
        <f t="shared" si="112"/>
        <v>0</v>
      </c>
    </row>
    <row r="60" ht="15">
      <c r="A60" s="8">
        <v>14</v>
      </c>
      <c r="B60" s="8" t="str">
        <f>IF(Input!$H$23="","",Input!$H$23)</f>
        <v/>
      </c>
      <c r="C60" s="30">
        <f t="shared" si="93"/>
        <v>0</v>
      </c>
      <c r="D60" s="30">
        <f t="shared" si="94"/>
        <v>0</v>
      </c>
      <c r="E60" s="30">
        <f t="shared" si="95"/>
        <v>0</v>
      </c>
      <c r="F60" s="30">
        <f t="shared" si="96"/>
        <v>0</v>
      </c>
      <c r="G60" s="30">
        <f t="shared" si="97"/>
        <v>0</v>
      </c>
      <c r="H60" s="30">
        <f t="shared" si="98"/>
        <v>0</v>
      </c>
      <c r="I60" s="30">
        <f t="shared" si="99"/>
        <v>0</v>
      </c>
      <c r="J60" s="30">
        <f t="shared" si="100"/>
        <v>0</v>
      </c>
      <c r="K60" s="30">
        <f t="shared" si="101"/>
        <v>0</v>
      </c>
      <c r="L60" s="30">
        <f t="shared" si="102"/>
        <v>0</v>
      </c>
      <c r="M60" s="30">
        <f t="shared" si="103"/>
        <v>0</v>
      </c>
      <c r="N60" s="30">
        <f t="shared" si="104"/>
        <v>0</v>
      </c>
      <c r="O60" s="30">
        <f t="shared" si="105"/>
        <v>0</v>
      </c>
      <c r="P60" s="30">
        <f t="shared" si="106"/>
        <v>0</v>
      </c>
      <c r="Q60" s="30">
        <f t="shared" si="107"/>
        <v>0</v>
      </c>
      <c r="R60" s="30">
        <f t="shared" si="108"/>
        <v>0</v>
      </c>
      <c r="S60" s="30">
        <f t="shared" si="109"/>
        <v>0</v>
      </c>
      <c r="T60" s="30">
        <f t="shared" si="110"/>
        <v>0</v>
      </c>
      <c r="U60" s="30">
        <f t="shared" si="111"/>
        <v>0</v>
      </c>
      <c r="V60" s="30">
        <f t="shared" si="112"/>
        <v>0</v>
      </c>
    </row>
    <row r="61" ht="15">
      <c r="A61" s="8">
        <v>15</v>
      </c>
      <c r="B61" s="8" t="str">
        <f>IF(Input!$H$24="","",Input!$H$24)</f>
        <v/>
      </c>
      <c r="C61" s="30">
        <f t="shared" si="93"/>
        <v>0</v>
      </c>
      <c r="D61" s="30">
        <f t="shared" si="94"/>
        <v>0</v>
      </c>
      <c r="E61" s="30">
        <f t="shared" si="95"/>
        <v>0</v>
      </c>
      <c r="F61" s="30">
        <f t="shared" si="96"/>
        <v>0</v>
      </c>
      <c r="G61" s="30">
        <f t="shared" si="97"/>
        <v>0</v>
      </c>
      <c r="H61" s="30">
        <f t="shared" si="98"/>
        <v>0</v>
      </c>
      <c r="I61" s="30">
        <f t="shared" si="99"/>
        <v>0</v>
      </c>
      <c r="J61" s="30">
        <f t="shared" si="100"/>
        <v>0</v>
      </c>
      <c r="K61" s="30">
        <f t="shared" si="101"/>
        <v>0</v>
      </c>
      <c r="L61" s="30">
        <f t="shared" si="102"/>
        <v>0</v>
      </c>
      <c r="M61" s="30">
        <f t="shared" si="103"/>
        <v>0</v>
      </c>
      <c r="N61" s="30">
        <f t="shared" si="104"/>
        <v>0</v>
      </c>
      <c r="O61" s="30">
        <f t="shared" si="105"/>
        <v>0</v>
      </c>
      <c r="P61" s="30">
        <f t="shared" si="106"/>
        <v>0</v>
      </c>
      <c r="Q61" s="30">
        <f t="shared" si="107"/>
        <v>0</v>
      </c>
      <c r="R61" s="30">
        <f t="shared" si="108"/>
        <v>0</v>
      </c>
      <c r="S61" s="30">
        <f t="shared" si="109"/>
        <v>0</v>
      </c>
      <c r="T61" s="30">
        <f t="shared" si="110"/>
        <v>0</v>
      </c>
      <c r="U61" s="30">
        <f t="shared" si="111"/>
        <v>0</v>
      </c>
      <c r="V61" s="30">
        <f t="shared" si="112"/>
        <v>0</v>
      </c>
    </row>
    <row r="62" ht="15">
      <c r="A62" s="8">
        <v>16</v>
      </c>
      <c r="B62" s="8" t="str">
        <f>IF(Input!$H$25="","",Input!$H$25)</f>
        <v/>
      </c>
      <c r="C62" s="30">
        <f t="shared" si="93"/>
        <v>0</v>
      </c>
      <c r="D62" s="30">
        <f t="shared" si="94"/>
        <v>0</v>
      </c>
      <c r="E62" s="30">
        <f t="shared" si="95"/>
        <v>0</v>
      </c>
      <c r="F62" s="30">
        <f t="shared" si="96"/>
        <v>0</v>
      </c>
      <c r="G62" s="30">
        <f t="shared" si="97"/>
        <v>0</v>
      </c>
      <c r="H62" s="30">
        <f t="shared" si="98"/>
        <v>0</v>
      </c>
      <c r="I62" s="30">
        <f t="shared" si="99"/>
        <v>0</v>
      </c>
      <c r="J62" s="30">
        <f t="shared" si="100"/>
        <v>0</v>
      </c>
      <c r="K62" s="30">
        <f t="shared" si="101"/>
        <v>0</v>
      </c>
      <c r="L62" s="30">
        <f t="shared" si="102"/>
        <v>0</v>
      </c>
      <c r="M62" s="30">
        <f t="shared" si="103"/>
        <v>0</v>
      </c>
      <c r="N62" s="30">
        <f t="shared" si="104"/>
        <v>0</v>
      </c>
      <c r="O62" s="30">
        <f t="shared" si="105"/>
        <v>0</v>
      </c>
      <c r="P62" s="30">
        <f t="shared" si="106"/>
        <v>0</v>
      </c>
      <c r="Q62" s="30">
        <f t="shared" si="107"/>
        <v>0</v>
      </c>
      <c r="R62" s="30">
        <f t="shared" si="108"/>
        <v>0</v>
      </c>
      <c r="S62" s="30">
        <f t="shared" si="109"/>
        <v>0</v>
      </c>
      <c r="T62" s="30">
        <f t="shared" si="110"/>
        <v>0</v>
      </c>
      <c r="U62" s="30">
        <f t="shared" si="111"/>
        <v>0</v>
      </c>
      <c r="V62" s="30">
        <f t="shared" si="112"/>
        <v>0</v>
      </c>
    </row>
    <row r="63" ht="15">
      <c r="A63" s="8">
        <v>17</v>
      </c>
      <c r="B63" s="8" t="str">
        <f>IF(Input!$H$26="","",Input!$H$26)</f>
        <v/>
      </c>
      <c r="C63" s="30">
        <f t="shared" si="93"/>
        <v>0</v>
      </c>
      <c r="D63" s="30">
        <f t="shared" si="94"/>
        <v>0</v>
      </c>
      <c r="E63" s="30">
        <f t="shared" si="95"/>
        <v>0</v>
      </c>
      <c r="F63" s="30">
        <f t="shared" si="96"/>
        <v>0</v>
      </c>
      <c r="G63" s="30">
        <f t="shared" si="97"/>
        <v>0</v>
      </c>
      <c r="H63" s="30">
        <f t="shared" si="98"/>
        <v>0</v>
      </c>
      <c r="I63" s="30">
        <f t="shared" si="99"/>
        <v>0</v>
      </c>
      <c r="J63" s="30">
        <f t="shared" si="100"/>
        <v>0</v>
      </c>
      <c r="K63" s="30">
        <f t="shared" si="101"/>
        <v>0</v>
      </c>
      <c r="L63" s="30">
        <f t="shared" si="102"/>
        <v>0</v>
      </c>
      <c r="M63" s="30">
        <f t="shared" si="103"/>
        <v>0</v>
      </c>
      <c r="N63" s="30">
        <f t="shared" si="104"/>
        <v>0</v>
      </c>
      <c r="O63" s="30">
        <f t="shared" si="105"/>
        <v>0</v>
      </c>
      <c r="P63" s="30">
        <f t="shared" si="106"/>
        <v>0</v>
      </c>
      <c r="Q63" s="30">
        <f t="shared" si="107"/>
        <v>0</v>
      </c>
      <c r="R63" s="30">
        <f t="shared" si="108"/>
        <v>0</v>
      </c>
      <c r="S63" s="30">
        <f t="shared" si="109"/>
        <v>0</v>
      </c>
      <c r="T63" s="30">
        <f t="shared" si="110"/>
        <v>0</v>
      </c>
      <c r="U63" s="30">
        <f t="shared" si="111"/>
        <v>0</v>
      </c>
      <c r="V63" s="30">
        <f t="shared" si="112"/>
        <v>0</v>
      </c>
    </row>
    <row r="64" ht="15">
      <c r="A64" s="8">
        <v>18</v>
      </c>
      <c r="B64" s="8" t="str">
        <f>IF(Input!$H$27="","",Input!$H$27)</f>
        <v/>
      </c>
      <c r="C64" s="30">
        <f t="shared" si="93"/>
        <v>0</v>
      </c>
      <c r="D64" s="30">
        <f t="shared" si="94"/>
        <v>0</v>
      </c>
      <c r="E64" s="30">
        <f t="shared" si="95"/>
        <v>0</v>
      </c>
      <c r="F64" s="30">
        <f t="shared" si="96"/>
        <v>0</v>
      </c>
      <c r="G64" s="30">
        <f t="shared" si="97"/>
        <v>0</v>
      </c>
      <c r="H64" s="30">
        <f t="shared" si="98"/>
        <v>0</v>
      </c>
      <c r="I64" s="30">
        <f t="shared" si="99"/>
        <v>0</v>
      </c>
      <c r="J64" s="30">
        <f t="shared" si="100"/>
        <v>0</v>
      </c>
      <c r="K64" s="30">
        <f t="shared" si="101"/>
        <v>0</v>
      </c>
      <c r="L64" s="30">
        <f t="shared" si="102"/>
        <v>0</v>
      </c>
      <c r="M64" s="30">
        <f t="shared" si="103"/>
        <v>0</v>
      </c>
      <c r="N64" s="30">
        <f t="shared" si="104"/>
        <v>0</v>
      </c>
      <c r="O64" s="30">
        <f t="shared" si="105"/>
        <v>0</v>
      </c>
      <c r="P64" s="30">
        <f t="shared" si="106"/>
        <v>0</v>
      </c>
      <c r="Q64" s="30">
        <f t="shared" si="107"/>
        <v>0</v>
      </c>
      <c r="R64" s="30">
        <f t="shared" si="108"/>
        <v>0</v>
      </c>
      <c r="S64" s="30">
        <f t="shared" si="109"/>
        <v>0</v>
      </c>
      <c r="T64" s="30">
        <f t="shared" si="110"/>
        <v>0</v>
      </c>
      <c r="U64" s="30">
        <f t="shared" si="111"/>
        <v>0</v>
      </c>
      <c r="V64" s="30">
        <f t="shared" si="112"/>
        <v>0</v>
      </c>
    </row>
    <row r="65" ht="15">
      <c r="A65" s="8">
        <v>19</v>
      </c>
      <c r="B65" s="8" t="str">
        <f>IF(Input!$H$28="","",Input!$H$28)</f>
        <v/>
      </c>
      <c r="C65" s="30">
        <f t="shared" si="93"/>
        <v>0</v>
      </c>
      <c r="D65" s="30">
        <f t="shared" si="94"/>
        <v>0</v>
      </c>
      <c r="E65" s="30">
        <f t="shared" si="95"/>
        <v>0</v>
      </c>
      <c r="F65" s="30">
        <f t="shared" si="96"/>
        <v>0</v>
      </c>
      <c r="G65" s="30">
        <f t="shared" si="97"/>
        <v>0</v>
      </c>
      <c r="H65" s="30">
        <f t="shared" si="98"/>
        <v>0</v>
      </c>
      <c r="I65" s="30">
        <f t="shared" si="99"/>
        <v>0</v>
      </c>
      <c r="J65" s="30">
        <f t="shared" si="100"/>
        <v>0</v>
      </c>
      <c r="K65" s="30">
        <f t="shared" si="101"/>
        <v>0</v>
      </c>
      <c r="L65" s="30">
        <f t="shared" si="102"/>
        <v>0</v>
      </c>
      <c r="M65" s="30">
        <f t="shared" si="103"/>
        <v>0</v>
      </c>
      <c r="N65" s="30">
        <f t="shared" si="104"/>
        <v>0</v>
      </c>
      <c r="O65" s="30">
        <f t="shared" si="105"/>
        <v>0</v>
      </c>
      <c r="P65" s="30">
        <f t="shared" si="106"/>
        <v>0</v>
      </c>
      <c r="Q65" s="30">
        <f t="shared" si="107"/>
        <v>0</v>
      </c>
      <c r="R65" s="30">
        <f t="shared" si="108"/>
        <v>0</v>
      </c>
      <c r="S65" s="30">
        <f t="shared" si="109"/>
        <v>0</v>
      </c>
      <c r="T65" s="30">
        <f t="shared" si="110"/>
        <v>0</v>
      </c>
      <c r="U65" s="30">
        <f t="shared" si="111"/>
        <v>0</v>
      </c>
      <c r="V65" s="30">
        <f t="shared" si="112"/>
        <v>0</v>
      </c>
    </row>
    <row r="66" ht="15">
      <c r="A66" s="8">
        <v>20</v>
      </c>
      <c r="B66" s="8" t="str">
        <f>IF(Input!$H$29="","",Input!$H$29)</f>
        <v/>
      </c>
      <c r="C66" s="30">
        <f t="shared" si="93"/>
        <v>0</v>
      </c>
      <c r="D66" s="30">
        <f t="shared" si="94"/>
        <v>0</v>
      </c>
      <c r="E66" s="30">
        <f t="shared" si="95"/>
        <v>0</v>
      </c>
      <c r="F66" s="30">
        <f t="shared" si="96"/>
        <v>0</v>
      </c>
      <c r="G66" s="30">
        <f t="shared" si="97"/>
        <v>0</v>
      </c>
      <c r="H66" s="30">
        <f t="shared" si="98"/>
        <v>0</v>
      </c>
      <c r="I66" s="30">
        <f t="shared" si="99"/>
        <v>0</v>
      </c>
      <c r="J66" s="30">
        <f t="shared" si="100"/>
        <v>0</v>
      </c>
      <c r="K66" s="30">
        <f t="shared" si="101"/>
        <v>0</v>
      </c>
      <c r="L66" s="30">
        <f t="shared" si="102"/>
        <v>0</v>
      </c>
      <c r="M66" s="30">
        <f t="shared" si="103"/>
        <v>0</v>
      </c>
      <c r="N66" s="30">
        <f t="shared" si="104"/>
        <v>0</v>
      </c>
      <c r="O66" s="30">
        <f t="shared" si="105"/>
        <v>0</v>
      </c>
      <c r="P66" s="30">
        <f t="shared" si="106"/>
        <v>0</v>
      </c>
      <c r="Q66" s="30">
        <f t="shared" si="107"/>
        <v>0</v>
      </c>
      <c r="R66" s="30">
        <f t="shared" si="108"/>
        <v>0</v>
      </c>
      <c r="S66" s="30">
        <f t="shared" si="109"/>
        <v>0</v>
      </c>
      <c r="T66" s="30">
        <f t="shared" si="110"/>
        <v>0</v>
      </c>
      <c r="U66" s="30">
        <f t="shared" si="111"/>
        <v>0</v>
      </c>
      <c r="V66" s="30">
        <f t="shared" si="112"/>
        <v>0</v>
      </c>
    </row>
    <row r="69" ht="15">
      <c r="A69" s="3" t="s">
        <v>132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">
      <c r="A70" s="8" t="s">
        <v>126</v>
      </c>
      <c r="B70" s="8" t="s">
        <v>127</v>
      </c>
      <c r="C70" s="8">
        <v>1</v>
      </c>
      <c r="D70" s="8">
        <v>2</v>
      </c>
      <c r="E70" s="8">
        <v>3</v>
      </c>
      <c r="F70" s="8">
        <v>4</v>
      </c>
      <c r="G70" s="8">
        <v>5</v>
      </c>
      <c r="H70" s="8">
        <v>6</v>
      </c>
      <c r="I70" s="8">
        <v>7</v>
      </c>
      <c r="J70" s="8">
        <v>8</v>
      </c>
      <c r="K70" s="8">
        <v>9</v>
      </c>
      <c r="L70" s="8">
        <v>10</v>
      </c>
      <c r="M70" s="8">
        <v>11</v>
      </c>
      <c r="N70" s="8">
        <v>12</v>
      </c>
      <c r="O70" s="8">
        <v>13</v>
      </c>
      <c r="P70" s="8">
        <v>14</v>
      </c>
      <c r="Q70" s="8">
        <v>15</v>
      </c>
      <c r="R70" s="8">
        <v>16</v>
      </c>
      <c r="S70" s="8">
        <v>17</v>
      </c>
      <c r="T70" s="8">
        <v>18</v>
      </c>
      <c r="U70" s="8">
        <v>19</v>
      </c>
      <c r="V70" s="8">
        <v>20</v>
      </c>
    </row>
    <row r="71" ht="15">
      <c r="A71" s="8"/>
      <c r="B71" s="8"/>
      <c r="C71" s="8" t="str">
        <f>IF(Input!$H$10="","",Input!$H$10)</f>
        <v>K1</v>
      </c>
      <c r="D71" s="8" t="str">
        <f>IF(Input!$H$11="","",Input!$H$11)</f>
        <v>K2</v>
      </c>
      <c r="E71" s="8" t="str">
        <f>IF(Input!$H$12="","",Input!$H$12)</f>
        <v>K3</v>
      </c>
      <c r="F71" s="8" t="str">
        <f>IF(Input!$H$13="","",Input!$H$13)</f>
        <v>K4</v>
      </c>
      <c r="G71" s="8" t="str">
        <f>IF(Input!$H$14="","",Input!$H$14)</f>
        <v>K5</v>
      </c>
      <c r="H71" s="8" t="str">
        <f>IF(Input!$H$15="","",Input!$H$15)</f>
        <v/>
      </c>
      <c r="I71" s="8" t="str">
        <f>IF(Input!$H$16="","",Input!$H$16)</f>
        <v/>
      </c>
      <c r="J71" s="8" t="str">
        <f>IF(Input!$H$17="","",Input!$H$17)</f>
        <v/>
      </c>
      <c r="K71" s="8" t="str">
        <f>IF(Input!$H$18="","",Input!$H$18)</f>
        <v/>
      </c>
      <c r="L71" s="8" t="str">
        <f>IF(Input!$H$19="","",Input!$H$19)</f>
        <v/>
      </c>
      <c r="M71" s="8" t="str">
        <f>IF(Input!$H$20="","",Input!$H$20)</f>
        <v/>
      </c>
      <c r="N71" s="8" t="str">
        <f>IF(Input!$H$21="","",Input!$H$21)</f>
        <v/>
      </c>
      <c r="O71" s="8" t="str">
        <f>IF(Input!$H$22="","",Input!$H$22)</f>
        <v/>
      </c>
      <c r="P71" s="8" t="str">
        <f>IF(Input!$H$23="","",Input!$H$23)</f>
        <v/>
      </c>
      <c r="Q71" s="8" t="str">
        <f>IF(Input!$H$24="","",Input!$H$24)</f>
        <v/>
      </c>
      <c r="R71" s="8" t="str">
        <f>IF(Input!$H$25="","",Input!$H$25)</f>
        <v/>
      </c>
      <c r="S71" s="8" t="str">
        <f>IF(Input!$H$26="","",Input!$H$26)</f>
        <v/>
      </c>
      <c r="T71" s="8" t="str">
        <f>IF(Input!$H$27="","",Input!$H$27)</f>
        <v/>
      </c>
      <c r="U71" s="8" t="str">
        <f>IF(Input!$H$28="","",Input!$H$28)</f>
        <v/>
      </c>
      <c r="V71" s="8" t="str">
        <f>IF(Input!$H$29="","",Input!$H$29)</f>
        <v/>
      </c>
    </row>
    <row r="72" ht="15">
      <c r="A72" s="8">
        <v>1</v>
      </c>
      <c r="B72" s="8" t="str">
        <f>IF(Input!$H$10="","",Input!$H$10)</f>
        <v>K1</v>
      </c>
      <c r="C72" s="30">
        <f>IF($A72=C$70,0,IF(Input!$H$5="Nominal",1,(SUM(INDEX($W$21:$W$40,MIN($A72,C$70)):INDEX($W$21:$W$40,MAX($A72,C$70)))-(INDEX($W$21:$W$40,$A72)+INDEX($W$21:$W$40,C$70))/2)^2))</f>
        <v>0</v>
      </c>
      <c r="D72" s="30">
        <f>IF($A72=D$70,0,IF(Input!$H$5="Nominal",1,(SUM(INDEX($W$21:$W$40,MIN($A72,D$70)):INDEX($W$21:$W$40,MAX($A72,D$70)))-(INDEX($W$21:$W$40,$A72)+INDEX($W$21:$W$40,D$70))/2)^2))</f>
        <v>1</v>
      </c>
      <c r="E72" s="30">
        <f>IF($A72=E$70,0,IF(Input!$H$5="Nominal",1,(SUM(INDEX($W$21:$W$40,MIN($A72,E$70)):INDEX($W$21:$W$40,MAX($A72,E$70)))-(INDEX($W$21:$W$40,$A72)+INDEX($W$21:$W$40,E$70))/2)^2))</f>
        <v>1</v>
      </c>
      <c r="F72" s="30">
        <f>IF($A72=F$70,0,IF(Input!$H$5="Nominal",1,(SUM(INDEX($W$21:$W$40,MIN($A72,F$70)):INDEX($W$21:$W$40,MAX($A72,F$70)))-(INDEX($W$21:$W$40,$A72)+INDEX($W$21:$W$40,F$70))/2)^2))</f>
        <v>1</v>
      </c>
      <c r="G72" s="30">
        <f>IF($A72=G$70,0,IF(Input!$H$5="Nominal",1,(SUM(INDEX($W$21:$W$40,MIN($A72,G$70)):INDEX($W$21:$W$40,MAX($A72,G$70)))-(INDEX($W$21:$W$40,$A72)+INDEX($W$21:$W$40,G$70))/2)^2))</f>
        <v>1</v>
      </c>
      <c r="H72" s="30">
        <f>IF($A72=H$70,0,IF(Input!$H$5="Nominal",1,(SUM(INDEX($W$21:$W$40,MIN($A72,H$70)):INDEX($W$21:$W$40,MAX($A72,H$70)))-(INDEX($W$21:$W$40,$A72)+INDEX($W$21:$W$40,H$70))/2)^2))</f>
        <v>1</v>
      </c>
      <c r="I72" s="30">
        <f>IF($A72=I$70,0,IF(Input!$H$5="Nominal",1,(SUM(INDEX($W$21:$W$40,MIN($A72,I$70)):INDEX($W$21:$W$40,MAX($A72,I$70)))-(INDEX($W$21:$W$40,$A72)+INDEX($W$21:$W$40,I$70))/2)^2))</f>
        <v>1</v>
      </c>
      <c r="J72" s="30">
        <f>IF($A72=J$70,0,IF(Input!$H$5="Nominal",1,(SUM(INDEX($W$21:$W$40,MIN($A72,J$70)):INDEX($W$21:$W$40,MAX($A72,J$70)))-(INDEX($W$21:$W$40,$A72)+INDEX($W$21:$W$40,J$70))/2)^2))</f>
        <v>1</v>
      </c>
      <c r="K72" s="30">
        <f>IF($A72=K$70,0,IF(Input!$H$5="Nominal",1,(SUM(INDEX($W$21:$W$40,MIN($A72,K$70)):INDEX($W$21:$W$40,MAX($A72,K$70)))-(INDEX($W$21:$W$40,$A72)+INDEX($W$21:$W$40,K$70))/2)^2))</f>
        <v>1</v>
      </c>
      <c r="L72" s="30">
        <f>IF($A72=L$70,0,IF(Input!$H$5="Nominal",1,(SUM(INDEX($W$21:$W$40,MIN($A72,L$70)):INDEX($W$21:$W$40,MAX($A72,L$70)))-(INDEX($W$21:$W$40,$A72)+INDEX($W$21:$W$40,L$70))/2)^2))</f>
        <v>1</v>
      </c>
      <c r="M72" s="30">
        <f>IF($A72=M$70,0,IF(Input!$H$5="Nominal",1,(SUM(INDEX($W$21:$W$40,MIN($A72,M$70)):INDEX($W$21:$W$40,MAX($A72,M$70)))-(INDEX($W$21:$W$40,$A72)+INDEX($W$21:$W$40,M$70))/2)^2))</f>
        <v>1</v>
      </c>
      <c r="N72" s="30">
        <f>IF($A72=N$70,0,IF(Input!$H$5="Nominal",1,(SUM(INDEX($W$21:$W$40,MIN($A72,N$70)):INDEX($W$21:$W$40,MAX($A72,N$70)))-(INDEX($W$21:$W$40,$A72)+INDEX($W$21:$W$40,N$70))/2)^2))</f>
        <v>1</v>
      </c>
      <c r="O72" s="30">
        <f>IF($A72=O$70,0,IF(Input!$H$5="Nominal",1,(SUM(INDEX($W$21:$W$40,MIN($A72,O$70)):INDEX($W$21:$W$40,MAX($A72,O$70)))-(INDEX($W$21:$W$40,$A72)+INDEX($W$21:$W$40,O$70))/2)^2))</f>
        <v>1</v>
      </c>
      <c r="P72" s="30">
        <f>IF($A72=P$70,0,IF(Input!$H$5="Nominal",1,(SUM(INDEX($W$21:$W$40,MIN($A72,P$70)):INDEX($W$21:$W$40,MAX($A72,P$70)))-(INDEX($W$21:$W$40,$A72)+INDEX($W$21:$W$40,P$70))/2)^2))</f>
        <v>1</v>
      </c>
      <c r="Q72" s="30">
        <f>IF($A72=Q$70,0,IF(Input!$H$5="Nominal",1,(SUM(INDEX($W$21:$W$40,MIN($A72,Q$70)):INDEX($W$21:$W$40,MAX($A72,Q$70)))-(INDEX($W$21:$W$40,$A72)+INDEX($W$21:$W$40,Q$70))/2)^2))</f>
        <v>1</v>
      </c>
      <c r="R72" s="30">
        <f>IF($A72=R$70,0,IF(Input!$H$5="Nominal",1,(SUM(INDEX($W$21:$W$40,MIN($A72,R$70)):INDEX($W$21:$W$40,MAX($A72,R$70)))-(INDEX($W$21:$W$40,$A72)+INDEX($W$21:$W$40,R$70))/2)^2))</f>
        <v>1</v>
      </c>
      <c r="S72" s="30">
        <f>IF($A72=S$70,0,IF(Input!$H$5="Nominal",1,(SUM(INDEX($W$21:$W$40,MIN($A72,S$70)):INDEX($W$21:$W$40,MAX($A72,S$70)))-(INDEX($W$21:$W$40,$A72)+INDEX($W$21:$W$40,S$70))/2)^2))</f>
        <v>1</v>
      </c>
      <c r="T72" s="30">
        <f>IF($A72=T$70,0,IF(Input!$H$5="Nominal",1,(SUM(INDEX($W$21:$W$40,MIN($A72,T$70)):INDEX($W$21:$W$40,MAX($A72,T$70)))-(INDEX($W$21:$W$40,$A72)+INDEX($W$21:$W$40,T$70))/2)^2))</f>
        <v>1</v>
      </c>
      <c r="U72" s="30">
        <f>IF($A72=U$70,0,IF(Input!$H$5="Nominal",1,(SUM(INDEX($W$21:$W$40,MIN($A72,U$70)):INDEX($W$21:$W$40,MAX($A72,U$70)))-(INDEX($W$21:$W$40,$A72)+INDEX($W$21:$W$40,U$70))/2)^2))</f>
        <v>1</v>
      </c>
      <c r="V72" s="30">
        <f>IF($A72=V$70,0,IF(Input!$H$5="Nominal",1,(SUM(INDEX($W$21:$W$40,MIN($A72,V$70)):INDEX($W$21:$W$40,MAX($A72,V$70)))-(INDEX($W$21:$W$40,$A72)+INDEX($W$21:$W$40,V$70))/2)^2))</f>
        <v>1</v>
      </c>
    </row>
    <row r="73" ht="15">
      <c r="A73" s="8">
        <v>2</v>
      </c>
      <c r="B73" s="8" t="str">
        <f>IF(Input!$H$11="","",Input!$H$11)</f>
        <v>K2</v>
      </c>
      <c r="C73" s="30">
        <f>IF($A73=C$70,0,IF(Input!$H$5="Nominal",1,(SUM(INDEX($W$21:$W$40,MIN($A73,C$70)):INDEX($W$21:$W$40,MAX($A73,C$70)))-(INDEX($W$21:$W$40,$A73)+INDEX($W$21:$W$40,C$70))/2)^2))</f>
        <v>1</v>
      </c>
      <c r="D73" s="30">
        <f>IF($A73=D$70,0,IF(Input!$H$5="Nominal",1,(SUM(INDEX($W$21:$W$40,MIN($A73,D$70)):INDEX($W$21:$W$40,MAX($A73,D$70)))-(INDEX($W$21:$W$40,$A73)+INDEX($W$21:$W$40,D$70))/2)^2))</f>
        <v>0</v>
      </c>
      <c r="E73" s="30">
        <f>IF($A73=E$70,0,IF(Input!$H$5="Nominal",1,(SUM(INDEX($W$21:$W$40,MIN($A73,E$70)):INDEX($W$21:$W$40,MAX($A73,E$70)))-(INDEX($W$21:$W$40,$A73)+INDEX($W$21:$W$40,E$70))/2)^2))</f>
        <v>1</v>
      </c>
      <c r="F73" s="30">
        <f>IF($A73=F$70,0,IF(Input!$H$5="Nominal",1,(SUM(INDEX($W$21:$W$40,MIN($A73,F$70)):INDEX($W$21:$W$40,MAX($A73,F$70)))-(INDEX($W$21:$W$40,$A73)+INDEX($W$21:$W$40,F$70))/2)^2))</f>
        <v>1</v>
      </c>
      <c r="G73" s="30">
        <f>IF($A73=G$70,0,IF(Input!$H$5="Nominal",1,(SUM(INDEX($W$21:$W$40,MIN($A73,G$70)):INDEX($W$21:$W$40,MAX($A73,G$70)))-(INDEX($W$21:$W$40,$A73)+INDEX($W$21:$W$40,G$70))/2)^2))</f>
        <v>1</v>
      </c>
      <c r="H73" s="30">
        <f>IF($A73=H$70,0,IF(Input!$H$5="Nominal",1,(SUM(INDEX($W$21:$W$40,MIN($A73,H$70)):INDEX($W$21:$W$40,MAX($A73,H$70)))-(INDEX($W$21:$W$40,$A73)+INDEX($W$21:$W$40,H$70))/2)^2))</f>
        <v>1</v>
      </c>
      <c r="I73" s="30">
        <f>IF($A73=I$70,0,IF(Input!$H$5="Nominal",1,(SUM(INDEX($W$21:$W$40,MIN($A73,I$70)):INDEX($W$21:$W$40,MAX($A73,I$70)))-(INDEX($W$21:$W$40,$A73)+INDEX($W$21:$W$40,I$70))/2)^2))</f>
        <v>1</v>
      </c>
      <c r="J73" s="30">
        <f>IF($A73=J$70,0,IF(Input!$H$5="Nominal",1,(SUM(INDEX($W$21:$W$40,MIN($A73,J$70)):INDEX($W$21:$W$40,MAX($A73,J$70)))-(INDEX($W$21:$W$40,$A73)+INDEX($W$21:$W$40,J$70))/2)^2))</f>
        <v>1</v>
      </c>
      <c r="K73" s="30">
        <f>IF($A73=K$70,0,IF(Input!$H$5="Nominal",1,(SUM(INDEX($W$21:$W$40,MIN($A73,K$70)):INDEX($W$21:$W$40,MAX($A73,K$70)))-(INDEX($W$21:$W$40,$A73)+INDEX($W$21:$W$40,K$70))/2)^2))</f>
        <v>1</v>
      </c>
      <c r="L73" s="30">
        <f>IF($A73=L$70,0,IF(Input!$H$5="Nominal",1,(SUM(INDEX($W$21:$W$40,MIN($A73,L$70)):INDEX($W$21:$W$40,MAX($A73,L$70)))-(INDEX($W$21:$W$40,$A73)+INDEX($W$21:$W$40,L$70))/2)^2))</f>
        <v>1</v>
      </c>
      <c r="M73" s="30">
        <f>IF($A73=M$70,0,IF(Input!$H$5="Nominal",1,(SUM(INDEX($W$21:$W$40,MIN($A73,M$70)):INDEX($W$21:$W$40,MAX($A73,M$70)))-(INDEX($W$21:$W$40,$A73)+INDEX($W$21:$W$40,M$70))/2)^2))</f>
        <v>1</v>
      </c>
      <c r="N73" s="30">
        <f>IF($A73=N$70,0,IF(Input!$H$5="Nominal",1,(SUM(INDEX($W$21:$W$40,MIN($A73,N$70)):INDEX($W$21:$W$40,MAX($A73,N$70)))-(INDEX($W$21:$W$40,$A73)+INDEX($W$21:$W$40,N$70))/2)^2))</f>
        <v>1</v>
      </c>
      <c r="O73" s="30">
        <f>IF($A73=O$70,0,IF(Input!$H$5="Nominal",1,(SUM(INDEX($W$21:$W$40,MIN($A73,O$70)):INDEX($W$21:$W$40,MAX($A73,O$70)))-(INDEX($W$21:$W$40,$A73)+INDEX($W$21:$W$40,O$70))/2)^2))</f>
        <v>1</v>
      </c>
      <c r="P73" s="30">
        <f>IF($A73=P$70,0,IF(Input!$H$5="Nominal",1,(SUM(INDEX($W$21:$W$40,MIN($A73,P$70)):INDEX($W$21:$W$40,MAX($A73,P$70)))-(INDEX($W$21:$W$40,$A73)+INDEX($W$21:$W$40,P$70))/2)^2))</f>
        <v>1</v>
      </c>
      <c r="Q73" s="30">
        <f>IF($A73=Q$70,0,IF(Input!$H$5="Nominal",1,(SUM(INDEX($W$21:$W$40,MIN($A73,Q$70)):INDEX($W$21:$W$40,MAX($A73,Q$70)))-(INDEX($W$21:$W$40,$A73)+INDEX($W$21:$W$40,Q$70))/2)^2))</f>
        <v>1</v>
      </c>
      <c r="R73" s="30">
        <f>IF($A73=R$70,0,IF(Input!$H$5="Nominal",1,(SUM(INDEX($W$21:$W$40,MIN($A73,R$70)):INDEX($W$21:$W$40,MAX($A73,R$70)))-(INDEX($W$21:$W$40,$A73)+INDEX($W$21:$W$40,R$70))/2)^2))</f>
        <v>1</v>
      </c>
      <c r="S73" s="30">
        <f>IF($A73=S$70,0,IF(Input!$H$5="Nominal",1,(SUM(INDEX($W$21:$W$40,MIN($A73,S$70)):INDEX($W$21:$W$40,MAX($A73,S$70)))-(INDEX($W$21:$W$40,$A73)+INDEX($W$21:$W$40,S$70))/2)^2))</f>
        <v>1</v>
      </c>
      <c r="T73" s="30">
        <f>IF($A73=T$70,0,IF(Input!$H$5="Nominal",1,(SUM(INDEX($W$21:$W$40,MIN($A73,T$70)):INDEX($W$21:$W$40,MAX($A73,T$70)))-(INDEX($W$21:$W$40,$A73)+INDEX($W$21:$W$40,T$70))/2)^2))</f>
        <v>1</v>
      </c>
      <c r="U73" s="30">
        <f>IF($A73=U$70,0,IF(Input!$H$5="Nominal",1,(SUM(INDEX($W$21:$W$40,MIN($A73,U$70)):INDEX($W$21:$W$40,MAX($A73,U$70)))-(INDEX($W$21:$W$40,$A73)+INDEX($W$21:$W$40,U$70))/2)^2))</f>
        <v>1</v>
      </c>
      <c r="V73" s="30">
        <f>IF($A73=V$70,0,IF(Input!$H$5="Nominal",1,(SUM(INDEX($W$21:$W$40,MIN($A73,V$70)):INDEX($W$21:$W$40,MAX($A73,V$70)))-(INDEX($W$21:$W$40,$A73)+INDEX($W$21:$W$40,V$70))/2)^2))</f>
        <v>1</v>
      </c>
    </row>
    <row r="74" ht="15">
      <c r="A74" s="8">
        <v>3</v>
      </c>
      <c r="B74" s="8" t="str">
        <f>IF(Input!$H$12="","",Input!$H$12)</f>
        <v>K3</v>
      </c>
      <c r="C74" s="30">
        <f>IF($A74=C$70,0,IF(Input!$H$5="Nominal",1,(SUM(INDEX($W$21:$W$40,MIN($A74,C$70)):INDEX($W$21:$W$40,MAX($A74,C$70)))-(INDEX($W$21:$W$40,$A74)+INDEX($W$21:$W$40,C$70))/2)^2))</f>
        <v>1</v>
      </c>
      <c r="D74" s="30">
        <f>IF($A74=D$70,0,IF(Input!$H$5="Nominal",1,(SUM(INDEX($W$21:$W$40,MIN($A74,D$70)):INDEX($W$21:$W$40,MAX($A74,D$70)))-(INDEX($W$21:$W$40,$A74)+INDEX($W$21:$W$40,D$70))/2)^2))</f>
        <v>1</v>
      </c>
      <c r="E74" s="30">
        <f>IF($A74=E$70,0,IF(Input!$H$5="Nominal",1,(SUM(INDEX($W$21:$W$40,MIN($A74,E$70)):INDEX($W$21:$W$40,MAX($A74,E$70)))-(INDEX($W$21:$W$40,$A74)+INDEX($W$21:$W$40,E$70))/2)^2))</f>
        <v>0</v>
      </c>
      <c r="F74" s="30">
        <f>IF($A74=F$70,0,IF(Input!$H$5="Nominal",1,(SUM(INDEX($W$21:$W$40,MIN($A74,F$70)):INDEX($W$21:$W$40,MAX($A74,F$70)))-(INDEX($W$21:$W$40,$A74)+INDEX($W$21:$W$40,F$70))/2)^2))</f>
        <v>1</v>
      </c>
      <c r="G74" s="30">
        <f>IF($A74=G$70,0,IF(Input!$H$5="Nominal",1,(SUM(INDEX($W$21:$W$40,MIN($A74,G$70)):INDEX($W$21:$W$40,MAX($A74,G$70)))-(INDEX($W$21:$W$40,$A74)+INDEX($W$21:$W$40,G$70))/2)^2))</f>
        <v>1</v>
      </c>
      <c r="H74" s="30">
        <f>IF($A74=H$70,0,IF(Input!$H$5="Nominal",1,(SUM(INDEX($W$21:$W$40,MIN($A74,H$70)):INDEX($W$21:$W$40,MAX($A74,H$70)))-(INDEX($W$21:$W$40,$A74)+INDEX($W$21:$W$40,H$70))/2)^2))</f>
        <v>1</v>
      </c>
      <c r="I74" s="30">
        <f>IF($A74=I$70,0,IF(Input!$H$5="Nominal",1,(SUM(INDEX($W$21:$W$40,MIN($A74,I$70)):INDEX($W$21:$W$40,MAX($A74,I$70)))-(INDEX($W$21:$W$40,$A74)+INDEX($W$21:$W$40,I$70))/2)^2))</f>
        <v>1</v>
      </c>
      <c r="J74" s="30">
        <f>IF($A74=J$70,0,IF(Input!$H$5="Nominal",1,(SUM(INDEX($W$21:$W$40,MIN($A74,J$70)):INDEX($W$21:$W$40,MAX($A74,J$70)))-(INDEX($W$21:$W$40,$A74)+INDEX($W$21:$W$40,J$70))/2)^2))</f>
        <v>1</v>
      </c>
      <c r="K74" s="30">
        <f>IF($A74=K$70,0,IF(Input!$H$5="Nominal",1,(SUM(INDEX($W$21:$W$40,MIN($A74,K$70)):INDEX($W$21:$W$40,MAX($A74,K$70)))-(INDEX($W$21:$W$40,$A74)+INDEX($W$21:$W$40,K$70))/2)^2))</f>
        <v>1</v>
      </c>
      <c r="L74" s="30">
        <f>IF($A74=L$70,0,IF(Input!$H$5="Nominal",1,(SUM(INDEX($W$21:$W$40,MIN($A74,L$70)):INDEX($W$21:$W$40,MAX($A74,L$70)))-(INDEX($W$21:$W$40,$A74)+INDEX($W$21:$W$40,L$70))/2)^2))</f>
        <v>1</v>
      </c>
      <c r="M74" s="30">
        <f>IF($A74=M$70,0,IF(Input!$H$5="Nominal",1,(SUM(INDEX($W$21:$W$40,MIN($A74,M$70)):INDEX($W$21:$W$40,MAX($A74,M$70)))-(INDEX($W$21:$W$40,$A74)+INDEX($W$21:$W$40,M$70))/2)^2))</f>
        <v>1</v>
      </c>
      <c r="N74" s="30">
        <f>IF($A74=N$70,0,IF(Input!$H$5="Nominal",1,(SUM(INDEX($W$21:$W$40,MIN($A74,N$70)):INDEX($W$21:$W$40,MAX($A74,N$70)))-(INDEX($W$21:$W$40,$A74)+INDEX($W$21:$W$40,N$70))/2)^2))</f>
        <v>1</v>
      </c>
      <c r="O74" s="30">
        <f>IF($A74=O$70,0,IF(Input!$H$5="Nominal",1,(SUM(INDEX($W$21:$W$40,MIN($A74,O$70)):INDEX($W$21:$W$40,MAX($A74,O$70)))-(INDEX($W$21:$W$40,$A74)+INDEX($W$21:$W$40,O$70))/2)^2))</f>
        <v>1</v>
      </c>
      <c r="P74" s="30">
        <f>IF($A74=P$70,0,IF(Input!$H$5="Nominal",1,(SUM(INDEX($W$21:$W$40,MIN($A74,P$70)):INDEX($W$21:$W$40,MAX($A74,P$70)))-(INDEX($W$21:$W$40,$A74)+INDEX($W$21:$W$40,P$70))/2)^2))</f>
        <v>1</v>
      </c>
      <c r="Q74" s="30">
        <f>IF($A74=Q$70,0,IF(Input!$H$5="Nominal",1,(SUM(INDEX($W$21:$W$40,MIN($A74,Q$70)):INDEX($W$21:$W$40,MAX($A74,Q$70)))-(INDEX($W$21:$W$40,$A74)+INDEX($W$21:$W$40,Q$70))/2)^2))</f>
        <v>1</v>
      </c>
      <c r="R74" s="30">
        <f>IF($A74=R$70,0,IF(Input!$H$5="Nominal",1,(SUM(INDEX($W$21:$W$40,MIN($A74,R$70)):INDEX($W$21:$W$40,MAX($A74,R$70)))-(INDEX($W$21:$W$40,$A74)+INDEX($W$21:$W$40,R$70))/2)^2))</f>
        <v>1</v>
      </c>
      <c r="S74" s="30">
        <f>IF($A74=S$70,0,IF(Input!$H$5="Nominal",1,(SUM(INDEX($W$21:$W$40,MIN($A74,S$70)):INDEX($W$21:$W$40,MAX($A74,S$70)))-(INDEX($W$21:$W$40,$A74)+INDEX($W$21:$W$40,S$70))/2)^2))</f>
        <v>1</v>
      </c>
      <c r="T74" s="30">
        <f>IF($A74=T$70,0,IF(Input!$H$5="Nominal",1,(SUM(INDEX($W$21:$W$40,MIN($A74,T$70)):INDEX($W$21:$W$40,MAX($A74,T$70)))-(INDEX($W$21:$W$40,$A74)+INDEX($W$21:$W$40,T$70))/2)^2))</f>
        <v>1</v>
      </c>
      <c r="U74" s="30">
        <f>IF($A74=U$70,0,IF(Input!$H$5="Nominal",1,(SUM(INDEX($W$21:$W$40,MIN($A74,U$70)):INDEX($W$21:$W$40,MAX($A74,U$70)))-(INDEX($W$21:$W$40,$A74)+INDEX($W$21:$W$40,U$70))/2)^2))</f>
        <v>1</v>
      </c>
      <c r="V74" s="30">
        <f>IF($A74=V$70,0,IF(Input!$H$5="Nominal",1,(SUM(INDEX($W$21:$W$40,MIN($A74,V$70)):INDEX($W$21:$W$40,MAX($A74,V$70)))-(INDEX($W$21:$W$40,$A74)+INDEX($W$21:$W$40,V$70))/2)^2))</f>
        <v>1</v>
      </c>
    </row>
    <row r="75" ht="15">
      <c r="A75" s="8">
        <v>4</v>
      </c>
      <c r="B75" s="8" t="str">
        <f>IF(Input!$H$13="","",Input!$H$13)</f>
        <v>K4</v>
      </c>
      <c r="C75" s="30">
        <f>IF($A75=C$70,0,IF(Input!$H$5="Nominal",1,(SUM(INDEX($W$21:$W$40,MIN($A75,C$70)):INDEX($W$21:$W$40,MAX($A75,C$70)))-(INDEX($W$21:$W$40,$A75)+INDEX($W$21:$W$40,C$70))/2)^2))</f>
        <v>1</v>
      </c>
      <c r="D75" s="30">
        <f>IF($A75=D$70,0,IF(Input!$H$5="Nominal",1,(SUM(INDEX($W$21:$W$40,MIN($A75,D$70)):INDEX($W$21:$W$40,MAX($A75,D$70)))-(INDEX($W$21:$W$40,$A75)+INDEX($W$21:$W$40,D$70))/2)^2))</f>
        <v>1</v>
      </c>
      <c r="E75" s="30">
        <f>IF($A75=E$70,0,IF(Input!$H$5="Nominal",1,(SUM(INDEX($W$21:$W$40,MIN($A75,E$70)):INDEX($W$21:$W$40,MAX($A75,E$70)))-(INDEX($W$21:$W$40,$A75)+INDEX($W$21:$W$40,E$70))/2)^2))</f>
        <v>1</v>
      </c>
      <c r="F75" s="30">
        <f>IF($A75=F$70,0,IF(Input!$H$5="Nominal",1,(SUM(INDEX($W$21:$W$40,MIN($A75,F$70)):INDEX($W$21:$W$40,MAX($A75,F$70)))-(INDEX($W$21:$W$40,$A75)+INDEX($W$21:$W$40,F$70))/2)^2))</f>
        <v>0</v>
      </c>
      <c r="G75" s="30">
        <f>IF($A75=G$70,0,IF(Input!$H$5="Nominal",1,(SUM(INDEX($W$21:$W$40,MIN($A75,G$70)):INDEX($W$21:$W$40,MAX($A75,G$70)))-(INDEX($W$21:$W$40,$A75)+INDEX($W$21:$W$40,G$70))/2)^2))</f>
        <v>1</v>
      </c>
      <c r="H75" s="30">
        <f>IF($A75=H$70,0,IF(Input!$H$5="Nominal",1,(SUM(INDEX($W$21:$W$40,MIN($A75,H$70)):INDEX($W$21:$W$40,MAX($A75,H$70)))-(INDEX($W$21:$W$40,$A75)+INDEX($W$21:$W$40,H$70))/2)^2))</f>
        <v>1</v>
      </c>
      <c r="I75" s="30">
        <f>IF($A75=I$70,0,IF(Input!$H$5="Nominal",1,(SUM(INDEX($W$21:$W$40,MIN($A75,I$70)):INDEX($W$21:$W$40,MAX($A75,I$70)))-(INDEX($W$21:$W$40,$A75)+INDEX($W$21:$W$40,I$70))/2)^2))</f>
        <v>1</v>
      </c>
      <c r="J75" s="30">
        <f>IF($A75=J$70,0,IF(Input!$H$5="Nominal",1,(SUM(INDEX($W$21:$W$40,MIN($A75,J$70)):INDEX($W$21:$W$40,MAX($A75,J$70)))-(INDEX($W$21:$W$40,$A75)+INDEX($W$21:$W$40,J$70))/2)^2))</f>
        <v>1</v>
      </c>
      <c r="K75" s="30">
        <f>IF($A75=K$70,0,IF(Input!$H$5="Nominal",1,(SUM(INDEX($W$21:$W$40,MIN($A75,K$70)):INDEX($W$21:$W$40,MAX($A75,K$70)))-(INDEX($W$21:$W$40,$A75)+INDEX($W$21:$W$40,K$70))/2)^2))</f>
        <v>1</v>
      </c>
      <c r="L75" s="30">
        <f>IF($A75=L$70,0,IF(Input!$H$5="Nominal",1,(SUM(INDEX($W$21:$W$40,MIN($A75,L$70)):INDEX($W$21:$W$40,MAX($A75,L$70)))-(INDEX($W$21:$W$40,$A75)+INDEX($W$21:$W$40,L$70))/2)^2))</f>
        <v>1</v>
      </c>
      <c r="M75" s="30">
        <f>IF($A75=M$70,0,IF(Input!$H$5="Nominal",1,(SUM(INDEX($W$21:$W$40,MIN($A75,M$70)):INDEX($W$21:$W$40,MAX($A75,M$70)))-(INDEX($W$21:$W$40,$A75)+INDEX($W$21:$W$40,M$70))/2)^2))</f>
        <v>1</v>
      </c>
      <c r="N75" s="30">
        <f>IF($A75=N$70,0,IF(Input!$H$5="Nominal",1,(SUM(INDEX($W$21:$W$40,MIN($A75,N$70)):INDEX($W$21:$W$40,MAX($A75,N$70)))-(INDEX($W$21:$W$40,$A75)+INDEX($W$21:$W$40,N$70))/2)^2))</f>
        <v>1</v>
      </c>
      <c r="O75" s="30">
        <f>IF($A75=O$70,0,IF(Input!$H$5="Nominal",1,(SUM(INDEX($W$21:$W$40,MIN($A75,O$70)):INDEX($W$21:$W$40,MAX($A75,O$70)))-(INDEX($W$21:$W$40,$A75)+INDEX($W$21:$W$40,O$70))/2)^2))</f>
        <v>1</v>
      </c>
      <c r="P75" s="30">
        <f>IF($A75=P$70,0,IF(Input!$H$5="Nominal",1,(SUM(INDEX($W$21:$W$40,MIN($A75,P$70)):INDEX($W$21:$W$40,MAX($A75,P$70)))-(INDEX($W$21:$W$40,$A75)+INDEX($W$21:$W$40,P$70))/2)^2))</f>
        <v>1</v>
      </c>
      <c r="Q75" s="30">
        <f>IF($A75=Q$70,0,IF(Input!$H$5="Nominal",1,(SUM(INDEX($W$21:$W$40,MIN($A75,Q$70)):INDEX($W$21:$W$40,MAX($A75,Q$70)))-(INDEX($W$21:$W$40,$A75)+INDEX($W$21:$W$40,Q$70))/2)^2))</f>
        <v>1</v>
      </c>
      <c r="R75" s="30">
        <f>IF($A75=R$70,0,IF(Input!$H$5="Nominal",1,(SUM(INDEX($W$21:$W$40,MIN($A75,R$70)):INDEX($W$21:$W$40,MAX($A75,R$70)))-(INDEX($W$21:$W$40,$A75)+INDEX($W$21:$W$40,R$70))/2)^2))</f>
        <v>1</v>
      </c>
      <c r="S75" s="30">
        <f>IF($A75=S$70,0,IF(Input!$H$5="Nominal",1,(SUM(INDEX($W$21:$W$40,MIN($A75,S$70)):INDEX($W$21:$W$40,MAX($A75,S$70)))-(INDEX($W$21:$W$40,$A75)+INDEX($W$21:$W$40,S$70))/2)^2))</f>
        <v>1</v>
      </c>
      <c r="T75" s="30">
        <f>IF($A75=T$70,0,IF(Input!$H$5="Nominal",1,(SUM(INDEX($W$21:$W$40,MIN($A75,T$70)):INDEX($W$21:$W$40,MAX($A75,T$70)))-(INDEX($W$21:$W$40,$A75)+INDEX($W$21:$W$40,T$70))/2)^2))</f>
        <v>1</v>
      </c>
      <c r="U75" s="30">
        <f>IF($A75=U$70,0,IF(Input!$H$5="Nominal",1,(SUM(INDEX($W$21:$W$40,MIN($A75,U$70)):INDEX($W$21:$W$40,MAX($A75,U$70)))-(INDEX($W$21:$W$40,$A75)+INDEX($W$21:$W$40,U$70))/2)^2))</f>
        <v>1</v>
      </c>
      <c r="V75" s="30">
        <f>IF($A75=V$70,0,IF(Input!$H$5="Nominal",1,(SUM(INDEX($W$21:$W$40,MIN($A75,V$70)):INDEX($W$21:$W$40,MAX($A75,V$70)))-(INDEX($W$21:$W$40,$A75)+INDEX($W$21:$W$40,V$70))/2)^2))</f>
        <v>1</v>
      </c>
    </row>
    <row r="76" ht="15">
      <c r="A76" s="8">
        <v>5</v>
      </c>
      <c r="B76" s="8" t="str">
        <f>IF(Input!$H$14="","",Input!$H$14)</f>
        <v>K5</v>
      </c>
      <c r="C76" s="30">
        <f>IF($A76=C$70,0,IF(Input!$H$5="Nominal",1,(SUM(INDEX($W$21:$W$40,MIN($A76,C$70)):INDEX($W$21:$W$40,MAX($A76,C$70)))-(INDEX($W$21:$W$40,$A76)+INDEX($W$21:$W$40,C$70))/2)^2))</f>
        <v>1</v>
      </c>
      <c r="D76" s="30">
        <f>IF($A76=D$70,0,IF(Input!$H$5="Nominal",1,(SUM(INDEX($W$21:$W$40,MIN($A76,D$70)):INDEX($W$21:$W$40,MAX($A76,D$70)))-(INDEX($W$21:$W$40,$A76)+INDEX($W$21:$W$40,D$70))/2)^2))</f>
        <v>1</v>
      </c>
      <c r="E76" s="30">
        <f>IF($A76=E$70,0,IF(Input!$H$5="Nominal",1,(SUM(INDEX($W$21:$W$40,MIN($A76,E$70)):INDEX($W$21:$W$40,MAX($A76,E$70)))-(INDEX($W$21:$W$40,$A76)+INDEX($W$21:$W$40,E$70))/2)^2))</f>
        <v>1</v>
      </c>
      <c r="F76" s="30">
        <f>IF($A76=F$70,0,IF(Input!$H$5="Nominal",1,(SUM(INDEX($W$21:$W$40,MIN($A76,F$70)):INDEX($W$21:$W$40,MAX($A76,F$70)))-(INDEX($W$21:$W$40,$A76)+INDEX($W$21:$W$40,F$70))/2)^2))</f>
        <v>1</v>
      </c>
      <c r="G76" s="30">
        <f>IF($A76=G$70,0,IF(Input!$H$5="Nominal",1,(SUM(INDEX($W$21:$W$40,MIN($A76,G$70)):INDEX($W$21:$W$40,MAX($A76,G$70)))-(INDEX($W$21:$W$40,$A76)+INDEX($W$21:$W$40,G$70))/2)^2))</f>
        <v>0</v>
      </c>
      <c r="H76" s="30">
        <f>IF($A76=H$70,0,IF(Input!$H$5="Nominal",1,(SUM(INDEX($W$21:$W$40,MIN($A76,H$70)):INDEX($W$21:$W$40,MAX($A76,H$70)))-(INDEX($W$21:$W$40,$A76)+INDEX($W$21:$W$40,H$70))/2)^2))</f>
        <v>1</v>
      </c>
      <c r="I76" s="30">
        <f>IF($A76=I$70,0,IF(Input!$H$5="Nominal",1,(SUM(INDEX($W$21:$W$40,MIN($A76,I$70)):INDEX($W$21:$W$40,MAX($A76,I$70)))-(INDEX($W$21:$W$40,$A76)+INDEX($W$21:$W$40,I$70))/2)^2))</f>
        <v>1</v>
      </c>
      <c r="J76" s="30">
        <f>IF($A76=J$70,0,IF(Input!$H$5="Nominal",1,(SUM(INDEX($W$21:$W$40,MIN($A76,J$70)):INDEX($W$21:$W$40,MAX($A76,J$70)))-(INDEX($W$21:$W$40,$A76)+INDEX($W$21:$W$40,J$70))/2)^2))</f>
        <v>1</v>
      </c>
      <c r="K76" s="30">
        <f>IF($A76=K$70,0,IF(Input!$H$5="Nominal",1,(SUM(INDEX($W$21:$W$40,MIN($A76,K$70)):INDEX($W$21:$W$40,MAX($A76,K$70)))-(INDEX($W$21:$W$40,$A76)+INDEX($W$21:$W$40,K$70))/2)^2))</f>
        <v>1</v>
      </c>
      <c r="L76" s="30">
        <f>IF($A76=L$70,0,IF(Input!$H$5="Nominal",1,(SUM(INDEX($W$21:$W$40,MIN($A76,L$70)):INDEX($W$21:$W$40,MAX($A76,L$70)))-(INDEX($W$21:$W$40,$A76)+INDEX($W$21:$W$40,L$70))/2)^2))</f>
        <v>1</v>
      </c>
      <c r="M76" s="30">
        <f>IF($A76=M$70,0,IF(Input!$H$5="Nominal",1,(SUM(INDEX($W$21:$W$40,MIN($A76,M$70)):INDEX($W$21:$W$40,MAX($A76,M$70)))-(INDEX($W$21:$W$40,$A76)+INDEX($W$21:$W$40,M$70))/2)^2))</f>
        <v>1</v>
      </c>
      <c r="N76" s="30">
        <f>IF($A76=N$70,0,IF(Input!$H$5="Nominal",1,(SUM(INDEX($W$21:$W$40,MIN($A76,N$70)):INDEX($W$21:$W$40,MAX($A76,N$70)))-(INDEX($W$21:$W$40,$A76)+INDEX($W$21:$W$40,N$70))/2)^2))</f>
        <v>1</v>
      </c>
      <c r="O76" s="30">
        <f>IF($A76=O$70,0,IF(Input!$H$5="Nominal",1,(SUM(INDEX($W$21:$W$40,MIN($A76,O$70)):INDEX($W$21:$W$40,MAX($A76,O$70)))-(INDEX($W$21:$W$40,$A76)+INDEX($W$21:$W$40,O$70))/2)^2))</f>
        <v>1</v>
      </c>
      <c r="P76" s="30">
        <f>IF($A76=P$70,0,IF(Input!$H$5="Nominal",1,(SUM(INDEX($W$21:$W$40,MIN($A76,P$70)):INDEX($W$21:$W$40,MAX($A76,P$70)))-(INDEX($W$21:$W$40,$A76)+INDEX($W$21:$W$40,P$70))/2)^2))</f>
        <v>1</v>
      </c>
      <c r="Q76" s="30">
        <f>IF($A76=Q$70,0,IF(Input!$H$5="Nominal",1,(SUM(INDEX($W$21:$W$40,MIN($A76,Q$70)):INDEX($W$21:$W$40,MAX($A76,Q$70)))-(INDEX($W$21:$W$40,$A76)+INDEX($W$21:$W$40,Q$70))/2)^2))</f>
        <v>1</v>
      </c>
      <c r="R76" s="30">
        <f>IF($A76=R$70,0,IF(Input!$H$5="Nominal",1,(SUM(INDEX($W$21:$W$40,MIN($A76,R$70)):INDEX($W$21:$W$40,MAX($A76,R$70)))-(INDEX($W$21:$W$40,$A76)+INDEX($W$21:$W$40,R$70))/2)^2))</f>
        <v>1</v>
      </c>
      <c r="S76" s="30">
        <f>IF($A76=S$70,0,IF(Input!$H$5="Nominal",1,(SUM(INDEX($W$21:$W$40,MIN($A76,S$70)):INDEX($W$21:$W$40,MAX($A76,S$70)))-(INDEX($W$21:$W$40,$A76)+INDEX($W$21:$W$40,S$70))/2)^2))</f>
        <v>1</v>
      </c>
      <c r="T76" s="30">
        <f>IF($A76=T$70,0,IF(Input!$H$5="Nominal",1,(SUM(INDEX($W$21:$W$40,MIN($A76,T$70)):INDEX($W$21:$W$40,MAX($A76,T$70)))-(INDEX($W$21:$W$40,$A76)+INDEX($W$21:$W$40,T$70))/2)^2))</f>
        <v>1</v>
      </c>
      <c r="U76" s="30">
        <f>IF($A76=U$70,0,IF(Input!$H$5="Nominal",1,(SUM(INDEX($W$21:$W$40,MIN($A76,U$70)):INDEX($W$21:$W$40,MAX($A76,U$70)))-(INDEX($W$21:$W$40,$A76)+INDEX($W$21:$W$40,U$70))/2)^2))</f>
        <v>1</v>
      </c>
      <c r="V76" s="30">
        <f>IF($A76=V$70,0,IF(Input!$H$5="Nominal",1,(SUM(INDEX($W$21:$W$40,MIN($A76,V$70)):INDEX($W$21:$W$40,MAX($A76,V$70)))-(INDEX($W$21:$W$40,$A76)+INDEX($W$21:$W$40,V$70))/2)^2))</f>
        <v>1</v>
      </c>
    </row>
    <row r="77" ht="15">
      <c r="A77" s="8">
        <v>6</v>
      </c>
      <c r="B77" s="8" t="str">
        <f>IF(Input!$H$15="","",Input!$H$15)</f>
        <v/>
      </c>
      <c r="C77" s="30">
        <f>IF($A77=C$70,0,IF(Input!$H$5="Nominal",1,(SUM(INDEX($W$21:$W$40,MIN($A77,C$70)):INDEX($W$21:$W$40,MAX($A77,C$70)))-(INDEX($W$21:$W$40,$A77)+INDEX($W$21:$W$40,C$70))/2)^2))</f>
        <v>1</v>
      </c>
      <c r="D77" s="30">
        <f>IF($A77=D$70,0,IF(Input!$H$5="Nominal",1,(SUM(INDEX($W$21:$W$40,MIN($A77,D$70)):INDEX($W$21:$W$40,MAX($A77,D$70)))-(INDEX($W$21:$W$40,$A77)+INDEX($W$21:$W$40,D$70))/2)^2))</f>
        <v>1</v>
      </c>
      <c r="E77" s="30">
        <f>IF($A77=E$70,0,IF(Input!$H$5="Nominal",1,(SUM(INDEX($W$21:$W$40,MIN($A77,E$70)):INDEX($W$21:$W$40,MAX($A77,E$70)))-(INDEX($W$21:$W$40,$A77)+INDEX($W$21:$W$40,E$70))/2)^2))</f>
        <v>1</v>
      </c>
      <c r="F77" s="30">
        <f>IF($A77=F$70,0,IF(Input!$H$5="Nominal",1,(SUM(INDEX($W$21:$W$40,MIN($A77,F$70)):INDEX($W$21:$W$40,MAX($A77,F$70)))-(INDEX($W$21:$W$40,$A77)+INDEX($W$21:$W$40,F$70))/2)^2))</f>
        <v>1</v>
      </c>
      <c r="G77" s="30">
        <f>IF($A77=G$70,0,IF(Input!$H$5="Nominal",1,(SUM(INDEX($W$21:$W$40,MIN($A77,G$70)):INDEX($W$21:$W$40,MAX($A77,G$70)))-(INDEX($W$21:$W$40,$A77)+INDEX($W$21:$W$40,G$70))/2)^2))</f>
        <v>1</v>
      </c>
      <c r="H77" s="30">
        <f>IF($A77=H$70,0,IF(Input!$H$5="Nominal",1,(SUM(INDEX($W$21:$W$40,MIN($A77,H$70)):INDEX($W$21:$W$40,MAX($A77,H$70)))-(INDEX($W$21:$W$40,$A77)+INDEX($W$21:$W$40,H$70))/2)^2))</f>
        <v>0</v>
      </c>
      <c r="I77" s="30">
        <f>IF($A77=I$70,0,IF(Input!$H$5="Nominal",1,(SUM(INDEX($W$21:$W$40,MIN($A77,I$70)):INDEX($W$21:$W$40,MAX($A77,I$70)))-(INDEX($W$21:$W$40,$A77)+INDEX($W$21:$W$40,I$70))/2)^2))</f>
        <v>1</v>
      </c>
      <c r="J77" s="30">
        <f>IF($A77=J$70,0,IF(Input!$H$5="Nominal",1,(SUM(INDEX($W$21:$W$40,MIN($A77,J$70)):INDEX($W$21:$W$40,MAX($A77,J$70)))-(INDEX($W$21:$W$40,$A77)+INDEX($W$21:$W$40,J$70))/2)^2))</f>
        <v>1</v>
      </c>
      <c r="K77" s="30">
        <f>IF($A77=K$70,0,IF(Input!$H$5="Nominal",1,(SUM(INDEX($W$21:$W$40,MIN($A77,K$70)):INDEX($W$21:$W$40,MAX($A77,K$70)))-(INDEX($W$21:$W$40,$A77)+INDEX($W$21:$W$40,K$70))/2)^2))</f>
        <v>1</v>
      </c>
      <c r="L77" s="30">
        <f>IF($A77=L$70,0,IF(Input!$H$5="Nominal",1,(SUM(INDEX($W$21:$W$40,MIN($A77,L$70)):INDEX($W$21:$W$40,MAX($A77,L$70)))-(INDEX($W$21:$W$40,$A77)+INDEX($W$21:$W$40,L$70))/2)^2))</f>
        <v>1</v>
      </c>
      <c r="M77" s="30">
        <f>IF($A77=M$70,0,IF(Input!$H$5="Nominal",1,(SUM(INDEX($W$21:$W$40,MIN($A77,M$70)):INDEX($W$21:$W$40,MAX($A77,M$70)))-(INDEX($W$21:$W$40,$A77)+INDEX($W$21:$W$40,M$70))/2)^2))</f>
        <v>1</v>
      </c>
      <c r="N77" s="30">
        <f>IF($A77=N$70,0,IF(Input!$H$5="Nominal",1,(SUM(INDEX($W$21:$W$40,MIN($A77,N$70)):INDEX($W$21:$W$40,MAX($A77,N$70)))-(INDEX($W$21:$W$40,$A77)+INDEX($W$21:$W$40,N$70))/2)^2))</f>
        <v>1</v>
      </c>
      <c r="O77" s="30">
        <f>IF($A77=O$70,0,IF(Input!$H$5="Nominal",1,(SUM(INDEX($W$21:$W$40,MIN($A77,O$70)):INDEX($W$21:$W$40,MAX($A77,O$70)))-(INDEX($W$21:$W$40,$A77)+INDEX($W$21:$W$40,O$70))/2)^2))</f>
        <v>1</v>
      </c>
      <c r="P77" s="30">
        <f>IF($A77=P$70,0,IF(Input!$H$5="Nominal",1,(SUM(INDEX($W$21:$W$40,MIN($A77,P$70)):INDEX($W$21:$W$40,MAX($A77,P$70)))-(INDEX($W$21:$W$40,$A77)+INDEX($W$21:$W$40,P$70))/2)^2))</f>
        <v>1</v>
      </c>
      <c r="Q77" s="30">
        <f>IF($A77=Q$70,0,IF(Input!$H$5="Nominal",1,(SUM(INDEX($W$21:$W$40,MIN($A77,Q$70)):INDEX($W$21:$W$40,MAX($A77,Q$70)))-(INDEX($W$21:$W$40,$A77)+INDEX($W$21:$W$40,Q$70))/2)^2))</f>
        <v>1</v>
      </c>
      <c r="R77" s="30">
        <f>IF($A77=R$70,0,IF(Input!$H$5="Nominal",1,(SUM(INDEX($W$21:$W$40,MIN($A77,R$70)):INDEX($W$21:$W$40,MAX($A77,R$70)))-(INDEX($W$21:$W$40,$A77)+INDEX($W$21:$W$40,R$70))/2)^2))</f>
        <v>1</v>
      </c>
      <c r="S77" s="30">
        <f>IF($A77=S$70,0,IF(Input!$H$5="Nominal",1,(SUM(INDEX($W$21:$W$40,MIN($A77,S$70)):INDEX($W$21:$W$40,MAX($A77,S$70)))-(INDEX($W$21:$W$40,$A77)+INDEX($W$21:$W$40,S$70))/2)^2))</f>
        <v>1</v>
      </c>
      <c r="T77" s="30">
        <f>IF($A77=T$70,0,IF(Input!$H$5="Nominal",1,(SUM(INDEX($W$21:$W$40,MIN($A77,T$70)):INDEX($W$21:$W$40,MAX($A77,T$70)))-(INDEX($W$21:$W$40,$A77)+INDEX($W$21:$W$40,T$70))/2)^2))</f>
        <v>1</v>
      </c>
      <c r="U77" s="30">
        <f>IF($A77=U$70,0,IF(Input!$H$5="Nominal",1,(SUM(INDEX($W$21:$W$40,MIN($A77,U$70)):INDEX($W$21:$W$40,MAX($A77,U$70)))-(INDEX($W$21:$W$40,$A77)+INDEX($W$21:$W$40,U$70))/2)^2))</f>
        <v>1</v>
      </c>
      <c r="V77" s="30">
        <f>IF($A77=V$70,0,IF(Input!$H$5="Nominal",1,(SUM(INDEX($W$21:$W$40,MIN($A77,V$70)):INDEX($W$21:$W$40,MAX($A77,V$70)))-(INDEX($W$21:$W$40,$A77)+INDEX($W$21:$W$40,V$70))/2)^2))</f>
        <v>1</v>
      </c>
    </row>
    <row r="78" ht="15">
      <c r="A78" s="8">
        <v>7</v>
      </c>
      <c r="B78" s="8" t="str">
        <f>IF(Input!$H$16="","",Input!$H$16)</f>
        <v/>
      </c>
      <c r="C78" s="30">
        <f>IF($A78=C$70,0,IF(Input!$H$5="Nominal",1,(SUM(INDEX($W$21:$W$40,MIN($A78,C$70)):INDEX($W$21:$W$40,MAX($A78,C$70)))-(INDEX($W$21:$W$40,$A78)+INDEX($W$21:$W$40,C$70))/2)^2))</f>
        <v>1</v>
      </c>
      <c r="D78" s="30">
        <f>IF($A78=D$70,0,IF(Input!$H$5="Nominal",1,(SUM(INDEX($W$21:$W$40,MIN($A78,D$70)):INDEX($W$21:$W$40,MAX($A78,D$70)))-(INDEX($W$21:$W$40,$A78)+INDEX($W$21:$W$40,D$70))/2)^2))</f>
        <v>1</v>
      </c>
      <c r="E78" s="30">
        <f>IF($A78=E$70,0,IF(Input!$H$5="Nominal",1,(SUM(INDEX($W$21:$W$40,MIN($A78,E$70)):INDEX($W$21:$W$40,MAX($A78,E$70)))-(INDEX($W$21:$W$40,$A78)+INDEX($W$21:$W$40,E$70))/2)^2))</f>
        <v>1</v>
      </c>
      <c r="F78" s="30">
        <f>IF($A78=F$70,0,IF(Input!$H$5="Nominal",1,(SUM(INDEX($W$21:$W$40,MIN($A78,F$70)):INDEX($W$21:$W$40,MAX($A78,F$70)))-(INDEX($W$21:$W$40,$A78)+INDEX($W$21:$W$40,F$70))/2)^2))</f>
        <v>1</v>
      </c>
      <c r="G78" s="30">
        <f>IF($A78=G$70,0,IF(Input!$H$5="Nominal",1,(SUM(INDEX($W$21:$W$40,MIN($A78,G$70)):INDEX($W$21:$W$40,MAX($A78,G$70)))-(INDEX($W$21:$W$40,$A78)+INDEX($W$21:$W$40,G$70))/2)^2))</f>
        <v>1</v>
      </c>
      <c r="H78" s="30">
        <f>IF($A78=H$70,0,IF(Input!$H$5="Nominal",1,(SUM(INDEX($W$21:$W$40,MIN($A78,H$70)):INDEX($W$21:$W$40,MAX($A78,H$70)))-(INDEX($W$21:$W$40,$A78)+INDEX($W$21:$W$40,H$70))/2)^2))</f>
        <v>1</v>
      </c>
      <c r="I78" s="30">
        <f>IF($A78=I$70,0,IF(Input!$H$5="Nominal",1,(SUM(INDEX($W$21:$W$40,MIN($A78,I$70)):INDEX($W$21:$W$40,MAX($A78,I$70)))-(INDEX($W$21:$W$40,$A78)+INDEX($W$21:$W$40,I$70))/2)^2))</f>
        <v>0</v>
      </c>
      <c r="J78" s="30">
        <f>IF($A78=J$70,0,IF(Input!$H$5="Nominal",1,(SUM(INDEX($W$21:$W$40,MIN($A78,J$70)):INDEX($W$21:$W$40,MAX($A78,J$70)))-(INDEX($W$21:$W$40,$A78)+INDEX($W$21:$W$40,J$70))/2)^2))</f>
        <v>1</v>
      </c>
      <c r="K78" s="30">
        <f>IF($A78=K$70,0,IF(Input!$H$5="Nominal",1,(SUM(INDEX($W$21:$W$40,MIN($A78,K$70)):INDEX($W$21:$W$40,MAX($A78,K$70)))-(INDEX($W$21:$W$40,$A78)+INDEX($W$21:$W$40,K$70))/2)^2))</f>
        <v>1</v>
      </c>
      <c r="L78" s="30">
        <f>IF($A78=L$70,0,IF(Input!$H$5="Nominal",1,(SUM(INDEX($W$21:$W$40,MIN($A78,L$70)):INDEX($W$21:$W$40,MAX($A78,L$70)))-(INDEX($W$21:$W$40,$A78)+INDEX($W$21:$W$40,L$70))/2)^2))</f>
        <v>1</v>
      </c>
      <c r="M78" s="30">
        <f>IF($A78=M$70,0,IF(Input!$H$5="Nominal",1,(SUM(INDEX($W$21:$W$40,MIN($A78,M$70)):INDEX($W$21:$W$40,MAX($A78,M$70)))-(INDEX($W$21:$W$40,$A78)+INDEX($W$21:$W$40,M$70))/2)^2))</f>
        <v>1</v>
      </c>
      <c r="N78" s="30">
        <f>IF($A78=N$70,0,IF(Input!$H$5="Nominal",1,(SUM(INDEX($W$21:$W$40,MIN($A78,N$70)):INDEX($W$21:$W$40,MAX($A78,N$70)))-(INDEX($W$21:$W$40,$A78)+INDEX($W$21:$W$40,N$70))/2)^2))</f>
        <v>1</v>
      </c>
      <c r="O78" s="30">
        <f>IF($A78=O$70,0,IF(Input!$H$5="Nominal",1,(SUM(INDEX($W$21:$W$40,MIN($A78,O$70)):INDEX($W$21:$W$40,MAX($A78,O$70)))-(INDEX($W$21:$W$40,$A78)+INDEX($W$21:$W$40,O$70))/2)^2))</f>
        <v>1</v>
      </c>
      <c r="P78" s="30">
        <f>IF($A78=P$70,0,IF(Input!$H$5="Nominal",1,(SUM(INDEX($W$21:$W$40,MIN($A78,P$70)):INDEX($W$21:$W$40,MAX($A78,P$70)))-(INDEX($W$21:$W$40,$A78)+INDEX($W$21:$W$40,P$70))/2)^2))</f>
        <v>1</v>
      </c>
      <c r="Q78" s="30">
        <f>IF($A78=Q$70,0,IF(Input!$H$5="Nominal",1,(SUM(INDEX($W$21:$W$40,MIN($A78,Q$70)):INDEX($W$21:$W$40,MAX($A78,Q$70)))-(INDEX($W$21:$W$40,$A78)+INDEX($W$21:$W$40,Q$70))/2)^2))</f>
        <v>1</v>
      </c>
      <c r="R78" s="30">
        <f>IF($A78=R$70,0,IF(Input!$H$5="Nominal",1,(SUM(INDEX($W$21:$W$40,MIN($A78,R$70)):INDEX($W$21:$W$40,MAX($A78,R$70)))-(INDEX($W$21:$W$40,$A78)+INDEX($W$21:$W$40,R$70))/2)^2))</f>
        <v>1</v>
      </c>
      <c r="S78" s="30">
        <f>IF($A78=S$70,0,IF(Input!$H$5="Nominal",1,(SUM(INDEX($W$21:$W$40,MIN($A78,S$70)):INDEX($W$21:$W$40,MAX($A78,S$70)))-(INDEX($W$21:$W$40,$A78)+INDEX($W$21:$W$40,S$70))/2)^2))</f>
        <v>1</v>
      </c>
      <c r="T78" s="30">
        <f>IF($A78=T$70,0,IF(Input!$H$5="Nominal",1,(SUM(INDEX($W$21:$W$40,MIN($A78,T$70)):INDEX($W$21:$W$40,MAX($A78,T$70)))-(INDEX($W$21:$W$40,$A78)+INDEX($W$21:$W$40,T$70))/2)^2))</f>
        <v>1</v>
      </c>
      <c r="U78" s="30">
        <f>IF($A78=U$70,0,IF(Input!$H$5="Nominal",1,(SUM(INDEX($W$21:$W$40,MIN($A78,U$70)):INDEX($W$21:$W$40,MAX($A78,U$70)))-(INDEX($W$21:$W$40,$A78)+INDEX($W$21:$W$40,U$70))/2)^2))</f>
        <v>1</v>
      </c>
      <c r="V78" s="30">
        <f>IF($A78=V$70,0,IF(Input!$H$5="Nominal",1,(SUM(INDEX($W$21:$W$40,MIN($A78,V$70)):INDEX($W$21:$W$40,MAX($A78,V$70)))-(INDEX($W$21:$W$40,$A78)+INDEX($W$21:$W$40,V$70))/2)^2))</f>
        <v>1</v>
      </c>
    </row>
    <row r="79" ht="15">
      <c r="A79" s="8">
        <v>8</v>
      </c>
      <c r="B79" s="8" t="str">
        <f>IF(Input!$H$17="","",Input!$H$17)</f>
        <v/>
      </c>
      <c r="C79" s="30">
        <f>IF($A79=C$70,0,IF(Input!$H$5="Nominal",1,(SUM(INDEX($W$21:$W$40,MIN($A79,C$70)):INDEX($W$21:$W$40,MAX($A79,C$70)))-(INDEX($W$21:$W$40,$A79)+INDEX($W$21:$W$40,C$70))/2)^2))</f>
        <v>1</v>
      </c>
      <c r="D79" s="30">
        <f>IF($A79=D$70,0,IF(Input!$H$5="Nominal",1,(SUM(INDEX($W$21:$W$40,MIN($A79,D$70)):INDEX($W$21:$W$40,MAX($A79,D$70)))-(INDEX($W$21:$W$40,$A79)+INDEX($W$21:$W$40,D$70))/2)^2))</f>
        <v>1</v>
      </c>
      <c r="E79" s="30">
        <f>IF($A79=E$70,0,IF(Input!$H$5="Nominal",1,(SUM(INDEX($W$21:$W$40,MIN($A79,E$70)):INDEX($W$21:$W$40,MAX($A79,E$70)))-(INDEX($W$21:$W$40,$A79)+INDEX($W$21:$W$40,E$70))/2)^2))</f>
        <v>1</v>
      </c>
      <c r="F79" s="30">
        <f>IF($A79=F$70,0,IF(Input!$H$5="Nominal",1,(SUM(INDEX($W$21:$W$40,MIN($A79,F$70)):INDEX($W$21:$W$40,MAX($A79,F$70)))-(INDEX($W$21:$W$40,$A79)+INDEX($W$21:$W$40,F$70))/2)^2))</f>
        <v>1</v>
      </c>
      <c r="G79" s="30">
        <f>IF($A79=G$70,0,IF(Input!$H$5="Nominal",1,(SUM(INDEX($W$21:$W$40,MIN($A79,G$70)):INDEX($W$21:$W$40,MAX($A79,G$70)))-(INDEX($W$21:$W$40,$A79)+INDEX($W$21:$W$40,G$70))/2)^2))</f>
        <v>1</v>
      </c>
      <c r="H79" s="30">
        <f>IF($A79=H$70,0,IF(Input!$H$5="Nominal",1,(SUM(INDEX($W$21:$W$40,MIN($A79,H$70)):INDEX($W$21:$W$40,MAX($A79,H$70)))-(INDEX($W$21:$W$40,$A79)+INDEX($W$21:$W$40,H$70))/2)^2))</f>
        <v>1</v>
      </c>
      <c r="I79" s="30">
        <f>IF($A79=I$70,0,IF(Input!$H$5="Nominal",1,(SUM(INDEX($W$21:$W$40,MIN($A79,I$70)):INDEX($W$21:$W$40,MAX($A79,I$70)))-(INDEX($W$21:$W$40,$A79)+INDEX($W$21:$W$40,I$70))/2)^2))</f>
        <v>1</v>
      </c>
      <c r="J79" s="30">
        <f>IF($A79=J$70,0,IF(Input!$H$5="Nominal",1,(SUM(INDEX($W$21:$W$40,MIN($A79,J$70)):INDEX($W$21:$W$40,MAX($A79,J$70)))-(INDEX($W$21:$W$40,$A79)+INDEX($W$21:$W$40,J$70))/2)^2))</f>
        <v>0</v>
      </c>
      <c r="K79" s="30">
        <f>IF($A79=K$70,0,IF(Input!$H$5="Nominal",1,(SUM(INDEX($W$21:$W$40,MIN($A79,K$70)):INDEX($W$21:$W$40,MAX($A79,K$70)))-(INDEX($W$21:$W$40,$A79)+INDEX($W$21:$W$40,K$70))/2)^2))</f>
        <v>1</v>
      </c>
      <c r="L79" s="30">
        <f>IF($A79=L$70,0,IF(Input!$H$5="Nominal",1,(SUM(INDEX($W$21:$W$40,MIN($A79,L$70)):INDEX($W$21:$W$40,MAX($A79,L$70)))-(INDEX($W$21:$W$40,$A79)+INDEX($W$21:$W$40,L$70))/2)^2))</f>
        <v>1</v>
      </c>
      <c r="M79" s="30">
        <f>IF($A79=M$70,0,IF(Input!$H$5="Nominal",1,(SUM(INDEX($W$21:$W$40,MIN($A79,M$70)):INDEX($W$21:$W$40,MAX($A79,M$70)))-(INDEX($W$21:$W$40,$A79)+INDEX($W$21:$W$40,M$70))/2)^2))</f>
        <v>1</v>
      </c>
      <c r="N79" s="30">
        <f>IF($A79=N$70,0,IF(Input!$H$5="Nominal",1,(SUM(INDEX($W$21:$W$40,MIN($A79,N$70)):INDEX($W$21:$W$40,MAX($A79,N$70)))-(INDEX($W$21:$W$40,$A79)+INDEX($W$21:$W$40,N$70))/2)^2))</f>
        <v>1</v>
      </c>
      <c r="O79" s="30">
        <f>IF($A79=O$70,0,IF(Input!$H$5="Nominal",1,(SUM(INDEX($W$21:$W$40,MIN($A79,O$70)):INDEX($W$21:$W$40,MAX($A79,O$70)))-(INDEX($W$21:$W$40,$A79)+INDEX($W$21:$W$40,O$70))/2)^2))</f>
        <v>1</v>
      </c>
      <c r="P79" s="30">
        <f>IF($A79=P$70,0,IF(Input!$H$5="Nominal",1,(SUM(INDEX($W$21:$W$40,MIN($A79,P$70)):INDEX($W$21:$W$40,MAX($A79,P$70)))-(INDEX($W$21:$W$40,$A79)+INDEX($W$21:$W$40,P$70))/2)^2))</f>
        <v>1</v>
      </c>
      <c r="Q79" s="30">
        <f>IF($A79=Q$70,0,IF(Input!$H$5="Nominal",1,(SUM(INDEX($W$21:$W$40,MIN($A79,Q$70)):INDEX($W$21:$W$40,MAX($A79,Q$70)))-(INDEX($W$21:$W$40,$A79)+INDEX($W$21:$W$40,Q$70))/2)^2))</f>
        <v>1</v>
      </c>
      <c r="R79" s="30">
        <f>IF($A79=R$70,0,IF(Input!$H$5="Nominal",1,(SUM(INDEX($W$21:$W$40,MIN($A79,R$70)):INDEX($W$21:$W$40,MAX($A79,R$70)))-(INDEX($W$21:$W$40,$A79)+INDEX($W$21:$W$40,R$70))/2)^2))</f>
        <v>1</v>
      </c>
      <c r="S79" s="30">
        <f>IF($A79=S$70,0,IF(Input!$H$5="Nominal",1,(SUM(INDEX($W$21:$W$40,MIN($A79,S$70)):INDEX($W$21:$W$40,MAX($A79,S$70)))-(INDEX($W$21:$W$40,$A79)+INDEX($W$21:$W$40,S$70))/2)^2))</f>
        <v>1</v>
      </c>
      <c r="T79" s="30">
        <f>IF($A79=T$70,0,IF(Input!$H$5="Nominal",1,(SUM(INDEX($W$21:$W$40,MIN($A79,T$70)):INDEX($W$21:$W$40,MAX($A79,T$70)))-(INDEX($W$21:$W$40,$A79)+INDEX($W$21:$W$40,T$70))/2)^2))</f>
        <v>1</v>
      </c>
      <c r="U79" s="30">
        <f>IF($A79=U$70,0,IF(Input!$H$5="Nominal",1,(SUM(INDEX($W$21:$W$40,MIN($A79,U$70)):INDEX($W$21:$W$40,MAX($A79,U$70)))-(INDEX($W$21:$W$40,$A79)+INDEX($W$21:$W$40,U$70))/2)^2))</f>
        <v>1</v>
      </c>
      <c r="V79" s="30">
        <f>IF($A79=V$70,0,IF(Input!$H$5="Nominal",1,(SUM(INDEX($W$21:$W$40,MIN($A79,V$70)):INDEX($W$21:$W$40,MAX($A79,V$70)))-(INDEX($W$21:$W$40,$A79)+INDEX($W$21:$W$40,V$70))/2)^2))</f>
        <v>1</v>
      </c>
    </row>
    <row r="80" ht="15">
      <c r="A80" s="8">
        <v>9</v>
      </c>
      <c r="B80" s="8" t="str">
        <f>IF(Input!$H$18="","",Input!$H$18)</f>
        <v/>
      </c>
      <c r="C80" s="30">
        <f>IF($A80=C$70,0,IF(Input!$H$5="Nominal",1,(SUM(INDEX($W$21:$W$40,MIN($A80,C$70)):INDEX($W$21:$W$40,MAX($A80,C$70)))-(INDEX($W$21:$W$40,$A80)+INDEX($W$21:$W$40,C$70))/2)^2))</f>
        <v>1</v>
      </c>
      <c r="D80" s="30">
        <f>IF($A80=D$70,0,IF(Input!$H$5="Nominal",1,(SUM(INDEX($W$21:$W$40,MIN($A80,D$70)):INDEX($W$21:$W$40,MAX($A80,D$70)))-(INDEX($W$21:$W$40,$A80)+INDEX($W$21:$W$40,D$70))/2)^2))</f>
        <v>1</v>
      </c>
      <c r="E80" s="30">
        <f>IF($A80=E$70,0,IF(Input!$H$5="Nominal",1,(SUM(INDEX($W$21:$W$40,MIN($A80,E$70)):INDEX($W$21:$W$40,MAX($A80,E$70)))-(INDEX($W$21:$W$40,$A80)+INDEX($W$21:$W$40,E$70))/2)^2))</f>
        <v>1</v>
      </c>
      <c r="F80" s="30">
        <f>IF($A80=F$70,0,IF(Input!$H$5="Nominal",1,(SUM(INDEX($W$21:$W$40,MIN($A80,F$70)):INDEX($W$21:$W$40,MAX($A80,F$70)))-(INDEX($W$21:$W$40,$A80)+INDEX($W$21:$W$40,F$70))/2)^2))</f>
        <v>1</v>
      </c>
      <c r="G80" s="30">
        <f>IF($A80=G$70,0,IF(Input!$H$5="Nominal",1,(SUM(INDEX($W$21:$W$40,MIN($A80,G$70)):INDEX($W$21:$W$40,MAX($A80,G$70)))-(INDEX($W$21:$W$40,$A80)+INDEX($W$21:$W$40,G$70))/2)^2))</f>
        <v>1</v>
      </c>
      <c r="H80" s="30">
        <f>IF($A80=H$70,0,IF(Input!$H$5="Nominal",1,(SUM(INDEX($W$21:$W$40,MIN($A80,H$70)):INDEX($W$21:$W$40,MAX($A80,H$70)))-(INDEX($W$21:$W$40,$A80)+INDEX($W$21:$W$40,H$70))/2)^2))</f>
        <v>1</v>
      </c>
      <c r="I80" s="30">
        <f>IF($A80=I$70,0,IF(Input!$H$5="Nominal",1,(SUM(INDEX($W$21:$W$40,MIN($A80,I$70)):INDEX($W$21:$W$40,MAX($A80,I$70)))-(INDEX($W$21:$W$40,$A80)+INDEX($W$21:$W$40,I$70))/2)^2))</f>
        <v>1</v>
      </c>
      <c r="J80" s="30">
        <f>IF($A80=J$70,0,IF(Input!$H$5="Nominal",1,(SUM(INDEX($W$21:$W$40,MIN($A80,J$70)):INDEX($W$21:$W$40,MAX($A80,J$70)))-(INDEX($W$21:$W$40,$A80)+INDEX($W$21:$W$40,J$70))/2)^2))</f>
        <v>1</v>
      </c>
      <c r="K80" s="30">
        <f>IF($A80=K$70,0,IF(Input!$H$5="Nominal",1,(SUM(INDEX($W$21:$W$40,MIN($A80,K$70)):INDEX($W$21:$W$40,MAX($A80,K$70)))-(INDEX($W$21:$W$40,$A80)+INDEX($W$21:$W$40,K$70))/2)^2))</f>
        <v>0</v>
      </c>
      <c r="L80" s="30">
        <f>IF($A80=L$70,0,IF(Input!$H$5="Nominal",1,(SUM(INDEX($W$21:$W$40,MIN($A80,L$70)):INDEX($W$21:$W$40,MAX($A80,L$70)))-(INDEX($W$21:$W$40,$A80)+INDEX($W$21:$W$40,L$70))/2)^2))</f>
        <v>1</v>
      </c>
      <c r="M80" s="30">
        <f>IF($A80=M$70,0,IF(Input!$H$5="Nominal",1,(SUM(INDEX($W$21:$W$40,MIN($A80,M$70)):INDEX($W$21:$W$40,MAX($A80,M$70)))-(INDEX($W$21:$W$40,$A80)+INDEX($W$21:$W$40,M$70))/2)^2))</f>
        <v>1</v>
      </c>
      <c r="N80" s="30">
        <f>IF($A80=N$70,0,IF(Input!$H$5="Nominal",1,(SUM(INDEX($W$21:$W$40,MIN($A80,N$70)):INDEX($W$21:$W$40,MAX($A80,N$70)))-(INDEX($W$21:$W$40,$A80)+INDEX($W$21:$W$40,N$70))/2)^2))</f>
        <v>1</v>
      </c>
      <c r="O80" s="30">
        <f>IF($A80=O$70,0,IF(Input!$H$5="Nominal",1,(SUM(INDEX($W$21:$W$40,MIN($A80,O$70)):INDEX($W$21:$W$40,MAX($A80,O$70)))-(INDEX($W$21:$W$40,$A80)+INDEX($W$21:$W$40,O$70))/2)^2))</f>
        <v>1</v>
      </c>
      <c r="P80" s="30">
        <f>IF($A80=P$70,0,IF(Input!$H$5="Nominal",1,(SUM(INDEX($W$21:$W$40,MIN($A80,P$70)):INDEX($W$21:$W$40,MAX($A80,P$70)))-(INDEX($W$21:$W$40,$A80)+INDEX($W$21:$W$40,P$70))/2)^2))</f>
        <v>1</v>
      </c>
      <c r="Q80" s="30">
        <f>IF($A80=Q$70,0,IF(Input!$H$5="Nominal",1,(SUM(INDEX($W$21:$W$40,MIN($A80,Q$70)):INDEX($W$21:$W$40,MAX($A80,Q$70)))-(INDEX($W$21:$W$40,$A80)+INDEX($W$21:$W$40,Q$70))/2)^2))</f>
        <v>1</v>
      </c>
      <c r="R80" s="30">
        <f>IF($A80=R$70,0,IF(Input!$H$5="Nominal",1,(SUM(INDEX($W$21:$W$40,MIN($A80,R$70)):INDEX($W$21:$W$40,MAX($A80,R$70)))-(INDEX($W$21:$W$40,$A80)+INDEX($W$21:$W$40,R$70))/2)^2))</f>
        <v>1</v>
      </c>
      <c r="S80" s="30">
        <f>IF($A80=S$70,0,IF(Input!$H$5="Nominal",1,(SUM(INDEX($W$21:$W$40,MIN($A80,S$70)):INDEX($W$21:$W$40,MAX($A80,S$70)))-(INDEX($W$21:$W$40,$A80)+INDEX($W$21:$W$40,S$70))/2)^2))</f>
        <v>1</v>
      </c>
      <c r="T80" s="30">
        <f>IF($A80=T$70,0,IF(Input!$H$5="Nominal",1,(SUM(INDEX($W$21:$W$40,MIN($A80,T$70)):INDEX($W$21:$W$40,MAX($A80,T$70)))-(INDEX($W$21:$W$40,$A80)+INDEX($W$21:$W$40,T$70))/2)^2))</f>
        <v>1</v>
      </c>
      <c r="U80" s="30">
        <f>IF($A80=U$70,0,IF(Input!$H$5="Nominal",1,(SUM(INDEX($W$21:$W$40,MIN($A80,U$70)):INDEX($W$21:$W$40,MAX($A80,U$70)))-(INDEX($W$21:$W$40,$A80)+INDEX($W$21:$W$40,U$70))/2)^2))</f>
        <v>1</v>
      </c>
      <c r="V80" s="30">
        <f>IF($A80=V$70,0,IF(Input!$H$5="Nominal",1,(SUM(INDEX($W$21:$W$40,MIN($A80,V$70)):INDEX($W$21:$W$40,MAX($A80,V$70)))-(INDEX($W$21:$W$40,$A80)+INDEX($W$21:$W$40,V$70))/2)^2))</f>
        <v>1</v>
      </c>
    </row>
    <row r="81" ht="15">
      <c r="A81" s="8">
        <v>10</v>
      </c>
      <c r="B81" s="8" t="str">
        <f>IF(Input!$H$19="","",Input!$H$19)</f>
        <v/>
      </c>
      <c r="C81" s="30">
        <f>IF($A81=C$70,0,IF(Input!$H$5="Nominal",1,(SUM(INDEX($W$21:$W$40,MIN($A81,C$70)):INDEX($W$21:$W$40,MAX($A81,C$70)))-(INDEX($W$21:$W$40,$A81)+INDEX($W$21:$W$40,C$70))/2)^2))</f>
        <v>1</v>
      </c>
      <c r="D81" s="30">
        <f>IF($A81=D$70,0,IF(Input!$H$5="Nominal",1,(SUM(INDEX($W$21:$W$40,MIN($A81,D$70)):INDEX($W$21:$W$40,MAX($A81,D$70)))-(INDEX($W$21:$W$40,$A81)+INDEX($W$21:$W$40,D$70))/2)^2))</f>
        <v>1</v>
      </c>
      <c r="E81" s="30">
        <f>IF($A81=E$70,0,IF(Input!$H$5="Nominal",1,(SUM(INDEX($W$21:$W$40,MIN($A81,E$70)):INDEX($W$21:$W$40,MAX($A81,E$70)))-(INDEX($W$21:$W$40,$A81)+INDEX($W$21:$W$40,E$70))/2)^2))</f>
        <v>1</v>
      </c>
      <c r="F81" s="30">
        <f>IF($A81=F$70,0,IF(Input!$H$5="Nominal",1,(SUM(INDEX($W$21:$W$40,MIN($A81,F$70)):INDEX($W$21:$W$40,MAX($A81,F$70)))-(INDEX($W$21:$W$40,$A81)+INDEX($W$21:$W$40,F$70))/2)^2))</f>
        <v>1</v>
      </c>
      <c r="G81" s="30">
        <f>IF($A81=G$70,0,IF(Input!$H$5="Nominal",1,(SUM(INDEX($W$21:$W$40,MIN($A81,G$70)):INDEX($W$21:$W$40,MAX($A81,G$70)))-(INDEX($W$21:$W$40,$A81)+INDEX($W$21:$W$40,G$70))/2)^2))</f>
        <v>1</v>
      </c>
      <c r="H81" s="30">
        <f>IF($A81=H$70,0,IF(Input!$H$5="Nominal",1,(SUM(INDEX($W$21:$W$40,MIN($A81,H$70)):INDEX($W$21:$W$40,MAX($A81,H$70)))-(INDEX($W$21:$W$40,$A81)+INDEX($W$21:$W$40,H$70))/2)^2))</f>
        <v>1</v>
      </c>
      <c r="I81" s="30">
        <f>IF($A81=I$70,0,IF(Input!$H$5="Nominal",1,(SUM(INDEX($W$21:$W$40,MIN($A81,I$70)):INDEX($W$21:$W$40,MAX($A81,I$70)))-(INDEX($W$21:$W$40,$A81)+INDEX($W$21:$W$40,I$70))/2)^2))</f>
        <v>1</v>
      </c>
      <c r="J81" s="30">
        <f>IF($A81=J$70,0,IF(Input!$H$5="Nominal",1,(SUM(INDEX($W$21:$W$40,MIN($A81,J$70)):INDEX($W$21:$W$40,MAX($A81,J$70)))-(INDEX($W$21:$W$40,$A81)+INDEX($W$21:$W$40,J$70))/2)^2))</f>
        <v>1</v>
      </c>
      <c r="K81" s="30">
        <f>IF($A81=K$70,0,IF(Input!$H$5="Nominal",1,(SUM(INDEX($W$21:$W$40,MIN($A81,K$70)):INDEX($W$21:$W$40,MAX($A81,K$70)))-(INDEX($W$21:$W$40,$A81)+INDEX($W$21:$W$40,K$70))/2)^2))</f>
        <v>1</v>
      </c>
      <c r="L81" s="30">
        <f>IF($A81=L$70,0,IF(Input!$H$5="Nominal",1,(SUM(INDEX($W$21:$W$40,MIN($A81,L$70)):INDEX($W$21:$W$40,MAX($A81,L$70)))-(INDEX($W$21:$W$40,$A81)+INDEX($W$21:$W$40,L$70))/2)^2))</f>
        <v>0</v>
      </c>
      <c r="M81" s="30">
        <f>IF($A81=M$70,0,IF(Input!$H$5="Nominal",1,(SUM(INDEX($W$21:$W$40,MIN($A81,M$70)):INDEX($W$21:$W$40,MAX($A81,M$70)))-(INDEX($W$21:$W$40,$A81)+INDEX($W$21:$W$40,M$70))/2)^2))</f>
        <v>1</v>
      </c>
      <c r="N81" s="30">
        <f>IF($A81=N$70,0,IF(Input!$H$5="Nominal",1,(SUM(INDEX($W$21:$W$40,MIN($A81,N$70)):INDEX($W$21:$W$40,MAX($A81,N$70)))-(INDEX($W$21:$W$40,$A81)+INDEX($W$21:$W$40,N$70))/2)^2))</f>
        <v>1</v>
      </c>
      <c r="O81" s="30">
        <f>IF($A81=O$70,0,IF(Input!$H$5="Nominal",1,(SUM(INDEX($W$21:$W$40,MIN($A81,O$70)):INDEX($W$21:$W$40,MAX($A81,O$70)))-(INDEX($W$21:$W$40,$A81)+INDEX($W$21:$W$40,O$70))/2)^2))</f>
        <v>1</v>
      </c>
      <c r="P81" s="30">
        <f>IF($A81=P$70,0,IF(Input!$H$5="Nominal",1,(SUM(INDEX($W$21:$W$40,MIN($A81,P$70)):INDEX($W$21:$W$40,MAX($A81,P$70)))-(INDEX($W$21:$W$40,$A81)+INDEX($W$21:$W$40,P$70))/2)^2))</f>
        <v>1</v>
      </c>
      <c r="Q81" s="30">
        <f>IF($A81=Q$70,0,IF(Input!$H$5="Nominal",1,(SUM(INDEX($W$21:$W$40,MIN($A81,Q$70)):INDEX($W$21:$W$40,MAX($A81,Q$70)))-(INDEX($W$21:$W$40,$A81)+INDEX($W$21:$W$40,Q$70))/2)^2))</f>
        <v>1</v>
      </c>
      <c r="R81" s="30">
        <f>IF($A81=R$70,0,IF(Input!$H$5="Nominal",1,(SUM(INDEX($W$21:$W$40,MIN($A81,R$70)):INDEX($W$21:$W$40,MAX($A81,R$70)))-(INDEX($W$21:$W$40,$A81)+INDEX($W$21:$W$40,R$70))/2)^2))</f>
        <v>1</v>
      </c>
      <c r="S81" s="30">
        <f>IF($A81=S$70,0,IF(Input!$H$5="Nominal",1,(SUM(INDEX($W$21:$W$40,MIN($A81,S$70)):INDEX($W$21:$W$40,MAX($A81,S$70)))-(INDEX($W$21:$W$40,$A81)+INDEX($W$21:$W$40,S$70))/2)^2))</f>
        <v>1</v>
      </c>
      <c r="T81" s="30">
        <f>IF($A81=T$70,0,IF(Input!$H$5="Nominal",1,(SUM(INDEX($W$21:$W$40,MIN($A81,T$70)):INDEX($W$21:$W$40,MAX($A81,T$70)))-(INDEX($W$21:$W$40,$A81)+INDEX($W$21:$W$40,T$70))/2)^2))</f>
        <v>1</v>
      </c>
      <c r="U81" s="30">
        <f>IF($A81=U$70,0,IF(Input!$H$5="Nominal",1,(SUM(INDEX($W$21:$W$40,MIN($A81,U$70)):INDEX($W$21:$W$40,MAX($A81,U$70)))-(INDEX($W$21:$W$40,$A81)+INDEX($W$21:$W$40,U$70))/2)^2))</f>
        <v>1</v>
      </c>
      <c r="V81" s="30">
        <f>IF($A81=V$70,0,IF(Input!$H$5="Nominal",1,(SUM(INDEX($W$21:$W$40,MIN($A81,V$70)):INDEX($W$21:$W$40,MAX($A81,V$70)))-(INDEX($W$21:$W$40,$A81)+INDEX($W$21:$W$40,V$70))/2)^2))</f>
        <v>1</v>
      </c>
    </row>
    <row r="82" ht="15">
      <c r="A82" s="8">
        <v>11</v>
      </c>
      <c r="B82" s="8" t="str">
        <f>IF(Input!$H$20="","",Input!$H$20)</f>
        <v/>
      </c>
      <c r="C82" s="30">
        <f>IF($A82=C$70,0,IF(Input!$H$5="Nominal",1,(SUM(INDEX($W$21:$W$40,MIN($A82,C$70)):INDEX($W$21:$W$40,MAX($A82,C$70)))-(INDEX($W$21:$W$40,$A82)+INDEX($W$21:$W$40,C$70))/2)^2))</f>
        <v>1</v>
      </c>
      <c r="D82" s="30">
        <f>IF($A82=D$70,0,IF(Input!$H$5="Nominal",1,(SUM(INDEX($W$21:$W$40,MIN($A82,D$70)):INDEX($W$21:$W$40,MAX($A82,D$70)))-(INDEX($W$21:$W$40,$A82)+INDEX($W$21:$W$40,D$70))/2)^2))</f>
        <v>1</v>
      </c>
      <c r="E82" s="30">
        <f>IF($A82=E$70,0,IF(Input!$H$5="Nominal",1,(SUM(INDEX($W$21:$W$40,MIN($A82,E$70)):INDEX($W$21:$W$40,MAX($A82,E$70)))-(INDEX($W$21:$W$40,$A82)+INDEX($W$21:$W$40,E$70))/2)^2))</f>
        <v>1</v>
      </c>
      <c r="F82" s="30">
        <f>IF($A82=F$70,0,IF(Input!$H$5="Nominal",1,(SUM(INDEX($W$21:$W$40,MIN($A82,F$70)):INDEX($W$21:$W$40,MAX($A82,F$70)))-(INDEX($W$21:$W$40,$A82)+INDEX($W$21:$W$40,F$70))/2)^2))</f>
        <v>1</v>
      </c>
      <c r="G82" s="30">
        <f>IF($A82=G$70,0,IF(Input!$H$5="Nominal",1,(SUM(INDEX($W$21:$W$40,MIN($A82,G$70)):INDEX($W$21:$W$40,MAX($A82,G$70)))-(INDEX($W$21:$W$40,$A82)+INDEX($W$21:$W$40,G$70))/2)^2))</f>
        <v>1</v>
      </c>
      <c r="H82" s="30">
        <f>IF($A82=H$70,0,IF(Input!$H$5="Nominal",1,(SUM(INDEX($W$21:$W$40,MIN($A82,H$70)):INDEX($W$21:$W$40,MAX($A82,H$70)))-(INDEX($W$21:$W$40,$A82)+INDEX($W$21:$W$40,H$70))/2)^2))</f>
        <v>1</v>
      </c>
      <c r="I82" s="30">
        <f>IF($A82=I$70,0,IF(Input!$H$5="Nominal",1,(SUM(INDEX($W$21:$W$40,MIN($A82,I$70)):INDEX($W$21:$W$40,MAX($A82,I$70)))-(INDEX($W$21:$W$40,$A82)+INDEX($W$21:$W$40,I$70))/2)^2))</f>
        <v>1</v>
      </c>
      <c r="J82" s="30">
        <f>IF($A82=J$70,0,IF(Input!$H$5="Nominal",1,(SUM(INDEX($W$21:$W$40,MIN($A82,J$70)):INDEX($W$21:$W$40,MAX($A82,J$70)))-(INDEX($W$21:$W$40,$A82)+INDEX($W$21:$W$40,J$70))/2)^2))</f>
        <v>1</v>
      </c>
      <c r="K82" s="30">
        <f>IF($A82=K$70,0,IF(Input!$H$5="Nominal",1,(SUM(INDEX($W$21:$W$40,MIN($A82,K$70)):INDEX($W$21:$W$40,MAX($A82,K$70)))-(INDEX($W$21:$W$40,$A82)+INDEX($W$21:$W$40,K$70))/2)^2))</f>
        <v>1</v>
      </c>
      <c r="L82" s="30">
        <f>IF($A82=L$70,0,IF(Input!$H$5="Nominal",1,(SUM(INDEX($W$21:$W$40,MIN($A82,L$70)):INDEX($W$21:$W$40,MAX($A82,L$70)))-(INDEX($W$21:$W$40,$A82)+INDEX($W$21:$W$40,L$70))/2)^2))</f>
        <v>1</v>
      </c>
      <c r="M82" s="30">
        <f>IF($A82=M$70,0,IF(Input!$H$5="Nominal",1,(SUM(INDEX($W$21:$W$40,MIN($A82,M$70)):INDEX($W$21:$W$40,MAX($A82,M$70)))-(INDEX($W$21:$W$40,$A82)+INDEX($W$21:$W$40,M$70))/2)^2))</f>
        <v>0</v>
      </c>
      <c r="N82" s="30">
        <f>IF($A82=N$70,0,IF(Input!$H$5="Nominal",1,(SUM(INDEX($W$21:$W$40,MIN($A82,N$70)):INDEX($W$21:$W$40,MAX($A82,N$70)))-(INDEX($W$21:$W$40,$A82)+INDEX($W$21:$W$40,N$70))/2)^2))</f>
        <v>1</v>
      </c>
      <c r="O82" s="30">
        <f>IF($A82=O$70,0,IF(Input!$H$5="Nominal",1,(SUM(INDEX($W$21:$W$40,MIN($A82,O$70)):INDEX($W$21:$W$40,MAX($A82,O$70)))-(INDEX($W$21:$W$40,$A82)+INDEX($W$21:$W$40,O$70))/2)^2))</f>
        <v>1</v>
      </c>
      <c r="P82" s="30">
        <f>IF($A82=P$70,0,IF(Input!$H$5="Nominal",1,(SUM(INDEX($W$21:$W$40,MIN($A82,P$70)):INDEX($W$21:$W$40,MAX($A82,P$70)))-(INDEX($W$21:$W$40,$A82)+INDEX($W$21:$W$40,P$70))/2)^2))</f>
        <v>1</v>
      </c>
      <c r="Q82" s="30">
        <f>IF($A82=Q$70,0,IF(Input!$H$5="Nominal",1,(SUM(INDEX($W$21:$W$40,MIN($A82,Q$70)):INDEX($W$21:$W$40,MAX($A82,Q$70)))-(INDEX($W$21:$W$40,$A82)+INDEX($W$21:$W$40,Q$70))/2)^2))</f>
        <v>1</v>
      </c>
      <c r="R82" s="30">
        <f>IF($A82=R$70,0,IF(Input!$H$5="Nominal",1,(SUM(INDEX($W$21:$W$40,MIN($A82,R$70)):INDEX($W$21:$W$40,MAX($A82,R$70)))-(INDEX($W$21:$W$40,$A82)+INDEX($W$21:$W$40,R$70))/2)^2))</f>
        <v>1</v>
      </c>
      <c r="S82" s="30">
        <f>IF($A82=S$70,0,IF(Input!$H$5="Nominal",1,(SUM(INDEX($W$21:$W$40,MIN($A82,S$70)):INDEX($W$21:$W$40,MAX($A82,S$70)))-(INDEX($W$21:$W$40,$A82)+INDEX($W$21:$W$40,S$70))/2)^2))</f>
        <v>1</v>
      </c>
      <c r="T82" s="30">
        <f>IF($A82=T$70,0,IF(Input!$H$5="Nominal",1,(SUM(INDEX($W$21:$W$40,MIN($A82,T$70)):INDEX($W$21:$W$40,MAX($A82,T$70)))-(INDEX($W$21:$W$40,$A82)+INDEX($W$21:$W$40,T$70))/2)^2))</f>
        <v>1</v>
      </c>
      <c r="U82" s="30">
        <f>IF($A82=U$70,0,IF(Input!$H$5="Nominal",1,(SUM(INDEX($W$21:$W$40,MIN($A82,U$70)):INDEX($W$21:$W$40,MAX($A82,U$70)))-(INDEX($W$21:$W$40,$A82)+INDEX($W$21:$W$40,U$70))/2)^2))</f>
        <v>1</v>
      </c>
      <c r="V82" s="30">
        <f>IF($A82=V$70,0,IF(Input!$H$5="Nominal",1,(SUM(INDEX($W$21:$W$40,MIN($A82,V$70)):INDEX($W$21:$W$40,MAX($A82,V$70)))-(INDEX($W$21:$W$40,$A82)+INDEX($W$21:$W$40,V$70))/2)^2))</f>
        <v>1</v>
      </c>
    </row>
    <row r="83" ht="15">
      <c r="A83" s="8">
        <v>12</v>
      </c>
      <c r="B83" s="8" t="str">
        <f>IF(Input!$H$21="","",Input!$H$21)</f>
        <v/>
      </c>
      <c r="C83" s="30">
        <f>IF($A83=C$70,0,IF(Input!$H$5="Nominal",1,(SUM(INDEX($W$21:$W$40,MIN($A83,C$70)):INDEX($W$21:$W$40,MAX($A83,C$70)))-(INDEX($W$21:$W$40,$A83)+INDEX($W$21:$W$40,C$70))/2)^2))</f>
        <v>1</v>
      </c>
      <c r="D83" s="30">
        <f>IF($A83=D$70,0,IF(Input!$H$5="Nominal",1,(SUM(INDEX($W$21:$W$40,MIN($A83,D$70)):INDEX($W$21:$W$40,MAX($A83,D$70)))-(INDEX($W$21:$W$40,$A83)+INDEX($W$21:$W$40,D$70))/2)^2))</f>
        <v>1</v>
      </c>
      <c r="E83" s="30">
        <f>IF($A83=E$70,0,IF(Input!$H$5="Nominal",1,(SUM(INDEX($W$21:$W$40,MIN($A83,E$70)):INDEX($W$21:$W$40,MAX($A83,E$70)))-(INDEX($W$21:$W$40,$A83)+INDEX($W$21:$W$40,E$70))/2)^2))</f>
        <v>1</v>
      </c>
      <c r="F83" s="30">
        <f>IF($A83=F$70,0,IF(Input!$H$5="Nominal",1,(SUM(INDEX($W$21:$W$40,MIN($A83,F$70)):INDEX($W$21:$W$40,MAX($A83,F$70)))-(INDEX($W$21:$W$40,$A83)+INDEX($W$21:$W$40,F$70))/2)^2))</f>
        <v>1</v>
      </c>
      <c r="G83" s="30">
        <f>IF($A83=G$70,0,IF(Input!$H$5="Nominal",1,(SUM(INDEX($W$21:$W$40,MIN($A83,G$70)):INDEX($W$21:$W$40,MAX($A83,G$70)))-(INDEX($W$21:$W$40,$A83)+INDEX($W$21:$W$40,G$70))/2)^2))</f>
        <v>1</v>
      </c>
      <c r="H83" s="30">
        <f>IF($A83=H$70,0,IF(Input!$H$5="Nominal",1,(SUM(INDEX($W$21:$W$40,MIN($A83,H$70)):INDEX($W$21:$W$40,MAX($A83,H$70)))-(INDEX($W$21:$W$40,$A83)+INDEX($W$21:$W$40,H$70))/2)^2))</f>
        <v>1</v>
      </c>
      <c r="I83" s="30">
        <f>IF($A83=I$70,0,IF(Input!$H$5="Nominal",1,(SUM(INDEX($W$21:$W$40,MIN($A83,I$70)):INDEX($W$21:$W$40,MAX($A83,I$70)))-(INDEX($W$21:$W$40,$A83)+INDEX($W$21:$W$40,I$70))/2)^2))</f>
        <v>1</v>
      </c>
      <c r="J83" s="30">
        <f>IF($A83=J$70,0,IF(Input!$H$5="Nominal",1,(SUM(INDEX($W$21:$W$40,MIN($A83,J$70)):INDEX($W$21:$W$40,MAX($A83,J$70)))-(INDEX($W$21:$W$40,$A83)+INDEX($W$21:$W$40,J$70))/2)^2))</f>
        <v>1</v>
      </c>
      <c r="K83" s="30">
        <f>IF($A83=K$70,0,IF(Input!$H$5="Nominal",1,(SUM(INDEX($W$21:$W$40,MIN($A83,K$70)):INDEX($W$21:$W$40,MAX($A83,K$70)))-(INDEX($W$21:$W$40,$A83)+INDEX($W$21:$W$40,K$70))/2)^2))</f>
        <v>1</v>
      </c>
      <c r="L83" s="30">
        <f>IF($A83=L$70,0,IF(Input!$H$5="Nominal",1,(SUM(INDEX($W$21:$W$40,MIN($A83,L$70)):INDEX($W$21:$W$40,MAX($A83,L$70)))-(INDEX($W$21:$W$40,$A83)+INDEX($W$21:$W$40,L$70))/2)^2))</f>
        <v>1</v>
      </c>
      <c r="M83" s="30">
        <f>IF($A83=M$70,0,IF(Input!$H$5="Nominal",1,(SUM(INDEX($W$21:$W$40,MIN($A83,M$70)):INDEX($W$21:$W$40,MAX($A83,M$70)))-(INDEX($W$21:$W$40,$A83)+INDEX($W$21:$W$40,M$70))/2)^2))</f>
        <v>1</v>
      </c>
      <c r="N83" s="30">
        <f>IF($A83=N$70,0,IF(Input!$H$5="Nominal",1,(SUM(INDEX($W$21:$W$40,MIN($A83,N$70)):INDEX($W$21:$W$40,MAX($A83,N$70)))-(INDEX($W$21:$W$40,$A83)+INDEX($W$21:$W$40,N$70))/2)^2))</f>
        <v>0</v>
      </c>
      <c r="O83" s="30">
        <f>IF($A83=O$70,0,IF(Input!$H$5="Nominal",1,(SUM(INDEX($W$21:$W$40,MIN($A83,O$70)):INDEX($W$21:$W$40,MAX($A83,O$70)))-(INDEX($W$21:$W$40,$A83)+INDEX($W$21:$W$40,O$70))/2)^2))</f>
        <v>1</v>
      </c>
      <c r="P83" s="30">
        <f>IF($A83=P$70,0,IF(Input!$H$5="Nominal",1,(SUM(INDEX($W$21:$W$40,MIN($A83,P$70)):INDEX($W$21:$W$40,MAX($A83,P$70)))-(INDEX($W$21:$W$40,$A83)+INDEX($W$21:$W$40,P$70))/2)^2))</f>
        <v>1</v>
      </c>
      <c r="Q83" s="30">
        <f>IF($A83=Q$70,0,IF(Input!$H$5="Nominal",1,(SUM(INDEX($W$21:$W$40,MIN($A83,Q$70)):INDEX($W$21:$W$40,MAX($A83,Q$70)))-(INDEX($W$21:$W$40,$A83)+INDEX($W$21:$W$40,Q$70))/2)^2))</f>
        <v>1</v>
      </c>
      <c r="R83" s="30">
        <f>IF($A83=R$70,0,IF(Input!$H$5="Nominal",1,(SUM(INDEX($W$21:$W$40,MIN($A83,R$70)):INDEX($W$21:$W$40,MAX($A83,R$70)))-(INDEX($W$21:$W$40,$A83)+INDEX($W$21:$W$40,R$70))/2)^2))</f>
        <v>1</v>
      </c>
      <c r="S83" s="30">
        <f>IF($A83=S$70,0,IF(Input!$H$5="Nominal",1,(SUM(INDEX($W$21:$W$40,MIN($A83,S$70)):INDEX($W$21:$W$40,MAX($A83,S$70)))-(INDEX($W$21:$W$40,$A83)+INDEX($W$21:$W$40,S$70))/2)^2))</f>
        <v>1</v>
      </c>
      <c r="T83" s="30">
        <f>IF($A83=T$70,0,IF(Input!$H$5="Nominal",1,(SUM(INDEX($W$21:$W$40,MIN($A83,T$70)):INDEX($W$21:$W$40,MAX($A83,T$70)))-(INDEX($W$21:$W$40,$A83)+INDEX($W$21:$W$40,T$70))/2)^2))</f>
        <v>1</v>
      </c>
      <c r="U83" s="30">
        <f>IF($A83=U$70,0,IF(Input!$H$5="Nominal",1,(SUM(INDEX($W$21:$W$40,MIN($A83,U$70)):INDEX($W$21:$W$40,MAX($A83,U$70)))-(INDEX($W$21:$W$40,$A83)+INDEX($W$21:$W$40,U$70))/2)^2))</f>
        <v>1</v>
      </c>
      <c r="V83" s="30">
        <f>IF($A83=V$70,0,IF(Input!$H$5="Nominal",1,(SUM(INDEX($W$21:$W$40,MIN($A83,V$70)):INDEX($W$21:$W$40,MAX($A83,V$70)))-(INDEX($W$21:$W$40,$A83)+INDEX($W$21:$W$40,V$70))/2)^2))</f>
        <v>1</v>
      </c>
    </row>
    <row r="84" ht="15">
      <c r="A84" s="8">
        <v>13</v>
      </c>
      <c r="B84" s="8" t="str">
        <f>IF(Input!$H$22="","",Input!$H$22)</f>
        <v/>
      </c>
      <c r="C84" s="30">
        <f>IF($A84=C$70,0,IF(Input!$H$5="Nominal",1,(SUM(INDEX($W$21:$W$40,MIN($A84,C$70)):INDEX($W$21:$W$40,MAX($A84,C$70)))-(INDEX($W$21:$W$40,$A84)+INDEX($W$21:$W$40,C$70))/2)^2))</f>
        <v>1</v>
      </c>
      <c r="D84" s="30">
        <f>IF($A84=D$70,0,IF(Input!$H$5="Nominal",1,(SUM(INDEX($W$21:$W$40,MIN($A84,D$70)):INDEX($W$21:$W$40,MAX($A84,D$70)))-(INDEX($W$21:$W$40,$A84)+INDEX($W$21:$W$40,D$70))/2)^2))</f>
        <v>1</v>
      </c>
      <c r="E84" s="30">
        <f>IF($A84=E$70,0,IF(Input!$H$5="Nominal",1,(SUM(INDEX($W$21:$W$40,MIN($A84,E$70)):INDEX($W$21:$W$40,MAX($A84,E$70)))-(INDEX($W$21:$W$40,$A84)+INDEX($W$21:$W$40,E$70))/2)^2))</f>
        <v>1</v>
      </c>
      <c r="F84" s="30">
        <f>IF($A84=F$70,0,IF(Input!$H$5="Nominal",1,(SUM(INDEX($W$21:$W$40,MIN($A84,F$70)):INDEX($W$21:$W$40,MAX($A84,F$70)))-(INDEX($W$21:$W$40,$A84)+INDEX($W$21:$W$40,F$70))/2)^2))</f>
        <v>1</v>
      </c>
      <c r="G84" s="30">
        <f>IF($A84=G$70,0,IF(Input!$H$5="Nominal",1,(SUM(INDEX($W$21:$W$40,MIN($A84,G$70)):INDEX($W$21:$W$40,MAX($A84,G$70)))-(INDEX($W$21:$W$40,$A84)+INDEX($W$21:$W$40,G$70))/2)^2))</f>
        <v>1</v>
      </c>
      <c r="H84" s="30">
        <f>IF($A84=H$70,0,IF(Input!$H$5="Nominal",1,(SUM(INDEX($W$21:$W$40,MIN($A84,H$70)):INDEX($W$21:$W$40,MAX($A84,H$70)))-(INDEX($W$21:$W$40,$A84)+INDEX($W$21:$W$40,H$70))/2)^2))</f>
        <v>1</v>
      </c>
      <c r="I84" s="30">
        <f>IF($A84=I$70,0,IF(Input!$H$5="Nominal",1,(SUM(INDEX($W$21:$W$40,MIN($A84,I$70)):INDEX($W$21:$W$40,MAX($A84,I$70)))-(INDEX($W$21:$W$40,$A84)+INDEX($W$21:$W$40,I$70))/2)^2))</f>
        <v>1</v>
      </c>
      <c r="J84" s="30">
        <f>IF($A84=J$70,0,IF(Input!$H$5="Nominal",1,(SUM(INDEX($W$21:$W$40,MIN($A84,J$70)):INDEX($W$21:$W$40,MAX($A84,J$70)))-(INDEX($W$21:$W$40,$A84)+INDEX($W$21:$W$40,J$70))/2)^2))</f>
        <v>1</v>
      </c>
      <c r="K84" s="30">
        <f>IF($A84=K$70,0,IF(Input!$H$5="Nominal",1,(SUM(INDEX($W$21:$W$40,MIN($A84,K$70)):INDEX($W$21:$W$40,MAX($A84,K$70)))-(INDEX($W$21:$W$40,$A84)+INDEX($W$21:$W$40,K$70))/2)^2))</f>
        <v>1</v>
      </c>
      <c r="L84" s="30">
        <f>IF($A84=L$70,0,IF(Input!$H$5="Nominal",1,(SUM(INDEX($W$21:$W$40,MIN($A84,L$70)):INDEX($W$21:$W$40,MAX($A84,L$70)))-(INDEX($W$21:$W$40,$A84)+INDEX($W$21:$W$40,L$70))/2)^2))</f>
        <v>1</v>
      </c>
      <c r="M84" s="30">
        <f>IF($A84=M$70,0,IF(Input!$H$5="Nominal",1,(SUM(INDEX($W$21:$W$40,MIN($A84,M$70)):INDEX($W$21:$W$40,MAX($A84,M$70)))-(INDEX($W$21:$W$40,$A84)+INDEX($W$21:$W$40,M$70))/2)^2))</f>
        <v>1</v>
      </c>
      <c r="N84" s="30">
        <f>IF($A84=N$70,0,IF(Input!$H$5="Nominal",1,(SUM(INDEX($W$21:$W$40,MIN($A84,N$70)):INDEX($W$21:$W$40,MAX($A84,N$70)))-(INDEX($W$21:$W$40,$A84)+INDEX($W$21:$W$40,N$70))/2)^2))</f>
        <v>1</v>
      </c>
      <c r="O84" s="30">
        <f>IF($A84=O$70,0,IF(Input!$H$5="Nominal",1,(SUM(INDEX($W$21:$W$40,MIN($A84,O$70)):INDEX($W$21:$W$40,MAX($A84,O$70)))-(INDEX($W$21:$W$40,$A84)+INDEX($W$21:$W$40,O$70))/2)^2))</f>
        <v>0</v>
      </c>
      <c r="P84" s="30">
        <f>IF($A84=P$70,0,IF(Input!$H$5="Nominal",1,(SUM(INDEX($W$21:$W$40,MIN($A84,P$70)):INDEX($W$21:$W$40,MAX($A84,P$70)))-(INDEX($W$21:$W$40,$A84)+INDEX($W$21:$W$40,P$70))/2)^2))</f>
        <v>1</v>
      </c>
      <c r="Q84" s="30">
        <f>IF($A84=Q$70,0,IF(Input!$H$5="Nominal",1,(SUM(INDEX($W$21:$W$40,MIN($A84,Q$70)):INDEX($W$21:$W$40,MAX($A84,Q$70)))-(INDEX($W$21:$W$40,$A84)+INDEX($W$21:$W$40,Q$70))/2)^2))</f>
        <v>1</v>
      </c>
      <c r="R84" s="30">
        <f>IF($A84=R$70,0,IF(Input!$H$5="Nominal",1,(SUM(INDEX($W$21:$W$40,MIN($A84,R$70)):INDEX($W$21:$W$40,MAX($A84,R$70)))-(INDEX($W$21:$W$40,$A84)+INDEX($W$21:$W$40,R$70))/2)^2))</f>
        <v>1</v>
      </c>
      <c r="S84" s="30">
        <f>IF($A84=S$70,0,IF(Input!$H$5="Nominal",1,(SUM(INDEX($W$21:$W$40,MIN($A84,S$70)):INDEX($W$21:$W$40,MAX($A84,S$70)))-(INDEX($W$21:$W$40,$A84)+INDEX($W$21:$W$40,S$70))/2)^2))</f>
        <v>1</v>
      </c>
      <c r="T84" s="30">
        <f>IF($A84=T$70,0,IF(Input!$H$5="Nominal",1,(SUM(INDEX($W$21:$W$40,MIN($A84,T$70)):INDEX($W$21:$W$40,MAX($A84,T$70)))-(INDEX($W$21:$W$40,$A84)+INDEX($W$21:$W$40,T$70))/2)^2))</f>
        <v>1</v>
      </c>
      <c r="U84" s="30">
        <f>IF($A84=U$70,0,IF(Input!$H$5="Nominal",1,(SUM(INDEX($W$21:$W$40,MIN($A84,U$70)):INDEX($W$21:$W$40,MAX($A84,U$70)))-(INDEX($W$21:$W$40,$A84)+INDEX($W$21:$W$40,U$70))/2)^2))</f>
        <v>1</v>
      </c>
      <c r="V84" s="30">
        <f>IF($A84=V$70,0,IF(Input!$H$5="Nominal",1,(SUM(INDEX($W$21:$W$40,MIN($A84,V$70)):INDEX($W$21:$W$40,MAX($A84,V$70)))-(INDEX($W$21:$W$40,$A84)+INDEX($W$21:$W$40,V$70))/2)^2))</f>
        <v>1</v>
      </c>
    </row>
    <row r="85" ht="15">
      <c r="A85" s="8">
        <v>14</v>
      </c>
      <c r="B85" s="8" t="str">
        <f>IF(Input!$H$23="","",Input!$H$23)</f>
        <v/>
      </c>
      <c r="C85" s="30">
        <f>IF($A85=C$70,0,IF(Input!$H$5="Nominal",1,(SUM(INDEX($W$21:$W$40,MIN($A85,C$70)):INDEX($W$21:$W$40,MAX($A85,C$70)))-(INDEX($W$21:$W$40,$A85)+INDEX($W$21:$W$40,C$70))/2)^2))</f>
        <v>1</v>
      </c>
      <c r="D85" s="30">
        <f>IF($A85=D$70,0,IF(Input!$H$5="Nominal",1,(SUM(INDEX($W$21:$W$40,MIN($A85,D$70)):INDEX($W$21:$W$40,MAX($A85,D$70)))-(INDEX($W$21:$W$40,$A85)+INDEX($W$21:$W$40,D$70))/2)^2))</f>
        <v>1</v>
      </c>
      <c r="E85" s="30">
        <f>IF($A85=E$70,0,IF(Input!$H$5="Nominal",1,(SUM(INDEX($W$21:$W$40,MIN($A85,E$70)):INDEX($W$21:$W$40,MAX($A85,E$70)))-(INDEX($W$21:$W$40,$A85)+INDEX($W$21:$W$40,E$70))/2)^2))</f>
        <v>1</v>
      </c>
      <c r="F85" s="30">
        <f>IF($A85=F$70,0,IF(Input!$H$5="Nominal",1,(SUM(INDEX($W$21:$W$40,MIN($A85,F$70)):INDEX($W$21:$W$40,MAX($A85,F$70)))-(INDEX($W$21:$W$40,$A85)+INDEX($W$21:$W$40,F$70))/2)^2))</f>
        <v>1</v>
      </c>
      <c r="G85" s="30">
        <f>IF($A85=G$70,0,IF(Input!$H$5="Nominal",1,(SUM(INDEX($W$21:$W$40,MIN($A85,G$70)):INDEX($W$21:$W$40,MAX($A85,G$70)))-(INDEX($W$21:$W$40,$A85)+INDEX($W$21:$W$40,G$70))/2)^2))</f>
        <v>1</v>
      </c>
      <c r="H85" s="30">
        <f>IF($A85=H$70,0,IF(Input!$H$5="Nominal",1,(SUM(INDEX($W$21:$W$40,MIN($A85,H$70)):INDEX($W$21:$W$40,MAX($A85,H$70)))-(INDEX($W$21:$W$40,$A85)+INDEX($W$21:$W$40,H$70))/2)^2))</f>
        <v>1</v>
      </c>
      <c r="I85" s="30">
        <f>IF($A85=I$70,0,IF(Input!$H$5="Nominal",1,(SUM(INDEX($W$21:$W$40,MIN($A85,I$70)):INDEX($W$21:$W$40,MAX($A85,I$70)))-(INDEX($W$21:$W$40,$A85)+INDEX($W$21:$W$40,I$70))/2)^2))</f>
        <v>1</v>
      </c>
      <c r="J85" s="30">
        <f>IF($A85=J$70,0,IF(Input!$H$5="Nominal",1,(SUM(INDEX($W$21:$W$40,MIN($A85,J$70)):INDEX($W$21:$W$40,MAX($A85,J$70)))-(INDEX($W$21:$W$40,$A85)+INDEX($W$21:$W$40,J$70))/2)^2))</f>
        <v>1</v>
      </c>
      <c r="K85" s="30">
        <f>IF($A85=K$70,0,IF(Input!$H$5="Nominal",1,(SUM(INDEX($W$21:$W$40,MIN($A85,K$70)):INDEX($W$21:$W$40,MAX($A85,K$70)))-(INDEX($W$21:$W$40,$A85)+INDEX($W$21:$W$40,K$70))/2)^2))</f>
        <v>1</v>
      </c>
      <c r="L85" s="30">
        <f>IF($A85=L$70,0,IF(Input!$H$5="Nominal",1,(SUM(INDEX($W$21:$W$40,MIN($A85,L$70)):INDEX($W$21:$W$40,MAX($A85,L$70)))-(INDEX($W$21:$W$40,$A85)+INDEX($W$21:$W$40,L$70))/2)^2))</f>
        <v>1</v>
      </c>
      <c r="M85" s="30">
        <f>IF($A85=M$70,0,IF(Input!$H$5="Nominal",1,(SUM(INDEX($W$21:$W$40,MIN($A85,M$70)):INDEX($W$21:$W$40,MAX($A85,M$70)))-(INDEX($W$21:$W$40,$A85)+INDEX($W$21:$W$40,M$70))/2)^2))</f>
        <v>1</v>
      </c>
      <c r="N85" s="30">
        <f>IF($A85=N$70,0,IF(Input!$H$5="Nominal",1,(SUM(INDEX($W$21:$W$40,MIN($A85,N$70)):INDEX($W$21:$W$40,MAX($A85,N$70)))-(INDEX($W$21:$W$40,$A85)+INDEX($W$21:$W$40,N$70))/2)^2))</f>
        <v>1</v>
      </c>
      <c r="O85" s="30">
        <f>IF($A85=O$70,0,IF(Input!$H$5="Nominal",1,(SUM(INDEX($W$21:$W$40,MIN($A85,O$70)):INDEX($W$21:$W$40,MAX($A85,O$70)))-(INDEX($W$21:$W$40,$A85)+INDEX($W$21:$W$40,O$70))/2)^2))</f>
        <v>1</v>
      </c>
      <c r="P85" s="30">
        <f>IF($A85=P$70,0,IF(Input!$H$5="Nominal",1,(SUM(INDEX($W$21:$W$40,MIN($A85,P$70)):INDEX($W$21:$W$40,MAX($A85,P$70)))-(INDEX($W$21:$W$40,$A85)+INDEX($W$21:$W$40,P$70))/2)^2))</f>
        <v>0</v>
      </c>
      <c r="Q85" s="30">
        <f>IF($A85=Q$70,0,IF(Input!$H$5="Nominal",1,(SUM(INDEX($W$21:$W$40,MIN($A85,Q$70)):INDEX($W$21:$W$40,MAX($A85,Q$70)))-(INDEX($W$21:$W$40,$A85)+INDEX($W$21:$W$40,Q$70))/2)^2))</f>
        <v>1</v>
      </c>
      <c r="R85" s="30">
        <f>IF($A85=R$70,0,IF(Input!$H$5="Nominal",1,(SUM(INDEX($W$21:$W$40,MIN($A85,R$70)):INDEX($W$21:$W$40,MAX($A85,R$70)))-(INDEX($W$21:$W$40,$A85)+INDEX($W$21:$W$40,R$70))/2)^2))</f>
        <v>1</v>
      </c>
      <c r="S85" s="30">
        <f>IF($A85=S$70,0,IF(Input!$H$5="Nominal",1,(SUM(INDEX($W$21:$W$40,MIN($A85,S$70)):INDEX($W$21:$W$40,MAX($A85,S$70)))-(INDEX($W$21:$W$40,$A85)+INDEX($W$21:$W$40,S$70))/2)^2))</f>
        <v>1</v>
      </c>
      <c r="T85" s="30">
        <f>IF($A85=T$70,0,IF(Input!$H$5="Nominal",1,(SUM(INDEX($W$21:$W$40,MIN($A85,T$70)):INDEX($W$21:$W$40,MAX($A85,T$70)))-(INDEX($W$21:$W$40,$A85)+INDEX($W$21:$W$40,T$70))/2)^2))</f>
        <v>1</v>
      </c>
      <c r="U85" s="30">
        <f>IF($A85=U$70,0,IF(Input!$H$5="Nominal",1,(SUM(INDEX($W$21:$W$40,MIN($A85,U$70)):INDEX($W$21:$W$40,MAX($A85,U$70)))-(INDEX($W$21:$W$40,$A85)+INDEX($W$21:$W$40,U$70))/2)^2))</f>
        <v>1</v>
      </c>
      <c r="V85" s="30">
        <f>IF($A85=V$70,0,IF(Input!$H$5="Nominal",1,(SUM(INDEX($W$21:$W$40,MIN($A85,V$70)):INDEX($W$21:$W$40,MAX($A85,V$70)))-(INDEX($W$21:$W$40,$A85)+INDEX($W$21:$W$40,V$70))/2)^2))</f>
        <v>1</v>
      </c>
    </row>
    <row r="86" ht="15">
      <c r="A86" s="8">
        <v>15</v>
      </c>
      <c r="B86" s="8" t="str">
        <f>IF(Input!$H$24="","",Input!$H$24)</f>
        <v/>
      </c>
      <c r="C86" s="30">
        <f>IF($A86=C$70,0,IF(Input!$H$5="Nominal",1,(SUM(INDEX($W$21:$W$40,MIN($A86,C$70)):INDEX($W$21:$W$40,MAX($A86,C$70)))-(INDEX($W$21:$W$40,$A86)+INDEX($W$21:$W$40,C$70))/2)^2))</f>
        <v>1</v>
      </c>
      <c r="D86" s="30">
        <f>IF($A86=D$70,0,IF(Input!$H$5="Nominal",1,(SUM(INDEX($W$21:$W$40,MIN($A86,D$70)):INDEX($W$21:$W$40,MAX($A86,D$70)))-(INDEX($W$21:$W$40,$A86)+INDEX($W$21:$W$40,D$70))/2)^2))</f>
        <v>1</v>
      </c>
      <c r="E86" s="30">
        <f>IF($A86=E$70,0,IF(Input!$H$5="Nominal",1,(SUM(INDEX($W$21:$W$40,MIN($A86,E$70)):INDEX($W$21:$W$40,MAX($A86,E$70)))-(INDEX($W$21:$W$40,$A86)+INDEX($W$21:$W$40,E$70))/2)^2))</f>
        <v>1</v>
      </c>
      <c r="F86" s="30">
        <f>IF($A86=F$70,0,IF(Input!$H$5="Nominal",1,(SUM(INDEX($W$21:$W$40,MIN($A86,F$70)):INDEX($W$21:$W$40,MAX($A86,F$70)))-(INDEX($W$21:$W$40,$A86)+INDEX($W$21:$W$40,F$70))/2)^2))</f>
        <v>1</v>
      </c>
      <c r="G86" s="30">
        <f>IF($A86=G$70,0,IF(Input!$H$5="Nominal",1,(SUM(INDEX($W$21:$W$40,MIN($A86,G$70)):INDEX($W$21:$W$40,MAX($A86,G$70)))-(INDEX($W$21:$W$40,$A86)+INDEX($W$21:$W$40,G$70))/2)^2))</f>
        <v>1</v>
      </c>
      <c r="H86" s="30">
        <f>IF($A86=H$70,0,IF(Input!$H$5="Nominal",1,(SUM(INDEX($W$21:$W$40,MIN($A86,H$70)):INDEX($W$21:$W$40,MAX($A86,H$70)))-(INDEX($W$21:$W$40,$A86)+INDEX($W$21:$W$40,H$70))/2)^2))</f>
        <v>1</v>
      </c>
      <c r="I86" s="30">
        <f>IF($A86=I$70,0,IF(Input!$H$5="Nominal",1,(SUM(INDEX($W$21:$W$40,MIN($A86,I$70)):INDEX($W$21:$W$40,MAX($A86,I$70)))-(INDEX($W$21:$W$40,$A86)+INDEX($W$21:$W$40,I$70))/2)^2))</f>
        <v>1</v>
      </c>
      <c r="J86" s="30">
        <f>IF($A86=J$70,0,IF(Input!$H$5="Nominal",1,(SUM(INDEX($W$21:$W$40,MIN($A86,J$70)):INDEX($W$21:$W$40,MAX($A86,J$70)))-(INDEX($W$21:$W$40,$A86)+INDEX($W$21:$W$40,J$70))/2)^2))</f>
        <v>1</v>
      </c>
      <c r="K86" s="30">
        <f>IF($A86=K$70,0,IF(Input!$H$5="Nominal",1,(SUM(INDEX($W$21:$W$40,MIN($A86,K$70)):INDEX($W$21:$W$40,MAX($A86,K$70)))-(INDEX($W$21:$W$40,$A86)+INDEX($W$21:$W$40,K$70))/2)^2))</f>
        <v>1</v>
      </c>
      <c r="L86" s="30">
        <f>IF($A86=L$70,0,IF(Input!$H$5="Nominal",1,(SUM(INDEX($W$21:$W$40,MIN($A86,L$70)):INDEX($W$21:$W$40,MAX($A86,L$70)))-(INDEX($W$21:$W$40,$A86)+INDEX($W$21:$W$40,L$70))/2)^2))</f>
        <v>1</v>
      </c>
      <c r="M86" s="30">
        <f>IF($A86=M$70,0,IF(Input!$H$5="Nominal",1,(SUM(INDEX($W$21:$W$40,MIN($A86,M$70)):INDEX($W$21:$W$40,MAX($A86,M$70)))-(INDEX($W$21:$W$40,$A86)+INDEX($W$21:$W$40,M$70))/2)^2))</f>
        <v>1</v>
      </c>
      <c r="N86" s="30">
        <f>IF($A86=N$70,0,IF(Input!$H$5="Nominal",1,(SUM(INDEX($W$21:$W$40,MIN($A86,N$70)):INDEX($W$21:$W$40,MAX($A86,N$70)))-(INDEX($W$21:$W$40,$A86)+INDEX($W$21:$W$40,N$70))/2)^2))</f>
        <v>1</v>
      </c>
      <c r="O86" s="30">
        <f>IF($A86=O$70,0,IF(Input!$H$5="Nominal",1,(SUM(INDEX($W$21:$W$40,MIN($A86,O$70)):INDEX($W$21:$W$40,MAX($A86,O$70)))-(INDEX($W$21:$W$40,$A86)+INDEX($W$21:$W$40,O$70))/2)^2))</f>
        <v>1</v>
      </c>
      <c r="P86" s="30">
        <f>IF($A86=P$70,0,IF(Input!$H$5="Nominal",1,(SUM(INDEX($W$21:$W$40,MIN($A86,P$70)):INDEX($W$21:$W$40,MAX($A86,P$70)))-(INDEX($W$21:$W$40,$A86)+INDEX($W$21:$W$40,P$70))/2)^2))</f>
        <v>1</v>
      </c>
      <c r="Q86" s="30">
        <f>IF($A86=Q$70,0,IF(Input!$H$5="Nominal",1,(SUM(INDEX($W$21:$W$40,MIN($A86,Q$70)):INDEX($W$21:$W$40,MAX($A86,Q$70)))-(INDEX($W$21:$W$40,$A86)+INDEX($W$21:$W$40,Q$70))/2)^2))</f>
        <v>0</v>
      </c>
      <c r="R86" s="30">
        <f>IF($A86=R$70,0,IF(Input!$H$5="Nominal",1,(SUM(INDEX($W$21:$W$40,MIN($A86,R$70)):INDEX($W$21:$W$40,MAX($A86,R$70)))-(INDEX($W$21:$W$40,$A86)+INDEX($W$21:$W$40,R$70))/2)^2))</f>
        <v>1</v>
      </c>
      <c r="S86" s="30">
        <f>IF($A86=S$70,0,IF(Input!$H$5="Nominal",1,(SUM(INDEX($W$21:$W$40,MIN($A86,S$70)):INDEX($W$21:$W$40,MAX($A86,S$70)))-(INDEX($W$21:$W$40,$A86)+INDEX($W$21:$W$40,S$70))/2)^2))</f>
        <v>1</v>
      </c>
      <c r="T86" s="30">
        <f>IF($A86=T$70,0,IF(Input!$H$5="Nominal",1,(SUM(INDEX($W$21:$W$40,MIN($A86,T$70)):INDEX($W$21:$W$40,MAX($A86,T$70)))-(INDEX($W$21:$W$40,$A86)+INDEX($W$21:$W$40,T$70))/2)^2))</f>
        <v>1</v>
      </c>
      <c r="U86" s="30">
        <f>IF($A86=U$70,0,IF(Input!$H$5="Nominal",1,(SUM(INDEX($W$21:$W$40,MIN($A86,U$70)):INDEX($W$21:$W$40,MAX($A86,U$70)))-(INDEX($W$21:$W$40,$A86)+INDEX($W$21:$W$40,U$70))/2)^2))</f>
        <v>1</v>
      </c>
      <c r="V86" s="30">
        <f>IF($A86=V$70,0,IF(Input!$H$5="Nominal",1,(SUM(INDEX($W$21:$W$40,MIN($A86,V$70)):INDEX($W$21:$W$40,MAX($A86,V$70)))-(INDEX($W$21:$W$40,$A86)+INDEX($W$21:$W$40,V$70))/2)^2))</f>
        <v>1</v>
      </c>
    </row>
    <row r="87" ht="15">
      <c r="A87" s="8">
        <v>16</v>
      </c>
      <c r="B87" s="8" t="str">
        <f>IF(Input!$H$25="","",Input!$H$25)</f>
        <v/>
      </c>
      <c r="C87" s="30">
        <f>IF($A87=C$70,0,IF(Input!$H$5="Nominal",1,(SUM(INDEX($W$21:$W$40,MIN($A87,C$70)):INDEX($W$21:$W$40,MAX($A87,C$70)))-(INDEX($W$21:$W$40,$A87)+INDEX($W$21:$W$40,C$70))/2)^2))</f>
        <v>1</v>
      </c>
      <c r="D87" s="30">
        <f>IF($A87=D$70,0,IF(Input!$H$5="Nominal",1,(SUM(INDEX($W$21:$W$40,MIN($A87,D$70)):INDEX($W$21:$W$40,MAX($A87,D$70)))-(INDEX($W$21:$W$40,$A87)+INDEX($W$21:$W$40,D$70))/2)^2))</f>
        <v>1</v>
      </c>
      <c r="E87" s="30">
        <f>IF($A87=E$70,0,IF(Input!$H$5="Nominal",1,(SUM(INDEX($W$21:$W$40,MIN($A87,E$70)):INDEX($W$21:$W$40,MAX($A87,E$70)))-(INDEX($W$21:$W$40,$A87)+INDEX($W$21:$W$40,E$70))/2)^2))</f>
        <v>1</v>
      </c>
      <c r="F87" s="30">
        <f>IF($A87=F$70,0,IF(Input!$H$5="Nominal",1,(SUM(INDEX($W$21:$W$40,MIN($A87,F$70)):INDEX($W$21:$W$40,MAX($A87,F$70)))-(INDEX($W$21:$W$40,$A87)+INDEX($W$21:$W$40,F$70))/2)^2))</f>
        <v>1</v>
      </c>
      <c r="G87" s="30">
        <f>IF($A87=G$70,0,IF(Input!$H$5="Nominal",1,(SUM(INDEX($W$21:$W$40,MIN($A87,G$70)):INDEX($W$21:$W$40,MAX($A87,G$70)))-(INDEX($W$21:$W$40,$A87)+INDEX($W$21:$W$40,G$70))/2)^2))</f>
        <v>1</v>
      </c>
      <c r="H87" s="30">
        <f>IF($A87=H$70,0,IF(Input!$H$5="Nominal",1,(SUM(INDEX($W$21:$W$40,MIN($A87,H$70)):INDEX($W$21:$W$40,MAX($A87,H$70)))-(INDEX($W$21:$W$40,$A87)+INDEX($W$21:$W$40,H$70))/2)^2))</f>
        <v>1</v>
      </c>
      <c r="I87" s="30">
        <f>IF($A87=I$70,0,IF(Input!$H$5="Nominal",1,(SUM(INDEX($W$21:$W$40,MIN($A87,I$70)):INDEX($W$21:$W$40,MAX($A87,I$70)))-(INDEX($W$21:$W$40,$A87)+INDEX($W$21:$W$40,I$70))/2)^2))</f>
        <v>1</v>
      </c>
      <c r="J87" s="30">
        <f>IF($A87=J$70,0,IF(Input!$H$5="Nominal",1,(SUM(INDEX($W$21:$W$40,MIN($A87,J$70)):INDEX($W$21:$W$40,MAX($A87,J$70)))-(INDEX($W$21:$W$40,$A87)+INDEX($W$21:$W$40,J$70))/2)^2))</f>
        <v>1</v>
      </c>
      <c r="K87" s="30">
        <f>IF($A87=K$70,0,IF(Input!$H$5="Nominal",1,(SUM(INDEX($W$21:$W$40,MIN($A87,K$70)):INDEX($W$21:$W$40,MAX($A87,K$70)))-(INDEX($W$21:$W$40,$A87)+INDEX($W$21:$W$40,K$70))/2)^2))</f>
        <v>1</v>
      </c>
      <c r="L87" s="30">
        <f>IF($A87=L$70,0,IF(Input!$H$5="Nominal",1,(SUM(INDEX($W$21:$W$40,MIN($A87,L$70)):INDEX($W$21:$W$40,MAX($A87,L$70)))-(INDEX($W$21:$W$40,$A87)+INDEX($W$21:$W$40,L$70))/2)^2))</f>
        <v>1</v>
      </c>
      <c r="M87" s="30">
        <f>IF($A87=M$70,0,IF(Input!$H$5="Nominal",1,(SUM(INDEX($W$21:$W$40,MIN($A87,M$70)):INDEX($W$21:$W$40,MAX($A87,M$70)))-(INDEX($W$21:$W$40,$A87)+INDEX($W$21:$W$40,M$70))/2)^2))</f>
        <v>1</v>
      </c>
      <c r="N87" s="30">
        <f>IF($A87=N$70,0,IF(Input!$H$5="Nominal",1,(SUM(INDEX($W$21:$W$40,MIN($A87,N$70)):INDEX($W$21:$W$40,MAX($A87,N$70)))-(INDEX($W$21:$W$40,$A87)+INDEX($W$21:$W$40,N$70))/2)^2))</f>
        <v>1</v>
      </c>
      <c r="O87" s="30">
        <f>IF($A87=O$70,0,IF(Input!$H$5="Nominal",1,(SUM(INDEX($W$21:$W$40,MIN($A87,O$70)):INDEX($W$21:$W$40,MAX($A87,O$70)))-(INDEX($W$21:$W$40,$A87)+INDEX($W$21:$W$40,O$70))/2)^2))</f>
        <v>1</v>
      </c>
      <c r="P87" s="30">
        <f>IF($A87=P$70,0,IF(Input!$H$5="Nominal",1,(SUM(INDEX($W$21:$W$40,MIN($A87,P$70)):INDEX($W$21:$W$40,MAX($A87,P$70)))-(INDEX($W$21:$W$40,$A87)+INDEX($W$21:$W$40,P$70))/2)^2))</f>
        <v>1</v>
      </c>
      <c r="Q87" s="30">
        <f>IF($A87=Q$70,0,IF(Input!$H$5="Nominal",1,(SUM(INDEX($W$21:$W$40,MIN($A87,Q$70)):INDEX($W$21:$W$40,MAX($A87,Q$70)))-(INDEX($W$21:$W$40,$A87)+INDEX($W$21:$W$40,Q$70))/2)^2))</f>
        <v>1</v>
      </c>
      <c r="R87" s="30">
        <f>IF($A87=R$70,0,IF(Input!$H$5="Nominal",1,(SUM(INDEX($W$21:$W$40,MIN($A87,R$70)):INDEX($W$21:$W$40,MAX($A87,R$70)))-(INDEX($W$21:$W$40,$A87)+INDEX($W$21:$W$40,R$70))/2)^2))</f>
        <v>0</v>
      </c>
      <c r="S87" s="30">
        <f>IF($A87=S$70,0,IF(Input!$H$5="Nominal",1,(SUM(INDEX($W$21:$W$40,MIN($A87,S$70)):INDEX($W$21:$W$40,MAX($A87,S$70)))-(INDEX($W$21:$W$40,$A87)+INDEX($W$21:$W$40,S$70))/2)^2))</f>
        <v>1</v>
      </c>
      <c r="T87" s="30">
        <f>IF($A87=T$70,0,IF(Input!$H$5="Nominal",1,(SUM(INDEX($W$21:$W$40,MIN($A87,T$70)):INDEX($W$21:$W$40,MAX($A87,T$70)))-(INDEX($W$21:$W$40,$A87)+INDEX($W$21:$W$40,T$70))/2)^2))</f>
        <v>1</v>
      </c>
      <c r="U87" s="30">
        <f>IF($A87=U$70,0,IF(Input!$H$5="Nominal",1,(SUM(INDEX($W$21:$W$40,MIN($A87,U$70)):INDEX($W$21:$W$40,MAX($A87,U$70)))-(INDEX($W$21:$W$40,$A87)+INDEX($W$21:$W$40,U$70))/2)^2))</f>
        <v>1</v>
      </c>
      <c r="V87" s="30">
        <f>IF($A87=V$70,0,IF(Input!$H$5="Nominal",1,(SUM(INDEX($W$21:$W$40,MIN($A87,V$70)):INDEX($W$21:$W$40,MAX($A87,V$70)))-(INDEX($W$21:$W$40,$A87)+INDEX($W$21:$W$40,V$70))/2)^2))</f>
        <v>1</v>
      </c>
    </row>
    <row r="88" ht="15">
      <c r="A88" s="8">
        <v>17</v>
      </c>
      <c r="B88" s="8" t="str">
        <f>IF(Input!$H$26="","",Input!$H$26)</f>
        <v/>
      </c>
      <c r="C88" s="30">
        <f>IF($A88=C$70,0,IF(Input!$H$5="Nominal",1,(SUM(INDEX($W$21:$W$40,MIN($A88,C$70)):INDEX($W$21:$W$40,MAX($A88,C$70)))-(INDEX($W$21:$W$40,$A88)+INDEX($W$21:$W$40,C$70))/2)^2))</f>
        <v>1</v>
      </c>
      <c r="D88" s="30">
        <f>IF($A88=D$70,0,IF(Input!$H$5="Nominal",1,(SUM(INDEX($W$21:$W$40,MIN($A88,D$70)):INDEX($W$21:$W$40,MAX($A88,D$70)))-(INDEX($W$21:$W$40,$A88)+INDEX($W$21:$W$40,D$70))/2)^2))</f>
        <v>1</v>
      </c>
      <c r="E88" s="30">
        <f>IF($A88=E$70,0,IF(Input!$H$5="Nominal",1,(SUM(INDEX($W$21:$W$40,MIN($A88,E$70)):INDEX($W$21:$W$40,MAX($A88,E$70)))-(INDEX($W$21:$W$40,$A88)+INDEX($W$21:$W$40,E$70))/2)^2))</f>
        <v>1</v>
      </c>
      <c r="F88" s="30">
        <f>IF($A88=F$70,0,IF(Input!$H$5="Nominal",1,(SUM(INDEX($W$21:$W$40,MIN($A88,F$70)):INDEX($W$21:$W$40,MAX($A88,F$70)))-(INDEX($W$21:$W$40,$A88)+INDEX($W$21:$W$40,F$70))/2)^2))</f>
        <v>1</v>
      </c>
      <c r="G88" s="30">
        <f>IF($A88=G$70,0,IF(Input!$H$5="Nominal",1,(SUM(INDEX($W$21:$W$40,MIN($A88,G$70)):INDEX($W$21:$W$40,MAX($A88,G$70)))-(INDEX($W$21:$W$40,$A88)+INDEX($W$21:$W$40,G$70))/2)^2))</f>
        <v>1</v>
      </c>
      <c r="H88" s="30">
        <f>IF($A88=H$70,0,IF(Input!$H$5="Nominal",1,(SUM(INDEX($W$21:$W$40,MIN($A88,H$70)):INDEX($W$21:$W$40,MAX($A88,H$70)))-(INDEX($W$21:$W$40,$A88)+INDEX($W$21:$W$40,H$70))/2)^2))</f>
        <v>1</v>
      </c>
      <c r="I88" s="30">
        <f>IF($A88=I$70,0,IF(Input!$H$5="Nominal",1,(SUM(INDEX($W$21:$W$40,MIN($A88,I$70)):INDEX($W$21:$W$40,MAX($A88,I$70)))-(INDEX($W$21:$W$40,$A88)+INDEX($W$21:$W$40,I$70))/2)^2))</f>
        <v>1</v>
      </c>
      <c r="J88" s="30">
        <f>IF($A88=J$70,0,IF(Input!$H$5="Nominal",1,(SUM(INDEX($W$21:$W$40,MIN($A88,J$70)):INDEX($W$21:$W$40,MAX($A88,J$70)))-(INDEX($W$21:$W$40,$A88)+INDEX($W$21:$W$40,J$70))/2)^2))</f>
        <v>1</v>
      </c>
      <c r="K88" s="30">
        <f>IF($A88=K$70,0,IF(Input!$H$5="Nominal",1,(SUM(INDEX($W$21:$W$40,MIN($A88,K$70)):INDEX($W$21:$W$40,MAX($A88,K$70)))-(INDEX($W$21:$W$40,$A88)+INDEX($W$21:$W$40,K$70))/2)^2))</f>
        <v>1</v>
      </c>
      <c r="L88" s="30">
        <f>IF($A88=L$70,0,IF(Input!$H$5="Nominal",1,(SUM(INDEX($W$21:$W$40,MIN($A88,L$70)):INDEX($W$21:$W$40,MAX($A88,L$70)))-(INDEX($W$21:$W$40,$A88)+INDEX($W$21:$W$40,L$70))/2)^2))</f>
        <v>1</v>
      </c>
      <c r="M88" s="30">
        <f>IF($A88=M$70,0,IF(Input!$H$5="Nominal",1,(SUM(INDEX($W$21:$W$40,MIN($A88,M$70)):INDEX($W$21:$W$40,MAX($A88,M$70)))-(INDEX($W$21:$W$40,$A88)+INDEX($W$21:$W$40,M$70))/2)^2))</f>
        <v>1</v>
      </c>
      <c r="N88" s="30">
        <f>IF($A88=N$70,0,IF(Input!$H$5="Nominal",1,(SUM(INDEX($W$21:$W$40,MIN($A88,N$70)):INDEX($W$21:$W$40,MAX($A88,N$70)))-(INDEX($W$21:$W$40,$A88)+INDEX($W$21:$W$40,N$70))/2)^2))</f>
        <v>1</v>
      </c>
      <c r="O88" s="30">
        <f>IF($A88=O$70,0,IF(Input!$H$5="Nominal",1,(SUM(INDEX($W$21:$W$40,MIN($A88,O$70)):INDEX($W$21:$W$40,MAX($A88,O$70)))-(INDEX($W$21:$W$40,$A88)+INDEX($W$21:$W$40,O$70))/2)^2))</f>
        <v>1</v>
      </c>
      <c r="P88" s="30">
        <f>IF($A88=P$70,0,IF(Input!$H$5="Nominal",1,(SUM(INDEX($W$21:$W$40,MIN($A88,P$70)):INDEX($W$21:$W$40,MAX($A88,P$70)))-(INDEX($W$21:$W$40,$A88)+INDEX($W$21:$W$40,P$70))/2)^2))</f>
        <v>1</v>
      </c>
      <c r="Q88" s="30">
        <f>IF($A88=Q$70,0,IF(Input!$H$5="Nominal",1,(SUM(INDEX($W$21:$W$40,MIN($A88,Q$70)):INDEX($W$21:$W$40,MAX($A88,Q$70)))-(INDEX($W$21:$W$40,$A88)+INDEX($W$21:$W$40,Q$70))/2)^2))</f>
        <v>1</v>
      </c>
      <c r="R88" s="30">
        <f>IF($A88=R$70,0,IF(Input!$H$5="Nominal",1,(SUM(INDEX($W$21:$W$40,MIN($A88,R$70)):INDEX($W$21:$W$40,MAX($A88,R$70)))-(INDEX($W$21:$W$40,$A88)+INDEX($W$21:$W$40,R$70))/2)^2))</f>
        <v>1</v>
      </c>
      <c r="S88" s="30">
        <f>IF($A88=S$70,0,IF(Input!$H$5="Nominal",1,(SUM(INDEX($W$21:$W$40,MIN($A88,S$70)):INDEX($W$21:$W$40,MAX($A88,S$70)))-(INDEX($W$21:$W$40,$A88)+INDEX($W$21:$W$40,S$70))/2)^2))</f>
        <v>0</v>
      </c>
      <c r="T88" s="30">
        <f>IF($A88=T$70,0,IF(Input!$H$5="Nominal",1,(SUM(INDEX($W$21:$W$40,MIN($A88,T$70)):INDEX($W$21:$W$40,MAX($A88,T$70)))-(INDEX($W$21:$W$40,$A88)+INDEX($W$21:$W$40,T$70))/2)^2))</f>
        <v>1</v>
      </c>
      <c r="U88" s="30">
        <f>IF($A88=U$70,0,IF(Input!$H$5="Nominal",1,(SUM(INDEX($W$21:$W$40,MIN($A88,U$70)):INDEX($W$21:$W$40,MAX($A88,U$70)))-(INDEX($W$21:$W$40,$A88)+INDEX($W$21:$W$40,U$70))/2)^2))</f>
        <v>1</v>
      </c>
      <c r="V88" s="30">
        <f>IF($A88=V$70,0,IF(Input!$H$5="Nominal",1,(SUM(INDEX($W$21:$W$40,MIN($A88,V$70)):INDEX($W$21:$W$40,MAX($A88,V$70)))-(INDEX($W$21:$W$40,$A88)+INDEX($W$21:$W$40,V$70))/2)^2))</f>
        <v>1</v>
      </c>
    </row>
    <row r="89" ht="15">
      <c r="A89" s="8">
        <v>18</v>
      </c>
      <c r="B89" s="8" t="str">
        <f>IF(Input!$H$27="","",Input!$H$27)</f>
        <v/>
      </c>
      <c r="C89" s="30">
        <f>IF($A89=C$70,0,IF(Input!$H$5="Nominal",1,(SUM(INDEX($W$21:$W$40,MIN($A89,C$70)):INDEX($W$21:$W$40,MAX($A89,C$70)))-(INDEX($W$21:$W$40,$A89)+INDEX($W$21:$W$40,C$70))/2)^2))</f>
        <v>1</v>
      </c>
      <c r="D89" s="30">
        <f>IF($A89=D$70,0,IF(Input!$H$5="Nominal",1,(SUM(INDEX($W$21:$W$40,MIN($A89,D$70)):INDEX($W$21:$W$40,MAX($A89,D$70)))-(INDEX($W$21:$W$40,$A89)+INDEX($W$21:$W$40,D$70))/2)^2))</f>
        <v>1</v>
      </c>
      <c r="E89" s="30">
        <f>IF($A89=E$70,0,IF(Input!$H$5="Nominal",1,(SUM(INDEX($W$21:$W$40,MIN($A89,E$70)):INDEX($W$21:$W$40,MAX($A89,E$70)))-(INDEX($W$21:$W$40,$A89)+INDEX($W$21:$W$40,E$70))/2)^2))</f>
        <v>1</v>
      </c>
      <c r="F89" s="30">
        <f>IF($A89=F$70,0,IF(Input!$H$5="Nominal",1,(SUM(INDEX($W$21:$W$40,MIN($A89,F$70)):INDEX($W$21:$W$40,MAX($A89,F$70)))-(INDEX($W$21:$W$40,$A89)+INDEX($W$21:$W$40,F$70))/2)^2))</f>
        <v>1</v>
      </c>
      <c r="G89" s="30">
        <f>IF($A89=G$70,0,IF(Input!$H$5="Nominal",1,(SUM(INDEX($W$21:$W$40,MIN($A89,G$70)):INDEX($W$21:$W$40,MAX($A89,G$70)))-(INDEX($W$21:$W$40,$A89)+INDEX($W$21:$W$40,G$70))/2)^2))</f>
        <v>1</v>
      </c>
      <c r="H89" s="30">
        <f>IF($A89=H$70,0,IF(Input!$H$5="Nominal",1,(SUM(INDEX($W$21:$W$40,MIN($A89,H$70)):INDEX($W$21:$W$40,MAX($A89,H$70)))-(INDEX($W$21:$W$40,$A89)+INDEX($W$21:$W$40,H$70))/2)^2))</f>
        <v>1</v>
      </c>
      <c r="I89" s="30">
        <f>IF($A89=I$70,0,IF(Input!$H$5="Nominal",1,(SUM(INDEX($W$21:$W$40,MIN($A89,I$70)):INDEX($W$21:$W$40,MAX($A89,I$70)))-(INDEX($W$21:$W$40,$A89)+INDEX($W$21:$W$40,I$70))/2)^2))</f>
        <v>1</v>
      </c>
      <c r="J89" s="30">
        <f>IF($A89=J$70,0,IF(Input!$H$5="Nominal",1,(SUM(INDEX($W$21:$W$40,MIN($A89,J$70)):INDEX($W$21:$W$40,MAX($A89,J$70)))-(INDEX($W$21:$W$40,$A89)+INDEX($W$21:$W$40,J$70))/2)^2))</f>
        <v>1</v>
      </c>
      <c r="K89" s="30">
        <f>IF($A89=K$70,0,IF(Input!$H$5="Nominal",1,(SUM(INDEX($W$21:$W$40,MIN($A89,K$70)):INDEX($W$21:$W$40,MAX($A89,K$70)))-(INDEX($W$21:$W$40,$A89)+INDEX($W$21:$W$40,K$70))/2)^2))</f>
        <v>1</v>
      </c>
      <c r="L89" s="30">
        <f>IF($A89=L$70,0,IF(Input!$H$5="Nominal",1,(SUM(INDEX($W$21:$W$40,MIN($A89,L$70)):INDEX($W$21:$W$40,MAX($A89,L$70)))-(INDEX($W$21:$W$40,$A89)+INDEX($W$21:$W$40,L$70))/2)^2))</f>
        <v>1</v>
      </c>
      <c r="M89" s="30">
        <f>IF($A89=M$70,0,IF(Input!$H$5="Nominal",1,(SUM(INDEX($W$21:$W$40,MIN($A89,M$70)):INDEX($W$21:$W$40,MAX($A89,M$70)))-(INDEX($W$21:$W$40,$A89)+INDEX($W$21:$W$40,M$70))/2)^2))</f>
        <v>1</v>
      </c>
      <c r="N89" s="30">
        <f>IF($A89=N$70,0,IF(Input!$H$5="Nominal",1,(SUM(INDEX($W$21:$W$40,MIN($A89,N$70)):INDEX($W$21:$W$40,MAX($A89,N$70)))-(INDEX($W$21:$W$40,$A89)+INDEX($W$21:$W$40,N$70))/2)^2))</f>
        <v>1</v>
      </c>
      <c r="O89" s="30">
        <f>IF($A89=O$70,0,IF(Input!$H$5="Nominal",1,(SUM(INDEX($W$21:$W$40,MIN($A89,O$70)):INDEX($W$21:$W$40,MAX($A89,O$70)))-(INDEX($W$21:$W$40,$A89)+INDEX($W$21:$W$40,O$70))/2)^2))</f>
        <v>1</v>
      </c>
      <c r="P89" s="30">
        <f>IF($A89=P$70,0,IF(Input!$H$5="Nominal",1,(SUM(INDEX($W$21:$W$40,MIN($A89,P$70)):INDEX($W$21:$W$40,MAX($A89,P$70)))-(INDEX($W$21:$W$40,$A89)+INDEX($W$21:$W$40,P$70))/2)^2))</f>
        <v>1</v>
      </c>
      <c r="Q89" s="30">
        <f>IF($A89=Q$70,0,IF(Input!$H$5="Nominal",1,(SUM(INDEX($W$21:$W$40,MIN($A89,Q$70)):INDEX($W$21:$W$40,MAX($A89,Q$70)))-(INDEX($W$21:$W$40,$A89)+INDEX($W$21:$W$40,Q$70))/2)^2))</f>
        <v>1</v>
      </c>
      <c r="R89" s="30">
        <f>IF($A89=R$70,0,IF(Input!$H$5="Nominal",1,(SUM(INDEX($W$21:$W$40,MIN($A89,R$70)):INDEX($W$21:$W$40,MAX($A89,R$70)))-(INDEX($W$21:$W$40,$A89)+INDEX($W$21:$W$40,R$70))/2)^2))</f>
        <v>1</v>
      </c>
      <c r="S89" s="30">
        <f>IF($A89=S$70,0,IF(Input!$H$5="Nominal",1,(SUM(INDEX($W$21:$W$40,MIN($A89,S$70)):INDEX($W$21:$W$40,MAX($A89,S$70)))-(INDEX($W$21:$W$40,$A89)+INDEX($W$21:$W$40,S$70))/2)^2))</f>
        <v>1</v>
      </c>
      <c r="T89" s="30">
        <f>IF($A89=T$70,0,IF(Input!$H$5="Nominal",1,(SUM(INDEX($W$21:$W$40,MIN($A89,T$70)):INDEX($W$21:$W$40,MAX($A89,T$70)))-(INDEX($W$21:$W$40,$A89)+INDEX($W$21:$W$40,T$70))/2)^2))</f>
        <v>0</v>
      </c>
      <c r="U89" s="30">
        <f>IF($A89=U$70,0,IF(Input!$H$5="Nominal",1,(SUM(INDEX($W$21:$W$40,MIN($A89,U$70)):INDEX($W$21:$W$40,MAX($A89,U$70)))-(INDEX($W$21:$W$40,$A89)+INDEX($W$21:$W$40,U$70))/2)^2))</f>
        <v>1</v>
      </c>
      <c r="V89" s="30">
        <f>IF($A89=V$70,0,IF(Input!$H$5="Nominal",1,(SUM(INDEX($W$21:$W$40,MIN($A89,V$70)):INDEX($W$21:$W$40,MAX($A89,V$70)))-(INDEX($W$21:$W$40,$A89)+INDEX($W$21:$W$40,V$70))/2)^2))</f>
        <v>1</v>
      </c>
    </row>
    <row r="90" ht="15">
      <c r="A90" s="8">
        <v>19</v>
      </c>
      <c r="B90" s="8" t="str">
        <f>IF(Input!$H$28="","",Input!$H$28)</f>
        <v/>
      </c>
      <c r="C90" s="30">
        <f>IF($A90=C$70,0,IF(Input!$H$5="Nominal",1,(SUM(INDEX($W$21:$W$40,MIN($A90,C$70)):INDEX($W$21:$W$40,MAX($A90,C$70)))-(INDEX($W$21:$W$40,$A90)+INDEX($W$21:$W$40,C$70))/2)^2))</f>
        <v>1</v>
      </c>
      <c r="D90" s="30">
        <f>IF($A90=D$70,0,IF(Input!$H$5="Nominal",1,(SUM(INDEX($W$21:$W$40,MIN($A90,D$70)):INDEX($W$21:$W$40,MAX($A90,D$70)))-(INDEX($W$21:$W$40,$A90)+INDEX($W$21:$W$40,D$70))/2)^2))</f>
        <v>1</v>
      </c>
      <c r="E90" s="30">
        <f>IF($A90=E$70,0,IF(Input!$H$5="Nominal",1,(SUM(INDEX($W$21:$W$40,MIN($A90,E$70)):INDEX($W$21:$W$40,MAX($A90,E$70)))-(INDEX($W$21:$W$40,$A90)+INDEX($W$21:$W$40,E$70))/2)^2))</f>
        <v>1</v>
      </c>
      <c r="F90" s="30">
        <f>IF($A90=F$70,0,IF(Input!$H$5="Nominal",1,(SUM(INDEX($W$21:$W$40,MIN($A90,F$70)):INDEX($W$21:$W$40,MAX($A90,F$70)))-(INDEX($W$21:$W$40,$A90)+INDEX($W$21:$W$40,F$70))/2)^2))</f>
        <v>1</v>
      </c>
      <c r="G90" s="30">
        <f>IF($A90=G$70,0,IF(Input!$H$5="Nominal",1,(SUM(INDEX($W$21:$W$40,MIN($A90,G$70)):INDEX($W$21:$W$40,MAX($A90,G$70)))-(INDEX($W$21:$W$40,$A90)+INDEX($W$21:$W$40,G$70))/2)^2))</f>
        <v>1</v>
      </c>
      <c r="H90" s="30">
        <f>IF($A90=H$70,0,IF(Input!$H$5="Nominal",1,(SUM(INDEX($W$21:$W$40,MIN($A90,H$70)):INDEX($W$21:$W$40,MAX($A90,H$70)))-(INDEX($W$21:$W$40,$A90)+INDEX($W$21:$W$40,H$70))/2)^2))</f>
        <v>1</v>
      </c>
      <c r="I90" s="30">
        <f>IF($A90=I$70,0,IF(Input!$H$5="Nominal",1,(SUM(INDEX($W$21:$W$40,MIN($A90,I$70)):INDEX($W$21:$W$40,MAX($A90,I$70)))-(INDEX($W$21:$W$40,$A90)+INDEX($W$21:$W$40,I$70))/2)^2))</f>
        <v>1</v>
      </c>
      <c r="J90" s="30">
        <f>IF($A90=J$70,0,IF(Input!$H$5="Nominal",1,(SUM(INDEX($W$21:$W$40,MIN($A90,J$70)):INDEX($W$21:$W$40,MAX($A90,J$70)))-(INDEX($W$21:$W$40,$A90)+INDEX($W$21:$W$40,J$70))/2)^2))</f>
        <v>1</v>
      </c>
      <c r="K90" s="30">
        <f>IF($A90=K$70,0,IF(Input!$H$5="Nominal",1,(SUM(INDEX($W$21:$W$40,MIN($A90,K$70)):INDEX($W$21:$W$40,MAX($A90,K$70)))-(INDEX($W$21:$W$40,$A90)+INDEX($W$21:$W$40,K$70))/2)^2))</f>
        <v>1</v>
      </c>
      <c r="L90" s="30">
        <f>IF($A90=L$70,0,IF(Input!$H$5="Nominal",1,(SUM(INDEX($W$21:$W$40,MIN($A90,L$70)):INDEX($W$21:$W$40,MAX($A90,L$70)))-(INDEX($W$21:$W$40,$A90)+INDEX($W$21:$W$40,L$70))/2)^2))</f>
        <v>1</v>
      </c>
      <c r="M90" s="30">
        <f>IF($A90=M$70,0,IF(Input!$H$5="Nominal",1,(SUM(INDEX($W$21:$W$40,MIN($A90,M$70)):INDEX($W$21:$W$40,MAX($A90,M$70)))-(INDEX($W$21:$W$40,$A90)+INDEX($W$21:$W$40,M$70))/2)^2))</f>
        <v>1</v>
      </c>
      <c r="N90" s="30">
        <f>IF($A90=N$70,0,IF(Input!$H$5="Nominal",1,(SUM(INDEX($W$21:$W$40,MIN($A90,N$70)):INDEX($W$21:$W$40,MAX($A90,N$70)))-(INDEX($W$21:$W$40,$A90)+INDEX($W$21:$W$40,N$70))/2)^2))</f>
        <v>1</v>
      </c>
      <c r="O90" s="30">
        <f>IF($A90=O$70,0,IF(Input!$H$5="Nominal",1,(SUM(INDEX($W$21:$W$40,MIN($A90,O$70)):INDEX($W$21:$W$40,MAX($A90,O$70)))-(INDEX($W$21:$W$40,$A90)+INDEX($W$21:$W$40,O$70))/2)^2))</f>
        <v>1</v>
      </c>
      <c r="P90" s="30">
        <f>IF($A90=P$70,0,IF(Input!$H$5="Nominal",1,(SUM(INDEX($W$21:$W$40,MIN($A90,P$70)):INDEX($W$21:$W$40,MAX($A90,P$70)))-(INDEX($W$21:$W$40,$A90)+INDEX($W$21:$W$40,P$70))/2)^2))</f>
        <v>1</v>
      </c>
      <c r="Q90" s="30">
        <f>IF($A90=Q$70,0,IF(Input!$H$5="Nominal",1,(SUM(INDEX($W$21:$W$40,MIN($A90,Q$70)):INDEX($W$21:$W$40,MAX($A90,Q$70)))-(INDEX($W$21:$W$40,$A90)+INDEX($W$21:$W$40,Q$70))/2)^2))</f>
        <v>1</v>
      </c>
      <c r="R90" s="30">
        <f>IF($A90=R$70,0,IF(Input!$H$5="Nominal",1,(SUM(INDEX($W$21:$W$40,MIN($A90,R$70)):INDEX($W$21:$W$40,MAX($A90,R$70)))-(INDEX($W$21:$W$40,$A90)+INDEX($W$21:$W$40,R$70))/2)^2))</f>
        <v>1</v>
      </c>
      <c r="S90" s="30">
        <f>IF($A90=S$70,0,IF(Input!$H$5="Nominal",1,(SUM(INDEX($W$21:$W$40,MIN($A90,S$70)):INDEX($W$21:$W$40,MAX($A90,S$70)))-(INDEX($W$21:$W$40,$A90)+INDEX($W$21:$W$40,S$70))/2)^2))</f>
        <v>1</v>
      </c>
      <c r="T90" s="30">
        <f>IF($A90=T$70,0,IF(Input!$H$5="Nominal",1,(SUM(INDEX($W$21:$W$40,MIN($A90,T$70)):INDEX($W$21:$W$40,MAX($A90,T$70)))-(INDEX($W$21:$W$40,$A90)+INDEX($W$21:$W$40,T$70))/2)^2))</f>
        <v>1</v>
      </c>
      <c r="U90" s="30">
        <f>IF($A90=U$70,0,IF(Input!$H$5="Nominal",1,(SUM(INDEX($W$21:$W$40,MIN($A90,U$70)):INDEX($W$21:$W$40,MAX($A90,U$70)))-(INDEX($W$21:$W$40,$A90)+INDEX($W$21:$W$40,U$70))/2)^2))</f>
        <v>0</v>
      </c>
      <c r="V90" s="30">
        <f>IF($A90=V$70,0,IF(Input!$H$5="Nominal",1,(SUM(INDEX($W$21:$W$40,MIN($A90,V$70)):INDEX($W$21:$W$40,MAX($A90,V$70)))-(INDEX($W$21:$W$40,$A90)+INDEX($W$21:$W$40,V$70))/2)^2))</f>
        <v>1</v>
      </c>
    </row>
    <row r="91" ht="15">
      <c r="A91" s="8">
        <v>20</v>
      </c>
      <c r="B91" s="8" t="str">
        <f>IF(Input!$H$29="","",Input!$H$29)</f>
        <v/>
      </c>
      <c r="C91" s="30">
        <f>IF($A91=C$70,0,IF(Input!$H$5="Nominal",1,(SUM(INDEX($W$21:$W$40,MIN($A91,C$70)):INDEX($W$21:$W$40,MAX($A91,C$70)))-(INDEX($W$21:$W$40,$A91)+INDEX($W$21:$W$40,C$70))/2)^2))</f>
        <v>1</v>
      </c>
      <c r="D91" s="30">
        <f>IF($A91=D$70,0,IF(Input!$H$5="Nominal",1,(SUM(INDEX($W$21:$W$40,MIN($A91,D$70)):INDEX($W$21:$W$40,MAX($A91,D$70)))-(INDEX($W$21:$W$40,$A91)+INDEX($W$21:$W$40,D$70))/2)^2))</f>
        <v>1</v>
      </c>
      <c r="E91" s="30">
        <f>IF($A91=E$70,0,IF(Input!$H$5="Nominal",1,(SUM(INDEX($W$21:$W$40,MIN($A91,E$70)):INDEX($W$21:$W$40,MAX($A91,E$70)))-(INDEX($W$21:$W$40,$A91)+INDEX($W$21:$W$40,E$70))/2)^2))</f>
        <v>1</v>
      </c>
      <c r="F91" s="30">
        <f>IF($A91=F$70,0,IF(Input!$H$5="Nominal",1,(SUM(INDEX($W$21:$W$40,MIN($A91,F$70)):INDEX($W$21:$W$40,MAX($A91,F$70)))-(INDEX($W$21:$W$40,$A91)+INDEX($W$21:$W$40,F$70))/2)^2))</f>
        <v>1</v>
      </c>
      <c r="G91" s="30">
        <f>IF($A91=G$70,0,IF(Input!$H$5="Nominal",1,(SUM(INDEX($W$21:$W$40,MIN($A91,G$70)):INDEX($W$21:$W$40,MAX($A91,G$70)))-(INDEX($W$21:$W$40,$A91)+INDEX($W$21:$W$40,G$70))/2)^2))</f>
        <v>1</v>
      </c>
      <c r="H91" s="30">
        <f>IF($A91=H$70,0,IF(Input!$H$5="Nominal",1,(SUM(INDEX($W$21:$W$40,MIN($A91,H$70)):INDEX($W$21:$W$40,MAX($A91,H$70)))-(INDEX($W$21:$W$40,$A91)+INDEX($W$21:$W$40,H$70))/2)^2))</f>
        <v>1</v>
      </c>
      <c r="I91" s="30">
        <f>IF($A91=I$70,0,IF(Input!$H$5="Nominal",1,(SUM(INDEX($W$21:$W$40,MIN($A91,I$70)):INDEX($W$21:$W$40,MAX($A91,I$70)))-(INDEX($W$21:$W$40,$A91)+INDEX($W$21:$W$40,I$70))/2)^2))</f>
        <v>1</v>
      </c>
      <c r="J91" s="30">
        <f>IF($A91=J$70,0,IF(Input!$H$5="Nominal",1,(SUM(INDEX($W$21:$W$40,MIN($A91,J$70)):INDEX($W$21:$W$40,MAX($A91,J$70)))-(INDEX($W$21:$W$40,$A91)+INDEX($W$21:$W$40,J$70))/2)^2))</f>
        <v>1</v>
      </c>
      <c r="K91" s="30">
        <f>IF($A91=K$70,0,IF(Input!$H$5="Nominal",1,(SUM(INDEX($W$21:$W$40,MIN($A91,K$70)):INDEX($W$21:$W$40,MAX($A91,K$70)))-(INDEX($W$21:$W$40,$A91)+INDEX($W$21:$W$40,K$70))/2)^2))</f>
        <v>1</v>
      </c>
      <c r="L91" s="30">
        <f>IF($A91=L$70,0,IF(Input!$H$5="Nominal",1,(SUM(INDEX($W$21:$W$40,MIN($A91,L$70)):INDEX($W$21:$W$40,MAX($A91,L$70)))-(INDEX($W$21:$W$40,$A91)+INDEX($W$21:$W$40,L$70))/2)^2))</f>
        <v>1</v>
      </c>
      <c r="M91" s="30">
        <f>IF($A91=M$70,0,IF(Input!$H$5="Nominal",1,(SUM(INDEX($W$21:$W$40,MIN($A91,M$70)):INDEX($W$21:$W$40,MAX($A91,M$70)))-(INDEX($W$21:$W$40,$A91)+INDEX($W$21:$W$40,M$70))/2)^2))</f>
        <v>1</v>
      </c>
      <c r="N91" s="30">
        <f>IF($A91=N$70,0,IF(Input!$H$5="Nominal",1,(SUM(INDEX($W$21:$W$40,MIN($A91,N$70)):INDEX($W$21:$W$40,MAX($A91,N$70)))-(INDEX($W$21:$W$40,$A91)+INDEX($W$21:$W$40,N$70))/2)^2))</f>
        <v>1</v>
      </c>
      <c r="O91" s="30">
        <f>IF($A91=O$70,0,IF(Input!$H$5="Nominal",1,(SUM(INDEX($W$21:$W$40,MIN($A91,O$70)):INDEX($W$21:$W$40,MAX($A91,O$70)))-(INDEX($W$21:$W$40,$A91)+INDEX($W$21:$W$40,O$70))/2)^2))</f>
        <v>1</v>
      </c>
      <c r="P91" s="30">
        <f>IF($A91=P$70,0,IF(Input!$H$5="Nominal",1,(SUM(INDEX($W$21:$W$40,MIN($A91,P$70)):INDEX($W$21:$W$40,MAX($A91,P$70)))-(INDEX($W$21:$W$40,$A91)+INDEX($W$21:$W$40,P$70))/2)^2))</f>
        <v>1</v>
      </c>
      <c r="Q91" s="30">
        <f>IF($A91=Q$70,0,IF(Input!$H$5="Nominal",1,(SUM(INDEX($W$21:$W$40,MIN($A91,Q$70)):INDEX($W$21:$W$40,MAX($A91,Q$70)))-(INDEX($W$21:$W$40,$A91)+INDEX($W$21:$W$40,Q$70))/2)^2))</f>
        <v>1</v>
      </c>
      <c r="R91" s="30">
        <f>IF($A91=R$70,0,IF(Input!$H$5="Nominal",1,(SUM(INDEX($W$21:$W$40,MIN($A91,R$70)):INDEX($W$21:$W$40,MAX($A91,R$70)))-(INDEX($W$21:$W$40,$A91)+INDEX($W$21:$W$40,R$70))/2)^2))</f>
        <v>1</v>
      </c>
      <c r="S91" s="30">
        <f>IF($A91=S$70,0,IF(Input!$H$5="Nominal",1,(SUM(INDEX($W$21:$W$40,MIN($A91,S$70)):INDEX($W$21:$W$40,MAX($A91,S$70)))-(INDEX($W$21:$W$40,$A91)+INDEX($W$21:$W$40,S$70))/2)^2))</f>
        <v>1</v>
      </c>
      <c r="T91" s="30">
        <f>IF($A91=T$70,0,IF(Input!$H$5="Nominal",1,(SUM(INDEX($W$21:$W$40,MIN($A91,T$70)):INDEX($W$21:$W$40,MAX($A91,T$70)))-(INDEX($W$21:$W$40,$A91)+INDEX($W$21:$W$40,T$70))/2)^2))</f>
        <v>1</v>
      </c>
      <c r="U91" s="30">
        <f>IF($A91=U$70,0,IF(Input!$H$5="Nominal",1,(SUM(INDEX($W$21:$W$40,MIN($A91,U$70)):INDEX($W$21:$W$40,MAX($A91,U$70)))-(INDEX($W$21:$W$40,$A91)+INDEX($W$21:$W$40,U$70))/2)^2))</f>
        <v>1</v>
      </c>
      <c r="V91" s="30">
        <f>IF($A91=V$70,0,IF(Input!$H$5="Nominal",1,(SUM(INDEX($W$21:$W$40,MIN($A91,V$70)):INDEX($W$21:$W$40,MAX($A91,V$70)))-(INDEX($W$21:$W$40,$A91)+INDEX($W$21:$W$40,V$70))/2)^2))</f>
        <v>0</v>
      </c>
    </row>
    <row r="93" ht="15">
      <c r="A93" s="6" t="s">
        <v>133</v>
      </c>
    </row>
  </sheetData>
  <printOptions headings="0" gridLines="0" horizontalCentered="0" verticalCentered="0"/>
  <pageMargins left="0.75" right="0.75" top="1" bottom="1" header="0.51181102362204689" footer="0.51181102362204689"/>
  <pageSetup paperSize="1" scale="100" fitToWidth="1" fitToHeight="0" pageOrder="downThenOver" orientation="landscape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aboveAverage="0" rank="0" text="">
            <xm:f>$B21=""</xm:f>
            <x14:dxf>
              <font>
                <color rgb="FFBFBFBF"/>
                <name val="Arial"/>
              </font>
            </x14:dxf>
          </x14:cfRule>
          <xm:sqref>A21:W40</xm:sqref>
        </x14:conditionalFormatting>
        <x14:conditionalFormatting xmlns:xm="http://schemas.microsoft.com/office/excel/2006/main">
          <x14:cfRule type="expression" priority="3" aboveAverage="0" rank="0" text="">
            <xm:f>$B47=""</xm:f>
            <x14:dxf>
              <font>
                <color rgb="FFBFBFBF"/>
                <name val="Arial"/>
              </font>
            </x14:dxf>
          </x14:cfRule>
          <xm:sqref>A47:W66</xm:sqref>
        </x14:conditionalFormatting>
        <x14:conditionalFormatting xmlns:xm="http://schemas.microsoft.com/office/excel/2006/main">
          <x14:cfRule type="expression" priority="4" aboveAverage="0" rank="0" text="">
            <xm:f>$B72=""</xm:f>
            <x14:dxf>
              <font>
                <color rgb="FFBFBFBF"/>
                <name val="Arial"/>
              </font>
            </x14:dxf>
          </x14:cfRule>
          <xm:sqref>A72:W91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1" width="12"/>
    <col customWidth="1" min="2" max="5" style="1" width="11"/>
    <col customWidth="1" min="6" max="6" style="1" width="3"/>
    <col customWidth="1" min="7" max="7" style="1" width="12"/>
    <col customWidth="1" min="8" max="11" style="1" width="11"/>
    <col customWidth="1" min="12" max="12" style="1" width="3"/>
  </cols>
  <sheetData>
    <row r="1" ht="17.350000000000001">
      <c r="A1" s="2" t="s">
        <v>134</v>
      </c>
    </row>
    <row r="2" ht="15">
      <c r="A2" s="6" t="s">
        <v>135</v>
      </c>
    </row>
    <row r="4" ht="15">
      <c r="A4" s="3" t="s">
        <v>136</v>
      </c>
      <c r="B4" s="3"/>
      <c r="C4" s="3"/>
      <c r="D4" s="3"/>
      <c r="E4" s="3"/>
      <c r="G4" s="3" t="s">
        <v>137</v>
      </c>
      <c r="H4" s="3"/>
      <c r="I4" s="3"/>
      <c r="J4" s="3"/>
    </row>
    <row r="5" ht="15">
      <c r="A5" s="22" t="s">
        <v>138</v>
      </c>
      <c r="G5" s="22" t="s">
        <v>139</v>
      </c>
    </row>
    <row r="6" ht="15">
      <c r="A6" s="22" t="s">
        <v>140</v>
      </c>
      <c r="G6" s="22" t="s">
        <v>141</v>
      </c>
    </row>
    <row r="7" ht="15">
      <c r="A7" s="22" t="s">
        <v>142</v>
      </c>
      <c r="G7" s="22" t="s">
        <v>142</v>
      </c>
    </row>
    <row r="9" ht="15">
      <c r="A9" s="9" t="s">
        <v>81</v>
      </c>
      <c r="B9" s="9" t="s">
        <v>143</v>
      </c>
      <c r="C9" s="9" t="s">
        <v>144</v>
      </c>
      <c r="D9" s="9" t="s">
        <v>145</v>
      </c>
      <c r="E9" s="9" t="s">
        <v>146</v>
      </c>
      <c r="G9" s="9" t="s">
        <v>81</v>
      </c>
      <c r="H9" s="9" t="s">
        <v>143</v>
      </c>
      <c r="I9" s="9" t="s">
        <v>144</v>
      </c>
      <c r="J9" s="9" t="s">
        <v>145</v>
      </c>
    </row>
    <row r="10" ht="15">
      <c r="A10" s="12">
        <v>1</v>
      </c>
      <c r="B10" s="13" t="s">
        <v>147</v>
      </c>
      <c r="C10" s="13" t="s">
        <v>147</v>
      </c>
      <c r="D10" s="13" t="s">
        <v>147</v>
      </c>
      <c r="E10" s="13" t="s">
        <v>147</v>
      </c>
      <c r="G10" s="12">
        <v>1</v>
      </c>
      <c r="H10" s="13">
        <v>4</v>
      </c>
      <c r="I10" s="13">
        <v>4</v>
      </c>
      <c r="J10" s="13">
        <v>5</v>
      </c>
    </row>
    <row r="11" ht="15">
      <c r="A11" s="12">
        <v>2</v>
      </c>
      <c r="B11" s="13" t="s">
        <v>147</v>
      </c>
      <c r="C11" s="13" t="s">
        <v>147</v>
      </c>
      <c r="D11" s="13" t="s">
        <v>147</v>
      </c>
      <c r="E11" s="13" t="s">
        <v>148</v>
      </c>
      <c r="G11" s="12">
        <v>2</v>
      </c>
      <c r="H11" s="13">
        <v>3</v>
      </c>
      <c r="I11" s="13">
        <v>3</v>
      </c>
      <c r="J11" s="13">
        <v>3</v>
      </c>
    </row>
    <row r="12" ht="15">
      <c r="A12" s="12">
        <v>3</v>
      </c>
      <c r="B12" s="13" t="s">
        <v>148</v>
      </c>
      <c r="C12" s="13" t="s">
        <v>148</v>
      </c>
      <c r="D12" s="13" t="s">
        <v>148</v>
      </c>
      <c r="E12" s="13" t="s">
        <v>148</v>
      </c>
      <c r="G12" s="12">
        <v>3</v>
      </c>
      <c r="H12" s="13">
        <v>5</v>
      </c>
      <c r="I12" s="13">
        <v>5</v>
      </c>
      <c r="J12" s="13">
        <v>5</v>
      </c>
    </row>
    <row r="13" ht="15">
      <c r="A13" s="12">
        <v>4</v>
      </c>
      <c r="B13" s="13" t="s">
        <v>149</v>
      </c>
      <c r="C13" s="13" t="s">
        <v>149</v>
      </c>
      <c r="D13" s="13" t="s">
        <v>149</v>
      </c>
      <c r="E13" s="13" t="s">
        <v>149</v>
      </c>
      <c r="G13" s="12">
        <v>4</v>
      </c>
      <c r="H13" s="13">
        <v>2</v>
      </c>
      <c r="I13" s="13">
        <v>3</v>
      </c>
      <c r="J13" s="13">
        <v>2</v>
      </c>
    </row>
    <row r="14" ht="15">
      <c r="A14" s="12">
        <v>5</v>
      </c>
      <c r="B14" s="13" t="s">
        <v>147</v>
      </c>
      <c r="C14" s="13" t="s">
        <v>147</v>
      </c>
      <c r="D14" s="13" t="s">
        <v>148</v>
      </c>
      <c r="E14" s="13" t="s">
        <v>147</v>
      </c>
      <c r="G14" s="12">
        <v>5</v>
      </c>
      <c r="H14" s="13">
        <v>1</v>
      </c>
      <c r="I14" s="13">
        <v>1</v>
      </c>
      <c r="J14" s="13">
        <v>2</v>
      </c>
    </row>
    <row r="15" ht="15">
      <c r="A15" s="12">
        <v>6</v>
      </c>
      <c r="B15" s="13" t="s">
        <v>149</v>
      </c>
      <c r="C15" s="13" t="s">
        <v>149</v>
      </c>
      <c r="D15" s="13" t="s">
        <v>148</v>
      </c>
      <c r="E15" s="13" t="s">
        <v>149</v>
      </c>
      <c r="G15" s="12">
        <v>6</v>
      </c>
      <c r="H15" s="13">
        <v>4</v>
      </c>
      <c r="I15" s="13">
        <v>5</v>
      </c>
      <c r="J15" s="13">
        <v>4</v>
      </c>
    </row>
    <row r="16" ht="15">
      <c r="A16" s="12">
        <v>7</v>
      </c>
      <c r="B16" s="13" t="s">
        <v>148</v>
      </c>
      <c r="C16" s="13" t="s">
        <v>148</v>
      </c>
      <c r="D16" s="13" t="s">
        <v>147</v>
      </c>
      <c r="E16" s="13" t="s">
        <v>148</v>
      </c>
      <c r="G16" s="12">
        <v>7</v>
      </c>
      <c r="H16" s="13">
        <v>3</v>
      </c>
      <c r="I16" s="13">
        <v>4</v>
      </c>
      <c r="J16" s="13">
        <v>3</v>
      </c>
    </row>
    <row r="17" ht="15">
      <c r="A17" s="12">
        <v>8</v>
      </c>
      <c r="B17" s="13" t="s">
        <v>147</v>
      </c>
      <c r="C17" s="13" t="s">
        <v>147</v>
      </c>
      <c r="D17" s="13" t="s">
        <v>147</v>
      </c>
      <c r="E17" s="13" t="s">
        <v>147</v>
      </c>
      <c r="G17" s="12">
        <v>8</v>
      </c>
      <c r="H17" s="13">
        <v>2</v>
      </c>
      <c r="I17" s="13">
        <v>2</v>
      </c>
      <c r="J17" s="13">
        <v>2</v>
      </c>
    </row>
    <row r="18" ht="15">
      <c r="A18" s="12">
        <v>9</v>
      </c>
      <c r="B18" s="13" t="s">
        <v>149</v>
      </c>
      <c r="C18" s="13" t="s">
        <v>148</v>
      </c>
      <c r="D18" s="13" t="s">
        <v>149</v>
      </c>
      <c r="E18" s="13" t="s">
        <v>149</v>
      </c>
      <c r="G18" s="12">
        <v>9</v>
      </c>
      <c r="H18" s="13">
        <v>5</v>
      </c>
      <c r="I18" s="13">
        <v>4</v>
      </c>
      <c r="J18" s="13">
        <v>5</v>
      </c>
    </row>
    <row r="19" ht="15">
      <c r="A19" s="12">
        <v>10</v>
      </c>
      <c r="B19" s="13" t="s">
        <v>148</v>
      </c>
      <c r="C19" s="13" t="s">
        <v>148</v>
      </c>
      <c r="D19" s="13" t="s">
        <v>148</v>
      </c>
      <c r="E19" s="13" t="s">
        <v>149</v>
      </c>
      <c r="G19" s="12">
        <v>10</v>
      </c>
      <c r="H19" s="13">
        <v>1</v>
      </c>
      <c r="I19" s="13">
        <v>2</v>
      </c>
      <c r="J19" s="13">
        <v>1</v>
      </c>
    </row>
    <row r="20" ht="15">
      <c r="A20" s="12">
        <v>11</v>
      </c>
      <c r="B20" s="13" t="s">
        <v>147</v>
      </c>
      <c r="C20" s="13" t="s">
        <v>147</v>
      </c>
      <c r="D20" s="13" t="s">
        <v>147</v>
      </c>
      <c r="E20" s="13" t="s">
        <v>147</v>
      </c>
      <c r="G20" s="12">
        <v>11</v>
      </c>
      <c r="H20" s="13">
        <v>3</v>
      </c>
      <c r="I20" s="13">
        <v>3</v>
      </c>
      <c r="J20" s="13">
        <v>4</v>
      </c>
    </row>
    <row r="21" ht="15">
      <c r="A21" s="12">
        <v>12</v>
      </c>
      <c r="B21" s="13" t="s">
        <v>149</v>
      </c>
      <c r="C21" s="13" t="s">
        <v>149</v>
      </c>
      <c r="D21" s="13" t="s">
        <v>149</v>
      </c>
      <c r="E21" s="13" t="s">
        <v>149</v>
      </c>
      <c r="G21" s="12">
        <v>12</v>
      </c>
      <c r="H21" s="13">
        <v>4</v>
      </c>
      <c r="I21" s="13">
        <v>4</v>
      </c>
      <c r="J21" s="13">
        <v>4</v>
      </c>
    </row>
    <row r="22" ht="15">
      <c r="A22" s="12">
        <v>13</v>
      </c>
      <c r="B22" s="13" t="s">
        <v>148</v>
      </c>
      <c r="C22" s="13" t="s">
        <v>147</v>
      </c>
      <c r="D22" s="13" t="s">
        <v>148</v>
      </c>
      <c r="E22" s="13" t="s">
        <v>148</v>
      </c>
      <c r="G22" s="12">
        <v>13</v>
      </c>
      <c r="H22" s="13">
        <v>2</v>
      </c>
      <c r="I22" s="13">
        <v>1</v>
      </c>
      <c r="J22" s="13">
        <v>2</v>
      </c>
    </row>
    <row r="23" ht="15">
      <c r="A23" s="12">
        <v>14</v>
      </c>
      <c r="B23" s="13" t="s">
        <v>147</v>
      </c>
      <c r="C23" s="13" t="s">
        <v>147</v>
      </c>
      <c r="D23" s="13" t="s">
        <v>148</v>
      </c>
      <c r="E23" s="13" t="s">
        <v>147</v>
      </c>
      <c r="G23" s="12">
        <v>14</v>
      </c>
      <c r="H23" s="13">
        <v>5</v>
      </c>
      <c r="I23" s="13">
        <v>5</v>
      </c>
      <c r="J23" s="13">
        <v>4</v>
      </c>
    </row>
    <row r="24" ht="15">
      <c r="A24" s="12">
        <v>15</v>
      </c>
      <c r="B24" s="13" t="s">
        <v>149</v>
      </c>
      <c r="C24" s="13" t="s">
        <v>149</v>
      </c>
      <c r="D24" s="13" t="s">
        <v>149</v>
      </c>
      <c r="E24" s="13" t="s">
        <v>148</v>
      </c>
      <c r="G24" s="12">
        <v>15</v>
      </c>
      <c r="H24" s="13">
        <v>3</v>
      </c>
      <c r="I24" s="13">
        <v>3</v>
      </c>
      <c r="J24" s="13"/>
    </row>
    <row r="25" ht="15">
      <c r="A25" s="12">
        <v>16</v>
      </c>
      <c r="B25" s="13" t="s">
        <v>148</v>
      </c>
      <c r="C25" s="13" t="s">
        <v>148</v>
      </c>
      <c r="D25" s="13" t="s">
        <v>148</v>
      </c>
      <c r="E25" s="13" t="s">
        <v>148</v>
      </c>
    </row>
    <row r="26" ht="15">
      <c r="A26" s="12">
        <v>17</v>
      </c>
      <c r="B26" s="13" t="s">
        <v>147</v>
      </c>
      <c r="C26" s="13" t="s">
        <v>147</v>
      </c>
      <c r="D26" s="13" t="s">
        <v>147</v>
      </c>
      <c r="E26" s="13"/>
      <c r="G26" s="26" t="s">
        <v>150</v>
      </c>
      <c r="J26" s="33">
        <v>0.8762</v>
      </c>
    </row>
    <row r="27" ht="15">
      <c r="A27" s="12">
        <v>18</v>
      </c>
      <c r="B27" s="13" t="s">
        <v>149</v>
      </c>
      <c r="C27" s="13" t="s">
        <v>149</v>
      </c>
      <c r="D27" s="13"/>
      <c r="E27" s="13" t="s">
        <v>149</v>
      </c>
      <c r="G27" s="6" t="s">
        <v>151</v>
      </c>
    </row>
    <row r="28" ht="15">
      <c r="A28" s="12">
        <v>19</v>
      </c>
      <c r="B28" s="13" t="s">
        <v>148</v>
      </c>
      <c r="C28" s="13" t="s">
        <v>147</v>
      </c>
      <c r="D28" s="13" t="s">
        <v>148</v>
      </c>
      <c r="E28" s="13" t="s">
        <v>148</v>
      </c>
    </row>
    <row r="29" ht="15">
      <c r="A29" s="12">
        <v>20</v>
      </c>
      <c r="B29" s="13" t="s">
        <v>147</v>
      </c>
      <c r="C29" s="13"/>
      <c r="D29" s="13" t="s">
        <v>147</v>
      </c>
      <c r="E29" s="13" t="s">
        <v>147</v>
      </c>
    </row>
    <row r="31" ht="15">
      <c r="A31" s="26" t="s">
        <v>150</v>
      </c>
      <c r="D31" s="33">
        <v>0.6115</v>
      </c>
    </row>
    <row r="32" ht="15">
      <c r="A32" s="6" t="s">
        <v>151</v>
      </c>
    </row>
  </sheetData>
  <printOptions headings="0" gridLines="0" horizontalCentered="0" verticalCentered="0"/>
  <pageMargins left="0.75" right="0.75" top="1" bottom="1" header="0.51181102362204689" footer="0.51181102362204689"/>
  <pageSetup paperSize="1" scale="100" fitToWidth="1" fitToHeight="0" pageOrder="downThenOver" orientation="landscape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ONLYOFFICE/10.0.0.169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2</cp:revision>
  <dcterms:created xsi:type="dcterms:W3CDTF">2026-10-21T21:50:14Z</dcterms:created>
  <dcterms:modified xsi:type="dcterms:W3CDTF">2026-10-22T09:12:02Z</dcterms:modified>
</cp:coreProperties>
</file>