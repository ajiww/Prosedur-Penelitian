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2" showHorizontalScroll="1" showVerticalScroll="1"/>
  </bookViews>
  <sheets>
    <sheet name="Petunjuk" sheetId="1" state="visible" r:id="rId2"/>
    <sheet name="Lembar Coding" sheetId="2" state="visible" r:id="rId3"/>
    <sheet name="Daftar Kode" sheetId="3" state="visible" r:id="rId4"/>
    <sheet name="Korpus" sheetId="4" state="hidden" r:id="rId5"/>
  </sheets>
  <definedNames>
    <definedName name="_xlnm._FilterDatabase" localSheetId="1" hidden="1">'Lembar Coding'!$A$1:$S$86</definedName>
    <definedName name="_xlnm._FilterDatabase" localSheetId="1" hidden="1">'Lembar Coding'!$A$1:$S$86</definedName>
  </definedName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<sst xmlns="http://schemas.openxmlformats.org/spreadsheetml/2006/main" count="396" uniqueCount="396">
  <si>
    <t xml:space="preserve">Lembar Coding: Analisis Isi Krippendorff</t>
  </si>
  <si>
    <t xml:space="preserve">Codebook versi 1.0.2 (20 Oktober 2026). Panduan Coder untuk Penyusunan SRS Web Scraping yang Mengintegrasikan Aspek Legalitas dan Etika Privasi Data.</t>
  </si>
  <si>
    <t xml:space="preserve">Kode coder (isi satu kali):</t>
  </si>
  <si>
    <t xml:space="preserve">DENI GANTENG BANGET</t>
  </si>
  <si>
    <t xml:space="preserve">V2 pada Lembar Coding terisi otomatis dari sel ini.</t>
  </si>
  <si>
    <t xml:space="preserve">Prosedur singkat (Bagian 4 codebook)</t>
  </si>
  <si>
    <t>1</t>
  </si>
  <si>
    <t xml:space="preserve">Baca kolom Isi secara utuh, lalu kolom Rujukan. Buka BAB dan Bagian (kolom R dan S, tersembunyi) hanya bila perlu memahami rujukan antarunit.</t>
  </si>
  <si>
    <t>2</t>
  </si>
  <si>
    <t xml:space="preserve">Tentukan V4 Subjek Norma terlebih dahulu, lalu V5 Relevansi dengan Uji Implikasi (Bagian 3 dan 6.2).</t>
  </si>
  <si>
    <t>3</t>
  </si>
  <si>
    <t xml:space="preserve">Tentukan V6 Tema Utama dengan pohon keputusan (Bagian 6.3), lalu V7 dan V8 (Bagian 7), lalu V9 (Bagian 7.3).</t>
  </si>
  <si>
    <t>4</t>
  </si>
  <si>
    <t xml:space="preserve">Untuk unit R2, tulis V11 Draf Kebutuhan satu kalimat (opsional). Catat keraguan di V12. Kode residual T99 hanya bila tidak ada tema yang cocok.</t>
  </si>
  <si>
    <t>5</t>
  </si>
  <si>
    <t xml:space="preserve">Periksa kolom Cek Konsistensi (Q) setiap selesai satu baris. Bila tidak OK, ulangi coding atau jelaskan di V12.</t>
  </si>
  <si>
    <t>6</t>
  </si>
  <si>
    <t xml:space="preserve">Kodekan setiap unit secara independen. Jangan berdiskusi dengan coder lain sebelum seluruh unit selesai.</t>
  </si>
  <si>
    <t>Legenda</t>
  </si>
  <si>
    <t xml:space="preserve">Sel kuning</t>
  </si>
  <si>
    <t xml:space="preserve">Sel yang diisi coder (V4 sampai V12). Sel V4 sampai V9 memakai daftar pilihan dan hanya menerima kode sah.</t>
  </si>
  <si>
    <t xml:space="preserve">Sel putih</t>
  </si>
  <si>
    <t xml:space="preserve">Terisi otomatis dari sheet Korpus atau formula. Jangan diubah.</t>
  </si>
  <si>
    <t xml:space="preserve">Kolom Pilot</t>
  </si>
  <si>
    <t xml:space="preserve">Unit bertanda Ya dipakai pada uji coba (pilot): baris 13, 21, 25, 35, 42, 44, 52, 54, 56, 70, 79, 81.</t>
  </si>
  <si>
    <t xml:space="preserve">Variabel dan nilai sah (Bagian 11)</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</si>
  <si>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</si>
  <si>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</si>
  <si>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</si>
  <si>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</si>
  <si>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</si>
  <si>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</si>
  <si>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</si>
  <si>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</si>
  <si>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</si>
  <si>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</si>
  <si>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</si>
  <si>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T17, T99</t>
  </si>
  <si>
    <t xml:space="preserve">V7 Jenis_Pernyataan</t>
  </si>
  <si>
    <t xml:space="preserve">P1 sampai P9</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</si>
  <si>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</si>
  <si>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</si>
  <si>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</si>
  <si>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</si>
  <si>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</si>
  <si>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T17 (opsional)</t>
  </si>
  <si>
    <t xml:space="preserve">V11 Draf_Kebutuhan</t>
  </si>
  <si>
    <t xml:space="preserve">Teks bebas, satu kalimat "Sistem harus/tidak boleh..." (opsional, untuk R2)</t>
  </si>
  <si>
    <t xml:space="preserve">V12 Catatan</t>
  </si>
  <si>
    <t xml:space="preserve">Teks bebas</t>
  </si>
  <si>
    <t xml:space="preserve">Contoh pengisian satu baris (Bagian 11 dan 12)</t>
  </si>
  <si>
    <t xml:space="preserve">Isi (ringkas)</t>
  </si>
  <si>
    <t xml:space="preserve">Baris 67, Pasal 40 UU 27/2022: wajib menghentikan pemrosesan setelah persetujuan ditarik, paling lambat 3 x 24 jam.</t>
  </si>
  <si>
    <t>Kode</t>
  </si>
  <si>
    <t xml:space="preserve">V4 S1 | V5 R2 | V6 T11 | V7 P2 | V8 F6 | V9 K3. Alasan: kewajiban dengan batas waktu yang dapat diuji.</t>
  </si>
  <si>
    <t xml:space="preserve">Rujukan (Pasal atau Paragraf dan Kalimat)</t>
  </si>
  <si>
    <t>Isi</t>
  </si>
  <si>
    <t>Pilot</t>
  </si>
  <si>
    <t xml:space="preserve">Kelengkapan V4 sampai V9</t>
  </si>
  <si>
    <t xml:space="preserve">Cek Konsistensi (Bagian 9)</t>
  </si>
  <si>
    <t>BAB</t>
  </si>
  <si>
    <t>Bagian</t>
  </si>
  <si>
    <t xml:space="preserve">S5 - Setiap Orang atau pihak umum</t>
  </si>
  <si>
    <t xml:space="preserve">R2 - Relevan langsung</t>
  </si>
  <si>
    <t xml:space="preserve">T04 - Hak Subjek Data Pribadi</t>
  </si>
  <si>
    <t xml:space="preserve">P3 - Hak</t>
  </si>
  <si>
    <t xml:space="preserve">F1 - Perencanaan dan dasar pemrosesan</t>
  </si>
  <si>
    <t xml:space="preserve">K2 - Non-fungsional: mutu data, kepatuhan, dan akuntabilitas</t>
  </si>
  <si>
    <t>Ya</t>
  </si>
  <si>
    <t xml:space="preserve">S7 - Lembaga atau Pemerintah (otoritas)</t>
  </si>
  <si>
    <t xml:space="preserve">R1 - Relevan tidak langsung</t>
  </si>
  <si>
    <t xml:space="preserve">T16 - Urgensi, Konsep, dan Landasan Pelindungan Data</t>
  </si>
  <si>
    <t xml:space="preserve">P7 - Asas, prinsip, atau tujuan umum</t>
  </si>
  <si>
    <t xml:space="preserve">F4 - Penyimpanan dan pengamanan</t>
  </si>
  <si>
    <t xml:space="preserve">K4 - Batasan atau aturan bisnis hukum</t>
  </si>
  <si>
    <t xml:space="preserve">S4 - Subjek Data Pribadi</t>
  </si>
  <si>
    <t xml:space="preserve">F7 - Tata kelola dan hak subjek</t>
  </si>
  <si>
    <t xml:space="preserve">T15 - Akses dan Pemanfaatan Data Pemerintah</t>
  </si>
  <si>
    <t xml:space="preserve">P4 - Pengecualian atau pembatasan</t>
  </si>
  <si>
    <t xml:space="preserve">F3 - Pengolahan dan analisis</t>
  </si>
  <si>
    <t xml:space="preserve">T01 - Definisi, Istilah, dan Ruang Lingkup</t>
  </si>
  <si>
    <t xml:space="preserve">P6 - Definisi, klasifikasi, atau ruang lingkup</t>
  </si>
  <si>
    <t xml:space="preserve">T07 - Data Pribadi Anak dan Kelompok Rentan</t>
  </si>
  <si>
    <t xml:space="preserve">P2 - Kewajiban</t>
  </si>
  <si>
    <t xml:space="preserve">S1 - Pengendali Data Pribadi</t>
  </si>
  <si>
    <t xml:space="preserve">T02 - Asas dan Prinsip Pemrosesan</t>
  </si>
  <si>
    <t xml:space="preserve">K3 - Fungsional</t>
  </si>
  <si>
    <t xml:space="preserve">T06 - Aktivitas Pemrosesan dan Pengumpulan</t>
  </si>
  <si>
    <t xml:space="preserve">F2 - Pengumpulan atau akuisisi</t>
  </si>
  <si>
    <t xml:space="preserve">K1 - Non-fungsional: keamanan dan kerahasiaan</t>
  </si>
  <si>
    <t xml:space="preserve">T11 - Retensi, Penghentian, Penghapusan, dan Pemusnahan</t>
  </si>
  <si>
    <t xml:space="preserve">F6 - Retensi dan penghapusan</t>
  </si>
  <si>
    <t xml:space="preserve">S3 - Pengendali dan Prosesor</t>
  </si>
  <si>
    <t xml:space="preserve">T13 - Transfer dan Pengalihan Data</t>
  </si>
  <si>
    <t xml:space="preserve">F5 - Penyebarluasan dan transfer</t>
  </si>
  <si>
    <t xml:space="preserve">Daftar kode sah (Codebook versi 1.0.2)</t>
  </si>
  <si>
    <t xml:space="preserve">Sumber: Bagian 6 sampai 7 codebook. Sheet ini dipakai oleh daftar pilihan (validasi data) pada lembar coding.</t>
  </si>
  <si>
    <t>Variabel</t>
  </si>
  <si>
    <t>Label</t>
  </si>
  <si>
    <t>S1</t>
  </si>
  <si>
    <t xml:space="preserve">Pengendali Data Pribadi</t>
  </si>
  <si>
    <t>S2</t>
  </si>
  <si>
    <t xml:space="preserve">Prosesor Data Pribadi</t>
  </si>
  <si>
    <t>S3</t>
  </si>
  <si>
    <t xml:space="preserve">Pengendali dan Prosesor</t>
  </si>
  <si>
    <t>S4</t>
  </si>
  <si>
    <t xml:space="preserve">Subjek Data Pribadi</t>
  </si>
  <si>
    <t>S5</t>
  </si>
  <si>
    <t xml:space="preserve">Setiap Orang atau pihak umum</t>
  </si>
  <si>
    <t>S6</t>
  </si>
  <si>
    <t xml:space="preserve">Instansi atau Badan Publik</t>
  </si>
  <si>
    <t>S7</t>
  </si>
  <si>
    <t xml:space="preserve">Lembaga atau Pemerintah (otoritas)</t>
  </si>
  <si>
    <t>S8</t>
  </si>
  <si>
    <t xml:space="preserve">Penyelenggara sektor atau pihak lain</t>
  </si>
  <si>
    <t>S9</t>
  </si>
  <si>
    <t xml:space="preserve">Tidak ada subjek eksplisit</t>
  </si>
  <si>
    <t>R0</t>
  </si>
  <si>
    <t xml:space="preserve">Tidak relevan</t>
  </si>
  <si>
    <t>R1</t>
  </si>
  <si>
    <t xml:space="preserve">Relevan tidak langsung</t>
  </si>
  <si>
    <t>R2</t>
  </si>
  <si>
    <t xml:space="preserve">Relevan langsung</t>
  </si>
  <si>
    <t>T01</t>
  </si>
  <si>
    <t xml:space="preserve">Definisi, Istilah, dan Ruang Lingkup</t>
  </si>
  <si>
    <t>T02</t>
  </si>
  <si>
    <t xml:space="preserve">Asas dan Prinsip Pemrosesan</t>
  </si>
  <si>
    <t>T03</t>
  </si>
  <si>
    <t xml:space="preserve">Jenis dan Klasifikasi Data Pribadi</t>
  </si>
  <si>
    <t>T04</t>
  </si>
  <si>
    <t xml:space="preserve">Hak Subjek Data Pribadi</t>
  </si>
  <si>
    <t>T05</t>
  </si>
  <si>
    <t xml:space="preserve">Dasar Pemrosesan dan Persetujuan</t>
  </si>
  <si>
    <t>T06</t>
  </si>
  <si>
    <t xml:space="preserve">Aktivitas Pemrosesan dan Pengumpulan</t>
  </si>
  <si>
    <t>T07</t>
  </si>
  <si>
    <t xml:space="preserve">Data Pribadi Anak dan Kelompok Rentan</t>
  </si>
  <si>
    <t>T08</t>
  </si>
  <si>
    <t xml:space="preserve">Kualitas, Akurasi, dan Pembaruan Data</t>
  </si>
  <si>
    <t>T09</t>
  </si>
  <si>
    <t xml:space="preserve">Akuntabilitas, Pencatatan, dan Tata Kelola Kepatuhan</t>
  </si>
  <si>
    <t>T10</t>
  </si>
  <si>
    <t xml:space="preserve">Keamanan, Kerahasiaan, dan Penanganan Insiden</t>
  </si>
  <si>
    <t>T11</t>
  </si>
  <si>
    <t xml:space="preserve">Retensi, Penghentian, Penghapusan, dan Pemusnahan</t>
  </si>
  <si>
    <t>T12</t>
  </si>
  <si>
    <t xml:space="preserve">Pengecualian dan Pembatasan</t>
  </si>
  <si>
    <t>T13</t>
  </si>
  <si>
    <t xml:space="preserve">Transfer dan Pengalihan Data</t>
  </si>
  <si>
    <t>T14</t>
  </si>
  <si>
    <t xml:space="preserve">Larangan dan Perbuatan Melawan Hukum</t>
  </si>
  <si>
    <t>T15</t>
  </si>
  <si>
    <t xml:space="preserve">Akses dan Pemanfaatan Data Pemerintah</t>
  </si>
  <si>
    <t>T16</t>
  </si>
  <si>
    <t xml:space="preserve">Urgensi, Konsep, dan Landasan Pelindungan Data</t>
  </si>
  <si>
    <t>T17</t>
  </si>
  <si>
    <t xml:space="preserve">Rujukan Regulasi Lain</t>
  </si>
  <si>
    <t>T99</t>
  </si>
  <si>
    <t xml:space="preserve">Lainnya (wajib jelaskan di V12)</t>
  </si>
  <si>
    <t>P1</t>
  </si>
  <si>
    <t>Larangan</t>
  </si>
  <si>
    <t>P2</t>
  </si>
  <si>
    <t>Kewajiban</t>
  </si>
  <si>
    <t>P3</t>
  </si>
  <si>
    <t>Hak</t>
  </si>
  <si>
    <t>P4</t>
  </si>
  <si>
    <t xml:space="preserve">Pengecualian atau pembatasan</t>
  </si>
  <si>
    <t>P5</t>
  </si>
  <si>
    <t xml:space="preserve">Kebolehan atau kewenangan</t>
  </si>
  <si>
    <t>P6</t>
  </si>
  <si>
    <t xml:space="preserve">Definisi, klasifikasi, atau ruang lingkup</t>
  </si>
  <si>
    <t>P7</t>
  </si>
  <si>
    <t xml:space="preserve">Asas, prinsip, atau tujuan umum</t>
  </si>
  <si>
    <t>P8</t>
  </si>
  <si>
    <t xml:space="preserve">Deskriptif, argumentatif, atau rekomendasi</t>
  </si>
  <si>
    <t>P9</t>
  </si>
  <si>
    <t xml:space="preserve">Rujukan atau daftar</t>
  </si>
  <si>
    <t>F1</t>
  </si>
  <si>
    <t xml:space="preserve">Perencanaan dan dasar pemrosesan</t>
  </si>
  <si>
    <t>F2</t>
  </si>
  <si>
    <t xml:space="preserve">Pengumpulan atau akuisisi</t>
  </si>
  <si>
    <t>F3</t>
  </si>
  <si>
    <t xml:space="preserve">Pengolahan dan analisis</t>
  </si>
  <si>
    <t>F4</t>
  </si>
  <si>
    <t xml:space="preserve">Penyimpanan dan pengamanan</t>
  </si>
  <si>
    <t>F5</t>
  </si>
  <si>
    <t xml:space="preserve">Penyebarluasan dan transfer</t>
  </si>
  <si>
    <t>F6</t>
  </si>
  <si>
    <t xml:space="preserve">Retensi dan penghapusan</t>
  </si>
  <si>
    <t>F7</t>
  </si>
  <si>
    <t xml:space="preserve">Tata kelola dan hak subjek</t>
  </si>
  <si>
    <t>F8</t>
  </si>
  <si>
    <t xml:space="preserve">Lintas tahap atau tidak spesifik</t>
  </si>
  <si>
    <t>K1</t>
  </si>
  <si>
    <t xml:space="preserve">Non-fungsional: keamanan dan kerahasiaan</t>
  </si>
  <si>
    <t>K2</t>
  </si>
  <si>
    <t xml:space="preserve">Non-fungsional: mutu data, kepatuhan, dan akuntabilitas</t>
  </si>
  <si>
    <t>K3</t>
  </si>
  <si>
    <t>Fungsional</t>
  </si>
  <si>
    <t>K4</t>
  </si>
  <si>
    <t xml:space="preserve">Batasan atau aturan bisnis hukum</t>
  </si>
  <si>
    <t>K5</t>
  </si>
  <si>
    <t xml:space="preserve">Tidak menghasilkan kebutuhan</t>
  </si>
  <si>
    <t>Dokumen</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</si>
  <si>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</si>
  <si>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</si>
  <si>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</si>
  <si>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</si>
  <si>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</si>
  <si>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</si>
  <si>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</si>
  <si>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</si>
  <si>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</si>
  <si>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For_Codebook_1.xlsx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</si>
  <si>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</si>
  <si>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</si>
  <si>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</si>
  <si>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</si>
  <si>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</si>
  <si>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15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</si>
  <si>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</si>
  <si>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</si>
  <si>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</si>
  <si>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</si>
  <si>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</si>
  <si>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</si>
  <si>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</si>
  <si>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</si>
  <si>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</si>
  <si>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</si>
  <si>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</si>
  <si>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</si>
  <si>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</si>
  <si>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</si>
  <si>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</si>
  <si>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</si>
  <si>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</si>
  <si>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</si>
  <si>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</si>
  <si>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</si>
  <si>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</si>
  <si>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</si>
  <si>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</si>
  <si>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</si>
  <si>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</si>
  <si>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</si>
  <si>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</si>
  <si>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</si>
  <si>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</si>
  <si>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</si>
  <si>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</si>
  <si>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</si>
  <si>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</si>
  <si>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</si>
  <si>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</si>
  <si>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</si>
  <si>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</si>
  <si>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</si>
  <si>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</si>
  <si>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</si>
  <si>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</si>
  <si>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</si>
  <si>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</si>
  <si>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</si>
  <si>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</si>
  <si>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</si>
  <si>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</si>
  <si>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</si>
  <si>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</si>
  <si>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</si>
  <si>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</si>
  <si>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</si>
  <si>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</si>
  <si>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</si>
  <si>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</si>
  <si>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</si>
  <si>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</si>
  <si>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</si>
  <si>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</si>
  <si>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</si>
  <si>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</si>
  <si>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</si>
  <si>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</si>
  <si>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</si>
  <si>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</si>
  <si>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</si>
  <si>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</si>
  <si>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</si>
  <si>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</si>
  <si>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</si>
  <si>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</si>
  <si>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</si>
  <si>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</si>
  <si>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</si>
  <si>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</si>
  <si>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</si>
  <si>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</si>
  <si>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</si>
  <si>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</si>
  <si>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</si>
  <si>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</si>
  <si>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</si>
  <si>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</si>
  <si>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</si>
  <si>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</si>
  <si>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</si>
  <si>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</si>
  <si>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</si>
  <si>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</si>
  <si>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</si>
  <si>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</si>
  <si>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</si>
  <si>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</si>
  <si>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</si>
  <si>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</si>
  <si>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</si>
  <si>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</si>
  <si>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</si>
  <si>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</si>
  <si>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</si>
  <si>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</si>
  <si>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</si>
  <si>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</si>
  <si>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</si>
  <si>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</si>
  <si>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</si>
  <si>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</si>
  <si>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</si>
  <si>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</si>
  <si>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</si>
  <si>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</si>
  <si>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</si>
  <si>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</si>
  <si>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</si>
  <si>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</si>
  <si>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</si>
  <si>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</si>
  <si>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</si>
  <si>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</si>
  <si>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</si>
  <si>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</si>
  <si>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</si>
  <si>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</si>
  <si>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</si>
  <si>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</si>
  <si>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</si>
  <si>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</si>
  <si>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</si>
  <si>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</si>
  <si>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</si>
  <si>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</si>
  <si>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</si>
  <si>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</si>
  <si>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</si>
  <si>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</si>
  <si>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</si>
  <si>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</si>
  <si>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</si>
  <si>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</si>
  <si>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</si>
  <si>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</si>
  <si>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</si>
  <si>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</si>
  <si>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</si>
  <si>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</si>
  <si>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</si>
  <si>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</si>
  <si>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</si>
  <si>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</si>
  <si>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</si>
  <si>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</si>
  <si>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color indexed="64"/>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color indexed="64"/>
        <rFont val="Linux Libertine G"/>
      </rPr>
      <t>ُ</t>
    </r>
    <r>
      <rPr>
        <sz val="10"/>
        <color indexed="64"/>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</si>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</sst>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font>
    <font>
      <sz val="10.000000"/>
      <name val="Arial"/>
    </font>
    <font>
      <sz val="11.000000"/>
      <color theme="1"/>
      <name val="Arial"/>
    </font>
    <font>
      <b/>
      <sz val="14.000000"/>
      <name val="Arial"/>
    </font>
    <font>
      <i/>
      <sz val="9.000000"/>
      <color rgb="FF595959"/>
      <name val="Arial"/>
    </font>
    <font>
      <b/>
      <sz val="10.000000"/>
      <name val="Arial"/>
    </font>
    <font>
      <sz val="10.000000"/>
      <color indexed="4"/>
      <name val="Arial"/>
    </font>
    <font>
      <b/>
      <sz val="10.000000"/>
      <color indexed="65"/>
      <name val="Arial"/>
    </font>
    <font>
      <sz val="10.000000"/>
      <color theme="1"/>
      <name val="Arial"/>
    </font>
    <font>
      <sz val="10.000000"/>
      <color indexed="64"/>
      <name val="FiraCode Nerd Font"/>
    </font>
  </fonts>
  <fills count="5">
    <fill>
      <patternFill patternType="none"/>
    </fill>
    <fill>
      <patternFill patternType="gray125"/>
    </fill>
    <fill>
      <patternFill patternType="solid">
        <fgColor rgb="FFFFF2CC"/>
        <bgColor rgb="FFFFEB9C"/>
      </patternFill>
    </fill>
    <fill>
      <patternFill patternType="solid">
        <fgColor rgb="FF1F3864"/>
        <bgColor indexed="63"/>
      </patternFill>
    </fill>
    <fill>
      <patternFill patternType="solid">
        <fgColor rgb="FF2F5496"/>
        <bgColor rgb="FF1F3864"/>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28">
    <xf fontId="0" fillId="0" borderId="0" numFmtId="0" xfId="0" applyProtection="0">
      <protection hidden="0" locked="1"/>
    </xf>
    <xf fontId="2" fillId="0" borderId="0" numFmtId="0" xfId="0" applyFont="1" applyProtection="1">
      <protection hidden="0" locked="1"/>
    </xf>
    <xf fontId="3" fillId="0" borderId="0" numFmtId="0" xfId="0" applyFont="1" applyProtection="1">
      <protection hidden="0" locked="1"/>
    </xf>
    <xf fontId="4" fillId="0" borderId="0" numFmtId="0" xfId="0" applyFont="1" applyProtection="1">
      <protection hidden="0" locked="1"/>
    </xf>
    <xf fontId="5" fillId="0" borderId="0" numFmtId="0" xfId="0" applyFont="1" applyProtection="1">
      <protection hidden="0" locked="1"/>
    </xf>
    <xf fontId="6" fillId="2" borderId="1" numFmtId="0" xfId="0" applyFont="1" applyFill="1" applyBorder="1" applyAlignment="1" applyProtection="1">
      <alignment horizontal="left" vertical="center" wrapText="1"/>
      <protection hidden="0" locked="1"/>
    </xf>
    <xf fontId="7" fillId="3" borderId="0" numFmtId="0" xfId="0" applyFont="1" applyFill="1" applyProtection="1">
      <protection hidden="0" locked="1"/>
    </xf>
    <xf fontId="2" fillId="3" borderId="0" numFmtId="0" xfId="0" applyFont="1" applyFill="1" applyProtection="1">
      <protection hidden="0" locked="1"/>
    </xf>
    <xf fontId="5" fillId="0" borderId="0" numFmtId="0" xfId="0" applyFont="1" applyAlignment="1" applyProtection="1">
      <alignment vertical="top"/>
      <protection hidden="0" locked="1"/>
    </xf>
    <xf fontId="1" fillId="0" borderId="0" numFmtId="0" xfId="0" applyFont="1" applyAlignment="1" applyProtection="1">
      <alignment vertical="top" wrapText="1"/>
      <protection hidden="0" locked="1"/>
    </xf>
    <xf fontId="5" fillId="2" borderId="0" numFmtId="0" xfId="0" applyFont="1" applyFill="1" applyAlignment="1" applyProtection="1">
      <alignment vertical="top"/>
      <protection hidden="0" locked="1"/>
    </xf>
    <xf fontId="0" fillId="0" borderId="0" numFmtId="0" xfId="0" applyProtection="1">
      <protection hidden="0" locked="1"/>
    </xf>
    <xf fontId="0" fillId="0" borderId="0" numFmtId="0" xfId="0" applyAlignment="1" applyProtection="1">
      <alignment wrapText="1"/>
      <protection hidden="0" locked="1"/>
    </xf>
    <xf fontId="0" fillId="0" borderId="0" numFmtId="0" xfId="0" applyAlignment="1" applyProtection="1">
      <alignment horizontal="center"/>
      <protection hidden="0" locked="1"/>
    </xf>
    <xf fontId="7" fillId="3" borderId="1" numFmtId="0" xfId="0" applyFont="1" applyFill="1" applyBorder="1" applyAlignment="1" applyProtection="1">
      <alignment horizontal="center" vertical="center" wrapText="1"/>
      <protection hidden="0" locked="1"/>
    </xf>
    <xf fontId="7" fillId="4" borderId="1" numFmtId="0" xfId="0" applyFont="1" applyFill="1" applyBorder="1" applyAlignment="1" applyProtection="1">
      <alignment horizontal="center" vertical="center" wrapText="1"/>
      <protection hidden="0" locked="1"/>
    </xf>
    <xf fontId="1" fillId="0" borderId="1" numFmtId="0" xfId="0" applyFont="1" applyBorder="1" applyAlignment="1" applyProtection="1">
      <alignment horizontal="center" vertical="top"/>
      <protection hidden="0" locked="1"/>
    </xf>
    <xf fontId="1" fillId="0" borderId="1" numFmtId="0" xfId="0" applyFont="1" applyBorder="1" applyAlignment="1" applyProtection="1">
      <alignment horizontal="center" vertical="top" wrapText="1"/>
      <protection hidden="0" locked="1"/>
    </xf>
    <xf fontId="1" fillId="0" borderId="1" numFmtId="0" xfId="0" applyFont="1" applyBorder="1" applyAlignment="1" applyProtection="1">
      <alignment vertical="top" wrapText="1"/>
      <protection hidden="0" locked="1"/>
    </xf>
    <xf fontId="6" fillId="2" borderId="1" numFmtId="0" xfId="0" applyFont="1" applyFill="1" applyBorder="1" applyAlignment="1" applyProtection="1">
      <alignment horizontal="center" vertical="top"/>
      <protection hidden="0" locked="1"/>
    </xf>
    <xf fontId="6" fillId="2" borderId="1" numFmtId="0" xfId="0" applyFont="1" applyFill="1" applyBorder="1" applyAlignment="1" applyProtection="1">
      <alignment vertical="top" wrapText="1"/>
      <protection hidden="0" locked="1"/>
    </xf>
    <xf fontId="6" fillId="2" borderId="1" numFmtId="0" xfId="0" applyFont="1" applyFill="1" applyBorder="1" applyAlignment="1" applyProtection="1">
      <alignment horizontal="center" vertical="top" wrapText="1"/>
      <protection hidden="0" locked="1"/>
    </xf>
    <xf fontId="8" fillId="0" borderId="0" numFmtId="0" xfId="0" applyFont="1" applyProtection="1">
      <protection hidden="0" locked="1"/>
    </xf>
    <xf fontId="7" fillId="3" borderId="0" numFmtId="0" xfId="0" applyFont="1" applyFill="1" applyAlignment="1" applyProtection="1">
      <alignment horizontal="center"/>
      <protection hidden="0" locked="1"/>
    </xf>
    <xf fontId="1" fillId="0" borderId="1" numFmtId="0" xfId="0" applyFont="1" applyBorder="1" applyProtection="1">
      <protection hidden="0" locked="1"/>
    </xf>
    <xf fontId="5" fillId="0" borderId="1" numFmtId="0" xfId="0" applyFont="1" applyBorder="1" applyProtection="1">
      <protection hidden="0" locked="1"/>
    </xf>
    <xf fontId="5" fillId="2" borderId="1" numFmtId="0" xfId="0" applyFont="1" applyFill="1" applyBorder="1" applyProtection="1">
      <protection hidden="0" locked="1"/>
    </xf>
    <xf fontId="9" fillId="0" borderId="0" numFmtId="0" xfId="0" applyFont="1" applyProtection="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60" workbookViewId="0">
      <selection activeCell="C38" activeCellId="0" sqref="C38"/>
    </sheetView>
  </sheetViews>
  <sheetFormatPr defaultColWidth="8.6796875" defaultRowHeight="15"/>
  <cols>
    <col customWidth="1" min="1" max="1" style="1" width="3"/>
    <col customWidth="1" min="2" max="2" style="1" width="30"/>
    <col customWidth="1" min="3" max="3" style="1" width="110"/>
    <col customWidth="0" min="4" max="16384" style="1" width="8.6799999999999997"/>
  </cols>
  <sheetData>
    <row r="1" ht="17.350000000000001">
      <c r="A1" s="2" t="s">
        <v>0</v>
      </c>
    </row>
    <row r="2" ht="15">
      <c r="A2" s="3" t="s">
        <v>1</v>
      </c>
    </row>
    <row r="4" ht="15">
      <c r="B4" s="4" t="s">
        <v>2</v>
      </c>
      <c r="C4" s="5" t="s">
        <v>3</v>
      </c>
      <c r="D4" s="3" t="s">
        <v>4</v>
      </c>
    </row>
    <row r="6" ht="15">
      <c r="B6" s="6" t="s">
        <v>5</v>
      </c>
      <c r="C6" s="7"/>
    </row>
    <row r="7" ht="23.850000000000001">
      <c r="B7" s="8" t="s">
        <v>6</v>
      </c>
      <c r="C7" s="9" t="s">
        <v>7</v>
      </c>
    </row>
    <row r="8" ht="15">
      <c r="B8" s="8" t="s">
        <v>8</v>
      </c>
      <c r="C8" s="9" t="s">
        <v>9</v>
      </c>
    </row>
    <row r="9" ht="15">
      <c r="B9" s="8" t="s">
        <v>10</v>
      </c>
      <c r="C9" s="9" t="s">
        <v>11</v>
      </c>
    </row>
    <row r="10" ht="23.850000000000001">
      <c r="B10" s="8" t="s">
        <v>12</v>
      </c>
      <c r="C10" s="9" t="s">
        <v>13</v>
      </c>
    </row>
    <row r="11" ht="15">
      <c r="B11" s="8" t="s">
        <v>14</v>
      </c>
      <c r="C11" s="9" t="s">
        <v>15</v>
      </c>
    </row>
    <row r="12" ht="15">
      <c r="B12" s="8" t="s">
        <v>16</v>
      </c>
      <c r="C12" s="9" t="s">
        <v>17</v>
      </c>
    </row>
    <row r="13" ht="15">
      <c r="B13" s="6" t="s">
        <v>18</v>
      </c>
      <c r="C13" s="7"/>
    </row>
    <row r="14" ht="15">
      <c r="B14" s="10" t="s">
        <v>19</v>
      </c>
      <c r="C14" s="9" t="s">
        <v>20</v>
      </c>
    </row>
    <row r="15" ht="15">
      <c r="B15" s="8" t="s">
        <v>21</v>
      </c>
      <c r="C15" s="9" t="s">
        <v>22</v>
      </c>
    </row>
    <row r="16" ht="15">
      <c r="B16" s="8" t="s">
        <v>23</v>
      </c>
      <c r="C16" s="9" t="s">
        <v>24</v>
      </c>
    </row>
    <row r="18" ht="15">
      <c r="B18" s="6" t="s">
        <v>25</v>
      </c>
      <c r="C18" s="7"/>
    </row>
    <row r="19" ht="15">
      <c r="B19" s="4" t="s">
        <v>26</v>
      </c>
      <c r="C19" s="9" t="s">
        <v>27</v>
      </c>
    </row>
    <row r="20" ht="15">
      <c r="B20" s="4" t="s">
        <v>28</v>
      </c>
      <c r="C20" s="9" t="s">
        <v>29</v>
      </c>
    </row>
    <row r="21" ht="15">
      <c r="B21" s="4" t="s">
        <v>30</v>
      </c>
      <c r="C21" s="9" t="s">
        <v>31</v>
      </c>
    </row>
    <row r="22" ht="15">
      <c r="B22" s="4" t="s">
        <v>32</v>
      </c>
      <c r="C22" s="9" t="s">
        <v>33</v>
      </c>
    </row>
    <row r="23" ht="15">
      <c r="B23" s="4" t="s">
        <v>34</v>
      </c>
      <c r="C23" s="9" t="s">
        <v>35</v>
      </c>
    </row>
    <row r="24" ht="15">
      <c r="B24" s="4" t="s">
        <v>36</v>
      </c>
      <c r="C24" s="9" t="s">
        <v>37</v>
      </c>
    </row>
    <row r="25" ht="15">
      <c r="B25" s="4" t="s">
        <v>38</v>
      </c>
      <c r="C25" s="9" t="s">
        <v>39</v>
      </c>
    </row>
    <row r="26" ht="15">
      <c r="B26" s="4" t="s">
        <v>40</v>
      </c>
      <c r="C26" s="9" t="s">
        <v>41</v>
      </c>
    </row>
    <row r="27" ht="15">
      <c r="B27" s="4" t="s">
        <v>42</v>
      </c>
      <c r="C27" s="9" t="s">
        <v>43</v>
      </c>
    </row>
    <row r="28" ht="15">
      <c r="B28" s="4" t="s">
        <v>44</v>
      </c>
      <c r="C28" s="9" t="s">
        <v>45</v>
      </c>
    </row>
    <row r="29" ht="15">
      <c r="B29" s="4" t="s">
        <v>46</v>
      </c>
      <c r="C29" s="9" t="s">
        <v>47</v>
      </c>
    </row>
    <row r="30" ht="15">
      <c r="B30" s="4" t="s">
        <v>48</v>
      </c>
      <c r="C30" s="9" t="s">
        <v>49</v>
      </c>
    </row>
    <row r="32" ht="15">
      <c r="B32" s="6" t="s">
        <v>50</v>
      </c>
      <c r="C32" s="7"/>
    </row>
    <row r="33" ht="15">
      <c r="B33" s="4" t="s">
        <v>51</v>
      </c>
      <c r="C33" s="9" t="s">
        <v>52</v>
      </c>
    </row>
    <row r="34" ht="15">
      <c r="B34" s="4" t="s">
        <v>53</v>
      </c>
      <c r="C34" s="9" t="s">
        <v>54</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K1" zoomScale="60" workbookViewId="0">
      <pane ySplit="1" topLeftCell="A2" activePane="bottomLeft" state="frozen"/>
      <selection activeCell="Y5" activeCellId="0" sqref="Y5"/>
    </sheetView>
  </sheetViews>
  <sheetFormatPr defaultColWidth="8.6796875" defaultRowHeight="14.25"/>
  <cols>
    <col customWidth="1" min="1" max="1" style="11" width="10.199999999999999"/>
    <col customWidth="1" min="2" max="2" style="12" width="11.24"/>
    <col customWidth="1" min="3" max="4" style="11" width="17.879999999999999"/>
    <col customWidth="1" min="5" max="5" style="11" width="66.400000000000006"/>
    <col customWidth="1" min="6" max="12" style="12" width="11.75"/>
    <col customWidth="1" min="13" max="14" style="12" width="25.539999999999999"/>
    <col customWidth="1" min="15" max="15" style="11" width="7"/>
    <col customWidth="1" min="16" max="16" style="11" width="16"/>
    <col customWidth="1" min="17" max="17" style="11" width="25.539999999999999"/>
    <col customWidth="1" hidden="1" min="18" max="19" style="11" width="18"/>
  </cols>
  <sheetData>
    <row r="1" s="13" customFormat="1" ht="42" customHeight="1">
      <c r="A1" s="14" t="s">
        <v>26</v>
      </c>
      <c r="B1" s="14" t="s">
        <v>28</v>
      </c>
      <c r="C1" s="14" t="s">
        <v>30</v>
      </c>
      <c r="D1" s="14" t="s">
        <v>55</v>
      </c>
      <c r="E1" s="14" t="s">
        <v>56</v>
      </c>
      <c r="F1" s="15" t="s">
        <v>32</v>
      </c>
      <c r="G1" s="15" t="s">
        <v>34</v>
      </c>
      <c r="H1" s="15" t="s">
        <v>36</v>
      </c>
      <c r="I1" s="15" t="s">
        <v>38</v>
      </c>
      <c r="J1" s="15" t="s">
        <v>40</v>
      </c>
      <c r="K1" s="15" t="s">
        <v>42</v>
      </c>
      <c r="L1" s="15" t="s">
        <v>44</v>
      </c>
      <c r="M1" s="15" t="s">
        <v>46</v>
      </c>
      <c r="N1" s="15" t="s">
        <v>48</v>
      </c>
      <c r="O1" s="14" t="s">
        <v>57</v>
      </c>
      <c r="P1" s="14" t="s">
        <v>58</v>
      </c>
      <c r="Q1" s="14" t="s">
        <v>59</v>
      </c>
      <c r="R1" s="14" t="s">
        <v>60</v>
      </c>
      <c r="S1" s="14" t="s">
        <v>61</v>
      </c>
    </row>
    <row r="2" ht="60" customHeight="1">
      <c r="A2" s="16">
        <v>2</v>
      </c>
      <c r="B2" s="17" t="str">
        <f>IF(Petunjuk!$C$4="","",Petunjuk!$C$4)</f>
        <v xml:space="preserve">DENI GANTENG BANGET</v>
      </c>
      <c r="C2" s="18" t="str">
        <f>IF(INDEX(Korpus!$A:$A,$A2)="","",INDEX(Korpus!$A:$A,$A2))</f>
        <v>2019MHN201</v>
      </c>
      <c r="D2" s="18" t="str">
        <f>TRIM(INDEX(Korpus!$D:$D,$A2)&amp;" "&amp;INDEX(Korpus!$E:$E,$A2))</f>
        <v xml:space="preserve">Paragraf 3 Kalimat 1</v>
      </c>
      <c r="E2" s="18" t="str">
        <f>IF(INDEX(Korpus!$F:$F,$A2)="","",INDEX(Korpus!$F:$F,$A2))</f>
        <v xml:space="preserve">Melihat banyaknya kasus penyalahgunaan data pribadi, sangat penting untuk memberikan perlindungan data pribadi.</v>
      </c>
      <c r="F2" s="19"/>
      <c r="G2" s="19"/>
      <c r="H2" s="19"/>
      <c r="I2" s="19"/>
      <c r="J2" s="19"/>
      <c r="K2" s="19"/>
      <c r="L2" s="19"/>
      <c r="M2" s="20"/>
      <c r="N2" s="20"/>
      <c r="O2" s="16"/>
      <c r="P2" s="18" t="str">
        <f t="shared" ref="P2:P9" si="0">IF(COUNTA(F2:K2)=6,"Lengkap","Belum lengkap ("&amp;(6-COUNTA(F2:K2))&amp;")")</f>
        <v xml:space="preserve">Belum lengkap (6)</v>
      </c>
      <c r="Q2" s="18" t="str">
        <f t="shared" ref="Q2:Q9" si="1">IF(COUNTA(F2:K2)&lt;6,"",IF(IF(AND(G2="R0",K2&lt;&gt;"K5"),"R0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","")="","OK",IF(AND(G2="R0",K2&lt;&gt;"K5"),"R0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f>
        <v/>
      </c>
      <c r="R2" s="18" t="str">
        <f>IF(INDEX(Korpus!$B:$B,$A2)="","",INDEX(Korpus!$B:$B,$A2))</f>
        <v xml:space="preserve">C. Pembahasan</v>
      </c>
      <c r="S2" s="18" t="str">
        <f>IF(INDEX(Korpus!$C:$C,$A2)="","",INDEX(Korpus!$C:$C,$A2))</f>
        <v xml:space="preserve">5. Pentingnya Perlindungan Data Pribadi</v>
      </c>
    </row>
    <row r="3" ht="60" customHeight="1">
      <c r="A3" s="16">
        <v>3</v>
      </c>
      <c r="B3" s="17" t="str">
        <f>IF(Petunjuk!$C$4="","",Petunjuk!$C$4)</f>
        <v xml:space="preserve">DENI GANTENG BANGET</v>
      </c>
      <c r="C3" s="18" t="str">
        <f>IF(INDEX(Korpus!$A:$A,$A3)="","",INDEX(Korpus!$A:$A,$A3))</f>
        <v>2019MHN201</v>
      </c>
      <c r="D3" s="18" t="str">
        <f>TRIM(INDEX(Korpus!$D:$D,$A3)&amp;" "&amp;INDEX(Korpus!$E:$E,$A3))</f>
        <v xml:space="preserve">Paragraf 3 Kalimat 2</v>
      </c>
      <c r="E3" s="18" t="str">
        <f>IF(INDEX(Korpus!$F:$F,$A3)="","",INDEX(Korpus!$F:$F,$A3))</f>
        <v xml:space="preserve">Pentingnya memberikan perlindungan data pribadi mulai menguat seiring dengan meningkatnya jumlah pengguna telepon seluler dan internet.</v>
      </c>
      <c r="F3" s="19"/>
      <c r="G3" s="19"/>
      <c r="H3" s="19"/>
      <c r="I3" s="19"/>
      <c r="J3" s="19"/>
      <c r="K3" s="19"/>
      <c r="L3" s="19"/>
      <c r="M3" s="20"/>
      <c r="N3" s="20"/>
      <c r="O3" s="16"/>
      <c r="P3" s="18" t="str">
        <f t="shared" si="0"/>
        <v xml:space="preserve">Belum lengkap (6)</v>
      </c>
      <c r="Q3" s="18" t="str">
        <f t="shared" si="1"/>
        <v/>
      </c>
      <c r="R3" s="18" t="str">
        <f>IF(INDEX(Korpus!$B:$B,$A3)="","",INDEX(Korpus!$B:$B,$A3))</f>
        <v xml:space="preserve">C. Pembahasan</v>
      </c>
      <c r="S3" s="18" t="str">
        <f>IF(INDEX(Korpus!$C:$C,$A3)="","",INDEX(Korpus!$C:$C,$A3))</f>
        <v xml:space="preserve">5. Pentingnya Perlindungan Data Pribadi</v>
      </c>
    </row>
    <row r="4" ht="60" customHeight="1">
      <c r="A4" s="16">
        <v>4</v>
      </c>
      <c r="B4" s="17" t="str">
        <f>IF(Petunjuk!$C$4="","",Petunjuk!$C$4)</f>
        <v xml:space="preserve">DENI GANTENG BANGET</v>
      </c>
      <c r="C4" s="18" t="str">
        <f>IF(INDEX(Korpus!$A:$A,$A4)="","",INDEX(Korpus!$A:$A,$A4))</f>
        <v>2019MHN201</v>
      </c>
      <c r="D4" s="18" t="str">
        <f>TRIM(INDEX(Korpus!$D:$D,$A4)&amp;" "&amp;INDEX(Korpus!$E:$E,$A4))</f>
        <v xml:space="preserve">Paragraf 3 Kalimat 3</v>
      </c>
      <c r="E4" s="18" t="str">
        <f>IF(INDEX(Korpus!$F:$F,$A4)="","",INDEX(Korpus!$F:$F,$A4))</f>
        <v xml:space="preserve">Sejumlah kasus yang mencuat, terutama yang memiliki keterkaitan dengan kebocoran data pribadi seseorang dan bermuara kepada aksi penipuan atau tindak kriminal pornografi, menguatkan wacana pentingnya pembuatan aturan hukum untuk melindungi data pribadi.</v>
      </c>
      <c r="F4" s="19"/>
      <c r="G4" s="19"/>
      <c r="H4" s="19"/>
      <c r="I4" s="19"/>
      <c r="J4" s="19"/>
      <c r="K4" s="19"/>
      <c r="L4" s="19"/>
      <c r="M4" s="20"/>
      <c r="N4" s="20"/>
      <c r="O4" s="16"/>
      <c r="P4" s="18" t="str">
        <f t="shared" si="0"/>
        <v xml:space="preserve">Belum lengkap (6)</v>
      </c>
      <c r="Q4" s="18" t="str">
        <f t="shared" si="1"/>
        <v/>
      </c>
      <c r="R4" s="18" t="str">
        <f>IF(INDEX(Korpus!$B:$B,$A4)="","",INDEX(Korpus!$B:$B,$A4))</f>
        <v xml:space="preserve">C. Pembahasan</v>
      </c>
      <c r="S4" s="18" t="str">
        <f>IF(INDEX(Korpus!$C:$C,$A4)="","",INDEX(Korpus!$C:$C,$A4))</f>
        <v xml:space="preserve">5. Pentingnya Perlindungan Data Pribadi</v>
      </c>
    </row>
    <row r="5" ht="60" customHeight="1">
      <c r="A5" s="16">
        <v>5</v>
      </c>
      <c r="B5" s="17" t="str">
        <f>IF(Petunjuk!$C$4="","",Petunjuk!$C$4)</f>
        <v xml:space="preserve">DENI GANTENG BANGET</v>
      </c>
      <c r="C5" s="18" t="str">
        <f>IF(INDEX(Korpus!$A:$A,$A5)="","",INDEX(Korpus!$A:$A,$A5))</f>
        <v>2019MHN201</v>
      </c>
      <c r="D5" s="18" t="str">
        <f>TRIM(INDEX(Korpus!$D:$D,$A5)&amp;" "&amp;INDEX(Korpus!$E:$E,$A5))</f>
        <v xml:space="preserve">Paragraf 3 Kalimat 4</v>
      </c>
      <c r="E5" s="18" t="str">
        <f>IF(INDEX(Korpus!$F:$F,$A5)="","",INDEX(Korpus!$F:$F,$A5))</f>
        <v xml:space="preserve">Perlindungan data pribadi berhubungan dengan konsep privasi.</v>
      </c>
      <c r="F5" s="19"/>
      <c r="G5" s="19"/>
      <c r="H5" s="19"/>
      <c r="I5" s="19"/>
      <c r="J5" s="19"/>
      <c r="K5" s="19"/>
      <c r="L5" s="19"/>
      <c r="M5" s="20"/>
      <c r="N5" s="20"/>
      <c r="O5" s="16"/>
      <c r="P5" s="18" t="str">
        <f t="shared" si="0"/>
        <v xml:space="preserve">Belum lengkap (6)</v>
      </c>
      <c r="Q5" s="18" t="str">
        <f t="shared" si="1"/>
        <v/>
      </c>
      <c r="R5" s="18" t="str">
        <f>IF(INDEX(Korpus!$B:$B,$A5)="","",INDEX(Korpus!$B:$B,$A5))</f>
        <v xml:space="preserve">C. Pembahasan</v>
      </c>
      <c r="S5" s="18" t="str">
        <f>IF(INDEX(Korpus!$C:$C,$A5)="","",INDEX(Korpus!$C:$C,$A5))</f>
        <v xml:space="preserve">5. Pentingnya Perlindungan Data Pribadi</v>
      </c>
    </row>
    <row r="6" ht="60" customHeight="1">
      <c r="A6" s="16">
        <v>6</v>
      </c>
      <c r="B6" s="17" t="str">
        <f>IF(Petunjuk!$C$4="","",Petunjuk!$C$4)</f>
        <v xml:space="preserve">DENI GANTENG BANGET</v>
      </c>
      <c r="C6" s="18" t="str">
        <f>IF(INDEX(Korpus!$A:$A,$A6)="","",INDEX(Korpus!$A:$A,$A6))</f>
        <v>2019MHN201</v>
      </c>
      <c r="D6" s="18" t="str">
        <f>TRIM(INDEX(Korpus!$D:$D,$A6)&amp;" "&amp;INDEX(Korpus!$E:$E,$A6))</f>
        <v xml:space="preserve">Paragraf 3 Kalimat 5</v>
      </c>
      <c r="E6" s="18" t="str">
        <f>IF(INDEX(Korpus!$F:$F,$A6)="","",INDEX(Korpus!$F:$F,$A6))</f>
        <v xml:space="preserve">Konsep privasi sendiri adalah gagasan untuk menjaga integritas dan martabat pribadi.</v>
      </c>
      <c r="F6" s="19"/>
      <c r="G6" s="19"/>
      <c r="H6" s="19"/>
      <c r="I6" s="19"/>
      <c r="J6" s="19"/>
      <c r="K6" s="19"/>
      <c r="L6" s="19"/>
      <c r="M6" s="20"/>
      <c r="N6" s="20"/>
      <c r="O6" s="16"/>
      <c r="P6" s="18" t="str">
        <f t="shared" si="0"/>
        <v xml:space="preserve">Belum lengkap (6)</v>
      </c>
      <c r="Q6" s="18" t="str">
        <f t="shared" si="1"/>
        <v/>
      </c>
      <c r="R6" s="18" t="str">
        <f>IF(INDEX(Korpus!$B:$B,$A6)="","",INDEX(Korpus!$B:$B,$A6))</f>
        <v xml:space="preserve">C. Pembahasan</v>
      </c>
      <c r="S6" s="18" t="str">
        <f>IF(INDEX(Korpus!$C:$C,$A6)="","",INDEX(Korpus!$C:$C,$A6))</f>
        <v xml:space="preserve">5. Pentingnya Perlindungan Data Pribadi</v>
      </c>
    </row>
    <row r="7" ht="60" customHeight="1">
      <c r="A7" s="16">
        <v>7</v>
      </c>
      <c r="B7" s="17" t="str">
        <f>IF(Petunjuk!$C$4="","",Petunjuk!$C$4)</f>
        <v xml:space="preserve">DENI GANTENG BANGET</v>
      </c>
      <c r="C7" s="18" t="str">
        <f>IF(INDEX(Korpus!$A:$A,$A7)="","",INDEX(Korpus!$A:$A,$A7))</f>
        <v>2019MHN201</v>
      </c>
      <c r="D7" s="18" t="str">
        <f>TRIM(INDEX(Korpus!$D:$D,$A7)&amp;" "&amp;INDEX(Korpus!$E:$E,$A7))</f>
        <v xml:space="preserve">Paragraf 3 Kalimat 6</v>
      </c>
      <c r="E7" s="18" t="str">
        <f>IF(INDEX(Korpus!$F:$F,$A7)="","",INDEX(Korpus!$F:$F,$A7))</f>
        <v xml:space="preserve">Hak privasi juga merupakan kemampuan individu untuk menentukan siapa yang memegang informasi tentang mereka dan bagaimana informasi tersebut digunakan.</v>
      </c>
      <c r="F7" s="19"/>
      <c r="G7" s="19"/>
      <c r="H7" s="19"/>
      <c r="I7" s="19"/>
      <c r="J7" s="19"/>
      <c r="K7" s="19"/>
      <c r="L7" s="19"/>
      <c r="M7" s="20"/>
      <c r="N7" s="20"/>
      <c r="O7" s="16"/>
      <c r="P7" s="18" t="str">
        <f t="shared" si="0"/>
        <v xml:space="preserve">Belum lengkap (6)</v>
      </c>
      <c r="Q7" s="18" t="str">
        <f t="shared" si="1"/>
        <v/>
      </c>
      <c r="R7" s="18" t="str">
        <f>IF(INDEX(Korpus!$B:$B,$A7)="","",INDEX(Korpus!$B:$B,$A7))</f>
        <v xml:space="preserve">C. Pembahasan</v>
      </c>
      <c r="S7" s="18" t="str">
        <f>IF(INDEX(Korpus!$C:$C,$A7)="","",INDEX(Korpus!$C:$C,$A7))</f>
        <v xml:space="preserve">5. Pentingnya Perlindungan Data Pribadi</v>
      </c>
    </row>
    <row r="8" ht="60" customHeight="1">
      <c r="A8" s="16">
        <v>8</v>
      </c>
      <c r="B8" s="17" t="str">
        <f>IF(Petunjuk!$C$4="","",Petunjuk!$C$4)</f>
        <v xml:space="preserve">DENI GANTENG BANGET</v>
      </c>
      <c r="C8" s="18" t="str">
        <f>IF(INDEX(Korpus!$A:$A,$A8)="","",INDEX(Korpus!$A:$A,$A8))</f>
        <v>2019MHN201</v>
      </c>
      <c r="D8" s="18" t="str">
        <f>TRIM(INDEX(Korpus!$D:$D,$A8)&amp;" "&amp;INDEX(Korpus!$E:$E,$A8))</f>
        <v xml:space="preserve">Paragraf 4 Kalimat 1</v>
      </c>
      <c r="E8" s="18" t="str">
        <f>IF(INDEX(Korpus!$F:$F,$A8)="","",INDEX(Korpus!$F:$F,$A8))</f>
        <v xml:space="preserve">Konsep perlindungan data mengisyaratkan bahwa individu memiliki hak untuk menentukan apakah mereka akan membagi atau bertukar data pribadi mereka atau tidak.</v>
      </c>
      <c r="F8" s="19"/>
      <c r="G8" s="19"/>
      <c r="H8" s="19"/>
      <c r="I8" s="19"/>
      <c r="J8" s="19"/>
      <c r="K8" s="19"/>
      <c r="L8" s="19"/>
      <c r="M8" s="20"/>
      <c r="N8" s="20"/>
      <c r="O8" s="16"/>
      <c r="P8" s="18" t="str">
        <f t="shared" si="0"/>
        <v xml:space="preserve">Belum lengkap (6)</v>
      </c>
      <c r="Q8" s="18" t="str">
        <f t="shared" si="1"/>
        <v/>
      </c>
      <c r="R8" s="18" t="str">
        <f>IF(INDEX(Korpus!$B:$B,$A8)="","",INDEX(Korpus!$B:$B,$A8))</f>
        <v xml:space="preserve">C. Pembahasan</v>
      </c>
      <c r="S8" s="18" t="str">
        <f>IF(INDEX(Korpus!$C:$C,$A8)="","",INDEX(Korpus!$C:$C,$A8))</f>
        <v xml:space="preserve">5. Pentingnya Perlindungan Data Pribadi</v>
      </c>
    </row>
    <row r="9" ht="60" customHeight="1">
      <c r="A9" s="16">
        <v>9</v>
      </c>
      <c r="B9" s="17" t="str">
        <f>IF(Petunjuk!$C$4="","",Petunjuk!$C$4)</f>
        <v xml:space="preserve">DENI GANTENG BANGET</v>
      </c>
      <c r="C9" s="18" t="str">
        <f>IF(INDEX(Korpus!$A:$A,$A9)="","",INDEX(Korpus!$A:$A,$A9))</f>
        <v>2019MHN201</v>
      </c>
      <c r="D9" s="18" t="str">
        <f>TRIM(INDEX(Korpus!$D:$D,$A9)&amp;" "&amp;INDEX(Korpus!$E:$E,$A9))</f>
        <v xml:space="preserve">Paragraf 4 Kalimat 2</v>
      </c>
      <c r="E9" s="18" t="str">
        <f>IF(INDEX(Korpus!$F:$F,$A9)="","",INDEX(Korpus!$F:$F,$A9))</f>
        <v xml:space="preserve">Selain itu, individu juga memiliki hak untuk menentukan syarat-syarat pelaksanaan pemindahan data pribadi tersebut.</v>
      </c>
      <c r="F9" s="19"/>
      <c r="G9" s="19"/>
      <c r="H9" s="19"/>
      <c r="I9" s="19"/>
      <c r="J9" s="19"/>
      <c r="K9" s="19"/>
      <c r="L9" s="19"/>
      <c r="M9" s="20"/>
      <c r="N9" s="20"/>
      <c r="O9" s="16"/>
      <c r="P9" s="18" t="str">
        <f t="shared" si="0"/>
        <v xml:space="preserve">Belum lengkap (6)</v>
      </c>
      <c r="Q9" s="18" t="str">
        <f t="shared" si="1"/>
        <v/>
      </c>
      <c r="R9" s="18" t="str">
        <f>IF(INDEX(Korpus!$B:$B,$A9)="","",INDEX(Korpus!$B:$B,$A9))</f>
        <v xml:space="preserve">C. Pembahasan</v>
      </c>
      <c r="S9" s="18" t="str">
        <f>IF(INDEX(Korpus!$C:$C,$A9)="","",INDEX(Korpus!$C:$C,$A9))</f>
        <v xml:space="preserve">5. Pentingnya Perlindungan Data Pribadi</v>
      </c>
    </row>
    <row r="10" ht="60" customHeight="1">
      <c r="A10" s="16">
        <v>10</v>
      </c>
      <c r="B10" s="17" t="str">
        <f>IF(Petunjuk!$C$4="","",Petunjuk!$C$4)</f>
        <v xml:space="preserve">DENI GANTENG BANGET</v>
      </c>
      <c r="C10" s="18" t="str">
        <f>IF(INDEX(Korpus!$A:$A,$A10)="","",INDEX(Korpus!$A:$A,$A10))</f>
        <v>2019MHN201</v>
      </c>
      <c r="D10" s="18" t="str">
        <f>TRIM(INDEX(Korpus!$D:$D,$A10)&amp;" "&amp;INDEX(Korpus!$E:$E,$A10))</f>
        <v xml:space="preserve">Paragraf 4 Kalimat 3</v>
      </c>
      <c r="E10" s="18" t="str">
        <f>IF(INDEX(Korpus!$F:$F,$A10)="","",INDEX(Korpus!$F:$F,$A10))</f>
        <v xml:space="preserve">Lebih jauh, perlindungan privasi.</v>
      </c>
      <c r="F10" s="19"/>
      <c r="G10" s="19"/>
      <c r="H10" s="19"/>
      <c r="I10" s="19"/>
      <c r="J10" s="19"/>
      <c r="K10" s="19"/>
      <c r="L10" s="19"/>
      <c r="M10" s="20"/>
      <c r="N10" s="20"/>
      <c r="O10" s="16"/>
      <c r="P10" s="18" t="str">
        <f t="shared" ref="P10:P73" si="2">IF(COUNTA(F10:K10)=6,"Lengkap","Belum lengkap ("&amp;(6-COUNTA(F10:K10))&amp;")")</f>
        <v xml:space="preserve">Belum lengkap (6)</v>
      </c>
      <c r="Q10" s="18" t="str">
        <f t="shared" ref="Q10:Q73" si="3">IF(COUNTA(F10:K10)&lt;6,"",IF(IF(AND(G10="R0",K10&lt;&gt;"K5"),"R0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","")="","OK",IF(AND(G10="R0",K10&lt;&gt;"K5"),"R0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f>
        <v/>
      </c>
      <c r="R10" s="18" t="str">
        <f>IF(INDEX(Korpus!$B:$B,$A10)="","",INDEX(Korpus!$B:$B,$A10))</f>
        <v xml:space="preserve">C. Pembahasan</v>
      </c>
      <c r="S10" s="18" t="str">
        <f>IF(INDEX(Korpus!$C:$C,$A10)="","",INDEX(Korpus!$C:$C,$A10))</f>
        <v xml:space="preserve">5. Pentingnya Perlindungan Data Pribadi</v>
      </c>
    </row>
    <row r="11" ht="60" customHeight="1">
      <c r="A11" s="16">
        <v>11</v>
      </c>
      <c r="B11" s="17" t="str">
        <f>IF(Petunjuk!$C$4="","",Petunjuk!$C$4)</f>
        <v xml:space="preserve">DENI GANTENG BANGET</v>
      </c>
      <c r="C11" s="18" t="str">
        <f>IF(INDEX(Korpus!$A:$A,$A11)="","",INDEX(Korpus!$A:$A,$A11))</f>
        <v>2019MHN201</v>
      </c>
      <c r="D11" s="18" t="str">
        <f>TRIM(INDEX(Korpus!$D:$D,$A11)&amp;" "&amp;INDEX(Korpus!$E:$E,$A11))</f>
        <v xml:space="preserve">Paragraf 4 Kalimat 4</v>
      </c>
      <c r="E11" s="18" t="str">
        <f>IF(INDEX(Korpus!$F:$F,$A11)="","",INDEX(Korpus!$F:$F,$A11))</f>
        <v xml:space="preserve">Hak privasi telah berkembang sehingga dapat digunakan untuk merumuskan hak untuk melindungi data pribadi.</v>
      </c>
      <c r="F11" s="19"/>
      <c r="G11" s="19"/>
      <c r="H11" s="19"/>
      <c r="I11" s="19"/>
      <c r="J11" s="19"/>
      <c r="K11" s="19"/>
      <c r="L11" s="19"/>
      <c r="M11" s="20"/>
      <c r="N11" s="20"/>
      <c r="O11" s="16"/>
      <c r="P11" s="18" t="str">
        <f t="shared" si="2"/>
        <v xml:space="preserve">Belum lengkap (6)</v>
      </c>
      <c r="Q11" s="18" t="str">
        <f t="shared" si="3"/>
        <v/>
      </c>
      <c r="R11" s="18" t="str">
        <f>IF(INDEX(Korpus!$B:$B,$A11)="","",INDEX(Korpus!$B:$B,$A11))</f>
        <v xml:space="preserve">C. Pembahasan</v>
      </c>
      <c r="S11" s="18" t="str">
        <f>IF(INDEX(Korpus!$C:$C,$A11)="","",INDEX(Korpus!$C:$C,$A11))</f>
        <v xml:space="preserve">5. Pentingnya Perlindungan Data Pribadi</v>
      </c>
    </row>
    <row r="12" ht="60" customHeight="1">
      <c r="A12" s="16">
        <v>12</v>
      </c>
      <c r="B12" s="17" t="str">
        <f>IF(Petunjuk!$C$4="","",Petunjuk!$C$4)</f>
        <v xml:space="preserve">DENI GANTENG BANGET</v>
      </c>
      <c r="C12" s="18" t="str">
        <f>IF(INDEX(Korpus!$A:$A,$A12)="","",INDEX(Korpus!$A:$A,$A12))</f>
        <v>2019MHN201</v>
      </c>
      <c r="D12" s="18" t="str">
        <f>TRIM(INDEX(Korpus!$D:$D,$A12)&amp;" "&amp;INDEX(Korpus!$E:$E,$A12))</f>
        <v xml:space="preserve">Paragraf 5 Kalimat 1</v>
      </c>
      <c r="E12" s="18" t="str">
        <f>IF(INDEX(Korpus!$F:$F,$A12)="","",INDEX(Korpus!$F:$F,$A12))</f>
        <v xml:space="preserve">Perlindungan data pribadi telah diatur di dalam UUD NKRI Tahun 1945.</v>
      </c>
      <c r="F12" s="19"/>
      <c r="G12" s="19"/>
      <c r="H12" s="19"/>
      <c r="I12" s="19"/>
      <c r="J12" s="19"/>
      <c r="K12" s="19"/>
      <c r="L12" s="19"/>
      <c r="M12" s="20"/>
      <c r="N12" s="20"/>
      <c r="O12" s="16"/>
      <c r="P12" s="18" t="str">
        <f t="shared" si="2"/>
        <v xml:space="preserve">Belum lengkap (6)</v>
      </c>
      <c r="Q12" s="18" t="str">
        <f t="shared" si="3"/>
        <v/>
      </c>
      <c r="R12" s="18" t="str">
        <f>IF(INDEX(Korpus!$B:$B,$A12)="","",INDEX(Korpus!$B:$B,$A12))</f>
        <v xml:space="preserve">C. Pembahasan</v>
      </c>
      <c r="S12" s="18" t="str">
        <f>IF(INDEX(Korpus!$C:$C,$A12)="","",INDEX(Korpus!$C:$C,$A12))</f>
        <v xml:space="preserve">5. Pentingnya Perlindungan Data Pribadi</v>
      </c>
    </row>
    <row r="13" ht="60" customHeight="1">
      <c r="A13" s="16">
        <v>13</v>
      </c>
      <c r="B13" s="17" t="str">
        <f>IF(Petunjuk!$C$4="","",Petunjuk!$C$4)</f>
        <v xml:space="preserve">DENI GANTENG BANGET</v>
      </c>
      <c r="C13" s="18" t="str">
        <f>IF(INDEX(Korpus!$A:$A,$A13)="","",INDEX(Korpus!$A:$A,$A13))</f>
        <v>2019MHN201</v>
      </c>
      <c r="D13" s="18" t="str">
        <f>TRIM(INDEX(Korpus!$D:$D,$A13)&amp;" "&amp;INDEX(Korpus!$E:$E,$A13))</f>
        <v xml:space="preserve">Paragraf 5 Kalimat 2</v>
      </c>
      <c r="E13" s="18" t="str">
        <f>IF(INDEX(Korpus!$F:$F,$A13)="","",INDEX(Korpus!$F:$F,$A13))</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21" t="s">
        <v>62</v>
      </c>
      <c r="G13" s="21" t="s">
        <v>63</v>
      </c>
      <c r="H13" s="21" t="s">
        <v>64</v>
      </c>
      <c r="I13" s="21" t="s">
        <v>65</v>
      </c>
      <c r="J13" s="21" t="s">
        <v>66</v>
      </c>
      <c r="K13" s="21" t="s">
        <v>67</v>
      </c>
      <c r="L13" s="21"/>
      <c r="M13" s="20"/>
      <c r="N13" s="20"/>
      <c r="O13" s="16" t="s">
        <v>68</v>
      </c>
      <c r="P13" s="18" t="str">
        <f t="shared" si="2"/>
        <v>Lengkap</v>
      </c>
      <c r="Q13" s="18" t="str">
        <f t="shared" si="3"/>
        <v>OK</v>
      </c>
      <c r="R13" s="18" t="str">
        <f>IF(INDEX(Korpus!$B:$B,$A13)="","",INDEX(Korpus!$B:$B,$A13))</f>
        <v xml:space="preserve">C. Pembahasan</v>
      </c>
      <c r="S13" s="18" t="str">
        <f>IF(INDEX(Korpus!$C:$C,$A13)="","",INDEX(Korpus!$C:$C,$A13))</f>
        <v xml:space="preserve">5. Pentingnya Perlindungan Data Pribadi</v>
      </c>
    </row>
    <row r="14" ht="60" customHeight="1">
      <c r="A14" s="16">
        <v>14</v>
      </c>
      <c r="B14" s="17" t="str">
        <f>IF(Petunjuk!$C$4="","",Petunjuk!$C$4)</f>
        <v xml:space="preserve">DENI GANTENG BANGET</v>
      </c>
      <c r="C14" s="18" t="str">
        <f>IF(INDEX(Korpus!$A:$A,$A14)="","",INDEX(Korpus!$A:$A,$A14))</f>
        <v>2019MHN201</v>
      </c>
      <c r="D14" s="18" t="str">
        <f>TRIM(INDEX(Korpus!$D:$D,$A14)&amp;" "&amp;INDEX(Korpus!$E:$E,$A14))</f>
        <v xml:space="preserve">Paragraf 6 Kalimat 1</v>
      </c>
      <c r="E14" s="18" t="str">
        <f>IF(INDEX(Korpus!$F:$F,$A14)="","",INDEX(Korpus!$F:$F,$A14))</f>
        <v xml:space="preserve">Selain itu beberapa peraturan nasional secara umum telah mengatur untuk memberikan perlindungan data pribadi antara lain:</v>
      </c>
      <c r="F14" s="19"/>
      <c r="G14" s="19"/>
      <c r="H14" s="19"/>
      <c r="I14" s="19"/>
      <c r="J14" s="19"/>
      <c r="K14" s="19"/>
      <c r="L14" s="19"/>
      <c r="M14" s="20"/>
      <c r="N14" s="20"/>
      <c r="O14" s="16"/>
      <c r="P14" s="18" t="str">
        <f t="shared" si="2"/>
        <v xml:space="preserve">Belum lengkap (6)</v>
      </c>
      <c r="Q14" s="18" t="str">
        <f t="shared" si="3"/>
        <v/>
      </c>
      <c r="R14" s="18" t="str">
        <f>IF(INDEX(Korpus!$B:$B,$A14)="","",INDEX(Korpus!$B:$B,$A14))</f>
        <v xml:space="preserve">C. Pembahasan</v>
      </c>
      <c r="S14" s="18" t="str">
        <f>IF(INDEX(Korpus!$C:$C,$A14)="","",INDEX(Korpus!$C:$C,$A14))</f>
        <v xml:space="preserve">5. Pentingnya Perlindungan Data Pribadi</v>
      </c>
    </row>
    <row r="15" ht="60" customHeight="1">
      <c r="A15" s="16">
        <v>15</v>
      </c>
      <c r="B15" s="17" t="str">
        <f>IF(Petunjuk!$C$4="","",Petunjuk!$C$4)</f>
        <v xml:space="preserve">DENI GANTENG BANGET</v>
      </c>
      <c r="C15" s="18" t="str">
        <f>IF(INDEX(Korpus!$A:$A,$A15)="","",INDEX(Korpus!$A:$A,$A15))</f>
        <v>2019MHN201</v>
      </c>
      <c r="D15" s="18" t="str">
        <f>TRIM(INDEX(Korpus!$D:$D,$A15)&amp;" "&amp;INDEX(Korpus!$E:$E,$A15))</f>
        <v xml:space="preserve">Paragraf 6 Kalimat 2</v>
      </c>
      <c r="E15" s="18" t="str">
        <f>IF(INDEX(Korpus!$F:$F,$A15)="","",INDEX(Korpus!$F:$F,$A15))</f>
        <v xml:space="preserve">1) Undang-Undang Nomor 19 Tahun 2016 Tentang Perubahan Atas Undang-Undang Nomor 11 Tahun 2008 Tentang Informasi dan Transaksi Elektronik</v>
      </c>
      <c r="F15" s="19"/>
      <c r="G15" s="19"/>
      <c r="H15" s="19"/>
      <c r="I15" s="19"/>
      <c r="J15" s="19"/>
      <c r="K15" s="19"/>
      <c r="L15" s="19"/>
      <c r="M15" s="20"/>
      <c r="N15" s="20"/>
      <c r="O15" s="16"/>
      <c r="P15" s="18" t="str">
        <f t="shared" si="2"/>
        <v xml:space="preserve">Belum lengkap (6)</v>
      </c>
      <c r="Q15" s="18" t="str">
        <f t="shared" si="3"/>
        <v/>
      </c>
      <c r="R15" s="18" t="str">
        <f>IF(INDEX(Korpus!$B:$B,$A15)="","",INDEX(Korpus!$B:$B,$A15))</f>
        <v xml:space="preserve">C. Pembahasan</v>
      </c>
      <c r="S15" s="18" t="str">
        <f>IF(INDEX(Korpus!$C:$C,$A15)="","",INDEX(Korpus!$C:$C,$A15))</f>
        <v xml:space="preserve">5. Pentingnya Perlindungan Data Pribadi</v>
      </c>
    </row>
    <row r="16" ht="60" customHeight="1">
      <c r="A16" s="16">
        <v>16</v>
      </c>
      <c r="B16" s="17" t="str">
        <f>IF(Petunjuk!$C$4="","",Petunjuk!$C$4)</f>
        <v xml:space="preserve">DENI GANTENG BANGET</v>
      </c>
      <c r="C16" s="18" t="str">
        <f>IF(INDEX(Korpus!$A:$A,$A16)="","",INDEX(Korpus!$A:$A,$A16))</f>
        <v>2019MHN201</v>
      </c>
      <c r="D16" s="18" t="str">
        <f>TRIM(INDEX(Korpus!$D:$D,$A16)&amp;" "&amp;INDEX(Korpus!$E:$E,$A16))</f>
        <v xml:space="preserve">Paragraf 6 Kalimat 3</v>
      </c>
      <c r="E16" s="18" t="str">
        <f>IF(INDEX(Korpus!$F:$F,$A16)="","",INDEX(Korpus!$F:$F,$A16))</f>
        <v xml:space="preserve">2) Undang-Undang Nomor 11 Tahun 2008 Tentang Informasi dan Transaksi Elektronik</v>
      </c>
      <c r="F16" s="19"/>
      <c r="G16" s="19"/>
      <c r="H16" s="19"/>
      <c r="I16" s="19"/>
      <c r="J16" s="19"/>
      <c r="K16" s="19"/>
      <c r="L16" s="19"/>
      <c r="M16" s="20"/>
      <c r="N16" s="20"/>
      <c r="O16" s="16"/>
      <c r="P16" s="18" t="str">
        <f t="shared" si="2"/>
        <v xml:space="preserve">Belum lengkap (6)</v>
      </c>
      <c r="Q16" s="18" t="str">
        <f t="shared" si="3"/>
        <v/>
      </c>
      <c r="R16" s="18" t="str">
        <f>IF(INDEX(Korpus!$B:$B,$A16)="","",INDEX(Korpus!$B:$B,$A16))</f>
        <v xml:space="preserve">C. Pembahasan</v>
      </c>
      <c r="S16" s="18" t="str">
        <f>IF(INDEX(Korpus!$C:$C,$A16)="","",INDEX(Korpus!$C:$C,$A16))</f>
        <v xml:space="preserve">5. Pentingnya Perlindungan Data Pribadi</v>
      </c>
    </row>
    <row r="17" ht="60" customHeight="1">
      <c r="A17" s="16">
        <v>17</v>
      </c>
      <c r="B17" s="17" t="str">
        <f>IF(Petunjuk!$C$4="","",Petunjuk!$C$4)</f>
        <v xml:space="preserve">DENI GANTENG BANGET</v>
      </c>
      <c r="C17" s="18" t="str">
        <f>IF(INDEX(Korpus!$A:$A,$A17)="","",INDEX(Korpus!$A:$A,$A17))</f>
        <v>2019MHN201</v>
      </c>
      <c r="D17" s="18" t="str">
        <f>TRIM(INDEX(Korpus!$D:$D,$A17)&amp;" "&amp;INDEX(Korpus!$E:$E,$A17))</f>
        <v xml:space="preserve">Paragraf 6 Kalimat 13</v>
      </c>
      <c r="E17" s="18" t="str">
        <f>IF(INDEX(Korpus!$F:$F,$A17)="","",INDEX(Korpus!$F:$F,$A17))</f>
        <v xml:space="preserve">12) Peraturan Menteri Komunikasi dan Informasi Nomor 20 Tahun 2016 Tentang Perlindungan Data Pribadi Dalam Sistem Elektronik</v>
      </c>
      <c r="F17" s="19"/>
      <c r="G17" s="19"/>
      <c r="H17" s="19"/>
      <c r="I17" s="19"/>
      <c r="J17" s="19"/>
      <c r="K17" s="19"/>
      <c r="L17" s="19"/>
      <c r="M17" s="20"/>
      <c r="N17" s="20"/>
      <c r="O17" s="16"/>
      <c r="P17" s="18" t="str">
        <f t="shared" si="2"/>
        <v xml:space="preserve">Belum lengkap (6)</v>
      </c>
      <c r="Q17" s="18" t="str">
        <f t="shared" si="3"/>
        <v/>
      </c>
      <c r="R17" s="18" t="str">
        <f>IF(INDEX(Korpus!$B:$B,$A17)="","",INDEX(Korpus!$B:$B,$A17))</f>
        <v xml:space="preserve">C. Pembahasan</v>
      </c>
      <c r="S17" s="18" t="str">
        <f>IF(INDEX(Korpus!$C:$C,$A17)="","",INDEX(Korpus!$C:$C,$A17))</f>
        <v xml:space="preserve">5. Pentingnya Perlindungan Data Pribadi</v>
      </c>
    </row>
    <row r="18" ht="60" customHeight="1">
      <c r="A18" s="16">
        <v>18</v>
      </c>
      <c r="B18" s="17" t="str">
        <f>IF(Petunjuk!$C$4="","",Petunjuk!$C$4)</f>
        <v xml:space="preserve">DENI GANTENG BANGET</v>
      </c>
      <c r="C18" s="18" t="str">
        <f>IF(INDEX(Korpus!$A:$A,$A18)="","",INDEX(Korpus!$A:$A,$A18))</f>
        <v>2019MHN201</v>
      </c>
      <c r="D18" s="18" t="str">
        <f>TRIM(INDEX(Korpus!$D:$D,$A18)&amp;" "&amp;INDEX(Korpus!$E:$E,$A18))</f>
        <v xml:space="preserve">Paragraf 6 Kalimat 14</v>
      </c>
      <c r="E18" s="18" t="str">
        <f>IF(INDEX(Korpus!$F:$F,$A18)="","",INDEX(Korpus!$F:$F,$A18))</f>
        <v xml:space="preserve">13) Peraturan Pemerintah Nomor 82 Tahun 2012 Tentang Penyelenggaraan Sistem dan Transaksi Elektronik</v>
      </c>
      <c r="F18" s="19"/>
      <c r="G18" s="19"/>
      <c r="H18" s="19"/>
      <c r="I18" s="19"/>
      <c r="J18" s="19"/>
      <c r="K18" s="19"/>
      <c r="L18" s="19"/>
      <c r="M18" s="20"/>
      <c r="N18" s="20"/>
      <c r="O18" s="16"/>
      <c r="P18" s="18" t="str">
        <f t="shared" si="2"/>
        <v xml:space="preserve">Belum lengkap (6)</v>
      </c>
      <c r="Q18" s="18" t="str">
        <f t="shared" si="3"/>
        <v/>
      </c>
      <c r="R18" s="18" t="str">
        <f>IF(INDEX(Korpus!$B:$B,$A18)="","",INDEX(Korpus!$B:$B,$A18))</f>
        <v xml:space="preserve">C. Pembahasan</v>
      </c>
      <c r="S18" s="18" t="str">
        <f>IF(INDEX(Korpus!$C:$C,$A18)="","",INDEX(Korpus!$C:$C,$A18))</f>
        <v xml:space="preserve">5. Pentingnya Perlindungan Data Pribadi</v>
      </c>
    </row>
    <row r="19" ht="60" customHeight="1">
      <c r="A19" s="16">
        <v>19</v>
      </c>
      <c r="B19" s="17" t="str">
        <f>IF(Petunjuk!$C$4="","",Petunjuk!$C$4)</f>
        <v xml:space="preserve">DENI GANTENG BANGET</v>
      </c>
      <c r="C19" s="18" t="str">
        <f>IF(INDEX(Korpus!$A:$A,$A19)="","",INDEX(Korpus!$A:$A,$A19))</f>
        <v>2019MHN201</v>
      </c>
      <c r="D19" s="18" t="str">
        <f>TRIM(INDEX(Korpus!$D:$D,$A19)&amp;" "&amp;INDEX(Korpus!$E:$E,$A19))</f>
        <v xml:space="preserve">Paragraf 6 Kalimat 16</v>
      </c>
      <c r="E19" s="18" t="str">
        <f>IF(INDEX(Korpus!$F:$F,$A19)="","",INDEX(Korpus!$F:$F,$A19))</f>
        <v xml:space="preserve">15) Peraturan Menteri Komunikasi dan Informasi Nomor 4 Tahun 2016 Tentang Sistem Manajemen Pengaman Informasi</v>
      </c>
      <c r="F19" s="19"/>
      <c r="G19" s="19"/>
      <c r="H19" s="19"/>
      <c r="I19" s="19"/>
      <c r="J19" s="19"/>
      <c r="K19" s="19"/>
      <c r="L19" s="19"/>
      <c r="M19" s="20"/>
      <c r="N19" s="20"/>
      <c r="O19" s="16"/>
      <c r="P19" s="18" t="str">
        <f t="shared" si="2"/>
        <v xml:space="preserve">Belum lengkap (6)</v>
      </c>
      <c r="Q19" s="18" t="str">
        <f t="shared" si="3"/>
        <v/>
      </c>
      <c r="R19" s="18" t="str">
        <f>IF(INDEX(Korpus!$B:$B,$A19)="","",INDEX(Korpus!$B:$B,$A19))</f>
        <v xml:space="preserve">C. Pembahasan</v>
      </c>
      <c r="S19" s="18" t="str">
        <f>IF(INDEX(Korpus!$C:$C,$A19)="","",INDEX(Korpus!$C:$C,$A19))</f>
        <v xml:space="preserve">5. Pentingnya Perlindungan Data Pribadi</v>
      </c>
    </row>
    <row r="20" ht="60" customHeight="1">
      <c r="A20" s="16">
        <v>20</v>
      </c>
      <c r="B20" s="17" t="str">
        <f>IF(Petunjuk!$C$4="","",Petunjuk!$C$4)</f>
        <v xml:space="preserve">DENI GANTENG BANGET</v>
      </c>
      <c r="C20" s="18" t="str">
        <f>IF(INDEX(Korpus!$A:$A,$A20)="","",INDEX(Korpus!$A:$A,$A20))</f>
        <v>2019MHN201</v>
      </c>
      <c r="D20" s="18" t="str">
        <f>TRIM(INDEX(Korpus!$D:$D,$A20)&amp;" "&amp;INDEX(Korpus!$E:$E,$A20))</f>
        <v xml:space="preserve">Paragraf 7 Kalimat 2</v>
      </c>
      <c r="E20" s="18" t="str">
        <f>IF(INDEX(Korpus!$F:$F,$A20)="","",INDEX(Korpus!$F:$F,$A20))</f>
        <v xml:space="preserve">Dalam Pasal 26 huruf a disebutkan bahwa menjaga kerahasiaan, keutuhan, dan ketersediaan data pribadi, data transaksi, dan data keuangan yang dikelolanya sejak data diperoleh hingga data tersebut dimusnahkan.</v>
      </c>
      <c r="F20" s="19"/>
      <c r="G20" s="19"/>
      <c r="H20" s="19"/>
      <c r="I20" s="19"/>
      <c r="J20" s="19"/>
      <c r="K20" s="19"/>
      <c r="L20" s="19"/>
      <c r="M20" s="20"/>
      <c r="N20" s="20"/>
      <c r="O20" s="16"/>
      <c r="P20" s="18" t="str">
        <f t="shared" si="2"/>
        <v xml:space="preserve">Belum lengkap (6)</v>
      </c>
      <c r="Q20" s="18" t="str">
        <f t="shared" si="3"/>
        <v/>
      </c>
      <c r="R20" s="18" t="str">
        <f>IF(INDEX(Korpus!$B:$B,$A20)="","",INDEX(Korpus!$B:$B,$A20))</f>
        <v xml:space="preserve">C. Pembahasan</v>
      </c>
      <c r="S20" s="18" t="str">
        <f>IF(INDEX(Korpus!$C:$C,$A20)="","",INDEX(Korpus!$C:$C,$A20))</f>
        <v xml:space="preserve">5. Pentingnya Perlindungan Data Pribadi</v>
      </c>
    </row>
    <row r="21" ht="60" customHeight="1">
      <c r="A21" s="16">
        <v>21</v>
      </c>
      <c r="B21" s="17" t="str">
        <f>IF(Petunjuk!$C$4="","",Petunjuk!$C$4)</f>
        <v xml:space="preserve">DENI GANTENG BANGET</v>
      </c>
      <c r="C21" s="18" t="str">
        <f>IF(INDEX(Korpus!$A:$A,$A21)="","",INDEX(Korpus!$A:$A,$A21))</f>
        <v>2019MHN201</v>
      </c>
      <c r="D21" s="18" t="str">
        <f>TRIM(INDEX(Korpus!$D:$D,$A21)&amp;" "&amp;INDEX(Korpus!$E:$E,$A21))</f>
        <v xml:space="preserve">Paragraf 7 Kalimat 3</v>
      </c>
      <c r="E21" s="18" t="str">
        <f>IF(INDEX(Korpus!$F:$F,$A21)="","",INDEX(Korpus!$F:$F,$A21))</f>
        <v xml:space="preserve">Selain itu Peraturan OJK Nomor 13 Tahun 2018 Tentang Inovasi Keuangan Digital di Sektor Keuangan, telah memasukkan poin terkait perlindungan dan kerahasiaan data.</v>
      </c>
      <c r="F21" s="21" t="s">
        <v>69</v>
      </c>
      <c r="G21" s="21" t="s">
        <v>70</v>
      </c>
      <c r="H21" s="21" t="s">
        <v>71</v>
      </c>
      <c r="I21" s="21" t="s">
        <v>72</v>
      </c>
      <c r="J21" s="21" t="s">
        <v>73</v>
      </c>
      <c r="K21" s="21" t="s">
        <v>74</v>
      </c>
      <c r="L21" s="21"/>
      <c r="M21" s="20"/>
      <c r="N21" s="20"/>
      <c r="O21" s="16" t="s">
        <v>68</v>
      </c>
      <c r="P21" s="18" t="str">
        <f t="shared" si="2"/>
        <v>Lengkap</v>
      </c>
      <c r="Q21" s="18" t="str">
        <f t="shared" si="3"/>
        <v>OK</v>
      </c>
      <c r="R21" s="18" t="str">
        <f>IF(INDEX(Korpus!$B:$B,$A21)="","",INDEX(Korpus!$B:$B,$A21))</f>
        <v xml:space="preserve">C. Pembahasan</v>
      </c>
      <c r="S21" s="18" t="str">
        <f>IF(INDEX(Korpus!$C:$C,$A21)="","",INDEX(Korpus!$C:$C,$A21))</f>
        <v xml:space="preserve">5. Pentingnya Perlindungan Data Pribadi</v>
      </c>
    </row>
    <row r="22" ht="60" customHeight="1">
      <c r="A22" s="16">
        <v>22</v>
      </c>
      <c r="B22" s="17" t="str">
        <f>IF(Petunjuk!$C$4="","",Petunjuk!$C$4)</f>
        <v xml:space="preserve">DENI GANTENG BANGET</v>
      </c>
      <c r="C22" s="18" t="str">
        <f>IF(INDEX(Korpus!$A:$A,$A22)="","",INDEX(Korpus!$A:$A,$A22))</f>
        <v>2019MHN201</v>
      </c>
      <c r="D22" s="18" t="str">
        <f>TRIM(INDEX(Korpus!$D:$D,$A22)&amp;" "&amp;INDEX(Korpus!$E:$E,$A22))</f>
        <v xml:space="preserve">Paragraf 7 Kalimat 4</v>
      </c>
      <c r="E22" s="18" t="str">
        <f>IF(INDEX(Korpus!$F:$F,$A22)="","",INDEX(Korpus!$F:$F,$A22))</f>
        <v xml:space="preserve">Pasal 30 ayat (1) menyebutkan bahwa Penyelenggara wajib menjaga kerahasiaan data pribadi, data transaksi, dan data keuangan yang dikelolanya sejak diperoleh hingga data tersebut dimusnahkan.</v>
      </c>
      <c r="F22" s="19"/>
      <c r="G22" s="19"/>
      <c r="H22" s="19"/>
      <c r="I22" s="19"/>
      <c r="J22" s="19"/>
      <c r="K22" s="19"/>
      <c r="L22" s="19"/>
      <c r="M22" s="20"/>
      <c r="N22" s="20"/>
      <c r="O22" s="16"/>
      <c r="P22" s="18" t="str">
        <f t="shared" si="2"/>
        <v xml:space="preserve">Belum lengkap (6)</v>
      </c>
      <c r="Q22" s="18" t="str">
        <f t="shared" si="3"/>
        <v/>
      </c>
      <c r="R22" s="18" t="str">
        <f>IF(INDEX(Korpus!$B:$B,$A22)="","",INDEX(Korpus!$B:$B,$A22))</f>
        <v xml:space="preserve">C. Pembahasan</v>
      </c>
      <c r="S22" s="18" t="str">
        <f>IF(INDEX(Korpus!$C:$C,$A22)="","",INDEX(Korpus!$C:$C,$A22))</f>
        <v xml:space="preserve">5. Pentingnya Perlindungan Data Pribadi</v>
      </c>
    </row>
    <row r="23" ht="60" customHeight="1">
      <c r="A23" s="16">
        <v>23</v>
      </c>
      <c r="B23" s="17" t="str">
        <f>IF(Petunjuk!$C$4="","",Petunjuk!$C$4)</f>
        <v xml:space="preserve">DENI GANTENG BANGET</v>
      </c>
      <c r="C23" s="18" t="str">
        <f>IF(INDEX(Korpus!$A:$A,$A23)="","",INDEX(Korpus!$A:$A,$A23))</f>
        <v>2019MHN201</v>
      </c>
      <c r="D23" s="18" t="str">
        <f>TRIM(INDEX(Korpus!$D:$D,$A23)&amp;" "&amp;INDEX(Korpus!$E:$E,$A23))</f>
        <v xml:space="preserve">Paragraf 8 Kalimat 1</v>
      </c>
      <c r="E23" s="18" t="str">
        <f>IF(INDEX(Korpus!$F:$F,$A23)="","",INDEX(Korpus!$F:$F,$A23))</f>
        <v xml:space="preserve">Banyaknya peraturan yang mengatur tentang perlindungan data pribadi menunjukkan pentingnya data pribadi untuk dilindungi.</v>
      </c>
      <c r="F23" s="19"/>
      <c r="G23" s="19"/>
      <c r="H23" s="19"/>
      <c r="I23" s="19"/>
      <c r="J23" s="19"/>
      <c r="K23" s="19"/>
      <c r="L23" s="19"/>
      <c r="M23" s="20"/>
      <c r="N23" s="20"/>
      <c r="O23" s="16"/>
      <c r="P23" s="18" t="str">
        <f t="shared" si="2"/>
        <v xml:space="preserve">Belum lengkap (6)</v>
      </c>
      <c r="Q23" s="18" t="str">
        <f t="shared" si="3"/>
        <v/>
      </c>
      <c r="R23" s="18" t="str">
        <f>IF(INDEX(Korpus!$B:$B,$A23)="","",INDEX(Korpus!$B:$B,$A23))</f>
        <v xml:space="preserve">C. Pembahasan</v>
      </c>
      <c r="S23" s="18" t="str">
        <f>IF(INDEX(Korpus!$C:$C,$A23)="","",INDEX(Korpus!$C:$C,$A23))</f>
        <v xml:space="preserve">5. Pentingnya Perlindungan Data Pribadi</v>
      </c>
    </row>
    <row r="24" ht="60" customHeight="1">
      <c r="A24" s="16">
        <v>24</v>
      </c>
      <c r="B24" s="17" t="str">
        <f>IF(Petunjuk!$C$4="","",Petunjuk!$C$4)</f>
        <v xml:space="preserve">DENI GANTENG BANGET</v>
      </c>
      <c r="C24" s="18" t="str">
        <f>IF(INDEX(Korpus!$A:$A,$A24)="","",INDEX(Korpus!$A:$A,$A24))</f>
        <v>2019MHN201</v>
      </c>
      <c r="D24" s="18" t="str">
        <f>TRIM(INDEX(Korpus!$D:$D,$A24)&amp;" "&amp;INDEX(Korpus!$E:$E,$A24))</f>
        <v xml:space="preserve">Paragraf 8 Kalimat 3</v>
      </c>
      <c r="E24" s="18" t="str">
        <f>IF(INDEX(Korpus!$F:$F,$A24)="","",INDEX(Korpus!$F:$F,$A24))</f>
        <v xml:space="preserve">Oleh karena itu perlu disusun suatu undang-undang yang secara khusus dapat memberikan perlindungan data pribadi.</v>
      </c>
      <c r="F24" s="19"/>
      <c r="G24" s="19"/>
      <c r="H24" s="19"/>
      <c r="I24" s="19"/>
      <c r="J24" s="19"/>
      <c r="K24" s="19"/>
      <c r="L24" s="19"/>
      <c r="M24" s="20"/>
      <c r="N24" s="20"/>
      <c r="O24" s="16"/>
      <c r="P24" s="18" t="str">
        <f t="shared" si="2"/>
        <v xml:space="preserve">Belum lengkap (6)</v>
      </c>
      <c r="Q24" s="18" t="str">
        <f t="shared" si="3"/>
        <v/>
      </c>
      <c r="R24" s="18" t="str">
        <f>IF(INDEX(Korpus!$B:$B,$A24)="","",INDEX(Korpus!$B:$B,$A24))</f>
        <v xml:space="preserve">C. Pembahasan</v>
      </c>
      <c r="S24" s="18" t="str">
        <f>IF(INDEX(Korpus!$C:$C,$A24)="","",INDEX(Korpus!$C:$C,$A24))</f>
        <v xml:space="preserve">5. Pentingnya Perlindungan Data Pribadi</v>
      </c>
    </row>
    <row r="25" ht="60" customHeight="1">
      <c r="A25" s="16">
        <v>25</v>
      </c>
      <c r="B25" s="17" t="str">
        <f>IF(Petunjuk!$C$4="","",Petunjuk!$C$4)</f>
        <v xml:space="preserve">DENI GANTENG BANGET</v>
      </c>
      <c r="C25" s="18" t="str">
        <f>IF(INDEX(Korpus!$A:$A,$A25)="","",INDEX(Korpus!$A:$A,$A25))</f>
        <v>2019MHN201</v>
      </c>
      <c r="D25" s="18" t="str">
        <f>TRIM(INDEX(Korpus!$D:$D,$A25)&amp;" "&amp;INDEX(Korpus!$E:$E,$A25))</f>
        <v xml:space="preserve">Paragraf 1 Kalimat 3</v>
      </c>
      <c r="E25" s="18" t="str">
        <f>IF(INDEX(Korpus!$F:$F,$A25)="","",INDEX(Korpus!$F:$F,$A25))</f>
        <v xml:space="preserve">Selain itu juga sudah ada Peraturan Menteri Nomor 20 Tahun 2016 tentang Perlindungan Data Pribadi namun belum cukup memberikan perlindungan kepada konsumen.</v>
      </c>
      <c r="F25" s="21" t="s">
        <v>69</v>
      </c>
      <c r="G25" s="21" t="s">
        <v>70</v>
      </c>
      <c r="H25" s="21" t="s">
        <v>71</v>
      </c>
      <c r="I25" s="21" t="s">
        <v>72</v>
      </c>
      <c r="J25" s="21" t="s">
        <v>66</v>
      </c>
      <c r="K25" s="21" t="s">
        <v>74</v>
      </c>
      <c r="L25" s="21"/>
      <c r="M25" s="20"/>
      <c r="N25" s="20"/>
      <c r="O25" s="16" t="s">
        <v>68</v>
      </c>
      <c r="P25" s="18" t="str">
        <f t="shared" si="2"/>
        <v>Lengkap</v>
      </c>
      <c r="Q25" s="18" t="str">
        <f t="shared" si="3"/>
        <v>OK</v>
      </c>
      <c r="R25" s="18" t="str">
        <f>IF(INDEX(Korpus!$B:$B,$A25)="","",INDEX(Korpus!$B:$B,$A25))</f>
        <v xml:space="preserve">D. Penutup</v>
      </c>
      <c r="S25" s="18" t="str">
        <f>IF(INDEX(Korpus!$C:$C,$A25)="","",INDEX(Korpus!$C:$C,$A25))</f>
        <v/>
      </c>
    </row>
    <row r="26" ht="60" customHeight="1">
      <c r="A26" s="16">
        <v>26</v>
      </c>
      <c r="B26" s="17" t="str">
        <f>IF(Petunjuk!$C$4="","",Petunjuk!$C$4)</f>
        <v xml:space="preserve">DENI GANTENG BANGET</v>
      </c>
      <c r="C26" s="18" t="str">
        <f>IF(INDEX(Korpus!$A:$A,$A26)="","",INDEX(Korpus!$A:$A,$A26))</f>
        <v>2019MHN201</v>
      </c>
      <c r="D26" s="18" t="str">
        <f>TRIM(INDEX(Korpus!$D:$D,$A26)&amp;" "&amp;INDEX(Korpus!$E:$E,$A26))</f>
        <v xml:space="preserve">Paragraf 1 Kalimat 4</v>
      </c>
      <c r="E26" s="18" t="str">
        <f>IF(INDEX(Korpus!$F:$F,$A26)="","",INDEX(Korpus!$F:$F,$A26))</f>
        <v xml:space="preserve">Oleh karenanya Pemerintah perlu segera memberikan perlindungan data pribadi nasabah agar tidak disalahgunakan.</v>
      </c>
      <c r="F26" s="19"/>
      <c r="G26" s="19"/>
      <c r="H26" s="19"/>
      <c r="I26" s="19"/>
      <c r="J26" s="19"/>
      <c r="K26" s="19"/>
      <c r="L26" s="19"/>
      <c r="M26" s="20"/>
      <c r="N26" s="20"/>
      <c r="O26" s="16"/>
      <c r="P26" s="18" t="str">
        <f t="shared" si="2"/>
        <v xml:space="preserve">Belum lengkap (6)</v>
      </c>
      <c r="Q26" s="18" t="str">
        <f t="shared" si="3"/>
        <v/>
      </c>
      <c r="R26" s="18" t="str">
        <f>IF(INDEX(Korpus!$B:$B,$A26)="","",INDEX(Korpus!$B:$B,$A26))</f>
        <v xml:space="preserve">D. Penutup</v>
      </c>
      <c r="S26" s="18" t="str">
        <f>IF(INDEX(Korpus!$C:$C,$A26)="","",INDEX(Korpus!$C:$C,$A26))</f>
        <v/>
      </c>
    </row>
    <row r="27" ht="60" customHeight="1">
      <c r="A27" s="16">
        <v>27</v>
      </c>
      <c r="B27" s="17" t="str">
        <f>IF(Petunjuk!$C$4="","",Petunjuk!$C$4)</f>
        <v xml:space="preserve">DENI GANTENG BANGET</v>
      </c>
      <c r="C27" s="18" t="str">
        <f>IF(INDEX(Korpus!$A:$A,$A27)="","",INDEX(Korpus!$A:$A,$A27))</f>
        <v xml:space="preserve">UU 23 Thn 2002 (Perlindungan Anak)</v>
      </c>
      <c r="D27" s="18" t="str">
        <f>TRIM(INDEX(Korpus!$D:$D,$A27)&amp;" "&amp;INDEX(Korpus!$E:$E,$A27))</f>
        <v xml:space="preserve">Pasal 27</v>
      </c>
      <c r="E27" s="18" t="str">
        <f>IF(INDEX(Korpus!$F:$F,$A27)="","",INDEX(Korpus!$F:$F,$A27))</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9"/>
      <c r="G27" s="19"/>
      <c r="H27" s="19"/>
      <c r="I27" s="19"/>
      <c r="J27" s="19"/>
      <c r="K27" s="19"/>
      <c r="L27" s="19"/>
      <c r="M27" s="20"/>
      <c r="N27" s="20"/>
      <c r="O27" s="16"/>
      <c r="P27" s="18" t="str">
        <f t="shared" si="2"/>
        <v xml:space="preserve">Belum lengkap (6)</v>
      </c>
      <c r="Q27" s="18" t="str">
        <f t="shared" si="3"/>
        <v/>
      </c>
      <c r="R27" s="18" t="str">
        <f>IF(INDEX(Korpus!$B:$B,$A27)="","",INDEX(Korpus!$B:$B,$A27))</f>
        <v xml:space="preserve">BAB VKEDUDUKAN ANAK</v>
      </c>
      <c r="S27" s="18" t="str">
        <f>IF(INDEX(Korpus!$C:$C,$A27)="","",INDEX(Korpus!$C:$C,$A27))</f>
        <v xml:space="preserve">Bagian KesatuIdentitas Anak</v>
      </c>
    </row>
    <row r="28" ht="60" customHeight="1">
      <c r="A28" s="16">
        <v>28</v>
      </c>
      <c r="B28" s="17" t="str">
        <f>IF(Petunjuk!$C$4="","",Petunjuk!$C$4)</f>
        <v xml:space="preserve">DENI GANTENG BANGET</v>
      </c>
      <c r="C28" s="18" t="str">
        <f>IF(INDEX(Korpus!$A:$A,$A28)="","",INDEX(Korpus!$A:$A,$A28))</f>
        <v xml:space="preserve">UU 27 Thn 2022 (PDP)</v>
      </c>
      <c r="D28" s="18" t="str">
        <f>TRIM(INDEX(Korpus!$D:$D,$A28)&amp;" "&amp;INDEX(Korpus!$E:$E,$A28))</f>
        <v xml:space="preserve">Pasal 1</v>
      </c>
      <c r="E28" s="18" t="str">
        <f>IF(INDEX(Korpus!$F:$F,$A28)="","",INDEX(Korpus!$F:$F,$A28))</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9"/>
      <c r="G28" s="19"/>
      <c r="H28" s="19"/>
      <c r="I28" s="19"/>
      <c r="J28" s="19"/>
      <c r="K28" s="19"/>
      <c r="L28" s="19"/>
      <c r="M28" s="20"/>
      <c r="N28" s="20"/>
      <c r="O28" s="16"/>
      <c r="P28" s="18" t="str">
        <f t="shared" si="2"/>
        <v xml:space="preserve">Belum lengkap (6)</v>
      </c>
      <c r="Q28" s="18" t="str">
        <f t="shared" si="3"/>
        <v/>
      </c>
      <c r="R28" s="18" t="str">
        <f>IF(INDEX(Korpus!$B:$B,$A28)="","",INDEX(Korpus!$B:$B,$A28))</f>
        <v xml:space="preserve">BAB IKETENTUAN UMUM</v>
      </c>
      <c r="S28" s="18" t="str">
        <f>IF(INDEX(Korpus!$C:$C,$A28)="","",INDEX(Korpus!$C:$C,$A28))</f>
        <v/>
      </c>
    </row>
    <row r="29" ht="60" customHeight="1">
      <c r="A29" s="16">
        <v>29</v>
      </c>
      <c r="B29" s="17" t="str">
        <f>IF(Petunjuk!$C$4="","",Petunjuk!$C$4)</f>
        <v xml:space="preserve">DENI GANTENG BANGET</v>
      </c>
      <c r="C29" s="18" t="str">
        <f>IF(INDEX(Korpus!$A:$A,$A29)="","",INDEX(Korpus!$A:$A,$A29))</f>
        <v xml:space="preserve">UU 27 Thn 2022 (PDP)</v>
      </c>
      <c r="D29" s="18" t="str">
        <f>TRIM(INDEX(Korpus!$D:$D,$A29)&amp;" "&amp;INDEX(Korpus!$E:$E,$A29))</f>
        <v xml:space="preserve">Pasal 2</v>
      </c>
      <c r="E29" s="18" t="str">
        <f>IF(INDEX(Korpus!$F:$F,$A29)="","",INDEX(Korpus!$F:$F,$A29))</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9"/>
      <c r="G29" s="19"/>
      <c r="H29" s="19"/>
      <c r="I29" s="19"/>
      <c r="J29" s="19"/>
      <c r="K29" s="19"/>
      <c r="L29" s="19"/>
      <c r="M29" s="20"/>
      <c r="N29" s="20"/>
      <c r="O29" s="16"/>
      <c r="P29" s="18" t="str">
        <f t="shared" si="2"/>
        <v xml:space="preserve">Belum lengkap (6)</v>
      </c>
      <c r="Q29" s="18" t="str">
        <f t="shared" si="3"/>
        <v/>
      </c>
      <c r="R29" s="18" t="str">
        <f>IF(INDEX(Korpus!$B:$B,$A29)="","",INDEX(Korpus!$B:$B,$A29))</f>
        <v xml:space="preserve">BAB IKETENTUAN UMUM</v>
      </c>
      <c r="S29" s="18" t="str">
        <f>IF(INDEX(Korpus!$C:$C,$A29)="","",INDEX(Korpus!$C:$C,$A29))</f>
        <v/>
      </c>
    </row>
    <row r="30" ht="60" customHeight="1">
      <c r="A30" s="16">
        <v>30</v>
      </c>
      <c r="B30" s="17" t="str">
        <f>IF(Petunjuk!$C$4="","",Petunjuk!$C$4)</f>
        <v xml:space="preserve">DENI GANTENG BANGET</v>
      </c>
      <c r="C30" s="18" t="str">
        <f>IF(INDEX(Korpus!$A:$A,$A30)="","",INDEX(Korpus!$A:$A,$A30))</f>
        <v xml:space="preserve">UU 27 Thn 2022 (PDP)</v>
      </c>
      <c r="D30" s="18" t="str">
        <f>TRIM(INDEX(Korpus!$D:$D,$A30)&amp;" "&amp;INDEX(Korpus!$E:$E,$A30))</f>
        <v xml:space="preserve">Pasal 3</v>
      </c>
      <c r="E30" s="18" t="str">
        <f>IF(INDEX(Korpus!$F:$F,$A30)="","",INDEX(Korpus!$F:$F,$A30))</f>
        <v xml:space="preserve">a. perlindungan; b. kepastian hukum; c. kepentingan umum; d. Kemanfaatan; e. Kehati-hatian; f. Keseimbangan; g. Pertanggungjawaban; dan h. kerahasiaan.</v>
      </c>
      <c r="F30" s="19"/>
      <c r="G30" s="19"/>
      <c r="H30" s="19"/>
      <c r="I30" s="19"/>
      <c r="J30" s="19"/>
      <c r="K30" s="19"/>
      <c r="L30" s="19"/>
      <c r="M30" s="20"/>
      <c r="N30" s="20"/>
      <c r="O30" s="16"/>
      <c r="P30" s="18" t="str">
        <f t="shared" si="2"/>
        <v xml:space="preserve">Belum lengkap (6)</v>
      </c>
      <c r="Q30" s="18" t="str">
        <f t="shared" si="3"/>
        <v/>
      </c>
      <c r="R30" s="18" t="str">
        <f>IF(INDEX(Korpus!$B:$B,$A30)="","",INDEX(Korpus!$B:$B,$A30))</f>
        <v xml:space="preserve">BAB IIASAS</v>
      </c>
      <c r="S30" s="18" t="str">
        <f>IF(INDEX(Korpus!$C:$C,$A30)="","",INDEX(Korpus!$C:$C,$A30))</f>
        <v/>
      </c>
    </row>
    <row r="31" ht="60" customHeight="1">
      <c r="A31" s="16">
        <v>31</v>
      </c>
      <c r="B31" s="17" t="str">
        <f>IF(Petunjuk!$C$4="","",Petunjuk!$C$4)</f>
        <v xml:space="preserve">DENI GANTENG BANGET</v>
      </c>
      <c r="C31" s="18" t="str">
        <f>IF(INDEX(Korpus!$A:$A,$A31)="","",INDEX(Korpus!$A:$A,$A31))</f>
        <v xml:space="preserve">UU 27 Thn 2022 (PDP)</v>
      </c>
      <c r="D31" s="18" t="str">
        <f>TRIM(INDEX(Korpus!$D:$D,$A31)&amp;" "&amp;INDEX(Korpus!$E:$E,$A31))</f>
        <v xml:space="preserve">Pasal 4</v>
      </c>
      <c r="E31" s="18" t="str">
        <f>IF(INDEX(Korpus!$F:$F,$A31)="","",INDEX(Korpus!$F:$F,$A31))</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9"/>
      <c r="G31" s="19"/>
      <c r="H31" s="19"/>
      <c r="I31" s="19"/>
      <c r="J31" s="19"/>
      <c r="K31" s="19"/>
      <c r="L31" s="19"/>
      <c r="M31" s="20"/>
      <c r="N31" s="20"/>
      <c r="O31" s="16"/>
      <c r="P31" s="18" t="str">
        <f t="shared" si="2"/>
        <v xml:space="preserve">Belum lengkap (6)</v>
      </c>
      <c r="Q31" s="18" t="str">
        <f t="shared" si="3"/>
        <v/>
      </c>
      <c r="R31" s="18" t="str">
        <f>IF(INDEX(Korpus!$B:$B,$A31)="","",INDEX(Korpus!$B:$B,$A31))</f>
        <v xml:space="preserve">BAB IIIJENIS DATA PRIBADI</v>
      </c>
      <c r="S31" s="18" t="str">
        <f>IF(INDEX(Korpus!$C:$C,$A31)="","",INDEX(Korpus!$C:$C,$A31))</f>
        <v/>
      </c>
    </row>
    <row r="32" ht="60" customHeight="1">
      <c r="A32" s="16">
        <v>32</v>
      </c>
      <c r="B32" s="17" t="str">
        <f>IF(Petunjuk!$C$4="","",Petunjuk!$C$4)</f>
        <v xml:space="preserve">DENI GANTENG BANGET</v>
      </c>
      <c r="C32" s="18" t="str">
        <f>IF(INDEX(Korpus!$A:$A,$A32)="","",INDEX(Korpus!$A:$A,$A32))</f>
        <v xml:space="preserve">UU 27 Thn 2022 (PDP)</v>
      </c>
      <c r="D32" s="18" t="str">
        <f>TRIM(INDEX(Korpus!$D:$D,$A32)&amp;" "&amp;INDEX(Korpus!$E:$E,$A32))</f>
        <v xml:space="preserve">Pasal 5</v>
      </c>
      <c r="E32" s="18" t="str">
        <f>IF(INDEX(Korpus!$F:$F,$A32)="","",INDEX(Korpus!$F:$F,$A32))</f>
        <v xml:space="preserve">Subjek Data Pribadi berhak mendapatkan Informasi tentang kejelasan identitas, dasar kepentingan hukum, tujuan permintaan dan penggunaan Data Pribadi, dan akuntabilitas pihak yang meminta Data Pribadi.</v>
      </c>
      <c r="F32" s="19"/>
      <c r="G32" s="19"/>
      <c r="H32" s="19"/>
      <c r="I32" s="19"/>
      <c r="J32" s="19"/>
      <c r="K32" s="19"/>
      <c r="L32" s="19"/>
      <c r="M32" s="20"/>
      <c r="N32" s="20"/>
      <c r="O32" s="16"/>
      <c r="P32" s="18" t="str">
        <f t="shared" si="2"/>
        <v xml:space="preserve">Belum lengkap (6)</v>
      </c>
      <c r="Q32" s="18" t="str">
        <f t="shared" si="3"/>
        <v/>
      </c>
      <c r="R32" s="18" t="str">
        <f>IF(INDEX(Korpus!$B:$B,$A32)="","",INDEX(Korpus!$B:$B,$A32))</f>
        <v xml:space="preserve">BAB IVHAK SUBJEK DATA PRIBADI</v>
      </c>
      <c r="S32" s="18" t="str">
        <f>IF(INDEX(Korpus!$C:$C,$A32)="","",INDEX(Korpus!$C:$C,$A32))</f>
        <v/>
      </c>
    </row>
    <row r="33" ht="60" customHeight="1">
      <c r="A33" s="16">
        <v>33</v>
      </c>
      <c r="B33" s="17" t="str">
        <f>IF(Petunjuk!$C$4="","",Petunjuk!$C$4)</f>
        <v xml:space="preserve">DENI GANTENG BANGET</v>
      </c>
      <c r="C33" s="18" t="str">
        <f>IF(INDEX(Korpus!$A:$A,$A33)="","",INDEX(Korpus!$A:$A,$A33))</f>
        <v xml:space="preserve">UU 27 Thn 2022 (PDP)</v>
      </c>
      <c r="D33" s="18" t="str">
        <f>TRIM(INDEX(Korpus!$D:$D,$A33)&amp;" "&amp;INDEX(Korpus!$E:$E,$A33))</f>
        <v xml:space="preserve">Pasal 6</v>
      </c>
      <c r="E33" s="18" t="str">
        <f>IF(INDEX(Korpus!$F:$F,$A33)="","",INDEX(Korpus!$F:$F,$A33))</f>
        <v xml:space="preserve">Subjek Data Pribadi berhak melengkapi, memperbarui, dan/atau memperbaiki kesalahan dan/atau ketidakakuratan Data Pribadi tentang dirinya sesuai dengan tujuan pemrosesan Data Pribadi.</v>
      </c>
      <c r="F33" s="19"/>
      <c r="G33" s="19"/>
      <c r="H33" s="19"/>
      <c r="I33" s="19"/>
      <c r="J33" s="19"/>
      <c r="K33" s="19"/>
      <c r="L33" s="19"/>
      <c r="M33" s="20"/>
      <c r="N33" s="20"/>
      <c r="O33" s="16"/>
      <c r="P33" s="18" t="str">
        <f t="shared" si="2"/>
        <v xml:space="preserve">Belum lengkap (6)</v>
      </c>
      <c r="Q33" s="18" t="str">
        <f t="shared" si="3"/>
        <v/>
      </c>
      <c r="R33" s="18" t="str">
        <f>IF(INDEX(Korpus!$B:$B,$A33)="","",INDEX(Korpus!$B:$B,$A33))</f>
        <v xml:space="preserve">BAB IVHAK SUBJEK DATA PRIBADI</v>
      </c>
      <c r="S33" s="18" t="str">
        <f>IF(INDEX(Korpus!$C:$C,$A33)="","",INDEX(Korpus!$C:$C,$A33))</f>
        <v/>
      </c>
    </row>
    <row r="34" ht="60" customHeight="1">
      <c r="A34" s="16">
        <v>34</v>
      </c>
      <c r="B34" s="17" t="str">
        <f>IF(Petunjuk!$C$4="","",Petunjuk!$C$4)</f>
        <v xml:space="preserve">DENI GANTENG BANGET</v>
      </c>
      <c r="C34" s="18" t="str">
        <f>IF(INDEX(Korpus!$A:$A,$A34)="","",INDEX(Korpus!$A:$A,$A34))</f>
        <v xml:space="preserve">UU 27 Thn 2022 (PDP)</v>
      </c>
      <c r="D34" s="18" t="str">
        <f>TRIM(INDEX(Korpus!$D:$D,$A34)&amp;" "&amp;INDEX(Korpus!$E:$E,$A34))</f>
        <v xml:space="preserve">Pasal 7</v>
      </c>
      <c r="E34" s="18" t="str">
        <f>IF(INDEX(Korpus!$F:$F,$A34)="","",INDEX(Korpus!$F:$F,$A34))</f>
        <v xml:space="preserve">Subjek Data Pribadi berhak mendapatkan akses dan memperoleh salinan Data Pribadi tentang dirinya sesuai dengan ketentuan peraturan perundang-undangan.</v>
      </c>
      <c r="F34" s="19"/>
      <c r="G34" s="19"/>
      <c r="H34" s="19"/>
      <c r="I34" s="19"/>
      <c r="J34" s="19"/>
      <c r="K34" s="19"/>
      <c r="L34" s="19"/>
      <c r="M34" s="20"/>
      <c r="N34" s="20"/>
      <c r="O34" s="16"/>
      <c r="P34" s="18" t="str">
        <f t="shared" si="2"/>
        <v xml:space="preserve">Belum lengkap (6)</v>
      </c>
      <c r="Q34" s="18" t="str">
        <f t="shared" si="3"/>
        <v/>
      </c>
      <c r="R34" s="18" t="str">
        <f>IF(INDEX(Korpus!$B:$B,$A34)="","",INDEX(Korpus!$B:$B,$A34))</f>
        <v xml:space="preserve">BAB IVHAK SUBJEK DATA PRIBADI</v>
      </c>
      <c r="S34" s="18" t="str">
        <f>IF(INDEX(Korpus!$C:$C,$A34)="","",INDEX(Korpus!$C:$C,$A34))</f>
        <v/>
      </c>
    </row>
    <row r="35" ht="60" customHeight="1">
      <c r="A35" s="16">
        <v>35</v>
      </c>
      <c r="B35" s="17" t="str">
        <f>IF(Petunjuk!$C$4="","",Petunjuk!$C$4)</f>
        <v xml:space="preserve">DENI GANTENG BANGET</v>
      </c>
      <c r="C35" s="18" t="str">
        <f>IF(INDEX(Korpus!$A:$A,$A35)="","",INDEX(Korpus!$A:$A,$A35))</f>
        <v xml:space="preserve">UU 27 Thn 2022 (PDP)</v>
      </c>
      <c r="D35" s="18" t="str">
        <f>TRIM(INDEX(Korpus!$D:$D,$A35)&amp;" "&amp;INDEX(Korpus!$E:$E,$A35))</f>
        <v xml:space="preserve">Pasal 8</v>
      </c>
      <c r="E35" s="18" t="str">
        <f>IF(INDEX(Korpus!$F:$F,$A35)="","",INDEX(Korpus!$F:$F,$A35))</f>
        <v xml:space="preserve">Subjek Data Pribadi berhak untuk mengakhiri pemrosesan, menghapus, dan/ atau memusnahkan Data Pribadi tentang dirinya sesuai dengan ketentuan peraturan perundang-undangan.</v>
      </c>
      <c r="F35" s="21" t="s">
        <v>75</v>
      </c>
      <c r="G35" s="21" t="s">
        <v>63</v>
      </c>
      <c r="H35" s="21" t="s">
        <v>64</v>
      </c>
      <c r="I35" s="21" t="s">
        <v>65</v>
      </c>
      <c r="J35" s="21" t="s">
        <v>76</v>
      </c>
      <c r="K35" s="21" t="s">
        <v>67</v>
      </c>
      <c r="L35" s="21"/>
      <c r="M35" s="20"/>
      <c r="N35" s="20"/>
      <c r="O35" s="16" t="s">
        <v>68</v>
      </c>
      <c r="P35" s="18" t="str">
        <f t="shared" si="2"/>
        <v>Lengkap</v>
      </c>
      <c r="Q35" s="18" t="str">
        <f t="shared" si="3"/>
        <v>OK</v>
      </c>
      <c r="R35" s="18" t="str">
        <f>IF(INDEX(Korpus!$B:$B,$A35)="","",INDEX(Korpus!$B:$B,$A35))</f>
        <v xml:space="preserve">BAB IVHAK SUBJEK DATA PRIBADI</v>
      </c>
      <c r="S35" s="18" t="str">
        <f>IF(INDEX(Korpus!$C:$C,$A35)="","",INDEX(Korpus!$C:$C,$A35))</f>
        <v/>
      </c>
    </row>
    <row r="36" ht="60" customHeight="1">
      <c r="A36" s="16">
        <v>36</v>
      </c>
      <c r="B36" s="17" t="str">
        <f>IF(Petunjuk!$C$4="","",Petunjuk!$C$4)</f>
        <v xml:space="preserve">DENI GANTENG BANGET</v>
      </c>
      <c r="C36" s="18" t="str">
        <f>IF(INDEX(Korpus!$A:$A,$A36)="","",INDEX(Korpus!$A:$A,$A36))</f>
        <v xml:space="preserve">UU 27 Thn 2022 (PDP)</v>
      </c>
      <c r="D36" s="18" t="str">
        <f>TRIM(INDEX(Korpus!$D:$D,$A36)&amp;" "&amp;INDEX(Korpus!$E:$E,$A36))</f>
        <v xml:space="preserve">Pasal 9</v>
      </c>
      <c r="E36" s="18" t="str">
        <f>IF(INDEX(Korpus!$F:$F,$A36)="","",INDEX(Korpus!$F:$F,$A36))</f>
        <v xml:space="preserve">Subjek Data Pribadi berhak menarik kembali persetujuan pemrosesan Data Pribadi tentang dirinya yang telah diberikan kepada Pengendali Data Pribadi.</v>
      </c>
      <c r="F36" s="19"/>
      <c r="G36" s="19"/>
      <c r="H36" s="19"/>
      <c r="I36" s="19"/>
      <c r="J36" s="19"/>
      <c r="K36" s="19"/>
      <c r="L36" s="19"/>
      <c r="M36" s="20"/>
      <c r="N36" s="20"/>
      <c r="O36" s="16"/>
      <c r="P36" s="18" t="str">
        <f t="shared" si="2"/>
        <v xml:space="preserve">Belum lengkap (6)</v>
      </c>
      <c r="Q36" s="18" t="str">
        <f t="shared" si="3"/>
        <v/>
      </c>
      <c r="R36" s="18" t="str">
        <f>IF(INDEX(Korpus!$B:$B,$A36)="","",INDEX(Korpus!$B:$B,$A36))</f>
        <v xml:space="preserve">BAB IVHAK SUBJEK DATA PRIBADI</v>
      </c>
      <c r="S36" s="18" t="str">
        <f>IF(INDEX(Korpus!$C:$C,$A36)="","",INDEX(Korpus!$C:$C,$A36))</f>
        <v/>
      </c>
    </row>
    <row r="37" ht="60" customHeight="1">
      <c r="A37" s="16">
        <v>37</v>
      </c>
      <c r="B37" s="17" t="str">
        <f>IF(Petunjuk!$C$4="","",Petunjuk!$C$4)</f>
        <v xml:space="preserve">DENI GANTENG BANGET</v>
      </c>
      <c r="C37" s="18" t="str">
        <f>IF(INDEX(Korpus!$A:$A,$A37)="","",INDEX(Korpus!$A:$A,$A37))</f>
        <v xml:space="preserve">UU 27 Thn 2022 (PDP)</v>
      </c>
      <c r="D37" s="18" t="str">
        <f>TRIM(INDEX(Korpus!$D:$D,$A37)&amp;" "&amp;INDEX(Korpus!$E:$E,$A37))</f>
        <v xml:space="preserve">Pasal 10</v>
      </c>
      <c r="E37" s="18" t="str">
        <f>IF(INDEX(Korpus!$F:$F,$A37)="","",INDEX(Korpus!$F:$F,$A37))</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9"/>
      <c r="G37" s="19"/>
      <c r="H37" s="19"/>
      <c r="I37" s="19"/>
      <c r="J37" s="19"/>
      <c r="K37" s="19"/>
      <c r="L37" s="19"/>
      <c r="M37" s="20"/>
      <c r="N37" s="20"/>
      <c r="O37" s="16"/>
      <c r="P37" s="18" t="str">
        <f t="shared" si="2"/>
        <v xml:space="preserve">Belum lengkap (6)</v>
      </c>
      <c r="Q37" s="18" t="str">
        <f t="shared" si="3"/>
        <v/>
      </c>
      <c r="R37" s="18" t="str">
        <f>IF(INDEX(Korpus!$B:$B,$A37)="","",INDEX(Korpus!$B:$B,$A37))</f>
        <v xml:space="preserve">BAB IVHAK SUBJEK DATA PRIBADI</v>
      </c>
      <c r="S37" s="18" t="str">
        <f>IF(INDEX(Korpus!$C:$C,$A37)="","",INDEX(Korpus!$C:$C,$A37))</f>
        <v/>
      </c>
    </row>
    <row r="38" ht="60" customHeight="1">
      <c r="A38" s="16">
        <v>38</v>
      </c>
      <c r="B38" s="17" t="str">
        <f>IF(Petunjuk!$C$4="","",Petunjuk!$C$4)</f>
        <v xml:space="preserve">DENI GANTENG BANGET</v>
      </c>
      <c r="C38" s="18" t="str">
        <f>IF(INDEX(Korpus!$A:$A,$A38)="","",INDEX(Korpus!$A:$A,$A38))</f>
        <v xml:space="preserve">UU 27 Thn 2022 (PDP)</v>
      </c>
      <c r="D38" s="18" t="str">
        <f>TRIM(INDEX(Korpus!$D:$D,$A38)&amp;" "&amp;INDEX(Korpus!$E:$E,$A38))</f>
        <v xml:space="preserve">Pasal 11</v>
      </c>
      <c r="E38" s="18" t="str">
        <f>IF(INDEX(Korpus!$F:$F,$A38)="","",INDEX(Korpus!$F:$F,$A38))</f>
        <v xml:space="preserve">Subjek Data Pribadi berhak menunda atau membatasi pemrosesan Data Pribadi secara proporsional sesuai dengan tujuan pemrosesan Data Pribadi.</v>
      </c>
      <c r="F38" s="19"/>
      <c r="G38" s="19"/>
      <c r="H38" s="19"/>
      <c r="I38" s="19"/>
      <c r="J38" s="19"/>
      <c r="K38" s="19"/>
      <c r="L38" s="19"/>
      <c r="M38" s="20"/>
      <c r="N38" s="20"/>
      <c r="O38" s="16"/>
      <c r="P38" s="18" t="str">
        <f t="shared" si="2"/>
        <v xml:space="preserve">Belum lengkap (6)</v>
      </c>
      <c r="Q38" s="18" t="str">
        <f t="shared" si="3"/>
        <v/>
      </c>
      <c r="R38" s="18" t="str">
        <f>IF(INDEX(Korpus!$B:$B,$A38)="","",INDEX(Korpus!$B:$B,$A38))</f>
        <v xml:space="preserve">BAB IVHAK SUBJEK DATA PRIBADI</v>
      </c>
      <c r="S38" s="18" t="str">
        <f>IF(INDEX(Korpus!$C:$C,$A38)="","",INDEX(Korpus!$C:$C,$A38))</f>
        <v/>
      </c>
    </row>
    <row r="39" ht="60" customHeight="1">
      <c r="A39" s="16">
        <v>39</v>
      </c>
      <c r="B39" s="17" t="str">
        <f>IF(Petunjuk!$C$4="","",Petunjuk!$C$4)</f>
        <v xml:space="preserve">DENI GANTENG BANGET</v>
      </c>
      <c r="C39" s="18" t="str">
        <f>IF(INDEX(Korpus!$A:$A,$A39)="","",INDEX(Korpus!$A:$A,$A39))</f>
        <v xml:space="preserve">UU 27 Thn 2022 (PDP)</v>
      </c>
      <c r="D39" s="18" t="str">
        <f>TRIM(INDEX(Korpus!$D:$D,$A39)&amp;" "&amp;INDEX(Korpus!$E:$E,$A39))</f>
        <v xml:space="preserve">Pasal 12</v>
      </c>
      <c r="E39" s="18" t="str">
        <f>IF(INDEX(Korpus!$F:$F,$A39)="","",INDEX(Korpus!$F:$F,$A39))</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9"/>
      <c r="G39" s="19"/>
      <c r="H39" s="19"/>
      <c r="I39" s="19"/>
      <c r="J39" s="19"/>
      <c r="K39" s="19"/>
      <c r="L39" s="19"/>
      <c r="M39" s="20"/>
      <c r="N39" s="20"/>
      <c r="O39" s="16"/>
      <c r="P39" s="18" t="str">
        <f t="shared" si="2"/>
        <v xml:space="preserve">Belum lengkap (6)</v>
      </c>
      <c r="Q39" s="18" t="str">
        <f t="shared" si="3"/>
        <v/>
      </c>
      <c r="R39" s="18" t="str">
        <f>IF(INDEX(Korpus!$B:$B,$A39)="","",INDEX(Korpus!$B:$B,$A39))</f>
        <v xml:space="preserve">BAB IVHAK SUBJEK DATA PRIBADI</v>
      </c>
      <c r="S39" s="18" t="str">
        <f>IF(INDEX(Korpus!$C:$C,$A39)="","",INDEX(Korpus!$C:$C,$A39))</f>
        <v/>
      </c>
    </row>
    <row r="40" ht="60" customHeight="1">
      <c r="A40" s="16">
        <v>40</v>
      </c>
      <c r="B40" s="17" t="str">
        <f>IF(Petunjuk!$C$4="","",Petunjuk!$C$4)</f>
        <v xml:space="preserve">DENI GANTENG BANGET</v>
      </c>
      <c r="C40" s="18" t="str">
        <f>IF(INDEX(Korpus!$A:$A,$A40)="","",INDEX(Korpus!$A:$A,$A40))</f>
        <v xml:space="preserve">UU 27 Thn 2022 (PDP)</v>
      </c>
      <c r="D40" s="18" t="str">
        <f>TRIM(INDEX(Korpus!$D:$D,$A40)&amp;" "&amp;INDEX(Korpus!$E:$E,$A40))</f>
        <v xml:space="preserve">Pasal 13</v>
      </c>
      <c r="E40" s="18" t="str">
        <f>IF(INDEX(Korpus!$F:$F,$A40)="","",INDEX(Korpus!$F:$F,$A40))</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9"/>
      <c r="G40" s="19"/>
      <c r="H40" s="19"/>
      <c r="I40" s="19"/>
      <c r="J40" s="19"/>
      <c r="K40" s="19"/>
      <c r="L40" s="19"/>
      <c r="M40" s="20"/>
      <c r="N40" s="20"/>
      <c r="O40" s="16"/>
      <c r="P40" s="18" t="str">
        <f t="shared" si="2"/>
        <v xml:space="preserve">Belum lengkap (6)</v>
      </c>
      <c r="Q40" s="18" t="str">
        <f t="shared" si="3"/>
        <v/>
      </c>
      <c r="R40" s="18" t="str">
        <f>IF(INDEX(Korpus!$B:$B,$A40)="","",INDEX(Korpus!$B:$B,$A40))</f>
        <v xml:space="preserve">BAB IVHAK SUBJEK DATA PRIBADI</v>
      </c>
      <c r="S40" s="18" t="str">
        <f>IF(INDEX(Korpus!$C:$C,$A40)="","",INDEX(Korpus!$C:$C,$A40))</f>
        <v/>
      </c>
    </row>
    <row r="41" ht="60" customHeight="1">
      <c r="A41" s="16">
        <v>41</v>
      </c>
      <c r="B41" s="17" t="str">
        <f>IF(Petunjuk!$C$4="","",Petunjuk!$C$4)</f>
        <v xml:space="preserve">DENI GANTENG BANGET</v>
      </c>
      <c r="C41" s="18" t="str">
        <f>IF(INDEX(Korpus!$A:$A,$A41)="","",INDEX(Korpus!$A:$A,$A41))</f>
        <v xml:space="preserve">UU 27 Thn 2022 (PDP)</v>
      </c>
      <c r="D41" s="18" t="str">
        <f>TRIM(INDEX(Korpus!$D:$D,$A41)&amp;" "&amp;INDEX(Korpus!$E:$E,$A41))</f>
        <v xml:space="preserve">Pasal 14</v>
      </c>
      <c r="E41" s="18" t="str">
        <f>IF(INDEX(Korpus!$F:$F,$A41)="","",INDEX(Korpus!$F:$F,$A41))</f>
        <v xml:space="preserve">Pelaksanaan hak Subjek Data Pribadi sebagaimana dimaksud dalam Pasal 6 sampai dengan Pasal 11 diajukan melalui permohonan tercatat yang disampaikan secara elektronik atau nonelektronik kepada Pengendali Data Pribadi.</v>
      </c>
      <c r="F41" s="19"/>
      <c r="G41" s="19"/>
      <c r="H41" s="19"/>
      <c r="I41" s="19"/>
      <c r="J41" s="19"/>
      <c r="K41" s="19"/>
      <c r="L41" s="19"/>
      <c r="M41" s="20"/>
      <c r="N41" s="20"/>
      <c r="O41" s="16"/>
      <c r="P41" s="18" t="str">
        <f t="shared" si="2"/>
        <v xml:space="preserve">Belum lengkap (6)</v>
      </c>
      <c r="Q41" s="18" t="str">
        <f t="shared" si="3"/>
        <v/>
      </c>
      <c r="R41" s="18" t="str">
        <f>IF(INDEX(Korpus!$B:$B,$A41)="","",INDEX(Korpus!$B:$B,$A41))</f>
        <v xml:space="preserve">BAB IVHAK SUBJEK DATA PRIBADI</v>
      </c>
      <c r="S41" s="18" t="str">
        <f>IF(INDEX(Korpus!$C:$C,$A41)="","",INDEX(Korpus!$C:$C,$A41))</f>
        <v/>
      </c>
    </row>
    <row r="42" ht="60" customHeight="1">
      <c r="A42" s="16">
        <v>42</v>
      </c>
      <c r="B42" s="17" t="str">
        <f>IF(Petunjuk!$C$4="","",Petunjuk!$C$4)</f>
        <v xml:space="preserve">DENI GANTENG BANGET</v>
      </c>
      <c r="C42" s="18" t="str">
        <f>IF(INDEX(Korpus!$A:$A,$A42)="","",INDEX(Korpus!$A:$A,$A42))</f>
        <v xml:space="preserve">UU 27 Thn 2022 (PDP)</v>
      </c>
      <c r="D42" s="18" t="str">
        <f>TRIM(INDEX(Korpus!$D:$D,$A42)&amp;" "&amp;INDEX(Korpus!$E:$E,$A42))</f>
        <v xml:space="preserve">Pasal 15</v>
      </c>
      <c r="E42" s="18" t="str">
        <f>IF(INDEX(Korpus!$F:$F,$A42)="","",INDEX(Korpus!$F:$F,$A42))</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21" t="s">
        <v>69</v>
      </c>
      <c r="G42" s="21" t="s">
        <v>70</v>
      </c>
      <c r="H42" s="21" t="s">
        <v>77</v>
      </c>
      <c r="I42" s="21" t="s">
        <v>78</v>
      </c>
      <c r="J42" s="21" t="s">
        <v>79</v>
      </c>
      <c r="K42" s="21" t="s">
        <v>74</v>
      </c>
      <c r="L42" s="21"/>
      <c r="M42" s="20"/>
      <c r="N42" s="20"/>
      <c r="O42" s="16" t="s">
        <v>68</v>
      </c>
      <c r="P42" s="18" t="str">
        <f t="shared" si="2"/>
        <v>Lengkap</v>
      </c>
      <c r="Q42" s="18" t="str">
        <f t="shared" si="3"/>
        <v>OK</v>
      </c>
      <c r="R42" s="18" t="str">
        <f>IF(INDEX(Korpus!$B:$B,$A42)="","",INDEX(Korpus!$B:$B,$A42))</f>
        <v xml:space="preserve">BAB IVHAK SUBJEK DATA PRIBADI</v>
      </c>
      <c r="S42" s="18" t="str">
        <f>IF(INDEX(Korpus!$C:$C,$A42)="","",INDEX(Korpus!$C:$C,$A42))</f>
        <v/>
      </c>
    </row>
    <row r="43" ht="60" customHeight="1">
      <c r="A43" s="16">
        <v>43</v>
      </c>
      <c r="B43" s="17" t="str">
        <f>IF(Petunjuk!$C$4="","",Petunjuk!$C$4)</f>
        <v xml:space="preserve">DENI GANTENG BANGET</v>
      </c>
      <c r="C43" s="18" t="str">
        <f>IF(INDEX(Korpus!$A:$A,$A43)="","",INDEX(Korpus!$A:$A,$A43))</f>
        <v xml:space="preserve">UU 27 Thn 2022 (PDP)</v>
      </c>
      <c r="D43" s="18" t="str">
        <f>TRIM(INDEX(Korpus!$D:$D,$A43)&amp;" "&amp;INDEX(Korpus!$E:$E,$A43))</f>
        <v xml:space="preserve">Pasal 16</v>
      </c>
      <c r="E43" s="18" t="str">
        <f>IF(INDEX(Korpus!$F:$F,$A43)="","",INDEX(Korpus!$F:$F,$A43))</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9"/>
      <c r="G43" s="19"/>
      <c r="H43" s="19"/>
      <c r="I43" s="19"/>
      <c r="J43" s="19"/>
      <c r="K43" s="19"/>
      <c r="L43" s="19"/>
      <c r="M43" s="20"/>
      <c r="N43" s="20"/>
      <c r="O43" s="16"/>
      <c r="P43" s="18" t="str">
        <f t="shared" si="2"/>
        <v xml:space="preserve">Belum lengkap (6)</v>
      </c>
      <c r="Q43" s="18" t="str">
        <f t="shared" si="3"/>
        <v/>
      </c>
      <c r="R43" s="18" t="str">
        <f>IF(INDEX(Korpus!$B:$B,$A43)="","",INDEX(Korpus!$B:$B,$A43))</f>
        <v xml:space="preserve">BAB VPEMROSESAN DATA PRIBADI</v>
      </c>
      <c r="S43" s="18" t="str">
        <f>IF(INDEX(Korpus!$C:$C,$A43)="","",INDEX(Korpus!$C:$C,$A43))</f>
        <v/>
      </c>
    </row>
    <row r="44" ht="60" customHeight="1">
      <c r="A44" s="16">
        <v>44</v>
      </c>
      <c r="B44" s="17" t="str">
        <f>IF(Petunjuk!$C$4="","",Petunjuk!$C$4)</f>
        <v xml:space="preserve">DENI GANTENG BANGET</v>
      </c>
      <c r="C44" s="18" t="str">
        <f>IF(INDEX(Korpus!$A:$A,$A44)="","",INDEX(Korpus!$A:$A,$A44))</f>
        <v xml:space="preserve">UU 27 Thn 2022 (PDP)</v>
      </c>
      <c r="D44" s="18" t="str">
        <f>TRIM(INDEX(Korpus!$D:$D,$A44)&amp;" "&amp;INDEX(Korpus!$E:$E,$A44))</f>
        <v xml:space="preserve">Pasal 17</v>
      </c>
      <c r="E44" s="18" t="str">
        <f>IF(INDEX(Korpus!$F:$F,$A44)="","",INDEX(Korpus!$F:$F,$A44))</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21" t="s">
        <v>69</v>
      </c>
      <c r="G44" s="21" t="s">
        <v>70</v>
      </c>
      <c r="H44" s="21" t="s">
        <v>80</v>
      </c>
      <c r="I44" s="21" t="s">
        <v>81</v>
      </c>
      <c r="J44" s="21" t="s">
        <v>79</v>
      </c>
      <c r="K44" s="21" t="s">
        <v>74</v>
      </c>
      <c r="L44" s="21"/>
      <c r="M44" s="20"/>
      <c r="N44" s="20"/>
      <c r="O44" s="16" t="s">
        <v>68</v>
      </c>
      <c r="P44" s="18" t="str">
        <f t="shared" si="2"/>
        <v>Lengkap</v>
      </c>
      <c r="Q44" s="18" t="str">
        <f t="shared" si="3"/>
        <v>OK</v>
      </c>
      <c r="R44" s="18" t="str">
        <f>IF(INDEX(Korpus!$B:$B,$A44)="","",INDEX(Korpus!$B:$B,$A44))</f>
        <v xml:space="preserve">BAB VPEMROSESAN DATA PRIBADI</v>
      </c>
      <c r="S44" s="18" t="str">
        <f>IF(INDEX(Korpus!$C:$C,$A44)="","",INDEX(Korpus!$C:$C,$A44))</f>
        <v/>
      </c>
    </row>
    <row r="45" ht="60" customHeight="1">
      <c r="A45" s="16">
        <v>45</v>
      </c>
      <c r="B45" s="17" t="str">
        <f>IF(Petunjuk!$C$4="","",Petunjuk!$C$4)</f>
        <v xml:space="preserve">DENI GANTENG BANGET</v>
      </c>
      <c r="C45" s="18" t="str">
        <f>IF(INDEX(Korpus!$A:$A,$A45)="","",INDEX(Korpus!$A:$A,$A45))</f>
        <v xml:space="preserve">UU 27 Thn 2022 (PDP)</v>
      </c>
      <c r="D45" s="18" t="str">
        <f>TRIM(INDEX(Korpus!$D:$D,$A45)&amp;" "&amp;INDEX(Korpus!$E:$E,$A45))</f>
        <v xml:space="preserve">Pasal 18</v>
      </c>
      <c r="E45" s="18" t="str">
        <f>IF(INDEX(Korpus!$F:$F,$A45)="","",INDEX(Korpus!$F:$F,$A45))</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9"/>
      <c r="G45" s="19"/>
      <c r="H45" s="19"/>
      <c r="I45" s="19"/>
      <c r="J45" s="19"/>
      <c r="K45" s="19"/>
      <c r="L45" s="19"/>
      <c r="M45" s="20"/>
      <c r="N45" s="20"/>
      <c r="O45" s="16"/>
      <c r="P45" s="18" t="str">
        <f t="shared" si="2"/>
        <v xml:space="preserve">Belum lengkap (6)</v>
      </c>
      <c r="Q45" s="18" t="str">
        <f t="shared" si="3"/>
        <v/>
      </c>
      <c r="R45" s="18" t="str">
        <f>IF(INDEX(Korpus!$B:$B,$A45)="","",INDEX(Korpus!$B:$B,$A45))</f>
        <v xml:space="preserve">BAB VPEMROSESAN DATA PRIBADI</v>
      </c>
      <c r="S45" s="18" t="str">
        <f>IF(INDEX(Korpus!$C:$C,$A45)="","",INDEX(Korpus!$C:$C,$A45))</f>
        <v/>
      </c>
    </row>
    <row r="46" ht="60" customHeight="1">
      <c r="A46" s="16">
        <v>46</v>
      </c>
      <c r="B46" s="17" t="str">
        <f>IF(Petunjuk!$C$4="","",Petunjuk!$C$4)</f>
        <v xml:space="preserve">DENI GANTENG BANGET</v>
      </c>
      <c r="C46" s="18" t="str">
        <f>IF(INDEX(Korpus!$A:$A,$A46)="","",INDEX(Korpus!$A:$A,$A46))</f>
        <v xml:space="preserve">UU 27 Thn 2022 (PDP)</v>
      </c>
      <c r="D46" s="18" t="str">
        <f>TRIM(INDEX(Korpus!$D:$D,$A46)&amp;" "&amp;INDEX(Korpus!$E:$E,$A46))</f>
        <v xml:space="preserve">Pasal 19</v>
      </c>
      <c r="E46" s="18" t="str">
        <f>IF(INDEX(Korpus!$F:$F,$A46)="","",INDEX(Korpus!$F:$F,$A46))</f>
        <v xml:space="preserve">Pengendali Data Pribadi dan Prosesor Data Pribadi meliputi: a. Setiap Orang; b. Badan Publik; dan c. Organisasi Internasional.</v>
      </c>
      <c r="F46" s="19"/>
      <c r="G46" s="19"/>
      <c r="H46" s="19"/>
      <c r="I46" s="19"/>
      <c r="J46" s="19"/>
      <c r="K46" s="19"/>
      <c r="L46" s="19"/>
      <c r="M46" s="20"/>
      <c r="N46" s="20"/>
      <c r="O46" s="16"/>
      <c r="P46" s="18" t="str">
        <f t="shared" si="2"/>
        <v xml:space="preserve">Belum lengkap (6)</v>
      </c>
      <c r="Q46" s="18" t="str">
        <f t="shared" si="3"/>
        <v/>
      </c>
      <c r="R46" s="18" t="str">
        <f>IF(INDEX(Korpus!$B:$B,$A46)="","",INDEX(Korpus!$B:$B,$A46))</f>
        <v xml:space="preserve">BAB VIKEWAJIBAN PENGENDALI DATA PRIBADI DAN PROSESOR DATA PRIBADI DALAM PEMROSESAN DATA PRIBADI</v>
      </c>
      <c r="S46" s="18" t="str">
        <f>IF(INDEX(Korpus!$C:$C,$A46)="","",INDEX(Korpus!$C:$C,$A46))</f>
        <v xml:space="preserve">Bagian KesatuUmum</v>
      </c>
    </row>
    <row r="47" ht="60" customHeight="1">
      <c r="A47" s="16">
        <v>47</v>
      </c>
      <c r="B47" s="17" t="str">
        <f>IF(Petunjuk!$C$4="","",Petunjuk!$C$4)</f>
        <v xml:space="preserve">DENI GANTENG BANGET</v>
      </c>
      <c r="C47" s="18" t="str">
        <f>IF(INDEX(Korpus!$A:$A,$A47)="","",INDEX(Korpus!$A:$A,$A47))</f>
        <v xml:space="preserve">UU 27 Thn 2022 (PDP)</v>
      </c>
      <c r="D47" s="18" t="str">
        <f>TRIM(INDEX(Korpus!$D:$D,$A47)&amp;" "&amp;INDEX(Korpus!$E:$E,$A47))</f>
        <v xml:space="preserve">Pasal 20</v>
      </c>
      <c r="E47" s="18" t="str">
        <f>IF(INDEX(Korpus!$F:$F,$A47)="","",INDEX(Korpus!$F:$F,$A47))</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9"/>
      <c r="G47" s="19"/>
      <c r="H47" s="19"/>
      <c r="I47" s="19"/>
      <c r="J47" s="19"/>
      <c r="K47" s="19"/>
      <c r="L47" s="19"/>
      <c r="M47" s="20"/>
      <c r="N47" s="20"/>
      <c r="O47" s="16"/>
      <c r="P47" s="18" t="str">
        <f t="shared" si="2"/>
        <v xml:space="preserve">Belum lengkap (6)</v>
      </c>
      <c r="Q47" s="18" t="str">
        <f t="shared" si="3"/>
        <v/>
      </c>
      <c r="R47" s="18" t="str">
        <f>IF(INDEX(Korpus!$B:$B,$A47)="","",INDEX(Korpus!$B:$B,$A47))</f>
        <v xml:space="preserve">BAB VIKEWAJIBAN PENGENDALI DATA PRIBADI DAN PROSESOR DATA PRIBADI DALAM PEMROSESAN DATA PRIBADI</v>
      </c>
      <c r="S47" s="18" t="str">
        <f>IF(INDEX(Korpus!$C:$C,$A47)="","",INDEX(Korpus!$C:$C,$A47))</f>
        <v xml:space="preserve">Bagian Kedua Kewajiban Pengendali Data Pribadi</v>
      </c>
    </row>
    <row r="48" ht="60" customHeight="1">
      <c r="A48" s="16">
        <v>48</v>
      </c>
      <c r="B48" s="17" t="str">
        <f>IF(Petunjuk!$C$4="","",Petunjuk!$C$4)</f>
        <v xml:space="preserve">DENI GANTENG BANGET</v>
      </c>
      <c r="C48" s="18" t="str">
        <f>IF(INDEX(Korpus!$A:$A,$A48)="","",INDEX(Korpus!$A:$A,$A48))</f>
        <v xml:space="preserve">UU 27 Thn 2022 (PDP)</v>
      </c>
      <c r="D48" s="18" t="str">
        <f>TRIM(INDEX(Korpus!$D:$D,$A48)&amp;" "&amp;INDEX(Korpus!$E:$E,$A48))</f>
        <v xml:space="preserve">Pasal 21</v>
      </c>
      <c r="E48" s="18" t="str">
        <f>IF(INDEX(Korpus!$F:$F,$A48)="","",INDEX(Korpus!$F:$F,$A48))</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9"/>
      <c r="G48" s="19"/>
      <c r="H48" s="19"/>
      <c r="I48" s="19"/>
      <c r="J48" s="19"/>
      <c r="K48" s="19"/>
      <c r="L48" s="19"/>
      <c r="M48" s="20"/>
      <c r="N48" s="20"/>
      <c r="O48" s="16"/>
      <c r="P48" s="18" t="str">
        <f t="shared" si="2"/>
        <v xml:space="preserve">Belum lengkap (6)</v>
      </c>
      <c r="Q48" s="18" t="str">
        <f t="shared" si="3"/>
        <v/>
      </c>
      <c r="R48" s="18" t="str">
        <f>IF(INDEX(Korpus!$B:$B,$A48)="","",INDEX(Korpus!$B:$B,$A48))</f>
        <v xml:space="preserve">BAB VIKEWAJIBAN PENGENDALI DATA PRIBADI DAN PROSESOR DATA PRIBADI DALAM PEMROSESAN DATA PRIBADI</v>
      </c>
      <c r="S48" s="18" t="str">
        <f>IF(INDEX(Korpus!$C:$C,$A48)="","",INDEX(Korpus!$C:$C,$A48))</f>
        <v xml:space="preserve">Bagian Kedua Kewajiban Pengendali Data Pribadi</v>
      </c>
    </row>
    <row r="49" ht="60" customHeight="1">
      <c r="A49" s="16">
        <v>49</v>
      </c>
      <c r="B49" s="17" t="str">
        <f>IF(Petunjuk!$C$4="","",Petunjuk!$C$4)</f>
        <v xml:space="preserve">DENI GANTENG BANGET</v>
      </c>
      <c r="C49" s="18" t="str">
        <f>IF(INDEX(Korpus!$A:$A,$A49)="","",INDEX(Korpus!$A:$A,$A49))</f>
        <v xml:space="preserve">UU 27 Thn 2022 (PDP)</v>
      </c>
      <c r="D49" s="18" t="str">
        <f>TRIM(INDEX(Korpus!$D:$D,$A49)&amp;" "&amp;INDEX(Korpus!$E:$E,$A49))</f>
        <v xml:space="preserve">Pasal 22</v>
      </c>
      <c r="E49" s="18" t="str">
        <f>IF(INDEX(Korpus!$F:$F,$A49)="","",INDEX(Korpus!$F:$F,$A49))</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9"/>
      <c r="G49" s="19"/>
      <c r="H49" s="19"/>
      <c r="I49" s="19"/>
      <c r="J49" s="19"/>
      <c r="K49" s="19"/>
      <c r="L49" s="19"/>
      <c r="M49" s="20"/>
      <c r="N49" s="20"/>
      <c r="O49" s="16"/>
      <c r="P49" s="18" t="str">
        <f t="shared" si="2"/>
        <v xml:space="preserve">Belum lengkap (6)</v>
      </c>
      <c r="Q49" s="18" t="str">
        <f t="shared" si="3"/>
        <v/>
      </c>
      <c r="R49" s="18" t="str">
        <f>IF(INDEX(Korpus!$B:$B,$A49)="","",INDEX(Korpus!$B:$B,$A49))</f>
        <v xml:space="preserve">BAB VIKEWAJIBAN PENGENDALI DATA PRIBADI DAN PROSESOR DATA PRIBADI DALAM PEMROSESAN DATA PRIBADI</v>
      </c>
      <c r="S49" s="18" t="str">
        <f>IF(INDEX(Korpus!$C:$C,$A49)="","",INDEX(Korpus!$C:$C,$A49))</f>
        <v xml:space="preserve">Bagian Kedua Kewajiban Pengendali Data Pribadi</v>
      </c>
    </row>
    <row r="50" ht="60" customHeight="1">
      <c r="A50" s="16">
        <v>50</v>
      </c>
      <c r="B50" s="17" t="str">
        <f>IF(Petunjuk!$C$4="","",Petunjuk!$C$4)</f>
        <v xml:space="preserve">DENI GANTENG BANGET</v>
      </c>
      <c r="C50" s="18" t="str">
        <f>IF(INDEX(Korpus!$A:$A,$A50)="","",INDEX(Korpus!$A:$A,$A50))</f>
        <v xml:space="preserve">UU 27 Thn 2022 (PDP)</v>
      </c>
      <c r="D50" s="18" t="str">
        <f>TRIM(INDEX(Korpus!$D:$D,$A50)&amp;" "&amp;INDEX(Korpus!$E:$E,$A50))</f>
        <v xml:space="preserve">Pasal 23</v>
      </c>
      <c r="E50" s="18" t="str">
        <f>IF(INDEX(Korpus!$F:$F,$A50)="","",INDEX(Korpus!$F:$F,$A50))</f>
        <v xml:space="preserve">Klausul perjanjian yang di dalamnya terdapat permintaan pemrosesan Data Pribadi yang tidak memuat persetujuan yang sah secara eksplisit dari Subjek Data Pribadi dinyatakan batal demi hukum.</v>
      </c>
      <c r="F50" s="19"/>
      <c r="G50" s="19"/>
      <c r="H50" s="19"/>
      <c r="I50" s="19"/>
      <c r="J50" s="19"/>
      <c r="K50" s="19"/>
      <c r="L50" s="19"/>
      <c r="M50" s="20"/>
      <c r="N50" s="20"/>
      <c r="O50" s="16"/>
      <c r="P50" s="18" t="str">
        <f t="shared" si="2"/>
        <v xml:space="preserve">Belum lengkap (6)</v>
      </c>
      <c r="Q50" s="18" t="str">
        <f t="shared" si="3"/>
        <v/>
      </c>
      <c r="R50" s="18" t="str">
        <f>IF(INDEX(Korpus!$B:$B,$A50)="","",INDEX(Korpus!$B:$B,$A50))</f>
        <v xml:space="preserve">BAB VIKEWAJIBAN PENGENDALI DATA PRIBADI DAN PROSESOR DATA PRIBADI DALAM PEMROSESAN DATA PRIBADI</v>
      </c>
      <c r="S50" s="18" t="str">
        <f>IF(INDEX(Korpus!$C:$C,$A50)="","",INDEX(Korpus!$C:$C,$A50))</f>
        <v xml:space="preserve">Bagian Kedua Kewajiban Pengendali Data Pribadi</v>
      </c>
    </row>
    <row r="51" ht="60" customHeight="1">
      <c r="A51" s="16">
        <v>51</v>
      </c>
      <c r="B51" s="17" t="str">
        <f>IF(Petunjuk!$C$4="","",Petunjuk!$C$4)</f>
        <v xml:space="preserve">DENI GANTENG BANGET</v>
      </c>
      <c r="C51" s="18" t="str">
        <f>IF(INDEX(Korpus!$A:$A,$A51)="","",INDEX(Korpus!$A:$A,$A51))</f>
        <v xml:space="preserve">UU 27 Thn 2022 (PDP)</v>
      </c>
      <c r="D51" s="18" t="str">
        <f>TRIM(INDEX(Korpus!$D:$D,$A51)&amp;" "&amp;INDEX(Korpus!$E:$E,$A51))</f>
        <v xml:space="preserve">Pasal 24</v>
      </c>
      <c r="E51" s="18" t="str">
        <f>IF(INDEX(Korpus!$F:$F,$A51)="","",INDEX(Korpus!$F:$F,$A51))</f>
        <v xml:space="preserve">Dalam melakukan pemrosesan Data Pribadi, Pengendali Data Pribadi wajib menunjukkan bukti persetujuan yang telah diberikan oleh Subjek Data Pribadi.</v>
      </c>
      <c r="F51" s="19"/>
      <c r="G51" s="19"/>
      <c r="H51" s="19"/>
      <c r="I51" s="19"/>
      <c r="J51" s="19"/>
      <c r="K51" s="19"/>
      <c r="L51" s="19"/>
      <c r="M51" s="20"/>
      <c r="N51" s="20"/>
      <c r="O51" s="16"/>
      <c r="P51" s="18" t="str">
        <f t="shared" si="2"/>
        <v xml:space="preserve">Belum lengkap (6)</v>
      </c>
      <c r="Q51" s="18" t="str">
        <f t="shared" si="3"/>
        <v/>
      </c>
      <c r="R51" s="18" t="str">
        <f>IF(INDEX(Korpus!$B:$B,$A51)="","",INDEX(Korpus!$B:$B,$A51))</f>
        <v xml:space="preserve">BAB VIKEWAJIBAN PENGENDALI DATA PRIBADI DAN PROSESOR DATA PRIBADI DALAM PEMROSESAN DATA PRIBADI</v>
      </c>
      <c r="S51" s="18" t="str">
        <f>IF(INDEX(Korpus!$C:$C,$A51)="","",INDEX(Korpus!$C:$C,$A51))</f>
        <v xml:space="preserve">Bagian Kedua Kewajiban Pengendali Data Pribadi</v>
      </c>
    </row>
    <row r="52" ht="60" customHeight="1">
      <c r="A52" s="16">
        <v>52</v>
      </c>
      <c r="B52" s="17" t="str">
        <f>IF(Petunjuk!$C$4="","",Petunjuk!$C$4)</f>
        <v xml:space="preserve">DENI GANTENG BANGET</v>
      </c>
      <c r="C52" s="18" t="str">
        <f>IF(INDEX(Korpus!$A:$A,$A52)="","",INDEX(Korpus!$A:$A,$A52))</f>
        <v xml:space="preserve">UU 27 Thn 2022 (PDP)</v>
      </c>
      <c r="D52" s="18" t="str">
        <f>TRIM(INDEX(Korpus!$D:$D,$A52)&amp;" "&amp;INDEX(Korpus!$E:$E,$A52))</f>
        <v xml:space="preserve">Pasal 25</v>
      </c>
      <c r="E52" s="18" t="str">
        <f>IF(INDEX(Korpus!$F:$F,$A52)="","",INDEX(Korpus!$F:$F,$A52))</f>
        <v xml:space="preserve">(1) Pemrosesan Data Pribadi anak secara khusus.(2) Pemrosesan Data Pribadi anak sebagaimana dimaksud pada ayat (1) wajib mendapat persetujuan dari orang tua anak dan/ atau wali anak sesuai dengan ketentuan peraturan perundang-undangan.</v>
      </c>
      <c r="F52" s="21" t="s">
        <v>75</v>
      </c>
      <c r="G52" s="21" t="s">
        <v>63</v>
      </c>
      <c r="H52" s="21" t="s">
        <v>82</v>
      </c>
      <c r="I52" s="21" t="s">
        <v>83</v>
      </c>
      <c r="J52" s="21" t="s">
        <v>76</v>
      </c>
      <c r="K52" s="21" t="s">
        <v>67</v>
      </c>
      <c r="L52" s="21"/>
      <c r="M52" s="20"/>
      <c r="N52" s="20"/>
      <c r="O52" s="16" t="s">
        <v>68</v>
      </c>
      <c r="P52" s="18" t="str">
        <f t="shared" si="2"/>
        <v>Lengkap</v>
      </c>
      <c r="Q52" s="18" t="str">
        <f t="shared" si="3"/>
        <v>OK</v>
      </c>
      <c r="R52" s="18" t="str">
        <f>IF(INDEX(Korpus!$B:$B,$A52)="","",INDEX(Korpus!$B:$B,$A52))</f>
        <v xml:space="preserve">BAB VIKEWAJIBAN PENGENDALI DATA PRIBADI DAN PROSESOR DATA PRIBADI DALAM PEMROSESAN DATA PRIBADI</v>
      </c>
      <c r="S52" s="18" t="str">
        <f>IF(INDEX(Korpus!$C:$C,$A52)="","",INDEX(Korpus!$C:$C,$A52))</f>
        <v xml:space="preserve">Bagian Kedua Kewajiban Pengendali Data Pribadi</v>
      </c>
    </row>
    <row r="53" ht="60" customHeight="1">
      <c r="A53" s="16">
        <v>53</v>
      </c>
      <c r="B53" s="17" t="str">
        <f>IF(Petunjuk!$C$4="","",Petunjuk!$C$4)</f>
        <v xml:space="preserve">DENI GANTENG BANGET</v>
      </c>
      <c r="C53" s="18" t="str">
        <f>IF(INDEX(Korpus!$A:$A,$A53)="","",INDEX(Korpus!$A:$A,$A53))</f>
        <v xml:space="preserve">UU 27 Thn 2022 (PDP)</v>
      </c>
      <c r="D53" s="18" t="str">
        <f>TRIM(INDEX(Korpus!$D:$D,$A53)&amp;" "&amp;INDEX(Korpus!$E:$E,$A53))</f>
        <v xml:space="preserve">Pasal 26</v>
      </c>
      <c r="E53" s="18" t="str">
        <f>IF(INDEX(Korpus!$F:$F,$A53)="","",INDEX(Korpus!$F:$F,$A53))</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9"/>
      <c r="G53" s="19"/>
      <c r="H53" s="19"/>
      <c r="I53" s="19"/>
      <c r="J53" s="19"/>
      <c r="K53" s="19"/>
      <c r="L53" s="19"/>
      <c r="M53" s="20"/>
      <c r="N53" s="20"/>
      <c r="O53" s="16"/>
      <c r="P53" s="18" t="str">
        <f t="shared" si="2"/>
        <v xml:space="preserve">Belum lengkap (6)</v>
      </c>
      <c r="Q53" s="18" t="str">
        <f t="shared" si="3"/>
        <v/>
      </c>
      <c r="R53" s="18" t="str">
        <f>IF(INDEX(Korpus!$B:$B,$A53)="","",INDEX(Korpus!$B:$B,$A53))</f>
        <v xml:space="preserve">BAB VIKEWAJIBAN PENGENDALI DATA PRIBADI DAN PROSESOR DATA PRIBADI DALAM PEMROSESAN DATA PRIBADI</v>
      </c>
      <c r="S53" s="18" t="str">
        <f>IF(INDEX(Korpus!$C:$C,$A53)="","",INDEX(Korpus!$C:$C,$A53))</f>
        <v xml:space="preserve">Bagian Kedua Kewajiban Pengendali Data Pribadi</v>
      </c>
    </row>
    <row r="54" ht="60" customHeight="1">
      <c r="A54" s="16">
        <v>54</v>
      </c>
      <c r="B54" s="17" t="str">
        <f>IF(Petunjuk!$C$4="","",Petunjuk!$C$4)</f>
        <v xml:space="preserve">DENI GANTENG BANGET</v>
      </c>
      <c r="C54" s="18" t="str">
        <f>IF(INDEX(Korpus!$A:$A,$A54)="","",INDEX(Korpus!$A:$A,$A54))</f>
        <v xml:space="preserve">UU 27 Thn 2022 (PDP)</v>
      </c>
      <c r="D54" s="18" t="str">
        <f>TRIM(INDEX(Korpus!$D:$D,$A54)&amp;" "&amp;INDEX(Korpus!$E:$E,$A54))</f>
        <v xml:space="preserve">Pasal 27</v>
      </c>
      <c r="E54" s="18" t="str">
        <f>IF(INDEX(Korpus!$F:$F,$A54)="","",INDEX(Korpus!$F:$F,$A54))</f>
        <v xml:space="preserve">Pengendali Data Pribadi wajib melakukan pemrosesan Data Pribadi secara terbatas dan spesifik, sah secara hukum, dan transparan.</v>
      </c>
      <c r="F54" s="21" t="s">
        <v>84</v>
      </c>
      <c r="G54" s="21" t="s">
        <v>63</v>
      </c>
      <c r="H54" s="21" t="s">
        <v>85</v>
      </c>
      <c r="I54" s="21" t="s">
        <v>83</v>
      </c>
      <c r="J54" s="21" t="s">
        <v>79</v>
      </c>
      <c r="K54" s="21" t="s">
        <v>86</v>
      </c>
      <c r="L54" s="21"/>
      <c r="M54" s="20"/>
      <c r="N54" s="20"/>
      <c r="O54" s="16" t="s">
        <v>68</v>
      </c>
      <c r="P54" s="18" t="str">
        <f t="shared" si="2"/>
        <v>Lengkap</v>
      </c>
      <c r="Q54" s="18" t="str">
        <f t="shared" si="3"/>
        <v>OK</v>
      </c>
      <c r="R54" s="18" t="str">
        <f>IF(INDEX(Korpus!$B:$B,$A54)="","",INDEX(Korpus!$B:$B,$A54))</f>
        <v xml:space="preserve">BAB VIKEWAJIBAN PENGENDALI DATA PRIBADI DAN PROSESOR DATA PRIBADI DALAM PEMROSESAN DATA PRIBADI</v>
      </c>
      <c r="S54" s="18" t="str">
        <f>IF(INDEX(Korpus!$C:$C,$A54)="","",INDEX(Korpus!$C:$C,$A54))</f>
        <v xml:space="preserve">Bagian Kedua Kewajiban Pengendali Data Pribadi</v>
      </c>
    </row>
    <row r="55" ht="60" customHeight="1">
      <c r="A55" s="16">
        <v>55</v>
      </c>
      <c r="B55" s="17" t="str">
        <f>IF(Petunjuk!$C$4="","",Petunjuk!$C$4)</f>
        <v xml:space="preserve">DENI GANTENG BANGET</v>
      </c>
      <c r="C55" s="18" t="str">
        <f>IF(INDEX(Korpus!$A:$A,$A55)="","",INDEX(Korpus!$A:$A,$A55))</f>
        <v xml:space="preserve">UU 27 Thn 2022 (PDP)</v>
      </c>
      <c r="D55" s="18" t="str">
        <f>TRIM(INDEX(Korpus!$D:$D,$A55)&amp;" "&amp;INDEX(Korpus!$E:$E,$A55))</f>
        <v xml:space="preserve">Pasal 28</v>
      </c>
      <c r="E55" s="18" t="str">
        <f>IF(INDEX(Korpus!$F:$F,$A55)="","",INDEX(Korpus!$F:$F,$A55))</f>
        <v xml:space="preserve">Pengendali Data Pribadi wajib melakukan pemrosesan Data Pribadi sesuai dengan tujuan pemrosesan Data Pribadi.</v>
      </c>
      <c r="F55" s="19"/>
      <c r="G55" s="19"/>
      <c r="H55" s="19"/>
      <c r="I55" s="19"/>
      <c r="J55" s="19"/>
      <c r="K55" s="19"/>
      <c r="L55" s="19"/>
      <c r="M55" s="20"/>
      <c r="N55" s="20"/>
      <c r="O55" s="16"/>
      <c r="P55" s="18" t="str">
        <f t="shared" si="2"/>
        <v xml:space="preserve">Belum lengkap (6)</v>
      </c>
      <c r="Q55" s="18" t="str">
        <f t="shared" si="3"/>
        <v/>
      </c>
      <c r="R55" s="18" t="str">
        <f>IF(INDEX(Korpus!$B:$B,$A55)="","",INDEX(Korpus!$B:$B,$A55))</f>
        <v xml:space="preserve">BAB VIKEWAJIBAN PENGENDALI DATA PRIBADI DAN PROSESOR DATA PRIBADI DALAM PEMROSESAN DATA PRIBADI</v>
      </c>
      <c r="S55" s="18" t="str">
        <f>IF(INDEX(Korpus!$C:$C,$A55)="","",INDEX(Korpus!$C:$C,$A55))</f>
        <v xml:space="preserve">Bagian Kedua Kewajiban Pengendali Data Pribadi</v>
      </c>
    </row>
    <row r="56" ht="60" customHeight="1">
      <c r="A56" s="16">
        <v>56</v>
      </c>
      <c r="B56" s="17" t="str">
        <f>IF(Petunjuk!$C$4="","",Petunjuk!$C$4)</f>
        <v xml:space="preserve">DENI GANTENG BANGET</v>
      </c>
      <c r="C56" s="18" t="str">
        <f>IF(INDEX(Korpus!$A:$A,$A56)="","",INDEX(Korpus!$A:$A,$A56))</f>
        <v xml:space="preserve">UU 27 Thn 2022 (PDP)</v>
      </c>
      <c r="D56" s="18" t="str">
        <f>TRIM(INDEX(Korpus!$D:$D,$A56)&amp;" "&amp;INDEX(Korpus!$E:$E,$A56))</f>
        <v xml:space="preserve">Pasal 29</v>
      </c>
      <c r="E56" s="18" t="str">
        <f>IF(INDEX(Korpus!$F:$F,$A56)="","",INDEX(Korpus!$F:$F,$A56))</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21" t="s">
        <v>84</v>
      </c>
      <c r="G56" s="21" t="s">
        <v>63</v>
      </c>
      <c r="H56" s="21" t="s">
        <v>87</v>
      </c>
      <c r="I56" s="21" t="s">
        <v>83</v>
      </c>
      <c r="J56" s="21" t="s">
        <v>88</v>
      </c>
      <c r="K56" s="21" t="s">
        <v>89</v>
      </c>
      <c r="L56" s="21"/>
      <c r="M56" s="20"/>
      <c r="N56" s="20"/>
      <c r="O56" s="16" t="s">
        <v>68</v>
      </c>
      <c r="P56" s="18" t="str">
        <f t="shared" si="2"/>
        <v>Lengkap</v>
      </c>
      <c r="Q56" s="18" t="str">
        <f t="shared" si="3"/>
        <v>OK</v>
      </c>
      <c r="R56" s="18" t="str">
        <f>IF(INDEX(Korpus!$B:$B,$A56)="","",INDEX(Korpus!$B:$B,$A56))</f>
        <v xml:space="preserve">BAB VIKEWAJIBAN PENGENDALI DATA PRIBADI DAN PROSESOR DATA PRIBADI DALAM PEMROSESAN DATA PRIBADI</v>
      </c>
      <c r="S56" s="18" t="str">
        <f>IF(INDEX(Korpus!$C:$C,$A56)="","",INDEX(Korpus!$C:$C,$A56))</f>
        <v xml:space="preserve">Bagian Kedua Kewajiban Pengendali Data Pribadi</v>
      </c>
    </row>
    <row r="57" ht="60" customHeight="1">
      <c r="A57" s="16">
        <v>57</v>
      </c>
      <c r="B57" s="17" t="str">
        <f>IF(Petunjuk!$C$4="","",Petunjuk!$C$4)</f>
        <v xml:space="preserve">DENI GANTENG BANGET</v>
      </c>
      <c r="C57" s="18" t="str">
        <f>IF(INDEX(Korpus!$A:$A,$A57)="","",INDEX(Korpus!$A:$A,$A57))</f>
        <v xml:space="preserve">UU 27 Thn 2022 (PDP)</v>
      </c>
      <c r="D57" s="18" t="str">
        <f>TRIM(INDEX(Korpus!$D:$D,$A57)&amp;" "&amp;INDEX(Korpus!$E:$E,$A57))</f>
        <v xml:space="preserve">Pasal 30</v>
      </c>
      <c r="E57" s="18" t="str">
        <f>IF(INDEX(Korpus!$F:$F,$A57)="","",INDEX(Korpus!$F:$F,$A57))</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9"/>
      <c r="G57" s="19"/>
      <c r="H57" s="19"/>
      <c r="I57" s="19"/>
      <c r="J57" s="19"/>
      <c r="K57" s="19"/>
      <c r="L57" s="19"/>
      <c r="M57" s="20"/>
      <c r="N57" s="20"/>
      <c r="O57" s="16"/>
      <c r="P57" s="18" t="str">
        <f t="shared" si="2"/>
        <v xml:space="preserve">Belum lengkap (6)</v>
      </c>
      <c r="Q57" s="18" t="str">
        <f t="shared" si="3"/>
        <v/>
      </c>
      <c r="R57" s="18" t="str">
        <f>IF(INDEX(Korpus!$B:$B,$A57)="","",INDEX(Korpus!$B:$B,$A57))</f>
        <v xml:space="preserve">BAB VIKEWAJIBAN PENGENDALI DATA PRIBADI DAN PROSESOR DATA PRIBADI DALAM PEMROSESAN DATA PRIBADI</v>
      </c>
      <c r="S57" s="18" t="str">
        <f>IF(INDEX(Korpus!$C:$C,$A57)="","",INDEX(Korpus!$C:$C,$A57))</f>
        <v xml:space="preserve">Bagian Kedua Kewajiban Pengendali Data Pribadi</v>
      </c>
    </row>
    <row r="58" ht="60" customHeight="1">
      <c r="A58" s="16">
        <v>58</v>
      </c>
      <c r="B58" s="17" t="str">
        <f>IF(Petunjuk!$C$4="","",Petunjuk!$C$4)</f>
        <v xml:space="preserve">DENI GANTENG BANGET</v>
      </c>
      <c r="C58" s="18" t="str">
        <f>IF(INDEX(Korpus!$A:$A,$A58)="","",INDEX(Korpus!$A:$A,$A58))</f>
        <v xml:space="preserve">UU 27 Thn 2022 (PDP)</v>
      </c>
      <c r="D58" s="18" t="str">
        <f>TRIM(INDEX(Korpus!$D:$D,$A58)&amp;" "&amp;INDEX(Korpus!$E:$E,$A58))</f>
        <v xml:space="preserve">Pasal 31</v>
      </c>
      <c r="E58" s="18" t="str">
        <f>IF(INDEX(Korpus!$F:$F,$A58)="","",INDEX(Korpus!$F:$F,$A58))</f>
        <v xml:space="preserve">Pengendali Data Pribadi wajib melakukan perekaman terhadap seluruh kegiatan pemrosesan Data Pribadi.</v>
      </c>
      <c r="F58" s="19"/>
      <c r="G58" s="19"/>
      <c r="H58" s="19"/>
      <c r="I58" s="19"/>
      <c r="J58" s="19"/>
      <c r="K58" s="19"/>
      <c r="L58" s="19"/>
      <c r="M58" s="20"/>
      <c r="N58" s="20"/>
      <c r="O58" s="16"/>
      <c r="P58" s="18" t="str">
        <f t="shared" si="2"/>
        <v xml:space="preserve">Belum lengkap (6)</v>
      </c>
      <c r="Q58" s="18" t="str">
        <f t="shared" si="3"/>
        <v/>
      </c>
      <c r="R58" s="18" t="str">
        <f>IF(INDEX(Korpus!$B:$B,$A58)="","",INDEX(Korpus!$B:$B,$A58))</f>
        <v xml:space="preserve">BAB VIKEWAJIBAN PENGENDALI DATA PRIBADI DAN PROSESOR DATA PRIBADI DALAM PEMROSESAN DATA PRIBADI</v>
      </c>
      <c r="S58" s="18" t="str">
        <f>IF(INDEX(Korpus!$C:$C,$A58)="","",INDEX(Korpus!$C:$C,$A58))</f>
        <v xml:space="preserve">Bagian Kedua Kewajiban Pengendali Data Pribadi</v>
      </c>
    </row>
    <row r="59" ht="60" customHeight="1">
      <c r="A59" s="16">
        <v>59</v>
      </c>
      <c r="B59" s="17" t="str">
        <f>IF(Petunjuk!$C$4="","",Petunjuk!$C$4)</f>
        <v xml:space="preserve">DENI GANTENG BANGET</v>
      </c>
      <c r="C59" s="18" t="str">
        <f>IF(INDEX(Korpus!$A:$A,$A59)="","",INDEX(Korpus!$A:$A,$A59))</f>
        <v xml:space="preserve">UU 27 Thn 2022 (PDP)</v>
      </c>
      <c r="D59" s="18" t="str">
        <f>TRIM(INDEX(Korpus!$D:$D,$A59)&amp;" "&amp;INDEX(Korpus!$E:$E,$A59))</f>
        <v xml:space="preserve">Pasal 32</v>
      </c>
      <c r="E59" s="18" t="str">
        <f>IF(INDEX(Korpus!$F:$F,$A59)="","",INDEX(Korpus!$F:$F,$A59))</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9"/>
      <c r="G59" s="19"/>
      <c r="H59" s="19"/>
      <c r="I59" s="19"/>
      <c r="J59" s="19"/>
      <c r="K59" s="19"/>
      <c r="L59" s="19"/>
      <c r="M59" s="20"/>
      <c r="N59" s="20"/>
      <c r="O59" s="16"/>
      <c r="P59" s="18" t="str">
        <f t="shared" si="2"/>
        <v xml:space="preserve">Belum lengkap (6)</v>
      </c>
      <c r="Q59" s="18" t="str">
        <f t="shared" si="3"/>
        <v/>
      </c>
      <c r="R59" s="18" t="str">
        <f>IF(INDEX(Korpus!$B:$B,$A59)="","",INDEX(Korpus!$B:$B,$A59))</f>
        <v xml:space="preserve">BAB VIKEWAJIBAN PENGENDALI DATA PRIBADI DAN PROSESOR DATA PRIBADI DALAM PEMROSESAN DATA PRIBADI</v>
      </c>
      <c r="S59" s="18" t="str">
        <f>IF(INDEX(Korpus!$C:$C,$A59)="","",INDEX(Korpus!$C:$C,$A59))</f>
        <v xml:space="preserve">Bagian Kedua Kewajiban Pengendali Data Pribadi</v>
      </c>
    </row>
    <row r="60" ht="60" customHeight="1">
      <c r="A60" s="16">
        <v>60</v>
      </c>
      <c r="B60" s="17" t="str">
        <f>IF(Petunjuk!$C$4="","",Petunjuk!$C$4)</f>
        <v xml:space="preserve">DENI GANTENG BANGET</v>
      </c>
      <c r="C60" s="18" t="str">
        <f>IF(INDEX(Korpus!$A:$A,$A60)="","",INDEX(Korpus!$A:$A,$A60))</f>
        <v xml:space="preserve">UU 27 Thn 2022 (PDP)</v>
      </c>
      <c r="D60" s="18" t="str">
        <f>TRIM(INDEX(Korpus!$D:$D,$A60)&amp;" "&amp;INDEX(Korpus!$E:$E,$A60))</f>
        <v xml:space="preserve">Pasal 33</v>
      </c>
      <c r="E60" s="18" t="str">
        <f>IF(INDEX(Korpus!$F:$F,$A60)="","",INDEX(Korpus!$F:$F,$A60))</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9"/>
      <c r="G60" s="19"/>
      <c r="H60" s="19"/>
      <c r="I60" s="19"/>
      <c r="J60" s="19"/>
      <c r="K60" s="19"/>
      <c r="L60" s="19"/>
      <c r="M60" s="20"/>
      <c r="N60" s="20"/>
      <c r="O60" s="16"/>
      <c r="P60" s="18" t="str">
        <f t="shared" si="2"/>
        <v xml:space="preserve">Belum lengkap (6)</v>
      </c>
      <c r="Q60" s="18" t="str">
        <f t="shared" si="3"/>
        <v/>
      </c>
      <c r="R60" s="18" t="str">
        <f>IF(INDEX(Korpus!$B:$B,$A60)="","",INDEX(Korpus!$B:$B,$A60))</f>
        <v xml:space="preserve">BAB VIKEWAJIBAN PENGENDALI DATA PRIBADI DAN PROSESOR DATA PRIBADI DALAM PEMROSESAN DATA PRIBADI</v>
      </c>
      <c r="S60" s="18" t="str">
        <f>IF(INDEX(Korpus!$C:$C,$A60)="","",INDEX(Korpus!$C:$C,$A60))</f>
        <v xml:space="preserve">Bagian Kedua Kewajiban Pengendali Data Pribadi</v>
      </c>
    </row>
    <row r="61" ht="60" customHeight="1">
      <c r="A61" s="16">
        <v>61</v>
      </c>
      <c r="B61" s="17" t="str">
        <f>IF(Petunjuk!$C$4="","",Petunjuk!$C$4)</f>
        <v xml:space="preserve">DENI GANTENG BANGET</v>
      </c>
      <c r="C61" s="18" t="str">
        <f>IF(INDEX(Korpus!$A:$A,$A61)="","",INDEX(Korpus!$A:$A,$A61))</f>
        <v xml:space="preserve">UU 27 Thn 2022 (PDP)</v>
      </c>
      <c r="D61" s="18" t="str">
        <f>TRIM(INDEX(Korpus!$D:$D,$A61)&amp;" "&amp;INDEX(Korpus!$E:$E,$A61))</f>
        <v xml:space="preserve">Pasal 34</v>
      </c>
      <c r="E61" s="18" t="str">
        <f>IF(INDEX(Korpus!$F:$F,$A61)="","",INDEX(Korpus!$F:$F,$A61))</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9"/>
      <c r="G61" s="19"/>
      <c r="H61" s="19"/>
      <c r="I61" s="19"/>
      <c r="J61" s="19"/>
      <c r="K61" s="19"/>
      <c r="L61" s="19"/>
      <c r="M61" s="20"/>
      <c r="N61" s="20"/>
      <c r="O61" s="16"/>
      <c r="P61" s="18" t="str">
        <f t="shared" si="2"/>
        <v xml:space="preserve">Belum lengkap (6)</v>
      </c>
      <c r="Q61" s="18" t="str">
        <f t="shared" si="3"/>
        <v/>
      </c>
      <c r="R61" s="18" t="str">
        <f>IF(INDEX(Korpus!$B:$B,$A61)="","",INDEX(Korpus!$B:$B,$A61))</f>
        <v xml:space="preserve">BAB VIKEWAJIBAN PENGENDALI DATA PRIBADI DAN PROSESOR DATA PRIBADI DALAM PEMROSESAN DATA PRIBADI</v>
      </c>
      <c r="S61" s="18" t="str">
        <f>IF(INDEX(Korpus!$C:$C,$A61)="","",INDEX(Korpus!$C:$C,$A61))</f>
        <v xml:space="preserve">Bagian KeduaKewajiban Pengendali Data Pribadi</v>
      </c>
    </row>
    <row r="62" ht="60" customHeight="1">
      <c r="A62" s="16">
        <v>62</v>
      </c>
      <c r="B62" s="17" t="str">
        <f>IF(Petunjuk!$C$4="","",Petunjuk!$C$4)</f>
        <v xml:space="preserve">DENI GANTENG BANGET</v>
      </c>
      <c r="C62" s="18" t="str">
        <f>IF(INDEX(Korpus!$A:$A,$A62)="","",INDEX(Korpus!$A:$A,$A62))</f>
        <v xml:space="preserve">UU 27 Thn 2022 (PDP)</v>
      </c>
      <c r="D62" s="18" t="str">
        <f>TRIM(INDEX(Korpus!$D:$D,$A62)&amp;" "&amp;INDEX(Korpus!$E:$E,$A62))</f>
        <v xml:space="preserve">Pasal 35</v>
      </c>
      <c r="E62" s="18" t="str">
        <f>IF(INDEX(Korpus!$F:$F,$A62)="","",INDEX(Korpus!$F:$F,$A62))</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9"/>
      <c r="G62" s="19"/>
      <c r="H62" s="19"/>
      <c r="I62" s="19"/>
      <c r="J62" s="19"/>
      <c r="K62" s="19"/>
      <c r="L62" s="19"/>
      <c r="M62" s="20"/>
      <c r="N62" s="20"/>
      <c r="O62" s="16"/>
      <c r="P62" s="18" t="str">
        <f t="shared" si="2"/>
        <v xml:space="preserve">Belum lengkap (6)</v>
      </c>
      <c r="Q62" s="18" t="str">
        <f t="shared" si="3"/>
        <v/>
      </c>
      <c r="R62" s="18" t="str">
        <f>IF(INDEX(Korpus!$B:$B,$A62)="","",INDEX(Korpus!$B:$B,$A62))</f>
        <v xml:space="preserve">BAB VIKEWAJIBAN PENGENDALI DATA PRIBADI DAN PROSESOR DATA PRIBADI DALAM PEMROSESAN DATA PRIBADI</v>
      </c>
      <c r="S62" s="18" t="str">
        <f>IF(INDEX(Korpus!$C:$C,$A62)="","",INDEX(Korpus!$C:$C,$A62))</f>
        <v xml:space="preserve">Bagian KeduaKewajiban Pengendali Data Pribadi</v>
      </c>
    </row>
    <row r="63" ht="60" customHeight="1">
      <c r="A63" s="16">
        <v>63</v>
      </c>
      <c r="B63" s="17" t="str">
        <f>IF(Petunjuk!$C$4="","",Petunjuk!$C$4)</f>
        <v xml:space="preserve">DENI GANTENG BANGET</v>
      </c>
      <c r="C63" s="18" t="str">
        <f>IF(INDEX(Korpus!$A:$A,$A63)="","",INDEX(Korpus!$A:$A,$A63))</f>
        <v xml:space="preserve">UU 27 Thn 2022 (PDP)</v>
      </c>
      <c r="D63" s="18" t="str">
        <f>TRIM(INDEX(Korpus!$D:$D,$A63)&amp;" "&amp;INDEX(Korpus!$E:$E,$A63))</f>
        <v xml:space="preserve">Pasal 36</v>
      </c>
      <c r="E63" s="18" t="str">
        <f>IF(INDEX(Korpus!$F:$F,$A63)="","",INDEX(Korpus!$F:$F,$A63))</f>
        <v xml:space="preserve">Dalam melakukan pemrosesan Data Pribadi, Pengendali Data Pribadi wajib menjaga kerahasiaan Data Pribadi.</v>
      </c>
      <c r="F63" s="19"/>
      <c r="G63" s="19"/>
      <c r="H63" s="19"/>
      <c r="I63" s="19"/>
      <c r="J63" s="19"/>
      <c r="K63" s="19"/>
      <c r="L63" s="19"/>
      <c r="M63" s="20"/>
      <c r="N63" s="20"/>
      <c r="O63" s="16"/>
      <c r="P63" s="18" t="str">
        <f t="shared" si="2"/>
        <v xml:space="preserve">Belum lengkap (6)</v>
      </c>
      <c r="Q63" s="18" t="str">
        <f t="shared" si="3"/>
        <v/>
      </c>
      <c r="R63" s="18" t="str">
        <f>IF(INDEX(Korpus!$B:$B,$A63)="","",INDEX(Korpus!$B:$B,$A63))</f>
        <v xml:space="preserve">BAB VIKEWAJIBAN PENGENDALI DATA PRIBADI DAN PROSESOR DATA PRIBADI DALAM PEMROSESAN DATA PRIBADI</v>
      </c>
      <c r="S63" s="18" t="str">
        <f>IF(INDEX(Korpus!$C:$C,$A63)="","",INDEX(Korpus!$C:$C,$A63))</f>
        <v xml:space="preserve">Bagian KeduaKewajiban Pengendali Data Pribadi</v>
      </c>
    </row>
    <row r="64" ht="60" customHeight="1">
      <c r="A64" s="16">
        <v>64</v>
      </c>
      <c r="B64" s="17" t="str">
        <f>IF(Petunjuk!$C$4="","",Petunjuk!$C$4)</f>
        <v xml:space="preserve">DENI GANTENG BANGET</v>
      </c>
      <c r="C64" s="18" t="str">
        <f>IF(INDEX(Korpus!$A:$A,$A64)="","",INDEX(Korpus!$A:$A,$A64))</f>
        <v xml:space="preserve">UU 27 Thn 2022 (PDP)</v>
      </c>
      <c r="D64" s="18" t="str">
        <f>TRIM(INDEX(Korpus!$D:$D,$A64)&amp;" "&amp;INDEX(Korpus!$E:$E,$A64))</f>
        <v xml:space="preserve">Pasal 37</v>
      </c>
      <c r="E64" s="18" t="str">
        <f>IF(INDEX(Korpus!$F:$F,$A64)="","",INDEX(Korpus!$F:$F,$A64))</f>
        <v xml:space="preserve">Pengendali Data Pribadi wajib melakukan pengawasan terhadap setiap pihak yang terlibat dalam pemrosesan Data Pribadi di bawah kendali Pengendali Data Pribadi.</v>
      </c>
      <c r="F64" s="19"/>
      <c r="G64" s="19"/>
      <c r="H64" s="19"/>
      <c r="I64" s="19"/>
      <c r="J64" s="19"/>
      <c r="K64" s="19"/>
      <c r="L64" s="19"/>
      <c r="M64" s="20"/>
      <c r="N64" s="20"/>
      <c r="O64" s="16"/>
      <c r="P64" s="18" t="str">
        <f t="shared" si="2"/>
        <v xml:space="preserve">Belum lengkap (6)</v>
      </c>
      <c r="Q64" s="18" t="str">
        <f t="shared" si="3"/>
        <v/>
      </c>
      <c r="R64" s="18" t="str">
        <f>IF(INDEX(Korpus!$B:$B,$A64)="","",INDEX(Korpus!$B:$B,$A64))</f>
        <v xml:space="preserve">BAB VIKEWAJIBAN PENGENDALI DATA PRIBADI DAN PROSESOR DATA PRIBADI DALAM PEMROSESAN DATA PRIBADI</v>
      </c>
      <c r="S64" s="18" t="str">
        <f>IF(INDEX(Korpus!$C:$C,$A64)="","",INDEX(Korpus!$C:$C,$A64))</f>
        <v xml:space="preserve">Bagian KeduaKewajiban Pengendali Data Pribadi</v>
      </c>
    </row>
    <row r="65" ht="60" customHeight="1">
      <c r="A65" s="16">
        <v>65</v>
      </c>
      <c r="B65" s="17" t="str">
        <f>IF(Petunjuk!$C$4="","",Petunjuk!$C$4)</f>
        <v xml:space="preserve">DENI GANTENG BANGET</v>
      </c>
      <c r="C65" s="18" t="str">
        <f>IF(INDEX(Korpus!$A:$A,$A65)="","",INDEX(Korpus!$A:$A,$A65))</f>
        <v xml:space="preserve">UU 27 Thn 2022 (PDP)</v>
      </c>
      <c r="D65" s="18" t="str">
        <f>TRIM(INDEX(Korpus!$D:$D,$A65)&amp;" "&amp;INDEX(Korpus!$E:$E,$A65))</f>
        <v xml:space="preserve">Pasal 38</v>
      </c>
      <c r="E65" s="18" t="str">
        <f>IF(INDEX(Korpus!$F:$F,$A65)="","",INDEX(Korpus!$F:$F,$A65))</f>
        <v xml:space="preserve">Pengendali Data Pribadi wajib melindungi Data Pribadi dari pemrosesan yang tidak sah.</v>
      </c>
      <c r="F65" s="19"/>
      <c r="G65" s="19"/>
      <c r="H65" s="19"/>
      <c r="I65" s="19"/>
      <c r="J65" s="19"/>
      <c r="K65" s="19"/>
      <c r="L65" s="19"/>
      <c r="M65" s="20"/>
      <c r="N65" s="20"/>
      <c r="O65" s="16"/>
      <c r="P65" s="18" t="str">
        <f t="shared" si="2"/>
        <v xml:space="preserve">Belum lengkap (6)</v>
      </c>
      <c r="Q65" s="18" t="str">
        <f t="shared" si="3"/>
        <v/>
      </c>
      <c r="R65" s="18" t="str">
        <f>IF(INDEX(Korpus!$B:$B,$A65)="","",INDEX(Korpus!$B:$B,$A65))</f>
        <v xml:space="preserve">BAB VIKEWAJIBAN PENGENDALI DATA PRIBADI DAN PROSESOR DATA PRIBADI DALAM PEMROSESAN DATA PRIBADI</v>
      </c>
      <c r="S65" s="18" t="str">
        <f>IF(INDEX(Korpus!$C:$C,$A65)="","",INDEX(Korpus!$C:$C,$A65))</f>
        <v xml:space="preserve">Bagian KeduaKewajiban Pengendali Data Pribadi</v>
      </c>
    </row>
    <row r="66" ht="60" customHeight="1">
      <c r="A66" s="16">
        <v>66</v>
      </c>
      <c r="B66" s="17" t="str">
        <f>IF(Petunjuk!$C$4="","",Petunjuk!$C$4)</f>
        <v xml:space="preserve">DENI GANTENG BANGET</v>
      </c>
      <c r="C66" s="18" t="str">
        <f>IF(INDEX(Korpus!$A:$A,$A66)="","",INDEX(Korpus!$A:$A,$A66))</f>
        <v xml:space="preserve">UU 27 Thn 2022 (PDP)</v>
      </c>
      <c r="D66" s="18" t="str">
        <f>TRIM(INDEX(Korpus!$D:$D,$A66)&amp;" "&amp;INDEX(Korpus!$E:$E,$A66))</f>
        <v xml:space="preserve">Pasal 39</v>
      </c>
      <c r="E66" s="18" t="str">
        <f>IF(INDEX(Korpus!$F:$F,$A66)="","",INDEX(Korpus!$F:$F,$A66))</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9"/>
      <c r="G66" s="19"/>
      <c r="H66" s="19"/>
      <c r="I66" s="19"/>
      <c r="J66" s="19"/>
      <c r="K66" s="19"/>
      <c r="L66" s="19"/>
      <c r="M66" s="20"/>
      <c r="N66" s="20"/>
      <c r="O66" s="16"/>
      <c r="P66" s="18" t="str">
        <f t="shared" si="2"/>
        <v xml:space="preserve">Belum lengkap (6)</v>
      </c>
      <c r="Q66" s="18" t="str">
        <f t="shared" si="3"/>
        <v/>
      </c>
      <c r="R66" s="18" t="str">
        <f>IF(INDEX(Korpus!$B:$B,$A66)="","",INDEX(Korpus!$B:$B,$A66))</f>
        <v xml:space="preserve">BAB VIKEWAJIBAN PENGENDALI DATA PRIBADI DAN PROSESOR DATA PRIBADI DALAM PEMROSESAN DATA PRIBADI</v>
      </c>
      <c r="S66" s="18" t="str">
        <f>IF(INDEX(Korpus!$C:$C,$A66)="","",INDEX(Korpus!$C:$C,$A66))</f>
        <v xml:space="preserve">Bagian KeduaKewajiban Pengendali Data Pribadi</v>
      </c>
    </row>
    <row r="67" ht="60" customHeight="1">
      <c r="A67" s="16">
        <v>67</v>
      </c>
      <c r="B67" s="17" t="str">
        <f>IF(Petunjuk!$C$4="","",Petunjuk!$C$4)</f>
        <v xml:space="preserve">DENI GANTENG BANGET</v>
      </c>
      <c r="C67" s="18" t="str">
        <f>IF(INDEX(Korpus!$A:$A,$A67)="","",INDEX(Korpus!$A:$A,$A67))</f>
        <v xml:space="preserve">UU 27 Thn 2022 (PDP)</v>
      </c>
      <c r="D67" s="18" t="str">
        <f>TRIM(INDEX(Korpus!$D:$D,$A67)&amp;" "&amp;INDEX(Korpus!$E:$E,$A67))</f>
        <v xml:space="preserve">Pasal 40</v>
      </c>
      <c r="E67" s="18" t="str">
        <f>IF(INDEX(Korpus!$F:$F,$A67)="","",INDEX(Korpus!$F:$F,$A67))</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9"/>
      <c r="G67" s="19"/>
      <c r="H67" s="19"/>
      <c r="I67" s="19"/>
      <c r="J67" s="19"/>
      <c r="K67" s="19"/>
      <c r="L67" s="19"/>
      <c r="M67" s="20"/>
      <c r="N67" s="20"/>
      <c r="O67" s="16"/>
      <c r="P67" s="18" t="str">
        <f t="shared" si="2"/>
        <v xml:space="preserve">Belum lengkap (6)</v>
      </c>
      <c r="Q67" s="18" t="str">
        <f t="shared" si="3"/>
        <v/>
      </c>
      <c r="R67" s="18" t="str">
        <f>IF(INDEX(Korpus!$B:$B,$A67)="","",INDEX(Korpus!$B:$B,$A67))</f>
        <v xml:space="preserve">BAB VIKEWAJIBAN PENGENDALI DATA PRIBADI DAN PROSESOR DATA PRIBADI DALAM PEMROSESAN DATA PRIBADI</v>
      </c>
      <c r="S67" s="18" t="str">
        <f>IF(INDEX(Korpus!$C:$C,$A67)="","",INDEX(Korpus!$C:$C,$A67))</f>
        <v xml:space="preserve">Bagian KeduaKewajiban Pengendali Data Pribadi</v>
      </c>
    </row>
    <row r="68" ht="60" customHeight="1">
      <c r="A68" s="16">
        <v>68</v>
      </c>
      <c r="B68" s="17" t="str">
        <f>IF(Petunjuk!$C$4="","",Petunjuk!$C$4)</f>
        <v xml:space="preserve">DENI GANTENG BANGET</v>
      </c>
      <c r="C68" s="18" t="str">
        <f>IF(INDEX(Korpus!$A:$A,$A68)="","",INDEX(Korpus!$A:$A,$A68))</f>
        <v xml:space="preserve">UU 27 Thn 2022 (PDP)</v>
      </c>
      <c r="D68" s="18" t="str">
        <f>TRIM(INDEX(Korpus!$D:$D,$A68)&amp;" "&amp;INDEX(Korpus!$E:$E,$A68))</f>
        <v xml:space="preserve">Pasal 41</v>
      </c>
      <c r="E68" s="18" t="str">
        <f>IF(INDEX(Korpus!$F:$F,$A68)="","",INDEX(Korpus!$F:$F,$A68))</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9"/>
      <c r="G68" s="19"/>
      <c r="H68" s="19"/>
      <c r="I68" s="19"/>
      <c r="J68" s="19"/>
      <c r="K68" s="19"/>
      <c r="L68" s="19"/>
      <c r="M68" s="20"/>
      <c r="N68" s="20"/>
      <c r="O68" s="16"/>
      <c r="P68" s="18" t="str">
        <f t="shared" si="2"/>
        <v xml:space="preserve">Belum lengkap (6)</v>
      </c>
      <c r="Q68" s="18" t="str">
        <f t="shared" si="3"/>
        <v/>
      </c>
      <c r="R68" s="18" t="str">
        <f>IF(INDEX(Korpus!$B:$B,$A68)="","",INDEX(Korpus!$B:$B,$A68))</f>
        <v xml:space="preserve">BAB VIKEWAJIBAN PENGENDALI DATA PRIBADI DAN PROSESOR DATA PRIBADI DALAM PEMROSESAN DATA PRIBADI</v>
      </c>
      <c r="S68" s="18" t="str">
        <f>IF(INDEX(Korpus!$C:$C,$A68)="","",INDEX(Korpus!$C:$C,$A68))</f>
        <v xml:space="preserve">Bagian KeduaKewajiban Pengendali Data Pribadi</v>
      </c>
    </row>
    <row r="69" ht="60" customHeight="1">
      <c r="A69" s="16">
        <v>69</v>
      </c>
      <c r="B69" s="17" t="str">
        <f>IF(Petunjuk!$C$4="","",Petunjuk!$C$4)</f>
        <v xml:space="preserve">DENI GANTENG BANGET</v>
      </c>
      <c r="C69" s="18" t="str">
        <f>IF(INDEX(Korpus!$A:$A,$A69)="","",INDEX(Korpus!$A:$A,$A69))</f>
        <v xml:space="preserve">UU 27 Thn 2022 (PDP)</v>
      </c>
      <c r="D69" s="18" t="str">
        <f>TRIM(INDEX(Korpus!$D:$D,$A69)&amp;" "&amp;INDEX(Korpus!$E:$E,$A69))</f>
        <v xml:space="preserve">Pasal 42</v>
      </c>
      <c r="E69" s="18" t="str">
        <f>IF(INDEX(Korpus!$F:$F,$A69)="","",INDEX(Korpus!$F:$F,$A69))</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9"/>
      <c r="G69" s="19"/>
      <c r="H69" s="19"/>
      <c r="I69" s="19"/>
      <c r="J69" s="19"/>
      <c r="K69" s="19"/>
      <c r="L69" s="19"/>
      <c r="M69" s="20"/>
      <c r="N69" s="20"/>
      <c r="O69" s="16"/>
      <c r="P69" s="18" t="str">
        <f t="shared" si="2"/>
        <v xml:space="preserve">Belum lengkap (6)</v>
      </c>
      <c r="Q69" s="18" t="str">
        <f t="shared" si="3"/>
        <v/>
      </c>
      <c r="R69" s="18" t="str">
        <f>IF(INDEX(Korpus!$B:$B,$A69)="","",INDEX(Korpus!$B:$B,$A69))</f>
        <v xml:space="preserve">BAB VIKEWAJIBAN PENGENDALI DATA PRIBADI DAN PROSESOR DATA PRIBADI DALAM PEMROSESAN DATA PRIBADI</v>
      </c>
      <c r="S69" s="18" t="str">
        <f>IF(INDEX(Korpus!$C:$C,$A69)="","",INDEX(Korpus!$C:$C,$A69))</f>
        <v xml:space="preserve">Bagian KeduaKewajiban Pengendali Data Pribadi</v>
      </c>
    </row>
    <row r="70" ht="60" customHeight="1">
      <c r="A70" s="16">
        <v>70</v>
      </c>
      <c r="B70" s="17" t="str">
        <f>IF(Petunjuk!$C$4="","",Petunjuk!$C$4)</f>
        <v xml:space="preserve">DENI GANTENG BANGET</v>
      </c>
      <c r="C70" s="18" t="str">
        <f>IF(INDEX(Korpus!$A:$A,$A70)="","",INDEX(Korpus!$A:$A,$A70))</f>
        <v xml:space="preserve">UU 27 Thn 2022 (PDP)</v>
      </c>
      <c r="D70" s="18" t="str">
        <f>TRIM(INDEX(Korpus!$D:$D,$A70)&amp;" "&amp;INDEX(Korpus!$E:$E,$A70))</f>
        <v xml:space="preserve">Pasal 43</v>
      </c>
      <c r="E70" s="18" t="str">
        <f>IF(INDEX(Korpus!$F:$F,$A70)="","",INDEX(Korpus!$F:$F,$A70))</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21" t="s">
        <v>84</v>
      </c>
      <c r="G70" s="21" t="s">
        <v>63</v>
      </c>
      <c r="H70" s="21" t="s">
        <v>90</v>
      </c>
      <c r="I70" s="21" t="s">
        <v>83</v>
      </c>
      <c r="J70" s="21" t="s">
        <v>91</v>
      </c>
      <c r="K70" s="21" t="s">
        <v>67</v>
      </c>
      <c r="L70" s="21"/>
      <c r="M70" s="20"/>
      <c r="N70" s="20"/>
      <c r="O70" s="16" t="s">
        <v>68</v>
      </c>
      <c r="P70" s="18" t="str">
        <f t="shared" si="2"/>
        <v>Lengkap</v>
      </c>
      <c r="Q70" s="18" t="str">
        <f t="shared" si="3"/>
        <v>OK</v>
      </c>
      <c r="R70" s="18" t="str">
        <f>IF(INDEX(Korpus!$B:$B,$A70)="","",INDEX(Korpus!$B:$B,$A70))</f>
        <v xml:space="preserve">BAB VIKEWAJIBAN PENGENDALI DATA PRIBADI DAN PROSESOR DATA PRIBADI DALAM PEMROSESAN DATA PRIBADI</v>
      </c>
      <c r="S70" s="18" t="str">
        <f>IF(INDEX(Korpus!$C:$C,$A70)="","",INDEX(Korpus!$C:$C,$A70))</f>
        <v xml:space="preserve">Bagian KeduaKewajiban Pengendali Data Pribadi</v>
      </c>
    </row>
    <row r="71" ht="60" customHeight="1">
      <c r="A71" s="16">
        <v>71</v>
      </c>
      <c r="B71" s="17" t="str">
        <f>IF(Petunjuk!$C$4="","",Petunjuk!$C$4)</f>
        <v xml:space="preserve">DENI GANTENG BANGET</v>
      </c>
      <c r="C71" s="18" t="str">
        <f>IF(INDEX(Korpus!$A:$A,$A71)="","",INDEX(Korpus!$A:$A,$A71))</f>
        <v xml:space="preserve">UU 27 Thn 2022 (PDP)</v>
      </c>
      <c r="D71" s="18" t="str">
        <f>TRIM(INDEX(Korpus!$D:$D,$A71)&amp;" "&amp;INDEX(Korpus!$E:$E,$A71))</f>
        <v xml:space="preserve">Pasal 44</v>
      </c>
      <c r="E71" s="18" t="str">
        <f>IF(INDEX(Korpus!$F:$F,$A71)="","",INDEX(Korpus!$F:$F,$A71))</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9"/>
      <c r="G71" s="19"/>
      <c r="H71" s="19"/>
      <c r="I71" s="19"/>
      <c r="J71" s="19"/>
      <c r="K71" s="19"/>
      <c r="L71" s="19"/>
      <c r="M71" s="20"/>
      <c r="N71" s="20"/>
      <c r="O71" s="16"/>
      <c r="P71" s="18" t="str">
        <f t="shared" si="2"/>
        <v xml:space="preserve">Belum lengkap (6)</v>
      </c>
      <c r="Q71" s="18" t="str">
        <f t="shared" si="3"/>
        <v/>
      </c>
      <c r="R71" s="18" t="str">
        <f>IF(INDEX(Korpus!$B:$B,$A71)="","",INDEX(Korpus!$B:$B,$A71))</f>
        <v xml:space="preserve">BAB VIKEWAJIBAN PENGENDALI DATA PRIBADI DAN PROSESOR DATA PRIBADI DALAM PEMROSESAN DATA PRIBADI</v>
      </c>
      <c r="S71" s="18" t="str">
        <f>IF(INDEX(Korpus!$C:$C,$A71)="","",INDEX(Korpus!$C:$C,$A71))</f>
        <v xml:space="preserve">Bagian KeduaKewajiban Pengendali Data Pribadi</v>
      </c>
    </row>
    <row r="72" ht="60" customHeight="1">
      <c r="A72" s="16">
        <v>72</v>
      </c>
      <c r="B72" s="17" t="str">
        <f>IF(Petunjuk!$C$4="","",Petunjuk!$C$4)</f>
        <v xml:space="preserve">DENI GANTENG BANGET</v>
      </c>
      <c r="C72" s="18" t="str">
        <f>IF(INDEX(Korpus!$A:$A,$A72)="","",INDEX(Korpus!$A:$A,$A72))</f>
        <v xml:space="preserve">UU 27 Thn 2022 (PDP)</v>
      </c>
      <c r="D72" s="18" t="str">
        <f>TRIM(INDEX(Korpus!$D:$D,$A72)&amp;" "&amp;INDEX(Korpus!$E:$E,$A72))</f>
        <v xml:space="preserve">Pasal 45</v>
      </c>
      <c r="E72" s="18" t="str">
        <f>IF(INDEX(Korpus!$F:$F,$A72)="","",INDEX(Korpus!$F:$F,$A72))</f>
        <v xml:space="preserve">Pengendali Data Pribadi wajib memberitahukan penghapusan dan/atau pemusnahan Data Pribadi kepada Subjek Data Pribadi.</v>
      </c>
      <c r="F72" s="19"/>
      <c r="G72" s="19"/>
      <c r="H72" s="19"/>
      <c r="I72" s="19"/>
      <c r="J72" s="19"/>
      <c r="K72" s="19"/>
      <c r="L72" s="19"/>
      <c r="M72" s="20"/>
      <c r="N72" s="20"/>
      <c r="O72" s="16"/>
      <c r="P72" s="18" t="str">
        <f t="shared" si="2"/>
        <v xml:space="preserve">Belum lengkap (6)</v>
      </c>
      <c r="Q72" s="18" t="str">
        <f t="shared" si="3"/>
        <v/>
      </c>
      <c r="R72" s="18" t="str">
        <f>IF(INDEX(Korpus!$B:$B,$A72)="","",INDEX(Korpus!$B:$B,$A72))</f>
        <v xml:space="preserve">BAB VIKEWAJIBAN PENGENDALI DATA PRIBADI DAN PROSESOR DATA PRIBADI DALAM PEMROSESAN DATA PRIBADI</v>
      </c>
      <c r="S72" s="18" t="str">
        <f>IF(INDEX(Korpus!$C:$C,$A72)="","",INDEX(Korpus!$C:$C,$A72))</f>
        <v xml:space="preserve">Bagian KeduaKewajiban Pengendali Data Pribadi</v>
      </c>
    </row>
    <row r="73" ht="60" customHeight="1">
      <c r="A73" s="16">
        <v>73</v>
      </c>
      <c r="B73" s="17" t="str">
        <f>IF(Petunjuk!$C$4="","",Petunjuk!$C$4)</f>
        <v xml:space="preserve">DENI GANTENG BANGET</v>
      </c>
      <c r="C73" s="18" t="str">
        <f>IF(INDEX(Korpus!$A:$A,$A73)="","",INDEX(Korpus!$A:$A,$A73))</f>
        <v xml:space="preserve">UU 27 Thn 2022 (PDP)</v>
      </c>
      <c r="D73" s="18" t="str">
        <f>TRIM(INDEX(Korpus!$D:$D,$A73)&amp;" "&amp;INDEX(Korpus!$E:$E,$A73))</f>
        <v xml:space="preserve">Pasal 46</v>
      </c>
      <c r="E73" s="18" t="str">
        <f>IF(INDEX(Korpus!$F:$F,$A73)="","",INDEX(Korpus!$F:$F,$A73))</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9"/>
      <c r="G73" s="19"/>
      <c r="H73" s="19"/>
      <c r="I73" s="19"/>
      <c r="J73" s="19"/>
      <c r="K73" s="19"/>
      <c r="L73" s="19"/>
      <c r="M73" s="20"/>
      <c r="N73" s="20"/>
      <c r="O73" s="16"/>
      <c r="P73" s="18" t="str">
        <f t="shared" si="2"/>
        <v xml:space="preserve">Belum lengkap (6)</v>
      </c>
      <c r="Q73" s="18" t="str">
        <f t="shared" si="3"/>
        <v/>
      </c>
      <c r="R73" s="18" t="str">
        <f>IF(INDEX(Korpus!$B:$B,$A73)="","",INDEX(Korpus!$B:$B,$A73))</f>
        <v xml:space="preserve">BAB VIKEWAJIBAN PENGENDALI DATA PRIBADI DAN PROSESOR DATA PRIBADI DALAM PEMROSESAN DATA PRIBADI</v>
      </c>
      <c r="S73" s="18" t="str">
        <f>IF(INDEX(Korpus!$C:$C,$A73)="","",INDEX(Korpus!$C:$C,$A73))</f>
        <v xml:space="preserve">Bagian KeduaKewajiban Pengendali Data Pribadi</v>
      </c>
    </row>
    <row r="74" ht="60" customHeight="1">
      <c r="A74" s="16">
        <v>74</v>
      </c>
      <c r="B74" s="17" t="str">
        <f>IF(Petunjuk!$C$4="","",Petunjuk!$C$4)</f>
        <v xml:space="preserve">DENI GANTENG BANGET</v>
      </c>
      <c r="C74" s="18" t="str">
        <f>IF(INDEX(Korpus!$A:$A,$A74)="","",INDEX(Korpus!$A:$A,$A74))</f>
        <v xml:space="preserve">UU 27 Thn 2022 (PDP)</v>
      </c>
      <c r="D74" s="18" t="str">
        <f>TRIM(INDEX(Korpus!$D:$D,$A74)&amp;" "&amp;INDEX(Korpus!$E:$E,$A74))</f>
        <v xml:space="preserve">Pasal 47</v>
      </c>
      <c r="E74" s="18" t="str">
        <f>IF(INDEX(Korpus!$F:$F,$A74)="","",INDEX(Korpus!$F:$F,$A74))</f>
        <v xml:space="preserve">Pengendali Data Pribadi wajib bertanggung jawab atas pemrosesan Data Pribadi dan menunjukkan pertanggungjawaban dalam pemenuhan kewajiban pelaksanaan prinsip Pelindungan Data Pribadi.</v>
      </c>
      <c r="F74" s="19"/>
      <c r="G74" s="19"/>
      <c r="H74" s="19"/>
      <c r="I74" s="19"/>
      <c r="J74" s="19"/>
      <c r="K74" s="19"/>
      <c r="L74" s="19"/>
      <c r="M74" s="20"/>
      <c r="N74" s="20"/>
      <c r="O74" s="16"/>
      <c r="P74" s="18" t="str">
        <f t="shared" ref="P74:P86" si="4">IF(COUNTA(F74:K74)=6,"Lengkap","Belum lengkap ("&amp;(6-COUNTA(F74:K74))&amp;")")</f>
        <v xml:space="preserve">Belum lengkap (6)</v>
      </c>
      <c r="Q74" s="18" t="str">
        <f t="shared" ref="Q74:Q86" si="5">IF(COUNTA(F74:K74)&lt;6,"",IF(IF(AND(G74="R0",K74&lt;&gt;"K5"),"R0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","")="","OK",IF(AND(G74="R0",K74&lt;&gt;"K5"),"R0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f>
        <v/>
      </c>
      <c r="R74" s="18" t="str">
        <f>IF(INDEX(Korpus!$B:$B,$A74)="","",INDEX(Korpus!$B:$B,$A74))</f>
        <v xml:space="preserve">BAB VIKEWAJIBAN PENGENDALI DATA PRIBADI DAN PROSESOR DATA PRIBADI DALAM PEMROSESAN DATA PRIBADI</v>
      </c>
      <c r="S74" s="18" t="str">
        <f>IF(INDEX(Korpus!$C:$C,$A74)="","",INDEX(Korpus!$C:$C,$A74))</f>
        <v xml:space="preserve">Bagian KeduaKewajiban Pengendali Data Pribadi</v>
      </c>
    </row>
    <row r="75" ht="60" customHeight="1">
      <c r="A75" s="16">
        <v>75</v>
      </c>
      <c r="B75" s="17" t="str">
        <f>IF(Petunjuk!$C$4="","",Petunjuk!$C$4)</f>
        <v xml:space="preserve">DENI GANTENG BANGET</v>
      </c>
      <c r="C75" s="18" t="str">
        <f>IF(INDEX(Korpus!$A:$A,$A75)="","",INDEX(Korpus!$A:$A,$A75))</f>
        <v xml:space="preserve">UU 27 Thn 2022 (PDP)</v>
      </c>
      <c r="D75" s="18" t="str">
        <f>TRIM(INDEX(Korpus!$D:$D,$A75)&amp;" "&amp;INDEX(Korpus!$E:$E,$A75))</f>
        <v xml:space="preserve">Pasal 48</v>
      </c>
      <c r="E75" s="18" t="str">
        <f>IF(INDEX(Korpus!$F:$F,$A75)="","",INDEX(Korpus!$F:$F,$A75))</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9"/>
      <c r="G75" s="19"/>
      <c r="H75" s="19"/>
      <c r="I75" s="19"/>
      <c r="J75" s="19"/>
      <c r="K75" s="19"/>
      <c r="L75" s="19"/>
      <c r="M75" s="20"/>
      <c r="N75" s="20"/>
      <c r="O75" s="16"/>
      <c r="P75" s="18" t="str">
        <f t="shared" si="4"/>
        <v xml:space="preserve">Belum lengkap (6)</v>
      </c>
      <c r="Q75" s="18" t="str">
        <f t="shared" si="5"/>
        <v/>
      </c>
      <c r="R75" s="18" t="str">
        <f>IF(INDEX(Korpus!$B:$B,$A75)="","",INDEX(Korpus!$B:$B,$A75))</f>
        <v xml:space="preserve">BAB VIKEWAJIBAN PENGENDALI DATA PRIBADI DAN PROSESOR DATA PRIBADI DALAM PEMROSESAN DATA PRIBADI</v>
      </c>
      <c r="S75" s="18" t="str">
        <f>IF(INDEX(Korpus!$C:$C,$A75)="","",INDEX(Korpus!$C:$C,$A75))</f>
        <v xml:space="preserve">Bagian KeduaKewajiban Pengendali Data Pribadi</v>
      </c>
    </row>
    <row r="76" ht="60" customHeight="1">
      <c r="A76" s="16">
        <v>76</v>
      </c>
      <c r="B76" s="17" t="str">
        <f>IF(Petunjuk!$C$4="","",Petunjuk!$C$4)</f>
        <v xml:space="preserve">DENI GANTENG BANGET</v>
      </c>
      <c r="C76" s="18" t="str">
        <f>IF(INDEX(Korpus!$A:$A,$A76)="","",INDEX(Korpus!$A:$A,$A76))</f>
        <v xml:space="preserve">UU 27 Thn 2022 (PDP)</v>
      </c>
      <c r="D76" s="18" t="str">
        <f>TRIM(INDEX(Korpus!$D:$D,$A76)&amp;" "&amp;INDEX(Korpus!$E:$E,$A76))</f>
        <v xml:space="preserve">Pasal 49</v>
      </c>
      <c r="E76" s="18" t="str">
        <f>IF(INDEX(Korpus!$F:$F,$A76)="","",INDEX(Korpus!$F:$F,$A76))</f>
        <v xml:space="preserve">Pengendali Data Pribadi dan/ atau Prosesor Data Pribadi wajib melaksanakan perintah lembaga dalam rangka penyelenggaraan Pelindungan Data Pribadi sesuai dengan Undang-Undang ini.</v>
      </c>
      <c r="F76" s="19"/>
      <c r="G76" s="19"/>
      <c r="H76" s="19"/>
      <c r="I76" s="19"/>
      <c r="J76" s="19"/>
      <c r="K76" s="19"/>
      <c r="L76" s="19"/>
      <c r="M76" s="20"/>
      <c r="N76" s="20"/>
      <c r="O76" s="16"/>
      <c r="P76" s="18" t="str">
        <f t="shared" si="4"/>
        <v xml:space="preserve">Belum lengkap (6)</v>
      </c>
      <c r="Q76" s="18" t="str">
        <f t="shared" si="5"/>
        <v/>
      </c>
      <c r="R76" s="18" t="str">
        <f>IF(INDEX(Korpus!$B:$B,$A76)="","",INDEX(Korpus!$B:$B,$A76))</f>
        <v xml:space="preserve">BAB VIKEWAJIBAN PENGENDALI DATA PRIBADI DAN PROSESOR DATA PRIBADI DALAM PEMROSESAN DATA PRIBADI</v>
      </c>
      <c r="S76" s="18" t="str">
        <f>IF(INDEX(Korpus!$C:$C,$A76)="","",INDEX(Korpus!$C:$C,$A76))</f>
        <v xml:space="preserve">Bagian KeduaKewajiban Pengendali Data Pribadi</v>
      </c>
    </row>
    <row r="77" ht="60" customHeight="1">
      <c r="A77" s="16">
        <v>77</v>
      </c>
      <c r="B77" s="17" t="str">
        <f>IF(Petunjuk!$C$4="","",Petunjuk!$C$4)</f>
        <v xml:space="preserve">DENI GANTENG BANGET</v>
      </c>
      <c r="C77" s="18" t="str">
        <f>IF(INDEX(Korpus!$A:$A,$A77)="","",INDEX(Korpus!$A:$A,$A77))</f>
        <v xml:space="preserve">UU 27 Thn 2022 (PDP)</v>
      </c>
      <c r="D77" s="18" t="str">
        <f>TRIM(INDEX(Korpus!$D:$D,$A77)&amp;" "&amp;INDEX(Korpus!$E:$E,$A77))</f>
        <v xml:space="preserve">Pasal 50</v>
      </c>
      <c r="E77" s="18" t="str">
        <f>IF(INDEX(Korpus!$F:$F,$A77)="","",INDEX(Korpus!$F:$F,$A77))</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9"/>
      <c r="G77" s="19"/>
      <c r="H77" s="19"/>
      <c r="I77" s="19"/>
      <c r="J77" s="19"/>
      <c r="K77" s="19"/>
      <c r="L77" s="19"/>
      <c r="M77" s="20"/>
      <c r="N77" s="20"/>
      <c r="O77" s="16"/>
      <c r="P77" s="18" t="str">
        <f t="shared" si="4"/>
        <v xml:space="preserve">Belum lengkap (6)</v>
      </c>
      <c r="Q77" s="18" t="str">
        <f t="shared" si="5"/>
        <v/>
      </c>
      <c r="R77" s="18" t="str">
        <f>IF(INDEX(Korpus!$B:$B,$A77)="","",INDEX(Korpus!$B:$B,$A77))</f>
        <v xml:space="preserve">BAB VIKEWAJIBAN PENGENDALI DATA PRIBADI DAN PROSESOR DATA PRIBADI DALAM PEMROSESAN DATA PRIBADI</v>
      </c>
      <c r="S77" s="18" t="str">
        <f>IF(INDEX(Korpus!$C:$C,$A77)="","",INDEX(Korpus!$C:$C,$A77))</f>
        <v xml:space="preserve">Bagian KeduaKewajiban Pengendali Data Pribadi</v>
      </c>
    </row>
    <row r="78" ht="60" customHeight="1">
      <c r="A78" s="16">
        <v>78</v>
      </c>
      <c r="B78" s="17" t="str">
        <f>IF(Petunjuk!$C$4="","",Petunjuk!$C$4)</f>
        <v xml:space="preserve">DENI GANTENG BANGET</v>
      </c>
      <c r="C78" s="18" t="str">
        <f>IF(INDEX(Korpus!$A:$A,$A78)="","",INDEX(Korpus!$A:$A,$A78))</f>
        <v xml:space="preserve">UU 27 Thn 2022 (PDP)</v>
      </c>
      <c r="D78" s="18" t="str">
        <f>TRIM(INDEX(Korpus!$D:$D,$A78)&amp;" "&amp;INDEX(Korpus!$E:$E,$A78))</f>
        <v xml:space="preserve">Pasal 51</v>
      </c>
      <c r="E78" s="18" t="str">
        <f>IF(INDEX(Korpus!$F:$F,$A78)="","",INDEX(Korpus!$F:$F,$A78))</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9"/>
      <c r="G78" s="19"/>
      <c r="H78" s="19"/>
      <c r="I78" s="19"/>
      <c r="J78" s="19"/>
      <c r="K78" s="19"/>
      <c r="L78" s="19"/>
      <c r="M78" s="20"/>
      <c r="N78" s="20"/>
      <c r="O78" s="16"/>
      <c r="P78" s="18" t="str">
        <f t="shared" si="4"/>
        <v xml:space="preserve">Belum lengkap (6)</v>
      </c>
      <c r="Q78" s="18" t="str">
        <f t="shared" si="5"/>
        <v/>
      </c>
      <c r="R78" s="18" t="str">
        <f>IF(INDEX(Korpus!$B:$B,$A78)="","",INDEX(Korpus!$B:$B,$A78))</f>
        <v xml:space="preserve">BAB VIKEWAJIBAN PENGENDALI DATA PRIBADI DAN PROSESOR DATA PRIBADI DALAM PEMROSESAN DATA PRIBADI</v>
      </c>
      <c r="S78" s="18" t="str">
        <f>IF(INDEX(Korpus!$C:$C,$A78)="","",INDEX(Korpus!$C:$C,$A78))</f>
        <v xml:space="preserve">Bagian KetigaKewajiban Prosesor Data Pribadi</v>
      </c>
    </row>
    <row r="79" ht="60" customHeight="1">
      <c r="A79" s="16">
        <v>79</v>
      </c>
      <c r="B79" s="17" t="str">
        <f>IF(Petunjuk!$C$4="","",Petunjuk!$C$4)</f>
        <v xml:space="preserve">DENI GANTENG BANGET</v>
      </c>
      <c r="C79" s="18" t="str">
        <f>IF(INDEX(Korpus!$A:$A,$A79)="","",INDEX(Korpus!$A:$A,$A79))</f>
        <v xml:space="preserve">UU 27 Thn 2022 (PDP)</v>
      </c>
      <c r="D79" s="18" t="str">
        <f>TRIM(INDEX(Korpus!$D:$D,$A79)&amp;" "&amp;INDEX(Korpus!$E:$E,$A79))</f>
        <v xml:space="preserve">Pasal 52</v>
      </c>
      <c r="E79" s="18" t="str">
        <f>IF(INDEX(Korpus!$F:$F,$A79)="","",INDEX(Korpus!$F:$F,$A79))</f>
        <v xml:space="preserve">Ketentuan mengenai kewajiban Pengendali Data Pribadi sebagaimana dimaksud dalam Pasal 29, Pasal 31, Pasal 35, Pasal 36, Pasal 37, Pasal 38, dan Pasal 39 berlaku juga terhadap Prosesor Data Pribadi.</v>
      </c>
      <c r="F79" s="21" t="s">
        <v>92</v>
      </c>
      <c r="G79" s="21" t="s">
        <v>63</v>
      </c>
      <c r="H79" s="21" t="s">
        <v>85</v>
      </c>
      <c r="I79" s="21" t="s">
        <v>83</v>
      </c>
      <c r="J79" s="21" t="s">
        <v>79</v>
      </c>
      <c r="K79" s="21" t="s">
        <v>89</v>
      </c>
      <c r="L79" s="21"/>
      <c r="M79" s="20"/>
      <c r="N79" s="20"/>
      <c r="O79" s="16" t="s">
        <v>68</v>
      </c>
      <c r="P79" s="18" t="str">
        <f t="shared" si="4"/>
        <v>Lengkap</v>
      </c>
      <c r="Q79" s="18" t="str">
        <f t="shared" si="5"/>
        <v>OK</v>
      </c>
      <c r="R79" s="18" t="str">
        <f>IF(INDEX(Korpus!$B:$B,$A79)="","",INDEX(Korpus!$B:$B,$A79))</f>
        <v xml:space="preserve">BAB VIKEWAJIBAN PENGENDALI DATA PRIBADI DAN PROSESOR DATA PRIBADI DALAM PEMROSESAN DATA PRIBADI</v>
      </c>
      <c r="S79" s="18" t="str">
        <f>IF(INDEX(Korpus!$C:$C,$A79)="","",INDEX(Korpus!$C:$C,$A79))</f>
        <v xml:space="preserve">Bagian KetigaKewajiban Prosesor Data Pribadi</v>
      </c>
    </row>
    <row r="80" ht="60" customHeight="1">
      <c r="A80" s="16">
        <v>80</v>
      </c>
      <c r="B80" s="17" t="str">
        <f>IF(Petunjuk!$C$4="","",Petunjuk!$C$4)</f>
        <v xml:space="preserve">DENI GANTENG BANGET</v>
      </c>
      <c r="C80" s="18" t="str">
        <f>IF(INDEX(Korpus!$A:$A,$A80)="","",INDEX(Korpus!$A:$A,$A80))</f>
        <v xml:space="preserve">UU 27 Thn 2022 (PDP)</v>
      </c>
      <c r="D80" s="18" t="str">
        <f>TRIM(INDEX(Korpus!$D:$D,$A80)&amp;" "&amp;INDEX(Korpus!$E:$E,$A80))</f>
        <v xml:space="preserve">Pasal 53</v>
      </c>
      <c r="E80" s="18" t="str">
        <f>IF(INDEX(Korpus!$F:$F,$A80)="","",INDEX(Korpus!$F:$F,$A80))</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9"/>
      <c r="G80" s="19"/>
      <c r="H80" s="19"/>
      <c r="I80" s="19"/>
      <c r="J80" s="19"/>
      <c r="K80" s="19"/>
      <c r="L80" s="19"/>
      <c r="M80" s="20"/>
      <c r="N80" s="20"/>
      <c r="O80" s="16"/>
      <c r="P80" s="18" t="str">
        <f t="shared" si="4"/>
        <v xml:space="preserve">Belum lengkap (6)</v>
      </c>
      <c r="Q80" s="18" t="str">
        <f t="shared" si="5"/>
        <v/>
      </c>
      <c r="R80" s="18" t="str">
        <f>IF(INDEX(Korpus!$B:$B,$A80)="","",INDEX(Korpus!$B:$B,$A80))</f>
        <v xml:space="preserve">BAB VIKEWAJIBAN PENGENDALI DATA PRIBADI DAN PROSESOR DATA PRIBADI DALAM PEMROSESAN DATA PRIBADI</v>
      </c>
      <c r="S80" s="18" t="str">
        <f>IF(INDEX(Korpus!$C:$C,$A80)="","",INDEX(Korpus!$C:$C,$A80))</f>
        <v xml:space="preserve">Bagian KeempatPejabat atau Petugas yang Melaksanakan Fungsi Pelindungan Data Pribadi</v>
      </c>
    </row>
    <row r="81" ht="60" customHeight="1">
      <c r="A81" s="16">
        <v>81</v>
      </c>
      <c r="B81" s="17" t="str">
        <f>IF(Petunjuk!$C$4="","",Petunjuk!$C$4)</f>
        <v xml:space="preserve">DENI GANTENG BANGET</v>
      </c>
      <c r="C81" s="18" t="str">
        <f>IF(INDEX(Korpus!$A:$A,$A81)="","",INDEX(Korpus!$A:$A,$A81))</f>
        <v xml:space="preserve">UU 27 Thn 2022 (PDP)</v>
      </c>
      <c r="D81" s="18" t="str">
        <f>TRIM(INDEX(Korpus!$D:$D,$A81)&amp;" "&amp;INDEX(Korpus!$E:$E,$A81))</f>
        <v xml:space="preserve">Pasal 55</v>
      </c>
      <c r="E81" s="18" t="str">
        <f>IF(INDEX(Korpus!$F:$F,$A81)="","",INDEX(Korpus!$F:$F,$A81))</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21" t="s">
        <v>84</v>
      </c>
      <c r="G81" s="21" t="s">
        <v>63</v>
      </c>
      <c r="H81" s="21" t="s">
        <v>93</v>
      </c>
      <c r="I81" s="21" t="s">
        <v>78</v>
      </c>
      <c r="J81" s="21" t="s">
        <v>94</v>
      </c>
      <c r="K81" s="21"/>
      <c r="L81" s="21"/>
      <c r="M81" s="20"/>
      <c r="N81" s="20"/>
      <c r="O81" s="16" t="s">
        <v>68</v>
      </c>
      <c r="P81" s="18" t="str">
        <f t="shared" si="4"/>
        <v xml:space="preserve">Belum lengkap (1)</v>
      </c>
      <c r="Q81" s="18" t="str">
        <f t="shared" si="5"/>
        <v/>
      </c>
      <c r="R81" s="18" t="str">
        <f>IF(INDEX(Korpus!$B:$B,$A81)="","",INDEX(Korpus!$B:$B,$A81))</f>
        <v xml:space="preserve">BAB VII TRANSFER DATA PRIBADI</v>
      </c>
      <c r="S81" s="18" t="str">
        <f>IF(INDEX(Korpus!$C:$C,$A81)="","",INDEX(Korpus!$C:$C,$A81))</f>
        <v xml:space="preserve">Bagian KesatuTransfer Data Pribadi Dalam Wilayah Hukum Negara Republik Indonesia</v>
      </c>
    </row>
    <row r="82" ht="60" customHeight="1">
      <c r="A82" s="16">
        <v>82</v>
      </c>
      <c r="B82" s="17" t="str">
        <f>IF(Petunjuk!$C$4="","",Petunjuk!$C$4)</f>
        <v xml:space="preserve">DENI GANTENG BANGET</v>
      </c>
      <c r="C82" s="18" t="str">
        <f>IF(INDEX(Korpus!$A:$A,$A82)="","",INDEX(Korpus!$A:$A,$A82))</f>
        <v xml:space="preserve">UU 27 Thn 2022 (PDP)</v>
      </c>
      <c r="D82" s="18" t="str">
        <f>TRIM(INDEX(Korpus!$D:$D,$A82)&amp;" "&amp;INDEX(Korpus!$E:$E,$A82))</f>
        <v xml:space="preserve">Pasal 56</v>
      </c>
      <c r="E82" s="18" t="str">
        <f>IF(INDEX(Korpus!$F:$F,$A82)="","",INDEX(Korpus!$F:$F,$A82))</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9"/>
      <c r="G82" s="19"/>
      <c r="H82" s="19"/>
      <c r="I82" s="19"/>
      <c r="J82" s="19"/>
      <c r="K82" s="19"/>
      <c r="L82" s="19"/>
      <c r="M82" s="20"/>
      <c r="N82" s="20"/>
      <c r="O82" s="16"/>
      <c r="P82" s="18" t="str">
        <f t="shared" si="4"/>
        <v xml:space="preserve">Belum lengkap (6)</v>
      </c>
      <c r="Q82" s="18" t="str">
        <f t="shared" si="5"/>
        <v/>
      </c>
      <c r="R82" s="18" t="str">
        <f>IF(INDEX(Korpus!$B:$B,$A82)="","",INDEX(Korpus!$B:$B,$A82))</f>
        <v xml:space="preserve">BAB VII TRANSFER DATA PRIBADI</v>
      </c>
      <c r="S82" s="18" t="str">
        <f>IF(INDEX(Korpus!$C:$C,$A82)="","",INDEX(Korpus!$C:$C,$A82))</f>
        <v xml:space="preserve">Bagian Kedua</v>
      </c>
    </row>
    <row r="83" ht="60" customHeight="1">
      <c r="A83" s="16">
        <v>83</v>
      </c>
      <c r="B83" s="17" t="str">
        <f>IF(Petunjuk!$C$4="","",Petunjuk!$C$4)</f>
        <v xml:space="preserve">DENI GANTENG BANGET</v>
      </c>
      <c r="C83" s="18" t="str">
        <f>IF(INDEX(Korpus!$A:$A,$A83)="","",INDEX(Korpus!$A:$A,$A83))</f>
        <v xml:space="preserve">UU 27 Thn 2022 (PDP)</v>
      </c>
      <c r="D83" s="18" t="str">
        <f>TRIM(INDEX(Korpus!$D:$D,$A83)&amp;" "&amp;INDEX(Korpus!$E:$E,$A83))</f>
        <v xml:space="preserve">Pasal 65</v>
      </c>
      <c r="E83" s="18" t="str">
        <f>IF(INDEX(Korpus!$F:$F,$A83)="","",INDEX(Korpus!$F:$F,$A83))</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9"/>
      <c r="G83" s="19"/>
      <c r="H83" s="19"/>
      <c r="I83" s="19"/>
      <c r="J83" s="19"/>
      <c r="K83" s="19"/>
      <c r="L83" s="19"/>
      <c r="M83" s="20"/>
      <c r="N83" s="20"/>
      <c r="O83" s="16"/>
      <c r="P83" s="18" t="str">
        <f t="shared" si="4"/>
        <v xml:space="preserve">Belum lengkap (6)</v>
      </c>
      <c r="Q83" s="18" t="str">
        <f t="shared" si="5"/>
        <v/>
      </c>
      <c r="R83" s="18" t="str">
        <f>IF(INDEX(Korpus!$B:$B,$A83)="","",INDEX(Korpus!$B:$B,$A83))</f>
        <v xml:space="preserve">BAB XIIILARANGAN DALAM PENGGUNAAN DATA PRIBADI</v>
      </c>
      <c r="S83" s="18" t="str">
        <f>IF(INDEX(Korpus!$C:$C,$A83)="","",INDEX(Korpus!$C:$C,$A83))</f>
        <v/>
      </c>
    </row>
    <row r="84" ht="60" customHeight="1">
      <c r="A84" s="16">
        <v>84</v>
      </c>
      <c r="B84" s="17" t="str">
        <f>IF(Petunjuk!$C$4="","",Petunjuk!$C$4)</f>
        <v xml:space="preserve">DENI GANTENG BANGET</v>
      </c>
      <c r="C84" s="18" t="str">
        <f>IF(INDEX(Korpus!$A:$A,$A84)="","",INDEX(Korpus!$A:$A,$A84))</f>
        <v xml:space="preserve">UU 27 Thn 2022 (PDP)</v>
      </c>
      <c r="D84" s="18" t="str">
        <f>TRIM(INDEX(Korpus!$D:$D,$A84)&amp;" "&amp;INDEX(Korpus!$E:$E,$A84))</f>
        <v xml:space="preserve">Pasal 66</v>
      </c>
      <c r="E84" s="18" t="str">
        <f>IF(INDEX(Korpus!$F:$F,$A84)="","",INDEX(Korpus!$F:$F,$A84))</f>
        <v xml:space="preserve">Setiap Orang dilarang membuat Data Pribadi palsu atau memalsukan Data Pribadi dengan maksud untuk menguntungkan diri sendiri atau orang lain yang dapat mengakibatkan kerugian bagi orang lain.</v>
      </c>
      <c r="F84" s="19"/>
      <c r="G84" s="19"/>
      <c r="H84" s="19"/>
      <c r="I84" s="19"/>
      <c r="J84" s="19"/>
      <c r="K84" s="19"/>
      <c r="L84" s="19"/>
      <c r="M84" s="20"/>
      <c r="N84" s="20"/>
      <c r="O84" s="16"/>
      <c r="P84" s="18" t="str">
        <f t="shared" si="4"/>
        <v xml:space="preserve">Belum lengkap (6)</v>
      </c>
      <c r="Q84" s="18" t="str">
        <f t="shared" si="5"/>
        <v/>
      </c>
      <c r="R84" s="18" t="str">
        <f>IF(INDEX(Korpus!$B:$B,$A84)="","",INDEX(Korpus!$B:$B,$A84))</f>
        <v xml:space="preserve">BAB XIIILARANGAN DALAM PENGGUNAAN DATA PRIBADI</v>
      </c>
      <c r="S84" s="18" t="str">
        <f>IF(INDEX(Korpus!$C:$C,$A84)="","",INDEX(Korpus!$C:$C,$A84))</f>
        <v/>
      </c>
    </row>
    <row r="85" ht="60" customHeight="1">
      <c r="A85" s="16">
        <v>85</v>
      </c>
      <c r="B85" s="17" t="str">
        <f>IF(Petunjuk!$C$4="","",Petunjuk!$C$4)</f>
        <v xml:space="preserve">DENI GANTENG BANGET</v>
      </c>
      <c r="C85" s="18" t="str">
        <f>IF(INDEX(Korpus!$A:$A,$A85)="","",INDEX(Korpus!$A:$A,$A85))</f>
        <v xml:space="preserve">Perpres 39 Thn 2019 (Satu Data)</v>
      </c>
      <c r="D85" s="18" t="str">
        <f>TRIM(INDEX(Korpus!$D:$D,$A85)&amp;" "&amp;INDEX(Korpus!$E:$E,$A85))</f>
        <v xml:space="preserve">Pasal 1</v>
      </c>
      <c r="E85" s="18" t="str">
        <f>IF(INDEX(Korpus!$F:$F,$A85)="","",INDEX(Korpus!$F:$F,$A85))</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9"/>
      <c r="G85" s="19"/>
      <c r="H85" s="19"/>
      <c r="I85" s="19"/>
      <c r="J85" s="19"/>
      <c r="K85" s="19"/>
      <c r="L85" s="19"/>
      <c r="M85" s="20"/>
      <c r="N85" s="20"/>
      <c r="O85" s="16"/>
      <c r="P85" s="18" t="str">
        <f t="shared" si="4"/>
        <v xml:space="preserve">Belum lengkap (6)</v>
      </c>
      <c r="Q85" s="18" t="str">
        <f t="shared" si="5"/>
        <v/>
      </c>
      <c r="R85" s="18" t="str">
        <f>IF(INDEX(Korpus!$B:$B,$A85)="","",INDEX(Korpus!$B:$B,$A85))</f>
        <v xml:space="preserve">BAB IKETENTUAN UMUM</v>
      </c>
      <c r="S85" s="18" t="str">
        <f>IF(INDEX(Korpus!$C:$C,$A85)="","",INDEX(Korpus!$C:$C,$A85))</f>
        <v/>
      </c>
    </row>
    <row r="86" ht="60" customHeight="1">
      <c r="A86" s="16">
        <v>86</v>
      </c>
      <c r="B86" s="17" t="str">
        <f>IF(Petunjuk!$C$4="","",Petunjuk!$C$4)</f>
        <v xml:space="preserve">DENI GANTENG BANGET</v>
      </c>
      <c r="C86" s="18" t="str">
        <f>IF(INDEX(Korpus!$A:$A,$A86)="","",INDEX(Korpus!$A:$A,$A86))</f>
        <v xml:space="preserve">Perpres 39 Thn 2019 (Satu Data)</v>
      </c>
      <c r="D86" s="18" t="str">
        <f>TRIM(INDEX(Korpus!$D:$D,$A86)&amp;" "&amp;INDEX(Korpus!$E:$E,$A86))</f>
        <v xml:space="preserve">Pasal 39</v>
      </c>
      <c r="E86" s="18" t="str">
        <f>IF(INDEX(Korpus!$F:$F,$A86)="","",INDEX(Korpus!$F:$F,$A86))</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9"/>
      <c r="G86" s="19"/>
      <c r="H86" s="19"/>
      <c r="I86" s="19"/>
      <c r="J86" s="19"/>
      <c r="K86" s="19"/>
      <c r="L86" s="19"/>
      <c r="M86" s="20"/>
      <c r="N86" s="20"/>
      <c r="O86" s="16"/>
      <c r="P86" s="18" t="str">
        <f t="shared" si="4"/>
        <v xml:space="preserve">Belum lengkap (6)</v>
      </c>
      <c r="Q86" s="18" t="str">
        <f t="shared" si="5"/>
        <v/>
      </c>
      <c r="R86" s="18" t="str">
        <f>IF(INDEX(Korpus!$B:$B,$A86)="","",INDEX(Korpus!$B:$B,$A86))</f>
        <v xml:space="preserve">BAB IVPENYELENGGARAAN SATU DATA INDONESIA</v>
      </c>
      <c r="S86" s="18" t="str">
        <f>IF(INDEX(Korpus!$C:$C,$A86)="","",INDEX(Korpus!$C:$C,$A86))</f>
        <v xml:space="preserve">Bagian KelimaPenyebarluasan Data</v>
      </c>
    </row>
  </sheetData>
  <autoFilter ref="A1:S86"/>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expression" priority="2" aboveAverage="0" rank="0" text="">
            <xm:f>Q2="OK"</xm:f>
            <x14:dxf>
              <font>
                <color rgb="FF006100"/>
                <name val="Arial"/>
              </font>
              <fill>
                <patternFill patternType="solid">
                  <fgColor rgb="FFC6EFCE"/>
                  <bgColor rgb="FFC6EFCE"/>
                </patternFill>
              </fill>
            </x14:dxf>
          </x14:cfRule>
          <xm:sqref>Q2:Q86</xm:sqref>
        </x14:conditionalFormatting>
        <x14:conditionalFormatting xmlns:xm="http://schemas.microsoft.com/office/excel/2006/main">
          <x14:cfRule type="expression" priority="3" aboveAverage="0" rank="0" text="">
            <xm:f>AND(Q2&lt;&gt;"",Q2&lt;&gt;"OK",LEFT(Q2,7)&lt;&gt;"Belum l")</xm:f>
            <x14:dxf>
              <font>
                <color rgb="FF9C5700"/>
                <name val="Arial"/>
              </font>
              <fill>
                <patternFill patternType="solid">
                  <fgColor rgb="FFFFEB9C"/>
                  <bgColor rgb="FFFFEB9C"/>
                </patternFill>
              </fill>
            </x14:dxf>
          </x14:cfRule>
          <xm:sqref>Q2:Q86</xm:sqref>
        </x14:conditionalFormatting>
        <x14:conditionalFormatting xmlns:xm="http://schemas.microsoft.com/office/excel/2006/main">
          <x14:cfRule type="expression" priority="4" aboveAverage="0" rank="0" text="">
            <xm:f>P2="Lengkap"</xm:f>
            <x14:dxf>
              <font>
                <color rgb="FF006100"/>
                <name val="Arial"/>
              </font>
            </x14:dxf>
          </x14:cfRule>
          <xm:sqref>P2:P86</xm:sqref>
        </x14:conditionalFormatting>
      </x14:conditionalFormattings>
    </ext>
    <ext xmlns:x14="http://schemas.microsoft.com/office/spreadsheetml/2009/9/main" uri="{CCE6A557-97BC-4b89-ADB6-D9C93CAAB3DF}">
      <x14:dataValidations xmlns:xm="http://schemas.microsoft.com/office/excel/2006/main" count="7" disablePrompts="0">
        <x14:dataValidation xr:uid="{75EE4B3D-57A0-46DF-841A-4CB44D31F945}" type="list" allowBlank="1" error="Pilih kode dari daftar (lihat sheet Daftar Kode)." errorStyle="stop" errorTitle="Kode tidak sah" imeMode="noControl" operator="between" showDropDown="0" showErrorMessage="1" showInputMessage="0">
          <x14:formula1>
            <xm:f>'Daftar Kode'!$D$5:$D$13</xm:f>
          </x14:formula1>
          <x14:formula2>
            <xm:f>0</xm:f>
          </x14:formula2>
          <xm:sqref>F2:F86</xm:sqref>
        </x14:dataValidation>
        <x14:dataValidation xr:uid="{390E9C89-61DE-4E66-BB2B-24640B2A9315}" type="list" allowBlank="1" error="Pilih kode dari daftar (lihat sheet Daftar Kode)." errorStyle="stop" errorTitle="Kode tidak sah" imeMode="noControl" operator="between" showDropDown="0" showErrorMessage="1" showInputMessage="0">
          <x14:formula1>
            <xm:f>'Daftar Kode'!$D$16:$D$18</xm:f>
          </x14:formula1>
          <x14:formula2>
            <xm:f>0</xm:f>
          </x14:formula2>
          <xm:sqref>G2:G86</xm:sqref>
        </x14:dataValidation>
        <x14:dataValidation xr:uid="{4540DFEB-39B7-4509-B002-1387E3EFB107}" type="list" allowBlank="1" error="Pilih kode dari daftar (lihat sheet Daftar Kode)." errorStyle="stop" errorTitle="Kode tidak sah" imeMode="noControl" operator="between" showDropDown="0" showErrorMessage="1" showInputMessage="0">
          <x14:formula1>
            <xm:f>'Daftar Kode'!$D$21:$D$38</xm:f>
          </x14:formula1>
          <x14:formula2>
            <xm:f>0</xm:f>
          </x14:formula2>
          <xm:sqref>H2:H86</xm:sqref>
        </x14:dataValidation>
        <x14:dataValidation xr:uid="{6E15E6D8-49EE-4DA7-8DB8-09F36C562566}" type="list" allowBlank="1" error="Pilih kode dari daftar (lihat sheet Daftar Kode)." errorStyle="stop" errorTitle="Kode tidak sah" imeMode="noControl" operator="between" showDropDown="0" showErrorMessage="1" showInputMessage="0">
          <x14:formula1>
            <xm:f>'Daftar Kode'!$D$41:$D$49</xm:f>
          </x14:formula1>
          <x14:formula2>
            <xm:f>0</xm:f>
          </x14:formula2>
          <xm:sqref>I2:I86</xm:sqref>
        </x14:dataValidation>
        <x14:dataValidation xr:uid="{7907B29B-04AE-4344-8101-D96865E493F9}" type="list" allowBlank="1" error="Pilih kode dari daftar (lihat sheet Daftar Kode)." errorStyle="stop" errorTitle="Kode tidak sah" imeMode="noControl" operator="between" showDropDown="0" showErrorMessage="1" showInputMessage="0">
          <x14:formula1>
            <xm:f>'Daftar Kode'!$D$52:$D$59</xm:f>
          </x14:formula1>
          <x14:formula2>
            <xm:f>0</xm:f>
          </x14:formula2>
          <xm:sqref>J2:J86</xm:sqref>
        </x14:dataValidation>
        <x14:dataValidation xr:uid="{4255FFFA-AB7E-43B0-A503-81C38A64B23C}" type="list" allowBlank="1" error="Pilih kode dari daftar (lihat sheet Daftar Kode)." errorStyle="stop" errorTitle="Kode tidak sah" imeMode="noControl" operator="between" showDropDown="0" showErrorMessage="1" showInputMessage="0">
          <x14:formula1>
            <xm:f>'Daftar Kode'!$D$62:$D$66</xm:f>
          </x14:formula1>
          <x14:formula2>
            <xm:f>0</xm:f>
          </x14:formula2>
          <xm:sqref>K2:K86</xm:sqref>
        </x14:dataValidation>
        <x14:dataValidation xr:uid="{4050656B-FF8B-4E2A-8312-433305AF892A}" type="list" allowBlank="1" error="Pilih kode dari daftar (lihat sheet Daftar Kode)." errorStyle="stop" errorTitle="Kode tidak sah" imeMode="noControl" operator="between" showDropDown="0" showErrorMessage="1" showInputMessage="0">
          <x14:formula1>
            <xm:f>'Daftar Kode'!$D$21:$D$37</xm:f>
          </x14:formula1>
          <x14:formula2>
            <xm:f>0</xm:f>
          </x14:formula2>
          <xm:sqref>L2:L86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60" workbookViewId="0">
      <pane ySplit="3" topLeftCell="A4" activePane="bottomLeft" state="frozen"/>
      <selection activeCell="D1" activeCellId="0" sqref="D:D"/>
    </sheetView>
  </sheetViews>
  <sheetFormatPr defaultColWidth="8.6796875" defaultRowHeight="15"/>
  <cols>
    <col customWidth="1" min="1" max="1" style="1" width="22"/>
    <col customWidth="1" min="2" max="2" style="1" width="8"/>
    <col customWidth="1" min="3" max="3" style="1" width="51.890000000000001"/>
    <col customWidth="1" min="4" max="4" style="22" width="58.380000000000003"/>
    <col customWidth="0" min="5" max="16384" style="1" width="8.6799999999999997"/>
  </cols>
  <sheetData>
    <row r="1" ht="17.350000000000001">
      <c r="A1" s="2" t="s">
        <v>95</v>
      </c>
    </row>
    <row r="2" ht="15">
      <c r="A2" s="3" t="s">
        <v>96</v>
      </c>
    </row>
    <row r="4" ht="15">
      <c r="A4" s="14" t="s">
        <v>97</v>
      </c>
      <c r="B4" s="14" t="s">
        <v>53</v>
      </c>
      <c r="C4" s="14" t="s">
        <v>98</v>
      </c>
      <c r="D4" s="23" t="str">
        <f t="shared" ref="D4:D9" si="6">$B4 &amp; " - " &amp; $C4</f>
        <v xml:space="preserve">Kode - Label</v>
      </c>
    </row>
    <row r="5" ht="15">
      <c r="A5" s="24" t="s">
        <v>32</v>
      </c>
      <c r="B5" s="25" t="s">
        <v>99</v>
      </c>
      <c r="C5" s="24" t="s">
        <v>100</v>
      </c>
      <c r="D5" s="22" t="str">
        <f t="shared" si="6"/>
        <v xml:space="preserve">S1 - Pengendali Data Pribadi</v>
      </c>
    </row>
    <row r="6" ht="15">
      <c r="A6" s="24" t="s">
        <v>32</v>
      </c>
      <c r="B6" s="25" t="s">
        <v>101</v>
      </c>
      <c r="C6" s="24" t="s">
        <v>102</v>
      </c>
      <c r="D6" s="22" t="str">
        <f t="shared" si="6"/>
        <v xml:space="preserve">S2 - Prosesor Data Pribadi</v>
      </c>
    </row>
    <row r="7" ht="15">
      <c r="A7" s="24" t="s">
        <v>32</v>
      </c>
      <c r="B7" s="25" t="s">
        <v>103</v>
      </c>
      <c r="C7" s="24" t="s">
        <v>104</v>
      </c>
      <c r="D7" s="22" t="str">
        <f t="shared" si="6"/>
        <v xml:space="preserve">S3 - Pengendali dan Prosesor</v>
      </c>
    </row>
    <row r="8" ht="15">
      <c r="A8" s="24" t="s">
        <v>32</v>
      </c>
      <c r="B8" s="25" t="s">
        <v>105</v>
      </c>
      <c r="C8" s="24" t="s">
        <v>106</v>
      </c>
      <c r="D8" s="22" t="str">
        <f t="shared" si="6"/>
        <v xml:space="preserve">S4 - Subjek Data Pribadi</v>
      </c>
    </row>
    <row r="9" ht="15">
      <c r="A9" s="24" t="s">
        <v>32</v>
      </c>
      <c r="B9" s="25" t="s">
        <v>107</v>
      </c>
      <c r="C9" s="24" t="s">
        <v>108</v>
      </c>
      <c r="D9" s="22" t="str">
        <f t="shared" si="6"/>
        <v xml:space="preserve">S5 - Setiap Orang atau pihak umum</v>
      </c>
    </row>
    <row r="10" ht="15">
      <c r="A10" s="24" t="s">
        <v>32</v>
      </c>
      <c r="B10" s="25" t="s">
        <v>109</v>
      </c>
      <c r="C10" s="24" t="s">
        <v>110</v>
      </c>
      <c r="D10" s="22" t="str">
        <f t="shared" ref="D10:D66" si="7">$B10 &amp; " - " &amp; $C10</f>
        <v xml:space="preserve">S6 - Instansi atau Badan Publik</v>
      </c>
    </row>
    <row r="11" ht="15">
      <c r="A11" s="24" t="s">
        <v>32</v>
      </c>
      <c r="B11" s="25" t="s">
        <v>111</v>
      </c>
      <c r="C11" s="24" t="s">
        <v>112</v>
      </c>
      <c r="D11" s="22" t="str">
        <f t="shared" si="7"/>
        <v xml:space="preserve">S7 - Lembaga atau Pemerintah (otoritas)</v>
      </c>
    </row>
    <row r="12" ht="15">
      <c r="A12" s="24" t="s">
        <v>32</v>
      </c>
      <c r="B12" s="25" t="s">
        <v>113</v>
      </c>
      <c r="C12" s="24" t="s">
        <v>114</v>
      </c>
      <c r="D12" s="22" t="str">
        <f t="shared" si="7"/>
        <v xml:space="preserve">S8 - Penyelenggara sektor atau pihak lain</v>
      </c>
    </row>
    <row r="13" ht="15">
      <c r="A13" s="24" t="s">
        <v>32</v>
      </c>
      <c r="B13" s="25" t="s">
        <v>115</v>
      </c>
      <c r="C13" s="24" t="s">
        <v>116</v>
      </c>
      <c r="D13" s="22" t="str">
        <f t="shared" si="7"/>
        <v xml:space="preserve">S9 - Tidak ada subjek eksplisit</v>
      </c>
    </row>
    <row r="15" ht="15">
      <c r="A15" s="14" t="s">
        <v>97</v>
      </c>
      <c r="B15" s="14" t="s">
        <v>53</v>
      </c>
      <c r="C15" s="14" t="s">
        <v>98</v>
      </c>
      <c r="D15" s="23" t="str">
        <f t="shared" si="7"/>
        <v xml:space="preserve">Kode - Label</v>
      </c>
    </row>
    <row r="16" ht="15">
      <c r="A16" s="24" t="s">
        <v>34</v>
      </c>
      <c r="B16" s="25" t="s">
        <v>117</v>
      </c>
      <c r="C16" s="24" t="s">
        <v>118</v>
      </c>
      <c r="D16" s="22" t="str">
        <f t="shared" si="7"/>
        <v xml:space="preserve">R0 - Tidak relevan</v>
      </c>
    </row>
    <row r="17" ht="15">
      <c r="A17" s="24" t="s">
        <v>34</v>
      </c>
      <c r="B17" s="25" t="s">
        <v>119</v>
      </c>
      <c r="C17" s="24" t="s">
        <v>120</v>
      </c>
      <c r="D17" s="22" t="str">
        <f t="shared" si="7"/>
        <v xml:space="preserve">R1 - Relevan tidak langsung</v>
      </c>
    </row>
    <row r="18" ht="15">
      <c r="A18" s="24" t="s">
        <v>34</v>
      </c>
      <c r="B18" s="25" t="s">
        <v>121</v>
      </c>
      <c r="C18" s="24" t="s">
        <v>122</v>
      </c>
      <c r="D18" s="22" t="str">
        <f t="shared" si="7"/>
        <v xml:space="preserve">R2 - Relevan langsung</v>
      </c>
    </row>
    <row r="20" ht="15">
      <c r="A20" s="14" t="s">
        <v>97</v>
      </c>
      <c r="B20" s="14" t="s">
        <v>53</v>
      </c>
      <c r="C20" s="14" t="s">
        <v>98</v>
      </c>
      <c r="D20" s="23" t="str">
        <f t="shared" si="7"/>
        <v xml:space="preserve">Kode - Label</v>
      </c>
    </row>
    <row r="21" ht="15">
      <c r="A21" s="24" t="s">
        <v>36</v>
      </c>
      <c r="B21" s="25" t="s">
        <v>123</v>
      </c>
      <c r="C21" s="24" t="s">
        <v>124</v>
      </c>
      <c r="D21" s="22" t="str">
        <f t="shared" si="7"/>
        <v xml:space="preserve">T01 - Definisi, Istilah, dan Ruang Lingkup</v>
      </c>
    </row>
    <row r="22" ht="15">
      <c r="A22" s="24" t="s">
        <v>36</v>
      </c>
      <c r="B22" s="25" t="s">
        <v>125</v>
      </c>
      <c r="C22" s="24" t="s">
        <v>126</v>
      </c>
      <c r="D22" s="22" t="str">
        <f t="shared" si="7"/>
        <v xml:space="preserve">T02 - Asas dan Prinsip Pemrosesan</v>
      </c>
    </row>
    <row r="23" ht="15">
      <c r="A23" s="24" t="s">
        <v>36</v>
      </c>
      <c r="B23" s="25" t="s">
        <v>127</v>
      </c>
      <c r="C23" s="24" t="s">
        <v>128</v>
      </c>
      <c r="D23" s="22" t="str">
        <f t="shared" si="7"/>
        <v xml:space="preserve">T03 - Jenis dan Klasifikasi Data Pribadi</v>
      </c>
    </row>
    <row r="24" ht="15">
      <c r="A24" s="24" t="s">
        <v>36</v>
      </c>
      <c r="B24" s="25" t="s">
        <v>129</v>
      </c>
      <c r="C24" s="24" t="s">
        <v>130</v>
      </c>
      <c r="D24" s="22" t="str">
        <f t="shared" si="7"/>
        <v xml:space="preserve">T04 - Hak Subjek Data Pribadi</v>
      </c>
    </row>
    <row r="25" ht="15">
      <c r="A25" s="24" t="s">
        <v>36</v>
      </c>
      <c r="B25" s="25" t="s">
        <v>131</v>
      </c>
      <c r="C25" s="24" t="s">
        <v>132</v>
      </c>
      <c r="D25" s="22" t="str">
        <f t="shared" si="7"/>
        <v xml:space="preserve">T05 - Dasar Pemrosesan dan Persetujuan</v>
      </c>
    </row>
    <row r="26" ht="15">
      <c r="A26" s="24" t="s">
        <v>36</v>
      </c>
      <c r="B26" s="25" t="s">
        <v>133</v>
      </c>
      <c r="C26" s="24" t="s">
        <v>134</v>
      </c>
      <c r="D26" s="22" t="str">
        <f t="shared" si="7"/>
        <v xml:space="preserve">T06 - Aktivitas Pemrosesan dan Pengumpulan</v>
      </c>
    </row>
    <row r="27" ht="15">
      <c r="A27" s="24" t="s">
        <v>36</v>
      </c>
      <c r="B27" s="25" t="s">
        <v>135</v>
      </c>
      <c r="C27" s="24" t="s">
        <v>136</v>
      </c>
      <c r="D27" s="22" t="str">
        <f t="shared" si="7"/>
        <v xml:space="preserve">T07 - Data Pribadi Anak dan Kelompok Rentan</v>
      </c>
    </row>
    <row r="28" ht="15">
      <c r="A28" s="24" t="s">
        <v>36</v>
      </c>
      <c r="B28" s="25" t="s">
        <v>137</v>
      </c>
      <c r="C28" s="24" t="s">
        <v>138</v>
      </c>
      <c r="D28" s="22" t="str">
        <f t="shared" si="7"/>
        <v xml:space="preserve">T08 - Kualitas, Akurasi, dan Pembaruan Data</v>
      </c>
    </row>
    <row r="29" ht="15">
      <c r="A29" s="24" t="s">
        <v>36</v>
      </c>
      <c r="B29" s="25" t="s">
        <v>139</v>
      </c>
      <c r="C29" s="24" t="s">
        <v>140</v>
      </c>
      <c r="D29" s="22" t="str">
        <f t="shared" si="7"/>
        <v xml:space="preserve">T09 - Akuntabilitas, Pencatatan, dan Tata Kelola Kepatuhan</v>
      </c>
    </row>
    <row r="30" ht="15">
      <c r="A30" s="24" t="s">
        <v>36</v>
      </c>
      <c r="B30" s="25" t="s">
        <v>141</v>
      </c>
      <c r="C30" s="24" t="s">
        <v>142</v>
      </c>
      <c r="D30" s="22" t="str">
        <f t="shared" si="7"/>
        <v xml:space="preserve">T10 - Keamanan, Kerahasiaan, dan Penanganan Insiden</v>
      </c>
    </row>
    <row r="31" ht="15">
      <c r="A31" s="24" t="s">
        <v>36</v>
      </c>
      <c r="B31" s="25" t="s">
        <v>143</v>
      </c>
      <c r="C31" s="24" t="s">
        <v>144</v>
      </c>
      <c r="D31" s="22" t="str">
        <f t="shared" si="7"/>
        <v xml:space="preserve">T11 - Retensi, Penghentian, Penghapusan, dan Pemusnahan</v>
      </c>
    </row>
    <row r="32" ht="15">
      <c r="A32" s="24" t="s">
        <v>36</v>
      </c>
      <c r="B32" s="25" t="s">
        <v>145</v>
      </c>
      <c r="C32" s="24" t="s">
        <v>146</v>
      </c>
      <c r="D32" s="22" t="str">
        <f t="shared" si="7"/>
        <v xml:space="preserve">T12 - Pengecualian dan Pembatasan</v>
      </c>
    </row>
    <row r="33" ht="15">
      <c r="A33" s="24" t="s">
        <v>36</v>
      </c>
      <c r="B33" s="25" t="s">
        <v>147</v>
      </c>
      <c r="C33" s="24" t="s">
        <v>148</v>
      </c>
      <c r="D33" s="22" t="str">
        <f t="shared" si="7"/>
        <v xml:space="preserve">T13 - Transfer dan Pengalihan Data</v>
      </c>
    </row>
    <row r="34" ht="15">
      <c r="A34" s="24" t="s">
        <v>36</v>
      </c>
      <c r="B34" s="25" t="s">
        <v>149</v>
      </c>
      <c r="C34" s="24" t="s">
        <v>150</v>
      </c>
      <c r="D34" s="22" t="str">
        <f t="shared" si="7"/>
        <v xml:space="preserve">T14 - Larangan dan Perbuatan Melawan Hukum</v>
      </c>
    </row>
    <row r="35" ht="15">
      <c r="A35" s="24" t="s">
        <v>36</v>
      </c>
      <c r="B35" s="25" t="s">
        <v>151</v>
      </c>
      <c r="C35" s="24" t="s">
        <v>152</v>
      </c>
      <c r="D35" s="22" t="str">
        <f t="shared" si="7"/>
        <v xml:space="preserve">T15 - Akses dan Pemanfaatan Data Pemerintah</v>
      </c>
    </row>
    <row r="36" ht="15">
      <c r="A36" s="24" t="s">
        <v>36</v>
      </c>
      <c r="B36" s="25" t="s">
        <v>153</v>
      </c>
      <c r="C36" s="24" t="s">
        <v>154</v>
      </c>
      <c r="D36" s="22" t="str">
        <f t="shared" si="7"/>
        <v xml:space="preserve">T16 - Urgensi, Konsep, dan Landasan Pelindungan Data</v>
      </c>
    </row>
    <row r="37" ht="15">
      <c r="A37" s="24" t="s">
        <v>36</v>
      </c>
      <c r="B37" s="25" t="s">
        <v>155</v>
      </c>
      <c r="C37" s="24" t="s">
        <v>156</v>
      </c>
      <c r="D37" s="22" t="str">
        <f t="shared" si="7"/>
        <v xml:space="preserve">T17 - Rujukan Regulasi Lain</v>
      </c>
    </row>
    <row r="38" ht="15">
      <c r="A38" s="24" t="s">
        <v>36</v>
      </c>
      <c r="B38" s="25" t="s">
        <v>157</v>
      </c>
      <c r="C38" s="24" t="s">
        <v>158</v>
      </c>
      <c r="D38" s="22" t="str">
        <f t="shared" si="7"/>
        <v xml:space="preserve">T99 - Lainnya (wajib jelaskan di V12)</v>
      </c>
    </row>
    <row r="40" ht="15">
      <c r="A40" s="14" t="s">
        <v>97</v>
      </c>
      <c r="B40" s="14" t="s">
        <v>53</v>
      </c>
      <c r="C40" s="14" t="s">
        <v>98</v>
      </c>
      <c r="D40" s="23" t="str">
        <f t="shared" si="7"/>
        <v xml:space="preserve">Kode - Label</v>
      </c>
    </row>
    <row r="41" ht="15">
      <c r="A41" s="24" t="s">
        <v>38</v>
      </c>
      <c r="B41" s="25" t="s">
        <v>159</v>
      </c>
      <c r="C41" s="24" t="s">
        <v>160</v>
      </c>
      <c r="D41" s="22" t="str">
        <f t="shared" si="7"/>
        <v xml:space="preserve">P1 - Larangan</v>
      </c>
    </row>
    <row r="42" ht="15">
      <c r="A42" s="24" t="s">
        <v>38</v>
      </c>
      <c r="B42" s="25" t="s">
        <v>161</v>
      </c>
      <c r="C42" s="24" t="s">
        <v>162</v>
      </c>
      <c r="D42" s="22" t="str">
        <f t="shared" si="7"/>
        <v xml:space="preserve">P2 - Kewajiban</v>
      </c>
    </row>
    <row r="43" ht="15">
      <c r="A43" s="24" t="s">
        <v>38</v>
      </c>
      <c r="B43" s="25" t="s">
        <v>163</v>
      </c>
      <c r="C43" s="24" t="s">
        <v>164</v>
      </c>
      <c r="D43" s="22" t="str">
        <f t="shared" si="7"/>
        <v xml:space="preserve">P3 - Hak</v>
      </c>
    </row>
    <row r="44" ht="15">
      <c r="A44" s="24" t="s">
        <v>38</v>
      </c>
      <c r="B44" s="25" t="s">
        <v>165</v>
      </c>
      <c r="C44" s="24" t="s">
        <v>166</v>
      </c>
      <c r="D44" s="22" t="str">
        <f t="shared" si="7"/>
        <v xml:space="preserve">P4 - Pengecualian atau pembatasan</v>
      </c>
    </row>
    <row r="45" ht="15">
      <c r="A45" s="24" t="s">
        <v>38</v>
      </c>
      <c r="B45" s="25" t="s">
        <v>167</v>
      </c>
      <c r="C45" s="24" t="s">
        <v>168</v>
      </c>
      <c r="D45" s="22" t="str">
        <f t="shared" si="7"/>
        <v xml:space="preserve">P5 - Kebolehan atau kewenangan</v>
      </c>
    </row>
    <row r="46" ht="15">
      <c r="A46" s="24" t="s">
        <v>38</v>
      </c>
      <c r="B46" s="25" t="s">
        <v>169</v>
      </c>
      <c r="C46" s="24" t="s">
        <v>170</v>
      </c>
      <c r="D46" s="22" t="str">
        <f t="shared" si="7"/>
        <v xml:space="preserve">P6 - Definisi, klasifikasi, atau ruang lingkup</v>
      </c>
    </row>
    <row r="47" ht="15">
      <c r="A47" s="24" t="s">
        <v>38</v>
      </c>
      <c r="B47" s="25" t="s">
        <v>171</v>
      </c>
      <c r="C47" s="24" t="s">
        <v>172</v>
      </c>
      <c r="D47" s="22" t="str">
        <f t="shared" si="7"/>
        <v xml:space="preserve">P7 - Asas, prinsip, atau tujuan umum</v>
      </c>
    </row>
    <row r="48" ht="15">
      <c r="A48" s="24" t="s">
        <v>38</v>
      </c>
      <c r="B48" s="25" t="s">
        <v>173</v>
      </c>
      <c r="C48" s="24" t="s">
        <v>174</v>
      </c>
      <c r="D48" s="22" t="str">
        <f t="shared" si="7"/>
        <v xml:space="preserve">P8 - Deskriptif, argumentatif, atau rekomendasi</v>
      </c>
    </row>
    <row r="49" ht="15">
      <c r="A49" s="24" t="s">
        <v>38</v>
      </c>
      <c r="B49" s="25" t="s">
        <v>175</v>
      </c>
      <c r="C49" s="24" t="s">
        <v>176</v>
      </c>
      <c r="D49" s="22" t="str">
        <f t="shared" si="7"/>
        <v xml:space="preserve">P9 - Rujukan atau daftar</v>
      </c>
    </row>
    <row r="51" ht="15">
      <c r="A51" s="14" t="s">
        <v>97</v>
      </c>
      <c r="B51" s="14" t="s">
        <v>53</v>
      </c>
      <c r="C51" s="14" t="s">
        <v>98</v>
      </c>
      <c r="D51" s="23" t="str">
        <f t="shared" si="7"/>
        <v xml:space="preserve">Kode - Label</v>
      </c>
    </row>
    <row r="52" ht="15">
      <c r="A52" s="24" t="s">
        <v>40</v>
      </c>
      <c r="B52" s="25" t="s">
        <v>177</v>
      </c>
      <c r="C52" s="24" t="s">
        <v>178</v>
      </c>
      <c r="D52" s="22" t="str">
        <f t="shared" si="7"/>
        <v xml:space="preserve">F1 - Perencanaan dan dasar pemrosesan</v>
      </c>
    </row>
    <row r="53" ht="15">
      <c r="A53" s="24" t="s">
        <v>40</v>
      </c>
      <c r="B53" s="25" t="s">
        <v>179</v>
      </c>
      <c r="C53" s="24" t="s">
        <v>180</v>
      </c>
      <c r="D53" s="22" t="str">
        <f t="shared" si="7"/>
        <v xml:space="preserve">F2 - Pengumpulan atau akuisisi</v>
      </c>
    </row>
    <row r="54" ht="15">
      <c r="A54" s="24" t="s">
        <v>40</v>
      </c>
      <c r="B54" s="25" t="s">
        <v>181</v>
      </c>
      <c r="C54" s="24" t="s">
        <v>182</v>
      </c>
      <c r="D54" s="22" t="str">
        <f t="shared" si="7"/>
        <v xml:space="preserve">F3 - Pengolahan dan analisis</v>
      </c>
    </row>
    <row r="55" ht="15">
      <c r="A55" s="24" t="s">
        <v>40</v>
      </c>
      <c r="B55" s="25" t="s">
        <v>183</v>
      </c>
      <c r="C55" s="24" t="s">
        <v>184</v>
      </c>
      <c r="D55" s="22" t="str">
        <f t="shared" si="7"/>
        <v xml:space="preserve">F4 - Penyimpanan dan pengamanan</v>
      </c>
    </row>
    <row r="56" ht="15">
      <c r="A56" s="24" t="s">
        <v>40</v>
      </c>
      <c r="B56" s="25" t="s">
        <v>185</v>
      </c>
      <c r="C56" s="24" t="s">
        <v>186</v>
      </c>
      <c r="D56" s="22" t="str">
        <f t="shared" si="7"/>
        <v xml:space="preserve">F5 - Penyebarluasan dan transfer</v>
      </c>
    </row>
    <row r="57" ht="15">
      <c r="A57" s="24" t="s">
        <v>40</v>
      </c>
      <c r="B57" s="25" t="s">
        <v>187</v>
      </c>
      <c r="C57" s="24" t="s">
        <v>188</v>
      </c>
      <c r="D57" s="22" t="str">
        <f t="shared" si="7"/>
        <v xml:space="preserve">F6 - Retensi dan penghapusan</v>
      </c>
    </row>
    <row r="58" ht="15">
      <c r="A58" s="24" t="s">
        <v>40</v>
      </c>
      <c r="B58" s="25" t="s">
        <v>189</v>
      </c>
      <c r="C58" s="24" t="s">
        <v>190</v>
      </c>
      <c r="D58" s="22" t="str">
        <f t="shared" si="7"/>
        <v xml:space="preserve">F7 - Tata kelola dan hak subjek</v>
      </c>
    </row>
    <row r="59" ht="15">
      <c r="A59" s="24" t="s">
        <v>40</v>
      </c>
      <c r="B59" s="25" t="s">
        <v>191</v>
      </c>
      <c r="C59" s="24" t="s">
        <v>192</v>
      </c>
      <c r="D59" s="22" t="str">
        <f t="shared" si="7"/>
        <v xml:space="preserve">F8 - Lintas tahap atau tidak spesifik</v>
      </c>
    </row>
    <row r="61" ht="15">
      <c r="A61" s="14" t="s">
        <v>97</v>
      </c>
      <c r="B61" s="14" t="s">
        <v>53</v>
      </c>
      <c r="C61" s="14" t="s">
        <v>98</v>
      </c>
      <c r="D61" s="23" t="str">
        <f t="shared" si="7"/>
        <v xml:space="preserve">Kode - Label</v>
      </c>
    </row>
    <row r="62" ht="15">
      <c r="A62" s="24" t="s">
        <v>42</v>
      </c>
      <c r="B62" s="25" t="s">
        <v>193</v>
      </c>
      <c r="C62" s="24" t="s">
        <v>194</v>
      </c>
      <c r="D62" s="22" t="str">
        <f t="shared" si="7"/>
        <v xml:space="preserve">K1 - Non-fungsional: keamanan dan kerahasiaan</v>
      </c>
    </row>
    <row r="63" ht="15">
      <c r="A63" s="24" t="s">
        <v>42</v>
      </c>
      <c r="B63" s="25" t="s">
        <v>195</v>
      </c>
      <c r="C63" s="24" t="s">
        <v>196</v>
      </c>
      <c r="D63" s="22" t="str">
        <f t="shared" si="7"/>
        <v xml:space="preserve">K2 - Non-fungsional: mutu data, kepatuhan, dan akuntabilitas</v>
      </c>
    </row>
    <row r="64" ht="15">
      <c r="A64" s="24" t="s">
        <v>42</v>
      </c>
      <c r="B64" s="25" t="s">
        <v>197</v>
      </c>
      <c r="C64" s="24" t="s">
        <v>198</v>
      </c>
      <c r="D64" s="22" t="str">
        <f t="shared" si="7"/>
        <v xml:space="preserve">K3 - Fungsional</v>
      </c>
    </row>
    <row r="65" ht="15">
      <c r="A65" s="24" t="s">
        <v>42</v>
      </c>
      <c r="B65" s="25" t="s">
        <v>199</v>
      </c>
      <c r="C65" s="24" t="s">
        <v>200</v>
      </c>
      <c r="D65" s="22" t="str">
        <f t="shared" si="7"/>
        <v xml:space="preserve">K4 - Batasan atau aturan bisnis hukum</v>
      </c>
    </row>
    <row r="66" ht="15">
      <c r="A66" s="24" t="s">
        <v>42</v>
      </c>
      <c r="B66" s="25" t="s">
        <v>201</v>
      </c>
      <c r="C66" s="24" t="s">
        <v>202</v>
      </c>
      <c r="D66" s="22" t="str">
        <f t="shared" si="7"/>
        <v xml:space="preserve">K5 - Tidak menghasilkan kebutuhan</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7F7F7F"/>
    <outlinePr applyStyles="0" summaryBelow="1" summaryRight="1" showOutlineSymbols="1"/>
    <pageSetUpPr autoPageBreaks="1" fitToPage="0"/>
  </sheetPr>
  <sheetViews>
    <sheetView showFormulas="0" showGridLines="1" showRowColHeaders="1" showZeros="1" rightToLeft="0" view="normal" topLeftCell="A46" zoomScale="60" workbookViewId="0">
      <selection activeCell="B48" activeCellId="0" sqref="B48"/>
    </sheetView>
  </sheetViews>
  <sheetFormatPr defaultColWidth="8.6796875" defaultRowHeight="15"/>
  <cols>
    <col customWidth="1" min="6" max="6" style="11" width="60"/>
    <col customWidth="1" min="8" max="8" style="11" width="90"/>
  </cols>
  <sheetData>
    <row r="1" ht="15">
      <c r="A1" s="26" t="s">
        <v>203</v>
      </c>
      <c r="B1" s="26" t="s">
        <v>60</v>
      </c>
      <c r="C1" s="26" t="s">
        <v>61</v>
      </c>
      <c r="D1" s="26" t="s">
        <v>204</v>
      </c>
      <c r="E1" s="26" t="s">
        <v>205</v>
      </c>
      <c r="F1" s="26" t="s">
        <v>56</v>
      </c>
      <c r="H1" s="4" t="s">
        <v>206</v>
      </c>
    </row>
    <row r="2" ht="15">
      <c r="A2" s="11" t="s">
        <v>207</v>
      </c>
      <c r="B2" s="11" t="s">
        <v>208</v>
      </c>
      <c r="C2" s="11" t="s">
        <v>209</v>
      </c>
      <c r="D2" s="11" t="s">
        <v>210</v>
      </c>
      <c r="E2" s="11" t="s">
        <v>211</v>
      </c>
      <c r="F2" s="11" t="s">
        <v>212</v>
      </c>
      <c r="H2" s="3" t="s">
        <v>213</v>
      </c>
    </row>
    <row r="3" ht="15">
      <c r="A3" s="11" t="s">
        <v>207</v>
      </c>
      <c r="B3" s="11" t="s">
        <v>208</v>
      </c>
      <c r="C3" s="11" t="s">
        <v>209</v>
      </c>
      <c r="D3" s="11" t="s">
        <v>210</v>
      </c>
      <c r="E3" s="11" t="s">
        <v>214</v>
      </c>
      <c r="F3" s="11" t="s">
        <v>215</v>
      </c>
      <c r="H3" s="3" t="s">
        <v>216</v>
      </c>
    </row>
    <row r="4" ht="15">
      <c r="A4" s="11" t="s">
        <v>207</v>
      </c>
      <c r="B4" s="11" t="s">
        <v>208</v>
      </c>
      <c r="C4" s="11" t="s">
        <v>209</v>
      </c>
      <c r="D4" s="11" t="s">
        <v>210</v>
      </c>
      <c r="E4" s="11" t="s">
        <v>217</v>
      </c>
      <c r="F4" s="11" t="s">
        <v>218</v>
      </c>
      <c r="H4" s="3" t="s">
        <v>219</v>
      </c>
    </row>
    <row r="5" ht="15">
      <c r="A5" s="11" t="s">
        <v>207</v>
      </c>
      <c r="B5" s="11" t="s">
        <v>208</v>
      </c>
      <c r="C5" s="11" t="s">
        <v>209</v>
      </c>
      <c r="D5" s="11" t="s">
        <v>210</v>
      </c>
      <c r="E5" s="11" t="s">
        <v>220</v>
      </c>
      <c r="F5" s="11" t="s">
        <v>221</v>
      </c>
    </row>
    <row r="6" ht="15">
      <c r="A6" s="11" t="s">
        <v>207</v>
      </c>
      <c r="B6" s="11" t="s">
        <v>208</v>
      </c>
      <c r="C6" s="11" t="s">
        <v>209</v>
      </c>
      <c r="D6" s="11" t="s">
        <v>210</v>
      </c>
      <c r="E6" s="11" t="s">
        <v>222</v>
      </c>
      <c r="F6" s="11" t="s">
        <v>223</v>
      </c>
    </row>
    <row r="7" ht="15">
      <c r="A7" s="11" t="s">
        <v>207</v>
      </c>
      <c r="B7" s="11" t="s">
        <v>208</v>
      </c>
      <c r="C7" s="11" t="s">
        <v>209</v>
      </c>
      <c r="D7" s="11" t="s">
        <v>210</v>
      </c>
      <c r="E7" s="11" t="s">
        <v>224</v>
      </c>
      <c r="F7" s="11" t="s">
        <v>225</v>
      </c>
    </row>
    <row r="8" ht="15">
      <c r="A8" s="11" t="s">
        <v>207</v>
      </c>
      <c r="B8" s="11" t="s">
        <v>208</v>
      </c>
      <c r="C8" s="11" t="s">
        <v>209</v>
      </c>
      <c r="D8" s="11" t="s">
        <v>226</v>
      </c>
      <c r="E8" s="11" t="s">
        <v>211</v>
      </c>
      <c r="F8" s="11" t="s">
        <v>227</v>
      </c>
    </row>
    <row r="9" ht="15">
      <c r="A9" s="11" t="s">
        <v>207</v>
      </c>
      <c r="B9" s="11" t="s">
        <v>208</v>
      </c>
      <c r="C9" s="11" t="s">
        <v>209</v>
      </c>
      <c r="D9" s="11" t="s">
        <v>226</v>
      </c>
      <c r="E9" s="11" t="s">
        <v>214</v>
      </c>
      <c r="F9" s="11" t="s">
        <v>228</v>
      </c>
    </row>
    <row r="10" ht="15">
      <c r="A10" s="11" t="s">
        <v>207</v>
      </c>
      <c r="B10" s="11" t="s">
        <v>208</v>
      </c>
      <c r="C10" s="11" t="s">
        <v>209</v>
      </c>
      <c r="D10" s="11" t="s">
        <v>226</v>
      </c>
      <c r="E10" s="11" t="s">
        <v>217</v>
      </c>
      <c r="F10" s="11" t="s">
        <v>229</v>
      </c>
    </row>
    <row r="11" ht="15">
      <c r="A11" s="11" t="s">
        <v>207</v>
      </c>
      <c r="B11" s="11" t="s">
        <v>208</v>
      </c>
      <c r="C11" s="11" t="s">
        <v>209</v>
      </c>
      <c r="D11" s="11" t="s">
        <v>226</v>
      </c>
      <c r="E11" s="11" t="s">
        <v>220</v>
      </c>
      <c r="F11" s="11" t="s">
        <v>230</v>
      </c>
    </row>
    <row r="12" ht="15">
      <c r="A12" s="11" t="s">
        <v>207</v>
      </c>
      <c r="B12" s="11" t="s">
        <v>208</v>
      </c>
      <c r="C12" s="11" t="s">
        <v>209</v>
      </c>
      <c r="D12" s="11" t="s">
        <v>231</v>
      </c>
      <c r="E12" s="11" t="s">
        <v>211</v>
      </c>
      <c r="F12" s="11" t="s">
        <v>232</v>
      </c>
    </row>
    <row r="13" ht="15">
      <c r="A13" s="11" t="s">
        <v>207</v>
      </c>
      <c r="B13" s="11" t="s">
        <v>208</v>
      </c>
      <c r="C13" s="11" t="s">
        <v>209</v>
      </c>
      <c r="D13" s="11" t="s">
        <v>231</v>
      </c>
      <c r="E13" s="11" t="s">
        <v>214</v>
      </c>
      <c r="F13" s="11" t="s">
        <v>233</v>
      </c>
    </row>
    <row r="14" ht="15">
      <c r="A14" s="11" t="s">
        <v>207</v>
      </c>
      <c r="B14" s="11" t="s">
        <v>208</v>
      </c>
      <c r="C14" s="11" t="s">
        <v>209</v>
      </c>
      <c r="D14" s="11" t="s">
        <v>234</v>
      </c>
      <c r="E14" s="11" t="s">
        <v>211</v>
      </c>
      <c r="F14" s="11" t="s">
        <v>235</v>
      </c>
    </row>
    <row r="15" ht="15">
      <c r="A15" s="11" t="s">
        <v>207</v>
      </c>
      <c r="B15" s="11" t="s">
        <v>208</v>
      </c>
      <c r="C15" s="11" t="s">
        <v>209</v>
      </c>
      <c r="D15" s="11" t="s">
        <v>234</v>
      </c>
      <c r="E15" s="11" t="s">
        <v>214</v>
      </c>
      <c r="F15" s="11" t="s">
        <v>236</v>
      </c>
    </row>
    <row r="16" ht="15">
      <c r="A16" s="11" t="s">
        <v>207</v>
      </c>
      <c r="B16" s="11" t="s">
        <v>208</v>
      </c>
      <c r="C16" s="11" t="s">
        <v>209</v>
      </c>
      <c r="D16" s="11" t="s">
        <v>234</v>
      </c>
      <c r="E16" s="11" t="s">
        <v>217</v>
      </c>
      <c r="F16" s="11" t="s">
        <v>237</v>
      </c>
    </row>
    <row r="17" ht="15">
      <c r="A17" s="11" t="s">
        <v>207</v>
      </c>
      <c r="B17" s="11" t="s">
        <v>208</v>
      </c>
      <c r="C17" s="11" t="s">
        <v>209</v>
      </c>
      <c r="D17" s="11" t="s">
        <v>234</v>
      </c>
      <c r="E17" s="11" t="s">
        <v>238</v>
      </c>
      <c r="F17" s="11" t="s">
        <v>239</v>
      </c>
    </row>
    <row r="18" ht="15">
      <c r="A18" s="11" t="s">
        <v>207</v>
      </c>
      <c r="B18" s="11" t="s">
        <v>208</v>
      </c>
      <c r="C18" s="11" t="s">
        <v>209</v>
      </c>
      <c r="D18" s="11" t="s">
        <v>234</v>
      </c>
      <c r="E18" s="11" t="s">
        <v>240</v>
      </c>
      <c r="F18" s="11" t="s">
        <v>241</v>
      </c>
    </row>
    <row r="19" ht="15">
      <c r="A19" s="11" t="s">
        <v>207</v>
      </c>
      <c r="B19" s="11" t="s">
        <v>208</v>
      </c>
      <c r="C19" s="11" t="s">
        <v>209</v>
      </c>
      <c r="D19" s="11" t="s">
        <v>234</v>
      </c>
      <c r="E19" s="11" t="s">
        <v>242</v>
      </c>
      <c r="F19" s="11" t="s">
        <v>243</v>
      </c>
    </row>
    <row r="20" ht="15">
      <c r="A20" s="11" t="s">
        <v>207</v>
      </c>
      <c r="B20" s="11" t="s">
        <v>208</v>
      </c>
      <c r="C20" s="11" t="s">
        <v>209</v>
      </c>
      <c r="D20" s="11" t="s">
        <v>244</v>
      </c>
      <c r="E20" s="11" t="s">
        <v>214</v>
      </c>
      <c r="F20" s="11" t="s">
        <v>245</v>
      </c>
    </row>
    <row r="21" ht="15">
      <c r="A21" s="11" t="s">
        <v>207</v>
      </c>
      <c r="B21" s="11" t="s">
        <v>208</v>
      </c>
      <c r="C21" s="11" t="s">
        <v>209</v>
      </c>
      <c r="D21" s="11" t="s">
        <v>244</v>
      </c>
      <c r="E21" s="11" t="s">
        <v>217</v>
      </c>
      <c r="F21" s="11" t="s">
        <v>246</v>
      </c>
    </row>
    <row r="22" ht="15">
      <c r="A22" s="11" t="s">
        <v>207</v>
      </c>
      <c r="B22" s="11" t="s">
        <v>208</v>
      </c>
      <c r="C22" s="11" t="s">
        <v>209</v>
      </c>
      <c r="D22" s="11" t="s">
        <v>244</v>
      </c>
      <c r="E22" s="11" t="s">
        <v>220</v>
      </c>
      <c r="F22" s="11" t="s">
        <v>247</v>
      </c>
    </row>
    <row r="23" ht="15">
      <c r="A23" s="11" t="s">
        <v>207</v>
      </c>
      <c r="B23" s="11" t="s">
        <v>208</v>
      </c>
      <c r="C23" s="11" t="s">
        <v>209</v>
      </c>
      <c r="D23" s="11" t="s">
        <v>248</v>
      </c>
      <c r="E23" s="11" t="s">
        <v>211</v>
      </c>
      <c r="F23" s="11" t="s">
        <v>249</v>
      </c>
    </row>
    <row r="24" ht="15">
      <c r="A24" s="11" t="s">
        <v>207</v>
      </c>
      <c r="B24" s="11" t="s">
        <v>208</v>
      </c>
      <c r="C24" s="11" t="s">
        <v>209</v>
      </c>
      <c r="D24" s="11" t="s">
        <v>248</v>
      </c>
      <c r="E24" s="11" t="s">
        <v>217</v>
      </c>
      <c r="F24" s="11" t="s">
        <v>250</v>
      </c>
    </row>
    <row r="25" ht="15">
      <c r="A25" s="11" t="s">
        <v>207</v>
      </c>
      <c r="B25" s="11" t="s">
        <v>251</v>
      </c>
      <c r="D25" s="11" t="s">
        <v>252</v>
      </c>
      <c r="E25" s="11" t="s">
        <v>217</v>
      </c>
      <c r="F25" s="11" t="s">
        <v>253</v>
      </c>
    </row>
    <row r="26" ht="15">
      <c r="A26" s="11" t="s">
        <v>207</v>
      </c>
      <c r="B26" s="11" t="s">
        <v>251</v>
      </c>
      <c r="D26" s="11" t="s">
        <v>252</v>
      </c>
      <c r="E26" s="11" t="s">
        <v>220</v>
      </c>
      <c r="F26" s="11" t="s">
        <v>254</v>
      </c>
    </row>
    <row r="27" ht="55.200000000000003">
      <c r="A27" s="11" t="s">
        <v>255</v>
      </c>
      <c r="B27" s="12" t="s">
        <v>256</v>
      </c>
      <c r="C27" s="12" t="s">
        <v>257</v>
      </c>
      <c r="E27" s="11" t="s">
        <v>258</v>
      </c>
      <c r="F27" s="11" t="s">
        <v>259</v>
      </c>
    </row>
    <row r="28" ht="55.200000000000003">
      <c r="A28" s="11" t="s">
        <v>260</v>
      </c>
      <c r="B28" s="12" t="s">
        <v>261</v>
      </c>
      <c r="E28" s="11" t="s">
        <v>262</v>
      </c>
      <c r="F28" s="11" t="s">
        <v>263</v>
      </c>
    </row>
    <row r="29" ht="55.200000000000003">
      <c r="A29" s="11" t="s">
        <v>260</v>
      </c>
      <c r="B29" s="12" t="s">
        <v>261</v>
      </c>
      <c r="E29" s="11" t="s">
        <v>264</v>
      </c>
      <c r="F29" s="11" t="s">
        <v>265</v>
      </c>
    </row>
    <row r="30" ht="28.350000000000001">
      <c r="A30" s="11" t="s">
        <v>260</v>
      </c>
      <c r="B30" s="12" t="s">
        <v>266</v>
      </c>
      <c r="E30" s="11" t="s">
        <v>267</v>
      </c>
      <c r="F30" s="11" t="s">
        <v>268</v>
      </c>
    </row>
    <row r="31" ht="55.200000000000003">
      <c r="A31" s="11" t="s">
        <v>260</v>
      </c>
      <c r="B31" s="12" t="s">
        <v>269</v>
      </c>
      <c r="E31" s="11" t="s">
        <v>270</v>
      </c>
      <c r="F31" s="11" t="s">
        <v>271</v>
      </c>
    </row>
    <row r="32" ht="68.650000000000006">
      <c r="A32" s="11" t="s">
        <v>260</v>
      </c>
      <c r="B32" s="12" t="s">
        <v>272</v>
      </c>
      <c r="E32" s="11" t="s">
        <v>273</v>
      </c>
      <c r="F32" s="11" t="s">
        <v>274</v>
      </c>
    </row>
    <row r="33" ht="68.650000000000006">
      <c r="A33" s="11" t="s">
        <v>260</v>
      </c>
      <c r="B33" s="12" t="s">
        <v>272</v>
      </c>
      <c r="E33" s="11" t="s">
        <v>275</v>
      </c>
      <c r="F33" s="11" t="s">
        <v>276</v>
      </c>
    </row>
    <row r="34" ht="68.650000000000006">
      <c r="A34" s="11" t="s">
        <v>260</v>
      </c>
      <c r="B34" s="12" t="s">
        <v>272</v>
      </c>
      <c r="E34" s="11" t="s">
        <v>277</v>
      </c>
      <c r="F34" s="11" t="s">
        <v>278</v>
      </c>
    </row>
    <row r="35" ht="68.650000000000006">
      <c r="A35" s="11" t="s">
        <v>260</v>
      </c>
      <c r="B35" s="12" t="s">
        <v>272</v>
      </c>
      <c r="E35" s="11" t="s">
        <v>279</v>
      </c>
      <c r="F35" s="11" t="s">
        <v>280</v>
      </c>
    </row>
    <row r="36" ht="68.650000000000006">
      <c r="A36" s="11" t="s">
        <v>260</v>
      </c>
      <c r="B36" s="12" t="s">
        <v>272</v>
      </c>
      <c r="E36" s="11" t="s">
        <v>281</v>
      </c>
      <c r="F36" s="11" t="s">
        <v>282</v>
      </c>
    </row>
    <row r="37" ht="68.650000000000006">
      <c r="A37" s="11" t="s">
        <v>260</v>
      </c>
      <c r="B37" s="12" t="s">
        <v>272</v>
      </c>
      <c r="E37" s="11" t="s">
        <v>283</v>
      </c>
      <c r="F37" s="11" t="s">
        <v>284</v>
      </c>
    </row>
    <row r="38" ht="68.650000000000006">
      <c r="A38" s="11" t="s">
        <v>260</v>
      </c>
      <c r="B38" s="12" t="s">
        <v>272</v>
      </c>
      <c r="E38" s="11" t="s">
        <v>285</v>
      </c>
      <c r="F38" s="11" t="s">
        <v>286</v>
      </c>
    </row>
    <row r="39" ht="68.650000000000006">
      <c r="A39" s="11" t="s">
        <v>260</v>
      </c>
      <c r="B39" s="12" t="s">
        <v>272</v>
      </c>
      <c r="E39" s="11" t="s">
        <v>287</v>
      </c>
      <c r="F39" s="11" t="s">
        <v>288</v>
      </c>
    </row>
    <row r="40" ht="68.650000000000006">
      <c r="A40" s="11" t="s">
        <v>260</v>
      </c>
      <c r="B40" s="12" t="s">
        <v>272</v>
      </c>
      <c r="E40" s="11" t="s">
        <v>289</v>
      </c>
      <c r="F40" s="11" t="s">
        <v>290</v>
      </c>
    </row>
    <row r="41" ht="68.650000000000006">
      <c r="A41" s="11" t="s">
        <v>260</v>
      </c>
      <c r="B41" s="12" t="s">
        <v>272</v>
      </c>
      <c r="E41" s="11" t="s">
        <v>291</v>
      </c>
      <c r="F41" s="11" t="s">
        <v>292</v>
      </c>
    </row>
    <row r="42" ht="68.650000000000006">
      <c r="A42" s="11" t="s">
        <v>260</v>
      </c>
      <c r="B42" s="12" t="s">
        <v>272</v>
      </c>
      <c r="E42" s="11" t="s">
        <v>293</v>
      </c>
      <c r="F42" s="11" t="s">
        <v>294</v>
      </c>
    </row>
    <row r="43" ht="68.650000000000006">
      <c r="A43" s="11" t="s">
        <v>260</v>
      </c>
      <c r="B43" s="12" t="s">
        <v>295</v>
      </c>
      <c r="E43" s="11" t="s">
        <v>296</v>
      </c>
      <c r="F43" s="11" t="s">
        <v>297</v>
      </c>
    </row>
    <row r="44" ht="68.650000000000006">
      <c r="A44" s="11" t="s">
        <v>260</v>
      </c>
      <c r="B44" s="12" t="s">
        <v>295</v>
      </c>
      <c r="E44" s="11" t="s">
        <v>298</v>
      </c>
      <c r="F44" s="11" t="s">
        <v>299</v>
      </c>
    </row>
    <row r="45" ht="68.650000000000006">
      <c r="A45" s="11" t="s">
        <v>260</v>
      </c>
      <c r="B45" s="12" t="s">
        <v>295</v>
      </c>
      <c r="E45" s="11" t="s">
        <v>300</v>
      </c>
      <c r="F45" s="11" t="s">
        <v>301</v>
      </c>
    </row>
    <row r="46" ht="216.40000000000001">
      <c r="A46" s="11" t="s">
        <v>260</v>
      </c>
      <c r="B46" s="12" t="s">
        <v>302</v>
      </c>
      <c r="C46" s="12" t="s">
        <v>303</v>
      </c>
      <c r="E46" s="11" t="s">
        <v>304</v>
      </c>
      <c r="F46" s="11" t="s">
        <v>305</v>
      </c>
    </row>
    <row r="47" ht="216.40000000000001">
      <c r="A47" s="11" t="s">
        <v>260</v>
      </c>
      <c r="B47" s="12" t="s">
        <v>302</v>
      </c>
      <c r="C47" s="11" t="s">
        <v>306</v>
      </c>
      <c r="E47" s="11" t="s">
        <v>307</v>
      </c>
      <c r="F47" s="11" t="s">
        <v>308</v>
      </c>
    </row>
    <row r="48" ht="216.40000000000001">
      <c r="A48" s="11" t="s">
        <v>260</v>
      </c>
      <c r="B48" s="12" t="s">
        <v>302</v>
      </c>
      <c r="C48" s="11" t="s">
        <v>306</v>
      </c>
      <c r="E48" s="11" t="s">
        <v>309</v>
      </c>
      <c r="F48" s="11" t="s">
        <v>310</v>
      </c>
    </row>
    <row r="49" ht="216.40000000000001">
      <c r="A49" s="11" t="s">
        <v>260</v>
      </c>
      <c r="B49" s="12" t="s">
        <v>302</v>
      </c>
      <c r="C49" s="11" t="s">
        <v>306</v>
      </c>
      <c r="E49" s="11" t="s">
        <v>311</v>
      </c>
      <c r="F49" s="11" t="s">
        <v>312</v>
      </c>
    </row>
    <row r="50" ht="216.40000000000001">
      <c r="A50" s="11" t="s">
        <v>260</v>
      </c>
      <c r="B50" s="12" t="s">
        <v>302</v>
      </c>
      <c r="C50" s="11" t="s">
        <v>306</v>
      </c>
      <c r="E50" s="11" t="s">
        <v>313</v>
      </c>
      <c r="F50" s="11" t="s">
        <v>314</v>
      </c>
    </row>
    <row r="51" ht="216.40000000000001">
      <c r="A51" s="11" t="s">
        <v>260</v>
      </c>
      <c r="B51" s="12" t="s">
        <v>302</v>
      </c>
      <c r="C51" s="11" t="s">
        <v>306</v>
      </c>
      <c r="E51" s="11" t="s">
        <v>315</v>
      </c>
      <c r="F51" s="11" t="s">
        <v>316</v>
      </c>
    </row>
    <row r="52" ht="216.40000000000001">
      <c r="A52" s="11" t="s">
        <v>260</v>
      </c>
      <c r="B52" s="12" t="s">
        <v>302</v>
      </c>
      <c r="C52" s="11" t="s">
        <v>306</v>
      </c>
      <c r="E52" s="11" t="s">
        <v>317</v>
      </c>
      <c r="F52" s="11" t="s">
        <v>318</v>
      </c>
    </row>
    <row r="53" ht="216.40000000000001">
      <c r="A53" s="11" t="s">
        <v>260</v>
      </c>
      <c r="B53" s="12" t="s">
        <v>302</v>
      </c>
      <c r="C53" s="11" t="s">
        <v>306</v>
      </c>
      <c r="E53" s="11" t="s">
        <v>319</v>
      </c>
      <c r="F53" s="11" t="s">
        <v>320</v>
      </c>
    </row>
    <row r="54" ht="216.40000000000001">
      <c r="A54" s="11" t="s">
        <v>260</v>
      </c>
      <c r="B54" s="12" t="s">
        <v>302</v>
      </c>
      <c r="C54" s="11" t="s">
        <v>306</v>
      </c>
      <c r="E54" s="11" t="s">
        <v>258</v>
      </c>
      <c r="F54" s="11" t="s">
        <v>321</v>
      </c>
    </row>
    <row r="55" ht="216.40000000000001">
      <c r="A55" s="11" t="s">
        <v>260</v>
      </c>
      <c r="B55" s="12" t="s">
        <v>302</v>
      </c>
      <c r="C55" s="11" t="s">
        <v>306</v>
      </c>
      <c r="E55" s="11" t="s">
        <v>322</v>
      </c>
      <c r="F55" s="11" t="s">
        <v>323</v>
      </c>
    </row>
    <row r="56" ht="216.40000000000001">
      <c r="A56" s="11" t="s">
        <v>260</v>
      </c>
      <c r="B56" s="12" t="s">
        <v>302</v>
      </c>
      <c r="C56" s="11" t="s">
        <v>306</v>
      </c>
      <c r="E56" s="11" t="s">
        <v>324</v>
      </c>
      <c r="F56" s="11" t="s">
        <v>325</v>
      </c>
    </row>
    <row r="57" ht="216.40000000000001">
      <c r="A57" s="11" t="s">
        <v>260</v>
      </c>
      <c r="B57" s="12" t="s">
        <v>302</v>
      </c>
      <c r="C57" s="11" t="s">
        <v>306</v>
      </c>
      <c r="E57" s="11" t="s">
        <v>326</v>
      </c>
      <c r="F57" s="11" t="s">
        <v>327</v>
      </c>
    </row>
    <row r="58" ht="216.40000000000001">
      <c r="A58" s="11" t="s">
        <v>260</v>
      </c>
      <c r="B58" s="12" t="s">
        <v>302</v>
      </c>
      <c r="C58" s="11" t="s">
        <v>306</v>
      </c>
      <c r="E58" s="11" t="s">
        <v>328</v>
      </c>
      <c r="F58" s="11" t="s">
        <v>329</v>
      </c>
    </row>
    <row r="59" ht="216.40000000000001">
      <c r="A59" s="11" t="s">
        <v>260</v>
      </c>
      <c r="B59" s="12" t="s">
        <v>302</v>
      </c>
      <c r="C59" s="11" t="s">
        <v>306</v>
      </c>
      <c r="E59" s="11" t="s">
        <v>330</v>
      </c>
      <c r="F59" s="11" t="s">
        <v>331</v>
      </c>
    </row>
    <row r="60" ht="216.40000000000001">
      <c r="A60" s="11" t="s">
        <v>260</v>
      </c>
      <c r="B60" s="12" t="s">
        <v>302</v>
      </c>
      <c r="C60" s="11" t="s">
        <v>306</v>
      </c>
      <c r="E60" s="11" t="s">
        <v>332</v>
      </c>
      <c r="F60" s="11" t="s">
        <v>333</v>
      </c>
    </row>
    <row r="61" ht="216.40000000000001">
      <c r="A61" s="11" t="s">
        <v>260</v>
      </c>
      <c r="B61" s="12" t="s">
        <v>302</v>
      </c>
      <c r="C61" s="12" t="s">
        <v>334</v>
      </c>
      <c r="E61" s="11" t="s">
        <v>335</v>
      </c>
      <c r="F61" s="11" t="s">
        <v>336</v>
      </c>
    </row>
    <row r="62" ht="216.40000000000001">
      <c r="A62" s="11" t="s">
        <v>260</v>
      </c>
      <c r="B62" s="12" t="s">
        <v>302</v>
      </c>
      <c r="C62" s="12" t="s">
        <v>334</v>
      </c>
      <c r="E62" s="11" t="s">
        <v>337</v>
      </c>
      <c r="F62" s="11" t="s">
        <v>338</v>
      </c>
    </row>
    <row r="63" ht="216.40000000000001">
      <c r="A63" s="11" t="s">
        <v>260</v>
      </c>
      <c r="B63" s="12" t="s">
        <v>302</v>
      </c>
      <c r="C63" s="12" t="s">
        <v>334</v>
      </c>
      <c r="E63" s="11" t="s">
        <v>339</v>
      </c>
      <c r="F63" s="11" t="s">
        <v>340</v>
      </c>
    </row>
    <row r="64" ht="216.40000000000001">
      <c r="A64" s="11" t="s">
        <v>260</v>
      </c>
      <c r="B64" s="12" t="s">
        <v>302</v>
      </c>
      <c r="C64" s="12" t="s">
        <v>334</v>
      </c>
      <c r="E64" s="11" t="s">
        <v>341</v>
      </c>
      <c r="F64" s="11" t="s">
        <v>342</v>
      </c>
    </row>
    <row r="65" ht="216.40000000000001">
      <c r="A65" s="11" t="s">
        <v>260</v>
      </c>
      <c r="B65" s="12" t="s">
        <v>302</v>
      </c>
      <c r="C65" s="12" t="s">
        <v>334</v>
      </c>
      <c r="E65" s="11" t="s">
        <v>343</v>
      </c>
      <c r="F65" s="11" t="s">
        <v>344</v>
      </c>
    </row>
    <row r="66" ht="216.40000000000001">
      <c r="A66" s="11" t="s">
        <v>260</v>
      </c>
      <c r="B66" s="12" t="s">
        <v>302</v>
      </c>
      <c r="C66" s="12" t="s">
        <v>334</v>
      </c>
      <c r="E66" s="11" t="s">
        <v>345</v>
      </c>
      <c r="F66" s="11" t="s">
        <v>346</v>
      </c>
    </row>
    <row r="67" ht="216.40000000000001">
      <c r="A67" s="11" t="s">
        <v>260</v>
      </c>
      <c r="B67" s="12" t="s">
        <v>302</v>
      </c>
      <c r="C67" s="12" t="s">
        <v>334</v>
      </c>
      <c r="E67" s="11" t="s">
        <v>347</v>
      </c>
      <c r="F67" s="11" t="s">
        <v>348</v>
      </c>
    </row>
    <row r="68" ht="216.40000000000001">
      <c r="A68" s="11" t="s">
        <v>260</v>
      </c>
      <c r="B68" s="12" t="s">
        <v>302</v>
      </c>
      <c r="C68" s="12" t="s">
        <v>334</v>
      </c>
      <c r="E68" s="11" t="s">
        <v>349</v>
      </c>
      <c r="F68" s="11" t="s">
        <v>350</v>
      </c>
    </row>
    <row r="69" ht="216.40000000000001">
      <c r="A69" s="11" t="s">
        <v>260</v>
      </c>
      <c r="B69" s="12" t="s">
        <v>302</v>
      </c>
      <c r="C69" s="12" t="s">
        <v>334</v>
      </c>
      <c r="E69" s="11" t="s">
        <v>351</v>
      </c>
      <c r="F69" s="11" t="s">
        <v>352</v>
      </c>
    </row>
    <row r="70" ht="216.40000000000001">
      <c r="A70" s="11" t="s">
        <v>260</v>
      </c>
      <c r="B70" s="12" t="s">
        <v>302</v>
      </c>
      <c r="C70" s="12" t="s">
        <v>334</v>
      </c>
      <c r="E70" s="11" t="s">
        <v>353</v>
      </c>
      <c r="F70" s="11" t="s">
        <v>354</v>
      </c>
    </row>
    <row r="71" ht="216.40000000000001">
      <c r="A71" s="11" t="s">
        <v>260</v>
      </c>
      <c r="B71" s="12" t="s">
        <v>302</v>
      </c>
      <c r="C71" s="12" t="s">
        <v>334</v>
      </c>
      <c r="E71" s="11" t="s">
        <v>355</v>
      </c>
      <c r="F71" s="11" t="s">
        <v>356</v>
      </c>
    </row>
    <row r="72" ht="216.40000000000001">
      <c r="A72" s="11" t="s">
        <v>260</v>
      </c>
      <c r="B72" s="12" t="s">
        <v>302</v>
      </c>
      <c r="C72" s="12" t="s">
        <v>334</v>
      </c>
      <c r="E72" s="11" t="s">
        <v>357</v>
      </c>
      <c r="F72" s="11" t="s">
        <v>358</v>
      </c>
    </row>
    <row r="73" ht="216.40000000000001">
      <c r="A73" s="11" t="s">
        <v>260</v>
      </c>
      <c r="B73" s="12" t="s">
        <v>302</v>
      </c>
      <c r="C73" s="12" t="s">
        <v>334</v>
      </c>
      <c r="E73" s="11" t="s">
        <v>359</v>
      </c>
      <c r="F73" s="11" t="s">
        <v>360</v>
      </c>
    </row>
    <row r="74" ht="216.40000000000001">
      <c r="A74" s="11" t="s">
        <v>260</v>
      </c>
      <c r="B74" s="12" t="s">
        <v>302</v>
      </c>
      <c r="C74" s="12" t="s">
        <v>334</v>
      </c>
      <c r="E74" s="11" t="s">
        <v>361</v>
      </c>
      <c r="F74" s="11" t="s">
        <v>362</v>
      </c>
    </row>
    <row r="75" ht="216.40000000000001">
      <c r="A75" s="11" t="s">
        <v>260</v>
      </c>
      <c r="B75" s="12" t="s">
        <v>302</v>
      </c>
      <c r="C75" s="12" t="s">
        <v>334</v>
      </c>
      <c r="E75" s="11" t="s">
        <v>363</v>
      </c>
      <c r="F75" s="11" t="s">
        <v>364</v>
      </c>
    </row>
    <row r="76" ht="216.40000000000001">
      <c r="A76" s="11" t="s">
        <v>260</v>
      </c>
      <c r="B76" s="12" t="s">
        <v>302</v>
      </c>
      <c r="C76" s="12" t="s">
        <v>334</v>
      </c>
      <c r="E76" s="11" t="s">
        <v>365</v>
      </c>
      <c r="F76" s="11" t="s">
        <v>366</v>
      </c>
    </row>
    <row r="77" ht="216.40000000000001">
      <c r="A77" s="11" t="s">
        <v>260</v>
      </c>
      <c r="B77" s="12" t="s">
        <v>302</v>
      </c>
      <c r="C77" s="12" t="s">
        <v>334</v>
      </c>
      <c r="E77" s="11" t="s">
        <v>367</v>
      </c>
      <c r="F77" s="11" t="s">
        <v>368</v>
      </c>
    </row>
    <row r="78" ht="216.40000000000001">
      <c r="A78" s="11" t="s">
        <v>260</v>
      </c>
      <c r="B78" s="12" t="s">
        <v>302</v>
      </c>
      <c r="C78" s="12" t="s">
        <v>369</v>
      </c>
      <c r="E78" s="11" t="s">
        <v>370</v>
      </c>
      <c r="F78" s="27" t="s">
        <v>371</v>
      </c>
    </row>
    <row r="79" ht="216.40000000000001">
      <c r="A79" s="11" t="s">
        <v>260</v>
      </c>
      <c r="B79" s="12" t="s">
        <v>302</v>
      </c>
      <c r="C79" s="12" t="s">
        <v>369</v>
      </c>
      <c r="E79" s="11" t="s">
        <v>372</v>
      </c>
      <c r="F79" s="11" t="s">
        <v>373</v>
      </c>
    </row>
    <row r="80" ht="216.40000000000001">
      <c r="A80" s="11" t="s">
        <v>260</v>
      </c>
      <c r="B80" s="12" t="s">
        <v>302</v>
      </c>
      <c r="C80" s="12" t="s">
        <v>374</v>
      </c>
      <c r="E80" s="11" t="s">
        <v>375</v>
      </c>
      <c r="F80" s="11" t="s">
        <v>376</v>
      </c>
    </row>
    <row r="81" ht="162.65000000000001">
      <c r="A81" s="11" t="s">
        <v>260</v>
      </c>
      <c r="B81" s="11" t="s">
        <v>377</v>
      </c>
      <c r="C81" s="12" t="s">
        <v>378</v>
      </c>
      <c r="E81" s="11" t="s">
        <v>379</v>
      </c>
      <c r="F81" s="11" t="s">
        <v>380</v>
      </c>
    </row>
    <row r="82" ht="15">
      <c r="A82" s="11" t="s">
        <v>260</v>
      </c>
      <c r="B82" s="11" t="s">
        <v>377</v>
      </c>
      <c r="C82" s="11" t="s">
        <v>381</v>
      </c>
      <c r="E82" s="11" t="s">
        <v>382</v>
      </c>
      <c r="F82" s="11" t="s">
        <v>383</v>
      </c>
    </row>
    <row r="83" ht="108.95">
      <c r="A83" s="11" t="s">
        <v>260</v>
      </c>
      <c r="B83" s="12" t="s">
        <v>384</v>
      </c>
      <c r="E83" s="11" t="s">
        <v>385</v>
      </c>
      <c r="F83" s="11" t="s">
        <v>386</v>
      </c>
    </row>
    <row r="84" ht="108.95">
      <c r="A84" s="11" t="s">
        <v>260</v>
      </c>
      <c r="B84" s="12" t="s">
        <v>384</v>
      </c>
      <c r="E84" s="11" t="s">
        <v>387</v>
      </c>
      <c r="F84" s="11" t="s">
        <v>388</v>
      </c>
    </row>
    <row r="85" ht="55.200000000000003">
      <c r="A85" s="11" t="s">
        <v>389</v>
      </c>
      <c r="B85" s="12" t="s">
        <v>261</v>
      </c>
      <c r="E85" s="11" t="s">
        <v>262</v>
      </c>
      <c r="F85" s="11" t="s">
        <v>390</v>
      </c>
    </row>
    <row r="86" ht="95.5">
      <c r="A86" s="11" t="s">
        <v>389</v>
      </c>
      <c r="B86" s="12" t="s">
        <v>391</v>
      </c>
      <c r="C86" s="12" t="s">
        <v>392</v>
      </c>
      <c r="E86" s="11" t="s">
        <v>345</v>
      </c>
      <c r="F86" s="11" t="s">
        <v>393</v>
      </c>
    </row>
    <row r="87" ht="15">
      <c r="A87" s="11" t="s">
        <v>394</v>
      </c>
      <c r="B87" s="11" t="s">
        <v>395</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14</cp:revision>
  <dcterms:created xsi:type="dcterms:W3CDTF">2026-10-20T02:06:18Z</dcterms:created>
  <dcterms:modified xsi:type="dcterms:W3CDTF">2026-10-22T06:21:18Z</dcterms:modified>
</cp:coreProperties>
</file>