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Lembar Coding" sheetId="2" state="visible" r:id="rId4"/>
    <sheet name="Daftar Kode" sheetId="3" state="visible" r:id="rId5"/>
  </sheets>
  <definedNames>
    <definedName function="false" hidden="false" localSheetId="1" name="_xlnm.Print_Titles" vbProcedure="false">'Lembar Coding'!$1:$1</definedName>
    <definedName function="false" hidden="true" localSheetId="1" name="_xlnm._FilterDatabase" vbProcedure="false">'Lembar Coding'!$A$1:$R$86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Isi dengan inisial atau nomor coder, misalnya C1. Nilai ini otomatis masuk ke kolom V2 pada Lembar Coding.</t>
        </r>
      </text>
    </comment>
  </commentList>
</comments>
</file>

<file path=xl/sharedStrings.xml><?xml version="1.0" encoding="utf-8"?>
<sst xmlns="http://schemas.openxmlformats.org/spreadsheetml/2006/main" count="612" uniqueCount="377">
  <si>
    <t xml:space="preserve">Lembar Coding Pilot: Codebook Analisis Isi Krippendorff (Versi 1.0)</t>
  </si>
  <si>
    <t xml:space="preserve">Sumber data: For_Codebook_1.xlsx (85 unit dengan kolom Isi terisi, baris Excel 2 sampai 86).</t>
  </si>
  <si>
    <t xml:space="preserve">Kode coder Anda (isi sekali):</t>
  </si>
  <si>
    <t xml:space="preserve">Sel yang boleh diisi</t>
  </si>
  <si>
    <t xml:space="preserve">Kuning (kolom V4 sampai V12)</t>
  </si>
  <si>
    <t xml:space="preserve">Diisi coder. V4 sampai V9 wajib (pilih dari daftar), V10 sampai V12 opsional.</t>
  </si>
  <si>
    <t xml:space="preserve">Abu-abu (V1, V2, V3, Pilot, Rujukan, Isi)</t>
  </si>
  <si>
    <t xml:space="preserve">Rujukan. Jangan diubah. V2 terisi otomatis dari sel C4 di atas. Kolom Rujukan memuat Pasal (peraturan) atau Paragraf dan Kalimat (artikel).</t>
  </si>
  <si>
    <t xml:space="preserve">Kolom BAB dan Bagian (tersembunyi)</t>
  </si>
  <si>
    <t xml:space="preserve">Disembunyikan agar judul BAB atau Bagian tidak memengaruhi pemilihan tema. Buka dengan tombol + di atas kolom hanya bila perlu memahami rujukan antarunit. Jangan menentukan V5 dari judulnya.</t>
  </si>
  <si>
    <t xml:space="preserve">Kolom Cek</t>
  </si>
  <si>
    <t xml:space="preserve">Otomatis. "OK" berarti kombinasi kode memenuhi aturan konsistensi Bagian 9. Pesan "Periksa..." berarti jelaskan di V12 atau ulangi coding.</t>
  </si>
  <si>
    <t xml:space="preserve">Kolom Pilot</t>
  </si>
  <si>
    <t xml:space="preserve">Penanda "Ya" menunjukkan unit yang masuk pilot. Untuk pilot, kodekan hanya unit bertanda Ya (12 unit).</t>
  </si>
  <si>
    <t xml:space="preserve">Aturan singkat</t>
  </si>
  <si>
    <t xml:space="preserve">1.</t>
  </si>
  <si>
    <t xml:space="preserve">Kodekan isi yang tertulis di kolom Isi. Jangan menambah pengetahuan hukum dari luar baris tersebut.</t>
  </si>
  <si>
    <t xml:space="preserve">2.</t>
  </si>
  <si>
    <t xml:space="preserve">Urutan: V4 (Uji Implikasi), V5 (pohon keputusan Bagian 6.2), V6, V7, V8, V9, lalu periksa kolom Cek.</t>
  </si>
  <si>
    <t xml:space="preserve">3.</t>
  </si>
  <si>
    <t xml:space="preserve">Jangan mengoreksi salah ketik atau teks terpotong. Catat kendalanya di V12.</t>
  </si>
  <si>
    <t xml:space="preserve">4.</t>
  </si>
  <si>
    <t xml:space="preserve">Tentukan V5 dan V7 dari kolom Isi, bukan dari judul BAB atau Bagian.</t>
  </si>
  <si>
    <t xml:space="preserve">5.</t>
  </si>
  <si>
    <t xml:space="preserve">Bila tidak ada tema yang cocok: T99 pada V5 dan jelaskan di V12. Bila tidak ada jenis V6 yang cocok: pilih jenis terdekat dan catat alasannya di V12.</t>
  </si>
  <si>
    <t xml:space="preserve">6.</t>
  </si>
  <si>
    <t xml:space="preserve">Jangan berdiskusi dengan coder lain sebelum seluruh unit selesai dikodekan.</t>
  </si>
  <si>
    <t xml:space="preserve">Contoh format pengisian (bukan data; hanya ilustrasi)</t>
  </si>
  <si>
    <t xml:space="preserve">Kolom</t>
  </si>
  <si>
    <t xml:space="preserve">Nilai contoh</t>
  </si>
  <si>
    <t xml:space="preserve">V4 Relevansi</t>
  </si>
  <si>
    <t xml:space="preserve">R2</t>
  </si>
  <si>
    <t xml:space="preserve">V5 Tema_Utama</t>
  </si>
  <si>
    <t xml:space="preserve">T11</t>
  </si>
  <si>
    <t xml:space="preserve">V6 Jenis_Pernyataan</t>
  </si>
  <si>
    <t xml:space="preserve">P2</t>
  </si>
  <si>
    <t xml:space="preserve">V7 Subjek_Norma</t>
  </si>
  <si>
    <t xml:space="preserve">S1</t>
  </si>
  <si>
    <t xml:space="preserve">V8 Tahap_Scraping</t>
  </si>
  <si>
    <t xml:space="preserve">F6</t>
  </si>
  <si>
    <t xml:space="preserve">V9 Kebutuhan_SRS</t>
  </si>
  <si>
    <t xml:space="preserve">K1</t>
  </si>
  <si>
    <t xml:space="preserve">V10 Tema_Sekunder</t>
  </si>
  <si>
    <t xml:space="preserve">(kosong)</t>
  </si>
  <si>
    <t xml:space="preserve">V11 Draf_Kebutuhan</t>
  </si>
  <si>
    <t xml:space="preserve">Sistem harus menghentikan pemrosesan data pribadi paling lambat 3 x 24 jam setelah penarikan persetujuan.</t>
  </si>
  <si>
    <t xml:space="preserve">V12 Catatan</t>
  </si>
  <si>
    <t xml:space="preserve">Contoh di atas mengikuti contoh baris 67 pada codebook (Bagian 12 dan 11). Baris 67 bukan unit pilot.</t>
  </si>
  <si>
    <t xml:space="preserve">Kemajuan</t>
  </si>
  <si>
    <t xml:space="preserve">Unit terkode lengkap</t>
  </si>
  <si>
    <t xml:space="preserve">Unit pilot terkode lengkap</t>
  </si>
  <si>
    <t xml:space="preserve">Unit yang perlu diperbaiki</t>
  </si>
  <si>
    <t xml:space="preserve">Unit yang perlu diperbaiki = pesan Cek yang diawali R (aturan R0, R1, R2) atau P9. Pesan "Lengkapi V4-V9" belum dihitung sebagai kesalahan.</t>
  </si>
  <si>
    <t xml:space="preserve">V1 ID_Unit</t>
  </si>
  <si>
    <t xml:space="preserve">V2 Kode_Coder</t>
  </si>
  <si>
    <t xml:space="preserve">V3 Dokumen</t>
  </si>
  <si>
    <t xml:space="preserve">Pilot</t>
  </si>
  <si>
    <t xml:space="preserve">Rujukan (Pasal / Paragraf, Kalimat)</t>
  </si>
  <si>
    <t xml:space="preserve">BAB</t>
  </si>
  <si>
    <t xml:space="preserve">Bagian</t>
  </si>
  <si>
    <t xml:space="preserve">Isi</t>
  </si>
  <si>
    <t xml:space="preserve">V10 Tema_Sekunder (opsional)</t>
  </si>
  <si>
    <t xml:space="preserve">V11 Draf_Kebutuhan (opsional)</t>
  </si>
  <si>
    <t xml:space="preserve">Cek</t>
  </si>
  <si>
    <t xml:space="preserve">2019MHN201</t>
  </si>
  <si>
    <t xml:space="preserve">Paragraf 3, Kalimat 1</t>
  </si>
  <si>
    <t xml:space="preserve">C. Pembahasan</t>
  </si>
  <si>
    <t xml:space="preserve">5. Pentingnya Perlindungan Data Pribadi</t>
  </si>
  <si>
    <t xml:space="preserve">Melihat banyaknya kasus penyalahgunaan data pribadi, sangat penting untuk memberikan perlindungan data pribadi.</t>
  </si>
  <si>
    <t xml:space="preserve">Paragraf 3, Kalimat 2</t>
  </si>
  <si>
    <t xml:space="preserve">Pentingnya memberikan perlindungan data pribadi mulai menguat seiring dengan meningkatnya jumlah pengguna telepon seluler dan internet.</t>
  </si>
  <si>
    <t xml:space="preserve">Paragraf 3, 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</si>
  <si>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</si>
  <si>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Paragraf 3, Kalimat 4</t>
  </si>
  <si>
    <t xml:space="preserve">Perlindungan data pribadi berhubungan dengan konsep privasi.</t>
  </si>
  <si>
    <t xml:space="preserve">Paragraf 3, Kalimat 5</t>
  </si>
  <si>
    <t xml:space="preserve">Konsep privasi sendiri adalah gagasan untuk menjaga integritas dan martabat pribadi.</t>
  </si>
  <si>
    <t xml:space="preserve">Paragraf 3, Kalimat 6</t>
  </si>
  <si>
    <t xml:space="preserve">Hak privasi juga merupakan kemampuan individu untuk menentukan siapa yang memegang informasi tentang mereka dan bagaimana informasi tersebut digunakan.</t>
  </si>
  <si>
    <t xml:space="preserve">Paragraf 4, Kalimat 1</t>
  </si>
  <si>
    <t xml:space="preserve">Konsep perlindungan data mengisyaratkan bahwa individu memiliki hak untuk menentukan apakah mereka akan membagi atau bertukar data pribadi mereka atau tidak.</t>
  </si>
  <si>
    <t xml:space="preserve">Paragraf 4, Kalimat 2</t>
  </si>
  <si>
    <t xml:space="preserve">Selain itu, individu juga memiliki hak untuk menentukan syarat-syarat pelaksanaan pemindahan data pribadi tersebut.</t>
  </si>
  <si>
    <t xml:space="preserve">Paragraf 4, Kalimat 3</t>
  </si>
  <si>
    <t xml:space="preserve">Lebih jauh, perlindungan privasi.</t>
  </si>
  <si>
    <t xml:space="preserve">Paragraf 4, Kalimat 4</t>
  </si>
  <si>
    <t xml:space="preserve">Hak privasi telah berkembang sehingga dapat digunakan untuk merumuskan hak untuk melindungi data pribadi.</t>
  </si>
  <si>
    <t xml:space="preserve">Paragraf 5, Kalimat 1</t>
  </si>
  <si>
    <t xml:space="preserve">Perlindungan data pribadi telah diatur di dalam UUD NKRI Tahun 1945.</t>
  </si>
  <si>
    <t xml:space="preserve">Ya</t>
  </si>
  <si>
    <t xml:space="preserve">Paragraf 5, Kalimat 2</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</si>
  <si>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</si>
  <si>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 Kalimat 1</t>
  </si>
  <si>
    <t xml:space="preserve">Selain itu beberapa peraturan nasional secara umum telah mengatur untuk memberikan perlindungan data pribadi antara lain:</t>
  </si>
  <si>
    <t xml:space="preserve">Paragraf 6, Kalimat 2</t>
  </si>
  <si>
    <t xml:space="preserve">1) Undang-Undang Nomor 19 Tahun 2016 Tentang Perubahan Atas Undang-Undang Nomor 11 Tahun 2008 Tentang Informasi dan Transaksi Elektronik</t>
  </si>
  <si>
    <t xml:space="preserve">Paragraf 6, Kalimat 3</t>
  </si>
  <si>
    <t xml:space="preserve">2) Undang-Undang Nomor 11 Tahun 2008 Tentang Informasi dan Transaksi Elektronik</t>
  </si>
  <si>
    <t xml:space="preserve">Paragraf 6, Kalimat 13</t>
  </si>
  <si>
    <t xml:space="preserve">12) Peraturan Menteri Komunikasi dan Informasi Nomor 20 Tahun 2016 Tentang Perlindungan Data Pribadi Dalam Sistem Elektronik</t>
  </si>
  <si>
    <t xml:space="preserve">Paragraf 6, Kalimat 14</t>
  </si>
  <si>
    <t xml:space="preserve">13) Peraturan Pemerintah Nomor 82 Tahun 2012 Tentang Penyelenggaraan Sistem dan Transaksi Elektronik</t>
  </si>
  <si>
    <t xml:space="preserve">Paragraf 6, Kalimat 16</t>
  </si>
  <si>
    <t xml:space="preserve">15) Peraturan Menteri Komunikasi dan Informasi Nomor 4 Tahun 2016 Tentang Sistem Manajemen Pengaman Informasi</t>
  </si>
  <si>
    <t xml:space="preserve">Paragraf 7, Kalimat 2</t>
  </si>
  <si>
    <t xml:space="preserve">Dalam Pasal 26 huruf a disebutkan bahwa menjaga kerahasiaan, keutuhan, dan ketersediaan data pribadi, data transaksi, dan data keuangan yang dikelolanya sejak data diperoleh hingga data tersebut dimusnahkan.</t>
  </si>
  <si>
    <t xml:space="preserve">Paragraf 7, Kalimat 3</t>
  </si>
  <si>
    <t xml:space="preserve">Selain itu Peraturan OJK Nomor 13 Tahun 2018 Tentang Inovasi Keuangan Digital di Sektor Keuangan, telah memasukkan poin terkait perlindungan dan kerahasiaan data.</t>
  </si>
  <si>
    <t xml:space="preserve">Paragraf 7, Kalimat 4</t>
  </si>
  <si>
    <t xml:space="preserve">Pasal 30 ayat (1) menyebutkan bahwa Penyelenggara wajib menjaga kerahasiaan data pribadi, data transaksi, dan data keuangan yang dikelolanya sejak diperoleh hingga data tersebut dimusnahkan.</t>
  </si>
  <si>
    <t xml:space="preserve">Paragraf 8, Kalimat 1</t>
  </si>
  <si>
    <t xml:space="preserve">Banyaknya peraturan yang mengatur tentang perlindungan data pribadi menunjukkan pentingnya data pribadi untuk dilindungi.</t>
  </si>
  <si>
    <t xml:space="preserve">Paragraf 8, Kalimat 3</t>
  </si>
  <si>
    <t xml:space="preserve">Oleh karena itu perlu disusun suatu undang-undang yang secara khusus dapat memberikan perlindungan data pribadi.</t>
  </si>
  <si>
    <t xml:space="preserve">Paragraf 1, Kalimat 3</t>
  </si>
  <si>
    <t xml:space="preserve">D. Penutup</t>
  </si>
  <si>
    <t xml:space="preserve">Selain itu juga sudah ada Peraturan Menteri Nomor 20 Tahun 2016 tentang Perlindungan Data Pribadi namun belum cukup memberikan perlindungan kepada konsumen.</t>
  </si>
  <si>
    <t xml:space="preserve">Paragraf 1, Kalimat 4</t>
  </si>
  <si>
    <t xml:space="preserve">Oleh karenanya Pemerintah perlu segera memberikan perlindungan data pribadi nasabah agar tidak disalahgunakan.</t>
  </si>
  <si>
    <t xml:space="preserve">UU 23 Thn 2002 (Perlindungan Anak)</t>
  </si>
  <si>
    <t xml:space="preserve">Pasal 27</t>
  </si>
  <si>
    <t xml:space="preserve">BAB V
KEDUDUKAN ANAK</t>
  </si>
  <si>
    <t xml:space="preserve">Bagian Kesatu
Identitas Anak</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</si>
  <si>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</si>
  <si>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</si>
  <si>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Pasal 1</t>
  </si>
  <si>
    <t xml:space="preserve">BAB I
KETENTUAN UMUM</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</si>
  <si>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</si>
  <si>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</si>
  <si>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</si>
  <si>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Pasal 3</t>
  </si>
  <si>
    <t xml:space="preserve">BAB II
ASAS</t>
  </si>
  <si>
    <t xml:space="preserve">a. perlindungan; b. kepastian hukum; c. kepentingan umum; d. Kemanfaatan; e. Kehati-hatian; f. Keseimbangan; g. Pertanggungjawaban; dan h. kerahasiaan.</t>
  </si>
  <si>
    <t xml:space="preserve">Pasal 4</t>
  </si>
  <si>
    <t xml:space="preserve">BAB III
JENIS DATA PRIBADI</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</si>
  <si>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</si>
  <si>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Pasal 5</t>
  </si>
  <si>
    <t xml:space="preserve">BAB IV
HAK SUBJEK DATA PRIBADI</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</si>
  <si>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</si>
  <si>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</si>
  <si>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</si>
  <si>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</si>
  <si>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</si>
  <si>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</si>
  <si>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</si>
  <si>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</si>
  <si>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</si>
  <si>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</si>
  <si>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</si>
  <si>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</si>
  <si>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</si>
  <si>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</si>
  <si>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</si>
  <si>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</si>
  <si>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</si>
  <si>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</si>
  <si>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</si>
  <si>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</si>
  <si>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</si>
  <si>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Pasal 16</t>
  </si>
  <si>
    <t xml:space="preserve">BAB V
PEMROSESAN DATA PRIBADI</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</si>
  <si>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</si>
  <si>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</si>
  <si>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</si>
  <si>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</si>
  <si>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</si>
  <si>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Pasal 19</t>
  </si>
  <si>
    <t xml:space="preserve">BAB VI
KEWAJIBAN PENGENDALI DATA PRIBADI DAN PROSESOR DATA PRIBADI DALAM PEMROSESAN DATA PRIBADI</t>
  </si>
  <si>
    <t xml:space="preserve">Bagian Kesatu
Umum</t>
  </si>
  <si>
    <t xml:space="preserve">Pengendali Data Pribadi dan Prosesor Data Pribadi meliputi: a. Setiap Orang; b. Badan Publik; dan c. Organisasi Internasional.</t>
  </si>
  <si>
    <t xml:space="preserve">Pasal 20</t>
  </si>
  <si>
    <t xml:space="preserve">Bagian Kedua Kewajiban Pengendali Data Pribadi</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</si>
  <si>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</si>
  <si>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</si>
  <si>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</si>
  <si>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</si>
  <si>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</si>
  <si>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</si>
  <si>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</si>
  <si>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</si>
  <si>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</si>
  <si>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</si>
  <si>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</si>
  <si>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</si>
  <si>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</si>
  <si>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</si>
  <si>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</si>
  <si>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</si>
  <si>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</si>
  <si>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</si>
  <si>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</si>
  <si>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</si>
  <si>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</si>
  <si>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</si>
  <si>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</si>
  <si>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</si>
  <si>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</si>
  <si>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</si>
  <si>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Pasal 34</t>
  </si>
  <si>
    <t xml:space="preserve">Bagian Kedua
Kewajiban Pengendali Data Pribadi</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</si>
  <si>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</si>
  <si>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</si>
  <si>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</si>
  <si>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</si>
  <si>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</si>
  <si>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</si>
  <si>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</si>
  <si>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</si>
  <si>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</si>
  <si>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</si>
  <si>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</si>
  <si>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</si>
  <si>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</si>
  <si>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</si>
  <si>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</si>
  <si>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</si>
  <si>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</si>
  <si>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</si>
  <si>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</si>
  <si>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</si>
  <si>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</si>
  <si>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</si>
  <si>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</si>
  <si>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</si>
  <si>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</si>
  <si>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</si>
  <si>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</si>
  <si>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</si>
  <si>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</si>
  <si>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</si>
  <si>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</si>
  <si>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</si>
  <si>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</si>
  <si>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Pasal 51</t>
  </si>
  <si>
    <t xml:space="preserve">Bagian Ketiga
Kewajiban Prosesor Data Pribadi</t>
  </si>
  <si>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</si>
  <si>
    <t xml:space="preserve">Pasal 52</t>
  </si>
  <si>
    <t xml:space="preserve">Ketentuan mengenai kewajiban Pengendali Data Pribadi sebagaimana dimaksud dalam Pasal 29, Pasal 31, Pasal 35, Pasal 36, Pasal 37, Pasal 38, dan Pasal 39 berlaku juga terhadap Prosesor Data Pribadi.</t>
  </si>
  <si>
    <t xml:space="preserve">Pasal 53</t>
  </si>
  <si>
    <t xml:space="preserve">Bagian Keempat
Pejabat atau Petugas yang Melaksanakan Fungsi Pelindungan Data Pribadi</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</si>
  <si>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</si>
  <si>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Pasal 55</t>
  </si>
  <si>
    <t xml:space="preserve">BAB VII TRANSFER DATA PRIBADI</t>
  </si>
  <si>
    <t xml:space="preserve">Bagian Kesatu
Transfer Data Pribadi Dalam Wilayah Hukum Negara Republik Indonesia</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</si>
  <si>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</si>
  <si>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Pasal 56</t>
  </si>
  <si>
    <t xml:space="preserve">Bagian Kedua</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</si>
  <si>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</si>
  <si>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Pasal 65</t>
  </si>
  <si>
    <t xml:space="preserve">BAB XIII
LARANGAN DALAM PENGGUNAAN DATA PRIBADI</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</si>
  <si>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</si>
  <si>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</si>
  <si>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</si>
  <si>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</si>
  <si>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</si>
  <si>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</si>
  <si>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</si>
  <si>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</si>
  <si>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Daftar kode (ringkasan dari codebook Versi 1.0; definisi lengkap ada di codebook)</t>
  </si>
  <si>
    <t xml:space="preserve">R0</t>
  </si>
  <si>
    <t xml:space="preserve">Tidak relevan</t>
  </si>
  <si>
    <t xml:space="preserve">Tidak memengaruhi desain atau perilaku sistem</t>
  </si>
  <si>
    <t xml:space="preserve">R1</t>
  </si>
  <si>
    <t xml:space="preserve">Relevan tidak langsung</t>
  </si>
  <si>
    <t xml:space="preserve">Definisi, asas, konsep, latar, atau norma khusus pihak tertentu</t>
  </si>
  <si>
    <t xml:space="preserve">Relevan langsung</t>
  </si>
  <si>
    <t xml:space="preserve">Kewajiban, larangan, hak, syarat, atau batasan yang dapat diturunkan menjadi kebutuhan sistem</t>
  </si>
  <si>
    <t xml:space="preserve">V5 Tema Utama (jalankan pohon keputusan Bagian 6.2)</t>
  </si>
  <si>
    <t xml:space="preserve">T01</t>
  </si>
  <si>
    <t xml:space="preserve">Definisi, Istilah, dan Ruang Lingkup</t>
  </si>
  <si>
    <t xml:space="preserve">T02</t>
  </si>
  <si>
    <t xml:space="preserve">Asas dan Prinsip Pemrosesan</t>
  </si>
  <si>
    <t xml:space="preserve">T03</t>
  </si>
  <si>
    <t xml:space="preserve">Jenis dan Klasifikasi Data Pribadi</t>
  </si>
  <si>
    <t xml:space="preserve">T04</t>
  </si>
  <si>
    <t xml:space="preserve">Hak Subjek Data Pribadi</t>
  </si>
  <si>
    <t xml:space="preserve">T05</t>
  </si>
  <si>
    <t xml:space="preserve">Dasar Pemrosesan dan Persetujuan</t>
  </si>
  <si>
    <t xml:space="preserve">T06</t>
  </si>
  <si>
    <t xml:space="preserve">Aktivitas Pemrosesan dan Pengumpulan</t>
  </si>
  <si>
    <t xml:space="preserve">T07</t>
  </si>
  <si>
    <t xml:space="preserve">Data Pribadi Anak dan Kelompok Rentan</t>
  </si>
  <si>
    <t xml:space="preserve">T08</t>
  </si>
  <si>
    <t xml:space="preserve">Kualitas, Akurasi, dan Pembaruan Data</t>
  </si>
  <si>
    <t xml:space="preserve">T09</t>
  </si>
  <si>
    <t xml:space="preserve">Akuntabilitas, Pencatatan, dan Tata Kelola Kepatuhan</t>
  </si>
  <si>
    <t xml:space="preserve">T10</t>
  </si>
  <si>
    <t xml:space="preserve">Keamanan, Kerahasiaan, dan Penanganan Insiden</t>
  </si>
  <si>
    <t xml:space="preserve">Retensi, Penghentian, Penghapusan, dan Pemusnahan</t>
  </si>
  <si>
    <t xml:space="preserve">T12</t>
  </si>
  <si>
    <t xml:space="preserve">Pengecualian dan Pembatasan</t>
  </si>
  <si>
    <t xml:space="preserve">T13</t>
  </si>
  <si>
    <t xml:space="preserve">Transfer dan Pengalihan Data</t>
  </si>
  <si>
    <t xml:space="preserve">T14</t>
  </si>
  <si>
    <t xml:space="preserve">Larangan dan Perbuatan Melawan Hukum</t>
  </si>
  <si>
    <t xml:space="preserve">T15</t>
  </si>
  <si>
    <t xml:space="preserve">Akses dan Pemanfaatan Data Pemerintah</t>
  </si>
  <si>
    <t xml:space="preserve">T16</t>
  </si>
  <si>
    <t xml:space="preserve">Urgensi, Konsep, dan Landasan Pelindungan Data</t>
  </si>
  <si>
    <t xml:space="preserve">T17</t>
  </si>
  <si>
    <t xml:space="preserve">Rujukan Regulasi Lain</t>
  </si>
  <si>
    <t xml:space="preserve">T99</t>
  </si>
  <si>
    <t xml:space="preserve">Lainnya</t>
  </si>
  <si>
    <t xml:space="preserve">Residual: hanya bila pohon keputusan tidak menghasilkan tema; wajib isi V12</t>
  </si>
  <si>
    <t xml:space="preserve">V6 Jenis Pernyataan (prioritas bila seri: P1 &gt; P2 &gt; P3 &gt; P5 &gt; P4 &gt; P6 &gt; P7 &gt; P8 &gt; P9)</t>
  </si>
  <si>
    <t xml:space="preserve">P1</t>
  </si>
  <si>
    <t xml:space="preserve">Larangan</t>
  </si>
  <si>
    <t xml:space="preserve">dilarang, tidak boleh</t>
  </si>
  <si>
    <t xml:space="preserve">Kewajiban</t>
  </si>
  <si>
    <t xml:space="preserve">wajib, harus, berkewajiban</t>
  </si>
  <si>
    <t xml:space="preserve">P3</t>
  </si>
  <si>
    <t xml:space="preserve">Hak</t>
  </si>
  <si>
    <t xml:space="preserve">berhak, hak</t>
  </si>
  <si>
    <t xml:space="preserve">P4</t>
  </si>
  <si>
    <t xml:space="preserve">Kebolehan atau kewenangan</t>
  </si>
  <si>
    <t xml:space="preserve">dapat, boleh, berwenang</t>
  </si>
  <si>
    <t xml:space="preserve">P5</t>
  </si>
  <si>
    <t xml:space="preserve">Pengecualian atau pembatasan</t>
  </si>
  <si>
    <t xml:space="preserve">dikecualikan, tidak berlaku, wajib menolak</t>
  </si>
  <si>
    <t xml:space="preserve">P6</t>
  </si>
  <si>
    <t xml:space="preserve">Definisi, klasifikasi, atau ruang lingkup</t>
  </si>
  <si>
    <t xml:space="preserve">yang dimaksud dengan, meliputi, berlaku untuk</t>
  </si>
  <si>
    <t xml:space="preserve">P7</t>
  </si>
  <si>
    <t xml:space="preserve">Asas, prinsip, atau tujuan umum</t>
  </si>
  <si>
    <t xml:space="preserve">P8</t>
  </si>
  <si>
    <t xml:space="preserve">Deskriptif, argumentatif, atau rekomendasi</t>
  </si>
  <si>
    <t xml:space="preserve">khas artikel</t>
  </si>
  <si>
    <t xml:space="preserve">P9</t>
  </si>
  <si>
    <t xml:space="preserve">Rujukan atau daftar</t>
  </si>
  <si>
    <t xml:space="preserve">hanya berpasangan dengan T17</t>
  </si>
  <si>
    <t xml:space="preserve">V7 Subjek Norma</t>
  </si>
  <si>
    <t xml:space="preserve">Pengendali Data Pribadi</t>
  </si>
  <si>
    <t xml:space="preserve">S2</t>
  </si>
  <si>
    <t xml:space="preserve">Prosesor Data Pribadi</t>
  </si>
  <si>
    <t xml:space="preserve">S3</t>
  </si>
  <si>
    <t xml:space="preserve">Pengendali dan Prosesor</t>
  </si>
  <si>
    <t xml:space="preserve">keduanya disebut</t>
  </si>
  <si>
    <t xml:space="preserve">S4</t>
  </si>
  <si>
    <t xml:space="preserve">Subjek Data Pribadi</t>
  </si>
  <si>
    <t xml:space="preserve">S5</t>
  </si>
  <si>
    <t xml:space="preserve">Setiap Orang atau pihak umum</t>
  </si>
  <si>
    <t xml:space="preserve">S6</t>
  </si>
  <si>
    <t xml:space="preserve">Instansi atau Badan Publik</t>
  </si>
  <si>
    <t xml:space="preserve">S7</t>
  </si>
  <si>
    <t xml:space="preserve">Lembaga atau Pemerintah (otoritas)</t>
  </si>
  <si>
    <t xml:space="preserve">S8</t>
  </si>
  <si>
    <t xml:space="preserve">Penyelenggara sektor atau pihak lain</t>
  </si>
  <si>
    <t xml:space="preserve">S9</t>
  </si>
  <si>
    <t xml:space="preserve">Tidak ada subjek eksplisit</t>
  </si>
  <si>
    <t xml:space="preserve">jangan menebak subjek</t>
  </si>
  <si>
    <t xml:space="preserve">V8 Tahap Siklus Scraping (bila beberapa tahap F1 sampai F6, pilih yang paling awal)</t>
  </si>
  <si>
    <t xml:space="preserve">F1</t>
  </si>
  <si>
    <t xml:space="preserve">Perencanaan dan dasar pemrosesan</t>
  </si>
  <si>
    <t xml:space="preserve">F2</t>
  </si>
  <si>
    <t xml:space="preserve">Pengumpulan atau akuisisi</t>
  </si>
  <si>
    <t xml:space="preserve">F3</t>
  </si>
  <si>
    <t xml:space="preserve">Pengolahan dan analisis</t>
  </si>
  <si>
    <t xml:space="preserve">F4</t>
  </si>
  <si>
    <t xml:space="preserve">Penyimpanan dan pengamanan</t>
  </si>
  <si>
    <t xml:space="preserve">F5</t>
  </si>
  <si>
    <t xml:space="preserve">Penyebarluasan dan transfer</t>
  </si>
  <si>
    <t xml:space="preserve">Retensi dan penghapusan</t>
  </si>
  <si>
    <t xml:space="preserve">F7</t>
  </si>
  <si>
    <t xml:space="preserve">Tata kelola dan hak subjek</t>
  </si>
  <si>
    <t xml:space="preserve">F8</t>
  </si>
  <si>
    <t xml:space="preserve">Lintas tahap atau tidak spesifik</t>
  </si>
  <si>
    <t xml:space="preserve">V9 Kandidat Kebutuhan SRS (urutan periksa: K1, K2, K3, K4)</t>
  </si>
  <si>
    <t xml:space="preserve">Fungsional</t>
  </si>
  <si>
    <t xml:space="preserve">Tindakan spesifik yang dapat diuji</t>
  </si>
  <si>
    <t xml:space="preserve">K2</t>
  </si>
  <si>
    <t xml:space="preserve">Non-fungsional: keamanan dan kerahasiaan</t>
  </si>
  <si>
    <t xml:space="preserve">K3</t>
  </si>
  <si>
    <t xml:space="preserve">Non-fungsional: kepatuhan dan akuntabilitas</t>
  </si>
  <si>
    <t xml:space="preserve">K4</t>
  </si>
  <si>
    <t xml:space="preserve">Batasan atau aturan bisnis hukum</t>
  </si>
  <si>
    <t xml:space="preserve">K5</t>
  </si>
  <si>
    <t xml:space="preserve">Tidak menghasilkan kebutuhan</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</si>
</sst>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i val="true"/>
      <sz val="9"/>
      <name val="Arial"/>
      <family val="0"/>
      <charset val="1"/>
    </font>
    <font>
      <sz val="10"/>
      <name val="Arial"/>
      <family val="2"/>
    </font>
  </fonts>
  <fills count="7">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
      <patternFill patternType="solid">
        <fgColor rgb="FFFFD966"/>
        <bgColor rgb="FFFFE699"/>
      </patternFill>
    </fill>
    <fill>
      <patternFill patternType="solid">
        <fgColor rgb="FFD9E1F2"/>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D966"/>
          <bgColor rgb="FF000000"/>
        </patternFill>
      </fill>
    </dxf>
    <dxf>
      <fill>
        <patternFill patternType="solid">
          <fgColor rgb="FFFFF2CC"/>
          <bgColor rgb="FF000000"/>
        </patternFill>
      </fill>
    </dxf>
    <dxf>
      <fill>
        <patternFill patternType="solid">
          <fgColor rgb="FF0000FF"/>
          <bgColor rgb="FF000000"/>
        </patternFill>
      </fill>
    </dxf>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70"/>
    <col collapsed="false" customWidth="true" hidden="false" outlineLevel="0" max="4" min="4" style="0" width="16"/>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6" customFormat="false" ht="15" hidden="false" customHeight="false" outlineLevel="0" collapsed="false">
      <c r="B6" s="3" t="s">
        <v>3</v>
      </c>
    </row>
    <row r="7" customFormat="false" ht="15" hidden="false" customHeight="false" outlineLevel="0" collapsed="false">
      <c r="B7" s="5" t="s">
        <v>4</v>
      </c>
      <c r="C7" s="6" t="s">
        <v>5</v>
      </c>
    </row>
    <row r="8" customFormat="false" ht="23.85" hidden="false" customHeight="false" outlineLevel="0" collapsed="false">
      <c r="B8" s="5" t="s">
        <v>6</v>
      </c>
      <c r="C8" s="6" t="s">
        <v>7</v>
      </c>
    </row>
    <row r="9" customFormat="false" ht="35.05" hidden="false" customHeight="false" outlineLevel="0" collapsed="false">
      <c r="B9" s="5" t="s">
        <v>8</v>
      </c>
      <c r="C9" s="6" t="s">
        <v>9</v>
      </c>
    </row>
    <row r="10" customFormat="false" ht="23.85" hidden="false" customHeight="false" outlineLevel="0" collapsed="false">
      <c r="B10" s="5" t="s">
        <v>10</v>
      </c>
      <c r="C10" s="6" t="s">
        <v>11</v>
      </c>
    </row>
    <row r="11" customFormat="false" ht="23.85" hidden="false" customHeight="false" outlineLevel="0" collapsed="false">
      <c r="B11" s="5" t="s">
        <v>12</v>
      </c>
      <c r="C11" s="6" t="s">
        <v>13</v>
      </c>
    </row>
    <row r="13" customFormat="false" ht="15" hidden="false" customHeight="false" outlineLevel="0" collapsed="false">
      <c r="B13" s="3" t="s">
        <v>14</v>
      </c>
    </row>
    <row r="14" customFormat="false" ht="23.85" hidden="false" customHeight="false" outlineLevel="0" collapsed="false">
      <c r="B14" s="7" t="s">
        <v>15</v>
      </c>
      <c r="C14" s="6" t="s">
        <v>16</v>
      </c>
    </row>
    <row r="15" customFormat="false" ht="23.85" hidden="false" customHeight="false" outlineLevel="0" collapsed="false">
      <c r="B15" s="7" t="s">
        <v>17</v>
      </c>
      <c r="C15" s="6" t="s">
        <v>18</v>
      </c>
    </row>
    <row r="16" customFormat="false" ht="15" hidden="false" customHeight="false" outlineLevel="0" collapsed="false">
      <c r="B16" s="7" t="s">
        <v>19</v>
      </c>
      <c r="C16" s="6" t="s">
        <v>20</v>
      </c>
    </row>
    <row r="17" customFormat="false" ht="15" hidden="false" customHeight="false" outlineLevel="0" collapsed="false">
      <c r="B17" s="7" t="s">
        <v>21</v>
      </c>
      <c r="C17" s="6" t="s">
        <v>22</v>
      </c>
    </row>
    <row r="18" customFormat="false" ht="23.85" hidden="false" customHeight="false" outlineLevel="0" collapsed="false">
      <c r="B18" s="7" t="s">
        <v>23</v>
      </c>
      <c r="C18" s="6" t="s">
        <v>24</v>
      </c>
    </row>
    <row r="19" customFormat="false" ht="15" hidden="false" customHeight="false" outlineLevel="0" collapsed="false">
      <c r="B19" s="7" t="s">
        <v>25</v>
      </c>
      <c r="C19" s="6" t="s">
        <v>26</v>
      </c>
    </row>
    <row r="21" customFormat="false" ht="15" hidden="false" customHeight="false" outlineLevel="0" collapsed="false">
      <c r="B21" s="3" t="s">
        <v>27</v>
      </c>
    </row>
    <row r="22" customFormat="false" ht="15" hidden="false" customHeight="false" outlineLevel="0" collapsed="false">
      <c r="B22" s="8" t="s">
        <v>28</v>
      </c>
      <c r="C22" s="8" t="s">
        <v>29</v>
      </c>
    </row>
    <row r="23" customFormat="false" ht="15" hidden="false" customHeight="false" outlineLevel="0" collapsed="false">
      <c r="B23" s="9" t="s">
        <v>30</v>
      </c>
      <c r="C23" s="9" t="s">
        <v>31</v>
      </c>
    </row>
    <row r="24" customFormat="false" ht="15" hidden="false" customHeight="false" outlineLevel="0" collapsed="false">
      <c r="B24" s="9" t="s">
        <v>32</v>
      </c>
      <c r="C24" s="9" t="s">
        <v>33</v>
      </c>
    </row>
    <row r="25" customFormat="false" ht="15" hidden="false" customHeight="false" outlineLevel="0" collapsed="false">
      <c r="B25" s="9" t="s">
        <v>34</v>
      </c>
      <c r="C25" s="9" t="s">
        <v>35</v>
      </c>
    </row>
    <row r="26" customFormat="false" ht="15" hidden="false" customHeight="false" outlineLevel="0" collapsed="false">
      <c r="B26" s="9" t="s">
        <v>36</v>
      </c>
      <c r="C26" s="9" t="s">
        <v>37</v>
      </c>
    </row>
    <row r="27" customFormat="false" ht="15" hidden="false" customHeight="false" outlineLevel="0" collapsed="false">
      <c r="B27" s="9" t="s">
        <v>38</v>
      </c>
      <c r="C27" s="9" t="s">
        <v>39</v>
      </c>
    </row>
    <row r="28" customFormat="false" ht="15" hidden="false" customHeight="false" outlineLevel="0" collapsed="false">
      <c r="B28" s="9" t="s">
        <v>40</v>
      </c>
      <c r="C28" s="9" t="s">
        <v>41</v>
      </c>
    </row>
    <row r="29" customFormat="false" ht="15" hidden="false" customHeight="false" outlineLevel="0" collapsed="false">
      <c r="B29" s="9" t="s">
        <v>42</v>
      </c>
      <c r="C29" s="9" t="s">
        <v>43</v>
      </c>
    </row>
    <row r="30" customFormat="false" ht="23.85" hidden="false" customHeight="false" outlineLevel="0" collapsed="false">
      <c r="B30" s="9" t="s">
        <v>44</v>
      </c>
      <c r="C30" s="9" t="s">
        <v>45</v>
      </c>
    </row>
    <row r="31" customFormat="false" ht="15" hidden="false" customHeight="false" outlineLevel="0" collapsed="false">
      <c r="B31" s="9" t="s">
        <v>46</v>
      </c>
      <c r="C31" s="9" t="s">
        <v>43</v>
      </c>
    </row>
    <row r="33" customFormat="false" ht="15" hidden="false" customHeight="false" outlineLevel="0" collapsed="false">
      <c r="B33" s="10" t="s">
        <v>47</v>
      </c>
    </row>
    <row r="35" customFormat="false" ht="15" hidden="false" customHeight="false" outlineLevel="0" collapsed="false">
      <c r="B35" s="3" t="s">
        <v>48</v>
      </c>
    </row>
    <row r="36" customFormat="false" ht="15" hidden="false" customHeight="false" outlineLevel="0" collapsed="false">
      <c r="B36" s="2" t="s">
        <v>49</v>
      </c>
      <c r="C36" s="11" t="n">
        <f aca="false">COUNTIF('Lembar Coding'!R2:R86,"OK")+COUNTIF('Lembar Coding'!R2:R86,"Periksa*")</f>
        <v>0</v>
      </c>
    </row>
    <row r="37" customFormat="false" ht="15" hidden="false" customHeight="false" outlineLevel="0" collapsed="false">
      <c r="B37" s="2" t="s">
        <v>50</v>
      </c>
      <c r="C37" s="11" t="n">
        <f aca="false">COUNTIFS('Lembar Coding'!R2:R86,"OK",'Lembar Coding'!D2:D86,"Ya")+COUNTIFS('Lembar Coding'!R2:R86,"Periksa*",'Lembar Coding'!D2:D86,"Ya")</f>
        <v>0</v>
      </c>
    </row>
    <row r="38" customFormat="false" ht="15" hidden="false" customHeight="false" outlineLevel="0" collapsed="false">
      <c r="B38" s="2" t="s">
        <v>51</v>
      </c>
      <c r="C38" s="11" t="n">
        <f aca="false">COUNTIF('Lembar Coding'!R2:R86,"R*")+COUNTIF('Lembar Coding'!R2:R86,"P9*")</f>
        <v>0</v>
      </c>
    </row>
    <row r="39" customFormat="false" ht="15" hidden="false" customHeight="false" outlineLevel="0" collapsed="false">
      <c r="B39"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8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1" min="1" style="0" width="9"/>
    <col collapsed="false" customWidth="true" hidden="false" outlineLevel="0" max="2" min="2" style="0" width="10"/>
    <col collapsed="false" customWidth="true" hidden="false" outlineLevel="0" max="3" min="3" style="0" width="22"/>
    <col collapsed="false" customWidth="true" hidden="false" outlineLevel="0" max="4" min="4" style="0" width="7"/>
    <col collapsed="false" customWidth="true" hidden="false" outlineLevel="0" max="5" min="5" style="0" width="20"/>
    <col collapsed="false" customWidth="true" hidden="true" outlineLevel="1" max="7" min="6" style="0" width="24"/>
    <col collapsed="false" customWidth="true" hidden="false" outlineLevel="0" max="8" min="8" style="0" width="75"/>
    <col collapsed="false" customWidth="true" hidden="false" outlineLevel="0" max="10" min="9" style="0" width="11"/>
    <col collapsed="false" customWidth="true" hidden="false" outlineLevel="0" max="11" min="11" style="0" width="13"/>
    <col collapsed="false" customWidth="true" hidden="false" outlineLevel="0" max="12" min="12" style="0" width="11"/>
    <col collapsed="false" customWidth="true" hidden="false" outlineLevel="0" max="13" min="13" style="0" width="12"/>
    <col collapsed="false" customWidth="true" hidden="false" outlineLevel="0" max="14" min="14" style="0" width="13"/>
    <col collapsed="false" customWidth="true" hidden="false" outlineLevel="0" max="15" min="15" style="0" width="14"/>
    <col collapsed="false" customWidth="true" hidden="false" outlineLevel="0" max="16" min="16" style="0" width="38"/>
    <col collapsed="false" customWidth="true" hidden="false" outlineLevel="0" max="17" min="17" style="0" width="32"/>
    <col collapsed="false" customWidth="true" hidden="false" outlineLevel="0" max="18" min="18" style="0" width="30"/>
  </cols>
  <sheetData>
    <row r="1" customFormat="false" ht="42" hidden="false" customHeight="true" outlineLevel="0" collapsed="false">
      <c r="A1" s="12" t="s">
        <v>53</v>
      </c>
      <c r="B1" s="12" t="s">
        <v>54</v>
      </c>
      <c r="C1" s="12" t="s">
        <v>55</v>
      </c>
      <c r="D1" s="12" t="s">
        <v>56</v>
      </c>
      <c r="E1" s="12" t="s">
        <v>57</v>
      </c>
      <c r="F1" s="12" t="s">
        <v>58</v>
      </c>
      <c r="G1" s="12" t="s">
        <v>59</v>
      </c>
      <c r="H1" s="12" t="s">
        <v>60</v>
      </c>
      <c r="I1" s="12" t="s">
        <v>30</v>
      </c>
      <c r="J1" s="12" t="s">
        <v>32</v>
      </c>
      <c r="K1" s="12" t="s">
        <v>34</v>
      </c>
      <c r="L1" s="12" t="s">
        <v>36</v>
      </c>
      <c r="M1" s="12" t="s">
        <v>38</v>
      </c>
      <c r="N1" s="12" t="s">
        <v>40</v>
      </c>
      <c r="O1" s="12" t="s">
        <v>61</v>
      </c>
      <c r="P1" s="12" t="s">
        <v>62</v>
      </c>
      <c r="Q1" s="12" t="s">
        <v>46</v>
      </c>
      <c r="R1" s="12" t="s">
        <v>63</v>
      </c>
    </row>
    <row r="2" customFormat="false" ht="23.85" hidden="false" customHeight="false" outlineLevel="0" collapsed="false">
      <c r="A2" s="13" t="n">
        <v>2</v>
      </c>
      <c r="B2" s="13" t="str">
        <f aca="false">IF(Petunjuk!$C$4="","",Petunjuk!$C$4)</f>
        <v/>
      </c>
      <c r="C2" s="14" t="s">
        <v>64</v>
      </c>
      <c r="D2" s="13"/>
      <c r="E2" s="14" t="s">
        <v>65</v>
      </c>
      <c r="F2" s="14" t="s">
        <v>66</v>
      </c>
      <c r="G2" s="14" t="s">
        <v>67</v>
      </c>
      <c r="H2" s="14" t="s">
        <v>68</v>
      </c>
      <c r="I2" s="15"/>
      <c r="J2" s="15"/>
      <c r="K2" s="15"/>
      <c r="L2" s="15"/>
      <c r="M2" s="15"/>
      <c r="N2" s="15"/>
      <c r="O2" s="15"/>
      <c r="P2" s="16"/>
      <c r="Q2" s="16"/>
      <c r="R2" s="9" t="str">
        <f aca="false">IF(COUNTA(I2:N2)&lt;6,"Lengkapi V4-V9",IF(AND(I2="R0",N2&lt;&gt;"K5"),"R0 harus berpasangan dengan K5",IF(AND(I2="R1",N2&lt;&gt;"K4",N2&lt;&gt;"K5"),"R1 hanya dengan K4 atau K5",IF(AND(I2="R2",N2="K5"),"R2 tidak boleh K5",IF(AND(K2="P9",J2&lt;&gt;"T17"),"P9 hanya dengan T17",IF(AND(J2="T01",K2&lt;&gt;"P6",Q2=""),"Periksa T01-P6: jelaskan di V12",IF(AND(K2="P1",N2&lt;&gt;"K4",Q2=""),"Periksa P1-K4: jelaskan di V12",IF(AND(J2="T99",Q2=""),"Periksa T99: wajib isi V12","OK"))))))))</f>
        <v>Lengkapi V4-V9</v>
      </c>
    </row>
    <row r="3" customFormat="false" ht="23.85" hidden="false" customHeight="false" outlineLevel="0" collapsed="false">
      <c r="A3" s="13" t="n">
        <v>3</v>
      </c>
      <c r="B3" s="13" t="str">
        <f aca="false">IF(Petunjuk!$C$4="","",Petunjuk!$C$4)</f>
        <v/>
      </c>
      <c r="C3" s="14" t="s">
        <v>64</v>
      </c>
      <c r="D3" s="13"/>
      <c r="E3" s="14" t="s">
        <v>69</v>
      </c>
      <c r="F3" s="14" t="s">
        <v>66</v>
      </c>
      <c r="G3" s="14" t="s">
        <v>67</v>
      </c>
      <c r="H3" s="14" t="s">
        <v>70</v>
      </c>
      <c r="I3" s="15"/>
      <c r="J3" s="15"/>
      <c r="K3" s="15"/>
      <c r="L3" s="15"/>
      <c r="M3" s="15"/>
      <c r="N3" s="15"/>
      <c r="O3" s="15"/>
      <c r="P3" s="16"/>
      <c r="Q3" s="16"/>
      <c r="R3" s="9" t="str">
        <f aca="false">IF(COUNTA(I3:N3)&lt;6,"Lengkapi V4-V9",IF(AND(I3="R0",N3&lt;&gt;"K5"),"R0 harus berpasangan dengan K5",IF(AND(I3="R1",N3&lt;&gt;"K4",N3&lt;&gt;"K5"),"R1 hanya dengan K4 atau K5",IF(AND(I3="R2",N3="K5"),"R2 tidak boleh K5",IF(AND(K3="P9",J3&lt;&gt;"T17"),"P9 hanya dengan T17",IF(AND(J3="T01",K3&lt;&gt;"P6",Q3=""),"Periksa T01-P6: jelaskan di V12",IF(AND(K3="P1",N3&lt;&gt;"K4",Q3=""),"Periksa P1-K4: jelaskan di V12",IF(AND(J3="T99",Q3=""),"Periksa T99: wajib isi V12","OK"))))))))</f>
        <v>Lengkapi V4-V9</v>
      </c>
    </row>
    <row r="4" customFormat="false" ht="35.05" hidden="false" customHeight="false" outlineLevel="0" collapsed="false">
      <c r="A4" s="13" t="n">
        <v>4</v>
      </c>
      <c r="B4" s="13" t="str">
        <f aca="false">IF(Petunjuk!$C$4="","",Petunjuk!$C$4)</f>
        <v/>
      </c>
      <c r="C4" s="14" t="s">
        <v>64</v>
      </c>
      <c r="D4" s="13"/>
      <c r="E4" s="14" t="s">
        <v>71</v>
      </c>
      <c r="F4" s="14" t="s">
        <v>66</v>
      </c>
      <c r="G4" s="14" t="s">
        <v>67</v>
      </c>
      <c r="H4" s="14" t="s">
        <v>72</v>
      </c>
      <c r="I4" s="15"/>
      <c r="J4" s="15"/>
      <c r="K4" s="15"/>
      <c r="L4" s="15"/>
      <c r="M4" s="15"/>
      <c r="N4" s="15"/>
      <c r="O4" s="15"/>
      <c r="P4" s="16"/>
      <c r="Q4" s="16"/>
      <c r="R4" s="9" t="str">
        <f aca="false">IF(COUNTA(I4:N4)&lt;6,"Lengkapi V4-V9",IF(AND(I4="R0",N4&lt;&gt;"K5"),"R0 harus berpasangan dengan K5",IF(AND(I4="R1",N4&lt;&gt;"K4",N4&lt;&gt;"K5"),"R1 hanya dengan K4 atau K5",IF(AND(I4="R2",N4="K5"),"R2 tidak boleh K5",IF(AND(K4="P9",J4&lt;&gt;"T17"),"P9 hanya dengan T17",IF(AND(J4="T01",K4&lt;&gt;"P6",Q4=""),"Periksa T01-P6: jelaskan di V12",IF(AND(K4="P1",N4&lt;&gt;"K4",Q4=""),"Periksa P1-K4: jelaskan di V12",IF(AND(J4="T99",Q4=""),"Periksa T99: wajib isi V12","OK"))))))))</f>
        <v>Lengkapi V4-V9</v>
      </c>
    </row>
    <row r="5" customFormat="false" ht="23.85" hidden="false" customHeight="false" outlineLevel="0" collapsed="false">
      <c r="A5" s="13" t="n">
        <v>5</v>
      </c>
      <c r="B5" s="13" t="str">
        <f aca="false">IF(Petunjuk!$C$4="","",Petunjuk!$C$4)</f>
        <v/>
      </c>
      <c r="C5" s="14" t="s">
        <v>64</v>
      </c>
      <c r="D5" s="13"/>
      <c r="E5" s="14" t="s">
        <v>73</v>
      </c>
      <c r="F5" s="14" t="s">
        <v>66</v>
      </c>
      <c r="G5" s="14" t="s">
        <v>67</v>
      </c>
      <c r="H5" s="14" t="s">
        <v>74</v>
      </c>
      <c r="I5" s="15"/>
      <c r="J5" s="15"/>
      <c r="K5" s="15"/>
      <c r="L5" s="15"/>
      <c r="M5" s="15"/>
      <c r="N5" s="15"/>
      <c r="O5" s="15"/>
      <c r="P5" s="16"/>
      <c r="Q5" s="16"/>
      <c r="R5" s="9" t="str">
        <f aca="false">IF(COUNTA(I5:N5)&lt;6,"Lengkapi V4-V9",IF(AND(I5="R0",N5&lt;&gt;"K5"),"R0 harus berpasangan dengan K5",IF(AND(I5="R1",N5&lt;&gt;"K4",N5&lt;&gt;"K5"),"R1 hanya dengan K4 atau K5",IF(AND(I5="R2",N5="K5"),"R2 tidak boleh K5",IF(AND(K5="P9",J5&lt;&gt;"T17"),"P9 hanya dengan T17",IF(AND(J5="T01",K5&lt;&gt;"P6",Q5=""),"Periksa T01-P6: jelaskan di V12",IF(AND(K5="P1",N5&lt;&gt;"K4",Q5=""),"Periksa P1-K4: jelaskan di V12",IF(AND(J5="T99",Q5=""),"Periksa T99: wajib isi V12","OK"))))))))</f>
        <v>Lengkapi V4-V9</v>
      </c>
    </row>
    <row r="6" customFormat="false" ht="23.85" hidden="false" customHeight="false" outlineLevel="0" collapsed="false">
      <c r="A6" s="13" t="n">
        <v>6</v>
      </c>
      <c r="B6" s="13" t="str">
        <f aca="false">IF(Petunjuk!$C$4="","",Petunjuk!$C$4)</f>
        <v/>
      </c>
      <c r="C6" s="14" t="s">
        <v>64</v>
      </c>
      <c r="D6" s="13"/>
      <c r="E6" s="14" t="s">
        <v>75</v>
      </c>
      <c r="F6" s="14" t="s">
        <v>66</v>
      </c>
      <c r="G6" s="14" t="s">
        <v>67</v>
      </c>
      <c r="H6" s="14" t="s">
        <v>76</v>
      </c>
      <c r="I6" s="15"/>
      <c r="J6" s="15"/>
      <c r="K6" s="15"/>
      <c r="L6" s="15"/>
      <c r="M6" s="15"/>
      <c r="N6" s="15"/>
      <c r="O6" s="15"/>
      <c r="P6" s="16"/>
      <c r="Q6" s="16"/>
      <c r="R6" s="9" t="str">
        <f aca="false">IF(COUNTA(I6:N6)&lt;6,"Lengkapi V4-V9",IF(AND(I6="R0",N6&lt;&gt;"K5"),"R0 harus berpasangan dengan K5",IF(AND(I6="R1",N6&lt;&gt;"K4",N6&lt;&gt;"K5"),"R1 hanya dengan K4 atau K5",IF(AND(I6="R2",N6="K5"),"R2 tidak boleh K5",IF(AND(K6="P9",J6&lt;&gt;"T17"),"P9 hanya dengan T17",IF(AND(J6="T01",K6&lt;&gt;"P6",Q6=""),"Periksa T01-P6: jelaskan di V12",IF(AND(K6="P1",N6&lt;&gt;"K4",Q6=""),"Periksa P1-K4: jelaskan di V12",IF(AND(J6="T99",Q6=""),"Periksa T99: wajib isi V12","OK"))))))))</f>
        <v>Lengkapi V4-V9</v>
      </c>
    </row>
    <row r="7" customFormat="false" ht="23.85" hidden="false" customHeight="false" outlineLevel="0" collapsed="false">
      <c r="A7" s="13" t="n">
        <v>7</v>
      </c>
      <c r="B7" s="13" t="str">
        <f aca="false">IF(Petunjuk!$C$4="","",Petunjuk!$C$4)</f>
        <v/>
      </c>
      <c r="C7" s="14" t="s">
        <v>64</v>
      </c>
      <c r="D7" s="13"/>
      <c r="E7" s="14" t="s">
        <v>77</v>
      </c>
      <c r="F7" s="14" t="s">
        <v>66</v>
      </c>
      <c r="G7" s="14" t="s">
        <v>67</v>
      </c>
      <c r="H7" s="14" t="s">
        <v>78</v>
      </c>
      <c r="I7" s="15"/>
      <c r="J7" s="15"/>
      <c r="K7" s="15"/>
      <c r="L7" s="15"/>
      <c r="M7" s="15"/>
      <c r="N7" s="15"/>
      <c r="O7" s="15"/>
      <c r="P7" s="16"/>
      <c r="Q7" s="16"/>
      <c r="R7" s="9" t="str">
        <f aca="false">IF(COUNTA(I7:N7)&lt;6,"Lengkapi V4-V9",IF(AND(I7="R0",N7&lt;&gt;"K5"),"R0 harus berpasangan dengan K5",IF(AND(I7="R1",N7&lt;&gt;"K4",N7&lt;&gt;"K5"),"R1 hanya dengan K4 atau K5",IF(AND(I7="R2",N7="K5"),"R2 tidak boleh K5",IF(AND(K7="P9",J7&lt;&gt;"T17"),"P9 hanya dengan T17",IF(AND(J7="T01",K7&lt;&gt;"P6",Q7=""),"Periksa T01-P6: jelaskan di V12",IF(AND(K7="P1",N7&lt;&gt;"K4",Q7=""),"Periksa P1-K4: jelaskan di V12",IF(AND(J7="T99",Q7=""),"Periksa T99: wajib isi V12","OK"))))))))</f>
        <v>Lengkapi V4-V9</v>
      </c>
    </row>
    <row r="8" customFormat="false" ht="23.85" hidden="false" customHeight="false" outlineLevel="0" collapsed="false">
      <c r="A8" s="13" t="n">
        <v>8</v>
      </c>
      <c r="B8" s="13" t="str">
        <f aca="false">IF(Petunjuk!$C$4="","",Petunjuk!$C$4)</f>
        <v/>
      </c>
      <c r="C8" s="14" t="s">
        <v>64</v>
      </c>
      <c r="D8" s="13"/>
      <c r="E8" s="14" t="s">
        <v>79</v>
      </c>
      <c r="F8" s="14" t="s">
        <v>66</v>
      </c>
      <c r="G8" s="14" t="s">
        <v>67</v>
      </c>
      <c r="H8" s="14" t="s">
        <v>80</v>
      </c>
      <c r="I8" s="15"/>
      <c r="J8" s="15"/>
      <c r="K8" s="15"/>
      <c r="L8" s="15"/>
      <c r="M8" s="15"/>
      <c r="N8" s="15"/>
      <c r="O8" s="15"/>
      <c r="P8" s="16"/>
      <c r="Q8" s="16"/>
      <c r="R8" s="9" t="str">
        <f aca="false">IF(COUNTA(I8:N8)&lt;6,"Lengkapi V4-V9",IF(AND(I8="R0",N8&lt;&gt;"K5"),"R0 harus berpasangan dengan K5",IF(AND(I8="R1",N8&lt;&gt;"K4",N8&lt;&gt;"K5"),"R1 hanya dengan K4 atau K5",IF(AND(I8="R2",N8="K5"),"R2 tidak boleh K5",IF(AND(K8="P9",J8&lt;&gt;"T17"),"P9 hanya dengan T17",IF(AND(J8="T01",K8&lt;&gt;"P6",Q8=""),"Periksa T01-P6: jelaskan di V12",IF(AND(K8="P1",N8&lt;&gt;"K4",Q8=""),"Periksa P1-K4: jelaskan di V12",IF(AND(J8="T99",Q8=""),"Periksa T99: wajib isi V12","OK"))))))))</f>
        <v>Lengkapi V4-V9</v>
      </c>
    </row>
    <row r="9" customFormat="false" ht="23.85" hidden="false" customHeight="false" outlineLevel="0" collapsed="false">
      <c r="A9" s="13" t="n">
        <v>9</v>
      </c>
      <c r="B9" s="13" t="str">
        <f aca="false">IF(Petunjuk!$C$4="","",Petunjuk!$C$4)</f>
        <v/>
      </c>
      <c r="C9" s="14" t="s">
        <v>64</v>
      </c>
      <c r="D9" s="13"/>
      <c r="E9" s="14" t="s">
        <v>81</v>
      </c>
      <c r="F9" s="14" t="s">
        <v>66</v>
      </c>
      <c r="G9" s="14" t="s">
        <v>67</v>
      </c>
      <c r="H9" s="14" t="s">
        <v>82</v>
      </c>
      <c r="I9" s="15"/>
      <c r="J9" s="15"/>
      <c r="K9" s="15"/>
      <c r="L9" s="15"/>
      <c r="M9" s="15"/>
      <c r="N9" s="15"/>
      <c r="O9" s="15"/>
      <c r="P9" s="16"/>
      <c r="Q9" s="16"/>
      <c r="R9" s="9" t="str">
        <f aca="false">IF(COUNTA(I9:N9)&lt;6,"Lengkapi V4-V9",IF(AND(I9="R0",N9&lt;&gt;"K5"),"R0 harus berpasangan dengan K5",IF(AND(I9="R1",N9&lt;&gt;"K4",N9&lt;&gt;"K5"),"R1 hanya dengan K4 atau K5",IF(AND(I9="R2",N9="K5"),"R2 tidak boleh K5",IF(AND(K9="P9",J9&lt;&gt;"T17"),"P9 hanya dengan T17",IF(AND(J9="T01",K9&lt;&gt;"P6",Q9=""),"Periksa T01-P6: jelaskan di V12",IF(AND(K9="P1",N9&lt;&gt;"K4",Q9=""),"Periksa P1-K4: jelaskan di V12",IF(AND(J9="T99",Q9=""),"Periksa T99: wajib isi V12","OK"))))))))</f>
        <v>Lengkapi V4-V9</v>
      </c>
    </row>
    <row r="10" customFormat="false" ht="23.85" hidden="false" customHeight="false" outlineLevel="0" collapsed="false">
      <c r="A10" s="13" t="n">
        <v>10</v>
      </c>
      <c r="B10" s="13" t="str">
        <f aca="false">IF(Petunjuk!$C$4="","",Petunjuk!$C$4)</f>
        <v/>
      </c>
      <c r="C10" s="14" t="s">
        <v>64</v>
      </c>
      <c r="D10" s="13"/>
      <c r="E10" s="14" t="s">
        <v>83</v>
      </c>
      <c r="F10" s="14" t="s">
        <v>66</v>
      </c>
      <c r="G10" s="14" t="s">
        <v>67</v>
      </c>
      <c r="H10" s="14" t="s">
        <v>84</v>
      </c>
      <c r="I10" s="15"/>
      <c r="J10" s="15"/>
      <c r="K10" s="15"/>
      <c r="L10" s="15"/>
      <c r="M10" s="15"/>
      <c r="N10" s="15"/>
      <c r="O10" s="15"/>
      <c r="P10" s="16"/>
      <c r="Q10" s="16"/>
      <c r="R10" s="9" t="str">
        <f aca="false">IF(COUNTA(I10:N10)&lt;6,"Lengkapi V4-V9",IF(AND(I10="R0",N10&lt;&gt;"K5"),"R0 harus berpasangan dengan K5",IF(AND(I10="R1",N10&lt;&gt;"K4",N10&lt;&gt;"K5"),"R1 hanya dengan K4 atau K5",IF(AND(I10="R2",N10="K5"),"R2 tidak boleh K5",IF(AND(K10="P9",J10&lt;&gt;"T17"),"P9 hanya dengan T17",IF(AND(J10="T01",K10&lt;&gt;"P6",Q10=""),"Periksa T01-P6: jelaskan di V12",IF(AND(K10="P1",N10&lt;&gt;"K4",Q10=""),"Periksa P1-K4: jelaskan di V12",IF(AND(J10="T99",Q10=""),"Periksa T99: wajib isi V12","OK"))))))))</f>
        <v>Lengkapi V4-V9</v>
      </c>
    </row>
    <row r="11" customFormat="false" ht="23.85" hidden="false" customHeight="false" outlineLevel="0" collapsed="false">
      <c r="A11" s="13" t="n">
        <v>11</v>
      </c>
      <c r="B11" s="13" t="str">
        <f aca="false">IF(Petunjuk!$C$4="","",Petunjuk!$C$4)</f>
        <v/>
      </c>
      <c r="C11" s="14" t="s">
        <v>64</v>
      </c>
      <c r="D11" s="13"/>
      <c r="E11" s="14" t="s">
        <v>85</v>
      </c>
      <c r="F11" s="14" t="s">
        <v>66</v>
      </c>
      <c r="G11" s="14" t="s">
        <v>67</v>
      </c>
      <c r="H11" s="14" t="s">
        <v>86</v>
      </c>
      <c r="I11" s="15"/>
      <c r="J11" s="15"/>
      <c r="K11" s="15"/>
      <c r="L11" s="15"/>
      <c r="M11" s="15"/>
      <c r="N11" s="15"/>
      <c r="O11" s="15"/>
      <c r="P11" s="16"/>
      <c r="Q11" s="16"/>
      <c r="R11" s="9" t="str">
        <f aca="false">IF(COUNTA(I11:N11)&lt;6,"Lengkapi V4-V9",IF(AND(I11="R0",N11&lt;&gt;"K5"),"R0 harus berpasangan dengan K5",IF(AND(I11="R1",N11&lt;&gt;"K4",N11&lt;&gt;"K5"),"R1 hanya dengan K4 atau K5",IF(AND(I11="R2",N11="K5"),"R2 tidak boleh K5",IF(AND(K11="P9",J11&lt;&gt;"T17"),"P9 hanya dengan T17",IF(AND(J11="T01",K11&lt;&gt;"P6",Q11=""),"Periksa T01-P6: jelaskan di V12",IF(AND(K11="P1",N11&lt;&gt;"K4",Q11=""),"Periksa P1-K4: jelaskan di V12",IF(AND(J11="T99",Q11=""),"Periksa T99: wajib isi V12","OK"))))))))</f>
        <v>Lengkapi V4-V9</v>
      </c>
    </row>
    <row r="12" customFormat="false" ht="23.85" hidden="false" customHeight="false" outlineLevel="0" collapsed="false">
      <c r="A12" s="13" t="n">
        <v>12</v>
      </c>
      <c r="B12" s="13" t="str">
        <f aca="false">IF(Petunjuk!$C$4="","",Petunjuk!$C$4)</f>
        <v/>
      </c>
      <c r="C12" s="14" t="s">
        <v>64</v>
      </c>
      <c r="D12" s="13"/>
      <c r="E12" s="14" t="s">
        <v>87</v>
      </c>
      <c r="F12" s="14" t="s">
        <v>66</v>
      </c>
      <c r="G12" s="14" t="s">
        <v>67</v>
      </c>
      <c r="H12" s="14" t="s">
        <v>88</v>
      </c>
      <c r="I12" s="15"/>
      <c r="J12" s="15"/>
      <c r="K12" s="15"/>
      <c r="L12" s="15"/>
      <c r="M12" s="15"/>
      <c r="N12" s="15"/>
      <c r="O12" s="15"/>
      <c r="P12" s="16"/>
      <c r="Q12" s="16"/>
      <c r="R12" s="9" t="str">
        <f aca="false">IF(COUNTA(I12:N12)&lt;6,"Lengkapi V4-V9",IF(AND(I12="R0",N12&lt;&gt;"K5"),"R0 harus berpasangan dengan K5",IF(AND(I12="R1",N12&lt;&gt;"K4",N12&lt;&gt;"K5"),"R1 hanya dengan K4 atau K5",IF(AND(I12="R2",N12="K5"),"R2 tidak boleh K5",IF(AND(K12="P9",J12&lt;&gt;"T17"),"P9 hanya dengan T17",IF(AND(J12="T01",K12&lt;&gt;"P6",Q12=""),"Periksa T01-P6: jelaskan di V12",IF(AND(K12="P1",N12&lt;&gt;"K4",Q12=""),"Periksa P1-K4: jelaskan di V12",IF(AND(J12="T99",Q12=""),"Periksa T99: wajib isi V12","OK"))))))))</f>
        <v>Lengkapi V4-V9</v>
      </c>
    </row>
    <row r="13" customFormat="false" ht="57.45" hidden="false" customHeight="false" outlineLevel="0" collapsed="false">
      <c r="A13" s="13" t="n">
        <v>13</v>
      </c>
      <c r="B13" s="13" t="str">
        <f aca="false">IF(Petunjuk!$C$4="","",Petunjuk!$C$4)</f>
        <v/>
      </c>
      <c r="C13" s="14" t="s">
        <v>64</v>
      </c>
      <c r="D13" s="17" t="s">
        <v>89</v>
      </c>
      <c r="E13" s="14" t="s">
        <v>90</v>
      </c>
      <c r="F13" s="14" t="s">
        <v>66</v>
      </c>
      <c r="G13" s="14" t="s">
        <v>67</v>
      </c>
      <c r="H13" s="14" t="s">
        <v>91</v>
      </c>
      <c r="I13" s="15"/>
      <c r="J13" s="15"/>
      <c r="K13" s="15"/>
      <c r="L13" s="15"/>
      <c r="M13" s="15"/>
      <c r="N13" s="15"/>
      <c r="O13" s="15"/>
      <c r="P13" s="16"/>
      <c r="Q13" s="16"/>
      <c r="R13" s="9" t="str">
        <f aca="false">IF(COUNTA(I13:N13)&lt;6,"Lengkapi V4-V9",IF(AND(I13="R0",N13&lt;&gt;"K5"),"R0 harus berpasangan dengan K5",IF(AND(I13="R1",N13&lt;&gt;"K4",N13&lt;&gt;"K5"),"R1 hanya dengan K4 atau K5",IF(AND(I13="R2",N13="K5"),"R2 tidak boleh K5",IF(AND(K13="P9",J13&lt;&gt;"T17"),"P9 hanya dengan T17",IF(AND(J13="T01",K13&lt;&gt;"P6",Q13=""),"Periksa T01-P6: jelaskan di V12",IF(AND(K13="P1",N13&lt;&gt;"K4",Q13=""),"Periksa P1-K4: jelaskan di V12",IF(AND(J13="T99",Q13=""),"Periksa T99: wajib isi V12","OK"))))))))</f>
        <v>Lengkapi V4-V9</v>
      </c>
    </row>
    <row r="14" customFormat="false" ht="23.85" hidden="false" customHeight="false" outlineLevel="0" collapsed="false">
      <c r="A14" s="13" t="n">
        <v>14</v>
      </c>
      <c r="B14" s="13" t="str">
        <f aca="false">IF(Petunjuk!$C$4="","",Petunjuk!$C$4)</f>
        <v/>
      </c>
      <c r="C14" s="14" t="s">
        <v>64</v>
      </c>
      <c r="D14" s="13"/>
      <c r="E14" s="14" t="s">
        <v>92</v>
      </c>
      <c r="F14" s="14" t="s">
        <v>66</v>
      </c>
      <c r="G14" s="14" t="s">
        <v>67</v>
      </c>
      <c r="H14" s="14" t="s">
        <v>93</v>
      </c>
      <c r="I14" s="15"/>
      <c r="J14" s="15"/>
      <c r="K14" s="15"/>
      <c r="L14" s="15"/>
      <c r="M14" s="15"/>
      <c r="N14" s="15"/>
      <c r="O14" s="15"/>
      <c r="P14" s="16"/>
      <c r="Q14" s="16"/>
      <c r="R14" s="9" t="str">
        <f aca="false">IF(COUNTA(I14:N14)&lt;6,"Lengkapi V4-V9",IF(AND(I14="R0",N14&lt;&gt;"K5"),"R0 harus berpasangan dengan K5",IF(AND(I14="R1",N14&lt;&gt;"K4",N14&lt;&gt;"K5"),"R1 hanya dengan K4 atau K5",IF(AND(I14="R2",N14="K5"),"R2 tidak boleh K5",IF(AND(K14="P9",J14&lt;&gt;"T17"),"P9 hanya dengan T17",IF(AND(J14="T01",K14&lt;&gt;"P6",Q14=""),"Periksa T01-P6: jelaskan di V12",IF(AND(K14="P1",N14&lt;&gt;"K4",Q14=""),"Periksa P1-K4: jelaskan di V12",IF(AND(J14="T99",Q14=""),"Periksa T99: wajib isi V12","OK"))))))))</f>
        <v>Lengkapi V4-V9</v>
      </c>
    </row>
    <row r="15" customFormat="false" ht="23.85" hidden="false" customHeight="false" outlineLevel="0" collapsed="false">
      <c r="A15" s="13" t="n">
        <v>15</v>
      </c>
      <c r="B15" s="13" t="str">
        <f aca="false">IF(Petunjuk!$C$4="","",Petunjuk!$C$4)</f>
        <v/>
      </c>
      <c r="C15" s="14" t="s">
        <v>64</v>
      </c>
      <c r="D15" s="13"/>
      <c r="E15" s="14" t="s">
        <v>94</v>
      </c>
      <c r="F15" s="14" t="s">
        <v>66</v>
      </c>
      <c r="G15" s="14" t="s">
        <v>67</v>
      </c>
      <c r="H15" s="14" t="s">
        <v>95</v>
      </c>
      <c r="I15" s="15"/>
      <c r="J15" s="15"/>
      <c r="K15" s="15"/>
      <c r="L15" s="15"/>
      <c r="M15" s="15"/>
      <c r="N15" s="15"/>
      <c r="O15" s="15"/>
      <c r="P15" s="16"/>
      <c r="Q15" s="16"/>
      <c r="R15" s="9" t="str">
        <f aca="false">IF(COUNTA(I15:N15)&lt;6,"Lengkapi V4-V9",IF(AND(I15="R0",N15&lt;&gt;"K5"),"R0 harus berpasangan dengan K5",IF(AND(I15="R1",N15&lt;&gt;"K4",N15&lt;&gt;"K5"),"R1 hanya dengan K4 atau K5",IF(AND(I15="R2",N15="K5"),"R2 tidak boleh K5",IF(AND(K15="P9",J15&lt;&gt;"T17"),"P9 hanya dengan T17",IF(AND(J15="T01",K15&lt;&gt;"P6",Q15=""),"Periksa T01-P6: jelaskan di V12",IF(AND(K15="P1",N15&lt;&gt;"K4",Q15=""),"Periksa P1-K4: jelaskan di V12",IF(AND(J15="T99",Q15=""),"Periksa T99: wajib isi V12","OK"))))))))</f>
        <v>Lengkapi V4-V9</v>
      </c>
    </row>
    <row r="16" customFormat="false" ht="23.85" hidden="false" customHeight="false" outlineLevel="0" collapsed="false">
      <c r="A16" s="13" t="n">
        <v>16</v>
      </c>
      <c r="B16" s="13" t="str">
        <f aca="false">IF(Petunjuk!$C$4="","",Petunjuk!$C$4)</f>
        <v/>
      </c>
      <c r="C16" s="14" t="s">
        <v>64</v>
      </c>
      <c r="D16" s="13"/>
      <c r="E16" s="14" t="s">
        <v>96</v>
      </c>
      <c r="F16" s="14" t="s">
        <v>66</v>
      </c>
      <c r="G16" s="14" t="s">
        <v>67</v>
      </c>
      <c r="H16" s="14" t="s">
        <v>97</v>
      </c>
      <c r="I16" s="15"/>
      <c r="J16" s="15"/>
      <c r="K16" s="15"/>
      <c r="L16" s="15"/>
      <c r="M16" s="15"/>
      <c r="N16" s="15"/>
      <c r="O16" s="15"/>
      <c r="P16" s="16"/>
      <c r="Q16" s="16"/>
      <c r="R16" s="9" t="str">
        <f aca="false">IF(COUNTA(I16:N16)&lt;6,"Lengkapi V4-V9",IF(AND(I16="R0",N16&lt;&gt;"K5"),"R0 harus berpasangan dengan K5",IF(AND(I16="R1",N16&lt;&gt;"K4",N16&lt;&gt;"K5"),"R1 hanya dengan K4 atau K5",IF(AND(I16="R2",N16="K5"),"R2 tidak boleh K5",IF(AND(K16="P9",J16&lt;&gt;"T17"),"P9 hanya dengan T17",IF(AND(J16="T01",K16&lt;&gt;"P6",Q16=""),"Periksa T01-P6: jelaskan di V12",IF(AND(K16="P1",N16&lt;&gt;"K4",Q16=""),"Periksa P1-K4: jelaskan di V12",IF(AND(J16="T99",Q16=""),"Periksa T99: wajib isi V12","OK"))))))))</f>
        <v>Lengkapi V4-V9</v>
      </c>
    </row>
    <row r="17" customFormat="false" ht="23.85" hidden="false" customHeight="false" outlineLevel="0" collapsed="false">
      <c r="A17" s="13" t="n">
        <v>17</v>
      </c>
      <c r="B17" s="13" t="str">
        <f aca="false">IF(Petunjuk!$C$4="","",Petunjuk!$C$4)</f>
        <v/>
      </c>
      <c r="C17" s="14" t="s">
        <v>64</v>
      </c>
      <c r="D17" s="13"/>
      <c r="E17" s="14" t="s">
        <v>98</v>
      </c>
      <c r="F17" s="14" t="s">
        <v>66</v>
      </c>
      <c r="G17" s="14" t="s">
        <v>67</v>
      </c>
      <c r="H17" s="14" t="s">
        <v>99</v>
      </c>
      <c r="I17" s="15"/>
      <c r="J17" s="15"/>
      <c r="K17" s="15"/>
      <c r="L17" s="15"/>
      <c r="M17" s="15"/>
      <c r="N17" s="15"/>
      <c r="O17" s="15"/>
      <c r="P17" s="16"/>
      <c r="Q17" s="16"/>
      <c r="R17" s="9" t="str">
        <f aca="false">IF(COUNTA(I17:N17)&lt;6,"Lengkapi V4-V9",IF(AND(I17="R0",N17&lt;&gt;"K5"),"R0 harus berpasangan dengan K5",IF(AND(I17="R1",N17&lt;&gt;"K4",N17&lt;&gt;"K5"),"R1 hanya dengan K4 atau K5",IF(AND(I17="R2",N17="K5"),"R2 tidak boleh K5",IF(AND(K17="P9",J17&lt;&gt;"T17"),"P9 hanya dengan T17",IF(AND(J17="T01",K17&lt;&gt;"P6",Q17=""),"Periksa T01-P6: jelaskan di V12",IF(AND(K17="P1",N17&lt;&gt;"K4",Q17=""),"Periksa P1-K4: jelaskan di V12",IF(AND(J17="T99",Q17=""),"Periksa T99: wajib isi V12","OK"))))))))</f>
        <v>Lengkapi V4-V9</v>
      </c>
    </row>
    <row r="18" customFormat="false" ht="23.85" hidden="false" customHeight="false" outlineLevel="0" collapsed="false">
      <c r="A18" s="13" t="n">
        <v>18</v>
      </c>
      <c r="B18" s="13" t="str">
        <f aca="false">IF(Petunjuk!$C$4="","",Petunjuk!$C$4)</f>
        <v/>
      </c>
      <c r="C18" s="14" t="s">
        <v>64</v>
      </c>
      <c r="D18" s="13"/>
      <c r="E18" s="14" t="s">
        <v>100</v>
      </c>
      <c r="F18" s="14" t="s">
        <v>66</v>
      </c>
      <c r="G18" s="14" t="s">
        <v>67</v>
      </c>
      <c r="H18" s="14" t="s">
        <v>101</v>
      </c>
      <c r="I18" s="15"/>
      <c r="J18" s="15"/>
      <c r="K18" s="15"/>
      <c r="L18" s="15"/>
      <c r="M18" s="15"/>
      <c r="N18" s="15"/>
      <c r="O18" s="15"/>
      <c r="P18" s="16"/>
      <c r="Q18" s="16"/>
      <c r="R18" s="9" t="str">
        <f aca="false">IF(COUNTA(I18:N18)&lt;6,"Lengkapi V4-V9",IF(AND(I18="R0",N18&lt;&gt;"K5"),"R0 harus berpasangan dengan K5",IF(AND(I18="R1",N18&lt;&gt;"K4",N18&lt;&gt;"K5"),"R1 hanya dengan K4 atau K5",IF(AND(I18="R2",N18="K5"),"R2 tidak boleh K5",IF(AND(K18="P9",J18&lt;&gt;"T17"),"P9 hanya dengan T17",IF(AND(J18="T01",K18&lt;&gt;"P6",Q18=""),"Periksa T01-P6: jelaskan di V12",IF(AND(K18="P1",N18&lt;&gt;"K4",Q18=""),"Periksa P1-K4: jelaskan di V12",IF(AND(J18="T99",Q18=""),"Periksa T99: wajib isi V12","OK"))))))))</f>
        <v>Lengkapi V4-V9</v>
      </c>
    </row>
    <row r="19" customFormat="false" ht="23.85" hidden="false" customHeight="false" outlineLevel="0" collapsed="false">
      <c r="A19" s="13" t="n">
        <v>19</v>
      </c>
      <c r="B19" s="13" t="str">
        <f aca="false">IF(Petunjuk!$C$4="","",Petunjuk!$C$4)</f>
        <v/>
      </c>
      <c r="C19" s="14" t="s">
        <v>64</v>
      </c>
      <c r="D19" s="13"/>
      <c r="E19" s="14" t="s">
        <v>102</v>
      </c>
      <c r="F19" s="14" t="s">
        <v>66</v>
      </c>
      <c r="G19" s="14" t="s">
        <v>67</v>
      </c>
      <c r="H19" s="14" t="s">
        <v>103</v>
      </c>
      <c r="I19" s="15"/>
      <c r="J19" s="15"/>
      <c r="K19" s="15"/>
      <c r="L19" s="15"/>
      <c r="M19" s="15"/>
      <c r="N19" s="15"/>
      <c r="O19" s="15"/>
      <c r="P19" s="16"/>
      <c r="Q19" s="16"/>
      <c r="R19" s="9" t="str">
        <f aca="false">IF(COUNTA(I19:N19)&lt;6,"Lengkapi V4-V9",IF(AND(I19="R0",N19&lt;&gt;"K5"),"R0 harus berpasangan dengan K5",IF(AND(I19="R1",N19&lt;&gt;"K4",N19&lt;&gt;"K5"),"R1 hanya dengan K4 atau K5",IF(AND(I19="R2",N19="K5"),"R2 tidak boleh K5",IF(AND(K19="P9",J19&lt;&gt;"T17"),"P9 hanya dengan T17",IF(AND(J19="T01",K19&lt;&gt;"P6",Q19=""),"Periksa T01-P6: jelaskan di V12",IF(AND(K19="P1",N19&lt;&gt;"K4",Q19=""),"Periksa P1-K4: jelaskan di V12",IF(AND(J19="T99",Q19=""),"Periksa T99: wajib isi V12","OK"))))))))</f>
        <v>Lengkapi V4-V9</v>
      </c>
    </row>
    <row r="20" customFormat="false" ht="35.05" hidden="false" customHeight="false" outlineLevel="0" collapsed="false">
      <c r="A20" s="13" t="n">
        <v>20</v>
      </c>
      <c r="B20" s="13" t="str">
        <f aca="false">IF(Petunjuk!$C$4="","",Petunjuk!$C$4)</f>
        <v/>
      </c>
      <c r="C20" s="14" t="s">
        <v>64</v>
      </c>
      <c r="D20" s="13"/>
      <c r="E20" s="14" t="s">
        <v>104</v>
      </c>
      <c r="F20" s="14" t="s">
        <v>66</v>
      </c>
      <c r="G20" s="14" t="s">
        <v>67</v>
      </c>
      <c r="H20" s="14" t="s">
        <v>105</v>
      </c>
      <c r="I20" s="15"/>
      <c r="J20" s="15"/>
      <c r="K20" s="15"/>
      <c r="L20" s="15"/>
      <c r="M20" s="15"/>
      <c r="N20" s="15"/>
      <c r="O20" s="15"/>
      <c r="P20" s="16"/>
      <c r="Q20" s="16"/>
      <c r="R20" s="9" t="str">
        <f aca="false">IF(COUNTA(I20:N20)&lt;6,"Lengkapi V4-V9",IF(AND(I20="R0",N20&lt;&gt;"K5"),"R0 harus berpasangan dengan K5",IF(AND(I20="R1",N20&lt;&gt;"K4",N20&lt;&gt;"K5"),"R1 hanya dengan K4 atau K5",IF(AND(I20="R2",N20="K5"),"R2 tidak boleh K5",IF(AND(K20="P9",J20&lt;&gt;"T17"),"P9 hanya dengan T17",IF(AND(J20="T01",K20&lt;&gt;"P6",Q20=""),"Periksa T01-P6: jelaskan di V12",IF(AND(K20="P1",N20&lt;&gt;"K4",Q20=""),"Periksa P1-K4: jelaskan di V12",IF(AND(J20="T99",Q20=""),"Periksa T99: wajib isi V12","OK"))))))))</f>
        <v>Lengkapi V4-V9</v>
      </c>
    </row>
    <row r="21" customFormat="false" ht="23.85" hidden="false" customHeight="false" outlineLevel="0" collapsed="false">
      <c r="A21" s="13" t="n">
        <v>21</v>
      </c>
      <c r="B21" s="13" t="str">
        <f aca="false">IF(Petunjuk!$C$4="","",Petunjuk!$C$4)</f>
        <v/>
      </c>
      <c r="C21" s="14" t="s">
        <v>64</v>
      </c>
      <c r="D21" s="17" t="s">
        <v>89</v>
      </c>
      <c r="E21" s="14" t="s">
        <v>106</v>
      </c>
      <c r="F21" s="14" t="s">
        <v>66</v>
      </c>
      <c r="G21" s="14" t="s">
        <v>67</v>
      </c>
      <c r="H21" s="14" t="s">
        <v>107</v>
      </c>
      <c r="I21" s="15"/>
      <c r="J21" s="15"/>
      <c r="K21" s="15"/>
      <c r="L21" s="15"/>
      <c r="M21" s="15"/>
      <c r="N21" s="15"/>
      <c r="O21" s="15"/>
      <c r="P21" s="16"/>
      <c r="Q21" s="16"/>
      <c r="R21" s="9" t="str">
        <f aca="false">IF(COUNTA(I21:N21)&lt;6,"Lengkapi V4-V9",IF(AND(I21="R0",N21&lt;&gt;"K5"),"R0 harus berpasangan dengan K5",IF(AND(I21="R1",N21&lt;&gt;"K4",N21&lt;&gt;"K5"),"R1 hanya dengan K4 atau K5",IF(AND(I21="R2",N21="K5"),"R2 tidak boleh K5",IF(AND(K21="P9",J21&lt;&gt;"T17"),"P9 hanya dengan T17",IF(AND(J21="T01",K21&lt;&gt;"P6",Q21=""),"Periksa T01-P6: jelaskan di V12",IF(AND(K21="P1",N21&lt;&gt;"K4",Q21=""),"Periksa P1-K4: jelaskan di V12",IF(AND(J21="T99",Q21=""),"Periksa T99: wajib isi V12","OK"))))))))</f>
        <v>Lengkapi V4-V9</v>
      </c>
    </row>
    <row r="22" customFormat="false" ht="35.05" hidden="false" customHeight="false" outlineLevel="0" collapsed="false">
      <c r="A22" s="13" t="n">
        <v>22</v>
      </c>
      <c r="B22" s="13" t="str">
        <f aca="false">IF(Petunjuk!$C$4="","",Petunjuk!$C$4)</f>
        <v/>
      </c>
      <c r="C22" s="14" t="s">
        <v>64</v>
      </c>
      <c r="D22" s="13"/>
      <c r="E22" s="14" t="s">
        <v>108</v>
      </c>
      <c r="F22" s="14" t="s">
        <v>66</v>
      </c>
      <c r="G22" s="14" t="s">
        <v>67</v>
      </c>
      <c r="H22" s="14" t="s">
        <v>109</v>
      </c>
      <c r="I22" s="15"/>
      <c r="J22" s="15"/>
      <c r="K22" s="15"/>
      <c r="L22" s="15"/>
      <c r="M22" s="15"/>
      <c r="N22" s="15"/>
      <c r="O22" s="15"/>
      <c r="P22" s="16"/>
      <c r="Q22" s="16"/>
      <c r="R22" s="9" t="str">
        <f aca="false">IF(COUNTA(I22:N22)&lt;6,"Lengkapi V4-V9",IF(AND(I22="R0",N22&lt;&gt;"K5"),"R0 harus berpasangan dengan K5",IF(AND(I22="R1",N22&lt;&gt;"K4",N22&lt;&gt;"K5"),"R1 hanya dengan K4 atau K5",IF(AND(I22="R2",N22="K5"),"R2 tidak boleh K5",IF(AND(K22="P9",J22&lt;&gt;"T17"),"P9 hanya dengan T17",IF(AND(J22="T01",K22&lt;&gt;"P6",Q22=""),"Periksa T01-P6: jelaskan di V12",IF(AND(K22="P1",N22&lt;&gt;"K4",Q22=""),"Periksa P1-K4: jelaskan di V12",IF(AND(J22="T99",Q22=""),"Periksa T99: wajib isi V12","OK"))))))))</f>
        <v>Lengkapi V4-V9</v>
      </c>
    </row>
    <row r="23" customFormat="false" ht="23.85" hidden="false" customHeight="false" outlineLevel="0" collapsed="false">
      <c r="A23" s="13" t="n">
        <v>23</v>
      </c>
      <c r="B23" s="13" t="str">
        <f aca="false">IF(Petunjuk!$C$4="","",Petunjuk!$C$4)</f>
        <v/>
      </c>
      <c r="C23" s="14" t="s">
        <v>64</v>
      </c>
      <c r="D23" s="13"/>
      <c r="E23" s="14" t="s">
        <v>110</v>
      </c>
      <c r="F23" s="14" t="s">
        <v>66</v>
      </c>
      <c r="G23" s="14" t="s">
        <v>67</v>
      </c>
      <c r="H23" s="14" t="s">
        <v>111</v>
      </c>
      <c r="I23" s="15"/>
      <c r="J23" s="15"/>
      <c r="K23" s="15"/>
      <c r="L23" s="15"/>
      <c r="M23" s="15"/>
      <c r="N23" s="15"/>
      <c r="O23" s="15"/>
      <c r="P23" s="16"/>
      <c r="Q23" s="16"/>
      <c r="R23" s="9" t="str">
        <f aca="false">IF(COUNTA(I23:N23)&lt;6,"Lengkapi V4-V9",IF(AND(I23="R0",N23&lt;&gt;"K5"),"R0 harus berpasangan dengan K5",IF(AND(I23="R1",N23&lt;&gt;"K4",N23&lt;&gt;"K5"),"R1 hanya dengan K4 atau K5",IF(AND(I23="R2",N23="K5"),"R2 tidak boleh K5",IF(AND(K23="P9",J23&lt;&gt;"T17"),"P9 hanya dengan T17",IF(AND(J23="T01",K23&lt;&gt;"P6",Q23=""),"Periksa T01-P6: jelaskan di V12",IF(AND(K23="P1",N23&lt;&gt;"K4",Q23=""),"Periksa P1-K4: jelaskan di V12",IF(AND(J23="T99",Q23=""),"Periksa T99: wajib isi V12","OK"))))))))</f>
        <v>Lengkapi V4-V9</v>
      </c>
    </row>
    <row r="24" customFormat="false" ht="23.85" hidden="false" customHeight="false" outlineLevel="0" collapsed="false">
      <c r="A24" s="13" t="n">
        <v>24</v>
      </c>
      <c r="B24" s="13" t="str">
        <f aca="false">IF(Petunjuk!$C$4="","",Petunjuk!$C$4)</f>
        <v/>
      </c>
      <c r="C24" s="14" t="s">
        <v>64</v>
      </c>
      <c r="D24" s="13"/>
      <c r="E24" s="14" t="s">
        <v>112</v>
      </c>
      <c r="F24" s="14" t="s">
        <v>66</v>
      </c>
      <c r="G24" s="14" t="s">
        <v>67</v>
      </c>
      <c r="H24" s="14" t="s">
        <v>113</v>
      </c>
      <c r="I24" s="15"/>
      <c r="J24" s="15"/>
      <c r="K24" s="15"/>
      <c r="L24" s="15"/>
      <c r="M24" s="15"/>
      <c r="N24" s="15"/>
      <c r="O24" s="15"/>
      <c r="P24" s="16"/>
      <c r="Q24" s="16"/>
      <c r="R24" s="9" t="str">
        <f aca="false">IF(COUNTA(I24:N24)&lt;6,"Lengkapi V4-V9",IF(AND(I24="R0",N24&lt;&gt;"K5"),"R0 harus berpasangan dengan K5",IF(AND(I24="R1",N24&lt;&gt;"K4",N24&lt;&gt;"K5"),"R1 hanya dengan K4 atau K5",IF(AND(I24="R2",N24="K5"),"R2 tidak boleh K5",IF(AND(K24="P9",J24&lt;&gt;"T17"),"P9 hanya dengan T17",IF(AND(J24="T01",K24&lt;&gt;"P6",Q24=""),"Periksa T01-P6: jelaskan di V12",IF(AND(K24="P1",N24&lt;&gt;"K4",Q24=""),"Periksa P1-K4: jelaskan di V12",IF(AND(J24="T99",Q24=""),"Periksa T99: wajib isi V12","OK"))))))))</f>
        <v>Lengkapi V4-V9</v>
      </c>
    </row>
    <row r="25" customFormat="false" ht="23.85" hidden="false" customHeight="false" outlineLevel="0" collapsed="false">
      <c r="A25" s="13" t="n">
        <v>25</v>
      </c>
      <c r="B25" s="13" t="str">
        <f aca="false">IF(Petunjuk!$C$4="","",Petunjuk!$C$4)</f>
        <v/>
      </c>
      <c r="C25" s="14" t="s">
        <v>64</v>
      </c>
      <c r="D25" s="17" t="s">
        <v>89</v>
      </c>
      <c r="E25" s="14" t="s">
        <v>114</v>
      </c>
      <c r="F25" s="14" t="s">
        <v>115</v>
      </c>
      <c r="G25" s="14"/>
      <c r="H25" s="14" t="s">
        <v>116</v>
      </c>
      <c r="I25" s="15"/>
      <c r="J25" s="15"/>
      <c r="K25" s="15"/>
      <c r="L25" s="15"/>
      <c r="M25" s="15"/>
      <c r="N25" s="15"/>
      <c r="O25" s="15"/>
      <c r="P25" s="16"/>
      <c r="Q25" s="16"/>
      <c r="R25" s="9" t="str">
        <f aca="false">IF(COUNTA(I25:N25)&lt;6,"Lengkapi V4-V9",IF(AND(I25="R0",N25&lt;&gt;"K5"),"R0 harus berpasangan dengan K5",IF(AND(I25="R1",N25&lt;&gt;"K4",N25&lt;&gt;"K5"),"R1 hanya dengan K4 atau K5",IF(AND(I25="R2",N25="K5"),"R2 tidak boleh K5",IF(AND(K25="P9",J25&lt;&gt;"T17"),"P9 hanya dengan T17",IF(AND(J25="T01",K25&lt;&gt;"P6",Q25=""),"Periksa T01-P6: jelaskan di V12",IF(AND(K25="P1",N25&lt;&gt;"K4",Q25=""),"Periksa P1-K4: jelaskan di V12",IF(AND(J25="T99",Q25=""),"Periksa T99: wajib isi V12","OK"))))))))</f>
        <v>Lengkapi V4-V9</v>
      </c>
    </row>
    <row r="26" customFormat="false" ht="23.85" hidden="false" customHeight="false" outlineLevel="0" collapsed="false">
      <c r="A26" s="13" t="n">
        <v>26</v>
      </c>
      <c r="B26" s="13" t="str">
        <f aca="false">IF(Petunjuk!$C$4="","",Petunjuk!$C$4)</f>
        <v/>
      </c>
      <c r="C26" s="14" t="s">
        <v>64</v>
      </c>
      <c r="D26" s="13"/>
      <c r="E26" s="14" t="s">
        <v>117</v>
      </c>
      <c r="F26" s="14" t="s">
        <v>115</v>
      </c>
      <c r="G26" s="14"/>
      <c r="H26" s="14" t="s">
        <v>118</v>
      </c>
      <c r="I26" s="15"/>
      <c r="J26" s="15"/>
      <c r="K26" s="15"/>
      <c r="L26" s="15"/>
      <c r="M26" s="15"/>
      <c r="N26" s="15"/>
      <c r="O26" s="15"/>
      <c r="P26" s="16"/>
      <c r="Q26" s="16"/>
      <c r="R26" s="9" t="str">
        <f aca="false">IF(COUNTA(I26:N26)&lt;6,"Lengkapi V4-V9",IF(AND(I26="R0",N26&lt;&gt;"K5"),"R0 harus berpasangan dengan K5",IF(AND(I26="R1",N26&lt;&gt;"K4",N26&lt;&gt;"K5"),"R1 hanya dengan K4 atau K5",IF(AND(I26="R2",N26="K5"),"R2 tidak boleh K5",IF(AND(K26="P9",J26&lt;&gt;"T17"),"P9 hanya dengan T17",IF(AND(J26="T01",K26&lt;&gt;"P6",Q26=""),"Periksa T01-P6: jelaskan di V12",IF(AND(K26="P1",N26&lt;&gt;"K4",Q26=""),"Periksa P1-K4: jelaskan di V12",IF(AND(J26="T99",Q26=""),"Periksa T99: wajib isi V12","OK"))))))))</f>
        <v>Lengkapi V4-V9</v>
      </c>
    </row>
    <row r="27" customFormat="false" ht="68.65" hidden="false" customHeight="false" outlineLevel="0" collapsed="false">
      <c r="A27" s="13" t="n">
        <v>27</v>
      </c>
      <c r="B27" s="13" t="str">
        <f aca="false">IF(Petunjuk!$C$4="","",Petunjuk!$C$4)</f>
        <v/>
      </c>
      <c r="C27" s="14" t="s">
        <v>119</v>
      </c>
      <c r="D27" s="13"/>
      <c r="E27" s="14" t="s">
        <v>120</v>
      </c>
      <c r="F27" s="14" t="s">
        <v>121</v>
      </c>
      <c r="G27" s="14" t="s">
        <v>122</v>
      </c>
      <c r="H27" s="14" t="s">
        <v>123</v>
      </c>
      <c r="I27" s="15"/>
      <c r="J27" s="15"/>
      <c r="K27" s="15"/>
      <c r="L27" s="15"/>
      <c r="M27" s="15"/>
      <c r="N27" s="15"/>
      <c r="O27" s="15"/>
      <c r="P27" s="16"/>
      <c r="Q27" s="16"/>
      <c r="R27" s="9" t="str">
        <f aca="false">IF(COUNTA(I27:N27)&lt;6,"Lengkapi V4-V9",IF(AND(I27="R0",N27&lt;&gt;"K5"),"R0 harus berpasangan dengan K5",IF(AND(I27="R1",N27&lt;&gt;"K4",N27&lt;&gt;"K5"),"R1 hanya dengan K4 atau K5",IF(AND(I27="R2",N27="K5"),"R2 tidak boleh K5",IF(AND(K27="P9",J27&lt;&gt;"T17"),"P9 hanya dengan T17",IF(AND(J27="T01",K27&lt;&gt;"P6",Q27=""),"Periksa T01-P6: jelaskan di V12",IF(AND(K27="P1",N27&lt;&gt;"K4",Q27=""),"Periksa P1-K4: jelaskan di V12",IF(AND(J27="T99",Q27=""),"Periksa T99: wajib isi V12","OK"))))))))</f>
        <v>Lengkapi V4-V9</v>
      </c>
    </row>
    <row r="28" customFormat="false" ht="292.5" hidden="false" customHeight="false" outlineLevel="0" collapsed="false">
      <c r="A28" s="13" t="n">
        <v>28</v>
      </c>
      <c r="B28" s="13" t="str">
        <f aca="false">IF(Petunjuk!$C$4="","",Petunjuk!$C$4)</f>
        <v/>
      </c>
      <c r="C28" s="14" t="s">
        <v>124</v>
      </c>
      <c r="D28" s="13"/>
      <c r="E28" s="14" t="s">
        <v>125</v>
      </c>
      <c r="F28" s="14" t="s">
        <v>126</v>
      </c>
      <c r="G28" s="14"/>
      <c r="H28" s="14" t="s">
        <v>127</v>
      </c>
      <c r="I28" s="15"/>
      <c r="J28" s="15"/>
      <c r="K28" s="15"/>
      <c r="L28" s="15"/>
      <c r="M28" s="15"/>
      <c r="N28" s="15"/>
      <c r="O28" s="15"/>
      <c r="P28" s="16"/>
      <c r="Q28" s="16"/>
      <c r="R28" s="9" t="str">
        <f aca="false">IF(COUNTA(I28:N28)&lt;6,"Lengkapi V4-V9",IF(AND(I28="R0",N28&lt;&gt;"K5"),"R0 harus berpasangan dengan K5",IF(AND(I28="R1",N28&lt;&gt;"K4",N28&lt;&gt;"K5"),"R1 hanya dengan K4 atau K5",IF(AND(I28="R2",N28="K5"),"R2 tidak boleh K5",IF(AND(K28="P9",J28&lt;&gt;"T17"),"P9 hanya dengan T17",IF(AND(J28="T01",K28&lt;&gt;"P6",Q28=""),"Periksa T01-P6: jelaskan di V12",IF(AND(K28="P1",N28&lt;&gt;"K4",Q28=""),"Periksa P1-K4: jelaskan di V12",IF(AND(J28="T99",Q28=""),"Periksa T99: wajib isi V12","OK"))))))))</f>
        <v>Lengkapi V4-V9</v>
      </c>
    </row>
    <row r="29" customFormat="false" ht="91" hidden="false" customHeight="false" outlineLevel="0" collapsed="false">
      <c r="A29" s="13" t="n">
        <v>29</v>
      </c>
      <c r="B29" s="13" t="str">
        <f aca="false">IF(Petunjuk!$C$4="","",Petunjuk!$C$4)</f>
        <v/>
      </c>
      <c r="C29" s="14" t="s">
        <v>124</v>
      </c>
      <c r="D29" s="13"/>
      <c r="E29" s="14" t="s">
        <v>128</v>
      </c>
      <c r="F29" s="14" t="s">
        <v>126</v>
      </c>
      <c r="G29" s="14"/>
      <c r="H29" s="14" t="s">
        <v>129</v>
      </c>
      <c r="I29" s="15"/>
      <c r="J29" s="15"/>
      <c r="K29" s="15"/>
      <c r="L29" s="15"/>
      <c r="M29" s="15"/>
      <c r="N29" s="15"/>
      <c r="O29" s="15"/>
      <c r="P29" s="16"/>
      <c r="Q29" s="16"/>
      <c r="R29" s="9" t="str">
        <f aca="false">IF(COUNTA(I29:N29)&lt;6,"Lengkapi V4-V9",IF(AND(I29="R0",N29&lt;&gt;"K5"),"R0 harus berpasangan dengan K5",IF(AND(I29="R1",N29&lt;&gt;"K4",N29&lt;&gt;"K5"),"R1 hanya dengan K4 atau K5",IF(AND(I29="R2",N29="K5"),"R2 tidak boleh K5",IF(AND(K29="P9",J29&lt;&gt;"T17"),"P9 hanya dengan T17",IF(AND(J29="T01",K29&lt;&gt;"P6",Q29=""),"Periksa T01-P6: jelaskan di V12",IF(AND(K29="P1",N29&lt;&gt;"K4",Q29=""),"Periksa P1-K4: jelaskan di V12",IF(AND(J29="T99",Q29=""),"Periksa T99: wajib isi V12","OK"))))))))</f>
        <v>Lengkapi V4-V9</v>
      </c>
    </row>
    <row r="30" customFormat="false" ht="23.85" hidden="false" customHeight="false" outlineLevel="0" collapsed="false">
      <c r="A30" s="13" t="n">
        <v>30</v>
      </c>
      <c r="B30" s="13" t="str">
        <f aca="false">IF(Petunjuk!$C$4="","",Petunjuk!$C$4)</f>
        <v/>
      </c>
      <c r="C30" s="14" t="s">
        <v>124</v>
      </c>
      <c r="D30" s="13"/>
      <c r="E30" s="14" t="s">
        <v>130</v>
      </c>
      <c r="F30" s="14" t="s">
        <v>131</v>
      </c>
      <c r="G30" s="14"/>
      <c r="H30" s="14" t="s">
        <v>132</v>
      </c>
      <c r="I30" s="15"/>
      <c r="J30" s="15"/>
      <c r="K30" s="15"/>
      <c r="L30" s="15"/>
      <c r="M30" s="15"/>
      <c r="N30" s="15"/>
      <c r="O30" s="15"/>
      <c r="P30" s="16"/>
      <c r="Q30" s="16"/>
      <c r="R30" s="9" t="str">
        <f aca="false">IF(COUNTA(I30:N30)&lt;6,"Lengkapi V4-V9",IF(AND(I30="R0",N30&lt;&gt;"K5"),"R0 harus berpasangan dengan K5",IF(AND(I30="R1",N30&lt;&gt;"K4",N30&lt;&gt;"K5"),"R1 hanya dengan K4 atau K5",IF(AND(I30="R2",N30="K5"),"R2 tidak boleh K5",IF(AND(K30="P9",J30&lt;&gt;"T17"),"P9 hanya dengan T17",IF(AND(J30="T01",K30&lt;&gt;"P6",Q30=""),"Periksa T01-P6: jelaskan di V12",IF(AND(K30="P1",N30&lt;&gt;"K4",Q30=""),"Periksa P1-K4: jelaskan di V12",IF(AND(J30="T99",Q30=""),"Periksa T99: wajib isi V12","OK"))))))))</f>
        <v>Lengkapi V4-V9</v>
      </c>
    </row>
    <row r="31" customFormat="false" ht="91" hidden="false" customHeight="false" outlineLevel="0" collapsed="false">
      <c r="A31" s="13" t="n">
        <v>31</v>
      </c>
      <c r="B31" s="13" t="str">
        <f aca="false">IF(Petunjuk!$C$4="","",Petunjuk!$C$4)</f>
        <v/>
      </c>
      <c r="C31" s="14" t="s">
        <v>124</v>
      </c>
      <c r="D31" s="13"/>
      <c r="E31" s="14" t="s">
        <v>133</v>
      </c>
      <c r="F31" s="14" t="s">
        <v>134</v>
      </c>
      <c r="G31" s="14"/>
      <c r="H31" s="14" t="s">
        <v>135</v>
      </c>
      <c r="I31" s="15"/>
      <c r="J31" s="15"/>
      <c r="K31" s="15"/>
      <c r="L31" s="15"/>
      <c r="M31" s="15"/>
      <c r="N31" s="15"/>
      <c r="O31" s="15"/>
      <c r="P31" s="16"/>
      <c r="Q31" s="16"/>
      <c r="R31" s="9" t="str">
        <f aca="false">IF(COUNTA(I31:N31)&lt;6,"Lengkapi V4-V9",IF(AND(I31="R0",N31&lt;&gt;"K5"),"R0 harus berpasangan dengan K5",IF(AND(I31="R1",N31&lt;&gt;"K4",N31&lt;&gt;"K5"),"R1 hanya dengan K4 atau K5",IF(AND(I31="R2",N31="K5"),"R2 tidak boleh K5",IF(AND(K31="P9",J31&lt;&gt;"T17"),"P9 hanya dengan T17",IF(AND(J31="T01",K31&lt;&gt;"P6",Q31=""),"Periksa T01-P6: jelaskan di V12",IF(AND(K31="P1",N31&lt;&gt;"K4",Q31=""),"Periksa P1-K4: jelaskan di V12",IF(AND(J31="T99",Q31=""),"Periksa T99: wajib isi V12","OK"))))))))</f>
        <v>Lengkapi V4-V9</v>
      </c>
    </row>
    <row r="32" customFormat="false" ht="35.05" hidden="false" customHeight="false" outlineLevel="0" collapsed="false">
      <c r="A32" s="13" t="n">
        <v>32</v>
      </c>
      <c r="B32" s="13" t="str">
        <f aca="false">IF(Petunjuk!$C$4="","",Petunjuk!$C$4)</f>
        <v/>
      </c>
      <c r="C32" s="14" t="s">
        <v>124</v>
      </c>
      <c r="D32" s="13"/>
      <c r="E32" s="14" t="s">
        <v>136</v>
      </c>
      <c r="F32" s="14" t="s">
        <v>137</v>
      </c>
      <c r="G32" s="14"/>
      <c r="H32" s="14" t="s">
        <v>138</v>
      </c>
      <c r="I32" s="15"/>
      <c r="J32" s="15"/>
      <c r="K32" s="15"/>
      <c r="L32" s="15"/>
      <c r="M32" s="15"/>
      <c r="N32" s="15"/>
      <c r="O32" s="15"/>
      <c r="P32" s="16"/>
      <c r="Q32" s="16"/>
      <c r="R32" s="9" t="str">
        <f aca="false">IF(COUNTA(I32:N32)&lt;6,"Lengkapi V4-V9",IF(AND(I32="R0",N32&lt;&gt;"K5"),"R0 harus berpasangan dengan K5",IF(AND(I32="R1",N32&lt;&gt;"K4",N32&lt;&gt;"K5"),"R1 hanya dengan K4 atau K5",IF(AND(I32="R2",N32="K5"),"R2 tidak boleh K5",IF(AND(K32="P9",J32&lt;&gt;"T17"),"P9 hanya dengan T17",IF(AND(J32="T01",K32&lt;&gt;"P6",Q32=""),"Periksa T01-P6: jelaskan di V12",IF(AND(K32="P1",N32&lt;&gt;"K4",Q32=""),"Periksa P1-K4: jelaskan di V12",IF(AND(J32="T99",Q32=""),"Periksa T99: wajib isi V12","OK"))))))))</f>
        <v>Lengkapi V4-V9</v>
      </c>
    </row>
    <row r="33" customFormat="false" ht="35.05" hidden="false" customHeight="false" outlineLevel="0" collapsed="false">
      <c r="A33" s="13" t="n">
        <v>33</v>
      </c>
      <c r="B33" s="13" t="str">
        <f aca="false">IF(Petunjuk!$C$4="","",Petunjuk!$C$4)</f>
        <v/>
      </c>
      <c r="C33" s="14" t="s">
        <v>124</v>
      </c>
      <c r="D33" s="13"/>
      <c r="E33" s="14" t="s">
        <v>139</v>
      </c>
      <c r="F33" s="14" t="s">
        <v>137</v>
      </c>
      <c r="G33" s="14"/>
      <c r="H33" s="14" t="s">
        <v>140</v>
      </c>
      <c r="I33" s="15"/>
      <c r="J33" s="15"/>
      <c r="K33" s="15"/>
      <c r="L33" s="15"/>
      <c r="M33" s="15"/>
      <c r="N33" s="15"/>
      <c r="O33" s="15"/>
      <c r="P33" s="16"/>
      <c r="Q33" s="16"/>
      <c r="R33" s="9" t="str">
        <f aca="false">IF(COUNTA(I33:N33)&lt;6,"Lengkapi V4-V9",IF(AND(I33="R0",N33&lt;&gt;"K5"),"R0 harus berpasangan dengan K5",IF(AND(I33="R1",N33&lt;&gt;"K4",N33&lt;&gt;"K5"),"R1 hanya dengan K4 atau K5",IF(AND(I33="R2",N33="K5"),"R2 tidak boleh K5",IF(AND(K33="P9",J33&lt;&gt;"T17"),"P9 hanya dengan T17",IF(AND(J33="T01",K33&lt;&gt;"P6",Q33=""),"Periksa T01-P6: jelaskan di V12",IF(AND(K33="P1",N33&lt;&gt;"K4",Q33=""),"Periksa P1-K4: jelaskan di V12",IF(AND(J33="T99",Q33=""),"Periksa T99: wajib isi V12","OK"))))))))</f>
        <v>Lengkapi V4-V9</v>
      </c>
    </row>
    <row r="34" customFormat="false" ht="35.05" hidden="false" customHeight="false" outlineLevel="0" collapsed="false">
      <c r="A34" s="13" t="n">
        <v>34</v>
      </c>
      <c r="B34" s="13" t="str">
        <f aca="false">IF(Petunjuk!$C$4="","",Petunjuk!$C$4)</f>
        <v/>
      </c>
      <c r="C34" s="14" t="s">
        <v>124</v>
      </c>
      <c r="D34" s="13"/>
      <c r="E34" s="14" t="s">
        <v>141</v>
      </c>
      <c r="F34" s="14" t="s">
        <v>137</v>
      </c>
      <c r="G34" s="14"/>
      <c r="H34" s="14" t="s">
        <v>142</v>
      </c>
      <c r="I34" s="15"/>
      <c r="J34" s="15"/>
      <c r="K34" s="15"/>
      <c r="L34" s="15"/>
      <c r="M34" s="15"/>
      <c r="N34" s="15"/>
      <c r="O34" s="15"/>
      <c r="P34" s="16"/>
      <c r="Q34" s="16"/>
      <c r="R34" s="9" t="str">
        <f aca="false">IF(COUNTA(I34:N34)&lt;6,"Lengkapi V4-V9",IF(AND(I34="R0",N34&lt;&gt;"K5"),"R0 harus berpasangan dengan K5",IF(AND(I34="R1",N34&lt;&gt;"K4",N34&lt;&gt;"K5"),"R1 hanya dengan K4 atau K5",IF(AND(I34="R2",N34="K5"),"R2 tidak boleh K5",IF(AND(K34="P9",J34&lt;&gt;"T17"),"P9 hanya dengan T17",IF(AND(J34="T01",K34&lt;&gt;"P6",Q34=""),"Periksa T01-P6: jelaskan di V12",IF(AND(K34="P1",N34&lt;&gt;"K4",Q34=""),"Periksa P1-K4: jelaskan di V12",IF(AND(J34="T99",Q34=""),"Periksa T99: wajib isi V12","OK"))))))))</f>
        <v>Lengkapi V4-V9</v>
      </c>
    </row>
    <row r="35" customFormat="false" ht="35.05" hidden="false" customHeight="false" outlineLevel="0" collapsed="false">
      <c r="A35" s="13" t="n">
        <v>35</v>
      </c>
      <c r="B35" s="13" t="str">
        <f aca="false">IF(Petunjuk!$C$4="","",Petunjuk!$C$4)</f>
        <v/>
      </c>
      <c r="C35" s="14" t="s">
        <v>124</v>
      </c>
      <c r="D35" s="17" t="s">
        <v>89</v>
      </c>
      <c r="E35" s="14" t="s">
        <v>143</v>
      </c>
      <c r="F35" s="14" t="s">
        <v>137</v>
      </c>
      <c r="G35" s="14"/>
      <c r="H35" s="14" t="s">
        <v>144</v>
      </c>
      <c r="I35" s="15"/>
      <c r="J35" s="15"/>
      <c r="K35" s="15"/>
      <c r="L35" s="15"/>
      <c r="M35" s="15"/>
      <c r="N35" s="15"/>
      <c r="O35" s="15"/>
      <c r="P35" s="16"/>
      <c r="Q35" s="16"/>
      <c r="R35" s="9" t="str">
        <f aca="false">IF(COUNTA(I35:N35)&lt;6,"Lengkapi V4-V9",IF(AND(I35="R0",N35&lt;&gt;"K5"),"R0 harus berpasangan dengan K5",IF(AND(I35="R1",N35&lt;&gt;"K4",N35&lt;&gt;"K5"),"R1 hanya dengan K4 atau K5",IF(AND(I35="R2",N35="K5"),"R2 tidak boleh K5",IF(AND(K35="P9",J35&lt;&gt;"T17"),"P9 hanya dengan T17",IF(AND(J35="T01",K35&lt;&gt;"P6",Q35=""),"Periksa T01-P6: jelaskan di V12",IF(AND(K35="P1",N35&lt;&gt;"K4",Q35=""),"Periksa P1-K4: jelaskan di V12",IF(AND(J35="T99",Q35=""),"Periksa T99: wajib isi V12","OK"))))))))</f>
        <v>Lengkapi V4-V9</v>
      </c>
    </row>
    <row r="36" customFormat="false" ht="35.05" hidden="false" customHeight="false" outlineLevel="0" collapsed="false">
      <c r="A36" s="13" t="n">
        <v>36</v>
      </c>
      <c r="B36" s="13" t="str">
        <f aca="false">IF(Petunjuk!$C$4="","",Petunjuk!$C$4)</f>
        <v/>
      </c>
      <c r="C36" s="14" t="s">
        <v>124</v>
      </c>
      <c r="D36" s="13"/>
      <c r="E36" s="14" t="s">
        <v>145</v>
      </c>
      <c r="F36" s="14" t="s">
        <v>137</v>
      </c>
      <c r="G36" s="14"/>
      <c r="H36" s="14" t="s">
        <v>146</v>
      </c>
      <c r="I36" s="15"/>
      <c r="J36" s="15"/>
      <c r="K36" s="15"/>
      <c r="L36" s="15"/>
      <c r="M36" s="15"/>
      <c r="N36" s="15"/>
      <c r="O36" s="15"/>
      <c r="P36" s="16"/>
      <c r="Q36" s="16"/>
      <c r="R36" s="9" t="str">
        <f aca="false">IF(COUNTA(I36:N36)&lt;6,"Lengkapi V4-V9",IF(AND(I36="R0",N36&lt;&gt;"K5"),"R0 harus berpasangan dengan K5",IF(AND(I36="R1",N36&lt;&gt;"K4",N36&lt;&gt;"K5"),"R1 hanya dengan K4 atau K5",IF(AND(I36="R2",N36="K5"),"R2 tidak boleh K5",IF(AND(K36="P9",J36&lt;&gt;"T17"),"P9 hanya dengan T17",IF(AND(J36="T01",K36&lt;&gt;"P6",Q36=""),"Periksa T01-P6: jelaskan di V12",IF(AND(K36="P1",N36&lt;&gt;"K4",Q36=""),"Periksa P1-K4: jelaskan di V12",IF(AND(J36="T99",Q36=""),"Periksa T99: wajib isi V12","OK"))))))))</f>
        <v>Lengkapi V4-V9</v>
      </c>
    </row>
    <row r="37" customFormat="false" ht="57.45" hidden="false" customHeight="false" outlineLevel="0" collapsed="false">
      <c r="A37" s="13" t="n">
        <v>37</v>
      </c>
      <c r="B37" s="13" t="str">
        <f aca="false">IF(Petunjuk!$C$4="","",Petunjuk!$C$4)</f>
        <v/>
      </c>
      <c r="C37" s="14" t="s">
        <v>124</v>
      </c>
      <c r="D37" s="13"/>
      <c r="E37" s="14" t="s">
        <v>147</v>
      </c>
      <c r="F37" s="14" t="s">
        <v>137</v>
      </c>
      <c r="G37" s="14"/>
      <c r="H37" s="14" t="s">
        <v>148</v>
      </c>
      <c r="I37" s="15"/>
      <c r="J37" s="15"/>
      <c r="K37" s="15"/>
      <c r="L37" s="15"/>
      <c r="M37" s="15"/>
      <c r="N37" s="15"/>
      <c r="O37" s="15"/>
      <c r="P37" s="16"/>
      <c r="Q37" s="16"/>
      <c r="R37" s="9" t="str">
        <f aca="false">IF(COUNTA(I37:N37)&lt;6,"Lengkapi V4-V9",IF(AND(I37="R0",N37&lt;&gt;"K5"),"R0 harus berpasangan dengan K5",IF(AND(I37="R1",N37&lt;&gt;"K4",N37&lt;&gt;"K5"),"R1 hanya dengan K4 atau K5",IF(AND(I37="R2",N37="K5"),"R2 tidak boleh K5",IF(AND(K37="P9",J37&lt;&gt;"T17"),"P9 hanya dengan T17",IF(AND(J37="T01",K37&lt;&gt;"P6",Q37=""),"Periksa T01-P6: jelaskan di V12",IF(AND(K37="P1",N37&lt;&gt;"K4",Q37=""),"Periksa P1-K4: jelaskan di V12",IF(AND(J37="T99",Q37=""),"Periksa T99: wajib isi V12","OK"))))))))</f>
        <v>Lengkapi V4-V9</v>
      </c>
    </row>
    <row r="38" customFormat="false" ht="35.05" hidden="false" customHeight="false" outlineLevel="0" collapsed="false">
      <c r="A38" s="13" t="n">
        <v>38</v>
      </c>
      <c r="B38" s="13" t="str">
        <f aca="false">IF(Petunjuk!$C$4="","",Petunjuk!$C$4)</f>
        <v/>
      </c>
      <c r="C38" s="14" t="s">
        <v>124</v>
      </c>
      <c r="D38" s="13"/>
      <c r="E38" s="14" t="s">
        <v>149</v>
      </c>
      <c r="F38" s="14" t="s">
        <v>137</v>
      </c>
      <c r="G38" s="14"/>
      <c r="H38" s="14" t="s">
        <v>150</v>
      </c>
      <c r="I38" s="15"/>
      <c r="J38" s="15"/>
      <c r="K38" s="15"/>
      <c r="L38" s="15"/>
      <c r="M38" s="15"/>
      <c r="N38" s="15"/>
      <c r="O38" s="15"/>
      <c r="P38" s="16"/>
      <c r="Q38" s="16"/>
      <c r="R38" s="9" t="str">
        <f aca="false">IF(COUNTA(I38:N38)&lt;6,"Lengkapi V4-V9",IF(AND(I38="R0",N38&lt;&gt;"K5"),"R0 harus berpasangan dengan K5",IF(AND(I38="R1",N38&lt;&gt;"K4",N38&lt;&gt;"K5"),"R1 hanya dengan K4 atau K5",IF(AND(I38="R2",N38="K5"),"R2 tidak boleh K5",IF(AND(K38="P9",J38&lt;&gt;"T17"),"P9 hanya dengan T17",IF(AND(J38="T01",K38&lt;&gt;"P6",Q38=""),"Periksa T01-P6: jelaskan di V12",IF(AND(K38="P1",N38&lt;&gt;"K4",Q38=""),"Periksa P1-K4: jelaskan di V12",IF(AND(J38="T99",Q38=""),"Periksa T99: wajib isi V12","OK"))))))))</f>
        <v>Lengkapi V4-V9</v>
      </c>
    </row>
    <row r="39" customFormat="false" ht="57.45" hidden="false" customHeight="false" outlineLevel="0" collapsed="false">
      <c r="A39" s="13" t="n">
        <v>39</v>
      </c>
      <c r="B39" s="13" t="str">
        <f aca="false">IF(Petunjuk!$C$4="","",Petunjuk!$C$4)</f>
        <v/>
      </c>
      <c r="C39" s="14" t="s">
        <v>124</v>
      </c>
      <c r="D39" s="13"/>
      <c r="E39" s="14" t="s">
        <v>151</v>
      </c>
      <c r="F39" s="14" t="s">
        <v>137</v>
      </c>
      <c r="G39" s="14"/>
      <c r="H39" s="14" t="s">
        <v>152</v>
      </c>
      <c r="I39" s="15"/>
      <c r="J39" s="15"/>
      <c r="K39" s="15"/>
      <c r="L39" s="15"/>
      <c r="M39" s="15"/>
      <c r="N39" s="15"/>
      <c r="O39" s="15"/>
      <c r="P39" s="16"/>
      <c r="Q39" s="16"/>
      <c r="R39" s="9" t="str">
        <f aca="false">IF(COUNTA(I39:N39)&lt;6,"Lengkapi V4-V9",IF(AND(I39="R0",N39&lt;&gt;"K5"),"R0 harus berpasangan dengan K5",IF(AND(I39="R1",N39&lt;&gt;"K4",N39&lt;&gt;"K5"),"R1 hanya dengan K4 atau K5",IF(AND(I39="R2",N39="K5"),"R2 tidak boleh K5",IF(AND(K39="P9",J39&lt;&gt;"T17"),"P9 hanya dengan T17",IF(AND(J39="T01",K39&lt;&gt;"P6",Q39=""),"Periksa T01-P6: jelaskan di V12",IF(AND(K39="P1",N39&lt;&gt;"K4",Q39=""),"Periksa P1-K4: jelaskan di V12",IF(AND(J39="T99",Q39=""),"Periksa T99: wajib isi V12","OK"))))))))</f>
        <v>Lengkapi V4-V9</v>
      </c>
    </row>
    <row r="40" customFormat="false" ht="102.2" hidden="false" customHeight="false" outlineLevel="0" collapsed="false">
      <c r="A40" s="13" t="n">
        <v>40</v>
      </c>
      <c r="B40" s="13" t="str">
        <f aca="false">IF(Petunjuk!$C$4="","",Petunjuk!$C$4)</f>
        <v/>
      </c>
      <c r="C40" s="14" t="s">
        <v>124</v>
      </c>
      <c r="D40" s="13"/>
      <c r="E40" s="14" t="s">
        <v>153</v>
      </c>
      <c r="F40" s="14" t="s">
        <v>137</v>
      </c>
      <c r="G40" s="14"/>
      <c r="H40" s="14" t="s">
        <v>154</v>
      </c>
      <c r="I40" s="15"/>
      <c r="J40" s="15"/>
      <c r="K40" s="15"/>
      <c r="L40" s="15"/>
      <c r="M40" s="15"/>
      <c r="N40" s="15"/>
      <c r="O40" s="15"/>
      <c r="P40" s="16"/>
      <c r="Q40" s="16"/>
      <c r="R40" s="9" t="str">
        <f aca="false">IF(COUNTA(I40:N40)&lt;6,"Lengkapi V4-V9",IF(AND(I40="R0",N40&lt;&gt;"K5"),"R0 harus berpasangan dengan K5",IF(AND(I40="R1",N40&lt;&gt;"K4",N40&lt;&gt;"K5"),"R1 hanya dengan K4 atau K5",IF(AND(I40="R2",N40="K5"),"R2 tidak boleh K5",IF(AND(K40="P9",J40&lt;&gt;"T17"),"P9 hanya dengan T17",IF(AND(J40="T01",K40&lt;&gt;"P6",Q40=""),"Periksa T01-P6: jelaskan di V12",IF(AND(K40="P1",N40&lt;&gt;"K4",Q40=""),"Periksa P1-K4: jelaskan di V12",IF(AND(J40="T99",Q40=""),"Periksa T99: wajib isi V12","OK"))))))))</f>
        <v>Lengkapi V4-V9</v>
      </c>
    </row>
    <row r="41" customFormat="false" ht="35.05" hidden="false" customHeight="false" outlineLevel="0" collapsed="false">
      <c r="A41" s="13" t="n">
        <v>41</v>
      </c>
      <c r="B41" s="13" t="str">
        <f aca="false">IF(Petunjuk!$C$4="","",Petunjuk!$C$4)</f>
        <v/>
      </c>
      <c r="C41" s="14" t="s">
        <v>124</v>
      </c>
      <c r="D41" s="13"/>
      <c r="E41" s="14" t="s">
        <v>155</v>
      </c>
      <c r="F41" s="14" t="s">
        <v>137</v>
      </c>
      <c r="G41" s="14"/>
      <c r="H41" s="14" t="s">
        <v>156</v>
      </c>
      <c r="I41" s="15"/>
      <c r="J41" s="15"/>
      <c r="K41" s="15"/>
      <c r="L41" s="15"/>
      <c r="M41" s="15"/>
      <c r="N41" s="15"/>
      <c r="O41" s="15"/>
      <c r="P41" s="16"/>
      <c r="Q41" s="16"/>
      <c r="R41" s="9" t="str">
        <f aca="false">IF(COUNTA(I41:N41)&lt;6,"Lengkapi V4-V9",IF(AND(I41="R0",N41&lt;&gt;"K5"),"R0 harus berpasangan dengan K5",IF(AND(I41="R1",N41&lt;&gt;"K4",N41&lt;&gt;"K5"),"R1 hanya dengan K4 atau K5",IF(AND(I41="R2",N41="K5"),"R2 tidak boleh K5",IF(AND(K41="P9",J41&lt;&gt;"T17"),"P9 hanya dengan T17",IF(AND(J41="T01",K41&lt;&gt;"P6",Q41=""),"Periksa T01-P6: jelaskan di V12",IF(AND(K41="P1",N41&lt;&gt;"K4",Q41=""),"Periksa P1-K4: jelaskan di V12",IF(AND(J41="T99",Q41=""),"Periksa T99: wajib isi V12","OK"))))))))</f>
        <v>Lengkapi V4-V9</v>
      </c>
    </row>
    <row r="42" customFormat="false" ht="91" hidden="false" customHeight="false" outlineLevel="0" collapsed="false">
      <c r="A42" s="13" t="n">
        <v>42</v>
      </c>
      <c r="B42" s="13" t="str">
        <f aca="false">IF(Petunjuk!$C$4="","",Petunjuk!$C$4)</f>
        <v/>
      </c>
      <c r="C42" s="14" t="s">
        <v>124</v>
      </c>
      <c r="D42" s="17" t="s">
        <v>89</v>
      </c>
      <c r="E42" s="14" t="s">
        <v>157</v>
      </c>
      <c r="F42" s="14" t="s">
        <v>137</v>
      </c>
      <c r="G42" s="14"/>
      <c r="H42" s="14" t="s">
        <v>158</v>
      </c>
      <c r="I42" s="15"/>
      <c r="J42" s="15"/>
      <c r="K42" s="15"/>
      <c r="L42" s="15"/>
      <c r="M42" s="15"/>
      <c r="N42" s="15"/>
      <c r="O42" s="15"/>
      <c r="P42" s="16"/>
      <c r="Q42" s="16"/>
      <c r="R42" s="9" t="str">
        <f aca="false">IF(COUNTA(I42:N42)&lt;6,"Lengkapi V4-V9",IF(AND(I42="R0",N42&lt;&gt;"K5"),"R0 harus berpasangan dengan K5",IF(AND(I42="R1",N42&lt;&gt;"K4",N42&lt;&gt;"K5"),"R1 hanya dengan K4 atau K5",IF(AND(I42="R2",N42="K5"),"R2 tidak boleh K5",IF(AND(K42="P9",J42&lt;&gt;"T17"),"P9 hanya dengan T17",IF(AND(J42="T01",K42&lt;&gt;"P6",Q42=""),"Periksa T01-P6: jelaskan di V12",IF(AND(K42="P1",N42&lt;&gt;"K4",Q42=""),"Periksa P1-K4: jelaskan di V12",IF(AND(J42="T99",Q42=""),"Periksa T99: wajib isi V12","OK"))))))))</f>
        <v>Lengkapi V4-V9</v>
      </c>
    </row>
    <row r="43" customFormat="false" ht="202.95" hidden="false" customHeight="false" outlineLevel="0" collapsed="false">
      <c r="A43" s="13" t="n">
        <v>43</v>
      </c>
      <c r="B43" s="13" t="str">
        <f aca="false">IF(Petunjuk!$C$4="","",Petunjuk!$C$4)</f>
        <v/>
      </c>
      <c r="C43" s="14" t="s">
        <v>124</v>
      </c>
      <c r="D43" s="13"/>
      <c r="E43" s="14" t="s">
        <v>159</v>
      </c>
      <c r="F43" s="14" t="s">
        <v>160</v>
      </c>
      <c r="G43" s="14"/>
      <c r="H43" s="14" t="s">
        <v>161</v>
      </c>
      <c r="I43" s="15"/>
      <c r="J43" s="15"/>
      <c r="K43" s="15"/>
      <c r="L43" s="15"/>
      <c r="M43" s="15"/>
      <c r="N43" s="15"/>
      <c r="O43" s="15"/>
      <c r="P43" s="16"/>
      <c r="Q43" s="16"/>
      <c r="R43" s="9" t="str">
        <f aca="false">IF(COUNTA(I43:N43)&lt;6,"Lengkapi V4-V9",IF(AND(I43="R0",N43&lt;&gt;"K5"),"R0 harus berpasangan dengan K5",IF(AND(I43="R1",N43&lt;&gt;"K4",N43&lt;&gt;"K5"),"R1 hanya dengan K4 atau K5",IF(AND(I43="R2",N43="K5"),"R2 tidak boleh K5",IF(AND(K43="P9",J43&lt;&gt;"T17"),"P9 hanya dengan T17",IF(AND(J43="T01",K43&lt;&gt;"P6",Q43=""),"Periksa T01-P6: jelaskan di V12",IF(AND(K43="P1",N43&lt;&gt;"K4",Q43=""),"Periksa P1-K4: jelaskan di V12",IF(AND(J43="T99",Q43=""),"Periksa T99: wajib isi V12","OK"))))))))</f>
        <v>Lengkapi V4-V9</v>
      </c>
    </row>
    <row r="44" customFormat="false" ht="79.85" hidden="false" customHeight="false" outlineLevel="0" collapsed="false">
      <c r="A44" s="13" t="n">
        <v>44</v>
      </c>
      <c r="B44" s="13" t="str">
        <f aca="false">IF(Petunjuk!$C$4="","",Petunjuk!$C$4)</f>
        <v/>
      </c>
      <c r="C44" s="14" t="s">
        <v>124</v>
      </c>
      <c r="D44" s="17" t="s">
        <v>89</v>
      </c>
      <c r="E44" s="14" t="s">
        <v>162</v>
      </c>
      <c r="F44" s="14" t="s">
        <v>160</v>
      </c>
      <c r="G44" s="14"/>
      <c r="H44" s="14" t="s">
        <v>163</v>
      </c>
      <c r="I44" s="15"/>
      <c r="J44" s="15"/>
      <c r="K44" s="15"/>
      <c r="L44" s="15"/>
      <c r="M44" s="15"/>
      <c r="N44" s="15"/>
      <c r="O44" s="15"/>
      <c r="P44" s="16"/>
      <c r="Q44" s="16"/>
      <c r="R44" s="9" t="str">
        <f aca="false">IF(COUNTA(I44:N44)&lt;6,"Lengkapi V4-V9",IF(AND(I44="R0",N44&lt;&gt;"K5"),"R0 harus berpasangan dengan K5",IF(AND(I44="R1",N44&lt;&gt;"K4",N44&lt;&gt;"K5"),"R1 hanya dengan K4 atau K5",IF(AND(I44="R2",N44="K5"),"R2 tidak boleh K5",IF(AND(K44="P9",J44&lt;&gt;"T17"),"P9 hanya dengan T17",IF(AND(J44="T01",K44&lt;&gt;"P6",Q44=""),"Periksa T01-P6: jelaskan di V12",IF(AND(K44="P1",N44&lt;&gt;"K4",Q44=""),"Periksa P1-K4: jelaskan di V12",IF(AND(J44="T99",Q44=""),"Periksa T99: wajib isi V12","OK"))))))))</f>
        <v>Lengkapi V4-V9</v>
      </c>
    </row>
    <row r="45" customFormat="false" ht="79.85" hidden="false" customHeight="false" outlineLevel="0" collapsed="false">
      <c r="A45" s="13" t="n">
        <v>45</v>
      </c>
      <c r="B45" s="13" t="str">
        <f aca="false">IF(Petunjuk!$C$4="","",Petunjuk!$C$4)</f>
        <v/>
      </c>
      <c r="C45" s="14" t="s">
        <v>124</v>
      </c>
      <c r="D45" s="13"/>
      <c r="E45" s="14" t="s">
        <v>164</v>
      </c>
      <c r="F45" s="14" t="s">
        <v>160</v>
      </c>
      <c r="G45" s="14"/>
      <c r="H45" s="14" t="s">
        <v>165</v>
      </c>
      <c r="I45" s="15"/>
      <c r="J45" s="15"/>
      <c r="K45" s="15"/>
      <c r="L45" s="15"/>
      <c r="M45" s="15"/>
      <c r="N45" s="15"/>
      <c r="O45" s="15"/>
      <c r="P45" s="16"/>
      <c r="Q45" s="16"/>
      <c r="R45" s="9" t="str">
        <f aca="false">IF(COUNTA(I45:N45)&lt;6,"Lengkapi V4-V9",IF(AND(I45="R0",N45&lt;&gt;"K5"),"R0 harus berpasangan dengan K5",IF(AND(I45="R1",N45&lt;&gt;"K4",N45&lt;&gt;"K5"),"R1 hanya dengan K4 atau K5",IF(AND(I45="R2",N45="K5"),"R2 tidak boleh K5",IF(AND(K45="P9",J45&lt;&gt;"T17"),"P9 hanya dengan T17",IF(AND(J45="T01",K45&lt;&gt;"P6",Q45=""),"Periksa T01-P6: jelaskan di V12",IF(AND(K45="P1",N45&lt;&gt;"K4",Q45=""),"Periksa P1-K4: jelaskan di V12",IF(AND(J45="T99",Q45=""),"Periksa T99: wajib isi V12","OK"))))))))</f>
        <v>Lengkapi V4-V9</v>
      </c>
    </row>
    <row r="46" customFormat="false" ht="68.65" hidden="false" customHeight="false" outlineLevel="0" collapsed="false">
      <c r="A46" s="13" t="n">
        <v>46</v>
      </c>
      <c r="B46" s="13" t="str">
        <f aca="false">IF(Petunjuk!$C$4="","",Petunjuk!$C$4)</f>
        <v/>
      </c>
      <c r="C46" s="14" t="s">
        <v>124</v>
      </c>
      <c r="D46" s="13"/>
      <c r="E46" s="14" t="s">
        <v>166</v>
      </c>
      <c r="F46" s="14" t="s">
        <v>167</v>
      </c>
      <c r="G46" s="14" t="s">
        <v>168</v>
      </c>
      <c r="H46" s="14" t="s">
        <v>169</v>
      </c>
      <c r="I46" s="15"/>
      <c r="J46" s="15"/>
      <c r="K46" s="15"/>
      <c r="L46" s="15"/>
      <c r="M46" s="15"/>
      <c r="N46" s="15"/>
      <c r="O46" s="15"/>
      <c r="P46" s="16"/>
      <c r="Q46" s="16"/>
      <c r="R46" s="9" t="str">
        <f aca="false">IF(COUNTA(I46:N46)&lt;6,"Lengkapi V4-V9",IF(AND(I46="R0",N46&lt;&gt;"K5"),"R0 harus berpasangan dengan K5",IF(AND(I46="R1",N46&lt;&gt;"K4",N46&lt;&gt;"K5"),"R1 hanya dengan K4 atau K5",IF(AND(I46="R2",N46="K5"),"R2 tidak boleh K5",IF(AND(K46="P9",J46&lt;&gt;"T17"),"P9 hanya dengan T17",IF(AND(J46="T01",K46&lt;&gt;"P6",Q46=""),"Periksa T01-P6: jelaskan di V12",IF(AND(K46="P1",N46&lt;&gt;"K4",Q46=""),"Periksa P1-K4: jelaskan di V12",IF(AND(J46="T99",Q46=""),"Periksa T99: wajib isi V12","OK"))))))))</f>
        <v>Lengkapi V4-V9</v>
      </c>
    </row>
    <row r="47" customFormat="false" ht="147" hidden="false" customHeight="false" outlineLevel="0" collapsed="false">
      <c r="A47" s="13" t="n">
        <v>47</v>
      </c>
      <c r="B47" s="13" t="str">
        <f aca="false">IF(Petunjuk!$C$4="","",Petunjuk!$C$4)</f>
        <v/>
      </c>
      <c r="C47" s="14" t="s">
        <v>124</v>
      </c>
      <c r="D47" s="13"/>
      <c r="E47" s="14" t="s">
        <v>170</v>
      </c>
      <c r="F47" s="14" t="s">
        <v>167</v>
      </c>
      <c r="G47" s="14" t="s">
        <v>171</v>
      </c>
      <c r="H47" s="14" t="s">
        <v>172</v>
      </c>
      <c r="I47" s="15"/>
      <c r="J47" s="15"/>
      <c r="K47" s="15"/>
      <c r="L47" s="15"/>
      <c r="M47" s="15"/>
      <c r="N47" s="15"/>
      <c r="O47" s="15"/>
      <c r="P47" s="16"/>
      <c r="Q47" s="16"/>
      <c r="R47" s="9" t="str">
        <f aca="false">IF(COUNTA(I47:N47)&lt;6,"Lengkapi V4-V9",IF(AND(I47="R0",N47&lt;&gt;"K5"),"R0 harus berpasangan dengan K5",IF(AND(I47="R1",N47&lt;&gt;"K4",N47&lt;&gt;"K5"),"R1 hanya dengan K4 atau K5",IF(AND(I47="R2",N47="K5"),"R2 tidak boleh K5",IF(AND(K47="P9",J47&lt;&gt;"T17"),"P9 hanya dengan T17",IF(AND(J47="T01",K47&lt;&gt;"P6",Q47=""),"Periksa T01-P6: jelaskan di V12",IF(AND(K47="P1",N47&lt;&gt;"K4",Q47=""),"Periksa P1-K4: jelaskan di V12",IF(AND(J47="T99",Q47=""),"Periksa T99: wajib isi V12","OK"))))))))</f>
        <v>Lengkapi V4-V9</v>
      </c>
    </row>
    <row r="48" customFormat="false" ht="91" hidden="false" customHeight="false" outlineLevel="0" collapsed="false">
      <c r="A48" s="13" t="n">
        <v>48</v>
      </c>
      <c r="B48" s="13" t="str">
        <f aca="false">IF(Petunjuk!$C$4="","",Petunjuk!$C$4)</f>
        <v/>
      </c>
      <c r="C48" s="14" t="s">
        <v>124</v>
      </c>
      <c r="D48" s="13"/>
      <c r="E48" s="14" t="s">
        <v>173</v>
      </c>
      <c r="F48" s="14" t="s">
        <v>167</v>
      </c>
      <c r="G48" s="14" t="s">
        <v>171</v>
      </c>
      <c r="H48" s="14" t="s">
        <v>174</v>
      </c>
      <c r="I48" s="15"/>
      <c r="J48" s="15"/>
      <c r="K48" s="15"/>
      <c r="L48" s="15"/>
      <c r="M48" s="15"/>
      <c r="N48" s="15"/>
      <c r="O48" s="15"/>
      <c r="P48" s="16"/>
      <c r="Q48" s="16"/>
      <c r="R48" s="9" t="str">
        <f aca="false">IF(COUNTA(I48:N48)&lt;6,"Lengkapi V4-V9",IF(AND(I48="R0",N48&lt;&gt;"K5"),"R0 harus berpasangan dengan K5",IF(AND(I48="R1",N48&lt;&gt;"K4",N48&lt;&gt;"K5"),"R1 hanya dengan K4 atau K5",IF(AND(I48="R2",N48="K5"),"R2 tidak boleh K5",IF(AND(K48="P9",J48&lt;&gt;"T17"),"P9 hanya dengan T17",IF(AND(J48="T01",K48&lt;&gt;"P6",Q48=""),"Periksa T01-P6: jelaskan di V12",IF(AND(K48="P1",N48&lt;&gt;"K4",Q48=""),"Periksa P1-K4: jelaskan di V12",IF(AND(J48="T99",Q48=""),"Periksa T99: wajib isi V12","OK"))))))))</f>
        <v>Lengkapi V4-V9</v>
      </c>
    </row>
    <row r="49" customFormat="false" ht="102.2" hidden="false" customHeight="false" outlineLevel="0" collapsed="false">
      <c r="A49" s="13" t="n">
        <v>49</v>
      </c>
      <c r="B49" s="13" t="str">
        <f aca="false">IF(Petunjuk!$C$4="","",Petunjuk!$C$4)</f>
        <v/>
      </c>
      <c r="C49" s="14" t="s">
        <v>124</v>
      </c>
      <c r="D49" s="13"/>
      <c r="E49" s="14" t="s">
        <v>175</v>
      </c>
      <c r="F49" s="14" t="s">
        <v>167</v>
      </c>
      <c r="G49" s="14" t="s">
        <v>171</v>
      </c>
      <c r="H49" s="14" t="s">
        <v>176</v>
      </c>
      <c r="I49" s="15"/>
      <c r="J49" s="15"/>
      <c r="K49" s="15"/>
      <c r="L49" s="15"/>
      <c r="M49" s="15"/>
      <c r="N49" s="15"/>
      <c r="O49" s="15"/>
      <c r="P49" s="16"/>
      <c r="Q49" s="16"/>
      <c r="R49" s="9" t="str">
        <f aca="false">IF(COUNTA(I49:N49)&lt;6,"Lengkapi V4-V9",IF(AND(I49="R0",N49&lt;&gt;"K5"),"R0 harus berpasangan dengan K5",IF(AND(I49="R1",N49&lt;&gt;"K4",N49&lt;&gt;"K5"),"R1 hanya dengan K4 atau K5",IF(AND(I49="R2",N49="K5"),"R2 tidak boleh K5",IF(AND(K49="P9",J49&lt;&gt;"T17"),"P9 hanya dengan T17",IF(AND(J49="T01",K49&lt;&gt;"P6",Q49=""),"Periksa T01-P6: jelaskan di V12",IF(AND(K49="P1",N49&lt;&gt;"K4",Q49=""),"Periksa P1-K4: jelaskan di V12",IF(AND(J49="T99",Q49=""),"Periksa T99: wajib isi V12","OK"))))))))</f>
        <v>Lengkapi V4-V9</v>
      </c>
    </row>
    <row r="50" customFormat="false" ht="68.65" hidden="false" customHeight="false" outlineLevel="0" collapsed="false">
      <c r="A50" s="13" t="n">
        <v>50</v>
      </c>
      <c r="B50" s="13" t="str">
        <f aca="false">IF(Petunjuk!$C$4="","",Petunjuk!$C$4)</f>
        <v/>
      </c>
      <c r="C50" s="14" t="s">
        <v>124</v>
      </c>
      <c r="D50" s="13"/>
      <c r="E50" s="14" t="s">
        <v>177</v>
      </c>
      <c r="F50" s="14" t="s">
        <v>167</v>
      </c>
      <c r="G50" s="14" t="s">
        <v>171</v>
      </c>
      <c r="H50" s="14" t="s">
        <v>178</v>
      </c>
      <c r="I50" s="15"/>
      <c r="J50" s="15"/>
      <c r="K50" s="15"/>
      <c r="L50" s="15"/>
      <c r="M50" s="15"/>
      <c r="N50" s="15"/>
      <c r="O50" s="15"/>
      <c r="P50" s="16"/>
      <c r="Q50" s="16"/>
      <c r="R50" s="9" t="str">
        <f aca="false">IF(COUNTA(I50:N50)&lt;6,"Lengkapi V4-V9",IF(AND(I50="R0",N50&lt;&gt;"K5"),"R0 harus berpasangan dengan K5",IF(AND(I50="R1",N50&lt;&gt;"K4",N50&lt;&gt;"K5"),"R1 hanya dengan K4 atau K5",IF(AND(I50="R2",N50="K5"),"R2 tidak boleh K5",IF(AND(K50="P9",J50&lt;&gt;"T17"),"P9 hanya dengan T17",IF(AND(J50="T01",K50&lt;&gt;"P6",Q50=""),"Periksa T01-P6: jelaskan di V12",IF(AND(K50="P1",N50&lt;&gt;"K4",Q50=""),"Periksa P1-K4: jelaskan di V12",IF(AND(J50="T99",Q50=""),"Periksa T99: wajib isi V12","OK"))))))))</f>
        <v>Lengkapi V4-V9</v>
      </c>
    </row>
    <row r="51" customFormat="false" ht="68.65" hidden="false" customHeight="false" outlineLevel="0" collapsed="false">
      <c r="A51" s="13" t="n">
        <v>51</v>
      </c>
      <c r="B51" s="13" t="str">
        <f aca="false">IF(Petunjuk!$C$4="","",Petunjuk!$C$4)</f>
        <v/>
      </c>
      <c r="C51" s="14" t="s">
        <v>124</v>
      </c>
      <c r="D51" s="13"/>
      <c r="E51" s="14" t="s">
        <v>179</v>
      </c>
      <c r="F51" s="14" t="s">
        <v>167</v>
      </c>
      <c r="G51" s="14" t="s">
        <v>171</v>
      </c>
      <c r="H51" s="14" t="s">
        <v>180</v>
      </c>
      <c r="I51" s="15"/>
      <c r="J51" s="15"/>
      <c r="K51" s="15"/>
      <c r="L51" s="15"/>
      <c r="M51" s="15"/>
      <c r="N51" s="15"/>
      <c r="O51" s="15"/>
      <c r="P51" s="16"/>
      <c r="Q51" s="16"/>
      <c r="R51" s="9" t="str">
        <f aca="false">IF(COUNTA(I51:N51)&lt;6,"Lengkapi V4-V9",IF(AND(I51="R0",N51&lt;&gt;"K5"),"R0 harus berpasangan dengan K5",IF(AND(I51="R1",N51&lt;&gt;"K4",N51&lt;&gt;"K5"),"R1 hanya dengan K4 atau K5",IF(AND(I51="R2",N51="K5"),"R2 tidak boleh K5",IF(AND(K51="P9",J51&lt;&gt;"T17"),"P9 hanya dengan T17",IF(AND(J51="T01",K51&lt;&gt;"P6",Q51=""),"Periksa T01-P6: jelaskan di V12",IF(AND(K51="P1",N51&lt;&gt;"K4",Q51=""),"Periksa P1-K4: jelaskan di V12",IF(AND(J51="T99",Q51=""),"Periksa T99: wajib isi V12","OK"))))))))</f>
        <v>Lengkapi V4-V9</v>
      </c>
    </row>
    <row r="52" customFormat="false" ht="68.65" hidden="false" customHeight="false" outlineLevel="0" collapsed="false">
      <c r="A52" s="13" t="n">
        <v>52</v>
      </c>
      <c r="B52" s="13" t="str">
        <f aca="false">IF(Petunjuk!$C$4="","",Petunjuk!$C$4)</f>
        <v/>
      </c>
      <c r="C52" s="14" t="s">
        <v>124</v>
      </c>
      <c r="D52" s="17" t="s">
        <v>89</v>
      </c>
      <c r="E52" s="14" t="s">
        <v>181</v>
      </c>
      <c r="F52" s="14" t="s">
        <v>167</v>
      </c>
      <c r="G52" s="14" t="s">
        <v>171</v>
      </c>
      <c r="H52" s="14" t="s">
        <v>182</v>
      </c>
      <c r="I52" s="15"/>
      <c r="J52" s="15"/>
      <c r="K52" s="15"/>
      <c r="L52" s="15"/>
      <c r="M52" s="15"/>
      <c r="N52" s="15"/>
      <c r="O52" s="15"/>
      <c r="P52" s="16"/>
      <c r="Q52" s="16"/>
      <c r="R52" s="9" t="str">
        <f aca="false">IF(COUNTA(I52:N52)&lt;6,"Lengkapi V4-V9",IF(AND(I52="R0",N52&lt;&gt;"K5"),"R0 harus berpasangan dengan K5",IF(AND(I52="R1",N52&lt;&gt;"K4",N52&lt;&gt;"K5"),"R1 hanya dengan K4 atau K5",IF(AND(I52="R2",N52="K5"),"R2 tidak boleh K5",IF(AND(K52="P9",J52&lt;&gt;"T17"),"P9 hanya dengan T17",IF(AND(J52="T01",K52&lt;&gt;"P6",Q52=""),"Periksa T01-P6: jelaskan di V12",IF(AND(K52="P1",N52&lt;&gt;"K4",Q52=""),"Periksa P1-K4: jelaskan di V12",IF(AND(J52="T99",Q52=""),"Periksa T99: wajib isi V12","OK"))))))))</f>
        <v>Lengkapi V4-V9</v>
      </c>
    </row>
    <row r="53" customFormat="false" ht="68.65" hidden="false" customHeight="false" outlineLevel="0" collapsed="false">
      <c r="A53" s="13" t="n">
        <v>53</v>
      </c>
      <c r="B53" s="13" t="str">
        <f aca="false">IF(Petunjuk!$C$4="","",Petunjuk!$C$4)</f>
        <v/>
      </c>
      <c r="C53" s="14" t="s">
        <v>124</v>
      </c>
      <c r="D53" s="13"/>
      <c r="E53" s="14" t="s">
        <v>183</v>
      </c>
      <c r="F53" s="14" t="s">
        <v>167</v>
      </c>
      <c r="G53" s="14" t="s">
        <v>171</v>
      </c>
      <c r="H53" s="14" t="s">
        <v>184</v>
      </c>
      <c r="I53" s="15"/>
      <c r="J53" s="15"/>
      <c r="K53" s="15"/>
      <c r="L53" s="15"/>
      <c r="M53" s="15"/>
      <c r="N53" s="15"/>
      <c r="O53" s="15"/>
      <c r="P53" s="16"/>
      <c r="Q53" s="16"/>
      <c r="R53" s="9" t="str">
        <f aca="false">IF(COUNTA(I53:N53)&lt;6,"Lengkapi V4-V9",IF(AND(I53="R0",N53&lt;&gt;"K5"),"R0 harus berpasangan dengan K5",IF(AND(I53="R1",N53&lt;&gt;"K4",N53&lt;&gt;"K5"),"R1 hanya dengan K4 atau K5",IF(AND(I53="R2",N53="K5"),"R2 tidak boleh K5",IF(AND(K53="P9",J53&lt;&gt;"T17"),"P9 hanya dengan T17",IF(AND(J53="T01",K53&lt;&gt;"P6",Q53=""),"Periksa T01-P6: jelaskan di V12",IF(AND(K53="P1",N53&lt;&gt;"K4",Q53=""),"Periksa P1-K4: jelaskan di V12",IF(AND(J53="T99",Q53=""),"Periksa T99: wajib isi V12","OK"))))))))</f>
        <v>Lengkapi V4-V9</v>
      </c>
    </row>
    <row r="54" customFormat="false" ht="68.65" hidden="false" customHeight="false" outlineLevel="0" collapsed="false">
      <c r="A54" s="13" t="n">
        <v>54</v>
      </c>
      <c r="B54" s="13" t="str">
        <f aca="false">IF(Petunjuk!$C$4="","",Petunjuk!$C$4)</f>
        <v/>
      </c>
      <c r="C54" s="14" t="s">
        <v>124</v>
      </c>
      <c r="D54" s="17" t="s">
        <v>89</v>
      </c>
      <c r="E54" s="14" t="s">
        <v>120</v>
      </c>
      <c r="F54" s="14" t="s">
        <v>167</v>
      </c>
      <c r="G54" s="14" t="s">
        <v>171</v>
      </c>
      <c r="H54" s="14" t="s">
        <v>185</v>
      </c>
      <c r="I54" s="15"/>
      <c r="J54" s="15"/>
      <c r="K54" s="15"/>
      <c r="L54" s="15"/>
      <c r="M54" s="15"/>
      <c r="N54" s="15"/>
      <c r="O54" s="15"/>
      <c r="P54" s="16"/>
      <c r="Q54" s="16"/>
      <c r="R54" s="9" t="str">
        <f aca="false">IF(COUNTA(I54:N54)&lt;6,"Lengkapi V4-V9",IF(AND(I54="R0",N54&lt;&gt;"K5"),"R0 harus berpasangan dengan K5",IF(AND(I54="R1",N54&lt;&gt;"K4",N54&lt;&gt;"K5"),"R1 hanya dengan K4 atau K5",IF(AND(I54="R2",N54="K5"),"R2 tidak boleh K5",IF(AND(K54="P9",J54&lt;&gt;"T17"),"P9 hanya dengan T17",IF(AND(J54="T01",K54&lt;&gt;"P6",Q54=""),"Periksa T01-P6: jelaskan di V12",IF(AND(K54="P1",N54&lt;&gt;"K4",Q54=""),"Periksa P1-K4: jelaskan di V12",IF(AND(J54="T99",Q54=""),"Periksa T99: wajib isi V12","OK"))))))))</f>
        <v>Lengkapi V4-V9</v>
      </c>
    </row>
    <row r="55" customFormat="false" ht="68.65" hidden="false" customHeight="false" outlineLevel="0" collapsed="false">
      <c r="A55" s="13" t="n">
        <v>55</v>
      </c>
      <c r="B55" s="13" t="str">
        <f aca="false">IF(Petunjuk!$C$4="","",Petunjuk!$C$4)</f>
        <v/>
      </c>
      <c r="C55" s="14" t="s">
        <v>124</v>
      </c>
      <c r="D55" s="13"/>
      <c r="E55" s="14" t="s">
        <v>186</v>
      </c>
      <c r="F55" s="14" t="s">
        <v>167</v>
      </c>
      <c r="G55" s="14" t="s">
        <v>171</v>
      </c>
      <c r="H55" s="14" t="s">
        <v>187</v>
      </c>
      <c r="I55" s="15"/>
      <c r="J55" s="15"/>
      <c r="K55" s="15"/>
      <c r="L55" s="15"/>
      <c r="M55" s="15"/>
      <c r="N55" s="15"/>
      <c r="O55" s="15"/>
      <c r="P55" s="16"/>
      <c r="Q55" s="16"/>
      <c r="R55" s="9" t="str">
        <f aca="false">IF(COUNTA(I55:N55)&lt;6,"Lengkapi V4-V9",IF(AND(I55="R0",N55&lt;&gt;"K5"),"R0 harus berpasangan dengan K5",IF(AND(I55="R1",N55&lt;&gt;"K4",N55&lt;&gt;"K5"),"R1 hanya dengan K4 atau K5",IF(AND(I55="R2",N55="K5"),"R2 tidak boleh K5",IF(AND(K55="P9",J55&lt;&gt;"T17"),"P9 hanya dengan T17",IF(AND(J55="T01",K55&lt;&gt;"P6",Q55=""),"Periksa T01-P6: jelaskan di V12",IF(AND(K55="P1",N55&lt;&gt;"K4",Q55=""),"Periksa P1-K4: jelaskan di V12",IF(AND(J55="T99",Q55=""),"Periksa T99: wajib isi V12","OK"))))))))</f>
        <v>Lengkapi V4-V9</v>
      </c>
    </row>
    <row r="56" customFormat="false" ht="68.65" hidden="false" customHeight="false" outlineLevel="0" collapsed="false">
      <c r="A56" s="13" t="n">
        <v>56</v>
      </c>
      <c r="B56" s="13" t="str">
        <f aca="false">IF(Petunjuk!$C$4="","",Petunjuk!$C$4)</f>
        <v/>
      </c>
      <c r="C56" s="14" t="s">
        <v>124</v>
      </c>
      <c r="D56" s="17" t="s">
        <v>89</v>
      </c>
      <c r="E56" s="14" t="s">
        <v>188</v>
      </c>
      <c r="F56" s="14" t="s">
        <v>167</v>
      </c>
      <c r="G56" s="14" t="s">
        <v>171</v>
      </c>
      <c r="H56" s="14" t="s">
        <v>189</v>
      </c>
      <c r="I56" s="15"/>
      <c r="J56" s="15"/>
      <c r="K56" s="15"/>
      <c r="L56" s="15"/>
      <c r="M56" s="15"/>
      <c r="N56" s="15"/>
      <c r="O56" s="15"/>
      <c r="P56" s="16"/>
      <c r="Q56" s="16"/>
      <c r="R56" s="9" t="str">
        <f aca="false">IF(COUNTA(I56:N56)&lt;6,"Lengkapi V4-V9",IF(AND(I56="R0",N56&lt;&gt;"K5"),"R0 harus berpasangan dengan K5",IF(AND(I56="R1",N56&lt;&gt;"K4",N56&lt;&gt;"K5"),"R1 hanya dengan K4 atau K5",IF(AND(I56="R2",N56="K5"),"R2 tidak boleh K5",IF(AND(K56="P9",J56&lt;&gt;"T17"),"P9 hanya dengan T17",IF(AND(J56="T01",K56&lt;&gt;"P6",Q56=""),"Periksa T01-P6: jelaskan di V12",IF(AND(K56="P1",N56&lt;&gt;"K4",Q56=""),"Periksa P1-K4: jelaskan di V12",IF(AND(J56="T99",Q56=""),"Periksa T99: wajib isi V12","OK"))))))))</f>
        <v>Lengkapi V4-V9</v>
      </c>
    </row>
    <row r="57" customFormat="false" ht="68.65" hidden="false" customHeight="false" outlineLevel="0" collapsed="false">
      <c r="A57" s="13" t="n">
        <v>57</v>
      </c>
      <c r="B57" s="13" t="str">
        <f aca="false">IF(Petunjuk!$C$4="","",Petunjuk!$C$4)</f>
        <v/>
      </c>
      <c r="C57" s="14" t="s">
        <v>124</v>
      </c>
      <c r="D57" s="13"/>
      <c r="E57" s="14" t="s">
        <v>190</v>
      </c>
      <c r="F57" s="14" t="s">
        <v>167</v>
      </c>
      <c r="G57" s="14" t="s">
        <v>171</v>
      </c>
      <c r="H57" s="14" t="s">
        <v>191</v>
      </c>
      <c r="I57" s="15"/>
      <c r="J57" s="15"/>
      <c r="K57" s="15"/>
      <c r="L57" s="15"/>
      <c r="M57" s="15"/>
      <c r="N57" s="15"/>
      <c r="O57" s="15"/>
      <c r="P57" s="16"/>
      <c r="Q57" s="16"/>
      <c r="R57" s="9" t="str">
        <f aca="false">IF(COUNTA(I57:N57)&lt;6,"Lengkapi V4-V9",IF(AND(I57="R0",N57&lt;&gt;"K5"),"R0 harus berpasangan dengan K5",IF(AND(I57="R1",N57&lt;&gt;"K4",N57&lt;&gt;"K5"),"R1 hanya dengan K4 atau K5",IF(AND(I57="R2",N57="K5"),"R2 tidak boleh K5",IF(AND(K57="P9",J57&lt;&gt;"T17"),"P9 hanya dengan T17",IF(AND(J57="T01",K57&lt;&gt;"P6",Q57=""),"Periksa T01-P6: jelaskan di V12",IF(AND(K57="P1",N57&lt;&gt;"K4",Q57=""),"Periksa P1-K4: jelaskan di V12",IF(AND(J57="T99",Q57=""),"Periksa T99: wajib isi V12","OK"))))))))</f>
        <v>Lengkapi V4-V9</v>
      </c>
    </row>
    <row r="58" customFormat="false" ht="68.65" hidden="false" customHeight="false" outlineLevel="0" collapsed="false">
      <c r="A58" s="13" t="n">
        <v>58</v>
      </c>
      <c r="B58" s="13" t="str">
        <f aca="false">IF(Petunjuk!$C$4="","",Petunjuk!$C$4)</f>
        <v/>
      </c>
      <c r="C58" s="14" t="s">
        <v>124</v>
      </c>
      <c r="D58" s="13"/>
      <c r="E58" s="14" t="s">
        <v>192</v>
      </c>
      <c r="F58" s="14" t="s">
        <v>167</v>
      </c>
      <c r="G58" s="14" t="s">
        <v>171</v>
      </c>
      <c r="H58" s="14" t="s">
        <v>193</v>
      </c>
      <c r="I58" s="15"/>
      <c r="J58" s="15"/>
      <c r="K58" s="15"/>
      <c r="L58" s="15"/>
      <c r="M58" s="15"/>
      <c r="N58" s="15"/>
      <c r="O58" s="15"/>
      <c r="P58" s="16"/>
      <c r="Q58" s="16"/>
      <c r="R58" s="9" t="str">
        <f aca="false">IF(COUNTA(I58:N58)&lt;6,"Lengkapi V4-V9",IF(AND(I58="R0",N58&lt;&gt;"K5"),"R0 harus berpasangan dengan K5",IF(AND(I58="R1",N58&lt;&gt;"K4",N58&lt;&gt;"K5"),"R1 hanya dengan K4 atau K5",IF(AND(I58="R2",N58="K5"),"R2 tidak boleh K5",IF(AND(K58="P9",J58&lt;&gt;"T17"),"P9 hanya dengan T17",IF(AND(J58="T01",K58&lt;&gt;"P6",Q58=""),"Periksa T01-P6: jelaskan di V12",IF(AND(K58="P1",N58&lt;&gt;"K4",Q58=""),"Periksa P1-K4: jelaskan di V12",IF(AND(J58="T99",Q58=""),"Periksa T99: wajib isi V12","OK"))))))))</f>
        <v>Lengkapi V4-V9</v>
      </c>
    </row>
    <row r="59" customFormat="false" ht="68.65" hidden="false" customHeight="false" outlineLevel="0" collapsed="false">
      <c r="A59" s="13" t="n">
        <v>59</v>
      </c>
      <c r="B59" s="13" t="str">
        <f aca="false">IF(Petunjuk!$C$4="","",Petunjuk!$C$4)</f>
        <v/>
      </c>
      <c r="C59" s="14" t="s">
        <v>124</v>
      </c>
      <c r="D59" s="13"/>
      <c r="E59" s="14" t="s">
        <v>194</v>
      </c>
      <c r="F59" s="14" t="s">
        <v>167</v>
      </c>
      <c r="G59" s="14" t="s">
        <v>171</v>
      </c>
      <c r="H59" s="14" t="s">
        <v>195</v>
      </c>
      <c r="I59" s="15"/>
      <c r="J59" s="15"/>
      <c r="K59" s="15"/>
      <c r="L59" s="15"/>
      <c r="M59" s="15"/>
      <c r="N59" s="15"/>
      <c r="O59" s="15"/>
      <c r="P59" s="16"/>
      <c r="Q59" s="16"/>
      <c r="R59" s="9" t="str">
        <f aca="false">IF(COUNTA(I59:N59)&lt;6,"Lengkapi V4-V9",IF(AND(I59="R0",N59&lt;&gt;"K5"),"R0 harus berpasangan dengan K5",IF(AND(I59="R1",N59&lt;&gt;"K4",N59&lt;&gt;"K5"),"R1 hanya dengan K4 atau K5",IF(AND(I59="R2",N59="K5"),"R2 tidak boleh K5",IF(AND(K59="P9",J59&lt;&gt;"T17"),"P9 hanya dengan T17",IF(AND(J59="T01",K59&lt;&gt;"P6",Q59=""),"Periksa T01-P6: jelaskan di V12",IF(AND(K59="P1",N59&lt;&gt;"K4",Q59=""),"Periksa P1-K4: jelaskan di V12",IF(AND(J59="T99",Q59=""),"Periksa T99: wajib isi V12","OK"))))))))</f>
        <v>Lengkapi V4-V9</v>
      </c>
    </row>
    <row r="60" customFormat="false" ht="68.65" hidden="false" customHeight="false" outlineLevel="0" collapsed="false">
      <c r="A60" s="13" t="n">
        <v>60</v>
      </c>
      <c r="B60" s="13" t="str">
        <f aca="false">IF(Petunjuk!$C$4="","",Petunjuk!$C$4)</f>
        <v/>
      </c>
      <c r="C60" s="14" t="s">
        <v>124</v>
      </c>
      <c r="D60" s="13"/>
      <c r="E60" s="14" t="s">
        <v>196</v>
      </c>
      <c r="F60" s="14" t="s">
        <v>167</v>
      </c>
      <c r="G60" s="14" t="s">
        <v>171</v>
      </c>
      <c r="H60" s="14" t="s">
        <v>197</v>
      </c>
      <c r="I60" s="15"/>
      <c r="J60" s="15"/>
      <c r="K60" s="15"/>
      <c r="L60" s="15"/>
      <c r="M60" s="15"/>
      <c r="N60" s="15"/>
      <c r="O60" s="15"/>
      <c r="P60" s="16"/>
      <c r="Q60" s="16"/>
      <c r="R60" s="9" t="str">
        <f aca="false">IF(COUNTA(I60:N60)&lt;6,"Lengkapi V4-V9",IF(AND(I60="R0",N60&lt;&gt;"K5"),"R0 harus berpasangan dengan K5",IF(AND(I60="R1",N60&lt;&gt;"K4",N60&lt;&gt;"K5"),"R1 hanya dengan K4 atau K5",IF(AND(I60="R2",N60="K5"),"R2 tidak boleh K5",IF(AND(K60="P9",J60&lt;&gt;"T17"),"P9 hanya dengan T17",IF(AND(J60="T01",K60&lt;&gt;"P6",Q60=""),"Periksa T01-P6: jelaskan di V12",IF(AND(K60="P1",N60&lt;&gt;"K4",Q60=""),"Periksa P1-K4: jelaskan di V12",IF(AND(J60="T99",Q60=""),"Periksa T99: wajib isi V12","OK"))))))))</f>
        <v>Lengkapi V4-V9</v>
      </c>
    </row>
    <row r="61" customFormat="false" ht="135.8" hidden="false" customHeight="false" outlineLevel="0" collapsed="false">
      <c r="A61" s="13" t="n">
        <v>61</v>
      </c>
      <c r="B61" s="13" t="str">
        <f aca="false">IF(Petunjuk!$C$4="","",Petunjuk!$C$4)</f>
        <v/>
      </c>
      <c r="C61" s="14" t="s">
        <v>124</v>
      </c>
      <c r="D61" s="13"/>
      <c r="E61" s="14" t="s">
        <v>198</v>
      </c>
      <c r="F61" s="14" t="s">
        <v>167</v>
      </c>
      <c r="G61" s="14" t="s">
        <v>199</v>
      </c>
      <c r="H61" s="14" t="s">
        <v>200</v>
      </c>
      <c r="I61" s="15"/>
      <c r="J61" s="15"/>
      <c r="K61" s="15"/>
      <c r="L61" s="15"/>
      <c r="M61" s="15"/>
      <c r="N61" s="15"/>
      <c r="O61" s="15"/>
      <c r="P61" s="16"/>
      <c r="Q61" s="16"/>
      <c r="R61" s="9" t="str">
        <f aca="false">IF(COUNTA(I61:N61)&lt;6,"Lengkapi V4-V9",IF(AND(I61="R0",N61&lt;&gt;"K5"),"R0 harus berpasangan dengan K5",IF(AND(I61="R1",N61&lt;&gt;"K4",N61&lt;&gt;"K5"),"R1 hanya dengan K4 atau K5",IF(AND(I61="R2",N61="K5"),"R2 tidak boleh K5",IF(AND(K61="P9",J61&lt;&gt;"T17"),"P9 hanya dengan T17",IF(AND(J61="T01",K61&lt;&gt;"P6",Q61=""),"Periksa T01-P6: jelaskan di V12",IF(AND(K61="P1",N61&lt;&gt;"K4",Q61=""),"Periksa P1-K4: jelaskan di V12",IF(AND(J61="T99",Q61=""),"Periksa T99: wajib isi V12","OK"))))))))</f>
        <v>Lengkapi V4-V9</v>
      </c>
    </row>
    <row r="62" customFormat="false" ht="68.65" hidden="false" customHeight="false" outlineLevel="0" collapsed="false">
      <c r="A62" s="13" t="n">
        <v>62</v>
      </c>
      <c r="B62" s="13" t="str">
        <f aca="false">IF(Petunjuk!$C$4="","",Petunjuk!$C$4)</f>
        <v/>
      </c>
      <c r="C62" s="14" t="s">
        <v>124</v>
      </c>
      <c r="D62" s="13"/>
      <c r="E62" s="14" t="s">
        <v>201</v>
      </c>
      <c r="F62" s="14" t="s">
        <v>167</v>
      </c>
      <c r="G62" s="14" t="s">
        <v>199</v>
      </c>
      <c r="H62" s="14" t="s">
        <v>202</v>
      </c>
      <c r="I62" s="15"/>
      <c r="J62" s="15"/>
      <c r="K62" s="15"/>
      <c r="L62" s="15"/>
      <c r="M62" s="15"/>
      <c r="N62" s="15"/>
      <c r="O62" s="15"/>
      <c r="P62" s="16"/>
      <c r="Q62" s="16"/>
      <c r="R62" s="9" t="str">
        <f aca="false">IF(COUNTA(I62:N62)&lt;6,"Lengkapi V4-V9",IF(AND(I62="R0",N62&lt;&gt;"K5"),"R0 harus berpasangan dengan K5",IF(AND(I62="R1",N62&lt;&gt;"K4",N62&lt;&gt;"K5"),"R1 hanya dengan K4 atau K5",IF(AND(I62="R2",N62="K5"),"R2 tidak boleh K5",IF(AND(K62="P9",J62&lt;&gt;"T17"),"P9 hanya dengan T17",IF(AND(J62="T01",K62&lt;&gt;"P6",Q62=""),"Periksa T01-P6: jelaskan di V12",IF(AND(K62="P1",N62&lt;&gt;"K4",Q62=""),"Periksa P1-K4: jelaskan di V12",IF(AND(J62="T99",Q62=""),"Periksa T99: wajib isi V12","OK"))))))))</f>
        <v>Lengkapi V4-V9</v>
      </c>
    </row>
    <row r="63" customFormat="false" ht="68.65" hidden="false" customHeight="false" outlineLevel="0" collapsed="false">
      <c r="A63" s="13" t="n">
        <v>63</v>
      </c>
      <c r="B63" s="13" t="str">
        <f aca="false">IF(Petunjuk!$C$4="","",Petunjuk!$C$4)</f>
        <v/>
      </c>
      <c r="C63" s="14" t="s">
        <v>124</v>
      </c>
      <c r="D63" s="13"/>
      <c r="E63" s="14" t="s">
        <v>203</v>
      </c>
      <c r="F63" s="14" t="s">
        <v>167</v>
      </c>
      <c r="G63" s="14" t="s">
        <v>199</v>
      </c>
      <c r="H63" s="14" t="s">
        <v>204</v>
      </c>
      <c r="I63" s="15"/>
      <c r="J63" s="15"/>
      <c r="K63" s="15"/>
      <c r="L63" s="15"/>
      <c r="M63" s="15"/>
      <c r="N63" s="15"/>
      <c r="O63" s="15"/>
      <c r="P63" s="16"/>
      <c r="Q63" s="16"/>
      <c r="R63" s="9" t="str">
        <f aca="false">IF(COUNTA(I63:N63)&lt;6,"Lengkapi V4-V9",IF(AND(I63="R0",N63&lt;&gt;"K5"),"R0 harus berpasangan dengan K5",IF(AND(I63="R1",N63&lt;&gt;"K4",N63&lt;&gt;"K5"),"R1 hanya dengan K4 atau K5",IF(AND(I63="R2",N63="K5"),"R2 tidak boleh K5",IF(AND(K63="P9",J63&lt;&gt;"T17"),"P9 hanya dengan T17",IF(AND(J63="T01",K63&lt;&gt;"P6",Q63=""),"Periksa T01-P6: jelaskan di V12",IF(AND(K63="P1",N63&lt;&gt;"K4",Q63=""),"Periksa P1-K4: jelaskan di V12",IF(AND(J63="T99",Q63=""),"Periksa T99: wajib isi V12","OK"))))))))</f>
        <v>Lengkapi V4-V9</v>
      </c>
    </row>
    <row r="64" customFormat="false" ht="68.65" hidden="false" customHeight="false" outlineLevel="0" collapsed="false">
      <c r="A64" s="13" t="n">
        <v>64</v>
      </c>
      <c r="B64" s="13" t="str">
        <f aca="false">IF(Petunjuk!$C$4="","",Petunjuk!$C$4)</f>
        <v/>
      </c>
      <c r="C64" s="14" t="s">
        <v>124</v>
      </c>
      <c r="D64" s="13"/>
      <c r="E64" s="14" t="s">
        <v>205</v>
      </c>
      <c r="F64" s="14" t="s">
        <v>167</v>
      </c>
      <c r="G64" s="14" t="s">
        <v>199</v>
      </c>
      <c r="H64" s="14" t="s">
        <v>206</v>
      </c>
      <c r="I64" s="15"/>
      <c r="J64" s="15"/>
      <c r="K64" s="15"/>
      <c r="L64" s="15"/>
      <c r="M64" s="15"/>
      <c r="N64" s="15"/>
      <c r="O64" s="15"/>
      <c r="P64" s="16"/>
      <c r="Q64" s="16"/>
      <c r="R64" s="9" t="str">
        <f aca="false">IF(COUNTA(I64:N64)&lt;6,"Lengkapi V4-V9",IF(AND(I64="R0",N64&lt;&gt;"K5"),"R0 harus berpasangan dengan K5",IF(AND(I64="R1",N64&lt;&gt;"K4",N64&lt;&gt;"K5"),"R1 hanya dengan K4 atau K5",IF(AND(I64="R2",N64="K5"),"R2 tidak boleh K5",IF(AND(K64="P9",J64&lt;&gt;"T17"),"P9 hanya dengan T17",IF(AND(J64="T01",K64&lt;&gt;"P6",Q64=""),"Periksa T01-P6: jelaskan di V12",IF(AND(K64="P1",N64&lt;&gt;"K4",Q64=""),"Periksa P1-K4: jelaskan di V12",IF(AND(J64="T99",Q64=""),"Periksa T99: wajib isi V12","OK"))))))))</f>
        <v>Lengkapi V4-V9</v>
      </c>
    </row>
    <row r="65" customFormat="false" ht="68.65" hidden="false" customHeight="false" outlineLevel="0" collapsed="false">
      <c r="A65" s="13" t="n">
        <v>65</v>
      </c>
      <c r="B65" s="13" t="str">
        <f aca="false">IF(Petunjuk!$C$4="","",Petunjuk!$C$4)</f>
        <v/>
      </c>
      <c r="C65" s="14" t="s">
        <v>124</v>
      </c>
      <c r="D65" s="13"/>
      <c r="E65" s="14" t="s">
        <v>207</v>
      </c>
      <c r="F65" s="14" t="s">
        <v>167</v>
      </c>
      <c r="G65" s="14" t="s">
        <v>199</v>
      </c>
      <c r="H65" s="14" t="s">
        <v>208</v>
      </c>
      <c r="I65" s="15"/>
      <c r="J65" s="15"/>
      <c r="K65" s="15"/>
      <c r="L65" s="15"/>
      <c r="M65" s="15"/>
      <c r="N65" s="15"/>
      <c r="O65" s="15"/>
      <c r="P65" s="16"/>
      <c r="Q65" s="16"/>
      <c r="R65" s="9" t="str">
        <f aca="false">IF(COUNTA(I65:N65)&lt;6,"Lengkapi V4-V9",IF(AND(I65="R0",N65&lt;&gt;"K5"),"R0 harus berpasangan dengan K5",IF(AND(I65="R1",N65&lt;&gt;"K4",N65&lt;&gt;"K5"),"R1 hanya dengan K4 atau K5",IF(AND(I65="R2",N65="K5"),"R2 tidak boleh K5",IF(AND(K65="P9",J65&lt;&gt;"T17"),"P9 hanya dengan T17",IF(AND(J65="T01",K65&lt;&gt;"P6",Q65=""),"Periksa T01-P6: jelaskan di V12",IF(AND(K65="P1",N65&lt;&gt;"K4",Q65=""),"Periksa P1-K4: jelaskan di V12",IF(AND(J65="T99",Q65=""),"Periksa T99: wajib isi V12","OK"))))))))</f>
        <v>Lengkapi V4-V9</v>
      </c>
    </row>
    <row r="66" customFormat="false" ht="68.65" hidden="false" customHeight="false" outlineLevel="0" collapsed="false">
      <c r="A66" s="13" t="n">
        <v>66</v>
      </c>
      <c r="B66" s="13" t="str">
        <f aca="false">IF(Petunjuk!$C$4="","",Petunjuk!$C$4)</f>
        <v/>
      </c>
      <c r="C66" s="14" t="s">
        <v>124</v>
      </c>
      <c r="D66" s="13"/>
      <c r="E66" s="14" t="s">
        <v>209</v>
      </c>
      <c r="F66" s="14" t="s">
        <v>167</v>
      </c>
      <c r="G66" s="14" t="s">
        <v>199</v>
      </c>
      <c r="H66" s="14" t="s">
        <v>210</v>
      </c>
      <c r="I66" s="15"/>
      <c r="J66" s="15"/>
      <c r="K66" s="15"/>
      <c r="L66" s="15"/>
      <c r="M66" s="15"/>
      <c r="N66" s="15"/>
      <c r="O66" s="15"/>
      <c r="P66" s="16"/>
      <c r="Q66" s="16"/>
      <c r="R66" s="9" t="str">
        <f aca="false">IF(COUNTA(I66:N66)&lt;6,"Lengkapi V4-V9",IF(AND(I66="R0",N66&lt;&gt;"K5"),"R0 harus berpasangan dengan K5",IF(AND(I66="R1",N66&lt;&gt;"K4",N66&lt;&gt;"K5"),"R1 hanya dengan K4 atau K5",IF(AND(I66="R2",N66="K5"),"R2 tidak boleh K5",IF(AND(K66="P9",J66&lt;&gt;"T17"),"P9 hanya dengan T17",IF(AND(J66="T01",K66&lt;&gt;"P6",Q66=""),"Periksa T01-P6: jelaskan di V12",IF(AND(K66="P1",N66&lt;&gt;"K4",Q66=""),"Periksa P1-K4: jelaskan di V12",IF(AND(J66="T99",Q66=""),"Periksa T99: wajib isi V12","OK"))))))))</f>
        <v>Lengkapi V4-V9</v>
      </c>
    </row>
    <row r="67" customFormat="false" ht="68.65" hidden="false" customHeight="false" outlineLevel="0" collapsed="false">
      <c r="A67" s="13" t="n">
        <v>67</v>
      </c>
      <c r="B67" s="13" t="str">
        <f aca="false">IF(Petunjuk!$C$4="","",Petunjuk!$C$4)</f>
        <v/>
      </c>
      <c r="C67" s="14" t="s">
        <v>124</v>
      </c>
      <c r="D67" s="13"/>
      <c r="E67" s="14" t="s">
        <v>211</v>
      </c>
      <c r="F67" s="14" t="s">
        <v>167</v>
      </c>
      <c r="G67" s="14" t="s">
        <v>199</v>
      </c>
      <c r="H67" s="14" t="s">
        <v>212</v>
      </c>
      <c r="I67" s="15"/>
      <c r="J67" s="15"/>
      <c r="K67" s="15"/>
      <c r="L67" s="15"/>
      <c r="M67" s="15"/>
      <c r="N67" s="15"/>
      <c r="O67" s="15"/>
      <c r="P67" s="16"/>
      <c r="Q67" s="16"/>
      <c r="R67" s="9" t="str">
        <f aca="false">IF(COUNTA(I67:N67)&lt;6,"Lengkapi V4-V9",IF(AND(I67="R0",N67&lt;&gt;"K5"),"R0 harus berpasangan dengan K5",IF(AND(I67="R1",N67&lt;&gt;"K4",N67&lt;&gt;"K5"),"R1 hanya dengan K4 atau K5",IF(AND(I67="R2",N67="K5"),"R2 tidak boleh K5",IF(AND(K67="P9",J67&lt;&gt;"T17"),"P9 hanya dengan T17",IF(AND(J67="T01",K67&lt;&gt;"P6",Q67=""),"Periksa T01-P6: jelaskan di V12",IF(AND(K67="P1",N67&lt;&gt;"K4",Q67=""),"Periksa P1-K4: jelaskan di V12",IF(AND(J67="T99",Q67=""),"Periksa T99: wajib isi V12","OK"))))))))</f>
        <v>Lengkapi V4-V9</v>
      </c>
    </row>
    <row r="68" customFormat="false" ht="124.6" hidden="false" customHeight="false" outlineLevel="0" collapsed="false">
      <c r="A68" s="13" t="n">
        <v>68</v>
      </c>
      <c r="B68" s="13" t="str">
        <f aca="false">IF(Petunjuk!$C$4="","",Petunjuk!$C$4)</f>
        <v/>
      </c>
      <c r="C68" s="14" t="s">
        <v>124</v>
      </c>
      <c r="D68" s="13"/>
      <c r="E68" s="14" t="s">
        <v>213</v>
      </c>
      <c r="F68" s="14" t="s">
        <v>167</v>
      </c>
      <c r="G68" s="14" t="s">
        <v>199</v>
      </c>
      <c r="H68" s="14" t="s">
        <v>214</v>
      </c>
      <c r="I68" s="15"/>
      <c r="J68" s="15"/>
      <c r="K68" s="15"/>
      <c r="L68" s="15"/>
      <c r="M68" s="15"/>
      <c r="N68" s="15"/>
      <c r="O68" s="15"/>
      <c r="P68" s="16"/>
      <c r="Q68" s="16"/>
      <c r="R68" s="9" t="str">
        <f aca="false">IF(COUNTA(I68:N68)&lt;6,"Lengkapi V4-V9",IF(AND(I68="R0",N68&lt;&gt;"K5"),"R0 harus berpasangan dengan K5",IF(AND(I68="R1",N68&lt;&gt;"K4",N68&lt;&gt;"K5"),"R1 hanya dengan K4 atau K5",IF(AND(I68="R2",N68="K5"),"R2 tidak boleh K5",IF(AND(K68="P9",J68&lt;&gt;"T17"),"P9 hanya dengan T17",IF(AND(J68="T01",K68&lt;&gt;"P6",Q68=""),"Periksa T01-P6: jelaskan di V12",IF(AND(K68="P1",N68&lt;&gt;"K4",Q68=""),"Periksa P1-K4: jelaskan di V12",IF(AND(J68="T99",Q68=""),"Periksa T99: wajib isi V12","OK"))))))))</f>
        <v>Lengkapi V4-V9</v>
      </c>
    </row>
    <row r="69" customFormat="false" ht="68.65" hidden="false" customHeight="false" outlineLevel="0" collapsed="false">
      <c r="A69" s="13" t="n">
        <v>69</v>
      </c>
      <c r="B69" s="13" t="str">
        <f aca="false">IF(Petunjuk!$C$4="","",Petunjuk!$C$4)</f>
        <v/>
      </c>
      <c r="C69" s="14" t="s">
        <v>124</v>
      </c>
      <c r="D69" s="13"/>
      <c r="E69" s="14" t="s">
        <v>215</v>
      </c>
      <c r="F69" s="14" t="s">
        <v>167</v>
      </c>
      <c r="G69" s="14" t="s">
        <v>199</v>
      </c>
      <c r="H69" s="14" t="s">
        <v>216</v>
      </c>
      <c r="I69" s="15"/>
      <c r="J69" s="15"/>
      <c r="K69" s="15"/>
      <c r="L69" s="15"/>
      <c r="M69" s="15"/>
      <c r="N69" s="15"/>
      <c r="O69" s="15"/>
      <c r="P69" s="16"/>
      <c r="Q69" s="16"/>
      <c r="R69" s="9" t="str">
        <f aca="false">IF(COUNTA(I69:N69)&lt;6,"Lengkapi V4-V9",IF(AND(I69="R0",N69&lt;&gt;"K5"),"R0 harus berpasangan dengan K5",IF(AND(I69="R1",N69&lt;&gt;"K4",N69&lt;&gt;"K5"),"R1 hanya dengan K4 atau K5",IF(AND(I69="R2",N69="K5"),"R2 tidak boleh K5",IF(AND(K69="P9",J69&lt;&gt;"T17"),"P9 hanya dengan T17",IF(AND(J69="T01",K69&lt;&gt;"P6",Q69=""),"Periksa T01-P6: jelaskan di V12",IF(AND(K69="P1",N69&lt;&gt;"K4",Q69=""),"Periksa P1-K4: jelaskan di V12",IF(AND(J69="T99",Q69=""),"Periksa T99: wajib isi V12","OK"))))))))</f>
        <v>Lengkapi V4-V9</v>
      </c>
    </row>
    <row r="70" customFormat="false" ht="68.65" hidden="false" customHeight="false" outlineLevel="0" collapsed="false">
      <c r="A70" s="13" t="n">
        <v>70</v>
      </c>
      <c r="B70" s="13" t="str">
        <f aca="false">IF(Petunjuk!$C$4="","",Petunjuk!$C$4)</f>
        <v/>
      </c>
      <c r="C70" s="14" t="s">
        <v>124</v>
      </c>
      <c r="D70" s="17" t="s">
        <v>89</v>
      </c>
      <c r="E70" s="14" t="s">
        <v>217</v>
      </c>
      <c r="F70" s="14" t="s">
        <v>167</v>
      </c>
      <c r="G70" s="14" t="s">
        <v>199</v>
      </c>
      <c r="H70" s="14" t="s">
        <v>218</v>
      </c>
      <c r="I70" s="15"/>
      <c r="J70" s="15"/>
      <c r="K70" s="15"/>
      <c r="L70" s="15"/>
      <c r="M70" s="15"/>
      <c r="N70" s="15"/>
      <c r="O70" s="15"/>
      <c r="P70" s="16"/>
      <c r="Q70" s="16"/>
      <c r="R70" s="9" t="str">
        <f aca="false">IF(COUNTA(I70:N70)&lt;6,"Lengkapi V4-V9",IF(AND(I70="R0",N70&lt;&gt;"K5"),"R0 harus berpasangan dengan K5",IF(AND(I70="R1",N70&lt;&gt;"K4",N70&lt;&gt;"K5"),"R1 hanya dengan K4 atau K5",IF(AND(I70="R2",N70="K5"),"R2 tidak boleh K5",IF(AND(K70="P9",J70&lt;&gt;"T17"),"P9 hanya dengan T17",IF(AND(J70="T01",K70&lt;&gt;"P6",Q70=""),"Periksa T01-P6: jelaskan di V12",IF(AND(K70="P1",N70&lt;&gt;"K4",Q70=""),"Periksa P1-K4: jelaskan di V12",IF(AND(J70="T99",Q70=""),"Periksa T99: wajib isi V12","OK"))))))))</f>
        <v>Lengkapi V4-V9</v>
      </c>
    </row>
    <row r="71" customFormat="false" ht="68.65" hidden="false" customHeight="false" outlineLevel="0" collapsed="false">
      <c r="A71" s="13" t="n">
        <v>71</v>
      </c>
      <c r="B71" s="13" t="str">
        <f aca="false">IF(Petunjuk!$C$4="","",Petunjuk!$C$4)</f>
        <v/>
      </c>
      <c r="C71" s="14" t="s">
        <v>124</v>
      </c>
      <c r="D71" s="13"/>
      <c r="E71" s="14" t="s">
        <v>219</v>
      </c>
      <c r="F71" s="14" t="s">
        <v>167</v>
      </c>
      <c r="G71" s="14" t="s">
        <v>199</v>
      </c>
      <c r="H71" s="14" t="s">
        <v>220</v>
      </c>
      <c r="I71" s="15"/>
      <c r="J71" s="15"/>
      <c r="K71" s="15"/>
      <c r="L71" s="15"/>
      <c r="M71" s="15"/>
      <c r="N71" s="15"/>
      <c r="O71" s="15"/>
      <c r="P71" s="16"/>
      <c r="Q71" s="16"/>
      <c r="R71" s="9" t="str">
        <f aca="false">IF(COUNTA(I71:N71)&lt;6,"Lengkapi V4-V9",IF(AND(I71="R0",N71&lt;&gt;"K5"),"R0 harus berpasangan dengan K5",IF(AND(I71="R1",N71&lt;&gt;"K4",N71&lt;&gt;"K5"),"R1 hanya dengan K4 atau K5",IF(AND(I71="R2",N71="K5"),"R2 tidak boleh K5",IF(AND(K71="P9",J71&lt;&gt;"T17"),"P9 hanya dengan T17",IF(AND(J71="T01",K71&lt;&gt;"P6",Q71=""),"Periksa T01-P6: jelaskan di V12",IF(AND(K71="P1",N71&lt;&gt;"K4",Q71=""),"Periksa P1-K4: jelaskan di V12",IF(AND(J71="T99",Q71=""),"Periksa T99: wajib isi V12","OK"))))))))</f>
        <v>Lengkapi V4-V9</v>
      </c>
    </row>
    <row r="72" customFormat="false" ht="68.65" hidden="false" customHeight="false" outlineLevel="0" collapsed="false">
      <c r="A72" s="13" t="n">
        <v>72</v>
      </c>
      <c r="B72" s="13" t="str">
        <f aca="false">IF(Petunjuk!$C$4="","",Petunjuk!$C$4)</f>
        <v/>
      </c>
      <c r="C72" s="14" t="s">
        <v>124</v>
      </c>
      <c r="D72" s="13"/>
      <c r="E72" s="14" t="s">
        <v>221</v>
      </c>
      <c r="F72" s="14" t="s">
        <v>167</v>
      </c>
      <c r="G72" s="14" t="s">
        <v>199</v>
      </c>
      <c r="H72" s="14" t="s">
        <v>222</v>
      </c>
      <c r="I72" s="15"/>
      <c r="J72" s="15"/>
      <c r="K72" s="15"/>
      <c r="L72" s="15"/>
      <c r="M72" s="15"/>
      <c r="N72" s="15"/>
      <c r="O72" s="15"/>
      <c r="P72" s="16"/>
      <c r="Q72" s="16"/>
      <c r="R72" s="9" t="str">
        <f aca="false">IF(COUNTA(I72:N72)&lt;6,"Lengkapi V4-V9",IF(AND(I72="R0",N72&lt;&gt;"K5"),"R0 harus berpasangan dengan K5",IF(AND(I72="R1",N72&lt;&gt;"K4",N72&lt;&gt;"K5"),"R1 hanya dengan K4 atau K5",IF(AND(I72="R2",N72="K5"),"R2 tidak boleh K5",IF(AND(K72="P9",J72&lt;&gt;"T17"),"P9 hanya dengan T17",IF(AND(J72="T01",K72&lt;&gt;"P6",Q72=""),"Periksa T01-P6: jelaskan di V12",IF(AND(K72="P1",N72&lt;&gt;"K4",Q72=""),"Periksa P1-K4: jelaskan di V12",IF(AND(J72="T99",Q72=""),"Periksa T99: wajib isi V12","OK"))))))))</f>
        <v>Lengkapi V4-V9</v>
      </c>
    </row>
    <row r="73" customFormat="false" ht="79.85" hidden="false" customHeight="false" outlineLevel="0" collapsed="false">
      <c r="A73" s="13" t="n">
        <v>73</v>
      </c>
      <c r="B73" s="13" t="str">
        <f aca="false">IF(Petunjuk!$C$4="","",Petunjuk!$C$4)</f>
        <v/>
      </c>
      <c r="C73" s="14" t="s">
        <v>124</v>
      </c>
      <c r="D73" s="13"/>
      <c r="E73" s="14" t="s">
        <v>223</v>
      </c>
      <c r="F73" s="14" t="s">
        <v>167</v>
      </c>
      <c r="G73" s="14" t="s">
        <v>199</v>
      </c>
      <c r="H73" s="14" t="s">
        <v>224</v>
      </c>
      <c r="I73" s="15"/>
      <c r="J73" s="15"/>
      <c r="K73" s="15"/>
      <c r="L73" s="15"/>
      <c r="M73" s="15"/>
      <c r="N73" s="15"/>
      <c r="O73" s="15"/>
      <c r="P73" s="16"/>
      <c r="Q73" s="16"/>
      <c r="R73" s="9" t="str">
        <f aca="false">IF(COUNTA(I73:N73)&lt;6,"Lengkapi V4-V9",IF(AND(I73="R0",N73&lt;&gt;"K5"),"R0 harus berpasangan dengan K5",IF(AND(I73="R1",N73&lt;&gt;"K4",N73&lt;&gt;"K5"),"R1 hanya dengan K4 atau K5",IF(AND(I73="R2",N73="K5"),"R2 tidak boleh K5",IF(AND(K73="P9",J73&lt;&gt;"T17"),"P9 hanya dengan T17",IF(AND(J73="T01",K73&lt;&gt;"P6",Q73=""),"Periksa T01-P6: jelaskan di V12",IF(AND(K73="P1",N73&lt;&gt;"K4",Q73=""),"Periksa P1-K4: jelaskan di V12",IF(AND(J73="T99",Q73=""),"Periksa T99: wajib isi V12","OK"))))))))</f>
        <v>Lengkapi V4-V9</v>
      </c>
    </row>
    <row r="74" customFormat="false" ht="68.65" hidden="false" customHeight="false" outlineLevel="0" collapsed="false">
      <c r="A74" s="13" t="n">
        <v>74</v>
      </c>
      <c r="B74" s="13" t="str">
        <f aca="false">IF(Petunjuk!$C$4="","",Petunjuk!$C$4)</f>
        <v/>
      </c>
      <c r="C74" s="14" t="s">
        <v>124</v>
      </c>
      <c r="D74" s="13"/>
      <c r="E74" s="14" t="s">
        <v>225</v>
      </c>
      <c r="F74" s="14" t="s">
        <v>167</v>
      </c>
      <c r="G74" s="14" t="s">
        <v>199</v>
      </c>
      <c r="H74" s="14" t="s">
        <v>226</v>
      </c>
      <c r="I74" s="15"/>
      <c r="J74" s="15"/>
      <c r="K74" s="15"/>
      <c r="L74" s="15"/>
      <c r="M74" s="15"/>
      <c r="N74" s="15"/>
      <c r="O74" s="15"/>
      <c r="P74" s="16"/>
      <c r="Q74" s="16"/>
      <c r="R74" s="9" t="str">
        <f aca="false">IF(COUNTA(I74:N74)&lt;6,"Lengkapi V4-V9",IF(AND(I74="R0",N74&lt;&gt;"K5"),"R0 harus berpasangan dengan K5",IF(AND(I74="R1",N74&lt;&gt;"K4",N74&lt;&gt;"K5"),"R1 hanya dengan K4 atau K5",IF(AND(I74="R2",N74="K5"),"R2 tidak boleh K5",IF(AND(K74="P9",J74&lt;&gt;"T17"),"P9 hanya dengan T17",IF(AND(J74="T01",K74&lt;&gt;"P6",Q74=""),"Periksa T01-P6: jelaskan di V12",IF(AND(K74="P1",N74&lt;&gt;"K4",Q74=""),"Periksa P1-K4: jelaskan di V12",IF(AND(J74="T99",Q74=""),"Periksa T99: wajib isi V12","OK"))))))))</f>
        <v>Lengkapi V4-V9</v>
      </c>
    </row>
    <row r="75" customFormat="false" ht="135.8" hidden="false" customHeight="false" outlineLevel="0" collapsed="false">
      <c r="A75" s="13" t="n">
        <v>75</v>
      </c>
      <c r="B75" s="13" t="str">
        <f aca="false">IF(Petunjuk!$C$4="","",Petunjuk!$C$4)</f>
        <v/>
      </c>
      <c r="C75" s="14" t="s">
        <v>124</v>
      </c>
      <c r="D75" s="13"/>
      <c r="E75" s="14" t="s">
        <v>227</v>
      </c>
      <c r="F75" s="14" t="s">
        <v>167</v>
      </c>
      <c r="G75" s="14" t="s">
        <v>199</v>
      </c>
      <c r="H75" s="14" t="s">
        <v>228</v>
      </c>
      <c r="I75" s="15"/>
      <c r="J75" s="15"/>
      <c r="K75" s="15"/>
      <c r="L75" s="15"/>
      <c r="M75" s="15"/>
      <c r="N75" s="15"/>
      <c r="O75" s="15"/>
      <c r="P75" s="16"/>
      <c r="Q75" s="16"/>
      <c r="R75" s="9" t="str">
        <f aca="false">IF(COUNTA(I75:N75)&lt;6,"Lengkapi V4-V9",IF(AND(I75="R0",N75&lt;&gt;"K5"),"R0 harus berpasangan dengan K5",IF(AND(I75="R1",N75&lt;&gt;"K4",N75&lt;&gt;"K5"),"R1 hanya dengan K4 atau K5",IF(AND(I75="R2",N75="K5"),"R2 tidak boleh K5",IF(AND(K75="P9",J75&lt;&gt;"T17"),"P9 hanya dengan T17",IF(AND(J75="T01",K75&lt;&gt;"P6",Q75=""),"Periksa T01-P6: jelaskan di V12",IF(AND(K75="P1",N75&lt;&gt;"K4",Q75=""),"Periksa P1-K4: jelaskan di V12",IF(AND(J75="T99",Q75=""),"Periksa T99: wajib isi V12","OK"))))))))</f>
        <v>Lengkapi V4-V9</v>
      </c>
    </row>
    <row r="76" customFormat="false" ht="68.65" hidden="false" customHeight="false" outlineLevel="0" collapsed="false">
      <c r="A76" s="13" t="n">
        <v>76</v>
      </c>
      <c r="B76" s="13" t="str">
        <f aca="false">IF(Petunjuk!$C$4="","",Petunjuk!$C$4)</f>
        <v/>
      </c>
      <c r="C76" s="14" t="s">
        <v>124</v>
      </c>
      <c r="D76" s="13"/>
      <c r="E76" s="14" t="s">
        <v>229</v>
      </c>
      <c r="F76" s="14" t="s">
        <v>167</v>
      </c>
      <c r="G76" s="14" t="s">
        <v>199</v>
      </c>
      <c r="H76" s="14" t="s">
        <v>230</v>
      </c>
      <c r="I76" s="15"/>
      <c r="J76" s="15"/>
      <c r="K76" s="15"/>
      <c r="L76" s="15"/>
      <c r="M76" s="15"/>
      <c r="N76" s="15"/>
      <c r="O76" s="15"/>
      <c r="P76" s="16"/>
      <c r="Q76" s="16"/>
      <c r="R76" s="9" t="str">
        <f aca="false">IF(COUNTA(I76:N76)&lt;6,"Lengkapi V4-V9",IF(AND(I76="R0",N76&lt;&gt;"K5"),"R0 harus berpasangan dengan K5",IF(AND(I76="R1",N76&lt;&gt;"K4",N76&lt;&gt;"K5"),"R1 hanya dengan K4 atau K5",IF(AND(I76="R2",N76="K5"),"R2 tidak boleh K5",IF(AND(K76="P9",J76&lt;&gt;"T17"),"P9 hanya dengan T17",IF(AND(J76="T01",K76&lt;&gt;"P6",Q76=""),"Periksa T01-P6: jelaskan di V12",IF(AND(K76="P1",N76&lt;&gt;"K4",Q76=""),"Periksa P1-K4: jelaskan di V12",IF(AND(J76="T99",Q76=""),"Periksa T99: wajib isi V12","OK"))))))))</f>
        <v>Lengkapi V4-V9</v>
      </c>
    </row>
    <row r="77" customFormat="false" ht="91" hidden="false" customHeight="false" outlineLevel="0" collapsed="false">
      <c r="A77" s="13" t="n">
        <v>77</v>
      </c>
      <c r="B77" s="13" t="str">
        <f aca="false">IF(Petunjuk!$C$4="","",Petunjuk!$C$4)</f>
        <v/>
      </c>
      <c r="C77" s="14" t="s">
        <v>124</v>
      </c>
      <c r="D77" s="13"/>
      <c r="E77" s="14" t="s">
        <v>231</v>
      </c>
      <c r="F77" s="14" t="s">
        <v>167</v>
      </c>
      <c r="G77" s="14" t="s">
        <v>199</v>
      </c>
      <c r="H77" s="14" t="s">
        <v>232</v>
      </c>
      <c r="I77" s="15"/>
      <c r="J77" s="15"/>
      <c r="K77" s="15"/>
      <c r="L77" s="15"/>
      <c r="M77" s="15"/>
      <c r="N77" s="15"/>
      <c r="O77" s="15"/>
      <c r="P77" s="16"/>
      <c r="Q77" s="16"/>
      <c r="R77" s="9" t="str">
        <f aca="false">IF(COUNTA(I77:N77)&lt;6,"Lengkapi V4-V9",IF(AND(I77="R0",N77&lt;&gt;"K5"),"R0 harus berpasangan dengan K5",IF(AND(I77="R1",N77&lt;&gt;"K4",N77&lt;&gt;"K5"),"R1 hanya dengan K4 atau K5",IF(AND(I77="R2",N77="K5"),"R2 tidak boleh K5",IF(AND(K77="P9",J77&lt;&gt;"T17"),"P9 hanya dengan T17",IF(AND(J77="T01",K77&lt;&gt;"P6",Q77=""),"Periksa T01-P6: jelaskan di V12",IF(AND(K77="P1",N77&lt;&gt;"K4",Q77=""),"Periksa P1-K4: jelaskan di V12",IF(AND(J77="T99",Q77=""),"Periksa T99: wajib isi V12","OK"))))))))</f>
        <v>Lengkapi V4-V9</v>
      </c>
    </row>
    <row r="78" customFormat="false" ht="124.6" hidden="false" customHeight="false" outlineLevel="0" collapsed="false">
      <c r="A78" s="13" t="n">
        <v>78</v>
      </c>
      <c r="B78" s="13" t="str">
        <f aca="false">IF(Petunjuk!$C$4="","",Petunjuk!$C$4)</f>
        <v/>
      </c>
      <c r="C78" s="14" t="s">
        <v>124</v>
      </c>
      <c r="D78" s="13"/>
      <c r="E78" s="14" t="s">
        <v>233</v>
      </c>
      <c r="F78" s="14" t="s">
        <v>167</v>
      </c>
      <c r="G78" s="14" t="s">
        <v>234</v>
      </c>
      <c r="H78" s="14" t="s">
        <v>235</v>
      </c>
      <c r="I78" s="15"/>
      <c r="J78" s="15"/>
      <c r="K78" s="15"/>
      <c r="L78" s="15"/>
      <c r="M78" s="15"/>
      <c r="N78" s="15"/>
      <c r="O78" s="15"/>
      <c r="P78" s="16"/>
      <c r="Q78" s="16"/>
      <c r="R78" s="9" t="str">
        <f aca="false">IF(COUNTA(I78:N78)&lt;6,"Lengkapi V4-V9",IF(AND(I78="R0",N78&lt;&gt;"K5"),"R0 harus berpasangan dengan K5",IF(AND(I78="R1",N78&lt;&gt;"K4",N78&lt;&gt;"K5"),"R1 hanya dengan K4 atau K5",IF(AND(I78="R2",N78="K5"),"R2 tidak boleh K5",IF(AND(K78="P9",J78&lt;&gt;"T17"),"P9 hanya dengan T17",IF(AND(J78="T01",K78&lt;&gt;"P6",Q78=""),"Periksa T01-P6: jelaskan di V12",IF(AND(K78="P1",N78&lt;&gt;"K4",Q78=""),"Periksa P1-K4: jelaskan di V12",IF(AND(J78="T99",Q78=""),"Periksa T99: wajib isi V12","OK"))))))))</f>
        <v>Lengkapi V4-V9</v>
      </c>
    </row>
    <row r="79" customFormat="false" ht="68.65" hidden="false" customHeight="false" outlineLevel="0" collapsed="false">
      <c r="A79" s="13" t="n">
        <v>79</v>
      </c>
      <c r="B79" s="13" t="str">
        <f aca="false">IF(Petunjuk!$C$4="","",Petunjuk!$C$4)</f>
        <v/>
      </c>
      <c r="C79" s="14" t="s">
        <v>124</v>
      </c>
      <c r="D79" s="17" t="s">
        <v>89</v>
      </c>
      <c r="E79" s="14" t="s">
        <v>236</v>
      </c>
      <c r="F79" s="14" t="s">
        <v>167</v>
      </c>
      <c r="G79" s="14" t="s">
        <v>234</v>
      </c>
      <c r="H79" s="14" t="s">
        <v>237</v>
      </c>
      <c r="I79" s="15"/>
      <c r="J79" s="15"/>
      <c r="K79" s="15"/>
      <c r="L79" s="15"/>
      <c r="M79" s="15"/>
      <c r="N79" s="15"/>
      <c r="O79" s="15"/>
      <c r="P79" s="16"/>
      <c r="Q79" s="16"/>
      <c r="R79" s="9" t="str">
        <f aca="false">IF(COUNTA(I79:N79)&lt;6,"Lengkapi V4-V9",IF(AND(I79="R0",N79&lt;&gt;"K5"),"R0 harus berpasangan dengan K5",IF(AND(I79="R1",N79&lt;&gt;"K4",N79&lt;&gt;"K5"),"R1 hanya dengan K4 atau K5",IF(AND(I79="R2",N79="K5"),"R2 tidak boleh K5",IF(AND(K79="P9",J79&lt;&gt;"T17"),"P9 hanya dengan T17",IF(AND(J79="T01",K79&lt;&gt;"P6",Q79=""),"Periksa T01-P6: jelaskan di V12",IF(AND(K79="P1",N79&lt;&gt;"K4",Q79=""),"Periksa P1-K4: jelaskan di V12",IF(AND(J79="T99",Q79=""),"Periksa T99: wajib isi V12","OK"))))))))</f>
        <v>Lengkapi V4-V9</v>
      </c>
    </row>
    <row r="80" customFormat="false" ht="135.8" hidden="false" customHeight="false" outlineLevel="0" collapsed="false">
      <c r="A80" s="13" t="n">
        <v>80</v>
      </c>
      <c r="B80" s="13" t="str">
        <f aca="false">IF(Petunjuk!$C$4="","",Petunjuk!$C$4)</f>
        <v/>
      </c>
      <c r="C80" s="14" t="s">
        <v>124</v>
      </c>
      <c r="D80" s="13"/>
      <c r="E80" s="14" t="s">
        <v>238</v>
      </c>
      <c r="F80" s="14" t="s">
        <v>167</v>
      </c>
      <c r="G80" s="14" t="s">
        <v>239</v>
      </c>
      <c r="H80" s="14" t="s">
        <v>240</v>
      </c>
      <c r="I80" s="15"/>
      <c r="J80" s="15"/>
      <c r="K80" s="15"/>
      <c r="L80" s="15"/>
      <c r="M80" s="15"/>
      <c r="N80" s="15"/>
      <c r="O80" s="15"/>
      <c r="P80" s="16"/>
      <c r="Q80" s="16"/>
      <c r="R80" s="9" t="str">
        <f aca="false">IF(COUNTA(I80:N80)&lt;6,"Lengkapi V4-V9",IF(AND(I80="R0",N80&lt;&gt;"K5"),"R0 harus berpasangan dengan K5",IF(AND(I80="R1",N80&lt;&gt;"K4",N80&lt;&gt;"K5"),"R1 hanya dengan K4 atau K5",IF(AND(I80="R2",N80="K5"),"R2 tidak boleh K5",IF(AND(K80="P9",J80&lt;&gt;"T17"),"P9 hanya dengan T17",IF(AND(J80="T01",K80&lt;&gt;"P6",Q80=""),"Periksa T01-P6: jelaskan di V12",IF(AND(K80="P1",N80&lt;&gt;"K4",Q80=""),"Periksa P1-K4: jelaskan di V12",IF(AND(J80="T99",Q80=""),"Periksa T99: wajib isi V12","OK"))))))))</f>
        <v>Lengkapi V4-V9</v>
      </c>
    </row>
    <row r="81" customFormat="false" ht="57.45" hidden="false" customHeight="false" outlineLevel="0" collapsed="false">
      <c r="A81" s="13" t="n">
        <v>81</v>
      </c>
      <c r="B81" s="13" t="str">
        <f aca="false">IF(Petunjuk!$C$4="","",Petunjuk!$C$4)</f>
        <v/>
      </c>
      <c r="C81" s="14" t="s">
        <v>124</v>
      </c>
      <c r="D81" s="17" t="s">
        <v>89</v>
      </c>
      <c r="E81" s="14" t="s">
        <v>241</v>
      </c>
      <c r="F81" s="14" t="s">
        <v>242</v>
      </c>
      <c r="G81" s="14" t="s">
        <v>243</v>
      </c>
      <c r="H81" s="14" t="s">
        <v>244</v>
      </c>
      <c r="I81" s="15"/>
      <c r="J81" s="15"/>
      <c r="K81" s="15"/>
      <c r="L81" s="15"/>
      <c r="M81" s="15"/>
      <c r="N81" s="15"/>
      <c r="O81" s="15"/>
      <c r="P81" s="16"/>
      <c r="Q81" s="16"/>
      <c r="R81" s="9" t="str">
        <f aca="false">IF(COUNTA(I81:N81)&lt;6,"Lengkapi V4-V9",IF(AND(I81="R0",N81&lt;&gt;"K5"),"R0 harus berpasangan dengan K5",IF(AND(I81="R1",N81&lt;&gt;"K4",N81&lt;&gt;"K5"),"R1 hanya dengan K4 atau K5",IF(AND(I81="R2",N81="K5"),"R2 tidak boleh K5",IF(AND(K81="P9",J81&lt;&gt;"T17"),"P9 hanya dengan T17",IF(AND(J81="T01",K81&lt;&gt;"P6",Q81=""),"Periksa T01-P6: jelaskan di V12",IF(AND(K81="P1",N81&lt;&gt;"K4",Q81=""),"Periksa P1-K4: jelaskan di V12",IF(AND(J81="T99",Q81=""),"Periksa T99: wajib isi V12","OK"))))))))</f>
        <v>Lengkapi V4-V9</v>
      </c>
    </row>
    <row r="82" customFormat="false" ht="135.8" hidden="false" customHeight="false" outlineLevel="0" collapsed="false">
      <c r="A82" s="13" t="n">
        <v>82</v>
      </c>
      <c r="B82" s="13" t="str">
        <f aca="false">IF(Petunjuk!$C$4="","",Petunjuk!$C$4)</f>
        <v/>
      </c>
      <c r="C82" s="14" t="s">
        <v>124</v>
      </c>
      <c r="D82" s="13"/>
      <c r="E82" s="14" t="s">
        <v>245</v>
      </c>
      <c r="F82" s="14" t="s">
        <v>242</v>
      </c>
      <c r="G82" s="14" t="s">
        <v>246</v>
      </c>
      <c r="H82" s="14" t="s">
        <v>247</v>
      </c>
      <c r="I82" s="15"/>
      <c r="J82" s="15"/>
      <c r="K82" s="15"/>
      <c r="L82" s="15"/>
      <c r="M82" s="15"/>
      <c r="N82" s="15"/>
      <c r="O82" s="15"/>
      <c r="P82" s="16"/>
      <c r="Q82" s="16"/>
      <c r="R82" s="9" t="str">
        <f aca="false">IF(COUNTA(I82:N82)&lt;6,"Lengkapi V4-V9",IF(AND(I82="R0",N82&lt;&gt;"K5"),"R0 harus berpasangan dengan K5",IF(AND(I82="R1",N82&lt;&gt;"K4",N82&lt;&gt;"K5"),"R1 hanya dengan K4 atau K5",IF(AND(I82="R2",N82="K5"),"R2 tidak boleh K5",IF(AND(K82="P9",J82&lt;&gt;"T17"),"P9 hanya dengan T17",IF(AND(J82="T01",K82&lt;&gt;"P6",Q82=""),"Periksa T01-P6: jelaskan di V12",IF(AND(K82="P1",N82&lt;&gt;"K4",Q82=""),"Periksa P1-K4: jelaskan di V12",IF(AND(J82="T99",Q82=""),"Periksa T99: wajib isi V12","OK"))))))))</f>
        <v>Lengkapi V4-V9</v>
      </c>
    </row>
    <row r="83" customFormat="false" ht="57.45" hidden="false" customHeight="false" outlineLevel="0" collapsed="false">
      <c r="A83" s="13" t="n">
        <v>83</v>
      </c>
      <c r="B83" s="13" t="str">
        <f aca="false">IF(Petunjuk!$C$4="","",Petunjuk!$C$4)</f>
        <v/>
      </c>
      <c r="C83" s="14" t="s">
        <v>124</v>
      </c>
      <c r="D83" s="13"/>
      <c r="E83" s="14" t="s">
        <v>248</v>
      </c>
      <c r="F83" s="14" t="s">
        <v>249</v>
      </c>
      <c r="G83" s="14"/>
      <c r="H83" s="14" t="s">
        <v>250</v>
      </c>
      <c r="I83" s="15"/>
      <c r="J83" s="15"/>
      <c r="K83" s="15"/>
      <c r="L83" s="15"/>
      <c r="M83" s="15"/>
      <c r="N83" s="15"/>
      <c r="O83" s="15"/>
      <c r="P83" s="16"/>
      <c r="Q83" s="16"/>
      <c r="R83" s="9" t="str">
        <f aca="false">IF(COUNTA(I83:N83)&lt;6,"Lengkapi V4-V9",IF(AND(I83="R0",N83&lt;&gt;"K5"),"R0 harus berpasangan dengan K5",IF(AND(I83="R1",N83&lt;&gt;"K4",N83&lt;&gt;"K5"),"R1 hanya dengan K4 atau K5",IF(AND(I83="R2",N83="K5"),"R2 tidak boleh K5",IF(AND(K83="P9",J83&lt;&gt;"T17"),"P9 hanya dengan T17",IF(AND(J83="T01",K83&lt;&gt;"P6",Q83=""),"Periksa T01-P6: jelaskan di V12",IF(AND(K83="P1",N83&lt;&gt;"K4",Q83=""),"Periksa P1-K4: jelaskan di V12",IF(AND(J83="T99",Q83=""),"Periksa T99: wajib isi V12","OK"))))))))</f>
        <v>Lengkapi V4-V9</v>
      </c>
    </row>
    <row r="84" customFormat="false" ht="46.25" hidden="false" customHeight="false" outlineLevel="0" collapsed="false">
      <c r="A84" s="13" t="n">
        <v>84</v>
      </c>
      <c r="B84" s="13" t="str">
        <f aca="false">IF(Petunjuk!$C$4="","",Petunjuk!$C$4)</f>
        <v/>
      </c>
      <c r="C84" s="14" t="s">
        <v>124</v>
      </c>
      <c r="D84" s="13"/>
      <c r="E84" s="14" t="s">
        <v>251</v>
      </c>
      <c r="F84" s="14" t="s">
        <v>249</v>
      </c>
      <c r="G84" s="14"/>
      <c r="H84" s="14" t="s">
        <v>252</v>
      </c>
      <c r="I84" s="15"/>
      <c r="J84" s="15"/>
      <c r="K84" s="15"/>
      <c r="L84" s="15"/>
      <c r="M84" s="15"/>
      <c r="N84" s="15"/>
      <c r="O84" s="15"/>
      <c r="P84" s="16"/>
      <c r="Q84" s="16"/>
      <c r="R84" s="9" t="str">
        <f aca="false">IF(COUNTA(I84:N84)&lt;6,"Lengkapi V4-V9",IF(AND(I84="R0",N84&lt;&gt;"K5"),"R0 harus berpasangan dengan K5",IF(AND(I84="R1",N84&lt;&gt;"K4",N84&lt;&gt;"K5"),"R1 hanya dengan K4 atau K5",IF(AND(I84="R2",N84="K5"),"R2 tidak boleh K5",IF(AND(K84="P9",J84&lt;&gt;"T17"),"P9 hanya dengan T17",IF(AND(J84="T01",K84&lt;&gt;"P6",Q84=""),"Periksa T01-P6: jelaskan di V12",IF(AND(K84="P1",N84&lt;&gt;"K4",Q84=""),"Periksa P1-K4: jelaskan di V12",IF(AND(J84="T99",Q84=""),"Periksa T99: wajib isi V12","OK"))))))))</f>
        <v>Lengkapi V4-V9</v>
      </c>
    </row>
    <row r="85" customFormat="false" ht="494" hidden="false" customHeight="false" outlineLevel="0" collapsed="false">
      <c r="A85" s="13" t="n">
        <v>85</v>
      </c>
      <c r="B85" s="13" t="str">
        <f aca="false">IF(Petunjuk!$C$4="","",Petunjuk!$C$4)</f>
        <v/>
      </c>
      <c r="C85" s="14" t="s">
        <v>253</v>
      </c>
      <c r="D85" s="13"/>
      <c r="E85" s="14" t="s">
        <v>125</v>
      </c>
      <c r="F85" s="14" t="s">
        <v>126</v>
      </c>
      <c r="G85" s="14"/>
      <c r="H85" s="14" t="s">
        <v>254</v>
      </c>
      <c r="I85" s="15"/>
      <c r="J85" s="15"/>
      <c r="K85" s="15"/>
      <c r="L85" s="15"/>
      <c r="M85" s="15"/>
      <c r="N85" s="15"/>
      <c r="O85" s="15"/>
      <c r="P85" s="16"/>
      <c r="Q85" s="16"/>
      <c r="R85" s="9" t="str">
        <f aca="false">IF(COUNTA(I85:N85)&lt;6,"Lengkapi V4-V9",IF(AND(I85="R0",N85&lt;&gt;"K5"),"R0 harus berpasangan dengan K5",IF(AND(I85="R1",N85&lt;&gt;"K4",N85&lt;&gt;"K5"),"R1 hanya dengan K4 atau K5",IF(AND(I85="R2",N85="K5"),"R2 tidak boleh K5",IF(AND(K85="P9",J85&lt;&gt;"T17"),"P9 hanya dengan T17",IF(AND(J85="T01",K85&lt;&gt;"P6",Q85=""),"Periksa T01-P6: jelaskan di V12",IF(AND(K85="P1",N85&lt;&gt;"K4",Q85=""),"Periksa P1-K4: jelaskan di V12",IF(AND(J85="T99",Q85=""),"Periksa T99: wajib isi V12","OK"))))))))</f>
        <v>Lengkapi V4-V9</v>
      </c>
    </row>
    <row r="86" customFormat="false" ht="46.25" hidden="false" customHeight="false" outlineLevel="0" collapsed="false">
      <c r="A86" s="13" t="n">
        <v>86</v>
      </c>
      <c r="B86" s="13" t="str">
        <f aca="false">IF(Petunjuk!$C$4="","",Petunjuk!$C$4)</f>
        <v/>
      </c>
      <c r="C86" s="14" t="s">
        <v>253</v>
      </c>
      <c r="D86" s="13"/>
      <c r="E86" s="14" t="s">
        <v>209</v>
      </c>
      <c r="F86" s="14" t="s">
        <v>255</v>
      </c>
      <c r="G86" s="14" t="s">
        <v>256</v>
      </c>
      <c r="H86" s="14" t="s">
        <v>257</v>
      </c>
      <c r="I86" s="15"/>
      <c r="J86" s="15"/>
      <c r="K86" s="15"/>
      <c r="L86" s="15"/>
      <c r="M86" s="15"/>
      <c r="N86" s="15"/>
      <c r="O86" s="15"/>
      <c r="P86" s="16"/>
      <c r="Q86" s="16"/>
      <c r="R86" s="9" t="str">
        <f aca="false">IF(COUNTA(I86:N86)&lt;6,"Lengkapi V4-V9",IF(AND(I86="R0",N86&lt;&gt;"K5"),"R0 harus berpasangan dengan K5",IF(AND(I86="R1",N86&lt;&gt;"K4",N86&lt;&gt;"K5"),"R1 hanya dengan K4 atau K5",IF(AND(I86="R2",N86="K5"),"R2 tidak boleh K5",IF(AND(K86="P9",J86&lt;&gt;"T17"),"P9 hanya dengan T17",IF(AND(J86="T01",K86&lt;&gt;"P6",Q86=""),"Periksa T01-P6: jelaskan di V12",IF(AND(K86="P1",N86&lt;&gt;"K4",Q86=""),"Periksa P1-K4: jelaskan di V12",IF(AND(J86="T99",Q86=""),"Periksa T99: wajib isi V12","OK"))))))))</f>
        <v>Lengkapi V4-V9</v>
      </c>
    </row>
  </sheetData>
  <autoFilter ref="A1:R86"/>
  <conditionalFormatting sqref="R2:R86">
    <cfRule type="expression" priority="2" aboveAverage="0" equalAverage="0" bottom="0" percent="0" rank="0" text="" dxfId="7">
      <formula>R2="OK"</formula>
    </cfRule>
    <cfRule type="expression" priority="3" aboveAverage="0" equalAverage="0" bottom="0" percent="0" rank="0" text="" dxfId="8">
      <formula>LEFT(R2,7)="Periksa"</formula>
    </cfRule>
    <cfRule type="expression" priority="4" aboveAverage="0" equalAverage="0" bottom="0" percent="0" rank="0" text="" dxfId="9">
      <formula>OR(LEFT(R2,1)="R",LEFT(R2,2)="P9")</formula>
    </cfRule>
  </conditionalFormatting>
  <dataValidations count="7">
    <dataValidation allowBlank="true" error="Pilih kode dari daftar. Lihat sheet Daftar Kode." errorStyle="stop" errorTitle="Kode tidak valid" operator="between" showDropDown="false" showErrorMessage="true" showInputMessage="false" sqref="I2:I86" type="list">
      <formula1>"R0,R1,R2"</formula1>
      <formula2>0</formula2>
    </dataValidation>
    <dataValidation allowBlank="true" error="Pilih kode dari daftar. Lihat sheet Daftar Kode." errorStyle="stop" errorTitle="Kode tidak valid" operator="between" showDropDown="false" showErrorMessage="true" showInputMessage="false" sqref="J2:J86" type="list">
      <formula1>"T01,T02,T03,T04,T05,T06,T07,T08,T09,T10,T11,T12,T13,T14,T15,T16,T17,T99"</formula1>
      <formula2>0</formula2>
    </dataValidation>
    <dataValidation allowBlank="true" error="Pilih kode dari daftar. Lihat sheet Daftar Kode." errorStyle="stop" errorTitle="Kode tidak valid" operator="between" showDropDown="false" showErrorMessage="true" showInputMessage="false" sqref="K2:K86" type="list">
      <formula1>"P1,P2,P3,P4,P5,P6,P7,P8,P9"</formula1>
      <formula2>0</formula2>
    </dataValidation>
    <dataValidation allowBlank="true" error="Pilih kode dari daftar. Lihat sheet Daftar Kode." errorStyle="stop" errorTitle="Kode tidak valid" operator="between" showDropDown="false" showErrorMessage="true" showInputMessage="false" sqref="L2:L86" type="list">
      <formula1>"S1,S2,S3,S4,S5,S6,S7,S8,S9"</formula1>
      <formula2>0</formula2>
    </dataValidation>
    <dataValidation allowBlank="true" error="Pilih kode dari daftar. Lihat sheet Daftar Kode." errorStyle="stop" errorTitle="Kode tidak valid" operator="between" showDropDown="false" showErrorMessage="true" showInputMessage="false" sqref="M2:M86" type="list">
      <formula1>"F1,F2,F3,F4,F5,F6,F7,F8"</formula1>
      <formula2>0</formula2>
    </dataValidation>
    <dataValidation allowBlank="true" error="Pilih kode dari daftar. Lihat sheet Daftar Kode." errorStyle="stop" errorTitle="Kode tidak valid" operator="between" showDropDown="false" showErrorMessage="true" showInputMessage="false" sqref="N2:N86" type="list">
      <formula1>"K1,K2,K3,K4,K5"</formula1>
      <formula2>0</formula2>
    </dataValidation>
    <dataValidation allowBlank="true" error="Pilih kode dari daftar. Lihat sheet Daftar Kode." errorStyle="stop" errorTitle="Kode tidak valid" operator="between" showDropDown="false" showErrorMessage="true" showInputMessage="false" sqref="O2:O86" type="list">
      <formula1>"T01,T02,T03,T04,T05,T06,T07,T08,T09,T10,T11,T12,T13,T14,T15,T16,T17"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70"/>
  </cols>
  <sheetData>
    <row r="1" customFormat="false" ht="15" hidden="false" customHeight="false" outlineLevel="0" collapsed="false">
      <c r="A1" s="3" t="s">
        <v>258</v>
      </c>
    </row>
    <row r="3" customFormat="false" ht="15" hidden="false" customHeight="false" outlineLevel="0" collapsed="false">
      <c r="A3" s="18" t="s">
        <v>30</v>
      </c>
      <c r="B3" s="19"/>
      <c r="C3" s="19"/>
    </row>
    <row r="4" customFormat="false" ht="15" hidden="false" customHeight="false" outlineLevel="0" collapsed="false">
      <c r="A4" s="9" t="s">
        <v>259</v>
      </c>
      <c r="B4" s="9" t="s">
        <v>260</v>
      </c>
      <c r="C4" s="9" t="s">
        <v>261</v>
      </c>
    </row>
    <row r="5" customFormat="false" ht="15" hidden="false" customHeight="false" outlineLevel="0" collapsed="false">
      <c r="A5" s="9" t="s">
        <v>262</v>
      </c>
      <c r="B5" s="9" t="s">
        <v>263</v>
      </c>
      <c r="C5" s="9" t="s">
        <v>264</v>
      </c>
    </row>
    <row r="6" customFormat="false" ht="23.85" hidden="false" customHeight="false" outlineLevel="0" collapsed="false">
      <c r="A6" s="9" t="s">
        <v>31</v>
      </c>
      <c r="B6" s="9" t="s">
        <v>265</v>
      </c>
      <c r="C6" s="9" t="s">
        <v>266</v>
      </c>
    </row>
    <row r="8" customFormat="false" ht="15" hidden="false" customHeight="false" outlineLevel="0" collapsed="false">
      <c r="A8" s="18" t="s">
        <v>267</v>
      </c>
      <c r="B8" s="19"/>
      <c r="C8" s="19"/>
    </row>
    <row r="9" customFormat="false" ht="15" hidden="false" customHeight="false" outlineLevel="0" collapsed="false">
      <c r="A9" s="9" t="s">
        <v>268</v>
      </c>
      <c r="B9" s="9" t="s">
        <v>269</v>
      </c>
      <c r="C9" s="9"/>
    </row>
    <row r="10" customFormat="false" ht="15" hidden="false" customHeight="false" outlineLevel="0" collapsed="false">
      <c r="A10" s="9" t="s">
        <v>270</v>
      </c>
      <c r="B10" s="9" t="s">
        <v>271</v>
      </c>
      <c r="C10" s="9"/>
    </row>
    <row r="11" customFormat="false" ht="15" hidden="false" customHeight="false" outlineLevel="0" collapsed="false">
      <c r="A11" s="9" t="s">
        <v>272</v>
      </c>
      <c r="B11" s="9" t="s">
        <v>273</v>
      </c>
      <c r="C11" s="9"/>
    </row>
    <row r="12" customFormat="false" ht="15" hidden="false" customHeight="false" outlineLevel="0" collapsed="false">
      <c r="A12" s="9" t="s">
        <v>274</v>
      </c>
      <c r="B12" s="9" t="s">
        <v>275</v>
      </c>
      <c r="C12" s="9"/>
    </row>
    <row r="13" customFormat="false" ht="15" hidden="false" customHeight="false" outlineLevel="0" collapsed="false">
      <c r="A13" s="9" t="s">
        <v>276</v>
      </c>
      <c r="B13" s="9" t="s">
        <v>277</v>
      </c>
      <c r="C13" s="9"/>
    </row>
    <row r="14" customFormat="false" ht="15" hidden="false" customHeight="false" outlineLevel="0" collapsed="false">
      <c r="A14" s="9" t="s">
        <v>278</v>
      </c>
      <c r="B14" s="9" t="s">
        <v>279</v>
      </c>
      <c r="C14" s="9"/>
    </row>
    <row r="15" customFormat="false" ht="15" hidden="false" customHeight="false" outlineLevel="0" collapsed="false">
      <c r="A15" s="9" t="s">
        <v>280</v>
      </c>
      <c r="B15" s="9" t="s">
        <v>281</v>
      </c>
      <c r="C15" s="9"/>
    </row>
    <row r="16" customFormat="false" ht="15" hidden="false" customHeight="false" outlineLevel="0" collapsed="false">
      <c r="A16" s="9" t="s">
        <v>282</v>
      </c>
      <c r="B16" s="9" t="s">
        <v>283</v>
      </c>
      <c r="C16" s="9"/>
    </row>
    <row r="17" customFormat="false" ht="15" hidden="false" customHeight="false" outlineLevel="0" collapsed="false">
      <c r="A17" s="9" t="s">
        <v>284</v>
      </c>
      <c r="B17" s="9" t="s">
        <v>285</v>
      </c>
      <c r="C17" s="9"/>
    </row>
    <row r="18" customFormat="false" ht="15" hidden="false" customHeight="false" outlineLevel="0" collapsed="false">
      <c r="A18" s="9" t="s">
        <v>286</v>
      </c>
      <c r="B18" s="9" t="s">
        <v>287</v>
      </c>
      <c r="C18" s="9"/>
    </row>
    <row r="19" customFormat="false" ht="15" hidden="false" customHeight="false" outlineLevel="0" collapsed="false">
      <c r="A19" s="9" t="s">
        <v>33</v>
      </c>
      <c r="B19" s="9" t="s">
        <v>288</v>
      </c>
      <c r="C19" s="9"/>
    </row>
    <row r="20" customFormat="false" ht="15" hidden="false" customHeight="false" outlineLevel="0" collapsed="false">
      <c r="A20" s="9" t="s">
        <v>289</v>
      </c>
      <c r="B20" s="9" t="s">
        <v>290</v>
      </c>
      <c r="C20" s="9"/>
    </row>
    <row r="21" customFormat="false" ht="15" hidden="false" customHeight="false" outlineLevel="0" collapsed="false">
      <c r="A21" s="9" t="s">
        <v>291</v>
      </c>
      <c r="B21" s="9" t="s">
        <v>292</v>
      </c>
      <c r="C21" s="9"/>
    </row>
    <row r="22" customFormat="false" ht="15" hidden="false" customHeight="false" outlineLevel="0" collapsed="false">
      <c r="A22" s="9" t="s">
        <v>293</v>
      </c>
      <c r="B22" s="9" t="s">
        <v>294</v>
      </c>
      <c r="C22" s="9"/>
    </row>
    <row r="23" customFormat="false" ht="15" hidden="false" customHeight="false" outlineLevel="0" collapsed="false">
      <c r="A23" s="9" t="s">
        <v>295</v>
      </c>
      <c r="B23" s="9" t="s">
        <v>296</v>
      </c>
      <c r="C23" s="9"/>
    </row>
    <row r="24" customFormat="false" ht="15" hidden="false" customHeight="false" outlineLevel="0" collapsed="false">
      <c r="A24" s="9" t="s">
        <v>297</v>
      </c>
      <c r="B24" s="9" t="s">
        <v>298</v>
      </c>
      <c r="C24" s="9"/>
    </row>
    <row r="25" customFormat="false" ht="15" hidden="false" customHeight="false" outlineLevel="0" collapsed="false">
      <c r="A25" s="9" t="s">
        <v>299</v>
      </c>
      <c r="B25" s="9" t="s">
        <v>300</v>
      </c>
      <c r="C25" s="9"/>
    </row>
    <row r="26" customFormat="false" ht="15" hidden="false" customHeight="false" outlineLevel="0" collapsed="false">
      <c r="A26" s="9" t="s">
        <v>301</v>
      </c>
      <c r="B26" s="9" t="s">
        <v>302</v>
      </c>
      <c r="C26" s="9" t="s">
        <v>303</v>
      </c>
    </row>
    <row r="28" customFormat="false" ht="15" hidden="false" customHeight="false" outlineLevel="0" collapsed="false">
      <c r="A28" s="18" t="s">
        <v>304</v>
      </c>
      <c r="B28" s="19"/>
      <c r="C28" s="19"/>
    </row>
    <row r="29" customFormat="false" ht="15" hidden="false" customHeight="false" outlineLevel="0" collapsed="false">
      <c r="A29" s="9" t="s">
        <v>305</v>
      </c>
      <c r="B29" s="9" t="s">
        <v>306</v>
      </c>
      <c r="C29" s="9" t="s">
        <v>307</v>
      </c>
    </row>
    <row r="30" customFormat="false" ht="15" hidden="false" customHeight="false" outlineLevel="0" collapsed="false">
      <c r="A30" s="9" t="s">
        <v>35</v>
      </c>
      <c r="B30" s="9" t="s">
        <v>308</v>
      </c>
      <c r="C30" s="9" t="s">
        <v>309</v>
      </c>
    </row>
    <row r="31" customFormat="false" ht="15" hidden="false" customHeight="false" outlineLevel="0" collapsed="false">
      <c r="A31" s="9" t="s">
        <v>310</v>
      </c>
      <c r="B31" s="9" t="s">
        <v>311</v>
      </c>
      <c r="C31" s="9" t="s">
        <v>312</v>
      </c>
    </row>
    <row r="32" customFormat="false" ht="15" hidden="false" customHeight="false" outlineLevel="0" collapsed="false">
      <c r="A32" s="9" t="s">
        <v>313</v>
      </c>
      <c r="B32" s="9" t="s">
        <v>314</v>
      </c>
      <c r="C32" s="9" t="s">
        <v>315</v>
      </c>
    </row>
    <row r="33" customFormat="false" ht="15" hidden="false" customHeight="false" outlineLevel="0" collapsed="false">
      <c r="A33" s="9" t="s">
        <v>316</v>
      </c>
      <c r="B33" s="9" t="s">
        <v>317</v>
      </c>
      <c r="C33" s="9" t="s">
        <v>318</v>
      </c>
    </row>
    <row r="34" customFormat="false" ht="15" hidden="false" customHeight="false" outlineLevel="0" collapsed="false">
      <c r="A34" s="9" t="s">
        <v>319</v>
      </c>
      <c r="B34" s="9" t="s">
        <v>320</v>
      </c>
      <c r="C34" s="9" t="s">
        <v>321</v>
      </c>
    </row>
    <row r="35" customFormat="false" ht="15" hidden="false" customHeight="false" outlineLevel="0" collapsed="false">
      <c r="A35" s="9" t="s">
        <v>322</v>
      </c>
      <c r="B35" s="9" t="s">
        <v>323</v>
      </c>
      <c r="C35" s="9"/>
    </row>
    <row r="36" customFormat="false" ht="15" hidden="false" customHeight="false" outlineLevel="0" collapsed="false">
      <c r="A36" s="9" t="s">
        <v>324</v>
      </c>
      <c r="B36" s="9" t="s">
        <v>325</v>
      </c>
      <c r="C36" s="9" t="s">
        <v>326</v>
      </c>
    </row>
    <row r="37" customFormat="false" ht="15" hidden="false" customHeight="false" outlineLevel="0" collapsed="false">
      <c r="A37" s="9" t="s">
        <v>327</v>
      </c>
      <c r="B37" s="9" t="s">
        <v>328</v>
      </c>
      <c r="C37" s="9" t="s">
        <v>329</v>
      </c>
    </row>
    <row r="39" customFormat="false" ht="15" hidden="false" customHeight="false" outlineLevel="0" collapsed="false">
      <c r="A39" s="18" t="s">
        <v>330</v>
      </c>
      <c r="B39" s="19"/>
      <c r="C39" s="19"/>
    </row>
    <row r="40" customFormat="false" ht="15" hidden="false" customHeight="false" outlineLevel="0" collapsed="false">
      <c r="A40" s="9" t="s">
        <v>37</v>
      </c>
      <c r="B40" s="9" t="s">
        <v>331</v>
      </c>
      <c r="C40" s="9"/>
    </row>
    <row r="41" customFormat="false" ht="15" hidden="false" customHeight="false" outlineLevel="0" collapsed="false">
      <c r="A41" s="9" t="s">
        <v>332</v>
      </c>
      <c r="B41" s="9" t="s">
        <v>333</v>
      </c>
      <c r="C41" s="9"/>
    </row>
    <row r="42" customFormat="false" ht="15" hidden="false" customHeight="false" outlineLevel="0" collapsed="false">
      <c r="A42" s="9" t="s">
        <v>334</v>
      </c>
      <c r="B42" s="9" t="s">
        <v>335</v>
      </c>
      <c r="C42" s="9" t="s">
        <v>336</v>
      </c>
    </row>
    <row r="43" customFormat="false" ht="15" hidden="false" customHeight="false" outlineLevel="0" collapsed="false">
      <c r="A43" s="9" t="s">
        <v>337</v>
      </c>
      <c r="B43" s="9" t="s">
        <v>338</v>
      </c>
      <c r="C43" s="9"/>
    </row>
    <row r="44" customFormat="false" ht="15" hidden="false" customHeight="false" outlineLevel="0" collapsed="false">
      <c r="A44" s="9" t="s">
        <v>339</v>
      </c>
      <c r="B44" s="9" t="s">
        <v>340</v>
      </c>
      <c r="C44" s="9"/>
    </row>
    <row r="45" customFormat="false" ht="15" hidden="false" customHeight="false" outlineLevel="0" collapsed="false">
      <c r="A45" s="9" t="s">
        <v>341</v>
      </c>
      <c r="B45" s="9" t="s">
        <v>342</v>
      </c>
      <c r="C45" s="9"/>
    </row>
    <row r="46" customFormat="false" ht="15" hidden="false" customHeight="false" outlineLevel="0" collapsed="false">
      <c r="A46" s="9" t="s">
        <v>343</v>
      </c>
      <c r="B46" s="9" t="s">
        <v>344</v>
      </c>
      <c r="C46" s="9"/>
    </row>
    <row r="47" customFormat="false" ht="15" hidden="false" customHeight="false" outlineLevel="0" collapsed="false">
      <c r="A47" s="9" t="s">
        <v>345</v>
      </c>
      <c r="B47" s="9" t="s">
        <v>346</v>
      </c>
      <c r="C47" s="9"/>
    </row>
    <row r="48" customFormat="false" ht="15" hidden="false" customHeight="false" outlineLevel="0" collapsed="false">
      <c r="A48" s="9" t="s">
        <v>347</v>
      </c>
      <c r="B48" s="9" t="s">
        <v>348</v>
      </c>
      <c r="C48" s="9" t="s">
        <v>349</v>
      </c>
    </row>
    <row r="50" customFormat="false" ht="15" hidden="false" customHeight="false" outlineLevel="0" collapsed="false">
      <c r="A50" s="18" t="s">
        <v>350</v>
      </c>
      <c r="B50" s="19"/>
      <c r="C50" s="19"/>
    </row>
    <row r="51" customFormat="false" ht="15" hidden="false" customHeight="false" outlineLevel="0" collapsed="false">
      <c r="A51" s="9" t="s">
        <v>351</v>
      </c>
      <c r="B51" s="9" t="s">
        <v>352</v>
      </c>
      <c r="C51" s="9"/>
    </row>
    <row r="52" customFormat="false" ht="15" hidden="false" customHeight="false" outlineLevel="0" collapsed="false">
      <c r="A52" s="9" t="s">
        <v>353</v>
      </c>
      <c r="B52" s="9" t="s">
        <v>354</v>
      </c>
      <c r="C52" s="9"/>
    </row>
    <row r="53" customFormat="false" ht="15" hidden="false" customHeight="false" outlineLevel="0" collapsed="false">
      <c r="A53" s="9" t="s">
        <v>355</v>
      </c>
      <c r="B53" s="9" t="s">
        <v>356</v>
      </c>
      <c r="C53" s="9"/>
    </row>
    <row r="54" customFormat="false" ht="15" hidden="false" customHeight="false" outlineLevel="0" collapsed="false">
      <c r="A54" s="9" t="s">
        <v>357</v>
      </c>
      <c r="B54" s="9" t="s">
        <v>358</v>
      </c>
      <c r="C54" s="9"/>
    </row>
    <row r="55" customFormat="false" ht="15" hidden="false" customHeight="false" outlineLevel="0" collapsed="false">
      <c r="A55" s="9" t="s">
        <v>359</v>
      </c>
      <c r="B55" s="9" t="s">
        <v>360</v>
      </c>
      <c r="C55" s="9"/>
    </row>
    <row r="56" customFormat="false" ht="15" hidden="false" customHeight="false" outlineLevel="0" collapsed="false">
      <c r="A56" s="9" t="s">
        <v>39</v>
      </c>
      <c r="B56" s="9" t="s">
        <v>361</v>
      </c>
      <c r="C56" s="9"/>
    </row>
    <row r="57" customFormat="false" ht="15" hidden="false" customHeight="false" outlineLevel="0" collapsed="false">
      <c r="A57" s="9" t="s">
        <v>362</v>
      </c>
      <c r="B57" s="9" t="s">
        <v>363</v>
      </c>
      <c r="C57" s="9"/>
    </row>
    <row r="58" customFormat="false" ht="15" hidden="false" customHeight="false" outlineLevel="0" collapsed="false">
      <c r="A58" s="9" t="s">
        <v>364</v>
      </c>
      <c r="B58" s="9" t="s">
        <v>365</v>
      </c>
      <c r="C58" s="9"/>
    </row>
    <row r="60" customFormat="false" ht="15" hidden="false" customHeight="false" outlineLevel="0" collapsed="false">
      <c r="A60" s="18" t="s">
        <v>366</v>
      </c>
      <c r="B60" s="19"/>
      <c r="C60" s="19"/>
    </row>
    <row r="61" customFormat="false" ht="15" hidden="false" customHeight="false" outlineLevel="0" collapsed="false">
      <c r="A61" s="9" t="s">
        <v>41</v>
      </c>
      <c r="B61" s="9" t="s">
        <v>367</v>
      </c>
      <c r="C61" s="9" t="s">
        <v>368</v>
      </c>
    </row>
    <row r="62" customFormat="false" ht="15" hidden="false" customHeight="false" outlineLevel="0" collapsed="false">
      <c r="A62" s="9" t="s">
        <v>369</v>
      </c>
      <c r="B62" s="9" t="s">
        <v>370</v>
      </c>
      <c r="C62" s="9"/>
    </row>
    <row r="63" customFormat="false" ht="15" hidden="false" customHeight="false" outlineLevel="0" collapsed="false">
      <c r="A63" s="9" t="s">
        <v>371</v>
      </c>
      <c r="B63" s="9" t="s">
        <v>372</v>
      </c>
      <c r="C63" s="9"/>
    </row>
    <row r="64" customFormat="false" ht="15" hidden="false" customHeight="false" outlineLevel="0" collapsed="false">
      <c r="A64" s="9" t="s">
        <v>373</v>
      </c>
      <c r="B64" s="9" t="s">
        <v>374</v>
      </c>
      <c r="C64" s="9"/>
    </row>
    <row r="65" customFormat="false" ht="15" hidden="false" customHeight="false" outlineLevel="0" collapsed="false">
      <c r="A65" s="9" t="s">
        <v>375</v>
      </c>
      <c r="B65" s="9" t="s">
        <v>376</v>
      </c>
      <c r="C65"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2026-10-15T03:05:08Z</dcterms:created>
  <dc:creator>openpyxl</dc:creator>
  <dc:description/>
  <dc:language>en-US</dc:language>
  <cp:lastModifiedBy/>
  <dcterms:modified xsi:type="dcterms:W3CDTF">2026-10-15T03:05:09Z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