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Pengaturan" sheetId="2" state="visible" r:id="rId4"/>
    <sheet name="Data" sheetId="3" state="visible" r:id="rId5"/>
    <sheet name="Hasil" sheetId="4" state="visible" r:id="rId6"/>
    <sheet name="Hitung" sheetId="5" state="visible" r:id="rId7"/>
    <sheet name="Matri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<sst xmlns="http://schemas.openxmlformats.org/spreadsheetml/2006/main" count="120" uniqueCount="107">
  <si>
    <t xml:space="preserve">Template Krippendorff's Alpha (Nominal &amp; Ordinal)</t>
  </si>
  <si>
    <t xml:space="preserve">Kapasitas: 2–20 coder · maks 1000 unit · maks 20 kategori · tanpa data kosong.</t>
  </si>
  <si>
    <t xml:space="preserve">A. Cara pakai</t>
  </si>
  <si>
    <t xml:space="preserve">1. Sheet Pengaturan: pilih Jenis data (Nominal / Ordinal) di sel C4.</t>
  </si>
  <si>
    <t xml:space="preserve">2. Sheet Pengaturan: isi Kode kategori (B8:B27) mulai dari baris pertama, tanpa baris kosong. Untuk ordinal, urutkan dari skala terendah ke tertinggi. Kode boleh angka (1,2,3…) atau teks ("Rendah", "Tinggi").</t>
  </si>
  <si>
    <t xml:space="preserve">3. Sheet Data: hapus contoh di B6:U1005, lalu isi data Anda. Satu baris = satu unit, satu kolom = satu coder. Ganti judul kolom (Coder 1, dst.) sesuai kebutuhan.</t>
  </si>
  <si>
    <t xml:space="preserve">4. Kolom coder dan baris unit yang tidak dipakai dibiarkan kosong seluruhnya. Semua unit yang dipakai harus diisi oleh SEMUA coder.</t>
  </si>
  <si>
    <t xml:space="preserve">5. Sheet Hasil: baca α. Status data harus "VALID". Jika "PERIKSA DATA", lihat nomor unit bermasalah (C10) dan kolom Status di sheet Hitung.</t>
  </si>
  <si>
    <t xml:space="preserve">B. Aturan data</t>
  </si>
  <si>
    <t xml:space="preserve">• Setiap nilai di Data harus ada di daftar kategori (sheet Pengaturan). Dropdown Data memberi peringatan jika tidak cocok.</t>
  </si>
  <si>
    <t xml:space="preserve">• Template ini khusus data lengkap (tanpa missing). Sel kosong di tengah blok data akan ditandai bermasalah.</t>
  </si>
  <si>
    <t xml:space="preserve">• Template menampilkan α nominal dan ordinal sekaligus; α utama mengikuti pilihan di Pengaturan!C4.</t>
  </si>
  <si>
    <t xml:space="preserve">• Pada data ordinal, hasil bergantung pada URUTAN kategori di daftar. Pastikan urutannya benar.</t>
  </si>
  <si>
    <t xml:space="preserve">• Kategori dibandingkan tanpa membedakan huruf besar/kecil; hindari karakter * ? ~ pada kode teks.</t>
  </si>
  <si>
    <t xml:space="preserve">C. Rumus yang dipakai (no missing data, m coder, N unit, n = N·m)</t>
  </si>
  <si>
    <t xml:space="preserve">n_uc = jumlah coder yang memberi kategori c pada unit u   →  Excel: COUNTIF(Data!B6:U6, kode_kategori)   [sheet Hitung]</t>
  </si>
  <si>
    <t xml:space="preserve">o_ck = Σ_u n_uc·(n_uk − δ_ck) / (m − 1)   →  SUMPRODUCT(kolom_c, kolom_k) − (jika c=k: SUM(kolom_c)), dibagi (m−1)   [Matriks blok 1]</t>
  </si>
  <si>
    <t xml:space="preserve">n_c = Σ_k o_ck   →  SUM(baris)   [Matriks, kolom W]</t>
  </si>
  <si>
    <t xml:space="preserve">e_ck = n_c·n_k / (n − 1) untuk c≠k;  e_cc = n_c·(n_c − 1) / (n − 1)   [Matriks blok 2]</t>
  </si>
  <si>
    <t xml:space="preserve">δ² nominal = 0 jika c=k, 1 jika c≠k   [Matriks blok 3]</t>
  </si>
  <si>
    <t xml:space="preserve">δ² ordinal = ( Σ_{g=c..k} n_g − (n_c + n_k)/2 )²   →  SUMPRODUCT dengan filter indeks antara c dan k   [Matriks blok 4]</t>
  </si>
  <si>
    <t xml:space="preserve">D_o = Σ o_ck·δ²_ck / n ;  D_e = Σ e_ck·δ²_ck / n   →  SUMPRODUCT(matriks, δ²)/n   [Hasil]</t>
  </si>
  <si>
    <t xml:space="preserve">α = 1 − D_o / D_e   [Hasil, baris 15]</t>
  </si>
  <si>
    <t xml:space="preserve">D. Membaca hasil</t>
  </si>
  <si>
    <t xml:space="preserve">α = 1 : kesepakatan sempurna · α = 0 : kesepakatan setara kebetulan · α &lt; 0 : kesepakatan lebih buruk dari kebetulan.</t>
  </si>
  <si>
    <t xml:space="preserve">Acuan umum (Krippendorff): α ≥ 0,800 reliabel; 0,667–0,799 hanya untuk kesimpulan tentatif; &lt; 0,667 tidak reliabel.</t>
  </si>
  <si>
    <t xml:space="preserve">Jika semua coder hanya memakai satu kategori, D_e = 0 sehingga α tidak terdefinisi (ditampilkan n/a).</t>
  </si>
  <si>
    <t xml:space="preserve">E. Memperluas kapasitas</t>
  </si>
  <si>
    <t xml:space="preserve">Untuk &gt;1000 unit, salin baris terakhir di sheet Data dan Hitung ke bawah dan ubah rentang R6:R1005 pada Hasil (C4, C5, C8, C10) dan Matriks (blok 1). Untuk &gt;20 coder/kategori, rumus perlu diperluas manual.</t>
  </si>
  <si>
    <t xml:space="preserve">F. Legenda warna</t>
  </si>
  <si>
    <t xml:space="preserve">Sel kuning bertulisan biru = input pengguna. Sel putih bertulisan hitam = rumus otomatis.</t>
  </si>
  <si>
    <t xml:space="preserve">Pengaturan</t>
  </si>
  <si>
    <t xml:space="preserve">Sel kuning bertulisan biru = input. Jangan ubah sel lain.</t>
  </si>
  <si>
    <t xml:space="preserve">Jenis data (untuk α utama)</t>
  </si>
  <si>
    <t xml:space="preserve">Ordinal</t>
  </si>
  <si>
    <t xml:space="preserve">Daftar kategori: isi dari baris pertama tanpa baris kosong. Untuk data ORDINAL urutkan dari terendah ke tertinggi (urutan baris = urutan skala). Kode boleh angka atau teks.</t>
  </si>
  <si>
    <t xml:space="preserve">No</t>
  </si>
  <si>
    <t xml:space="preserve">Kode kategori</t>
  </si>
  <si>
    <t xml:space="preserve">Keterangan (opsional)</t>
  </si>
  <si>
    <t xml:space="preserve">Sangat rendah</t>
  </si>
  <si>
    <t xml:space="preserve">Rendah</t>
  </si>
  <si>
    <t xml:space="preserve">Sedang</t>
  </si>
  <si>
    <t xml:space="preserve">Tinggi</t>
  </si>
  <si>
    <t xml:space="preserve">Sangat tinggi</t>
  </si>
  <si>
    <t xml:space="preserve">Data Koding</t>
  </si>
  <si>
    <t xml:space="preserve">Baris = unit analisis, kolom = coder (maks 20 coder, 1000 unit). Isi sel kuning; tanpa sel kosong di dalam blok data; kolom/baris yang tidak terpakai dibiarkan kosong seluruhnya.</t>
  </si>
  <si>
    <t xml:space="preserve">Contoh data (4 coder, 25 unit, skala ordinal 1–5) sudah terisi. Hapus isi B6:U1005 lalu isi data Anda sendiri.</t>
  </si>
  <si>
    <t xml:space="preserve">Unit</t>
  </si>
  <si>
    <t xml:space="preserve">Coder 1</t>
  </si>
  <si>
    <t xml:space="preserve">Coder 2</t>
  </si>
  <si>
    <t xml:space="preserve">Coder 3</t>
  </si>
  <si>
    <t xml:space="preserve">Coder 4</t>
  </si>
  <si>
    <t xml:space="preserve">Coder 5</t>
  </si>
  <si>
    <t xml:space="preserve">Coder 6</t>
  </si>
  <si>
    <t xml:space="preserve">Coder 7</t>
  </si>
  <si>
    <t xml:space="preserve">Coder 8</t>
  </si>
  <si>
    <t xml:space="preserve">Coder 9</t>
  </si>
  <si>
    <t xml:space="preserve">Coder 10</t>
  </si>
  <si>
    <t xml:space="preserve">Coder 11</t>
  </si>
  <si>
    <t xml:space="preserve">Coder 12</t>
  </si>
  <si>
    <t xml:space="preserve">Coder 13</t>
  </si>
  <si>
    <t xml:space="preserve">Coder 14</t>
  </si>
  <si>
    <t xml:space="preserve">Coder 15</t>
  </si>
  <si>
    <t xml:space="preserve">Coder 16</t>
  </si>
  <si>
    <t xml:space="preserve">Coder 17</t>
  </si>
  <si>
    <t xml:space="preserve">Coder 18</t>
  </si>
  <si>
    <t xml:space="preserve">Coder 19</t>
  </si>
  <si>
    <t xml:space="preserve">Coder 20</t>
  </si>
  <si>
    <t xml:space="preserve">Hasil Krippendorff's Alpha</t>
  </si>
  <si>
    <t xml:space="preserve">Semua nilai di sheet ini dihitung otomatis dari sheet Data dan Pengaturan.</t>
  </si>
  <si>
    <t xml:space="preserve">Jumlah coder (m)</t>
  </si>
  <si>
    <t xml:space="preserve">Jumlah unit lengkap (N)</t>
  </si>
  <si>
    <t xml:space="preserve">Jumlah nilai berpasangan (n = N × m)</t>
  </si>
  <si>
    <t xml:space="preserve">Jumlah kategori terpakai</t>
  </si>
  <si>
    <t xml:space="preserve">Jumlah baris bermasalah</t>
  </si>
  <si>
    <t xml:space="preserve">Status data</t>
  </si>
  <si>
    <t xml:space="preserve">Unit pertama yang bermasalah</t>
  </si>
  <si>
    <t xml:space="preserve">Ukuran</t>
  </si>
  <si>
    <t xml:space="preserve">Nominal</t>
  </si>
  <si>
    <t xml:space="preserve">Disagreement teramati (D_o)</t>
  </si>
  <si>
    <t xml:space="preserve">Disagreement harapan (D_e)</t>
  </si>
  <si>
    <t xml:space="preserve">Krippendorff's α</t>
  </si>
  <si>
    <t xml:space="preserve">Interpretasi</t>
  </si>
  <si>
    <t xml:space="preserve">Jenis data terpilih (sheet Pengaturan)</t>
  </si>
  <si>
    <t xml:space="preserve">α UTAMA YANG DILAPORKAN</t>
  </si>
  <si>
    <t xml:space="preserve">Acuan Krippendorff (2018): α ≥ 0,800 reliabel; 0,667 ≤ α &lt; 0,800 tentatif; α &lt; 0,667 tidak reliabel.</t>
  </si>
  <si>
    <t xml:space="preserve">Distribusi kategori</t>
  </si>
  <si>
    <t xml:space="preserve">Keterangan</t>
  </si>
  <si>
    <t xml:space="preserve">Jumlah nilai (n_c)</t>
  </si>
  <si>
    <t xml:space="preserve">Proporsi</t>
  </si>
  <si>
    <t xml:space="preserve">Perhitungan Antara: jumlah nilai per unit per kategori (n_uc)</t>
  </si>
  <si>
    <t xml:space="preserve">Sheet ini otomatis. Tidak perlu diubah.</t>
  </si>
  <si>
    <t xml:space="preserve">indeks →</t>
  </si>
  <si>
    <t xml:space="preserve">Nilai terisi</t>
  </si>
  <si>
    <t xml:space="preserve">Status</t>
  </si>
  <si>
    <t xml:space="preserve">Bermasalah</t>
  </si>
  <si>
    <t xml:space="preserve">Matriks Perhitungan Krippendorff's Alpha</t>
  </si>
  <si>
    <t xml:space="preserve">Sheet ini otomatis. Tidak perlu diubah. Baris/kolom ke-i = kategori ke-i di sheet Pengaturan.</t>
  </si>
  <si>
    <t xml:space="preserve">1) Matriks koincidensi teramati (o_ck)</t>
  </si>
  <si>
    <t xml:space="preserve">indeks</t>
  </si>
  <si>
    <t xml:space="preserve">i</t>
  </si>
  <si>
    <t xml:space="preserve">Kategori</t>
  </si>
  <si>
    <t xml:space="preserve">n_c</t>
  </si>
  <si>
    <t xml:space="preserve">Total (n)</t>
  </si>
  <si>
    <t xml:space="preserve">2) Matriks koincidensi harapan (e_ck)</t>
  </si>
  <si>
    <t xml:space="preserve">3) Matriks selisih² nominal (δ²_ck)</t>
  </si>
  <si>
    <t xml:space="preserve">4) Matriks selisih² ordinal (δ²_ck)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</si>
</sst>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0.0000"/>
    <numFmt numFmtId="168" formatCode="0.000"/>
    <numFmt numFmtId="169" formatCode="0.0%"/>
    <numFmt numFmtId="170" formatCode="General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24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</row>
    <row r="5" customFormat="false" ht="30" hidden="false" customHeight="true" outlineLevel="0" collapsed="false">
      <c r="B5" s="4" t="s">
        <v>4</v>
      </c>
    </row>
    <row r="6" customFormat="false" ht="30" hidden="false" customHeight="true" outlineLevel="0" collapsed="false">
      <c r="B6" s="4" t="s">
        <v>5</v>
      </c>
    </row>
    <row r="7" customFormat="false" ht="30" hidden="false" customHeight="true" outlineLevel="0" collapsed="false">
      <c r="B7" s="4" t="s">
        <v>6</v>
      </c>
    </row>
    <row r="8" customFormat="false" ht="30" hidden="false" customHeight="true" outlineLevel="0" collapsed="false">
      <c r="B8" s="4" t="s">
        <v>7</v>
      </c>
    </row>
    <row r="9" customFormat="false" ht="15" hidden="false" customHeight="false" outlineLevel="0" collapsed="false">
      <c r="B9" s="3" t="s">
        <v>8</v>
      </c>
    </row>
    <row r="10" customFormat="false" ht="15" hidden="false" customHeight="true" outlineLevel="0" collapsed="false">
      <c r="B10" s="4" t="s">
        <v>9</v>
      </c>
    </row>
    <row r="11" customFormat="false" ht="15" hidden="false" customHeight="true" outlineLevel="0" collapsed="false">
      <c r="B11" s="4" t="s">
        <v>10</v>
      </c>
    </row>
    <row r="12" customFormat="false" ht="15" hidden="false" customHeight="true" outlineLevel="0" collapsed="false">
      <c r="B12" s="4" t="s">
        <v>11</v>
      </c>
    </row>
    <row r="13" customFormat="false" ht="15" hidden="false" customHeight="true" outlineLevel="0" collapsed="false">
      <c r="B13" s="4" t="s">
        <v>12</v>
      </c>
    </row>
    <row r="14" customFormat="false" ht="15" hidden="false" customHeight="true" outlineLevel="0" collapsed="false">
      <c r="B14" s="4" t="s">
        <v>13</v>
      </c>
    </row>
    <row r="15" customFormat="false" ht="15" hidden="false" customHeight="false" outlineLevel="0" collapsed="false">
      <c r="B15" s="3" t="s">
        <v>14</v>
      </c>
    </row>
    <row r="16" customFormat="false" ht="15" hidden="false" customHeight="true" outlineLevel="0" collapsed="false">
      <c r="B16" s="5" t="s">
        <v>15</v>
      </c>
    </row>
    <row r="17" customFormat="false" ht="30" hidden="false" customHeight="true" outlineLevel="0" collapsed="false">
      <c r="B17" s="5" t="s">
        <v>16</v>
      </c>
    </row>
    <row r="18" customFormat="false" ht="15" hidden="false" customHeight="true" outlineLevel="0" collapsed="false">
      <c r="B18" s="5" t="s">
        <v>17</v>
      </c>
    </row>
    <row r="19" customFormat="false" ht="15" hidden="false" customHeight="true" outlineLevel="0" collapsed="false">
      <c r="B19" s="5" t="s">
        <v>18</v>
      </c>
    </row>
    <row r="20" customFormat="false" ht="15" hidden="false" customHeight="true" outlineLevel="0" collapsed="false">
      <c r="B20" s="5" t="s">
        <v>19</v>
      </c>
    </row>
    <row r="21" customFormat="false" ht="15" hidden="false" customHeight="true" outlineLevel="0" collapsed="false">
      <c r="B21" s="5" t="s">
        <v>20</v>
      </c>
    </row>
    <row r="22" customFormat="false" ht="15" hidden="false" customHeight="true" outlineLevel="0" collapsed="false">
      <c r="B22" s="5" t="s">
        <v>21</v>
      </c>
    </row>
    <row r="23" customFormat="false" ht="15" hidden="false" customHeight="true" outlineLevel="0" collapsed="false">
      <c r="B23" s="5" t="s">
        <v>22</v>
      </c>
    </row>
    <row r="24" customFormat="false" ht="15" hidden="false" customHeight="false" outlineLevel="0" collapsed="false">
      <c r="B24" s="3" t="s">
        <v>23</v>
      </c>
    </row>
    <row r="25" customFormat="false" ht="15" hidden="false" customHeight="true" outlineLevel="0" collapsed="false">
      <c r="B25" s="4" t="s">
        <v>24</v>
      </c>
    </row>
    <row r="26" customFormat="false" ht="15" hidden="false" customHeight="true" outlineLevel="0" collapsed="false">
      <c r="B26" s="4" t="s">
        <v>25</v>
      </c>
    </row>
    <row r="27" customFormat="false" ht="15" hidden="false" customHeight="true" outlineLevel="0" collapsed="false">
      <c r="B27" s="4" t="s">
        <v>26</v>
      </c>
    </row>
    <row r="28" customFormat="false" ht="15" hidden="false" customHeight="false" outlineLevel="0" collapsed="false">
      <c r="B28" s="3" t="s">
        <v>27</v>
      </c>
    </row>
    <row r="29" customFormat="false" ht="30" hidden="false" customHeight="true" outlineLevel="0" collapsed="false">
      <c r="B29" s="4" t="s">
        <v>28</v>
      </c>
    </row>
    <row r="30" customFormat="false" ht="15" hidden="false" customHeight="false" outlineLevel="0" collapsed="false">
      <c r="B30" s="3" t="s">
        <v>29</v>
      </c>
    </row>
    <row r="31" customFormat="false" ht="15" hidden="false" customHeight="true" outlineLevel="0" collapsed="false">
      <c r="B31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6" t="s">
        <v>31</v>
      </c>
    </row>
    <row r="2" customFormat="false" ht="15" hidden="false" customHeight="false" outlineLevel="0" collapsed="false">
      <c r="A2" s="7" t="s">
        <v>32</v>
      </c>
    </row>
    <row r="4" customFormat="false" ht="15" hidden="false" customHeight="false" outlineLevel="0" collapsed="false">
      <c r="B4" s="8" t="s">
        <v>33</v>
      </c>
      <c r="C4" s="9" t="s">
        <v>34</v>
      </c>
    </row>
    <row r="5" customFormat="false" ht="37.5" hidden="false" customHeight="true" outlineLevel="0" collapsed="false">
      <c r="B5" s="10" t="s">
        <v>35</v>
      </c>
      <c r="C5" s="10"/>
      <c r="D5" s="10"/>
    </row>
    <row r="7" customFormat="false" ht="15" hidden="false" customHeight="false" outlineLevel="0" collapsed="false">
      <c r="A7" s="11" t="s">
        <v>36</v>
      </c>
      <c r="B7" s="11" t="s">
        <v>37</v>
      </c>
      <c r="C7" s="11" t="s">
        <v>38</v>
      </c>
    </row>
    <row r="8" customFormat="false" ht="15" hidden="false" customHeight="false" outlineLevel="0" collapsed="false">
      <c r="A8" s="12" t="n">
        <v>1</v>
      </c>
      <c r="B8" s="9" t="n">
        <v>1</v>
      </c>
      <c r="C8" s="13" t="s">
        <v>39</v>
      </c>
    </row>
    <row r="9" customFormat="false" ht="15" hidden="false" customHeight="false" outlineLevel="0" collapsed="false">
      <c r="A9" s="12" t="n">
        <v>2</v>
      </c>
      <c r="B9" s="9" t="n">
        <v>2</v>
      </c>
      <c r="C9" s="13" t="s">
        <v>40</v>
      </c>
    </row>
    <row r="10" customFormat="false" ht="15" hidden="false" customHeight="false" outlineLevel="0" collapsed="false">
      <c r="A10" s="12" t="n">
        <v>3</v>
      </c>
      <c r="B10" s="9" t="n">
        <v>3</v>
      </c>
      <c r="C10" s="13" t="s">
        <v>41</v>
      </c>
    </row>
    <row r="11" customFormat="false" ht="15" hidden="false" customHeight="false" outlineLevel="0" collapsed="false">
      <c r="A11" s="12" t="n">
        <v>4</v>
      </c>
      <c r="B11" s="9" t="n">
        <v>4</v>
      </c>
      <c r="C11" s="13" t="s">
        <v>42</v>
      </c>
    </row>
    <row r="12" customFormat="false" ht="15" hidden="false" customHeight="false" outlineLevel="0" collapsed="false">
      <c r="A12" s="12" t="n">
        <v>5</v>
      </c>
      <c r="B12" s="9" t="n">
        <v>5</v>
      </c>
      <c r="C12" s="13" t="s">
        <v>43</v>
      </c>
    </row>
    <row r="13" customFormat="false" ht="15" hidden="false" customHeight="false" outlineLevel="0" collapsed="false">
      <c r="A13" s="12" t="n">
        <v>6</v>
      </c>
      <c r="B13" s="9"/>
      <c r="C13" s="13"/>
    </row>
    <row r="14" customFormat="false" ht="15" hidden="false" customHeight="false" outlineLevel="0" collapsed="false">
      <c r="A14" s="12" t="n">
        <v>7</v>
      </c>
      <c r="B14" s="9"/>
      <c r="C14" s="13"/>
    </row>
    <row r="15" customFormat="false" ht="15" hidden="false" customHeight="false" outlineLevel="0" collapsed="false">
      <c r="A15" s="12" t="n">
        <v>8</v>
      </c>
      <c r="B15" s="9"/>
      <c r="C15" s="13"/>
    </row>
    <row r="16" customFormat="false" ht="15" hidden="false" customHeight="false" outlineLevel="0" collapsed="false">
      <c r="A16" s="12" t="n">
        <v>9</v>
      </c>
      <c r="B16" s="9"/>
      <c r="C16" s="13"/>
    </row>
    <row r="17" customFormat="false" ht="15" hidden="false" customHeight="false" outlineLevel="0" collapsed="false">
      <c r="A17" s="12" t="n">
        <v>10</v>
      </c>
      <c r="B17" s="9"/>
      <c r="C17" s="13"/>
    </row>
    <row r="18" customFormat="false" ht="15" hidden="false" customHeight="false" outlineLevel="0" collapsed="false">
      <c r="A18" s="12" t="n">
        <v>11</v>
      </c>
      <c r="B18" s="9"/>
      <c r="C18" s="13"/>
    </row>
    <row r="19" customFormat="false" ht="15" hidden="false" customHeight="false" outlineLevel="0" collapsed="false">
      <c r="A19" s="12" t="n">
        <v>12</v>
      </c>
      <c r="B19" s="9"/>
      <c r="C19" s="13"/>
    </row>
    <row r="20" customFormat="false" ht="15" hidden="false" customHeight="false" outlineLevel="0" collapsed="false">
      <c r="A20" s="12" t="n">
        <v>13</v>
      </c>
      <c r="B20" s="9"/>
      <c r="C20" s="13"/>
    </row>
    <row r="21" customFormat="false" ht="15" hidden="false" customHeight="false" outlineLevel="0" collapsed="false">
      <c r="A21" s="12" t="n">
        <v>14</v>
      </c>
      <c r="B21" s="9"/>
      <c r="C21" s="13"/>
    </row>
    <row r="22" customFormat="false" ht="15" hidden="false" customHeight="false" outlineLevel="0" collapsed="false">
      <c r="A22" s="12" t="n">
        <v>15</v>
      </c>
      <c r="B22" s="9"/>
      <c r="C22" s="13"/>
    </row>
    <row r="23" customFormat="false" ht="15" hidden="false" customHeight="false" outlineLevel="0" collapsed="false">
      <c r="A23" s="12" t="n">
        <v>16</v>
      </c>
      <c r="B23" s="9"/>
      <c r="C23" s="13"/>
    </row>
    <row r="24" customFormat="false" ht="15" hidden="false" customHeight="false" outlineLevel="0" collapsed="false">
      <c r="A24" s="12" t="n">
        <v>17</v>
      </c>
      <c r="B24" s="9"/>
      <c r="C24" s="13"/>
    </row>
    <row r="25" customFormat="false" ht="15" hidden="false" customHeight="false" outlineLevel="0" collapsed="false">
      <c r="A25" s="12" t="n">
        <v>18</v>
      </c>
      <c r="B25" s="9"/>
      <c r="C25" s="13"/>
    </row>
    <row r="26" customFormat="false" ht="15" hidden="false" customHeight="false" outlineLevel="0" collapsed="false">
      <c r="A26" s="12" t="n">
        <v>19</v>
      </c>
      <c r="B26" s="9"/>
      <c r="C26" s="13"/>
    </row>
    <row r="27" customFormat="false" ht="15" hidden="false" customHeight="false" outlineLevel="0" collapsed="false">
      <c r="A27" s="12" t="n">
        <v>20</v>
      </c>
      <c r="B27" s="9"/>
      <c r="C27" s="13"/>
    </row>
  </sheetData>
  <mergeCells count="1">
    <mergeCell ref="B5:D5"/>
  </mergeCells>
  <dataValidations count="1">
    <dataValidation allowBlank="false" error="Pilih Nominal atau Ordinal" errorStyle="stop" operator="between" showDropDown="false" showErrorMessage="false" showInputMessage="false" sqref="C4" type="list">
      <formula1>"Nominal,Ordinal"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1" min="2" style="0" width="10"/>
  </cols>
  <sheetData>
    <row r="1" customFormat="false" ht="17.35" hidden="false" customHeight="false" outlineLevel="0" collapsed="false">
      <c r="A1" s="6" t="s">
        <v>44</v>
      </c>
    </row>
    <row r="2" customFormat="false" ht="15" hidden="false" customHeight="false" outlineLevel="0" collapsed="false">
      <c r="A2" s="7" t="s">
        <v>45</v>
      </c>
    </row>
    <row r="3" customFormat="false" ht="15" hidden="false" customHeight="false" outlineLevel="0" collapsed="false">
      <c r="A3" s="7" t="s">
        <v>46</v>
      </c>
    </row>
    <row r="5" customFormat="false" ht="15" hidden="false" customHeight="false" outlineLevel="0" collapsed="false">
      <c r="A5" s="11" t="s">
        <v>47</v>
      </c>
      <c r="B5" s="11" t="s">
        <v>48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57</v>
      </c>
      <c r="L5" s="11" t="s">
        <v>58</v>
      </c>
      <c r="M5" s="11" t="s">
        <v>59</v>
      </c>
      <c r="N5" s="11" t="s">
        <v>60</v>
      </c>
      <c r="O5" s="11" t="s">
        <v>61</v>
      </c>
      <c r="P5" s="11" t="s">
        <v>62</v>
      </c>
      <c r="Q5" s="11" t="s">
        <v>63</v>
      </c>
      <c r="R5" s="11" t="s">
        <v>64</v>
      </c>
      <c r="S5" s="11" t="s">
        <v>65</v>
      </c>
      <c r="T5" s="11" t="s">
        <v>66</v>
      </c>
      <c r="U5" s="11" t="s">
        <v>67</v>
      </c>
    </row>
    <row r="6" customFormat="false" ht="15" hidden="false" customHeight="false" outlineLevel="0" collapsed="false">
      <c r="A6" s="12" t="n">
        <v>1</v>
      </c>
      <c r="B6" s="9" t="n">
        <v>3</v>
      </c>
      <c r="C6" s="9" t="n">
        <v>4</v>
      </c>
      <c r="D6" s="9" t="n">
        <v>3</v>
      </c>
      <c r="E6" s="9" t="n">
        <v>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5" hidden="false" customHeight="false" outlineLevel="0" collapsed="false">
      <c r="A7" s="12" t="n">
        <v>2</v>
      </c>
      <c r="B7" s="9" t="n">
        <v>5</v>
      </c>
      <c r="C7" s="9" t="n">
        <v>5</v>
      </c>
      <c r="D7" s="9" t="n">
        <v>3</v>
      </c>
      <c r="E7" s="9" t="n">
        <v>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A8" s="12" t="n">
        <v>3</v>
      </c>
      <c r="B8" s="9" t="n">
        <v>5</v>
      </c>
      <c r="C8" s="9" t="n">
        <v>5</v>
      </c>
      <c r="D8" s="9" t="n">
        <v>5</v>
      </c>
      <c r="E8" s="9" t="n">
        <v>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A9" s="12" t="n">
        <v>4</v>
      </c>
      <c r="B9" s="9" t="n">
        <v>4</v>
      </c>
      <c r="C9" s="9" t="n">
        <v>4</v>
      </c>
      <c r="D9" s="9" t="n">
        <v>4</v>
      </c>
      <c r="E9" s="9" t="n">
        <v>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5" hidden="false" customHeight="false" outlineLevel="0" collapsed="false">
      <c r="A10" s="12" t="n">
        <v>5</v>
      </c>
      <c r="B10" s="9" t="n">
        <v>4</v>
      </c>
      <c r="C10" s="9" t="n">
        <v>5</v>
      </c>
      <c r="D10" s="9" t="n">
        <v>2</v>
      </c>
      <c r="E10" s="9" t="n">
        <v>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5" hidden="false" customHeight="false" outlineLevel="0" collapsed="false">
      <c r="A11" s="12" t="n">
        <v>6</v>
      </c>
      <c r="B11" s="9" t="n">
        <v>2</v>
      </c>
      <c r="C11" s="9" t="n">
        <v>2</v>
      </c>
      <c r="D11" s="9" t="n">
        <v>1</v>
      </c>
      <c r="E11" s="9" t="n">
        <v>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5" hidden="false" customHeight="false" outlineLevel="0" collapsed="false">
      <c r="A12" s="12" t="n">
        <v>7</v>
      </c>
      <c r="B12" s="9" t="n">
        <v>4</v>
      </c>
      <c r="C12" s="9" t="n">
        <v>5</v>
      </c>
      <c r="D12" s="9" t="n">
        <v>5</v>
      </c>
      <c r="E12" s="9" t="n">
        <v>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5" hidden="false" customHeight="false" outlineLevel="0" collapsed="false">
      <c r="A13" s="12" t="n">
        <v>8</v>
      </c>
      <c r="B13" s="9" t="n">
        <v>1</v>
      </c>
      <c r="C13" s="9" t="n">
        <v>2</v>
      </c>
      <c r="D13" s="9" t="n">
        <v>1</v>
      </c>
      <c r="E13" s="9" t="n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5" hidden="false" customHeight="false" outlineLevel="0" collapsed="false">
      <c r="A14" s="12" t="n">
        <v>9</v>
      </c>
      <c r="B14" s="9" t="n">
        <v>4</v>
      </c>
      <c r="C14" s="9" t="n">
        <v>3</v>
      </c>
      <c r="D14" s="9" t="n">
        <v>4</v>
      </c>
      <c r="E14" s="9" t="n">
        <v>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5" hidden="false" customHeight="false" outlineLevel="0" collapsed="false">
      <c r="A15" s="12" t="n">
        <v>10</v>
      </c>
      <c r="B15" s="9" t="n">
        <v>2</v>
      </c>
      <c r="C15" s="9" t="n">
        <v>4</v>
      </c>
      <c r="D15" s="9" t="n">
        <v>3</v>
      </c>
      <c r="E15" s="9" t="n">
        <v>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5" hidden="false" customHeight="false" outlineLevel="0" collapsed="false">
      <c r="A16" s="12" t="n">
        <v>11</v>
      </c>
      <c r="B16" s="9" t="n">
        <v>4</v>
      </c>
      <c r="C16" s="9" t="n">
        <v>5</v>
      </c>
      <c r="D16" s="9" t="n">
        <v>5</v>
      </c>
      <c r="E16" s="9" t="n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5" hidden="false" customHeight="false" outlineLevel="0" collapsed="false">
      <c r="A17" s="12" t="n">
        <v>12</v>
      </c>
      <c r="B17" s="9" t="n">
        <v>1</v>
      </c>
      <c r="C17" s="9" t="n">
        <v>1</v>
      </c>
      <c r="D17" s="9" t="n">
        <v>1</v>
      </c>
      <c r="E17" s="9" t="n">
        <v>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5" hidden="false" customHeight="false" outlineLevel="0" collapsed="false">
      <c r="A18" s="12" t="n">
        <v>13</v>
      </c>
      <c r="B18" s="9" t="n">
        <v>1</v>
      </c>
      <c r="C18" s="9" t="n">
        <v>1</v>
      </c>
      <c r="D18" s="9" t="n">
        <v>1</v>
      </c>
      <c r="E18" s="9" t="n">
        <v>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5" hidden="false" customHeight="false" outlineLevel="0" collapsed="false">
      <c r="A19" s="12" t="n">
        <v>14</v>
      </c>
      <c r="B19" s="9" t="n">
        <v>5</v>
      </c>
      <c r="C19" s="9" t="n">
        <v>4</v>
      </c>
      <c r="D19" s="9" t="n">
        <v>3</v>
      </c>
      <c r="E19" s="9" t="n">
        <v>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5" hidden="false" customHeight="false" outlineLevel="0" collapsed="false">
      <c r="A20" s="12" t="n">
        <v>15</v>
      </c>
      <c r="B20" s="9" t="n">
        <v>4</v>
      </c>
      <c r="C20" s="9" t="n">
        <v>4</v>
      </c>
      <c r="D20" s="9" t="n">
        <v>5</v>
      </c>
      <c r="E20" s="9" t="n">
        <v>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5" hidden="false" customHeight="false" outlineLevel="0" collapsed="false">
      <c r="A21" s="12" t="n">
        <v>16</v>
      </c>
      <c r="B21" s="9" t="n">
        <v>2</v>
      </c>
      <c r="C21" s="9" t="n">
        <v>1</v>
      </c>
      <c r="D21" s="9" t="n">
        <v>1</v>
      </c>
      <c r="E21" s="9" t="n">
        <v>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5" hidden="false" customHeight="false" outlineLevel="0" collapsed="false">
      <c r="A22" s="12" t="n">
        <v>17</v>
      </c>
      <c r="B22" s="9" t="n">
        <v>4</v>
      </c>
      <c r="C22" s="9" t="n">
        <v>4</v>
      </c>
      <c r="D22" s="9" t="n">
        <v>3</v>
      </c>
      <c r="E22" s="9" t="n">
        <v>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5" hidden="false" customHeight="false" outlineLevel="0" collapsed="false">
      <c r="A23" s="12" t="n">
        <v>18</v>
      </c>
      <c r="B23" s="9" t="n">
        <v>5</v>
      </c>
      <c r="C23" s="9" t="n">
        <v>5</v>
      </c>
      <c r="D23" s="9" t="n">
        <v>5</v>
      </c>
      <c r="E23" s="9" t="n">
        <v>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5" hidden="false" customHeight="false" outlineLevel="0" collapsed="false">
      <c r="A24" s="12" t="n">
        <v>19</v>
      </c>
      <c r="B24" s="9" t="n">
        <v>3</v>
      </c>
      <c r="C24" s="9" t="n">
        <v>2</v>
      </c>
      <c r="D24" s="9" t="n">
        <v>2</v>
      </c>
      <c r="E24" s="9" t="n">
        <v>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5" hidden="false" customHeight="false" outlineLevel="0" collapsed="false">
      <c r="A25" s="12" t="n">
        <v>20</v>
      </c>
      <c r="B25" s="9" t="n">
        <v>4</v>
      </c>
      <c r="C25" s="9" t="n">
        <v>4</v>
      </c>
      <c r="D25" s="9" t="n">
        <v>4</v>
      </c>
      <c r="E25" s="9" t="n">
        <v>5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5" hidden="false" customHeight="false" outlineLevel="0" collapsed="false">
      <c r="A26" s="12" t="n">
        <v>21</v>
      </c>
      <c r="B26" s="9" t="n">
        <v>5</v>
      </c>
      <c r="C26" s="9" t="n">
        <v>5</v>
      </c>
      <c r="D26" s="9" t="n">
        <v>5</v>
      </c>
      <c r="E26" s="9" t="n">
        <v>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customFormat="false" ht="15" hidden="false" customHeight="false" outlineLevel="0" collapsed="false">
      <c r="A27" s="12" t="n">
        <v>22</v>
      </c>
      <c r="B27" s="9" t="n">
        <v>2</v>
      </c>
      <c r="C27" s="9" t="n">
        <v>4</v>
      </c>
      <c r="D27" s="9" t="n">
        <v>1</v>
      </c>
      <c r="E27" s="9" t="n">
        <v>2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5" hidden="false" customHeight="false" outlineLevel="0" collapsed="false">
      <c r="A28" s="12" t="n">
        <v>23</v>
      </c>
      <c r="B28" s="9" t="n">
        <v>2</v>
      </c>
      <c r="C28" s="9" t="n">
        <v>1</v>
      </c>
      <c r="D28" s="9" t="n">
        <v>1</v>
      </c>
      <c r="E28" s="9" t="n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customFormat="false" ht="15" hidden="false" customHeight="false" outlineLevel="0" collapsed="false">
      <c r="A29" s="12" t="n">
        <v>24</v>
      </c>
      <c r="B29" s="9" t="n">
        <v>1</v>
      </c>
      <c r="C29" s="9" t="n">
        <v>1</v>
      </c>
      <c r="D29" s="9" t="n">
        <v>1</v>
      </c>
      <c r="E29" s="9" t="n">
        <v>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5" hidden="false" customHeight="false" outlineLevel="0" collapsed="false">
      <c r="A30" s="12" t="n">
        <v>25</v>
      </c>
      <c r="B30" s="9" t="n">
        <v>4</v>
      </c>
      <c r="C30" s="9" t="n">
        <v>4</v>
      </c>
      <c r="D30" s="9" t="n">
        <v>5</v>
      </c>
      <c r="E30" s="9" t="n">
        <v>4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customFormat="false" ht="15" hidden="false" customHeight="false" outlineLevel="0" collapsed="false">
      <c r="A31" s="12" t="n">
        <v>26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5" hidden="false" customHeight="false" outlineLevel="0" collapsed="false">
      <c r="A32" s="12" t="n">
        <v>27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customFormat="false" ht="15" hidden="false" customHeight="false" outlineLevel="0" collapsed="false">
      <c r="A33" s="12" t="n">
        <v>28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5" hidden="false" customHeight="false" outlineLevel="0" collapsed="false">
      <c r="A34" s="12" t="n">
        <v>29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customFormat="false" ht="15" hidden="false" customHeight="false" outlineLevel="0" collapsed="false">
      <c r="A35" s="12" t="n">
        <v>30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5" hidden="false" customHeight="false" outlineLevel="0" collapsed="false">
      <c r="A36" s="12" t="n">
        <v>31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customFormat="false" ht="15" hidden="false" customHeight="false" outlineLevel="0" collapsed="false">
      <c r="A37" s="12" t="n">
        <v>32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5" hidden="false" customHeight="false" outlineLevel="0" collapsed="false">
      <c r="A38" s="12" t="n">
        <v>33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customFormat="false" ht="15" hidden="false" customHeight="false" outlineLevel="0" collapsed="false">
      <c r="A39" s="12" t="n">
        <v>34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5" hidden="false" customHeight="false" outlineLevel="0" collapsed="false">
      <c r="A40" s="12" t="n">
        <v>35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customFormat="false" ht="15" hidden="false" customHeight="false" outlineLevel="0" collapsed="false">
      <c r="A41" s="12" t="n">
        <v>36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5" hidden="false" customHeight="false" outlineLevel="0" collapsed="false">
      <c r="A42" s="12" t="n">
        <v>37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customFormat="false" ht="15" hidden="false" customHeight="false" outlineLevel="0" collapsed="false">
      <c r="A43" s="12" t="n">
        <v>38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customFormat="false" ht="15" hidden="false" customHeight="false" outlineLevel="0" collapsed="false">
      <c r="A44" s="12" t="n">
        <v>39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customFormat="false" ht="15" hidden="false" customHeight="false" outlineLevel="0" collapsed="false">
      <c r="A45" s="12" t="n">
        <v>40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customFormat="false" ht="15" hidden="false" customHeight="false" outlineLevel="0" collapsed="false">
      <c r="A46" s="12" t="n">
        <v>41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customFormat="false" ht="15" hidden="false" customHeight="false" outlineLevel="0" collapsed="false">
      <c r="A47" s="12" t="n">
        <v>42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customFormat="false" ht="15" hidden="false" customHeight="false" outlineLevel="0" collapsed="false">
      <c r="A48" s="12" t="n">
        <v>43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customFormat="false" ht="15" hidden="false" customHeight="false" outlineLevel="0" collapsed="false">
      <c r="A49" s="12" t="n">
        <v>44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customFormat="false" ht="15" hidden="false" customHeight="false" outlineLevel="0" collapsed="false">
      <c r="A50" s="12" t="n">
        <v>45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customFormat="false" ht="15" hidden="false" customHeight="false" outlineLevel="0" collapsed="false">
      <c r="A51" s="12" t="n">
        <v>46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customFormat="false" ht="15" hidden="false" customHeight="false" outlineLevel="0" collapsed="false">
      <c r="A52" s="12" t="n">
        <v>47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customFormat="false" ht="15" hidden="false" customHeight="false" outlineLevel="0" collapsed="false">
      <c r="A53" s="12" t="n">
        <v>48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customFormat="false" ht="15" hidden="false" customHeight="false" outlineLevel="0" collapsed="false">
      <c r="A54" s="12" t="n">
        <v>49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customFormat="false" ht="15" hidden="false" customHeight="false" outlineLevel="0" collapsed="false">
      <c r="A55" s="12" t="n">
        <v>50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customFormat="false" ht="15" hidden="false" customHeight="false" outlineLevel="0" collapsed="false">
      <c r="A56" s="12" t="n">
        <v>51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customFormat="false" ht="15" hidden="false" customHeight="false" outlineLevel="0" collapsed="false">
      <c r="A57" s="12" t="n">
        <v>52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customFormat="false" ht="15" hidden="false" customHeight="false" outlineLevel="0" collapsed="false">
      <c r="A58" s="12" t="n">
        <v>53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customFormat="false" ht="15" hidden="false" customHeight="false" outlineLevel="0" collapsed="false">
      <c r="A59" s="12" t="n">
        <v>54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customFormat="false" ht="15" hidden="false" customHeight="false" outlineLevel="0" collapsed="false">
      <c r="A60" s="12" t="n">
        <v>55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customFormat="false" ht="15" hidden="false" customHeight="false" outlineLevel="0" collapsed="false">
      <c r="A61" s="12" t="n">
        <v>56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customFormat="false" ht="15" hidden="false" customHeight="false" outlineLevel="0" collapsed="false">
      <c r="A62" s="12" t="n">
        <v>57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customFormat="false" ht="15" hidden="false" customHeight="false" outlineLevel="0" collapsed="false">
      <c r="A63" s="12" t="n">
        <v>58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customFormat="false" ht="15" hidden="false" customHeight="false" outlineLevel="0" collapsed="false">
      <c r="A64" s="12" t="n">
        <v>59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customFormat="false" ht="15" hidden="false" customHeight="false" outlineLevel="0" collapsed="false">
      <c r="A65" s="12" t="n">
        <v>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customFormat="false" ht="15" hidden="false" customHeight="false" outlineLevel="0" collapsed="false">
      <c r="A66" s="12" t="n">
        <v>61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customFormat="false" ht="15" hidden="false" customHeight="false" outlineLevel="0" collapsed="false">
      <c r="A67" s="12" t="n">
        <v>62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customFormat="false" ht="15" hidden="false" customHeight="false" outlineLevel="0" collapsed="false">
      <c r="A68" s="12" t="n">
        <v>63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customFormat="false" ht="15" hidden="false" customHeight="false" outlineLevel="0" collapsed="false">
      <c r="A69" s="12" t="n">
        <v>64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customFormat="false" ht="15" hidden="false" customHeight="false" outlineLevel="0" collapsed="false">
      <c r="A70" s="12" t="n">
        <v>65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customFormat="false" ht="15" hidden="false" customHeight="false" outlineLevel="0" collapsed="false">
      <c r="A71" s="12" t="n">
        <v>66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customFormat="false" ht="15" hidden="false" customHeight="false" outlineLevel="0" collapsed="false">
      <c r="A72" s="12" t="n">
        <v>67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customFormat="false" ht="15" hidden="false" customHeight="false" outlineLevel="0" collapsed="false">
      <c r="A73" s="12" t="n">
        <v>68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customFormat="false" ht="15" hidden="false" customHeight="false" outlineLevel="0" collapsed="false">
      <c r="A74" s="12" t="n">
        <v>69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customFormat="false" ht="15" hidden="false" customHeight="false" outlineLevel="0" collapsed="false">
      <c r="A75" s="12" t="n">
        <v>70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customFormat="false" ht="15" hidden="false" customHeight="false" outlineLevel="0" collapsed="false">
      <c r="A76" s="12" t="n">
        <v>71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customFormat="false" ht="15" hidden="false" customHeight="false" outlineLevel="0" collapsed="false">
      <c r="A77" s="12" t="n">
        <v>72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customFormat="false" ht="15" hidden="false" customHeight="false" outlineLevel="0" collapsed="false">
      <c r="A78" s="12" t="n">
        <v>73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customFormat="false" ht="15" hidden="false" customHeight="false" outlineLevel="0" collapsed="false">
      <c r="A79" s="12" t="n">
        <v>74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customFormat="false" ht="15" hidden="false" customHeight="false" outlineLevel="0" collapsed="false">
      <c r="A80" s="12" t="n">
        <v>75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customFormat="false" ht="15" hidden="false" customHeight="false" outlineLevel="0" collapsed="false">
      <c r="A81" s="12" t="n">
        <v>76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customFormat="false" ht="15" hidden="false" customHeight="false" outlineLevel="0" collapsed="false">
      <c r="A82" s="12" t="n">
        <v>77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customFormat="false" ht="15" hidden="false" customHeight="false" outlineLevel="0" collapsed="false">
      <c r="A83" s="12" t="n">
        <v>78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customFormat="false" ht="15" hidden="false" customHeight="false" outlineLevel="0" collapsed="false">
      <c r="A84" s="12" t="n">
        <v>79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customFormat="false" ht="15" hidden="false" customHeight="false" outlineLevel="0" collapsed="false">
      <c r="A85" s="12" t="n">
        <v>80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customFormat="false" ht="15" hidden="false" customHeight="false" outlineLevel="0" collapsed="false">
      <c r="A86" s="12" t="n">
        <v>81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customFormat="false" ht="15" hidden="false" customHeight="false" outlineLevel="0" collapsed="false">
      <c r="A87" s="12" t="n">
        <v>82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customFormat="false" ht="15" hidden="false" customHeight="false" outlineLevel="0" collapsed="false">
      <c r="A88" s="12" t="n">
        <v>83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customFormat="false" ht="15" hidden="false" customHeight="false" outlineLevel="0" collapsed="false">
      <c r="A89" s="12" t="n">
        <v>84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customFormat="false" ht="15" hidden="false" customHeight="false" outlineLevel="0" collapsed="false">
      <c r="A90" s="12" t="n">
        <v>85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customFormat="false" ht="15" hidden="false" customHeight="false" outlineLevel="0" collapsed="false">
      <c r="A91" s="12" t="n">
        <v>86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customFormat="false" ht="15" hidden="false" customHeight="false" outlineLevel="0" collapsed="false">
      <c r="A92" s="12" t="n">
        <v>87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customFormat="false" ht="15" hidden="false" customHeight="false" outlineLevel="0" collapsed="false">
      <c r="A93" s="12" t="n">
        <v>88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customFormat="false" ht="15" hidden="false" customHeight="false" outlineLevel="0" collapsed="false">
      <c r="A94" s="12" t="n">
        <v>89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customFormat="false" ht="15" hidden="false" customHeight="false" outlineLevel="0" collapsed="false">
      <c r="A95" s="12" t="n">
        <v>90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customFormat="false" ht="15" hidden="false" customHeight="false" outlineLevel="0" collapsed="false">
      <c r="A96" s="12" t="n">
        <v>91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customFormat="false" ht="15" hidden="false" customHeight="false" outlineLevel="0" collapsed="false">
      <c r="A97" s="12" t="n">
        <v>92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customFormat="false" ht="15" hidden="false" customHeight="false" outlineLevel="0" collapsed="false">
      <c r="A98" s="12" t="n">
        <v>93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customFormat="false" ht="15" hidden="false" customHeight="false" outlineLevel="0" collapsed="false">
      <c r="A99" s="12" t="n">
        <v>94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customFormat="false" ht="15" hidden="false" customHeight="false" outlineLevel="0" collapsed="false">
      <c r="A100" s="12" t="n">
        <v>95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customFormat="false" ht="15" hidden="false" customHeight="false" outlineLevel="0" collapsed="false">
      <c r="A101" s="12" t="n">
        <v>96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customFormat="false" ht="15" hidden="false" customHeight="false" outlineLevel="0" collapsed="false">
      <c r="A102" s="12" t="n">
        <v>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customFormat="false" ht="15" hidden="false" customHeight="false" outlineLevel="0" collapsed="false">
      <c r="A103" s="12" t="n">
        <v>98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customFormat="false" ht="15" hidden="false" customHeight="false" outlineLevel="0" collapsed="false">
      <c r="A104" s="12" t="n">
        <v>99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customFormat="false" ht="15" hidden="false" customHeight="false" outlineLevel="0" collapsed="false">
      <c r="A105" s="12" t="n">
        <v>100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customFormat="false" ht="15" hidden="false" customHeight="false" outlineLevel="0" collapsed="false">
      <c r="A106" s="12" t="n">
        <v>101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customFormat="false" ht="15" hidden="false" customHeight="false" outlineLevel="0" collapsed="false">
      <c r="A107" s="12" t="n">
        <v>102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customFormat="false" ht="15" hidden="false" customHeight="false" outlineLevel="0" collapsed="false">
      <c r="A108" s="12" t="n">
        <v>103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customFormat="false" ht="15" hidden="false" customHeight="false" outlineLevel="0" collapsed="false">
      <c r="A109" s="12" t="n">
        <v>104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customFormat="false" ht="15" hidden="false" customHeight="false" outlineLevel="0" collapsed="false">
      <c r="A110" s="12" t="n">
        <v>105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customFormat="false" ht="15" hidden="false" customHeight="false" outlineLevel="0" collapsed="false">
      <c r="A111" s="12" t="n">
        <v>106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customFormat="false" ht="15" hidden="false" customHeight="false" outlineLevel="0" collapsed="false">
      <c r="A112" s="12" t="n">
        <v>107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customFormat="false" ht="15" hidden="false" customHeight="false" outlineLevel="0" collapsed="false">
      <c r="A113" s="12" t="n">
        <v>108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customFormat="false" ht="15" hidden="false" customHeight="false" outlineLevel="0" collapsed="false">
      <c r="A114" s="12" t="n">
        <v>109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customFormat="false" ht="15" hidden="false" customHeight="false" outlineLevel="0" collapsed="false">
      <c r="A115" s="12" t="n">
        <v>110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customFormat="false" ht="15" hidden="false" customHeight="false" outlineLevel="0" collapsed="false">
      <c r="A116" s="12" t="n">
        <v>111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customFormat="false" ht="15" hidden="false" customHeight="false" outlineLevel="0" collapsed="false">
      <c r="A117" s="12" t="n">
        <v>112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customFormat="false" ht="15" hidden="false" customHeight="false" outlineLevel="0" collapsed="false">
      <c r="A118" s="12" t="n">
        <v>113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customFormat="false" ht="15" hidden="false" customHeight="false" outlineLevel="0" collapsed="false">
      <c r="A119" s="12" t="n">
        <v>114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customFormat="false" ht="15" hidden="false" customHeight="false" outlineLevel="0" collapsed="false">
      <c r="A120" s="12" t="n">
        <v>115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customFormat="false" ht="15" hidden="false" customHeight="false" outlineLevel="0" collapsed="false">
      <c r="A121" s="12" t="n">
        <v>116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customFormat="false" ht="15" hidden="false" customHeight="false" outlineLevel="0" collapsed="false">
      <c r="A122" s="12" t="n">
        <v>117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customFormat="false" ht="15" hidden="false" customHeight="false" outlineLevel="0" collapsed="false">
      <c r="A123" s="12" t="n">
        <v>118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customFormat="false" ht="15" hidden="false" customHeight="false" outlineLevel="0" collapsed="false">
      <c r="A124" s="12" t="n">
        <v>119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customFormat="false" ht="15" hidden="false" customHeight="false" outlineLevel="0" collapsed="false">
      <c r="A125" s="12" t="n">
        <v>120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customFormat="false" ht="15" hidden="false" customHeight="false" outlineLevel="0" collapsed="false">
      <c r="A126" s="12" t="n">
        <v>121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customFormat="false" ht="15" hidden="false" customHeight="false" outlineLevel="0" collapsed="false">
      <c r="A127" s="12" t="n">
        <v>122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customFormat="false" ht="15" hidden="false" customHeight="false" outlineLevel="0" collapsed="false">
      <c r="A128" s="12" t="n">
        <v>123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customFormat="false" ht="15" hidden="false" customHeight="false" outlineLevel="0" collapsed="false">
      <c r="A129" s="12" t="n">
        <v>124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customFormat="false" ht="15" hidden="false" customHeight="false" outlineLevel="0" collapsed="false">
      <c r="A130" s="12" t="n">
        <v>125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customFormat="false" ht="15" hidden="false" customHeight="false" outlineLevel="0" collapsed="false">
      <c r="A131" s="12" t="n">
        <v>126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customFormat="false" ht="15" hidden="false" customHeight="false" outlineLevel="0" collapsed="false">
      <c r="A132" s="12" t="n">
        <v>127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customFormat="false" ht="15" hidden="false" customHeight="false" outlineLevel="0" collapsed="false">
      <c r="A133" s="12" t="n">
        <v>128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customFormat="false" ht="15" hidden="false" customHeight="false" outlineLevel="0" collapsed="false">
      <c r="A134" s="12" t="n">
        <v>129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customFormat="false" ht="15" hidden="false" customHeight="false" outlineLevel="0" collapsed="false">
      <c r="A135" s="12" t="n">
        <v>130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customFormat="false" ht="15" hidden="false" customHeight="false" outlineLevel="0" collapsed="false">
      <c r="A136" s="12" t="n">
        <v>131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customFormat="false" ht="15" hidden="false" customHeight="false" outlineLevel="0" collapsed="false">
      <c r="A137" s="12" t="n">
        <v>132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customFormat="false" ht="15" hidden="false" customHeight="false" outlineLevel="0" collapsed="false">
      <c r="A138" s="12" t="n">
        <v>133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customFormat="false" ht="15" hidden="false" customHeight="false" outlineLevel="0" collapsed="false">
      <c r="A139" s="12" t="n">
        <v>134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customFormat="false" ht="15" hidden="false" customHeight="false" outlineLevel="0" collapsed="false">
      <c r="A140" s="12" t="n">
        <v>135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customFormat="false" ht="15" hidden="false" customHeight="false" outlineLevel="0" collapsed="false">
      <c r="A141" s="12" t="n">
        <v>136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customFormat="false" ht="15" hidden="false" customHeight="false" outlineLevel="0" collapsed="false">
      <c r="A142" s="12" t="n">
        <v>137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customFormat="false" ht="15" hidden="false" customHeight="false" outlineLevel="0" collapsed="false">
      <c r="A143" s="12" t="n">
        <v>138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customFormat="false" ht="15" hidden="false" customHeight="false" outlineLevel="0" collapsed="false">
      <c r="A144" s="12" t="n">
        <v>139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customFormat="false" ht="15" hidden="false" customHeight="false" outlineLevel="0" collapsed="false">
      <c r="A145" s="12" t="n">
        <v>140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customFormat="false" ht="15" hidden="false" customHeight="false" outlineLevel="0" collapsed="false">
      <c r="A146" s="12" t="n">
        <v>141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customFormat="false" ht="15" hidden="false" customHeight="false" outlineLevel="0" collapsed="false">
      <c r="A147" s="12" t="n">
        <v>142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customFormat="false" ht="15" hidden="false" customHeight="false" outlineLevel="0" collapsed="false">
      <c r="A148" s="12" t="n">
        <v>143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customFormat="false" ht="15" hidden="false" customHeight="false" outlineLevel="0" collapsed="false">
      <c r="A149" s="12" t="n">
        <v>144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customFormat="false" ht="15" hidden="false" customHeight="false" outlineLevel="0" collapsed="false">
      <c r="A150" s="12" t="n">
        <v>145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customFormat="false" ht="15" hidden="false" customHeight="false" outlineLevel="0" collapsed="false">
      <c r="A151" s="12" t="n">
        <v>146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customFormat="false" ht="15" hidden="false" customHeight="false" outlineLevel="0" collapsed="false">
      <c r="A152" s="12" t="n">
        <v>147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customFormat="false" ht="15" hidden="false" customHeight="false" outlineLevel="0" collapsed="false">
      <c r="A153" s="12" t="n">
        <v>148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customFormat="false" ht="15" hidden="false" customHeight="false" outlineLevel="0" collapsed="false">
      <c r="A154" s="12" t="n">
        <v>149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customFormat="false" ht="15" hidden="false" customHeight="false" outlineLevel="0" collapsed="false">
      <c r="A155" s="12" t="n">
        <v>150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customFormat="false" ht="15" hidden="false" customHeight="false" outlineLevel="0" collapsed="false">
      <c r="A156" s="12" t="n">
        <v>151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customFormat="false" ht="15" hidden="false" customHeight="false" outlineLevel="0" collapsed="false">
      <c r="A157" s="12" t="n">
        <v>152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customFormat="false" ht="15" hidden="false" customHeight="false" outlineLevel="0" collapsed="false">
      <c r="A158" s="12" t="n">
        <v>153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customFormat="false" ht="15" hidden="false" customHeight="false" outlineLevel="0" collapsed="false">
      <c r="A159" s="12" t="n">
        <v>154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customFormat="false" ht="15" hidden="false" customHeight="false" outlineLevel="0" collapsed="false">
      <c r="A160" s="12" t="n">
        <v>155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customFormat="false" ht="15" hidden="false" customHeight="false" outlineLevel="0" collapsed="false">
      <c r="A161" s="12" t="n">
        <v>156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customFormat="false" ht="15" hidden="false" customHeight="false" outlineLevel="0" collapsed="false">
      <c r="A162" s="12" t="n">
        <v>157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customFormat="false" ht="15" hidden="false" customHeight="false" outlineLevel="0" collapsed="false">
      <c r="A163" s="12" t="n">
        <v>158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customFormat="false" ht="15" hidden="false" customHeight="false" outlineLevel="0" collapsed="false">
      <c r="A164" s="12" t="n">
        <v>159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customFormat="false" ht="15" hidden="false" customHeight="false" outlineLevel="0" collapsed="false">
      <c r="A165" s="12" t="n">
        <v>160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customFormat="false" ht="15" hidden="false" customHeight="false" outlineLevel="0" collapsed="false">
      <c r="A166" s="12" t="n">
        <v>161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customFormat="false" ht="15" hidden="false" customHeight="false" outlineLevel="0" collapsed="false">
      <c r="A167" s="12" t="n">
        <v>162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customFormat="false" ht="15" hidden="false" customHeight="false" outlineLevel="0" collapsed="false">
      <c r="A168" s="12" t="n">
        <v>163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customFormat="false" ht="15" hidden="false" customHeight="false" outlineLevel="0" collapsed="false">
      <c r="A169" s="12" t="n">
        <v>164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customFormat="false" ht="15" hidden="false" customHeight="false" outlineLevel="0" collapsed="false">
      <c r="A170" s="12" t="n">
        <v>165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customFormat="false" ht="15" hidden="false" customHeight="false" outlineLevel="0" collapsed="false">
      <c r="A171" s="12" t="n">
        <v>166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customFormat="false" ht="15" hidden="false" customHeight="false" outlineLevel="0" collapsed="false">
      <c r="A172" s="12" t="n">
        <v>167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customFormat="false" ht="15" hidden="false" customHeight="false" outlineLevel="0" collapsed="false">
      <c r="A173" s="12" t="n">
        <v>168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customFormat="false" ht="15" hidden="false" customHeight="false" outlineLevel="0" collapsed="false">
      <c r="A174" s="12" t="n">
        <v>169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customFormat="false" ht="15" hidden="false" customHeight="false" outlineLevel="0" collapsed="false">
      <c r="A175" s="12" t="n">
        <v>170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customFormat="false" ht="15" hidden="false" customHeight="false" outlineLevel="0" collapsed="false">
      <c r="A176" s="12" t="n">
        <v>171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customFormat="false" ht="15" hidden="false" customHeight="false" outlineLevel="0" collapsed="false">
      <c r="A177" s="12" t="n">
        <v>172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customFormat="false" ht="15" hidden="false" customHeight="false" outlineLevel="0" collapsed="false">
      <c r="A178" s="12" t="n">
        <v>173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customFormat="false" ht="15" hidden="false" customHeight="false" outlineLevel="0" collapsed="false">
      <c r="A179" s="12" t="n">
        <v>174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customFormat="false" ht="15" hidden="false" customHeight="false" outlineLevel="0" collapsed="false">
      <c r="A180" s="12" t="n">
        <v>175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customFormat="false" ht="15" hidden="false" customHeight="false" outlineLevel="0" collapsed="false">
      <c r="A181" s="12" t="n">
        <v>176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customFormat="false" ht="15" hidden="false" customHeight="false" outlineLevel="0" collapsed="false">
      <c r="A182" s="12" t="n">
        <v>177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customFormat="false" ht="15" hidden="false" customHeight="false" outlineLevel="0" collapsed="false">
      <c r="A183" s="12" t="n">
        <v>178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customFormat="false" ht="15" hidden="false" customHeight="false" outlineLevel="0" collapsed="false">
      <c r="A184" s="12" t="n">
        <v>179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customFormat="false" ht="15" hidden="false" customHeight="false" outlineLevel="0" collapsed="false">
      <c r="A185" s="12" t="n">
        <v>180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customFormat="false" ht="15" hidden="false" customHeight="false" outlineLevel="0" collapsed="false">
      <c r="A186" s="12" t="n">
        <v>181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customFormat="false" ht="15" hidden="false" customHeight="false" outlineLevel="0" collapsed="false">
      <c r="A187" s="12" t="n">
        <v>182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customFormat="false" ht="15" hidden="false" customHeight="false" outlineLevel="0" collapsed="false">
      <c r="A188" s="12" t="n">
        <v>183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customFormat="false" ht="15" hidden="false" customHeight="false" outlineLevel="0" collapsed="false">
      <c r="A189" s="12" t="n">
        <v>184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customFormat="false" ht="15" hidden="false" customHeight="false" outlineLevel="0" collapsed="false">
      <c r="A190" s="12" t="n">
        <v>185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customFormat="false" ht="15" hidden="false" customHeight="false" outlineLevel="0" collapsed="false">
      <c r="A191" s="12" t="n">
        <v>186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customFormat="false" ht="15" hidden="false" customHeight="false" outlineLevel="0" collapsed="false">
      <c r="A192" s="12" t="n">
        <v>187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customFormat="false" ht="15" hidden="false" customHeight="false" outlineLevel="0" collapsed="false">
      <c r="A193" s="12" t="n">
        <v>188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customFormat="false" ht="15" hidden="false" customHeight="false" outlineLevel="0" collapsed="false">
      <c r="A194" s="12" t="n">
        <v>189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customFormat="false" ht="15" hidden="false" customHeight="false" outlineLevel="0" collapsed="false">
      <c r="A195" s="12" t="n">
        <v>190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customFormat="false" ht="15" hidden="false" customHeight="false" outlineLevel="0" collapsed="false">
      <c r="A196" s="12" t="n">
        <v>191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customFormat="false" ht="15" hidden="false" customHeight="false" outlineLevel="0" collapsed="false">
      <c r="A197" s="12" t="n">
        <v>192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customFormat="false" ht="15" hidden="false" customHeight="false" outlineLevel="0" collapsed="false">
      <c r="A198" s="12" t="n">
        <v>193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customFormat="false" ht="15" hidden="false" customHeight="false" outlineLevel="0" collapsed="false">
      <c r="A199" s="12" t="n">
        <v>194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customFormat="false" ht="15" hidden="false" customHeight="false" outlineLevel="0" collapsed="false">
      <c r="A200" s="12" t="n">
        <v>195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customFormat="false" ht="15" hidden="false" customHeight="false" outlineLevel="0" collapsed="false">
      <c r="A201" s="12" t="n">
        <v>196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customFormat="false" ht="15" hidden="false" customHeight="false" outlineLevel="0" collapsed="false">
      <c r="A202" s="12" t="n">
        <v>197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customFormat="false" ht="15" hidden="false" customHeight="false" outlineLevel="0" collapsed="false">
      <c r="A203" s="12" t="n">
        <v>198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customFormat="false" ht="15" hidden="false" customHeight="false" outlineLevel="0" collapsed="false">
      <c r="A204" s="12" t="n">
        <v>199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customFormat="false" ht="15" hidden="false" customHeight="false" outlineLevel="0" collapsed="false">
      <c r="A205" s="12" t="n">
        <v>200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customFormat="false" ht="15" hidden="false" customHeight="false" outlineLevel="0" collapsed="false">
      <c r="A206" s="12" t="n">
        <v>201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customFormat="false" ht="15" hidden="false" customHeight="false" outlineLevel="0" collapsed="false">
      <c r="A207" s="12" t="n">
        <v>202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customFormat="false" ht="15" hidden="false" customHeight="false" outlineLevel="0" collapsed="false">
      <c r="A208" s="12" t="n">
        <v>203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customFormat="false" ht="15" hidden="false" customHeight="false" outlineLevel="0" collapsed="false">
      <c r="A209" s="12" t="n">
        <v>204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customFormat="false" ht="15" hidden="false" customHeight="false" outlineLevel="0" collapsed="false">
      <c r="A210" s="12" t="n">
        <v>205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customFormat="false" ht="15" hidden="false" customHeight="false" outlineLevel="0" collapsed="false">
      <c r="A211" s="12" t="n">
        <v>206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customFormat="false" ht="15" hidden="false" customHeight="false" outlineLevel="0" collapsed="false">
      <c r="A212" s="12" t="n">
        <v>207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customFormat="false" ht="15" hidden="false" customHeight="false" outlineLevel="0" collapsed="false">
      <c r="A213" s="12" t="n">
        <v>208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customFormat="false" ht="15" hidden="false" customHeight="false" outlineLevel="0" collapsed="false">
      <c r="A214" s="12" t="n">
        <v>209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customFormat="false" ht="15" hidden="false" customHeight="false" outlineLevel="0" collapsed="false">
      <c r="A215" s="12" t="n">
        <v>210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customFormat="false" ht="15" hidden="false" customHeight="false" outlineLevel="0" collapsed="false">
      <c r="A216" s="12" t="n">
        <v>211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customFormat="false" ht="15" hidden="false" customHeight="false" outlineLevel="0" collapsed="false">
      <c r="A217" s="12" t="n">
        <v>212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customFormat="false" ht="15" hidden="false" customHeight="false" outlineLevel="0" collapsed="false">
      <c r="A218" s="12" t="n">
        <v>213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customFormat="false" ht="15" hidden="false" customHeight="false" outlineLevel="0" collapsed="false">
      <c r="A219" s="12" t="n">
        <v>214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customFormat="false" ht="15" hidden="false" customHeight="false" outlineLevel="0" collapsed="false">
      <c r="A220" s="12" t="n">
        <v>215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customFormat="false" ht="15" hidden="false" customHeight="false" outlineLevel="0" collapsed="false">
      <c r="A221" s="12" t="n">
        <v>216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customFormat="false" ht="15" hidden="false" customHeight="false" outlineLevel="0" collapsed="false">
      <c r="A222" s="12" t="n">
        <v>217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customFormat="false" ht="15" hidden="false" customHeight="false" outlineLevel="0" collapsed="false">
      <c r="A223" s="12" t="n">
        <v>218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customFormat="false" ht="15" hidden="false" customHeight="false" outlineLevel="0" collapsed="false">
      <c r="A224" s="12" t="n">
        <v>219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customFormat="false" ht="15" hidden="false" customHeight="false" outlineLevel="0" collapsed="false">
      <c r="A225" s="12" t="n">
        <v>220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customFormat="false" ht="15" hidden="false" customHeight="false" outlineLevel="0" collapsed="false">
      <c r="A226" s="12" t="n">
        <v>221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customFormat="false" ht="15" hidden="false" customHeight="false" outlineLevel="0" collapsed="false">
      <c r="A227" s="12" t="n">
        <v>222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customFormat="false" ht="15" hidden="false" customHeight="false" outlineLevel="0" collapsed="false">
      <c r="A228" s="12" t="n">
        <v>223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customFormat="false" ht="15" hidden="false" customHeight="false" outlineLevel="0" collapsed="false">
      <c r="A229" s="12" t="n">
        <v>224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customFormat="false" ht="15" hidden="false" customHeight="false" outlineLevel="0" collapsed="false">
      <c r="A230" s="12" t="n">
        <v>225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customFormat="false" ht="15" hidden="false" customHeight="false" outlineLevel="0" collapsed="false">
      <c r="A231" s="12" t="n">
        <v>226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customFormat="false" ht="15" hidden="false" customHeight="false" outlineLevel="0" collapsed="false">
      <c r="A232" s="12" t="n">
        <v>227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customFormat="false" ht="15" hidden="false" customHeight="false" outlineLevel="0" collapsed="false">
      <c r="A233" s="12" t="n">
        <v>228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customFormat="false" ht="15" hidden="false" customHeight="false" outlineLevel="0" collapsed="false">
      <c r="A234" s="12" t="n">
        <v>229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customFormat="false" ht="15" hidden="false" customHeight="false" outlineLevel="0" collapsed="false">
      <c r="A235" s="12" t="n">
        <v>230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customFormat="false" ht="15" hidden="false" customHeight="false" outlineLevel="0" collapsed="false">
      <c r="A236" s="12" t="n">
        <v>231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customFormat="false" ht="15" hidden="false" customHeight="false" outlineLevel="0" collapsed="false">
      <c r="A237" s="12" t="n">
        <v>232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customFormat="false" ht="15" hidden="false" customHeight="false" outlineLevel="0" collapsed="false">
      <c r="A238" s="12" t="n">
        <v>233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customFormat="false" ht="15" hidden="false" customHeight="false" outlineLevel="0" collapsed="false">
      <c r="A239" s="12" t="n">
        <v>234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customFormat="false" ht="15" hidden="false" customHeight="false" outlineLevel="0" collapsed="false">
      <c r="A240" s="12" t="n">
        <v>235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customFormat="false" ht="15" hidden="false" customHeight="false" outlineLevel="0" collapsed="false">
      <c r="A241" s="12" t="n">
        <v>236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customFormat="false" ht="15" hidden="false" customHeight="false" outlineLevel="0" collapsed="false">
      <c r="A242" s="12" t="n">
        <v>237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customFormat="false" ht="15" hidden="false" customHeight="false" outlineLevel="0" collapsed="false">
      <c r="A243" s="12" t="n">
        <v>238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customFormat="false" ht="15" hidden="false" customHeight="false" outlineLevel="0" collapsed="false">
      <c r="A244" s="12" t="n">
        <v>239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customFormat="false" ht="15" hidden="false" customHeight="false" outlineLevel="0" collapsed="false">
      <c r="A245" s="12" t="n">
        <v>240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customFormat="false" ht="15" hidden="false" customHeight="false" outlineLevel="0" collapsed="false">
      <c r="A246" s="12" t="n">
        <v>241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customFormat="false" ht="15" hidden="false" customHeight="false" outlineLevel="0" collapsed="false">
      <c r="A247" s="12" t="n">
        <v>242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customFormat="false" ht="15" hidden="false" customHeight="false" outlineLevel="0" collapsed="false">
      <c r="A248" s="12" t="n">
        <v>243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customFormat="false" ht="15" hidden="false" customHeight="false" outlineLevel="0" collapsed="false">
      <c r="A249" s="12" t="n">
        <v>244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customFormat="false" ht="15" hidden="false" customHeight="false" outlineLevel="0" collapsed="false">
      <c r="A250" s="12" t="n">
        <v>245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customFormat="false" ht="15" hidden="false" customHeight="false" outlineLevel="0" collapsed="false">
      <c r="A251" s="12" t="n">
        <v>246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customFormat="false" ht="15" hidden="false" customHeight="false" outlineLevel="0" collapsed="false">
      <c r="A252" s="12" t="n">
        <v>247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customFormat="false" ht="15" hidden="false" customHeight="false" outlineLevel="0" collapsed="false">
      <c r="A253" s="12" t="n">
        <v>248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customFormat="false" ht="15" hidden="false" customHeight="false" outlineLevel="0" collapsed="false">
      <c r="A254" s="12" t="n">
        <v>249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customFormat="false" ht="15" hidden="false" customHeight="false" outlineLevel="0" collapsed="false">
      <c r="A255" s="12" t="n">
        <v>250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customFormat="false" ht="15" hidden="false" customHeight="false" outlineLevel="0" collapsed="false">
      <c r="A256" s="12" t="n">
        <v>251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customFormat="false" ht="15" hidden="false" customHeight="false" outlineLevel="0" collapsed="false">
      <c r="A257" s="12" t="n">
        <v>252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customFormat="false" ht="15" hidden="false" customHeight="false" outlineLevel="0" collapsed="false">
      <c r="A258" s="12" t="n">
        <v>253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customFormat="false" ht="15" hidden="false" customHeight="false" outlineLevel="0" collapsed="false">
      <c r="A259" s="12" t="n">
        <v>254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customFormat="false" ht="15" hidden="false" customHeight="false" outlineLevel="0" collapsed="false">
      <c r="A260" s="12" t="n">
        <v>255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customFormat="false" ht="15" hidden="false" customHeight="false" outlineLevel="0" collapsed="false">
      <c r="A261" s="12" t="n">
        <v>256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customFormat="false" ht="15" hidden="false" customHeight="false" outlineLevel="0" collapsed="false">
      <c r="A262" s="12" t="n">
        <v>257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customFormat="false" ht="15" hidden="false" customHeight="false" outlineLevel="0" collapsed="false">
      <c r="A263" s="12" t="n">
        <v>258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customFormat="false" ht="15" hidden="false" customHeight="false" outlineLevel="0" collapsed="false">
      <c r="A264" s="12" t="n">
        <v>259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customFormat="false" ht="15" hidden="false" customHeight="false" outlineLevel="0" collapsed="false">
      <c r="A265" s="12" t="n">
        <v>260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customFormat="false" ht="15" hidden="false" customHeight="false" outlineLevel="0" collapsed="false">
      <c r="A266" s="12" t="n">
        <v>261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customFormat="false" ht="15" hidden="false" customHeight="false" outlineLevel="0" collapsed="false">
      <c r="A267" s="12" t="n">
        <v>262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customFormat="false" ht="15" hidden="false" customHeight="false" outlineLevel="0" collapsed="false">
      <c r="A268" s="12" t="n">
        <v>263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customFormat="false" ht="15" hidden="false" customHeight="false" outlineLevel="0" collapsed="false">
      <c r="A269" s="12" t="n">
        <v>264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customFormat="false" ht="15" hidden="false" customHeight="false" outlineLevel="0" collapsed="false">
      <c r="A270" s="12" t="n">
        <v>265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customFormat="false" ht="15" hidden="false" customHeight="false" outlineLevel="0" collapsed="false">
      <c r="A271" s="12" t="n">
        <v>266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customFormat="false" ht="15" hidden="false" customHeight="false" outlineLevel="0" collapsed="false">
      <c r="A272" s="12" t="n">
        <v>267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customFormat="false" ht="15" hidden="false" customHeight="false" outlineLevel="0" collapsed="false">
      <c r="A273" s="12" t="n">
        <v>268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customFormat="false" ht="15" hidden="false" customHeight="false" outlineLevel="0" collapsed="false">
      <c r="A274" s="12" t="n">
        <v>269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customFormat="false" ht="15" hidden="false" customHeight="false" outlineLevel="0" collapsed="false">
      <c r="A275" s="12" t="n">
        <v>270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customFormat="false" ht="15" hidden="false" customHeight="false" outlineLevel="0" collapsed="false">
      <c r="A276" s="12" t="n">
        <v>271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customFormat="false" ht="15" hidden="false" customHeight="false" outlineLevel="0" collapsed="false">
      <c r="A277" s="12" t="n">
        <v>272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customFormat="false" ht="15" hidden="false" customHeight="false" outlineLevel="0" collapsed="false">
      <c r="A278" s="12" t="n">
        <v>273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customFormat="false" ht="15" hidden="false" customHeight="false" outlineLevel="0" collapsed="false">
      <c r="A279" s="12" t="n">
        <v>274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customFormat="false" ht="15" hidden="false" customHeight="false" outlineLevel="0" collapsed="false">
      <c r="A280" s="12" t="n">
        <v>275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customFormat="false" ht="15" hidden="false" customHeight="false" outlineLevel="0" collapsed="false">
      <c r="A281" s="12" t="n">
        <v>276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customFormat="false" ht="15" hidden="false" customHeight="false" outlineLevel="0" collapsed="false">
      <c r="A282" s="12" t="n">
        <v>277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customFormat="false" ht="15" hidden="false" customHeight="false" outlineLevel="0" collapsed="false">
      <c r="A283" s="12" t="n">
        <v>278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customFormat="false" ht="15" hidden="false" customHeight="false" outlineLevel="0" collapsed="false">
      <c r="A284" s="12" t="n">
        <v>279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customFormat="false" ht="15" hidden="false" customHeight="false" outlineLevel="0" collapsed="false">
      <c r="A285" s="12" t="n">
        <v>280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customFormat="false" ht="15" hidden="false" customHeight="false" outlineLevel="0" collapsed="false">
      <c r="A286" s="12" t="n">
        <v>281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customFormat="false" ht="15" hidden="false" customHeight="false" outlineLevel="0" collapsed="false">
      <c r="A287" s="12" t="n">
        <v>282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customFormat="false" ht="15" hidden="false" customHeight="false" outlineLevel="0" collapsed="false">
      <c r="A288" s="12" t="n">
        <v>283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customFormat="false" ht="15" hidden="false" customHeight="false" outlineLevel="0" collapsed="false">
      <c r="A289" s="12" t="n">
        <v>284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customFormat="false" ht="15" hidden="false" customHeight="false" outlineLevel="0" collapsed="false">
      <c r="A290" s="12" t="n">
        <v>285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customFormat="false" ht="15" hidden="false" customHeight="false" outlineLevel="0" collapsed="false">
      <c r="A291" s="12" t="n">
        <v>286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customFormat="false" ht="15" hidden="false" customHeight="false" outlineLevel="0" collapsed="false">
      <c r="A292" s="12" t="n">
        <v>287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customFormat="false" ht="15" hidden="false" customHeight="false" outlineLevel="0" collapsed="false">
      <c r="A293" s="12" t="n">
        <v>288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customFormat="false" ht="15" hidden="false" customHeight="false" outlineLevel="0" collapsed="false">
      <c r="A294" s="12" t="n">
        <v>289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customFormat="false" ht="15" hidden="false" customHeight="false" outlineLevel="0" collapsed="false">
      <c r="A295" s="12" t="n">
        <v>290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customFormat="false" ht="15" hidden="false" customHeight="false" outlineLevel="0" collapsed="false">
      <c r="A296" s="12" t="n">
        <v>291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customFormat="false" ht="15" hidden="false" customHeight="false" outlineLevel="0" collapsed="false">
      <c r="A297" s="12" t="n">
        <v>292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customFormat="false" ht="15" hidden="false" customHeight="false" outlineLevel="0" collapsed="false">
      <c r="A298" s="12" t="n">
        <v>293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customFormat="false" ht="15" hidden="false" customHeight="false" outlineLevel="0" collapsed="false">
      <c r="A299" s="12" t="n">
        <v>294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customFormat="false" ht="15" hidden="false" customHeight="false" outlineLevel="0" collapsed="false">
      <c r="A300" s="12" t="n">
        <v>295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customFormat="false" ht="15" hidden="false" customHeight="false" outlineLevel="0" collapsed="false">
      <c r="A301" s="12" t="n">
        <v>296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customFormat="false" ht="15" hidden="false" customHeight="false" outlineLevel="0" collapsed="false">
      <c r="A302" s="12" t="n">
        <v>297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customFormat="false" ht="15" hidden="false" customHeight="false" outlineLevel="0" collapsed="false">
      <c r="A303" s="12" t="n">
        <v>298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customFormat="false" ht="15" hidden="false" customHeight="false" outlineLevel="0" collapsed="false">
      <c r="A304" s="12" t="n">
        <v>299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customFormat="false" ht="15" hidden="false" customHeight="false" outlineLevel="0" collapsed="false">
      <c r="A305" s="12" t="n">
        <v>300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customFormat="false" ht="15" hidden="false" customHeight="false" outlineLevel="0" collapsed="false">
      <c r="A306" s="12" t="n">
        <v>301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customFormat="false" ht="15" hidden="false" customHeight="false" outlineLevel="0" collapsed="false">
      <c r="A307" s="12" t="n">
        <v>302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customFormat="false" ht="15" hidden="false" customHeight="false" outlineLevel="0" collapsed="false">
      <c r="A308" s="12" t="n">
        <v>303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customFormat="false" ht="15" hidden="false" customHeight="false" outlineLevel="0" collapsed="false">
      <c r="A309" s="12" t="n">
        <v>304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customFormat="false" ht="15" hidden="false" customHeight="false" outlineLevel="0" collapsed="false">
      <c r="A310" s="12" t="n">
        <v>305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customFormat="false" ht="15" hidden="false" customHeight="false" outlineLevel="0" collapsed="false">
      <c r="A311" s="12" t="n">
        <v>306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customFormat="false" ht="15" hidden="false" customHeight="false" outlineLevel="0" collapsed="false">
      <c r="A312" s="12" t="n">
        <v>307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customFormat="false" ht="15" hidden="false" customHeight="false" outlineLevel="0" collapsed="false">
      <c r="A313" s="12" t="n">
        <v>308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customFormat="false" ht="15" hidden="false" customHeight="false" outlineLevel="0" collapsed="false">
      <c r="A314" s="12" t="n">
        <v>309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customFormat="false" ht="15" hidden="false" customHeight="false" outlineLevel="0" collapsed="false">
      <c r="A315" s="12" t="n">
        <v>310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customFormat="false" ht="15" hidden="false" customHeight="false" outlineLevel="0" collapsed="false">
      <c r="A316" s="12" t="n">
        <v>311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customFormat="false" ht="15" hidden="false" customHeight="false" outlineLevel="0" collapsed="false">
      <c r="A317" s="12" t="n">
        <v>312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customFormat="false" ht="15" hidden="false" customHeight="false" outlineLevel="0" collapsed="false">
      <c r="A318" s="12" t="n">
        <v>313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customFormat="false" ht="15" hidden="false" customHeight="false" outlineLevel="0" collapsed="false">
      <c r="A319" s="12" t="n">
        <v>314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customFormat="false" ht="15" hidden="false" customHeight="false" outlineLevel="0" collapsed="false">
      <c r="A320" s="12" t="n">
        <v>315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customFormat="false" ht="15" hidden="false" customHeight="false" outlineLevel="0" collapsed="false">
      <c r="A321" s="12" t="n">
        <v>316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customFormat="false" ht="15" hidden="false" customHeight="false" outlineLevel="0" collapsed="false">
      <c r="A322" s="12" t="n">
        <v>317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customFormat="false" ht="15" hidden="false" customHeight="false" outlineLevel="0" collapsed="false">
      <c r="A323" s="12" t="n">
        <v>318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customFormat="false" ht="15" hidden="false" customHeight="false" outlineLevel="0" collapsed="false">
      <c r="A324" s="12" t="n">
        <v>319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customFormat="false" ht="15" hidden="false" customHeight="false" outlineLevel="0" collapsed="false">
      <c r="A325" s="12" t="n">
        <v>320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customFormat="false" ht="15" hidden="false" customHeight="false" outlineLevel="0" collapsed="false">
      <c r="A326" s="12" t="n">
        <v>321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customFormat="false" ht="15" hidden="false" customHeight="false" outlineLevel="0" collapsed="false">
      <c r="A327" s="12" t="n">
        <v>322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customFormat="false" ht="15" hidden="false" customHeight="false" outlineLevel="0" collapsed="false">
      <c r="A328" s="12" t="n">
        <v>323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customFormat="false" ht="15" hidden="false" customHeight="false" outlineLevel="0" collapsed="false">
      <c r="A329" s="12" t="n">
        <v>324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customFormat="false" ht="15" hidden="false" customHeight="false" outlineLevel="0" collapsed="false">
      <c r="A330" s="12" t="n">
        <v>325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customFormat="false" ht="15" hidden="false" customHeight="false" outlineLevel="0" collapsed="false">
      <c r="A331" s="12" t="n">
        <v>326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customFormat="false" ht="15" hidden="false" customHeight="false" outlineLevel="0" collapsed="false">
      <c r="A332" s="12" t="n">
        <v>327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customFormat="false" ht="15" hidden="false" customHeight="false" outlineLevel="0" collapsed="false">
      <c r="A333" s="12" t="n">
        <v>328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customFormat="false" ht="15" hidden="false" customHeight="false" outlineLevel="0" collapsed="false">
      <c r="A334" s="12" t="n">
        <v>329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customFormat="false" ht="15" hidden="false" customHeight="false" outlineLevel="0" collapsed="false">
      <c r="A335" s="12" t="n">
        <v>330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customFormat="false" ht="15" hidden="false" customHeight="false" outlineLevel="0" collapsed="false">
      <c r="A336" s="12" t="n">
        <v>331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customFormat="false" ht="15" hidden="false" customHeight="false" outlineLevel="0" collapsed="false">
      <c r="A337" s="12" t="n">
        <v>332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customFormat="false" ht="15" hidden="false" customHeight="false" outlineLevel="0" collapsed="false">
      <c r="A338" s="12" t="n">
        <v>333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customFormat="false" ht="15" hidden="false" customHeight="false" outlineLevel="0" collapsed="false">
      <c r="A339" s="12" t="n">
        <v>334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customFormat="false" ht="15" hidden="false" customHeight="false" outlineLevel="0" collapsed="false">
      <c r="A340" s="12" t="n">
        <v>335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customFormat="false" ht="15" hidden="false" customHeight="false" outlineLevel="0" collapsed="false">
      <c r="A341" s="12" t="n">
        <v>336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customFormat="false" ht="15" hidden="false" customHeight="false" outlineLevel="0" collapsed="false">
      <c r="A342" s="12" t="n">
        <v>337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customFormat="false" ht="15" hidden="false" customHeight="false" outlineLevel="0" collapsed="false">
      <c r="A343" s="12" t="n">
        <v>338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customFormat="false" ht="15" hidden="false" customHeight="false" outlineLevel="0" collapsed="false">
      <c r="A344" s="12" t="n">
        <v>339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customFormat="false" ht="15" hidden="false" customHeight="false" outlineLevel="0" collapsed="false">
      <c r="A345" s="12" t="n">
        <v>340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customFormat="false" ht="15" hidden="false" customHeight="false" outlineLevel="0" collapsed="false">
      <c r="A346" s="12" t="n">
        <v>341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customFormat="false" ht="15" hidden="false" customHeight="false" outlineLevel="0" collapsed="false">
      <c r="A347" s="12" t="n">
        <v>342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customFormat="false" ht="15" hidden="false" customHeight="false" outlineLevel="0" collapsed="false">
      <c r="A348" s="12" t="n">
        <v>343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customFormat="false" ht="15" hidden="false" customHeight="false" outlineLevel="0" collapsed="false">
      <c r="A349" s="12" t="n">
        <v>344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customFormat="false" ht="15" hidden="false" customHeight="false" outlineLevel="0" collapsed="false">
      <c r="A350" s="12" t="n">
        <v>345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customFormat="false" ht="15" hidden="false" customHeight="false" outlineLevel="0" collapsed="false">
      <c r="A351" s="12" t="n">
        <v>346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customFormat="false" ht="15" hidden="false" customHeight="false" outlineLevel="0" collapsed="false">
      <c r="A352" s="12" t="n">
        <v>347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customFormat="false" ht="15" hidden="false" customHeight="false" outlineLevel="0" collapsed="false">
      <c r="A353" s="12" t="n">
        <v>348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customFormat="false" ht="15" hidden="false" customHeight="false" outlineLevel="0" collapsed="false">
      <c r="A354" s="12" t="n">
        <v>349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customFormat="false" ht="15" hidden="false" customHeight="false" outlineLevel="0" collapsed="false">
      <c r="A355" s="12" t="n">
        <v>350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customFormat="false" ht="15" hidden="false" customHeight="false" outlineLevel="0" collapsed="false">
      <c r="A356" s="12" t="n">
        <v>351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customFormat="false" ht="15" hidden="false" customHeight="false" outlineLevel="0" collapsed="false">
      <c r="A357" s="12" t="n">
        <v>352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customFormat="false" ht="15" hidden="false" customHeight="false" outlineLevel="0" collapsed="false">
      <c r="A358" s="12" t="n">
        <v>353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customFormat="false" ht="15" hidden="false" customHeight="false" outlineLevel="0" collapsed="false">
      <c r="A359" s="12" t="n">
        <v>354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customFormat="false" ht="15" hidden="false" customHeight="false" outlineLevel="0" collapsed="false">
      <c r="A360" s="12" t="n">
        <v>355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customFormat="false" ht="15" hidden="false" customHeight="false" outlineLevel="0" collapsed="false">
      <c r="A361" s="12" t="n">
        <v>356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customFormat="false" ht="15" hidden="false" customHeight="false" outlineLevel="0" collapsed="false">
      <c r="A362" s="12" t="n">
        <v>357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customFormat="false" ht="15" hidden="false" customHeight="false" outlineLevel="0" collapsed="false">
      <c r="A363" s="12" t="n">
        <v>358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customFormat="false" ht="15" hidden="false" customHeight="false" outlineLevel="0" collapsed="false">
      <c r="A364" s="12" t="n">
        <v>359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customFormat="false" ht="15" hidden="false" customHeight="false" outlineLevel="0" collapsed="false">
      <c r="A365" s="12" t="n">
        <v>360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customFormat="false" ht="15" hidden="false" customHeight="false" outlineLevel="0" collapsed="false">
      <c r="A366" s="12" t="n">
        <v>361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customFormat="false" ht="15" hidden="false" customHeight="false" outlineLevel="0" collapsed="false">
      <c r="A367" s="12" t="n">
        <v>362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customFormat="false" ht="15" hidden="false" customHeight="false" outlineLevel="0" collapsed="false">
      <c r="A368" s="12" t="n">
        <v>363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customFormat="false" ht="15" hidden="false" customHeight="false" outlineLevel="0" collapsed="false">
      <c r="A369" s="12" t="n">
        <v>364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customFormat="false" ht="15" hidden="false" customHeight="false" outlineLevel="0" collapsed="false">
      <c r="A370" s="12" t="n">
        <v>365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customFormat="false" ht="15" hidden="false" customHeight="false" outlineLevel="0" collapsed="false">
      <c r="A371" s="12" t="n">
        <v>366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customFormat="false" ht="15" hidden="false" customHeight="false" outlineLevel="0" collapsed="false">
      <c r="A372" s="12" t="n">
        <v>367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customFormat="false" ht="15" hidden="false" customHeight="false" outlineLevel="0" collapsed="false">
      <c r="A373" s="12" t="n">
        <v>368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customFormat="false" ht="15" hidden="false" customHeight="false" outlineLevel="0" collapsed="false">
      <c r="A374" s="12" t="n">
        <v>369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customFormat="false" ht="15" hidden="false" customHeight="false" outlineLevel="0" collapsed="false">
      <c r="A375" s="12" t="n">
        <v>370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customFormat="false" ht="15" hidden="false" customHeight="false" outlineLevel="0" collapsed="false">
      <c r="A376" s="12" t="n">
        <v>371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customFormat="false" ht="15" hidden="false" customHeight="false" outlineLevel="0" collapsed="false">
      <c r="A377" s="12" t="n">
        <v>372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customFormat="false" ht="15" hidden="false" customHeight="false" outlineLevel="0" collapsed="false">
      <c r="A378" s="12" t="n">
        <v>373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customFormat="false" ht="15" hidden="false" customHeight="false" outlineLevel="0" collapsed="false">
      <c r="A379" s="12" t="n">
        <v>374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customFormat="false" ht="15" hidden="false" customHeight="false" outlineLevel="0" collapsed="false">
      <c r="A380" s="12" t="n">
        <v>375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customFormat="false" ht="15" hidden="false" customHeight="false" outlineLevel="0" collapsed="false">
      <c r="A381" s="12" t="n">
        <v>376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customFormat="false" ht="15" hidden="false" customHeight="false" outlineLevel="0" collapsed="false">
      <c r="A382" s="12" t="n">
        <v>377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customFormat="false" ht="15" hidden="false" customHeight="false" outlineLevel="0" collapsed="false">
      <c r="A383" s="12" t="n">
        <v>378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customFormat="false" ht="15" hidden="false" customHeight="false" outlineLevel="0" collapsed="false">
      <c r="A384" s="12" t="n">
        <v>379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customFormat="false" ht="15" hidden="false" customHeight="false" outlineLevel="0" collapsed="false">
      <c r="A385" s="12" t="n">
        <v>380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customFormat="false" ht="15" hidden="false" customHeight="false" outlineLevel="0" collapsed="false">
      <c r="A386" s="12" t="n">
        <v>381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customFormat="false" ht="15" hidden="false" customHeight="false" outlineLevel="0" collapsed="false">
      <c r="A387" s="12" t="n">
        <v>382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customFormat="false" ht="15" hidden="false" customHeight="false" outlineLevel="0" collapsed="false">
      <c r="A388" s="12" t="n">
        <v>383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customFormat="false" ht="15" hidden="false" customHeight="false" outlineLevel="0" collapsed="false">
      <c r="A389" s="12" t="n">
        <v>384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customFormat="false" ht="15" hidden="false" customHeight="false" outlineLevel="0" collapsed="false">
      <c r="A390" s="12" t="n">
        <v>385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customFormat="false" ht="15" hidden="false" customHeight="false" outlineLevel="0" collapsed="false">
      <c r="A391" s="12" t="n">
        <v>386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customFormat="false" ht="15" hidden="false" customHeight="false" outlineLevel="0" collapsed="false">
      <c r="A392" s="12" t="n">
        <v>387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customFormat="false" ht="15" hidden="false" customHeight="false" outlineLevel="0" collapsed="false">
      <c r="A393" s="12" t="n">
        <v>388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customFormat="false" ht="15" hidden="false" customHeight="false" outlineLevel="0" collapsed="false">
      <c r="A394" s="12" t="n">
        <v>389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customFormat="false" ht="15" hidden="false" customHeight="false" outlineLevel="0" collapsed="false">
      <c r="A395" s="12" t="n">
        <v>390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customFormat="false" ht="15" hidden="false" customHeight="false" outlineLevel="0" collapsed="false">
      <c r="A396" s="12" t="n">
        <v>391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customFormat="false" ht="15" hidden="false" customHeight="false" outlineLevel="0" collapsed="false">
      <c r="A397" s="12" t="n">
        <v>392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customFormat="false" ht="15" hidden="false" customHeight="false" outlineLevel="0" collapsed="false">
      <c r="A398" s="12" t="n">
        <v>393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customFormat="false" ht="15" hidden="false" customHeight="false" outlineLevel="0" collapsed="false">
      <c r="A399" s="12" t="n">
        <v>394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customFormat="false" ht="15" hidden="false" customHeight="false" outlineLevel="0" collapsed="false">
      <c r="A400" s="12" t="n">
        <v>395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customFormat="false" ht="15" hidden="false" customHeight="false" outlineLevel="0" collapsed="false">
      <c r="A401" s="12" t="n">
        <v>396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customFormat="false" ht="15" hidden="false" customHeight="false" outlineLevel="0" collapsed="false">
      <c r="A402" s="12" t="n">
        <v>397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customFormat="false" ht="15" hidden="false" customHeight="false" outlineLevel="0" collapsed="false">
      <c r="A403" s="12" t="n">
        <v>398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customFormat="false" ht="15" hidden="false" customHeight="false" outlineLevel="0" collapsed="false">
      <c r="A404" s="12" t="n">
        <v>399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customFormat="false" ht="15" hidden="false" customHeight="false" outlineLevel="0" collapsed="false">
      <c r="A405" s="12" t="n">
        <v>400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customFormat="false" ht="15" hidden="false" customHeight="false" outlineLevel="0" collapsed="false">
      <c r="A406" s="12" t="n">
        <v>401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customFormat="false" ht="15" hidden="false" customHeight="false" outlineLevel="0" collapsed="false">
      <c r="A407" s="12" t="n">
        <v>402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customFormat="false" ht="15" hidden="false" customHeight="false" outlineLevel="0" collapsed="false">
      <c r="A408" s="12" t="n">
        <v>403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customFormat="false" ht="15" hidden="false" customHeight="false" outlineLevel="0" collapsed="false">
      <c r="A409" s="12" t="n">
        <v>404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customFormat="false" ht="15" hidden="false" customHeight="false" outlineLevel="0" collapsed="false">
      <c r="A410" s="12" t="n">
        <v>405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customFormat="false" ht="15" hidden="false" customHeight="false" outlineLevel="0" collapsed="false">
      <c r="A411" s="12" t="n">
        <v>406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customFormat="false" ht="15" hidden="false" customHeight="false" outlineLevel="0" collapsed="false">
      <c r="A412" s="12" t="n">
        <v>407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customFormat="false" ht="15" hidden="false" customHeight="false" outlineLevel="0" collapsed="false">
      <c r="A413" s="12" t="n">
        <v>408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customFormat="false" ht="15" hidden="false" customHeight="false" outlineLevel="0" collapsed="false">
      <c r="A414" s="12" t="n">
        <v>409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customFormat="false" ht="15" hidden="false" customHeight="false" outlineLevel="0" collapsed="false">
      <c r="A415" s="12" t="n">
        <v>410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customFormat="false" ht="15" hidden="false" customHeight="false" outlineLevel="0" collapsed="false">
      <c r="A416" s="12" t="n">
        <v>411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customFormat="false" ht="15" hidden="false" customHeight="false" outlineLevel="0" collapsed="false">
      <c r="A417" s="12" t="n">
        <v>412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customFormat="false" ht="15" hidden="false" customHeight="false" outlineLevel="0" collapsed="false">
      <c r="A418" s="12" t="n">
        <v>413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customFormat="false" ht="15" hidden="false" customHeight="false" outlineLevel="0" collapsed="false">
      <c r="A419" s="12" t="n">
        <v>414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customFormat="false" ht="15" hidden="false" customHeight="false" outlineLevel="0" collapsed="false">
      <c r="A420" s="12" t="n">
        <v>415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customFormat="false" ht="15" hidden="false" customHeight="false" outlineLevel="0" collapsed="false">
      <c r="A421" s="12" t="n">
        <v>416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customFormat="false" ht="15" hidden="false" customHeight="false" outlineLevel="0" collapsed="false">
      <c r="A422" s="12" t="n">
        <v>417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customFormat="false" ht="15" hidden="false" customHeight="false" outlineLevel="0" collapsed="false">
      <c r="A423" s="12" t="n">
        <v>418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customFormat="false" ht="15" hidden="false" customHeight="false" outlineLevel="0" collapsed="false">
      <c r="A424" s="12" t="n">
        <v>419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customFormat="false" ht="15" hidden="false" customHeight="false" outlineLevel="0" collapsed="false">
      <c r="A425" s="12" t="n">
        <v>420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customFormat="false" ht="15" hidden="false" customHeight="false" outlineLevel="0" collapsed="false">
      <c r="A426" s="12" t="n">
        <v>421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customFormat="false" ht="15" hidden="false" customHeight="false" outlineLevel="0" collapsed="false">
      <c r="A427" s="12" t="n">
        <v>422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customFormat="false" ht="15" hidden="false" customHeight="false" outlineLevel="0" collapsed="false">
      <c r="A428" s="12" t="n">
        <v>423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customFormat="false" ht="15" hidden="false" customHeight="false" outlineLevel="0" collapsed="false">
      <c r="A429" s="12" t="n">
        <v>424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customFormat="false" ht="15" hidden="false" customHeight="false" outlineLevel="0" collapsed="false">
      <c r="A430" s="12" t="n">
        <v>425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customFormat="false" ht="15" hidden="false" customHeight="false" outlineLevel="0" collapsed="false">
      <c r="A431" s="12" t="n">
        <v>426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customFormat="false" ht="15" hidden="false" customHeight="false" outlineLevel="0" collapsed="false">
      <c r="A432" s="12" t="n">
        <v>427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customFormat="false" ht="15" hidden="false" customHeight="false" outlineLevel="0" collapsed="false">
      <c r="A433" s="12" t="n">
        <v>428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customFormat="false" ht="15" hidden="false" customHeight="false" outlineLevel="0" collapsed="false">
      <c r="A434" s="12" t="n">
        <v>429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customFormat="false" ht="15" hidden="false" customHeight="false" outlineLevel="0" collapsed="false">
      <c r="A435" s="12" t="n">
        <v>430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customFormat="false" ht="15" hidden="false" customHeight="false" outlineLevel="0" collapsed="false">
      <c r="A436" s="12" t="n">
        <v>431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customFormat="false" ht="15" hidden="false" customHeight="false" outlineLevel="0" collapsed="false">
      <c r="A437" s="12" t="n">
        <v>432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customFormat="false" ht="15" hidden="false" customHeight="false" outlineLevel="0" collapsed="false">
      <c r="A438" s="12" t="n">
        <v>433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customFormat="false" ht="15" hidden="false" customHeight="false" outlineLevel="0" collapsed="false">
      <c r="A439" s="12" t="n">
        <v>434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customFormat="false" ht="15" hidden="false" customHeight="false" outlineLevel="0" collapsed="false">
      <c r="A440" s="12" t="n">
        <v>435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customFormat="false" ht="15" hidden="false" customHeight="false" outlineLevel="0" collapsed="false">
      <c r="A441" s="12" t="n">
        <v>436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customFormat="false" ht="15" hidden="false" customHeight="false" outlineLevel="0" collapsed="false">
      <c r="A442" s="12" t="n">
        <v>437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customFormat="false" ht="15" hidden="false" customHeight="false" outlineLevel="0" collapsed="false">
      <c r="A443" s="12" t="n">
        <v>438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customFormat="false" ht="15" hidden="false" customHeight="false" outlineLevel="0" collapsed="false">
      <c r="A444" s="12" t="n">
        <v>439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customFormat="false" ht="15" hidden="false" customHeight="false" outlineLevel="0" collapsed="false">
      <c r="A445" s="12" t="n">
        <v>440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customFormat="false" ht="15" hidden="false" customHeight="false" outlineLevel="0" collapsed="false">
      <c r="A446" s="12" t="n">
        <v>441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customFormat="false" ht="15" hidden="false" customHeight="false" outlineLevel="0" collapsed="false">
      <c r="A447" s="12" t="n">
        <v>442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customFormat="false" ht="15" hidden="false" customHeight="false" outlineLevel="0" collapsed="false">
      <c r="A448" s="12" t="n">
        <v>443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customFormat="false" ht="15" hidden="false" customHeight="false" outlineLevel="0" collapsed="false">
      <c r="A449" s="12" t="n">
        <v>444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customFormat="false" ht="15" hidden="false" customHeight="false" outlineLevel="0" collapsed="false">
      <c r="A450" s="12" t="n">
        <v>445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customFormat="false" ht="15" hidden="false" customHeight="false" outlineLevel="0" collapsed="false">
      <c r="A451" s="12" t="n">
        <v>446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customFormat="false" ht="15" hidden="false" customHeight="false" outlineLevel="0" collapsed="false">
      <c r="A452" s="12" t="n">
        <v>447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customFormat="false" ht="15" hidden="false" customHeight="false" outlineLevel="0" collapsed="false">
      <c r="A453" s="12" t="n">
        <v>448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customFormat="false" ht="15" hidden="false" customHeight="false" outlineLevel="0" collapsed="false">
      <c r="A454" s="12" t="n">
        <v>449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customFormat="false" ht="15" hidden="false" customHeight="false" outlineLevel="0" collapsed="false">
      <c r="A455" s="12" t="n">
        <v>450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customFormat="false" ht="15" hidden="false" customHeight="false" outlineLevel="0" collapsed="false">
      <c r="A456" s="12" t="n">
        <v>451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customFormat="false" ht="15" hidden="false" customHeight="false" outlineLevel="0" collapsed="false">
      <c r="A457" s="12" t="n">
        <v>452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customFormat="false" ht="15" hidden="false" customHeight="false" outlineLevel="0" collapsed="false">
      <c r="A458" s="12" t="n">
        <v>453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customFormat="false" ht="15" hidden="false" customHeight="false" outlineLevel="0" collapsed="false">
      <c r="A459" s="12" t="n">
        <v>454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customFormat="false" ht="15" hidden="false" customHeight="false" outlineLevel="0" collapsed="false">
      <c r="A460" s="12" t="n">
        <v>455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customFormat="false" ht="15" hidden="false" customHeight="false" outlineLevel="0" collapsed="false">
      <c r="A461" s="12" t="n">
        <v>456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customFormat="false" ht="15" hidden="false" customHeight="false" outlineLevel="0" collapsed="false">
      <c r="A462" s="12" t="n">
        <v>457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customFormat="false" ht="15" hidden="false" customHeight="false" outlineLevel="0" collapsed="false">
      <c r="A463" s="12" t="n">
        <v>458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customFormat="false" ht="15" hidden="false" customHeight="false" outlineLevel="0" collapsed="false">
      <c r="A464" s="12" t="n">
        <v>459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customFormat="false" ht="15" hidden="false" customHeight="false" outlineLevel="0" collapsed="false">
      <c r="A465" s="12" t="n">
        <v>460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customFormat="false" ht="15" hidden="false" customHeight="false" outlineLevel="0" collapsed="false">
      <c r="A466" s="12" t="n">
        <v>461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customFormat="false" ht="15" hidden="false" customHeight="false" outlineLevel="0" collapsed="false">
      <c r="A467" s="12" t="n">
        <v>462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customFormat="false" ht="15" hidden="false" customHeight="false" outlineLevel="0" collapsed="false">
      <c r="A468" s="12" t="n">
        <v>463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customFormat="false" ht="15" hidden="false" customHeight="false" outlineLevel="0" collapsed="false">
      <c r="A469" s="12" t="n">
        <v>464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customFormat="false" ht="15" hidden="false" customHeight="false" outlineLevel="0" collapsed="false">
      <c r="A470" s="12" t="n">
        <v>465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customFormat="false" ht="15" hidden="false" customHeight="false" outlineLevel="0" collapsed="false">
      <c r="A471" s="12" t="n">
        <v>466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customFormat="false" ht="15" hidden="false" customHeight="false" outlineLevel="0" collapsed="false">
      <c r="A472" s="12" t="n">
        <v>467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customFormat="false" ht="15" hidden="false" customHeight="false" outlineLevel="0" collapsed="false">
      <c r="A473" s="12" t="n">
        <v>468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customFormat="false" ht="15" hidden="false" customHeight="false" outlineLevel="0" collapsed="false">
      <c r="A474" s="12" t="n">
        <v>469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customFormat="false" ht="15" hidden="false" customHeight="false" outlineLevel="0" collapsed="false">
      <c r="A475" s="12" t="n">
        <v>470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customFormat="false" ht="15" hidden="false" customHeight="false" outlineLevel="0" collapsed="false">
      <c r="A476" s="12" t="n">
        <v>471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customFormat="false" ht="15" hidden="false" customHeight="false" outlineLevel="0" collapsed="false">
      <c r="A477" s="12" t="n">
        <v>472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customFormat="false" ht="15" hidden="false" customHeight="false" outlineLevel="0" collapsed="false">
      <c r="A478" s="12" t="n">
        <v>473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customFormat="false" ht="15" hidden="false" customHeight="false" outlineLevel="0" collapsed="false">
      <c r="A479" s="12" t="n">
        <v>474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customFormat="false" ht="15" hidden="false" customHeight="false" outlineLevel="0" collapsed="false">
      <c r="A480" s="12" t="n">
        <v>475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customFormat="false" ht="15" hidden="false" customHeight="false" outlineLevel="0" collapsed="false">
      <c r="A481" s="12" t="n">
        <v>476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customFormat="false" ht="15" hidden="false" customHeight="false" outlineLevel="0" collapsed="false">
      <c r="A482" s="12" t="n">
        <v>477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customFormat="false" ht="15" hidden="false" customHeight="false" outlineLevel="0" collapsed="false">
      <c r="A483" s="12" t="n">
        <v>478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customFormat="false" ht="15" hidden="false" customHeight="false" outlineLevel="0" collapsed="false">
      <c r="A484" s="12" t="n">
        <v>479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customFormat="false" ht="15" hidden="false" customHeight="false" outlineLevel="0" collapsed="false">
      <c r="A485" s="12" t="n">
        <v>480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customFormat="false" ht="15" hidden="false" customHeight="false" outlineLevel="0" collapsed="false">
      <c r="A486" s="12" t="n">
        <v>481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customFormat="false" ht="15" hidden="false" customHeight="false" outlineLevel="0" collapsed="false">
      <c r="A487" s="12" t="n">
        <v>482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customFormat="false" ht="15" hidden="false" customHeight="false" outlineLevel="0" collapsed="false">
      <c r="A488" s="12" t="n">
        <v>483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customFormat="false" ht="15" hidden="false" customHeight="false" outlineLevel="0" collapsed="false">
      <c r="A489" s="12" t="n">
        <v>484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customFormat="false" ht="15" hidden="false" customHeight="false" outlineLevel="0" collapsed="false">
      <c r="A490" s="12" t="n">
        <v>485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customFormat="false" ht="15" hidden="false" customHeight="false" outlineLevel="0" collapsed="false">
      <c r="A491" s="12" t="n">
        <v>486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customFormat="false" ht="15" hidden="false" customHeight="false" outlineLevel="0" collapsed="false">
      <c r="A492" s="12" t="n">
        <v>487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customFormat="false" ht="15" hidden="false" customHeight="false" outlineLevel="0" collapsed="false">
      <c r="A493" s="12" t="n">
        <v>488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customFormat="false" ht="15" hidden="false" customHeight="false" outlineLevel="0" collapsed="false">
      <c r="A494" s="12" t="n">
        <v>489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customFormat="false" ht="15" hidden="false" customHeight="false" outlineLevel="0" collapsed="false">
      <c r="A495" s="12" t="n">
        <v>490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customFormat="false" ht="15" hidden="false" customHeight="false" outlineLevel="0" collapsed="false">
      <c r="A496" s="12" t="n">
        <v>491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customFormat="false" ht="15" hidden="false" customHeight="false" outlineLevel="0" collapsed="false">
      <c r="A497" s="12" t="n">
        <v>492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customFormat="false" ht="15" hidden="false" customHeight="false" outlineLevel="0" collapsed="false">
      <c r="A498" s="12" t="n">
        <v>493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customFormat="false" ht="15" hidden="false" customHeight="false" outlineLevel="0" collapsed="false">
      <c r="A499" s="12" t="n">
        <v>494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customFormat="false" ht="15" hidden="false" customHeight="false" outlineLevel="0" collapsed="false">
      <c r="A500" s="12" t="n">
        <v>495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customFormat="false" ht="15" hidden="false" customHeight="false" outlineLevel="0" collapsed="false">
      <c r="A501" s="12" t="n">
        <v>496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customFormat="false" ht="15" hidden="false" customHeight="false" outlineLevel="0" collapsed="false">
      <c r="A502" s="12" t="n">
        <v>497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customFormat="false" ht="15" hidden="false" customHeight="false" outlineLevel="0" collapsed="false">
      <c r="A503" s="12" t="n">
        <v>498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customFormat="false" ht="15" hidden="false" customHeight="false" outlineLevel="0" collapsed="false">
      <c r="A504" s="12" t="n">
        <v>499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customFormat="false" ht="15" hidden="false" customHeight="false" outlineLevel="0" collapsed="false">
      <c r="A505" s="12" t="n">
        <v>500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customFormat="false" ht="15" hidden="false" customHeight="false" outlineLevel="0" collapsed="false">
      <c r="A506" s="12" t="n">
        <v>501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customFormat="false" ht="15" hidden="false" customHeight="false" outlineLevel="0" collapsed="false">
      <c r="A507" s="12" t="n">
        <v>502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customFormat="false" ht="15" hidden="false" customHeight="false" outlineLevel="0" collapsed="false">
      <c r="A508" s="12" t="n">
        <v>503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customFormat="false" ht="15" hidden="false" customHeight="false" outlineLevel="0" collapsed="false">
      <c r="A509" s="12" t="n">
        <v>504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customFormat="false" ht="15" hidden="false" customHeight="false" outlineLevel="0" collapsed="false">
      <c r="A510" s="12" t="n">
        <v>505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customFormat="false" ht="15" hidden="false" customHeight="false" outlineLevel="0" collapsed="false">
      <c r="A511" s="12" t="n">
        <v>506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customFormat="false" ht="15" hidden="false" customHeight="false" outlineLevel="0" collapsed="false">
      <c r="A512" s="12" t="n">
        <v>507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customFormat="false" ht="15" hidden="false" customHeight="false" outlineLevel="0" collapsed="false">
      <c r="A513" s="12" t="n">
        <v>508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customFormat="false" ht="15" hidden="false" customHeight="false" outlineLevel="0" collapsed="false">
      <c r="A514" s="12" t="n">
        <v>509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customFormat="false" ht="15" hidden="false" customHeight="false" outlineLevel="0" collapsed="false">
      <c r="A515" s="12" t="n">
        <v>510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customFormat="false" ht="15" hidden="false" customHeight="false" outlineLevel="0" collapsed="false">
      <c r="A516" s="12" t="n">
        <v>511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customFormat="false" ht="15" hidden="false" customHeight="false" outlineLevel="0" collapsed="false">
      <c r="A517" s="12" t="n">
        <v>512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customFormat="false" ht="15" hidden="false" customHeight="false" outlineLevel="0" collapsed="false">
      <c r="A518" s="12" t="n">
        <v>513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customFormat="false" ht="15" hidden="false" customHeight="false" outlineLevel="0" collapsed="false">
      <c r="A519" s="12" t="n">
        <v>514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customFormat="false" ht="15" hidden="false" customHeight="false" outlineLevel="0" collapsed="false">
      <c r="A520" s="12" t="n">
        <v>515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customFormat="false" ht="15" hidden="false" customHeight="false" outlineLevel="0" collapsed="false">
      <c r="A521" s="12" t="n">
        <v>516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customFormat="false" ht="15" hidden="false" customHeight="false" outlineLevel="0" collapsed="false">
      <c r="A522" s="12" t="n">
        <v>517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customFormat="false" ht="15" hidden="false" customHeight="false" outlineLevel="0" collapsed="false">
      <c r="A523" s="12" t="n">
        <v>518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customFormat="false" ht="15" hidden="false" customHeight="false" outlineLevel="0" collapsed="false">
      <c r="A524" s="12" t="n">
        <v>519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customFormat="false" ht="15" hidden="false" customHeight="false" outlineLevel="0" collapsed="false">
      <c r="A525" s="12" t="n">
        <v>520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customFormat="false" ht="15" hidden="false" customHeight="false" outlineLevel="0" collapsed="false">
      <c r="A526" s="12" t="n">
        <v>521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customFormat="false" ht="15" hidden="false" customHeight="false" outlineLevel="0" collapsed="false">
      <c r="A527" s="12" t="n">
        <v>522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customFormat="false" ht="15" hidden="false" customHeight="false" outlineLevel="0" collapsed="false">
      <c r="A528" s="12" t="n">
        <v>523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customFormat="false" ht="15" hidden="false" customHeight="false" outlineLevel="0" collapsed="false">
      <c r="A529" s="12" t="n">
        <v>524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customFormat="false" ht="15" hidden="false" customHeight="false" outlineLevel="0" collapsed="false">
      <c r="A530" s="12" t="n">
        <v>525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customFormat="false" ht="15" hidden="false" customHeight="false" outlineLevel="0" collapsed="false">
      <c r="A531" s="12" t="n">
        <v>526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customFormat="false" ht="15" hidden="false" customHeight="false" outlineLevel="0" collapsed="false">
      <c r="A532" s="12" t="n">
        <v>527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customFormat="false" ht="15" hidden="false" customHeight="false" outlineLevel="0" collapsed="false">
      <c r="A533" s="12" t="n">
        <v>528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customFormat="false" ht="15" hidden="false" customHeight="false" outlineLevel="0" collapsed="false">
      <c r="A534" s="12" t="n">
        <v>529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customFormat="false" ht="15" hidden="false" customHeight="false" outlineLevel="0" collapsed="false">
      <c r="A535" s="12" t="n">
        <v>530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customFormat="false" ht="15" hidden="false" customHeight="false" outlineLevel="0" collapsed="false">
      <c r="A536" s="12" t="n">
        <v>531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customFormat="false" ht="15" hidden="false" customHeight="false" outlineLevel="0" collapsed="false">
      <c r="A537" s="12" t="n">
        <v>532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customFormat="false" ht="15" hidden="false" customHeight="false" outlineLevel="0" collapsed="false">
      <c r="A538" s="12" t="n">
        <v>533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customFormat="false" ht="15" hidden="false" customHeight="false" outlineLevel="0" collapsed="false">
      <c r="A539" s="12" t="n">
        <v>534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customFormat="false" ht="15" hidden="false" customHeight="false" outlineLevel="0" collapsed="false">
      <c r="A540" s="12" t="n">
        <v>535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customFormat="false" ht="15" hidden="false" customHeight="false" outlineLevel="0" collapsed="false">
      <c r="A541" s="12" t="n">
        <v>536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customFormat="false" ht="15" hidden="false" customHeight="false" outlineLevel="0" collapsed="false">
      <c r="A542" s="12" t="n">
        <v>537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customFormat="false" ht="15" hidden="false" customHeight="false" outlineLevel="0" collapsed="false">
      <c r="A543" s="12" t="n">
        <v>538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customFormat="false" ht="15" hidden="false" customHeight="false" outlineLevel="0" collapsed="false">
      <c r="A544" s="12" t="n">
        <v>539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customFormat="false" ht="15" hidden="false" customHeight="false" outlineLevel="0" collapsed="false">
      <c r="A545" s="12" t="n">
        <v>540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customFormat="false" ht="15" hidden="false" customHeight="false" outlineLevel="0" collapsed="false">
      <c r="A546" s="12" t="n">
        <v>541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customFormat="false" ht="15" hidden="false" customHeight="false" outlineLevel="0" collapsed="false">
      <c r="A547" s="12" t="n">
        <v>542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customFormat="false" ht="15" hidden="false" customHeight="false" outlineLevel="0" collapsed="false">
      <c r="A548" s="12" t="n">
        <v>543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customFormat="false" ht="15" hidden="false" customHeight="false" outlineLevel="0" collapsed="false">
      <c r="A549" s="12" t="n">
        <v>544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customFormat="false" ht="15" hidden="false" customHeight="false" outlineLevel="0" collapsed="false">
      <c r="A550" s="12" t="n">
        <v>545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customFormat="false" ht="15" hidden="false" customHeight="false" outlineLevel="0" collapsed="false">
      <c r="A551" s="12" t="n">
        <v>546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customFormat="false" ht="15" hidden="false" customHeight="false" outlineLevel="0" collapsed="false">
      <c r="A552" s="12" t="n">
        <v>547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customFormat="false" ht="15" hidden="false" customHeight="false" outlineLevel="0" collapsed="false">
      <c r="A553" s="12" t="n">
        <v>548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customFormat="false" ht="15" hidden="false" customHeight="false" outlineLevel="0" collapsed="false">
      <c r="A554" s="12" t="n">
        <v>549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customFormat="false" ht="15" hidden="false" customHeight="false" outlineLevel="0" collapsed="false">
      <c r="A555" s="12" t="n">
        <v>550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customFormat="false" ht="15" hidden="false" customHeight="false" outlineLevel="0" collapsed="false">
      <c r="A556" s="12" t="n">
        <v>551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customFormat="false" ht="15" hidden="false" customHeight="false" outlineLevel="0" collapsed="false">
      <c r="A557" s="12" t="n">
        <v>552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customFormat="false" ht="15" hidden="false" customHeight="false" outlineLevel="0" collapsed="false">
      <c r="A558" s="12" t="n">
        <v>553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customFormat="false" ht="15" hidden="false" customHeight="false" outlineLevel="0" collapsed="false">
      <c r="A559" s="12" t="n">
        <v>554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customFormat="false" ht="15" hidden="false" customHeight="false" outlineLevel="0" collapsed="false">
      <c r="A560" s="12" t="n">
        <v>555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customFormat="false" ht="15" hidden="false" customHeight="false" outlineLevel="0" collapsed="false">
      <c r="A561" s="12" t="n">
        <v>556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customFormat="false" ht="15" hidden="false" customHeight="false" outlineLevel="0" collapsed="false">
      <c r="A562" s="12" t="n">
        <v>557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customFormat="false" ht="15" hidden="false" customHeight="false" outlineLevel="0" collapsed="false">
      <c r="A563" s="12" t="n">
        <v>558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customFormat="false" ht="15" hidden="false" customHeight="false" outlineLevel="0" collapsed="false">
      <c r="A564" s="12" t="n">
        <v>559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customFormat="false" ht="15" hidden="false" customHeight="false" outlineLevel="0" collapsed="false">
      <c r="A565" s="12" t="n">
        <v>560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customFormat="false" ht="15" hidden="false" customHeight="false" outlineLevel="0" collapsed="false">
      <c r="A566" s="12" t="n">
        <v>561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customFormat="false" ht="15" hidden="false" customHeight="false" outlineLevel="0" collapsed="false">
      <c r="A567" s="12" t="n">
        <v>562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customFormat="false" ht="15" hidden="false" customHeight="false" outlineLevel="0" collapsed="false">
      <c r="A568" s="12" t="n">
        <v>563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customFormat="false" ht="15" hidden="false" customHeight="false" outlineLevel="0" collapsed="false">
      <c r="A569" s="12" t="n">
        <v>564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customFormat="false" ht="15" hidden="false" customHeight="false" outlineLevel="0" collapsed="false">
      <c r="A570" s="12" t="n">
        <v>565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customFormat="false" ht="15" hidden="false" customHeight="false" outlineLevel="0" collapsed="false">
      <c r="A571" s="12" t="n">
        <v>566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customFormat="false" ht="15" hidden="false" customHeight="false" outlineLevel="0" collapsed="false">
      <c r="A572" s="12" t="n">
        <v>567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customFormat="false" ht="15" hidden="false" customHeight="false" outlineLevel="0" collapsed="false">
      <c r="A573" s="12" t="n">
        <v>568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customFormat="false" ht="15" hidden="false" customHeight="false" outlineLevel="0" collapsed="false">
      <c r="A574" s="12" t="n">
        <v>569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customFormat="false" ht="15" hidden="false" customHeight="false" outlineLevel="0" collapsed="false">
      <c r="A575" s="12" t="n">
        <v>570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customFormat="false" ht="15" hidden="false" customHeight="false" outlineLevel="0" collapsed="false">
      <c r="A576" s="12" t="n">
        <v>571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customFormat="false" ht="15" hidden="false" customHeight="false" outlineLevel="0" collapsed="false">
      <c r="A577" s="12" t="n">
        <v>572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customFormat="false" ht="15" hidden="false" customHeight="false" outlineLevel="0" collapsed="false">
      <c r="A578" s="12" t="n">
        <v>573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customFormat="false" ht="15" hidden="false" customHeight="false" outlineLevel="0" collapsed="false">
      <c r="A579" s="12" t="n">
        <v>574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customFormat="false" ht="15" hidden="false" customHeight="false" outlineLevel="0" collapsed="false">
      <c r="A580" s="12" t="n">
        <v>575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customFormat="false" ht="15" hidden="false" customHeight="false" outlineLevel="0" collapsed="false">
      <c r="A581" s="12" t="n">
        <v>576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customFormat="false" ht="15" hidden="false" customHeight="false" outlineLevel="0" collapsed="false">
      <c r="A582" s="12" t="n">
        <v>577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customFormat="false" ht="15" hidden="false" customHeight="false" outlineLevel="0" collapsed="false">
      <c r="A583" s="12" t="n">
        <v>578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customFormat="false" ht="15" hidden="false" customHeight="false" outlineLevel="0" collapsed="false">
      <c r="A584" s="12" t="n">
        <v>579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customFormat="false" ht="15" hidden="false" customHeight="false" outlineLevel="0" collapsed="false">
      <c r="A585" s="12" t="n">
        <v>580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customFormat="false" ht="15" hidden="false" customHeight="false" outlineLevel="0" collapsed="false">
      <c r="A586" s="12" t="n">
        <v>581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customFormat="false" ht="15" hidden="false" customHeight="false" outlineLevel="0" collapsed="false">
      <c r="A587" s="12" t="n">
        <v>582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customFormat="false" ht="15" hidden="false" customHeight="false" outlineLevel="0" collapsed="false">
      <c r="A588" s="12" t="n">
        <v>583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customFormat="false" ht="15" hidden="false" customHeight="false" outlineLevel="0" collapsed="false">
      <c r="A589" s="12" t="n">
        <v>584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customFormat="false" ht="15" hidden="false" customHeight="false" outlineLevel="0" collapsed="false">
      <c r="A590" s="12" t="n">
        <v>585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customFormat="false" ht="15" hidden="false" customHeight="false" outlineLevel="0" collapsed="false">
      <c r="A591" s="12" t="n">
        <v>586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customFormat="false" ht="15" hidden="false" customHeight="false" outlineLevel="0" collapsed="false">
      <c r="A592" s="12" t="n">
        <v>587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customFormat="false" ht="15" hidden="false" customHeight="false" outlineLevel="0" collapsed="false">
      <c r="A593" s="12" t="n">
        <v>588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customFormat="false" ht="15" hidden="false" customHeight="false" outlineLevel="0" collapsed="false">
      <c r="A594" s="12" t="n">
        <v>589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customFormat="false" ht="15" hidden="false" customHeight="false" outlineLevel="0" collapsed="false">
      <c r="A595" s="12" t="n">
        <v>590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customFormat="false" ht="15" hidden="false" customHeight="false" outlineLevel="0" collapsed="false">
      <c r="A596" s="12" t="n">
        <v>591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customFormat="false" ht="15" hidden="false" customHeight="false" outlineLevel="0" collapsed="false">
      <c r="A597" s="12" t="n">
        <v>592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customFormat="false" ht="15" hidden="false" customHeight="false" outlineLevel="0" collapsed="false">
      <c r="A598" s="12" t="n">
        <v>593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customFormat="false" ht="15" hidden="false" customHeight="false" outlineLevel="0" collapsed="false">
      <c r="A599" s="12" t="n">
        <v>594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customFormat="false" ht="15" hidden="false" customHeight="false" outlineLevel="0" collapsed="false">
      <c r="A600" s="12" t="n">
        <v>595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customFormat="false" ht="15" hidden="false" customHeight="false" outlineLevel="0" collapsed="false">
      <c r="A601" s="12" t="n">
        <v>596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customFormat="false" ht="15" hidden="false" customHeight="false" outlineLevel="0" collapsed="false">
      <c r="A602" s="12" t="n">
        <v>597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customFormat="false" ht="15" hidden="false" customHeight="false" outlineLevel="0" collapsed="false">
      <c r="A603" s="12" t="n">
        <v>598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customFormat="false" ht="15" hidden="false" customHeight="false" outlineLevel="0" collapsed="false">
      <c r="A604" s="12" t="n">
        <v>599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customFormat="false" ht="15" hidden="false" customHeight="false" outlineLevel="0" collapsed="false">
      <c r="A605" s="12" t="n">
        <v>600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customFormat="false" ht="15" hidden="false" customHeight="false" outlineLevel="0" collapsed="false">
      <c r="A606" s="12" t="n">
        <v>601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customFormat="false" ht="15" hidden="false" customHeight="false" outlineLevel="0" collapsed="false">
      <c r="A607" s="12" t="n">
        <v>602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customFormat="false" ht="15" hidden="false" customHeight="false" outlineLevel="0" collapsed="false">
      <c r="A608" s="12" t="n">
        <v>603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customFormat="false" ht="15" hidden="false" customHeight="false" outlineLevel="0" collapsed="false">
      <c r="A609" s="12" t="n">
        <v>604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customFormat="false" ht="15" hidden="false" customHeight="false" outlineLevel="0" collapsed="false">
      <c r="A610" s="12" t="n">
        <v>605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customFormat="false" ht="15" hidden="false" customHeight="false" outlineLevel="0" collapsed="false">
      <c r="A611" s="12" t="n">
        <v>606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customFormat="false" ht="15" hidden="false" customHeight="false" outlineLevel="0" collapsed="false">
      <c r="A612" s="12" t="n">
        <v>607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customFormat="false" ht="15" hidden="false" customHeight="false" outlineLevel="0" collapsed="false">
      <c r="A613" s="12" t="n">
        <v>608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customFormat="false" ht="15" hidden="false" customHeight="false" outlineLevel="0" collapsed="false">
      <c r="A614" s="12" t="n">
        <v>609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customFormat="false" ht="15" hidden="false" customHeight="false" outlineLevel="0" collapsed="false">
      <c r="A615" s="12" t="n">
        <v>610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customFormat="false" ht="15" hidden="false" customHeight="false" outlineLevel="0" collapsed="false">
      <c r="A616" s="12" t="n">
        <v>611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customFormat="false" ht="15" hidden="false" customHeight="false" outlineLevel="0" collapsed="false">
      <c r="A617" s="12" t="n">
        <v>612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customFormat="false" ht="15" hidden="false" customHeight="false" outlineLevel="0" collapsed="false">
      <c r="A618" s="12" t="n">
        <v>613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customFormat="false" ht="15" hidden="false" customHeight="false" outlineLevel="0" collapsed="false">
      <c r="A619" s="12" t="n">
        <v>614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customFormat="false" ht="15" hidden="false" customHeight="false" outlineLevel="0" collapsed="false">
      <c r="A620" s="12" t="n">
        <v>615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customFormat="false" ht="15" hidden="false" customHeight="false" outlineLevel="0" collapsed="false">
      <c r="A621" s="12" t="n">
        <v>616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customFormat="false" ht="15" hidden="false" customHeight="false" outlineLevel="0" collapsed="false">
      <c r="A622" s="12" t="n">
        <v>617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customFormat="false" ht="15" hidden="false" customHeight="false" outlineLevel="0" collapsed="false">
      <c r="A623" s="12" t="n">
        <v>618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customFormat="false" ht="15" hidden="false" customHeight="false" outlineLevel="0" collapsed="false">
      <c r="A624" s="12" t="n">
        <v>619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customFormat="false" ht="15" hidden="false" customHeight="false" outlineLevel="0" collapsed="false">
      <c r="A625" s="12" t="n">
        <v>620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customFormat="false" ht="15" hidden="false" customHeight="false" outlineLevel="0" collapsed="false">
      <c r="A626" s="12" t="n">
        <v>621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customFormat="false" ht="15" hidden="false" customHeight="false" outlineLevel="0" collapsed="false">
      <c r="A627" s="12" t="n">
        <v>622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customFormat="false" ht="15" hidden="false" customHeight="false" outlineLevel="0" collapsed="false">
      <c r="A628" s="12" t="n">
        <v>623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customFormat="false" ht="15" hidden="false" customHeight="false" outlineLevel="0" collapsed="false">
      <c r="A629" s="12" t="n">
        <v>624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customFormat="false" ht="15" hidden="false" customHeight="false" outlineLevel="0" collapsed="false">
      <c r="A630" s="12" t="n">
        <v>625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customFormat="false" ht="15" hidden="false" customHeight="false" outlineLevel="0" collapsed="false">
      <c r="A631" s="12" t="n">
        <v>626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customFormat="false" ht="15" hidden="false" customHeight="false" outlineLevel="0" collapsed="false">
      <c r="A632" s="12" t="n">
        <v>627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customFormat="false" ht="15" hidden="false" customHeight="false" outlineLevel="0" collapsed="false">
      <c r="A633" s="12" t="n">
        <v>628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customFormat="false" ht="15" hidden="false" customHeight="false" outlineLevel="0" collapsed="false">
      <c r="A634" s="12" t="n">
        <v>629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customFormat="false" ht="15" hidden="false" customHeight="false" outlineLevel="0" collapsed="false">
      <c r="A635" s="12" t="n">
        <v>630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customFormat="false" ht="15" hidden="false" customHeight="false" outlineLevel="0" collapsed="false">
      <c r="A636" s="12" t="n">
        <v>631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customFormat="false" ht="15" hidden="false" customHeight="false" outlineLevel="0" collapsed="false">
      <c r="A637" s="12" t="n">
        <v>632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customFormat="false" ht="15" hidden="false" customHeight="false" outlineLevel="0" collapsed="false">
      <c r="A638" s="12" t="n">
        <v>633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customFormat="false" ht="15" hidden="false" customHeight="false" outlineLevel="0" collapsed="false">
      <c r="A639" s="12" t="n">
        <v>634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customFormat="false" ht="15" hidden="false" customHeight="false" outlineLevel="0" collapsed="false">
      <c r="A640" s="12" t="n">
        <v>635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customFormat="false" ht="15" hidden="false" customHeight="false" outlineLevel="0" collapsed="false">
      <c r="A641" s="12" t="n">
        <v>636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customFormat="false" ht="15" hidden="false" customHeight="false" outlineLevel="0" collapsed="false">
      <c r="A642" s="12" t="n">
        <v>637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customFormat="false" ht="15" hidden="false" customHeight="false" outlineLevel="0" collapsed="false">
      <c r="A643" s="12" t="n">
        <v>638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customFormat="false" ht="15" hidden="false" customHeight="false" outlineLevel="0" collapsed="false">
      <c r="A644" s="12" t="n">
        <v>639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customFormat="false" ht="15" hidden="false" customHeight="false" outlineLevel="0" collapsed="false">
      <c r="A645" s="12" t="n">
        <v>640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customFormat="false" ht="15" hidden="false" customHeight="false" outlineLevel="0" collapsed="false">
      <c r="A646" s="12" t="n">
        <v>641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customFormat="false" ht="15" hidden="false" customHeight="false" outlineLevel="0" collapsed="false">
      <c r="A647" s="12" t="n">
        <v>642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customFormat="false" ht="15" hidden="false" customHeight="false" outlineLevel="0" collapsed="false">
      <c r="A648" s="12" t="n">
        <v>643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customFormat="false" ht="15" hidden="false" customHeight="false" outlineLevel="0" collapsed="false">
      <c r="A649" s="12" t="n">
        <v>644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customFormat="false" ht="15" hidden="false" customHeight="false" outlineLevel="0" collapsed="false">
      <c r="A650" s="12" t="n">
        <v>645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customFormat="false" ht="15" hidden="false" customHeight="false" outlineLevel="0" collapsed="false">
      <c r="A651" s="12" t="n">
        <v>646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customFormat="false" ht="15" hidden="false" customHeight="false" outlineLevel="0" collapsed="false">
      <c r="A652" s="12" t="n">
        <v>647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customFormat="false" ht="15" hidden="false" customHeight="false" outlineLevel="0" collapsed="false">
      <c r="A653" s="12" t="n">
        <v>648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customFormat="false" ht="15" hidden="false" customHeight="false" outlineLevel="0" collapsed="false">
      <c r="A654" s="12" t="n">
        <v>649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customFormat="false" ht="15" hidden="false" customHeight="false" outlineLevel="0" collapsed="false">
      <c r="A655" s="12" t="n">
        <v>650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customFormat="false" ht="15" hidden="false" customHeight="false" outlineLevel="0" collapsed="false">
      <c r="A656" s="12" t="n">
        <v>651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customFormat="false" ht="15" hidden="false" customHeight="false" outlineLevel="0" collapsed="false">
      <c r="A657" s="12" t="n">
        <v>652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customFormat="false" ht="15" hidden="false" customHeight="false" outlineLevel="0" collapsed="false">
      <c r="A658" s="12" t="n">
        <v>653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customFormat="false" ht="15" hidden="false" customHeight="false" outlineLevel="0" collapsed="false">
      <c r="A659" s="12" t="n">
        <v>654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customFormat="false" ht="15" hidden="false" customHeight="false" outlineLevel="0" collapsed="false">
      <c r="A660" s="12" t="n">
        <v>655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customFormat="false" ht="15" hidden="false" customHeight="false" outlineLevel="0" collapsed="false">
      <c r="A661" s="12" t="n">
        <v>656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customFormat="false" ht="15" hidden="false" customHeight="false" outlineLevel="0" collapsed="false">
      <c r="A662" s="12" t="n">
        <v>657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customFormat="false" ht="15" hidden="false" customHeight="false" outlineLevel="0" collapsed="false">
      <c r="A663" s="12" t="n">
        <v>658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customFormat="false" ht="15" hidden="false" customHeight="false" outlineLevel="0" collapsed="false">
      <c r="A664" s="12" t="n">
        <v>659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customFormat="false" ht="15" hidden="false" customHeight="false" outlineLevel="0" collapsed="false">
      <c r="A665" s="12" t="n">
        <v>660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customFormat="false" ht="15" hidden="false" customHeight="false" outlineLevel="0" collapsed="false">
      <c r="A666" s="12" t="n">
        <v>661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customFormat="false" ht="15" hidden="false" customHeight="false" outlineLevel="0" collapsed="false">
      <c r="A667" s="12" t="n">
        <v>662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customFormat="false" ht="15" hidden="false" customHeight="false" outlineLevel="0" collapsed="false">
      <c r="A668" s="12" t="n">
        <v>663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customFormat="false" ht="15" hidden="false" customHeight="false" outlineLevel="0" collapsed="false">
      <c r="A669" s="12" t="n">
        <v>664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customFormat="false" ht="15" hidden="false" customHeight="false" outlineLevel="0" collapsed="false">
      <c r="A670" s="12" t="n">
        <v>665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customFormat="false" ht="15" hidden="false" customHeight="false" outlineLevel="0" collapsed="false">
      <c r="A671" s="12" t="n">
        <v>666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customFormat="false" ht="15" hidden="false" customHeight="false" outlineLevel="0" collapsed="false">
      <c r="A672" s="12" t="n">
        <v>667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customFormat="false" ht="15" hidden="false" customHeight="false" outlineLevel="0" collapsed="false">
      <c r="A673" s="12" t="n">
        <v>668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customFormat="false" ht="15" hidden="false" customHeight="false" outlineLevel="0" collapsed="false">
      <c r="A674" s="12" t="n">
        <v>669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customFormat="false" ht="15" hidden="false" customHeight="false" outlineLevel="0" collapsed="false">
      <c r="A675" s="12" t="n">
        <v>670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customFormat="false" ht="15" hidden="false" customHeight="false" outlineLevel="0" collapsed="false">
      <c r="A676" s="12" t="n">
        <v>671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customFormat="false" ht="15" hidden="false" customHeight="false" outlineLevel="0" collapsed="false">
      <c r="A677" s="12" t="n">
        <v>672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customFormat="false" ht="15" hidden="false" customHeight="false" outlineLevel="0" collapsed="false">
      <c r="A678" s="12" t="n">
        <v>673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customFormat="false" ht="15" hidden="false" customHeight="false" outlineLevel="0" collapsed="false">
      <c r="A679" s="12" t="n">
        <v>674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customFormat="false" ht="15" hidden="false" customHeight="false" outlineLevel="0" collapsed="false">
      <c r="A680" s="12" t="n">
        <v>675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customFormat="false" ht="15" hidden="false" customHeight="false" outlineLevel="0" collapsed="false">
      <c r="A681" s="12" t="n">
        <v>676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customFormat="false" ht="15" hidden="false" customHeight="false" outlineLevel="0" collapsed="false">
      <c r="A682" s="12" t="n">
        <v>677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customFormat="false" ht="15" hidden="false" customHeight="false" outlineLevel="0" collapsed="false">
      <c r="A683" s="12" t="n">
        <v>678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customFormat="false" ht="15" hidden="false" customHeight="false" outlineLevel="0" collapsed="false">
      <c r="A684" s="12" t="n">
        <v>679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customFormat="false" ht="15" hidden="false" customHeight="false" outlineLevel="0" collapsed="false">
      <c r="A685" s="12" t="n">
        <v>680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customFormat="false" ht="15" hidden="false" customHeight="false" outlineLevel="0" collapsed="false">
      <c r="A686" s="12" t="n">
        <v>681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customFormat="false" ht="15" hidden="false" customHeight="false" outlineLevel="0" collapsed="false">
      <c r="A687" s="12" t="n">
        <v>682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customFormat="false" ht="15" hidden="false" customHeight="false" outlineLevel="0" collapsed="false">
      <c r="A688" s="12" t="n">
        <v>683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customFormat="false" ht="15" hidden="false" customHeight="false" outlineLevel="0" collapsed="false">
      <c r="A689" s="12" t="n">
        <v>684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customFormat="false" ht="15" hidden="false" customHeight="false" outlineLevel="0" collapsed="false">
      <c r="A690" s="12" t="n">
        <v>685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customFormat="false" ht="15" hidden="false" customHeight="false" outlineLevel="0" collapsed="false">
      <c r="A691" s="12" t="n">
        <v>686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customFormat="false" ht="15" hidden="false" customHeight="false" outlineLevel="0" collapsed="false">
      <c r="A692" s="12" t="n">
        <v>687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customFormat="false" ht="15" hidden="false" customHeight="false" outlineLevel="0" collapsed="false">
      <c r="A693" s="12" t="n">
        <v>688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customFormat="false" ht="15" hidden="false" customHeight="false" outlineLevel="0" collapsed="false">
      <c r="A694" s="12" t="n">
        <v>689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customFormat="false" ht="15" hidden="false" customHeight="false" outlineLevel="0" collapsed="false">
      <c r="A695" s="12" t="n">
        <v>690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customFormat="false" ht="15" hidden="false" customHeight="false" outlineLevel="0" collapsed="false">
      <c r="A696" s="12" t="n">
        <v>691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customFormat="false" ht="15" hidden="false" customHeight="false" outlineLevel="0" collapsed="false">
      <c r="A697" s="12" t="n">
        <v>692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customFormat="false" ht="15" hidden="false" customHeight="false" outlineLevel="0" collapsed="false">
      <c r="A698" s="12" t="n">
        <v>693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customFormat="false" ht="15" hidden="false" customHeight="false" outlineLevel="0" collapsed="false">
      <c r="A699" s="12" t="n">
        <v>694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customFormat="false" ht="15" hidden="false" customHeight="false" outlineLevel="0" collapsed="false">
      <c r="A700" s="12" t="n">
        <v>695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customFormat="false" ht="15" hidden="false" customHeight="false" outlineLevel="0" collapsed="false">
      <c r="A701" s="12" t="n">
        <v>696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customFormat="false" ht="15" hidden="false" customHeight="false" outlineLevel="0" collapsed="false">
      <c r="A702" s="12" t="n">
        <v>697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customFormat="false" ht="15" hidden="false" customHeight="false" outlineLevel="0" collapsed="false">
      <c r="A703" s="12" t="n">
        <v>698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customFormat="false" ht="15" hidden="false" customHeight="false" outlineLevel="0" collapsed="false">
      <c r="A704" s="12" t="n">
        <v>699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customFormat="false" ht="15" hidden="false" customHeight="false" outlineLevel="0" collapsed="false">
      <c r="A705" s="12" t="n">
        <v>700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customFormat="false" ht="15" hidden="false" customHeight="false" outlineLevel="0" collapsed="false">
      <c r="A706" s="12" t="n">
        <v>701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customFormat="false" ht="15" hidden="false" customHeight="false" outlineLevel="0" collapsed="false">
      <c r="A707" s="12" t="n">
        <v>702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customFormat="false" ht="15" hidden="false" customHeight="false" outlineLevel="0" collapsed="false">
      <c r="A708" s="12" t="n">
        <v>703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customFormat="false" ht="15" hidden="false" customHeight="false" outlineLevel="0" collapsed="false">
      <c r="A709" s="12" t="n">
        <v>704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customFormat="false" ht="15" hidden="false" customHeight="false" outlineLevel="0" collapsed="false">
      <c r="A710" s="12" t="n">
        <v>705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customFormat="false" ht="15" hidden="false" customHeight="false" outlineLevel="0" collapsed="false">
      <c r="A711" s="12" t="n">
        <v>706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customFormat="false" ht="15" hidden="false" customHeight="false" outlineLevel="0" collapsed="false">
      <c r="A712" s="12" t="n">
        <v>707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customFormat="false" ht="15" hidden="false" customHeight="false" outlineLevel="0" collapsed="false">
      <c r="A713" s="12" t="n">
        <v>708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customFormat="false" ht="15" hidden="false" customHeight="false" outlineLevel="0" collapsed="false">
      <c r="A714" s="12" t="n">
        <v>709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customFormat="false" ht="15" hidden="false" customHeight="false" outlineLevel="0" collapsed="false">
      <c r="A715" s="12" t="n">
        <v>710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customFormat="false" ht="15" hidden="false" customHeight="false" outlineLevel="0" collapsed="false">
      <c r="A716" s="12" t="n">
        <v>711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customFormat="false" ht="15" hidden="false" customHeight="false" outlineLevel="0" collapsed="false">
      <c r="A717" s="12" t="n">
        <v>712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customFormat="false" ht="15" hidden="false" customHeight="false" outlineLevel="0" collapsed="false">
      <c r="A718" s="12" t="n">
        <v>713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customFormat="false" ht="15" hidden="false" customHeight="false" outlineLevel="0" collapsed="false">
      <c r="A719" s="12" t="n">
        <v>714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customFormat="false" ht="15" hidden="false" customHeight="false" outlineLevel="0" collapsed="false">
      <c r="A720" s="12" t="n">
        <v>715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customFormat="false" ht="15" hidden="false" customHeight="false" outlineLevel="0" collapsed="false">
      <c r="A721" s="12" t="n">
        <v>716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customFormat="false" ht="15" hidden="false" customHeight="false" outlineLevel="0" collapsed="false">
      <c r="A722" s="12" t="n">
        <v>717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customFormat="false" ht="15" hidden="false" customHeight="false" outlineLevel="0" collapsed="false">
      <c r="A723" s="12" t="n">
        <v>718</v>
      </c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customFormat="false" ht="15" hidden="false" customHeight="false" outlineLevel="0" collapsed="false">
      <c r="A724" s="12" t="n">
        <v>719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customFormat="false" ht="15" hidden="false" customHeight="false" outlineLevel="0" collapsed="false">
      <c r="A725" s="12" t="n">
        <v>720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customFormat="false" ht="15" hidden="false" customHeight="false" outlineLevel="0" collapsed="false">
      <c r="A726" s="12" t="n">
        <v>721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customFormat="false" ht="15" hidden="false" customHeight="false" outlineLevel="0" collapsed="false">
      <c r="A727" s="12" t="n">
        <v>722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customFormat="false" ht="15" hidden="false" customHeight="false" outlineLevel="0" collapsed="false">
      <c r="A728" s="12" t="n">
        <v>723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customFormat="false" ht="15" hidden="false" customHeight="false" outlineLevel="0" collapsed="false">
      <c r="A729" s="12" t="n">
        <v>724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customFormat="false" ht="15" hidden="false" customHeight="false" outlineLevel="0" collapsed="false">
      <c r="A730" s="12" t="n">
        <v>725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customFormat="false" ht="15" hidden="false" customHeight="false" outlineLevel="0" collapsed="false">
      <c r="A731" s="12" t="n">
        <v>726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customFormat="false" ht="15" hidden="false" customHeight="false" outlineLevel="0" collapsed="false">
      <c r="A732" s="12" t="n">
        <v>727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customFormat="false" ht="15" hidden="false" customHeight="false" outlineLevel="0" collapsed="false">
      <c r="A733" s="12" t="n">
        <v>728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customFormat="false" ht="15" hidden="false" customHeight="false" outlineLevel="0" collapsed="false">
      <c r="A734" s="12" t="n">
        <v>729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customFormat="false" ht="15" hidden="false" customHeight="false" outlineLevel="0" collapsed="false">
      <c r="A735" s="12" t="n">
        <v>730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customFormat="false" ht="15" hidden="false" customHeight="false" outlineLevel="0" collapsed="false">
      <c r="A736" s="12" t="n">
        <v>731</v>
      </c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customFormat="false" ht="15" hidden="false" customHeight="false" outlineLevel="0" collapsed="false">
      <c r="A737" s="12" t="n">
        <v>732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customFormat="false" ht="15" hidden="false" customHeight="false" outlineLevel="0" collapsed="false">
      <c r="A738" s="12" t="n">
        <v>733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customFormat="false" ht="15" hidden="false" customHeight="false" outlineLevel="0" collapsed="false">
      <c r="A739" s="12" t="n">
        <v>734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customFormat="false" ht="15" hidden="false" customHeight="false" outlineLevel="0" collapsed="false">
      <c r="A740" s="12" t="n">
        <v>735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customFormat="false" ht="15" hidden="false" customHeight="false" outlineLevel="0" collapsed="false">
      <c r="A741" s="12" t="n">
        <v>736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customFormat="false" ht="15" hidden="false" customHeight="false" outlineLevel="0" collapsed="false">
      <c r="A742" s="12" t="n">
        <v>737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customFormat="false" ht="15" hidden="false" customHeight="false" outlineLevel="0" collapsed="false">
      <c r="A743" s="12" t="n">
        <v>738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customFormat="false" ht="15" hidden="false" customHeight="false" outlineLevel="0" collapsed="false">
      <c r="A744" s="12" t="n">
        <v>739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customFormat="false" ht="15" hidden="false" customHeight="false" outlineLevel="0" collapsed="false">
      <c r="A745" s="12" t="n">
        <v>740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customFormat="false" ht="15" hidden="false" customHeight="false" outlineLevel="0" collapsed="false">
      <c r="A746" s="12" t="n">
        <v>741</v>
      </c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customFormat="false" ht="15" hidden="false" customHeight="false" outlineLevel="0" collapsed="false">
      <c r="A747" s="12" t="n">
        <v>742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customFormat="false" ht="15" hidden="false" customHeight="false" outlineLevel="0" collapsed="false">
      <c r="A748" s="12" t="n">
        <v>743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customFormat="false" ht="15" hidden="false" customHeight="false" outlineLevel="0" collapsed="false">
      <c r="A749" s="12" t="n">
        <v>744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customFormat="false" ht="15" hidden="false" customHeight="false" outlineLevel="0" collapsed="false">
      <c r="A750" s="12" t="n">
        <v>745</v>
      </c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customFormat="false" ht="15" hidden="false" customHeight="false" outlineLevel="0" collapsed="false">
      <c r="A751" s="12" t="n">
        <v>746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customFormat="false" ht="15" hidden="false" customHeight="false" outlineLevel="0" collapsed="false">
      <c r="A752" s="12" t="n">
        <v>747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customFormat="false" ht="15" hidden="false" customHeight="false" outlineLevel="0" collapsed="false">
      <c r="A753" s="12" t="n">
        <v>748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customFormat="false" ht="15" hidden="false" customHeight="false" outlineLevel="0" collapsed="false">
      <c r="A754" s="12" t="n">
        <v>749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customFormat="false" ht="15" hidden="false" customHeight="false" outlineLevel="0" collapsed="false">
      <c r="A755" s="12" t="n">
        <v>750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customFormat="false" ht="15" hidden="false" customHeight="false" outlineLevel="0" collapsed="false">
      <c r="A756" s="12" t="n">
        <v>751</v>
      </c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customFormat="false" ht="15" hidden="false" customHeight="false" outlineLevel="0" collapsed="false">
      <c r="A757" s="12" t="n">
        <v>752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customFormat="false" ht="15" hidden="false" customHeight="false" outlineLevel="0" collapsed="false">
      <c r="A758" s="12" t="n">
        <v>753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customFormat="false" ht="15" hidden="false" customHeight="false" outlineLevel="0" collapsed="false">
      <c r="A759" s="12" t="n">
        <v>754</v>
      </c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customFormat="false" ht="15" hidden="false" customHeight="false" outlineLevel="0" collapsed="false">
      <c r="A760" s="12" t="n">
        <v>755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customFormat="false" ht="15" hidden="false" customHeight="false" outlineLevel="0" collapsed="false">
      <c r="A761" s="12" t="n">
        <v>756</v>
      </c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customFormat="false" ht="15" hidden="false" customHeight="false" outlineLevel="0" collapsed="false">
      <c r="A762" s="12" t="n">
        <v>757</v>
      </c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customFormat="false" ht="15" hidden="false" customHeight="false" outlineLevel="0" collapsed="false">
      <c r="A763" s="12" t="n">
        <v>758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customFormat="false" ht="15" hidden="false" customHeight="false" outlineLevel="0" collapsed="false">
      <c r="A764" s="12" t="n">
        <v>759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customFormat="false" ht="15" hidden="false" customHeight="false" outlineLevel="0" collapsed="false">
      <c r="A765" s="12" t="n">
        <v>760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customFormat="false" ht="15" hidden="false" customHeight="false" outlineLevel="0" collapsed="false">
      <c r="A766" s="12" t="n">
        <v>761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customFormat="false" ht="15" hidden="false" customHeight="false" outlineLevel="0" collapsed="false">
      <c r="A767" s="12" t="n">
        <v>762</v>
      </c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customFormat="false" ht="15" hidden="false" customHeight="false" outlineLevel="0" collapsed="false">
      <c r="A768" s="12" t="n">
        <v>763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customFormat="false" ht="15" hidden="false" customHeight="false" outlineLevel="0" collapsed="false">
      <c r="A769" s="12" t="n">
        <v>764</v>
      </c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customFormat="false" ht="15" hidden="false" customHeight="false" outlineLevel="0" collapsed="false">
      <c r="A770" s="12" t="n">
        <v>765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customFormat="false" ht="15" hidden="false" customHeight="false" outlineLevel="0" collapsed="false">
      <c r="A771" s="12" t="n">
        <v>766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customFormat="false" ht="15" hidden="false" customHeight="false" outlineLevel="0" collapsed="false">
      <c r="A772" s="12" t="n">
        <v>767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customFormat="false" ht="15" hidden="false" customHeight="false" outlineLevel="0" collapsed="false">
      <c r="A773" s="12" t="n">
        <v>768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customFormat="false" ht="15" hidden="false" customHeight="false" outlineLevel="0" collapsed="false">
      <c r="A774" s="12" t="n">
        <v>769</v>
      </c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customFormat="false" ht="15" hidden="false" customHeight="false" outlineLevel="0" collapsed="false">
      <c r="A775" s="12" t="n">
        <v>770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customFormat="false" ht="15" hidden="false" customHeight="false" outlineLevel="0" collapsed="false">
      <c r="A776" s="12" t="n">
        <v>771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customFormat="false" ht="15" hidden="false" customHeight="false" outlineLevel="0" collapsed="false">
      <c r="A777" s="12" t="n">
        <v>772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customFormat="false" ht="15" hidden="false" customHeight="false" outlineLevel="0" collapsed="false">
      <c r="A778" s="12" t="n">
        <v>773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customFormat="false" ht="15" hidden="false" customHeight="false" outlineLevel="0" collapsed="false">
      <c r="A779" s="12" t="n">
        <v>774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customFormat="false" ht="15" hidden="false" customHeight="false" outlineLevel="0" collapsed="false">
      <c r="A780" s="12" t="n">
        <v>775</v>
      </c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customFormat="false" ht="15" hidden="false" customHeight="false" outlineLevel="0" collapsed="false">
      <c r="A781" s="12" t="n">
        <v>776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customFormat="false" ht="15" hidden="false" customHeight="false" outlineLevel="0" collapsed="false">
      <c r="A782" s="12" t="n">
        <v>777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customFormat="false" ht="15" hidden="false" customHeight="false" outlineLevel="0" collapsed="false">
      <c r="A783" s="12" t="n">
        <v>778</v>
      </c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customFormat="false" ht="15" hidden="false" customHeight="false" outlineLevel="0" collapsed="false">
      <c r="A784" s="12" t="n">
        <v>779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customFormat="false" ht="15" hidden="false" customHeight="false" outlineLevel="0" collapsed="false">
      <c r="A785" s="12" t="n">
        <v>780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customFormat="false" ht="15" hidden="false" customHeight="false" outlineLevel="0" collapsed="false">
      <c r="A786" s="12" t="n">
        <v>781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customFormat="false" ht="15" hidden="false" customHeight="false" outlineLevel="0" collapsed="false">
      <c r="A787" s="12" t="n">
        <v>782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customFormat="false" ht="15" hidden="false" customHeight="false" outlineLevel="0" collapsed="false">
      <c r="A788" s="12" t="n">
        <v>783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customFormat="false" ht="15" hidden="false" customHeight="false" outlineLevel="0" collapsed="false">
      <c r="A789" s="12" t="n">
        <v>784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customFormat="false" ht="15" hidden="false" customHeight="false" outlineLevel="0" collapsed="false">
      <c r="A790" s="12" t="n">
        <v>785</v>
      </c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customFormat="false" ht="15" hidden="false" customHeight="false" outlineLevel="0" collapsed="false">
      <c r="A791" s="12" t="n">
        <v>786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customFormat="false" ht="15" hidden="false" customHeight="false" outlineLevel="0" collapsed="false">
      <c r="A792" s="12" t="n">
        <v>787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customFormat="false" ht="15" hidden="false" customHeight="false" outlineLevel="0" collapsed="false">
      <c r="A793" s="12" t="n">
        <v>788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customFormat="false" ht="15" hidden="false" customHeight="false" outlineLevel="0" collapsed="false">
      <c r="A794" s="12" t="n">
        <v>789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customFormat="false" ht="15" hidden="false" customHeight="false" outlineLevel="0" collapsed="false">
      <c r="A795" s="12" t="n">
        <v>790</v>
      </c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customFormat="false" ht="15" hidden="false" customHeight="false" outlineLevel="0" collapsed="false">
      <c r="A796" s="12" t="n">
        <v>791</v>
      </c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customFormat="false" ht="15" hidden="false" customHeight="false" outlineLevel="0" collapsed="false">
      <c r="A797" s="12" t="n">
        <v>792</v>
      </c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customFormat="false" ht="15" hidden="false" customHeight="false" outlineLevel="0" collapsed="false">
      <c r="A798" s="12" t="n">
        <v>793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customFormat="false" ht="15" hidden="false" customHeight="false" outlineLevel="0" collapsed="false">
      <c r="A799" s="12" t="n">
        <v>794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customFormat="false" ht="15" hidden="false" customHeight="false" outlineLevel="0" collapsed="false">
      <c r="A800" s="12" t="n">
        <v>795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customFormat="false" ht="15" hidden="false" customHeight="false" outlineLevel="0" collapsed="false">
      <c r="A801" s="12" t="n">
        <v>796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customFormat="false" ht="15" hidden="false" customHeight="false" outlineLevel="0" collapsed="false">
      <c r="A802" s="12" t="n">
        <v>797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customFormat="false" ht="15" hidden="false" customHeight="false" outlineLevel="0" collapsed="false">
      <c r="A803" s="12" t="n">
        <v>798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customFormat="false" ht="15" hidden="false" customHeight="false" outlineLevel="0" collapsed="false">
      <c r="A804" s="12" t="n">
        <v>799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customFormat="false" ht="15" hidden="false" customHeight="false" outlineLevel="0" collapsed="false">
      <c r="A805" s="12" t="n">
        <v>800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customFormat="false" ht="15" hidden="false" customHeight="false" outlineLevel="0" collapsed="false">
      <c r="A806" s="12" t="n">
        <v>801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customFormat="false" ht="15" hidden="false" customHeight="false" outlineLevel="0" collapsed="false">
      <c r="A807" s="12" t="n">
        <v>802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customFormat="false" ht="15" hidden="false" customHeight="false" outlineLevel="0" collapsed="false">
      <c r="A808" s="12" t="n">
        <v>803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customFormat="false" ht="15" hidden="false" customHeight="false" outlineLevel="0" collapsed="false">
      <c r="A809" s="12" t="n">
        <v>804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customFormat="false" ht="15" hidden="false" customHeight="false" outlineLevel="0" collapsed="false">
      <c r="A810" s="12" t="n">
        <v>805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customFormat="false" ht="15" hidden="false" customHeight="false" outlineLevel="0" collapsed="false">
      <c r="A811" s="12" t="n">
        <v>806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customFormat="false" ht="15" hidden="false" customHeight="false" outlineLevel="0" collapsed="false">
      <c r="A812" s="12" t="n">
        <v>807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customFormat="false" ht="15" hidden="false" customHeight="false" outlineLevel="0" collapsed="false">
      <c r="A813" s="12" t="n">
        <v>808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customFormat="false" ht="15" hidden="false" customHeight="false" outlineLevel="0" collapsed="false">
      <c r="A814" s="12" t="n">
        <v>809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customFormat="false" ht="15" hidden="false" customHeight="false" outlineLevel="0" collapsed="false">
      <c r="A815" s="12" t="n">
        <v>810</v>
      </c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customFormat="false" ht="15" hidden="false" customHeight="false" outlineLevel="0" collapsed="false">
      <c r="A816" s="12" t="n">
        <v>811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customFormat="false" ht="15" hidden="false" customHeight="false" outlineLevel="0" collapsed="false">
      <c r="A817" s="12" t="n">
        <v>812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customFormat="false" ht="15" hidden="false" customHeight="false" outlineLevel="0" collapsed="false">
      <c r="A818" s="12" t="n">
        <v>813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customFormat="false" ht="15" hidden="false" customHeight="false" outlineLevel="0" collapsed="false">
      <c r="A819" s="12" t="n">
        <v>814</v>
      </c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customFormat="false" ht="15" hidden="false" customHeight="false" outlineLevel="0" collapsed="false">
      <c r="A820" s="12" t="n">
        <v>815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customFormat="false" ht="15" hidden="false" customHeight="false" outlineLevel="0" collapsed="false">
      <c r="A821" s="12" t="n">
        <v>816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customFormat="false" ht="15" hidden="false" customHeight="false" outlineLevel="0" collapsed="false">
      <c r="A822" s="12" t="n">
        <v>817</v>
      </c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customFormat="false" ht="15" hidden="false" customHeight="false" outlineLevel="0" collapsed="false">
      <c r="A823" s="12" t="n">
        <v>818</v>
      </c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customFormat="false" ht="15" hidden="false" customHeight="false" outlineLevel="0" collapsed="false">
      <c r="A824" s="12" t="n">
        <v>819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customFormat="false" ht="15" hidden="false" customHeight="false" outlineLevel="0" collapsed="false">
      <c r="A825" s="12" t="n">
        <v>820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customFormat="false" ht="15" hidden="false" customHeight="false" outlineLevel="0" collapsed="false">
      <c r="A826" s="12" t="n">
        <v>821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customFormat="false" ht="15" hidden="false" customHeight="false" outlineLevel="0" collapsed="false">
      <c r="A827" s="12" t="n">
        <v>822</v>
      </c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customFormat="false" ht="15" hidden="false" customHeight="false" outlineLevel="0" collapsed="false">
      <c r="A828" s="12" t="n">
        <v>823</v>
      </c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customFormat="false" ht="15" hidden="false" customHeight="false" outlineLevel="0" collapsed="false">
      <c r="A829" s="12" t="n">
        <v>824</v>
      </c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customFormat="false" ht="15" hidden="false" customHeight="false" outlineLevel="0" collapsed="false">
      <c r="A830" s="12" t="n">
        <v>825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customFormat="false" ht="15" hidden="false" customHeight="false" outlineLevel="0" collapsed="false">
      <c r="A831" s="12" t="n">
        <v>826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customFormat="false" ht="15" hidden="false" customHeight="false" outlineLevel="0" collapsed="false">
      <c r="A832" s="12" t="n">
        <v>827</v>
      </c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customFormat="false" ht="15" hidden="false" customHeight="false" outlineLevel="0" collapsed="false">
      <c r="A833" s="12" t="n">
        <v>828</v>
      </c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customFormat="false" ht="15" hidden="false" customHeight="false" outlineLevel="0" collapsed="false">
      <c r="A834" s="12" t="n">
        <v>829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customFormat="false" ht="15" hidden="false" customHeight="false" outlineLevel="0" collapsed="false">
      <c r="A835" s="12" t="n">
        <v>830</v>
      </c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customFormat="false" ht="15" hidden="false" customHeight="false" outlineLevel="0" collapsed="false">
      <c r="A836" s="12" t="n">
        <v>831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customFormat="false" ht="15" hidden="false" customHeight="false" outlineLevel="0" collapsed="false">
      <c r="A837" s="12" t="n">
        <v>832</v>
      </c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customFormat="false" ht="15" hidden="false" customHeight="false" outlineLevel="0" collapsed="false">
      <c r="A838" s="12" t="n">
        <v>833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customFormat="false" ht="15" hidden="false" customHeight="false" outlineLevel="0" collapsed="false">
      <c r="A839" s="12" t="n">
        <v>834</v>
      </c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customFormat="false" ht="15" hidden="false" customHeight="false" outlineLevel="0" collapsed="false">
      <c r="A840" s="12" t="n">
        <v>835</v>
      </c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customFormat="false" ht="15" hidden="false" customHeight="false" outlineLevel="0" collapsed="false">
      <c r="A841" s="12" t="n">
        <v>836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customFormat="false" ht="15" hidden="false" customHeight="false" outlineLevel="0" collapsed="false">
      <c r="A842" s="12" t="n">
        <v>837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customFormat="false" ht="15" hidden="false" customHeight="false" outlineLevel="0" collapsed="false">
      <c r="A843" s="12" t="n">
        <v>838</v>
      </c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customFormat="false" ht="15" hidden="false" customHeight="false" outlineLevel="0" collapsed="false">
      <c r="A844" s="12" t="n">
        <v>839</v>
      </c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customFormat="false" ht="15" hidden="false" customHeight="false" outlineLevel="0" collapsed="false">
      <c r="A845" s="12" t="n">
        <v>840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customFormat="false" ht="15" hidden="false" customHeight="false" outlineLevel="0" collapsed="false">
      <c r="A846" s="12" t="n">
        <v>841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customFormat="false" ht="15" hidden="false" customHeight="false" outlineLevel="0" collapsed="false">
      <c r="A847" s="12" t="n">
        <v>842</v>
      </c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customFormat="false" ht="15" hidden="false" customHeight="false" outlineLevel="0" collapsed="false">
      <c r="A848" s="12" t="n">
        <v>843</v>
      </c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customFormat="false" ht="15" hidden="false" customHeight="false" outlineLevel="0" collapsed="false">
      <c r="A849" s="12" t="n">
        <v>844</v>
      </c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customFormat="false" ht="15" hidden="false" customHeight="false" outlineLevel="0" collapsed="false">
      <c r="A850" s="12" t="n">
        <v>845</v>
      </c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customFormat="false" ht="15" hidden="false" customHeight="false" outlineLevel="0" collapsed="false">
      <c r="A851" s="12" t="n">
        <v>846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customFormat="false" ht="15" hidden="false" customHeight="false" outlineLevel="0" collapsed="false">
      <c r="A852" s="12" t="n">
        <v>847</v>
      </c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customFormat="false" ht="15" hidden="false" customHeight="false" outlineLevel="0" collapsed="false">
      <c r="A853" s="12" t="n">
        <v>848</v>
      </c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customFormat="false" ht="15" hidden="false" customHeight="false" outlineLevel="0" collapsed="false">
      <c r="A854" s="12" t="n">
        <v>849</v>
      </c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customFormat="false" ht="15" hidden="false" customHeight="false" outlineLevel="0" collapsed="false">
      <c r="A855" s="12" t="n">
        <v>850</v>
      </c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customFormat="false" ht="15" hidden="false" customHeight="false" outlineLevel="0" collapsed="false">
      <c r="A856" s="12" t="n">
        <v>851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customFormat="false" ht="15" hidden="false" customHeight="false" outlineLevel="0" collapsed="false">
      <c r="A857" s="12" t="n">
        <v>852</v>
      </c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customFormat="false" ht="15" hidden="false" customHeight="false" outlineLevel="0" collapsed="false">
      <c r="A858" s="12" t="n">
        <v>853</v>
      </c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customFormat="false" ht="15" hidden="false" customHeight="false" outlineLevel="0" collapsed="false">
      <c r="A859" s="12" t="n">
        <v>854</v>
      </c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customFormat="false" ht="15" hidden="false" customHeight="false" outlineLevel="0" collapsed="false">
      <c r="A860" s="12" t="n">
        <v>855</v>
      </c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customFormat="false" ht="15" hidden="false" customHeight="false" outlineLevel="0" collapsed="false">
      <c r="A861" s="12" t="n">
        <v>856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customFormat="false" ht="15" hidden="false" customHeight="false" outlineLevel="0" collapsed="false">
      <c r="A862" s="12" t="n">
        <v>857</v>
      </c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customFormat="false" ht="15" hidden="false" customHeight="false" outlineLevel="0" collapsed="false">
      <c r="A863" s="12" t="n">
        <v>858</v>
      </c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customFormat="false" ht="15" hidden="false" customHeight="false" outlineLevel="0" collapsed="false">
      <c r="A864" s="12" t="n">
        <v>859</v>
      </c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customFormat="false" ht="15" hidden="false" customHeight="false" outlineLevel="0" collapsed="false">
      <c r="A865" s="12" t="n">
        <v>860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customFormat="false" ht="15" hidden="false" customHeight="false" outlineLevel="0" collapsed="false">
      <c r="A866" s="12" t="n">
        <v>861</v>
      </c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customFormat="false" ht="15" hidden="false" customHeight="false" outlineLevel="0" collapsed="false">
      <c r="A867" s="12" t="n">
        <v>862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customFormat="false" ht="15" hidden="false" customHeight="false" outlineLevel="0" collapsed="false">
      <c r="A868" s="12" t="n">
        <v>863</v>
      </c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customFormat="false" ht="15" hidden="false" customHeight="false" outlineLevel="0" collapsed="false">
      <c r="A869" s="12" t="n">
        <v>864</v>
      </c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customFormat="false" ht="15" hidden="false" customHeight="false" outlineLevel="0" collapsed="false">
      <c r="A870" s="12" t="n">
        <v>865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customFormat="false" ht="15" hidden="false" customHeight="false" outlineLevel="0" collapsed="false">
      <c r="A871" s="12" t="n">
        <v>866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customFormat="false" ht="15" hidden="false" customHeight="false" outlineLevel="0" collapsed="false">
      <c r="A872" s="12" t="n">
        <v>867</v>
      </c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customFormat="false" ht="15" hidden="false" customHeight="false" outlineLevel="0" collapsed="false">
      <c r="A873" s="12" t="n">
        <v>868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customFormat="false" ht="15" hidden="false" customHeight="false" outlineLevel="0" collapsed="false">
      <c r="A874" s="12" t="n">
        <v>869</v>
      </c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customFormat="false" ht="15" hidden="false" customHeight="false" outlineLevel="0" collapsed="false">
      <c r="A875" s="12" t="n">
        <v>870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customFormat="false" ht="15" hidden="false" customHeight="false" outlineLevel="0" collapsed="false">
      <c r="A876" s="12" t="n">
        <v>871</v>
      </c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customFormat="false" ht="15" hidden="false" customHeight="false" outlineLevel="0" collapsed="false">
      <c r="A877" s="12" t="n">
        <v>872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customFormat="false" ht="15" hidden="false" customHeight="false" outlineLevel="0" collapsed="false">
      <c r="A878" s="12" t="n">
        <v>873</v>
      </c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customFormat="false" ht="15" hidden="false" customHeight="false" outlineLevel="0" collapsed="false">
      <c r="A879" s="12" t="n">
        <v>874</v>
      </c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customFormat="false" ht="15" hidden="false" customHeight="false" outlineLevel="0" collapsed="false">
      <c r="A880" s="12" t="n">
        <v>875</v>
      </c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customFormat="false" ht="15" hidden="false" customHeight="false" outlineLevel="0" collapsed="false">
      <c r="A881" s="12" t="n">
        <v>876</v>
      </c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customFormat="false" ht="15" hidden="false" customHeight="false" outlineLevel="0" collapsed="false">
      <c r="A882" s="12" t="n">
        <v>877</v>
      </c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customFormat="false" ht="15" hidden="false" customHeight="false" outlineLevel="0" collapsed="false">
      <c r="A883" s="12" t="n">
        <v>878</v>
      </c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customFormat="false" ht="15" hidden="false" customHeight="false" outlineLevel="0" collapsed="false">
      <c r="A884" s="12" t="n">
        <v>879</v>
      </c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customFormat="false" ht="15" hidden="false" customHeight="false" outlineLevel="0" collapsed="false">
      <c r="A885" s="12" t="n">
        <v>880</v>
      </c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customFormat="false" ht="15" hidden="false" customHeight="false" outlineLevel="0" collapsed="false">
      <c r="A886" s="12" t="n">
        <v>881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customFormat="false" ht="15" hidden="false" customHeight="false" outlineLevel="0" collapsed="false">
      <c r="A887" s="12" t="n">
        <v>882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customFormat="false" ht="15" hidden="false" customHeight="false" outlineLevel="0" collapsed="false">
      <c r="A888" s="12" t="n">
        <v>883</v>
      </c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customFormat="false" ht="15" hidden="false" customHeight="false" outlineLevel="0" collapsed="false">
      <c r="A889" s="12" t="n">
        <v>884</v>
      </c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customFormat="false" ht="15" hidden="false" customHeight="false" outlineLevel="0" collapsed="false">
      <c r="A890" s="12" t="n">
        <v>885</v>
      </c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customFormat="false" ht="15" hidden="false" customHeight="false" outlineLevel="0" collapsed="false">
      <c r="A891" s="12" t="n">
        <v>886</v>
      </c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customFormat="false" ht="15" hidden="false" customHeight="false" outlineLevel="0" collapsed="false">
      <c r="A892" s="12" t="n">
        <v>887</v>
      </c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customFormat="false" ht="15" hidden="false" customHeight="false" outlineLevel="0" collapsed="false">
      <c r="A893" s="12" t="n">
        <v>888</v>
      </c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customFormat="false" ht="15" hidden="false" customHeight="false" outlineLevel="0" collapsed="false">
      <c r="A894" s="12" t="n">
        <v>889</v>
      </c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customFormat="false" ht="15" hidden="false" customHeight="false" outlineLevel="0" collapsed="false">
      <c r="A895" s="12" t="n">
        <v>890</v>
      </c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customFormat="false" ht="15" hidden="false" customHeight="false" outlineLevel="0" collapsed="false">
      <c r="A896" s="12" t="n">
        <v>891</v>
      </c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customFormat="false" ht="15" hidden="false" customHeight="false" outlineLevel="0" collapsed="false">
      <c r="A897" s="12" t="n">
        <v>892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customFormat="false" ht="15" hidden="false" customHeight="false" outlineLevel="0" collapsed="false">
      <c r="A898" s="12" t="n">
        <v>893</v>
      </c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customFormat="false" ht="15" hidden="false" customHeight="false" outlineLevel="0" collapsed="false">
      <c r="A899" s="12" t="n">
        <v>894</v>
      </c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customFormat="false" ht="15" hidden="false" customHeight="false" outlineLevel="0" collapsed="false">
      <c r="A900" s="12" t="n">
        <v>895</v>
      </c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customFormat="false" ht="15" hidden="false" customHeight="false" outlineLevel="0" collapsed="false">
      <c r="A901" s="12" t="n">
        <v>896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customFormat="false" ht="15" hidden="false" customHeight="false" outlineLevel="0" collapsed="false">
      <c r="A902" s="12" t="n">
        <v>897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customFormat="false" ht="15" hidden="false" customHeight="false" outlineLevel="0" collapsed="false">
      <c r="A903" s="12" t="n">
        <v>898</v>
      </c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customFormat="false" ht="15" hidden="false" customHeight="false" outlineLevel="0" collapsed="false">
      <c r="A904" s="12" t="n">
        <v>899</v>
      </c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customFormat="false" ht="15" hidden="false" customHeight="false" outlineLevel="0" collapsed="false">
      <c r="A905" s="12" t="n">
        <v>900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customFormat="false" ht="15" hidden="false" customHeight="false" outlineLevel="0" collapsed="false">
      <c r="A906" s="12" t="n">
        <v>901</v>
      </c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customFormat="false" ht="15" hidden="false" customHeight="false" outlineLevel="0" collapsed="false">
      <c r="A907" s="12" t="n">
        <v>902</v>
      </c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customFormat="false" ht="15" hidden="false" customHeight="false" outlineLevel="0" collapsed="false">
      <c r="A908" s="12" t="n">
        <v>903</v>
      </c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customFormat="false" ht="15" hidden="false" customHeight="false" outlineLevel="0" collapsed="false">
      <c r="A909" s="12" t="n">
        <v>904</v>
      </c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customFormat="false" ht="15" hidden="false" customHeight="false" outlineLevel="0" collapsed="false">
      <c r="A910" s="12" t="n">
        <v>905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customFormat="false" ht="15" hidden="false" customHeight="false" outlineLevel="0" collapsed="false">
      <c r="A911" s="12" t="n">
        <v>906</v>
      </c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customFormat="false" ht="15" hidden="false" customHeight="false" outlineLevel="0" collapsed="false">
      <c r="A912" s="12" t="n">
        <v>907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customFormat="false" ht="15" hidden="false" customHeight="false" outlineLevel="0" collapsed="false">
      <c r="A913" s="12" t="n">
        <v>908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customFormat="false" ht="15" hidden="false" customHeight="false" outlineLevel="0" collapsed="false">
      <c r="A914" s="12" t="n">
        <v>909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customFormat="false" ht="15" hidden="false" customHeight="false" outlineLevel="0" collapsed="false">
      <c r="A915" s="12" t="n">
        <v>910</v>
      </c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customFormat="false" ht="15" hidden="false" customHeight="false" outlineLevel="0" collapsed="false">
      <c r="A916" s="12" t="n">
        <v>911</v>
      </c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customFormat="false" ht="15" hidden="false" customHeight="false" outlineLevel="0" collapsed="false">
      <c r="A917" s="12" t="n">
        <v>912</v>
      </c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customFormat="false" ht="15" hidden="false" customHeight="false" outlineLevel="0" collapsed="false">
      <c r="A918" s="12" t="n">
        <v>913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customFormat="false" ht="15" hidden="false" customHeight="false" outlineLevel="0" collapsed="false">
      <c r="A919" s="12" t="n">
        <v>914</v>
      </c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customFormat="false" ht="15" hidden="false" customHeight="false" outlineLevel="0" collapsed="false">
      <c r="A920" s="12" t="n">
        <v>915</v>
      </c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customFormat="false" ht="15" hidden="false" customHeight="false" outlineLevel="0" collapsed="false">
      <c r="A921" s="12" t="n">
        <v>916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customFormat="false" ht="15" hidden="false" customHeight="false" outlineLevel="0" collapsed="false">
      <c r="A922" s="12" t="n">
        <v>917</v>
      </c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customFormat="false" ht="15" hidden="false" customHeight="false" outlineLevel="0" collapsed="false">
      <c r="A923" s="12" t="n">
        <v>918</v>
      </c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customFormat="false" ht="15" hidden="false" customHeight="false" outlineLevel="0" collapsed="false">
      <c r="A924" s="12" t="n">
        <v>919</v>
      </c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customFormat="false" ht="15" hidden="false" customHeight="false" outlineLevel="0" collapsed="false">
      <c r="A925" s="12" t="n">
        <v>920</v>
      </c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customFormat="false" ht="15" hidden="false" customHeight="false" outlineLevel="0" collapsed="false">
      <c r="A926" s="12" t="n">
        <v>921</v>
      </c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customFormat="false" ht="15" hidden="false" customHeight="false" outlineLevel="0" collapsed="false">
      <c r="A927" s="12" t="n">
        <v>922</v>
      </c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customFormat="false" ht="15" hidden="false" customHeight="false" outlineLevel="0" collapsed="false">
      <c r="A928" s="12" t="n">
        <v>923</v>
      </c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customFormat="false" ht="15" hidden="false" customHeight="false" outlineLevel="0" collapsed="false">
      <c r="A929" s="12" t="n">
        <v>924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customFormat="false" ht="15" hidden="false" customHeight="false" outlineLevel="0" collapsed="false">
      <c r="A930" s="12" t="n">
        <v>925</v>
      </c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customFormat="false" ht="15" hidden="false" customHeight="false" outlineLevel="0" collapsed="false">
      <c r="A931" s="12" t="n">
        <v>926</v>
      </c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customFormat="false" ht="15" hidden="false" customHeight="false" outlineLevel="0" collapsed="false">
      <c r="A932" s="12" t="n">
        <v>927</v>
      </c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customFormat="false" ht="15" hidden="false" customHeight="false" outlineLevel="0" collapsed="false">
      <c r="A933" s="12" t="n">
        <v>928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customFormat="false" ht="15" hidden="false" customHeight="false" outlineLevel="0" collapsed="false">
      <c r="A934" s="12" t="n">
        <v>929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customFormat="false" ht="15" hidden="false" customHeight="false" outlineLevel="0" collapsed="false">
      <c r="A935" s="12" t="n">
        <v>930</v>
      </c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customFormat="false" ht="15" hidden="false" customHeight="false" outlineLevel="0" collapsed="false">
      <c r="A936" s="12" t="n">
        <v>931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customFormat="false" ht="15" hidden="false" customHeight="false" outlineLevel="0" collapsed="false">
      <c r="A937" s="12" t="n">
        <v>932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customFormat="false" ht="15" hidden="false" customHeight="false" outlineLevel="0" collapsed="false">
      <c r="A938" s="12" t="n">
        <v>933</v>
      </c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customFormat="false" ht="15" hidden="false" customHeight="false" outlineLevel="0" collapsed="false">
      <c r="A939" s="12" t="n">
        <v>934</v>
      </c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customFormat="false" ht="15" hidden="false" customHeight="false" outlineLevel="0" collapsed="false">
      <c r="A940" s="12" t="n">
        <v>935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customFormat="false" ht="15" hidden="false" customHeight="false" outlineLevel="0" collapsed="false">
      <c r="A941" s="12" t="n">
        <v>936</v>
      </c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customFormat="false" ht="15" hidden="false" customHeight="false" outlineLevel="0" collapsed="false">
      <c r="A942" s="12" t="n">
        <v>937</v>
      </c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customFormat="false" ht="15" hidden="false" customHeight="false" outlineLevel="0" collapsed="false">
      <c r="A943" s="12" t="n">
        <v>938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customFormat="false" ht="15" hidden="false" customHeight="false" outlineLevel="0" collapsed="false">
      <c r="A944" s="12" t="n">
        <v>939</v>
      </c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customFormat="false" ht="15" hidden="false" customHeight="false" outlineLevel="0" collapsed="false">
      <c r="A945" s="12" t="n">
        <v>940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customFormat="false" ht="15" hidden="false" customHeight="false" outlineLevel="0" collapsed="false">
      <c r="A946" s="12" t="n">
        <v>941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customFormat="false" ht="15" hidden="false" customHeight="false" outlineLevel="0" collapsed="false">
      <c r="A947" s="12" t="n">
        <v>942</v>
      </c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customFormat="false" ht="15" hidden="false" customHeight="false" outlineLevel="0" collapsed="false">
      <c r="A948" s="12" t="n">
        <v>943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customFormat="false" ht="15" hidden="false" customHeight="false" outlineLevel="0" collapsed="false">
      <c r="A949" s="12" t="n">
        <v>944</v>
      </c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customFormat="false" ht="15" hidden="false" customHeight="false" outlineLevel="0" collapsed="false">
      <c r="A950" s="12" t="n">
        <v>945</v>
      </c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customFormat="false" ht="15" hidden="false" customHeight="false" outlineLevel="0" collapsed="false">
      <c r="A951" s="12" t="n">
        <v>946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customFormat="false" ht="15" hidden="false" customHeight="false" outlineLevel="0" collapsed="false">
      <c r="A952" s="12" t="n">
        <v>947</v>
      </c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customFormat="false" ht="15" hidden="false" customHeight="false" outlineLevel="0" collapsed="false">
      <c r="A953" s="12" t="n">
        <v>948</v>
      </c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customFormat="false" ht="15" hidden="false" customHeight="false" outlineLevel="0" collapsed="false">
      <c r="A954" s="12" t="n">
        <v>949</v>
      </c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customFormat="false" ht="15" hidden="false" customHeight="false" outlineLevel="0" collapsed="false">
      <c r="A955" s="12" t="n">
        <v>950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customFormat="false" ht="15" hidden="false" customHeight="false" outlineLevel="0" collapsed="false">
      <c r="A956" s="12" t="n">
        <v>951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customFormat="false" ht="15" hidden="false" customHeight="false" outlineLevel="0" collapsed="false">
      <c r="A957" s="12" t="n">
        <v>952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customFormat="false" ht="15" hidden="false" customHeight="false" outlineLevel="0" collapsed="false">
      <c r="A958" s="12" t="n">
        <v>953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customFormat="false" ht="15" hidden="false" customHeight="false" outlineLevel="0" collapsed="false">
      <c r="A959" s="12" t="n">
        <v>954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customFormat="false" ht="15" hidden="false" customHeight="false" outlineLevel="0" collapsed="false">
      <c r="A960" s="12" t="n">
        <v>955</v>
      </c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customFormat="false" ht="15" hidden="false" customHeight="false" outlineLevel="0" collapsed="false">
      <c r="A961" s="12" t="n">
        <v>956</v>
      </c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customFormat="false" ht="15" hidden="false" customHeight="false" outlineLevel="0" collapsed="false">
      <c r="A962" s="12" t="n">
        <v>957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customFormat="false" ht="15" hidden="false" customHeight="false" outlineLevel="0" collapsed="false">
      <c r="A963" s="12" t="n">
        <v>958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customFormat="false" ht="15" hidden="false" customHeight="false" outlineLevel="0" collapsed="false">
      <c r="A964" s="12" t="n">
        <v>959</v>
      </c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customFormat="false" ht="15" hidden="false" customHeight="false" outlineLevel="0" collapsed="false">
      <c r="A965" s="12" t="n">
        <v>960</v>
      </c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customFormat="false" ht="15" hidden="false" customHeight="false" outlineLevel="0" collapsed="false">
      <c r="A966" s="12" t="n">
        <v>961</v>
      </c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customFormat="false" ht="15" hidden="false" customHeight="false" outlineLevel="0" collapsed="false">
      <c r="A967" s="12" t="n">
        <v>962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customFormat="false" ht="15" hidden="false" customHeight="false" outlineLevel="0" collapsed="false">
      <c r="A968" s="12" t="n">
        <v>963</v>
      </c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customFormat="false" ht="15" hidden="false" customHeight="false" outlineLevel="0" collapsed="false">
      <c r="A969" s="12" t="n">
        <v>964</v>
      </c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customFormat="false" ht="15" hidden="false" customHeight="false" outlineLevel="0" collapsed="false">
      <c r="A970" s="12" t="n">
        <v>965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customFormat="false" ht="15" hidden="false" customHeight="false" outlineLevel="0" collapsed="false">
      <c r="A971" s="12" t="n">
        <v>966</v>
      </c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customFormat="false" ht="15" hidden="false" customHeight="false" outlineLevel="0" collapsed="false">
      <c r="A972" s="12" t="n">
        <v>967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customFormat="false" ht="15" hidden="false" customHeight="false" outlineLevel="0" collapsed="false">
      <c r="A973" s="12" t="n">
        <v>968</v>
      </c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customFormat="false" ht="15" hidden="false" customHeight="false" outlineLevel="0" collapsed="false">
      <c r="A974" s="12" t="n">
        <v>969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customFormat="false" ht="15" hidden="false" customHeight="false" outlineLevel="0" collapsed="false">
      <c r="A975" s="12" t="n">
        <v>970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customFormat="false" ht="15" hidden="false" customHeight="false" outlineLevel="0" collapsed="false">
      <c r="A976" s="12" t="n">
        <v>971</v>
      </c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customFormat="false" ht="15" hidden="false" customHeight="false" outlineLevel="0" collapsed="false">
      <c r="A977" s="12" t="n">
        <v>972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customFormat="false" ht="15" hidden="false" customHeight="false" outlineLevel="0" collapsed="false">
      <c r="A978" s="12" t="n">
        <v>973</v>
      </c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customFormat="false" ht="15" hidden="false" customHeight="false" outlineLevel="0" collapsed="false">
      <c r="A979" s="12" t="n">
        <v>974</v>
      </c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customFormat="false" ht="15" hidden="false" customHeight="false" outlineLevel="0" collapsed="false">
      <c r="A980" s="12" t="n">
        <v>975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customFormat="false" ht="15" hidden="false" customHeight="false" outlineLevel="0" collapsed="false">
      <c r="A981" s="12" t="n">
        <v>976</v>
      </c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customFormat="false" ht="15" hidden="false" customHeight="false" outlineLevel="0" collapsed="false">
      <c r="A982" s="12" t="n">
        <v>977</v>
      </c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customFormat="false" ht="15" hidden="false" customHeight="false" outlineLevel="0" collapsed="false">
      <c r="A983" s="12" t="n">
        <v>978</v>
      </c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customFormat="false" ht="15" hidden="false" customHeight="false" outlineLevel="0" collapsed="false">
      <c r="A984" s="12" t="n">
        <v>979</v>
      </c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customFormat="false" ht="15" hidden="false" customHeight="false" outlineLevel="0" collapsed="false">
      <c r="A985" s="12" t="n">
        <v>980</v>
      </c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customFormat="false" ht="15" hidden="false" customHeight="false" outlineLevel="0" collapsed="false">
      <c r="A986" s="12" t="n">
        <v>981</v>
      </c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customFormat="false" ht="15" hidden="false" customHeight="false" outlineLevel="0" collapsed="false">
      <c r="A987" s="12" t="n">
        <v>982</v>
      </c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customFormat="false" ht="15" hidden="false" customHeight="false" outlineLevel="0" collapsed="false">
      <c r="A988" s="12" t="n">
        <v>983</v>
      </c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customFormat="false" ht="15" hidden="false" customHeight="false" outlineLevel="0" collapsed="false">
      <c r="A989" s="12" t="n">
        <v>984</v>
      </c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customFormat="false" ht="15" hidden="false" customHeight="false" outlineLevel="0" collapsed="false">
      <c r="A990" s="12" t="n">
        <v>985</v>
      </c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customFormat="false" ht="15" hidden="false" customHeight="false" outlineLevel="0" collapsed="false">
      <c r="A991" s="12" t="n">
        <v>986</v>
      </c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customFormat="false" ht="15" hidden="false" customHeight="false" outlineLevel="0" collapsed="false">
      <c r="A992" s="12" t="n">
        <v>987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customFormat="false" ht="15" hidden="false" customHeight="false" outlineLevel="0" collapsed="false">
      <c r="A993" s="12" t="n">
        <v>988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customFormat="false" ht="15" hidden="false" customHeight="false" outlineLevel="0" collapsed="false">
      <c r="A994" s="12" t="n">
        <v>989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customFormat="false" ht="15" hidden="false" customHeight="false" outlineLevel="0" collapsed="false">
      <c r="A995" s="12" t="n">
        <v>990</v>
      </c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customFormat="false" ht="15" hidden="false" customHeight="false" outlineLevel="0" collapsed="false">
      <c r="A996" s="12" t="n">
        <v>991</v>
      </c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customFormat="false" ht="15" hidden="false" customHeight="false" outlineLevel="0" collapsed="false">
      <c r="A997" s="12" t="n">
        <v>992</v>
      </c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customFormat="false" ht="15" hidden="false" customHeight="false" outlineLevel="0" collapsed="false">
      <c r="A998" s="12" t="n">
        <v>993</v>
      </c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customFormat="false" ht="15" hidden="false" customHeight="false" outlineLevel="0" collapsed="false">
      <c r="A999" s="12" t="n">
        <v>994</v>
      </c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customFormat="false" ht="15" hidden="false" customHeight="false" outlineLevel="0" collapsed="false">
      <c r="A1000" s="12" t="n">
        <v>995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customFormat="false" ht="15" hidden="false" customHeight="false" outlineLevel="0" collapsed="false">
      <c r="A1001" s="12" t="n">
        <v>996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customFormat="false" ht="15" hidden="false" customHeight="false" outlineLevel="0" collapsed="false">
      <c r="A1002" s="12" t="n">
        <v>997</v>
      </c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 customFormat="false" ht="15" hidden="false" customHeight="false" outlineLevel="0" collapsed="false">
      <c r="A1003" s="12" t="n">
        <v>998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customFormat="false" ht="15" hidden="false" customHeight="false" outlineLevel="0" collapsed="false">
      <c r="A1004" s="12" t="n">
        <v>999</v>
      </c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 customFormat="false" ht="15" hidden="false" customHeight="false" outlineLevel="0" collapsed="false">
      <c r="A1005" s="12" t="n">
        <v>1000</v>
      </c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</sheetData>
  <dataValidations count="1">
    <dataValidation allowBlank="true" error="Nilai tidak ada di daftar kategori (sheet Pengaturan)." errorStyle="warning" errorTitle="Kategori tidak dikenal" operator="between" showDropDown="false" showErrorMessage="false" showInputMessage="false" sqref="B6:U1005" type="list">
      <formula1>Pengaturan!$B$8:$B$27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22"/>
  </cols>
  <sheetData>
    <row r="1" customFormat="false" ht="17.35" hidden="false" customHeight="false" outlineLevel="0" collapsed="false">
      <c r="B1" s="6" t="s">
        <v>68</v>
      </c>
    </row>
    <row r="2" customFormat="false" ht="15" hidden="false" customHeight="false" outlineLevel="0" collapsed="false">
      <c r="B2" s="7" t="s">
        <v>69</v>
      </c>
    </row>
    <row r="4" customFormat="false" ht="15" hidden="false" customHeight="false" outlineLevel="0" collapsed="false">
      <c r="B4" s="14" t="s">
        <v>70</v>
      </c>
      <c r="C4" s="15" t="n">
        <f aca="false">MAX(Hitung!V6:V1005)</f>
        <v>4</v>
      </c>
    </row>
    <row r="5" customFormat="false" ht="15" hidden="false" customHeight="false" outlineLevel="0" collapsed="false">
      <c r="B5" s="14" t="s">
        <v>71</v>
      </c>
      <c r="C5" s="15" t="n">
        <f aca="false">COUNTIF(Hitung!W6:W1005,"OK")</f>
        <v>25</v>
      </c>
    </row>
    <row r="6" customFormat="false" ht="15" hidden="false" customHeight="false" outlineLevel="0" collapsed="false">
      <c r="B6" s="14" t="s">
        <v>72</v>
      </c>
      <c r="C6" s="15" t="n">
        <f aca="false">C5*C4</f>
        <v>100</v>
      </c>
    </row>
    <row r="7" customFormat="false" ht="15" hidden="false" customHeight="false" outlineLevel="0" collapsed="false">
      <c r="B7" s="14" t="s">
        <v>73</v>
      </c>
      <c r="C7" s="15" t="n">
        <f aca="false">COUNTIF(Matriks!W6:W25,"&gt;0")</f>
        <v>5</v>
      </c>
    </row>
    <row r="8" customFormat="false" ht="15" hidden="false" customHeight="false" outlineLevel="0" collapsed="false">
      <c r="B8" s="14" t="s">
        <v>74</v>
      </c>
      <c r="C8" s="15" t="n">
        <f aca="false">SUM(Hitung!X6:X1005)</f>
        <v>0</v>
      </c>
    </row>
    <row r="9" customFormat="false" ht="15" hidden="false" customHeight="false" outlineLevel="0" collapsed="false">
      <c r="B9" s="14" t="s">
        <v>75</v>
      </c>
      <c r="C9" s="16" t="str">
        <f aca="false">IF(AND(C4&gt;=2,C5&gt;=1,C8=0),"VALID","PERIKSA DATA")</f>
        <v>VALID</v>
      </c>
    </row>
    <row r="10" customFormat="false" ht="15" hidden="false" customHeight="false" outlineLevel="0" collapsed="false">
      <c r="B10" s="14" t="s">
        <v>76</v>
      </c>
      <c r="C10" s="15" t="str">
        <f aca="false">IFERROR(INDEX(Data!A6:A1005,MATCH(1,Hitung!X6:X1005,0)),"-")</f>
        <v>-</v>
      </c>
    </row>
    <row r="12" customFormat="false" ht="15" hidden="false" customHeight="false" outlineLevel="0" collapsed="false">
      <c r="B12" s="11" t="s">
        <v>77</v>
      </c>
      <c r="C12" s="11" t="s">
        <v>78</v>
      </c>
      <c r="D12" s="11" t="s">
        <v>34</v>
      </c>
    </row>
    <row r="13" customFormat="false" ht="15" hidden="false" customHeight="false" outlineLevel="0" collapsed="false">
      <c r="B13" s="14" t="s">
        <v>79</v>
      </c>
      <c r="C13" s="17" t="n">
        <f aca="false">IF($C$9="VALID",SUMPRODUCT(Matriks!$C$6:$V$25,Matriks!$C$56:$V$75)/$C$6,"-")</f>
        <v>0.506666666666667</v>
      </c>
      <c r="D13" s="17" t="n">
        <f aca="false">IF($C$9="VALID",SUMPRODUCT(Matriks!$C$6:$V$25,Matriks!$C$81:$V$100)/$C$6,"-")</f>
        <v>392.236666666667</v>
      </c>
    </row>
    <row r="14" customFormat="false" ht="15" hidden="false" customHeight="false" outlineLevel="0" collapsed="false">
      <c r="B14" s="14" t="s">
        <v>80</v>
      </c>
      <c r="C14" s="17" t="n">
        <f aca="false">IF($C$9="VALID",SUMPRODUCT(Matriks!$C$31:$V$50,Matriks!$C$56:$V$75)/$C$6,"-")</f>
        <v>0.79010101010101</v>
      </c>
      <c r="D14" s="17" t="n">
        <f aca="false">IF($C$9="VALID",SUMPRODUCT(Matriks!$C$31:$V$50,Matriks!$C$81:$V$100)/$C$6,"-")</f>
        <v>1598.60606060606</v>
      </c>
    </row>
    <row r="15" customFormat="false" ht="15" hidden="false" customHeight="false" outlineLevel="0" collapsed="false">
      <c r="B15" s="18" t="s">
        <v>81</v>
      </c>
      <c r="C15" s="19" t="n">
        <f aca="false">IF(AND(ISNUMBER(C13),ISNUMBER(C14)),IF(C14=0,"n/a",1-C13/C14),"-")</f>
        <v>0.358731782152902</v>
      </c>
      <c r="D15" s="19" t="n">
        <f aca="false">IF(AND(ISNUMBER(D13),ISNUMBER(D14)),IF(D14=0,"n/a",1-D13/D14),"-")</f>
        <v>0.754638321264738</v>
      </c>
    </row>
    <row r="16" customFormat="false" ht="15" hidden="false" customHeight="false" outlineLevel="0" collapsed="false">
      <c r="B16" s="14" t="s">
        <v>82</v>
      </c>
      <c r="C16" s="12" t="str">
        <f aca="false">IF(ISNUMBER(C15),IF(C15&gt;=0.8,"Reliabel",IF(C15&gt;=0.667,"Tentatif","Tidak reliabel")),"-")</f>
        <v>Tidak reliabel</v>
      </c>
      <c r="D16" s="12" t="str">
        <f aca="false">IF(ISNUMBER(D15),IF(D15&gt;=0.8,"Reliabel",IF(D15&gt;=0.667,"Tentatif","Tidak reliabel")),"-")</f>
        <v>Tentatif</v>
      </c>
    </row>
    <row r="18" customFormat="false" ht="15" hidden="false" customHeight="false" outlineLevel="0" collapsed="false">
      <c r="B18" s="20" t="s">
        <v>83</v>
      </c>
      <c r="C18" s="21" t="str">
        <f aca="false">Pengaturan!C4</f>
        <v>Ordinal</v>
      </c>
    </row>
    <row r="19" customFormat="false" ht="17.35" hidden="false" customHeight="false" outlineLevel="0" collapsed="false">
      <c r="B19" s="20" t="s">
        <v>84</v>
      </c>
      <c r="C19" s="22" t="n">
        <f aca="false">IF(C18="Nominal",C15,D15)</f>
        <v>0.754638321264738</v>
      </c>
    </row>
    <row r="20" customFormat="false" ht="15" hidden="false" customHeight="false" outlineLevel="0" collapsed="false">
      <c r="B20" s="20" t="s">
        <v>82</v>
      </c>
      <c r="C20" s="21" t="str">
        <f aca="false">IF(C18="Nominal",C16,D16)</f>
        <v>Tentatif</v>
      </c>
    </row>
    <row r="21" customFormat="false" ht="15" hidden="false" customHeight="false" outlineLevel="0" collapsed="false">
      <c r="B21" s="7" t="s">
        <v>85</v>
      </c>
    </row>
    <row r="23" customFormat="false" ht="15" hidden="false" customHeight="false" outlineLevel="0" collapsed="false">
      <c r="B23" s="8" t="s">
        <v>86</v>
      </c>
    </row>
    <row r="24" customFormat="false" ht="15" hidden="false" customHeight="false" outlineLevel="0" collapsed="false">
      <c r="B24" s="11" t="s">
        <v>37</v>
      </c>
      <c r="C24" s="11" t="s">
        <v>87</v>
      </c>
      <c r="D24" s="11" t="s">
        <v>88</v>
      </c>
      <c r="E24" s="11" t="s">
        <v>89</v>
      </c>
    </row>
    <row r="25" customFormat="false" ht="15" hidden="false" customHeight="false" outlineLevel="0" collapsed="false">
      <c r="B25" s="12" t="n">
        <f aca="false">IF(INDEX(Pengaturan!$B$8:$B$27,1)="","",INDEX(Pengaturan!$B$8:$B$27,1))</f>
        <v>1</v>
      </c>
      <c r="C25" s="12" t="str">
        <f aca="false">IF(B25="","",IF(INDEX(Pengaturan!$C$8:$C$27,1)="","",INDEX(Pengaturan!$C$8:$C$27,1)))</f>
        <v>Sangat rendah</v>
      </c>
      <c r="D25" s="23" t="n">
        <f aca="false">IF(B25="","",Matriks!W6)</f>
        <v>22</v>
      </c>
      <c r="E25" s="24" t="n">
        <f aca="false">IF(OR(B25="",$C$6=0),"",D25/$C$6)</f>
        <v>0.22</v>
      </c>
    </row>
    <row r="26" customFormat="false" ht="15" hidden="false" customHeight="false" outlineLevel="0" collapsed="false">
      <c r="B26" s="12" t="n">
        <f aca="false">IF(INDEX(Pengaturan!$B$8:$B$27,2)="","",INDEX(Pengaturan!$B$8:$B$27,2))</f>
        <v>2</v>
      </c>
      <c r="C26" s="12" t="str">
        <f aca="false">IF(B26="","",IF(INDEX(Pengaturan!$C$8:$C$27,2)="","",INDEX(Pengaturan!$C$8:$C$27,2)))</f>
        <v>Rendah</v>
      </c>
      <c r="D26" s="23" t="n">
        <f aca="false">IF(B26="","",Matriks!W7)</f>
        <v>14</v>
      </c>
      <c r="E26" s="24" t="n">
        <f aca="false">IF(OR(B26="",$C$6=0),"",D26/$C$6)</f>
        <v>0.14</v>
      </c>
    </row>
    <row r="27" customFormat="false" ht="15" hidden="false" customHeight="false" outlineLevel="0" collapsed="false">
      <c r="B27" s="12" t="n">
        <f aca="false">IF(INDEX(Pengaturan!$B$8:$B$27,3)="","",INDEX(Pengaturan!$B$8:$B$27,3))</f>
        <v>3</v>
      </c>
      <c r="C27" s="12" t="str">
        <f aca="false">IF(B27="","",IF(INDEX(Pengaturan!$C$8:$C$27,3)="","",INDEX(Pengaturan!$C$8:$C$27,3)))</f>
        <v>Sedang</v>
      </c>
      <c r="D27" s="23" t="n">
        <f aca="false">IF(B27="","",Matriks!W8)</f>
        <v>12</v>
      </c>
      <c r="E27" s="24" t="n">
        <f aca="false">IF(OR(B27="",$C$6=0),"",D27/$C$6)</f>
        <v>0.12</v>
      </c>
    </row>
    <row r="28" customFormat="false" ht="15" hidden="false" customHeight="false" outlineLevel="0" collapsed="false">
      <c r="B28" s="12" t="n">
        <f aca="false">IF(INDEX(Pengaturan!$B$8:$B$27,4)="","",INDEX(Pengaturan!$B$8:$B$27,4))</f>
        <v>4</v>
      </c>
      <c r="C28" s="12" t="str">
        <f aca="false">IF(B28="","",IF(INDEX(Pengaturan!$C$8:$C$27,4)="","",INDEX(Pengaturan!$C$8:$C$27,4)))</f>
        <v>Tinggi</v>
      </c>
      <c r="D28" s="23" t="n">
        <f aca="false">IF(B28="","",Matriks!W9)</f>
        <v>25</v>
      </c>
      <c r="E28" s="24" t="n">
        <f aca="false">IF(OR(B28="",$C$6=0),"",D28/$C$6)</f>
        <v>0.25</v>
      </c>
    </row>
    <row r="29" customFormat="false" ht="15" hidden="false" customHeight="false" outlineLevel="0" collapsed="false">
      <c r="B29" s="12" t="n">
        <f aca="false">IF(INDEX(Pengaturan!$B$8:$B$27,5)="","",INDEX(Pengaturan!$B$8:$B$27,5))</f>
        <v>5</v>
      </c>
      <c r="C29" s="12" t="str">
        <f aca="false">IF(B29="","",IF(INDEX(Pengaturan!$C$8:$C$27,5)="","",INDEX(Pengaturan!$C$8:$C$27,5)))</f>
        <v>Sangat tinggi</v>
      </c>
      <c r="D29" s="23" t="n">
        <f aca="false">IF(B29="","",Matriks!W10)</f>
        <v>27</v>
      </c>
      <c r="E29" s="24" t="n">
        <f aca="false">IF(OR(B29="",$C$6=0),"",D29/$C$6)</f>
        <v>0.27</v>
      </c>
    </row>
    <row r="30" customFormat="false" ht="15" hidden="false" customHeight="false" outlineLevel="0" collapsed="false">
      <c r="B30" s="12" t="str">
        <f aca="false">IF(INDEX(Pengaturan!$B$8:$B$27,6)="","",INDEX(Pengaturan!$B$8:$B$27,6))</f>
        <v/>
      </c>
      <c r="C30" s="12" t="str">
        <f aca="false">IF(B30="","",IF(INDEX(Pengaturan!$C$8:$C$27,6)="","",INDEX(Pengaturan!$C$8:$C$27,6)))</f>
        <v/>
      </c>
      <c r="D30" s="23" t="str">
        <f aca="false">IF(B30="","",Matriks!W11)</f>
        <v/>
      </c>
      <c r="E30" s="24" t="str">
        <f aca="false">IF(OR(B30="",$C$6=0),"",D30/$C$6)</f>
        <v/>
      </c>
    </row>
    <row r="31" customFormat="false" ht="15" hidden="false" customHeight="false" outlineLevel="0" collapsed="false">
      <c r="B31" s="12" t="str">
        <f aca="false">IF(INDEX(Pengaturan!$B$8:$B$27,7)="","",INDEX(Pengaturan!$B$8:$B$27,7))</f>
        <v/>
      </c>
      <c r="C31" s="12" t="str">
        <f aca="false">IF(B31="","",IF(INDEX(Pengaturan!$C$8:$C$27,7)="","",INDEX(Pengaturan!$C$8:$C$27,7)))</f>
        <v/>
      </c>
      <c r="D31" s="23" t="str">
        <f aca="false">IF(B31="","",Matriks!W12)</f>
        <v/>
      </c>
      <c r="E31" s="24" t="str">
        <f aca="false">IF(OR(B31="",$C$6=0),"",D31/$C$6)</f>
        <v/>
      </c>
    </row>
    <row r="32" customFormat="false" ht="15" hidden="false" customHeight="false" outlineLevel="0" collapsed="false">
      <c r="B32" s="12" t="str">
        <f aca="false">IF(INDEX(Pengaturan!$B$8:$B$27,8)="","",INDEX(Pengaturan!$B$8:$B$27,8))</f>
        <v/>
      </c>
      <c r="C32" s="12" t="str">
        <f aca="false">IF(B32="","",IF(INDEX(Pengaturan!$C$8:$C$27,8)="","",INDEX(Pengaturan!$C$8:$C$27,8)))</f>
        <v/>
      </c>
      <c r="D32" s="23" t="str">
        <f aca="false">IF(B32="","",Matriks!W13)</f>
        <v/>
      </c>
      <c r="E32" s="24" t="str">
        <f aca="false">IF(OR(B32="",$C$6=0),"",D32/$C$6)</f>
        <v/>
      </c>
    </row>
    <row r="33" customFormat="false" ht="15" hidden="false" customHeight="false" outlineLevel="0" collapsed="false">
      <c r="B33" s="12" t="str">
        <f aca="false">IF(INDEX(Pengaturan!$B$8:$B$27,9)="","",INDEX(Pengaturan!$B$8:$B$27,9))</f>
        <v/>
      </c>
      <c r="C33" s="12" t="str">
        <f aca="false">IF(B33="","",IF(INDEX(Pengaturan!$C$8:$C$27,9)="","",INDEX(Pengaturan!$C$8:$C$27,9)))</f>
        <v/>
      </c>
      <c r="D33" s="23" t="str">
        <f aca="false">IF(B33="","",Matriks!W14)</f>
        <v/>
      </c>
      <c r="E33" s="24" t="str">
        <f aca="false">IF(OR(B33="",$C$6=0),"",D33/$C$6)</f>
        <v/>
      </c>
    </row>
    <row r="34" customFormat="false" ht="15" hidden="false" customHeight="false" outlineLevel="0" collapsed="false">
      <c r="B34" s="12" t="str">
        <f aca="false">IF(INDEX(Pengaturan!$B$8:$B$27,10)="","",INDEX(Pengaturan!$B$8:$B$27,10))</f>
        <v/>
      </c>
      <c r="C34" s="12" t="str">
        <f aca="false">IF(B34="","",IF(INDEX(Pengaturan!$C$8:$C$27,10)="","",INDEX(Pengaturan!$C$8:$C$27,10)))</f>
        <v/>
      </c>
      <c r="D34" s="23" t="str">
        <f aca="false">IF(B34="","",Matriks!W15)</f>
        <v/>
      </c>
      <c r="E34" s="24" t="str">
        <f aca="false">IF(OR(B34="",$C$6=0),"",D34/$C$6)</f>
        <v/>
      </c>
    </row>
    <row r="35" customFormat="false" ht="15" hidden="false" customHeight="false" outlineLevel="0" collapsed="false">
      <c r="B35" s="12" t="str">
        <f aca="false">IF(INDEX(Pengaturan!$B$8:$B$27,11)="","",INDEX(Pengaturan!$B$8:$B$27,11))</f>
        <v/>
      </c>
      <c r="C35" s="12" t="str">
        <f aca="false">IF(B35="","",IF(INDEX(Pengaturan!$C$8:$C$27,11)="","",INDEX(Pengaturan!$C$8:$C$27,11)))</f>
        <v/>
      </c>
      <c r="D35" s="23" t="str">
        <f aca="false">IF(B35="","",Matriks!W16)</f>
        <v/>
      </c>
      <c r="E35" s="24" t="str">
        <f aca="false">IF(OR(B35="",$C$6=0),"",D35/$C$6)</f>
        <v/>
      </c>
    </row>
    <row r="36" customFormat="false" ht="15" hidden="false" customHeight="false" outlineLevel="0" collapsed="false">
      <c r="B36" s="12" t="str">
        <f aca="false">IF(INDEX(Pengaturan!$B$8:$B$27,12)="","",INDEX(Pengaturan!$B$8:$B$27,12))</f>
        <v/>
      </c>
      <c r="C36" s="12" t="str">
        <f aca="false">IF(B36="","",IF(INDEX(Pengaturan!$C$8:$C$27,12)="","",INDEX(Pengaturan!$C$8:$C$27,12)))</f>
        <v/>
      </c>
      <c r="D36" s="23" t="str">
        <f aca="false">IF(B36="","",Matriks!W17)</f>
        <v/>
      </c>
      <c r="E36" s="24" t="str">
        <f aca="false">IF(OR(B36="",$C$6=0),"",D36/$C$6)</f>
        <v/>
      </c>
    </row>
    <row r="37" customFormat="false" ht="15" hidden="false" customHeight="false" outlineLevel="0" collapsed="false">
      <c r="B37" s="12" t="str">
        <f aca="false">IF(INDEX(Pengaturan!$B$8:$B$27,13)="","",INDEX(Pengaturan!$B$8:$B$27,13))</f>
        <v/>
      </c>
      <c r="C37" s="12" t="str">
        <f aca="false">IF(B37="","",IF(INDEX(Pengaturan!$C$8:$C$27,13)="","",INDEX(Pengaturan!$C$8:$C$27,13)))</f>
        <v/>
      </c>
      <c r="D37" s="23" t="str">
        <f aca="false">IF(B37="","",Matriks!W18)</f>
        <v/>
      </c>
      <c r="E37" s="24" t="str">
        <f aca="false">IF(OR(B37="",$C$6=0),"",D37/$C$6)</f>
        <v/>
      </c>
    </row>
    <row r="38" customFormat="false" ht="15" hidden="false" customHeight="false" outlineLevel="0" collapsed="false">
      <c r="B38" s="12" t="str">
        <f aca="false">IF(INDEX(Pengaturan!$B$8:$B$27,14)="","",INDEX(Pengaturan!$B$8:$B$27,14))</f>
        <v/>
      </c>
      <c r="C38" s="12" t="str">
        <f aca="false">IF(B38="","",IF(INDEX(Pengaturan!$C$8:$C$27,14)="","",INDEX(Pengaturan!$C$8:$C$27,14)))</f>
        <v/>
      </c>
      <c r="D38" s="23" t="str">
        <f aca="false">IF(B38="","",Matriks!W19)</f>
        <v/>
      </c>
      <c r="E38" s="24" t="str">
        <f aca="false">IF(OR(B38="",$C$6=0),"",D38/$C$6)</f>
        <v/>
      </c>
    </row>
    <row r="39" customFormat="false" ht="15" hidden="false" customHeight="false" outlineLevel="0" collapsed="false">
      <c r="B39" s="12" t="str">
        <f aca="false">IF(INDEX(Pengaturan!$B$8:$B$27,15)="","",INDEX(Pengaturan!$B$8:$B$27,15))</f>
        <v/>
      </c>
      <c r="C39" s="12" t="str">
        <f aca="false">IF(B39="","",IF(INDEX(Pengaturan!$C$8:$C$27,15)="","",INDEX(Pengaturan!$C$8:$C$27,15)))</f>
        <v/>
      </c>
      <c r="D39" s="23" t="str">
        <f aca="false">IF(B39="","",Matriks!W20)</f>
        <v/>
      </c>
      <c r="E39" s="24" t="str">
        <f aca="false">IF(OR(B39="",$C$6=0),"",D39/$C$6)</f>
        <v/>
      </c>
    </row>
    <row r="40" customFormat="false" ht="15" hidden="false" customHeight="false" outlineLevel="0" collapsed="false">
      <c r="B40" s="12" t="str">
        <f aca="false">IF(INDEX(Pengaturan!$B$8:$B$27,16)="","",INDEX(Pengaturan!$B$8:$B$27,16))</f>
        <v/>
      </c>
      <c r="C40" s="12" t="str">
        <f aca="false">IF(B40="","",IF(INDEX(Pengaturan!$C$8:$C$27,16)="","",INDEX(Pengaturan!$C$8:$C$27,16)))</f>
        <v/>
      </c>
      <c r="D40" s="23" t="str">
        <f aca="false">IF(B40="","",Matriks!W21)</f>
        <v/>
      </c>
      <c r="E40" s="24" t="str">
        <f aca="false">IF(OR(B40="",$C$6=0),"",D40/$C$6)</f>
        <v/>
      </c>
    </row>
    <row r="41" customFormat="false" ht="15" hidden="false" customHeight="false" outlineLevel="0" collapsed="false">
      <c r="B41" s="12" t="str">
        <f aca="false">IF(INDEX(Pengaturan!$B$8:$B$27,17)="","",INDEX(Pengaturan!$B$8:$B$27,17))</f>
        <v/>
      </c>
      <c r="C41" s="12" t="str">
        <f aca="false">IF(B41="","",IF(INDEX(Pengaturan!$C$8:$C$27,17)="","",INDEX(Pengaturan!$C$8:$C$27,17)))</f>
        <v/>
      </c>
      <c r="D41" s="23" t="str">
        <f aca="false">IF(B41="","",Matriks!W22)</f>
        <v/>
      </c>
      <c r="E41" s="24" t="str">
        <f aca="false">IF(OR(B41="",$C$6=0),"",D41/$C$6)</f>
        <v/>
      </c>
    </row>
    <row r="42" customFormat="false" ht="15" hidden="false" customHeight="false" outlineLevel="0" collapsed="false">
      <c r="B42" s="12" t="str">
        <f aca="false">IF(INDEX(Pengaturan!$B$8:$B$27,18)="","",INDEX(Pengaturan!$B$8:$B$27,18))</f>
        <v/>
      </c>
      <c r="C42" s="12" t="str">
        <f aca="false">IF(B42="","",IF(INDEX(Pengaturan!$C$8:$C$27,18)="","",INDEX(Pengaturan!$C$8:$C$27,18)))</f>
        <v/>
      </c>
      <c r="D42" s="23" t="str">
        <f aca="false">IF(B42="","",Matriks!W23)</f>
        <v/>
      </c>
      <c r="E42" s="24" t="str">
        <f aca="false">IF(OR(B42="",$C$6=0),"",D42/$C$6)</f>
        <v/>
      </c>
    </row>
    <row r="43" customFormat="false" ht="15" hidden="false" customHeight="false" outlineLevel="0" collapsed="false">
      <c r="B43" s="12" t="str">
        <f aca="false">IF(INDEX(Pengaturan!$B$8:$B$27,19)="","",INDEX(Pengaturan!$B$8:$B$27,19))</f>
        <v/>
      </c>
      <c r="C43" s="12" t="str">
        <f aca="false">IF(B43="","",IF(INDEX(Pengaturan!$C$8:$C$27,19)="","",INDEX(Pengaturan!$C$8:$C$27,19)))</f>
        <v/>
      </c>
      <c r="D43" s="23" t="str">
        <f aca="false">IF(B43="","",Matriks!W24)</f>
        <v/>
      </c>
      <c r="E43" s="24" t="str">
        <f aca="false">IF(OR(B43="",$C$6=0),"",D43/$C$6)</f>
        <v/>
      </c>
    </row>
    <row r="44" customFormat="false" ht="15" hidden="false" customHeight="false" outlineLevel="0" collapsed="false">
      <c r="B44" s="12" t="str">
        <f aca="false">IF(INDEX(Pengaturan!$B$8:$B$27,20)="","",INDEX(Pengaturan!$B$8:$B$27,20))</f>
        <v/>
      </c>
      <c r="C44" s="12" t="str">
        <f aca="false">IF(B44="","",IF(INDEX(Pengaturan!$C$8:$C$27,20)="","",INDEX(Pengaturan!$C$8:$C$27,20)))</f>
        <v/>
      </c>
      <c r="D44" s="23" t="str">
        <f aca="false">IF(B44="","",Matriks!W25)</f>
        <v/>
      </c>
      <c r="E44" s="24" t="str">
        <f aca="false">IF(OR(B44="",$C$6=0),"",D44/$C$6)</f>
        <v/>
      </c>
    </row>
  </sheetData>
  <conditionalFormatting sqref="C9">
    <cfRule type="cellIs" priority="2" operator="equal" aboveAverage="0" equalAverage="0" bottom="0" percent="0" rank="0" text="" dxfId="0">
      <formula>"VALID"</formula>
    </cfRule>
    <cfRule type="cellIs" priority="3" operator="notEqual" aboveAverage="0" equalAverage="0" bottom="0" percent="0" rank="0" text="" dxfId="1">
      <formula>"VALID"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1" min="2" style="0" width="6"/>
    <col collapsed="false" customWidth="true" hidden="false" outlineLevel="0" max="22" min="22" style="0" width="12"/>
    <col collapsed="false" customWidth="true" hidden="false" outlineLevel="0" max="23" min="23" style="0" width="26"/>
    <col collapsed="false" customWidth="true" hidden="false" outlineLevel="0" max="24" min="24" style="0" width="12"/>
  </cols>
  <sheetData>
    <row r="1" customFormat="false" ht="17.35" hidden="false" customHeight="false" outlineLevel="0" collapsed="false">
      <c r="A1" s="6" t="s">
        <v>90</v>
      </c>
    </row>
    <row r="2" customFormat="false" ht="15" hidden="false" customHeight="false" outlineLevel="0" collapsed="false">
      <c r="A2" s="7" t="s">
        <v>91</v>
      </c>
    </row>
    <row r="4" customFormat="false" ht="15" hidden="false" customHeight="false" outlineLevel="0" collapsed="false">
      <c r="A4" s="7" t="s">
        <v>92</v>
      </c>
      <c r="B4" s="25" t="n">
        <v>1</v>
      </c>
      <c r="C4" s="25" t="n">
        <v>2</v>
      </c>
      <c r="D4" s="25" t="n">
        <v>3</v>
      </c>
      <c r="E4" s="25" t="n">
        <v>4</v>
      </c>
      <c r="F4" s="25" t="n">
        <v>5</v>
      </c>
      <c r="G4" s="25" t="n">
        <v>6</v>
      </c>
      <c r="H4" s="25" t="n">
        <v>7</v>
      </c>
      <c r="I4" s="25" t="n">
        <v>8</v>
      </c>
      <c r="J4" s="25" t="n">
        <v>9</v>
      </c>
      <c r="K4" s="25" t="n">
        <v>10</v>
      </c>
      <c r="L4" s="25" t="n">
        <v>11</v>
      </c>
      <c r="M4" s="25" t="n">
        <v>12</v>
      </c>
      <c r="N4" s="25" t="n">
        <v>13</v>
      </c>
      <c r="O4" s="25" t="n">
        <v>14</v>
      </c>
      <c r="P4" s="25" t="n">
        <v>15</v>
      </c>
      <c r="Q4" s="25" t="n">
        <v>16</v>
      </c>
      <c r="R4" s="25" t="n">
        <v>17</v>
      </c>
      <c r="S4" s="25" t="n">
        <v>18</v>
      </c>
      <c r="T4" s="25" t="n">
        <v>19</v>
      </c>
      <c r="U4" s="25" t="n">
        <v>20</v>
      </c>
    </row>
    <row r="5" customFormat="false" ht="15" hidden="false" customHeight="false" outlineLevel="0" collapsed="false">
      <c r="A5" s="11" t="s">
        <v>47</v>
      </c>
      <c r="B5" s="11" t="n">
        <f aca="false">IF(INDEX(Pengaturan!$B$8:$B$27,B$4)="","",INDEX(Pengaturan!$B$8:$B$27,B$4))</f>
        <v>1</v>
      </c>
      <c r="C5" s="11" t="n">
        <f aca="false">IF(INDEX(Pengaturan!$B$8:$B$27,C$4)="","",INDEX(Pengaturan!$B$8:$B$27,C$4))</f>
        <v>2</v>
      </c>
      <c r="D5" s="11" t="n">
        <f aca="false">IF(INDEX(Pengaturan!$B$8:$B$27,D$4)="","",INDEX(Pengaturan!$B$8:$B$27,D$4))</f>
        <v>3</v>
      </c>
      <c r="E5" s="11" t="n">
        <f aca="false">IF(INDEX(Pengaturan!$B$8:$B$27,E$4)="","",INDEX(Pengaturan!$B$8:$B$27,E$4))</f>
        <v>4</v>
      </c>
      <c r="F5" s="11" t="n">
        <f aca="false">IF(INDEX(Pengaturan!$B$8:$B$27,F$4)="","",INDEX(Pengaturan!$B$8:$B$27,F$4))</f>
        <v>5</v>
      </c>
      <c r="G5" s="11" t="str">
        <f aca="false">IF(INDEX(Pengaturan!$B$8:$B$27,G$4)="","",INDEX(Pengaturan!$B$8:$B$27,G$4))</f>
        <v/>
      </c>
      <c r="H5" s="11" t="str">
        <f aca="false">IF(INDEX(Pengaturan!$B$8:$B$27,H$4)="","",INDEX(Pengaturan!$B$8:$B$27,H$4))</f>
        <v/>
      </c>
      <c r="I5" s="11" t="str">
        <f aca="false">IF(INDEX(Pengaturan!$B$8:$B$27,I$4)="","",INDEX(Pengaturan!$B$8:$B$27,I$4))</f>
        <v/>
      </c>
      <c r="J5" s="11" t="str">
        <f aca="false">IF(INDEX(Pengaturan!$B$8:$B$27,J$4)="","",INDEX(Pengaturan!$B$8:$B$27,J$4))</f>
        <v/>
      </c>
      <c r="K5" s="11" t="str">
        <f aca="false">IF(INDEX(Pengaturan!$B$8:$B$27,K$4)="","",INDEX(Pengaturan!$B$8:$B$27,K$4))</f>
        <v/>
      </c>
      <c r="L5" s="11" t="str">
        <f aca="false">IF(INDEX(Pengaturan!$B$8:$B$27,L$4)="","",INDEX(Pengaturan!$B$8:$B$27,L$4))</f>
        <v/>
      </c>
      <c r="M5" s="11" t="str">
        <f aca="false">IF(INDEX(Pengaturan!$B$8:$B$27,M$4)="","",INDEX(Pengaturan!$B$8:$B$27,M$4))</f>
        <v/>
      </c>
      <c r="N5" s="11" t="str">
        <f aca="false">IF(INDEX(Pengaturan!$B$8:$B$27,N$4)="","",INDEX(Pengaturan!$B$8:$B$27,N$4))</f>
        <v/>
      </c>
      <c r="O5" s="11" t="str">
        <f aca="false">IF(INDEX(Pengaturan!$B$8:$B$27,O$4)="","",INDEX(Pengaturan!$B$8:$B$27,O$4))</f>
        <v/>
      </c>
      <c r="P5" s="11" t="str">
        <f aca="false">IF(INDEX(Pengaturan!$B$8:$B$27,P$4)="","",INDEX(Pengaturan!$B$8:$B$27,P$4))</f>
        <v/>
      </c>
      <c r="Q5" s="11" t="str">
        <f aca="false">IF(INDEX(Pengaturan!$B$8:$B$27,Q$4)="","",INDEX(Pengaturan!$B$8:$B$27,Q$4))</f>
        <v/>
      </c>
      <c r="R5" s="11" t="str">
        <f aca="false">IF(INDEX(Pengaturan!$B$8:$B$27,R$4)="","",INDEX(Pengaturan!$B$8:$B$27,R$4))</f>
        <v/>
      </c>
      <c r="S5" s="11" t="str">
        <f aca="false">IF(INDEX(Pengaturan!$B$8:$B$27,S$4)="","",INDEX(Pengaturan!$B$8:$B$27,S$4))</f>
        <v/>
      </c>
      <c r="T5" s="11" t="str">
        <f aca="false">IF(INDEX(Pengaturan!$B$8:$B$27,T$4)="","",INDEX(Pengaturan!$B$8:$B$27,T$4))</f>
        <v/>
      </c>
      <c r="U5" s="11" t="str">
        <f aca="false">IF(INDEX(Pengaturan!$B$8:$B$27,U$4)="","",INDEX(Pengaturan!$B$8:$B$27,U$4))</f>
        <v/>
      </c>
      <c r="V5" s="11" t="s">
        <v>93</v>
      </c>
      <c r="W5" s="11" t="s">
        <v>94</v>
      </c>
      <c r="X5" s="11" t="s">
        <v>95</v>
      </c>
    </row>
    <row r="6" customFormat="false" ht="15" hidden="false" customHeight="false" outlineLevel="0" collapsed="false">
      <c r="A6" s="26" t="n">
        <f aca="false">Data!A6</f>
        <v>1</v>
      </c>
      <c r="B6" s="26" t="n">
        <f aca="false">IF(INDEX(Pengaturan!$B$8:$B$27,B$4)="",0,COUNTIF(Data!$B6:$U6,INDEX(Pengaturan!$B$8:$B$27,B$4)))</f>
        <v>0</v>
      </c>
      <c r="C6" s="26" t="n">
        <f aca="false">IF(INDEX(Pengaturan!$B$8:$B$27,C$4)="",0,COUNTIF(Data!$B6:$U6,INDEX(Pengaturan!$B$8:$B$27,C$4)))</f>
        <v>0</v>
      </c>
      <c r="D6" s="26" t="n">
        <f aca="false">IF(INDEX(Pengaturan!$B$8:$B$27,D$4)="",0,COUNTIF(Data!$B6:$U6,INDEX(Pengaturan!$B$8:$B$27,D$4)))</f>
        <v>3</v>
      </c>
      <c r="E6" s="26" t="n">
        <f aca="false">IF(INDEX(Pengaturan!$B$8:$B$27,E$4)="",0,COUNTIF(Data!$B6:$U6,INDEX(Pengaturan!$B$8:$B$27,E$4)))</f>
        <v>1</v>
      </c>
      <c r="F6" s="26" t="n">
        <f aca="false">IF(INDEX(Pengaturan!$B$8:$B$27,F$4)="",0,COUNTIF(Data!$B6:$U6,INDEX(Pengaturan!$B$8:$B$27,F$4)))</f>
        <v>0</v>
      </c>
      <c r="G6" s="26" t="n">
        <f aca="false">IF(INDEX(Pengaturan!$B$8:$B$27,G$4)="",0,COUNTIF(Data!$B6:$U6,INDEX(Pengaturan!$B$8:$B$27,G$4)))</f>
        <v>0</v>
      </c>
      <c r="H6" s="26" t="n">
        <f aca="false">IF(INDEX(Pengaturan!$B$8:$B$27,H$4)="",0,COUNTIF(Data!$B6:$U6,INDEX(Pengaturan!$B$8:$B$27,H$4)))</f>
        <v>0</v>
      </c>
      <c r="I6" s="26" t="n">
        <f aca="false">IF(INDEX(Pengaturan!$B$8:$B$27,I$4)="",0,COUNTIF(Data!$B6:$U6,INDEX(Pengaturan!$B$8:$B$27,I$4)))</f>
        <v>0</v>
      </c>
      <c r="J6" s="26" t="n">
        <f aca="false">IF(INDEX(Pengaturan!$B$8:$B$27,J$4)="",0,COUNTIF(Data!$B6:$U6,INDEX(Pengaturan!$B$8:$B$27,J$4)))</f>
        <v>0</v>
      </c>
      <c r="K6" s="26" t="n">
        <f aca="false">IF(INDEX(Pengaturan!$B$8:$B$27,K$4)="",0,COUNTIF(Data!$B6:$U6,INDEX(Pengaturan!$B$8:$B$27,K$4)))</f>
        <v>0</v>
      </c>
      <c r="L6" s="26" t="n">
        <f aca="false">IF(INDEX(Pengaturan!$B$8:$B$27,L$4)="",0,COUNTIF(Data!$B6:$U6,INDEX(Pengaturan!$B$8:$B$27,L$4)))</f>
        <v>0</v>
      </c>
      <c r="M6" s="26" t="n">
        <f aca="false">IF(INDEX(Pengaturan!$B$8:$B$27,M$4)="",0,COUNTIF(Data!$B6:$U6,INDEX(Pengaturan!$B$8:$B$27,M$4)))</f>
        <v>0</v>
      </c>
      <c r="N6" s="26" t="n">
        <f aca="false">IF(INDEX(Pengaturan!$B$8:$B$27,N$4)="",0,COUNTIF(Data!$B6:$U6,INDEX(Pengaturan!$B$8:$B$27,N$4)))</f>
        <v>0</v>
      </c>
      <c r="O6" s="26" t="n">
        <f aca="false">IF(INDEX(Pengaturan!$B$8:$B$27,O$4)="",0,COUNTIF(Data!$B6:$U6,INDEX(Pengaturan!$B$8:$B$27,O$4)))</f>
        <v>0</v>
      </c>
      <c r="P6" s="26" t="n">
        <f aca="false">IF(INDEX(Pengaturan!$B$8:$B$27,P$4)="",0,COUNTIF(Data!$B6:$U6,INDEX(Pengaturan!$B$8:$B$27,P$4)))</f>
        <v>0</v>
      </c>
      <c r="Q6" s="26" t="n">
        <f aca="false">IF(INDEX(Pengaturan!$B$8:$B$27,Q$4)="",0,COUNTIF(Data!$B6:$U6,INDEX(Pengaturan!$B$8:$B$27,Q$4)))</f>
        <v>0</v>
      </c>
      <c r="R6" s="26" t="n">
        <f aca="false">IF(INDEX(Pengaturan!$B$8:$B$27,R$4)="",0,COUNTIF(Data!$B6:$U6,INDEX(Pengaturan!$B$8:$B$27,R$4)))</f>
        <v>0</v>
      </c>
      <c r="S6" s="26" t="n">
        <f aca="false">IF(INDEX(Pengaturan!$B$8:$B$27,S$4)="",0,COUNTIF(Data!$B6:$U6,INDEX(Pengaturan!$B$8:$B$27,S$4)))</f>
        <v>0</v>
      </c>
      <c r="T6" s="26" t="n">
        <f aca="false">IF(INDEX(Pengaturan!$B$8:$B$27,T$4)="",0,COUNTIF(Data!$B6:$U6,INDEX(Pengaturan!$B$8:$B$27,T$4)))</f>
        <v>0</v>
      </c>
      <c r="U6" s="26" t="n">
        <f aca="false">IF(INDEX(Pengaturan!$B$8:$B$27,U$4)="",0,COUNTIF(Data!$B6:$U6,INDEX(Pengaturan!$B$8:$B$27,U$4)))</f>
        <v>0</v>
      </c>
      <c r="V6" s="26" t="n">
        <f aca="false">COUNTA(Data!$B6:$U6)</f>
        <v>4</v>
      </c>
      <c r="W6" s="27" t="str">
        <f aca="false">IF(V6=0,"",IF(V6&lt;&gt;Hasil!$C$4,"Data kosong/tidak lengkap",IF(SUM(B6:U6)&lt;&gt;V6,"Kategori tidak dikenal","OK")))</f>
        <v>OK</v>
      </c>
      <c r="X6" s="26" t="n">
        <f aca="false">IF(OR(W6="",W6="OK"),0,1)</f>
        <v>0</v>
      </c>
    </row>
    <row r="7" customFormat="false" ht="15" hidden="false" customHeight="false" outlineLevel="0" collapsed="false">
      <c r="A7" s="26" t="n">
        <f aca="false">Data!A7</f>
        <v>2</v>
      </c>
      <c r="B7" s="26" t="n">
        <f aca="false">IF(INDEX(Pengaturan!$B$8:$B$27,B$4)="",0,COUNTIF(Data!$B7:$U7,INDEX(Pengaturan!$B$8:$B$27,B$4)))</f>
        <v>0</v>
      </c>
      <c r="C7" s="26" t="n">
        <f aca="false">IF(INDEX(Pengaturan!$B$8:$B$27,C$4)="",0,COUNTIF(Data!$B7:$U7,INDEX(Pengaturan!$B$8:$B$27,C$4)))</f>
        <v>0</v>
      </c>
      <c r="D7" s="26" t="n">
        <f aca="false">IF(INDEX(Pengaturan!$B$8:$B$27,D$4)="",0,COUNTIF(Data!$B7:$U7,INDEX(Pengaturan!$B$8:$B$27,D$4)))</f>
        <v>1</v>
      </c>
      <c r="E7" s="26" t="n">
        <f aca="false">IF(INDEX(Pengaturan!$B$8:$B$27,E$4)="",0,COUNTIF(Data!$B7:$U7,INDEX(Pengaturan!$B$8:$B$27,E$4)))</f>
        <v>0</v>
      </c>
      <c r="F7" s="26" t="n">
        <f aca="false">IF(INDEX(Pengaturan!$B$8:$B$27,F$4)="",0,COUNTIF(Data!$B7:$U7,INDEX(Pengaturan!$B$8:$B$27,F$4)))</f>
        <v>3</v>
      </c>
      <c r="G7" s="26" t="n">
        <f aca="false">IF(INDEX(Pengaturan!$B$8:$B$27,G$4)="",0,COUNTIF(Data!$B7:$U7,INDEX(Pengaturan!$B$8:$B$27,G$4)))</f>
        <v>0</v>
      </c>
      <c r="H7" s="26" t="n">
        <f aca="false">IF(INDEX(Pengaturan!$B$8:$B$27,H$4)="",0,COUNTIF(Data!$B7:$U7,INDEX(Pengaturan!$B$8:$B$27,H$4)))</f>
        <v>0</v>
      </c>
      <c r="I7" s="26" t="n">
        <f aca="false">IF(INDEX(Pengaturan!$B$8:$B$27,I$4)="",0,COUNTIF(Data!$B7:$U7,INDEX(Pengaturan!$B$8:$B$27,I$4)))</f>
        <v>0</v>
      </c>
      <c r="J7" s="26" t="n">
        <f aca="false">IF(INDEX(Pengaturan!$B$8:$B$27,J$4)="",0,COUNTIF(Data!$B7:$U7,INDEX(Pengaturan!$B$8:$B$27,J$4)))</f>
        <v>0</v>
      </c>
      <c r="K7" s="26" t="n">
        <f aca="false">IF(INDEX(Pengaturan!$B$8:$B$27,K$4)="",0,COUNTIF(Data!$B7:$U7,INDEX(Pengaturan!$B$8:$B$27,K$4)))</f>
        <v>0</v>
      </c>
      <c r="L7" s="26" t="n">
        <f aca="false">IF(INDEX(Pengaturan!$B$8:$B$27,L$4)="",0,COUNTIF(Data!$B7:$U7,INDEX(Pengaturan!$B$8:$B$27,L$4)))</f>
        <v>0</v>
      </c>
      <c r="M7" s="26" t="n">
        <f aca="false">IF(INDEX(Pengaturan!$B$8:$B$27,M$4)="",0,COUNTIF(Data!$B7:$U7,INDEX(Pengaturan!$B$8:$B$27,M$4)))</f>
        <v>0</v>
      </c>
      <c r="N7" s="26" t="n">
        <f aca="false">IF(INDEX(Pengaturan!$B$8:$B$27,N$4)="",0,COUNTIF(Data!$B7:$U7,INDEX(Pengaturan!$B$8:$B$27,N$4)))</f>
        <v>0</v>
      </c>
      <c r="O7" s="26" t="n">
        <f aca="false">IF(INDEX(Pengaturan!$B$8:$B$27,O$4)="",0,COUNTIF(Data!$B7:$U7,INDEX(Pengaturan!$B$8:$B$27,O$4)))</f>
        <v>0</v>
      </c>
      <c r="P7" s="26" t="n">
        <f aca="false">IF(INDEX(Pengaturan!$B$8:$B$27,P$4)="",0,COUNTIF(Data!$B7:$U7,INDEX(Pengaturan!$B$8:$B$27,P$4)))</f>
        <v>0</v>
      </c>
      <c r="Q7" s="26" t="n">
        <f aca="false">IF(INDEX(Pengaturan!$B$8:$B$27,Q$4)="",0,COUNTIF(Data!$B7:$U7,INDEX(Pengaturan!$B$8:$B$27,Q$4)))</f>
        <v>0</v>
      </c>
      <c r="R7" s="26" t="n">
        <f aca="false">IF(INDEX(Pengaturan!$B$8:$B$27,R$4)="",0,COUNTIF(Data!$B7:$U7,INDEX(Pengaturan!$B$8:$B$27,R$4)))</f>
        <v>0</v>
      </c>
      <c r="S7" s="26" t="n">
        <f aca="false">IF(INDEX(Pengaturan!$B$8:$B$27,S$4)="",0,COUNTIF(Data!$B7:$U7,INDEX(Pengaturan!$B$8:$B$27,S$4)))</f>
        <v>0</v>
      </c>
      <c r="T7" s="26" t="n">
        <f aca="false">IF(INDEX(Pengaturan!$B$8:$B$27,T$4)="",0,COUNTIF(Data!$B7:$U7,INDEX(Pengaturan!$B$8:$B$27,T$4)))</f>
        <v>0</v>
      </c>
      <c r="U7" s="26" t="n">
        <f aca="false">IF(INDEX(Pengaturan!$B$8:$B$27,U$4)="",0,COUNTIF(Data!$B7:$U7,INDEX(Pengaturan!$B$8:$B$27,U$4)))</f>
        <v>0</v>
      </c>
      <c r="V7" s="26" t="n">
        <f aca="false">COUNTA(Data!$B7:$U7)</f>
        <v>4</v>
      </c>
      <c r="W7" s="27" t="str">
        <f aca="false">IF(V7=0,"",IF(V7&lt;&gt;Hasil!$C$4,"Data kosong/tidak lengkap",IF(SUM(B7:U7)&lt;&gt;V7,"Kategori tidak dikenal","OK")))</f>
        <v>OK</v>
      </c>
      <c r="X7" s="26" t="n">
        <f aca="false">IF(OR(W7="",W7="OK"),0,1)</f>
        <v>0</v>
      </c>
    </row>
    <row r="8" customFormat="false" ht="15" hidden="false" customHeight="false" outlineLevel="0" collapsed="false">
      <c r="A8" s="26" t="n">
        <f aca="false">Data!A8</f>
        <v>3</v>
      </c>
      <c r="B8" s="26" t="n">
        <f aca="false">IF(INDEX(Pengaturan!$B$8:$B$27,B$4)="",0,COUNTIF(Data!$B8:$U8,INDEX(Pengaturan!$B$8:$B$27,B$4)))</f>
        <v>0</v>
      </c>
      <c r="C8" s="26" t="n">
        <f aca="false">IF(INDEX(Pengaturan!$B$8:$B$27,C$4)="",0,COUNTIF(Data!$B8:$U8,INDEX(Pengaturan!$B$8:$B$27,C$4)))</f>
        <v>0</v>
      </c>
      <c r="D8" s="26" t="n">
        <f aca="false">IF(INDEX(Pengaturan!$B$8:$B$27,D$4)="",0,COUNTIF(Data!$B8:$U8,INDEX(Pengaturan!$B$8:$B$27,D$4)))</f>
        <v>0</v>
      </c>
      <c r="E8" s="26" t="n">
        <f aca="false">IF(INDEX(Pengaturan!$B$8:$B$27,E$4)="",0,COUNTIF(Data!$B8:$U8,INDEX(Pengaturan!$B$8:$B$27,E$4)))</f>
        <v>0</v>
      </c>
      <c r="F8" s="26" t="n">
        <f aca="false">IF(INDEX(Pengaturan!$B$8:$B$27,F$4)="",0,COUNTIF(Data!$B8:$U8,INDEX(Pengaturan!$B$8:$B$27,F$4)))</f>
        <v>4</v>
      </c>
      <c r="G8" s="26" t="n">
        <f aca="false">IF(INDEX(Pengaturan!$B$8:$B$27,G$4)="",0,COUNTIF(Data!$B8:$U8,INDEX(Pengaturan!$B$8:$B$27,G$4)))</f>
        <v>0</v>
      </c>
      <c r="H8" s="26" t="n">
        <f aca="false">IF(INDEX(Pengaturan!$B$8:$B$27,H$4)="",0,COUNTIF(Data!$B8:$U8,INDEX(Pengaturan!$B$8:$B$27,H$4)))</f>
        <v>0</v>
      </c>
      <c r="I8" s="26" t="n">
        <f aca="false">IF(INDEX(Pengaturan!$B$8:$B$27,I$4)="",0,COUNTIF(Data!$B8:$U8,INDEX(Pengaturan!$B$8:$B$27,I$4)))</f>
        <v>0</v>
      </c>
      <c r="J8" s="26" t="n">
        <f aca="false">IF(INDEX(Pengaturan!$B$8:$B$27,J$4)="",0,COUNTIF(Data!$B8:$U8,INDEX(Pengaturan!$B$8:$B$27,J$4)))</f>
        <v>0</v>
      </c>
      <c r="K8" s="26" t="n">
        <f aca="false">IF(INDEX(Pengaturan!$B$8:$B$27,K$4)="",0,COUNTIF(Data!$B8:$U8,INDEX(Pengaturan!$B$8:$B$27,K$4)))</f>
        <v>0</v>
      </c>
      <c r="L8" s="26" t="n">
        <f aca="false">IF(INDEX(Pengaturan!$B$8:$B$27,L$4)="",0,COUNTIF(Data!$B8:$U8,INDEX(Pengaturan!$B$8:$B$27,L$4)))</f>
        <v>0</v>
      </c>
      <c r="M8" s="26" t="n">
        <f aca="false">IF(INDEX(Pengaturan!$B$8:$B$27,M$4)="",0,COUNTIF(Data!$B8:$U8,INDEX(Pengaturan!$B$8:$B$27,M$4)))</f>
        <v>0</v>
      </c>
      <c r="N8" s="26" t="n">
        <f aca="false">IF(INDEX(Pengaturan!$B$8:$B$27,N$4)="",0,COUNTIF(Data!$B8:$U8,INDEX(Pengaturan!$B$8:$B$27,N$4)))</f>
        <v>0</v>
      </c>
      <c r="O8" s="26" t="n">
        <f aca="false">IF(INDEX(Pengaturan!$B$8:$B$27,O$4)="",0,COUNTIF(Data!$B8:$U8,INDEX(Pengaturan!$B$8:$B$27,O$4)))</f>
        <v>0</v>
      </c>
      <c r="P8" s="26" t="n">
        <f aca="false">IF(INDEX(Pengaturan!$B$8:$B$27,P$4)="",0,COUNTIF(Data!$B8:$U8,INDEX(Pengaturan!$B$8:$B$27,P$4)))</f>
        <v>0</v>
      </c>
      <c r="Q8" s="26" t="n">
        <f aca="false">IF(INDEX(Pengaturan!$B$8:$B$27,Q$4)="",0,COUNTIF(Data!$B8:$U8,INDEX(Pengaturan!$B$8:$B$27,Q$4)))</f>
        <v>0</v>
      </c>
      <c r="R8" s="26" t="n">
        <f aca="false">IF(INDEX(Pengaturan!$B$8:$B$27,R$4)="",0,COUNTIF(Data!$B8:$U8,INDEX(Pengaturan!$B$8:$B$27,R$4)))</f>
        <v>0</v>
      </c>
      <c r="S8" s="26" t="n">
        <f aca="false">IF(INDEX(Pengaturan!$B$8:$B$27,S$4)="",0,COUNTIF(Data!$B8:$U8,INDEX(Pengaturan!$B$8:$B$27,S$4)))</f>
        <v>0</v>
      </c>
      <c r="T8" s="26" t="n">
        <f aca="false">IF(INDEX(Pengaturan!$B$8:$B$27,T$4)="",0,COUNTIF(Data!$B8:$U8,INDEX(Pengaturan!$B$8:$B$27,T$4)))</f>
        <v>0</v>
      </c>
      <c r="U8" s="26" t="n">
        <f aca="false">IF(INDEX(Pengaturan!$B$8:$B$27,U$4)="",0,COUNTIF(Data!$B8:$U8,INDEX(Pengaturan!$B$8:$B$27,U$4)))</f>
        <v>0</v>
      </c>
      <c r="V8" s="26" t="n">
        <f aca="false">COUNTA(Data!$B8:$U8)</f>
        <v>4</v>
      </c>
      <c r="W8" s="27" t="str">
        <f aca="false">IF(V8=0,"",IF(V8&lt;&gt;Hasil!$C$4,"Data kosong/tidak lengkap",IF(SUM(B8:U8)&lt;&gt;V8,"Kategori tidak dikenal","OK")))</f>
        <v>OK</v>
      </c>
      <c r="X8" s="26" t="n">
        <f aca="false">IF(OR(W8="",W8="OK"),0,1)</f>
        <v>0</v>
      </c>
    </row>
    <row r="9" customFormat="false" ht="15" hidden="false" customHeight="false" outlineLevel="0" collapsed="false">
      <c r="A9" s="26" t="n">
        <f aca="false">Data!A9</f>
        <v>4</v>
      </c>
      <c r="B9" s="26" t="n">
        <f aca="false">IF(INDEX(Pengaturan!$B$8:$B$27,B$4)="",0,COUNTIF(Data!$B9:$U9,INDEX(Pengaturan!$B$8:$B$27,B$4)))</f>
        <v>0</v>
      </c>
      <c r="C9" s="26" t="n">
        <f aca="false">IF(INDEX(Pengaturan!$B$8:$B$27,C$4)="",0,COUNTIF(Data!$B9:$U9,INDEX(Pengaturan!$B$8:$B$27,C$4)))</f>
        <v>0</v>
      </c>
      <c r="D9" s="26" t="n">
        <f aca="false">IF(INDEX(Pengaturan!$B$8:$B$27,D$4)="",0,COUNTIF(Data!$B9:$U9,INDEX(Pengaturan!$B$8:$B$27,D$4)))</f>
        <v>0</v>
      </c>
      <c r="E9" s="26" t="n">
        <f aca="false">IF(INDEX(Pengaturan!$B$8:$B$27,E$4)="",0,COUNTIF(Data!$B9:$U9,INDEX(Pengaturan!$B$8:$B$27,E$4)))</f>
        <v>3</v>
      </c>
      <c r="F9" s="26" t="n">
        <f aca="false">IF(INDEX(Pengaturan!$B$8:$B$27,F$4)="",0,COUNTIF(Data!$B9:$U9,INDEX(Pengaturan!$B$8:$B$27,F$4)))</f>
        <v>1</v>
      </c>
      <c r="G9" s="26" t="n">
        <f aca="false">IF(INDEX(Pengaturan!$B$8:$B$27,G$4)="",0,COUNTIF(Data!$B9:$U9,INDEX(Pengaturan!$B$8:$B$27,G$4)))</f>
        <v>0</v>
      </c>
      <c r="H9" s="26" t="n">
        <f aca="false">IF(INDEX(Pengaturan!$B$8:$B$27,H$4)="",0,COUNTIF(Data!$B9:$U9,INDEX(Pengaturan!$B$8:$B$27,H$4)))</f>
        <v>0</v>
      </c>
      <c r="I9" s="26" t="n">
        <f aca="false">IF(INDEX(Pengaturan!$B$8:$B$27,I$4)="",0,COUNTIF(Data!$B9:$U9,INDEX(Pengaturan!$B$8:$B$27,I$4)))</f>
        <v>0</v>
      </c>
      <c r="J9" s="26" t="n">
        <f aca="false">IF(INDEX(Pengaturan!$B$8:$B$27,J$4)="",0,COUNTIF(Data!$B9:$U9,INDEX(Pengaturan!$B$8:$B$27,J$4)))</f>
        <v>0</v>
      </c>
      <c r="K9" s="26" t="n">
        <f aca="false">IF(INDEX(Pengaturan!$B$8:$B$27,K$4)="",0,COUNTIF(Data!$B9:$U9,INDEX(Pengaturan!$B$8:$B$27,K$4)))</f>
        <v>0</v>
      </c>
      <c r="L9" s="26" t="n">
        <f aca="false">IF(INDEX(Pengaturan!$B$8:$B$27,L$4)="",0,COUNTIF(Data!$B9:$U9,INDEX(Pengaturan!$B$8:$B$27,L$4)))</f>
        <v>0</v>
      </c>
      <c r="M9" s="26" t="n">
        <f aca="false">IF(INDEX(Pengaturan!$B$8:$B$27,M$4)="",0,COUNTIF(Data!$B9:$U9,INDEX(Pengaturan!$B$8:$B$27,M$4)))</f>
        <v>0</v>
      </c>
      <c r="N9" s="26" t="n">
        <f aca="false">IF(INDEX(Pengaturan!$B$8:$B$27,N$4)="",0,COUNTIF(Data!$B9:$U9,INDEX(Pengaturan!$B$8:$B$27,N$4)))</f>
        <v>0</v>
      </c>
      <c r="O9" s="26" t="n">
        <f aca="false">IF(INDEX(Pengaturan!$B$8:$B$27,O$4)="",0,COUNTIF(Data!$B9:$U9,INDEX(Pengaturan!$B$8:$B$27,O$4)))</f>
        <v>0</v>
      </c>
      <c r="P9" s="26" t="n">
        <f aca="false">IF(INDEX(Pengaturan!$B$8:$B$27,P$4)="",0,COUNTIF(Data!$B9:$U9,INDEX(Pengaturan!$B$8:$B$27,P$4)))</f>
        <v>0</v>
      </c>
      <c r="Q9" s="26" t="n">
        <f aca="false">IF(INDEX(Pengaturan!$B$8:$B$27,Q$4)="",0,COUNTIF(Data!$B9:$U9,INDEX(Pengaturan!$B$8:$B$27,Q$4)))</f>
        <v>0</v>
      </c>
      <c r="R9" s="26" t="n">
        <f aca="false">IF(INDEX(Pengaturan!$B$8:$B$27,R$4)="",0,COUNTIF(Data!$B9:$U9,INDEX(Pengaturan!$B$8:$B$27,R$4)))</f>
        <v>0</v>
      </c>
      <c r="S9" s="26" t="n">
        <f aca="false">IF(INDEX(Pengaturan!$B$8:$B$27,S$4)="",0,COUNTIF(Data!$B9:$U9,INDEX(Pengaturan!$B$8:$B$27,S$4)))</f>
        <v>0</v>
      </c>
      <c r="T9" s="26" t="n">
        <f aca="false">IF(INDEX(Pengaturan!$B$8:$B$27,T$4)="",0,COUNTIF(Data!$B9:$U9,INDEX(Pengaturan!$B$8:$B$27,T$4)))</f>
        <v>0</v>
      </c>
      <c r="U9" s="26" t="n">
        <f aca="false">IF(INDEX(Pengaturan!$B$8:$B$27,U$4)="",0,COUNTIF(Data!$B9:$U9,INDEX(Pengaturan!$B$8:$B$27,U$4)))</f>
        <v>0</v>
      </c>
      <c r="V9" s="26" t="n">
        <f aca="false">COUNTA(Data!$B9:$U9)</f>
        <v>4</v>
      </c>
      <c r="W9" s="27" t="str">
        <f aca="false">IF(V9=0,"",IF(V9&lt;&gt;Hasil!$C$4,"Data kosong/tidak lengkap",IF(SUM(B9:U9)&lt;&gt;V9,"Kategori tidak dikenal","OK")))</f>
        <v>OK</v>
      </c>
      <c r="X9" s="26" t="n">
        <f aca="false">IF(OR(W9="",W9="OK"),0,1)</f>
        <v>0</v>
      </c>
    </row>
    <row r="10" customFormat="false" ht="15" hidden="false" customHeight="false" outlineLevel="0" collapsed="false">
      <c r="A10" s="26" t="n">
        <f aca="false">Data!A10</f>
        <v>5</v>
      </c>
      <c r="B10" s="26" t="n">
        <f aca="false">IF(INDEX(Pengaturan!$B$8:$B$27,B$4)="",0,COUNTIF(Data!$B10:$U10,INDEX(Pengaturan!$B$8:$B$27,B$4)))</f>
        <v>0</v>
      </c>
      <c r="C10" s="26" t="n">
        <f aca="false">IF(INDEX(Pengaturan!$B$8:$B$27,C$4)="",0,COUNTIF(Data!$B10:$U10,INDEX(Pengaturan!$B$8:$B$27,C$4)))</f>
        <v>1</v>
      </c>
      <c r="D10" s="26" t="n">
        <f aca="false">IF(INDEX(Pengaturan!$B$8:$B$27,D$4)="",0,COUNTIF(Data!$B10:$U10,INDEX(Pengaturan!$B$8:$B$27,D$4)))</f>
        <v>0</v>
      </c>
      <c r="E10" s="26" t="n">
        <f aca="false">IF(INDEX(Pengaturan!$B$8:$B$27,E$4)="",0,COUNTIF(Data!$B10:$U10,INDEX(Pengaturan!$B$8:$B$27,E$4)))</f>
        <v>2</v>
      </c>
      <c r="F10" s="26" t="n">
        <f aca="false">IF(INDEX(Pengaturan!$B$8:$B$27,F$4)="",0,COUNTIF(Data!$B10:$U10,INDEX(Pengaturan!$B$8:$B$27,F$4)))</f>
        <v>1</v>
      </c>
      <c r="G10" s="26" t="n">
        <f aca="false">IF(INDEX(Pengaturan!$B$8:$B$27,G$4)="",0,COUNTIF(Data!$B10:$U10,INDEX(Pengaturan!$B$8:$B$27,G$4)))</f>
        <v>0</v>
      </c>
      <c r="H10" s="26" t="n">
        <f aca="false">IF(INDEX(Pengaturan!$B$8:$B$27,H$4)="",0,COUNTIF(Data!$B10:$U10,INDEX(Pengaturan!$B$8:$B$27,H$4)))</f>
        <v>0</v>
      </c>
      <c r="I10" s="26" t="n">
        <f aca="false">IF(INDEX(Pengaturan!$B$8:$B$27,I$4)="",0,COUNTIF(Data!$B10:$U10,INDEX(Pengaturan!$B$8:$B$27,I$4)))</f>
        <v>0</v>
      </c>
      <c r="J10" s="26" t="n">
        <f aca="false">IF(INDEX(Pengaturan!$B$8:$B$27,J$4)="",0,COUNTIF(Data!$B10:$U10,INDEX(Pengaturan!$B$8:$B$27,J$4)))</f>
        <v>0</v>
      </c>
      <c r="K10" s="26" t="n">
        <f aca="false">IF(INDEX(Pengaturan!$B$8:$B$27,K$4)="",0,COUNTIF(Data!$B10:$U10,INDEX(Pengaturan!$B$8:$B$27,K$4)))</f>
        <v>0</v>
      </c>
      <c r="L10" s="26" t="n">
        <f aca="false">IF(INDEX(Pengaturan!$B$8:$B$27,L$4)="",0,COUNTIF(Data!$B10:$U10,INDEX(Pengaturan!$B$8:$B$27,L$4)))</f>
        <v>0</v>
      </c>
      <c r="M10" s="26" t="n">
        <f aca="false">IF(INDEX(Pengaturan!$B$8:$B$27,M$4)="",0,COUNTIF(Data!$B10:$U10,INDEX(Pengaturan!$B$8:$B$27,M$4)))</f>
        <v>0</v>
      </c>
      <c r="N10" s="26" t="n">
        <f aca="false">IF(INDEX(Pengaturan!$B$8:$B$27,N$4)="",0,COUNTIF(Data!$B10:$U10,INDEX(Pengaturan!$B$8:$B$27,N$4)))</f>
        <v>0</v>
      </c>
      <c r="O10" s="26" t="n">
        <f aca="false">IF(INDEX(Pengaturan!$B$8:$B$27,O$4)="",0,COUNTIF(Data!$B10:$U10,INDEX(Pengaturan!$B$8:$B$27,O$4)))</f>
        <v>0</v>
      </c>
      <c r="P10" s="26" t="n">
        <f aca="false">IF(INDEX(Pengaturan!$B$8:$B$27,P$4)="",0,COUNTIF(Data!$B10:$U10,INDEX(Pengaturan!$B$8:$B$27,P$4)))</f>
        <v>0</v>
      </c>
      <c r="Q10" s="26" t="n">
        <f aca="false">IF(INDEX(Pengaturan!$B$8:$B$27,Q$4)="",0,COUNTIF(Data!$B10:$U10,INDEX(Pengaturan!$B$8:$B$27,Q$4)))</f>
        <v>0</v>
      </c>
      <c r="R10" s="26" t="n">
        <f aca="false">IF(INDEX(Pengaturan!$B$8:$B$27,R$4)="",0,COUNTIF(Data!$B10:$U10,INDEX(Pengaturan!$B$8:$B$27,R$4)))</f>
        <v>0</v>
      </c>
      <c r="S10" s="26" t="n">
        <f aca="false">IF(INDEX(Pengaturan!$B$8:$B$27,S$4)="",0,COUNTIF(Data!$B10:$U10,INDEX(Pengaturan!$B$8:$B$27,S$4)))</f>
        <v>0</v>
      </c>
      <c r="T10" s="26" t="n">
        <f aca="false">IF(INDEX(Pengaturan!$B$8:$B$27,T$4)="",0,COUNTIF(Data!$B10:$U10,INDEX(Pengaturan!$B$8:$B$27,T$4)))</f>
        <v>0</v>
      </c>
      <c r="U10" s="26" t="n">
        <f aca="false">IF(INDEX(Pengaturan!$B$8:$B$27,U$4)="",0,COUNTIF(Data!$B10:$U10,INDEX(Pengaturan!$B$8:$B$27,U$4)))</f>
        <v>0</v>
      </c>
      <c r="V10" s="26" t="n">
        <f aca="false">COUNTA(Data!$B10:$U10)</f>
        <v>4</v>
      </c>
      <c r="W10" s="27" t="str">
        <f aca="false">IF(V10=0,"",IF(V10&lt;&gt;Hasil!$C$4,"Data kosong/tidak lengkap",IF(SUM(B10:U10)&lt;&gt;V10,"Kategori tidak dikenal","OK")))</f>
        <v>OK</v>
      </c>
      <c r="X10" s="26" t="n">
        <f aca="false">IF(OR(W10="",W10="OK"),0,1)</f>
        <v>0</v>
      </c>
    </row>
    <row r="11" customFormat="false" ht="15" hidden="false" customHeight="false" outlineLevel="0" collapsed="false">
      <c r="A11" s="26" t="n">
        <f aca="false">Data!A11</f>
        <v>6</v>
      </c>
      <c r="B11" s="26" t="n">
        <f aca="false">IF(INDEX(Pengaturan!$B$8:$B$27,B$4)="",0,COUNTIF(Data!$B11:$U11,INDEX(Pengaturan!$B$8:$B$27,B$4)))</f>
        <v>1</v>
      </c>
      <c r="C11" s="26" t="n">
        <f aca="false">IF(INDEX(Pengaturan!$B$8:$B$27,C$4)="",0,COUNTIF(Data!$B11:$U11,INDEX(Pengaturan!$B$8:$B$27,C$4)))</f>
        <v>3</v>
      </c>
      <c r="D11" s="26" t="n">
        <f aca="false">IF(INDEX(Pengaturan!$B$8:$B$27,D$4)="",0,COUNTIF(Data!$B11:$U11,INDEX(Pengaturan!$B$8:$B$27,D$4)))</f>
        <v>0</v>
      </c>
      <c r="E11" s="26" t="n">
        <f aca="false">IF(INDEX(Pengaturan!$B$8:$B$27,E$4)="",0,COUNTIF(Data!$B11:$U11,INDEX(Pengaturan!$B$8:$B$27,E$4)))</f>
        <v>0</v>
      </c>
      <c r="F11" s="26" t="n">
        <f aca="false">IF(INDEX(Pengaturan!$B$8:$B$27,F$4)="",0,COUNTIF(Data!$B11:$U11,INDEX(Pengaturan!$B$8:$B$27,F$4)))</f>
        <v>0</v>
      </c>
      <c r="G11" s="26" t="n">
        <f aca="false">IF(INDEX(Pengaturan!$B$8:$B$27,G$4)="",0,COUNTIF(Data!$B11:$U11,INDEX(Pengaturan!$B$8:$B$27,G$4)))</f>
        <v>0</v>
      </c>
      <c r="H11" s="26" t="n">
        <f aca="false">IF(INDEX(Pengaturan!$B$8:$B$27,H$4)="",0,COUNTIF(Data!$B11:$U11,INDEX(Pengaturan!$B$8:$B$27,H$4)))</f>
        <v>0</v>
      </c>
      <c r="I11" s="26" t="n">
        <f aca="false">IF(INDEX(Pengaturan!$B$8:$B$27,I$4)="",0,COUNTIF(Data!$B11:$U11,INDEX(Pengaturan!$B$8:$B$27,I$4)))</f>
        <v>0</v>
      </c>
      <c r="J11" s="26" t="n">
        <f aca="false">IF(INDEX(Pengaturan!$B$8:$B$27,J$4)="",0,COUNTIF(Data!$B11:$U11,INDEX(Pengaturan!$B$8:$B$27,J$4)))</f>
        <v>0</v>
      </c>
      <c r="K11" s="26" t="n">
        <f aca="false">IF(INDEX(Pengaturan!$B$8:$B$27,K$4)="",0,COUNTIF(Data!$B11:$U11,INDEX(Pengaturan!$B$8:$B$27,K$4)))</f>
        <v>0</v>
      </c>
      <c r="L11" s="26" t="n">
        <f aca="false">IF(INDEX(Pengaturan!$B$8:$B$27,L$4)="",0,COUNTIF(Data!$B11:$U11,INDEX(Pengaturan!$B$8:$B$27,L$4)))</f>
        <v>0</v>
      </c>
      <c r="M11" s="26" t="n">
        <f aca="false">IF(INDEX(Pengaturan!$B$8:$B$27,M$4)="",0,COUNTIF(Data!$B11:$U11,INDEX(Pengaturan!$B$8:$B$27,M$4)))</f>
        <v>0</v>
      </c>
      <c r="N11" s="26" t="n">
        <f aca="false">IF(INDEX(Pengaturan!$B$8:$B$27,N$4)="",0,COUNTIF(Data!$B11:$U11,INDEX(Pengaturan!$B$8:$B$27,N$4)))</f>
        <v>0</v>
      </c>
      <c r="O11" s="26" t="n">
        <f aca="false">IF(INDEX(Pengaturan!$B$8:$B$27,O$4)="",0,COUNTIF(Data!$B11:$U11,INDEX(Pengaturan!$B$8:$B$27,O$4)))</f>
        <v>0</v>
      </c>
      <c r="P11" s="26" t="n">
        <f aca="false">IF(INDEX(Pengaturan!$B$8:$B$27,P$4)="",0,COUNTIF(Data!$B11:$U11,INDEX(Pengaturan!$B$8:$B$27,P$4)))</f>
        <v>0</v>
      </c>
      <c r="Q11" s="26" t="n">
        <f aca="false">IF(INDEX(Pengaturan!$B$8:$B$27,Q$4)="",0,COUNTIF(Data!$B11:$U11,INDEX(Pengaturan!$B$8:$B$27,Q$4)))</f>
        <v>0</v>
      </c>
      <c r="R11" s="26" t="n">
        <f aca="false">IF(INDEX(Pengaturan!$B$8:$B$27,R$4)="",0,COUNTIF(Data!$B11:$U11,INDEX(Pengaturan!$B$8:$B$27,R$4)))</f>
        <v>0</v>
      </c>
      <c r="S11" s="26" t="n">
        <f aca="false">IF(INDEX(Pengaturan!$B$8:$B$27,S$4)="",0,COUNTIF(Data!$B11:$U11,INDEX(Pengaturan!$B$8:$B$27,S$4)))</f>
        <v>0</v>
      </c>
      <c r="T11" s="26" t="n">
        <f aca="false">IF(INDEX(Pengaturan!$B$8:$B$27,T$4)="",0,COUNTIF(Data!$B11:$U11,INDEX(Pengaturan!$B$8:$B$27,T$4)))</f>
        <v>0</v>
      </c>
      <c r="U11" s="26" t="n">
        <f aca="false">IF(INDEX(Pengaturan!$B$8:$B$27,U$4)="",0,COUNTIF(Data!$B11:$U11,INDEX(Pengaturan!$B$8:$B$27,U$4)))</f>
        <v>0</v>
      </c>
      <c r="V11" s="26" t="n">
        <f aca="false">COUNTA(Data!$B11:$U11)</f>
        <v>4</v>
      </c>
      <c r="W11" s="27" t="str">
        <f aca="false">IF(V11=0,"",IF(V11&lt;&gt;Hasil!$C$4,"Data kosong/tidak lengkap",IF(SUM(B11:U11)&lt;&gt;V11,"Kategori tidak dikenal","OK")))</f>
        <v>OK</v>
      </c>
      <c r="X11" s="26" t="n">
        <f aca="false">IF(OR(W11="",W11="OK"),0,1)</f>
        <v>0</v>
      </c>
    </row>
    <row r="12" customFormat="false" ht="15" hidden="false" customHeight="false" outlineLevel="0" collapsed="false">
      <c r="A12" s="26" t="n">
        <f aca="false">Data!A12</f>
        <v>7</v>
      </c>
      <c r="B12" s="26" t="n">
        <f aca="false">IF(INDEX(Pengaturan!$B$8:$B$27,B$4)="",0,COUNTIF(Data!$B12:$U12,INDEX(Pengaturan!$B$8:$B$27,B$4)))</f>
        <v>0</v>
      </c>
      <c r="C12" s="26" t="n">
        <f aca="false">IF(INDEX(Pengaturan!$B$8:$B$27,C$4)="",0,COUNTIF(Data!$B12:$U12,INDEX(Pengaturan!$B$8:$B$27,C$4)))</f>
        <v>0</v>
      </c>
      <c r="D12" s="26" t="n">
        <f aca="false">IF(INDEX(Pengaturan!$B$8:$B$27,D$4)="",0,COUNTIF(Data!$B12:$U12,INDEX(Pengaturan!$B$8:$B$27,D$4)))</f>
        <v>0</v>
      </c>
      <c r="E12" s="26" t="n">
        <f aca="false">IF(INDEX(Pengaturan!$B$8:$B$27,E$4)="",0,COUNTIF(Data!$B12:$U12,INDEX(Pengaturan!$B$8:$B$27,E$4)))</f>
        <v>1</v>
      </c>
      <c r="F12" s="26" t="n">
        <f aca="false">IF(INDEX(Pengaturan!$B$8:$B$27,F$4)="",0,COUNTIF(Data!$B12:$U12,INDEX(Pengaturan!$B$8:$B$27,F$4)))</f>
        <v>3</v>
      </c>
      <c r="G12" s="26" t="n">
        <f aca="false">IF(INDEX(Pengaturan!$B$8:$B$27,G$4)="",0,COUNTIF(Data!$B12:$U12,INDEX(Pengaturan!$B$8:$B$27,G$4)))</f>
        <v>0</v>
      </c>
      <c r="H12" s="26" t="n">
        <f aca="false">IF(INDEX(Pengaturan!$B$8:$B$27,H$4)="",0,COUNTIF(Data!$B12:$U12,INDEX(Pengaturan!$B$8:$B$27,H$4)))</f>
        <v>0</v>
      </c>
      <c r="I12" s="26" t="n">
        <f aca="false">IF(INDEX(Pengaturan!$B$8:$B$27,I$4)="",0,COUNTIF(Data!$B12:$U12,INDEX(Pengaturan!$B$8:$B$27,I$4)))</f>
        <v>0</v>
      </c>
      <c r="J12" s="26" t="n">
        <f aca="false">IF(INDEX(Pengaturan!$B$8:$B$27,J$4)="",0,COUNTIF(Data!$B12:$U12,INDEX(Pengaturan!$B$8:$B$27,J$4)))</f>
        <v>0</v>
      </c>
      <c r="K12" s="26" t="n">
        <f aca="false">IF(INDEX(Pengaturan!$B$8:$B$27,K$4)="",0,COUNTIF(Data!$B12:$U12,INDEX(Pengaturan!$B$8:$B$27,K$4)))</f>
        <v>0</v>
      </c>
      <c r="L12" s="26" t="n">
        <f aca="false">IF(INDEX(Pengaturan!$B$8:$B$27,L$4)="",0,COUNTIF(Data!$B12:$U12,INDEX(Pengaturan!$B$8:$B$27,L$4)))</f>
        <v>0</v>
      </c>
      <c r="M12" s="26" t="n">
        <f aca="false">IF(INDEX(Pengaturan!$B$8:$B$27,M$4)="",0,COUNTIF(Data!$B12:$U12,INDEX(Pengaturan!$B$8:$B$27,M$4)))</f>
        <v>0</v>
      </c>
      <c r="N12" s="26" t="n">
        <f aca="false">IF(INDEX(Pengaturan!$B$8:$B$27,N$4)="",0,COUNTIF(Data!$B12:$U12,INDEX(Pengaturan!$B$8:$B$27,N$4)))</f>
        <v>0</v>
      </c>
      <c r="O12" s="26" t="n">
        <f aca="false">IF(INDEX(Pengaturan!$B$8:$B$27,O$4)="",0,COUNTIF(Data!$B12:$U12,INDEX(Pengaturan!$B$8:$B$27,O$4)))</f>
        <v>0</v>
      </c>
      <c r="P12" s="26" t="n">
        <f aca="false">IF(INDEX(Pengaturan!$B$8:$B$27,P$4)="",0,COUNTIF(Data!$B12:$U12,INDEX(Pengaturan!$B$8:$B$27,P$4)))</f>
        <v>0</v>
      </c>
      <c r="Q12" s="26" t="n">
        <f aca="false">IF(INDEX(Pengaturan!$B$8:$B$27,Q$4)="",0,COUNTIF(Data!$B12:$U12,INDEX(Pengaturan!$B$8:$B$27,Q$4)))</f>
        <v>0</v>
      </c>
      <c r="R12" s="26" t="n">
        <f aca="false">IF(INDEX(Pengaturan!$B$8:$B$27,R$4)="",0,COUNTIF(Data!$B12:$U12,INDEX(Pengaturan!$B$8:$B$27,R$4)))</f>
        <v>0</v>
      </c>
      <c r="S12" s="26" t="n">
        <f aca="false">IF(INDEX(Pengaturan!$B$8:$B$27,S$4)="",0,COUNTIF(Data!$B12:$U12,INDEX(Pengaturan!$B$8:$B$27,S$4)))</f>
        <v>0</v>
      </c>
      <c r="T12" s="26" t="n">
        <f aca="false">IF(INDEX(Pengaturan!$B$8:$B$27,T$4)="",0,COUNTIF(Data!$B12:$U12,INDEX(Pengaturan!$B$8:$B$27,T$4)))</f>
        <v>0</v>
      </c>
      <c r="U12" s="26" t="n">
        <f aca="false">IF(INDEX(Pengaturan!$B$8:$B$27,U$4)="",0,COUNTIF(Data!$B12:$U12,INDEX(Pengaturan!$B$8:$B$27,U$4)))</f>
        <v>0</v>
      </c>
      <c r="V12" s="26" t="n">
        <f aca="false">COUNTA(Data!$B12:$U12)</f>
        <v>4</v>
      </c>
      <c r="W12" s="27" t="str">
        <f aca="false">IF(V12=0,"",IF(V12&lt;&gt;Hasil!$C$4,"Data kosong/tidak lengkap",IF(SUM(B12:U12)&lt;&gt;V12,"Kategori tidak dikenal","OK")))</f>
        <v>OK</v>
      </c>
      <c r="X12" s="26" t="n">
        <f aca="false">IF(OR(W12="",W12="OK"),0,1)</f>
        <v>0</v>
      </c>
    </row>
    <row r="13" customFormat="false" ht="15" hidden="false" customHeight="false" outlineLevel="0" collapsed="false">
      <c r="A13" s="26" t="n">
        <f aca="false">Data!A13</f>
        <v>8</v>
      </c>
      <c r="B13" s="26" t="n">
        <f aca="false">IF(INDEX(Pengaturan!$B$8:$B$27,B$4)="",0,COUNTIF(Data!$B13:$U13,INDEX(Pengaturan!$B$8:$B$27,B$4)))</f>
        <v>3</v>
      </c>
      <c r="C13" s="26" t="n">
        <f aca="false">IF(INDEX(Pengaturan!$B$8:$B$27,C$4)="",0,COUNTIF(Data!$B13:$U13,INDEX(Pengaturan!$B$8:$B$27,C$4)))</f>
        <v>1</v>
      </c>
      <c r="D13" s="26" t="n">
        <f aca="false">IF(INDEX(Pengaturan!$B$8:$B$27,D$4)="",0,COUNTIF(Data!$B13:$U13,INDEX(Pengaturan!$B$8:$B$27,D$4)))</f>
        <v>0</v>
      </c>
      <c r="E13" s="26" t="n">
        <f aca="false">IF(INDEX(Pengaturan!$B$8:$B$27,E$4)="",0,COUNTIF(Data!$B13:$U13,INDEX(Pengaturan!$B$8:$B$27,E$4)))</f>
        <v>0</v>
      </c>
      <c r="F13" s="26" t="n">
        <f aca="false">IF(INDEX(Pengaturan!$B$8:$B$27,F$4)="",0,COUNTIF(Data!$B13:$U13,INDEX(Pengaturan!$B$8:$B$27,F$4)))</f>
        <v>0</v>
      </c>
      <c r="G13" s="26" t="n">
        <f aca="false">IF(INDEX(Pengaturan!$B$8:$B$27,G$4)="",0,COUNTIF(Data!$B13:$U13,INDEX(Pengaturan!$B$8:$B$27,G$4)))</f>
        <v>0</v>
      </c>
      <c r="H13" s="26" t="n">
        <f aca="false">IF(INDEX(Pengaturan!$B$8:$B$27,H$4)="",0,COUNTIF(Data!$B13:$U13,INDEX(Pengaturan!$B$8:$B$27,H$4)))</f>
        <v>0</v>
      </c>
      <c r="I13" s="26" t="n">
        <f aca="false">IF(INDEX(Pengaturan!$B$8:$B$27,I$4)="",0,COUNTIF(Data!$B13:$U13,INDEX(Pengaturan!$B$8:$B$27,I$4)))</f>
        <v>0</v>
      </c>
      <c r="J13" s="26" t="n">
        <f aca="false">IF(INDEX(Pengaturan!$B$8:$B$27,J$4)="",0,COUNTIF(Data!$B13:$U13,INDEX(Pengaturan!$B$8:$B$27,J$4)))</f>
        <v>0</v>
      </c>
      <c r="K13" s="26" t="n">
        <f aca="false">IF(INDEX(Pengaturan!$B$8:$B$27,K$4)="",0,COUNTIF(Data!$B13:$U13,INDEX(Pengaturan!$B$8:$B$27,K$4)))</f>
        <v>0</v>
      </c>
      <c r="L13" s="26" t="n">
        <f aca="false">IF(INDEX(Pengaturan!$B$8:$B$27,L$4)="",0,COUNTIF(Data!$B13:$U13,INDEX(Pengaturan!$B$8:$B$27,L$4)))</f>
        <v>0</v>
      </c>
      <c r="M13" s="26" t="n">
        <f aca="false">IF(INDEX(Pengaturan!$B$8:$B$27,M$4)="",0,COUNTIF(Data!$B13:$U13,INDEX(Pengaturan!$B$8:$B$27,M$4)))</f>
        <v>0</v>
      </c>
      <c r="N13" s="26" t="n">
        <f aca="false">IF(INDEX(Pengaturan!$B$8:$B$27,N$4)="",0,COUNTIF(Data!$B13:$U13,INDEX(Pengaturan!$B$8:$B$27,N$4)))</f>
        <v>0</v>
      </c>
      <c r="O13" s="26" t="n">
        <f aca="false">IF(INDEX(Pengaturan!$B$8:$B$27,O$4)="",0,COUNTIF(Data!$B13:$U13,INDEX(Pengaturan!$B$8:$B$27,O$4)))</f>
        <v>0</v>
      </c>
      <c r="P13" s="26" t="n">
        <f aca="false">IF(INDEX(Pengaturan!$B$8:$B$27,P$4)="",0,COUNTIF(Data!$B13:$U13,INDEX(Pengaturan!$B$8:$B$27,P$4)))</f>
        <v>0</v>
      </c>
      <c r="Q13" s="26" t="n">
        <f aca="false">IF(INDEX(Pengaturan!$B$8:$B$27,Q$4)="",0,COUNTIF(Data!$B13:$U13,INDEX(Pengaturan!$B$8:$B$27,Q$4)))</f>
        <v>0</v>
      </c>
      <c r="R13" s="26" t="n">
        <f aca="false">IF(INDEX(Pengaturan!$B$8:$B$27,R$4)="",0,COUNTIF(Data!$B13:$U13,INDEX(Pengaturan!$B$8:$B$27,R$4)))</f>
        <v>0</v>
      </c>
      <c r="S13" s="26" t="n">
        <f aca="false">IF(INDEX(Pengaturan!$B$8:$B$27,S$4)="",0,COUNTIF(Data!$B13:$U13,INDEX(Pengaturan!$B$8:$B$27,S$4)))</f>
        <v>0</v>
      </c>
      <c r="T13" s="26" t="n">
        <f aca="false">IF(INDEX(Pengaturan!$B$8:$B$27,T$4)="",0,COUNTIF(Data!$B13:$U13,INDEX(Pengaturan!$B$8:$B$27,T$4)))</f>
        <v>0</v>
      </c>
      <c r="U13" s="26" t="n">
        <f aca="false">IF(INDEX(Pengaturan!$B$8:$B$27,U$4)="",0,COUNTIF(Data!$B13:$U13,INDEX(Pengaturan!$B$8:$B$27,U$4)))</f>
        <v>0</v>
      </c>
      <c r="V13" s="26" t="n">
        <f aca="false">COUNTA(Data!$B13:$U13)</f>
        <v>4</v>
      </c>
      <c r="W13" s="27" t="str">
        <f aca="false">IF(V13=0,"",IF(V13&lt;&gt;Hasil!$C$4,"Data kosong/tidak lengkap",IF(SUM(B13:U13)&lt;&gt;V13,"Kategori tidak dikenal","OK")))</f>
        <v>OK</v>
      </c>
      <c r="X13" s="26" t="n">
        <f aca="false">IF(OR(W13="",W13="OK"),0,1)</f>
        <v>0</v>
      </c>
    </row>
    <row r="14" customFormat="false" ht="15" hidden="false" customHeight="false" outlineLevel="0" collapsed="false">
      <c r="A14" s="26" t="n">
        <f aca="false">Data!A14</f>
        <v>9</v>
      </c>
      <c r="B14" s="26" t="n">
        <f aca="false">IF(INDEX(Pengaturan!$B$8:$B$27,B$4)="",0,COUNTIF(Data!$B14:$U14,INDEX(Pengaturan!$B$8:$B$27,B$4)))</f>
        <v>0</v>
      </c>
      <c r="C14" s="26" t="n">
        <f aca="false">IF(INDEX(Pengaturan!$B$8:$B$27,C$4)="",0,COUNTIF(Data!$B14:$U14,INDEX(Pengaturan!$B$8:$B$27,C$4)))</f>
        <v>1</v>
      </c>
      <c r="D14" s="26" t="n">
        <f aca="false">IF(INDEX(Pengaturan!$B$8:$B$27,D$4)="",0,COUNTIF(Data!$B14:$U14,INDEX(Pengaturan!$B$8:$B$27,D$4)))</f>
        <v>1</v>
      </c>
      <c r="E14" s="26" t="n">
        <f aca="false">IF(INDEX(Pengaturan!$B$8:$B$27,E$4)="",0,COUNTIF(Data!$B14:$U14,INDEX(Pengaturan!$B$8:$B$27,E$4)))</f>
        <v>2</v>
      </c>
      <c r="F14" s="26" t="n">
        <f aca="false">IF(INDEX(Pengaturan!$B$8:$B$27,F$4)="",0,COUNTIF(Data!$B14:$U14,INDEX(Pengaturan!$B$8:$B$27,F$4)))</f>
        <v>0</v>
      </c>
      <c r="G14" s="26" t="n">
        <f aca="false">IF(INDEX(Pengaturan!$B$8:$B$27,G$4)="",0,COUNTIF(Data!$B14:$U14,INDEX(Pengaturan!$B$8:$B$27,G$4)))</f>
        <v>0</v>
      </c>
      <c r="H14" s="26" t="n">
        <f aca="false">IF(INDEX(Pengaturan!$B$8:$B$27,H$4)="",0,COUNTIF(Data!$B14:$U14,INDEX(Pengaturan!$B$8:$B$27,H$4)))</f>
        <v>0</v>
      </c>
      <c r="I14" s="26" t="n">
        <f aca="false">IF(INDEX(Pengaturan!$B$8:$B$27,I$4)="",0,COUNTIF(Data!$B14:$U14,INDEX(Pengaturan!$B$8:$B$27,I$4)))</f>
        <v>0</v>
      </c>
      <c r="J14" s="26" t="n">
        <f aca="false">IF(INDEX(Pengaturan!$B$8:$B$27,J$4)="",0,COUNTIF(Data!$B14:$U14,INDEX(Pengaturan!$B$8:$B$27,J$4)))</f>
        <v>0</v>
      </c>
      <c r="K14" s="26" t="n">
        <f aca="false">IF(INDEX(Pengaturan!$B$8:$B$27,K$4)="",0,COUNTIF(Data!$B14:$U14,INDEX(Pengaturan!$B$8:$B$27,K$4)))</f>
        <v>0</v>
      </c>
      <c r="L14" s="26" t="n">
        <f aca="false">IF(INDEX(Pengaturan!$B$8:$B$27,L$4)="",0,COUNTIF(Data!$B14:$U14,INDEX(Pengaturan!$B$8:$B$27,L$4)))</f>
        <v>0</v>
      </c>
      <c r="M14" s="26" t="n">
        <f aca="false">IF(INDEX(Pengaturan!$B$8:$B$27,M$4)="",0,COUNTIF(Data!$B14:$U14,INDEX(Pengaturan!$B$8:$B$27,M$4)))</f>
        <v>0</v>
      </c>
      <c r="N14" s="26" t="n">
        <f aca="false">IF(INDEX(Pengaturan!$B$8:$B$27,N$4)="",0,COUNTIF(Data!$B14:$U14,INDEX(Pengaturan!$B$8:$B$27,N$4)))</f>
        <v>0</v>
      </c>
      <c r="O14" s="26" t="n">
        <f aca="false">IF(INDEX(Pengaturan!$B$8:$B$27,O$4)="",0,COUNTIF(Data!$B14:$U14,INDEX(Pengaturan!$B$8:$B$27,O$4)))</f>
        <v>0</v>
      </c>
      <c r="P14" s="26" t="n">
        <f aca="false">IF(INDEX(Pengaturan!$B$8:$B$27,P$4)="",0,COUNTIF(Data!$B14:$U14,INDEX(Pengaturan!$B$8:$B$27,P$4)))</f>
        <v>0</v>
      </c>
      <c r="Q14" s="26" t="n">
        <f aca="false">IF(INDEX(Pengaturan!$B$8:$B$27,Q$4)="",0,COUNTIF(Data!$B14:$U14,INDEX(Pengaturan!$B$8:$B$27,Q$4)))</f>
        <v>0</v>
      </c>
      <c r="R14" s="26" t="n">
        <f aca="false">IF(INDEX(Pengaturan!$B$8:$B$27,R$4)="",0,COUNTIF(Data!$B14:$U14,INDEX(Pengaturan!$B$8:$B$27,R$4)))</f>
        <v>0</v>
      </c>
      <c r="S14" s="26" t="n">
        <f aca="false">IF(INDEX(Pengaturan!$B$8:$B$27,S$4)="",0,COUNTIF(Data!$B14:$U14,INDEX(Pengaturan!$B$8:$B$27,S$4)))</f>
        <v>0</v>
      </c>
      <c r="T14" s="26" t="n">
        <f aca="false">IF(INDEX(Pengaturan!$B$8:$B$27,T$4)="",0,COUNTIF(Data!$B14:$U14,INDEX(Pengaturan!$B$8:$B$27,T$4)))</f>
        <v>0</v>
      </c>
      <c r="U14" s="26" t="n">
        <f aca="false">IF(INDEX(Pengaturan!$B$8:$B$27,U$4)="",0,COUNTIF(Data!$B14:$U14,INDEX(Pengaturan!$B$8:$B$27,U$4)))</f>
        <v>0</v>
      </c>
      <c r="V14" s="26" t="n">
        <f aca="false">COUNTA(Data!$B14:$U14)</f>
        <v>4</v>
      </c>
      <c r="W14" s="27" t="str">
        <f aca="false">IF(V14=0,"",IF(V14&lt;&gt;Hasil!$C$4,"Data kosong/tidak lengkap",IF(SUM(B14:U14)&lt;&gt;V14,"Kategori tidak dikenal","OK")))</f>
        <v>OK</v>
      </c>
      <c r="X14" s="26" t="n">
        <f aca="false">IF(OR(W14="",W14="OK"),0,1)</f>
        <v>0</v>
      </c>
    </row>
    <row r="15" customFormat="false" ht="15" hidden="false" customHeight="false" outlineLevel="0" collapsed="false">
      <c r="A15" s="26" t="n">
        <f aca="false">Data!A15</f>
        <v>10</v>
      </c>
      <c r="B15" s="26" t="n">
        <f aca="false">IF(INDEX(Pengaturan!$B$8:$B$27,B$4)="",0,COUNTIF(Data!$B15:$U15,INDEX(Pengaturan!$B$8:$B$27,B$4)))</f>
        <v>0</v>
      </c>
      <c r="C15" s="26" t="n">
        <f aca="false">IF(INDEX(Pengaturan!$B$8:$B$27,C$4)="",0,COUNTIF(Data!$B15:$U15,INDEX(Pengaturan!$B$8:$B$27,C$4)))</f>
        <v>1</v>
      </c>
      <c r="D15" s="26" t="n">
        <f aca="false">IF(INDEX(Pengaturan!$B$8:$B$27,D$4)="",0,COUNTIF(Data!$B15:$U15,INDEX(Pengaturan!$B$8:$B$27,D$4)))</f>
        <v>2</v>
      </c>
      <c r="E15" s="26" t="n">
        <f aca="false">IF(INDEX(Pengaturan!$B$8:$B$27,E$4)="",0,COUNTIF(Data!$B15:$U15,INDEX(Pengaturan!$B$8:$B$27,E$4)))</f>
        <v>1</v>
      </c>
      <c r="F15" s="26" t="n">
        <f aca="false">IF(INDEX(Pengaturan!$B$8:$B$27,F$4)="",0,COUNTIF(Data!$B15:$U15,INDEX(Pengaturan!$B$8:$B$27,F$4)))</f>
        <v>0</v>
      </c>
      <c r="G15" s="26" t="n">
        <f aca="false">IF(INDEX(Pengaturan!$B$8:$B$27,G$4)="",0,COUNTIF(Data!$B15:$U15,INDEX(Pengaturan!$B$8:$B$27,G$4)))</f>
        <v>0</v>
      </c>
      <c r="H15" s="26" t="n">
        <f aca="false">IF(INDEX(Pengaturan!$B$8:$B$27,H$4)="",0,COUNTIF(Data!$B15:$U15,INDEX(Pengaturan!$B$8:$B$27,H$4)))</f>
        <v>0</v>
      </c>
      <c r="I15" s="26" t="n">
        <f aca="false">IF(INDEX(Pengaturan!$B$8:$B$27,I$4)="",0,COUNTIF(Data!$B15:$U15,INDEX(Pengaturan!$B$8:$B$27,I$4)))</f>
        <v>0</v>
      </c>
      <c r="J15" s="26" t="n">
        <f aca="false">IF(INDEX(Pengaturan!$B$8:$B$27,J$4)="",0,COUNTIF(Data!$B15:$U15,INDEX(Pengaturan!$B$8:$B$27,J$4)))</f>
        <v>0</v>
      </c>
      <c r="K15" s="26" t="n">
        <f aca="false">IF(INDEX(Pengaturan!$B$8:$B$27,K$4)="",0,COUNTIF(Data!$B15:$U15,INDEX(Pengaturan!$B$8:$B$27,K$4)))</f>
        <v>0</v>
      </c>
      <c r="L15" s="26" t="n">
        <f aca="false">IF(INDEX(Pengaturan!$B$8:$B$27,L$4)="",0,COUNTIF(Data!$B15:$U15,INDEX(Pengaturan!$B$8:$B$27,L$4)))</f>
        <v>0</v>
      </c>
      <c r="M15" s="26" t="n">
        <f aca="false">IF(INDEX(Pengaturan!$B$8:$B$27,M$4)="",0,COUNTIF(Data!$B15:$U15,INDEX(Pengaturan!$B$8:$B$27,M$4)))</f>
        <v>0</v>
      </c>
      <c r="N15" s="26" t="n">
        <f aca="false">IF(INDEX(Pengaturan!$B$8:$B$27,N$4)="",0,COUNTIF(Data!$B15:$U15,INDEX(Pengaturan!$B$8:$B$27,N$4)))</f>
        <v>0</v>
      </c>
      <c r="O15" s="26" t="n">
        <f aca="false">IF(INDEX(Pengaturan!$B$8:$B$27,O$4)="",0,COUNTIF(Data!$B15:$U15,INDEX(Pengaturan!$B$8:$B$27,O$4)))</f>
        <v>0</v>
      </c>
      <c r="P15" s="26" t="n">
        <f aca="false">IF(INDEX(Pengaturan!$B$8:$B$27,P$4)="",0,COUNTIF(Data!$B15:$U15,INDEX(Pengaturan!$B$8:$B$27,P$4)))</f>
        <v>0</v>
      </c>
      <c r="Q15" s="26" t="n">
        <f aca="false">IF(INDEX(Pengaturan!$B$8:$B$27,Q$4)="",0,COUNTIF(Data!$B15:$U15,INDEX(Pengaturan!$B$8:$B$27,Q$4)))</f>
        <v>0</v>
      </c>
      <c r="R15" s="26" t="n">
        <f aca="false">IF(INDEX(Pengaturan!$B$8:$B$27,R$4)="",0,COUNTIF(Data!$B15:$U15,INDEX(Pengaturan!$B$8:$B$27,R$4)))</f>
        <v>0</v>
      </c>
      <c r="S15" s="26" t="n">
        <f aca="false">IF(INDEX(Pengaturan!$B$8:$B$27,S$4)="",0,COUNTIF(Data!$B15:$U15,INDEX(Pengaturan!$B$8:$B$27,S$4)))</f>
        <v>0</v>
      </c>
      <c r="T15" s="26" t="n">
        <f aca="false">IF(INDEX(Pengaturan!$B$8:$B$27,T$4)="",0,COUNTIF(Data!$B15:$U15,INDEX(Pengaturan!$B$8:$B$27,T$4)))</f>
        <v>0</v>
      </c>
      <c r="U15" s="26" t="n">
        <f aca="false">IF(INDEX(Pengaturan!$B$8:$B$27,U$4)="",0,COUNTIF(Data!$B15:$U15,INDEX(Pengaturan!$B$8:$B$27,U$4)))</f>
        <v>0</v>
      </c>
      <c r="V15" s="26" t="n">
        <f aca="false">COUNTA(Data!$B15:$U15)</f>
        <v>4</v>
      </c>
      <c r="W15" s="27" t="str">
        <f aca="false">IF(V15=0,"",IF(V15&lt;&gt;Hasil!$C$4,"Data kosong/tidak lengkap",IF(SUM(B15:U15)&lt;&gt;V15,"Kategori tidak dikenal","OK")))</f>
        <v>OK</v>
      </c>
      <c r="X15" s="26" t="n">
        <f aca="false">IF(OR(W15="",W15="OK"),0,1)</f>
        <v>0</v>
      </c>
    </row>
    <row r="16" customFormat="false" ht="15" hidden="false" customHeight="false" outlineLevel="0" collapsed="false">
      <c r="A16" s="26" t="n">
        <f aca="false">Data!A16</f>
        <v>11</v>
      </c>
      <c r="B16" s="26" t="n">
        <f aca="false">IF(INDEX(Pengaturan!$B$8:$B$27,B$4)="",0,COUNTIF(Data!$B16:$U16,INDEX(Pengaturan!$B$8:$B$27,B$4)))</f>
        <v>0</v>
      </c>
      <c r="C16" s="26" t="n">
        <f aca="false">IF(INDEX(Pengaturan!$B$8:$B$27,C$4)="",0,COUNTIF(Data!$B16:$U16,INDEX(Pengaturan!$B$8:$B$27,C$4)))</f>
        <v>0</v>
      </c>
      <c r="D16" s="26" t="n">
        <f aca="false">IF(INDEX(Pengaturan!$B$8:$B$27,D$4)="",0,COUNTIF(Data!$B16:$U16,INDEX(Pengaturan!$B$8:$B$27,D$4)))</f>
        <v>0</v>
      </c>
      <c r="E16" s="26" t="n">
        <f aca="false">IF(INDEX(Pengaturan!$B$8:$B$27,E$4)="",0,COUNTIF(Data!$B16:$U16,INDEX(Pengaturan!$B$8:$B$27,E$4)))</f>
        <v>1</v>
      </c>
      <c r="F16" s="26" t="n">
        <f aca="false">IF(INDEX(Pengaturan!$B$8:$B$27,F$4)="",0,COUNTIF(Data!$B16:$U16,INDEX(Pengaturan!$B$8:$B$27,F$4)))</f>
        <v>3</v>
      </c>
      <c r="G16" s="26" t="n">
        <f aca="false">IF(INDEX(Pengaturan!$B$8:$B$27,G$4)="",0,COUNTIF(Data!$B16:$U16,INDEX(Pengaturan!$B$8:$B$27,G$4)))</f>
        <v>0</v>
      </c>
      <c r="H16" s="26" t="n">
        <f aca="false">IF(INDEX(Pengaturan!$B$8:$B$27,H$4)="",0,COUNTIF(Data!$B16:$U16,INDEX(Pengaturan!$B$8:$B$27,H$4)))</f>
        <v>0</v>
      </c>
      <c r="I16" s="26" t="n">
        <f aca="false">IF(INDEX(Pengaturan!$B$8:$B$27,I$4)="",0,COUNTIF(Data!$B16:$U16,INDEX(Pengaturan!$B$8:$B$27,I$4)))</f>
        <v>0</v>
      </c>
      <c r="J16" s="26" t="n">
        <f aca="false">IF(INDEX(Pengaturan!$B$8:$B$27,J$4)="",0,COUNTIF(Data!$B16:$U16,INDEX(Pengaturan!$B$8:$B$27,J$4)))</f>
        <v>0</v>
      </c>
      <c r="K16" s="26" t="n">
        <f aca="false">IF(INDEX(Pengaturan!$B$8:$B$27,K$4)="",0,COUNTIF(Data!$B16:$U16,INDEX(Pengaturan!$B$8:$B$27,K$4)))</f>
        <v>0</v>
      </c>
      <c r="L16" s="26" t="n">
        <f aca="false">IF(INDEX(Pengaturan!$B$8:$B$27,L$4)="",0,COUNTIF(Data!$B16:$U16,INDEX(Pengaturan!$B$8:$B$27,L$4)))</f>
        <v>0</v>
      </c>
      <c r="M16" s="26" t="n">
        <f aca="false">IF(INDEX(Pengaturan!$B$8:$B$27,M$4)="",0,COUNTIF(Data!$B16:$U16,INDEX(Pengaturan!$B$8:$B$27,M$4)))</f>
        <v>0</v>
      </c>
      <c r="N16" s="26" t="n">
        <f aca="false">IF(INDEX(Pengaturan!$B$8:$B$27,N$4)="",0,COUNTIF(Data!$B16:$U16,INDEX(Pengaturan!$B$8:$B$27,N$4)))</f>
        <v>0</v>
      </c>
      <c r="O16" s="26" t="n">
        <f aca="false">IF(INDEX(Pengaturan!$B$8:$B$27,O$4)="",0,COUNTIF(Data!$B16:$U16,INDEX(Pengaturan!$B$8:$B$27,O$4)))</f>
        <v>0</v>
      </c>
      <c r="P16" s="26" t="n">
        <f aca="false">IF(INDEX(Pengaturan!$B$8:$B$27,P$4)="",0,COUNTIF(Data!$B16:$U16,INDEX(Pengaturan!$B$8:$B$27,P$4)))</f>
        <v>0</v>
      </c>
      <c r="Q16" s="26" t="n">
        <f aca="false">IF(INDEX(Pengaturan!$B$8:$B$27,Q$4)="",0,COUNTIF(Data!$B16:$U16,INDEX(Pengaturan!$B$8:$B$27,Q$4)))</f>
        <v>0</v>
      </c>
      <c r="R16" s="26" t="n">
        <f aca="false">IF(INDEX(Pengaturan!$B$8:$B$27,R$4)="",0,COUNTIF(Data!$B16:$U16,INDEX(Pengaturan!$B$8:$B$27,R$4)))</f>
        <v>0</v>
      </c>
      <c r="S16" s="26" t="n">
        <f aca="false">IF(INDEX(Pengaturan!$B$8:$B$27,S$4)="",0,COUNTIF(Data!$B16:$U16,INDEX(Pengaturan!$B$8:$B$27,S$4)))</f>
        <v>0</v>
      </c>
      <c r="T16" s="26" t="n">
        <f aca="false">IF(INDEX(Pengaturan!$B$8:$B$27,T$4)="",0,COUNTIF(Data!$B16:$U16,INDEX(Pengaturan!$B$8:$B$27,T$4)))</f>
        <v>0</v>
      </c>
      <c r="U16" s="26" t="n">
        <f aca="false">IF(INDEX(Pengaturan!$B$8:$B$27,U$4)="",0,COUNTIF(Data!$B16:$U16,INDEX(Pengaturan!$B$8:$B$27,U$4)))</f>
        <v>0</v>
      </c>
      <c r="V16" s="26" t="n">
        <f aca="false">COUNTA(Data!$B16:$U16)</f>
        <v>4</v>
      </c>
      <c r="W16" s="27" t="str">
        <f aca="false">IF(V16=0,"",IF(V16&lt;&gt;Hasil!$C$4,"Data kosong/tidak lengkap",IF(SUM(B16:U16)&lt;&gt;V16,"Kategori tidak dikenal","OK")))</f>
        <v>OK</v>
      </c>
      <c r="X16" s="26" t="n">
        <f aca="false">IF(OR(W16="",W16="OK"),0,1)</f>
        <v>0</v>
      </c>
    </row>
    <row r="17" customFormat="false" ht="15" hidden="false" customHeight="false" outlineLevel="0" collapsed="false">
      <c r="A17" s="26" t="n">
        <f aca="false">Data!A17</f>
        <v>12</v>
      </c>
      <c r="B17" s="26" t="n">
        <f aca="false">IF(INDEX(Pengaturan!$B$8:$B$27,B$4)="",0,COUNTIF(Data!$B17:$U17,INDEX(Pengaturan!$B$8:$B$27,B$4)))</f>
        <v>4</v>
      </c>
      <c r="C17" s="26" t="n">
        <f aca="false">IF(INDEX(Pengaturan!$B$8:$B$27,C$4)="",0,COUNTIF(Data!$B17:$U17,INDEX(Pengaturan!$B$8:$B$27,C$4)))</f>
        <v>0</v>
      </c>
      <c r="D17" s="26" t="n">
        <f aca="false">IF(INDEX(Pengaturan!$B$8:$B$27,D$4)="",0,COUNTIF(Data!$B17:$U17,INDEX(Pengaturan!$B$8:$B$27,D$4)))</f>
        <v>0</v>
      </c>
      <c r="E17" s="26" t="n">
        <f aca="false">IF(INDEX(Pengaturan!$B$8:$B$27,E$4)="",0,COUNTIF(Data!$B17:$U17,INDEX(Pengaturan!$B$8:$B$27,E$4)))</f>
        <v>0</v>
      </c>
      <c r="F17" s="26" t="n">
        <f aca="false">IF(INDEX(Pengaturan!$B$8:$B$27,F$4)="",0,COUNTIF(Data!$B17:$U17,INDEX(Pengaturan!$B$8:$B$27,F$4)))</f>
        <v>0</v>
      </c>
      <c r="G17" s="26" t="n">
        <f aca="false">IF(INDEX(Pengaturan!$B$8:$B$27,G$4)="",0,COUNTIF(Data!$B17:$U17,INDEX(Pengaturan!$B$8:$B$27,G$4)))</f>
        <v>0</v>
      </c>
      <c r="H17" s="26" t="n">
        <f aca="false">IF(INDEX(Pengaturan!$B$8:$B$27,H$4)="",0,COUNTIF(Data!$B17:$U17,INDEX(Pengaturan!$B$8:$B$27,H$4)))</f>
        <v>0</v>
      </c>
      <c r="I17" s="26" t="n">
        <f aca="false">IF(INDEX(Pengaturan!$B$8:$B$27,I$4)="",0,COUNTIF(Data!$B17:$U17,INDEX(Pengaturan!$B$8:$B$27,I$4)))</f>
        <v>0</v>
      </c>
      <c r="J17" s="26" t="n">
        <f aca="false">IF(INDEX(Pengaturan!$B$8:$B$27,J$4)="",0,COUNTIF(Data!$B17:$U17,INDEX(Pengaturan!$B$8:$B$27,J$4)))</f>
        <v>0</v>
      </c>
      <c r="K17" s="26" t="n">
        <f aca="false">IF(INDEX(Pengaturan!$B$8:$B$27,K$4)="",0,COUNTIF(Data!$B17:$U17,INDEX(Pengaturan!$B$8:$B$27,K$4)))</f>
        <v>0</v>
      </c>
      <c r="L17" s="26" t="n">
        <f aca="false">IF(INDEX(Pengaturan!$B$8:$B$27,L$4)="",0,COUNTIF(Data!$B17:$U17,INDEX(Pengaturan!$B$8:$B$27,L$4)))</f>
        <v>0</v>
      </c>
      <c r="M17" s="26" t="n">
        <f aca="false">IF(INDEX(Pengaturan!$B$8:$B$27,M$4)="",0,COUNTIF(Data!$B17:$U17,INDEX(Pengaturan!$B$8:$B$27,M$4)))</f>
        <v>0</v>
      </c>
      <c r="N17" s="26" t="n">
        <f aca="false">IF(INDEX(Pengaturan!$B$8:$B$27,N$4)="",0,COUNTIF(Data!$B17:$U17,INDEX(Pengaturan!$B$8:$B$27,N$4)))</f>
        <v>0</v>
      </c>
      <c r="O17" s="26" t="n">
        <f aca="false">IF(INDEX(Pengaturan!$B$8:$B$27,O$4)="",0,COUNTIF(Data!$B17:$U17,INDEX(Pengaturan!$B$8:$B$27,O$4)))</f>
        <v>0</v>
      </c>
      <c r="P17" s="26" t="n">
        <f aca="false">IF(INDEX(Pengaturan!$B$8:$B$27,P$4)="",0,COUNTIF(Data!$B17:$U17,INDEX(Pengaturan!$B$8:$B$27,P$4)))</f>
        <v>0</v>
      </c>
      <c r="Q17" s="26" t="n">
        <f aca="false">IF(INDEX(Pengaturan!$B$8:$B$27,Q$4)="",0,COUNTIF(Data!$B17:$U17,INDEX(Pengaturan!$B$8:$B$27,Q$4)))</f>
        <v>0</v>
      </c>
      <c r="R17" s="26" t="n">
        <f aca="false">IF(INDEX(Pengaturan!$B$8:$B$27,R$4)="",0,COUNTIF(Data!$B17:$U17,INDEX(Pengaturan!$B$8:$B$27,R$4)))</f>
        <v>0</v>
      </c>
      <c r="S17" s="26" t="n">
        <f aca="false">IF(INDEX(Pengaturan!$B$8:$B$27,S$4)="",0,COUNTIF(Data!$B17:$U17,INDEX(Pengaturan!$B$8:$B$27,S$4)))</f>
        <v>0</v>
      </c>
      <c r="T17" s="26" t="n">
        <f aca="false">IF(INDEX(Pengaturan!$B$8:$B$27,T$4)="",0,COUNTIF(Data!$B17:$U17,INDEX(Pengaturan!$B$8:$B$27,T$4)))</f>
        <v>0</v>
      </c>
      <c r="U17" s="26" t="n">
        <f aca="false">IF(INDEX(Pengaturan!$B$8:$B$27,U$4)="",0,COUNTIF(Data!$B17:$U17,INDEX(Pengaturan!$B$8:$B$27,U$4)))</f>
        <v>0</v>
      </c>
      <c r="V17" s="26" t="n">
        <f aca="false">COUNTA(Data!$B17:$U17)</f>
        <v>4</v>
      </c>
      <c r="W17" s="27" t="str">
        <f aca="false">IF(V17=0,"",IF(V17&lt;&gt;Hasil!$C$4,"Data kosong/tidak lengkap",IF(SUM(B17:U17)&lt;&gt;V17,"Kategori tidak dikenal","OK")))</f>
        <v>OK</v>
      </c>
      <c r="X17" s="26" t="n">
        <f aca="false">IF(OR(W17="",W17="OK"),0,1)</f>
        <v>0</v>
      </c>
    </row>
    <row r="18" customFormat="false" ht="15" hidden="false" customHeight="false" outlineLevel="0" collapsed="false">
      <c r="A18" s="26" t="n">
        <f aca="false">Data!A18</f>
        <v>13</v>
      </c>
      <c r="B18" s="26" t="n">
        <f aca="false">IF(INDEX(Pengaturan!$B$8:$B$27,B$4)="",0,COUNTIF(Data!$B18:$U18,INDEX(Pengaturan!$B$8:$B$27,B$4)))</f>
        <v>3</v>
      </c>
      <c r="C18" s="26" t="n">
        <f aca="false">IF(INDEX(Pengaturan!$B$8:$B$27,C$4)="",0,COUNTIF(Data!$B18:$U18,INDEX(Pengaturan!$B$8:$B$27,C$4)))</f>
        <v>0</v>
      </c>
      <c r="D18" s="26" t="n">
        <f aca="false">IF(INDEX(Pengaturan!$B$8:$B$27,D$4)="",0,COUNTIF(Data!$B18:$U18,INDEX(Pengaturan!$B$8:$B$27,D$4)))</f>
        <v>1</v>
      </c>
      <c r="E18" s="26" t="n">
        <f aca="false">IF(INDEX(Pengaturan!$B$8:$B$27,E$4)="",0,COUNTIF(Data!$B18:$U18,INDEX(Pengaturan!$B$8:$B$27,E$4)))</f>
        <v>0</v>
      </c>
      <c r="F18" s="26" t="n">
        <f aca="false">IF(INDEX(Pengaturan!$B$8:$B$27,F$4)="",0,COUNTIF(Data!$B18:$U18,INDEX(Pengaturan!$B$8:$B$27,F$4)))</f>
        <v>0</v>
      </c>
      <c r="G18" s="26" t="n">
        <f aca="false">IF(INDEX(Pengaturan!$B$8:$B$27,G$4)="",0,COUNTIF(Data!$B18:$U18,INDEX(Pengaturan!$B$8:$B$27,G$4)))</f>
        <v>0</v>
      </c>
      <c r="H18" s="26" t="n">
        <f aca="false">IF(INDEX(Pengaturan!$B$8:$B$27,H$4)="",0,COUNTIF(Data!$B18:$U18,INDEX(Pengaturan!$B$8:$B$27,H$4)))</f>
        <v>0</v>
      </c>
      <c r="I18" s="26" t="n">
        <f aca="false">IF(INDEX(Pengaturan!$B$8:$B$27,I$4)="",0,COUNTIF(Data!$B18:$U18,INDEX(Pengaturan!$B$8:$B$27,I$4)))</f>
        <v>0</v>
      </c>
      <c r="J18" s="26" t="n">
        <f aca="false">IF(INDEX(Pengaturan!$B$8:$B$27,J$4)="",0,COUNTIF(Data!$B18:$U18,INDEX(Pengaturan!$B$8:$B$27,J$4)))</f>
        <v>0</v>
      </c>
      <c r="K18" s="26" t="n">
        <f aca="false">IF(INDEX(Pengaturan!$B$8:$B$27,K$4)="",0,COUNTIF(Data!$B18:$U18,INDEX(Pengaturan!$B$8:$B$27,K$4)))</f>
        <v>0</v>
      </c>
      <c r="L18" s="26" t="n">
        <f aca="false">IF(INDEX(Pengaturan!$B$8:$B$27,L$4)="",0,COUNTIF(Data!$B18:$U18,INDEX(Pengaturan!$B$8:$B$27,L$4)))</f>
        <v>0</v>
      </c>
      <c r="M18" s="26" t="n">
        <f aca="false">IF(INDEX(Pengaturan!$B$8:$B$27,M$4)="",0,COUNTIF(Data!$B18:$U18,INDEX(Pengaturan!$B$8:$B$27,M$4)))</f>
        <v>0</v>
      </c>
      <c r="N18" s="26" t="n">
        <f aca="false">IF(INDEX(Pengaturan!$B$8:$B$27,N$4)="",0,COUNTIF(Data!$B18:$U18,INDEX(Pengaturan!$B$8:$B$27,N$4)))</f>
        <v>0</v>
      </c>
      <c r="O18" s="26" t="n">
        <f aca="false">IF(INDEX(Pengaturan!$B$8:$B$27,O$4)="",0,COUNTIF(Data!$B18:$U18,INDEX(Pengaturan!$B$8:$B$27,O$4)))</f>
        <v>0</v>
      </c>
      <c r="P18" s="26" t="n">
        <f aca="false">IF(INDEX(Pengaturan!$B$8:$B$27,P$4)="",0,COUNTIF(Data!$B18:$U18,INDEX(Pengaturan!$B$8:$B$27,P$4)))</f>
        <v>0</v>
      </c>
      <c r="Q18" s="26" t="n">
        <f aca="false">IF(INDEX(Pengaturan!$B$8:$B$27,Q$4)="",0,COUNTIF(Data!$B18:$U18,INDEX(Pengaturan!$B$8:$B$27,Q$4)))</f>
        <v>0</v>
      </c>
      <c r="R18" s="26" t="n">
        <f aca="false">IF(INDEX(Pengaturan!$B$8:$B$27,R$4)="",0,COUNTIF(Data!$B18:$U18,INDEX(Pengaturan!$B$8:$B$27,R$4)))</f>
        <v>0</v>
      </c>
      <c r="S18" s="26" t="n">
        <f aca="false">IF(INDEX(Pengaturan!$B$8:$B$27,S$4)="",0,COUNTIF(Data!$B18:$U18,INDEX(Pengaturan!$B$8:$B$27,S$4)))</f>
        <v>0</v>
      </c>
      <c r="T18" s="26" t="n">
        <f aca="false">IF(INDEX(Pengaturan!$B$8:$B$27,T$4)="",0,COUNTIF(Data!$B18:$U18,INDEX(Pengaturan!$B$8:$B$27,T$4)))</f>
        <v>0</v>
      </c>
      <c r="U18" s="26" t="n">
        <f aca="false">IF(INDEX(Pengaturan!$B$8:$B$27,U$4)="",0,COUNTIF(Data!$B18:$U18,INDEX(Pengaturan!$B$8:$B$27,U$4)))</f>
        <v>0</v>
      </c>
      <c r="V18" s="26" t="n">
        <f aca="false">COUNTA(Data!$B18:$U18)</f>
        <v>4</v>
      </c>
      <c r="W18" s="27" t="str">
        <f aca="false">IF(V18=0,"",IF(V18&lt;&gt;Hasil!$C$4,"Data kosong/tidak lengkap",IF(SUM(B18:U18)&lt;&gt;V18,"Kategori tidak dikenal","OK")))</f>
        <v>OK</v>
      </c>
      <c r="X18" s="26" t="n">
        <f aca="false">IF(OR(W18="",W18="OK"),0,1)</f>
        <v>0</v>
      </c>
    </row>
    <row r="19" customFormat="false" ht="15" hidden="false" customHeight="false" outlineLevel="0" collapsed="false">
      <c r="A19" s="26" t="n">
        <f aca="false">Data!A19</f>
        <v>14</v>
      </c>
      <c r="B19" s="26" t="n">
        <f aca="false">IF(INDEX(Pengaturan!$B$8:$B$27,B$4)="",0,COUNTIF(Data!$B19:$U19,INDEX(Pengaturan!$B$8:$B$27,B$4)))</f>
        <v>0</v>
      </c>
      <c r="C19" s="26" t="n">
        <f aca="false">IF(INDEX(Pengaturan!$B$8:$B$27,C$4)="",0,COUNTIF(Data!$B19:$U19,INDEX(Pengaturan!$B$8:$B$27,C$4)))</f>
        <v>1</v>
      </c>
      <c r="D19" s="26" t="n">
        <f aca="false">IF(INDEX(Pengaturan!$B$8:$B$27,D$4)="",0,COUNTIF(Data!$B19:$U19,INDEX(Pengaturan!$B$8:$B$27,D$4)))</f>
        <v>1</v>
      </c>
      <c r="E19" s="26" t="n">
        <f aca="false">IF(INDEX(Pengaturan!$B$8:$B$27,E$4)="",0,COUNTIF(Data!$B19:$U19,INDEX(Pengaturan!$B$8:$B$27,E$4)))</f>
        <v>1</v>
      </c>
      <c r="F19" s="26" t="n">
        <f aca="false">IF(INDEX(Pengaturan!$B$8:$B$27,F$4)="",0,COUNTIF(Data!$B19:$U19,INDEX(Pengaturan!$B$8:$B$27,F$4)))</f>
        <v>1</v>
      </c>
      <c r="G19" s="26" t="n">
        <f aca="false">IF(INDEX(Pengaturan!$B$8:$B$27,G$4)="",0,COUNTIF(Data!$B19:$U19,INDEX(Pengaturan!$B$8:$B$27,G$4)))</f>
        <v>0</v>
      </c>
      <c r="H19" s="26" t="n">
        <f aca="false">IF(INDEX(Pengaturan!$B$8:$B$27,H$4)="",0,COUNTIF(Data!$B19:$U19,INDEX(Pengaturan!$B$8:$B$27,H$4)))</f>
        <v>0</v>
      </c>
      <c r="I19" s="26" t="n">
        <f aca="false">IF(INDEX(Pengaturan!$B$8:$B$27,I$4)="",0,COUNTIF(Data!$B19:$U19,INDEX(Pengaturan!$B$8:$B$27,I$4)))</f>
        <v>0</v>
      </c>
      <c r="J19" s="26" t="n">
        <f aca="false">IF(INDEX(Pengaturan!$B$8:$B$27,J$4)="",0,COUNTIF(Data!$B19:$U19,INDEX(Pengaturan!$B$8:$B$27,J$4)))</f>
        <v>0</v>
      </c>
      <c r="K19" s="26" t="n">
        <f aca="false">IF(INDEX(Pengaturan!$B$8:$B$27,K$4)="",0,COUNTIF(Data!$B19:$U19,INDEX(Pengaturan!$B$8:$B$27,K$4)))</f>
        <v>0</v>
      </c>
      <c r="L19" s="26" t="n">
        <f aca="false">IF(INDEX(Pengaturan!$B$8:$B$27,L$4)="",0,COUNTIF(Data!$B19:$U19,INDEX(Pengaturan!$B$8:$B$27,L$4)))</f>
        <v>0</v>
      </c>
      <c r="M19" s="26" t="n">
        <f aca="false">IF(INDEX(Pengaturan!$B$8:$B$27,M$4)="",0,COUNTIF(Data!$B19:$U19,INDEX(Pengaturan!$B$8:$B$27,M$4)))</f>
        <v>0</v>
      </c>
      <c r="N19" s="26" t="n">
        <f aca="false">IF(INDEX(Pengaturan!$B$8:$B$27,N$4)="",0,COUNTIF(Data!$B19:$U19,INDEX(Pengaturan!$B$8:$B$27,N$4)))</f>
        <v>0</v>
      </c>
      <c r="O19" s="26" t="n">
        <f aca="false">IF(INDEX(Pengaturan!$B$8:$B$27,O$4)="",0,COUNTIF(Data!$B19:$U19,INDEX(Pengaturan!$B$8:$B$27,O$4)))</f>
        <v>0</v>
      </c>
      <c r="P19" s="26" t="n">
        <f aca="false">IF(INDEX(Pengaturan!$B$8:$B$27,P$4)="",0,COUNTIF(Data!$B19:$U19,INDEX(Pengaturan!$B$8:$B$27,P$4)))</f>
        <v>0</v>
      </c>
      <c r="Q19" s="26" t="n">
        <f aca="false">IF(INDEX(Pengaturan!$B$8:$B$27,Q$4)="",0,COUNTIF(Data!$B19:$U19,INDEX(Pengaturan!$B$8:$B$27,Q$4)))</f>
        <v>0</v>
      </c>
      <c r="R19" s="26" t="n">
        <f aca="false">IF(INDEX(Pengaturan!$B$8:$B$27,R$4)="",0,COUNTIF(Data!$B19:$U19,INDEX(Pengaturan!$B$8:$B$27,R$4)))</f>
        <v>0</v>
      </c>
      <c r="S19" s="26" t="n">
        <f aca="false">IF(INDEX(Pengaturan!$B$8:$B$27,S$4)="",0,COUNTIF(Data!$B19:$U19,INDEX(Pengaturan!$B$8:$B$27,S$4)))</f>
        <v>0</v>
      </c>
      <c r="T19" s="26" t="n">
        <f aca="false">IF(INDEX(Pengaturan!$B$8:$B$27,T$4)="",0,COUNTIF(Data!$B19:$U19,INDEX(Pengaturan!$B$8:$B$27,T$4)))</f>
        <v>0</v>
      </c>
      <c r="U19" s="26" t="n">
        <f aca="false">IF(INDEX(Pengaturan!$B$8:$B$27,U$4)="",0,COUNTIF(Data!$B19:$U19,INDEX(Pengaturan!$B$8:$B$27,U$4)))</f>
        <v>0</v>
      </c>
      <c r="V19" s="26" t="n">
        <f aca="false">COUNTA(Data!$B19:$U19)</f>
        <v>4</v>
      </c>
      <c r="W19" s="27" t="str">
        <f aca="false">IF(V19=0,"",IF(V19&lt;&gt;Hasil!$C$4,"Data kosong/tidak lengkap",IF(SUM(B19:U19)&lt;&gt;V19,"Kategori tidak dikenal","OK")))</f>
        <v>OK</v>
      </c>
      <c r="X19" s="26" t="n">
        <f aca="false">IF(OR(W19="",W19="OK"),0,1)</f>
        <v>0</v>
      </c>
    </row>
    <row r="20" customFormat="false" ht="15" hidden="false" customHeight="false" outlineLevel="0" collapsed="false">
      <c r="A20" s="26" t="n">
        <f aca="false">Data!A20</f>
        <v>15</v>
      </c>
      <c r="B20" s="26" t="n">
        <f aca="false">IF(INDEX(Pengaturan!$B$8:$B$27,B$4)="",0,COUNTIF(Data!$B20:$U20,INDEX(Pengaturan!$B$8:$B$27,B$4)))</f>
        <v>0</v>
      </c>
      <c r="C20" s="26" t="n">
        <f aca="false">IF(INDEX(Pengaturan!$B$8:$B$27,C$4)="",0,COUNTIF(Data!$B20:$U20,INDEX(Pengaturan!$B$8:$B$27,C$4)))</f>
        <v>0</v>
      </c>
      <c r="D20" s="26" t="n">
        <f aca="false">IF(INDEX(Pengaturan!$B$8:$B$27,D$4)="",0,COUNTIF(Data!$B20:$U20,INDEX(Pengaturan!$B$8:$B$27,D$4)))</f>
        <v>0</v>
      </c>
      <c r="E20" s="26" t="n">
        <f aca="false">IF(INDEX(Pengaturan!$B$8:$B$27,E$4)="",0,COUNTIF(Data!$B20:$U20,INDEX(Pengaturan!$B$8:$B$27,E$4)))</f>
        <v>3</v>
      </c>
      <c r="F20" s="26" t="n">
        <f aca="false">IF(INDEX(Pengaturan!$B$8:$B$27,F$4)="",0,COUNTIF(Data!$B20:$U20,INDEX(Pengaturan!$B$8:$B$27,F$4)))</f>
        <v>1</v>
      </c>
      <c r="G20" s="26" t="n">
        <f aca="false">IF(INDEX(Pengaturan!$B$8:$B$27,G$4)="",0,COUNTIF(Data!$B20:$U20,INDEX(Pengaturan!$B$8:$B$27,G$4)))</f>
        <v>0</v>
      </c>
      <c r="H20" s="26" t="n">
        <f aca="false">IF(INDEX(Pengaturan!$B$8:$B$27,H$4)="",0,COUNTIF(Data!$B20:$U20,INDEX(Pengaturan!$B$8:$B$27,H$4)))</f>
        <v>0</v>
      </c>
      <c r="I20" s="26" t="n">
        <f aca="false">IF(INDEX(Pengaturan!$B$8:$B$27,I$4)="",0,COUNTIF(Data!$B20:$U20,INDEX(Pengaturan!$B$8:$B$27,I$4)))</f>
        <v>0</v>
      </c>
      <c r="J20" s="26" t="n">
        <f aca="false">IF(INDEX(Pengaturan!$B$8:$B$27,J$4)="",0,COUNTIF(Data!$B20:$U20,INDEX(Pengaturan!$B$8:$B$27,J$4)))</f>
        <v>0</v>
      </c>
      <c r="K20" s="26" t="n">
        <f aca="false">IF(INDEX(Pengaturan!$B$8:$B$27,K$4)="",0,COUNTIF(Data!$B20:$U20,INDEX(Pengaturan!$B$8:$B$27,K$4)))</f>
        <v>0</v>
      </c>
      <c r="L20" s="26" t="n">
        <f aca="false">IF(INDEX(Pengaturan!$B$8:$B$27,L$4)="",0,COUNTIF(Data!$B20:$U20,INDEX(Pengaturan!$B$8:$B$27,L$4)))</f>
        <v>0</v>
      </c>
      <c r="M20" s="26" t="n">
        <f aca="false">IF(INDEX(Pengaturan!$B$8:$B$27,M$4)="",0,COUNTIF(Data!$B20:$U20,INDEX(Pengaturan!$B$8:$B$27,M$4)))</f>
        <v>0</v>
      </c>
      <c r="N20" s="26" t="n">
        <f aca="false">IF(INDEX(Pengaturan!$B$8:$B$27,N$4)="",0,COUNTIF(Data!$B20:$U20,INDEX(Pengaturan!$B$8:$B$27,N$4)))</f>
        <v>0</v>
      </c>
      <c r="O20" s="26" t="n">
        <f aca="false">IF(INDEX(Pengaturan!$B$8:$B$27,O$4)="",0,COUNTIF(Data!$B20:$U20,INDEX(Pengaturan!$B$8:$B$27,O$4)))</f>
        <v>0</v>
      </c>
      <c r="P20" s="26" t="n">
        <f aca="false">IF(INDEX(Pengaturan!$B$8:$B$27,P$4)="",0,COUNTIF(Data!$B20:$U20,INDEX(Pengaturan!$B$8:$B$27,P$4)))</f>
        <v>0</v>
      </c>
      <c r="Q20" s="26" t="n">
        <f aca="false">IF(INDEX(Pengaturan!$B$8:$B$27,Q$4)="",0,COUNTIF(Data!$B20:$U20,INDEX(Pengaturan!$B$8:$B$27,Q$4)))</f>
        <v>0</v>
      </c>
      <c r="R20" s="26" t="n">
        <f aca="false">IF(INDEX(Pengaturan!$B$8:$B$27,R$4)="",0,COUNTIF(Data!$B20:$U20,INDEX(Pengaturan!$B$8:$B$27,R$4)))</f>
        <v>0</v>
      </c>
      <c r="S20" s="26" t="n">
        <f aca="false">IF(INDEX(Pengaturan!$B$8:$B$27,S$4)="",0,COUNTIF(Data!$B20:$U20,INDEX(Pengaturan!$B$8:$B$27,S$4)))</f>
        <v>0</v>
      </c>
      <c r="T20" s="26" t="n">
        <f aca="false">IF(INDEX(Pengaturan!$B$8:$B$27,T$4)="",0,COUNTIF(Data!$B20:$U20,INDEX(Pengaturan!$B$8:$B$27,T$4)))</f>
        <v>0</v>
      </c>
      <c r="U20" s="26" t="n">
        <f aca="false">IF(INDEX(Pengaturan!$B$8:$B$27,U$4)="",0,COUNTIF(Data!$B20:$U20,INDEX(Pengaturan!$B$8:$B$27,U$4)))</f>
        <v>0</v>
      </c>
      <c r="V20" s="26" t="n">
        <f aca="false">COUNTA(Data!$B20:$U20)</f>
        <v>4</v>
      </c>
      <c r="W20" s="27" t="str">
        <f aca="false">IF(V20=0,"",IF(V20&lt;&gt;Hasil!$C$4,"Data kosong/tidak lengkap",IF(SUM(B20:U20)&lt;&gt;V20,"Kategori tidak dikenal","OK")))</f>
        <v>OK</v>
      </c>
      <c r="X20" s="26" t="n">
        <f aca="false">IF(OR(W20="",W20="OK"),0,1)</f>
        <v>0</v>
      </c>
    </row>
    <row r="21" customFormat="false" ht="15" hidden="false" customHeight="false" outlineLevel="0" collapsed="false">
      <c r="A21" s="26" t="n">
        <f aca="false">Data!A21</f>
        <v>16</v>
      </c>
      <c r="B21" s="26" t="n">
        <f aca="false">IF(INDEX(Pengaturan!$B$8:$B$27,B$4)="",0,COUNTIF(Data!$B21:$U21,INDEX(Pengaturan!$B$8:$B$27,B$4)))</f>
        <v>2</v>
      </c>
      <c r="C21" s="26" t="n">
        <f aca="false">IF(INDEX(Pengaturan!$B$8:$B$27,C$4)="",0,COUNTIF(Data!$B21:$U21,INDEX(Pengaturan!$B$8:$B$27,C$4)))</f>
        <v>1</v>
      </c>
      <c r="D21" s="26" t="n">
        <f aca="false">IF(INDEX(Pengaturan!$B$8:$B$27,D$4)="",0,COUNTIF(Data!$B21:$U21,INDEX(Pengaturan!$B$8:$B$27,D$4)))</f>
        <v>0</v>
      </c>
      <c r="E21" s="26" t="n">
        <f aca="false">IF(INDEX(Pengaturan!$B$8:$B$27,E$4)="",0,COUNTIF(Data!$B21:$U21,INDEX(Pengaturan!$B$8:$B$27,E$4)))</f>
        <v>1</v>
      </c>
      <c r="F21" s="26" t="n">
        <f aca="false">IF(INDEX(Pengaturan!$B$8:$B$27,F$4)="",0,COUNTIF(Data!$B21:$U21,INDEX(Pengaturan!$B$8:$B$27,F$4)))</f>
        <v>0</v>
      </c>
      <c r="G21" s="26" t="n">
        <f aca="false">IF(INDEX(Pengaturan!$B$8:$B$27,G$4)="",0,COUNTIF(Data!$B21:$U21,INDEX(Pengaturan!$B$8:$B$27,G$4)))</f>
        <v>0</v>
      </c>
      <c r="H21" s="26" t="n">
        <f aca="false">IF(INDEX(Pengaturan!$B$8:$B$27,H$4)="",0,COUNTIF(Data!$B21:$U21,INDEX(Pengaturan!$B$8:$B$27,H$4)))</f>
        <v>0</v>
      </c>
      <c r="I21" s="26" t="n">
        <f aca="false">IF(INDEX(Pengaturan!$B$8:$B$27,I$4)="",0,COUNTIF(Data!$B21:$U21,INDEX(Pengaturan!$B$8:$B$27,I$4)))</f>
        <v>0</v>
      </c>
      <c r="J21" s="26" t="n">
        <f aca="false">IF(INDEX(Pengaturan!$B$8:$B$27,J$4)="",0,COUNTIF(Data!$B21:$U21,INDEX(Pengaturan!$B$8:$B$27,J$4)))</f>
        <v>0</v>
      </c>
      <c r="K21" s="26" t="n">
        <f aca="false">IF(INDEX(Pengaturan!$B$8:$B$27,K$4)="",0,COUNTIF(Data!$B21:$U21,INDEX(Pengaturan!$B$8:$B$27,K$4)))</f>
        <v>0</v>
      </c>
      <c r="L21" s="26" t="n">
        <f aca="false">IF(INDEX(Pengaturan!$B$8:$B$27,L$4)="",0,COUNTIF(Data!$B21:$U21,INDEX(Pengaturan!$B$8:$B$27,L$4)))</f>
        <v>0</v>
      </c>
      <c r="M21" s="26" t="n">
        <f aca="false">IF(INDEX(Pengaturan!$B$8:$B$27,M$4)="",0,COUNTIF(Data!$B21:$U21,INDEX(Pengaturan!$B$8:$B$27,M$4)))</f>
        <v>0</v>
      </c>
      <c r="N21" s="26" t="n">
        <f aca="false">IF(INDEX(Pengaturan!$B$8:$B$27,N$4)="",0,COUNTIF(Data!$B21:$U21,INDEX(Pengaturan!$B$8:$B$27,N$4)))</f>
        <v>0</v>
      </c>
      <c r="O21" s="26" t="n">
        <f aca="false">IF(INDEX(Pengaturan!$B$8:$B$27,O$4)="",0,COUNTIF(Data!$B21:$U21,INDEX(Pengaturan!$B$8:$B$27,O$4)))</f>
        <v>0</v>
      </c>
      <c r="P21" s="26" t="n">
        <f aca="false">IF(INDEX(Pengaturan!$B$8:$B$27,P$4)="",0,COUNTIF(Data!$B21:$U21,INDEX(Pengaturan!$B$8:$B$27,P$4)))</f>
        <v>0</v>
      </c>
      <c r="Q21" s="26" t="n">
        <f aca="false">IF(INDEX(Pengaturan!$B$8:$B$27,Q$4)="",0,COUNTIF(Data!$B21:$U21,INDEX(Pengaturan!$B$8:$B$27,Q$4)))</f>
        <v>0</v>
      </c>
      <c r="R21" s="26" t="n">
        <f aca="false">IF(INDEX(Pengaturan!$B$8:$B$27,R$4)="",0,COUNTIF(Data!$B21:$U21,INDEX(Pengaturan!$B$8:$B$27,R$4)))</f>
        <v>0</v>
      </c>
      <c r="S21" s="26" t="n">
        <f aca="false">IF(INDEX(Pengaturan!$B$8:$B$27,S$4)="",0,COUNTIF(Data!$B21:$U21,INDEX(Pengaturan!$B$8:$B$27,S$4)))</f>
        <v>0</v>
      </c>
      <c r="T21" s="26" t="n">
        <f aca="false">IF(INDEX(Pengaturan!$B$8:$B$27,T$4)="",0,COUNTIF(Data!$B21:$U21,INDEX(Pengaturan!$B$8:$B$27,T$4)))</f>
        <v>0</v>
      </c>
      <c r="U21" s="26" t="n">
        <f aca="false">IF(INDEX(Pengaturan!$B$8:$B$27,U$4)="",0,COUNTIF(Data!$B21:$U21,INDEX(Pengaturan!$B$8:$B$27,U$4)))</f>
        <v>0</v>
      </c>
      <c r="V21" s="26" t="n">
        <f aca="false">COUNTA(Data!$B21:$U21)</f>
        <v>4</v>
      </c>
      <c r="W21" s="27" t="str">
        <f aca="false">IF(V21=0,"",IF(V21&lt;&gt;Hasil!$C$4,"Data kosong/tidak lengkap",IF(SUM(B21:U21)&lt;&gt;V21,"Kategori tidak dikenal","OK")))</f>
        <v>OK</v>
      </c>
      <c r="X21" s="26" t="n">
        <f aca="false">IF(OR(W21="",W21="OK"),0,1)</f>
        <v>0</v>
      </c>
    </row>
    <row r="22" customFormat="false" ht="15" hidden="false" customHeight="false" outlineLevel="0" collapsed="false">
      <c r="A22" s="26" t="n">
        <f aca="false">Data!A22</f>
        <v>17</v>
      </c>
      <c r="B22" s="26" t="n">
        <f aca="false">IF(INDEX(Pengaturan!$B$8:$B$27,B$4)="",0,COUNTIF(Data!$B22:$U22,INDEX(Pengaturan!$B$8:$B$27,B$4)))</f>
        <v>0</v>
      </c>
      <c r="C22" s="26" t="n">
        <f aca="false">IF(INDEX(Pengaturan!$B$8:$B$27,C$4)="",0,COUNTIF(Data!$B22:$U22,INDEX(Pengaturan!$B$8:$B$27,C$4)))</f>
        <v>0</v>
      </c>
      <c r="D22" s="26" t="n">
        <f aca="false">IF(INDEX(Pengaturan!$B$8:$B$27,D$4)="",0,COUNTIF(Data!$B22:$U22,INDEX(Pengaturan!$B$8:$B$27,D$4)))</f>
        <v>2</v>
      </c>
      <c r="E22" s="26" t="n">
        <f aca="false">IF(INDEX(Pengaturan!$B$8:$B$27,E$4)="",0,COUNTIF(Data!$B22:$U22,INDEX(Pengaturan!$B$8:$B$27,E$4)))</f>
        <v>2</v>
      </c>
      <c r="F22" s="26" t="n">
        <f aca="false">IF(INDEX(Pengaturan!$B$8:$B$27,F$4)="",0,COUNTIF(Data!$B22:$U22,INDEX(Pengaturan!$B$8:$B$27,F$4)))</f>
        <v>0</v>
      </c>
      <c r="G22" s="26" t="n">
        <f aca="false">IF(INDEX(Pengaturan!$B$8:$B$27,G$4)="",0,COUNTIF(Data!$B22:$U22,INDEX(Pengaturan!$B$8:$B$27,G$4)))</f>
        <v>0</v>
      </c>
      <c r="H22" s="26" t="n">
        <f aca="false">IF(INDEX(Pengaturan!$B$8:$B$27,H$4)="",0,COUNTIF(Data!$B22:$U22,INDEX(Pengaturan!$B$8:$B$27,H$4)))</f>
        <v>0</v>
      </c>
      <c r="I22" s="26" t="n">
        <f aca="false">IF(INDEX(Pengaturan!$B$8:$B$27,I$4)="",0,COUNTIF(Data!$B22:$U22,INDEX(Pengaturan!$B$8:$B$27,I$4)))</f>
        <v>0</v>
      </c>
      <c r="J22" s="26" t="n">
        <f aca="false">IF(INDEX(Pengaturan!$B$8:$B$27,J$4)="",0,COUNTIF(Data!$B22:$U22,INDEX(Pengaturan!$B$8:$B$27,J$4)))</f>
        <v>0</v>
      </c>
      <c r="K22" s="26" t="n">
        <f aca="false">IF(INDEX(Pengaturan!$B$8:$B$27,K$4)="",0,COUNTIF(Data!$B22:$U22,INDEX(Pengaturan!$B$8:$B$27,K$4)))</f>
        <v>0</v>
      </c>
      <c r="L22" s="26" t="n">
        <f aca="false">IF(INDEX(Pengaturan!$B$8:$B$27,L$4)="",0,COUNTIF(Data!$B22:$U22,INDEX(Pengaturan!$B$8:$B$27,L$4)))</f>
        <v>0</v>
      </c>
      <c r="M22" s="26" t="n">
        <f aca="false">IF(INDEX(Pengaturan!$B$8:$B$27,M$4)="",0,COUNTIF(Data!$B22:$U22,INDEX(Pengaturan!$B$8:$B$27,M$4)))</f>
        <v>0</v>
      </c>
      <c r="N22" s="26" t="n">
        <f aca="false">IF(INDEX(Pengaturan!$B$8:$B$27,N$4)="",0,COUNTIF(Data!$B22:$U22,INDEX(Pengaturan!$B$8:$B$27,N$4)))</f>
        <v>0</v>
      </c>
      <c r="O22" s="26" t="n">
        <f aca="false">IF(INDEX(Pengaturan!$B$8:$B$27,O$4)="",0,COUNTIF(Data!$B22:$U22,INDEX(Pengaturan!$B$8:$B$27,O$4)))</f>
        <v>0</v>
      </c>
      <c r="P22" s="26" t="n">
        <f aca="false">IF(INDEX(Pengaturan!$B$8:$B$27,P$4)="",0,COUNTIF(Data!$B22:$U22,INDEX(Pengaturan!$B$8:$B$27,P$4)))</f>
        <v>0</v>
      </c>
      <c r="Q22" s="26" t="n">
        <f aca="false">IF(INDEX(Pengaturan!$B$8:$B$27,Q$4)="",0,COUNTIF(Data!$B22:$U22,INDEX(Pengaturan!$B$8:$B$27,Q$4)))</f>
        <v>0</v>
      </c>
      <c r="R22" s="26" t="n">
        <f aca="false">IF(INDEX(Pengaturan!$B$8:$B$27,R$4)="",0,COUNTIF(Data!$B22:$U22,INDEX(Pengaturan!$B$8:$B$27,R$4)))</f>
        <v>0</v>
      </c>
      <c r="S22" s="26" t="n">
        <f aca="false">IF(INDEX(Pengaturan!$B$8:$B$27,S$4)="",0,COUNTIF(Data!$B22:$U22,INDEX(Pengaturan!$B$8:$B$27,S$4)))</f>
        <v>0</v>
      </c>
      <c r="T22" s="26" t="n">
        <f aca="false">IF(INDEX(Pengaturan!$B$8:$B$27,T$4)="",0,COUNTIF(Data!$B22:$U22,INDEX(Pengaturan!$B$8:$B$27,T$4)))</f>
        <v>0</v>
      </c>
      <c r="U22" s="26" t="n">
        <f aca="false">IF(INDEX(Pengaturan!$B$8:$B$27,U$4)="",0,COUNTIF(Data!$B22:$U22,INDEX(Pengaturan!$B$8:$B$27,U$4)))</f>
        <v>0</v>
      </c>
      <c r="V22" s="26" t="n">
        <f aca="false">COUNTA(Data!$B22:$U22)</f>
        <v>4</v>
      </c>
      <c r="W22" s="27" t="str">
        <f aca="false">IF(V22=0,"",IF(V22&lt;&gt;Hasil!$C$4,"Data kosong/tidak lengkap",IF(SUM(B22:U22)&lt;&gt;V22,"Kategori tidak dikenal","OK")))</f>
        <v>OK</v>
      </c>
      <c r="X22" s="26" t="n">
        <f aca="false">IF(OR(W22="",W22="OK"),0,1)</f>
        <v>0</v>
      </c>
    </row>
    <row r="23" customFormat="false" ht="15" hidden="false" customHeight="false" outlineLevel="0" collapsed="false">
      <c r="A23" s="26" t="n">
        <f aca="false">Data!A23</f>
        <v>18</v>
      </c>
      <c r="B23" s="26" t="n">
        <f aca="false">IF(INDEX(Pengaturan!$B$8:$B$27,B$4)="",0,COUNTIF(Data!$B23:$U23,INDEX(Pengaturan!$B$8:$B$27,B$4)))</f>
        <v>0</v>
      </c>
      <c r="C23" s="26" t="n">
        <f aca="false">IF(INDEX(Pengaturan!$B$8:$B$27,C$4)="",0,COUNTIF(Data!$B23:$U23,INDEX(Pengaturan!$B$8:$B$27,C$4)))</f>
        <v>0</v>
      </c>
      <c r="D23" s="26" t="n">
        <f aca="false">IF(INDEX(Pengaturan!$B$8:$B$27,D$4)="",0,COUNTIF(Data!$B23:$U23,INDEX(Pengaturan!$B$8:$B$27,D$4)))</f>
        <v>0</v>
      </c>
      <c r="E23" s="26" t="n">
        <f aca="false">IF(INDEX(Pengaturan!$B$8:$B$27,E$4)="",0,COUNTIF(Data!$B23:$U23,INDEX(Pengaturan!$B$8:$B$27,E$4)))</f>
        <v>0</v>
      </c>
      <c r="F23" s="26" t="n">
        <f aca="false">IF(INDEX(Pengaturan!$B$8:$B$27,F$4)="",0,COUNTIF(Data!$B23:$U23,INDEX(Pengaturan!$B$8:$B$27,F$4)))</f>
        <v>4</v>
      </c>
      <c r="G23" s="26" t="n">
        <f aca="false">IF(INDEX(Pengaturan!$B$8:$B$27,G$4)="",0,COUNTIF(Data!$B23:$U23,INDEX(Pengaturan!$B$8:$B$27,G$4)))</f>
        <v>0</v>
      </c>
      <c r="H23" s="26" t="n">
        <f aca="false">IF(INDEX(Pengaturan!$B$8:$B$27,H$4)="",0,COUNTIF(Data!$B23:$U23,INDEX(Pengaturan!$B$8:$B$27,H$4)))</f>
        <v>0</v>
      </c>
      <c r="I23" s="26" t="n">
        <f aca="false">IF(INDEX(Pengaturan!$B$8:$B$27,I$4)="",0,COUNTIF(Data!$B23:$U23,INDEX(Pengaturan!$B$8:$B$27,I$4)))</f>
        <v>0</v>
      </c>
      <c r="J23" s="26" t="n">
        <f aca="false">IF(INDEX(Pengaturan!$B$8:$B$27,J$4)="",0,COUNTIF(Data!$B23:$U23,INDEX(Pengaturan!$B$8:$B$27,J$4)))</f>
        <v>0</v>
      </c>
      <c r="K23" s="26" t="n">
        <f aca="false">IF(INDEX(Pengaturan!$B$8:$B$27,K$4)="",0,COUNTIF(Data!$B23:$U23,INDEX(Pengaturan!$B$8:$B$27,K$4)))</f>
        <v>0</v>
      </c>
      <c r="L23" s="26" t="n">
        <f aca="false">IF(INDEX(Pengaturan!$B$8:$B$27,L$4)="",0,COUNTIF(Data!$B23:$U23,INDEX(Pengaturan!$B$8:$B$27,L$4)))</f>
        <v>0</v>
      </c>
      <c r="M23" s="26" t="n">
        <f aca="false">IF(INDEX(Pengaturan!$B$8:$B$27,M$4)="",0,COUNTIF(Data!$B23:$U23,INDEX(Pengaturan!$B$8:$B$27,M$4)))</f>
        <v>0</v>
      </c>
      <c r="N23" s="26" t="n">
        <f aca="false">IF(INDEX(Pengaturan!$B$8:$B$27,N$4)="",0,COUNTIF(Data!$B23:$U23,INDEX(Pengaturan!$B$8:$B$27,N$4)))</f>
        <v>0</v>
      </c>
      <c r="O23" s="26" t="n">
        <f aca="false">IF(INDEX(Pengaturan!$B$8:$B$27,O$4)="",0,COUNTIF(Data!$B23:$U23,INDEX(Pengaturan!$B$8:$B$27,O$4)))</f>
        <v>0</v>
      </c>
      <c r="P23" s="26" t="n">
        <f aca="false">IF(INDEX(Pengaturan!$B$8:$B$27,P$4)="",0,COUNTIF(Data!$B23:$U23,INDEX(Pengaturan!$B$8:$B$27,P$4)))</f>
        <v>0</v>
      </c>
      <c r="Q23" s="26" t="n">
        <f aca="false">IF(INDEX(Pengaturan!$B$8:$B$27,Q$4)="",0,COUNTIF(Data!$B23:$U23,INDEX(Pengaturan!$B$8:$B$27,Q$4)))</f>
        <v>0</v>
      </c>
      <c r="R23" s="26" t="n">
        <f aca="false">IF(INDEX(Pengaturan!$B$8:$B$27,R$4)="",0,COUNTIF(Data!$B23:$U23,INDEX(Pengaturan!$B$8:$B$27,R$4)))</f>
        <v>0</v>
      </c>
      <c r="S23" s="26" t="n">
        <f aca="false">IF(INDEX(Pengaturan!$B$8:$B$27,S$4)="",0,COUNTIF(Data!$B23:$U23,INDEX(Pengaturan!$B$8:$B$27,S$4)))</f>
        <v>0</v>
      </c>
      <c r="T23" s="26" t="n">
        <f aca="false">IF(INDEX(Pengaturan!$B$8:$B$27,T$4)="",0,COUNTIF(Data!$B23:$U23,INDEX(Pengaturan!$B$8:$B$27,T$4)))</f>
        <v>0</v>
      </c>
      <c r="U23" s="26" t="n">
        <f aca="false">IF(INDEX(Pengaturan!$B$8:$B$27,U$4)="",0,COUNTIF(Data!$B23:$U23,INDEX(Pengaturan!$B$8:$B$27,U$4)))</f>
        <v>0</v>
      </c>
      <c r="V23" s="26" t="n">
        <f aca="false">COUNTA(Data!$B23:$U23)</f>
        <v>4</v>
      </c>
      <c r="W23" s="27" t="str">
        <f aca="false">IF(V23=0,"",IF(V23&lt;&gt;Hasil!$C$4,"Data kosong/tidak lengkap",IF(SUM(B23:U23)&lt;&gt;V23,"Kategori tidak dikenal","OK")))</f>
        <v>OK</v>
      </c>
      <c r="X23" s="26" t="n">
        <f aca="false">IF(OR(W23="",W23="OK"),0,1)</f>
        <v>0</v>
      </c>
    </row>
    <row r="24" customFormat="false" ht="15" hidden="false" customHeight="false" outlineLevel="0" collapsed="false">
      <c r="A24" s="26" t="n">
        <f aca="false">Data!A24</f>
        <v>19</v>
      </c>
      <c r="B24" s="26" t="n">
        <f aca="false">IF(INDEX(Pengaturan!$B$8:$B$27,B$4)="",0,COUNTIF(Data!$B24:$U24,INDEX(Pengaturan!$B$8:$B$27,B$4)))</f>
        <v>1</v>
      </c>
      <c r="C24" s="26" t="n">
        <f aca="false">IF(INDEX(Pengaturan!$B$8:$B$27,C$4)="",0,COUNTIF(Data!$B24:$U24,INDEX(Pengaturan!$B$8:$B$27,C$4)))</f>
        <v>2</v>
      </c>
      <c r="D24" s="26" t="n">
        <f aca="false">IF(INDEX(Pengaturan!$B$8:$B$27,D$4)="",0,COUNTIF(Data!$B24:$U24,INDEX(Pengaturan!$B$8:$B$27,D$4)))</f>
        <v>1</v>
      </c>
      <c r="E24" s="26" t="n">
        <f aca="false">IF(INDEX(Pengaturan!$B$8:$B$27,E$4)="",0,COUNTIF(Data!$B24:$U24,INDEX(Pengaturan!$B$8:$B$27,E$4)))</f>
        <v>0</v>
      </c>
      <c r="F24" s="26" t="n">
        <f aca="false">IF(INDEX(Pengaturan!$B$8:$B$27,F$4)="",0,COUNTIF(Data!$B24:$U24,INDEX(Pengaturan!$B$8:$B$27,F$4)))</f>
        <v>0</v>
      </c>
      <c r="G24" s="26" t="n">
        <f aca="false">IF(INDEX(Pengaturan!$B$8:$B$27,G$4)="",0,COUNTIF(Data!$B24:$U24,INDEX(Pengaturan!$B$8:$B$27,G$4)))</f>
        <v>0</v>
      </c>
      <c r="H24" s="26" t="n">
        <f aca="false">IF(INDEX(Pengaturan!$B$8:$B$27,H$4)="",0,COUNTIF(Data!$B24:$U24,INDEX(Pengaturan!$B$8:$B$27,H$4)))</f>
        <v>0</v>
      </c>
      <c r="I24" s="26" t="n">
        <f aca="false">IF(INDEX(Pengaturan!$B$8:$B$27,I$4)="",0,COUNTIF(Data!$B24:$U24,INDEX(Pengaturan!$B$8:$B$27,I$4)))</f>
        <v>0</v>
      </c>
      <c r="J24" s="26" t="n">
        <f aca="false">IF(INDEX(Pengaturan!$B$8:$B$27,J$4)="",0,COUNTIF(Data!$B24:$U24,INDEX(Pengaturan!$B$8:$B$27,J$4)))</f>
        <v>0</v>
      </c>
      <c r="K24" s="26" t="n">
        <f aca="false">IF(INDEX(Pengaturan!$B$8:$B$27,K$4)="",0,COUNTIF(Data!$B24:$U24,INDEX(Pengaturan!$B$8:$B$27,K$4)))</f>
        <v>0</v>
      </c>
      <c r="L24" s="26" t="n">
        <f aca="false">IF(INDEX(Pengaturan!$B$8:$B$27,L$4)="",0,COUNTIF(Data!$B24:$U24,INDEX(Pengaturan!$B$8:$B$27,L$4)))</f>
        <v>0</v>
      </c>
      <c r="M24" s="26" t="n">
        <f aca="false">IF(INDEX(Pengaturan!$B$8:$B$27,M$4)="",0,COUNTIF(Data!$B24:$U24,INDEX(Pengaturan!$B$8:$B$27,M$4)))</f>
        <v>0</v>
      </c>
      <c r="N24" s="26" t="n">
        <f aca="false">IF(INDEX(Pengaturan!$B$8:$B$27,N$4)="",0,COUNTIF(Data!$B24:$U24,INDEX(Pengaturan!$B$8:$B$27,N$4)))</f>
        <v>0</v>
      </c>
      <c r="O24" s="26" t="n">
        <f aca="false">IF(INDEX(Pengaturan!$B$8:$B$27,O$4)="",0,COUNTIF(Data!$B24:$U24,INDEX(Pengaturan!$B$8:$B$27,O$4)))</f>
        <v>0</v>
      </c>
      <c r="P24" s="26" t="n">
        <f aca="false">IF(INDEX(Pengaturan!$B$8:$B$27,P$4)="",0,COUNTIF(Data!$B24:$U24,INDEX(Pengaturan!$B$8:$B$27,P$4)))</f>
        <v>0</v>
      </c>
      <c r="Q24" s="26" t="n">
        <f aca="false">IF(INDEX(Pengaturan!$B$8:$B$27,Q$4)="",0,COUNTIF(Data!$B24:$U24,INDEX(Pengaturan!$B$8:$B$27,Q$4)))</f>
        <v>0</v>
      </c>
      <c r="R24" s="26" t="n">
        <f aca="false">IF(INDEX(Pengaturan!$B$8:$B$27,R$4)="",0,COUNTIF(Data!$B24:$U24,INDEX(Pengaturan!$B$8:$B$27,R$4)))</f>
        <v>0</v>
      </c>
      <c r="S24" s="26" t="n">
        <f aca="false">IF(INDEX(Pengaturan!$B$8:$B$27,S$4)="",0,COUNTIF(Data!$B24:$U24,INDEX(Pengaturan!$B$8:$B$27,S$4)))</f>
        <v>0</v>
      </c>
      <c r="T24" s="26" t="n">
        <f aca="false">IF(INDEX(Pengaturan!$B$8:$B$27,T$4)="",0,COUNTIF(Data!$B24:$U24,INDEX(Pengaturan!$B$8:$B$27,T$4)))</f>
        <v>0</v>
      </c>
      <c r="U24" s="26" t="n">
        <f aca="false">IF(INDEX(Pengaturan!$B$8:$B$27,U$4)="",0,COUNTIF(Data!$B24:$U24,INDEX(Pengaturan!$B$8:$B$27,U$4)))</f>
        <v>0</v>
      </c>
      <c r="V24" s="26" t="n">
        <f aca="false">COUNTA(Data!$B24:$U24)</f>
        <v>4</v>
      </c>
      <c r="W24" s="27" t="str">
        <f aca="false">IF(V24=0,"",IF(V24&lt;&gt;Hasil!$C$4,"Data kosong/tidak lengkap",IF(SUM(B24:U24)&lt;&gt;V24,"Kategori tidak dikenal","OK")))</f>
        <v>OK</v>
      </c>
      <c r="X24" s="26" t="n">
        <f aca="false">IF(OR(W24="",W24="OK"),0,1)</f>
        <v>0</v>
      </c>
    </row>
    <row r="25" customFormat="false" ht="15" hidden="false" customHeight="false" outlineLevel="0" collapsed="false">
      <c r="A25" s="26" t="n">
        <f aca="false">Data!A25</f>
        <v>20</v>
      </c>
      <c r="B25" s="26" t="n">
        <f aca="false">IF(INDEX(Pengaturan!$B$8:$B$27,B$4)="",0,COUNTIF(Data!$B25:$U25,INDEX(Pengaturan!$B$8:$B$27,B$4)))</f>
        <v>0</v>
      </c>
      <c r="C25" s="26" t="n">
        <f aca="false">IF(INDEX(Pengaturan!$B$8:$B$27,C$4)="",0,COUNTIF(Data!$B25:$U25,INDEX(Pengaturan!$B$8:$B$27,C$4)))</f>
        <v>0</v>
      </c>
      <c r="D25" s="26" t="n">
        <f aca="false">IF(INDEX(Pengaturan!$B$8:$B$27,D$4)="",0,COUNTIF(Data!$B25:$U25,INDEX(Pengaturan!$B$8:$B$27,D$4)))</f>
        <v>0</v>
      </c>
      <c r="E25" s="26" t="n">
        <f aca="false">IF(INDEX(Pengaturan!$B$8:$B$27,E$4)="",0,COUNTIF(Data!$B25:$U25,INDEX(Pengaturan!$B$8:$B$27,E$4)))</f>
        <v>3</v>
      </c>
      <c r="F25" s="26" t="n">
        <f aca="false">IF(INDEX(Pengaturan!$B$8:$B$27,F$4)="",0,COUNTIF(Data!$B25:$U25,INDEX(Pengaturan!$B$8:$B$27,F$4)))</f>
        <v>1</v>
      </c>
      <c r="G25" s="26" t="n">
        <f aca="false">IF(INDEX(Pengaturan!$B$8:$B$27,G$4)="",0,COUNTIF(Data!$B25:$U25,INDEX(Pengaturan!$B$8:$B$27,G$4)))</f>
        <v>0</v>
      </c>
      <c r="H25" s="26" t="n">
        <f aca="false">IF(INDEX(Pengaturan!$B$8:$B$27,H$4)="",0,COUNTIF(Data!$B25:$U25,INDEX(Pengaturan!$B$8:$B$27,H$4)))</f>
        <v>0</v>
      </c>
      <c r="I25" s="26" t="n">
        <f aca="false">IF(INDEX(Pengaturan!$B$8:$B$27,I$4)="",0,COUNTIF(Data!$B25:$U25,INDEX(Pengaturan!$B$8:$B$27,I$4)))</f>
        <v>0</v>
      </c>
      <c r="J25" s="26" t="n">
        <f aca="false">IF(INDEX(Pengaturan!$B$8:$B$27,J$4)="",0,COUNTIF(Data!$B25:$U25,INDEX(Pengaturan!$B$8:$B$27,J$4)))</f>
        <v>0</v>
      </c>
      <c r="K25" s="26" t="n">
        <f aca="false">IF(INDEX(Pengaturan!$B$8:$B$27,K$4)="",0,COUNTIF(Data!$B25:$U25,INDEX(Pengaturan!$B$8:$B$27,K$4)))</f>
        <v>0</v>
      </c>
      <c r="L25" s="26" t="n">
        <f aca="false">IF(INDEX(Pengaturan!$B$8:$B$27,L$4)="",0,COUNTIF(Data!$B25:$U25,INDEX(Pengaturan!$B$8:$B$27,L$4)))</f>
        <v>0</v>
      </c>
      <c r="M25" s="26" t="n">
        <f aca="false">IF(INDEX(Pengaturan!$B$8:$B$27,M$4)="",0,COUNTIF(Data!$B25:$U25,INDEX(Pengaturan!$B$8:$B$27,M$4)))</f>
        <v>0</v>
      </c>
      <c r="N25" s="26" t="n">
        <f aca="false">IF(INDEX(Pengaturan!$B$8:$B$27,N$4)="",0,COUNTIF(Data!$B25:$U25,INDEX(Pengaturan!$B$8:$B$27,N$4)))</f>
        <v>0</v>
      </c>
      <c r="O25" s="26" t="n">
        <f aca="false">IF(INDEX(Pengaturan!$B$8:$B$27,O$4)="",0,COUNTIF(Data!$B25:$U25,INDEX(Pengaturan!$B$8:$B$27,O$4)))</f>
        <v>0</v>
      </c>
      <c r="P25" s="26" t="n">
        <f aca="false">IF(INDEX(Pengaturan!$B$8:$B$27,P$4)="",0,COUNTIF(Data!$B25:$U25,INDEX(Pengaturan!$B$8:$B$27,P$4)))</f>
        <v>0</v>
      </c>
      <c r="Q25" s="26" t="n">
        <f aca="false">IF(INDEX(Pengaturan!$B$8:$B$27,Q$4)="",0,COUNTIF(Data!$B25:$U25,INDEX(Pengaturan!$B$8:$B$27,Q$4)))</f>
        <v>0</v>
      </c>
      <c r="R25" s="26" t="n">
        <f aca="false">IF(INDEX(Pengaturan!$B$8:$B$27,R$4)="",0,COUNTIF(Data!$B25:$U25,INDEX(Pengaturan!$B$8:$B$27,R$4)))</f>
        <v>0</v>
      </c>
      <c r="S25" s="26" t="n">
        <f aca="false">IF(INDEX(Pengaturan!$B$8:$B$27,S$4)="",0,COUNTIF(Data!$B25:$U25,INDEX(Pengaturan!$B$8:$B$27,S$4)))</f>
        <v>0</v>
      </c>
      <c r="T25" s="26" t="n">
        <f aca="false">IF(INDEX(Pengaturan!$B$8:$B$27,T$4)="",0,COUNTIF(Data!$B25:$U25,INDEX(Pengaturan!$B$8:$B$27,T$4)))</f>
        <v>0</v>
      </c>
      <c r="U25" s="26" t="n">
        <f aca="false">IF(INDEX(Pengaturan!$B$8:$B$27,U$4)="",0,COUNTIF(Data!$B25:$U25,INDEX(Pengaturan!$B$8:$B$27,U$4)))</f>
        <v>0</v>
      </c>
      <c r="V25" s="26" t="n">
        <f aca="false">COUNTA(Data!$B25:$U25)</f>
        <v>4</v>
      </c>
      <c r="W25" s="27" t="str">
        <f aca="false">IF(V25=0,"",IF(V25&lt;&gt;Hasil!$C$4,"Data kosong/tidak lengkap",IF(SUM(B25:U25)&lt;&gt;V25,"Kategori tidak dikenal","OK")))</f>
        <v>OK</v>
      </c>
      <c r="X25" s="26" t="n">
        <f aca="false">IF(OR(W25="",W25="OK"),0,1)</f>
        <v>0</v>
      </c>
    </row>
    <row r="26" customFormat="false" ht="15" hidden="false" customHeight="false" outlineLevel="0" collapsed="false">
      <c r="A26" s="26" t="n">
        <f aca="false">Data!A26</f>
        <v>21</v>
      </c>
      <c r="B26" s="26" t="n">
        <f aca="false">IF(INDEX(Pengaturan!$B$8:$B$27,B$4)="",0,COUNTIF(Data!$B26:$U26,INDEX(Pengaturan!$B$8:$B$27,B$4)))</f>
        <v>0</v>
      </c>
      <c r="C26" s="26" t="n">
        <f aca="false">IF(INDEX(Pengaturan!$B$8:$B$27,C$4)="",0,COUNTIF(Data!$B26:$U26,INDEX(Pengaturan!$B$8:$B$27,C$4)))</f>
        <v>0</v>
      </c>
      <c r="D26" s="26" t="n">
        <f aca="false">IF(INDEX(Pengaturan!$B$8:$B$27,D$4)="",0,COUNTIF(Data!$B26:$U26,INDEX(Pengaturan!$B$8:$B$27,D$4)))</f>
        <v>0</v>
      </c>
      <c r="E26" s="26" t="n">
        <f aca="false">IF(INDEX(Pengaturan!$B$8:$B$27,E$4)="",0,COUNTIF(Data!$B26:$U26,INDEX(Pengaturan!$B$8:$B$27,E$4)))</f>
        <v>0</v>
      </c>
      <c r="F26" s="26" t="n">
        <f aca="false">IF(INDEX(Pengaturan!$B$8:$B$27,F$4)="",0,COUNTIF(Data!$B26:$U26,INDEX(Pengaturan!$B$8:$B$27,F$4)))</f>
        <v>4</v>
      </c>
      <c r="G26" s="26" t="n">
        <f aca="false">IF(INDEX(Pengaturan!$B$8:$B$27,G$4)="",0,COUNTIF(Data!$B26:$U26,INDEX(Pengaturan!$B$8:$B$27,G$4)))</f>
        <v>0</v>
      </c>
      <c r="H26" s="26" t="n">
        <f aca="false">IF(INDEX(Pengaturan!$B$8:$B$27,H$4)="",0,COUNTIF(Data!$B26:$U26,INDEX(Pengaturan!$B$8:$B$27,H$4)))</f>
        <v>0</v>
      </c>
      <c r="I26" s="26" t="n">
        <f aca="false">IF(INDEX(Pengaturan!$B$8:$B$27,I$4)="",0,COUNTIF(Data!$B26:$U26,INDEX(Pengaturan!$B$8:$B$27,I$4)))</f>
        <v>0</v>
      </c>
      <c r="J26" s="26" t="n">
        <f aca="false">IF(INDEX(Pengaturan!$B$8:$B$27,J$4)="",0,COUNTIF(Data!$B26:$U26,INDEX(Pengaturan!$B$8:$B$27,J$4)))</f>
        <v>0</v>
      </c>
      <c r="K26" s="26" t="n">
        <f aca="false">IF(INDEX(Pengaturan!$B$8:$B$27,K$4)="",0,COUNTIF(Data!$B26:$U26,INDEX(Pengaturan!$B$8:$B$27,K$4)))</f>
        <v>0</v>
      </c>
      <c r="L26" s="26" t="n">
        <f aca="false">IF(INDEX(Pengaturan!$B$8:$B$27,L$4)="",0,COUNTIF(Data!$B26:$U26,INDEX(Pengaturan!$B$8:$B$27,L$4)))</f>
        <v>0</v>
      </c>
      <c r="M26" s="26" t="n">
        <f aca="false">IF(INDEX(Pengaturan!$B$8:$B$27,M$4)="",0,COUNTIF(Data!$B26:$U26,INDEX(Pengaturan!$B$8:$B$27,M$4)))</f>
        <v>0</v>
      </c>
      <c r="N26" s="26" t="n">
        <f aca="false">IF(INDEX(Pengaturan!$B$8:$B$27,N$4)="",0,COUNTIF(Data!$B26:$U26,INDEX(Pengaturan!$B$8:$B$27,N$4)))</f>
        <v>0</v>
      </c>
      <c r="O26" s="26" t="n">
        <f aca="false">IF(INDEX(Pengaturan!$B$8:$B$27,O$4)="",0,COUNTIF(Data!$B26:$U26,INDEX(Pengaturan!$B$8:$B$27,O$4)))</f>
        <v>0</v>
      </c>
      <c r="P26" s="26" t="n">
        <f aca="false">IF(INDEX(Pengaturan!$B$8:$B$27,P$4)="",0,COUNTIF(Data!$B26:$U26,INDEX(Pengaturan!$B$8:$B$27,P$4)))</f>
        <v>0</v>
      </c>
      <c r="Q26" s="26" t="n">
        <f aca="false">IF(INDEX(Pengaturan!$B$8:$B$27,Q$4)="",0,COUNTIF(Data!$B26:$U26,INDEX(Pengaturan!$B$8:$B$27,Q$4)))</f>
        <v>0</v>
      </c>
      <c r="R26" s="26" t="n">
        <f aca="false">IF(INDEX(Pengaturan!$B$8:$B$27,R$4)="",0,COUNTIF(Data!$B26:$U26,INDEX(Pengaturan!$B$8:$B$27,R$4)))</f>
        <v>0</v>
      </c>
      <c r="S26" s="26" t="n">
        <f aca="false">IF(INDEX(Pengaturan!$B$8:$B$27,S$4)="",0,COUNTIF(Data!$B26:$U26,INDEX(Pengaturan!$B$8:$B$27,S$4)))</f>
        <v>0</v>
      </c>
      <c r="T26" s="26" t="n">
        <f aca="false">IF(INDEX(Pengaturan!$B$8:$B$27,T$4)="",0,COUNTIF(Data!$B26:$U26,INDEX(Pengaturan!$B$8:$B$27,T$4)))</f>
        <v>0</v>
      </c>
      <c r="U26" s="26" t="n">
        <f aca="false">IF(INDEX(Pengaturan!$B$8:$B$27,U$4)="",0,COUNTIF(Data!$B26:$U26,INDEX(Pengaturan!$B$8:$B$27,U$4)))</f>
        <v>0</v>
      </c>
      <c r="V26" s="26" t="n">
        <f aca="false">COUNTA(Data!$B26:$U26)</f>
        <v>4</v>
      </c>
      <c r="W26" s="27" t="str">
        <f aca="false">IF(V26=0,"",IF(V26&lt;&gt;Hasil!$C$4,"Data kosong/tidak lengkap",IF(SUM(B26:U26)&lt;&gt;V26,"Kategori tidak dikenal","OK")))</f>
        <v>OK</v>
      </c>
      <c r="X26" s="26" t="n">
        <f aca="false">IF(OR(W26="",W26="OK"),0,1)</f>
        <v>0</v>
      </c>
    </row>
    <row r="27" customFormat="false" ht="15" hidden="false" customHeight="false" outlineLevel="0" collapsed="false">
      <c r="A27" s="26" t="n">
        <f aca="false">Data!A27</f>
        <v>22</v>
      </c>
      <c r="B27" s="26" t="n">
        <f aca="false">IF(INDEX(Pengaturan!$B$8:$B$27,B$4)="",0,COUNTIF(Data!$B27:$U27,INDEX(Pengaturan!$B$8:$B$27,B$4)))</f>
        <v>1</v>
      </c>
      <c r="C27" s="26" t="n">
        <f aca="false">IF(INDEX(Pengaturan!$B$8:$B$27,C$4)="",0,COUNTIF(Data!$B27:$U27,INDEX(Pengaturan!$B$8:$B$27,C$4)))</f>
        <v>2</v>
      </c>
      <c r="D27" s="26" t="n">
        <f aca="false">IF(INDEX(Pengaturan!$B$8:$B$27,D$4)="",0,COUNTIF(Data!$B27:$U27,INDEX(Pengaturan!$B$8:$B$27,D$4)))</f>
        <v>0</v>
      </c>
      <c r="E27" s="26" t="n">
        <f aca="false">IF(INDEX(Pengaturan!$B$8:$B$27,E$4)="",0,COUNTIF(Data!$B27:$U27,INDEX(Pengaturan!$B$8:$B$27,E$4)))</f>
        <v>1</v>
      </c>
      <c r="F27" s="26" t="n">
        <f aca="false">IF(INDEX(Pengaturan!$B$8:$B$27,F$4)="",0,COUNTIF(Data!$B27:$U27,INDEX(Pengaturan!$B$8:$B$27,F$4)))</f>
        <v>0</v>
      </c>
      <c r="G27" s="26" t="n">
        <f aca="false">IF(INDEX(Pengaturan!$B$8:$B$27,G$4)="",0,COUNTIF(Data!$B27:$U27,INDEX(Pengaturan!$B$8:$B$27,G$4)))</f>
        <v>0</v>
      </c>
      <c r="H27" s="26" t="n">
        <f aca="false">IF(INDEX(Pengaturan!$B$8:$B$27,H$4)="",0,COUNTIF(Data!$B27:$U27,INDEX(Pengaturan!$B$8:$B$27,H$4)))</f>
        <v>0</v>
      </c>
      <c r="I27" s="26" t="n">
        <f aca="false">IF(INDEX(Pengaturan!$B$8:$B$27,I$4)="",0,COUNTIF(Data!$B27:$U27,INDEX(Pengaturan!$B$8:$B$27,I$4)))</f>
        <v>0</v>
      </c>
      <c r="J27" s="26" t="n">
        <f aca="false">IF(INDEX(Pengaturan!$B$8:$B$27,J$4)="",0,COUNTIF(Data!$B27:$U27,INDEX(Pengaturan!$B$8:$B$27,J$4)))</f>
        <v>0</v>
      </c>
      <c r="K27" s="26" t="n">
        <f aca="false">IF(INDEX(Pengaturan!$B$8:$B$27,K$4)="",0,COUNTIF(Data!$B27:$U27,INDEX(Pengaturan!$B$8:$B$27,K$4)))</f>
        <v>0</v>
      </c>
      <c r="L27" s="26" t="n">
        <f aca="false">IF(INDEX(Pengaturan!$B$8:$B$27,L$4)="",0,COUNTIF(Data!$B27:$U27,INDEX(Pengaturan!$B$8:$B$27,L$4)))</f>
        <v>0</v>
      </c>
      <c r="M27" s="26" t="n">
        <f aca="false">IF(INDEX(Pengaturan!$B$8:$B$27,M$4)="",0,COUNTIF(Data!$B27:$U27,INDEX(Pengaturan!$B$8:$B$27,M$4)))</f>
        <v>0</v>
      </c>
      <c r="N27" s="26" t="n">
        <f aca="false">IF(INDEX(Pengaturan!$B$8:$B$27,N$4)="",0,COUNTIF(Data!$B27:$U27,INDEX(Pengaturan!$B$8:$B$27,N$4)))</f>
        <v>0</v>
      </c>
      <c r="O27" s="26" t="n">
        <f aca="false">IF(INDEX(Pengaturan!$B$8:$B$27,O$4)="",0,COUNTIF(Data!$B27:$U27,INDEX(Pengaturan!$B$8:$B$27,O$4)))</f>
        <v>0</v>
      </c>
      <c r="P27" s="26" t="n">
        <f aca="false">IF(INDEX(Pengaturan!$B$8:$B$27,P$4)="",0,COUNTIF(Data!$B27:$U27,INDEX(Pengaturan!$B$8:$B$27,P$4)))</f>
        <v>0</v>
      </c>
      <c r="Q27" s="26" t="n">
        <f aca="false">IF(INDEX(Pengaturan!$B$8:$B$27,Q$4)="",0,COUNTIF(Data!$B27:$U27,INDEX(Pengaturan!$B$8:$B$27,Q$4)))</f>
        <v>0</v>
      </c>
      <c r="R27" s="26" t="n">
        <f aca="false">IF(INDEX(Pengaturan!$B$8:$B$27,R$4)="",0,COUNTIF(Data!$B27:$U27,INDEX(Pengaturan!$B$8:$B$27,R$4)))</f>
        <v>0</v>
      </c>
      <c r="S27" s="26" t="n">
        <f aca="false">IF(INDEX(Pengaturan!$B$8:$B$27,S$4)="",0,COUNTIF(Data!$B27:$U27,INDEX(Pengaturan!$B$8:$B$27,S$4)))</f>
        <v>0</v>
      </c>
      <c r="T27" s="26" t="n">
        <f aca="false">IF(INDEX(Pengaturan!$B$8:$B$27,T$4)="",0,COUNTIF(Data!$B27:$U27,INDEX(Pengaturan!$B$8:$B$27,T$4)))</f>
        <v>0</v>
      </c>
      <c r="U27" s="26" t="n">
        <f aca="false">IF(INDEX(Pengaturan!$B$8:$B$27,U$4)="",0,COUNTIF(Data!$B27:$U27,INDEX(Pengaturan!$B$8:$B$27,U$4)))</f>
        <v>0</v>
      </c>
      <c r="V27" s="26" t="n">
        <f aca="false">COUNTA(Data!$B27:$U27)</f>
        <v>4</v>
      </c>
      <c r="W27" s="27" t="str">
        <f aca="false">IF(V27=0,"",IF(V27&lt;&gt;Hasil!$C$4,"Data kosong/tidak lengkap",IF(SUM(B27:U27)&lt;&gt;V27,"Kategori tidak dikenal","OK")))</f>
        <v>OK</v>
      </c>
      <c r="X27" s="26" t="n">
        <f aca="false">IF(OR(W27="",W27="OK"),0,1)</f>
        <v>0</v>
      </c>
    </row>
    <row r="28" customFormat="false" ht="15" hidden="false" customHeight="false" outlineLevel="0" collapsed="false">
      <c r="A28" s="26" t="n">
        <f aca="false">Data!A28</f>
        <v>23</v>
      </c>
      <c r="B28" s="26" t="n">
        <f aca="false">IF(INDEX(Pengaturan!$B$8:$B$27,B$4)="",0,COUNTIF(Data!$B28:$U28,INDEX(Pengaturan!$B$8:$B$27,B$4)))</f>
        <v>3</v>
      </c>
      <c r="C28" s="26" t="n">
        <f aca="false">IF(INDEX(Pengaturan!$B$8:$B$27,C$4)="",0,COUNTIF(Data!$B28:$U28,INDEX(Pengaturan!$B$8:$B$27,C$4)))</f>
        <v>1</v>
      </c>
      <c r="D28" s="26" t="n">
        <f aca="false">IF(INDEX(Pengaturan!$B$8:$B$27,D$4)="",0,COUNTIF(Data!$B28:$U28,INDEX(Pengaturan!$B$8:$B$27,D$4)))</f>
        <v>0</v>
      </c>
      <c r="E28" s="26" t="n">
        <f aca="false">IF(INDEX(Pengaturan!$B$8:$B$27,E$4)="",0,COUNTIF(Data!$B28:$U28,INDEX(Pengaturan!$B$8:$B$27,E$4)))</f>
        <v>0</v>
      </c>
      <c r="F28" s="26" t="n">
        <f aca="false">IF(INDEX(Pengaturan!$B$8:$B$27,F$4)="",0,COUNTIF(Data!$B28:$U28,INDEX(Pengaturan!$B$8:$B$27,F$4)))</f>
        <v>0</v>
      </c>
      <c r="G28" s="26" t="n">
        <f aca="false">IF(INDEX(Pengaturan!$B$8:$B$27,G$4)="",0,COUNTIF(Data!$B28:$U28,INDEX(Pengaturan!$B$8:$B$27,G$4)))</f>
        <v>0</v>
      </c>
      <c r="H28" s="26" t="n">
        <f aca="false">IF(INDEX(Pengaturan!$B$8:$B$27,H$4)="",0,COUNTIF(Data!$B28:$U28,INDEX(Pengaturan!$B$8:$B$27,H$4)))</f>
        <v>0</v>
      </c>
      <c r="I28" s="26" t="n">
        <f aca="false">IF(INDEX(Pengaturan!$B$8:$B$27,I$4)="",0,COUNTIF(Data!$B28:$U28,INDEX(Pengaturan!$B$8:$B$27,I$4)))</f>
        <v>0</v>
      </c>
      <c r="J28" s="26" t="n">
        <f aca="false">IF(INDEX(Pengaturan!$B$8:$B$27,J$4)="",0,COUNTIF(Data!$B28:$U28,INDEX(Pengaturan!$B$8:$B$27,J$4)))</f>
        <v>0</v>
      </c>
      <c r="K28" s="26" t="n">
        <f aca="false">IF(INDEX(Pengaturan!$B$8:$B$27,K$4)="",0,COUNTIF(Data!$B28:$U28,INDEX(Pengaturan!$B$8:$B$27,K$4)))</f>
        <v>0</v>
      </c>
      <c r="L28" s="26" t="n">
        <f aca="false">IF(INDEX(Pengaturan!$B$8:$B$27,L$4)="",0,COUNTIF(Data!$B28:$U28,INDEX(Pengaturan!$B$8:$B$27,L$4)))</f>
        <v>0</v>
      </c>
      <c r="M28" s="26" t="n">
        <f aca="false">IF(INDEX(Pengaturan!$B$8:$B$27,M$4)="",0,COUNTIF(Data!$B28:$U28,INDEX(Pengaturan!$B$8:$B$27,M$4)))</f>
        <v>0</v>
      </c>
      <c r="N28" s="26" t="n">
        <f aca="false">IF(INDEX(Pengaturan!$B$8:$B$27,N$4)="",0,COUNTIF(Data!$B28:$U28,INDEX(Pengaturan!$B$8:$B$27,N$4)))</f>
        <v>0</v>
      </c>
      <c r="O28" s="26" t="n">
        <f aca="false">IF(INDEX(Pengaturan!$B$8:$B$27,O$4)="",0,COUNTIF(Data!$B28:$U28,INDEX(Pengaturan!$B$8:$B$27,O$4)))</f>
        <v>0</v>
      </c>
      <c r="P28" s="26" t="n">
        <f aca="false">IF(INDEX(Pengaturan!$B$8:$B$27,P$4)="",0,COUNTIF(Data!$B28:$U28,INDEX(Pengaturan!$B$8:$B$27,P$4)))</f>
        <v>0</v>
      </c>
      <c r="Q28" s="26" t="n">
        <f aca="false">IF(INDEX(Pengaturan!$B$8:$B$27,Q$4)="",0,COUNTIF(Data!$B28:$U28,INDEX(Pengaturan!$B$8:$B$27,Q$4)))</f>
        <v>0</v>
      </c>
      <c r="R28" s="26" t="n">
        <f aca="false">IF(INDEX(Pengaturan!$B$8:$B$27,R$4)="",0,COUNTIF(Data!$B28:$U28,INDEX(Pengaturan!$B$8:$B$27,R$4)))</f>
        <v>0</v>
      </c>
      <c r="S28" s="26" t="n">
        <f aca="false">IF(INDEX(Pengaturan!$B$8:$B$27,S$4)="",0,COUNTIF(Data!$B28:$U28,INDEX(Pengaturan!$B$8:$B$27,S$4)))</f>
        <v>0</v>
      </c>
      <c r="T28" s="26" t="n">
        <f aca="false">IF(INDEX(Pengaturan!$B$8:$B$27,T$4)="",0,COUNTIF(Data!$B28:$U28,INDEX(Pengaturan!$B$8:$B$27,T$4)))</f>
        <v>0</v>
      </c>
      <c r="U28" s="26" t="n">
        <f aca="false">IF(INDEX(Pengaturan!$B$8:$B$27,U$4)="",0,COUNTIF(Data!$B28:$U28,INDEX(Pengaturan!$B$8:$B$27,U$4)))</f>
        <v>0</v>
      </c>
      <c r="V28" s="26" t="n">
        <f aca="false">COUNTA(Data!$B28:$U28)</f>
        <v>4</v>
      </c>
      <c r="W28" s="27" t="str">
        <f aca="false">IF(V28=0,"",IF(V28&lt;&gt;Hasil!$C$4,"Data kosong/tidak lengkap",IF(SUM(B28:U28)&lt;&gt;V28,"Kategori tidak dikenal","OK")))</f>
        <v>OK</v>
      </c>
      <c r="X28" s="26" t="n">
        <f aca="false">IF(OR(W28="",W28="OK"),0,1)</f>
        <v>0</v>
      </c>
    </row>
    <row r="29" customFormat="false" ht="15" hidden="false" customHeight="false" outlineLevel="0" collapsed="false">
      <c r="A29" s="26" t="n">
        <f aca="false">Data!A29</f>
        <v>24</v>
      </c>
      <c r="B29" s="26" t="n">
        <f aca="false">IF(INDEX(Pengaturan!$B$8:$B$27,B$4)="",0,COUNTIF(Data!$B29:$U29,INDEX(Pengaturan!$B$8:$B$27,B$4)))</f>
        <v>4</v>
      </c>
      <c r="C29" s="26" t="n">
        <f aca="false">IF(INDEX(Pengaturan!$B$8:$B$27,C$4)="",0,COUNTIF(Data!$B29:$U29,INDEX(Pengaturan!$B$8:$B$27,C$4)))</f>
        <v>0</v>
      </c>
      <c r="D29" s="26" t="n">
        <f aca="false">IF(INDEX(Pengaturan!$B$8:$B$27,D$4)="",0,COUNTIF(Data!$B29:$U29,INDEX(Pengaturan!$B$8:$B$27,D$4)))</f>
        <v>0</v>
      </c>
      <c r="E29" s="26" t="n">
        <f aca="false">IF(INDEX(Pengaturan!$B$8:$B$27,E$4)="",0,COUNTIF(Data!$B29:$U29,INDEX(Pengaturan!$B$8:$B$27,E$4)))</f>
        <v>0</v>
      </c>
      <c r="F29" s="26" t="n">
        <f aca="false">IF(INDEX(Pengaturan!$B$8:$B$27,F$4)="",0,COUNTIF(Data!$B29:$U29,INDEX(Pengaturan!$B$8:$B$27,F$4)))</f>
        <v>0</v>
      </c>
      <c r="G29" s="26" t="n">
        <f aca="false">IF(INDEX(Pengaturan!$B$8:$B$27,G$4)="",0,COUNTIF(Data!$B29:$U29,INDEX(Pengaturan!$B$8:$B$27,G$4)))</f>
        <v>0</v>
      </c>
      <c r="H29" s="26" t="n">
        <f aca="false">IF(INDEX(Pengaturan!$B$8:$B$27,H$4)="",0,COUNTIF(Data!$B29:$U29,INDEX(Pengaturan!$B$8:$B$27,H$4)))</f>
        <v>0</v>
      </c>
      <c r="I29" s="26" t="n">
        <f aca="false">IF(INDEX(Pengaturan!$B$8:$B$27,I$4)="",0,COUNTIF(Data!$B29:$U29,INDEX(Pengaturan!$B$8:$B$27,I$4)))</f>
        <v>0</v>
      </c>
      <c r="J29" s="26" t="n">
        <f aca="false">IF(INDEX(Pengaturan!$B$8:$B$27,J$4)="",0,COUNTIF(Data!$B29:$U29,INDEX(Pengaturan!$B$8:$B$27,J$4)))</f>
        <v>0</v>
      </c>
      <c r="K29" s="26" t="n">
        <f aca="false">IF(INDEX(Pengaturan!$B$8:$B$27,K$4)="",0,COUNTIF(Data!$B29:$U29,INDEX(Pengaturan!$B$8:$B$27,K$4)))</f>
        <v>0</v>
      </c>
      <c r="L29" s="26" t="n">
        <f aca="false">IF(INDEX(Pengaturan!$B$8:$B$27,L$4)="",0,COUNTIF(Data!$B29:$U29,INDEX(Pengaturan!$B$8:$B$27,L$4)))</f>
        <v>0</v>
      </c>
      <c r="M29" s="26" t="n">
        <f aca="false">IF(INDEX(Pengaturan!$B$8:$B$27,M$4)="",0,COUNTIF(Data!$B29:$U29,INDEX(Pengaturan!$B$8:$B$27,M$4)))</f>
        <v>0</v>
      </c>
      <c r="N29" s="26" t="n">
        <f aca="false">IF(INDEX(Pengaturan!$B$8:$B$27,N$4)="",0,COUNTIF(Data!$B29:$U29,INDEX(Pengaturan!$B$8:$B$27,N$4)))</f>
        <v>0</v>
      </c>
      <c r="O29" s="26" t="n">
        <f aca="false">IF(INDEX(Pengaturan!$B$8:$B$27,O$4)="",0,COUNTIF(Data!$B29:$U29,INDEX(Pengaturan!$B$8:$B$27,O$4)))</f>
        <v>0</v>
      </c>
      <c r="P29" s="26" t="n">
        <f aca="false">IF(INDEX(Pengaturan!$B$8:$B$27,P$4)="",0,COUNTIF(Data!$B29:$U29,INDEX(Pengaturan!$B$8:$B$27,P$4)))</f>
        <v>0</v>
      </c>
      <c r="Q29" s="26" t="n">
        <f aca="false">IF(INDEX(Pengaturan!$B$8:$B$27,Q$4)="",0,COUNTIF(Data!$B29:$U29,INDEX(Pengaturan!$B$8:$B$27,Q$4)))</f>
        <v>0</v>
      </c>
      <c r="R29" s="26" t="n">
        <f aca="false">IF(INDEX(Pengaturan!$B$8:$B$27,R$4)="",0,COUNTIF(Data!$B29:$U29,INDEX(Pengaturan!$B$8:$B$27,R$4)))</f>
        <v>0</v>
      </c>
      <c r="S29" s="26" t="n">
        <f aca="false">IF(INDEX(Pengaturan!$B$8:$B$27,S$4)="",0,COUNTIF(Data!$B29:$U29,INDEX(Pengaturan!$B$8:$B$27,S$4)))</f>
        <v>0</v>
      </c>
      <c r="T29" s="26" t="n">
        <f aca="false">IF(INDEX(Pengaturan!$B$8:$B$27,T$4)="",0,COUNTIF(Data!$B29:$U29,INDEX(Pengaturan!$B$8:$B$27,T$4)))</f>
        <v>0</v>
      </c>
      <c r="U29" s="26" t="n">
        <f aca="false">IF(INDEX(Pengaturan!$B$8:$B$27,U$4)="",0,COUNTIF(Data!$B29:$U29,INDEX(Pengaturan!$B$8:$B$27,U$4)))</f>
        <v>0</v>
      </c>
      <c r="V29" s="26" t="n">
        <f aca="false">COUNTA(Data!$B29:$U29)</f>
        <v>4</v>
      </c>
      <c r="W29" s="27" t="str">
        <f aca="false">IF(V29=0,"",IF(V29&lt;&gt;Hasil!$C$4,"Data kosong/tidak lengkap",IF(SUM(B29:U29)&lt;&gt;V29,"Kategori tidak dikenal","OK")))</f>
        <v>OK</v>
      </c>
      <c r="X29" s="26" t="n">
        <f aca="false">IF(OR(W29="",W29="OK"),0,1)</f>
        <v>0</v>
      </c>
    </row>
    <row r="30" customFormat="false" ht="15" hidden="false" customHeight="false" outlineLevel="0" collapsed="false">
      <c r="A30" s="26" t="n">
        <f aca="false">Data!A30</f>
        <v>25</v>
      </c>
      <c r="B30" s="26" t="n">
        <f aca="false">IF(INDEX(Pengaturan!$B$8:$B$27,B$4)="",0,COUNTIF(Data!$B30:$U30,INDEX(Pengaturan!$B$8:$B$27,B$4)))</f>
        <v>0</v>
      </c>
      <c r="C30" s="26" t="n">
        <f aca="false">IF(INDEX(Pengaturan!$B$8:$B$27,C$4)="",0,COUNTIF(Data!$B30:$U30,INDEX(Pengaturan!$B$8:$B$27,C$4)))</f>
        <v>0</v>
      </c>
      <c r="D30" s="26" t="n">
        <f aca="false">IF(INDEX(Pengaturan!$B$8:$B$27,D$4)="",0,COUNTIF(Data!$B30:$U30,INDEX(Pengaturan!$B$8:$B$27,D$4)))</f>
        <v>0</v>
      </c>
      <c r="E30" s="26" t="n">
        <f aca="false">IF(INDEX(Pengaturan!$B$8:$B$27,E$4)="",0,COUNTIF(Data!$B30:$U30,INDEX(Pengaturan!$B$8:$B$27,E$4)))</f>
        <v>3</v>
      </c>
      <c r="F30" s="26" t="n">
        <f aca="false">IF(INDEX(Pengaturan!$B$8:$B$27,F$4)="",0,COUNTIF(Data!$B30:$U30,INDEX(Pengaturan!$B$8:$B$27,F$4)))</f>
        <v>1</v>
      </c>
      <c r="G30" s="26" t="n">
        <f aca="false">IF(INDEX(Pengaturan!$B$8:$B$27,G$4)="",0,COUNTIF(Data!$B30:$U30,INDEX(Pengaturan!$B$8:$B$27,G$4)))</f>
        <v>0</v>
      </c>
      <c r="H30" s="26" t="n">
        <f aca="false">IF(INDEX(Pengaturan!$B$8:$B$27,H$4)="",0,COUNTIF(Data!$B30:$U30,INDEX(Pengaturan!$B$8:$B$27,H$4)))</f>
        <v>0</v>
      </c>
      <c r="I30" s="26" t="n">
        <f aca="false">IF(INDEX(Pengaturan!$B$8:$B$27,I$4)="",0,COUNTIF(Data!$B30:$U30,INDEX(Pengaturan!$B$8:$B$27,I$4)))</f>
        <v>0</v>
      </c>
      <c r="J30" s="26" t="n">
        <f aca="false">IF(INDEX(Pengaturan!$B$8:$B$27,J$4)="",0,COUNTIF(Data!$B30:$U30,INDEX(Pengaturan!$B$8:$B$27,J$4)))</f>
        <v>0</v>
      </c>
      <c r="K30" s="26" t="n">
        <f aca="false">IF(INDEX(Pengaturan!$B$8:$B$27,K$4)="",0,COUNTIF(Data!$B30:$U30,INDEX(Pengaturan!$B$8:$B$27,K$4)))</f>
        <v>0</v>
      </c>
      <c r="L30" s="26" t="n">
        <f aca="false">IF(INDEX(Pengaturan!$B$8:$B$27,L$4)="",0,COUNTIF(Data!$B30:$U30,INDEX(Pengaturan!$B$8:$B$27,L$4)))</f>
        <v>0</v>
      </c>
      <c r="M30" s="26" t="n">
        <f aca="false">IF(INDEX(Pengaturan!$B$8:$B$27,M$4)="",0,COUNTIF(Data!$B30:$U30,INDEX(Pengaturan!$B$8:$B$27,M$4)))</f>
        <v>0</v>
      </c>
      <c r="N30" s="26" t="n">
        <f aca="false">IF(INDEX(Pengaturan!$B$8:$B$27,N$4)="",0,COUNTIF(Data!$B30:$U30,INDEX(Pengaturan!$B$8:$B$27,N$4)))</f>
        <v>0</v>
      </c>
      <c r="O30" s="26" t="n">
        <f aca="false">IF(INDEX(Pengaturan!$B$8:$B$27,O$4)="",0,COUNTIF(Data!$B30:$U30,INDEX(Pengaturan!$B$8:$B$27,O$4)))</f>
        <v>0</v>
      </c>
      <c r="P30" s="26" t="n">
        <f aca="false">IF(INDEX(Pengaturan!$B$8:$B$27,P$4)="",0,COUNTIF(Data!$B30:$U30,INDEX(Pengaturan!$B$8:$B$27,P$4)))</f>
        <v>0</v>
      </c>
      <c r="Q30" s="26" t="n">
        <f aca="false">IF(INDEX(Pengaturan!$B$8:$B$27,Q$4)="",0,COUNTIF(Data!$B30:$U30,INDEX(Pengaturan!$B$8:$B$27,Q$4)))</f>
        <v>0</v>
      </c>
      <c r="R30" s="26" t="n">
        <f aca="false">IF(INDEX(Pengaturan!$B$8:$B$27,R$4)="",0,COUNTIF(Data!$B30:$U30,INDEX(Pengaturan!$B$8:$B$27,R$4)))</f>
        <v>0</v>
      </c>
      <c r="S30" s="26" t="n">
        <f aca="false">IF(INDEX(Pengaturan!$B$8:$B$27,S$4)="",0,COUNTIF(Data!$B30:$U30,INDEX(Pengaturan!$B$8:$B$27,S$4)))</f>
        <v>0</v>
      </c>
      <c r="T30" s="26" t="n">
        <f aca="false">IF(INDEX(Pengaturan!$B$8:$B$27,T$4)="",0,COUNTIF(Data!$B30:$U30,INDEX(Pengaturan!$B$8:$B$27,T$4)))</f>
        <v>0</v>
      </c>
      <c r="U30" s="26" t="n">
        <f aca="false">IF(INDEX(Pengaturan!$B$8:$B$27,U$4)="",0,COUNTIF(Data!$B30:$U30,INDEX(Pengaturan!$B$8:$B$27,U$4)))</f>
        <v>0</v>
      </c>
      <c r="V30" s="26" t="n">
        <f aca="false">COUNTA(Data!$B30:$U30)</f>
        <v>4</v>
      </c>
      <c r="W30" s="27" t="str">
        <f aca="false">IF(V30=0,"",IF(V30&lt;&gt;Hasil!$C$4,"Data kosong/tidak lengkap",IF(SUM(B30:U30)&lt;&gt;V30,"Kategori tidak dikenal","OK")))</f>
        <v>OK</v>
      </c>
      <c r="X30" s="26" t="n">
        <f aca="false">IF(OR(W30="",W30="OK"),0,1)</f>
        <v>0</v>
      </c>
    </row>
    <row r="31" customFormat="false" ht="15" hidden="false" customHeight="false" outlineLevel="0" collapsed="false">
      <c r="A31" s="26" t="n">
        <f aca="false">Data!A31</f>
        <v>26</v>
      </c>
      <c r="B31" s="26" t="n">
        <f aca="false">IF(INDEX(Pengaturan!$B$8:$B$27,B$4)="",0,COUNTIF(Data!$B31:$U31,INDEX(Pengaturan!$B$8:$B$27,B$4)))</f>
        <v>0</v>
      </c>
      <c r="C31" s="26" t="n">
        <f aca="false">IF(INDEX(Pengaturan!$B$8:$B$27,C$4)="",0,COUNTIF(Data!$B31:$U31,INDEX(Pengaturan!$B$8:$B$27,C$4)))</f>
        <v>0</v>
      </c>
      <c r="D31" s="26" t="n">
        <f aca="false">IF(INDEX(Pengaturan!$B$8:$B$27,D$4)="",0,COUNTIF(Data!$B31:$U31,INDEX(Pengaturan!$B$8:$B$27,D$4)))</f>
        <v>0</v>
      </c>
      <c r="E31" s="26" t="n">
        <f aca="false">IF(INDEX(Pengaturan!$B$8:$B$27,E$4)="",0,COUNTIF(Data!$B31:$U31,INDEX(Pengaturan!$B$8:$B$27,E$4)))</f>
        <v>0</v>
      </c>
      <c r="F31" s="26" t="n">
        <f aca="false">IF(INDEX(Pengaturan!$B$8:$B$27,F$4)="",0,COUNTIF(Data!$B31:$U31,INDEX(Pengaturan!$B$8:$B$27,F$4)))</f>
        <v>0</v>
      </c>
      <c r="G31" s="26" t="n">
        <f aca="false">IF(INDEX(Pengaturan!$B$8:$B$27,G$4)="",0,COUNTIF(Data!$B31:$U31,INDEX(Pengaturan!$B$8:$B$27,G$4)))</f>
        <v>0</v>
      </c>
      <c r="H31" s="26" t="n">
        <f aca="false">IF(INDEX(Pengaturan!$B$8:$B$27,H$4)="",0,COUNTIF(Data!$B31:$U31,INDEX(Pengaturan!$B$8:$B$27,H$4)))</f>
        <v>0</v>
      </c>
      <c r="I31" s="26" t="n">
        <f aca="false">IF(INDEX(Pengaturan!$B$8:$B$27,I$4)="",0,COUNTIF(Data!$B31:$U31,INDEX(Pengaturan!$B$8:$B$27,I$4)))</f>
        <v>0</v>
      </c>
      <c r="J31" s="26" t="n">
        <f aca="false">IF(INDEX(Pengaturan!$B$8:$B$27,J$4)="",0,COUNTIF(Data!$B31:$U31,INDEX(Pengaturan!$B$8:$B$27,J$4)))</f>
        <v>0</v>
      </c>
      <c r="K31" s="26" t="n">
        <f aca="false">IF(INDEX(Pengaturan!$B$8:$B$27,K$4)="",0,COUNTIF(Data!$B31:$U31,INDEX(Pengaturan!$B$8:$B$27,K$4)))</f>
        <v>0</v>
      </c>
      <c r="L31" s="26" t="n">
        <f aca="false">IF(INDEX(Pengaturan!$B$8:$B$27,L$4)="",0,COUNTIF(Data!$B31:$U31,INDEX(Pengaturan!$B$8:$B$27,L$4)))</f>
        <v>0</v>
      </c>
      <c r="M31" s="26" t="n">
        <f aca="false">IF(INDEX(Pengaturan!$B$8:$B$27,M$4)="",0,COUNTIF(Data!$B31:$U31,INDEX(Pengaturan!$B$8:$B$27,M$4)))</f>
        <v>0</v>
      </c>
      <c r="N31" s="26" t="n">
        <f aca="false">IF(INDEX(Pengaturan!$B$8:$B$27,N$4)="",0,COUNTIF(Data!$B31:$U31,INDEX(Pengaturan!$B$8:$B$27,N$4)))</f>
        <v>0</v>
      </c>
      <c r="O31" s="26" t="n">
        <f aca="false">IF(INDEX(Pengaturan!$B$8:$B$27,O$4)="",0,COUNTIF(Data!$B31:$U31,INDEX(Pengaturan!$B$8:$B$27,O$4)))</f>
        <v>0</v>
      </c>
      <c r="P31" s="26" t="n">
        <f aca="false">IF(INDEX(Pengaturan!$B$8:$B$27,P$4)="",0,COUNTIF(Data!$B31:$U31,INDEX(Pengaturan!$B$8:$B$27,P$4)))</f>
        <v>0</v>
      </c>
      <c r="Q31" s="26" t="n">
        <f aca="false">IF(INDEX(Pengaturan!$B$8:$B$27,Q$4)="",0,COUNTIF(Data!$B31:$U31,INDEX(Pengaturan!$B$8:$B$27,Q$4)))</f>
        <v>0</v>
      </c>
      <c r="R31" s="26" t="n">
        <f aca="false">IF(INDEX(Pengaturan!$B$8:$B$27,R$4)="",0,COUNTIF(Data!$B31:$U31,INDEX(Pengaturan!$B$8:$B$27,R$4)))</f>
        <v>0</v>
      </c>
      <c r="S31" s="26" t="n">
        <f aca="false">IF(INDEX(Pengaturan!$B$8:$B$27,S$4)="",0,COUNTIF(Data!$B31:$U31,INDEX(Pengaturan!$B$8:$B$27,S$4)))</f>
        <v>0</v>
      </c>
      <c r="T31" s="26" t="n">
        <f aca="false">IF(INDEX(Pengaturan!$B$8:$B$27,T$4)="",0,COUNTIF(Data!$B31:$U31,INDEX(Pengaturan!$B$8:$B$27,T$4)))</f>
        <v>0</v>
      </c>
      <c r="U31" s="26" t="n">
        <f aca="false">IF(INDEX(Pengaturan!$B$8:$B$27,U$4)="",0,COUNTIF(Data!$B31:$U31,INDEX(Pengaturan!$B$8:$B$27,U$4)))</f>
        <v>0</v>
      </c>
      <c r="V31" s="26" t="n">
        <f aca="false">COUNTA(Data!$B31:$U31)</f>
        <v>0</v>
      </c>
      <c r="W31" s="27" t="str">
        <f aca="false">IF(V31=0,"",IF(V31&lt;&gt;Hasil!$C$4,"Data kosong/tidak lengkap",IF(SUM(B31:U31)&lt;&gt;V31,"Kategori tidak dikenal","OK")))</f>
        <v/>
      </c>
      <c r="X31" s="26" t="n">
        <f aca="false">IF(OR(W31="",W31="OK"),0,1)</f>
        <v>0</v>
      </c>
    </row>
    <row r="32" customFormat="false" ht="15" hidden="false" customHeight="false" outlineLevel="0" collapsed="false">
      <c r="A32" s="26" t="n">
        <f aca="false">Data!A32</f>
        <v>27</v>
      </c>
      <c r="B32" s="26" t="n">
        <f aca="false">IF(INDEX(Pengaturan!$B$8:$B$27,B$4)="",0,COUNTIF(Data!$B32:$U32,INDEX(Pengaturan!$B$8:$B$27,B$4)))</f>
        <v>0</v>
      </c>
      <c r="C32" s="26" t="n">
        <f aca="false">IF(INDEX(Pengaturan!$B$8:$B$27,C$4)="",0,COUNTIF(Data!$B32:$U32,INDEX(Pengaturan!$B$8:$B$27,C$4)))</f>
        <v>0</v>
      </c>
      <c r="D32" s="26" t="n">
        <f aca="false">IF(INDEX(Pengaturan!$B$8:$B$27,D$4)="",0,COUNTIF(Data!$B32:$U32,INDEX(Pengaturan!$B$8:$B$27,D$4)))</f>
        <v>0</v>
      </c>
      <c r="E32" s="26" t="n">
        <f aca="false">IF(INDEX(Pengaturan!$B$8:$B$27,E$4)="",0,COUNTIF(Data!$B32:$U32,INDEX(Pengaturan!$B$8:$B$27,E$4)))</f>
        <v>0</v>
      </c>
      <c r="F32" s="26" t="n">
        <f aca="false">IF(INDEX(Pengaturan!$B$8:$B$27,F$4)="",0,COUNTIF(Data!$B32:$U32,INDEX(Pengaturan!$B$8:$B$27,F$4)))</f>
        <v>0</v>
      </c>
      <c r="G32" s="26" t="n">
        <f aca="false">IF(INDEX(Pengaturan!$B$8:$B$27,G$4)="",0,COUNTIF(Data!$B32:$U32,INDEX(Pengaturan!$B$8:$B$27,G$4)))</f>
        <v>0</v>
      </c>
      <c r="H32" s="26" t="n">
        <f aca="false">IF(INDEX(Pengaturan!$B$8:$B$27,H$4)="",0,COUNTIF(Data!$B32:$U32,INDEX(Pengaturan!$B$8:$B$27,H$4)))</f>
        <v>0</v>
      </c>
      <c r="I32" s="26" t="n">
        <f aca="false">IF(INDEX(Pengaturan!$B$8:$B$27,I$4)="",0,COUNTIF(Data!$B32:$U32,INDEX(Pengaturan!$B$8:$B$27,I$4)))</f>
        <v>0</v>
      </c>
      <c r="J32" s="26" t="n">
        <f aca="false">IF(INDEX(Pengaturan!$B$8:$B$27,J$4)="",0,COUNTIF(Data!$B32:$U32,INDEX(Pengaturan!$B$8:$B$27,J$4)))</f>
        <v>0</v>
      </c>
      <c r="K32" s="26" t="n">
        <f aca="false">IF(INDEX(Pengaturan!$B$8:$B$27,K$4)="",0,COUNTIF(Data!$B32:$U32,INDEX(Pengaturan!$B$8:$B$27,K$4)))</f>
        <v>0</v>
      </c>
      <c r="L32" s="26" t="n">
        <f aca="false">IF(INDEX(Pengaturan!$B$8:$B$27,L$4)="",0,COUNTIF(Data!$B32:$U32,INDEX(Pengaturan!$B$8:$B$27,L$4)))</f>
        <v>0</v>
      </c>
      <c r="M32" s="26" t="n">
        <f aca="false">IF(INDEX(Pengaturan!$B$8:$B$27,M$4)="",0,COUNTIF(Data!$B32:$U32,INDEX(Pengaturan!$B$8:$B$27,M$4)))</f>
        <v>0</v>
      </c>
      <c r="N32" s="26" t="n">
        <f aca="false">IF(INDEX(Pengaturan!$B$8:$B$27,N$4)="",0,COUNTIF(Data!$B32:$U32,INDEX(Pengaturan!$B$8:$B$27,N$4)))</f>
        <v>0</v>
      </c>
      <c r="O32" s="26" t="n">
        <f aca="false">IF(INDEX(Pengaturan!$B$8:$B$27,O$4)="",0,COUNTIF(Data!$B32:$U32,INDEX(Pengaturan!$B$8:$B$27,O$4)))</f>
        <v>0</v>
      </c>
      <c r="P32" s="26" t="n">
        <f aca="false">IF(INDEX(Pengaturan!$B$8:$B$27,P$4)="",0,COUNTIF(Data!$B32:$U32,INDEX(Pengaturan!$B$8:$B$27,P$4)))</f>
        <v>0</v>
      </c>
      <c r="Q32" s="26" t="n">
        <f aca="false">IF(INDEX(Pengaturan!$B$8:$B$27,Q$4)="",0,COUNTIF(Data!$B32:$U32,INDEX(Pengaturan!$B$8:$B$27,Q$4)))</f>
        <v>0</v>
      </c>
      <c r="R32" s="26" t="n">
        <f aca="false">IF(INDEX(Pengaturan!$B$8:$B$27,R$4)="",0,COUNTIF(Data!$B32:$U32,INDEX(Pengaturan!$B$8:$B$27,R$4)))</f>
        <v>0</v>
      </c>
      <c r="S32" s="26" t="n">
        <f aca="false">IF(INDEX(Pengaturan!$B$8:$B$27,S$4)="",0,COUNTIF(Data!$B32:$U32,INDEX(Pengaturan!$B$8:$B$27,S$4)))</f>
        <v>0</v>
      </c>
      <c r="T32" s="26" t="n">
        <f aca="false">IF(INDEX(Pengaturan!$B$8:$B$27,T$4)="",0,COUNTIF(Data!$B32:$U32,INDEX(Pengaturan!$B$8:$B$27,T$4)))</f>
        <v>0</v>
      </c>
      <c r="U32" s="26" t="n">
        <f aca="false">IF(INDEX(Pengaturan!$B$8:$B$27,U$4)="",0,COUNTIF(Data!$B32:$U32,INDEX(Pengaturan!$B$8:$B$27,U$4)))</f>
        <v>0</v>
      </c>
      <c r="V32" s="26" t="n">
        <f aca="false">COUNTA(Data!$B32:$U32)</f>
        <v>0</v>
      </c>
      <c r="W32" s="27" t="str">
        <f aca="false">IF(V32=0,"",IF(V32&lt;&gt;Hasil!$C$4,"Data kosong/tidak lengkap",IF(SUM(B32:U32)&lt;&gt;V32,"Kategori tidak dikenal","OK")))</f>
        <v/>
      </c>
      <c r="X32" s="26" t="n">
        <f aca="false">IF(OR(W32="",W32="OK"),0,1)</f>
        <v>0</v>
      </c>
    </row>
    <row r="33" customFormat="false" ht="15" hidden="false" customHeight="false" outlineLevel="0" collapsed="false">
      <c r="A33" s="26" t="n">
        <f aca="false">Data!A33</f>
        <v>28</v>
      </c>
      <c r="B33" s="26" t="n">
        <f aca="false">IF(INDEX(Pengaturan!$B$8:$B$27,B$4)="",0,COUNTIF(Data!$B33:$U33,INDEX(Pengaturan!$B$8:$B$27,B$4)))</f>
        <v>0</v>
      </c>
      <c r="C33" s="26" t="n">
        <f aca="false">IF(INDEX(Pengaturan!$B$8:$B$27,C$4)="",0,COUNTIF(Data!$B33:$U33,INDEX(Pengaturan!$B$8:$B$27,C$4)))</f>
        <v>0</v>
      </c>
      <c r="D33" s="26" t="n">
        <f aca="false">IF(INDEX(Pengaturan!$B$8:$B$27,D$4)="",0,COUNTIF(Data!$B33:$U33,INDEX(Pengaturan!$B$8:$B$27,D$4)))</f>
        <v>0</v>
      </c>
      <c r="E33" s="26" t="n">
        <f aca="false">IF(INDEX(Pengaturan!$B$8:$B$27,E$4)="",0,COUNTIF(Data!$B33:$U33,INDEX(Pengaturan!$B$8:$B$27,E$4)))</f>
        <v>0</v>
      </c>
      <c r="F33" s="26" t="n">
        <f aca="false">IF(INDEX(Pengaturan!$B$8:$B$27,F$4)="",0,COUNTIF(Data!$B33:$U33,INDEX(Pengaturan!$B$8:$B$27,F$4)))</f>
        <v>0</v>
      </c>
      <c r="G33" s="26" t="n">
        <f aca="false">IF(INDEX(Pengaturan!$B$8:$B$27,G$4)="",0,COUNTIF(Data!$B33:$U33,INDEX(Pengaturan!$B$8:$B$27,G$4)))</f>
        <v>0</v>
      </c>
      <c r="H33" s="26" t="n">
        <f aca="false">IF(INDEX(Pengaturan!$B$8:$B$27,H$4)="",0,COUNTIF(Data!$B33:$U33,INDEX(Pengaturan!$B$8:$B$27,H$4)))</f>
        <v>0</v>
      </c>
      <c r="I33" s="26" t="n">
        <f aca="false">IF(INDEX(Pengaturan!$B$8:$B$27,I$4)="",0,COUNTIF(Data!$B33:$U33,INDEX(Pengaturan!$B$8:$B$27,I$4)))</f>
        <v>0</v>
      </c>
      <c r="J33" s="26" t="n">
        <f aca="false">IF(INDEX(Pengaturan!$B$8:$B$27,J$4)="",0,COUNTIF(Data!$B33:$U33,INDEX(Pengaturan!$B$8:$B$27,J$4)))</f>
        <v>0</v>
      </c>
      <c r="K33" s="26" t="n">
        <f aca="false">IF(INDEX(Pengaturan!$B$8:$B$27,K$4)="",0,COUNTIF(Data!$B33:$U33,INDEX(Pengaturan!$B$8:$B$27,K$4)))</f>
        <v>0</v>
      </c>
      <c r="L33" s="26" t="n">
        <f aca="false">IF(INDEX(Pengaturan!$B$8:$B$27,L$4)="",0,COUNTIF(Data!$B33:$U33,INDEX(Pengaturan!$B$8:$B$27,L$4)))</f>
        <v>0</v>
      </c>
      <c r="M33" s="26" t="n">
        <f aca="false">IF(INDEX(Pengaturan!$B$8:$B$27,M$4)="",0,COUNTIF(Data!$B33:$U33,INDEX(Pengaturan!$B$8:$B$27,M$4)))</f>
        <v>0</v>
      </c>
      <c r="N33" s="26" t="n">
        <f aca="false">IF(INDEX(Pengaturan!$B$8:$B$27,N$4)="",0,COUNTIF(Data!$B33:$U33,INDEX(Pengaturan!$B$8:$B$27,N$4)))</f>
        <v>0</v>
      </c>
      <c r="O33" s="26" t="n">
        <f aca="false">IF(INDEX(Pengaturan!$B$8:$B$27,O$4)="",0,COUNTIF(Data!$B33:$U33,INDEX(Pengaturan!$B$8:$B$27,O$4)))</f>
        <v>0</v>
      </c>
      <c r="P33" s="26" t="n">
        <f aca="false">IF(INDEX(Pengaturan!$B$8:$B$27,P$4)="",0,COUNTIF(Data!$B33:$U33,INDEX(Pengaturan!$B$8:$B$27,P$4)))</f>
        <v>0</v>
      </c>
      <c r="Q33" s="26" t="n">
        <f aca="false">IF(INDEX(Pengaturan!$B$8:$B$27,Q$4)="",0,COUNTIF(Data!$B33:$U33,INDEX(Pengaturan!$B$8:$B$27,Q$4)))</f>
        <v>0</v>
      </c>
      <c r="R33" s="26" t="n">
        <f aca="false">IF(INDEX(Pengaturan!$B$8:$B$27,R$4)="",0,COUNTIF(Data!$B33:$U33,INDEX(Pengaturan!$B$8:$B$27,R$4)))</f>
        <v>0</v>
      </c>
      <c r="S33" s="26" t="n">
        <f aca="false">IF(INDEX(Pengaturan!$B$8:$B$27,S$4)="",0,COUNTIF(Data!$B33:$U33,INDEX(Pengaturan!$B$8:$B$27,S$4)))</f>
        <v>0</v>
      </c>
      <c r="T33" s="26" t="n">
        <f aca="false">IF(INDEX(Pengaturan!$B$8:$B$27,T$4)="",0,COUNTIF(Data!$B33:$U33,INDEX(Pengaturan!$B$8:$B$27,T$4)))</f>
        <v>0</v>
      </c>
      <c r="U33" s="26" t="n">
        <f aca="false">IF(INDEX(Pengaturan!$B$8:$B$27,U$4)="",0,COUNTIF(Data!$B33:$U33,INDEX(Pengaturan!$B$8:$B$27,U$4)))</f>
        <v>0</v>
      </c>
      <c r="V33" s="26" t="n">
        <f aca="false">COUNTA(Data!$B33:$U33)</f>
        <v>0</v>
      </c>
      <c r="W33" s="27" t="str">
        <f aca="false">IF(V33=0,"",IF(V33&lt;&gt;Hasil!$C$4,"Data kosong/tidak lengkap",IF(SUM(B33:U33)&lt;&gt;V33,"Kategori tidak dikenal","OK")))</f>
        <v/>
      </c>
      <c r="X33" s="26" t="n">
        <f aca="false">IF(OR(W33="",W33="OK"),0,1)</f>
        <v>0</v>
      </c>
    </row>
    <row r="34" customFormat="false" ht="15" hidden="false" customHeight="false" outlineLevel="0" collapsed="false">
      <c r="A34" s="26" t="n">
        <f aca="false">Data!A34</f>
        <v>29</v>
      </c>
      <c r="B34" s="26" t="n">
        <f aca="false">IF(INDEX(Pengaturan!$B$8:$B$27,B$4)="",0,COUNTIF(Data!$B34:$U34,INDEX(Pengaturan!$B$8:$B$27,B$4)))</f>
        <v>0</v>
      </c>
      <c r="C34" s="26" t="n">
        <f aca="false">IF(INDEX(Pengaturan!$B$8:$B$27,C$4)="",0,COUNTIF(Data!$B34:$U34,INDEX(Pengaturan!$B$8:$B$27,C$4)))</f>
        <v>0</v>
      </c>
      <c r="D34" s="26" t="n">
        <f aca="false">IF(INDEX(Pengaturan!$B$8:$B$27,D$4)="",0,COUNTIF(Data!$B34:$U34,INDEX(Pengaturan!$B$8:$B$27,D$4)))</f>
        <v>0</v>
      </c>
      <c r="E34" s="26" t="n">
        <f aca="false">IF(INDEX(Pengaturan!$B$8:$B$27,E$4)="",0,COUNTIF(Data!$B34:$U34,INDEX(Pengaturan!$B$8:$B$27,E$4)))</f>
        <v>0</v>
      </c>
      <c r="F34" s="26" t="n">
        <f aca="false">IF(INDEX(Pengaturan!$B$8:$B$27,F$4)="",0,COUNTIF(Data!$B34:$U34,INDEX(Pengaturan!$B$8:$B$27,F$4)))</f>
        <v>0</v>
      </c>
      <c r="G34" s="26" t="n">
        <f aca="false">IF(INDEX(Pengaturan!$B$8:$B$27,G$4)="",0,COUNTIF(Data!$B34:$U34,INDEX(Pengaturan!$B$8:$B$27,G$4)))</f>
        <v>0</v>
      </c>
      <c r="H34" s="26" t="n">
        <f aca="false">IF(INDEX(Pengaturan!$B$8:$B$27,H$4)="",0,COUNTIF(Data!$B34:$U34,INDEX(Pengaturan!$B$8:$B$27,H$4)))</f>
        <v>0</v>
      </c>
      <c r="I34" s="26" t="n">
        <f aca="false">IF(INDEX(Pengaturan!$B$8:$B$27,I$4)="",0,COUNTIF(Data!$B34:$U34,INDEX(Pengaturan!$B$8:$B$27,I$4)))</f>
        <v>0</v>
      </c>
      <c r="J34" s="26" t="n">
        <f aca="false">IF(INDEX(Pengaturan!$B$8:$B$27,J$4)="",0,COUNTIF(Data!$B34:$U34,INDEX(Pengaturan!$B$8:$B$27,J$4)))</f>
        <v>0</v>
      </c>
      <c r="K34" s="26" t="n">
        <f aca="false">IF(INDEX(Pengaturan!$B$8:$B$27,K$4)="",0,COUNTIF(Data!$B34:$U34,INDEX(Pengaturan!$B$8:$B$27,K$4)))</f>
        <v>0</v>
      </c>
      <c r="L34" s="26" t="n">
        <f aca="false">IF(INDEX(Pengaturan!$B$8:$B$27,L$4)="",0,COUNTIF(Data!$B34:$U34,INDEX(Pengaturan!$B$8:$B$27,L$4)))</f>
        <v>0</v>
      </c>
      <c r="M34" s="26" t="n">
        <f aca="false">IF(INDEX(Pengaturan!$B$8:$B$27,M$4)="",0,COUNTIF(Data!$B34:$U34,INDEX(Pengaturan!$B$8:$B$27,M$4)))</f>
        <v>0</v>
      </c>
      <c r="N34" s="26" t="n">
        <f aca="false">IF(INDEX(Pengaturan!$B$8:$B$27,N$4)="",0,COUNTIF(Data!$B34:$U34,INDEX(Pengaturan!$B$8:$B$27,N$4)))</f>
        <v>0</v>
      </c>
      <c r="O34" s="26" t="n">
        <f aca="false">IF(INDEX(Pengaturan!$B$8:$B$27,O$4)="",0,COUNTIF(Data!$B34:$U34,INDEX(Pengaturan!$B$8:$B$27,O$4)))</f>
        <v>0</v>
      </c>
      <c r="P34" s="26" t="n">
        <f aca="false">IF(INDEX(Pengaturan!$B$8:$B$27,P$4)="",0,COUNTIF(Data!$B34:$U34,INDEX(Pengaturan!$B$8:$B$27,P$4)))</f>
        <v>0</v>
      </c>
      <c r="Q34" s="26" t="n">
        <f aca="false">IF(INDEX(Pengaturan!$B$8:$B$27,Q$4)="",0,COUNTIF(Data!$B34:$U34,INDEX(Pengaturan!$B$8:$B$27,Q$4)))</f>
        <v>0</v>
      </c>
      <c r="R34" s="26" t="n">
        <f aca="false">IF(INDEX(Pengaturan!$B$8:$B$27,R$4)="",0,COUNTIF(Data!$B34:$U34,INDEX(Pengaturan!$B$8:$B$27,R$4)))</f>
        <v>0</v>
      </c>
      <c r="S34" s="26" t="n">
        <f aca="false">IF(INDEX(Pengaturan!$B$8:$B$27,S$4)="",0,COUNTIF(Data!$B34:$U34,INDEX(Pengaturan!$B$8:$B$27,S$4)))</f>
        <v>0</v>
      </c>
      <c r="T34" s="26" t="n">
        <f aca="false">IF(INDEX(Pengaturan!$B$8:$B$27,T$4)="",0,COUNTIF(Data!$B34:$U34,INDEX(Pengaturan!$B$8:$B$27,T$4)))</f>
        <v>0</v>
      </c>
      <c r="U34" s="26" t="n">
        <f aca="false">IF(INDEX(Pengaturan!$B$8:$B$27,U$4)="",0,COUNTIF(Data!$B34:$U34,INDEX(Pengaturan!$B$8:$B$27,U$4)))</f>
        <v>0</v>
      </c>
      <c r="V34" s="26" t="n">
        <f aca="false">COUNTA(Data!$B34:$U34)</f>
        <v>0</v>
      </c>
      <c r="W34" s="27" t="str">
        <f aca="false">IF(V34=0,"",IF(V34&lt;&gt;Hasil!$C$4,"Data kosong/tidak lengkap",IF(SUM(B34:U34)&lt;&gt;V34,"Kategori tidak dikenal","OK")))</f>
        <v/>
      </c>
      <c r="X34" s="26" t="n">
        <f aca="false">IF(OR(W34="",W34="OK"),0,1)</f>
        <v>0</v>
      </c>
    </row>
    <row r="35" customFormat="false" ht="15" hidden="false" customHeight="false" outlineLevel="0" collapsed="false">
      <c r="A35" s="26" t="n">
        <f aca="false">Data!A35</f>
        <v>30</v>
      </c>
      <c r="B35" s="26" t="n">
        <f aca="false">IF(INDEX(Pengaturan!$B$8:$B$27,B$4)="",0,COUNTIF(Data!$B35:$U35,INDEX(Pengaturan!$B$8:$B$27,B$4)))</f>
        <v>0</v>
      </c>
      <c r="C35" s="26" t="n">
        <f aca="false">IF(INDEX(Pengaturan!$B$8:$B$27,C$4)="",0,COUNTIF(Data!$B35:$U35,INDEX(Pengaturan!$B$8:$B$27,C$4)))</f>
        <v>0</v>
      </c>
      <c r="D35" s="26" t="n">
        <f aca="false">IF(INDEX(Pengaturan!$B$8:$B$27,D$4)="",0,COUNTIF(Data!$B35:$U35,INDEX(Pengaturan!$B$8:$B$27,D$4)))</f>
        <v>0</v>
      </c>
      <c r="E35" s="26" t="n">
        <f aca="false">IF(INDEX(Pengaturan!$B$8:$B$27,E$4)="",0,COUNTIF(Data!$B35:$U35,INDEX(Pengaturan!$B$8:$B$27,E$4)))</f>
        <v>0</v>
      </c>
      <c r="F35" s="26" t="n">
        <f aca="false">IF(INDEX(Pengaturan!$B$8:$B$27,F$4)="",0,COUNTIF(Data!$B35:$U35,INDEX(Pengaturan!$B$8:$B$27,F$4)))</f>
        <v>0</v>
      </c>
      <c r="G35" s="26" t="n">
        <f aca="false">IF(INDEX(Pengaturan!$B$8:$B$27,G$4)="",0,COUNTIF(Data!$B35:$U35,INDEX(Pengaturan!$B$8:$B$27,G$4)))</f>
        <v>0</v>
      </c>
      <c r="H35" s="26" t="n">
        <f aca="false">IF(INDEX(Pengaturan!$B$8:$B$27,H$4)="",0,COUNTIF(Data!$B35:$U35,INDEX(Pengaturan!$B$8:$B$27,H$4)))</f>
        <v>0</v>
      </c>
      <c r="I35" s="26" t="n">
        <f aca="false">IF(INDEX(Pengaturan!$B$8:$B$27,I$4)="",0,COUNTIF(Data!$B35:$U35,INDEX(Pengaturan!$B$8:$B$27,I$4)))</f>
        <v>0</v>
      </c>
      <c r="J35" s="26" t="n">
        <f aca="false">IF(INDEX(Pengaturan!$B$8:$B$27,J$4)="",0,COUNTIF(Data!$B35:$U35,INDEX(Pengaturan!$B$8:$B$27,J$4)))</f>
        <v>0</v>
      </c>
      <c r="K35" s="26" t="n">
        <f aca="false">IF(INDEX(Pengaturan!$B$8:$B$27,K$4)="",0,COUNTIF(Data!$B35:$U35,INDEX(Pengaturan!$B$8:$B$27,K$4)))</f>
        <v>0</v>
      </c>
      <c r="L35" s="26" t="n">
        <f aca="false">IF(INDEX(Pengaturan!$B$8:$B$27,L$4)="",0,COUNTIF(Data!$B35:$U35,INDEX(Pengaturan!$B$8:$B$27,L$4)))</f>
        <v>0</v>
      </c>
      <c r="M35" s="26" t="n">
        <f aca="false">IF(INDEX(Pengaturan!$B$8:$B$27,M$4)="",0,COUNTIF(Data!$B35:$U35,INDEX(Pengaturan!$B$8:$B$27,M$4)))</f>
        <v>0</v>
      </c>
      <c r="N35" s="26" t="n">
        <f aca="false">IF(INDEX(Pengaturan!$B$8:$B$27,N$4)="",0,COUNTIF(Data!$B35:$U35,INDEX(Pengaturan!$B$8:$B$27,N$4)))</f>
        <v>0</v>
      </c>
      <c r="O35" s="26" t="n">
        <f aca="false">IF(INDEX(Pengaturan!$B$8:$B$27,O$4)="",0,COUNTIF(Data!$B35:$U35,INDEX(Pengaturan!$B$8:$B$27,O$4)))</f>
        <v>0</v>
      </c>
      <c r="P35" s="26" t="n">
        <f aca="false">IF(INDEX(Pengaturan!$B$8:$B$27,P$4)="",0,COUNTIF(Data!$B35:$U35,INDEX(Pengaturan!$B$8:$B$27,P$4)))</f>
        <v>0</v>
      </c>
      <c r="Q35" s="26" t="n">
        <f aca="false">IF(INDEX(Pengaturan!$B$8:$B$27,Q$4)="",0,COUNTIF(Data!$B35:$U35,INDEX(Pengaturan!$B$8:$B$27,Q$4)))</f>
        <v>0</v>
      </c>
      <c r="R35" s="26" t="n">
        <f aca="false">IF(INDEX(Pengaturan!$B$8:$B$27,R$4)="",0,COUNTIF(Data!$B35:$U35,INDEX(Pengaturan!$B$8:$B$27,R$4)))</f>
        <v>0</v>
      </c>
      <c r="S35" s="26" t="n">
        <f aca="false">IF(INDEX(Pengaturan!$B$8:$B$27,S$4)="",0,COUNTIF(Data!$B35:$U35,INDEX(Pengaturan!$B$8:$B$27,S$4)))</f>
        <v>0</v>
      </c>
      <c r="T35" s="26" t="n">
        <f aca="false">IF(INDEX(Pengaturan!$B$8:$B$27,T$4)="",0,COUNTIF(Data!$B35:$U35,INDEX(Pengaturan!$B$8:$B$27,T$4)))</f>
        <v>0</v>
      </c>
      <c r="U35" s="26" t="n">
        <f aca="false">IF(INDEX(Pengaturan!$B$8:$B$27,U$4)="",0,COUNTIF(Data!$B35:$U35,INDEX(Pengaturan!$B$8:$B$27,U$4)))</f>
        <v>0</v>
      </c>
      <c r="V35" s="26" t="n">
        <f aca="false">COUNTA(Data!$B35:$U35)</f>
        <v>0</v>
      </c>
      <c r="W35" s="27" t="str">
        <f aca="false">IF(V35=0,"",IF(V35&lt;&gt;Hasil!$C$4,"Data kosong/tidak lengkap",IF(SUM(B35:U35)&lt;&gt;V35,"Kategori tidak dikenal","OK")))</f>
        <v/>
      </c>
      <c r="X35" s="26" t="n">
        <f aca="false">IF(OR(W35="",W35="OK"),0,1)</f>
        <v>0</v>
      </c>
    </row>
    <row r="36" customFormat="false" ht="15" hidden="false" customHeight="false" outlineLevel="0" collapsed="false">
      <c r="A36" s="26" t="n">
        <f aca="false">Data!A36</f>
        <v>31</v>
      </c>
      <c r="B36" s="26" t="n">
        <f aca="false">IF(INDEX(Pengaturan!$B$8:$B$27,B$4)="",0,COUNTIF(Data!$B36:$U36,INDEX(Pengaturan!$B$8:$B$27,B$4)))</f>
        <v>0</v>
      </c>
      <c r="C36" s="26" t="n">
        <f aca="false">IF(INDEX(Pengaturan!$B$8:$B$27,C$4)="",0,COUNTIF(Data!$B36:$U36,INDEX(Pengaturan!$B$8:$B$27,C$4)))</f>
        <v>0</v>
      </c>
      <c r="D36" s="26" t="n">
        <f aca="false">IF(INDEX(Pengaturan!$B$8:$B$27,D$4)="",0,COUNTIF(Data!$B36:$U36,INDEX(Pengaturan!$B$8:$B$27,D$4)))</f>
        <v>0</v>
      </c>
      <c r="E36" s="26" t="n">
        <f aca="false">IF(INDEX(Pengaturan!$B$8:$B$27,E$4)="",0,COUNTIF(Data!$B36:$U36,INDEX(Pengaturan!$B$8:$B$27,E$4)))</f>
        <v>0</v>
      </c>
      <c r="F36" s="26" t="n">
        <f aca="false">IF(INDEX(Pengaturan!$B$8:$B$27,F$4)="",0,COUNTIF(Data!$B36:$U36,INDEX(Pengaturan!$B$8:$B$27,F$4)))</f>
        <v>0</v>
      </c>
      <c r="G36" s="26" t="n">
        <f aca="false">IF(INDEX(Pengaturan!$B$8:$B$27,G$4)="",0,COUNTIF(Data!$B36:$U36,INDEX(Pengaturan!$B$8:$B$27,G$4)))</f>
        <v>0</v>
      </c>
      <c r="H36" s="26" t="n">
        <f aca="false">IF(INDEX(Pengaturan!$B$8:$B$27,H$4)="",0,COUNTIF(Data!$B36:$U36,INDEX(Pengaturan!$B$8:$B$27,H$4)))</f>
        <v>0</v>
      </c>
      <c r="I36" s="26" t="n">
        <f aca="false">IF(INDEX(Pengaturan!$B$8:$B$27,I$4)="",0,COUNTIF(Data!$B36:$U36,INDEX(Pengaturan!$B$8:$B$27,I$4)))</f>
        <v>0</v>
      </c>
      <c r="J36" s="26" t="n">
        <f aca="false">IF(INDEX(Pengaturan!$B$8:$B$27,J$4)="",0,COUNTIF(Data!$B36:$U36,INDEX(Pengaturan!$B$8:$B$27,J$4)))</f>
        <v>0</v>
      </c>
      <c r="K36" s="26" t="n">
        <f aca="false">IF(INDEX(Pengaturan!$B$8:$B$27,K$4)="",0,COUNTIF(Data!$B36:$U36,INDEX(Pengaturan!$B$8:$B$27,K$4)))</f>
        <v>0</v>
      </c>
      <c r="L36" s="26" t="n">
        <f aca="false">IF(INDEX(Pengaturan!$B$8:$B$27,L$4)="",0,COUNTIF(Data!$B36:$U36,INDEX(Pengaturan!$B$8:$B$27,L$4)))</f>
        <v>0</v>
      </c>
      <c r="M36" s="26" t="n">
        <f aca="false">IF(INDEX(Pengaturan!$B$8:$B$27,M$4)="",0,COUNTIF(Data!$B36:$U36,INDEX(Pengaturan!$B$8:$B$27,M$4)))</f>
        <v>0</v>
      </c>
      <c r="N36" s="26" t="n">
        <f aca="false">IF(INDEX(Pengaturan!$B$8:$B$27,N$4)="",0,COUNTIF(Data!$B36:$U36,INDEX(Pengaturan!$B$8:$B$27,N$4)))</f>
        <v>0</v>
      </c>
      <c r="O36" s="26" t="n">
        <f aca="false">IF(INDEX(Pengaturan!$B$8:$B$27,O$4)="",0,COUNTIF(Data!$B36:$U36,INDEX(Pengaturan!$B$8:$B$27,O$4)))</f>
        <v>0</v>
      </c>
      <c r="P36" s="26" t="n">
        <f aca="false">IF(INDEX(Pengaturan!$B$8:$B$27,P$4)="",0,COUNTIF(Data!$B36:$U36,INDEX(Pengaturan!$B$8:$B$27,P$4)))</f>
        <v>0</v>
      </c>
      <c r="Q36" s="26" t="n">
        <f aca="false">IF(INDEX(Pengaturan!$B$8:$B$27,Q$4)="",0,COUNTIF(Data!$B36:$U36,INDEX(Pengaturan!$B$8:$B$27,Q$4)))</f>
        <v>0</v>
      </c>
      <c r="R36" s="26" t="n">
        <f aca="false">IF(INDEX(Pengaturan!$B$8:$B$27,R$4)="",0,COUNTIF(Data!$B36:$U36,INDEX(Pengaturan!$B$8:$B$27,R$4)))</f>
        <v>0</v>
      </c>
      <c r="S36" s="26" t="n">
        <f aca="false">IF(INDEX(Pengaturan!$B$8:$B$27,S$4)="",0,COUNTIF(Data!$B36:$U36,INDEX(Pengaturan!$B$8:$B$27,S$4)))</f>
        <v>0</v>
      </c>
      <c r="T36" s="26" t="n">
        <f aca="false">IF(INDEX(Pengaturan!$B$8:$B$27,T$4)="",0,COUNTIF(Data!$B36:$U36,INDEX(Pengaturan!$B$8:$B$27,T$4)))</f>
        <v>0</v>
      </c>
      <c r="U36" s="26" t="n">
        <f aca="false">IF(INDEX(Pengaturan!$B$8:$B$27,U$4)="",0,COUNTIF(Data!$B36:$U36,INDEX(Pengaturan!$B$8:$B$27,U$4)))</f>
        <v>0</v>
      </c>
      <c r="V36" s="26" t="n">
        <f aca="false">COUNTA(Data!$B36:$U36)</f>
        <v>0</v>
      </c>
      <c r="W36" s="27" t="str">
        <f aca="false">IF(V36=0,"",IF(V36&lt;&gt;Hasil!$C$4,"Data kosong/tidak lengkap",IF(SUM(B36:U36)&lt;&gt;V36,"Kategori tidak dikenal","OK")))</f>
        <v/>
      </c>
      <c r="X36" s="26" t="n">
        <f aca="false">IF(OR(W36="",W36="OK"),0,1)</f>
        <v>0</v>
      </c>
    </row>
    <row r="37" customFormat="false" ht="15" hidden="false" customHeight="false" outlineLevel="0" collapsed="false">
      <c r="A37" s="26" t="n">
        <f aca="false">Data!A37</f>
        <v>32</v>
      </c>
      <c r="B37" s="26" t="n">
        <f aca="false">IF(INDEX(Pengaturan!$B$8:$B$27,B$4)="",0,COUNTIF(Data!$B37:$U37,INDEX(Pengaturan!$B$8:$B$27,B$4)))</f>
        <v>0</v>
      </c>
      <c r="C37" s="26" t="n">
        <f aca="false">IF(INDEX(Pengaturan!$B$8:$B$27,C$4)="",0,COUNTIF(Data!$B37:$U37,INDEX(Pengaturan!$B$8:$B$27,C$4)))</f>
        <v>0</v>
      </c>
      <c r="D37" s="26" t="n">
        <f aca="false">IF(INDEX(Pengaturan!$B$8:$B$27,D$4)="",0,COUNTIF(Data!$B37:$U37,INDEX(Pengaturan!$B$8:$B$27,D$4)))</f>
        <v>0</v>
      </c>
      <c r="E37" s="26" t="n">
        <f aca="false">IF(INDEX(Pengaturan!$B$8:$B$27,E$4)="",0,COUNTIF(Data!$B37:$U37,INDEX(Pengaturan!$B$8:$B$27,E$4)))</f>
        <v>0</v>
      </c>
      <c r="F37" s="26" t="n">
        <f aca="false">IF(INDEX(Pengaturan!$B$8:$B$27,F$4)="",0,COUNTIF(Data!$B37:$U37,INDEX(Pengaturan!$B$8:$B$27,F$4)))</f>
        <v>0</v>
      </c>
      <c r="G37" s="26" t="n">
        <f aca="false">IF(INDEX(Pengaturan!$B$8:$B$27,G$4)="",0,COUNTIF(Data!$B37:$U37,INDEX(Pengaturan!$B$8:$B$27,G$4)))</f>
        <v>0</v>
      </c>
      <c r="H37" s="26" t="n">
        <f aca="false">IF(INDEX(Pengaturan!$B$8:$B$27,H$4)="",0,COUNTIF(Data!$B37:$U37,INDEX(Pengaturan!$B$8:$B$27,H$4)))</f>
        <v>0</v>
      </c>
      <c r="I37" s="26" t="n">
        <f aca="false">IF(INDEX(Pengaturan!$B$8:$B$27,I$4)="",0,COUNTIF(Data!$B37:$U37,INDEX(Pengaturan!$B$8:$B$27,I$4)))</f>
        <v>0</v>
      </c>
      <c r="J37" s="26" t="n">
        <f aca="false">IF(INDEX(Pengaturan!$B$8:$B$27,J$4)="",0,COUNTIF(Data!$B37:$U37,INDEX(Pengaturan!$B$8:$B$27,J$4)))</f>
        <v>0</v>
      </c>
      <c r="K37" s="26" t="n">
        <f aca="false">IF(INDEX(Pengaturan!$B$8:$B$27,K$4)="",0,COUNTIF(Data!$B37:$U37,INDEX(Pengaturan!$B$8:$B$27,K$4)))</f>
        <v>0</v>
      </c>
      <c r="L37" s="26" t="n">
        <f aca="false">IF(INDEX(Pengaturan!$B$8:$B$27,L$4)="",0,COUNTIF(Data!$B37:$U37,INDEX(Pengaturan!$B$8:$B$27,L$4)))</f>
        <v>0</v>
      </c>
      <c r="M37" s="26" t="n">
        <f aca="false">IF(INDEX(Pengaturan!$B$8:$B$27,M$4)="",0,COUNTIF(Data!$B37:$U37,INDEX(Pengaturan!$B$8:$B$27,M$4)))</f>
        <v>0</v>
      </c>
      <c r="N37" s="26" t="n">
        <f aca="false">IF(INDEX(Pengaturan!$B$8:$B$27,N$4)="",0,COUNTIF(Data!$B37:$U37,INDEX(Pengaturan!$B$8:$B$27,N$4)))</f>
        <v>0</v>
      </c>
      <c r="O37" s="26" t="n">
        <f aca="false">IF(INDEX(Pengaturan!$B$8:$B$27,O$4)="",0,COUNTIF(Data!$B37:$U37,INDEX(Pengaturan!$B$8:$B$27,O$4)))</f>
        <v>0</v>
      </c>
      <c r="P37" s="26" t="n">
        <f aca="false">IF(INDEX(Pengaturan!$B$8:$B$27,P$4)="",0,COUNTIF(Data!$B37:$U37,INDEX(Pengaturan!$B$8:$B$27,P$4)))</f>
        <v>0</v>
      </c>
      <c r="Q37" s="26" t="n">
        <f aca="false">IF(INDEX(Pengaturan!$B$8:$B$27,Q$4)="",0,COUNTIF(Data!$B37:$U37,INDEX(Pengaturan!$B$8:$B$27,Q$4)))</f>
        <v>0</v>
      </c>
      <c r="R37" s="26" t="n">
        <f aca="false">IF(INDEX(Pengaturan!$B$8:$B$27,R$4)="",0,COUNTIF(Data!$B37:$U37,INDEX(Pengaturan!$B$8:$B$27,R$4)))</f>
        <v>0</v>
      </c>
      <c r="S37" s="26" t="n">
        <f aca="false">IF(INDEX(Pengaturan!$B$8:$B$27,S$4)="",0,COUNTIF(Data!$B37:$U37,INDEX(Pengaturan!$B$8:$B$27,S$4)))</f>
        <v>0</v>
      </c>
      <c r="T37" s="26" t="n">
        <f aca="false">IF(INDEX(Pengaturan!$B$8:$B$27,T$4)="",0,COUNTIF(Data!$B37:$U37,INDEX(Pengaturan!$B$8:$B$27,T$4)))</f>
        <v>0</v>
      </c>
      <c r="U37" s="26" t="n">
        <f aca="false">IF(INDEX(Pengaturan!$B$8:$B$27,U$4)="",0,COUNTIF(Data!$B37:$U37,INDEX(Pengaturan!$B$8:$B$27,U$4)))</f>
        <v>0</v>
      </c>
      <c r="V37" s="26" t="n">
        <f aca="false">COUNTA(Data!$B37:$U37)</f>
        <v>0</v>
      </c>
      <c r="W37" s="27" t="str">
        <f aca="false">IF(V37=0,"",IF(V37&lt;&gt;Hasil!$C$4,"Data kosong/tidak lengkap",IF(SUM(B37:U37)&lt;&gt;V37,"Kategori tidak dikenal","OK")))</f>
        <v/>
      </c>
      <c r="X37" s="26" t="n">
        <f aca="false">IF(OR(W37="",W37="OK"),0,1)</f>
        <v>0</v>
      </c>
    </row>
    <row r="38" customFormat="false" ht="15" hidden="false" customHeight="false" outlineLevel="0" collapsed="false">
      <c r="A38" s="26" t="n">
        <f aca="false">Data!A38</f>
        <v>33</v>
      </c>
      <c r="B38" s="26" t="n">
        <f aca="false">IF(INDEX(Pengaturan!$B$8:$B$27,B$4)="",0,COUNTIF(Data!$B38:$U38,INDEX(Pengaturan!$B$8:$B$27,B$4)))</f>
        <v>0</v>
      </c>
      <c r="C38" s="26" t="n">
        <f aca="false">IF(INDEX(Pengaturan!$B$8:$B$27,C$4)="",0,COUNTIF(Data!$B38:$U38,INDEX(Pengaturan!$B$8:$B$27,C$4)))</f>
        <v>0</v>
      </c>
      <c r="D38" s="26" t="n">
        <f aca="false">IF(INDEX(Pengaturan!$B$8:$B$27,D$4)="",0,COUNTIF(Data!$B38:$U38,INDEX(Pengaturan!$B$8:$B$27,D$4)))</f>
        <v>0</v>
      </c>
      <c r="E38" s="26" t="n">
        <f aca="false">IF(INDEX(Pengaturan!$B$8:$B$27,E$4)="",0,COUNTIF(Data!$B38:$U38,INDEX(Pengaturan!$B$8:$B$27,E$4)))</f>
        <v>0</v>
      </c>
      <c r="F38" s="26" t="n">
        <f aca="false">IF(INDEX(Pengaturan!$B$8:$B$27,F$4)="",0,COUNTIF(Data!$B38:$U38,INDEX(Pengaturan!$B$8:$B$27,F$4)))</f>
        <v>0</v>
      </c>
      <c r="G38" s="26" t="n">
        <f aca="false">IF(INDEX(Pengaturan!$B$8:$B$27,G$4)="",0,COUNTIF(Data!$B38:$U38,INDEX(Pengaturan!$B$8:$B$27,G$4)))</f>
        <v>0</v>
      </c>
      <c r="H38" s="26" t="n">
        <f aca="false">IF(INDEX(Pengaturan!$B$8:$B$27,H$4)="",0,COUNTIF(Data!$B38:$U38,INDEX(Pengaturan!$B$8:$B$27,H$4)))</f>
        <v>0</v>
      </c>
      <c r="I38" s="26" t="n">
        <f aca="false">IF(INDEX(Pengaturan!$B$8:$B$27,I$4)="",0,COUNTIF(Data!$B38:$U38,INDEX(Pengaturan!$B$8:$B$27,I$4)))</f>
        <v>0</v>
      </c>
      <c r="J38" s="26" t="n">
        <f aca="false">IF(INDEX(Pengaturan!$B$8:$B$27,J$4)="",0,COUNTIF(Data!$B38:$U38,INDEX(Pengaturan!$B$8:$B$27,J$4)))</f>
        <v>0</v>
      </c>
      <c r="K38" s="26" t="n">
        <f aca="false">IF(INDEX(Pengaturan!$B$8:$B$27,K$4)="",0,COUNTIF(Data!$B38:$U38,INDEX(Pengaturan!$B$8:$B$27,K$4)))</f>
        <v>0</v>
      </c>
      <c r="L38" s="26" t="n">
        <f aca="false">IF(INDEX(Pengaturan!$B$8:$B$27,L$4)="",0,COUNTIF(Data!$B38:$U38,INDEX(Pengaturan!$B$8:$B$27,L$4)))</f>
        <v>0</v>
      </c>
      <c r="M38" s="26" t="n">
        <f aca="false">IF(INDEX(Pengaturan!$B$8:$B$27,M$4)="",0,COUNTIF(Data!$B38:$U38,INDEX(Pengaturan!$B$8:$B$27,M$4)))</f>
        <v>0</v>
      </c>
      <c r="N38" s="26" t="n">
        <f aca="false">IF(INDEX(Pengaturan!$B$8:$B$27,N$4)="",0,COUNTIF(Data!$B38:$U38,INDEX(Pengaturan!$B$8:$B$27,N$4)))</f>
        <v>0</v>
      </c>
      <c r="O38" s="26" t="n">
        <f aca="false">IF(INDEX(Pengaturan!$B$8:$B$27,O$4)="",0,COUNTIF(Data!$B38:$U38,INDEX(Pengaturan!$B$8:$B$27,O$4)))</f>
        <v>0</v>
      </c>
      <c r="P38" s="26" t="n">
        <f aca="false">IF(INDEX(Pengaturan!$B$8:$B$27,P$4)="",0,COUNTIF(Data!$B38:$U38,INDEX(Pengaturan!$B$8:$B$27,P$4)))</f>
        <v>0</v>
      </c>
      <c r="Q38" s="26" t="n">
        <f aca="false">IF(INDEX(Pengaturan!$B$8:$B$27,Q$4)="",0,COUNTIF(Data!$B38:$U38,INDEX(Pengaturan!$B$8:$B$27,Q$4)))</f>
        <v>0</v>
      </c>
      <c r="R38" s="26" t="n">
        <f aca="false">IF(INDEX(Pengaturan!$B$8:$B$27,R$4)="",0,COUNTIF(Data!$B38:$U38,INDEX(Pengaturan!$B$8:$B$27,R$4)))</f>
        <v>0</v>
      </c>
      <c r="S38" s="26" t="n">
        <f aca="false">IF(INDEX(Pengaturan!$B$8:$B$27,S$4)="",0,COUNTIF(Data!$B38:$U38,INDEX(Pengaturan!$B$8:$B$27,S$4)))</f>
        <v>0</v>
      </c>
      <c r="T38" s="26" t="n">
        <f aca="false">IF(INDEX(Pengaturan!$B$8:$B$27,T$4)="",0,COUNTIF(Data!$B38:$U38,INDEX(Pengaturan!$B$8:$B$27,T$4)))</f>
        <v>0</v>
      </c>
      <c r="U38" s="26" t="n">
        <f aca="false">IF(INDEX(Pengaturan!$B$8:$B$27,U$4)="",0,COUNTIF(Data!$B38:$U38,INDEX(Pengaturan!$B$8:$B$27,U$4)))</f>
        <v>0</v>
      </c>
      <c r="V38" s="26" t="n">
        <f aca="false">COUNTA(Data!$B38:$U38)</f>
        <v>0</v>
      </c>
      <c r="W38" s="27" t="str">
        <f aca="false">IF(V38=0,"",IF(V38&lt;&gt;Hasil!$C$4,"Data kosong/tidak lengkap",IF(SUM(B38:U38)&lt;&gt;V38,"Kategori tidak dikenal","OK")))</f>
        <v/>
      </c>
      <c r="X38" s="26" t="n">
        <f aca="false">IF(OR(W38="",W38="OK"),0,1)</f>
        <v>0</v>
      </c>
    </row>
    <row r="39" customFormat="false" ht="15" hidden="false" customHeight="false" outlineLevel="0" collapsed="false">
      <c r="A39" s="26" t="n">
        <f aca="false">Data!A39</f>
        <v>34</v>
      </c>
      <c r="B39" s="26" t="n">
        <f aca="false">IF(INDEX(Pengaturan!$B$8:$B$27,B$4)="",0,COUNTIF(Data!$B39:$U39,INDEX(Pengaturan!$B$8:$B$27,B$4)))</f>
        <v>0</v>
      </c>
      <c r="C39" s="26" t="n">
        <f aca="false">IF(INDEX(Pengaturan!$B$8:$B$27,C$4)="",0,COUNTIF(Data!$B39:$U39,INDEX(Pengaturan!$B$8:$B$27,C$4)))</f>
        <v>0</v>
      </c>
      <c r="D39" s="26" t="n">
        <f aca="false">IF(INDEX(Pengaturan!$B$8:$B$27,D$4)="",0,COUNTIF(Data!$B39:$U39,INDEX(Pengaturan!$B$8:$B$27,D$4)))</f>
        <v>0</v>
      </c>
      <c r="E39" s="26" t="n">
        <f aca="false">IF(INDEX(Pengaturan!$B$8:$B$27,E$4)="",0,COUNTIF(Data!$B39:$U39,INDEX(Pengaturan!$B$8:$B$27,E$4)))</f>
        <v>0</v>
      </c>
      <c r="F39" s="26" t="n">
        <f aca="false">IF(INDEX(Pengaturan!$B$8:$B$27,F$4)="",0,COUNTIF(Data!$B39:$U39,INDEX(Pengaturan!$B$8:$B$27,F$4)))</f>
        <v>0</v>
      </c>
      <c r="G39" s="26" t="n">
        <f aca="false">IF(INDEX(Pengaturan!$B$8:$B$27,G$4)="",0,COUNTIF(Data!$B39:$U39,INDEX(Pengaturan!$B$8:$B$27,G$4)))</f>
        <v>0</v>
      </c>
      <c r="H39" s="26" t="n">
        <f aca="false">IF(INDEX(Pengaturan!$B$8:$B$27,H$4)="",0,COUNTIF(Data!$B39:$U39,INDEX(Pengaturan!$B$8:$B$27,H$4)))</f>
        <v>0</v>
      </c>
      <c r="I39" s="26" t="n">
        <f aca="false">IF(INDEX(Pengaturan!$B$8:$B$27,I$4)="",0,COUNTIF(Data!$B39:$U39,INDEX(Pengaturan!$B$8:$B$27,I$4)))</f>
        <v>0</v>
      </c>
      <c r="J39" s="26" t="n">
        <f aca="false">IF(INDEX(Pengaturan!$B$8:$B$27,J$4)="",0,COUNTIF(Data!$B39:$U39,INDEX(Pengaturan!$B$8:$B$27,J$4)))</f>
        <v>0</v>
      </c>
      <c r="K39" s="26" t="n">
        <f aca="false">IF(INDEX(Pengaturan!$B$8:$B$27,K$4)="",0,COUNTIF(Data!$B39:$U39,INDEX(Pengaturan!$B$8:$B$27,K$4)))</f>
        <v>0</v>
      </c>
      <c r="L39" s="26" t="n">
        <f aca="false">IF(INDEX(Pengaturan!$B$8:$B$27,L$4)="",0,COUNTIF(Data!$B39:$U39,INDEX(Pengaturan!$B$8:$B$27,L$4)))</f>
        <v>0</v>
      </c>
      <c r="M39" s="26" t="n">
        <f aca="false">IF(INDEX(Pengaturan!$B$8:$B$27,M$4)="",0,COUNTIF(Data!$B39:$U39,INDEX(Pengaturan!$B$8:$B$27,M$4)))</f>
        <v>0</v>
      </c>
      <c r="N39" s="26" t="n">
        <f aca="false">IF(INDEX(Pengaturan!$B$8:$B$27,N$4)="",0,COUNTIF(Data!$B39:$U39,INDEX(Pengaturan!$B$8:$B$27,N$4)))</f>
        <v>0</v>
      </c>
      <c r="O39" s="26" t="n">
        <f aca="false">IF(INDEX(Pengaturan!$B$8:$B$27,O$4)="",0,COUNTIF(Data!$B39:$U39,INDEX(Pengaturan!$B$8:$B$27,O$4)))</f>
        <v>0</v>
      </c>
      <c r="P39" s="26" t="n">
        <f aca="false">IF(INDEX(Pengaturan!$B$8:$B$27,P$4)="",0,COUNTIF(Data!$B39:$U39,INDEX(Pengaturan!$B$8:$B$27,P$4)))</f>
        <v>0</v>
      </c>
      <c r="Q39" s="26" t="n">
        <f aca="false">IF(INDEX(Pengaturan!$B$8:$B$27,Q$4)="",0,COUNTIF(Data!$B39:$U39,INDEX(Pengaturan!$B$8:$B$27,Q$4)))</f>
        <v>0</v>
      </c>
      <c r="R39" s="26" t="n">
        <f aca="false">IF(INDEX(Pengaturan!$B$8:$B$27,R$4)="",0,COUNTIF(Data!$B39:$U39,INDEX(Pengaturan!$B$8:$B$27,R$4)))</f>
        <v>0</v>
      </c>
      <c r="S39" s="26" t="n">
        <f aca="false">IF(INDEX(Pengaturan!$B$8:$B$27,S$4)="",0,COUNTIF(Data!$B39:$U39,INDEX(Pengaturan!$B$8:$B$27,S$4)))</f>
        <v>0</v>
      </c>
      <c r="T39" s="26" t="n">
        <f aca="false">IF(INDEX(Pengaturan!$B$8:$B$27,T$4)="",0,COUNTIF(Data!$B39:$U39,INDEX(Pengaturan!$B$8:$B$27,T$4)))</f>
        <v>0</v>
      </c>
      <c r="U39" s="26" t="n">
        <f aca="false">IF(INDEX(Pengaturan!$B$8:$B$27,U$4)="",0,COUNTIF(Data!$B39:$U39,INDEX(Pengaturan!$B$8:$B$27,U$4)))</f>
        <v>0</v>
      </c>
      <c r="V39" s="26" t="n">
        <f aca="false">COUNTA(Data!$B39:$U39)</f>
        <v>0</v>
      </c>
      <c r="W39" s="27" t="str">
        <f aca="false">IF(V39=0,"",IF(V39&lt;&gt;Hasil!$C$4,"Data kosong/tidak lengkap",IF(SUM(B39:U39)&lt;&gt;V39,"Kategori tidak dikenal","OK")))</f>
        <v/>
      </c>
      <c r="X39" s="26" t="n">
        <f aca="false">IF(OR(W39="",W39="OK"),0,1)</f>
        <v>0</v>
      </c>
    </row>
    <row r="40" customFormat="false" ht="15" hidden="false" customHeight="false" outlineLevel="0" collapsed="false">
      <c r="A40" s="26" t="n">
        <f aca="false">Data!A40</f>
        <v>35</v>
      </c>
      <c r="B40" s="26" t="n">
        <f aca="false">IF(INDEX(Pengaturan!$B$8:$B$27,B$4)="",0,COUNTIF(Data!$B40:$U40,INDEX(Pengaturan!$B$8:$B$27,B$4)))</f>
        <v>0</v>
      </c>
      <c r="C40" s="26" t="n">
        <f aca="false">IF(INDEX(Pengaturan!$B$8:$B$27,C$4)="",0,COUNTIF(Data!$B40:$U40,INDEX(Pengaturan!$B$8:$B$27,C$4)))</f>
        <v>0</v>
      </c>
      <c r="D40" s="26" t="n">
        <f aca="false">IF(INDEX(Pengaturan!$B$8:$B$27,D$4)="",0,COUNTIF(Data!$B40:$U40,INDEX(Pengaturan!$B$8:$B$27,D$4)))</f>
        <v>0</v>
      </c>
      <c r="E40" s="26" t="n">
        <f aca="false">IF(INDEX(Pengaturan!$B$8:$B$27,E$4)="",0,COUNTIF(Data!$B40:$U40,INDEX(Pengaturan!$B$8:$B$27,E$4)))</f>
        <v>0</v>
      </c>
      <c r="F40" s="26" t="n">
        <f aca="false">IF(INDEX(Pengaturan!$B$8:$B$27,F$4)="",0,COUNTIF(Data!$B40:$U40,INDEX(Pengaturan!$B$8:$B$27,F$4)))</f>
        <v>0</v>
      </c>
      <c r="G40" s="26" t="n">
        <f aca="false">IF(INDEX(Pengaturan!$B$8:$B$27,G$4)="",0,COUNTIF(Data!$B40:$U40,INDEX(Pengaturan!$B$8:$B$27,G$4)))</f>
        <v>0</v>
      </c>
      <c r="H40" s="26" t="n">
        <f aca="false">IF(INDEX(Pengaturan!$B$8:$B$27,H$4)="",0,COUNTIF(Data!$B40:$U40,INDEX(Pengaturan!$B$8:$B$27,H$4)))</f>
        <v>0</v>
      </c>
      <c r="I40" s="26" t="n">
        <f aca="false">IF(INDEX(Pengaturan!$B$8:$B$27,I$4)="",0,COUNTIF(Data!$B40:$U40,INDEX(Pengaturan!$B$8:$B$27,I$4)))</f>
        <v>0</v>
      </c>
      <c r="J40" s="26" t="n">
        <f aca="false">IF(INDEX(Pengaturan!$B$8:$B$27,J$4)="",0,COUNTIF(Data!$B40:$U40,INDEX(Pengaturan!$B$8:$B$27,J$4)))</f>
        <v>0</v>
      </c>
      <c r="K40" s="26" t="n">
        <f aca="false">IF(INDEX(Pengaturan!$B$8:$B$27,K$4)="",0,COUNTIF(Data!$B40:$U40,INDEX(Pengaturan!$B$8:$B$27,K$4)))</f>
        <v>0</v>
      </c>
      <c r="L40" s="26" t="n">
        <f aca="false">IF(INDEX(Pengaturan!$B$8:$B$27,L$4)="",0,COUNTIF(Data!$B40:$U40,INDEX(Pengaturan!$B$8:$B$27,L$4)))</f>
        <v>0</v>
      </c>
      <c r="M40" s="26" t="n">
        <f aca="false">IF(INDEX(Pengaturan!$B$8:$B$27,M$4)="",0,COUNTIF(Data!$B40:$U40,INDEX(Pengaturan!$B$8:$B$27,M$4)))</f>
        <v>0</v>
      </c>
      <c r="N40" s="26" t="n">
        <f aca="false">IF(INDEX(Pengaturan!$B$8:$B$27,N$4)="",0,COUNTIF(Data!$B40:$U40,INDEX(Pengaturan!$B$8:$B$27,N$4)))</f>
        <v>0</v>
      </c>
      <c r="O40" s="26" t="n">
        <f aca="false">IF(INDEX(Pengaturan!$B$8:$B$27,O$4)="",0,COUNTIF(Data!$B40:$U40,INDEX(Pengaturan!$B$8:$B$27,O$4)))</f>
        <v>0</v>
      </c>
      <c r="P40" s="26" t="n">
        <f aca="false">IF(INDEX(Pengaturan!$B$8:$B$27,P$4)="",0,COUNTIF(Data!$B40:$U40,INDEX(Pengaturan!$B$8:$B$27,P$4)))</f>
        <v>0</v>
      </c>
      <c r="Q40" s="26" t="n">
        <f aca="false">IF(INDEX(Pengaturan!$B$8:$B$27,Q$4)="",0,COUNTIF(Data!$B40:$U40,INDEX(Pengaturan!$B$8:$B$27,Q$4)))</f>
        <v>0</v>
      </c>
      <c r="R40" s="26" t="n">
        <f aca="false">IF(INDEX(Pengaturan!$B$8:$B$27,R$4)="",0,COUNTIF(Data!$B40:$U40,INDEX(Pengaturan!$B$8:$B$27,R$4)))</f>
        <v>0</v>
      </c>
      <c r="S40" s="26" t="n">
        <f aca="false">IF(INDEX(Pengaturan!$B$8:$B$27,S$4)="",0,COUNTIF(Data!$B40:$U40,INDEX(Pengaturan!$B$8:$B$27,S$4)))</f>
        <v>0</v>
      </c>
      <c r="T40" s="26" t="n">
        <f aca="false">IF(INDEX(Pengaturan!$B$8:$B$27,T$4)="",0,COUNTIF(Data!$B40:$U40,INDEX(Pengaturan!$B$8:$B$27,T$4)))</f>
        <v>0</v>
      </c>
      <c r="U40" s="26" t="n">
        <f aca="false">IF(INDEX(Pengaturan!$B$8:$B$27,U$4)="",0,COUNTIF(Data!$B40:$U40,INDEX(Pengaturan!$B$8:$B$27,U$4)))</f>
        <v>0</v>
      </c>
      <c r="V40" s="26" t="n">
        <f aca="false">COUNTA(Data!$B40:$U40)</f>
        <v>0</v>
      </c>
      <c r="W40" s="27" t="str">
        <f aca="false">IF(V40=0,"",IF(V40&lt;&gt;Hasil!$C$4,"Data kosong/tidak lengkap",IF(SUM(B40:U40)&lt;&gt;V40,"Kategori tidak dikenal","OK")))</f>
        <v/>
      </c>
      <c r="X40" s="26" t="n">
        <f aca="false">IF(OR(W40="",W40="OK"),0,1)</f>
        <v>0</v>
      </c>
    </row>
    <row r="41" customFormat="false" ht="15" hidden="false" customHeight="false" outlineLevel="0" collapsed="false">
      <c r="A41" s="26" t="n">
        <f aca="false">Data!A41</f>
        <v>36</v>
      </c>
      <c r="B41" s="26" t="n">
        <f aca="false">IF(INDEX(Pengaturan!$B$8:$B$27,B$4)="",0,COUNTIF(Data!$B41:$U41,INDEX(Pengaturan!$B$8:$B$27,B$4)))</f>
        <v>0</v>
      </c>
      <c r="C41" s="26" t="n">
        <f aca="false">IF(INDEX(Pengaturan!$B$8:$B$27,C$4)="",0,COUNTIF(Data!$B41:$U41,INDEX(Pengaturan!$B$8:$B$27,C$4)))</f>
        <v>0</v>
      </c>
      <c r="D41" s="26" t="n">
        <f aca="false">IF(INDEX(Pengaturan!$B$8:$B$27,D$4)="",0,COUNTIF(Data!$B41:$U41,INDEX(Pengaturan!$B$8:$B$27,D$4)))</f>
        <v>0</v>
      </c>
      <c r="E41" s="26" t="n">
        <f aca="false">IF(INDEX(Pengaturan!$B$8:$B$27,E$4)="",0,COUNTIF(Data!$B41:$U41,INDEX(Pengaturan!$B$8:$B$27,E$4)))</f>
        <v>0</v>
      </c>
      <c r="F41" s="26" t="n">
        <f aca="false">IF(INDEX(Pengaturan!$B$8:$B$27,F$4)="",0,COUNTIF(Data!$B41:$U41,INDEX(Pengaturan!$B$8:$B$27,F$4)))</f>
        <v>0</v>
      </c>
      <c r="G41" s="26" t="n">
        <f aca="false">IF(INDEX(Pengaturan!$B$8:$B$27,G$4)="",0,COUNTIF(Data!$B41:$U41,INDEX(Pengaturan!$B$8:$B$27,G$4)))</f>
        <v>0</v>
      </c>
      <c r="H41" s="26" t="n">
        <f aca="false">IF(INDEX(Pengaturan!$B$8:$B$27,H$4)="",0,COUNTIF(Data!$B41:$U41,INDEX(Pengaturan!$B$8:$B$27,H$4)))</f>
        <v>0</v>
      </c>
      <c r="I41" s="26" t="n">
        <f aca="false">IF(INDEX(Pengaturan!$B$8:$B$27,I$4)="",0,COUNTIF(Data!$B41:$U41,INDEX(Pengaturan!$B$8:$B$27,I$4)))</f>
        <v>0</v>
      </c>
      <c r="J41" s="26" t="n">
        <f aca="false">IF(INDEX(Pengaturan!$B$8:$B$27,J$4)="",0,COUNTIF(Data!$B41:$U41,INDEX(Pengaturan!$B$8:$B$27,J$4)))</f>
        <v>0</v>
      </c>
      <c r="K41" s="26" t="n">
        <f aca="false">IF(INDEX(Pengaturan!$B$8:$B$27,K$4)="",0,COUNTIF(Data!$B41:$U41,INDEX(Pengaturan!$B$8:$B$27,K$4)))</f>
        <v>0</v>
      </c>
      <c r="L41" s="26" t="n">
        <f aca="false">IF(INDEX(Pengaturan!$B$8:$B$27,L$4)="",0,COUNTIF(Data!$B41:$U41,INDEX(Pengaturan!$B$8:$B$27,L$4)))</f>
        <v>0</v>
      </c>
      <c r="M41" s="26" t="n">
        <f aca="false">IF(INDEX(Pengaturan!$B$8:$B$27,M$4)="",0,COUNTIF(Data!$B41:$U41,INDEX(Pengaturan!$B$8:$B$27,M$4)))</f>
        <v>0</v>
      </c>
      <c r="N41" s="26" t="n">
        <f aca="false">IF(INDEX(Pengaturan!$B$8:$B$27,N$4)="",0,COUNTIF(Data!$B41:$U41,INDEX(Pengaturan!$B$8:$B$27,N$4)))</f>
        <v>0</v>
      </c>
      <c r="O41" s="26" t="n">
        <f aca="false">IF(INDEX(Pengaturan!$B$8:$B$27,O$4)="",0,COUNTIF(Data!$B41:$U41,INDEX(Pengaturan!$B$8:$B$27,O$4)))</f>
        <v>0</v>
      </c>
      <c r="P41" s="26" t="n">
        <f aca="false">IF(INDEX(Pengaturan!$B$8:$B$27,P$4)="",0,COUNTIF(Data!$B41:$U41,INDEX(Pengaturan!$B$8:$B$27,P$4)))</f>
        <v>0</v>
      </c>
      <c r="Q41" s="26" t="n">
        <f aca="false">IF(INDEX(Pengaturan!$B$8:$B$27,Q$4)="",0,COUNTIF(Data!$B41:$U41,INDEX(Pengaturan!$B$8:$B$27,Q$4)))</f>
        <v>0</v>
      </c>
      <c r="R41" s="26" t="n">
        <f aca="false">IF(INDEX(Pengaturan!$B$8:$B$27,R$4)="",0,COUNTIF(Data!$B41:$U41,INDEX(Pengaturan!$B$8:$B$27,R$4)))</f>
        <v>0</v>
      </c>
      <c r="S41" s="26" t="n">
        <f aca="false">IF(INDEX(Pengaturan!$B$8:$B$27,S$4)="",0,COUNTIF(Data!$B41:$U41,INDEX(Pengaturan!$B$8:$B$27,S$4)))</f>
        <v>0</v>
      </c>
      <c r="T41" s="26" t="n">
        <f aca="false">IF(INDEX(Pengaturan!$B$8:$B$27,T$4)="",0,COUNTIF(Data!$B41:$U41,INDEX(Pengaturan!$B$8:$B$27,T$4)))</f>
        <v>0</v>
      </c>
      <c r="U41" s="26" t="n">
        <f aca="false">IF(INDEX(Pengaturan!$B$8:$B$27,U$4)="",0,COUNTIF(Data!$B41:$U41,INDEX(Pengaturan!$B$8:$B$27,U$4)))</f>
        <v>0</v>
      </c>
      <c r="V41" s="26" t="n">
        <f aca="false">COUNTA(Data!$B41:$U41)</f>
        <v>0</v>
      </c>
      <c r="W41" s="27" t="str">
        <f aca="false">IF(V41=0,"",IF(V41&lt;&gt;Hasil!$C$4,"Data kosong/tidak lengkap",IF(SUM(B41:U41)&lt;&gt;V41,"Kategori tidak dikenal","OK")))</f>
        <v/>
      </c>
      <c r="X41" s="26" t="n">
        <f aca="false">IF(OR(W41="",W41="OK"),0,1)</f>
        <v>0</v>
      </c>
    </row>
    <row r="42" customFormat="false" ht="15" hidden="false" customHeight="false" outlineLevel="0" collapsed="false">
      <c r="A42" s="26" t="n">
        <f aca="false">Data!A42</f>
        <v>37</v>
      </c>
      <c r="B42" s="26" t="n">
        <f aca="false">IF(INDEX(Pengaturan!$B$8:$B$27,B$4)="",0,COUNTIF(Data!$B42:$U42,INDEX(Pengaturan!$B$8:$B$27,B$4)))</f>
        <v>0</v>
      </c>
      <c r="C42" s="26" t="n">
        <f aca="false">IF(INDEX(Pengaturan!$B$8:$B$27,C$4)="",0,COUNTIF(Data!$B42:$U42,INDEX(Pengaturan!$B$8:$B$27,C$4)))</f>
        <v>0</v>
      </c>
      <c r="D42" s="26" t="n">
        <f aca="false">IF(INDEX(Pengaturan!$B$8:$B$27,D$4)="",0,COUNTIF(Data!$B42:$U42,INDEX(Pengaturan!$B$8:$B$27,D$4)))</f>
        <v>0</v>
      </c>
      <c r="E42" s="26" t="n">
        <f aca="false">IF(INDEX(Pengaturan!$B$8:$B$27,E$4)="",0,COUNTIF(Data!$B42:$U42,INDEX(Pengaturan!$B$8:$B$27,E$4)))</f>
        <v>0</v>
      </c>
      <c r="F42" s="26" t="n">
        <f aca="false">IF(INDEX(Pengaturan!$B$8:$B$27,F$4)="",0,COUNTIF(Data!$B42:$U42,INDEX(Pengaturan!$B$8:$B$27,F$4)))</f>
        <v>0</v>
      </c>
      <c r="G42" s="26" t="n">
        <f aca="false">IF(INDEX(Pengaturan!$B$8:$B$27,G$4)="",0,COUNTIF(Data!$B42:$U42,INDEX(Pengaturan!$B$8:$B$27,G$4)))</f>
        <v>0</v>
      </c>
      <c r="H42" s="26" t="n">
        <f aca="false">IF(INDEX(Pengaturan!$B$8:$B$27,H$4)="",0,COUNTIF(Data!$B42:$U42,INDEX(Pengaturan!$B$8:$B$27,H$4)))</f>
        <v>0</v>
      </c>
      <c r="I42" s="26" t="n">
        <f aca="false">IF(INDEX(Pengaturan!$B$8:$B$27,I$4)="",0,COUNTIF(Data!$B42:$U42,INDEX(Pengaturan!$B$8:$B$27,I$4)))</f>
        <v>0</v>
      </c>
      <c r="J42" s="26" t="n">
        <f aca="false">IF(INDEX(Pengaturan!$B$8:$B$27,J$4)="",0,COUNTIF(Data!$B42:$U42,INDEX(Pengaturan!$B$8:$B$27,J$4)))</f>
        <v>0</v>
      </c>
      <c r="K42" s="26" t="n">
        <f aca="false">IF(INDEX(Pengaturan!$B$8:$B$27,K$4)="",0,COUNTIF(Data!$B42:$U42,INDEX(Pengaturan!$B$8:$B$27,K$4)))</f>
        <v>0</v>
      </c>
      <c r="L42" s="26" t="n">
        <f aca="false">IF(INDEX(Pengaturan!$B$8:$B$27,L$4)="",0,COUNTIF(Data!$B42:$U42,INDEX(Pengaturan!$B$8:$B$27,L$4)))</f>
        <v>0</v>
      </c>
      <c r="M42" s="26" t="n">
        <f aca="false">IF(INDEX(Pengaturan!$B$8:$B$27,M$4)="",0,COUNTIF(Data!$B42:$U42,INDEX(Pengaturan!$B$8:$B$27,M$4)))</f>
        <v>0</v>
      </c>
      <c r="N42" s="26" t="n">
        <f aca="false">IF(INDEX(Pengaturan!$B$8:$B$27,N$4)="",0,COUNTIF(Data!$B42:$U42,INDEX(Pengaturan!$B$8:$B$27,N$4)))</f>
        <v>0</v>
      </c>
      <c r="O42" s="26" t="n">
        <f aca="false">IF(INDEX(Pengaturan!$B$8:$B$27,O$4)="",0,COUNTIF(Data!$B42:$U42,INDEX(Pengaturan!$B$8:$B$27,O$4)))</f>
        <v>0</v>
      </c>
      <c r="P42" s="26" t="n">
        <f aca="false">IF(INDEX(Pengaturan!$B$8:$B$27,P$4)="",0,COUNTIF(Data!$B42:$U42,INDEX(Pengaturan!$B$8:$B$27,P$4)))</f>
        <v>0</v>
      </c>
      <c r="Q42" s="26" t="n">
        <f aca="false">IF(INDEX(Pengaturan!$B$8:$B$27,Q$4)="",0,COUNTIF(Data!$B42:$U42,INDEX(Pengaturan!$B$8:$B$27,Q$4)))</f>
        <v>0</v>
      </c>
      <c r="R42" s="26" t="n">
        <f aca="false">IF(INDEX(Pengaturan!$B$8:$B$27,R$4)="",0,COUNTIF(Data!$B42:$U42,INDEX(Pengaturan!$B$8:$B$27,R$4)))</f>
        <v>0</v>
      </c>
      <c r="S42" s="26" t="n">
        <f aca="false">IF(INDEX(Pengaturan!$B$8:$B$27,S$4)="",0,COUNTIF(Data!$B42:$U42,INDEX(Pengaturan!$B$8:$B$27,S$4)))</f>
        <v>0</v>
      </c>
      <c r="T42" s="26" t="n">
        <f aca="false">IF(INDEX(Pengaturan!$B$8:$B$27,T$4)="",0,COUNTIF(Data!$B42:$U42,INDEX(Pengaturan!$B$8:$B$27,T$4)))</f>
        <v>0</v>
      </c>
      <c r="U42" s="26" t="n">
        <f aca="false">IF(INDEX(Pengaturan!$B$8:$B$27,U$4)="",0,COUNTIF(Data!$B42:$U42,INDEX(Pengaturan!$B$8:$B$27,U$4)))</f>
        <v>0</v>
      </c>
      <c r="V42" s="26" t="n">
        <f aca="false">COUNTA(Data!$B42:$U42)</f>
        <v>0</v>
      </c>
      <c r="W42" s="27" t="str">
        <f aca="false">IF(V42=0,"",IF(V42&lt;&gt;Hasil!$C$4,"Data kosong/tidak lengkap",IF(SUM(B42:U42)&lt;&gt;V42,"Kategori tidak dikenal","OK")))</f>
        <v/>
      </c>
      <c r="X42" s="26" t="n">
        <f aca="false">IF(OR(W42="",W42="OK"),0,1)</f>
        <v>0</v>
      </c>
    </row>
    <row r="43" customFormat="false" ht="15" hidden="false" customHeight="false" outlineLevel="0" collapsed="false">
      <c r="A43" s="26" t="n">
        <f aca="false">Data!A43</f>
        <v>38</v>
      </c>
      <c r="B43" s="26" t="n">
        <f aca="false">IF(INDEX(Pengaturan!$B$8:$B$27,B$4)="",0,COUNTIF(Data!$B43:$U43,INDEX(Pengaturan!$B$8:$B$27,B$4)))</f>
        <v>0</v>
      </c>
      <c r="C43" s="26" t="n">
        <f aca="false">IF(INDEX(Pengaturan!$B$8:$B$27,C$4)="",0,COUNTIF(Data!$B43:$U43,INDEX(Pengaturan!$B$8:$B$27,C$4)))</f>
        <v>0</v>
      </c>
      <c r="D43" s="26" t="n">
        <f aca="false">IF(INDEX(Pengaturan!$B$8:$B$27,D$4)="",0,COUNTIF(Data!$B43:$U43,INDEX(Pengaturan!$B$8:$B$27,D$4)))</f>
        <v>0</v>
      </c>
      <c r="E43" s="26" t="n">
        <f aca="false">IF(INDEX(Pengaturan!$B$8:$B$27,E$4)="",0,COUNTIF(Data!$B43:$U43,INDEX(Pengaturan!$B$8:$B$27,E$4)))</f>
        <v>0</v>
      </c>
      <c r="F43" s="26" t="n">
        <f aca="false">IF(INDEX(Pengaturan!$B$8:$B$27,F$4)="",0,COUNTIF(Data!$B43:$U43,INDEX(Pengaturan!$B$8:$B$27,F$4)))</f>
        <v>0</v>
      </c>
      <c r="G43" s="26" t="n">
        <f aca="false">IF(INDEX(Pengaturan!$B$8:$B$27,G$4)="",0,COUNTIF(Data!$B43:$U43,INDEX(Pengaturan!$B$8:$B$27,G$4)))</f>
        <v>0</v>
      </c>
      <c r="H43" s="26" t="n">
        <f aca="false">IF(INDEX(Pengaturan!$B$8:$B$27,H$4)="",0,COUNTIF(Data!$B43:$U43,INDEX(Pengaturan!$B$8:$B$27,H$4)))</f>
        <v>0</v>
      </c>
      <c r="I43" s="26" t="n">
        <f aca="false">IF(INDEX(Pengaturan!$B$8:$B$27,I$4)="",0,COUNTIF(Data!$B43:$U43,INDEX(Pengaturan!$B$8:$B$27,I$4)))</f>
        <v>0</v>
      </c>
      <c r="J43" s="26" t="n">
        <f aca="false">IF(INDEX(Pengaturan!$B$8:$B$27,J$4)="",0,COUNTIF(Data!$B43:$U43,INDEX(Pengaturan!$B$8:$B$27,J$4)))</f>
        <v>0</v>
      </c>
      <c r="K43" s="26" t="n">
        <f aca="false">IF(INDEX(Pengaturan!$B$8:$B$27,K$4)="",0,COUNTIF(Data!$B43:$U43,INDEX(Pengaturan!$B$8:$B$27,K$4)))</f>
        <v>0</v>
      </c>
      <c r="L43" s="26" t="n">
        <f aca="false">IF(INDEX(Pengaturan!$B$8:$B$27,L$4)="",0,COUNTIF(Data!$B43:$U43,INDEX(Pengaturan!$B$8:$B$27,L$4)))</f>
        <v>0</v>
      </c>
      <c r="M43" s="26" t="n">
        <f aca="false">IF(INDEX(Pengaturan!$B$8:$B$27,M$4)="",0,COUNTIF(Data!$B43:$U43,INDEX(Pengaturan!$B$8:$B$27,M$4)))</f>
        <v>0</v>
      </c>
      <c r="N43" s="26" t="n">
        <f aca="false">IF(INDEX(Pengaturan!$B$8:$B$27,N$4)="",0,COUNTIF(Data!$B43:$U43,INDEX(Pengaturan!$B$8:$B$27,N$4)))</f>
        <v>0</v>
      </c>
      <c r="O43" s="26" t="n">
        <f aca="false">IF(INDEX(Pengaturan!$B$8:$B$27,O$4)="",0,COUNTIF(Data!$B43:$U43,INDEX(Pengaturan!$B$8:$B$27,O$4)))</f>
        <v>0</v>
      </c>
      <c r="P43" s="26" t="n">
        <f aca="false">IF(INDEX(Pengaturan!$B$8:$B$27,P$4)="",0,COUNTIF(Data!$B43:$U43,INDEX(Pengaturan!$B$8:$B$27,P$4)))</f>
        <v>0</v>
      </c>
      <c r="Q43" s="26" t="n">
        <f aca="false">IF(INDEX(Pengaturan!$B$8:$B$27,Q$4)="",0,COUNTIF(Data!$B43:$U43,INDEX(Pengaturan!$B$8:$B$27,Q$4)))</f>
        <v>0</v>
      </c>
      <c r="R43" s="26" t="n">
        <f aca="false">IF(INDEX(Pengaturan!$B$8:$B$27,R$4)="",0,COUNTIF(Data!$B43:$U43,INDEX(Pengaturan!$B$8:$B$27,R$4)))</f>
        <v>0</v>
      </c>
      <c r="S43" s="26" t="n">
        <f aca="false">IF(INDEX(Pengaturan!$B$8:$B$27,S$4)="",0,COUNTIF(Data!$B43:$U43,INDEX(Pengaturan!$B$8:$B$27,S$4)))</f>
        <v>0</v>
      </c>
      <c r="T43" s="26" t="n">
        <f aca="false">IF(INDEX(Pengaturan!$B$8:$B$27,T$4)="",0,COUNTIF(Data!$B43:$U43,INDEX(Pengaturan!$B$8:$B$27,T$4)))</f>
        <v>0</v>
      </c>
      <c r="U43" s="26" t="n">
        <f aca="false">IF(INDEX(Pengaturan!$B$8:$B$27,U$4)="",0,COUNTIF(Data!$B43:$U43,INDEX(Pengaturan!$B$8:$B$27,U$4)))</f>
        <v>0</v>
      </c>
      <c r="V43" s="26" t="n">
        <f aca="false">COUNTA(Data!$B43:$U43)</f>
        <v>0</v>
      </c>
      <c r="W43" s="27" t="str">
        <f aca="false">IF(V43=0,"",IF(V43&lt;&gt;Hasil!$C$4,"Data kosong/tidak lengkap",IF(SUM(B43:U43)&lt;&gt;V43,"Kategori tidak dikenal","OK")))</f>
        <v/>
      </c>
      <c r="X43" s="26" t="n">
        <f aca="false">IF(OR(W43="",W43="OK"),0,1)</f>
        <v>0</v>
      </c>
    </row>
    <row r="44" customFormat="false" ht="15" hidden="false" customHeight="false" outlineLevel="0" collapsed="false">
      <c r="A44" s="26" t="n">
        <f aca="false">Data!A44</f>
        <v>39</v>
      </c>
      <c r="B44" s="26" t="n">
        <f aca="false">IF(INDEX(Pengaturan!$B$8:$B$27,B$4)="",0,COUNTIF(Data!$B44:$U44,INDEX(Pengaturan!$B$8:$B$27,B$4)))</f>
        <v>0</v>
      </c>
      <c r="C44" s="26" t="n">
        <f aca="false">IF(INDEX(Pengaturan!$B$8:$B$27,C$4)="",0,COUNTIF(Data!$B44:$U44,INDEX(Pengaturan!$B$8:$B$27,C$4)))</f>
        <v>0</v>
      </c>
      <c r="D44" s="26" t="n">
        <f aca="false">IF(INDEX(Pengaturan!$B$8:$B$27,D$4)="",0,COUNTIF(Data!$B44:$U44,INDEX(Pengaturan!$B$8:$B$27,D$4)))</f>
        <v>0</v>
      </c>
      <c r="E44" s="26" t="n">
        <f aca="false">IF(INDEX(Pengaturan!$B$8:$B$27,E$4)="",0,COUNTIF(Data!$B44:$U44,INDEX(Pengaturan!$B$8:$B$27,E$4)))</f>
        <v>0</v>
      </c>
      <c r="F44" s="26" t="n">
        <f aca="false">IF(INDEX(Pengaturan!$B$8:$B$27,F$4)="",0,COUNTIF(Data!$B44:$U44,INDEX(Pengaturan!$B$8:$B$27,F$4)))</f>
        <v>0</v>
      </c>
      <c r="G44" s="26" t="n">
        <f aca="false">IF(INDEX(Pengaturan!$B$8:$B$27,G$4)="",0,COUNTIF(Data!$B44:$U44,INDEX(Pengaturan!$B$8:$B$27,G$4)))</f>
        <v>0</v>
      </c>
      <c r="H44" s="26" t="n">
        <f aca="false">IF(INDEX(Pengaturan!$B$8:$B$27,H$4)="",0,COUNTIF(Data!$B44:$U44,INDEX(Pengaturan!$B$8:$B$27,H$4)))</f>
        <v>0</v>
      </c>
      <c r="I44" s="26" t="n">
        <f aca="false">IF(INDEX(Pengaturan!$B$8:$B$27,I$4)="",0,COUNTIF(Data!$B44:$U44,INDEX(Pengaturan!$B$8:$B$27,I$4)))</f>
        <v>0</v>
      </c>
      <c r="J44" s="26" t="n">
        <f aca="false">IF(INDEX(Pengaturan!$B$8:$B$27,J$4)="",0,COUNTIF(Data!$B44:$U44,INDEX(Pengaturan!$B$8:$B$27,J$4)))</f>
        <v>0</v>
      </c>
      <c r="K44" s="26" t="n">
        <f aca="false">IF(INDEX(Pengaturan!$B$8:$B$27,K$4)="",0,COUNTIF(Data!$B44:$U44,INDEX(Pengaturan!$B$8:$B$27,K$4)))</f>
        <v>0</v>
      </c>
      <c r="L44" s="26" t="n">
        <f aca="false">IF(INDEX(Pengaturan!$B$8:$B$27,L$4)="",0,COUNTIF(Data!$B44:$U44,INDEX(Pengaturan!$B$8:$B$27,L$4)))</f>
        <v>0</v>
      </c>
      <c r="M44" s="26" t="n">
        <f aca="false">IF(INDEX(Pengaturan!$B$8:$B$27,M$4)="",0,COUNTIF(Data!$B44:$U44,INDEX(Pengaturan!$B$8:$B$27,M$4)))</f>
        <v>0</v>
      </c>
      <c r="N44" s="26" t="n">
        <f aca="false">IF(INDEX(Pengaturan!$B$8:$B$27,N$4)="",0,COUNTIF(Data!$B44:$U44,INDEX(Pengaturan!$B$8:$B$27,N$4)))</f>
        <v>0</v>
      </c>
      <c r="O44" s="26" t="n">
        <f aca="false">IF(INDEX(Pengaturan!$B$8:$B$27,O$4)="",0,COUNTIF(Data!$B44:$U44,INDEX(Pengaturan!$B$8:$B$27,O$4)))</f>
        <v>0</v>
      </c>
      <c r="P44" s="26" t="n">
        <f aca="false">IF(INDEX(Pengaturan!$B$8:$B$27,P$4)="",0,COUNTIF(Data!$B44:$U44,INDEX(Pengaturan!$B$8:$B$27,P$4)))</f>
        <v>0</v>
      </c>
      <c r="Q44" s="26" t="n">
        <f aca="false">IF(INDEX(Pengaturan!$B$8:$B$27,Q$4)="",0,COUNTIF(Data!$B44:$U44,INDEX(Pengaturan!$B$8:$B$27,Q$4)))</f>
        <v>0</v>
      </c>
      <c r="R44" s="26" t="n">
        <f aca="false">IF(INDEX(Pengaturan!$B$8:$B$27,R$4)="",0,COUNTIF(Data!$B44:$U44,INDEX(Pengaturan!$B$8:$B$27,R$4)))</f>
        <v>0</v>
      </c>
      <c r="S44" s="26" t="n">
        <f aca="false">IF(INDEX(Pengaturan!$B$8:$B$27,S$4)="",0,COUNTIF(Data!$B44:$U44,INDEX(Pengaturan!$B$8:$B$27,S$4)))</f>
        <v>0</v>
      </c>
      <c r="T44" s="26" t="n">
        <f aca="false">IF(INDEX(Pengaturan!$B$8:$B$27,T$4)="",0,COUNTIF(Data!$B44:$U44,INDEX(Pengaturan!$B$8:$B$27,T$4)))</f>
        <v>0</v>
      </c>
      <c r="U44" s="26" t="n">
        <f aca="false">IF(INDEX(Pengaturan!$B$8:$B$27,U$4)="",0,COUNTIF(Data!$B44:$U44,INDEX(Pengaturan!$B$8:$B$27,U$4)))</f>
        <v>0</v>
      </c>
      <c r="V44" s="26" t="n">
        <f aca="false">COUNTA(Data!$B44:$U44)</f>
        <v>0</v>
      </c>
      <c r="W44" s="27" t="str">
        <f aca="false">IF(V44=0,"",IF(V44&lt;&gt;Hasil!$C$4,"Data kosong/tidak lengkap",IF(SUM(B44:U44)&lt;&gt;V44,"Kategori tidak dikenal","OK")))</f>
        <v/>
      </c>
      <c r="X44" s="26" t="n">
        <f aca="false">IF(OR(W44="",W44="OK"),0,1)</f>
        <v>0</v>
      </c>
    </row>
    <row r="45" customFormat="false" ht="15" hidden="false" customHeight="false" outlineLevel="0" collapsed="false">
      <c r="A45" s="26" t="n">
        <f aca="false">Data!A45</f>
        <v>40</v>
      </c>
      <c r="B45" s="26" t="n">
        <f aca="false">IF(INDEX(Pengaturan!$B$8:$B$27,B$4)="",0,COUNTIF(Data!$B45:$U45,INDEX(Pengaturan!$B$8:$B$27,B$4)))</f>
        <v>0</v>
      </c>
      <c r="C45" s="26" t="n">
        <f aca="false">IF(INDEX(Pengaturan!$B$8:$B$27,C$4)="",0,COUNTIF(Data!$B45:$U45,INDEX(Pengaturan!$B$8:$B$27,C$4)))</f>
        <v>0</v>
      </c>
      <c r="D45" s="26" t="n">
        <f aca="false">IF(INDEX(Pengaturan!$B$8:$B$27,D$4)="",0,COUNTIF(Data!$B45:$U45,INDEX(Pengaturan!$B$8:$B$27,D$4)))</f>
        <v>0</v>
      </c>
      <c r="E45" s="26" t="n">
        <f aca="false">IF(INDEX(Pengaturan!$B$8:$B$27,E$4)="",0,COUNTIF(Data!$B45:$U45,INDEX(Pengaturan!$B$8:$B$27,E$4)))</f>
        <v>0</v>
      </c>
      <c r="F45" s="26" t="n">
        <f aca="false">IF(INDEX(Pengaturan!$B$8:$B$27,F$4)="",0,COUNTIF(Data!$B45:$U45,INDEX(Pengaturan!$B$8:$B$27,F$4)))</f>
        <v>0</v>
      </c>
      <c r="G45" s="26" t="n">
        <f aca="false">IF(INDEX(Pengaturan!$B$8:$B$27,G$4)="",0,COUNTIF(Data!$B45:$U45,INDEX(Pengaturan!$B$8:$B$27,G$4)))</f>
        <v>0</v>
      </c>
      <c r="H45" s="26" t="n">
        <f aca="false">IF(INDEX(Pengaturan!$B$8:$B$27,H$4)="",0,COUNTIF(Data!$B45:$U45,INDEX(Pengaturan!$B$8:$B$27,H$4)))</f>
        <v>0</v>
      </c>
      <c r="I45" s="26" t="n">
        <f aca="false">IF(INDEX(Pengaturan!$B$8:$B$27,I$4)="",0,COUNTIF(Data!$B45:$U45,INDEX(Pengaturan!$B$8:$B$27,I$4)))</f>
        <v>0</v>
      </c>
      <c r="J45" s="26" t="n">
        <f aca="false">IF(INDEX(Pengaturan!$B$8:$B$27,J$4)="",0,COUNTIF(Data!$B45:$U45,INDEX(Pengaturan!$B$8:$B$27,J$4)))</f>
        <v>0</v>
      </c>
      <c r="K45" s="26" t="n">
        <f aca="false">IF(INDEX(Pengaturan!$B$8:$B$27,K$4)="",0,COUNTIF(Data!$B45:$U45,INDEX(Pengaturan!$B$8:$B$27,K$4)))</f>
        <v>0</v>
      </c>
      <c r="L45" s="26" t="n">
        <f aca="false">IF(INDEX(Pengaturan!$B$8:$B$27,L$4)="",0,COUNTIF(Data!$B45:$U45,INDEX(Pengaturan!$B$8:$B$27,L$4)))</f>
        <v>0</v>
      </c>
      <c r="M45" s="26" t="n">
        <f aca="false">IF(INDEX(Pengaturan!$B$8:$B$27,M$4)="",0,COUNTIF(Data!$B45:$U45,INDEX(Pengaturan!$B$8:$B$27,M$4)))</f>
        <v>0</v>
      </c>
      <c r="N45" s="26" t="n">
        <f aca="false">IF(INDEX(Pengaturan!$B$8:$B$27,N$4)="",0,COUNTIF(Data!$B45:$U45,INDEX(Pengaturan!$B$8:$B$27,N$4)))</f>
        <v>0</v>
      </c>
      <c r="O45" s="26" t="n">
        <f aca="false">IF(INDEX(Pengaturan!$B$8:$B$27,O$4)="",0,COUNTIF(Data!$B45:$U45,INDEX(Pengaturan!$B$8:$B$27,O$4)))</f>
        <v>0</v>
      </c>
      <c r="P45" s="26" t="n">
        <f aca="false">IF(INDEX(Pengaturan!$B$8:$B$27,P$4)="",0,COUNTIF(Data!$B45:$U45,INDEX(Pengaturan!$B$8:$B$27,P$4)))</f>
        <v>0</v>
      </c>
      <c r="Q45" s="26" t="n">
        <f aca="false">IF(INDEX(Pengaturan!$B$8:$B$27,Q$4)="",0,COUNTIF(Data!$B45:$U45,INDEX(Pengaturan!$B$8:$B$27,Q$4)))</f>
        <v>0</v>
      </c>
      <c r="R45" s="26" t="n">
        <f aca="false">IF(INDEX(Pengaturan!$B$8:$B$27,R$4)="",0,COUNTIF(Data!$B45:$U45,INDEX(Pengaturan!$B$8:$B$27,R$4)))</f>
        <v>0</v>
      </c>
      <c r="S45" s="26" t="n">
        <f aca="false">IF(INDEX(Pengaturan!$B$8:$B$27,S$4)="",0,COUNTIF(Data!$B45:$U45,INDEX(Pengaturan!$B$8:$B$27,S$4)))</f>
        <v>0</v>
      </c>
      <c r="T45" s="26" t="n">
        <f aca="false">IF(INDEX(Pengaturan!$B$8:$B$27,T$4)="",0,COUNTIF(Data!$B45:$U45,INDEX(Pengaturan!$B$8:$B$27,T$4)))</f>
        <v>0</v>
      </c>
      <c r="U45" s="26" t="n">
        <f aca="false">IF(INDEX(Pengaturan!$B$8:$B$27,U$4)="",0,COUNTIF(Data!$B45:$U45,INDEX(Pengaturan!$B$8:$B$27,U$4)))</f>
        <v>0</v>
      </c>
      <c r="V45" s="26" t="n">
        <f aca="false">COUNTA(Data!$B45:$U45)</f>
        <v>0</v>
      </c>
      <c r="W45" s="27" t="str">
        <f aca="false">IF(V45=0,"",IF(V45&lt;&gt;Hasil!$C$4,"Data kosong/tidak lengkap",IF(SUM(B45:U45)&lt;&gt;V45,"Kategori tidak dikenal","OK")))</f>
        <v/>
      </c>
      <c r="X45" s="26" t="n">
        <f aca="false">IF(OR(W45="",W45="OK"),0,1)</f>
        <v>0</v>
      </c>
    </row>
    <row r="46" customFormat="false" ht="15" hidden="false" customHeight="false" outlineLevel="0" collapsed="false">
      <c r="A46" s="26" t="n">
        <f aca="false">Data!A46</f>
        <v>41</v>
      </c>
      <c r="B46" s="26" t="n">
        <f aca="false">IF(INDEX(Pengaturan!$B$8:$B$27,B$4)="",0,COUNTIF(Data!$B46:$U46,INDEX(Pengaturan!$B$8:$B$27,B$4)))</f>
        <v>0</v>
      </c>
      <c r="C46" s="26" t="n">
        <f aca="false">IF(INDEX(Pengaturan!$B$8:$B$27,C$4)="",0,COUNTIF(Data!$B46:$U46,INDEX(Pengaturan!$B$8:$B$27,C$4)))</f>
        <v>0</v>
      </c>
      <c r="D46" s="26" t="n">
        <f aca="false">IF(INDEX(Pengaturan!$B$8:$B$27,D$4)="",0,COUNTIF(Data!$B46:$U46,INDEX(Pengaturan!$B$8:$B$27,D$4)))</f>
        <v>0</v>
      </c>
      <c r="E46" s="26" t="n">
        <f aca="false">IF(INDEX(Pengaturan!$B$8:$B$27,E$4)="",0,COUNTIF(Data!$B46:$U46,INDEX(Pengaturan!$B$8:$B$27,E$4)))</f>
        <v>0</v>
      </c>
      <c r="F46" s="26" t="n">
        <f aca="false">IF(INDEX(Pengaturan!$B$8:$B$27,F$4)="",0,COUNTIF(Data!$B46:$U46,INDEX(Pengaturan!$B$8:$B$27,F$4)))</f>
        <v>0</v>
      </c>
      <c r="G46" s="26" t="n">
        <f aca="false">IF(INDEX(Pengaturan!$B$8:$B$27,G$4)="",0,COUNTIF(Data!$B46:$U46,INDEX(Pengaturan!$B$8:$B$27,G$4)))</f>
        <v>0</v>
      </c>
      <c r="H46" s="26" t="n">
        <f aca="false">IF(INDEX(Pengaturan!$B$8:$B$27,H$4)="",0,COUNTIF(Data!$B46:$U46,INDEX(Pengaturan!$B$8:$B$27,H$4)))</f>
        <v>0</v>
      </c>
      <c r="I46" s="26" t="n">
        <f aca="false">IF(INDEX(Pengaturan!$B$8:$B$27,I$4)="",0,COUNTIF(Data!$B46:$U46,INDEX(Pengaturan!$B$8:$B$27,I$4)))</f>
        <v>0</v>
      </c>
      <c r="J46" s="26" t="n">
        <f aca="false">IF(INDEX(Pengaturan!$B$8:$B$27,J$4)="",0,COUNTIF(Data!$B46:$U46,INDEX(Pengaturan!$B$8:$B$27,J$4)))</f>
        <v>0</v>
      </c>
      <c r="K46" s="26" t="n">
        <f aca="false">IF(INDEX(Pengaturan!$B$8:$B$27,K$4)="",0,COUNTIF(Data!$B46:$U46,INDEX(Pengaturan!$B$8:$B$27,K$4)))</f>
        <v>0</v>
      </c>
      <c r="L46" s="26" t="n">
        <f aca="false">IF(INDEX(Pengaturan!$B$8:$B$27,L$4)="",0,COUNTIF(Data!$B46:$U46,INDEX(Pengaturan!$B$8:$B$27,L$4)))</f>
        <v>0</v>
      </c>
      <c r="M46" s="26" t="n">
        <f aca="false">IF(INDEX(Pengaturan!$B$8:$B$27,M$4)="",0,COUNTIF(Data!$B46:$U46,INDEX(Pengaturan!$B$8:$B$27,M$4)))</f>
        <v>0</v>
      </c>
      <c r="N46" s="26" t="n">
        <f aca="false">IF(INDEX(Pengaturan!$B$8:$B$27,N$4)="",0,COUNTIF(Data!$B46:$U46,INDEX(Pengaturan!$B$8:$B$27,N$4)))</f>
        <v>0</v>
      </c>
      <c r="O46" s="26" t="n">
        <f aca="false">IF(INDEX(Pengaturan!$B$8:$B$27,O$4)="",0,COUNTIF(Data!$B46:$U46,INDEX(Pengaturan!$B$8:$B$27,O$4)))</f>
        <v>0</v>
      </c>
      <c r="P46" s="26" t="n">
        <f aca="false">IF(INDEX(Pengaturan!$B$8:$B$27,P$4)="",0,COUNTIF(Data!$B46:$U46,INDEX(Pengaturan!$B$8:$B$27,P$4)))</f>
        <v>0</v>
      </c>
      <c r="Q46" s="26" t="n">
        <f aca="false">IF(INDEX(Pengaturan!$B$8:$B$27,Q$4)="",0,COUNTIF(Data!$B46:$U46,INDEX(Pengaturan!$B$8:$B$27,Q$4)))</f>
        <v>0</v>
      </c>
      <c r="R46" s="26" t="n">
        <f aca="false">IF(INDEX(Pengaturan!$B$8:$B$27,R$4)="",0,COUNTIF(Data!$B46:$U46,INDEX(Pengaturan!$B$8:$B$27,R$4)))</f>
        <v>0</v>
      </c>
      <c r="S46" s="26" t="n">
        <f aca="false">IF(INDEX(Pengaturan!$B$8:$B$27,S$4)="",0,COUNTIF(Data!$B46:$U46,INDEX(Pengaturan!$B$8:$B$27,S$4)))</f>
        <v>0</v>
      </c>
      <c r="T46" s="26" t="n">
        <f aca="false">IF(INDEX(Pengaturan!$B$8:$B$27,T$4)="",0,COUNTIF(Data!$B46:$U46,INDEX(Pengaturan!$B$8:$B$27,T$4)))</f>
        <v>0</v>
      </c>
      <c r="U46" s="26" t="n">
        <f aca="false">IF(INDEX(Pengaturan!$B$8:$B$27,U$4)="",0,COUNTIF(Data!$B46:$U46,INDEX(Pengaturan!$B$8:$B$27,U$4)))</f>
        <v>0</v>
      </c>
      <c r="V46" s="26" t="n">
        <f aca="false">COUNTA(Data!$B46:$U46)</f>
        <v>0</v>
      </c>
      <c r="W46" s="27" t="str">
        <f aca="false">IF(V46=0,"",IF(V46&lt;&gt;Hasil!$C$4,"Data kosong/tidak lengkap",IF(SUM(B46:U46)&lt;&gt;V46,"Kategori tidak dikenal","OK")))</f>
        <v/>
      </c>
      <c r="X46" s="26" t="n">
        <f aca="false">IF(OR(W46="",W46="OK"),0,1)</f>
        <v>0</v>
      </c>
    </row>
    <row r="47" customFormat="false" ht="15" hidden="false" customHeight="false" outlineLevel="0" collapsed="false">
      <c r="A47" s="26" t="n">
        <f aca="false">Data!A47</f>
        <v>42</v>
      </c>
      <c r="B47" s="26" t="n">
        <f aca="false">IF(INDEX(Pengaturan!$B$8:$B$27,B$4)="",0,COUNTIF(Data!$B47:$U47,INDEX(Pengaturan!$B$8:$B$27,B$4)))</f>
        <v>0</v>
      </c>
      <c r="C47" s="26" t="n">
        <f aca="false">IF(INDEX(Pengaturan!$B$8:$B$27,C$4)="",0,COUNTIF(Data!$B47:$U47,INDEX(Pengaturan!$B$8:$B$27,C$4)))</f>
        <v>0</v>
      </c>
      <c r="D47" s="26" t="n">
        <f aca="false">IF(INDEX(Pengaturan!$B$8:$B$27,D$4)="",0,COUNTIF(Data!$B47:$U47,INDEX(Pengaturan!$B$8:$B$27,D$4)))</f>
        <v>0</v>
      </c>
      <c r="E47" s="26" t="n">
        <f aca="false">IF(INDEX(Pengaturan!$B$8:$B$27,E$4)="",0,COUNTIF(Data!$B47:$U47,INDEX(Pengaturan!$B$8:$B$27,E$4)))</f>
        <v>0</v>
      </c>
      <c r="F47" s="26" t="n">
        <f aca="false">IF(INDEX(Pengaturan!$B$8:$B$27,F$4)="",0,COUNTIF(Data!$B47:$U47,INDEX(Pengaturan!$B$8:$B$27,F$4)))</f>
        <v>0</v>
      </c>
      <c r="G47" s="26" t="n">
        <f aca="false">IF(INDEX(Pengaturan!$B$8:$B$27,G$4)="",0,COUNTIF(Data!$B47:$U47,INDEX(Pengaturan!$B$8:$B$27,G$4)))</f>
        <v>0</v>
      </c>
      <c r="H47" s="26" t="n">
        <f aca="false">IF(INDEX(Pengaturan!$B$8:$B$27,H$4)="",0,COUNTIF(Data!$B47:$U47,INDEX(Pengaturan!$B$8:$B$27,H$4)))</f>
        <v>0</v>
      </c>
      <c r="I47" s="26" t="n">
        <f aca="false">IF(INDEX(Pengaturan!$B$8:$B$27,I$4)="",0,COUNTIF(Data!$B47:$U47,INDEX(Pengaturan!$B$8:$B$27,I$4)))</f>
        <v>0</v>
      </c>
      <c r="J47" s="26" t="n">
        <f aca="false">IF(INDEX(Pengaturan!$B$8:$B$27,J$4)="",0,COUNTIF(Data!$B47:$U47,INDEX(Pengaturan!$B$8:$B$27,J$4)))</f>
        <v>0</v>
      </c>
      <c r="K47" s="26" t="n">
        <f aca="false">IF(INDEX(Pengaturan!$B$8:$B$27,K$4)="",0,COUNTIF(Data!$B47:$U47,INDEX(Pengaturan!$B$8:$B$27,K$4)))</f>
        <v>0</v>
      </c>
      <c r="L47" s="26" t="n">
        <f aca="false">IF(INDEX(Pengaturan!$B$8:$B$27,L$4)="",0,COUNTIF(Data!$B47:$U47,INDEX(Pengaturan!$B$8:$B$27,L$4)))</f>
        <v>0</v>
      </c>
      <c r="M47" s="26" t="n">
        <f aca="false">IF(INDEX(Pengaturan!$B$8:$B$27,M$4)="",0,COUNTIF(Data!$B47:$U47,INDEX(Pengaturan!$B$8:$B$27,M$4)))</f>
        <v>0</v>
      </c>
      <c r="N47" s="26" t="n">
        <f aca="false">IF(INDEX(Pengaturan!$B$8:$B$27,N$4)="",0,COUNTIF(Data!$B47:$U47,INDEX(Pengaturan!$B$8:$B$27,N$4)))</f>
        <v>0</v>
      </c>
      <c r="O47" s="26" t="n">
        <f aca="false">IF(INDEX(Pengaturan!$B$8:$B$27,O$4)="",0,COUNTIF(Data!$B47:$U47,INDEX(Pengaturan!$B$8:$B$27,O$4)))</f>
        <v>0</v>
      </c>
      <c r="P47" s="26" t="n">
        <f aca="false">IF(INDEX(Pengaturan!$B$8:$B$27,P$4)="",0,COUNTIF(Data!$B47:$U47,INDEX(Pengaturan!$B$8:$B$27,P$4)))</f>
        <v>0</v>
      </c>
      <c r="Q47" s="26" t="n">
        <f aca="false">IF(INDEX(Pengaturan!$B$8:$B$27,Q$4)="",0,COUNTIF(Data!$B47:$U47,INDEX(Pengaturan!$B$8:$B$27,Q$4)))</f>
        <v>0</v>
      </c>
      <c r="R47" s="26" t="n">
        <f aca="false">IF(INDEX(Pengaturan!$B$8:$B$27,R$4)="",0,COUNTIF(Data!$B47:$U47,INDEX(Pengaturan!$B$8:$B$27,R$4)))</f>
        <v>0</v>
      </c>
      <c r="S47" s="26" t="n">
        <f aca="false">IF(INDEX(Pengaturan!$B$8:$B$27,S$4)="",0,COUNTIF(Data!$B47:$U47,INDEX(Pengaturan!$B$8:$B$27,S$4)))</f>
        <v>0</v>
      </c>
      <c r="T47" s="26" t="n">
        <f aca="false">IF(INDEX(Pengaturan!$B$8:$B$27,T$4)="",0,COUNTIF(Data!$B47:$U47,INDEX(Pengaturan!$B$8:$B$27,T$4)))</f>
        <v>0</v>
      </c>
      <c r="U47" s="26" t="n">
        <f aca="false">IF(INDEX(Pengaturan!$B$8:$B$27,U$4)="",0,COUNTIF(Data!$B47:$U47,INDEX(Pengaturan!$B$8:$B$27,U$4)))</f>
        <v>0</v>
      </c>
      <c r="V47" s="26" t="n">
        <f aca="false">COUNTA(Data!$B47:$U47)</f>
        <v>0</v>
      </c>
      <c r="W47" s="27" t="str">
        <f aca="false">IF(V47=0,"",IF(V47&lt;&gt;Hasil!$C$4,"Data kosong/tidak lengkap",IF(SUM(B47:U47)&lt;&gt;V47,"Kategori tidak dikenal","OK")))</f>
        <v/>
      </c>
      <c r="X47" s="26" t="n">
        <f aca="false">IF(OR(W47="",W47="OK"),0,1)</f>
        <v>0</v>
      </c>
    </row>
    <row r="48" customFormat="false" ht="15" hidden="false" customHeight="false" outlineLevel="0" collapsed="false">
      <c r="A48" s="26" t="n">
        <f aca="false">Data!A48</f>
        <v>43</v>
      </c>
      <c r="B48" s="26" t="n">
        <f aca="false">IF(INDEX(Pengaturan!$B$8:$B$27,B$4)="",0,COUNTIF(Data!$B48:$U48,INDEX(Pengaturan!$B$8:$B$27,B$4)))</f>
        <v>0</v>
      </c>
      <c r="C48" s="26" t="n">
        <f aca="false">IF(INDEX(Pengaturan!$B$8:$B$27,C$4)="",0,COUNTIF(Data!$B48:$U48,INDEX(Pengaturan!$B$8:$B$27,C$4)))</f>
        <v>0</v>
      </c>
      <c r="D48" s="26" t="n">
        <f aca="false">IF(INDEX(Pengaturan!$B$8:$B$27,D$4)="",0,COUNTIF(Data!$B48:$U48,INDEX(Pengaturan!$B$8:$B$27,D$4)))</f>
        <v>0</v>
      </c>
      <c r="E48" s="26" t="n">
        <f aca="false">IF(INDEX(Pengaturan!$B$8:$B$27,E$4)="",0,COUNTIF(Data!$B48:$U48,INDEX(Pengaturan!$B$8:$B$27,E$4)))</f>
        <v>0</v>
      </c>
      <c r="F48" s="26" t="n">
        <f aca="false">IF(INDEX(Pengaturan!$B$8:$B$27,F$4)="",0,COUNTIF(Data!$B48:$U48,INDEX(Pengaturan!$B$8:$B$27,F$4)))</f>
        <v>0</v>
      </c>
      <c r="G48" s="26" t="n">
        <f aca="false">IF(INDEX(Pengaturan!$B$8:$B$27,G$4)="",0,COUNTIF(Data!$B48:$U48,INDEX(Pengaturan!$B$8:$B$27,G$4)))</f>
        <v>0</v>
      </c>
      <c r="H48" s="26" t="n">
        <f aca="false">IF(INDEX(Pengaturan!$B$8:$B$27,H$4)="",0,COUNTIF(Data!$B48:$U48,INDEX(Pengaturan!$B$8:$B$27,H$4)))</f>
        <v>0</v>
      </c>
      <c r="I48" s="26" t="n">
        <f aca="false">IF(INDEX(Pengaturan!$B$8:$B$27,I$4)="",0,COUNTIF(Data!$B48:$U48,INDEX(Pengaturan!$B$8:$B$27,I$4)))</f>
        <v>0</v>
      </c>
      <c r="J48" s="26" t="n">
        <f aca="false">IF(INDEX(Pengaturan!$B$8:$B$27,J$4)="",0,COUNTIF(Data!$B48:$U48,INDEX(Pengaturan!$B$8:$B$27,J$4)))</f>
        <v>0</v>
      </c>
      <c r="K48" s="26" t="n">
        <f aca="false">IF(INDEX(Pengaturan!$B$8:$B$27,K$4)="",0,COUNTIF(Data!$B48:$U48,INDEX(Pengaturan!$B$8:$B$27,K$4)))</f>
        <v>0</v>
      </c>
      <c r="L48" s="26" t="n">
        <f aca="false">IF(INDEX(Pengaturan!$B$8:$B$27,L$4)="",0,COUNTIF(Data!$B48:$U48,INDEX(Pengaturan!$B$8:$B$27,L$4)))</f>
        <v>0</v>
      </c>
      <c r="M48" s="26" t="n">
        <f aca="false">IF(INDEX(Pengaturan!$B$8:$B$27,M$4)="",0,COUNTIF(Data!$B48:$U48,INDEX(Pengaturan!$B$8:$B$27,M$4)))</f>
        <v>0</v>
      </c>
      <c r="N48" s="26" t="n">
        <f aca="false">IF(INDEX(Pengaturan!$B$8:$B$27,N$4)="",0,COUNTIF(Data!$B48:$U48,INDEX(Pengaturan!$B$8:$B$27,N$4)))</f>
        <v>0</v>
      </c>
      <c r="O48" s="26" t="n">
        <f aca="false">IF(INDEX(Pengaturan!$B$8:$B$27,O$4)="",0,COUNTIF(Data!$B48:$U48,INDEX(Pengaturan!$B$8:$B$27,O$4)))</f>
        <v>0</v>
      </c>
      <c r="P48" s="26" t="n">
        <f aca="false">IF(INDEX(Pengaturan!$B$8:$B$27,P$4)="",0,COUNTIF(Data!$B48:$U48,INDEX(Pengaturan!$B$8:$B$27,P$4)))</f>
        <v>0</v>
      </c>
      <c r="Q48" s="26" t="n">
        <f aca="false">IF(INDEX(Pengaturan!$B$8:$B$27,Q$4)="",0,COUNTIF(Data!$B48:$U48,INDEX(Pengaturan!$B$8:$B$27,Q$4)))</f>
        <v>0</v>
      </c>
      <c r="R48" s="26" t="n">
        <f aca="false">IF(INDEX(Pengaturan!$B$8:$B$27,R$4)="",0,COUNTIF(Data!$B48:$U48,INDEX(Pengaturan!$B$8:$B$27,R$4)))</f>
        <v>0</v>
      </c>
      <c r="S48" s="26" t="n">
        <f aca="false">IF(INDEX(Pengaturan!$B$8:$B$27,S$4)="",0,COUNTIF(Data!$B48:$U48,INDEX(Pengaturan!$B$8:$B$27,S$4)))</f>
        <v>0</v>
      </c>
      <c r="T48" s="26" t="n">
        <f aca="false">IF(INDEX(Pengaturan!$B$8:$B$27,T$4)="",0,COUNTIF(Data!$B48:$U48,INDEX(Pengaturan!$B$8:$B$27,T$4)))</f>
        <v>0</v>
      </c>
      <c r="U48" s="26" t="n">
        <f aca="false">IF(INDEX(Pengaturan!$B$8:$B$27,U$4)="",0,COUNTIF(Data!$B48:$U48,INDEX(Pengaturan!$B$8:$B$27,U$4)))</f>
        <v>0</v>
      </c>
      <c r="V48" s="26" t="n">
        <f aca="false">COUNTA(Data!$B48:$U48)</f>
        <v>0</v>
      </c>
      <c r="W48" s="27" t="str">
        <f aca="false">IF(V48=0,"",IF(V48&lt;&gt;Hasil!$C$4,"Data kosong/tidak lengkap",IF(SUM(B48:U48)&lt;&gt;V48,"Kategori tidak dikenal","OK")))</f>
        <v/>
      </c>
      <c r="X48" s="26" t="n">
        <f aca="false">IF(OR(W48="",W48="OK"),0,1)</f>
        <v>0</v>
      </c>
    </row>
    <row r="49" customFormat="false" ht="15" hidden="false" customHeight="false" outlineLevel="0" collapsed="false">
      <c r="A49" s="26" t="n">
        <f aca="false">Data!A49</f>
        <v>44</v>
      </c>
      <c r="B49" s="26" t="n">
        <f aca="false">IF(INDEX(Pengaturan!$B$8:$B$27,B$4)="",0,COUNTIF(Data!$B49:$U49,INDEX(Pengaturan!$B$8:$B$27,B$4)))</f>
        <v>0</v>
      </c>
      <c r="C49" s="26" t="n">
        <f aca="false">IF(INDEX(Pengaturan!$B$8:$B$27,C$4)="",0,COUNTIF(Data!$B49:$U49,INDEX(Pengaturan!$B$8:$B$27,C$4)))</f>
        <v>0</v>
      </c>
      <c r="D49" s="26" t="n">
        <f aca="false">IF(INDEX(Pengaturan!$B$8:$B$27,D$4)="",0,COUNTIF(Data!$B49:$U49,INDEX(Pengaturan!$B$8:$B$27,D$4)))</f>
        <v>0</v>
      </c>
      <c r="E49" s="26" t="n">
        <f aca="false">IF(INDEX(Pengaturan!$B$8:$B$27,E$4)="",0,COUNTIF(Data!$B49:$U49,INDEX(Pengaturan!$B$8:$B$27,E$4)))</f>
        <v>0</v>
      </c>
      <c r="F49" s="26" t="n">
        <f aca="false">IF(INDEX(Pengaturan!$B$8:$B$27,F$4)="",0,COUNTIF(Data!$B49:$U49,INDEX(Pengaturan!$B$8:$B$27,F$4)))</f>
        <v>0</v>
      </c>
      <c r="G49" s="26" t="n">
        <f aca="false">IF(INDEX(Pengaturan!$B$8:$B$27,G$4)="",0,COUNTIF(Data!$B49:$U49,INDEX(Pengaturan!$B$8:$B$27,G$4)))</f>
        <v>0</v>
      </c>
      <c r="H49" s="26" t="n">
        <f aca="false">IF(INDEX(Pengaturan!$B$8:$B$27,H$4)="",0,COUNTIF(Data!$B49:$U49,INDEX(Pengaturan!$B$8:$B$27,H$4)))</f>
        <v>0</v>
      </c>
      <c r="I49" s="26" t="n">
        <f aca="false">IF(INDEX(Pengaturan!$B$8:$B$27,I$4)="",0,COUNTIF(Data!$B49:$U49,INDEX(Pengaturan!$B$8:$B$27,I$4)))</f>
        <v>0</v>
      </c>
      <c r="J49" s="26" t="n">
        <f aca="false">IF(INDEX(Pengaturan!$B$8:$B$27,J$4)="",0,COUNTIF(Data!$B49:$U49,INDEX(Pengaturan!$B$8:$B$27,J$4)))</f>
        <v>0</v>
      </c>
      <c r="K49" s="26" t="n">
        <f aca="false">IF(INDEX(Pengaturan!$B$8:$B$27,K$4)="",0,COUNTIF(Data!$B49:$U49,INDEX(Pengaturan!$B$8:$B$27,K$4)))</f>
        <v>0</v>
      </c>
      <c r="L49" s="26" t="n">
        <f aca="false">IF(INDEX(Pengaturan!$B$8:$B$27,L$4)="",0,COUNTIF(Data!$B49:$U49,INDEX(Pengaturan!$B$8:$B$27,L$4)))</f>
        <v>0</v>
      </c>
      <c r="M49" s="26" t="n">
        <f aca="false">IF(INDEX(Pengaturan!$B$8:$B$27,M$4)="",0,COUNTIF(Data!$B49:$U49,INDEX(Pengaturan!$B$8:$B$27,M$4)))</f>
        <v>0</v>
      </c>
      <c r="N49" s="26" t="n">
        <f aca="false">IF(INDEX(Pengaturan!$B$8:$B$27,N$4)="",0,COUNTIF(Data!$B49:$U49,INDEX(Pengaturan!$B$8:$B$27,N$4)))</f>
        <v>0</v>
      </c>
      <c r="O49" s="26" t="n">
        <f aca="false">IF(INDEX(Pengaturan!$B$8:$B$27,O$4)="",0,COUNTIF(Data!$B49:$U49,INDEX(Pengaturan!$B$8:$B$27,O$4)))</f>
        <v>0</v>
      </c>
      <c r="P49" s="26" t="n">
        <f aca="false">IF(INDEX(Pengaturan!$B$8:$B$27,P$4)="",0,COUNTIF(Data!$B49:$U49,INDEX(Pengaturan!$B$8:$B$27,P$4)))</f>
        <v>0</v>
      </c>
      <c r="Q49" s="26" t="n">
        <f aca="false">IF(INDEX(Pengaturan!$B$8:$B$27,Q$4)="",0,COUNTIF(Data!$B49:$U49,INDEX(Pengaturan!$B$8:$B$27,Q$4)))</f>
        <v>0</v>
      </c>
      <c r="R49" s="26" t="n">
        <f aca="false">IF(INDEX(Pengaturan!$B$8:$B$27,R$4)="",0,COUNTIF(Data!$B49:$U49,INDEX(Pengaturan!$B$8:$B$27,R$4)))</f>
        <v>0</v>
      </c>
      <c r="S49" s="26" t="n">
        <f aca="false">IF(INDEX(Pengaturan!$B$8:$B$27,S$4)="",0,COUNTIF(Data!$B49:$U49,INDEX(Pengaturan!$B$8:$B$27,S$4)))</f>
        <v>0</v>
      </c>
      <c r="T49" s="26" t="n">
        <f aca="false">IF(INDEX(Pengaturan!$B$8:$B$27,T$4)="",0,COUNTIF(Data!$B49:$U49,INDEX(Pengaturan!$B$8:$B$27,T$4)))</f>
        <v>0</v>
      </c>
      <c r="U49" s="26" t="n">
        <f aca="false">IF(INDEX(Pengaturan!$B$8:$B$27,U$4)="",0,COUNTIF(Data!$B49:$U49,INDEX(Pengaturan!$B$8:$B$27,U$4)))</f>
        <v>0</v>
      </c>
      <c r="V49" s="26" t="n">
        <f aca="false">COUNTA(Data!$B49:$U49)</f>
        <v>0</v>
      </c>
      <c r="W49" s="27" t="str">
        <f aca="false">IF(V49=0,"",IF(V49&lt;&gt;Hasil!$C$4,"Data kosong/tidak lengkap",IF(SUM(B49:U49)&lt;&gt;V49,"Kategori tidak dikenal","OK")))</f>
        <v/>
      </c>
      <c r="X49" s="26" t="n">
        <f aca="false">IF(OR(W49="",W49="OK"),0,1)</f>
        <v>0</v>
      </c>
    </row>
    <row r="50" customFormat="false" ht="15" hidden="false" customHeight="false" outlineLevel="0" collapsed="false">
      <c r="A50" s="26" t="n">
        <f aca="false">Data!A50</f>
        <v>45</v>
      </c>
      <c r="B50" s="26" t="n">
        <f aca="false">IF(INDEX(Pengaturan!$B$8:$B$27,B$4)="",0,COUNTIF(Data!$B50:$U50,INDEX(Pengaturan!$B$8:$B$27,B$4)))</f>
        <v>0</v>
      </c>
      <c r="C50" s="26" t="n">
        <f aca="false">IF(INDEX(Pengaturan!$B$8:$B$27,C$4)="",0,COUNTIF(Data!$B50:$U50,INDEX(Pengaturan!$B$8:$B$27,C$4)))</f>
        <v>0</v>
      </c>
      <c r="D50" s="26" t="n">
        <f aca="false">IF(INDEX(Pengaturan!$B$8:$B$27,D$4)="",0,COUNTIF(Data!$B50:$U50,INDEX(Pengaturan!$B$8:$B$27,D$4)))</f>
        <v>0</v>
      </c>
      <c r="E50" s="26" t="n">
        <f aca="false">IF(INDEX(Pengaturan!$B$8:$B$27,E$4)="",0,COUNTIF(Data!$B50:$U50,INDEX(Pengaturan!$B$8:$B$27,E$4)))</f>
        <v>0</v>
      </c>
      <c r="F50" s="26" t="n">
        <f aca="false">IF(INDEX(Pengaturan!$B$8:$B$27,F$4)="",0,COUNTIF(Data!$B50:$U50,INDEX(Pengaturan!$B$8:$B$27,F$4)))</f>
        <v>0</v>
      </c>
      <c r="G50" s="26" t="n">
        <f aca="false">IF(INDEX(Pengaturan!$B$8:$B$27,G$4)="",0,COUNTIF(Data!$B50:$U50,INDEX(Pengaturan!$B$8:$B$27,G$4)))</f>
        <v>0</v>
      </c>
      <c r="H50" s="26" t="n">
        <f aca="false">IF(INDEX(Pengaturan!$B$8:$B$27,H$4)="",0,COUNTIF(Data!$B50:$U50,INDEX(Pengaturan!$B$8:$B$27,H$4)))</f>
        <v>0</v>
      </c>
      <c r="I50" s="26" t="n">
        <f aca="false">IF(INDEX(Pengaturan!$B$8:$B$27,I$4)="",0,COUNTIF(Data!$B50:$U50,INDEX(Pengaturan!$B$8:$B$27,I$4)))</f>
        <v>0</v>
      </c>
      <c r="J50" s="26" t="n">
        <f aca="false">IF(INDEX(Pengaturan!$B$8:$B$27,J$4)="",0,COUNTIF(Data!$B50:$U50,INDEX(Pengaturan!$B$8:$B$27,J$4)))</f>
        <v>0</v>
      </c>
      <c r="K50" s="26" t="n">
        <f aca="false">IF(INDEX(Pengaturan!$B$8:$B$27,K$4)="",0,COUNTIF(Data!$B50:$U50,INDEX(Pengaturan!$B$8:$B$27,K$4)))</f>
        <v>0</v>
      </c>
      <c r="L50" s="26" t="n">
        <f aca="false">IF(INDEX(Pengaturan!$B$8:$B$27,L$4)="",0,COUNTIF(Data!$B50:$U50,INDEX(Pengaturan!$B$8:$B$27,L$4)))</f>
        <v>0</v>
      </c>
      <c r="M50" s="26" t="n">
        <f aca="false">IF(INDEX(Pengaturan!$B$8:$B$27,M$4)="",0,COUNTIF(Data!$B50:$U50,INDEX(Pengaturan!$B$8:$B$27,M$4)))</f>
        <v>0</v>
      </c>
      <c r="N50" s="26" t="n">
        <f aca="false">IF(INDEX(Pengaturan!$B$8:$B$27,N$4)="",0,COUNTIF(Data!$B50:$U50,INDEX(Pengaturan!$B$8:$B$27,N$4)))</f>
        <v>0</v>
      </c>
      <c r="O50" s="26" t="n">
        <f aca="false">IF(INDEX(Pengaturan!$B$8:$B$27,O$4)="",0,COUNTIF(Data!$B50:$U50,INDEX(Pengaturan!$B$8:$B$27,O$4)))</f>
        <v>0</v>
      </c>
      <c r="P50" s="26" t="n">
        <f aca="false">IF(INDEX(Pengaturan!$B$8:$B$27,P$4)="",0,COUNTIF(Data!$B50:$U50,INDEX(Pengaturan!$B$8:$B$27,P$4)))</f>
        <v>0</v>
      </c>
      <c r="Q50" s="26" t="n">
        <f aca="false">IF(INDEX(Pengaturan!$B$8:$B$27,Q$4)="",0,COUNTIF(Data!$B50:$U50,INDEX(Pengaturan!$B$8:$B$27,Q$4)))</f>
        <v>0</v>
      </c>
      <c r="R50" s="26" t="n">
        <f aca="false">IF(INDEX(Pengaturan!$B$8:$B$27,R$4)="",0,COUNTIF(Data!$B50:$U50,INDEX(Pengaturan!$B$8:$B$27,R$4)))</f>
        <v>0</v>
      </c>
      <c r="S50" s="26" t="n">
        <f aca="false">IF(INDEX(Pengaturan!$B$8:$B$27,S$4)="",0,COUNTIF(Data!$B50:$U50,INDEX(Pengaturan!$B$8:$B$27,S$4)))</f>
        <v>0</v>
      </c>
      <c r="T50" s="26" t="n">
        <f aca="false">IF(INDEX(Pengaturan!$B$8:$B$27,T$4)="",0,COUNTIF(Data!$B50:$U50,INDEX(Pengaturan!$B$8:$B$27,T$4)))</f>
        <v>0</v>
      </c>
      <c r="U50" s="26" t="n">
        <f aca="false">IF(INDEX(Pengaturan!$B$8:$B$27,U$4)="",0,COUNTIF(Data!$B50:$U50,INDEX(Pengaturan!$B$8:$B$27,U$4)))</f>
        <v>0</v>
      </c>
      <c r="V50" s="26" t="n">
        <f aca="false">COUNTA(Data!$B50:$U50)</f>
        <v>0</v>
      </c>
      <c r="W50" s="27" t="str">
        <f aca="false">IF(V50=0,"",IF(V50&lt;&gt;Hasil!$C$4,"Data kosong/tidak lengkap",IF(SUM(B50:U50)&lt;&gt;V50,"Kategori tidak dikenal","OK")))</f>
        <v/>
      </c>
      <c r="X50" s="26" t="n">
        <f aca="false">IF(OR(W50="",W50="OK"),0,1)</f>
        <v>0</v>
      </c>
    </row>
    <row r="51" customFormat="false" ht="15" hidden="false" customHeight="false" outlineLevel="0" collapsed="false">
      <c r="A51" s="26" t="n">
        <f aca="false">Data!A51</f>
        <v>46</v>
      </c>
      <c r="B51" s="26" t="n">
        <f aca="false">IF(INDEX(Pengaturan!$B$8:$B$27,B$4)="",0,COUNTIF(Data!$B51:$U51,INDEX(Pengaturan!$B$8:$B$27,B$4)))</f>
        <v>0</v>
      </c>
      <c r="C51" s="26" t="n">
        <f aca="false">IF(INDEX(Pengaturan!$B$8:$B$27,C$4)="",0,COUNTIF(Data!$B51:$U51,INDEX(Pengaturan!$B$8:$B$27,C$4)))</f>
        <v>0</v>
      </c>
      <c r="D51" s="26" t="n">
        <f aca="false">IF(INDEX(Pengaturan!$B$8:$B$27,D$4)="",0,COUNTIF(Data!$B51:$U51,INDEX(Pengaturan!$B$8:$B$27,D$4)))</f>
        <v>0</v>
      </c>
      <c r="E51" s="26" t="n">
        <f aca="false">IF(INDEX(Pengaturan!$B$8:$B$27,E$4)="",0,COUNTIF(Data!$B51:$U51,INDEX(Pengaturan!$B$8:$B$27,E$4)))</f>
        <v>0</v>
      </c>
      <c r="F51" s="26" t="n">
        <f aca="false">IF(INDEX(Pengaturan!$B$8:$B$27,F$4)="",0,COUNTIF(Data!$B51:$U51,INDEX(Pengaturan!$B$8:$B$27,F$4)))</f>
        <v>0</v>
      </c>
      <c r="G51" s="26" t="n">
        <f aca="false">IF(INDEX(Pengaturan!$B$8:$B$27,G$4)="",0,COUNTIF(Data!$B51:$U51,INDEX(Pengaturan!$B$8:$B$27,G$4)))</f>
        <v>0</v>
      </c>
      <c r="H51" s="26" t="n">
        <f aca="false">IF(INDEX(Pengaturan!$B$8:$B$27,H$4)="",0,COUNTIF(Data!$B51:$U51,INDEX(Pengaturan!$B$8:$B$27,H$4)))</f>
        <v>0</v>
      </c>
      <c r="I51" s="26" t="n">
        <f aca="false">IF(INDEX(Pengaturan!$B$8:$B$27,I$4)="",0,COUNTIF(Data!$B51:$U51,INDEX(Pengaturan!$B$8:$B$27,I$4)))</f>
        <v>0</v>
      </c>
      <c r="J51" s="26" t="n">
        <f aca="false">IF(INDEX(Pengaturan!$B$8:$B$27,J$4)="",0,COUNTIF(Data!$B51:$U51,INDEX(Pengaturan!$B$8:$B$27,J$4)))</f>
        <v>0</v>
      </c>
      <c r="K51" s="26" t="n">
        <f aca="false">IF(INDEX(Pengaturan!$B$8:$B$27,K$4)="",0,COUNTIF(Data!$B51:$U51,INDEX(Pengaturan!$B$8:$B$27,K$4)))</f>
        <v>0</v>
      </c>
      <c r="L51" s="26" t="n">
        <f aca="false">IF(INDEX(Pengaturan!$B$8:$B$27,L$4)="",0,COUNTIF(Data!$B51:$U51,INDEX(Pengaturan!$B$8:$B$27,L$4)))</f>
        <v>0</v>
      </c>
      <c r="M51" s="26" t="n">
        <f aca="false">IF(INDEX(Pengaturan!$B$8:$B$27,M$4)="",0,COUNTIF(Data!$B51:$U51,INDEX(Pengaturan!$B$8:$B$27,M$4)))</f>
        <v>0</v>
      </c>
      <c r="N51" s="26" t="n">
        <f aca="false">IF(INDEX(Pengaturan!$B$8:$B$27,N$4)="",0,COUNTIF(Data!$B51:$U51,INDEX(Pengaturan!$B$8:$B$27,N$4)))</f>
        <v>0</v>
      </c>
      <c r="O51" s="26" t="n">
        <f aca="false">IF(INDEX(Pengaturan!$B$8:$B$27,O$4)="",0,COUNTIF(Data!$B51:$U51,INDEX(Pengaturan!$B$8:$B$27,O$4)))</f>
        <v>0</v>
      </c>
      <c r="P51" s="26" t="n">
        <f aca="false">IF(INDEX(Pengaturan!$B$8:$B$27,P$4)="",0,COUNTIF(Data!$B51:$U51,INDEX(Pengaturan!$B$8:$B$27,P$4)))</f>
        <v>0</v>
      </c>
      <c r="Q51" s="26" t="n">
        <f aca="false">IF(INDEX(Pengaturan!$B$8:$B$27,Q$4)="",0,COUNTIF(Data!$B51:$U51,INDEX(Pengaturan!$B$8:$B$27,Q$4)))</f>
        <v>0</v>
      </c>
      <c r="R51" s="26" t="n">
        <f aca="false">IF(INDEX(Pengaturan!$B$8:$B$27,R$4)="",0,COUNTIF(Data!$B51:$U51,INDEX(Pengaturan!$B$8:$B$27,R$4)))</f>
        <v>0</v>
      </c>
      <c r="S51" s="26" t="n">
        <f aca="false">IF(INDEX(Pengaturan!$B$8:$B$27,S$4)="",0,COUNTIF(Data!$B51:$U51,INDEX(Pengaturan!$B$8:$B$27,S$4)))</f>
        <v>0</v>
      </c>
      <c r="T51" s="26" t="n">
        <f aca="false">IF(INDEX(Pengaturan!$B$8:$B$27,T$4)="",0,COUNTIF(Data!$B51:$U51,INDEX(Pengaturan!$B$8:$B$27,T$4)))</f>
        <v>0</v>
      </c>
      <c r="U51" s="26" t="n">
        <f aca="false">IF(INDEX(Pengaturan!$B$8:$B$27,U$4)="",0,COUNTIF(Data!$B51:$U51,INDEX(Pengaturan!$B$8:$B$27,U$4)))</f>
        <v>0</v>
      </c>
      <c r="V51" s="26" t="n">
        <f aca="false">COUNTA(Data!$B51:$U51)</f>
        <v>0</v>
      </c>
      <c r="W51" s="27" t="str">
        <f aca="false">IF(V51=0,"",IF(V51&lt;&gt;Hasil!$C$4,"Data kosong/tidak lengkap",IF(SUM(B51:U51)&lt;&gt;V51,"Kategori tidak dikenal","OK")))</f>
        <v/>
      </c>
      <c r="X51" s="26" t="n">
        <f aca="false">IF(OR(W51="",W51="OK"),0,1)</f>
        <v>0</v>
      </c>
    </row>
    <row r="52" customFormat="false" ht="15" hidden="false" customHeight="false" outlineLevel="0" collapsed="false">
      <c r="A52" s="26" t="n">
        <f aca="false">Data!A52</f>
        <v>47</v>
      </c>
      <c r="B52" s="26" t="n">
        <f aca="false">IF(INDEX(Pengaturan!$B$8:$B$27,B$4)="",0,COUNTIF(Data!$B52:$U52,INDEX(Pengaturan!$B$8:$B$27,B$4)))</f>
        <v>0</v>
      </c>
      <c r="C52" s="26" t="n">
        <f aca="false">IF(INDEX(Pengaturan!$B$8:$B$27,C$4)="",0,COUNTIF(Data!$B52:$U52,INDEX(Pengaturan!$B$8:$B$27,C$4)))</f>
        <v>0</v>
      </c>
      <c r="D52" s="26" t="n">
        <f aca="false">IF(INDEX(Pengaturan!$B$8:$B$27,D$4)="",0,COUNTIF(Data!$B52:$U52,INDEX(Pengaturan!$B$8:$B$27,D$4)))</f>
        <v>0</v>
      </c>
      <c r="E52" s="26" t="n">
        <f aca="false">IF(INDEX(Pengaturan!$B$8:$B$27,E$4)="",0,COUNTIF(Data!$B52:$U52,INDEX(Pengaturan!$B$8:$B$27,E$4)))</f>
        <v>0</v>
      </c>
      <c r="F52" s="26" t="n">
        <f aca="false">IF(INDEX(Pengaturan!$B$8:$B$27,F$4)="",0,COUNTIF(Data!$B52:$U52,INDEX(Pengaturan!$B$8:$B$27,F$4)))</f>
        <v>0</v>
      </c>
      <c r="G52" s="26" t="n">
        <f aca="false">IF(INDEX(Pengaturan!$B$8:$B$27,G$4)="",0,COUNTIF(Data!$B52:$U52,INDEX(Pengaturan!$B$8:$B$27,G$4)))</f>
        <v>0</v>
      </c>
      <c r="H52" s="26" t="n">
        <f aca="false">IF(INDEX(Pengaturan!$B$8:$B$27,H$4)="",0,COUNTIF(Data!$B52:$U52,INDEX(Pengaturan!$B$8:$B$27,H$4)))</f>
        <v>0</v>
      </c>
      <c r="I52" s="26" t="n">
        <f aca="false">IF(INDEX(Pengaturan!$B$8:$B$27,I$4)="",0,COUNTIF(Data!$B52:$U52,INDEX(Pengaturan!$B$8:$B$27,I$4)))</f>
        <v>0</v>
      </c>
      <c r="J52" s="26" t="n">
        <f aca="false">IF(INDEX(Pengaturan!$B$8:$B$27,J$4)="",0,COUNTIF(Data!$B52:$U52,INDEX(Pengaturan!$B$8:$B$27,J$4)))</f>
        <v>0</v>
      </c>
      <c r="K52" s="26" t="n">
        <f aca="false">IF(INDEX(Pengaturan!$B$8:$B$27,K$4)="",0,COUNTIF(Data!$B52:$U52,INDEX(Pengaturan!$B$8:$B$27,K$4)))</f>
        <v>0</v>
      </c>
      <c r="L52" s="26" t="n">
        <f aca="false">IF(INDEX(Pengaturan!$B$8:$B$27,L$4)="",0,COUNTIF(Data!$B52:$U52,INDEX(Pengaturan!$B$8:$B$27,L$4)))</f>
        <v>0</v>
      </c>
      <c r="M52" s="26" t="n">
        <f aca="false">IF(INDEX(Pengaturan!$B$8:$B$27,M$4)="",0,COUNTIF(Data!$B52:$U52,INDEX(Pengaturan!$B$8:$B$27,M$4)))</f>
        <v>0</v>
      </c>
      <c r="N52" s="26" t="n">
        <f aca="false">IF(INDEX(Pengaturan!$B$8:$B$27,N$4)="",0,COUNTIF(Data!$B52:$U52,INDEX(Pengaturan!$B$8:$B$27,N$4)))</f>
        <v>0</v>
      </c>
      <c r="O52" s="26" t="n">
        <f aca="false">IF(INDEX(Pengaturan!$B$8:$B$27,O$4)="",0,COUNTIF(Data!$B52:$U52,INDEX(Pengaturan!$B$8:$B$27,O$4)))</f>
        <v>0</v>
      </c>
      <c r="P52" s="26" t="n">
        <f aca="false">IF(INDEX(Pengaturan!$B$8:$B$27,P$4)="",0,COUNTIF(Data!$B52:$U52,INDEX(Pengaturan!$B$8:$B$27,P$4)))</f>
        <v>0</v>
      </c>
      <c r="Q52" s="26" t="n">
        <f aca="false">IF(INDEX(Pengaturan!$B$8:$B$27,Q$4)="",0,COUNTIF(Data!$B52:$U52,INDEX(Pengaturan!$B$8:$B$27,Q$4)))</f>
        <v>0</v>
      </c>
      <c r="R52" s="26" t="n">
        <f aca="false">IF(INDEX(Pengaturan!$B$8:$B$27,R$4)="",0,COUNTIF(Data!$B52:$U52,INDEX(Pengaturan!$B$8:$B$27,R$4)))</f>
        <v>0</v>
      </c>
      <c r="S52" s="26" t="n">
        <f aca="false">IF(INDEX(Pengaturan!$B$8:$B$27,S$4)="",0,COUNTIF(Data!$B52:$U52,INDEX(Pengaturan!$B$8:$B$27,S$4)))</f>
        <v>0</v>
      </c>
      <c r="T52" s="26" t="n">
        <f aca="false">IF(INDEX(Pengaturan!$B$8:$B$27,T$4)="",0,COUNTIF(Data!$B52:$U52,INDEX(Pengaturan!$B$8:$B$27,T$4)))</f>
        <v>0</v>
      </c>
      <c r="U52" s="26" t="n">
        <f aca="false">IF(INDEX(Pengaturan!$B$8:$B$27,U$4)="",0,COUNTIF(Data!$B52:$U52,INDEX(Pengaturan!$B$8:$B$27,U$4)))</f>
        <v>0</v>
      </c>
      <c r="V52" s="26" t="n">
        <f aca="false">COUNTA(Data!$B52:$U52)</f>
        <v>0</v>
      </c>
      <c r="W52" s="27" t="str">
        <f aca="false">IF(V52=0,"",IF(V52&lt;&gt;Hasil!$C$4,"Data kosong/tidak lengkap",IF(SUM(B52:U52)&lt;&gt;V52,"Kategori tidak dikenal","OK")))</f>
        <v/>
      </c>
      <c r="X52" s="26" t="n">
        <f aca="false">IF(OR(W52="",W52="OK"),0,1)</f>
        <v>0</v>
      </c>
    </row>
    <row r="53" customFormat="false" ht="15" hidden="false" customHeight="false" outlineLevel="0" collapsed="false">
      <c r="A53" s="26" t="n">
        <f aca="false">Data!A53</f>
        <v>48</v>
      </c>
      <c r="B53" s="26" t="n">
        <f aca="false">IF(INDEX(Pengaturan!$B$8:$B$27,B$4)="",0,COUNTIF(Data!$B53:$U53,INDEX(Pengaturan!$B$8:$B$27,B$4)))</f>
        <v>0</v>
      </c>
      <c r="C53" s="26" t="n">
        <f aca="false">IF(INDEX(Pengaturan!$B$8:$B$27,C$4)="",0,COUNTIF(Data!$B53:$U53,INDEX(Pengaturan!$B$8:$B$27,C$4)))</f>
        <v>0</v>
      </c>
      <c r="D53" s="26" t="n">
        <f aca="false">IF(INDEX(Pengaturan!$B$8:$B$27,D$4)="",0,COUNTIF(Data!$B53:$U53,INDEX(Pengaturan!$B$8:$B$27,D$4)))</f>
        <v>0</v>
      </c>
      <c r="E53" s="26" t="n">
        <f aca="false">IF(INDEX(Pengaturan!$B$8:$B$27,E$4)="",0,COUNTIF(Data!$B53:$U53,INDEX(Pengaturan!$B$8:$B$27,E$4)))</f>
        <v>0</v>
      </c>
      <c r="F53" s="26" t="n">
        <f aca="false">IF(INDEX(Pengaturan!$B$8:$B$27,F$4)="",0,COUNTIF(Data!$B53:$U53,INDEX(Pengaturan!$B$8:$B$27,F$4)))</f>
        <v>0</v>
      </c>
      <c r="G53" s="26" t="n">
        <f aca="false">IF(INDEX(Pengaturan!$B$8:$B$27,G$4)="",0,COUNTIF(Data!$B53:$U53,INDEX(Pengaturan!$B$8:$B$27,G$4)))</f>
        <v>0</v>
      </c>
      <c r="H53" s="26" t="n">
        <f aca="false">IF(INDEX(Pengaturan!$B$8:$B$27,H$4)="",0,COUNTIF(Data!$B53:$U53,INDEX(Pengaturan!$B$8:$B$27,H$4)))</f>
        <v>0</v>
      </c>
      <c r="I53" s="26" t="n">
        <f aca="false">IF(INDEX(Pengaturan!$B$8:$B$27,I$4)="",0,COUNTIF(Data!$B53:$U53,INDEX(Pengaturan!$B$8:$B$27,I$4)))</f>
        <v>0</v>
      </c>
      <c r="J53" s="26" t="n">
        <f aca="false">IF(INDEX(Pengaturan!$B$8:$B$27,J$4)="",0,COUNTIF(Data!$B53:$U53,INDEX(Pengaturan!$B$8:$B$27,J$4)))</f>
        <v>0</v>
      </c>
      <c r="K53" s="26" t="n">
        <f aca="false">IF(INDEX(Pengaturan!$B$8:$B$27,K$4)="",0,COUNTIF(Data!$B53:$U53,INDEX(Pengaturan!$B$8:$B$27,K$4)))</f>
        <v>0</v>
      </c>
      <c r="L53" s="26" t="n">
        <f aca="false">IF(INDEX(Pengaturan!$B$8:$B$27,L$4)="",0,COUNTIF(Data!$B53:$U53,INDEX(Pengaturan!$B$8:$B$27,L$4)))</f>
        <v>0</v>
      </c>
      <c r="M53" s="26" t="n">
        <f aca="false">IF(INDEX(Pengaturan!$B$8:$B$27,M$4)="",0,COUNTIF(Data!$B53:$U53,INDEX(Pengaturan!$B$8:$B$27,M$4)))</f>
        <v>0</v>
      </c>
      <c r="N53" s="26" t="n">
        <f aca="false">IF(INDEX(Pengaturan!$B$8:$B$27,N$4)="",0,COUNTIF(Data!$B53:$U53,INDEX(Pengaturan!$B$8:$B$27,N$4)))</f>
        <v>0</v>
      </c>
      <c r="O53" s="26" t="n">
        <f aca="false">IF(INDEX(Pengaturan!$B$8:$B$27,O$4)="",0,COUNTIF(Data!$B53:$U53,INDEX(Pengaturan!$B$8:$B$27,O$4)))</f>
        <v>0</v>
      </c>
      <c r="P53" s="26" t="n">
        <f aca="false">IF(INDEX(Pengaturan!$B$8:$B$27,P$4)="",0,COUNTIF(Data!$B53:$U53,INDEX(Pengaturan!$B$8:$B$27,P$4)))</f>
        <v>0</v>
      </c>
      <c r="Q53" s="26" t="n">
        <f aca="false">IF(INDEX(Pengaturan!$B$8:$B$27,Q$4)="",0,COUNTIF(Data!$B53:$U53,INDEX(Pengaturan!$B$8:$B$27,Q$4)))</f>
        <v>0</v>
      </c>
      <c r="R53" s="26" t="n">
        <f aca="false">IF(INDEX(Pengaturan!$B$8:$B$27,R$4)="",0,COUNTIF(Data!$B53:$U53,INDEX(Pengaturan!$B$8:$B$27,R$4)))</f>
        <v>0</v>
      </c>
      <c r="S53" s="26" t="n">
        <f aca="false">IF(INDEX(Pengaturan!$B$8:$B$27,S$4)="",0,COUNTIF(Data!$B53:$U53,INDEX(Pengaturan!$B$8:$B$27,S$4)))</f>
        <v>0</v>
      </c>
      <c r="T53" s="26" t="n">
        <f aca="false">IF(INDEX(Pengaturan!$B$8:$B$27,T$4)="",0,COUNTIF(Data!$B53:$U53,INDEX(Pengaturan!$B$8:$B$27,T$4)))</f>
        <v>0</v>
      </c>
      <c r="U53" s="26" t="n">
        <f aca="false">IF(INDEX(Pengaturan!$B$8:$B$27,U$4)="",0,COUNTIF(Data!$B53:$U53,INDEX(Pengaturan!$B$8:$B$27,U$4)))</f>
        <v>0</v>
      </c>
      <c r="V53" s="26" t="n">
        <f aca="false">COUNTA(Data!$B53:$U53)</f>
        <v>0</v>
      </c>
      <c r="W53" s="27" t="str">
        <f aca="false">IF(V53=0,"",IF(V53&lt;&gt;Hasil!$C$4,"Data kosong/tidak lengkap",IF(SUM(B53:U53)&lt;&gt;V53,"Kategori tidak dikenal","OK")))</f>
        <v/>
      </c>
      <c r="X53" s="26" t="n">
        <f aca="false">IF(OR(W53="",W53="OK"),0,1)</f>
        <v>0</v>
      </c>
    </row>
    <row r="54" customFormat="false" ht="15" hidden="false" customHeight="false" outlineLevel="0" collapsed="false">
      <c r="A54" s="26" t="n">
        <f aca="false">Data!A54</f>
        <v>49</v>
      </c>
      <c r="B54" s="26" t="n">
        <f aca="false">IF(INDEX(Pengaturan!$B$8:$B$27,B$4)="",0,COUNTIF(Data!$B54:$U54,INDEX(Pengaturan!$B$8:$B$27,B$4)))</f>
        <v>0</v>
      </c>
      <c r="C54" s="26" t="n">
        <f aca="false">IF(INDEX(Pengaturan!$B$8:$B$27,C$4)="",0,COUNTIF(Data!$B54:$U54,INDEX(Pengaturan!$B$8:$B$27,C$4)))</f>
        <v>0</v>
      </c>
      <c r="D54" s="26" t="n">
        <f aca="false">IF(INDEX(Pengaturan!$B$8:$B$27,D$4)="",0,COUNTIF(Data!$B54:$U54,INDEX(Pengaturan!$B$8:$B$27,D$4)))</f>
        <v>0</v>
      </c>
      <c r="E54" s="26" t="n">
        <f aca="false">IF(INDEX(Pengaturan!$B$8:$B$27,E$4)="",0,COUNTIF(Data!$B54:$U54,INDEX(Pengaturan!$B$8:$B$27,E$4)))</f>
        <v>0</v>
      </c>
      <c r="F54" s="26" t="n">
        <f aca="false">IF(INDEX(Pengaturan!$B$8:$B$27,F$4)="",0,COUNTIF(Data!$B54:$U54,INDEX(Pengaturan!$B$8:$B$27,F$4)))</f>
        <v>0</v>
      </c>
      <c r="G54" s="26" t="n">
        <f aca="false">IF(INDEX(Pengaturan!$B$8:$B$27,G$4)="",0,COUNTIF(Data!$B54:$U54,INDEX(Pengaturan!$B$8:$B$27,G$4)))</f>
        <v>0</v>
      </c>
      <c r="H54" s="26" t="n">
        <f aca="false">IF(INDEX(Pengaturan!$B$8:$B$27,H$4)="",0,COUNTIF(Data!$B54:$U54,INDEX(Pengaturan!$B$8:$B$27,H$4)))</f>
        <v>0</v>
      </c>
      <c r="I54" s="26" t="n">
        <f aca="false">IF(INDEX(Pengaturan!$B$8:$B$27,I$4)="",0,COUNTIF(Data!$B54:$U54,INDEX(Pengaturan!$B$8:$B$27,I$4)))</f>
        <v>0</v>
      </c>
      <c r="J54" s="26" t="n">
        <f aca="false">IF(INDEX(Pengaturan!$B$8:$B$27,J$4)="",0,COUNTIF(Data!$B54:$U54,INDEX(Pengaturan!$B$8:$B$27,J$4)))</f>
        <v>0</v>
      </c>
      <c r="K54" s="26" t="n">
        <f aca="false">IF(INDEX(Pengaturan!$B$8:$B$27,K$4)="",0,COUNTIF(Data!$B54:$U54,INDEX(Pengaturan!$B$8:$B$27,K$4)))</f>
        <v>0</v>
      </c>
      <c r="L54" s="26" t="n">
        <f aca="false">IF(INDEX(Pengaturan!$B$8:$B$27,L$4)="",0,COUNTIF(Data!$B54:$U54,INDEX(Pengaturan!$B$8:$B$27,L$4)))</f>
        <v>0</v>
      </c>
      <c r="M54" s="26" t="n">
        <f aca="false">IF(INDEX(Pengaturan!$B$8:$B$27,M$4)="",0,COUNTIF(Data!$B54:$U54,INDEX(Pengaturan!$B$8:$B$27,M$4)))</f>
        <v>0</v>
      </c>
      <c r="N54" s="26" t="n">
        <f aca="false">IF(INDEX(Pengaturan!$B$8:$B$27,N$4)="",0,COUNTIF(Data!$B54:$U54,INDEX(Pengaturan!$B$8:$B$27,N$4)))</f>
        <v>0</v>
      </c>
      <c r="O54" s="26" t="n">
        <f aca="false">IF(INDEX(Pengaturan!$B$8:$B$27,O$4)="",0,COUNTIF(Data!$B54:$U54,INDEX(Pengaturan!$B$8:$B$27,O$4)))</f>
        <v>0</v>
      </c>
      <c r="P54" s="26" t="n">
        <f aca="false">IF(INDEX(Pengaturan!$B$8:$B$27,P$4)="",0,COUNTIF(Data!$B54:$U54,INDEX(Pengaturan!$B$8:$B$27,P$4)))</f>
        <v>0</v>
      </c>
      <c r="Q54" s="26" t="n">
        <f aca="false">IF(INDEX(Pengaturan!$B$8:$B$27,Q$4)="",0,COUNTIF(Data!$B54:$U54,INDEX(Pengaturan!$B$8:$B$27,Q$4)))</f>
        <v>0</v>
      </c>
      <c r="R54" s="26" t="n">
        <f aca="false">IF(INDEX(Pengaturan!$B$8:$B$27,R$4)="",0,COUNTIF(Data!$B54:$U54,INDEX(Pengaturan!$B$8:$B$27,R$4)))</f>
        <v>0</v>
      </c>
      <c r="S54" s="26" t="n">
        <f aca="false">IF(INDEX(Pengaturan!$B$8:$B$27,S$4)="",0,COUNTIF(Data!$B54:$U54,INDEX(Pengaturan!$B$8:$B$27,S$4)))</f>
        <v>0</v>
      </c>
      <c r="T54" s="26" t="n">
        <f aca="false">IF(INDEX(Pengaturan!$B$8:$B$27,T$4)="",0,COUNTIF(Data!$B54:$U54,INDEX(Pengaturan!$B$8:$B$27,T$4)))</f>
        <v>0</v>
      </c>
      <c r="U54" s="26" t="n">
        <f aca="false">IF(INDEX(Pengaturan!$B$8:$B$27,U$4)="",0,COUNTIF(Data!$B54:$U54,INDEX(Pengaturan!$B$8:$B$27,U$4)))</f>
        <v>0</v>
      </c>
      <c r="V54" s="26" t="n">
        <f aca="false">COUNTA(Data!$B54:$U54)</f>
        <v>0</v>
      </c>
      <c r="W54" s="27" t="str">
        <f aca="false">IF(V54=0,"",IF(V54&lt;&gt;Hasil!$C$4,"Data kosong/tidak lengkap",IF(SUM(B54:U54)&lt;&gt;V54,"Kategori tidak dikenal","OK")))</f>
        <v/>
      </c>
      <c r="X54" s="26" t="n">
        <f aca="false">IF(OR(W54="",W54="OK"),0,1)</f>
        <v>0</v>
      </c>
    </row>
    <row r="55" customFormat="false" ht="15" hidden="false" customHeight="false" outlineLevel="0" collapsed="false">
      <c r="A55" s="26" t="n">
        <f aca="false">Data!A55</f>
        <v>50</v>
      </c>
      <c r="B55" s="26" t="n">
        <f aca="false">IF(INDEX(Pengaturan!$B$8:$B$27,B$4)="",0,COUNTIF(Data!$B55:$U55,INDEX(Pengaturan!$B$8:$B$27,B$4)))</f>
        <v>0</v>
      </c>
      <c r="C55" s="26" t="n">
        <f aca="false">IF(INDEX(Pengaturan!$B$8:$B$27,C$4)="",0,COUNTIF(Data!$B55:$U55,INDEX(Pengaturan!$B$8:$B$27,C$4)))</f>
        <v>0</v>
      </c>
      <c r="D55" s="26" t="n">
        <f aca="false">IF(INDEX(Pengaturan!$B$8:$B$27,D$4)="",0,COUNTIF(Data!$B55:$U55,INDEX(Pengaturan!$B$8:$B$27,D$4)))</f>
        <v>0</v>
      </c>
      <c r="E55" s="26" t="n">
        <f aca="false">IF(INDEX(Pengaturan!$B$8:$B$27,E$4)="",0,COUNTIF(Data!$B55:$U55,INDEX(Pengaturan!$B$8:$B$27,E$4)))</f>
        <v>0</v>
      </c>
      <c r="F55" s="26" t="n">
        <f aca="false">IF(INDEX(Pengaturan!$B$8:$B$27,F$4)="",0,COUNTIF(Data!$B55:$U55,INDEX(Pengaturan!$B$8:$B$27,F$4)))</f>
        <v>0</v>
      </c>
      <c r="G55" s="26" t="n">
        <f aca="false">IF(INDEX(Pengaturan!$B$8:$B$27,G$4)="",0,COUNTIF(Data!$B55:$U55,INDEX(Pengaturan!$B$8:$B$27,G$4)))</f>
        <v>0</v>
      </c>
      <c r="H55" s="26" t="n">
        <f aca="false">IF(INDEX(Pengaturan!$B$8:$B$27,H$4)="",0,COUNTIF(Data!$B55:$U55,INDEX(Pengaturan!$B$8:$B$27,H$4)))</f>
        <v>0</v>
      </c>
      <c r="I55" s="26" t="n">
        <f aca="false">IF(INDEX(Pengaturan!$B$8:$B$27,I$4)="",0,COUNTIF(Data!$B55:$U55,INDEX(Pengaturan!$B$8:$B$27,I$4)))</f>
        <v>0</v>
      </c>
      <c r="J55" s="26" t="n">
        <f aca="false">IF(INDEX(Pengaturan!$B$8:$B$27,J$4)="",0,COUNTIF(Data!$B55:$U55,INDEX(Pengaturan!$B$8:$B$27,J$4)))</f>
        <v>0</v>
      </c>
      <c r="K55" s="26" t="n">
        <f aca="false">IF(INDEX(Pengaturan!$B$8:$B$27,K$4)="",0,COUNTIF(Data!$B55:$U55,INDEX(Pengaturan!$B$8:$B$27,K$4)))</f>
        <v>0</v>
      </c>
      <c r="L55" s="26" t="n">
        <f aca="false">IF(INDEX(Pengaturan!$B$8:$B$27,L$4)="",0,COUNTIF(Data!$B55:$U55,INDEX(Pengaturan!$B$8:$B$27,L$4)))</f>
        <v>0</v>
      </c>
      <c r="M55" s="26" t="n">
        <f aca="false">IF(INDEX(Pengaturan!$B$8:$B$27,M$4)="",0,COUNTIF(Data!$B55:$U55,INDEX(Pengaturan!$B$8:$B$27,M$4)))</f>
        <v>0</v>
      </c>
      <c r="N55" s="26" t="n">
        <f aca="false">IF(INDEX(Pengaturan!$B$8:$B$27,N$4)="",0,COUNTIF(Data!$B55:$U55,INDEX(Pengaturan!$B$8:$B$27,N$4)))</f>
        <v>0</v>
      </c>
      <c r="O55" s="26" t="n">
        <f aca="false">IF(INDEX(Pengaturan!$B$8:$B$27,O$4)="",0,COUNTIF(Data!$B55:$U55,INDEX(Pengaturan!$B$8:$B$27,O$4)))</f>
        <v>0</v>
      </c>
      <c r="P55" s="26" t="n">
        <f aca="false">IF(INDEX(Pengaturan!$B$8:$B$27,P$4)="",0,COUNTIF(Data!$B55:$U55,INDEX(Pengaturan!$B$8:$B$27,P$4)))</f>
        <v>0</v>
      </c>
      <c r="Q55" s="26" t="n">
        <f aca="false">IF(INDEX(Pengaturan!$B$8:$B$27,Q$4)="",0,COUNTIF(Data!$B55:$U55,INDEX(Pengaturan!$B$8:$B$27,Q$4)))</f>
        <v>0</v>
      </c>
      <c r="R55" s="26" t="n">
        <f aca="false">IF(INDEX(Pengaturan!$B$8:$B$27,R$4)="",0,COUNTIF(Data!$B55:$U55,INDEX(Pengaturan!$B$8:$B$27,R$4)))</f>
        <v>0</v>
      </c>
      <c r="S55" s="26" t="n">
        <f aca="false">IF(INDEX(Pengaturan!$B$8:$B$27,S$4)="",0,COUNTIF(Data!$B55:$U55,INDEX(Pengaturan!$B$8:$B$27,S$4)))</f>
        <v>0</v>
      </c>
      <c r="T55" s="26" t="n">
        <f aca="false">IF(INDEX(Pengaturan!$B$8:$B$27,T$4)="",0,COUNTIF(Data!$B55:$U55,INDEX(Pengaturan!$B$8:$B$27,T$4)))</f>
        <v>0</v>
      </c>
      <c r="U55" s="26" t="n">
        <f aca="false">IF(INDEX(Pengaturan!$B$8:$B$27,U$4)="",0,COUNTIF(Data!$B55:$U55,INDEX(Pengaturan!$B$8:$B$27,U$4)))</f>
        <v>0</v>
      </c>
      <c r="V55" s="26" t="n">
        <f aca="false">COUNTA(Data!$B55:$U55)</f>
        <v>0</v>
      </c>
      <c r="W55" s="27" t="str">
        <f aca="false">IF(V55=0,"",IF(V55&lt;&gt;Hasil!$C$4,"Data kosong/tidak lengkap",IF(SUM(B55:U55)&lt;&gt;V55,"Kategori tidak dikenal","OK")))</f>
        <v/>
      </c>
      <c r="X55" s="26" t="n">
        <f aca="false">IF(OR(W55="",W55="OK"),0,1)</f>
        <v>0</v>
      </c>
    </row>
    <row r="56" customFormat="false" ht="15" hidden="false" customHeight="false" outlineLevel="0" collapsed="false">
      <c r="A56" s="26" t="n">
        <f aca="false">Data!A56</f>
        <v>51</v>
      </c>
      <c r="B56" s="26" t="n">
        <f aca="false">IF(INDEX(Pengaturan!$B$8:$B$27,B$4)="",0,COUNTIF(Data!$B56:$U56,INDEX(Pengaturan!$B$8:$B$27,B$4)))</f>
        <v>0</v>
      </c>
      <c r="C56" s="26" t="n">
        <f aca="false">IF(INDEX(Pengaturan!$B$8:$B$27,C$4)="",0,COUNTIF(Data!$B56:$U56,INDEX(Pengaturan!$B$8:$B$27,C$4)))</f>
        <v>0</v>
      </c>
      <c r="D56" s="26" t="n">
        <f aca="false">IF(INDEX(Pengaturan!$B$8:$B$27,D$4)="",0,COUNTIF(Data!$B56:$U56,INDEX(Pengaturan!$B$8:$B$27,D$4)))</f>
        <v>0</v>
      </c>
      <c r="E56" s="26" t="n">
        <f aca="false">IF(INDEX(Pengaturan!$B$8:$B$27,E$4)="",0,COUNTIF(Data!$B56:$U56,INDEX(Pengaturan!$B$8:$B$27,E$4)))</f>
        <v>0</v>
      </c>
      <c r="F56" s="26" t="n">
        <f aca="false">IF(INDEX(Pengaturan!$B$8:$B$27,F$4)="",0,COUNTIF(Data!$B56:$U56,INDEX(Pengaturan!$B$8:$B$27,F$4)))</f>
        <v>0</v>
      </c>
      <c r="G56" s="26" t="n">
        <f aca="false">IF(INDEX(Pengaturan!$B$8:$B$27,G$4)="",0,COUNTIF(Data!$B56:$U56,INDEX(Pengaturan!$B$8:$B$27,G$4)))</f>
        <v>0</v>
      </c>
      <c r="H56" s="26" t="n">
        <f aca="false">IF(INDEX(Pengaturan!$B$8:$B$27,H$4)="",0,COUNTIF(Data!$B56:$U56,INDEX(Pengaturan!$B$8:$B$27,H$4)))</f>
        <v>0</v>
      </c>
      <c r="I56" s="26" t="n">
        <f aca="false">IF(INDEX(Pengaturan!$B$8:$B$27,I$4)="",0,COUNTIF(Data!$B56:$U56,INDEX(Pengaturan!$B$8:$B$27,I$4)))</f>
        <v>0</v>
      </c>
      <c r="J56" s="26" t="n">
        <f aca="false">IF(INDEX(Pengaturan!$B$8:$B$27,J$4)="",0,COUNTIF(Data!$B56:$U56,INDEX(Pengaturan!$B$8:$B$27,J$4)))</f>
        <v>0</v>
      </c>
      <c r="K56" s="26" t="n">
        <f aca="false">IF(INDEX(Pengaturan!$B$8:$B$27,K$4)="",0,COUNTIF(Data!$B56:$U56,INDEX(Pengaturan!$B$8:$B$27,K$4)))</f>
        <v>0</v>
      </c>
      <c r="L56" s="26" t="n">
        <f aca="false">IF(INDEX(Pengaturan!$B$8:$B$27,L$4)="",0,COUNTIF(Data!$B56:$U56,INDEX(Pengaturan!$B$8:$B$27,L$4)))</f>
        <v>0</v>
      </c>
      <c r="M56" s="26" t="n">
        <f aca="false">IF(INDEX(Pengaturan!$B$8:$B$27,M$4)="",0,COUNTIF(Data!$B56:$U56,INDEX(Pengaturan!$B$8:$B$27,M$4)))</f>
        <v>0</v>
      </c>
      <c r="N56" s="26" t="n">
        <f aca="false">IF(INDEX(Pengaturan!$B$8:$B$27,N$4)="",0,COUNTIF(Data!$B56:$U56,INDEX(Pengaturan!$B$8:$B$27,N$4)))</f>
        <v>0</v>
      </c>
      <c r="O56" s="26" t="n">
        <f aca="false">IF(INDEX(Pengaturan!$B$8:$B$27,O$4)="",0,COUNTIF(Data!$B56:$U56,INDEX(Pengaturan!$B$8:$B$27,O$4)))</f>
        <v>0</v>
      </c>
      <c r="P56" s="26" t="n">
        <f aca="false">IF(INDEX(Pengaturan!$B$8:$B$27,P$4)="",0,COUNTIF(Data!$B56:$U56,INDEX(Pengaturan!$B$8:$B$27,P$4)))</f>
        <v>0</v>
      </c>
      <c r="Q56" s="26" t="n">
        <f aca="false">IF(INDEX(Pengaturan!$B$8:$B$27,Q$4)="",0,COUNTIF(Data!$B56:$U56,INDEX(Pengaturan!$B$8:$B$27,Q$4)))</f>
        <v>0</v>
      </c>
      <c r="R56" s="26" t="n">
        <f aca="false">IF(INDEX(Pengaturan!$B$8:$B$27,R$4)="",0,COUNTIF(Data!$B56:$U56,INDEX(Pengaturan!$B$8:$B$27,R$4)))</f>
        <v>0</v>
      </c>
      <c r="S56" s="26" t="n">
        <f aca="false">IF(INDEX(Pengaturan!$B$8:$B$27,S$4)="",0,COUNTIF(Data!$B56:$U56,INDEX(Pengaturan!$B$8:$B$27,S$4)))</f>
        <v>0</v>
      </c>
      <c r="T56" s="26" t="n">
        <f aca="false">IF(INDEX(Pengaturan!$B$8:$B$27,T$4)="",0,COUNTIF(Data!$B56:$U56,INDEX(Pengaturan!$B$8:$B$27,T$4)))</f>
        <v>0</v>
      </c>
      <c r="U56" s="26" t="n">
        <f aca="false">IF(INDEX(Pengaturan!$B$8:$B$27,U$4)="",0,COUNTIF(Data!$B56:$U56,INDEX(Pengaturan!$B$8:$B$27,U$4)))</f>
        <v>0</v>
      </c>
      <c r="V56" s="26" t="n">
        <f aca="false">COUNTA(Data!$B56:$U56)</f>
        <v>0</v>
      </c>
      <c r="W56" s="27" t="str">
        <f aca="false">IF(V56=0,"",IF(V56&lt;&gt;Hasil!$C$4,"Data kosong/tidak lengkap",IF(SUM(B56:U56)&lt;&gt;V56,"Kategori tidak dikenal","OK")))</f>
        <v/>
      </c>
      <c r="X56" s="26" t="n">
        <f aca="false">IF(OR(W56="",W56="OK"),0,1)</f>
        <v>0</v>
      </c>
    </row>
    <row r="57" customFormat="false" ht="15" hidden="false" customHeight="false" outlineLevel="0" collapsed="false">
      <c r="A57" s="26" t="n">
        <f aca="false">Data!A57</f>
        <v>52</v>
      </c>
      <c r="B57" s="26" t="n">
        <f aca="false">IF(INDEX(Pengaturan!$B$8:$B$27,B$4)="",0,COUNTIF(Data!$B57:$U57,INDEX(Pengaturan!$B$8:$B$27,B$4)))</f>
        <v>0</v>
      </c>
      <c r="C57" s="26" t="n">
        <f aca="false">IF(INDEX(Pengaturan!$B$8:$B$27,C$4)="",0,COUNTIF(Data!$B57:$U57,INDEX(Pengaturan!$B$8:$B$27,C$4)))</f>
        <v>0</v>
      </c>
      <c r="D57" s="26" t="n">
        <f aca="false">IF(INDEX(Pengaturan!$B$8:$B$27,D$4)="",0,COUNTIF(Data!$B57:$U57,INDEX(Pengaturan!$B$8:$B$27,D$4)))</f>
        <v>0</v>
      </c>
      <c r="E57" s="26" t="n">
        <f aca="false">IF(INDEX(Pengaturan!$B$8:$B$27,E$4)="",0,COUNTIF(Data!$B57:$U57,INDEX(Pengaturan!$B$8:$B$27,E$4)))</f>
        <v>0</v>
      </c>
      <c r="F57" s="26" t="n">
        <f aca="false">IF(INDEX(Pengaturan!$B$8:$B$27,F$4)="",0,COUNTIF(Data!$B57:$U57,INDEX(Pengaturan!$B$8:$B$27,F$4)))</f>
        <v>0</v>
      </c>
      <c r="G57" s="26" t="n">
        <f aca="false">IF(INDEX(Pengaturan!$B$8:$B$27,G$4)="",0,COUNTIF(Data!$B57:$U57,INDEX(Pengaturan!$B$8:$B$27,G$4)))</f>
        <v>0</v>
      </c>
      <c r="H57" s="26" t="n">
        <f aca="false">IF(INDEX(Pengaturan!$B$8:$B$27,H$4)="",0,COUNTIF(Data!$B57:$U57,INDEX(Pengaturan!$B$8:$B$27,H$4)))</f>
        <v>0</v>
      </c>
      <c r="I57" s="26" t="n">
        <f aca="false">IF(INDEX(Pengaturan!$B$8:$B$27,I$4)="",0,COUNTIF(Data!$B57:$U57,INDEX(Pengaturan!$B$8:$B$27,I$4)))</f>
        <v>0</v>
      </c>
      <c r="J57" s="26" t="n">
        <f aca="false">IF(INDEX(Pengaturan!$B$8:$B$27,J$4)="",0,COUNTIF(Data!$B57:$U57,INDEX(Pengaturan!$B$8:$B$27,J$4)))</f>
        <v>0</v>
      </c>
      <c r="K57" s="26" t="n">
        <f aca="false">IF(INDEX(Pengaturan!$B$8:$B$27,K$4)="",0,COUNTIF(Data!$B57:$U57,INDEX(Pengaturan!$B$8:$B$27,K$4)))</f>
        <v>0</v>
      </c>
      <c r="L57" s="26" t="n">
        <f aca="false">IF(INDEX(Pengaturan!$B$8:$B$27,L$4)="",0,COUNTIF(Data!$B57:$U57,INDEX(Pengaturan!$B$8:$B$27,L$4)))</f>
        <v>0</v>
      </c>
      <c r="M57" s="26" t="n">
        <f aca="false">IF(INDEX(Pengaturan!$B$8:$B$27,M$4)="",0,COUNTIF(Data!$B57:$U57,INDEX(Pengaturan!$B$8:$B$27,M$4)))</f>
        <v>0</v>
      </c>
      <c r="N57" s="26" t="n">
        <f aca="false">IF(INDEX(Pengaturan!$B$8:$B$27,N$4)="",0,COUNTIF(Data!$B57:$U57,INDEX(Pengaturan!$B$8:$B$27,N$4)))</f>
        <v>0</v>
      </c>
      <c r="O57" s="26" t="n">
        <f aca="false">IF(INDEX(Pengaturan!$B$8:$B$27,O$4)="",0,COUNTIF(Data!$B57:$U57,INDEX(Pengaturan!$B$8:$B$27,O$4)))</f>
        <v>0</v>
      </c>
      <c r="P57" s="26" t="n">
        <f aca="false">IF(INDEX(Pengaturan!$B$8:$B$27,P$4)="",0,COUNTIF(Data!$B57:$U57,INDEX(Pengaturan!$B$8:$B$27,P$4)))</f>
        <v>0</v>
      </c>
      <c r="Q57" s="26" t="n">
        <f aca="false">IF(INDEX(Pengaturan!$B$8:$B$27,Q$4)="",0,COUNTIF(Data!$B57:$U57,INDEX(Pengaturan!$B$8:$B$27,Q$4)))</f>
        <v>0</v>
      </c>
      <c r="R57" s="26" t="n">
        <f aca="false">IF(INDEX(Pengaturan!$B$8:$B$27,R$4)="",0,COUNTIF(Data!$B57:$U57,INDEX(Pengaturan!$B$8:$B$27,R$4)))</f>
        <v>0</v>
      </c>
      <c r="S57" s="26" t="n">
        <f aca="false">IF(INDEX(Pengaturan!$B$8:$B$27,S$4)="",0,COUNTIF(Data!$B57:$U57,INDEX(Pengaturan!$B$8:$B$27,S$4)))</f>
        <v>0</v>
      </c>
      <c r="T57" s="26" t="n">
        <f aca="false">IF(INDEX(Pengaturan!$B$8:$B$27,T$4)="",0,COUNTIF(Data!$B57:$U57,INDEX(Pengaturan!$B$8:$B$27,T$4)))</f>
        <v>0</v>
      </c>
      <c r="U57" s="26" t="n">
        <f aca="false">IF(INDEX(Pengaturan!$B$8:$B$27,U$4)="",0,COUNTIF(Data!$B57:$U57,INDEX(Pengaturan!$B$8:$B$27,U$4)))</f>
        <v>0</v>
      </c>
      <c r="V57" s="26" t="n">
        <f aca="false">COUNTA(Data!$B57:$U57)</f>
        <v>0</v>
      </c>
      <c r="W57" s="27" t="str">
        <f aca="false">IF(V57=0,"",IF(V57&lt;&gt;Hasil!$C$4,"Data kosong/tidak lengkap",IF(SUM(B57:U57)&lt;&gt;V57,"Kategori tidak dikenal","OK")))</f>
        <v/>
      </c>
      <c r="X57" s="26" t="n">
        <f aca="false">IF(OR(W57="",W57="OK"),0,1)</f>
        <v>0</v>
      </c>
    </row>
    <row r="58" customFormat="false" ht="15" hidden="false" customHeight="false" outlineLevel="0" collapsed="false">
      <c r="A58" s="26" t="n">
        <f aca="false">Data!A58</f>
        <v>53</v>
      </c>
      <c r="B58" s="26" t="n">
        <f aca="false">IF(INDEX(Pengaturan!$B$8:$B$27,B$4)="",0,COUNTIF(Data!$B58:$U58,INDEX(Pengaturan!$B$8:$B$27,B$4)))</f>
        <v>0</v>
      </c>
      <c r="C58" s="26" t="n">
        <f aca="false">IF(INDEX(Pengaturan!$B$8:$B$27,C$4)="",0,COUNTIF(Data!$B58:$U58,INDEX(Pengaturan!$B$8:$B$27,C$4)))</f>
        <v>0</v>
      </c>
      <c r="D58" s="26" t="n">
        <f aca="false">IF(INDEX(Pengaturan!$B$8:$B$27,D$4)="",0,COUNTIF(Data!$B58:$U58,INDEX(Pengaturan!$B$8:$B$27,D$4)))</f>
        <v>0</v>
      </c>
      <c r="E58" s="26" t="n">
        <f aca="false">IF(INDEX(Pengaturan!$B$8:$B$27,E$4)="",0,COUNTIF(Data!$B58:$U58,INDEX(Pengaturan!$B$8:$B$27,E$4)))</f>
        <v>0</v>
      </c>
      <c r="F58" s="26" t="n">
        <f aca="false">IF(INDEX(Pengaturan!$B$8:$B$27,F$4)="",0,COUNTIF(Data!$B58:$U58,INDEX(Pengaturan!$B$8:$B$27,F$4)))</f>
        <v>0</v>
      </c>
      <c r="G58" s="26" t="n">
        <f aca="false">IF(INDEX(Pengaturan!$B$8:$B$27,G$4)="",0,COUNTIF(Data!$B58:$U58,INDEX(Pengaturan!$B$8:$B$27,G$4)))</f>
        <v>0</v>
      </c>
      <c r="H58" s="26" t="n">
        <f aca="false">IF(INDEX(Pengaturan!$B$8:$B$27,H$4)="",0,COUNTIF(Data!$B58:$U58,INDEX(Pengaturan!$B$8:$B$27,H$4)))</f>
        <v>0</v>
      </c>
      <c r="I58" s="26" t="n">
        <f aca="false">IF(INDEX(Pengaturan!$B$8:$B$27,I$4)="",0,COUNTIF(Data!$B58:$U58,INDEX(Pengaturan!$B$8:$B$27,I$4)))</f>
        <v>0</v>
      </c>
      <c r="J58" s="26" t="n">
        <f aca="false">IF(INDEX(Pengaturan!$B$8:$B$27,J$4)="",0,COUNTIF(Data!$B58:$U58,INDEX(Pengaturan!$B$8:$B$27,J$4)))</f>
        <v>0</v>
      </c>
      <c r="K58" s="26" t="n">
        <f aca="false">IF(INDEX(Pengaturan!$B$8:$B$27,K$4)="",0,COUNTIF(Data!$B58:$U58,INDEX(Pengaturan!$B$8:$B$27,K$4)))</f>
        <v>0</v>
      </c>
      <c r="L58" s="26" t="n">
        <f aca="false">IF(INDEX(Pengaturan!$B$8:$B$27,L$4)="",0,COUNTIF(Data!$B58:$U58,INDEX(Pengaturan!$B$8:$B$27,L$4)))</f>
        <v>0</v>
      </c>
      <c r="M58" s="26" t="n">
        <f aca="false">IF(INDEX(Pengaturan!$B$8:$B$27,M$4)="",0,COUNTIF(Data!$B58:$U58,INDEX(Pengaturan!$B$8:$B$27,M$4)))</f>
        <v>0</v>
      </c>
      <c r="N58" s="26" t="n">
        <f aca="false">IF(INDEX(Pengaturan!$B$8:$B$27,N$4)="",0,COUNTIF(Data!$B58:$U58,INDEX(Pengaturan!$B$8:$B$27,N$4)))</f>
        <v>0</v>
      </c>
      <c r="O58" s="26" t="n">
        <f aca="false">IF(INDEX(Pengaturan!$B$8:$B$27,O$4)="",0,COUNTIF(Data!$B58:$U58,INDEX(Pengaturan!$B$8:$B$27,O$4)))</f>
        <v>0</v>
      </c>
      <c r="P58" s="26" t="n">
        <f aca="false">IF(INDEX(Pengaturan!$B$8:$B$27,P$4)="",0,COUNTIF(Data!$B58:$U58,INDEX(Pengaturan!$B$8:$B$27,P$4)))</f>
        <v>0</v>
      </c>
      <c r="Q58" s="26" t="n">
        <f aca="false">IF(INDEX(Pengaturan!$B$8:$B$27,Q$4)="",0,COUNTIF(Data!$B58:$U58,INDEX(Pengaturan!$B$8:$B$27,Q$4)))</f>
        <v>0</v>
      </c>
      <c r="R58" s="26" t="n">
        <f aca="false">IF(INDEX(Pengaturan!$B$8:$B$27,R$4)="",0,COUNTIF(Data!$B58:$U58,INDEX(Pengaturan!$B$8:$B$27,R$4)))</f>
        <v>0</v>
      </c>
      <c r="S58" s="26" t="n">
        <f aca="false">IF(INDEX(Pengaturan!$B$8:$B$27,S$4)="",0,COUNTIF(Data!$B58:$U58,INDEX(Pengaturan!$B$8:$B$27,S$4)))</f>
        <v>0</v>
      </c>
      <c r="T58" s="26" t="n">
        <f aca="false">IF(INDEX(Pengaturan!$B$8:$B$27,T$4)="",0,COUNTIF(Data!$B58:$U58,INDEX(Pengaturan!$B$8:$B$27,T$4)))</f>
        <v>0</v>
      </c>
      <c r="U58" s="26" t="n">
        <f aca="false">IF(INDEX(Pengaturan!$B$8:$B$27,U$4)="",0,COUNTIF(Data!$B58:$U58,INDEX(Pengaturan!$B$8:$B$27,U$4)))</f>
        <v>0</v>
      </c>
      <c r="V58" s="26" t="n">
        <f aca="false">COUNTA(Data!$B58:$U58)</f>
        <v>0</v>
      </c>
      <c r="W58" s="27" t="str">
        <f aca="false">IF(V58=0,"",IF(V58&lt;&gt;Hasil!$C$4,"Data kosong/tidak lengkap",IF(SUM(B58:U58)&lt;&gt;V58,"Kategori tidak dikenal","OK")))</f>
        <v/>
      </c>
      <c r="X58" s="26" t="n">
        <f aca="false">IF(OR(W58="",W58="OK"),0,1)</f>
        <v>0</v>
      </c>
    </row>
    <row r="59" customFormat="false" ht="15" hidden="false" customHeight="false" outlineLevel="0" collapsed="false">
      <c r="A59" s="26" t="n">
        <f aca="false">Data!A59</f>
        <v>54</v>
      </c>
      <c r="B59" s="26" t="n">
        <f aca="false">IF(INDEX(Pengaturan!$B$8:$B$27,B$4)="",0,COUNTIF(Data!$B59:$U59,INDEX(Pengaturan!$B$8:$B$27,B$4)))</f>
        <v>0</v>
      </c>
      <c r="C59" s="26" t="n">
        <f aca="false">IF(INDEX(Pengaturan!$B$8:$B$27,C$4)="",0,COUNTIF(Data!$B59:$U59,INDEX(Pengaturan!$B$8:$B$27,C$4)))</f>
        <v>0</v>
      </c>
      <c r="D59" s="26" t="n">
        <f aca="false">IF(INDEX(Pengaturan!$B$8:$B$27,D$4)="",0,COUNTIF(Data!$B59:$U59,INDEX(Pengaturan!$B$8:$B$27,D$4)))</f>
        <v>0</v>
      </c>
      <c r="E59" s="26" t="n">
        <f aca="false">IF(INDEX(Pengaturan!$B$8:$B$27,E$4)="",0,COUNTIF(Data!$B59:$U59,INDEX(Pengaturan!$B$8:$B$27,E$4)))</f>
        <v>0</v>
      </c>
      <c r="F59" s="26" t="n">
        <f aca="false">IF(INDEX(Pengaturan!$B$8:$B$27,F$4)="",0,COUNTIF(Data!$B59:$U59,INDEX(Pengaturan!$B$8:$B$27,F$4)))</f>
        <v>0</v>
      </c>
      <c r="G59" s="26" t="n">
        <f aca="false">IF(INDEX(Pengaturan!$B$8:$B$27,G$4)="",0,COUNTIF(Data!$B59:$U59,INDEX(Pengaturan!$B$8:$B$27,G$4)))</f>
        <v>0</v>
      </c>
      <c r="H59" s="26" t="n">
        <f aca="false">IF(INDEX(Pengaturan!$B$8:$B$27,H$4)="",0,COUNTIF(Data!$B59:$U59,INDEX(Pengaturan!$B$8:$B$27,H$4)))</f>
        <v>0</v>
      </c>
      <c r="I59" s="26" t="n">
        <f aca="false">IF(INDEX(Pengaturan!$B$8:$B$27,I$4)="",0,COUNTIF(Data!$B59:$U59,INDEX(Pengaturan!$B$8:$B$27,I$4)))</f>
        <v>0</v>
      </c>
      <c r="J59" s="26" t="n">
        <f aca="false">IF(INDEX(Pengaturan!$B$8:$B$27,J$4)="",0,COUNTIF(Data!$B59:$U59,INDEX(Pengaturan!$B$8:$B$27,J$4)))</f>
        <v>0</v>
      </c>
      <c r="K59" s="26" t="n">
        <f aca="false">IF(INDEX(Pengaturan!$B$8:$B$27,K$4)="",0,COUNTIF(Data!$B59:$U59,INDEX(Pengaturan!$B$8:$B$27,K$4)))</f>
        <v>0</v>
      </c>
      <c r="L59" s="26" t="n">
        <f aca="false">IF(INDEX(Pengaturan!$B$8:$B$27,L$4)="",0,COUNTIF(Data!$B59:$U59,INDEX(Pengaturan!$B$8:$B$27,L$4)))</f>
        <v>0</v>
      </c>
      <c r="M59" s="26" t="n">
        <f aca="false">IF(INDEX(Pengaturan!$B$8:$B$27,M$4)="",0,COUNTIF(Data!$B59:$U59,INDEX(Pengaturan!$B$8:$B$27,M$4)))</f>
        <v>0</v>
      </c>
      <c r="N59" s="26" t="n">
        <f aca="false">IF(INDEX(Pengaturan!$B$8:$B$27,N$4)="",0,COUNTIF(Data!$B59:$U59,INDEX(Pengaturan!$B$8:$B$27,N$4)))</f>
        <v>0</v>
      </c>
      <c r="O59" s="26" t="n">
        <f aca="false">IF(INDEX(Pengaturan!$B$8:$B$27,O$4)="",0,COUNTIF(Data!$B59:$U59,INDEX(Pengaturan!$B$8:$B$27,O$4)))</f>
        <v>0</v>
      </c>
      <c r="P59" s="26" t="n">
        <f aca="false">IF(INDEX(Pengaturan!$B$8:$B$27,P$4)="",0,COUNTIF(Data!$B59:$U59,INDEX(Pengaturan!$B$8:$B$27,P$4)))</f>
        <v>0</v>
      </c>
      <c r="Q59" s="26" t="n">
        <f aca="false">IF(INDEX(Pengaturan!$B$8:$B$27,Q$4)="",0,COUNTIF(Data!$B59:$U59,INDEX(Pengaturan!$B$8:$B$27,Q$4)))</f>
        <v>0</v>
      </c>
      <c r="R59" s="26" t="n">
        <f aca="false">IF(INDEX(Pengaturan!$B$8:$B$27,R$4)="",0,COUNTIF(Data!$B59:$U59,INDEX(Pengaturan!$B$8:$B$27,R$4)))</f>
        <v>0</v>
      </c>
      <c r="S59" s="26" t="n">
        <f aca="false">IF(INDEX(Pengaturan!$B$8:$B$27,S$4)="",0,COUNTIF(Data!$B59:$U59,INDEX(Pengaturan!$B$8:$B$27,S$4)))</f>
        <v>0</v>
      </c>
      <c r="T59" s="26" t="n">
        <f aca="false">IF(INDEX(Pengaturan!$B$8:$B$27,T$4)="",0,COUNTIF(Data!$B59:$U59,INDEX(Pengaturan!$B$8:$B$27,T$4)))</f>
        <v>0</v>
      </c>
      <c r="U59" s="26" t="n">
        <f aca="false">IF(INDEX(Pengaturan!$B$8:$B$27,U$4)="",0,COUNTIF(Data!$B59:$U59,INDEX(Pengaturan!$B$8:$B$27,U$4)))</f>
        <v>0</v>
      </c>
      <c r="V59" s="26" t="n">
        <f aca="false">COUNTA(Data!$B59:$U59)</f>
        <v>0</v>
      </c>
      <c r="W59" s="27" t="str">
        <f aca="false">IF(V59=0,"",IF(V59&lt;&gt;Hasil!$C$4,"Data kosong/tidak lengkap",IF(SUM(B59:U59)&lt;&gt;V59,"Kategori tidak dikenal","OK")))</f>
        <v/>
      </c>
      <c r="X59" s="26" t="n">
        <f aca="false">IF(OR(W59="",W59="OK"),0,1)</f>
        <v>0</v>
      </c>
    </row>
    <row r="60" customFormat="false" ht="15" hidden="false" customHeight="false" outlineLevel="0" collapsed="false">
      <c r="A60" s="26" t="n">
        <f aca="false">Data!A60</f>
        <v>55</v>
      </c>
      <c r="B60" s="26" t="n">
        <f aca="false">IF(INDEX(Pengaturan!$B$8:$B$27,B$4)="",0,COUNTIF(Data!$B60:$U60,INDEX(Pengaturan!$B$8:$B$27,B$4)))</f>
        <v>0</v>
      </c>
      <c r="C60" s="26" t="n">
        <f aca="false">IF(INDEX(Pengaturan!$B$8:$B$27,C$4)="",0,COUNTIF(Data!$B60:$U60,INDEX(Pengaturan!$B$8:$B$27,C$4)))</f>
        <v>0</v>
      </c>
      <c r="D60" s="26" t="n">
        <f aca="false">IF(INDEX(Pengaturan!$B$8:$B$27,D$4)="",0,COUNTIF(Data!$B60:$U60,INDEX(Pengaturan!$B$8:$B$27,D$4)))</f>
        <v>0</v>
      </c>
      <c r="E60" s="26" t="n">
        <f aca="false">IF(INDEX(Pengaturan!$B$8:$B$27,E$4)="",0,COUNTIF(Data!$B60:$U60,INDEX(Pengaturan!$B$8:$B$27,E$4)))</f>
        <v>0</v>
      </c>
      <c r="F60" s="26" t="n">
        <f aca="false">IF(INDEX(Pengaturan!$B$8:$B$27,F$4)="",0,COUNTIF(Data!$B60:$U60,INDEX(Pengaturan!$B$8:$B$27,F$4)))</f>
        <v>0</v>
      </c>
      <c r="G60" s="26" t="n">
        <f aca="false">IF(INDEX(Pengaturan!$B$8:$B$27,G$4)="",0,COUNTIF(Data!$B60:$U60,INDEX(Pengaturan!$B$8:$B$27,G$4)))</f>
        <v>0</v>
      </c>
      <c r="H60" s="26" t="n">
        <f aca="false">IF(INDEX(Pengaturan!$B$8:$B$27,H$4)="",0,COUNTIF(Data!$B60:$U60,INDEX(Pengaturan!$B$8:$B$27,H$4)))</f>
        <v>0</v>
      </c>
      <c r="I60" s="26" t="n">
        <f aca="false">IF(INDEX(Pengaturan!$B$8:$B$27,I$4)="",0,COUNTIF(Data!$B60:$U60,INDEX(Pengaturan!$B$8:$B$27,I$4)))</f>
        <v>0</v>
      </c>
      <c r="J60" s="26" t="n">
        <f aca="false">IF(INDEX(Pengaturan!$B$8:$B$27,J$4)="",0,COUNTIF(Data!$B60:$U60,INDEX(Pengaturan!$B$8:$B$27,J$4)))</f>
        <v>0</v>
      </c>
      <c r="K60" s="26" t="n">
        <f aca="false">IF(INDEX(Pengaturan!$B$8:$B$27,K$4)="",0,COUNTIF(Data!$B60:$U60,INDEX(Pengaturan!$B$8:$B$27,K$4)))</f>
        <v>0</v>
      </c>
      <c r="L60" s="26" t="n">
        <f aca="false">IF(INDEX(Pengaturan!$B$8:$B$27,L$4)="",0,COUNTIF(Data!$B60:$U60,INDEX(Pengaturan!$B$8:$B$27,L$4)))</f>
        <v>0</v>
      </c>
      <c r="M60" s="26" t="n">
        <f aca="false">IF(INDEX(Pengaturan!$B$8:$B$27,M$4)="",0,COUNTIF(Data!$B60:$U60,INDEX(Pengaturan!$B$8:$B$27,M$4)))</f>
        <v>0</v>
      </c>
      <c r="N60" s="26" t="n">
        <f aca="false">IF(INDEX(Pengaturan!$B$8:$B$27,N$4)="",0,COUNTIF(Data!$B60:$U60,INDEX(Pengaturan!$B$8:$B$27,N$4)))</f>
        <v>0</v>
      </c>
      <c r="O60" s="26" t="n">
        <f aca="false">IF(INDEX(Pengaturan!$B$8:$B$27,O$4)="",0,COUNTIF(Data!$B60:$U60,INDEX(Pengaturan!$B$8:$B$27,O$4)))</f>
        <v>0</v>
      </c>
      <c r="P60" s="26" t="n">
        <f aca="false">IF(INDEX(Pengaturan!$B$8:$B$27,P$4)="",0,COUNTIF(Data!$B60:$U60,INDEX(Pengaturan!$B$8:$B$27,P$4)))</f>
        <v>0</v>
      </c>
      <c r="Q60" s="26" t="n">
        <f aca="false">IF(INDEX(Pengaturan!$B$8:$B$27,Q$4)="",0,COUNTIF(Data!$B60:$U60,INDEX(Pengaturan!$B$8:$B$27,Q$4)))</f>
        <v>0</v>
      </c>
      <c r="R60" s="26" t="n">
        <f aca="false">IF(INDEX(Pengaturan!$B$8:$B$27,R$4)="",0,COUNTIF(Data!$B60:$U60,INDEX(Pengaturan!$B$8:$B$27,R$4)))</f>
        <v>0</v>
      </c>
      <c r="S60" s="26" t="n">
        <f aca="false">IF(INDEX(Pengaturan!$B$8:$B$27,S$4)="",0,COUNTIF(Data!$B60:$U60,INDEX(Pengaturan!$B$8:$B$27,S$4)))</f>
        <v>0</v>
      </c>
      <c r="T60" s="26" t="n">
        <f aca="false">IF(INDEX(Pengaturan!$B$8:$B$27,T$4)="",0,COUNTIF(Data!$B60:$U60,INDEX(Pengaturan!$B$8:$B$27,T$4)))</f>
        <v>0</v>
      </c>
      <c r="U60" s="26" t="n">
        <f aca="false">IF(INDEX(Pengaturan!$B$8:$B$27,U$4)="",0,COUNTIF(Data!$B60:$U60,INDEX(Pengaturan!$B$8:$B$27,U$4)))</f>
        <v>0</v>
      </c>
      <c r="V60" s="26" t="n">
        <f aca="false">COUNTA(Data!$B60:$U60)</f>
        <v>0</v>
      </c>
      <c r="W60" s="27" t="str">
        <f aca="false">IF(V60=0,"",IF(V60&lt;&gt;Hasil!$C$4,"Data kosong/tidak lengkap",IF(SUM(B60:U60)&lt;&gt;V60,"Kategori tidak dikenal","OK")))</f>
        <v/>
      </c>
      <c r="X60" s="26" t="n">
        <f aca="false">IF(OR(W60="",W60="OK"),0,1)</f>
        <v>0</v>
      </c>
    </row>
    <row r="61" customFormat="false" ht="15" hidden="false" customHeight="false" outlineLevel="0" collapsed="false">
      <c r="A61" s="26" t="n">
        <f aca="false">Data!A61</f>
        <v>56</v>
      </c>
      <c r="B61" s="26" t="n">
        <f aca="false">IF(INDEX(Pengaturan!$B$8:$B$27,B$4)="",0,COUNTIF(Data!$B61:$U61,INDEX(Pengaturan!$B$8:$B$27,B$4)))</f>
        <v>0</v>
      </c>
      <c r="C61" s="26" t="n">
        <f aca="false">IF(INDEX(Pengaturan!$B$8:$B$27,C$4)="",0,COUNTIF(Data!$B61:$U61,INDEX(Pengaturan!$B$8:$B$27,C$4)))</f>
        <v>0</v>
      </c>
      <c r="D61" s="26" t="n">
        <f aca="false">IF(INDEX(Pengaturan!$B$8:$B$27,D$4)="",0,COUNTIF(Data!$B61:$U61,INDEX(Pengaturan!$B$8:$B$27,D$4)))</f>
        <v>0</v>
      </c>
      <c r="E61" s="26" t="n">
        <f aca="false">IF(INDEX(Pengaturan!$B$8:$B$27,E$4)="",0,COUNTIF(Data!$B61:$U61,INDEX(Pengaturan!$B$8:$B$27,E$4)))</f>
        <v>0</v>
      </c>
      <c r="F61" s="26" t="n">
        <f aca="false">IF(INDEX(Pengaturan!$B$8:$B$27,F$4)="",0,COUNTIF(Data!$B61:$U61,INDEX(Pengaturan!$B$8:$B$27,F$4)))</f>
        <v>0</v>
      </c>
      <c r="G61" s="26" t="n">
        <f aca="false">IF(INDEX(Pengaturan!$B$8:$B$27,G$4)="",0,COUNTIF(Data!$B61:$U61,INDEX(Pengaturan!$B$8:$B$27,G$4)))</f>
        <v>0</v>
      </c>
      <c r="H61" s="26" t="n">
        <f aca="false">IF(INDEX(Pengaturan!$B$8:$B$27,H$4)="",0,COUNTIF(Data!$B61:$U61,INDEX(Pengaturan!$B$8:$B$27,H$4)))</f>
        <v>0</v>
      </c>
      <c r="I61" s="26" t="n">
        <f aca="false">IF(INDEX(Pengaturan!$B$8:$B$27,I$4)="",0,COUNTIF(Data!$B61:$U61,INDEX(Pengaturan!$B$8:$B$27,I$4)))</f>
        <v>0</v>
      </c>
      <c r="J61" s="26" t="n">
        <f aca="false">IF(INDEX(Pengaturan!$B$8:$B$27,J$4)="",0,COUNTIF(Data!$B61:$U61,INDEX(Pengaturan!$B$8:$B$27,J$4)))</f>
        <v>0</v>
      </c>
      <c r="K61" s="26" t="n">
        <f aca="false">IF(INDEX(Pengaturan!$B$8:$B$27,K$4)="",0,COUNTIF(Data!$B61:$U61,INDEX(Pengaturan!$B$8:$B$27,K$4)))</f>
        <v>0</v>
      </c>
      <c r="L61" s="26" t="n">
        <f aca="false">IF(INDEX(Pengaturan!$B$8:$B$27,L$4)="",0,COUNTIF(Data!$B61:$U61,INDEX(Pengaturan!$B$8:$B$27,L$4)))</f>
        <v>0</v>
      </c>
      <c r="M61" s="26" t="n">
        <f aca="false">IF(INDEX(Pengaturan!$B$8:$B$27,M$4)="",0,COUNTIF(Data!$B61:$U61,INDEX(Pengaturan!$B$8:$B$27,M$4)))</f>
        <v>0</v>
      </c>
      <c r="N61" s="26" t="n">
        <f aca="false">IF(INDEX(Pengaturan!$B$8:$B$27,N$4)="",0,COUNTIF(Data!$B61:$U61,INDEX(Pengaturan!$B$8:$B$27,N$4)))</f>
        <v>0</v>
      </c>
      <c r="O61" s="26" t="n">
        <f aca="false">IF(INDEX(Pengaturan!$B$8:$B$27,O$4)="",0,COUNTIF(Data!$B61:$U61,INDEX(Pengaturan!$B$8:$B$27,O$4)))</f>
        <v>0</v>
      </c>
      <c r="P61" s="26" t="n">
        <f aca="false">IF(INDEX(Pengaturan!$B$8:$B$27,P$4)="",0,COUNTIF(Data!$B61:$U61,INDEX(Pengaturan!$B$8:$B$27,P$4)))</f>
        <v>0</v>
      </c>
      <c r="Q61" s="26" t="n">
        <f aca="false">IF(INDEX(Pengaturan!$B$8:$B$27,Q$4)="",0,COUNTIF(Data!$B61:$U61,INDEX(Pengaturan!$B$8:$B$27,Q$4)))</f>
        <v>0</v>
      </c>
      <c r="R61" s="26" t="n">
        <f aca="false">IF(INDEX(Pengaturan!$B$8:$B$27,R$4)="",0,COUNTIF(Data!$B61:$U61,INDEX(Pengaturan!$B$8:$B$27,R$4)))</f>
        <v>0</v>
      </c>
      <c r="S61" s="26" t="n">
        <f aca="false">IF(INDEX(Pengaturan!$B$8:$B$27,S$4)="",0,COUNTIF(Data!$B61:$U61,INDEX(Pengaturan!$B$8:$B$27,S$4)))</f>
        <v>0</v>
      </c>
      <c r="T61" s="26" t="n">
        <f aca="false">IF(INDEX(Pengaturan!$B$8:$B$27,T$4)="",0,COUNTIF(Data!$B61:$U61,INDEX(Pengaturan!$B$8:$B$27,T$4)))</f>
        <v>0</v>
      </c>
      <c r="U61" s="26" t="n">
        <f aca="false">IF(INDEX(Pengaturan!$B$8:$B$27,U$4)="",0,COUNTIF(Data!$B61:$U61,INDEX(Pengaturan!$B$8:$B$27,U$4)))</f>
        <v>0</v>
      </c>
      <c r="V61" s="26" t="n">
        <f aca="false">COUNTA(Data!$B61:$U61)</f>
        <v>0</v>
      </c>
      <c r="W61" s="27" t="str">
        <f aca="false">IF(V61=0,"",IF(V61&lt;&gt;Hasil!$C$4,"Data kosong/tidak lengkap",IF(SUM(B61:U61)&lt;&gt;V61,"Kategori tidak dikenal","OK")))</f>
        <v/>
      </c>
      <c r="X61" s="26" t="n">
        <f aca="false">IF(OR(W61="",W61="OK"),0,1)</f>
        <v>0</v>
      </c>
    </row>
    <row r="62" customFormat="false" ht="15" hidden="false" customHeight="false" outlineLevel="0" collapsed="false">
      <c r="A62" s="26" t="n">
        <f aca="false">Data!A62</f>
        <v>57</v>
      </c>
      <c r="B62" s="26" t="n">
        <f aca="false">IF(INDEX(Pengaturan!$B$8:$B$27,B$4)="",0,COUNTIF(Data!$B62:$U62,INDEX(Pengaturan!$B$8:$B$27,B$4)))</f>
        <v>0</v>
      </c>
      <c r="C62" s="26" t="n">
        <f aca="false">IF(INDEX(Pengaturan!$B$8:$B$27,C$4)="",0,COUNTIF(Data!$B62:$U62,INDEX(Pengaturan!$B$8:$B$27,C$4)))</f>
        <v>0</v>
      </c>
      <c r="D62" s="26" t="n">
        <f aca="false">IF(INDEX(Pengaturan!$B$8:$B$27,D$4)="",0,COUNTIF(Data!$B62:$U62,INDEX(Pengaturan!$B$8:$B$27,D$4)))</f>
        <v>0</v>
      </c>
      <c r="E62" s="26" t="n">
        <f aca="false">IF(INDEX(Pengaturan!$B$8:$B$27,E$4)="",0,COUNTIF(Data!$B62:$U62,INDEX(Pengaturan!$B$8:$B$27,E$4)))</f>
        <v>0</v>
      </c>
      <c r="F62" s="26" t="n">
        <f aca="false">IF(INDEX(Pengaturan!$B$8:$B$27,F$4)="",0,COUNTIF(Data!$B62:$U62,INDEX(Pengaturan!$B$8:$B$27,F$4)))</f>
        <v>0</v>
      </c>
      <c r="G62" s="26" t="n">
        <f aca="false">IF(INDEX(Pengaturan!$B$8:$B$27,G$4)="",0,COUNTIF(Data!$B62:$U62,INDEX(Pengaturan!$B$8:$B$27,G$4)))</f>
        <v>0</v>
      </c>
      <c r="H62" s="26" t="n">
        <f aca="false">IF(INDEX(Pengaturan!$B$8:$B$27,H$4)="",0,COUNTIF(Data!$B62:$U62,INDEX(Pengaturan!$B$8:$B$27,H$4)))</f>
        <v>0</v>
      </c>
      <c r="I62" s="26" t="n">
        <f aca="false">IF(INDEX(Pengaturan!$B$8:$B$27,I$4)="",0,COUNTIF(Data!$B62:$U62,INDEX(Pengaturan!$B$8:$B$27,I$4)))</f>
        <v>0</v>
      </c>
      <c r="J62" s="26" t="n">
        <f aca="false">IF(INDEX(Pengaturan!$B$8:$B$27,J$4)="",0,COUNTIF(Data!$B62:$U62,INDEX(Pengaturan!$B$8:$B$27,J$4)))</f>
        <v>0</v>
      </c>
      <c r="K62" s="26" t="n">
        <f aca="false">IF(INDEX(Pengaturan!$B$8:$B$27,K$4)="",0,COUNTIF(Data!$B62:$U62,INDEX(Pengaturan!$B$8:$B$27,K$4)))</f>
        <v>0</v>
      </c>
      <c r="L62" s="26" t="n">
        <f aca="false">IF(INDEX(Pengaturan!$B$8:$B$27,L$4)="",0,COUNTIF(Data!$B62:$U62,INDEX(Pengaturan!$B$8:$B$27,L$4)))</f>
        <v>0</v>
      </c>
      <c r="M62" s="26" t="n">
        <f aca="false">IF(INDEX(Pengaturan!$B$8:$B$27,M$4)="",0,COUNTIF(Data!$B62:$U62,INDEX(Pengaturan!$B$8:$B$27,M$4)))</f>
        <v>0</v>
      </c>
      <c r="N62" s="26" t="n">
        <f aca="false">IF(INDEX(Pengaturan!$B$8:$B$27,N$4)="",0,COUNTIF(Data!$B62:$U62,INDEX(Pengaturan!$B$8:$B$27,N$4)))</f>
        <v>0</v>
      </c>
      <c r="O62" s="26" t="n">
        <f aca="false">IF(INDEX(Pengaturan!$B$8:$B$27,O$4)="",0,COUNTIF(Data!$B62:$U62,INDEX(Pengaturan!$B$8:$B$27,O$4)))</f>
        <v>0</v>
      </c>
      <c r="P62" s="26" t="n">
        <f aca="false">IF(INDEX(Pengaturan!$B$8:$B$27,P$4)="",0,COUNTIF(Data!$B62:$U62,INDEX(Pengaturan!$B$8:$B$27,P$4)))</f>
        <v>0</v>
      </c>
      <c r="Q62" s="26" t="n">
        <f aca="false">IF(INDEX(Pengaturan!$B$8:$B$27,Q$4)="",0,COUNTIF(Data!$B62:$U62,INDEX(Pengaturan!$B$8:$B$27,Q$4)))</f>
        <v>0</v>
      </c>
      <c r="R62" s="26" t="n">
        <f aca="false">IF(INDEX(Pengaturan!$B$8:$B$27,R$4)="",0,COUNTIF(Data!$B62:$U62,INDEX(Pengaturan!$B$8:$B$27,R$4)))</f>
        <v>0</v>
      </c>
      <c r="S62" s="26" t="n">
        <f aca="false">IF(INDEX(Pengaturan!$B$8:$B$27,S$4)="",0,COUNTIF(Data!$B62:$U62,INDEX(Pengaturan!$B$8:$B$27,S$4)))</f>
        <v>0</v>
      </c>
      <c r="T62" s="26" t="n">
        <f aca="false">IF(INDEX(Pengaturan!$B$8:$B$27,T$4)="",0,COUNTIF(Data!$B62:$U62,INDEX(Pengaturan!$B$8:$B$27,T$4)))</f>
        <v>0</v>
      </c>
      <c r="U62" s="26" t="n">
        <f aca="false">IF(INDEX(Pengaturan!$B$8:$B$27,U$4)="",0,COUNTIF(Data!$B62:$U62,INDEX(Pengaturan!$B$8:$B$27,U$4)))</f>
        <v>0</v>
      </c>
      <c r="V62" s="26" t="n">
        <f aca="false">COUNTA(Data!$B62:$U62)</f>
        <v>0</v>
      </c>
      <c r="W62" s="27" t="str">
        <f aca="false">IF(V62=0,"",IF(V62&lt;&gt;Hasil!$C$4,"Data kosong/tidak lengkap",IF(SUM(B62:U62)&lt;&gt;V62,"Kategori tidak dikenal","OK")))</f>
        <v/>
      </c>
      <c r="X62" s="26" t="n">
        <f aca="false">IF(OR(W62="",W62="OK"),0,1)</f>
        <v>0</v>
      </c>
    </row>
    <row r="63" customFormat="false" ht="15" hidden="false" customHeight="false" outlineLevel="0" collapsed="false">
      <c r="A63" s="26" t="n">
        <f aca="false">Data!A63</f>
        <v>58</v>
      </c>
      <c r="B63" s="26" t="n">
        <f aca="false">IF(INDEX(Pengaturan!$B$8:$B$27,B$4)="",0,COUNTIF(Data!$B63:$U63,INDEX(Pengaturan!$B$8:$B$27,B$4)))</f>
        <v>0</v>
      </c>
      <c r="C63" s="26" t="n">
        <f aca="false">IF(INDEX(Pengaturan!$B$8:$B$27,C$4)="",0,COUNTIF(Data!$B63:$U63,INDEX(Pengaturan!$B$8:$B$27,C$4)))</f>
        <v>0</v>
      </c>
      <c r="D63" s="26" t="n">
        <f aca="false">IF(INDEX(Pengaturan!$B$8:$B$27,D$4)="",0,COUNTIF(Data!$B63:$U63,INDEX(Pengaturan!$B$8:$B$27,D$4)))</f>
        <v>0</v>
      </c>
      <c r="E63" s="26" t="n">
        <f aca="false">IF(INDEX(Pengaturan!$B$8:$B$27,E$4)="",0,COUNTIF(Data!$B63:$U63,INDEX(Pengaturan!$B$8:$B$27,E$4)))</f>
        <v>0</v>
      </c>
      <c r="F63" s="26" t="n">
        <f aca="false">IF(INDEX(Pengaturan!$B$8:$B$27,F$4)="",0,COUNTIF(Data!$B63:$U63,INDEX(Pengaturan!$B$8:$B$27,F$4)))</f>
        <v>0</v>
      </c>
      <c r="G63" s="26" t="n">
        <f aca="false">IF(INDEX(Pengaturan!$B$8:$B$27,G$4)="",0,COUNTIF(Data!$B63:$U63,INDEX(Pengaturan!$B$8:$B$27,G$4)))</f>
        <v>0</v>
      </c>
      <c r="H63" s="26" t="n">
        <f aca="false">IF(INDEX(Pengaturan!$B$8:$B$27,H$4)="",0,COUNTIF(Data!$B63:$U63,INDEX(Pengaturan!$B$8:$B$27,H$4)))</f>
        <v>0</v>
      </c>
      <c r="I63" s="26" t="n">
        <f aca="false">IF(INDEX(Pengaturan!$B$8:$B$27,I$4)="",0,COUNTIF(Data!$B63:$U63,INDEX(Pengaturan!$B$8:$B$27,I$4)))</f>
        <v>0</v>
      </c>
      <c r="J63" s="26" t="n">
        <f aca="false">IF(INDEX(Pengaturan!$B$8:$B$27,J$4)="",0,COUNTIF(Data!$B63:$U63,INDEX(Pengaturan!$B$8:$B$27,J$4)))</f>
        <v>0</v>
      </c>
      <c r="K63" s="26" t="n">
        <f aca="false">IF(INDEX(Pengaturan!$B$8:$B$27,K$4)="",0,COUNTIF(Data!$B63:$U63,INDEX(Pengaturan!$B$8:$B$27,K$4)))</f>
        <v>0</v>
      </c>
      <c r="L63" s="26" t="n">
        <f aca="false">IF(INDEX(Pengaturan!$B$8:$B$27,L$4)="",0,COUNTIF(Data!$B63:$U63,INDEX(Pengaturan!$B$8:$B$27,L$4)))</f>
        <v>0</v>
      </c>
      <c r="M63" s="26" t="n">
        <f aca="false">IF(INDEX(Pengaturan!$B$8:$B$27,M$4)="",0,COUNTIF(Data!$B63:$U63,INDEX(Pengaturan!$B$8:$B$27,M$4)))</f>
        <v>0</v>
      </c>
      <c r="N63" s="26" t="n">
        <f aca="false">IF(INDEX(Pengaturan!$B$8:$B$27,N$4)="",0,COUNTIF(Data!$B63:$U63,INDEX(Pengaturan!$B$8:$B$27,N$4)))</f>
        <v>0</v>
      </c>
      <c r="O63" s="26" t="n">
        <f aca="false">IF(INDEX(Pengaturan!$B$8:$B$27,O$4)="",0,COUNTIF(Data!$B63:$U63,INDEX(Pengaturan!$B$8:$B$27,O$4)))</f>
        <v>0</v>
      </c>
      <c r="P63" s="26" t="n">
        <f aca="false">IF(INDEX(Pengaturan!$B$8:$B$27,P$4)="",0,COUNTIF(Data!$B63:$U63,INDEX(Pengaturan!$B$8:$B$27,P$4)))</f>
        <v>0</v>
      </c>
      <c r="Q63" s="26" t="n">
        <f aca="false">IF(INDEX(Pengaturan!$B$8:$B$27,Q$4)="",0,COUNTIF(Data!$B63:$U63,INDEX(Pengaturan!$B$8:$B$27,Q$4)))</f>
        <v>0</v>
      </c>
      <c r="R63" s="26" t="n">
        <f aca="false">IF(INDEX(Pengaturan!$B$8:$B$27,R$4)="",0,COUNTIF(Data!$B63:$U63,INDEX(Pengaturan!$B$8:$B$27,R$4)))</f>
        <v>0</v>
      </c>
      <c r="S63" s="26" t="n">
        <f aca="false">IF(INDEX(Pengaturan!$B$8:$B$27,S$4)="",0,COUNTIF(Data!$B63:$U63,INDEX(Pengaturan!$B$8:$B$27,S$4)))</f>
        <v>0</v>
      </c>
      <c r="T63" s="26" t="n">
        <f aca="false">IF(INDEX(Pengaturan!$B$8:$B$27,T$4)="",0,COUNTIF(Data!$B63:$U63,INDEX(Pengaturan!$B$8:$B$27,T$4)))</f>
        <v>0</v>
      </c>
      <c r="U63" s="26" t="n">
        <f aca="false">IF(INDEX(Pengaturan!$B$8:$B$27,U$4)="",0,COUNTIF(Data!$B63:$U63,INDEX(Pengaturan!$B$8:$B$27,U$4)))</f>
        <v>0</v>
      </c>
      <c r="V63" s="26" t="n">
        <f aca="false">COUNTA(Data!$B63:$U63)</f>
        <v>0</v>
      </c>
      <c r="W63" s="27" t="str">
        <f aca="false">IF(V63=0,"",IF(V63&lt;&gt;Hasil!$C$4,"Data kosong/tidak lengkap",IF(SUM(B63:U63)&lt;&gt;V63,"Kategori tidak dikenal","OK")))</f>
        <v/>
      </c>
      <c r="X63" s="26" t="n">
        <f aca="false">IF(OR(W63="",W63="OK"),0,1)</f>
        <v>0</v>
      </c>
    </row>
    <row r="64" customFormat="false" ht="15" hidden="false" customHeight="false" outlineLevel="0" collapsed="false">
      <c r="A64" s="26" t="n">
        <f aca="false">Data!A64</f>
        <v>59</v>
      </c>
      <c r="B64" s="26" t="n">
        <f aca="false">IF(INDEX(Pengaturan!$B$8:$B$27,B$4)="",0,COUNTIF(Data!$B64:$U64,INDEX(Pengaturan!$B$8:$B$27,B$4)))</f>
        <v>0</v>
      </c>
      <c r="C64" s="26" t="n">
        <f aca="false">IF(INDEX(Pengaturan!$B$8:$B$27,C$4)="",0,COUNTIF(Data!$B64:$U64,INDEX(Pengaturan!$B$8:$B$27,C$4)))</f>
        <v>0</v>
      </c>
      <c r="D64" s="26" t="n">
        <f aca="false">IF(INDEX(Pengaturan!$B$8:$B$27,D$4)="",0,COUNTIF(Data!$B64:$U64,INDEX(Pengaturan!$B$8:$B$27,D$4)))</f>
        <v>0</v>
      </c>
      <c r="E64" s="26" t="n">
        <f aca="false">IF(INDEX(Pengaturan!$B$8:$B$27,E$4)="",0,COUNTIF(Data!$B64:$U64,INDEX(Pengaturan!$B$8:$B$27,E$4)))</f>
        <v>0</v>
      </c>
      <c r="F64" s="26" t="n">
        <f aca="false">IF(INDEX(Pengaturan!$B$8:$B$27,F$4)="",0,COUNTIF(Data!$B64:$U64,INDEX(Pengaturan!$B$8:$B$27,F$4)))</f>
        <v>0</v>
      </c>
      <c r="G64" s="26" t="n">
        <f aca="false">IF(INDEX(Pengaturan!$B$8:$B$27,G$4)="",0,COUNTIF(Data!$B64:$U64,INDEX(Pengaturan!$B$8:$B$27,G$4)))</f>
        <v>0</v>
      </c>
      <c r="H64" s="26" t="n">
        <f aca="false">IF(INDEX(Pengaturan!$B$8:$B$27,H$4)="",0,COUNTIF(Data!$B64:$U64,INDEX(Pengaturan!$B$8:$B$27,H$4)))</f>
        <v>0</v>
      </c>
      <c r="I64" s="26" t="n">
        <f aca="false">IF(INDEX(Pengaturan!$B$8:$B$27,I$4)="",0,COUNTIF(Data!$B64:$U64,INDEX(Pengaturan!$B$8:$B$27,I$4)))</f>
        <v>0</v>
      </c>
      <c r="J64" s="26" t="n">
        <f aca="false">IF(INDEX(Pengaturan!$B$8:$B$27,J$4)="",0,COUNTIF(Data!$B64:$U64,INDEX(Pengaturan!$B$8:$B$27,J$4)))</f>
        <v>0</v>
      </c>
      <c r="K64" s="26" t="n">
        <f aca="false">IF(INDEX(Pengaturan!$B$8:$B$27,K$4)="",0,COUNTIF(Data!$B64:$U64,INDEX(Pengaturan!$B$8:$B$27,K$4)))</f>
        <v>0</v>
      </c>
      <c r="L64" s="26" t="n">
        <f aca="false">IF(INDEX(Pengaturan!$B$8:$B$27,L$4)="",0,COUNTIF(Data!$B64:$U64,INDEX(Pengaturan!$B$8:$B$27,L$4)))</f>
        <v>0</v>
      </c>
      <c r="M64" s="26" t="n">
        <f aca="false">IF(INDEX(Pengaturan!$B$8:$B$27,M$4)="",0,COUNTIF(Data!$B64:$U64,INDEX(Pengaturan!$B$8:$B$27,M$4)))</f>
        <v>0</v>
      </c>
      <c r="N64" s="26" t="n">
        <f aca="false">IF(INDEX(Pengaturan!$B$8:$B$27,N$4)="",0,COUNTIF(Data!$B64:$U64,INDEX(Pengaturan!$B$8:$B$27,N$4)))</f>
        <v>0</v>
      </c>
      <c r="O64" s="26" t="n">
        <f aca="false">IF(INDEX(Pengaturan!$B$8:$B$27,O$4)="",0,COUNTIF(Data!$B64:$U64,INDEX(Pengaturan!$B$8:$B$27,O$4)))</f>
        <v>0</v>
      </c>
      <c r="P64" s="26" t="n">
        <f aca="false">IF(INDEX(Pengaturan!$B$8:$B$27,P$4)="",0,COUNTIF(Data!$B64:$U64,INDEX(Pengaturan!$B$8:$B$27,P$4)))</f>
        <v>0</v>
      </c>
      <c r="Q64" s="26" t="n">
        <f aca="false">IF(INDEX(Pengaturan!$B$8:$B$27,Q$4)="",0,COUNTIF(Data!$B64:$U64,INDEX(Pengaturan!$B$8:$B$27,Q$4)))</f>
        <v>0</v>
      </c>
      <c r="R64" s="26" t="n">
        <f aca="false">IF(INDEX(Pengaturan!$B$8:$B$27,R$4)="",0,COUNTIF(Data!$B64:$U64,INDEX(Pengaturan!$B$8:$B$27,R$4)))</f>
        <v>0</v>
      </c>
      <c r="S64" s="26" t="n">
        <f aca="false">IF(INDEX(Pengaturan!$B$8:$B$27,S$4)="",0,COUNTIF(Data!$B64:$U64,INDEX(Pengaturan!$B$8:$B$27,S$4)))</f>
        <v>0</v>
      </c>
      <c r="T64" s="26" t="n">
        <f aca="false">IF(INDEX(Pengaturan!$B$8:$B$27,T$4)="",0,COUNTIF(Data!$B64:$U64,INDEX(Pengaturan!$B$8:$B$27,T$4)))</f>
        <v>0</v>
      </c>
      <c r="U64" s="26" t="n">
        <f aca="false">IF(INDEX(Pengaturan!$B$8:$B$27,U$4)="",0,COUNTIF(Data!$B64:$U64,INDEX(Pengaturan!$B$8:$B$27,U$4)))</f>
        <v>0</v>
      </c>
      <c r="V64" s="26" t="n">
        <f aca="false">COUNTA(Data!$B64:$U64)</f>
        <v>0</v>
      </c>
      <c r="W64" s="27" t="str">
        <f aca="false">IF(V64=0,"",IF(V64&lt;&gt;Hasil!$C$4,"Data kosong/tidak lengkap",IF(SUM(B64:U64)&lt;&gt;V64,"Kategori tidak dikenal","OK")))</f>
        <v/>
      </c>
      <c r="X64" s="26" t="n">
        <f aca="false">IF(OR(W64="",W64="OK"),0,1)</f>
        <v>0</v>
      </c>
    </row>
    <row r="65" customFormat="false" ht="15" hidden="false" customHeight="false" outlineLevel="0" collapsed="false">
      <c r="A65" s="26" t="n">
        <f aca="false">Data!A65</f>
        <v>60</v>
      </c>
      <c r="B65" s="26" t="n">
        <f aca="false">IF(INDEX(Pengaturan!$B$8:$B$27,B$4)="",0,COUNTIF(Data!$B65:$U65,INDEX(Pengaturan!$B$8:$B$27,B$4)))</f>
        <v>0</v>
      </c>
      <c r="C65" s="26" t="n">
        <f aca="false">IF(INDEX(Pengaturan!$B$8:$B$27,C$4)="",0,COUNTIF(Data!$B65:$U65,INDEX(Pengaturan!$B$8:$B$27,C$4)))</f>
        <v>0</v>
      </c>
      <c r="D65" s="26" t="n">
        <f aca="false">IF(INDEX(Pengaturan!$B$8:$B$27,D$4)="",0,COUNTIF(Data!$B65:$U65,INDEX(Pengaturan!$B$8:$B$27,D$4)))</f>
        <v>0</v>
      </c>
      <c r="E65" s="26" t="n">
        <f aca="false">IF(INDEX(Pengaturan!$B$8:$B$27,E$4)="",0,COUNTIF(Data!$B65:$U65,INDEX(Pengaturan!$B$8:$B$27,E$4)))</f>
        <v>0</v>
      </c>
      <c r="F65" s="26" t="n">
        <f aca="false">IF(INDEX(Pengaturan!$B$8:$B$27,F$4)="",0,COUNTIF(Data!$B65:$U65,INDEX(Pengaturan!$B$8:$B$27,F$4)))</f>
        <v>0</v>
      </c>
      <c r="G65" s="26" t="n">
        <f aca="false">IF(INDEX(Pengaturan!$B$8:$B$27,G$4)="",0,COUNTIF(Data!$B65:$U65,INDEX(Pengaturan!$B$8:$B$27,G$4)))</f>
        <v>0</v>
      </c>
      <c r="H65" s="26" t="n">
        <f aca="false">IF(INDEX(Pengaturan!$B$8:$B$27,H$4)="",0,COUNTIF(Data!$B65:$U65,INDEX(Pengaturan!$B$8:$B$27,H$4)))</f>
        <v>0</v>
      </c>
      <c r="I65" s="26" t="n">
        <f aca="false">IF(INDEX(Pengaturan!$B$8:$B$27,I$4)="",0,COUNTIF(Data!$B65:$U65,INDEX(Pengaturan!$B$8:$B$27,I$4)))</f>
        <v>0</v>
      </c>
      <c r="J65" s="26" t="n">
        <f aca="false">IF(INDEX(Pengaturan!$B$8:$B$27,J$4)="",0,COUNTIF(Data!$B65:$U65,INDEX(Pengaturan!$B$8:$B$27,J$4)))</f>
        <v>0</v>
      </c>
      <c r="K65" s="26" t="n">
        <f aca="false">IF(INDEX(Pengaturan!$B$8:$B$27,K$4)="",0,COUNTIF(Data!$B65:$U65,INDEX(Pengaturan!$B$8:$B$27,K$4)))</f>
        <v>0</v>
      </c>
      <c r="L65" s="26" t="n">
        <f aca="false">IF(INDEX(Pengaturan!$B$8:$B$27,L$4)="",0,COUNTIF(Data!$B65:$U65,INDEX(Pengaturan!$B$8:$B$27,L$4)))</f>
        <v>0</v>
      </c>
      <c r="M65" s="26" t="n">
        <f aca="false">IF(INDEX(Pengaturan!$B$8:$B$27,M$4)="",0,COUNTIF(Data!$B65:$U65,INDEX(Pengaturan!$B$8:$B$27,M$4)))</f>
        <v>0</v>
      </c>
      <c r="N65" s="26" t="n">
        <f aca="false">IF(INDEX(Pengaturan!$B$8:$B$27,N$4)="",0,COUNTIF(Data!$B65:$U65,INDEX(Pengaturan!$B$8:$B$27,N$4)))</f>
        <v>0</v>
      </c>
      <c r="O65" s="26" t="n">
        <f aca="false">IF(INDEX(Pengaturan!$B$8:$B$27,O$4)="",0,COUNTIF(Data!$B65:$U65,INDEX(Pengaturan!$B$8:$B$27,O$4)))</f>
        <v>0</v>
      </c>
      <c r="P65" s="26" t="n">
        <f aca="false">IF(INDEX(Pengaturan!$B$8:$B$27,P$4)="",0,COUNTIF(Data!$B65:$U65,INDEX(Pengaturan!$B$8:$B$27,P$4)))</f>
        <v>0</v>
      </c>
      <c r="Q65" s="26" t="n">
        <f aca="false">IF(INDEX(Pengaturan!$B$8:$B$27,Q$4)="",0,COUNTIF(Data!$B65:$U65,INDEX(Pengaturan!$B$8:$B$27,Q$4)))</f>
        <v>0</v>
      </c>
      <c r="R65" s="26" t="n">
        <f aca="false">IF(INDEX(Pengaturan!$B$8:$B$27,R$4)="",0,COUNTIF(Data!$B65:$U65,INDEX(Pengaturan!$B$8:$B$27,R$4)))</f>
        <v>0</v>
      </c>
      <c r="S65" s="26" t="n">
        <f aca="false">IF(INDEX(Pengaturan!$B$8:$B$27,S$4)="",0,COUNTIF(Data!$B65:$U65,INDEX(Pengaturan!$B$8:$B$27,S$4)))</f>
        <v>0</v>
      </c>
      <c r="T65" s="26" t="n">
        <f aca="false">IF(INDEX(Pengaturan!$B$8:$B$27,T$4)="",0,COUNTIF(Data!$B65:$U65,INDEX(Pengaturan!$B$8:$B$27,T$4)))</f>
        <v>0</v>
      </c>
      <c r="U65" s="26" t="n">
        <f aca="false">IF(INDEX(Pengaturan!$B$8:$B$27,U$4)="",0,COUNTIF(Data!$B65:$U65,INDEX(Pengaturan!$B$8:$B$27,U$4)))</f>
        <v>0</v>
      </c>
      <c r="V65" s="26" t="n">
        <f aca="false">COUNTA(Data!$B65:$U65)</f>
        <v>0</v>
      </c>
      <c r="W65" s="27" t="str">
        <f aca="false">IF(V65=0,"",IF(V65&lt;&gt;Hasil!$C$4,"Data kosong/tidak lengkap",IF(SUM(B65:U65)&lt;&gt;V65,"Kategori tidak dikenal","OK")))</f>
        <v/>
      </c>
      <c r="X65" s="26" t="n">
        <f aca="false">IF(OR(W65="",W65="OK"),0,1)</f>
        <v>0</v>
      </c>
    </row>
    <row r="66" customFormat="false" ht="15" hidden="false" customHeight="false" outlineLevel="0" collapsed="false">
      <c r="A66" s="26" t="n">
        <f aca="false">Data!A66</f>
        <v>61</v>
      </c>
      <c r="B66" s="26" t="n">
        <f aca="false">IF(INDEX(Pengaturan!$B$8:$B$27,B$4)="",0,COUNTIF(Data!$B66:$U66,INDEX(Pengaturan!$B$8:$B$27,B$4)))</f>
        <v>0</v>
      </c>
      <c r="C66" s="26" t="n">
        <f aca="false">IF(INDEX(Pengaturan!$B$8:$B$27,C$4)="",0,COUNTIF(Data!$B66:$U66,INDEX(Pengaturan!$B$8:$B$27,C$4)))</f>
        <v>0</v>
      </c>
      <c r="D66" s="26" t="n">
        <f aca="false">IF(INDEX(Pengaturan!$B$8:$B$27,D$4)="",0,COUNTIF(Data!$B66:$U66,INDEX(Pengaturan!$B$8:$B$27,D$4)))</f>
        <v>0</v>
      </c>
      <c r="E66" s="26" t="n">
        <f aca="false">IF(INDEX(Pengaturan!$B$8:$B$27,E$4)="",0,COUNTIF(Data!$B66:$U66,INDEX(Pengaturan!$B$8:$B$27,E$4)))</f>
        <v>0</v>
      </c>
      <c r="F66" s="26" t="n">
        <f aca="false">IF(INDEX(Pengaturan!$B$8:$B$27,F$4)="",0,COUNTIF(Data!$B66:$U66,INDEX(Pengaturan!$B$8:$B$27,F$4)))</f>
        <v>0</v>
      </c>
      <c r="G66" s="26" t="n">
        <f aca="false">IF(INDEX(Pengaturan!$B$8:$B$27,G$4)="",0,COUNTIF(Data!$B66:$U66,INDEX(Pengaturan!$B$8:$B$27,G$4)))</f>
        <v>0</v>
      </c>
      <c r="H66" s="26" t="n">
        <f aca="false">IF(INDEX(Pengaturan!$B$8:$B$27,H$4)="",0,COUNTIF(Data!$B66:$U66,INDEX(Pengaturan!$B$8:$B$27,H$4)))</f>
        <v>0</v>
      </c>
      <c r="I66" s="26" t="n">
        <f aca="false">IF(INDEX(Pengaturan!$B$8:$B$27,I$4)="",0,COUNTIF(Data!$B66:$U66,INDEX(Pengaturan!$B$8:$B$27,I$4)))</f>
        <v>0</v>
      </c>
      <c r="J66" s="26" t="n">
        <f aca="false">IF(INDEX(Pengaturan!$B$8:$B$27,J$4)="",0,COUNTIF(Data!$B66:$U66,INDEX(Pengaturan!$B$8:$B$27,J$4)))</f>
        <v>0</v>
      </c>
      <c r="K66" s="26" t="n">
        <f aca="false">IF(INDEX(Pengaturan!$B$8:$B$27,K$4)="",0,COUNTIF(Data!$B66:$U66,INDEX(Pengaturan!$B$8:$B$27,K$4)))</f>
        <v>0</v>
      </c>
      <c r="L66" s="26" t="n">
        <f aca="false">IF(INDEX(Pengaturan!$B$8:$B$27,L$4)="",0,COUNTIF(Data!$B66:$U66,INDEX(Pengaturan!$B$8:$B$27,L$4)))</f>
        <v>0</v>
      </c>
      <c r="M66" s="26" t="n">
        <f aca="false">IF(INDEX(Pengaturan!$B$8:$B$27,M$4)="",0,COUNTIF(Data!$B66:$U66,INDEX(Pengaturan!$B$8:$B$27,M$4)))</f>
        <v>0</v>
      </c>
      <c r="N66" s="26" t="n">
        <f aca="false">IF(INDEX(Pengaturan!$B$8:$B$27,N$4)="",0,COUNTIF(Data!$B66:$U66,INDEX(Pengaturan!$B$8:$B$27,N$4)))</f>
        <v>0</v>
      </c>
      <c r="O66" s="26" t="n">
        <f aca="false">IF(INDEX(Pengaturan!$B$8:$B$27,O$4)="",0,COUNTIF(Data!$B66:$U66,INDEX(Pengaturan!$B$8:$B$27,O$4)))</f>
        <v>0</v>
      </c>
      <c r="P66" s="26" t="n">
        <f aca="false">IF(INDEX(Pengaturan!$B$8:$B$27,P$4)="",0,COUNTIF(Data!$B66:$U66,INDEX(Pengaturan!$B$8:$B$27,P$4)))</f>
        <v>0</v>
      </c>
      <c r="Q66" s="26" t="n">
        <f aca="false">IF(INDEX(Pengaturan!$B$8:$B$27,Q$4)="",0,COUNTIF(Data!$B66:$U66,INDEX(Pengaturan!$B$8:$B$27,Q$4)))</f>
        <v>0</v>
      </c>
      <c r="R66" s="26" t="n">
        <f aca="false">IF(INDEX(Pengaturan!$B$8:$B$27,R$4)="",0,COUNTIF(Data!$B66:$U66,INDEX(Pengaturan!$B$8:$B$27,R$4)))</f>
        <v>0</v>
      </c>
      <c r="S66" s="26" t="n">
        <f aca="false">IF(INDEX(Pengaturan!$B$8:$B$27,S$4)="",0,COUNTIF(Data!$B66:$U66,INDEX(Pengaturan!$B$8:$B$27,S$4)))</f>
        <v>0</v>
      </c>
      <c r="T66" s="26" t="n">
        <f aca="false">IF(INDEX(Pengaturan!$B$8:$B$27,T$4)="",0,COUNTIF(Data!$B66:$U66,INDEX(Pengaturan!$B$8:$B$27,T$4)))</f>
        <v>0</v>
      </c>
      <c r="U66" s="26" t="n">
        <f aca="false">IF(INDEX(Pengaturan!$B$8:$B$27,U$4)="",0,COUNTIF(Data!$B66:$U66,INDEX(Pengaturan!$B$8:$B$27,U$4)))</f>
        <v>0</v>
      </c>
      <c r="V66" s="26" t="n">
        <f aca="false">COUNTA(Data!$B66:$U66)</f>
        <v>0</v>
      </c>
      <c r="W66" s="27" t="str">
        <f aca="false">IF(V66=0,"",IF(V66&lt;&gt;Hasil!$C$4,"Data kosong/tidak lengkap",IF(SUM(B66:U66)&lt;&gt;V66,"Kategori tidak dikenal","OK")))</f>
        <v/>
      </c>
      <c r="X66" s="26" t="n">
        <f aca="false">IF(OR(W66="",W66="OK"),0,1)</f>
        <v>0</v>
      </c>
    </row>
    <row r="67" customFormat="false" ht="15" hidden="false" customHeight="false" outlineLevel="0" collapsed="false">
      <c r="A67" s="26" t="n">
        <f aca="false">Data!A67</f>
        <v>62</v>
      </c>
      <c r="B67" s="26" t="n">
        <f aca="false">IF(INDEX(Pengaturan!$B$8:$B$27,B$4)="",0,COUNTIF(Data!$B67:$U67,INDEX(Pengaturan!$B$8:$B$27,B$4)))</f>
        <v>0</v>
      </c>
      <c r="C67" s="26" t="n">
        <f aca="false">IF(INDEX(Pengaturan!$B$8:$B$27,C$4)="",0,COUNTIF(Data!$B67:$U67,INDEX(Pengaturan!$B$8:$B$27,C$4)))</f>
        <v>0</v>
      </c>
      <c r="D67" s="26" t="n">
        <f aca="false">IF(INDEX(Pengaturan!$B$8:$B$27,D$4)="",0,COUNTIF(Data!$B67:$U67,INDEX(Pengaturan!$B$8:$B$27,D$4)))</f>
        <v>0</v>
      </c>
      <c r="E67" s="26" t="n">
        <f aca="false">IF(INDEX(Pengaturan!$B$8:$B$27,E$4)="",0,COUNTIF(Data!$B67:$U67,INDEX(Pengaturan!$B$8:$B$27,E$4)))</f>
        <v>0</v>
      </c>
      <c r="F67" s="26" t="n">
        <f aca="false">IF(INDEX(Pengaturan!$B$8:$B$27,F$4)="",0,COUNTIF(Data!$B67:$U67,INDEX(Pengaturan!$B$8:$B$27,F$4)))</f>
        <v>0</v>
      </c>
      <c r="G67" s="26" t="n">
        <f aca="false">IF(INDEX(Pengaturan!$B$8:$B$27,G$4)="",0,COUNTIF(Data!$B67:$U67,INDEX(Pengaturan!$B$8:$B$27,G$4)))</f>
        <v>0</v>
      </c>
      <c r="H67" s="26" t="n">
        <f aca="false">IF(INDEX(Pengaturan!$B$8:$B$27,H$4)="",0,COUNTIF(Data!$B67:$U67,INDEX(Pengaturan!$B$8:$B$27,H$4)))</f>
        <v>0</v>
      </c>
      <c r="I67" s="26" t="n">
        <f aca="false">IF(INDEX(Pengaturan!$B$8:$B$27,I$4)="",0,COUNTIF(Data!$B67:$U67,INDEX(Pengaturan!$B$8:$B$27,I$4)))</f>
        <v>0</v>
      </c>
      <c r="J67" s="26" t="n">
        <f aca="false">IF(INDEX(Pengaturan!$B$8:$B$27,J$4)="",0,COUNTIF(Data!$B67:$U67,INDEX(Pengaturan!$B$8:$B$27,J$4)))</f>
        <v>0</v>
      </c>
      <c r="K67" s="26" t="n">
        <f aca="false">IF(INDEX(Pengaturan!$B$8:$B$27,K$4)="",0,COUNTIF(Data!$B67:$U67,INDEX(Pengaturan!$B$8:$B$27,K$4)))</f>
        <v>0</v>
      </c>
      <c r="L67" s="26" t="n">
        <f aca="false">IF(INDEX(Pengaturan!$B$8:$B$27,L$4)="",0,COUNTIF(Data!$B67:$U67,INDEX(Pengaturan!$B$8:$B$27,L$4)))</f>
        <v>0</v>
      </c>
      <c r="M67" s="26" t="n">
        <f aca="false">IF(INDEX(Pengaturan!$B$8:$B$27,M$4)="",0,COUNTIF(Data!$B67:$U67,INDEX(Pengaturan!$B$8:$B$27,M$4)))</f>
        <v>0</v>
      </c>
      <c r="N67" s="26" t="n">
        <f aca="false">IF(INDEX(Pengaturan!$B$8:$B$27,N$4)="",0,COUNTIF(Data!$B67:$U67,INDEX(Pengaturan!$B$8:$B$27,N$4)))</f>
        <v>0</v>
      </c>
      <c r="O67" s="26" t="n">
        <f aca="false">IF(INDEX(Pengaturan!$B$8:$B$27,O$4)="",0,COUNTIF(Data!$B67:$U67,INDEX(Pengaturan!$B$8:$B$27,O$4)))</f>
        <v>0</v>
      </c>
      <c r="P67" s="26" t="n">
        <f aca="false">IF(INDEX(Pengaturan!$B$8:$B$27,P$4)="",0,COUNTIF(Data!$B67:$U67,INDEX(Pengaturan!$B$8:$B$27,P$4)))</f>
        <v>0</v>
      </c>
      <c r="Q67" s="26" t="n">
        <f aca="false">IF(INDEX(Pengaturan!$B$8:$B$27,Q$4)="",0,COUNTIF(Data!$B67:$U67,INDEX(Pengaturan!$B$8:$B$27,Q$4)))</f>
        <v>0</v>
      </c>
      <c r="R67" s="26" t="n">
        <f aca="false">IF(INDEX(Pengaturan!$B$8:$B$27,R$4)="",0,COUNTIF(Data!$B67:$U67,INDEX(Pengaturan!$B$8:$B$27,R$4)))</f>
        <v>0</v>
      </c>
      <c r="S67" s="26" t="n">
        <f aca="false">IF(INDEX(Pengaturan!$B$8:$B$27,S$4)="",0,COUNTIF(Data!$B67:$U67,INDEX(Pengaturan!$B$8:$B$27,S$4)))</f>
        <v>0</v>
      </c>
      <c r="T67" s="26" t="n">
        <f aca="false">IF(INDEX(Pengaturan!$B$8:$B$27,T$4)="",0,COUNTIF(Data!$B67:$U67,INDEX(Pengaturan!$B$8:$B$27,T$4)))</f>
        <v>0</v>
      </c>
      <c r="U67" s="26" t="n">
        <f aca="false">IF(INDEX(Pengaturan!$B$8:$B$27,U$4)="",0,COUNTIF(Data!$B67:$U67,INDEX(Pengaturan!$B$8:$B$27,U$4)))</f>
        <v>0</v>
      </c>
      <c r="V67" s="26" t="n">
        <f aca="false">COUNTA(Data!$B67:$U67)</f>
        <v>0</v>
      </c>
      <c r="W67" s="27" t="str">
        <f aca="false">IF(V67=0,"",IF(V67&lt;&gt;Hasil!$C$4,"Data kosong/tidak lengkap",IF(SUM(B67:U67)&lt;&gt;V67,"Kategori tidak dikenal","OK")))</f>
        <v/>
      </c>
      <c r="X67" s="26" t="n">
        <f aca="false">IF(OR(W67="",W67="OK"),0,1)</f>
        <v>0</v>
      </c>
    </row>
    <row r="68" customFormat="false" ht="15" hidden="false" customHeight="false" outlineLevel="0" collapsed="false">
      <c r="A68" s="26" t="n">
        <f aca="false">Data!A68</f>
        <v>63</v>
      </c>
      <c r="B68" s="26" t="n">
        <f aca="false">IF(INDEX(Pengaturan!$B$8:$B$27,B$4)="",0,COUNTIF(Data!$B68:$U68,INDEX(Pengaturan!$B$8:$B$27,B$4)))</f>
        <v>0</v>
      </c>
      <c r="C68" s="26" t="n">
        <f aca="false">IF(INDEX(Pengaturan!$B$8:$B$27,C$4)="",0,COUNTIF(Data!$B68:$U68,INDEX(Pengaturan!$B$8:$B$27,C$4)))</f>
        <v>0</v>
      </c>
      <c r="D68" s="26" t="n">
        <f aca="false">IF(INDEX(Pengaturan!$B$8:$B$27,D$4)="",0,COUNTIF(Data!$B68:$U68,INDEX(Pengaturan!$B$8:$B$27,D$4)))</f>
        <v>0</v>
      </c>
      <c r="E68" s="26" t="n">
        <f aca="false">IF(INDEX(Pengaturan!$B$8:$B$27,E$4)="",0,COUNTIF(Data!$B68:$U68,INDEX(Pengaturan!$B$8:$B$27,E$4)))</f>
        <v>0</v>
      </c>
      <c r="F68" s="26" t="n">
        <f aca="false">IF(INDEX(Pengaturan!$B$8:$B$27,F$4)="",0,COUNTIF(Data!$B68:$U68,INDEX(Pengaturan!$B$8:$B$27,F$4)))</f>
        <v>0</v>
      </c>
      <c r="G68" s="26" t="n">
        <f aca="false">IF(INDEX(Pengaturan!$B$8:$B$27,G$4)="",0,COUNTIF(Data!$B68:$U68,INDEX(Pengaturan!$B$8:$B$27,G$4)))</f>
        <v>0</v>
      </c>
      <c r="H68" s="26" t="n">
        <f aca="false">IF(INDEX(Pengaturan!$B$8:$B$27,H$4)="",0,COUNTIF(Data!$B68:$U68,INDEX(Pengaturan!$B$8:$B$27,H$4)))</f>
        <v>0</v>
      </c>
      <c r="I68" s="26" t="n">
        <f aca="false">IF(INDEX(Pengaturan!$B$8:$B$27,I$4)="",0,COUNTIF(Data!$B68:$U68,INDEX(Pengaturan!$B$8:$B$27,I$4)))</f>
        <v>0</v>
      </c>
      <c r="J68" s="26" t="n">
        <f aca="false">IF(INDEX(Pengaturan!$B$8:$B$27,J$4)="",0,COUNTIF(Data!$B68:$U68,INDEX(Pengaturan!$B$8:$B$27,J$4)))</f>
        <v>0</v>
      </c>
      <c r="K68" s="26" t="n">
        <f aca="false">IF(INDEX(Pengaturan!$B$8:$B$27,K$4)="",0,COUNTIF(Data!$B68:$U68,INDEX(Pengaturan!$B$8:$B$27,K$4)))</f>
        <v>0</v>
      </c>
      <c r="L68" s="26" t="n">
        <f aca="false">IF(INDEX(Pengaturan!$B$8:$B$27,L$4)="",0,COUNTIF(Data!$B68:$U68,INDEX(Pengaturan!$B$8:$B$27,L$4)))</f>
        <v>0</v>
      </c>
      <c r="M68" s="26" t="n">
        <f aca="false">IF(INDEX(Pengaturan!$B$8:$B$27,M$4)="",0,COUNTIF(Data!$B68:$U68,INDEX(Pengaturan!$B$8:$B$27,M$4)))</f>
        <v>0</v>
      </c>
      <c r="N68" s="26" t="n">
        <f aca="false">IF(INDEX(Pengaturan!$B$8:$B$27,N$4)="",0,COUNTIF(Data!$B68:$U68,INDEX(Pengaturan!$B$8:$B$27,N$4)))</f>
        <v>0</v>
      </c>
      <c r="O68" s="26" t="n">
        <f aca="false">IF(INDEX(Pengaturan!$B$8:$B$27,O$4)="",0,COUNTIF(Data!$B68:$U68,INDEX(Pengaturan!$B$8:$B$27,O$4)))</f>
        <v>0</v>
      </c>
      <c r="P68" s="26" t="n">
        <f aca="false">IF(INDEX(Pengaturan!$B$8:$B$27,P$4)="",0,COUNTIF(Data!$B68:$U68,INDEX(Pengaturan!$B$8:$B$27,P$4)))</f>
        <v>0</v>
      </c>
      <c r="Q68" s="26" t="n">
        <f aca="false">IF(INDEX(Pengaturan!$B$8:$B$27,Q$4)="",0,COUNTIF(Data!$B68:$U68,INDEX(Pengaturan!$B$8:$B$27,Q$4)))</f>
        <v>0</v>
      </c>
      <c r="R68" s="26" t="n">
        <f aca="false">IF(INDEX(Pengaturan!$B$8:$B$27,R$4)="",0,COUNTIF(Data!$B68:$U68,INDEX(Pengaturan!$B$8:$B$27,R$4)))</f>
        <v>0</v>
      </c>
      <c r="S68" s="26" t="n">
        <f aca="false">IF(INDEX(Pengaturan!$B$8:$B$27,S$4)="",0,COUNTIF(Data!$B68:$U68,INDEX(Pengaturan!$B$8:$B$27,S$4)))</f>
        <v>0</v>
      </c>
      <c r="T68" s="26" t="n">
        <f aca="false">IF(INDEX(Pengaturan!$B$8:$B$27,T$4)="",0,COUNTIF(Data!$B68:$U68,INDEX(Pengaturan!$B$8:$B$27,T$4)))</f>
        <v>0</v>
      </c>
      <c r="U68" s="26" t="n">
        <f aca="false">IF(INDEX(Pengaturan!$B$8:$B$27,U$4)="",0,COUNTIF(Data!$B68:$U68,INDEX(Pengaturan!$B$8:$B$27,U$4)))</f>
        <v>0</v>
      </c>
      <c r="V68" s="26" t="n">
        <f aca="false">COUNTA(Data!$B68:$U68)</f>
        <v>0</v>
      </c>
      <c r="W68" s="27" t="str">
        <f aca="false">IF(V68=0,"",IF(V68&lt;&gt;Hasil!$C$4,"Data kosong/tidak lengkap",IF(SUM(B68:U68)&lt;&gt;V68,"Kategori tidak dikenal","OK")))</f>
        <v/>
      </c>
      <c r="X68" s="26" t="n">
        <f aca="false">IF(OR(W68="",W68="OK"),0,1)</f>
        <v>0</v>
      </c>
    </row>
    <row r="69" customFormat="false" ht="15" hidden="false" customHeight="false" outlineLevel="0" collapsed="false">
      <c r="A69" s="26" t="n">
        <f aca="false">Data!A69</f>
        <v>64</v>
      </c>
      <c r="B69" s="26" t="n">
        <f aca="false">IF(INDEX(Pengaturan!$B$8:$B$27,B$4)="",0,COUNTIF(Data!$B69:$U69,INDEX(Pengaturan!$B$8:$B$27,B$4)))</f>
        <v>0</v>
      </c>
      <c r="C69" s="26" t="n">
        <f aca="false">IF(INDEX(Pengaturan!$B$8:$B$27,C$4)="",0,COUNTIF(Data!$B69:$U69,INDEX(Pengaturan!$B$8:$B$27,C$4)))</f>
        <v>0</v>
      </c>
      <c r="D69" s="26" t="n">
        <f aca="false">IF(INDEX(Pengaturan!$B$8:$B$27,D$4)="",0,COUNTIF(Data!$B69:$U69,INDEX(Pengaturan!$B$8:$B$27,D$4)))</f>
        <v>0</v>
      </c>
      <c r="E69" s="26" t="n">
        <f aca="false">IF(INDEX(Pengaturan!$B$8:$B$27,E$4)="",0,COUNTIF(Data!$B69:$U69,INDEX(Pengaturan!$B$8:$B$27,E$4)))</f>
        <v>0</v>
      </c>
      <c r="F69" s="26" t="n">
        <f aca="false">IF(INDEX(Pengaturan!$B$8:$B$27,F$4)="",0,COUNTIF(Data!$B69:$U69,INDEX(Pengaturan!$B$8:$B$27,F$4)))</f>
        <v>0</v>
      </c>
      <c r="G69" s="26" t="n">
        <f aca="false">IF(INDEX(Pengaturan!$B$8:$B$27,G$4)="",0,COUNTIF(Data!$B69:$U69,INDEX(Pengaturan!$B$8:$B$27,G$4)))</f>
        <v>0</v>
      </c>
      <c r="H69" s="26" t="n">
        <f aca="false">IF(INDEX(Pengaturan!$B$8:$B$27,H$4)="",0,COUNTIF(Data!$B69:$U69,INDEX(Pengaturan!$B$8:$B$27,H$4)))</f>
        <v>0</v>
      </c>
      <c r="I69" s="26" t="n">
        <f aca="false">IF(INDEX(Pengaturan!$B$8:$B$27,I$4)="",0,COUNTIF(Data!$B69:$U69,INDEX(Pengaturan!$B$8:$B$27,I$4)))</f>
        <v>0</v>
      </c>
      <c r="J69" s="26" t="n">
        <f aca="false">IF(INDEX(Pengaturan!$B$8:$B$27,J$4)="",0,COUNTIF(Data!$B69:$U69,INDEX(Pengaturan!$B$8:$B$27,J$4)))</f>
        <v>0</v>
      </c>
      <c r="K69" s="26" t="n">
        <f aca="false">IF(INDEX(Pengaturan!$B$8:$B$27,K$4)="",0,COUNTIF(Data!$B69:$U69,INDEX(Pengaturan!$B$8:$B$27,K$4)))</f>
        <v>0</v>
      </c>
      <c r="L69" s="26" t="n">
        <f aca="false">IF(INDEX(Pengaturan!$B$8:$B$27,L$4)="",0,COUNTIF(Data!$B69:$U69,INDEX(Pengaturan!$B$8:$B$27,L$4)))</f>
        <v>0</v>
      </c>
      <c r="M69" s="26" t="n">
        <f aca="false">IF(INDEX(Pengaturan!$B$8:$B$27,M$4)="",0,COUNTIF(Data!$B69:$U69,INDEX(Pengaturan!$B$8:$B$27,M$4)))</f>
        <v>0</v>
      </c>
      <c r="N69" s="26" t="n">
        <f aca="false">IF(INDEX(Pengaturan!$B$8:$B$27,N$4)="",0,COUNTIF(Data!$B69:$U69,INDEX(Pengaturan!$B$8:$B$27,N$4)))</f>
        <v>0</v>
      </c>
      <c r="O69" s="26" t="n">
        <f aca="false">IF(INDEX(Pengaturan!$B$8:$B$27,O$4)="",0,COUNTIF(Data!$B69:$U69,INDEX(Pengaturan!$B$8:$B$27,O$4)))</f>
        <v>0</v>
      </c>
      <c r="P69" s="26" t="n">
        <f aca="false">IF(INDEX(Pengaturan!$B$8:$B$27,P$4)="",0,COUNTIF(Data!$B69:$U69,INDEX(Pengaturan!$B$8:$B$27,P$4)))</f>
        <v>0</v>
      </c>
      <c r="Q69" s="26" t="n">
        <f aca="false">IF(INDEX(Pengaturan!$B$8:$B$27,Q$4)="",0,COUNTIF(Data!$B69:$U69,INDEX(Pengaturan!$B$8:$B$27,Q$4)))</f>
        <v>0</v>
      </c>
      <c r="R69" s="26" t="n">
        <f aca="false">IF(INDEX(Pengaturan!$B$8:$B$27,R$4)="",0,COUNTIF(Data!$B69:$U69,INDEX(Pengaturan!$B$8:$B$27,R$4)))</f>
        <v>0</v>
      </c>
      <c r="S69" s="26" t="n">
        <f aca="false">IF(INDEX(Pengaturan!$B$8:$B$27,S$4)="",0,COUNTIF(Data!$B69:$U69,INDEX(Pengaturan!$B$8:$B$27,S$4)))</f>
        <v>0</v>
      </c>
      <c r="T69" s="26" t="n">
        <f aca="false">IF(INDEX(Pengaturan!$B$8:$B$27,T$4)="",0,COUNTIF(Data!$B69:$U69,INDEX(Pengaturan!$B$8:$B$27,T$4)))</f>
        <v>0</v>
      </c>
      <c r="U69" s="26" t="n">
        <f aca="false">IF(INDEX(Pengaturan!$B$8:$B$27,U$4)="",0,COUNTIF(Data!$B69:$U69,INDEX(Pengaturan!$B$8:$B$27,U$4)))</f>
        <v>0</v>
      </c>
      <c r="V69" s="26" t="n">
        <f aca="false">COUNTA(Data!$B69:$U69)</f>
        <v>0</v>
      </c>
      <c r="W69" s="27" t="str">
        <f aca="false">IF(V69=0,"",IF(V69&lt;&gt;Hasil!$C$4,"Data kosong/tidak lengkap",IF(SUM(B69:U69)&lt;&gt;V69,"Kategori tidak dikenal","OK")))</f>
        <v/>
      </c>
      <c r="X69" s="26" t="n">
        <f aca="false">IF(OR(W69="",W69="OK"),0,1)</f>
        <v>0</v>
      </c>
    </row>
    <row r="70" customFormat="false" ht="15" hidden="false" customHeight="false" outlineLevel="0" collapsed="false">
      <c r="A70" s="26" t="n">
        <f aca="false">Data!A70</f>
        <v>65</v>
      </c>
      <c r="B70" s="26" t="n">
        <f aca="false">IF(INDEX(Pengaturan!$B$8:$B$27,B$4)="",0,COUNTIF(Data!$B70:$U70,INDEX(Pengaturan!$B$8:$B$27,B$4)))</f>
        <v>0</v>
      </c>
      <c r="C70" s="26" t="n">
        <f aca="false">IF(INDEX(Pengaturan!$B$8:$B$27,C$4)="",0,COUNTIF(Data!$B70:$U70,INDEX(Pengaturan!$B$8:$B$27,C$4)))</f>
        <v>0</v>
      </c>
      <c r="D70" s="26" t="n">
        <f aca="false">IF(INDEX(Pengaturan!$B$8:$B$27,D$4)="",0,COUNTIF(Data!$B70:$U70,INDEX(Pengaturan!$B$8:$B$27,D$4)))</f>
        <v>0</v>
      </c>
      <c r="E70" s="26" t="n">
        <f aca="false">IF(INDEX(Pengaturan!$B$8:$B$27,E$4)="",0,COUNTIF(Data!$B70:$U70,INDEX(Pengaturan!$B$8:$B$27,E$4)))</f>
        <v>0</v>
      </c>
      <c r="F70" s="26" t="n">
        <f aca="false">IF(INDEX(Pengaturan!$B$8:$B$27,F$4)="",0,COUNTIF(Data!$B70:$U70,INDEX(Pengaturan!$B$8:$B$27,F$4)))</f>
        <v>0</v>
      </c>
      <c r="G70" s="26" t="n">
        <f aca="false">IF(INDEX(Pengaturan!$B$8:$B$27,G$4)="",0,COUNTIF(Data!$B70:$U70,INDEX(Pengaturan!$B$8:$B$27,G$4)))</f>
        <v>0</v>
      </c>
      <c r="H70" s="26" t="n">
        <f aca="false">IF(INDEX(Pengaturan!$B$8:$B$27,H$4)="",0,COUNTIF(Data!$B70:$U70,INDEX(Pengaturan!$B$8:$B$27,H$4)))</f>
        <v>0</v>
      </c>
      <c r="I70" s="26" t="n">
        <f aca="false">IF(INDEX(Pengaturan!$B$8:$B$27,I$4)="",0,COUNTIF(Data!$B70:$U70,INDEX(Pengaturan!$B$8:$B$27,I$4)))</f>
        <v>0</v>
      </c>
      <c r="J70" s="26" t="n">
        <f aca="false">IF(INDEX(Pengaturan!$B$8:$B$27,J$4)="",0,COUNTIF(Data!$B70:$U70,INDEX(Pengaturan!$B$8:$B$27,J$4)))</f>
        <v>0</v>
      </c>
      <c r="K70" s="26" t="n">
        <f aca="false">IF(INDEX(Pengaturan!$B$8:$B$27,K$4)="",0,COUNTIF(Data!$B70:$U70,INDEX(Pengaturan!$B$8:$B$27,K$4)))</f>
        <v>0</v>
      </c>
      <c r="L70" s="26" t="n">
        <f aca="false">IF(INDEX(Pengaturan!$B$8:$B$27,L$4)="",0,COUNTIF(Data!$B70:$U70,INDEX(Pengaturan!$B$8:$B$27,L$4)))</f>
        <v>0</v>
      </c>
      <c r="M70" s="26" t="n">
        <f aca="false">IF(INDEX(Pengaturan!$B$8:$B$27,M$4)="",0,COUNTIF(Data!$B70:$U70,INDEX(Pengaturan!$B$8:$B$27,M$4)))</f>
        <v>0</v>
      </c>
      <c r="N70" s="26" t="n">
        <f aca="false">IF(INDEX(Pengaturan!$B$8:$B$27,N$4)="",0,COUNTIF(Data!$B70:$U70,INDEX(Pengaturan!$B$8:$B$27,N$4)))</f>
        <v>0</v>
      </c>
      <c r="O70" s="26" t="n">
        <f aca="false">IF(INDEX(Pengaturan!$B$8:$B$27,O$4)="",0,COUNTIF(Data!$B70:$U70,INDEX(Pengaturan!$B$8:$B$27,O$4)))</f>
        <v>0</v>
      </c>
      <c r="P70" s="26" t="n">
        <f aca="false">IF(INDEX(Pengaturan!$B$8:$B$27,P$4)="",0,COUNTIF(Data!$B70:$U70,INDEX(Pengaturan!$B$8:$B$27,P$4)))</f>
        <v>0</v>
      </c>
      <c r="Q70" s="26" t="n">
        <f aca="false">IF(INDEX(Pengaturan!$B$8:$B$27,Q$4)="",0,COUNTIF(Data!$B70:$U70,INDEX(Pengaturan!$B$8:$B$27,Q$4)))</f>
        <v>0</v>
      </c>
      <c r="R70" s="26" t="n">
        <f aca="false">IF(INDEX(Pengaturan!$B$8:$B$27,R$4)="",0,COUNTIF(Data!$B70:$U70,INDEX(Pengaturan!$B$8:$B$27,R$4)))</f>
        <v>0</v>
      </c>
      <c r="S70" s="26" t="n">
        <f aca="false">IF(INDEX(Pengaturan!$B$8:$B$27,S$4)="",0,COUNTIF(Data!$B70:$U70,INDEX(Pengaturan!$B$8:$B$27,S$4)))</f>
        <v>0</v>
      </c>
      <c r="T70" s="26" t="n">
        <f aca="false">IF(INDEX(Pengaturan!$B$8:$B$27,T$4)="",0,COUNTIF(Data!$B70:$U70,INDEX(Pengaturan!$B$8:$B$27,T$4)))</f>
        <v>0</v>
      </c>
      <c r="U70" s="26" t="n">
        <f aca="false">IF(INDEX(Pengaturan!$B$8:$B$27,U$4)="",0,COUNTIF(Data!$B70:$U70,INDEX(Pengaturan!$B$8:$B$27,U$4)))</f>
        <v>0</v>
      </c>
      <c r="V70" s="26" t="n">
        <f aca="false">COUNTA(Data!$B70:$U70)</f>
        <v>0</v>
      </c>
      <c r="W70" s="27" t="str">
        <f aca="false">IF(V70=0,"",IF(V70&lt;&gt;Hasil!$C$4,"Data kosong/tidak lengkap",IF(SUM(B70:U70)&lt;&gt;V70,"Kategori tidak dikenal","OK")))</f>
        <v/>
      </c>
      <c r="X70" s="26" t="n">
        <f aca="false">IF(OR(W70="",W70="OK"),0,1)</f>
        <v>0</v>
      </c>
    </row>
    <row r="71" customFormat="false" ht="15" hidden="false" customHeight="false" outlineLevel="0" collapsed="false">
      <c r="A71" s="26" t="n">
        <f aca="false">Data!A71</f>
        <v>66</v>
      </c>
      <c r="B71" s="26" t="n">
        <f aca="false">IF(INDEX(Pengaturan!$B$8:$B$27,B$4)="",0,COUNTIF(Data!$B71:$U71,INDEX(Pengaturan!$B$8:$B$27,B$4)))</f>
        <v>0</v>
      </c>
      <c r="C71" s="26" t="n">
        <f aca="false">IF(INDEX(Pengaturan!$B$8:$B$27,C$4)="",0,COUNTIF(Data!$B71:$U71,INDEX(Pengaturan!$B$8:$B$27,C$4)))</f>
        <v>0</v>
      </c>
      <c r="D71" s="26" t="n">
        <f aca="false">IF(INDEX(Pengaturan!$B$8:$B$27,D$4)="",0,COUNTIF(Data!$B71:$U71,INDEX(Pengaturan!$B$8:$B$27,D$4)))</f>
        <v>0</v>
      </c>
      <c r="E71" s="26" t="n">
        <f aca="false">IF(INDEX(Pengaturan!$B$8:$B$27,E$4)="",0,COUNTIF(Data!$B71:$U71,INDEX(Pengaturan!$B$8:$B$27,E$4)))</f>
        <v>0</v>
      </c>
      <c r="F71" s="26" t="n">
        <f aca="false">IF(INDEX(Pengaturan!$B$8:$B$27,F$4)="",0,COUNTIF(Data!$B71:$U71,INDEX(Pengaturan!$B$8:$B$27,F$4)))</f>
        <v>0</v>
      </c>
      <c r="G71" s="26" t="n">
        <f aca="false">IF(INDEX(Pengaturan!$B$8:$B$27,G$4)="",0,COUNTIF(Data!$B71:$U71,INDEX(Pengaturan!$B$8:$B$27,G$4)))</f>
        <v>0</v>
      </c>
      <c r="H71" s="26" t="n">
        <f aca="false">IF(INDEX(Pengaturan!$B$8:$B$27,H$4)="",0,COUNTIF(Data!$B71:$U71,INDEX(Pengaturan!$B$8:$B$27,H$4)))</f>
        <v>0</v>
      </c>
      <c r="I71" s="26" t="n">
        <f aca="false">IF(INDEX(Pengaturan!$B$8:$B$27,I$4)="",0,COUNTIF(Data!$B71:$U71,INDEX(Pengaturan!$B$8:$B$27,I$4)))</f>
        <v>0</v>
      </c>
      <c r="J71" s="26" t="n">
        <f aca="false">IF(INDEX(Pengaturan!$B$8:$B$27,J$4)="",0,COUNTIF(Data!$B71:$U71,INDEX(Pengaturan!$B$8:$B$27,J$4)))</f>
        <v>0</v>
      </c>
      <c r="K71" s="26" t="n">
        <f aca="false">IF(INDEX(Pengaturan!$B$8:$B$27,K$4)="",0,COUNTIF(Data!$B71:$U71,INDEX(Pengaturan!$B$8:$B$27,K$4)))</f>
        <v>0</v>
      </c>
      <c r="L71" s="26" t="n">
        <f aca="false">IF(INDEX(Pengaturan!$B$8:$B$27,L$4)="",0,COUNTIF(Data!$B71:$U71,INDEX(Pengaturan!$B$8:$B$27,L$4)))</f>
        <v>0</v>
      </c>
      <c r="M71" s="26" t="n">
        <f aca="false">IF(INDEX(Pengaturan!$B$8:$B$27,M$4)="",0,COUNTIF(Data!$B71:$U71,INDEX(Pengaturan!$B$8:$B$27,M$4)))</f>
        <v>0</v>
      </c>
      <c r="N71" s="26" t="n">
        <f aca="false">IF(INDEX(Pengaturan!$B$8:$B$27,N$4)="",0,COUNTIF(Data!$B71:$U71,INDEX(Pengaturan!$B$8:$B$27,N$4)))</f>
        <v>0</v>
      </c>
      <c r="O71" s="26" t="n">
        <f aca="false">IF(INDEX(Pengaturan!$B$8:$B$27,O$4)="",0,COUNTIF(Data!$B71:$U71,INDEX(Pengaturan!$B$8:$B$27,O$4)))</f>
        <v>0</v>
      </c>
      <c r="P71" s="26" t="n">
        <f aca="false">IF(INDEX(Pengaturan!$B$8:$B$27,P$4)="",0,COUNTIF(Data!$B71:$U71,INDEX(Pengaturan!$B$8:$B$27,P$4)))</f>
        <v>0</v>
      </c>
      <c r="Q71" s="26" t="n">
        <f aca="false">IF(INDEX(Pengaturan!$B$8:$B$27,Q$4)="",0,COUNTIF(Data!$B71:$U71,INDEX(Pengaturan!$B$8:$B$27,Q$4)))</f>
        <v>0</v>
      </c>
      <c r="R71" s="26" t="n">
        <f aca="false">IF(INDEX(Pengaturan!$B$8:$B$27,R$4)="",0,COUNTIF(Data!$B71:$U71,INDEX(Pengaturan!$B$8:$B$27,R$4)))</f>
        <v>0</v>
      </c>
      <c r="S71" s="26" t="n">
        <f aca="false">IF(INDEX(Pengaturan!$B$8:$B$27,S$4)="",0,COUNTIF(Data!$B71:$U71,INDEX(Pengaturan!$B$8:$B$27,S$4)))</f>
        <v>0</v>
      </c>
      <c r="T71" s="26" t="n">
        <f aca="false">IF(INDEX(Pengaturan!$B$8:$B$27,T$4)="",0,COUNTIF(Data!$B71:$U71,INDEX(Pengaturan!$B$8:$B$27,T$4)))</f>
        <v>0</v>
      </c>
      <c r="U71" s="26" t="n">
        <f aca="false">IF(INDEX(Pengaturan!$B$8:$B$27,U$4)="",0,COUNTIF(Data!$B71:$U71,INDEX(Pengaturan!$B$8:$B$27,U$4)))</f>
        <v>0</v>
      </c>
      <c r="V71" s="26" t="n">
        <f aca="false">COUNTA(Data!$B71:$U71)</f>
        <v>0</v>
      </c>
      <c r="W71" s="27" t="str">
        <f aca="false">IF(V71=0,"",IF(V71&lt;&gt;Hasil!$C$4,"Data kosong/tidak lengkap",IF(SUM(B71:U71)&lt;&gt;V71,"Kategori tidak dikenal","OK")))</f>
        <v/>
      </c>
      <c r="X71" s="26" t="n">
        <f aca="false">IF(OR(W71="",W71="OK"),0,1)</f>
        <v>0</v>
      </c>
    </row>
    <row r="72" customFormat="false" ht="15" hidden="false" customHeight="false" outlineLevel="0" collapsed="false">
      <c r="A72" s="26" t="n">
        <f aca="false">Data!A72</f>
        <v>67</v>
      </c>
      <c r="B72" s="26" t="n">
        <f aca="false">IF(INDEX(Pengaturan!$B$8:$B$27,B$4)="",0,COUNTIF(Data!$B72:$U72,INDEX(Pengaturan!$B$8:$B$27,B$4)))</f>
        <v>0</v>
      </c>
      <c r="C72" s="26" t="n">
        <f aca="false">IF(INDEX(Pengaturan!$B$8:$B$27,C$4)="",0,COUNTIF(Data!$B72:$U72,INDEX(Pengaturan!$B$8:$B$27,C$4)))</f>
        <v>0</v>
      </c>
      <c r="D72" s="26" t="n">
        <f aca="false">IF(INDEX(Pengaturan!$B$8:$B$27,D$4)="",0,COUNTIF(Data!$B72:$U72,INDEX(Pengaturan!$B$8:$B$27,D$4)))</f>
        <v>0</v>
      </c>
      <c r="E72" s="26" t="n">
        <f aca="false">IF(INDEX(Pengaturan!$B$8:$B$27,E$4)="",0,COUNTIF(Data!$B72:$U72,INDEX(Pengaturan!$B$8:$B$27,E$4)))</f>
        <v>0</v>
      </c>
      <c r="F72" s="26" t="n">
        <f aca="false">IF(INDEX(Pengaturan!$B$8:$B$27,F$4)="",0,COUNTIF(Data!$B72:$U72,INDEX(Pengaturan!$B$8:$B$27,F$4)))</f>
        <v>0</v>
      </c>
      <c r="G72" s="26" t="n">
        <f aca="false">IF(INDEX(Pengaturan!$B$8:$B$27,G$4)="",0,COUNTIF(Data!$B72:$U72,INDEX(Pengaturan!$B$8:$B$27,G$4)))</f>
        <v>0</v>
      </c>
      <c r="H72" s="26" t="n">
        <f aca="false">IF(INDEX(Pengaturan!$B$8:$B$27,H$4)="",0,COUNTIF(Data!$B72:$U72,INDEX(Pengaturan!$B$8:$B$27,H$4)))</f>
        <v>0</v>
      </c>
      <c r="I72" s="26" t="n">
        <f aca="false">IF(INDEX(Pengaturan!$B$8:$B$27,I$4)="",0,COUNTIF(Data!$B72:$U72,INDEX(Pengaturan!$B$8:$B$27,I$4)))</f>
        <v>0</v>
      </c>
      <c r="J72" s="26" t="n">
        <f aca="false">IF(INDEX(Pengaturan!$B$8:$B$27,J$4)="",0,COUNTIF(Data!$B72:$U72,INDEX(Pengaturan!$B$8:$B$27,J$4)))</f>
        <v>0</v>
      </c>
      <c r="K72" s="26" t="n">
        <f aca="false">IF(INDEX(Pengaturan!$B$8:$B$27,K$4)="",0,COUNTIF(Data!$B72:$U72,INDEX(Pengaturan!$B$8:$B$27,K$4)))</f>
        <v>0</v>
      </c>
      <c r="L72" s="26" t="n">
        <f aca="false">IF(INDEX(Pengaturan!$B$8:$B$27,L$4)="",0,COUNTIF(Data!$B72:$U72,INDEX(Pengaturan!$B$8:$B$27,L$4)))</f>
        <v>0</v>
      </c>
      <c r="M72" s="26" t="n">
        <f aca="false">IF(INDEX(Pengaturan!$B$8:$B$27,M$4)="",0,COUNTIF(Data!$B72:$U72,INDEX(Pengaturan!$B$8:$B$27,M$4)))</f>
        <v>0</v>
      </c>
      <c r="N72" s="26" t="n">
        <f aca="false">IF(INDEX(Pengaturan!$B$8:$B$27,N$4)="",0,COUNTIF(Data!$B72:$U72,INDEX(Pengaturan!$B$8:$B$27,N$4)))</f>
        <v>0</v>
      </c>
      <c r="O72" s="26" t="n">
        <f aca="false">IF(INDEX(Pengaturan!$B$8:$B$27,O$4)="",0,COUNTIF(Data!$B72:$U72,INDEX(Pengaturan!$B$8:$B$27,O$4)))</f>
        <v>0</v>
      </c>
      <c r="P72" s="26" t="n">
        <f aca="false">IF(INDEX(Pengaturan!$B$8:$B$27,P$4)="",0,COUNTIF(Data!$B72:$U72,INDEX(Pengaturan!$B$8:$B$27,P$4)))</f>
        <v>0</v>
      </c>
      <c r="Q72" s="26" t="n">
        <f aca="false">IF(INDEX(Pengaturan!$B$8:$B$27,Q$4)="",0,COUNTIF(Data!$B72:$U72,INDEX(Pengaturan!$B$8:$B$27,Q$4)))</f>
        <v>0</v>
      </c>
      <c r="R72" s="26" t="n">
        <f aca="false">IF(INDEX(Pengaturan!$B$8:$B$27,R$4)="",0,COUNTIF(Data!$B72:$U72,INDEX(Pengaturan!$B$8:$B$27,R$4)))</f>
        <v>0</v>
      </c>
      <c r="S72" s="26" t="n">
        <f aca="false">IF(INDEX(Pengaturan!$B$8:$B$27,S$4)="",0,COUNTIF(Data!$B72:$U72,INDEX(Pengaturan!$B$8:$B$27,S$4)))</f>
        <v>0</v>
      </c>
      <c r="T72" s="26" t="n">
        <f aca="false">IF(INDEX(Pengaturan!$B$8:$B$27,T$4)="",0,COUNTIF(Data!$B72:$U72,INDEX(Pengaturan!$B$8:$B$27,T$4)))</f>
        <v>0</v>
      </c>
      <c r="U72" s="26" t="n">
        <f aca="false">IF(INDEX(Pengaturan!$B$8:$B$27,U$4)="",0,COUNTIF(Data!$B72:$U72,INDEX(Pengaturan!$B$8:$B$27,U$4)))</f>
        <v>0</v>
      </c>
      <c r="V72" s="26" t="n">
        <f aca="false">COUNTA(Data!$B72:$U72)</f>
        <v>0</v>
      </c>
      <c r="W72" s="27" t="str">
        <f aca="false">IF(V72=0,"",IF(V72&lt;&gt;Hasil!$C$4,"Data kosong/tidak lengkap",IF(SUM(B72:U72)&lt;&gt;V72,"Kategori tidak dikenal","OK")))</f>
        <v/>
      </c>
      <c r="X72" s="26" t="n">
        <f aca="false">IF(OR(W72="",W72="OK"),0,1)</f>
        <v>0</v>
      </c>
    </row>
    <row r="73" customFormat="false" ht="15" hidden="false" customHeight="false" outlineLevel="0" collapsed="false">
      <c r="A73" s="26" t="n">
        <f aca="false">Data!A73</f>
        <v>68</v>
      </c>
      <c r="B73" s="26" t="n">
        <f aca="false">IF(INDEX(Pengaturan!$B$8:$B$27,B$4)="",0,COUNTIF(Data!$B73:$U73,INDEX(Pengaturan!$B$8:$B$27,B$4)))</f>
        <v>0</v>
      </c>
      <c r="C73" s="26" t="n">
        <f aca="false">IF(INDEX(Pengaturan!$B$8:$B$27,C$4)="",0,COUNTIF(Data!$B73:$U73,INDEX(Pengaturan!$B$8:$B$27,C$4)))</f>
        <v>0</v>
      </c>
      <c r="D73" s="26" t="n">
        <f aca="false">IF(INDEX(Pengaturan!$B$8:$B$27,D$4)="",0,COUNTIF(Data!$B73:$U73,INDEX(Pengaturan!$B$8:$B$27,D$4)))</f>
        <v>0</v>
      </c>
      <c r="E73" s="26" t="n">
        <f aca="false">IF(INDEX(Pengaturan!$B$8:$B$27,E$4)="",0,COUNTIF(Data!$B73:$U73,INDEX(Pengaturan!$B$8:$B$27,E$4)))</f>
        <v>0</v>
      </c>
      <c r="F73" s="26" t="n">
        <f aca="false">IF(INDEX(Pengaturan!$B$8:$B$27,F$4)="",0,COUNTIF(Data!$B73:$U73,INDEX(Pengaturan!$B$8:$B$27,F$4)))</f>
        <v>0</v>
      </c>
      <c r="G73" s="26" t="n">
        <f aca="false">IF(INDEX(Pengaturan!$B$8:$B$27,G$4)="",0,COUNTIF(Data!$B73:$U73,INDEX(Pengaturan!$B$8:$B$27,G$4)))</f>
        <v>0</v>
      </c>
      <c r="H73" s="26" t="n">
        <f aca="false">IF(INDEX(Pengaturan!$B$8:$B$27,H$4)="",0,COUNTIF(Data!$B73:$U73,INDEX(Pengaturan!$B$8:$B$27,H$4)))</f>
        <v>0</v>
      </c>
      <c r="I73" s="26" t="n">
        <f aca="false">IF(INDEX(Pengaturan!$B$8:$B$27,I$4)="",0,COUNTIF(Data!$B73:$U73,INDEX(Pengaturan!$B$8:$B$27,I$4)))</f>
        <v>0</v>
      </c>
      <c r="J73" s="26" t="n">
        <f aca="false">IF(INDEX(Pengaturan!$B$8:$B$27,J$4)="",0,COUNTIF(Data!$B73:$U73,INDEX(Pengaturan!$B$8:$B$27,J$4)))</f>
        <v>0</v>
      </c>
      <c r="K73" s="26" t="n">
        <f aca="false">IF(INDEX(Pengaturan!$B$8:$B$27,K$4)="",0,COUNTIF(Data!$B73:$U73,INDEX(Pengaturan!$B$8:$B$27,K$4)))</f>
        <v>0</v>
      </c>
      <c r="L73" s="26" t="n">
        <f aca="false">IF(INDEX(Pengaturan!$B$8:$B$27,L$4)="",0,COUNTIF(Data!$B73:$U73,INDEX(Pengaturan!$B$8:$B$27,L$4)))</f>
        <v>0</v>
      </c>
      <c r="M73" s="26" t="n">
        <f aca="false">IF(INDEX(Pengaturan!$B$8:$B$27,M$4)="",0,COUNTIF(Data!$B73:$U73,INDEX(Pengaturan!$B$8:$B$27,M$4)))</f>
        <v>0</v>
      </c>
      <c r="N73" s="26" t="n">
        <f aca="false">IF(INDEX(Pengaturan!$B$8:$B$27,N$4)="",0,COUNTIF(Data!$B73:$U73,INDEX(Pengaturan!$B$8:$B$27,N$4)))</f>
        <v>0</v>
      </c>
      <c r="O73" s="26" t="n">
        <f aca="false">IF(INDEX(Pengaturan!$B$8:$B$27,O$4)="",0,COUNTIF(Data!$B73:$U73,INDEX(Pengaturan!$B$8:$B$27,O$4)))</f>
        <v>0</v>
      </c>
      <c r="P73" s="26" t="n">
        <f aca="false">IF(INDEX(Pengaturan!$B$8:$B$27,P$4)="",0,COUNTIF(Data!$B73:$U73,INDEX(Pengaturan!$B$8:$B$27,P$4)))</f>
        <v>0</v>
      </c>
      <c r="Q73" s="26" t="n">
        <f aca="false">IF(INDEX(Pengaturan!$B$8:$B$27,Q$4)="",0,COUNTIF(Data!$B73:$U73,INDEX(Pengaturan!$B$8:$B$27,Q$4)))</f>
        <v>0</v>
      </c>
      <c r="R73" s="26" t="n">
        <f aca="false">IF(INDEX(Pengaturan!$B$8:$B$27,R$4)="",0,COUNTIF(Data!$B73:$U73,INDEX(Pengaturan!$B$8:$B$27,R$4)))</f>
        <v>0</v>
      </c>
      <c r="S73" s="26" t="n">
        <f aca="false">IF(INDEX(Pengaturan!$B$8:$B$27,S$4)="",0,COUNTIF(Data!$B73:$U73,INDEX(Pengaturan!$B$8:$B$27,S$4)))</f>
        <v>0</v>
      </c>
      <c r="T73" s="26" t="n">
        <f aca="false">IF(INDEX(Pengaturan!$B$8:$B$27,T$4)="",0,COUNTIF(Data!$B73:$U73,INDEX(Pengaturan!$B$8:$B$27,T$4)))</f>
        <v>0</v>
      </c>
      <c r="U73" s="26" t="n">
        <f aca="false">IF(INDEX(Pengaturan!$B$8:$B$27,U$4)="",0,COUNTIF(Data!$B73:$U73,INDEX(Pengaturan!$B$8:$B$27,U$4)))</f>
        <v>0</v>
      </c>
      <c r="V73" s="26" t="n">
        <f aca="false">COUNTA(Data!$B73:$U73)</f>
        <v>0</v>
      </c>
      <c r="W73" s="27" t="str">
        <f aca="false">IF(V73=0,"",IF(V73&lt;&gt;Hasil!$C$4,"Data kosong/tidak lengkap",IF(SUM(B73:U73)&lt;&gt;V73,"Kategori tidak dikenal","OK")))</f>
        <v/>
      </c>
      <c r="X73" s="26" t="n">
        <f aca="false">IF(OR(W73="",W73="OK"),0,1)</f>
        <v>0</v>
      </c>
    </row>
    <row r="74" customFormat="false" ht="15" hidden="false" customHeight="false" outlineLevel="0" collapsed="false">
      <c r="A74" s="26" t="n">
        <f aca="false">Data!A74</f>
        <v>69</v>
      </c>
      <c r="B74" s="26" t="n">
        <f aca="false">IF(INDEX(Pengaturan!$B$8:$B$27,B$4)="",0,COUNTIF(Data!$B74:$U74,INDEX(Pengaturan!$B$8:$B$27,B$4)))</f>
        <v>0</v>
      </c>
      <c r="C74" s="26" t="n">
        <f aca="false">IF(INDEX(Pengaturan!$B$8:$B$27,C$4)="",0,COUNTIF(Data!$B74:$U74,INDEX(Pengaturan!$B$8:$B$27,C$4)))</f>
        <v>0</v>
      </c>
      <c r="D74" s="26" t="n">
        <f aca="false">IF(INDEX(Pengaturan!$B$8:$B$27,D$4)="",0,COUNTIF(Data!$B74:$U74,INDEX(Pengaturan!$B$8:$B$27,D$4)))</f>
        <v>0</v>
      </c>
      <c r="E74" s="26" t="n">
        <f aca="false">IF(INDEX(Pengaturan!$B$8:$B$27,E$4)="",0,COUNTIF(Data!$B74:$U74,INDEX(Pengaturan!$B$8:$B$27,E$4)))</f>
        <v>0</v>
      </c>
      <c r="F74" s="26" t="n">
        <f aca="false">IF(INDEX(Pengaturan!$B$8:$B$27,F$4)="",0,COUNTIF(Data!$B74:$U74,INDEX(Pengaturan!$B$8:$B$27,F$4)))</f>
        <v>0</v>
      </c>
      <c r="G74" s="26" t="n">
        <f aca="false">IF(INDEX(Pengaturan!$B$8:$B$27,G$4)="",0,COUNTIF(Data!$B74:$U74,INDEX(Pengaturan!$B$8:$B$27,G$4)))</f>
        <v>0</v>
      </c>
      <c r="H74" s="26" t="n">
        <f aca="false">IF(INDEX(Pengaturan!$B$8:$B$27,H$4)="",0,COUNTIF(Data!$B74:$U74,INDEX(Pengaturan!$B$8:$B$27,H$4)))</f>
        <v>0</v>
      </c>
      <c r="I74" s="26" t="n">
        <f aca="false">IF(INDEX(Pengaturan!$B$8:$B$27,I$4)="",0,COUNTIF(Data!$B74:$U74,INDEX(Pengaturan!$B$8:$B$27,I$4)))</f>
        <v>0</v>
      </c>
      <c r="J74" s="26" t="n">
        <f aca="false">IF(INDEX(Pengaturan!$B$8:$B$27,J$4)="",0,COUNTIF(Data!$B74:$U74,INDEX(Pengaturan!$B$8:$B$27,J$4)))</f>
        <v>0</v>
      </c>
      <c r="K74" s="26" t="n">
        <f aca="false">IF(INDEX(Pengaturan!$B$8:$B$27,K$4)="",0,COUNTIF(Data!$B74:$U74,INDEX(Pengaturan!$B$8:$B$27,K$4)))</f>
        <v>0</v>
      </c>
      <c r="L74" s="26" t="n">
        <f aca="false">IF(INDEX(Pengaturan!$B$8:$B$27,L$4)="",0,COUNTIF(Data!$B74:$U74,INDEX(Pengaturan!$B$8:$B$27,L$4)))</f>
        <v>0</v>
      </c>
      <c r="M74" s="26" t="n">
        <f aca="false">IF(INDEX(Pengaturan!$B$8:$B$27,M$4)="",0,COUNTIF(Data!$B74:$U74,INDEX(Pengaturan!$B$8:$B$27,M$4)))</f>
        <v>0</v>
      </c>
      <c r="N74" s="26" t="n">
        <f aca="false">IF(INDEX(Pengaturan!$B$8:$B$27,N$4)="",0,COUNTIF(Data!$B74:$U74,INDEX(Pengaturan!$B$8:$B$27,N$4)))</f>
        <v>0</v>
      </c>
      <c r="O74" s="26" t="n">
        <f aca="false">IF(INDEX(Pengaturan!$B$8:$B$27,O$4)="",0,COUNTIF(Data!$B74:$U74,INDEX(Pengaturan!$B$8:$B$27,O$4)))</f>
        <v>0</v>
      </c>
      <c r="P74" s="26" t="n">
        <f aca="false">IF(INDEX(Pengaturan!$B$8:$B$27,P$4)="",0,COUNTIF(Data!$B74:$U74,INDEX(Pengaturan!$B$8:$B$27,P$4)))</f>
        <v>0</v>
      </c>
      <c r="Q74" s="26" t="n">
        <f aca="false">IF(INDEX(Pengaturan!$B$8:$B$27,Q$4)="",0,COUNTIF(Data!$B74:$U74,INDEX(Pengaturan!$B$8:$B$27,Q$4)))</f>
        <v>0</v>
      </c>
      <c r="R74" s="26" t="n">
        <f aca="false">IF(INDEX(Pengaturan!$B$8:$B$27,R$4)="",0,COUNTIF(Data!$B74:$U74,INDEX(Pengaturan!$B$8:$B$27,R$4)))</f>
        <v>0</v>
      </c>
      <c r="S74" s="26" t="n">
        <f aca="false">IF(INDEX(Pengaturan!$B$8:$B$27,S$4)="",0,COUNTIF(Data!$B74:$U74,INDEX(Pengaturan!$B$8:$B$27,S$4)))</f>
        <v>0</v>
      </c>
      <c r="T74" s="26" t="n">
        <f aca="false">IF(INDEX(Pengaturan!$B$8:$B$27,T$4)="",0,COUNTIF(Data!$B74:$U74,INDEX(Pengaturan!$B$8:$B$27,T$4)))</f>
        <v>0</v>
      </c>
      <c r="U74" s="26" t="n">
        <f aca="false">IF(INDEX(Pengaturan!$B$8:$B$27,U$4)="",0,COUNTIF(Data!$B74:$U74,INDEX(Pengaturan!$B$8:$B$27,U$4)))</f>
        <v>0</v>
      </c>
      <c r="V74" s="26" t="n">
        <f aca="false">COUNTA(Data!$B74:$U74)</f>
        <v>0</v>
      </c>
      <c r="W74" s="27" t="str">
        <f aca="false">IF(V74=0,"",IF(V74&lt;&gt;Hasil!$C$4,"Data kosong/tidak lengkap",IF(SUM(B74:U74)&lt;&gt;V74,"Kategori tidak dikenal","OK")))</f>
        <v/>
      </c>
      <c r="X74" s="26" t="n">
        <f aca="false">IF(OR(W74="",W74="OK"),0,1)</f>
        <v>0</v>
      </c>
    </row>
    <row r="75" customFormat="false" ht="15" hidden="false" customHeight="false" outlineLevel="0" collapsed="false">
      <c r="A75" s="26" t="n">
        <f aca="false">Data!A75</f>
        <v>70</v>
      </c>
      <c r="B75" s="26" t="n">
        <f aca="false">IF(INDEX(Pengaturan!$B$8:$B$27,B$4)="",0,COUNTIF(Data!$B75:$U75,INDEX(Pengaturan!$B$8:$B$27,B$4)))</f>
        <v>0</v>
      </c>
      <c r="C75" s="26" t="n">
        <f aca="false">IF(INDEX(Pengaturan!$B$8:$B$27,C$4)="",0,COUNTIF(Data!$B75:$U75,INDEX(Pengaturan!$B$8:$B$27,C$4)))</f>
        <v>0</v>
      </c>
      <c r="D75" s="26" t="n">
        <f aca="false">IF(INDEX(Pengaturan!$B$8:$B$27,D$4)="",0,COUNTIF(Data!$B75:$U75,INDEX(Pengaturan!$B$8:$B$27,D$4)))</f>
        <v>0</v>
      </c>
      <c r="E75" s="26" t="n">
        <f aca="false">IF(INDEX(Pengaturan!$B$8:$B$27,E$4)="",0,COUNTIF(Data!$B75:$U75,INDEX(Pengaturan!$B$8:$B$27,E$4)))</f>
        <v>0</v>
      </c>
      <c r="F75" s="26" t="n">
        <f aca="false">IF(INDEX(Pengaturan!$B$8:$B$27,F$4)="",0,COUNTIF(Data!$B75:$U75,INDEX(Pengaturan!$B$8:$B$27,F$4)))</f>
        <v>0</v>
      </c>
      <c r="G75" s="26" t="n">
        <f aca="false">IF(INDEX(Pengaturan!$B$8:$B$27,G$4)="",0,COUNTIF(Data!$B75:$U75,INDEX(Pengaturan!$B$8:$B$27,G$4)))</f>
        <v>0</v>
      </c>
      <c r="H75" s="26" t="n">
        <f aca="false">IF(INDEX(Pengaturan!$B$8:$B$27,H$4)="",0,COUNTIF(Data!$B75:$U75,INDEX(Pengaturan!$B$8:$B$27,H$4)))</f>
        <v>0</v>
      </c>
      <c r="I75" s="26" t="n">
        <f aca="false">IF(INDEX(Pengaturan!$B$8:$B$27,I$4)="",0,COUNTIF(Data!$B75:$U75,INDEX(Pengaturan!$B$8:$B$27,I$4)))</f>
        <v>0</v>
      </c>
      <c r="J75" s="26" t="n">
        <f aca="false">IF(INDEX(Pengaturan!$B$8:$B$27,J$4)="",0,COUNTIF(Data!$B75:$U75,INDEX(Pengaturan!$B$8:$B$27,J$4)))</f>
        <v>0</v>
      </c>
      <c r="K75" s="26" t="n">
        <f aca="false">IF(INDEX(Pengaturan!$B$8:$B$27,K$4)="",0,COUNTIF(Data!$B75:$U75,INDEX(Pengaturan!$B$8:$B$27,K$4)))</f>
        <v>0</v>
      </c>
      <c r="L75" s="26" t="n">
        <f aca="false">IF(INDEX(Pengaturan!$B$8:$B$27,L$4)="",0,COUNTIF(Data!$B75:$U75,INDEX(Pengaturan!$B$8:$B$27,L$4)))</f>
        <v>0</v>
      </c>
      <c r="M75" s="26" t="n">
        <f aca="false">IF(INDEX(Pengaturan!$B$8:$B$27,M$4)="",0,COUNTIF(Data!$B75:$U75,INDEX(Pengaturan!$B$8:$B$27,M$4)))</f>
        <v>0</v>
      </c>
      <c r="N75" s="26" t="n">
        <f aca="false">IF(INDEX(Pengaturan!$B$8:$B$27,N$4)="",0,COUNTIF(Data!$B75:$U75,INDEX(Pengaturan!$B$8:$B$27,N$4)))</f>
        <v>0</v>
      </c>
      <c r="O75" s="26" t="n">
        <f aca="false">IF(INDEX(Pengaturan!$B$8:$B$27,O$4)="",0,COUNTIF(Data!$B75:$U75,INDEX(Pengaturan!$B$8:$B$27,O$4)))</f>
        <v>0</v>
      </c>
      <c r="P75" s="26" t="n">
        <f aca="false">IF(INDEX(Pengaturan!$B$8:$B$27,P$4)="",0,COUNTIF(Data!$B75:$U75,INDEX(Pengaturan!$B$8:$B$27,P$4)))</f>
        <v>0</v>
      </c>
      <c r="Q75" s="26" t="n">
        <f aca="false">IF(INDEX(Pengaturan!$B$8:$B$27,Q$4)="",0,COUNTIF(Data!$B75:$U75,INDEX(Pengaturan!$B$8:$B$27,Q$4)))</f>
        <v>0</v>
      </c>
      <c r="R75" s="26" t="n">
        <f aca="false">IF(INDEX(Pengaturan!$B$8:$B$27,R$4)="",0,COUNTIF(Data!$B75:$U75,INDEX(Pengaturan!$B$8:$B$27,R$4)))</f>
        <v>0</v>
      </c>
      <c r="S75" s="26" t="n">
        <f aca="false">IF(INDEX(Pengaturan!$B$8:$B$27,S$4)="",0,COUNTIF(Data!$B75:$U75,INDEX(Pengaturan!$B$8:$B$27,S$4)))</f>
        <v>0</v>
      </c>
      <c r="T75" s="26" t="n">
        <f aca="false">IF(INDEX(Pengaturan!$B$8:$B$27,T$4)="",0,COUNTIF(Data!$B75:$U75,INDEX(Pengaturan!$B$8:$B$27,T$4)))</f>
        <v>0</v>
      </c>
      <c r="U75" s="26" t="n">
        <f aca="false">IF(INDEX(Pengaturan!$B$8:$B$27,U$4)="",0,COUNTIF(Data!$B75:$U75,INDEX(Pengaturan!$B$8:$B$27,U$4)))</f>
        <v>0</v>
      </c>
      <c r="V75" s="26" t="n">
        <f aca="false">COUNTA(Data!$B75:$U75)</f>
        <v>0</v>
      </c>
      <c r="W75" s="27" t="str">
        <f aca="false">IF(V75=0,"",IF(V75&lt;&gt;Hasil!$C$4,"Data kosong/tidak lengkap",IF(SUM(B75:U75)&lt;&gt;V75,"Kategori tidak dikenal","OK")))</f>
        <v/>
      </c>
      <c r="X75" s="26" t="n">
        <f aca="false">IF(OR(W75="",W75="OK"),0,1)</f>
        <v>0</v>
      </c>
    </row>
    <row r="76" customFormat="false" ht="15" hidden="false" customHeight="false" outlineLevel="0" collapsed="false">
      <c r="A76" s="26" t="n">
        <f aca="false">Data!A76</f>
        <v>71</v>
      </c>
      <c r="B76" s="26" t="n">
        <f aca="false">IF(INDEX(Pengaturan!$B$8:$B$27,B$4)="",0,COUNTIF(Data!$B76:$U76,INDEX(Pengaturan!$B$8:$B$27,B$4)))</f>
        <v>0</v>
      </c>
      <c r="C76" s="26" t="n">
        <f aca="false">IF(INDEX(Pengaturan!$B$8:$B$27,C$4)="",0,COUNTIF(Data!$B76:$U76,INDEX(Pengaturan!$B$8:$B$27,C$4)))</f>
        <v>0</v>
      </c>
      <c r="D76" s="26" t="n">
        <f aca="false">IF(INDEX(Pengaturan!$B$8:$B$27,D$4)="",0,COUNTIF(Data!$B76:$U76,INDEX(Pengaturan!$B$8:$B$27,D$4)))</f>
        <v>0</v>
      </c>
      <c r="E76" s="26" t="n">
        <f aca="false">IF(INDEX(Pengaturan!$B$8:$B$27,E$4)="",0,COUNTIF(Data!$B76:$U76,INDEX(Pengaturan!$B$8:$B$27,E$4)))</f>
        <v>0</v>
      </c>
      <c r="F76" s="26" t="n">
        <f aca="false">IF(INDEX(Pengaturan!$B$8:$B$27,F$4)="",0,COUNTIF(Data!$B76:$U76,INDEX(Pengaturan!$B$8:$B$27,F$4)))</f>
        <v>0</v>
      </c>
      <c r="G76" s="26" t="n">
        <f aca="false">IF(INDEX(Pengaturan!$B$8:$B$27,G$4)="",0,COUNTIF(Data!$B76:$U76,INDEX(Pengaturan!$B$8:$B$27,G$4)))</f>
        <v>0</v>
      </c>
      <c r="H76" s="26" t="n">
        <f aca="false">IF(INDEX(Pengaturan!$B$8:$B$27,H$4)="",0,COUNTIF(Data!$B76:$U76,INDEX(Pengaturan!$B$8:$B$27,H$4)))</f>
        <v>0</v>
      </c>
      <c r="I76" s="26" t="n">
        <f aca="false">IF(INDEX(Pengaturan!$B$8:$B$27,I$4)="",0,COUNTIF(Data!$B76:$U76,INDEX(Pengaturan!$B$8:$B$27,I$4)))</f>
        <v>0</v>
      </c>
      <c r="J76" s="26" t="n">
        <f aca="false">IF(INDEX(Pengaturan!$B$8:$B$27,J$4)="",0,COUNTIF(Data!$B76:$U76,INDEX(Pengaturan!$B$8:$B$27,J$4)))</f>
        <v>0</v>
      </c>
      <c r="K76" s="26" t="n">
        <f aca="false">IF(INDEX(Pengaturan!$B$8:$B$27,K$4)="",0,COUNTIF(Data!$B76:$U76,INDEX(Pengaturan!$B$8:$B$27,K$4)))</f>
        <v>0</v>
      </c>
      <c r="L76" s="26" t="n">
        <f aca="false">IF(INDEX(Pengaturan!$B$8:$B$27,L$4)="",0,COUNTIF(Data!$B76:$U76,INDEX(Pengaturan!$B$8:$B$27,L$4)))</f>
        <v>0</v>
      </c>
      <c r="M76" s="26" t="n">
        <f aca="false">IF(INDEX(Pengaturan!$B$8:$B$27,M$4)="",0,COUNTIF(Data!$B76:$U76,INDEX(Pengaturan!$B$8:$B$27,M$4)))</f>
        <v>0</v>
      </c>
      <c r="N76" s="26" t="n">
        <f aca="false">IF(INDEX(Pengaturan!$B$8:$B$27,N$4)="",0,COUNTIF(Data!$B76:$U76,INDEX(Pengaturan!$B$8:$B$27,N$4)))</f>
        <v>0</v>
      </c>
      <c r="O76" s="26" t="n">
        <f aca="false">IF(INDEX(Pengaturan!$B$8:$B$27,O$4)="",0,COUNTIF(Data!$B76:$U76,INDEX(Pengaturan!$B$8:$B$27,O$4)))</f>
        <v>0</v>
      </c>
      <c r="P76" s="26" t="n">
        <f aca="false">IF(INDEX(Pengaturan!$B$8:$B$27,P$4)="",0,COUNTIF(Data!$B76:$U76,INDEX(Pengaturan!$B$8:$B$27,P$4)))</f>
        <v>0</v>
      </c>
      <c r="Q76" s="26" t="n">
        <f aca="false">IF(INDEX(Pengaturan!$B$8:$B$27,Q$4)="",0,COUNTIF(Data!$B76:$U76,INDEX(Pengaturan!$B$8:$B$27,Q$4)))</f>
        <v>0</v>
      </c>
      <c r="R76" s="26" t="n">
        <f aca="false">IF(INDEX(Pengaturan!$B$8:$B$27,R$4)="",0,COUNTIF(Data!$B76:$U76,INDEX(Pengaturan!$B$8:$B$27,R$4)))</f>
        <v>0</v>
      </c>
      <c r="S76" s="26" t="n">
        <f aca="false">IF(INDEX(Pengaturan!$B$8:$B$27,S$4)="",0,COUNTIF(Data!$B76:$U76,INDEX(Pengaturan!$B$8:$B$27,S$4)))</f>
        <v>0</v>
      </c>
      <c r="T76" s="26" t="n">
        <f aca="false">IF(INDEX(Pengaturan!$B$8:$B$27,T$4)="",0,COUNTIF(Data!$B76:$U76,INDEX(Pengaturan!$B$8:$B$27,T$4)))</f>
        <v>0</v>
      </c>
      <c r="U76" s="26" t="n">
        <f aca="false">IF(INDEX(Pengaturan!$B$8:$B$27,U$4)="",0,COUNTIF(Data!$B76:$U76,INDEX(Pengaturan!$B$8:$B$27,U$4)))</f>
        <v>0</v>
      </c>
      <c r="V76" s="26" t="n">
        <f aca="false">COUNTA(Data!$B76:$U76)</f>
        <v>0</v>
      </c>
      <c r="W76" s="27" t="str">
        <f aca="false">IF(V76=0,"",IF(V76&lt;&gt;Hasil!$C$4,"Data kosong/tidak lengkap",IF(SUM(B76:U76)&lt;&gt;V76,"Kategori tidak dikenal","OK")))</f>
        <v/>
      </c>
      <c r="X76" s="26" t="n">
        <f aca="false">IF(OR(W76="",W76="OK"),0,1)</f>
        <v>0</v>
      </c>
    </row>
    <row r="77" customFormat="false" ht="15" hidden="false" customHeight="false" outlineLevel="0" collapsed="false">
      <c r="A77" s="26" t="n">
        <f aca="false">Data!A77</f>
        <v>72</v>
      </c>
      <c r="B77" s="26" t="n">
        <f aca="false">IF(INDEX(Pengaturan!$B$8:$B$27,B$4)="",0,COUNTIF(Data!$B77:$U77,INDEX(Pengaturan!$B$8:$B$27,B$4)))</f>
        <v>0</v>
      </c>
      <c r="C77" s="26" t="n">
        <f aca="false">IF(INDEX(Pengaturan!$B$8:$B$27,C$4)="",0,COUNTIF(Data!$B77:$U77,INDEX(Pengaturan!$B$8:$B$27,C$4)))</f>
        <v>0</v>
      </c>
      <c r="D77" s="26" t="n">
        <f aca="false">IF(INDEX(Pengaturan!$B$8:$B$27,D$4)="",0,COUNTIF(Data!$B77:$U77,INDEX(Pengaturan!$B$8:$B$27,D$4)))</f>
        <v>0</v>
      </c>
      <c r="E77" s="26" t="n">
        <f aca="false">IF(INDEX(Pengaturan!$B$8:$B$27,E$4)="",0,COUNTIF(Data!$B77:$U77,INDEX(Pengaturan!$B$8:$B$27,E$4)))</f>
        <v>0</v>
      </c>
      <c r="F77" s="26" t="n">
        <f aca="false">IF(INDEX(Pengaturan!$B$8:$B$27,F$4)="",0,COUNTIF(Data!$B77:$U77,INDEX(Pengaturan!$B$8:$B$27,F$4)))</f>
        <v>0</v>
      </c>
      <c r="G77" s="26" t="n">
        <f aca="false">IF(INDEX(Pengaturan!$B$8:$B$27,G$4)="",0,COUNTIF(Data!$B77:$U77,INDEX(Pengaturan!$B$8:$B$27,G$4)))</f>
        <v>0</v>
      </c>
      <c r="H77" s="26" t="n">
        <f aca="false">IF(INDEX(Pengaturan!$B$8:$B$27,H$4)="",0,COUNTIF(Data!$B77:$U77,INDEX(Pengaturan!$B$8:$B$27,H$4)))</f>
        <v>0</v>
      </c>
      <c r="I77" s="26" t="n">
        <f aca="false">IF(INDEX(Pengaturan!$B$8:$B$27,I$4)="",0,COUNTIF(Data!$B77:$U77,INDEX(Pengaturan!$B$8:$B$27,I$4)))</f>
        <v>0</v>
      </c>
      <c r="J77" s="26" t="n">
        <f aca="false">IF(INDEX(Pengaturan!$B$8:$B$27,J$4)="",0,COUNTIF(Data!$B77:$U77,INDEX(Pengaturan!$B$8:$B$27,J$4)))</f>
        <v>0</v>
      </c>
      <c r="K77" s="26" t="n">
        <f aca="false">IF(INDEX(Pengaturan!$B$8:$B$27,K$4)="",0,COUNTIF(Data!$B77:$U77,INDEX(Pengaturan!$B$8:$B$27,K$4)))</f>
        <v>0</v>
      </c>
      <c r="L77" s="26" t="n">
        <f aca="false">IF(INDEX(Pengaturan!$B$8:$B$27,L$4)="",0,COUNTIF(Data!$B77:$U77,INDEX(Pengaturan!$B$8:$B$27,L$4)))</f>
        <v>0</v>
      </c>
      <c r="M77" s="26" t="n">
        <f aca="false">IF(INDEX(Pengaturan!$B$8:$B$27,M$4)="",0,COUNTIF(Data!$B77:$U77,INDEX(Pengaturan!$B$8:$B$27,M$4)))</f>
        <v>0</v>
      </c>
      <c r="N77" s="26" t="n">
        <f aca="false">IF(INDEX(Pengaturan!$B$8:$B$27,N$4)="",0,COUNTIF(Data!$B77:$U77,INDEX(Pengaturan!$B$8:$B$27,N$4)))</f>
        <v>0</v>
      </c>
      <c r="O77" s="26" t="n">
        <f aca="false">IF(INDEX(Pengaturan!$B$8:$B$27,O$4)="",0,COUNTIF(Data!$B77:$U77,INDEX(Pengaturan!$B$8:$B$27,O$4)))</f>
        <v>0</v>
      </c>
      <c r="P77" s="26" t="n">
        <f aca="false">IF(INDEX(Pengaturan!$B$8:$B$27,P$4)="",0,COUNTIF(Data!$B77:$U77,INDEX(Pengaturan!$B$8:$B$27,P$4)))</f>
        <v>0</v>
      </c>
      <c r="Q77" s="26" t="n">
        <f aca="false">IF(INDEX(Pengaturan!$B$8:$B$27,Q$4)="",0,COUNTIF(Data!$B77:$U77,INDEX(Pengaturan!$B$8:$B$27,Q$4)))</f>
        <v>0</v>
      </c>
      <c r="R77" s="26" t="n">
        <f aca="false">IF(INDEX(Pengaturan!$B$8:$B$27,R$4)="",0,COUNTIF(Data!$B77:$U77,INDEX(Pengaturan!$B$8:$B$27,R$4)))</f>
        <v>0</v>
      </c>
      <c r="S77" s="26" t="n">
        <f aca="false">IF(INDEX(Pengaturan!$B$8:$B$27,S$4)="",0,COUNTIF(Data!$B77:$U77,INDEX(Pengaturan!$B$8:$B$27,S$4)))</f>
        <v>0</v>
      </c>
      <c r="T77" s="26" t="n">
        <f aca="false">IF(INDEX(Pengaturan!$B$8:$B$27,T$4)="",0,COUNTIF(Data!$B77:$U77,INDEX(Pengaturan!$B$8:$B$27,T$4)))</f>
        <v>0</v>
      </c>
      <c r="U77" s="26" t="n">
        <f aca="false">IF(INDEX(Pengaturan!$B$8:$B$27,U$4)="",0,COUNTIF(Data!$B77:$U77,INDEX(Pengaturan!$B$8:$B$27,U$4)))</f>
        <v>0</v>
      </c>
      <c r="V77" s="26" t="n">
        <f aca="false">COUNTA(Data!$B77:$U77)</f>
        <v>0</v>
      </c>
      <c r="W77" s="27" t="str">
        <f aca="false">IF(V77=0,"",IF(V77&lt;&gt;Hasil!$C$4,"Data kosong/tidak lengkap",IF(SUM(B77:U77)&lt;&gt;V77,"Kategori tidak dikenal","OK")))</f>
        <v/>
      </c>
      <c r="X77" s="26" t="n">
        <f aca="false">IF(OR(W77="",W77="OK"),0,1)</f>
        <v>0</v>
      </c>
    </row>
    <row r="78" customFormat="false" ht="15" hidden="false" customHeight="false" outlineLevel="0" collapsed="false">
      <c r="A78" s="26" t="n">
        <f aca="false">Data!A78</f>
        <v>73</v>
      </c>
      <c r="B78" s="26" t="n">
        <f aca="false">IF(INDEX(Pengaturan!$B$8:$B$27,B$4)="",0,COUNTIF(Data!$B78:$U78,INDEX(Pengaturan!$B$8:$B$27,B$4)))</f>
        <v>0</v>
      </c>
      <c r="C78" s="26" t="n">
        <f aca="false">IF(INDEX(Pengaturan!$B$8:$B$27,C$4)="",0,COUNTIF(Data!$B78:$U78,INDEX(Pengaturan!$B$8:$B$27,C$4)))</f>
        <v>0</v>
      </c>
      <c r="D78" s="26" t="n">
        <f aca="false">IF(INDEX(Pengaturan!$B$8:$B$27,D$4)="",0,COUNTIF(Data!$B78:$U78,INDEX(Pengaturan!$B$8:$B$27,D$4)))</f>
        <v>0</v>
      </c>
      <c r="E78" s="26" t="n">
        <f aca="false">IF(INDEX(Pengaturan!$B$8:$B$27,E$4)="",0,COUNTIF(Data!$B78:$U78,INDEX(Pengaturan!$B$8:$B$27,E$4)))</f>
        <v>0</v>
      </c>
      <c r="F78" s="26" t="n">
        <f aca="false">IF(INDEX(Pengaturan!$B$8:$B$27,F$4)="",0,COUNTIF(Data!$B78:$U78,INDEX(Pengaturan!$B$8:$B$27,F$4)))</f>
        <v>0</v>
      </c>
      <c r="G78" s="26" t="n">
        <f aca="false">IF(INDEX(Pengaturan!$B$8:$B$27,G$4)="",0,COUNTIF(Data!$B78:$U78,INDEX(Pengaturan!$B$8:$B$27,G$4)))</f>
        <v>0</v>
      </c>
      <c r="H78" s="26" t="n">
        <f aca="false">IF(INDEX(Pengaturan!$B$8:$B$27,H$4)="",0,COUNTIF(Data!$B78:$U78,INDEX(Pengaturan!$B$8:$B$27,H$4)))</f>
        <v>0</v>
      </c>
      <c r="I78" s="26" t="n">
        <f aca="false">IF(INDEX(Pengaturan!$B$8:$B$27,I$4)="",0,COUNTIF(Data!$B78:$U78,INDEX(Pengaturan!$B$8:$B$27,I$4)))</f>
        <v>0</v>
      </c>
      <c r="J78" s="26" t="n">
        <f aca="false">IF(INDEX(Pengaturan!$B$8:$B$27,J$4)="",0,COUNTIF(Data!$B78:$U78,INDEX(Pengaturan!$B$8:$B$27,J$4)))</f>
        <v>0</v>
      </c>
      <c r="K78" s="26" t="n">
        <f aca="false">IF(INDEX(Pengaturan!$B$8:$B$27,K$4)="",0,COUNTIF(Data!$B78:$U78,INDEX(Pengaturan!$B$8:$B$27,K$4)))</f>
        <v>0</v>
      </c>
      <c r="L78" s="26" t="n">
        <f aca="false">IF(INDEX(Pengaturan!$B$8:$B$27,L$4)="",0,COUNTIF(Data!$B78:$U78,INDEX(Pengaturan!$B$8:$B$27,L$4)))</f>
        <v>0</v>
      </c>
      <c r="M78" s="26" t="n">
        <f aca="false">IF(INDEX(Pengaturan!$B$8:$B$27,M$4)="",0,COUNTIF(Data!$B78:$U78,INDEX(Pengaturan!$B$8:$B$27,M$4)))</f>
        <v>0</v>
      </c>
      <c r="N78" s="26" t="n">
        <f aca="false">IF(INDEX(Pengaturan!$B$8:$B$27,N$4)="",0,COUNTIF(Data!$B78:$U78,INDEX(Pengaturan!$B$8:$B$27,N$4)))</f>
        <v>0</v>
      </c>
      <c r="O78" s="26" t="n">
        <f aca="false">IF(INDEX(Pengaturan!$B$8:$B$27,O$4)="",0,COUNTIF(Data!$B78:$U78,INDEX(Pengaturan!$B$8:$B$27,O$4)))</f>
        <v>0</v>
      </c>
      <c r="P78" s="26" t="n">
        <f aca="false">IF(INDEX(Pengaturan!$B$8:$B$27,P$4)="",0,COUNTIF(Data!$B78:$U78,INDEX(Pengaturan!$B$8:$B$27,P$4)))</f>
        <v>0</v>
      </c>
      <c r="Q78" s="26" t="n">
        <f aca="false">IF(INDEX(Pengaturan!$B$8:$B$27,Q$4)="",0,COUNTIF(Data!$B78:$U78,INDEX(Pengaturan!$B$8:$B$27,Q$4)))</f>
        <v>0</v>
      </c>
      <c r="R78" s="26" t="n">
        <f aca="false">IF(INDEX(Pengaturan!$B$8:$B$27,R$4)="",0,COUNTIF(Data!$B78:$U78,INDEX(Pengaturan!$B$8:$B$27,R$4)))</f>
        <v>0</v>
      </c>
      <c r="S78" s="26" t="n">
        <f aca="false">IF(INDEX(Pengaturan!$B$8:$B$27,S$4)="",0,COUNTIF(Data!$B78:$U78,INDEX(Pengaturan!$B$8:$B$27,S$4)))</f>
        <v>0</v>
      </c>
      <c r="T78" s="26" t="n">
        <f aca="false">IF(INDEX(Pengaturan!$B$8:$B$27,T$4)="",0,COUNTIF(Data!$B78:$U78,INDEX(Pengaturan!$B$8:$B$27,T$4)))</f>
        <v>0</v>
      </c>
      <c r="U78" s="26" t="n">
        <f aca="false">IF(INDEX(Pengaturan!$B$8:$B$27,U$4)="",0,COUNTIF(Data!$B78:$U78,INDEX(Pengaturan!$B$8:$B$27,U$4)))</f>
        <v>0</v>
      </c>
      <c r="V78" s="26" t="n">
        <f aca="false">COUNTA(Data!$B78:$U78)</f>
        <v>0</v>
      </c>
      <c r="W78" s="27" t="str">
        <f aca="false">IF(V78=0,"",IF(V78&lt;&gt;Hasil!$C$4,"Data kosong/tidak lengkap",IF(SUM(B78:U78)&lt;&gt;V78,"Kategori tidak dikenal","OK")))</f>
        <v/>
      </c>
      <c r="X78" s="26" t="n">
        <f aca="false">IF(OR(W78="",W78="OK"),0,1)</f>
        <v>0</v>
      </c>
    </row>
    <row r="79" customFormat="false" ht="15" hidden="false" customHeight="false" outlineLevel="0" collapsed="false">
      <c r="A79" s="26" t="n">
        <f aca="false">Data!A79</f>
        <v>74</v>
      </c>
      <c r="B79" s="26" t="n">
        <f aca="false">IF(INDEX(Pengaturan!$B$8:$B$27,B$4)="",0,COUNTIF(Data!$B79:$U79,INDEX(Pengaturan!$B$8:$B$27,B$4)))</f>
        <v>0</v>
      </c>
      <c r="C79" s="26" t="n">
        <f aca="false">IF(INDEX(Pengaturan!$B$8:$B$27,C$4)="",0,COUNTIF(Data!$B79:$U79,INDEX(Pengaturan!$B$8:$B$27,C$4)))</f>
        <v>0</v>
      </c>
      <c r="D79" s="26" t="n">
        <f aca="false">IF(INDEX(Pengaturan!$B$8:$B$27,D$4)="",0,COUNTIF(Data!$B79:$U79,INDEX(Pengaturan!$B$8:$B$27,D$4)))</f>
        <v>0</v>
      </c>
      <c r="E79" s="26" t="n">
        <f aca="false">IF(INDEX(Pengaturan!$B$8:$B$27,E$4)="",0,COUNTIF(Data!$B79:$U79,INDEX(Pengaturan!$B$8:$B$27,E$4)))</f>
        <v>0</v>
      </c>
      <c r="F79" s="26" t="n">
        <f aca="false">IF(INDEX(Pengaturan!$B$8:$B$27,F$4)="",0,COUNTIF(Data!$B79:$U79,INDEX(Pengaturan!$B$8:$B$27,F$4)))</f>
        <v>0</v>
      </c>
      <c r="G79" s="26" t="n">
        <f aca="false">IF(INDEX(Pengaturan!$B$8:$B$27,G$4)="",0,COUNTIF(Data!$B79:$U79,INDEX(Pengaturan!$B$8:$B$27,G$4)))</f>
        <v>0</v>
      </c>
      <c r="H79" s="26" t="n">
        <f aca="false">IF(INDEX(Pengaturan!$B$8:$B$27,H$4)="",0,COUNTIF(Data!$B79:$U79,INDEX(Pengaturan!$B$8:$B$27,H$4)))</f>
        <v>0</v>
      </c>
      <c r="I79" s="26" t="n">
        <f aca="false">IF(INDEX(Pengaturan!$B$8:$B$27,I$4)="",0,COUNTIF(Data!$B79:$U79,INDEX(Pengaturan!$B$8:$B$27,I$4)))</f>
        <v>0</v>
      </c>
      <c r="J79" s="26" t="n">
        <f aca="false">IF(INDEX(Pengaturan!$B$8:$B$27,J$4)="",0,COUNTIF(Data!$B79:$U79,INDEX(Pengaturan!$B$8:$B$27,J$4)))</f>
        <v>0</v>
      </c>
      <c r="K79" s="26" t="n">
        <f aca="false">IF(INDEX(Pengaturan!$B$8:$B$27,K$4)="",0,COUNTIF(Data!$B79:$U79,INDEX(Pengaturan!$B$8:$B$27,K$4)))</f>
        <v>0</v>
      </c>
      <c r="L79" s="26" t="n">
        <f aca="false">IF(INDEX(Pengaturan!$B$8:$B$27,L$4)="",0,COUNTIF(Data!$B79:$U79,INDEX(Pengaturan!$B$8:$B$27,L$4)))</f>
        <v>0</v>
      </c>
      <c r="M79" s="26" t="n">
        <f aca="false">IF(INDEX(Pengaturan!$B$8:$B$27,M$4)="",0,COUNTIF(Data!$B79:$U79,INDEX(Pengaturan!$B$8:$B$27,M$4)))</f>
        <v>0</v>
      </c>
      <c r="N79" s="26" t="n">
        <f aca="false">IF(INDEX(Pengaturan!$B$8:$B$27,N$4)="",0,COUNTIF(Data!$B79:$U79,INDEX(Pengaturan!$B$8:$B$27,N$4)))</f>
        <v>0</v>
      </c>
      <c r="O79" s="26" t="n">
        <f aca="false">IF(INDEX(Pengaturan!$B$8:$B$27,O$4)="",0,COUNTIF(Data!$B79:$U79,INDEX(Pengaturan!$B$8:$B$27,O$4)))</f>
        <v>0</v>
      </c>
      <c r="P79" s="26" t="n">
        <f aca="false">IF(INDEX(Pengaturan!$B$8:$B$27,P$4)="",0,COUNTIF(Data!$B79:$U79,INDEX(Pengaturan!$B$8:$B$27,P$4)))</f>
        <v>0</v>
      </c>
      <c r="Q79" s="26" t="n">
        <f aca="false">IF(INDEX(Pengaturan!$B$8:$B$27,Q$4)="",0,COUNTIF(Data!$B79:$U79,INDEX(Pengaturan!$B$8:$B$27,Q$4)))</f>
        <v>0</v>
      </c>
      <c r="R79" s="26" t="n">
        <f aca="false">IF(INDEX(Pengaturan!$B$8:$B$27,R$4)="",0,COUNTIF(Data!$B79:$U79,INDEX(Pengaturan!$B$8:$B$27,R$4)))</f>
        <v>0</v>
      </c>
      <c r="S79" s="26" t="n">
        <f aca="false">IF(INDEX(Pengaturan!$B$8:$B$27,S$4)="",0,COUNTIF(Data!$B79:$U79,INDEX(Pengaturan!$B$8:$B$27,S$4)))</f>
        <v>0</v>
      </c>
      <c r="T79" s="26" t="n">
        <f aca="false">IF(INDEX(Pengaturan!$B$8:$B$27,T$4)="",0,COUNTIF(Data!$B79:$U79,INDEX(Pengaturan!$B$8:$B$27,T$4)))</f>
        <v>0</v>
      </c>
      <c r="U79" s="26" t="n">
        <f aca="false">IF(INDEX(Pengaturan!$B$8:$B$27,U$4)="",0,COUNTIF(Data!$B79:$U79,INDEX(Pengaturan!$B$8:$B$27,U$4)))</f>
        <v>0</v>
      </c>
      <c r="V79" s="26" t="n">
        <f aca="false">COUNTA(Data!$B79:$U79)</f>
        <v>0</v>
      </c>
      <c r="W79" s="27" t="str">
        <f aca="false">IF(V79=0,"",IF(V79&lt;&gt;Hasil!$C$4,"Data kosong/tidak lengkap",IF(SUM(B79:U79)&lt;&gt;V79,"Kategori tidak dikenal","OK")))</f>
        <v/>
      </c>
      <c r="X79" s="26" t="n">
        <f aca="false">IF(OR(W79="",W79="OK"),0,1)</f>
        <v>0</v>
      </c>
    </row>
    <row r="80" customFormat="false" ht="15" hidden="false" customHeight="false" outlineLevel="0" collapsed="false">
      <c r="A80" s="26" t="n">
        <f aca="false">Data!A80</f>
        <v>75</v>
      </c>
      <c r="B80" s="26" t="n">
        <f aca="false">IF(INDEX(Pengaturan!$B$8:$B$27,B$4)="",0,COUNTIF(Data!$B80:$U80,INDEX(Pengaturan!$B$8:$B$27,B$4)))</f>
        <v>0</v>
      </c>
      <c r="C80" s="26" t="n">
        <f aca="false">IF(INDEX(Pengaturan!$B$8:$B$27,C$4)="",0,COUNTIF(Data!$B80:$U80,INDEX(Pengaturan!$B$8:$B$27,C$4)))</f>
        <v>0</v>
      </c>
      <c r="D80" s="26" t="n">
        <f aca="false">IF(INDEX(Pengaturan!$B$8:$B$27,D$4)="",0,COUNTIF(Data!$B80:$U80,INDEX(Pengaturan!$B$8:$B$27,D$4)))</f>
        <v>0</v>
      </c>
      <c r="E80" s="26" t="n">
        <f aca="false">IF(INDEX(Pengaturan!$B$8:$B$27,E$4)="",0,COUNTIF(Data!$B80:$U80,INDEX(Pengaturan!$B$8:$B$27,E$4)))</f>
        <v>0</v>
      </c>
      <c r="F80" s="26" t="n">
        <f aca="false">IF(INDEX(Pengaturan!$B$8:$B$27,F$4)="",0,COUNTIF(Data!$B80:$U80,INDEX(Pengaturan!$B$8:$B$27,F$4)))</f>
        <v>0</v>
      </c>
      <c r="G80" s="26" t="n">
        <f aca="false">IF(INDEX(Pengaturan!$B$8:$B$27,G$4)="",0,COUNTIF(Data!$B80:$U80,INDEX(Pengaturan!$B$8:$B$27,G$4)))</f>
        <v>0</v>
      </c>
      <c r="H80" s="26" t="n">
        <f aca="false">IF(INDEX(Pengaturan!$B$8:$B$27,H$4)="",0,COUNTIF(Data!$B80:$U80,INDEX(Pengaturan!$B$8:$B$27,H$4)))</f>
        <v>0</v>
      </c>
      <c r="I80" s="26" t="n">
        <f aca="false">IF(INDEX(Pengaturan!$B$8:$B$27,I$4)="",0,COUNTIF(Data!$B80:$U80,INDEX(Pengaturan!$B$8:$B$27,I$4)))</f>
        <v>0</v>
      </c>
      <c r="J80" s="26" t="n">
        <f aca="false">IF(INDEX(Pengaturan!$B$8:$B$27,J$4)="",0,COUNTIF(Data!$B80:$U80,INDEX(Pengaturan!$B$8:$B$27,J$4)))</f>
        <v>0</v>
      </c>
      <c r="K80" s="26" t="n">
        <f aca="false">IF(INDEX(Pengaturan!$B$8:$B$27,K$4)="",0,COUNTIF(Data!$B80:$U80,INDEX(Pengaturan!$B$8:$B$27,K$4)))</f>
        <v>0</v>
      </c>
      <c r="L80" s="26" t="n">
        <f aca="false">IF(INDEX(Pengaturan!$B$8:$B$27,L$4)="",0,COUNTIF(Data!$B80:$U80,INDEX(Pengaturan!$B$8:$B$27,L$4)))</f>
        <v>0</v>
      </c>
      <c r="M80" s="26" t="n">
        <f aca="false">IF(INDEX(Pengaturan!$B$8:$B$27,M$4)="",0,COUNTIF(Data!$B80:$U80,INDEX(Pengaturan!$B$8:$B$27,M$4)))</f>
        <v>0</v>
      </c>
      <c r="N80" s="26" t="n">
        <f aca="false">IF(INDEX(Pengaturan!$B$8:$B$27,N$4)="",0,COUNTIF(Data!$B80:$U80,INDEX(Pengaturan!$B$8:$B$27,N$4)))</f>
        <v>0</v>
      </c>
      <c r="O80" s="26" t="n">
        <f aca="false">IF(INDEX(Pengaturan!$B$8:$B$27,O$4)="",0,COUNTIF(Data!$B80:$U80,INDEX(Pengaturan!$B$8:$B$27,O$4)))</f>
        <v>0</v>
      </c>
      <c r="P80" s="26" t="n">
        <f aca="false">IF(INDEX(Pengaturan!$B$8:$B$27,P$4)="",0,COUNTIF(Data!$B80:$U80,INDEX(Pengaturan!$B$8:$B$27,P$4)))</f>
        <v>0</v>
      </c>
      <c r="Q80" s="26" t="n">
        <f aca="false">IF(INDEX(Pengaturan!$B$8:$B$27,Q$4)="",0,COUNTIF(Data!$B80:$U80,INDEX(Pengaturan!$B$8:$B$27,Q$4)))</f>
        <v>0</v>
      </c>
      <c r="R80" s="26" t="n">
        <f aca="false">IF(INDEX(Pengaturan!$B$8:$B$27,R$4)="",0,COUNTIF(Data!$B80:$U80,INDEX(Pengaturan!$B$8:$B$27,R$4)))</f>
        <v>0</v>
      </c>
      <c r="S80" s="26" t="n">
        <f aca="false">IF(INDEX(Pengaturan!$B$8:$B$27,S$4)="",0,COUNTIF(Data!$B80:$U80,INDEX(Pengaturan!$B$8:$B$27,S$4)))</f>
        <v>0</v>
      </c>
      <c r="T80" s="26" t="n">
        <f aca="false">IF(INDEX(Pengaturan!$B$8:$B$27,T$4)="",0,COUNTIF(Data!$B80:$U80,INDEX(Pengaturan!$B$8:$B$27,T$4)))</f>
        <v>0</v>
      </c>
      <c r="U80" s="26" t="n">
        <f aca="false">IF(INDEX(Pengaturan!$B$8:$B$27,U$4)="",0,COUNTIF(Data!$B80:$U80,INDEX(Pengaturan!$B$8:$B$27,U$4)))</f>
        <v>0</v>
      </c>
      <c r="V80" s="26" t="n">
        <f aca="false">COUNTA(Data!$B80:$U80)</f>
        <v>0</v>
      </c>
      <c r="W80" s="27" t="str">
        <f aca="false">IF(V80=0,"",IF(V80&lt;&gt;Hasil!$C$4,"Data kosong/tidak lengkap",IF(SUM(B80:U80)&lt;&gt;V80,"Kategori tidak dikenal","OK")))</f>
        <v/>
      </c>
      <c r="X80" s="26" t="n">
        <f aca="false">IF(OR(W80="",W80="OK"),0,1)</f>
        <v>0</v>
      </c>
    </row>
    <row r="81" customFormat="false" ht="15" hidden="false" customHeight="false" outlineLevel="0" collapsed="false">
      <c r="A81" s="26" t="n">
        <f aca="false">Data!A81</f>
        <v>76</v>
      </c>
      <c r="B81" s="26" t="n">
        <f aca="false">IF(INDEX(Pengaturan!$B$8:$B$27,B$4)="",0,COUNTIF(Data!$B81:$U81,INDEX(Pengaturan!$B$8:$B$27,B$4)))</f>
        <v>0</v>
      </c>
      <c r="C81" s="26" t="n">
        <f aca="false">IF(INDEX(Pengaturan!$B$8:$B$27,C$4)="",0,COUNTIF(Data!$B81:$U81,INDEX(Pengaturan!$B$8:$B$27,C$4)))</f>
        <v>0</v>
      </c>
      <c r="D81" s="26" t="n">
        <f aca="false">IF(INDEX(Pengaturan!$B$8:$B$27,D$4)="",0,COUNTIF(Data!$B81:$U81,INDEX(Pengaturan!$B$8:$B$27,D$4)))</f>
        <v>0</v>
      </c>
      <c r="E81" s="26" t="n">
        <f aca="false">IF(INDEX(Pengaturan!$B$8:$B$27,E$4)="",0,COUNTIF(Data!$B81:$U81,INDEX(Pengaturan!$B$8:$B$27,E$4)))</f>
        <v>0</v>
      </c>
      <c r="F81" s="26" t="n">
        <f aca="false">IF(INDEX(Pengaturan!$B$8:$B$27,F$4)="",0,COUNTIF(Data!$B81:$U81,INDEX(Pengaturan!$B$8:$B$27,F$4)))</f>
        <v>0</v>
      </c>
      <c r="G81" s="26" t="n">
        <f aca="false">IF(INDEX(Pengaturan!$B$8:$B$27,G$4)="",0,COUNTIF(Data!$B81:$U81,INDEX(Pengaturan!$B$8:$B$27,G$4)))</f>
        <v>0</v>
      </c>
      <c r="H81" s="26" t="n">
        <f aca="false">IF(INDEX(Pengaturan!$B$8:$B$27,H$4)="",0,COUNTIF(Data!$B81:$U81,INDEX(Pengaturan!$B$8:$B$27,H$4)))</f>
        <v>0</v>
      </c>
      <c r="I81" s="26" t="n">
        <f aca="false">IF(INDEX(Pengaturan!$B$8:$B$27,I$4)="",0,COUNTIF(Data!$B81:$U81,INDEX(Pengaturan!$B$8:$B$27,I$4)))</f>
        <v>0</v>
      </c>
      <c r="J81" s="26" t="n">
        <f aca="false">IF(INDEX(Pengaturan!$B$8:$B$27,J$4)="",0,COUNTIF(Data!$B81:$U81,INDEX(Pengaturan!$B$8:$B$27,J$4)))</f>
        <v>0</v>
      </c>
      <c r="K81" s="26" t="n">
        <f aca="false">IF(INDEX(Pengaturan!$B$8:$B$27,K$4)="",0,COUNTIF(Data!$B81:$U81,INDEX(Pengaturan!$B$8:$B$27,K$4)))</f>
        <v>0</v>
      </c>
      <c r="L81" s="26" t="n">
        <f aca="false">IF(INDEX(Pengaturan!$B$8:$B$27,L$4)="",0,COUNTIF(Data!$B81:$U81,INDEX(Pengaturan!$B$8:$B$27,L$4)))</f>
        <v>0</v>
      </c>
      <c r="M81" s="26" t="n">
        <f aca="false">IF(INDEX(Pengaturan!$B$8:$B$27,M$4)="",0,COUNTIF(Data!$B81:$U81,INDEX(Pengaturan!$B$8:$B$27,M$4)))</f>
        <v>0</v>
      </c>
      <c r="N81" s="26" t="n">
        <f aca="false">IF(INDEX(Pengaturan!$B$8:$B$27,N$4)="",0,COUNTIF(Data!$B81:$U81,INDEX(Pengaturan!$B$8:$B$27,N$4)))</f>
        <v>0</v>
      </c>
      <c r="O81" s="26" t="n">
        <f aca="false">IF(INDEX(Pengaturan!$B$8:$B$27,O$4)="",0,COUNTIF(Data!$B81:$U81,INDEX(Pengaturan!$B$8:$B$27,O$4)))</f>
        <v>0</v>
      </c>
      <c r="P81" s="26" t="n">
        <f aca="false">IF(INDEX(Pengaturan!$B$8:$B$27,P$4)="",0,COUNTIF(Data!$B81:$U81,INDEX(Pengaturan!$B$8:$B$27,P$4)))</f>
        <v>0</v>
      </c>
      <c r="Q81" s="26" t="n">
        <f aca="false">IF(INDEX(Pengaturan!$B$8:$B$27,Q$4)="",0,COUNTIF(Data!$B81:$U81,INDEX(Pengaturan!$B$8:$B$27,Q$4)))</f>
        <v>0</v>
      </c>
      <c r="R81" s="26" t="n">
        <f aca="false">IF(INDEX(Pengaturan!$B$8:$B$27,R$4)="",0,COUNTIF(Data!$B81:$U81,INDEX(Pengaturan!$B$8:$B$27,R$4)))</f>
        <v>0</v>
      </c>
      <c r="S81" s="26" t="n">
        <f aca="false">IF(INDEX(Pengaturan!$B$8:$B$27,S$4)="",0,COUNTIF(Data!$B81:$U81,INDEX(Pengaturan!$B$8:$B$27,S$4)))</f>
        <v>0</v>
      </c>
      <c r="T81" s="26" t="n">
        <f aca="false">IF(INDEX(Pengaturan!$B$8:$B$27,T$4)="",0,COUNTIF(Data!$B81:$U81,INDEX(Pengaturan!$B$8:$B$27,T$4)))</f>
        <v>0</v>
      </c>
      <c r="U81" s="26" t="n">
        <f aca="false">IF(INDEX(Pengaturan!$B$8:$B$27,U$4)="",0,COUNTIF(Data!$B81:$U81,INDEX(Pengaturan!$B$8:$B$27,U$4)))</f>
        <v>0</v>
      </c>
      <c r="V81" s="26" t="n">
        <f aca="false">COUNTA(Data!$B81:$U81)</f>
        <v>0</v>
      </c>
      <c r="W81" s="27" t="str">
        <f aca="false">IF(V81=0,"",IF(V81&lt;&gt;Hasil!$C$4,"Data kosong/tidak lengkap",IF(SUM(B81:U81)&lt;&gt;V81,"Kategori tidak dikenal","OK")))</f>
        <v/>
      </c>
      <c r="X81" s="26" t="n">
        <f aca="false">IF(OR(W81="",W81="OK"),0,1)</f>
        <v>0</v>
      </c>
    </row>
    <row r="82" customFormat="false" ht="15" hidden="false" customHeight="false" outlineLevel="0" collapsed="false">
      <c r="A82" s="26" t="n">
        <f aca="false">Data!A82</f>
        <v>77</v>
      </c>
      <c r="B82" s="26" t="n">
        <f aca="false">IF(INDEX(Pengaturan!$B$8:$B$27,B$4)="",0,COUNTIF(Data!$B82:$U82,INDEX(Pengaturan!$B$8:$B$27,B$4)))</f>
        <v>0</v>
      </c>
      <c r="C82" s="26" t="n">
        <f aca="false">IF(INDEX(Pengaturan!$B$8:$B$27,C$4)="",0,COUNTIF(Data!$B82:$U82,INDEX(Pengaturan!$B$8:$B$27,C$4)))</f>
        <v>0</v>
      </c>
      <c r="D82" s="26" t="n">
        <f aca="false">IF(INDEX(Pengaturan!$B$8:$B$27,D$4)="",0,COUNTIF(Data!$B82:$U82,INDEX(Pengaturan!$B$8:$B$27,D$4)))</f>
        <v>0</v>
      </c>
      <c r="E82" s="26" t="n">
        <f aca="false">IF(INDEX(Pengaturan!$B$8:$B$27,E$4)="",0,COUNTIF(Data!$B82:$U82,INDEX(Pengaturan!$B$8:$B$27,E$4)))</f>
        <v>0</v>
      </c>
      <c r="F82" s="26" t="n">
        <f aca="false">IF(INDEX(Pengaturan!$B$8:$B$27,F$4)="",0,COUNTIF(Data!$B82:$U82,INDEX(Pengaturan!$B$8:$B$27,F$4)))</f>
        <v>0</v>
      </c>
      <c r="G82" s="26" t="n">
        <f aca="false">IF(INDEX(Pengaturan!$B$8:$B$27,G$4)="",0,COUNTIF(Data!$B82:$U82,INDEX(Pengaturan!$B$8:$B$27,G$4)))</f>
        <v>0</v>
      </c>
      <c r="H82" s="26" t="n">
        <f aca="false">IF(INDEX(Pengaturan!$B$8:$B$27,H$4)="",0,COUNTIF(Data!$B82:$U82,INDEX(Pengaturan!$B$8:$B$27,H$4)))</f>
        <v>0</v>
      </c>
      <c r="I82" s="26" t="n">
        <f aca="false">IF(INDEX(Pengaturan!$B$8:$B$27,I$4)="",0,COUNTIF(Data!$B82:$U82,INDEX(Pengaturan!$B$8:$B$27,I$4)))</f>
        <v>0</v>
      </c>
      <c r="J82" s="26" t="n">
        <f aca="false">IF(INDEX(Pengaturan!$B$8:$B$27,J$4)="",0,COUNTIF(Data!$B82:$U82,INDEX(Pengaturan!$B$8:$B$27,J$4)))</f>
        <v>0</v>
      </c>
      <c r="K82" s="26" t="n">
        <f aca="false">IF(INDEX(Pengaturan!$B$8:$B$27,K$4)="",0,COUNTIF(Data!$B82:$U82,INDEX(Pengaturan!$B$8:$B$27,K$4)))</f>
        <v>0</v>
      </c>
      <c r="L82" s="26" t="n">
        <f aca="false">IF(INDEX(Pengaturan!$B$8:$B$27,L$4)="",0,COUNTIF(Data!$B82:$U82,INDEX(Pengaturan!$B$8:$B$27,L$4)))</f>
        <v>0</v>
      </c>
      <c r="M82" s="26" t="n">
        <f aca="false">IF(INDEX(Pengaturan!$B$8:$B$27,M$4)="",0,COUNTIF(Data!$B82:$U82,INDEX(Pengaturan!$B$8:$B$27,M$4)))</f>
        <v>0</v>
      </c>
      <c r="N82" s="26" t="n">
        <f aca="false">IF(INDEX(Pengaturan!$B$8:$B$27,N$4)="",0,COUNTIF(Data!$B82:$U82,INDEX(Pengaturan!$B$8:$B$27,N$4)))</f>
        <v>0</v>
      </c>
      <c r="O82" s="26" t="n">
        <f aca="false">IF(INDEX(Pengaturan!$B$8:$B$27,O$4)="",0,COUNTIF(Data!$B82:$U82,INDEX(Pengaturan!$B$8:$B$27,O$4)))</f>
        <v>0</v>
      </c>
      <c r="P82" s="26" t="n">
        <f aca="false">IF(INDEX(Pengaturan!$B$8:$B$27,P$4)="",0,COUNTIF(Data!$B82:$U82,INDEX(Pengaturan!$B$8:$B$27,P$4)))</f>
        <v>0</v>
      </c>
      <c r="Q82" s="26" t="n">
        <f aca="false">IF(INDEX(Pengaturan!$B$8:$B$27,Q$4)="",0,COUNTIF(Data!$B82:$U82,INDEX(Pengaturan!$B$8:$B$27,Q$4)))</f>
        <v>0</v>
      </c>
      <c r="R82" s="26" t="n">
        <f aca="false">IF(INDEX(Pengaturan!$B$8:$B$27,R$4)="",0,COUNTIF(Data!$B82:$U82,INDEX(Pengaturan!$B$8:$B$27,R$4)))</f>
        <v>0</v>
      </c>
      <c r="S82" s="26" t="n">
        <f aca="false">IF(INDEX(Pengaturan!$B$8:$B$27,S$4)="",0,COUNTIF(Data!$B82:$U82,INDEX(Pengaturan!$B$8:$B$27,S$4)))</f>
        <v>0</v>
      </c>
      <c r="T82" s="26" t="n">
        <f aca="false">IF(INDEX(Pengaturan!$B$8:$B$27,T$4)="",0,COUNTIF(Data!$B82:$U82,INDEX(Pengaturan!$B$8:$B$27,T$4)))</f>
        <v>0</v>
      </c>
      <c r="U82" s="26" t="n">
        <f aca="false">IF(INDEX(Pengaturan!$B$8:$B$27,U$4)="",0,COUNTIF(Data!$B82:$U82,INDEX(Pengaturan!$B$8:$B$27,U$4)))</f>
        <v>0</v>
      </c>
      <c r="V82" s="26" t="n">
        <f aca="false">COUNTA(Data!$B82:$U82)</f>
        <v>0</v>
      </c>
      <c r="W82" s="27" t="str">
        <f aca="false">IF(V82=0,"",IF(V82&lt;&gt;Hasil!$C$4,"Data kosong/tidak lengkap",IF(SUM(B82:U82)&lt;&gt;V82,"Kategori tidak dikenal","OK")))</f>
        <v/>
      </c>
      <c r="X82" s="26" t="n">
        <f aca="false">IF(OR(W82="",W82="OK"),0,1)</f>
        <v>0</v>
      </c>
    </row>
    <row r="83" customFormat="false" ht="15" hidden="false" customHeight="false" outlineLevel="0" collapsed="false">
      <c r="A83" s="26" t="n">
        <f aca="false">Data!A83</f>
        <v>78</v>
      </c>
      <c r="B83" s="26" t="n">
        <f aca="false">IF(INDEX(Pengaturan!$B$8:$B$27,B$4)="",0,COUNTIF(Data!$B83:$U83,INDEX(Pengaturan!$B$8:$B$27,B$4)))</f>
        <v>0</v>
      </c>
      <c r="C83" s="26" t="n">
        <f aca="false">IF(INDEX(Pengaturan!$B$8:$B$27,C$4)="",0,COUNTIF(Data!$B83:$U83,INDEX(Pengaturan!$B$8:$B$27,C$4)))</f>
        <v>0</v>
      </c>
      <c r="D83" s="26" t="n">
        <f aca="false">IF(INDEX(Pengaturan!$B$8:$B$27,D$4)="",0,COUNTIF(Data!$B83:$U83,INDEX(Pengaturan!$B$8:$B$27,D$4)))</f>
        <v>0</v>
      </c>
      <c r="E83" s="26" t="n">
        <f aca="false">IF(INDEX(Pengaturan!$B$8:$B$27,E$4)="",0,COUNTIF(Data!$B83:$U83,INDEX(Pengaturan!$B$8:$B$27,E$4)))</f>
        <v>0</v>
      </c>
      <c r="F83" s="26" t="n">
        <f aca="false">IF(INDEX(Pengaturan!$B$8:$B$27,F$4)="",0,COUNTIF(Data!$B83:$U83,INDEX(Pengaturan!$B$8:$B$27,F$4)))</f>
        <v>0</v>
      </c>
      <c r="G83" s="26" t="n">
        <f aca="false">IF(INDEX(Pengaturan!$B$8:$B$27,G$4)="",0,COUNTIF(Data!$B83:$U83,INDEX(Pengaturan!$B$8:$B$27,G$4)))</f>
        <v>0</v>
      </c>
      <c r="H83" s="26" t="n">
        <f aca="false">IF(INDEX(Pengaturan!$B$8:$B$27,H$4)="",0,COUNTIF(Data!$B83:$U83,INDEX(Pengaturan!$B$8:$B$27,H$4)))</f>
        <v>0</v>
      </c>
      <c r="I83" s="26" t="n">
        <f aca="false">IF(INDEX(Pengaturan!$B$8:$B$27,I$4)="",0,COUNTIF(Data!$B83:$U83,INDEX(Pengaturan!$B$8:$B$27,I$4)))</f>
        <v>0</v>
      </c>
      <c r="J83" s="26" t="n">
        <f aca="false">IF(INDEX(Pengaturan!$B$8:$B$27,J$4)="",0,COUNTIF(Data!$B83:$U83,INDEX(Pengaturan!$B$8:$B$27,J$4)))</f>
        <v>0</v>
      </c>
      <c r="K83" s="26" t="n">
        <f aca="false">IF(INDEX(Pengaturan!$B$8:$B$27,K$4)="",0,COUNTIF(Data!$B83:$U83,INDEX(Pengaturan!$B$8:$B$27,K$4)))</f>
        <v>0</v>
      </c>
      <c r="L83" s="26" t="n">
        <f aca="false">IF(INDEX(Pengaturan!$B$8:$B$27,L$4)="",0,COUNTIF(Data!$B83:$U83,INDEX(Pengaturan!$B$8:$B$27,L$4)))</f>
        <v>0</v>
      </c>
      <c r="M83" s="26" t="n">
        <f aca="false">IF(INDEX(Pengaturan!$B$8:$B$27,M$4)="",0,COUNTIF(Data!$B83:$U83,INDEX(Pengaturan!$B$8:$B$27,M$4)))</f>
        <v>0</v>
      </c>
      <c r="N83" s="26" t="n">
        <f aca="false">IF(INDEX(Pengaturan!$B$8:$B$27,N$4)="",0,COUNTIF(Data!$B83:$U83,INDEX(Pengaturan!$B$8:$B$27,N$4)))</f>
        <v>0</v>
      </c>
      <c r="O83" s="26" t="n">
        <f aca="false">IF(INDEX(Pengaturan!$B$8:$B$27,O$4)="",0,COUNTIF(Data!$B83:$U83,INDEX(Pengaturan!$B$8:$B$27,O$4)))</f>
        <v>0</v>
      </c>
      <c r="P83" s="26" t="n">
        <f aca="false">IF(INDEX(Pengaturan!$B$8:$B$27,P$4)="",0,COUNTIF(Data!$B83:$U83,INDEX(Pengaturan!$B$8:$B$27,P$4)))</f>
        <v>0</v>
      </c>
      <c r="Q83" s="26" t="n">
        <f aca="false">IF(INDEX(Pengaturan!$B$8:$B$27,Q$4)="",0,COUNTIF(Data!$B83:$U83,INDEX(Pengaturan!$B$8:$B$27,Q$4)))</f>
        <v>0</v>
      </c>
      <c r="R83" s="26" t="n">
        <f aca="false">IF(INDEX(Pengaturan!$B$8:$B$27,R$4)="",0,COUNTIF(Data!$B83:$U83,INDEX(Pengaturan!$B$8:$B$27,R$4)))</f>
        <v>0</v>
      </c>
      <c r="S83" s="26" t="n">
        <f aca="false">IF(INDEX(Pengaturan!$B$8:$B$27,S$4)="",0,COUNTIF(Data!$B83:$U83,INDEX(Pengaturan!$B$8:$B$27,S$4)))</f>
        <v>0</v>
      </c>
      <c r="T83" s="26" t="n">
        <f aca="false">IF(INDEX(Pengaturan!$B$8:$B$27,T$4)="",0,COUNTIF(Data!$B83:$U83,INDEX(Pengaturan!$B$8:$B$27,T$4)))</f>
        <v>0</v>
      </c>
      <c r="U83" s="26" t="n">
        <f aca="false">IF(INDEX(Pengaturan!$B$8:$B$27,U$4)="",0,COUNTIF(Data!$B83:$U83,INDEX(Pengaturan!$B$8:$B$27,U$4)))</f>
        <v>0</v>
      </c>
      <c r="V83" s="26" t="n">
        <f aca="false">COUNTA(Data!$B83:$U83)</f>
        <v>0</v>
      </c>
      <c r="W83" s="27" t="str">
        <f aca="false">IF(V83=0,"",IF(V83&lt;&gt;Hasil!$C$4,"Data kosong/tidak lengkap",IF(SUM(B83:U83)&lt;&gt;V83,"Kategori tidak dikenal","OK")))</f>
        <v/>
      </c>
      <c r="X83" s="26" t="n">
        <f aca="false">IF(OR(W83="",W83="OK"),0,1)</f>
        <v>0</v>
      </c>
    </row>
    <row r="84" customFormat="false" ht="15" hidden="false" customHeight="false" outlineLevel="0" collapsed="false">
      <c r="A84" s="26" t="n">
        <f aca="false">Data!A84</f>
        <v>79</v>
      </c>
      <c r="B84" s="26" t="n">
        <f aca="false">IF(INDEX(Pengaturan!$B$8:$B$27,B$4)="",0,COUNTIF(Data!$B84:$U84,INDEX(Pengaturan!$B$8:$B$27,B$4)))</f>
        <v>0</v>
      </c>
      <c r="C84" s="26" t="n">
        <f aca="false">IF(INDEX(Pengaturan!$B$8:$B$27,C$4)="",0,COUNTIF(Data!$B84:$U84,INDEX(Pengaturan!$B$8:$B$27,C$4)))</f>
        <v>0</v>
      </c>
      <c r="D84" s="26" t="n">
        <f aca="false">IF(INDEX(Pengaturan!$B$8:$B$27,D$4)="",0,COUNTIF(Data!$B84:$U84,INDEX(Pengaturan!$B$8:$B$27,D$4)))</f>
        <v>0</v>
      </c>
      <c r="E84" s="26" t="n">
        <f aca="false">IF(INDEX(Pengaturan!$B$8:$B$27,E$4)="",0,COUNTIF(Data!$B84:$U84,INDEX(Pengaturan!$B$8:$B$27,E$4)))</f>
        <v>0</v>
      </c>
      <c r="F84" s="26" t="n">
        <f aca="false">IF(INDEX(Pengaturan!$B$8:$B$27,F$4)="",0,COUNTIF(Data!$B84:$U84,INDEX(Pengaturan!$B$8:$B$27,F$4)))</f>
        <v>0</v>
      </c>
      <c r="G84" s="26" t="n">
        <f aca="false">IF(INDEX(Pengaturan!$B$8:$B$27,G$4)="",0,COUNTIF(Data!$B84:$U84,INDEX(Pengaturan!$B$8:$B$27,G$4)))</f>
        <v>0</v>
      </c>
      <c r="H84" s="26" t="n">
        <f aca="false">IF(INDEX(Pengaturan!$B$8:$B$27,H$4)="",0,COUNTIF(Data!$B84:$U84,INDEX(Pengaturan!$B$8:$B$27,H$4)))</f>
        <v>0</v>
      </c>
      <c r="I84" s="26" t="n">
        <f aca="false">IF(INDEX(Pengaturan!$B$8:$B$27,I$4)="",0,COUNTIF(Data!$B84:$U84,INDEX(Pengaturan!$B$8:$B$27,I$4)))</f>
        <v>0</v>
      </c>
      <c r="J84" s="26" t="n">
        <f aca="false">IF(INDEX(Pengaturan!$B$8:$B$27,J$4)="",0,COUNTIF(Data!$B84:$U84,INDEX(Pengaturan!$B$8:$B$27,J$4)))</f>
        <v>0</v>
      </c>
      <c r="K84" s="26" t="n">
        <f aca="false">IF(INDEX(Pengaturan!$B$8:$B$27,K$4)="",0,COUNTIF(Data!$B84:$U84,INDEX(Pengaturan!$B$8:$B$27,K$4)))</f>
        <v>0</v>
      </c>
      <c r="L84" s="26" t="n">
        <f aca="false">IF(INDEX(Pengaturan!$B$8:$B$27,L$4)="",0,COUNTIF(Data!$B84:$U84,INDEX(Pengaturan!$B$8:$B$27,L$4)))</f>
        <v>0</v>
      </c>
      <c r="M84" s="26" t="n">
        <f aca="false">IF(INDEX(Pengaturan!$B$8:$B$27,M$4)="",0,COUNTIF(Data!$B84:$U84,INDEX(Pengaturan!$B$8:$B$27,M$4)))</f>
        <v>0</v>
      </c>
      <c r="N84" s="26" t="n">
        <f aca="false">IF(INDEX(Pengaturan!$B$8:$B$27,N$4)="",0,COUNTIF(Data!$B84:$U84,INDEX(Pengaturan!$B$8:$B$27,N$4)))</f>
        <v>0</v>
      </c>
      <c r="O84" s="26" t="n">
        <f aca="false">IF(INDEX(Pengaturan!$B$8:$B$27,O$4)="",0,COUNTIF(Data!$B84:$U84,INDEX(Pengaturan!$B$8:$B$27,O$4)))</f>
        <v>0</v>
      </c>
      <c r="P84" s="26" t="n">
        <f aca="false">IF(INDEX(Pengaturan!$B$8:$B$27,P$4)="",0,COUNTIF(Data!$B84:$U84,INDEX(Pengaturan!$B$8:$B$27,P$4)))</f>
        <v>0</v>
      </c>
      <c r="Q84" s="26" t="n">
        <f aca="false">IF(INDEX(Pengaturan!$B$8:$B$27,Q$4)="",0,COUNTIF(Data!$B84:$U84,INDEX(Pengaturan!$B$8:$B$27,Q$4)))</f>
        <v>0</v>
      </c>
      <c r="R84" s="26" t="n">
        <f aca="false">IF(INDEX(Pengaturan!$B$8:$B$27,R$4)="",0,COUNTIF(Data!$B84:$U84,INDEX(Pengaturan!$B$8:$B$27,R$4)))</f>
        <v>0</v>
      </c>
      <c r="S84" s="26" t="n">
        <f aca="false">IF(INDEX(Pengaturan!$B$8:$B$27,S$4)="",0,COUNTIF(Data!$B84:$U84,INDEX(Pengaturan!$B$8:$B$27,S$4)))</f>
        <v>0</v>
      </c>
      <c r="T84" s="26" t="n">
        <f aca="false">IF(INDEX(Pengaturan!$B$8:$B$27,T$4)="",0,COUNTIF(Data!$B84:$U84,INDEX(Pengaturan!$B$8:$B$27,T$4)))</f>
        <v>0</v>
      </c>
      <c r="U84" s="26" t="n">
        <f aca="false">IF(INDEX(Pengaturan!$B$8:$B$27,U$4)="",0,COUNTIF(Data!$B84:$U84,INDEX(Pengaturan!$B$8:$B$27,U$4)))</f>
        <v>0</v>
      </c>
      <c r="V84" s="26" t="n">
        <f aca="false">COUNTA(Data!$B84:$U84)</f>
        <v>0</v>
      </c>
      <c r="W84" s="27" t="str">
        <f aca="false">IF(V84=0,"",IF(V84&lt;&gt;Hasil!$C$4,"Data kosong/tidak lengkap",IF(SUM(B84:U84)&lt;&gt;V84,"Kategori tidak dikenal","OK")))</f>
        <v/>
      </c>
      <c r="X84" s="26" t="n">
        <f aca="false">IF(OR(W84="",W84="OK"),0,1)</f>
        <v>0</v>
      </c>
    </row>
    <row r="85" customFormat="false" ht="15" hidden="false" customHeight="false" outlineLevel="0" collapsed="false">
      <c r="A85" s="26" t="n">
        <f aca="false">Data!A85</f>
        <v>80</v>
      </c>
      <c r="B85" s="26" t="n">
        <f aca="false">IF(INDEX(Pengaturan!$B$8:$B$27,B$4)="",0,COUNTIF(Data!$B85:$U85,INDEX(Pengaturan!$B$8:$B$27,B$4)))</f>
        <v>0</v>
      </c>
      <c r="C85" s="26" t="n">
        <f aca="false">IF(INDEX(Pengaturan!$B$8:$B$27,C$4)="",0,COUNTIF(Data!$B85:$U85,INDEX(Pengaturan!$B$8:$B$27,C$4)))</f>
        <v>0</v>
      </c>
      <c r="D85" s="26" t="n">
        <f aca="false">IF(INDEX(Pengaturan!$B$8:$B$27,D$4)="",0,COUNTIF(Data!$B85:$U85,INDEX(Pengaturan!$B$8:$B$27,D$4)))</f>
        <v>0</v>
      </c>
      <c r="E85" s="26" t="n">
        <f aca="false">IF(INDEX(Pengaturan!$B$8:$B$27,E$4)="",0,COUNTIF(Data!$B85:$U85,INDEX(Pengaturan!$B$8:$B$27,E$4)))</f>
        <v>0</v>
      </c>
      <c r="F85" s="26" t="n">
        <f aca="false">IF(INDEX(Pengaturan!$B$8:$B$27,F$4)="",0,COUNTIF(Data!$B85:$U85,INDEX(Pengaturan!$B$8:$B$27,F$4)))</f>
        <v>0</v>
      </c>
      <c r="G85" s="26" t="n">
        <f aca="false">IF(INDEX(Pengaturan!$B$8:$B$27,G$4)="",0,COUNTIF(Data!$B85:$U85,INDEX(Pengaturan!$B$8:$B$27,G$4)))</f>
        <v>0</v>
      </c>
      <c r="H85" s="26" t="n">
        <f aca="false">IF(INDEX(Pengaturan!$B$8:$B$27,H$4)="",0,COUNTIF(Data!$B85:$U85,INDEX(Pengaturan!$B$8:$B$27,H$4)))</f>
        <v>0</v>
      </c>
      <c r="I85" s="26" t="n">
        <f aca="false">IF(INDEX(Pengaturan!$B$8:$B$27,I$4)="",0,COUNTIF(Data!$B85:$U85,INDEX(Pengaturan!$B$8:$B$27,I$4)))</f>
        <v>0</v>
      </c>
      <c r="J85" s="26" t="n">
        <f aca="false">IF(INDEX(Pengaturan!$B$8:$B$27,J$4)="",0,COUNTIF(Data!$B85:$U85,INDEX(Pengaturan!$B$8:$B$27,J$4)))</f>
        <v>0</v>
      </c>
      <c r="K85" s="26" t="n">
        <f aca="false">IF(INDEX(Pengaturan!$B$8:$B$27,K$4)="",0,COUNTIF(Data!$B85:$U85,INDEX(Pengaturan!$B$8:$B$27,K$4)))</f>
        <v>0</v>
      </c>
      <c r="L85" s="26" t="n">
        <f aca="false">IF(INDEX(Pengaturan!$B$8:$B$27,L$4)="",0,COUNTIF(Data!$B85:$U85,INDEX(Pengaturan!$B$8:$B$27,L$4)))</f>
        <v>0</v>
      </c>
      <c r="M85" s="26" t="n">
        <f aca="false">IF(INDEX(Pengaturan!$B$8:$B$27,M$4)="",0,COUNTIF(Data!$B85:$U85,INDEX(Pengaturan!$B$8:$B$27,M$4)))</f>
        <v>0</v>
      </c>
      <c r="N85" s="26" t="n">
        <f aca="false">IF(INDEX(Pengaturan!$B$8:$B$27,N$4)="",0,COUNTIF(Data!$B85:$U85,INDEX(Pengaturan!$B$8:$B$27,N$4)))</f>
        <v>0</v>
      </c>
      <c r="O85" s="26" t="n">
        <f aca="false">IF(INDEX(Pengaturan!$B$8:$B$27,O$4)="",0,COUNTIF(Data!$B85:$U85,INDEX(Pengaturan!$B$8:$B$27,O$4)))</f>
        <v>0</v>
      </c>
      <c r="P85" s="26" t="n">
        <f aca="false">IF(INDEX(Pengaturan!$B$8:$B$27,P$4)="",0,COUNTIF(Data!$B85:$U85,INDEX(Pengaturan!$B$8:$B$27,P$4)))</f>
        <v>0</v>
      </c>
      <c r="Q85" s="26" t="n">
        <f aca="false">IF(INDEX(Pengaturan!$B$8:$B$27,Q$4)="",0,COUNTIF(Data!$B85:$U85,INDEX(Pengaturan!$B$8:$B$27,Q$4)))</f>
        <v>0</v>
      </c>
      <c r="R85" s="26" t="n">
        <f aca="false">IF(INDEX(Pengaturan!$B$8:$B$27,R$4)="",0,COUNTIF(Data!$B85:$U85,INDEX(Pengaturan!$B$8:$B$27,R$4)))</f>
        <v>0</v>
      </c>
      <c r="S85" s="26" t="n">
        <f aca="false">IF(INDEX(Pengaturan!$B$8:$B$27,S$4)="",0,COUNTIF(Data!$B85:$U85,INDEX(Pengaturan!$B$8:$B$27,S$4)))</f>
        <v>0</v>
      </c>
      <c r="T85" s="26" t="n">
        <f aca="false">IF(INDEX(Pengaturan!$B$8:$B$27,T$4)="",0,COUNTIF(Data!$B85:$U85,INDEX(Pengaturan!$B$8:$B$27,T$4)))</f>
        <v>0</v>
      </c>
      <c r="U85" s="26" t="n">
        <f aca="false">IF(INDEX(Pengaturan!$B$8:$B$27,U$4)="",0,COUNTIF(Data!$B85:$U85,INDEX(Pengaturan!$B$8:$B$27,U$4)))</f>
        <v>0</v>
      </c>
      <c r="V85" s="26" t="n">
        <f aca="false">COUNTA(Data!$B85:$U85)</f>
        <v>0</v>
      </c>
      <c r="W85" s="27" t="str">
        <f aca="false">IF(V85=0,"",IF(V85&lt;&gt;Hasil!$C$4,"Data kosong/tidak lengkap",IF(SUM(B85:U85)&lt;&gt;V85,"Kategori tidak dikenal","OK")))</f>
        <v/>
      </c>
      <c r="X85" s="26" t="n">
        <f aca="false">IF(OR(W85="",W85="OK"),0,1)</f>
        <v>0</v>
      </c>
    </row>
    <row r="86" customFormat="false" ht="15" hidden="false" customHeight="false" outlineLevel="0" collapsed="false">
      <c r="A86" s="26" t="n">
        <f aca="false">Data!A86</f>
        <v>81</v>
      </c>
      <c r="B86" s="26" t="n">
        <f aca="false">IF(INDEX(Pengaturan!$B$8:$B$27,B$4)="",0,COUNTIF(Data!$B86:$U86,INDEX(Pengaturan!$B$8:$B$27,B$4)))</f>
        <v>0</v>
      </c>
      <c r="C86" s="26" t="n">
        <f aca="false">IF(INDEX(Pengaturan!$B$8:$B$27,C$4)="",0,COUNTIF(Data!$B86:$U86,INDEX(Pengaturan!$B$8:$B$27,C$4)))</f>
        <v>0</v>
      </c>
      <c r="D86" s="26" t="n">
        <f aca="false">IF(INDEX(Pengaturan!$B$8:$B$27,D$4)="",0,COUNTIF(Data!$B86:$U86,INDEX(Pengaturan!$B$8:$B$27,D$4)))</f>
        <v>0</v>
      </c>
      <c r="E86" s="26" t="n">
        <f aca="false">IF(INDEX(Pengaturan!$B$8:$B$27,E$4)="",0,COUNTIF(Data!$B86:$U86,INDEX(Pengaturan!$B$8:$B$27,E$4)))</f>
        <v>0</v>
      </c>
      <c r="F86" s="26" t="n">
        <f aca="false">IF(INDEX(Pengaturan!$B$8:$B$27,F$4)="",0,COUNTIF(Data!$B86:$U86,INDEX(Pengaturan!$B$8:$B$27,F$4)))</f>
        <v>0</v>
      </c>
      <c r="G86" s="26" t="n">
        <f aca="false">IF(INDEX(Pengaturan!$B$8:$B$27,G$4)="",0,COUNTIF(Data!$B86:$U86,INDEX(Pengaturan!$B$8:$B$27,G$4)))</f>
        <v>0</v>
      </c>
      <c r="H86" s="26" t="n">
        <f aca="false">IF(INDEX(Pengaturan!$B$8:$B$27,H$4)="",0,COUNTIF(Data!$B86:$U86,INDEX(Pengaturan!$B$8:$B$27,H$4)))</f>
        <v>0</v>
      </c>
      <c r="I86" s="26" t="n">
        <f aca="false">IF(INDEX(Pengaturan!$B$8:$B$27,I$4)="",0,COUNTIF(Data!$B86:$U86,INDEX(Pengaturan!$B$8:$B$27,I$4)))</f>
        <v>0</v>
      </c>
      <c r="J86" s="26" t="n">
        <f aca="false">IF(INDEX(Pengaturan!$B$8:$B$27,J$4)="",0,COUNTIF(Data!$B86:$U86,INDEX(Pengaturan!$B$8:$B$27,J$4)))</f>
        <v>0</v>
      </c>
      <c r="K86" s="26" t="n">
        <f aca="false">IF(INDEX(Pengaturan!$B$8:$B$27,K$4)="",0,COUNTIF(Data!$B86:$U86,INDEX(Pengaturan!$B$8:$B$27,K$4)))</f>
        <v>0</v>
      </c>
      <c r="L86" s="26" t="n">
        <f aca="false">IF(INDEX(Pengaturan!$B$8:$B$27,L$4)="",0,COUNTIF(Data!$B86:$U86,INDEX(Pengaturan!$B$8:$B$27,L$4)))</f>
        <v>0</v>
      </c>
      <c r="M86" s="26" t="n">
        <f aca="false">IF(INDEX(Pengaturan!$B$8:$B$27,M$4)="",0,COUNTIF(Data!$B86:$U86,INDEX(Pengaturan!$B$8:$B$27,M$4)))</f>
        <v>0</v>
      </c>
      <c r="N86" s="26" t="n">
        <f aca="false">IF(INDEX(Pengaturan!$B$8:$B$27,N$4)="",0,COUNTIF(Data!$B86:$U86,INDEX(Pengaturan!$B$8:$B$27,N$4)))</f>
        <v>0</v>
      </c>
      <c r="O86" s="26" t="n">
        <f aca="false">IF(INDEX(Pengaturan!$B$8:$B$27,O$4)="",0,COUNTIF(Data!$B86:$U86,INDEX(Pengaturan!$B$8:$B$27,O$4)))</f>
        <v>0</v>
      </c>
      <c r="P86" s="26" t="n">
        <f aca="false">IF(INDEX(Pengaturan!$B$8:$B$27,P$4)="",0,COUNTIF(Data!$B86:$U86,INDEX(Pengaturan!$B$8:$B$27,P$4)))</f>
        <v>0</v>
      </c>
      <c r="Q86" s="26" t="n">
        <f aca="false">IF(INDEX(Pengaturan!$B$8:$B$27,Q$4)="",0,COUNTIF(Data!$B86:$U86,INDEX(Pengaturan!$B$8:$B$27,Q$4)))</f>
        <v>0</v>
      </c>
      <c r="R86" s="26" t="n">
        <f aca="false">IF(INDEX(Pengaturan!$B$8:$B$27,R$4)="",0,COUNTIF(Data!$B86:$U86,INDEX(Pengaturan!$B$8:$B$27,R$4)))</f>
        <v>0</v>
      </c>
      <c r="S86" s="26" t="n">
        <f aca="false">IF(INDEX(Pengaturan!$B$8:$B$27,S$4)="",0,COUNTIF(Data!$B86:$U86,INDEX(Pengaturan!$B$8:$B$27,S$4)))</f>
        <v>0</v>
      </c>
      <c r="T86" s="26" t="n">
        <f aca="false">IF(INDEX(Pengaturan!$B$8:$B$27,T$4)="",0,COUNTIF(Data!$B86:$U86,INDEX(Pengaturan!$B$8:$B$27,T$4)))</f>
        <v>0</v>
      </c>
      <c r="U86" s="26" t="n">
        <f aca="false">IF(INDEX(Pengaturan!$B$8:$B$27,U$4)="",0,COUNTIF(Data!$B86:$U86,INDEX(Pengaturan!$B$8:$B$27,U$4)))</f>
        <v>0</v>
      </c>
      <c r="V86" s="26" t="n">
        <f aca="false">COUNTA(Data!$B86:$U86)</f>
        <v>0</v>
      </c>
      <c r="W86" s="27" t="str">
        <f aca="false">IF(V86=0,"",IF(V86&lt;&gt;Hasil!$C$4,"Data kosong/tidak lengkap",IF(SUM(B86:U86)&lt;&gt;V86,"Kategori tidak dikenal","OK")))</f>
        <v/>
      </c>
      <c r="X86" s="26" t="n">
        <f aca="false">IF(OR(W86="",W86="OK"),0,1)</f>
        <v>0</v>
      </c>
    </row>
    <row r="87" customFormat="false" ht="15" hidden="false" customHeight="false" outlineLevel="0" collapsed="false">
      <c r="A87" s="26" t="n">
        <f aca="false">Data!A87</f>
        <v>82</v>
      </c>
      <c r="B87" s="26" t="n">
        <f aca="false">IF(INDEX(Pengaturan!$B$8:$B$27,B$4)="",0,COUNTIF(Data!$B87:$U87,INDEX(Pengaturan!$B$8:$B$27,B$4)))</f>
        <v>0</v>
      </c>
      <c r="C87" s="26" t="n">
        <f aca="false">IF(INDEX(Pengaturan!$B$8:$B$27,C$4)="",0,COUNTIF(Data!$B87:$U87,INDEX(Pengaturan!$B$8:$B$27,C$4)))</f>
        <v>0</v>
      </c>
      <c r="D87" s="26" t="n">
        <f aca="false">IF(INDEX(Pengaturan!$B$8:$B$27,D$4)="",0,COUNTIF(Data!$B87:$U87,INDEX(Pengaturan!$B$8:$B$27,D$4)))</f>
        <v>0</v>
      </c>
      <c r="E87" s="26" t="n">
        <f aca="false">IF(INDEX(Pengaturan!$B$8:$B$27,E$4)="",0,COUNTIF(Data!$B87:$U87,INDEX(Pengaturan!$B$8:$B$27,E$4)))</f>
        <v>0</v>
      </c>
      <c r="F87" s="26" t="n">
        <f aca="false">IF(INDEX(Pengaturan!$B$8:$B$27,F$4)="",0,COUNTIF(Data!$B87:$U87,INDEX(Pengaturan!$B$8:$B$27,F$4)))</f>
        <v>0</v>
      </c>
      <c r="G87" s="26" t="n">
        <f aca="false">IF(INDEX(Pengaturan!$B$8:$B$27,G$4)="",0,COUNTIF(Data!$B87:$U87,INDEX(Pengaturan!$B$8:$B$27,G$4)))</f>
        <v>0</v>
      </c>
      <c r="H87" s="26" t="n">
        <f aca="false">IF(INDEX(Pengaturan!$B$8:$B$27,H$4)="",0,COUNTIF(Data!$B87:$U87,INDEX(Pengaturan!$B$8:$B$27,H$4)))</f>
        <v>0</v>
      </c>
      <c r="I87" s="26" t="n">
        <f aca="false">IF(INDEX(Pengaturan!$B$8:$B$27,I$4)="",0,COUNTIF(Data!$B87:$U87,INDEX(Pengaturan!$B$8:$B$27,I$4)))</f>
        <v>0</v>
      </c>
      <c r="J87" s="26" t="n">
        <f aca="false">IF(INDEX(Pengaturan!$B$8:$B$27,J$4)="",0,COUNTIF(Data!$B87:$U87,INDEX(Pengaturan!$B$8:$B$27,J$4)))</f>
        <v>0</v>
      </c>
      <c r="K87" s="26" t="n">
        <f aca="false">IF(INDEX(Pengaturan!$B$8:$B$27,K$4)="",0,COUNTIF(Data!$B87:$U87,INDEX(Pengaturan!$B$8:$B$27,K$4)))</f>
        <v>0</v>
      </c>
      <c r="L87" s="26" t="n">
        <f aca="false">IF(INDEX(Pengaturan!$B$8:$B$27,L$4)="",0,COUNTIF(Data!$B87:$U87,INDEX(Pengaturan!$B$8:$B$27,L$4)))</f>
        <v>0</v>
      </c>
      <c r="M87" s="26" t="n">
        <f aca="false">IF(INDEX(Pengaturan!$B$8:$B$27,M$4)="",0,COUNTIF(Data!$B87:$U87,INDEX(Pengaturan!$B$8:$B$27,M$4)))</f>
        <v>0</v>
      </c>
      <c r="N87" s="26" t="n">
        <f aca="false">IF(INDEX(Pengaturan!$B$8:$B$27,N$4)="",0,COUNTIF(Data!$B87:$U87,INDEX(Pengaturan!$B$8:$B$27,N$4)))</f>
        <v>0</v>
      </c>
      <c r="O87" s="26" t="n">
        <f aca="false">IF(INDEX(Pengaturan!$B$8:$B$27,O$4)="",0,COUNTIF(Data!$B87:$U87,INDEX(Pengaturan!$B$8:$B$27,O$4)))</f>
        <v>0</v>
      </c>
      <c r="P87" s="26" t="n">
        <f aca="false">IF(INDEX(Pengaturan!$B$8:$B$27,P$4)="",0,COUNTIF(Data!$B87:$U87,INDEX(Pengaturan!$B$8:$B$27,P$4)))</f>
        <v>0</v>
      </c>
      <c r="Q87" s="26" t="n">
        <f aca="false">IF(INDEX(Pengaturan!$B$8:$B$27,Q$4)="",0,COUNTIF(Data!$B87:$U87,INDEX(Pengaturan!$B$8:$B$27,Q$4)))</f>
        <v>0</v>
      </c>
      <c r="R87" s="26" t="n">
        <f aca="false">IF(INDEX(Pengaturan!$B$8:$B$27,R$4)="",0,COUNTIF(Data!$B87:$U87,INDEX(Pengaturan!$B$8:$B$27,R$4)))</f>
        <v>0</v>
      </c>
      <c r="S87" s="26" t="n">
        <f aca="false">IF(INDEX(Pengaturan!$B$8:$B$27,S$4)="",0,COUNTIF(Data!$B87:$U87,INDEX(Pengaturan!$B$8:$B$27,S$4)))</f>
        <v>0</v>
      </c>
      <c r="T87" s="26" t="n">
        <f aca="false">IF(INDEX(Pengaturan!$B$8:$B$27,T$4)="",0,COUNTIF(Data!$B87:$U87,INDEX(Pengaturan!$B$8:$B$27,T$4)))</f>
        <v>0</v>
      </c>
      <c r="U87" s="26" t="n">
        <f aca="false">IF(INDEX(Pengaturan!$B$8:$B$27,U$4)="",0,COUNTIF(Data!$B87:$U87,INDEX(Pengaturan!$B$8:$B$27,U$4)))</f>
        <v>0</v>
      </c>
      <c r="V87" s="26" t="n">
        <f aca="false">COUNTA(Data!$B87:$U87)</f>
        <v>0</v>
      </c>
      <c r="W87" s="27" t="str">
        <f aca="false">IF(V87=0,"",IF(V87&lt;&gt;Hasil!$C$4,"Data kosong/tidak lengkap",IF(SUM(B87:U87)&lt;&gt;V87,"Kategori tidak dikenal","OK")))</f>
        <v/>
      </c>
      <c r="X87" s="26" t="n">
        <f aca="false">IF(OR(W87="",W87="OK"),0,1)</f>
        <v>0</v>
      </c>
    </row>
    <row r="88" customFormat="false" ht="15" hidden="false" customHeight="false" outlineLevel="0" collapsed="false">
      <c r="A88" s="26" t="n">
        <f aca="false">Data!A88</f>
        <v>83</v>
      </c>
      <c r="B88" s="26" t="n">
        <f aca="false">IF(INDEX(Pengaturan!$B$8:$B$27,B$4)="",0,COUNTIF(Data!$B88:$U88,INDEX(Pengaturan!$B$8:$B$27,B$4)))</f>
        <v>0</v>
      </c>
      <c r="C88" s="26" t="n">
        <f aca="false">IF(INDEX(Pengaturan!$B$8:$B$27,C$4)="",0,COUNTIF(Data!$B88:$U88,INDEX(Pengaturan!$B$8:$B$27,C$4)))</f>
        <v>0</v>
      </c>
      <c r="D88" s="26" t="n">
        <f aca="false">IF(INDEX(Pengaturan!$B$8:$B$27,D$4)="",0,COUNTIF(Data!$B88:$U88,INDEX(Pengaturan!$B$8:$B$27,D$4)))</f>
        <v>0</v>
      </c>
      <c r="E88" s="26" t="n">
        <f aca="false">IF(INDEX(Pengaturan!$B$8:$B$27,E$4)="",0,COUNTIF(Data!$B88:$U88,INDEX(Pengaturan!$B$8:$B$27,E$4)))</f>
        <v>0</v>
      </c>
      <c r="F88" s="26" t="n">
        <f aca="false">IF(INDEX(Pengaturan!$B$8:$B$27,F$4)="",0,COUNTIF(Data!$B88:$U88,INDEX(Pengaturan!$B$8:$B$27,F$4)))</f>
        <v>0</v>
      </c>
      <c r="G88" s="26" t="n">
        <f aca="false">IF(INDEX(Pengaturan!$B$8:$B$27,G$4)="",0,COUNTIF(Data!$B88:$U88,INDEX(Pengaturan!$B$8:$B$27,G$4)))</f>
        <v>0</v>
      </c>
      <c r="H88" s="26" t="n">
        <f aca="false">IF(INDEX(Pengaturan!$B$8:$B$27,H$4)="",0,COUNTIF(Data!$B88:$U88,INDEX(Pengaturan!$B$8:$B$27,H$4)))</f>
        <v>0</v>
      </c>
      <c r="I88" s="26" t="n">
        <f aca="false">IF(INDEX(Pengaturan!$B$8:$B$27,I$4)="",0,COUNTIF(Data!$B88:$U88,INDEX(Pengaturan!$B$8:$B$27,I$4)))</f>
        <v>0</v>
      </c>
      <c r="J88" s="26" t="n">
        <f aca="false">IF(INDEX(Pengaturan!$B$8:$B$27,J$4)="",0,COUNTIF(Data!$B88:$U88,INDEX(Pengaturan!$B$8:$B$27,J$4)))</f>
        <v>0</v>
      </c>
      <c r="K88" s="26" t="n">
        <f aca="false">IF(INDEX(Pengaturan!$B$8:$B$27,K$4)="",0,COUNTIF(Data!$B88:$U88,INDEX(Pengaturan!$B$8:$B$27,K$4)))</f>
        <v>0</v>
      </c>
      <c r="L88" s="26" t="n">
        <f aca="false">IF(INDEX(Pengaturan!$B$8:$B$27,L$4)="",0,COUNTIF(Data!$B88:$U88,INDEX(Pengaturan!$B$8:$B$27,L$4)))</f>
        <v>0</v>
      </c>
      <c r="M88" s="26" t="n">
        <f aca="false">IF(INDEX(Pengaturan!$B$8:$B$27,M$4)="",0,COUNTIF(Data!$B88:$U88,INDEX(Pengaturan!$B$8:$B$27,M$4)))</f>
        <v>0</v>
      </c>
      <c r="N88" s="26" t="n">
        <f aca="false">IF(INDEX(Pengaturan!$B$8:$B$27,N$4)="",0,COUNTIF(Data!$B88:$U88,INDEX(Pengaturan!$B$8:$B$27,N$4)))</f>
        <v>0</v>
      </c>
      <c r="O88" s="26" t="n">
        <f aca="false">IF(INDEX(Pengaturan!$B$8:$B$27,O$4)="",0,COUNTIF(Data!$B88:$U88,INDEX(Pengaturan!$B$8:$B$27,O$4)))</f>
        <v>0</v>
      </c>
      <c r="P88" s="26" t="n">
        <f aca="false">IF(INDEX(Pengaturan!$B$8:$B$27,P$4)="",0,COUNTIF(Data!$B88:$U88,INDEX(Pengaturan!$B$8:$B$27,P$4)))</f>
        <v>0</v>
      </c>
      <c r="Q88" s="26" t="n">
        <f aca="false">IF(INDEX(Pengaturan!$B$8:$B$27,Q$4)="",0,COUNTIF(Data!$B88:$U88,INDEX(Pengaturan!$B$8:$B$27,Q$4)))</f>
        <v>0</v>
      </c>
      <c r="R88" s="26" t="n">
        <f aca="false">IF(INDEX(Pengaturan!$B$8:$B$27,R$4)="",0,COUNTIF(Data!$B88:$U88,INDEX(Pengaturan!$B$8:$B$27,R$4)))</f>
        <v>0</v>
      </c>
      <c r="S88" s="26" t="n">
        <f aca="false">IF(INDEX(Pengaturan!$B$8:$B$27,S$4)="",0,COUNTIF(Data!$B88:$U88,INDEX(Pengaturan!$B$8:$B$27,S$4)))</f>
        <v>0</v>
      </c>
      <c r="T88" s="26" t="n">
        <f aca="false">IF(INDEX(Pengaturan!$B$8:$B$27,T$4)="",0,COUNTIF(Data!$B88:$U88,INDEX(Pengaturan!$B$8:$B$27,T$4)))</f>
        <v>0</v>
      </c>
      <c r="U88" s="26" t="n">
        <f aca="false">IF(INDEX(Pengaturan!$B$8:$B$27,U$4)="",0,COUNTIF(Data!$B88:$U88,INDEX(Pengaturan!$B$8:$B$27,U$4)))</f>
        <v>0</v>
      </c>
      <c r="V88" s="26" t="n">
        <f aca="false">COUNTA(Data!$B88:$U88)</f>
        <v>0</v>
      </c>
      <c r="W88" s="27" t="str">
        <f aca="false">IF(V88=0,"",IF(V88&lt;&gt;Hasil!$C$4,"Data kosong/tidak lengkap",IF(SUM(B88:U88)&lt;&gt;V88,"Kategori tidak dikenal","OK")))</f>
        <v/>
      </c>
      <c r="X88" s="26" t="n">
        <f aca="false">IF(OR(W88="",W88="OK"),0,1)</f>
        <v>0</v>
      </c>
    </row>
    <row r="89" customFormat="false" ht="15" hidden="false" customHeight="false" outlineLevel="0" collapsed="false">
      <c r="A89" s="26" t="n">
        <f aca="false">Data!A89</f>
        <v>84</v>
      </c>
      <c r="B89" s="26" t="n">
        <f aca="false">IF(INDEX(Pengaturan!$B$8:$B$27,B$4)="",0,COUNTIF(Data!$B89:$U89,INDEX(Pengaturan!$B$8:$B$27,B$4)))</f>
        <v>0</v>
      </c>
      <c r="C89" s="26" t="n">
        <f aca="false">IF(INDEX(Pengaturan!$B$8:$B$27,C$4)="",0,COUNTIF(Data!$B89:$U89,INDEX(Pengaturan!$B$8:$B$27,C$4)))</f>
        <v>0</v>
      </c>
      <c r="D89" s="26" t="n">
        <f aca="false">IF(INDEX(Pengaturan!$B$8:$B$27,D$4)="",0,COUNTIF(Data!$B89:$U89,INDEX(Pengaturan!$B$8:$B$27,D$4)))</f>
        <v>0</v>
      </c>
      <c r="E89" s="26" t="n">
        <f aca="false">IF(INDEX(Pengaturan!$B$8:$B$27,E$4)="",0,COUNTIF(Data!$B89:$U89,INDEX(Pengaturan!$B$8:$B$27,E$4)))</f>
        <v>0</v>
      </c>
      <c r="F89" s="26" t="n">
        <f aca="false">IF(INDEX(Pengaturan!$B$8:$B$27,F$4)="",0,COUNTIF(Data!$B89:$U89,INDEX(Pengaturan!$B$8:$B$27,F$4)))</f>
        <v>0</v>
      </c>
      <c r="G89" s="26" t="n">
        <f aca="false">IF(INDEX(Pengaturan!$B$8:$B$27,G$4)="",0,COUNTIF(Data!$B89:$U89,INDEX(Pengaturan!$B$8:$B$27,G$4)))</f>
        <v>0</v>
      </c>
      <c r="H89" s="26" t="n">
        <f aca="false">IF(INDEX(Pengaturan!$B$8:$B$27,H$4)="",0,COUNTIF(Data!$B89:$U89,INDEX(Pengaturan!$B$8:$B$27,H$4)))</f>
        <v>0</v>
      </c>
      <c r="I89" s="26" t="n">
        <f aca="false">IF(INDEX(Pengaturan!$B$8:$B$27,I$4)="",0,COUNTIF(Data!$B89:$U89,INDEX(Pengaturan!$B$8:$B$27,I$4)))</f>
        <v>0</v>
      </c>
      <c r="J89" s="26" t="n">
        <f aca="false">IF(INDEX(Pengaturan!$B$8:$B$27,J$4)="",0,COUNTIF(Data!$B89:$U89,INDEX(Pengaturan!$B$8:$B$27,J$4)))</f>
        <v>0</v>
      </c>
      <c r="K89" s="26" t="n">
        <f aca="false">IF(INDEX(Pengaturan!$B$8:$B$27,K$4)="",0,COUNTIF(Data!$B89:$U89,INDEX(Pengaturan!$B$8:$B$27,K$4)))</f>
        <v>0</v>
      </c>
      <c r="L89" s="26" t="n">
        <f aca="false">IF(INDEX(Pengaturan!$B$8:$B$27,L$4)="",0,COUNTIF(Data!$B89:$U89,INDEX(Pengaturan!$B$8:$B$27,L$4)))</f>
        <v>0</v>
      </c>
      <c r="M89" s="26" t="n">
        <f aca="false">IF(INDEX(Pengaturan!$B$8:$B$27,M$4)="",0,COUNTIF(Data!$B89:$U89,INDEX(Pengaturan!$B$8:$B$27,M$4)))</f>
        <v>0</v>
      </c>
      <c r="N89" s="26" t="n">
        <f aca="false">IF(INDEX(Pengaturan!$B$8:$B$27,N$4)="",0,COUNTIF(Data!$B89:$U89,INDEX(Pengaturan!$B$8:$B$27,N$4)))</f>
        <v>0</v>
      </c>
      <c r="O89" s="26" t="n">
        <f aca="false">IF(INDEX(Pengaturan!$B$8:$B$27,O$4)="",0,COUNTIF(Data!$B89:$U89,INDEX(Pengaturan!$B$8:$B$27,O$4)))</f>
        <v>0</v>
      </c>
      <c r="P89" s="26" t="n">
        <f aca="false">IF(INDEX(Pengaturan!$B$8:$B$27,P$4)="",0,COUNTIF(Data!$B89:$U89,INDEX(Pengaturan!$B$8:$B$27,P$4)))</f>
        <v>0</v>
      </c>
      <c r="Q89" s="26" t="n">
        <f aca="false">IF(INDEX(Pengaturan!$B$8:$B$27,Q$4)="",0,COUNTIF(Data!$B89:$U89,INDEX(Pengaturan!$B$8:$B$27,Q$4)))</f>
        <v>0</v>
      </c>
      <c r="R89" s="26" t="n">
        <f aca="false">IF(INDEX(Pengaturan!$B$8:$B$27,R$4)="",0,COUNTIF(Data!$B89:$U89,INDEX(Pengaturan!$B$8:$B$27,R$4)))</f>
        <v>0</v>
      </c>
      <c r="S89" s="26" t="n">
        <f aca="false">IF(INDEX(Pengaturan!$B$8:$B$27,S$4)="",0,COUNTIF(Data!$B89:$U89,INDEX(Pengaturan!$B$8:$B$27,S$4)))</f>
        <v>0</v>
      </c>
      <c r="T89" s="26" t="n">
        <f aca="false">IF(INDEX(Pengaturan!$B$8:$B$27,T$4)="",0,COUNTIF(Data!$B89:$U89,INDEX(Pengaturan!$B$8:$B$27,T$4)))</f>
        <v>0</v>
      </c>
      <c r="U89" s="26" t="n">
        <f aca="false">IF(INDEX(Pengaturan!$B$8:$B$27,U$4)="",0,COUNTIF(Data!$B89:$U89,INDEX(Pengaturan!$B$8:$B$27,U$4)))</f>
        <v>0</v>
      </c>
      <c r="V89" s="26" t="n">
        <f aca="false">COUNTA(Data!$B89:$U89)</f>
        <v>0</v>
      </c>
      <c r="W89" s="27" t="str">
        <f aca="false">IF(V89=0,"",IF(V89&lt;&gt;Hasil!$C$4,"Data kosong/tidak lengkap",IF(SUM(B89:U89)&lt;&gt;V89,"Kategori tidak dikenal","OK")))</f>
        <v/>
      </c>
      <c r="X89" s="26" t="n">
        <f aca="false">IF(OR(W89="",W89="OK"),0,1)</f>
        <v>0</v>
      </c>
    </row>
    <row r="90" customFormat="false" ht="15" hidden="false" customHeight="false" outlineLevel="0" collapsed="false">
      <c r="A90" s="26" t="n">
        <f aca="false">Data!A90</f>
        <v>85</v>
      </c>
      <c r="B90" s="26" t="n">
        <f aca="false">IF(INDEX(Pengaturan!$B$8:$B$27,B$4)="",0,COUNTIF(Data!$B90:$U90,INDEX(Pengaturan!$B$8:$B$27,B$4)))</f>
        <v>0</v>
      </c>
      <c r="C90" s="26" t="n">
        <f aca="false">IF(INDEX(Pengaturan!$B$8:$B$27,C$4)="",0,COUNTIF(Data!$B90:$U90,INDEX(Pengaturan!$B$8:$B$27,C$4)))</f>
        <v>0</v>
      </c>
      <c r="D90" s="26" t="n">
        <f aca="false">IF(INDEX(Pengaturan!$B$8:$B$27,D$4)="",0,COUNTIF(Data!$B90:$U90,INDEX(Pengaturan!$B$8:$B$27,D$4)))</f>
        <v>0</v>
      </c>
      <c r="E90" s="26" t="n">
        <f aca="false">IF(INDEX(Pengaturan!$B$8:$B$27,E$4)="",0,COUNTIF(Data!$B90:$U90,INDEX(Pengaturan!$B$8:$B$27,E$4)))</f>
        <v>0</v>
      </c>
      <c r="F90" s="26" t="n">
        <f aca="false">IF(INDEX(Pengaturan!$B$8:$B$27,F$4)="",0,COUNTIF(Data!$B90:$U90,INDEX(Pengaturan!$B$8:$B$27,F$4)))</f>
        <v>0</v>
      </c>
      <c r="G90" s="26" t="n">
        <f aca="false">IF(INDEX(Pengaturan!$B$8:$B$27,G$4)="",0,COUNTIF(Data!$B90:$U90,INDEX(Pengaturan!$B$8:$B$27,G$4)))</f>
        <v>0</v>
      </c>
      <c r="H90" s="26" t="n">
        <f aca="false">IF(INDEX(Pengaturan!$B$8:$B$27,H$4)="",0,COUNTIF(Data!$B90:$U90,INDEX(Pengaturan!$B$8:$B$27,H$4)))</f>
        <v>0</v>
      </c>
      <c r="I90" s="26" t="n">
        <f aca="false">IF(INDEX(Pengaturan!$B$8:$B$27,I$4)="",0,COUNTIF(Data!$B90:$U90,INDEX(Pengaturan!$B$8:$B$27,I$4)))</f>
        <v>0</v>
      </c>
      <c r="J90" s="26" t="n">
        <f aca="false">IF(INDEX(Pengaturan!$B$8:$B$27,J$4)="",0,COUNTIF(Data!$B90:$U90,INDEX(Pengaturan!$B$8:$B$27,J$4)))</f>
        <v>0</v>
      </c>
      <c r="K90" s="26" t="n">
        <f aca="false">IF(INDEX(Pengaturan!$B$8:$B$27,K$4)="",0,COUNTIF(Data!$B90:$U90,INDEX(Pengaturan!$B$8:$B$27,K$4)))</f>
        <v>0</v>
      </c>
      <c r="L90" s="26" t="n">
        <f aca="false">IF(INDEX(Pengaturan!$B$8:$B$27,L$4)="",0,COUNTIF(Data!$B90:$U90,INDEX(Pengaturan!$B$8:$B$27,L$4)))</f>
        <v>0</v>
      </c>
      <c r="M90" s="26" t="n">
        <f aca="false">IF(INDEX(Pengaturan!$B$8:$B$27,M$4)="",0,COUNTIF(Data!$B90:$U90,INDEX(Pengaturan!$B$8:$B$27,M$4)))</f>
        <v>0</v>
      </c>
      <c r="N90" s="26" t="n">
        <f aca="false">IF(INDEX(Pengaturan!$B$8:$B$27,N$4)="",0,COUNTIF(Data!$B90:$U90,INDEX(Pengaturan!$B$8:$B$27,N$4)))</f>
        <v>0</v>
      </c>
      <c r="O90" s="26" t="n">
        <f aca="false">IF(INDEX(Pengaturan!$B$8:$B$27,O$4)="",0,COUNTIF(Data!$B90:$U90,INDEX(Pengaturan!$B$8:$B$27,O$4)))</f>
        <v>0</v>
      </c>
      <c r="P90" s="26" t="n">
        <f aca="false">IF(INDEX(Pengaturan!$B$8:$B$27,P$4)="",0,COUNTIF(Data!$B90:$U90,INDEX(Pengaturan!$B$8:$B$27,P$4)))</f>
        <v>0</v>
      </c>
      <c r="Q90" s="26" t="n">
        <f aca="false">IF(INDEX(Pengaturan!$B$8:$B$27,Q$4)="",0,COUNTIF(Data!$B90:$U90,INDEX(Pengaturan!$B$8:$B$27,Q$4)))</f>
        <v>0</v>
      </c>
      <c r="R90" s="26" t="n">
        <f aca="false">IF(INDEX(Pengaturan!$B$8:$B$27,R$4)="",0,COUNTIF(Data!$B90:$U90,INDEX(Pengaturan!$B$8:$B$27,R$4)))</f>
        <v>0</v>
      </c>
      <c r="S90" s="26" t="n">
        <f aca="false">IF(INDEX(Pengaturan!$B$8:$B$27,S$4)="",0,COUNTIF(Data!$B90:$U90,INDEX(Pengaturan!$B$8:$B$27,S$4)))</f>
        <v>0</v>
      </c>
      <c r="T90" s="26" t="n">
        <f aca="false">IF(INDEX(Pengaturan!$B$8:$B$27,T$4)="",0,COUNTIF(Data!$B90:$U90,INDEX(Pengaturan!$B$8:$B$27,T$4)))</f>
        <v>0</v>
      </c>
      <c r="U90" s="26" t="n">
        <f aca="false">IF(INDEX(Pengaturan!$B$8:$B$27,U$4)="",0,COUNTIF(Data!$B90:$U90,INDEX(Pengaturan!$B$8:$B$27,U$4)))</f>
        <v>0</v>
      </c>
      <c r="V90" s="26" t="n">
        <f aca="false">COUNTA(Data!$B90:$U90)</f>
        <v>0</v>
      </c>
      <c r="W90" s="27" t="str">
        <f aca="false">IF(V90=0,"",IF(V90&lt;&gt;Hasil!$C$4,"Data kosong/tidak lengkap",IF(SUM(B90:U90)&lt;&gt;V90,"Kategori tidak dikenal","OK")))</f>
        <v/>
      </c>
      <c r="X90" s="26" t="n">
        <f aca="false">IF(OR(W90="",W90="OK"),0,1)</f>
        <v>0</v>
      </c>
    </row>
    <row r="91" customFormat="false" ht="15" hidden="false" customHeight="false" outlineLevel="0" collapsed="false">
      <c r="A91" s="26" t="n">
        <f aca="false">Data!A91</f>
        <v>86</v>
      </c>
      <c r="B91" s="26" t="n">
        <f aca="false">IF(INDEX(Pengaturan!$B$8:$B$27,B$4)="",0,COUNTIF(Data!$B91:$U91,INDEX(Pengaturan!$B$8:$B$27,B$4)))</f>
        <v>0</v>
      </c>
      <c r="C91" s="26" t="n">
        <f aca="false">IF(INDEX(Pengaturan!$B$8:$B$27,C$4)="",0,COUNTIF(Data!$B91:$U91,INDEX(Pengaturan!$B$8:$B$27,C$4)))</f>
        <v>0</v>
      </c>
      <c r="D91" s="26" t="n">
        <f aca="false">IF(INDEX(Pengaturan!$B$8:$B$27,D$4)="",0,COUNTIF(Data!$B91:$U91,INDEX(Pengaturan!$B$8:$B$27,D$4)))</f>
        <v>0</v>
      </c>
      <c r="E91" s="26" t="n">
        <f aca="false">IF(INDEX(Pengaturan!$B$8:$B$27,E$4)="",0,COUNTIF(Data!$B91:$U91,INDEX(Pengaturan!$B$8:$B$27,E$4)))</f>
        <v>0</v>
      </c>
      <c r="F91" s="26" t="n">
        <f aca="false">IF(INDEX(Pengaturan!$B$8:$B$27,F$4)="",0,COUNTIF(Data!$B91:$U91,INDEX(Pengaturan!$B$8:$B$27,F$4)))</f>
        <v>0</v>
      </c>
      <c r="G91" s="26" t="n">
        <f aca="false">IF(INDEX(Pengaturan!$B$8:$B$27,G$4)="",0,COUNTIF(Data!$B91:$U91,INDEX(Pengaturan!$B$8:$B$27,G$4)))</f>
        <v>0</v>
      </c>
      <c r="H91" s="26" t="n">
        <f aca="false">IF(INDEX(Pengaturan!$B$8:$B$27,H$4)="",0,COUNTIF(Data!$B91:$U91,INDEX(Pengaturan!$B$8:$B$27,H$4)))</f>
        <v>0</v>
      </c>
      <c r="I91" s="26" t="n">
        <f aca="false">IF(INDEX(Pengaturan!$B$8:$B$27,I$4)="",0,COUNTIF(Data!$B91:$U91,INDEX(Pengaturan!$B$8:$B$27,I$4)))</f>
        <v>0</v>
      </c>
      <c r="J91" s="26" t="n">
        <f aca="false">IF(INDEX(Pengaturan!$B$8:$B$27,J$4)="",0,COUNTIF(Data!$B91:$U91,INDEX(Pengaturan!$B$8:$B$27,J$4)))</f>
        <v>0</v>
      </c>
      <c r="K91" s="26" t="n">
        <f aca="false">IF(INDEX(Pengaturan!$B$8:$B$27,K$4)="",0,COUNTIF(Data!$B91:$U91,INDEX(Pengaturan!$B$8:$B$27,K$4)))</f>
        <v>0</v>
      </c>
      <c r="L91" s="26" t="n">
        <f aca="false">IF(INDEX(Pengaturan!$B$8:$B$27,L$4)="",0,COUNTIF(Data!$B91:$U91,INDEX(Pengaturan!$B$8:$B$27,L$4)))</f>
        <v>0</v>
      </c>
      <c r="M91" s="26" t="n">
        <f aca="false">IF(INDEX(Pengaturan!$B$8:$B$27,M$4)="",0,COUNTIF(Data!$B91:$U91,INDEX(Pengaturan!$B$8:$B$27,M$4)))</f>
        <v>0</v>
      </c>
      <c r="N91" s="26" t="n">
        <f aca="false">IF(INDEX(Pengaturan!$B$8:$B$27,N$4)="",0,COUNTIF(Data!$B91:$U91,INDEX(Pengaturan!$B$8:$B$27,N$4)))</f>
        <v>0</v>
      </c>
      <c r="O91" s="26" t="n">
        <f aca="false">IF(INDEX(Pengaturan!$B$8:$B$27,O$4)="",0,COUNTIF(Data!$B91:$U91,INDEX(Pengaturan!$B$8:$B$27,O$4)))</f>
        <v>0</v>
      </c>
      <c r="P91" s="26" t="n">
        <f aca="false">IF(INDEX(Pengaturan!$B$8:$B$27,P$4)="",0,COUNTIF(Data!$B91:$U91,INDEX(Pengaturan!$B$8:$B$27,P$4)))</f>
        <v>0</v>
      </c>
      <c r="Q91" s="26" t="n">
        <f aca="false">IF(INDEX(Pengaturan!$B$8:$B$27,Q$4)="",0,COUNTIF(Data!$B91:$U91,INDEX(Pengaturan!$B$8:$B$27,Q$4)))</f>
        <v>0</v>
      </c>
      <c r="R91" s="26" t="n">
        <f aca="false">IF(INDEX(Pengaturan!$B$8:$B$27,R$4)="",0,COUNTIF(Data!$B91:$U91,INDEX(Pengaturan!$B$8:$B$27,R$4)))</f>
        <v>0</v>
      </c>
      <c r="S91" s="26" t="n">
        <f aca="false">IF(INDEX(Pengaturan!$B$8:$B$27,S$4)="",0,COUNTIF(Data!$B91:$U91,INDEX(Pengaturan!$B$8:$B$27,S$4)))</f>
        <v>0</v>
      </c>
      <c r="T91" s="26" t="n">
        <f aca="false">IF(INDEX(Pengaturan!$B$8:$B$27,T$4)="",0,COUNTIF(Data!$B91:$U91,INDEX(Pengaturan!$B$8:$B$27,T$4)))</f>
        <v>0</v>
      </c>
      <c r="U91" s="26" t="n">
        <f aca="false">IF(INDEX(Pengaturan!$B$8:$B$27,U$4)="",0,COUNTIF(Data!$B91:$U91,INDEX(Pengaturan!$B$8:$B$27,U$4)))</f>
        <v>0</v>
      </c>
      <c r="V91" s="26" t="n">
        <f aca="false">COUNTA(Data!$B91:$U91)</f>
        <v>0</v>
      </c>
      <c r="W91" s="27" t="str">
        <f aca="false">IF(V91=0,"",IF(V91&lt;&gt;Hasil!$C$4,"Data kosong/tidak lengkap",IF(SUM(B91:U91)&lt;&gt;V91,"Kategori tidak dikenal","OK")))</f>
        <v/>
      </c>
      <c r="X91" s="26" t="n">
        <f aca="false">IF(OR(W91="",W91="OK"),0,1)</f>
        <v>0</v>
      </c>
    </row>
    <row r="92" customFormat="false" ht="15" hidden="false" customHeight="false" outlineLevel="0" collapsed="false">
      <c r="A92" s="26" t="n">
        <f aca="false">Data!A92</f>
        <v>87</v>
      </c>
      <c r="B92" s="26" t="n">
        <f aca="false">IF(INDEX(Pengaturan!$B$8:$B$27,B$4)="",0,COUNTIF(Data!$B92:$U92,INDEX(Pengaturan!$B$8:$B$27,B$4)))</f>
        <v>0</v>
      </c>
      <c r="C92" s="26" t="n">
        <f aca="false">IF(INDEX(Pengaturan!$B$8:$B$27,C$4)="",0,COUNTIF(Data!$B92:$U92,INDEX(Pengaturan!$B$8:$B$27,C$4)))</f>
        <v>0</v>
      </c>
      <c r="D92" s="26" t="n">
        <f aca="false">IF(INDEX(Pengaturan!$B$8:$B$27,D$4)="",0,COUNTIF(Data!$B92:$U92,INDEX(Pengaturan!$B$8:$B$27,D$4)))</f>
        <v>0</v>
      </c>
      <c r="E92" s="26" t="n">
        <f aca="false">IF(INDEX(Pengaturan!$B$8:$B$27,E$4)="",0,COUNTIF(Data!$B92:$U92,INDEX(Pengaturan!$B$8:$B$27,E$4)))</f>
        <v>0</v>
      </c>
      <c r="F92" s="26" t="n">
        <f aca="false">IF(INDEX(Pengaturan!$B$8:$B$27,F$4)="",0,COUNTIF(Data!$B92:$U92,INDEX(Pengaturan!$B$8:$B$27,F$4)))</f>
        <v>0</v>
      </c>
      <c r="G92" s="26" t="n">
        <f aca="false">IF(INDEX(Pengaturan!$B$8:$B$27,G$4)="",0,COUNTIF(Data!$B92:$U92,INDEX(Pengaturan!$B$8:$B$27,G$4)))</f>
        <v>0</v>
      </c>
      <c r="H92" s="26" t="n">
        <f aca="false">IF(INDEX(Pengaturan!$B$8:$B$27,H$4)="",0,COUNTIF(Data!$B92:$U92,INDEX(Pengaturan!$B$8:$B$27,H$4)))</f>
        <v>0</v>
      </c>
      <c r="I92" s="26" t="n">
        <f aca="false">IF(INDEX(Pengaturan!$B$8:$B$27,I$4)="",0,COUNTIF(Data!$B92:$U92,INDEX(Pengaturan!$B$8:$B$27,I$4)))</f>
        <v>0</v>
      </c>
      <c r="J92" s="26" t="n">
        <f aca="false">IF(INDEX(Pengaturan!$B$8:$B$27,J$4)="",0,COUNTIF(Data!$B92:$U92,INDEX(Pengaturan!$B$8:$B$27,J$4)))</f>
        <v>0</v>
      </c>
      <c r="K92" s="26" t="n">
        <f aca="false">IF(INDEX(Pengaturan!$B$8:$B$27,K$4)="",0,COUNTIF(Data!$B92:$U92,INDEX(Pengaturan!$B$8:$B$27,K$4)))</f>
        <v>0</v>
      </c>
      <c r="L92" s="26" t="n">
        <f aca="false">IF(INDEX(Pengaturan!$B$8:$B$27,L$4)="",0,COUNTIF(Data!$B92:$U92,INDEX(Pengaturan!$B$8:$B$27,L$4)))</f>
        <v>0</v>
      </c>
      <c r="M92" s="26" t="n">
        <f aca="false">IF(INDEX(Pengaturan!$B$8:$B$27,M$4)="",0,COUNTIF(Data!$B92:$U92,INDEX(Pengaturan!$B$8:$B$27,M$4)))</f>
        <v>0</v>
      </c>
      <c r="N92" s="26" t="n">
        <f aca="false">IF(INDEX(Pengaturan!$B$8:$B$27,N$4)="",0,COUNTIF(Data!$B92:$U92,INDEX(Pengaturan!$B$8:$B$27,N$4)))</f>
        <v>0</v>
      </c>
      <c r="O92" s="26" t="n">
        <f aca="false">IF(INDEX(Pengaturan!$B$8:$B$27,O$4)="",0,COUNTIF(Data!$B92:$U92,INDEX(Pengaturan!$B$8:$B$27,O$4)))</f>
        <v>0</v>
      </c>
      <c r="P92" s="26" t="n">
        <f aca="false">IF(INDEX(Pengaturan!$B$8:$B$27,P$4)="",0,COUNTIF(Data!$B92:$U92,INDEX(Pengaturan!$B$8:$B$27,P$4)))</f>
        <v>0</v>
      </c>
      <c r="Q92" s="26" t="n">
        <f aca="false">IF(INDEX(Pengaturan!$B$8:$B$27,Q$4)="",0,COUNTIF(Data!$B92:$U92,INDEX(Pengaturan!$B$8:$B$27,Q$4)))</f>
        <v>0</v>
      </c>
      <c r="R92" s="26" t="n">
        <f aca="false">IF(INDEX(Pengaturan!$B$8:$B$27,R$4)="",0,COUNTIF(Data!$B92:$U92,INDEX(Pengaturan!$B$8:$B$27,R$4)))</f>
        <v>0</v>
      </c>
      <c r="S92" s="26" t="n">
        <f aca="false">IF(INDEX(Pengaturan!$B$8:$B$27,S$4)="",0,COUNTIF(Data!$B92:$U92,INDEX(Pengaturan!$B$8:$B$27,S$4)))</f>
        <v>0</v>
      </c>
      <c r="T92" s="26" t="n">
        <f aca="false">IF(INDEX(Pengaturan!$B$8:$B$27,T$4)="",0,COUNTIF(Data!$B92:$U92,INDEX(Pengaturan!$B$8:$B$27,T$4)))</f>
        <v>0</v>
      </c>
      <c r="U92" s="26" t="n">
        <f aca="false">IF(INDEX(Pengaturan!$B$8:$B$27,U$4)="",0,COUNTIF(Data!$B92:$U92,INDEX(Pengaturan!$B$8:$B$27,U$4)))</f>
        <v>0</v>
      </c>
      <c r="V92" s="26" t="n">
        <f aca="false">COUNTA(Data!$B92:$U92)</f>
        <v>0</v>
      </c>
      <c r="W92" s="27" t="str">
        <f aca="false">IF(V92=0,"",IF(V92&lt;&gt;Hasil!$C$4,"Data kosong/tidak lengkap",IF(SUM(B92:U92)&lt;&gt;V92,"Kategori tidak dikenal","OK")))</f>
        <v/>
      </c>
      <c r="X92" s="26" t="n">
        <f aca="false">IF(OR(W92="",W92="OK"),0,1)</f>
        <v>0</v>
      </c>
    </row>
    <row r="93" customFormat="false" ht="15" hidden="false" customHeight="false" outlineLevel="0" collapsed="false">
      <c r="A93" s="26" t="n">
        <f aca="false">Data!A93</f>
        <v>88</v>
      </c>
      <c r="B93" s="26" t="n">
        <f aca="false">IF(INDEX(Pengaturan!$B$8:$B$27,B$4)="",0,COUNTIF(Data!$B93:$U93,INDEX(Pengaturan!$B$8:$B$27,B$4)))</f>
        <v>0</v>
      </c>
      <c r="C93" s="26" t="n">
        <f aca="false">IF(INDEX(Pengaturan!$B$8:$B$27,C$4)="",0,COUNTIF(Data!$B93:$U93,INDEX(Pengaturan!$B$8:$B$27,C$4)))</f>
        <v>0</v>
      </c>
      <c r="D93" s="26" t="n">
        <f aca="false">IF(INDEX(Pengaturan!$B$8:$B$27,D$4)="",0,COUNTIF(Data!$B93:$U93,INDEX(Pengaturan!$B$8:$B$27,D$4)))</f>
        <v>0</v>
      </c>
      <c r="E93" s="26" t="n">
        <f aca="false">IF(INDEX(Pengaturan!$B$8:$B$27,E$4)="",0,COUNTIF(Data!$B93:$U93,INDEX(Pengaturan!$B$8:$B$27,E$4)))</f>
        <v>0</v>
      </c>
      <c r="F93" s="26" t="n">
        <f aca="false">IF(INDEX(Pengaturan!$B$8:$B$27,F$4)="",0,COUNTIF(Data!$B93:$U93,INDEX(Pengaturan!$B$8:$B$27,F$4)))</f>
        <v>0</v>
      </c>
      <c r="G93" s="26" t="n">
        <f aca="false">IF(INDEX(Pengaturan!$B$8:$B$27,G$4)="",0,COUNTIF(Data!$B93:$U93,INDEX(Pengaturan!$B$8:$B$27,G$4)))</f>
        <v>0</v>
      </c>
      <c r="H93" s="26" t="n">
        <f aca="false">IF(INDEX(Pengaturan!$B$8:$B$27,H$4)="",0,COUNTIF(Data!$B93:$U93,INDEX(Pengaturan!$B$8:$B$27,H$4)))</f>
        <v>0</v>
      </c>
      <c r="I93" s="26" t="n">
        <f aca="false">IF(INDEX(Pengaturan!$B$8:$B$27,I$4)="",0,COUNTIF(Data!$B93:$U93,INDEX(Pengaturan!$B$8:$B$27,I$4)))</f>
        <v>0</v>
      </c>
      <c r="J93" s="26" t="n">
        <f aca="false">IF(INDEX(Pengaturan!$B$8:$B$27,J$4)="",0,COUNTIF(Data!$B93:$U93,INDEX(Pengaturan!$B$8:$B$27,J$4)))</f>
        <v>0</v>
      </c>
      <c r="K93" s="26" t="n">
        <f aca="false">IF(INDEX(Pengaturan!$B$8:$B$27,K$4)="",0,COUNTIF(Data!$B93:$U93,INDEX(Pengaturan!$B$8:$B$27,K$4)))</f>
        <v>0</v>
      </c>
      <c r="L93" s="26" t="n">
        <f aca="false">IF(INDEX(Pengaturan!$B$8:$B$27,L$4)="",0,COUNTIF(Data!$B93:$U93,INDEX(Pengaturan!$B$8:$B$27,L$4)))</f>
        <v>0</v>
      </c>
      <c r="M93" s="26" t="n">
        <f aca="false">IF(INDEX(Pengaturan!$B$8:$B$27,M$4)="",0,COUNTIF(Data!$B93:$U93,INDEX(Pengaturan!$B$8:$B$27,M$4)))</f>
        <v>0</v>
      </c>
      <c r="N93" s="26" t="n">
        <f aca="false">IF(INDEX(Pengaturan!$B$8:$B$27,N$4)="",0,COUNTIF(Data!$B93:$U93,INDEX(Pengaturan!$B$8:$B$27,N$4)))</f>
        <v>0</v>
      </c>
      <c r="O93" s="26" t="n">
        <f aca="false">IF(INDEX(Pengaturan!$B$8:$B$27,O$4)="",0,COUNTIF(Data!$B93:$U93,INDEX(Pengaturan!$B$8:$B$27,O$4)))</f>
        <v>0</v>
      </c>
      <c r="P93" s="26" t="n">
        <f aca="false">IF(INDEX(Pengaturan!$B$8:$B$27,P$4)="",0,COUNTIF(Data!$B93:$U93,INDEX(Pengaturan!$B$8:$B$27,P$4)))</f>
        <v>0</v>
      </c>
      <c r="Q93" s="26" t="n">
        <f aca="false">IF(INDEX(Pengaturan!$B$8:$B$27,Q$4)="",0,COUNTIF(Data!$B93:$U93,INDEX(Pengaturan!$B$8:$B$27,Q$4)))</f>
        <v>0</v>
      </c>
      <c r="R93" s="26" t="n">
        <f aca="false">IF(INDEX(Pengaturan!$B$8:$B$27,R$4)="",0,COUNTIF(Data!$B93:$U93,INDEX(Pengaturan!$B$8:$B$27,R$4)))</f>
        <v>0</v>
      </c>
      <c r="S93" s="26" t="n">
        <f aca="false">IF(INDEX(Pengaturan!$B$8:$B$27,S$4)="",0,COUNTIF(Data!$B93:$U93,INDEX(Pengaturan!$B$8:$B$27,S$4)))</f>
        <v>0</v>
      </c>
      <c r="T93" s="26" t="n">
        <f aca="false">IF(INDEX(Pengaturan!$B$8:$B$27,T$4)="",0,COUNTIF(Data!$B93:$U93,INDEX(Pengaturan!$B$8:$B$27,T$4)))</f>
        <v>0</v>
      </c>
      <c r="U93" s="26" t="n">
        <f aca="false">IF(INDEX(Pengaturan!$B$8:$B$27,U$4)="",0,COUNTIF(Data!$B93:$U93,INDEX(Pengaturan!$B$8:$B$27,U$4)))</f>
        <v>0</v>
      </c>
      <c r="V93" s="26" t="n">
        <f aca="false">COUNTA(Data!$B93:$U93)</f>
        <v>0</v>
      </c>
      <c r="W93" s="27" t="str">
        <f aca="false">IF(V93=0,"",IF(V93&lt;&gt;Hasil!$C$4,"Data kosong/tidak lengkap",IF(SUM(B93:U93)&lt;&gt;V93,"Kategori tidak dikenal","OK")))</f>
        <v/>
      </c>
      <c r="X93" s="26" t="n">
        <f aca="false">IF(OR(W93="",W93="OK"),0,1)</f>
        <v>0</v>
      </c>
    </row>
    <row r="94" customFormat="false" ht="15" hidden="false" customHeight="false" outlineLevel="0" collapsed="false">
      <c r="A94" s="26" t="n">
        <f aca="false">Data!A94</f>
        <v>89</v>
      </c>
      <c r="B94" s="26" t="n">
        <f aca="false">IF(INDEX(Pengaturan!$B$8:$B$27,B$4)="",0,COUNTIF(Data!$B94:$U94,INDEX(Pengaturan!$B$8:$B$27,B$4)))</f>
        <v>0</v>
      </c>
      <c r="C94" s="26" t="n">
        <f aca="false">IF(INDEX(Pengaturan!$B$8:$B$27,C$4)="",0,COUNTIF(Data!$B94:$U94,INDEX(Pengaturan!$B$8:$B$27,C$4)))</f>
        <v>0</v>
      </c>
      <c r="D94" s="26" t="n">
        <f aca="false">IF(INDEX(Pengaturan!$B$8:$B$27,D$4)="",0,COUNTIF(Data!$B94:$U94,INDEX(Pengaturan!$B$8:$B$27,D$4)))</f>
        <v>0</v>
      </c>
      <c r="E94" s="26" t="n">
        <f aca="false">IF(INDEX(Pengaturan!$B$8:$B$27,E$4)="",0,COUNTIF(Data!$B94:$U94,INDEX(Pengaturan!$B$8:$B$27,E$4)))</f>
        <v>0</v>
      </c>
      <c r="F94" s="26" t="n">
        <f aca="false">IF(INDEX(Pengaturan!$B$8:$B$27,F$4)="",0,COUNTIF(Data!$B94:$U94,INDEX(Pengaturan!$B$8:$B$27,F$4)))</f>
        <v>0</v>
      </c>
      <c r="G94" s="26" t="n">
        <f aca="false">IF(INDEX(Pengaturan!$B$8:$B$27,G$4)="",0,COUNTIF(Data!$B94:$U94,INDEX(Pengaturan!$B$8:$B$27,G$4)))</f>
        <v>0</v>
      </c>
      <c r="H94" s="26" t="n">
        <f aca="false">IF(INDEX(Pengaturan!$B$8:$B$27,H$4)="",0,COUNTIF(Data!$B94:$U94,INDEX(Pengaturan!$B$8:$B$27,H$4)))</f>
        <v>0</v>
      </c>
      <c r="I94" s="26" t="n">
        <f aca="false">IF(INDEX(Pengaturan!$B$8:$B$27,I$4)="",0,COUNTIF(Data!$B94:$U94,INDEX(Pengaturan!$B$8:$B$27,I$4)))</f>
        <v>0</v>
      </c>
      <c r="J94" s="26" t="n">
        <f aca="false">IF(INDEX(Pengaturan!$B$8:$B$27,J$4)="",0,COUNTIF(Data!$B94:$U94,INDEX(Pengaturan!$B$8:$B$27,J$4)))</f>
        <v>0</v>
      </c>
      <c r="K94" s="26" t="n">
        <f aca="false">IF(INDEX(Pengaturan!$B$8:$B$27,K$4)="",0,COUNTIF(Data!$B94:$U94,INDEX(Pengaturan!$B$8:$B$27,K$4)))</f>
        <v>0</v>
      </c>
      <c r="L94" s="26" t="n">
        <f aca="false">IF(INDEX(Pengaturan!$B$8:$B$27,L$4)="",0,COUNTIF(Data!$B94:$U94,INDEX(Pengaturan!$B$8:$B$27,L$4)))</f>
        <v>0</v>
      </c>
      <c r="M94" s="26" t="n">
        <f aca="false">IF(INDEX(Pengaturan!$B$8:$B$27,M$4)="",0,COUNTIF(Data!$B94:$U94,INDEX(Pengaturan!$B$8:$B$27,M$4)))</f>
        <v>0</v>
      </c>
      <c r="N94" s="26" t="n">
        <f aca="false">IF(INDEX(Pengaturan!$B$8:$B$27,N$4)="",0,COUNTIF(Data!$B94:$U94,INDEX(Pengaturan!$B$8:$B$27,N$4)))</f>
        <v>0</v>
      </c>
      <c r="O94" s="26" t="n">
        <f aca="false">IF(INDEX(Pengaturan!$B$8:$B$27,O$4)="",0,COUNTIF(Data!$B94:$U94,INDEX(Pengaturan!$B$8:$B$27,O$4)))</f>
        <v>0</v>
      </c>
      <c r="P94" s="26" t="n">
        <f aca="false">IF(INDEX(Pengaturan!$B$8:$B$27,P$4)="",0,COUNTIF(Data!$B94:$U94,INDEX(Pengaturan!$B$8:$B$27,P$4)))</f>
        <v>0</v>
      </c>
      <c r="Q94" s="26" t="n">
        <f aca="false">IF(INDEX(Pengaturan!$B$8:$B$27,Q$4)="",0,COUNTIF(Data!$B94:$U94,INDEX(Pengaturan!$B$8:$B$27,Q$4)))</f>
        <v>0</v>
      </c>
      <c r="R94" s="26" t="n">
        <f aca="false">IF(INDEX(Pengaturan!$B$8:$B$27,R$4)="",0,COUNTIF(Data!$B94:$U94,INDEX(Pengaturan!$B$8:$B$27,R$4)))</f>
        <v>0</v>
      </c>
      <c r="S94" s="26" t="n">
        <f aca="false">IF(INDEX(Pengaturan!$B$8:$B$27,S$4)="",0,COUNTIF(Data!$B94:$U94,INDEX(Pengaturan!$B$8:$B$27,S$4)))</f>
        <v>0</v>
      </c>
      <c r="T94" s="26" t="n">
        <f aca="false">IF(INDEX(Pengaturan!$B$8:$B$27,T$4)="",0,COUNTIF(Data!$B94:$U94,INDEX(Pengaturan!$B$8:$B$27,T$4)))</f>
        <v>0</v>
      </c>
      <c r="U94" s="26" t="n">
        <f aca="false">IF(INDEX(Pengaturan!$B$8:$B$27,U$4)="",0,COUNTIF(Data!$B94:$U94,INDEX(Pengaturan!$B$8:$B$27,U$4)))</f>
        <v>0</v>
      </c>
      <c r="V94" s="26" t="n">
        <f aca="false">COUNTA(Data!$B94:$U94)</f>
        <v>0</v>
      </c>
      <c r="W94" s="27" t="str">
        <f aca="false">IF(V94=0,"",IF(V94&lt;&gt;Hasil!$C$4,"Data kosong/tidak lengkap",IF(SUM(B94:U94)&lt;&gt;V94,"Kategori tidak dikenal","OK")))</f>
        <v/>
      </c>
      <c r="X94" s="26" t="n">
        <f aca="false">IF(OR(W94="",W94="OK"),0,1)</f>
        <v>0</v>
      </c>
    </row>
    <row r="95" customFormat="false" ht="15" hidden="false" customHeight="false" outlineLevel="0" collapsed="false">
      <c r="A95" s="26" t="n">
        <f aca="false">Data!A95</f>
        <v>90</v>
      </c>
      <c r="B95" s="26" t="n">
        <f aca="false">IF(INDEX(Pengaturan!$B$8:$B$27,B$4)="",0,COUNTIF(Data!$B95:$U95,INDEX(Pengaturan!$B$8:$B$27,B$4)))</f>
        <v>0</v>
      </c>
      <c r="C95" s="26" t="n">
        <f aca="false">IF(INDEX(Pengaturan!$B$8:$B$27,C$4)="",0,COUNTIF(Data!$B95:$U95,INDEX(Pengaturan!$B$8:$B$27,C$4)))</f>
        <v>0</v>
      </c>
      <c r="D95" s="26" t="n">
        <f aca="false">IF(INDEX(Pengaturan!$B$8:$B$27,D$4)="",0,COUNTIF(Data!$B95:$U95,INDEX(Pengaturan!$B$8:$B$27,D$4)))</f>
        <v>0</v>
      </c>
      <c r="E95" s="26" t="n">
        <f aca="false">IF(INDEX(Pengaturan!$B$8:$B$27,E$4)="",0,COUNTIF(Data!$B95:$U95,INDEX(Pengaturan!$B$8:$B$27,E$4)))</f>
        <v>0</v>
      </c>
      <c r="F95" s="26" t="n">
        <f aca="false">IF(INDEX(Pengaturan!$B$8:$B$27,F$4)="",0,COUNTIF(Data!$B95:$U95,INDEX(Pengaturan!$B$8:$B$27,F$4)))</f>
        <v>0</v>
      </c>
      <c r="G95" s="26" t="n">
        <f aca="false">IF(INDEX(Pengaturan!$B$8:$B$27,G$4)="",0,COUNTIF(Data!$B95:$U95,INDEX(Pengaturan!$B$8:$B$27,G$4)))</f>
        <v>0</v>
      </c>
      <c r="H95" s="26" t="n">
        <f aca="false">IF(INDEX(Pengaturan!$B$8:$B$27,H$4)="",0,COUNTIF(Data!$B95:$U95,INDEX(Pengaturan!$B$8:$B$27,H$4)))</f>
        <v>0</v>
      </c>
      <c r="I95" s="26" t="n">
        <f aca="false">IF(INDEX(Pengaturan!$B$8:$B$27,I$4)="",0,COUNTIF(Data!$B95:$U95,INDEX(Pengaturan!$B$8:$B$27,I$4)))</f>
        <v>0</v>
      </c>
      <c r="J95" s="26" t="n">
        <f aca="false">IF(INDEX(Pengaturan!$B$8:$B$27,J$4)="",0,COUNTIF(Data!$B95:$U95,INDEX(Pengaturan!$B$8:$B$27,J$4)))</f>
        <v>0</v>
      </c>
      <c r="K95" s="26" t="n">
        <f aca="false">IF(INDEX(Pengaturan!$B$8:$B$27,K$4)="",0,COUNTIF(Data!$B95:$U95,INDEX(Pengaturan!$B$8:$B$27,K$4)))</f>
        <v>0</v>
      </c>
      <c r="L95" s="26" t="n">
        <f aca="false">IF(INDEX(Pengaturan!$B$8:$B$27,L$4)="",0,COUNTIF(Data!$B95:$U95,INDEX(Pengaturan!$B$8:$B$27,L$4)))</f>
        <v>0</v>
      </c>
      <c r="M95" s="26" t="n">
        <f aca="false">IF(INDEX(Pengaturan!$B$8:$B$27,M$4)="",0,COUNTIF(Data!$B95:$U95,INDEX(Pengaturan!$B$8:$B$27,M$4)))</f>
        <v>0</v>
      </c>
      <c r="N95" s="26" t="n">
        <f aca="false">IF(INDEX(Pengaturan!$B$8:$B$27,N$4)="",0,COUNTIF(Data!$B95:$U95,INDEX(Pengaturan!$B$8:$B$27,N$4)))</f>
        <v>0</v>
      </c>
      <c r="O95" s="26" t="n">
        <f aca="false">IF(INDEX(Pengaturan!$B$8:$B$27,O$4)="",0,COUNTIF(Data!$B95:$U95,INDEX(Pengaturan!$B$8:$B$27,O$4)))</f>
        <v>0</v>
      </c>
      <c r="P95" s="26" t="n">
        <f aca="false">IF(INDEX(Pengaturan!$B$8:$B$27,P$4)="",0,COUNTIF(Data!$B95:$U95,INDEX(Pengaturan!$B$8:$B$27,P$4)))</f>
        <v>0</v>
      </c>
      <c r="Q95" s="26" t="n">
        <f aca="false">IF(INDEX(Pengaturan!$B$8:$B$27,Q$4)="",0,COUNTIF(Data!$B95:$U95,INDEX(Pengaturan!$B$8:$B$27,Q$4)))</f>
        <v>0</v>
      </c>
      <c r="R95" s="26" t="n">
        <f aca="false">IF(INDEX(Pengaturan!$B$8:$B$27,R$4)="",0,COUNTIF(Data!$B95:$U95,INDEX(Pengaturan!$B$8:$B$27,R$4)))</f>
        <v>0</v>
      </c>
      <c r="S95" s="26" t="n">
        <f aca="false">IF(INDEX(Pengaturan!$B$8:$B$27,S$4)="",0,COUNTIF(Data!$B95:$U95,INDEX(Pengaturan!$B$8:$B$27,S$4)))</f>
        <v>0</v>
      </c>
      <c r="T95" s="26" t="n">
        <f aca="false">IF(INDEX(Pengaturan!$B$8:$B$27,T$4)="",0,COUNTIF(Data!$B95:$U95,INDEX(Pengaturan!$B$8:$B$27,T$4)))</f>
        <v>0</v>
      </c>
      <c r="U95" s="26" t="n">
        <f aca="false">IF(INDEX(Pengaturan!$B$8:$B$27,U$4)="",0,COUNTIF(Data!$B95:$U95,INDEX(Pengaturan!$B$8:$B$27,U$4)))</f>
        <v>0</v>
      </c>
      <c r="V95" s="26" t="n">
        <f aca="false">COUNTA(Data!$B95:$U95)</f>
        <v>0</v>
      </c>
      <c r="W95" s="27" t="str">
        <f aca="false">IF(V95=0,"",IF(V95&lt;&gt;Hasil!$C$4,"Data kosong/tidak lengkap",IF(SUM(B95:U95)&lt;&gt;V95,"Kategori tidak dikenal","OK")))</f>
        <v/>
      </c>
      <c r="X95" s="26" t="n">
        <f aca="false">IF(OR(W95="",W95="OK"),0,1)</f>
        <v>0</v>
      </c>
    </row>
    <row r="96" customFormat="false" ht="15" hidden="false" customHeight="false" outlineLevel="0" collapsed="false">
      <c r="A96" s="26" t="n">
        <f aca="false">Data!A96</f>
        <v>91</v>
      </c>
      <c r="B96" s="26" t="n">
        <f aca="false">IF(INDEX(Pengaturan!$B$8:$B$27,B$4)="",0,COUNTIF(Data!$B96:$U96,INDEX(Pengaturan!$B$8:$B$27,B$4)))</f>
        <v>0</v>
      </c>
      <c r="C96" s="26" t="n">
        <f aca="false">IF(INDEX(Pengaturan!$B$8:$B$27,C$4)="",0,COUNTIF(Data!$B96:$U96,INDEX(Pengaturan!$B$8:$B$27,C$4)))</f>
        <v>0</v>
      </c>
      <c r="D96" s="26" t="n">
        <f aca="false">IF(INDEX(Pengaturan!$B$8:$B$27,D$4)="",0,COUNTIF(Data!$B96:$U96,INDEX(Pengaturan!$B$8:$B$27,D$4)))</f>
        <v>0</v>
      </c>
      <c r="E96" s="26" t="n">
        <f aca="false">IF(INDEX(Pengaturan!$B$8:$B$27,E$4)="",0,COUNTIF(Data!$B96:$U96,INDEX(Pengaturan!$B$8:$B$27,E$4)))</f>
        <v>0</v>
      </c>
      <c r="F96" s="26" t="n">
        <f aca="false">IF(INDEX(Pengaturan!$B$8:$B$27,F$4)="",0,COUNTIF(Data!$B96:$U96,INDEX(Pengaturan!$B$8:$B$27,F$4)))</f>
        <v>0</v>
      </c>
      <c r="G96" s="26" t="n">
        <f aca="false">IF(INDEX(Pengaturan!$B$8:$B$27,G$4)="",0,COUNTIF(Data!$B96:$U96,INDEX(Pengaturan!$B$8:$B$27,G$4)))</f>
        <v>0</v>
      </c>
      <c r="H96" s="26" t="n">
        <f aca="false">IF(INDEX(Pengaturan!$B$8:$B$27,H$4)="",0,COUNTIF(Data!$B96:$U96,INDEX(Pengaturan!$B$8:$B$27,H$4)))</f>
        <v>0</v>
      </c>
      <c r="I96" s="26" t="n">
        <f aca="false">IF(INDEX(Pengaturan!$B$8:$B$27,I$4)="",0,COUNTIF(Data!$B96:$U96,INDEX(Pengaturan!$B$8:$B$27,I$4)))</f>
        <v>0</v>
      </c>
      <c r="J96" s="26" t="n">
        <f aca="false">IF(INDEX(Pengaturan!$B$8:$B$27,J$4)="",0,COUNTIF(Data!$B96:$U96,INDEX(Pengaturan!$B$8:$B$27,J$4)))</f>
        <v>0</v>
      </c>
      <c r="K96" s="26" t="n">
        <f aca="false">IF(INDEX(Pengaturan!$B$8:$B$27,K$4)="",0,COUNTIF(Data!$B96:$U96,INDEX(Pengaturan!$B$8:$B$27,K$4)))</f>
        <v>0</v>
      </c>
      <c r="L96" s="26" t="n">
        <f aca="false">IF(INDEX(Pengaturan!$B$8:$B$27,L$4)="",0,COUNTIF(Data!$B96:$U96,INDEX(Pengaturan!$B$8:$B$27,L$4)))</f>
        <v>0</v>
      </c>
      <c r="M96" s="26" t="n">
        <f aca="false">IF(INDEX(Pengaturan!$B$8:$B$27,M$4)="",0,COUNTIF(Data!$B96:$U96,INDEX(Pengaturan!$B$8:$B$27,M$4)))</f>
        <v>0</v>
      </c>
      <c r="N96" s="26" t="n">
        <f aca="false">IF(INDEX(Pengaturan!$B$8:$B$27,N$4)="",0,COUNTIF(Data!$B96:$U96,INDEX(Pengaturan!$B$8:$B$27,N$4)))</f>
        <v>0</v>
      </c>
      <c r="O96" s="26" t="n">
        <f aca="false">IF(INDEX(Pengaturan!$B$8:$B$27,O$4)="",0,COUNTIF(Data!$B96:$U96,INDEX(Pengaturan!$B$8:$B$27,O$4)))</f>
        <v>0</v>
      </c>
      <c r="P96" s="26" t="n">
        <f aca="false">IF(INDEX(Pengaturan!$B$8:$B$27,P$4)="",0,COUNTIF(Data!$B96:$U96,INDEX(Pengaturan!$B$8:$B$27,P$4)))</f>
        <v>0</v>
      </c>
      <c r="Q96" s="26" t="n">
        <f aca="false">IF(INDEX(Pengaturan!$B$8:$B$27,Q$4)="",0,COUNTIF(Data!$B96:$U96,INDEX(Pengaturan!$B$8:$B$27,Q$4)))</f>
        <v>0</v>
      </c>
      <c r="R96" s="26" t="n">
        <f aca="false">IF(INDEX(Pengaturan!$B$8:$B$27,R$4)="",0,COUNTIF(Data!$B96:$U96,INDEX(Pengaturan!$B$8:$B$27,R$4)))</f>
        <v>0</v>
      </c>
      <c r="S96" s="26" t="n">
        <f aca="false">IF(INDEX(Pengaturan!$B$8:$B$27,S$4)="",0,COUNTIF(Data!$B96:$U96,INDEX(Pengaturan!$B$8:$B$27,S$4)))</f>
        <v>0</v>
      </c>
      <c r="T96" s="26" t="n">
        <f aca="false">IF(INDEX(Pengaturan!$B$8:$B$27,T$4)="",0,COUNTIF(Data!$B96:$U96,INDEX(Pengaturan!$B$8:$B$27,T$4)))</f>
        <v>0</v>
      </c>
      <c r="U96" s="26" t="n">
        <f aca="false">IF(INDEX(Pengaturan!$B$8:$B$27,U$4)="",0,COUNTIF(Data!$B96:$U96,INDEX(Pengaturan!$B$8:$B$27,U$4)))</f>
        <v>0</v>
      </c>
      <c r="V96" s="26" t="n">
        <f aca="false">COUNTA(Data!$B96:$U96)</f>
        <v>0</v>
      </c>
      <c r="W96" s="27" t="str">
        <f aca="false">IF(V96=0,"",IF(V96&lt;&gt;Hasil!$C$4,"Data kosong/tidak lengkap",IF(SUM(B96:U96)&lt;&gt;V96,"Kategori tidak dikenal","OK")))</f>
        <v/>
      </c>
      <c r="X96" s="26" t="n">
        <f aca="false">IF(OR(W96="",W96="OK"),0,1)</f>
        <v>0</v>
      </c>
    </row>
    <row r="97" customFormat="false" ht="15" hidden="false" customHeight="false" outlineLevel="0" collapsed="false">
      <c r="A97" s="26" t="n">
        <f aca="false">Data!A97</f>
        <v>92</v>
      </c>
      <c r="B97" s="26" t="n">
        <f aca="false">IF(INDEX(Pengaturan!$B$8:$B$27,B$4)="",0,COUNTIF(Data!$B97:$U97,INDEX(Pengaturan!$B$8:$B$27,B$4)))</f>
        <v>0</v>
      </c>
      <c r="C97" s="26" t="n">
        <f aca="false">IF(INDEX(Pengaturan!$B$8:$B$27,C$4)="",0,COUNTIF(Data!$B97:$U97,INDEX(Pengaturan!$B$8:$B$27,C$4)))</f>
        <v>0</v>
      </c>
      <c r="D97" s="26" t="n">
        <f aca="false">IF(INDEX(Pengaturan!$B$8:$B$27,D$4)="",0,COUNTIF(Data!$B97:$U97,INDEX(Pengaturan!$B$8:$B$27,D$4)))</f>
        <v>0</v>
      </c>
      <c r="E97" s="26" t="n">
        <f aca="false">IF(INDEX(Pengaturan!$B$8:$B$27,E$4)="",0,COUNTIF(Data!$B97:$U97,INDEX(Pengaturan!$B$8:$B$27,E$4)))</f>
        <v>0</v>
      </c>
      <c r="F97" s="26" t="n">
        <f aca="false">IF(INDEX(Pengaturan!$B$8:$B$27,F$4)="",0,COUNTIF(Data!$B97:$U97,INDEX(Pengaturan!$B$8:$B$27,F$4)))</f>
        <v>0</v>
      </c>
      <c r="G97" s="26" t="n">
        <f aca="false">IF(INDEX(Pengaturan!$B$8:$B$27,G$4)="",0,COUNTIF(Data!$B97:$U97,INDEX(Pengaturan!$B$8:$B$27,G$4)))</f>
        <v>0</v>
      </c>
      <c r="H97" s="26" t="n">
        <f aca="false">IF(INDEX(Pengaturan!$B$8:$B$27,H$4)="",0,COUNTIF(Data!$B97:$U97,INDEX(Pengaturan!$B$8:$B$27,H$4)))</f>
        <v>0</v>
      </c>
      <c r="I97" s="26" t="n">
        <f aca="false">IF(INDEX(Pengaturan!$B$8:$B$27,I$4)="",0,COUNTIF(Data!$B97:$U97,INDEX(Pengaturan!$B$8:$B$27,I$4)))</f>
        <v>0</v>
      </c>
      <c r="J97" s="26" t="n">
        <f aca="false">IF(INDEX(Pengaturan!$B$8:$B$27,J$4)="",0,COUNTIF(Data!$B97:$U97,INDEX(Pengaturan!$B$8:$B$27,J$4)))</f>
        <v>0</v>
      </c>
      <c r="K97" s="26" t="n">
        <f aca="false">IF(INDEX(Pengaturan!$B$8:$B$27,K$4)="",0,COUNTIF(Data!$B97:$U97,INDEX(Pengaturan!$B$8:$B$27,K$4)))</f>
        <v>0</v>
      </c>
      <c r="L97" s="26" t="n">
        <f aca="false">IF(INDEX(Pengaturan!$B$8:$B$27,L$4)="",0,COUNTIF(Data!$B97:$U97,INDEX(Pengaturan!$B$8:$B$27,L$4)))</f>
        <v>0</v>
      </c>
      <c r="M97" s="26" t="n">
        <f aca="false">IF(INDEX(Pengaturan!$B$8:$B$27,M$4)="",0,COUNTIF(Data!$B97:$U97,INDEX(Pengaturan!$B$8:$B$27,M$4)))</f>
        <v>0</v>
      </c>
      <c r="N97" s="26" t="n">
        <f aca="false">IF(INDEX(Pengaturan!$B$8:$B$27,N$4)="",0,COUNTIF(Data!$B97:$U97,INDEX(Pengaturan!$B$8:$B$27,N$4)))</f>
        <v>0</v>
      </c>
      <c r="O97" s="26" t="n">
        <f aca="false">IF(INDEX(Pengaturan!$B$8:$B$27,O$4)="",0,COUNTIF(Data!$B97:$U97,INDEX(Pengaturan!$B$8:$B$27,O$4)))</f>
        <v>0</v>
      </c>
      <c r="P97" s="26" t="n">
        <f aca="false">IF(INDEX(Pengaturan!$B$8:$B$27,P$4)="",0,COUNTIF(Data!$B97:$U97,INDEX(Pengaturan!$B$8:$B$27,P$4)))</f>
        <v>0</v>
      </c>
      <c r="Q97" s="26" t="n">
        <f aca="false">IF(INDEX(Pengaturan!$B$8:$B$27,Q$4)="",0,COUNTIF(Data!$B97:$U97,INDEX(Pengaturan!$B$8:$B$27,Q$4)))</f>
        <v>0</v>
      </c>
      <c r="R97" s="26" t="n">
        <f aca="false">IF(INDEX(Pengaturan!$B$8:$B$27,R$4)="",0,COUNTIF(Data!$B97:$U97,INDEX(Pengaturan!$B$8:$B$27,R$4)))</f>
        <v>0</v>
      </c>
      <c r="S97" s="26" t="n">
        <f aca="false">IF(INDEX(Pengaturan!$B$8:$B$27,S$4)="",0,COUNTIF(Data!$B97:$U97,INDEX(Pengaturan!$B$8:$B$27,S$4)))</f>
        <v>0</v>
      </c>
      <c r="T97" s="26" t="n">
        <f aca="false">IF(INDEX(Pengaturan!$B$8:$B$27,T$4)="",0,COUNTIF(Data!$B97:$U97,INDEX(Pengaturan!$B$8:$B$27,T$4)))</f>
        <v>0</v>
      </c>
      <c r="U97" s="26" t="n">
        <f aca="false">IF(INDEX(Pengaturan!$B$8:$B$27,U$4)="",0,COUNTIF(Data!$B97:$U97,INDEX(Pengaturan!$B$8:$B$27,U$4)))</f>
        <v>0</v>
      </c>
      <c r="V97" s="26" t="n">
        <f aca="false">COUNTA(Data!$B97:$U97)</f>
        <v>0</v>
      </c>
      <c r="W97" s="27" t="str">
        <f aca="false">IF(V97=0,"",IF(V97&lt;&gt;Hasil!$C$4,"Data kosong/tidak lengkap",IF(SUM(B97:U97)&lt;&gt;V97,"Kategori tidak dikenal","OK")))</f>
        <v/>
      </c>
      <c r="X97" s="26" t="n">
        <f aca="false">IF(OR(W97="",W97="OK"),0,1)</f>
        <v>0</v>
      </c>
    </row>
    <row r="98" customFormat="false" ht="15" hidden="false" customHeight="false" outlineLevel="0" collapsed="false">
      <c r="A98" s="26" t="n">
        <f aca="false">Data!A98</f>
        <v>93</v>
      </c>
      <c r="B98" s="26" t="n">
        <f aca="false">IF(INDEX(Pengaturan!$B$8:$B$27,B$4)="",0,COUNTIF(Data!$B98:$U98,INDEX(Pengaturan!$B$8:$B$27,B$4)))</f>
        <v>0</v>
      </c>
      <c r="C98" s="26" t="n">
        <f aca="false">IF(INDEX(Pengaturan!$B$8:$B$27,C$4)="",0,COUNTIF(Data!$B98:$U98,INDEX(Pengaturan!$B$8:$B$27,C$4)))</f>
        <v>0</v>
      </c>
      <c r="D98" s="26" t="n">
        <f aca="false">IF(INDEX(Pengaturan!$B$8:$B$27,D$4)="",0,COUNTIF(Data!$B98:$U98,INDEX(Pengaturan!$B$8:$B$27,D$4)))</f>
        <v>0</v>
      </c>
      <c r="E98" s="26" t="n">
        <f aca="false">IF(INDEX(Pengaturan!$B$8:$B$27,E$4)="",0,COUNTIF(Data!$B98:$U98,INDEX(Pengaturan!$B$8:$B$27,E$4)))</f>
        <v>0</v>
      </c>
      <c r="F98" s="26" t="n">
        <f aca="false">IF(INDEX(Pengaturan!$B$8:$B$27,F$4)="",0,COUNTIF(Data!$B98:$U98,INDEX(Pengaturan!$B$8:$B$27,F$4)))</f>
        <v>0</v>
      </c>
      <c r="G98" s="26" t="n">
        <f aca="false">IF(INDEX(Pengaturan!$B$8:$B$27,G$4)="",0,COUNTIF(Data!$B98:$U98,INDEX(Pengaturan!$B$8:$B$27,G$4)))</f>
        <v>0</v>
      </c>
      <c r="H98" s="26" t="n">
        <f aca="false">IF(INDEX(Pengaturan!$B$8:$B$27,H$4)="",0,COUNTIF(Data!$B98:$U98,INDEX(Pengaturan!$B$8:$B$27,H$4)))</f>
        <v>0</v>
      </c>
      <c r="I98" s="26" t="n">
        <f aca="false">IF(INDEX(Pengaturan!$B$8:$B$27,I$4)="",0,COUNTIF(Data!$B98:$U98,INDEX(Pengaturan!$B$8:$B$27,I$4)))</f>
        <v>0</v>
      </c>
      <c r="J98" s="26" t="n">
        <f aca="false">IF(INDEX(Pengaturan!$B$8:$B$27,J$4)="",0,COUNTIF(Data!$B98:$U98,INDEX(Pengaturan!$B$8:$B$27,J$4)))</f>
        <v>0</v>
      </c>
      <c r="K98" s="26" t="n">
        <f aca="false">IF(INDEX(Pengaturan!$B$8:$B$27,K$4)="",0,COUNTIF(Data!$B98:$U98,INDEX(Pengaturan!$B$8:$B$27,K$4)))</f>
        <v>0</v>
      </c>
      <c r="L98" s="26" t="n">
        <f aca="false">IF(INDEX(Pengaturan!$B$8:$B$27,L$4)="",0,COUNTIF(Data!$B98:$U98,INDEX(Pengaturan!$B$8:$B$27,L$4)))</f>
        <v>0</v>
      </c>
      <c r="M98" s="26" t="n">
        <f aca="false">IF(INDEX(Pengaturan!$B$8:$B$27,M$4)="",0,COUNTIF(Data!$B98:$U98,INDEX(Pengaturan!$B$8:$B$27,M$4)))</f>
        <v>0</v>
      </c>
      <c r="N98" s="26" t="n">
        <f aca="false">IF(INDEX(Pengaturan!$B$8:$B$27,N$4)="",0,COUNTIF(Data!$B98:$U98,INDEX(Pengaturan!$B$8:$B$27,N$4)))</f>
        <v>0</v>
      </c>
      <c r="O98" s="26" t="n">
        <f aca="false">IF(INDEX(Pengaturan!$B$8:$B$27,O$4)="",0,COUNTIF(Data!$B98:$U98,INDEX(Pengaturan!$B$8:$B$27,O$4)))</f>
        <v>0</v>
      </c>
      <c r="P98" s="26" t="n">
        <f aca="false">IF(INDEX(Pengaturan!$B$8:$B$27,P$4)="",0,COUNTIF(Data!$B98:$U98,INDEX(Pengaturan!$B$8:$B$27,P$4)))</f>
        <v>0</v>
      </c>
      <c r="Q98" s="26" t="n">
        <f aca="false">IF(INDEX(Pengaturan!$B$8:$B$27,Q$4)="",0,COUNTIF(Data!$B98:$U98,INDEX(Pengaturan!$B$8:$B$27,Q$4)))</f>
        <v>0</v>
      </c>
      <c r="R98" s="26" t="n">
        <f aca="false">IF(INDEX(Pengaturan!$B$8:$B$27,R$4)="",0,COUNTIF(Data!$B98:$U98,INDEX(Pengaturan!$B$8:$B$27,R$4)))</f>
        <v>0</v>
      </c>
      <c r="S98" s="26" t="n">
        <f aca="false">IF(INDEX(Pengaturan!$B$8:$B$27,S$4)="",0,COUNTIF(Data!$B98:$U98,INDEX(Pengaturan!$B$8:$B$27,S$4)))</f>
        <v>0</v>
      </c>
      <c r="T98" s="26" t="n">
        <f aca="false">IF(INDEX(Pengaturan!$B$8:$B$27,T$4)="",0,COUNTIF(Data!$B98:$U98,INDEX(Pengaturan!$B$8:$B$27,T$4)))</f>
        <v>0</v>
      </c>
      <c r="U98" s="26" t="n">
        <f aca="false">IF(INDEX(Pengaturan!$B$8:$B$27,U$4)="",0,COUNTIF(Data!$B98:$U98,INDEX(Pengaturan!$B$8:$B$27,U$4)))</f>
        <v>0</v>
      </c>
      <c r="V98" s="26" t="n">
        <f aca="false">COUNTA(Data!$B98:$U98)</f>
        <v>0</v>
      </c>
      <c r="W98" s="27" t="str">
        <f aca="false">IF(V98=0,"",IF(V98&lt;&gt;Hasil!$C$4,"Data kosong/tidak lengkap",IF(SUM(B98:U98)&lt;&gt;V98,"Kategori tidak dikenal","OK")))</f>
        <v/>
      </c>
      <c r="X98" s="26" t="n">
        <f aca="false">IF(OR(W98="",W98="OK"),0,1)</f>
        <v>0</v>
      </c>
    </row>
    <row r="99" customFormat="false" ht="15" hidden="false" customHeight="false" outlineLevel="0" collapsed="false">
      <c r="A99" s="26" t="n">
        <f aca="false">Data!A99</f>
        <v>94</v>
      </c>
      <c r="B99" s="26" t="n">
        <f aca="false">IF(INDEX(Pengaturan!$B$8:$B$27,B$4)="",0,COUNTIF(Data!$B99:$U99,INDEX(Pengaturan!$B$8:$B$27,B$4)))</f>
        <v>0</v>
      </c>
      <c r="C99" s="26" t="n">
        <f aca="false">IF(INDEX(Pengaturan!$B$8:$B$27,C$4)="",0,COUNTIF(Data!$B99:$U99,INDEX(Pengaturan!$B$8:$B$27,C$4)))</f>
        <v>0</v>
      </c>
      <c r="D99" s="26" t="n">
        <f aca="false">IF(INDEX(Pengaturan!$B$8:$B$27,D$4)="",0,COUNTIF(Data!$B99:$U99,INDEX(Pengaturan!$B$8:$B$27,D$4)))</f>
        <v>0</v>
      </c>
      <c r="E99" s="26" t="n">
        <f aca="false">IF(INDEX(Pengaturan!$B$8:$B$27,E$4)="",0,COUNTIF(Data!$B99:$U99,INDEX(Pengaturan!$B$8:$B$27,E$4)))</f>
        <v>0</v>
      </c>
      <c r="F99" s="26" t="n">
        <f aca="false">IF(INDEX(Pengaturan!$B$8:$B$27,F$4)="",0,COUNTIF(Data!$B99:$U99,INDEX(Pengaturan!$B$8:$B$27,F$4)))</f>
        <v>0</v>
      </c>
      <c r="G99" s="26" t="n">
        <f aca="false">IF(INDEX(Pengaturan!$B$8:$B$27,G$4)="",0,COUNTIF(Data!$B99:$U99,INDEX(Pengaturan!$B$8:$B$27,G$4)))</f>
        <v>0</v>
      </c>
      <c r="H99" s="26" t="n">
        <f aca="false">IF(INDEX(Pengaturan!$B$8:$B$27,H$4)="",0,COUNTIF(Data!$B99:$U99,INDEX(Pengaturan!$B$8:$B$27,H$4)))</f>
        <v>0</v>
      </c>
      <c r="I99" s="26" t="n">
        <f aca="false">IF(INDEX(Pengaturan!$B$8:$B$27,I$4)="",0,COUNTIF(Data!$B99:$U99,INDEX(Pengaturan!$B$8:$B$27,I$4)))</f>
        <v>0</v>
      </c>
      <c r="J99" s="26" t="n">
        <f aca="false">IF(INDEX(Pengaturan!$B$8:$B$27,J$4)="",0,COUNTIF(Data!$B99:$U99,INDEX(Pengaturan!$B$8:$B$27,J$4)))</f>
        <v>0</v>
      </c>
      <c r="K99" s="26" t="n">
        <f aca="false">IF(INDEX(Pengaturan!$B$8:$B$27,K$4)="",0,COUNTIF(Data!$B99:$U99,INDEX(Pengaturan!$B$8:$B$27,K$4)))</f>
        <v>0</v>
      </c>
      <c r="L99" s="26" t="n">
        <f aca="false">IF(INDEX(Pengaturan!$B$8:$B$27,L$4)="",0,COUNTIF(Data!$B99:$U99,INDEX(Pengaturan!$B$8:$B$27,L$4)))</f>
        <v>0</v>
      </c>
      <c r="M99" s="26" t="n">
        <f aca="false">IF(INDEX(Pengaturan!$B$8:$B$27,M$4)="",0,COUNTIF(Data!$B99:$U99,INDEX(Pengaturan!$B$8:$B$27,M$4)))</f>
        <v>0</v>
      </c>
      <c r="N99" s="26" t="n">
        <f aca="false">IF(INDEX(Pengaturan!$B$8:$B$27,N$4)="",0,COUNTIF(Data!$B99:$U99,INDEX(Pengaturan!$B$8:$B$27,N$4)))</f>
        <v>0</v>
      </c>
      <c r="O99" s="26" t="n">
        <f aca="false">IF(INDEX(Pengaturan!$B$8:$B$27,O$4)="",0,COUNTIF(Data!$B99:$U99,INDEX(Pengaturan!$B$8:$B$27,O$4)))</f>
        <v>0</v>
      </c>
      <c r="P99" s="26" t="n">
        <f aca="false">IF(INDEX(Pengaturan!$B$8:$B$27,P$4)="",0,COUNTIF(Data!$B99:$U99,INDEX(Pengaturan!$B$8:$B$27,P$4)))</f>
        <v>0</v>
      </c>
      <c r="Q99" s="26" t="n">
        <f aca="false">IF(INDEX(Pengaturan!$B$8:$B$27,Q$4)="",0,COUNTIF(Data!$B99:$U99,INDEX(Pengaturan!$B$8:$B$27,Q$4)))</f>
        <v>0</v>
      </c>
      <c r="R99" s="26" t="n">
        <f aca="false">IF(INDEX(Pengaturan!$B$8:$B$27,R$4)="",0,COUNTIF(Data!$B99:$U99,INDEX(Pengaturan!$B$8:$B$27,R$4)))</f>
        <v>0</v>
      </c>
      <c r="S99" s="26" t="n">
        <f aca="false">IF(INDEX(Pengaturan!$B$8:$B$27,S$4)="",0,COUNTIF(Data!$B99:$U99,INDEX(Pengaturan!$B$8:$B$27,S$4)))</f>
        <v>0</v>
      </c>
      <c r="T99" s="26" t="n">
        <f aca="false">IF(INDEX(Pengaturan!$B$8:$B$27,T$4)="",0,COUNTIF(Data!$B99:$U99,INDEX(Pengaturan!$B$8:$B$27,T$4)))</f>
        <v>0</v>
      </c>
      <c r="U99" s="26" t="n">
        <f aca="false">IF(INDEX(Pengaturan!$B$8:$B$27,U$4)="",0,COUNTIF(Data!$B99:$U99,INDEX(Pengaturan!$B$8:$B$27,U$4)))</f>
        <v>0</v>
      </c>
      <c r="V99" s="26" t="n">
        <f aca="false">COUNTA(Data!$B99:$U99)</f>
        <v>0</v>
      </c>
      <c r="W99" s="27" t="str">
        <f aca="false">IF(V99=0,"",IF(V99&lt;&gt;Hasil!$C$4,"Data kosong/tidak lengkap",IF(SUM(B99:U99)&lt;&gt;V99,"Kategori tidak dikenal","OK")))</f>
        <v/>
      </c>
      <c r="X99" s="26" t="n">
        <f aca="false">IF(OR(W99="",W99="OK"),0,1)</f>
        <v>0</v>
      </c>
    </row>
    <row r="100" customFormat="false" ht="15" hidden="false" customHeight="false" outlineLevel="0" collapsed="false">
      <c r="A100" s="26" t="n">
        <f aca="false">Data!A100</f>
        <v>95</v>
      </c>
      <c r="B100" s="26" t="n">
        <f aca="false">IF(INDEX(Pengaturan!$B$8:$B$27,B$4)="",0,COUNTIF(Data!$B100:$U100,INDEX(Pengaturan!$B$8:$B$27,B$4)))</f>
        <v>0</v>
      </c>
      <c r="C100" s="26" t="n">
        <f aca="false">IF(INDEX(Pengaturan!$B$8:$B$27,C$4)="",0,COUNTIF(Data!$B100:$U100,INDEX(Pengaturan!$B$8:$B$27,C$4)))</f>
        <v>0</v>
      </c>
      <c r="D100" s="26" t="n">
        <f aca="false">IF(INDEX(Pengaturan!$B$8:$B$27,D$4)="",0,COUNTIF(Data!$B100:$U100,INDEX(Pengaturan!$B$8:$B$27,D$4)))</f>
        <v>0</v>
      </c>
      <c r="E100" s="26" t="n">
        <f aca="false">IF(INDEX(Pengaturan!$B$8:$B$27,E$4)="",0,COUNTIF(Data!$B100:$U100,INDEX(Pengaturan!$B$8:$B$27,E$4)))</f>
        <v>0</v>
      </c>
      <c r="F100" s="26" t="n">
        <f aca="false">IF(INDEX(Pengaturan!$B$8:$B$27,F$4)="",0,COUNTIF(Data!$B100:$U100,INDEX(Pengaturan!$B$8:$B$27,F$4)))</f>
        <v>0</v>
      </c>
      <c r="G100" s="26" t="n">
        <f aca="false">IF(INDEX(Pengaturan!$B$8:$B$27,G$4)="",0,COUNTIF(Data!$B100:$U100,INDEX(Pengaturan!$B$8:$B$27,G$4)))</f>
        <v>0</v>
      </c>
      <c r="H100" s="26" t="n">
        <f aca="false">IF(INDEX(Pengaturan!$B$8:$B$27,H$4)="",0,COUNTIF(Data!$B100:$U100,INDEX(Pengaturan!$B$8:$B$27,H$4)))</f>
        <v>0</v>
      </c>
      <c r="I100" s="26" t="n">
        <f aca="false">IF(INDEX(Pengaturan!$B$8:$B$27,I$4)="",0,COUNTIF(Data!$B100:$U100,INDEX(Pengaturan!$B$8:$B$27,I$4)))</f>
        <v>0</v>
      </c>
      <c r="J100" s="26" t="n">
        <f aca="false">IF(INDEX(Pengaturan!$B$8:$B$27,J$4)="",0,COUNTIF(Data!$B100:$U100,INDEX(Pengaturan!$B$8:$B$27,J$4)))</f>
        <v>0</v>
      </c>
      <c r="K100" s="26" t="n">
        <f aca="false">IF(INDEX(Pengaturan!$B$8:$B$27,K$4)="",0,COUNTIF(Data!$B100:$U100,INDEX(Pengaturan!$B$8:$B$27,K$4)))</f>
        <v>0</v>
      </c>
      <c r="L100" s="26" t="n">
        <f aca="false">IF(INDEX(Pengaturan!$B$8:$B$27,L$4)="",0,COUNTIF(Data!$B100:$U100,INDEX(Pengaturan!$B$8:$B$27,L$4)))</f>
        <v>0</v>
      </c>
      <c r="M100" s="26" t="n">
        <f aca="false">IF(INDEX(Pengaturan!$B$8:$B$27,M$4)="",0,COUNTIF(Data!$B100:$U100,INDEX(Pengaturan!$B$8:$B$27,M$4)))</f>
        <v>0</v>
      </c>
      <c r="N100" s="26" t="n">
        <f aca="false">IF(INDEX(Pengaturan!$B$8:$B$27,N$4)="",0,COUNTIF(Data!$B100:$U100,INDEX(Pengaturan!$B$8:$B$27,N$4)))</f>
        <v>0</v>
      </c>
      <c r="O100" s="26" t="n">
        <f aca="false">IF(INDEX(Pengaturan!$B$8:$B$27,O$4)="",0,COUNTIF(Data!$B100:$U100,INDEX(Pengaturan!$B$8:$B$27,O$4)))</f>
        <v>0</v>
      </c>
      <c r="P100" s="26" t="n">
        <f aca="false">IF(INDEX(Pengaturan!$B$8:$B$27,P$4)="",0,COUNTIF(Data!$B100:$U100,INDEX(Pengaturan!$B$8:$B$27,P$4)))</f>
        <v>0</v>
      </c>
      <c r="Q100" s="26" t="n">
        <f aca="false">IF(INDEX(Pengaturan!$B$8:$B$27,Q$4)="",0,COUNTIF(Data!$B100:$U100,INDEX(Pengaturan!$B$8:$B$27,Q$4)))</f>
        <v>0</v>
      </c>
      <c r="R100" s="26" t="n">
        <f aca="false">IF(INDEX(Pengaturan!$B$8:$B$27,R$4)="",0,COUNTIF(Data!$B100:$U100,INDEX(Pengaturan!$B$8:$B$27,R$4)))</f>
        <v>0</v>
      </c>
      <c r="S100" s="26" t="n">
        <f aca="false">IF(INDEX(Pengaturan!$B$8:$B$27,S$4)="",0,COUNTIF(Data!$B100:$U100,INDEX(Pengaturan!$B$8:$B$27,S$4)))</f>
        <v>0</v>
      </c>
      <c r="T100" s="26" t="n">
        <f aca="false">IF(INDEX(Pengaturan!$B$8:$B$27,T$4)="",0,COUNTIF(Data!$B100:$U100,INDEX(Pengaturan!$B$8:$B$27,T$4)))</f>
        <v>0</v>
      </c>
      <c r="U100" s="26" t="n">
        <f aca="false">IF(INDEX(Pengaturan!$B$8:$B$27,U$4)="",0,COUNTIF(Data!$B100:$U100,INDEX(Pengaturan!$B$8:$B$27,U$4)))</f>
        <v>0</v>
      </c>
      <c r="V100" s="26" t="n">
        <f aca="false">COUNTA(Data!$B100:$U100)</f>
        <v>0</v>
      </c>
      <c r="W100" s="27" t="str">
        <f aca="false">IF(V100=0,"",IF(V100&lt;&gt;Hasil!$C$4,"Data kosong/tidak lengkap",IF(SUM(B100:U100)&lt;&gt;V100,"Kategori tidak dikenal","OK")))</f>
        <v/>
      </c>
      <c r="X100" s="26" t="n">
        <f aca="false">IF(OR(W100="",W100="OK"),0,1)</f>
        <v>0</v>
      </c>
    </row>
    <row r="101" customFormat="false" ht="15" hidden="false" customHeight="false" outlineLevel="0" collapsed="false">
      <c r="A101" s="26" t="n">
        <f aca="false">Data!A101</f>
        <v>96</v>
      </c>
      <c r="B101" s="26" t="n">
        <f aca="false">IF(INDEX(Pengaturan!$B$8:$B$27,B$4)="",0,COUNTIF(Data!$B101:$U101,INDEX(Pengaturan!$B$8:$B$27,B$4)))</f>
        <v>0</v>
      </c>
      <c r="C101" s="26" t="n">
        <f aca="false">IF(INDEX(Pengaturan!$B$8:$B$27,C$4)="",0,COUNTIF(Data!$B101:$U101,INDEX(Pengaturan!$B$8:$B$27,C$4)))</f>
        <v>0</v>
      </c>
      <c r="D101" s="26" t="n">
        <f aca="false">IF(INDEX(Pengaturan!$B$8:$B$27,D$4)="",0,COUNTIF(Data!$B101:$U101,INDEX(Pengaturan!$B$8:$B$27,D$4)))</f>
        <v>0</v>
      </c>
      <c r="E101" s="26" t="n">
        <f aca="false">IF(INDEX(Pengaturan!$B$8:$B$27,E$4)="",0,COUNTIF(Data!$B101:$U101,INDEX(Pengaturan!$B$8:$B$27,E$4)))</f>
        <v>0</v>
      </c>
      <c r="F101" s="26" t="n">
        <f aca="false">IF(INDEX(Pengaturan!$B$8:$B$27,F$4)="",0,COUNTIF(Data!$B101:$U101,INDEX(Pengaturan!$B$8:$B$27,F$4)))</f>
        <v>0</v>
      </c>
      <c r="G101" s="26" t="n">
        <f aca="false">IF(INDEX(Pengaturan!$B$8:$B$27,G$4)="",0,COUNTIF(Data!$B101:$U101,INDEX(Pengaturan!$B$8:$B$27,G$4)))</f>
        <v>0</v>
      </c>
      <c r="H101" s="26" t="n">
        <f aca="false">IF(INDEX(Pengaturan!$B$8:$B$27,H$4)="",0,COUNTIF(Data!$B101:$U101,INDEX(Pengaturan!$B$8:$B$27,H$4)))</f>
        <v>0</v>
      </c>
      <c r="I101" s="26" t="n">
        <f aca="false">IF(INDEX(Pengaturan!$B$8:$B$27,I$4)="",0,COUNTIF(Data!$B101:$U101,INDEX(Pengaturan!$B$8:$B$27,I$4)))</f>
        <v>0</v>
      </c>
      <c r="J101" s="26" t="n">
        <f aca="false">IF(INDEX(Pengaturan!$B$8:$B$27,J$4)="",0,COUNTIF(Data!$B101:$U101,INDEX(Pengaturan!$B$8:$B$27,J$4)))</f>
        <v>0</v>
      </c>
      <c r="K101" s="26" t="n">
        <f aca="false">IF(INDEX(Pengaturan!$B$8:$B$27,K$4)="",0,COUNTIF(Data!$B101:$U101,INDEX(Pengaturan!$B$8:$B$27,K$4)))</f>
        <v>0</v>
      </c>
      <c r="L101" s="26" t="n">
        <f aca="false">IF(INDEX(Pengaturan!$B$8:$B$27,L$4)="",0,COUNTIF(Data!$B101:$U101,INDEX(Pengaturan!$B$8:$B$27,L$4)))</f>
        <v>0</v>
      </c>
      <c r="M101" s="26" t="n">
        <f aca="false">IF(INDEX(Pengaturan!$B$8:$B$27,M$4)="",0,COUNTIF(Data!$B101:$U101,INDEX(Pengaturan!$B$8:$B$27,M$4)))</f>
        <v>0</v>
      </c>
      <c r="N101" s="26" t="n">
        <f aca="false">IF(INDEX(Pengaturan!$B$8:$B$27,N$4)="",0,COUNTIF(Data!$B101:$U101,INDEX(Pengaturan!$B$8:$B$27,N$4)))</f>
        <v>0</v>
      </c>
      <c r="O101" s="26" t="n">
        <f aca="false">IF(INDEX(Pengaturan!$B$8:$B$27,O$4)="",0,COUNTIF(Data!$B101:$U101,INDEX(Pengaturan!$B$8:$B$27,O$4)))</f>
        <v>0</v>
      </c>
      <c r="P101" s="26" t="n">
        <f aca="false">IF(INDEX(Pengaturan!$B$8:$B$27,P$4)="",0,COUNTIF(Data!$B101:$U101,INDEX(Pengaturan!$B$8:$B$27,P$4)))</f>
        <v>0</v>
      </c>
      <c r="Q101" s="26" t="n">
        <f aca="false">IF(INDEX(Pengaturan!$B$8:$B$27,Q$4)="",0,COUNTIF(Data!$B101:$U101,INDEX(Pengaturan!$B$8:$B$27,Q$4)))</f>
        <v>0</v>
      </c>
      <c r="R101" s="26" t="n">
        <f aca="false">IF(INDEX(Pengaturan!$B$8:$B$27,R$4)="",0,COUNTIF(Data!$B101:$U101,INDEX(Pengaturan!$B$8:$B$27,R$4)))</f>
        <v>0</v>
      </c>
      <c r="S101" s="26" t="n">
        <f aca="false">IF(INDEX(Pengaturan!$B$8:$B$27,S$4)="",0,COUNTIF(Data!$B101:$U101,INDEX(Pengaturan!$B$8:$B$27,S$4)))</f>
        <v>0</v>
      </c>
      <c r="T101" s="26" t="n">
        <f aca="false">IF(INDEX(Pengaturan!$B$8:$B$27,T$4)="",0,COUNTIF(Data!$B101:$U101,INDEX(Pengaturan!$B$8:$B$27,T$4)))</f>
        <v>0</v>
      </c>
      <c r="U101" s="26" t="n">
        <f aca="false">IF(INDEX(Pengaturan!$B$8:$B$27,U$4)="",0,COUNTIF(Data!$B101:$U101,INDEX(Pengaturan!$B$8:$B$27,U$4)))</f>
        <v>0</v>
      </c>
      <c r="V101" s="26" t="n">
        <f aca="false">COUNTA(Data!$B101:$U101)</f>
        <v>0</v>
      </c>
      <c r="W101" s="27" t="str">
        <f aca="false">IF(V101=0,"",IF(V101&lt;&gt;Hasil!$C$4,"Data kosong/tidak lengkap",IF(SUM(B101:U101)&lt;&gt;V101,"Kategori tidak dikenal","OK")))</f>
        <v/>
      </c>
      <c r="X101" s="26" t="n">
        <f aca="false">IF(OR(W101="",W101="OK"),0,1)</f>
        <v>0</v>
      </c>
    </row>
    <row r="102" customFormat="false" ht="15" hidden="false" customHeight="false" outlineLevel="0" collapsed="false">
      <c r="A102" s="26" t="n">
        <f aca="false">Data!A102</f>
        <v>97</v>
      </c>
      <c r="B102" s="26" t="n">
        <f aca="false">IF(INDEX(Pengaturan!$B$8:$B$27,B$4)="",0,COUNTIF(Data!$B102:$U102,INDEX(Pengaturan!$B$8:$B$27,B$4)))</f>
        <v>0</v>
      </c>
      <c r="C102" s="26" t="n">
        <f aca="false">IF(INDEX(Pengaturan!$B$8:$B$27,C$4)="",0,COUNTIF(Data!$B102:$U102,INDEX(Pengaturan!$B$8:$B$27,C$4)))</f>
        <v>0</v>
      </c>
      <c r="D102" s="26" t="n">
        <f aca="false">IF(INDEX(Pengaturan!$B$8:$B$27,D$4)="",0,COUNTIF(Data!$B102:$U102,INDEX(Pengaturan!$B$8:$B$27,D$4)))</f>
        <v>0</v>
      </c>
      <c r="E102" s="26" t="n">
        <f aca="false">IF(INDEX(Pengaturan!$B$8:$B$27,E$4)="",0,COUNTIF(Data!$B102:$U102,INDEX(Pengaturan!$B$8:$B$27,E$4)))</f>
        <v>0</v>
      </c>
      <c r="F102" s="26" t="n">
        <f aca="false">IF(INDEX(Pengaturan!$B$8:$B$27,F$4)="",0,COUNTIF(Data!$B102:$U102,INDEX(Pengaturan!$B$8:$B$27,F$4)))</f>
        <v>0</v>
      </c>
      <c r="G102" s="26" t="n">
        <f aca="false">IF(INDEX(Pengaturan!$B$8:$B$27,G$4)="",0,COUNTIF(Data!$B102:$U102,INDEX(Pengaturan!$B$8:$B$27,G$4)))</f>
        <v>0</v>
      </c>
      <c r="H102" s="26" t="n">
        <f aca="false">IF(INDEX(Pengaturan!$B$8:$B$27,H$4)="",0,COUNTIF(Data!$B102:$U102,INDEX(Pengaturan!$B$8:$B$27,H$4)))</f>
        <v>0</v>
      </c>
      <c r="I102" s="26" t="n">
        <f aca="false">IF(INDEX(Pengaturan!$B$8:$B$27,I$4)="",0,COUNTIF(Data!$B102:$U102,INDEX(Pengaturan!$B$8:$B$27,I$4)))</f>
        <v>0</v>
      </c>
      <c r="J102" s="26" t="n">
        <f aca="false">IF(INDEX(Pengaturan!$B$8:$B$27,J$4)="",0,COUNTIF(Data!$B102:$U102,INDEX(Pengaturan!$B$8:$B$27,J$4)))</f>
        <v>0</v>
      </c>
      <c r="K102" s="26" t="n">
        <f aca="false">IF(INDEX(Pengaturan!$B$8:$B$27,K$4)="",0,COUNTIF(Data!$B102:$U102,INDEX(Pengaturan!$B$8:$B$27,K$4)))</f>
        <v>0</v>
      </c>
      <c r="L102" s="26" t="n">
        <f aca="false">IF(INDEX(Pengaturan!$B$8:$B$27,L$4)="",0,COUNTIF(Data!$B102:$U102,INDEX(Pengaturan!$B$8:$B$27,L$4)))</f>
        <v>0</v>
      </c>
      <c r="M102" s="26" t="n">
        <f aca="false">IF(INDEX(Pengaturan!$B$8:$B$27,M$4)="",0,COUNTIF(Data!$B102:$U102,INDEX(Pengaturan!$B$8:$B$27,M$4)))</f>
        <v>0</v>
      </c>
      <c r="N102" s="26" t="n">
        <f aca="false">IF(INDEX(Pengaturan!$B$8:$B$27,N$4)="",0,COUNTIF(Data!$B102:$U102,INDEX(Pengaturan!$B$8:$B$27,N$4)))</f>
        <v>0</v>
      </c>
      <c r="O102" s="26" t="n">
        <f aca="false">IF(INDEX(Pengaturan!$B$8:$B$27,O$4)="",0,COUNTIF(Data!$B102:$U102,INDEX(Pengaturan!$B$8:$B$27,O$4)))</f>
        <v>0</v>
      </c>
      <c r="P102" s="26" t="n">
        <f aca="false">IF(INDEX(Pengaturan!$B$8:$B$27,P$4)="",0,COUNTIF(Data!$B102:$U102,INDEX(Pengaturan!$B$8:$B$27,P$4)))</f>
        <v>0</v>
      </c>
      <c r="Q102" s="26" t="n">
        <f aca="false">IF(INDEX(Pengaturan!$B$8:$B$27,Q$4)="",0,COUNTIF(Data!$B102:$U102,INDEX(Pengaturan!$B$8:$B$27,Q$4)))</f>
        <v>0</v>
      </c>
      <c r="R102" s="26" t="n">
        <f aca="false">IF(INDEX(Pengaturan!$B$8:$B$27,R$4)="",0,COUNTIF(Data!$B102:$U102,INDEX(Pengaturan!$B$8:$B$27,R$4)))</f>
        <v>0</v>
      </c>
      <c r="S102" s="26" t="n">
        <f aca="false">IF(INDEX(Pengaturan!$B$8:$B$27,S$4)="",0,COUNTIF(Data!$B102:$U102,INDEX(Pengaturan!$B$8:$B$27,S$4)))</f>
        <v>0</v>
      </c>
      <c r="T102" s="26" t="n">
        <f aca="false">IF(INDEX(Pengaturan!$B$8:$B$27,T$4)="",0,COUNTIF(Data!$B102:$U102,INDEX(Pengaturan!$B$8:$B$27,T$4)))</f>
        <v>0</v>
      </c>
      <c r="U102" s="26" t="n">
        <f aca="false">IF(INDEX(Pengaturan!$B$8:$B$27,U$4)="",0,COUNTIF(Data!$B102:$U102,INDEX(Pengaturan!$B$8:$B$27,U$4)))</f>
        <v>0</v>
      </c>
      <c r="V102" s="26" t="n">
        <f aca="false">COUNTA(Data!$B102:$U102)</f>
        <v>0</v>
      </c>
      <c r="W102" s="27" t="str">
        <f aca="false">IF(V102=0,"",IF(V102&lt;&gt;Hasil!$C$4,"Data kosong/tidak lengkap",IF(SUM(B102:U102)&lt;&gt;V102,"Kategori tidak dikenal","OK")))</f>
        <v/>
      </c>
      <c r="X102" s="26" t="n">
        <f aca="false">IF(OR(W102="",W102="OK"),0,1)</f>
        <v>0</v>
      </c>
    </row>
    <row r="103" customFormat="false" ht="15" hidden="false" customHeight="false" outlineLevel="0" collapsed="false">
      <c r="A103" s="26" t="n">
        <f aca="false">Data!A103</f>
        <v>98</v>
      </c>
      <c r="B103" s="26" t="n">
        <f aca="false">IF(INDEX(Pengaturan!$B$8:$B$27,B$4)="",0,COUNTIF(Data!$B103:$U103,INDEX(Pengaturan!$B$8:$B$27,B$4)))</f>
        <v>0</v>
      </c>
      <c r="C103" s="26" t="n">
        <f aca="false">IF(INDEX(Pengaturan!$B$8:$B$27,C$4)="",0,COUNTIF(Data!$B103:$U103,INDEX(Pengaturan!$B$8:$B$27,C$4)))</f>
        <v>0</v>
      </c>
      <c r="D103" s="26" t="n">
        <f aca="false">IF(INDEX(Pengaturan!$B$8:$B$27,D$4)="",0,COUNTIF(Data!$B103:$U103,INDEX(Pengaturan!$B$8:$B$27,D$4)))</f>
        <v>0</v>
      </c>
      <c r="E103" s="26" t="n">
        <f aca="false">IF(INDEX(Pengaturan!$B$8:$B$27,E$4)="",0,COUNTIF(Data!$B103:$U103,INDEX(Pengaturan!$B$8:$B$27,E$4)))</f>
        <v>0</v>
      </c>
      <c r="F103" s="26" t="n">
        <f aca="false">IF(INDEX(Pengaturan!$B$8:$B$27,F$4)="",0,COUNTIF(Data!$B103:$U103,INDEX(Pengaturan!$B$8:$B$27,F$4)))</f>
        <v>0</v>
      </c>
      <c r="G103" s="26" t="n">
        <f aca="false">IF(INDEX(Pengaturan!$B$8:$B$27,G$4)="",0,COUNTIF(Data!$B103:$U103,INDEX(Pengaturan!$B$8:$B$27,G$4)))</f>
        <v>0</v>
      </c>
      <c r="H103" s="26" t="n">
        <f aca="false">IF(INDEX(Pengaturan!$B$8:$B$27,H$4)="",0,COUNTIF(Data!$B103:$U103,INDEX(Pengaturan!$B$8:$B$27,H$4)))</f>
        <v>0</v>
      </c>
      <c r="I103" s="26" t="n">
        <f aca="false">IF(INDEX(Pengaturan!$B$8:$B$27,I$4)="",0,COUNTIF(Data!$B103:$U103,INDEX(Pengaturan!$B$8:$B$27,I$4)))</f>
        <v>0</v>
      </c>
      <c r="J103" s="26" t="n">
        <f aca="false">IF(INDEX(Pengaturan!$B$8:$B$27,J$4)="",0,COUNTIF(Data!$B103:$U103,INDEX(Pengaturan!$B$8:$B$27,J$4)))</f>
        <v>0</v>
      </c>
      <c r="K103" s="26" t="n">
        <f aca="false">IF(INDEX(Pengaturan!$B$8:$B$27,K$4)="",0,COUNTIF(Data!$B103:$U103,INDEX(Pengaturan!$B$8:$B$27,K$4)))</f>
        <v>0</v>
      </c>
      <c r="L103" s="26" t="n">
        <f aca="false">IF(INDEX(Pengaturan!$B$8:$B$27,L$4)="",0,COUNTIF(Data!$B103:$U103,INDEX(Pengaturan!$B$8:$B$27,L$4)))</f>
        <v>0</v>
      </c>
      <c r="M103" s="26" t="n">
        <f aca="false">IF(INDEX(Pengaturan!$B$8:$B$27,M$4)="",0,COUNTIF(Data!$B103:$U103,INDEX(Pengaturan!$B$8:$B$27,M$4)))</f>
        <v>0</v>
      </c>
      <c r="N103" s="26" t="n">
        <f aca="false">IF(INDEX(Pengaturan!$B$8:$B$27,N$4)="",0,COUNTIF(Data!$B103:$U103,INDEX(Pengaturan!$B$8:$B$27,N$4)))</f>
        <v>0</v>
      </c>
      <c r="O103" s="26" t="n">
        <f aca="false">IF(INDEX(Pengaturan!$B$8:$B$27,O$4)="",0,COUNTIF(Data!$B103:$U103,INDEX(Pengaturan!$B$8:$B$27,O$4)))</f>
        <v>0</v>
      </c>
      <c r="P103" s="26" t="n">
        <f aca="false">IF(INDEX(Pengaturan!$B$8:$B$27,P$4)="",0,COUNTIF(Data!$B103:$U103,INDEX(Pengaturan!$B$8:$B$27,P$4)))</f>
        <v>0</v>
      </c>
      <c r="Q103" s="26" t="n">
        <f aca="false">IF(INDEX(Pengaturan!$B$8:$B$27,Q$4)="",0,COUNTIF(Data!$B103:$U103,INDEX(Pengaturan!$B$8:$B$27,Q$4)))</f>
        <v>0</v>
      </c>
      <c r="R103" s="26" t="n">
        <f aca="false">IF(INDEX(Pengaturan!$B$8:$B$27,R$4)="",0,COUNTIF(Data!$B103:$U103,INDEX(Pengaturan!$B$8:$B$27,R$4)))</f>
        <v>0</v>
      </c>
      <c r="S103" s="26" t="n">
        <f aca="false">IF(INDEX(Pengaturan!$B$8:$B$27,S$4)="",0,COUNTIF(Data!$B103:$U103,INDEX(Pengaturan!$B$8:$B$27,S$4)))</f>
        <v>0</v>
      </c>
      <c r="T103" s="26" t="n">
        <f aca="false">IF(INDEX(Pengaturan!$B$8:$B$27,T$4)="",0,COUNTIF(Data!$B103:$U103,INDEX(Pengaturan!$B$8:$B$27,T$4)))</f>
        <v>0</v>
      </c>
      <c r="U103" s="26" t="n">
        <f aca="false">IF(INDEX(Pengaturan!$B$8:$B$27,U$4)="",0,COUNTIF(Data!$B103:$U103,INDEX(Pengaturan!$B$8:$B$27,U$4)))</f>
        <v>0</v>
      </c>
      <c r="V103" s="26" t="n">
        <f aca="false">COUNTA(Data!$B103:$U103)</f>
        <v>0</v>
      </c>
      <c r="W103" s="27" t="str">
        <f aca="false">IF(V103=0,"",IF(V103&lt;&gt;Hasil!$C$4,"Data kosong/tidak lengkap",IF(SUM(B103:U103)&lt;&gt;V103,"Kategori tidak dikenal","OK")))</f>
        <v/>
      </c>
      <c r="X103" s="26" t="n">
        <f aca="false">IF(OR(W103="",W103="OK"),0,1)</f>
        <v>0</v>
      </c>
    </row>
    <row r="104" customFormat="false" ht="15" hidden="false" customHeight="false" outlineLevel="0" collapsed="false">
      <c r="A104" s="26" t="n">
        <f aca="false">Data!A104</f>
        <v>99</v>
      </c>
      <c r="B104" s="26" t="n">
        <f aca="false">IF(INDEX(Pengaturan!$B$8:$B$27,B$4)="",0,COUNTIF(Data!$B104:$U104,INDEX(Pengaturan!$B$8:$B$27,B$4)))</f>
        <v>0</v>
      </c>
      <c r="C104" s="26" t="n">
        <f aca="false">IF(INDEX(Pengaturan!$B$8:$B$27,C$4)="",0,COUNTIF(Data!$B104:$U104,INDEX(Pengaturan!$B$8:$B$27,C$4)))</f>
        <v>0</v>
      </c>
      <c r="D104" s="26" t="n">
        <f aca="false">IF(INDEX(Pengaturan!$B$8:$B$27,D$4)="",0,COUNTIF(Data!$B104:$U104,INDEX(Pengaturan!$B$8:$B$27,D$4)))</f>
        <v>0</v>
      </c>
      <c r="E104" s="26" t="n">
        <f aca="false">IF(INDEX(Pengaturan!$B$8:$B$27,E$4)="",0,COUNTIF(Data!$B104:$U104,INDEX(Pengaturan!$B$8:$B$27,E$4)))</f>
        <v>0</v>
      </c>
      <c r="F104" s="26" t="n">
        <f aca="false">IF(INDEX(Pengaturan!$B$8:$B$27,F$4)="",0,COUNTIF(Data!$B104:$U104,INDEX(Pengaturan!$B$8:$B$27,F$4)))</f>
        <v>0</v>
      </c>
      <c r="G104" s="26" t="n">
        <f aca="false">IF(INDEX(Pengaturan!$B$8:$B$27,G$4)="",0,COUNTIF(Data!$B104:$U104,INDEX(Pengaturan!$B$8:$B$27,G$4)))</f>
        <v>0</v>
      </c>
      <c r="H104" s="26" t="n">
        <f aca="false">IF(INDEX(Pengaturan!$B$8:$B$27,H$4)="",0,COUNTIF(Data!$B104:$U104,INDEX(Pengaturan!$B$8:$B$27,H$4)))</f>
        <v>0</v>
      </c>
      <c r="I104" s="26" t="n">
        <f aca="false">IF(INDEX(Pengaturan!$B$8:$B$27,I$4)="",0,COUNTIF(Data!$B104:$U104,INDEX(Pengaturan!$B$8:$B$27,I$4)))</f>
        <v>0</v>
      </c>
      <c r="J104" s="26" t="n">
        <f aca="false">IF(INDEX(Pengaturan!$B$8:$B$27,J$4)="",0,COUNTIF(Data!$B104:$U104,INDEX(Pengaturan!$B$8:$B$27,J$4)))</f>
        <v>0</v>
      </c>
      <c r="K104" s="26" t="n">
        <f aca="false">IF(INDEX(Pengaturan!$B$8:$B$27,K$4)="",0,COUNTIF(Data!$B104:$U104,INDEX(Pengaturan!$B$8:$B$27,K$4)))</f>
        <v>0</v>
      </c>
      <c r="L104" s="26" t="n">
        <f aca="false">IF(INDEX(Pengaturan!$B$8:$B$27,L$4)="",0,COUNTIF(Data!$B104:$U104,INDEX(Pengaturan!$B$8:$B$27,L$4)))</f>
        <v>0</v>
      </c>
      <c r="M104" s="26" t="n">
        <f aca="false">IF(INDEX(Pengaturan!$B$8:$B$27,M$4)="",0,COUNTIF(Data!$B104:$U104,INDEX(Pengaturan!$B$8:$B$27,M$4)))</f>
        <v>0</v>
      </c>
      <c r="N104" s="26" t="n">
        <f aca="false">IF(INDEX(Pengaturan!$B$8:$B$27,N$4)="",0,COUNTIF(Data!$B104:$U104,INDEX(Pengaturan!$B$8:$B$27,N$4)))</f>
        <v>0</v>
      </c>
      <c r="O104" s="26" t="n">
        <f aca="false">IF(INDEX(Pengaturan!$B$8:$B$27,O$4)="",0,COUNTIF(Data!$B104:$U104,INDEX(Pengaturan!$B$8:$B$27,O$4)))</f>
        <v>0</v>
      </c>
      <c r="P104" s="26" t="n">
        <f aca="false">IF(INDEX(Pengaturan!$B$8:$B$27,P$4)="",0,COUNTIF(Data!$B104:$U104,INDEX(Pengaturan!$B$8:$B$27,P$4)))</f>
        <v>0</v>
      </c>
      <c r="Q104" s="26" t="n">
        <f aca="false">IF(INDEX(Pengaturan!$B$8:$B$27,Q$4)="",0,COUNTIF(Data!$B104:$U104,INDEX(Pengaturan!$B$8:$B$27,Q$4)))</f>
        <v>0</v>
      </c>
      <c r="R104" s="26" t="n">
        <f aca="false">IF(INDEX(Pengaturan!$B$8:$B$27,R$4)="",0,COUNTIF(Data!$B104:$U104,INDEX(Pengaturan!$B$8:$B$27,R$4)))</f>
        <v>0</v>
      </c>
      <c r="S104" s="26" t="n">
        <f aca="false">IF(INDEX(Pengaturan!$B$8:$B$27,S$4)="",0,COUNTIF(Data!$B104:$U104,INDEX(Pengaturan!$B$8:$B$27,S$4)))</f>
        <v>0</v>
      </c>
      <c r="T104" s="26" t="n">
        <f aca="false">IF(INDEX(Pengaturan!$B$8:$B$27,T$4)="",0,COUNTIF(Data!$B104:$U104,INDEX(Pengaturan!$B$8:$B$27,T$4)))</f>
        <v>0</v>
      </c>
      <c r="U104" s="26" t="n">
        <f aca="false">IF(INDEX(Pengaturan!$B$8:$B$27,U$4)="",0,COUNTIF(Data!$B104:$U104,INDEX(Pengaturan!$B$8:$B$27,U$4)))</f>
        <v>0</v>
      </c>
      <c r="V104" s="26" t="n">
        <f aca="false">COUNTA(Data!$B104:$U104)</f>
        <v>0</v>
      </c>
      <c r="W104" s="27" t="str">
        <f aca="false">IF(V104=0,"",IF(V104&lt;&gt;Hasil!$C$4,"Data kosong/tidak lengkap",IF(SUM(B104:U104)&lt;&gt;V104,"Kategori tidak dikenal","OK")))</f>
        <v/>
      </c>
      <c r="X104" s="26" t="n">
        <f aca="false">IF(OR(W104="",W104="OK"),0,1)</f>
        <v>0</v>
      </c>
    </row>
    <row r="105" customFormat="false" ht="15" hidden="false" customHeight="false" outlineLevel="0" collapsed="false">
      <c r="A105" s="26" t="n">
        <f aca="false">Data!A105</f>
        <v>100</v>
      </c>
      <c r="B105" s="26" t="n">
        <f aca="false">IF(INDEX(Pengaturan!$B$8:$B$27,B$4)="",0,COUNTIF(Data!$B105:$U105,INDEX(Pengaturan!$B$8:$B$27,B$4)))</f>
        <v>0</v>
      </c>
      <c r="C105" s="26" t="n">
        <f aca="false">IF(INDEX(Pengaturan!$B$8:$B$27,C$4)="",0,COUNTIF(Data!$B105:$U105,INDEX(Pengaturan!$B$8:$B$27,C$4)))</f>
        <v>0</v>
      </c>
      <c r="D105" s="26" t="n">
        <f aca="false">IF(INDEX(Pengaturan!$B$8:$B$27,D$4)="",0,COUNTIF(Data!$B105:$U105,INDEX(Pengaturan!$B$8:$B$27,D$4)))</f>
        <v>0</v>
      </c>
      <c r="E105" s="26" t="n">
        <f aca="false">IF(INDEX(Pengaturan!$B$8:$B$27,E$4)="",0,COUNTIF(Data!$B105:$U105,INDEX(Pengaturan!$B$8:$B$27,E$4)))</f>
        <v>0</v>
      </c>
      <c r="F105" s="26" t="n">
        <f aca="false">IF(INDEX(Pengaturan!$B$8:$B$27,F$4)="",0,COUNTIF(Data!$B105:$U105,INDEX(Pengaturan!$B$8:$B$27,F$4)))</f>
        <v>0</v>
      </c>
      <c r="G105" s="26" t="n">
        <f aca="false">IF(INDEX(Pengaturan!$B$8:$B$27,G$4)="",0,COUNTIF(Data!$B105:$U105,INDEX(Pengaturan!$B$8:$B$27,G$4)))</f>
        <v>0</v>
      </c>
      <c r="H105" s="26" t="n">
        <f aca="false">IF(INDEX(Pengaturan!$B$8:$B$27,H$4)="",0,COUNTIF(Data!$B105:$U105,INDEX(Pengaturan!$B$8:$B$27,H$4)))</f>
        <v>0</v>
      </c>
      <c r="I105" s="26" t="n">
        <f aca="false">IF(INDEX(Pengaturan!$B$8:$B$27,I$4)="",0,COUNTIF(Data!$B105:$U105,INDEX(Pengaturan!$B$8:$B$27,I$4)))</f>
        <v>0</v>
      </c>
      <c r="J105" s="26" t="n">
        <f aca="false">IF(INDEX(Pengaturan!$B$8:$B$27,J$4)="",0,COUNTIF(Data!$B105:$U105,INDEX(Pengaturan!$B$8:$B$27,J$4)))</f>
        <v>0</v>
      </c>
      <c r="K105" s="26" t="n">
        <f aca="false">IF(INDEX(Pengaturan!$B$8:$B$27,K$4)="",0,COUNTIF(Data!$B105:$U105,INDEX(Pengaturan!$B$8:$B$27,K$4)))</f>
        <v>0</v>
      </c>
      <c r="L105" s="26" t="n">
        <f aca="false">IF(INDEX(Pengaturan!$B$8:$B$27,L$4)="",0,COUNTIF(Data!$B105:$U105,INDEX(Pengaturan!$B$8:$B$27,L$4)))</f>
        <v>0</v>
      </c>
      <c r="M105" s="26" t="n">
        <f aca="false">IF(INDEX(Pengaturan!$B$8:$B$27,M$4)="",0,COUNTIF(Data!$B105:$U105,INDEX(Pengaturan!$B$8:$B$27,M$4)))</f>
        <v>0</v>
      </c>
      <c r="N105" s="26" t="n">
        <f aca="false">IF(INDEX(Pengaturan!$B$8:$B$27,N$4)="",0,COUNTIF(Data!$B105:$U105,INDEX(Pengaturan!$B$8:$B$27,N$4)))</f>
        <v>0</v>
      </c>
      <c r="O105" s="26" t="n">
        <f aca="false">IF(INDEX(Pengaturan!$B$8:$B$27,O$4)="",0,COUNTIF(Data!$B105:$U105,INDEX(Pengaturan!$B$8:$B$27,O$4)))</f>
        <v>0</v>
      </c>
      <c r="P105" s="26" t="n">
        <f aca="false">IF(INDEX(Pengaturan!$B$8:$B$27,P$4)="",0,COUNTIF(Data!$B105:$U105,INDEX(Pengaturan!$B$8:$B$27,P$4)))</f>
        <v>0</v>
      </c>
      <c r="Q105" s="26" t="n">
        <f aca="false">IF(INDEX(Pengaturan!$B$8:$B$27,Q$4)="",0,COUNTIF(Data!$B105:$U105,INDEX(Pengaturan!$B$8:$B$27,Q$4)))</f>
        <v>0</v>
      </c>
      <c r="R105" s="26" t="n">
        <f aca="false">IF(INDEX(Pengaturan!$B$8:$B$27,R$4)="",0,COUNTIF(Data!$B105:$U105,INDEX(Pengaturan!$B$8:$B$27,R$4)))</f>
        <v>0</v>
      </c>
      <c r="S105" s="26" t="n">
        <f aca="false">IF(INDEX(Pengaturan!$B$8:$B$27,S$4)="",0,COUNTIF(Data!$B105:$U105,INDEX(Pengaturan!$B$8:$B$27,S$4)))</f>
        <v>0</v>
      </c>
      <c r="T105" s="26" t="n">
        <f aca="false">IF(INDEX(Pengaturan!$B$8:$B$27,T$4)="",0,COUNTIF(Data!$B105:$U105,INDEX(Pengaturan!$B$8:$B$27,T$4)))</f>
        <v>0</v>
      </c>
      <c r="U105" s="26" t="n">
        <f aca="false">IF(INDEX(Pengaturan!$B$8:$B$27,U$4)="",0,COUNTIF(Data!$B105:$U105,INDEX(Pengaturan!$B$8:$B$27,U$4)))</f>
        <v>0</v>
      </c>
      <c r="V105" s="26" t="n">
        <f aca="false">COUNTA(Data!$B105:$U105)</f>
        <v>0</v>
      </c>
      <c r="W105" s="27" t="str">
        <f aca="false">IF(V105=0,"",IF(V105&lt;&gt;Hasil!$C$4,"Data kosong/tidak lengkap",IF(SUM(B105:U105)&lt;&gt;V105,"Kategori tidak dikenal","OK")))</f>
        <v/>
      </c>
      <c r="X105" s="26" t="n">
        <f aca="false">IF(OR(W105="",W105="OK"),0,1)</f>
        <v>0</v>
      </c>
    </row>
    <row r="106" customFormat="false" ht="15" hidden="false" customHeight="false" outlineLevel="0" collapsed="false">
      <c r="A106" s="26" t="n">
        <f aca="false">Data!A106</f>
        <v>101</v>
      </c>
      <c r="B106" s="26" t="n">
        <f aca="false">IF(INDEX(Pengaturan!$B$8:$B$27,B$4)="",0,COUNTIF(Data!$B106:$U106,INDEX(Pengaturan!$B$8:$B$27,B$4)))</f>
        <v>0</v>
      </c>
      <c r="C106" s="26" t="n">
        <f aca="false">IF(INDEX(Pengaturan!$B$8:$B$27,C$4)="",0,COUNTIF(Data!$B106:$U106,INDEX(Pengaturan!$B$8:$B$27,C$4)))</f>
        <v>0</v>
      </c>
      <c r="D106" s="26" t="n">
        <f aca="false">IF(INDEX(Pengaturan!$B$8:$B$27,D$4)="",0,COUNTIF(Data!$B106:$U106,INDEX(Pengaturan!$B$8:$B$27,D$4)))</f>
        <v>0</v>
      </c>
      <c r="E106" s="26" t="n">
        <f aca="false">IF(INDEX(Pengaturan!$B$8:$B$27,E$4)="",0,COUNTIF(Data!$B106:$U106,INDEX(Pengaturan!$B$8:$B$27,E$4)))</f>
        <v>0</v>
      </c>
      <c r="F106" s="26" t="n">
        <f aca="false">IF(INDEX(Pengaturan!$B$8:$B$27,F$4)="",0,COUNTIF(Data!$B106:$U106,INDEX(Pengaturan!$B$8:$B$27,F$4)))</f>
        <v>0</v>
      </c>
      <c r="G106" s="26" t="n">
        <f aca="false">IF(INDEX(Pengaturan!$B$8:$B$27,G$4)="",0,COUNTIF(Data!$B106:$U106,INDEX(Pengaturan!$B$8:$B$27,G$4)))</f>
        <v>0</v>
      </c>
      <c r="H106" s="26" t="n">
        <f aca="false">IF(INDEX(Pengaturan!$B$8:$B$27,H$4)="",0,COUNTIF(Data!$B106:$U106,INDEX(Pengaturan!$B$8:$B$27,H$4)))</f>
        <v>0</v>
      </c>
      <c r="I106" s="26" t="n">
        <f aca="false">IF(INDEX(Pengaturan!$B$8:$B$27,I$4)="",0,COUNTIF(Data!$B106:$U106,INDEX(Pengaturan!$B$8:$B$27,I$4)))</f>
        <v>0</v>
      </c>
      <c r="J106" s="26" t="n">
        <f aca="false">IF(INDEX(Pengaturan!$B$8:$B$27,J$4)="",0,COUNTIF(Data!$B106:$U106,INDEX(Pengaturan!$B$8:$B$27,J$4)))</f>
        <v>0</v>
      </c>
      <c r="K106" s="26" t="n">
        <f aca="false">IF(INDEX(Pengaturan!$B$8:$B$27,K$4)="",0,COUNTIF(Data!$B106:$U106,INDEX(Pengaturan!$B$8:$B$27,K$4)))</f>
        <v>0</v>
      </c>
      <c r="L106" s="26" t="n">
        <f aca="false">IF(INDEX(Pengaturan!$B$8:$B$27,L$4)="",0,COUNTIF(Data!$B106:$U106,INDEX(Pengaturan!$B$8:$B$27,L$4)))</f>
        <v>0</v>
      </c>
      <c r="M106" s="26" t="n">
        <f aca="false">IF(INDEX(Pengaturan!$B$8:$B$27,M$4)="",0,COUNTIF(Data!$B106:$U106,INDEX(Pengaturan!$B$8:$B$27,M$4)))</f>
        <v>0</v>
      </c>
      <c r="N106" s="26" t="n">
        <f aca="false">IF(INDEX(Pengaturan!$B$8:$B$27,N$4)="",0,COUNTIF(Data!$B106:$U106,INDEX(Pengaturan!$B$8:$B$27,N$4)))</f>
        <v>0</v>
      </c>
      <c r="O106" s="26" t="n">
        <f aca="false">IF(INDEX(Pengaturan!$B$8:$B$27,O$4)="",0,COUNTIF(Data!$B106:$U106,INDEX(Pengaturan!$B$8:$B$27,O$4)))</f>
        <v>0</v>
      </c>
      <c r="P106" s="26" t="n">
        <f aca="false">IF(INDEX(Pengaturan!$B$8:$B$27,P$4)="",0,COUNTIF(Data!$B106:$U106,INDEX(Pengaturan!$B$8:$B$27,P$4)))</f>
        <v>0</v>
      </c>
      <c r="Q106" s="26" t="n">
        <f aca="false">IF(INDEX(Pengaturan!$B$8:$B$27,Q$4)="",0,COUNTIF(Data!$B106:$U106,INDEX(Pengaturan!$B$8:$B$27,Q$4)))</f>
        <v>0</v>
      </c>
      <c r="R106" s="26" t="n">
        <f aca="false">IF(INDEX(Pengaturan!$B$8:$B$27,R$4)="",0,COUNTIF(Data!$B106:$U106,INDEX(Pengaturan!$B$8:$B$27,R$4)))</f>
        <v>0</v>
      </c>
      <c r="S106" s="26" t="n">
        <f aca="false">IF(INDEX(Pengaturan!$B$8:$B$27,S$4)="",0,COUNTIF(Data!$B106:$U106,INDEX(Pengaturan!$B$8:$B$27,S$4)))</f>
        <v>0</v>
      </c>
      <c r="T106" s="26" t="n">
        <f aca="false">IF(INDEX(Pengaturan!$B$8:$B$27,T$4)="",0,COUNTIF(Data!$B106:$U106,INDEX(Pengaturan!$B$8:$B$27,T$4)))</f>
        <v>0</v>
      </c>
      <c r="U106" s="26" t="n">
        <f aca="false">IF(INDEX(Pengaturan!$B$8:$B$27,U$4)="",0,COUNTIF(Data!$B106:$U106,INDEX(Pengaturan!$B$8:$B$27,U$4)))</f>
        <v>0</v>
      </c>
      <c r="V106" s="26" t="n">
        <f aca="false">COUNTA(Data!$B106:$U106)</f>
        <v>0</v>
      </c>
      <c r="W106" s="27" t="str">
        <f aca="false">IF(V106=0,"",IF(V106&lt;&gt;Hasil!$C$4,"Data kosong/tidak lengkap",IF(SUM(B106:U106)&lt;&gt;V106,"Kategori tidak dikenal","OK")))</f>
        <v/>
      </c>
      <c r="X106" s="26" t="n">
        <f aca="false">IF(OR(W106="",W106="OK"),0,1)</f>
        <v>0</v>
      </c>
    </row>
    <row r="107" customFormat="false" ht="15" hidden="false" customHeight="false" outlineLevel="0" collapsed="false">
      <c r="A107" s="26" t="n">
        <f aca="false">Data!A107</f>
        <v>102</v>
      </c>
      <c r="B107" s="26" t="n">
        <f aca="false">IF(INDEX(Pengaturan!$B$8:$B$27,B$4)="",0,COUNTIF(Data!$B107:$U107,INDEX(Pengaturan!$B$8:$B$27,B$4)))</f>
        <v>0</v>
      </c>
      <c r="C107" s="26" t="n">
        <f aca="false">IF(INDEX(Pengaturan!$B$8:$B$27,C$4)="",0,COUNTIF(Data!$B107:$U107,INDEX(Pengaturan!$B$8:$B$27,C$4)))</f>
        <v>0</v>
      </c>
      <c r="D107" s="26" t="n">
        <f aca="false">IF(INDEX(Pengaturan!$B$8:$B$27,D$4)="",0,COUNTIF(Data!$B107:$U107,INDEX(Pengaturan!$B$8:$B$27,D$4)))</f>
        <v>0</v>
      </c>
      <c r="E107" s="26" t="n">
        <f aca="false">IF(INDEX(Pengaturan!$B$8:$B$27,E$4)="",0,COUNTIF(Data!$B107:$U107,INDEX(Pengaturan!$B$8:$B$27,E$4)))</f>
        <v>0</v>
      </c>
      <c r="F107" s="26" t="n">
        <f aca="false">IF(INDEX(Pengaturan!$B$8:$B$27,F$4)="",0,COUNTIF(Data!$B107:$U107,INDEX(Pengaturan!$B$8:$B$27,F$4)))</f>
        <v>0</v>
      </c>
      <c r="G107" s="26" t="n">
        <f aca="false">IF(INDEX(Pengaturan!$B$8:$B$27,G$4)="",0,COUNTIF(Data!$B107:$U107,INDEX(Pengaturan!$B$8:$B$27,G$4)))</f>
        <v>0</v>
      </c>
      <c r="H107" s="26" t="n">
        <f aca="false">IF(INDEX(Pengaturan!$B$8:$B$27,H$4)="",0,COUNTIF(Data!$B107:$U107,INDEX(Pengaturan!$B$8:$B$27,H$4)))</f>
        <v>0</v>
      </c>
      <c r="I107" s="26" t="n">
        <f aca="false">IF(INDEX(Pengaturan!$B$8:$B$27,I$4)="",0,COUNTIF(Data!$B107:$U107,INDEX(Pengaturan!$B$8:$B$27,I$4)))</f>
        <v>0</v>
      </c>
      <c r="J107" s="26" t="n">
        <f aca="false">IF(INDEX(Pengaturan!$B$8:$B$27,J$4)="",0,COUNTIF(Data!$B107:$U107,INDEX(Pengaturan!$B$8:$B$27,J$4)))</f>
        <v>0</v>
      </c>
      <c r="K107" s="26" t="n">
        <f aca="false">IF(INDEX(Pengaturan!$B$8:$B$27,K$4)="",0,COUNTIF(Data!$B107:$U107,INDEX(Pengaturan!$B$8:$B$27,K$4)))</f>
        <v>0</v>
      </c>
      <c r="L107" s="26" t="n">
        <f aca="false">IF(INDEX(Pengaturan!$B$8:$B$27,L$4)="",0,COUNTIF(Data!$B107:$U107,INDEX(Pengaturan!$B$8:$B$27,L$4)))</f>
        <v>0</v>
      </c>
      <c r="M107" s="26" t="n">
        <f aca="false">IF(INDEX(Pengaturan!$B$8:$B$27,M$4)="",0,COUNTIF(Data!$B107:$U107,INDEX(Pengaturan!$B$8:$B$27,M$4)))</f>
        <v>0</v>
      </c>
      <c r="N107" s="26" t="n">
        <f aca="false">IF(INDEX(Pengaturan!$B$8:$B$27,N$4)="",0,COUNTIF(Data!$B107:$U107,INDEX(Pengaturan!$B$8:$B$27,N$4)))</f>
        <v>0</v>
      </c>
      <c r="O107" s="26" t="n">
        <f aca="false">IF(INDEX(Pengaturan!$B$8:$B$27,O$4)="",0,COUNTIF(Data!$B107:$U107,INDEX(Pengaturan!$B$8:$B$27,O$4)))</f>
        <v>0</v>
      </c>
      <c r="P107" s="26" t="n">
        <f aca="false">IF(INDEX(Pengaturan!$B$8:$B$27,P$4)="",0,COUNTIF(Data!$B107:$U107,INDEX(Pengaturan!$B$8:$B$27,P$4)))</f>
        <v>0</v>
      </c>
      <c r="Q107" s="26" t="n">
        <f aca="false">IF(INDEX(Pengaturan!$B$8:$B$27,Q$4)="",0,COUNTIF(Data!$B107:$U107,INDEX(Pengaturan!$B$8:$B$27,Q$4)))</f>
        <v>0</v>
      </c>
      <c r="R107" s="26" t="n">
        <f aca="false">IF(INDEX(Pengaturan!$B$8:$B$27,R$4)="",0,COUNTIF(Data!$B107:$U107,INDEX(Pengaturan!$B$8:$B$27,R$4)))</f>
        <v>0</v>
      </c>
      <c r="S107" s="26" t="n">
        <f aca="false">IF(INDEX(Pengaturan!$B$8:$B$27,S$4)="",0,COUNTIF(Data!$B107:$U107,INDEX(Pengaturan!$B$8:$B$27,S$4)))</f>
        <v>0</v>
      </c>
      <c r="T107" s="26" t="n">
        <f aca="false">IF(INDEX(Pengaturan!$B$8:$B$27,T$4)="",0,COUNTIF(Data!$B107:$U107,INDEX(Pengaturan!$B$8:$B$27,T$4)))</f>
        <v>0</v>
      </c>
      <c r="U107" s="26" t="n">
        <f aca="false">IF(INDEX(Pengaturan!$B$8:$B$27,U$4)="",0,COUNTIF(Data!$B107:$U107,INDEX(Pengaturan!$B$8:$B$27,U$4)))</f>
        <v>0</v>
      </c>
      <c r="V107" s="26" t="n">
        <f aca="false">COUNTA(Data!$B107:$U107)</f>
        <v>0</v>
      </c>
      <c r="W107" s="27" t="str">
        <f aca="false">IF(V107=0,"",IF(V107&lt;&gt;Hasil!$C$4,"Data kosong/tidak lengkap",IF(SUM(B107:U107)&lt;&gt;V107,"Kategori tidak dikenal","OK")))</f>
        <v/>
      </c>
      <c r="X107" s="26" t="n">
        <f aca="false">IF(OR(W107="",W107="OK"),0,1)</f>
        <v>0</v>
      </c>
    </row>
    <row r="108" customFormat="false" ht="15" hidden="false" customHeight="false" outlineLevel="0" collapsed="false">
      <c r="A108" s="26" t="n">
        <f aca="false">Data!A108</f>
        <v>103</v>
      </c>
      <c r="B108" s="26" t="n">
        <f aca="false">IF(INDEX(Pengaturan!$B$8:$B$27,B$4)="",0,COUNTIF(Data!$B108:$U108,INDEX(Pengaturan!$B$8:$B$27,B$4)))</f>
        <v>0</v>
      </c>
      <c r="C108" s="26" t="n">
        <f aca="false">IF(INDEX(Pengaturan!$B$8:$B$27,C$4)="",0,COUNTIF(Data!$B108:$U108,INDEX(Pengaturan!$B$8:$B$27,C$4)))</f>
        <v>0</v>
      </c>
      <c r="D108" s="26" t="n">
        <f aca="false">IF(INDEX(Pengaturan!$B$8:$B$27,D$4)="",0,COUNTIF(Data!$B108:$U108,INDEX(Pengaturan!$B$8:$B$27,D$4)))</f>
        <v>0</v>
      </c>
      <c r="E108" s="26" t="n">
        <f aca="false">IF(INDEX(Pengaturan!$B$8:$B$27,E$4)="",0,COUNTIF(Data!$B108:$U108,INDEX(Pengaturan!$B$8:$B$27,E$4)))</f>
        <v>0</v>
      </c>
      <c r="F108" s="26" t="n">
        <f aca="false">IF(INDEX(Pengaturan!$B$8:$B$27,F$4)="",0,COUNTIF(Data!$B108:$U108,INDEX(Pengaturan!$B$8:$B$27,F$4)))</f>
        <v>0</v>
      </c>
      <c r="G108" s="26" t="n">
        <f aca="false">IF(INDEX(Pengaturan!$B$8:$B$27,G$4)="",0,COUNTIF(Data!$B108:$U108,INDEX(Pengaturan!$B$8:$B$27,G$4)))</f>
        <v>0</v>
      </c>
      <c r="H108" s="26" t="n">
        <f aca="false">IF(INDEX(Pengaturan!$B$8:$B$27,H$4)="",0,COUNTIF(Data!$B108:$U108,INDEX(Pengaturan!$B$8:$B$27,H$4)))</f>
        <v>0</v>
      </c>
      <c r="I108" s="26" t="n">
        <f aca="false">IF(INDEX(Pengaturan!$B$8:$B$27,I$4)="",0,COUNTIF(Data!$B108:$U108,INDEX(Pengaturan!$B$8:$B$27,I$4)))</f>
        <v>0</v>
      </c>
      <c r="J108" s="26" t="n">
        <f aca="false">IF(INDEX(Pengaturan!$B$8:$B$27,J$4)="",0,COUNTIF(Data!$B108:$U108,INDEX(Pengaturan!$B$8:$B$27,J$4)))</f>
        <v>0</v>
      </c>
      <c r="K108" s="26" t="n">
        <f aca="false">IF(INDEX(Pengaturan!$B$8:$B$27,K$4)="",0,COUNTIF(Data!$B108:$U108,INDEX(Pengaturan!$B$8:$B$27,K$4)))</f>
        <v>0</v>
      </c>
      <c r="L108" s="26" t="n">
        <f aca="false">IF(INDEX(Pengaturan!$B$8:$B$27,L$4)="",0,COUNTIF(Data!$B108:$U108,INDEX(Pengaturan!$B$8:$B$27,L$4)))</f>
        <v>0</v>
      </c>
      <c r="M108" s="26" t="n">
        <f aca="false">IF(INDEX(Pengaturan!$B$8:$B$27,M$4)="",0,COUNTIF(Data!$B108:$U108,INDEX(Pengaturan!$B$8:$B$27,M$4)))</f>
        <v>0</v>
      </c>
      <c r="N108" s="26" t="n">
        <f aca="false">IF(INDEX(Pengaturan!$B$8:$B$27,N$4)="",0,COUNTIF(Data!$B108:$U108,INDEX(Pengaturan!$B$8:$B$27,N$4)))</f>
        <v>0</v>
      </c>
      <c r="O108" s="26" t="n">
        <f aca="false">IF(INDEX(Pengaturan!$B$8:$B$27,O$4)="",0,COUNTIF(Data!$B108:$U108,INDEX(Pengaturan!$B$8:$B$27,O$4)))</f>
        <v>0</v>
      </c>
      <c r="P108" s="26" t="n">
        <f aca="false">IF(INDEX(Pengaturan!$B$8:$B$27,P$4)="",0,COUNTIF(Data!$B108:$U108,INDEX(Pengaturan!$B$8:$B$27,P$4)))</f>
        <v>0</v>
      </c>
      <c r="Q108" s="26" t="n">
        <f aca="false">IF(INDEX(Pengaturan!$B$8:$B$27,Q$4)="",0,COUNTIF(Data!$B108:$U108,INDEX(Pengaturan!$B$8:$B$27,Q$4)))</f>
        <v>0</v>
      </c>
      <c r="R108" s="26" t="n">
        <f aca="false">IF(INDEX(Pengaturan!$B$8:$B$27,R$4)="",0,COUNTIF(Data!$B108:$U108,INDEX(Pengaturan!$B$8:$B$27,R$4)))</f>
        <v>0</v>
      </c>
      <c r="S108" s="26" t="n">
        <f aca="false">IF(INDEX(Pengaturan!$B$8:$B$27,S$4)="",0,COUNTIF(Data!$B108:$U108,INDEX(Pengaturan!$B$8:$B$27,S$4)))</f>
        <v>0</v>
      </c>
      <c r="T108" s="26" t="n">
        <f aca="false">IF(INDEX(Pengaturan!$B$8:$B$27,T$4)="",0,COUNTIF(Data!$B108:$U108,INDEX(Pengaturan!$B$8:$B$27,T$4)))</f>
        <v>0</v>
      </c>
      <c r="U108" s="26" t="n">
        <f aca="false">IF(INDEX(Pengaturan!$B$8:$B$27,U$4)="",0,COUNTIF(Data!$B108:$U108,INDEX(Pengaturan!$B$8:$B$27,U$4)))</f>
        <v>0</v>
      </c>
      <c r="V108" s="26" t="n">
        <f aca="false">COUNTA(Data!$B108:$U108)</f>
        <v>0</v>
      </c>
      <c r="W108" s="27" t="str">
        <f aca="false">IF(V108=0,"",IF(V108&lt;&gt;Hasil!$C$4,"Data kosong/tidak lengkap",IF(SUM(B108:U108)&lt;&gt;V108,"Kategori tidak dikenal","OK")))</f>
        <v/>
      </c>
      <c r="X108" s="26" t="n">
        <f aca="false">IF(OR(W108="",W108="OK"),0,1)</f>
        <v>0</v>
      </c>
    </row>
    <row r="109" customFormat="false" ht="15" hidden="false" customHeight="false" outlineLevel="0" collapsed="false">
      <c r="A109" s="26" t="n">
        <f aca="false">Data!A109</f>
        <v>104</v>
      </c>
      <c r="B109" s="26" t="n">
        <f aca="false">IF(INDEX(Pengaturan!$B$8:$B$27,B$4)="",0,COUNTIF(Data!$B109:$U109,INDEX(Pengaturan!$B$8:$B$27,B$4)))</f>
        <v>0</v>
      </c>
      <c r="C109" s="26" t="n">
        <f aca="false">IF(INDEX(Pengaturan!$B$8:$B$27,C$4)="",0,COUNTIF(Data!$B109:$U109,INDEX(Pengaturan!$B$8:$B$27,C$4)))</f>
        <v>0</v>
      </c>
      <c r="D109" s="26" t="n">
        <f aca="false">IF(INDEX(Pengaturan!$B$8:$B$27,D$4)="",0,COUNTIF(Data!$B109:$U109,INDEX(Pengaturan!$B$8:$B$27,D$4)))</f>
        <v>0</v>
      </c>
      <c r="E109" s="26" t="n">
        <f aca="false">IF(INDEX(Pengaturan!$B$8:$B$27,E$4)="",0,COUNTIF(Data!$B109:$U109,INDEX(Pengaturan!$B$8:$B$27,E$4)))</f>
        <v>0</v>
      </c>
      <c r="F109" s="26" t="n">
        <f aca="false">IF(INDEX(Pengaturan!$B$8:$B$27,F$4)="",0,COUNTIF(Data!$B109:$U109,INDEX(Pengaturan!$B$8:$B$27,F$4)))</f>
        <v>0</v>
      </c>
      <c r="G109" s="26" t="n">
        <f aca="false">IF(INDEX(Pengaturan!$B$8:$B$27,G$4)="",0,COUNTIF(Data!$B109:$U109,INDEX(Pengaturan!$B$8:$B$27,G$4)))</f>
        <v>0</v>
      </c>
      <c r="H109" s="26" t="n">
        <f aca="false">IF(INDEX(Pengaturan!$B$8:$B$27,H$4)="",0,COUNTIF(Data!$B109:$U109,INDEX(Pengaturan!$B$8:$B$27,H$4)))</f>
        <v>0</v>
      </c>
      <c r="I109" s="26" t="n">
        <f aca="false">IF(INDEX(Pengaturan!$B$8:$B$27,I$4)="",0,COUNTIF(Data!$B109:$U109,INDEX(Pengaturan!$B$8:$B$27,I$4)))</f>
        <v>0</v>
      </c>
      <c r="J109" s="26" t="n">
        <f aca="false">IF(INDEX(Pengaturan!$B$8:$B$27,J$4)="",0,COUNTIF(Data!$B109:$U109,INDEX(Pengaturan!$B$8:$B$27,J$4)))</f>
        <v>0</v>
      </c>
      <c r="K109" s="26" t="n">
        <f aca="false">IF(INDEX(Pengaturan!$B$8:$B$27,K$4)="",0,COUNTIF(Data!$B109:$U109,INDEX(Pengaturan!$B$8:$B$27,K$4)))</f>
        <v>0</v>
      </c>
      <c r="L109" s="26" t="n">
        <f aca="false">IF(INDEX(Pengaturan!$B$8:$B$27,L$4)="",0,COUNTIF(Data!$B109:$U109,INDEX(Pengaturan!$B$8:$B$27,L$4)))</f>
        <v>0</v>
      </c>
      <c r="M109" s="26" t="n">
        <f aca="false">IF(INDEX(Pengaturan!$B$8:$B$27,M$4)="",0,COUNTIF(Data!$B109:$U109,INDEX(Pengaturan!$B$8:$B$27,M$4)))</f>
        <v>0</v>
      </c>
      <c r="N109" s="26" t="n">
        <f aca="false">IF(INDEX(Pengaturan!$B$8:$B$27,N$4)="",0,COUNTIF(Data!$B109:$U109,INDEX(Pengaturan!$B$8:$B$27,N$4)))</f>
        <v>0</v>
      </c>
      <c r="O109" s="26" t="n">
        <f aca="false">IF(INDEX(Pengaturan!$B$8:$B$27,O$4)="",0,COUNTIF(Data!$B109:$U109,INDEX(Pengaturan!$B$8:$B$27,O$4)))</f>
        <v>0</v>
      </c>
      <c r="P109" s="26" t="n">
        <f aca="false">IF(INDEX(Pengaturan!$B$8:$B$27,P$4)="",0,COUNTIF(Data!$B109:$U109,INDEX(Pengaturan!$B$8:$B$27,P$4)))</f>
        <v>0</v>
      </c>
      <c r="Q109" s="26" t="n">
        <f aca="false">IF(INDEX(Pengaturan!$B$8:$B$27,Q$4)="",0,COUNTIF(Data!$B109:$U109,INDEX(Pengaturan!$B$8:$B$27,Q$4)))</f>
        <v>0</v>
      </c>
      <c r="R109" s="26" t="n">
        <f aca="false">IF(INDEX(Pengaturan!$B$8:$B$27,R$4)="",0,COUNTIF(Data!$B109:$U109,INDEX(Pengaturan!$B$8:$B$27,R$4)))</f>
        <v>0</v>
      </c>
      <c r="S109" s="26" t="n">
        <f aca="false">IF(INDEX(Pengaturan!$B$8:$B$27,S$4)="",0,COUNTIF(Data!$B109:$U109,INDEX(Pengaturan!$B$8:$B$27,S$4)))</f>
        <v>0</v>
      </c>
      <c r="T109" s="26" t="n">
        <f aca="false">IF(INDEX(Pengaturan!$B$8:$B$27,T$4)="",0,COUNTIF(Data!$B109:$U109,INDEX(Pengaturan!$B$8:$B$27,T$4)))</f>
        <v>0</v>
      </c>
      <c r="U109" s="26" t="n">
        <f aca="false">IF(INDEX(Pengaturan!$B$8:$B$27,U$4)="",0,COUNTIF(Data!$B109:$U109,INDEX(Pengaturan!$B$8:$B$27,U$4)))</f>
        <v>0</v>
      </c>
      <c r="V109" s="26" t="n">
        <f aca="false">COUNTA(Data!$B109:$U109)</f>
        <v>0</v>
      </c>
      <c r="W109" s="27" t="str">
        <f aca="false">IF(V109=0,"",IF(V109&lt;&gt;Hasil!$C$4,"Data kosong/tidak lengkap",IF(SUM(B109:U109)&lt;&gt;V109,"Kategori tidak dikenal","OK")))</f>
        <v/>
      </c>
      <c r="X109" s="26" t="n">
        <f aca="false">IF(OR(W109="",W109="OK"),0,1)</f>
        <v>0</v>
      </c>
    </row>
    <row r="110" customFormat="false" ht="15" hidden="false" customHeight="false" outlineLevel="0" collapsed="false">
      <c r="A110" s="26" t="n">
        <f aca="false">Data!A110</f>
        <v>105</v>
      </c>
      <c r="B110" s="26" t="n">
        <f aca="false">IF(INDEX(Pengaturan!$B$8:$B$27,B$4)="",0,COUNTIF(Data!$B110:$U110,INDEX(Pengaturan!$B$8:$B$27,B$4)))</f>
        <v>0</v>
      </c>
      <c r="C110" s="26" t="n">
        <f aca="false">IF(INDEX(Pengaturan!$B$8:$B$27,C$4)="",0,COUNTIF(Data!$B110:$U110,INDEX(Pengaturan!$B$8:$B$27,C$4)))</f>
        <v>0</v>
      </c>
      <c r="D110" s="26" t="n">
        <f aca="false">IF(INDEX(Pengaturan!$B$8:$B$27,D$4)="",0,COUNTIF(Data!$B110:$U110,INDEX(Pengaturan!$B$8:$B$27,D$4)))</f>
        <v>0</v>
      </c>
      <c r="E110" s="26" t="n">
        <f aca="false">IF(INDEX(Pengaturan!$B$8:$B$27,E$4)="",0,COUNTIF(Data!$B110:$U110,INDEX(Pengaturan!$B$8:$B$27,E$4)))</f>
        <v>0</v>
      </c>
      <c r="F110" s="26" t="n">
        <f aca="false">IF(INDEX(Pengaturan!$B$8:$B$27,F$4)="",0,COUNTIF(Data!$B110:$U110,INDEX(Pengaturan!$B$8:$B$27,F$4)))</f>
        <v>0</v>
      </c>
      <c r="G110" s="26" t="n">
        <f aca="false">IF(INDEX(Pengaturan!$B$8:$B$27,G$4)="",0,COUNTIF(Data!$B110:$U110,INDEX(Pengaturan!$B$8:$B$27,G$4)))</f>
        <v>0</v>
      </c>
      <c r="H110" s="26" t="n">
        <f aca="false">IF(INDEX(Pengaturan!$B$8:$B$27,H$4)="",0,COUNTIF(Data!$B110:$U110,INDEX(Pengaturan!$B$8:$B$27,H$4)))</f>
        <v>0</v>
      </c>
      <c r="I110" s="26" t="n">
        <f aca="false">IF(INDEX(Pengaturan!$B$8:$B$27,I$4)="",0,COUNTIF(Data!$B110:$U110,INDEX(Pengaturan!$B$8:$B$27,I$4)))</f>
        <v>0</v>
      </c>
      <c r="J110" s="26" t="n">
        <f aca="false">IF(INDEX(Pengaturan!$B$8:$B$27,J$4)="",0,COUNTIF(Data!$B110:$U110,INDEX(Pengaturan!$B$8:$B$27,J$4)))</f>
        <v>0</v>
      </c>
      <c r="K110" s="26" t="n">
        <f aca="false">IF(INDEX(Pengaturan!$B$8:$B$27,K$4)="",0,COUNTIF(Data!$B110:$U110,INDEX(Pengaturan!$B$8:$B$27,K$4)))</f>
        <v>0</v>
      </c>
      <c r="L110" s="26" t="n">
        <f aca="false">IF(INDEX(Pengaturan!$B$8:$B$27,L$4)="",0,COUNTIF(Data!$B110:$U110,INDEX(Pengaturan!$B$8:$B$27,L$4)))</f>
        <v>0</v>
      </c>
      <c r="M110" s="26" t="n">
        <f aca="false">IF(INDEX(Pengaturan!$B$8:$B$27,M$4)="",0,COUNTIF(Data!$B110:$U110,INDEX(Pengaturan!$B$8:$B$27,M$4)))</f>
        <v>0</v>
      </c>
      <c r="N110" s="26" t="n">
        <f aca="false">IF(INDEX(Pengaturan!$B$8:$B$27,N$4)="",0,COUNTIF(Data!$B110:$U110,INDEX(Pengaturan!$B$8:$B$27,N$4)))</f>
        <v>0</v>
      </c>
      <c r="O110" s="26" t="n">
        <f aca="false">IF(INDEX(Pengaturan!$B$8:$B$27,O$4)="",0,COUNTIF(Data!$B110:$U110,INDEX(Pengaturan!$B$8:$B$27,O$4)))</f>
        <v>0</v>
      </c>
      <c r="P110" s="26" t="n">
        <f aca="false">IF(INDEX(Pengaturan!$B$8:$B$27,P$4)="",0,COUNTIF(Data!$B110:$U110,INDEX(Pengaturan!$B$8:$B$27,P$4)))</f>
        <v>0</v>
      </c>
      <c r="Q110" s="26" t="n">
        <f aca="false">IF(INDEX(Pengaturan!$B$8:$B$27,Q$4)="",0,COUNTIF(Data!$B110:$U110,INDEX(Pengaturan!$B$8:$B$27,Q$4)))</f>
        <v>0</v>
      </c>
      <c r="R110" s="26" t="n">
        <f aca="false">IF(INDEX(Pengaturan!$B$8:$B$27,R$4)="",0,COUNTIF(Data!$B110:$U110,INDEX(Pengaturan!$B$8:$B$27,R$4)))</f>
        <v>0</v>
      </c>
      <c r="S110" s="26" t="n">
        <f aca="false">IF(INDEX(Pengaturan!$B$8:$B$27,S$4)="",0,COUNTIF(Data!$B110:$U110,INDEX(Pengaturan!$B$8:$B$27,S$4)))</f>
        <v>0</v>
      </c>
      <c r="T110" s="26" t="n">
        <f aca="false">IF(INDEX(Pengaturan!$B$8:$B$27,T$4)="",0,COUNTIF(Data!$B110:$U110,INDEX(Pengaturan!$B$8:$B$27,T$4)))</f>
        <v>0</v>
      </c>
      <c r="U110" s="26" t="n">
        <f aca="false">IF(INDEX(Pengaturan!$B$8:$B$27,U$4)="",0,COUNTIF(Data!$B110:$U110,INDEX(Pengaturan!$B$8:$B$27,U$4)))</f>
        <v>0</v>
      </c>
      <c r="V110" s="26" t="n">
        <f aca="false">COUNTA(Data!$B110:$U110)</f>
        <v>0</v>
      </c>
      <c r="W110" s="27" t="str">
        <f aca="false">IF(V110=0,"",IF(V110&lt;&gt;Hasil!$C$4,"Data kosong/tidak lengkap",IF(SUM(B110:U110)&lt;&gt;V110,"Kategori tidak dikenal","OK")))</f>
        <v/>
      </c>
      <c r="X110" s="26" t="n">
        <f aca="false">IF(OR(W110="",W110="OK"),0,1)</f>
        <v>0</v>
      </c>
    </row>
    <row r="111" customFormat="false" ht="15" hidden="false" customHeight="false" outlineLevel="0" collapsed="false">
      <c r="A111" s="26" t="n">
        <f aca="false">Data!A111</f>
        <v>106</v>
      </c>
      <c r="B111" s="26" t="n">
        <f aca="false">IF(INDEX(Pengaturan!$B$8:$B$27,B$4)="",0,COUNTIF(Data!$B111:$U111,INDEX(Pengaturan!$B$8:$B$27,B$4)))</f>
        <v>0</v>
      </c>
      <c r="C111" s="26" t="n">
        <f aca="false">IF(INDEX(Pengaturan!$B$8:$B$27,C$4)="",0,COUNTIF(Data!$B111:$U111,INDEX(Pengaturan!$B$8:$B$27,C$4)))</f>
        <v>0</v>
      </c>
      <c r="D111" s="26" t="n">
        <f aca="false">IF(INDEX(Pengaturan!$B$8:$B$27,D$4)="",0,COUNTIF(Data!$B111:$U111,INDEX(Pengaturan!$B$8:$B$27,D$4)))</f>
        <v>0</v>
      </c>
      <c r="E111" s="26" t="n">
        <f aca="false">IF(INDEX(Pengaturan!$B$8:$B$27,E$4)="",0,COUNTIF(Data!$B111:$U111,INDEX(Pengaturan!$B$8:$B$27,E$4)))</f>
        <v>0</v>
      </c>
      <c r="F111" s="26" t="n">
        <f aca="false">IF(INDEX(Pengaturan!$B$8:$B$27,F$4)="",0,COUNTIF(Data!$B111:$U111,INDEX(Pengaturan!$B$8:$B$27,F$4)))</f>
        <v>0</v>
      </c>
      <c r="G111" s="26" t="n">
        <f aca="false">IF(INDEX(Pengaturan!$B$8:$B$27,G$4)="",0,COUNTIF(Data!$B111:$U111,INDEX(Pengaturan!$B$8:$B$27,G$4)))</f>
        <v>0</v>
      </c>
      <c r="H111" s="26" t="n">
        <f aca="false">IF(INDEX(Pengaturan!$B$8:$B$27,H$4)="",0,COUNTIF(Data!$B111:$U111,INDEX(Pengaturan!$B$8:$B$27,H$4)))</f>
        <v>0</v>
      </c>
      <c r="I111" s="26" t="n">
        <f aca="false">IF(INDEX(Pengaturan!$B$8:$B$27,I$4)="",0,COUNTIF(Data!$B111:$U111,INDEX(Pengaturan!$B$8:$B$27,I$4)))</f>
        <v>0</v>
      </c>
      <c r="J111" s="26" t="n">
        <f aca="false">IF(INDEX(Pengaturan!$B$8:$B$27,J$4)="",0,COUNTIF(Data!$B111:$U111,INDEX(Pengaturan!$B$8:$B$27,J$4)))</f>
        <v>0</v>
      </c>
      <c r="K111" s="26" t="n">
        <f aca="false">IF(INDEX(Pengaturan!$B$8:$B$27,K$4)="",0,COUNTIF(Data!$B111:$U111,INDEX(Pengaturan!$B$8:$B$27,K$4)))</f>
        <v>0</v>
      </c>
      <c r="L111" s="26" t="n">
        <f aca="false">IF(INDEX(Pengaturan!$B$8:$B$27,L$4)="",0,COUNTIF(Data!$B111:$U111,INDEX(Pengaturan!$B$8:$B$27,L$4)))</f>
        <v>0</v>
      </c>
      <c r="M111" s="26" t="n">
        <f aca="false">IF(INDEX(Pengaturan!$B$8:$B$27,M$4)="",0,COUNTIF(Data!$B111:$U111,INDEX(Pengaturan!$B$8:$B$27,M$4)))</f>
        <v>0</v>
      </c>
      <c r="N111" s="26" t="n">
        <f aca="false">IF(INDEX(Pengaturan!$B$8:$B$27,N$4)="",0,COUNTIF(Data!$B111:$U111,INDEX(Pengaturan!$B$8:$B$27,N$4)))</f>
        <v>0</v>
      </c>
      <c r="O111" s="26" t="n">
        <f aca="false">IF(INDEX(Pengaturan!$B$8:$B$27,O$4)="",0,COUNTIF(Data!$B111:$U111,INDEX(Pengaturan!$B$8:$B$27,O$4)))</f>
        <v>0</v>
      </c>
      <c r="P111" s="26" t="n">
        <f aca="false">IF(INDEX(Pengaturan!$B$8:$B$27,P$4)="",0,COUNTIF(Data!$B111:$U111,INDEX(Pengaturan!$B$8:$B$27,P$4)))</f>
        <v>0</v>
      </c>
      <c r="Q111" s="26" t="n">
        <f aca="false">IF(INDEX(Pengaturan!$B$8:$B$27,Q$4)="",0,COUNTIF(Data!$B111:$U111,INDEX(Pengaturan!$B$8:$B$27,Q$4)))</f>
        <v>0</v>
      </c>
      <c r="R111" s="26" t="n">
        <f aca="false">IF(INDEX(Pengaturan!$B$8:$B$27,R$4)="",0,COUNTIF(Data!$B111:$U111,INDEX(Pengaturan!$B$8:$B$27,R$4)))</f>
        <v>0</v>
      </c>
      <c r="S111" s="26" t="n">
        <f aca="false">IF(INDEX(Pengaturan!$B$8:$B$27,S$4)="",0,COUNTIF(Data!$B111:$U111,INDEX(Pengaturan!$B$8:$B$27,S$4)))</f>
        <v>0</v>
      </c>
      <c r="T111" s="26" t="n">
        <f aca="false">IF(INDEX(Pengaturan!$B$8:$B$27,T$4)="",0,COUNTIF(Data!$B111:$U111,INDEX(Pengaturan!$B$8:$B$27,T$4)))</f>
        <v>0</v>
      </c>
      <c r="U111" s="26" t="n">
        <f aca="false">IF(INDEX(Pengaturan!$B$8:$B$27,U$4)="",0,COUNTIF(Data!$B111:$U111,INDEX(Pengaturan!$B$8:$B$27,U$4)))</f>
        <v>0</v>
      </c>
      <c r="V111" s="26" t="n">
        <f aca="false">COUNTA(Data!$B111:$U111)</f>
        <v>0</v>
      </c>
      <c r="W111" s="27" t="str">
        <f aca="false">IF(V111=0,"",IF(V111&lt;&gt;Hasil!$C$4,"Data kosong/tidak lengkap",IF(SUM(B111:U111)&lt;&gt;V111,"Kategori tidak dikenal","OK")))</f>
        <v/>
      </c>
      <c r="X111" s="26" t="n">
        <f aca="false">IF(OR(W111="",W111="OK"),0,1)</f>
        <v>0</v>
      </c>
    </row>
    <row r="112" customFormat="false" ht="15" hidden="false" customHeight="false" outlineLevel="0" collapsed="false">
      <c r="A112" s="26" t="n">
        <f aca="false">Data!A112</f>
        <v>107</v>
      </c>
      <c r="B112" s="26" t="n">
        <f aca="false">IF(INDEX(Pengaturan!$B$8:$B$27,B$4)="",0,COUNTIF(Data!$B112:$U112,INDEX(Pengaturan!$B$8:$B$27,B$4)))</f>
        <v>0</v>
      </c>
      <c r="C112" s="26" t="n">
        <f aca="false">IF(INDEX(Pengaturan!$B$8:$B$27,C$4)="",0,COUNTIF(Data!$B112:$U112,INDEX(Pengaturan!$B$8:$B$27,C$4)))</f>
        <v>0</v>
      </c>
      <c r="D112" s="26" t="n">
        <f aca="false">IF(INDEX(Pengaturan!$B$8:$B$27,D$4)="",0,COUNTIF(Data!$B112:$U112,INDEX(Pengaturan!$B$8:$B$27,D$4)))</f>
        <v>0</v>
      </c>
      <c r="E112" s="26" t="n">
        <f aca="false">IF(INDEX(Pengaturan!$B$8:$B$27,E$4)="",0,COUNTIF(Data!$B112:$U112,INDEX(Pengaturan!$B$8:$B$27,E$4)))</f>
        <v>0</v>
      </c>
      <c r="F112" s="26" t="n">
        <f aca="false">IF(INDEX(Pengaturan!$B$8:$B$27,F$4)="",0,COUNTIF(Data!$B112:$U112,INDEX(Pengaturan!$B$8:$B$27,F$4)))</f>
        <v>0</v>
      </c>
      <c r="G112" s="26" t="n">
        <f aca="false">IF(INDEX(Pengaturan!$B$8:$B$27,G$4)="",0,COUNTIF(Data!$B112:$U112,INDEX(Pengaturan!$B$8:$B$27,G$4)))</f>
        <v>0</v>
      </c>
      <c r="H112" s="26" t="n">
        <f aca="false">IF(INDEX(Pengaturan!$B$8:$B$27,H$4)="",0,COUNTIF(Data!$B112:$U112,INDEX(Pengaturan!$B$8:$B$27,H$4)))</f>
        <v>0</v>
      </c>
      <c r="I112" s="26" t="n">
        <f aca="false">IF(INDEX(Pengaturan!$B$8:$B$27,I$4)="",0,COUNTIF(Data!$B112:$U112,INDEX(Pengaturan!$B$8:$B$27,I$4)))</f>
        <v>0</v>
      </c>
      <c r="J112" s="26" t="n">
        <f aca="false">IF(INDEX(Pengaturan!$B$8:$B$27,J$4)="",0,COUNTIF(Data!$B112:$U112,INDEX(Pengaturan!$B$8:$B$27,J$4)))</f>
        <v>0</v>
      </c>
      <c r="K112" s="26" t="n">
        <f aca="false">IF(INDEX(Pengaturan!$B$8:$B$27,K$4)="",0,COUNTIF(Data!$B112:$U112,INDEX(Pengaturan!$B$8:$B$27,K$4)))</f>
        <v>0</v>
      </c>
      <c r="L112" s="26" t="n">
        <f aca="false">IF(INDEX(Pengaturan!$B$8:$B$27,L$4)="",0,COUNTIF(Data!$B112:$U112,INDEX(Pengaturan!$B$8:$B$27,L$4)))</f>
        <v>0</v>
      </c>
      <c r="M112" s="26" t="n">
        <f aca="false">IF(INDEX(Pengaturan!$B$8:$B$27,M$4)="",0,COUNTIF(Data!$B112:$U112,INDEX(Pengaturan!$B$8:$B$27,M$4)))</f>
        <v>0</v>
      </c>
      <c r="N112" s="26" t="n">
        <f aca="false">IF(INDEX(Pengaturan!$B$8:$B$27,N$4)="",0,COUNTIF(Data!$B112:$U112,INDEX(Pengaturan!$B$8:$B$27,N$4)))</f>
        <v>0</v>
      </c>
      <c r="O112" s="26" t="n">
        <f aca="false">IF(INDEX(Pengaturan!$B$8:$B$27,O$4)="",0,COUNTIF(Data!$B112:$U112,INDEX(Pengaturan!$B$8:$B$27,O$4)))</f>
        <v>0</v>
      </c>
      <c r="P112" s="26" t="n">
        <f aca="false">IF(INDEX(Pengaturan!$B$8:$B$27,P$4)="",0,COUNTIF(Data!$B112:$U112,INDEX(Pengaturan!$B$8:$B$27,P$4)))</f>
        <v>0</v>
      </c>
      <c r="Q112" s="26" t="n">
        <f aca="false">IF(INDEX(Pengaturan!$B$8:$B$27,Q$4)="",0,COUNTIF(Data!$B112:$U112,INDEX(Pengaturan!$B$8:$B$27,Q$4)))</f>
        <v>0</v>
      </c>
      <c r="R112" s="26" t="n">
        <f aca="false">IF(INDEX(Pengaturan!$B$8:$B$27,R$4)="",0,COUNTIF(Data!$B112:$U112,INDEX(Pengaturan!$B$8:$B$27,R$4)))</f>
        <v>0</v>
      </c>
      <c r="S112" s="26" t="n">
        <f aca="false">IF(INDEX(Pengaturan!$B$8:$B$27,S$4)="",0,COUNTIF(Data!$B112:$U112,INDEX(Pengaturan!$B$8:$B$27,S$4)))</f>
        <v>0</v>
      </c>
      <c r="T112" s="26" t="n">
        <f aca="false">IF(INDEX(Pengaturan!$B$8:$B$27,T$4)="",0,COUNTIF(Data!$B112:$U112,INDEX(Pengaturan!$B$8:$B$27,T$4)))</f>
        <v>0</v>
      </c>
      <c r="U112" s="26" t="n">
        <f aca="false">IF(INDEX(Pengaturan!$B$8:$B$27,U$4)="",0,COUNTIF(Data!$B112:$U112,INDEX(Pengaturan!$B$8:$B$27,U$4)))</f>
        <v>0</v>
      </c>
      <c r="V112" s="26" t="n">
        <f aca="false">COUNTA(Data!$B112:$U112)</f>
        <v>0</v>
      </c>
      <c r="W112" s="27" t="str">
        <f aca="false">IF(V112=0,"",IF(V112&lt;&gt;Hasil!$C$4,"Data kosong/tidak lengkap",IF(SUM(B112:U112)&lt;&gt;V112,"Kategori tidak dikenal","OK")))</f>
        <v/>
      </c>
      <c r="X112" s="26" t="n">
        <f aca="false">IF(OR(W112="",W112="OK"),0,1)</f>
        <v>0</v>
      </c>
    </row>
    <row r="113" customFormat="false" ht="15" hidden="false" customHeight="false" outlineLevel="0" collapsed="false">
      <c r="A113" s="26" t="n">
        <f aca="false">Data!A113</f>
        <v>108</v>
      </c>
      <c r="B113" s="26" t="n">
        <f aca="false">IF(INDEX(Pengaturan!$B$8:$B$27,B$4)="",0,COUNTIF(Data!$B113:$U113,INDEX(Pengaturan!$B$8:$B$27,B$4)))</f>
        <v>0</v>
      </c>
      <c r="C113" s="26" t="n">
        <f aca="false">IF(INDEX(Pengaturan!$B$8:$B$27,C$4)="",0,COUNTIF(Data!$B113:$U113,INDEX(Pengaturan!$B$8:$B$27,C$4)))</f>
        <v>0</v>
      </c>
      <c r="D113" s="26" t="n">
        <f aca="false">IF(INDEX(Pengaturan!$B$8:$B$27,D$4)="",0,COUNTIF(Data!$B113:$U113,INDEX(Pengaturan!$B$8:$B$27,D$4)))</f>
        <v>0</v>
      </c>
      <c r="E113" s="26" t="n">
        <f aca="false">IF(INDEX(Pengaturan!$B$8:$B$27,E$4)="",0,COUNTIF(Data!$B113:$U113,INDEX(Pengaturan!$B$8:$B$27,E$4)))</f>
        <v>0</v>
      </c>
      <c r="F113" s="26" t="n">
        <f aca="false">IF(INDEX(Pengaturan!$B$8:$B$27,F$4)="",0,COUNTIF(Data!$B113:$U113,INDEX(Pengaturan!$B$8:$B$27,F$4)))</f>
        <v>0</v>
      </c>
      <c r="G113" s="26" t="n">
        <f aca="false">IF(INDEX(Pengaturan!$B$8:$B$27,G$4)="",0,COUNTIF(Data!$B113:$U113,INDEX(Pengaturan!$B$8:$B$27,G$4)))</f>
        <v>0</v>
      </c>
      <c r="H113" s="26" t="n">
        <f aca="false">IF(INDEX(Pengaturan!$B$8:$B$27,H$4)="",0,COUNTIF(Data!$B113:$U113,INDEX(Pengaturan!$B$8:$B$27,H$4)))</f>
        <v>0</v>
      </c>
      <c r="I113" s="26" t="n">
        <f aca="false">IF(INDEX(Pengaturan!$B$8:$B$27,I$4)="",0,COUNTIF(Data!$B113:$U113,INDEX(Pengaturan!$B$8:$B$27,I$4)))</f>
        <v>0</v>
      </c>
      <c r="J113" s="26" t="n">
        <f aca="false">IF(INDEX(Pengaturan!$B$8:$B$27,J$4)="",0,COUNTIF(Data!$B113:$U113,INDEX(Pengaturan!$B$8:$B$27,J$4)))</f>
        <v>0</v>
      </c>
      <c r="K113" s="26" t="n">
        <f aca="false">IF(INDEX(Pengaturan!$B$8:$B$27,K$4)="",0,COUNTIF(Data!$B113:$U113,INDEX(Pengaturan!$B$8:$B$27,K$4)))</f>
        <v>0</v>
      </c>
      <c r="L113" s="26" t="n">
        <f aca="false">IF(INDEX(Pengaturan!$B$8:$B$27,L$4)="",0,COUNTIF(Data!$B113:$U113,INDEX(Pengaturan!$B$8:$B$27,L$4)))</f>
        <v>0</v>
      </c>
      <c r="M113" s="26" t="n">
        <f aca="false">IF(INDEX(Pengaturan!$B$8:$B$27,M$4)="",0,COUNTIF(Data!$B113:$U113,INDEX(Pengaturan!$B$8:$B$27,M$4)))</f>
        <v>0</v>
      </c>
      <c r="N113" s="26" t="n">
        <f aca="false">IF(INDEX(Pengaturan!$B$8:$B$27,N$4)="",0,COUNTIF(Data!$B113:$U113,INDEX(Pengaturan!$B$8:$B$27,N$4)))</f>
        <v>0</v>
      </c>
      <c r="O113" s="26" t="n">
        <f aca="false">IF(INDEX(Pengaturan!$B$8:$B$27,O$4)="",0,COUNTIF(Data!$B113:$U113,INDEX(Pengaturan!$B$8:$B$27,O$4)))</f>
        <v>0</v>
      </c>
      <c r="P113" s="26" t="n">
        <f aca="false">IF(INDEX(Pengaturan!$B$8:$B$27,P$4)="",0,COUNTIF(Data!$B113:$U113,INDEX(Pengaturan!$B$8:$B$27,P$4)))</f>
        <v>0</v>
      </c>
      <c r="Q113" s="26" t="n">
        <f aca="false">IF(INDEX(Pengaturan!$B$8:$B$27,Q$4)="",0,COUNTIF(Data!$B113:$U113,INDEX(Pengaturan!$B$8:$B$27,Q$4)))</f>
        <v>0</v>
      </c>
      <c r="R113" s="26" t="n">
        <f aca="false">IF(INDEX(Pengaturan!$B$8:$B$27,R$4)="",0,COUNTIF(Data!$B113:$U113,INDEX(Pengaturan!$B$8:$B$27,R$4)))</f>
        <v>0</v>
      </c>
      <c r="S113" s="26" t="n">
        <f aca="false">IF(INDEX(Pengaturan!$B$8:$B$27,S$4)="",0,COUNTIF(Data!$B113:$U113,INDEX(Pengaturan!$B$8:$B$27,S$4)))</f>
        <v>0</v>
      </c>
      <c r="T113" s="26" t="n">
        <f aca="false">IF(INDEX(Pengaturan!$B$8:$B$27,T$4)="",0,COUNTIF(Data!$B113:$U113,INDEX(Pengaturan!$B$8:$B$27,T$4)))</f>
        <v>0</v>
      </c>
      <c r="U113" s="26" t="n">
        <f aca="false">IF(INDEX(Pengaturan!$B$8:$B$27,U$4)="",0,COUNTIF(Data!$B113:$U113,INDEX(Pengaturan!$B$8:$B$27,U$4)))</f>
        <v>0</v>
      </c>
      <c r="V113" s="26" t="n">
        <f aca="false">COUNTA(Data!$B113:$U113)</f>
        <v>0</v>
      </c>
      <c r="W113" s="27" t="str">
        <f aca="false">IF(V113=0,"",IF(V113&lt;&gt;Hasil!$C$4,"Data kosong/tidak lengkap",IF(SUM(B113:U113)&lt;&gt;V113,"Kategori tidak dikenal","OK")))</f>
        <v/>
      </c>
      <c r="X113" s="26" t="n">
        <f aca="false">IF(OR(W113="",W113="OK"),0,1)</f>
        <v>0</v>
      </c>
    </row>
    <row r="114" customFormat="false" ht="15" hidden="false" customHeight="false" outlineLevel="0" collapsed="false">
      <c r="A114" s="26" t="n">
        <f aca="false">Data!A114</f>
        <v>109</v>
      </c>
      <c r="B114" s="26" t="n">
        <f aca="false">IF(INDEX(Pengaturan!$B$8:$B$27,B$4)="",0,COUNTIF(Data!$B114:$U114,INDEX(Pengaturan!$B$8:$B$27,B$4)))</f>
        <v>0</v>
      </c>
      <c r="C114" s="26" t="n">
        <f aca="false">IF(INDEX(Pengaturan!$B$8:$B$27,C$4)="",0,COUNTIF(Data!$B114:$U114,INDEX(Pengaturan!$B$8:$B$27,C$4)))</f>
        <v>0</v>
      </c>
      <c r="D114" s="26" t="n">
        <f aca="false">IF(INDEX(Pengaturan!$B$8:$B$27,D$4)="",0,COUNTIF(Data!$B114:$U114,INDEX(Pengaturan!$B$8:$B$27,D$4)))</f>
        <v>0</v>
      </c>
      <c r="E114" s="26" t="n">
        <f aca="false">IF(INDEX(Pengaturan!$B$8:$B$27,E$4)="",0,COUNTIF(Data!$B114:$U114,INDEX(Pengaturan!$B$8:$B$27,E$4)))</f>
        <v>0</v>
      </c>
      <c r="F114" s="26" t="n">
        <f aca="false">IF(INDEX(Pengaturan!$B$8:$B$27,F$4)="",0,COUNTIF(Data!$B114:$U114,INDEX(Pengaturan!$B$8:$B$27,F$4)))</f>
        <v>0</v>
      </c>
      <c r="G114" s="26" t="n">
        <f aca="false">IF(INDEX(Pengaturan!$B$8:$B$27,G$4)="",0,COUNTIF(Data!$B114:$U114,INDEX(Pengaturan!$B$8:$B$27,G$4)))</f>
        <v>0</v>
      </c>
      <c r="H114" s="26" t="n">
        <f aca="false">IF(INDEX(Pengaturan!$B$8:$B$27,H$4)="",0,COUNTIF(Data!$B114:$U114,INDEX(Pengaturan!$B$8:$B$27,H$4)))</f>
        <v>0</v>
      </c>
      <c r="I114" s="26" t="n">
        <f aca="false">IF(INDEX(Pengaturan!$B$8:$B$27,I$4)="",0,COUNTIF(Data!$B114:$U114,INDEX(Pengaturan!$B$8:$B$27,I$4)))</f>
        <v>0</v>
      </c>
      <c r="J114" s="26" t="n">
        <f aca="false">IF(INDEX(Pengaturan!$B$8:$B$27,J$4)="",0,COUNTIF(Data!$B114:$U114,INDEX(Pengaturan!$B$8:$B$27,J$4)))</f>
        <v>0</v>
      </c>
      <c r="K114" s="26" t="n">
        <f aca="false">IF(INDEX(Pengaturan!$B$8:$B$27,K$4)="",0,COUNTIF(Data!$B114:$U114,INDEX(Pengaturan!$B$8:$B$27,K$4)))</f>
        <v>0</v>
      </c>
      <c r="L114" s="26" t="n">
        <f aca="false">IF(INDEX(Pengaturan!$B$8:$B$27,L$4)="",0,COUNTIF(Data!$B114:$U114,INDEX(Pengaturan!$B$8:$B$27,L$4)))</f>
        <v>0</v>
      </c>
      <c r="M114" s="26" t="n">
        <f aca="false">IF(INDEX(Pengaturan!$B$8:$B$27,M$4)="",0,COUNTIF(Data!$B114:$U114,INDEX(Pengaturan!$B$8:$B$27,M$4)))</f>
        <v>0</v>
      </c>
      <c r="N114" s="26" t="n">
        <f aca="false">IF(INDEX(Pengaturan!$B$8:$B$27,N$4)="",0,COUNTIF(Data!$B114:$U114,INDEX(Pengaturan!$B$8:$B$27,N$4)))</f>
        <v>0</v>
      </c>
      <c r="O114" s="26" t="n">
        <f aca="false">IF(INDEX(Pengaturan!$B$8:$B$27,O$4)="",0,COUNTIF(Data!$B114:$U114,INDEX(Pengaturan!$B$8:$B$27,O$4)))</f>
        <v>0</v>
      </c>
      <c r="P114" s="26" t="n">
        <f aca="false">IF(INDEX(Pengaturan!$B$8:$B$27,P$4)="",0,COUNTIF(Data!$B114:$U114,INDEX(Pengaturan!$B$8:$B$27,P$4)))</f>
        <v>0</v>
      </c>
      <c r="Q114" s="26" t="n">
        <f aca="false">IF(INDEX(Pengaturan!$B$8:$B$27,Q$4)="",0,COUNTIF(Data!$B114:$U114,INDEX(Pengaturan!$B$8:$B$27,Q$4)))</f>
        <v>0</v>
      </c>
      <c r="R114" s="26" t="n">
        <f aca="false">IF(INDEX(Pengaturan!$B$8:$B$27,R$4)="",0,COUNTIF(Data!$B114:$U114,INDEX(Pengaturan!$B$8:$B$27,R$4)))</f>
        <v>0</v>
      </c>
      <c r="S114" s="26" t="n">
        <f aca="false">IF(INDEX(Pengaturan!$B$8:$B$27,S$4)="",0,COUNTIF(Data!$B114:$U114,INDEX(Pengaturan!$B$8:$B$27,S$4)))</f>
        <v>0</v>
      </c>
      <c r="T114" s="26" t="n">
        <f aca="false">IF(INDEX(Pengaturan!$B$8:$B$27,T$4)="",0,COUNTIF(Data!$B114:$U114,INDEX(Pengaturan!$B$8:$B$27,T$4)))</f>
        <v>0</v>
      </c>
      <c r="U114" s="26" t="n">
        <f aca="false">IF(INDEX(Pengaturan!$B$8:$B$27,U$4)="",0,COUNTIF(Data!$B114:$U114,INDEX(Pengaturan!$B$8:$B$27,U$4)))</f>
        <v>0</v>
      </c>
      <c r="V114" s="26" t="n">
        <f aca="false">COUNTA(Data!$B114:$U114)</f>
        <v>0</v>
      </c>
      <c r="W114" s="27" t="str">
        <f aca="false">IF(V114=0,"",IF(V114&lt;&gt;Hasil!$C$4,"Data kosong/tidak lengkap",IF(SUM(B114:U114)&lt;&gt;V114,"Kategori tidak dikenal","OK")))</f>
        <v/>
      </c>
      <c r="X114" s="26" t="n">
        <f aca="false">IF(OR(W114="",W114="OK"),0,1)</f>
        <v>0</v>
      </c>
    </row>
    <row r="115" customFormat="false" ht="15" hidden="false" customHeight="false" outlineLevel="0" collapsed="false">
      <c r="A115" s="26" t="n">
        <f aca="false">Data!A115</f>
        <v>110</v>
      </c>
      <c r="B115" s="26" t="n">
        <f aca="false">IF(INDEX(Pengaturan!$B$8:$B$27,B$4)="",0,COUNTIF(Data!$B115:$U115,INDEX(Pengaturan!$B$8:$B$27,B$4)))</f>
        <v>0</v>
      </c>
      <c r="C115" s="26" t="n">
        <f aca="false">IF(INDEX(Pengaturan!$B$8:$B$27,C$4)="",0,COUNTIF(Data!$B115:$U115,INDEX(Pengaturan!$B$8:$B$27,C$4)))</f>
        <v>0</v>
      </c>
      <c r="D115" s="26" t="n">
        <f aca="false">IF(INDEX(Pengaturan!$B$8:$B$27,D$4)="",0,COUNTIF(Data!$B115:$U115,INDEX(Pengaturan!$B$8:$B$27,D$4)))</f>
        <v>0</v>
      </c>
      <c r="E115" s="26" t="n">
        <f aca="false">IF(INDEX(Pengaturan!$B$8:$B$27,E$4)="",0,COUNTIF(Data!$B115:$U115,INDEX(Pengaturan!$B$8:$B$27,E$4)))</f>
        <v>0</v>
      </c>
      <c r="F115" s="26" t="n">
        <f aca="false">IF(INDEX(Pengaturan!$B$8:$B$27,F$4)="",0,COUNTIF(Data!$B115:$U115,INDEX(Pengaturan!$B$8:$B$27,F$4)))</f>
        <v>0</v>
      </c>
      <c r="G115" s="26" t="n">
        <f aca="false">IF(INDEX(Pengaturan!$B$8:$B$27,G$4)="",0,COUNTIF(Data!$B115:$U115,INDEX(Pengaturan!$B$8:$B$27,G$4)))</f>
        <v>0</v>
      </c>
      <c r="H115" s="26" t="n">
        <f aca="false">IF(INDEX(Pengaturan!$B$8:$B$27,H$4)="",0,COUNTIF(Data!$B115:$U115,INDEX(Pengaturan!$B$8:$B$27,H$4)))</f>
        <v>0</v>
      </c>
      <c r="I115" s="26" t="n">
        <f aca="false">IF(INDEX(Pengaturan!$B$8:$B$27,I$4)="",0,COUNTIF(Data!$B115:$U115,INDEX(Pengaturan!$B$8:$B$27,I$4)))</f>
        <v>0</v>
      </c>
      <c r="J115" s="26" t="n">
        <f aca="false">IF(INDEX(Pengaturan!$B$8:$B$27,J$4)="",0,COUNTIF(Data!$B115:$U115,INDEX(Pengaturan!$B$8:$B$27,J$4)))</f>
        <v>0</v>
      </c>
      <c r="K115" s="26" t="n">
        <f aca="false">IF(INDEX(Pengaturan!$B$8:$B$27,K$4)="",0,COUNTIF(Data!$B115:$U115,INDEX(Pengaturan!$B$8:$B$27,K$4)))</f>
        <v>0</v>
      </c>
      <c r="L115" s="26" t="n">
        <f aca="false">IF(INDEX(Pengaturan!$B$8:$B$27,L$4)="",0,COUNTIF(Data!$B115:$U115,INDEX(Pengaturan!$B$8:$B$27,L$4)))</f>
        <v>0</v>
      </c>
      <c r="M115" s="26" t="n">
        <f aca="false">IF(INDEX(Pengaturan!$B$8:$B$27,M$4)="",0,COUNTIF(Data!$B115:$U115,INDEX(Pengaturan!$B$8:$B$27,M$4)))</f>
        <v>0</v>
      </c>
      <c r="N115" s="26" t="n">
        <f aca="false">IF(INDEX(Pengaturan!$B$8:$B$27,N$4)="",0,COUNTIF(Data!$B115:$U115,INDEX(Pengaturan!$B$8:$B$27,N$4)))</f>
        <v>0</v>
      </c>
      <c r="O115" s="26" t="n">
        <f aca="false">IF(INDEX(Pengaturan!$B$8:$B$27,O$4)="",0,COUNTIF(Data!$B115:$U115,INDEX(Pengaturan!$B$8:$B$27,O$4)))</f>
        <v>0</v>
      </c>
      <c r="P115" s="26" t="n">
        <f aca="false">IF(INDEX(Pengaturan!$B$8:$B$27,P$4)="",0,COUNTIF(Data!$B115:$U115,INDEX(Pengaturan!$B$8:$B$27,P$4)))</f>
        <v>0</v>
      </c>
      <c r="Q115" s="26" t="n">
        <f aca="false">IF(INDEX(Pengaturan!$B$8:$B$27,Q$4)="",0,COUNTIF(Data!$B115:$U115,INDEX(Pengaturan!$B$8:$B$27,Q$4)))</f>
        <v>0</v>
      </c>
      <c r="R115" s="26" t="n">
        <f aca="false">IF(INDEX(Pengaturan!$B$8:$B$27,R$4)="",0,COUNTIF(Data!$B115:$U115,INDEX(Pengaturan!$B$8:$B$27,R$4)))</f>
        <v>0</v>
      </c>
      <c r="S115" s="26" t="n">
        <f aca="false">IF(INDEX(Pengaturan!$B$8:$B$27,S$4)="",0,COUNTIF(Data!$B115:$U115,INDEX(Pengaturan!$B$8:$B$27,S$4)))</f>
        <v>0</v>
      </c>
      <c r="T115" s="26" t="n">
        <f aca="false">IF(INDEX(Pengaturan!$B$8:$B$27,T$4)="",0,COUNTIF(Data!$B115:$U115,INDEX(Pengaturan!$B$8:$B$27,T$4)))</f>
        <v>0</v>
      </c>
      <c r="U115" s="26" t="n">
        <f aca="false">IF(INDEX(Pengaturan!$B$8:$B$27,U$4)="",0,COUNTIF(Data!$B115:$U115,INDEX(Pengaturan!$B$8:$B$27,U$4)))</f>
        <v>0</v>
      </c>
      <c r="V115" s="26" t="n">
        <f aca="false">COUNTA(Data!$B115:$U115)</f>
        <v>0</v>
      </c>
      <c r="W115" s="27" t="str">
        <f aca="false">IF(V115=0,"",IF(V115&lt;&gt;Hasil!$C$4,"Data kosong/tidak lengkap",IF(SUM(B115:U115)&lt;&gt;V115,"Kategori tidak dikenal","OK")))</f>
        <v/>
      </c>
      <c r="X115" s="26" t="n">
        <f aca="false">IF(OR(W115="",W115="OK"),0,1)</f>
        <v>0</v>
      </c>
    </row>
    <row r="116" customFormat="false" ht="15" hidden="false" customHeight="false" outlineLevel="0" collapsed="false">
      <c r="A116" s="26" t="n">
        <f aca="false">Data!A116</f>
        <v>111</v>
      </c>
      <c r="B116" s="26" t="n">
        <f aca="false">IF(INDEX(Pengaturan!$B$8:$B$27,B$4)="",0,COUNTIF(Data!$B116:$U116,INDEX(Pengaturan!$B$8:$B$27,B$4)))</f>
        <v>0</v>
      </c>
      <c r="C116" s="26" t="n">
        <f aca="false">IF(INDEX(Pengaturan!$B$8:$B$27,C$4)="",0,COUNTIF(Data!$B116:$U116,INDEX(Pengaturan!$B$8:$B$27,C$4)))</f>
        <v>0</v>
      </c>
      <c r="D116" s="26" t="n">
        <f aca="false">IF(INDEX(Pengaturan!$B$8:$B$27,D$4)="",0,COUNTIF(Data!$B116:$U116,INDEX(Pengaturan!$B$8:$B$27,D$4)))</f>
        <v>0</v>
      </c>
      <c r="E116" s="26" t="n">
        <f aca="false">IF(INDEX(Pengaturan!$B$8:$B$27,E$4)="",0,COUNTIF(Data!$B116:$U116,INDEX(Pengaturan!$B$8:$B$27,E$4)))</f>
        <v>0</v>
      </c>
      <c r="F116" s="26" t="n">
        <f aca="false">IF(INDEX(Pengaturan!$B$8:$B$27,F$4)="",0,COUNTIF(Data!$B116:$U116,INDEX(Pengaturan!$B$8:$B$27,F$4)))</f>
        <v>0</v>
      </c>
      <c r="G116" s="26" t="n">
        <f aca="false">IF(INDEX(Pengaturan!$B$8:$B$27,G$4)="",0,COUNTIF(Data!$B116:$U116,INDEX(Pengaturan!$B$8:$B$27,G$4)))</f>
        <v>0</v>
      </c>
      <c r="H116" s="26" t="n">
        <f aca="false">IF(INDEX(Pengaturan!$B$8:$B$27,H$4)="",0,COUNTIF(Data!$B116:$U116,INDEX(Pengaturan!$B$8:$B$27,H$4)))</f>
        <v>0</v>
      </c>
      <c r="I116" s="26" t="n">
        <f aca="false">IF(INDEX(Pengaturan!$B$8:$B$27,I$4)="",0,COUNTIF(Data!$B116:$U116,INDEX(Pengaturan!$B$8:$B$27,I$4)))</f>
        <v>0</v>
      </c>
      <c r="J116" s="26" t="n">
        <f aca="false">IF(INDEX(Pengaturan!$B$8:$B$27,J$4)="",0,COUNTIF(Data!$B116:$U116,INDEX(Pengaturan!$B$8:$B$27,J$4)))</f>
        <v>0</v>
      </c>
      <c r="K116" s="26" t="n">
        <f aca="false">IF(INDEX(Pengaturan!$B$8:$B$27,K$4)="",0,COUNTIF(Data!$B116:$U116,INDEX(Pengaturan!$B$8:$B$27,K$4)))</f>
        <v>0</v>
      </c>
      <c r="L116" s="26" t="n">
        <f aca="false">IF(INDEX(Pengaturan!$B$8:$B$27,L$4)="",0,COUNTIF(Data!$B116:$U116,INDEX(Pengaturan!$B$8:$B$27,L$4)))</f>
        <v>0</v>
      </c>
      <c r="M116" s="26" t="n">
        <f aca="false">IF(INDEX(Pengaturan!$B$8:$B$27,M$4)="",0,COUNTIF(Data!$B116:$U116,INDEX(Pengaturan!$B$8:$B$27,M$4)))</f>
        <v>0</v>
      </c>
      <c r="N116" s="26" t="n">
        <f aca="false">IF(INDEX(Pengaturan!$B$8:$B$27,N$4)="",0,COUNTIF(Data!$B116:$U116,INDEX(Pengaturan!$B$8:$B$27,N$4)))</f>
        <v>0</v>
      </c>
      <c r="O116" s="26" t="n">
        <f aca="false">IF(INDEX(Pengaturan!$B$8:$B$27,O$4)="",0,COUNTIF(Data!$B116:$U116,INDEX(Pengaturan!$B$8:$B$27,O$4)))</f>
        <v>0</v>
      </c>
      <c r="P116" s="26" t="n">
        <f aca="false">IF(INDEX(Pengaturan!$B$8:$B$27,P$4)="",0,COUNTIF(Data!$B116:$U116,INDEX(Pengaturan!$B$8:$B$27,P$4)))</f>
        <v>0</v>
      </c>
      <c r="Q116" s="26" t="n">
        <f aca="false">IF(INDEX(Pengaturan!$B$8:$B$27,Q$4)="",0,COUNTIF(Data!$B116:$U116,INDEX(Pengaturan!$B$8:$B$27,Q$4)))</f>
        <v>0</v>
      </c>
      <c r="R116" s="26" t="n">
        <f aca="false">IF(INDEX(Pengaturan!$B$8:$B$27,R$4)="",0,COUNTIF(Data!$B116:$U116,INDEX(Pengaturan!$B$8:$B$27,R$4)))</f>
        <v>0</v>
      </c>
      <c r="S116" s="26" t="n">
        <f aca="false">IF(INDEX(Pengaturan!$B$8:$B$27,S$4)="",0,COUNTIF(Data!$B116:$U116,INDEX(Pengaturan!$B$8:$B$27,S$4)))</f>
        <v>0</v>
      </c>
      <c r="T116" s="26" t="n">
        <f aca="false">IF(INDEX(Pengaturan!$B$8:$B$27,T$4)="",0,COUNTIF(Data!$B116:$U116,INDEX(Pengaturan!$B$8:$B$27,T$4)))</f>
        <v>0</v>
      </c>
      <c r="U116" s="26" t="n">
        <f aca="false">IF(INDEX(Pengaturan!$B$8:$B$27,U$4)="",0,COUNTIF(Data!$B116:$U116,INDEX(Pengaturan!$B$8:$B$27,U$4)))</f>
        <v>0</v>
      </c>
      <c r="V116" s="26" t="n">
        <f aca="false">COUNTA(Data!$B116:$U116)</f>
        <v>0</v>
      </c>
      <c r="W116" s="27" t="str">
        <f aca="false">IF(V116=0,"",IF(V116&lt;&gt;Hasil!$C$4,"Data kosong/tidak lengkap",IF(SUM(B116:U116)&lt;&gt;V116,"Kategori tidak dikenal","OK")))</f>
        <v/>
      </c>
      <c r="X116" s="26" t="n">
        <f aca="false">IF(OR(W116="",W116="OK"),0,1)</f>
        <v>0</v>
      </c>
    </row>
    <row r="117" customFormat="false" ht="15" hidden="false" customHeight="false" outlineLevel="0" collapsed="false">
      <c r="A117" s="26" t="n">
        <f aca="false">Data!A117</f>
        <v>112</v>
      </c>
      <c r="B117" s="26" t="n">
        <f aca="false">IF(INDEX(Pengaturan!$B$8:$B$27,B$4)="",0,COUNTIF(Data!$B117:$U117,INDEX(Pengaturan!$B$8:$B$27,B$4)))</f>
        <v>0</v>
      </c>
      <c r="C117" s="26" t="n">
        <f aca="false">IF(INDEX(Pengaturan!$B$8:$B$27,C$4)="",0,COUNTIF(Data!$B117:$U117,INDEX(Pengaturan!$B$8:$B$27,C$4)))</f>
        <v>0</v>
      </c>
      <c r="D117" s="26" t="n">
        <f aca="false">IF(INDEX(Pengaturan!$B$8:$B$27,D$4)="",0,COUNTIF(Data!$B117:$U117,INDEX(Pengaturan!$B$8:$B$27,D$4)))</f>
        <v>0</v>
      </c>
      <c r="E117" s="26" t="n">
        <f aca="false">IF(INDEX(Pengaturan!$B$8:$B$27,E$4)="",0,COUNTIF(Data!$B117:$U117,INDEX(Pengaturan!$B$8:$B$27,E$4)))</f>
        <v>0</v>
      </c>
      <c r="F117" s="26" t="n">
        <f aca="false">IF(INDEX(Pengaturan!$B$8:$B$27,F$4)="",0,COUNTIF(Data!$B117:$U117,INDEX(Pengaturan!$B$8:$B$27,F$4)))</f>
        <v>0</v>
      </c>
      <c r="G117" s="26" t="n">
        <f aca="false">IF(INDEX(Pengaturan!$B$8:$B$27,G$4)="",0,COUNTIF(Data!$B117:$U117,INDEX(Pengaturan!$B$8:$B$27,G$4)))</f>
        <v>0</v>
      </c>
      <c r="H117" s="26" t="n">
        <f aca="false">IF(INDEX(Pengaturan!$B$8:$B$27,H$4)="",0,COUNTIF(Data!$B117:$U117,INDEX(Pengaturan!$B$8:$B$27,H$4)))</f>
        <v>0</v>
      </c>
      <c r="I117" s="26" t="n">
        <f aca="false">IF(INDEX(Pengaturan!$B$8:$B$27,I$4)="",0,COUNTIF(Data!$B117:$U117,INDEX(Pengaturan!$B$8:$B$27,I$4)))</f>
        <v>0</v>
      </c>
      <c r="J117" s="26" t="n">
        <f aca="false">IF(INDEX(Pengaturan!$B$8:$B$27,J$4)="",0,COUNTIF(Data!$B117:$U117,INDEX(Pengaturan!$B$8:$B$27,J$4)))</f>
        <v>0</v>
      </c>
      <c r="K117" s="26" t="n">
        <f aca="false">IF(INDEX(Pengaturan!$B$8:$B$27,K$4)="",0,COUNTIF(Data!$B117:$U117,INDEX(Pengaturan!$B$8:$B$27,K$4)))</f>
        <v>0</v>
      </c>
      <c r="L117" s="26" t="n">
        <f aca="false">IF(INDEX(Pengaturan!$B$8:$B$27,L$4)="",0,COUNTIF(Data!$B117:$U117,INDEX(Pengaturan!$B$8:$B$27,L$4)))</f>
        <v>0</v>
      </c>
      <c r="M117" s="26" t="n">
        <f aca="false">IF(INDEX(Pengaturan!$B$8:$B$27,M$4)="",0,COUNTIF(Data!$B117:$U117,INDEX(Pengaturan!$B$8:$B$27,M$4)))</f>
        <v>0</v>
      </c>
      <c r="N117" s="26" t="n">
        <f aca="false">IF(INDEX(Pengaturan!$B$8:$B$27,N$4)="",0,COUNTIF(Data!$B117:$U117,INDEX(Pengaturan!$B$8:$B$27,N$4)))</f>
        <v>0</v>
      </c>
      <c r="O117" s="26" t="n">
        <f aca="false">IF(INDEX(Pengaturan!$B$8:$B$27,O$4)="",0,COUNTIF(Data!$B117:$U117,INDEX(Pengaturan!$B$8:$B$27,O$4)))</f>
        <v>0</v>
      </c>
      <c r="P117" s="26" t="n">
        <f aca="false">IF(INDEX(Pengaturan!$B$8:$B$27,P$4)="",0,COUNTIF(Data!$B117:$U117,INDEX(Pengaturan!$B$8:$B$27,P$4)))</f>
        <v>0</v>
      </c>
      <c r="Q117" s="26" t="n">
        <f aca="false">IF(INDEX(Pengaturan!$B$8:$B$27,Q$4)="",0,COUNTIF(Data!$B117:$U117,INDEX(Pengaturan!$B$8:$B$27,Q$4)))</f>
        <v>0</v>
      </c>
      <c r="R117" s="26" t="n">
        <f aca="false">IF(INDEX(Pengaturan!$B$8:$B$27,R$4)="",0,COUNTIF(Data!$B117:$U117,INDEX(Pengaturan!$B$8:$B$27,R$4)))</f>
        <v>0</v>
      </c>
      <c r="S117" s="26" t="n">
        <f aca="false">IF(INDEX(Pengaturan!$B$8:$B$27,S$4)="",0,COUNTIF(Data!$B117:$U117,INDEX(Pengaturan!$B$8:$B$27,S$4)))</f>
        <v>0</v>
      </c>
      <c r="T117" s="26" t="n">
        <f aca="false">IF(INDEX(Pengaturan!$B$8:$B$27,T$4)="",0,COUNTIF(Data!$B117:$U117,INDEX(Pengaturan!$B$8:$B$27,T$4)))</f>
        <v>0</v>
      </c>
      <c r="U117" s="26" t="n">
        <f aca="false">IF(INDEX(Pengaturan!$B$8:$B$27,U$4)="",0,COUNTIF(Data!$B117:$U117,INDEX(Pengaturan!$B$8:$B$27,U$4)))</f>
        <v>0</v>
      </c>
      <c r="V117" s="26" t="n">
        <f aca="false">COUNTA(Data!$B117:$U117)</f>
        <v>0</v>
      </c>
      <c r="W117" s="27" t="str">
        <f aca="false">IF(V117=0,"",IF(V117&lt;&gt;Hasil!$C$4,"Data kosong/tidak lengkap",IF(SUM(B117:U117)&lt;&gt;V117,"Kategori tidak dikenal","OK")))</f>
        <v/>
      </c>
      <c r="X117" s="26" t="n">
        <f aca="false">IF(OR(W117="",W117="OK"),0,1)</f>
        <v>0</v>
      </c>
    </row>
    <row r="118" customFormat="false" ht="15" hidden="false" customHeight="false" outlineLevel="0" collapsed="false">
      <c r="A118" s="26" t="n">
        <f aca="false">Data!A118</f>
        <v>113</v>
      </c>
      <c r="B118" s="26" t="n">
        <f aca="false">IF(INDEX(Pengaturan!$B$8:$B$27,B$4)="",0,COUNTIF(Data!$B118:$U118,INDEX(Pengaturan!$B$8:$B$27,B$4)))</f>
        <v>0</v>
      </c>
      <c r="C118" s="26" t="n">
        <f aca="false">IF(INDEX(Pengaturan!$B$8:$B$27,C$4)="",0,COUNTIF(Data!$B118:$U118,INDEX(Pengaturan!$B$8:$B$27,C$4)))</f>
        <v>0</v>
      </c>
      <c r="D118" s="26" t="n">
        <f aca="false">IF(INDEX(Pengaturan!$B$8:$B$27,D$4)="",0,COUNTIF(Data!$B118:$U118,INDEX(Pengaturan!$B$8:$B$27,D$4)))</f>
        <v>0</v>
      </c>
      <c r="E118" s="26" t="n">
        <f aca="false">IF(INDEX(Pengaturan!$B$8:$B$27,E$4)="",0,COUNTIF(Data!$B118:$U118,INDEX(Pengaturan!$B$8:$B$27,E$4)))</f>
        <v>0</v>
      </c>
      <c r="F118" s="26" t="n">
        <f aca="false">IF(INDEX(Pengaturan!$B$8:$B$27,F$4)="",0,COUNTIF(Data!$B118:$U118,INDEX(Pengaturan!$B$8:$B$27,F$4)))</f>
        <v>0</v>
      </c>
      <c r="G118" s="26" t="n">
        <f aca="false">IF(INDEX(Pengaturan!$B$8:$B$27,G$4)="",0,COUNTIF(Data!$B118:$U118,INDEX(Pengaturan!$B$8:$B$27,G$4)))</f>
        <v>0</v>
      </c>
      <c r="H118" s="26" t="n">
        <f aca="false">IF(INDEX(Pengaturan!$B$8:$B$27,H$4)="",0,COUNTIF(Data!$B118:$U118,INDEX(Pengaturan!$B$8:$B$27,H$4)))</f>
        <v>0</v>
      </c>
      <c r="I118" s="26" t="n">
        <f aca="false">IF(INDEX(Pengaturan!$B$8:$B$27,I$4)="",0,COUNTIF(Data!$B118:$U118,INDEX(Pengaturan!$B$8:$B$27,I$4)))</f>
        <v>0</v>
      </c>
      <c r="J118" s="26" t="n">
        <f aca="false">IF(INDEX(Pengaturan!$B$8:$B$27,J$4)="",0,COUNTIF(Data!$B118:$U118,INDEX(Pengaturan!$B$8:$B$27,J$4)))</f>
        <v>0</v>
      </c>
      <c r="K118" s="26" t="n">
        <f aca="false">IF(INDEX(Pengaturan!$B$8:$B$27,K$4)="",0,COUNTIF(Data!$B118:$U118,INDEX(Pengaturan!$B$8:$B$27,K$4)))</f>
        <v>0</v>
      </c>
      <c r="L118" s="26" t="n">
        <f aca="false">IF(INDEX(Pengaturan!$B$8:$B$27,L$4)="",0,COUNTIF(Data!$B118:$U118,INDEX(Pengaturan!$B$8:$B$27,L$4)))</f>
        <v>0</v>
      </c>
      <c r="M118" s="26" t="n">
        <f aca="false">IF(INDEX(Pengaturan!$B$8:$B$27,M$4)="",0,COUNTIF(Data!$B118:$U118,INDEX(Pengaturan!$B$8:$B$27,M$4)))</f>
        <v>0</v>
      </c>
      <c r="N118" s="26" t="n">
        <f aca="false">IF(INDEX(Pengaturan!$B$8:$B$27,N$4)="",0,COUNTIF(Data!$B118:$U118,INDEX(Pengaturan!$B$8:$B$27,N$4)))</f>
        <v>0</v>
      </c>
      <c r="O118" s="26" t="n">
        <f aca="false">IF(INDEX(Pengaturan!$B$8:$B$27,O$4)="",0,COUNTIF(Data!$B118:$U118,INDEX(Pengaturan!$B$8:$B$27,O$4)))</f>
        <v>0</v>
      </c>
      <c r="P118" s="26" t="n">
        <f aca="false">IF(INDEX(Pengaturan!$B$8:$B$27,P$4)="",0,COUNTIF(Data!$B118:$U118,INDEX(Pengaturan!$B$8:$B$27,P$4)))</f>
        <v>0</v>
      </c>
      <c r="Q118" s="26" t="n">
        <f aca="false">IF(INDEX(Pengaturan!$B$8:$B$27,Q$4)="",0,COUNTIF(Data!$B118:$U118,INDEX(Pengaturan!$B$8:$B$27,Q$4)))</f>
        <v>0</v>
      </c>
      <c r="R118" s="26" t="n">
        <f aca="false">IF(INDEX(Pengaturan!$B$8:$B$27,R$4)="",0,COUNTIF(Data!$B118:$U118,INDEX(Pengaturan!$B$8:$B$27,R$4)))</f>
        <v>0</v>
      </c>
      <c r="S118" s="26" t="n">
        <f aca="false">IF(INDEX(Pengaturan!$B$8:$B$27,S$4)="",0,COUNTIF(Data!$B118:$U118,INDEX(Pengaturan!$B$8:$B$27,S$4)))</f>
        <v>0</v>
      </c>
      <c r="T118" s="26" t="n">
        <f aca="false">IF(INDEX(Pengaturan!$B$8:$B$27,T$4)="",0,COUNTIF(Data!$B118:$U118,INDEX(Pengaturan!$B$8:$B$27,T$4)))</f>
        <v>0</v>
      </c>
      <c r="U118" s="26" t="n">
        <f aca="false">IF(INDEX(Pengaturan!$B$8:$B$27,U$4)="",0,COUNTIF(Data!$B118:$U118,INDEX(Pengaturan!$B$8:$B$27,U$4)))</f>
        <v>0</v>
      </c>
      <c r="V118" s="26" t="n">
        <f aca="false">COUNTA(Data!$B118:$U118)</f>
        <v>0</v>
      </c>
      <c r="W118" s="27" t="str">
        <f aca="false">IF(V118=0,"",IF(V118&lt;&gt;Hasil!$C$4,"Data kosong/tidak lengkap",IF(SUM(B118:U118)&lt;&gt;V118,"Kategori tidak dikenal","OK")))</f>
        <v/>
      </c>
      <c r="X118" s="26" t="n">
        <f aca="false">IF(OR(W118="",W118="OK"),0,1)</f>
        <v>0</v>
      </c>
    </row>
    <row r="119" customFormat="false" ht="15" hidden="false" customHeight="false" outlineLevel="0" collapsed="false">
      <c r="A119" s="26" t="n">
        <f aca="false">Data!A119</f>
        <v>114</v>
      </c>
      <c r="B119" s="26" t="n">
        <f aca="false">IF(INDEX(Pengaturan!$B$8:$B$27,B$4)="",0,COUNTIF(Data!$B119:$U119,INDEX(Pengaturan!$B$8:$B$27,B$4)))</f>
        <v>0</v>
      </c>
      <c r="C119" s="26" t="n">
        <f aca="false">IF(INDEX(Pengaturan!$B$8:$B$27,C$4)="",0,COUNTIF(Data!$B119:$U119,INDEX(Pengaturan!$B$8:$B$27,C$4)))</f>
        <v>0</v>
      </c>
      <c r="D119" s="26" t="n">
        <f aca="false">IF(INDEX(Pengaturan!$B$8:$B$27,D$4)="",0,COUNTIF(Data!$B119:$U119,INDEX(Pengaturan!$B$8:$B$27,D$4)))</f>
        <v>0</v>
      </c>
      <c r="E119" s="26" t="n">
        <f aca="false">IF(INDEX(Pengaturan!$B$8:$B$27,E$4)="",0,COUNTIF(Data!$B119:$U119,INDEX(Pengaturan!$B$8:$B$27,E$4)))</f>
        <v>0</v>
      </c>
      <c r="F119" s="26" t="n">
        <f aca="false">IF(INDEX(Pengaturan!$B$8:$B$27,F$4)="",0,COUNTIF(Data!$B119:$U119,INDEX(Pengaturan!$B$8:$B$27,F$4)))</f>
        <v>0</v>
      </c>
      <c r="G119" s="26" t="n">
        <f aca="false">IF(INDEX(Pengaturan!$B$8:$B$27,G$4)="",0,COUNTIF(Data!$B119:$U119,INDEX(Pengaturan!$B$8:$B$27,G$4)))</f>
        <v>0</v>
      </c>
      <c r="H119" s="26" t="n">
        <f aca="false">IF(INDEX(Pengaturan!$B$8:$B$27,H$4)="",0,COUNTIF(Data!$B119:$U119,INDEX(Pengaturan!$B$8:$B$27,H$4)))</f>
        <v>0</v>
      </c>
      <c r="I119" s="26" t="n">
        <f aca="false">IF(INDEX(Pengaturan!$B$8:$B$27,I$4)="",0,COUNTIF(Data!$B119:$U119,INDEX(Pengaturan!$B$8:$B$27,I$4)))</f>
        <v>0</v>
      </c>
      <c r="J119" s="26" t="n">
        <f aca="false">IF(INDEX(Pengaturan!$B$8:$B$27,J$4)="",0,COUNTIF(Data!$B119:$U119,INDEX(Pengaturan!$B$8:$B$27,J$4)))</f>
        <v>0</v>
      </c>
      <c r="K119" s="26" t="n">
        <f aca="false">IF(INDEX(Pengaturan!$B$8:$B$27,K$4)="",0,COUNTIF(Data!$B119:$U119,INDEX(Pengaturan!$B$8:$B$27,K$4)))</f>
        <v>0</v>
      </c>
      <c r="L119" s="26" t="n">
        <f aca="false">IF(INDEX(Pengaturan!$B$8:$B$27,L$4)="",0,COUNTIF(Data!$B119:$U119,INDEX(Pengaturan!$B$8:$B$27,L$4)))</f>
        <v>0</v>
      </c>
      <c r="M119" s="26" t="n">
        <f aca="false">IF(INDEX(Pengaturan!$B$8:$B$27,M$4)="",0,COUNTIF(Data!$B119:$U119,INDEX(Pengaturan!$B$8:$B$27,M$4)))</f>
        <v>0</v>
      </c>
      <c r="N119" s="26" t="n">
        <f aca="false">IF(INDEX(Pengaturan!$B$8:$B$27,N$4)="",0,COUNTIF(Data!$B119:$U119,INDEX(Pengaturan!$B$8:$B$27,N$4)))</f>
        <v>0</v>
      </c>
      <c r="O119" s="26" t="n">
        <f aca="false">IF(INDEX(Pengaturan!$B$8:$B$27,O$4)="",0,COUNTIF(Data!$B119:$U119,INDEX(Pengaturan!$B$8:$B$27,O$4)))</f>
        <v>0</v>
      </c>
      <c r="P119" s="26" t="n">
        <f aca="false">IF(INDEX(Pengaturan!$B$8:$B$27,P$4)="",0,COUNTIF(Data!$B119:$U119,INDEX(Pengaturan!$B$8:$B$27,P$4)))</f>
        <v>0</v>
      </c>
      <c r="Q119" s="26" t="n">
        <f aca="false">IF(INDEX(Pengaturan!$B$8:$B$27,Q$4)="",0,COUNTIF(Data!$B119:$U119,INDEX(Pengaturan!$B$8:$B$27,Q$4)))</f>
        <v>0</v>
      </c>
      <c r="R119" s="26" t="n">
        <f aca="false">IF(INDEX(Pengaturan!$B$8:$B$27,R$4)="",0,COUNTIF(Data!$B119:$U119,INDEX(Pengaturan!$B$8:$B$27,R$4)))</f>
        <v>0</v>
      </c>
      <c r="S119" s="26" t="n">
        <f aca="false">IF(INDEX(Pengaturan!$B$8:$B$27,S$4)="",0,COUNTIF(Data!$B119:$U119,INDEX(Pengaturan!$B$8:$B$27,S$4)))</f>
        <v>0</v>
      </c>
      <c r="T119" s="26" t="n">
        <f aca="false">IF(INDEX(Pengaturan!$B$8:$B$27,T$4)="",0,COUNTIF(Data!$B119:$U119,INDEX(Pengaturan!$B$8:$B$27,T$4)))</f>
        <v>0</v>
      </c>
      <c r="U119" s="26" t="n">
        <f aca="false">IF(INDEX(Pengaturan!$B$8:$B$27,U$4)="",0,COUNTIF(Data!$B119:$U119,INDEX(Pengaturan!$B$8:$B$27,U$4)))</f>
        <v>0</v>
      </c>
      <c r="V119" s="26" t="n">
        <f aca="false">COUNTA(Data!$B119:$U119)</f>
        <v>0</v>
      </c>
      <c r="W119" s="27" t="str">
        <f aca="false">IF(V119=0,"",IF(V119&lt;&gt;Hasil!$C$4,"Data kosong/tidak lengkap",IF(SUM(B119:U119)&lt;&gt;V119,"Kategori tidak dikenal","OK")))</f>
        <v/>
      </c>
      <c r="X119" s="26" t="n">
        <f aca="false">IF(OR(W119="",W119="OK"),0,1)</f>
        <v>0</v>
      </c>
    </row>
    <row r="120" customFormat="false" ht="15" hidden="false" customHeight="false" outlineLevel="0" collapsed="false">
      <c r="A120" s="26" t="n">
        <f aca="false">Data!A120</f>
        <v>115</v>
      </c>
      <c r="B120" s="26" t="n">
        <f aca="false">IF(INDEX(Pengaturan!$B$8:$B$27,B$4)="",0,COUNTIF(Data!$B120:$U120,INDEX(Pengaturan!$B$8:$B$27,B$4)))</f>
        <v>0</v>
      </c>
      <c r="C120" s="26" t="n">
        <f aca="false">IF(INDEX(Pengaturan!$B$8:$B$27,C$4)="",0,COUNTIF(Data!$B120:$U120,INDEX(Pengaturan!$B$8:$B$27,C$4)))</f>
        <v>0</v>
      </c>
      <c r="D120" s="26" t="n">
        <f aca="false">IF(INDEX(Pengaturan!$B$8:$B$27,D$4)="",0,COUNTIF(Data!$B120:$U120,INDEX(Pengaturan!$B$8:$B$27,D$4)))</f>
        <v>0</v>
      </c>
      <c r="E120" s="26" t="n">
        <f aca="false">IF(INDEX(Pengaturan!$B$8:$B$27,E$4)="",0,COUNTIF(Data!$B120:$U120,INDEX(Pengaturan!$B$8:$B$27,E$4)))</f>
        <v>0</v>
      </c>
      <c r="F120" s="26" t="n">
        <f aca="false">IF(INDEX(Pengaturan!$B$8:$B$27,F$4)="",0,COUNTIF(Data!$B120:$U120,INDEX(Pengaturan!$B$8:$B$27,F$4)))</f>
        <v>0</v>
      </c>
      <c r="G120" s="26" t="n">
        <f aca="false">IF(INDEX(Pengaturan!$B$8:$B$27,G$4)="",0,COUNTIF(Data!$B120:$U120,INDEX(Pengaturan!$B$8:$B$27,G$4)))</f>
        <v>0</v>
      </c>
      <c r="H120" s="26" t="n">
        <f aca="false">IF(INDEX(Pengaturan!$B$8:$B$27,H$4)="",0,COUNTIF(Data!$B120:$U120,INDEX(Pengaturan!$B$8:$B$27,H$4)))</f>
        <v>0</v>
      </c>
      <c r="I120" s="26" t="n">
        <f aca="false">IF(INDEX(Pengaturan!$B$8:$B$27,I$4)="",0,COUNTIF(Data!$B120:$U120,INDEX(Pengaturan!$B$8:$B$27,I$4)))</f>
        <v>0</v>
      </c>
      <c r="J120" s="26" t="n">
        <f aca="false">IF(INDEX(Pengaturan!$B$8:$B$27,J$4)="",0,COUNTIF(Data!$B120:$U120,INDEX(Pengaturan!$B$8:$B$27,J$4)))</f>
        <v>0</v>
      </c>
      <c r="K120" s="26" t="n">
        <f aca="false">IF(INDEX(Pengaturan!$B$8:$B$27,K$4)="",0,COUNTIF(Data!$B120:$U120,INDEX(Pengaturan!$B$8:$B$27,K$4)))</f>
        <v>0</v>
      </c>
      <c r="L120" s="26" t="n">
        <f aca="false">IF(INDEX(Pengaturan!$B$8:$B$27,L$4)="",0,COUNTIF(Data!$B120:$U120,INDEX(Pengaturan!$B$8:$B$27,L$4)))</f>
        <v>0</v>
      </c>
      <c r="M120" s="26" t="n">
        <f aca="false">IF(INDEX(Pengaturan!$B$8:$B$27,M$4)="",0,COUNTIF(Data!$B120:$U120,INDEX(Pengaturan!$B$8:$B$27,M$4)))</f>
        <v>0</v>
      </c>
      <c r="N120" s="26" t="n">
        <f aca="false">IF(INDEX(Pengaturan!$B$8:$B$27,N$4)="",0,COUNTIF(Data!$B120:$U120,INDEX(Pengaturan!$B$8:$B$27,N$4)))</f>
        <v>0</v>
      </c>
      <c r="O120" s="26" t="n">
        <f aca="false">IF(INDEX(Pengaturan!$B$8:$B$27,O$4)="",0,COUNTIF(Data!$B120:$U120,INDEX(Pengaturan!$B$8:$B$27,O$4)))</f>
        <v>0</v>
      </c>
      <c r="P120" s="26" t="n">
        <f aca="false">IF(INDEX(Pengaturan!$B$8:$B$27,P$4)="",0,COUNTIF(Data!$B120:$U120,INDEX(Pengaturan!$B$8:$B$27,P$4)))</f>
        <v>0</v>
      </c>
      <c r="Q120" s="26" t="n">
        <f aca="false">IF(INDEX(Pengaturan!$B$8:$B$27,Q$4)="",0,COUNTIF(Data!$B120:$U120,INDEX(Pengaturan!$B$8:$B$27,Q$4)))</f>
        <v>0</v>
      </c>
      <c r="R120" s="26" t="n">
        <f aca="false">IF(INDEX(Pengaturan!$B$8:$B$27,R$4)="",0,COUNTIF(Data!$B120:$U120,INDEX(Pengaturan!$B$8:$B$27,R$4)))</f>
        <v>0</v>
      </c>
      <c r="S120" s="26" t="n">
        <f aca="false">IF(INDEX(Pengaturan!$B$8:$B$27,S$4)="",0,COUNTIF(Data!$B120:$U120,INDEX(Pengaturan!$B$8:$B$27,S$4)))</f>
        <v>0</v>
      </c>
      <c r="T120" s="26" t="n">
        <f aca="false">IF(INDEX(Pengaturan!$B$8:$B$27,T$4)="",0,COUNTIF(Data!$B120:$U120,INDEX(Pengaturan!$B$8:$B$27,T$4)))</f>
        <v>0</v>
      </c>
      <c r="U120" s="26" t="n">
        <f aca="false">IF(INDEX(Pengaturan!$B$8:$B$27,U$4)="",0,COUNTIF(Data!$B120:$U120,INDEX(Pengaturan!$B$8:$B$27,U$4)))</f>
        <v>0</v>
      </c>
      <c r="V120" s="26" t="n">
        <f aca="false">COUNTA(Data!$B120:$U120)</f>
        <v>0</v>
      </c>
      <c r="W120" s="27" t="str">
        <f aca="false">IF(V120=0,"",IF(V120&lt;&gt;Hasil!$C$4,"Data kosong/tidak lengkap",IF(SUM(B120:U120)&lt;&gt;V120,"Kategori tidak dikenal","OK")))</f>
        <v/>
      </c>
      <c r="X120" s="26" t="n">
        <f aca="false">IF(OR(W120="",W120="OK"),0,1)</f>
        <v>0</v>
      </c>
    </row>
    <row r="121" customFormat="false" ht="15" hidden="false" customHeight="false" outlineLevel="0" collapsed="false">
      <c r="A121" s="26" t="n">
        <f aca="false">Data!A121</f>
        <v>116</v>
      </c>
      <c r="B121" s="26" t="n">
        <f aca="false">IF(INDEX(Pengaturan!$B$8:$B$27,B$4)="",0,COUNTIF(Data!$B121:$U121,INDEX(Pengaturan!$B$8:$B$27,B$4)))</f>
        <v>0</v>
      </c>
      <c r="C121" s="26" t="n">
        <f aca="false">IF(INDEX(Pengaturan!$B$8:$B$27,C$4)="",0,COUNTIF(Data!$B121:$U121,INDEX(Pengaturan!$B$8:$B$27,C$4)))</f>
        <v>0</v>
      </c>
      <c r="D121" s="26" t="n">
        <f aca="false">IF(INDEX(Pengaturan!$B$8:$B$27,D$4)="",0,COUNTIF(Data!$B121:$U121,INDEX(Pengaturan!$B$8:$B$27,D$4)))</f>
        <v>0</v>
      </c>
      <c r="E121" s="26" t="n">
        <f aca="false">IF(INDEX(Pengaturan!$B$8:$B$27,E$4)="",0,COUNTIF(Data!$B121:$U121,INDEX(Pengaturan!$B$8:$B$27,E$4)))</f>
        <v>0</v>
      </c>
      <c r="F121" s="26" t="n">
        <f aca="false">IF(INDEX(Pengaturan!$B$8:$B$27,F$4)="",0,COUNTIF(Data!$B121:$U121,INDEX(Pengaturan!$B$8:$B$27,F$4)))</f>
        <v>0</v>
      </c>
      <c r="G121" s="26" t="n">
        <f aca="false">IF(INDEX(Pengaturan!$B$8:$B$27,G$4)="",0,COUNTIF(Data!$B121:$U121,INDEX(Pengaturan!$B$8:$B$27,G$4)))</f>
        <v>0</v>
      </c>
      <c r="H121" s="26" t="n">
        <f aca="false">IF(INDEX(Pengaturan!$B$8:$B$27,H$4)="",0,COUNTIF(Data!$B121:$U121,INDEX(Pengaturan!$B$8:$B$27,H$4)))</f>
        <v>0</v>
      </c>
      <c r="I121" s="26" t="n">
        <f aca="false">IF(INDEX(Pengaturan!$B$8:$B$27,I$4)="",0,COUNTIF(Data!$B121:$U121,INDEX(Pengaturan!$B$8:$B$27,I$4)))</f>
        <v>0</v>
      </c>
      <c r="J121" s="26" t="n">
        <f aca="false">IF(INDEX(Pengaturan!$B$8:$B$27,J$4)="",0,COUNTIF(Data!$B121:$U121,INDEX(Pengaturan!$B$8:$B$27,J$4)))</f>
        <v>0</v>
      </c>
      <c r="K121" s="26" t="n">
        <f aca="false">IF(INDEX(Pengaturan!$B$8:$B$27,K$4)="",0,COUNTIF(Data!$B121:$U121,INDEX(Pengaturan!$B$8:$B$27,K$4)))</f>
        <v>0</v>
      </c>
      <c r="L121" s="26" t="n">
        <f aca="false">IF(INDEX(Pengaturan!$B$8:$B$27,L$4)="",0,COUNTIF(Data!$B121:$U121,INDEX(Pengaturan!$B$8:$B$27,L$4)))</f>
        <v>0</v>
      </c>
      <c r="M121" s="26" t="n">
        <f aca="false">IF(INDEX(Pengaturan!$B$8:$B$27,M$4)="",0,COUNTIF(Data!$B121:$U121,INDEX(Pengaturan!$B$8:$B$27,M$4)))</f>
        <v>0</v>
      </c>
      <c r="N121" s="26" t="n">
        <f aca="false">IF(INDEX(Pengaturan!$B$8:$B$27,N$4)="",0,COUNTIF(Data!$B121:$U121,INDEX(Pengaturan!$B$8:$B$27,N$4)))</f>
        <v>0</v>
      </c>
      <c r="O121" s="26" t="n">
        <f aca="false">IF(INDEX(Pengaturan!$B$8:$B$27,O$4)="",0,COUNTIF(Data!$B121:$U121,INDEX(Pengaturan!$B$8:$B$27,O$4)))</f>
        <v>0</v>
      </c>
      <c r="P121" s="26" t="n">
        <f aca="false">IF(INDEX(Pengaturan!$B$8:$B$27,P$4)="",0,COUNTIF(Data!$B121:$U121,INDEX(Pengaturan!$B$8:$B$27,P$4)))</f>
        <v>0</v>
      </c>
      <c r="Q121" s="26" t="n">
        <f aca="false">IF(INDEX(Pengaturan!$B$8:$B$27,Q$4)="",0,COUNTIF(Data!$B121:$U121,INDEX(Pengaturan!$B$8:$B$27,Q$4)))</f>
        <v>0</v>
      </c>
      <c r="R121" s="26" t="n">
        <f aca="false">IF(INDEX(Pengaturan!$B$8:$B$27,R$4)="",0,COUNTIF(Data!$B121:$U121,INDEX(Pengaturan!$B$8:$B$27,R$4)))</f>
        <v>0</v>
      </c>
      <c r="S121" s="26" t="n">
        <f aca="false">IF(INDEX(Pengaturan!$B$8:$B$27,S$4)="",0,COUNTIF(Data!$B121:$U121,INDEX(Pengaturan!$B$8:$B$27,S$4)))</f>
        <v>0</v>
      </c>
      <c r="T121" s="26" t="n">
        <f aca="false">IF(INDEX(Pengaturan!$B$8:$B$27,T$4)="",0,COUNTIF(Data!$B121:$U121,INDEX(Pengaturan!$B$8:$B$27,T$4)))</f>
        <v>0</v>
      </c>
      <c r="U121" s="26" t="n">
        <f aca="false">IF(INDEX(Pengaturan!$B$8:$B$27,U$4)="",0,COUNTIF(Data!$B121:$U121,INDEX(Pengaturan!$B$8:$B$27,U$4)))</f>
        <v>0</v>
      </c>
      <c r="V121" s="26" t="n">
        <f aca="false">COUNTA(Data!$B121:$U121)</f>
        <v>0</v>
      </c>
      <c r="W121" s="27" t="str">
        <f aca="false">IF(V121=0,"",IF(V121&lt;&gt;Hasil!$C$4,"Data kosong/tidak lengkap",IF(SUM(B121:U121)&lt;&gt;V121,"Kategori tidak dikenal","OK")))</f>
        <v/>
      </c>
      <c r="X121" s="26" t="n">
        <f aca="false">IF(OR(W121="",W121="OK"),0,1)</f>
        <v>0</v>
      </c>
    </row>
    <row r="122" customFormat="false" ht="15" hidden="false" customHeight="false" outlineLevel="0" collapsed="false">
      <c r="A122" s="26" t="n">
        <f aca="false">Data!A122</f>
        <v>117</v>
      </c>
      <c r="B122" s="26" t="n">
        <f aca="false">IF(INDEX(Pengaturan!$B$8:$B$27,B$4)="",0,COUNTIF(Data!$B122:$U122,INDEX(Pengaturan!$B$8:$B$27,B$4)))</f>
        <v>0</v>
      </c>
      <c r="C122" s="26" t="n">
        <f aca="false">IF(INDEX(Pengaturan!$B$8:$B$27,C$4)="",0,COUNTIF(Data!$B122:$U122,INDEX(Pengaturan!$B$8:$B$27,C$4)))</f>
        <v>0</v>
      </c>
      <c r="D122" s="26" t="n">
        <f aca="false">IF(INDEX(Pengaturan!$B$8:$B$27,D$4)="",0,COUNTIF(Data!$B122:$U122,INDEX(Pengaturan!$B$8:$B$27,D$4)))</f>
        <v>0</v>
      </c>
      <c r="E122" s="26" t="n">
        <f aca="false">IF(INDEX(Pengaturan!$B$8:$B$27,E$4)="",0,COUNTIF(Data!$B122:$U122,INDEX(Pengaturan!$B$8:$B$27,E$4)))</f>
        <v>0</v>
      </c>
      <c r="F122" s="26" t="n">
        <f aca="false">IF(INDEX(Pengaturan!$B$8:$B$27,F$4)="",0,COUNTIF(Data!$B122:$U122,INDEX(Pengaturan!$B$8:$B$27,F$4)))</f>
        <v>0</v>
      </c>
      <c r="G122" s="26" t="n">
        <f aca="false">IF(INDEX(Pengaturan!$B$8:$B$27,G$4)="",0,COUNTIF(Data!$B122:$U122,INDEX(Pengaturan!$B$8:$B$27,G$4)))</f>
        <v>0</v>
      </c>
      <c r="H122" s="26" t="n">
        <f aca="false">IF(INDEX(Pengaturan!$B$8:$B$27,H$4)="",0,COUNTIF(Data!$B122:$U122,INDEX(Pengaturan!$B$8:$B$27,H$4)))</f>
        <v>0</v>
      </c>
      <c r="I122" s="26" t="n">
        <f aca="false">IF(INDEX(Pengaturan!$B$8:$B$27,I$4)="",0,COUNTIF(Data!$B122:$U122,INDEX(Pengaturan!$B$8:$B$27,I$4)))</f>
        <v>0</v>
      </c>
      <c r="J122" s="26" t="n">
        <f aca="false">IF(INDEX(Pengaturan!$B$8:$B$27,J$4)="",0,COUNTIF(Data!$B122:$U122,INDEX(Pengaturan!$B$8:$B$27,J$4)))</f>
        <v>0</v>
      </c>
      <c r="K122" s="26" t="n">
        <f aca="false">IF(INDEX(Pengaturan!$B$8:$B$27,K$4)="",0,COUNTIF(Data!$B122:$U122,INDEX(Pengaturan!$B$8:$B$27,K$4)))</f>
        <v>0</v>
      </c>
      <c r="L122" s="26" t="n">
        <f aca="false">IF(INDEX(Pengaturan!$B$8:$B$27,L$4)="",0,COUNTIF(Data!$B122:$U122,INDEX(Pengaturan!$B$8:$B$27,L$4)))</f>
        <v>0</v>
      </c>
      <c r="M122" s="26" t="n">
        <f aca="false">IF(INDEX(Pengaturan!$B$8:$B$27,M$4)="",0,COUNTIF(Data!$B122:$U122,INDEX(Pengaturan!$B$8:$B$27,M$4)))</f>
        <v>0</v>
      </c>
      <c r="N122" s="26" t="n">
        <f aca="false">IF(INDEX(Pengaturan!$B$8:$B$27,N$4)="",0,COUNTIF(Data!$B122:$U122,INDEX(Pengaturan!$B$8:$B$27,N$4)))</f>
        <v>0</v>
      </c>
      <c r="O122" s="26" t="n">
        <f aca="false">IF(INDEX(Pengaturan!$B$8:$B$27,O$4)="",0,COUNTIF(Data!$B122:$U122,INDEX(Pengaturan!$B$8:$B$27,O$4)))</f>
        <v>0</v>
      </c>
      <c r="P122" s="26" t="n">
        <f aca="false">IF(INDEX(Pengaturan!$B$8:$B$27,P$4)="",0,COUNTIF(Data!$B122:$U122,INDEX(Pengaturan!$B$8:$B$27,P$4)))</f>
        <v>0</v>
      </c>
      <c r="Q122" s="26" t="n">
        <f aca="false">IF(INDEX(Pengaturan!$B$8:$B$27,Q$4)="",0,COUNTIF(Data!$B122:$U122,INDEX(Pengaturan!$B$8:$B$27,Q$4)))</f>
        <v>0</v>
      </c>
      <c r="R122" s="26" t="n">
        <f aca="false">IF(INDEX(Pengaturan!$B$8:$B$27,R$4)="",0,COUNTIF(Data!$B122:$U122,INDEX(Pengaturan!$B$8:$B$27,R$4)))</f>
        <v>0</v>
      </c>
      <c r="S122" s="26" t="n">
        <f aca="false">IF(INDEX(Pengaturan!$B$8:$B$27,S$4)="",0,COUNTIF(Data!$B122:$U122,INDEX(Pengaturan!$B$8:$B$27,S$4)))</f>
        <v>0</v>
      </c>
      <c r="T122" s="26" t="n">
        <f aca="false">IF(INDEX(Pengaturan!$B$8:$B$27,T$4)="",0,COUNTIF(Data!$B122:$U122,INDEX(Pengaturan!$B$8:$B$27,T$4)))</f>
        <v>0</v>
      </c>
      <c r="U122" s="26" t="n">
        <f aca="false">IF(INDEX(Pengaturan!$B$8:$B$27,U$4)="",0,COUNTIF(Data!$B122:$U122,INDEX(Pengaturan!$B$8:$B$27,U$4)))</f>
        <v>0</v>
      </c>
      <c r="V122" s="26" t="n">
        <f aca="false">COUNTA(Data!$B122:$U122)</f>
        <v>0</v>
      </c>
      <c r="W122" s="27" t="str">
        <f aca="false">IF(V122=0,"",IF(V122&lt;&gt;Hasil!$C$4,"Data kosong/tidak lengkap",IF(SUM(B122:U122)&lt;&gt;V122,"Kategori tidak dikenal","OK")))</f>
        <v/>
      </c>
      <c r="X122" s="26" t="n">
        <f aca="false">IF(OR(W122="",W122="OK"),0,1)</f>
        <v>0</v>
      </c>
    </row>
    <row r="123" customFormat="false" ht="15" hidden="false" customHeight="false" outlineLevel="0" collapsed="false">
      <c r="A123" s="26" t="n">
        <f aca="false">Data!A123</f>
        <v>118</v>
      </c>
      <c r="B123" s="26" t="n">
        <f aca="false">IF(INDEX(Pengaturan!$B$8:$B$27,B$4)="",0,COUNTIF(Data!$B123:$U123,INDEX(Pengaturan!$B$8:$B$27,B$4)))</f>
        <v>0</v>
      </c>
      <c r="C123" s="26" t="n">
        <f aca="false">IF(INDEX(Pengaturan!$B$8:$B$27,C$4)="",0,COUNTIF(Data!$B123:$U123,INDEX(Pengaturan!$B$8:$B$27,C$4)))</f>
        <v>0</v>
      </c>
      <c r="D123" s="26" t="n">
        <f aca="false">IF(INDEX(Pengaturan!$B$8:$B$27,D$4)="",0,COUNTIF(Data!$B123:$U123,INDEX(Pengaturan!$B$8:$B$27,D$4)))</f>
        <v>0</v>
      </c>
      <c r="E123" s="26" t="n">
        <f aca="false">IF(INDEX(Pengaturan!$B$8:$B$27,E$4)="",0,COUNTIF(Data!$B123:$U123,INDEX(Pengaturan!$B$8:$B$27,E$4)))</f>
        <v>0</v>
      </c>
      <c r="F123" s="26" t="n">
        <f aca="false">IF(INDEX(Pengaturan!$B$8:$B$27,F$4)="",0,COUNTIF(Data!$B123:$U123,INDEX(Pengaturan!$B$8:$B$27,F$4)))</f>
        <v>0</v>
      </c>
      <c r="G123" s="26" t="n">
        <f aca="false">IF(INDEX(Pengaturan!$B$8:$B$27,G$4)="",0,COUNTIF(Data!$B123:$U123,INDEX(Pengaturan!$B$8:$B$27,G$4)))</f>
        <v>0</v>
      </c>
      <c r="H123" s="26" t="n">
        <f aca="false">IF(INDEX(Pengaturan!$B$8:$B$27,H$4)="",0,COUNTIF(Data!$B123:$U123,INDEX(Pengaturan!$B$8:$B$27,H$4)))</f>
        <v>0</v>
      </c>
      <c r="I123" s="26" t="n">
        <f aca="false">IF(INDEX(Pengaturan!$B$8:$B$27,I$4)="",0,COUNTIF(Data!$B123:$U123,INDEX(Pengaturan!$B$8:$B$27,I$4)))</f>
        <v>0</v>
      </c>
      <c r="J123" s="26" t="n">
        <f aca="false">IF(INDEX(Pengaturan!$B$8:$B$27,J$4)="",0,COUNTIF(Data!$B123:$U123,INDEX(Pengaturan!$B$8:$B$27,J$4)))</f>
        <v>0</v>
      </c>
      <c r="K123" s="26" t="n">
        <f aca="false">IF(INDEX(Pengaturan!$B$8:$B$27,K$4)="",0,COUNTIF(Data!$B123:$U123,INDEX(Pengaturan!$B$8:$B$27,K$4)))</f>
        <v>0</v>
      </c>
      <c r="L123" s="26" t="n">
        <f aca="false">IF(INDEX(Pengaturan!$B$8:$B$27,L$4)="",0,COUNTIF(Data!$B123:$U123,INDEX(Pengaturan!$B$8:$B$27,L$4)))</f>
        <v>0</v>
      </c>
      <c r="M123" s="26" t="n">
        <f aca="false">IF(INDEX(Pengaturan!$B$8:$B$27,M$4)="",0,COUNTIF(Data!$B123:$U123,INDEX(Pengaturan!$B$8:$B$27,M$4)))</f>
        <v>0</v>
      </c>
      <c r="N123" s="26" t="n">
        <f aca="false">IF(INDEX(Pengaturan!$B$8:$B$27,N$4)="",0,COUNTIF(Data!$B123:$U123,INDEX(Pengaturan!$B$8:$B$27,N$4)))</f>
        <v>0</v>
      </c>
      <c r="O123" s="26" t="n">
        <f aca="false">IF(INDEX(Pengaturan!$B$8:$B$27,O$4)="",0,COUNTIF(Data!$B123:$U123,INDEX(Pengaturan!$B$8:$B$27,O$4)))</f>
        <v>0</v>
      </c>
      <c r="P123" s="26" t="n">
        <f aca="false">IF(INDEX(Pengaturan!$B$8:$B$27,P$4)="",0,COUNTIF(Data!$B123:$U123,INDEX(Pengaturan!$B$8:$B$27,P$4)))</f>
        <v>0</v>
      </c>
      <c r="Q123" s="26" t="n">
        <f aca="false">IF(INDEX(Pengaturan!$B$8:$B$27,Q$4)="",0,COUNTIF(Data!$B123:$U123,INDEX(Pengaturan!$B$8:$B$27,Q$4)))</f>
        <v>0</v>
      </c>
      <c r="R123" s="26" t="n">
        <f aca="false">IF(INDEX(Pengaturan!$B$8:$B$27,R$4)="",0,COUNTIF(Data!$B123:$U123,INDEX(Pengaturan!$B$8:$B$27,R$4)))</f>
        <v>0</v>
      </c>
      <c r="S123" s="26" t="n">
        <f aca="false">IF(INDEX(Pengaturan!$B$8:$B$27,S$4)="",0,COUNTIF(Data!$B123:$U123,INDEX(Pengaturan!$B$8:$B$27,S$4)))</f>
        <v>0</v>
      </c>
      <c r="T123" s="26" t="n">
        <f aca="false">IF(INDEX(Pengaturan!$B$8:$B$27,T$4)="",0,COUNTIF(Data!$B123:$U123,INDEX(Pengaturan!$B$8:$B$27,T$4)))</f>
        <v>0</v>
      </c>
      <c r="U123" s="26" t="n">
        <f aca="false">IF(INDEX(Pengaturan!$B$8:$B$27,U$4)="",0,COUNTIF(Data!$B123:$U123,INDEX(Pengaturan!$B$8:$B$27,U$4)))</f>
        <v>0</v>
      </c>
      <c r="V123" s="26" t="n">
        <f aca="false">COUNTA(Data!$B123:$U123)</f>
        <v>0</v>
      </c>
      <c r="W123" s="27" t="str">
        <f aca="false">IF(V123=0,"",IF(V123&lt;&gt;Hasil!$C$4,"Data kosong/tidak lengkap",IF(SUM(B123:U123)&lt;&gt;V123,"Kategori tidak dikenal","OK")))</f>
        <v/>
      </c>
      <c r="X123" s="26" t="n">
        <f aca="false">IF(OR(W123="",W123="OK"),0,1)</f>
        <v>0</v>
      </c>
    </row>
    <row r="124" customFormat="false" ht="15" hidden="false" customHeight="false" outlineLevel="0" collapsed="false">
      <c r="A124" s="26" t="n">
        <f aca="false">Data!A124</f>
        <v>119</v>
      </c>
      <c r="B124" s="26" t="n">
        <f aca="false">IF(INDEX(Pengaturan!$B$8:$B$27,B$4)="",0,COUNTIF(Data!$B124:$U124,INDEX(Pengaturan!$B$8:$B$27,B$4)))</f>
        <v>0</v>
      </c>
      <c r="C124" s="26" t="n">
        <f aca="false">IF(INDEX(Pengaturan!$B$8:$B$27,C$4)="",0,COUNTIF(Data!$B124:$U124,INDEX(Pengaturan!$B$8:$B$27,C$4)))</f>
        <v>0</v>
      </c>
      <c r="D124" s="26" t="n">
        <f aca="false">IF(INDEX(Pengaturan!$B$8:$B$27,D$4)="",0,COUNTIF(Data!$B124:$U124,INDEX(Pengaturan!$B$8:$B$27,D$4)))</f>
        <v>0</v>
      </c>
      <c r="E124" s="26" t="n">
        <f aca="false">IF(INDEX(Pengaturan!$B$8:$B$27,E$4)="",0,COUNTIF(Data!$B124:$U124,INDEX(Pengaturan!$B$8:$B$27,E$4)))</f>
        <v>0</v>
      </c>
      <c r="F124" s="26" t="n">
        <f aca="false">IF(INDEX(Pengaturan!$B$8:$B$27,F$4)="",0,COUNTIF(Data!$B124:$U124,INDEX(Pengaturan!$B$8:$B$27,F$4)))</f>
        <v>0</v>
      </c>
      <c r="G124" s="26" t="n">
        <f aca="false">IF(INDEX(Pengaturan!$B$8:$B$27,G$4)="",0,COUNTIF(Data!$B124:$U124,INDEX(Pengaturan!$B$8:$B$27,G$4)))</f>
        <v>0</v>
      </c>
      <c r="H124" s="26" t="n">
        <f aca="false">IF(INDEX(Pengaturan!$B$8:$B$27,H$4)="",0,COUNTIF(Data!$B124:$U124,INDEX(Pengaturan!$B$8:$B$27,H$4)))</f>
        <v>0</v>
      </c>
      <c r="I124" s="26" t="n">
        <f aca="false">IF(INDEX(Pengaturan!$B$8:$B$27,I$4)="",0,COUNTIF(Data!$B124:$U124,INDEX(Pengaturan!$B$8:$B$27,I$4)))</f>
        <v>0</v>
      </c>
      <c r="J124" s="26" t="n">
        <f aca="false">IF(INDEX(Pengaturan!$B$8:$B$27,J$4)="",0,COUNTIF(Data!$B124:$U124,INDEX(Pengaturan!$B$8:$B$27,J$4)))</f>
        <v>0</v>
      </c>
      <c r="K124" s="26" t="n">
        <f aca="false">IF(INDEX(Pengaturan!$B$8:$B$27,K$4)="",0,COUNTIF(Data!$B124:$U124,INDEX(Pengaturan!$B$8:$B$27,K$4)))</f>
        <v>0</v>
      </c>
      <c r="L124" s="26" t="n">
        <f aca="false">IF(INDEX(Pengaturan!$B$8:$B$27,L$4)="",0,COUNTIF(Data!$B124:$U124,INDEX(Pengaturan!$B$8:$B$27,L$4)))</f>
        <v>0</v>
      </c>
      <c r="M124" s="26" t="n">
        <f aca="false">IF(INDEX(Pengaturan!$B$8:$B$27,M$4)="",0,COUNTIF(Data!$B124:$U124,INDEX(Pengaturan!$B$8:$B$27,M$4)))</f>
        <v>0</v>
      </c>
      <c r="N124" s="26" t="n">
        <f aca="false">IF(INDEX(Pengaturan!$B$8:$B$27,N$4)="",0,COUNTIF(Data!$B124:$U124,INDEX(Pengaturan!$B$8:$B$27,N$4)))</f>
        <v>0</v>
      </c>
      <c r="O124" s="26" t="n">
        <f aca="false">IF(INDEX(Pengaturan!$B$8:$B$27,O$4)="",0,COUNTIF(Data!$B124:$U124,INDEX(Pengaturan!$B$8:$B$27,O$4)))</f>
        <v>0</v>
      </c>
      <c r="P124" s="26" t="n">
        <f aca="false">IF(INDEX(Pengaturan!$B$8:$B$27,P$4)="",0,COUNTIF(Data!$B124:$U124,INDEX(Pengaturan!$B$8:$B$27,P$4)))</f>
        <v>0</v>
      </c>
      <c r="Q124" s="26" t="n">
        <f aca="false">IF(INDEX(Pengaturan!$B$8:$B$27,Q$4)="",0,COUNTIF(Data!$B124:$U124,INDEX(Pengaturan!$B$8:$B$27,Q$4)))</f>
        <v>0</v>
      </c>
      <c r="R124" s="26" t="n">
        <f aca="false">IF(INDEX(Pengaturan!$B$8:$B$27,R$4)="",0,COUNTIF(Data!$B124:$U124,INDEX(Pengaturan!$B$8:$B$27,R$4)))</f>
        <v>0</v>
      </c>
      <c r="S124" s="26" t="n">
        <f aca="false">IF(INDEX(Pengaturan!$B$8:$B$27,S$4)="",0,COUNTIF(Data!$B124:$U124,INDEX(Pengaturan!$B$8:$B$27,S$4)))</f>
        <v>0</v>
      </c>
      <c r="T124" s="26" t="n">
        <f aca="false">IF(INDEX(Pengaturan!$B$8:$B$27,T$4)="",0,COUNTIF(Data!$B124:$U124,INDEX(Pengaturan!$B$8:$B$27,T$4)))</f>
        <v>0</v>
      </c>
      <c r="U124" s="26" t="n">
        <f aca="false">IF(INDEX(Pengaturan!$B$8:$B$27,U$4)="",0,COUNTIF(Data!$B124:$U124,INDEX(Pengaturan!$B$8:$B$27,U$4)))</f>
        <v>0</v>
      </c>
      <c r="V124" s="26" t="n">
        <f aca="false">COUNTA(Data!$B124:$U124)</f>
        <v>0</v>
      </c>
      <c r="W124" s="27" t="str">
        <f aca="false">IF(V124=0,"",IF(V124&lt;&gt;Hasil!$C$4,"Data kosong/tidak lengkap",IF(SUM(B124:U124)&lt;&gt;V124,"Kategori tidak dikenal","OK")))</f>
        <v/>
      </c>
      <c r="X124" s="26" t="n">
        <f aca="false">IF(OR(W124="",W124="OK"),0,1)</f>
        <v>0</v>
      </c>
    </row>
    <row r="125" customFormat="false" ht="15" hidden="false" customHeight="false" outlineLevel="0" collapsed="false">
      <c r="A125" s="26" t="n">
        <f aca="false">Data!A125</f>
        <v>120</v>
      </c>
      <c r="B125" s="26" t="n">
        <f aca="false">IF(INDEX(Pengaturan!$B$8:$B$27,B$4)="",0,COUNTIF(Data!$B125:$U125,INDEX(Pengaturan!$B$8:$B$27,B$4)))</f>
        <v>0</v>
      </c>
      <c r="C125" s="26" t="n">
        <f aca="false">IF(INDEX(Pengaturan!$B$8:$B$27,C$4)="",0,COUNTIF(Data!$B125:$U125,INDEX(Pengaturan!$B$8:$B$27,C$4)))</f>
        <v>0</v>
      </c>
      <c r="D125" s="26" t="n">
        <f aca="false">IF(INDEX(Pengaturan!$B$8:$B$27,D$4)="",0,COUNTIF(Data!$B125:$U125,INDEX(Pengaturan!$B$8:$B$27,D$4)))</f>
        <v>0</v>
      </c>
      <c r="E125" s="26" t="n">
        <f aca="false">IF(INDEX(Pengaturan!$B$8:$B$27,E$4)="",0,COUNTIF(Data!$B125:$U125,INDEX(Pengaturan!$B$8:$B$27,E$4)))</f>
        <v>0</v>
      </c>
      <c r="F125" s="26" t="n">
        <f aca="false">IF(INDEX(Pengaturan!$B$8:$B$27,F$4)="",0,COUNTIF(Data!$B125:$U125,INDEX(Pengaturan!$B$8:$B$27,F$4)))</f>
        <v>0</v>
      </c>
      <c r="G125" s="26" t="n">
        <f aca="false">IF(INDEX(Pengaturan!$B$8:$B$27,G$4)="",0,COUNTIF(Data!$B125:$U125,INDEX(Pengaturan!$B$8:$B$27,G$4)))</f>
        <v>0</v>
      </c>
      <c r="H125" s="26" t="n">
        <f aca="false">IF(INDEX(Pengaturan!$B$8:$B$27,H$4)="",0,COUNTIF(Data!$B125:$U125,INDEX(Pengaturan!$B$8:$B$27,H$4)))</f>
        <v>0</v>
      </c>
      <c r="I125" s="26" t="n">
        <f aca="false">IF(INDEX(Pengaturan!$B$8:$B$27,I$4)="",0,COUNTIF(Data!$B125:$U125,INDEX(Pengaturan!$B$8:$B$27,I$4)))</f>
        <v>0</v>
      </c>
      <c r="J125" s="26" t="n">
        <f aca="false">IF(INDEX(Pengaturan!$B$8:$B$27,J$4)="",0,COUNTIF(Data!$B125:$U125,INDEX(Pengaturan!$B$8:$B$27,J$4)))</f>
        <v>0</v>
      </c>
      <c r="K125" s="26" t="n">
        <f aca="false">IF(INDEX(Pengaturan!$B$8:$B$27,K$4)="",0,COUNTIF(Data!$B125:$U125,INDEX(Pengaturan!$B$8:$B$27,K$4)))</f>
        <v>0</v>
      </c>
      <c r="L125" s="26" t="n">
        <f aca="false">IF(INDEX(Pengaturan!$B$8:$B$27,L$4)="",0,COUNTIF(Data!$B125:$U125,INDEX(Pengaturan!$B$8:$B$27,L$4)))</f>
        <v>0</v>
      </c>
      <c r="M125" s="26" t="n">
        <f aca="false">IF(INDEX(Pengaturan!$B$8:$B$27,M$4)="",0,COUNTIF(Data!$B125:$U125,INDEX(Pengaturan!$B$8:$B$27,M$4)))</f>
        <v>0</v>
      </c>
      <c r="N125" s="26" t="n">
        <f aca="false">IF(INDEX(Pengaturan!$B$8:$B$27,N$4)="",0,COUNTIF(Data!$B125:$U125,INDEX(Pengaturan!$B$8:$B$27,N$4)))</f>
        <v>0</v>
      </c>
      <c r="O125" s="26" t="n">
        <f aca="false">IF(INDEX(Pengaturan!$B$8:$B$27,O$4)="",0,COUNTIF(Data!$B125:$U125,INDEX(Pengaturan!$B$8:$B$27,O$4)))</f>
        <v>0</v>
      </c>
      <c r="P125" s="26" t="n">
        <f aca="false">IF(INDEX(Pengaturan!$B$8:$B$27,P$4)="",0,COUNTIF(Data!$B125:$U125,INDEX(Pengaturan!$B$8:$B$27,P$4)))</f>
        <v>0</v>
      </c>
      <c r="Q125" s="26" t="n">
        <f aca="false">IF(INDEX(Pengaturan!$B$8:$B$27,Q$4)="",0,COUNTIF(Data!$B125:$U125,INDEX(Pengaturan!$B$8:$B$27,Q$4)))</f>
        <v>0</v>
      </c>
      <c r="R125" s="26" t="n">
        <f aca="false">IF(INDEX(Pengaturan!$B$8:$B$27,R$4)="",0,COUNTIF(Data!$B125:$U125,INDEX(Pengaturan!$B$8:$B$27,R$4)))</f>
        <v>0</v>
      </c>
      <c r="S125" s="26" t="n">
        <f aca="false">IF(INDEX(Pengaturan!$B$8:$B$27,S$4)="",0,COUNTIF(Data!$B125:$U125,INDEX(Pengaturan!$B$8:$B$27,S$4)))</f>
        <v>0</v>
      </c>
      <c r="T125" s="26" t="n">
        <f aca="false">IF(INDEX(Pengaturan!$B$8:$B$27,T$4)="",0,COUNTIF(Data!$B125:$U125,INDEX(Pengaturan!$B$8:$B$27,T$4)))</f>
        <v>0</v>
      </c>
      <c r="U125" s="26" t="n">
        <f aca="false">IF(INDEX(Pengaturan!$B$8:$B$27,U$4)="",0,COUNTIF(Data!$B125:$U125,INDEX(Pengaturan!$B$8:$B$27,U$4)))</f>
        <v>0</v>
      </c>
      <c r="V125" s="26" t="n">
        <f aca="false">COUNTA(Data!$B125:$U125)</f>
        <v>0</v>
      </c>
      <c r="W125" s="27" t="str">
        <f aca="false">IF(V125=0,"",IF(V125&lt;&gt;Hasil!$C$4,"Data kosong/tidak lengkap",IF(SUM(B125:U125)&lt;&gt;V125,"Kategori tidak dikenal","OK")))</f>
        <v/>
      </c>
      <c r="X125" s="26" t="n">
        <f aca="false">IF(OR(W125="",W125="OK"),0,1)</f>
        <v>0</v>
      </c>
    </row>
    <row r="126" customFormat="false" ht="15" hidden="false" customHeight="false" outlineLevel="0" collapsed="false">
      <c r="A126" s="26" t="n">
        <f aca="false">Data!A126</f>
        <v>121</v>
      </c>
      <c r="B126" s="26" t="n">
        <f aca="false">IF(INDEX(Pengaturan!$B$8:$B$27,B$4)="",0,COUNTIF(Data!$B126:$U126,INDEX(Pengaturan!$B$8:$B$27,B$4)))</f>
        <v>0</v>
      </c>
      <c r="C126" s="26" t="n">
        <f aca="false">IF(INDEX(Pengaturan!$B$8:$B$27,C$4)="",0,COUNTIF(Data!$B126:$U126,INDEX(Pengaturan!$B$8:$B$27,C$4)))</f>
        <v>0</v>
      </c>
      <c r="D126" s="26" t="n">
        <f aca="false">IF(INDEX(Pengaturan!$B$8:$B$27,D$4)="",0,COUNTIF(Data!$B126:$U126,INDEX(Pengaturan!$B$8:$B$27,D$4)))</f>
        <v>0</v>
      </c>
      <c r="E126" s="26" t="n">
        <f aca="false">IF(INDEX(Pengaturan!$B$8:$B$27,E$4)="",0,COUNTIF(Data!$B126:$U126,INDEX(Pengaturan!$B$8:$B$27,E$4)))</f>
        <v>0</v>
      </c>
      <c r="F126" s="26" t="n">
        <f aca="false">IF(INDEX(Pengaturan!$B$8:$B$27,F$4)="",0,COUNTIF(Data!$B126:$U126,INDEX(Pengaturan!$B$8:$B$27,F$4)))</f>
        <v>0</v>
      </c>
      <c r="G126" s="26" t="n">
        <f aca="false">IF(INDEX(Pengaturan!$B$8:$B$27,G$4)="",0,COUNTIF(Data!$B126:$U126,INDEX(Pengaturan!$B$8:$B$27,G$4)))</f>
        <v>0</v>
      </c>
      <c r="H126" s="26" t="n">
        <f aca="false">IF(INDEX(Pengaturan!$B$8:$B$27,H$4)="",0,COUNTIF(Data!$B126:$U126,INDEX(Pengaturan!$B$8:$B$27,H$4)))</f>
        <v>0</v>
      </c>
      <c r="I126" s="26" t="n">
        <f aca="false">IF(INDEX(Pengaturan!$B$8:$B$27,I$4)="",0,COUNTIF(Data!$B126:$U126,INDEX(Pengaturan!$B$8:$B$27,I$4)))</f>
        <v>0</v>
      </c>
      <c r="J126" s="26" t="n">
        <f aca="false">IF(INDEX(Pengaturan!$B$8:$B$27,J$4)="",0,COUNTIF(Data!$B126:$U126,INDEX(Pengaturan!$B$8:$B$27,J$4)))</f>
        <v>0</v>
      </c>
      <c r="K126" s="26" t="n">
        <f aca="false">IF(INDEX(Pengaturan!$B$8:$B$27,K$4)="",0,COUNTIF(Data!$B126:$U126,INDEX(Pengaturan!$B$8:$B$27,K$4)))</f>
        <v>0</v>
      </c>
      <c r="L126" s="26" t="n">
        <f aca="false">IF(INDEX(Pengaturan!$B$8:$B$27,L$4)="",0,COUNTIF(Data!$B126:$U126,INDEX(Pengaturan!$B$8:$B$27,L$4)))</f>
        <v>0</v>
      </c>
      <c r="M126" s="26" t="n">
        <f aca="false">IF(INDEX(Pengaturan!$B$8:$B$27,M$4)="",0,COUNTIF(Data!$B126:$U126,INDEX(Pengaturan!$B$8:$B$27,M$4)))</f>
        <v>0</v>
      </c>
      <c r="N126" s="26" t="n">
        <f aca="false">IF(INDEX(Pengaturan!$B$8:$B$27,N$4)="",0,COUNTIF(Data!$B126:$U126,INDEX(Pengaturan!$B$8:$B$27,N$4)))</f>
        <v>0</v>
      </c>
      <c r="O126" s="26" t="n">
        <f aca="false">IF(INDEX(Pengaturan!$B$8:$B$27,O$4)="",0,COUNTIF(Data!$B126:$U126,INDEX(Pengaturan!$B$8:$B$27,O$4)))</f>
        <v>0</v>
      </c>
      <c r="P126" s="26" t="n">
        <f aca="false">IF(INDEX(Pengaturan!$B$8:$B$27,P$4)="",0,COUNTIF(Data!$B126:$U126,INDEX(Pengaturan!$B$8:$B$27,P$4)))</f>
        <v>0</v>
      </c>
      <c r="Q126" s="26" t="n">
        <f aca="false">IF(INDEX(Pengaturan!$B$8:$B$27,Q$4)="",0,COUNTIF(Data!$B126:$U126,INDEX(Pengaturan!$B$8:$B$27,Q$4)))</f>
        <v>0</v>
      </c>
      <c r="R126" s="26" t="n">
        <f aca="false">IF(INDEX(Pengaturan!$B$8:$B$27,R$4)="",0,COUNTIF(Data!$B126:$U126,INDEX(Pengaturan!$B$8:$B$27,R$4)))</f>
        <v>0</v>
      </c>
      <c r="S126" s="26" t="n">
        <f aca="false">IF(INDEX(Pengaturan!$B$8:$B$27,S$4)="",0,COUNTIF(Data!$B126:$U126,INDEX(Pengaturan!$B$8:$B$27,S$4)))</f>
        <v>0</v>
      </c>
      <c r="T126" s="26" t="n">
        <f aca="false">IF(INDEX(Pengaturan!$B$8:$B$27,T$4)="",0,COUNTIF(Data!$B126:$U126,INDEX(Pengaturan!$B$8:$B$27,T$4)))</f>
        <v>0</v>
      </c>
      <c r="U126" s="26" t="n">
        <f aca="false">IF(INDEX(Pengaturan!$B$8:$B$27,U$4)="",0,COUNTIF(Data!$B126:$U126,INDEX(Pengaturan!$B$8:$B$27,U$4)))</f>
        <v>0</v>
      </c>
      <c r="V126" s="26" t="n">
        <f aca="false">COUNTA(Data!$B126:$U126)</f>
        <v>0</v>
      </c>
      <c r="W126" s="27" t="str">
        <f aca="false">IF(V126=0,"",IF(V126&lt;&gt;Hasil!$C$4,"Data kosong/tidak lengkap",IF(SUM(B126:U126)&lt;&gt;V126,"Kategori tidak dikenal","OK")))</f>
        <v/>
      </c>
      <c r="X126" s="26" t="n">
        <f aca="false">IF(OR(W126="",W126="OK"),0,1)</f>
        <v>0</v>
      </c>
    </row>
    <row r="127" customFormat="false" ht="15" hidden="false" customHeight="false" outlineLevel="0" collapsed="false">
      <c r="A127" s="26" t="n">
        <f aca="false">Data!A127</f>
        <v>122</v>
      </c>
      <c r="B127" s="26" t="n">
        <f aca="false">IF(INDEX(Pengaturan!$B$8:$B$27,B$4)="",0,COUNTIF(Data!$B127:$U127,INDEX(Pengaturan!$B$8:$B$27,B$4)))</f>
        <v>0</v>
      </c>
      <c r="C127" s="26" t="n">
        <f aca="false">IF(INDEX(Pengaturan!$B$8:$B$27,C$4)="",0,COUNTIF(Data!$B127:$U127,INDEX(Pengaturan!$B$8:$B$27,C$4)))</f>
        <v>0</v>
      </c>
      <c r="D127" s="26" t="n">
        <f aca="false">IF(INDEX(Pengaturan!$B$8:$B$27,D$4)="",0,COUNTIF(Data!$B127:$U127,INDEX(Pengaturan!$B$8:$B$27,D$4)))</f>
        <v>0</v>
      </c>
      <c r="E127" s="26" t="n">
        <f aca="false">IF(INDEX(Pengaturan!$B$8:$B$27,E$4)="",0,COUNTIF(Data!$B127:$U127,INDEX(Pengaturan!$B$8:$B$27,E$4)))</f>
        <v>0</v>
      </c>
      <c r="F127" s="26" t="n">
        <f aca="false">IF(INDEX(Pengaturan!$B$8:$B$27,F$4)="",0,COUNTIF(Data!$B127:$U127,INDEX(Pengaturan!$B$8:$B$27,F$4)))</f>
        <v>0</v>
      </c>
      <c r="G127" s="26" t="n">
        <f aca="false">IF(INDEX(Pengaturan!$B$8:$B$27,G$4)="",0,COUNTIF(Data!$B127:$U127,INDEX(Pengaturan!$B$8:$B$27,G$4)))</f>
        <v>0</v>
      </c>
      <c r="H127" s="26" t="n">
        <f aca="false">IF(INDEX(Pengaturan!$B$8:$B$27,H$4)="",0,COUNTIF(Data!$B127:$U127,INDEX(Pengaturan!$B$8:$B$27,H$4)))</f>
        <v>0</v>
      </c>
      <c r="I127" s="26" t="n">
        <f aca="false">IF(INDEX(Pengaturan!$B$8:$B$27,I$4)="",0,COUNTIF(Data!$B127:$U127,INDEX(Pengaturan!$B$8:$B$27,I$4)))</f>
        <v>0</v>
      </c>
      <c r="J127" s="26" t="n">
        <f aca="false">IF(INDEX(Pengaturan!$B$8:$B$27,J$4)="",0,COUNTIF(Data!$B127:$U127,INDEX(Pengaturan!$B$8:$B$27,J$4)))</f>
        <v>0</v>
      </c>
      <c r="K127" s="26" t="n">
        <f aca="false">IF(INDEX(Pengaturan!$B$8:$B$27,K$4)="",0,COUNTIF(Data!$B127:$U127,INDEX(Pengaturan!$B$8:$B$27,K$4)))</f>
        <v>0</v>
      </c>
      <c r="L127" s="26" t="n">
        <f aca="false">IF(INDEX(Pengaturan!$B$8:$B$27,L$4)="",0,COUNTIF(Data!$B127:$U127,INDEX(Pengaturan!$B$8:$B$27,L$4)))</f>
        <v>0</v>
      </c>
      <c r="M127" s="26" t="n">
        <f aca="false">IF(INDEX(Pengaturan!$B$8:$B$27,M$4)="",0,COUNTIF(Data!$B127:$U127,INDEX(Pengaturan!$B$8:$B$27,M$4)))</f>
        <v>0</v>
      </c>
      <c r="N127" s="26" t="n">
        <f aca="false">IF(INDEX(Pengaturan!$B$8:$B$27,N$4)="",0,COUNTIF(Data!$B127:$U127,INDEX(Pengaturan!$B$8:$B$27,N$4)))</f>
        <v>0</v>
      </c>
      <c r="O127" s="26" t="n">
        <f aca="false">IF(INDEX(Pengaturan!$B$8:$B$27,O$4)="",0,COUNTIF(Data!$B127:$U127,INDEX(Pengaturan!$B$8:$B$27,O$4)))</f>
        <v>0</v>
      </c>
      <c r="P127" s="26" t="n">
        <f aca="false">IF(INDEX(Pengaturan!$B$8:$B$27,P$4)="",0,COUNTIF(Data!$B127:$U127,INDEX(Pengaturan!$B$8:$B$27,P$4)))</f>
        <v>0</v>
      </c>
      <c r="Q127" s="26" t="n">
        <f aca="false">IF(INDEX(Pengaturan!$B$8:$B$27,Q$4)="",0,COUNTIF(Data!$B127:$U127,INDEX(Pengaturan!$B$8:$B$27,Q$4)))</f>
        <v>0</v>
      </c>
      <c r="R127" s="26" t="n">
        <f aca="false">IF(INDEX(Pengaturan!$B$8:$B$27,R$4)="",0,COUNTIF(Data!$B127:$U127,INDEX(Pengaturan!$B$8:$B$27,R$4)))</f>
        <v>0</v>
      </c>
      <c r="S127" s="26" t="n">
        <f aca="false">IF(INDEX(Pengaturan!$B$8:$B$27,S$4)="",0,COUNTIF(Data!$B127:$U127,INDEX(Pengaturan!$B$8:$B$27,S$4)))</f>
        <v>0</v>
      </c>
      <c r="T127" s="26" t="n">
        <f aca="false">IF(INDEX(Pengaturan!$B$8:$B$27,T$4)="",0,COUNTIF(Data!$B127:$U127,INDEX(Pengaturan!$B$8:$B$27,T$4)))</f>
        <v>0</v>
      </c>
      <c r="U127" s="26" t="n">
        <f aca="false">IF(INDEX(Pengaturan!$B$8:$B$27,U$4)="",0,COUNTIF(Data!$B127:$U127,INDEX(Pengaturan!$B$8:$B$27,U$4)))</f>
        <v>0</v>
      </c>
      <c r="V127" s="26" t="n">
        <f aca="false">COUNTA(Data!$B127:$U127)</f>
        <v>0</v>
      </c>
      <c r="W127" s="27" t="str">
        <f aca="false">IF(V127=0,"",IF(V127&lt;&gt;Hasil!$C$4,"Data kosong/tidak lengkap",IF(SUM(B127:U127)&lt;&gt;V127,"Kategori tidak dikenal","OK")))</f>
        <v/>
      </c>
      <c r="X127" s="26" t="n">
        <f aca="false">IF(OR(W127="",W127="OK"),0,1)</f>
        <v>0</v>
      </c>
    </row>
    <row r="128" customFormat="false" ht="15" hidden="false" customHeight="false" outlineLevel="0" collapsed="false">
      <c r="A128" s="26" t="n">
        <f aca="false">Data!A128</f>
        <v>123</v>
      </c>
      <c r="B128" s="26" t="n">
        <f aca="false">IF(INDEX(Pengaturan!$B$8:$B$27,B$4)="",0,COUNTIF(Data!$B128:$U128,INDEX(Pengaturan!$B$8:$B$27,B$4)))</f>
        <v>0</v>
      </c>
      <c r="C128" s="26" t="n">
        <f aca="false">IF(INDEX(Pengaturan!$B$8:$B$27,C$4)="",0,COUNTIF(Data!$B128:$U128,INDEX(Pengaturan!$B$8:$B$27,C$4)))</f>
        <v>0</v>
      </c>
      <c r="D128" s="26" t="n">
        <f aca="false">IF(INDEX(Pengaturan!$B$8:$B$27,D$4)="",0,COUNTIF(Data!$B128:$U128,INDEX(Pengaturan!$B$8:$B$27,D$4)))</f>
        <v>0</v>
      </c>
      <c r="E128" s="26" t="n">
        <f aca="false">IF(INDEX(Pengaturan!$B$8:$B$27,E$4)="",0,COUNTIF(Data!$B128:$U128,INDEX(Pengaturan!$B$8:$B$27,E$4)))</f>
        <v>0</v>
      </c>
      <c r="F128" s="26" t="n">
        <f aca="false">IF(INDEX(Pengaturan!$B$8:$B$27,F$4)="",0,COUNTIF(Data!$B128:$U128,INDEX(Pengaturan!$B$8:$B$27,F$4)))</f>
        <v>0</v>
      </c>
      <c r="G128" s="26" t="n">
        <f aca="false">IF(INDEX(Pengaturan!$B$8:$B$27,G$4)="",0,COUNTIF(Data!$B128:$U128,INDEX(Pengaturan!$B$8:$B$27,G$4)))</f>
        <v>0</v>
      </c>
      <c r="H128" s="26" t="n">
        <f aca="false">IF(INDEX(Pengaturan!$B$8:$B$27,H$4)="",0,COUNTIF(Data!$B128:$U128,INDEX(Pengaturan!$B$8:$B$27,H$4)))</f>
        <v>0</v>
      </c>
      <c r="I128" s="26" t="n">
        <f aca="false">IF(INDEX(Pengaturan!$B$8:$B$27,I$4)="",0,COUNTIF(Data!$B128:$U128,INDEX(Pengaturan!$B$8:$B$27,I$4)))</f>
        <v>0</v>
      </c>
      <c r="J128" s="26" t="n">
        <f aca="false">IF(INDEX(Pengaturan!$B$8:$B$27,J$4)="",0,COUNTIF(Data!$B128:$U128,INDEX(Pengaturan!$B$8:$B$27,J$4)))</f>
        <v>0</v>
      </c>
      <c r="K128" s="26" t="n">
        <f aca="false">IF(INDEX(Pengaturan!$B$8:$B$27,K$4)="",0,COUNTIF(Data!$B128:$U128,INDEX(Pengaturan!$B$8:$B$27,K$4)))</f>
        <v>0</v>
      </c>
      <c r="L128" s="26" t="n">
        <f aca="false">IF(INDEX(Pengaturan!$B$8:$B$27,L$4)="",0,COUNTIF(Data!$B128:$U128,INDEX(Pengaturan!$B$8:$B$27,L$4)))</f>
        <v>0</v>
      </c>
      <c r="M128" s="26" t="n">
        <f aca="false">IF(INDEX(Pengaturan!$B$8:$B$27,M$4)="",0,COUNTIF(Data!$B128:$U128,INDEX(Pengaturan!$B$8:$B$27,M$4)))</f>
        <v>0</v>
      </c>
      <c r="N128" s="26" t="n">
        <f aca="false">IF(INDEX(Pengaturan!$B$8:$B$27,N$4)="",0,COUNTIF(Data!$B128:$U128,INDEX(Pengaturan!$B$8:$B$27,N$4)))</f>
        <v>0</v>
      </c>
      <c r="O128" s="26" t="n">
        <f aca="false">IF(INDEX(Pengaturan!$B$8:$B$27,O$4)="",0,COUNTIF(Data!$B128:$U128,INDEX(Pengaturan!$B$8:$B$27,O$4)))</f>
        <v>0</v>
      </c>
      <c r="P128" s="26" t="n">
        <f aca="false">IF(INDEX(Pengaturan!$B$8:$B$27,P$4)="",0,COUNTIF(Data!$B128:$U128,INDEX(Pengaturan!$B$8:$B$27,P$4)))</f>
        <v>0</v>
      </c>
      <c r="Q128" s="26" t="n">
        <f aca="false">IF(INDEX(Pengaturan!$B$8:$B$27,Q$4)="",0,COUNTIF(Data!$B128:$U128,INDEX(Pengaturan!$B$8:$B$27,Q$4)))</f>
        <v>0</v>
      </c>
      <c r="R128" s="26" t="n">
        <f aca="false">IF(INDEX(Pengaturan!$B$8:$B$27,R$4)="",0,COUNTIF(Data!$B128:$U128,INDEX(Pengaturan!$B$8:$B$27,R$4)))</f>
        <v>0</v>
      </c>
      <c r="S128" s="26" t="n">
        <f aca="false">IF(INDEX(Pengaturan!$B$8:$B$27,S$4)="",0,COUNTIF(Data!$B128:$U128,INDEX(Pengaturan!$B$8:$B$27,S$4)))</f>
        <v>0</v>
      </c>
      <c r="T128" s="26" t="n">
        <f aca="false">IF(INDEX(Pengaturan!$B$8:$B$27,T$4)="",0,COUNTIF(Data!$B128:$U128,INDEX(Pengaturan!$B$8:$B$27,T$4)))</f>
        <v>0</v>
      </c>
      <c r="U128" s="26" t="n">
        <f aca="false">IF(INDEX(Pengaturan!$B$8:$B$27,U$4)="",0,COUNTIF(Data!$B128:$U128,INDEX(Pengaturan!$B$8:$B$27,U$4)))</f>
        <v>0</v>
      </c>
      <c r="V128" s="26" t="n">
        <f aca="false">COUNTA(Data!$B128:$U128)</f>
        <v>0</v>
      </c>
      <c r="W128" s="27" t="str">
        <f aca="false">IF(V128=0,"",IF(V128&lt;&gt;Hasil!$C$4,"Data kosong/tidak lengkap",IF(SUM(B128:U128)&lt;&gt;V128,"Kategori tidak dikenal","OK")))</f>
        <v/>
      </c>
      <c r="X128" s="26" t="n">
        <f aca="false">IF(OR(W128="",W128="OK"),0,1)</f>
        <v>0</v>
      </c>
    </row>
    <row r="129" customFormat="false" ht="15" hidden="false" customHeight="false" outlineLevel="0" collapsed="false">
      <c r="A129" s="26" t="n">
        <f aca="false">Data!A129</f>
        <v>124</v>
      </c>
      <c r="B129" s="26" t="n">
        <f aca="false">IF(INDEX(Pengaturan!$B$8:$B$27,B$4)="",0,COUNTIF(Data!$B129:$U129,INDEX(Pengaturan!$B$8:$B$27,B$4)))</f>
        <v>0</v>
      </c>
      <c r="C129" s="26" t="n">
        <f aca="false">IF(INDEX(Pengaturan!$B$8:$B$27,C$4)="",0,COUNTIF(Data!$B129:$U129,INDEX(Pengaturan!$B$8:$B$27,C$4)))</f>
        <v>0</v>
      </c>
      <c r="D129" s="26" t="n">
        <f aca="false">IF(INDEX(Pengaturan!$B$8:$B$27,D$4)="",0,COUNTIF(Data!$B129:$U129,INDEX(Pengaturan!$B$8:$B$27,D$4)))</f>
        <v>0</v>
      </c>
      <c r="E129" s="26" t="n">
        <f aca="false">IF(INDEX(Pengaturan!$B$8:$B$27,E$4)="",0,COUNTIF(Data!$B129:$U129,INDEX(Pengaturan!$B$8:$B$27,E$4)))</f>
        <v>0</v>
      </c>
      <c r="F129" s="26" t="n">
        <f aca="false">IF(INDEX(Pengaturan!$B$8:$B$27,F$4)="",0,COUNTIF(Data!$B129:$U129,INDEX(Pengaturan!$B$8:$B$27,F$4)))</f>
        <v>0</v>
      </c>
      <c r="G129" s="26" t="n">
        <f aca="false">IF(INDEX(Pengaturan!$B$8:$B$27,G$4)="",0,COUNTIF(Data!$B129:$U129,INDEX(Pengaturan!$B$8:$B$27,G$4)))</f>
        <v>0</v>
      </c>
      <c r="H129" s="26" t="n">
        <f aca="false">IF(INDEX(Pengaturan!$B$8:$B$27,H$4)="",0,COUNTIF(Data!$B129:$U129,INDEX(Pengaturan!$B$8:$B$27,H$4)))</f>
        <v>0</v>
      </c>
      <c r="I129" s="26" t="n">
        <f aca="false">IF(INDEX(Pengaturan!$B$8:$B$27,I$4)="",0,COUNTIF(Data!$B129:$U129,INDEX(Pengaturan!$B$8:$B$27,I$4)))</f>
        <v>0</v>
      </c>
      <c r="J129" s="26" t="n">
        <f aca="false">IF(INDEX(Pengaturan!$B$8:$B$27,J$4)="",0,COUNTIF(Data!$B129:$U129,INDEX(Pengaturan!$B$8:$B$27,J$4)))</f>
        <v>0</v>
      </c>
      <c r="K129" s="26" t="n">
        <f aca="false">IF(INDEX(Pengaturan!$B$8:$B$27,K$4)="",0,COUNTIF(Data!$B129:$U129,INDEX(Pengaturan!$B$8:$B$27,K$4)))</f>
        <v>0</v>
      </c>
      <c r="L129" s="26" t="n">
        <f aca="false">IF(INDEX(Pengaturan!$B$8:$B$27,L$4)="",0,COUNTIF(Data!$B129:$U129,INDEX(Pengaturan!$B$8:$B$27,L$4)))</f>
        <v>0</v>
      </c>
      <c r="M129" s="26" t="n">
        <f aca="false">IF(INDEX(Pengaturan!$B$8:$B$27,M$4)="",0,COUNTIF(Data!$B129:$U129,INDEX(Pengaturan!$B$8:$B$27,M$4)))</f>
        <v>0</v>
      </c>
      <c r="N129" s="26" t="n">
        <f aca="false">IF(INDEX(Pengaturan!$B$8:$B$27,N$4)="",0,COUNTIF(Data!$B129:$U129,INDEX(Pengaturan!$B$8:$B$27,N$4)))</f>
        <v>0</v>
      </c>
      <c r="O129" s="26" t="n">
        <f aca="false">IF(INDEX(Pengaturan!$B$8:$B$27,O$4)="",0,COUNTIF(Data!$B129:$U129,INDEX(Pengaturan!$B$8:$B$27,O$4)))</f>
        <v>0</v>
      </c>
      <c r="P129" s="26" t="n">
        <f aca="false">IF(INDEX(Pengaturan!$B$8:$B$27,P$4)="",0,COUNTIF(Data!$B129:$U129,INDEX(Pengaturan!$B$8:$B$27,P$4)))</f>
        <v>0</v>
      </c>
      <c r="Q129" s="26" t="n">
        <f aca="false">IF(INDEX(Pengaturan!$B$8:$B$27,Q$4)="",0,COUNTIF(Data!$B129:$U129,INDEX(Pengaturan!$B$8:$B$27,Q$4)))</f>
        <v>0</v>
      </c>
      <c r="R129" s="26" t="n">
        <f aca="false">IF(INDEX(Pengaturan!$B$8:$B$27,R$4)="",0,COUNTIF(Data!$B129:$U129,INDEX(Pengaturan!$B$8:$B$27,R$4)))</f>
        <v>0</v>
      </c>
      <c r="S129" s="26" t="n">
        <f aca="false">IF(INDEX(Pengaturan!$B$8:$B$27,S$4)="",0,COUNTIF(Data!$B129:$U129,INDEX(Pengaturan!$B$8:$B$27,S$4)))</f>
        <v>0</v>
      </c>
      <c r="T129" s="26" t="n">
        <f aca="false">IF(INDEX(Pengaturan!$B$8:$B$27,T$4)="",0,COUNTIF(Data!$B129:$U129,INDEX(Pengaturan!$B$8:$B$27,T$4)))</f>
        <v>0</v>
      </c>
      <c r="U129" s="26" t="n">
        <f aca="false">IF(INDEX(Pengaturan!$B$8:$B$27,U$4)="",0,COUNTIF(Data!$B129:$U129,INDEX(Pengaturan!$B$8:$B$27,U$4)))</f>
        <v>0</v>
      </c>
      <c r="V129" s="26" t="n">
        <f aca="false">COUNTA(Data!$B129:$U129)</f>
        <v>0</v>
      </c>
      <c r="W129" s="27" t="str">
        <f aca="false">IF(V129=0,"",IF(V129&lt;&gt;Hasil!$C$4,"Data kosong/tidak lengkap",IF(SUM(B129:U129)&lt;&gt;V129,"Kategori tidak dikenal","OK")))</f>
        <v/>
      </c>
      <c r="X129" s="26" t="n">
        <f aca="false">IF(OR(W129="",W129="OK"),0,1)</f>
        <v>0</v>
      </c>
    </row>
    <row r="130" customFormat="false" ht="15" hidden="false" customHeight="false" outlineLevel="0" collapsed="false">
      <c r="A130" s="26" t="n">
        <f aca="false">Data!A130</f>
        <v>125</v>
      </c>
      <c r="B130" s="26" t="n">
        <f aca="false">IF(INDEX(Pengaturan!$B$8:$B$27,B$4)="",0,COUNTIF(Data!$B130:$U130,INDEX(Pengaturan!$B$8:$B$27,B$4)))</f>
        <v>0</v>
      </c>
      <c r="C130" s="26" t="n">
        <f aca="false">IF(INDEX(Pengaturan!$B$8:$B$27,C$4)="",0,COUNTIF(Data!$B130:$U130,INDEX(Pengaturan!$B$8:$B$27,C$4)))</f>
        <v>0</v>
      </c>
      <c r="D130" s="26" t="n">
        <f aca="false">IF(INDEX(Pengaturan!$B$8:$B$27,D$4)="",0,COUNTIF(Data!$B130:$U130,INDEX(Pengaturan!$B$8:$B$27,D$4)))</f>
        <v>0</v>
      </c>
      <c r="E130" s="26" t="n">
        <f aca="false">IF(INDEX(Pengaturan!$B$8:$B$27,E$4)="",0,COUNTIF(Data!$B130:$U130,INDEX(Pengaturan!$B$8:$B$27,E$4)))</f>
        <v>0</v>
      </c>
      <c r="F130" s="26" t="n">
        <f aca="false">IF(INDEX(Pengaturan!$B$8:$B$27,F$4)="",0,COUNTIF(Data!$B130:$U130,INDEX(Pengaturan!$B$8:$B$27,F$4)))</f>
        <v>0</v>
      </c>
      <c r="G130" s="26" t="n">
        <f aca="false">IF(INDEX(Pengaturan!$B$8:$B$27,G$4)="",0,COUNTIF(Data!$B130:$U130,INDEX(Pengaturan!$B$8:$B$27,G$4)))</f>
        <v>0</v>
      </c>
      <c r="H130" s="26" t="n">
        <f aca="false">IF(INDEX(Pengaturan!$B$8:$B$27,H$4)="",0,COUNTIF(Data!$B130:$U130,INDEX(Pengaturan!$B$8:$B$27,H$4)))</f>
        <v>0</v>
      </c>
      <c r="I130" s="26" t="n">
        <f aca="false">IF(INDEX(Pengaturan!$B$8:$B$27,I$4)="",0,COUNTIF(Data!$B130:$U130,INDEX(Pengaturan!$B$8:$B$27,I$4)))</f>
        <v>0</v>
      </c>
      <c r="J130" s="26" t="n">
        <f aca="false">IF(INDEX(Pengaturan!$B$8:$B$27,J$4)="",0,COUNTIF(Data!$B130:$U130,INDEX(Pengaturan!$B$8:$B$27,J$4)))</f>
        <v>0</v>
      </c>
      <c r="K130" s="26" t="n">
        <f aca="false">IF(INDEX(Pengaturan!$B$8:$B$27,K$4)="",0,COUNTIF(Data!$B130:$U130,INDEX(Pengaturan!$B$8:$B$27,K$4)))</f>
        <v>0</v>
      </c>
      <c r="L130" s="26" t="n">
        <f aca="false">IF(INDEX(Pengaturan!$B$8:$B$27,L$4)="",0,COUNTIF(Data!$B130:$U130,INDEX(Pengaturan!$B$8:$B$27,L$4)))</f>
        <v>0</v>
      </c>
      <c r="M130" s="26" t="n">
        <f aca="false">IF(INDEX(Pengaturan!$B$8:$B$27,M$4)="",0,COUNTIF(Data!$B130:$U130,INDEX(Pengaturan!$B$8:$B$27,M$4)))</f>
        <v>0</v>
      </c>
      <c r="N130" s="26" t="n">
        <f aca="false">IF(INDEX(Pengaturan!$B$8:$B$27,N$4)="",0,COUNTIF(Data!$B130:$U130,INDEX(Pengaturan!$B$8:$B$27,N$4)))</f>
        <v>0</v>
      </c>
      <c r="O130" s="26" t="n">
        <f aca="false">IF(INDEX(Pengaturan!$B$8:$B$27,O$4)="",0,COUNTIF(Data!$B130:$U130,INDEX(Pengaturan!$B$8:$B$27,O$4)))</f>
        <v>0</v>
      </c>
      <c r="P130" s="26" t="n">
        <f aca="false">IF(INDEX(Pengaturan!$B$8:$B$27,P$4)="",0,COUNTIF(Data!$B130:$U130,INDEX(Pengaturan!$B$8:$B$27,P$4)))</f>
        <v>0</v>
      </c>
      <c r="Q130" s="26" t="n">
        <f aca="false">IF(INDEX(Pengaturan!$B$8:$B$27,Q$4)="",0,COUNTIF(Data!$B130:$U130,INDEX(Pengaturan!$B$8:$B$27,Q$4)))</f>
        <v>0</v>
      </c>
      <c r="R130" s="26" t="n">
        <f aca="false">IF(INDEX(Pengaturan!$B$8:$B$27,R$4)="",0,COUNTIF(Data!$B130:$U130,INDEX(Pengaturan!$B$8:$B$27,R$4)))</f>
        <v>0</v>
      </c>
      <c r="S130" s="26" t="n">
        <f aca="false">IF(INDEX(Pengaturan!$B$8:$B$27,S$4)="",0,COUNTIF(Data!$B130:$U130,INDEX(Pengaturan!$B$8:$B$27,S$4)))</f>
        <v>0</v>
      </c>
      <c r="T130" s="26" t="n">
        <f aca="false">IF(INDEX(Pengaturan!$B$8:$B$27,T$4)="",0,COUNTIF(Data!$B130:$U130,INDEX(Pengaturan!$B$8:$B$27,T$4)))</f>
        <v>0</v>
      </c>
      <c r="U130" s="26" t="n">
        <f aca="false">IF(INDEX(Pengaturan!$B$8:$B$27,U$4)="",0,COUNTIF(Data!$B130:$U130,INDEX(Pengaturan!$B$8:$B$27,U$4)))</f>
        <v>0</v>
      </c>
      <c r="V130" s="26" t="n">
        <f aca="false">COUNTA(Data!$B130:$U130)</f>
        <v>0</v>
      </c>
      <c r="W130" s="27" t="str">
        <f aca="false">IF(V130=0,"",IF(V130&lt;&gt;Hasil!$C$4,"Data kosong/tidak lengkap",IF(SUM(B130:U130)&lt;&gt;V130,"Kategori tidak dikenal","OK")))</f>
        <v/>
      </c>
      <c r="X130" s="26" t="n">
        <f aca="false">IF(OR(W130="",W130="OK"),0,1)</f>
        <v>0</v>
      </c>
    </row>
    <row r="131" customFormat="false" ht="15" hidden="false" customHeight="false" outlineLevel="0" collapsed="false">
      <c r="A131" s="26" t="n">
        <f aca="false">Data!A131</f>
        <v>126</v>
      </c>
      <c r="B131" s="26" t="n">
        <f aca="false">IF(INDEX(Pengaturan!$B$8:$B$27,B$4)="",0,COUNTIF(Data!$B131:$U131,INDEX(Pengaturan!$B$8:$B$27,B$4)))</f>
        <v>0</v>
      </c>
      <c r="C131" s="26" t="n">
        <f aca="false">IF(INDEX(Pengaturan!$B$8:$B$27,C$4)="",0,COUNTIF(Data!$B131:$U131,INDEX(Pengaturan!$B$8:$B$27,C$4)))</f>
        <v>0</v>
      </c>
      <c r="D131" s="26" t="n">
        <f aca="false">IF(INDEX(Pengaturan!$B$8:$B$27,D$4)="",0,COUNTIF(Data!$B131:$U131,INDEX(Pengaturan!$B$8:$B$27,D$4)))</f>
        <v>0</v>
      </c>
      <c r="E131" s="26" t="n">
        <f aca="false">IF(INDEX(Pengaturan!$B$8:$B$27,E$4)="",0,COUNTIF(Data!$B131:$U131,INDEX(Pengaturan!$B$8:$B$27,E$4)))</f>
        <v>0</v>
      </c>
      <c r="F131" s="26" t="n">
        <f aca="false">IF(INDEX(Pengaturan!$B$8:$B$27,F$4)="",0,COUNTIF(Data!$B131:$U131,INDEX(Pengaturan!$B$8:$B$27,F$4)))</f>
        <v>0</v>
      </c>
      <c r="G131" s="26" t="n">
        <f aca="false">IF(INDEX(Pengaturan!$B$8:$B$27,G$4)="",0,COUNTIF(Data!$B131:$U131,INDEX(Pengaturan!$B$8:$B$27,G$4)))</f>
        <v>0</v>
      </c>
      <c r="H131" s="26" t="n">
        <f aca="false">IF(INDEX(Pengaturan!$B$8:$B$27,H$4)="",0,COUNTIF(Data!$B131:$U131,INDEX(Pengaturan!$B$8:$B$27,H$4)))</f>
        <v>0</v>
      </c>
      <c r="I131" s="26" t="n">
        <f aca="false">IF(INDEX(Pengaturan!$B$8:$B$27,I$4)="",0,COUNTIF(Data!$B131:$U131,INDEX(Pengaturan!$B$8:$B$27,I$4)))</f>
        <v>0</v>
      </c>
      <c r="J131" s="26" t="n">
        <f aca="false">IF(INDEX(Pengaturan!$B$8:$B$27,J$4)="",0,COUNTIF(Data!$B131:$U131,INDEX(Pengaturan!$B$8:$B$27,J$4)))</f>
        <v>0</v>
      </c>
      <c r="K131" s="26" t="n">
        <f aca="false">IF(INDEX(Pengaturan!$B$8:$B$27,K$4)="",0,COUNTIF(Data!$B131:$U131,INDEX(Pengaturan!$B$8:$B$27,K$4)))</f>
        <v>0</v>
      </c>
      <c r="L131" s="26" t="n">
        <f aca="false">IF(INDEX(Pengaturan!$B$8:$B$27,L$4)="",0,COUNTIF(Data!$B131:$U131,INDEX(Pengaturan!$B$8:$B$27,L$4)))</f>
        <v>0</v>
      </c>
      <c r="M131" s="26" t="n">
        <f aca="false">IF(INDEX(Pengaturan!$B$8:$B$27,M$4)="",0,COUNTIF(Data!$B131:$U131,INDEX(Pengaturan!$B$8:$B$27,M$4)))</f>
        <v>0</v>
      </c>
      <c r="N131" s="26" t="n">
        <f aca="false">IF(INDEX(Pengaturan!$B$8:$B$27,N$4)="",0,COUNTIF(Data!$B131:$U131,INDEX(Pengaturan!$B$8:$B$27,N$4)))</f>
        <v>0</v>
      </c>
      <c r="O131" s="26" t="n">
        <f aca="false">IF(INDEX(Pengaturan!$B$8:$B$27,O$4)="",0,COUNTIF(Data!$B131:$U131,INDEX(Pengaturan!$B$8:$B$27,O$4)))</f>
        <v>0</v>
      </c>
      <c r="P131" s="26" t="n">
        <f aca="false">IF(INDEX(Pengaturan!$B$8:$B$27,P$4)="",0,COUNTIF(Data!$B131:$U131,INDEX(Pengaturan!$B$8:$B$27,P$4)))</f>
        <v>0</v>
      </c>
      <c r="Q131" s="26" t="n">
        <f aca="false">IF(INDEX(Pengaturan!$B$8:$B$27,Q$4)="",0,COUNTIF(Data!$B131:$U131,INDEX(Pengaturan!$B$8:$B$27,Q$4)))</f>
        <v>0</v>
      </c>
      <c r="R131" s="26" t="n">
        <f aca="false">IF(INDEX(Pengaturan!$B$8:$B$27,R$4)="",0,COUNTIF(Data!$B131:$U131,INDEX(Pengaturan!$B$8:$B$27,R$4)))</f>
        <v>0</v>
      </c>
      <c r="S131" s="26" t="n">
        <f aca="false">IF(INDEX(Pengaturan!$B$8:$B$27,S$4)="",0,COUNTIF(Data!$B131:$U131,INDEX(Pengaturan!$B$8:$B$27,S$4)))</f>
        <v>0</v>
      </c>
      <c r="T131" s="26" t="n">
        <f aca="false">IF(INDEX(Pengaturan!$B$8:$B$27,T$4)="",0,COUNTIF(Data!$B131:$U131,INDEX(Pengaturan!$B$8:$B$27,T$4)))</f>
        <v>0</v>
      </c>
      <c r="U131" s="26" t="n">
        <f aca="false">IF(INDEX(Pengaturan!$B$8:$B$27,U$4)="",0,COUNTIF(Data!$B131:$U131,INDEX(Pengaturan!$B$8:$B$27,U$4)))</f>
        <v>0</v>
      </c>
      <c r="V131" s="26" t="n">
        <f aca="false">COUNTA(Data!$B131:$U131)</f>
        <v>0</v>
      </c>
      <c r="W131" s="27" t="str">
        <f aca="false">IF(V131=0,"",IF(V131&lt;&gt;Hasil!$C$4,"Data kosong/tidak lengkap",IF(SUM(B131:U131)&lt;&gt;V131,"Kategori tidak dikenal","OK")))</f>
        <v/>
      </c>
      <c r="X131" s="26" t="n">
        <f aca="false">IF(OR(W131="",W131="OK"),0,1)</f>
        <v>0</v>
      </c>
    </row>
    <row r="132" customFormat="false" ht="15" hidden="false" customHeight="false" outlineLevel="0" collapsed="false">
      <c r="A132" s="26" t="n">
        <f aca="false">Data!A132</f>
        <v>127</v>
      </c>
      <c r="B132" s="26" t="n">
        <f aca="false">IF(INDEX(Pengaturan!$B$8:$B$27,B$4)="",0,COUNTIF(Data!$B132:$U132,INDEX(Pengaturan!$B$8:$B$27,B$4)))</f>
        <v>0</v>
      </c>
      <c r="C132" s="26" t="n">
        <f aca="false">IF(INDEX(Pengaturan!$B$8:$B$27,C$4)="",0,COUNTIF(Data!$B132:$U132,INDEX(Pengaturan!$B$8:$B$27,C$4)))</f>
        <v>0</v>
      </c>
      <c r="D132" s="26" t="n">
        <f aca="false">IF(INDEX(Pengaturan!$B$8:$B$27,D$4)="",0,COUNTIF(Data!$B132:$U132,INDEX(Pengaturan!$B$8:$B$27,D$4)))</f>
        <v>0</v>
      </c>
      <c r="E132" s="26" t="n">
        <f aca="false">IF(INDEX(Pengaturan!$B$8:$B$27,E$4)="",0,COUNTIF(Data!$B132:$U132,INDEX(Pengaturan!$B$8:$B$27,E$4)))</f>
        <v>0</v>
      </c>
      <c r="F132" s="26" t="n">
        <f aca="false">IF(INDEX(Pengaturan!$B$8:$B$27,F$4)="",0,COUNTIF(Data!$B132:$U132,INDEX(Pengaturan!$B$8:$B$27,F$4)))</f>
        <v>0</v>
      </c>
      <c r="G132" s="26" t="n">
        <f aca="false">IF(INDEX(Pengaturan!$B$8:$B$27,G$4)="",0,COUNTIF(Data!$B132:$U132,INDEX(Pengaturan!$B$8:$B$27,G$4)))</f>
        <v>0</v>
      </c>
      <c r="H132" s="26" t="n">
        <f aca="false">IF(INDEX(Pengaturan!$B$8:$B$27,H$4)="",0,COUNTIF(Data!$B132:$U132,INDEX(Pengaturan!$B$8:$B$27,H$4)))</f>
        <v>0</v>
      </c>
      <c r="I132" s="26" t="n">
        <f aca="false">IF(INDEX(Pengaturan!$B$8:$B$27,I$4)="",0,COUNTIF(Data!$B132:$U132,INDEX(Pengaturan!$B$8:$B$27,I$4)))</f>
        <v>0</v>
      </c>
      <c r="J132" s="26" t="n">
        <f aca="false">IF(INDEX(Pengaturan!$B$8:$B$27,J$4)="",0,COUNTIF(Data!$B132:$U132,INDEX(Pengaturan!$B$8:$B$27,J$4)))</f>
        <v>0</v>
      </c>
      <c r="K132" s="26" t="n">
        <f aca="false">IF(INDEX(Pengaturan!$B$8:$B$27,K$4)="",0,COUNTIF(Data!$B132:$U132,INDEX(Pengaturan!$B$8:$B$27,K$4)))</f>
        <v>0</v>
      </c>
      <c r="L132" s="26" t="n">
        <f aca="false">IF(INDEX(Pengaturan!$B$8:$B$27,L$4)="",0,COUNTIF(Data!$B132:$U132,INDEX(Pengaturan!$B$8:$B$27,L$4)))</f>
        <v>0</v>
      </c>
      <c r="M132" s="26" t="n">
        <f aca="false">IF(INDEX(Pengaturan!$B$8:$B$27,M$4)="",0,COUNTIF(Data!$B132:$U132,INDEX(Pengaturan!$B$8:$B$27,M$4)))</f>
        <v>0</v>
      </c>
      <c r="N132" s="26" t="n">
        <f aca="false">IF(INDEX(Pengaturan!$B$8:$B$27,N$4)="",0,COUNTIF(Data!$B132:$U132,INDEX(Pengaturan!$B$8:$B$27,N$4)))</f>
        <v>0</v>
      </c>
      <c r="O132" s="26" t="n">
        <f aca="false">IF(INDEX(Pengaturan!$B$8:$B$27,O$4)="",0,COUNTIF(Data!$B132:$U132,INDEX(Pengaturan!$B$8:$B$27,O$4)))</f>
        <v>0</v>
      </c>
      <c r="P132" s="26" t="n">
        <f aca="false">IF(INDEX(Pengaturan!$B$8:$B$27,P$4)="",0,COUNTIF(Data!$B132:$U132,INDEX(Pengaturan!$B$8:$B$27,P$4)))</f>
        <v>0</v>
      </c>
      <c r="Q132" s="26" t="n">
        <f aca="false">IF(INDEX(Pengaturan!$B$8:$B$27,Q$4)="",0,COUNTIF(Data!$B132:$U132,INDEX(Pengaturan!$B$8:$B$27,Q$4)))</f>
        <v>0</v>
      </c>
      <c r="R132" s="26" t="n">
        <f aca="false">IF(INDEX(Pengaturan!$B$8:$B$27,R$4)="",0,COUNTIF(Data!$B132:$U132,INDEX(Pengaturan!$B$8:$B$27,R$4)))</f>
        <v>0</v>
      </c>
      <c r="S132" s="26" t="n">
        <f aca="false">IF(INDEX(Pengaturan!$B$8:$B$27,S$4)="",0,COUNTIF(Data!$B132:$U132,INDEX(Pengaturan!$B$8:$B$27,S$4)))</f>
        <v>0</v>
      </c>
      <c r="T132" s="26" t="n">
        <f aca="false">IF(INDEX(Pengaturan!$B$8:$B$27,T$4)="",0,COUNTIF(Data!$B132:$U132,INDEX(Pengaturan!$B$8:$B$27,T$4)))</f>
        <v>0</v>
      </c>
      <c r="U132" s="26" t="n">
        <f aca="false">IF(INDEX(Pengaturan!$B$8:$B$27,U$4)="",0,COUNTIF(Data!$B132:$U132,INDEX(Pengaturan!$B$8:$B$27,U$4)))</f>
        <v>0</v>
      </c>
      <c r="V132" s="26" t="n">
        <f aca="false">COUNTA(Data!$B132:$U132)</f>
        <v>0</v>
      </c>
      <c r="W132" s="27" t="str">
        <f aca="false">IF(V132=0,"",IF(V132&lt;&gt;Hasil!$C$4,"Data kosong/tidak lengkap",IF(SUM(B132:U132)&lt;&gt;V132,"Kategori tidak dikenal","OK")))</f>
        <v/>
      </c>
      <c r="X132" s="26" t="n">
        <f aca="false">IF(OR(W132="",W132="OK"),0,1)</f>
        <v>0</v>
      </c>
    </row>
    <row r="133" customFormat="false" ht="15" hidden="false" customHeight="false" outlineLevel="0" collapsed="false">
      <c r="A133" s="26" t="n">
        <f aca="false">Data!A133</f>
        <v>128</v>
      </c>
      <c r="B133" s="26" t="n">
        <f aca="false">IF(INDEX(Pengaturan!$B$8:$B$27,B$4)="",0,COUNTIF(Data!$B133:$U133,INDEX(Pengaturan!$B$8:$B$27,B$4)))</f>
        <v>0</v>
      </c>
      <c r="C133" s="26" t="n">
        <f aca="false">IF(INDEX(Pengaturan!$B$8:$B$27,C$4)="",0,COUNTIF(Data!$B133:$U133,INDEX(Pengaturan!$B$8:$B$27,C$4)))</f>
        <v>0</v>
      </c>
      <c r="D133" s="26" t="n">
        <f aca="false">IF(INDEX(Pengaturan!$B$8:$B$27,D$4)="",0,COUNTIF(Data!$B133:$U133,INDEX(Pengaturan!$B$8:$B$27,D$4)))</f>
        <v>0</v>
      </c>
      <c r="E133" s="26" t="n">
        <f aca="false">IF(INDEX(Pengaturan!$B$8:$B$27,E$4)="",0,COUNTIF(Data!$B133:$U133,INDEX(Pengaturan!$B$8:$B$27,E$4)))</f>
        <v>0</v>
      </c>
      <c r="F133" s="26" t="n">
        <f aca="false">IF(INDEX(Pengaturan!$B$8:$B$27,F$4)="",0,COUNTIF(Data!$B133:$U133,INDEX(Pengaturan!$B$8:$B$27,F$4)))</f>
        <v>0</v>
      </c>
      <c r="G133" s="26" t="n">
        <f aca="false">IF(INDEX(Pengaturan!$B$8:$B$27,G$4)="",0,COUNTIF(Data!$B133:$U133,INDEX(Pengaturan!$B$8:$B$27,G$4)))</f>
        <v>0</v>
      </c>
      <c r="H133" s="26" t="n">
        <f aca="false">IF(INDEX(Pengaturan!$B$8:$B$27,H$4)="",0,COUNTIF(Data!$B133:$U133,INDEX(Pengaturan!$B$8:$B$27,H$4)))</f>
        <v>0</v>
      </c>
      <c r="I133" s="26" t="n">
        <f aca="false">IF(INDEX(Pengaturan!$B$8:$B$27,I$4)="",0,COUNTIF(Data!$B133:$U133,INDEX(Pengaturan!$B$8:$B$27,I$4)))</f>
        <v>0</v>
      </c>
      <c r="J133" s="26" t="n">
        <f aca="false">IF(INDEX(Pengaturan!$B$8:$B$27,J$4)="",0,COUNTIF(Data!$B133:$U133,INDEX(Pengaturan!$B$8:$B$27,J$4)))</f>
        <v>0</v>
      </c>
      <c r="K133" s="26" t="n">
        <f aca="false">IF(INDEX(Pengaturan!$B$8:$B$27,K$4)="",0,COUNTIF(Data!$B133:$U133,INDEX(Pengaturan!$B$8:$B$27,K$4)))</f>
        <v>0</v>
      </c>
      <c r="L133" s="26" t="n">
        <f aca="false">IF(INDEX(Pengaturan!$B$8:$B$27,L$4)="",0,COUNTIF(Data!$B133:$U133,INDEX(Pengaturan!$B$8:$B$27,L$4)))</f>
        <v>0</v>
      </c>
      <c r="M133" s="26" t="n">
        <f aca="false">IF(INDEX(Pengaturan!$B$8:$B$27,M$4)="",0,COUNTIF(Data!$B133:$U133,INDEX(Pengaturan!$B$8:$B$27,M$4)))</f>
        <v>0</v>
      </c>
      <c r="N133" s="26" t="n">
        <f aca="false">IF(INDEX(Pengaturan!$B$8:$B$27,N$4)="",0,COUNTIF(Data!$B133:$U133,INDEX(Pengaturan!$B$8:$B$27,N$4)))</f>
        <v>0</v>
      </c>
      <c r="O133" s="26" t="n">
        <f aca="false">IF(INDEX(Pengaturan!$B$8:$B$27,O$4)="",0,COUNTIF(Data!$B133:$U133,INDEX(Pengaturan!$B$8:$B$27,O$4)))</f>
        <v>0</v>
      </c>
      <c r="P133" s="26" t="n">
        <f aca="false">IF(INDEX(Pengaturan!$B$8:$B$27,P$4)="",0,COUNTIF(Data!$B133:$U133,INDEX(Pengaturan!$B$8:$B$27,P$4)))</f>
        <v>0</v>
      </c>
      <c r="Q133" s="26" t="n">
        <f aca="false">IF(INDEX(Pengaturan!$B$8:$B$27,Q$4)="",0,COUNTIF(Data!$B133:$U133,INDEX(Pengaturan!$B$8:$B$27,Q$4)))</f>
        <v>0</v>
      </c>
      <c r="R133" s="26" t="n">
        <f aca="false">IF(INDEX(Pengaturan!$B$8:$B$27,R$4)="",0,COUNTIF(Data!$B133:$U133,INDEX(Pengaturan!$B$8:$B$27,R$4)))</f>
        <v>0</v>
      </c>
      <c r="S133" s="26" t="n">
        <f aca="false">IF(INDEX(Pengaturan!$B$8:$B$27,S$4)="",0,COUNTIF(Data!$B133:$U133,INDEX(Pengaturan!$B$8:$B$27,S$4)))</f>
        <v>0</v>
      </c>
      <c r="T133" s="26" t="n">
        <f aca="false">IF(INDEX(Pengaturan!$B$8:$B$27,T$4)="",0,COUNTIF(Data!$B133:$U133,INDEX(Pengaturan!$B$8:$B$27,T$4)))</f>
        <v>0</v>
      </c>
      <c r="U133" s="26" t="n">
        <f aca="false">IF(INDEX(Pengaturan!$B$8:$B$27,U$4)="",0,COUNTIF(Data!$B133:$U133,INDEX(Pengaturan!$B$8:$B$27,U$4)))</f>
        <v>0</v>
      </c>
      <c r="V133" s="26" t="n">
        <f aca="false">COUNTA(Data!$B133:$U133)</f>
        <v>0</v>
      </c>
      <c r="W133" s="27" t="str">
        <f aca="false">IF(V133=0,"",IF(V133&lt;&gt;Hasil!$C$4,"Data kosong/tidak lengkap",IF(SUM(B133:U133)&lt;&gt;V133,"Kategori tidak dikenal","OK")))</f>
        <v/>
      </c>
      <c r="X133" s="26" t="n">
        <f aca="false">IF(OR(W133="",W133="OK"),0,1)</f>
        <v>0</v>
      </c>
    </row>
    <row r="134" customFormat="false" ht="15" hidden="false" customHeight="false" outlineLevel="0" collapsed="false">
      <c r="A134" s="26" t="n">
        <f aca="false">Data!A134</f>
        <v>129</v>
      </c>
      <c r="B134" s="26" t="n">
        <f aca="false">IF(INDEX(Pengaturan!$B$8:$B$27,B$4)="",0,COUNTIF(Data!$B134:$U134,INDEX(Pengaturan!$B$8:$B$27,B$4)))</f>
        <v>0</v>
      </c>
      <c r="C134" s="26" t="n">
        <f aca="false">IF(INDEX(Pengaturan!$B$8:$B$27,C$4)="",0,COUNTIF(Data!$B134:$U134,INDEX(Pengaturan!$B$8:$B$27,C$4)))</f>
        <v>0</v>
      </c>
      <c r="D134" s="26" t="n">
        <f aca="false">IF(INDEX(Pengaturan!$B$8:$B$27,D$4)="",0,COUNTIF(Data!$B134:$U134,INDEX(Pengaturan!$B$8:$B$27,D$4)))</f>
        <v>0</v>
      </c>
      <c r="E134" s="26" t="n">
        <f aca="false">IF(INDEX(Pengaturan!$B$8:$B$27,E$4)="",0,COUNTIF(Data!$B134:$U134,INDEX(Pengaturan!$B$8:$B$27,E$4)))</f>
        <v>0</v>
      </c>
      <c r="F134" s="26" t="n">
        <f aca="false">IF(INDEX(Pengaturan!$B$8:$B$27,F$4)="",0,COUNTIF(Data!$B134:$U134,INDEX(Pengaturan!$B$8:$B$27,F$4)))</f>
        <v>0</v>
      </c>
      <c r="G134" s="26" t="n">
        <f aca="false">IF(INDEX(Pengaturan!$B$8:$B$27,G$4)="",0,COUNTIF(Data!$B134:$U134,INDEX(Pengaturan!$B$8:$B$27,G$4)))</f>
        <v>0</v>
      </c>
      <c r="H134" s="26" t="n">
        <f aca="false">IF(INDEX(Pengaturan!$B$8:$B$27,H$4)="",0,COUNTIF(Data!$B134:$U134,INDEX(Pengaturan!$B$8:$B$27,H$4)))</f>
        <v>0</v>
      </c>
      <c r="I134" s="26" t="n">
        <f aca="false">IF(INDEX(Pengaturan!$B$8:$B$27,I$4)="",0,COUNTIF(Data!$B134:$U134,INDEX(Pengaturan!$B$8:$B$27,I$4)))</f>
        <v>0</v>
      </c>
      <c r="J134" s="26" t="n">
        <f aca="false">IF(INDEX(Pengaturan!$B$8:$B$27,J$4)="",0,COUNTIF(Data!$B134:$U134,INDEX(Pengaturan!$B$8:$B$27,J$4)))</f>
        <v>0</v>
      </c>
      <c r="K134" s="26" t="n">
        <f aca="false">IF(INDEX(Pengaturan!$B$8:$B$27,K$4)="",0,COUNTIF(Data!$B134:$U134,INDEX(Pengaturan!$B$8:$B$27,K$4)))</f>
        <v>0</v>
      </c>
      <c r="L134" s="26" t="n">
        <f aca="false">IF(INDEX(Pengaturan!$B$8:$B$27,L$4)="",0,COUNTIF(Data!$B134:$U134,INDEX(Pengaturan!$B$8:$B$27,L$4)))</f>
        <v>0</v>
      </c>
      <c r="M134" s="26" t="n">
        <f aca="false">IF(INDEX(Pengaturan!$B$8:$B$27,M$4)="",0,COUNTIF(Data!$B134:$U134,INDEX(Pengaturan!$B$8:$B$27,M$4)))</f>
        <v>0</v>
      </c>
      <c r="N134" s="26" t="n">
        <f aca="false">IF(INDEX(Pengaturan!$B$8:$B$27,N$4)="",0,COUNTIF(Data!$B134:$U134,INDEX(Pengaturan!$B$8:$B$27,N$4)))</f>
        <v>0</v>
      </c>
      <c r="O134" s="26" t="n">
        <f aca="false">IF(INDEX(Pengaturan!$B$8:$B$27,O$4)="",0,COUNTIF(Data!$B134:$U134,INDEX(Pengaturan!$B$8:$B$27,O$4)))</f>
        <v>0</v>
      </c>
      <c r="P134" s="26" t="n">
        <f aca="false">IF(INDEX(Pengaturan!$B$8:$B$27,P$4)="",0,COUNTIF(Data!$B134:$U134,INDEX(Pengaturan!$B$8:$B$27,P$4)))</f>
        <v>0</v>
      </c>
      <c r="Q134" s="26" t="n">
        <f aca="false">IF(INDEX(Pengaturan!$B$8:$B$27,Q$4)="",0,COUNTIF(Data!$B134:$U134,INDEX(Pengaturan!$B$8:$B$27,Q$4)))</f>
        <v>0</v>
      </c>
      <c r="R134" s="26" t="n">
        <f aca="false">IF(INDEX(Pengaturan!$B$8:$B$27,R$4)="",0,COUNTIF(Data!$B134:$U134,INDEX(Pengaturan!$B$8:$B$27,R$4)))</f>
        <v>0</v>
      </c>
      <c r="S134" s="26" t="n">
        <f aca="false">IF(INDEX(Pengaturan!$B$8:$B$27,S$4)="",0,COUNTIF(Data!$B134:$U134,INDEX(Pengaturan!$B$8:$B$27,S$4)))</f>
        <v>0</v>
      </c>
      <c r="T134" s="26" t="n">
        <f aca="false">IF(INDEX(Pengaturan!$B$8:$B$27,T$4)="",0,COUNTIF(Data!$B134:$U134,INDEX(Pengaturan!$B$8:$B$27,T$4)))</f>
        <v>0</v>
      </c>
      <c r="U134" s="26" t="n">
        <f aca="false">IF(INDEX(Pengaturan!$B$8:$B$27,U$4)="",0,COUNTIF(Data!$B134:$U134,INDEX(Pengaturan!$B$8:$B$27,U$4)))</f>
        <v>0</v>
      </c>
      <c r="V134" s="26" t="n">
        <f aca="false">COUNTA(Data!$B134:$U134)</f>
        <v>0</v>
      </c>
      <c r="W134" s="27" t="str">
        <f aca="false">IF(V134=0,"",IF(V134&lt;&gt;Hasil!$C$4,"Data kosong/tidak lengkap",IF(SUM(B134:U134)&lt;&gt;V134,"Kategori tidak dikenal","OK")))</f>
        <v/>
      </c>
      <c r="X134" s="26" t="n">
        <f aca="false">IF(OR(W134="",W134="OK"),0,1)</f>
        <v>0</v>
      </c>
    </row>
    <row r="135" customFormat="false" ht="15" hidden="false" customHeight="false" outlineLevel="0" collapsed="false">
      <c r="A135" s="26" t="n">
        <f aca="false">Data!A135</f>
        <v>130</v>
      </c>
      <c r="B135" s="26" t="n">
        <f aca="false">IF(INDEX(Pengaturan!$B$8:$B$27,B$4)="",0,COUNTIF(Data!$B135:$U135,INDEX(Pengaturan!$B$8:$B$27,B$4)))</f>
        <v>0</v>
      </c>
      <c r="C135" s="26" t="n">
        <f aca="false">IF(INDEX(Pengaturan!$B$8:$B$27,C$4)="",0,COUNTIF(Data!$B135:$U135,INDEX(Pengaturan!$B$8:$B$27,C$4)))</f>
        <v>0</v>
      </c>
      <c r="D135" s="26" t="n">
        <f aca="false">IF(INDEX(Pengaturan!$B$8:$B$27,D$4)="",0,COUNTIF(Data!$B135:$U135,INDEX(Pengaturan!$B$8:$B$27,D$4)))</f>
        <v>0</v>
      </c>
      <c r="E135" s="26" t="n">
        <f aca="false">IF(INDEX(Pengaturan!$B$8:$B$27,E$4)="",0,COUNTIF(Data!$B135:$U135,INDEX(Pengaturan!$B$8:$B$27,E$4)))</f>
        <v>0</v>
      </c>
      <c r="F135" s="26" t="n">
        <f aca="false">IF(INDEX(Pengaturan!$B$8:$B$27,F$4)="",0,COUNTIF(Data!$B135:$U135,INDEX(Pengaturan!$B$8:$B$27,F$4)))</f>
        <v>0</v>
      </c>
      <c r="G135" s="26" t="n">
        <f aca="false">IF(INDEX(Pengaturan!$B$8:$B$27,G$4)="",0,COUNTIF(Data!$B135:$U135,INDEX(Pengaturan!$B$8:$B$27,G$4)))</f>
        <v>0</v>
      </c>
      <c r="H135" s="26" t="n">
        <f aca="false">IF(INDEX(Pengaturan!$B$8:$B$27,H$4)="",0,COUNTIF(Data!$B135:$U135,INDEX(Pengaturan!$B$8:$B$27,H$4)))</f>
        <v>0</v>
      </c>
      <c r="I135" s="26" t="n">
        <f aca="false">IF(INDEX(Pengaturan!$B$8:$B$27,I$4)="",0,COUNTIF(Data!$B135:$U135,INDEX(Pengaturan!$B$8:$B$27,I$4)))</f>
        <v>0</v>
      </c>
      <c r="J135" s="26" t="n">
        <f aca="false">IF(INDEX(Pengaturan!$B$8:$B$27,J$4)="",0,COUNTIF(Data!$B135:$U135,INDEX(Pengaturan!$B$8:$B$27,J$4)))</f>
        <v>0</v>
      </c>
      <c r="K135" s="26" t="n">
        <f aca="false">IF(INDEX(Pengaturan!$B$8:$B$27,K$4)="",0,COUNTIF(Data!$B135:$U135,INDEX(Pengaturan!$B$8:$B$27,K$4)))</f>
        <v>0</v>
      </c>
      <c r="L135" s="26" t="n">
        <f aca="false">IF(INDEX(Pengaturan!$B$8:$B$27,L$4)="",0,COUNTIF(Data!$B135:$U135,INDEX(Pengaturan!$B$8:$B$27,L$4)))</f>
        <v>0</v>
      </c>
      <c r="M135" s="26" t="n">
        <f aca="false">IF(INDEX(Pengaturan!$B$8:$B$27,M$4)="",0,COUNTIF(Data!$B135:$U135,INDEX(Pengaturan!$B$8:$B$27,M$4)))</f>
        <v>0</v>
      </c>
      <c r="N135" s="26" t="n">
        <f aca="false">IF(INDEX(Pengaturan!$B$8:$B$27,N$4)="",0,COUNTIF(Data!$B135:$U135,INDEX(Pengaturan!$B$8:$B$27,N$4)))</f>
        <v>0</v>
      </c>
      <c r="O135" s="26" t="n">
        <f aca="false">IF(INDEX(Pengaturan!$B$8:$B$27,O$4)="",0,COUNTIF(Data!$B135:$U135,INDEX(Pengaturan!$B$8:$B$27,O$4)))</f>
        <v>0</v>
      </c>
      <c r="P135" s="26" t="n">
        <f aca="false">IF(INDEX(Pengaturan!$B$8:$B$27,P$4)="",0,COUNTIF(Data!$B135:$U135,INDEX(Pengaturan!$B$8:$B$27,P$4)))</f>
        <v>0</v>
      </c>
      <c r="Q135" s="26" t="n">
        <f aca="false">IF(INDEX(Pengaturan!$B$8:$B$27,Q$4)="",0,COUNTIF(Data!$B135:$U135,INDEX(Pengaturan!$B$8:$B$27,Q$4)))</f>
        <v>0</v>
      </c>
      <c r="R135" s="26" t="n">
        <f aca="false">IF(INDEX(Pengaturan!$B$8:$B$27,R$4)="",0,COUNTIF(Data!$B135:$U135,INDEX(Pengaturan!$B$8:$B$27,R$4)))</f>
        <v>0</v>
      </c>
      <c r="S135" s="26" t="n">
        <f aca="false">IF(INDEX(Pengaturan!$B$8:$B$27,S$4)="",0,COUNTIF(Data!$B135:$U135,INDEX(Pengaturan!$B$8:$B$27,S$4)))</f>
        <v>0</v>
      </c>
      <c r="T135" s="26" t="n">
        <f aca="false">IF(INDEX(Pengaturan!$B$8:$B$27,T$4)="",0,COUNTIF(Data!$B135:$U135,INDEX(Pengaturan!$B$8:$B$27,T$4)))</f>
        <v>0</v>
      </c>
      <c r="U135" s="26" t="n">
        <f aca="false">IF(INDEX(Pengaturan!$B$8:$B$27,U$4)="",0,COUNTIF(Data!$B135:$U135,INDEX(Pengaturan!$B$8:$B$27,U$4)))</f>
        <v>0</v>
      </c>
      <c r="V135" s="26" t="n">
        <f aca="false">COUNTA(Data!$B135:$U135)</f>
        <v>0</v>
      </c>
      <c r="W135" s="27" t="str">
        <f aca="false">IF(V135=0,"",IF(V135&lt;&gt;Hasil!$C$4,"Data kosong/tidak lengkap",IF(SUM(B135:U135)&lt;&gt;V135,"Kategori tidak dikenal","OK")))</f>
        <v/>
      </c>
      <c r="X135" s="26" t="n">
        <f aca="false">IF(OR(W135="",W135="OK"),0,1)</f>
        <v>0</v>
      </c>
    </row>
    <row r="136" customFormat="false" ht="15" hidden="false" customHeight="false" outlineLevel="0" collapsed="false">
      <c r="A136" s="26" t="n">
        <f aca="false">Data!A136</f>
        <v>131</v>
      </c>
      <c r="B136" s="26" t="n">
        <f aca="false">IF(INDEX(Pengaturan!$B$8:$B$27,B$4)="",0,COUNTIF(Data!$B136:$U136,INDEX(Pengaturan!$B$8:$B$27,B$4)))</f>
        <v>0</v>
      </c>
      <c r="C136" s="26" t="n">
        <f aca="false">IF(INDEX(Pengaturan!$B$8:$B$27,C$4)="",0,COUNTIF(Data!$B136:$U136,INDEX(Pengaturan!$B$8:$B$27,C$4)))</f>
        <v>0</v>
      </c>
      <c r="D136" s="26" t="n">
        <f aca="false">IF(INDEX(Pengaturan!$B$8:$B$27,D$4)="",0,COUNTIF(Data!$B136:$U136,INDEX(Pengaturan!$B$8:$B$27,D$4)))</f>
        <v>0</v>
      </c>
      <c r="E136" s="26" t="n">
        <f aca="false">IF(INDEX(Pengaturan!$B$8:$B$27,E$4)="",0,COUNTIF(Data!$B136:$U136,INDEX(Pengaturan!$B$8:$B$27,E$4)))</f>
        <v>0</v>
      </c>
      <c r="F136" s="26" t="n">
        <f aca="false">IF(INDEX(Pengaturan!$B$8:$B$27,F$4)="",0,COUNTIF(Data!$B136:$U136,INDEX(Pengaturan!$B$8:$B$27,F$4)))</f>
        <v>0</v>
      </c>
      <c r="G136" s="26" t="n">
        <f aca="false">IF(INDEX(Pengaturan!$B$8:$B$27,G$4)="",0,COUNTIF(Data!$B136:$U136,INDEX(Pengaturan!$B$8:$B$27,G$4)))</f>
        <v>0</v>
      </c>
      <c r="H136" s="26" t="n">
        <f aca="false">IF(INDEX(Pengaturan!$B$8:$B$27,H$4)="",0,COUNTIF(Data!$B136:$U136,INDEX(Pengaturan!$B$8:$B$27,H$4)))</f>
        <v>0</v>
      </c>
      <c r="I136" s="26" t="n">
        <f aca="false">IF(INDEX(Pengaturan!$B$8:$B$27,I$4)="",0,COUNTIF(Data!$B136:$U136,INDEX(Pengaturan!$B$8:$B$27,I$4)))</f>
        <v>0</v>
      </c>
      <c r="J136" s="26" t="n">
        <f aca="false">IF(INDEX(Pengaturan!$B$8:$B$27,J$4)="",0,COUNTIF(Data!$B136:$U136,INDEX(Pengaturan!$B$8:$B$27,J$4)))</f>
        <v>0</v>
      </c>
      <c r="K136" s="26" t="n">
        <f aca="false">IF(INDEX(Pengaturan!$B$8:$B$27,K$4)="",0,COUNTIF(Data!$B136:$U136,INDEX(Pengaturan!$B$8:$B$27,K$4)))</f>
        <v>0</v>
      </c>
      <c r="L136" s="26" t="n">
        <f aca="false">IF(INDEX(Pengaturan!$B$8:$B$27,L$4)="",0,COUNTIF(Data!$B136:$U136,INDEX(Pengaturan!$B$8:$B$27,L$4)))</f>
        <v>0</v>
      </c>
      <c r="M136" s="26" t="n">
        <f aca="false">IF(INDEX(Pengaturan!$B$8:$B$27,M$4)="",0,COUNTIF(Data!$B136:$U136,INDEX(Pengaturan!$B$8:$B$27,M$4)))</f>
        <v>0</v>
      </c>
      <c r="N136" s="26" t="n">
        <f aca="false">IF(INDEX(Pengaturan!$B$8:$B$27,N$4)="",0,COUNTIF(Data!$B136:$U136,INDEX(Pengaturan!$B$8:$B$27,N$4)))</f>
        <v>0</v>
      </c>
      <c r="O136" s="26" t="n">
        <f aca="false">IF(INDEX(Pengaturan!$B$8:$B$27,O$4)="",0,COUNTIF(Data!$B136:$U136,INDEX(Pengaturan!$B$8:$B$27,O$4)))</f>
        <v>0</v>
      </c>
      <c r="P136" s="26" t="n">
        <f aca="false">IF(INDEX(Pengaturan!$B$8:$B$27,P$4)="",0,COUNTIF(Data!$B136:$U136,INDEX(Pengaturan!$B$8:$B$27,P$4)))</f>
        <v>0</v>
      </c>
      <c r="Q136" s="26" t="n">
        <f aca="false">IF(INDEX(Pengaturan!$B$8:$B$27,Q$4)="",0,COUNTIF(Data!$B136:$U136,INDEX(Pengaturan!$B$8:$B$27,Q$4)))</f>
        <v>0</v>
      </c>
      <c r="R136" s="26" t="n">
        <f aca="false">IF(INDEX(Pengaturan!$B$8:$B$27,R$4)="",0,COUNTIF(Data!$B136:$U136,INDEX(Pengaturan!$B$8:$B$27,R$4)))</f>
        <v>0</v>
      </c>
      <c r="S136" s="26" t="n">
        <f aca="false">IF(INDEX(Pengaturan!$B$8:$B$27,S$4)="",0,COUNTIF(Data!$B136:$U136,INDEX(Pengaturan!$B$8:$B$27,S$4)))</f>
        <v>0</v>
      </c>
      <c r="T136" s="26" t="n">
        <f aca="false">IF(INDEX(Pengaturan!$B$8:$B$27,T$4)="",0,COUNTIF(Data!$B136:$U136,INDEX(Pengaturan!$B$8:$B$27,T$4)))</f>
        <v>0</v>
      </c>
      <c r="U136" s="26" t="n">
        <f aca="false">IF(INDEX(Pengaturan!$B$8:$B$27,U$4)="",0,COUNTIF(Data!$B136:$U136,INDEX(Pengaturan!$B$8:$B$27,U$4)))</f>
        <v>0</v>
      </c>
      <c r="V136" s="26" t="n">
        <f aca="false">COUNTA(Data!$B136:$U136)</f>
        <v>0</v>
      </c>
      <c r="W136" s="27" t="str">
        <f aca="false">IF(V136=0,"",IF(V136&lt;&gt;Hasil!$C$4,"Data kosong/tidak lengkap",IF(SUM(B136:U136)&lt;&gt;V136,"Kategori tidak dikenal","OK")))</f>
        <v/>
      </c>
      <c r="X136" s="26" t="n">
        <f aca="false">IF(OR(W136="",W136="OK"),0,1)</f>
        <v>0</v>
      </c>
    </row>
    <row r="137" customFormat="false" ht="15" hidden="false" customHeight="false" outlineLevel="0" collapsed="false">
      <c r="A137" s="26" t="n">
        <f aca="false">Data!A137</f>
        <v>132</v>
      </c>
      <c r="B137" s="26" t="n">
        <f aca="false">IF(INDEX(Pengaturan!$B$8:$B$27,B$4)="",0,COUNTIF(Data!$B137:$U137,INDEX(Pengaturan!$B$8:$B$27,B$4)))</f>
        <v>0</v>
      </c>
      <c r="C137" s="26" t="n">
        <f aca="false">IF(INDEX(Pengaturan!$B$8:$B$27,C$4)="",0,COUNTIF(Data!$B137:$U137,INDEX(Pengaturan!$B$8:$B$27,C$4)))</f>
        <v>0</v>
      </c>
      <c r="D137" s="26" t="n">
        <f aca="false">IF(INDEX(Pengaturan!$B$8:$B$27,D$4)="",0,COUNTIF(Data!$B137:$U137,INDEX(Pengaturan!$B$8:$B$27,D$4)))</f>
        <v>0</v>
      </c>
      <c r="E137" s="26" t="n">
        <f aca="false">IF(INDEX(Pengaturan!$B$8:$B$27,E$4)="",0,COUNTIF(Data!$B137:$U137,INDEX(Pengaturan!$B$8:$B$27,E$4)))</f>
        <v>0</v>
      </c>
      <c r="F137" s="26" t="n">
        <f aca="false">IF(INDEX(Pengaturan!$B$8:$B$27,F$4)="",0,COUNTIF(Data!$B137:$U137,INDEX(Pengaturan!$B$8:$B$27,F$4)))</f>
        <v>0</v>
      </c>
      <c r="G137" s="26" t="n">
        <f aca="false">IF(INDEX(Pengaturan!$B$8:$B$27,G$4)="",0,COUNTIF(Data!$B137:$U137,INDEX(Pengaturan!$B$8:$B$27,G$4)))</f>
        <v>0</v>
      </c>
      <c r="H137" s="26" t="n">
        <f aca="false">IF(INDEX(Pengaturan!$B$8:$B$27,H$4)="",0,COUNTIF(Data!$B137:$U137,INDEX(Pengaturan!$B$8:$B$27,H$4)))</f>
        <v>0</v>
      </c>
      <c r="I137" s="26" t="n">
        <f aca="false">IF(INDEX(Pengaturan!$B$8:$B$27,I$4)="",0,COUNTIF(Data!$B137:$U137,INDEX(Pengaturan!$B$8:$B$27,I$4)))</f>
        <v>0</v>
      </c>
      <c r="J137" s="26" t="n">
        <f aca="false">IF(INDEX(Pengaturan!$B$8:$B$27,J$4)="",0,COUNTIF(Data!$B137:$U137,INDEX(Pengaturan!$B$8:$B$27,J$4)))</f>
        <v>0</v>
      </c>
      <c r="K137" s="26" t="n">
        <f aca="false">IF(INDEX(Pengaturan!$B$8:$B$27,K$4)="",0,COUNTIF(Data!$B137:$U137,INDEX(Pengaturan!$B$8:$B$27,K$4)))</f>
        <v>0</v>
      </c>
      <c r="L137" s="26" t="n">
        <f aca="false">IF(INDEX(Pengaturan!$B$8:$B$27,L$4)="",0,COUNTIF(Data!$B137:$U137,INDEX(Pengaturan!$B$8:$B$27,L$4)))</f>
        <v>0</v>
      </c>
      <c r="M137" s="26" t="n">
        <f aca="false">IF(INDEX(Pengaturan!$B$8:$B$27,M$4)="",0,COUNTIF(Data!$B137:$U137,INDEX(Pengaturan!$B$8:$B$27,M$4)))</f>
        <v>0</v>
      </c>
      <c r="N137" s="26" t="n">
        <f aca="false">IF(INDEX(Pengaturan!$B$8:$B$27,N$4)="",0,COUNTIF(Data!$B137:$U137,INDEX(Pengaturan!$B$8:$B$27,N$4)))</f>
        <v>0</v>
      </c>
      <c r="O137" s="26" t="n">
        <f aca="false">IF(INDEX(Pengaturan!$B$8:$B$27,O$4)="",0,COUNTIF(Data!$B137:$U137,INDEX(Pengaturan!$B$8:$B$27,O$4)))</f>
        <v>0</v>
      </c>
      <c r="P137" s="26" t="n">
        <f aca="false">IF(INDEX(Pengaturan!$B$8:$B$27,P$4)="",0,COUNTIF(Data!$B137:$U137,INDEX(Pengaturan!$B$8:$B$27,P$4)))</f>
        <v>0</v>
      </c>
      <c r="Q137" s="26" t="n">
        <f aca="false">IF(INDEX(Pengaturan!$B$8:$B$27,Q$4)="",0,COUNTIF(Data!$B137:$U137,INDEX(Pengaturan!$B$8:$B$27,Q$4)))</f>
        <v>0</v>
      </c>
      <c r="R137" s="26" t="n">
        <f aca="false">IF(INDEX(Pengaturan!$B$8:$B$27,R$4)="",0,COUNTIF(Data!$B137:$U137,INDEX(Pengaturan!$B$8:$B$27,R$4)))</f>
        <v>0</v>
      </c>
      <c r="S137" s="26" t="n">
        <f aca="false">IF(INDEX(Pengaturan!$B$8:$B$27,S$4)="",0,COUNTIF(Data!$B137:$U137,INDEX(Pengaturan!$B$8:$B$27,S$4)))</f>
        <v>0</v>
      </c>
      <c r="T137" s="26" t="n">
        <f aca="false">IF(INDEX(Pengaturan!$B$8:$B$27,T$4)="",0,COUNTIF(Data!$B137:$U137,INDEX(Pengaturan!$B$8:$B$27,T$4)))</f>
        <v>0</v>
      </c>
      <c r="U137" s="26" t="n">
        <f aca="false">IF(INDEX(Pengaturan!$B$8:$B$27,U$4)="",0,COUNTIF(Data!$B137:$U137,INDEX(Pengaturan!$B$8:$B$27,U$4)))</f>
        <v>0</v>
      </c>
      <c r="V137" s="26" t="n">
        <f aca="false">COUNTA(Data!$B137:$U137)</f>
        <v>0</v>
      </c>
      <c r="W137" s="27" t="str">
        <f aca="false">IF(V137=0,"",IF(V137&lt;&gt;Hasil!$C$4,"Data kosong/tidak lengkap",IF(SUM(B137:U137)&lt;&gt;V137,"Kategori tidak dikenal","OK")))</f>
        <v/>
      </c>
      <c r="X137" s="26" t="n">
        <f aca="false">IF(OR(W137="",W137="OK"),0,1)</f>
        <v>0</v>
      </c>
    </row>
    <row r="138" customFormat="false" ht="15" hidden="false" customHeight="false" outlineLevel="0" collapsed="false">
      <c r="A138" s="26" t="n">
        <f aca="false">Data!A138</f>
        <v>133</v>
      </c>
      <c r="B138" s="26" t="n">
        <f aca="false">IF(INDEX(Pengaturan!$B$8:$B$27,B$4)="",0,COUNTIF(Data!$B138:$U138,INDEX(Pengaturan!$B$8:$B$27,B$4)))</f>
        <v>0</v>
      </c>
      <c r="C138" s="26" t="n">
        <f aca="false">IF(INDEX(Pengaturan!$B$8:$B$27,C$4)="",0,COUNTIF(Data!$B138:$U138,INDEX(Pengaturan!$B$8:$B$27,C$4)))</f>
        <v>0</v>
      </c>
      <c r="D138" s="26" t="n">
        <f aca="false">IF(INDEX(Pengaturan!$B$8:$B$27,D$4)="",0,COUNTIF(Data!$B138:$U138,INDEX(Pengaturan!$B$8:$B$27,D$4)))</f>
        <v>0</v>
      </c>
      <c r="E138" s="26" t="n">
        <f aca="false">IF(INDEX(Pengaturan!$B$8:$B$27,E$4)="",0,COUNTIF(Data!$B138:$U138,INDEX(Pengaturan!$B$8:$B$27,E$4)))</f>
        <v>0</v>
      </c>
      <c r="F138" s="26" t="n">
        <f aca="false">IF(INDEX(Pengaturan!$B$8:$B$27,F$4)="",0,COUNTIF(Data!$B138:$U138,INDEX(Pengaturan!$B$8:$B$27,F$4)))</f>
        <v>0</v>
      </c>
      <c r="G138" s="26" t="n">
        <f aca="false">IF(INDEX(Pengaturan!$B$8:$B$27,G$4)="",0,COUNTIF(Data!$B138:$U138,INDEX(Pengaturan!$B$8:$B$27,G$4)))</f>
        <v>0</v>
      </c>
      <c r="H138" s="26" t="n">
        <f aca="false">IF(INDEX(Pengaturan!$B$8:$B$27,H$4)="",0,COUNTIF(Data!$B138:$U138,INDEX(Pengaturan!$B$8:$B$27,H$4)))</f>
        <v>0</v>
      </c>
      <c r="I138" s="26" t="n">
        <f aca="false">IF(INDEX(Pengaturan!$B$8:$B$27,I$4)="",0,COUNTIF(Data!$B138:$U138,INDEX(Pengaturan!$B$8:$B$27,I$4)))</f>
        <v>0</v>
      </c>
      <c r="J138" s="26" t="n">
        <f aca="false">IF(INDEX(Pengaturan!$B$8:$B$27,J$4)="",0,COUNTIF(Data!$B138:$U138,INDEX(Pengaturan!$B$8:$B$27,J$4)))</f>
        <v>0</v>
      </c>
      <c r="K138" s="26" t="n">
        <f aca="false">IF(INDEX(Pengaturan!$B$8:$B$27,K$4)="",0,COUNTIF(Data!$B138:$U138,INDEX(Pengaturan!$B$8:$B$27,K$4)))</f>
        <v>0</v>
      </c>
      <c r="L138" s="26" t="n">
        <f aca="false">IF(INDEX(Pengaturan!$B$8:$B$27,L$4)="",0,COUNTIF(Data!$B138:$U138,INDEX(Pengaturan!$B$8:$B$27,L$4)))</f>
        <v>0</v>
      </c>
      <c r="M138" s="26" t="n">
        <f aca="false">IF(INDEX(Pengaturan!$B$8:$B$27,M$4)="",0,COUNTIF(Data!$B138:$U138,INDEX(Pengaturan!$B$8:$B$27,M$4)))</f>
        <v>0</v>
      </c>
      <c r="N138" s="26" t="n">
        <f aca="false">IF(INDEX(Pengaturan!$B$8:$B$27,N$4)="",0,COUNTIF(Data!$B138:$U138,INDEX(Pengaturan!$B$8:$B$27,N$4)))</f>
        <v>0</v>
      </c>
      <c r="O138" s="26" t="n">
        <f aca="false">IF(INDEX(Pengaturan!$B$8:$B$27,O$4)="",0,COUNTIF(Data!$B138:$U138,INDEX(Pengaturan!$B$8:$B$27,O$4)))</f>
        <v>0</v>
      </c>
      <c r="P138" s="26" t="n">
        <f aca="false">IF(INDEX(Pengaturan!$B$8:$B$27,P$4)="",0,COUNTIF(Data!$B138:$U138,INDEX(Pengaturan!$B$8:$B$27,P$4)))</f>
        <v>0</v>
      </c>
      <c r="Q138" s="26" t="n">
        <f aca="false">IF(INDEX(Pengaturan!$B$8:$B$27,Q$4)="",0,COUNTIF(Data!$B138:$U138,INDEX(Pengaturan!$B$8:$B$27,Q$4)))</f>
        <v>0</v>
      </c>
      <c r="R138" s="26" t="n">
        <f aca="false">IF(INDEX(Pengaturan!$B$8:$B$27,R$4)="",0,COUNTIF(Data!$B138:$U138,INDEX(Pengaturan!$B$8:$B$27,R$4)))</f>
        <v>0</v>
      </c>
      <c r="S138" s="26" t="n">
        <f aca="false">IF(INDEX(Pengaturan!$B$8:$B$27,S$4)="",0,COUNTIF(Data!$B138:$U138,INDEX(Pengaturan!$B$8:$B$27,S$4)))</f>
        <v>0</v>
      </c>
      <c r="T138" s="26" t="n">
        <f aca="false">IF(INDEX(Pengaturan!$B$8:$B$27,T$4)="",0,COUNTIF(Data!$B138:$U138,INDEX(Pengaturan!$B$8:$B$27,T$4)))</f>
        <v>0</v>
      </c>
      <c r="U138" s="26" t="n">
        <f aca="false">IF(INDEX(Pengaturan!$B$8:$B$27,U$4)="",0,COUNTIF(Data!$B138:$U138,INDEX(Pengaturan!$B$8:$B$27,U$4)))</f>
        <v>0</v>
      </c>
      <c r="V138" s="26" t="n">
        <f aca="false">COUNTA(Data!$B138:$U138)</f>
        <v>0</v>
      </c>
      <c r="W138" s="27" t="str">
        <f aca="false">IF(V138=0,"",IF(V138&lt;&gt;Hasil!$C$4,"Data kosong/tidak lengkap",IF(SUM(B138:U138)&lt;&gt;V138,"Kategori tidak dikenal","OK")))</f>
        <v/>
      </c>
      <c r="X138" s="26" t="n">
        <f aca="false">IF(OR(W138="",W138="OK"),0,1)</f>
        <v>0</v>
      </c>
    </row>
    <row r="139" customFormat="false" ht="15" hidden="false" customHeight="false" outlineLevel="0" collapsed="false">
      <c r="A139" s="26" t="n">
        <f aca="false">Data!A139</f>
        <v>134</v>
      </c>
      <c r="B139" s="26" t="n">
        <f aca="false">IF(INDEX(Pengaturan!$B$8:$B$27,B$4)="",0,COUNTIF(Data!$B139:$U139,INDEX(Pengaturan!$B$8:$B$27,B$4)))</f>
        <v>0</v>
      </c>
      <c r="C139" s="26" t="n">
        <f aca="false">IF(INDEX(Pengaturan!$B$8:$B$27,C$4)="",0,COUNTIF(Data!$B139:$U139,INDEX(Pengaturan!$B$8:$B$27,C$4)))</f>
        <v>0</v>
      </c>
      <c r="D139" s="26" t="n">
        <f aca="false">IF(INDEX(Pengaturan!$B$8:$B$27,D$4)="",0,COUNTIF(Data!$B139:$U139,INDEX(Pengaturan!$B$8:$B$27,D$4)))</f>
        <v>0</v>
      </c>
      <c r="E139" s="26" t="n">
        <f aca="false">IF(INDEX(Pengaturan!$B$8:$B$27,E$4)="",0,COUNTIF(Data!$B139:$U139,INDEX(Pengaturan!$B$8:$B$27,E$4)))</f>
        <v>0</v>
      </c>
      <c r="F139" s="26" t="n">
        <f aca="false">IF(INDEX(Pengaturan!$B$8:$B$27,F$4)="",0,COUNTIF(Data!$B139:$U139,INDEX(Pengaturan!$B$8:$B$27,F$4)))</f>
        <v>0</v>
      </c>
      <c r="G139" s="26" t="n">
        <f aca="false">IF(INDEX(Pengaturan!$B$8:$B$27,G$4)="",0,COUNTIF(Data!$B139:$U139,INDEX(Pengaturan!$B$8:$B$27,G$4)))</f>
        <v>0</v>
      </c>
      <c r="H139" s="26" t="n">
        <f aca="false">IF(INDEX(Pengaturan!$B$8:$B$27,H$4)="",0,COUNTIF(Data!$B139:$U139,INDEX(Pengaturan!$B$8:$B$27,H$4)))</f>
        <v>0</v>
      </c>
      <c r="I139" s="26" t="n">
        <f aca="false">IF(INDEX(Pengaturan!$B$8:$B$27,I$4)="",0,COUNTIF(Data!$B139:$U139,INDEX(Pengaturan!$B$8:$B$27,I$4)))</f>
        <v>0</v>
      </c>
      <c r="J139" s="26" t="n">
        <f aca="false">IF(INDEX(Pengaturan!$B$8:$B$27,J$4)="",0,COUNTIF(Data!$B139:$U139,INDEX(Pengaturan!$B$8:$B$27,J$4)))</f>
        <v>0</v>
      </c>
      <c r="K139" s="26" t="n">
        <f aca="false">IF(INDEX(Pengaturan!$B$8:$B$27,K$4)="",0,COUNTIF(Data!$B139:$U139,INDEX(Pengaturan!$B$8:$B$27,K$4)))</f>
        <v>0</v>
      </c>
      <c r="L139" s="26" t="n">
        <f aca="false">IF(INDEX(Pengaturan!$B$8:$B$27,L$4)="",0,COUNTIF(Data!$B139:$U139,INDEX(Pengaturan!$B$8:$B$27,L$4)))</f>
        <v>0</v>
      </c>
      <c r="M139" s="26" t="n">
        <f aca="false">IF(INDEX(Pengaturan!$B$8:$B$27,M$4)="",0,COUNTIF(Data!$B139:$U139,INDEX(Pengaturan!$B$8:$B$27,M$4)))</f>
        <v>0</v>
      </c>
      <c r="N139" s="26" t="n">
        <f aca="false">IF(INDEX(Pengaturan!$B$8:$B$27,N$4)="",0,COUNTIF(Data!$B139:$U139,INDEX(Pengaturan!$B$8:$B$27,N$4)))</f>
        <v>0</v>
      </c>
      <c r="O139" s="26" t="n">
        <f aca="false">IF(INDEX(Pengaturan!$B$8:$B$27,O$4)="",0,COUNTIF(Data!$B139:$U139,INDEX(Pengaturan!$B$8:$B$27,O$4)))</f>
        <v>0</v>
      </c>
      <c r="P139" s="26" t="n">
        <f aca="false">IF(INDEX(Pengaturan!$B$8:$B$27,P$4)="",0,COUNTIF(Data!$B139:$U139,INDEX(Pengaturan!$B$8:$B$27,P$4)))</f>
        <v>0</v>
      </c>
      <c r="Q139" s="26" t="n">
        <f aca="false">IF(INDEX(Pengaturan!$B$8:$B$27,Q$4)="",0,COUNTIF(Data!$B139:$U139,INDEX(Pengaturan!$B$8:$B$27,Q$4)))</f>
        <v>0</v>
      </c>
      <c r="R139" s="26" t="n">
        <f aca="false">IF(INDEX(Pengaturan!$B$8:$B$27,R$4)="",0,COUNTIF(Data!$B139:$U139,INDEX(Pengaturan!$B$8:$B$27,R$4)))</f>
        <v>0</v>
      </c>
      <c r="S139" s="26" t="n">
        <f aca="false">IF(INDEX(Pengaturan!$B$8:$B$27,S$4)="",0,COUNTIF(Data!$B139:$U139,INDEX(Pengaturan!$B$8:$B$27,S$4)))</f>
        <v>0</v>
      </c>
      <c r="T139" s="26" t="n">
        <f aca="false">IF(INDEX(Pengaturan!$B$8:$B$27,T$4)="",0,COUNTIF(Data!$B139:$U139,INDEX(Pengaturan!$B$8:$B$27,T$4)))</f>
        <v>0</v>
      </c>
      <c r="U139" s="26" t="n">
        <f aca="false">IF(INDEX(Pengaturan!$B$8:$B$27,U$4)="",0,COUNTIF(Data!$B139:$U139,INDEX(Pengaturan!$B$8:$B$27,U$4)))</f>
        <v>0</v>
      </c>
      <c r="V139" s="26" t="n">
        <f aca="false">COUNTA(Data!$B139:$U139)</f>
        <v>0</v>
      </c>
      <c r="W139" s="27" t="str">
        <f aca="false">IF(V139=0,"",IF(V139&lt;&gt;Hasil!$C$4,"Data kosong/tidak lengkap",IF(SUM(B139:U139)&lt;&gt;V139,"Kategori tidak dikenal","OK")))</f>
        <v/>
      </c>
      <c r="X139" s="26" t="n">
        <f aca="false">IF(OR(W139="",W139="OK"),0,1)</f>
        <v>0</v>
      </c>
    </row>
    <row r="140" customFormat="false" ht="15" hidden="false" customHeight="false" outlineLevel="0" collapsed="false">
      <c r="A140" s="26" t="n">
        <f aca="false">Data!A140</f>
        <v>135</v>
      </c>
      <c r="B140" s="26" t="n">
        <f aca="false">IF(INDEX(Pengaturan!$B$8:$B$27,B$4)="",0,COUNTIF(Data!$B140:$U140,INDEX(Pengaturan!$B$8:$B$27,B$4)))</f>
        <v>0</v>
      </c>
      <c r="C140" s="26" t="n">
        <f aca="false">IF(INDEX(Pengaturan!$B$8:$B$27,C$4)="",0,COUNTIF(Data!$B140:$U140,INDEX(Pengaturan!$B$8:$B$27,C$4)))</f>
        <v>0</v>
      </c>
      <c r="D140" s="26" t="n">
        <f aca="false">IF(INDEX(Pengaturan!$B$8:$B$27,D$4)="",0,COUNTIF(Data!$B140:$U140,INDEX(Pengaturan!$B$8:$B$27,D$4)))</f>
        <v>0</v>
      </c>
      <c r="E140" s="26" t="n">
        <f aca="false">IF(INDEX(Pengaturan!$B$8:$B$27,E$4)="",0,COUNTIF(Data!$B140:$U140,INDEX(Pengaturan!$B$8:$B$27,E$4)))</f>
        <v>0</v>
      </c>
      <c r="F140" s="26" t="n">
        <f aca="false">IF(INDEX(Pengaturan!$B$8:$B$27,F$4)="",0,COUNTIF(Data!$B140:$U140,INDEX(Pengaturan!$B$8:$B$27,F$4)))</f>
        <v>0</v>
      </c>
      <c r="G140" s="26" t="n">
        <f aca="false">IF(INDEX(Pengaturan!$B$8:$B$27,G$4)="",0,COUNTIF(Data!$B140:$U140,INDEX(Pengaturan!$B$8:$B$27,G$4)))</f>
        <v>0</v>
      </c>
      <c r="H140" s="26" t="n">
        <f aca="false">IF(INDEX(Pengaturan!$B$8:$B$27,H$4)="",0,COUNTIF(Data!$B140:$U140,INDEX(Pengaturan!$B$8:$B$27,H$4)))</f>
        <v>0</v>
      </c>
      <c r="I140" s="26" t="n">
        <f aca="false">IF(INDEX(Pengaturan!$B$8:$B$27,I$4)="",0,COUNTIF(Data!$B140:$U140,INDEX(Pengaturan!$B$8:$B$27,I$4)))</f>
        <v>0</v>
      </c>
      <c r="J140" s="26" t="n">
        <f aca="false">IF(INDEX(Pengaturan!$B$8:$B$27,J$4)="",0,COUNTIF(Data!$B140:$U140,INDEX(Pengaturan!$B$8:$B$27,J$4)))</f>
        <v>0</v>
      </c>
      <c r="K140" s="26" t="n">
        <f aca="false">IF(INDEX(Pengaturan!$B$8:$B$27,K$4)="",0,COUNTIF(Data!$B140:$U140,INDEX(Pengaturan!$B$8:$B$27,K$4)))</f>
        <v>0</v>
      </c>
      <c r="L140" s="26" t="n">
        <f aca="false">IF(INDEX(Pengaturan!$B$8:$B$27,L$4)="",0,COUNTIF(Data!$B140:$U140,INDEX(Pengaturan!$B$8:$B$27,L$4)))</f>
        <v>0</v>
      </c>
      <c r="M140" s="26" t="n">
        <f aca="false">IF(INDEX(Pengaturan!$B$8:$B$27,M$4)="",0,COUNTIF(Data!$B140:$U140,INDEX(Pengaturan!$B$8:$B$27,M$4)))</f>
        <v>0</v>
      </c>
      <c r="N140" s="26" t="n">
        <f aca="false">IF(INDEX(Pengaturan!$B$8:$B$27,N$4)="",0,COUNTIF(Data!$B140:$U140,INDEX(Pengaturan!$B$8:$B$27,N$4)))</f>
        <v>0</v>
      </c>
      <c r="O140" s="26" t="n">
        <f aca="false">IF(INDEX(Pengaturan!$B$8:$B$27,O$4)="",0,COUNTIF(Data!$B140:$U140,INDEX(Pengaturan!$B$8:$B$27,O$4)))</f>
        <v>0</v>
      </c>
      <c r="P140" s="26" t="n">
        <f aca="false">IF(INDEX(Pengaturan!$B$8:$B$27,P$4)="",0,COUNTIF(Data!$B140:$U140,INDEX(Pengaturan!$B$8:$B$27,P$4)))</f>
        <v>0</v>
      </c>
      <c r="Q140" s="26" t="n">
        <f aca="false">IF(INDEX(Pengaturan!$B$8:$B$27,Q$4)="",0,COUNTIF(Data!$B140:$U140,INDEX(Pengaturan!$B$8:$B$27,Q$4)))</f>
        <v>0</v>
      </c>
      <c r="R140" s="26" t="n">
        <f aca="false">IF(INDEX(Pengaturan!$B$8:$B$27,R$4)="",0,COUNTIF(Data!$B140:$U140,INDEX(Pengaturan!$B$8:$B$27,R$4)))</f>
        <v>0</v>
      </c>
      <c r="S140" s="26" t="n">
        <f aca="false">IF(INDEX(Pengaturan!$B$8:$B$27,S$4)="",0,COUNTIF(Data!$B140:$U140,INDEX(Pengaturan!$B$8:$B$27,S$4)))</f>
        <v>0</v>
      </c>
      <c r="T140" s="26" t="n">
        <f aca="false">IF(INDEX(Pengaturan!$B$8:$B$27,T$4)="",0,COUNTIF(Data!$B140:$U140,INDEX(Pengaturan!$B$8:$B$27,T$4)))</f>
        <v>0</v>
      </c>
      <c r="U140" s="26" t="n">
        <f aca="false">IF(INDEX(Pengaturan!$B$8:$B$27,U$4)="",0,COUNTIF(Data!$B140:$U140,INDEX(Pengaturan!$B$8:$B$27,U$4)))</f>
        <v>0</v>
      </c>
      <c r="V140" s="26" t="n">
        <f aca="false">COUNTA(Data!$B140:$U140)</f>
        <v>0</v>
      </c>
      <c r="W140" s="27" t="str">
        <f aca="false">IF(V140=0,"",IF(V140&lt;&gt;Hasil!$C$4,"Data kosong/tidak lengkap",IF(SUM(B140:U140)&lt;&gt;V140,"Kategori tidak dikenal","OK")))</f>
        <v/>
      </c>
      <c r="X140" s="26" t="n">
        <f aca="false">IF(OR(W140="",W140="OK"),0,1)</f>
        <v>0</v>
      </c>
    </row>
    <row r="141" customFormat="false" ht="15" hidden="false" customHeight="false" outlineLevel="0" collapsed="false">
      <c r="A141" s="26" t="n">
        <f aca="false">Data!A141</f>
        <v>136</v>
      </c>
      <c r="B141" s="26" t="n">
        <f aca="false">IF(INDEX(Pengaturan!$B$8:$B$27,B$4)="",0,COUNTIF(Data!$B141:$U141,INDEX(Pengaturan!$B$8:$B$27,B$4)))</f>
        <v>0</v>
      </c>
      <c r="C141" s="26" t="n">
        <f aca="false">IF(INDEX(Pengaturan!$B$8:$B$27,C$4)="",0,COUNTIF(Data!$B141:$U141,INDEX(Pengaturan!$B$8:$B$27,C$4)))</f>
        <v>0</v>
      </c>
      <c r="D141" s="26" t="n">
        <f aca="false">IF(INDEX(Pengaturan!$B$8:$B$27,D$4)="",0,COUNTIF(Data!$B141:$U141,INDEX(Pengaturan!$B$8:$B$27,D$4)))</f>
        <v>0</v>
      </c>
      <c r="E141" s="26" t="n">
        <f aca="false">IF(INDEX(Pengaturan!$B$8:$B$27,E$4)="",0,COUNTIF(Data!$B141:$U141,INDEX(Pengaturan!$B$8:$B$27,E$4)))</f>
        <v>0</v>
      </c>
      <c r="F141" s="26" t="n">
        <f aca="false">IF(INDEX(Pengaturan!$B$8:$B$27,F$4)="",0,COUNTIF(Data!$B141:$U141,INDEX(Pengaturan!$B$8:$B$27,F$4)))</f>
        <v>0</v>
      </c>
      <c r="G141" s="26" t="n">
        <f aca="false">IF(INDEX(Pengaturan!$B$8:$B$27,G$4)="",0,COUNTIF(Data!$B141:$U141,INDEX(Pengaturan!$B$8:$B$27,G$4)))</f>
        <v>0</v>
      </c>
      <c r="H141" s="26" t="n">
        <f aca="false">IF(INDEX(Pengaturan!$B$8:$B$27,H$4)="",0,COUNTIF(Data!$B141:$U141,INDEX(Pengaturan!$B$8:$B$27,H$4)))</f>
        <v>0</v>
      </c>
      <c r="I141" s="26" t="n">
        <f aca="false">IF(INDEX(Pengaturan!$B$8:$B$27,I$4)="",0,COUNTIF(Data!$B141:$U141,INDEX(Pengaturan!$B$8:$B$27,I$4)))</f>
        <v>0</v>
      </c>
      <c r="J141" s="26" t="n">
        <f aca="false">IF(INDEX(Pengaturan!$B$8:$B$27,J$4)="",0,COUNTIF(Data!$B141:$U141,INDEX(Pengaturan!$B$8:$B$27,J$4)))</f>
        <v>0</v>
      </c>
      <c r="K141" s="26" t="n">
        <f aca="false">IF(INDEX(Pengaturan!$B$8:$B$27,K$4)="",0,COUNTIF(Data!$B141:$U141,INDEX(Pengaturan!$B$8:$B$27,K$4)))</f>
        <v>0</v>
      </c>
      <c r="L141" s="26" t="n">
        <f aca="false">IF(INDEX(Pengaturan!$B$8:$B$27,L$4)="",0,COUNTIF(Data!$B141:$U141,INDEX(Pengaturan!$B$8:$B$27,L$4)))</f>
        <v>0</v>
      </c>
      <c r="M141" s="26" t="n">
        <f aca="false">IF(INDEX(Pengaturan!$B$8:$B$27,M$4)="",0,COUNTIF(Data!$B141:$U141,INDEX(Pengaturan!$B$8:$B$27,M$4)))</f>
        <v>0</v>
      </c>
      <c r="N141" s="26" t="n">
        <f aca="false">IF(INDEX(Pengaturan!$B$8:$B$27,N$4)="",0,COUNTIF(Data!$B141:$U141,INDEX(Pengaturan!$B$8:$B$27,N$4)))</f>
        <v>0</v>
      </c>
      <c r="O141" s="26" t="n">
        <f aca="false">IF(INDEX(Pengaturan!$B$8:$B$27,O$4)="",0,COUNTIF(Data!$B141:$U141,INDEX(Pengaturan!$B$8:$B$27,O$4)))</f>
        <v>0</v>
      </c>
      <c r="P141" s="26" t="n">
        <f aca="false">IF(INDEX(Pengaturan!$B$8:$B$27,P$4)="",0,COUNTIF(Data!$B141:$U141,INDEX(Pengaturan!$B$8:$B$27,P$4)))</f>
        <v>0</v>
      </c>
      <c r="Q141" s="26" t="n">
        <f aca="false">IF(INDEX(Pengaturan!$B$8:$B$27,Q$4)="",0,COUNTIF(Data!$B141:$U141,INDEX(Pengaturan!$B$8:$B$27,Q$4)))</f>
        <v>0</v>
      </c>
      <c r="R141" s="26" t="n">
        <f aca="false">IF(INDEX(Pengaturan!$B$8:$B$27,R$4)="",0,COUNTIF(Data!$B141:$U141,INDEX(Pengaturan!$B$8:$B$27,R$4)))</f>
        <v>0</v>
      </c>
      <c r="S141" s="26" t="n">
        <f aca="false">IF(INDEX(Pengaturan!$B$8:$B$27,S$4)="",0,COUNTIF(Data!$B141:$U141,INDEX(Pengaturan!$B$8:$B$27,S$4)))</f>
        <v>0</v>
      </c>
      <c r="T141" s="26" t="n">
        <f aca="false">IF(INDEX(Pengaturan!$B$8:$B$27,T$4)="",0,COUNTIF(Data!$B141:$U141,INDEX(Pengaturan!$B$8:$B$27,T$4)))</f>
        <v>0</v>
      </c>
      <c r="U141" s="26" t="n">
        <f aca="false">IF(INDEX(Pengaturan!$B$8:$B$27,U$4)="",0,COUNTIF(Data!$B141:$U141,INDEX(Pengaturan!$B$8:$B$27,U$4)))</f>
        <v>0</v>
      </c>
      <c r="V141" s="26" t="n">
        <f aca="false">COUNTA(Data!$B141:$U141)</f>
        <v>0</v>
      </c>
      <c r="W141" s="27" t="str">
        <f aca="false">IF(V141=0,"",IF(V141&lt;&gt;Hasil!$C$4,"Data kosong/tidak lengkap",IF(SUM(B141:U141)&lt;&gt;V141,"Kategori tidak dikenal","OK")))</f>
        <v/>
      </c>
      <c r="X141" s="26" t="n">
        <f aca="false">IF(OR(W141="",W141="OK"),0,1)</f>
        <v>0</v>
      </c>
    </row>
    <row r="142" customFormat="false" ht="15" hidden="false" customHeight="false" outlineLevel="0" collapsed="false">
      <c r="A142" s="26" t="n">
        <f aca="false">Data!A142</f>
        <v>137</v>
      </c>
      <c r="B142" s="26" t="n">
        <f aca="false">IF(INDEX(Pengaturan!$B$8:$B$27,B$4)="",0,COUNTIF(Data!$B142:$U142,INDEX(Pengaturan!$B$8:$B$27,B$4)))</f>
        <v>0</v>
      </c>
      <c r="C142" s="26" t="n">
        <f aca="false">IF(INDEX(Pengaturan!$B$8:$B$27,C$4)="",0,COUNTIF(Data!$B142:$U142,INDEX(Pengaturan!$B$8:$B$27,C$4)))</f>
        <v>0</v>
      </c>
      <c r="D142" s="26" t="n">
        <f aca="false">IF(INDEX(Pengaturan!$B$8:$B$27,D$4)="",0,COUNTIF(Data!$B142:$U142,INDEX(Pengaturan!$B$8:$B$27,D$4)))</f>
        <v>0</v>
      </c>
      <c r="E142" s="26" t="n">
        <f aca="false">IF(INDEX(Pengaturan!$B$8:$B$27,E$4)="",0,COUNTIF(Data!$B142:$U142,INDEX(Pengaturan!$B$8:$B$27,E$4)))</f>
        <v>0</v>
      </c>
      <c r="F142" s="26" t="n">
        <f aca="false">IF(INDEX(Pengaturan!$B$8:$B$27,F$4)="",0,COUNTIF(Data!$B142:$U142,INDEX(Pengaturan!$B$8:$B$27,F$4)))</f>
        <v>0</v>
      </c>
      <c r="G142" s="26" t="n">
        <f aca="false">IF(INDEX(Pengaturan!$B$8:$B$27,G$4)="",0,COUNTIF(Data!$B142:$U142,INDEX(Pengaturan!$B$8:$B$27,G$4)))</f>
        <v>0</v>
      </c>
      <c r="H142" s="26" t="n">
        <f aca="false">IF(INDEX(Pengaturan!$B$8:$B$27,H$4)="",0,COUNTIF(Data!$B142:$U142,INDEX(Pengaturan!$B$8:$B$27,H$4)))</f>
        <v>0</v>
      </c>
      <c r="I142" s="26" t="n">
        <f aca="false">IF(INDEX(Pengaturan!$B$8:$B$27,I$4)="",0,COUNTIF(Data!$B142:$U142,INDEX(Pengaturan!$B$8:$B$27,I$4)))</f>
        <v>0</v>
      </c>
      <c r="J142" s="26" t="n">
        <f aca="false">IF(INDEX(Pengaturan!$B$8:$B$27,J$4)="",0,COUNTIF(Data!$B142:$U142,INDEX(Pengaturan!$B$8:$B$27,J$4)))</f>
        <v>0</v>
      </c>
      <c r="K142" s="26" t="n">
        <f aca="false">IF(INDEX(Pengaturan!$B$8:$B$27,K$4)="",0,COUNTIF(Data!$B142:$U142,INDEX(Pengaturan!$B$8:$B$27,K$4)))</f>
        <v>0</v>
      </c>
      <c r="L142" s="26" t="n">
        <f aca="false">IF(INDEX(Pengaturan!$B$8:$B$27,L$4)="",0,COUNTIF(Data!$B142:$U142,INDEX(Pengaturan!$B$8:$B$27,L$4)))</f>
        <v>0</v>
      </c>
      <c r="M142" s="26" t="n">
        <f aca="false">IF(INDEX(Pengaturan!$B$8:$B$27,M$4)="",0,COUNTIF(Data!$B142:$U142,INDEX(Pengaturan!$B$8:$B$27,M$4)))</f>
        <v>0</v>
      </c>
      <c r="N142" s="26" t="n">
        <f aca="false">IF(INDEX(Pengaturan!$B$8:$B$27,N$4)="",0,COUNTIF(Data!$B142:$U142,INDEX(Pengaturan!$B$8:$B$27,N$4)))</f>
        <v>0</v>
      </c>
      <c r="O142" s="26" t="n">
        <f aca="false">IF(INDEX(Pengaturan!$B$8:$B$27,O$4)="",0,COUNTIF(Data!$B142:$U142,INDEX(Pengaturan!$B$8:$B$27,O$4)))</f>
        <v>0</v>
      </c>
      <c r="P142" s="26" t="n">
        <f aca="false">IF(INDEX(Pengaturan!$B$8:$B$27,P$4)="",0,COUNTIF(Data!$B142:$U142,INDEX(Pengaturan!$B$8:$B$27,P$4)))</f>
        <v>0</v>
      </c>
      <c r="Q142" s="26" t="n">
        <f aca="false">IF(INDEX(Pengaturan!$B$8:$B$27,Q$4)="",0,COUNTIF(Data!$B142:$U142,INDEX(Pengaturan!$B$8:$B$27,Q$4)))</f>
        <v>0</v>
      </c>
      <c r="R142" s="26" t="n">
        <f aca="false">IF(INDEX(Pengaturan!$B$8:$B$27,R$4)="",0,COUNTIF(Data!$B142:$U142,INDEX(Pengaturan!$B$8:$B$27,R$4)))</f>
        <v>0</v>
      </c>
      <c r="S142" s="26" t="n">
        <f aca="false">IF(INDEX(Pengaturan!$B$8:$B$27,S$4)="",0,COUNTIF(Data!$B142:$U142,INDEX(Pengaturan!$B$8:$B$27,S$4)))</f>
        <v>0</v>
      </c>
      <c r="T142" s="26" t="n">
        <f aca="false">IF(INDEX(Pengaturan!$B$8:$B$27,T$4)="",0,COUNTIF(Data!$B142:$U142,INDEX(Pengaturan!$B$8:$B$27,T$4)))</f>
        <v>0</v>
      </c>
      <c r="U142" s="26" t="n">
        <f aca="false">IF(INDEX(Pengaturan!$B$8:$B$27,U$4)="",0,COUNTIF(Data!$B142:$U142,INDEX(Pengaturan!$B$8:$B$27,U$4)))</f>
        <v>0</v>
      </c>
      <c r="V142" s="26" t="n">
        <f aca="false">COUNTA(Data!$B142:$U142)</f>
        <v>0</v>
      </c>
      <c r="W142" s="27" t="str">
        <f aca="false">IF(V142=0,"",IF(V142&lt;&gt;Hasil!$C$4,"Data kosong/tidak lengkap",IF(SUM(B142:U142)&lt;&gt;V142,"Kategori tidak dikenal","OK")))</f>
        <v/>
      </c>
      <c r="X142" s="26" t="n">
        <f aca="false">IF(OR(W142="",W142="OK"),0,1)</f>
        <v>0</v>
      </c>
    </row>
    <row r="143" customFormat="false" ht="15" hidden="false" customHeight="false" outlineLevel="0" collapsed="false">
      <c r="A143" s="26" t="n">
        <f aca="false">Data!A143</f>
        <v>138</v>
      </c>
      <c r="B143" s="26" t="n">
        <f aca="false">IF(INDEX(Pengaturan!$B$8:$B$27,B$4)="",0,COUNTIF(Data!$B143:$U143,INDEX(Pengaturan!$B$8:$B$27,B$4)))</f>
        <v>0</v>
      </c>
      <c r="C143" s="26" t="n">
        <f aca="false">IF(INDEX(Pengaturan!$B$8:$B$27,C$4)="",0,COUNTIF(Data!$B143:$U143,INDEX(Pengaturan!$B$8:$B$27,C$4)))</f>
        <v>0</v>
      </c>
      <c r="D143" s="26" t="n">
        <f aca="false">IF(INDEX(Pengaturan!$B$8:$B$27,D$4)="",0,COUNTIF(Data!$B143:$U143,INDEX(Pengaturan!$B$8:$B$27,D$4)))</f>
        <v>0</v>
      </c>
      <c r="E143" s="26" t="n">
        <f aca="false">IF(INDEX(Pengaturan!$B$8:$B$27,E$4)="",0,COUNTIF(Data!$B143:$U143,INDEX(Pengaturan!$B$8:$B$27,E$4)))</f>
        <v>0</v>
      </c>
      <c r="F143" s="26" t="n">
        <f aca="false">IF(INDEX(Pengaturan!$B$8:$B$27,F$4)="",0,COUNTIF(Data!$B143:$U143,INDEX(Pengaturan!$B$8:$B$27,F$4)))</f>
        <v>0</v>
      </c>
      <c r="G143" s="26" t="n">
        <f aca="false">IF(INDEX(Pengaturan!$B$8:$B$27,G$4)="",0,COUNTIF(Data!$B143:$U143,INDEX(Pengaturan!$B$8:$B$27,G$4)))</f>
        <v>0</v>
      </c>
      <c r="H143" s="26" t="n">
        <f aca="false">IF(INDEX(Pengaturan!$B$8:$B$27,H$4)="",0,COUNTIF(Data!$B143:$U143,INDEX(Pengaturan!$B$8:$B$27,H$4)))</f>
        <v>0</v>
      </c>
      <c r="I143" s="26" t="n">
        <f aca="false">IF(INDEX(Pengaturan!$B$8:$B$27,I$4)="",0,COUNTIF(Data!$B143:$U143,INDEX(Pengaturan!$B$8:$B$27,I$4)))</f>
        <v>0</v>
      </c>
      <c r="J143" s="26" t="n">
        <f aca="false">IF(INDEX(Pengaturan!$B$8:$B$27,J$4)="",0,COUNTIF(Data!$B143:$U143,INDEX(Pengaturan!$B$8:$B$27,J$4)))</f>
        <v>0</v>
      </c>
      <c r="K143" s="26" t="n">
        <f aca="false">IF(INDEX(Pengaturan!$B$8:$B$27,K$4)="",0,COUNTIF(Data!$B143:$U143,INDEX(Pengaturan!$B$8:$B$27,K$4)))</f>
        <v>0</v>
      </c>
      <c r="L143" s="26" t="n">
        <f aca="false">IF(INDEX(Pengaturan!$B$8:$B$27,L$4)="",0,COUNTIF(Data!$B143:$U143,INDEX(Pengaturan!$B$8:$B$27,L$4)))</f>
        <v>0</v>
      </c>
      <c r="M143" s="26" t="n">
        <f aca="false">IF(INDEX(Pengaturan!$B$8:$B$27,M$4)="",0,COUNTIF(Data!$B143:$U143,INDEX(Pengaturan!$B$8:$B$27,M$4)))</f>
        <v>0</v>
      </c>
      <c r="N143" s="26" t="n">
        <f aca="false">IF(INDEX(Pengaturan!$B$8:$B$27,N$4)="",0,COUNTIF(Data!$B143:$U143,INDEX(Pengaturan!$B$8:$B$27,N$4)))</f>
        <v>0</v>
      </c>
      <c r="O143" s="26" t="n">
        <f aca="false">IF(INDEX(Pengaturan!$B$8:$B$27,O$4)="",0,COUNTIF(Data!$B143:$U143,INDEX(Pengaturan!$B$8:$B$27,O$4)))</f>
        <v>0</v>
      </c>
      <c r="P143" s="26" t="n">
        <f aca="false">IF(INDEX(Pengaturan!$B$8:$B$27,P$4)="",0,COUNTIF(Data!$B143:$U143,INDEX(Pengaturan!$B$8:$B$27,P$4)))</f>
        <v>0</v>
      </c>
      <c r="Q143" s="26" t="n">
        <f aca="false">IF(INDEX(Pengaturan!$B$8:$B$27,Q$4)="",0,COUNTIF(Data!$B143:$U143,INDEX(Pengaturan!$B$8:$B$27,Q$4)))</f>
        <v>0</v>
      </c>
      <c r="R143" s="26" t="n">
        <f aca="false">IF(INDEX(Pengaturan!$B$8:$B$27,R$4)="",0,COUNTIF(Data!$B143:$U143,INDEX(Pengaturan!$B$8:$B$27,R$4)))</f>
        <v>0</v>
      </c>
      <c r="S143" s="26" t="n">
        <f aca="false">IF(INDEX(Pengaturan!$B$8:$B$27,S$4)="",0,COUNTIF(Data!$B143:$U143,INDEX(Pengaturan!$B$8:$B$27,S$4)))</f>
        <v>0</v>
      </c>
      <c r="T143" s="26" t="n">
        <f aca="false">IF(INDEX(Pengaturan!$B$8:$B$27,T$4)="",0,COUNTIF(Data!$B143:$U143,INDEX(Pengaturan!$B$8:$B$27,T$4)))</f>
        <v>0</v>
      </c>
      <c r="U143" s="26" t="n">
        <f aca="false">IF(INDEX(Pengaturan!$B$8:$B$27,U$4)="",0,COUNTIF(Data!$B143:$U143,INDEX(Pengaturan!$B$8:$B$27,U$4)))</f>
        <v>0</v>
      </c>
      <c r="V143" s="26" t="n">
        <f aca="false">COUNTA(Data!$B143:$U143)</f>
        <v>0</v>
      </c>
      <c r="W143" s="27" t="str">
        <f aca="false">IF(V143=0,"",IF(V143&lt;&gt;Hasil!$C$4,"Data kosong/tidak lengkap",IF(SUM(B143:U143)&lt;&gt;V143,"Kategori tidak dikenal","OK")))</f>
        <v/>
      </c>
      <c r="X143" s="26" t="n">
        <f aca="false">IF(OR(W143="",W143="OK"),0,1)</f>
        <v>0</v>
      </c>
    </row>
    <row r="144" customFormat="false" ht="15" hidden="false" customHeight="false" outlineLevel="0" collapsed="false">
      <c r="A144" s="26" t="n">
        <f aca="false">Data!A144</f>
        <v>139</v>
      </c>
      <c r="B144" s="26" t="n">
        <f aca="false">IF(INDEX(Pengaturan!$B$8:$B$27,B$4)="",0,COUNTIF(Data!$B144:$U144,INDEX(Pengaturan!$B$8:$B$27,B$4)))</f>
        <v>0</v>
      </c>
      <c r="C144" s="26" t="n">
        <f aca="false">IF(INDEX(Pengaturan!$B$8:$B$27,C$4)="",0,COUNTIF(Data!$B144:$U144,INDEX(Pengaturan!$B$8:$B$27,C$4)))</f>
        <v>0</v>
      </c>
      <c r="D144" s="26" t="n">
        <f aca="false">IF(INDEX(Pengaturan!$B$8:$B$27,D$4)="",0,COUNTIF(Data!$B144:$U144,INDEX(Pengaturan!$B$8:$B$27,D$4)))</f>
        <v>0</v>
      </c>
      <c r="E144" s="26" t="n">
        <f aca="false">IF(INDEX(Pengaturan!$B$8:$B$27,E$4)="",0,COUNTIF(Data!$B144:$U144,INDEX(Pengaturan!$B$8:$B$27,E$4)))</f>
        <v>0</v>
      </c>
      <c r="F144" s="26" t="n">
        <f aca="false">IF(INDEX(Pengaturan!$B$8:$B$27,F$4)="",0,COUNTIF(Data!$B144:$U144,INDEX(Pengaturan!$B$8:$B$27,F$4)))</f>
        <v>0</v>
      </c>
      <c r="G144" s="26" t="n">
        <f aca="false">IF(INDEX(Pengaturan!$B$8:$B$27,G$4)="",0,COUNTIF(Data!$B144:$U144,INDEX(Pengaturan!$B$8:$B$27,G$4)))</f>
        <v>0</v>
      </c>
      <c r="H144" s="26" t="n">
        <f aca="false">IF(INDEX(Pengaturan!$B$8:$B$27,H$4)="",0,COUNTIF(Data!$B144:$U144,INDEX(Pengaturan!$B$8:$B$27,H$4)))</f>
        <v>0</v>
      </c>
      <c r="I144" s="26" t="n">
        <f aca="false">IF(INDEX(Pengaturan!$B$8:$B$27,I$4)="",0,COUNTIF(Data!$B144:$U144,INDEX(Pengaturan!$B$8:$B$27,I$4)))</f>
        <v>0</v>
      </c>
      <c r="J144" s="26" t="n">
        <f aca="false">IF(INDEX(Pengaturan!$B$8:$B$27,J$4)="",0,COUNTIF(Data!$B144:$U144,INDEX(Pengaturan!$B$8:$B$27,J$4)))</f>
        <v>0</v>
      </c>
      <c r="K144" s="26" t="n">
        <f aca="false">IF(INDEX(Pengaturan!$B$8:$B$27,K$4)="",0,COUNTIF(Data!$B144:$U144,INDEX(Pengaturan!$B$8:$B$27,K$4)))</f>
        <v>0</v>
      </c>
      <c r="L144" s="26" t="n">
        <f aca="false">IF(INDEX(Pengaturan!$B$8:$B$27,L$4)="",0,COUNTIF(Data!$B144:$U144,INDEX(Pengaturan!$B$8:$B$27,L$4)))</f>
        <v>0</v>
      </c>
      <c r="M144" s="26" t="n">
        <f aca="false">IF(INDEX(Pengaturan!$B$8:$B$27,M$4)="",0,COUNTIF(Data!$B144:$U144,INDEX(Pengaturan!$B$8:$B$27,M$4)))</f>
        <v>0</v>
      </c>
      <c r="N144" s="26" t="n">
        <f aca="false">IF(INDEX(Pengaturan!$B$8:$B$27,N$4)="",0,COUNTIF(Data!$B144:$U144,INDEX(Pengaturan!$B$8:$B$27,N$4)))</f>
        <v>0</v>
      </c>
      <c r="O144" s="26" t="n">
        <f aca="false">IF(INDEX(Pengaturan!$B$8:$B$27,O$4)="",0,COUNTIF(Data!$B144:$U144,INDEX(Pengaturan!$B$8:$B$27,O$4)))</f>
        <v>0</v>
      </c>
      <c r="P144" s="26" t="n">
        <f aca="false">IF(INDEX(Pengaturan!$B$8:$B$27,P$4)="",0,COUNTIF(Data!$B144:$U144,INDEX(Pengaturan!$B$8:$B$27,P$4)))</f>
        <v>0</v>
      </c>
      <c r="Q144" s="26" t="n">
        <f aca="false">IF(INDEX(Pengaturan!$B$8:$B$27,Q$4)="",0,COUNTIF(Data!$B144:$U144,INDEX(Pengaturan!$B$8:$B$27,Q$4)))</f>
        <v>0</v>
      </c>
      <c r="R144" s="26" t="n">
        <f aca="false">IF(INDEX(Pengaturan!$B$8:$B$27,R$4)="",0,COUNTIF(Data!$B144:$U144,INDEX(Pengaturan!$B$8:$B$27,R$4)))</f>
        <v>0</v>
      </c>
      <c r="S144" s="26" t="n">
        <f aca="false">IF(INDEX(Pengaturan!$B$8:$B$27,S$4)="",0,COUNTIF(Data!$B144:$U144,INDEX(Pengaturan!$B$8:$B$27,S$4)))</f>
        <v>0</v>
      </c>
      <c r="T144" s="26" t="n">
        <f aca="false">IF(INDEX(Pengaturan!$B$8:$B$27,T$4)="",0,COUNTIF(Data!$B144:$U144,INDEX(Pengaturan!$B$8:$B$27,T$4)))</f>
        <v>0</v>
      </c>
      <c r="U144" s="26" t="n">
        <f aca="false">IF(INDEX(Pengaturan!$B$8:$B$27,U$4)="",0,COUNTIF(Data!$B144:$U144,INDEX(Pengaturan!$B$8:$B$27,U$4)))</f>
        <v>0</v>
      </c>
      <c r="V144" s="26" t="n">
        <f aca="false">COUNTA(Data!$B144:$U144)</f>
        <v>0</v>
      </c>
      <c r="W144" s="27" t="str">
        <f aca="false">IF(V144=0,"",IF(V144&lt;&gt;Hasil!$C$4,"Data kosong/tidak lengkap",IF(SUM(B144:U144)&lt;&gt;V144,"Kategori tidak dikenal","OK")))</f>
        <v/>
      </c>
      <c r="X144" s="26" t="n">
        <f aca="false">IF(OR(W144="",W144="OK"),0,1)</f>
        <v>0</v>
      </c>
    </row>
    <row r="145" customFormat="false" ht="15" hidden="false" customHeight="false" outlineLevel="0" collapsed="false">
      <c r="A145" s="26" t="n">
        <f aca="false">Data!A145</f>
        <v>140</v>
      </c>
      <c r="B145" s="26" t="n">
        <f aca="false">IF(INDEX(Pengaturan!$B$8:$B$27,B$4)="",0,COUNTIF(Data!$B145:$U145,INDEX(Pengaturan!$B$8:$B$27,B$4)))</f>
        <v>0</v>
      </c>
      <c r="C145" s="26" t="n">
        <f aca="false">IF(INDEX(Pengaturan!$B$8:$B$27,C$4)="",0,COUNTIF(Data!$B145:$U145,INDEX(Pengaturan!$B$8:$B$27,C$4)))</f>
        <v>0</v>
      </c>
      <c r="D145" s="26" t="n">
        <f aca="false">IF(INDEX(Pengaturan!$B$8:$B$27,D$4)="",0,COUNTIF(Data!$B145:$U145,INDEX(Pengaturan!$B$8:$B$27,D$4)))</f>
        <v>0</v>
      </c>
      <c r="E145" s="26" t="n">
        <f aca="false">IF(INDEX(Pengaturan!$B$8:$B$27,E$4)="",0,COUNTIF(Data!$B145:$U145,INDEX(Pengaturan!$B$8:$B$27,E$4)))</f>
        <v>0</v>
      </c>
      <c r="F145" s="26" t="n">
        <f aca="false">IF(INDEX(Pengaturan!$B$8:$B$27,F$4)="",0,COUNTIF(Data!$B145:$U145,INDEX(Pengaturan!$B$8:$B$27,F$4)))</f>
        <v>0</v>
      </c>
      <c r="G145" s="26" t="n">
        <f aca="false">IF(INDEX(Pengaturan!$B$8:$B$27,G$4)="",0,COUNTIF(Data!$B145:$U145,INDEX(Pengaturan!$B$8:$B$27,G$4)))</f>
        <v>0</v>
      </c>
      <c r="H145" s="26" t="n">
        <f aca="false">IF(INDEX(Pengaturan!$B$8:$B$27,H$4)="",0,COUNTIF(Data!$B145:$U145,INDEX(Pengaturan!$B$8:$B$27,H$4)))</f>
        <v>0</v>
      </c>
      <c r="I145" s="26" t="n">
        <f aca="false">IF(INDEX(Pengaturan!$B$8:$B$27,I$4)="",0,COUNTIF(Data!$B145:$U145,INDEX(Pengaturan!$B$8:$B$27,I$4)))</f>
        <v>0</v>
      </c>
      <c r="J145" s="26" t="n">
        <f aca="false">IF(INDEX(Pengaturan!$B$8:$B$27,J$4)="",0,COUNTIF(Data!$B145:$U145,INDEX(Pengaturan!$B$8:$B$27,J$4)))</f>
        <v>0</v>
      </c>
      <c r="K145" s="26" t="n">
        <f aca="false">IF(INDEX(Pengaturan!$B$8:$B$27,K$4)="",0,COUNTIF(Data!$B145:$U145,INDEX(Pengaturan!$B$8:$B$27,K$4)))</f>
        <v>0</v>
      </c>
      <c r="L145" s="26" t="n">
        <f aca="false">IF(INDEX(Pengaturan!$B$8:$B$27,L$4)="",0,COUNTIF(Data!$B145:$U145,INDEX(Pengaturan!$B$8:$B$27,L$4)))</f>
        <v>0</v>
      </c>
      <c r="M145" s="26" t="n">
        <f aca="false">IF(INDEX(Pengaturan!$B$8:$B$27,M$4)="",0,COUNTIF(Data!$B145:$U145,INDEX(Pengaturan!$B$8:$B$27,M$4)))</f>
        <v>0</v>
      </c>
      <c r="N145" s="26" t="n">
        <f aca="false">IF(INDEX(Pengaturan!$B$8:$B$27,N$4)="",0,COUNTIF(Data!$B145:$U145,INDEX(Pengaturan!$B$8:$B$27,N$4)))</f>
        <v>0</v>
      </c>
      <c r="O145" s="26" t="n">
        <f aca="false">IF(INDEX(Pengaturan!$B$8:$B$27,O$4)="",0,COUNTIF(Data!$B145:$U145,INDEX(Pengaturan!$B$8:$B$27,O$4)))</f>
        <v>0</v>
      </c>
      <c r="P145" s="26" t="n">
        <f aca="false">IF(INDEX(Pengaturan!$B$8:$B$27,P$4)="",0,COUNTIF(Data!$B145:$U145,INDEX(Pengaturan!$B$8:$B$27,P$4)))</f>
        <v>0</v>
      </c>
      <c r="Q145" s="26" t="n">
        <f aca="false">IF(INDEX(Pengaturan!$B$8:$B$27,Q$4)="",0,COUNTIF(Data!$B145:$U145,INDEX(Pengaturan!$B$8:$B$27,Q$4)))</f>
        <v>0</v>
      </c>
      <c r="R145" s="26" t="n">
        <f aca="false">IF(INDEX(Pengaturan!$B$8:$B$27,R$4)="",0,COUNTIF(Data!$B145:$U145,INDEX(Pengaturan!$B$8:$B$27,R$4)))</f>
        <v>0</v>
      </c>
      <c r="S145" s="26" t="n">
        <f aca="false">IF(INDEX(Pengaturan!$B$8:$B$27,S$4)="",0,COUNTIF(Data!$B145:$U145,INDEX(Pengaturan!$B$8:$B$27,S$4)))</f>
        <v>0</v>
      </c>
      <c r="T145" s="26" t="n">
        <f aca="false">IF(INDEX(Pengaturan!$B$8:$B$27,T$4)="",0,COUNTIF(Data!$B145:$U145,INDEX(Pengaturan!$B$8:$B$27,T$4)))</f>
        <v>0</v>
      </c>
      <c r="U145" s="26" t="n">
        <f aca="false">IF(INDEX(Pengaturan!$B$8:$B$27,U$4)="",0,COUNTIF(Data!$B145:$U145,INDEX(Pengaturan!$B$8:$B$27,U$4)))</f>
        <v>0</v>
      </c>
      <c r="V145" s="26" t="n">
        <f aca="false">COUNTA(Data!$B145:$U145)</f>
        <v>0</v>
      </c>
      <c r="W145" s="27" t="str">
        <f aca="false">IF(V145=0,"",IF(V145&lt;&gt;Hasil!$C$4,"Data kosong/tidak lengkap",IF(SUM(B145:U145)&lt;&gt;V145,"Kategori tidak dikenal","OK")))</f>
        <v/>
      </c>
      <c r="X145" s="26" t="n">
        <f aca="false">IF(OR(W145="",W145="OK"),0,1)</f>
        <v>0</v>
      </c>
    </row>
    <row r="146" customFormat="false" ht="15" hidden="false" customHeight="false" outlineLevel="0" collapsed="false">
      <c r="A146" s="26" t="n">
        <f aca="false">Data!A146</f>
        <v>141</v>
      </c>
      <c r="B146" s="26" t="n">
        <f aca="false">IF(INDEX(Pengaturan!$B$8:$B$27,B$4)="",0,COUNTIF(Data!$B146:$U146,INDEX(Pengaturan!$B$8:$B$27,B$4)))</f>
        <v>0</v>
      </c>
      <c r="C146" s="26" t="n">
        <f aca="false">IF(INDEX(Pengaturan!$B$8:$B$27,C$4)="",0,COUNTIF(Data!$B146:$U146,INDEX(Pengaturan!$B$8:$B$27,C$4)))</f>
        <v>0</v>
      </c>
      <c r="D146" s="26" t="n">
        <f aca="false">IF(INDEX(Pengaturan!$B$8:$B$27,D$4)="",0,COUNTIF(Data!$B146:$U146,INDEX(Pengaturan!$B$8:$B$27,D$4)))</f>
        <v>0</v>
      </c>
      <c r="E146" s="26" t="n">
        <f aca="false">IF(INDEX(Pengaturan!$B$8:$B$27,E$4)="",0,COUNTIF(Data!$B146:$U146,INDEX(Pengaturan!$B$8:$B$27,E$4)))</f>
        <v>0</v>
      </c>
      <c r="F146" s="26" t="n">
        <f aca="false">IF(INDEX(Pengaturan!$B$8:$B$27,F$4)="",0,COUNTIF(Data!$B146:$U146,INDEX(Pengaturan!$B$8:$B$27,F$4)))</f>
        <v>0</v>
      </c>
      <c r="G146" s="26" t="n">
        <f aca="false">IF(INDEX(Pengaturan!$B$8:$B$27,G$4)="",0,COUNTIF(Data!$B146:$U146,INDEX(Pengaturan!$B$8:$B$27,G$4)))</f>
        <v>0</v>
      </c>
      <c r="H146" s="26" t="n">
        <f aca="false">IF(INDEX(Pengaturan!$B$8:$B$27,H$4)="",0,COUNTIF(Data!$B146:$U146,INDEX(Pengaturan!$B$8:$B$27,H$4)))</f>
        <v>0</v>
      </c>
      <c r="I146" s="26" t="n">
        <f aca="false">IF(INDEX(Pengaturan!$B$8:$B$27,I$4)="",0,COUNTIF(Data!$B146:$U146,INDEX(Pengaturan!$B$8:$B$27,I$4)))</f>
        <v>0</v>
      </c>
      <c r="J146" s="26" t="n">
        <f aca="false">IF(INDEX(Pengaturan!$B$8:$B$27,J$4)="",0,COUNTIF(Data!$B146:$U146,INDEX(Pengaturan!$B$8:$B$27,J$4)))</f>
        <v>0</v>
      </c>
      <c r="K146" s="26" t="n">
        <f aca="false">IF(INDEX(Pengaturan!$B$8:$B$27,K$4)="",0,COUNTIF(Data!$B146:$U146,INDEX(Pengaturan!$B$8:$B$27,K$4)))</f>
        <v>0</v>
      </c>
      <c r="L146" s="26" t="n">
        <f aca="false">IF(INDEX(Pengaturan!$B$8:$B$27,L$4)="",0,COUNTIF(Data!$B146:$U146,INDEX(Pengaturan!$B$8:$B$27,L$4)))</f>
        <v>0</v>
      </c>
      <c r="M146" s="26" t="n">
        <f aca="false">IF(INDEX(Pengaturan!$B$8:$B$27,M$4)="",0,COUNTIF(Data!$B146:$U146,INDEX(Pengaturan!$B$8:$B$27,M$4)))</f>
        <v>0</v>
      </c>
      <c r="N146" s="26" t="n">
        <f aca="false">IF(INDEX(Pengaturan!$B$8:$B$27,N$4)="",0,COUNTIF(Data!$B146:$U146,INDEX(Pengaturan!$B$8:$B$27,N$4)))</f>
        <v>0</v>
      </c>
      <c r="O146" s="26" t="n">
        <f aca="false">IF(INDEX(Pengaturan!$B$8:$B$27,O$4)="",0,COUNTIF(Data!$B146:$U146,INDEX(Pengaturan!$B$8:$B$27,O$4)))</f>
        <v>0</v>
      </c>
      <c r="P146" s="26" t="n">
        <f aca="false">IF(INDEX(Pengaturan!$B$8:$B$27,P$4)="",0,COUNTIF(Data!$B146:$U146,INDEX(Pengaturan!$B$8:$B$27,P$4)))</f>
        <v>0</v>
      </c>
      <c r="Q146" s="26" t="n">
        <f aca="false">IF(INDEX(Pengaturan!$B$8:$B$27,Q$4)="",0,COUNTIF(Data!$B146:$U146,INDEX(Pengaturan!$B$8:$B$27,Q$4)))</f>
        <v>0</v>
      </c>
      <c r="R146" s="26" t="n">
        <f aca="false">IF(INDEX(Pengaturan!$B$8:$B$27,R$4)="",0,COUNTIF(Data!$B146:$U146,INDEX(Pengaturan!$B$8:$B$27,R$4)))</f>
        <v>0</v>
      </c>
      <c r="S146" s="26" t="n">
        <f aca="false">IF(INDEX(Pengaturan!$B$8:$B$27,S$4)="",0,COUNTIF(Data!$B146:$U146,INDEX(Pengaturan!$B$8:$B$27,S$4)))</f>
        <v>0</v>
      </c>
      <c r="T146" s="26" t="n">
        <f aca="false">IF(INDEX(Pengaturan!$B$8:$B$27,T$4)="",0,COUNTIF(Data!$B146:$U146,INDEX(Pengaturan!$B$8:$B$27,T$4)))</f>
        <v>0</v>
      </c>
      <c r="U146" s="26" t="n">
        <f aca="false">IF(INDEX(Pengaturan!$B$8:$B$27,U$4)="",0,COUNTIF(Data!$B146:$U146,INDEX(Pengaturan!$B$8:$B$27,U$4)))</f>
        <v>0</v>
      </c>
      <c r="V146" s="26" t="n">
        <f aca="false">COUNTA(Data!$B146:$U146)</f>
        <v>0</v>
      </c>
      <c r="W146" s="27" t="str">
        <f aca="false">IF(V146=0,"",IF(V146&lt;&gt;Hasil!$C$4,"Data kosong/tidak lengkap",IF(SUM(B146:U146)&lt;&gt;V146,"Kategori tidak dikenal","OK")))</f>
        <v/>
      </c>
      <c r="X146" s="26" t="n">
        <f aca="false">IF(OR(W146="",W146="OK"),0,1)</f>
        <v>0</v>
      </c>
    </row>
    <row r="147" customFormat="false" ht="15" hidden="false" customHeight="false" outlineLevel="0" collapsed="false">
      <c r="A147" s="26" t="n">
        <f aca="false">Data!A147</f>
        <v>142</v>
      </c>
      <c r="B147" s="26" t="n">
        <f aca="false">IF(INDEX(Pengaturan!$B$8:$B$27,B$4)="",0,COUNTIF(Data!$B147:$U147,INDEX(Pengaturan!$B$8:$B$27,B$4)))</f>
        <v>0</v>
      </c>
      <c r="C147" s="26" t="n">
        <f aca="false">IF(INDEX(Pengaturan!$B$8:$B$27,C$4)="",0,COUNTIF(Data!$B147:$U147,INDEX(Pengaturan!$B$8:$B$27,C$4)))</f>
        <v>0</v>
      </c>
      <c r="D147" s="26" t="n">
        <f aca="false">IF(INDEX(Pengaturan!$B$8:$B$27,D$4)="",0,COUNTIF(Data!$B147:$U147,INDEX(Pengaturan!$B$8:$B$27,D$4)))</f>
        <v>0</v>
      </c>
      <c r="E147" s="26" t="n">
        <f aca="false">IF(INDEX(Pengaturan!$B$8:$B$27,E$4)="",0,COUNTIF(Data!$B147:$U147,INDEX(Pengaturan!$B$8:$B$27,E$4)))</f>
        <v>0</v>
      </c>
      <c r="F147" s="26" t="n">
        <f aca="false">IF(INDEX(Pengaturan!$B$8:$B$27,F$4)="",0,COUNTIF(Data!$B147:$U147,INDEX(Pengaturan!$B$8:$B$27,F$4)))</f>
        <v>0</v>
      </c>
      <c r="G147" s="26" t="n">
        <f aca="false">IF(INDEX(Pengaturan!$B$8:$B$27,G$4)="",0,COUNTIF(Data!$B147:$U147,INDEX(Pengaturan!$B$8:$B$27,G$4)))</f>
        <v>0</v>
      </c>
      <c r="H147" s="26" t="n">
        <f aca="false">IF(INDEX(Pengaturan!$B$8:$B$27,H$4)="",0,COUNTIF(Data!$B147:$U147,INDEX(Pengaturan!$B$8:$B$27,H$4)))</f>
        <v>0</v>
      </c>
      <c r="I147" s="26" t="n">
        <f aca="false">IF(INDEX(Pengaturan!$B$8:$B$27,I$4)="",0,COUNTIF(Data!$B147:$U147,INDEX(Pengaturan!$B$8:$B$27,I$4)))</f>
        <v>0</v>
      </c>
      <c r="J147" s="26" t="n">
        <f aca="false">IF(INDEX(Pengaturan!$B$8:$B$27,J$4)="",0,COUNTIF(Data!$B147:$U147,INDEX(Pengaturan!$B$8:$B$27,J$4)))</f>
        <v>0</v>
      </c>
      <c r="K147" s="26" t="n">
        <f aca="false">IF(INDEX(Pengaturan!$B$8:$B$27,K$4)="",0,COUNTIF(Data!$B147:$U147,INDEX(Pengaturan!$B$8:$B$27,K$4)))</f>
        <v>0</v>
      </c>
      <c r="L147" s="26" t="n">
        <f aca="false">IF(INDEX(Pengaturan!$B$8:$B$27,L$4)="",0,COUNTIF(Data!$B147:$U147,INDEX(Pengaturan!$B$8:$B$27,L$4)))</f>
        <v>0</v>
      </c>
      <c r="M147" s="26" t="n">
        <f aca="false">IF(INDEX(Pengaturan!$B$8:$B$27,M$4)="",0,COUNTIF(Data!$B147:$U147,INDEX(Pengaturan!$B$8:$B$27,M$4)))</f>
        <v>0</v>
      </c>
      <c r="N147" s="26" t="n">
        <f aca="false">IF(INDEX(Pengaturan!$B$8:$B$27,N$4)="",0,COUNTIF(Data!$B147:$U147,INDEX(Pengaturan!$B$8:$B$27,N$4)))</f>
        <v>0</v>
      </c>
      <c r="O147" s="26" t="n">
        <f aca="false">IF(INDEX(Pengaturan!$B$8:$B$27,O$4)="",0,COUNTIF(Data!$B147:$U147,INDEX(Pengaturan!$B$8:$B$27,O$4)))</f>
        <v>0</v>
      </c>
      <c r="P147" s="26" t="n">
        <f aca="false">IF(INDEX(Pengaturan!$B$8:$B$27,P$4)="",0,COUNTIF(Data!$B147:$U147,INDEX(Pengaturan!$B$8:$B$27,P$4)))</f>
        <v>0</v>
      </c>
      <c r="Q147" s="26" t="n">
        <f aca="false">IF(INDEX(Pengaturan!$B$8:$B$27,Q$4)="",0,COUNTIF(Data!$B147:$U147,INDEX(Pengaturan!$B$8:$B$27,Q$4)))</f>
        <v>0</v>
      </c>
      <c r="R147" s="26" t="n">
        <f aca="false">IF(INDEX(Pengaturan!$B$8:$B$27,R$4)="",0,COUNTIF(Data!$B147:$U147,INDEX(Pengaturan!$B$8:$B$27,R$4)))</f>
        <v>0</v>
      </c>
      <c r="S147" s="26" t="n">
        <f aca="false">IF(INDEX(Pengaturan!$B$8:$B$27,S$4)="",0,COUNTIF(Data!$B147:$U147,INDEX(Pengaturan!$B$8:$B$27,S$4)))</f>
        <v>0</v>
      </c>
      <c r="T147" s="26" t="n">
        <f aca="false">IF(INDEX(Pengaturan!$B$8:$B$27,T$4)="",0,COUNTIF(Data!$B147:$U147,INDEX(Pengaturan!$B$8:$B$27,T$4)))</f>
        <v>0</v>
      </c>
      <c r="U147" s="26" t="n">
        <f aca="false">IF(INDEX(Pengaturan!$B$8:$B$27,U$4)="",0,COUNTIF(Data!$B147:$U147,INDEX(Pengaturan!$B$8:$B$27,U$4)))</f>
        <v>0</v>
      </c>
      <c r="V147" s="26" t="n">
        <f aca="false">COUNTA(Data!$B147:$U147)</f>
        <v>0</v>
      </c>
      <c r="W147" s="27" t="str">
        <f aca="false">IF(V147=0,"",IF(V147&lt;&gt;Hasil!$C$4,"Data kosong/tidak lengkap",IF(SUM(B147:U147)&lt;&gt;V147,"Kategori tidak dikenal","OK")))</f>
        <v/>
      </c>
      <c r="X147" s="26" t="n">
        <f aca="false">IF(OR(W147="",W147="OK"),0,1)</f>
        <v>0</v>
      </c>
    </row>
    <row r="148" customFormat="false" ht="15" hidden="false" customHeight="false" outlineLevel="0" collapsed="false">
      <c r="A148" s="26" t="n">
        <f aca="false">Data!A148</f>
        <v>143</v>
      </c>
      <c r="B148" s="26" t="n">
        <f aca="false">IF(INDEX(Pengaturan!$B$8:$B$27,B$4)="",0,COUNTIF(Data!$B148:$U148,INDEX(Pengaturan!$B$8:$B$27,B$4)))</f>
        <v>0</v>
      </c>
      <c r="C148" s="26" t="n">
        <f aca="false">IF(INDEX(Pengaturan!$B$8:$B$27,C$4)="",0,COUNTIF(Data!$B148:$U148,INDEX(Pengaturan!$B$8:$B$27,C$4)))</f>
        <v>0</v>
      </c>
      <c r="D148" s="26" t="n">
        <f aca="false">IF(INDEX(Pengaturan!$B$8:$B$27,D$4)="",0,COUNTIF(Data!$B148:$U148,INDEX(Pengaturan!$B$8:$B$27,D$4)))</f>
        <v>0</v>
      </c>
      <c r="E148" s="26" t="n">
        <f aca="false">IF(INDEX(Pengaturan!$B$8:$B$27,E$4)="",0,COUNTIF(Data!$B148:$U148,INDEX(Pengaturan!$B$8:$B$27,E$4)))</f>
        <v>0</v>
      </c>
      <c r="F148" s="26" t="n">
        <f aca="false">IF(INDEX(Pengaturan!$B$8:$B$27,F$4)="",0,COUNTIF(Data!$B148:$U148,INDEX(Pengaturan!$B$8:$B$27,F$4)))</f>
        <v>0</v>
      </c>
      <c r="G148" s="26" t="n">
        <f aca="false">IF(INDEX(Pengaturan!$B$8:$B$27,G$4)="",0,COUNTIF(Data!$B148:$U148,INDEX(Pengaturan!$B$8:$B$27,G$4)))</f>
        <v>0</v>
      </c>
      <c r="H148" s="26" t="n">
        <f aca="false">IF(INDEX(Pengaturan!$B$8:$B$27,H$4)="",0,COUNTIF(Data!$B148:$U148,INDEX(Pengaturan!$B$8:$B$27,H$4)))</f>
        <v>0</v>
      </c>
      <c r="I148" s="26" t="n">
        <f aca="false">IF(INDEX(Pengaturan!$B$8:$B$27,I$4)="",0,COUNTIF(Data!$B148:$U148,INDEX(Pengaturan!$B$8:$B$27,I$4)))</f>
        <v>0</v>
      </c>
      <c r="J148" s="26" t="n">
        <f aca="false">IF(INDEX(Pengaturan!$B$8:$B$27,J$4)="",0,COUNTIF(Data!$B148:$U148,INDEX(Pengaturan!$B$8:$B$27,J$4)))</f>
        <v>0</v>
      </c>
      <c r="K148" s="26" t="n">
        <f aca="false">IF(INDEX(Pengaturan!$B$8:$B$27,K$4)="",0,COUNTIF(Data!$B148:$U148,INDEX(Pengaturan!$B$8:$B$27,K$4)))</f>
        <v>0</v>
      </c>
      <c r="L148" s="26" t="n">
        <f aca="false">IF(INDEX(Pengaturan!$B$8:$B$27,L$4)="",0,COUNTIF(Data!$B148:$U148,INDEX(Pengaturan!$B$8:$B$27,L$4)))</f>
        <v>0</v>
      </c>
      <c r="M148" s="26" t="n">
        <f aca="false">IF(INDEX(Pengaturan!$B$8:$B$27,M$4)="",0,COUNTIF(Data!$B148:$U148,INDEX(Pengaturan!$B$8:$B$27,M$4)))</f>
        <v>0</v>
      </c>
      <c r="N148" s="26" t="n">
        <f aca="false">IF(INDEX(Pengaturan!$B$8:$B$27,N$4)="",0,COUNTIF(Data!$B148:$U148,INDEX(Pengaturan!$B$8:$B$27,N$4)))</f>
        <v>0</v>
      </c>
      <c r="O148" s="26" t="n">
        <f aca="false">IF(INDEX(Pengaturan!$B$8:$B$27,O$4)="",0,COUNTIF(Data!$B148:$U148,INDEX(Pengaturan!$B$8:$B$27,O$4)))</f>
        <v>0</v>
      </c>
      <c r="P148" s="26" t="n">
        <f aca="false">IF(INDEX(Pengaturan!$B$8:$B$27,P$4)="",0,COUNTIF(Data!$B148:$U148,INDEX(Pengaturan!$B$8:$B$27,P$4)))</f>
        <v>0</v>
      </c>
      <c r="Q148" s="26" t="n">
        <f aca="false">IF(INDEX(Pengaturan!$B$8:$B$27,Q$4)="",0,COUNTIF(Data!$B148:$U148,INDEX(Pengaturan!$B$8:$B$27,Q$4)))</f>
        <v>0</v>
      </c>
      <c r="R148" s="26" t="n">
        <f aca="false">IF(INDEX(Pengaturan!$B$8:$B$27,R$4)="",0,COUNTIF(Data!$B148:$U148,INDEX(Pengaturan!$B$8:$B$27,R$4)))</f>
        <v>0</v>
      </c>
      <c r="S148" s="26" t="n">
        <f aca="false">IF(INDEX(Pengaturan!$B$8:$B$27,S$4)="",0,COUNTIF(Data!$B148:$U148,INDEX(Pengaturan!$B$8:$B$27,S$4)))</f>
        <v>0</v>
      </c>
      <c r="T148" s="26" t="n">
        <f aca="false">IF(INDEX(Pengaturan!$B$8:$B$27,T$4)="",0,COUNTIF(Data!$B148:$U148,INDEX(Pengaturan!$B$8:$B$27,T$4)))</f>
        <v>0</v>
      </c>
      <c r="U148" s="26" t="n">
        <f aca="false">IF(INDEX(Pengaturan!$B$8:$B$27,U$4)="",0,COUNTIF(Data!$B148:$U148,INDEX(Pengaturan!$B$8:$B$27,U$4)))</f>
        <v>0</v>
      </c>
      <c r="V148" s="26" t="n">
        <f aca="false">COUNTA(Data!$B148:$U148)</f>
        <v>0</v>
      </c>
      <c r="W148" s="27" t="str">
        <f aca="false">IF(V148=0,"",IF(V148&lt;&gt;Hasil!$C$4,"Data kosong/tidak lengkap",IF(SUM(B148:U148)&lt;&gt;V148,"Kategori tidak dikenal","OK")))</f>
        <v/>
      </c>
      <c r="X148" s="26" t="n">
        <f aca="false">IF(OR(W148="",W148="OK"),0,1)</f>
        <v>0</v>
      </c>
    </row>
    <row r="149" customFormat="false" ht="15" hidden="false" customHeight="false" outlineLevel="0" collapsed="false">
      <c r="A149" s="26" t="n">
        <f aca="false">Data!A149</f>
        <v>144</v>
      </c>
      <c r="B149" s="26" t="n">
        <f aca="false">IF(INDEX(Pengaturan!$B$8:$B$27,B$4)="",0,COUNTIF(Data!$B149:$U149,INDEX(Pengaturan!$B$8:$B$27,B$4)))</f>
        <v>0</v>
      </c>
      <c r="C149" s="26" t="n">
        <f aca="false">IF(INDEX(Pengaturan!$B$8:$B$27,C$4)="",0,COUNTIF(Data!$B149:$U149,INDEX(Pengaturan!$B$8:$B$27,C$4)))</f>
        <v>0</v>
      </c>
      <c r="D149" s="26" t="n">
        <f aca="false">IF(INDEX(Pengaturan!$B$8:$B$27,D$4)="",0,COUNTIF(Data!$B149:$U149,INDEX(Pengaturan!$B$8:$B$27,D$4)))</f>
        <v>0</v>
      </c>
      <c r="E149" s="26" t="n">
        <f aca="false">IF(INDEX(Pengaturan!$B$8:$B$27,E$4)="",0,COUNTIF(Data!$B149:$U149,INDEX(Pengaturan!$B$8:$B$27,E$4)))</f>
        <v>0</v>
      </c>
      <c r="F149" s="26" t="n">
        <f aca="false">IF(INDEX(Pengaturan!$B$8:$B$27,F$4)="",0,COUNTIF(Data!$B149:$U149,INDEX(Pengaturan!$B$8:$B$27,F$4)))</f>
        <v>0</v>
      </c>
      <c r="G149" s="26" t="n">
        <f aca="false">IF(INDEX(Pengaturan!$B$8:$B$27,G$4)="",0,COUNTIF(Data!$B149:$U149,INDEX(Pengaturan!$B$8:$B$27,G$4)))</f>
        <v>0</v>
      </c>
      <c r="H149" s="26" t="n">
        <f aca="false">IF(INDEX(Pengaturan!$B$8:$B$27,H$4)="",0,COUNTIF(Data!$B149:$U149,INDEX(Pengaturan!$B$8:$B$27,H$4)))</f>
        <v>0</v>
      </c>
      <c r="I149" s="26" t="n">
        <f aca="false">IF(INDEX(Pengaturan!$B$8:$B$27,I$4)="",0,COUNTIF(Data!$B149:$U149,INDEX(Pengaturan!$B$8:$B$27,I$4)))</f>
        <v>0</v>
      </c>
      <c r="J149" s="26" t="n">
        <f aca="false">IF(INDEX(Pengaturan!$B$8:$B$27,J$4)="",0,COUNTIF(Data!$B149:$U149,INDEX(Pengaturan!$B$8:$B$27,J$4)))</f>
        <v>0</v>
      </c>
      <c r="K149" s="26" t="n">
        <f aca="false">IF(INDEX(Pengaturan!$B$8:$B$27,K$4)="",0,COUNTIF(Data!$B149:$U149,INDEX(Pengaturan!$B$8:$B$27,K$4)))</f>
        <v>0</v>
      </c>
      <c r="L149" s="26" t="n">
        <f aca="false">IF(INDEX(Pengaturan!$B$8:$B$27,L$4)="",0,COUNTIF(Data!$B149:$U149,INDEX(Pengaturan!$B$8:$B$27,L$4)))</f>
        <v>0</v>
      </c>
      <c r="M149" s="26" t="n">
        <f aca="false">IF(INDEX(Pengaturan!$B$8:$B$27,M$4)="",0,COUNTIF(Data!$B149:$U149,INDEX(Pengaturan!$B$8:$B$27,M$4)))</f>
        <v>0</v>
      </c>
      <c r="N149" s="26" t="n">
        <f aca="false">IF(INDEX(Pengaturan!$B$8:$B$27,N$4)="",0,COUNTIF(Data!$B149:$U149,INDEX(Pengaturan!$B$8:$B$27,N$4)))</f>
        <v>0</v>
      </c>
      <c r="O149" s="26" t="n">
        <f aca="false">IF(INDEX(Pengaturan!$B$8:$B$27,O$4)="",0,COUNTIF(Data!$B149:$U149,INDEX(Pengaturan!$B$8:$B$27,O$4)))</f>
        <v>0</v>
      </c>
      <c r="P149" s="26" t="n">
        <f aca="false">IF(INDEX(Pengaturan!$B$8:$B$27,P$4)="",0,COUNTIF(Data!$B149:$U149,INDEX(Pengaturan!$B$8:$B$27,P$4)))</f>
        <v>0</v>
      </c>
      <c r="Q149" s="26" t="n">
        <f aca="false">IF(INDEX(Pengaturan!$B$8:$B$27,Q$4)="",0,COUNTIF(Data!$B149:$U149,INDEX(Pengaturan!$B$8:$B$27,Q$4)))</f>
        <v>0</v>
      </c>
      <c r="R149" s="26" t="n">
        <f aca="false">IF(INDEX(Pengaturan!$B$8:$B$27,R$4)="",0,COUNTIF(Data!$B149:$U149,INDEX(Pengaturan!$B$8:$B$27,R$4)))</f>
        <v>0</v>
      </c>
      <c r="S149" s="26" t="n">
        <f aca="false">IF(INDEX(Pengaturan!$B$8:$B$27,S$4)="",0,COUNTIF(Data!$B149:$U149,INDEX(Pengaturan!$B$8:$B$27,S$4)))</f>
        <v>0</v>
      </c>
      <c r="T149" s="26" t="n">
        <f aca="false">IF(INDEX(Pengaturan!$B$8:$B$27,T$4)="",0,COUNTIF(Data!$B149:$U149,INDEX(Pengaturan!$B$8:$B$27,T$4)))</f>
        <v>0</v>
      </c>
      <c r="U149" s="26" t="n">
        <f aca="false">IF(INDEX(Pengaturan!$B$8:$B$27,U$4)="",0,COUNTIF(Data!$B149:$U149,INDEX(Pengaturan!$B$8:$B$27,U$4)))</f>
        <v>0</v>
      </c>
      <c r="V149" s="26" t="n">
        <f aca="false">COUNTA(Data!$B149:$U149)</f>
        <v>0</v>
      </c>
      <c r="W149" s="27" t="str">
        <f aca="false">IF(V149=0,"",IF(V149&lt;&gt;Hasil!$C$4,"Data kosong/tidak lengkap",IF(SUM(B149:U149)&lt;&gt;V149,"Kategori tidak dikenal","OK")))</f>
        <v/>
      </c>
      <c r="X149" s="26" t="n">
        <f aca="false">IF(OR(W149="",W149="OK"),0,1)</f>
        <v>0</v>
      </c>
    </row>
    <row r="150" customFormat="false" ht="15" hidden="false" customHeight="false" outlineLevel="0" collapsed="false">
      <c r="A150" s="26" t="n">
        <f aca="false">Data!A150</f>
        <v>145</v>
      </c>
      <c r="B150" s="26" t="n">
        <f aca="false">IF(INDEX(Pengaturan!$B$8:$B$27,B$4)="",0,COUNTIF(Data!$B150:$U150,INDEX(Pengaturan!$B$8:$B$27,B$4)))</f>
        <v>0</v>
      </c>
      <c r="C150" s="26" t="n">
        <f aca="false">IF(INDEX(Pengaturan!$B$8:$B$27,C$4)="",0,COUNTIF(Data!$B150:$U150,INDEX(Pengaturan!$B$8:$B$27,C$4)))</f>
        <v>0</v>
      </c>
      <c r="D150" s="26" t="n">
        <f aca="false">IF(INDEX(Pengaturan!$B$8:$B$27,D$4)="",0,COUNTIF(Data!$B150:$U150,INDEX(Pengaturan!$B$8:$B$27,D$4)))</f>
        <v>0</v>
      </c>
      <c r="E150" s="26" t="n">
        <f aca="false">IF(INDEX(Pengaturan!$B$8:$B$27,E$4)="",0,COUNTIF(Data!$B150:$U150,INDEX(Pengaturan!$B$8:$B$27,E$4)))</f>
        <v>0</v>
      </c>
      <c r="F150" s="26" t="n">
        <f aca="false">IF(INDEX(Pengaturan!$B$8:$B$27,F$4)="",0,COUNTIF(Data!$B150:$U150,INDEX(Pengaturan!$B$8:$B$27,F$4)))</f>
        <v>0</v>
      </c>
      <c r="G150" s="26" t="n">
        <f aca="false">IF(INDEX(Pengaturan!$B$8:$B$27,G$4)="",0,COUNTIF(Data!$B150:$U150,INDEX(Pengaturan!$B$8:$B$27,G$4)))</f>
        <v>0</v>
      </c>
      <c r="H150" s="26" t="n">
        <f aca="false">IF(INDEX(Pengaturan!$B$8:$B$27,H$4)="",0,COUNTIF(Data!$B150:$U150,INDEX(Pengaturan!$B$8:$B$27,H$4)))</f>
        <v>0</v>
      </c>
      <c r="I150" s="26" t="n">
        <f aca="false">IF(INDEX(Pengaturan!$B$8:$B$27,I$4)="",0,COUNTIF(Data!$B150:$U150,INDEX(Pengaturan!$B$8:$B$27,I$4)))</f>
        <v>0</v>
      </c>
      <c r="J150" s="26" t="n">
        <f aca="false">IF(INDEX(Pengaturan!$B$8:$B$27,J$4)="",0,COUNTIF(Data!$B150:$U150,INDEX(Pengaturan!$B$8:$B$27,J$4)))</f>
        <v>0</v>
      </c>
      <c r="K150" s="26" t="n">
        <f aca="false">IF(INDEX(Pengaturan!$B$8:$B$27,K$4)="",0,COUNTIF(Data!$B150:$U150,INDEX(Pengaturan!$B$8:$B$27,K$4)))</f>
        <v>0</v>
      </c>
      <c r="L150" s="26" t="n">
        <f aca="false">IF(INDEX(Pengaturan!$B$8:$B$27,L$4)="",0,COUNTIF(Data!$B150:$U150,INDEX(Pengaturan!$B$8:$B$27,L$4)))</f>
        <v>0</v>
      </c>
      <c r="M150" s="26" t="n">
        <f aca="false">IF(INDEX(Pengaturan!$B$8:$B$27,M$4)="",0,COUNTIF(Data!$B150:$U150,INDEX(Pengaturan!$B$8:$B$27,M$4)))</f>
        <v>0</v>
      </c>
      <c r="N150" s="26" t="n">
        <f aca="false">IF(INDEX(Pengaturan!$B$8:$B$27,N$4)="",0,COUNTIF(Data!$B150:$U150,INDEX(Pengaturan!$B$8:$B$27,N$4)))</f>
        <v>0</v>
      </c>
      <c r="O150" s="26" t="n">
        <f aca="false">IF(INDEX(Pengaturan!$B$8:$B$27,O$4)="",0,COUNTIF(Data!$B150:$U150,INDEX(Pengaturan!$B$8:$B$27,O$4)))</f>
        <v>0</v>
      </c>
      <c r="P150" s="26" t="n">
        <f aca="false">IF(INDEX(Pengaturan!$B$8:$B$27,P$4)="",0,COUNTIF(Data!$B150:$U150,INDEX(Pengaturan!$B$8:$B$27,P$4)))</f>
        <v>0</v>
      </c>
      <c r="Q150" s="26" t="n">
        <f aca="false">IF(INDEX(Pengaturan!$B$8:$B$27,Q$4)="",0,COUNTIF(Data!$B150:$U150,INDEX(Pengaturan!$B$8:$B$27,Q$4)))</f>
        <v>0</v>
      </c>
      <c r="R150" s="26" t="n">
        <f aca="false">IF(INDEX(Pengaturan!$B$8:$B$27,R$4)="",0,COUNTIF(Data!$B150:$U150,INDEX(Pengaturan!$B$8:$B$27,R$4)))</f>
        <v>0</v>
      </c>
      <c r="S150" s="26" t="n">
        <f aca="false">IF(INDEX(Pengaturan!$B$8:$B$27,S$4)="",0,COUNTIF(Data!$B150:$U150,INDEX(Pengaturan!$B$8:$B$27,S$4)))</f>
        <v>0</v>
      </c>
      <c r="T150" s="26" t="n">
        <f aca="false">IF(INDEX(Pengaturan!$B$8:$B$27,T$4)="",0,COUNTIF(Data!$B150:$U150,INDEX(Pengaturan!$B$8:$B$27,T$4)))</f>
        <v>0</v>
      </c>
      <c r="U150" s="26" t="n">
        <f aca="false">IF(INDEX(Pengaturan!$B$8:$B$27,U$4)="",0,COUNTIF(Data!$B150:$U150,INDEX(Pengaturan!$B$8:$B$27,U$4)))</f>
        <v>0</v>
      </c>
      <c r="V150" s="26" t="n">
        <f aca="false">COUNTA(Data!$B150:$U150)</f>
        <v>0</v>
      </c>
      <c r="W150" s="27" t="str">
        <f aca="false">IF(V150=0,"",IF(V150&lt;&gt;Hasil!$C$4,"Data kosong/tidak lengkap",IF(SUM(B150:U150)&lt;&gt;V150,"Kategori tidak dikenal","OK")))</f>
        <v/>
      </c>
      <c r="X150" s="26" t="n">
        <f aca="false">IF(OR(W150="",W150="OK"),0,1)</f>
        <v>0</v>
      </c>
    </row>
    <row r="151" customFormat="false" ht="15" hidden="false" customHeight="false" outlineLevel="0" collapsed="false">
      <c r="A151" s="26" t="n">
        <f aca="false">Data!A151</f>
        <v>146</v>
      </c>
      <c r="B151" s="26" t="n">
        <f aca="false">IF(INDEX(Pengaturan!$B$8:$B$27,B$4)="",0,COUNTIF(Data!$B151:$U151,INDEX(Pengaturan!$B$8:$B$27,B$4)))</f>
        <v>0</v>
      </c>
      <c r="C151" s="26" t="n">
        <f aca="false">IF(INDEX(Pengaturan!$B$8:$B$27,C$4)="",0,COUNTIF(Data!$B151:$U151,INDEX(Pengaturan!$B$8:$B$27,C$4)))</f>
        <v>0</v>
      </c>
      <c r="D151" s="26" t="n">
        <f aca="false">IF(INDEX(Pengaturan!$B$8:$B$27,D$4)="",0,COUNTIF(Data!$B151:$U151,INDEX(Pengaturan!$B$8:$B$27,D$4)))</f>
        <v>0</v>
      </c>
      <c r="E151" s="26" t="n">
        <f aca="false">IF(INDEX(Pengaturan!$B$8:$B$27,E$4)="",0,COUNTIF(Data!$B151:$U151,INDEX(Pengaturan!$B$8:$B$27,E$4)))</f>
        <v>0</v>
      </c>
      <c r="F151" s="26" t="n">
        <f aca="false">IF(INDEX(Pengaturan!$B$8:$B$27,F$4)="",0,COUNTIF(Data!$B151:$U151,INDEX(Pengaturan!$B$8:$B$27,F$4)))</f>
        <v>0</v>
      </c>
      <c r="G151" s="26" t="n">
        <f aca="false">IF(INDEX(Pengaturan!$B$8:$B$27,G$4)="",0,COUNTIF(Data!$B151:$U151,INDEX(Pengaturan!$B$8:$B$27,G$4)))</f>
        <v>0</v>
      </c>
      <c r="H151" s="26" t="n">
        <f aca="false">IF(INDEX(Pengaturan!$B$8:$B$27,H$4)="",0,COUNTIF(Data!$B151:$U151,INDEX(Pengaturan!$B$8:$B$27,H$4)))</f>
        <v>0</v>
      </c>
      <c r="I151" s="26" t="n">
        <f aca="false">IF(INDEX(Pengaturan!$B$8:$B$27,I$4)="",0,COUNTIF(Data!$B151:$U151,INDEX(Pengaturan!$B$8:$B$27,I$4)))</f>
        <v>0</v>
      </c>
      <c r="J151" s="26" t="n">
        <f aca="false">IF(INDEX(Pengaturan!$B$8:$B$27,J$4)="",0,COUNTIF(Data!$B151:$U151,INDEX(Pengaturan!$B$8:$B$27,J$4)))</f>
        <v>0</v>
      </c>
      <c r="K151" s="26" t="n">
        <f aca="false">IF(INDEX(Pengaturan!$B$8:$B$27,K$4)="",0,COUNTIF(Data!$B151:$U151,INDEX(Pengaturan!$B$8:$B$27,K$4)))</f>
        <v>0</v>
      </c>
      <c r="L151" s="26" t="n">
        <f aca="false">IF(INDEX(Pengaturan!$B$8:$B$27,L$4)="",0,COUNTIF(Data!$B151:$U151,INDEX(Pengaturan!$B$8:$B$27,L$4)))</f>
        <v>0</v>
      </c>
      <c r="M151" s="26" t="n">
        <f aca="false">IF(INDEX(Pengaturan!$B$8:$B$27,M$4)="",0,COUNTIF(Data!$B151:$U151,INDEX(Pengaturan!$B$8:$B$27,M$4)))</f>
        <v>0</v>
      </c>
      <c r="N151" s="26" t="n">
        <f aca="false">IF(INDEX(Pengaturan!$B$8:$B$27,N$4)="",0,COUNTIF(Data!$B151:$U151,INDEX(Pengaturan!$B$8:$B$27,N$4)))</f>
        <v>0</v>
      </c>
      <c r="O151" s="26" t="n">
        <f aca="false">IF(INDEX(Pengaturan!$B$8:$B$27,O$4)="",0,COUNTIF(Data!$B151:$U151,INDEX(Pengaturan!$B$8:$B$27,O$4)))</f>
        <v>0</v>
      </c>
      <c r="P151" s="26" t="n">
        <f aca="false">IF(INDEX(Pengaturan!$B$8:$B$27,P$4)="",0,COUNTIF(Data!$B151:$U151,INDEX(Pengaturan!$B$8:$B$27,P$4)))</f>
        <v>0</v>
      </c>
      <c r="Q151" s="26" t="n">
        <f aca="false">IF(INDEX(Pengaturan!$B$8:$B$27,Q$4)="",0,COUNTIF(Data!$B151:$U151,INDEX(Pengaturan!$B$8:$B$27,Q$4)))</f>
        <v>0</v>
      </c>
      <c r="R151" s="26" t="n">
        <f aca="false">IF(INDEX(Pengaturan!$B$8:$B$27,R$4)="",0,COUNTIF(Data!$B151:$U151,INDEX(Pengaturan!$B$8:$B$27,R$4)))</f>
        <v>0</v>
      </c>
      <c r="S151" s="26" t="n">
        <f aca="false">IF(INDEX(Pengaturan!$B$8:$B$27,S$4)="",0,COUNTIF(Data!$B151:$U151,INDEX(Pengaturan!$B$8:$B$27,S$4)))</f>
        <v>0</v>
      </c>
      <c r="T151" s="26" t="n">
        <f aca="false">IF(INDEX(Pengaturan!$B$8:$B$27,T$4)="",0,COUNTIF(Data!$B151:$U151,INDEX(Pengaturan!$B$8:$B$27,T$4)))</f>
        <v>0</v>
      </c>
      <c r="U151" s="26" t="n">
        <f aca="false">IF(INDEX(Pengaturan!$B$8:$B$27,U$4)="",0,COUNTIF(Data!$B151:$U151,INDEX(Pengaturan!$B$8:$B$27,U$4)))</f>
        <v>0</v>
      </c>
      <c r="V151" s="26" t="n">
        <f aca="false">COUNTA(Data!$B151:$U151)</f>
        <v>0</v>
      </c>
      <c r="W151" s="27" t="str">
        <f aca="false">IF(V151=0,"",IF(V151&lt;&gt;Hasil!$C$4,"Data kosong/tidak lengkap",IF(SUM(B151:U151)&lt;&gt;V151,"Kategori tidak dikenal","OK")))</f>
        <v/>
      </c>
      <c r="X151" s="26" t="n">
        <f aca="false">IF(OR(W151="",W151="OK"),0,1)</f>
        <v>0</v>
      </c>
    </row>
    <row r="152" customFormat="false" ht="15" hidden="false" customHeight="false" outlineLevel="0" collapsed="false">
      <c r="A152" s="26" t="n">
        <f aca="false">Data!A152</f>
        <v>147</v>
      </c>
      <c r="B152" s="26" t="n">
        <f aca="false">IF(INDEX(Pengaturan!$B$8:$B$27,B$4)="",0,COUNTIF(Data!$B152:$U152,INDEX(Pengaturan!$B$8:$B$27,B$4)))</f>
        <v>0</v>
      </c>
      <c r="C152" s="26" t="n">
        <f aca="false">IF(INDEX(Pengaturan!$B$8:$B$27,C$4)="",0,COUNTIF(Data!$B152:$U152,INDEX(Pengaturan!$B$8:$B$27,C$4)))</f>
        <v>0</v>
      </c>
      <c r="D152" s="26" t="n">
        <f aca="false">IF(INDEX(Pengaturan!$B$8:$B$27,D$4)="",0,COUNTIF(Data!$B152:$U152,INDEX(Pengaturan!$B$8:$B$27,D$4)))</f>
        <v>0</v>
      </c>
      <c r="E152" s="26" t="n">
        <f aca="false">IF(INDEX(Pengaturan!$B$8:$B$27,E$4)="",0,COUNTIF(Data!$B152:$U152,INDEX(Pengaturan!$B$8:$B$27,E$4)))</f>
        <v>0</v>
      </c>
      <c r="F152" s="26" t="n">
        <f aca="false">IF(INDEX(Pengaturan!$B$8:$B$27,F$4)="",0,COUNTIF(Data!$B152:$U152,INDEX(Pengaturan!$B$8:$B$27,F$4)))</f>
        <v>0</v>
      </c>
      <c r="G152" s="26" t="n">
        <f aca="false">IF(INDEX(Pengaturan!$B$8:$B$27,G$4)="",0,COUNTIF(Data!$B152:$U152,INDEX(Pengaturan!$B$8:$B$27,G$4)))</f>
        <v>0</v>
      </c>
      <c r="H152" s="26" t="n">
        <f aca="false">IF(INDEX(Pengaturan!$B$8:$B$27,H$4)="",0,COUNTIF(Data!$B152:$U152,INDEX(Pengaturan!$B$8:$B$27,H$4)))</f>
        <v>0</v>
      </c>
      <c r="I152" s="26" t="n">
        <f aca="false">IF(INDEX(Pengaturan!$B$8:$B$27,I$4)="",0,COUNTIF(Data!$B152:$U152,INDEX(Pengaturan!$B$8:$B$27,I$4)))</f>
        <v>0</v>
      </c>
      <c r="J152" s="26" t="n">
        <f aca="false">IF(INDEX(Pengaturan!$B$8:$B$27,J$4)="",0,COUNTIF(Data!$B152:$U152,INDEX(Pengaturan!$B$8:$B$27,J$4)))</f>
        <v>0</v>
      </c>
      <c r="K152" s="26" t="n">
        <f aca="false">IF(INDEX(Pengaturan!$B$8:$B$27,K$4)="",0,COUNTIF(Data!$B152:$U152,INDEX(Pengaturan!$B$8:$B$27,K$4)))</f>
        <v>0</v>
      </c>
      <c r="L152" s="26" t="n">
        <f aca="false">IF(INDEX(Pengaturan!$B$8:$B$27,L$4)="",0,COUNTIF(Data!$B152:$U152,INDEX(Pengaturan!$B$8:$B$27,L$4)))</f>
        <v>0</v>
      </c>
      <c r="M152" s="26" t="n">
        <f aca="false">IF(INDEX(Pengaturan!$B$8:$B$27,M$4)="",0,COUNTIF(Data!$B152:$U152,INDEX(Pengaturan!$B$8:$B$27,M$4)))</f>
        <v>0</v>
      </c>
      <c r="N152" s="26" t="n">
        <f aca="false">IF(INDEX(Pengaturan!$B$8:$B$27,N$4)="",0,COUNTIF(Data!$B152:$U152,INDEX(Pengaturan!$B$8:$B$27,N$4)))</f>
        <v>0</v>
      </c>
      <c r="O152" s="26" t="n">
        <f aca="false">IF(INDEX(Pengaturan!$B$8:$B$27,O$4)="",0,COUNTIF(Data!$B152:$U152,INDEX(Pengaturan!$B$8:$B$27,O$4)))</f>
        <v>0</v>
      </c>
      <c r="P152" s="26" t="n">
        <f aca="false">IF(INDEX(Pengaturan!$B$8:$B$27,P$4)="",0,COUNTIF(Data!$B152:$U152,INDEX(Pengaturan!$B$8:$B$27,P$4)))</f>
        <v>0</v>
      </c>
      <c r="Q152" s="26" t="n">
        <f aca="false">IF(INDEX(Pengaturan!$B$8:$B$27,Q$4)="",0,COUNTIF(Data!$B152:$U152,INDEX(Pengaturan!$B$8:$B$27,Q$4)))</f>
        <v>0</v>
      </c>
      <c r="R152" s="26" t="n">
        <f aca="false">IF(INDEX(Pengaturan!$B$8:$B$27,R$4)="",0,COUNTIF(Data!$B152:$U152,INDEX(Pengaturan!$B$8:$B$27,R$4)))</f>
        <v>0</v>
      </c>
      <c r="S152" s="26" t="n">
        <f aca="false">IF(INDEX(Pengaturan!$B$8:$B$27,S$4)="",0,COUNTIF(Data!$B152:$U152,INDEX(Pengaturan!$B$8:$B$27,S$4)))</f>
        <v>0</v>
      </c>
      <c r="T152" s="26" t="n">
        <f aca="false">IF(INDEX(Pengaturan!$B$8:$B$27,T$4)="",0,COUNTIF(Data!$B152:$U152,INDEX(Pengaturan!$B$8:$B$27,T$4)))</f>
        <v>0</v>
      </c>
      <c r="U152" s="26" t="n">
        <f aca="false">IF(INDEX(Pengaturan!$B$8:$B$27,U$4)="",0,COUNTIF(Data!$B152:$U152,INDEX(Pengaturan!$B$8:$B$27,U$4)))</f>
        <v>0</v>
      </c>
      <c r="V152" s="26" t="n">
        <f aca="false">COUNTA(Data!$B152:$U152)</f>
        <v>0</v>
      </c>
      <c r="W152" s="27" t="str">
        <f aca="false">IF(V152=0,"",IF(V152&lt;&gt;Hasil!$C$4,"Data kosong/tidak lengkap",IF(SUM(B152:U152)&lt;&gt;V152,"Kategori tidak dikenal","OK")))</f>
        <v/>
      </c>
      <c r="X152" s="26" t="n">
        <f aca="false">IF(OR(W152="",W152="OK"),0,1)</f>
        <v>0</v>
      </c>
    </row>
    <row r="153" customFormat="false" ht="15" hidden="false" customHeight="false" outlineLevel="0" collapsed="false">
      <c r="A153" s="26" t="n">
        <f aca="false">Data!A153</f>
        <v>148</v>
      </c>
      <c r="B153" s="26" t="n">
        <f aca="false">IF(INDEX(Pengaturan!$B$8:$B$27,B$4)="",0,COUNTIF(Data!$B153:$U153,INDEX(Pengaturan!$B$8:$B$27,B$4)))</f>
        <v>0</v>
      </c>
      <c r="C153" s="26" t="n">
        <f aca="false">IF(INDEX(Pengaturan!$B$8:$B$27,C$4)="",0,COUNTIF(Data!$B153:$U153,INDEX(Pengaturan!$B$8:$B$27,C$4)))</f>
        <v>0</v>
      </c>
      <c r="D153" s="26" t="n">
        <f aca="false">IF(INDEX(Pengaturan!$B$8:$B$27,D$4)="",0,COUNTIF(Data!$B153:$U153,INDEX(Pengaturan!$B$8:$B$27,D$4)))</f>
        <v>0</v>
      </c>
      <c r="E153" s="26" t="n">
        <f aca="false">IF(INDEX(Pengaturan!$B$8:$B$27,E$4)="",0,COUNTIF(Data!$B153:$U153,INDEX(Pengaturan!$B$8:$B$27,E$4)))</f>
        <v>0</v>
      </c>
      <c r="F153" s="26" t="n">
        <f aca="false">IF(INDEX(Pengaturan!$B$8:$B$27,F$4)="",0,COUNTIF(Data!$B153:$U153,INDEX(Pengaturan!$B$8:$B$27,F$4)))</f>
        <v>0</v>
      </c>
      <c r="G153" s="26" t="n">
        <f aca="false">IF(INDEX(Pengaturan!$B$8:$B$27,G$4)="",0,COUNTIF(Data!$B153:$U153,INDEX(Pengaturan!$B$8:$B$27,G$4)))</f>
        <v>0</v>
      </c>
      <c r="H153" s="26" t="n">
        <f aca="false">IF(INDEX(Pengaturan!$B$8:$B$27,H$4)="",0,COUNTIF(Data!$B153:$U153,INDEX(Pengaturan!$B$8:$B$27,H$4)))</f>
        <v>0</v>
      </c>
      <c r="I153" s="26" t="n">
        <f aca="false">IF(INDEX(Pengaturan!$B$8:$B$27,I$4)="",0,COUNTIF(Data!$B153:$U153,INDEX(Pengaturan!$B$8:$B$27,I$4)))</f>
        <v>0</v>
      </c>
      <c r="J153" s="26" t="n">
        <f aca="false">IF(INDEX(Pengaturan!$B$8:$B$27,J$4)="",0,COUNTIF(Data!$B153:$U153,INDEX(Pengaturan!$B$8:$B$27,J$4)))</f>
        <v>0</v>
      </c>
      <c r="K153" s="26" t="n">
        <f aca="false">IF(INDEX(Pengaturan!$B$8:$B$27,K$4)="",0,COUNTIF(Data!$B153:$U153,INDEX(Pengaturan!$B$8:$B$27,K$4)))</f>
        <v>0</v>
      </c>
      <c r="L153" s="26" t="n">
        <f aca="false">IF(INDEX(Pengaturan!$B$8:$B$27,L$4)="",0,COUNTIF(Data!$B153:$U153,INDEX(Pengaturan!$B$8:$B$27,L$4)))</f>
        <v>0</v>
      </c>
      <c r="M153" s="26" t="n">
        <f aca="false">IF(INDEX(Pengaturan!$B$8:$B$27,M$4)="",0,COUNTIF(Data!$B153:$U153,INDEX(Pengaturan!$B$8:$B$27,M$4)))</f>
        <v>0</v>
      </c>
      <c r="N153" s="26" t="n">
        <f aca="false">IF(INDEX(Pengaturan!$B$8:$B$27,N$4)="",0,COUNTIF(Data!$B153:$U153,INDEX(Pengaturan!$B$8:$B$27,N$4)))</f>
        <v>0</v>
      </c>
      <c r="O153" s="26" t="n">
        <f aca="false">IF(INDEX(Pengaturan!$B$8:$B$27,O$4)="",0,COUNTIF(Data!$B153:$U153,INDEX(Pengaturan!$B$8:$B$27,O$4)))</f>
        <v>0</v>
      </c>
      <c r="P153" s="26" t="n">
        <f aca="false">IF(INDEX(Pengaturan!$B$8:$B$27,P$4)="",0,COUNTIF(Data!$B153:$U153,INDEX(Pengaturan!$B$8:$B$27,P$4)))</f>
        <v>0</v>
      </c>
      <c r="Q153" s="26" t="n">
        <f aca="false">IF(INDEX(Pengaturan!$B$8:$B$27,Q$4)="",0,COUNTIF(Data!$B153:$U153,INDEX(Pengaturan!$B$8:$B$27,Q$4)))</f>
        <v>0</v>
      </c>
      <c r="R153" s="26" t="n">
        <f aca="false">IF(INDEX(Pengaturan!$B$8:$B$27,R$4)="",0,COUNTIF(Data!$B153:$U153,INDEX(Pengaturan!$B$8:$B$27,R$4)))</f>
        <v>0</v>
      </c>
      <c r="S153" s="26" t="n">
        <f aca="false">IF(INDEX(Pengaturan!$B$8:$B$27,S$4)="",0,COUNTIF(Data!$B153:$U153,INDEX(Pengaturan!$B$8:$B$27,S$4)))</f>
        <v>0</v>
      </c>
      <c r="T153" s="26" t="n">
        <f aca="false">IF(INDEX(Pengaturan!$B$8:$B$27,T$4)="",0,COUNTIF(Data!$B153:$U153,INDEX(Pengaturan!$B$8:$B$27,T$4)))</f>
        <v>0</v>
      </c>
      <c r="U153" s="26" t="n">
        <f aca="false">IF(INDEX(Pengaturan!$B$8:$B$27,U$4)="",0,COUNTIF(Data!$B153:$U153,INDEX(Pengaturan!$B$8:$B$27,U$4)))</f>
        <v>0</v>
      </c>
      <c r="V153" s="26" t="n">
        <f aca="false">COUNTA(Data!$B153:$U153)</f>
        <v>0</v>
      </c>
      <c r="W153" s="27" t="str">
        <f aca="false">IF(V153=0,"",IF(V153&lt;&gt;Hasil!$C$4,"Data kosong/tidak lengkap",IF(SUM(B153:U153)&lt;&gt;V153,"Kategori tidak dikenal","OK")))</f>
        <v/>
      </c>
      <c r="X153" s="26" t="n">
        <f aca="false">IF(OR(W153="",W153="OK"),0,1)</f>
        <v>0</v>
      </c>
    </row>
    <row r="154" customFormat="false" ht="15" hidden="false" customHeight="false" outlineLevel="0" collapsed="false">
      <c r="A154" s="26" t="n">
        <f aca="false">Data!A154</f>
        <v>149</v>
      </c>
      <c r="B154" s="26" t="n">
        <f aca="false">IF(INDEX(Pengaturan!$B$8:$B$27,B$4)="",0,COUNTIF(Data!$B154:$U154,INDEX(Pengaturan!$B$8:$B$27,B$4)))</f>
        <v>0</v>
      </c>
      <c r="C154" s="26" t="n">
        <f aca="false">IF(INDEX(Pengaturan!$B$8:$B$27,C$4)="",0,COUNTIF(Data!$B154:$U154,INDEX(Pengaturan!$B$8:$B$27,C$4)))</f>
        <v>0</v>
      </c>
      <c r="D154" s="26" t="n">
        <f aca="false">IF(INDEX(Pengaturan!$B$8:$B$27,D$4)="",0,COUNTIF(Data!$B154:$U154,INDEX(Pengaturan!$B$8:$B$27,D$4)))</f>
        <v>0</v>
      </c>
      <c r="E154" s="26" t="n">
        <f aca="false">IF(INDEX(Pengaturan!$B$8:$B$27,E$4)="",0,COUNTIF(Data!$B154:$U154,INDEX(Pengaturan!$B$8:$B$27,E$4)))</f>
        <v>0</v>
      </c>
      <c r="F154" s="26" t="n">
        <f aca="false">IF(INDEX(Pengaturan!$B$8:$B$27,F$4)="",0,COUNTIF(Data!$B154:$U154,INDEX(Pengaturan!$B$8:$B$27,F$4)))</f>
        <v>0</v>
      </c>
      <c r="G154" s="26" t="n">
        <f aca="false">IF(INDEX(Pengaturan!$B$8:$B$27,G$4)="",0,COUNTIF(Data!$B154:$U154,INDEX(Pengaturan!$B$8:$B$27,G$4)))</f>
        <v>0</v>
      </c>
      <c r="H154" s="26" t="n">
        <f aca="false">IF(INDEX(Pengaturan!$B$8:$B$27,H$4)="",0,COUNTIF(Data!$B154:$U154,INDEX(Pengaturan!$B$8:$B$27,H$4)))</f>
        <v>0</v>
      </c>
      <c r="I154" s="26" t="n">
        <f aca="false">IF(INDEX(Pengaturan!$B$8:$B$27,I$4)="",0,COUNTIF(Data!$B154:$U154,INDEX(Pengaturan!$B$8:$B$27,I$4)))</f>
        <v>0</v>
      </c>
      <c r="J154" s="26" t="n">
        <f aca="false">IF(INDEX(Pengaturan!$B$8:$B$27,J$4)="",0,COUNTIF(Data!$B154:$U154,INDEX(Pengaturan!$B$8:$B$27,J$4)))</f>
        <v>0</v>
      </c>
      <c r="K154" s="26" t="n">
        <f aca="false">IF(INDEX(Pengaturan!$B$8:$B$27,K$4)="",0,COUNTIF(Data!$B154:$U154,INDEX(Pengaturan!$B$8:$B$27,K$4)))</f>
        <v>0</v>
      </c>
      <c r="L154" s="26" t="n">
        <f aca="false">IF(INDEX(Pengaturan!$B$8:$B$27,L$4)="",0,COUNTIF(Data!$B154:$U154,INDEX(Pengaturan!$B$8:$B$27,L$4)))</f>
        <v>0</v>
      </c>
      <c r="M154" s="26" t="n">
        <f aca="false">IF(INDEX(Pengaturan!$B$8:$B$27,M$4)="",0,COUNTIF(Data!$B154:$U154,INDEX(Pengaturan!$B$8:$B$27,M$4)))</f>
        <v>0</v>
      </c>
      <c r="N154" s="26" t="n">
        <f aca="false">IF(INDEX(Pengaturan!$B$8:$B$27,N$4)="",0,COUNTIF(Data!$B154:$U154,INDEX(Pengaturan!$B$8:$B$27,N$4)))</f>
        <v>0</v>
      </c>
      <c r="O154" s="26" t="n">
        <f aca="false">IF(INDEX(Pengaturan!$B$8:$B$27,O$4)="",0,COUNTIF(Data!$B154:$U154,INDEX(Pengaturan!$B$8:$B$27,O$4)))</f>
        <v>0</v>
      </c>
      <c r="P154" s="26" t="n">
        <f aca="false">IF(INDEX(Pengaturan!$B$8:$B$27,P$4)="",0,COUNTIF(Data!$B154:$U154,INDEX(Pengaturan!$B$8:$B$27,P$4)))</f>
        <v>0</v>
      </c>
      <c r="Q154" s="26" t="n">
        <f aca="false">IF(INDEX(Pengaturan!$B$8:$B$27,Q$4)="",0,COUNTIF(Data!$B154:$U154,INDEX(Pengaturan!$B$8:$B$27,Q$4)))</f>
        <v>0</v>
      </c>
      <c r="R154" s="26" t="n">
        <f aca="false">IF(INDEX(Pengaturan!$B$8:$B$27,R$4)="",0,COUNTIF(Data!$B154:$U154,INDEX(Pengaturan!$B$8:$B$27,R$4)))</f>
        <v>0</v>
      </c>
      <c r="S154" s="26" t="n">
        <f aca="false">IF(INDEX(Pengaturan!$B$8:$B$27,S$4)="",0,COUNTIF(Data!$B154:$U154,INDEX(Pengaturan!$B$8:$B$27,S$4)))</f>
        <v>0</v>
      </c>
      <c r="T154" s="26" t="n">
        <f aca="false">IF(INDEX(Pengaturan!$B$8:$B$27,T$4)="",0,COUNTIF(Data!$B154:$U154,INDEX(Pengaturan!$B$8:$B$27,T$4)))</f>
        <v>0</v>
      </c>
      <c r="U154" s="26" t="n">
        <f aca="false">IF(INDEX(Pengaturan!$B$8:$B$27,U$4)="",0,COUNTIF(Data!$B154:$U154,INDEX(Pengaturan!$B$8:$B$27,U$4)))</f>
        <v>0</v>
      </c>
      <c r="V154" s="26" t="n">
        <f aca="false">COUNTA(Data!$B154:$U154)</f>
        <v>0</v>
      </c>
      <c r="W154" s="27" t="str">
        <f aca="false">IF(V154=0,"",IF(V154&lt;&gt;Hasil!$C$4,"Data kosong/tidak lengkap",IF(SUM(B154:U154)&lt;&gt;V154,"Kategori tidak dikenal","OK")))</f>
        <v/>
      </c>
      <c r="X154" s="26" t="n">
        <f aca="false">IF(OR(W154="",W154="OK"),0,1)</f>
        <v>0</v>
      </c>
    </row>
    <row r="155" customFormat="false" ht="15" hidden="false" customHeight="false" outlineLevel="0" collapsed="false">
      <c r="A155" s="26" t="n">
        <f aca="false">Data!A155</f>
        <v>150</v>
      </c>
      <c r="B155" s="26" t="n">
        <f aca="false">IF(INDEX(Pengaturan!$B$8:$B$27,B$4)="",0,COUNTIF(Data!$B155:$U155,INDEX(Pengaturan!$B$8:$B$27,B$4)))</f>
        <v>0</v>
      </c>
      <c r="C155" s="26" t="n">
        <f aca="false">IF(INDEX(Pengaturan!$B$8:$B$27,C$4)="",0,COUNTIF(Data!$B155:$U155,INDEX(Pengaturan!$B$8:$B$27,C$4)))</f>
        <v>0</v>
      </c>
      <c r="D155" s="26" t="n">
        <f aca="false">IF(INDEX(Pengaturan!$B$8:$B$27,D$4)="",0,COUNTIF(Data!$B155:$U155,INDEX(Pengaturan!$B$8:$B$27,D$4)))</f>
        <v>0</v>
      </c>
      <c r="E155" s="26" t="n">
        <f aca="false">IF(INDEX(Pengaturan!$B$8:$B$27,E$4)="",0,COUNTIF(Data!$B155:$U155,INDEX(Pengaturan!$B$8:$B$27,E$4)))</f>
        <v>0</v>
      </c>
      <c r="F155" s="26" t="n">
        <f aca="false">IF(INDEX(Pengaturan!$B$8:$B$27,F$4)="",0,COUNTIF(Data!$B155:$U155,INDEX(Pengaturan!$B$8:$B$27,F$4)))</f>
        <v>0</v>
      </c>
      <c r="G155" s="26" t="n">
        <f aca="false">IF(INDEX(Pengaturan!$B$8:$B$27,G$4)="",0,COUNTIF(Data!$B155:$U155,INDEX(Pengaturan!$B$8:$B$27,G$4)))</f>
        <v>0</v>
      </c>
      <c r="H155" s="26" t="n">
        <f aca="false">IF(INDEX(Pengaturan!$B$8:$B$27,H$4)="",0,COUNTIF(Data!$B155:$U155,INDEX(Pengaturan!$B$8:$B$27,H$4)))</f>
        <v>0</v>
      </c>
      <c r="I155" s="26" t="n">
        <f aca="false">IF(INDEX(Pengaturan!$B$8:$B$27,I$4)="",0,COUNTIF(Data!$B155:$U155,INDEX(Pengaturan!$B$8:$B$27,I$4)))</f>
        <v>0</v>
      </c>
      <c r="J155" s="26" t="n">
        <f aca="false">IF(INDEX(Pengaturan!$B$8:$B$27,J$4)="",0,COUNTIF(Data!$B155:$U155,INDEX(Pengaturan!$B$8:$B$27,J$4)))</f>
        <v>0</v>
      </c>
      <c r="K155" s="26" t="n">
        <f aca="false">IF(INDEX(Pengaturan!$B$8:$B$27,K$4)="",0,COUNTIF(Data!$B155:$U155,INDEX(Pengaturan!$B$8:$B$27,K$4)))</f>
        <v>0</v>
      </c>
      <c r="L155" s="26" t="n">
        <f aca="false">IF(INDEX(Pengaturan!$B$8:$B$27,L$4)="",0,COUNTIF(Data!$B155:$U155,INDEX(Pengaturan!$B$8:$B$27,L$4)))</f>
        <v>0</v>
      </c>
      <c r="M155" s="26" t="n">
        <f aca="false">IF(INDEX(Pengaturan!$B$8:$B$27,M$4)="",0,COUNTIF(Data!$B155:$U155,INDEX(Pengaturan!$B$8:$B$27,M$4)))</f>
        <v>0</v>
      </c>
      <c r="N155" s="26" t="n">
        <f aca="false">IF(INDEX(Pengaturan!$B$8:$B$27,N$4)="",0,COUNTIF(Data!$B155:$U155,INDEX(Pengaturan!$B$8:$B$27,N$4)))</f>
        <v>0</v>
      </c>
      <c r="O155" s="26" t="n">
        <f aca="false">IF(INDEX(Pengaturan!$B$8:$B$27,O$4)="",0,COUNTIF(Data!$B155:$U155,INDEX(Pengaturan!$B$8:$B$27,O$4)))</f>
        <v>0</v>
      </c>
      <c r="P155" s="26" t="n">
        <f aca="false">IF(INDEX(Pengaturan!$B$8:$B$27,P$4)="",0,COUNTIF(Data!$B155:$U155,INDEX(Pengaturan!$B$8:$B$27,P$4)))</f>
        <v>0</v>
      </c>
      <c r="Q155" s="26" t="n">
        <f aca="false">IF(INDEX(Pengaturan!$B$8:$B$27,Q$4)="",0,COUNTIF(Data!$B155:$U155,INDEX(Pengaturan!$B$8:$B$27,Q$4)))</f>
        <v>0</v>
      </c>
      <c r="R155" s="26" t="n">
        <f aca="false">IF(INDEX(Pengaturan!$B$8:$B$27,R$4)="",0,COUNTIF(Data!$B155:$U155,INDEX(Pengaturan!$B$8:$B$27,R$4)))</f>
        <v>0</v>
      </c>
      <c r="S155" s="26" t="n">
        <f aca="false">IF(INDEX(Pengaturan!$B$8:$B$27,S$4)="",0,COUNTIF(Data!$B155:$U155,INDEX(Pengaturan!$B$8:$B$27,S$4)))</f>
        <v>0</v>
      </c>
      <c r="T155" s="26" t="n">
        <f aca="false">IF(INDEX(Pengaturan!$B$8:$B$27,T$4)="",0,COUNTIF(Data!$B155:$U155,INDEX(Pengaturan!$B$8:$B$27,T$4)))</f>
        <v>0</v>
      </c>
      <c r="U155" s="26" t="n">
        <f aca="false">IF(INDEX(Pengaturan!$B$8:$B$27,U$4)="",0,COUNTIF(Data!$B155:$U155,INDEX(Pengaturan!$B$8:$B$27,U$4)))</f>
        <v>0</v>
      </c>
      <c r="V155" s="26" t="n">
        <f aca="false">COUNTA(Data!$B155:$U155)</f>
        <v>0</v>
      </c>
      <c r="W155" s="27" t="str">
        <f aca="false">IF(V155=0,"",IF(V155&lt;&gt;Hasil!$C$4,"Data kosong/tidak lengkap",IF(SUM(B155:U155)&lt;&gt;V155,"Kategori tidak dikenal","OK")))</f>
        <v/>
      </c>
      <c r="X155" s="26" t="n">
        <f aca="false">IF(OR(W155="",W155="OK"),0,1)</f>
        <v>0</v>
      </c>
    </row>
    <row r="156" customFormat="false" ht="15" hidden="false" customHeight="false" outlineLevel="0" collapsed="false">
      <c r="A156" s="26" t="n">
        <f aca="false">Data!A156</f>
        <v>151</v>
      </c>
      <c r="B156" s="26" t="n">
        <f aca="false">IF(INDEX(Pengaturan!$B$8:$B$27,B$4)="",0,COUNTIF(Data!$B156:$U156,INDEX(Pengaturan!$B$8:$B$27,B$4)))</f>
        <v>0</v>
      </c>
      <c r="C156" s="26" t="n">
        <f aca="false">IF(INDEX(Pengaturan!$B$8:$B$27,C$4)="",0,COUNTIF(Data!$B156:$U156,INDEX(Pengaturan!$B$8:$B$27,C$4)))</f>
        <v>0</v>
      </c>
      <c r="D156" s="26" t="n">
        <f aca="false">IF(INDEX(Pengaturan!$B$8:$B$27,D$4)="",0,COUNTIF(Data!$B156:$U156,INDEX(Pengaturan!$B$8:$B$27,D$4)))</f>
        <v>0</v>
      </c>
      <c r="E156" s="26" t="n">
        <f aca="false">IF(INDEX(Pengaturan!$B$8:$B$27,E$4)="",0,COUNTIF(Data!$B156:$U156,INDEX(Pengaturan!$B$8:$B$27,E$4)))</f>
        <v>0</v>
      </c>
      <c r="F156" s="26" t="n">
        <f aca="false">IF(INDEX(Pengaturan!$B$8:$B$27,F$4)="",0,COUNTIF(Data!$B156:$U156,INDEX(Pengaturan!$B$8:$B$27,F$4)))</f>
        <v>0</v>
      </c>
      <c r="G156" s="26" t="n">
        <f aca="false">IF(INDEX(Pengaturan!$B$8:$B$27,G$4)="",0,COUNTIF(Data!$B156:$U156,INDEX(Pengaturan!$B$8:$B$27,G$4)))</f>
        <v>0</v>
      </c>
      <c r="H156" s="26" t="n">
        <f aca="false">IF(INDEX(Pengaturan!$B$8:$B$27,H$4)="",0,COUNTIF(Data!$B156:$U156,INDEX(Pengaturan!$B$8:$B$27,H$4)))</f>
        <v>0</v>
      </c>
      <c r="I156" s="26" t="n">
        <f aca="false">IF(INDEX(Pengaturan!$B$8:$B$27,I$4)="",0,COUNTIF(Data!$B156:$U156,INDEX(Pengaturan!$B$8:$B$27,I$4)))</f>
        <v>0</v>
      </c>
      <c r="J156" s="26" t="n">
        <f aca="false">IF(INDEX(Pengaturan!$B$8:$B$27,J$4)="",0,COUNTIF(Data!$B156:$U156,INDEX(Pengaturan!$B$8:$B$27,J$4)))</f>
        <v>0</v>
      </c>
      <c r="K156" s="26" t="n">
        <f aca="false">IF(INDEX(Pengaturan!$B$8:$B$27,K$4)="",0,COUNTIF(Data!$B156:$U156,INDEX(Pengaturan!$B$8:$B$27,K$4)))</f>
        <v>0</v>
      </c>
      <c r="L156" s="26" t="n">
        <f aca="false">IF(INDEX(Pengaturan!$B$8:$B$27,L$4)="",0,COUNTIF(Data!$B156:$U156,INDEX(Pengaturan!$B$8:$B$27,L$4)))</f>
        <v>0</v>
      </c>
      <c r="M156" s="26" t="n">
        <f aca="false">IF(INDEX(Pengaturan!$B$8:$B$27,M$4)="",0,COUNTIF(Data!$B156:$U156,INDEX(Pengaturan!$B$8:$B$27,M$4)))</f>
        <v>0</v>
      </c>
      <c r="N156" s="26" t="n">
        <f aca="false">IF(INDEX(Pengaturan!$B$8:$B$27,N$4)="",0,COUNTIF(Data!$B156:$U156,INDEX(Pengaturan!$B$8:$B$27,N$4)))</f>
        <v>0</v>
      </c>
      <c r="O156" s="26" t="n">
        <f aca="false">IF(INDEX(Pengaturan!$B$8:$B$27,O$4)="",0,COUNTIF(Data!$B156:$U156,INDEX(Pengaturan!$B$8:$B$27,O$4)))</f>
        <v>0</v>
      </c>
      <c r="P156" s="26" t="n">
        <f aca="false">IF(INDEX(Pengaturan!$B$8:$B$27,P$4)="",0,COUNTIF(Data!$B156:$U156,INDEX(Pengaturan!$B$8:$B$27,P$4)))</f>
        <v>0</v>
      </c>
      <c r="Q156" s="26" t="n">
        <f aca="false">IF(INDEX(Pengaturan!$B$8:$B$27,Q$4)="",0,COUNTIF(Data!$B156:$U156,INDEX(Pengaturan!$B$8:$B$27,Q$4)))</f>
        <v>0</v>
      </c>
      <c r="R156" s="26" t="n">
        <f aca="false">IF(INDEX(Pengaturan!$B$8:$B$27,R$4)="",0,COUNTIF(Data!$B156:$U156,INDEX(Pengaturan!$B$8:$B$27,R$4)))</f>
        <v>0</v>
      </c>
      <c r="S156" s="26" t="n">
        <f aca="false">IF(INDEX(Pengaturan!$B$8:$B$27,S$4)="",0,COUNTIF(Data!$B156:$U156,INDEX(Pengaturan!$B$8:$B$27,S$4)))</f>
        <v>0</v>
      </c>
      <c r="T156" s="26" t="n">
        <f aca="false">IF(INDEX(Pengaturan!$B$8:$B$27,T$4)="",0,COUNTIF(Data!$B156:$U156,INDEX(Pengaturan!$B$8:$B$27,T$4)))</f>
        <v>0</v>
      </c>
      <c r="U156" s="26" t="n">
        <f aca="false">IF(INDEX(Pengaturan!$B$8:$B$27,U$4)="",0,COUNTIF(Data!$B156:$U156,INDEX(Pengaturan!$B$8:$B$27,U$4)))</f>
        <v>0</v>
      </c>
      <c r="V156" s="26" t="n">
        <f aca="false">COUNTA(Data!$B156:$U156)</f>
        <v>0</v>
      </c>
      <c r="W156" s="27" t="str">
        <f aca="false">IF(V156=0,"",IF(V156&lt;&gt;Hasil!$C$4,"Data kosong/tidak lengkap",IF(SUM(B156:U156)&lt;&gt;V156,"Kategori tidak dikenal","OK")))</f>
        <v/>
      </c>
      <c r="X156" s="26" t="n">
        <f aca="false">IF(OR(W156="",W156="OK"),0,1)</f>
        <v>0</v>
      </c>
    </row>
    <row r="157" customFormat="false" ht="15" hidden="false" customHeight="false" outlineLevel="0" collapsed="false">
      <c r="A157" s="26" t="n">
        <f aca="false">Data!A157</f>
        <v>152</v>
      </c>
      <c r="B157" s="26" t="n">
        <f aca="false">IF(INDEX(Pengaturan!$B$8:$B$27,B$4)="",0,COUNTIF(Data!$B157:$U157,INDEX(Pengaturan!$B$8:$B$27,B$4)))</f>
        <v>0</v>
      </c>
      <c r="C157" s="26" t="n">
        <f aca="false">IF(INDEX(Pengaturan!$B$8:$B$27,C$4)="",0,COUNTIF(Data!$B157:$U157,INDEX(Pengaturan!$B$8:$B$27,C$4)))</f>
        <v>0</v>
      </c>
      <c r="D157" s="26" t="n">
        <f aca="false">IF(INDEX(Pengaturan!$B$8:$B$27,D$4)="",0,COUNTIF(Data!$B157:$U157,INDEX(Pengaturan!$B$8:$B$27,D$4)))</f>
        <v>0</v>
      </c>
      <c r="E157" s="26" t="n">
        <f aca="false">IF(INDEX(Pengaturan!$B$8:$B$27,E$4)="",0,COUNTIF(Data!$B157:$U157,INDEX(Pengaturan!$B$8:$B$27,E$4)))</f>
        <v>0</v>
      </c>
      <c r="F157" s="26" t="n">
        <f aca="false">IF(INDEX(Pengaturan!$B$8:$B$27,F$4)="",0,COUNTIF(Data!$B157:$U157,INDEX(Pengaturan!$B$8:$B$27,F$4)))</f>
        <v>0</v>
      </c>
      <c r="G157" s="26" t="n">
        <f aca="false">IF(INDEX(Pengaturan!$B$8:$B$27,G$4)="",0,COUNTIF(Data!$B157:$U157,INDEX(Pengaturan!$B$8:$B$27,G$4)))</f>
        <v>0</v>
      </c>
      <c r="H157" s="26" t="n">
        <f aca="false">IF(INDEX(Pengaturan!$B$8:$B$27,H$4)="",0,COUNTIF(Data!$B157:$U157,INDEX(Pengaturan!$B$8:$B$27,H$4)))</f>
        <v>0</v>
      </c>
      <c r="I157" s="26" t="n">
        <f aca="false">IF(INDEX(Pengaturan!$B$8:$B$27,I$4)="",0,COUNTIF(Data!$B157:$U157,INDEX(Pengaturan!$B$8:$B$27,I$4)))</f>
        <v>0</v>
      </c>
      <c r="J157" s="26" t="n">
        <f aca="false">IF(INDEX(Pengaturan!$B$8:$B$27,J$4)="",0,COUNTIF(Data!$B157:$U157,INDEX(Pengaturan!$B$8:$B$27,J$4)))</f>
        <v>0</v>
      </c>
      <c r="K157" s="26" t="n">
        <f aca="false">IF(INDEX(Pengaturan!$B$8:$B$27,K$4)="",0,COUNTIF(Data!$B157:$U157,INDEX(Pengaturan!$B$8:$B$27,K$4)))</f>
        <v>0</v>
      </c>
      <c r="L157" s="26" t="n">
        <f aca="false">IF(INDEX(Pengaturan!$B$8:$B$27,L$4)="",0,COUNTIF(Data!$B157:$U157,INDEX(Pengaturan!$B$8:$B$27,L$4)))</f>
        <v>0</v>
      </c>
      <c r="M157" s="26" t="n">
        <f aca="false">IF(INDEX(Pengaturan!$B$8:$B$27,M$4)="",0,COUNTIF(Data!$B157:$U157,INDEX(Pengaturan!$B$8:$B$27,M$4)))</f>
        <v>0</v>
      </c>
      <c r="N157" s="26" t="n">
        <f aca="false">IF(INDEX(Pengaturan!$B$8:$B$27,N$4)="",0,COUNTIF(Data!$B157:$U157,INDEX(Pengaturan!$B$8:$B$27,N$4)))</f>
        <v>0</v>
      </c>
      <c r="O157" s="26" t="n">
        <f aca="false">IF(INDEX(Pengaturan!$B$8:$B$27,O$4)="",0,COUNTIF(Data!$B157:$U157,INDEX(Pengaturan!$B$8:$B$27,O$4)))</f>
        <v>0</v>
      </c>
      <c r="P157" s="26" t="n">
        <f aca="false">IF(INDEX(Pengaturan!$B$8:$B$27,P$4)="",0,COUNTIF(Data!$B157:$U157,INDEX(Pengaturan!$B$8:$B$27,P$4)))</f>
        <v>0</v>
      </c>
      <c r="Q157" s="26" t="n">
        <f aca="false">IF(INDEX(Pengaturan!$B$8:$B$27,Q$4)="",0,COUNTIF(Data!$B157:$U157,INDEX(Pengaturan!$B$8:$B$27,Q$4)))</f>
        <v>0</v>
      </c>
      <c r="R157" s="26" t="n">
        <f aca="false">IF(INDEX(Pengaturan!$B$8:$B$27,R$4)="",0,COUNTIF(Data!$B157:$U157,INDEX(Pengaturan!$B$8:$B$27,R$4)))</f>
        <v>0</v>
      </c>
      <c r="S157" s="26" t="n">
        <f aca="false">IF(INDEX(Pengaturan!$B$8:$B$27,S$4)="",0,COUNTIF(Data!$B157:$U157,INDEX(Pengaturan!$B$8:$B$27,S$4)))</f>
        <v>0</v>
      </c>
      <c r="T157" s="26" t="n">
        <f aca="false">IF(INDEX(Pengaturan!$B$8:$B$27,T$4)="",0,COUNTIF(Data!$B157:$U157,INDEX(Pengaturan!$B$8:$B$27,T$4)))</f>
        <v>0</v>
      </c>
      <c r="U157" s="26" t="n">
        <f aca="false">IF(INDEX(Pengaturan!$B$8:$B$27,U$4)="",0,COUNTIF(Data!$B157:$U157,INDEX(Pengaturan!$B$8:$B$27,U$4)))</f>
        <v>0</v>
      </c>
      <c r="V157" s="26" t="n">
        <f aca="false">COUNTA(Data!$B157:$U157)</f>
        <v>0</v>
      </c>
      <c r="W157" s="27" t="str">
        <f aca="false">IF(V157=0,"",IF(V157&lt;&gt;Hasil!$C$4,"Data kosong/tidak lengkap",IF(SUM(B157:U157)&lt;&gt;V157,"Kategori tidak dikenal","OK")))</f>
        <v/>
      </c>
      <c r="X157" s="26" t="n">
        <f aca="false">IF(OR(W157="",W157="OK"),0,1)</f>
        <v>0</v>
      </c>
    </row>
    <row r="158" customFormat="false" ht="15" hidden="false" customHeight="false" outlineLevel="0" collapsed="false">
      <c r="A158" s="26" t="n">
        <f aca="false">Data!A158</f>
        <v>153</v>
      </c>
      <c r="B158" s="26" t="n">
        <f aca="false">IF(INDEX(Pengaturan!$B$8:$B$27,B$4)="",0,COUNTIF(Data!$B158:$U158,INDEX(Pengaturan!$B$8:$B$27,B$4)))</f>
        <v>0</v>
      </c>
      <c r="C158" s="26" t="n">
        <f aca="false">IF(INDEX(Pengaturan!$B$8:$B$27,C$4)="",0,COUNTIF(Data!$B158:$U158,INDEX(Pengaturan!$B$8:$B$27,C$4)))</f>
        <v>0</v>
      </c>
      <c r="D158" s="26" t="n">
        <f aca="false">IF(INDEX(Pengaturan!$B$8:$B$27,D$4)="",0,COUNTIF(Data!$B158:$U158,INDEX(Pengaturan!$B$8:$B$27,D$4)))</f>
        <v>0</v>
      </c>
      <c r="E158" s="26" t="n">
        <f aca="false">IF(INDEX(Pengaturan!$B$8:$B$27,E$4)="",0,COUNTIF(Data!$B158:$U158,INDEX(Pengaturan!$B$8:$B$27,E$4)))</f>
        <v>0</v>
      </c>
      <c r="F158" s="26" t="n">
        <f aca="false">IF(INDEX(Pengaturan!$B$8:$B$27,F$4)="",0,COUNTIF(Data!$B158:$U158,INDEX(Pengaturan!$B$8:$B$27,F$4)))</f>
        <v>0</v>
      </c>
      <c r="G158" s="26" t="n">
        <f aca="false">IF(INDEX(Pengaturan!$B$8:$B$27,G$4)="",0,COUNTIF(Data!$B158:$U158,INDEX(Pengaturan!$B$8:$B$27,G$4)))</f>
        <v>0</v>
      </c>
      <c r="H158" s="26" t="n">
        <f aca="false">IF(INDEX(Pengaturan!$B$8:$B$27,H$4)="",0,COUNTIF(Data!$B158:$U158,INDEX(Pengaturan!$B$8:$B$27,H$4)))</f>
        <v>0</v>
      </c>
      <c r="I158" s="26" t="n">
        <f aca="false">IF(INDEX(Pengaturan!$B$8:$B$27,I$4)="",0,COUNTIF(Data!$B158:$U158,INDEX(Pengaturan!$B$8:$B$27,I$4)))</f>
        <v>0</v>
      </c>
      <c r="J158" s="26" t="n">
        <f aca="false">IF(INDEX(Pengaturan!$B$8:$B$27,J$4)="",0,COUNTIF(Data!$B158:$U158,INDEX(Pengaturan!$B$8:$B$27,J$4)))</f>
        <v>0</v>
      </c>
      <c r="K158" s="26" t="n">
        <f aca="false">IF(INDEX(Pengaturan!$B$8:$B$27,K$4)="",0,COUNTIF(Data!$B158:$U158,INDEX(Pengaturan!$B$8:$B$27,K$4)))</f>
        <v>0</v>
      </c>
      <c r="L158" s="26" t="n">
        <f aca="false">IF(INDEX(Pengaturan!$B$8:$B$27,L$4)="",0,COUNTIF(Data!$B158:$U158,INDEX(Pengaturan!$B$8:$B$27,L$4)))</f>
        <v>0</v>
      </c>
      <c r="M158" s="26" t="n">
        <f aca="false">IF(INDEX(Pengaturan!$B$8:$B$27,M$4)="",0,COUNTIF(Data!$B158:$U158,INDEX(Pengaturan!$B$8:$B$27,M$4)))</f>
        <v>0</v>
      </c>
      <c r="N158" s="26" t="n">
        <f aca="false">IF(INDEX(Pengaturan!$B$8:$B$27,N$4)="",0,COUNTIF(Data!$B158:$U158,INDEX(Pengaturan!$B$8:$B$27,N$4)))</f>
        <v>0</v>
      </c>
      <c r="O158" s="26" t="n">
        <f aca="false">IF(INDEX(Pengaturan!$B$8:$B$27,O$4)="",0,COUNTIF(Data!$B158:$U158,INDEX(Pengaturan!$B$8:$B$27,O$4)))</f>
        <v>0</v>
      </c>
      <c r="P158" s="26" t="n">
        <f aca="false">IF(INDEX(Pengaturan!$B$8:$B$27,P$4)="",0,COUNTIF(Data!$B158:$U158,INDEX(Pengaturan!$B$8:$B$27,P$4)))</f>
        <v>0</v>
      </c>
      <c r="Q158" s="26" t="n">
        <f aca="false">IF(INDEX(Pengaturan!$B$8:$B$27,Q$4)="",0,COUNTIF(Data!$B158:$U158,INDEX(Pengaturan!$B$8:$B$27,Q$4)))</f>
        <v>0</v>
      </c>
      <c r="R158" s="26" t="n">
        <f aca="false">IF(INDEX(Pengaturan!$B$8:$B$27,R$4)="",0,COUNTIF(Data!$B158:$U158,INDEX(Pengaturan!$B$8:$B$27,R$4)))</f>
        <v>0</v>
      </c>
      <c r="S158" s="26" t="n">
        <f aca="false">IF(INDEX(Pengaturan!$B$8:$B$27,S$4)="",0,COUNTIF(Data!$B158:$U158,INDEX(Pengaturan!$B$8:$B$27,S$4)))</f>
        <v>0</v>
      </c>
      <c r="T158" s="26" t="n">
        <f aca="false">IF(INDEX(Pengaturan!$B$8:$B$27,T$4)="",0,COUNTIF(Data!$B158:$U158,INDEX(Pengaturan!$B$8:$B$27,T$4)))</f>
        <v>0</v>
      </c>
      <c r="U158" s="26" t="n">
        <f aca="false">IF(INDEX(Pengaturan!$B$8:$B$27,U$4)="",0,COUNTIF(Data!$B158:$U158,INDEX(Pengaturan!$B$8:$B$27,U$4)))</f>
        <v>0</v>
      </c>
      <c r="V158" s="26" t="n">
        <f aca="false">COUNTA(Data!$B158:$U158)</f>
        <v>0</v>
      </c>
      <c r="W158" s="27" t="str">
        <f aca="false">IF(V158=0,"",IF(V158&lt;&gt;Hasil!$C$4,"Data kosong/tidak lengkap",IF(SUM(B158:U158)&lt;&gt;V158,"Kategori tidak dikenal","OK")))</f>
        <v/>
      </c>
      <c r="X158" s="26" t="n">
        <f aca="false">IF(OR(W158="",W158="OK"),0,1)</f>
        <v>0</v>
      </c>
    </row>
    <row r="159" customFormat="false" ht="15" hidden="false" customHeight="false" outlineLevel="0" collapsed="false">
      <c r="A159" s="26" t="n">
        <f aca="false">Data!A159</f>
        <v>154</v>
      </c>
      <c r="B159" s="26" t="n">
        <f aca="false">IF(INDEX(Pengaturan!$B$8:$B$27,B$4)="",0,COUNTIF(Data!$B159:$U159,INDEX(Pengaturan!$B$8:$B$27,B$4)))</f>
        <v>0</v>
      </c>
      <c r="C159" s="26" t="n">
        <f aca="false">IF(INDEX(Pengaturan!$B$8:$B$27,C$4)="",0,COUNTIF(Data!$B159:$U159,INDEX(Pengaturan!$B$8:$B$27,C$4)))</f>
        <v>0</v>
      </c>
      <c r="D159" s="26" t="n">
        <f aca="false">IF(INDEX(Pengaturan!$B$8:$B$27,D$4)="",0,COUNTIF(Data!$B159:$U159,INDEX(Pengaturan!$B$8:$B$27,D$4)))</f>
        <v>0</v>
      </c>
      <c r="E159" s="26" t="n">
        <f aca="false">IF(INDEX(Pengaturan!$B$8:$B$27,E$4)="",0,COUNTIF(Data!$B159:$U159,INDEX(Pengaturan!$B$8:$B$27,E$4)))</f>
        <v>0</v>
      </c>
      <c r="F159" s="26" t="n">
        <f aca="false">IF(INDEX(Pengaturan!$B$8:$B$27,F$4)="",0,COUNTIF(Data!$B159:$U159,INDEX(Pengaturan!$B$8:$B$27,F$4)))</f>
        <v>0</v>
      </c>
      <c r="G159" s="26" t="n">
        <f aca="false">IF(INDEX(Pengaturan!$B$8:$B$27,G$4)="",0,COUNTIF(Data!$B159:$U159,INDEX(Pengaturan!$B$8:$B$27,G$4)))</f>
        <v>0</v>
      </c>
      <c r="H159" s="26" t="n">
        <f aca="false">IF(INDEX(Pengaturan!$B$8:$B$27,H$4)="",0,COUNTIF(Data!$B159:$U159,INDEX(Pengaturan!$B$8:$B$27,H$4)))</f>
        <v>0</v>
      </c>
      <c r="I159" s="26" t="n">
        <f aca="false">IF(INDEX(Pengaturan!$B$8:$B$27,I$4)="",0,COUNTIF(Data!$B159:$U159,INDEX(Pengaturan!$B$8:$B$27,I$4)))</f>
        <v>0</v>
      </c>
      <c r="J159" s="26" t="n">
        <f aca="false">IF(INDEX(Pengaturan!$B$8:$B$27,J$4)="",0,COUNTIF(Data!$B159:$U159,INDEX(Pengaturan!$B$8:$B$27,J$4)))</f>
        <v>0</v>
      </c>
      <c r="K159" s="26" t="n">
        <f aca="false">IF(INDEX(Pengaturan!$B$8:$B$27,K$4)="",0,COUNTIF(Data!$B159:$U159,INDEX(Pengaturan!$B$8:$B$27,K$4)))</f>
        <v>0</v>
      </c>
      <c r="L159" s="26" t="n">
        <f aca="false">IF(INDEX(Pengaturan!$B$8:$B$27,L$4)="",0,COUNTIF(Data!$B159:$U159,INDEX(Pengaturan!$B$8:$B$27,L$4)))</f>
        <v>0</v>
      </c>
      <c r="M159" s="26" t="n">
        <f aca="false">IF(INDEX(Pengaturan!$B$8:$B$27,M$4)="",0,COUNTIF(Data!$B159:$U159,INDEX(Pengaturan!$B$8:$B$27,M$4)))</f>
        <v>0</v>
      </c>
      <c r="N159" s="26" t="n">
        <f aca="false">IF(INDEX(Pengaturan!$B$8:$B$27,N$4)="",0,COUNTIF(Data!$B159:$U159,INDEX(Pengaturan!$B$8:$B$27,N$4)))</f>
        <v>0</v>
      </c>
      <c r="O159" s="26" t="n">
        <f aca="false">IF(INDEX(Pengaturan!$B$8:$B$27,O$4)="",0,COUNTIF(Data!$B159:$U159,INDEX(Pengaturan!$B$8:$B$27,O$4)))</f>
        <v>0</v>
      </c>
      <c r="P159" s="26" t="n">
        <f aca="false">IF(INDEX(Pengaturan!$B$8:$B$27,P$4)="",0,COUNTIF(Data!$B159:$U159,INDEX(Pengaturan!$B$8:$B$27,P$4)))</f>
        <v>0</v>
      </c>
      <c r="Q159" s="26" t="n">
        <f aca="false">IF(INDEX(Pengaturan!$B$8:$B$27,Q$4)="",0,COUNTIF(Data!$B159:$U159,INDEX(Pengaturan!$B$8:$B$27,Q$4)))</f>
        <v>0</v>
      </c>
      <c r="R159" s="26" t="n">
        <f aca="false">IF(INDEX(Pengaturan!$B$8:$B$27,R$4)="",0,COUNTIF(Data!$B159:$U159,INDEX(Pengaturan!$B$8:$B$27,R$4)))</f>
        <v>0</v>
      </c>
      <c r="S159" s="26" t="n">
        <f aca="false">IF(INDEX(Pengaturan!$B$8:$B$27,S$4)="",0,COUNTIF(Data!$B159:$U159,INDEX(Pengaturan!$B$8:$B$27,S$4)))</f>
        <v>0</v>
      </c>
      <c r="T159" s="26" t="n">
        <f aca="false">IF(INDEX(Pengaturan!$B$8:$B$27,T$4)="",0,COUNTIF(Data!$B159:$U159,INDEX(Pengaturan!$B$8:$B$27,T$4)))</f>
        <v>0</v>
      </c>
      <c r="U159" s="26" t="n">
        <f aca="false">IF(INDEX(Pengaturan!$B$8:$B$27,U$4)="",0,COUNTIF(Data!$B159:$U159,INDEX(Pengaturan!$B$8:$B$27,U$4)))</f>
        <v>0</v>
      </c>
      <c r="V159" s="26" t="n">
        <f aca="false">COUNTA(Data!$B159:$U159)</f>
        <v>0</v>
      </c>
      <c r="W159" s="27" t="str">
        <f aca="false">IF(V159=0,"",IF(V159&lt;&gt;Hasil!$C$4,"Data kosong/tidak lengkap",IF(SUM(B159:U159)&lt;&gt;V159,"Kategori tidak dikenal","OK")))</f>
        <v/>
      </c>
      <c r="X159" s="26" t="n">
        <f aca="false">IF(OR(W159="",W159="OK"),0,1)</f>
        <v>0</v>
      </c>
    </row>
    <row r="160" customFormat="false" ht="15" hidden="false" customHeight="false" outlineLevel="0" collapsed="false">
      <c r="A160" s="26" t="n">
        <f aca="false">Data!A160</f>
        <v>155</v>
      </c>
      <c r="B160" s="26" t="n">
        <f aca="false">IF(INDEX(Pengaturan!$B$8:$B$27,B$4)="",0,COUNTIF(Data!$B160:$U160,INDEX(Pengaturan!$B$8:$B$27,B$4)))</f>
        <v>0</v>
      </c>
      <c r="C160" s="26" t="n">
        <f aca="false">IF(INDEX(Pengaturan!$B$8:$B$27,C$4)="",0,COUNTIF(Data!$B160:$U160,INDEX(Pengaturan!$B$8:$B$27,C$4)))</f>
        <v>0</v>
      </c>
      <c r="D160" s="26" t="n">
        <f aca="false">IF(INDEX(Pengaturan!$B$8:$B$27,D$4)="",0,COUNTIF(Data!$B160:$U160,INDEX(Pengaturan!$B$8:$B$27,D$4)))</f>
        <v>0</v>
      </c>
      <c r="E160" s="26" t="n">
        <f aca="false">IF(INDEX(Pengaturan!$B$8:$B$27,E$4)="",0,COUNTIF(Data!$B160:$U160,INDEX(Pengaturan!$B$8:$B$27,E$4)))</f>
        <v>0</v>
      </c>
      <c r="F160" s="26" t="n">
        <f aca="false">IF(INDEX(Pengaturan!$B$8:$B$27,F$4)="",0,COUNTIF(Data!$B160:$U160,INDEX(Pengaturan!$B$8:$B$27,F$4)))</f>
        <v>0</v>
      </c>
      <c r="G160" s="26" t="n">
        <f aca="false">IF(INDEX(Pengaturan!$B$8:$B$27,G$4)="",0,COUNTIF(Data!$B160:$U160,INDEX(Pengaturan!$B$8:$B$27,G$4)))</f>
        <v>0</v>
      </c>
      <c r="H160" s="26" t="n">
        <f aca="false">IF(INDEX(Pengaturan!$B$8:$B$27,H$4)="",0,COUNTIF(Data!$B160:$U160,INDEX(Pengaturan!$B$8:$B$27,H$4)))</f>
        <v>0</v>
      </c>
      <c r="I160" s="26" t="n">
        <f aca="false">IF(INDEX(Pengaturan!$B$8:$B$27,I$4)="",0,COUNTIF(Data!$B160:$U160,INDEX(Pengaturan!$B$8:$B$27,I$4)))</f>
        <v>0</v>
      </c>
      <c r="J160" s="26" t="n">
        <f aca="false">IF(INDEX(Pengaturan!$B$8:$B$27,J$4)="",0,COUNTIF(Data!$B160:$U160,INDEX(Pengaturan!$B$8:$B$27,J$4)))</f>
        <v>0</v>
      </c>
      <c r="K160" s="26" t="n">
        <f aca="false">IF(INDEX(Pengaturan!$B$8:$B$27,K$4)="",0,COUNTIF(Data!$B160:$U160,INDEX(Pengaturan!$B$8:$B$27,K$4)))</f>
        <v>0</v>
      </c>
      <c r="L160" s="26" t="n">
        <f aca="false">IF(INDEX(Pengaturan!$B$8:$B$27,L$4)="",0,COUNTIF(Data!$B160:$U160,INDEX(Pengaturan!$B$8:$B$27,L$4)))</f>
        <v>0</v>
      </c>
      <c r="M160" s="26" t="n">
        <f aca="false">IF(INDEX(Pengaturan!$B$8:$B$27,M$4)="",0,COUNTIF(Data!$B160:$U160,INDEX(Pengaturan!$B$8:$B$27,M$4)))</f>
        <v>0</v>
      </c>
      <c r="N160" s="26" t="n">
        <f aca="false">IF(INDEX(Pengaturan!$B$8:$B$27,N$4)="",0,COUNTIF(Data!$B160:$U160,INDEX(Pengaturan!$B$8:$B$27,N$4)))</f>
        <v>0</v>
      </c>
      <c r="O160" s="26" t="n">
        <f aca="false">IF(INDEX(Pengaturan!$B$8:$B$27,O$4)="",0,COUNTIF(Data!$B160:$U160,INDEX(Pengaturan!$B$8:$B$27,O$4)))</f>
        <v>0</v>
      </c>
      <c r="P160" s="26" t="n">
        <f aca="false">IF(INDEX(Pengaturan!$B$8:$B$27,P$4)="",0,COUNTIF(Data!$B160:$U160,INDEX(Pengaturan!$B$8:$B$27,P$4)))</f>
        <v>0</v>
      </c>
      <c r="Q160" s="26" t="n">
        <f aca="false">IF(INDEX(Pengaturan!$B$8:$B$27,Q$4)="",0,COUNTIF(Data!$B160:$U160,INDEX(Pengaturan!$B$8:$B$27,Q$4)))</f>
        <v>0</v>
      </c>
      <c r="R160" s="26" t="n">
        <f aca="false">IF(INDEX(Pengaturan!$B$8:$B$27,R$4)="",0,COUNTIF(Data!$B160:$U160,INDEX(Pengaturan!$B$8:$B$27,R$4)))</f>
        <v>0</v>
      </c>
      <c r="S160" s="26" t="n">
        <f aca="false">IF(INDEX(Pengaturan!$B$8:$B$27,S$4)="",0,COUNTIF(Data!$B160:$U160,INDEX(Pengaturan!$B$8:$B$27,S$4)))</f>
        <v>0</v>
      </c>
      <c r="T160" s="26" t="n">
        <f aca="false">IF(INDEX(Pengaturan!$B$8:$B$27,T$4)="",0,COUNTIF(Data!$B160:$U160,INDEX(Pengaturan!$B$8:$B$27,T$4)))</f>
        <v>0</v>
      </c>
      <c r="U160" s="26" t="n">
        <f aca="false">IF(INDEX(Pengaturan!$B$8:$B$27,U$4)="",0,COUNTIF(Data!$B160:$U160,INDEX(Pengaturan!$B$8:$B$27,U$4)))</f>
        <v>0</v>
      </c>
      <c r="V160" s="26" t="n">
        <f aca="false">COUNTA(Data!$B160:$U160)</f>
        <v>0</v>
      </c>
      <c r="W160" s="27" t="str">
        <f aca="false">IF(V160=0,"",IF(V160&lt;&gt;Hasil!$C$4,"Data kosong/tidak lengkap",IF(SUM(B160:U160)&lt;&gt;V160,"Kategori tidak dikenal","OK")))</f>
        <v/>
      </c>
      <c r="X160" s="26" t="n">
        <f aca="false">IF(OR(W160="",W160="OK"),0,1)</f>
        <v>0</v>
      </c>
    </row>
    <row r="161" customFormat="false" ht="15" hidden="false" customHeight="false" outlineLevel="0" collapsed="false">
      <c r="A161" s="26" t="n">
        <f aca="false">Data!A161</f>
        <v>156</v>
      </c>
      <c r="B161" s="26" t="n">
        <f aca="false">IF(INDEX(Pengaturan!$B$8:$B$27,B$4)="",0,COUNTIF(Data!$B161:$U161,INDEX(Pengaturan!$B$8:$B$27,B$4)))</f>
        <v>0</v>
      </c>
      <c r="C161" s="26" t="n">
        <f aca="false">IF(INDEX(Pengaturan!$B$8:$B$27,C$4)="",0,COUNTIF(Data!$B161:$U161,INDEX(Pengaturan!$B$8:$B$27,C$4)))</f>
        <v>0</v>
      </c>
      <c r="D161" s="26" t="n">
        <f aca="false">IF(INDEX(Pengaturan!$B$8:$B$27,D$4)="",0,COUNTIF(Data!$B161:$U161,INDEX(Pengaturan!$B$8:$B$27,D$4)))</f>
        <v>0</v>
      </c>
      <c r="E161" s="26" t="n">
        <f aca="false">IF(INDEX(Pengaturan!$B$8:$B$27,E$4)="",0,COUNTIF(Data!$B161:$U161,INDEX(Pengaturan!$B$8:$B$27,E$4)))</f>
        <v>0</v>
      </c>
      <c r="F161" s="26" t="n">
        <f aca="false">IF(INDEX(Pengaturan!$B$8:$B$27,F$4)="",0,COUNTIF(Data!$B161:$U161,INDEX(Pengaturan!$B$8:$B$27,F$4)))</f>
        <v>0</v>
      </c>
      <c r="G161" s="26" t="n">
        <f aca="false">IF(INDEX(Pengaturan!$B$8:$B$27,G$4)="",0,COUNTIF(Data!$B161:$U161,INDEX(Pengaturan!$B$8:$B$27,G$4)))</f>
        <v>0</v>
      </c>
      <c r="H161" s="26" t="n">
        <f aca="false">IF(INDEX(Pengaturan!$B$8:$B$27,H$4)="",0,COUNTIF(Data!$B161:$U161,INDEX(Pengaturan!$B$8:$B$27,H$4)))</f>
        <v>0</v>
      </c>
      <c r="I161" s="26" t="n">
        <f aca="false">IF(INDEX(Pengaturan!$B$8:$B$27,I$4)="",0,COUNTIF(Data!$B161:$U161,INDEX(Pengaturan!$B$8:$B$27,I$4)))</f>
        <v>0</v>
      </c>
      <c r="J161" s="26" t="n">
        <f aca="false">IF(INDEX(Pengaturan!$B$8:$B$27,J$4)="",0,COUNTIF(Data!$B161:$U161,INDEX(Pengaturan!$B$8:$B$27,J$4)))</f>
        <v>0</v>
      </c>
      <c r="K161" s="26" t="n">
        <f aca="false">IF(INDEX(Pengaturan!$B$8:$B$27,K$4)="",0,COUNTIF(Data!$B161:$U161,INDEX(Pengaturan!$B$8:$B$27,K$4)))</f>
        <v>0</v>
      </c>
      <c r="L161" s="26" t="n">
        <f aca="false">IF(INDEX(Pengaturan!$B$8:$B$27,L$4)="",0,COUNTIF(Data!$B161:$U161,INDEX(Pengaturan!$B$8:$B$27,L$4)))</f>
        <v>0</v>
      </c>
      <c r="M161" s="26" t="n">
        <f aca="false">IF(INDEX(Pengaturan!$B$8:$B$27,M$4)="",0,COUNTIF(Data!$B161:$U161,INDEX(Pengaturan!$B$8:$B$27,M$4)))</f>
        <v>0</v>
      </c>
      <c r="N161" s="26" t="n">
        <f aca="false">IF(INDEX(Pengaturan!$B$8:$B$27,N$4)="",0,COUNTIF(Data!$B161:$U161,INDEX(Pengaturan!$B$8:$B$27,N$4)))</f>
        <v>0</v>
      </c>
      <c r="O161" s="26" t="n">
        <f aca="false">IF(INDEX(Pengaturan!$B$8:$B$27,O$4)="",0,COUNTIF(Data!$B161:$U161,INDEX(Pengaturan!$B$8:$B$27,O$4)))</f>
        <v>0</v>
      </c>
      <c r="P161" s="26" t="n">
        <f aca="false">IF(INDEX(Pengaturan!$B$8:$B$27,P$4)="",0,COUNTIF(Data!$B161:$U161,INDEX(Pengaturan!$B$8:$B$27,P$4)))</f>
        <v>0</v>
      </c>
      <c r="Q161" s="26" t="n">
        <f aca="false">IF(INDEX(Pengaturan!$B$8:$B$27,Q$4)="",0,COUNTIF(Data!$B161:$U161,INDEX(Pengaturan!$B$8:$B$27,Q$4)))</f>
        <v>0</v>
      </c>
      <c r="R161" s="26" t="n">
        <f aca="false">IF(INDEX(Pengaturan!$B$8:$B$27,R$4)="",0,COUNTIF(Data!$B161:$U161,INDEX(Pengaturan!$B$8:$B$27,R$4)))</f>
        <v>0</v>
      </c>
      <c r="S161" s="26" t="n">
        <f aca="false">IF(INDEX(Pengaturan!$B$8:$B$27,S$4)="",0,COUNTIF(Data!$B161:$U161,INDEX(Pengaturan!$B$8:$B$27,S$4)))</f>
        <v>0</v>
      </c>
      <c r="T161" s="26" t="n">
        <f aca="false">IF(INDEX(Pengaturan!$B$8:$B$27,T$4)="",0,COUNTIF(Data!$B161:$U161,INDEX(Pengaturan!$B$8:$B$27,T$4)))</f>
        <v>0</v>
      </c>
      <c r="U161" s="26" t="n">
        <f aca="false">IF(INDEX(Pengaturan!$B$8:$B$27,U$4)="",0,COUNTIF(Data!$B161:$U161,INDEX(Pengaturan!$B$8:$B$27,U$4)))</f>
        <v>0</v>
      </c>
      <c r="V161" s="26" t="n">
        <f aca="false">COUNTA(Data!$B161:$U161)</f>
        <v>0</v>
      </c>
      <c r="W161" s="27" t="str">
        <f aca="false">IF(V161=0,"",IF(V161&lt;&gt;Hasil!$C$4,"Data kosong/tidak lengkap",IF(SUM(B161:U161)&lt;&gt;V161,"Kategori tidak dikenal","OK")))</f>
        <v/>
      </c>
      <c r="X161" s="26" t="n">
        <f aca="false">IF(OR(W161="",W161="OK"),0,1)</f>
        <v>0</v>
      </c>
    </row>
    <row r="162" customFormat="false" ht="15" hidden="false" customHeight="false" outlineLevel="0" collapsed="false">
      <c r="A162" s="26" t="n">
        <f aca="false">Data!A162</f>
        <v>157</v>
      </c>
      <c r="B162" s="26" t="n">
        <f aca="false">IF(INDEX(Pengaturan!$B$8:$B$27,B$4)="",0,COUNTIF(Data!$B162:$U162,INDEX(Pengaturan!$B$8:$B$27,B$4)))</f>
        <v>0</v>
      </c>
      <c r="C162" s="26" t="n">
        <f aca="false">IF(INDEX(Pengaturan!$B$8:$B$27,C$4)="",0,COUNTIF(Data!$B162:$U162,INDEX(Pengaturan!$B$8:$B$27,C$4)))</f>
        <v>0</v>
      </c>
      <c r="D162" s="26" t="n">
        <f aca="false">IF(INDEX(Pengaturan!$B$8:$B$27,D$4)="",0,COUNTIF(Data!$B162:$U162,INDEX(Pengaturan!$B$8:$B$27,D$4)))</f>
        <v>0</v>
      </c>
      <c r="E162" s="26" t="n">
        <f aca="false">IF(INDEX(Pengaturan!$B$8:$B$27,E$4)="",0,COUNTIF(Data!$B162:$U162,INDEX(Pengaturan!$B$8:$B$27,E$4)))</f>
        <v>0</v>
      </c>
      <c r="F162" s="26" t="n">
        <f aca="false">IF(INDEX(Pengaturan!$B$8:$B$27,F$4)="",0,COUNTIF(Data!$B162:$U162,INDEX(Pengaturan!$B$8:$B$27,F$4)))</f>
        <v>0</v>
      </c>
      <c r="G162" s="26" t="n">
        <f aca="false">IF(INDEX(Pengaturan!$B$8:$B$27,G$4)="",0,COUNTIF(Data!$B162:$U162,INDEX(Pengaturan!$B$8:$B$27,G$4)))</f>
        <v>0</v>
      </c>
      <c r="H162" s="26" t="n">
        <f aca="false">IF(INDEX(Pengaturan!$B$8:$B$27,H$4)="",0,COUNTIF(Data!$B162:$U162,INDEX(Pengaturan!$B$8:$B$27,H$4)))</f>
        <v>0</v>
      </c>
      <c r="I162" s="26" t="n">
        <f aca="false">IF(INDEX(Pengaturan!$B$8:$B$27,I$4)="",0,COUNTIF(Data!$B162:$U162,INDEX(Pengaturan!$B$8:$B$27,I$4)))</f>
        <v>0</v>
      </c>
      <c r="J162" s="26" t="n">
        <f aca="false">IF(INDEX(Pengaturan!$B$8:$B$27,J$4)="",0,COUNTIF(Data!$B162:$U162,INDEX(Pengaturan!$B$8:$B$27,J$4)))</f>
        <v>0</v>
      </c>
      <c r="K162" s="26" t="n">
        <f aca="false">IF(INDEX(Pengaturan!$B$8:$B$27,K$4)="",0,COUNTIF(Data!$B162:$U162,INDEX(Pengaturan!$B$8:$B$27,K$4)))</f>
        <v>0</v>
      </c>
      <c r="L162" s="26" t="n">
        <f aca="false">IF(INDEX(Pengaturan!$B$8:$B$27,L$4)="",0,COUNTIF(Data!$B162:$U162,INDEX(Pengaturan!$B$8:$B$27,L$4)))</f>
        <v>0</v>
      </c>
      <c r="M162" s="26" t="n">
        <f aca="false">IF(INDEX(Pengaturan!$B$8:$B$27,M$4)="",0,COUNTIF(Data!$B162:$U162,INDEX(Pengaturan!$B$8:$B$27,M$4)))</f>
        <v>0</v>
      </c>
      <c r="N162" s="26" t="n">
        <f aca="false">IF(INDEX(Pengaturan!$B$8:$B$27,N$4)="",0,COUNTIF(Data!$B162:$U162,INDEX(Pengaturan!$B$8:$B$27,N$4)))</f>
        <v>0</v>
      </c>
      <c r="O162" s="26" t="n">
        <f aca="false">IF(INDEX(Pengaturan!$B$8:$B$27,O$4)="",0,COUNTIF(Data!$B162:$U162,INDEX(Pengaturan!$B$8:$B$27,O$4)))</f>
        <v>0</v>
      </c>
      <c r="P162" s="26" t="n">
        <f aca="false">IF(INDEX(Pengaturan!$B$8:$B$27,P$4)="",0,COUNTIF(Data!$B162:$U162,INDEX(Pengaturan!$B$8:$B$27,P$4)))</f>
        <v>0</v>
      </c>
      <c r="Q162" s="26" t="n">
        <f aca="false">IF(INDEX(Pengaturan!$B$8:$B$27,Q$4)="",0,COUNTIF(Data!$B162:$U162,INDEX(Pengaturan!$B$8:$B$27,Q$4)))</f>
        <v>0</v>
      </c>
      <c r="R162" s="26" t="n">
        <f aca="false">IF(INDEX(Pengaturan!$B$8:$B$27,R$4)="",0,COUNTIF(Data!$B162:$U162,INDEX(Pengaturan!$B$8:$B$27,R$4)))</f>
        <v>0</v>
      </c>
      <c r="S162" s="26" t="n">
        <f aca="false">IF(INDEX(Pengaturan!$B$8:$B$27,S$4)="",0,COUNTIF(Data!$B162:$U162,INDEX(Pengaturan!$B$8:$B$27,S$4)))</f>
        <v>0</v>
      </c>
      <c r="T162" s="26" t="n">
        <f aca="false">IF(INDEX(Pengaturan!$B$8:$B$27,T$4)="",0,COUNTIF(Data!$B162:$U162,INDEX(Pengaturan!$B$8:$B$27,T$4)))</f>
        <v>0</v>
      </c>
      <c r="U162" s="26" t="n">
        <f aca="false">IF(INDEX(Pengaturan!$B$8:$B$27,U$4)="",0,COUNTIF(Data!$B162:$U162,INDEX(Pengaturan!$B$8:$B$27,U$4)))</f>
        <v>0</v>
      </c>
      <c r="V162" s="26" t="n">
        <f aca="false">COUNTA(Data!$B162:$U162)</f>
        <v>0</v>
      </c>
      <c r="W162" s="27" t="str">
        <f aca="false">IF(V162=0,"",IF(V162&lt;&gt;Hasil!$C$4,"Data kosong/tidak lengkap",IF(SUM(B162:U162)&lt;&gt;V162,"Kategori tidak dikenal","OK")))</f>
        <v/>
      </c>
      <c r="X162" s="26" t="n">
        <f aca="false">IF(OR(W162="",W162="OK"),0,1)</f>
        <v>0</v>
      </c>
    </row>
    <row r="163" customFormat="false" ht="15" hidden="false" customHeight="false" outlineLevel="0" collapsed="false">
      <c r="A163" s="26" t="n">
        <f aca="false">Data!A163</f>
        <v>158</v>
      </c>
      <c r="B163" s="26" t="n">
        <f aca="false">IF(INDEX(Pengaturan!$B$8:$B$27,B$4)="",0,COUNTIF(Data!$B163:$U163,INDEX(Pengaturan!$B$8:$B$27,B$4)))</f>
        <v>0</v>
      </c>
      <c r="C163" s="26" t="n">
        <f aca="false">IF(INDEX(Pengaturan!$B$8:$B$27,C$4)="",0,COUNTIF(Data!$B163:$U163,INDEX(Pengaturan!$B$8:$B$27,C$4)))</f>
        <v>0</v>
      </c>
      <c r="D163" s="26" t="n">
        <f aca="false">IF(INDEX(Pengaturan!$B$8:$B$27,D$4)="",0,COUNTIF(Data!$B163:$U163,INDEX(Pengaturan!$B$8:$B$27,D$4)))</f>
        <v>0</v>
      </c>
      <c r="E163" s="26" t="n">
        <f aca="false">IF(INDEX(Pengaturan!$B$8:$B$27,E$4)="",0,COUNTIF(Data!$B163:$U163,INDEX(Pengaturan!$B$8:$B$27,E$4)))</f>
        <v>0</v>
      </c>
      <c r="F163" s="26" t="n">
        <f aca="false">IF(INDEX(Pengaturan!$B$8:$B$27,F$4)="",0,COUNTIF(Data!$B163:$U163,INDEX(Pengaturan!$B$8:$B$27,F$4)))</f>
        <v>0</v>
      </c>
      <c r="G163" s="26" t="n">
        <f aca="false">IF(INDEX(Pengaturan!$B$8:$B$27,G$4)="",0,COUNTIF(Data!$B163:$U163,INDEX(Pengaturan!$B$8:$B$27,G$4)))</f>
        <v>0</v>
      </c>
      <c r="H163" s="26" t="n">
        <f aca="false">IF(INDEX(Pengaturan!$B$8:$B$27,H$4)="",0,COUNTIF(Data!$B163:$U163,INDEX(Pengaturan!$B$8:$B$27,H$4)))</f>
        <v>0</v>
      </c>
      <c r="I163" s="26" t="n">
        <f aca="false">IF(INDEX(Pengaturan!$B$8:$B$27,I$4)="",0,COUNTIF(Data!$B163:$U163,INDEX(Pengaturan!$B$8:$B$27,I$4)))</f>
        <v>0</v>
      </c>
      <c r="J163" s="26" t="n">
        <f aca="false">IF(INDEX(Pengaturan!$B$8:$B$27,J$4)="",0,COUNTIF(Data!$B163:$U163,INDEX(Pengaturan!$B$8:$B$27,J$4)))</f>
        <v>0</v>
      </c>
      <c r="K163" s="26" t="n">
        <f aca="false">IF(INDEX(Pengaturan!$B$8:$B$27,K$4)="",0,COUNTIF(Data!$B163:$U163,INDEX(Pengaturan!$B$8:$B$27,K$4)))</f>
        <v>0</v>
      </c>
      <c r="L163" s="26" t="n">
        <f aca="false">IF(INDEX(Pengaturan!$B$8:$B$27,L$4)="",0,COUNTIF(Data!$B163:$U163,INDEX(Pengaturan!$B$8:$B$27,L$4)))</f>
        <v>0</v>
      </c>
      <c r="M163" s="26" t="n">
        <f aca="false">IF(INDEX(Pengaturan!$B$8:$B$27,M$4)="",0,COUNTIF(Data!$B163:$U163,INDEX(Pengaturan!$B$8:$B$27,M$4)))</f>
        <v>0</v>
      </c>
      <c r="N163" s="26" t="n">
        <f aca="false">IF(INDEX(Pengaturan!$B$8:$B$27,N$4)="",0,COUNTIF(Data!$B163:$U163,INDEX(Pengaturan!$B$8:$B$27,N$4)))</f>
        <v>0</v>
      </c>
      <c r="O163" s="26" t="n">
        <f aca="false">IF(INDEX(Pengaturan!$B$8:$B$27,O$4)="",0,COUNTIF(Data!$B163:$U163,INDEX(Pengaturan!$B$8:$B$27,O$4)))</f>
        <v>0</v>
      </c>
      <c r="P163" s="26" t="n">
        <f aca="false">IF(INDEX(Pengaturan!$B$8:$B$27,P$4)="",0,COUNTIF(Data!$B163:$U163,INDEX(Pengaturan!$B$8:$B$27,P$4)))</f>
        <v>0</v>
      </c>
      <c r="Q163" s="26" t="n">
        <f aca="false">IF(INDEX(Pengaturan!$B$8:$B$27,Q$4)="",0,COUNTIF(Data!$B163:$U163,INDEX(Pengaturan!$B$8:$B$27,Q$4)))</f>
        <v>0</v>
      </c>
      <c r="R163" s="26" t="n">
        <f aca="false">IF(INDEX(Pengaturan!$B$8:$B$27,R$4)="",0,COUNTIF(Data!$B163:$U163,INDEX(Pengaturan!$B$8:$B$27,R$4)))</f>
        <v>0</v>
      </c>
      <c r="S163" s="26" t="n">
        <f aca="false">IF(INDEX(Pengaturan!$B$8:$B$27,S$4)="",0,COUNTIF(Data!$B163:$U163,INDEX(Pengaturan!$B$8:$B$27,S$4)))</f>
        <v>0</v>
      </c>
      <c r="T163" s="26" t="n">
        <f aca="false">IF(INDEX(Pengaturan!$B$8:$B$27,T$4)="",0,COUNTIF(Data!$B163:$U163,INDEX(Pengaturan!$B$8:$B$27,T$4)))</f>
        <v>0</v>
      </c>
      <c r="U163" s="26" t="n">
        <f aca="false">IF(INDEX(Pengaturan!$B$8:$B$27,U$4)="",0,COUNTIF(Data!$B163:$U163,INDEX(Pengaturan!$B$8:$B$27,U$4)))</f>
        <v>0</v>
      </c>
      <c r="V163" s="26" t="n">
        <f aca="false">COUNTA(Data!$B163:$U163)</f>
        <v>0</v>
      </c>
      <c r="W163" s="27" t="str">
        <f aca="false">IF(V163=0,"",IF(V163&lt;&gt;Hasil!$C$4,"Data kosong/tidak lengkap",IF(SUM(B163:U163)&lt;&gt;V163,"Kategori tidak dikenal","OK")))</f>
        <v/>
      </c>
      <c r="X163" s="26" t="n">
        <f aca="false">IF(OR(W163="",W163="OK"),0,1)</f>
        <v>0</v>
      </c>
    </row>
    <row r="164" customFormat="false" ht="15" hidden="false" customHeight="false" outlineLevel="0" collapsed="false">
      <c r="A164" s="26" t="n">
        <f aca="false">Data!A164</f>
        <v>159</v>
      </c>
      <c r="B164" s="26" t="n">
        <f aca="false">IF(INDEX(Pengaturan!$B$8:$B$27,B$4)="",0,COUNTIF(Data!$B164:$U164,INDEX(Pengaturan!$B$8:$B$27,B$4)))</f>
        <v>0</v>
      </c>
      <c r="C164" s="26" t="n">
        <f aca="false">IF(INDEX(Pengaturan!$B$8:$B$27,C$4)="",0,COUNTIF(Data!$B164:$U164,INDEX(Pengaturan!$B$8:$B$27,C$4)))</f>
        <v>0</v>
      </c>
      <c r="D164" s="26" t="n">
        <f aca="false">IF(INDEX(Pengaturan!$B$8:$B$27,D$4)="",0,COUNTIF(Data!$B164:$U164,INDEX(Pengaturan!$B$8:$B$27,D$4)))</f>
        <v>0</v>
      </c>
      <c r="E164" s="26" t="n">
        <f aca="false">IF(INDEX(Pengaturan!$B$8:$B$27,E$4)="",0,COUNTIF(Data!$B164:$U164,INDEX(Pengaturan!$B$8:$B$27,E$4)))</f>
        <v>0</v>
      </c>
      <c r="F164" s="26" t="n">
        <f aca="false">IF(INDEX(Pengaturan!$B$8:$B$27,F$4)="",0,COUNTIF(Data!$B164:$U164,INDEX(Pengaturan!$B$8:$B$27,F$4)))</f>
        <v>0</v>
      </c>
      <c r="G164" s="26" t="n">
        <f aca="false">IF(INDEX(Pengaturan!$B$8:$B$27,G$4)="",0,COUNTIF(Data!$B164:$U164,INDEX(Pengaturan!$B$8:$B$27,G$4)))</f>
        <v>0</v>
      </c>
      <c r="H164" s="26" t="n">
        <f aca="false">IF(INDEX(Pengaturan!$B$8:$B$27,H$4)="",0,COUNTIF(Data!$B164:$U164,INDEX(Pengaturan!$B$8:$B$27,H$4)))</f>
        <v>0</v>
      </c>
      <c r="I164" s="26" t="n">
        <f aca="false">IF(INDEX(Pengaturan!$B$8:$B$27,I$4)="",0,COUNTIF(Data!$B164:$U164,INDEX(Pengaturan!$B$8:$B$27,I$4)))</f>
        <v>0</v>
      </c>
      <c r="J164" s="26" t="n">
        <f aca="false">IF(INDEX(Pengaturan!$B$8:$B$27,J$4)="",0,COUNTIF(Data!$B164:$U164,INDEX(Pengaturan!$B$8:$B$27,J$4)))</f>
        <v>0</v>
      </c>
      <c r="K164" s="26" t="n">
        <f aca="false">IF(INDEX(Pengaturan!$B$8:$B$27,K$4)="",0,COUNTIF(Data!$B164:$U164,INDEX(Pengaturan!$B$8:$B$27,K$4)))</f>
        <v>0</v>
      </c>
      <c r="L164" s="26" t="n">
        <f aca="false">IF(INDEX(Pengaturan!$B$8:$B$27,L$4)="",0,COUNTIF(Data!$B164:$U164,INDEX(Pengaturan!$B$8:$B$27,L$4)))</f>
        <v>0</v>
      </c>
      <c r="M164" s="26" t="n">
        <f aca="false">IF(INDEX(Pengaturan!$B$8:$B$27,M$4)="",0,COUNTIF(Data!$B164:$U164,INDEX(Pengaturan!$B$8:$B$27,M$4)))</f>
        <v>0</v>
      </c>
      <c r="N164" s="26" t="n">
        <f aca="false">IF(INDEX(Pengaturan!$B$8:$B$27,N$4)="",0,COUNTIF(Data!$B164:$U164,INDEX(Pengaturan!$B$8:$B$27,N$4)))</f>
        <v>0</v>
      </c>
      <c r="O164" s="26" t="n">
        <f aca="false">IF(INDEX(Pengaturan!$B$8:$B$27,O$4)="",0,COUNTIF(Data!$B164:$U164,INDEX(Pengaturan!$B$8:$B$27,O$4)))</f>
        <v>0</v>
      </c>
      <c r="P164" s="26" t="n">
        <f aca="false">IF(INDEX(Pengaturan!$B$8:$B$27,P$4)="",0,COUNTIF(Data!$B164:$U164,INDEX(Pengaturan!$B$8:$B$27,P$4)))</f>
        <v>0</v>
      </c>
      <c r="Q164" s="26" t="n">
        <f aca="false">IF(INDEX(Pengaturan!$B$8:$B$27,Q$4)="",0,COUNTIF(Data!$B164:$U164,INDEX(Pengaturan!$B$8:$B$27,Q$4)))</f>
        <v>0</v>
      </c>
      <c r="R164" s="26" t="n">
        <f aca="false">IF(INDEX(Pengaturan!$B$8:$B$27,R$4)="",0,COUNTIF(Data!$B164:$U164,INDEX(Pengaturan!$B$8:$B$27,R$4)))</f>
        <v>0</v>
      </c>
      <c r="S164" s="26" t="n">
        <f aca="false">IF(INDEX(Pengaturan!$B$8:$B$27,S$4)="",0,COUNTIF(Data!$B164:$U164,INDEX(Pengaturan!$B$8:$B$27,S$4)))</f>
        <v>0</v>
      </c>
      <c r="T164" s="26" t="n">
        <f aca="false">IF(INDEX(Pengaturan!$B$8:$B$27,T$4)="",0,COUNTIF(Data!$B164:$U164,INDEX(Pengaturan!$B$8:$B$27,T$4)))</f>
        <v>0</v>
      </c>
      <c r="U164" s="26" t="n">
        <f aca="false">IF(INDEX(Pengaturan!$B$8:$B$27,U$4)="",0,COUNTIF(Data!$B164:$U164,INDEX(Pengaturan!$B$8:$B$27,U$4)))</f>
        <v>0</v>
      </c>
      <c r="V164" s="26" t="n">
        <f aca="false">COUNTA(Data!$B164:$U164)</f>
        <v>0</v>
      </c>
      <c r="W164" s="27" t="str">
        <f aca="false">IF(V164=0,"",IF(V164&lt;&gt;Hasil!$C$4,"Data kosong/tidak lengkap",IF(SUM(B164:U164)&lt;&gt;V164,"Kategori tidak dikenal","OK")))</f>
        <v/>
      </c>
      <c r="X164" s="26" t="n">
        <f aca="false">IF(OR(W164="",W164="OK"),0,1)</f>
        <v>0</v>
      </c>
    </row>
    <row r="165" customFormat="false" ht="15" hidden="false" customHeight="false" outlineLevel="0" collapsed="false">
      <c r="A165" s="26" t="n">
        <f aca="false">Data!A165</f>
        <v>160</v>
      </c>
      <c r="B165" s="26" t="n">
        <f aca="false">IF(INDEX(Pengaturan!$B$8:$B$27,B$4)="",0,COUNTIF(Data!$B165:$U165,INDEX(Pengaturan!$B$8:$B$27,B$4)))</f>
        <v>0</v>
      </c>
      <c r="C165" s="26" t="n">
        <f aca="false">IF(INDEX(Pengaturan!$B$8:$B$27,C$4)="",0,COUNTIF(Data!$B165:$U165,INDEX(Pengaturan!$B$8:$B$27,C$4)))</f>
        <v>0</v>
      </c>
      <c r="D165" s="26" t="n">
        <f aca="false">IF(INDEX(Pengaturan!$B$8:$B$27,D$4)="",0,COUNTIF(Data!$B165:$U165,INDEX(Pengaturan!$B$8:$B$27,D$4)))</f>
        <v>0</v>
      </c>
      <c r="E165" s="26" t="n">
        <f aca="false">IF(INDEX(Pengaturan!$B$8:$B$27,E$4)="",0,COUNTIF(Data!$B165:$U165,INDEX(Pengaturan!$B$8:$B$27,E$4)))</f>
        <v>0</v>
      </c>
      <c r="F165" s="26" t="n">
        <f aca="false">IF(INDEX(Pengaturan!$B$8:$B$27,F$4)="",0,COUNTIF(Data!$B165:$U165,INDEX(Pengaturan!$B$8:$B$27,F$4)))</f>
        <v>0</v>
      </c>
      <c r="G165" s="26" t="n">
        <f aca="false">IF(INDEX(Pengaturan!$B$8:$B$27,G$4)="",0,COUNTIF(Data!$B165:$U165,INDEX(Pengaturan!$B$8:$B$27,G$4)))</f>
        <v>0</v>
      </c>
      <c r="H165" s="26" t="n">
        <f aca="false">IF(INDEX(Pengaturan!$B$8:$B$27,H$4)="",0,COUNTIF(Data!$B165:$U165,INDEX(Pengaturan!$B$8:$B$27,H$4)))</f>
        <v>0</v>
      </c>
      <c r="I165" s="26" t="n">
        <f aca="false">IF(INDEX(Pengaturan!$B$8:$B$27,I$4)="",0,COUNTIF(Data!$B165:$U165,INDEX(Pengaturan!$B$8:$B$27,I$4)))</f>
        <v>0</v>
      </c>
      <c r="J165" s="26" t="n">
        <f aca="false">IF(INDEX(Pengaturan!$B$8:$B$27,J$4)="",0,COUNTIF(Data!$B165:$U165,INDEX(Pengaturan!$B$8:$B$27,J$4)))</f>
        <v>0</v>
      </c>
      <c r="K165" s="26" t="n">
        <f aca="false">IF(INDEX(Pengaturan!$B$8:$B$27,K$4)="",0,COUNTIF(Data!$B165:$U165,INDEX(Pengaturan!$B$8:$B$27,K$4)))</f>
        <v>0</v>
      </c>
      <c r="L165" s="26" t="n">
        <f aca="false">IF(INDEX(Pengaturan!$B$8:$B$27,L$4)="",0,COUNTIF(Data!$B165:$U165,INDEX(Pengaturan!$B$8:$B$27,L$4)))</f>
        <v>0</v>
      </c>
      <c r="M165" s="26" t="n">
        <f aca="false">IF(INDEX(Pengaturan!$B$8:$B$27,M$4)="",0,COUNTIF(Data!$B165:$U165,INDEX(Pengaturan!$B$8:$B$27,M$4)))</f>
        <v>0</v>
      </c>
      <c r="N165" s="26" t="n">
        <f aca="false">IF(INDEX(Pengaturan!$B$8:$B$27,N$4)="",0,COUNTIF(Data!$B165:$U165,INDEX(Pengaturan!$B$8:$B$27,N$4)))</f>
        <v>0</v>
      </c>
      <c r="O165" s="26" t="n">
        <f aca="false">IF(INDEX(Pengaturan!$B$8:$B$27,O$4)="",0,COUNTIF(Data!$B165:$U165,INDEX(Pengaturan!$B$8:$B$27,O$4)))</f>
        <v>0</v>
      </c>
      <c r="P165" s="26" t="n">
        <f aca="false">IF(INDEX(Pengaturan!$B$8:$B$27,P$4)="",0,COUNTIF(Data!$B165:$U165,INDEX(Pengaturan!$B$8:$B$27,P$4)))</f>
        <v>0</v>
      </c>
      <c r="Q165" s="26" t="n">
        <f aca="false">IF(INDEX(Pengaturan!$B$8:$B$27,Q$4)="",0,COUNTIF(Data!$B165:$U165,INDEX(Pengaturan!$B$8:$B$27,Q$4)))</f>
        <v>0</v>
      </c>
      <c r="R165" s="26" t="n">
        <f aca="false">IF(INDEX(Pengaturan!$B$8:$B$27,R$4)="",0,COUNTIF(Data!$B165:$U165,INDEX(Pengaturan!$B$8:$B$27,R$4)))</f>
        <v>0</v>
      </c>
      <c r="S165" s="26" t="n">
        <f aca="false">IF(INDEX(Pengaturan!$B$8:$B$27,S$4)="",0,COUNTIF(Data!$B165:$U165,INDEX(Pengaturan!$B$8:$B$27,S$4)))</f>
        <v>0</v>
      </c>
      <c r="T165" s="26" t="n">
        <f aca="false">IF(INDEX(Pengaturan!$B$8:$B$27,T$4)="",0,COUNTIF(Data!$B165:$U165,INDEX(Pengaturan!$B$8:$B$27,T$4)))</f>
        <v>0</v>
      </c>
      <c r="U165" s="26" t="n">
        <f aca="false">IF(INDEX(Pengaturan!$B$8:$B$27,U$4)="",0,COUNTIF(Data!$B165:$U165,INDEX(Pengaturan!$B$8:$B$27,U$4)))</f>
        <v>0</v>
      </c>
      <c r="V165" s="26" t="n">
        <f aca="false">COUNTA(Data!$B165:$U165)</f>
        <v>0</v>
      </c>
      <c r="W165" s="27" t="str">
        <f aca="false">IF(V165=0,"",IF(V165&lt;&gt;Hasil!$C$4,"Data kosong/tidak lengkap",IF(SUM(B165:U165)&lt;&gt;V165,"Kategori tidak dikenal","OK")))</f>
        <v/>
      </c>
      <c r="X165" s="26" t="n">
        <f aca="false">IF(OR(W165="",W165="OK"),0,1)</f>
        <v>0</v>
      </c>
    </row>
    <row r="166" customFormat="false" ht="15" hidden="false" customHeight="false" outlineLevel="0" collapsed="false">
      <c r="A166" s="26" t="n">
        <f aca="false">Data!A166</f>
        <v>161</v>
      </c>
      <c r="B166" s="26" t="n">
        <f aca="false">IF(INDEX(Pengaturan!$B$8:$B$27,B$4)="",0,COUNTIF(Data!$B166:$U166,INDEX(Pengaturan!$B$8:$B$27,B$4)))</f>
        <v>0</v>
      </c>
      <c r="C166" s="26" t="n">
        <f aca="false">IF(INDEX(Pengaturan!$B$8:$B$27,C$4)="",0,COUNTIF(Data!$B166:$U166,INDEX(Pengaturan!$B$8:$B$27,C$4)))</f>
        <v>0</v>
      </c>
      <c r="D166" s="26" t="n">
        <f aca="false">IF(INDEX(Pengaturan!$B$8:$B$27,D$4)="",0,COUNTIF(Data!$B166:$U166,INDEX(Pengaturan!$B$8:$B$27,D$4)))</f>
        <v>0</v>
      </c>
      <c r="E166" s="26" t="n">
        <f aca="false">IF(INDEX(Pengaturan!$B$8:$B$27,E$4)="",0,COUNTIF(Data!$B166:$U166,INDEX(Pengaturan!$B$8:$B$27,E$4)))</f>
        <v>0</v>
      </c>
      <c r="F166" s="26" t="n">
        <f aca="false">IF(INDEX(Pengaturan!$B$8:$B$27,F$4)="",0,COUNTIF(Data!$B166:$U166,INDEX(Pengaturan!$B$8:$B$27,F$4)))</f>
        <v>0</v>
      </c>
      <c r="G166" s="26" t="n">
        <f aca="false">IF(INDEX(Pengaturan!$B$8:$B$27,G$4)="",0,COUNTIF(Data!$B166:$U166,INDEX(Pengaturan!$B$8:$B$27,G$4)))</f>
        <v>0</v>
      </c>
      <c r="H166" s="26" t="n">
        <f aca="false">IF(INDEX(Pengaturan!$B$8:$B$27,H$4)="",0,COUNTIF(Data!$B166:$U166,INDEX(Pengaturan!$B$8:$B$27,H$4)))</f>
        <v>0</v>
      </c>
      <c r="I166" s="26" t="n">
        <f aca="false">IF(INDEX(Pengaturan!$B$8:$B$27,I$4)="",0,COUNTIF(Data!$B166:$U166,INDEX(Pengaturan!$B$8:$B$27,I$4)))</f>
        <v>0</v>
      </c>
      <c r="J166" s="26" t="n">
        <f aca="false">IF(INDEX(Pengaturan!$B$8:$B$27,J$4)="",0,COUNTIF(Data!$B166:$U166,INDEX(Pengaturan!$B$8:$B$27,J$4)))</f>
        <v>0</v>
      </c>
      <c r="K166" s="26" t="n">
        <f aca="false">IF(INDEX(Pengaturan!$B$8:$B$27,K$4)="",0,COUNTIF(Data!$B166:$U166,INDEX(Pengaturan!$B$8:$B$27,K$4)))</f>
        <v>0</v>
      </c>
      <c r="L166" s="26" t="n">
        <f aca="false">IF(INDEX(Pengaturan!$B$8:$B$27,L$4)="",0,COUNTIF(Data!$B166:$U166,INDEX(Pengaturan!$B$8:$B$27,L$4)))</f>
        <v>0</v>
      </c>
      <c r="M166" s="26" t="n">
        <f aca="false">IF(INDEX(Pengaturan!$B$8:$B$27,M$4)="",0,COUNTIF(Data!$B166:$U166,INDEX(Pengaturan!$B$8:$B$27,M$4)))</f>
        <v>0</v>
      </c>
      <c r="N166" s="26" t="n">
        <f aca="false">IF(INDEX(Pengaturan!$B$8:$B$27,N$4)="",0,COUNTIF(Data!$B166:$U166,INDEX(Pengaturan!$B$8:$B$27,N$4)))</f>
        <v>0</v>
      </c>
      <c r="O166" s="26" t="n">
        <f aca="false">IF(INDEX(Pengaturan!$B$8:$B$27,O$4)="",0,COUNTIF(Data!$B166:$U166,INDEX(Pengaturan!$B$8:$B$27,O$4)))</f>
        <v>0</v>
      </c>
      <c r="P166" s="26" t="n">
        <f aca="false">IF(INDEX(Pengaturan!$B$8:$B$27,P$4)="",0,COUNTIF(Data!$B166:$U166,INDEX(Pengaturan!$B$8:$B$27,P$4)))</f>
        <v>0</v>
      </c>
      <c r="Q166" s="26" t="n">
        <f aca="false">IF(INDEX(Pengaturan!$B$8:$B$27,Q$4)="",0,COUNTIF(Data!$B166:$U166,INDEX(Pengaturan!$B$8:$B$27,Q$4)))</f>
        <v>0</v>
      </c>
      <c r="R166" s="26" t="n">
        <f aca="false">IF(INDEX(Pengaturan!$B$8:$B$27,R$4)="",0,COUNTIF(Data!$B166:$U166,INDEX(Pengaturan!$B$8:$B$27,R$4)))</f>
        <v>0</v>
      </c>
      <c r="S166" s="26" t="n">
        <f aca="false">IF(INDEX(Pengaturan!$B$8:$B$27,S$4)="",0,COUNTIF(Data!$B166:$U166,INDEX(Pengaturan!$B$8:$B$27,S$4)))</f>
        <v>0</v>
      </c>
      <c r="T166" s="26" t="n">
        <f aca="false">IF(INDEX(Pengaturan!$B$8:$B$27,T$4)="",0,COUNTIF(Data!$B166:$U166,INDEX(Pengaturan!$B$8:$B$27,T$4)))</f>
        <v>0</v>
      </c>
      <c r="U166" s="26" t="n">
        <f aca="false">IF(INDEX(Pengaturan!$B$8:$B$27,U$4)="",0,COUNTIF(Data!$B166:$U166,INDEX(Pengaturan!$B$8:$B$27,U$4)))</f>
        <v>0</v>
      </c>
      <c r="V166" s="26" t="n">
        <f aca="false">COUNTA(Data!$B166:$U166)</f>
        <v>0</v>
      </c>
      <c r="W166" s="27" t="str">
        <f aca="false">IF(V166=0,"",IF(V166&lt;&gt;Hasil!$C$4,"Data kosong/tidak lengkap",IF(SUM(B166:U166)&lt;&gt;V166,"Kategori tidak dikenal","OK")))</f>
        <v/>
      </c>
      <c r="X166" s="26" t="n">
        <f aca="false">IF(OR(W166="",W166="OK"),0,1)</f>
        <v>0</v>
      </c>
    </row>
    <row r="167" customFormat="false" ht="15" hidden="false" customHeight="false" outlineLevel="0" collapsed="false">
      <c r="A167" s="26" t="n">
        <f aca="false">Data!A167</f>
        <v>162</v>
      </c>
      <c r="B167" s="26" t="n">
        <f aca="false">IF(INDEX(Pengaturan!$B$8:$B$27,B$4)="",0,COUNTIF(Data!$B167:$U167,INDEX(Pengaturan!$B$8:$B$27,B$4)))</f>
        <v>0</v>
      </c>
      <c r="C167" s="26" t="n">
        <f aca="false">IF(INDEX(Pengaturan!$B$8:$B$27,C$4)="",0,COUNTIF(Data!$B167:$U167,INDEX(Pengaturan!$B$8:$B$27,C$4)))</f>
        <v>0</v>
      </c>
      <c r="D167" s="26" t="n">
        <f aca="false">IF(INDEX(Pengaturan!$B$8:$B$27,D$4)="",0,COUNTIF(Data!$B167:$U167,INDEX(Pengaturan!$B$8:$B$27,D$4)))</f>
        <v>0</v>
      </c>
      <c r="E167" s="26" t="n">
        <f aca="false">IF(INDEX(Pengaturan!$B$8:$B$27,E$4)="",0,COUNTIF(Data!$B167:$U167,INDEX(Pengaturan!$B$8:$B$27,E$4)))</f>
        <v>0</v>
      </c>
      <c r="F167" s="26" t="n">
        <f aca="false">IF(INDEX(Pengaturan!$B$8:$B$27,F$4)="",0,COUNTIF(Data!$B167:$U167,INDEX(Pengaturan!$B$8:$B$27,F$4)))</f>
        <v>0</v>
      </c>
      <c r="G167" s="26" t="n">
        <f aca="false">IF(INDEX(Pengaturan!$B$8:$B$27,G$4)="",0,COUNTIF(Data!$B167:$U167,INDEX(Pengaturan!$B$8:$B$27,G$4)))</f>
        <v>0</v>
      </c>
      <c r="H167" s="26" t="n">
        <f aca="false">IF(INDEX(Pengaturan!$B$8:$B$27,H$4)="",0,COUNTIF(Data!$B167:$U167,INDEX(Pengaturan!$B$8:$B$27,H$4)))</f>
        <v>0</v>
      </c>
      <c r="I167" s="26" t="n">
        <f aca="false">IF(INDEX(Pengaturan!$B$8:$B$27,I$4)="",0,COUNTIF(Data!$B167:$U167,INDEX(Pengaturan!$B$8:$B$27,I$4)))</f>
        <v>0</v>
      </c>
      <c r="J167" s="26" t="n">
        <f aca="false">IF(INDEX(Pengaturan!$B$8:$B$27,J$4)="",0,COUNTIF(Data!$B167:$U167,INDEX(Pengaturan!$B$8:$B$27,J$4)))</f>
        <v>0</v>
      </c>
      <c r="K167" s="26" t="n">
        <f aca="false">IF(INDEX(Pengaturan!$B$8:$B$27,K$4)="",0,COUNTIF(Data!$B167:$U167,INDEX(Pengaturan!$B$8:$B$27,K$4)))</f>
        <v>0</v>
      </c>
      <c r="L167" s="26" t="n">
        <f aca="false">IF(INDEX(Pengaturan!$B$8:$B$27,L$4)="",0,COUNTIF(Data!$B167:$U167,INDEX(Pengaturan!$B$8:$B$27,L$4)))</f>
        <v>0</v>
      </c>
      <c r="M167" s="26" t="n">
        <f aca="false">IF(INDEX(Pengaturan!$B$8:$B$27,M$4)="",0,COUNTIF(Data!$B167:$U167,INDEX(Pengaturan!$B$8:$B$27,M$4)))</f>
        <v>0</v>
      </c>
      <c r="N167" s="26" t="n">
        <f aca="false">IF(INDEX(Pengaturan!$B$8:$B$27,N$4)="",0,COUNTIF(Data!$B167:$U167,INDEX(Pengaturan!$B$8:$B$27,N$4)))</f>
        <v>0</v>
      </c>
      <c r="O167" s="26" t="n">
        <f aca="false">IF(INDEX(Pengaturan!$B$8:$B$27,O$4)="",0,COUNTIF(Data!$B167:$U167,INDEX(Pengaturan!$B$8:$B$27,O$4)))</f>
        <v>0</v>
      </c>
      <c r="P167" s="26" t="n">
        <f aca="false">IF(INDEX(Pengaturan!$B$8:$B$27,P$4)="",0,COUNTIF(Data!$B167:$U167,INDEX(Pengaturan!$B$8:$B$27,P$4)))</f>
        <v>0</v>
      </c>
      <c r="Q167" s="26" t="n">
        <f aca="false">IF(INDEX(Pengaturan!$B$8:$B$27,Q$4)="",0,COUNTIF(Data!$B167:$U167,INDEX(Pengaturan!$B$8:$B$27,Q$4)))</f>
        <v>0</v>
      </c>
      <c r="R167" s="26" t="n">
        <f aca="false">IF(INDEX(Pengaturan!$B$8:$B$27,R$4)="",0,COUNTIF(Data!$B167:$U167,INDEX(Pengaturan!$B$8:$B$27,R$4)))</f>
        <v>0</v>
      </c>
      <c r="S167" s="26" t="n">
        <f aca="false">IF(INDEX(Pengaturan!$B$8:$B$27,S$4)="",0,COUNTIF(Data!$B167:$U167,INDEX(Pengaturan!$B$8:$B$27,S$4)))</f>
        <v>0</v>
      </c>
      <c r="T167" s="26" t="n">
        <f aca="false">IF(INDEX(Pengaturan!$B$8:$B$27,T$4)="",0,COUNTIF(Data!$B167:$U167,INDEX(Pengaturan!$B$8:$B$27,T$4)))</f>
        <v>0</v>
      </c>
      <c r="U167" s="26" t="n">
        <f aca="false">IF(INDEX(Pengaturan!$B$8:$B$27,U$4)="",0,COUNTIF(Data!$B167:$U167,INDEX(Pengaturan!$B$8:$B$27,U$4)))</f>
        <v>0</v>
      </c>
      <c r="V167" s="26" t="n">
        <f aca="false">COUNTA(Data!$B167:$U167)</f>
        <v>0</v>
      </c>
      <c r="W167" s="27" t="str">
        <f aca="false">IF(V167=0,"",IF(V167&lt;&gt;Hasil!$C$4,"Data kosong/tidak lengkap",IF(SUM(B167:U167)&lt;&gt;V167,"Kategori tidak dikenal","OK")))</f>
        <v/>
      </c>
      <c r="X167" s="26" t="n">
        <f aca="false">IF(OR(W167="",W167="OK"),0,1)</f>
        <v>0</v>
      </c>
    </row>
    <row r="168" customFormat="false" ht="15" hidden="false" customHeight="false" outlineLevel="0" collapsed="false">
      <c r="A168" s="26" t="n">
        <f aca="false">Data!A168</f>
        <v>163</v>
      </c>
      <c r="B168" s="26" t="n">
        <f aca="false">IF(INDEX(Pengaturan!$B$8:$B$27,B$4)="",0,COUNTIF(Data!$B168:$U168,INDEX(Pengaturan!$B$8:$B$27,B$4)))</f>
        <v>0</v>
      </c>
      <c r="C168" s="26" t="n">
        <f aca="false">IF(INDEX(Pengaturan!$B$8:$B$27,C$4)="",0,COUNTIF(Data!$B168:$U168,INDEX(Pengaturan!$B$8:$B$27,C$4)))</f>
        <v>0</v>
      </c>
      <c r="D168" s="26" t="n">
        <f aca="false">IF(INDEX(Pengaturan!$B$8:$B$27,D$4)="",0,COUNTIF(Data!$B168:$U168,INDEX(Pengaturan!$B$8:$B$27,D$4)))</f>
        <v>0</v>
      </c>
      <c r="E168" s="26" t="n">
        <f aca="false">IF(INDEX(Pengaturan!$B$8:$B$27,E$4)="",0,COUNTIF(Data!$B168:$U168,INDEX(Pengaturan!$B$8:$B$27,E$4)))</f>
        <v>0</v>
      </c>
      <c r="F168" s="26" t="n">
        <f aca="false">IF(INDEX(Pengaturan!$B$8:$B$27,F$4)="",0,COUNTIF(Data!$B168:$U168,INDEX(Pengaturan!$B$8:$B$27,F$4)))</f>
        <v>0</v>
      </c>
      <c r="G168" s="26" t="n">
        <f aca="false">IF(INDEX(Pengaturan!$B$8:$B$27,G$4)="",0,COUNTIF(Data!$B168:$U168,INDEX(Pengaturan!$B$8:$B$27,G$4)))</f>
        <v>0</v>
      </c>
      <c r="H168" s="26" t="n">
        <f aca="false">IF(INDEX(Pengaturan!$B$8:$B$27,H$4)="",0,COUNTIF(Data!$B168:$U168,INDEX(Pengaturan!$B$8:$B$27,H$4)))</f>
        <v>0</v>
      </c>
      <c r="I168" s="26" t="n">
        <f aca="false">IF(INDEX(Pengaturan!$B$8:$B$27,I$4)="",0,COUNTIF(Data!$B168:$U168,INDEX(Pengaturan!$B$8:$B$27,I$4)))</f>
        <v>0</v>
      </c>
      <c r="J168" s="26" t="n">
        <f aca="false">IF(INDEX(Pengaturan!$B$8:$B$27,J$4)="",0,COUNTIF(Data!$B168:$U168,INDEX(Pengaturan!$B$8:$B$27,J$4)))</f>
        <v>0</v>
      </c>
      <c r="K168" s="26" t="n">
        <f aca="false">IF(INDEX(Pengaturan!$B$8:$B$27,K$4)="",0,COUNTIF(Data!$B168:$U168,INDEX(Pengaturan!$B$8:$B$27,K$4)))</f>
        <v>0</v>
      </c>
      <c r="L168" s="26" t="n">
        <f aca="false">IF(INDEX(Pengaturan!$B$8:$B$27,L$4)="",0,COUNTIF(Data!$B168:$U168,INDEX(Pengaturan!$B$8:$B$27,L$4)))</f>
        <v>0</v>
      </c>
      <c r="M168" s="26" t="n">
        <f aca="false">IF(INDEX(Pengaturan!$B$8:$B$27,M$4)="",0,COUNTIF(Data!$B168:$U168,INDEX(Pengaturan!$B$8:$B$27,M$4)))</f>
        <v>0</v>
      </c>
      <c r="N168" s="26" t="n">
        <f aca="false">IF(INDEX(Pengaturan!$B$8:$B$27,N$4)="",0,COUNTIF(Data!$B168:$U168,INDEX(Pengaturan!$B$8:$B$27,N$4)))</f>
        <v>0</v>
      </c>
      <c r="O168" s="26" t="n">
        <f aca="false">IF(INDEX(Pengaturan!$B$8:$B$27,O$4)="",0,COUNTIF(Data!$B168:$U168,INDEX(Pengaturan!$B$8:$B$27,O$4)))</f>
        <v>0</v>
      </c>
      <c r="P168" s="26" t="n">
        <f aca="false">IF(INDEX(Pengaturan!$B$8:$B$27,P$4)="",0,COUNTIF(Data!$B168:$U168,INDEX(Pengaturan!$B$8:$B$27,P$4)))</f>
        <v>0</v>
      </c>
      <c r="Q168" s="26" t="n">
        <f aca="false">IF(INDEX(Pengaturan!$B$8:$B$27,Q$4)="",0,COUNTIF(Data!$B168:$U168,INDEX(Pengaturan!$B$8:$B$27,Q$4)))</f>
        <v>0</v>
      </c>
      <c r="R168" s="26" t="n">
        <f aca="false">IF(INDEX(Pengaturan!$B$8:$B$27,R$4)="",0,COUNTIF(Data!$B168:$U168,INDEX(Pengaturan!$B$8:$B$27,R$4)))</f>
        <v>0</v>
      </c>
      <c r="S168" s="26" t="n">
        <f aca="false">IF(INDEX(Pengaturan!$B$8:$B$27,S$4)="",0,COUNTIF(Data!$B168:$U168,INDEX(Pengaturan!$B$8:$B$27,S$4)))</f>
        <v>0</v>
      </c>
      <c r="T168" s="26" t="n">
        <f aca="false">IF(INDEX(Pengaturan!$B$8:$B$27,T$4)="",0,COUNTIF(Data!$B168:$U168,INDEX(Pengaturan!$B$8:$B$27,T$4)))</f>
        <v>0</v>
      </c>
      <c r="U168" s="26" t="n">
        <f aca="false">IF(INDEX(Pengaturan!$B$8:$B$27,U$4)="",0,COUNTIF(Data!$B168:$U168,INDEX(Pengaturan!$B$8:$B$27,U$4)))</f>
        <v>0</v>
      </c>
      <c r="V168" s="26" t="n">
        <f aca="false">COUNTA(Data!$B168:$U168)</f>
        <v>0</v>
      </c>
      <c r="W168" s="27" t="str">
        <f aca="false">IF(V168=0,"",IF(V168&lt;&gt;Hasil!$C$4,"Data kosong/tidak lengkap",IF(SUM(B168:U168)&lt;&gt;V168,"Kategori tidak dikenal","OK")))</f>
        <v/>
      </c>
      <c r="X168" s="26" t="n">
        <f aca="false">IF(OR(W168="",W168="OK"),0,1)</f>
        <v>0</v>
      </c>
    </row>
    <row r="169" customFormat="false" ht="15" hidden="false" customHeight="false" outlineLevel="0" collapsed="false">
      <c r="A169" s="26" t="n">
        <f aca="false">Data!A169</f>
        <v>164</v>
      </c>
      <c r="B169" s="26" t="n">
        <f aca="false">IF(INDEX(Pengaturan!$B$8:$B$27,B$4)="",0,COUNTIF(Data!$B169:$U169,INDEX(Pengaturan!$B$8:$B$27,B$4)))</f>
        <v>0</v>
      </c>
      <c r="C169" s="26" t="n">
        <f aca="false">IF(INDEX(Pengaturan!$B$8:$B$27,C$4)="",0,COUNTIF(Data!$B169:$U169,INDEX(Pengaturan!$B$8:$B$27,C$4)))</f>
        <v>0</v>
      </c>
      <c r="D169" s="26" t="n">
        <f aca="false">IF(INDEX(Pengaturan!$B$8:$B$27,D$4)="",0,COUNTIF(Data!$B169:$U169,INDEX(Pengaturan!$B$8:$B$27,D$4)))</f>
        <v>0</v>
      </c>
      <c r="E169" s="26" t="n">
        <f aca="false">IF(INDEX(Pengaturan!$B$8:$B$27,E$4)="",0,COUNTIF(Data!$B169:$U169,INDEX(Pengaturan!$B$8:$B$27,E$4)))</f>
        <v>0</v>
      </c>
      <c r="F169" s="26" t="n">
        <f aca="false">IF(INDEX(Pengaturan!$B$8:$B$27,F$4)="",0,COUNTIF(Data!$B169:$U169,INDEX(Pengaturan!$B$8:$B$27,F$4)))</f>
        <v>0</v>
      </c>
      <c r="G169" s="26" t="n">
        <f aca="false">IF(INDEX(Pengaturan!$B$8:$B$27,G$4)="",0,COUNTIF(Data!$B169:$U169,INDEX(Pengaturan!$B$8:$B$27,G$4)))</f>
        <v>0</v>
      </c>
      <c r="H169" s="26" t="n">
        <f aca="false">IF(INDEX(Pengaturan!$B$8:$B$27,H$4)="",0,COUNTIF(Data!$B169:$U169,INDEX(Pengaturan!$B$8:$B$27,H$4)))</f>
        <v>0</v>
      </c>
      <c r="I169" s="26" t="n">
        <f aca="false">IF(INDEX(Pengaturan!$B$8:$B$27,I$4)="",0,COUNTIF(Data!$B169:$U169,INDEX(Pengaturan!$B$8:$B$27,I$4)))</f>
        <v>0</v>
      </c>
      <c r="J169" s="26" t="n">
        <f aca="false">IF(INDEX(Pengaturan!$B$8:$B$27,J$4)="",0,COUNTIF(Data!$B169:$U169,INDEX(Pengaturan!$B$8:$B$27,J$4)))</f>
        <v>0</v>
      </c>
      <c r="K169" s="26" t="n">
        <f aca="false">IF(INDEX(Pengaturan!$B$8:$B$27,K$4)="",0,COUNTIF(Data!$B169:$U169,INDEX(Pengaturan!$B$8:$B$27,K$4)))</f>
        <v>0</v>
      </c>
      <c r="L169" s="26" t="n">
        <f aca="false">IF(INDEX(Pengaturan!$B$8:$B$27,L$4)="",0,COUNTIF(Data!$B169:$U169,INDEX(Pengaturan!$B$8:$B$27,L$4)))</f>
        <v>0</v>
      </c>
      <c r="M169" s="26" t="n">
        <f aca="false">IF(INDEX(Pengaturan!$B$8:$B$27,M$4)="",0,COUNTIF(Data!$B169:$U169,INDEX(Pengaturan!$B$8:$B$27,M$4)))</f>
        <v>0</v>
      </c>
      <c r="N169" s="26" t="n">
        <f aca="false">IF(INDEX(Pengaturan!$B$8:$B$27,N$4)="",0,COUNTIF(Data!$B169:$U169,INDEX(Pengaturan!$B$8:$B$27,N$4)))</f>
        <v>0</v>
      </c>
      <c r="O169" s="26" t="n">
        <f aca="false">IF(INDEX(Pengaturan!$B$8:$B$27,O$4)="",0,COUNTIF(Data!$B169:$U169,INDEX(Pengaturan!$B$8:$B$27,O$4)))</f>
        <v>0</v>
      </c>
      <c r="P169" s="26" t="n">
        <f aca="false">IF(INDEX(Pengaturan!$B$8:$B$27,P$4)="",0,COUNTIF(Data!$B169:$U169,INDEX(Pengaturan!$B$8:$B$27,P$4)))</f>
        <v>0</v>
      </c>
      <c r="Q169" s="26" t="n">
        <f aca="false">IF(INDEX(Pengaturan!$B$8:$B$27,Q$4)="",0,COUNTIF(Data!$B169:$U169,INDEX(Pengaturan!$B$8:$B$27,Q$4)))</f>
        <v>0</v>
      </c>
      <c r="R169" s="26" t="n">
        <f aca="false">IF(INDEX(Pengaturan!$B$8:$B$27,R$4)="",0,COUNTIF(Data!$B169:$U169,INDEX(Pengaturan!$B$8:$B$27,R$4)))</f>
        <v>0</v>
      </c>
      <c r="S169" s="26" t="n">
        <f aca="false">IF(INDEX(Pengaturan!$B$8:$B$27,S$4)="",0,COUNTIF(Data!$B169:$U169,INDEX(Pengaturan!$B$8:$B$27,S$4)))</f>
        <v>0</v>
      </c>
      <c r="T169" s="26" t="n">
        <f aca="false">IF(INDEX(Pengaturan!$B$8:$B$27,T$4)="",0,COUNTIF(Data!$B169:$U169,INDEX(Pengaturan!$B$8:$B$27,T$4)))</f>
        <v>0</v>
      </c>
      <c r="U169" s="26" t="n">
        <f aca="false">IF(INDEX(Pengaturan!$B$8:$B$27,U$4)="",0,COUNTIF(Data!$B169:$U169,INDEX(Pengaturan!$B$8:$B$27,U$4)))</f>
        <v>0</v>
      </c>
      <c r="V169" s="26" t="n">
        <f aca="false">COUNTA(Data!$B169:$U169)</f>
        <v>0</v>
      </c>
      <c r="W169" s="27" t="str">
        <f aca="false">IF(V169=0,"",IF(V169&lt;&gt;Hasil!$C$4,"Data kosong/tidak lengkap",IF(SUM(B169:U169)&lt;&gt;V169,"Kategori tidak dikenal","OK")))</f>
        <v/>
      </c>
      <c r="X169" s="26" t="n">
        <f aca="false">IF(OR(W169="",W169="OK"),0,1)</f>
        <v>0</v>
      </c>
    </row>
    <row r="170" customFormat="false" ht="15" hidden="false" customHeight="false" outlineLevel="0" collapsed="false">
      <c r="A170" s="26" t="n">
        <f aca="false">Data!A170</f>
        <v>165</v>
      </c>
      <c r="B170" s="26" t="n">
        <f aca="false">IF(INDEX(Pengaturan!$B$8:$B$27,B$4)="",0,COUNTIF(Data!$B170:$U170,INDEX(Pengaturan!$B$8:$B$27,B$4)))</f>
        <v>0</v>
      </c>
      <c r="C170" s="26" t="n">
        <f aca="false">IF(INDEX(Pengaturan!$B$8:$B$27,C$4)="",0,COUNTIF(Data!$B170:$U170,INDEX(Pengaturan!$B$8:$B$27,C$4)))</f>
        <v>0</v>
      </c>
      <c r="D170" s="26" t="n">
        <f aca="false">IF(INDEX(Pengaturan!$B$8:$B$27,D$4)="",0,COUNTIF(Data!$B170:$U170,INDEX(Pengaturan!$B$8:$B$27,D$4)))</f>
        <v>0</v>
      </c>
      <c r="E170" s="26" t="n">
        <f aca="false">IF(INDEX(Pengaturan!$B$8:$B$27,E$4)="",0,COUNTIF(Data!$B170:$U170,INDEX(Pengaturan!$B$8:$B$27,E$4)))</f>
        <v>0</v>
      </c>
      <c r="F170" s="26" t="n">
        <f aca="false">IF(INDEX(Pengaturan!$B$8:$B$27,F$4)="",0,COUNTIF(Data!$B170:$U170,INDEX(Pengaturan!$B$8:$B$27,F$4)))</f>
        <v>0</v>
      </c>
      <c r="G170" s="26" t="n">
        <f aca="false">IF(INDEX(Pengaturan!$B$8:$B$27,G$4)="",0,COUNTIF(Data!$B170:$U170,INDEX(Pengaturan!$B$8:$B$27,G$4)))</f>
        <v>0</v>
      </c>
      <c r="H170" s="26" t="n">
        <f aca="false">IF(INDEX(Pengaturan!$B$8:$B$27,H$4)="",0,COUNTIF(Data!$B170:$U170,INDEX(Pengaturan!$B$8:$B$27,H$4)))</f>
        <v>0</v>
      </c>
      <c r="I170" s="26" t="n">
        <f aca="false">IF(INDEX(Pengaturan!$B$8:$B$27,I$4)="",0,COUNTIF(Data!$B170:$U170,INDEX(Pengaturan!$B$8:$B$27,I$4)))</f>
        <v>0</v>
      </c>
      <c r="J170" s="26" t="n">
        <f aca="false">IF(INDEX(Pengaturan!$B$8:$B$27,J$4)="",0,COUNTIF(Data!$B170:$U170,INDEX(Pengaturan!$B$8:$B$27,J$4)))</f>
        <v>0</v>
      </c>
      <c r="K170" s="26" t="n">
        <f aca="false">IF(INDEX(Pengaturan!$B$8:$B$27,K$4)="",0,COUNTIF(Data!$B170:$U170,INDEX(Pengaturan!$B$8:$B$27,K$4)))</f>
        <v>0</v>
      </c>
      <c r="L170" s="26" t="n">
        <f aca="false">IF(INDEX(Pengaturan!$B$8:$B$27,L$4)="",0,COUNTIF(Data!$B170:$U170,INDEX(Pengaturan!$B$8:$B$27,L$4)))</f>
        <v>0</v>
      </c>
      <c r="M170" s="26" t="n">
        <f aca="false">IF(INDEX(Pengaturan!$B$8:$B$27,M$4)="",0,COUNTIF(Data!$B170:$U170,INDEX(Pengaturan!$B$8:$B$27,M$4)))</f>
        <v>0</v>
      </c>
      <c r="N170" s="26" t="n">
        <f aca="false">IF(INDEX(Pengaturan!$B$8:$B$27,N$4)="",0,COUNTIF(Data!$B170:$U170,INDEX(Pengaturan!$B$8:$B$27,N$4)))</f>
        <v>0</v>
      </c>
      <c r="O170" s="26" t="n">
        <f aca="false">IF(INDEX(Pengaturan!$B$8:$B$27,O$4)="",0,COUNTIF(Data!$B170:$U170,INDEX(Pengaturan!$B$8:$B$27,O$4)))</f>
        <v>0</v>
      </c>
      <c r="P170" s="26" t="n">
        <f aca="false">IF(INDEX(Pengaturan!$B$8:$B$27,P$4)="",0,COUNTIF(Data!$B170:$U170,INDEX(Pengaturan!$B$8:$B$27,P$4)))</f>
        <v>0</v>
      </c>
      <c r="Q170" s="26" t="n">
        <f aca="false">IF(INDEX(Pengaturan!$B$8:$B$27,Q$4)="",0,COUNTIF(Data!$B170:$U170,INDEX(Pengaturan!$B$8:$B$27,Q$4)))</f>
        <v>0</v>
      </c>
      <c r="R170" s="26" t="n">
        <f aca="false">IF(INDEX(Pengaturan!$B$8:$B$27,R$4)="",0,COUNTIF(Data!$B170:$U170,INDEX(Pengaturan!$B$8:$B$27,R$4)))</f>
        <v>0</v>
      </c>
      <c r="S170" s="26" t="n">
        <f aca="false">IF(INDEX(Pengaturan!$B$8:$B$27,S$4)="",0,COUNTIF(Data!$B170:$U170,INDEX(Pengaturan!$B$8:$B$27,S$4)))</f>
        <v>0</v>
      </c>
      <c r="T170" s="26" t="n">
        <f aca="false">IF(INDEX(Pengaturan!$B$8:$B$27,T$4)="",0,COUNTIF(Data!$B170:$U170,INDEX(Pengaturan!$B$8:$B$27,T$4)))</f>
        <v>0</v>
      </c>
      <c r="U170" s="26" t="n">
        <f aca="false">IF(INDEX(Pengaturan!$B$8:$B$27,U$4)="",0,COUNTIF(Data!$B170:$U170,INDEX(Pengaturan!$B$8:$B$27,U$4)))</f>
        <v>0</v>
      </c>
      <c r="V170" s="26" t="n">
        <f aca="false">COUNTA(Data!$B170:$U170)</f>
        <v>0</v>
      </c>
      <c r="W170" s="27" t="str">
        <f aca="false">IF(V170=0,"",IF(V170&lt;&gt;Hasil!$C$4,"Data kosong/tidak lengkap",IF(SUM(B170:U170)&lt;&gt;V170,"Kategori tidak dikenal","OK")))</f>
        <v/>
      </c>
      <c r="X170" s="26" t="n">
        <f aca="false">IF(OR(W170="",W170="OK"),0,1)</f>
        <v>0</v>
      </c>
    </row>
    <row r="171" customFormat="false" ht="15" hidden="false" customHeight="false" outlineLevel="0" collapsed="false">
      <c r="A171" s="26" t="n">
        <f aca="false">Data!A171</f>
        <v>166</v>
      </c>
      <c r="B171" s="26" t="n">
        <f aca="false">IF(INDEX(Pengaturan!$B$8:$B$27,B$4)="",0,COUNTIF(Data!$B171:$U171,INDEX(Pengaturan!$B$8:$B$27,B$4)))</f>
        <v>0</v>
      </c>
      <c r="C171" s="26" t="n">
        <f aca="false">IF(INDEX(Pengaturan!$B$8:$B$27,C$4)="",0,COUNTIF(Data!$B171:$U171,INDEX(Pengaturan!$B$8:$B$27,C$4)))</f>
        <v>0</v>
      </c>
      <c r="D171" s="26" t="n">
        <f aca="false">IF(INDEX(Pengaturan!$B$8:$B$27,D$4)="",0,COUNTIF(Data!$B171:$U171,INDEX(Pengaturan!$B$8:$B$27,D$4)))</f>
        <v>0</v>
      </c>
      <c r="E171" s="26" t="n">
        <f aca="false">IF(INDEX(Pengaturan!$B$8:$B$27,E$4)="",0,COUNTIF(Data!$B171:$U171,INDEX(Pengaturan!$B$8:$B$27,E$4)))</f>
        <v>0</v>
      </c>
      <c r="F171" s="26" t="n">
        <f aca="false">IF(INDEX(Pengaturan!$B$8:$B$27,F$4)="",0,COUNTIF(Data!$B171:$U171,INDEX(Pengaturan!$B$8:$B$27,F$4)))</f>
        <v>0</v>
      </c>
      <c r="G171" s="26" t="n">
        <f aca="false">IF(INDEX(Pengaturan!$B$8:$B$27,G$4)="",0,COUNTIF(Data!$B171:$U171,INDEX(Pengaturan!$B$8:$B$27,G$4)))</f>
        <v>0</v>
      </c>
      <c r="H171" s="26" t="n">
        <f aca="false">IF(INDEX(Pengaturan!$B$8:$B$27,H$4)="",0,COUNTIF(Data!$B171:$U171,INDEX(Pengaturan!$B$8:$B$27,H$4)))</f>
        <v>0</v>
      </c>
      <c r="I171" s="26" t="n">
        <f aca="false">IF(INDEX(Pengaturan!$B$8:$B$27,I$4)="",0,COUNTIF(Data!$B171:$U171,INDEX(Pengaturan!$B$8:$B$27,I$4)))</f>
        <v>0</v>
      </c>
      <c r="J171" s="26" t="n">
        <f aca="false">IF(INDEX(Pengaturan!$B$8:$B$27,J$4)="",0,COUNTIF(Data!$B171:$U171,INDEX(Pengaturan!$B$8:$B$27,J$4)))</f>
        <v>0</v>
      </c>
      <c r="K171" s="26" t="n">
        <f aca="false">IF(INDEX(Pengaturan!$B$8:$B$27,K$4)="",0,COUNTIF(Data!$B171:$U171,INDEX(Pengaturan!$B$8:$B$27,K$4)))</f>
        <v>0</v>
      </c>
      <c r="L171" s="26" t="n">
        <f aca="false">IF(INDEX(Pengaturan!$B$8:$B$27,L$4)="",0,COUNTIF(Data!$B171:$U171,INDEX(Pengaturan!$B$8:$B$27,L$4)))</f>
        <v>0</v>
      </c>
      <c r="M171" s="26" t="n">
        <f aca="false">IF(INDEX(Pengaturan!$B$8:$B$27,M$4)="",0,COUNTIF(Data!$B171:$U171,INDEX(Pengaturan!$B$8:$B$27,M$4)))</f>
        <v>0</v>
      </c>
      <c r="N171" s="26" t="n">
        <f aca="false">IF(INDEX(Pengaturan!$B$8:$B$27,N$4)="",0,COUNTIF(Data!$B171:$U171,INDEX(Pengaturan!$B$8:$B$27,N$4)))</f>
        <v>0</v>
      </c>
      <c r="O171" s="26" t="n">
        <f aca="false">IF(INDEX(Pengaturan!$B$8:$B$27,O$4)="",0,COUNTIF(Data!$B171:$U171,INDEX(Pengaturan!$B$8:$B$27,O$4)))</f>
        <v>0</v>
      </c>
      <c r="P171" s="26" t="n">
        <f aca="false">IF(INDEX(Pengaturan!$B$8:$B$27,P$4)="",0,COUNTIF(Data!$B171:$U171,INDEX(Pengaturan!$B$8:$B$27,P$4)))</f>
        <v>0</v>
      </c>
      <c r="Q171" s="26" t="n">
        <f aca="false">IF(INDEX(Pengaturan!$B$8:$B$27,Q$4)="",0,COUNTIF(Data!$B171:$U171,INDEX(Pengaturan!$B$8:$B$27,Q$4)))</f>
        <v>0</v>
      </c>
      <c r="R171" s="26" t="n">
        <f aca="false">IF(INDEX(Pengaturan!$B$8:$B$27,R$4)="",0,COUNTIF(Data!$B171:$U171,INDEX(Pengaturan!$B$8:$B$27,R$4)))</f>
        <v>0</v>
      </c>
      <c r="S171" s="26" t="n">
        <f aca="false">IF(INDEX(Pengaturan!$B$8:$B$27,S$4)="",0,COUNTIF(Data!$B171:$U171,INDEX(Pengaturan!$B$8:$B$27,S$4)))</f>
        <v>0</v>
      </c>
      <c r="T171" s="26" t="n">
        <f aca="false">IF(INDEX(Pengaturan!$B$8:$B$27,T$4)="",0,COUNTIF(Data!$B171:$U171,INDEX(Pengaturan!$B$8:$B$27,T$4)))</f>
        <v>0</v>
      </c>
      <c r="U171" s="26" t="n">
        <f aca="false">IF(INDEX(Pengaturan!$B$8:$B$27,U$4)="",0,COUNTIF(Data!$B171:$U171,INDEX(Pengaturan!$B$8:$B$27,U$4)))</f>
        <v>0</v>
      </c>
      <c r="V171" s="26" t="n">
        <f aca="false">COUNTA(Data!$B171:$U171)</f>
        <v>0</v>
      </c>
      <c r="W171" s="27" t="str">
        <f aca="false">IF(V171=0,"",IF(V171&lt;&gt;Hasil!$C$4,"Data kosong/tidak lengkap",IF(SUM(B171:U171)&lt;&gt;V171,"Kategori tidak dikenal","OK")))</f>
        <v/>
      </c>
      <c r="X171" s="26" t="n">
        <f aca="false">IF(OR(W171="",W171="OK"),0,1)</f>
        <v>0</v>
      </c>
    </row>
    <row r="172" customFormat="false" ht="15" hidden="false" customHeight="false" outlineLevel="0" collapsed="false">
      <c r="A172" s="26" t="n">
        <f aca="false">Data!A172</f>
        <v>167</v>
      </c>
      <c r="B172" s="26" t="n">
        <f aca="false">IF(INDEX(Pengaturan!$B$8:$B$27,B$4)="",0,COUNTIF(Data!$B172:$U172,INDEX(Pengaturan!$B$8:$B$27,B$4)))</f>
        <v>0</v>
      </c>
      <c r="C172" s="26" t="n">
        <f aca="false">IF(INDEX(Pengaturan!$B$8:$B$27,C$4)="",0,COUNTIF(Data!$B172:$U172,INDEX(Pengaturan!$B$8:$B$27,C$4)))</f>
        <v>0</v>
      </c>
      <c r="D172" s="26" t="n">
        <f aca="false">IF(INDEX(Pengaturan!$B$8:$B$27,D$4)="",0,COUNTIF(Data!$B172:$U172,INDEX(Pengaturan!$B$8:$B$27,D$4)))</f>
        <v>0</v>
      </c>
      <c r="E172" s="26" t="n">
        <f aca="false">IF(INDEX(Pengaturan!$B$8:$B$27,E$4)="",0,COUNTIF(Data!$B172:$U172,INDEX(Pengaturan!$B$8:$B$27,E$4)))</f>
        <v>0</v>
      </c>
      <c r="F172" s="26" t="n">
        <f aca="false">IF(INDEX(Pengaturan!$B$8:$B$27,F$4)="",0,COUNTIF(Data!$B172:$U172,INDEX(Pengaturan!$B$8:$B$27,F$4)))</f>
        <v>0</v>
      </c>
      <c r="G172" s="26" t="n">
        <f aca="false">IF(INDEX(Pengaturan!$B$8:$B$27,G$4)="",0,COUNTIF(Data!$B172:$U172,INDEX(Pengaturan!$B$8:$B$27,G$4)))</f>
        <v>0</v>
      </c>
      <c r="H172" s="26" t="n">
        <f aca="false">IF(INDEX(Pengaturan!$B$8:$B$27,H$4)="",0,COUNTIF(Data!$B172:$U172,INDEX(Pengaturan!$B$8:$B$27,H$4)))</f>
        <v>0</v>
      </c>
      <c r="I172" s="26" t="n">
        <f aca="false">IF(INDEX(Pengaturan!$B$8:$B$27,I$4)="",0,COUNTIF(Data!$B172:$U172,INDEX(Pengaturan!$B$8:$B$27,I$4)))</f>
        <v>0</v>
      </c>
      <c r="J172" s="26" t="n">
        <f aca="false">IF(INDEX(Pengaturan!$B$8:$B$27,J$4)="",0,COUNTIF(Data!$B172:$U172,INDEX(Pengaturan!$B$8:$B$27,J$4)))</f>
        <v>0</v>
      </c>
      <c r="K172" s="26" t="n">
        <f aca="false">IF(INDEX(Pengaturan!$B$8:$B$27,K$4)="",0,COUNTIF(Data!$B172:$U172,INDEX(Pengaturan!$B$8:$B$27,K$4)))</f>
        <v>0</v>
      </c>
      <c r="L172" s="26" t="n">
        <f aca="false">IF(INDEX(Pengaturan!$B$8:$B$27,L$4)="",0,COUNTIF(Data!$B172:$U172,INDEX(Pengaturan!$B$8:$B$27,L$4)))</f>
        <v>0</v>
      </c>
      <c r="M172" s="26" t="n">
        <f aca="false">IF(INDEX(Pengaturan!$B$8:$B$27,M$4)="",0,COUNTIF(Data!$B172:$U172,INDEX(Pengaturan!$B$8:$B$27,M$4)))</f>
        <v>0</v>
      </c>
      <c r="N172" s="26" t="n">
        <f aca="false">IF(INDEX(Pengaturan!$B$8:$B$27,N$4)="",0,COUNTIF(Data!$B172:$U172,INDEX(Pengaturan!$B$8:$B$27,N$4)))</f>
        <v>0</v>
      </c>
      <c r="O172" s="26" t="n">
        <f aca="false">IF(INDEX(Pengaturan!$B$8:$B$27,O$4)="",0,COUNTIF(Data!$B172:$U172,INDEX(Pengaturan!$B$8:$B$27,O$4)))</f>
        <v>0</v>
      </c>
      <c r="P172" s="26" t="n">
        <f aca="false">IF(INDEX(Pengaturan!$B$8:$B$27,P$4)="",0,COUNTIF(Data!$B172:$U172,INDEX(Pengaturan!$B$8:$B$27,P$4)))</f>
        <v>0</v>
      </c>
      <c r="Q172" s="26" t="n">
        <f aca="false">IF(INDEX(Pengaturan!$B$8:$B$27,Q$4)="",0,COUNTIF(Data!$B172:$U172,INDEX(Pengaturan!$B$8:$B$27,Q$4)))</f>
        <v>0</v>
      </c>
      <c r="R172" s="26" t="n">
        <f aca="false">IF(INDEX(Pengaturan!$B$8:$B$27,R$4)="",0,COUNTIF(Data!$B172:$U172,INDEX(Pengaturan!$B$8:$B$27,R$4)))</f>
        <v>0</v>
      </c>
      <c r="S172" s="26" t="n">
        <f aca="false">IF(INDEX(Pengaturan!$B$8:$B$27,S$4)="",0,COUNTIF(Data!$B172:$U172,INDEX(Pengaturan!$B$8:$B$27,S$4)))</f>
        <v>0</v>
      </c>
      <c r="T172" s="26" t="n">
        <f aca="false">IF(INDEX(Pengaturan!$B$8:$B$27,T$4)="",0,COUNTIF(Data!$B172:$U172,INDEX(Pengaturan!$B$8:$B$27,T$4)))</f>
        <v>0</v>
      </c>
      <c r="U172" s="26" t="n">
        <f aca="false">IF(INDEX(Pengaturan!$B$8:$B$27,U$4)="",0,COUNTIF(Data!$B172:$U172,INDEX(Pengaturan!$B$8:$B$27,U$4)))</f>
        <v>0</v>
      </c>
      <c r="V172" s="26" t="n">
        <f aca="false">COUNTA(Data!$B172:$U172)</f>
        <v>0</v>
      </c>
      <c r="W172" s="27" t="str">
        <f aca="false">IF(V172=0,"",IF(V172&lt;&gt;Hasil!$C$4,"Data kosong/tidak lengkap",IF(SUM(B172:U172)&lt;&gt;V172,"Kategori tidak dikenal","OK")))</f>
        <v/>
      </c>
      <c r="X172" s="26" t="n">
        <f aca="false">IF(OR(W172="",W172="OK"),0,1)</f>
        <v>0</v>
      </c>
    </row>
    <row r="173" customFormat="false" ht="15" hidden="false" customHeight="false" outlineLevel="0" collapsed="false">
      <c r="A173" s="26" t="n">
        <f aca="false">Data!A173</f>
        <v>168</v>
      </c>
      <c r="B173" s="26" t="n">
        <f aca="false">IF(INDEX(Pengaturan!$B$8:$B$27,B$4)="",0,COUNTIF(Data!$B173:$U173,INDEX(Pengaturan!$B$8:$B$27,B$4)))</f>
        <v>0</v>
      </c>
      <c r="C173" s="26" t="n">
        <f aca="false">IF(INDEX(Pengaturan!$B$8:$B$27,C$4)="",0,COUNTIF(Data!$B173:$U173,INDEX(Pengaturan!$B$8:$B$27,C$4)))</f>
        <v>0</v>
      </c>
      <c r="D173" s="26" t="n">
        <f aca="false">IF(INDEX(Pengaturan!$B$8:$B$27,D$4)="",0,COUNTIF(Data!$B173:$U173,INDEX(Pengaturan!$B$8:$B$27,D$4)))</f>
        <v>0</v>
      </c>
      <c r="E173" s="26" t="n">
        <f aca="false">IF(INDEX(Pengaturan!$B$8:$B$27,E$4)="",0,COUNTIF(Data!$B173:$U173,INDEX(Pengaturan!$B$8:$B$27,E$4)))</f>
        <v>0</v>
      </c>
      <c r="F173" s="26" t="n">
        <f aca="false">IF(INDEX(Pengaturan!$B$8:$B$27,F$4)="",0,COUNTIF(Data!$B173:$U173,INDEX(Pengaturan!$B$8:$B$27,F$4)))</f>
        <v>0</v>
      </c>
      <c r="G173" s="26" t="n">
        <f aca="false">IF(INDEX(Pengaturan!$B$8:$B$27,G$4)="",0,COUNTIF(Data!$B173:$U173,INDEX(Pengaturan!$B$8:$B$27,G$4)))</f>
        <v>0</v>
      </c>
      <c r="H173" s="26" t="n">
        <f aca="false">IF(INDEX(Pengaturan!$B$8:$B$27,H$4)="",0,COUNTIF(Data!$B173:$U173,INDEX(Pengaturan!$B$8:$B$27,H$4)))</f>
        <v>0</v>
      </c>
      <c r="I173" s="26" t="n">
        <f aca="false">IF(INDEX(Pengaturan!$B$8:$B$27,I$4)="",0,COUNTIF(Data!$B173:$U173,INDEX(Pengaturan!$B$8:$B$27,I$4)))</f>
        <v>0</v>
      </c>
      <c r="J173" s="26" t="n">
        <f aca="false">IF(INDEX(Pengaturan!$B$8:$B$27,J$4)="",0,COUNTIF(Data!$B173:$U173,INDEX(Pengaturan!$B$8:$B$27,J$4)))</f>
        <v>0</v>
      </c>
      <c r="K173" s="26" t="n">
        <f aca="false">IF(INDEX(Pengaturan!$B$8:$B$27,K$4)="",0,COUNTIF(Data!$B173:$U173,INDEX(Pengaturan!$B$8:$B$27,K$4)))</f>
        <v>0</v>
      </c>
      <c r="L173" s="26" t="n">
        <f aca="false">IF(INDEX(Pengaturan!$B$8:$B$27,L$4)="",0,COUNTIF(Data!$B173:$U173,INDEX(Pengaturan!$B$8:$B$27,L$4)))</f>
        <v>0</v>
      </c>
      <c r="M173" s="26" t="n">
        <f aca="false">IF(INDEX(Pengaturan!$B$8:$B$27,M$4)="",0,COUNTIF(Data!$B173:$U173,INDEX(Pengaturan!$B$8:$B$27,M$4)))</f>
        <v>0</v>
      </c>
      <c r="N173" s="26" t="n">
        <f aca="false">IF(INDEX(Pengaturan!$B$8:$B$27,N$4)="",0,COUNTIF(Data!$B173:$U173,INDEX(Pengaturan!$B$8:$B$27,N$4)))</f>
        <v>0</v>
      </c>
      <c r="O173" s="26" t="n">
        <f aca="false">IF(INDEX(Pengaturan!$B$8:$B$27,O$4)="",0,COUNTIF(Data!$B173:$U173,INDEX(Pengaturan!$B$8:$B$27,O$4)))</f>
        <v>0</v>
      </c>
      <c r="P173" s="26" t="n">
        <f aca="false">IF(INDEX(Pengaturan!$B$8:$B$27,P$4)="",0,COUNTIF(Data!$B173:$U173,INDEX(Pengaturan!$B$8:$B$27,P$4)))</f>
        <v>0</v>
      </c>
      <c r="Q173" s="26" t="n">
        <f aca="false">IF(INDEX(Pengaturan!$B$8:$B$27,Q$4)="",0,COUNTIF(Data!$B173:$U173,INDEX(Pengaturan!$B$8:$B$27,Q$4)))</f>
        <v>0</v>
      </c>
      <c r="R173" s="26" t="n">
        <f aca="false">IF(INDEX(Pengaturan!$B$8:$B$27,R$4)="",0,COUNTIF(Data!$B173:$U173,INDEX(Pengaturan!$B$8:$B$27,R$4)))</f>
        <v>0</v>
      </c>
      <c r="S173" s="26" t="n">
        <f aca="false">IF(INDEX(Pengaturan!$B$8:$B$27,S$4)="",0,COUNTIF(Data!$B173:$U173,INDEX(Pengaturan!$B$8:$B$27,S$4)))</f>
        <v>0</v>
      </c>
      <c r="T173" s="26" t="n">
        <f aca="false">IF(INDEX(Pengaturan!$B$8:$B$27,T$4)="",0,COUNTIF(Data!$B173:$U173,INDEX(Pengaturan!$B$8:$B$27,T$4)))</f>
        <v>0</v>
      </c>
      <c r="U173" s="26" t="n">
        <f aca="false">IF(INDEX(Pengaturan!$B$8:$B$27,U$4)="",0,COUNTIF(Data!$B173:$U173,INDEX(Pengaturan!$B$8:$B$27,U$4)))</f>
        <v>0</v>
      </c>
      <c r="V173" s="26" t="n">
        <f aca="false">COUNTA(Data!$B173:$U173)</f>
        <v>0</v>
      </c>
      <c r="W173" s="27" t="str">
        <f aca="false">IF(V173=0,"",IF(V173&lt;&gt;Hasil!$C$4,"Data kosong/tidak lengkap",IF(SUM(B173:U173)&lt;&gt;V173,"Kategori tidak dikenal","OK")))</f>
        <v/>
      </c>
      <c r="X173" s="26" t="n">
        <f aca="false">IF(OR(W173="",W173="OK"),0,1)</f>
        <v>0</v>
      </c>
    </row>
    <row r="174" customFormat="false" ht="15" hidden="false" customHeight="false" outlineLevel="0" collapsed="false">
      <c r="A174" s="26" t="n">
        <f aca="false">Data!A174</f>
        <v>169</v>
      </c>
      <c r="B174" s="26" t="n">
        <f aca="false">IF(INDEX(Pengaturan!$B$8:$B$27,B$4)="",0,COUNTIF(Data!$B174:$U174,INDEX(Pengaturan!$B$8:$B$27,B$4)))</f>
        <v>0</v>
      </c>
      <c r="C174" s="26" t="n">
        <f aca="false">IF(INDEX(Pengaturan!$B$8:$B$27,C$4)="",0,COUNTIF(Data!$B174:$U174,INDEX(Pengaturan!$B$8:$B$27,C$4)))</f>
        <v>0</v>
      </c>
      <c r="D174" s="26" t="n">
        <f aca="false">IF(INDEX(Pengaturan!$B$8:$B$27,D$4)="",0,COUNTIF(Data!$B174:$U174,INDEX(Pengaturan!$B$8:$B$27,D$4)))</f>
        <v>0</v>
      </c>
      <c r="E174" s="26" t="n">
        <f aca="false">IF(INDEX(Pengaturan!$B$8:$B$27,E$4)="",0,COUNTIF(Data!$B174:$U174,INDEX(Pengaturan!$B$8:$B$27,E$4)))</f>
        <v>0</v>
      </c>
      <c r="F174" s="26" t="n">
        <f aca="false">IF(INDEX(Pengaturan!$B$8:$B$27,F$4)="",0,COUNTIF(Data!$B174:$U174,INDEX(Pengaturan!$B$8:$B$27,F$4)))</f>
        <v>0</v>
      </c>
      <c r="G174" s="26" t="n">
        <f aca="false">IF(INDEX(Pengaturan!$B$8:$B$27,G$4)="",0,COUNTIF(Data!$B174:$U174,INDEX(Pengaturan!$B$8:$B$27,G$4)))</f>
        <v>0</v>
      </c>
      <c r="H174" s="26" t="n">
        <f aca="false">IF(INDEX(Pengaturan!$B$8:$B$27,H$4)="",0,COUNTIF(Data!$B174:$U174,INDEX(Pengaturan!$B$8:$B$27,H$4)))</f>
        <v>0</v>
      </c>
      <c r="I174" s="26" t="n">
        <f aca="false">IF(INDEX(Pengaturan!$B$8:$B$27,I$4)="",0,COUNTIF(Data!$B174:$U174,INDEX(Pengaturan!$B$8:$B$27,I$4)))</f>
        <v>0</v>
      </c>
      <c r="J174" s="26" t="n">
        <f aca="false">IF(INDEX(Pengaturan!$B$8:$B$27,J$4)="",0,COUNTIF(Data!$B174:$U174,INDEX(Pengaturan!$B$8:$B$27,J$4)))</f>
        <v>0</v>
      </c>
      <c r="K174" s="26" t="n">
        <f aca="false">IF(INDEX(Pengaturan!$B$8:$B$27,K$4)="",0,COUNTIF(Data!$B174:$U174,INDEX(Pengaturan!$B$8:$B$27,K$4)))</f>
        <v>0</v>
      </c>
      <c r="L174" s="26" t="n">
        <f aca="false">IF(INDEX(Pengaturan!$B$8:$B$27,L$4)="",0,COUNTIF(Data!$B174:$U174,INDEX(Pengaturan!$B$8:$B$27,L$4)))</f>
        <v>0</v>
      </c>
      <c r="M174" s="26" t="n">
        <f aca="false">IF(INDEX(Pengaturan!$B$8:$B$27,M$4)="",0,COUNTIF(Data!$B174:$U174,INDEX(Pengaturan!$B$8:$B$27,M$4)))</f>
        <v>0</v>
      </c>
      <c r="N174" s="26" t="n">
        <f aca="false">IF(INDEX(Pengaturan!$B$8:$B$27,N$4)="",0,COUNTIF(Data!$B174:$U174,INDEX(Pengaturan!$B$8:$B$27,N$4)))</f>
        <v>0</v>
      </c>
      <c r="O174" s="26" t="n">
        <f aca="false">IF(INDEX(Pengaturan!$B$8:$B$27,O$4)="",0,COUNTIF(Data!$B174:$U174,INDEX(Pengaturan!$B$8:$B$27,O$4)))</f>
        <v>0</v>
      </c>
      <c r="P174" s="26" t="n">
        <f aca="false">IF(INDEX(Pengaturan!$B$8:$B$27,P$4)="",0,COUNTIF(Data!$B174:$U174,INDEX(Pengaturan!$B$8:$B$27,P$4)))</f>
        <v>0</v>
      </c>
      <c r="Q174" s="26" t="n">
        <f aca="false">IF(INDEX(Pengaturan!$B$8:$B$27,Q$4)="",0,COUNTIF(Data!$B174:$U174,INDEX(Pengaturan!$B$8:$B$27,Q$4)))</f>
        <v>0</v>
      </c>
      <c r="R174" s="26" t="n">
        <f aca="false">IF(INDEX(Pengaturan!$B$8:$B$27,R$4)="",0,COUNTIF(Data!$B174:$U174,INDEX(Pengaturan!$B$8:$B$27,R$4)))</f>
        <v>0</v>
      </c>
      <c r="S174" s="26" t="n">
        <f aca="false">IF(INDEX(Pengaturan!$B$8:$B$27,S$4)="",0,COUNTIF(Data!$B174:$U174,INDEX(Pengaturan!$B$8:$B$27,S$4)))</f>
        <v>0</v>
      </c>
      <c r="T174" s="26" t="n">
        <f aca="false">IF(INDEX(Pengaturan!$B$8:$B$27,T$4)="",0,COUNTIF(Data!$B174:$U174,INDEX(Pengaturan!$B$8:$B$27,T$4)))</f>
        <v>0</v>
      </c>
      <c r="U174" s="26" t="n">
        <f aca="false">IF(INDEX(Pengaturan!$B$8:$B$27,U$4)="",0,COUNTIF(Data!$B174:$U174,INDEX(Pengaturan!$B$8:$B$27,U$4)))</f>
        <v>0</v>
      </c>
      <c r="V174" s="26" t="n">
        <f aca="false">COUNTA(Data!$B174:$U174)</f>
        <v>0</v>
      </c>
      <c r="W174" s="27" t="str">
        <f aca="false">IF(V174=0,"",IF(V174&lt;&gt;Hasil!$C$4,"Data kosong/tidak lengkap",IF(SUM(B174:U174)&lt;&gt;V174,"Kategori tidak dikenal","OK")))</f>
        <v/>
      </c>
      <c r="X174" s="26" t="n">
        <f aca="false">IF(OR(W174="",W174="OK"),0,1)</f>
        <v>0</v>
      </c>
    </row>
    <row r="175" customFormat="false" ht="15" hidden="false" customHeight="false" outlineLevel="0" collapsed="false">
      <c r="A175" s="26" t="n">
        <f aca="false">Data!A175</f>
        <v>170</v>
      </c>
      <c r="B175" s="26" t="n">
        <f aca="false">IF(INDEX(Pengaturan!$B$8:$B$27,B$4)="",0,COUNTIF(Data!$B175:$U175,INDEX(Pengaturan!$B$8:$B$27,B$4)))</f>
        <v>0</v>
      </c>
      <c r="C175" s="26" t="n">
        <f aca="false">IF(INDEX(Pengaturan!$B$8:$B$27,C$4)="",0,COUNTIF(Data!$B175:$U175,INDEX(Pengaturan!$B$8:$B$27,C$4)))</f>
        <v>0</v>
      </c>
      <c r="D175" s="26" t="n">
        <f aca="false">IF(INDEX(Pengaturan!$B$8:$B$27,D$4)="",0,COUNTIF(Data!$B175:$U175,INDEX(Pengaturan!$B$8:$B$27,D$4)))</f>
        <v>0</v>
      </c>
      <c r="E175" s="26" t="n">
        <f aca="false">IF(INDEX(Pengaturan!$B$8:$B$27,E$4)="",0,COUNTIF(Data!$B175:$U175,INDEX(Pengaturan!$B$8:$B$27,E$4)))</f>
        <v>0</v>
      </c>
      <c r="F175" s="26" t="n">
        <f aca="false">IF(INDEX(Pengaturan!$B$8:$B$27,F$4)="",0,COUNTIF(Data!$B175:$U175,INDEX(Pengaturan!$B$8:$B$27,F$4)))</f>
        <v>0</v>
      </c>
      <c r="G175" s="26" t="n">
        <f aca="false">IF(INDEX(Pengaturan!$B$8:$B$27,G$4)="",0,COUNTIF(Data!$B175:$U175,INDEX(Pengaturan!$B$8:$B$27,G$4)))</f>
        <v>0</v>
      </c>
      <c r="H175" s="26" t="n">
        <f aca="false">IF(INDEX(Pengaturan!$B$8:$B$27,H$4)="",0,COUNTIF(Data!$B175:$U175,INDEX(Pengaturan!$B$8:$B$27,H$4)))</f>
        <v>0</v>
      </c>
      <c r="I175" s="26" t="n">
        <f aca="false">IF(INDEX(Pengaturan!$B$8:$B$27,I$4)="",0,COUNTIF(Data!$B175:$U175,INDEX(Pengaturan!$B$8:$B$27,I$4)))</f>
        <v>0</v>
      </c>
      <c r="J175" s="26" t="n">
        <f aca="false">IF(INDEX(Pengaturan!$B$8:$B$27,J$4)="",0,COUNTIF(Data!$B175:$U175,INDEX(Pengaturan!$B$8:$B$27,J$4)))</f>
        <v>0</v>
      </c>
      <c r="K175" s="26" t="n">
        <f aca="false">IF(INDEX(Pengaturan!$B$8:$B$27,K$4)="",0,COUNTIF(Data!$B175:$U175,INDEX(Pengaturan!$B$8:$B$27,K$4)))</f>
        <v>0</v>
      </c>
      <c r="L175" s="26" t="n">
        <f aca="false">IF(INDEX(Pengaturan!$B$8:$B$27,L$4)="",0,COUNTIF(Data!$B175:$U175,INDEX(Pengaturan!$B$8:$B$27,L$4)))</f>
        <v>0</v>
      </c>
      <c r="M175" s="26" t="n">
        <f aca="false">IF(INDEX(Pengaturan!$B$8:$B$27,M$4)="",0,COUNTIF(Data!$B175:$U175,INDEX(Pengaturan!$B$8:$B$27,M$4)))</f>
        <v>0</v>
      </c>
      <c r="N175" s="26" t="n">
        <f aca="false">IF(INDEX(Pengaturan!$B$8:$B$27,N$4)="",0,COUNTIF(Data!$B175:$U175,INDEX(Pengaturan!$B$8:$B$27,N$4)))</f>
        <v>0</v>
      </c>
      <c r="O175" s="26" t="n">
        <f aca="false">IF(INDEX(Pengaturan!$B$8:$B$27,O$4)="",0,COUNTIF(Data!$B175:$U175,INDEX(Pengaturan!$B$8:$B$27,O$4)))</f>
        <v>0</v>
      </c>
      <c r="P175" s="26" t="n">
        <f aca="false">IF(INDEX(Pengaturan!$B$8:$B$27,P$4)="",0,COUNTIF(Data!$B175:$U175,INDEX(Pengaturan!$B$8:$B$27,P$4)))</f>
        <v>0</v>
      </c>
      <c r="Q175" s="26" t="n">
        <f aca="false">IF(INDEX(Pengaturan!$B$8:$B$27,Q$4)="",0,COUNTIF(Data!$B175:$U175,INDEX(Pengaturan!$B$8:$B$27,Q$4)))</f>
        <v>0</v>
      </c>
      <c r="R175" s="26" t="n">
        <f aca="false">IF(INDEX(Pengaturan!$B$8:$B$27,R$4)="",0,COUNTIF(Data!$B175:$U175,INDEX(Pengaturan!$B$8:$B$27,R$4)))</f>
        <v>0</v>
      </c>
      <c r="S175" s="26" t="n">
        <f aca="false">IF(INDEX(Pengaturan!$B$8:$B$27,S$4)="",0,COUNTIF(Data!$B175:$U175,INDEX(Pengaturan!$B$8:$B$27,S$4)))</f>
        <v>0</v>
      </c>
      <c r="T175" s="26" t="n">
        <f aca="false">IF(INDEX(Pengaturan!$B$8:$B$27,T$4)="",0,COUNTIF(Data!$B175:$U175,INDEX(Pengaturan!$B$8:$B$27,T$4)))</f>
        <v>0</v>
      </c>
      <c r="U175" s="26" t="n">
        <f aca="false">IF(INDEX(Pengaturan!$B$8:$B$27,U$4)="",0,COUNTIF(Data!$B175:$U175,INDEX(Pengaturan!$B$8:$B$27,U$4)))</f>
        <v>0</v>
      </c>
      <c r="V175" s="26" t="n">
        <f aca="false">COUNTA(Data!$B175:$U175)</f>
        <v>0</v>
      </c>
      <c r="W175" s="27" t="str">
        <f aca="false">IF(V175=0,"",IF(V175&lt;&gt;Hasil!$C$4,"Data kosong/tidak lengkap",IF(SUM(B175:U175)&lt;&gt;V175,"Kategori tidak dikenal","OK")))</f>
        <v/>
      </c>
      <c r="X175" s="26" t="n">
        <f aca="false">IF(OR(W175="",W175="OK"),0,1)</f>
        <v>0</v>
      </c>
    </row>
    <row r="176" customFormat="false" ht="15" hidden="false" customHeight="false" outlineLevel="0" collapsed="false">
      <c r="A176" s="26" t="n">
        <f aca="false">Data!A176</f>
        <v>171</v>
      </c>
      <c r="B176" s="26" t="n">
        <f aca="false">IF(INDEX(Pengaturan!$B$8:$B$27,B$4)="",0,COUNTIF(Data!$B176:$U176,INDEX(Pengaturan!$B$8:$B$27,B$4)))</f>
        <v>0</v>
      </c>
      <c r="C176" s="26" t="n">
        <f aca="false">IF(INDEX(Pengaturan!$B$8:$B$27,C$4)="",0,COUNTIF(Data!$B176:$U176,INDEX(Pengaturan!$B$8:$B$27,C$4)))</f>
        <v>0</v>
      </c>
      <c r="D176" s="26" t="n">
        <f aca="false">IF(INDEX(Pengaturan!$B$8:$B$27,D$4)="",0,COUNTIF(Data!$B176:$U176,INDEX(Pengaturan!$B$8:$B$27,D$4)))</f>
        <v>0</v>
      </c>
      <c r="E176" s="26" t="n">
        <f aca="false">IF(INDEX(Pengaturan!$B$8:$B$27,E$4)="",0,COUNTIF(Data!$B176:$U176,INDEX(Pengaturan!$B$8:$B$27,E$4)))</f>
        <v>0</v>
      </c>
      <c r="F176" s="26" t="n">
        <f aca="false">IF(INDEX(Pengaturan!$B$8:$B$27,F$4)="",0,COUNTIF(Data!$B176:$U176,INDEX(Pengaturan!$B$8:$B$27,F$4)))</f>
        <v>0</v>
      </c>
      <c r="G176" s="26" t="n">
        <f aca="false">IF(INDEX(Pengaturan!$B$8:$B$27,G$4)="",0,COUNTIF(Data!$B176:$U176,INDEX(Pengaturan!$B$8:$B$27,G$4)))</f>
        <v>0</v>
      </c>
      <c r="H176" s="26" t="n">
        <f aca="false">IF(INDEX(Pengaturan!$B$8:$B$27,H$4)="",0,COUNTIF(Data!$B176:$U176,INDEX(Pengaturan!$B$8:$B$27,H$4)))</f>
        <v>0</v>
      </c>
      <c r="I176" s="26" t="n">
        <f aca="false">IF(INDEX(Pengaturan!$B$8:$B$27,I$4)="",0,COUNTIF(Data!$B176:$U176,INDEX(Pengaturan!$B$8:$B$27,I$4)))</f>
        <v>0</v>
      </c>
      <c r="J176" s="26" t="n">
        <f aca="false">IF(INDEX(Pengaturan!$B$8:$B$27,J$4)="",0,COUNTIF(Data!$B176:$U176,INDEX(Pengaturan!$B$8:$B$27,J$4)))</f>
        <v>0</v>
      </c>
      <c r="K176" s="26" t="n">
        <f aca="false">IF(INDEX(Pengaturan!$B$8:$B$27,K$4)="",0,COUNTIF(Data!$B176:$U176,INDEX(Pengaturan!$B$8:$B$27,K$4)))</f>
        <v>0</v>
      </c>
      <c r="L176" s="26" t="n">
        <f aca="false">IF(INDEX(Pengaturan!$B$8:$B$27,L$4)="",0,COUNTIF(Data!$B176:$U176,INDEX(Pengaturan!$B$8:$B$27,L$4)))</f>
        <v>0</v>
      </c>
      <c r="M176" s="26" t="n">
        <f aca="false">IF(INDEX(Pengaturan!$B$8:$B$27,M$4)="",0,COUNTIF(Data!$B176:$U176,INDEX(Pengaturan!$B$8:$B$27,M$4)))</f>
        <v>0</v>
      </c>
      <c r="N176" s="26" t="n">
        <f aca="false">IF(INDEX(Pengaturan!$B$8:$B$27,N$4)="",0,COUNTIF(Data!$B176:$U176,INDEX(Pengaturan!$B$8:$B$27,N$4)))</f>
        <v>0</v>
      </c>
      <c r="O176" s="26" t="n">
        <f aca="false">IF(INDEX(Pengaturan!$B$8:$B$27,O$4)="",0,COUNTIF(Data!$B176:$U176,INDEX(Pengaturan!$B$8:$B$27,O$4)))</f>
        <v>0</v>
      </c>
      <c r="P176" s="26" t="n">
        <f aca="false">IF(INDEX(Pengaturan!$B$8:$B$27,P$4)="",0,COUNTIF(Data!$B176:$U176,INDEX(Pengaturan!$B$8:$B$27,P$4)))</f>
        <v>0</v>
      </c>
      <c r="Q176" s="26" t="n">
        <f aca="false">IF(INDEX(Pengaturan!$B$8:$B$27,Q$4)="",0,COUNTIF(Data!$B176:$U176,INDEX(Pengaturan!$B$8:$B$27,Q$4)))</f>
        <v>0</v>
      </c>
      <c r="R176" s="26" t="n">
        <f aca="false">IF(INDEX(Pengaturan!$B$8:$B$27,R$4)="",0,COUNTIF(Data!$B176:$U176,INDEX(Pengaturan!$B$8:$B$27,R$4)))</f>
        <v>0</v>
      </c>
      <c r="S176" s="26" t="n">
        <f aca="false">IF(INDEX(Pengaturan!$B$8:$B$27,S$4)="",0,COUNTIF(Data!$B176:$U176,INDEX(Pengaturan!$B$8:$B$27,S$4)))</f>
        <v>0</v>
      </c>
      <c r="T176" s="26" t="n">
        <f aca="false">IF(INDEX(Pengaturan!$B$8:$B$27,T$4)="",0,COUNTIF(Data!$B176:$U176,INDEX(Pengaturan!$B$8:$B$27,T$4)))</f>
        <v>0</v>
      </c>
      <c r="U176" s="26" t="n">
        <f aca="false">IF(INDEX(Pengaturan!$B$8:$B$27,U$4)="",0,COUNTIF(Data!$B176:$U176,INDEX(Pengaturan!$B$8:$B$27,U$4)))</f>
        <v>0</v>
      </c>
      <c r="V176" s="26" t="n">
        <f aca="false">COUNTA(Data!$B176:$U176)</f>
        <v>0</v>
      </c>
      <c r="W176" s="27" t="str">
        <f aca="false">IF(V176=0,"",IF(V176&lt;&gt;Hasil!$C$4,"Data kosong/tidak lengkap",IF(SUM(B176:U176)&lt;&gt;V176,"Kategori tidak dikenal","OK")))</f>
        <v/>
      </c>
      <c r="X176" s="26" t="n">
        <f aca="false">IF(OR(W176="",W176="OK"),0,1)</f>
        <v>0</v>
      </c>
    </row>
    <row r="177" customFormat="false" ht="15" hidden="false" customHeight="false" outlineLevel="0" collapsed="false">
      <c r="A177" s="26" t="n">
        <f aca="false">Data!A177</f>
        <v>172</v>
      </c>
      <c r="B177" s="26" t="n">
        <f aca="false">IF(INDEX(Pengaturan!$B$8:$B$27,B$4)="",0,COUNTIF(Data!$B177:$U177,INDEX(Pengaturan!$B$8:$B$27,B$4)))</f>
        <v>0</v>
      </c>
      <c r="C177" s="26" t="n">
        <f aca="false">IF(INDEX(Pengaturan!$B$8:$B$27,C$4)="",0,COUNTIF(Data!$B177:$U177,INDEX(Pengaturan!$B$8:$B$27,C$4)))</f>
        <v>0</v>
      </c>
      <c r="D177" s="26" t="n">
        <f aca="false">IF(INDEX(Pengaturan!$B$8:$B$27,D$4)="",0,COUNTIF(Data!$B177:$U177,INDEX(Pengaturan!$B$8:$B$27,D$4)))</f>
        <v>0</v>
      </c>
      <c r="E177" s="26" t="n">
        <f aca="false">IF(INDEX(Pengaturan!$B$8:$B$27,E$4)="",0,COUNTIF(Data!$B177:$U177,INDEX(Pengaturan!$B$8:$B$27,E$4)))</f>
        <v>0</v>
      </c>
      <c r="F177" s="26" t="n">
        <f aca="false">IF(INDEX(Pengaturan!$B$8:$B$27,F$4)="",0,COUNTIF(Data!$B177:$U177,INDEX(Pengaturan!$B$8:$B$27,F$4)))</f>
        <v>0</v>
      </c>
      <c r="G177" s="26" t="n">
        <f aca="false">IF(INDEX(Pengaturan!$B$8:$B$27,G$4)="",0,COUNTIF(Data!$B177:$U177,INDEX(Pengaturan!$B$8:$B$27,G$4)))</f>
        <v>0</v>
      </c>
      <c r="H177" s="26" t="n">
        <f aca="false">IF(INDEX(Pengaturan!$B$8:$B$27,H$4)="",0,COUNTIF(Data!$B177:$U177,INDEX(Pengaturan!$B$8:$B$27,H$4)))</f>
        <v>0</v>
      </c>
      <c r="I177" s="26" t="n">
        <f aca="false">IF(INDEX(Pengaturan!$B$8:$B$27,I$4)="",0,COUNTIF(Data!$B177:$U177,INDEX(Pengaturan!$B$8:$B$27,I$4)))</f>
        <v>0</v>
      </c>
      <c r="J177" s="26" t="n">
        <f aca="false">IF(INDEX(Pengaturan!$B$8:$B$27,J$4)="",0,COUNTIF(Data!$B177:$U177,INDEX(Pengaturan!$B$8:$B$27,J$4)))</f>
        <v>0</v>
      </c>
      <c r="K177" s="26" t="n">
        <f aca="false">IF(INDEX(Pengaturan!$B$8:$B$27,K$4)="",0,COUNTIF(Data!$B177:$U177,INDEX(Pengaturan!$B$8:$B$27,K$4)))</f>
        <v>0</v>
      </c>
      <c r="L177" s="26" t="n">
        <f aca="false">IF(INDEX(Pengaturan!$B$8:$B$27,L$4)="",0,COUNTIF(Data!$B177:$U177,INDEX(Pengaturan!$B$8:$B$27,L$4)))</f>
        <v>0</v>
      </c>
      <c r="M177" s="26" t="n">
        <f aca="false">IF(INDEX(Pengaturan!$B$8:$B$27,M$4)="",0,COUNTIF(Data!$B177:$U177,INDEX(Pengaturan!$B$8:$B$27,M$4)))</f>
        <v>0</v>
      </c>
      <c r="N177" s="26" t="n">
        <f aca="false">IF(INDEX(Pengaturan!$B$8:$B$27,N$4)="",0,COUNTIF(Data!$B177:$U177,INDEX(Pengaturan!$B$8:$B$27,N$4)))</f>
        <v>0</v>
      </c>
      <c r="O177" s="26" t="n">
        <f aca="false">IF(INDEX(Pengaturan!$B$8:$B$27,O$4)="",0,COUNTIF(Data!$B177:$U177,INDEX(Pengaturan!$B$8:$B$27,O$4)))</f>
        <v>0</v>
      </c>
      <c r="P177" s="26" t="n">
        <f aca="false">IF(INDEX(Pengaturan!$B$8:$B$27,P$4)="",0,COUNTIF(Data!$B177:$U177,INDEX(Pengaturan!$B$8:$B$27,P$4)))</f>
        <v>0</v>
      </c>
      <c r="Q177" s="26" t="n">
        <f aca="false">IF(INDEX(Pengaturan!$B$8:$B$27,Q$4)="",0,COUNTIF(Data!$B177:$U177,INDEX(Pengaturan!$B$8:$B$27,Q$4)))</f>
        <v>0</v>
      </c>
      <c r="R177" s="26" t="n">
        <f aca="false">IF(INDEX(Pengaturan!$B$8:$B$27,R$4)="",0,COUNTIF(Data!$B177:$U177,INDEX(Pengaturan!$B$8:$B$27,R$4)))</f>
        <v>0</v>
      </c>
      <c r="S177" s="26" t="n">
        <f aca="false">IF(INDEX(Pengaturan!$B$8:$B$27,S$4)="",0,COUNTIF(Data!$B177:$U177,INDEX(Pengaturan!$B$8:$B$27,S$4)))</f>
        <v>0</v>
      </c>
      <c r="T177" s="26" t="n">
        <f aca="false">IF(INDEX(Pengaturan!$B$8:$B$27,T$4)="",0,COUNTIF(Data!$B177:$U177,INDEX(Pengaturan!$B$8:$B$27,T$4)))</f>
        <v>0</v>
      </c>
      <c r="U177" s="26" t="n">
        <f aca="false">IF(INDEX(Pengaturan!$B$8:$B$27,U$4)="",0,COUNTIF(Data!$B177:$U177,INDEX(Pengaturan!$B$8:$B$27,U$4)))</f>
        <v>0</v>
      </c>
      <c r="V177" s="26" t="n">
        <f aca="false">COUNTA(Data!$B177:$U177)</f>
        <v>0</v>
      </c>
      <c r="W177" s="27" t="str">
        <f aca="false">IF(V177=0,"",IF(V177&lt;&gt;Hasil!$C$4,"Data kosong/tidak lengkap",IF(SUM(B177:U177)&lt;&gt;V177,"Kategori tidak dikenal","OK")))</f>
        <v/>
      </c>
      <c r="X177" s="26" t="n">
        <f aca="false">IF(OR(W177="",W177="OK"),0,1)</f>
        <v>0</v>
      </c>
    </row>
    <row r="178" customFormat="false" ht="15" hidden="false" customHeight="false" outlineLevel="0" collapsed="false">
      <c r="A178" s="26" t="n">
        <f aca="false">Data!A178</f>
        <v>173</v>
      </c>
      <c r="B178" s="26" t="n">
        <f aca="false">IF(INDEX(Pengaturan!$B$8:$B$27,B$4)="",0,COUNTIF(Data!$B178:$U178,INDEX(Pengaturan!$B$8:$B$27,B$4)))</f>
        <v>0</v>
      </c>
      <c r="C178" s="26" t="n">
        <f aca="false">IF(INDEX(Pengaturan!$B$8:$B$27,C$4)="",0,COUNTIF(Data!$B178:$U178,INDEX(Pengaturan!$B$8:$B$27,C$4)))</f>
        <v>0</v>
      </c>
      <c r="D178" s="26" t="n">
        <f aca="false">IF(INDEX(Pengaturan!$B$8:$B$27,D$4)="",0,COUNTIF(Data!$B178:$U178,INDEX(Pengaturan!$B$8:$B$27,D$4)))</f>
        <v>0</v>
      </c>
      <c r="E178" s="26" t="n">
        <f aca="false">IF(INDEX(Pengaturan!$B$8:$B$27,E$4)="",0,COUNTIF(Data!$B178:$U178,INDEX(Pengaturan!$B$8:$B$27,E$4)))</f>
        <v>0</v>
      </c>
      <c r="F178" s="26" t="n">
        <f aca="false">IF(INDEX(Pengaturan!$B$8:$B$27,F$4)="",0,COUNTIF(Data!$B178:$U178,INDEX(Pengaturan!$B$8:$B$27,F$4)))</f>
        <v>0</v>
      </c>
      <c r="G178" s="26" t="n">
        <f aca="false">IF(INDEX(Pengaturan!$B$8:$B$27,G$4)="",0,COUNTIF(Data!$B178:$U178,INDEX(Pengaturan!$B$8:$B$27,G$4)))</f>
        <v>0</v>
      </c>
      <c r="H178" s="26" t="n">
        <f aca="false">IF(INDEX(Pengaturan!$B$8:$B$27,H$4)="",0,COUNTIF(Data!$B178:$U178,INDEX(Pengaturan!$B$8:$B$27,H$4)))</f>
        <v>0</v>
      </c>
      <c r="I178" s="26" t="n">
        <f aca="false">IF(INDEX(Pengaturan!$B$8:$B$27,I$4)="",0,COUNTIF(Data!$B178:$U178,INDEX(Pengaturan!$B$8:$B$27,I$4)))</f>
        <v>0</v>
      </c>
      <c r="J178" s="26" t="n">
        <f aca="false">IF(INDEX(Pengaturan!$B$8:$B$27,J$4)="",0,COUNTIF(Data!$B178:$U178,INDEX(Pengaturan!$B$8:$B$27,J$4)))</f>
        <v>0</v>
      </c>
      <c r="K178" s="26" t="n">
        <f aca="false">IF(INDEX(Pengaturan!$B$8:$B$27,K$4)="",0,COUNTIF(Data!$B178:$U178,INDEX(Pengaturan!$B$8:$B$27,K$4)))</f>
        <v>0</v>
      </c>
      <c r="L178" s="26" t="n">
        <f aca="false">IF(INDEX(Pengaturan!$B$8:$B$27,L$4)="",0,COUNTIF(Data!$B178:$U178,INDEX(Pengaturan!$B$8:$B$27,L$4)))</f>
        <v>0</v>
      </c>
      <c r="M178" s="26" t="n">
        <f aca="false">IF(INDEX(Pengaturan!$B$8:$B$27,M$4)="",0,COUNTIF(Data!$B178:$U178,INDEX(Pengaturan!$B$8:$B$27,M$4)))</f>
        <v>0</v>
      </c>
      <c r="N178" s="26" t="n">
        <f aca="false">IF(INDEX(Pengaturan!$B$8:$B$27,N$4)="",0,COUNTIF(Data!$B178:$U178,INDEX(Pengaturan!$B$8:$B$27,N$4)))</f>
        <v>0</v>
      </c>
      <c r="O178" s="26" t="n">
        <f aca="false">IF(INDEX(Pengaturan!$B$8:$B$27,O$4)="",0,COUNTIF(Data!$B178:$U178,INDEX(Pengaturan!$B$8:$B$27,O$4)))</f>
        <v>0</v>
      </c>
      <c r="P178" s="26" t="n">
        <f aca="false">IF(INDEX(Pengaturan!$B$8:$B$27,P$4)="",0,COUNTIF(Data!$B178:$U178,INDEX(Pengaturan!$B$8:$B$27,P$4)))</f>
        <v>0</v>
      </c>
      <c r="Q178" s="26" t="n">
        <f aca="false">IF(INDEX(Pengaturan!$B$8:$B$27,Q$4)="",0,COUNTIF(Data!$B178:$U178,INDEX(Pengaturan!$B$8:$B$27,Q$4)))</f>
        <v>0</v>
      </c>
      <c r="R178" s="26" t="n">
        <f aca="false">IF(INDEX(Pengaturan!$B$8:$B$27,R$4)="",0,COUNTIF(Data!$B178:$U178,INDEX(Pengaturan!$B$8:$B$27,R$4)))</f>
        <v>0</v>
      </c>
      <c r="S178" s="26" t="n">
        <f aca="false">IF(INDEX(Pengaturan!$B$8:$B$27,S$4)="",0,COUNTIF(Data!$B178:$U178,INDEX(Pengaturan!$B$8:$B$27,S$4)))</f>
        <v>0</v>
      </c>
      <c r="T178" s="26" t="n">
        <f aca="false">IF(INDEX(Pengaturan!$B$8:$B$27,T$4)="",0,COUNTIF(Data!$B178:$U178,INDEX(Pengaturan!$B$8:$B$27,T$4)))</f>
        <v>0</v>
      </c>
      <c r="U178" s="26" t="n">
        <f aca="false">IF(INDEX(Pengaturan!$B$8:$B$27,U$4)="",0,COUNTIF(Data!$B178:$U178,INDEX(Pengaturan!$B$8:$B$27,U$4)))</f>
        <v>0</v>
      </c>
      <c r="V178" s="26" t="n">
        <f aca="false">COUNTA(Data!$B178:$U178)</f>
        <v>0</v>
      </c>
      <c r="W178" s="27" t="str">
        <f aca="false">IF(V178=0,"",IF(V178&lt;&gt;Hasil!$C$4,"Data kosong/tidak lengkap",IF(SUM(B178:U178)&lt;&gt;V178,"Kategori tidak dikenal","OK")))</f>
        <v/>
      </c>
      <c r="X178" s="26" t="n">
        <f aca="false">IF(OR(W178="",W178="OK"),0,1)</f>
        <v>0</v>
      </c>
    </row>
    <row r="179" customFormat="false" ht="15" hidden="false" customHeight="false" outlineLevel="0" collapsed="false">
      <c r="A179" s="26" t="n">
        <f aca="false">Data!A179</f>
        <v>174</v>
      </c>
      <c r="B179" s="26" t="n">
        <f aca="false">IF(INDEX(Pengaturan!$B$8:$B$27,B$4)="",0,COUNTIF(Data!$B179:$U179,INDEX(Pengaturan!$B$8:$B$27,B$4)))</f>
        <v>0</v>
      </c>
      <c r="C179" s="26" t="n">
        <f aca="false">IF(INDEX(Pengaturan!$B$8:$B$27,C$4)="",0,COUNTIF(Data!$B179:$U179,INDEX(Pengaturan!$B$8:$B$27,C$4)))</f>
        <v>0</v>
      </c>
      <c r="D179" s="26" t="n">
        <f aca="false">IF(INDEX(Pengaturan!$B$8:$B$27,D$4)="",0,COUNTIF(Data!$B179:$U179,INDEX(Pengaturan!$B$8:$B$27,D$4)))</f>
        <v>0</v>
      </c>
      <c r="E179" s="26" t="n">
        <f aca="false">IF(INDEX(Pengaturan!$B$8:$B$27,E$4)="",0,COUNTIF(Data!$B179:$U179,INDEX(Pengaturan!$B$8:$B$27,E$4)))</f>
        <v>0</v>
      </c>
      <c r="F179" s="26" t="n">
        <f aca="false">IF(INDEX(Pengaturan!$B$8:$B$27,F$4)="",0,COUNTIF(Data!$B179:$U179,INDEX(Pengaturan!$B$8:$B$27,F$4)))</f>
        <v>0</v>
      </c>
      <c r="G179" s="26" t="n">
        <f aca="false">IF(INDEX(Pengaturan!$B$8:$B$27,G$4)="",0,COUNTIF(Data!$B179:$U179,INDEX(Pengaturan!$B$8:$B$27,G$4)))</f>
        <v>0</v>
      </c>
      <c r="H179" s="26" t="n">
        <f aca="false">IF(INDEX(Pengaturan!$B$8:$B$27,H$4)="",0,COUNTIF(Data!$B179:$U179,INDEX(Pengaturan!$B$8:$B$27,H$4)))</f>
        <v>0</v>
      </c>
      <c r="I179" s="26" t="n">
        <f aca="false">IF(INDEX(Pengaturan!$B$8:$B$27,I$4)="",0,COUNTIF(Data!$B179:$U179,INDEX(Pengaturan!$B$8:$B$27,I$4)))</f>
        <v>0</v>
      </c>
      <c r="J179" s="26" t="n">
        <f aca="false">IF(INDEX(Pengaturan!$B$8:$B$27,J$4)="",0,COUNTIF(Data!$B179:$U179,INDEX(Pengaturan!$B$8:$B$27,J$4)))</f>
        <v>0</v>
      </c>
      <c r="K179" s="26" t="n">
        <f aca="false">IF(INDEX(Pengaturan!$B$8:$B$27,K$4)="",0,COUNTIF(Data!$B179:$U179,INDEX(Pengaturan!$B$8:$B$27,K$4)))</f>
        <v>0</v>
      </c>
      <c r="L179" s="26" t="n">
        <f aca="false">IF(INDEX(Pengaturan!$B$8:$B$27,L$4)="",0,COUNTIF(Data!$B179:$U179,INDEX(Pengaturan!$B$8:$B$27,L$4)))</f>
        <v>0</v>
      </c>
      <c r="M179" s="26" t="n">
        <f aca="false">IF(INDEX(Pengaturan!$B$8:$B$27,M$4)="",0,COUNTIF(Data!$B179:$U179,INDEX(Pengaturan!$B$8:$B$27,M$4)))</f>
        <v>0</v>
      </c>
      <c r="N179" s="26" t="n">
        <f aca="false">IF(INDEX(Pengaturan!$B$8:$B$27,N$4)="",0,COUNTIF(Data!$B179:$U179,INDEX(Pengaturan!$B$8:$B$27,N$4)))</f>
        <v>0</v>
      </c>
      <c r="O179" s="26" t="n">
        <f aca="false">IF(INDEX(Pengaturan!$B$8:$B$27,O$4)="",0,COUNTIF(Data!$B179:$U179,INDEX(Pengaturan!$B$8:$B$27,O$4)))</f>
        <v>0</v>
      </c>
      <c r="P179" s="26" t="n">
        <f aca="false">IF(INDEX(Pengaturan!$B$8:$B$27,P$4)="",0,COUNTIF(Data!$B179:$U179,INDEX(Pengaturan!$B$8:$B$27,P$4)))</f>
        <v>0</v>
      </c>
      <c r="Q179" s="26" t="n">
        <f aca="false">IF(INDEX(Pengaturan!$B$8:$B$27,Q$4)="",0,COUNTIF(Data!$B179:$U179,INDEX(Pengaturan!$B$8:$B$27,Q$4)))</f>
        <v>0</v>
      </c>
      <c r="R179" s="26" t="n">
        <f aca="false">IF(INDEX(Pengaturan!$B$8:$B$27,R$4)="",0,COUNTIF(Data!$B179:$U179,INDEX(Pengaturan!$B$8:$B$27,R$4)))</f>
        <v>0</v>
      </c>
      <c r="S179" s="26" t="n">
        <f aca="false">IF(INDEX(Pengaturan!$B$8:$B$27,S$4)="",0,COUNTIF(Data!$B179:$U179,INDEX(Pengaturan!$B$8:$B$27,S$4)))</f>
        <v>0</v>
      </c>
      <c r="T179" s="26" t="n">
        <f aca="false">IF(INDEX(Pengaturan!$B$8:$B$27,T$4)="",0,COUNTIF(Data!$B179:$U179,INDEX(Pengaturan!$B$8:$B$27,T$4)))</f>
        <v>0</v>
      </c>
      <c r="U179" s="26" t="n">
        <f aca="false">IF(INDEX(Pengaturan!$B$8:$B$27,U$4)="",0,COUNTIF(Data!$B179:$U179,INDEX(Pengaturan!$B$8:$B$27,U$4)))</f>
        <v>0</v>
      </c>
      <c r="V179" s="26" t="n">
        <f aca="false">COUNTA(Data!$B179:$U179)</f>
        <v>0</v>
      </c>
      <c r="W179" s="27" t="str">
        <f aca="false">IF(V179=0,"",IF(V179&lt;&gt;Hasil!$C$4,"Data kosong/tidak lengkap",IF(SUM(B179:U179)&lt;&gt;V179,"Kategori tidak dikenal","OK")))</f>
        <v/>
      </c>
      <c r="X179" s="26" t="n">
        <f aca="false">IF(OR(W179="",W179="OK"),0,1)</f>
        <v>0</v>
      </c>
    </row>
    <row r="180" customFormat="false" ht="15" hidden="false" customHeight="false" outlineLevel="0" collapsed="false">
      <c r="A180" s="26" t="n">
        <f aca="false">Data!A180</f>
        <v>175</v>
      </c>
      <c r="B180" s="26" t="n">
        <f aca="false">IF(INDEX(Pengaturan!$B$8:$B$27,B$4)="",0,COUNTIF(Data!$B180:$U180,INDEX(Pengaturan!$B$8:$B$27,B$4)))</f>
        <v>0</v>
      </c>
      <c r="C180" s="26" t="n">
        <f aca="false">IF(INDEX(Pengaturan!$B$8:$B$27,C$4)="",0,COUNTIF(Data!$B180:$U180,INDEX(Pengaturan!$B$8:$B$27,C$4)))</f>
        <v>0</v>
      </c>
      <c r="D180" s="26" t="n">
        <f aca="false">IF(INDEX(Pengaturan!$B$8:$B$27,D$4)="",0,COUNTIF(Data!$B180:$U180,INDEX(Pengaturan!$B$8:$B$27,D$4)))</f>
        <v>0</v>
      </c>
      <c r="E180" s="26" t="n">
        <f aca="false">IF(INDEX(Pengaturan!$B$8:$B$27,E$4)="",0,COUNTIF(Data!$B180:$U180,INDEX(Pengaturan!$B$8:$B$27,E$4)))</f>
        <v>0</v>
      </c>
      <c r="F180" s="26" t="n">
        <f aca="false">IF(INDEX(Pengaturan!$B$8:$B$27,F$4)="",0,COUNTIF(Data!$B180:$U180,INDEX(Pengaturan!$B$8:$B$27,F$4)))</f>
        <v>0</v>
      </c>
      <c r="G180" s="26" t="n">
        <f aca="false">IF(INDEX(Pengaturan!$B$8:$B$27,G$4)="",0,COUNTIF(Data!$B180:$U180,INDEX(Pengaturan!$B$8:$B$27,G$4)))</f>
        <v>0</v>
      </c>
      <c r="H180" s="26" t="n">
        <f aca="false">IF(INDEX(Pengaturan!$B$8:$B$27,H$4)="",0,COUNTIF(Data!$B180:$U180,INDEX(Pengaturan!$B$8:$B$27,H$4)))</f>
        <v>0</v>
      </c>
      <c r="I180" s="26" t="n">
        <f aca="false">IF(INDEX(Pengaturan!$B$8:$B$27,I$4)="",0,COUNTIF(Data!$B180:$U180,INDEX(Pengaturan!$B$8:$B$27,I$4)))</f>
        <v>0</v>
      </c>
      <c r="J180" s="26" t="n">
        <f aca="false">IF(INDEX(Pengaturan!$B$8:$B$27,J$4)="",0,COUNTIF(Data!$B180:$U180,INDEX(Pengaturan!$B$8:$B$27,J$4)))</f>
        <v>0</v>
      </c>
      <c r="K180" s="26" t="n">
        <f aca="false">IF(INDEX(Pengaturan!$B$8:$B$27,K$4)="",0,COUNTIF(Data!$B180:$U180,INDEX(Pengaturan!$B$8:$B$27,K$4)))</f>
        <v>0</v>
      </c>
      <c r="L180" s="26" t="n">
        <f aca="false">IF(INDEX(Pengaturan!$B$8:$B$27,L$4)="",0,COUNTIF(Data!$B180:$U180,INDEX(Pengaturan!$B$8:$B$27,L$4)))</f>
        <v>0</v>
      </c>
      <c r="M180" s="26" t="n">
        <f aca="false">IF(INDEX(Pengaturan!$B$8:$B$27,M$4)="",0,COUNTIF(Data!$B180:$U180,INDEX(Pengaturan!$B$8:$B$27,M$4)))</f>
        <v>0</v>
      </c>
      <c r="N180" s="26" t="n">
        <f aca="false">IF(INDEX(Pengaturan!$B$8:$B$27,N$4)="",0,COUNTIF(Data!$B180:$U180,INDEX(Pengaturan!$B$8:$B$27,N$4)))</f>
        <v>0</v>
      </c>
      <c r="O180" s="26" t="n">
        <f aca="false">IF(INDEX(Pengaturan!$B$8:$B$27,O$4)="",0,COUNTIF(Data!$B180:$U180,INDEX(Pengaturan!$B$8:$B$27,O$4)))</f>
        <v>0</v>
      </c>
      <c r="P180" s="26" t="n">
        <f aca="false">IF(INDEX(Pengaturan!$B$8:$B$27,P$4)="",0,COUNTIF(Data!$B180:$U180,INDEX(Pengaturan!$B$8:$B$27,P$4)))</f>
        <v>0</v>
      </c>
      <c r="Q180" s="26" t="n">
        <f aca="false">IF(INDEX(Pengaturan!$B$8:$B$27,Q$4)="",0,COUNTIF(Data!$B180:$U180,INDEX(Pengaturan!$B$8:$B$27,Q$4)))</f>
        <v>0</v>
      </c>
      <c r="R180" s="26" t="n">
        <f aca="false">IF(INDEX(Pengaturan!$B$8:$B$27,R$4)="",0,COUNTIF(Data!$B180:$U180,INDEX(Pengaturan!$B$8:$B$27,R$4)))</f>
        <v>0</v>
      </c>
      <c r="S180" s="26" t="n">
        <f aca="false">IF(INDEX(Pengaturan!$B$8:$B$27,S$4)="",0,COUNTIF(Data!$B180:$U180,INDEX(Pengaturan!$B$8:$B$27,S$4)))</f>
        <v>0</v>
      </c>
      <c r="T180" s="26" t="n">
        <f aca="false">IF(INDEX(Pengaturan!$B$8:$B$27,T$4)="",0,COUNTIF(Data!$B180:$U180,INDEX(Pengaturan!$B$8:$B$27,T$4)))</f>
        <v>0</v>
      </c>
      <c r="U180" s="26" t="n">
        <f aca="false">IF(INDEX(Pengaturan!$B$8:$B$27,U$4)="",0,COUNTIF(Data!$B180:$U180,INDEX(Pengaturan!$B$8:$B$27,U$4)))</f>
        <v>0</v>
      </c>
      <c r="V180" s="26" t="n">
        <f aca="false">COUNTA(Data!$B180:$U180)</f>
        <v>0</v>
      </c>
      <c r="W180" s="27" t="str">
        <f aca="false">IF(V180=0,"",IF(V180&lt;&gt;Hasil!$C$4,"Data kosong/tidak lengkap",IF(SUM(B180:U180)&lt;&gt;V180,"Kategori tidak dikenal","OK")))</f>
        <v/>
      </c>
      <c r="X180" s="26" t="n">
        <f aca="false">IF(OR(W180="",W180="OK"),0,1)</f>
        <v>0</v>
      </c>
    </row>
    <row r="181" customFormat="false" ht="15" hidden="false" customHeight="false" outlineLevel="0" collapsed="false">
      <c r="A181" s="26" t="n">
        <f aca="false">Data!A181</f>
        <v>176</v>
      </c>
      <c r="B181" s="26" t="n">
        <f aca="false">IF(INDEX(Pengaturan!$B$8:$B$27,B$4)="",0,COUNTIF(Data!$B181:$U181,INDEX(Pengaturan!$B$8:$B$27,B$4)))</f>
        <v>0</v>
      </c>
      <c r="C181" s="26" t="n">
        <f aca="false">IF(INDEX(Pengaturan!$B$8:$B$27,C$4)="",0,COUNTIF(Data!$B181:$U181,INDEX(Pengaturan!$B$8:$B$27,C$4)))</f>
        <v>0</v>
      </c>
      <c r="D181" s="26" t="n">
        <f aca="false">IF(INDEX(Pengaturan!$B$8:$B$27,D$4)="",0,COUNTIF(Data!$B181:$U181,INDEX(Pengaturan!$B$8:$B$27,D$4)))</f>
        <v>0</v>
      </c>
      <c r="E181" s="26" t="n">
        <f aca="false">IF(INDEX(Pengaturan!$B$8:$B$27,E$4)="",0,COUNTIF(Data!$B181:$U181,INDEX(Pengaturan!$B$8:$B$27,E$4)))</f>
        <v>0</v>
      </c>
      <c r="F181" s="26" t="n">
        <f aca="false">IF(INDEX(Pengaturan!$B$8:$B$27,F$4)="",0,COUNTIF(Data!$B181:$U181,INDEX(Pengaturan!$B$8:$B$27,F$4)))</f>
        <v>0</v>
      </c>
      <c r="G181" s="26" t="n">
        <f aca="false">IF(INDEX(Pengaturan!$B$8:$B$27,G$4)="",0,COUNTIF(Data!$B181:$U181,INDEX(Pengaturan!$B$8:$B$27,G$4)))</f>
        <v>0</v>
      </c>
      <c r="H181" s="26" t="n">
        <f aca="false">IF(INDEX(Pengaturan!$B$8:$B$27,H$4)="",0,COUNTIF(Data!$B181:$U181,INDEX(Pengaturan!$B$8:$B$27,H$4)))</f>
        <v>0</v>
      </c>
      <c r="I181" s="26" t="n">
        <f aca="false">IF(INDEX(Pengaturan!$B$8:$B$27,I$4)="",0,COUNTIF(Data!$B181:$U181,INDEX(Pengaturan!$B$8:$B$27,I$4)))</f>
        <v>0</v>
      </c>
      <c r="J181" s="26" t="n">
        <f aca="false">IF(INDEX(Pengaturan!$B$8:$B$27,J$4)="",0,COUNTIF(Data!$B181:$U181,INDEX(Pengaturan!$B$8:$B$27,J$4)))</f>
        <v>0</v>
      </c>
      <c r="K181" s="26" t="n">
        <f aca="false">IF(INDEX(Pengaturan!$B$8:$B$27,K$4)="",0,COUNTIF(Data!$B181:$U181,INDEX(Pengaturan!$B$8:$B$27,K$4)))</f>
        <v>0</v>
      </c>
      <c r="L181" s="26" t="n">
        <f aca="false">IF(INDEX(Pengaturan!$B$8:$B$27,L$4)="",0,COUNTIF(Data!$B181:$U181,INDEX(Pengaturan!$B$8:$B$27,L$4)))</f>
        <v>0</v>
      </c>
      <c r="M181" s="26" t="n">
        <f aca="false">IF(INDEX(Pengaturan!$B$8:$B$27,M$4)="",0,COUNTIF(Data!$B181:$U181,INDEX(Pengaturan!$B$8:$B$27,M$4)))</f>
        <v>0</v>
      </c>
      <c r="N181" s="26" t="n">
        <f aca="false">IF(INDEX(Pengaturan!$B$8:$B$27,N$4)="",0,COUNTIF(Data!$B181:$U181,INDEX(Pengaturan!$B$8:$B$27,N$4)))</f>
        <v>0</v>
      </c>
      <c r="O181" s="26" t="n">
        <f aca="false">IF(INDEX(Pengaturan!$B$8:$B$27,O$4)="",0,COUNTIF(Data!$B181:$U181,INDEX(Pengaturan!$B$8:$B$27,O$4)))</f>
        <v>0</v>
      </c>
      <c r="P181" s="26" t="n">
        <f aca="false">IF(INDEX(Pengaturan!$B$8:$B$27,P$4)="",0,COUNTIF(Data!$B181:$U181,INDEX(Pengaturan!$B$8:$B$27,P$4)))</f>
        <v>0</v>
      </c>
      <c r="Q181" s="26" t="n">
        <f aca="false">IF(INDEX(Pengaturan!$B$8:$B$27,Q$4)="",0,COUNTIF(Data!$B181:$U181,INDEX(Pengaturan!$B$8:$B$27,Q$4)))</f>
        <v>0</v>
      </c>
      <c r="R181" s="26" t="n">
        <f aca="false">IF(INDEX(Pengaturan!$B$8:$B$27,R$4)="",0,COUNTIF(Data!$B181:$U181,INDEX(Pengaturan!$B$8:$B$27,R$4)))</f>
        <v>0</v>
      </c>
      <c r="S181" s="26" t="n">
        <f aca="false">IF(INDEX(Pengaturan!$B$8:$B$27,S$4)="",0,COUNTIF(Data!$B181:$U181,INDEX(Pengaturan!$B$8:$B$27,S$4)))</f>
        <v>0</v>
      </c>
      <c r="T181" s="26" t="n">
        <f aca="false">IF(INDEX(Pengaturan!$B$8:$B$27,T$4)="",0,COUNTIF(Data!$B181:$U181,INDEX(Pengaturan!$B$8:$B$27,T$4)))</f>
        <v>0</v>
      </c>
      <c r="U181" s="26" t="n">
        <f aca="false">IF(INDEX(Pengaturan!$B$8:$B$27,U$4)="",0,COUNTIF(Data!$B181:$U181,INDEX(Pengaturan!$B$8:$B$27,U$4)))</f>
        <v>0</v>
      </c>
      <c r="V181" s="26" t="n">
        <f aca="false">COUNTA(Data!$B181:$U181)</f>
        <v>0</v>
      </c>
      <c r="W181" s="27" t="str">
        <f aca="false">IF(V181=0,"",IF(V181&lt;&gt;Hasil!$C$4,"Data kosong/tidak lengkap",IF(SUM(B181:U181)&lt;&gt;V181,"Kategori tidak dikenal","OK")))</f>
        <v/>
      </c>
      <c r="X181" s="26" t="n">
        <f aca="false">IF(OR(W181="",W181="OK"),0,1)</f>
        <v>0</v>
      </c>
    </row>
    <row r="182" customFormat="false" ht="15" hidden="false" customHeight="false" outlineLevel="0" collapsed="false">
      <c r="A182" s="26" t="n">
        <f aca="false">Data!A182</f>
        <v>177</v>
      </c>
      <c r="B182" s="26" t="n">
        <f aca="false">IF(INDEX(Pengaturan!$B$8:$B$27,B$4)="",0,COUNTIF(Data!$B182:$U182,INDEX(Pengaturan!$B$8:$B$27,B$4)))</f>
        <v>0</v>
      </c>
      <c r="C182" s="26" t="n">
        <f aca="false">IF(INDEX(Pengaturan!$B$8:$B$27,C$4)="",0,COUNTIF(Data!$B182:$U182,INDEX(Pengaturan!$B$8:$B$27,C$4)))</f>
        <v>0</v>
      </c>
      <c r="D182" s="26" t="n">
        <f aca="false">IF(INDEX(Pengaturan!$B$8:$B$27,D$4)="",0,COUNTIF(Data!$B182:$U182,INDEX(Pengaturan!$B$8:$B$27,D$4)))</f>
        <v>0</v>
      </c>
      <c r="E182" s="26" t="n">
        <f aca="false">IF(INDEX(Pengaturan!$B$8:$B$27,E$4)="",0,COUNTIF(Data!$B182:$U182,INDEX(Pengaturan!$B$8:$B$27,E$4)))</f>
        <v>0</v>
      </c>
      <c r="F182" s="26" t="n">
        <f aca="false">IF(INDEX(Pengaturan!$B$8:$B$27,F$4)="",0,COUNTIF(Data!$B182:$U182,INDEX(Pengaturan!$B$8:$B$27,F$4)))</f>
        <v>0</v>
      </c>
      <c r="G182" s="26" t="n">
        <f aca="false">IF(INDEX(Pengaturan!$B$8:$B$27,G$4)="",0,COUNTIF(Data!$B182:$U182,INDEX(Pengaturan!$B$8:$B$27,G$4)))</f>
        <v>0</v>
      </c>
      <c r="H182" s="26" t="n">
        <f aca="false">IF(INDEX(Pengaturan!$B$8:$B$27,H$4)="",0,COUNTIF(Data!$B182:$U182,INDEX(Pengaturan!$B$8:$B$27,H$4)))</f>
        <v>0</v>
      </c>
      <c r="I182" s="26" t="n">
        <f aca="false">IF(INDEX(Pengaturan!$B$8:$B$27,I$4)="",0,COUNTIF(Data!$B182:$U182,INDEX(Pengaturan!$B$8:$B$27,I$4)))</f>
        <v>0</v>
      </c>
      <c r="J182" s="26" t="n">
        <f aca="false">IF(INDEX(Pengaturan!$B$8:$B$27,J$4)="",0,COUNTIF(Data!$B182:$U182,INDEX(Pengaturan!$B$8:$B$27,J$4)))</f>
        <v>0</v>
      </c>
      <c r="K182" s="26" t="n">
        <f aca="false">IF(INDEX(Pengaturan!$B$8:$B$27,K$4)="",0,COUNTIF(Data!$B182:$U182,INDEX(Pengaturan!$B$8:$B$27,K$4)))</f>
        <v>0</v>
      </c>
      <c r="L182" s="26" t="n">
        <f aca="false">IF(INDEX(Pengaturan!$B$8:$B$27,L$4)="",0,COUNTIF(Data!$B182:$U182,INDEX(Pengaturan!$B$8:$B$27,L$4)))</f>
        <v>0</v>
      </c>
      <c r="M182" s="26" t="n">
        <f aca="false">IF(INDEX(Pengaturan!$B$8:$B$27,M$4)="",0,COUNTIF(Data!$B182:$U182,INDEX(Pengaturan!$B$8:$B$27,M$4)))</f>
        <v>0</v>
      </c>
      <c r="N182" s="26" t="n">
        <f aca="false">IF(INDEX(Pengaturan!$B$8:$B$27,N$4)="",0,COUNTIF(Data!$B182:$U182,INDEX(Pengaturan!$B$8:$B$27,N$4)))</f>
        <v>0</v>
      </c>
      <c r="O182" s="26" t="n">
        <f aca="false">IF(INDEX(Pengaturan!$B$8:$B$27,O$4)="",0,COUNTIF(Data!$B182:$U182,INDEX(Pengaturan!$B$8:$B$27,O$4)))</f>
        <v>0</v>
      </c>
      <c r="P182" s="26" t="n">
        <f aca="false">IF(INDEX(Pengaturan!$B$8:$B$27,P$4)="",0,COUNTIF(Data!$B182:$U182,INDEX(Pengaturan!$B$8:$B$27,P$4)))</f>
        <v>0</v>
      </c>
      <c r="Q182" s="26" t="n">
        <f aca="false">IF(INDEX(Pengaturan!$B$8:$B$27,Q$4)="",0,COUNTIF(Data!$B182:$U182,INDEX(Pengaturan!$B$8:$B$27,Q$4)))</f>
        <v>0</v>
      </c>
      <c r="R182" s="26" t="n">
        <f aca="false">IF(INDEX(Pengaturan!$B$8:$B$27,R$4)="",0,COUNTIF(Data!$B182:$U182,INDEX(Pengaturan!$B$8:$B$27,R$4)))</f>
        <v>0</v>
      </c>
      <c r="S182" s="26" t="n">
        <f aca="false">IF(INDEX(Pengaturan!$B$8:$B$27,S$4)="",0,COUNTIF(Data!$B182:$U182,INDEX(Pengaturan!$B$8:$B$27,S$4)))</f>
        <v>0</v>
      </c>
      <c r="T182" s="26" t="n">
        <f aca="false">IF(INDEX(Pengaturan!$B$8:$B$27,T$4)="",0,COUNTIF(Data!$B182:$U182,INDEX(Pengaturan!$B$8:$B$27,T$4)))</f>
        <v>0</v>
      </c>
      <c r="U182" s="26" t="n">
        <f aca="false">IF(INDEX(Pengaturan!$B$8:$B$27,U$4)="",0,COUNTIF(Data!$B182:$U182,INDEX(Pengaturan!$B$8:$B$27,U$4)))</f>
        <v>0</v>
      </c>
      <c r="V182" s="26" t="n">
        <f aca="false">COUNTA(Data!$B182:$U182)</f>
        <v>0</v>
      </c>
      <c r="W182" s="27" t="str">
        <f aca="false">IF(V182=0,"",IF(V182&lt;&gt;Hasil!$C$4,"Data kosong/tidak lengkap",IF(SUM(B182:U182)&lt;&gt;V182,"Kategori tidak dikenal","OK")))</f>
        <v/>
      </c>
      <c r="X182" s="26" t="n">
        <f aca="false">IF(OR(W182="",W182="OK"),0,1)</f>
        <v>0</v>
      </c>
    </row>
    <row r="183" customFormat="false" ht="15" hidden="false" customHeight="false" outlineLevel="0" collapsed="false">
      <c r="A183" s="26" t="n">
        <f aca="false">Data!A183</f>
        <v>178</v>
      </c>
      <c r="B183" s="26" t="n">
        <f aca="false">IF(INDEX(Pengaturan!$B$8:$B$27,B$4)="",0,COUNTIF(Data!$B183:$U183,INDEX(Pengaturan!$B$8:$B$27,B$4)))</f>
        <v>0</v>
      </c>
      <c r="C183" s="26" t="n">
        <f aca="false">IF(INDEX(Pengaturan!$B$8:$B$27,C$4)="",0,COUNTIF(Data!$B183:$U183,INDEX(Pengaturan!$B$8:$B$27,C$4)))</f>
        <v>0</v>
      </c>
      <c r="D183" s="26" t="n">
        <f aca="false">IF(INDEX(Pengaturan!$B$8:$B$27,D$4)="",0,COUNTIF(Data!$B183:$U183,INDEX(Pengaturan!$B$8:$B$27,D$4)))</f>
        <v>0</v>
      </c>
      <c r="E183" s="26" t="n">
        <f aca="false">IF(INDEX(Pengaturan!$B$8:$B$27,E$4)="",0,COUNTIF(Data!$B183:$U183,INDEX(Pengaturan!$B$8:$B$27,E$4)))</f>
        <v>0</v>
      </c>
      <c r="F183" s="26" t="n">
        <f aca="false">IF(INDEX(Pengaturan!$B$8:$B$27,F$4)="",0,COUNTIF(Data!$B183:$U183,INDEX(Pengaturan!$B$8:$B$27,F$4)))</f>
        <v>0</v>
      </c>
      <c r="G183" s="26" t="n">
        <f aca="false">IF(INDEX(Pengaturan!$B$8:$B$27,G$4)="",0,COUNTIF(Data!$B183:$U183,INDEX(Pengaturan!$B$8:$B$27,G$4)))</f>
        <v>0</v>
      </c>
      <c r="H183" s="26" t="n">
        <f aca="false">IF(INDEX(Pengaturan!$B$8:$B$27,H$4)="",0,COUNTIF(Data!$B183:$U183,INDEX(Pengaturan!$B$8:$B$27,H$4)))</f>
        <v>0</v>
      </c>
      <c r="I183" s="26" t="n">
        <f aca="false">IF(INDEX(Pengaturan!$B$8:$B$27,I$4)="",0,COUNTIF(Data!$B183:$U183,INDEX(Pengaturan!$B$8:$B$27,I$4)))</f>
        <v>0</v>
      </c>
      <c r="J183" s="26" t="n">
        <f aca="false">IF(INDEX(Pengaturan!$B$8:$B$27,J$4)="",0,COUNTIF(Data!$B183:$U183,INDEX(Pengaturan!$B$8:$B$27,J$4)))</f>
        <v>0</v>
      </c>
      <c r="K183" s="26" t="n">
        <f aca="false">IF(INDEX(Pengaturan!$B$8:$B$27,K$4)="",0,COUNTIF(Data!$B183:$U183,INDEX(Pengaturan!$B$8:$B$27,K$4)))</f>
        <v>0</v>
      </c>
      <c r="L183" s="26" t="n">
        <f aca="false">IF(INDEX(Pengaturan!$B$8:$B$27,L$4)="",0,COUNTIF(Data!$B183:$U183,INDEX(Pengaturan!$B$8:$B$27,L$4)))</f>
        <v>0</v>
      </c>
      <c r="M183" s="26" t="n">
        <f aca="false">IF(INDEX(Pengaturan!$B$8:$B$27,M$4)="",0,COUNTIF(Data!$B183:$U183,INDEX(Pengaturan!$B$8:$B$27,M$4)))</f>
        <v>0</v>
      </c>
      <c r="N183" s="26" t="n">
        <f aca="false">IF(INDEX(Pengaturan!$B$8:$B$27,N$4)="",0,COUNTIF(Data!$B183:$U183,INDEX(Pengaturan!$B$8:$B$27,N$4)))</f>
        <v>0</v>
      </c>
      <c r="O183" s="26" t="n">
        <f aca="false">IF(INDEX(Pengaturan!$B$8:$B$27,O$4)="",0,COUNTIF(Data!$B183:$U183,INDEX(Pengaturan!$B$8:$B$27,O$4)))</f>
        <v>0</v>
      </c>
      <c r="P183" s="26" t="n">
        <f aca="false">IF(INDEX(Pengaturan!$B$8:$B$27,P$4)="",0,COUNTIF(Data!$B183:$U183,INDEX(Pengaturan!$B$8:$B$27,P$4)))</f>
        <v>0</v>
      </c>
      <c r="Q183" s="26" t="n">
        <f aca="false">IF(INDEX(Pengaturan!$B$8:$B$27,Q$4)="",0,COUNTIF(Data!$B183:$U183,INDEX(Pengaturan!$B$8:$B$27,Q$4)))</f>
        <v>0</v>
      </c>
      <c r="R183" s="26" t="n">
        <f aca="false">IF(INDEX(Pengaturan!$B$8:$B$27,R$4)="",0,COUNTIF(Data!$B183:$U183,INDEX(Pengaturan!$B$8:$B$27,R$4)))</f>
        <v>0</v>
      </c>
      <c r="S183" s="26" t="n">
        <f aca="false">IF(INDEX(Pengaturan!$B$8:$B$27,S$4)="",0,COUNTIF(Data!$B183:$U183,INDEX(Pengaturan!$B$8:$B$27,S$4)))</f>
        <v>0</v>
      </c>
      <c r="T183" s="26" t="n">
        <f aca="false">IF(INDEX(Pengaturan!$B$8:$B$27,T$4)="",0,COUNTIF(Data!$B183:$U183,INDEX(Pengaturan!$B$8:$B$27,T$4)))</f>
        <v>0</v>
      </c>
      <c r="U183" s="26" t="n">
        <f aca="false">IF(INDEX(Pengaturan!$B$8:$B$27,U$4)="",0,COUNTIF(Data!$B183:$U183,INDEX(Pengaturan!$B$8:$B$27,U$4)))</f>
        <v>0</v>
      </c>
      <c r="V183" s="26" t="n">
        <f aca="false">COUNTA(Data!$B183:$U183)</f>
        <v>0</v>
      </c>
      <c r="W183" s="27" t="str">
        <f aca="false">IF(V183=0,"",IF(V183&lt;&gt;Hasil!$C$4,"Data kosong/tidak lengkap",IF(SUM(B183:U183)&lt;&gt;V183,"Kategori tidak dikenal","OK")))</f>
        <v/>
      </c>
      <c r="X183" s="26" t="n">
        <f aca="false">IF(OR(W183="",W183="OK"),0,1)</f>
        <v>0</v>
      </c>
    </row>
    <row r="184" customFormat="false" ht="15" hidden="false" customHeight="false" outlineLevel="0" collapsed="false">
      <c r="A184" s="26" t="n">
        <f aca="false">Data!A184</f>
        <v>179</v>
      </c>
      <c r="B184" s="26" t="n">
        <f aca="false">IF(INDEX(Pengaturan!$B$8:$B$27,B$4)="",0,COUNTIF(Data!$B184:$U184,INDEX(Pengaturan!$B$8:$B$27,B$4)))</f>
        <v>0</v>
      </c>
      <c r="C184" s="26" t="n">
        <f aca="false">IF(INDEX(Pengaturan!$B$8:$B$27,C$4)="",0,COUNTIF(Data!$B184:$U184,INDEX(Pengaturan!$B$8:$B$27,C$4)))</f>
        <v>0</v>
      </c>
      <c r="D184" s="26" t="n">
        <f aca="false">IF(INDEX(Pengaturan!$B$8:$B$27,D$4)="",0,COUNTIF(Data!$B184:$U184,INDEX(Pengaturan!$B$8:$B$27,D$4)))</f>
        <v>0</v>
      </c>
      <c r="E184" s="26" t="n">
        <f aca="false">IF(INDEX(Pengaturan!$B$8:$B$27,E$4)="",0,COUNTIF(Data!$B184:$U184,INDEX(Pengaturan!$B$8:$B$27,E$4)))</f>
        <v>0</v>
      </c>
      <c r="F184" s="26" t="n">
        <f aca="false">IF(INDEX(Pengaturan!$B$8:$B$27,F$4)="",0,COUNTIF(Data!$B184:$U184,INDEX(Pengaturan!$B$8:$B$27,F$4)))</f>
        <v>0</v>
      </c>
      <c r="G184" s="26" t="n">
        <f aca="false">IF(INDEX(Pengaturan!$B$8:$B$27,G$4)="",0,COUNTIF(Data!$B184:$U184,INDEX(Pengaturan!$B$8:$B$27,G$4)))</f>
        <v>0</v>
      </c>
      <c r="H184" s="26" t="n">
        <f aca="false">IF(INDEX(Pengaturan!$B$8:$B$27,H$4)="",0,COUNTIF(Data!$B184:$U184,INDEX(Pengaturan!$B$8:$B$27,H$4)))</f>
        <v>0</v>
      </c>
      <c r="I184" s="26" t="n">
        <f aca="false">IF(INDEX(Pengaturan!$B$8:$B$27,I$4)="",0,COUNTIF(Data!$B184:$U184,INDEX(Pengaturan!$B$8:$B$27,I$4)))</f>
        <v>0</v>
      </c>
      <c r="J184" s="26" t="n">
        <f aca="false">IF(INDEX(Pengaturan!$B$8:$B$27,J$4)="",0,COUNTIF(Data!$B184:$U184,INDEX(Pengaturan!$B$8:$B$27,J$4)))</f>
        <v>0</v>
      </c>
      <c r="K184" s="26" t="n">
        <f aca="false">IF(INDEX(Pengaturan!$B$8:$B$27,K$4)="",0,COUNTIF(Data!$B184:$U184,INDEX(Pengaturan!$B$8:$B$27,K$4)))</f>
        <v>0</v>
      </c>
      <c r="L184" s="26" t="n">
        <f aca="false">IF(INDEX(Pengaturan!$B$8:$B$27,L$4)="",0,COUNTIF(Data!$B184:$U184,INDEX(Pengaturan!$B$8:$B$27,L$4)))</f>
        <v>0</v>
      </c>
      <c r="M184" s="26" t="n">
        <f aca="false">IF(INDEX(Pengaturan!$B$8:$B$27,M$4)="",0,COUNTIF(Data!$B184:$U184,INDEX(Pengaturan!$B$8:$B$27,M$4)))</f>
        <v>0</v>
      </c>
      <c r="N184" s="26" t="n">
        <f aca="false">IF(INDEX(Pengaturan!$B$8:$B$27,N$4)="",0,COUNTIF(Data!$B184:$U184,INDEX(Pengaturan!$B$8:$B$27,N$4)))</f>
        <v>0</v>
      </c>
      <c r="O184" s="26" t="n">
        <f aca="false">IF(INDEX(Pengaturan!$B$8:$B$27,O$4)="",0,COUNTIF(Data!$B184:$U184,INDEX(Pengaturan!$B$8:$B$27,O$4)))</f>
        <v>0</v>
      </c>
      <c r="P184" s="26" t="n">
        <f aca="false">IF(INDEX(Pengaturan!$B$8:$B$27,P$4)="",0,COUNTIF(Data!$B184:$U184,INDEX(Pengaturan!$B$8:$B$27,P$4)))</f>
        <v>0</v>
      </c>
      <c r="Q184" s="26" t="n">
        <f aca="false">IF(INDEX(Pengaturan!$B$8:$B$27,Q$4)="",0,COUNTIF(Data!$B184:$U184,INDEX(Pengaturan!$B$8:$B$27,Q$4)))</f>
        <v>0</v>
      </c>
      <c r="R184" s="26" t="n">
        <f aca="false">IF(INDEX(Pengaturan!$B$8:$B$27,R$4)="",0,COUNTIF(Data!$B184:$U184,INDEX(Pengaturan!$B$8:$B$27,R$4)))</f>
        <v>0</v>
      </c>
      <c r="S184" s="26" t="n">
        <f aca="false">IF(INDEX(Pengaturan!$B$8:$B$27,S$4)="",0,COUNTIF(Data!$B184:$U184,INDEX(Pengaturan!$B$8:$B$27,S$4)))</f>
        <v>0</v>
      </c>
      <c r="T184" s="26" t="n">
        <f aca="false">IF(INDEX(Pengaturan!$B$8:$B$27,T$4)="",0,COUNTIF(Data!$B184:$U184,INDEX(Pengaturan!$B$8:$B$27,T$4)))</f>
        <v>0</v>
      </c>
      <c r="U184" s="26" t="n">
        <f aca="false">IF(INDEX(Pengaturan!$B$8:$B$27,U$4)="",0,COUNTIF(Data!$B184:$U184,INDEX(Pengaturan!$B$8:$B$27,U$4)))</f>
        <v>0</v>
      </c>
      <c r="V184" s="26" t="n">
        <f aca="false">COUNTA(Data!$B184:$U184)</f>
        <v>0</v>
      </c>
      <c r="W184" s="27" t="str">
        <f aca="false">IF(V184=0,"",IF(V184&lt;&gt;Hasil!$C$4,"Data kosong/tidak lengkap",IF(SUM(B184:U184)&lt;&gt;V184,"Kategori tidak dikenal","OK")))</f>
        <v/>
      </c>
      <c r="X184" s="26" t="n">
        <f aca="false">IF(OR(W184="",W184="OK"),0,1)</f>
        <v>0</v>
      </c>
    </row>
    <row r="185" customFormat="false" ht="15" hidden="false" customHeight="false" outlineLevel="0" collapsed="false">
      <c r="A185" s="26" t="n">
        <f aca="false">Data!A185</f>
        <v>180</v>
      </c>
      <c r="B185" s="26" t="n">
        <f aca="false">IF(INDEX(Pengaturan!$B$8:$B$27,B$4)="",0,COUNTIF(Data!$B185:$U185,INDEX(Pengaturan!$B$8:$B$27,B$4)))</f>
        <v>0</v>
      </c>
      <c r="C185" s="26" t="n">
        <f aca="false">IF(INDEX(Pengaturan!$B$8:$B$27,C$4)="",0,COUNTIF(Data!$B185:$U185,INDEX(Pengaturan!$B$8:$B$27,C$4)))</f>
        <v>0</v>
      </c>
      <c r="D185" s="26" t="n">
        <f aca="false">IF(INDEX(Pengaturan!$B$8:$B$27,D$4)="",0,COUNTIF(Data!$B185:$U185,INDEX(Pengaturan!$B$8:$B$27,D$4)))</f>
        <v>0</v>
      </c>
      <c r="E185" s="26" t="n">
        <f aca="false">IF(INDEX(Pengaturan!$B$8:$B$27,E$4)="",0,COUNTIF(Data!$B185:$U185,INDEX(Pengaturan!$B$8:$B$27,E$4)))</f>
        <v>0</v>
      </c>
      <c r="F185" s="26" t="n">
        <f aca="false">IF(INDEX(Pengaturan!$B$8:$B$27,F$4)="",0,COUNTIF(Data!$B185:$U185,INDEX(Pengaturan!$B$8:$B$27,F$4)))</f>
        <v>0</v>
      </c>
      <c r="G185" s="26" t="n">
        <f aca="false">IF(INDEX(Pengaturan!$B$8:$B$27,G$4)="",0,COUNTIF(Data!$B185:$U185,INDEX(Pengaturan!$B$8:$B$27,G$4)))</f>
        <v>0</v>
      </c>
      <c r="H185" s="26" t="n">
        <f aca="false">IF(INDEX(Pengaturan!$B$8:$B$27,H$4)="",0,COUNTIF(Data!$B185:$U185,INDEX(Pengaturan!$B$8:$B$27,H$4)))</f>
        <v>0</v>
      </c>
      <c r="I185" s="26" t="n">
        <f aca="false">IF(INDEX(Pengaturan!$B$8:$B$27,I$4)="",0,COUNTIF(Data!$B185:$U185,INDEX(Pengaturan!$B$8:$B$27,I$4)))</f>
        <v>0</v>
      </c>
      <c r="J185" s="26" t="n">
        <f aca="false">IF(INDEX(Pengaturan!$B$8:$B$27,J$4)="",0,COUNTIF(Data!$B185:$U185,INDEX(Pengaturan!$B$8:$B$27,J$4)))</f>
        <v>0</v>
      </c>
      <c r="K185" s="26" t="n">
        <f aca="false">IF(INDEX(Pengaturan!$B$8:$B$27,K$4)="",0,COUNTIF(Data!$B185:$U185,INDEX(Pengaturan!$B$8:$B$27,K$4)))</f>
        <v>0</v>
      </c>
      <c r="L185" s="26" t="n">
        <f aca="false">IF(INDEX(Pengaturan!$B$8:$B$27,L$4)="",0,COUNTIF(Data!$B185:$U185,INDEX(Pengaturan!$B$8:$B$27,L$4)))</f>
        <v>0</v>
      </c>
      <c r="M185" s="26" t="n">
        <f aca="false">IF(INDEX(Pengaturan!$B$8:$B$27,M$4)="",0,COUNTIF(Data!$B185:$U185,INDEX(Pengaturan!$B$8:$B$27,M$4)))</f>
        <v>0</v>
      </c>
      <c r="N185" s="26" t="n">
        <f aca="false">IF(INDEX(Pengaturan!$B$8:$B$27,N$4)="",0,COUNTIF(Data!$B185:$U185,INDEX(Pengaturan!$B$8:$B$27,N$4)))</f>
        <v>0</v>
      </c>
      <c r="O185" s="26" t="n">
        <f aca="false">IF(INDEX(Pengaturan!$B$8:$B$27,O$4)="",0,COUNTIF(Data!$B185:$U185,INDEX(Pengaturan!$B$8:$B$27,O$4)))</f>
        <v>0</v>
      </c>
      <c r="P185" s="26" t="n">
        <f aca="false">IF(INDEX(Pengaturan!$B$8:$B$27,P$4)="",0,COUNTIF(Data!$B185:$U185,INDEX(Pengaturan!$B$8:$B$27,P$4)))</f>
        <v>0</v>
      </c>
      <c r="Q185" s="26" t="n">
        <f aca="false">IF(INDEX(Pengaturan!$B$8:$B$27,Q$4)="",0,COUNTIF(Data!$B185:$U185,INDEX(Pengaturan!$B$8:$B$27,Q$4)))</f>
        <v>0</v>
      </c>
      <c r="R185" s="26" t="n">
        <f aca="false">IF(INDEX(Pengaturan!$B$8:$B$27,R$4)="",0,COUNTIF(Data!$B185:$U185,INDEX(Pengaturan!$B$8:$B$27,R$4)))</f>
        <v>0</v>
      </c>
      <c r="S185" s="26" t="n">
        <f aca="false">IF(INDEX(Pengaturan!$B$8:$B$27,S$4)="",0,COUNTIF(Data!$B185:$U185,INDEX(Pengaturan!$B$8:$B$27,S$4)))</f>
        <v>0</v>
      </c>
      <c r="T185" s="26" t="n">
        <f aca="false">IF(INDEX(Pengaturan!$B$8:$B$27,T$4)="",0,COUNTIF(Data!$B185:$U185,INDEX(Pengaturan!$B$8:$B$27,T$4)))</f>
        <v>0</v>
      </c>
      <c r="U185" s="26" t="n">
        <f aca="false">IF(INDEX(Pengaturan!$B$8:$B$27,U$4)="",0,COUNTIF(Data!$B185:$U185,INDEX(Pengaturan!$B$8:$B$27,U$4)))</f>
        <v>0</v>
      </c>
      <c r="V185" s="26" t="n">
        <f aca="false">COUNTA(Data!$B185:$U185)</f>
        <v>0</v>
      </c>
      <c r="W185" s="27" t="str">
        <f aca="false">IF(V185=0,"",IF(V185&lt;&gt;Hasil!$C$4,"Data kosong/tidak lengkap",IF(SUM(B185:U185)&lt;&gt;V185,"Kategori tidak dikenal","OK")))</f>
        <v/>
      </c>
      <c r="X185" s="26" t="n">
        <f aca="false">IF(OR(W185="",W185="OK"),0,1)</f>
        <v>0</v>
      </c>
    </row>
    <row r="186" customFormat="false" ht="15" hidden="false" customHeight="false" outlineLevel="0" collapsed="false">
      <c r="A186" s="26" t="n">
        <f aca="false">Data!A186</f>
        <v>181</v>
      </c>
      <c r="B186" s="26" t="n">
        <f aca="false">IF(INDEX(Pengaturan!$B$8:$B$27,B$4)="",0,COUNTIF(Data!$B186:$U186,INDEX(Pengaturan!$B$8:$B$27,B$4)))</f>
        <v>0</v>
      </c>
      <c r="C186" s="26" t="n">
        <f aca="false">IF(INDEX(Pengaturan!$B$8:$B$27,C$4)="",0,COUNTIF(Data!$B186:$U186,INDEX(Pengaturan!$B$8:$B$27,C$4)))</f>
        <v>0</v>
      </c>
      <c r="D186" s="26" t="n">
        <f aca="false">IF(INDEX(Pengaturan!$B$8:$B$27,D$4)="",0,COUNTIF(Data!$B186:$U186,INDEX(Pengaturan!$B$8:$B$27,D$4)))</f>
        <v>0</v>
      </c>
      <c r="E186" s="26" t="n">
        <f aca="false">IF(INDEX(Pengaturan!$B$8:$B$27,E$4)="",0,COUNTIF(Data!$B186:$U186,INDEX(Pengaturan!$B$8:$B$27,E$4)))</f>
        <v>0</v>
      </c>
      <c r="F186" s="26" t="n">
        <f aca="false">IF(INDEX(Pengaturan!$B$8:$B$27,F$4)="",0,COUNTIF(Data!$B186:$U186,INDEX(Pengaturan!$B$8:$B$27,F$4)))</f>
        <v>0</v>
      </c>
      <c r="G186" s="26" t="n">
        <f aca="false">IF(INDEX(Pengaturan!$B$8:$B$27,G$4)="",0,COUNTIF(Data!$B186:$U186,INDEX(Pengaturan!$B$8:$B$27,G$4)))</f>
        <v>0</v>
      </c>
      <c r="H186" s="26" t="n">
        <f aca="false">IF(INDEX(Pengaturan!$B$8:$B$27,H$4)="",0,COUNTIF(Data!$B186:$U186,INDEX(Pengaturan!$B$8:$B$27,H$4)))</f>
        <v>0</v>
      </c>
      <c r="I186" s="26" t="n">
        <f aca="false">IF(INDEX(Pengaturan!$B$8:$B$27,I$4)="",0,COUNTIF(Data!$B186:$U186,INDEX(Pengaturan!$B$8:$B$27,I$4)))</f>
        <v>0</v>
      </c>
      <c r="J186" s="26" t="n">
        <f aca="false">IF(INDEX(Pengaturan!$B$8:$B$27,J$4)="",0,COUNTIF(Data!$B186:$U186,INDEX(Pengaturan!$B$8:$B$27,J$4)))</f>
        <v>0</v>
      </c>
      <c r="K186" s="26" t="n">
        <f aca="false">IF(INDEX(Pengaturan!$B$8:$B$27,K$4)="",0,COUNTIF(Data!$B186:$U186,INDEX(Pengaturan!$B$8:$B$27,K$4)))</f>
        <v>0</v>
      </c>
      <c r="L186" s="26" t="n">
        <f aca="false">IF(INDEX(Pengaturan!$B$8:$B$27,L$4)="",0,COUNTIF(Data!$B186:$U186,INDEX(Pengaturan!$B$8:$B$27,L$4)))</f>
        <v>0</v>
      </c>
      <c r="M186" s="26" t="n">
        <f aca="false">IF(INDEX(Pengaturan!$B$8:$B$27,M$4)="",0,COUNTIF(Data!$B186:$U186,INDEX(Pengaturan!$B$8:$B$27,M$4)))</f>
        <v>0</v>
      </c>
      <c r="N186" s="26" t="n">
        <f aca="false">IF(INDEX(Pengaturan!$B$8:$B$27,N$4)="",0,COUNTIF(Data!$B186:$U186,INDEX(Pengaturan!$B$8:$B$27,N$4)))</f>
        <v>0</v>
      </c>
      <c r="O186" s="26" t="n">
        <f aca="false">IF(INDEX(Pengaturan!$B$8:$B$27,O$4)="",0,COUNTIF(Data!$B186:$U186,INDEX(Pengaturan!$B$8:$B$27,O$4)))</f>
        <v>0</v>
      </c>
      <c r="P186" s="26" t="n">
        <f aca="false">IF(INDEX(Pengaturan!$B$8:$B$27,P$4)="",0,COUNTIF(Data!$B186:$U186,INDEX(Pengaturan!$B$8:$B$27,P$4)))</f>
        <v>0</v>
      </c>
      <c r="Q186" s="26" t="n">
        <f aca="false">IF(INDEX(Pengaturan!$B$8:$B$27,Q$4)="",0,COUNTIF(Data!$B186:$U186,INDEX(Pengaturan!$B$8:$B$27,Q$4)))</f>
        <v>0</v>
      </c>
      <c r="R186" s="26" t="n">
        <f aca="false">IF(INDEX(Pengaturan!$B$8:$B$27,R$4)="",0,COUNTIF(Data!$B186:$U186,INDEX(Pengaturan!$B$8:$B$27,R$4)))</f>
        <v>0</v>
      </c>
      <c r="S186" s="26" t="n">
        <f aca="false">IF(INDEX(Pengaturan!$B$8:$B$27,S$4)="",0,COUNTIF(Data!$B186:$U186,INDEX(Pengaturan!$B$8:$B$27,S$4)))</f>
        <v>0</v>
      </c>
      <c r="T186" s="26" t="n">
        <f aca="false">IF(INDEX(Pengaturan!$B$8:$B$27,T$4)="",0,COUNTIF(Data!$B186:$U186,INDEX(Pengaturan!$B$8:$B$27,T$4)))</f>
        <v>0</v>
      </c>
      <c r="U186" s="26" t="n">
        <f aca="false">IF(INDEX(Pengaturan!$B$8:$B$27,U$4)="",0,COUNTIF(Data!$B186:$U186,INDEX(Pengaturan!$B$8:$B$27,U$4)))</f>
        <v>0</v>
      </c>
      <c r="V186" s="26" t="n">
        <f aca="false">COUNTA(Data!$B186:$U186)</f>
        <v>0</v>
      </c>
      <c r="W186" s="27" t="str">
        <f aca="false">IF(V186=0,"",IF(V186&lt;&gt;Hasil!$C$4,"Data kosong/tidak lengkap",IF(SUM(B186:U186)&lt;&gt;V186,"Kategori tidak dikenal","OK")))</f>
        <v/>
      </c>
      <c r="X186" s="26" t="n">
        <f aca="false">IF(OR(W186="",W186="OK"),0,1)</f>
        <v>0</v>
      </c>
    </row>
    <row r="187" customFormat="false" ht="15" hidden="false" customHeight="false" outlineLevel="0" collapsed="false">
      <c r="A187" s="26" t="n">
        <f aca="false">Data!A187</f>
        <v>182</v>
      </c>
      <c r="B187" s="26" t="n">
        <f aca="false">IF(INDEX(Pengaturan!$B$8:$B$27,B$4)="",0,COUNTIF(Data!$B187:$U187,INDEX(Pengaturan!$B$8:$B$27,B$4)))</f>
        <v>0</v>
      </c>
      <c r="C187" s="26" t="n">
        <f aca="false">IF(INDEX(Pengaturan!$B$8:$B$27,C$4)="",0,COUNTIF(Data!$B187:$U187,INDEX(Pengaturan!$B$8:$B$27,C$4)))</f>
        <v>0</v>
      </c>
      <c r="D187" s="26" t="n">
        <f aca="false">IF(INDEX(Pengaturan!$B$8:$B$27,D$4)="",0,COUNTIF(Data!$B187:$U187,INDEX(Pengaturan!$B$8:$B$27,D$4)))</f>
        <v>0</v>
      </c>
      <c r="E187" s="26" t="n">
        <f aca="false">IF(INDEX(Pengaturan!$B$8:$B$27,E$4)="",0,COUNTIF(Data!$B187:$U187,INDEX(Pengaturan!$B$8:$B$27,E$4)))</f>
        <v>0</v>
      </c>
      <c r="F187" s="26" t="n">
        <f aca="false">IF(INDEX(Pengaturan!$B$8:$B$27,F$4)="",0,COUNTIF(Data!$B187:$U187,INDEX(Pengaturan!$B$8:$B$27,F$4)))</f>
        <v>0</v>
      </c>
      <c r="G187" s="26" t="n">
        <f aca="false">IF(INDEX(Pengaturan!$B$8:$B$27,G$4)="",0,COUNTIF(Data!$B187:$U187,INDEX(Pengaturan!$B$8:$B$27,G$4)))</f>
        <v>0</v>
      </c>
      <c r="H187" s="26" t="n">
        <f aca="false">IF(INDEX(Pengaturan!$B$8:$B$27,H$4)="",0,COUNTIF(Data!$B187:$U187,INDEX(Pengaturan!$B$8:$B$27,H$4)))</f>
        <v>0</v>
      </c>
      <c r="I187" s="26" t="n">
        <f aca="false">IF(INDEX(Pengaturan!$B$8:$B$27,I$4)="",0,COUNTIF(Data!$B187:$U187,INDEX(Pengaturan!$B$8:$B$27,I$4)))</f>
        <v>0</v>
      </c>
      <c r="J187" s="26" t="n">
        <f aca="false">IF(INDEX(Pengaturan!$B$8:$B$27,J$4)="",0,COUNTIF(Data!$B187:$U187,INDEX(Pengaturan!$B$8:$B$27,J$4)))</f>
        <v>0</v>
      </c>
      <c r="K187" s="26" t="n">
        <f aca="false">IF(INDEX(Pengaturan!$B$8:$B$27,K$4)="",0,COUNTIF(Data!$B187:$U187,INDEX(Pengaturan!$B$8:$B$27,K$4)))</f>
        <v>0</v>
      </c>
      <c r="L187" s="26" t="n">
        <f aca="false">IF(INDEX(Pengaturan!$B$8:$B$27,L$4)="",0,COUNTIF(Data!$B187:$U187,INDEX(Pengaturan!$B$8:$B$27,L$4)))</f>
        <v>0</v>
      </c>
      <c r="M187" s="26" t="n">
        <f aca="false">IF(INDEX(Pengaturan!$B$8:$B$27,M$4)="",0,COUNTIF(Data!$B187:$U187,INDEX(Pengaturan!$B$8:$B$27,M$4)))</f>
        <v>0</v>
      </c>
      <c r="N187" s="26" t="n">
        <f aca="false">IF(INDEX(Pengaturan!$B$8:$B$27,N$4)="",0,COUNTIF(Data!$B187:$U187,INDEX(Pengaturan!$B$8:$B$27,N$4)))</f>
        <v>0</v>
      </c>
      <c r="O187" s="26" t="n">
        <f aca="false">IF(INDEX(Pengaturan!$B$8:$B$27,O$4)="",0,COUNTIF(Data!$B187:$U187,INDEX(Pengaturan!$B$8:$B$27,O$4)))</f>
        <v>0</v>
      </c>
      <c r="P187" s="26" t="n">
        <f aca="false">IF(INDEX(Pengaturan!$B$8:$B$27,P$4)="",0,COUNTIF(Data!$B187:$U187,INDEX(Pengaturan!$B$8:$B$27,P$4)))</f>
        <v>0</v>
      </c>
      <c r="Q187" s="26" t="n">
        <f aca="false">IF(INDEX(Pengaturan!$B$8:$B$27,Q$4)="",0,COUNTIF(Data!$B187:$U187,INDEX(Pengaturan!$B$8:$B$27,Q$4)))</f>
        <v>0</v>
      </c>
      <c r="R187" s="26" t="n">
        <f aca="false">IF(INDEX(Pengaturan!$B$8:$B$27,R$4)="",0,COUNTIF(Data!$B187:$U187,INDEX(Pengaturan!$B$8:$B$27,R$4)))</f>
        <v>0</v>
      </c>
      <c r="S187" s="26" t="n">
        <f aca="false">IF(INDEX(Pengaturan!$B$8:$B$27,S$4)="",0,COUNTIF(Data!$B187:$U187,INDEX(Pengaturan!$B$8:$B$27,S$4)))</f>
        <v>0</v>
      </c>
      <c r="T187" s="26" t="n">
        <f aca="false">IF(INDEX(Pengaturan!$B$8:$B$27,T$4)="",0,COUNTIF(Data!$B187:$U187,INDEX(Pengaturan!$B$8:$B$27,T$4)))</f>
        <v>0</v>
      </c>
      <c r="U187" s="26" t="n">
        <f aca="false">IF(INDEX(Pengaturan!$B$8:$B$27,U$4)="",0,COUNTIF(Data!$B187:$U187,INDEX(Pengaturan!$B$8:$B$27,U$4)))</f>
        <v>0</v>
      </c>
      <c r="V187" s="26" t="n">
        <f aca="false">COUNTA(Data!$B187:$U187)</f>
        <v>0</v>
      </c>
      <c r="W187" s="27" t="str">
        <f aca="false">IF(V187=0,"",IF(V187&lt;&gt;Hasil!$C$4,"Data kosong/tidak lengkap",IF(SUM(B187:U187)&lt;&gt;V187,"Kategori tidak dikenal","OK")))</f>
        <v/>
      </c>
      <c r="X187" s="26" t="n">
        <f aca="false">IF(OR(W187="",W187="OK"),0,1)</f>
        <v>0</v>
      </c>
    </row>
    <row r="188" customFormat="false" ht="15" hidden="false" customHeight="false" outlineLevel="0" collapsed="false">
      <c r="A188" s="26" t="n">
        <f aca="false">Data!A188</f>
        <v>183</v>
      </c>
      <c r="B188" s="26" t="n">
        <f aca="false">IF(INDEX(Pengaturan!$B$8:$B$27,B$4)="",0,COUNTIF(Data!$B188:$U188,INDEX(Pengaturan!$B$8:$B$27,B$4)))</f>
        <v>0</v>
      </c>
      <c r="C188" s="26" t="n">
        <f aca="false">IF(INDEX(Pengaturan!$B$8:$B$27,C$4)="",0,COUNTIF(Data!$B188:$U188,INDEX(Pengaturan!$B$8:$B$27,C$4)))</f>
        <v>0</v>
      </c>
      <c r="D188" s="26" t="n">
        <f aca="false">IF(INDEX(Pengaturan!$B$8:$B$27,D$4)="",0,COUNTIF(Data!$B188:$U188,INDEX(Pengaturan!$B$8:$B$27,D$4)))</f>
        <v>0</v>
      </c>
      <c r="E188" s="26" t="n">
        <f aca="false">IF(INDEX(Pengaturan!$B$8:$B$27,E$4)="",0,COUNTIF(Data!$B188:$U188,INDEX(Pengaturan!$B$8:$B$27,E$4)))</f>
        <v>0</v>
      </c>
      <c r="F188" s="26" t="n">
        <f aca="false">IF(INDEX(Pengaturan!$B$8:$B$27,F$4)="",0,COUNTIF(Data!$B188:$U188,INDEX(Pengaturan!$B$8:$B$27,F$4)))</f>
        <v>0</v>
      </c>
      <c r="G188" s="26" t="n">
        <f aca="false">IF(INDEX(Pengaturan!$B$8:$B$27,G$4)="",0,COUNTIF(Data!$B188:$U188,INDEX(Pengaturan!$B$8:$B$27,G$4)))</f>
        <v>0</v>
      </c>
      <c r="H188" s="26" t="n">
        <f aca="false">IF(INDEX(Pengaturan!$B$8:$B$27,H$4)="",0,COUNTIF(Data!$B188:$U188,INDEX(Pengaturan!$B$8:$B$27,H$4)))</f>
        <v>0</v>
      </c>
      <c r="I188" s="26" t="n">
        <f aca="false">IF(INDEX(Pengaturan!$B$8:$B$27,I$4)="",0,COUNTIF(Data!$B188:$U188,INDEX(Pengaturan!$B$8:$B$27,I$4)))</f>
        <v>0</v>
      </c>
      <c r="J188" s="26" t="n">
        <f aca="false">IF(INDEX(Pengaturan!$B$8:$B$27,J$4)="",0,COUNTIF(Data!$B188:$U188,INDEX(Pengaturan!$B$8:$B$27,J$4)))</f>
        <v>0</v>
      </c>
      <c r="K188" s="26" t="n">
        <f aca="false">IF(INDEX(Pengaturan!$B$8:$B$27,K$4)="",0,COUNTIF(Data!$B188:$U188,INDEX(Pengaturan!$B$8:$B$27,K$4)))</f>
        <v>0</v>
      </c>
      <c r="L188" s="26" t="n">
        <f aca="false">IF(INDEX(Pengaturan!$B$8:$B$27,L$4)="",0,COUNTIF(Data!$B188:$U188,INDEX(Pengaturan!$B$8:$B$27,L$4)))</f>
        <v>0</v>
      </c>
      <c r="M188" s="26" t="n">
        <f aca="false">IF(INDEX(Pengaturan!$B$8:$B$27,M$4)="",0,COUNTIF(Data!$B188:$U188,INDEX(Pengaturan!$B$8:$B$27,M$4)))</f>
        <v>0</v>
      </c>
      <c r="N188" s="26" t="n">
        <f aca="false">IF(INDEX(Pengaturan!$B$8:$B$27,N$4)="",0,COUNTIF(Data!$B188:$U188,INDEX(Pengaturan!$B$8:$B$27,N$4)))</f>
        <v>0</v>
      </c>
      <c r="O188" s="26" t="n">
        <f aca="false">IF(INDEX(Pengaturan!$B$8:$B$27,O$4)="",0,COUNTIF(Data!$B188:$U188,INDEX(Pengaturan!$B$8:$B$27,O$4)))</f>
        <v>0</v>
      </c>
      <c r="P188" s="26" t="n">
        <f aca="false">IF(INDEX(Pengaturan!$B$8:$B$27,P$4)="",0,COUNTIF(Data!$B188:$U188,INDEX(Pengaturan!$B$8:$B$27,P$4)))</f>
        <v>0</v>
      </c>
      <c r="Q188" s="26" t="n">
        <f aca="false">IF(INDEX(Pengaturan!$B$8:$B$27,Q$4)="",0,COUNTIF(Data!$B188:$U188,INDEX(Pengaturan!$B$8:$B$27,Q$4)))</f>
        <v>0</v>
      </c>
      <c r="R188" s="26" t="n">
        <f aca="false">IF(INDEX(Pengaturan!$B$8:$B$27,R$4)="",0,COUNTIF(Data!$B188:$U188,INDEX(Pengaturan!$B$8:$B$27,R$4)))</f>
        <v>0</v>
      </c>
      <c r="S188" s="26" t="n">
        <f aca="false">IF(INDEX(Pengaturan!$B$8:$B$27,S$4)="",0,COUNTIF(Data!$B188:$U188,INDEX(Pengaturan!$B$8:$B$27,S$4)))</f>
        <v>0</v>
      </c>
      <c r="T188" s="26" t="n">
        <f aca="false">IF(INDEX(Pengaturan!$B$8:$B$27,T$4)="",0,COUNTIF(Data!$B188:$U188,INDEX(Pengaturan!$B$8:$B$27,T$4)))</f>
        <v>0</v>
      </c>
      <c r="U188" s="26" t="n">
        <f aca="false">IF(INDEX(Pengaturan!$B$8:$B$27,U$4)="",0,COUNTIF(Data!$B188:$U188,INDEX(Pengaturan!$B$8:$B$27,U$4)))</f>
        <v>0</v>
      </c>
      <c r="V188" s="26" t="n">
        <f aca="false">COUNTA(Data!$B188:$U188)</f>
        <v>0</v>
      </c>
      <c r="W188" s="27" t="str">
        <f aca="false">IF(V188=0,"",IF(V188&lt;&gt;Hasil!$C$4,"Data kosong/tidak lengkap",IF(SUM(B188:U188)&lt;&gt;V188,"Kategori tidak dikenal","OK")))</f>
        <v/>
      </c>
      <c r="X188" s="26" t="n">
        <f aca="false">IF(OR(W188="",W188="OK"),0,1)</f>
        <v>0</v>
      </c>
    </row>
    <row r="189" customFormat="false" ht="15" hidden="false" customHeight="false" outlineLevel="0" collapsed="false">
      <c r="A189" s="26" t="n">
        <f aca="false">Data!A189</f>
        <v>184</v>
      </c>
      <c r="B189" s="26" t="n">
        <f aca="false">IF(INDEX(Pengaturan!$B$8:$B$27,B$4)="",0,COUNTIF(Data!$B189:$U189,INDEX(Pengaturan!$B$8:$B$27,B$4)))</f>
        <v>0</v>
      </c>
      <c r="C189" s="26" t="n">
        <f aca="false">IF(INDEX(Pengaturan!$B$8:$B$27,C$4)="",0,COUNTIF(Data!$B189:$U189,INDEX(Pengaturan!$B$8:$B$27,C$4)))</f>
        <v>0</v>
      </c>
      <c r="D189" s="26" t="n">
        <f aca="false">IF(INDEX(Pengaturan!$B$8:$B$27,D$4)="",0,COUNTIF(Data!$B189:$U189,INDEX(Pengaturan!$B$8:$B$27,D$4)))</f>
        <v>0</v>
      </c>
      <c r="E189" s="26" t="n">
        <f aca="false">IF(INDEX(Pengaturan!$B$8:$B$27,E$4)="",0,COUNTIF(Data!$B189:$U189,INDEX(Pengaturan!$B$8:$B$27,E$4)))</f>
        <v>0</v>
      </c>
      <c r="F189" s="26" t="n">
        <f aca="false">IF(INDEX(Pengaturan!$B$8:$B$27,F$4)="",0,COUNTIF(Data!$B189:$U189,INDEX(Pengaturan!$B$8:$B$27,F$4)))</f>
        <v>0</v>
      </c>
      <c r="G189" s="26" t="n">
        <f aca="false">IF(INDEX(Pengaturan!$B$8:$B$27,G$4)="",0,COUNTIF(Data!$B189:$U189,INDEX(Pengaturan!$B$8:$B$27,G$4)))</f>
        <v>0</v>
      </c>
      <c r="H189" s="26" t="n">
        <f aca="false">IF(INDEX(Pengaturan!$B$8:$B$27,H$4)="",0,COUNTIF(Data!$B189:$U189,INDEX(Pengaturan!$B$8:$B$27,H$4)))</f>
        <v>0</v>
      </c>
      <c r="I189" s="26" t="n">
        <f aca="false">IF(INDEX(Pengaturan!$B$8:$B$27,I$4)="",0,COUNTIF(Data!$B189:$U189,INDEX(Pengaturan!$B$8:$B$27,I$4)))</f>
        <v>0</v>
      </c>
      <c r="J189" s="26" t="n">
        <f aca="false">IF(INDEX(Pengaturan!$B$8:$B$27,J$4)="",0,COUNTIF(Data!$B189:$U189,INDEX(Pengaturan!$B$8:$B$27,J$4)))</f>
        <v>0</v>
      </c>
      <c r="K189" s="26" t="n">
        <f aca="false">IF(INDEX(Pengaturan!$B$8:$B$27,K$4)="",0,COUNTIF(Data!$B189:$U189,INDEX(Pengaturan!$B$8:$B$27,K$4)))</f>
        <v>0</v>
      </c>
      <c r="L189" s="26" t="n">
        <f aca="false">IF(INDEX(Pengaturan!$B$8:$B$27,L$4)="",0,COUNTIF(Data!$B189:$U189,INDEX(Pengaturan!$B$8:$B$27,L$4)))</f>
        <v>0</v>
      </c>
      <c r="M189" s="26" t="n">
        <f aca="false">IF(INDEX(Pengaturan!$B$8:$B$27,M$4)="",0,COUNTIF(Data!$B189:$U189,INDEX(Pengaturan!$B$8:$B$27,M$4)))</f>
        <v>0</v>
      </c>
      <c r="N189" s="26" t="n">
        <f aca="false">IF(INDEX(Pengaturan!$B$8:$B$27,N$4)="",0,COUNTIF(Data!$B189:$U189,INDEX(Pengaturan!$B$8:$B$27,N$4)))</f>
        <v>0</v>
      </c>
      <c r="O189" s="26" t="n">
        <f aca="false">IF(INDEX(Pengaturan!$B$8:$B$27,O$4)="",0,COUNTIF(Data!$B189:$U189,INDEX(Pengaturan!$B$8:$B$27,O$4)))</f>
        <v>0</v>
      </c>
      <c r="P189" s="26" t="n">
        <f aca="false">IF(INDEX(Pengaturan!$B$8:$B$27,P$4)="",0,COUNTIF(Data!$B189:$U189,INDEX(Pengaturan!$B$8:$B$27,P$4)))</f>
        <v>0</v>
      </c>
      <c r="Q189" s="26" t="n">
        <f aca="false">IF(INDEX(Pengaturan!$B$8:$B$27,Q$4)="",0,COUNTIF(Data!$B189:$U189,INDEX(Pengaturan!$B$8:$B$27,Q$4)))</f>
        <v>0</v>
      </c>
      <c r="R189" s="26" t="n">
        <f aca="false">IF(INDEX(Pengaturan!$B$8:$B$27,R$4)="",0,COUNTIF(Data!$B189:$U189,INDEX(Pengaturan!$B$8:$B$27,R$4)))</f>
        <v>0</v>
      </c>
      <c r="S189" s="26" t="n">
        <f aca="false">IF(INDEX(Pengaturan!$B$8:$B$27,S$4)="",0,COUNTIF(Data!$B189:$U189,INDEX(Pengaturan!$B$8:$B$27,S$4)))</f>
        <v>0</v>
      </c>
      <c r="T189" s="26" t="n">
        <f aca="false">IF(INDEX(Pengaturan!$B$8:$B$27,T$4)="",0,COUNTIF(Data!$B189:$U189,INDEX(Pengaturan!$B$8:$B$27,T$4)))</f>
        <v>0</v>
      </c>
      <c r="U189" s="26" t="n">
        <f aca="false">IF(INDEX(Pengaturan!$B$8:$B$27,U$4)="",0,COUNTIF(Data!$B189:$U189,INDEX(Pengaturan!$B$8:$B$27,U$4)))</f>
        <v>0</v>
      </c>
      <c r="V189" s="26" t="n">
        <f aca="false">COUNTA(Data!$B189:$U189)</f>
        <v>0</v>
      </c>
      <c r="W189" s="27" t="str">
        <f aca="false">IF(V189=0,"",IF(V189&lt;&gt;Hasil!$C$4,"Data kosong/tidak lengkap",IF(SUM(B189:U189)&lt;&gt;V189,"Kategori tidak dikenal","OK")))</f>
        <v/>
      </c>
      <c r="X189" s="26" t="n">
        <f aca="false">IF(OR(W189="",W189="OK"),0,1)</f>
        <v>0</v>
      </c>
    </row>
    <row r="190" customFormat="false" ht="15" hidden="false" customHeight="false" outlineLevel="0" collapsed="false">
      <c r="A190" s="26" t="n">
        <f aca="false">Data!A190</f>
        <v>185</v>
      </c>
      <c r="B190" s="26" t="n">
        <f aca="false">IF(INDEX(Pengaturan!$B$8:$B$27,B$4)="",0,COUNTIF(Data!$B190:$U190,INDEX(Pengaturan!$B$8:$B$27,B$4)))</f>
        <v>0</v>
      </c>
      <c r="C190" s="26" t="n">
        <f aca="false">IF(INDEX(Pengaturan!$B$8:$B$27,C$4)="",0,COUNTIF(Data!$B190:$U190,INDEX(Pengaturan!$B$8:$B$27,C$4)))</f>
        <v>0</v>
      </c>
      <c r="D190" s="26" t="n">
        <f aca="false">IF(INDEX(Pengaturan!$B$8:$B$27,D$4)="",0,COUNTIF(Data!$B190:$U190,INDEX(Pengaturan!$B$8:$B$27,D$4)))</f>
        <v>0</v>
      </c>
      <c r="E190" s="26" t="n">
        <f aca="false">IF(INDEX(Pengaturan!$B$8:$B$27,E$4)="",0,COUNTIF(Data!$B190:$U190,INDEX(Pengaturan!$B$8:$B$27,E$4)))</f>
        <v>0</v>
      </c>
      <c r="F190" s="26" t="n">
        <f aca="false">IF(INDEX(Pengaturan!$B$8:$B$27,F$4)="",0,COUNTIF(Data!$B190:$U190,INDEX(Pengaturan!$B$8:$B$27,F$4)))</f>
        <v>0</v>
      </c>
      <c r="G190" s="26" t="n">
        <f aca="false">IF(INDEX(Pengaturan!$B$8:$B$27,G$4)="",0,COUNTIF(Data!$B190:$U190,INDEX(Pengaturan!$B$8:$B$27,G$4)))</f>
        <v>0</v>
      </c>
      <c r="H190" s="26" t="n">
        <f aca="false">IF(INDEX(Pengaturan!$B$8:$B$27,H$4)="",0,COUNTIF(Data!$B190:$U190,INDEX(Pengaturan!$B$8:$B$27,H$4)))</f>
        <v>0</v>
      </c>
      <c r="I190" s="26" t="n">
        <f aca="false">IF(INDEX(Pengaturan!$B$8:$B$27,I$4)="",0,COUNTIF(Data!$B190:$U190,INDEX(Pengaturan!$B$8:$B$27,I$4)))</f>
        <v>0</v>
      </c>
      <c r="J190" s="26" t="n">
        <f aca="false">IF(INDEX(Pengaturan!$B$8:$B$27,J$4)="",0,COUNTIF(Data!$B190:$U190,INDEX(Pengaturan!$B$8:$B$27,J$4)))</f>
        <v>0</v>
      </c>
      <c r="K190" s="26" t="n">
        <f aca="false">IF(INDEX(Pengaturan!$B$8:$B$27,K$4)="",0,COUNTIF(Data!$B190:$U190,INDEX(Pengaturan!$B$8:$B$27,K$4)))</f>
        <v>0</v>
      </c>
      <c r="L190" s="26" t="n">
        <f aca="false">IF(INDEX(Pengaturan!$B$8:$B$27,L$4)="",0,COUNTIF(Data!$B190:$U190,INDEX(Pengaturan!$B$8:$B$27,L$4)))</f>
        <v>0</v>
      </c>
      <c r="M190" s="26" t="n">
        <f aca="false">IF(INDEX(Pengaturan!$B$8:$B$27,M$4)="",0,COUNTIF(Data!$B190:$U190,INDEX(Pengaturan!$B$8:$B$27,M$4)))</f>
        <v>0</v>
      </c>
      <c r="N190" s="26" t="n">
        <f aca="false">IF(INDEX(Pengaturan!$B$8:$B$27,N$4)="",0,COUNTIF(Data!$B190:$U190,INDEX(Pengaturan!$B$8:$B$27,N$4)))</f>
        <v>0</v>
      </c>
      <c r="O190" s="26" t="n">
        <f aca="false">IF(INDEX(Pengaturan!$B$8:$B$27,O$4)="",0,COUNTIF(Data!$B190:$U190,INDEX(Pengaturan!$B$8:$B$27,O$4)))</f>
        <v>0</v>
      </c>
      <c r="P190" s="26" t="n">
        <f aca="false">IF(INDEX(Pengaturan!$B$8:$B$27,P$4)="",0,COUNTIF(Data!$B190:$U190,INDEX(Pengaturan!$B$8:$B$27,P$4)))</f>
        <v>0</v>
      </c>
      <c r="Q190" s="26" t="n">
        <f aca="false">IF(INDEX(Pengaturan!$B$8:$B$27,Q$4)="",0,COUNTIF(Data!$B190:$U190,INDEX(Pengaturan!$B$8:$B$27,Q$4)))</f>
        <v>0</v>
      </c>
      <c r="R190" s="26" t="n">
        <f aca="false">IF(INDEX(Pengaturan!$B$8:$B$27,R$4)="",0,COUNTIF(Data!$B190:$U190,INDEX(Pengaturan!$B$8:$B$27,R$4)))</f>
        <v>0</v>
      </c>
      <c r="S190" s="26" t="n">
        <f aca="false">IF(INDEX(Pengaturan!$B$8:$B$27,S$4)="",0,COUNTIF(Data!$B190:$U190,INDEX(Pengaturan!$B$8:$B$27,S$4)))</f>
        <v>0</v>
      </c>
      <c r="T190" s="26" t="n">
        <f aca="false">IF(INDEX(Pengaturan!$B$8:$B$27,T$4)="",0,COUNTIF(Data!$B190:$U190,INDEX(Pengaturan!$B$8:$B$27,T$4)))</f>
        <v>0</v>
      </c>
      <c r="U190" s="26" t="n">
        <f aca="false">IF(INDEX(Pengaturan!$B$8:$B$27,U$4)="",0,COUNTIF(Data!$B190:$U190,INDEX(Pengaturan!$B$8:$B$27,U$4)))</f>
        <v>0</v>
      </c>
      <c r="V190" s="26" t="n">
        <f aca="false">COUNTA(Data!$B190:$U190)</f>
        <v>0</v>
      </c>
      <c r="W190" s="27" t="str">
        <f aca="false">IF(V190=0,"",IF(V190&lt;&gt;Hasil!$C$4,"Data kosong/tidak lengkap",IF(SUM(B190:U190)&lt;&gt;V190,"Kategori tidak dikenal","OK")))</f>
        <v/>
      </c>
      <c r="X190" s="26" t="n">
        <f aca="false">IF(OR(W190="",W190="OK"),0,1)</f>
        <v>0</v>
      </c>
    </row>
    <row r="191" customFormat="false" ht="15" hidden="false" customHeight="false" outlineLevel="0" collapsed="false">
      <c r="A191" s="26" t="n">
        <f aca="false">Data!A191</f>
        <v>186</v>
      </c>
      <c r="B191" s="26" t="n">
        <f aca="false">IF(INDEX(Pengaturan!$B$8:$B$27,B$4)="",0,COUNTIF(Data!$B191:$U191,INDEX(Pengaturan!$B$8:$B$27,B$4)))</f>
        <v>0</v>
      </c>
      <c r="C191" s="26" t="n">
        <f aca="false">IF(INDEX(Pengaturan!$B$8:$B$27,C$4)="",0,COUNTIF(Data!$B191:$U191,INDEX(Pengaturan!$B$8:$B$27,C$4)))</f>
        <v>0</v>
      </c>
      <c r="D191" s="26" t="n">
        <f aca="false">IF(INDEX(Pengaturan!$B$8:$B$27,D$4)="",0,COUNTIF(Data!$B191:$U191,INDEX(Pengaturan!$B$8:$B$27,D$4)))</f>
        <v>0</v>
      </c>
      <c r="E191" s="26" t="n">
        <f aca="false">IF(INDEX(Pengaturan!$B$8:$B$27,E$4)="",0,COUNTIF(Data!$B191:$U191,INDEX(Pengaturan!$B$8:$B$27,E$4)))</f>
        <v>0</v>
      </c>
      <c r="F191" s="26" t="n">
        <f aca="false">IF(INDEX(Pengaturan!$B$8:$B$27,F$4)="",0,COUNTIF(Data!$B191:$U191,INDEX(Pengaturan!$B$8:$B$27,F$4)))</f>
        <v>0</v>
      </c>
      <c r="G191" s="26" t="n">
        <f aca="false">IF(INDEX(Pengaturan!$B$8:$B$27,G$4)="",0,COUNTIF(Data!$B191:$U191,INDEX(Pengaturan!$B$8:$B$27,G$4)))</f>
        <v>0</v>
      </c>
      <c r="H191" s="26" t="n">
        <f aca="false">IF(INDEX(Pengaturan!$B$8:$B$27,H$4)="",0,COUNTIF(Data!$B191:$U191,INDEX(Pengaturan!$B$8:$B$27,H$4)))</f>
        <v>0</v>
      </c>
      <c r="I191" s="26" t="n">
        <f aca="false">IF(INDEX(Pengaturan!$B$8:$B$27,I$4)="",0,COUNTIF(Data!$B191:$U191,INDEX(Pengaturan!$B$8:$B$27,I$4)))</f>
        <v>0</v>
      </c>
      <c r="J191" s="26" t="n">
        <f aca="false">IF(INDEX(Pengaturan!$B$8:$B$27,J$4)="",0,COUNTIF(Data!$B191:$U191,INDEX(Pengaturan!$B$8:$B$27,J$4)))</f>
        <v>0</v>
      </c>
      <c r="K191" s="26" t="n">
        <f aca="false">IF(INDEX(Pengaturan!$B$8:$B$27,K$4)="",0,COUNTIF(Data!$B191:$U191,INDEX(Pengaturan!$B$8:$B$27,K$4)))</f>
        <v>0</v>
      </c>
      <c r="L191" s="26" t="n">
        <f aca="false">IF(INDEX(Pengaturan!$B$8:$B$27,L$4)="",0,COUNTIF(Data!$B191:$U191,INDEX(Pengaturan!$B$8:$B$27,L$4)))</f>
        <v>0</v>
      </c>
      <c r="M191" s="26" t="n">
        <f aca="false">IF(INDEX(Pengaturan!$B$8:$B$27,M$4)="",0,COUNTIF(Data!$B191:$U191,INDEX(Pengaturan!$B$8:$B$27,M$4)))</f>
        <v>0</v>
      </c>
      <c r="N191" s="26" t="n">
        <f aca="false">IF(INDEX(Pengaturan!$B$8:$B$27,N$4)="",0,COUNTIF(Data!$B191:$U191,INDEX(Pengaturan!$B$8:$B$27,N$4)))</f>
        <v>0</v>
      </c>
      <c r="O191" s="26" t="n">
        <f aca="false">IF(INDEX(Pengaturan!$B$8:$B$27,O$4)="",0,COUNTIF(Data!$B191:$U191,INDEX(Pengaturan!$B$8:$B$27,O$4)))</f>
        <v>0</v>
      </c>
      <c r="P191" s="26" t="n">
        <f aca="false">IF(INDEX(Pengaturan!$B$8:$B$27,P$4)="",0,COUNTIF(Data!$B191:$U191,INDEX(Pengaturan!$B$8:$B$27,P$4)))</f>
        <v>0</v>
      </c>
      <c r="Q191" s="26" t="n">
        <f aca="false">IF(INDEX(Pengaturan!$B$8:$B$27,Q$4)="",0,COUNTIF(Data!$B191:$U191,INDEX(Pengaturan!$B$8:$B$27,Q$4)))</f>
        <v>0</v>
      </c>
      <c r="R191" s="26" t="n">
        <f aca="false">IF(INDEX(Pengaturan!$B$8:$B$27,R$4)="",0,COUNTIF(Data!$B191:$U191,INDEX(Pengaturan!$B$8:$B$27,R$4)))</f>
        <v>0</v>
      </c>
      <c r="S191" s="26" t="n">
        <f aca="false">IF(INDEX(Pengaturan!$B$8:$B$27,S$4)="",0,COUNTIF(Data!$B191:$U191,INDEX(Pengaturan!$B$8:$B$27,S$4)))</f>
        <v>0</v>
      </c>
      <c r="T191" s="26" t="n">
        <f aca="false">IF(INDEX(Pengaturan!$B$8:$B$27,T$4)="",0,COUNTIF(Data!$B191:$U191,INDEX(Pengaturan!$B$8:$B$27,T$4)))</f>
        <v>0</v>
      </c>
      <c r="U191" s="26" t="n">
        <f aca="false">IF(INDEX(Pengaturan!$B$8:$B$27,U$4)="",0,COUNTIF(Data!$B191:$U191,INDEX(Pengaturan!$B$8:$B$27,U$4)))</f>
        <v>0</v>
      </c>
      <c r="V191" s="26" t="n">
        <f aca="false">COUNTA(Data!$B191:$U191)</f>
        <v>0</v>
      </c>
      <c r="W191" s="27" t="str">
        <f aca="false">IF(V191=0,"",IF(V191&lt;&gt;Hasil!$C$4,"Data kosong/tidak lengkap",IF(SUM(B191:U191)&lt;&gt;V191,"Kategori tidak dikenal","OK")))</f>
        <v/>
      </c>
      <c r="X191" s="26" t="n">
        <f aca="false">IF(OR(W191="",W191="OK"),0,1)</f>
        <v>0</v>
      </c>
    </row>
    <row r="192" customFormat="false" ht="15" hidden="false" customHeight="false" outlineLevel="0" collapsed="false">
      <c r="A192" s="26" t="n">
        <f aca="false">Data!A192</f>
        <v>187</v>
      </c>
      <c r="B192" s="26" t="n">
        <f aca="false">IF(INDEX(Pengaturan!$B$8:$B$27,B$4)="",0,COUNTIF(Data!$B192:$U192,INDEX(Pengaturan!$B$8:$B$27,B$4)))</f>
        <v>0</v>
      </c>
      <c r="C192" s="26" t="n">
        <f aca="false">IF(INDEX(Pengaturan!$B$8:$B$27,C$4)="",0,COUNTIF(Data!$B192:$U192,INDEX(Pengaturan!$B$8:$B$27,C$4)))</f>
        <v>0</v>
      </c>
      <c r="D192" s="26" t="n">
        <f aca="false">IF(INDEX(Pengaturan!$B$8:$B$27,D$4)="",0,COUNTIF(Data!$B192:$U192,INDEX(Pengaturan!$B$8:$B$27,D$4)))</f>
        <v>0</v>
      </c>
      <c r="E192" s="26" t="n">
        <f aca="false">IF(INDEX(Pengaturan!$B$8:$B$27,E$4)="",0,COUNTIF(Data!$B192:$U192,INDEX(Pengaturan!$B$8:$B$27,E$4)))</f>
        <v>0</v>
      </c>
      <c r="F192" s="26" t="n">
        <f aca="false">IF(INDEX(Pengaturan!$B$8:$B$27,F$4)="",0,COUNTIF(Data!$B192:$U192,INDEX(Pengaturan!$B$8:$B$27,F$4)))</f>
        <v>0</v>
      </c>
      <c r="G192" s="26" t="n">
        <f aca="false">IF(INDEX(Pengaturan!$B$8:$B$27,G$4)="",0,COUNTIF(Data!$B192:$U192,INDEX(Pengaturan!$B$8:$B$27,G$4)))</f>
        <v>0</v>
      </c>
      <c r="H192" s="26" t="n">
        <f aca="false">IF(INDEX(Pengaturan!$B$8:$B$27,H$4)="",0,COUNTIF(Data!$B192:$U192,INDEX(Pengaturan!$B$8:$B$27,H$4)))</f>
        <v>0</v>
      </c>
      <c r="I192" s="26" t="n">
        <f aca="false">IF(INDEX(Pengaturan!$B$8:$B$27,I$4)="",0,COUNTIF(Data!$B192:$U192,INDEX(Pengaturan!$B$8:$B$27,I$4)))</f>
        <v>0</v>
      </c>
      <c r="J192" s="26" t="n">
        <f aca="false">IF(INDEX(Pengaturan!$B$8:$B$27,J$4)="",0,COUNTIF(Data!$B192:$U192,INDEX(Pengaturan!$B$8:$B$27,J$4)))</f>
        <v>0</v>
      </c>
      <c r="K192" s="26" t="n">
        <f aca="false">IF(INDEX(Pengaturan!$B$8:$B$27,K$4)="",0,COUNTIF(Data!$B192:$U192,INDEX(Pengaturan!$B$8:$B$27,K$4)))</f>
        <v>0</v>
      </c>
      <c r="L192" s="26" t="n">
        <f aca="false">IF(INDEX(Pengaturan!$B$8:$B$27,L$4)="",0,COUNTIF(Data!$B192:$U192,INDEX(Pengaturan!$B$8:$B$27,L$4)))</f>
        <v>0</v>
      </c>
      <c r="M192" s="26" t="n">
        <f aca="false">IF(INDEX(Pengaturan!$B$8:$B$27,M$4)="",0,COUNTIF(Data!$B192:$U192,INDEX(Pengaturan!$B$8:$B$27,M$4)))</f>
        <v>0</v>
      </c>
      <c r="N192" s="26" t="n">
        <f aca="false">IF(INDEX(Pengaturan!$B$8:$B$27,N$4)="",0,COUNTIF(Data!$B192:$U192,INDEX(Pengaturan!$B$8:$B$27,N$4)))</f>
        <v>0</v>
      </c>
      <c r="O192" s="26" t="n">
        <f aca="false">IF(INDEX(Pengaturan!$B$8:$B$27,O$4)="",0,COUNTIF(Data!$B192:$U192,INDEX(Pengaturan!$B$8:$B$27,O$4)))</f>
        <v>0</v>
      </c>
      <c r="P192" s="26" t="n">
        <f aca="false">IF(INDEX(Pengaturan!$B$8:$B$27,P$4)="",0,COUNTIF(Data!$B192:$U192,INDEX(Pengaturan!$B$8:$B$27,P$4)))</f>
        <v>0</v>
      </c>
      <c r="Q192" s="26" t="n">
        <f aca="false">IF(INDEX(Pengaturan!$B$8:$B$27,Q$4)="",0,COUNTIF(Data!$B192:$U192,INDEX(Pengaturan!$B$8:$B$27,Q$4)))</f>
        <v>0</v>
      </c>
      <c r="R192" s="26" t="n">
        <f aca="false">IF(INDEX(Pengaturan!$B$8:$B$27,R$4)="",0,COUNTIF(Data!$B192:$U192,INDEX(Pengaturan!$B$8:$B$27,R$4)))</f>
        <v>0</v>
      </c>
      <c r="S192" s="26" t="n">
        <f aca="false">IF(INDEX(Pengaturan!$B$8:$B$27,S$4)="",0,COUNTIF(Data!$B192:$U192,INDEX(Pengaturan!$B$8:$B$27,S$4)))</f>
        <v>0</v>
      </c>
      <c r="T192" s="26" t="n">
        <f aca="false">IF(INDEX(Pengaturan!$B$8:$B$27,T$4)="",0,COUNTIF(Data!$B192:$U192,INDEX(Pengaturan!$B$8:$B$27,T$4)))</f>
        <v>0</v>
      </c>
      <c r="U192" s="26" t="n">
        <f aca="false">IF(INDEX(Pengaturan!$B$8:$B$27,U$4)="",0,COUNTIF(Data!$B192:$U192,INDEX(Pengaturan!$B$8:$B$27,U$4)))</f>
        <v>0</v>
      </c>
      <c r="V192" s="26" t="n">
        <f aca="false">COUNTA(Data!$B192:$U192)</f>
        <v>0</v>
      </c>
      <c r="W192" s="27" t="str">
        <f aca="false">IF(V192=0,"",IF(V192&lt;&gt;Hasil!$C$4,"Data kosong/tidak lengkap",IF(SUM(B192:U192)&lt;&gt;V192,"Kategori tidak dikenal","OK")))</f>
        <v/>
      </c>
      <c r="X192" s="26" t="n">
        <f aca="false">IF(OR(W192="",W192="OK"),0,1)</f>
        <v>0</v>
      </c>
    </row>
    <row r="193" customFormat="false" ht="15" hidden="false" customHeight="false" outlineLevel="0" collapsed="false">
      <c r="A193" s="26" t="n">
        <f aca="false">Data!A193</f>
        <v>188</v>
      </c>
      <c r="B193" s="26" t="n">
        <f aca="false">IF(INDEX(Pengaturan!$B$8:$B$27,B$4)="",0,COUNTIF(Data!$B193:$U193,INDEX(Pengaturan!$B$8:$B$27,B$4)))</f>
        <v>0</v>
      </c>
      <c r="C193" s="26" t="n">
        <f aca="false">IF(INDEX(Pengaturan!$B$8:$B$27,C$4)="",0,COUNTIF(Data!$B193:$U193,INDEX(Pengaturan!$B$8:$B$27,C$4)))</f>
        <v>0</v>
      </c>
      <c r="D193" s="26" t="n">
        <f aca="false">IF(INDEX(Pengaturan!$B$8:$B$27,D$4)="",0,COUNTIF(Data!$B193:$U193,INDEX(Pengaturan!$B$8:$B$27,D$4)))</f>
        <v>0</v>
      </c>
      <c r="E193" s="26" t="n">
        <f aca="false">IF(INDEX(Pengaturan!$B$8:$B$27,E$4)="",0,COUNTIF(Data!$B193:$U193,INDEX(Pengaturan!$B$8:$B$27,E$4)))</f>
        <v>0</v>
      </c>
      <c r="F193" s="26" t="n">
        <f aca="false">IF(INDEX(Pengaturan!$B$8:$B$27,F$4)="",0,COUNTIF(Data!$B193:$U193,INDEX(Pengaturan!$B$8:$B$27,F$4)))</f>
        <v>0</v>
      </c>
      <c r="G193" s="26" t="n">
        <f aca="false">IF(INDEX(Pengaturan!$B$8:$B$27,G$4)="",0,COUNTIF(Data!$B193:$U193,INDEX(Pengaturan!$B$8:$B$27,G$4)))</f>
        <v>0</v>
      </c>
      <c r="H193" s="26" t="n">
        <f aca="false">IF(INDEX(Pengaturan!$B$8:$B$27,H$4)="",0,COUNTIF(Data!$B193:$U193,INDEX(Pengaturan!$B$8:$B$27,H$4)))</f>
        <v>0</v>
      </c>
      <c r="I193" s="26" t="n">
        <f aca="false">IF(INDEX(Pengaturan!$B$8:$B$27,I$4)="",0,COUNTIF(Data!$B193:$U193,INDEX(Pengaturan!$B$8:$B$27,I$4)))</f>
        <v>0</v>
      </c>
      <c r="J193" s="26" t="n">
        <f aca="false">IF(INDEX(Pengaturan!$B$8:$B$27,J$4)="",0,COUNTIF(Data!$B193:$U193,INDEX(Pengaturan!$B$8:$B$27,J$4)))</f>
        <v>0</v>
      </c>
      <c r="K193" s="26" t="n">
        <f aca="false">IF(INDEX(Pengaturan!$B$8:$B$27,K$4)="",0,COUNTIF(Data!$B193:$U193,INDEX(Pengaturan!$B$8:$B$27,K$4)))</f>
        <v>0</v>
      </c>
      <c r="L193" s="26" t="n">
        <f aca="false">IF(INDEX(Pengaturan!$B$8:$B$27,L$4)="",0,COUNTIF(Data!$B193:$U193,INDEX(Pengaturan!$B$8:$B$27,L$4)))</f>
        <v>0</v>
      </c>
      <c r="M193" s="26" t="n">
        <f aca="false">IF(INDEX(Pengaturan!$B$8:$B$27,M$4)="",0,COUNTIF(Data!$B193:$U193,INDEX(Pengaturan!$B$8:$B$27,M$4)))</f>
        <v>0</v>
      </c>
      <c r="N193" s="26" t="n">
        <f aca="false">IF(INDEX(Pengaturan!$B$8:$B$27,N$4)="",0,COUNTIF(Data!$B193:$U193,INDEX(Pengaturan!$B$8:$B$27,N$4)))</f>
        <v>0</v>
      </c>
      <c r="O193" s="26" t="n">
        <f aca="false">IF(INDEX(Pengaturan!$B$8:$B$27,O$4)="",0,COUNTIF(Data!$B193:$U193,INDEX(Pengaturan!$B$8:$B$27,O$4)))</f>
        <v>0</v>
      </c>
      <c r="P193" s="26" t="n">
        <f aca="false">IF(INDEX(Pengaturan!$B$8:$B$27,P$4)="",0,COUNTIF(Data!$B193:$U193,INDEX(Pengaturan!$B$8:$B$27,P$4)))</f>
        <v>0</v>
      </c>
      <c r="Q193" s="26" t="n">
        <f aca="false">IF(INDEX(Pengaturan!$B$8:$B$27,Q$4)="",0,COUNTIF(Data!$B193:$U193,INDEX(Pengaturan!$B$8:$B$27,Q$4)))</f>
        <v>0</v>
      </c>
      <c r="R193" s="26" t="n">
        <f aca="false">IF(INDEX(Pengaturan!$B$8:$B$27,R$4)="",0,COUNTIF(Data!$B193:$U193,INDEX(Pengaturan!$B$8:$B$27,R$4)))</f>
        <v>0</v>
      </c>
      <c r="S193" s="26" t="n">
        <f aca="false">IF(INDEX(Pengaturan!$B$8:$B$27,S$4)="",0,COUNTIF(Data!$B193:$U193,INDEX(Pengaturan!$B$8:$B$27,S$4)))</f>
        <v>0</v>
      </c>
      <c r="T193" s="26" t="n">
        <f aca="false">IF(INDEX(Pengaturan!$B$8:$B$27,T$4)="",0,COUNTIF(Data!$B193:$U193,INDEX(Pengaturan!$B$8:$B$27,T$4)))</f>
        <v>0</v>
      </c>
      <c r="U193" s="26" t="n">
        <f aca="false">IF(INDEX(Pengaturan!$B$8:$B$27,U$4)="",0,COUNTIF(Data!$B193:$U193,INDEX(Pengaturan!$B$8:$B$27,U$4)))</f>
        <v>0</v>
      </c>
      <c r="V193" s="26" t="n">
        <f aca="false">COUNTA(Data!$B193:$U193)</f>
        <v>0</v>
      </c>
      <c r="W193" s="27" t="str">
        <f aca="false">IF(V193=0,"",IF(V193&lt;&gt;Hasil!$C$4,"Data kosong/tidak lengkap",IF(SUM(B193:U193)&lt;&gt;V193,"Kategori tidak dikenal","OK")))</f>
        <v/>
      </c>
      <c r="X193" s="26" t="n">
        <f aca="false">IF(OR(W193="",W193="OK"),0,1)</f>
        <v>0</v>
      </c>
    </row>
    <row r="194" customFormat="false" ht="15" hidden="false" customHeight="false" outlineLevel="0" collapsed="false">
      <c r="A194" s="26" t="n">
        <f aca="false">Data!A194</f>
        <v>189</v>
      </c>
      <c r="B194" s="26" t="n">
        <f aca="false">IF(INDEX(Pengaturan!$B$8:$B$27,B$4)="",0,COUNTIF(Data!$B194:$U194,INDEX(Pengaturan!$B$8:$B$27,B$4)))</f>
        <v>0</v>
      </c>
      <c r="C194" s="26" t="n">
        <f aca="false">IF(INDEX(Pengaturan!$B$8:$B$27,C$4)="",0,COUNTIF(Data!$B194:$U194,INDEX(Pengaturan!$B$8:$B$27,C$4)))</f>
        <v>0</v>
      </c>
      <c r="D194" s="26" t="n">
        <f aca="false">IF(INDEX(Pengaturan!$B$8:$B$27,D$4)="",0,COUNTIF(Data!$B194:$U194,INDEX(Pengaturan!$B$8:$B$27,D$4)))</f>
        <v>0</v>
      </c>
      <c r="E194" s="26" t="n">
        <f aca="false">IF(INDEX(Pengaturan!$B$8:$B$27,E$4)="",0,COUNTIF(Data!$B194:$U194,INDEX(Pengaturan!$B$8:$B$27,E$4)))</f>
        <v>0</v>
      </c>
      <c r="F194" s="26" t="n">
        <f aca="false">IF(INDEX(Pengaturan!$B$8:$B$27,F$4)="",0,COUNTIF(Data!$B194:$U194,INDEX(Pengaturan!$B$8:$B$27,F$4)))</f>
        <v>0</v>
      </c>
      <c r="G194" s="26" t="n">
        <f aca="false">IF(INDEX(Pengaturan!$B$8:$B$27,G$4)="",0,COUNTIF(Data!$B194:$U194,INDEX(Pengaturan!$B$8:$B$27,G$4)))</f>
        <v>0</v>
      </c>
      <c r="H194" s="26" t="n">
        <f aca="false">IF(INDEX(Pengaturan!$B$8:$B$27,H$4)="",0,COUNTIF(Data!$B194:$U194,INDEX(Pengaturan!$B$8:$B$27,H$4)))</f>
        <v>0</v>
      </c>
      <c r="I194" s="26" t="n">
        <f aca="false">IF(INDEX(Pengaturan!$B$8:$B$27,I$4)="",0,COUNTIF(Data!$B194:$U194,INDEX(Pengaturan!$B$8:$B$27,I$4)))</f>
        <v>0</v>
      </c>
      <c r="J194" s="26" t="n">
        <f aca="false">IF(INDEX(Pengaturan!$B$8:$B$27,J$4)="",0,COUNTIF(Data!$B194:$U194,INDEX(Pengaturan!$B$8:$B$27,J$4)))</f>
        <v>0</v>
      </c>
      <c r="K194" s="26" t="n">
        <f aca="false">IF(INDEX(Pengaturan!$B$8:$B$27,K$4)="",0,COUNTIF(Data!$B194:$U194,INDEX(Pengaturan!$B$8:$B$27,K$4)))</f>
        <v>0</v>
      </c>
      <c r="L194" s="26" t="n">
        <f aca="false">IF(INDEX(Pengaturan!$B$8:$B$27,L$4)="",0,COUNTIF(Data!$B194:$U194,INDEX(Pengaturan!$B$8:$B$27,L$4)))</f>
        <v>0</v>
      </c>
      <c r="M194" s="26" t="n">
        <f aca="false">IF(INDEX(Pengaturan!$B$8:$B$27,M$4)="",0,COUNTIF(Data!$B194:$U194,INDEX(Pengaturan!$B$8:$B$27,M$4)))</f>
        <v>0</v>
      </c>
      <c r="N194" s="26" t="n">
        <f aca="false">IF(INDEX(Pengaturan!$B$8:$B$27,N$4)="",0,COUNTIF(Data!$B194:$U194,INDEX(Pengaturan!$B$8:$B$27,N$4)))</f>
        <v>0</v>
      </c>
      <c r="O194" s="26" t="n">
        <f aca="false">IF(INDEX(Pengaturan!$B$8:$B$27,O$4)="",0,COUNTIF(Data!$B194:$U194,INDEX(Pengaturan!$B$8:$B$27,O$4)))</f>
        <v>0</v>
      </c>
      <c r="P194" s="26" t="n">
        <f aca="false">IF(INDEX(Pengaturan!$B$8:$B$27,P$4)="",0,COUNTIF(Data!$B194:$U194,INDEX(Pengaturan!$B$8:$B$27,P$4)))</f>
        <v>0</v>
      </c>
      <c r="Q194" s="26" t="n">
        <f aca="false">IF(INDEX(Pengaturan!$B$8:$B$27,Q$4)="",0,COUNTIF(Data!$B194:$U194,INDEX(Pengaturan!$B$8:$B$27,Q$4)))</f>
        <v>0</v>
      </c>
      <c r="R194" s="26" t="n">
        <f aca="false">IF(INDEX(Pengaturan!$B$8:$B$27,R$4)="",0,COUNTIF(Data!$B194:$U194,INDEX(Pengaturan!$B$8:$B$27,R$4)))</f>
        <v>0</v>
      </c>
      <c r="S194" s="26" t="n">
        <f aca="false">IF(INDEX(Pengaturan!$B$8:$B$27,S$4)="",0,COUNTIF(Data!$B194:$U194,INDEX(Pengaturan!$B$8:$B$27,S$4)))</f>
        <v>0</v>
      </c>
      <c r="T194" s="26" t="n">
        <f aca="false">IF(INDEX(Pengaturan!$B$8:$B$27,T$4)="",0,COUNTIF(Data!$B194:$U194,INDEX(Pengaturan!$B$8:$B$27,T$4)))</f>
        <v>0</v>
      </c>
      <c r="U194" s="26" t="n">
        <f aca="false">IF(INDEX(Pengaturan!$B$8:$B$27,U$4)="",0,COUNTIF(Data!$B194:$U194,INDEX(Pengaturan!$B$8:$B$27,U$4)))</f>
        <v>0</v>
      </c>
      <c r="V194" s="26" t="n">
        <f aca="false">COUNTA(Data!$B194:$U194)</f>
        <v>0</v>
      </c>
      <c r="W194" s="27" t="str">
        <f aca="false">IF(V194=0,"",IF(V194&lt;&gt;Hasil!$C$4,"Data kosong/tidak lengkap",IF(SUM(B194:U194)&lt;&gt;V194,"Kategori tidak dikenal","OK")))</f>
        <v/>
      </c>
      <c r="X194" s="26" t="n">
        <f aca="false">IF(OR(W194="",W194="OK"),0,1)</f>
        <v>0</v>
      </c>
    </row>
    <row r="195" customFormat="false" ht="15" hidden="false" customHeight="false" outlineLevel="0" collapsed="false">
      <c r="A195" s="26" t="n">
        <f aca="false">Data!A195</f>
        <v>190</v>
      </c>
      <c r="B195" s="26" t="n">
        <f aca="false">IF(INDEX(Pengaturan!$B$8:$B$27,B$4)="",0,COUNTIF(Data!$B195:$U195,INDEX(Pengaturan!$B$8:$B$27,B$4)))</f>
        <v>0</v>
      </c>
      <c r="C195" s="26" t="n">
        <f aca="false">IF(INDEX(Pengaturan!$B$8:$B$27,C$4)="",0,COUNTIF(Data!$B195:$U195,INDEX(Pengaturan!$B$8:$B$27,C$4)))</f>
        <v>0</v>
      </c>
      <c r="D195" s="26" t="n">
        <f aca="false">IF(INDEX(Pengaturan!$B$8:$B$27,D$4)="",0,COUNTIF(Data!$B195:$U195,INDEX(Pengaturan!$B$8:$B$27,D$4)))</f>
        <v>0</v>
      </c>
      <c r="E195" s="26" t="n">
        <f aca="false">IF(INDEX(Pengaturan!$B$8:$B$27,E$4)="",0,COUNTIF(Data!$B195:$U195,INDEX(Pengaturan!$B$8:$B$27,E$4)))</f>
        <v>0</v>
      </c>
      <c r="F195" s="26" t="n">
        <f aca="false">IF(INDEX(Pengaturan!$B$8:$B$27,F$4)="",0,COUNTIF(Data!$B195:$U195,INDEX(Pengaturan!$B$8:$B$27,F$4)))</f>
        <v>0</v>
      </c>
      <c r="G195" s="26" t="n">
        <f aca="false">IF(INDEX(Pengaturan!$B$8:$B$27,G$4)="",0,COUNTIF(Data!$B195:$U195,INDEX(Pengaturan!$B$8:$B$27,G$4)))</f>
        <v>0</v>
      </c>
      <c r="H195" s="26" t="n">
        <f aca="false">IF(INDEX(Pengaturan!$B$8:$B$27,H$4)="",0,COUNTIF(Data!$B195:$U195,INDEX(Pengaturan!$B$8:$B$27,H$4)))</f>
        <v>0</v>
      </c>
      <c r="I195" s="26" t="n">
        <f aca="false">IF(INDEX(Pengaturan!$B$8:$B$27,I$4)="",0,COUNTIF(Data!$B195:$U195,INDEX(Pengaturan!$B$8:$B$27,I$4)))</f>
        <v>0</v>
      </c>
      <c r="J195" s="26" t="n">
        <f aca="false">IF(INDEX(Pengaturan!$B$8:$B$27,J$4)="",0,COUNTIF(Data!$B195:$U195,INDEX(Pengaturan!$B$8:$B$27,J$4)))</f>
        <v>0</v>
      </c>
      <c r="K195" s="26" t="n">
        <f aca="false">IF(INDEX(Pengaturan!$B$8:$B$27,K$4)="",0,COUNTIF(Data!$B195:$U195,INDEX(Pengaturan!$B$8:$B$27,K$4)))</f>
        <v>0</v>
      </c>
      <c r="L195" s="26" t="n">
        <f aca="false">IF(INDEX(Pengaturan!$B$8:$B$27,L$4)="",0,COUNTIF(Data!$B195:$U195,INDEX(Pengaturan!$B$8:$B$27,L$4)))</f>
        <v>0</v>
      </c>
      <c r="M195" s="26" t="n">
        <f aca="false">IF(INDEX(Pengaturan!$B$8:$B$27,M$4)="",0,COUNTIF(Data!$B195:$U195,INDEX(Pengaturan!$B$8:$B$27,M$4)))</f>
        <v>0</v>
      </c>
      <c r="N195" s="26" t="n">
        <f aca="false">IF(INDEX(Pengaturan!$B$8:$B$27,N$4)="",0,COUNTIF(Data!$B195:$U195,INDEX(Pengaturan!$B$8:$B$27,N$4)))</f>
        <v>0</v>
      </c>
      <c r="O195" s="26" t="n">
        <f aca="false">IF(INDEX(Pengaturan!$B$8:$B$27,O$4)="",0,COUNTIF(Data!$B195:$U195,INDEX(Pengaturan!$B$8:$B$27,O$4)))</f>
        <v>0</v>
      </c>
      <c r="P195" s="26" t="n">
        <f aca="false">IF(INDEX(Pengaturan!$B$8:$B$27,P$4)="",0,COUNTIF(Data!$B195:$U195,INDEX(Pengaturan!$B$8:$B$27,P$4)))</f>
        <v>0</v>
      </c>
      <c r="Q195" s="26" t="n">
        <f aca="false">IF(INDEX(Pengaturan!$B$8:$B$27,Q$4)="",0,COUNTIF(Data!$B195:$U195,INDEX(Pengaturan!$B$8:$B$27,Q$4)))</f>
        <v>0</v>
      </c>
      <c r="R195" s="26" t="n">
        <f aca="false">IF(INDEX(Pengaturan!$B$8:$B$27,R$4)="",0,COUNTIF(Data!$B195:$U195,INDEX(Pengaturan!$B$8:$B$27,R$4)))</f>
        <v>0</v>
      </c>
      <c r="S195" s="26" t="n">
        <f aca="false">IF(INDEX(Pengaturan!$B$8:$B$27,S$4)="",0,COUNTIF(Data!$B195:$U195,INDEX(Pengaturan!$B$8:$B$27,S$4)))</f>
        <v>0</v>
      </c>
      <c r="T195" s="26" t="n">
        <f aca="false">IF(INDEX(Pengaturan!$B$8:$B$27,T$4)="",0,COUNTIF(Data!$B195:$U195,INDEX(Pengaturan!$B$8:$B$27,T$4)))</f>
        <v>0</v>
      </c>
      <c r="U195" s="26" t="n">
        <f aca="false">IF(INDEX(Pengaturan!$B$8:$B$27,U$4)="",0,COUNTIF(Data!$B195:$U195,INDEX(Pengaturan!$B$8:$B$27,U$4)))</f>
        <v>0</v>
      </c>
      <c r="V195" s="26" t="n">
        <f aca="false">COUNTA(Data!$B195:$U195)</f>
        <v>0</v>
      </c>
      <c r="W195" s="27" t="str">
        <f aca="false">IF(V195=0,"",IF(V195&lt;&gt;Hasil!$C$4,"Data kosong/tidak lengkap",IF(SUM(B195:U195)&lt;&gt;V195,"Kategori tidak dikenal","OK")))</f>
        <v/>
      </c>
      <c r="X195" s="26" t="n">
        <f aca="false">IF(OR(W195="",W195="OK"),0,1)</f>
        <v>0</v>
      </c>
    </row>
    <row r="196" customFormat="false" ht="15" hidden="false" customHeight="false" outlineLevel="0" collapsed="false">
      <c r="A196" s="26" t="n">
        <f aca="false">Data!A196</f>
        <v>191</v>
      </c>
      <c r="B196" s="26" t="n">
        <f aca="false">IF(INDEX(Pengaturan!$B$8:$B$27,B$4)="",0,COUNTIF(Data!$B196:$U196,INDEX(Pengaturan!$B$8:$B$27,B$4)))</f>
        <v>0</v>
      </c>
      <c r="C196" s="26" t="n">
        <f aca="false">IF(INDEX(Pengaturan!$B$8:$B$27,C$4)="",0,COUNTIF(Data!$B196:$U196,INDEX(Pengaturan!$B$8:$B$27,C$4)))</f>
        <v>0</v>
      </c>
      <c r="D196" s="26" t="n">
        <f aca="false">IF(INDEX(Pengaturan!$B$8:$B$27,D$4)="",0,COUNTIF(Data!$B196:$U196,INDEX(Pengaturan!$B$8:$B$27,D$4)))</f>
        <v>0</v>
      </c>
      <c r="E196" s="26" t="n">
        <f aca="false">IF(INDEX(Pengaturan!$B$8:$B$27,E$4)="",0,COUNTIF(Data!$B196:$U196,INDEX(Pengaturan!$B$8:$B$27,E$4)))</f>
        <v>0</v>
      </c>
      <c r="F196" s="26" t="n">
        <f aca="false">IF(INDEX(Pengaturan!$B$8:$B$27,F$4)="",0,COUNTIF(Data!$B196:$U196,INDEX(Pengaturan!$B$8:$B$27,F$4)))</f>
        <v>0</v>
      </c>
      <c r="G196" s="26" t="n">
        <f aca="false">IF(INDEX(Pengaturan!$B$8:$B$27,G$4)="",0,COUNTIF(Data!$B196:$U196,INDEX(Pengaturan!$B$8:$B$27,G$4)))</f>
        <v>0</v>
      </c>
      <c r="H196" s="26" t="n">
        <f aca="false">IF(INDEX(Pengaturan!$B$8:$B$27,H$4)="",0,COUNTIF(Data!$B196:$U196,INDEX(Pengaturan!$B$8:$B$27,H$4)))</f>
        <v>0</v>
      </c>
      <c r="I196" s="26" t="n">
        <f aca="false">IF(INDEX(Pengaturan!$B$8:$B$27,I$4)="",0,COUNTIF(Data!$B196:$U196,INDEX(Pengaturan!$B$8:$B$27,I$4)))</f>
        <v>0</v>
      </c>
      <c r="J196" s="26" t="n">
        <f aca="false">IF(INDEX(Pengaturan!$B$8:$B$27,J$4)="",0,COUNTIF(Data!$B196:$U196,INDEX(Pengaturan!$B$8:$B$27,J$4)))</f>
        <v>0</v>
      </c>
      <c r="K196" s="26" t="n">
        <f aca="false">IF(INDEX(Pengaturan!$B$8:$B$27,K$4)="",0,COUNTIF(Data!$B196:$U196,INDEX(Pengaturan!$B$8:$B$27,K$4)))</f>
        <v>0</v>
      </c>
      <c r="L196" s="26" t="n">
        <f aca="false">IF(INDEX(Pengaturan!$B$8:$B$27,L$4)="",0,COUNTIF(Data!$B196:$U196,INDEX(Pengaturan!$B$8:$B$27,L$4)))</f>
        <v>0</v>
      </c>
      <c r="M196" s="26" t="n">
        <f aca="false">IF(INDEX(Pengaturan!$B$8:$B$27,M$4)="",0,COUNTIF(Data!$B196:$U196,INDEX(Pengaturan!$B$8:$B$27,M$4)))</f>
        <v>0</v>
      </c>
      <c r="N196" s="26" t="n">
        <f aca="false">IF(INDEX(Pengaturan!$B$8:$B$27,N$4)="",0,COUNTIF(Data!$B196:$U196,INDEX(Pengaturan!$B$8:$B$27,N$4)))</f>
        <v>0</v>
      </c>
      <c r="O196" s="26" t="n">
        <f aca="false">IF(INDEX(Pengaturan!$B$8:$B$27,O$4)="",0,COUNTIF(Data!$B196:$U196,INDEX(Pengaturan!$B$8:$B$27,O$4)))</f>
        <v>0</v>
      </c>
      <c r="P196" s="26" t="n">
        <f aca="false">IF(INDEX(Pengaturan!$B$8:$B$27,P$4)="",0,COUNTIF(Data!$B196:$U196,INDEX(Pengaturan!$B$8:$B$27,P$4)))</f>
        <v>0</v>
      </c>
      <c r="Q196" s="26" t="n">
        <f aca="false">IF(INDEX(Pengaturan!$B$8:$B$27,Q$4)="",0,COUNTIF(Data!$B196:$U196,INDEX(Pengaturan!$B$8:$B$27,Q$4)))</f>
        <v>0</v>
      </c>
      <c r="R196" s="26" t="n">
        <f aca="false">IF(INDEX(Pengaturan!$B$8:$B$27,R$4)="",0,COUNTIF(Data!$B196:$U196,INDEX(Pengaturan!$B$8:$B$27,R$4)))</f>
        <v>0</v>
      </c>
      <c r="S196" s="26" t="n">
        <f aca="false">IF(INDEX(Pengaturan!$B$8:$B$27,S$4)="",0,COUNTIF(Data!$B196:$U196,INDEX(Pengaturan!$B$8:$B$27,S$4)))</f>
        <v>0</v>
      </c>
      <c r="T196" s="26" t="n">
        <f aca="false">IF(INDEX(Pengaturan!$B$8:$B$27,T$4)="",0,COUNTIF(Data!$B196:$U196,INDEX(Pengaturan!$B$8:$B$27,T$4)))</f>
        <v>0</v>
      </c>
      <c r="U196" s="26" t="n">
        <f aca="false">IF(INDEX(Pengaturan!$B$8:$B$27,U$4)="",0,COUNTIF(Data!$B196:$U196,INDEX(Pengaturan!$B$8:$B$27,U$4)))</f>
        <v>0</v>
      </c>
      <c r="V196" s="26" t="n">
        <f aca="false">COUNTA(Data!$B196:$U196)</f>
        <v>0</v>
      </c>
      <c r="W196" s="27" t="str">
        <f aca="false">IF(V196=0,"",IF(V196&lt;&gt;Hasil!$C$4,"Data kosong/tidak lengkap",IF(SUM(B196:U196)&lt;&gt;V196,"Kategori tidak dikenal","OK")))</f>
        <v/>
      </c>
      <c r="X196" s="26" t="n">
        <f aca="false">IF(OR(W196="",W196="OK"),0,1)</f>
        <v>0</v>
      </c>
    </row>
    <row r="197" customFormat="false" ht="15" hidden="false" customHeight="false" outlineLevel="0" collapsed="false">
      <c r="A197" s="26" t="n">
        <f aca="false">Data!A197</f>
        <v>192</v>
      </c>
      <c r="B197" s="26" t="n">
        <f aca="false">IF(INDEX(Pengaturan!$B$8:$B$27,B$4)="",0,COUNTIF(Data!$B197:$U197,INDEX(Pengaturan!$B$8:$B$27,B$4)))</f>
        <v>0</v>
      </c>
      <c r="C197" s="26" t="n">
        <f aca="false">IF(INDEX(Pengaturan!$B$8:$B$27,C$4)="",0,COUNTIF(Data!$B197:$U197,INDEX(Pengaturan!$B$8:$B$27,C$4)))</f>
        <v>0</v>
      </c>
      <c r="D197" s="26" t="n">
        <f aca="false">IF(INDEX(Pengaturan!$B$8:$B$27,D$4)="",0,COUNTIF(Data!$B197:$U197,INDEX(Pengaturan!$B$8:$B$27,D$4)))</f>
        <v>0</v>
      </c>
      <c r="E197" s="26" t="n">
        <f aca="false">IF(INDEX(Pengaturan!$B$8:$B$27,E$4)="",0,COUNTIF(Data!$B197:$U197,INDEX(Pengaturan!$B$8:$B$27,E$4)))</f>
        <v>0</v>
      </c>
      <c r="F197" s="26" t="n">
        <f aca="false">IF(INDEX(Pengaturan!$B$8:$B$27,F$4)="",0,COUNTIF(Data!$B197:$U197,INDEX(Pengaturan!$B$8:$B$27,F$4)))</f>
        <v>0</v>
      </c>
      <c r="G197" s="26" t="n">
        <f aca="false">IF(INDEX(Pengaturan!$B$8:$B$27,G$4)="",0,COUNTIF(Data!$B197:$U197,INDEX(Pengaturan!$B$8:$B$27,G$4)))</f>
        <v>0</v>
      </c>
      <c r="H197" s="26" t="n">
        <f aca="false">IF(INDEX(Pengaturan!$B$8:$B$27,H$4)="",0,COUNTIF(Data!$B197:$U197,INDEX(Pengaturan!$B$8:$B$27,H$4)))</f>
        <v>0</v>
      </c>
      <c r="I197" s="26" t="n">
        <f aca="false">IF(INDEX(Pengaturan!$B$8:$B$27,I$4)="",0,COUNTIF(Data!$B197:$U197,INDEX(Pengaturan!$B$8:$B$27,I$4)))</f>
        <v>0</v>
      </c>
      <c r="J197" s="26" t="n">
        <f aca="false">IF(INDEX(Pengaturan!$B$8:$B$27,J$4)="",0,COUNTIF(Data!$B197:$U197,INDEX(Pengaturan!$B$8:$B$27,J$4)))</f>
        <v>0</v>
      </c>
      <c r="K197" s="26" t="n">
        <f aca="false">IF(INDEX(Pengaturan!$B$8:$B$27,K$4)="",0,COUNTIF(Data!$B197:$U197,INDEX(Pengaturan!$B$8:$B$27,K$4)))</f>
        <v>0</v>
      </c>
      <c r="L197" s="26" t="n">
        <f aca="false">IF(INDEX(Pengaturan!$B$8:$B$27,L$4)="",0,COUNTIF(Data!$B197:$U197,INDEX(Pengaturan!$B$8:$B$27,L$4)))</f>
        <v>0</v>
      </c>
      <c r="M197" s="26" t="n">
        <f aca="false">IF(INDEX(Pengaturan!$B$8:$B$27,M$4)="",0,COUNTIF(Data!$B197:$U197,INDEX(Pengaturan!$B$8:$B$27,M$4)))</f>
        <v>0</v>
      </c>
      <c r="N197" s="26" t="n">
        <f aca="false">IF(INDEX(Pengaturan!$B$8:$B$27,N$4)="",0,COUNTIF(Data!$B197:$U197,INDEX(Pengaturan!$B$8:$B$27,N$4)))</f>
        <v>0</v>
      </c>
      <c r="O197" s="26" t="n">
        <f aca="false">IF(INDEX(Pengaturan!$B$8:$B$27,O$4)="",0,COUNTIF(Data!$B197:$U197,INDEX(Pengaturan!$B$8:$B$27,O$4)))</f>
        <v>0</v>
      </c>
      <c r="P197" s="26" t="n">
        <f aca="false">IF(INDEX(Pengaturan!$B$8:$B$27,P$4)="",0,COUNTIF(Data!$B197:$U197,INDEX(Pengaturan!$B$8:$B$27,P$4)))</f>
        <v>0</v>
      </c>
      <c r="Q197" s="26" t="n">
        <f aca="false">IF(INDEX(Pengaturan!$B$8:$B$27,Q$4)="",0,COUNTIF(Data!$B197:$U197,INDEX(Pengaturan!$B$8:$B$27,Q$4)))</f>
        <v>0</v>
      </c>
      <c r="R197" s="26" t="n">
        <f aca="false">IF(INDEX(Pengaturan!$B$8:$B$27,R$4)="",0,COUNTIF(Data!$B197:$U197,INDEX(Pengaturan!$B$8:$B$27,R$4)))</f>
        <v>0</v>
      </c>
      <c r="S197" s="26" t="n">
        <f aca="false">IF(INDEX(Pengaturan!$B$8:$B$27,S$4)="",0,COUNTIF(Data!$B197:$U197,INDEX(Pengaturan!$B$8:$B$27,S$4)))</f>
        <v>0</v>
      </c>
      <c r="T197" s="26" t="n">
        <f aca="false">IF(INDEX(Pengaturan!$B$8:$B$27,T$4)="",0,COUNTIF(Data!$B197:$U197,INDEX(Pengaturan!$B$8:$B$27,T$4)))</f>
        <v>0</v>
      </c>
      <c r="U197" s="26" t="n">
        <f aca="false">IF(INDEX(Pengaturan!$B$8:$B$27,U$4)="",0,COUNTIF(Data!$B197:$U197,INDEX(Pengaturan!$B$8:$B$27,U$4)))</f>
        <v>0</v>
      </c>
      <c r="V197" s="26" t="n">
        <f aca="false">COUNTA(Data!$B197:$U197)</f>
        <v>0</v>
      </c>
      <c r="W197" s="27" t="str">
        <f aca="false">IF(V197=0,"",IF(V197&lt;&gt;Hasil!$C$4,"Data kosong/tidak lengkap",IF(SUM(B197:U197)&lt;&gt;V197,"Kategori tidak dikenal","OK")))</f>
        <v/>
      </c>
      <c r="X197" s="26" t="n">
        <f aca="false">IF(OR(W197="",W197="OK"),0,1)</f>
        <v>0</v>
      </c>
    </row>
    <row r="198" customFormat="false" ht="15" hidden="false" customHeight="false" outlineLevel="0" collapsed="false">
      <c r="A198" s="26" t="n">
        <f aca="false">Data!A198</f>
        <v>193</v>
      </c>
      <c r="B198" s="26" t="n">
        <f aca="false">IF(INDEX(Pengaturan!$B$8:$B$27,B$4)="",0,COUNTIF(Data!$B198:$U198,INDEX(Pengaturan!$B$8:$B$27,B$4)))</f>
        <v>0</v>
      </c>
      <c r="C198" s="26" t="n">
        <f aca="false">IF(INDEX(Pengaturan!$B$8:$B$27,C$4)="",0,COUNTIF(Data!$B198:$U198,INDEX(Pengaturan!$B$8:$B$27,C$4)))</f>
        <v>0</v>
      </c>
      <c r="D198" s="26" t="n">
        <f aca="false">IF(INDEX(Pengaturan!$B$8:$B$27,D$4)="",0,COUNTIF(Data!$B198:$U198,INDEX(Pengaturan!$B$8:$B$27,D$4)))</f>
        <v>0</v>
      </c>
      <c r="E198" s="26" t="n">
        <f aca="false">IF(INDEX(Pengaturan!$B$8:$B$27,E$4)="",0,COUNTIF(Data!$B198:$U198,INDEX(Pengaturan!$B$8:$B$27,E$4)))</f>
        <v>0</v>
      </c>
      <c r="F198" s="26" t="n">
        <f aca="false">IF(INDEX(Pengaturan!$B$8:$B$27,F$4)="",0,COUNTIF(Data!$B198:$U198,INDEX(Pengaturan!$B$8:$B$27,F$4)))</f>
        <v>0</v>
      </c>
      <c r="G198" s="26" t="n">
        <f aca="false">IF(INDEX(Pengaturan!$B$8:$B$27,G$4)="",0,COUNTIF(Data!$B198:$U198,INDEX(Pengaturan!$B$8:$B$27,G$4)))</f>
        <v>0</v>
      </c>
      <c r="H198" s="26" t="n">
        <f aca="false">IF(INDEX(Pengaturan!$B$8:$B$27,H$4)="",0,COUNTIF(Data!$B198:$U198,INDEX(Pengaturan!$B$8:$B$27,H$4)))</f>
        <v>0</v>
      </c>
      <c r="I198" s="26" t="n">
        <f aca="false">IF(INDEX(Pengaturan!$B$8:$B$27,I$4)="",0,COUNTIF(Data!$B198:$U198,INDEX(Pengaturan!$B$8:$B$27,I$4)))</f>
        <v>0</v>
      </c>
      <c r="J198" s="26" t="n">
        <f aca="false">IF(INDEX(Pengaturan!$B$8:$B$27,J$4)="",0,COUNTIF(Data!$B198:$U198,INDEX(Pengaturan!$B$8:$B$27,J$4)))</f>
        <v>0</v>
      </c>
      <c r="K198" s="26" t="n">
        <f aca="false">IF(INDEX(Pengaturan!$B$8:$B$27,K$4)="",0,COUNTIF(Data!$B198:$U198,INDEX(Pengaturan!$B$8:$B$27,K$4)))</f>
        <v>0</v>
      </c>
      <c r="L198" s="26" t="n">
        <f aca="false">IF(INDEX(Pengaturan!$B$8:$B$27,L$4)="",0,COUNTIF(Data!$B198:$U198,INDEX(Pengaturan!$B$8:$B$27,L$4)))</f>
        <v>0</v>
      </c>
      <c r="M198" s="26" t="n">
        <f aca="false">IF(INDEX(Pengaturan!$B$8:$B$27,M$4)="",0,COUNTIF(Data!$B198:$U198,INDEX(Pengaturan!$B$8:$B$27,M$4)))</f>
        <v>0</v>
      </c>
      <c r="N198" s="26" t="n">
        <f aca="false">IF(INDEX(Pengaturan!$B$8:$B$27,N$4)="",0,COUNTIF(Data!$B198:$U198,INDEX(Pengaturan!$B$8:$B$27,N$4)))</f>
        <v>0</v>
      </c>
      <c r="O198" s="26" t="n">
        <f aca="false">IF(INDEX(Pengaturan!$B$8:$B$27,O$4)="",0,COUNTIF(Data!$B198:$U198,INDEX(Pengaturan!$B$8:$B$27,O$4)))</f>
        <v>0</v>
      </c>
      <c r="P198" s="26" t="n">
        <f aca="false">IF(INDEX(Pengaturan!$B$8:$B$27,P$4)="",0,COUNTIF(Data!$B198:$U198,INDEX(Pengaturan!$B$8:$B$27,P$4)))</f>
        <v>0</v>
      </c>
      <c r="Q198" s="26" t="n">
        <f aca="false">IF(INDEX(Pengaturan!$B$8:$B$27,Q$4)="",0,COUNTIF(Data!$B198:$U198,INDEX(Pengaturan!$B$8:$B$27,Q$4)))</f>
        <v>0</v>
      </c>
      <c r="R198" s="26" t="n">
        <f aca="false">IF(INDEX(Pengaturan!$B$8:$B$27,R$4)="",0,COUNTIF(Data!$B198:$U198,INDEX(Pengaturan!$B$8:$B$27,R$4)))</f>
        <v>0</v>
      </c>
      <c r="S198" s="26" t="n">
        <f aca="false">IF(INDEX(Pengaturan!$B$8:$B$27,S$4)="",0,COUNTIF(Data!$B198:$U198,INDEX(Pengaturan!$B$8:$B$27,S$4)))</f>
        <v>0</v>
      </c>
      <c r="T198" s="26" t="n">
        <f aca="false">IF(INDEX(Pengaturan!$B$8:$B$27,T$4)="",0,COUNTIF(Data!$B198:$U198,INDEX(Pengaturan!$B$8:$B$27,T$4)))</f>
        <v>0</v>
      </c>
      <c r="U198" s="26" t="n">
        <f aca="false">IF(INDEX(Pengaturan!$B$8:$B$27,U$4)="",0,COUNTIF(Data!$B198:$U198,INDEX(Pengaturan!$B$8:$B$27,U$4)))</f>
        <v>0</v>
      </c>
      <c r="V198" s="26" t="n">
        <f aca="false">COUNTA(Data!$B198:$U198)</f>
        <v>0</v>
      </c>
      <c r="W198" s="27" t="str">
        <f aca="false">IF(V198=0,"",IF(V198&lt;&gt;Hasil!$C$4,"Data kosong/tidak lengkap",IF(SUM(B198:U198)&lt;&gt;V198,"Kategori tidak dikenal","OK")))</f>
        <v/>
      </c>
      <c r="X198" s="26" t="n">
        <f aca="false">IF(OR(W198="",W198="OK"),0,1)</f>
        <v>0</v>
      </c>
    </row>
    <row r="199" customFormat="false" ht="15" hidden="false" customHeight="false" outlineLevel="0" collapsed="false">
      <c r="A199" s="26" t="n">
        <f aca="false">Data!A199</f>
        <v>194</v>
      </c>
      <c r="B199" s="26" t="n">
        <f aca="false">IF(INDEX(Pengaturan!$B$8:$B$27,B$4)="",0,COUNTIF(Data!$B199:$U199,INDEX(Pengaturan!$B$8:$B$27,B$4)))</f>
        <v>0</v>
      </c>
      <c r="C199" s="26" t="n">
        <f aca="false">IF(INDEX(Pengaturan!$B$8:$B$27,C$4)="",0,COUNTIF(Data!$B199:$U199,INDEX(Pengaturan!$B$8:$B$27,C$4)))</f>
        <v>0</v>
      </c>
      <c r="D199" s="26" t="n">
        <f aca="false">IF(INDEX(Pengaturan!$B$8:$B$27,D$4)="",0,COUNTIF(Data!$B199:$U199,INDEX(Pengaturan!$B$8:$B$27,D$4)))</f>
        <v>0</v>
      </c>
      <c r="E199" s="26" t="n">
        <f aca="false">IF(INDEX(Pengaturan!$B$8:$B$27,E$4)="",0,COUNTIF(Data!$B199:$U199,INDEX(Pengaturan!$B$8:$B$27,E$4)))</f>
        <v>0</v>
      </c>
      <c r="F199" s="26" t="n">
        <f aca="false">IF(INDEX(Pengaturan!$B$8:$B$27,F$4)="",0,COUNTIF(Data!$B199:$U199,INDEX(Pengaturan!$B$8:$B$27,F$4)))</f>
        <v>0</v>
      </c>
      <c r="G199" s="26" t="n">
        <f aca="false">IF(INDEX(Pengaturan!$B$8:$B$27,G$4)="",0,COUNTIF(Data!$B199:$U199,INDEX(Pengaturan!$B$8:$B$27,G$4)))</f>
        <v>0</v>
      </c>
      <c r="H199" s="26" t="n">
        <f aca="false">IF(INDEX(Pengaturan!$B$8:$B$27,H$4)="",0,COUNTIF(Data!$B199:$U199,INDEX(Pengaturan!$B$8:$B$27,H$4)))</f>
        <v>0</v>
      </c>
      <c r="I199" s="26" t="n">
        <f aca="false">IF(INDEX(Pengaturan!$B$8:$B$27,I$4)="",0,COUNTIF(Data!$B199:$U199,INDEX(Pengaturan!$B$8:$B$27,I$4)))</f>
        <v>0</v>
      </c>
      <c r="J199" s="26" t="n">
        <f aca="false">IF(INDEX(Pengaturan!$B$8:$B$27,J$4)="",0,COUNTIF(Data!$B199:$U199,INDEX(Pengaturan!$B$8:$B$27,J$4)))</f>
        <v>0</v>
      </c>
      <c r="K199" s="26" t="n">
        <f aca="false">IF(INDEX(Pengaturan!$B$8:$B$27,K$4)="",0,COUNTIF(Data!$B199:$U199,INDEX(Pengaturan!$B$8:$B$27,K$4)))</f>
        <v>0</v>
      </c>
      <c r="L199" s="26" t="n">
        <f aca="false">IF(INDEX(Pengaturan!$B$8:$B$27,L$4)="",0,COUNTIF(Data!$B199:$U199,INDEX(Pengaturan!$B$8:$B$27,L$4)))</f>
        <v>0</v>
      </c>
      <c r="M199" s="26" t="n">
        <f aca="false">IF(INDEX(Pengaturan!$B$8:$B$27,M$4)="",0,COUNTIF(Data!$B199:$U199,INDEX(Pengaturan!$B$8:$B$27,M$4)))</f>
        <v>0</v>
      </c>
      <c r="N199" s="26" t="n">
        <f aca="false">IF(INDEX(Pengaturan!$B$8:$B$27,N$4)="",0,COUNTIF(Data!$B199:$U199,INDEX(Pengaturan!$B$8:$B$27,N$4)))</f>
        <v>0</v>
      </c>
      <c r="O199" s="26" t="n">
        <f aca="false">IF(INDEX(Pengaturan!$B$8:$B$27,O$4)="",0,COUNTIF(Data!$B199:$U199,INDEX(Pengaturan!$B$8:$B$27,O$4)))</f>
        <v>0</v>
      </c>
      <c r="P199" s="26" t="n">
        <f aca="false">IF(INDEX(Pengaturan!$B$8:$B$27,P$4)="",0,COUNTIF(Data!$B199:$U199,INDEX(Pengaturan!$B$8:$B$27,P$4)))</f>
        <v>0</v>
      </c>
      <c r="Q199" s="26" t="n">
        <f aca="false">IF(INDEX(Pengaturan!$B$8:$B$27,Q$4)="",0,COUNTIF(Data!$B199:$U199,INDEX(Pengaturan!$B$8:$B$27,Q$4)))</f>
        <v>0</v>
      </c>
      <c r="R199" s="26" t="n">
        <f aca="false">IF(INDEX(Pengaturan!$B$8:$B$27,R$4)="",0,COUNTIF(Data!$B199:$U199,INDEX(Pengaturan!$B$8:$B$27,R$4)))</f>
        <v>0</v>
      </c>
      <c r="S199" s="26" t="n">
        <f aca="false">IF(INDEX(Pengaturan!$B$8:$B$27,S$4)="",0,COUNTIF(Data!$B199:$U199,INDEX(Pengaturan!$B$8:$B$27,S$4)))</f>
        <v>0</v>
      </c>
      <c r="T199" s="26" t="n">
        <f aca="false">IF(INDEX(Pengaturan!$B$8:$B$27,T$4)="",0,COUNTIF(Data!$B199:$U199,INDEX(Pengaturan!$B$8:$B$27,T$4)))</f>
        <v>0</v>
      </c>
      <c r="U199" s="26" t="n">
        <f aca="false">IF(INDEX(Pengaturan!$B$8:$B$27,U$4)="",0,COUNTIF(Data!$B199:$U199,INDEX(Pengaturan!$B$8:$B$27,U$4)))</f>
        <v>0</v>
      </c>
      <c r="V199" s="26" t="n">
        <f aca="false">COUNTA(Data!$B199:$U199)</f>
        <v>0</v>
      </c>
      <c r="W199" s="27" t="str">
        <f aca="false">IF(V199=0,"",IF(V199&lt;&gt;Hasil!$C$4,"Data kosong/tidak lengkap",IF(SUM(B199:U199)&lt;&gt;V199,"Kategori tidak dikenal","OK")))</f>
        <v/>
      </c>
      <c r="X199" s="26" t="n">
        <f aca="false">IF(OR(W199="",W199="OK"),0,1)</f>
        <v>0</v>
      </c>
    </row>
    <row r="200" customFormat="false" ht="15" hidden="false" customHeight="false" outlineLevel="0" collapsed="false">
      <c r="A200" s="26" t="n">
        <f aca="false">Data!A200</f>
        <v>195</v>
      </c>
      <c r="B200" s="26" t="n">
        <f aca="false">IF(INDEX(Pengaturan!$B$8:$B$27,B$4)="",0,COUNTIF(Data!$B200:$U200,INDEX(Pengaturan!$B$8:$B$27,B$4)))</f>
        <v>0</v>
      </c>
      <c r="C200" s="26" t="n">
        <f aca="false">IF(INDEX(Pengaturan!$B$8:$B$27,C$4)="",0,COUNTIF(Data!$B200:$U200,INDEX(Pengaturan!$B$8:$B$27,C$4)))</f>
        <v>0</v>
      </c>
      <c r="D200" s="26" t="n">
        <f aca="false">IF(INDEX(Pengaturan!$B$8:$B$27,D$4)="",0,COUNTIF(Data!$B200:$U200,INDEX(Pengaturan!$B$8:$B$27,D$4)))</f>
        <v>0</v>
      </c>
      <c r="E200" s="26" t="n">
        <f aca="false">IF(INDEX(Pengaturan!$B$8:$B$27,E$4)="",0,COUNTIF(Data!$B200:$U200,INDEX(Pengaturan!$B$8:$B$27,E$4)))</f>
        <v>0</v>
      </c>
      <c r="F200" s="26" t="n">
        <f aca="false">IF(INDEX(Pengaturan!$B$8:$B$27,F$4)="",0,COUNTIF(Data!$B200:$U200,INDEX(Pengaturan!$B$8:$B$27,F$4)))</f>
        <v>0</v>
      </c>
      <c r="G200" s="26" t="n">
        <f aca="false">IF(INDEX(Pengaturan!$B$8:$B$27,G$4)="",0,COUNTIF(Data!$B200:$U200,INDEX(Pengaturan!$B$8:$B$27,G$4)))</f>
        <v>0</v>
      </c>
      <c r="H200" s="26" t="n">
        <f aca="false">IF(INDEX(Pengaturan!$B$8:$B$27,H$4)="",0,COUNTIF(Data!$B200:$U200,INDEX(Pengaturan!$B$8:$B$27,H$4)))</f>
        <v>0</v>
      </c>
      <c r="I200" s="26" t="n">
        <f aca="false">IF(INDEX(Pengaturan!$B$8:$B$27,I$4)="",0,COUNTIF(Data!$B200:$U200,INDEX(Pengaturan!$B$8:$B$27,I$4)))</f>
        <v>0</v>
      </c>
      <c r="J200" s="26" t="n">
        <f aca="false">IF(INDEX(Pengaturan!$B$8:$B$27,J$4)="",0,COUNTIF(Data!$B200:$U200,INDEX(Pengaturan!$B$8:$B$27,J$4)))</f>
        <v>0</v>
      </c>
      <c r="K200" s="26" t="n">
        <f aca="false">IF(INDEX(Pengaturan!$B$8:$B$27,K$4)="",0,COUNTIF(Data!$B200:$U200,INDEX(Pengaturan!$B$8:$B$27,K$4)))</f>
        <v>0</v>
      </c>
      <c r="L200" s="26" t="n">
        <f aca="false">IF(INDEX(Pengaturan!$B$8:$B$27,L$4)="",0,COUNTIF(Data!$B200:$U200,INDEX(Pengaturan!$B$8:$B$27,L$4)))</f>
        <v>0</v>
      </c>
      <c r="M200" s="26" t="n">
        <f aca="false">IF(INDEX(Pengaturan!$B$8:$B$27,M$4)="",0,COUNTIF(Data!$B200:$U200,INDEX(Pengaturan!$B$8:$B$27,M$4)))</f>
        <v>0</v>
      </c>
      <c r="N200" s="26" t="n">
        <f aca="false">IF(INDEX(Pengaturan!$B$8:$B$27,N$4)="",0,COUNTIF(Data!$B200:$U200,INDEX(Pengaturan!$B$8:$B$27,N$4)))</f>
        <v>0</v>
      </c>
      <c r="O200" s="26" t="n">
        <f aca="false">IF(INDEX(Pengaturan!$B$8:$B$27,O$4)="",0,COUNTIF(Data!$B200:$U200,INDEX(Pengaturan!$B$8:$B$27,O$4)))</f>
        <v>0</v>
      </c>
      <c r="P200" s="26" t="n">
        <f aca="false">IF(INDEX(Pengaturan!$B$8:$B$27,P$4)="",0,COUNTIF(Data!$B200:$U200,INDEX(Pengaturan!$B$8:$B$27,P$4)))</f>
        <v>0</v>
      </c>
      <c r="Q200" s="26" t="n">
        <f aca="false">IF(INDEX(Pengaturan!$B$8:$B$27,Q$4)="",0,COUNTIF(Data!$B200:$U200,INDEX(Pengaturan!$B$8:$B$27,Q$4)))</f>
        <v>0</v>
      </c>
      <c r="R200" s="26" t="n">
        <f aca="false">IF(INDEX(Pengaturan!$B$8:$B$27,R$4)="",0,COUNTIF(Data!$B200:$U200,INDEX(Pengaturan!$B$8:$B$27,R$4)))</f>
        <v>0</v>
      </c>
      <c r="S200" s="26" t="n">
        <f aca="false">IF(INDEX(Pengaturan!$B$8:$B$27,S$4)="",0,COUNTIF(Data!$B200:$U200,INDEX(Pengaturan!$B$8:$B$27,S$4)))</f>
        <v>0</v>
      </c>
      <c r="T200" s="26" t="n">
        <f aca="false">IF(INDEX(Pengaturan!$B$8:$B$27,T$4)="",0,COUNTIF(Data!$B200:$U200,INDEX(Pengaturan!$B$8:$B$27,T$4)))</f>
        <v>0</v>
      </c>
      <c r="U200" s="26" t="n">
        <f aca="false">IF(INDEX(Pengaturan!$B$8:$B$27,U$4)="",0,COUNTIF(Data!$B200:$U200,INDEX(Pengaturan!$B$8:$B$27,U$4)))</f>
        <v>0</v>
      </c>
      <c r="V200" s="26" t="n">
        <f aca="false">COUNTA(Data!$B200:$U200)</f>
        <v>0</v>
      </c>
      <c r="W200" s="27" t="str">
        <f aca="false">IF(V200=0,"",IF(V200&lt;&gt;Hasil!$C$4,"Data kosong/tidak lengkap",IF(SUM(B200:U200)&lt;&gt;V200,"Kategori tidak dikenal","OK")))</f>
        <v/>
      </c>
      <c r="X200" s="26" t="n">
        <f aca="false">IF(OR(W200="",W200="OK"),0,1)</f>
        <v>0</v>
      </c>
    </row>
    <row r="201" customFormat="false" ht="15" hidden="false" customHeight="false" outlineLevel="0" collapsed="false">
      <c r="A201" s="26" t="n">
        <f aca="false">Data!A201</f>
        <v>196</v>
      </c>
      <c r="B201" s="26" t="n">
        <f aca="false">IF(INDEX(Pengaturan!$B$8:$B$27,B$4)="",0,COUNTIF(Data!$B201:$U201,INDEX(Pengaturan!$B$8:$B$27,B$4)))</f>
        <v>0</v>
      </c>
      <c r="C201" s="26" t="n">
        <f aca="false">IF(INDEX(Pengaturan!$B$8:$B$27,C$4)="",0,COUNTIF(Data!$B201:$U201,INDEX(Pengaturan!$B$8:$B$27,C$4)))</f>
        <v>0</v>
      </c>
      <c r="D201" s="26" t="n">
        <f aca="false">IF(INDEX(Pengaturan!$B$8:$B$27,D$4)="",0,COUNTIF(Data!$B201:$U201,INDEX(Pengaturan!$B$8:$B$27,D$4)))</f>
        <v>0</v>
      </c>
      <c r="E201" s="26" t="n">
        <f aca="false">IF(INDEX(Pengaturan!$B$8:$B$27,E$4)="",0,COUNTIF(Data!$B201:$U201,INDEX(Pengaturan!$B$8:$B$27,E$4)))</f>
        <v>0</v>
      </c>
      <c r="F201" s="26" t="n">
        <f aca="false">IF(INDEX(Pengaturan!$B$8:$B$27,F$4)="",0,COUNTIF(Data!$B201:$U201,INDEX(Pengaturan!$B$8:$B$27,F$4)))</f>
        <v>0</v>
      </c>
      <c r="G201" s="26" t="n">
        <f aca="false">IF(INDEX(Pengaturan!$B$8:$B$27,G$4)="",0,COUNTIF(Data!$B201:$U201,INDEX(Pengaturan!$B$8:$B$27,G$4)))</f>
        <v>0</v>
      </c>
      <c r="H201" s="26" t="n">
        <f aca="false">IF(INDEX(Pengaturan!$B$8:$B$27,H$4)="",0,COUNTIF(Data!$B201:$U201,INDEX(Pengaturan!$B$8:$B$27,H$4)))</f>
        <v>0</v>
      </c>
      <c r="I201" s="26" t="n">
        <f aca="false">IF(INDEX(Pengaturan!$B$8:$B$27,I$4)="",0,COUNTIF(Data!$B201:$U201,INDEX(Pengaturan!$B$8:$B$27,I$4)))</f>
        <v>0</v>
      </c>
      <c r="J201" s="26" t="n">
        <f aca="false">IF(INDEX(Pengaturan!$B$8:$B$27,J$4)="",0,COUNTIF(Data!$B201:$U201,INDEX(Pengaturan!$B$8:$B$27,J$4)))</f>
        <v>0</v>
      </c>
      <c r="K201" s="26" t="n">
        <f aca="false">IF(INDEX(Pengaturan!$B$8:$B$27,K$4)="",0,COUNTIF(Data!$B201:$U201,INDEX(Pengaturan!$B$8:$B$27,K$4)))</f>
        <v>0</v>
      </c>
      <c r="L201" s="26" t="n">
        <f aca="false">IF(INDEX(Pengaturan!$B$8:$B$27,L$4)="",0,COUNTIF(Data!$B201:$U201,INDEX(Pengaturan!$B$8:$B$27,L$4)))</f>
        <v>0</v>
      </c>
      <c r="M201" s="26" t="n">
        <f aca="false">IF(INDEX(Pengaturan!$B$8:$B$27,M$4)="",0,COUNTIF(Data!$B201:$U201,INDEX(Pengaturan!$B$8:$B$27,M$4)))</f>
        <v>0</v>
      </c>
      <c r="N201" s="26" t="n">
        <f aca="false">IF(INDEX(Pengaturan!$B$8:$B$27,N$4)="",0,COUNTIF(Data!$B201:$U201,INDEX(Pengaturan!$B$8:$B$27,N$4)))</f>
        <v>0</v>
      </c>
      <c r="O201" s="26" t="n">
        <f aca="false">IF(INDEX(Pengaturan!$B$8:$B$27,O$4)="",0,COUNTIF(Data!$B201:$U201,INDEX(Pengaturan!$B$8:$B$27,O$4)))</f>
        <v>0</v>
      </c>
      <c r="P201" s="26" t="n">
        <f aca="false">IF(INDEX(Pengaturan!$B$8:$B$27,P$4)="",0,COUNTIF(Data!$B201:$U201,INDEX(Pengaturan!$B$8:$B$27,P$4)))</f>
        <v>0</v>
      </c>
      <c r="Q201" s="26" t="n">
        <f aca="false">IF(INDEX(Pengaturan!$B$8:$B$27,Q$4)="",0,COUNTIF(Data!$B201:$U201,INDEX(Pengaturan!$B$8:$B$27,Q$4)))</f>
        <v>0</v>
      </c>
      <c r="R201" s="26" t="n">
        <f aca="false">IF(INDEX(Pengaturan!$B$8:$B$27,R$4)="",0,COUNTIF(Data!$B201:$U201,INDEX(Pengaturan!$B$8:$B$27,R$4)))</f>
        <v>0</v>
      </c>
      <c r="S201" s="26" t="n">
        <f aca="false">IF(INDEX(Pengaturan!$B$8:$B$27,S$4)="",0,COUNTIF(Data!$B201:$U201,INDEX(Pengaturan!$B$8:$B$27,S$4)))</f>
        <v>0</v>
      </c>
      <c r="T201" s="26" t="n">
        <f aca="false">IF(INDEX(Pengaturan!$B$8:$B$27,T$4)="",0,COUNTIF(Data!$B201:$U201,INDEX(Pengaturan!$B$8:$B$27,T$4)))</f>
        <v>0</v>
      </c>
      <c r="U201" s="26" t="n">
        <f aca="false">IF(INDEX(Pengaturan!$B$8:$B$27,U$4)="",0,COUNTIF(Data!$B201:$U201,INDEX(Pengaturan!$B$8:$B$27,U$4)))</f>
        <v>0</v>
      </c>
      <c r="V201" s="26" t="n">
        <f aca="false">COUNTA(Data!$B201:$U201)</f>
        <v>0</v>
      </c>
      <c r="W201" s="27" t="str">
        <f aca="false">IF(V201=0,"",IF(V201&lt;&gt;Hasil!$C$4,"Data kosong/tidak lengkap",IF(SUM(B201:U201)&lt;&gt;V201,"Kategori tidak dikenal","OK")))</f>
        <v/>
      </c>
      <c r="X201" s="26" t="n">
        <f aca="false">IF(OR(W201="",W201="OK"),0,1)</f>
        <v>0</v>
      </c>
    </row>
    <row r="202" customFormat="false" ht="15" hidden="false" customHeight="false" outlineLevel="0" collapsed="false">
      <c r="A202" s="26" t="n">
        <f aca="false">Data!A202</f>
        <v>197</v>
      </c>
      <c r="B202" s="26" t="n">
        <f aca="false">IF(INDEX(Pengaturan!$B$8:$B$27,B$4)="",0,COUNTIF(Data!$B202:$U202,INDEX(Pengaturan!$B$8:$B$27,B$4)))</f>
        <v>0</v>
      </c>
      <c r="C202" s="26" t="n">
        <f aca="false">IF(INDEX(Pengaturan!$B$8:$B$27,C$4)="",0,COUNTIF(Data!$B202:$U202,INDEX(Pengaturan!$B$8:$B$27,C$4)))</f>
        <v>0</v>
      </c>
      <c r="D202" s="26" t="n">
        <f aca="false">IF(INDEX(Pengaturan!$B$8:$B$27,D$4)="",0,COUNTIF(Data!$B202:$U202,INDEX(Pengaturan!$B$8:$B$27,D$4)))</f>
        <v>0</v>
      </c>
      <c r="E202" s="26" t="n">
        <f aca="false">IF(INDEX(Pengaturan!$B$8:$B$27,E$4)="",0,COUNTIF(Data!$B202:$U202,INDEX(Pengaturan!$B$8:$B$27,E$4)))</f>
        <v>0</v>
      </c>
      <c r="F202" s="26" t="n">
        <f aca="false">IF(INDEX(Pengaturan!$B$8:$B$27,F$4)="",0,COUNTIF(Data!$B202:$U202,INDEX(Pengaturan!$B$8:$B$27,F$4)))</f>
        <v>0</v>
      </c>
      <c r="G202" s="26" t="n">
        <f aca="false">IF(INDEX(Pengaturan!$B$8:$B$27,G$4)="",0,COUNTIF(Data!$B202:$U202,INDEX(Pengaturan!$B$8:$B$27,G$4)))</f>
        <v>0</v>
      </c>
      <c r="H202" s="26" t="n">
        <f aca="false">IF(INDEX(Pengaturan!$B$8:$B$27,H$4)="",0,COUNTIF(Data!$B202:$U202,INDEX(Pengaturan!$B$8:$B$27,H$4)))</f>
        <v>0</v>
      </c>
      <c r="I202" s="26" t="n">
        <f aca="false">IF(INDEX(Pengaturan!$B$8:$B$27,I$4)="",0,COUNTIF(Data!$B202:$U202,INDEX(Pengaturan!$B$8:$B$27,I$4)))</f>
        <v>0</v>
      </c>
      <c r="J202" s="26" t="n">
        <f aca="false">IF(INDEX(Pengaturan!$B$8:$B$27,J$4)="",0,COUNTIF(Data!$B202:$U202,INDEX(Pengaturan!$B$8:$B$27,J$4)))</f>
        <v>0</v>
      </c>
      <c r="K202" s="26" t="n">
        <f aca="false">IF(INDEX(Pengaturan!$B$8:$B$27,K$4)="",0,COUNTIF(Data!$B202:$U202,INDEX(Pengaturan!$B$8:$B$27,K$4)))</f>
        <v>0</v>
      </c>
      <c r="L202" s="26" t="n">
        <f aca="false">IF(INDEX(Pengaturan!$B$8:$B$27,L$4)="",0,COUNTIF(Data!$B202:$U202,INDEX(Pengaturan!$B$8:$B$27,L$4)))</f>
        <v>0</v>
      </c>
      <c r="M202" s="26" t="n">
        <f aca="false">IF(INDEX(Pengaturan!$B$8:$B$27,M$4)="",0,COUNTIF(Data!$B202:$U202,INDEX(Pengaturan!$B$8:$B$27,M$4)))</f>
        <v>0</v>
      </c>
      <c r="N202" s="26" t="n">
        <f aca="false">IF(INDEX(Pengaturan!$B$8:$B$27,N$4)="",0,COUNTIF(Data!$B202:$U202,INDEX(Pengaturan!$B$8:$B$27,N$4)))</f>
        <v>0</v>
      </c>
      <c r="O202" s="26" t="n">
        <f aca="false">IF(INDEX(Pengaturan!$B$8:$B$27,O$4)="",0,COUNTIF(Data!$B202:$U202,INDEX(Pengaturan!$B$8:$B$27,O$4)))</f>
        <v>0</v>
      </c>
      <c r="P202" s="26" t="n">
        <f aca="false">IF(INDEX(Pengaturan!$B$8:$B$27,P$4)="",0,COUNTIF(Data!$B202:$U202,INDEX(Pengaturan!$B$8:$B$27,P$4)))</f>
        <v>0</v>
      </c>
      <c r="Q202" s="26" t="n">
        <f aca="false">IF(INDEX(Pengaturan!$B$8:$B$27,Q$4)="",0,COUNTIF(Data!$B202:$U202,INDEX(Pengaturan!$B$8:$B$27,Q$4)))</f>
        <v>0</v>
      </c>
      <c r="R202" s="26" t="n">
        <f aca="false">IF(INDEX(Pengaturan!$B$8:$B$27,R$4)="",0,COUNTIF(Data!$B202:$U202,INDEX(Pengaturan!$B$8:$B$27,R$4)))</f>
        <v>0</v>
      </c>
      <c r="S202" s="26" t="n">
        <f aca="false">IF(INDEX(Pengaturan!$B$8:$B$27,S$4)="",0,COUNTIF(Data!$B202:$U202,INDEX(Pengaturan!$B$8:$B$27,S$4)))</f>
        <v>0</v>
      </c>
      <c r="T202" s="26" t="n">
        <f aca="false">IF(INDEX(Pengaturan!$B$8:$B$27,T$4)="",0,COUNTIF(Data!$B202:$U202,INDEX(Pengaturan!$B$8:$B$27,T$4)))</f>
        <v>0</v>
      </c>
      <c r="U202" s="26" t="n">
        <f aca="false">IF(INDEX(Pengaturan!$B$8:$B$27,U$4)="",0,COUNTIF(Data!$B202:$U202,INDEX(Pengaturan!$B$8:$B$27,U$4)))</f>
        <v>0</v>
      </c>
      <c r="V202" s="26" t="n">
        <f aca="false">COUNTA(Data!$B202:$U202)</f>
        <v>0</v>
      </c>
      <c r="W202" s="27" t="str">
        <f aca="false">IF(V202=0,"",IF(V202&lt;&gt;Hasil!$C$4,"Data kosong/tidak lengkap",IF(SUM(B202:U202)&lt;&gt;V202,"Kategori tidak dikenal","OK")))</f>
        <v/>
      </c>
      <c r="X202" s="26" t="n">
        <f aca="false">IF(OR(W202="",W202="OK"),0,1)</f>
        <v>0</v>
      </c>
    </row>
    <row r="203" customFormat="false" ht="15" hidden="false" customHeight="false" outlineLevel="0" collapsed="false">
      <c r="A203" s="26" t="n">
        <f aca="false">Data!A203</f>
        <v>198</v>
      </c>
      <c r="B203" s="26" t="n">
        <f aca="false">IF(INDEX(Pengaturan!$B$8:$B$27,B$4)="",0,COUNTIF(Data!$B203:$U203,INDEX(Pengaturan!$B$8:$B$27,B$4)))</f>
        <v>0</v>
      </c>
      <c r="C203" s="26" t="n">
        <f aca="false">IF(INDEX(Pengaturan!$B$8:$B$27,C$4)="",0,COUNTIF(Data!$B203:$U203,INDEX(Pengaturan!$B$8:$B$27,C$4)))</f>
        <v>0</v>
      </c>
      <c r="D203" s="26" t="n">
        <f aca="false">IF(INDEX(Pengaturan!$B$8:$B$27,D$4)="",0,COUNTIF(Data!$B203:$U203,INDEX(Pengaturan!$B$8:$B$27,D$4)))</f>
        <v>0</v>
      </c>
      <c r="E203" s="26" t="n">
        <f aca="false">IF(INDEX(Pengaturan!$B$8:$B$27,E$4)="",0,COUNTIF(Data!$B203:$U203,INDEX(Pengaturan!$B$8:$B$27,E$4)))</f>
        <v>0</v>
      </c>
      <c r="F203" s="26" t="n">
        <f aca="false">IF(INDEX(Pengaturan!$B$8:$B$27,F$4)="",0,COUNTIF(Data!$B203:$U203,INDEX(Pengaturan!$B$8:$B$27,F$4)))</f>
        <v>0</v>
      </c>
      <c r="G203" s="26" t="n">
        <f aca="false">IF(INDEX(Pengaturan!$B$8:$B$27,G$4)="",0,COUNTIF(Data!$B203:$U203,INDEX(Pengaturan!$B$8:$B$27,G$4)))</f>
        <v>0</v>
      </c>
      <c r="H203" s="26" t="n">
        <f aca="false">IF(INDEX(Pengaturan!$B$8:$B$27,H$4)="",0,COUNTIF(Data!$B203:$U203,INDEX(Pengaturan!$B$8:$B$27,H$4)))</f>
        <v>0</v>
      </c>
      <c r="I203" s="26" t="n">
        <f aca="false">IF(INDEX(Pengaturan!$B$8:$B$27,I$4)="",0,COUNTIF(Data!$B203:$U203,INDEX(Pengaturan!$B$8:$B$27,I$4)))</f>
        <v>0</v>
      </c>
      <c r="J203" s="26" t="n">
        <f aca="false">IF(INDEX(Pengaturan!$B$8:$B$27,J$4)="",0,COUNTIF(Data!$B203:$U203,INDEX(Pengaturan!$B$8:$B$27,J$4)))</f>
        <v>0</v>
      </c>
      <c r="K203" s="26" t="n">
        <f aca="false">IF(INDEX(Pengaturan!$B$8:$B$27,K$4)="",0,COUNTIF(Data!$B203:$U203,INDEX(Pengaturan!$B$8:$B$27,K$4)))</f>
        <v>0</v>
      </c>
      <c r="L203" s="26" t="n">
        <f aca="false">IF(INDEX(Pengaturan!$B$8:$B$27,L$4)="",0,COUNTIF(Data!$B203:$U203,INDEX(Pengaturan!$B$8:$B$27,L$4)))</f>
        <v>0</v>
      </c>
      <c r="M203" s="26" t="n">
        <f aca="false">IF(INDEX(Pengaturan!$B$8:$B$27,M$4)="",0,COUNTIF(Data!$B203:$U203,INDEX(Pengaturan!$B$8:$B$27,M$4)))</f>
        <v>0</v>
      </c>
      <c r="N203" s="26" t="n">
        <f aca="false">IF(INDEX(Pengaturan!$B$8:$B$27,N$4)="",0,COUNTIF(Data!$B203:$U203,INDEX(Pengaturan!$B$8:$B$27,N$4)))</f>
        <v>0</v>
      </c>
      <c r="O203" s="26" t="n">
        <f aca="false">IF(INDEX(Pengaturan!$B$8:$B$27,O$4)="",0,COUNTIF(Data!$B203:$U203,INDEX(Pengaturan!$B$8:$B$27,O$4)))</f>
        <v>0</v>
      </c>
      <c r="P203" s="26" t="n">
        <f aca="false">IF(INDEX(Pengaturan!$B$8:$B$27,P$4)="",0,COUNTIF(Data!$B203:$U203,INDEX(Pengaturan!$B$8:$B$27,P$4)))</f>
        <v>0</v>
      </c>
      <c r="Q203" s="26" t="n">
        <f aca="false">IF(INDEX(Pengaturan!$B$8:$B$27,Q$4)="",0,COUNTIF(Data!$B203:$U203,INDEX(Pengaturan!$B$8:$B$27,Q$4)))</f>
        <v>0</v>
      </c>
      <c r="R203" s="26" t="n">
        <f aca="false">IF(INDEX(Pengaturan!$B$8:$B$27,R$4)="",0,COUNTIF(Data!$B203:$U203,INDEX(Pengaturan!$B$8:$B$27,R$4)))</f>
        <v>0</v>
      </c>
      <c r="S203" s="26" t="n">
        <f aca="false">IF(INDEX(Pengaturan!$B$8:$B$27,S$4)="",0,COUNTIF(Data!$B203:$U203,INDEX(Pengaturan!$B$8:$B$27,S$4)))</f>
        <v>0</v>
      </c>
      <c r="T203" s="26" t="n">
        <f aca="false">IF(INDEX(Pengaturan!$B$8:$B$27,T$4)="",0,COUNTIF(Data!$B203:$U203,INDEX(Pengaturan!$B$8:$B$27,T$4)))</f>
        <v>0</v>
      </c>
      <c r="U203" s="26" t="n">
        <f aca="false">IF(INDEX(Pengaturan!$B$8:$B$27,U$4)="",0,COUNTIF(Data!$B203:$U203,INDEX(Pengaturan!$B$8:$B$27,U$4)))</f>
        <v>0</v>
      </c>
      <c r="V203" s="26" t="n">
        <f aca="false">COUNTA(Data!$B203:$U203)</f>
        <v>0</v>
      </c>
      <c r="W203" s="27" t="str">
        <f aca="false">IF(V203=0,"",IF(V203&lt;&gt;Hasil!$C$4,"Data kosong/tidak lengkap",IF(SUM(B203:U203)&lt;&gt;V203,"Kategori tidak dikenal","OK")))</f>
        <v/>
      </c>
      <c r="X203" s="26" t="n">
        <f aca="false">IF(OR(W203="",W203="OK"),0,1)</f>
        <v>0</v>
      </c>
    </row>
    <row r="204" customFormat="false" ht="15" hidden="false" customHeight="false" outlineLevel="0" collapsed="false">
      <c r="A204" s="26" t="n">
        <f aca="false">Data!A204</f>
        <v>199</v>
      </c>
      <c r="B204" s="26" t="n">
        <f aca="false">IF(INDEX(Pengaturan!$B$8:$B$27,B$4)="",0,COUNTIF(Data!$B204:$U204,INDEX(Pengaturan!$B$8:$B$27,B$4)))</f>
        <v>0</v>
      </c>
      <c r="C204" s="26" t="n">
        <f aca="false">IF(INDEX(Pengaturan!$B$8:$B$27,C$4)="",0,COUNTIF(Data!$B204:$U204,INDEX(Pengaturan!$B$8:$B$27,C$4)))</f>
        <v>0</v>
      </c>
      <c r="D204" s="26" t="n">
        <f aca="false">IF(INDEX(Pengaturan!$B$8:$B$27,D$4)="",0,COUNTIF(Data!$B204:$U204,INDEX(Pengaturan!$B$8:$B$27,D$4)))</f>
        <v>0</v>
      </c>
      <c r="E204" s="26" t="n">
        <f aca="false">IF(INDEX(Pengaturan!$B$8:$B$27,E$4)="",0,COUNTIF(Data!$B204:$U204,INDEX(Pengaturan!$B$8:$B$27,E$4)))</f>
        <v>0</v>
      </c>
      <c r="F204" s="26" t="n">
        <f aca="false">IF(INDEX(Pengaturan!$B$8:$B$27,F$4)="",0,COUNTIF(Data!$B204:$U204,INDEX(Pengaturan!$B$8:$B$27,F$4)))</f>
        <v>0</v>
      </c>
      <c r="G204" s="26" t="n">
        <f aca="false">IF(INDEX(Pengaturan!$B$8:$B$27,G$4)="",0,COUNTIF(Data!$B204:$U204,INDEX(Pengaturan!$B$8:$B$27,G$4)))</f>
        <v>0</v>
      </c>
      <c r="H204" s="26" t="n">
        <f aca="false">IF(INDEX(Pengaturan!$B$8:$B$27,H$4)="",0,COUNTIF(Data!$B204:$U204,INDEX(Pengaturan!$B$8:$B$27,H$4)))</f>
        <v>0</v>
      </c>
      <c r="I204" s="26" t="n">
        <f aca="false">IF(INDEX(Pengaturan!$B$8:$B$27,I$4)="",0,COUNTIF(Data!$B204:$U204,INDEX(Pengaturan!$B$8:$B$27,I$4)))</f>
        <v>0</v>
      </c>
      <c r="J204" s="26" t="n">
        <f aca="false">IF(INDEX(Pengaturan!$B$8:$B$27,J$4)="",0,COUNTIF(Data!$B204:$U204,INDEX(Pengaturan!$B$8:$B$27,J$4)))</f>
        <v>0</v>
      </c>
      <c r="K204" s="26" t="n">
        <f aca="false">IF(INDEX(Pengaturan!$B$8:$B$27,K$4)="",0,COUNTIF(Data!$B204:$U204,INDEX(Pengaturan!$B$8:$B$27,K$4)))</f>
        <v>0</v>
      </c>
      <c r="L204" s="26" t="n">
        <f aca="false">IF(INDEX(Pengaturan!$B$8:$B$27,L$4)="",0,COUNTIF(Data!$B204:$U204,INDEX(Pengaturan!$B$8:$B$27,L$4)))</f>
        <v>0</v>
      </c>
      <c r="M204" s="26" t="n">
        <f aca="false">IF(INDEX(Pengaturan!$B$8:$B$27,M$4)="",0,COUNTIF(Data!$B204:$U204,INDEX(Pengaturan!$B$8:$B$27,M$4)))</f>
        <v>0</v>
      </c>
      <c r="N204" s="26" t="n">
        <f aca="false">IF(INDEX(Pengaturan!$B$8:$B$27,N$4)="",0,COUNTIF(Data!$B204:$U204,INDEX(Pengaturan!$B$8:$B$27,N$4)))</f>
        <v>0</v>
      </c>
      <c r="O204" s="26" t="n">
        <f aca="false">IF(INDEX(Pengaturan!$B$8:$B$27,O$4)="",0,COUNTIF(Data!$B204:$U204,INDEX(Pengaturan!$B$8:$B$27,O$4)))</f>
        <v>0</v>
      </c>
      <c r="P204" s="26" t="n">
        <f aca="false">IF(INDEX(Pengaturan!$B$8:$B$27,P$4)="",0,COUNTIF(Data!$B204:$U204,INDEX(Pengaturan!$B$8:$B$27,P$4)))</f>
        <v>0</v>
      </c>
      <c r="Q204" s="26" t="n">
        <f aca="false">IF(INDEX(Pengaturan!$B$8:$B$27,Q$4)="",0,COUNTIF(Data!$B204:$U204,INDEX(Pengaturan!$B$8:$B$27,Q$4)))</f>
        <v>0</v>
      </c>
      <c r="R204" s="26" t="n">
        <f aca="false">IF(INDEX(Pengaturan!$B$8:$B$27,R$4)="",0,COUNTIF(Data!$B204:$U204,INDEX(Pengaturan!$B$8:$B$27,R$4)))</f>
        <v>0</v>
      </c>
      <c r="S204" s="26" t="n">
        <f aca="false">IF(INDEX(Pengaturan!$B$8:$B$27,S$4)="",0,COUNTIF(Data!$B204:$U204,INDEX(Pengaturan!$B$8:$B$27,S$4)))</f>
        <v>0</v>
      </c>
      <c r="T204" s="26" t="n">
        <f aca="false">IF(INDEX(Pengaturan!$B$8:$B$27,T$4)="",0,COUNTIF(Data!$B204:$U204,INDEX(Pengaturan!$B$8:$B$27,T$4)))</f>
        <v>0</v>
      </c>
      <c r="U204" s="26" t="n">
        <f aca="false">IF(INDEX(Pengaturan!$B$8:$B$27,U$4)="",0,COUNTIF(Data!$B204:$U204,INDEX(Pengaturan!$B$8:$B$27,U$4)))</f>
        <v>0</v>
      </c>
      <c r="V204" s="26" t="n">
        <f aca="false">COUNTA(Data!$B204:$U204)</f>
        <v>0</v>
      </c>
      <c r="W204" s="27" t="str">
        <f aca="false">IF(V204=0,"",IF(V204&lt;&gt;Hasil!$C$4,"Data kosong/tidak lengkap",IF(SUM(B204:U204)&lt;&gt;V204,"Kategori tidak dikenal","OK")))</f>
        <v/>
      </c>
      <c r="X204" s="26" t="n">
        <f aca="false">IF(OR(W204="",W204="OK"),0,1)</f>
        <v>0</v>
      </c>
    </row>
    <row r="205" customFormat="false" ht="15" hidden="false" customHeight="false" outlineLevel="0" collapsed="false">
      <c r="A205" s="26" t="n">
        <f aca="false">Data!A205</f>
        <v>200</v>
      </c>
      <c r="B205" s="26" t="n">
        <f aca="false">IF(INDEX(Pengaturan!$B$8:$B$27,B$4)="",0,COUNTIF(Data!$B205:$U205,INDEX(Pengaturan!$B$8:$B$27,B$4)))</f>
        <v>0</v>
      </c>
      <c r="C205" s="26" t="n">
        <f aca="false">IF(INDEX(Pengaturan!$B$8:$B$27,C$4)="",0,COUNTIF(Data!$B205:$U205,INDEX(Pengaturan!$B$8:$B$27,C$4)))</f>
        <v>0</v>
      </c>
      <c r="D205" s="26" t="n">
        <f aca="false">IF(INDEX(Pengaturan!$B$8:$B$27,D$4)="",0,COUNTIF(Data!$B205:$U205,INDEX(Pengaturan!$B$8:$B$27,D$4)))</f>
        <v>0</v>
      </c>
      <c r="E205" s="26" t="n">
        <f aca="false">IF(INDEX(Pengaturan!$B$8:$B$27,E$4)="",0,COUNTIF(Data!$B205:$U205,INDEX(Pengaturan!$B$8:$B$27,E$4)))</f>
        <v>0</v>
      </c>
      <c r="F205" s="26" t="n">
        <f aca="false">IF(INDEX(Pengaturan!$B$8:$B$27,F$4)="",0,COUNTIF(Data!$B205:$U205,INDEX(Pengaturan!$B$8:$B$27,F$4)))</f>
        <v>0</v>
      </c>
      <c r="G205" s="26" t="n">
        <f aca="false">IF(INDEX(Pengaturan!$B$8:$B$27,G$4)="",0,COUNTIF(Data!$B205:$U205,INDEX(Pengaturan!$B$8:$B$27,G$4)))</f>
        <v>0</v>
      </c>
      <c r="H205" s="26" t="n">
        <f aca="false">IF(INDEX(Pengaturan!$B$8:$B$27,H$4)="",0,COUNTIF(Data!$B205:$U205,INDEX(Pengaturan!$B$8:$B$27,H$4)))</f>
        <v>0</v>
      </c>
      <c r="I205" s="26" t="n">
        <f aca="false">IF(INDEX(Pengaturan!$B$8:$B$27,I$4)="",0,COUNTIF(Data!$B205:$U205,INDEX(Pengaturan!$B$8:$B$27,I$4)))</f>
        <v>0</v>
      </c>
      <c r="J205" s="26" t="n">
        <f aca="false">IF(INDEX(Pengaturan!$B$8:$B$27,J$4)="",0,COUNTIF(Data!$B205:$U205,INDEX(Pengaturan!$B$8:$B$27,J$4)))</f>
        <v>0</v>
      </c>
      <c r="K205" s="26" t="n">
        <f aca="false">IF(INDEX(Pengaturan!$B$8:$B$27,K$4)="",0,COUNTIF(Data!$B205:$U205,INDEX(Pengaturan!$B$8:$B$27,K$4)))</f>
        <v>0</v>
      </c>
      <c r="L205" s="26" t="n">
        <f aca="false">IF(INDEX(Pengaturan!$B$8:$B$27,L$4)="",0,COUNTIF(Data!$B205:$U205,INDEX(Pengaturan!$B$8:$B$27,L$4)))</f>
        <v>0</v>
      </c>
      <c r="M205" s="26" t="n">
        <f aca="false">IF(INDEX(Pengaturan!$B$8:$B$27,M$4)="",0,COUNTIF(Data!$B205:$U205,INDEX(Pengaturan!$B$8:$B$27,M$4)))</f>
        <v>0</v>
      </c>
      <c r="N205" s="26" t="n">
        <f aca="false">IF(INDEX(Pengaturan!$B$8:$B$27,N$4)="",0,COUNTIF(Data!$B205:$U205,INDEX(Pengaturan!$B$8:$B$27,N$4)))</f>
        <v>0</v>
      </c>
      <c r="O205" s="26" t="n">
        <f aca="false">IF(INDEX(Pengaturan!$B$8:$B$27,O$4)="",0,COUNTIF(Data!$B205:$U205,INDEX(Pengaturan!$B$8:$B$27,O$4)))</f>
        <v>0</v>
      </c>
      <c r="P205" s="26" t="n">
        <f aca="false">IF(INDEX(Pengaturan!$B$8:$B$27,P$4)="",0,COUNTIF(Data!$B205:$U205,INDEX(Pengaturan!$B$8:$B$27,P$4)))</f>
        <v>0</v>
      </c>
      <c r="Q205" s="26" t="n">
        <f aca="false">IF(INDEX(Pengaturan!$B$8:$B$27,Q$4)="",0,COUNTIF(Data!$B205:$U205,INDEX(Pengaturan!$B$8:$B$27,Q$4)))</f>
        <v>0</v>
      </c>
      <c r="R205" s="26" t="n">
        <f aca="false">IF(INDEX(Pengaturan!$B$8:$B$27,R$4)="",0,COUNTIF(Data!$B205:$U205,INDEX(Pengaturan!$B$8:$B$27,R$4)))</f>
        <v>0</v>
      </c>
      <c r="S205" s="26" t="n">
        <f aca="false">IF(INDEX(Pengaturan!$B$8:$B$27,S$4)="",0,COUNTIF(Data!$B205:$U205,INDEX(Pengaturan!$B$8:$B$27,S$4)))</f>
        <v>0</v>
      </c>
      <c r="T205" s="26" t="n">
        <f aca="false">IF(INDEX(Pengaturan!$B$8:$B$27,T$4)="",0,COUNTIF(Data!$B205:$U205,INDEX(Pengaturan!$B$8:$B$27,T$4)))</f>
        <v>0</v>
      </c>
      <c r="U205" s="26" t="n">
        <f aca="false">IF(INDEX(Pengaturan!$B$8:$B$27,U$4)="",0,COUNTIF(Data!$B205:$U205,INDEX(Pengaturan!$B$8:$B$27,U$4)))</f>
        <v>0</v>
      </c>
      <c r="V205" s="26" t="n">
        <f aca="false">COUNTA(Data!$B205:$U205)</f>
        <v>0</v>
      </c>
      <c r="W205" s="27" t="str">
        <f aca="false">IF(V205=0,"",IF(V205&lt;&gt;Hasil!$C$4,"Data kosong/tidak lengkap",IF(SUM(B205:U205)&lt;&gt;V205,"Kategori tidak dikenal","OK")))</f>
        <v/>
      </c>
      <c r="X205" s="26" t="n">
        <f aca="false">IF(OR(W205="",W205="OK"),0,1)</f>
        <v>0</v>
      </c>
    </row>
    <row r="206" customFormat="false" ht="15" hidden="false" customHeight="false" outlineLevel="0" collapsed="false">
      <c r="A206" s="26" t="n">
        <f aca="false">Data!A206</f>
        <v>201</v>
      </c>
      <c r="B206" s="26" t="n">
        <f aca="false">IF(INDEX(Pengaturan!$B$8:$B$27,B$4)="",0,COUNTIF(Data!$B206:$U206,INDEX(Pengaturan!$B$8:$B$27,B$4)))</f>
        <v>0</v>
      </c>
      <c r="C206" s="26" t="n">
        <f aca="false">IF(INDEX(Pengaturan!$B$8:$B$27,C$4)="",0,COUNTIF(Data!$B206:$U206,INDEX(Pengaturan!$B$8:$B$27,C$4)))</f>
        <v>0</v>
      </c>
      <c r="D206" s="26" t="n">
        <f aca="false">IF(INDEX(Pengaturan!$B$8:$B$27,D$4)="",0,COUNTIF(Data!$B206:$U206,INDEX(Pengaturan!$B$8:$B$27,D$4)))</f>
        <v>0</v>
      </c>
      <c r="E206" s="26" t="n">
        <f aca="false">IF(INDEX(Pengaturan!$B$8:$B$27,E$4)="",0,COUNTIF(Data!$B206:$U206,INDEX(Pengaturan!$B$8:$B$27,E$4)))</f>
        <v>0</v>
      </c>
      <c r="F206" s="26" t="n">
        <f aca="false">IF(INDEX(Pengaturan!$B$8:$B$27,F$4)="",0,COUNTIF(Data!$B206:$U206,INDEX(Pengaturan!$B$8:$B$27,F$4)))</f>
        <v>0</v>
      </c>
      <c r="G206" s="26" t="n">
        <f aca="false">IF(INDEX(Pengaturan!$B$8:$B$27,G$4)="",0,COUNTIF(Data!$B206:$U206,INDEX(Pengaturan!$B$8:$B$27,G$4)))</f>
        <v>0</v>
      </c>
      <c r="H206" s="26" t="n">
        <f aca="false">IF(INDEX(Pengaturan!$B$8:$B$27,H$4)="",0,COUNTIF(Data!$B206:$U206,INDEX(Pengaturan!$B$8:$B$27,H$4)))</f>
        <v>0</v>
      </c>
      <c r="I206" s="26" t="n">
        <f aca="false">IF(INDEX(Pengaturan!$B$8:$B$27,I$4)="",0,COUNTIF(Data!$B206:$U206,INDEX(Pengaturan!$B$8:$B$27,I$4)))</f>
        <v>0</v>
      </c>
      <c r="J206" s="26" t="n">
        <f aca="false">IF(INDEX(Pengaturan!$B$8:$B$27,J$4)="",0,COUNTIF(Data!$B206:$U206,INDEX(Pengaturan!$B$8:$B$27,J$4)))</f>
        <v>0</v>
      </c>
      <c r="K206" s="26" t="n">
        <f aca="false">IF(INDEX(Pengaturan!$B$8:$B$27,K$4)="",0,COUNTIF(Data!$B206:$U206,INDEX(Pengaturan!$B$8:$B$27,K$4)))</f>
        <v>0</v>
      </c>
      <c r="L206" s="26" t="n">
        <f aca="false">IF(INDEX(Pengaturan!$B$8:$B$27,L$4)="",0,COUNTIF(Data!$B206:$U206,INDEX(Pengaturan!$B$8:$B$27,L$4)))</f>
        <v>0</v>
      </c>
      <c r="M206" s="26" t="n">
        <f aca="false">IF(INDEX(Pengaturan!$B$8:$B$27,M$4)="",0,COUNTIF(Data!$B206:$U206,INDEX(Pengaturan!$B$8:$B$27,M$4)))</f>
        <v>0</v>
      </c>
      <c r="N206" s="26" t="n">
        <f aca="false">IF(INDEX(Pengaturan!$B$8:$B$27,N$4)="",0,COUNTIF(Data!$B206:$U206,INDEX(Pengaturan!$B$8:$B$27,N$4)))</f>
        <v>0</v>
      </c>
      <c r="O206" s="26" t="n">
        <f aca="false">IF(INDEX(Pengaturan!$B$8:$B$27,O$4)="",0,COUNTIF(Data!$B206:$U206,INDEX(Pengaturan!$B$8:$B$27,O$4)))</f>
        <v>0</v>
      </c>
      <c r="P206" s="26" t="n">
        <f aca="false">IF(INDEX(Pengaturan!$B$8:$B$27,P$4)="",0,COUNTIF(Data!$B206:$U206,INDEX(Pengaturan!$B$8:$B$27,P$4)))</f>
        <v>0</v>
      </c>
      <c r="Q206" s="26" t="n">
        <f aca="false">IF(INDEX(Pengaturan!$B$8:$B$27,Q$4)="",0,COUNTIF(Data!$B206:$U206,INDEX(Pengaturan!$B$8:$B$27,Q$4)))</f>
        <v>0</v>
      </c>
      <c r="R206" s="26" t="n">
        <f aca="false">IF(INDEX(Pengaturan!$B$8:$B$27,R$4)="",0,COUNTIF(Data!$B206:$U206,INDEX(Pengaturan!$B$8:$B$27,R$4)))</f>
        <v>0</v>
      </c>
      <c r="S206" s="26" t="n">
        <f aca="false">IF(INDEX(Pengaturan!$B$8:$B$27,S$4)="",0,COUNTIF(Data!$B206:$U206,INDEX(Pengaturan!$B$8:$B$27,S$4)))</f>
        <v>0</v>
      </c>
      <c r="T206" s="26" t="n">
        <f aca="false">IF(INDEX(Pengaturan!$B$8:$B$27,T$4)="",0,COUNTIF(Data!$B206:$U206,INDEX(Pengaturan!$B$8:$B$27,T$4)))</f>
        <v>0</v>
      </c>
      <c r="U206" s="26" t="n">
        <f aca="false">IF(INDEX(Pengaturan!$B$8:$B$27,U$4)="",0,COUNTIF(Data!$B206:$U206,INDEX(Pengaturan!$B$8:$B$27,U$4)))</f>
        <v>0</v>
      </c>
      <c r="V206" s="26" t="n">
        <f aca="false">COUNTA(Data!$B206:$U206)</f>
        <v>0</v>
      </c>
      <c r="W206" s="27" t="str">
        <f aca="false">IF(V206=0,"",IF(V206&lt;&gt;Hasil!$C$4,"Data kosong/tidak lengkap",IF(SUM(B206:U206)&lt;&gt;V206,"Kategori tidak dikenal","OK")))</f>
        <v/>
      </c>
      <c r="X206" s="26" t="n">
        <f aca="false">IF(OR(W206="",W206="OK"),0,1)</f>
        <v>0</v>
      </c>
    </row>
    <row r="207" customFormat="false" ht="15" hidden="false" customHeight="false" outlineLevel="0" collapsed="false">
      <c r="A207" s="26" t="n">
        <f aca="false">Data!A207</f>
        <v>202</v>
      </c>
      <c r="B207" s="26" t="n">
        <f aca="false">IF(INDEX(Pengaturan!$B$8:$B$27,B$4)="",0,COUNTIF(Data!$B207:$U207,INDEX(Pengaturan!$B$8:$B$27,B$4)))</f>
        <v>0</v>
      </c>
      <c r="C207" s="26" t="n">
        <f aca="false">IF(INDEX(Pengaturan!$B$8:$B$27,C$4)="",0,COUNTIF(Data!$B207:$U207,INDEX(Pengaturan!$B$8:$B$27,C$4)))</f>
        <v>0</v>
      </c>
      <c r="D207" s="26" t="n">
        <f aca="false">IF(INDEX(Pengaturan!$B$8:$B$27,D$4)="",0,COUNTIF(Data!$B207:$U207,INDEX(Pengaturan!$B$8:$B$27,D$4)))</f>
        <v>0</v>
      </c>
      <c r="E207" s="26" t="n">
        <f aca="false">IF(INDEX(Pengaturan!$B$8:$B$27,E$4)="",0,COUNTIF(Data!$B207:$U207,INDEX(Pengaturan!$B$8:$B$27,E$4)))</f>
        <v>0</v>
      </c>
      <c r="F207" s="26" t="n">
        <f aca="false">IF(INDEX(Pengaturan!$B$8:$B$27,F$4)="",0,COUNTIF(Data!$B207:$U207,INDEX(Pengaturan!$B$8:$B$27,F$4)))</f>
        <v>0</v>
      </c>
      <c r="G207" s="26" t="n">
        <f aca="false">IF(INDEX(Pengaturan!$B$8:$B$27,G$4)="",0,COUNTIF(Data!$B207:$U207,INDEX(Pengaturan!$B$8:$B$27,G$4)))</f>
        <v>0</v>
      </c>
      <c r="H207" s="26" t="n">
        <f aca="false">IF(INDEX(Pengaturan!$B$8:$B$27,H$4)="",0,COUNTIF(Data!$B207:$U207,INDEX(Pengaturan!$B$8:$B$27,H$4)))</f>
        <v>0</v>
      </c>
      <c r="I207" s="26" t="n">
        <f aca="false">IF(INDEX(Pengaturan!$B$8:$B$27,I$4)="",0,COUNTIF(Data!$B207:$U207,INDEX(Pengaturan!$B$8:$B$27,I$4)))</f>
        <v>0</v>
      </c>
      <c r="J207" s="26" t="n">
        <f aca="false">IF(INDEX(Pengaturan!$B$8:$B$27,J$4)="",0,COUNTIF(Data!$B207:$U207,INDEX(Pengaturan!$B$8:$B$27,J$4)))</f>
        <v>0</v>
      </c>
      <c r="K207" s="26" t="n">
        <f aca="false">IF(INDEX(Pengaturan!$B$8:$B$27,K$4)="",0,COUNTIF(Data!$B207:$U207,INDEX(Pengaturan!$B$8:$B$27,K$4)))</f>
        <v>0</v>
      </c>
      <c r="L207" s="26" t="n">
        <f aca="false">IF(INDEX(Pengaturan!$B$8:$B$27,L$4)="",0,COUNTIF(Data!$B207:$U207,INDEX(Pengaturan!$B$8:$B$27,L$4)))</f>
        <v>0</v>
      </c>
      <c r="M207" s="26" t="n">
        <f aca="false">IF(INDEX(Pengaturan!$B$8:$B$27,M$4)="",0,COUNTIF(Data!$B207:$U207,INDEX(Pengaturan!$B$8:$B$27,M$4)))</f>
        <v>0</v>
      </c>
      <c r="N207" s="26" t="n">
        <f aca="false">IF(INDEX(Pengaturan!$B$8:$B$27,N$4)="",0,COUNTIF(Data!$B207:$U207,INDEX(Pengaturan!$B$8:$B$27,N$4)))</f>
        <v>0</v>
      </c>
      <c r="O207" s="26" t="n">
        <f aca="false">IF(INDEX(Pengaturan!$B$8:$B$27,O$4)="",0,COUNTIF(Data!$B207:$U207,INDEX(Pengaturan!$B$8:$B$27,O$4)))</f>
        <v>0</v>
      </c>
      <c r="P207" s="26" t="n">
        <f aca="false">IF(INDEX(Pengaturan!$B$8:$B$27,P$4)="",0,COUNTIF(Data!$B207:$U207,INDEX(Pengaturan!$B$8:$B$27,P$4)))</f>
        <v>0</v>
      </c>
      <c r="Q207" s="26" t="n">
        <f aca="false">IF(INDEX(Pengaturan!$B$8:$B$27,Q$4)="",0,COUNTIF(Data!$B207:$U207,INDEX(Pengaturan!$B$8:$B$27,Q$4)))</f>
        <v>0</v>
      </c>
      <c r="R207" s="26" t="n">
        <f aca="false">IF(INDEX(Pengaturan!$B$8:$B$27,R$4)="",0,COUNTIF(Data!$B207:$U207,INDEX(Pengaturan!$B$8:$B$27,R$4)))</f>
        <v>0</v>
      </c>
      <c r="S207" s="26" t="n">
        <f aca="false">IF(INDEX(Pengaturan!$B$8:$B$27,S$4)="",0,COUNTIF(Data!$B207:$U207,INDEX(Pengaturan!$B$8:$B$27,S$4)))</f>
        <v>0</v>
      </c>
      <c r="T207" s="26" t="n">
        <f aca="false">IF(INDEX(Pengaturan!$B$8:$B$27,T$4)="",0,COUNTIF(Data!$B207:$U207,INDEX(Pengaturan!$B$8:$B$27,T$4)))</f>
        <v>0</v>
      </c>
      <c r="U207" s="26" t="n">
        <f aca="false">IF(INDEX(Pengaturan!$B$8:$B$27,U$4)="",0,COUNTIF(Data!$B207:$U207,INDEX(Pengaturan!$B$8:$B$27,U$4)))</f>
        <v>0</v>
      </c>
      <c r="V207" s="26" t="n">
        <f aca="false">COUNTA(Data!$B207:$U207)</f>
        <v>0</v>
      </c>
      <c r="W207" s="27" t="str">
        <f aca="false">IF(V207=0,"",IF(V207&lt;&gt;Hasil!$C$4,"Data kosong/tidak lengkap",IF(SUM(B207:U207)&lt;&gt;V207,"Kategori tidak dikenal","OK")))</f>
        <v/>
      </c>
      <c r="X207" s="26" t="n">
        <f aca="false">IF(OR(W207="",W207="OK"),0,1)</f>
        <v>0</v>
      </c>
    </row>
    <row r="208" customFormat="false" ht="15" hidden="false" customHeight="false" outlineLevel="0" collapsed="false">
      <c r="A208" s="26" t="n">
        <f aca="false">Data!A208</f>
        <v>203</v>
      </c>
      <c r="B208" s="26" t="n">
        <f aca="false">IF(INDEX(Pengaturan!$B$8:$B$27,B$4)="",0,COUNTIF(Data!$B208:$U208,INDEX(Pengaturan!$B$8:$B$27,B$4)))</f>
        <v>0</v>
      </c>
      <c r="C208" s="26" t="n">
        <f aca="false">IF(INDEX(Pengaturan!$B$8:$B$27,C$4)="",0,COUNTIF(Data!$B208:$U208,INDEX(Pengaturan!$B$8:$B$27,C$4)))</f>
        <v>0</v>
      </c>
      <c r="D208" s="26" t="n">
        <f aca="false">IF(INDEX(Pengaturan!$B$8:$B$27,D$4)="",0,COUNTIF(Data!$B208:$U208,INDEX(Pengaturan!$B$8:$B$27,D$4)))</f>
        <v>0</v>
      </c>
      <c r="E208" s="26" t="n">
        <f aca="false">IF(INDEX(Pengaturan!$B$8:$B$27,E$4)="",0,COUNTIF(Data!$B208:$U208,INDEX(Pengaturan!$B$8:$B$27,E$4)))</f>
        <v>0</v>
      </c>
      <c r="F208" s="26" t="n">
        <f aca="false">IF(INDEX(Pengaturan!$B$8:$B$27,F$4)="",0,COUNTIF(Data!$B208:$U208,INDEX(Pengaturan!$B$8:$B$27,F$4)))</f>
        <v>0</v>
      </c>
      <c r="G208" s="26" t="n">
        <f aca="false">IF(INDEX(Pengaturan!$B$8:$B$27,G$4)="",0,COUNTIF(Data!$B208:$U208,INDEX(Pengaturan!$B$8:$B$27,G$4)))</f>
        <v>0</v>
      </c>
      <c r="H208" s="26" t="n">
        <f aca="false">IF(INDEX(Pengaturan!$B$8:$B$27,H$4)="",0,COUNTIF(Data!$B208:$U208,INDEX(Pengaturan!$B$8:$B$27,H$4)))</f>
        <v>0</v>
      </c>
      <c r="I208" s="26" t="n">
        <f aca="false">IF(INDEX(Pengaturan!$B$8:$B$27,I$4)="",0,COUNTIF(Data!$B208:$U208,INDEX(Pengaturan!$B$8:$B$27,I$4)))</f>
        <v>0</v>
      </c>
      <c r="J208" s="26" t="n">
        <f aca="false">IF(INDEX(Pengaturan!$B$8:$B$27,J$4)="",0,COUNTIF(Data!$B208:$U208,INDEX(Pengaturan!$B$8:$B$27,J$4)))</f>
        <v>0</v>
      </c>
      <c r="K208" s="26" t="n">
        <f aca="false">IF(INDEX(Pengaturan!$B$8:$B$27,K$4)="",0,COUNTIF(Data!$B208:$U208,INDEX(Pengaturan!$B$8:$B$27,K$4)))</f>
        <v>0</v>
      </c>
      <c r="L208" s="26" t="n">
        <f aca="false">IF(INDEX(Pengaturan!$B$8:$B$27,L$4)="",0,COUNTIF(Data!$B208:$U208,INDEX(Pengaturan!$B$8:$B$27,L$4)))</f>
        <v>0</v>
      </c>
      <c r="M208" s="26" t="n">
        <f aca="false">IF(INDEX(Pengaturan!$B$8:$B$27,M$4)="",0,COUNTIF(Data!$B208:$U208,INDEX(Pengaturan!$B$8:$B$27,M$4)))</f>
        <v>0</v>
      </c>
      <c r="N208" s="26" t="n">
        <f aca="false">IF(INDEX(Pengaturan!$B$8:$B$27,N$4)="",0,COUNTIF(Data!$B208:$U208,INDEX(Pengaturan!$B$8:$B$27,N$4)))</f>
        <v>0</v>
      </c>
      <c r="O208" s="26" t="n">
        <f aca="false">IF(INDEX(Pengaturan!$B$8:$B$27,O$4)="",0,COUNTIF(Data!$B208:$U208,INDEX(Pengaturan!$B$8:$B$27,O$4)))</f>
        <v>0</v>
      </c>
      <c r="P208" s="26" t="n">
        <f aca="false">IF(INDEX(Pengaturan!$B$8:$B$27,P$4)="",0,COUNTIF(Data!$B208:$U208,INDEX(Pengaturan!$B$8:$B$27,P$4)))</f>
        <v>0</v>
      </c>
      <c r="Q208" s="26" t="n">
        <f aca="false">IF(INDEX(Pengaturan!$B$8:$B$27,Q$4)="",0,COUNTIF(Data!$B208:$U208,INDEX(Pengaturan!$B$8:$B$27,Q$4)))</f>
        <v>0</v>
      </c>
      <c r="R208" s="26" t="n">
        <f aca="false">IF(INDEX(Pengaturan!$B$8:$B$27,R$4)="",0,COUNTIF(Data!$B208:$U208,INDEX(Pengaturan!$B$8:$B$27,R$4)))</f>
        <v>0</v>
      </c>
      <c r="S208" s="26" t="n">
        <f aca="false">IF(INDEX(Pengaturan!$B$8:$B$27,S$4)="",0,COUNTIF(Data!$B208:$U208,INDEX(Pengaturan!$B$8:$B$27,S$4)))</f>
        <v>0</v>
      </c>
      <c r="T208" s="26" t="n">
        <f aca="false">IF(INDEX(Pengaturan!$B$8:$B$27,T$4)="",0,COUNTIF(Data!$B208:$U208,INDEX(Pengaturan!$B$8:$B$27,T$4)))</f>
        <v>0</v>
      </c>
      <c r="U208" s="26" t="n">
        <f aca="false">IF(INDEX(Pengaturan!$B$8:$B$27,U$4)="",0,COUNTIF(Data!$B208:$U208,INDEX(Pengaturan!$B$8:$B$27,U$4)))</f>
        <v>0</v>
      </c>
      <c r="V208" s="26" t="n">
        <f aca="false">COUNTA(Data!$B208:$U208)</f>
        <v>0</v>
      </c>
      <c r="W208" s="27" t="str">
        <f aca="false">IF(V208=0,"",IF(V208&lt;&gt;Hasil!$C$4,"Data kosong/tidak lengkap",IF(SUM(B208:U208)&lt;&gt;V208,"Kategori tidak dikenal","OK")))</f>
        <v/>
      </c>
      <c r="X208" s="26" t="n">
        <f aca="false">IF(OR(W208="",W208="OK"),0,1)</f>
        <v>0</v>
      </c>
    </row>
    <row r="209" customFormat="false" ht="15" hidden="false" customHeight="false" outlineLevel="0" collapsed="false">
      <c r="A209" s="26" t="n">
        <f aca="false">Data!A209</f>
        <v>204</v>
      </c>
      <c r="B209" s="26" t="n">
        <f aca="false">IF(INDEX(Pengaturan!$B$8:$B$27,B$4)="",0,COUNTIF(Data!$B209:$U209,INDEX(Pengaturan!$B$8:$B$27,B$4)))</f>
        <v>0</v>
      </c>
      <c r="C209" s="26" t="n">
        <f aca="false">IF(INDEX(Pengaturan!$B$8:$B$27,C$4)="",0,COUNTIF(Data!$B209:$U209,INDEX(Pengaturan!$B$8:$B$27,C$4)))</f>
        <v>0</v>
      </c>
      <c r="D209" s="26" t="n">
        <f aca="false">IF(INDEX(Pengaturan!$B$8:$B$27,D$4)="",0,COUNTIF(Data!$B209:$U209,INDEX(Pengaturan!$B$8:$B$27,D$4)))</f>
        <v>0</v>
      </c>
      <c r="E209" s="26" t="n">
        <f aca="false">IF(INDEX(Pengaturan!$B$8:$B$27,E$4)="",0,COUNTIF(Data!$B209:$U209,INDEX(Pengaturan!$B$8:$B$27,E$4)))</f>
        <v>0</v>
      </c>
      <c r="F209" s="26" t="n">
        <f aca="false">IF(INDEX(Pengaturan!$B$8:$B$27,F$4)="",0,COUNTIF(Data!$B209:$U209,INDEX(Pengaturan!$B$8:$B$27,F$4)))</f>
        <v>0</v>
      </c>
      <c r="G209" s="26" t="n">
        <f aca="false">IF(INDEX(Pengaturan!$B$8:$B$27,G$4)="",0,COUNTIF(Data!$B209:$U209,INDEX(Pengaturan!$B$8:$B$27,G$4)))</f>
        <v>0</v>
      </c>
      <c r="H209" s="26" t="n">
        <f aca="false">IF(INDEX(Pengaturan!$B$8:$B$27,H$4)="",0,COUNTIF(Data!$B209:$U209,INDEX(Pengaturan!$B$8:$B$27,H$4)))</f>
        <v>0</v>
      </c>
      <c r="I209" s="26" t="n">
        <f aca="false">IF(INDEX(Pengaturan!$B$8:$B$27,I$4)="",0,COUNTIF(Data!$B209:$U209,INDEX(Pengaturan!$B$8:$B$27,I$4)))</f>
        <v>0</v>
      </c>
      <c r="J209" s="26" t="n">
        <f aca="false">IF(INDEX(Pengaturan!$B$8:$B$27,J$4)="",0,COUNTIF(Data!$B209:$U209,INDEX(Pengaturan!$B$8:$B$27,J$4)))</f>
        <v>0</v>
      </c>
      <c r="K209" s="26" t="n">
        <f aca="false">IF(INDEX(Pengaturan!$B$8:$B$27,K$4)="",0,COUNTIF(Data!$B209:$U209,INDEX(Pengaturan!$B$8:$B$27,K$4)))</f>
        <v>0</v>
      </c>
      <c r="L209" s="26" t="n">
        <f aca="false">IF(INDEX(Pengaturan!$B$8:$B$27,L$4)="",0,COUNTIF(Data!$B209:$U209,INDEX(Pengaturan!$B$8:$B$27,L$4)))</f>
        <v>0</v>
      </c>
      <c r="M209" s="26" t="n">
        <f aca="false">IF(INDEX(Pengaturan!$B$8:$B$27,M$4)="",0,COUNTIF(Data!$B209:$U209,INDEX(Pengaturan!$B$8:$B$27,M$4)))</f>
        <v>0</v>
      </c>
      <c r="N209" s="26" t="n">
        <f aca="false">IF(INDEX(Pengaturan!$B$8:$B$27,N$4)="",0,COUNTIF(Data!$B209:$U209,INDEX(Pengaturan!$B$8:$B$27,N$4)))</f>
        <v>0</v>
      </c>
      <c r="O209" s="26" t="n">
        <f aca="false">IF(INDEX(Pengaturan!$B$8:$B$27,O$4)="",0,COUNTIF(Data!$B209:$U209,INDEX(Pengaturan!$B$8:$B$27,O$4)))</f>
        <v>0</v>
      </c>
      <c r="P209" s="26" t="n">
        <f aca="false">IF(INDEX(Pengaturan!$B$8:$B$27,P$4)="",0,COUNTIF(Data!$B209:$U209,INDEX(Pengaturan!$B$8:$B$27,P$4)))</f>
        <v>0</v>
      </c>
      <c r="Q209" s="26" t="n">
        <f aca="false">IF(INDEX(Pengaturan!$B$8:$B$27,Q$4)="",0,COUNTIF(Data!$B209:$U209,INDEX(Pengaturan!$B$8:$B$27,Q$4)))</f>
        <v>0</v>
      </c>
      <c r="R209" s="26" t="n">
        <f aca="false">IF(INDEX(Pengaturan!$B$8:$B$27,R$4)="",0,COUNTIF(Data!$B209:$U209,INDEX(Pengaturan!$B$8:$B$27,R$4)))</f>
        <v>0</v>
      </c>
      <c r="S209" s="26" t="n">
        <f aca="false">IF(INDEX(Pengaturan!$B$8:$B$27,S$4)="",0,COUNTIF(Data!$B209:$U209,INDEX(Pengaturan!$B$8:$B$27,S$4)))</f>
        <v>0</v>
      </c>
      <c r="T209" s="26" t="n">
        <f aca="false">IF(INDEX(Pengaturan!$B$8:$B$27,T$4)="",0,COUNTIF(Data!$B209:$U209,INDEX(Pengaturan!$B$8:$B$27,T$4)))</f>
        <v>0</v>
      </c>
      <c r="U209" s="26" t="n">
        <f aca="false">IF(INDEX(Pengaturan!$B$8:$B$27,U$4)="",0,COUNTIF(Data!$B209:$U209,INDEX(Pengaturan!$B$8:$B$27,U$4)))</f>
        <v>0</v>
      </c>
      <c r="V209" s="26" t="n">
        <f aca="false">COUNTA(Data!$B209:$U209)</f>
        <v>0</v>
      </c>
      <c r="W209" s="27" t="str">
        <f aca="false">IF(V209=0,"",IF(V209&lt;&gt;Hasil!$C$4,"Data kosong/tidak lengkap",IF(SUM(B209:U209)&lt;&gt;V209,"Kategori tidak dikenal","OK")))</f>
        <v/>
      </c>
      <c r="X209" s="26" t="n">
        <f aca="false">IF(OR(W209="",W209="OK"),0,1)</f>
        <v>0</v>
      </c>
    </row>
    <row r="210" customFormat="false" ht="15" hidden="false" customHeight="false" outlineLevel="0" collapsed="false">
      <c r="A210" s="26" t="n">
        <f aca="false">Data!A210</f>
        <v>205</v>
      </c>
      <c r="B210" s="26" t="n">
        <f aca="false">IF(INDEX(Pengaturan!$B$8:$B$27,B$4)="",0,COUNTIF(Data!$B210:$U210,INDEX(Pengaturan!$B$8:$B$27,B$4)))</f>
        <v>0</v>
      </c>
      <c r="C210" s="26" t="n">
        <f aca="false">IF(INDEX(Pengaturan!$B$8:$B$27,C$4)="",0,COUNTIF(Data!$B210:$U210,INDEX(Pengaturan!$B$8:$B$27,C$4)))</f>
        <v>0</v>
      </c>
      <c r="D210" s="26" t="n">
        <f aca="false">IF(INDEX(Pengaturan!$B$8:$B$27,D$4)="",0,COUNTIF(Data!$B210:$U210,INDEX(Pengaturan!$B$8:$B$27,D$4)))</f>
        <v>0</v>
      </c>
      <c r="E210" s="26" t="n">
        <f aca="false">IF(INDEX(Pengaturan!$B$8:$B$27,E$4)="",0,COUNTIF(Data!$B210:$U210,INDEX(Pengaturan!$B$8:$B$27,E$4)))</f>
        <v>0</v>
      </c>
      <c r="F210" s="26" t="n">
        <f aca="false">IF(INDEX(Pengaturan!$B$8:$B$27,F$4)="",0,COUNTIF(Data!$B210:$U210,INDEX(Pengaturan!$B$8:$B$27,F$4)))</f>
        <v>0</v>
      </c>
      <c r="G210" s="26" t="n">
        <f aca="false">IF(INDEX(Pengaturan!$B$8:$B$27,G$4)="",0,COUNTIF(Data!$B210:$U210,INDEX(Pengaturan!$B$8:$B$27,G$4)))</f>
        <v>0</v>
      </c>
      <c r="H210" s="26" t="n">
        <f aca="false">IF(INDEX(Pengaturan!$B$8:$B$27,H$4)="",0,COUNTIF(Data!$B210:$U210,INDEX(Pengaturan!$B$8:$B$27,H$4)))</f>
        <v>0</v>
      </c>
      <c r="I210" s="26" t="n">
        <f aca="false">IF(INDEX(Pengaturan!$B$8:$B$27,I$4)="",0,COUNTIF(Data!$B210:$U210,INDEX(Pengaturan!$B$8:$B$27,I$4)))</f>
        <v>0</v>
      </c>
      <c r="J210" s="26" t="n">
        <f aca="false">IF(INDEX(Pengaturan!$B$8:$B$27,J$4)="",0,COUNTIF(Data!$B210:$U210,INDEX(Pengaturan!$B$8:$B$27,J$4)))</f>
        <v>0</v>
      </c>
      <c r="K210" s="26" t="n">
        <f aca="false">IF(INDEX(Pengaturan!$B$8:$B$27,K$4)="",0,COUNTIF(Data!$B210:$U210,INDEX(Pengaturan!$B$8:$B$27,K$4)))</f>
        <v>0</v>
      </c>
      <c r="L210" s="26" t="n">
        <f aca="false">IF(INDEX(Pengaturan!$B$8:$B$27,L$4)="",0,COUNTIF(Data!$B210:$U210,INDEX(Pengaturan!$B$8:$B$27,L$4)))</f>
        <v>0</v>
      </c>
      <c r="M210" s="26" t="n">
        <f aca="false">IF(INDEX(Pengaturan!$B$8:$B$27,M$4)="",0,COUNTIF(Data!$B210:$U210,INDEX(Pengaturan!$B$8:$B$27,M$4)))</f>
        <v>0</v>
      </c>
      <c r="N210" s="26" t="n">
        <f aca="false">IF(INDEX(Pengaturan!$B$8:$B$27,N$4)="",0,COUNTIF(Data!$B210:$U210,INDEX(Pengaturan!$B$8:$B$27,N$4)))</f>
        <v>0</v>
      </c>
      <c r="O210" s="26" t="n">
        <f aca="false">IF(INDEX(Pengaturan!$B$8:$B$27,O$4)="",0,COUNTIF(Data!$B210:$U210,INDEX(Pengaturan!$B$8:$B$27,O$4)))</f>
        <v>0</v>
      </c>
      <c r="P210" s="26" t="n">
        <f aca="false">IF(INDEX(Pengaturan!$B$8:$B$27,P$4)="",0,COUNTIF(Data!$B210:$U210,INDEX(Pengaturan!$B$8:$B$27,P$4)))</f>
        <v>0</v>
      </c>
      <c r="Q210" s="26" t="n">
        <f aca="false">IF(INDEX(Pengaturan!$B$8:$B$27,Q$4)="",0,COUNTIF(Data!$B210:$U210,INDEX(Pengaturan!$B$8:$B$27,Q$4)))</f>
        <v>0</v>
      </c>
      <c r="R210" s="26" t="n">
        <f aca="false">IF(INDEX(Pengaturan!$B$8:$B$27,R$4)="",0,COUNTIF(Data!$B210:$U210,INDEX(Pengaturan!$B$8:$B$27,R$4)))</f>
        <v>0</v>
      </c>
      <c r="S210" s="26" t="n">
        <f aca="false">IF(INDEX(Pengaturan!$B$8:$B$27,S$4)="",0,COUNTIF(Data!$B210:$U210,INDEX(Pengaturan!$B$8:$B$27,S$4)))</f>
        <v>0</v>
      </c>
      <c r="T210" s="26" t="n">
        <f aca="false">IF(INDEX(Pengaturan!$B$8:$B$27,T$4)="",0,COUNTIF(Data!$B210:$U210,INDEX(Pengaturan!$B$8:$B$27,T$4)))</f>
        <v>0</v>
      </c>
      <c r="U210" s="26" t="n">
        <f aca="false">IF(INDEX(Pengaturan!$B$8:$B$27,U$4)="",0,COUNTIF(Data!$B210:$U210,INDEX(Pengaturan!$B$8:$B$27,U$4)))</f>
        <v>0</v>
      </c>
      <c r="V210" s="26" t="n">
        <f aca="false">COUNTA(Data!$B210:$U210)</f>
        <v>0</v>
      </c>
      <c r="W210" s="27" t="str">
        <f aca="false">IF(V210=0,"",IF(V210&lt;&gt;Hasil!$C$4,"Data kosong/tidak lengkap",IF(SUM(B210:U210)&lt;&gt;V210,"Kategori tidak dikenal","OK")))</f>
        <v/>
      </c>
      <c r="X210" s="26" t="n">
        <f aca="false">IF(OR(W210="",W210="OK"),0,1)</f>
        <v>0</v>
      </c>
    </row>
    <row r="211" customFormat="false" ht="15" hidden="false" customHeight="false" outlineLevel="0" collapsed="false">
      <c r="A211" s="26" t="n">
        <f aca="false">Data!A211</f>
        <v>206</v>
      </c>
      <c r="B211" s="26" t="n">
        <f aca="false">IF(INDEX(Pengaturan!$B$8:$B$27,B$4)="",0,COUNTIF(Data!$B211:$U211,INDEX(Pengaturan!$B$8:$B$27,B$4)))</f>
        <v>0</v>
      </c>
      <c r="C211" s="26" t="n">
        <f aca="false">IF(INDEX(Pengaturan!$B$8:$B$27,C$4)="",0,COUNTIF(Data!$B211:$U211,INDEX(Pengaturan!$B$8:$B$27,C$4)))</f>
        <v>0</v>
      </c>
      <c r="D211" s="26" t="n">
        <f aca="false">IF(INDEX(Pengaturan!$B$8:$B$27,D$4)="",0,COUNTIF(Data!$B211:$U211,INDEX(Pengaturan!$B$8:$B$27,D$4)))</f>
        <v>0</v>
      </c>
      <c r="E211" s="26" t="n">
        <f aca="false">IF(INDEX(Pengaturan!$B$8:$B$27,E$4)="",0,COUNTIF(Data!$B211:$U211,INDEX(Pengaturan!$B$8:$B$27,E$4)))</f>
        <v>0</v>
      </c>
      <c r="F211" s="26" t="n">
        <f aca="false">IF(INDEX(Pengaturan!$B$8:$B$27,F$4)="",0,COUNTIF(Data!$B211:$U211,INDEX(Pengaturan!$B$8:$B$27,F$4)))</f>
        <v>0</v>
      </c>
      <c r="G211" s="26" t="n">
        <f aca="false">IF(INDEX(Pengaturan!$B$8:$B$27,G$4)="",0,COUNTIF(Data!$B211:$U211,INDEX(Pengaturan!$B$8:$B$27,G$4)))</f>
        <v>0</v>
      </c>
      <c r="H211" s="26" t="n">
        <f aca="false">IF(INDEX(Pengaturan!$B$8:$B$27,H$4)="",0,COUNTIF(Data!$B211:$U211,INDEX(Pengaturan!$B$8:$B$27,H$4)))</f>
        <v>0</v>
      </c>
      <c r="I211" s="26" t="n">
        <f aca="false">IF(INDEX(Pengaturan!$B$8:$B$27,I$4)="",0,COUNTIF(Data!$B211:$U211,INDEX(Pengaturan!$B$8:$B$27,I$4)))</f>
        <v>0</v>
      </c>
      <c r="J211" s="26" t="n">
        <f aca="false">IF(INDEX(Pengaturan!$B$8:$B$27,J$4)="",0,COUNTIF(Data!$B211:$U211,INDEX(Pengaturan!$B$8:$B$27,J$4)))</f>
        <v>0</v>
      </c>
      <c r="K211" s="26" t="n">
        <f aca="false">IF(INDEX(Pengaturan!$B$8:$B$27,K$4)="",0,COUNTIF(Data!$B211:$U211,INDEX(Pengaturan!$B$8:$B$27,K$4)))</f>
        <v>0</v>
      </c>
      <c r="L211" s="26" t="n">
        <f aca="false">IF(INDEX(Pengaturan!$B$8:$B$27,L$4)="",0,COUNTIF(Data!$B211:$U211,INDEX(Pengaturan!$B$8:$B$27,L$4)))</f>
        <v>0</v>
      </c>
      <c r="M211" s="26" t="n">
        <f aca="false">IF(INDEX(Pengaturan!$B$8:$B$27,M$4)="",0,COUNTIF(Data!$B211:$U211,INDEX(Pengaturan!$B$8:$B$27,M$4)))</f>
        <v>0</v>
      </c>
      <c r="N211" s="26" t="n">
        <f aca="false">IF(INDEX(Pengaturan!$B$8:$B$27,N$4)="",0,COUNTIF(Data!$B211:$U211,INDEX(Pengaturan!$B$8:$B$27,N$4)))</f>
        <v>0</v>
      </c>
      <c r="O211" s="26" t="n">
        <f aca="false">IF(INDEX(Pengaturan!$B$8:$B$27,O$4)="",0,COUNTIF(Data!$B211:$U211,INDEX(Pengaturan!$B$8:$B$27,O$4)))</f>
        <v>0</v>
      </c>
      <c r="P211" s="26" t="n">
        <f aca="false">IF(INDEX(Pengaturan!$B$8:$B$27,P$4)="",0,COUNTIF(Data!$B211:$U211,INDEX(Pengaturan!$B$8:$B$27,P$4)))</f>
        <v>0</v>
      </c>
      <c r="Q211" s="26" t="n">
        <f aca="false">IF(INDEX(Pengaturan!$B$8:$B$27,Q$4)="",0,COUNTIF(Data!$B211:$U211,INDEX(Pengaturan!$B$8:$B$27,Q$4)))</f>
        <v>0</v>
      </c>
      <c r="R211" s="26" t="n">
        <f aca="false">IF(INDEX(Pengaturan!$B$8:$B$27,R$4)="",0,COUNTIF(Data!$B211:$U211,INDEX(Pengaturan!$B$8:$B$27,R$4)))</f>
        <v>0</v>
      </c>
      <c r="S211" s="26" t="n">
        <f aca="false">IF(INDEX(Pengaturan!$B$8:$B$27,S$4)="",0,COUNTIF(Data!$B211:$U211,INDEX(Pengaturan!$B$8:$B$27,S$4)))</f>
        <v>0</v>
      </c>
      <c r="T211" s="26" t="n">
        <f aca="false">IF(INDEX(Pengaturan!$B$8:$B$27,T$4)="",0,COUNTIF(Data!$B211:$U211,INDEX(Pengaturan!$B$8:$B$27,T$4)))</f>
        <v>0</v>
      </c>
      <c r="U211" s="26" t="n">
        <f aca="false">IF(INDEX(Pengaturan!$B$8:$B$27,U$4)="",0,COUNTIF(Data!$B211:$U211,INDEX(Pengaturan!$B$8:$B$27,U$4)))</f>
        <v>0</v>
      </c>
      <c r="V211" s="26" t="n">
        <f aca="false">COUNTA(Data!$B211:$U211)</f>
        <v>0</v>
      </c>
      <c r="W211" s="27" t="str">
        <f aca="false">IF(V211=0,"",IF(V211&lt;&gt;Hasil!$C$4,"Data kosong/tidak lengkap",IF(SUM(B211:U211)&lt;&gt;V211,"Kategori tidak dikenal","OK")))</f>
        <v/>
      </c>
      <c r="X211" s="26" t="n">
        <f aca="false">IF(OR(W211="",W211="OK"),0,1)</f>
        <v>0</v>
      </c>
    </row>
    <row r="212" customFormat="false" ht="15" hidden="false" customHeight="false" outlineLevel="0" collapsed="false">
      <c r="A212" s="26" t="n">
        <f aca="false">Data!A212</f>
        <v>207</v>
      </c>
      <c r="B212" s="26" t="n">
        <f aca="false">IF(INDEX(Pengaturan!$B$8:$B$27,B$4)="",0,COUNTIF(Data!$B212:$U212,INDEX(Pengaturan!$B$8:$B$27,B$4)))</f>
        <v>0</v>
      </c>
      <c r="C212" s="26" t="n">
        <f aca="false">IF(INDEX(Pengaturan!$B$8:$B$27,C$4)="",0,COUNTIF(Data!$B212:$U212,INDEX(Pengaturan!$B$8:$B$27,C$4)))</f>
        <v>0</v>
      </c>
      <c r="D212" s="26" t="n">
        <f aca="false">IF(INDEX(Pengaturan!$B$8:$B$27,D$4)="",0,COUNTIF(Data!$B212:$U212,INDEX(Pengaturan!$B$8:$B$27,D$4)))</f>
        <v>0</v>
      </c>
      <c r="E212" s="26" t="n">
        <f aca="false">IF(INDEX(Pengaturan!$B$8:$B$27,E$4)="",0,COUNTIF(Data!$B212:$U212,INDEX(Pengaturan!$B$8:$B$27,E$4)))</f>
        <v>0</v>
      </c>
      <c r="F212" s="26" t="n">
        <f aca="false">IF(INDEX(Pengaturan!$B$8:$B$27,F$4)="",0,COUNTIF(Data!$B212:$U212,INDEX(Pengaturan!$B$8:$B$27,F$4)))</f>
        <v>0</v>
      </c>
      <c r="G212" s="26" t="n">
        <f aca="false">IF(INDEX(Pengaturan!$B$8:$B$27,G$4)="",0,COUNTIF(Data!$B212:$U212,INDEX(Pengaturan!$B$8:$B$27,G$4)))</f>
        <v>0</v>
      </c>
      <c r="H212" s="26" t="n">
        <f aca="false">IF(INDEX(Pengaturan!$B$8:$B$27,H$4)="",0,COUNTIF(Data!$B212:$U212,INDEX(Pengaturan!$B$8:$B$27,H$4)))</f>
        <v>0</v>
      </c>
      <c r="I212" s="26" t="n">
        <f aca="false">IF(INDEX(Pengaturan!$B$8:$B$27,I$4)="",0,COUNTIF(Data!$B212:$U212,INDEX(Pengaturan!$B$8:$B$27,I$4)))</f>
        <v>0</v>
      </c>
      <c r="J212" s="26" t="n">
        <f aca="false">IF(INDEX(Pengaturan!$B$8:$B$27,J$4)="",0,COUNTIF(Data!$B212:$U212,INDEX(Pengaturan!$B$8:$B$27,J$4)))</f>
        <v>0</v>
      </c>
      <c r="K212" s="26" t="n">
        <f aca="false">IF(INDEX(Pengaturan!$B$8:$B$27,K$4)="",0,COUNTIF(Data!$B212:$U212,INDEX(Pengaturan!$B$8:$B$27,K$4)))</f>
        <v>0</v>
      </c>
      <c r="L212" s="26" t="n">
        <f aca="false">IF(INDEX(Pengaturan!$B$8:$B$27,L$4)="",0,COUNTIF(Data!$B212:$U212,INDEX(Pengaturan!$B$8:$B$27,L$4)))</f>
        <v>0</v>
      </c>
      <c r="M212" s="26" t="n">
        <f aca="false">IF(INDEX(Pengaturan!$B$8:$B$27,M$4)="",0,COUNTIF(Data!$B212:$U212,INDEX(Pengaturan!$B$8:$B$27,M$4)))</f>
        <v>0</v>
      </c>
      <c r="N212" s="26" t="n">
        <f aca="false">IF(INDEX(Pengaturan!$B$8:$B$27,N$4)="",0,COUNTIF(Data!$B212:$U212,INDEX(Pengaturan!$B$8:$B$27,N$4)))</f>
        <v>0</v>
      </c>
      <c r="O212" s="26" t="n">
        <f aca="false">IF(INDEX(Pengaturan!$B$8:$B$27,O$4)="",0,COUNTIF(Data!$B212:$U212,INDEX(Pengaturan!$B$8:$B$27,O$4)))</f>
        <v>0</v>
      </c>
      <c r="P212" s="26" t="n">
        <f aca="false">IF(INDEX(Pengaturan!$B$8:$B$27,P$4)="",0,COUNTIF(Data!$B212:$U212,INDEX(Pengaturan!$B$8:$B$27,P$4)))</f>
        <v>0</v>
      </c>
      <c r="Q212" s="26" t="n">
        <f aca="false">IF(INDEX(Pengaturan!$B$8:$B$27,Q$4)="",0,COUNTIF(Data!$B212:$U212,INDEX(Pengaturan!$B$8:$B$27,Q$4)))</f>
        <v>0</v>
      </c>
      <c r="R212" s="26" t="n">
        <f aca="false">IF(INDEX(Pengaturan!$B$8:$B$27,R$4)="",0,COUNTIF(Data!$B212:$U212,INDEX(Pengaturan!$B$8:$B$27,R$4)))</f>
        <v>0</v>
      </c>
      <c r="S212" s="26" t="n">
        <f aca="false">IF(INDEX(Pengaturan!$B$8:$B$27,S$4)="",0,COUNTIF(Data!$B212:$U212,INDEX(Pengaturan!$B$8:$B$27,S$4)))</f>
        <v>0</v>
      </c>
      <c r="T212" s="26" t="n">
        <f aca="false">IF(INDEX(Pengaturan!$B$8:$B$27,T$4)="",0,COUNTIF(Data!$B212:$U212,INDEX(Pengaturan!$B$8:$B$27,T$4)))</f>
        <v>0</v>
      </c>
      <c r="U212" s="26" t="n">
        <f aca="false">IF(INDEX(Pengaturan!$B$8:$B$27,U$4)="",0,COUNTIF(Data!$B212:$U212,INDEX(Pengaturan!$B$8:$B$27,U$4)))</f>
        <v>0</v>
      </c>
      <c r="V212" s="26" t="n">
        <f aca="false">COUNTA(Data!$B212:$U212)</f>
        <v>0</v>
      </c>
      <c r="W212" s="27" t="str">
        <f aca="false">IF(V212=0,"",IF(V212&lt;&gt;Hasil!$C$4,"Data kosong/tidak lengkap",IF(SUM(B212:U212)&lt;&gt;V212,"Kategori tidak dikenal","OK")))</f>
        <v/>
      </c>
      <c r="X212" s="26" t="n">
        <f aca="false">IF(OR(W212="",W212="OK"),0,1)</f>
        <v>0</v>
      </c>
    </row>
    <row r="213" customFormat="false" ht="15" hidden="false" customHeight="false" outlineLevel="0" collapsed="false">
      <c r="A213" s="26" t="n">
        <f aca="false">Data!A213</f>
        <v>208</v>
      </c>
      <c r="B213" s="26" t="n">
        <f aca="false">IF(INDEX(Pengaturan!$B$8:$B$27,B$4)="",0,COUNTIF(Data!$B213:$U213,INDEX(Pengaturan!$B$8:$B$27,B$4)))</f>
        <v>0</v>
      </c>
      <c r="C213" s="26" t="n">
        <f aca="false">IF(INDEX(Pengaturan!$B$8:$B$27,C$4)="",0,COUNTIF(Data!$B213:$U213,INDEX(Pengaturan!$B$8:$B$27,C$4)))</f>
        <v>0</v>
      </c>
      <c r="D213" s="26" t="n">
        <f aca="false">IF(INDEX(Pengaturan!$B$8:$B$27,D$4)="",0,COUNTIF(Data!$B213:$U213,INDEX(Pengaturan!$B$8:$B$27,D$4)))</f>
        <v>0</v>
      </c>
      <c r="E213" s="26" t="n">
        <f aca="false">IF(INDEX(Pengaturan!$B$8:$B$27,E$4)="",0,COUNTIF(Data!$B213:$U213,INDEX(Pengaturan!$B$8:$B$27,E$4)))</f>
        <v>0</v>
      </c>
      <c r="F213" s="26" t="n">
        <f aca="false">IF(INDEX(Pengaturan!$B$8:$B$27,F$4)="",0,COUNTIF(Data!$B213:$U213,INDEX(Pengaturan!$B$8:$B$27,F$4)))</f>
        <v>0</v>
      </c>
      <c r="G213" s="26" t="n">
        <f aca="false">IF(INDEX(Pengaturan!$B$8:$B$27,G$4)="",0,COUNTIF(Data!$B213:$U213,INDEX(Pengaturan!$B$8:$B$27,G$4)))</f>
        <v>0</v>
      </c>
      <c r="H213" s="26" t="n">
        <f aca="false">IF(INDEX(Pengaturan!$B$8:$B$27,H$4)="",0,COUNTIF(Data!$B213:$U213,INDEX(Pengaturan!$B$8:$B$27,H$4)))</f>
        <v>0</v>
      </c>
      <c r="I213" s="26" t="n">
        <f aca="false">IF(INDEX(Pengaturan!$B$8:$B$27,I$4)="",0,COUNTIF(Data!$B213:$U213,INDEX(Pengaturan!$B$8:$B$27,I$4)))</f>
        <v>0</v>
      </c>
      <c r="J213" s="26" t="n">
        <f aca="false">IF(INDEX(Pengaturan!$B$8:$B$27,J$4)="",0,COUNTIF(Data!$B213:$U213,INDEX(Pengaturan!$B$8:$B$27,J$4)))</f>
        <v>0</v>
      </c>
      <c r="K213" s="26" t="n">
        <f aca="false">IF(INDEX(Pengaturan!$B$8:$B$27,K$4)="",0,COUNTIF(Data!$B213:$U213,INDEX(Pengaturan!$B$8:$B$27,K$4)))</f>
        <v>0</v>
      </c>
      <c r="L213" s="26" t="n">
        <f aca="false">IF(INDEX(Pengaturan!$B$8:$B$27,L$4)="",0,COUNTIF(Data!$B213:$U213,INDEX(Pengaturan!$B$8:$B$27,L$4)))</f>
        <v>0</v>
      </c>
      <c r="M213" s="26" t="n">
        <f aca="false">IF(INDEX(Pengaturan!$B$8:$B$27,M$4)="",0,COUNTIF(Data!$B213:$U213,INDEX(Pengaturan!$B$8:$B$27,M$4)))</f>
        <v>0</v>
      </c>
      <c r="N213" s="26" t="n">
        <f aca="false">IF(INDEX(Pengaturan!$B$8:$B$27,N$4)="",0,COUNTIF(Data!$B213:$U213,INDEX(Pengaturan!$B$8:$B$27,N$4)))</f>
        <v>0</v>
      </c>
      <c r="O213" s="26" t="n">
        <f aca="false">IF(INDEX(Pengaturan!$B$8:$B$27,O$4)="",0,COUNTIF(Data!$B213:$U213,INDEX(Pengaturan!$B$8:$B$27,O$4)))</f>
        <v>0</v>
      </c>
      <c r="P213" s="26" t="n">
        <f aca="false">IF(INDEX(Pengaturan!$B$8:$B$27,P$4)="",0,COUNTIF(Data!$B213:$U213,INDEX(Pengaturan!$B$8:$B$27,P$4)))</f>
        <v>0</v>
      </c>
      <c r="Q213" s="26" t="n">
        <f aca="false">IF(INDEX(Pengaturan!$B$8:$B$27,Q$4)="",0,COUNTIF(Data!$B213:$U213,INDEX(Pengaturan!$B$8:$B$27,Q$4)))</f>
        <v>0</v>
      </c>
      <c r="R213" s="26" t="n">
        <f aca="false">IF(INDEX(Pengaturan!$B$8:$B$27,R$4)="",0,COUNTIF(Data!$B213:$U213,INDEX(Pengaturan!$B$8:$B$27,R$4)))</f>
        <v>0</v>
      </c>
      <c r="S213" s="26" t="n">
        <f aca="false">IF(INDEX(Pengaturan!$B$8:$B$27,S$4)="",0,COUNTIF(Data!$B213:$U213,INDEX(Pengaturan!$B$8:$B$27,S$4)))</f>
        <v>0</v>
      </c>
      <c r="T213" s="26" t="n">
        <f aca="false">IF(INDEX(Pengaturan!$B$8:$B$27,T$4)="",0,COUNTIF(Data!$B213:$U213,INDEX(Pengaturan!$B$8:$B$27,T$4)))</f>
        <v>0</v>
      </c>
      <c r="U213" s="26" t="n">
        <f aca="false">IF(INDEX(Pengaturan!$B$8:$B$27,U$4)="",0,COUNTIF(Data!$B213:$U213,INDEX(Pengaturan!$B$8:$B$27,U$4)))</f>
        <v>0</v>
      </c>
      <c r="V213" s="26" t="n">
        <f aca="false">COUNTA(Data!$B213:$U213)</f>
        <v>0</v>
      </c>
      <c r="W213" s="27" t="str">
        <f aca="false">IF(V213=0,"",IF(V213&lt;&gt;Hasil!$C$4,"Data kosong/tidak lengkap",IF(SUM(B213:U213)&lt;&gt;V213,"Kategori tidak dikenal","OK")))</f>
        <v/>
      </c>
      <c r="X213" s="26" t="n">
        <f aca="false">IF(OR(W213="",W213="OK"),0,1)</f>
        <v>0</v>
      </c>
    </row>
    <row r="214" customFormat="false" ht="15" hidden="false" customHeight="false" outlineLevel="0" collapsed="false">
      <c r="A214" s="26" t="n">
        <f aca="false">Data!A214</f>
        <v>209</v>
      </c>
      <c r="B214" s="26" t="n">
        <f aca="false">IF(INDEX(Pengaturan!$B$8:$B$27,B$4)="",0,COUNTIF(Data!$B214:$U214,INDEX(Pengaturan!$B$8:$B$27,B$4)))</f>
        <v>0</v>
      </c>
      <c r="C214" s="26" t="n">
        <f aca="false">IF(INDEX(Pengaturan!$B$8:$B$27,C$4)="",0,COUNTIF(Data!$B214:$U214,INDEX(Pengaturan!$B$8:$B$27,C$4)))</f>
        <v>0</v>
      </c>
      <c r="D214" s="26" t="n">
        <f aca="false">IF(INDEX(Pengaturan!$B$8:$B$27,D$4)="",0,COUNTIF(Data!$B214:$U214,INDEX(Pengaturan!$B$8:$B$27,D$4)))</f>
        <v>0</v>
      </c>
      <c r="E214" s="26" t="n">
        <f aca="false">IF(INDEX(Pengaturan!$B$8:$B$27,E$4)="",0,COUNTIF(Data!$B214:$U214,INDEX(Pengaturan!$B$8:$B$27,E$4)))</f>
        <v>0</v>
      </c>
      <c r="F214" s="26" t="n">
        <f aca="false">IF(INDEX(Pengaturan!$B$8:$B$27,F$4)="",0,COUNTIF(Data!$B214:$U214,INDEX(Pengaturan!$B$8:$B$27,F$4)))</f>
        <v>0</v>
      </c>
      <c r="G214" s="26" t="n">
        <f aca="false">IF(INDEX(Pengaturan!$B$8:$B$27,G$4)="",0,COUNTIF(Data!$B214:$U214,INDEX(Pengaturan!$B$8:$B$27,G$4)))</f>
        <v>0</v>
      </c>
      <c r="H214" s="26" t="n">
        <f aca="false">IF(INDEX(Pengaturan!$B$8:$B$27,H$4)="",0,COUNTIF(Data!$B214:$U214,INDEX(Pengaturan!$B$8:$B$27,H$4)))</f>
        <v>0</v>
      </c>
      <c r="I214" s="26" t="n">
        <f aca="false">IF(INDEX(Pengaturan!$B$8:$B$27,I$4)="",0,COUNTIF(Data!$B214:$U214,INDEX(Pengaturan!$B$8:$B$27,I$4)))</f>
        <v>0</v>
      </c>
      <c r="J214" s="26" t="n">
        <f aca="false">IF(INDEX(Pengaturan!$B$8:$B$27,J$4)="",0,COUNTIF(Data!$B214:$U214,INDEX(Pengaturan!$B$8:$B$27,J$4)))</f>
        <v>0</v>
      </c>
      <c r="K214" s="26" t="n">
        <f aca="false">IF(INDEX(Pengaturan!$B$8:$B$27,K$4)="",0,COUNTIF(Data!$B214:$U214,INDEX(Pengaturan!$B$8:$B$27,K$4)))</f>
        <v>0</v>
      </c>
      <c r="L214" s="26" t="n">
        <f aca="false">IF(INDEX(Pengaturan!$B$8:$B$27,L$4)="",0,COUNTIF(Data!$B214:$U214,INDEX(Pengaturan!$B$8:$B$27,L$4)))</f>
        <v>0</v>
      </c>
      <c r="M214" s="26" t="n">
        <f aca="false">IF(INDEX(Pengaturan!$B$8:$B$27,M$4)="",0,COUNTIF(Data!$B214:$U214,INDEX(Pengaturan!$B$8:$B$27,M$4)))</f>
        <v>0</v>
      </c>
      <c r="N214" s="26" t="n">
        <f aca="false">IF(INDEX(Pengaturan!$B$8:$B$27,N$4)="",0,COUNTIF(Data!$B214:$U214,INDEX(Pengaturan!$B$8:$B$27,N$4)))</f>
        <v>0</v>
      </c>
      <c r="O214" s="26" t="n">
        <f aca="false">IF(INDEX(Pengaturan!$B$8:$B$27,O$4)="",0,COUNTIF(Data!$B214:$U214,INDEX(Pengaturan!$B$8:$B$27,O$4)))</f>
        <v>0</v>
      </c>
      <c r="P214" s="26" t="n">
        <f aca="false">IF(INDEX(Pengaturan!$B$8:$B$27,P$4)="",0,COUNTIF(Data!$B214:$U214,INDEX(Pengaturan!$B$8:$B$27,P$4)))</f>
        <v>0</v>
      </c>
      <c r="Q214" s="26" t="n">
        <f aca="false">IF(INDEX(Pengaturan!$B$8:$B$27,Q$4)="",0,COUNTIF(Data!$B214:$U214,INDEX(Pengaturan!$B$8:$B$27,Q$4)))</f>
        <v>0</v>
      </c>
      <c r="R214" s="26" t="n">
        <f aca="false">IF(INDEX(Pengaturan!$B$8:$B$27,R$4)="",0,COUNTIF(Data!$B214:$U214,INDEX(Pengaturan!$B$8:$B$27,R$4)))</f>
        <v>0</v>
      </c>
      <c r="S214" s="26" t="n">
        <f aca="false">IF(INDEX(Pengaturan!$B$8:$B$27,S$4)="",0,COUNTIF(Data!$B214:$U214,INDEX(Pengaturan!$B$8:$B$27,S$4)))</f>
        <v>0</v>
      </c>
      <c r="T214" s="26" t="n">
        <f aca="false">IF(INDEX(Pengaturan!$B$8:$B$27,T$4)="",0,COUNTIF(Data!$B214:$U214,INDEX(Pengaturan!$B$8:$B$27,T$4)))</f>
        <v>0</v>
      </c>
      <c r="U214" s="26" t="n">
        <f aca="false">IF(INDEX(Pengaturan!$B$8:$B$27,U$4)="",0,COUNTIF(Data!$B214:$U214,INDEX(Pengaturan!$B$8:$B$27,U$4)))</f>
        <v>0</v>
      </c>
      <c r="V214" s="26" t="n">
        <f aca="false">COUNTA(Data!$B214:$U214)</f>
        <v>0</v>
      </c>
      <c r="W214" s="27" t="str">
        <f aca="false">IF(V214=0,"",IF(V214&lt;&gt;Hasil!$C$4,"Data kosong/tidak lengkap",IF(SUM(B214:U214)&lt;&gt;V214,"Kategori tidak dikenal","OK")))</f>
        <v/>
      </c>
      <c r="X214" s="26" t="n">
        <f aca="false">IF(OR(W214="",W214="OK"),0,1)</f>
        <v>0</v>
      </c>
    </row>
    <row r="215" customFormat="false" ht="15" hidden="false" customHeight="false" outlineLevel="0" collapsed="false">
      <c r="A215" s="26" t="n">
        <f aca="false">Data!A215</f>
        <v>210</v>
      </c>
      <c r="B215" s="26" t="n">
        <f aca="false">IF(INDEX(Pengaturan!$B$8:$B$27,B$4)="",0,COUNTIF(Data!$B215:$U215,INDEX(Pengaturan!$B$8:$B$27,B$4)))</f>
        <v>0</v>
      </c>
      <c r="C215" s="26" t="n">
        <f aca="false">IF(INDEX(Pengaturan!$B$8:$B$27,C$4)="",0,COUNTIF(Data!$B215:$U215,INDEX(Pengaturan!$B$8:$B$27,C$4)))</f>
        <v>0</v>
      </c>
      <c r="D215" s="26" t="n">
        <f aca="false">IF(INDEX(Pengaturan!$B$8:$B$27,D$4)="",0,COUNTIF(Data!$B215:$U215,INDEX(Pengaturan!$B$8:$B$27,D$4)))</f>
        <v>0</v>
      </c>
      <c r="E215" s="26" t="n">
        <f aca="false">IF(INDEX(Pengaturan!$B$8:$B$27,E$4)="",0,COUNTIF(Data!$B215:$U215,INDEX(Pengaturan!$B$8:$B$27,E$4)))</f>
        <v>0</v>
      </c>
      <c r="F215" s="26" t="n">
        <f aca="false">IF(INDEX(Pengaturan!$B$8:$B$27,F$4)="",0,COUNTIF(Data!$B215:$U215,INDEX(Pengaturan!$B$8:$B$27,F$4)))</f>
        <v>0</v>
      </c>
      <c r="G215" s="26" t="n">
        <f aca="false">IF(INDEX(Pengaturan!$B$8:$B$27,G$4)="",0,COUNTIF(Data!$B215:$U215,INDEX(Pengaturan!$B$8:$B$27,G$4)))</f>
        <v>0</v>
      </c>
      <c r="H215" s="26" t="n">
        <f aca="false">IF(INDEX(Pengaturan!$B$8:$B$27,H$4)="",0,COUNTIF(Data!$B215:$U215,INDEX(Pengaturan!$B$8:$B$27,H$4)))</f>
        <v>0</v>
      </c>
      <c r="I215" s="26" t="n">
        <f aca="false">IF(INDEX(Pengaturan!$B$8:$B$27,I$4)="",0,COUNTIF(Data!$B215:$U215,INDEX(Pengaturan!$B$8:$B$27,I$4)))</f>
        <v>0</v>
      </c>
      <c r="J215" s="26" t="n">
        <f aca="false">IF(INDEX(Pengaturan!$B$8:$B$27,J$4)="",0,COUNTIF(Data!$B215:$U215,INDEX(Pengaturan!$B$8:$B$27,J$4)))</f>
        <v>0</v>
      </c>
      <c r="K215" s="26" t="n">
        <f aca="false">IF(INDEX(Pengaturan!$B$8:$B$27,K$4)="",0,COUNTIF(Data!$B215:$U215,INDEX(Pengaturan!$B$8:$B$27,K$4)))</f>
        <v>0</v>
      </c>
      <c r="L215" s="26" t="n">
        <f aca="false">IF(INDEX(Pengaturan!$B$8:$B$27,L$4)="",0,COUNTIF(Data!$B215:$U215,INDEX(Pengaturan!$B$8:$B$27,L$4)))</f>
        <v>0</v>
      </c>
      <c r="M215" s="26" t="n">
        <f aca="false">IF(INDEX(Pengaturan!$B$8:$B$27,M$4)="",0,COUNTIF(Data!$B215:$U215,INDEX(Pengaturan!$B$8:$B$27,M$4)))</f>
        <v>0</v>
      </c>
      <c r="N215" s="26" t="n">
        <f aca="false">IF(INDEX(Pengaturan!$B$8:$B$27,N$4)="",0,COUNTIF(Data!$B215:$U215,INDEX(Pengaturan!$B$8:$B$27,N$4)))</f>
        <v>0</v>
      </c>
      <c r="O215" s="26" t="n">
        <f aca="false">IF(INDEX(Pengaturan!$B$8:$B$27,O$4)="",0,COUNTIF(Data!$B215:$U215,INDEX(Pengaturan!$B$8:$B$27,O$4)))</f>
        <v>0</v>
      </c>
      <c r="P215" s="26" t="n">
        <f aca="false">IF(INDEX(Pengaturan!$B$8:$B$27,P$4)="",0,COUNTIF(Data!$B215:$U215,INDEX(Pengaturan!$B$8:$B$27,P$4)))</f>
        <v>0</v>
      </c>
      <c r="Q215" s="26" t="n">
        <f aca="false">IF(INDEX(Pengaturan!$B$8:$B$27,Q$4)="",0,COUNTIF(Data!$B215:$U215,INDEX(Pengaturan!$B$8:$B$27,Q$4)))</f>
        <v>0</v>
      </c>
      <c r="R215" s="26" t="n">
        <f aca="false">IF(INDEX(Pengaturan!$B$8:$B$27,R$4)="",0,COUNTIF(Data!$B215:$U215,INDEX(Pengaturan!$B$8:$B$27,R$4)))</f>
        <v>0</v>
      </c>
      <c r="S215" s="26" t="n">
        <f aca="false">IF(INDEX(Pengaturan!$B$8:$B$27,S$4)="",0,COUNTIF(Data!$B215:$U215,INDEX(Pengaturan!$B$8:$B$27,S$4)))</f>
        <v>0</v>
      </c>
      <c r="T215" s="26" t="n">
        <f aca="false">IF(INDEX(Pengaturan!$B$8:$B$27,T$4)="",0,COUNTIF(Data!$B215:$U215,INDEX(Pengaturan!$B$8:$B$27,T$4)))</f>
        <v>0</v>
      </c>
      <c r="U215" s="26" t="n">
        <f aca="false">IF(INDEX(Pengaturan!$B$8:$B$27,U$4)="",0,COUNTIF(Data!$B215:$U215,INDEX(Pengaturan!$B$8:$B$27,U$4)))</f>
        <v>0</v>
      </c>
      <c r="V215" s="26" t="n">
        <f aca="false">COUNTA(Data!$B215:$U215)</f>
        <v>0</v>
      </c>
      <c r="W215" s="27" t="str">
        <f aca="false">IF(V215=0,"",IF(V215&lt;&gt;Hasil!$C$4,"Data kosong/tidak lengkap",IF(SUM(B215:U215)&lt;&gt;V215,"Kategori tidak dikenal","OK")))</f>
        <v/>
      </c>
      <c r="X215" s="26" t="n">
        <f aca="false">IF(OR(W215="",W215="OK"),0,1)</f>
        <v>0</v>
      </c>
    </row>
    <row r="216" customFormat="false" ht="15" hidden="false" customHeight="false" outlineLevel="0" collapsed="false">
      <c r="A216" s="26" t="n">
        <f aca="false">Data!A216</f>
        <v>211</v>
      </c>
      <c r="B216" s="26" t="n">
        <f aca="false">IF(INDEX(Pengaturan!$B$8:$B$27,B$4)="",0,COUNTIF(Data!$B216:$U216,INDEX(Pengaturan!$B$8:$B$27,B$4)))</f>
        <v>0</v>
      </c>
      <c r="C216" s="26" t="n">
        <f aca="false">IF(INDEX(Pengaturan!$B$8:$B$27,C$4)="",0,COUNTIF(Data!$B216:$U216,INDEX(Pengaturan!$B$8:$B$27,C$4)))</f>
        <v>0</v>
      </c>
      <c r="D216" s="26" t="n">
        <f aca="false">IF(INDEX(Pengaturan!$B$8:$B$27,D$4)="",0,COUNTIF(Data!$B216:$U216,INDEX(Pengaturan!$B$8:$B$27,D$4)))</f>
        <v>0</v>
      </c>
      <c r="E216" s="26" t="n">
        <f aca="false">IF(INDEX(Pengaturan!$B$8:$B$27,E$4)="",0,COUNTIF(Data!$B216:$U216,INDEX(Pengaturan!$B$8:$B$27,E$4)))</f>
        <v>0</v>
      </c>
      <c r="F216" s="26" t="n">
        <f aca="false">IF(INDEX(Pengaturan!$B$8:$B$27,F$4)="",0,COUNTIF(Data!$B216:$U216,INDEX(Pengaturan!$B$8:$B$27,F$4)))</f>
        <v>0</v>
      </c>
      <c r="G216" s="26" t="n">
        <f aca="false">IF(INDEX(Pengaturan!$B$8:$B$27,G$4)="",0,COUNTIF(Data!$B216:$U216,INDEX(Pengaturan!$B$8:$B$27,G$4)))</f>
        <v>0</v>
      </c>
      <c r="H216" s="26" t="n">
        <f aca="false">IF(INDEX(Pengaturan!$B$8:$B$27,H$4)="",0,COUNTIF(Data!$B216:$U216,INDEX(Pengaturan!$B$8:$B$27,H$4)))</f>
        <v>0</v>
      </c>
      <c r="I216" s="26" t="n">
        <f aca="false">IF(INDEX(Pengaturan!$B$8:$B$27,I$4)="",0,COUNTIF(Data!$B216:$U216,INDEX(Pengaturan!$B$8:$B$27,I$4)))</f>
        <v>0</v>
      </c>
      <c r="J216" s="26" t="n">
        <f aca="false">IF(INDEX(Pengaturan!$B$8:$B$27,J$4)="",0,COUNTIF(Data!$B216:$U216,INDEX(Pengaturan!$B$8:$B$27,J$4)))</f>
        <v>0</v>
      </c>
      <c r="K216" s="26" t="n">
        <f aca="false">IF(INDEX(Pengaturan!$B$8:$B$27,K$4)="",0,COUNTIF(Data!$B216:$U216,INDEX(Pengaturan!$B$8:$B$27,K$4)))</f>
        <v>0</v>
      </c>
      <c r="L216" s="26" t="n">
        <f aca="false">IF(INDEX(Pengaturan!$B$8:$B$27,L$4)="",0,COUNTIF(Data!$B216:$U216,INDEX(Pengaturan!$B$8:$B$27,L$4)))</f>
        <v>0</v>
      </c>
      <c r="M216" s="26" t="n">
        <f aca="false">IF(INDEX(Pengaturan!$B$8:$B$27,M$4)="",0,COUNTIF(Data!$B216:$U216,INDEX(Pengaturan!$B$8:$B$27,M$4)))</f>
        <v>0</v>
      </c>
      <c r="N216" s="26" t="n">
        <f aca="false">IF(INDEX(Pengaturan!$B$8:$B$27,N$4)="",0,COUNTIF(Data!$B216:$U216,INDEX(Pengaturan!$B$8:$B$27,N$4)))</f>
        <v>0</v>
      </c>
      <c r="O216" s="26" t="n">
        <f aca="false">IF(INDEX(Pengaturan!$B$8:$B$27,O$4)="",0,COUNTIF(Data!$B216:$U216,INDEX(Pengaturan!$B$8:$B$27,O$4)))</f>
        <v>0</v>
      </c>
      <c r="P216" s="26" t="n">
        <f aca="false">IF(INDEX(Pengaturan!$B$8:$B$27,P$4)="",0,COUNTIF(Data!$B216:$U216,INDEX(Pengaturan!$B$8:$B$27,P$4)))</f>
        <v>0</v>
      </c>
      <c r="Q216" s="26" t="n">
        <f aca="false">IF(INDEX(Pengaturan!$B$8:$B$27,Q$4)="",0,COUNTIF(Data!$B216:$U216,INDEX(Pengaturan!$B$8:$B$27,Q$4)))</f>
        <v>0</v>
      </c>
      <c r="R216" s="26" t="n">
        <f aca="false">IF(INDEX(Pengaturan!$B$8:$B$27,R$4)="",0,COUNTIF(Data!$B216:$U216,INDEX(Pengaturan!$B$8:$B$27,R$4)))</f>
        <v>0</v>
      </c>
      <c r="S216" s="26" t="n">
        <f aca="false">IF(INDEX(Pengaturan!$B$8:$B$27,S$4)="",0,COUNTIF(Data!$B216:$U216,INDEX(Pengaturan!$B$8:$B$27,S$4)))</f>
        <v>0</v>
      </c>
      <c r="T216" s="26" t="n">
        <f aca="false">IF(INDEX(Pengaturan!$B$8:$B$27,T$4)="",0,COUNTIF(Data!$B216:$U216,INDEX(Pengaturan!$B$8:$B$27,T$4)))</f>
        <v>0</v>
      </c>
      <c r="U216" s="26" t="n">
        <f aca="false">IF(INDEX(Pengaturan!$B$8:$B$27,U$4)="",0,COUNTIF(Data!$B216:$U216,INDEX(Pengaturan!$B$8:$B$27,U$4)))</f>
        <v>0</v>
      </c>
      <c r="V216" s="26" t="n">
        <f aca="false">COUNTA(Data!$B216:$U216)</f>
        <v>0</v>
      </c>
      <c r="W216" s="27" t="str">
        <f aca="false">IF(V216=0,"",IF(V216&lt;&gt;Hasil!$C$4,"Data kosong/tidak lengkap",IF(SUM(B216:U216)&lt;&gt;V216,"Kategori tidak dikenal","OK")))</f>
        <v/>
      </c>
      <c r="X216" s="26" t="n">
        <f aca="false">IF(OR(W216="",W216="OK"),0,1)</f>
        <v>0</v>
      </c>
    </row>
    <row r="217" customFormat="false" ht="15" hidden="false" customHeight="false" outlineLevel="0" collapsed="false">
      <c r="A217" s="26" t="n">
        <f aca="false">Data!A217</f>
        <v>212</v>
      </c>
      <c r="B217" s="26" t="n">
        <f aca="false">IF(INDEX(Pengaturan!$B$8:$B$27,B$4)="",0,COUNTIF(Data!$B217:$U217,INDEX(Pengaturan!$B$8:$B$27,B$4)))</f>
        <v>0</v>
      </c>
      <c r="C217" s="26" t="n">
        <f aca="false">IF(INDEX(Pengaturan!$B$8:$B$27,C$4)="",0,COUNTIF(Data!$B217:$U217,INDEX(Pengaturan!$B$8:$B$27,C$4)))</f>
        <v>0</v>
      </c>
      <c r="D217" s="26" t="n">
        <f aca="false">IF(INDEX(Pengaturan!$B$8:$B$27,D$4)="",0,COUNTIF(Data!$B217:$U217,INDEX(Pengaturan!$B$8:$B$27,D$4)))</f>
        <v>0</v>
      </c>
      <c r="E217" s="26" t="n">
        <f aca="false">IF(INDEX(Pengaturan!$B$8:$B$27,E$4)="",0,COUNTIF(Data!$B217:$U217,INDEX(Pengaturan!$B$8:$B$27,E$4)))</f>
        <v>0</v>
      </c>
      <c r="F217" s="26" t="n">
        <f aca="false">IF(INDEX(Pengaturan!$B$8:$B$27,F$4)="",0,COUNTIF(Data!$B217:$U217,INDEX(Pengaturan!$B$8:$B$27,F$4)))</f>
        <v>0</v>
      </c>
      <c r="G217" s="26" t="n">
        <f aca="false">IF(INDEX(Pengaturan!$B$8:$B$27,G$4)="",0,COUNTIF(Data!$B217:$U217,INDEX(Pengaturan!$B$8:$B$27,G$4)))</f>
        <v>0</v>
      </c>
      <c r="H217" s="26" t="n">
        <f aca="false">IF(INDEX(Pengaturan!$B$8:$B$27,H$4)="",0,COUNTIF(Data!$B217:$U217,INDEX(Pengaturan!$B$8:$B$27,H$4)))</f>
        <v>0</v>
      </c>
      <c r="I217" s="26" t="n">
        <f aca="false">IF(INDEX(Pengaturan!$B$8:$B$27,I$4)="",0,COUNTIF(Data!$B217:$U217,INDEX(Pengaturan!$B$8:$B$27,I$4)))</f>
        <v>0</v>
      </c>
      <c r="J217" s="26" t="n">
        <f aca="false">IF(INDEX(Pengaturan!$B$8:$B$27,J$4)="",0,COUNTIF(Data!$B217:$U217,INDEX(Pengaturan!$B$8:$B$27,J$4)))</f>
        <v>0</v>
      </c>
      <c r="K217" s="26" t="n">
        <f aca="false">IF(INDEX(Pengaturan!$B$8:$B$27,K$4)="",0,COUNTIF(Data!$B217:$U217,INDEX(Pengaturan!$B$8:$B$27,K$4)))</f>
        <v>0</v>
      </c>
      <c r="L217" s="26" t="n">
        <f aca="false">IF(INDEX(Pengaturan!$B$8:$B$27,L$4)="",0,COUNTIF(Data!$B217:$U217,INDEX(Pengaturan!$B$8:$B$27,L$4)))</f>
        <v>0</v>
      </c>
      <c r="M217" s="26" t="n">
        <f aca="false">IF(INDEX(Pengaturan!$B$8:$B$27,M$4)="",0,COUNTIF(Data!$B217:$U217,INDEX(Pengaturan!$B$8:$B$27,M$4)))</f>
        <v>0</v>
      </c>
      <c r="N217" s="26" t="n">
        <f aca="false">IF(INDEX(Pengaturan!$B$8:$B$27,N$4)="",0,COUNTIF(Data!$B217:$U217,INDEX(Pengaturan!$B$8:$B$27,N$4)))</f>
        <v>0</v>
      </c>
      <c r="O217" s="26" t="n">
        <f aca="false">IF(INDEX(Pengaturan!$B$8:$B$27,O$4)="",0,COUNTIF(Data!$B217:$U217,INDEX(Pengaturan!$B$8:$B$27,O$4)))</f>
        <v>0</v>
      </c>
      <c r="P217" s="26" t="n">
        <f aca="false">IF(INDEX(Pengaturan!$B$8:$B$27,P$4)="",0,COUNTIF(Data!$B217:$U217,INDEX(Pengaturan!$B$8:$B$27,P$4)))</f>
        <v>0</v>
      </c>
      <c r="Q217" s="26" t="n">
        <f aca="false">IF(INDEX(Pengaturan!$B$8:$B$27,Q$4)="",0,COUNTIF(Data!$B217:$U217,INDEX(Pengaturan!$B$8:$B$27,Q$4)))</f>
        <v>0</v>
      </c>
      <c r="R217" s="26" t="n">
        <f aca="false">IF(INDEX(Pengaturan!$B$8:$B$27,R$4)="",0,COUNTIF(Data!$B217:$U217,INDEX(Pengaturan!$B$8:$B$27,R$4)))</f>
        <v>0</v>
      </c>
      <c r="S217" s="26" t="n">
        <f aca="false">IF(INDEX(Pengaturan!$B$8:$B$27,S$4)="",0,COUNTIF(Data!$B217:$U217,INDEX(Pengaturan!$B$8:$B$27,S$4)))</f>
        <v>0</v>
      </c>
      <c r="T217" s="26" t="n">
        <f aca="false">IF(INDEX(Pengaturan!$B$8:$B$27,T$4)="",0,COUNTIF(Data!$B217:$U217,INDEX(Pengaturan!$B$8:$B$27,T$4)))</f>
        <v>0</v>
      </c>
      <c r="U217" s="26" t="n">
        <f aca="false">IF(INDEX(Pengaturan!$B$8:$B$27,U$4)="",0,COUNTIF(Data!$B217:$U217,INDEX(Pengaturan!$B$8:$B$27,U$4)))</f>
        <v>0</v>
      </c>
      <c r="V217" s="26" t="n">
        <f aca="false">COUNTA(Data!$B217:$U217)</f>
        <v>0</v>
      </c>
      <c r="W217" s="27" t="str">
        <f aca="false">IF(V217=0,"",IF(V217&lt;&gt;Hasil!$C$4,"Data kosong/tidak lengkap",IF(SUM(B217:U217)&lt;&gt;V217,"Kategori tidak dikenal","OK")))</f>
        <v/>
      </c>
      <c r="X217" s="26" t="n">
        <f aca="false">IF(OR(W217="",W217="OK"),0,1)</f>
        <v>0</v>
      </c>
    </row>
    <row r="218" customFormat="false" ht="15" hidden="false" customHeight="false" outlineLevel="0" collapsed="false">
      <c r="A218" s="26" t="n">
        <f aca="false">Data!A218</f>
        <v>213</v>
      </c>
      <c r="B218" s="26" t="n">
        <f aca="false">IF(INDEX(Pengaturan!$B$8:$B$27,B$4)="",0,COUNTIF(Data!$B218:$U218,INDEX(Pengaturan!$B$8:$B$27,B$4)))</f>
        <v>0</v>
      </c>
      <c r="C218" s="26" t="n">
        <f aca="false">IF(INDEX(Pengaturan!$B$8:$B$27,C$4)="",0,COUNTIF(Data!$B218:$U218,INDEX(Pengaturan!$B$8:$B$27,C$4)))</f>
        <v>0</v>
      </c>
      <c r="D218" s="26" t="n">
        <f aca="false">IF(INDEX(Pengaturan!$B$8:$B$27,D$4)="",0,COUNTIF(Data!$B218:$U218,INDEX(Pengaturan!$B$8:$B$27,D$4)))</f>
        <v>0</v>
      </c>
      <c r="E218" s="26" t="n">
        <f aca="false">IF(INDEX(Pengaturan!$B$8:$B$27,E$4)="",0,COUNTIF(Data!$B218:$U218,INDEX(Pengaturan!$B$8:$B$27,E$4)))</f>
        <v>0</v>
      </c>
      <c r="F218" s="26" t="n">
        <f aca="false">IF(INDEX(Pengaturan!$B$8:$B$27,F$4)="",0,COUNTIF(Data!$B218:$U218,INDEX(Pengaturan!$B$8:$B$27,F$4)))</f>
        <v>0</v>
      </c>
      <c r="G218" s="26" t="n">
        <f aca="false">IF(INDEX(Pengaturan!$B$8:$B$27,G$4)="",0,COUNTIF(Data!$B218:$U218,INDEX(Pengaturan!$B$8:$B$27,G$4)))</f>
        <v>0</v>
      </c>
      <c r="H218" s="26" t="n">
        <f aca="false">IF(INDEX(Pengaturan!$B$8:$B$27,H$4)="",0,COUNTIF(Data!$B218:$U218,INDEX(Pengaturan!$B$8:$B$27,H$4)))</f>
        <v>0</v>
      </c>
      <c r="I218" s="26" t="n">
        <f aca="false">IF(INDEX(Pengaturan!$B$8:$B$27,I$4)="",0,COUNTIF(Data!$B218:$U218,INDEX(Pengaturan!$B$8:$B$27,I$4)))</f>
        <v>0</v>
      </c>
      <c r="J218" s="26" t="n">
        <f aca="false">IF(INDEX(Pengaturan!$B$8:$B$27,J$4)="",0,COUNTIF(Data!$B218:$U218,INDEX(Pengaturan!$B$8:$B$27,J$4)))</f>
        <v>0</v>
      </c>
      <c r="K218" s="26" t="n">
        <f aca="false">IF(INDEX(Pengaturan!$B$8:$B$27,K$4)="",0,COUNTIF(Data!$B218:$U218,INDEX(Pengaturan!$B$8:$B$27,K$4)))</f>
        <v>0</v>
      </c>
      <c r="L218" s="26" t="n">
        <f aca="false">IF(INDEX(Pengaturan!$B$8:$B$27,L$4)="",0,COUNTIF(Data!$B218:$U218,INDEX(Pengaturan!$B$8:$B$27,L$4)))</f>
        <v>0</v>
      </c>
      <c r="M218" s="26" t="n">
        <f aca="false">IF(INDEX(Pengaturan!$B$8:$B$27,M$4)="",0,COUNTIF(Data!$B218:$U218,INDEX(Pengaturan!$B$8:$B$27,M$4)))</f>
        <v>0</v>
      </c>
      <c r="N218" s="26" t="n">
        <f aca="false">IF(INDEX(Pengaturan!$B$8:$B$27,N$4)="",0,COUNTIF(Data!$B218:$U218,INDEX(Pengaturan!$B$8:$B$27,N$4)))</f>
        <v>0</v>
      </c>
      <c r="O218" s="26" t="n">
        <f aca="false">IF(INDEX(Pengaturan!$B$8:$B$27,O$4)="",0,COUNTIF(Data!$B218:$U218,INDEX(Pengaturan!$B$8:$B$27,O$4)))</f>
        <v>0</v>
      </c>
      <c r="P218" s="26" t="n">
        <f aca="false">IF(INDEX(Pengaturan!$B$8:$B$27,P$4)="",0,COUNTIF(Data!$B218:$U218,INDEX(Pengaturan!$B$8:$B$27,P$4)))</f>
        <v>0</v>
      </c>
      <c r="Q218" s="26" t="n">
        <f aca="false">IF(INDEX(Pengaturan!$B$8:$B$27,Q$4)="",0,COUNTIF(Data!$B218:$U218,INDEX(Pengaturan!$B$8:$B$27,Q$4)))</f>
        <v>0</v>
      </c>
      <c r="R218" s="26" t="n">
        <f aca="false">IF(INDEX(Pengaturan!$B$8:$B$27,R$4)="",0,COUNTIF(Data!$B218:$U218,INDEX(Pengaturan!$B$8:$B$27,R$4)))</f>
        <v>0</v>
      </c>
      <c r="S218" s="26" t="n">
        <f aca="false">IF(INDEX(Pengaturan!$B$8:$B$27,S$4)="",0,COUNTIF(Data!$B218:$U218,INDEX(Pengaturan!$B$8:$B$27,S$4)))</f>
        <v>0</v>
      </c>
      <c r="T218" s="26" t="n">
        <f aca="false">IF(INDEX(Pengaturan!$B$8:$B$27,T$4)="",0,COUNTIF(Data!$B218:$U218,INDEX(Pengaturan!$B$8:$B$27,T$4)))</f>
        <v>0</v>
      </c>
      <c r="U218" s="26" t="n">
        <f aca="false">IF(INDEX(Pengaturan!$B$8:$B$27,U$4)="",0,COUNTIF(Data!$B218:$U218,INDEX(Pengaturan!$B$8:$B$27,U$4)))</f>
        <v>0</v>
      </c>
      <c r="V218" s="26" t="n">
        <f aca="false">COUNTA(Data!$B218:$U218)</f>
        <v>0</v>
      </c>
      <c r="W218" s="27" t="str">
        <f aca="false">IF(V218=0,"",IF(V218&lt;&gt;Hasil!$C$4,"Data kosong/tidak lengkap",IF(SUM(B218:U218)&lt;&gt;V218,"Kategori tidak dikenal","OK")))</f>
        <v/>
      </c>
      <c r="X218" s="26" t="n">
        <f aca="false">IF(OR(W218="",W218="OK"),0,1)</f>
        <v>0</v>
      </c>
    </row>
    <row r="219" customFormat="false" ht="15" hidden="false" customHeight="false" outlineLevel="0" collapsed="false">
      <c r="A219" s="26" t="n">
        <f aca="false">Data!A219</f>
        <v>214</v>
      </c>
      <c r="B219" s="26" t="n">
        <f aca="false">IF(INDEX(Pengaturan!$B$8:$B$27,B$4)="",0,COUNTIF(Data!$B219:$U219,INDEX(Pengaturan!$B$8:$B$27,B$4)))</f>
        <v>0</v>
      </c>
      <c r="C219" s="26" t="n">
        <f aca="false">IF(INDEX(Pengaturan!$B$8:$B$27,C$4)="",0,COUNTIF(Data!$B219:$U219,INDEX(Pengaturan!$B$8:$B$27,C$4)))</f>
        <v>0</v>
      </c>
      <c r="D219" s="26" t="n">
        <f aca="false">IF(INDEX(Pengaturan!$B$8:$B$27,D$4)="",0,COUNTIF(Data!$B219:$U219,INDEX(Pengaturan!$B$8:$B$27,D$4)))</f>
        <v>0</v>
      </c>
      <c r="E219" s="26" t="n">
        <f aca="false">IF(INDEX(Pengaturan!$B$8:$B$27,E$4)="",0,COUNTIF(Data!$B219:$U219,INDEX(Pengaturan!$B$8:$B$27,E$4)))</f>
        <v>0</v>
      </c>
      <c r="F219" s="26" t="n">
        <f aca="false">IF(INDEX(Pengaturan!$B$8:$B$27,F$4)="",0,COUNTIF(Data!$B219:$U219,INDEX(Pengaturan!$B$8:$B$27,F$4)))</f>
        <v>0</v>
      </c>
      <c r="G219" s="26" t="n">
        <f aca="false">IF(INDEX(Pengaturan!$B$8:$B$27,G$4)="",0,COUNTIF(Data!$B219:$U219,INDEX(Pengaturan!$B$8:$B$27,G$4)))</f>
        <v>0</v>
      </c>
      <c r="H219" s="26" t="n">
        <f aca="false">IF(INDEX(Pengaturan!$B$8:$B$27,H$4)="",0,COUNTIF(Data!$B219:$U219,INDEX(Pengaturan!$B$8:$B$27,H$4)))</f>
        <v>0</v>
      </c>
      <c r="I219" s="26" t="n">
        <f aca="false">IF(INDEX(Pengaturan!$B$8:$B$27,I$4)="",0,COUNTIF(Data!$B219:$U219,INDEX(Pengaturan!$B$8:$B$27,I$4)))</f>
        <v>0</v>
      </c>
      <c r="J219" s="26" t="n">
        <f aca="false">IF(INDEX(Pengaturan!$B$8:$B$27,J$4)="",0,COUNTIF(Data!$B219:$U219,INDEX(Pengaturan!$B$8:$B$27,J$4)))</f>
        <v>0</v>
      </c>
      <c r="K219" s="26" t="n">
        <f aca="false">IF(INDEX(Pengaturan!$B$8:$B$27,K$4)="",0,COUNTIF(Data!$B219:$U219,INDEX(Pengaturan!$B$8:$B$27,K$4)))</f>
        <v>0</v>
      </c>
      <c r="L219" s="26" t="n">
        <f aca="false">IF(INDEX(Pengaturan!$B$8:$B$27,L$4)="",0,COUNTIF(Data!$B219:$U219,INDEX(Pengaturan!$B$8:$B$27,L$4)))</f>
        <v>0</v>
      </c>
      <c r="M219" s="26" t="n">
        <f aca="false">IF(INDEX(Pengaturan!$B$8:$B$27,M$4)="",0,COUNTIF(Data!$B219:$U219,INDEX(Pengaturan!$B$8:$B$27,M$4)))</f>
        <v>0</v>
      </c>
      <c r="N219" s="26" t="n">
        <f aca="false">IF(INDEX(Pengaturan!$B$8:$B$27,N$4)="",0,COUNTIF(Data!$B219:$U219,INDEX(Pengaturan!$B$8:$B$27,N$4)))</f>
        <v>0</v>
      </c>
      <c r="O219" s="26" t="n">
        <f aca="false">IF(INDEX(Pengaturan!$B$8:$B$27,O$4)="",0,COUNTIF(Data!$B219:$U219,INDEX(Pengaturan!$B$8:$B$27,O$4)))</f>
        <v>0</v>
      </c>
      <c r="P219" s="26" t="n">
        <f aca="false">IF(INDEX(Pengaturan!$B$8:$B$27,P$4)="",0,COUNTIF(Data!$B219:$U219,INDEX(Pengaturan!$B$8:$B$27,P$4)))</f>
        <v>0</v>
      </c>
      <c r="Q219" s="26" t="n">
        <f aca="false">IF(INDEX(Pengaturan!$B$8:$B$27,Q$4)="",0,COUNTIF(Data!$B219:$U219,INDEX(Pengaturan!$B$8:$B$27,Q$4)))</f>
        <v>0</v>
      </c>
      <c r="R219" s="26" t="n">
        <f aca="false">IF(INDEX(Pengaturan!$B$8:$B$27,R$4)="",0,COUNTIF(Data!$B219:$U219,INDEX(Pengaturan!$B$8:$B$27,R$4)))</f>
        <v>0</v>
      </c>
      <c r="S219" s="26" t="n">
        <f aca="false">IF(INDEX(Pengaturan!$B$8:$B$27,S$4)="",0,COUNTIF(Data!$B219:$U219,INDEX(Pengaturan!$B$8:$B$27,S$4)))</f>
        <v>0</v>
      </c>
      <c r="T219" s="26" t="n">
        <f aca="false">IF(INDEX(Pengaturan!$B$8:$B$27,T$4)="",0,COUNTIF(Data!$B219:$U219,INDEX(Pengaturan!$B$8:$B$27,T$4)))</f>
        <v>0</v>
      </c>
      <c r="U219" s="26" t="n">
        <f aca="false">IF(INDEX(Pengaturan!$B$8:$B$27,U$4)="",0,COUNTIF(Data!$B219:$U219,INDEX(Pengaturan!$B$8:$B$27,U$4)))</f>
        <v>0</v>
      </c>
      <c r="V219" s="26" t="n">
        <f aca="false">COUNTA(Data!$B219:$U219)</f>
        <v>0</v>
      </c>
      <c r="W219" s="27" t="str">
        <f aca="false">IF(V219=0,"",IF(V219&lt;&gt;Hasil!$C$4,"Data kosong/tidak lengkap",IF(SUM(B219:U219)&lt;&gt;V219,"Kategori tidak dikenal","OK")))</f>
        <v/>
      </c>
      <c r="X219" s="26" t="n">
        <f aca="false">IF(OR(W219="",W219="OK"),0,1)</f>
        <v>0</v>
      </c>
    </row>
    <row r="220" customFormat="false" ht="15" hidden="false" customHeight="false" outlineLevel="0" collapsed="false">
      <c r="A220" s="26" t="n">
        <f aca="false">Data!A220</f>
        <v>215</v>
      </c>
      <c r="B220" s="26" t="n">
        <f aca="false">IF(INDEX(Pengaturan!$B$8:$B$27,B$4)="",0,COUNTIF(Data!$B220:$U220,INDEX(Pengaturan!$B$8:$B$27,B$4)))</f>
        <v>0</v>
      </c>
      <c r="C220" s="26" t="n">
        <f aca="false">IF(INDEX(Pengaturan!$B$8:$B$27,C$4)="",0,COUNTIF(Data!$B220:$U220,INDEX(Pengaturan!$B$8:$B$27,C$4)))</f>
        <v>0</v>
      </c>
      <c r="D220" s="26" t="n">
        <f aca="false">IF(INDEX(Pengaturan!$B$8:$B$27,D$4)="",0,COUNTIF(Data!$B220:$U220,INDEX(Pengaturan!$B$8:$B$27,D$4)))</f>
        <v>0</v>
      </c>
      <c r="E220" s="26" t="n">
        <f aca="false">IF(INDEX(Pengaturan!$B$8:$B$27,E$4)="",0,COUNTIF(Data!$B220:$U220,INDEX(Pengaturan!$B$8:$B$27,E$4)))</f>
        <v>0</v>
      </c>
      <c r="F220" s="26" t="n">
        <f aca="false">IF(INDEX(Pengaturan!$B$8:$B$27,F$4)="",0,COUNTIF(Data!$B220:$U220,INDEX(Pengaturan!$B$8:$B$27,F$4)))</f>
        <v>0</v>
      </c>
      <c r="G220" s="26" t="n">
        <f aca="false">IF(INDEX(Pengaturan!$B$8:$B$27,G$4)="",0,COUNTIF(Data!$B220:$U220,INDEX(Pengaturan!$B$8:$B$27,G$4)))</f>
        <v>0</v>
      </c>
      <c r="H220" s="26" t="n">
        <f aca="false">IF(INDEX(Pengaturan!$B$8:$B$27,H$4)="",0,COUNTIF(Data!$B220:$U220,INDEX(Pengaturan!$B$8:$B$27,H$4)))</f>
        <v>0</v>
      </c>
      <c r="I220" s="26" t="n">
        <f aca="false">IF(INDEX(Pengaturan!$B$8:$B$27,I$4)="",0,COUNTIF(Data!$B220:$U220,INDEX(Pengaturan!$B$8:$B$27,I$4)))</f>
        <v>0</v>
      </c>
      <c r="J220" s="26" t="n">
        <f aca="false">IF(INDEX(Pengaturan!$B$8:$B$27,J$4)="",0,COUNTIF(Data!$B220:$U220,INDEX(Pengaturan!$B$8:$B$27,J$4)))</f>
        <v>0</v>
      </c>
      <c r="K220" s="26" t="n">
        <f aca="false">IF(INDEX(Pengaturan!$B$8:$B$27,K$4)="",0,COUNTIF(Data!$B220:$U220,INDEX(Pengaturan!$B$8:$B$27,K$4)))</f>
        <v>0</v>
      </c>
      <c r="L220" s="26" t="n">
        <f aca="false">IF(INDEX(Pengaturan!$B$8:$B$27,L$4)="",0,COUNTIF(Data!$B220:$U220,INDEX(Pengaturan!$B$8:$B$27,L$4)))</f>
        <v>0</v>
      </c>
      <c r="M220" s="26" t="n">
        <f aca="false">IF(INDEX(Pengaturan!$B$8:$B$27,M$4)="",0,COUNTIF(Data!$B220:$U220,INDEX(Pengaturan!$B$8:$B$27,M$4)))</f>
        <v>0</v>
      </c>
      <c r="N220" s="26" t="n">
        <f aca="false">IF(INDEX(Pengaturan!$B$8:$B$27,N$4)="",0,COUNTIF(Data!$B220:$U220,INDEX(Pengaturan!$B$8:$B$27,N$4)))</f>
        <v>0</v>
      </c>
      <c r="O220" s="26" t="n">
        <f aca="false">IF(INDEX(Pengaturan!$B$8:$B$27,O$4)="",0,COUNTIF(Data!$B220:$U220,INDEX(Pengaturan!$B$8:$B$27,O$4)))</f>
        <v>0</v>
      </c>
      <c r="P220" s="26" t="n">
        <f aca="false">IF(INDEX(Pengaturan!$B$8:$B$27,P$4)="",0,COUNTIF(Data!$B220:$U220,INDEX(Pengaturan!$B$8:$B$27,P$4)))</f>
        <v>0</v>
      </c>
      <c r="Q220" s="26" t="n">
        <f aca="false">IF(INDEX(Pengaturan!$B$8:$B$27,Q$4)="",0,COUNTIF(Data!$B220:$U220,INDEX(Pengaturan!$B$8:$B$27,Q$4)))</f>
        <v>0</v>
      </c>
      <c r="R220" s="26" t="n">
        <f aca="false">IF(INDEX(Pengaturan!$B$8:$B$27,R$4)="",0,COUNTIF(Data!$B220:$U220,INDEX(Pengaturan!$B$8:$B$27,R$4)))</f>
        <v>0</v>
      </c>
      <c r="S220" s="26" t="n">
        <f aca="false">IF(INDEX(Pengaturan!$B$8:$B$27,S$4)="",0,COUNTIF(Data!$B220:$U220,INDEX(Pengaturan!$B$8:$B$27,S$4)))</f>
        <v>0</v>
      </c>
      <c r="T220" s="26" t="n">
        <f aca="false">IF(INDEX(Pengaturan!$B$8:$B$27,T$4)="",0,COUNTIF(Data!$B220:$U220,INDEX(Pengaturan!$B$8:$B$27,T$4)))</f>
        <v>0</v>
      </c>
      <c r="U220" s="26" t="n">
        <f aca="false">IF(INDEX(Pengaturan!$B$8:$B$27,U$4)="",0,COUNTIF(Data!$B220:$U220,INDEX(Pengaturan!$B$8:$B$27,U$4)))</f>
        <v>0</v>
      </c>
      <c r="V220" s="26" t="n">
        <f aca="false">COUNTA(Data!$B220:$U220)</f>
        <v>0</v>
      </c>
      <c r="W220" s="27" t="str">
        <f aca="false">IF(V220=0,"",IF(V220&lt;&gt;Hasil!$C$4,"Data kosong/tidak lengkap",IF(SUM(B220:U220)&lt;&gt;V220,"Kategori tidak dikenal","OK")))</f>
        <v/>
      </c>
      <c r="X220" s="26" t="n">
        <f aca="false">IF(OR(W220="",W220="OK"),0,1)</f>
        <v>0</v>
      </c>
    </row>
    <row r="221" customFormat="false" ht="15" hidden="false" customHeight="false" outlineLevel="0" collapsed="false">
      <c r="A221" s="26" t="n">
        <f aca="false">Data!A221</f>
        <v>216</v>
      </c>
      <c r="B221" s="26" t="n">
        <f aca="false">IF(INDEX(Pengaturan!$B$8:$B$27,B$4)="",0,COUNTIF(Data!$B221:$U221,INDEX(Pengaturan!$B$8:$B$27,B$4)))</f>
        <v>0</v>
      </c>
      <c r="C221" s="26" t="n">
        <f aca="false">IF(INDEX(Pengaturan!$B$8:$B$27,C$4)="",0,COUNTIF(Data!$B221:$U221,INDEX(Pengaturan!$B$8:$B$27,C$4)))</f>
        <v>0</v>
      </c>
      <c r="D221" s="26" t="n">
        <f aca="false">IF(INDEX(Pengaturan!$B$8:$B$27,D$4)="",0,COUNTIF(Data!$B221:$U221,INDEX(Pengaturan!$B$8:$B$27,D$4)))</f>
        <v>0</v>
      </c>
      <c r="E221" s="26" t="n">
        <f aca="false">IF(INDEX(Pengaturan!$B$8:$B$27,E$4)="",0,COUNTIF(Data!$B221:$U221,INDEX(Pengaturan!$B$8:$B$27,E$4)))</f>
        <v>0</v>
      </c>
      <c r="F221" s="26" t="n">
        <f aca="false">IF(INDEX(Pengaturan!$B$8:$B$27,F$4)="",0,COUNTIF(Data!$B221:$U221,INDEX(Pengaturan!$B$8:$B$27,F$4)))</f>
        <v>0</v>
      </c>
      <c r="G221" s="26" t="n">
        <f aca="false">IF(INDEX(Pengaturan!$B$8:$B$27,G$4)="",0,COUNTIF(Data!$B221:$U221,INDEX(Pengaturan!$B$8:$B$27,G$4)))</f>
        <v>0</v>
      </c>
      <c r="H221" s="26" t="n">
        <f aca="false">IF(INDEX(Pengaturan!$B$8:$B$27,H$4)="",0,COUNTIF(Data!$B221:$U221,INDEX(Pengaturan!$B$8:$B$27,H$4)))</f>
        <v>0</v>
      </c>
      <c r="I221" s="26" t="n">
        <f aca="false">IF(INDEX(Pengaturan!$B$8:$B$27,I$4)="",0,COUNTIF(Data!$B221:$U221,INDEX(Pengaturan!$B$8:$B$27,I$4)))</f>
        <v>0</v>
      </c>
      <c r="J221" s="26" t="n">
        <f aca="false">IF(INDEX(Pengaturan!$B$8:$B$27,J$4)="",0,COUNTIF(Data!$B221:$U221,INDEX(Pengaturan!$B$8:$B$27,J$4)))</f>
        <v>0</v>
      </c>
      <c r="K221" s="26" t="n">
        <f aca="false">IF(INDEX(Pengaturan!$B$8:$B$27,K$4)="",0,COUNTIF(Data!$B221:$U221,INDEX(Pengaturan!$B$8:$B$27,K$4)))</f>
        <v>0</v>
      </c>
      <c r="L221" s="26" t="n">
        <f aca="false">IF(INDEX(Pengaturan!$B$8:$B$27,L$4)="",0,COUNTIF(Data!$B221:$U221,INDEX(Pengaturan!$B$8:$B$27,L$4)))</f>
        <v>0</v>
      </c>
      <c r="M221" s="26" t="n">
        <f aca="false">IF(INDEX(Pengaturan!$B$8:$B$27,M$4)="",0,COUNTIF(Data!$B221:$U221,INDEX(Pengaturan!$B$8:$B$27,M$4)))</f>
        <v>0</v>
      </c>
      <c r="N221" s="26" t="n">
        <f aca="false">IF(INDEX(Pengaturan!$B$8:$B$27,N$4)="",0,COUNTIF(Data!$B221:$U221,INDEX(Pengaturan!$B$8:$B$27,N$4)))</f>
        <v>0</v>
      </c>
      <c r="O221" s="26" t="n">
        <f aca="false">IF(INDEX(Pengaturan!$B$8:$B$27,O$4)="",0,COUNTIF(Data!$B221:$U221,INDEX(Pengaturan!$B$8:$B$27,O$4)))</f>
        <v>0</v>
      </c>
      <c r="P221" s="26" t="n">
        <f aca="false">IF(INDEX(Pengaturan!$B$8:$B$27,P$4)="",0,COUNTIF(Data!$B221:$U221,INDEX(Pengaturan!$B$8:$B$27,P$4)))</f>
        <v>0</v>
      </c>
      <c r="Q221" s="26" t="n">
        <f aca="false">IF(INDEX(Pengaturan!$B$8:$B$27,Q$4)="",0,COUNTIF(Data!$B221:$U221,INDEX(Pengaturan!$B$8:$B$27,Q$4)))</f>
        <v>0</v>
      </c>
      <c r="R221" s="26" t="n">
        <f aca="false">IF(INDEX(Pengaturan!$B$8:$B$27,R$4)="",0,COUNTIF(Data!$B221:$U221,INDEX(Pengaturan!$B$8:$B$27,R$4)))</f>
        <v>0</v>
      </c>
      <c r="S221" s="26" t="n">
        <f aca="false">IF(INDEX(Pengaturan!$B$8:$B$27,S$4)="",0,COUNTIF(Data!$B221:$U221,INDEX(Pengaturan!$B$8:$B$27,S$4)))</f>
        <v>0</v>
      </c>
      <c r="T221" s="26" t="n">
        <f aca="false">IF(INDEX(Pengaturan!$B$8:$B$27,T$4)="",0,COUNTIF(Data!$B221:$U221,INDEX(Pengaturan!$B$8:$B$27,T$4)))</f>
        <v>0</v>
      </c>
      <c r="U221" s="26" t="n">
        <f aca="false">IF(INDEX(Pengaturan!$B$8:$B$27,U$4)="",0,COUNTIF(Data!$B221:$U221,INDEX(Pengaturan!$B$8:$B$27,U$4)))</f>
        <v>0</v>
      </c>
      <c r="V221" s="26" t="n">
        <f aca="false">COUNTA(Data!$B221:$U221)</f>
        <v>0</v>
      </c>
      <c r="W221" s="27" t="str">
        <f aca="false">IF(V221=0,"",IF(V221&lt;&gt;Hasil!$C$4,"Data kosong/tidak lengkap",IF(SUM(B221:U221)&lt;&gt;V221,"Kategori tidak dikenal","OK")))</f>
        <v/>
      </c>
      <c r="X221" s="26" t="n">
        <f aca="false">IF(OR(W221="",W221="OK"),0,1)</f>
        <v>0</v>
      </c>
    </row>
    <row r="222" customFormat="false" ht="15" hidden="false" customHeight="false" outlineLevel="0" collapsed="false">
      <c r="A222" s="26" t="n">
        <f aca="false">Data!A222</f>
        <v>217</v>
      </c>
      <c r="B222" s="26" t="n">
        <f aca="false">IF(INDEX(Pengaturan!$B$8:$B$27,B$4)="",0,COUNTIF(Data!$B222:$U222,INDEX(Pengaturan!$B$8:$B$27,B$4)))</f>
        <v>0</v>
      </c>
      <c r="C222" s="26" t="n">
        <f aca="false">IF(INDEX(Pengaturan!$B$8:$B$27,C$4)="",0,COUNTIF(Data!$B222:$U222,INDEX(Pengaturan!$B$8:$B$27,C$4)))</f>
        <v>0</v>
      </c>
      <c r="D222" s="26" t="n">
        <f aca="false">IF(INDEX(Pengaturan!$B$8:$B$27,D$4)="",0,COUNTIF(Data!$B222:$U222,INDEX(Pengaturan!$B$8:$B$27,D$4)))</f>
        <v>0</v>
      </c>
      <c r="E222" s="26" t="n">
        <f aca="false">IF(INDEX(Pengaturan!$B$8:$B$27,E$4)="",0,COUNTIF(Data!$B222:$U222,INDEX(Pengaturan!$B$8:$B$27,E$4)))</f>
        <v>0</v>
      </c>
      <c r="F222" s="26" t="n">
        <f aca="false">IF(INDEX(Pengaturan!$B$8:$B$27,F$4)="",0,COUNTIF(Data!$B222:$U222,INDEX(Pengaturan!$B$8:$B$27,F$4)))</f>
        <v>0</v>
      </c>
      <c r="G222" s="26" t="n">
        <f aca="false">IF(INDEX(Pengaturan!$B$8:$B$27,G$4)="",0,COUNTIF(Data!$B222:$U222,INDEX(Pengaturan!$B$8:$B$27,G$4)))</f>
        <v>0</v>
      </c>
      <c r="H222" s="26" t="n">
        <f aca="false">IF(INDEX(Pengaturan!$B$8:$B$27,H$4)="",0,COUNTIF(Data!$B222:$U222,INDEX(Pengaturan!$B$8:$B$27,H$4)))</f>
        <v>0</v>
      </c>
      <c r="I222" s="26" t="n">
        <f aca="false">IF(INDEX(Pengaturan!$B$8:$B$27,I$4)="",0,COUNTIF(Data!$B222:$U222,INDEX(Pengaturan!$B$8:$B$27,I$4)))</f>
        <v>0</v>
      </c>
      <c r="J222" s="26" t="n">
        <f aca="false">IF(INDEX(Pengaturan!$B$8:$B$27,J$4)="",0,COUNTIF(Data!$B222:$U222,INDEX(Pengaturan!$B$8:$B$27,J$4)))</f>
        <v>0</v>
      </c>
      <c r="K222" s="26" t="n">
        <f aca="false">IF(INDEX(Pengaturan!$B$8:$B$27,K$4)="",0,COUNTIF(Data!$B222:$U222,INDEX(Pengaturan!$B$8:$B$27,K$4)))</f>
        <v>0</v>
      </c>
      <c r="L222" s="26" t="n">
        <f aca="false">IF(INDEX(Pengaturan!$B$8:$B$27,L$4)="",0,COUNTIF(Data!$B222:$U222,INDEX(Pengaturan!$B$8:$B$27,L$4)))</f>
        <v>0</v>
      </c>
      <c r="M222" s="26" t="n">
        <f aca="false">IF(INDEX(Pengaturan!$B$8:$B$27,M$4)="",0,COUNTIF(Data!$B222:$U222,INDEX(Pengaturan!$B$8:$B$27,M$4)))</f>
        <v>0</v>
      </c>
      <c r="N222" s="26" t="n">
        <f aca="false">IF(INDEX(Pengaturan!$B$8:$B$27,N$4)="",0,COUNTIF(Data!$B222:$U222,INDEX(Pengaturan!$B$8:$B$27,N$4)))</f>
        <v>0</v>
      </c>
      <c r="O222" s="26" t="n">
        <f aca="false">IF(INDEX(Pengaturan!$B$8:$B$27,O$4)="",0,COUNTIF(Data!$B222:$U222,INDEX(Pengaturan!$B$8:$B$27,O$4)))</f>
        <v>0</v>
      </c>
      <c r="P222" s="26" t="n">
        <f aca="false">IF(INDEX(Pengaturan!$B$8:$B$27,P$4)="",0,COUNTIF(Data!$B222:$U222,INDEX(Pengaturan!$B$8:$B$27,P$4)))</f>
        <v>0</v>
      </c>
      <c r="Q222" s="26" t="n">
        <f aca="false">IF(INDEX(Pengaturan!$B$8:$B$27,Q$4)="",0,COUNTIF(Data!$B222:$U222,INDEX(Pengaturan!$B$8:$B$27,Q$4)))</f>
        <v>0</v>
      </c>
      <c r="R222" s="26" t="n">
        <f aca="false">IF(INDEX(Pengaturan!$B$8:$B$27,R$4)="",0,COUNTIF(Data!$B222:$U222,INDEX(Pengaturan!$B$8:$B$27,R$4)))</f>
        <v>0</v>
      </c>
      <c r="S222" s="26" t="n">
        <f aca="false">IF(INDEX(Pengaturan!$B$8:$B$27,S$4)="",0,COUNTIF(Data!$B222:$U222,INDEX(Pengaturan!$B$8:$B$27,S$4)))</f>
        <v>0</v>
      </c>
      <c r="T222" s="26" t="n">
        <f aca="false">IF(INDEX(Pengaturan!$B$8:$B$27,T$4)="",0,COUNTIF(Data!$B222:$U222,INDEX(Pengaturan!$B$8:$B$27,T$4)))</f>
        <v>0</v>
      </c>
      <c r="U222" s="26" t="n">
        <f aca="false">IF(INDEX(Pengaturan!$B$8:$B$27,U$4)="",0,COUNTIF(Data!$B222:$U222,INDEX(Pengaturan!$B$8:$B$27,U$4)))</f>
        <v>0</v>
      </c>
      <c r="V222" s="26" t="n">
        <f aca="false">COUNTA(Data!$B222:$U222)</f>
        <v>0</v>
      </c>
      <c r="W222" s="27" t="str">
        <f aca="false">IF(V222=0,"",IF(V222&lt;&gt;Hasil!$C$4,"Data kosong/tidak lengkap",IF(SUM(B222:U222)&lt;&gt;V222,"Kategori tidak dikenal","OK")))</f>
        <v/>
      </c>
      <c r="X222" s="26" t="n">
        <f aca="false">IF(OR(W222="",W222="OK"),0,1)</f>
        <v>0</v>
      </c>
    </row>
    <row r="223" customFormat="false" ht="15" hidden="false" customHeight="false" outlineLevel="0" collapsed="false">
      <c r="A223" s="26" t="n">
        <f aca="false">Data!A223</f>
        <v>218</v>
      </c>
      <c r="B223" s="26" t="n">
        <f aca="false">IF(INDEX(Pengaturan!$B$8:$B$27,B$4)="",0,COUNTIF(Data!$B223:$U223,INDEX(Pengaturan!$B$8:$B$27,B$4)))</f>
        <v>0</v>
      </c>
      <c r="C223" s="26" t="n">
        <f aca="false">IF(INDEX(Pengaturan!$B$8:$B$27,C$4)="",0,COUNTIF(Data!$B223:$U223,INDEX(Pengaturan!$B$8:$B$27,C$4)))</f>
        <v>0</v>
      </c>
      <c r="D223" s="26" t="n">
        <f aca="false">IF(INDEX(Pengaturan!$B$8:$B$27,D$4)="",0,COUNTIF(Data!$B223:$U223,INDEX(Pengaturan!$B$8:$B$27,D$4)))</f>
        <v>0</v>
      </c>
      <c r="E223" s="26" t="n">
        <f aca="false">IF(INDEX(Pengaturan!$B$8:$B$27,E$4)="",0,COUNTIF(Data!$B223:$U223,INDEX(Pengaturan!$B$8:$B$27,E$4)))</f>
        <v>0</v>
      </c>
      <c r="F223" s="26" t="n">
        <f aca="false">IF(INDEX(Pengaturan!$B$8:$B$27,F$4)="",0,COUNTIF(Data!$B223:$U223,INDEX(Pengaturan!$B$8:$B$27,F$4)))</f>
        <v>0</v>
      </c>
      <c r="G223" s="26" t="n">
        <f aca="false">IF(INDEX(Pengaturan!$B$8:$B$27,G$4)="",0,COUNTIF(Data!$B223:$U223,INDEX(Pengaturan!$B$8:$B$27,G$4)))</f>
        <v>0</v>
      </c>
      <c r="H223" s="26" t="n">
        <f aca="false">IF(INDEX(Pengaturan!$B$8:$B$27,H$4)="",0,COUNTIF(Data!$B223:$U223,INDEX(Pengaturan!$B$8:$B$27,H$4)))</f>
        <v>0</v>
      </c>
      <c r="I223" s="26" t="n">
        <f aca="false">IF(INDEX(Pengaturan!$B$8:$B$27,I$4)="",0,COUNTIF(Data!$B223:$U223,INDEX(Pengaturan!$B$8:$B$27,I$4)))</f>
        <v>0</v>
      </c>
      <c r="J223" s="26" t="n">
        <f aca="false">IF(INDEX(Pengaturan!$B$8:$B$27,J$4)="",0,COUNTIF(Data!$B223:$U223,INDEX(Pengaturan!$B$8:$B$27,J$4)))</f>
        <v>0</v>
      </c>
      <c r="K223" s="26" t="n">
        <f aca="false">IF(INDEX(Pengaturan!$B$8:$B$27,K$4)="",0,COUNTIF(Data!$B223:$U223,INDEX(Pengaturan!$B$8:$B$27,K$4)))</f>
        <v>0</v>
      </c>
      <c r="L223" s="26" t="n">
        <f aca="false">IF(INDEX(Pengaturan!$B$8:$B$27,L$4)="",0,COUNTIF(Data!$B223:$U223,INDEX(Pengaturan!$B$8:$B$27,L$4)))</f>
        <v>0</v>
      </c>
      <c r="M223" s="26" t="n">
        <f aca="false">IF(INDEX(Pengaturan!$B$8:$B$27,M$4)="",0,COUNTIF(Data!$B223:$U223,INDEX(Pengaturan!$B$8:$B$27,M$4)))</f>
        <v>0</v>
      </c>
      <c r="N223" s="26" t="n">
        <f aca="false">IF(INDEX(Pengaturan!$B$8:$B$27,N$4)="",0,COUNTIF(Data!$B223:$U223,INDEX(Pengaturan!$B$8:$B$27,N$4)))</f>
        <v>0</v>
      </c>
      <c r="O223" s="26" t="n">
        <f aca="false">IF(INDEX(Pengaturan!$B$8:$B$27,O$4)="",0,COUNTIF(Data!$B223:$U223,INDEX(Pengaturan!$B$8:$B$27,O$4)))</f>
        <v>0</v>
      </c>
      <c r="P223" s="26" t="n">
        <f aca="false">IF(INDEX(Pengaturan!$B$8:$B$27,P$4)="",0,COUNTIF(Data!$B223:$U223,INDEX(Pengaturan!$B$8:$B$27,P$4)))</f>
        <v>0</v>
      </c>
      <c r="Q223" s="26" t="n">
        <f aca="false">IF(INDEX(Pengaturan!$B$8:$B$27,Q$4)="",0,COUNTIF(Data!$B223:$U223,INDEX(Pengaturan!$B$8:$B$27,Q$4)))</f>
        <v>0</v>
      </c>
      <c r="R223" s="26" t="n">
        <f aca="false">IF(INDEX(Pengaturan!$B$8:$B$27,R$4)="",0,COUNTIF(Data!$B223:$U223,INDEX(Pengaturan!$B$8:$B$27,R$4)))</f>
        <v>0</v>
      </c>
      <c r="S223" s="26" t="n">
        <f aca="false">IF(INDEX(Pengaturan!$B$8:$B$27,S$4)="",0,COUNTIF(Data!$B223:$U223,INDEX(Pengaturan!$B$8:$B$27,S$4)))</f>
        <v>0</v>
      </c>
      <c r="T223" s="26" t="n">
        <f aca="false">IF(INDEX(Pengaturan!$B$8:$B$27,T$4)="",0,COUNTIF(Data!$B223:$U223,INDEX(Pengaturan!$B$8:$B$27,T$4)))</f>
        <v>0</v>
      </c>
      <c r="U223" s="26" t="n">
        <f aca="false">IF(INDEX(Pengaturan!$B$8:$B$27,U$4)="",0,COUNTIF(Data!$B223:$U223,INDEX(Pengaturan!$B$8:$B$27,U$4)))</f>
        <v>0</v>
      </c>
      <c r="V223" s="26" t="n">
        <f aca="false">COUNTA(Data!$B223:$U223)</f>
        <v>0</v>
      </c>
      <c r="W223" s="27" t="str">
        <f aca="false">IF(V223=0,"",IF(V223&lt;&gt;Hasil!$C$4,"Data kosong/tidak lengkap",IF(SUM(B223:U223)&lt;&gt;V223,"Kategori tidak dikenal","OK")))</f>
        <v/>
      </c>
      <c r="X223" s="26" t="n">
        <f aca="false">IF(OR(W223="",W223="OK"),0,1)</f>
        <v>0</v>
      </c>
    </row>
    <row r="224" customFormat="false" ht="15" hidden="false" customHeight="false" outlineLevel="0" collapsed="false">
      <c r="A224" s="26" t="n">
        <f aca="false">Data!A224</f>
        <v>219</v>
      </c>
      <c r="B224" s="26" t="n">
        <f aca="false">IF(INDEX(Pengaturan!$B$8:$B$27,B$4)="",0,COUNTIF(Data!$B224:$U224,INDEX(Pengaturan!$B$8:$B$27,B$4)))</f>
        <v>0</v>
      </c>
      <c r="C224" s="26" t="n">
        <f aca="false">IF(INDEX(Pengaturan!$B$8:$B$27,C$4)="",0,COUNTIF(Data!$B224:$U224,INDEX(Pengaturan!$B$8:$B$27,C$4)))</f>
        <v>0</v>
      </c>
      <c r="D224" s="26" t="n">
        <f aca="false">IF(INDEX(Pengaturan!$B$8:$B$27,D$4)="",0,COUNTIF(Data!$B224:$U224,INDEX(Pengaturan!$B$8:$B$27,D$4)))</f>
        <v>0</v>
      </c>
      <c r="E224" s="26" t="n">
        <f aca="false">IF(INDEX(Pengaturan!$B$8:$B$27,E$4)="",0,COUNTIF(Data!$B224:$U224,INDEX(Pengaturan!$B$8:$B$27,E$4)))</f>
        <v>0</v>
      </c>
      <c r="F224" s="26" t="n">
        <f aca="false">IF(INDEX(Pengaturan!$B$8:$B$27,F$4)="",0,COUNTIF(Data!$B224:$U224,INDEX(Pengaturan!$B$8:$B$27,F$4)))</f>
        <v>0</v>
      </c>
      <c r="G224" s="26" t="n">
        <f aca="false">IF(INDEX(Pengaturan!$B$8:$B$27,G$4)="",0,COUNTIF(Data!$B224:$U224,INDEX(Pengaturan!$B$8:$B$27,G$4)))</f>
        <v>0</v>
      </c>
      <c r="H224" s="26" t="n">
        <f aca="false">IF(INDEX(Pengaturan!$B$8:$B$27,H$4)="",0,COUNTIF(Data!$B224:$U224,INDEX(Pengaturan!$B$8:$B$27,H$4)))</f>
        <v>0</v>
      </c>
      <c r="I224" s="26" t="n">
        <f aca="false">IF(INDEX(Pengaturan!$B$8:$B$27,I$4)="",0,COUNTIF(Data!$B224:$U224,INDEX(Pengaturan!$B$8:$B$27,I$4)))</f>
        <v>0</v>
      </c>
      <c r="J224" s="26" t="n">
        <f aca="false">IF(INDEX(Pengaturan!$B$8:$B$27,J$4)="",0,COUNTIF(Data!$B224:$U224,INDEX(Pengaturan!$B$8:$B$27,J$4)))</f>
        <v>0</v>
      </c>
      <c r="K224" s="26" t="n">
        <f aca="false">IF(INDEX(Pengaturan!$B$8:$B$27,K$4)="",0,COUNTIF(Data!$B224:$U224,INDEX(Pengaturan!$B$8:$B$27,K$4)))</f>
        <v>0</v>
      </c>
      <c r="L224" s="26" t="n">
        <f aca="false">IF(INDEX(Pengaturan!$B$8:$B$27,L$4)="",0,COUNTIF(Data!$B224:$U224,INDEX(Pengaturan!$B$8:$B$27,L$4)))</f>
        <v>0</v>
      </c>
      <c r="M224" s="26" t="n">
        <f aca="false">IF(INDEX(Pengaturan!$B$8:$B$27,M$4)="",0,COUNTIF(Data!$B224:$U224,INDEX(Pengaturan!$B$8:$B$27,M$4)))</f>
        <v>0</v>
      </c>
      <c r="N224" s="26" t="n">
        <f aca="false">IF(INDEX(Pengaturan!$B$8:$B$27,N$4)="",0,COUNTIF(Data!$B224:$U224,INDEX(Pengaturan!$B$8:$B$27,N$4)))</f>
        <v>0</v>
      </c>
      <c r="O224" s="26" t="n">
        <f aca="false">IF(INDEX(Pengaturan!$B$8:$B$27,O$4)="",0,COUNTIF(Data!$B224:$U224,INDEX(Pengaturan!$B$8:$B$27,O$4)))</f>
        <v>0</v>
      </c>
      <c r="P224" s="26" t="n">
        <f aca="false">IF(INDEX(Pengaturan!$B$8:$B$27,P$4)="",0,COUNTIF(Data!$B224:$U224,INDEX(Pengaturan!$B$8:$B$27,P$4)))</f>
        <v>0</v>
      </c>
      <c r="Q224" s="26" t="n">
        <f aca="false">IF(INDEX(Pengaturan!$B$8:$B$27,Q$4)="",0,COUNTIF(Data!$B224:$U224,INDEX(Pengaturan!$B$8:$B$27,Q$4)))</f>
        <v>0</v>
      </c>
      <c r="R224" s="26" t="n">
        <f aca="false">IF(INDEX(Pengaturan!$B$8:$B$27,R$4)="",0,COUNTIF(Data!$B224:$U224,INDEX(Pengaturan!$B$8:$B$27,R$4)))</f>
        <v>0</v>
      </c>
      <c r="S224" s="26" t="n">
        <f aca="false">IF(INDEX(Pengaturan!$B$8:$B$27,S$4)="",0,COUNTIF(Data!$B224:$U224,INDEX(Pengaturan!$B$8:$B$27,S$4)))</f>
        <v>0</v>
      </c>
      <c r="T224" s="26" t="n">
        <f aca="false">IF(INDEX(Pengaturan!$B$8:$B$27,T$4)="",0,COUNTIF(Data!$B224:$U224,INDEX(Pengaturan!$B$8:$B$27,T$4)))</f>
        <v>0</v>
      </c>
      <c r="U224" s="26" t="n">
        <f aca="false">IF(INDEX(Pengaturan!$B$8:$B$27,U$4)="",0,COUNTIF(Data!$B224:$U224,INDEX(Pengaturan!$B$8:$B$27,U$4)))</f>
        <v>0</v>
      </c>
      <c r="V224" s="26" t="n">
        <f aca="false">COUNTA(Data!$B224:$U224)</f>
        <v>0</v>
      </c>
      <c r="W224" s="27" t="str">
        <f aca="false">IF(V224=0,"",IF(V224&lt;&gt;Hasil!$C$4,"Data kosong/tidak lengkap",IF(SUM(B224:U224)&lt;&gt;V224,"Kategori tidak dikenal","OK")))</f>
        <v/>
      </c>
      <c r="X224" s="26" t="n">
        <f aca="false">IF(OR(W224="",W224="OK"),0,1)</f>
        <v>0</v>
      </c>
    </row>
    <row r="225" customFormat="false" ht="15" hidden="false" customHeight="false" outlineLevel="0" collapsed="false">
      <c r="A225" s="26" t="n">
        <f aca="false">Data!A225</f>
        <v>220</v>
      </c>
      <c r="B225" s="26" t="n">
        <f aca="false">IF(INDEX(Pengaturan!$B$8:$B$27,B$4)="",0,COUNTIF(Data!$B225:$U225,INDEX(Pengaturan!$B$8:$B$27,B$4)))</f>
        <v>0</v>
      </c>
      <c r="C225" s="26" t="n">
        <f aca="false">IF(INDEX(Pengaturan!$B$8:$B$27,C$4)="",0,COUNTIF(Data!$B225:$U225,INDEX(Pengaturan!$B$8:$B$27,C$4)))</f>
        <v>0</v>
      </c>
      <c r="D225" s="26" t="n">
        <f aca="false">IF(INDEX(Pengaturan!$B$8:$B$27,D$4)="",0,COUNTIF(Data!$B225:$U225,INDEX(Pengaturan!$B$8:$B$27,D$4)))</f>
        <v>0</v>
      </c>
      <c r="E225" s="26" t="n">
        <f aca="false">IF(INDEX(Pengaturan!$B$8:$B$27,E$4)="",0,COUNTIF(Data!$B225:$U225,INDEX(Pengaturan!$B$8:$B$27,E$4)))</f>
        <v>0</v>
      </c>
      <c r="F225" s="26" t="n">
        <f aca="false">IF(INDEX(Pengaturan!$B$8:$B$27,F$4)="",0,COUNTIF(Data!$B225:$U225,INDEX(Pengaturan!$B$8:$B$27,F$4)))</f>
        <v>0</v>
      </c>
      <c r="G225" s="26" t="n">
        <f aca="false">IF(INDEX(Pengaturan!$B$8:$B$27,G$4)="",0,COUNTIF(Data!$B225:$U225,INDEX(Pengaturan!$B$8:$B$27,G$4)))</f>
        <v>0</v>
      </c>
      <c r="H225" s="26" t="n">
        <f aca="false">IF(INDEX(Pengaturan!$B$8:$B$27,H$4)="",0,COUNTIF(Data!$B225:$U225,INDEX(Pengaturan!$B$8:$B$27,H$4)))</f>
        <v>0</v>
      </c>
      <c r="I225" s="26" t="n">
        <f aca="false">IF(INDEX(Pengaturan!$B$8:$B$27,I$4)="",0,COUNTIF(Data!$B225:$U225,INDEX(Pengaturan!$B$8:$B$27,I$4)))</f>
        <v>0</v>
      </c>
      <c r="J225" s="26" t="n">
        <f aca="false">IF(INDEX(Pengaturan!$B$8:$B$27,J$4)="",0,COUNTIF(Data!$B225:$U225,INDEX(Pengaturan!$B$8:$B$27,J$4)))</f>
        <v>0</v>
      </c>
      <c r="K225" s="26" t="n">
        <f aca="false">IF(INDEX(Pengaturan!$B$8:$B$27,K$4)="",0,COUNTIF(Data!$B225:$U225,INDEX(Pengaturan!$B$8:$B$27,K$4)))</f>
        <v>0</v>
      </c>
      <c r="L225" s="26" t="n">
        <f aca="false">IF(INDEX(Pengaturan!$B$8:$B$27,L$4)="",0,COUNTIF(Data!$B225:$U225,INDEX(Pengaturan!$B$8:$B$27,L$4)))</f>
        <v>0</v>
      </c>
      <c r="M225" s="26" t="n">
        <f aca="false">IF(INDEX(Pengaturan!$B$8:$B$27,M$4)="",0,COUNTIF(Data!$B225:$U225,INDEX(Pengaturan!$B$8:$B$27,M$4)))</f>
        <v>0</v>
      </c>
      <c r="N225" s="26" t="n">
        <f aca="false">IF(INDEX(Pengaturan!$B$8:$B$27,N$4)="",0,COUNTIF(Data!$B225:$U225,INDEX(Pengaturan!$B$8:$B$27,N$4)))</f>
        <v>0</v>
      </c>
      <c r="O225" s="26" t="n">
        <f aca="false">IF(INDEX(Pengaturan!$B$8:$B$27,O$4)="",0,COUNTIF(Data!$B225:$U225,INDEX(Pengaturan!$B$8:$B$27,O$4)))</f>
        <v>0</v>
      </c>
      <c r="P225" s="26" t="n">
        <f aca="false">IF(INDEX(Pengaturan!$B$8:$B$27,P$4)="",0,COUNTIF(Data!$B225:$U225,INDEX(Pengaturan!$B$8:$B$27,P$4)))</f>
        <v>0</v>
      </c>
      <c r="Q225" s="26" t="n">
        <f aca="false">IF(INDEX(Pengaturan!$B$8:$B$27,Q$4)="",0,COUNTIF(Data!$B225:$U225,INDEX(Pengaturan!$B$8:$B$27,Q$4)))</f>
        <v>0</v>
      </c>
      <c r="R225" s="26" t="n">
        <f aca="false">IF(INDEX(Pengaturan!$B$8:$B$27,R$4)="",0,COUNTIF(Data!$B225:$U225,INDEX(Pengaturan!$B$8:$B$27,R$4)))</f>
        <v>0</v>
      </c>
      <c r="S225" s="26" t="n">
        <f aca="false">IF(INDEX(Pengaturan!$B$8:$B$27,S$4)="",0,COUNTIF(Data!$B225:$U225,INDEX(Pengaturan!$B$8:$B$27,S$4)))</f>
        <v>0</v>
      </c>
      <c r="T225" s="26" t="n">
        <f aca="false">IF(INDEX(Pengaturan!$B$8:$B$27,T$4)="",0,COUNTIF(Data!$B225:$U225,INDEX(Pengaturan!$B$8:$B$27,T$4)))</f>
        <v>0</v>
      </c>
      <c r="U225" s="26" t="n">
        <f aca="false">IF(INDEX(Pengaturan!$B$8:$B$27,U$4)="",0,COUNTIF(Data!$B225:$U225,INDEX(Pengaturan!$B$8:$B$27,U$4)))</f>
        <v>0</v>
      </c>
      <c r="V225" s="26" t="n">
        <f aca="false">COUNTA(Data!$B225:$U225)</f>
        <v>0</v>
      </c>
      <c r="W225" s="27" t="str">
        <f aca="false">IF(V225=0,"",IF(V225&lt;&gt;Hasil!$C$4,"Data kosong/tidak lengkap",IF(SUM(B225:U225)&lt;&gt;V225,"Kategori tidak dikenal","OK")))</f>
        <v/>
      </c>
      <c r="X225" s="26" t="n">
        <f aca="false">IF(OR(W225="",W225="OK"),0,1)</f>
        <v>0</v>
      </c>
    </row>
    <row r="226" customFormat="false" ht="15" hidden="false" customHeight="false" outlineLevel="0" collapsed="false">
      <c r="A226" s="26" t="n">
        <f aca="false">Data!A226</f>
        <v>221</v>
      </c>
      <c r="B226" s="26" t="n">
        <f aca="false">IF(INDEX(Pengaturan!$B$8:$B$27,B$4)="",0,COUNTIF(Data!$B226:$U226,INDEX(Pengaturan!$B$8:$B$27,B$4)))</f>
        <v>0</v>
      </c>
      <c r="C226" s="26" t="n">
        <f aca="false">IF(INDEX(Pengaturan!$B$8:$B$27,C$4)="",0,COUNTIF(Data!$B226:$U226,INDEX(Pengaturan!$B$8:$B$27,C$4)))</f>
        <v>0</v>
      </c>
      <c r="D226" s="26" t="n">
        <f aca="false">IF(INDEX(Pengaturan!$B$8:$B$27,D$4)="",0,COUNTIF(Data!$B226:$U226,INDEX(Pengaturan!$B$8:$B$27,D$4)))</f>
        <v>0</v>
      </c>
      <c r="E226" s="26" t="n">
        <f aca="false">IF(INDEX(Pengaturan!$B$8:$B$27,E$4)="",0,COUNTIF(Data!$B226:$U226,INDEX(Pengaturan!$B$8:$B$27,E$4)))</f>
        <v>0</v>
      </c>
      <c r="F226" s="26" t="n">
        <f aca="false">IF(INDEX(Pengaturan!$B$8:$B$27,F$4)="",0,COUNTIF(Data!$B226:$U226,INDEX(Pengaturan!$B$8:$B$27,F$4)))</f>
        <v>0</v>
      </c>
      <c r="G226" s="26" t="n">
        <f aca="false">IF(INDEX(Pengaturan!$B$8:$B$27,G$4)="",0,COUNTIF(Data!$B226:$U226,INDEX(Pengaturan!$B$8:$B$27,G$4)))</f>
        <v>0</v>
      </c>
      <c r="H226" s="26" t="n">
        <f aca="false">IF(INDEX(Pengaturan!$B$8:$B$27,H$4)="",0,COUNTIF(Data!$B226:$U226,INDEX(Pengaturan!$B$8:$B$27,H$4)))</f>
        <v>0</v>
      </c>
      <c r="I226" s="26" t="n">
        <f aca="false">IF(INDEX(Pengaturan!$B$8:$B$27,I$4)="",0,COUNTIF(Data!$B226:$U226,INDEX(Pengaturan!$B$8:$B$27,I$4)))</f>
        <v>0</v>
      </c>
      <c r="J226" s="26" t="n">
        <f aca="false">IF(INDEX(Pengaturan!$B$8:$B$27,J$4)="",0,COUNTIF(Data!$B226:$U226,INDEX(Pengaturan!$B$8:$B$27,J$4)))</f>
        <v>0</v>
      </c>
      <c r="K226" s="26" t="n">
        <f aca="false">IF(INDEX(Pengaturan!$B$8:$B$27,K$4)="",0,COUNTIF(Data!$B226:$U226,INDEX(Pengaturan!$B$8:$B$27,K$4)))</f>
        <v>0</v>
      </c>
      <c r="L226" s="26" t="n">
        <f aca="false">IF(INDEX(Pengaturan!$B$8:$B$27,L$4)="",0,COUNTIF(Data!$B226:$U226,INDEX(Pengaturan!$B$8:$B$27,L$4)))</f>
        <v>0</v>
      </c>
      <c r="M226" s="26" t="n">
        <f aca="false">IF(INDEX(Pengaturan!$B$8:$B$27,M$4)="",0,COUNTIF(Data!$B226:$U226,INDEX(Pengaturan!$B$8:$B$27,M$4)))</f>
        <v>0</v>
      </c>
      <c r="N226" s="26" t="n">
        <f aca="false">IF(INDEX(Pengaturan!$B$8:$B$27,N$4)="",0,COUNTIF(Data!$B226:$U226,INDEX(Pengaturan!$B$8:$B$27,N$4)))</f>
        <v>0</v>
      </c>
      <c r="O226" s="26" t="n">
        <f aca="false">IF(INDEX(Pengaturan!$B$8:$B$27,O$4)="",0,COUNTIF(Data!$B226:$U226,INDEX(Pengaturan!$B$8:$B$27,O$4)))</f>
        <v>0</v>
      </c>
      <c r="P226" s="26" t="n">
        <f aca="false">IF(INDEX(Pengaturan!$B$8:$B$27,P$4)="",0,COUNTIF(Data!$B226:$U226,INDEX(Pengaturan!$B$8:$B$27,P$4)))</f>
        <v>0</v>
      </c>
      <c r="Q226" s="26" t="n">
        <f aca="false">IF(INDEX(Pengaturan!$B$8:$B$27,Q$4)="",0,COUNTIF(Data!$B226:$U226,INDEX(Pengaturan!$B$8:$B$27,Q$4)))</f>
        <v>0</v>
      </c>
      <c r="R226" s="26" t="n">
        <f aca="false">IF(INDEX(Pengaturan!$B$8:$B$27,R$4)="",0,COUNTIF(Data!$B226:$U226,INDEX(Pengaturan!$B$8:$B$27,R$4)))</f>
        <v>0</v>
      </c>
      <c r="S226" s="26" t="n">
        <f aca="false">IF(INDEX(Pengaturan!$B$8:$B$27,S$4)="",0,COUNTIF(Data!$B226:$U226,INDEX(Pengaturan!$B$8:$B$27,S$4)))</f>
        <v>0</v>
      </c>
      <c r="T226" s="26" t="n">
        <f aca="false">IF(INDEX(Pengaturan!$B$8:$B$27,T$4)="",0,COUNTIF(Data!$B226:$U226,INDEX(Pengaturan!$B$8:$B$27,T$4)))</f>
        <v>0</v>
      </c>
      <c r="U226" s="26" t="n">
        <f aca="false">IF(INDEX(Pengaturan!$B$8:$B$27,U$4)="",0,COUNTIF(Data!$B226:$U226,INDEX(Pengaturan!$B$8:$B$27,U$4)))</f>
        <v>0</v>
      </c>
      <c r="V226" s="26" t="n">
        <f aca="false">COUNTA(Data!$B226:$U226)</f>
        <v>0</v>
      </c>
      <c r="W226" s="27" t="str">
        <f aca="false">IF(V226=0,"",IF(V226&lt;&gt;Hasil!$C$4,"Data kosong/tidak lengkap",IF(SUM(B226:U226)&lt;&gt;V226,"Kategori tidak dikenal","OK")))</f>
        <v/>
      </c>
      <c r="X226" s="26" t="n">
        <f aca="false">IF(OR(W226="",W226="OK"),0,1)</f>
        <v>0</v>
      </c>
    </row>
    <row r="227" customFormat="false" ht="15" hidden="false" customHeight="false" outlineLevel="0" collapsed="false">
      <c r="A227" s="26" t="n">
        <f aca="false">Data!A227</f>
        <v>222</v>
      </c>
      <c r="B227" s="26" t="n">
        <f aca="false">IF(INDEX(Pengaturan!$B$8:$B$27,B$4)="",0,COUNTIF(Data!$B227:$U227,INDEX(Pengaturan!$B$8:$B$27,B$4)))</f>
        <v>0</v>
      </c>
      <c r="C227" s="26" t="n">
        <f aca="false">IF(INDEX(Pengaturan!$B$8:$B$27,C$4)="",0,COUNTIF(Data!$B227:$U227,INDEX(Pengaturan!$B$8:$B$27,C$4)))</f>
        <v>0</v>
      </c>
      <c r="D227" s="26" t="n">
        <f aca="false">IF(INDEX(Pengaturan!$B$8:$B$27,D$4)="",0,COUNTIF(Data!$B227:$U227,INDEX(Pengaturan!$B$8:$B$27,D$4)))</f>
        <v>0</v>
      </c>
      <c r="E227" s="26" t="n">
        <f aca="false">IF(INDEX(Pengaturan!$B$8:$B$27,E$4)="",0,COUNTIF(Data!$B227:$U227,INDEX(Pengaturan!$B$8:$B$27,E$4)))</f>
        <v>0</v>
      </c>
      <c r="F227" s="26" t="n">
        <f aca="false">IF(INDEX(Pengaturan!$B$8:$B$27,F$4)="",0,COUNTIF(Data!$B227:$U227,INDEX(Pengaturan!$B$8:$B$27,F$4)))</f>
        <v>0</v>
      </c>
      <c r="G227" s="26" t="n">
        <f aca="false">IF(INDEX(Pengaturan!$B$8:$B$27,G$4)="",0,COUNTIF(Data!$B227:$U227,INDEX(Pengaturan!$B$8:$B$27,G$4)))</f>
        <v>0</v>
      </c>
      <c r="H227" s="26" t="n">
        <f aca="false">IF(INDEX(Pengaturan!$B$8:$B$27,H$4)="",0,COUNTIF(Data!$B227:$U227,INDEX(Pengaturan!$B$8:$B$27,H$4)))</f>
        <v>0</v>
      </c>
      <c r="I227" s="26" t="n">
        <f aca="false">IF(INDEX(Pengaturan!$B$8:$B$27,I$4)="",0,COUNTIF(Data!$B227:$U227,INDEX(Pengaturan!$B$8:$B$27,I$4)))</f>
        <v>0</v>
      </c>
      <c r="J227" s="26" t="n">
        <f aca="false">IF(INDEX(Pengaturan!$B$8:$B$27,J$4)="",0,COUNTIF(Data!$B227:$U227,INDEX(Pengaturan!$B$8:$B$27,J$4)))</f>
        <v>0</v>
      </c>
      <c r="K227" s="26" t="n">
        <f aca="false">IF(INDEX(Pengaturan!$B$8:$B$27,K$4)="",0,COUNTIF(Data!$B227:$U227,INDEX(Pengaturan!$B$8:$B$27,K$4)))</f>
        <v>0</v>
      </c>
      <c r="L227" s="26" t="n">
        <f aca="false">IF(INDEX(Pengaturan!$B$8:$B$27,L$4)="",0,COUNTIF(Data!$B227:$U227,INDEX(Pengaturan!$B$8:$B$27,L$4)))</f>
        <v>0</v>
      </c>
      <c r="M227" s="26" t="n">
        <f aca="false">IF(INDEX(Pengaturan!$B$8:$B$27,M$4)="",0,COUNTIF(Data!$B227:$U227,INDEX(Pengaturan!$B$8:$B$27,M$4)))</f>
        <v>0</v>
      </c>
      <c r="N227" s="26" t="n">
        <f aca="false">IF(INDEX(Pengaturan!$B$8:$B$27,N$4)="",0,COUNTIF(Data!$B227:$U227,INDEX(Pengaturan!$B$8:$B$27,N$4)))</f>
        <v>0</v>
      </c>
      <c r="O227" s="26" t="n">
        <f aca="false">IF(INDEX(Pengaturan!$B$8:$B$27,O$4)="",0,COUNTIF(Data!$B227:$U227,INDEX(Pengaturan!$B$8:$B$27,O$4)))</f>
        <v>0</v>
      </c>
      <c r="P227" s="26" t="n">
        <f aca="false">IF(INDEX(Pengaturan!$B$8:$B$27,P$4)="",0,COUNTIF(Data!$B227:$U227,INDEX(Pengaturan!$B$8:$B$27,P$4)))</f>
        <v>0</v>
      </c>
      <c r="Q227" s="26" t="n">
        <f aca="false">IF(INDEX(Pengaturan!$B$8:$B$27,Q$4)="",0,COUNTIF(Data!$B227:$U227,INDEX(Pengaturan!$B$8:$B$27,Q$4)))</f>
        <v>0</v>
      </c>
      <c r="R227" s="26" t="n">
        <f aca="false">IF(INDEX(Pengaturan!$B$8:$B$27,R$4)="",0,COUNTIF(Data!$B227:$U227,INDEX(Pengaturan!$B$8:$B$27,R$4)))</f>
        <v>0</v>
      </c>
      <c r="S227" s="26" t="n">
        <f aca="false">IF(INDEX(Pengaturan!$B$8:$B$27,S$4)="",0,COUNTIF(Data!$B227:$U227,INDEX(Pengaturan!$B$8:$B$27,S$4)))</f>
        <v>0</v>
      </c>
      <c r="T227" s="26" t="n">
        <f aca="false">IF(INDEX(Pengaturan!$B$8:$B$27,T$4)="",0,COUNTIF(Data!$B227:$U227,INDEX(Pengaturan!$B$8:$B$27,T$4)))</f>
        <v>0</v>
      </c>
      <c r="U227" s="26" t="n">
        <f aca="false">IF(INDEX(Pengaturan!$B$8:$B$27,U$4)="",0,COUNTIF(Data!$B227:$U227,INDEX(Pengaturan!$B$8:$B$27,U$4)))</f>
        <v>0</v>
      </c>
      <c r="V227" s="26" t="n">
        <f aca="false">COUNTA(Data!$B227:$U227)</f>
        <v>0</v>
      </c>
      <c r="W227" s="27" t="str">
        <f aca="false">IF(V227=0,"",IF(V227&lt;&gt;Hasil!$C$4,"Data kosong/tidak lengkap",IF(SUM(B227:U227)&lt;&gt;V227,"Kategori tidak dikenal","OK")))</f>
        <v/>
      </c>
      <c r="X227" s="26" t="n">
        <f aca="false">IF(OR(W227="",W227="OK"),0,1)</f>
        <v>0</v>
      </c>
    </row>
    <row r="228" customFormat="false" ht="15" hidden="false" customHeight="false" outlineLevel="0" collapsed="false">
      <c r="A228" s="26" t="n">
        <f aca="false">Data!A228</f>
        <v>223</v>
      </c>
      <c r="B228" s="26" t="n">
        <f aca="false">IF(INDEX(Pengaturan!$B$8:$B$27,B$4)="",0,COUNTIF(Data!$B228:$U228,INDEX(Pengaturan!$B$8:$B$27,B$4)))</f>
        <v>0</v>
      </c>
      <c r="C228" s="26" t="n">
        <f aca="false">IF(INDEX(Pengaturan!$B$8:$B$27,C$4)="",0,COUNTIF(Data!$B228:$U228,INDEX(Pengaturan!$B$8:$B$27,C$4)))</f>
        <v>0</v>
      </c>
      <c r="D228" s="26" t="n">
        <f aca="false">IF(INDEX(Pengaturan!$B$8:$B$27,D$4)="",0,COUNTIF(Data!$B228:$U228,INDEX(Pengaturan!$B$8:$B$27,D$4)))</f>
        <v>0</v>
      </c>
      <c r="E228" s="26" t="n">
        <f aca="false">IF(INDEX(Pengaturan!$B$8:$B$27,E$4)="",0,COUNTIF(Data!$B228:$U228,INDEX(Pengaturan!$B$8:$B$27,E$4)))</f>
        <v>0</v>
      </c>
      <c r="F228" s="26" t="n">
        <f aca="false">IF(INDEX(Pengaturan!$B$8:$B$27,F$4)="",0,COUNTIF(Data!$B228:$U228,INDEX(Pengaturan!$B$8:$B$27,F$4)))</f>
        <v>0</v>
      </c>
      <c r="G228" s="26" t="n">
        <f aca="false">IF(INDEX(Pengaturan!$B$8:$B$27,G$4)="",0,COUNTIF(Data!$B228:$U228,INDEX(Pengaturan!$B$8:$B$27,G$4)))</f>
        <v>0</v>
      </c>
      <c r="H228" s="26" t="n">
        <f aca="false">IF(INDEX(Pengaturan!$B$8:$B$27,H$4)="",0,COUNTIF(Data!$B228:$U228,INDEX(Pengaturan!$B$8:$B$27,H$4)))</f>
        <v>0</v>
      </c>
      <c r="I228" s="26" t="n">
        <f aca="false">IF(INDEX(Pengaturan!$B$8:$B$27,I$4)="",0,COUNTIF(Data!$B228:$U228,INDEX(Pengaturan!$B$8:$B$27,I$4)))</f>
        <v>0</v>
      </c>
      <c r="J228" s="26" t="n">
        <f aca="false">IF(INDEX(Pengaturan!$B$8:$B$27,J$4)="",0,COUNTIF(Data!$B228:$U228,INDEX(Pengaturan!$B$8:$B$27,J$4)))</f>
        <v>0</v>
      </c>
      <c r="K228" s="26" t="n">
        <f aca="false">IF(INDEX(Pengaturan!$B$8:$B$27,K$4)="",0,COUNTIF(Data!$B228:$U228,INDEX(Pengaturan!$B$8:$B$27,K$4)))</f>
        <v>0</v>
      </c>
      <c r="L228" s="26" t="n">
        <f aca="false">IF(INDEX(Pengaturan!$B$8:$B$27,L$4)="",0,COUNTIF(Data!$B228:$U228,INDEX(Pengaturan!$B$8:$B$27,L$4)))</f>
        <v>0</v>
      </c>
      <c r="M228" s="26" t="n">
        <f aca="false">IF(INDEX(Pengaturan!$B$8:$B$27,M$4)="",0,COUNTIF(Data!$B228:$U228,INDEX(Pengaturan!$B$8:$B$27,M$4)))</f>
        <v>0</v>
      </c>
      <c r="N228" s="26" t="n">
        <f aca="false">IF(INDEX(Pengaturan!$B$8:$B$27,N$4)="",0,COUNTIF(Data!$B228:$U228,INDEX(Pengaturan!$B$8:$B$27,N$4)))</f>
        <v>0</v>
      </c>
      <c r="O228" s="26" t="n">
        <f aca="false">IF(INDEX(Pengaturan!$B$8:$B$27,O$4)="",0,COUNTIF(Data!$B228:$U228,INDEX(Pengaturan!$B$8:$B$27,O$4)))</f>
        <v>0</v>
      </c>
      <c r="P228" s="26" t="n">
        <f aca="false">IF(INDEX(Pengaturan!$B$8:$B$27,P$4)="",0,COUNTIF(Data!$B228:$U228,INDEX(Pengaturan!$B$8:$B$27,P$4)))</f>
        <v>0</v>
      </c>
      <c r="Q228" s="26" t="n">
        <f aca="false">IF(INDEX(Pengaturan!$B$8:$B$27,Q$4)="",0,COUNTIF(Data!$B228:$U228,INDEX(Pengaturan!$B$8:$B$27,Q$4)))</f>
        <v>0</v>
      </c>
      <c r="R228" s="26" t="n">
        <f aca="false">IF(INDEX(Pengaturan!$B$8:$B$27,R$4)="",0,COUNTIF(Data!$B228:$U228,INDEX(Pengaturan!$B$8:$B$27,R$4)))</f>
        <v>0</v>
      </c>
      <c r="S228" s="26" t="n">
        <f aca="false">IF(INDEX(Pengaturan!$B$8:$B$27,S$4)="",0,COUNTIF(Data!$B228:$U228,INDEX(Pengaturan!$B$8:$B$27,S$4)))</f>
        <v>0</v>
      </c>
      <c r="T228" s="26" t="n">
        <f aca="false">IF(INDEX(Pengaturan!$B$8:$B$27,T$4)="",0,COUNTIF(Data!$B228:$U228,INDEX(Pengaturan!$B$8:$B$27,T$4)))</f>
        <v>0</v>
      </c>
      <c r="U228" s="26" t="n">
        <f aca="false">IF(INDEX(Pengaturan!$B$8:$B$27,U$4)="",0,COUNTIF(Data!$B228:$U228,INDEX(Pengaturan!$B$8:$B$27,U$4)))</f>
        <v>0</v>
      </c>
      <c r="V228" s="26" t="n">
        <f aca="false">COUNTA(Data!$B228:$U228)</f>
        <v>0</v>
      </c>
      <c r="W228" s="27" t="str">
        <f aca="false">IF(V228=0,"",IF(V228&lt;&gt;Hasil!$C$4,"Data kosong/tidak lengkap",IF(SUM(B228:U228)&lt;&gt;V228,"Kategori tidak dikenal","OK")))</f>
        <v/>
      </c>
      <c r="X228" s="26" t="n">
        <f aca="false">IF(OR(W228="",W228="OK"),0,1)</f>
        <v>0</v>
      </c>
    </row>
    <row r="229" customFormat="false" ht="15" hidden="false" customHeight="false" outlineLevel="0" collapsed="false">
      <c r="A229" s="26" t="n">
        <f aca="false">Data!A229</f>
        <v>224</v>
      </c>
      <c r="B229" s="26" t="n">
        <f aca="false">IF(INDEX(Pengaturan!$B$8:$B$27,B$4)="",0,COUNTIF(Data!$B229:$U229,INDEX(Pengaturan!$B$8:$B$27,B$4)))</f>
        <v>0</v>
      </c>
      <c r="C229" s="26" t="n">
        <f aca="false">IF(INDEX(Pengaturan!$B$8:$B$27,C$4)="",0,COUNTIF(Data!$B229:$U229,INDEX(Pengaturan!$B$8:$B$27,C$4)))</f>
        <v>0</v>
      </c>
      <c r="D229" s="26" t="n">
        <f aca="false">IF(INDEX(Pengaturan!$B$8:$B$27,D$4)="",0,COUNTIF(Data!$B229:$U229,INDEX(Pengaturan!$B$8:$B$27,D$4)))</f>
        <v>0</v>
      </c>
      <c r="E229" s="26" t="n">
        <f aca="false">IF(INDEX(Pengaturan!$B$8:$B$27,E$4)="",0,COUNTIF(Data!$B229:$U229,INDEX(Pengaturan!$B$8:$B$27,E$4)))</f>
        <v>0</v>
      </c>
      <c r="F229" s="26" t="n">
        <f aca="false">IF(INDEX(Pengaturan!$B$8:$B$27,F$4)="",0,COUNTIF(Data!$B229:$U229,INDEX(Pengaturan!$B$8:$B$27,F$4)))</f>
        <v>0</v>
      </c>
      <c r="G229" s="26" t="n">
        <f aca="false">IF(INDEX(Pengaturan!$B$8:$B$27,G$4)="",0,COUNTIF(Data!$B229:$U229,INDEX(Pengaturan!$B$8:$B$27,G$4)))</f>
        <v>0</v>
      </c>
      <c r="H229" s="26" t="n">
        <f aca="false">IF(INDEX(Pengaturan!$B$8:$B$27,H$4)="",0,COUNTIF(Data!$B229:$U229,INDEX(Pengaturan!$B$8:$B$27,H$4)))</f>
        <v>0</v>
      </c>
      <c r="I229" s="26" t="n">
        <f aca="false">IF(INDEX(Pengaturan!$B$8:$B$27,I$4)="",0,COUNTIF(Data!$B229:$U229,INDEX(Pengaturan!$B$8:$B$27,I$4)))</f>
        <v>0</v>
      </c>
      <c r="J229" s="26" t="n">
        <f aca="false">IF(INDEX(Pengaturan!$B$8:$B$27,J$4)="",0,COUNTIF(Data!$B229:$U229,INDEX(Pengaturan!$B$8:$B$27,J$4)))</f>
        <v>0</v>
      </c>
      <c r="K229" s="26" t="n">
        <f aca="false">IF(INDEX(Pengaturan!$B$8:$B$27,K$4)="",0,COUNTIF(Data!$B229:$U229,INDEX(Pengaturan!$B$8:$B$27,K$4)))</f>
        <v>0</v>
      </c>
      <c r="L229" s="26" t="n">
        <f aca="false">IF(INDEX(Pengaturan!$B$8:$B$27,L$4)="",0,COUNTIF(Data!$B229:$U229,INDEX(Pengaturan!$B$8:$B$27,L$4)))</f>
        <v>0</v>
      </c>
      <c r="M229" s="26" t="n">
        <f aca="false">IF(INDEX(Pengaturan!$B$8:$B$27,M$4)="",0,COUNTIF(Data!$B229:$U229,INDEX(Pengaturan!$B$8:$B$27,M$4)))</f>
        <v>0</v>
      </c>
      <c r="N229" s="26" t="n">
        <f aca="false">IF(INDEX(Pengaturan!$B$8:$B$27,N$4)="",0,COUNTIF(Data!$B229:$U229,INDEX(Pengaturan!$B$8:$B$27,N$4)))</f>
        <v>0</v>
      </c>
      <c r="O229" s="26" t="n">
        <f aca="false">IF(INDEX(Pengaturan!$B$8:$B$27,O$4)="",0,COUNTIF(Data!$B229:$U229,INDEX(Pengaturan!$B$8:$B$27,O$4)))</f>
        <v>0</v>
      </c>
      <c r="P229" s="26" t="n">
        <f aca="false">IF(INDEX(Pengaturan!$B$8:$B$27,P$4)="",0,COUNTIF(Data!$B229:$U229,INDEX(Pengaturan!$B$8:$B$27,P$4)))</f>
        <v>0</v>
      </c>
      <c r="Q229" s="26" t="n">
        <f aca="false">IF(INDEX(Pengaturan!$B$8:$B$27,Q$4)="",0,COUNTIF(Data!$B229:$U229,INDEX(Pengaturan!$B$8:$B$27,Q$4)))</f>
        <v>0</v>
      </c>
      <c r="R229" s="26" t="n">
        <f aca="false">IF(INDEX(Pengaturan!$B$8:$B$27,R$4)="",0,COUNTIF(Data!$B229:$U229,INDEX(Pengaturan!$B$8:$B$27,R$4)))</f>
        <v>0</v>
      </c>
      <c r="S229" s="26" t="n">
        <f aca="false">IF(INDEX(Pengaturan!$B$8:$B$27,S$4)="",0,COUNTIF(Data!$B229:$U229,INDEX(Pengaturan!$B$8:$B$27,S$4)))</f>
        <v>0</v>
      </c>
      <c r="T229" s="26" t="n">
        <f aca="false">IF(INDEX(Pengaturan!$B$8:$B$27,T$4)="",0,COUNTIF(Data!$B229:$U229,INDEX(Pengaturan!$B$8:$B$27,T$4)))</f>
        <v>0</v>
      </c>
      <c r="U229" s="26" t="n">
        <f aca="false">IF(INDEX(Pengaturan!$B$8:$B$27,U$4)="",0,COUNTIF(Data!$B229:$U229,INDEX(Pengaturan!$B$8:$B$27,U$4)))</f>
        <v>0</v>
      </c>
      <c r="V229" s="26" t="n">
        <f aca="false">COUNTA(Data!$B229:$U229)</f>
        <v>0</v>
      </c>
      <c r="W229" s="27" t="str">
        <f aca="false">IF(V229=0,"",IF(V229&lt;&gt;Hasil!$C$4,"Data kosong/tidak lengkap",IF(SUM(B229:U229)&lt;&gt;V229,"Kategori tidak dikenal","OK")))</f>
        <v/>
      </c>
      <c r="X229" s="26" t="n">
        <f aca="false">IF(OR(W229="",W229="OK"),0,1)</f>
        <v>0</v>
      </c>
    </row>
    <row r="230" customFormat="false" ht="15" hidden="false" customHeight="false" outlineLevel="0" collapsed="false">
      <c r="A230" s="26" t="n">
        <f aca="false">Data!A230</f>
        <v>225</v>
      </c>
      <c r="B230" s="26" t="n">
        <f aca="false">IF(INDEX(Pengaturan!$B$8:$B$27,B$4)="",0,COUNTIF(Data!$B230:$U230,INDEX(Pengaturan!$B$8:$B$27,B$4)))</f>
        <v>0</v>
      </c>
      <c r="C230" s="26" t="n">
        <f aca="false">IF(INDEX(Pengaturan!$B$8:$B$27,C$4)="",0,COUNTIF(Data!$B230:$U230,INDEX(Pengaturan!$B$8:$B$27,C$4)))</f>
        <v>0</v>
      </c>
      <c r="D230" s="26" t="n">
        <f aca="false">IF(INDEX(Pengaturan!$B$8:$B$27,D$4)="",0,COUNTIF(Data!$B230:$U230,INDEX(Pengaturan!$B$8:$B$27,D$4)))</f>
        <v>0</v>
      </c>
      <c r="E230" s="26" t="n">
        <f aca="false">IF(INDEX(Pengaturan!$B$8:$B$27,E$4)="",0,COUNTIF(Data!$B230:$U230,INDEX(Pengaturan!$B$8:$B$27,E$4)))</f>
        <v>0</v>
      </c>
      <c r="F230" s="26" t="n">
        <f aca="false">IF(INDEX(Pengaturan!$B$8:$B$27,F$4)="",0,COUNTIF(Data!$B230:$U230,INDEX(Pengaturan!$B$8:$B$27,F$4)))</f>
        <v>0</v>
      </c>
      <c r="G230" s="26" t="n">
        <f aca="false">IF(INDEX(Pengaturan!$B$8:$B$27,G$4)="",0,COUNTIF(Data!$B230:$U230,INDEX(Pengaturan!$B$8:$B$27,G$4)))</f>
        <v>0</v>
      </c>
      <c r="H230" s="26" t="n">
        <f aca="false">IF(INDEX(Pengaturan!$B$8:$B$27,H$4)="",0,COUNTIF(Data!$B230:$U230,INDEX(Pengaturan!$B$8:$B$27,H$4)))</f>
        <v>0</v>
      </c>
      <c r="I230" s="26" t="n">
        <f aca="false">IF(INDEX(Pengaturan!$B$8:$B$27,I$4)="",0,COUNTIF(Data!$B230:$U230,INDEX(Pengaturan!$B$8:$B$27,I$4)))</f>
        <v>0</v>
      </c>
      <c r="J230" s="26" t="n">
        <f aca="false">IF(INDEX(Pengaturan!$B$8:$B$27,J$4)="",0,COUNTIF(Data!$B230:$U230,INDEX(Pengaturan!$B$8:$B$27,J$4)))</f>
        <v>0</v>
      </c>
      <c r="K230" s="26" t="n">
        <f aca="false">IF(INDEX(Pengaturan!$B$8:$B$27,K$4)="",0,COUNTIF(Data!$B230:$U230,INDEX(Pengaturan!$B$8:$B$27,K$4)))</f>
        <v>0</v>
      </c>
      <c r="L230" s="26" t="n">
        <f aca="false">IF(INDEX(Pengaturan!$B$8:$B$27,L$4)="",0,COUNTIF(Data!$B230:$U230,INDEX(Pengaturan!$B$8:$B$27,L$4)))</f>
        <v>0</v>
      </c>
      <c r="M230" s="26" t="n">
        <f aca="false">IF(INDEX(Pengaturan!$B$8:$B$27,M$4)="",0,COUNTIF(Data!$B230:$U230,INDEX(Pengaturan!$B$8:$B$27,M$4)))</f>
        <v>0</v>
      </c>
      <c r="N230" s="26" t="n">
        <f aca="false">IF(INDEX(Pengaturan!$B$8:$B$27,N$4)="",0,COUNTIF(Data!$B230:$U230,INDEX(Pengaturan!$B$8:$B$27,N$4)))</f>
        <v>0</v>
      </c>
      <c r="O230" s="26" t="n">
        <f aca="false">IF(INDEX(Pengaturan!$B$8:$B$27,O$4)="",0,COUNTIF(Data!$B230:$U230,INDEX(Pengaturan!$B$8:$B$27,O$4)))</f>
        <v>0</v>
      </c>
      <c r="P230" s="26" t="n">
        <f aca="false">IF(INDEX(Pengaturan!$B$8:$B$27,P$4)="",0,COUNTIF(Data!$B230:$U230,INDEX(Pengaturan!$B$8:$B$27,P$4)))</f>
        <v>0</v>
      </c>
      <c r="Q230" s="26" t="n">
        <f aca="false">IF(INDEX(Pengaturan!$B$8:$B$27,Q$4)="",0,COUNTIF(Data!$B230:$U230,INDEX(Pengaturan!$B$8:$B$27,Q$4)))</f>
        <v>0</v>
      </c>
      <c r="R230" s="26" t="n">
        <f aca="false">IF(INDEX(Pengaturan!$B$8:$B$27,R$4)="",0,COUNTIF(Data!$B230:$U230,INDEX(Pengaturan!$B$8:$B$27,R$4)))</f>
        <v>0</v>
      </c>
      <c r="S230" s="26" t="n">
        <f aca="false">IF(INDEX(Pengaturan!$B$8:$B$27,S$4)="",0,COUNTIF(Data!$B230:$U230,INDEX(Pengaturan!$B$8:$B$27,S$4)))</f>
        <v>0</v>
      </c>
      <c r="T230" s="26" t="n">
        <f aca="false">IF(INDEX(Pengaturan!$B$8:$B$27,T$4)="",0,COUNTIF(Data!$B230:$U230,INDEX(Pengaturan!$B$8:$B$27,T$4)))</f>
        <v>0</v>
      </c>
      <c r="U230" s="26" t="n">
        <f aca="false">IF(INDEX(Pengaturan!$B$8:$B$27,U$4)="",0,COUNTIF(Data!$B230:$U230,INDEX(Pengaturan!$B$8:$B$27,U$4)))</f>
        <v>0</v>
      </c>
      <c r="V230" s="26" t="n">
        <f aca="false">COUNTA(Data!$B230:$U230)</f>
        <v>0</v>
      </c>
      <c r="W230" s="27" t="str">
        <f aca="false">IF(V230=0,"",IF(V230&lt;&gt;Hasil!$C$4,"Data kosong/tidak lengkap",IF(SUM(B230:U230)&lt;&gt;V230,"Kategori tidak dikenal","OK")))</f>
        <v/>
      </c>
      <c r="X230" s="26" t="n">
        <f aca="false">IF(OR(W230="",W230="OK"),0,1)</f>
        <v>0</v>
      </c>
    </row>
    <row r="231" customFormat="false" ht="15" hidden="false" customHeight="false" outlineLevel="0" collapsed="false">
      <c r="A231" s="26" t="n">
        <f aca="false">Data!A231</f>
        <v>226</v>
      </c>
      <c r="B231" s="26" t="n">
        <f aca="false">IF(INDEX(Pengaturan!$B$8:$B$27,B$4)="",0,COUNTIF(Data!$B231:$U231,INDEX(Pengaturan!$B$8:$B$27,B$4)))</f>
        <v>0</v>
      </c>
      <c r="C231" s="26" t="n">
        <f aca="false">IF(INDEX(Pengaturan!$B$8:$B$27,C$4)="",0,COUNTIF(Data!$B231:$U231,INDEX(Pengaturan!$B$8:$B$27,C$4)))</f>
        <v>0</v>
      </c>
      <c r="D231" s="26" t="n">
        <f aca="false">IF(INDEX(Pengaturan!$B$8:$B$27,D$4)="",0,COUNTIF(Data!$B231:$U231,INDEX(Pengaturan!$B$8:$B$27,D$4)))</f>
        <v>0</v>
      </c>
      <c r="E231" s="26" t="n">
        <f aca="false">IF(INDEX(Pengaturan!$B$8:$B$27,E$4)="",0,COUNTIF(Data!$B231:$U231,INDEX(Pengaturan!$B$8:$B$27,E$4)))</f>
        <v>0</v>
      </c>
      <c r="F231" s="26" t="n">
        <f aca="false">IF(INDEX(Pengaturan!$B$8:$B$27,F$4)="",0,COUNTIF(Data!$B231:$U231,INDEX(Pengaturan!$B$8:$B$27,F$4)))</f>
        <v>0</v>
      </c>
      <c r="G231" s="26" t="n">
        <f aca="false">IF(INDEX(Pengaturan!$B$8:$B$27,G$4)="",0,COUNTIF(Data!$B231:$U231,INDEX(Pengaturan!$B$8:$B$27,G$4)))</f>
        <v>0</v>
      </c>
      <c r="H231" s="26" t="n">
        <f aca="false">IF(INDEX(Pengaturan!$B$8:$B$27,H$4)="",0,COUNTIF(Data!$B231:$U231,INDEX(Pengaturan!$B$8:$B$27,H$4)))</f>
        <v>0</v>
      </c>
      <c r="I231" s="26" t="n">
        <f aca="false">IF(INDEX(Pengaturan!$B$8:$B$27,I$4)="",0,COUNTIF(Data!$B231:$U231,INDEX(Pengaturan!$B$8:$B$27,I$4)))</f>
        <v>0</v>
      </c>
      <c r="J231" s="26" t="n">
        <f aca="false">IF(INDEX(Pengaturan!$B$8:$B$27,J$4)="",0,COUNTIF(Data!$B231:$U231,INDEX(Pengaturan!$B$8:$B$27,J$4)))</f>
        <v>0</v>
      </c>
      <c r="K231" s="26" t="n">
        <f aca="false">IF(INDEX(Pengaturan!$B$8:$B$27,K$4)="",0,COUNTIF(Data!$B231:$U231,INDEX(Pengaturan!$B$8:$B$27,K$4)))</f>
        <v>0</v>
      </c>
      <c r="L231" s="26" t="n">
        <f aca="false">IF(INDEX(Pengaturan!$B$8:$B$27,L$4)="",0,COUNTIF(Data!$B231:$U231,INDEX(Pengaturan!$B$8:$B$27,L$4)))</f>
        <v>0</v>
      </c>
      <c r="M231" s="26" t="n">
        <f aca="false">IF(INDEX(Pengaturan!$B$8:$B$27,M$4)="",0,COUNTIF(Data!$B231:$U231,INDEX(Pengaturan!$B$8:$B$27,M$4)))</f>
        <v>0</v>
      </c>
      <c r="N231" s="26" t="n">
        <f aca="false">IF(INDEX(Pengaturan!$B$8:$B$27,N$4)="",0,COUNTIF(Data!$B231:$U231,INDEX(Pengaturan!$B$8:$B$27,N$4)))</f>
        <v>0</v>
      </c>
      <c r="O231" s="26" t="n">
        <f aca="false">IF(INDEX(Pengaturan!$B$8:$B$27,O$4)="",0,COUNTIF(Data!$B231:$U231,INDEX(Pengaturan!$B$8:$B$27,O$4)))</f>
        <v>0</v>
      </c>
      <c r="P231" s="26" t="n">
        <f aca="false">IF(INDEX(Pengaturan!$B$8:$B$27,P$4)="",0,COUNTIF(Data!$B231:$U231,INDEX(Pengaturan!$B$8:$B$27,P$4)))</f>
        <v>0</v>
      </c>
      <c r="Q231" s="26" t="n">
        <f aca="false">IF(INDEX(Pengaturan!$B$8:$B$27,Q$4)="",0,COUNTIF(Data!$B231:$U231,INDEX(Pengaturan!$B$8:$B$27,Q$4)))</f>
        <v>0</v>
      </c>
      <c r="R231" s="26" t="n">
        <f aca="false">IF(INDEX(Pengaturan!$B$8:$B$27,R$4)="",0,COUNTIF(Data!$B231:$U231,INDEX(Pengaturan!$B$8:$B$27,R$4)))</f>
        <v>0</v>
      </c>
      <c r="S231" s="26" t="n">
        <f aca="false">IF(INDEX(Pengaturan!$B$8:$B$27,S$4)="",0,COUNTIF(Data!$B231:$U231,INDEX(Pengaturan!$B$8:$B$27,S$4)))</f>
        <v>0</v>
      </c>
      <c r="T231" s="26" t="n">
        <f aca="false">IF(INDEX(Pengaturan!$B$8:$B$27,T$4)="",0,COUNTIF(Data!$B231:$U231,INDEX(Pengaturan!$B$8:$B$27,T$4)))</f>
        <v>0</v>
      </c>
      <c r="U231" s="26" t="n">
        <f aca="false">IF(INDEX(Pengaturan!$B$8:$B$27,U$4)="",0,COUNTIF(Data!$B231:$U231,INDEX(Pengaturan!$B$8:$B$27,U$4)))</f>
        <v>0</v>
      </c>
      <c r="V231" s="26" t="n">
        <f aca="false">COUNTA(Data!$B231:$U231)</f>
        <v>0</v>
      </c>
      <c r="W231" s="27" t="str">
        <f aca="false">IF(V231=0,"",IF(V231&lt;&gt;Hasil!$C$4,"Data kosong/tidak lengkap",IF(SUM(B231:U231)&lt;&gt;V231,"Kategori tidak dikenal","OK")))</f>
        <v/>
      </c>
      <c r="X231" s="26" t="n">
        <f aca="false">IF(OR(W231="",W231="OK"),0,1)</f>
        <v>0</v>
      </c>
    </row>
    <row r="232" customFormat="false" ht="15" hidden="false" customHeight="false" outlineLevel="0" collapsed="false">
      <c r="A232" s="26" t="n">
        <f aca="false">Data!A232</f>
        <v>227</v>
      </c>
      <c r="B232" s="26" t="n">
        <f aca="false">IF(INDEX(Pengaturan!$B$8:$B$27,B$4)="",0,COUNTIF(Data!$B232:$U232,INDEX(Pengaturan!$B$8:$B$27,B$4)))</f>
        <v>0</v>
      </c>
      <c r="C232" s="26" t="n">
        <f aca="false">IF(INDEX(Pengaturan!$B$8:$B$27,C$4)="",0,COUNTIF(Data!$B232:$U232,INDEX(Pengaturan!$B$8:$B$27,C$4)))</f>
        <v>0</v>
      </c>
      <c r="D232" s="26" t="n">
        <f aca="false">IF(INDEX(Pengaturan!$B$8:$B$27,D$4)="",0,COUNTIF(Data!$B232:$U232,INDEX(Pengaturan!$B$8:$B$27,D$4)))</f>
        <v>0</v>
      </c>
      <c r="E232" s="26" t="n">
        <f aca="false">IF(INDEX(Pengaturan!$B$8:$B$27,E$4)="",0,COUNTIF(Data!$B232:$U232,INDEX(Pengaturan!$B$8:$B$27,E$4)))</f>
        <v>0</v>
      </c>
      <c r="F232" s="26" t="n">
        <f aca="false">IF(INDEX(Pengaturan!$B$8:$B$27,F$4)="",0,COUNTIF(Data!$B232:$U232,INDEX(Pengaturan!$B$8:$B$27,F$4)))</f>
        <v>0</v>
      </c>
      <c r="G232" s="26" t="n">
        <f aca="false">IF(INDEX(Pengaturan!$B$8:$B$27,G$4)="",0,COUNTIF(Data!$B232:$U232,INDEX(Pengaturan!$B$8:$B$27,G$4)))</f>
        <v>0</v>
      </c>
      <c r="H232" s="26" t="n">
        <f aca="false">IF(INDEX(Pengaturan!$B$8:$B$27,H$4)="",0,COUNTIF(Data!$B232:$U232,INDEX(Pengaturan!$B$8:$B$27,H$4)))</f>
        <v>0</v>
      </c>
      <c r="I232" s="26" t="n">
        <f aca="false">IF(INDEX(Pengaturan!$B$8:$B$27,I$4)="",0,COUNTIF(Data!$B232:$U232,INDEX(Pengaturan!$B$8:$B$27,I$4)))</f>
        <v>0</v>
      </c>
      <c r="J232" s="26" t="n">
        <f aca="false">IF(INDEX(Pengaturan!$B$8:$B$27,J$4)="",0,COUNTIF(Data!$B232:$U232,INDEX(Pengaturan!$B$8:$B$27,J$4)))</f>
        <v>0</v>
      </c>
      <c r="K232" s="26" t="n">
        <f aca="false">IF(INDEX(Pengaturan!$B$8:$B$27,K$4)="",0,COUNTIF(Data!$B232:$U232,INDEX(Pengaturan!$B$8:$B$27,K$4)))</f>
        <v>0</v>
      </c>
      <c r="L232" s="26" t="n">
        <f aca="false">IF(INDEX(Pengaturan!$B$8:$B$27,L$4)="",0,COUNTIF(Data!$B232:$U232,INDEX(Pengaturan!$B$8:$B$27,L$4)))</f>
        <v>0</v>
      </c>
      <c r="M232" s="26" t="n">
        <f aca="false">IF(INDEX(Pengaturan!$B$8:$B$27,M$4)="",0,COUNTIF(Data!$B232:$U232,INDEX(Pengaturan!$B$8:$B$27,M$4)))</f>
        <v>0</v>
      </c>
      <c r="N232" s="26" t="n">
        <f aca="false">IF(INDEX(Pengaturan!$B$8:$B$27,N$4)="",0,COUNTIF(Data!$B232:$U232,INDEX(Pengaturan!$B$8:$B$27,N$4)))</f>
        <v>0</v>
      </c>
      <c r="O232" s="26" t="n">
        <f aca="false">IF(INDEX(Pengaturan!$B$8:$B$27,O$4)="",0,COUNTIF(Data!$B232:$U232,INDEX(Pengaturan!$B$8:$B$27,O$4)))</f>
        <v>0</v>
      </c>
      <c r="P232" s="26" t="n">
        <f aca="false">IF(INDEX(Pengaturan!$B$8:$B$27,P$4)="",0,COUNTIF(Data!$B232:$U232,INDEX(Pengaturan!$B$8:$B$27,P$4)))</f>
        <v>0</v>
      </c>
      <c r="Q232" s="26" t="n">
        <f aca="false">IF(INDEX(Pengaturan!$B$8:$B$27,Q$4)="",0,COUNTIF(Data!$B232:$U232,INDEX(Pengaturan!$B$8:$B$27,Q$4)))</f>
        <v>0</v>
      </c>
      <c r="R232" s="26" t="n">
        <f aca="false">IF(INDEX(Pengaturan!$B$8:$B$27,R$4)="",0,COUNTIF(Data!$B232:$U232,INDEX(Pengaturan!$B$8:$B$27,R$4)))</f>
        <v>0</v>
      </c>
      <c r="S232" s="26" t="n">
        <f aca="false">IF(INDEX(Pengaturan!$B$8:$B$27,S$4)="",0,COUNTIF(Data!$B232:$U232,INDEX(Pengaturan!$B$8:$B$27,S$4)))</f>
        <v>0</v>
      </c>
      <c r="T232" s="26" t="n">
        <f aca="false">IF(INDEX(Pengaturan!$B$8:$B$27,T$4)="",0,COUNTIF(Data!$B232:$U232,INDEX(Pengaturan!$B$8:$B$27,T$4)))</f>
        <v>0</v>
      </c>
      <c r="U232" s="26" t="n">
        <f aca="false">IF(INDEX(Pengaturan!$B$8:$B$27,U$4)="",0,COUNTIF(Data!$B232:$U232,INDEX(Pengaturan!$B$8:$B$27,U$4)))</f>
        <v>0</v>
      </c>
      <c r="V232" s="26" t="n">
        <f aca="false">COUNTA(Data!$B232:$U232)</f>
        <v>0</v>
      </c>
      <c r="W232" s="27" t="str">
        <f aca="false">IF(V232=0,"",IF(V232&lt;&gt;Hasil!$C$4,"Data kosong/tidak lengkap",IF(SUM(B232:U232)&lt;&gt;V232,"Kategori tidak dikenal","OK")))</f>
        <v/>
      </c>
      <c r="X232" s="26" t="n">
        <f aca="false">IF(OR(W232="",W232="OK"),0,1)</f>
        <v>0</v>
      </c>
    </row>
    <row r="233" customFormat="false" ht="15" hidden="false" customHeight="false" outlineLevel="0" collapsed="false">
      <c r="A233" s="26" t="n">
        <f aca="false">Data!A233</f>
        <v>228</v>
      </c>
      <c r="B233" s="26" t="n">
        <f aca="false">IF(INDEX(Pengaturan!$B$8:$B$27,B$4)="",0,COUNTIF(Data!$B233:$U233,INDEX(Pengaturan!$B$8:$B$27,B$4)))</f>
        <v>0</v>
      </c>
      <c r="C233" s="26" t="n">
        <f aca="false">IF(INDEX(Pengaturan!$B$8:$B$27,C$4)="",0,COUNTIF(Data!$B233:$U233,INDEX(Pengaturan!$B$8:$B$27,C$4)))</f>
        <v>0</v>
      </c>
      <c r="D233" s="26" t="n">
        <f aca="false">IF(INDEX(Pengaturan!$B$8:$B$27,D$4)="",0,COUNTIF(Data!$B233:$U233,INDEX(Pengaturan!$B$8:$B$27,D$4)))</f>
        <v>0</v>
      </c>
      <c r="E233" s="26" t="n">
        <f aca="false">IF(INDEX(Pengaturan!$B$8:$B$27,E$4)="",0,COUNTIF(Data!$B233:$U233,INDEX(Pengaturan!$B$8:$B$27,E$4)))</f>
        <v>0</v>
      </c>
      <c r="F233" s="26" t="n">
        <f aca="false">IF(INDEX(Pengaturan!$B$8:$B$27,F$4)="",0,COUNTIF(Data!$B233:$U233,INDEX(Pengaturan!$B$8:$B$27,F$4)))</f>
        <v>0</v>
      </c>
      <c r="G233" s="26" t="n">
        <f aca="false">IF(INDEX(Pengaturan!$B$8:$B$27,G$4)="",0,COUNTIF(Data!$B233:$U233,INDEX(Pengaturan!$B$8:$B$27,G$4)))</f>
        <v>0</v>
      </c>
      <c r="H233" s="26" t="n">
        <f aca="false">IF(INDEX(Pengaturan!$B$8:$B$27,H$4)="",0,COUNTIF(Data!$B233:$U233,INDEX(Pengaturan!$B$8:$B$27,H$4)))</f>
        <v>0</v>
      </c>
      <c r="I233" s="26" t="n">
        <f aca="false">IF(INDEX(Pengaturan!$B$8:$B$27,I$4)="",0,COUNTIF(Data!$B233:$U233,INDEX(Pengaturan!$B$8:$B$27,I$4)))</f>
        <v>0</v>
      </c>
      <c r="J233" s="26" t="n">
        <f aca="false">IF(INDEX(Pengaturan!$B$8:$B$27,J$4)="",0,COUNTIF(Data!$B233:$U233,INDEX(Pengaturan!$B$8:$B$27,J$4)))</f>
        <v>0</v>
      </c>
      <c r="K233" s="26" t="n">
        <f aca="false">IF(INDEX(Pengaturan!$B$8:$B$27,K$4)="",0,COUNTIF(Data!$B233:$U233,INDEX(Pengaturan!$B$8:$B$27,K$4)))</f>
        <v>0</v>
      </c>
      <c r="L233" s="26" t="n">
        <f aca="false">IF(INDEX(Pengaturan!$B$8:$B$27,L$4)="",0,COUNTIF(Data!$B233:$U233,INDEX(Pengaturan!$B$8:$B$27,L$4)))</f>
        <v>0</v>
      </c>
      <c r="M233" s="26" t="n">
        <f aca="false">IF(INDEX(Pengaturan!$B$8:$B$27,M$4)="",0,COUNTIF(Data!$B233:$U233,INDEX(Pengaturan!$B$8:$B$27,M$4)))</f>
        <v>0</v>
      </c>
      <c r="N233" s="26" t="n">
        <f aca="false">IF(INDEX(Pengaturan!$B$8:$B$27,N$4)="",0,COUNTIF(Data!$B233:$U233,INDEX(Pengaturan!$B$8:$B$27,N$4)))</f>
        <v>0</v>
      </c>
      <c r="O233" s="26" t="n">
        <f aca="false">IF(INDEX(Pengaturan!$B$8:$B$27,O$4)="",0,COUNTIF(Data!$B233:$U233,INDEX(Pengaturan!$B$8:$B$27,O$4)))</f>
        <v>0</v>
      </c>
      <c r="P233" s="26" t="n">
        <f aca="false">IF(INDEX(Pengaturan!$B$8:$B$27,P$4)="",0,COUNTIF(Data!$B233:$U233,INDEX(Pengaturan!$B$8:$B$27,P$4)))</f>
        <v>0</v>
      </c>
      <c r="Q233" s="26" t="n">
        <f aca="false">IF(INDEX(Pengaturan!$B$8:$B$27,Q$4)="",0,COUNTIF(Data!$B233:$U233,INDEX(Pengaturan!$B$8:$B$27,Q$4)))</f>
        <v>0</v>
      </c>
      <c r="R233" s="26" t="n">
        <f aca="false">IF(INDEX(Pengaturan!$B$8:$B$27,R$4)="",0,COUNTIF(Data!$B233:$U233,INDEX(Pengaturan!$B$8:$B$27,R$4)))</f>
        <v>0</v>
      </c>
      <c r="S233" s="26" t="n">
        <f aca="false">IF(INDEX(Pengaturan!$B$8:$B$27,S$4)="",0,COUNTIF(Data!$B233:$U233,INDEX(Pengaturan!$B$8:$B$27,S$4)))</f>
        <v>0</v>
      </c>
      <c r="T233" s="26" t="n">
        <f aca="false">IF(INDEX(Pengaturan!$B$8:$B$27,T$4)="",0,COUNTIF(Data!$B233:$U233,INDEX(Pengaturan!$B$8:$B$27,T$4)))</f>
        <v>0</v>
      </c>
      <c r="U233" s="26" t="n">
        <f aca="false">IF(INDEX(Pengaturan!$B$8:$B$27,U$4)="",0,COUNTIF(Data!$B233:$U233,INDEX(Pengaturan!$B$8:$B$27,U$4)))</f>
        <v>0</v>
      </c>
      <c r="V233" s="26" t="n">
        <f aca="false">COUNTA(Data!$B233:$U233)</f>
        <v>0</v>
      </c>
      <c r="W233" s="27" t="str">
        <f aca="false">IF(V233=0,"",IF(V233&lt;&gt;Hasil!$C$4,"Data kosong/tidak lengkap",IF(SUM(B233:U233)&lt;&gt;V233,"Kategori tidak dikenal","OK")))</f>
        <v/>
      </c>
      <c r="X233" s="26" t="n">
        <f aca="false">IF(OR(W233="",W233="OK"),0,1)</f>
        <v>0</v>
      </c>
    </row>
    <row r="234" customFormat="false" ht="15" hidden="false" customHeight="false" outlineLevel="0" collapsed="false">
      <c r="A234" s="26" t="n">
        <f aca="false">Data!A234</f>
        <v>229</v>
      </c>
      <c r="B234" s="26" t="n">
        <f aca="false">IF(INDEX(Pengaturan!$B$8:$B$27,B$4)="",0,COUNTIF(Data!$B234:$U234,INDEX(Pengaturan!$B$8:$B$27,B$4)))</f>
        <v>0</v>
      </c>
      <c r="C234" s="26" t="n">
        <f aca="false">IF(INDEX(Pengaturan!$B$8:$B$27,C$4)="",0,COUNTIF(Data!$B234:$U234,INDEX(Pengaturan!$B$8:$B$27,C$4)))</f>
        <v>0</v>
      </c>
      <c r="D234" s="26" t="n">
        <f aca="false">IF(INDEX(Pengaturan!$B$8:$B$27,D$4)="",0,COUNTIF(Data!$B234:$U234,INDEX(Pengaturan!$B$8:$B$27,D$4)))</f>
        <v>0</v>
      </c>
      <c r="E234" s="26" t="n">
        <f aca="false">IF(INDEX(Pengaturan!$B$8:$B$27,E$4)="",0,COUNTIF(Data!$B234:$U234,INDEX(Pengaturan!$B$8:$B$27,E$4)))</f>
        <v>0</v>
      </c>
      <c r="F234" s="26" t="n">
        <f aca="false">IF(INDEX(Pengaturan!$B$8:$B$27,F$4)="",0,COUNTIF(Data!$B234:$U234,INDEX(Pengaturan!$B$8:$B$27,F$4)))</f>
        <v>0</v>
      </c>
      <c r="G234" s="26" t="n">
        <f aca="false">IF(INDEX(Pengaturan!$B$8:$B$27,G$4)="",0,COUNTIF(Data!$B234:$U234,INDEX(Pengaturan!$B$8:$B$27,G$4)))</f>
        <v>0</v>
      </c>
      <c r="H234" s="26" t="n">
        <f aca="false">IF(INDEX(Pengaturan!$B$8:$B$27,H$4)="",0,COUNTIF(Data!$B234:$U234,INDEX(Pengaturan!$B$8:$B$27,H$4)))</f>
        <v>0</v>
      </c>
      <c r="I234" s="26" t="n">
        <f aca="false">IF(INDEX(Pengaturan!$B$8:$B$27,I$4)="",0,COUNTIF(Data!$B234:$U234,INDEX(Pengaturan!$B$8:$B$27,I$4)))</f>
        <v>0</v>
      </c>
      <c r="J234" s="26" t="n">
        <f aca="false">IF(INDEX(Pengaturan!$B$8:$B$27,J$4)="",0,COUNTIF(Data!$B234:$U234,INDEX(Pengaturan!$B$8:$B$27,J$4)))</f>
        <v>0</v>
      </c>
      <c r="K234" s="26" t="n">
        <f aca="false">IF(INDEX(Pengaturan!$B$8:$B$27,K$4)="",0,COUNTIF(Data!$B234:$U234,INDEX(Pengaturan!$B$8:$B$27,K$4)))</f>
        <v>0</v>
      </c>
      <c r="L234" s="26" t="n">
        <f aca="false">IF(INDEX(Pengaturan!$B$8:$B$27,L$4)="",0,COUNTIF(Data!$B234:$U234,INDEX(Pengaturan!$B$8:$B$27,L$4)))</f>
        <v>0</v>
      </c>
      <c r="M234" s="26" t="n">
        <f aca="false">IF(INDEX(Pengaturan!$B$8:$B$27,M$4)="",0,COUNTIF(Data!$B234:$U234,INDEX(Pengaturan!$B$8:$B$27,M$4)))</f>
        <v>0</v>
      </c>
      <c r="N234" s="26" t="n">
        <f aca="false">IF(INDEX(Pengaturan!$B$8:$B$27,N$4)="",0,COUNTIF(Data!$B234:$U234,INDEX(Pengaturan!$B$8:$B$27,N$4)))</f>
        <v>0</v>
      </c>
      <c r="O234" s="26" t="n">
        <f aca="false">IF(INDEX(Pengaturan!$B$8:$B$27,O$4)="",0,COUNTIF(Data!$B234:$U234,INDEX(Pengaturan!$B$8:$B$27,O$4)))</f>
        <v>0</v>
      </c>
      <c r="P234" s="26" t="n">
        <f aca="false">IF(INDEX(Pengaturan!$B$8:$B$27,P$4)="",0,COUNTIF(Data!$B234:$U234,INDEX(Pengaturan!$B$8:$B$27,P$4)))</f>
        <v>0</v>
      </c>
      <c r="Q234" s="26" t="n">
        <f aca="false">IF(INDEX(Pengaturan!$B$8:$B$27,Q$4)="",0,COUNTIF(Data!$B234:$U234,INDEX(Pengaturan!$B$8:$B$27,Q$4)))</f>
        <v>0</v>
      </c>
      <c r="R234" s="26" t="n">
        <f aca="false">IF(INDEX(Pengaturan!$B$8:$B$27,R$4)="",0,COUNTIF(Data!$B234:$U234,INDEX(Pengaturan!$B$8:$B$27,R$4)))</f>
        <v>0</v>
      </c>
      <c r="S234" s="26" t="n">
        <f aca="false">IF(INDEX(Pengaturan!$B$8:$B$27,S$4)="",0,COUNTIF(Data!$B234:$U234,INDEX(Pengaturan!$B$8:$B$27,S$4)))</f>
        <v>0</v>
      </c>
      <c r="T234" s="26" t="n">
        <f aca="false">IF(INDEX(Pengaturan!$B$8:$B$27,T$4)="",0,COUNTIF(Data!$B234:$U234,INDEX(Pengaturan!$B$8:$B$27,T$4)))</f>
        <v>0</v>
      </c>
      <c r="U234" s="26" t="n">
        <f aca="false">IF(INDEX(Pengaturan!$B$8:$B$27,U$4)="",0,COUNTIF(Data!$B234:$U234,INDEX(Pengaturan!$B$8:$B$27,U$4)))</f>
        <v>0</v>
      </c>
      <c r="V234" s="26" t="n">
        <f aca="false">COUNTA(Data!$B234:$U234)</f>
        <v>0</v>
      </c>
      <c r="W234" s="27" t="str">
        <f aca="false">IF(V234=0,"",IF(V234&lt;&gt;Hasil!$C$4,"Data kosong/tidak lengkap",IF(SUM(B234:U234)&lt;&gt;V234,"Kategori tidak dikenal","OK")))</f>
        <v/>
      </c>
      <c r="X234" s="26" t="n">
        <f aca="false">IF(OR(W234="",W234="OK"),0,1)</f>
        <v>0</v>
      </c>
    </row>
    <row r="235" customFormat="false" ht="15" hidden="false" customHeight="false" outlineLevel="0" collapsed="false">
      <c r="A235" s="26" t="n">
        <f aca="false">Data!A235</f>
        <v>230</v>
      </c>
      <c r="B235" s="26" t="n">
        <f aca="false">IF(INDEX(Pengaturan!$B$8:$B$27,B$4)="",0,COUNTIF(Data!$B235:$U235,INDEX(Pengaturan!$B$8:$B$27,B$4)))</f>
        <v>0</v>
      </c>
      <c r="C235" s="26" t="n">
        <f aca="false">IF(INDEX(Pengaturan!$B$8:$B$27,C$4)="",0,COUNTIF(Data!$B235:$U235,INDEX(Pengaturan!$B$8:$B$27,C$4)))</f>
        <v>0</v>
      </c>
      <c r="D235" s="26" t="n">
        <f aca="false">IF(INDEX(Pengaturan!$B$8:$B$27,D$4)="",0,COUNTIF(Data!$B235:$U235,INDEX(Pengaturan!$B$8:$B$27,D$4)))</f>
        <v>0</v>
      </c>
      <c r="E235" s="26" t="n">
        <f aca="false">IF(INDEX(Pengaturan!$B$8:$B$27,E$4)="",0,COUNTIF(Data!$B235:$U235,INDEX(Pengaturan!$B$8:$B$27,E$4)))</f>
        <v>0</v>
      </c>
      <c r="F235" s="26" t="n">
        <f aca="false">IF(INDEX(Pengaturan!$B$8:$B$27,F$4)="",0,COUNTIF(Data!$B235:$U235,INDEX(Pengaturan!$B$8:$B$27,F$4)))</f>
        <v>0</v>
      </c>
      <c r="G235" s="26" t="n">
        <f aca="false">IF(INDEX(Pengaturan!$B$8:$B$27,G$4)="",0,COUNTIF(Data!$B235:$U235,INDEX(Pengaturan!$B$8:$B$27,G$4)))</f>
        <v>0</v>
      </c>
      <c r="H235" s="26" t="n">
        <f aca="false">IF(INDEX(Pengaturan!$B$8:$B$27,H$4)="",0,COUNTIF(Data!$B235:$U235,INDEX(Pengaturan!$B$8:$B$27,H$4)))</f>
        <v>0</v>
      </c>
      <c r="I235" s="26" t="n">
        <f aca="false">IF(INDEX(Pengaturan!$B$8:$B$27,I$4)="",0,COUNTIF(Data!$B235:$U235,INDEX(Pengaturan!$B$8:$B$27,I$4)))</f>
        <v>0</v>
      </c>
      <c r="J235" s="26" t="n">
        <f aca="false">IF(INDEX(Pengaturan!$B$8:$B$27,J$4)="",0,COUNTIF(Data!$B235:$U235,INDEX(Pengaturan!$B$8:$B$27,J$4)))</f>
        <v>0</v>
      </c>
      <c r="K235" s="26" t="n">
        <f aca="false">IF(INDEX(Pengaturan!$B$8:$B$27,K$4)="",0,COUNTIF(Data!$B235:$U235,INDEX(Pengaturan!$B$8:$B$27,K$4)))</f>
        <v>0</v>
      </c>
      <c r="L235" s="26" t="n">
        <f aca="false">IF(INDEX(Pengaturan!$B$8:$B$27,L$4)="",0,COUNTIF(Data!$B235:$U235,INDEX(Pengaturan!$B$8:$B$27,L$4)))</f>
        <v>0</v>
      </c>
      <c r="M235" s="26" t="n">
        <f aca="false">IF(INDEX(Pengaturan!$B$8:$B$27,M$4)="",0,COUNTIF(Data!$B235:$U235,INDEX(Pengaturan!$B$8:$B$27,M$4)))</f>
        <v>0</v>
      </c>
      <c r="N235" s="26" t="n">
        <f aca="false">IF(INDEX(Pengaturan!$B$8:$B$27,N$4)="",0,COUNTIF(Data!$B235:$U235,INDEX(Pengaturan!$B$8:$B$27,N$4)))</f>
        <v>0</v>
      </c>
      <c r="O235" s="26" t="n">
        <f aca="false">IF(INDEX(Pengaturan!$B$8:$B$27,O$4)="",0,COUNTIF(Data!$B235:$U235,INDEX(Pengaturan!$B$8:$B$27,O$4)))</f>
        <v>0</v>
      </c>
      <c r="P235" s="26" t="n">
        <f aca="false">IF(INDEX(Pengaturan!$B$8:$B$27,P$4)="",0,COUNTIF(Data!$B235:$U235,INDEX(Pengaturan!$B$8:$B$27,P$4)))</f>
        <v>0</v>
      </c>
      <c r="Q235" s="26" t="n">
        <f aca="false">IF(INDEX(Pengaturan!$B$8:$B$27,Q$4)="",0,COUNTIF(Data!$B235:$U235,INDEX(Pengaturan!$B$8:$B$27,Q$4)))</f>
        <v>0</v>
      </c>
      <c r="R235" s="26" t="n">
        <f aca="false">IF(INDEX(Pengaturan!$B$8:$B$27,R$4)="",0,COUNTIF(Data!$B235:$U235,INDEX(Pengaturan!$B$8:$B$27,R$4)))</f>
        <v>0</v>
      </c>
      <c r="S235" s="26" t="n">
        <f aca="false">IF(INDEX(Pengaturan!$B$8:$B$27,S$4)="",0,COUNTIF(Data!$B235:$U235,INDEX(Pengaturan!$B$8:$B$27,S$4)))</f>
        <v>0</v>
      </c>
      <c r="T235" s="26" t="n">
        <f aca="false">IF(INDEX(Pengaturan!$B$8:$B$27,T$4)="",0,COUNTIF(Data!$B235:$U235,INDEX(Pengaturan!$B$8:$B$27,T$4)))</f>
        <v>0</v>
      </c>
      <c r="U235" s="26" t="n">
        <f aca="false">IF(INDEX(Pengaturan!$B$8:$B$27,U$4)="",0,COUNTIF(Data!$B235:$U235,INDEX(Pengaturan!$B$8:$B$27,U$4)))</f>
        <v>0</v>
      </c>
      <c r="V235" s="26" t="n">
        <f aca="false">COUNTA(Data!$B235:$U235)</f>
        <v>0</v>
      </c>
      <c r="W235" s="27" t="str">
        <f aca="false">IF(V235=0,"",IF(V235&lt;&gt;Hasil!$C$4,"Data kosong/tidak lengkap",IF(SUM(B235:U235)&lt;&gt;V235,"Kategori tidak dikenal","OK")))</f>
        <v/>
      </c>
      <c r="X235" s="26" t="n">
        <f aca="false">IF(OR(W235="",W235="OK"),0,1)</f>
        <v>0</v>
      </c>
    </row>
    <row r="236" customFormat="false" ht="15" hidden="false" customHeight="false" outlineLevel="0" collapsed="false">
      <c r="A236" s="26" t="n">
        <f aca="false">Data!A236</f>
        <v>231</v>
      </c>
      <c r="B236" s="26" t="n">
        <f aca="false">IF(INDEX(Pengaturan!$B$8:$B$27,B$4)="",0,COUNTIF(Data!$B236:$U236,INDEX(Pengaturan!$B$8:$B$27,B$4)))</f>
        <v>0</v>
      </c>
      <c r="C236" s="26" t="n">
        <f aca="false">IF(INDEX(Pengaturan!$B$8:$B$27,C$4)="",0,COUNTIF(Data!$B236:$U236,INDEX(Pengaturan!$B$8:$B$27,C$4)))</f>
        <v>0</v>
      </c>
      <c r="D236" s="26" t="n">
        <f aca="false">IF(INDEX(Pengaturan!$B$8:$B$27,D$4)="",0,COUNTIF(Data!$B236:$U236,INDEX(Pengaturan!$B$8:$B$27,D$4)))</f>
        <v>0</v>
      </c>
      <c r="E236" s="26" t="n">
        <f aca="false">IF(INDEX(Pengaturan!$B$8:$B$27,E$4)="",0,COUNTIF(Data!$B236:$U236,INDEX(Pengaturan!$B$8:$B$27,E$4)))</f>
        <v>0</v>
      </c>
      <c r="F236" s="26" t="n">
        <f aca="false">IF(INDEX(Pengaturan!$B$8:$B$27,F$4)="",0,COUNTIF(Data!$B236:$U236,INDEX(Pengaturan!$B$8:$B$27,F$4)))</f>
        <v>0</v>
      </c>
      <c r="G236" s="26" t="n">
        <f aca="false">IF(INDEX(Pengaturan!$B$8:$B$27,G$4)="",0,COUNTIF(Data!$B236:$U236,INDEX(Pengaturan!$B$8:$B$27,G$4)))</f>
        <v>0</v>
      </c>
      <c r="H236" s="26" t="n">
        <f aca="false">IF(INDEX(Pengaturan!$B$8:$B$27,H$4)="",0,COUNTIF(Data!$B236:$U236,INDEX(Pengaturan!$B$8:$B$27,H$4)))</f>
        <v>0</v>
      </c>
      <c r="I236" s="26" t="n">
        <f aca="false">IF(INDEX(Pengaturan!$B$8:$B$27,I$4)="",0,COUNTIF(Data!$B236:$U236,INDEX(Pengaturan!$B$8:$B$27,I$4)))</f>
        <v>0</v>
      </c>
      <c r="J236" s="26" t="n">
        <f aca="false">IF(INDEX(Pengaturan!$B$8:$B$27,J$4)="",0,COUNTIF(Data!$B236:$U236,INDEX(Pengaturan!$B$8:$B$27,J$4)))</f>
        <v>0</v>
      </c>
      <c r="K236" s="26" t="n">
        <f aca="false">IF(INDEX(Pengaturan!$B$8:$B$27,K$4)="",0,COUNTIF(Data!$B236:$U236,INDEX(Pengaturan!$B$8:$B$27,K$4)))</f>
        <v>0</v>
      </c>
      <c r="L236" s="26" t="n">
        <f aca="false">IF(INDEX(Pengaturan!$B$8:$B$27,L$4)="",0,COUNTIF(Data!$B236:$U236,INDEX(Pengaturan!$B$8:$B$27,L$4)))</f>
        <v>0</v>
      </c>
      <c r="M236" s="26" t="n">
        <f aca="false">IF(INDEX(Pengaturan!$B$8:$B$27,M$4)="",0,COUNTIF(Data!$B236:$U236,INDEX(Pengaturan!$B$8:$B$27,M$4)))</f>
        <v>0</v>
      </c>
      <c r="N236" s="26" t="n">
        <f aca="false">IF(INDEX(Pengaturan!$B$8:$B$27,N$4)="",0,COUNTIF(Data!$B236:$U236,INDEX(Pengaturan!$B$8:$B$27,N$4)))</f>
        <v>0</v>
      </c>
      <c r="O236" s="26" t="n">
        <f aca="false">IF(INDEX(Pengaturan!$B$8:$B$27,O$4)="",0,COUNTIF(Data!$B236:$U236,INDEX(Pengaturan!$B$8:$B$27,O$4)))</f>
        <v>0</v>
      </c>
      <c r="P236" s="26" t="n">
        <f aca="false">IF(INDEX(Pengaturan!$B$8:$B$27,P$4)="",0,COUNTIF(Data!$B236:$U236,INDEX(Pengaturan!$B$8:$B$27,P$4)))</f>
        <v>0</v>
      </c>
      <c r="Q236" s="26" t="n">
        <f aca="false">IF(INDEX(Pengaturan!$B$8:$B$27,Q$4)="",0,COUNTIF(Data!$B236:$U236,INDEX(Pengaturan!$B$8:$B$27,Q$4)))</f>
        <v>0</v>
      </c>
      <c r="R236" s="26" t="n">
        <f aca="false">IF(INDEX(Pengaturan!$B$8:$B$27,R$4)="",0,COUNTIF(Data!$B236:$U236,INDEX(Pengaturan!$B$8:$B$27,R$4)))</f>
        <v>0</v>
      </c>
      <c r="S236" s="26" t="n">
        <f aca="false">IF(INDEX(Pengaturan!$B$8:$B$27,S$4)="",0,COUNTIF(Data!$B236:$U236,INDEX(Pengaturan!$B$8:$B$27,S$4)))</f>
        <v>0</v>
      </c>
      <c r="T236" s="26" t="n">
        <f aca="false">IF(INDEX(Pengaturan!$B$8:$B$27,T$4)="",0,COUNTIF(Data!$B236:$U236,INDEX(Pengaturan!$B$8:$B$27,T$4)))</f>
        <v>0</v>
      </c>
      <c r="U236" s="26" t="n">
        <f aca="false">IF(INDEX(Pengaturan!$B$8:$B$27,U$4)="",0,COUNTIF(Data!$B236:$U236,INDEX(Pengaturan!$B$8:$B$27,U$4)))</f>
        <v>0</v>
      </c>
      <c r="V236" s="26" t="n">
        <f aca="false">COUNTA(Data!$B236:$U236)</f>
        <v>0</v>
      </c>
      <c r="W236" s="27" t="str">
        <f aca="false">IF(V236=0,"",IF(V236&lt;&gt;Hasil!$C$4,"Data kosong/tidak lengkap",IF(SUM(B236:U236)&lt;&gt;V236,"Kategori tidak dikenal","OK")))</f>
        <v/>
      </c>
      <c r="X236" s="26" t="n">
        <f aca="false">IF(OR(W236="",W236="OK"),0,1)</f>
        <v>0</v>
      </c>
    </row>
    <row r="237" customFormat="false" ht="15" hidden="false" customHeight="false" outlineLevel="0" collapsed="false">
      <c r="A237" s="26" t="n">
        <f aca="false">Data!A237</f>
        <v>232</v>
      </c>
      <c r="B237" s="26" t="n">
        <f aca="false">IF(INDEX(Pengaturan!$B$8:$B$27,B$4)="",0,COUNTIF(Data!$B237:$U237,INDEX(Pengaturan!$B$8:$B$27,B$4)))</f>
        <v>0</v>
      </c>
      <c r="C237" s="26" t="n">
        <f aca="false">IF(INDEX(Pengaturan!$B$8:$B$27,C$4)="",0,COUNTIF(Data!$B237:$U237,INDEX(Pengaturan!$B$8:$B$27,C$4)))</f>
        <v>0</v>
      </c>
      <c r="D237" s="26" t="n">
        <f aca="false">IF(INDEX(Pengaturan!$B$8:$B$27,D$4)="",0,COUNTIF(Data!$B237:$U237,INDEX(Pengaturan!$B$8:$B$27,D$4)))</f>
        <v>0</v>
      </c>
      <c r="E237" s="26" t="n">
        <f aca="false">IF(INDEX(Pengaturan!$B$8:$B$27,E$4)="",0,COUNTIF(Data!$B237:$U237,INDEX(Pengaturan!$B$8:$B$27,E$4)))</f>
        <v>0</v>
      </c>
      <c r="F237" s="26" t="n">
        <f aca="false">IF(INDEX(Pengaturan!$B$8:$B$27,F$4)="",0,COUNTIF(Data!$B237:$U237,INDEX(Pengaturan!$B$8:$B$27,F$4)))</f>
        <v>0</v>
      </c>
      <c r="G237" s="26" t="n">
        <f aca="false">IF(INDEX(Pengaturan!$B$8:$B$27,G$4)="",0,COUNTIF(Data!$B237:$U237,INDEX(Pengaturan!$B$8:$B$27,G$4)))</f>
        <v>0</v>
      </c>
      <c r="H237" s="26" t="n">
        <f aca="false">IF(INDEX(Pengaturan!$B$8:$B$27,H$4)="",0,COUNTIF(Data!$B237:$U237,INDEX(Pengaturan!$B$8:$B$27,H$4)))</f>
        <v>0</v>
      </c>
      <c r="I237" s="26" t="n">
        <f aca="false">IF(INDEX(Pengaturan!$B$8:$B$27,I$4)="",0,COUNTIF(Data!$B237:$U237,INDEX(Pengaturan!$B$8:$B$27,I$4)))</f>
        <v>0</v>
      </c>
      <c r="J237" s="26" t="n">
        <f aca="false">IF(INDEX(Pengaturan!$B$8:$B$27,J$4)="",0,COUNTIF(Data!$B237:$U237,INDEX(Pengaturan!$B$8:$B$27,J$4)))</f>
        <v>0</v>
      </c>
      <c r="K237" s="26" t="n">
        <f aca="false">IF(INDEX(Pengaturan!$B$8:$B$27,K$4)="",0,COUNTIF(Data!$B237:$U237,INDEX(Pengaturan!$B$8:$B$27,K$4)))</f>
        <v>0</v>
      </c>
      <c r="L237" s="26" t="n">
        <f aca="false">IF(INDEX(Pengaturan!$B$8:$B$27,L$4)="",0,COUNTIF(Data!$B237:$U237,INDEX(Pengaturan!$B$8:$B$27,L$4)))</f>
        <v>0</v>
      </c>
      <c r="M237" s="26" t="n">
        <f aca="false">IF(INDEX(Pengaturan!$B$8:$B$27,M$4)="",0,COUNTIF(Data!$B237:$U237,INDEX(Pengaturan!$B$8:$B$27,M$4)))</f>
        <v>0</v>
      </c>
      <c r="N237" s="26" t="n">
        <f aca="false">IF(INDEX(Pengaturan!$B$8:$B$27,N$4)="",0,COUNTIF(Data!$B237:$U237,INDEX(Pengaturan!$B$8:$B$27,N$4)))</f>
        <v>0</v>
      </c>
      <c r="O237" s="26" t="n">
        <f aca="false">IF(INDEX(Pengaturan!$B$8:$B$27,O$4)="",0,COUNTIF(Data!$B237:$U237,INDEX(Pengaturan!$B$8:$B$27,O$4)))</f>
        <v>0</v>
      </c>
      <c r="P237" s="26" t="n">
        <f aca="false">IF(INDEX(Pengaturan!$B$8:$B$27,P$4)="",0,COUNTIF(Data!$B237:$U237,INDEX(Pengaturan!$B$8:$B$27,P$4)))</f>
        <v>0</v>
      </c>
      <c r="Q237" s="26" t="n">
        <f aca="false">IF(INDEX(Pengaturan!$B$8:$B$27,Q$4)="",0,COUNTIF(Data!$B237:$U237,INDEX(Pengaturan!$B$8:$B$27,Q$4)))</f>
        <v>0</v>
      </c>
      <c r="R237" s="26" t="n">
        <f aca="false">IF(INDEX(Pengaturan!$B$8:$B$27,R$4)="",0,COUNTIF(Data!$B237:$U237,INDEX(Pengaturan!$B$8:$B$27,R$4)))</f>
        <v>0</v>
      </c>
      <c r="S237" s="26" t="n">
        <f aca="false">IF(INDEX(Pengaturan!$B$8:$B$27,S$4)="",0,COUNTIF(Data!$B237:$U237,INDEX(Pengaturan!$B$8:$B$27,S$4)))</f>
        <v>0</v>
      </c>
      <c r="T237" s="26" t="n">
        <f aca="false">IF(INDEX(Pengaturan!$B$8:$B$27,T$4)="",0,COUNTIF(Data!$B237:$U237,INDEX(Pengaturan!$B$8:$B$27,T$4)))</f>
        <v>0</v>
      </c>
      <c r="U237" s="26" t="n">
        <f aca="false">IF(INDEX(Pengaturan!$B$8:$B$27,U$4)="",0,COUNTIF(Data!$B237:$U237,INDEX(Pengaturan!$B$8:$B$27,U$4)))</f>
        <v>0</v>
      </c>
      <c r="V237" s="26" t="n">
        <f aca="false">COUNTA(Data!$B237:$U237)</f>
        <v>0</v>
      </c>
      <c r="W237" s="27" t="str">
        <f aca="false">IF(V237=0,"",IF(V237&lt;&gt;Hasil!$C$4,"Data kosong/tidak lengkap",IF(SUM(B237:U237)&lt;&gt;V237,"Kategori tidak dikenal","OK")))</f>
        <v/>
      </c>
      <c r="X237" s="26" t="n">
        <f aca="false">IF(OR(W237="",W237="OK"),0,1)</f>
        <v>0</v>
      </c>
    </row>
    <row r="238" customFormat="false" ht="15" hidden="false" customHeight="false" outlineLevel="0" collapsed="false">
      <c r="A238" s="26" t="n">
        <f aca="false">Data!A238</f>
        <v>233</v>
      </c>
      <c r="B238" s="26" t="n">
        <f aca="false">IF(INDEX(Pengaturan!$B$8:$B$27,B$4)="",0,COUNTIF(Data!$B238:$U238,INDEX(Pengaturan!$B$8:$B$27,B$4)))</f>
        <v>0</v>
      </c>
      <c r="C238" s="26" t="n">
        <f aca="false">IF(INDEX(Pengaturan!$B$8:$B$27,C$4)="",0,COUNTIF(Data!$B238:$U238,INDEX(Pengaturan!$B$8:$B$27,C$4)))</f>
        <v>0</v>
      </c>
      <c r="D238" s="26" t="n">
        <f aca="false">IF(INDEX(Pengaturan!$B$8:$B$27,D$4)="",0,COUNTIF(Data!$B238:$U238,INDEX(Pengaturan!$B$8:$B$27,D$4)))</f>
        <v>0</v>
      </c>
      <c r="E238" s="26" t="n">
        <f aca="false">IF(INDEX(Pengaturan!$B$8:$B$27,E$4)="",0,COUNTIF(Data!$B238:$U238,INDEX(Pengaturan!$B$8:$B$27,E$4)))</f>
        <v>0</v>
      </c>
      <c r="F238" s="26" t="n">
        <f aca="false">IF(INDEX(Pengaturan!$B$8:$B$27,F$4)="",0,COUNTIF(Data!$B238:$U238,INDEX(Pengaturan!$B$8:$B$27,F$4)))</f>
        <v>0</v>
      </c>
      <c r="G238" s="26" t="n">
        <f aca="false">IF(INDEX(Pengaturan!$B$8:$B$27,G$4)="",0,COUNTIF(Data!$B238:$U238,INDEX(Pengaturan!$B$8:$B$27,G$4)))</f>
        <v>0</v>
      </c>
      <c r="H238" s="26" t="n">
        <f aca="false">IF(INDEX(Pengaturan!$B$8:$B$27,H$4)="",0,COUNTIF(Data!$B238:$U238,INDEX(Pengaturan!$B$8:$B$27,H$4)))</f>
        <v>0</v>
      </c>
      <c r="I238" s="26" t="n">
        <f aca="false">IF(INDEX(Pengaturan!$B$8:$B$27,I$4)="",0,COUNTIF(Data!$B238:$U238,INDEX(Pengaturan!$B$8:$B$27,I$4)))</f>
        <v>0</v>
      </c>
      <c r="J238" s="26" t="n">
        <f aca="false">IF(INDEX(Pengaturan!$B$8:$B$27,J$4)="",0,COUNTIF(Data!$B238:$U238,INDEX(Pengaturan!$B$8:$B$27,J$4)))</f>
        <v>0</v>
      </c>
      <c r="K238" s="26" t="n">
        <f aca="false">IF(INDEX(Pengaturan!$B$8:$B$27,K$4)="",0,COUNTIF(Data!$B238:$U238,INDEX(Pengaturan!$B$8:$B$27,K$4)))</f>
        <v>0</v>
      </c>
      <c r="L238" s="26" t="n">
        <f aca="false">IF(INDEX(Pengaturan!$B$8:$B$27,L$4)="",0,COUNTIF(Data!$B238:$U238,INDEX(Pengaturan!$B$8:$B$27,L$4)))</f>
        <v>0</v>
      </c>
      <c r="M238" s="26" t="n">
        <f aca="false">IF(INDEX(Pengaturan!$B$8:$B$27,M$4)="",0,COUNTIF(Data!$B238:$U238,INDEX(Pengaturan!$B$8:$B$27,M$4)))</f>
        <v>0</v>
      </c>
      <c r="N238" s="26" t="n">
        <f aca="false">IF(INDEX(Pengaturan!$B$8:$B$27,N$4)="",0,COUNTIF(Data!$B238:$U238,INDEX(Pengaturan!$B$8:$B$27,N$4)))</f>
        <v>0</v>
      </c>
      <c r="O238" s="26" t="n">
        <f aca="false">IF(INDEX(Pengaturan!$B$8:$B$27,O$4)="",0,COUNTIF(Data!$B238:$U238,INDEX(Pengaturan!$B$8:$B$27,O$4)))</f>
        <v>0</v>
      </c>
      <c r="P238" s="26" t="n">
        <f aca="false">IF(INDEX(Pengaturan!$B$8:$B$27,P$4)="",0,COUNTIF(Data!$B238:$U238,INDEX(Pengaturan!$B$8:$B$27,P$4)))</f>
        <v>0</v>
      </c>
      <c r="Q238" s="26" t="n">
        <f aca="false">IF(INDEX(Pengaturan!$B$8:$B$27,Q$4)="",0,COUNTIF(Data!$B238:$U238,INDEX(Pengaturan!$B$8:$B$27,Q$4)))</f>
        <v>0</v>
      </c>
      <c r="R238" s="26" t="n">
        <f aca="false">IF(INDEX(Pengaturan!$B$8:$B$27,R$4)="",0,COUNTIF(Data!$B238:$U238,INDEX(Pengaturan!$B$8:$B$27,R$4)))</f>
        <v>0</v>
      </c>
      <c r="S238" s="26" t="n">
        <f aca="false">IF(INDEX(Pengaturan!$B$8:$B$27,S$4)="",0,COUNTIF(Data!$B238:$U238,INDEX(Pengaturan!$B$8:$B$27,S$4)))</f>
        <v>0</v>
      </c>
      <c r="T238" s="26" t="n">
        <f aca="false">IF(INDEX(Pengaturan!$B$8:$B$27,T$4)="",0,COUNTIF(Data!$B238:$U238,INDEX(Pengaturan!$B$8:$B$27,T$4)))</f>
        <v>0</v>
      </c>
      <c r="U238" s="26" t="n">
        <f aca="false">IF(INDEX(Pengaturan!$B$8:$B$27,U$4)="",0,COUNTIF(Data!$B238:$U238,INDEX(Pengaturan!$B$8:$B$27,U$4)))</f>
        <v>0</v>
      </c>
      <c r="V238" s="26" t="n">
        <f aca="false">COUNTA(Data!$B238:$U238)</f>
        <v>0</v>
      </c>
      <c r="W238" s="27" t="str">
        <f aca="false">IF(V238=0,"",IF(V238&lt;&gt;Hasil!$C$4,"Data kosong/tidak lengkap",IF(SUM(B238:U238)&lt;&gt;V238,"Kategori tidak dikenal","OK")))</f>
        <v/>
      </c>
      <c r="X238" s="26" t="n">
        <f aca="false">IF(OR(W238="",W238="OK"),0,1)</f>
        <v>0</v>
      </c>
    </row>
    <row r="239" customFormat="false" ht="15" hidden="false" customHeight="false" outlineLevel="0" collapsed="false">
      <c r="A239" s="26" t="n">
        <f aca="false">Data!A239</f>
        <v>234</v>
      </c>
      <c r="B239" s="26" t="n">
        <f aca="false">IF(INDEX(Pengaturan!$B$8:$B$27,B$4)="",0,COUNTIF(Data!$B239:$U239,INDEX(Pengaturan!$B$8:$B$27,B$4)))</f>
        <v>0</v>
      </c>
      <c r="C239" s="26" t="n">
        <f aca="false">IF(INDEX(Pengaturan!$B$8:$B$27,C$4)="",0,COUNTIF(Data!$B239:$U239,INDEX(Pengaturan!$B$8:$B$27,C$4)))</f>
        <v>0</v>
      </c>
      <c r="D239" s="26" t="n">
        <f aca="false">IF(INDEX(Pengaturan!$B$8:$B$27,D$4)="",0,COUNTIF(Data!$B239:$U239,INDEX(Pengaturan!$B$8:$B$27,D$4)))</f>
        <v>0</v>
      </c>
      <c r="E239" s="26" t="n">
        <f aca="false">IF(INDEX(Pengaturan!$B$8:$B$27,E$4)="",0,COUNTIF(Data!$B239:$U239,INDEX(Pengaturan!$B$8:$B$27,E$4)))</f>
        <v>0</v>
      </c>
      <c r="F239" s="26" t="n">
        <f aca="false">IF(INDEX(Pengaturan!$B$8:$B$27,F$4)="",0,COUNTIF(Data!$B239:$U239,INDEX(Pengaturan!$B$8:$B$27,F$4)))</f>
        <v>0</v>
      </c>
      <c r="G239" s="26" t="n">
        <f aca="false">IF(INDEX(Pengaturan!$B$8:$B$27,G$4)="",0,COUNTIF(Data!$B239:$U239,INDEX(Pengaturan!$B$8:$B$27,G$4)))</f>
        <v>0</v>
      </c>
      <c r="H239" s="26" t="n">
        <f aca="false">IF(INDEX(Pengaturan!$B$8:$B$27,H$4)="",0,COUNTIF(Data!$B239:$U239,INDEX(Pengaturan!$B$8:$B$27,H$4)))</f>
        <v>0</v>
      </c>
      <c r="I239" s="26" t="n">
        <f aca="false">IF(INDEX(Pengaturan!$B$8:$B$27,I$4)="",0,COUNTIF(Data!$B239:$U239,INDEX(Pengaturan!$B$8:$B$27,I$4)))</f>
        <v>0</v>
      </c>
      <c r="J239" s="26" t="n">
        <f aca="false">IF(INDEX(Pengaturan!$B$8:$B$27,J$4)="",0,COUNTIF(Data!$B239:$U239,INDEX(Pengaturan!$B$8:$B$27,J$4)))</f>
        <v>0</v>
      </c>
      <c r="K239" s="26" t="n">
        <f aca="false">IF(INDEX(Pengaturan!$B$8:$B$27,K$4)="",0,COUNTIF(Data!$B239:$U239,INDEX(Pengaturan!$B$8:$B$27,K$4)))</f>
        <v>0</v>
      </c>
      <c r="L239" s="26" t="n">
        <f aca="false">IF(INDEX(Pengaturan!$B$8:$B$27,L$4)="",0,COUNTIF(Data!$B239:$U239,INDEX(Pengaturan!$B$8:$B$27,L$4)))</f>
        <v>0</v>
      </c>
      <c r="M239" s="26" t="n">
        <f aca="false">IF(INDEX(Pengaturan!$B$8:$B$27,M$4)="",0,COUNTIF(Data!$B239:$U239,INDEX(Pengaturan!$B$8:$B$27,M$4)))</f>
        <v>0</v>
      </c>
      <c r="N239" s="26" t="n">
        <f aca="false">IF(INDEX(Pengaturan!$B$8:$B$27,N$4)="",0,COUNTIF(Data!$B239:$U239,INDEX(Pengaturan!$B$8:$B$27,N$4)))</f>
        <v>0</v>
      </c>
      <c r="O239" s="26" t="n">
        <f aca="false">IF(INDEX(Pengaturan!$B$8:$B$27,O$4)="",0,COUNTIF(Data!$B239:$U239,INDEX(Pengaturan!$B$8:$B$27,O$4)))</f>
        <v>0</v>
      </c>
      <c r="P239" s="26" t="n">
        <f aca="false">IF(INDEX(Pengaturan!$B$8:$B$27,P$4)="",0,COUNTIF(Data!$B239:$U239,INDEX(Pengaturan!$B$8:$B$27,P$4)))</f>
        <v>0</v>
      </c>
      <c r="Q239" s="26" t="n">
        <f aca="false">IF(INDEX(Pengaturan!$B$8:$B$27,Q$4)="",0,COUNTIF(Data!$B239:$U239,INDEX(Pengaturan!$B$8:$B$27,Q$4)))</f>
        <v>0</v>
      </c>
      <c r="R239" s="26" t="n">
        <f aca="false">IF(INDEX(Pengaturan!$B$8:$B$27,R$4)="",0,COUNTIF(Data!$B239:$U239,INDEX(Pengaturan!$B$8:$B$27,R$4)))</f>
        <v>0</v>
      </c>
      <c r="S239" s="26" t="n">
        <f aca="false">IF(INDEX(Pengaturan!$B$8:$B$27,S$4)="",0,COUNTIF(Data!$B239:$U239,INDEX(Pengaturan!$B$8:$B$27,S$4)))</f>
        <v>0</v>
      </c>
      <c r="T239" s="26" t="n">
        <f aca="false">IF(INDEX(Pengaturan!$B$8:$B$27,T$4)="",0,COUNTIF(Data!$B239:$U239,INDEX(Pengaturan!$B$8:$B$27,T$4)))</f>
        <v>0</v>
      </c>
      <c r="U239" s="26" t="n">
        <f aca="false">IF(INDEX(Pengaturan!$B$8:$B$27,U$4)="",0,COUNTIF(Data!$B239:$U239,INDEX(Pengaturan!$B$8:$B$27,U$4)))</f>
        <v>0</v>
      </c>
      <c r="V239" s="26" t="n">
        <f aca="false">COUNTA(Data!$B239:$U239)</f>
        <v>0</v>
      </c>
      <c r="W239" s="27" t="str">
        <f aca="false">IF(V239=0,"",IF(V239&lt;&gt;Hasil!$C$4,"Data kosong/tidak lengkap",IF(SUM(B239:U239)&lt;&gt;V239,"Kategori tidak dikenal","OK")))</f>
        <v/>
      </c>
      <c r="X239" s="26" t="n">
        <f aca="false">IF(OR(W239="",W239="OK"),0,1)</f>
        <v>0</v>
      </c>
    </row>
    <row r="240" customFormat="false" ht="15" hidden="false" customHeight="false" outlineLevel="0" collapsed="false">
      <c r="A240" s="26" t="n">
        <f aca="false">Data!A240</f>
        <v>235</v>
      </c>
      <c r="B240" s="26" t="n">
        <f aca="false">IF(INDEX(Pengaturan!$B$8:$B$27,B$4)="",0,COUNTIF(Data!$B240:$U240,INDEX(Pengaturan!$B$8:$B$27,B$4)))</f>
        <v>0</v>
      </c>
      <c r="C240" s="26" t="n">
        <f aca="false">IF(INDEX(Pengaturan!$B$8:$B$27,C$4)="",0,COUNTIF(Data!$B240:$U240,INDEX(Pengaturan!$B$8:$B$27,C$4)))</f>
        <v>0</v>
      </c>
      <c r="D240" s="26" t="n">
        <f aca="false">IF(INDEX(Pengaturan!$B$8:$B$27,D$4)="",0,COUNTIF(Data!$B240:$U240,INDEX(Pengaturan!$B$8:$B$27,D$4)))</f>
        <v>0</v>
      </c>
      <c r="E240" s="26" t="n">
        <f aca="false">IF(INDEX(Pengaturan!$B$8:$B$27,E$4)="",0,COUNTIF(Data!$B240:$U240,INDEX(Pengaturan!$B$8:$B$27,E$4)))</f>
        <v>0</v>
      </c>
      <c r="F240" s="26" t="n">
        <f aca="false">IF(INDEX(Pengaturan!$B$8:$B$27,F$4)="",0,COUNTIF(Data!$B240:$U240,INDEX(Pengaturan!$B$8:$B$27,F$4)))</f>
        <v>0</v>
      </c>
      <c r="G240" s="26" t="n">
        <f aca="false">IF(INDEX(Pengaturan!$B$8:$B$27,G$4)="",0,COUNTIF(Data!$B240:$U240,INDEX(Pengaturan!$B$8:$B$27,G$4)))</f>
        <v>0</v>
      </c>
      <c r="H240" s="26" t="n">
        <f aca="false">IF(INDEX(Pengaturan!$B$8:$B$27,H$4)="",0,COUNTIF(Data!$B240:$U240,INDEX(Pengaturan!$B$8:$B$27,H$4)))</f>
        <v>0</v>
      </c>
      <c r="I240" s="26" t="n">
        <f aca="false">IF(INDEX(Pengaturan!$B$8:$B$27,I$4)="",0,COUNTIF(Data!$B240:$U240,INDEX(Pengaturan!$B$8:$B$27,I$4)))</f>
        <v>0</v>
      </c>
      <c r="J240" s="26" t="n">
        <f aca="false">IF(INDEX(Pengaturan!$B$8:$B$27,J$4)="",0,COUNTIF(Data!$B240:$U240,INDEX(Pengaturan!$B$8:$B$27,J$4)))</f>
        <v>0</v>
      </c>
      <c r="K240" s="26" t="n">
        <f aca="false">IF(INDEX(Pengaturan!$B$8:$B$27,K$4)="",0,COUNTIF(Data!$B240:$U240,INDEX(Pengaturan!$B$8:$B$27,K$4)))</f>
        <v>0</v>
      </c>
      <c r="L240" s="26" t="n">
        <f aca="false">IF(INDEX(Pengaturan!$B$8:$B$27,L$4)="",0,COUNTIF(Data!$B240:$U240,INDEX(Pengaturan!$B$8:$B$27,L$4)))</f>
        <v>0</v>
      </c>
      <c r="M240" s="26" t="n">
        <f aca="false">IF(INDEX(Pengaturan!$B$8:$B$27,M$4)="",0,COUNTIF(Data!$B240:$U240,INDEX(Pengaturan!$B$8:$B$27,M$4)))</f>
        <v>0</v>
      </c>
      <c r="N240" s="26" t="n">
        <f aca="false">IF(INDEX(Pengaturan!$B$8:$B$27,N$4)="",0,COUNTIF(Data!$B240:$U240,INDEX(Pengaturan!$B$8:$B$27,N$4)))</f>
        <v>0</v>
      </c>
      <c r="O240" s="26" t="n">
        <f aca="false">IF(INDEX(Pengaturan!$B$8:$B$27,O$4)="",0,COUNTIF(Data!$B240:$U240,INDEX(Pengaturan!$B$8:$B$27,O$4)))</f>
        <v>0</v>
      </c>
      <c r="P240" s="26" t="n">
        <f aca="false">IF(INDEX(Pengaturan!$B$8:$B$27,P$4)="",0,COUNTIF(Data!$B240:$U240,INDEX(Pengaturan!$B$8:$B$27,P$4)))</f>
        <v>0</v>
      </c>
      <c r="Q240" s="26" t="n">
        <f aca="false">IF(INDEX(Pengaturan!$B$8:$B$27,Q$4)="",0,COUNTIF(Data!$B240:$U240,INDEX(Pengaturan!$B$8:$B$27,Q$4)))</f>
        <v>0</v>
      </c>
      <c r="R240" s="26" t="n">
        <f aca="false">IF(INDEX(Pengaturan!$B$8:$B$27,R$4)="",0,COUNTIF(Data!$B240:$U240,INDEX(Pengaturan!$B$8:$B$27,R$4)))</f>
        <v>0</v>
      </c>
      <c r="S240" s="26" t="n">
        <f aca="false">IF(INDEX(Pengaturan!$B$8:$B$27,S$4)="",0,COUNTIF(Data!$B240:$U240,INDEX(Pengaturan!$B$8:$B$27,S$4)))</f>
        <v>0</v>
      </c>
      <c r="T240" s="26" t="n">
        <f aca="false">IF(INDEX(Pengaturan!$B$8:$B$27,T$4)="",0,COUNTIF(Data!$B240:$U240,INDEX(Pengaturan!$B$8:$B$27,T$4)))</f>
        <v>0</v>
      </c>
      <c r="U240" s="26" t="n">
        <f aca="false">IF(INDEX(Pengaturan!$B$8:$B$27,U$4)="",0,COUNTIF(Data!$B240:$U240,INDEX(Pengaturan!$B$8:$B$27,U$4)))</f>
        <v>0</v>
      </c>
      <c r="V240" s="26" t="n">
        <f aca="false">COUNTA(Data!$B240:$U240)</f>
        <v>0</v>
      </c>
      <c r="W240" s="27" t="str">
        <f aca="false">IF(V240=0,"",IF(V240&lt;&gt;Hasil!$C$4,"Data kosong/tidak lengkap",IF(SUM(B240:U240)&lt;&gt;V240,"Kategori tidak dikenal","OK")))</f>
        <v/>
      </c>
      <c r="X240" s="26" t="n">
        <f aca="false">IF(OR(W240="",W240="OK"),0,1)</f>
        <v>0</v>
      </c>
    </row>
    <row r="241" customFormat="false" ht="15" hidden="false" customHeight="false" outlineLevel="0" collapsed="false">
      <c r="A241" s="26" t="n">
        <f aca="false">Data!A241</f>
        <v>236</v>
      </c>
      <c r="B241" s="26" t="n">
        <f aca="false">IF(INDEX(Pengaturan!$B$8:$B$27,B$4)="",0,COUNTIF(Data!$B241:$U241,INDEX(Pengaturan!$B$8:$B$27,B$4)))</f>
        <v>0</v>
      </c>
      <c r="C241" s="26" t="n">
        <f aca="false">IF(INDEX(Pengaturan!$B$8:$B$27,C$4)="",0,COUNTIF(Data!$B241:$U241,INDEX(Pengaturan!$B$8:$B$27,C$4)))</f>
        <v>0</v>
      </c>
      <c r="D241" s="26" t="n">
        <f aca="false">IF(INDEX(Pengaturan!$B$8:$B$27,D$4)="",0,COUNTIF(Data!$B241:$U241,INDEX(Pengaturan!$B$8:$B$27,D$4)))</f>
        <v>0</v>
      </c>
      <c r="E241" s="26" t="n">
        <f aca="false">IF(INDEX(Pengaturan!$B$8:$B$27,E$4)="",0,COUNTIF(Data!$B241:$U241,INDEX(Pengaturan!$B$8:$B$27,E$4)))</f>
        <v>0</v>
      </c>
      <c r="F241" s="26" t="n">
        <f aca="false">IF(INDEX(Pengaturan!$B$8:$B$27,F$4)="",0,COUNTIF(Data!$B241:$U241,INDEX(Pengaturan!$B$8:$B$27,F$4)))</f>
        <v>0</v>
      </c>
      <c r="G241" s="26" t="n">
        <f aca="false">IF(INDEX(Pengaturan!$B$8:$B$27,G$4)="",0,COUNTIF(Data!$B241:$U241,INDEX(Pengaturan!$B$8:$B$27,G$4)))</f>
        <v>0</v>
      </c>
      <c r="H241" s="26" t="n">
        <f aca="false">IF(INDEX(Pengaturan!$B$8:$B$27,H$4)="",0,COUNTIF(Data!$B241:$U241,INDEX(Pengaturan!$B$8:$B$27,H$4)))</f>
        <v>0</v>
      </c>
      <c r="I241" s="26" t="n">
        <f aca="false">IF(INDEX(Pengaturan!$B$8:$B$27,I$4)="",0,COUNTIF(Data!$B241:$U241,INDEX(Pengaturan!$B$8:$B$27,I$4)))</f>
        <v>0</v>
      </c>
      <c r="J241" s="26" t="n">
        <f aca="false">IF(INDEX(Pengaturan!$B$8:$B$27,J$4)="",0,COUNTIF(Data!$B241:$U241,INDEX(Pengaturan!$B$8:$B$27,J$4)))</f>
        <v>0</v>
      </c>
      <c r="K241" s="26" t="n">
        <f aca="false">IF(INDEX(Pengaturan!$B$8:$B$27,K$4)="",0,COUNTIF(Data!$B241:$U241,INDEX(Pengaturan!$B$8:$B$27,K$4)))</f>
        <v>0</v>
      </c>
      <c r="L241" s="26" t="n">
        <f aca="false">IF(INDEX(Pengaturan!$B$8:$B$27,L$4)="",0,COUNTIF(Data!$B241:$U241,INDEX(Pengaturan!$B$8:$B$27,L$4)))</f>
        <v>0</v>
      </c>
      <c r="M241" s="26" t="n">
        <f aca="false">IF(INDEX(Pengaturan!$B$8:$B$27,M$4)="",0,COUNTIF(Data!$B241:$U241,INDEX(Pengaturan!$B$8:$B$27,M$4)))</f>
        <v>0</v>
      </c>
      <c r="N241" s="26" t="n">
        <f aca="false">IF(INDEX(Pengaturan!$B$8:$B$27,N$4)="",0,COUNTIF(Data!$B241:$U241,INDEX(Pengaturan!$B$8:$B$27,N$4)))</f>
        <v>0</v>
      </c>
      <c r="O241" s="26" t="n">
        <f aca="false">IF(INDEX(Pengaturan!$B$8:$B$27,O$4)="",0,COUNTIF(Data!$B241:$U241,INDEX(Pengaturan!$B$8:$B$27,O$4)))</f>
        <v>0</v>
      </c>
      <c r="P241" s="26" t="n">
        <f aca="false">IF(INDEX(Pengaturan!$B$8:$B$27,P$4)="",0,COUNTIF(Data!$B241:$U241,INDEX(Pengaturan!$B$8:$B$27,P$4)))</f>
        <v>0</v>
      </c>
      <c r="Q241" s="26" t="n">
        <f aca="false">IF(INDEX(Pengaturan!$B$8:$B$27,Q$4)="",0,COUNTIF(Data!$B241:$U241,INDEX(Pengaturan!$B$8:$B$27,Q$4)))</f>
        <v>0</v>
      </c>
      <c r="R241" s="26" t="n">
        <f aca="false">IF(INDEX(Pengaturan!$B$8:$B$27,R$4)="",0,COUNTIF(Data!$B241:$U241,INDEX(Pengaturan!$B$8:$B$27,R$4)))</f>
        <v>0</v>
      </c>
      <c r="S241" s="26" t="n">
        <f aca="false">IF(INDEX(Pengaturan!$B$8:$B$27,S$4)="",0,COUNTIF(Data!$B241:$U241,INDEX(Pengaturan!$B$8:$B$27,S$4)))</f>
        <v>0</v>
      </c>
      <c r="T241" s="26" t="n">
        <f aca="false">IF(INDEX(Pengaturan!$B$8:$B$27,T$4)="",0,COUNTIF(Data!$B241:$U241,INDEX(Pengaturan!$B$8:$B$27,T$4)))</f>
        <v>0</v>
      </c>
      <c r="U241" s="26" t="n">
        <f aca="false">IF(INDEX(Pengaturan!$B$8:$B$27,U$4)="",0,COUNTIF(Data!$B241:$U241,INDEX(Pengaturan!$B$8:$B$27,U$4)))</f>
        <v>0</v>
      </c>
      <c r="V241" s="26" t="n">
        <f aca="false">COUNTA(Data!$B241:$U241)</f>
        <v>0</v>
      </c>
      <c r="W241" s="27" t="str">
        <f aca="false">IF(V241=0,"",IF(V241&lt;&gt;Hasil!$C$4,"Data kosong/tidak lengkap",IF(SUM(B241:U241)&lt;&gt;V241,"Kategori tidak dikenal","OK")))</f>
        <v/>
      </c>
      <c r="X241" s="26" t="n">
        <f aca="false">IF(OR(W241="",W241="OK"),0,1)</f>
        <v>0</v>
      </c>
    </row>
    <row r="242" customFormat="false" ht="15" hidden="false" customHeight="false" outlineLevel="0" collapsed="false">
      <c r="A242" s="26" t="n">
        <f aca="false">Data!A242</f>
        <v>237</v>
      </c>
      <c r="B242" s="26" t="n">
        <f aca="false">IF(INDEX(Pengaturan!$B$8:$B$27,B$4)="",0,COUNTIF(Data!$B242:$U242,INDEX(Pengaturan!$B$8:$B$27,B$4)))</f>
        <v>0</v>
      </c>
      <c r="C242" s="26" t="n">
        <f aca="false">IF(INDEX(Pengaturan!$B$8:$B$27,C$4)="",0,COUNTIF(Data!$B242:$U242,INDEX(Pengaturan!$B$8:$B$27,C$4)))</f>
        <v>0</v>
      </c>
      <c r="D242" s="26" t="n">
        <f aca="false">IF(INDEX(Pengaturan!$B$8:$B$27,D$4)="",0,COUNTIF(Data!$B242:$U242,INDEX(Pengaturan!$B$8:$B$27,D$4)))</f>
        <v>0</v>
      </c>
      <c r="E242" s="26" t="n">
        <f aca="false">IF(INDEX(Pengaturan!$B$8:$B$27,E$4)="",0,COUNTIF(Data!$B242:$U242,INDEX(Pengaturan!$B$8:$B$27,E$4)))</f>
        <v>0</v>
      </c>
      <c r="F242" s="26" t="n">
        <f aca="false">IF(INDEX(Pengaturan!$B$8:$B$27,F$4)="",0,COUNTIF(Data!$B242:$U242,INDEX(Pengaturan!$B$8:$B$27,F$4)))</f>
        <v>0</v>
      </c>
      <c r="G242" s="26" t="n">
        <f aca="false">IF(INDEX(Pengaturan!$B$8:$B$27,G$4)="",0,COUNTIF(Data!$B242:$U242,INDEX(Pengaturan!$B$8:$B$27,G$4)))</f>
        <v>0</v>
      </c>
      <c r="H242" s="26" t="n">
        <f aca="false">IF(INDEX(Pengaturan!$B$8:$B$27,H$4)="",0,COUNTIF(Data!$B242:$U242,INDEX(Pengaturan!$B$8:$B$27,H$4)))</f>
        <v>0</v>
      </c>
      <c r="I242" s="26" t="n">
        <f aca="false">IF(INDEX(Pengaturan!$B$8:$B$27,I$4)="",0,COUNTIF(Data!$B242:$U242,INDEX(Pengaturan!$B$8:$B$27,I$4)))</f>
        <v>0</v>
      </c>
      <c r="J242" s="26" t="n">
        <f aca="false">IF(INDEX(Pengaturan!$B$8:$B$27,J$4)="",0,COUNTIF(Data!$B242:$U242,INDEX(Pengaturan!$B$8:$B$27,J$4)))</f>
        <v>0</v>
      </c>
      <c r="K242" s="26" t="n">
        <f aca="false">IF(INDEX(Pengaturan!$B$8:$B$27,K$4)="",0,COUNTIF(Data!$B242:$U242,INDEX(Pengaturan!$B$8:$B$27,K$4)))</f>
        <v>0</v>
      </c>
      <c r="L242" s="26" t="n">
        <f aca="false">IF(INDEX(Pengaturan!$B$8:$B$27,L$4)="",0,COUNTIF(Data!$B242:$U242,INDEX(Pengaturan!$B$8:$B$27,L$4)))</f>
        <v>0</v>
      </c>
      <c r="M242" s="26" t="n">
        <f aca="false">IF(INDEX(Pengaturan!$B$8:$B$27,M$4)="",0,COUNTIF(Data!$B242:$U242,INDEX(Pengaturan!$B$8:$B$27,M$4)))</f>
        <v>0</v>
      </c>
      <c r="N242" s="26" t="n">
        <f aca="false">IF(INDEX(Pengaturan!$B$8:$B$27,N$4)="",0,COUNTIF(Data!$B242:$U242,INDEX(Pengaturan!$B$8:$B$27,N$4)))</f>
        <v>0</v>
      </c>
      <c r="O242" s="26" t="n">
        <f aca="false">IF(INDEX(Pengaturan!$B$8:$B$27,O$4)="",0,COUNTIF(Data!$B242:$U242,INDEX(Pengaturan!$B$8:$B$27,O$4)))</f>
        <v>0</v>
      </c>
      <c r="P242" s="26" t="n">
        <f aca="false">IF(INDEX(Pengaturan!$B$8:$B$27,P$4)="",0,COUNTIF(Data!$B242:$U242,INDEX(Pengaturan!$B$8:$B$27,P$4)))</f>
        <v>0</v>
      </c>
      <c r="Q242" s="26" t="n">
        <f aca="false">IF(INDEX(Pengaturan!$B$8:$B$27,Q$4)="",0,COUNTIF(Data!$B242:$U242,INDEX(Pengaturan!$B$8:$B$27,Q$4)))</f>
        <v>0</v>
      </c>
      <c r="R242" s="26" t="n">
        <f aca="false">IF(INDEX(Pengaturan!$B$8:$B$27,R$4)="",0,COUNTIF(Data!$B242:$U242,INDEX(Pengaturan!$B$8:$B$27,R$4)))</f>
        <v>0</v>
      </c>
      <c r="S242" s="26" t="n">
        <f aca="false">IF(INDEX(Pengaturan!$B$8:$B$27,S$4)="",0,COUNTIF(Data!$B242:$U242,INDEX(Pengaturan!$B$8:$B$27,S$4)))</f>
        <v>0</v>
      </c>
      <c r="T242" s="26" t="n">
        <f aca="false">IF(INDEX(Pengaturan!$B$8:$B$27,T$4)="",0,COUNTIF(Data!$B242:$U242,INDEX(Pengaturan!$B$8:$B$27,T$4)))</f>
        <v>0</v>
      </c>
      <c r="U242" s="26" t="n">
        <f aca="false">IF(INDEX(Pengaturan!$B$8:$B$27,U$4)="",0,COUNTIF(Data!$B242:$U242,INDEX(Pengaturan!$B$8:$B$27,U$4)))</f>
        <v>0</v>
      </c>
      <c r="V242" s="26" t="n">
        <f aca="false">COUNTA(Data!$B242:$U242)</f>
        <v>0</v>
      </c>
      <c r="W242" s="27" t="str">
        <f aca="false">IF(V242=0,"",IF(V242&lt;&gt;Hasil!$C$4,"Data kosong/tidak lengkap",IF(SUM(B242:U242)&lt;&gt;V242,"Kategori tidak dikenal","OK")))</f>
        <v/>
      </c>
      <c r="X242" s="26" t="n">
        <f aca="false">IF(OR(W242="",W242="OK"),0,1)</f>
        <v>0</v>
      </c>
    </row>
    <row r="243" customFormat="false" ht="15" hidden="false" customHeight="false" outlineLevel="0" collapsed="false">
      <c r="A243" s="26" t="n">
        <f aca="false">Data!A243</f>
        <v>238</v>
      </c>
      <c r="B243" s="26" t="n">
        <f aca="false">IF(INDEX(Pengaturan!$B$8:$B$27,B$4)="",0,COUNTIF(Data!$B243:$U243,INDEX(Pengaturan!$B$8:$B$27,B$4)))</f>
        <v>0</v>
      </c>
      <c r="C243" s="26" t="n">
        <f aca="false">IF(INDEX(Pengaturan!$B$8:$B$27,C$4)="",0,COUNTIF(Data!$B243:$U243,INDEX(Pengaturan!$B$8:$B$27,C$4)))</f>
        <v>0</v>
      </c>
      <c r="D243" s="26" t="n">
        <f aca="false">IF(INDEX(Pengaturan!$B$8:$B$27,D$4)="",0,COUNTIF(Data!$B243:$U243,INDEX(Pengaturan!$B$8:$B$27,D$4)))</f>
        <v>0</v>
      </c>
      <c r="E243" s="26" t="n">
        <f aca="false">IF(INDEX(Pengaturan!$B$8:$B$27,E$4)="",0,COUNTIF(Data!$B243:$U243,INDEX(Pengaturan!$B$8:$B$27,E$4)))</f>
        <v>0</v>
      </c>
      <c r="F243" s="26" t="n">
        <f aca="false">IF(INDEX(Pengaturan!$B$8:$B$27,F$4)="",0,COUNTIF(Data!$B243:$U243,INDEX(Pengaturan!$B$8:$B$27,F$4)))</f>
        <v>0</v>
      </c>
      <c r="G243" s="26" t="n">
        <f aca="false">IF(INDEX(Pengaturan!$B$8:$B$27,G$4)="",0,COUNTIF(Data!$B243:$U243,INDEX(Pengaturan!$B$8:$B$27,G$4)))</f>
        <v>0</v>
      </c>
      <c r="H243" s="26" t="n">
        <f aca="false">IF(INDEX(Pengaturan!$B$8:$B$27,H$4)="",0,COUNTIF(Data!$B243:$U243,INDEX(Pengaturan!$B$8:$B$27,H$4)))</f>
        <v>0</v>
      </c>
      <c r="I243" s="26" t="n">
        <f aca="false">IF(INDEX(Pengaturan!$B$8:$B$27,I$4)="",0,COUNTIF(Data!$B243:$U243,INDEX(Pengaturan!$B$8:$B$27,I$4)))</f>
        <v>0</v>
      </c>
      <c r="J243" s="26" t="n">
        <f aca="false">IF(INDEX(Pengaturan!$B$8:$B$27,J$4)="",0,COUNTIF(Data!$B243:$U243,INDEX(Pengaturan!$B$8:$B$27,J$4)))</f>
        <v>0</v>
      </c>
      <c r="K243" s="26" t="n">
        <f aca="false">IF(INDEX(Pengaturan!$B$8:$B$27,K$4)="",0,COUNTIF(Data!$B243:$U243,INDEX(Pengaturan!$B$8:$B$27,K$4)))</f>
        <v>0</v>
      </c>
      <c r="L243" s="26" t="n">
        <f aca="false">IF(INDEX(Pengaturan!$B$8:$B$27,L$4)="",0,COUNTIF(Data!$B243:$U243,INDEX(Pengaturan!$B$8:$B$27,L$4)))</f>
        <v>0</v>
      </c>
      <c r="M243" s="26" t="n">
        <f aca="false">IF(INDEX(Pengaturan!$B$8:$B$27,M$4)="",0,COUNTIF(Data!$B243:$U243,INDEX(Pengaturan!$B$8:$B$27,M$4)))</f>
        <v>0</v>
      </c>
      <c r="N243" s="26" t="n">
        <f aca="false">IF(INDEX(Pengaturan!$B$8:$B$27,N$4)="",0,COUNTIF(Data!$B243:$U243,INDEX(Pengaturan!$B$8:$B$27,N$4)))</f>
        <v>0</v>
      </c>
      <c r="O243" s="26" t="n">
        <f aca="false">IF(INDEX(Pengaturan!$B$8:$B$27,O$4)="",0,COUNTIF(Data!$B243:$U243,INDEX(Pengaturan!$B$8:$B$27,O$4)))</f>
        <v>0</v>
      </c>
      <c r="P243" s="26" t="n">
        <f aca="false">IF(INDEX(Pengaturan!$B$8:$B$27,P$4)="",0,COUNTIF(Data!$B243:$U243,INDEX(Pengaturan!$B$8:$B$27,P$4)))</f>
        <v>0</v>
      </c>
      <c r="Q243" s="26" t="n">
        <f aca="false">IF(INDEX(Pengaturan!$B$8:$B$27,Q$4)="",0,COUNTIF(Data!$B243:$U243,INDEX(Pengaturan!$B$8:$B$27,Q$4)))</f>
        <v>0</v>
      </c>
      <c r="R243" s="26" t="n">
        <f aca="false">IF(INDEX(Pengaturan!$B$8:$B$27,R$4)="",0,COUNTIF(Data!$B243:$U243,INDEX(Pengaturan!$B$8:$B$27,R$4)))</f>
        <v>0</v>
      </c>
      <c r="S243" s="26" t="n">
        <f aca="false">IF(INDEX(Pengaturan!$B$8:$B$27,S$4)="",0,COUNTIF(Data!$B243:$U243,INDEX(Pengaturan!$B$8:$B$27,S$4)))</f>
        <v>0</v>
      </c>
      <c r="T243" s="26" t="n">
        <f aca="false">IF(INDEX(Pengaturan!$B$8:$B$27,T$4)="",0,COUNTIF(Data!$B243:$U243,INDEX(Pengaturan!$B$8:$B$27,T$4)))</f>
        <v>0</v>
      </c>
      <c r="U243" s="26" t="n">
        <f aca="false">IF(INDEX(Pengaturan!$B$8:$B$27,U$4)="",0,COUNTIF(Data!$B243:$U243,INDEX(Pengaturan!$B$8:$B$27,U$4)))</f>
        <v>0</v>
      </c>
      <c r="V243" s="26" t="n">
        <f aca="false">COUNTA(Data!$B243:$U243)</f>
        <v>0</v>
      </c>
      <c r="W243" s="27" t="str">
        <f aca="false">IF(V243=0,"",IF(V243&lt;&gt;Hasil!$C$4,"Data kosong/tidak lengkap",IF(SUM(B243:U243)&lt;&gt;V243,"Kategori tidak dikenal","OK")))</f>
        <v/>
      </c>
      <c r="X243" s="26" t="n">
        <f aca="false">IF(OR(W243="",W243="OK"),0,1)</f>
        <v>0</v>
      </c>
    </row>
    <row r="244" customFormat="false" ht="15" hidden="false" customHeight="false" outlineLevel="0" collapsed="false">
      <c r="A244" s="26" t="n">
        <f aca="false">Data!A244</f>
        <v>239</v>
      </c>
      <c r="B244" s="26" t="n">
        <f aca="false">IF(INDEX(Pengaturan!$B$8:$B$27,B$4)="",0,COUNTIF(Data!$B244:$U244,INDEX(Pengaturan!$B$8:$B$27,B$4)))</f>
        <v>0</v>
      </c>
      <c r="C244" s="26" t="n">
        <f aca="false">IF(INDEX(Pengaturan!$B$8:$B$27,C$4)="",0,COUNTIF(Data!$B244:$U244,INDEX(Pengaturan!$B$8:$B$27,C$4)))</f>
        <v>0</v>
      </c>
      <c r="D244" s="26" t="n">
        <f aca="false">IF(INDEX(Pengaturan!$B$8:$B$27,D$4)="",0,COUNTIF(Data!$B244:$U244,INDEX(Pengaturan!$B$8:$B$27,D$4)))</f>
        <v>0</v>
      </c>
      <c r="E244" s="26" t="n">
        <f aca="false">IF(INDEX(Pengaturan!$B$8:$B$27,E$4)="",0,COUNTIF(Data!$B244:$U244,INDEX(Pengaturan!$B$8:$B$27,E$4)))</f>
        <v>0</v>
      </c>
      <c r="F244" s="26" t="n">
        <f aca="false">IF(INDEX(Pengaturan!$B$8:$B$27,F$4)="",0,COUNTIF(Data!$B244:$U244,INDEX(Pengaturan!$B$8:$B$27,F$4)))</f>
        <v>0</v>
      </c>
      <c r="G244" s="26" t="n">
        <f aca="false">IF(INDEX(Pengaturan!$B$8:$B$27,G$4)="",0,COUNTIF(Data!$B244:$U244,INDEX(Pengaturan!$B$8:$B$27,G$4)))</f>
        <v>0</v>
      </c>
      <c r="H244" s="26" t="n">
        <f aca="false">IF(INDEX(Pengaturan!$B$8:$B$27,H$4)="",0,COUNTIF(Data!$B244:$U244,INDEX(Pengaturan!$B$8:$B$27,H$4)))</f>
        <v>0</v>
      </c>
      <c r="I244" s="26" t="n">
        <f aca="false">IF(INDEX(Pengaturan!$B$8:$B$27,I$4)="",0,COUNTIF(Data!$B244:$U244,INDEX(Pengaturan!$B$8:$B$27,I$4)))</f>
        <v>0</v>
      </c>
      <c r="J244" s="26" t="n">
        <f aca="false">IF(INDEX(Pengaturan!$B$8:$B$27,J$4)="",0,COUNTIF(Data!$B244:$U244,INDEX(Pengaturan!$B$8:$B$27,J$4)))</f>
        <v>0</v>
      </c>
      <c r="K244" s="26" t="n">
        <f aca="false">IF(INDEX(Pengaturan!$B$8:$B$27,K$4)="",0,COUNTIF(Data!$B244:$U244,INDEX(Pengaturan!$B$8:$B$27,K$4)))</f>
        <v>0</v>
      </c>
      <c r="L244" s="26" t="n">
        <f aca="false">IF(INDEX(Pengaturan!$B$8:$B$27,L$4)="",0,COUNTIF(Data!$B244:$U244,INDEX(Pengaturan!$B$8:$B$27,L$4)))</f>
        <v>0</v>
      </c>
      <c r="M244" s="26" t="n">
        <f aca="false">IF(INDEX(Pengaturan!$B$8:$B$27,M$4)="",0,COUNTIF(Data!$B244:$U244,INDEX(Pengaturan!$B$8:$B$27,M$4)))</f>
        <v>0</v>
      </c>
      <c r="N244" s="26" t="n">
        <f aca="false">IF(INDEX(Pengaturan!$B$8:$B$27,N$4)="",0,COUNTIF(Data!$B244:$U244,INDEX(Pengaturan!$B$8:$B$27,N$4)))</f>
        <v>0</v>
      </c>
      <c r="O244" s="26" t="n">
        <f aca="false">IF(INDEX(Pengaturan!$B$8:$B$27,O$4)="",0,COUNTIF(Data!$B244:$U244,INDEX(Pengaturan!$B$8:$B$27,O$4)))</f>
        <v>0</v>
      </c>
      <c r="P244" s="26" t="n">
        <f aca="false">IF(INDEX(Pengaturan!$B$8:$B$27,P$4)="",0,COUNTIF(Data!$B244:$U244,INDEX(Pengaturan!$B$8:$B$27,P$4)))</f>
        <v>0</v>
      </c>
      <c r="Q244" s="26" t="n">
        <f aca="false">IF(INDEX(Pengaturan!$B$8:$B$27,Q$4)="",0,COUNTIF(Data!$B244:$U244,INDEX(Pengaturan!$B$8:$B$27,Q$4)))</f>
        <v>0</v>
      </c>
      <c r="R244" s="26" t="n">
        <f aca="false">IF(INDEX(Pengaturan!$B$8:$B$27,R$4)="",0,COUNTIF(Data!$B244:$U244,INDEX(Pengaturan!$B$8:$B$27,R$4)))</f>
        <v>0</v>
      </c>
      <c r="S244" s="26" t="n">
        <f aca="false">IF(INDEX(Pengaturan!$B$8:$B$27,S$4)="",0,COUNTIF(Data!$B244:$U244,INDEX(Pengaturan!$B$8:$B$27,S$4)))</f>
        <v>0</v>
      </c>
      <c r="T244" s="26" t="n">
        <f aca="false">IF(INDEX(Pengaturan!$B$8:$B$27,T$4)="",0,COUNTIF(Data!$B244:$U244,INDEX(Pengaturan!$B$8:$B$27,T$4)))</f>
        <v>0</v>
      </c>
      <c r="U244" s="26" t="n">
        <f aca="false">IF(INDEX(Pengaturan!$B$8:$B$27,U$4)="",0,COUNTIF(Data!$B244:$U244,INDEX(Pengaturan!$B$8:$B$27,U$4)))</f>
        <v>0</v>
      </c>
      <c r="V244" s="26" t="n">
        <f aca="false">COUNTA(Data!$B244:$U244)</f>
        <v>0</v>
      </c>
      <c r="W244" s="27" t="str">
        <f aca="false">IF(V244=0,"",IF(V244&lt;&gt;Hasil!$C$4,"Data kosong/tidak lengkap",IF(SUM(B244:U244)&lt;&gt;V244,"Kategori tidak dikenal","OK")))</f>
        <v/>
      </c>
      <c r="X244" s="26" t="n">
        <f aca="false">IF(OR(W244="",W244="OK"),0,1)</f>
        <v>0</v>
      </c>
    </row>
    <row r="245" customFormat="false" ht="15" hidden="false" customHeight="false" outlineLevel="0" collapsed="false">
      <c r="A245" s="26" t="n">
        <f aca="false">Data!A245</f>
        <v>240</v>
      </c>
      <c r="B245" s="26" t="n">
        <f aca="false">IF(INDEX(Pengaturan!$B$8:$B$27,B$4)="",0,COUNTIF(Data!$B245:$U245,INDEX(Pengaturan!$B$8:$B$27,B$4)))</f>
        <v>0</v>
      </c>
      <c r="C245" s="26" t="n">
        <f aca="false">IF(INDEX(Pengaturan!$B$8:$B$27,C$4)="",0,COUNTIF(Data!$B245:$U245,INDEX(Pengaturan!$B$8:$B$27,C$4)))</f>
        <v>0</v>
      </c>
      <c r="D245" s="26" t="n">
        <f aca="false">IF(INDEX(Pengaturan!$B$8:$B$27,D$4)="",0,COUNTIF(Data!$B245:$U245,INDEX(Pengaturan!$B$8:$B$27,D$4)))</f>
        <v>0</v>
      </c>
      <c r="E245" s="26" t="n">
        <f aca="false">IF(INDEX(Pengaturan!$B$8:$B$27,E$4)="",0,COUNTIF(Data!$B245:$U245,INDEX(Pengaturan!$B$8:$B$27,E$4)))</f>
        <v>0</v>
      </c>
      <c r="F245" s="26" t="n">
        <f aca="false">IF(INDEX(Pengaturan!$B$8:$B$27,F$4)="",0,COUNTIF(Data!$B245:$U245,INDEX(Pengaturan!$B$8:$B$27,F$4)))</f>
        <v>0</v>
      </c>
      <c r="G245" s="26" t="n">
        <f aca="false">IF(INDEX(Pengaturan!$B$8:$B$27,G$4)="",0,COUNTIF(Data!$B245:$U245,INDEX(Pengaturan!$B$8:$B$27,G$4)))</f>
        <v>0</v>
      </c>
      <c r="H245" s="26" t="n">
        <f aca="false">IF(INDEX(Pengaturan!$B$8:$B$27,H$4)="",0,COUNTIF(Data!$B245:$U245,INDEX(Pengaturan!$B$8:$B$27,H$4)))</f>
        <v>0</v>
      </c>
      <c r="I245" s="26" t="n">
        <f aca="false">IF(INDEX(Pengaturan!$B$8:$B$27,I$4)="",0,COUNTIF(Data!$B245:$U245,INDEX(Pengaturan!$B$8:$B$27,I$4)))</f>
        <v>0</v>
      </c>
      <c r="J245" s="26" t="n">
        <f aca="false">IF(INDEX(Pengaturan!$B$8:$B$27,J$4)="",0,COUNTIF(Data!$B245:$U245,INDEX(Pengaturan!$B$8:$B$27,J$4)))</f>
        <v>0</v>
      </c>
      <c r="K245" s="26" t="n">
        <f aca="false">IF(INDEX(Pengaturan!$B$8:$B$27,K$4)="",0,COUNTIF(Data!$B245:$U245,INDEX(Pengaturan!$B$8:$B$27,K$4)))</f>
        <v>0</v>
      </c>
      <c r="L245" s="26" t="n">
        <f aca="false">IF(INDEX(Pengaturan!$B$8:$B$27,L$4)="",0,COUNTIF(Data!$B245:$U245,INDEX(Pengaturan!$B$8:$B$27,L$4)))</f>
        <v>0</v>
      </c>
      <c r="M245" s="26" t="n">
        <f aca="false">IF(INDEX(Pengaturan!$B$8:$B$27,M$4)="",0,COUNTIF(Data!$B245:$U245,INDEX(Pengaturan!$B$8:$B$27,M$4)))</f>
        <v>0</v>
      </c>
      <c r="N245" s="26" t="n">
        <f aca="false">IF(INDEX(Pengaturan!$B$8:$B$27,N$4)="",0,COUNTIF(Data!$B245:$U245,INDEX(Pengaturan!$B$8:$B$27,N$4)))</f>
        <v>0</v>
      </c>
      <c r="O245" s="26" t="n">
        <f aca="false">IF(INDEX(Pengaturan!$B$8:$B$27,O$4)="",0,COUNTIF(Data!$B245:$U245,INDEX(Pengaturan!$B$8:$B$27,O$4)))</f>
        <v>0</v>
      </c>
      <c r="P245" s="26" t="n">
        <f aca="false">IF(INDEX(Pengaturan!$B$8:$B$27,P$4)="",0,COUNTIF(Data!$B245:$U245,INDEX(Pengaturan!$B$8:$B$27,P$4)))</f>
        <v>0</v>
      </c>
      <c r="Q245" s="26" t="n">
        <f aca="false">IF(INDEX(Pengaturan!$B$8:$B$27,Q$4)="",0,COUNTIF(Data!$B245:$U245,INDEX(Pengaturan!$B$8:$B$27,Q$4)))</f>
        <v>0</v>
      </c>
      <c r="R245" s="26" t="n">
        <f aca="false">IF(INDEX(Pengaturan!$B$8:$B$27,R$4)="",0,COUNTIF(Data!$B245:$U245,INDEX(Pengaturan!$B$8:$B$27,R$4)))</f>
        <v>0</v>
      </c>
      <c r="S245" s="26" t="n">
        <f aca="false">IF(INDEX(Pengaturan!$B$8:$B$27,S$4)="",0,COUNTIF(Data!$B245:$U245,INDEX(Pengaturan!$B$8:$B$27,S$4)))</f>
        <v>0</v>
      </c>
      <c r="T245" s="26" t="n">
        <f aca="false">IF(INDEX(Pengaturan!$B$8:$B$27,T$4)="",0,COUNTIF(Data!$B245:$U245,INDEX(Pengaturan!$B$8:$B$27,T$4)))</f>
        <v>0</v>
      </c>
      <c r="U245" s="26" t="n">
        <f aca="false">IF(INDEX(Pengaturan!$B$8:$B$27,U$4)="",0,COUNTIF(Data!$B245:$U245,INDEX(Pengaturan!$B$8:$B$27,U$4)))</f>
        <v>0</v>
      </c>
      <c r="V245" s="26" t="n">
        <f aca="false">COUNTA(Data!$B245:$U245)</f>
        <v>0</v>
      </c>
      <c r="W245" s="27" t="str">
        <f aca="false">IF(V245=0,"",IF(V245&lt;&gt;Hasil!$C$4,"Data kosong/tidak lengkap",IF(SUM(B245:U245)&lt;&gt;V245,"Kategori tidak dikenal","OK")))</f>
        <v/>
      </c>
      <c r="X245" s="26" t="n">
        <f aca="false">IF(OR(W245="",W245="OK"),0,1)</f>
        <v>0</v>
      </c>
    </row>
    <row r="246" customFormat="false" ht="15" hidden="false" customHeight="false" outlineLevel="0" collapsed="false">
      <c r="A246" s="26" t="n">
        <f aca="false">Data!A246</f>
        <v>241</v>
      </c>
      <c r="B246" s="26" t="n">
        <f aca="false">IF(INDEX(Pengaturan!$B$8:$B$27,B$4)="",0,COUNTIF(Data!$B246:$U246,INDEX(Pengaturan!$B$8:$B$27,B$4)))</f>
        <v>0</v>
      </c>
      <c r="C246" s="26" t="n">
        <f aca="false">IF(INDEX(Pengaturan!$B$8:$B$27,C$4)="",0,COUNTIF(Data!$B246:$U246,INDEX(Pengaturan!$B$8:$B$27,C$4)))</f>
        <v>0</v>
      </c>
      <c r="D246" s="26" t="n">
        <f aca="false">IF(INDEX(Pengaturan!$B$8:$B$27,D$4)="",0,COUNTIF(Data!$B246:$U246,INDEX(Pengaturan!$B$8:$B$27,D$4)))</f>
        <v>0</v>
      </c>
      <c r="E246" s="26" t="n">
        <f aca="false">IF(INDEX(Pengaturan!$B$8:$B$27,E$4)="",0,COUNTIF(Data!$B246:$U246,INDEX(Pengaturan!$B$8:$B$27,E$4)))</f>
        <v>0</v>
      </c>
      <c r="F246" s="26" t="n">
        <f aca="false">IF(INDEX(Pengaturan!$B$8:$B$27,F$4)="",0,COUNTIF(Data!$B246:$U246,INDEX(Pengaturan!$B$8:$B$27,F$4)))</f>
        <v>0</v>
      </c>
      <c r="G246" s="26" t="n">
        <f aca="false">IF(INDEX(Pengaturan!$B$8:$B$27,G$4)="",0,COUNTIF(Data!$B246:$U246,INDEX(Pengaturan!$B$8:$B$27,G$4)))</f>
        <v>0</v>
      </c>
      <c r="H246" s="26" t="n">
        <f aca="false">IF(INDEX(Pengaturan!$B$8:$B$27,H$4)="",0,COUNTIF(Data!$B246:$U246,INDEX(Pengaturan!$B$8:$B$27,H$4)))</f>
        <v>0</v>
      </c>
      <c r="I246" s="26" t="n">
        <f aca="false">IF(INDEX(Pengaturan!$B$8:$B$27,I$4)="",0,COUNTIF(Data!$B246:$U246,INDEX(Pengaturan!$B$8:$B$27,I$4)))</f>
        <v>0</v>
      </c>
      <c r="J246" s="26" t="n">
        <f aca="false">IF(INDEX(Pengaturan!$B$8:$B$27,J$4)="",0,COUNTIF(Data!$B246:$U246,INDEX(Pengaturan!$B$8:$B$27,J$4)))</f>
        <v>0</v>
      </c>
      <c r="K246" s="26" t="n">
        <f aca="false">IF(INDEX(Pengaturan!$B$8:$B$27,K$4)="",0,COUNTIF(Data!$B246:$U246,INDEX(Pengaturan!$B$8:$B$27,K$4)))</f>
        <v>0</v>
      </c>
      <c r="L246" s="26" t="n">
        <f aca="false">IF(INDEX(Pengaturan!$B$8:$B$27,L$4)="",0,COUNTIF(Data!$B246:$U246,INDEX(Pengaturan!$B$8:$B$27,L$4)))</f>
        <v>0</v>
      </c>
      <c r="M246" s="26" t="n">
        <f aca="false">IF(INDEX(Pengaturan!$B$8:$B$27,M$4)="",0,COUNTIF(Data!$B246:$U246,INDEX(Pengaturan!$B$8:$B$27,M$4)))</f>
        <v>0</v>
      </c>
      <c r="N246" s="26" t="n">
        <f aca="false">IF(INDEX(Pengaturan!$B$8:$B$27,N$4)="",0,COUNTIF(Data!$B246:$U246,INDEX(Pengaturan!$B$8:$B$27,N$4)))</f>
        <v>0</v>
      </c>
      <c r="O246" s="26" t="n">
        <f aca="false">IF(INDEX(Pengaturan!$B$8:$B$27,O$4)="",0,COUNTIF(Data!$B246:$U246,INDEX(Pengaturan!$B$8:$B$27,O$4)))</f>
        <v>0</v>
      </c>
      <c r="P246" s="26" t="n">
        <f aca="false">IF(INDEX(Pengaturan!$B$8:$B$27,P$4)="",0,COUNTIF(Data!$B246:$U246,INDEX(Pengaturan!$B$8:$B$27,P$4)))</f>
        <v>0</v>
      </c>
      <c r="Q246" s="26" t="n">
        <f aca="false">IF(INDEX(Pengaturan!$B$8:$B$27,Q$4)="",0,COUNTIF(Data!$B246:$U246,INDEX(Pengaturan!$B$8:$B$27,Q$4)))</f>
        <v>0</v>
      </c>
      <c r="R246" s="26" t="n">
        <f aca="false">IF(INDEX(Pengaturan!$B$8:$B$27,R$4)="",0,COUNTIF(Data!$B246:$U246,INDEX(Pengaturan!$B$8:$B$27,R$4)))</f>
        <v>0</v>
      </c>
      <c r="S246" s="26" t="n">
        <f aca="false">IF(INDEX(Pengaturan!$B$8:$B$27,S$4)="",0,COUNTIF(Data!$B246:$U246,INDEX(Pengaturan!$B$8:$B$27,S$4)))</f>
        <v>0</v>
      </c>
      <c r="T246" s="26" t="n">
        <f aca="false">IF(INDEX(Pengaturan!$B$8:$B$27,T$4)="",0,COUNTIF(Data!$B246:$U246,INDEX(Pengaturan!$B$8:$B$27,T$4)))</f>
        <v>0</v>
      </c>
      <c r="U246" s="26" t="n">
        <f aca="false">IF(INDEX(Pengaturan!$B$8:$B$27,U$4)="",0,COUNTIF(Data!$B246:$U246,INDEX(Pengaturan!$B$8:$B$27,U$4)))</f>
        <v>0</v>
      </c>
      <c r="V246" s="26" t="n">
        <f aca="false">COUNTA(Data!$B246:$U246)</f>
        <v>0</v>
      </c>
      <c r="W246" s="27" t="str">
        <f aca="false">IF(V246=0,"",IF(V246&lt;&gt;Hasil!$C$4,"Data kosong/tidak lengkap",IF(SUM(B246:U246)&lt;&gt;V246,"Kategori tidak dikenal","OK")))</f>
        <v/>
      </c>
      <c r="X246" s="26" t="n">
        <f aca="false">IF(OR(W246="",W246="OK"),0,1)</f>
        <v>0</v>
      </c>
    </row>
    <row r="247" customFormat="false" ht="15" hidden="false" customHeight="false" outlineLevel="0" collapsed="false">
      <c r="A247" s="26" t="n">
        <f aca="false">Data!A247</f>
        <v>242</v>
      </c>
      <c r="B247" s="26" t="n">
        <f aca="false">IF(INDEX(Pengaturan!$B$8:$B$27,B$4)="",0,COUNTIF(Data!$B247:$U247,INDEX(Pengaturan!$B$8:$B$27,B$4)))</f>
        <v>0</v>
      </c>
      <c r="C247" s="26" t="n">
        <f aca="false">IF(INDEX(Pengaturan!$B$8:$B$27,C$4)="",0,COUNTIF(Data!$B247:$U247,INDEX(Pengaturan!$B$8:$B$27,C$4)))</f>
        <v>0</v>
      </c>
      <c r="D247" s="26" t="n">
        <f aca="false">IF(INDEX(Pengaturan!$B$8:$B$27,D$4)="",0,COUNTIF(Data!$B247:$U247,INDEX(Pengaturan!$B$8:$B$27,D$4)))</f>
        <v>0</v>
      </c>
      <c r="E247" s="26" t="n">
        <f aca="false">IF(INDEX(Pengaturan!$B$8:$B$27,E$4)="",0,COUNTIF(Data!$B247:$U247,INDEX(Pengaturan!$B$8:$B$27,E$4)))</f>
        <v>0</v>
      </c>
      <c r="F247" s="26" t="n">
        <f aca="false">IF(INDEX(Pengaturan!$B$8:$B$27,F$4)="",0,COUNTIF(Data!$B247:$U247,INDEX(Pengaturan!$B$8:$B$27,F$4)))</f>
        <v>0</v>
      </c>
      <c r="G247" s="26" t="n">
        <f aca="false">IF(INDEX(Pengaturan!$B$8:$B$27,G$4)="",0,COUNTIF(Data!$B247:$U247,INDEX(Pengaturan!$B$8:$B$27,G$4)))</f>
        <v>0</v>
      </c>
      <c r="H247" s="26" t="n">
        <f aca="false">IF(INDEX(Pengaturan!$B$8:$B$27,H$4)="",0,COUNTIF(Data!$B247:$U247,INDEX(Pengaturan!$B$8:$B$27,H$4)))</f>
        <v>0</v>
      </c>
      <c r="I247" s="26" t="n">
        <f aca="false">IF(INDEX(Pengaturan!$B$8:$B$27,I$4)="",0,COUNTIF(Data!$B247:$U247,INDEX(Pengaturan!$B$8:$B$27,I$4)))</f>
        <v>0</v>
      </c>
      <c r="J247" s="26" t="n">
        <f aca="false">IF(INDEX(Pengaturan!$B$8:$B$27,J$4)="",0,COUNTIF(Data!$B247:$U247,INDEX(Pengaturan!$B$8:$B$27,J$4)))</f>
        <v>0</v>
      </c>
      <c r="K247" s="26" t="n">
        <f aca="false">IF(INDEX(Pengaturan!$B$8:$B$27,K$4)="",0,COUNTIF(Data!$B247:$U247,INDEX(Pengaturan!$B$8:$B$27,K$4)))</f>
        <v>0</v>
      </c>
      <c r="L247" s="26" t="n">
        <f aca="false">IF(INDEX(Pengaturan!$B$8:$B$27,L$4)="",0,COUNTIF(Data!$B247:$U247,INDEX(Pengaturan!$B$8:$B$27,L$4)))</f>
        <v>0</v>
      </c>
      <c r="M247" s="26" t="n">
        <f aca="false">IF(INDEX(Pengaturan!$B$8:$B$27,M$4)="",0,COUNTIF(Data!$B247:$U247,INDEX(Pengaturan!$B$8:$B$27,M$4)))</f>
        <v>0</v>
      </c>
      <c r="N247" s="26" t="n">
        <f aca="false">IF(INDEX(Pengaturan!$B$8:$B$27,N$4)="",0,COUNTIF(Data!$B247:$U247,INDEX(Pengaturan!$B$8:$B$27,N$4)))</f>
        <v>0</v>
      </c>
      <c r="O247" s="26" t="n">
        <f aca="false">IF(INDEX(Pengaturan!$B$8:$B$27,O$4)="",0,COUNTIF(Data!$B247:$U247,INDEX(Pengaturan!$B$8:$B$27,O$4)))</f>
        <v>0</v>
      </c>
      <c r="P247" s="26" t="n">
        <f aca="false">IF(INDEX(Pengaturan!$B$8:$B$27,P$4)="",0,COUNTIF(Data!$B247:$U247,INDEX(Pengaturan!$B$8:$B$27,P$4)))</f>
        <v>0</v>
      </c>
      <c r="Q247" s="26" t="n">
        <f aca="false">IF(INDEX(Pengaturan!$B$8:$B$27,Q$4)="",0,COUNTIF(Data!$B247:$U247,INDEX(Pengaturan!$B$8:$B$27,Q$4)))</f>
        <v>0</v>
      </c>
      <c r="R247" s="26" t="n">
        <f aca="false">IF(INDEX(Pengaturan!$B$8:$B$27,R$4)="",0,COUNTIF(Data!$B247:$U247,INDEX(Pengaturan!$B$8:$B$27,R$4)))</f>
        <v>0</v>
      </c>
      <c r="S247" s="26" t="n">
        <f aca="false">IF(INDEX(Pengaturan!$B$8:$B$27,S$4)="",0,COUNTIF(Data!$B247:$U247,INDEX(Pengaturan!$B$8:$B$27,S$4)))</f>
        <v>0</v>
      </c>
      <c r="T247" s="26" t="n">
        <f aca="false">IF(INDEX(Pengaturan!$B$8:$B$27,T$4)="",0,COUNTIF(Data!$B247:$U247,INDEX(Pengaturan!$B$8:$B$27,T$4)))</f>
        <v>0</v>
      </c>
      <c r="U247" s="26" t="n">
        <f aca="false">IF(INDEX(Pengaturan!$B$8:$B$27,U$4)="",0,COUNTIF(Data!$B247:$U247,INDEX(Pengaturan!$B$8:$B$27,U$4)))</f>
        <v>0</v>
      </c>
      <c r="V247" s="26" t="n">
        <f aca="false">COUNTA(Data!$B247:$U247)</f>
        <v>0</v>
      </c>
      <c r="W247" s="27" t="str">
        <f aca="false">IF(V247=0,"",IF(V247&lt;&gt;Hasil!$C$4,"Data kosong/tidak lengkap",IF(SUM(B247:U247)&lt;&gt;V247,"Kategori tidak dikenal","OK")))</f>
        <v/>
      </c>
      <c r="X247" s="26" t="n">
        <f aca="false">IF(OR(W247="",W247="OK"),0,1)</f>
        <v>0</v>
      </c>
    </row>
    <row r="248" customFormat="false" ht="15" hidden="false" customHeight="false" outlineLevel="0" collapsed="false">
      <c r="A248" s="26" t="n">
        <f aca="false">Data!A248</f>
        <v>243</v>
      </c>
      <c r="B248" s="26" t="n">
        <f aca="false">IF(INDEX(Pengaturan!$B$8:$B$27,B$4)="",0,COUNTIF(Data!$B248:$U248,INDEX(Pengaturan!$B$8:$B$27,B$4)))</f>
        <v>0</v>
      </c>
      <c r="C248" s="26" t="n">
        <f aca="false">IF(INDEX(Pengaturan!$B$8:$B$27,C$4)="",0,COUNTIF(Data!$B248:$U248,INDEX(Pengaturan!$B$8:$B$27,C$4)))</f>
        <v>0</v>
      </c>
      <c r="D248" s="26" t="n">
        <f aca="false">IF(INDEX(Pengaturan!$B$8:$B$27,D$4)="",0,COUNTIF(Data!$B248:$U248,INDEX(Pengaturan!$B$8:$B$27,D$4)))</f>
        <v>0</v>
      </c>
      <c r="E248" s="26" t="n">
        <f aca="false">IF(INDEX(Pengaturan!$B$8:$B$27,E$4)="",0,COUNTIF(Data!$B248:$U248,INDEX(Pengaturan!$B$8:$B$27,E$4)))</f>
        <v>0</v>
      </c>
      <c r="F248" s="26" t="n">
        <f aca="false">IF(INDEX(Pengaturan!$B$8:$B$27,F$4)="",0,COUNTIF(Data!$B248:$U248,INDEX(Pengaturan!$B$8:$B$27,F$4)))</f>
        <v>0</v>
      </c>
      <c r="G248" s="26" t="n">
        <f aca="false">IF(INDEX(Pengaturan!$B$8:$B$27,G$4)="",0,COUNTIF(Data!$B248:$U248,INDEX(Pengaturan!$B$8:$B$27,G$4)))</f>
        <v>0</v>
      </c>
      <c r="H248" s="26" t="n">
        <f aca="false">IF(INDEX(Pengaturan!$B$8:$B$27,H$4)="",0,COUNTIF(Data!$B248:$U248,INDEX(Pengaturan!$B$8:$B$27,H$4)))</f>
        <v>0</v>
      </c>
      <c r="I248" s="26" t="n">
        <f aca="false">IF(INDEX(Pengaturan!$B$8:$B$27,I$4)="",0,COUNTIF(Data!$B248:$U248,INDEX(Pengaturan!$B$8:$B$27,I$4)))</f>
        <v>0</v>
      </c>
      <c r="J248" s="26" t="n">
        <f aca="false">IF(INDEX(Pengaturan!$B$8:$B$27,J$4)="",0,COUNTIF(Data!$B248:$U248,INDEX(Pengaturan!$B$8:$B$27,J$4)))</f>
        <v>0</v>
      </c>
      <c r="K248" s="26" t="n">
        <f aca="false">IF(INDEX(Pengaturan!$B$8:$B$27,K$4)="",0,COUNTIF(Data!$B248:$U248,INDEX(Pengaturan!$B$8:$B$27,K$4)))</f>
        <v>0</v>
      </c>
      <c r="L248" s="26" t="n">
        <f aca="false">IF(INDEX(Pengaturan!$B$8:$B$27,L$4)="",0,COUNTIF(Data!$B248:$U248,INDEX(Pengaturan!$B$8:$B$27,L$4)))</f>
        <v>0</v>
      </c>
      <c r="M248" s="26" t="n">
        <f aca="false">IF(INDEX(Pengaturan!$B$8:$B$27,M$4)="",0,COUNTIF(Data!$B248:$U248,INDEX(Pengaturan!$B$8:$B$27,M$4)))</f>
        <v>0</v>
      </c>
      <c r="N248" s="26" t="n">
        <f aca="false">IF(INDEX(Pengaturan!$B$8:$B$27,N$4)="",0,COUNTIF(Data!$B248:$U248,INDEX(Pengaturan!$B$8:$B$27,N$4)))</f>
        <v>0</v>
      </c>
      <c r="O248" s="26" t="n">
        <f aca="false">IF(INDEX(Pengaturan!$B$8:$B$27,O$4)="",0,COUNTIF(Data!$B248:$U248,INDEX(Pengaturan!$B$8:$B$27,O$4)))</f>
        <v>0</v>
      </c>
      <c r="P248" s="26" t="n">
        <f aca="false">IF(INDEX(Pengaturan!$B$8:$B$27,P$4)="",0,COUNTIF(Data!$B248:$U248,INDEX(Pengaturan!$B$8:$B$27,P$4)))</f>
        <v>0</v>
      </c>
      <c r="Q248" s="26" t="n">
        <f aca="false">IF(INDEX(Pengaturan!$B$8:$B$27,Q$4)="",0,COUNTIF(Data!$B248:$U248,INDEX(Pengaturan!$B$8:$B$27,Q$4)))</f>
        <v>0</v>
      </c>
      <c r="R248" s="26" t="n">
        <f aca="false">IF(INDEX(Pengaturan!$B$8:$B$27,R$4)="",0,COUNTIF(Data!$B248:$U248,INDEX(Pengaturan!$B$8:$B$27,R$4)))</f>
        <v>0</v>
      </c>
      <c r="S248" s="26" t="n">
        <f aca="false">IF(INDEX(Pengaturan!$B$8:$B$27,S$4)="",0,COUNTIF(Data!$B248:$U248,INDEX(Pengaturan!$B$8:$B$27,S$4)))</f>
        <v>0</v>
      </c>
      <c r="T248" s="26" t="n">
        <f aca="false">IF(INDEX(Pengaturan!$B$8:$B$27,T$4)="",0,COUNTIF(Data!$B248:$U248,INDEX(Pengaturan!$B$8:$B$27,T$4)))</f>
        <v>0</v>
      </c>
      <c r="U248" s="26" t="n">
        <f aca="false">IF(INDEX(Pengaturan!$B$8:$B$27,U$4)="",0,COUNTIF(Data!$B248:$U248,INDEX(Pengaturan!$B$8:$B$27,U$4)))</f>
        <v>0</v>
      </c>
      <c r="V248" s="26" t="n">
        <f aca="false">COUNTA(Data!$B248:$U248)</f>
        <v>0</v>
      </c>
      <c r="W248" s="27" t="str">
        <f aca="false">IF(V248=0,"",IF(V248&lt;&gt;Hasil!$C$4,"Data kosong/tidak lengkap",IF(SUM(B248:U248)&lt;&gt;V248,"Kategori tidak dikenal","OK")))</f>
        <v/>
      </c>
      <c r="X248" s="26" t="n">
        <f aca="false">IF(OR(W248="",W248="OK"),0,1)</f>
        <v>0</v>
      </c>
    </row>
    <row r="249" customFormat="false" ht="15" hidden="false" customHeight="false" outlineLevel="0" collapsed="false">
      <c r="A249" s="26" t="n">
        <f aca="false">Data!A249</f>
        <v>244</v>
      </c>
      <c r="B249" s="26" t="n">
        <f aca="false">IF(INDEX(Pengaturan!$B$8:$B$27,B$4)="",0,COUNTIF(Data!$B249:$U249,INDEX(Pengaturan!$B$8:$B$27,B$4)))</f>
        <v>0</v>
      </c>
      <c r="C249" s="26" t="n">
        <f aca="false">IF(INDEX(Pengaturan!$B$8:$B$27,C$4)="",0,COUNTIF(Data!$B249:$U249,INDEX(Pengaturan!$B$8:$B$27,C$4)))</f>
        <v>0</v>
      </c>
      <c r="D249" s="26" t="n">
        <f aca="false">IF(INDEX(Pengaturan!$B$8:$B$27,D$4)="",0,COUNTIF(Data!$B249:$U249,INDEX(Pengaturan!$B$8:$B$27,D$4)))</f>
        <v>0</v>
      </c>
      <c r="E249" s="26" t="n">
        <f aca="false">IF(INDEX(Pengaturan!$B$8:$B$27,E$4)="",0,COUNTIF(Data!$B249:$U249,INDEX(Pengaturan!$B$8:$B$27,E$4)))</f>
        <v>0</v>
      </c>
      <c r="F249" s="26" t="n">
        <f aca="false">IF(INDEX(Pengaturan!$B$8:$B$27,F$4)="",0,COUNTIF(Data!$B249:$U249,INDEX(Pengaturan!$B$8:$B$27,F$4)))</f>
        <v>0</v>
      </c>
      <c r="G249" s="26" t="n">
        <f aca="false">IF(INDEX(Pengaturan!$B$8:$B$27,G$4)="",0,COUNTIF(Data!$B249:$U249,INDEX(Pengaturan!$B$8:$B$27,G$4)))</f>
        <v>0</v>
      </c>
      <c r="H249" s="26" t="n">
        <f aca="false">IF(INDEX(Pengaturan!$B$8:$B$27,H$4)="",0,COUNTIF(Data!$B249:$U249,INDEX(Pengaturan!$B$8:$B$27,H$4)))</f>
        <v>0</v>
      </c>
      <c r="I249" s="26" t="n">
        <f aca="false">IF(INDEX(Pengaturan!$B$8:$B$27,I$4)="",0,COUNTIF(Data!$B249:$U249,INDEX(Pengaturan!$B$8:$B$27,I$4)))</f>
        <v>0</v>
      </c>
      <c r="J249" s="26" t="n">
        <f aca="false">IF(INDEX(Pengaturan!$B$8:$B$27,J$4)="",0,COUNTIF(Data!$B249:$U249,INDEX(Pengaturan!$B$8:$B$27,J$4)))</f>
        <v>0</v>
      </c>
      <c r="K249" s="26" t="n">
        <f aca="false">IF(INDEX(Pengaturan!$B$8:$B$27,K$4)="",0,COUNTIF(Data!$B249:$U249,INDEX(Pengaturan!$B$8:$B$27,K$4)))</f>
        <v>0</v>
      </c>
      <c r="L249" s="26" t="n">
        <f aca="false">IF(INDEX(Pengaturan!$B$8:$B$27,L$4)="",0,COUNTIF(Data!$B249:$U249,INDEX(Pengaturan!$B$8:$B$27,L$4)))</f>
        <v>0</v>
      </c>
      <c r="M249" s="26" t="n">
        <f aca="false">IF(INDEX(Pengaturan!$B$8:$B$27,M$4)="",0,COUNTIF(Data!$B249:$U249,INDEX(Pengaturan!$B$8:$B$27,M$4)))</f>
        <v>0</v>
      </c>
      <c r="N249" s="26" t="n">
        <f aca="false">IF(INDEX(Pengaturan!$B$8:$B$27,N$4)="",0,COUNTIF(Data!$B249:$U249,INDEX(Pengaturan!$B$8:$B$27,N$4)))</f>
        <v>0</v>
      </c>
      <c r="O249" s="26" t="n">
        <f aca="false">IF(INDEX(Pengaturan!$B$8:$B$27,O$4)="",0,COUNTIF(Data!$B249:$U249,INDEX(Pengaturan!$B$8:$B$27,O$4)))</f>
        <v>0</v>
      </c>
      <c r="P249" s="26" t="n">
        <f aca="false">IF(INDEX(Pengaturan!$B$8:$B$27,P$4)="",0,COUNTIF(Data!$B249:$U249,INDEX(Pengaturan!$B$8:$B$27,P$4)))</f>
        <v>0</v>
      </c>
      <c r="Q249" s="26" t="n">
        <f aca="false">IF(INDEX(Pengaturan!$B$8:$B$27,Q$4)="",0,COUNTIF(Data!$B249:$U249,INDEX(Pengaturan!$B$8:$B$27,Q$4)))</f>
        <v>0</v>
      </c>
      <c r="R249" s="26" t="n">
        <f aca="false">IF(INDEX(Pengaturan!$B$8:$B$27,R$4)="",0,COUNTIF(Data!$B249:$U249,INDEX(Pengaturan!$B$8:$B$27,R$4)))</f>
        <v>0</v>
      </c>
      <c r="S249" s="26" t="n">
        <f aca="false">IF(INDEX(Pengaturan!$B$8:$B$27,S$4)="",0,COUNTIF(Data!$B249:$U249,INDEX(Pengaturan!$B$8:$B$27,S$4)))</f>
        <v>0</v>
      </c>
      <c r="T249" s="26" t="n">
        <f aca="false">IF(INDEX(Pengaturan!$B$8:$B$27,T$4)="",0,COUNTIF(Data!$B249:$U249,INDEX(Pengaturan!$B$8:$B$27,T$4)))</f>
        <v>0</v>
      </c>
      <c r="U249" s="26" t="n">
        <f aca="false">IF(INDEX(Pengaturan!$B$8:$B$27,U$4)="",0,COUNTIF(Data!$B249:$U249,INDEX(Pengaturan!$B$8:$B$27,U$4)))</f>
        <v>0</v>
      </c>
      <c r="V249" s="26" t="n">
        <f aca="false">COUNTA(Data!$B249:$U249)</f>
        <v>0</v>
      </c>
      <c r="W249" s="27" t="str">
        <f aca="false">IF(V249=0,"",IF(V249&lt;&gt;Hasil!$C$4,"Data kosong/tidak lengkap",IF(SUM(B249:U249)&lt;&gt;V249,"Kategori tidak dikenal","OK")))</f>
        <v/>
      </c>
      <c r="X249" s="26" t="n">
        <f aca="false">IF(OR(W249="",W249="OK"),0,1)</f>
        <v>0</v>
      </c>
    </row>
    <row r="250" customFormat="false" ht="15" hidden="false" customHeight="false" outlineLevel="0" collapsed="false">
      <c r="A250" s="26" t="n">
        <f aca="false">Data!A250</f>
        <v>245</v>
      </c>
      <c r="B250" s="26" t="n">
        <f aca="false">IF(INDEX(Pengaturan!$B$8:$B$27,B$4)="",0,COUNTIF(Data!$B250:$U250,INDEX(Pengaturan!$B$8:$B$27,B$4)))</f>
        <v>0</v>
      </c>
      <c r="C250" s="26" t="n">
        <f aca="false">IF(INDEX(Pengaturan!$B$8:$B$27,C$4)="",0,COUNTIF(Data!$B250:$U250,INDEX(Pengaturan!$B$8:$B$27,C$4)))</f>
        <v>0</v>
      </c>
      <c r="D250" s="26" t="n">
        <f aca="false">IF(INDEX(Pengaturan!$B$8:$B$27,D$4)="",0,COUNTIF(Data!$B250:$U250,INDEX(Pengaturan!$B$8:$B$27,D$4)))</f>
        <v>0</v>
      </c>
      <c r="E250" s="26" t="n">
        <f aca="false">IF(INDEX(Pengaturan!$B$8:$B$27,E$4)="",0,COUNTIF(Data!$B250:$U250,INDEX(Pengaturan!$B$8:$B$27,E$4)))</f>
        <v>0</v>
      </c>
      <c r="F250" s="26" t="n">
        <f aca="false">IF(INDEX(Pengaturan!$B$8:$B$27,F$4)="",0,COUNTIF(Data!$B250:$U250,INDEX(Pengaturan!$B$8:$B$27,F$4)))</f>
        <v>0</v>
      </c>
      <c r="G250" s="26" t="n">
        <f aca="false">IF(INDEX(Pengaturan!$B$8:$B$27,G$4)="",0,COUNTIF(Data!$B250:$U250,INDEX(Pengaturan!$B$8:$B$27,G$4)))</f>
        <v>0</v>
      </c>
      <c r="H250" s="26" t="n">
        <f aca="false">IF(INDEX(Pengaturan!$B$8:$B$27,H$4)="",0,COUNTIF(Data!$B250:$U250,INDEX(Pengaturan!$B$8:$B$27,H$4)))</f>
        <v>0</v>
      </c>
      <c r="I250" s="26" t="n">
        <f aca="false">IF(INDEX(Pengaturan!$B$8:$B$27,I$4)="",0,COUNTIF(Data!$B250:$U250,INDEX(Pengaturan!$B$8:$B$27,I$4)))</f>
        <v>0</v>
      </c>
      <c r="J250" s="26" t="n">
        <f aca="false">IF(INDEX(Pengaturan!$B$8:$B$27,J$4)="",0,COUNTIF(Data!$B250:$U250,INDEX(Pengaturan!$B$8:$B$27,J$4)))</f>
        <v>0</v>
      </c>
      <c r="K250" s="26" t="n">
        <f aca="false">IF(INDEX(Pengaturan!$B$8:$B$27,K$4)="",0,COUNTIF(Data!$B250:$U250,INDEX(Pengaturan!$B$8:$B$27,K$4)))</f>
        <v>0</v>
      </c>
      <c r="L250" s="26" t="n">
        <f aca="false">IF(INDEX(Pengaturan!$B$8:$B$27,L$4)="",0,COUNTIF(Data!$B250:$U250,INDEX(Pengaturan!$B$8:$B$27,L$4)))</f>
        <v>0</v>
      </c>
      <c r="M250" s="26" t="n">
        <f aca="false">IF(INDEX(Pengaturan!$B$8:$B$27,M$4)="",0,COUNTIF(Data!$B250:$U250,INDEX(Pengaturan!$B$8:$B$27,M$4)))</f>
        <v>0</v>
      </c>
      <c r="N250" s="26" t="n">
        <f aca="false">IF(INDEX(Pengaturan!$B$8:$B$27,N$4)="",0,COUNTIF(Data!$B250:$U250,INDEX(Pengaturan!$B$8:$B$27,N$4)))</f>
        <v>0</v>
      </c>
      <c r="O250" s="26" t="n">
        <f aca="false">IF(INDEX(Pengaturan!$B$8:$B$27,O$4)="",0,COUNTIF(Data!$B250:$U250,INDEX(Pengaturan!$B$8:$B$27,O$4)))</f>
        <v>0</v>
      </c>
      <c r="P250" s="26" t="n">
        <f aca="false">IF(INDEX(Pengaturan!$B$8:$B$27,P$4)="",0,COUNTIF(Data!$B250:$U250,INDEX(Pengaturan!$B$8:$B$27,P$4)))</f>
        <v>0</v>
      </c>
      <c r="Q250" s="26" t="n">
        <f aca="false">IF(INDEX(Pengaturan!$B$8:$B$27,Q$4)="",0,COUNTIF(Data!$B250:$U250,INDEX(Pengaturan!$B$8:$B$27,Q$4)))</f>
        <v>0</v>
      </c>
      <c r="R250" s="26" t="n">
        <f aca="false">IF(INDEX(Pengaturan!$B$8:$B$27,R$4)="",0,COUNTIF(Data!$B250:$U250,INDEX(Pengaturan!$B$8:$B$27,R$4)))</f>
        <v>0</v>
      </c>
      <c r="S250" s="26" t="n">
        <f aca="false">IF(INDEX(Pengaturan!$B$8:$B$27,S$4)="",0,COUNTIF(Data!$B250:$U250,INDEX(Pengaturan!$B$8:$B$27,S$4)))</f>
        <v>0</v>
      </c>
      <c r="T250" s="26" t="n">
        <f aca="false">IF(INDEX(Pengaturan!$B$8:$B$27,T$4)="",0,COUNTIF(Data!$B250:$U250,INDEX(Pengaturan!$B$8:$B$27,T$4)))</f>
        <v>0</v>
      </c>
      <c r="U250" s="26" t="n">
        <f aca="false">IF(INDEX(Pengaturan!$B$8:$B$27,U$4)="",0,COUNTIF(Data!$B250:$U250,INDEX(Pengaturan!$B$8:$B$27,U$4)))</f>
        <v>0</v>
      </c>
      <c r="V250" s="26" t="n">
        <f aca="false">COUNTA(Data!$B250:$U250)</f>
        <v>0</v>
      </c>
      <c r="W250" s="27" t="str">
        <f aca="false">IF(V250=0,"",IF(V250&lt;&gt;Hasil!$C$4,"Data kosong/tidak lengkap",IF(SUM(B250:U250)&lt;&gt;V250,"Kategori tidak dikenal","OK")))</f>
        <v/>
      </c>
      <c r="X250" s="26" t="n">
        <f aca="false">IF(OR(W250="",W250="OK"),0,1)</f>
        <v>0</v>
      </c>
    </row>
    <row r="251" customFormat="false" ht="15" hidden="false" customHeight="false" outlineLevel="0" collapsed="false">
      <c r="A251" s="26" t="n">
        <f aca="false">Data!A251</f>
        <v>246</v>
      </c>
      <c r="B251" s="26" t="n">
        <f aca="false">IF(INDEX(Pengaturan!$B$8:$B$27,B$4)="",0,COUNTIF(Data!$B251:$U251,INDEX(Pengaturan!$B$8:$B$27,B$4)))</f>
        <v>0</v>
      </c>
      <c r="C251" s="26" t="n">
        <f aca="false">IF(INDEX(Pengaturan!$B$8:$B$27,C$4)="",0,COUNTIF(Data!$B251:$U251,INDEX(Pengaturan!$B$8:$B$27,C$4)))</f>
        <v>0</v>
      </c>
      <c r="D251" s="26" t="n">
        <f aca="false">IF(INDEX(Pengaturan!$B$8:$B$27,D$4)="",0,COUNTIF(Data!$B251:$U251,INDEX(Pengaturan!$B$8:$B$27,D$4)))</f>
        <v>0</v>
      </c>
      <c r="E251" s="26" t="n">
        <f aca="false">IF(INDEX(Pengaturan!$B$8:$B$27,E$4)="",0,COUNTIF(Data!$B251:$U251,INDEX(Pengaturan!$B$8:$B$27,E$4)))</f>
        <v>0</v>
      </c>
      <c r="F251" s="26" t="n">
        <f aca="false">IF(INDEX(Pengaturan!$B$8:$B$27,F$4)="",0,COUNTIF(Data!$B251:$U251,INDEX(Pengaturan!$B$8:$B$27,F$4)))</f>
        <v>0</v>
      </c>
      <c r="G251" s="26" t="n">
        <f aca="false">IF(INDEX(Pengaturan!$B$8:$B$27,G$4)="",0,COUNTIF(Data!$B251:$U251,INDEX(Pengaturan!$B$8:$B$27,G$4)))</f>
        <v>0</v>
      </c>
      <c r="H251" s="26" t="n">
        <f aca="false">IF(INDEX(Pengaturan!$B$8:$B$27,H$4)="",0,COUNTIF(Data!$B251:$U251,INDEX(Pengaturan!$B$8:$B$27,H$4)))</f>
        <v>0</v>
      </c>
      <c r="I251" s="26" t="n">
        <f aca="false">IF(INDEX(Pengaturan!$B$8:$B$27,I$4)="",0,COUNTIF(Data!$B251:$U251,INDEX(Pengaturan!$B$8:$B$27,I$4)))</f>
        <v>0</v>
      </c>
      <c r="J251" s="26" t="n">
        <f aca="false">IF(INDEX(Pengaturan!$B$8:$B$27,J$4)="",0,COUNTIF(Data!$B251:$U251,INDEX(Pengaturan!$B$8:$B$27,J$4)))</f>
        <v>0</v>
      </c>
      <c r="K251" s="26" t="n">
        <f aca="false">IF(INDEX(Pengaturan!$B$8:$B$27,K$4)="",0,COUNTIF(Data!$B251:$U251,INDEX(Pengaturan!$B$8:$B$27,K$4)))</f>
        <v>0</v>
      </c>
      <c r="L251" s="26" t="n">
        <f aca="false">IF(INDEX(Pengaturan!$B$8:$B$27,L$4)="",0,COUNTIF(Data!$B251:$U251,INDEX(Pengaturan!$B$8:$B$27,L$4)))</f>
        <v>0</v>
      </c>
      <c r="M251" s="26" t="n">
        <f aca="false">IF(INDEX(Pengaturan!$B$8:$B$27,M$4)="",0,COUNTIF(Data!$B251:$U251,INDEX(Pengaturan!$B$8:$B$27,M$4)))</f>
        <v>0</v>
      </c>
      <c r="N251" s="26" t="n">
        <f aca="false">IF(INDEX(Pengaturan!$B$8:$B$27,N$4)="",0,COUNTIF(Data!$B251:$U251,INDEX(Pengaturan!$B$8:$B$27,N$4)))</f>
        <v>0</v>
      </c>
      <c r="O251" s="26" t="n">
        <f aca="false">IF(INDEX(Pengaturan!$B$8:$B$27,O$4)="",0,COUNTIF(Data!$B251:$U251,INDEX(Pengaturan!$B$8:$B$27,O$4)))</f>
        <v>0</v>
      </c>
      <c r="P251" s="26" t="n">
        <f aca="false">IF(INDEX(Pengaturan!$B$8:$B$27,P$4)="",0,COUNTIF(Data!$B251:$U251,INDEX(Pengaturan!$B$8:$B$27,P$4)))</f>
        <v>0</v>
      </c>
      <c r="Q251" s="26" t="n">
        <f aca="false">IF(INDEX(Pengaturan!$B$8:$B$27,Q$4)="",0,COUNTIF(Data!$B251:$U251,INDEX(Pengaturan!$B$8:$B$27,Q$4)))</f>
        <v>0</v>
      </c>
      <c r="R251" s="26" t="n">
        <f aca="false">IF(INDEX(Pengaturan!$B$8:$B$27,R$4)="",0,COUNTIF(Data!$B251:$U251,INDEX(Pengaturan!$B$8:$B$27,R$4)))</f>
        <v>0</v>
      </c>
      <c r="S251" s="26" t="n">
        <f aca="false">IF(INDEX(Pengaturan!$B$8:$B$27,S$4)="",0,COUNTIF(Data!$B251:$U251,INDEX(Pengaturan!$B$8:$B$27,S$4)))</f>
        <v>0</v>
      </c>
      <c r="T251" s="26" t="n">
        <f aca="false">IF(INDEX(Pengaturan!$B$8:$B$27,T$4)="",0,COUNTIF(Data!$B251:$U251,INDEX(Pengaturan!$B$8:$B$27,T$4)))</f>
        <v>0</v>
      </c>
      <c r="U251" s="26" t="n">
        <f aca="false">IF(INDEX(Pengaturan!$B$8:$B$27,U$4)="",0,COUNTIF(Data!$B251:$U251,INDEX(Pengaturan!$B$8:$B$27,U$4)))</f>
        <v>0</v>
      </c>
      <c r="V251" s="26" t="n">
        <f aca="false">COUNTA(Data!$B251:$U251)</f>
        <v>0</v>
      </c>
      <c r="W251" s="27" t="str">
        <f aca="false">IF(V251=0,"",IF(V251&lt;&gt;Hasil!$C$4,"Data kosong/tidak lengkap",IF(SUM(B251:U251)&lt;&gt;V251,"Kategori tidak dikenal","OK")))</f>
        <v/>
      </c>
      <c r="X251" s="26" t="n">
        <f aca="false">IF(OR(W251="",W251="OK"),0,1)</f>
        <v>0</v>
      </c>
    </row>
    <row r="252" customFormat="false" ht="15" hidden="false" customHeight="false" outlineLevel="0" collapsed="false">
      <c r="A252" s="26" t="n">
        <f aca="false">Data!A252</f>
        <v>247</v>
      </c>
      <c r="B252" s="26" t="n">
        <f aca="false">IF(INDEX(Pengaturan!$B$8:$B$27,B$4)="",0,COUNTIF(Data!$B252:$U252,INDEX(Pengaturan!$B$8:$B$27,B$4)))</f>
        <v>0</v>
      </c>
      <c r="C252" s="26" t="n">
        <f aca="false">IF(INDEX(Pengaturan!$B$8:$B$27,C$4)="",0,COUNTIF(Data!$B252:$U252,INDEX(Pengaturan!$B$8:$B$27,C$4)))</f>
        <v>0</v>
      </c>
      <c r="D252" s="26" t="n">
        <f aca="false">IF(INDEX(Pengaturan!$B$8:$B$27,D$4)="",0,COUNTIF(Data!$B252:$U252,INDEX(Pengaturan!$B$8:$B$27,D$4)))</f>
        <v>0</v>
      </c>
      <c r="E252" s="26" t="n">
        <f aca="false">IF(INDEX(Pengaturan!$B$8:$B$27,E$4)="",0,COUNTIF(Data!$B252:$U252,INDEX(Pengaturan!$B$8:$B$27,E$4)))</f>
        <v>0</v>
      </c>
      <c r="F252" s="26" t="n">
        <f aca="false">IF(INDEX(Pengaturan!$B$8:$B$27,F$4)="",0,COUNTIF(Data!$B252:$U252,INDEX(Pengaturan!$B$8:$B$27,F$4)))</f>
        <v>0</v>
      </c>
      <c r="G252" s="26" t="n">
        <f aca="false">IF(INDEX(Pengaturan!$B$8:$B$27,G$4)="",0,COUNTIF(Data!$B252:$U252,INDEX(Pengaturan!$B$8:$B$27,G$4)))</f>
        <v>0</v>
      </c>
      <c r="H252" s="26" t="n">
        <f aca="false">IF(INDEX(Pengaturan!$B$8:$B$27,H$4)="",0,COUNTIF(Data!$B252:$U252,INDEX(Pengaturan!$B$8:$B$27,H$4)))</f>
        <v>0</v>
      </c>
      <c r="I252" s="26" t="n">
        <f aca="false">IF(INDEX(Pengaturan!$B$8:$B$27,I$4)="",0,COUNTIF(Data!$B252:$U252,INDEX(Pengaturan!$B$8:$B$27,I$4)))</f>
        <v>0</v>
      </c>
      <c r="J252" s="26" t="n">
        <f aca="false">IF(INDEX(Pengaturan!$B$8:$B$27,J$4)="",0,COUNTIF(Data!$B252:$U252,INDEX(Pengaturan!$B$8:$B$27,J$4)))</f>
        <v>0</v>
      </c>
      <c r="K252" s="26" t="n">
        <f aca="false">IF(INDEX(Pengaturan!$B$8:$B$27,K$4)="",0,COUNTIF(Data!$B252:$U252,INDEX(Pengaturan!$B$8:$B$27,K$4)))</f>
        <v>0</v>
      </c>
      <c r="L252" s="26" t="n">
        <f aca="false">IF(INDEX(Pengaturan!$B$8:$B$27,L$4)="",0,COUNTIF(Data!$B252:$U252,INDEX(Pengaturan!$B$8:$B$27,L$4)))</f>
        <v>0</v>
      </c>
      <c r="M252" s="26" t="n">
        <f aca="false">IF(INDEX(Pengaturan!$B$8:$B$27,M$4)="",0,COUNTIF(Data!$B252:$U252,INDEX(Pengaturan!$B$8:$B$27,M$4)))</f>
        <v>0</v>
      </c>
      <c r="N252" s="26" t="n">
        <f aca="false">IF(INDEX(Pengaturan!$B$8:$B$27,N$4)="",0,COUNTIF(Data!$B252:$U252,INDEX(Pengaturan!$B$8:$B$27,N$4)))</f>
        <v>0</v>
      </c>
      <c r="O252" s="26" t="n">
        <f aca="false">IF(INDEX(Pengaturan!$B$8:$B$27,O$4)="",0,COUNTIF(Data!$B252:$U252,INDEX(Pengaturan!$B$8:$B$27,O$4)))</f>
        <v>0</v>
      </c>
      <c r="P252" s="26" t="n">
        <f aca="false">IF(INDEX(Pengaturan!$B$8:$B$27,P$4)="",0,COUNTIF(Data!$B252:$U252,INDEX(Pengaturan!$B$8:$B$27,P$4)))</f>
        <v>0</v>
      </c>
      <c r="Q252" s="26" t="n">
        <f aca="false">IF(INDEX(Pengaturan!$B$8:$B$27,Q$4)="",0,COUNTIF(Data!$B252:$U252,INDEX(Pengaturan!$B$8:$B$27,Q$4)))</f>
        <v>0</v>
      </c>
      <c r="R252" s="26" t="n">
        <f aca="false">IF(INDEX(Pengaturan!$B$8:$B$27,R$4)="",0,COUNTIF(Data!$B252:$U252,INDEX(Pengaturan!$B$8:$B$27,R$4)))</f>
        <v>0</v>
      </c>
      <c r="S252" s="26" t="n">
        <f aca="false">IF(INDEX(Pengaturan!$B$8:$B$27,S$4)="",0,COUNTIF(Data!$B252:$U252,INDEX(Pengaturan!$B$8:$B$27,S$4)))</f>
        <v>0</v>
      </c>
      <c r="T252" s="26" t="n">
        <f aca="false">IF(INDEX(Pengaturan!$B$8:$B$27,T$4)="",0,COUNTIF(Data!$B252:$U252,INDEX(Pengaturan!$B$8:$B$27,T$4)))</f>
        <v>0</v>
      </c>
      <c r="U252" s="26" t="n">
        <f aca="false">IF(INDEX(Pengaturan!$B$8:$B$27,U$4)="",0,COUNTIF(Data!$B252:$U252,INDEX(Pengaturan!$B$8:$B$27,U$4)))</f>
        <v>0</v>
      </c>
      <c r="V252" s="26" t="n">
        <f aca="false">COUNTA(Data!$B252:$U252)</f>
        <v>0</v>
      </c>
      <c r="W252" s="27" t="str">
        <f aca="false">IF(V252=0,"",IF(V252&lt;&gt;Hasil!$C$4,"Data kosong/tidak lengkap",IF(SUM(B252:U252)&lt;&gt;V252,"Kategori tidak dikenal","OK")))</f>
        <v/>
      </c>
      <c r="X252" s="26" t="n">
        <f aca="false">IF(OR(W252="",W252="OK"),0,1)</f>
        <v>0</v>
      </c>
    </row>
    <row r="253" customFormat="false" ht="15" hidden="false" customHeight="false" outlineLevel="0" collapsed="false">
      <c r="A253" s="26" t="n">
        <f aca="false">Data!A253</f>
        <v>248</v>
      </c>
      <c r="B253" s="26" t="n">
        <f aca="false">IF(INDEX(Pengaturan!$B$8:$B$27,B$4)="",0,COUNTIF(Data!$B253:$U253,INDEX(Pengaturan!$B$8:$B$27,B$4)))</f>
        <v>0</v>
      </c>
      <c r="C253" s="26" t="n">
        <f aca="false">IF(INDEX(Pengaturan!$B$8:$B$27,C$4)="",0,COUNTIF(Data!$B253:$U253,INDEX(Pengaturan!$B$8:$B$27,C$4)))</f>
        <v>0</v>
      </c>
      <c r="D253" s="26" t="n">
        <f aca="false">IF(INDEX(Pengaturan!$B$8:$B$27,D$4)="",0,COUNTIF(Data!$B253:$U253,INDEX(Pengaturan!$B$8:$B$27,D$4)))</f>
        <v>0</v>
      </c>
      <c r="E253" s="26" t="n">
        <f aca="false">IF(INDEX(Pengaturan!$B$8:$B$27,E$4)="",0,COUNTIF(Data!$B253:$U253,INDEX(Pengaturan!$B$8:$B$27,E$4)))</f>
        <v>0</v>
      </c>
      <c r="F253" s="26" t="n">
        <f aca="false">IF(INDEX(Pengaturan!$B$8:$B$27,F$4)="",0,COUNTIF(Data!$B253:$U253,INDEX(Pengaturan!$B$8:$B$27,F$4)))</f>
        <v>0</v>
      </c>
      <c r="G253" s="26" t="n">
        <f aca="false">IF(INDEX(Pengaturan!$B$8:$B$27,G$4)="",0,COUNTIF(Data!$B253:$U253,INDEX(Pengaturan!$B$8:$B$27,G$4)))</f>
        <v>0</v>
      </c>
      <c r="H253" s="26" t="n">
        <f aca="false">IF(INDEX(Pengaturan!$B$8:$B$27,H$4)="",0,COUNTIF(Data!$B253:$U253,INDEX(Pengaturan!$B$8:$B$27,H$4)))</f>
        <v>0</v>
      </c>
      <c r="I253" s="26" t="n">
        <f aca="false">IF(INDEX(Pengaturan!$B$8:$B$27,I$4)="",0,COUNTIF(Data!$B253:$U253,INDEX(Pengaturan!$B$8:$B$27,I$4)))</f>
        <v>0</v>
      </c>
      <c r="J253" s="26" t="n">
        <f aca="false">IF(INDEX(Pengaturan!$B$8:$B$27,J$4)="",0,COUNTIF(Data!$B253:$U253,INDEX(Pengaturan!$B$8:$B$27,J$4)))</f>
        <v>0</v>
      </c>
      <c r="K253" s="26" t="n">
        <f aca="false">IF(INDEX(Pengaturan!$B$8:$B$27,K$4)="",0,COUNTIF(Data!$B253:$U253,INDEX(Pengaturan!$B$8:$B$27,K$4)))</f>
        <v>0</v>
      </c>
      <c r="L253" s="26" t="n">
        <f aca="false">IF(INDEX(Pengaturan!$B$8:$B$27,L$4)="",0,COUNTIF(Data!$B253:$U253,INDEX(Pengaturan!$B$8:$B$27,L$4)))</f>
        <v>0</v>
      </c>
      <c r="M253" s="26" t="n">
        <f aca="false">IF(INDEX(Pengaturan!$B$8:$B$27,M$4)="",0,COUNTIF(Data!$B253:$U253,INDEX(Pengaturan!$B$8:$B$27,M$4)))</f>
        <v>0</v>
      </c>
      <c r="N253" s="26" t="n">
        <f aca="false">IF(INDEX(Pengaturan!$B$8:$B$27,N$4)="",0,COUNTIF(Data!$B253:$U253,INDEX(Pengaturan!$B$8:$B$27,N$4)))</f>
        <v>0</v>
      </c>
      <c r="O253" s="26" t="n">
        <f aca="false">IF(INDEX(Pengaturan!$B$8:$B$27,O$4)="",0,COUNTIF(Data!$B253:$U253,INDEX(Pengaturan!$B$8:$B$27,O$4)))</f>
        <v>0</v>
      </c>
      <c r="P253" s="26" t="n">
        <f aca="false">IF(INDEX(Pengaturan!$B$8:$B$27,P$4)="",0,COUNTIF(Data!$B253:$U253,INDEX(Pengaturan!$B$8:$B$27,P$4)))</f>
        <v>0</v>
      </c>
      <c r="Q253" s="26" t="n">
        <f aca="false">IF(INDEX(Pengaturan!$B$8:$B$27,Q$4)="",0,COUNTIF(Data!$B253:$U253,INDEX(Pengaturan!$B$8:$B$27,Q$4)))</f>
        <v>0</v>
      </c>
      <c r="R253" s="26" t="n">
        <f aca="false">IF(INDEX(Pengaturan!$B$8:$B$27,R$4)="",0,COUNTIF(Data!$B253:$U253,INDEX(Pengaturan!$B$8:$B$27,R$4)))</f>
        <v>0</v>
      </c>
      <c r="S253" s="26" t="n">
        <f aca="false">IF(INDEX(Pengaturan!$B$8:$B$27,S$4)="",0,COUNTIF(Data!$B253:$U253,INDEX(Pengaturan!$B$8:$B$27,S$4)))</f>
        <v>0</v>
      </c>
      <c r="T253" s="26" t="n">
        <f aca="false">IF(INDEX(Pengaturan!$B$8:$B$27,T$4)="",0,COUNTIF(Data!$B253:$U253,INDEX(Pengaturan!$B$8:$B$27,T$4)))</f>
        <v>0</v>
      </c>
      <c r="U253" s="26" t="n">
        <f aca="false">IF(INDEX(Pengaturan!$B$8:$B$27,U$4)="",0,COUNTIF(Data!$B253:$U253,INDEX(Pengaturan!$B$8:$B$27,U$4)))</f>
        <v>0</v>
      </c>
      <c r="V253" s="26" t="n">
        <f aca="false">COUNTA(Data!$B253:$U253)</f>
        <v>0</v>
      </c>
      <c r="W253" s="27" t="str">
        <f aca="false">IF(V253=0,"",IF(V253&lt;&gt;Hasil!$C$4,"Data kosong/tidak lengkap",IF(SUM(B253:U253)&lt;&gt;V253,"Kategori tidak dikenal","OK")))</f>
        <v/>
      </c>
      <c r="X253" s="26" t="n">
        <f aca="false">IF(OR(W253="",W253="OK"),0,1)</f>
        <v>0</v>
      </c>
    </row>
    <row r="254" customFormat="false" ht="15" hidden="false" customHeight="false" outlineLevel="0" collapsed="false">
      <c r="A254" s="26" t="n">
        <f aca="false">Data!A254</f>
        <v>249</v>
      </c>
      <c r="B254" s="26" t="n">
        <f aca="false">IF(INDEX(Pengaturan!$B$8:$B$27,B$4)="",0,COUNTIF(Data!$B254:$U254,INDEX(Pengaturan!$B$8:$B$27,B$4)))</f>
        <v>0</v>
      </c>
      <c r="C254" s="26" t="n">
        <f aca="false">IF(INDEX(Pengaturan!$B$8:$B$27,C$4)="",0,COUNTIF(Data!$B254:$U254,INDEX(Pengaturan!$B$8:$B$27,C$4)))</f>
        <v>0</v>
      </c>
      <c r="D254" s="26" t="n">
        <f aca="false">IF(INDEX(Pengaturan!$B$8:$B$27,D$4)="",0,COUNTIF(Data!$B254:$U254,INDEX(Pengaturan!$B$8:$B$27,D$4)))</f>
        <v>0</v>
      </c>
      <c r="E254" s="26" t="n">
        <f aca="false">IF(INDEX(Pengaturan!$B$8:$B$27,E$4)="",0,COUNTIF(Data!$B254:$U254,INDEX(Pengaturan!$B$8:$B$27,E$4)))</f>
        <v>0</v>
      </c>
      <c r="F254" s="26" t="n">
        <f aca="false">IF(INDEX(Pengaturan!$B$8:$B$27,F$4)="",0,COUNTIF(Data!$B254:$U254,INDEX(Pengaturan!$B$8:$B$27,F$4)))</f>
        <v>0</v>
      </c>
      <c r="G254" s="26" t="n">
        <f aca="false">IF(INDEX(Pengaturan!$B$8:$B$27,G$4)="",0,COUNTIF(Data!$B254:$U254,INDEX(Pengaturan!$B$8:$B$27,G$4)))</f>
        <v>0</v>
      </c>
      <c r="H254" s="26" t="n">
        <f aca="false">IF(INDEX(Pengaturan!$B$8:$B$27,H$4)="",0,COUNTIF(Data!$B254:$U254,INDEX(Pengaturan!$B$8:$B$27,H$4)))</f>
        <v>0</v>
      </c>
      <c r="I254" s="26" t="n">
        <f aca="false">IF(INDEX(Pengaturan!$B$8:$B$27,I$4)="",0,COUNTIF(Data!$B254:$U254,INDEX(Pengaturan!$B$8:$B$27,I$4)))</f>
        <v>0</v>
      </c>
      <c r="J254" s="26" t="n">
        <f aca="false">IF(INDEX(Pengaturan!$B$8:$B$27,J$4)="",0,COUNTIF(Data!$B254:$U254,INDEX(Pengaturan!$B$8:$B$27,J$4)))</f>
        <v>0</v>
      </c>
      <c r="K254" s="26" t="n">
        <f aca="false">IF(INDEX(Pengaturan!$B$8:$B$27,K$4)="",0,COUNTIF(Data!$B254:$U254,INDEX(Pengaturan!$B$8:$B$27,K$4)))</f>
        <v>0</v>
      </c>
      <c r="L254" s="26" t="n">
        <f aca="false">IF(INDEX(Pengaturan!$B$8:$B$27,L$4)="",0,COUNTIF(Data!$B254:$U254,INDEX(Pengaturan!$B$8:$B$27,L$4)))</f>
        <v>0</v>
      </c>
      <c r="M254" s="26" t="n">
        <f aca="false">IF(INDEX(Pengaturan!$B$8:$B$27,M$4)="",0,COUNTIF(Data!$B254:$U254,INDEX(Pengaturan!$B$8:$B$27,M$4)))</f>
        <v>0</v>
      </c>
      <c r="N254" s="26" t="n">
        <f aca="false">IF(INDEX(Pengaturan!$B$8:$B$27,N$4)="",0,COUNTIF(Data!$B254:$U254,INDEX(Pengaturan!$B$8:$B$27,N$4)))</f>
        <v>0</v>
      </c>
      <c r="O254" s="26" t="n">
        <f aca="false">IF(INDEX(Pengaturan!$B$8:$B$27,O$4)="",0,COUNTIF(Data!$B254:$U254,INDEX(Pengaturan!$B$8:$B$27,O$4)))</f>
        <v>0</v>
      </c>
      <c r="P254" s="26" t="n">
        <f aca="false">IF(INDEX(Pengaturan!$B$8:$B$27,P$4)="",0,COUNTIF(Data!$B254:$U254,INDEX(Pengaturan!$B$8:$B$27,P$4)))</f>
        <v>0</v>
      </c>
      <c r="Q254" s="26" t="n">
        <f aca="false">IF(INDEX(Pengaturan!$B$8:$B$27,Q$4)="",0,COUNTIF(Data!$B254:$U254,INDEX(Pengaturan!$B$8:$B$27,Q$4)))</f>
        <v>0</v>
      </c>
      <c r="R254" s="26" t="n">
        <f aca="false">IF(INDEX(Pengaturan!$B$8:$B$27,R$4)="",0,COUNTIF(Data!$B254:$U254,INDEX(Pengaturan!$B$8:$B$27,R$4)))</f>
        <v>0</v>
      </c>
      <c r="S254" s="26" t="n">
        <f aca="false">IF(INDEX(Pengaturan!$B$8:$B$27,S$4)="",0,COUNTIF(Data!$B254:$U254,INDEX(Pengaturan!$B$8:$B$27,S$4)))</f>
        <v>0</v>
      </c>
      <c r="T254" s="26" t="n">
        <f aca="false">IF(INDEX(Pengaturan!$B$8:$B$27,T$4)="",0,COUNTIF(Data!$B254:$U254,INDEX(Pengaturan!$B$8:$B$27,T$4)))</f>
        <v>0</v>
      </c>
      <c r="U254" s="26" t="n">
        <f aca="false">IF(INDEX(Pengaturan!$B$8:$B$27,U$4)="",0,COUNTIF(Data!$B254:$U254,INDEX(Pengaturan!$B$8:$B$27,U$4)))</f>
        <v>0</v>
      </c>
      <c r="V254" s="26" t="n">
        <f aca="false">COUNTA(Data!$B254:$U254)</f>
        <v>0</v>
      </c>
      <c r="W254" s="27" t="str">
        <f aca="false">IF(V254=0,"",IF(V254&lt;&gt;Hasil!$C$4,"Data kosong/tidak lengkap",IF(SUM(B254:U254)&lt;&gt;V254,"Kategori tidak dikenal","OK")))</f>
        <v/>
      </c>
      <c r="X254" s="26" t="n">
        <f aca="false">IF(OR(W254="",W254="OK"),0,1)</f>
        <v>0</v>
      </c>
    </row>
    <row r="255" customFormat="false" ht="15" hidden="false" customHeight="false" outlineLevel="0" collapsed="false">
      <c r="A255" s="26" t="n">
        <f aca="false">Data!A255</f>
        <v>250</v>
      </c>
      <c r="B255" s="26" t="n">
        <f aca="false">IF(INDEX(Pengaturan!$B$8:$B$27,B$4)="",0,COUNTIF(Data!$B255:$U255,INDEX(Pengaturan!$B$8:$B$27,B$4)))</f>
        <v>0</v>
      </c>
      <c r="C255" s="26" t="n">
        <f aca="false">IF(INDEX(Pengaturan!$B$8:$B$27,C$4)="",0,COUNTIF(Data!$B255:$U255,INDEX(Pengaturan!$B$8:$B$27,C$4)))</f>
        <v>0</v>
      </c>
      <c r="D255" s="26" t="n">
        <f aca="false">IF(INDEX(Pengaturan!$B$8:$B$27,D$4)="",0,COUNTIF(Data!$B255:$U255,INDEX(Pengaturan!$B$8:$B$27,D$4)))</f>
        <v>0</v>
      </c>
      <c r="E255" s="26" t="n">
        <f aca="false">IF(INDEX(Pengaturan!$B$8:$B$27,E$4)="",0,COUNTIF(Data!$B255:$U255,INDEX(Pengaturan!$B$8:$B$27,E$4)))</f>
        <v>0</v>
      </c>
      <c r="F255" s="26" t="n">
        <f aca="false">IF(INDEX(Pengaturan!$B$8:$B$27,F$4)="",0,COUNTIF(Data!$B255:$U255,INDEX(Pengaturan!$B$8:$B$27,F$4)))</f>
        <v>0</v>
      </c>
      <c r="G255" s="26" t="n">
        <f aca="false">IF(INDEX(Pengaturan!$B$8:$B$27,G$4)="",0,COUNTIF(Data!$B255:$U255,INDEX(Pengaturan!$B$8:$B$27,G$4)))</f>
        <v>0</v>
      </c>
      <c r="H255" s="26" t="n">
        <f aca="false">IF(INDEX(Pengaturan!$B$8:$B$27,H$4)="",0,COUNTIF(Data!$B255:$U255,INDEX(Pengaturan!$B$8:$B$27,H$4)))</f>
        <v>0</v>
      </c>
      <c r="I255" s="26" t="n">
        <f aca="false">IF(INDEX(Pengaturan!$B$8:$B$27,I$4)="",0,COUNTIF(Data!$B255:$U255,INDEX(Pengaturan!$B$8:$B$27,I$4)))</f>
        <v>0</v>
      </c>
      <c r="J255" s="26" t="n">
        <f aca="false">IF(INDEX(Pengaturan!$B$8:$B$27,J$4)="",0,COUNTIF(Data!$B255:$U255,INDEX(Pengaturan!$B$8:$B$27,J$4)))</f>
        <v>0</v>
      </c>
      <c r="K255" s="26" t="n">
        <f aca="false">IF(INDEX(Pengaturan!$B$8:$B$27,K$4)="",0,COUNTIF(Data!$B255:$U255,INDEX(Pengaturan!$B$8:$B$27,K$4)))</f>
        <v>0</v>
      </c>
      <c r="L255" s="26" t="n">
        <f aca="false">IF(INDEX(Pengaturan!$B$8:$B$27,L$4)="",0,COUNTIF(Data!$B255:$U255,INDEX(Pengaturan!$B$8:$B$27,L$4)))</f>
        <v>0</v>
      </c>
      <c r="M255" s="26" t="n">
        <f aca="false">IF(INDEX(Pengaturan!$B$8:$B$27,M$4)="",0,COUNTIF(Data!$B255:$U255,INDEX(Pengaturan!$B$8:$B$27,M$4)))</f>
        <v>0</v>
      </c>
      <c r="N255" s="26" t="n">
        <f aca="false">IF(INDEX(Pengaturan!$B$8:$B$27,N$4)="",0,COUNTIF(Data!$B255:$U255,INDEX(Pengaturan!$B$8:$B$27,N$4)))</f>
        <v>0</v>
      </c>
      <c r="O255" s="26" t="n">
        <f aca="false">IF(INDEX(Pengaturan!$B$8:$B$27,O$4)="",0,COUNTIF(Data!$B255:$U255,INDEX(Pengaturan!$B$8:$B$27,O$4)))</f>
        <v>0</v>
      </c>
      <c r="P255" s="26" t="n">
        <f aca="false">IF(INDEX(Pengaturan!$B$8:$B$27,P$4)="",0,COUNTIF(Data!$B255:$U255,INDEX(Pengaturan!$B$8:$B$27,P$4)))</f>
        <v>0</v>
      </c>
      <c r="Q255" s="26" t="n">
        <f aca="false">IF(INDEX(Pengaturan!$B$8:$B$27,Q$4)="",0,COUNTIF(Data!$B255:$U255,INDEX(Pengaturan!$B$8:$B$27,Q$4)))</f>
        <v>0</v>
      </c>
      <c r="R255" s="26" t="n">
        <f aca="false">IF(INDEX(Pengaturan!$B$8:$B$27,R$4)="",0,COUNTIF(Data!$B255:$U255,INDEX(Pengaturan!$B$8:$B$27,R$4)))</f>
        <v>0</v>
      </c>
      <c r="S255" s="26" t="n">
        <f aca="false">IF(INDEX(Pengaturan!$B$8:$B$27,S$4)="",0,COUNTIF(Data!$B255:$U255,INDEX(Pengaturan!$B$8:$B$27,S$4)))</f>
        <v>0</v>
      </c>
      <c r="T255" s="26" t="n">
        <f aca="false">IF(INDEX(Pengaturan!$B$8:$B$27,T$4)="",0,COUNTIF(Data!$B255:$U255,INDEX(Pengaturan!$B$8:$B$27,T$4)))</f>
        <v>0</v>
      </c>
      <c r="U255" s="26" t="n">
        <f aca="false">IF(INDEX(Pengaturan!$B$8:$B$27,U$4)="",0,COUNTIF(Data!$B255:$U255,INDEX(Pengaturan!$B$8:$B$27,U$4)))</f>
        <v>0</v>
      </c>
      <c r="V255" s="26" t="n">
        <f aca="false">COUNTA(Data!$B255:$U255)</f>
        <v>0</v>
      </c>
      <c r="W255" s="27" t="str">
        <f aca="false">IF(V255=0,"",IF(V255&lt;&gt;Hasil!$C$4,"Data kosong/tidak lengkap",IF(SUM(B255:U255)&lt;&gt;V255,"Kategori tidak dikenal","OK")))</f>
        <v/>
      </c>
      <c r="X255" s="26" t="n">
        <f aca="false">IF(OR(W255="",W255="OK"),0,1)</f>
        <v>0</v>
      </c>
    </row>
    <row r="256" customFormat="false" ht="15" hidden="false" customHeight="false" outlineLevel="0" collapsed="false">
      <c r="A256" s="26" t="n">
        <f aca="false">Data!A256</f>
        <v>251</v>
      </c>
      <c r="B256" s="26" t="n">
        <f aca="false">IF(INDEX(Pengaturan!$B$8:$B$27,B$4)="",0,COUNTIF(Data!$B256:$U256,INDEX(Pengaturan!$B$8:$B$27,B$4)))</f>
        <v>0</v>
      </c>
      <c r="C256" s="26" t="n">
        <f aca="false">IF(INDEX(Pengaturan!$B$8:$B$27,C$4)="",0,COUNTIF(Data!$B256:$U256,INDEX(Pengaturan!$B$8:$B$27,C$4)))</f>
        <v>0</v>
      </c>
      <c r="D256" s="26" t="n">
        <f aca="false">IF(INDEX(Pengaturan!$B$8:$B$27,D$4)="",0,COUNTIF(Data!$B256:$U256,INDEX(Pengaturan!$B$8:$B$27,D$4)))</f>
        <v>0</v>
      </c>
      <c r="E256" s="26" t="n">
        <f aca="false">IF(INDEX(Pengaturan!$B$8:$B$27,E$4)="",0,COUNTIF(Data!$B256:$U256,INDEX(Pengaturan!$B$8:$B$27,E$4)))</f>
        <v>0</v>
      </c>
      <c r="F256" s="26" t="n">
        <f aca="false">IF(INDEX(Pengaturan!$B$8:$B$27,F$4)="",0,COUNTIF(Data!$B256:$U256,INDEX(Pengaturan!$B$8:$B$27,F$4)))</f>
        <v>0</v>
      </c>
      <c r="G256" s="26" t="n">
        <f aca="false">IF(INDEX(Pengaturan!$B$8:$B$27,G$4)="",0,COUNTIF(Data!$B256:$U256,INDEX(Pengaturan!$B$8:$B$27,G$4)))</f>
        <v>0</v>
      </c>
      <c r="H256" s="26" t="n">
        <f aca="false">IF(INDEX(Pengaturan!$B$8:$B$27,H$4)="",0,COUNTIF(Data!$B256:$U256,INDEX(Pengaturan!$B$8:$B$27,H$4)))</f>
        <v>0</v>
      </c>
      <c r="I256" s="26" t="n">
        <f aca="false">IF(INDEX(Pengaturan!$B$8:$B$27,I$4)="",0,COUNTIF(Data!$B256:$U256,INDEX(Pengaturan!$B$8:$B$27,I$4)))</f>
        <v>0</v>
      </c>
      <c r="J256" s="26" t="n">
        <f aca="false">IF(INDEX(Pengaturan!$B$8:$B$27,J$4)="",0,COUNTIF(Data!$B256:$U256,INDEX(Pengaturan!$B$8:$B$27,J$4)))</f>
        <v>0</v>
      </c>
      <c r="K256" s="26" t="n">
        <f aca="false">IF(INDEX(Pengaturan!$B$8:$B$27,K$4)="",0,COUNTIF(Data!$B256:$U256,INDEX(Pengaturan!$B$8:$B$27,K$4)))</f>
        <v>0</v>
      </c>
      <c r="L256" s="26" t="n">
        <f aca="false">IF(INDEX(Pengaturan!$B$8:$B$27,L$4)="",0,COUNTIF(Data!$B256:$U256,INDEX(Pengaturan!$B$8:$B$27,L$4)))</f>
        <v>0</v>
      </c>
      <c r="M256" s="26" t="n">
        <f aca="false">IF(INDEX(Pengaturan!$B$8:$B$27,M$4)="",0,COUNTIF(Data!$B256:$U256,INDEX(Pengaturan!$B$8:$B$27,M$4)))</f>
        <v>0</v>
      </c>
      <c r="N256" s="26" t="n">
        <f aca="false">IF(INDEX(Pengaturan!$B$8:$B$27,N$4)="",0,COUNTIF(Data!$B256:$U256,INDEX(Pengaturan!$B$8:$B$27,N$4)))</f>
        <v>0</v>
      </c>
      <c r="O256" s="26" t="n">
        <f aca="false">IF(INDEX(Pengaturan!$B$8:$B$27,O$4)="",0,COUNTIF(Data!$B256:$U256,INDEX(Pengaturan!$B$8:$B$27,O$4)))</f>
        <v>0</v>
      </c>
      <c r="P256" s="26" t="n">
        <f aca="false">IF(INDEX(Pengaturan!$B$8:$B$27,P$4)="",0,COUNTIF(Data!$B256:$U256,INDEX(Pengaturan!$B$8:$B$27,P$4)))</f>
        <v>0</v>
      </c>
      <c r="Q256" s="26" t="n">
        <f aca="false">IF(INDEX(Pengaturan!$B$8:$B$27,Q$4)="",0,COUNTIF(Data!$B256:$U256,INDEX(Pengaturan!$B$8:$B$27,Q$4)))</f>
        <v>0</v>
      </c>
      <c r="R256" s="26" t="n">
        <f aca="false">IF(INDEX(Pengaturan!$B$8:$B$27,R$4)="",0,COUNTIF(Data!$B256:$U256,INDEX(Pengaturan!$B$8:$B$27,R$4)))</f>
        <v>0</v>
      </c>
      <c r="S256" s="26" t="n">
        <f aca="false">IF(INDEX(Pengaturan!$B$8:$B$27,S$4)="",0,COUNTIF(Data!$B256:$U256,INDEX(Pengaturan!$B$8:$B$27,S$4)))</f>
        <v>0</v>
      </c>
      <c r="T256" s="26" t="n">
        <f aca="false">IF(INDEX(Pengaturan!$B$8:$B$27,T$4)="",0,COUNTIF(Data!$B256:$U256,INDEX(Pengaturan!$B$8:$B$27,T$4)))</f>
        <v>0</v>
      </c>
      <c r="U256" s="26" t="n">
        <f aca="false">IF(INDEX(Pengaturan!$B$8:$B$27,U$4)="",0,COUNTIF(Data!$B256:$U256,INDEX(Pengaturan!$B$8:$B$27,U$4)))</f>
        <v>0</v>
      </c>
      <c r="V256" s="26" t="n">
        <f aca="false">COUNTA(Data!$B256:$U256)</f>
        <v>0</v>
      </c>
      <c r="W256" s="27" t="str">
        <f aca="false">IF(V256=0,"",IF(V256&lt;&gt;Hasil!$C$4,"Data kosong/tidak lengkap",IF(SUM(B256:U256)&lt;&gt;V256,"Kategori tidak dikenal","OK")))</f>
        <v/>
      </c>
      <c r="X256" s="26" t="n">
        <f aca="false">IF(OR(W256="",W256="OK"),0,1)</f>
        <v>0</v>
      </c>
    </row>
    <row r="257" customFormat="false" ht="15" hidden="false" customHeight="false" outlineLevel="0" collapsed="false">
      <c r="A257" s="26" t="n">
        <f aca="false">Data!A257</f>
        <v>252</v>
      </c>
      <c r="B257" s="26" t="n">
        <f aca="false">IF(INDEX(Pengaturan!$B$8:$B$27,B$4)="",0,COUNTIF(Data!$B257:$U257,INDEX(Pengaturan!$B$8:$B$27,B$4)))</f>
        <v>0</v>
      </c>
      <c r="C257" s="26" t="n">
        <f aca="false">IF(INDEX(Pengaturan!$B$8:$B$27,C$4)="",0,COUNTIF(Data!$B257:$U257,INDEX(Pengaturan!$B$8:$B$27,C$4)))</f>
        <v>0</v>
      </c>
      <c r="D257" s="26" t="n">
        <f aca="false">IF(INDEX(Pengaturan!$B$8:$B$27,D$4)="",0,COUNTIF(Data!$B257:$U257,INDEX(Pengaturan!$B$8:$B$27,D$4)))</f>
        <v>0</v>
      </c>
      <c r="E257" s="26" t="n">
        <f aca="false">IF(INDEX(Pengaturan!$B$8:$B$27,E$4)="",0,COUNTIF(Data!$B257:$U257,INDEX(Pengaturan!$B$8:$B$27,E$4)))</f>
        <v>0</v>
      </c>
      <c r="F257" s="26" t="n">
        <f aca="false">IF(INDEX(Pengaturan!$B$8:$B$27,F$4)="",0,COUNTIF(Data!$B257:$U257,INDEX(Pengaturan!$B$8:$B$27,F$4)))</f>
        <v>0</v>
      </c>
      <c r="G257" s="26" t="n">
        <f aca="false">IF(INDEX(Pengaturan!$B$8:$B$27,G$4)="",0,COUNTIF(Data!$B257:$U257,INDEX(Pengaturan!$B$8:$B$27,G$4)))</f>
        <v>0</v>
      </c>
      <c r="H257" s="26" t="n">
        <f aca="false">IF(INDEX(Pengaturan!$B$8:$B$27,H$4)="",0,COUNTIF(Data!$B257:$U257,INDEX(Pengaturan!$B$8:$B$27,H$4)))</f>
        <v>0</v>
      </c>
      <c r="I257" s="26" t="n">
        <f aca="false">IF(INDEX(Pengaturan!$B$8:$B$27,I$4)="",0,COUNTIF(Data!$B257:$U257,INDEX(Pengaturan!$B$8:$B$27,I$4)))</f>
        <v>0</v>
      </c>
      <c r="J257" s="26" t="n">
        <f aca="false">IF(INDEX(Pengaturan!$B$8:$B$27,J$4)="",0,COUNTIF(Data!$B257:$U257,INDEX(Pengaturan!$B$8:$B$27,J$4)))</f>
        <v>0</v>
      </c>
      <c r="K257" s="26" t="n">
        <f aca="false">IF(INDEX(Pengaturan!$B$8:$B$27,K$4)="",0,COUNTIF(Data!$B257:$U257,INDEX(Pengaturan!$B$8:$B$27,K$4)))</f>
        <v>0</v>
      </c>
      <c r="L257" s="26" t="n">
        <f aca="false">IF(INDEX(Pengaturan!$B$8:$B$27,L$4)="",0,COUNTIF(Data!$B257:$U257,INDEX(Pengaturan!$B$8:$B$27,L$4)))</f>
        <v>0</v>
      </c>
      <c r="M257" s="26" t="n">
        <f aca="false">IF(INDEX(Pengaturan!$B$8:$B$27,M$4)="",0,COUNTIF(Data!$B257:$U257,INDEX(Pengaturan!$B$8:$B$27,M$4)))</f>
        <v>0</v>
      </c>
      <c r="N257" s="26" t="n">
        <f aca="false">IF(INDEX(Pengaturan!$B$8:$B$27,N$4)="",0,COUNTIF(Data!$B257:$U257,INDEX(Pengaturan!$B$8:$B$27,N$4)))</f>
        <v>0</v>
      </c>
      <c r="O257" s="26" t="n">
        <f aca="false">IF(INDEX(Pengaturan!$B$8:$B$27,O$4)="",0,COUNTIF(Data!$B257:$U257,INDEX(Pengaturan!$B$8:$B$27,O$4)))</f>
        <v>0</v>
      </c>
      <c r="P257" s="26" t="n">
        <f aca="false">IF(INDEX(Pengaturan!$B$8:$B$27,P$4)="",0,COUNTIF(Data!$B257:$U257,INDEX(Pengaturan!$B$8:$B$27,P$4)))</f>
        <v>0</v>
      </c>
      <c r="Q257" s="26" t="n">
        <f aca="false">IF(INDEX(Pengaturan!$B$8:$B$27,Q$4)="",0,COUNTIF(Data!$B257:$U257,INDEX(Pengaturan!$B$8:$B$27,Q$4)))</f>
        <v>0</v>
      </c>
      <c r="R257" s="26" t="n">
        <f aca="false">IF(INDEX(Pengaturan!$B$8:$B$27,R$4)="",0,COUNTIF(Data!$B257:$U257,INDEX(Pengaturan!$B$8:$B$27,R$4)))</f>
        <v>0</v>
      </c>
      <c r="S257" s="26" t="n">
        <f aca="false">IF(INDEX(Pengaturan!$B$8:$B$27,S$4)="",0,COUNTIF(Data!$B257:$U257,INDEX(Pengaturan!$B$8:$B$27,S$4)))</f>
        <v>0</v>
      </c>
      <c r="T257" s="26" t="n">
        <f aca="false">IF(INDEX(Pengaturan!$B$8:$B$27,T$4)="",0,COUNTIF(Data!$B257:$U257,INDEX(Pengaturan!$B$8:$B$27,T$4)))</f>
        <v>0</v>
      </c>
      <c r="U257" s="26" t="n">
        <f aca="false">IF(INDEX(Pengaturan!$B$8:$B$27,U$4)="",0,COUNTIF(Data!$B257:$U257,INDEX(Pengaturan!$B$8:$B$27,U$4)))</f>
        <v>0</v>
      </c>
      <c r="V257" s="26" t="n">
        <f aca="false">COUNTA(Data!$B257:$U257)</f>
        <v>0</v>
      </c>
      <c r="W257" s="27" t="str">
        <f aca="false">IF(V257=0,"",IF(V257&lt;&gt;Hasil!$C$4,"Data kosong/tidak lengkap",IF(SUM(B257:U257)&lt;&gt;V257,"Kategori tidak dikenal","OK")))</f>
        <v/>
      </c>
      <c r="X257" s="26" t="n">
        <f aca="false">IF(OR(W257="",W257="OK"),0,1)</f>
        <v>0</v>
      </c>
    </row>
    <row r="258" customFormat="false" ht="15" hidden="false" customHeight="false" outlineLevel="0" collapsed="false">
      <c r="A258" s="26" t="n">
        <f aca="false">Data!A258</f>
        <v>253</v>
      </c>
      <c r="B258" s="26" t="n">
        <f aca="false">IF(INDEX(Pengaturan!$B$8:$B$27,B$4)="",0,COUNTIF(Data!$B258:$U258,INDEX(Pengaturan!$B$8:$B$27,B$4)))</f>
        <v>0</v>
      </c>
      <c r="C258" s="26" t="n">
        <f aca="false">IF(INDEX(Pengaturan!$B$8:$B$27,C$4)="",0,COUNTIF(Data!$B258:$U258,INDEX(Pengaturan!$B$8:$B$27,C$4)))</f>
        <v>0</v>
      </c>
      <c r="D258" s="26" t="n">
        <f aca="false">IF(INDEX(Pengaturan!$B$8:$B$27,D$4)="",0,COUNTIF(Data!$B258:$U258,INDEX(Pengaturan!$B$8:$B$27,D$4)))</f>
        <v>0</v>
      </c>
      <c r="E258" s="26" t="n">
        <f aca="false">IF(INDEX(Pengaturan!$B$8:$B$27,E$4)="",0,COUNTIF(Data!$B258:$U258,INDEX(Pengaturan!$B$8:$B$27,E$4)))</f>
        <v>0</v>
      </c>
      <c r="F258" s="26" t="n">
        <f aca="false">IF(INDEX(Pengaturan!$B$8:$B$27,F$4)="",0,COUNTIF(Data!$B258:$U258,INDEX(Pengaturan!$B$8:$B$27,F$4)))</f>
        <v>0</v>
      </c>
      <c r="G258" s="26" t="n">
        <f aca="false">IF(INDEX(Pengaturan!$B$8:$B$27,G$4)="",0,COUNTIF(Data!$B258:$U258,INDEX(Pengaturan!$B$8:$B$27,G$4)))</f>
        <v>0</v>
      </c>
      <c r="H258" s="26" t="n">
        <f aca="false">IF(INDEX(Pengaturan!$B$8:$B$27,H$4)="",0,COUNTIF(Data!$B258:$U258,INDEX(Pengaturan!$B$8:$B$27,H$4)))</f>
        <v>0</v>
      </c>
      <c r="I258" s="26" t="n">
        <f aca="false">IF(INDEX(Pengaturan!$B$8:$B$27,I$4)="",0,COUNTIF(Data!$B258:$U258,INDEX(Pengaturan!$B$8:$B$27,I$4)))</f>
        <v>0</v>
      </c>
      <c r="J258" s="26" t="n">
        <f aca="false">IF(INDEX(Pengaturan!$B$8:$B$27,J$4)="",0,COUNTIF(Data!$B258:$U258,INDEX(Pengaturan!$B$8:$B$27,J$4)))</f>
        <v>0</v>
      </c>
      <c r="K258" s="26" t="n">
        <f aca="false">IF(INDEX(Pengaturan!$B$8:$B$27,K$4)="",0,COUNTIF(Data!$B258:$U258,INDEX(Pengaturan!$B$8:$B$27,K$4)))</f>
        <v>0</v>
      </c>
      <c r="L258" s="26" t="n">
        <f aca="false">IF(INDEX(Pengaturan!$B$8:$B$27,L$4)="",0,COUNTIF(Data!$B258:$U258,INDEX(Pengaturan!$B$8:$B$27,L$4)))</f>
        <v>0</v>
      </c>
      <c r="M258" s="26" t="n">
        <f aca="false">IF(INDEX(Pengaturan!$B$8:$B$27,M$4)="",0,COUNTIF(Data!$B258:$U258,INDEX(Pengaturan!$B$8:$B$27,M$4)))</f>
        <v>0</v>
      </c>
      <c r="N258" s="26" t="n">
        <f aca="false">IF(INDEX(Pengaturan!$B$8:$B$27,N$4)="",0,COUNTIF(Data!$B258:$U258,INDEX(Pengaturan!$B$8:$B$27,N$4)))</f>
        <v>0</v>
      </c>
      <c r="O258" s="26" t="n">
        <f aca="false">IF(INDEX(Pengaturan!$B$8:$B$27,O$4)="",0,COUNTIF(Data!$B258:$U258,INDEX(Pengaturan!$B$8:$B$27,O$4)))</f>
        <v>0</v>
      </c>
      <c r="P258" s="26" t="n">
        <f aca="false">IF(INDEX(Pengaturan!$B$8:$B$27,P$4)="",0,COUNTIF(Data!$B258:$U258,INDEX(Pengaturan!$B$8:$B$27,P$4)))</f>
        <v>0</v>
      </c>
      <c r="Q258" s="26" t="n">
        <f aca="false">IF(INDEX(Pengaturan!$B$8:$B$27,Q$4)="",0,COUNTIF(Data!$B258:$U258,INDEX(Pengaturan!$B$8:$B$27,Q$4)))</f>
        <v>0</v>
      </c>
      <c r="R258" s="26" t="n">
        <f aca="false">IF(INDEX(Pengaturan!$B$8:$B$27,R$4)="",0,COUNTIF(Data!$B258:$U258,INDEX(Pengaturan!$B$8:$B$27,R$4)))</f>
        <v>0</v>
      </c>
      <c r="S258" s="26" t="n">
        <f aca="false">IF(INDEX(Pengaturan!$B$8:$B$27,S$4)="",0,COUNTIF(Data!$B258:$U258,INDEX(Pengaturan!$B$8:$B$27,S$4)))</f>
        <v>0</v>
      </c>
      <c r="T258" s="26" t="n">
        <f aca="false">IF(INDEX(Pengaturan!$B$8:$B$27,T$4)="",0,COUNTIF(Data!$B258:$U258,INDEX(Pengaturan!$B$8:$B$27,T$4)))</f>
        <v>0</v>
      </c>
      <c r="U258" s="26" t="n">
        <f aca="false">IF(INDEX(Pengaturan!$B$8:$B$27,U$4)="",0,COUNTIF(Data!$B258:$U258,INDEX(Pengaturan!$B$8:$B$27,U$4)))</f>
        <v>0</v>
      </c>
      <c r="V258" s="26" t="n">
        <f aca="false">COUNTA(Data!$B258:$U258)</f>
        <v>0</v>
      </c>
      <c r="W258" s="27" t="str">
        <f aca="false">IF(V258=0,"",IF(V258&lt;&gt;Hasil!$C$4,"Data kosong/tidak lengkap",IF(SUM(B258:U258)&lt;&gt;V258,"Kategori tidak dikenal","OK")))</f>
        <v/>
      </c>
      <c r="X258" s="26" t="n">
        <f aca="false">IF(OR(W258="",W258="OK"),0,1)</f>
        <v>0</v>
      </c>
    </row>
    <row r="259" customFormat="false" ht="15" hidden="false" customHeight="false" outlineLevel="0" collapsed="false">
      <c r="A259" s="26" t="n">
        <f aca="false">Data!A259</f>
        <v>254</v>
      </c>
      <c r="B259" s="26" t="n">
        <f aca="false">IF(INDEX(Pengaturan!$B$8:$B$27,B$4)="",0,COUNTIF(Data!$B259:$U259,INDEX(Pengaturan!$B$8:$B$27,B$4)))</f>
        <v>0</v>
      </c>
      <c r="C259" s="26" t="n">
        <f aca="false">IF(INDEX(Pengaturan!$B$8:$B$27,C$4)="",0,COUNTIF(Data!$B259:$U259,INDEX(Pengaturan!$B$8:$B$27,C$4)))</f>
        <v>0</v>
      </c>
      <c r="D259" s="26" t="n">
        <f aca="false">IF(INDEX(Pengaturan!$B$8:$B$27,D$4)="",0,COUNTIF(Data!$B259:$U259,INDEX(Pengaturan!$B$8:$B$27,D$4)))</f>
        <v>0</v>
      </c>
      <c r="E259" s="26" t="n">
        <f aca="false">IF(INDEX(Pengaturan!$B$8:$B$27,E$4)="",0,COUNTIF(Data!$B259:$U259,INDEX(Pengaturan!$B$8:$B$27,E$4)))</f>
        <v>0</v>
      </c>
      <c r="F259" s="26" t="n">
        <f aca="false">IF(INDEX(Pengaturan!$B$8:$B$27,F$4)="",0,COUNTIF(Data!$B259:$U259,INDEX(Pengaturan!$B$8:$B$27,F$4)))</f>
        <v>0</v>
      </c>
      <c r="G259" s="26" t="n">
        <f aca="false">IF(INDEX(Pengaturan!$B$8:$B$27,G$4)="",0,COUNTIF(Data!$B259:$U259,INDEX(Pengaturan!$B$8:$B$27,G$4)))</f>
        <v>0</v>
      </c>
      <c r="H259" s="26" t="n">
        <f aca="false">IF(INDEX(Pengaturan!$B$8:$B$27,H$4)="",0,COUNTIF(Data!$B259:$U259,INDEX(Pengaturan!$B$8:$B$27,H$4)))</f>
        <v>0</v>
      </c>
      <c r="I259" s="26" t="n">
        <f aca="false">IF(INDEX(Pengaturan!$B$8:$B$27,I$4)="",0,COUNTIF(Data!$B259:$U259,INDEX(Pengaturan!$B$8:$B$27,I$4)))</f>
        <v>0</v>
      </c>
      <c r="J259" s="26" t="n">
        <f aca="false">IF(INDEX(Pengaturan!$B$8:$B$27,J$4)="",0,COUNTIF(Data!$B259:$U259,INDEX(Pengaturan!$B$8:$B$27,J$4)))</f>
        <v>0</v>
      </c>
      <c r="K259" s="26" t="n">
        <f aca="false">IF(INDEX(Pengaturan!$B$8:$B$27,K$4)="",0,COUNTIF(Data!$B259:$U259,INDEX(Pengaturan!$B$8:$B$27,K$4)))</f>
        <v>0</v>
      </c>
      <c r="L259" s="26" t="n">
        <f aca="false">IF(INDEX(Pengaturan!$B$8:$B$27,L$4)="",0,COUNTIF(Data!$B259:$U259,INDEX(Pengaturan!$B$8:$B$27,L$4)))</f>
        <v>0</v>
      </c>
      <c r="M259" s="26" t="n">
        <f aca="false">IF(INDEX(Pengaturan!$B$8:$B$27,M$4)="",0,COUNTIF(Data!$B259:$U259,INDEX(Pengaturan!$B$8:$B$27,M$4)))</f>
        <v>0</v>
      </c>
      <c r="N259" s="26" t="n">
        <f aca="false">IF(INDEX(Pengaturan!$B$8:$B$27,N$4)="",0,COUNTIF(Data!$B259:$U259,INDEX(Pengaturan!$B$8:$B$27,N$4)))</f>
        <v>0</v>
      </c>
      <c r="O259" s="26" t="n">
        <f aca="false">IF(INDEX(Pengaturan!$B$8:$B$27,O$4)="",0,COUNTIF(Data!$B259:$U259,INDEX(Pengaturan!$B$8:$B$27,O$4)))</f>
        <v>0</v>
      </c>
      <c r="P259" s="26" t="n">
        <f aca="false">IF(INDEX(Pengaturan!$B$8:$B$27,P$4)="",0,COUNTIF(Data!$B259:$U259,INDEX(Pengaturan!$B$8:$B$27,P$4)))</f>
        <v>0</v>
      </c>
      <c r="Q259" s="26" t="n">
        <f aca="false">IF(INDEX(Pengaturan!$B$8:$B$27,Q$4)="",0,COUNTIF(Data!$B259:$U259,INDEX(Pengaturan!$B$8:$B$27,Q$4)))</f>
        <v>0</v>
      </c>
      <c r="R259" s="26" t="n">
        <f aca="false">IF(INDEX(Pengaturan!$B$8:$B$27,R$4)="",0,COUNTIF(Data!$B259:$U259,INDEX(Pengaturan!$B$8:$B$27,R$4)))</f>
        <v>0</v>
      </c>
      <c r="S259" s="26" t="n">
        <f aca="false">IF(INDEX(Pengaturan!$B$8:$B$27,S$4)="",0,COUNTIF(Data!$B259:$U259,INDEX(Pengaturan!$B$8:$B$27,S$4)))</f>
        <v>0</v>
      </c>
      <c r="T259" s="26" t="n">
        <f aca="false">IF(INDEX(Pengaturan!$B$8:$B$27,T$4)="",0,COUNTIF(Data!$B259:$U259,INDEX(Pengaturan!$B$8:$B$27,T$4)))</f>
        <v>0</v>
      </c>
      <c r="U259" s="26" t="n">
        <f aca="false">IF(INDEX(Pengaturan!$B$8:$B$27,U$4)="",0,COUNTIF(Data!$B259:$U259,INDEX(Pengaturan!$B$8:$B$27,U$4)))</f>
        <v>0</v>
      </c>
      <c r="V259" s="26" t="n">
        <f aca="false">COUNTA(Data!$B259:$U259)</f>
        <v>0</v>
      </c>
      <c r="W259" s="27" t="str">
        <f aca="false">IF(V259=0,"",IF(V259&lt;&gt;Hasil!$C$4,"Data kosong/tidak lengkap",IF(SUM(B259:U259)&lt;&gt;V259,"Kategori tidak dikenal","OK")))</f>
        <v/>
      </c>
      <c r="X259" s="26" t="n">
        <f aca="false">IF(OR(W259="",W259="OK"),0,1)</f>
        <v>0</v>
      </c>
    </row>
    <row r="260" customFormat="false" ht="15" hidden="false" customHeight="false" outlineLevel="0" collapsed="false">
      <c r="A260" s="26" t="n">
        <f aca="false">Data!A260</f>
        <v>255</v>
      </c>
      <c r="B260" s="26" t="n">
        <f aca="false">IF(INDEX(Pengaturan!$B$8:$B$27,B$4)="",0,COUNTIF(Data!$B260:$U260,INDEX(Pengaturan!$B$8:$B$27,B$4)))</f>
        <v>0</v>
      </c>
      <c r="C260" s="26" t="n">
        <f aca="false">IF(INDEX(Pengaturan!$B$8:$B$27,C$4)="",0,COUNTIF(Data!$B260:$U260,INDEX(Pengaturan!$B$8:$B$27,C$4)))</f>
        <v>0</v>
      </c>
      <c r="D260" s="26" t="n">
        <f aca="false">IF(INDEX(Pengaturan!$B$8:$B$27,D$4)="",0,COUNTIF(Data!$B260:$U260,INDEX(Pengaturan!$B$8:$B$27,D$4)))</f>
        <v>0</v>
      </c>
      <c r="E260" s="26" t="n">
        <f aca="false">IF(INDEX(Pengaturan!$B$8:$B$27,E$4)="",0,COUNTIF(Data!$B260:$U260,INDEX(Pengaturan!$B$8:$B$27,E$4)))</f>
        <v>0</v>
      </c>
      <c r="F260" s="26" t="n">
        <f aca="false">IF(INDEX(Pengaturan!$B$8:$B$27,F$4)="",0,COUNTIF(Data!$B260:$U260,INDEX(Pengaturan!$B$8:$B$27,F$4)))</f>
        <v>0</v>
      </c>
      <c r="G260" s="26" t="n">
        <f aca="false">IF(INDEX(Pengaturan!$B$8:$B$27,G$4)="",0,COUNTIF(Data!$B260:$U260,INDEX(Pengaturan!$B$8:$B$27,G$4)))</f>
        <v>0</v>
      </c>
      <c r="H260" s="26" t="n">
        <f aca="false">IF(INDEX(Pengaturan!$B$8:$B$27,H$4)="",0,COUNTIF(Data!$B260:$U260,INDEX(Pengaturan!$B$8:$B$27,H$4)))</f>
        <v>0</v>
      </c>
      <c r="I260" s="26" t="n">
        <f aca="false">IF(INDEX(Pengaturan!$B$8:$B$27,I$4)="",0,COUNTIF(Data!$B260:$U260,INDEX(Pengaturan!$B$8:$B$27,I$4)))</f>
        <v>0</v>
      </c>
      <c r="J260" s="26" t="n">
        <f aca="false">IF(INDEX(Pengaturan!$B$8:$B$27,J$4)="",0,COUNTIF(Data!$B260:$U260,INDEX(Pengaturan!$B$8:$B$27,J$4)))</f>
        <v>0</v>
      </c>
      <c r="K260" s="26" t="n">
        <f aca="false">IF(INDEX(Pengaturan!$B$8:$B$27,K$4)="",0,COUNTIF(Data!$B260:$U260,INDEX(Pengaturan!$B$8:$B$27,K$4)))</f>
        <v>0</v>
      </c>
      <c r="L260" s="26" t="n">
        <f aca="false">IF(INDEX(Pengaturan!$B$8:$B$27,L$4)="",0,COUNTIF(Data!$B260:$U260,INDEX(Pengaturan!$B$8:$B$27,L$4)))</f>
        <v>0</v>
      </c>
      <c r="M260" s="26" t="n">
        <f aca="false">IF(INDEX(Pengaturan!$B$8:$B$27,M$4)="",0,COUNTIF(Data!$B260:$U260,INDEX(Pengaturan!$B$8:$B$27,M$4)))</f>
        <v>0</v>
      </c>
      <c r="N260" s="26" t="n">
        <f aca="false">IF(INDEX(Pengaturan!$B$8:$B$27,N$4)="",0,COUNTIF(Data!$B260:$U260,INDEX(Pengaturan!$B$8:$B$27,N$4)))</f>
        <v>0</v>
      </c>
      <c r="O260" s="26" t="n">
        <f aca="false">IF(INDEX(Pengaturan!$B$8:$B$27,O$4)="",0,COUNTIF(Data!$B260:$U260,INDEX(Pengaturan!$B$8:$B$27,O$4)))</f>
        <v>0</v>
      </c>
      <c r="P260" s="26" t="n">
        <f aca="false">IF(INDEX(Pengaturan!$B$8:$B$27,P$4)="",0,COUNTIF(Data!$B260:$U260,INDEX(Pengaturan!$B$8:$B$27,P$4)))</f>
        <v>0</v>
      </c>
      <c r="Q260" s="26" t="n">
        <f aca="false">IF(INDEX(Pengaturan!$B$8:$B$27,Q$4)="",0,COUNTIF(Data!$B260:$U260,INDEX(Pengaturan!$B$8:$B$27,Q$4)))</f>
        <v>0</v>
      </c>
      <c r="R260" s="26" t="n">
        <f aca="false">IF(INDEX(Pengaturan!$B$8:$B$27,R$4)="",0,COUNTIF(Data!$B260:$U260,INDEX(Pengaturan!$B$8:$B$27,R$4)))</f>
        <v>0</v>
      </c>
      <c r="S260" s="26" t="n">
        <f aca="false">IF(INDEX(Pengaturan!$B$8:$B$27,S$4)="",0,COUNTIF(Data!$B260:$U260,INDEX(Pengaturan!$B$8:$B$27,S$4)))</f>
        <v>0</v>
      </c>
      <c r="T260" s="26" t="n">
        <f aca="false">IF(INDEX(Pengaturan!$B$8:$B$27,T$4)="",0,COUNTIF(Data!$B260:$U260,INDEX(Pengaturan!$B$8:$B$27,T$4)))</f>
        <v>0</v>
      </c>
      <c r="U260" s="26" t="n">
        <f aca="false">IF(INDEX(Pengaturan!$B$8:$B$27,U$4)="",0,COUNTIF(Data!$B260:$U260,INDEX(Pengaturan!$B$8:$B$27,U$4)))</f>
        <v>0</v>
      </c>
      <c r="V260" s="26" t="n">
        <f aca="false">COUNTA(Data!$B260:$U260)</f>
        <v>0</v>
      </c>
      <c r="W260" s="27" t="str">
        <f aca="false">IF(V260=0,"",IF(V260&lt;&gt;Hasil!$C$4,"Data kosong/tidak lengkap",IF(SUM(B260:U260)&lt;&gt;V260,"Kategori tidak dikenal","OK")))</f>
        <v/>
      </c>
      <c r="X260" s="26" t="n">
        <f aca="false">IF(OR(W260="",W260="OK"),0,1)</f>
        <v>0</v>
      </c>
    </row>
    <row r="261" customFormat="false" ht="15" hidden="false" customHeight="false" outlineLevel="0" collapsed="false">
      <c r="A261" s="26" t="n">
        <f aca="false">Data!A261</f>
        <v>256</v>
      </c>
      <c r="B261" s="26" t="n">
        <f aca="false">IF(INDEX(Pengaturan!$B$8:$B$27,B$4)="",0,COUNTIF(Data!$B261:$U261,INDEX(Pengaturan!$B$8:$B$27,B$4)))</f>
        <v>0</v>
      </c>
      <c r="C261" s="26" t="n">
        <f aca="false">IF(INDEX(Pengaturan!$B$8:$B$27,C$4)="",0,COUNTIF(Data!$B261:$U261,INDEX(Pengaturan!$B$8:$B$27,C$4)))</f>
        <v>0</v>
      </c>
      <c r="D261" s="26" t="n">
        <f aca="false">IF(INDEX(Pengaturan!$B$8:$B$27,D$4)="",0,COUNTIF(Data!$B261:$U261,INDEX(Pengaturan!$B$8:$B$27,D$4)))</f>
        <v>0</v>
      </c>
      <c r="E261" s="26" t="n">
        <f aca="false">IF(INDEX(Pengaturan!$B$8:$B$27,E$4)="",0,COUNTIF(Data!$B261:$U261,INDEX(Pengaturan!$B$8:$B$27,E$4)))</f>
        <v>0</v>
      </c>
      <c r="F261" s="26" t="n">
        <f aca="false">IF(INDEX(Pengaturan!$B$8:$B$27,F$4)="",0,COUNTIF(Data!$B261:$U261,INDEX(Pengaturan!$B$8:$B$27,F$4)))</f>
        <v>0</v>
      </c>
      <c r="G261" s="26" t="n">
        <f aca="false">IF(INDEX(Pengaturan!$B$8:$B$27,G$4)="",0,COUNTIF(Data!$B261:$U261,INDEX(Pengaturan!$B$8:$B$27,G$4)))</f>
        <v>0</v>
      </c>
      <c r="H261" s="26" t="n">
        <f aca="false">IF(INDEX(Pengaturan!$B$8:$B$27,H$4)="",0,COUNTIF(Data!$B261:$U261,INDEX(Pengaturan!$B$8:$B$27,H$4)))</f>
        <v>0</v>
      </c>
      <c r="I261" s="26" t="n">
        <f aca="false">IF(INDEX(Pengaturan!$B$8:$B$27,I$4)="",0,COUNTIF(Data!$B261:$U261,INDEX(Pengaturan!$B$8:$B$27,I$4)))</f>
        <v>0</v>
      </c>
      <c r="J261" s="26" t="n">
        <f aca="false">IF(INDEX(Pengaturan!$B$8:$B$27,J$4)="",0,COUNTIF(Data!$B261:$U261,INDEX(Pengaturan!$B$8:$B$27,J$4)))</f>
        <v>0</v>
      </c>
      <c r="K261" s="26" t="n">
        <f aca="false">IF(INDEX(Pengaturan!$B$8:$B$27,K$4)="",0,COUNTIF(Data!$B261:$U261,INDEX(Pengaturan!$B$8:$B$27,K$4)))</f>
        <v>0</v>
      </c>
      <c r="L261" s="26" t="n">
        <f aca="false">IF(INDEX(Pengaturan!$B$8:$B$27,L$4)="",0,COUNTIF(Data!$B261:$U261,INDEX(Pengaturan!$B$8:$B$27,L$4)))</f>
        <v>0</v>
      </c>
      <c r="M261" s="26" t="n">
        <f aca="false">IF(INDEX(Pengaturan!$B$8:$B$27,M$4)="",0,COUNTIF(Data!$B261:$U261,INDEX(Pengaturan!$B$8:$B$27,M$4)))</f>
        <v>0</v>
      </c>
      <c r="N261" s="26" t="n">
        <f aca="false">IF(INDEX(Pengaturan!$B$8:$B$27,N$4)="",0,COUNTIF(Data!$B261:$U261,INDEX(Pengaturan!$B$8:$B$27,N$4)))</f>
        <v>0</v>
      </c>
      <c r="O261" s="26" t="n">
        <f aca="false">IF(INDEX(Pengaturan!$B$8:$B$27,O$4)="",0,COUNTIF(Data!$B261:$U261,INDEX(Pengaturan!$B$8:$B$27,O$4)))</f>
        <v>0</v>
      </c>
      <c r="P261" s="26" t="n">
        <f aca="false">IF(INDEX(Pengaturan!$B$8:$B$27,P$4)="",0,COUNTIF(Data!$B261:$U261,INDEX(Pengaturan!$B$8:$B$27,P$4)))</f>
        <v>0</v>
      </c>
      <c r="Q261" s="26" t="n">
        <f aca="false">IF(INDEX(Pengaturan!$B$8:$B$27,Q$4)="",0,COUNTIF(Data!$B261:$U261,INDEX(Pengaturan!$B$8:$B$27,Q$4)))</f>
        <v>0</v>
      </c>
      <c r="R261" s="26" t="n">
        <f aca="false">IF(INDEX(Pengaturan!$B$8:$B$27,R$4)="",0,COUNTIF(Data!$B261:$U261,INDEX(Pengaturan!$B$8:$B$27,R$4)))</f>
        <v>0</v>
      </c>
      <c r="S261" s="26" t="n">
        <f aca="false">IF(INDEX(Pengaturan!$B$8:$B$27,S$4)="",0,COUNTIF(Data!$B261:$U261,INDEX(Pengaturan!$B$8:$B$27,S$4)))</f>
        <v>0</v>
      </c>
      <c r="T261" s="26" t="n">
        <f aca="false">IF(INDEX(Pengaturan!$B$8:$B$27,T$4)="",0,COUNTIF(Data!$B261:$U261,INDEX(Pengaturan!$B$8:$B$27,T$4)))</f>
        <v>0</v>
      </c>
      <c r="U261" s="26" t="n">
        <f aca="false">IF(INDEX(Pengaturan!$B$8:$B$27,U$4)="",0,COUNTIF(Data!$B261:$U261,INDEX(Pengaturan!$B$8:$B$27,U$4)))</f>
        <v>0</v>
      </c>
      <c r="V261" s="26" t="n">
        <f aca="false">COUNTA(Data!$B261:$U261)</f>
        <v>0</v>
      </c>
      <c r="W261" s="27" t="str">
        <f aca="false">IF(V261=0,"",IF(V261&lt;&gt;Hasil!$C$4,"Data kosong/tidak lengkap",IF(SUM(B261:U261)&lt;&gt;V261,"Kategori tidak dikenal","OK")))</f>
        <v/>
      </c>
      <c r="X261" s="26" t="n">
        <f aca="false">IF(OR(W261="",W261="OK"),0,1)</f>
        <v>0</v>
      </c>
    </row>
    <row r="262" customFormat="false" ht="15" hidden="false" customHeight="false" outlineLevel="0" collapsed="false">
      <c r="A262" s="26" t="n">
        <f aca="false">Data!A262</f>
        <v>257</v>
      </c>
      <c r="B262" s="26" t="n">
        <f aca="false">IF(INDEX(Pengaturan!$B$8:$B$27,B$4)="",0,COUNTIF(Data!$B262:$U262,INDEX(Pengaturan!$B$8:$B$27,B$4)))</f>
        <v>0</v>
      </c>
      <c r="C262" s="26" t="n">
        <f aca="false">IF(INDEX(Pengaturan!$B$8:$B$27,C$4)="",0,COUNTIF(Data!$B262:$U262,INDEX(Pengaturan!$B$8:$B$27,C$4)))</f>
        <v>0</v>
      </c>
      <c r="D262" s="26" t="n">
        <f aca="false">IF(INDEX(Pengaturan!$B$8:$B$27,D$4)="",0,COUNTIF(Data!$B262:$U262,INDEX(Pengaturan!$B$8:$B$27,D$4)))</f>
        <v>0</v>
      </c>
      <c r="E262" s="26" t="n">
        <f aca="false">IF(INDEX(Pengaturan!$B$8:$B$27,E$4)="",0,COUNTIF(Data!$B262:$U262,INDEX(Pengaturan!$B$8:$B$27,E$4)))</f>
        <v>0</v>
      </c>
      <c r="F262" s="26" t="n">
        <f aca="false">IF(INDEX(Pengaturan!$B$8:$B$27,F$4)="",0,COUNTIF(Data!$B262:$U262,INDEX(Pengaturan!$B$8:$B$27,F$4)))</f>
        <v>0</v>
      </c>
      <c r="G262" s="26" t="n">
        <f aca="false">IF(INDEX(Pengaturan!$B$8:$B$27,G$4)="",0,COUNTIF(Data!$B262:$U262,INDEX(Pengaturan!$B$8:$B$27,G$4)))</f>
        <v>0</v>
      </c>
      <c r="H262" s="26" t="n">
        <f aca="false">IF(INDEX(Pengaturan!$B$8:$B$27,H$4)="",0,COUNTIF(Data!$B262:$U262,INDEX(Pengaturan!$B$8:$B$27,H$4)))</f>
        <v>0</v>
      </c>
      <c r="I262" s="26" t="n">
        <f aca="false">IF(INDEX(Pengaturan!$B$8:$B$27,I$4)="",0,COUNTIF(Data!$B262:$U262,INDEX(Pengaturan!$B$8:$B$27,I$4)))</f>
        <v>0</v>
      </c>
      <c r="J262" s="26" t="n">
        <f aca="false">IF(INDEX(Pengaturan!$B$8:$B$27,J$4)="",0,COUNTIF(Data!$B262:$U262,INDEX(Pengaturan!$B$8:$B$27,J$4)))</f>
        <v>0</v>
      </c>
      <c r="K262" s="26" t="n">
        <f aca="false">IF(INDEX(Pengaturan!$B$8:$B$27,K$4)="",0,COUNTIF(Data!$B262:$U262,INDEX(Pengaturan!$B$8:$B$27,K$4)))</f>
        <v>0</v>
      </c>
      <c r="L262" s="26" t="n">
        <f aca="false">IF(INDEX(Pengaturan!$B$8:$B$27,L$4)="",0,COUNTIF(Data!$B262:$U262,INDEX(Pengaturan!$B$8:$B$27,L$4)))</f>
        <v>0</v>
      </c>
      <c r="M262" s="26" t="n">
        <f aca="false">IF(INDEX(Pengaturan!$B$8:$B$27,M$4)="",0,COUNTIF(Data!$B262:$U262,INDEX(Pengaturan!$B$8:$B$27,M$4)))</f>
        <v>0</v>
      </c>
      <c r="N262" s="26" t="n">
        <f aca="false">IF(INDEX(Pengaturan!$B$8:$B$27,N$4)="",0,COUNTIF(Data!$B262:$U262,INDEX(Pengaturan!$B$8:$B$27,N$4)))</f>
        <v>0</v>
      </c>
      <c r="O262" s="26" t="n">
        <f aca="false">IF(INDEX(Pengaturan!$B$8:$B$27,O$4)="",0,COUNTIF(Data!$B262:$U262,INDEX(Pengaturan!$B$8:$B$27,O$4)))</f>
        <v>0</v>
      </c>
      <c r="P262" s="26" t="n">
        <f aca="false">IF(INDEX(Pengaturan!$B$8:$B$27,P$4)="",0,COUNTIF(Data!$B262:$U262,INDEX(Pengaturan!$B$8:$B$27,P$4)))</f>
        <v>0</v>
      </c>
      <c r="Q262" s="26" t="n">
        <f aca="false">IF(INDEX(Pengaturan!$B$8:$B$27,Q$4)="",0,COUNTIF(Data!$B262:$U262,INDEX(Pengaturan!$B$8:$B$27,Q$4)))</f>
        <v>0</v>
      </c>
      <c r="R262" s="26" t="n">
        <f aca="false">IF(INDEX(Pengaturan!$B$8:$B$27,R$4)="",0,COUNTIF(Data!$B262:$U262,INDEX(Pengaturan!$B$8:$B$27,R$4)))</f>
        <v>0</v>
      </c>
      <c r="S262" s="26" t="n">
        <f aca="false">IF(INDEX(Pengaturan!$B$8:$B$27,S$4)="",0,COUNTIF(Data!$B262:$U262,INDEX(Pengaturan!$B$8:$B$27,S$4)))</f>
        <v>0</v>
      </c>
      <c r="T262" s="26" t="n">
        <f aca="false">IF(INDEX(Pengaturan!$B$8:$B$27,T$4)="",0,COUNTIF(Data!$B262:$U262,INDEX(Pengaturan!$B$8:$B$27,T$4)))</f>
        <v>0</v>
      </c>
      <c r="U262" s="26" t="n">
        <f aca="false">IF(INDEX(Pengaturan!$B$8:$B$27,U$4)="",0,COUNTIF(Data!$B262:$U262,INDEX(Pengaturan!$B$8:$B$27,U$4)))</f>
        <v>0</v>
      </c>
      <c r="V262" s="26" t="n">
        <f aca="false">COUNTA(Data!$B262:$U262)</f>
        <v>0</v>
      </c>
      <c r="W262" s="27" t="str">
        <f aca="false">IF(V262=0,"",IF(V262&lt;&gt;Hasil!$C$4,"Data kosong/tidak lengkap",IF(SUM(B262:U262)&lt;&gt;V262,"Kategori tidak dikenal","OK")))</f>
        <v/>
      </c>
      <c r="X262" s="26" t="n">
        <f aca="false">IF(OR(W262="",W262="OK"),0,1)</f>
        <v>0</v>
      </c>
    </row>
    <row r="263" customFormat="false" ht="15" hidden="false" customHeight="false" outlineLevel="0" collapsed="false">
      <c r="A263" s="26" t="n">
        <f aca="false">Data!A263</f>
        <v>258</v>
      </c>
      <c r="B263" s="26" t="n">
        <f aca="false">IF(INDEX(Pengaturan!$B$8:$B$27,B$4)="",0,COUNTIF(Data!$B263:$U263,INDEX(Pengaturan!$B$8:$B$27,B$4)))</f>
        <v>0</v>
      </c>
      <c r="C263" s="26" t="n">
        <f aca="false">IF(INDEX(Pengaturan!$B$8:$B$27,C$4)="",0,COUNTIF(Data!$B263:$U263,INDEX(Pengaturan!$B$8:$B$27,C$4)))</f>
        <v>0</v>
      </c>
      <c r="D263" s="26" t="n">
        <f aca="false">IF(INDEX(Pengaturan!$B$8:$B$27,D$4)="",0,COUNTIF(Data!$B263:$U263,INDEX(Pengaturan!$B$8:$B$27,D$4)))</f>
        <v>0</v>
      </c>
      <c r="E263" s="26" t="n">
        <f aca="false">IF(INDEX(Pengaturan!$B$8:$B$27,E$4)="",0,COUNTIF(Data!$B263:$U263,INDEX(Pengaturan!$B$8:$B$27,E$4)))</f>
        <v>0</v>
      </c>
      <c r="F263" s="26" t="n">
        <f aca="false">IF(INDEX(Pengaturan!$B$8:$B$27,F$4)="",0,COUNTIF(Data!$B263:$U263,INDEX(Pengaturan!$B$8:$B$27,F$4)))</f>
        <v>0</v>
      </c>
      <c r="G263" s="26" t="n">
        <f aca="false">IF(INDEX(Pengaturan!$B$8:$B$27,G$4)="",0,COUNTIF(Data!$B263:$U263,INDEX(Pengaturan!$B$8:$B$27,G$4)))</f>
        <v>0</v>
      </c>
      <c r="H263" s="26" t="n">
        <f aca="false">IF(INDEX(Pengaturan!$B$8:$B$27,H$4)="",0,COUNTIF(Data!$B263:$U263,INDEX(Pengaturan!$B$8:$B$27,H$4)))</f>
        <v>0</v>
      </c>
      <c r="I263" s="26" t="n">
        <f aca="false">IF(INDEX(Pengaturan!$B$8:$B$27,I$4)="",0,COUNTIF(Data!$B263:$U263,INDEX(Pengaturan!$B$8:$B$27,I$4)))</f>
        <v>0</v>
      </c>
      <c r="J263" s="26" t="n">
        <f aca="false">IF(INDEX(Pengaturan!$B$8:$B$27,J$4)="",0,COUNTIF(Data!$B263:$U263,INDEX(Pengaturan!$B$8:$B$27,J$4)))</f>
        <v>0</v>
      </c>
      <c r="K263" s="26" t="n">
        <f aca="false">IF(INDEX(Pengaturan!$B$8:$B$27,K$4)="",0,COUNTIF(Data!$B263:$U263,INDEX(Pengaturan!$B$8:$B$27,K$4)))</f>
        <v>0</v>
      </c>
      <c r="L263" s="26" t="n">
        <f aca="false">IF(INDEX(Pengaturan!$B$8:$B$27,L$4)="",0,COUNTIF(Data!$B263:$U263,INDEX(Pengaturan!$B$8:$B$27,L$4)))</f>
        <v>0</v>
      </c>
      <c r="M263" s="26" t="n">
        <f aca="false">IF(INDEX(Pengaturan!$B$8:$B$27,M$4)="",0,COUNTIF(Data!$B263:$U263,INDEX(Pengaturan!$B$8:$B$27,M$4)))</f>
        <v>0</v>
      </c>
      <c r="N263" s="26" t="n">
        <f aca="false">IF(INDEX(Pengaturan!$B$8:$B$27,N$4)="",0,COUNTIF(Data!$B263:$U263,INDEX(Pengaturan!$B$8:$B$27,N$4)))</f>
        <v>0</v>
      </c>
      <c r="O263" s="26" t="n">
        <f aca="false">IF(INDEX(Pengaturan!$B$8:$B$27,O$4)="",0,COUNTIF(Data!$B263:$U263,INDEX(Pengaturan!$B$8:$B$27,O$4)))</f>
        <v>0</v>
      </c>
      <c r="P263" s="26" t="n">
        <f aca="false">IF(INDEX(Pengaturan!$B$8:$B$27,P$4)="",0,COUNTIF(Data!$B263:$U263,INDEX(Pengaturan!$B$8:$B$27,P$4)))</f>
        <v>0</v>
      </c>
      <c r="Q263" s="26" t="n">
        <f aca="false">IF(INDEX(Pengaturan!$B$8:$B$27,Q$4)="",0,COUNTIF(Data!$B263:$U263,INDEX(Pengaturan!$B$8:$B$27,Q$4)))</f>
        <v>0</v>
      </c>
      <c r="R263" s="26" t="n">
        <f aca="false">IF(INDEX(Pengaturan!$B$8:$B$27,R$4)="",0,COUNTIF(Data!$B263:$U263,INDEX(Pengaturan!$B$8:$B$27,R$4)))</f>
        <v>0</v>
      </c>
      <c r="S263" s="26" t="n">
        <f aca="false">IF(INDEX(Pengaturan!$B$8:$B$27,S$4)="",0,COUNTIF(Data!$B263:$U263,INDEX(Pengaturan!$B$8:$B$27,S$4)))</f>
        <v>0</v>
      </c>
      <c r="T263" s="26" t="n">
        <f aca="false">IF(INDEX(Pengaturan!$B$8:$B$27,T$4)="",0,COUNTIF(Data!$B263:$U263,INDEX(Pengaturan!$B$8:$B$27,T$4)))</f>
        <v>0</v>
      </c>
      <c r="U263" s="26" t="n">
        <f aca="false">IF(INDEX(Pengaturan!$B$8:$B$27,U$4)="",0,COUNTIF(Data!$B263:$U263,INDEX(Pengaturan!$B$8:$B$27,U$4)))</f>
        <v>0</v>
      </c>
      <c r="V263" s="26" t="n">
        <f aca="false">COUNTA(Data!$B263:$U263)</f>
        <v>0</v>
      </c>
      <c r="W263" s="27" t="str">
        <f aca="false">IF(V263=0,"",IF(V263&lt;&gt;Hasil!$C$4,"Data kosong/tidak lengkap",IF(SUM(B263:U263)&lt;&gt;V263,"Kategori tidak dikenal","OK")))</f>
        <v/>
      </c>
      <c r="X263" s="26" t="n">
        <f aca="false">IF(OR(W263="",W263="OK"),0,1)</f>
        <v>0</v>
      </c>
    </row>
    <row r="264" customFormat="false" ht="15" hidden="false" customHeight="false" outlineLevel="0" collapsed="false">
      <c r="A264" s="26" t="n">
        <f aca="false">Data!A264</f>
        <v>259</v>
      </c>
      <c r="B264" s="26" t="n">
        <f aca="false">IF(INDEX(Pengaturan!$B$8:$B$27,B$4)="",0,COUNTIF(Data!$B264:$U264,INDEX(Pengaturan!$B$8:$B$27,B$4)))</f>
        <v>0</v>
      </c>
      <c r="C264" s="26" t="n">
        <f aca="false">IF(INDEX(Pengaturan!$B$8:$B$27,C$4)="",0,COUNTIF(Data!$B264:$U264,INDEX(Pengaturan!$B$8:$B$27,C$4)))</f>
        <v>0</v>
      </c>
      <c r="D264" s="26" t="n">
        <f aca="false">IF(INDEX(Pengaturan!$B$8:$B$27,D$4)="",0,COUNTIF(Data!$B264:$U264,INDEX(Pengaturan!$B$8:$B$27,D$4)))</f>
        <v>0</v>
      </c>
      <c r="E264" s="26" t="n">
        <f aca="false">IF(INDEX(Pengaturan!$B$8:$B$27,E$4)="",0,COUNTIF(Data!$B264:$U264,INDEX(Pengaturan!$B$8:$B$27,E$4)))</f>
        <v>0</v>
      </c>
      <c r="F264" s="26" t="n">
        <f aca="false">IF(INDEX(Pengaturan!$B$8:$B$27,F$4)="",0,COUNTIF(Data!$B264:$U264,INDEX(Pengaturan!$B$8:$B$27,F$4)))</f>
        <v>0</v>
      </c>
      <c r="G264" s="26" t="n">
        <f aca="false">IF(INDEX(Pengaturan!$B$8:$B$27,G$4)="",0,COUNTIF(Data!$B264:$U264,INDEX(Pengaturan!$B$8:$B$27,G$4)))</f>
        <v>0</v>
      </c>
      <c r="H264" s="26" t="n">
        <f aca="false">IF(INDEX(Pengaturan!$B$8:$B$27,H$4)="",0,COUNTIF(Data!$B264:$U264,INDEX(Pengaturan!$B$8:$B$27,H$4)))</f>
        <v>0</v>
      </c>
      <c r="I264" s="26" t="n">
        <f aca="false">IF(INDEX(Pengaturan!$B$8:$B$27,I$4)="",0,COUNTIF(Data!$B264:$U264,INDEX(Pengaturan!$B$8:$B$27,I$4)))</f>
        <v>0</v>
      </c>
      <c r="J264" s="26" t="n">
        <f aca="false">IF(INDEX(Pengaturan!$B$8:$B$27,J$4)="",0,COUNTIF(Data!$B264:$U264,INDEX(Pengaturan!$B$8:$B$27,J$4)))</f>
        <v>0</v>
      </c>
      <c r="K264" s="26" t="n">
        <f aca="false">IF(INDEX(Pengaturan!$B$8:$B$27,K$4)="",0,COUNTIF(Data!$B264:$U264,INDEX(Pengaturan!$B$8:$B$27,K$4)))</f>
        <v>0</v>
      </c>
      <c r="L264" s="26" t="n">
        <f aca="false">IF(INDEX(Pengaturan!$B$8:$B$27,L$4)="",0,COUNTIF(Data!$B264:$U264,INDEX(Pengaturan!$B$8:$B$27,L$4)))</f>
        <v>0</v>
      </c>
      <c r="M264" s="26" t="n">
        <f aca="false">IF(INDEX(Pengaturan!$B$8:$B$27,M$4)="",0,COUNTIF(Data!$B264:$U264,INDEX(Pengaturan!$B$8:$B$27,M$4)))</f>
        <v>0</v>
      </c>
      <c r="N264" s="26" t="n">
        <f aca="false">IF(INDEX(Pengaturan!$B$8:$B$27,N$4)="",0,COUNTIF(Data!$B264:$U264,INDEX(Pengaturan!$B$8:$B$27,N$4)))</f>
        <v>0</v>
      </c>
      <c r="O264" s="26" t="n">
        <f aca="false">IF(INDEX(Pengaturan!$B$8:$B$27,O$4)="",0,COUNTIF(Data!$B264:$U264,INDEX(Pengaturan!$B$8:$B$27,O$4)))</f>
        <v>0</v>
      </c>
      <c r="P264" s="26" t="n">
        <f aca="false">IF(INDEX(Pengaturan!$B$8:$B$27,P$4)="",0,COUNTIF(Data!$B264:$U264,INDEX(Pengaturan!$B$8:$B$27,P$4)))</f>
        <v>0</v>
      </c>
      <c r="Q264" s="26" t="n">
        <f aca="false">IF(INDEX(Pengaturan!$B$8:$B$27,Q$4)="",0,COUNTIF(Data!$B264:$U264,INDEX(Pengaturan!$B$8:$B$27,Q$4)))</f>
        <v>0</v>
      </c>
      <c r="R264" s="26" t="n">
        <f aca="false">IF(INDEX(Pengaturan!$B$8:$B$27,R$4)="",0,COUNTIF(Data!$B264:$U264,INDEX(Pengaturan!$B$8:$B$27,R$4)))</f>
        <v>0</v>
      </c>
      <c r="S264" s="26" t="n">
        <f aca="false">IF(INDEX(Pengaturan!$B$8:$B$27,S$4)="",0,COUNTIF(Data!$B264:$U264,INDEX(Pengaturan!$B$8:$B$27,S$4)))</f>
        <v>0</v>
      </c>
      <c r="T264" s="26" t="n">
        <f aca="false">IF(INDEX(Pengaturan!$B$8:$B$27,T$4)="",0,COUNTIF(Data!$B264:$U264,INDEX(Pengaturan!$B$8:$B$27,T$4)))</f>
        <v>0</v>
      </c>
      <c r="U264" s="26" t="n">
        <f aca="false">IF(INDEX(Pengaturan!$B$8:$B$27,U$4)="",0,COUNTIF(Data!$B264:$U264,INDEX(Pengaturan!$B$8:$B$27,U$4)))</f>
        <v>0</v>
      </c>
      <c r="V264" s="26" t="n">
        <f aca="false">COUNTA(Data!$B264:$U264)</f>
        <v>0</v>
      </c>
      <c r="W264" s="27" t="str">
        <f aca="false">IF(V264=0,"",IF(V264&lt;&gt;Hasil!$C$4,"Data kosong/tidak lengkap",IF(SUM(B264:U264)&lt;&gt;V264,"Kategori tidak dikenal","OK")))</f>
        <v/>
      </c>
      <c r="X264" s="26" t="n">
        <f aca="false">IF(OR(W264="",W264="OK"),0,1)</f>
        <v>0</v>
      </c>
    </row>
    <row r="265" customFormat="false" ht="15" hidden="false" customHeight="false" outlineLevel="0" collapsed="false">
      <c r="A265" s="26" t="n">
        <f aca="false">Data!A265</f>
        <v>260</v>
      </c>
      <c r="B265" s="26" t="n">
        <f aca="false">IF(INDEX(Pengaturan!$B$8:$B$27,B$4)="",0,COUNTIF(Data!$B265:$U265,INDEX(Pengaturan!$B$8:$B$27,B$4)))</f>
        <v>0</v>
      </c>
      <c r="C265" s="26" t="n">
        <f aca="false">IF(INDEX(Pengaturan!$B$8:$B$27,C$4)="",0,COUNTIF(Data!$B265:$U265,INDEX(Pengaturan!$B$8:$B$27,C$4)))</f>
        <v>0</v>
      </c>
      <c r="D265" s="26" t="n">
        <f aca="false">IF(INDEX(Pengaturan!$B$8:$B$27,D$4)="",0,COUNTIF(Data!$B265:$U265,INDEX(Pengaturan!$B$8:$B$27,D$4)))</f>
        <v>0</v>
      </c>
      <c r="E265" s="26" t="n">
        <f aca="false">IF(INDEX(Pengaturan!$B$8:$B$27,E$4)="",0,COUNTIF(Data!$B265:$U265,INDEX(Pengaturan!$B$8:$B$27,E$4)))</f>
        <v>0</v>
      </c>
      <c r="F265" s="26" t="n">
        <f aca="false">IF(INDEX(Pengaturan!$B$8:$B$27,F$4)="",0,COUNTIF(Data!$B265:$U265,INDEX(Pengaturan!$B$8:$B$27,F$4)))</f>
        <v>0</v>
      </c>
      <c r="G265" s="26" t="n">
        <f aca="false">IF(INDEX(Pengaturan!$B$8:$B$27,G$4)="",0,COUNTIF(Data!$B265:$U265,INDEX(Pengaturan!$B$8:$B$27,G$4)))</f>
        <v>0</v>
      </c>
      <c r="H265" s="26" t="n">
        <f aca="false">IF(INDEX(Pengaturan!$B$8:$B$27,H$4)="",0,COUNTIF(Data!$B265:$U265,INDEX(Pengaturan!$B$8:$B$27,H$4)))</f>
        <v>0</v>
      </c>
      <c r="I265" s="26" t="n">
        <f aca="false">IF(INDEX(Pengaturan!$B$8:$B$27,I$4)="",0,COUNTIF(Data!$B265:$U265,INDEX(Pengaturan!$B$8:$B$27,I$4)))</f>
        <v>0</v>
      </c>
      <c r="J265" s="26" t="n">
        <f aca="false">IF(INDEX(Pengaturan!$B$8:$B$27,J$4)="",0,COUNTIF(Data!$B265:$U265,INDEX(Pengaturan!$B$8:$B$27,J$4)))</f>
        <v>0</v>
      </c>
      <c r="K265" s="26" t="n">
        <f aca="false">IF(INDEX(Pengaturan!$B$8:$B$27,K$4)="",0,COUNTIF(Data!$B265:$U265,INDEX(Pengaturan!$B$8:$B$27,K$4)))</f>
        <v>0</v>
      </c>
      <c r="L265" s="26" t="n">
        <f aca="false">IF(INDEX(Pengaturan!$B$8:$B$27,L$4)="",0,COUNTIF(Data!$B265:$U265,INDEX(Pengaturan!$B$8:$B$27,L$4)))</f>
        <v>0</v>
      </c>
      <c r="M265" s="26" t="n">
        <f aca="false">IF(INDEX(Pengaturan!$B$8:$B$27,M$4)="",0,COUNTIF(Data!$B265:$U265,INDEX(Pengaturan!$B$8:$B$27,M$4)))</f>
        <v>0</v>
      </c>
      <c r="N265" s="26" t="n">
        <f aca="false">IF(INDEX(Pengaturan!$B$8:$B$27,N$4)="",0,COUNTIF(Data!$B265:$U265,INDEX(Pengaturan!$B$8:$B$27,N$4)))</f>
        <v>0</v>
      </c>
      <c r="O265" s="26" t="n">
        <f aca="false">IF(INDEX(Pengaturan!$B$8:$B$27,O$4)="",0,COUNTIF(Data!$B265:$U265,INDEX(Pengaturan!$B$8:$B$27,O$4)))</f>
        <v>0</v>
      </c>
      <c r="P265" s="26" t="n">
        <f aca="false">IF(INDEX(Pengaturan!$B$8:$B$27,P$4)="",0,COUNTIF(Data!$B265:$U265,INDEX(Pengaturan!$B$8:$B$27,P$4)))</f>
        <v>0</v>
      </c>
      <c r="Q265" s="26" t="n">
        <f aca="false">IF(INDEX(Pengaturan!$B$8:$B$27,Q$4)="",0,COUNTIF(Data!$B265:$U265,INDEX(Pengaturan!$B$8:$B$27,Q$4)))</f>
        <v>0</v>
      </c>
      <c r="R265" s="26" t="n">
        <f aca="false">IF(INDEX(Pengaturan!$B$8:$B$27,R$4)="",0,COUNTIF(Data!$B265:$U265,INDEX(Pengaturan!$B$8:$B$27,R$4)))</f>
        <v>0</v>
      </c>
      <c r="S265" s="26" t="n">
        <f aca="false">IF(INDEX(Pengaturan!$B$8:$B$27,S$4)="",0,COUNTIF(Data!$B265:$U265,INDEX(Pengaturan!$B$8:$B$27,S$4)))</f>
        <v>0</v>
      </c>
      <c r="T265" s="26" t="n">
        <f aca="false">IF(INDEX(Pengaturan!$B$8:$B$27,T$4)="",0,COUNTIF(Data!$B265:$U265,INDEX(Pengaturan!$B$8:$B$27,T$4)))</f>
        <v>0</v>
      </c>
      <c r="U265" s="26" t="n">
        <f aca="false">IF(INDEX(Pengaturan!$B$8:$B$27,U$4)="",0,COUNTIF(Data!$B265:$U265,INDEX(Pengaturan!$B$8:$B$27,U$4)))</f>
        <v>0</v>
      </c>
      <c r="V265" s="26" t="n">
        <f aca="false">COUNTA(Data!$B265:$U265)</f>
        <v>0</v>
      </c>
      <c r="W265" s="27" t="str">
        <f aca="false">IF(V265=0,"",IF(V265&lt;&gt;Hasil!$C$4,"Data kosong/tidak lengkap",IF(SUM(B265:U265)&lt;&gt;V265,"Kategori tidak dikenal","OK")))</f>
        <v/>
      </c>
      <c r="X265" s="26" t="n">
        <f aca="false">IF(OR(W265="",W265="OK"),0,1)</f>
        <v>0</v>
      </c>
    </row>
    <row r="266" customFormat="false" ht="15" hidden="false" customHeight="false" outlineLevel="0" collapsed="false">
      <c r="A266" s="26" t="n">
        <f aca="false">Data!A266</f>
        <v>261</v>
      </c>
      <c r="B266" s="26" t="n">
        <f aca="false">IF(INDEX(Pengaturan!$B$8:$B$27,B$4)="",0,COUNTIF(Data!$B266:$U266,INDEX(Pengaturan!$B$8:$B$27,B$4)))</f>
        <v>0</v>
      </c>
      <c r="C266" s="26" t="n">
        <f aca="false">IF(INDEX(Pengaturan!$B$8:$B$27,C$4)="",0,COUNTIF(Data!$B266:$U266,INDEX(Pengaturan!$B$8:$B$27,C$4)))</f>
        <v>0</v>
      </c>
      <c r="D266" s="26" t="n">
        <f aca="false">IF(INDEX(Pengaturan!$B$8:$B$27,D$4)="",0,COUNTIF(Data!$B266:$U266,INDEX(Pengaturan!$B$8:$B$27,D$4)))</f>
        <v>0</v>
      </c>
      <c r="E266" s="26" t="n">
        <f aca="false">IF(INDEX(Pengaturan!$B$8:$B$27,E$4)="",0,COUNTIF(Data!$B266:$U266,INDEX(Pengaturan!$B$8:$B$27,E$4)))</f>
        <v>0</v>
      </c>
      <c r="F266" s="26" t="n">
        <f aca="false">IF(INDEX(Pengaturan!$B$8:$B$27,F$4)="",0,COUNTIF(Data!$B266:$U266,INDEX(Pengaturan!$B$8:$B$27,F$4)))</f>
        <v>0</v>
      </c>
      <c r="G266" s="26" t="n">
        <f aca="false">IF(INDEX(Pengaturan!$B$8:$B$27,G$4)="",0,COUNTIF(Data!$B266:$U266,INDEX(Pengaturan!$B$8:$B$27,G$4)))</f>
        <v>0</v>
      </c>
      <c r="H266" s="26" t="n">
        <f aca="false">IF(INDEX(Pengaturan!$B$8:$B$27,H$4)="",0,COUNTIF(Data!$B266:$U266,INDEX(Pengaturan!$B$8:$B$27,H$4)))</f>
        <v>0</v>
      </c>
      <c r="I266" s="26" t="n">
        <f aca="false">IF(INDEX(Pengaturan!$B$8:$B$27,I$4)="",0,COUNTIF(Data!$B266:$U266,INDEX(Pengaturan!$B$8:$B$27,I$4)))</f>
        <v>0</v>
      </c>
      <c r="J266" s="26" t="n">
        <f aca="false">IF(INDEX(Pengaturan!$B$8:$B$27,J$4)="",0,COUNTIF(Data!$B266:$U266,INDEX(Pengaturan!$B$8:$B$27,J$4)))</f>
        <v>0</v>
      </c>
      <c r="K266" s="26" t="n">
        <f aca="false">IF(INDEX(Pengaturan!$B$8:$B$27,K$4)="",0,COUNTIF(Data!$B266:$U266,INDEX(Pengaturan!$B$8:$B$27,K$4)))</f>
        <v>0</v>
      </c>
      <c r="L266" s="26" t="n">
        <f aca="false">IF(INDEX(Pengaturan!$B$8:$B$27,L$4)="",0,COUNTIF(Data!$B266:$U266,INDEX(Pengaturan!$B$8:$B$27,L$4)))</f>
        <v>0</v>
      </c>
      <c r="M266" s="26" t="n">
        <f aca="false">IF(INDEX(Pengaturan!$B$8:$B$27,M$4)="",0,COUNTIF(Data!$B266:$U266,INDEX(Pengaturan!$B$8:$B$27,M$4)))</f>
        <v>0</v>
      </c>
      <c r="N266" s="26" t="n">
        <f aca="false">IF(INDEX(Pengaturan!$B$8:$B$27,N$4)="",0,COUNTIF(Data!$B266:$U266,INDEX(Pengaturan!$B$8:$B$27,N$4)))</f>
        <v>0</v>
      </c>
      <c r="O266" s="26" t="n">
        <f aca="false">IF(INDEX(Pengaturan!$B$8:$B$27,O$4)="",0,COUNTIF(Data!$B266:$U266,INDEX(Pengaturan!$B$8:$B$27,O$4)))</f>
        <v>0</v>
      </c>
      <c r="P266" s="26" t="n">
        <f aca="false">IF(INDEX(Pengaturan!$B$8:$B$27,P$4)="",0,COUNTIF(Data!$B266:$U266,INDEX(Pengaturan!$B$8:$B$27,P$4)))</f>
        <v>0</v>
      </c>
      <c r="Q266" s="26" t="n">
        <f aca="false">IF(INDEX(Pengaturan!$B$8:$B$27,Q$4)="",0,COUNTIF(Data!$B266:$U266,INDEX(Pengaturan!$B$8:$B$27,Q$4)))</f>
        <v>0</v>
      </c>
      <c r="R266" s="26" t="n">
        <f aca="false">IF(INDEX(Pengaturan!$B$8:$B$27,R$4)="",0,COUNTIF(Data!$B266:$U266,INDEX(Pengaturan!$B$8:$B$27,R$4)))</f>
        <v>0</v>
      </c>
      <c r="S266" s="26" t="n">
        <f aca="false">IF(INDEX(Pengaturan!$B$8:$B$27,S$4)="",0,COUNTIF(Data!$B266:$U266,INDEX(Pengaturan!$B$8:$B$27,S$4)))</f>
        <v>0</v>
      </c>
      <c r="T266" s="26" t="n">
        <f aca="false">IF(INDEX(Pengaturan!$B$8:$B$27,T$4)="",0,COUNTIF(Data!$B266:$U266,INDEX(Pengaturan!$B$8:$B$27,T$4)))</f>
        <v>0</v>
      </c>
      <c r="U266" s="26" t="n">
        <f aca="false">IF(INDEX(Pengaturan!$B$8:$B$27,U$4)="",0,COUNTIF(Data!$B266:$U266,INDEX(Pengaturan!$B$8:$B$27,U$4)))</f>
        <v>0</v>
      </c>
      <c r="V266" s="26" t="n">
        <f aca="false">COUNTA(Data!$B266:$U266)</f>
        <v>0</v>
      </c>
      <c r="W266" s="27" t="str">
        <f aca="false">IF(V266=0,"",IF(V266&lt;&gt;Hasil!$C$4,"Data kosong/tidak lengkap",IF(SUM(B266:U266)&lt;&gt;V266,"Kategori tidak dikenal","OK")))</f>
        <v/>
      </c>
      <c r="X266" s="26" t="n">
        <f aca="false">IF(OR(W266="",W266="OK"),0,1)</f>
        <v>0</v>
      </c>
    </row>
    <row r="267" customFormat="false" ht="15" hidden="false" customHeight="false" outlineLevel="0" collapsed="false">
      <c r="A267" s="26" t="n">
        <f aca="false">Data!A267</f>
        <v>262</v>
      </c>
      <c r="B267" s="26" t="n">
        <f aca="false">IF(INDEX(Pengaturan!$B$8:$B$27,B$4)="",0,COUNTIF(Data!$B267:$U267,INDEX(Pengaturan!$B$8:$B$27,B$4)))</f>
        <v>0</v>
      </c>
      <c r="C267" s="26" t="n">
        <f aca="false">IF(INDEX(Pengaturan!$B$8:$B$27,C$4)="",0,COUNTIF(Data!$B267:$U267,INDEX(Pengaturan!$B$8:$B$27,C$4)))</f>
        <v>0</v>
      </c>
      <c r="D267" s="26" t="n">
        <f aca="false">IF(INDEX(Pengaturan!$B$8:$B$27,D$4)="",0,COUNTIF(Data!$B267:$U267,INDEX(Pengaturan!$B$8:$B$27,D$4)))</f>
        <v>0</v>
      </c>
      <c r="E267" s="26" t="n">
        <f aca="false">IF(INDEX(Pengaturan!$B$8:$B$27,E$4)="",0,COUNTIF(Data!$B267:$U267,INDEX(Pengaturan!$B$8:$B$27,E$4)))</f>
        <v>0</v>
      </c>
      <c r="F267" s="26" t="n">
        <f aca="false">IF(INDEX(Pengaturan!$B$8:$B$27,F$4)="",0,COUNTIF(Data!$B267:$U267,INDEX(Pengaturan!$B$8:$B$27,F$4)))</f>
        <v>0</v>
      </c>
      <c r="G267" s="26" t="n">
        <f aca="false">IF(INDEX(Pengaturan!$B$8:$B$27,G$4)="",0,COUNTIF(Data!$B267:$U267,INDEX(Pengaturan!$B$8:$B$27,G$4)))</f>
        <v>0</v>
      </c>
      <c r="H267" s="26" t="n">
        <f aca="false">IF(INDEX(Pengaturan!$B$8:$B$27,H$4)="",0,COUNTIF(Data!$B267:$U267,INDEX(Pengaturan!$B$8:$B$27,H$4)))</f>
        <v>0</v>
      </c>
      <c r="I267" s="26" t="n">
        <f aca="false">IF(INDEX(Pengaturan!$B$8:$B$27,I$4)="",0,COUNTIF(Data!$B267:$U267,INDEX(Pengaturan!$B$8:$B$27,I$4)))</f>
        <v>0</v>
      </c>
      <c r="J267" s="26" t="n">
        <f aca="false">IF(INDEX(Pengaturan!$B$8:$B$27,J$4)="",0,COUNTIF(Data!$B267:$U267,INDEX(Pengaturan!$B$8:$B$27,J$4)))</f>
        <v>0</v>
      </c>
      <c r="K267" s="26" t="n">
        <f aca="false">IF(INDEX(Pengaturan!$B$8:$B$27,K$4)="",0,COUNTIF(Data!$B267:$U267,INDEX(Pengaturan!$B$8:$B$27,K$4)))</f>
        <v>0</v>
      </c>
      <c r="L267" s="26" t="n">
        <f aca="false">IF(INDEX(Pengaturan!$B$8:$B$27,L$4)="",0,COUNTIF(Data!$B267:$U267,INDEX(Pengaturan!$B$8:$B$27,L$4)))</f>
        <v>0</v>
      </c>
      <c r="M267" s="26" t="n">
        <f aca="false">IF(INDEX(Pengaturan!$B$8:$B$27,M$4)="",0,COUNTIF(Data!$B267:$U267,INDEX(Pengaturan!$B$8:$B$27,M$4)))</f>
        <v>0</v>
      </c>
      <c r="N267" s="26" t="n">
        <f aca="false">IF(INDEX(Pengaturan!$B$8:$B$27,N$4)="",0,COUNTIF(Data!$B267:$U267,INDEX(Pengaturan!$B$8:$B$27,N$4)))</f>
        <v>0</v>
      </c>
      <c r="O267" s="26" t="n">
        <f aca="false">IF(INDEX(Pengaturan!$B$8:$B$27,O$4)="",0,COUNTIF(Data!$B267:$U267,INDEX(Pengaturan!$B$8:$B$27,O$4)))</f>
        <v>0</v>
      </c>
      <c r="P267" s="26" t="n">
        <f aca="false">IF(INDEX(Pengaturan!$B$8:$B$27,P$4)="",0,COUNTIF(Data!$B267:$U267,INDEX(Pengaturan!$B$8:$B$27,P$4)))</f>
        <v>0</v>
      </c>
      <c r="Q267" s="26" t="n">
        <f aca="false">IF(INDEX(Pengaturan!$B$8:$B$27,Q$4)="",0,COUNTIF(Data!$B267:$U267,INDEX(Pengaturan!$B$8:$B$27,Q$4)))</f>
        <v>0</v>
      </c>
      <c r="R267" s="26" t="n">
        <f aca="false">IF(INDEX(Pengaturan!$B$8:$B$27,R$4)="",0,COUNTIF(Data!$B267:$U267,INDEX(Pengaturan!$B$8:$B$27,R$4)))</f>
        <v>0</v>
      </c>
      <c r="S267" s="26" t="n">
        <f aca="false">IF(INDEX(Pengaturan!$B$8:$B$27,S$4)="",0,COUNTIF(Data!$B267:$U267,INDEX(Pengaturan!$B$8:$B$27,S$4)))</f>
        <v>0</v>
      </c>
      <c r="T267" s="26" t="n">
        <f aca="false">IF(INDEX(Pengaturan!$B$8:$B$27,T$4)="",0,COUNTIF(Data!$B267:$U267,INDEX(Pengaturan!$B$8:$B$27,T$4)))</f>
        <v>0</v>
      </c>
      <c r="U267" s="26" t="n">
        <f aca="false">IF(INDEX(Pengaturan!$B$8:$B$27,U$4)="",0,COUNTIF(Data!$B267:$U267,INDEX(Pengaturan!$B$8:$B$27,U$4)))</f>
        <v>0</v>
      </c>
      <c r="V267" s="26" t="n">
        <f aca="false">COUNTA(Data!$B267:$U267)</f>
        <v>0</v>
      </c>
      <c r="W267" s="27" t="str">
        <f aca="false">IF(V267=0,"",IF(V267&lt;&gt;Hasil!$C$4,"Data kosong/tidak lengkap",IF(SUM(B267:U267)&lt;&gt;V267,"Kategori tidak dikenal","OK")))</f>
        <v/>
      </c>
      <c r="X267" s="26" t="n">
        <f aca="false">IF(OR(W267="",W267="OK"),0,1)</f>
        <v>0</v>
      </c>
    </row>
    <row r="268" customFormat="false" ht="15" hidden="false" customHeight="false" outlineLevel="0" collapsed="false">
      <c r="A268" s="26" t="n">
        <f aca="false">Data!A268</f>
        <v>263</v>
      </c>
      <c r="B268" s="26" t="n">
        <f aca="false">IF(INDEX(Pengaturan!$B$8:$B$27,B$4)="",0,COUNTIF(Data!$B268:$U268,INDEX(Pengaturan!$B$8:$B$27,B$4)))</f>
        <v>0</v>
      </c>
      <c r="C268" s="26" t="n">
        <f aca="false">IF(INDEX(Pengaturan!$B$8:$B$27,C$4)="",0,COUNTIF(Data!$B268:$U268,INDEX(Pengaturan!$B$8:$B$27,C$4)))</f>
        <v>0</v>
      </c>
      <c r="D268" s="26" t="n">
        <f aca="false">IF(INDEX(Pengaturan!$B$8:$B$27,D$4)="",0,COUNTIF(Data!$B268:$U268,INDEX(Pengaturan!$B$8:$B$27,D$4)))</f>
        <v>0</v>
      </c>
      <c r="E268" s="26" t="n">
        <f aca="false">IF(INDEX(Pengaturan!$B$8:$B$27,E$4)="",0,COUNTIF(Data!$B268:$U268,INDEX(Pengaturan!$B$8:$B$27,E$4)))</f>
        <v>0</v>
      </c>
      <c r="F268" s="26" t="n">
        <f aca="false">IF(INDEX(Pengaturan!$B$8:$B$27,F$4)="",0,COUNTIF(Data!$B268:$U268,INDEX(Pengaturan!$B$8:$B$27,F$4)))</f>
        <v>0</v>
      </c>
      <c r="G268" s="26" t="n">
        <f aca="false">IF(INDEX(Pengaturan!$B$8:$B$27,G$4)="",0,COUNTIF(Data!$B268:$U268,INDEX(Pengaturan!$B$8:$B$27,G$4)))</f>
        <v>0</v>
      </c>
      <c r="H268" s="26" t="n">
        <f aca="false">IF(INDEX(Pengaturan!$B$8:$B$27,H$4)="",0,COUNTIF(Data!$B268:$U268,INDEX(Pengaturan!$B$8:$B$27,H$4)))</f>
        <v>0</v>
      </c>
      <c r="I268" s="26" t="n">
        <f aca="false">IF(INDEX(Pengaturan!$B$8:$B$27,I$4)="",0,COUNTIF(Data!$B268:$U268,INDEX(Pengaturan!$B$8:$B$27,I$4)))</f>
        <v>0</v>
      </c>
      <c r="J268" s="26" t="n">
        <f aca="false">IF(INDEX(Pengaturan!$B$8:$B$27,J$4)="",0,COUNTIF(Data!$B268:$U268,INDEX(Pengaturan!$B$8:$B$27,J$4)))</f>
        <v>0</v>
      </c>
      <c r="K268" s="26" t="n">
        <f aca="false">IF(INDEX(Pengaturan!$B$8:$B$27,K$4)="",0,COUNTIF(Data!$B268:$U268,INDEX(Pengaturan!$B$8:$B$27,K$4)))</f>
        <v>0</v>
      </c>
      <c r="L268" s="26" t="n">
        <f aca="false">IF(INDEX(Pengaturan!$B$8:$B$27,L$4)="",0,COUNTIF(Data!$B268:$U268,INDEX(Pengaturan!$B$8:$B$27,L$4)))</f>
        <v>0</v>
      </c>
      <c r="M268" s="26" t="n">
        <f aca="false">IF(INDEX(Pengaturan!$B$8:$B$27,M$4)="",0,COUNTIF(Data!$B268:$U268,INDEX(Pengaturan!$B$8:$B$27,M$4)))</f>
        <v>0</v>
      </c>
      <c r="N268" s="26" t="n">
        <f aca="false">IF(INDEX(Pengaturan!$B$8:$B$27,N$4)="",0,COUNTIF(Data!$B268:$U268,INDEX(Pengaturan!$B$8:$B$27,N$4)))</f>
        <v>0</v>
      </c>
      <c r="O268" s="26" t="n">
        <f aca="false">IF(INDEX(Pengaturan!$B$8:$B$27,O$4)="",0,COUNTIF(Data!$B268:$U268,INDEX(Pengaturan!$B$8:$B$27,O$4)))</f>
        <v>0</v>
      </c>
      <c r="P268" s="26" t="n">
        <f aca="false">IF(INDEX(Pengaturan!$B$8:$B$27,P$4)="",0,COUNTIF(Data!$B268:$U268,INDEX(Pengaturan!$B$8:$B$27,P$4)))</f>
        <v>0</v>
      </c>
      <c r="Q268" s="26" t="n">
        <f aca="false">IF(INDEX(Pengaturan!$B$8:$B$27,Q$4)="",0,COUNTIF(Data!$B268:$U268,INDEX(Pengaturan!$B$8:$B$27,Q$4)))</f>
        <v>0</v>
      </c>
      <c r="R268" s="26" t="n">
        <f aca="false">IF(INDEX(Pengaturan!$B$8:$B$27,R$4)="",0,COUNTIF(Data!$B268:$U268,INDEX(Pengaturan!$B$8:$B$27,R$4)))</f>
        <v>0</v>
      </c>
      <c r="S268" s="26" t="n">
        <f aca="false">IF(INDEX(Pengaturan!$B$8:$B$27,S$4)="",0,COUNTIF(Data!$B268:$U268,INDEX(Pengaturan!$B$8:$B$27,S$4)))</f>
        <v>0</v>
      </c>
      <c r="T268" s="26" t="n">
        <f aca="false">IF(INDEX(Pengaturan!$B$8:$B$27,T$4)="",0,COUNTIF(Data!$B268:$U268,INDEX(Pengaturan!$B$8:$B$27,T$4)))</f>
        <v>0</v>
      </c>
      <c r="U268" s="26" t="n">
        <f aca="false">IF(INDEX(Pengaturan!$B$8:$B$27,U$4)="",0,COUNTIF(Data!$B268:$U268,INDEX(Pengaturan!$B$8:$B$27,U$4)))</f>
        <v>0</v>
      </c>
      <c r="V268" s="26" t="n">
        <f aca="false">COUNTA(Data!$B268:$U268)</f>
        <v>0</v>
      </c>
      <c r="W268" s="27" t="str">
        <f aca="false">IF(V268=0,"",IF(V268&lt;&gt;Hasil!$C$4,"Data kosong/tidak lengkap",IF(SUM(B268:U268)&lt;&gt;V268,"Kategori tidak dikenal","OK")))</f>
        <v/>
      </c>
      <c r="X268" s="26" t="n">
        <f aca="false">IF(OR(W268="",W268="OK"),0,1)</f>
        <v>0</v>
      </c>
    </row>
    <row r="269" customFormat="false" ht="15" hidden="false" customHeight="false" outlineLevel="0" collapsed="false">
      <c r="A269" s="26" t="n">
        <f aca="false">Data!A269</f>
        <v>264</v>
      </c>
      <c r="B269" s="26" t="n">
        <f aca="false">IF(INDEX(Pengaturan!$B$8:$B$27,B$4)="",0,COUNTIF(Data!$B269:$U269,INDEX(Pengaturan!$B$8:$B$27,B$4)))</f>
        <v>0</v>
      </c>
      <c r="C269" s="26" t="n">
        <f aca="false">IF(INDEX(Pengaturan!$B$8:$B$27,C$4)="",0,COUNTIF(Data!$B269:$U269,INDEX(Pengaturan!$B$8:$B$27,C$4)))</f>
        <v>0</v>
      </c>
      <c r="D269" s="26" t="n">
        <f aca="false">IF(INDEX(Pengaturan!$B$8:$B$27,D$4)="",0,COUNTIF(Data!$B269:$U269,INDEX(Pengaturan!$B$8:$B$27,D$4)))</f>
        <v>0</v>
      </c>
      <c r="E269" s="26" t="n">
        <f aca="false">IF(INDEX(Pengaturan!$B$8:$B$27,E$4)="",0,COUNTIF(Data!$B269:$U269,INDEX(Pengaturan!$B$8:$B$27,E$4)))</f>
        <v>0</v>
      </c>
      <c r="F269" s="26" t="n">
        <f aca="false">IF(INDEX(Pengaturan!$B$8:$B$27,F$4)="",0,COUNTIF(Data!$B269:$U269,INDEX(Pengaturan!$B$8:$B$27,F$4)))</f>
        <v>0</v>
      </c>
      <c r="G269" s="26" t="n">
        <f aca="false">IF(INDEX(Pengaturan!$B$8:$B$27,G$4)="",0,COUNTIF(Data!$B269:$U269,INDEX(Pengaturan!$B$8:$B$27,G$4)))</f>
        <v>0</v>
      </c>
      <c r="H269" s="26" t="n">
        <f aca="false">IF(INDEX(Pengaturan!$B$8:$B$27,H$4)="",0,COUNTIF(Data!$B269:$U269,INDEX(Pengaturan!$B$8:$B$27,H$4)))</f>
        <v>0</v>
      </c>
      <c r="I269" s="26" t="n">
        <f aca="false">IF(INDEX(Pengaturan!$B$8:$B$27,I$4)="",0,COUNTIF(Data!$B269:$U269,INDEX(Pengaturan!$B$8:$B$27,I$4)))</f>
        <v>0</v>
      </c>
      <c r="J269" s="26" t="n">
        <f aca="false">IF(INDEX(Pengaturan!$B$8:$B$27,J$4)="",0,COUNTIF(Data!$B269:$U269,INDEX(Pengaturan!$B$8:$B$27,J$4)))</f>
        <v>0</v>
      </c>
      <c r="K269" s="26" t="n">
        <f aca="false">IF(INDEX(Pengaturan!$B$8:$B$27,K$4)="",0,COUNTIF(Data!$B269:$U269,INDEX(Pengaturan!$B$8:$B$27,K$4)))</f>
        <v>0</v>
      </c>
      <c r="L269" s="26" t="n">
        <f aca="false">IF(INDEX(Pengaturan!$B$8:$B$27,L$4)="",0,COUNTIF(Data!$B269:$U269,INDEX(Pengaturan!$B$8:$B$27,L$4)))</f>
        <v>0</v>
      </c>
      <c r="M269" s="26" t="n">
        <f aca="false">IF(INDEX(Pengaturan!$B$8:$B$27,M$4)="",0,COUNTIF(Data!$B269:$U269,INDEX(Pengaturan!$B$8:$B$27,M$4)))</f>
        <v>0</v>
      </c>
      <c r="N269" s="26" t="n">
        <f aca="false">IF(INDEX(Pengaturan!$B$8:$B$27,N$4)="",0,COUNTIF(Data!$B269:$U269,INDEX(Pengaturan!$B$8:$B$27,N$4)))</f>
        <v>0</v>
      </c>
      <c r="O269" s="26" t="n">
        <f aca="false">IF(INDEX(Pengaturan!$B$8:$B$27,O$4)="",0,COUNTIF(Data!$B269:$U269,INDEX(Pengaturan!$B$8:$B$27,O$4)))</f>
        <v>0</v>
      </c>
      <c r="P269" s="26" t="n">
        <f aca="false">IF(INDEX(Pengaturan!$B$8:$B$27,P$4)="",0,COUNTIF(Data!$B269:$U269,INDEX(Pengaturan!$B$8:$B$27,P$4)))</f>
        <v>0</v>
      </c>
      <c r="Q269" s="26" t="n">
        <f aca="false">IF(INDEX(Pengaturan!$B$8:$B$27,Q$4)="",0,COUNTIF(Data!$B269:$U269,INDEX(Pengaturan!$B$8:$B$27,Q$4)))</f>
        <v>0</v>
      </c>
      <c r="R269" s="26" t="n">
        <f aca="false">IF(INDEX(Pengaturan!$B$8:$B$27,R$4)="",0,COUNTIF(Data!$B269:$U269,INDEX(Pengaturan!$B$8:$B$27,R$4)))</f>
        <v>0</v>
      </c>
      <c r="S269" s="26" t="n">
        <f aca="false">IF(INDEX(Pengaturan!$B$8:$B$27,S$4)="",0,COUNTIF(Data!$B269:$U269,INDEX(Pengaturan!$B$8:$B$27,S$4)))</f>
        <v>0</v>
      </c>
      <c r="T269" s="26" t="n">
        <f aca="false">IF(INDEX(Pengaturan!$B$8:$B$27,T$4)="",0,COUNTIF(Data!$B269:$U269,INDEX(Pengaturan!$B$8:$B$27,T$4)))</f>
        <v>0</v>
      </c>
      <c r="U269" s="26" t="n">
        <f aca="false">IF(INDEX(Pengaturan!$B$8:$B$27,U$4)="",0,COUNTIF(Data!$B269:$U269,INDEX(Pengaturan!$B$8:$B$27,U$4)))</f>
        <v>0</v>
      </c>
      <c r="V269" s="26" t="n">
        <f aca="false">COUNTA(Data!$B269:$U269)</f>
        <v>0</v>
      </c>
      <c r="W269" s="27" t="str">
        <f aca="false">IF(V269=0,"",IF(V269&lt;&gt;Hasil!$C$4,"Data kosong/tidak lengkap",IF(SUM(B269:U269)&lt;&gt;V269,"Kategori tidak dikenal","OK")))</f>
        <v/>
      </c>
      <c r="X269" s="26" t="n">
        <f aca="false">IF(OR(W269="",W269="OK"),0,1)</f>
        <v>0</v>
      </c>
    </row>
    <row r="270" customFormat="false" ht="15" hidden="false" customHeight="false" outlineLevel="0" collapsed="false">
      <c r="A270" s="26" t="n">
        <f aca="false">Data!A270</f>
        <v>265</v>
      </c>
      <c r="B270" s="26" t="n">
        <f aca="false">IF(INDEX(Pengaturan!$B$8:$B$27,B$4)="",0,COUNTIF(Data!$B270:$U270,INDEX(Pengaturan!$B$8:$B$27,B$4)))</f>
        <v>0</v>
      </c>
      <c r="C270" s="26" t="n">
        <f aca="false">IF(INDEX(Pengaturan!$B$8:$B$27,C$4)="",0,COUNTIF(Data!$B270:$U270,INDEX(Pengaturan!$B$8:$B$27,C$4)))</f>
        <v>0</v>
      </c>
      <c r="D270" s="26" t="n">
        <f aca="false">IF(INDEX(Pengaturan!$B$8:$B$27,D$4)="",0,COUNTIF(Data!$B270:$U270,INDEX(Pengaturan!$B$8:$B$27,D$4)))</f>
        <v>0</v>
      </c>
      <c r="E270" s="26" t="n">
        <f aca="false">IF(INDEX(Pengaturan!$B$8:$B$27,E$4)="",0,COUNTIF(Data!$B270:$U270,INDEX(Pengaturan!$B$8:$B$27,E$4)))</f>
        <v>0</v>
      </c>
      <c r="F270" s="26" t="n">
        <f aca="false">IF(INDEX(Pengaturan!$B$8:$B$27,F$4)="",0,COUNTIF(Data!$B270:$U270,INDEX(Pengaturan!$B$8:$B$27,F$4)))</f>
        <v>0</v>
      </c>
      <c r="G270" s="26" t="n">
        <f aca="false">IF(INDEX(Pengaturan!$B$8:$B$27,G$4)="",0,COUNTIF(Data!$B270:$U270,INDEX(Pengaturan!$B$8:$B$27,G$4)))</f>
        <v>0</v>
      </c>
      <c r="H270" s="26" t="n">
        <f aca="false">IF(INDEX(Pengaturan!$B$8:$B$27,H$4)="",0,COUNTIF(Data!$B270:$U270,INDEX(Pengaturan!$B$8:$B$27,H$4)))</f>
        <v>0</v>
      </c>
      <c r="I270" s="26" t="n">
        <f aca="false">IF(INDEX(Pengaturan!$B$8:$B$27,I$4)="",0,COUNTIF(Data!$B270:$U270,INDEX(Pengaturan!$B$8:$B$27,I$4)))</f>
        <v>0</v>
      </c>
      <c r="J270" s="26" t="n">
        <f aca="false">IF(INDEX(Pengaturan!$B$8:$B$27,J$4)="",0,COUNTIF(Data!$B270:$U270,INDEX(Pengaturan!$B$8:$B$27,J$4)))</f>
        <v>0</v>
      </c>
      <c r="K270" s="26" t="n">
        <f aca="false">IF(INDEX(Pengaturan!$B$8:$B$27,K$4)="",0,COUNTIF(Data!$B270:$U270,INDEX(Pengaturan!$B$8:$B$27,K$4)))</f>
        <v>0</v>
      </c>
      <c r="L270" s="26" t="n">
        <f aca="false">IF(INDEX(Pengaturan!$B$8:$B$27,L$4)="",0,COUNTIF(Data!$B270:$U270,INDEX(Pengaturan!$B$8:$B$27,L$4)))</f>
        <v>0</v>
      </c>
      <c r="M270" s="26" t="n">
        <f aca="false">IF(INDEX(Pengaturan!$B$8:$B$27,M$4)="",0,COUNTIF(Data!$B270:$U270,INDEX(Pengaturan!$B$8:$B$27,M$4)))</f>
        <v>0</v>
      </c>
      <c r="N270" s="26" t="n">
        <f aca="false">IF(INDEX(Pengaturan!$B$8:$B$27,N$4)="",0,COUNTIF(Data!$B270:$U270,INDEX(Pengaturan!$B$8:$B$27,N$4)))</f>
        <v>0</v>
      </c>
      <c r="O270" s="26" t="n">
        <f aca="false">IF(INDEX(Pengaturan!$B$8:$B$27,O$4)="",0,COUNTIF(Data!$B270:$U270,INDEX(Pengaturan!$B$8:$B$27,O$4)))</f>
        <v>0</v>
      </c>
      <c r="P270" s="26" t="n">
        <f aca="false">IF(INDEX(Pengaturan!$B$8:$B$27,P$4)="",0,COUNTIF(Data!$B270:$U270,INDEX(Pengaturan!$B$8:$B$27,P$4)))</f>
        <v>0</v>
      </c>
      <c r="Q270" s="26" t="n">
        <f aca="false">IF(INDEX(Pengaturan!$B$8:$B$27,Q$4)="",0,COUNTIF(Data!$B270:$U270,INDEX(Pengaturan!$B$8:$B$27,Q$4)))</f>
        <v>0</v>
      </c>
      <c r="R270" s="26" t="n">
        <f aca="false">IF(INDEX(Pengaturan!$B$8:$B$27,R$4)="",0,COUNTIF(Data!$B270:$U270,INDEX(Pengaturan!$B$8:$B$27,R$4)))</f>
        <v>0</v>
      </c>
      <c r="S270" s="26" t="n">
        <f aca="false">IF(INDEX(Pengaturan!$B$8:$B$27,S$4)="",0,COUNTIF(Data!$B270:$U270,INDEX(Pengaturan!$B$8:$B$27,S$4)))</f>
        <v>0</v>
      </c>
      <c r="T270" s="26" t="n">
        <f aca="false">IF(INDEX(Pengaturan!$B$8:$B$27,T$4)="",0,COUNTIF(Data!$B270:$U270,INDEX(Pengaturan!$B$8:$B$27,T$4)))</f>
        <v>0</v>
      </c>
      <c r="U270" s="26" t="n">
        <f aca="false">IF(INDEX(Pengaturan!$B$8:$B$27,U$4)="",0,COUNTIF(Data!$B270:$U270,INDEX(Pengaturan!$B$8:$B$27,U$4)))</f>
        <v>0</v>
      </c>
      <c r="V270" s="26" t="n">
        <f aca="false">COUNTA(Data!$B270:$U270)</f>
        <v>0</v>
      </c>
      <c r="W270" s="27" t="str">
        <f aca="false">IF(V270=0,"",IF(V270&lt;&gt;Hasil!$C$4,"Data kosong/tidak lengkap",IF(SUM(B270:U270)&lt;&gt;V270,"Kategori tidak dikenal","OK")))</f>
        <v/>
      </c>
      <c r="X270" s="26" t="n">
        <f aca="false">IF(OR(W270="",W270="OK"),0,1)</f>
        <v>0</v>
      </c>
    </row>
    <row r="271" customFormat="false" ht="15" hidden="false" customHeight="false" outlineLevel="0" collapsed="false">
      <c r="A271" s="26" t="n">
        <f aca="false">Data!A271</f>
        <v>266</v>
      </c>
      <c r="B271" s="26" t="n">
        <f aca="false">IF(INDEX(Pengaturan!$B$8:$B$27,B$4)="",0,COUNTIF(Data!$B271:$U271,INDEX(Pengaturan!$B$8:$B$27,B$4)))</f>
        <v>0</v>
      </c>
      <c r="C271" s="26" t="n">
        <f aca="false">IF(INDEX(Pengaturan!$B$8:$B$27,C$4)="",0,COUNTIF(Data!$B271:$U271,INDEX(Pengaturan!$B$8:$B$27,C$4)))</f>
        <v>0</v>
      </c>
      <c r="D271" s="26" t="n">
        <f aca="false">IF(INDEX(Pengaturan!$B$8:$B$27,D$4)="",0,COUNTIF(Data!$B271:$U271,INDEX(Pengaturan!$B$8:$B$27,D$4)))</f>
        <v>0</v>
      </c>
      <c r="E271" s="26" t="n">
        <f aca="false">IF(INDEX(Pengaturan!$B$8:$B$27,E$4)="",0,COUNTIF(Data!$B271:$U271,INDEX(Pengaturan!$B$8:$B$27,E$4)))</f>
        <v>0</v>
      </c>
      <c r="F271" s="26" t="n">
        <f aca="false">IF(INDEX(Pengaturan!$B$8:$B$27,F$4)="",0,COUNTIF(Data!$B271:$U271,INDEX(Pengaturan!$B$8:$B$27,F$4)))</f>
        <v>0</v>
      </c>
      <c r="G271" s="26" t="n">
        <f aca="false">IF(INDEX(Pengaturan!$B$8:$B$27,G$4)="",0,COUNTIF(Data!$B271:$U271,INDEX(Pengaturan!$B$8:$B$27,G$4)))</f>
        <v>0</v>
      </c>
      <c r="H271" s="26" t="n">
        <f aca="false">IF(INDEX(Pengaturan!$B$8:$B$27,H$4)="",0,COUNTIF(Data!$B271:$U271,INDEX(Pengaturan!$B$8:$B$27,H$4)))</f>
        <v>0</v>
      </c>
      <c r="I271" s="26" t="n">
        <f aca="false">IF(INDEX(Pengaturan!$B$8:$B$27,I$4)="",0,COUNTIF(Data!$B271:$U271,INDEX(Pengaturan!$B$8:$B$27,I$4)))</f>
        <v>0</v>
      </c>
      <c r="J271" s="26" t="n">
        <f aca="false">IF(INDEX(Pengaturan!$B$8:$B$27,J$4)="",0,COUNTIF(Data!$B271:$U271,INDEX(Pengaturan!$B$8:$B$27,J$4)))</f>
        <v>0</v>
      </c>
      <c r="K271" s="26" t="n">
        <f aca="false">IF(INDEX(Pengaturan!$B$8:$B$27,K$4)="",0,COUNTIF(Data!$B271:$U271,INDEX(Pengaturan!$B$8:$B$27,K$4)))</f>
        <v>0</v>
      </c>
      <c r="L271" s="26" t="n">
        <f aca="false">IF(INDEX(Pengaturan!$B$8:$B$27,L$4)="",0,COUNTIF(Data!$B271:$U271,INDEX(Pengaturan!$B$8:$B$27,L$4)))</f>
        <v>0</v>
      </c>
      <c r="M271" s="26" t="n">
        <f aca="false">IF(INDEX(Pengaturan!$B$8:$B$27,M$4)="",0,COUNTIF(Data!$B271:$U271,INDEX(Pengaturan!$B$8:$B$27,M$4)))</f>
        <v>0</v>
      </c>
      <c r="N271" s="26" t="n">
        <f aca="false">IF(INDEX(Pengaturan!$B$8:$B$27,N$4)="",0,COUNTIF(Data!$B271:$U271,INDEX(Pengaturan!$B$8:$B$27,N$4)))</f>
        <v>0</v>
      </c>
      <c r="O271" s="26" t="n">
        <f aca="false">IF(INDEX(Pengaturan!$B$8:$B$27,O$4)="",0,COUNTIF(Data!$B271:$U271,INDEX(Pengaturan!$B$8:$B$27,O$4)))</f>
        <v>0</v>
      </c>
      <c r="P271" s="26" t="n">
        <f aca="false">IF(INDEX(Pengaturan!$B$8:$B$27,P$4)="",0,COUNTIF(Data!$B271:$U271,INDEX(Pengaturan!$B$8:$B$27,P$4)))</f>
        <v>0</v>
      </c>
      <c r="Q271" s="26" t="n">
        <f aca="false">IF(INDEX(Pengaturan!$B$8:$B$27,Q$4)="",0,COUNTIF(Data!$B271:$U271,INDEX(Pengaturan!$B$8:$B$27,Q$4)))</f>
        <v>0</v>
      </c>
      <c r="R271" s="26" t="n">
        <f aca="false">IF(INDEX(Pengaturan!$B$8:$B$27,R$4)="",0,COUNTIF(Data!$B271:$U271,INDEX(Pengaturan!$B$8:$B$27,R$4)))</f>
        <v>0</v>
      </c>
      <c r="S271" s="26" t="n">
        <f aca="false">IF(INDEX(Pengaturan!$B$8:$B$27,S$4)="",0,COUNTIF(Data!$B271:$U271,INDEX(Pengaturan!$B$8:$B$27,S$4)))</f>
        <v>0</v>
      </c>
      <c r="T271" s="26" t="n">
        <f aca="false">IF(INDEX(Pengaturan!$B$8:$B$27,T$4)="",0,COUNTIF(Data!$B271:$U271,INDEX(Pengaturan!$B$8:$B$27,T$4)))</f>
        <v>0</v>
      </c>
      <c r="U271" s="26" t="n">
        <f aca="false">IF(INDEX(Pengaturan!$B$8:$B$27,U$4)="",0,COUNTIF(Data!$B271:$U271,INDEX(Pengaturan!$B$8:$B$27,U$4)))</f>
        <v>0</v>
      </c>
      <c r="V271" s="26" t="n">
        <f aca="false">COUNTA(Data!$B271:$U271)</f>
        <v>0</v>
      </c>
      <c r="W271" s="27" t="str">
        <f aca="false">IF(V271=0,"",IF(V271&lt;&gt;Hasil!$C$4,"Data kosong/tidak lengkap",IF(SUM(B271:U271)&lt;&gt;V271,"Kategori tidak dikenal","OK")))</f>
        <v/>
      </c>
      <c r="X271" s="26" t="n">
        <f aca="false">IF(OR(W271="",W271="OK"),0,1)</f>
        <v>0</v>
      </c>
    </row>
    <row r="272" customFormat="false" ht="15" hidden="false" customHeight="false" outlineLevel="0" collapsed="false">
      <c r="A272" s="26" t="n">
        <f aca="false">Data!A272</f>
        <v>267</v>
      </c>
      <c r="B272" s="26" t="n">
        <f aca="false">IF(INDEX(Pengaturan!$B$8:$B$27,B$4)="",0,COUNTIF(Data!$B272:$U272,INDEX(Pengaturan!$B$8:$B$27,B$4)))</f>
        <v>0</v>
      </c>
      <c r="C272" s="26" t="n">
        <f aca="false">IF(INDEX(Pengaturan!$B$8:$B$27,C$4)="",0,COUNTIF(Data!$B272:$U272,INDEX(Pengaturan!$B$8:$B$27,C$4)))</f>
        <v>0</v>
      </c>
      <c r="D272" s="26" t="n">
        <f aca="false">IF(INDEX(Pengaturan!$B$8:$B$27,D$4)="",0,COUNTIF(Data!$B272:$U272,INDEX(Pengaturan!$B$8:$B$27,D$4)))</f>
        <v>0</v>
      </c>
      <c r="E272" s="26" t="n">
        <f aca="false">IF(INDEX(Pengaturan!$B$8:$B$27,E$4)="",0,COUNTIF(Data!$B272:$U272,INDEX(Pengaturan!$B$8:$B$27,E$4)))</f>
        <v>0</v>
      </c>
      <c r="F272" s="26" t="n">
        <f aca="false">IF(INDEX(Pengaturan!$B$8:$B$27,F$4)="",0,COUNTIF(Data!$B272:$U272,INDEX(Pengaturan!$B$8:$B$27,F$4)))</f>
        <v>0</v>
      </c>
      <c r="G272" s="26" t="n">
        <f aca="false">IF(INDEX(Pengaturan!$B$8:$B$27,G$4)="",0,COUNTIF(Data!$B272:$U272,INDEX(Pengaturan!$B$8:$B$27,G$4)))</f>
        <v>0</v>
      </c>
      <c r="H272" s="26" t="n">
        <f aca="false">IF(INDEX(Pengaturan!$B$8:$B$27,H$4)="",0,COUNTIF(Data!$B272:$U272,INDEX(Pengaturan!$B$8:$B$27,H$4)))</f>
        <v>0</v>
      </c>
      <c r="I272" s="26" t="n">
        <f aca="false">IF(INDEX(Pengaturan!$B$8:$B$27,I$4)="",0,COUNTIF(Data!$B272:$U272,INDEX(Pengaturan!$B$8:$B$27,I$4)))</f>
        <v>0</v>
      </c>
      <c r="J272" s="26" t="n">
        <f aca="false">IF(INDEX(Pengaturan!$B$8:$B$27,J$4)="",0,COUNTIF(Data!$B272:$U272,INDEX(Pengaturan!$B$8:$B$27,J$4)))</f>
        <v>0</v>
      </c>
      <c r="K272" s="26" t="n">
        <f aca="false">IF(INDEX(Pengaturan!$B$8:$B$27,K$4)="",0,COUNTIF(Data!$B272:$U272,INDEX(Pengaturan!$B$8:$B$27,K$4)))</f>
        <v>0</v>
      </c>
      <c r="L272" s="26" t="n">
        <f aca="false">IF(INDEX(Pengaturan!$B$8:$B$27,L$4)="",0,COUNTIF(Data!$B272:$U272,INDEX(Pengaturan!$B$8:$B$27,L$4)))</f>
        <v>0</v>
      </c>
      <c r="M272" s="26" t="n">
        <f aca="false">IF(INDEX(Pengaturan!$B$8:$B$27,M$4)="",0,COUNTIF(Data!$B272:$U272,INDEX(Pengaturan!$B$8:$B$27,M$4)))</f>
        <v>0</v>
      </c>
      <c r="N272" s="26" t="n">
        <f aca="false">IF(INDEX(Pengaturan!$B$8:$B$27,N$4)="",0,COUNTIF(Data!$B272:$U272,INDEX(Pengaturan!$B$8:$B$27,N$4)))</f>
        <v>0</v>
      </c>
      <c r="O272" s="26" t="n">
        <f aca="false">IF(INDEX(Pengaturan!$B$8:$B$27,O$4)="",0,COUNTIF(Data!$B272:$U272,INDEX(Pengaturan!$B$8:$B$27,O$4)))</f>
        <v>0</v>
      </c>
      <c r="P272" s="26" t="n">
        <f aca="false">IF(INDEX(Pengaturan!$B$8:$B$27,P$4)="",0,COUNTIF(Data!$B272:$U272,INDEX(Pengaturan!$B$8:$B$27,P$4)))</f>
        <v>0</v>
      </c>
      <c r="Q272" s="26" t="n">
        <f aca="false">IF(INDEX(Pengaturan!$B$8:$B$27,Q$4)="",0,COUNTIF(Data!$B272:$U272,INDEX(Pengaturan!$B$8:$B$27,Q$4)))</f>
        <v>0</v>
      </c>
      <c r="R272" s="26" t="n">
        <f aca="false">IF(INDEX(Pengaturan!$B$8:$B$27,R$4)="",0,COUNTIF(Data!$B272:$U272,INDEX(Pengaturan!$B$8:$B$27,R$4)))</f>
        <v>0</v>
      </c>
      <c r="S272" s="26" t="n">
        <f aca="false">IF(INDEX(Pengaturan!$B$8:$B$27,S$4)="",0,COUNTIF(Data!$B272:$U272,INDEX(Pengaturan!$B$8:$B$27,S$4)))</f>
        <v>0</v>
      </c>
      <c r="T272" s="26" t="n">
        <f aca="false">IF(INDEX(Pengaturan!$B$8:$B$27,T$4)="",0,COUNTIF(Data!$B272:$U272,INDEX(Pengaturan!$B$8:$B$27,T$4)))</f>
        <v>0</v>
      </c>
      <c r="U272" s="26" t="n">
        <f aca="false">IF(INDEX(Pengaturan!$B$8:$B$27,U$4)="",0,COUNTIF(Data!$B272:$U272,INDEX(Pengaturan!$B$8:$B$27,U$4)))</f>
        <v>0</v>
      </c>
      <c r="V272" s="26" t="n">
        <f aca="false">COUNTA(Data!$B272:$U272)</f>
        <v>0</v>
      </c>
      <c r="W272" s="27" t="str">
        <f aca="false">IF(V272=0,"",IF(V272&lt;&gt;Hasil!$C$4,"Data kosong/tidak lengkap",IF(SUM(B272:U272)&lt;&gt;V272,"Kategori tidak dikenal","OK")))</f>
        <v/>
      </c>
      <c r="X272" s="26" t="n">
        <f aca="false">IF(OR(W272="",W272="OK"),0,1)</f>
        <v>0</v>
      </c>
    </row>
    <row r="273" customFormat="false" ht="15" hidden="false" customHeight="false" outlineLevel="0" collapsed="false">
      <c r="A273" s="26" t="n">
        <f aca="false">Data!A273</f>
        <v>268</v>
      </c>
      <c r="B273" s="26" t="n">
        <f aca="false">IF(INDEX(Pengaturan!$B$8:$B$27,B$4)="",0,COUNTIF(Data!$B273:$U273,INDEX(Pengaturan!$B$8:$B$27,B$4)))</f>
        <v>0</v>
      </c>
      <c r="C273" s="26" t="n">
        <f aca="false">IF(INDEX(Pengaturan!$B$8:$B$27,C$4)="",0,COUNTIF(Data!$B273:$U273,INDEX(Pengaturan!$B$8:$B$27,C$4)))</f>
        <v>0</v>
      </c>
      <c r="D273" s="26" t="n">
        <f aca="false">IF(INDEX(Pengaturan!$B$8:$B$27,D$4)="",0,COUNTIF(Data!$B273:$U273,INDEX(Pengaturan!$B$8:$B$27,D$4)))</f>
        <v>0</v>
      </c>
      <c r="E273" s="26" t="n">
        <f aca="false">IF(INDEX(Pengaturan!$B$8:$B$27,E$4)="",0,COUNTIF(Data!$B273:$U273,INDEX(Pengaturan!$B$8:$B$27,E$4)))</f>
        <v>0</v>
      </c>
      <c r="F273" s="26" t="n">
        <f aca="false">IF(INDEX(Pengaturan!$B$8:$B$27,F$4)="",0,COUNTIF(Data!$B273:$U273,INDEX(Pengaturan!$B$8:$B$27,F$4)))</f>
        <v>0</v>
      </c>
      <c r="G273" s="26" t="n">
        <f aca="false">IF(INDEX(Pengaturan!$B$8:$B$27,G$4)="",0,COUNTIF(Data!$B273:$U273,INDEX(Pengaturan!$B$8:$B$27,G$4)))</f>
        <v>0</v>
      </c>
      <c r="H273" s="26" t="n">
        <f aca="false">IF(INDEX(Pengaturan!$B$8:$B$27,H$4)="",0,COUNTIF(Data!$B273:$U273,INDEX(Pengaturan!$B$8:$B$27,H$4)))</f>
        <v>0</v>
      </c>
      <c r="I273" s="26" t="n">
        <f aca="false">IF(INDEX(Pengaturan!$B$8:$B$27,I$4)="",0,COUNTIF(Data!$B273:$U273,INDEX(Pengaturan!$B$8:$B$27,I$4)))</f>
        <v>0</v>
      </c>
      <c r="J273" s="26" t="n">
        <f aca="false">IF(INDEX(Pengaturan!$B$8:$B$27,J$4)="",0,COUNTIF(Data!$B273:$U273,INDEX(Pengaturan!$B$8:$B$27,J$4)))</f>
        <v>0</v>
      </c>
      <c r="K273" s="26" t="n">
        <f aca="false">IF(INDEX(Pengaturan!$B$8:$B$27,K$4)="",0,COUNTIF(Data!$B273:$U273,INDEX(Pengaturan!$B$8:$B$27,K$4)))</f>
        <v>0</v>
      </c>
      <c r="L273" s="26" t="n">
        <f aca="false">IF(INDEX(Pengaturan!$B$8:$B$27,L$4)="",0,COUNTIF(Data!$B273:$U273,INDEX(Pengaturan!$B$8:$B$27,L$4)))</f>
        <v>0</v>
      </c>
      <c r="M273" s="26" t="n">
        <f aca="false">IF(INDEX(Pengaturan!$B$8:$B$27,M$4)="",0,COUNTIF(Data!$B273:$U273,INDEX(Pengaturan!$B$8:$B$27,M$4)))</f>
        <v>0</v>
      </c>
      <c r="N273" s="26" t="n">
        <f aca="false">IF(INDEX(Pengaturan!$B$8:$B$27,N$4)="",0,COUNTIF(Data!$B273:$U273,INDEX(Pengaturan!$B$8:$B$27,N$4)))</f>
        <v>0</v>
      </c>
      <c r="O273" s="26" t="n">
        <f aca="false">IF(INDEX(Pengaturan!$B$8:$B$27,O$4)="",0,COUNTIF(Data!$B273:$U273,INDEX(Pengaturan!$B$8:$B$27,O$4)))</f>
        <v>0</v>
      </c>
      <c r="P273" s="26" t="n">
        <f aca="false">IF(INDEX(Pengaturan!$B$8:$B$27,P$4)="",0,COUNTIF(Data!$B273:$U273,INDEX(Pengaturan!$B$8:$B$27,P$4)))</f>
        <v>0</v>
      </c>
      <c r="Q273" s="26" t="n">
        <f aca="false">IF(INDEX(Pengaturan!$B$8:$B$27,Q$4)="",0,COUNTIF(Data!$B273:$U273,INDEX(Pengaturan!$B$8:$B$27,Q$4)))</f>
        <v>0</v>
      </c>
      <c r="R273" s="26" t="n">
        <f aca="false">IF(INDEX(Pengaturan!$B$8:$B$27,R$4)="",0,COUNTIF(Data!$B273:$U273,INDEX(Pengaturan!$B$8:$B$27,R$4)))</f>
        <v>0</v>
      </c>
      <c r="S273" s="26" t="n">
        <f aca="false">IF(INDEX(Pengaturan!$B$8:$B$27,S$4)="",0,COUNTIF(Data!$B273:$U273,INDEX(Pengaturan!$B$8:$B$27,S$4)))</f>
        <v>0</v>
      </c>
      <c r="T273" s="26" t="n">
        <f aca="false">IF(INDEX(Pengaturan!$B$8:$B$27,T$4)="",0,COUNTIF(Data!$B273:$U273,INDEX(Pengaturan!$B$8:$B$27,T$4)))</f>
        <v>0</v>
      </c>
      <c r="U273" s="26" t="n">
        <f aca="false">IF(INDEX(Pengaturan!$B$8:$B$27,U$4)="",0,COUNTIF(Data!$B273:$U273,INDEX(Pengaturan!$B$8:$B$27,U$4)))</f>
        <v>0</v>
      </c>
      <c r="V273" s="26" t="n">
        <f aca="false">COUNTA(Data!$B273:$U273)</f>
        <v>0</v>
      </c>
      <c r="W273" s="27" t="str">
        <f aca="false">IF(V273=0,"",IF(V273&lt;&gt;Hasil!$C$4,"Data kosong/tidak lengkap",IF(SUM(B273:U273)&lt;&gt;V273,"Kategori tidak dikenal","OK")))</f>
        <v/>
      </c>
      <c r="X273" s="26" t="n">
        <f aca="false">IF(OR(W273="",W273="OK"),0,1)</f>
        <v>0</v>
      </c>
    </row>
    <row r="274" customFormat="false" ht="15" hidden="false" customHeight="false" outlineLevel="0" collapsed="false">
      <c r="A274" s="26" t="n">
        <f aca="false">Data!A274</f>
        <v>269</v>
      </c>
      <c r="B274" s="26" t="n">
        <f aca="false">IF(INDEX(Pengaturan!$B$8:$B$27,B$4)="",0,COUNTIF(Data!$B274:$U274,INDEX(Pengaturan!$B$8:$B$27,B$4)))</f>
        <v>0</v>
      </c>
      <c r="C274" s="26" t="n">
        <f aca="false">IF(INDEX(Pengaturan!$B$8:$B$27,C$4)="",0,COUNTIF(Data!$B274:$U274,INDEX(Pengaturan!$B$8:$B$27,C$4)))</f>
        <v>0</v>
      </c>
      <c r="D274" s="26" t="n">
        <f aca="false">IF(INDEX(Pengaturan!$B$8:$B$27,D$4)="",0,COUNTIF(Data!$B274:$U274,INDEX(Pengaturan!$B$8:$B$27,D$4)))</f>
        <v>0</v>
      </c>
      <c r="E274" s="26" t="n">
        <f aca="false">IF(INDEX(Pengaturan!$B$8:$B$27,E$4)="",0,COUNTIF(Data!$B274:$U274,INDEX(Pengaturan!$B$8:$B$27,E$4)))</f>
        <v>0</v>
      </c>
      <c r="F274" s="26" t="n">
        <f aca="false">IF(INDEX(Pengaturan!$B$8:$B$27,F$4)="",0,COUNTIF(Data!$B274:$U274,INDEX(Pengaturan!$B$8:$B$27,F$4)))</f>
        <v>0</v>
      </c>
      <c r="G274" s="26" t="n">
        <f aca="false">IF(INDEX(Pengaturan!$B$8:$B$27,G$4)="",0,COUNTIF(Data!$B274:$U274,INDEX(Pengaturan!$B$8:$B$27,G$4)))</f>
        <v>0</v>
      </c>
      <c r="H274" s="26" t="n">
        <f aca="false">IF(INDEX(Pengaturan!$B$8:$B$27,H$4)="",0,COUNTIF(Data!$B274:$U274,INDEX(Pengaturan!$B$8:$B$27,H$4)))</f>
        <v>0</v>
      </c>
      <c r="I274" s="26" t="n">
        <f aca="false">IF(INDEX(Pengaturan!$B$8:$B$27,I$4)="",0,COUNTIF(Data!$B274:$U274,INDEX(Pengaturan!$B$8:$B$27,I$4)))</f>
        <v>0</v>
      </c>
      <c r="J274" s="26" t="n">
        <f aca="false">IF(INDEX(Pengaturan!$B$8:$B$27,J$4)="",0,COUNTIF(Data!$B274:$U274,INDEX(Pengaturan!$B$8:$B$27,J$4)))</f>
        <v>0</v>
      </c>
      <c r="K274" s="26" t="n">
        <f aca="false">IF(INDEX(Pengaturan!$B$8:$B$27,K$4)="",0,COUNTIF(Data!$B274:$U274,INDEX(Pengaturan!$B$8:$B$27,K$4)))</f>
        <v>0</v>
      </c>
      <c r="L274" s="26" t="n">
        <f aca="false">IF(INDEX(Pengaturan!$B$8:$B$27,L$4)="",0,COUNTIF(Data!$B274:$U274,INDEX(Pengaturan!$B$8:$B$27,L$4)))</f>
        <v>0</v>
      </c>
      <c r="M274" s="26" t="n">
        <f aca="false">IF(INDEX(Pengaturan!$B$8:$B$27,M$4)="",0,COUNTIF(Data!$B274:$U274,INDEX(Pengaturan!$B$8:$B$27,M$4)))</f>
        <v>0</v>
      </c>
      <c r="N274" s="26" t="n">
        <f aca="false">IF(INDEX(Pengaturan!$B$8:$B$27,N$4)="",0,COUNTIF(Data!$B274:$U274,INDEX(Pengaturan!$B$8:$B$27,N$4)))</f>
        <v>0</v>
      </c>
      <c r="O274" s="26" t="n">
        <f aca="false">IF(INDEX(Pengaturan!$B$8:$B$27,O$4)="",0,COUNTIF(Data!$B274:$U274,INDEX(Pengaturan!$B$8:$B$27,O$4)))</f>
        <v>0</v>
      </c>
      <c r="P274" s="26" t="n">
        <f aca="false">IF(INDEX(Pengaturan!$B$8:$B$27,P$4)="",0,COUNTIF(Data!$B274:$U274,INDEX(Pengaturan!$B$8:$B$27,P$4)))</f>
        <v>0</v>
      </c>
      <c r="Q274" s="26" t="n">
        <f aca="false">IF(INDEX(Pengaturan!$B$8:$B$27,Q$4)="",0,COUNTIF(Data!$B274:$U274,INDEX(Pengaturan!$B$8:$B$27,Q$4)))</f>
        <v>0</v>
      </c>
      <c r="R274" s="26" t="n">
        <f aca="false">IF(INDEX(Pengaturan!$B$8:$B$27,R$4)="",0,COUNTIF(Data!$B274:$U274,INDEX(Pengaturan!$B$8:$B$27,R$4)))</f>
        <v>0</v>
      </c>
      <c r="S274" s="26" t="n">
        <f aca="false">IF(INDEX(Pengaturan!$B$8:$B$27,S$4)="",0,COUNTIF(Data!$B274:$U274,INDEX(Pengaturan!$B$8:$B$27,S$4)))</f>
        <v>0</v>
      </c>
      <c r="T274" s="26" t="n">
        <f aca="false">IF(INDEX(Pengaturan!$B$8:$B$27,T$4)="",0,COUNTIF(Data!$B274:$U274,INDEX(Pengaturan!$B$8:$B$27,T$4)))</f>
        <v>0</v>
      </c>
      <c r="U274" s="26" t="n">
        <f aca="false">IF(INDEX(Pengaturan!$B$8:$B$27,U$4)="",0,COUNTIF(Data!$B274:$U274,INDEX(Pengaturan!$B$8:$B$27,U$4)))</f>
        <v>0</v>
      </c>
      <c r="V274" s="26" t="n">
        <f aca="false">COUNTA(Data!$B274:$U274)</f>
        <v>0</v>
      </c>
      <c r="W274" s="27" t="str">
        <f aca="false">IF(V274=0,"",IF(V274&lt;&gt;Hasil!$C$4,"Data kosong/tidak lengkap",IF(SUM(B274:U274)&lt;&gt;V274,"Kategori tidak dikenal","OK")))</f>
        <v/>
      </c>
      <c r="X274" s="26" t="n">
        <f aca="false">IF(OR(W274="",W274="OK"),0,1)</f>
        <v>0</v>
      </c>
    </row>
    <row r="275" customFormat="false" ht="15" hidden="false" customHeight="false" outlineLevel="0" collapsed="false">
      <c r="A275" s="26" t="n">
        <f aca="false">Data!A275</f>
        <v>270</v>
      </c>
      <c r="B275" s="26" t="n">
        <f aca="false">IF(INDEX(Pengaturan!$B$8:$B$27,B$4)="",0,COUNTIF(Data!$B275:$U275,INDEX(Pengaturan!$B$8:$B$27,B$4)))</f>
        <v>0</v>
      </c>
      <c r="C275" s="26" t="n">
        <f aca="false">IF(INDEX(Pengaturan!$B$8:$B$27,C$4)="",0,COUNTIF(Data!$B275:$U275,INDEX(Pengaturan!$B$8:$B$27,C$4)))</f>
        <v>0</v>
      </c>
      <c r="D275" s="26" t="n">
        <f aca="false">IF(INDEX(Pengaturan!$B$8:$B$27,D$4)="",0,COUNTIF(Data!$B275:$U275,INDEX(Pengaturan!$B$8:$B$27,D$4)))</f>
        <v>0</v>
      </c>
      <c r="E275" s="26" t="n">
        <f aca="false">IF(INDEX(Pengaturan!$B$8:$B$27,E$4)="",0,COUNTIF(Data!$B275:$U275,INDEX(Pengaturan!$B$8:$B$27,E$4)))</f>
        <v>0</v>
      </c>
      <c r="F275" s="26" t="n">
        <f aca="false">IF(INDEX(Pengaturan!$B$8:$B$27,F$4)="",0,COUNTIF(Data!$B275:$U275,INDEX(Pengaturan!$B$8:$B$27,F$4)))</f>
        <v>0</v>
      </c>
      <c r="G275" s="26" t="n">
        <f aca="false">IF(INDEX(Pengaturan!$B$8:$B$27,G$4)="",0,COUNTIF(Data!$B275:$U275,INDEX(Pengaturan!$B$8:$B$27,G$4)))</f>
        <v>0</v>
      </c>
      <c r="H275" s="26" t="n">
        <f aca="false">IF(INDEX(Pengaturan!$B$8:$B$27,H$4)="",0,COUNTIF(Data!$B275:$U275,INDEX(Pengaturan!$B$8:$B$27,H$4)))</f>
        <v>0</v>
      </c>
      <c r="I275" s="26" t="n">
        <f aca="false">IF(INDEX(Pengaturan!$B$8:$B$27,I$4)="",0,COUNTIF(Data!$B275:$U275,INDEX(Pengaturan!$B$8:$B$27,I$4)))</f>
        <v>0</v>
      </c>
      <c r="J275" s="26" t="n">
        <f aca="false">IF(INDEX(Pengaturan!$B$8:$B$27,J$4)="",0,COUNTIF(Data!$B275:$U275,INDEX(Pengaturan!$B$8:$B$27,J$4)))</f>
        <v>0</v>
      </c>
      <c r="K275" s="26" t="n">
        <f aca="false">IF(INDEX(Pengaturan!$B$8:$B$27,K$4)="",0,COUNTIF(Data!$B275:$U275,INDEX(Pengaturan!$B$8:$B$27,K$4)))</f>
        <v>0</v>
      </c>
      <c r="L275" s="26" t="n">
        <f aca="false">IF(INDEX(Pengaturan!$B$8:$B$27,L$4)="",0,COUNTIF(Data!$B275:$U275,INDEX(Pengaturan!$B$8:$B$27,L$4)))</f>
        <v>0</v>
      </c>
      <c r="M275" s="26" t="n">
        <f aca="false">IF(INDEX(Pengaturan!$B$8:$B$27,M$4)="",0,COUNTIF(Data!$B275:$U275,INDEX(Pengaturan!$B$8:$B$27,M$4)))</f>
        <v>0</v>
      </c>
      <c r="N275" s="26" t="n">
        <f aca="false">IF(INDEX(Pengaturan!$B$8:$B$27,N$4)="",0,COUNTIF(Data!$B275:$U275,INDEX(Pengaturan!$B$8:$B$27,N$4)))</f>
        <v>0</v>
      </c>
      <c r="O275" s="26" t="n">
        <f aca="false">IF(INDEX(Pengaturan!$B$8:$B$27,O$4)="",0,COUNTIF(Data!$B275:$U275,INDEX(Pengaturan!$B$8:$B$27,O$4)))</f>
        <v>0</v>
      </c>
      <c r="P275" s="26" t="n">
        <f aca="false">IF(INDEX(Pengaturan!$B$8:$B$27,P$4)="",0,COUNTIF(Data!$B275:$U275,INDEX(Pengaturan!$B$8:$B$27,P$4)))</f>
        <v>0</v>
      </c>
      <c r="Q275" s="26" t="n">
        <f aca="false">IF(INDEX(Pengaturan!$B$8:$B$27,Q$4)="",0,COUNTIF(Data!$B275:$U275,INDEX(Pengaturan!$B$8:$B$27,Q$4)))</f>
        <v>0</v>
      </c>
      <c r="R275" s="26" t="n">
        <f aca="false">IF(INDEX(Pengaturan!$B$8:$B$27,R$4)="",0,COUNTIF(Data!$B275:$U275,INDEX(Pengaturan!$B$8:$B$27,R$4)))</f>
        <v>0</v>
      </c>
      <c r="S275" s="26" t="n">
        <f aca="false">IF(INDEX(Pengaturan!$B$8:$B$27,S$4)="",0,COUNTIF(Data!$B275:$U275,INDEX(Pengaturan!$B$8:$B$27,S$4)))</f>
        <v>0</v>
      </c>
      <c r="T275" s="26" t="n">
        <f aca="false">IF(INDEX(Pengaturan!$B$8:$B$27,T$4)="",0,COUNTIF(Data!$B275:$U275,INDEX(Pengaturan!$B$8:$B$27,T$4)))</f>
        <v>0</v>
      </c>
      <c r="U275" s="26" t="n">
        <f aca="false">IF(INDEX(Pengaturan!$B$8:$B$27,U$4)="",0,COUNTIF(Data!$B275:$U275,INDEX(Pengaturan!$B$8:$B$27,U$4)))</f>
        <v>0</v>
      </c>
      <c r="V275" s="26" t="n">
        <f aca="false">COUNTA(Data!$B275:$U275)</f>
        <v>0</v>
      </c>
      <c r="W275" s="27" t="str">
        <f aca="false">IF(V275=0,"",IF(V275&lt;&gt;Hasil!$C$4,"Data kosong/tidak lengkap",IF(SUM(B275:U275)&lt;&gt;V275,"Kategori tidak dikenal","OK")))</f>
        <v/>
      </c>
      <c r="X275" s="26" t="n">
        <f aca="false">IF(OR(W275="",W275="OK"),0,1)</f>
        <v>0</v>
      </c>
    </row>
    <row r="276" customFormat="false" ht="15" hidden="false" customHeight="false" outlineLevel="0" collapsed="false">
      <c r="A276" s="26" t="n">
        <f aca="false">Data!A276</f>
        <v>271</v>
      </c>
      <c r="B276" s="26" t="n">
        <f aca="false">IF(INDEX(Pengaturan!$B$8:$B$27,B$4)="",0,COUNTIF(Data!$B276:$U276,INDEX(Pengaturan!$B$8:$B$27,B$4)))</f>
        <v>0</v>
      </c>
      <c r="C276" s="26" t="n">
        <f aca="false">IF(INDEX(Pengaturan!$B$8:$B$27,C$4)="",0,COUNTIF(Data!$B276:$U276,INDEX(Pengaturan!$B$8:$B$27,C$4)))</f>
        <v>0</v>
      </c>
      <c r="D276" s="26" t="n">
        <f aca="false">IF(INDEX(Pengaturan!$B$8:$B$27,D$4)="",0,COUNTIF(Data!$B276:$U276,INDEX(Pengaturan!$B$8:$B$27,D$4)))</f>
        <v>0</v>
      </c>
      <c r="E276" s="26" t="n">
        <f aca="false">IF(INDEX(Pengaturan!$B$8:$B$27,E$4)="",0,COUNTIF(Data!$B276:$U276,INDEX(Pengaturan!$B$8:$B$27,E$4)))</f>
        <v>0</v>
      </c>
      <c r="F276" s="26" t="n">
        <f aca="false">IF(INDEX(Pengaturan!$B$8:$B$27,F$4)="",0,COUNTIF(Data!$B276:$U276,INDEX(Pengaturan!$B$8:$B$27,F$4)))</f>
        <v>0</v>
      </c>
      <c r="G276" s="26" t="n">
        <f aca="false">IF(INDEX(Pengaturan!$B$8:$B$27,G$4)="",0,COUNTIF(Data!$B276:$U276,INDEX(Pengaturan!$B$8:$B$27,G$4)))</f>
        <v>0</v>
      </c>
      <c r="H276" s="26" t="n">
        <f aca="false">IF(INDEX(Pengaturan!$B$8:$B$27,H$4)="",0,COUNTIF(Data!$B276:$U276,INDEX(Pengaturan!$B$8:$B$27,H$4)))</f>
        <v>0</v>
      </c>
      <c r="I276" s="26" t="n">
        <f aca="false">IF(INDEX(Pengaturan!$B$8:$B$27,I$4)="",0,COUNTIF(Data!$B276:$U276,INDEX(Pengaturan!$B$8:$B$27,I$4)))</f>
        <v>0</v>
      </c>
      <c r="J276" s="26" t="n">
        <f aca="false">IF(INDEX(Pengaturan!$B$8:$B$27,J$4)="",0,COUNTIF(Data!$B276:$U276,INDEX(Pengaturan!$B$8:$B$27,J$4)))</f>
        <v>0</v>
      </c>
      <c r="K276" s="26" t="n">
        <f aca="false">IF(INDEX(Pengaturan!$B$8:$B$27,K$4)="",0,COUNTIF(Data!$B276:$U276,INDEX(Pengaturan!$B$8:$B$27,K$4)))</f>
        <v>0</v>
      </c>
      <c r="L276" s="26" t="n">
        <f aca="false">IF(INDEX(Pengaturan!$B$8:$B$27,L$4)="",0,COUNTIF(Data!$B276:$U276,INDEX(Pengaturan!$B$8:$B$27,L$4)))</f>
        <v>0</v>
      </c>
      <c r="M276" s="26" t="n">
        <f aca="false">IF(INDEX(Pengaturan!$B$8:$B$27,M$4)="",0,COUNTIF(Data!$B276:$U276,INDEX(Pengaturan!$B$8:$B$27,M$4)))</f>
        <v>0</v>
      </c>
      <c r="N276" s="26" t="n">
        <f aca="false">IF(INDEX(Pengaturan!$B$8:$B$27,N$4)="",0,COUNTIF(Data!$B276:$U276,INDEX(Pengaturan!$B$8:$B$27,N$4)))</f>
        <v>0</v>
      </c>
      <c r="O276" s="26" t="n">
        <f aca="false">IF(INDEX(Pengaturan!$B$8:$B$27,O$4)="",0,COUNTIF(Data!$B276:$U276,INDEX(Pengaturan!$B$8:$B$27,O$4)))</f>
        <v>0</v>
      </c>
      <c r="P276" s="26" t="n">
        <f aca="false">IF(INDEX(Pengaturan!$B$8:$B$27,P$4)="",0,COUNTIF(Data!$B276:$U276,INDEX(Pengaturan!$B$8:$B$27,P$4)))</f>
        <v>0</v>
      </c>
      <c r="Q276" s="26" t="n">
        <f aca="false">IF(INDEX(Pengaturan!$B$8:$B$27,Q$4)="",0,COUNTIF(Data!$B276:$U276,INDEX(Pengaturan!$B$8:$B$27,Q$4)))</f>
        <v>0</v>
      </c>
      <c r="R276" s="26" t="n">
        <f aca="false">IF(INDEX(Pengaturan!$B$8:$B$27,R$4)="",0,COUNTIF(Data!$B276:$U276,INDEX(Pengaturan!$B$8:$B$27,R$4)))</f>
        <v>0</v>
      </c>
      <c r="S276" s="26" t="n">
        <f aca="false">IF(INDEX(Pengaturan!$B$8:$B$27,S$4)="",0,COUNTIF(Data!$B276:$U276,INDEX(Pengaturan!$B$8:$B$27,S$4)))</f>
        <v>0</v>
      </c>
      <c r="T276" s="26" t="n">
        <f aca="false">IF(INDEX(Pengaturan!$B$8:$B$27,T$4)="",0,COUNTIF(Data!$B276:$U276,INDEX(Pengaturan!$B$8:$B$27,T$4)))</f>
        <v>0</v>
      </c>
      <c r="U276" s="26" t="n">
        <f aca="false">IF(INDEX(Pengaturan!$B$8:$B$27,U$4)="",0,COUNTIF(Data!$B276:$U276,INDEX(Pengaturan!$B$8:$B$27,U$4)))</f>
        <v>0</v>
      </c>
      <c r="V276" s="26" t="n">
        <f aca="false">COUNTA(Data!$B276:$U276)</f>
        <v>0</v>
      </c>
      <c r="W276" s="27" t="str">
        <f aca="false">IF(V276=0,"",IF(V276&lt;&gt;Hasil!$C$4,"Data kosong/tidak lengkap",IF(SUM(B276:U276)&lt;&gt;V276,"Kategori tidak dikenal","OK")))</f>
        <v/>
      </c>
      <c r="X276" s="26" t="n">
        <f aca="false">IF(OR(W276="",W276="OK"),0,1)</f>
        <v>0</v>
      </c>
    </row>
    <row r="277" customFormat="false" ht="15" hidden="false" customHeight="false" outlineLevel="0" collapsed="false">
      <c r="A277" s="26" t="n">
        <f aca="false">Data!A277</f>
        <v>272</v>
      </c>
      <c r="B277" s="26" t="n">
        <f aca="false">IF(INDEX(Pengaturan!$B$8:$B$27,B$4)="",0,COUNTIF(Data!$B277:$U277,INDEX(Pengaturan!$B$8:$B$27,B$4)))</f>
        <v>0</v>
      </c>
      <c r="C277" s="26" t="n">
        <f aca="false">IF(INDEX(Pengaturan!$B$8:$B$27,C$4)="",0,COUNTIF(Data!$B277:$U277,INDEX(Pengaturan!$B$8:$B$27,C$4)))</f>
        <v>0</v>
      </c>
      <c r="D277" s="26" t="n">
        <f aca="false">IF(INDEX(Pengaturan!$B$8:$B$27,D$4)="",0,COUNTIF(Data!$B277:$U277,INDEX(Pengaturan!$B$8:$B$27,D$4)))</f>
        <v>0</v>
      </c>
      <c r="E277" s="26" t="n">
        <f aca="false">IF(INDEX(Pengaturan!$B$8:$B$27,E$4)="",0,COUNTIF(Data!$B277:$U277,INDEX(Pengaturan!$B$8:$B$27,E$4)))</f>
        <v>0</v>
      </c>
      <c r="F277" s="26" t="n">
        <f aca="false">IF(INDEX(Pengaturan!$B$8:$B$27,F$4)="",0,COUNTIF(Data!$B277:$U277,INDEX(Pengaturan!$B$8:$B$27,F$4)))</f>
        <v>0</v>
      </c>
      <c r="G277" s="26" t="n">
        <f aca="false">IF(INDEX(Pengaturan!$B$8:$B$27,G$4)="",0,COUNTIF(Data!$B277:$U277,INDEX(Pengaturan!$B$8:$B$27,G$4)))</f>
        <v>0</v>
      </c>
      <c r="H277" s="26" t="n">
        <f aca="false">IF(INDEX(Pengaturan!$B$8:$B$27,H$4)="",0,COUNTIF(Data!$B277:$U277,INDEX(Pengaturan!$B$8:$B$27,H$4)))</f>
        <v>0</v>
      </c>
      <c r="I277" s="26" t="n">
        <f aca="false">IF(INDEX(Pengaturan!$B$8:$B$27,I$4)="",0,COUNTIF(Data!$B277:$U277,INDEX(Pengaturan!$B$8:$B$27,I$4)))</f>
        <v>0</v>
      </c>
      <c r="J277" s="26" t="n">
        <f aca="false">IF(INDEX(Pengaturan!$B$8:$B$27,J$4)="",0,COUNTIF(Data!$B277:$U277,INDEX(Pengaturan!$B$8:$B$27,J$4)))</f>
        <v>0</v>
      </c>
      <c r="K277" s="26" t="n">
        <f aca="false">IF(INDEX(Pengaturan!$B$8:$B$27,K$4)="",0,COUNTIF(Data!$B277:$U277,INDEX(Pengaturan!$B$8:$B$27,K$4)))</f>
        <v>0</v>
      </c>
      <c r="L277" s="26" t="n">
        <f aca="false">IF(INDEX(Pengaturan!$B$8:$B$27,L$4)="",0,COUNTIF(Data!$B277:$U277,INDEX(Pengaturan!$B$8:$B$27,L$4)))</f>
        <v>0</v>
      </c>
      <c r="M277" s="26" t="n">
        <f aca="false">IF(INDEX(Pengaturan!$B$8:$B$27,M$4)="",0,COUNTIF(Data!$B277:$U277,INDEX(Pengaturan!$B$8:$B$27,M$4)))</f>
        <v>0</v>
      </c>
      <c r="N277" s="26" t="n">
        <f aca="false">IF(INDEX(Pengaturan!$B$8:$B$27,N$4)="",0,COUNTIF(Data!$B277:$U277,INDEX(Pengaturan!$B$8:$B$27,N$4)))</f>
        <v>0</v>
      </c>
      <c r="O277" s="26" t="n">
        <f aca="false">IF(INDEX(Pengaturan!$B$8:$B$27,O$4)="",0,COUNTIF(Data!$B277:$U277,INDEX(Pengaturan!$B$8:$B$27,O$4)))</f>
        <v>0</v>
      </c>
      <c r="P277" s="26" t="n">
        <f aca="false">IF(INDEX(Pengaturan!$B$8:$B$27,P$4)="",0,COUNTIF(Data!$B277:$U277,INDEX(Pengaturan!$B$8:$B$27,P$4)))</f>
        <v>0</v>
      </c>
      <c r="Q277" s="26" t="n">
        <f aca="false">IF(INDEX(Pengaturan!$B$8:$B$27,Q$4)="",0,COUNTIF(Data!$B277:$U277,INDEX(Pengaturan!$B$8:$B$27,Q$4)))</f>
        <v>0</v>
      </c>
      <c r="R277" s="26" t="n">
        <f aca="false">IF(INDEX(Pengaturan!$B$8:$B$27,R$4)="",0,COUNTIF(Data!$B277:$U277,INDEX(Pengaturan!$B$8:$B$27,R$4)))</f>
        <v>0</v>
      </c>
      <c r="S277" s="26" t="n">
        <f aca="false">IF(INDEX(Pengaturan!$B$8:$B$27,S$4)="",0,COUNTIF(Data!$B277:$U277,INDEX(Pengaturan!$B$8:$B$27,S$4)))</f>
        <v>0</v>
      </c>
      <c r="T277" s="26" t="n">
        <f aca="false">IF(INDEX(Pengaturan!$B$8:$B$27,T$4)="",0,COUNTIF(Data!$B277:$U277,INDEX(Pengaturan!$B$8:$B$27,T$4)))</f>
        <v>0</v>
      </c>
      <c r="U277" s="26" t="n">
        <f aca="false">IF(INDEX(Pengaturan!$B$8:$B$27,U$4)="",0,COUNTIF(Data!$B277:$U277,INDEX(Pengaturan!$B$8:$B$27,U$4)))</f>
        <v>0</v>
      </c>
      <c r="V277" s="26" t="n">
        <f aca="false">COUNTA(Data!$B277:$U277)</f>
        <v>0</v>
      </c>
      <c r="W277" s="27" t="str">
        <f aca="false">IF(V277=0,"",IF(V277&lt;&gt;Hasil!$C$4,"Data kosong/tidak lengkap",IF(SUM(B277:U277)&lt;&gt;V277,"Kategori tidak dikenal","OK")))</f>
        <v/>
      </c>
      <c r="X277" s="26" t="n">
        <f aca="false">IF(OR(W277="",W277="OK"),0,1)</f>
        <v>0</v>
      </c>
    </row>
    <row r="278" customFormat="false" ht="15" hidden="false" customHeight="false" outlineLevel="0" collapsed="false">
      <c r="A278" s="26" t="n">
        <f aca="false">Data!A278</f>
        <v>273</v>
      </c>
      <c r="B278" s="26" t="n">
        <f aca="false">IF(INDEX(Pengaturan!$B$8:$B$27,B$4)="",0,COUNTIF(Data!$B278:$U278,INDEX(Pengaturan!$B$8:$B$27,B$4)))</f>
        <v>0</v>
      </c>
      <c r="C278" s="26" t="n">
        <f aca="false">IF(INDEX(Pengaturan!$B$8:$B$27,C$4)="",0,COUNTIF(Data!$B278:$U278,INDEX(Pengaturan!$B$8:$B$27,C$4)))</f>
        <v>0</v>
      </c>
      <c r="D278" s="26" t="n">
        <f aca="false">IF(INDEX(Pengaturan!$B$8:$B$27,D$4)="",0,COUNTIF(Data!$B278:$U278,INDEX(Pengaturan!$B$8:$B$27,D$4)))</f>
        <v>0</v>
      </c>
      <c r="E278" s="26" t="n">
        <f aca="false">IF(INDEX(Pengaturan!$B$8:$B$27,E$4)="",0,COUNTIF(Data!$B278:$U278,INDEX(Pengaturan!$B$8:$B$27,E$4)))</f>
        <v>0</v>
      </c>
      <c r="F278" s="26" t="n">
        <f aca="false">IF(INDEX(Pengaturan!$B$8:$B$27,F$4)="",0,COUNTIF(Data!$B278:$U278,INDEX(Pengaturan!$B$8:$B$27,F$4)))</f>
        <v>0</v>
      </c>
      <c r="G278" s="26" t="n">
        <f aca="false">IF(INDEX(Pengaturan!$B$8:$B$27,G$4)="",0,COUNTIF(Data!$B278:$U278,INDEX(Pengaturan!$B$8:$B$27,G$4)))</f>
        <v>0</v>
      </c>
      <c r="H278" s="26" t="n">
        <f aca="false">IF(INDEX(Pengaturan!$B$8:$B$27,H$4)="",0,COUNTIF(Data!$B278:$U278,INDEX(Pengaturan!$B$8:$B$27,H$4)))</f>
        <v>0</v>
      </c>
      <c r="I278" s="26" t="n">
        <f aca="false">IF(INDEX(Pengaturan!$B$8:$B$27,I$4)="",0,COUNTIF(Data!$B278:$U278,INDEX(Pengaturan!$B$8:$B$27,I$4)))</f>
        <v>0</v>
      </c>
      <c r="J278" s="26" t="n">
        <f aca="false">IF(INDEX(Pengaturan!$B$8:$B$27,J$4)="",0,COUNTIF(Data!$B278:$U278,INDEX(Pengaturan!$B$8:$B$27,J$4)))</f>
        <v>0</v>
      </c>
      <c r="K278" s="26" t="n">
        <f aca="false">IF(INDEX(Pengaturan!$B$8:$B$27,K$4)="",0,COUNTIF(Data!$B278:$U278,INDEX(Pengaturan!$B$8:$B$27,K$4)))</f>
        <v>0</v>
      </c>
      <c r="L278" s="26" t="n">
        <f aca="false">IF(INDEX(Pengaturan!$B$8:$B$27,L$4)="",0,COUNTIF(Data!$B278:$U278,INDEX(Pengaturan!$B$8:$B$27,L$4)))</f>
        <v>0</v>
      </c>
      <c r="M278" s="26" t="n">
        <f aca="false">IF(INDEX(Pengaturan!$B$8:$B$27,M$4)="",0,COUNTIF(Data!$B278:$U278,INDEX(Pengaturan!$B$8:$B$27,M$4)))</f>
        <v>0</v>
      </c>
      <c r="N278" s="26" t="n">
        <f aca="false">IF(INDEX(Pengaturan!$B$8:$B$27,N$4)="",0,COUNTIF(Data!$B278:$U278,INDEX(Pengaturan!$B$8:$B$27,N$4)))</f>
        <v>0</v>
      </c>
      <c r="O278" s="26" t="n">
        <f aca="false">IF(INDEX(Pengaturan!$B$8:$B$27,O$4)="",0,COUNTIF(Data!$B278:$U278,INDEX(Pengaturan!$B$8:$B$27,O$4)))</f>
        <v>0</v>
      </c>
      <c r="P278" s="26" t="n">
        <f aca="false">IF(INDEX(Pengaturan!$B$8:$B$27,P$4)="",0,COUNTIF(Data!$B278:$U278,INDEX(Pengaturan!$B$8:$B$27,P$4)))</f>
        <v>0</v>
      </c>
      <c r="Q278" s="26" t="n">
        <f aca="false">IF(INDEX(Pengaturan!$B$8:$B$27,Q$4)="",0,COUNTIF(Data!$B278:$U278,INDEX(Pengaturan!$B$8:$B$27,Q$4)))</f>
        <v>0</v>
      </c>
      <c r="R278" s="26" t="n">
        <f aca="false">IF(INDEX(Pengaturan!$B$8:$B$27,R$4)="",0,COUNTIF(Data!$B278:$U278,INDEX(Pengaturan!$B$8:$B$27,R$4)))</f>
        <v>0</v>
      </c>
      <c r="S278" s="26" t="n">
        <f aca="false">IF(INDEX(Pengaturan!$B$8:$B$27,S$4)="",0,COUNTIF(Data!$B278:$U278,INDEX(Pengaturan!$B$8:$B$27,S$4)))</f>
        <v>0</v>
      </c>
      <c r="T278" s="26" t="n">
        <f aca="false">IF(INDEX(Pengaturan!$B$8:$B$27,T$4)="",0,COUNTIF(Data!$B278:$U278,INDEX(Pengaturan!$B$8:$B$27,T$4)))</f>
        <v>0</v>
      </c>
      <c r="U278" s="26" t="n">
        <f aca="false">IF(INDEX(Pengaturan!$B$8:$B$27,U$4)="",0,COUNTIF(Data!$B278:$U278,INDEX(Pengaturan!$B$8:$B$27,U$4)))</f>
        <v>0</v>
      </c>
      <c r="V278" s="26" t="n">
        <f aca="false">COUNTA(Data!$B278:$U278)</f>
        <v>0</v>
      </c>
      <c r="W278" s="27" t="str">
        <f aca="false">IF(V278=0,"",IF(V278&lt;&gt;Hasil!$C$4,"Data kosong/tidak lengkap",IF(SUM(B278:U278)&lt;&gt;V278,"Kategori tidak dikenal","OK")))</f>
        <v/>
      </c>
      <c r="X278" s="26" t="n">
        <f aca="false">IF(OR(W278="",W278="OK"),0,1)</f>
        <v>0</v>
      </c>
    </row>
    <row r="279" customFormat="false" ht="15" hidden="false" customHeight="false" outlineLevel="0" collapsed="false">
      <c r="A279" s="26" t="n">
        <f aca="false">Data!A279</f>
        <v>274</v>
      </c>
      <c r="B279" s="26" t="n">
        <f aca="false">IF(INDEX(Pengaturan!$B$8:$B$27,B$4)="",0,COUNTIF(Data!$B279:$U279,INDEX(Pengaturan!$B$8:$B$27,B$4)))</f>
        <v>0</v>
      </c>
      <c r="C279" s="26" t="n">
        <f aca="false">IF(INDEX(Pengaturan!$B$8:$B$27,C$4)="",0,COUNTIF(Data!$B279:$U279,INDEX(Pengaturan!$B$8:$B$27,C$4)))</f>
        <v>0</v>
      </c>
      <c r="D279" s="26" t="n">
        <f aca="false">IF(INDEX(Pengaturan!$B$8:$B$27,D$4)="",0,COUNTIF(Data!$B279:$U279,INDEX(Pengaturan!$B$8:$B$27,D$4)))</f>
        <v>0</v>
      </c>
      <c r="E279" s="26" t="n">
        <f aca="false">IF(INDEX(Pengaturan!$B$8:$B$27,E$4)="",0,COUNTIF(Data!$B279:$U279,INDEX(Pengaturan!$B$8:$B$27,E$4)))</f>
        <v>0</v>
      </c>
      <c r="F279" s="26" t="n">
        <f aca="false">IF(INDEX(Pengaturan!$B$8:$B$27,F$4)="",0,COUNTIF(Data!$B279:$U279,INDEX(Pengaturan!$B$8:$B$27,F$4)))</f>
        <v>0</v>
      </c>
      <c r="G279" s="26" t="n">
        <f aca="false">IF(INDEX(Pengaturan!$B$8:$B$27,G$4)="",0,COUNTIF(Data!$B279:$U279,INDEX(Pengaturan!$B$8:$B$27,G$4)))</f>
        <v>0</v>
      </c>
      <c r="H279" s="26" t="n">
        <f aca="false">IF(INDEX(Pengaturan!$B$8:$B$27,H$4)="",0,COUNTIF(Data!$B279:$U279,INDEX(Pengaturan!$B$8:$B$27,H$4)))</f>
        <v>0</v>
      </c>
      <c r="I279" s="26" t="n">
        <f aca="false">IF(INDEX(Pengaturan!$B$8:$B$27,I$4)="",0,COUNTIF(Data!$B279:$U279,INDEX(Pengaturan!$B$8:$B$27,I$4)))</f>
        <v>0</v>
      </c>
      <c r="J279" s="26" t="n">
        <f aca="false">IF(INDEX(Pengaturan!$B$8:$B$27,J$4)="",0,COUNTIF(Data!$B279:$U279,INDEX(Pengaturan!$B$8:$B$27,J$4)))</f>
        <v>0</v>
      </c>
      <c r="K279" s="26" t="n">
        <f aca="false">IF(INDEX(Pengaturan!$B$8:$B$27,K$4)="",0,COUNTIF(Data!$B279:$U279,INDEX(Pengaturan!$B$8:$B$27,K$4)))</f>
        <v>0</v>
      </c>
      <c r="L279" s="26" t="n">
        <f aca="false">IF(INDEX(Pengaturan!$B$8:$B$27,L$4)="",0,COUNTIF(Data!$B279:$U279,INDEX(Pengaturan!$B$8:$B$27,L$4)))</f>
        <v>0</v>
      </c>
      <c r="M279" s="26" t="n">
        <f aca="false">IF(INDEX(Pengaturan!$B$8:$B$27,M$4)="",0,COUNTIF(Data!$B279:$U279,INDEX(Pengaturan!$B$8:$B$27,M$4)))</f>
        <v>0</v>
      </c>
      <c r="N279" s="26" t="n">
        <f aca="false">IF(INDEX(Pengaturan!$B$8:$B$27,N$4)="",0,COUNTIF(Data!$B279:$U279,INDEX(Pengaturan!$B$8:$B$27,N$4)))</f>
        <v>0</v>
      </c>
      <c r="O279" s="26" t="n">
        <f aca="false">IF(INDEX(Pengaturan!$B$8:$B$27,O$4)="",0,COUNTIF(Data!$B279:$U279,INDEX(Pengaturan!$B$8:$B$27,O$4)))</f>
        <v>0</v>
      </c>
      <c r="P279" s="26" t="n">
        <f aca="false">IF(INDEX(Pengaturan!$B$8:$B$27,P$4)="",0,COUNTIF(Data!$B279:$U279,INDEX(Pengaturan!$B$8:$B$27,P$4)))</f>
        <v>0</v>
      </c>
      <c r="Q279" s="26" t="n">
        <f aca="false">IF(INDEX(Pengaturan!$B$8:$B$27,Q$4)="",0,COUNTIF(Data!$B279:$U279,INDEX(Pengaturan!$B$8:$B$27,Q$4)))</f>
        <v>0</v>
      </c>
      <c r="R279" s="26" t="n">
        <f aca="false">IF(INDEX(Pengaturan!$B$8:$B$27,R$4)="",0,COUNTIF(Data!$B279:$U279,INDEX(Pengaturan!$B$8:$B$27,R$4)))</f>
        <v>0</v>
      </c>
      <c r="S279" s="26" t="n">
        <f aca="false">IF(INDEX(Pengaturan!$B$8:$B$27,S$4)="",0,COUNTIF(Data!$B279:$U279,INDEX(Pengaturan!$B$8:$B$27,S$4)))</f>
        <v>0</v>
      </c>
      <c r="T279" s="26" t="n">
        <f aca="false">IF(INDEX(Pengaturan!$B$8:$B$27,T$4)="",0,COUNTIF(Data!$B279:$U279,INDEX(Pengaturan!$B$8:$B$27,T$4)))</f>
        <v>0</v>
      </c>
      <c r="U279" s="26" t="n">
        <f aca="false">IF(INDEX(Pengaturan!$B$8:$B$27,U$4)="",0,COUNTIF(Data!$B279:$U279,INDEX(Pengaturan!$B$8:$B$27,U$4)))</f>
        <v>0</v>
      </c>
      <c r="V279" s="26" t="n">
        <f aca="false">COUNTA(Data!$B279:$U279)</f>
        <v>0</v>
      </c>
      <c r="W279" s="27" t="str">
        <f aca="false">IF(V279=0,"",IF(V279&lt;&gt;Hasil!$C$4,"Data kosong/tidak lengkap",IF(SUM(B279:U279)&lt;&gt;V279,"Kategori tidak dikenal","OK")))</f>
        <v/>
      </c>
      <c r="X279" s="26" t="n">
        <f aca="false">IF(OR(W279="",W279="OK"),0,1)</f>
        <v>0</v>
      </c>
    </row>
    <row r="280" customFormat="false" ht="15" hidden="false" customHeight="false" outlineLevel="0" collapsed="false">
      <c r="A280" s="26" t="n">
        <f aca="false">Data!A280</f>
        <v>275</v>
      </c>
      <c r="B280" s="26" t="n">
        <f aca="false">IF(INDEX(Pengaturan!$B$8:$B$27,B$4)="",0,COUNTIF(Data!$B280:$U280,INDEX(Pengaturan!$B$8:$B$27,B$4)))</f>
        <v>0</v>
      </c>
      <c r="C280" s="26" t="n">
        <f aca="false">IF(INDEX(Pengaturan!$B$8:$B$27,C$4)="",0,COUNTIF(Data!$B280:$U280,INDEX(Pengaturan!$B$8:$B$27,C$4)))</f>
        <v>0</v>
      </c>
      <c r="D280" s="26" t="n">
        <f aca="false">IF(INDEX(Pengaturan!$B$8:$B$27,D$4)="",0,COUNTIF(Data!$B280:$U280,INDEX(Pengaturan!$B$8:$B$27,D$4)))</f>
        <v>0</v>
      </c>
      <c r="E280" s="26" t="n">
        <f aca="false">IF(INDEX(Pengaturan!$B$8:$B$27,E$4)="",0,COUNTIF(Data!$B280:$U280,INDEX(Pengaturan!$B$8:$B$27,E$4)))</f>
        <v>0</v>
      </c>
      <c r="F280" s="26" t="n">
        <f aca="false">IF(INDEX(Pengaturan!$B$8:$B$27,F$4)="",0,COUNTIF(Data!$B280:$U280,INDEX(Pengaturan!$B$8:$B$27,F$4)))</f>
        <v>0</v>
      </c>
      <c r="G280" s="26" t="n">
        <f aca="false">IF(INDEX(Pengaturan!$B$8:$B$27,G$4)="",0,COUNTIF(Data!$B280:$U280,INDEX(Pengaturan!$B$8:$B$27,G$4)))</f>
        <v>0</v>
      </c>
      <c r="H280" s="26" t="n">
        <f aca="false">IF(INDEX(Pengaturan!$B$8:$B$27,H$4)="",0,COUNTIF(Data!$B280:$U280,INDEX(Pengaturan!$B$8:$B$27,H$4)))</f>
        <v>0</v>
      </c>
      <c r="I280" s="26" t="n">
        <f aca="false">IF(INDEX(Pengaturan!$B$8:$B$27,I$4)="",0,COUNTIF(Data!$B280:$U280,INDEX(Pengaturan!$B$8:$B$27,I$4)))</f>
        <v>0</v>
      </c>
      <c r="J280" s="26" t="n">
        <f aca="false">IF(INDEX(Pengaturan!$B$8:$B$27,J$4)="",0,COUNTIF(Data!$B280:$U280,INDEX(Pengaturan!$B$8:$B$27,J$4)))</f>
        <v>0</v>
      </c>
      <c r="K280" s="26" t="n">
        <f aca="false">IF(INDEX(Pengaturan!$B$8:$B$27,K$4)="",0,COUNTIF(Data!$B280:$U280,INDEX(Pengaturan!$B$8:$B$27,K$4)))</f>
        <v>0</v>
      </c>
      <c r="L280" s="26" t="n">
        <f aca="false">IF(INDEX(Pengaturan!$B$8:$B$27,L$4)="",0,COUNTIF(Data!$B280:$U280,INDEX(Pengaturan!$B$8:$B$27,L$4)))</f>
        <v>0</v>
      </c>
      <c r="M280" s="26" t="n">
        <f aca="false">IF(INDEX(Pengaturan!$B$8:$B$27,M$4)="",0,COUNTIF(Data!$B280:$U280,INDEX(Pengaturan!$B$8:$B$27,M$4)))</f>
        <v>0</v>
      </c>
      <c r="N280" s="26" t="n">
        <f aca="false">IF(INDEX(Pengaturan!$B$8:$B$27,N$4)="",0,COUNTIF(Data!$B280:$U280,INDEX(Pengaturan!$B$8:$B$27,N$4)))</f>
        <v>0</v>
      </c>
      <c r="O280" s="26" t="n">
        <f aca="false">IF(INDEX(Pengaturan!$B$8:$B$27,O$4)="",0,COUNTIF(Data!$B280:$U280,INDEX(Pengaturan!$B$8:$B$27,O$4)))</f>
        <v>0</v>
      </c>
      <c r="P280" s="26" t="n">
        <f aca="false">IF(INDEX(Pengaturan!$B$8:$B$27,P$4)="",0,COUNTIF(Data!$B280:$U280,INDEX(Pengaturan!$B$8:$B$27,P$4)))</f>
        <v>0</v>
      </c>
      <c r="Q280" s="26" t="n">
        <f aca="false">IF(INDEX(Pengaturan!$B$8:$B$27,Q$4)="",0,COUNTIF(Data!$B280:$U280,INDEX(Pengaturan!$B$8:$B$27,Q$4)))</f>
        <v>0</v>
      </c>
      <c r="R280" s="26" t="n">
        <f aca="false">IF(INDEX(Pengaturan!$B$8:$B$27,R$4)="",0,COUNTIF(Data!$B280:$U280,INDEX(Pengaturan!$B$8:$B$27,R$4)))</f>
        <v>0</v>
      </c>
      <c r="S280" s="26" t="n">
        <f aca="false">IF(INDEX(Pengaturan!$B$8:$B$27,S$4)="",0,COUNTIF(Data!$B280:$U280,INDEX(Pengaturan!$B$8:$B$27,S$4)))</f>
        <v>0</v>
      </c>
      <c r="T280" s="26" t="n">
        <f aca="false">IF(INDEX(Pengaturan!$B$8:$B$27,T$4)="",0,COUNTIF(Data!$B280:$U280,INDEX(Pengaturan!$B$8:$B$27,T$4)))</f>
        <v>0</v>
      </c>
      <c r="U280" s="26" t="n">
        <f aca="false">IF(INDEX(Pengaturan!$B$8:$B$27,U$4)="",0,COUNTIF(Data!$B280:$U280,INDEX(Pengaturan!$B$8:$B$27,U$4)))</f>
        <v>0</v>
      </c>
      <c r="V280" s="26" t="n">
        <f aca="false">COUNTA(Data!$B280:$U280)</f>
        <v>0</v>
      </c>
      <c r="W280" s="27" t="str">
        <f aca="false">IF(V280=0,"",IF(V280&lt;&gt;Hasil!$C$4,"Data kosong/tidak lengkap",IF(SUM(B280:U280)&lt;&gt;V280,"Kategori tidak dikenal","OK")))</f>
        <v/>
      </c>
      <c r="X280" s="26" t="n">
        <f aca="false">IF(OR(W280="",W280="OK"),0,1)</f>
        <v>0</v>
      </c>
    </row>
    <row r="281" customFormat="false" ht="15" hidden="false" customHeight="false" outlineLevel="0" collapsed="false">
      <c r="A281" s="26" t="n">
        <f aca="false">Data!A281</f>
        <v>276</v>
      </c>
      <c r="B281" s="26" t="n">
        <f aca="false">IF(INDEX(Pengaturan!$B$8:$B$27,B$4)="",0,COUNTIF(Data!$B281:$U281,INDEX(Pengaturan!$B$8:$B$27,B$4)))</f>
        <v>0</v>
      </c>
      <c r="C281" s="26" t="n">
        <f aca="false">IF(INDEX(Pengaturan!$B$8:$B$27,C$4)="",0,COUNTIF(Data!$B281:$U281,INDEX(Pengaturan!$B$8:$B$27,C$4)))</f>
        <v>0</v>
      </c>
      <c r="D281" s="26" t="n">
        <f aca="false">IF(INDEX(Pengaturan!$B$8:$B$27,D$4)="",0,COUNTIF(Data!$B281:$U281,INDEX(Pengaturan!$B$8:$B$27,D$4)))</f>
        <v>0</v>
      </c>
      <c r="E281" s="26" t="n">
        <f aca="false">IF(INDEX(Pengaturan!$B$8:$B$27,E$4)="",0,COUNTIF(Data!$B281:$U281,INDEX(Pengaturan!$B$8:$B$27,E$4)))</f>
        <v>0</v>
      </c>
      <c r="F281" s="26" t="n">
        <f aca="false">IF(INDEX(Pengaturan!$B$8:$B$27,F$4)="",0,COUNTIF(Data!$B281:$U281,INDEX(Pengaturan!$B$8:$B$27,F$4)))</f>
        <v>0</v>
      </c>
      <c r="G281" s="26" t="n">
        <f aca="false">IF(INDEX(Pengaturan!$B$8:$B$27,G$4)="",0,COUNTIF(Data!$B281:$U281,INDEX(Pengaturan!$B$8:$B$27,G$4)))</f>
        <v>0</v>
      </c>
      <c r="H281" s="26" t="n">
        <f aca="false">IF(INDEX(Pengaturan!$B$8:$B$27,H$4)="",0,COUNTIF(Data!$B281:$U281,INDEX(Pengaturan!$B$8:$B$27,H$4)))</f>
        <v>0</v>
      </c>
      <c r="I281" s="26" t="n">
        <f aca="false">IF(INDEX(Pengaturan!$B$8:$B$27,I$4)="",0,COUNTIF(Data!$B281:$U281,INDEX(Pengaturan!$B$8:$B$27,I$4)))</f>
        <v>0</v>
      </c>
      <c r="J281" s="26" t="n">
        <f aca="false">IF(INDEX(Pengaturan!$B$8:$B$27,J$4)="",0,COUNTIF(Data!$B281:$U281,INDEX(Pengaturan!$B$8:$B$27,J$4)))</f>
        <v>0</v>
      </c>
      <c r="K281" s="26" t="n">
        <f aca="false">IF(INDEX(Pengaturan!$B$8:$B$27,K$4)="",0,COUNTIF(Data!$B281:$U281,INDEX(Pengaturan!$B$8:$B$27,K$4)))</f>
        <v>0</v>
      </c>
      <c r="L281" s="26" t="n">
        <f aca="false">IF(INDEX(Pengaturan!$B$8:$B$27,L$4)="",0,COUNTIF(Data!$B281:$U281,INDEX(Pengaturan!$B$8:$B$27,L$4)))</f>
        <v>0</v>
      </c>
      <c r="M281" s="26" t="n">
        <f aca="false">IF(INDEX(Pengaturan!$B$8:$B$27,M$4)="",0,COUNTIF(Data!$B281:$U281,INDEX(Pengaturan!$B$8:$B$27,M$4)))</f>
        <v>0</v>
      </c>
      <c r="N281" s="26" t="n">
        <f aca="false">IF(INDEX(Pengaturan!$B$8:$B$27,N$4)="",0,COUNTIF(Data!$B281:$U281,INDEX(Pengaturan!$B$8:$B$27,N$4)))</f>
        <v>0</v>
      </c>
      <c r="O281" s="26" t="n">
        <f aca="false">IF(INDEX(Pengaturan!$B$8:$B$27,O$4)="",0,COUNTIF(Data!$B281:$U281,INDEX(Pengaturan!$B$8:$B$27,O$4)))</f>
        <v>0</v>
      </c>
      <c r="P281" s="26" t="n">
        <f aca="false">IF(INDEX(Pengaturan!$B$8:$B$27,P$4)="",0,COUNTIF(Data!$B281:$U281,INDEX(Pengaturan!$B$8:$B$27,P$4)))</f>
        <v>0</v>
      </c>
      <c r="Q281" s="26" t="n">
        <f aca="false">IF(INDEX(Pengaturan!$B$8:$B$27,Q$4)="",0,COUNTIF(Data!$B281:$U281,INDEX(Pengaturan!$B$8:$B$27,Q$4)))</f>
        <v>0</v>
      </c>
      <c r="R281" s="26" t="n">
        <f aca="false">IF(INDEX(Pengaturan!$B$8:$B$27,R$4)="",0,COUNTIF(Data!$B281:$U281,INDEX(Pengaturan!$B$8:$B$27,R$4)))</f>
        <v>0</v>
      </c>
      <c r="S281" s="26" t="n">
        <f aca="false">IF(INDEX(Pengaturan!$B$8:$B$27,S$4)="",0,COUNTIF(Data!$B281:$U281,INDEX(Pengaturan!$B$8:$B$27,S$4)))</f>
        <v>0</v>
      </c>
      <c r="T281" s="26" t="n">
        <f aca="false">IF(INDEX(Pengaturan!$B$8:$B$27,T$4)="",0,COUNTIF(Data!$B281:$U281,INDEX(Pengaturan!$B$8:$B$27,T$4)))</f>
        <v>0</v>
      </c>
      <c r="U281" s="26" t="n">
        <f aca="false">IF(INDEX(Pengaturan!$B$8:$B$27,U$4)="",0,COUNTIF(Data!$B281:$U281,INDEX(Pengaturan!$B$8:$B$27,U$4)))</f>
        <v>0</v>
      </c>
      <c r="V281" s="26" t="n">
        <f aca="false">COUNTA(Data!$B281:$U281)</f>
        <v>0</v>
      </c>
      <c r="W281" s="27" t="str">
        <f aca="false">IF(V281=0,"",IF(V281&lt;&gt;Hasil!$C$4,"Data kosong/tidak lengkap",IF(SUM(B281:U281)&lt;&gt;V281,"Kategori tidak dikenal","OK")))</f>
        <v/>
      </c>
      <c r="X281" s="26" t="n">
        <f aca="false">IF(OR(W281="",W281="OK"),0,1)</f>
        <v>0</v>
      </c>
    </row>
    <row r="282" customFormat="false" ht="15" hidden="false" customHeight="false" outlineLevel="0" collapsed="false">
      <c r="A282" s="26" t="n">
        <f aca="false">Data!A282</f>
        <v>277</v>
      </c>
      <c r="B282" s="26" t="n">
        <f aca="false">IF(INDEX(Pengaturan!$B$8:$B$27,B$4)="",0,COUNTIF(Data!$B282:$U282,INDEX(Pengaturan!$B$8:$B$27,B$4)))</f>
        <v>0</v>
      </c>
      <c r="C282" s="26" t="n">
        <f aca="false">IF(INDEX(Pengaturan!$B$8:$B$27,C$4)="",0,COUNTIF(Data!$B282:$U282,INDEX(Pengaturan!$B$8:$B$27,C$4)))</f>
        <v>0</v>
      </c>
      <c r="D282" s="26" t="n">
        <f aca="false">IF(INDEX(Pengaturan!$B$8:$B$27,D$4)="",0,COUNTIF(Data!$B282:$U282,INDEX(Pengaturan!$B$8:$B$27,D$4)))</f>
        <v>0</v>
      </c>
      <c r="E282" s="26" t="n">
        <f aca="false">IF(INDEX(Pengaturan!$B$8:$B$27,E$4)="",0,COUNTIF(Data!$B282:$U282,INDEX(Pengaturan!$B$8:$B$27,E$4)))</f>
        <v>0</v>
      </c>
      <c r="F282" s="26" t="n">
        <f aca="false">IF(INDEX(Pengaturan!$B$8:$B$27,F$4)="",0,COUNTIF(Data!$B282:$U282,INDEX(Pengaturan!$B$8:$B$27,F$4)))</f>
        <v>0</v>
      </c>
      <c r="G282" s="26" t="n">
        <f aca="false">IF(INDEX(Pengaturan!$B$8:$B$27,G$4)="",0,COUNTIF(Data!$B282:$U282,INDEX(Pengaturan!$B$8:$B$27,G$4)))</f>
        <v>0</v>
      </c>
      <c r="H282" s="26" t="n">
        <f aca="false">IF(INDEX(Pengaturan!$B$8:$B$27,H$4)="",0,COUNTIF(Data!$B282:$U282,INDEX(Pengaturan!$B$8:$B$27,H$4)))</f>
        <v>0</v>
      </c>
      <c r="I282" s="26" t="n">
        <f aca="false">IF(INDEX(Pengaturan!$B$8:$B$27,I$4)="",0,COUNTIF(Data!$B282:$U282,INDEX(Pengaturan!$B$8:$B$27,I$4)))</f>
        <v>0</v>
      </c>
      <c r="J282" s="26" t="n">
        <f aca="false">IF(INDEX(Pengaturan!$B$8:$B$27,J$4)="",0,COUNTIF(Data!$B282:$U282,INDEX(Pengaturan!$B$8:$B$27,J$4)))</f>
        <v>0</v>
      </c>
      <c r="K282" s="26" t="n">
        <f aca="false">IF(INDEX(Pengaturan!$B$8:$B$27,K$4)="",0,COUNTIF(Data!$B282:$U282,INDEX(Pengaturan!$B$8:$B$27,K$4)))</f>
        <v>0</v>
      </c>
      <c r="L282" s="26" t="n">
        <f aca="false">IF(INDEX(Pengaturan!$B$8:$B$27,L$4)="",0,COUNTIF(Data!$B282:$U282,INDEX(Pengaturan!$B$8:$B$27,L$4)))</f>
        <v>0</v>
      </c>
      <c r="M282" s="26" t="n">
        <f aca="false">IF(INDEX(Pengaturan!$B$8:$B$27,M$4)="",0,COUNTIF(Data!$B282:$U282,INDEX(Pengaturan!$B$8:$B$27,M$4)))</f>
        <v>0</v>
      </c>
      <c r="N282" s="26" t="n">
        <f aca="false">IF(INDEX(Pengaturan!$B$8:$B$27,N$4)="",0,COUNTIF(Data!$B282:$U282,INDEX(Pengaturan!$B$8:$B$27,N$4)))</f>
        <v>0</v>
      </c>
      <c r="O282" s="26" t="n">
        <f aca="false">IF(INDEX(Pengaturan!$B$8:$B$27,O$4)="",0,COUNTIF(Data!$B282:$U282,INDEX(Pengaturan!$B$8:$B$27,O$4)))</f>
        <v>0</v>
      </c>
      <c r="P282" s="26" t="n">
        <f aca="false">IF(INDEX(Pengaturan!$B$8:$B$27,P$4)="",0,COUNTIF(Data!$B282:$U282,INDEX(Pengaturan!$B$8:$B$27,P$4)))</f>
        <v>0</v>
      </c>
      <c r="Q282" s="26" t="n">
        <f aca="false">IF(INDEX(Pengaturan!$B$8:$B$27,Q$4)="",0,COUNTIF(Data!$B282:$U282,INDEX(Pengaturan!$B$8:$B$27,Q$4)))</f>
        <v>0</v>
      </c>
      <c r="R282" s="26" t="n">
        <f aca="false">IF(INDEX(Pengaturan!$B$8:$B$27,R$4)="",0,COUNTIF(Data!$B282:$U282,INDEX(Pengaturan!$B$8:$B$27,R$4)))</f>
        <v>0</v>
      </c>
      <c r="S282" s="26" t="n">
        <f aca="false">IF(INDEX(Pengaturan!$B$8:$B$27,S$4)="",0,COUNTIF(Data!$B282:$U282,INDEX(Pengaturan!$B$8:$B$27,S$4)))</f>
        <v>0</v>
      </c>
      <c r="T282" s="26" t="n">
        <f aca="false">IF(INDEX(Pengaturan!$B$8:$B$27,T$4)="",0,COUNTIF(Data!$B282:$U282,INDEX(Pengaturan!$B$8:$B$27,T$4)))</f>
        <v>0</v>
      </c>
      <c r="U282" s="26" t="n">
        <f aca="false">IF(INDEX(Pengaturan!$B$8:$B$27,U$4)="",0,COUNTIF(Data!$B282:$U282,INDEX(Pengaturan!$B$8:$B$27,U$4)))</f>
        <v>0</v>
      </c>
      <c r="V282" s="26" t="n">
        <f aca="false">COUNTA(Data!$B282:$U282)</f>
        <v>0</v>
      </c>
      <c r="W282" s="27" t="str">
        <f aca="false">IF(V282=0,"",IF(V282&lt;&gt;Hasil!$C$4,"Data kosong/tidak lengkap",IF(SUM(B282:U282)&lt;&gt;V282,"Kategori tidak dikenal","OK")))</f>
        <v/>
      </c>
      <c r="X282" s="26" t="n">
        <f aca="false">IF(OR(W282="",W282="OK"),0,1)</f>
        <v>0</v>
      </c>
    </row>
    <row r="283" customFormat="false" ht="15" hidden="false" customHeight="false" outlineLevel="0" collapsed="false">
      <c r="A283" s="26" t="n">
        <f aca="false">Data!A283</f>
        <v>278</v>
      </c>
      <c r="B283" s="26" t="n">
        <f aca="false">IF(INDEX(Pengaturan!$B$8:$B$27,B$4)="",0,COUNTIF(Data!$B283:$U283,INDEX(Pengaturan!$B$8:$B$27,B$4)))</f>
        <v>0</v>
      </c>
      <c r="C283" s="26" t="n">
        <f aca="false">IF(INDEX(Pengaturan!$B$8:$B$27,C$4)="",0,COUNTIF(Data!$B283:$U283,INDEX(Pengaturan!$B$8:$B$27,C$4)))</f>
        <v>0</v>
      </c>
      <c r="D283" s="26" t="n">
        <f aca="false">IF(INDEX(Pengaturan!$B$8:$B$27,D$4)="",0,COUNTIF(Data!$B283:$U283,INDEX(Pengaturan!$B$8:$B$27,D$4)))</f>
        <v>0</v>
      </c>
      <c r="E283" s="26" t="n">
        <f aca="false">IF(INDEX(Pengaturan!$B$8:$B$27,E$4)="",0,COUNTIF(Data!$B283:$U283,INDEX(Pengaturan!$B$8:$B$27,E$4)))</f>
        <v>0</v>
      </c>
      <c r="F283" s="26" t="n">
        <f aca="false">IF(INDEX(Pengaturan!$B$8:$B$27,F$4)="",0,COUNTIF(Data!$B283:$U283,INDEX(Pengaturan!$B$8:$B$27,F$4)))</f>
        <v>0</v>
      </c>
      <c r="G283" s="26" t="n">
        <f aca="false">IF(INDEX(Pengaturan!$B$8:$B$27,G$4)="",0,COUNTIF(Data!$B283:$U283,INDEX(Pengaturan!$B$8:$B$27,G$4)))</f>
        <v>0</v>
      </c>
      <c r="H283" s="26" t="n">
        <f aca="false">IF(INDEX(Pengaturan!$B$8:$B$27,H$4)="",0,COUNTIF(Data!$B283:$U283,INDEX(Pengaturan!$B$8:$B$27,H$4)))</f>
        <v>0</v>
      </c>
      <c r="I283" s="26" t="n">
        <f aca="false">IF(INDEX(Pengaturan!$B$8:$B$27,I$4)="",0,COUNTIF(Data!$B283:$U283,INDEX(Pengaturan!$B$8:$B$27,I$4)))</f>
        <v>0</v>
      </c>
      <c r="J283" s="26" t="n">
        <f aca="false">IF(INDEX(Pengaturan!$B$8:$B$27,J$4)="",0,COUNTIF(Data!$B283:$U283,INDEX(Pengaturan!$B$8:$B$27,J$4)))</f>
        <v>0</v>
      </c>
      <c r="K283" s="26" t="n">
        <f aca="false">IF(INDEX(Pengaturan!$B$8:$B$27,K$4)="",0,COUNTIF(Data!$B283:$U283,INDEX(Pengaturan!$B$8:$B$27,K$4)))</f>
        <v>0</v>
      </c>
      <c r="L283" s="26" t="n">
        <f aca="false">IF(INDEX(Pengaturan!$B$8:$B$27,L$4)="",0,COUNTIF(Data!$B283:$U283,INDEX(Pengaturan!$B$8:$B$27,L$4)))</f>
        <v>0</v>
      </c>
      <c r="M283" s="26" t="n">
        <f aca="false">IF(INDEX(Pengaturan!$B$8:$B$27,M$4)="",0,COUNTIF(Data!$B283:$U283,INDEX(Pengaturan!$B$8:$B$27,M$4)))</f>
        <v>0</v>
      </c>
      <c r="N283" s="26" t="n">
        <f aca="false">IF(INDEX(Pengaturan!$B$8:$B$27,N$4)="",0,COUNTIF(Data!$B283:$U283,INDEX(Pengaturan!$B$8:$B$27,N$4)))</f>
        <v>0</v>
      </c>
      <c r="O283" s="26" t="n">
        <f aca="false">IF(INDEX(Pengaturan!$B$8:$B$27,O$4)="",0,COUNTIF(Data!$B283:$U283,INDEX(Pengaturan!$B$8:$B$27,O$4)))</f>
        <v>0</v>
      </c>
      <c r="P283" s="26" t="n">
        <f aca="false">IF(INDEX(Pengaturan!$B$8:$B$27,P$4)="",0,COUNTIF(Data!$B283:$U283,INDEX(Pengaturan!$B$8:$B$27,P$4)))</f>
        <v>0</v>
      </c>
      <c r="Q283" s="26" t="n">
        <f aca="false">IF(INDEX(Pengaturan!$B$8:$B$27,Q$4)="",0,COUNTIF(Data!$B283:$U283,INDEX(Pengaturan!$B$8:$B$27,Q$4)))</f>
        <v>0</v>
      </c>
      <c r="R283" s="26" t="n">
        <f aca="false">IF(INDEX(Pengaturan!$B$8:$B$27,R$4)="",0,COUNTIF(Data!$B283:$U283,INDEX(Pengaturan!$B$8:$B$27,R$4)))</f>
        <v>0</v>
      </c>
      <c r="S283" s="26" t="n">
        <f aca="false">IF(INDEX(Pengaturan!$B$8:$B$27,S$4)="",0,COUNTIF(Data!$B283:$U283,INDEX(Pengaturan!$B$8:$B$27,S$4)))</f>
        <v>0</v>
      </c>
      <c r="T283" s="26" t="n">
        <f aca="false">IF(INDEX(Pengaturan!$B$8:$B$27,T$4)="",0,COUNTIF(Data!$B283:$U283,INDEX(Pengaturan!$B$8:$B$27,T$4)))</f>
        <v>0</v>
      </c>
      <c r="U283" s="26" t="n">
        <f aca="false">IF(INDEX(Pengaturan!$B$8:$B$27,U$4)="",0,COUNTIF(Data!$B283:$U283,INDEX(Pengaturan!$B$8:$B$27,U$4)))</f>
        <v>0</v>
      </c>
      <c r="V283" s="26" t="n">
        <f aca="false">COUNTA(Data!$B283:$U283)</f>
        <v>0</v>
      </c>
      <c r="W283" s="27" t="str">
        <f aca="false">IF(V283=0,"",IF(V283&lt;&gt;Hasil!$C$4,"Data kosong/tidak lengkap",IF(SUM(B283:U283)&lt;&gt;V283,"Kategori tidak dikenal","OK")))</f>
        <v/>
      </c>
      <c r="X283" s="26" t="n">
        <f aca="false">IF(OR(W283="",W283="OK"),0,1)</f>
        <v>0</v>
      </c>
    </row>
    <row r="284" customFormat="false" ht="15" hidden="false" customHeight="false" outlineLevel="0" collapsed="false">
      <c r="A284" s="26" t="n">
        <f aca="false">Data!A284</f>
        <v>279</v>
      </c>
      <c r="B284" s="26" t="n">
        <f aca="false">IF(INDEX(Pengaturan!$B$8:$B$27,B$4)="",0,COUNTIF(Data!$B284:$U284,INDEX(Pengaturan!$B$8:$B$27,B$4)))</f>
        <v>0</v>
      </c>
      <c r="C284" s="26" t="n">
        <f aca="false">IF(INDEX(Pengaturan!$B$8:$B$27,C$4)="",0,COUNTIF(Data!$B284:$U284,INDEX(Pengaturan!$B$8:$B$27,C$4)))</f>
        <v>0</v>
      </c>
      <c r="D284" s="26" t="n">
        <f aca="false">IF(INDEX(Pengaturan!$B$8:$B$27,D$4)="",0,COUNTIF(Data!$B284:$U284,INDEX(Pengaturan!$B$8:$B$27,D$4)))</f>
        <v>0</v>
      </c>
      <c r="E284" s="26" t="n">
        <f aca="false">IF(INDEX(Pengaturan!$B$8:$B$27,E$4)="",0,COUNTIF(Data!$B284:$U284,INDEX(Pengaturan!$B$8:$B$27,E$4)))</f>
        <v>0</v>
      </c>
      <c r="F284" s="26" t="n">
        <f aca="false">IF(INDEX(Pengaturan!$B$8:$B$27,F$4)="",0,COUNTIF(Data!$B284:$U284,INDEX(Pengaturan!$B$8:$B$27,F$4)))</f>
        <v>0</v>
      </c>
      <c r="G284" s="26" t="n">
        <f aca="false">IF(INDEX(Pengaturan!$B$8:$B$27,G$4)="",0,COUNTIF(Data!$B284:$U284,INDEX(Pengaturan!$B$8:$B$27,G$4)))</f>
        <v>0</v>
      </c>
      <c r="H284" s="26" t="n">
        <f aca="false">IF(INDEX(Pengaturan!$B$8:$B$27,H$4)="",0,COUNTIF(Data!$B284:$U284,INDEX(Pengaturan!$B$8:$B$27,H$4)))</f>
        <v>0</v>
      </c>
      <c r="I284" s="26" t="n">
        <f aca="false">IF(INDEX(Pengaturan!$B$8:$B$27,I$4)="",0,COUNTIF(Data!$B284:$U284,INDEX(Pengaturan!$B$8:$B$27,I$4)))</f>
        <v>0</v>
      </c>
      <c r="J284" s="26" t="n">
        <f aca="false">IF(INDEX(Pengaturan!$B$8:$B$27,J$4)="",0,COUNTIF(Data!$B284:$U284,INDEX(Pengaturan!$B$8:$B$27,J$4)))</f>
        <v>0</v>
      </c>
      <c r="K284" s="26" t="n">
        <f aca="false">IF(INDEX(Pengaturan!$B$8:$B$27,K$4)="",0,COUNTIF(Data!$B284:$U284,INDEX(Pengaturan!$B$8:$B$27,K$4)))</f>
        <v>0</v>
      </c>
      <c r="L284" s="26" t="n">
        <f aca="false">IF(INDEX(Pengaturan!$B$8:$B$27,L$4)="",0,COUNTIF(Data!$B284:$U284,INDEX(Pengaturan!$B$8:$B$27,L$4)))</f>
        <v>0</v>
      </c>
      <c r="M284" s="26" t="n">
        <f aca="false">IF(INDEX(Pengaturan!$B$8:$B$27,M$4)="",0,COUNTIF(Data!$B284:$U284,INDEX(Pengaturan!$B$8:$B$27,M$4)))</f>
        <v>0</v>
      </c>
      <c r="N284" s="26" t="n">
        <f aca="false">IF(INDEX(Pengaturan!$B$8:$B$27,N$4)="",0,COUNTIF(Data!$B284:$U284,INDEX(Pengaturan!$B$8:$B$27,N$4)))</f>
        <v>0</v>
      </c>
      <c r="O284" s="26" t="n">
        <f aca="false">IF(INDEX(Pengaturan!$B$8:$B$27,O$4)="",0,COUNTIF(Data!$B284:$U284,INDEX(Pengaturan!$B$8:$B$27,O$4)))</f>
        <v>0</v>
      </c>
      <c r="P284" s="26" t="n">
        <f aca="false">IF(INDEX(Pengaturan!$B$8:$B$27,P$4)="",0,COUNTIF(Data!$B284:$U284,INDEX(Pengaturan!$B$8:$B$27,P$4)))</f>
        <v>0</v>
      </c>
      <c r="Q284" s="26" t="n">
        <f aca="false">IF(INDEX(Pengaturan!$B$8:$B$27,Q$4)="",0,COUNTIF(Data!$B284:$U284,INDEX(Pengaturan!$B$8:$B$27,Q$4)))</f>
        <v>0</v>
      </c>
      <c r="R284" s="26" t="n">
        <f aca="false">IF(INDEX(Pengaturan!$B$8:$B$27,R$4)="",0,COUNTIF(Data!$B284:$U284,INDEX(Pengaturan!$B$8:$B$27,R$4)))</f>
        <v>0</v>
      </c>
      <c r="S284" s="26" t="n">
        <f aca="false">IF(INDEX(Pengaturan!$B$8:$B$27,S$4)="",0,COUNTIF(Data!$B284:$U284,INDEX(Pengaturan!$B$8:$B$27,S$4)))</f>
        <v>0</v>
      </c>
      <c r="T284" s="26" t="n">
        <f aca="false">IF(INDEX(Pengaturan!$B$8:$B$27,T$4)="",0,COUNTIF(Data!$B284:$U284,INDEX(Pengaturan!$B$8:$B$27,T$4)))</f>
        <v>0</v>
      </c>
      <c r="U284" s="26" t="n">
        <f aca="false">IF(INDEX(Pengaturan!$B$8:$B$27,U$4)="",0,COUNTIF(Data!$B284:$U284,INDEX(Pengaturan!$B$8:$B$27,U$4)))</f>
        <v>0</v>
      </c>
      <c r="V284" s="26" t="n">
        <f aca="false">COUNTA(Data!$B284:$U284)</f>
        <v>0</v>
      </c>
      <c r="W284" s="27" t="str">
        <f aca="false">IF(V284=0,"",IF(V284&lt;&gt;Hasil!$C$4,"Data kosong/tidak lengkap",IF(SUM(B284:U284)&lt;&gt;V284,"Kategori tidak dikenal","OK")))</f>
        <v/>
      </c>
      <c r="X284" s="26" t="n">
        <f aca="false">IF(OR(W284="",W284="OK"),0,1)</f>
        <v>0</v>
      </c>
    </row>
    <row r="285" customFormat="false" ht="15" hidden="false" customHeight="false" outlineLevel="0" collapsed="false">
      <c r="A285" s="26" t="n">
        <f aca="false">Data!A285</f>
        <v>280</v>
      </c>
      <c r="B285" s="26" t="n">
        <f aca="false">IF(INDEX(Pengaturan!$B$8:$B$27,B$4)="",0,COUNTIF(Data!$B285:$U285,INDEX(Pengaturan!$B$8:$B$27,B$4)))</f>
        <v>0</v>
      </c>
      <c r="C285" s="26" t="n">
        <f aca="false">IF(INDEX(Pengaturan!$B$8:$B$27,C$4)="",0,COUNTIF(Data!$B285:$U285,INDEX(Pengaturan!$B$8:$B$27,C$4)))</f>
        <v>0</v>
      </c>
      <c r="D285" s="26" t="n">
        <f aca="false">IF(INDEX(Pengaturan!$B$8:$B$27,D$4)="",0,COUNTIF(Data!$B285:$U285,INDEX(Pengaturan!$B$8:$B$27,D$4)))</f>
        <v>0</v>
      </c>
      <c r="E285" s="26" t="n">
        <f aca="false">IF(INDEX(Pengaturan!$B$8:$B$27,E$4)="",0,COUNTIF(Data!$B285:$U285,INDEX(Pengaturan!$B$8:$B$27,E$4)))</f>
        <v>0</v>
      </c>
      <c r="F285" s="26" t="n">
        <f aca="false">IF(INDEX(Pengaturan!$B$8:$B$27,F$4)="",0,COUNTIF(Data!$B285:$U285,INDEX(Pengaturan!$B$8:$B$27,F$4)))</f>
        <v>0</v>
      </c>
      <c r="G285" s="26" t="n">
        <f aca="false">IF(INDEX(Pengaturan!$B$8:$B$27,G$4)="",0,COUNTIF(Data!$B285:$U285,INDEX(Pengaturan!$B$8:$B$27,G$4)))</f>
        <v>0</v>
      </c>
      <c r="H285" s="26" t="n">
        <f aca="false">IF(INDEX(Pengaturan!$B$8:$B$27,H$4)="",0,COUNTIF(Data!$B285:$U285,INDEX(Pengaturan!$B$8:$B$27,H$4)))</f>
        <v>0</v>
      </c>
      <c r="I285" s="26" t="n">
        <f aca="false">IF(INDEX(Pengaturan!$B$8:$B$27,I$4)="",0,COUNTIF(Data!$B285:$U285,INDEX(Pengaturan!$B$8:$B$27,I$4)))</f>
        <v>0</v>
      </c>
      <c r="J285" s="26" t="n">
        <f aca="false">IF(INDEX(Pengaturan!$B$8:$B$27,J$4)="",0,COUNTIF(Data!$B285:$U285,INDEX(Pengaturan!$B$8:$B$27,J$4)))</f>
        <v>0</v>
      </c>
      <c r="K285" s="26" t="n">
        <f aca="false">IF(INDEX(Pengaturan!$B$8:$B$27,K$4)="",0,COUNTIF(Data!$B285:$U285,INDEX(Pengaturan!$B$8:$B$27,K$4)))</f>
        <v>0</v>
      </c>
      <c r="L285" s="26" t="n">
        <f aca="false">IF(INDEX(Pengaturan!$B$8:$B$27,L$4)="",0,COUNTIF(Data!$B285:$U285,INDEX(Pengaturan!$B$8:$B$27,L$4)))</f>
        <v>0</v>
      </c>
      <c r="M285" s="26" t="n">
        <f aca="false">IF(INDEX(Pengaturan!$B$8:$B$27,M$4)="",0,COUNTIF(Data!$B285:$U285,INDEX(Pengaturan!$B$8:$B$27,M$4)))</f>
        <v>0</v>
      </c>
      <c r="N285" s="26" t="n">
        <f aca="false">IF(INDEX(Pengaturan!$B$8:$B$27,N$4)="",0,COUNTIF(Data!$B285:$U285,INDEX(Pengaturan!$B$8:$B$27,N$4)))</f>
        <v>0</v>
      </c>
      <c r="O285" s="26" t="n">
        <f aca="false">IF(INDEX(Pengaturan!$B$8:$B$27,O$4)="",0,COUNTIF(Data!$B285:$U285,INDEX(Pengaturan!$B$8:$B$27,O$4)))</f>
        <v>0</v>
      </c>
      <c r="P285" s="26" t="n">
        <f aca="false">IF(INDEX(Pengaturan!$B$8:$B$27,P$4)="",0,COUNTIF(Data!$B285:$U285,INDEX(Pengaturan!$B$8:$B$27,P$4)))</f>
        <v>0</v>
      </c>
      <c r="Q285" s="26" t="n">
        <f aca="false">IF(INDEX(Pengaturan!$B$8:$B$27,Q$4)="",0,COUNTIF(Data!$B285:$U285,INDEX(Pengaturan!$B$8:$B$27,Q$4)))</f>
        <v>0</v>
      </c>
      <c r="R285" s="26" t="n">
        <f aca="false">IF(INDEX(Pengaturan!$B$8:$B$27,R$4)="",0,COUNTIF(Data!$B285:$U285,INDEX(Pengaturan!$B$8:$B$27,R$4)))</f>
        <v>0</v>
      </c>
      <c r="S285" s="26" t="n">
        <f aca="false">IF(INDEX(Pengaturan!$B$8:$B$27,S$4)="",0,COUNTIF(Data!$B285:$U285,INDEX(Pengaturan!$B$8:$B$27,S$4)))</f>
        <v>0</v>
      </c>
      <c r="T285" s="26" t="n">
        <f aca="false">IF(INDEX(Pengaturan!$B$8:$B$27,T$4)="",0,COUNTIF(Data!$B285:$U285,INDEX(Pengaturan!$B$8:$B$27,T$4)))</f>
        <v>0</v>
      </c>
      <c r="U285" s="26" t="n">
        <f aca="false">IF(INDEX(Pengaturan!$B$8:$B$27,U$4)="",0,COUNTIF(Data!$B285:$U285,INDEX(Pengaturan!$B$8:$B$27,U$4)))</f>
        <v>0</v>
      </c>
      <c r="V285" s="26" t="n">
        <f aca="false">COUNTA(Data!$B285:$U285)</f>
        <v>0</v>
      </c>
      <c r="W285" s="27" t="str">
        <f aca="false">IF(V285=0,"",IF(V285&lt;&gt;Hasil!$C$4,"Data kosong/tidak lengkap",IF(SUM(B285:U285)&lt;&gt;V285,"Kategori tidak dikenal","OK")))</f>
        <v/>
      </c>
      <c r="X285" s="26" t="n">
        <f aca="false">IF(OR(W285="",W285="OK"),0,1)</f>
        <v>0</v>
      </c>
    </row>
    <row r="286" customFormat="false" ht="15" hidden="false" customHeight="false" outlineLevel="0" collapsed="false">
      <c r="A286" s="26" t="n">
        <f aca="false">Data!A286</f>
        <v>281</v>
      </c>
      <c r="B286" s="26" t="n">
        <f aca="false">IF(INDEX(Pengaturan!$B$8:$B$27,B$4)="",0,COUNTIF(Data!$B286:$U286,INDEX(Pengaturan!$B$8:$B$27,B$4)))</f>
        <v>0</v>
      </c>
      <c r="C286" s="26" t="n">
        <f aca="false">IF(INDEX(Pengaturan!$B$8:$B$27,C$4)="",0,COUNTIF(Data!$B286:$U286,INDEX(Pengaturan!$B$8:$B$27,C$4)))</f>
        <v>0</v>
      </c>
      <c r="D286" s="26" t="n">
        <f aca="false">IF(INDEX(Pengaturan!$B$8:$B$27,D$4)="",0,COUNTIF(Data!$B286:$U286,INDEX(Pengaturan!$B$8:$B$27,D$4)))</f>
        <v>0</v>
      </c>
      <c r="E286" s="26" t="n">
        <f aca="false">IF(INDEX(Pengaturan!$B$8:$B$27,E$4)="",0,COUNTIF(Data!$B286:$U286,INDEX(Pengaturan!$B$8:$B$27,E$4)))</f>
        <v>0</v>
      </c>
      <c r="F286" s="26" t="n">
        <f aca="false">IF(INDEX(Pengaturan!$B$8:$B$27,F$4)="",0,COUNTIF(Data!$B286:$U286,INDEX(Pengaturan!$B$8:$B$27,F$4)))</f>
        <v>0</v>
      </c>
      <c r="G286" s="26" t="n">
        <f aca="false">IF(INDEX(Pengaturan!$B$8:$B$27,G$4)="",0,COUNTIF(Data!$B286:$U286,INDEX(Pengaturan!$B$8:$B$27,G$4)))</f>
        <v>0</v>
      </c>
      <c r="H286" s="26" t="n">
        <f aca="false">IF(INDEX(Pengaturan!$B$8:$B$27,H$4)="",0,COUNTIF(Data!$B286:$U286,INDEX(Pengaturan!$B$8:$B$27,H$4)))</f>
        <v>0</v>
      </c>
      <c r="I286" s="26" t="n">
        <f aca="false">IF(INDEX(Pengaturan!$B$8:$B$27,I$4)="",0,COUNTIF(Data!$B286:$U286,INDEX(Pengaturan!$B$8:$B$27,I$4)))</f>
        <v>0</v>
      </c>
      <c r="J286" s="26" t="n">
        <f aca="false">IF(INDEX(Pengaturan!$B$8:$B$27,J$4)="",0,COUNTIF(Data!$B286:$U286,INDEX(Pengaturan!$B$8:$B$27,J$4)))</f>
        <v>0</v>
      </c>
      <c r="K286" s="26" t="n">
        <f aca="false">IF(INDEX(Pengaturan!$B$8:$B$27,K$4)="",0,COUNTIF(Data!$B286:$U286,INDEX(Pengaturan!$B$8:$B$27,K$4)))</f>
        <v>0</v>
      </c>
      <c r="L286" s="26" t="n">
        <f aca="false">IF(INDEX(Pengaturan!$B$8:$B$27,L$4)="",0,COUNTIF(Data!$B286:$U286,INDEX(Pengaturan!$B$8:$B$27,L$4)))</f>
        <v>0</v>
      </c>
      <c r="M286" s="26" t="n">
        <f aca="false">IF(INDEX(Pengaturan!$B$8:$B$27,M$4)="",0,COUNTIF(Data!$B286:$U286,INDEX(Pengaturan!$B$8:$B$27,M$4)))</f>
        <v>0</v>
      </c>
      <c r="N286" s="26" t="n">
        <f aca="false">IF(INDEX(Pengaturan!$B$8:$B$27,N$4)="",0,COUNTIF(Data!$B286:$U286,INDEX(Pengaturan!$B$8:$B$27,N$4)))</f>
        <v>0</v>
      </c>
      <c r="O286" s="26" t="n">
        <f aca="false">IF(INDEX(Pengaturan!$B$8:$B$27,O$4)="",0,COUNTIF(Data!$B286:$U286,INDEX(Pengaturan!$B$8:$B$27,O$4)))</f>
        <v>0</v>
      </c>
      <c r="P286" s="26" t="n">
        <f aca="false">IF(INDEX(Pengaturan!$B$8:$B$27,P$4)="",0,COUNTIF(Data!$B286:$U286,INDEX(Pengaturan!$B$8:$B$27,P$4)))</f>
        <v>0</v>
      </c>
      <c r="Q286" s="26" t="n">
        <f aca="false">IF(INDEX(Pengaturan!$B$8:$B$27,Q$4)="",0,COUNTIF(Data!$B286:$U286,INDEX(Pengaturan!$B$8:$B$27,Q$4)))</f>
        <v>0</v>
      </c>
      <c r="R286" s="26" t="n">
        <f aca="false">IF(INDEX(Pengaturan!$B$8:$B$27,R$4)="",0,COUNTIF(Data!$B286:$U286,INDEX(Pengaturan!$B$8:$B$27,R$4)))</f>
        <v>0</v>
      </c>
      <c r="S286" s="26" t="n">
        <f aca="false">IF(INDEX(Pengaturan!$B$8:$B$27,S$4)="",0,COUNTIF(Data!$B286:$U286,INDEX(Pengaturan!$B$8:$B$27,S$4)))</f>
        <v>0</v>
      </c>
      <c r="T286" s="26" t="n">
        <f aca="false">IF(INDEX(Pengaturan!$B$8:$B$27,T$4)="",0,COUNTIF(Data!$B286:$U286,INDEX(Pengaturan!$B$8:$B$27,T$4)))</f>
        <v>0</v>
      </c>
      <c r="U286" s="26" t="n">
        <f aca="false">IF(INDEX(Pengaturan!$B$8:$B$27,U$4)="",0,COUNTIF(Data!$B286:$U286,INDEX(Pengaturan!$B$8:$B$27,U$4)))</f>
        <v>0</v>
      </c>
      <c r="V286" s="26" t="n">
        <f aca="false">COUNTA(Data!$B286:$U286)</f>
        <v>0</v>
      </c>
      <c r="W286" s="27" t="str">
        <f aca="false">IF(V286=0,"",IF(V286&lt;&gt;Hasil!$C$4,"Data kosong/tidak lengkap",IF(SUM(B286:U286)&lt;&gt;V286,"Kategori tidak dikenal","OK")))</f>
        <v/>
      </c>
      <c r="X286" s="26" t="n">
        <f aca="false">IF(OR(W286="",W286="OK"),0,1)</f>
        <v>0</v>
      </c>
    </row>
    <row r="287" customFormat="false" ht="15" hidden="false" customHeight="false" outlineLevel="0" collapsed="false">
      <c r="A287" s="26" t="n">
        <f aca="false">Data!A287</f>
        <v>282</v>
      </c>
      <c r="B287" s="26" t="n">
        <f aca="false">IF(INDEX(Pengaturan!$B$8:$B$27,B$4)="",0,COUNTIF(Data!$B287:$U287,INDEX(Pengaturan!$B$8:$B$27,B$4)))</f>
        <v>0</v>
      </c>
      <c r="C287" s="26" t="n">
        <f aca="false">IF(INDEX(Pengaturan!$B$8:$B$27,C$4)="",0,COUNTIF(Data!$B287:$U287,INDEX(Pengaturan!$B$8:$B$27,C$4)))</f>
        <v>0</v>
      </c>
      <c r="D287" s="26" t="n">
        <f aca="false">IF(INDEX(Pengaturan!$B$8:$B$27,D$4)="",0,COUNTIF(Data!$B287:$U287,INDEX(Pengaturan!$B$8:$B$27,D$4)))</f>
        <v>0</v>
      </c>
      <c r="E287" s="26" t="n">
        <f aca="false">IF(INDEX(Pengaturan!$B$8:$B$27,E$4)="",0,COUNTIF(Data!$B287:$U287,INDEX(Pengaturan!$B$8:$B$27,E$4)))</f>
        <v>0</v>
      </c>
      <c r="F287" s="26" t="n">
        <f aca="false">IF(INDEX(Pengaturan!$B$8:$B$27,F$4)="",0,COUNTIF(Data!$B287:$U287,INDEX(Pengaturan!$B$8:$B$27,F$4)))</f>
        <v>0</v>
      </c>
      <c r="G287" s="26" t="n">
        <f aca="false">IF(INDEX(Pengaturan!$B$8:$B$27,G$4)="",0,COUNTIF(Data!$B287:$U287,INDEX(Pengaturan!$B$8:$B$27,G$4)))</f>
        <v>0</v>
      </c>
      <c r="H287" s="26" t="n">
        <f aca="false">IF(INDEX(Pengaturan!$B$8:$B$27,H$4)="",0,COUNTIF(Data!$B287:$U287,INDEX(Pengaturan!$B$8:$B$27,H$4)))</f>
        <v>0</v>
      </c>
      <c r="I287" s="26" t="n">
        <f aca="false">IF(INDEX(Pengaturan!$B$8:$B$27,I$4)="",0,COUNTIF(Data!$B287:$U287,INDEX(Pengaturan!$B$8:$B$27,I$4)))</f>
        <v>0</v>
      </c>
      <c r="J287" s="26" t="n">
        <f aca="false">IF(INDEX(Pengaturan!$B$8:$B$27,J$4)="",0,COUNTIF(Data!$B287:$U287,INDEX(Pengaturan!$B$8:$B$27,J$4)))</f>
        <v>0</v>
      </c>
      <c r="K287" s="26" t="n">
        <f aca="false">IF(INDEX(Pengaturan!$B$8:$B$27,K$4)="",0,COUNTIF(Data!$B287:$U287,INDEX(Pengaturan!$B$8:$B$27,K$4)))</f>
        <v>0</v>
      </c>
      <c r="L287" s="26" t="n">
        <f aca="false">IF(INDEX(Pengaturan!$B$8:$B$27,L$4)="",0,COUNTIF(Data!$B287:$U287,INDEX(Pengaturan!$B$8:$B$27,L$4)))</f>
        <v>0</v>
      </c>
      <c r="M287" s="26" t="n">
        <f aca="false">IF(INDEX(Pengaturan!$B$8:$B$27,M$4)="",0,COUNTIF(Data!$B287:$U287,INDEX(Pengaturan!$B$8:$B$27,M$4)))</f>
        <v>0</v>
      </c>
      <c r="N287" s="26" t="n">
        <f aca="false">IF(INDEX(Pengaturan!$B$8:$B$27,N$4)="",0,COUNTIF(Data!$B287:$U287,INDEX(Pengaturan!$B$8:$B$27,N$4)))</f>
        <v>0</v>
      </c>
      <c r="O287" s="26" t="n">
        <f aca="false">IF(INDEX(Pengaturan!$B$8:$B$27,O$4)="",0,COUNTIF(Data!$B287:$U287,INDEX(Pengaturan!$B$8:$B$27,O$4)))</f>
        <v>0</v>
      </c>
      <c r="P287" s="26" t="n">
        <f aca="false">IF(INDEX(Pengaturan!$B$8:$B$27,P$4)="",0,COUNTIF(Data!$B287:$U287,INDEX(Pengaturan!$B$8:$B$27,P$4)))</f>
        <v>0</v>
      </c>
      <c r="Q287" s="26" t="n">
        <f aca="false">IF(INDEX(Pengaturan!$B$8:$B$27,Q$4)="",0,COUNTIF(Data!$B287:$U287,INDEX(Pengaturan!$B$8:$B$27,Q$4)))</f>
        <v>0</v>
      </c>
      <c r="R287" s="26" t="n">
        <f aca="false">IF(INDEX(Pengaturan!$B$8:$B$27,R$4)="",0,COUNTIF(Data!$B287:$U287,INDEX(Pengaturan!$B$8:$B$27,R$4)))</f>
        <v>0</v>
      </c>
      <c r="S287" s="26" t="n">
        <f aca="false">IF(INDEX(Pengaturan!$B$8:$B$27,S$4)="",0,COUNTIF(Data!$B287:$U287,INDEX(Pengaturan!$B$8:$B$27,S$4)))</f>
        <v>0</v>
      </c>
      <c r="T287" s="26" t="n">
        <f aca="false">IF(INDEX(Pengaturan!$B$8:$B$27,T$4)="",0,COUNTIF(Data!$B287:$U287,INDEX(Pengaturan!$B$8:$B$27,T$4)))</f>
        <v>0</v>
      </c>
      <c r="U287" s="26" t="n">
        <f aca="false">IF(INDEX(Pengaturan!$B$8:$B$27,U$4)="",0,COUNTIF(Data!$B287:$U287,INDEX(Pengaturan!$B$8:$B$27,U$4)))</f>
        <v>0</v>
      </c>
      <c r="V287" s="26" t="n">
        <f aca="false">COUNTA(Data!$B287:$U287)</f>
        <v>0</v>
      </c>
      <c r="W287" s="27" t="str">
        <f aca="false">IF(V287=0,"",IF(V287&lt;&gt;Hasil!$C$4,"Data kosong/tidak lengkap",IF(SUM(B287:U287)&lt;&gt;V287,"Kategori tidak dikenal","OK")))</f>
        <v/>
      </c>
      <c r="X287" s="26" t="n">
        <f aca="false">IF(OR(W287="",W287="OK"),0,1)</f>
        <v>0</v>
      </c>
    </row>
    <row r="288" customFormat="false" ht="15" hidden="false" customHeight="false" outlineLevel="0" collapsed="false">
      <c r="A288" s="26" t="n">
        <f aca="false">Data!A288</f>
        <v>283</v>
      </c>
      <c r="B288" s="26" t="n">
        <f aca="false">IF(INDEX(Pengaturan!$B$8:$B$27,B$4)="",0,COUNTIF(Data!$B288:$U288,INDEX(Pengaturan!$B$8:$B$27,B$4)))</f>
        <v>0</v>
      </c>
      <c r="C288" s="26" t="n">
        <f aca="false">IF(INDEX(Pengaturan!$B$8:$B$27,C$4)="",0,COUNTIF(Data!$B288:$U288,INDEX(Pengaturan!$B$8:$B$27,C$4)))</f>
        <v>0</v>
      </c>
      <c r="D288" s="26" t="n">
        <f aca="false">IF(INDEX(Pengaturan!$B$8:$B$27,D$4)="",0,COUNTIF(Data!$B288:$U288,INDEX(Pengaturan!$B$8:$B$27,D$4)))</f>
        <v>0</v>
      </c>
      <c r="E288" s="26" t="n">
        <f aca="false">IF(INDEX(Pengaturan!$B$8:$B$27,E$4)="",0,COUNTIF(Data!$B288:$U288,INDEX(Pengaturan!$B$8:$B$27,E$4)))</f>
        <v>0</v>
      </c>
      <c r="F288" s="26" t="n">
        <f aca="false">IF(INDEX(Pengaturan!$B$8:$B$27,F$4)="",0,COUNTIF(Data!$B288:$U288,INDEX(Pengaturan!$B$8:$B$27,F$4)))</f>
        <v>0</v>
      </c>
      <c r="G288" s="26" t="n">
        <f aca="false">IF(INDEX(Pengaturan!$B$8:$B$27,G$4)="",0,COUNTIF(Data!$B288:$U288,INDEX(Pengaturan!$B$8:$B$27,G$4)))</f>
        <v>0</v>
      </c>
      <c r="H288" s="26" t="n">
        <f aca="false">IF(INDEX(Pengaturan!$B$8:$B$27,H$4)="",0,COUNTIF(Data!$B288:$U288,INDEX(Pengaturan!$B$8:$B$27,H$4)))</f>
        <v>0</v>
      </c>
      <c r="I288" s="26" t="n">
        <f aca="false">IF(INDEX(Pengaturan!$B$8:$B$27,I$4)="",0,COUNTIF(Data!$B288:$U288,INDEX(Pengaturan!$B$8:$B$27,I$4)))</f>
        <v>0</v>
      </c>
      <c r="J288" s="26" t="n">
        <f aca="false">IF(INDEX(Pengaturan!$B$8:$B$27,J$4)="",0,COUNTIF(Data!$B288:$U288,INDEX(Pengaturan!$B$8:$B$27,J$4)))</f>
        <v>0</v>
      </c>
      <c r="K288" s="26" t="n">
        <f aca="false">IF(INDEX(Pengaturan!$B$8:$B$27,K$4)="",0,COUNTIF(Data!$B288:$U288,INDEX(Pengaturan!$B$8:$B$27,K$4)))</f>
        <v>0</v>
      </c>
      <c r="L288" s="26" t="n">
        <f aca="false">IF(INDEX(Pengaturan!$B$8:$B$27,L$4)="",0,COUNTIF(Data!$B288:$U288,INDEX(Pengaturan!$B$8:$B$27,L$4)))</f>
        <v>0</v>
      </c>
      <c r="M288" s="26" t="n">
        <f aca="false">IF(INDEX(Pengaturan!$B$8:$B$27,M$4)="",0,COUNTIF(Data!$B288:$U288,INDEX(Pengaturan!$B$8:$B$27,M$4)))</f>
        <v>0</v>
      </c>
      <c r="N288" s="26" t="n">
        <f aca="false">IF(INDEX(Pengaturan!$B$8:$B$27,N$4)="",0,COUNTIF(Data!$B288:$U288,INDEX(Pengaturan!$B$8:$B$27,N$4)))</f>
        <v>0</v>
      </c>
      <c r="O288" s="26" t="n">
        <f aca="false">IF(INDEX(Pengaturan!$B$8:$B$27,O$4)="",0,COUNTIF(Data!$B288:$U288,INDEX(Pengaturan!$B$8:$B$27,O$4)))</f>
        <v>0</v>
      </c>
      <c r="P288" s="26" t="n">
        <f aca="false">IF(INDEX(Pengaturan!$B$8:$B$27,P$4)="",0,COUNTIF(Data!$B288:$U288,INDEX(Pengaturan!$B$8:$B$27,P$4)))</f>
        <v>0</v>
      </c>
      <c r="Q288" s="26" t="n">
        <f aca="false">IF(INDEX(Pengaturan!$B$8:$B$27,Q$4)="",0,COUNTIF(Data!$B288:$U288,INDEX(Pengaturan!$B$8:$B$27,Q$4)))</f>
        <v>0</v>
      </c>
      <c r="R288" s="26" t="n">
        <f aca="false">IF(INDEX(Pengaturan!$B$8:$B$27,R$4)="",0,COUNTIF(Data!$B288:$U288,INDEX(Pengaturan!$B$8:$B$27,R$4)))</f>
        <v>0</v>
      </c>
      <c r="S288" s="26" t="n">
        <f aca="false">IF(INDEX(Pengaturan!$B$8:$B$27,S$4)="",0,COUNTIF(Data!$B288:$U288,INDEX(Pengaturan!$B$8:$B$27,S$4)))</f>
        <v>0</v>
      </c>
      <c r="T288" s="26" t="n">
        <f aca="false">IF(INDEX(Pengaturan!$B$8:$B$27,T$4)="",0,COUNTIF(Data!$B288:$U288,INDEX(Pengaturan!$B$8:$B$27,T$4)))</f>
        <v>0</v>
      </c>
      <c r="U288" s="26" t="n">
        <f aca="false">IF(INDEX(Pengaturan!$B$8:$B$27,U$4)="",0,COUNTIF(Data!$B288:$U288,INDEX(Pengaturan!$B$8:$B$27,U$4)))</f>
        <v>0</v>
      </c>
      <c r="V288" s="26" t="n">
        <f aca="false">COUNTA(Data!$B288:$U288)</f>
        <v>0</v>
      </c>
      <c r="W288" s="27" t="str">
        <f aca="false">IF(V288=0,"",IF(V288&lt;&gt;Hasil!$C$4,"Data kosong/tidak lengkap",IF(SUM(B288:U288)&lt;&gt;V288,"Kategori tidak dikenal","OK")))</f>
        <v/>
      </c>
      <c r="X288" s="26" t="n">
        <f aca="false">IF(OR(W288="",W288="OK"),0,1)</f>
        <v>0</v>
      </c>
    </row>
    <row r="289" customFormat="false" ht="15" hidden="false" customHeight="false" outlineLevel="0" collapsed="false">
      <c r="A289" s="26" t="n">
        <f aca="false">Data!A289</f>
        <v>284</v>
      </c>
      <c r="B289" s="26" t="n">
        <f aca="false">IF(INDEX(Pengaturan!$B$8:$B$27,B$4)="",0,COUNTIF(Data!$B289:$U289,INDEX(Pengaturan!$B$8:$B$27,B$4)))</f>
        <v>0</v>
      </c>
      <c r="C289" s="26" t="n">
        <f aca="false">IF(INDEX(Pengaturan!$B$8:$B$27,C$4)="",0,COUNTIF(Data!$B289:$U289,INDEX(Pengaturan!$B$8:$B$27,C$4)))</f>
        <v>0</v>
      </c>
      <c r="D289" s="26" t="n">
        <f aca="false">IF(INDEX(Pengaturan!$B$8:$B$27,D$4)="",0,COUNTIF(Data!$B289:$U289,INDEX(Pengaturan!$B$8:$B$27,D$4)))</f>
        <v>0</v>
      </c>
      <c r="E289" s="26" t="n">
        <f aca="false">IF(INDEX(Pengaturan!$B$8:$B$27,E$4)="",0,COUNTIF(Data!$B289:$U289,INDEX(Pengaturan!$B$8:$B$27,E$4)))</f>
        <v>0</v>
      </c>
      <c r="F289" s="26" t="n">
        <f aca="false">IF(INDEX(Pengaturan!$B$8:$B$27,F$4)="",0,COUNTIF(Data!$B289:$U289,INDEX(Pengaturan!$B$8:$B$27,F$4)))</f>
        <v>0</v>
      </c>
      <c r="G289" s="26" t="n">
        <f aca="false">IF(INDEX(Pengaturan!$B$8:$B$27,G$4)="",0,COUNTIF(Data!$B289:$U289,INDEX(Pengaturan!$B$8:$B$27,G$4)))</f>
        <v>0</v>
      </c>
      <c r="H289" s="26" t="n">
        <f aca="false">IF(INDEX(Pengaturan!$B$8:$B$27,H$4)="",0,COUNTIF(Data!$B289:$U289,INDEX(Pengaturan!$B$8:$B$27,H$4)))</f>
        <v>0</v>
      </c>
      <c r="I289" s="26" t="n">
        <f aca="false">IF(INDEX(Pengaturan!$B$8:$B$27,I$4)="",0,COUNTIF(Data!$B289:$U289,INDEX(Pengaturan!$B$8:$B$27,I$4)))</f>
        <v>0</v>
      </c>
      <c r="J289" s="26" t="n">
        <f aca="false">IF(INDEX(Pengaturan!$B$8:$B$27,J$4)="",0,COUNTIF(Data!$B289:$U289,INDEX(Pengaturan!$B$8:$B$27,J$4)))</f>
        <v>0</v>
      </c>
      <c r="K289" s="26" t="n">
        <f aca="false">IF(INDEX(Pengaturan!$B$8:$B$27,K$4)="",0,COUNTIF(Data!$B289:$U289,INDEX(Pengaturan!$B$8:$B$27,K$4)))</f>
        <v>0</v>
      </c>
      <c r="L289" s="26" t="n">
        <f aca="false">IF(INDEX(Pengaturan!$B$8:$B$27,L$4)="",0,COUNTIF(Data!$B289:$U289,INDEX(Pengaturan!$B$8:$B$27,L$4)))</f>
        <v>0</v>
      </c>
      <c r="M289" s="26" t="n">
        <f aca="false">IF(INDEX(Pengaturan!$B$8:$B$27,M$4)="",0,COUNTIF(Data!$B289:$U289,INDEX(Pengaturan!$B$8:$B$27,M$4)))</f>
        <v>0</v>
      </c>
      <c r="N289" s="26" t="n">
        <f aca="false">IF(INDEX(Pengaturan!$B$8:$B$27,N$4)="",0,COUNTIF(Data!$B289:$U289,INDEX(Pengaturan!$B$8:$B$27,N$4)))</f>
        <v>0</v>
      </c>
      <c r="O289" s="26" t="n">
        <f aca="false">IF(INDEX(Pengaturan!$B$8:$B$27,O$4)="",0,COUNTIF(Data!$B289:$U289,INDEX(Pengaturan!$B$8:$B$27,O$4)))</f>
        <v>0</v>
      </c>
      <c r="P289" s="26" t="n">
        <f aca="false">IF(INDEX(Pengaturan!$B$8:$B$27,P$4)="",0,COUNTIF(Data!$B289:$U289,INDEX(Pengaturan!$B$8:$B$27,P$4)))</f>
        <v>0</v>
      </c>
      <c r="Q289" s="26" t="n">
        <f aca="false">IF(INDEX(Pengaturan!$B$8:$B$27,Q$4)="",0,COUNTIF(Data!$B289:$U289,INDEX(Pengaturan!$B$8:$B$27,Q$4)))</f>
        <v>0</v>
      </c>
      <c r="R289" s="26" t="n">
        <f aca="false">IF(INDEX(Pengaturan!$B$8:$B$27,R$4)="",0,COUNTIF(Data!$B289:$U289,INDEX(Pengaturan!$B$8:$B$27,R$4)))</f>
        <v>0</v>
      </c>
      <c r="S289" s="26" t="n">
        <f aca="false">IF(INDEX(Pengaturan!$B$8:$B$27,S$4)="",0,COUNTIF(Data!$B289:$U289,INDEX(Pengaturan!$B$8:$B$27,S$4)))</f>
        <v>0</v>
      </c>
      <c r="T289" s="26" t="n">
        <f aca="false">IF(INDEX(Pengaturan!$B$8:$B$27,T$4)="",0,COUNTIF(Data!$B289:$U289,INDEX(Pengaturan!$B$8:$B$27,T$4)))</f>
        <v>0</v>
      </c>
      <c r="U289" s="26" t="n">
        <f aca="false">IF(INDEX(Pengaturan!$B$8:$B$27,U$4)="",0,COUNTIF(Data!$B289:$U289,INDEX(Pengaturan!$B$8:$B$27,U$4)))</f>
        <v>0</v>
      </c>
      <c r="V289" s="26" t="n">
        <f aca="false">COUNTA(Data!$B289:$U289)</f>
        <v>0</v>
      </c>
      <c r="W289" s="27" t="str">
        <f aca="false">IF(V289=0,"",IF(V289&lt;&gt;Hasil!$C$4,"Data kosong/tidak lengkap",IF(SUM(B289:U289)&lt;&gt;V289,"Kategori tidak dikenal","OK")))</f>
        <v/>
      </c>
      <c r="X289" s="26" t="n">
        <f aca="false">IF(OR(W289="",W289="OK"),0,1)</f>
        <v>0</v>
      </c>
    </row>
    <row r="290" customFormat="false" ht="15" hidden="false" customHeight="false" outlineLevel="0" collapsed="false">
      <c r="A290" s="26" t="n">
        <f aca="false">Data!A290</f>
        <v>285</v>
      </c>
      <c r="B290" s="26" t="n">
        <f aca="false">IF(INDEX(Pengaturan!$B$8:$B$27,B$4)="",0,COUNTIF(Data!$B290:$U290,INDEX(Pengaturan!$B$8:$B$27,B$4)))</f>
        <v>0</v>
      </c>
      <c r="C290" s="26" t="n">
        <f aca="false">IF(INDEX(Pengaturan!$B$8:$B$27,C$4)="",0,COUNTIF(Data!$B290:$U290,INDEX(Pengaturan!$B$8:$B$27,C$4)))</f>
        <v>0</v>
      </c>
      <c r="D290" s="26" t="n">
        <f aca="false">IF(INDEX(Pengaturan!$B$8:$B$27,D$4)="",0,COUNTIF(Data!$B290:$U290,INDEX(Pengaturan!$B$8:$B$27,D$4)))</f>
        <v>0</v>
      </c>
      <c r="E290" s="26" t="n">
        <f aca="false">IF(INDEX(Pengaturan!$B$8:$B$27,E$4)="",0,COUNTIF(Data!$B290:$U290,INDEX(Pengaturan!$B$8:$B$27,E$4)))</f>
        <v>0</v>
      </c>
      <c r="F290" s="26" t="n">
        <f aca="false">IF(INDEX(Pengaturan!$B$8:$B$27,F$4)="",0,COUNTIF(Data!$B290:$U290,INDEX(Pengaturan!$B$8:$B$27,F$4)))</f>
        <v>0</v>
      </c>
      <c r="G290" s="26" t="n">
        <f aca="false">IF(INDEX(Pengaturan!$B$8:$B$27,G$4)="",0,COUNTIF(Data!$B290:$U290,INDEX(Pengaturan!$B$8:$B$27,G$4)))</f>
        <v>0</v>
      </c>
      <c r="H290" s="26" t="n">
        <f aca="false">IF(INDEX(Pengaturan!$B$8:$B$27,H$4)="",0,COUNTIF(Data!$B290:$U290,INDEX(Pengaturan!$B$8:$B$27,H$4)))</f>
        <v>0</v>
      </c>
      <c r="I290" s="26" t="n">
        <f aca="false">IF(INDEX(Pengaturan!$B$8:$B$27,I$4)="",0,COUNTIF(Data!$B290:$U290,INDEX(Pengaturan!$B$8:$B$27,I$4)))</f>
        <v>0</v>
      </c>
      <c r="J290" s="26" t="n">
        <f aca="false">IF(INDEX(Pengaturan!$B$8:$B$27,J$4)="",0,COUNTIF(Data!$B290:$U290,INDEX(Pengaturan!$B$8:$B$27,J$4)))</f>
        <v>0</v>
      </c>
      <c r="K290" s="26" t="n">
        <f aca="false">IF(INDEX(Pengaturan!$B$8:$B$27,K$4)="",0,COUNTIF(Data!$B290:$U290,INDEX(Pengaturan!$B$8:$B$27,K$4)))</f>
        <v>0</v>
      </c>
      <c r="L290" s="26" t="n">
        <f aca="false">IF(INDEX(Pengaturan!$B$8:$B$27,L$4)="",0,COUNTIF(Data!$B290:$U290,INDEX(Pengaturan!$B$8:$B$27,L$4)))</f>
        <v>0</v>
      </c>
      <c r="M290" s="26" t="n">
        <f aca="false">IF(INDEX(Pengaturan!$B$8:$B$27,M$4)="",0,COUNTIF(Data!$B290:$U290,INDEX(Pengaturan!$B$8:$B$27,M$4)))</f>
        <v>0</v>
      </c>
      <c r="N290" s="26" t="n">
        <f aca="false">IF(INDEX(Pengaturan!$B$8:$B$27,N$4)="",0,COUNTIF(Data!$B290:$U290,INDEX(Pengaturan!$B$8:$B$27,N$4)))</f>
        <v>0</v>
      </c>
      <c r="O290" s="26" t="n">
        <f aca="false">IF(INDEX(Pengaturan!$B$8:$B$27,O$4)="",0,COUNTIF(Data!$B290:$U290,INDEX(Pengaturan!$B$8:$B$27,O$4)))</f>
        <v>0</v>
      </c>
      <c r="P290" s="26" t="n">
        <f aca="false">IF(INDEX(Pengaturan!$B$8:$B$27,P$4)="",0,COUNTIF(Data!$B290:$U290,INDEX(Pengaturan!$B$8:$B$27,P$4)))</f>
        <v>0</v>
      </c>
      <c r="Q290" s="26" t="n">
        <f aca="false">IF(INDEX(Pengaturan!$B$8:$B$27,Q$4)="",0,COUNTIF(Data!$B290:$U290,INDEX(Pengaturan!$B$8:$B$27,Q$4)))</f>
        <v>0</v>
      </c>
      <c r="R290" s="26" t="n">
        <f aca="false">IF(INDEX(Pengaturan!$B$8:$B$27,R$4)="",0,COUNTIF(Data!$B290:$U290,INDEX(Pengaturan!$B$8:$B$27,R$4)))</f>
        <v>0</v>
      </c>
      <c r="S290" s="26" t="n">
        <f aca="false">IF(INDEX(Pengaturan!$B$8:$B$27,S$4)="",0,COUNTIF(Data!$B290:$U290,INDEX(Pengaturan!$B$8:$B$27,S$4)))</f>
        <v>0</v>
      </c>
      <c r="T290" s="26" t="n">
        <f aca="false">IF(INDEX(Pengaturan!$B$8:$B$27,T$4)="",0,COUNTIF(Data!$B290:$U290,INDEX(Pengaturan!$B$8:$B$27,T$4)))</f>
        <v>0</v>
      </c>
      <c r="U290" s="26" t="n">
        <f aca="false">IF(INDEX(Pengaturan!$B$8:$B$27,U$4)="",0,COUNTIF(Data!$B290:$U290,INDEX(Pengaturan!$B$8:$B$27,U$4)))</f>
        <v>0</v>
      </c>
      <c r="V290" s="26" t="n">
        <f aca="false">COUNTA(Data!$B290:$U290)</f>
        <v>0</v>
      </c>
      <c r="W290" s="27" t="str">
        <f aca="false">IF(V290=0,"",IF(V290&lt;&gt;Hasil!$C$4,"Data kosong/tidak lengkap",IF(SUM(B290:U290)&lt;&gt;V290,"Kategori tidak dikenal","OK")))</f>
        <v/>
      </c>
      <c r="X290" s="26" t="n">
        <f aca="false">IF(OR(W290="",W290="OK"),0,1)</f>
        <v>0</v>
      </c>
    </row>
    <row r="291" customFormat="false" ht="15" hidden="false" customHeight="false" outlineLevel="0" collapsed="false">
      <c r="A291" s="26" t="n">
        <f aca="false">Data!A291</f>
        <v>286</v>
      </c>
      <c r="B291" s="26" t="n">
        <f aca="false">IF(INDEX(Pengaturan!$B$8:$B$27,B$4)="",0,COUNTIF(Data!$B291:$U291,INDEX(Pengaturan!$B$8:$B$27,B$4)))</f>
        <v>0</v>
      </c>
      <c r="C291" s="26" t="n">
        <f aca="false">IF(INDEX(Pengaturan!$B$8:$B$27,C$4)="",0,COUNTIF(Data!$B291:$U291,INDEX(Pengaturan!$B$8:$B$27,C$4)))</f>
        <v>0</v>
      </c>
      <c r="D291" s="26" t="n">
        <f aca="false">IF(INDEX(Pengaturan!$B$8:$B$27,D$4)="",0,COUNTIF(Data!$B291:$U291,INDEX(Pengaturan!$B$8:$B$27,D$4)))</f>
        <v>0</v>
      </c>
      <c r="E291" s="26" t="n">
        <f aca="false">IF(INDEX(Pengaturan!$B$8:$B$27,E$4)="",0,COUNTIF(Data!$B291:$U291,INDEX(Pengaturan!$B$8:$B$27,E$4)))</f>
        <v>0</v>
      </c>
      <c r="F291" s="26" t="n">
        <f aca="false">IF(INDEX(Pengaturan!$B$8:$B$27,F$4)="",0,COUNTIF(Data!$B291:$U291,INDEX(Pengaturan!$B$8:$B$27,F$4)))</f>
        <v>0</v>
      </c>
      <c r="G291" s="26" t="n">
        <f aca="false">IF(INDEX(Pengaturan!$B$8:$B$27,G$4)="",0,COUNTIF(Data!$B291:$U291,INDEX(Pengaturan!$B$8:$B$27,G$4)))</f>
        <v>0</v>
      </c>
      <c r="H291" s="26" t="n">
        <f aca="false">IF(INDEX(Pengaturan!$B$8:$B$27,H$4)="",0,COUNTIF(Data!$B291:$U291,INDEX(Pengaturan!$B$8:$B$27,H$4)))</f>
        <v>0</v>
      </c>
      <c r="I291" s="26" t="n">
        <f aca="false">IF(INDEX(Pengaturan!$B$8:$B$27,I$4)="",0,COUNTIF(Data!$B291:$U291,INDEX(Pengaturan!$B$8:$B$27,I$4)))</f>
        <v>0</v>
      </c>
      <c r="J291" s="26" t="n">
        <f aca="false">IF(INDEX(Pengaturan!$B$8:$B$27,J$4)="",0,COUNTIF(Data!$B291:$U291,INDEX(Pengaturan!$B$8:$B$27,J$4)))</f>
        <v>0</v>
      </c>
      <c r="K291" s="26" t="n">
        <f aca="false">IF(INDEX(Pengaturan!$B$8:$B$27,K$4)="",0,COUNTIF(Data!$B291:$U291,INDEX(Pengaturan!$B$8:$B$27,K$4)))</f>
        <v>0</v>
      </c>
      <c r="L291" s="26" t="n">
        <f aca="false">IF(INDEX(Pengaturan!$B$8:$B$27,L$4)="",0,COUNTIF(Data!$B291:$U291,INDEX(Pengaturan!$B$8:$B$27,L$4)))</f>
        <v>0</v>
      </c>
      <c r="M291" s="26" t="n">
        <f aca="false">IF(INDEX(Pengaturan!$B$8:$B$27,M$4)="",0,COUNTIF(Data!$B291:$U291,INDEX(Pengaturan!$B$8:$B$27,M$4)))</f>
        <v>0</v>
      </c>
      <c r="N291" s="26" t="n">
        <f aca="false">IF(INDEX(Pengaturan!$B$8:$B$27,N$4)="",0,COUNTIF(Data!$B291:$U291,INDEX(Pengaturan!$B$8:$B$27,N$4)))</f>
        <v>0</v>
      </c>
      <c r="O291" s="26" t="n">
        <f aca="false">IF(INDEX(Pengaturan!$B$8:$B$27,O$4)="",0,COUNTIF(Data!$B291:$U291,INDEX(Pengaturan!$B$8:$B$27,O$4)))</f>
        <v>0</v>
      </c>
      <c r="P291" s="26" t="n">
        <f aca="false">IF(INDEX(Pengaturan!$B$8:$B$27,P$4)="",0,COUNTIF(Data!$B291:$U291,INDEX(Pengaturan!$B$8:$B$27,P$4)))</f>
        <v>0</v>
      </c>
      <c r="Q291" s="26" t="n">
        <f aca="false">IF(INDEX(Pengaturan!$B$8:$B$27,Q$4)="",0,COUNTIF(Data!$B291:$U291,INDEX(Pengaturan!$B$8:$B$27,Q$4)))</f>
        <v>0</v>
      </c>
      <c r="R291" s="26" t="n">
        <f aca="false">IF(INDEX(Pengaturan!$B$8:$B$27,R$4)="",0,COUNTIF(Data!$B291:$U291,INDEX(Pengaturan!$B$8:$B$27,R$4)))</f>
        <v>0</v>
      </c>
      <c r="S291" s="26" t="n">
        <f aca="false">IF(INDEX(Pengaturan!$B$8:$B$27,S$4)="",0,COUNTIF(Data!$B291:$U291,INDEX(Pengaturan!$B$8:$B$27,S$4)))</f>
        <v>0</v>
      </c>
      <c r="T291" s="26" t="n">
        <f aca="false">IF(INDEX(Pengaturan!$B$8:$B$27,T$4)="",0,COUNTIF(Data!$B291:$U291,INDEX(Pengaturan!$B$8:$B$27,T$4)))</f>
        <v>0</v>
      </c>
      <c r="U291" s="26" t="n">
        <f aca="false">IF(INDEX(Pengaturan!$B$8:$B$27,U$4)="",0,COUNTIF(Data!$B291:$U291,INDEX(Pengaturan!$B$8:$B$27,U$4)))</f>
        <v>0</v>
      </c>
      <c r="V291" s="26" t="n">
        <f aca="false">COUNTA(Data!$B291:$U291)</f>
        <v>0</v>
      </c>
      <c r="W291" s="27" t="str">
        <f aca="false">IF(V291=0,"",IF(V291&lt;&gt;Hasil!$C$4,"Data kosong/tidak lengkap",IF(SUM(B291:U291)&lt;&gt;V291,"Kategori tidak dikenal","OK")))</f>
        <v/>
      </c>
      <c r="X291" s="26" t="n">
        <f aca="false">IF(OR(W291="",W291="OK"),0,1)</f>
        <v>0</v>
      </c>
    </row>
    <row r="292" customFormat="false" ht="15" hidden="false" customHeight="false" outlineLevel="0" collapsed="false">
      <c r="A292" s="26" t="n">
        <f aca="false">Data!A292</f>
        <v>287</v>
      </c>
      <c r="B292" s="26" t="n">
        <f aca="false">IF(INDEX(Pengaturan!$B$8:$B$27,B$4)="",0,COUNTIF(Data!$B292:$U292,INDEX(Pengaturan!$B$8:$B$27,B$4)))</f>
        <v>0</v>
      </c>
      <c r="C292" s="26" t="n">
        <f aca="false">IF(INDEX(Pengaturan!$B$8:$B$27,C$4)="",0,COUNTIF(Data!$B292:$U292,INDEX(Pengaturan!$B$8:$B$27,C$4)))</f>
        <v>0</v>
      </c>
      <c r="D292" s="26" t="n">
        <f aca="false">IF(INDEX(Pengaturan!$B$8:$B$27,D$4)="",0,COUNTIF(Data!$B292:$U292,INDEX(Pengaturan!$B$8:$B$27,D$4)))</f>
        <v>0</v>
      </c>
      <c r="E292" s="26" t="n">
        <f aca="false">IF(INDEX(Pengaturan!$B$8:$B$27,E$4)="",0,COUNTIF(Data!$B292:$U292,INDEX(Pengaturan!$B$8:$B$27,E$4)))</f>
        <v>0</v>
      </c>
      <c r="F292" s="26" t="n">
        <f aca="false">IF(INDEX(Pengaturan!$B$8:$B$27,F$4)="",0,COUNTIF(Data!$B292:$U292,INDEX(Pengaturan!$B$8:$B$27,F$4)))</f>
        <v>0</v>
      </c>
      <c r="G292" s="26" t="n">
        <f aca="false">IF(INDEX(Pengaturan!$B$8:$B$27,G$4)="",0,COUNTIF(Data!$B292:$U292,INDEX(Pengaturan!$B$8:$B$27,G$4)))</f>
        <v>0</v>
      </c>
      <c r="H292" s="26" t="n">
        <f aca="false">IF(INDEX(Pengaturan!$B$8:$B$27,H$4)="",0,COUNTIF(Data!$B292:$U292,INDEX(Pengaturan!$B$8:$B$27,H$4)))</f>
        <v>0</v>
      </c>
      <c r="I292" s="26" t="n">
        <f aca="false">IF(INDEX(Pengaturan!$B$8:$B$27,I$4)="",0,COUNTIF(Data!$B292:$U292,INDEX(Pengaturan!$B$8:$B$27,I$4)))</f>
        <v>0</v>
      </c>
      <c r="J292" s="26" t="n">
        <f aca="false">IF(INDEX(Pengaturan!$B$8:$B$27,J$4)="",0,COUNTIF(Data!$B292:$U292,INDEX(Pengaturan!$B$8:$B$27,J$4)))</f>
        <v>0</v>
      </c>
      <c r="K292" s="26" t="n">
        <f aca="false">IF(INDEX(Pengaturan!$B$8:$B$27,K$4)="",0,COUNTIF(Data!$B292:$U292,INDEX(Pengaturan!$B$8:$B$27,K$4)))</f>
        <v>0</v>
      </c>
      <c r="L292" s="26" t="n">
        <f aca="false">IF(INDEX(Pengaturan!$B$8:$B$27,L$4)="",0,COUNTIF(Data!$B292:$U292,INDEX(Pengaturan!$B$8:$B$27,L$4)))</f>
        <v>0</v>
      </c>
      <c r="M292" s="26" t="n">
        <f aca="false">IF(INDEX(Pengaturan!$B$8:$B$27,M$4)="",0,COUNTIF(Data!$B292:$U292,INDEX(Pengaturan!$B$8:$B$27,M$4)))</f>
        <v>0</v>
      </c>
      <c r="N292" s="26" t="n">
        <f aca="false">IF(INDEX(Pengaturan!$B$8:$B$27,N$4)="",0,COUNTIF(Data!$B292:$U292,INDEX(Pengaturan!$B$8:$B$27,N$4)))</f>
        <v>0</v>
      </c>
      <c r="O292" s="26" t="n">
        <f aca="false">IF(INDEX(Pengaturan!$B$8:$B$27,O$4)="",0,COUNTIF(Data!$B292:$U292,INDEX(Pengaturan!$B$8:$B$27,O$4)))</f>
        <v>0</v>
      </c>
      <c r="P292" s="26" t="n">
        <f aca="false">IF(INDEX(Pengaturan!$B$8:$B$27,P$4)="",0,COUNTIF(Data!$B292:$U292,INDEX(Pengaturan!$B$8:$B$27,P$4)))</f>
        <v>0</v>
      </c>
      <c r="Q292" s="26" t="n">
        <f aca="false">IF(INDEX(Pengaturan!$B$8:$B$27,Q$4)="",0,COUNTIF(Data!$B292:$U292,INDEX(Pengaturan!$B$8:$B$27,Q$4)))</f>
        <v>0</v>
      </c>
      <c r="R292" s="26" t="n">
        <f aca="false">IF(INDEX(Pengaturan!$B$8:$B$27,R$4)="",0,COUNTIF(Data!$B292:$U292,INDEX(Pengaturan!$B$8:$B$27,R$4)))</f>
        <v>0</v>
      </c>
      <c r="S292" s="26" t="n">
        <f aca="false">IF(INDEX(Pengaturan!$B$8:$B$27,S$4)="",0,COUNTIF(Data!$B292:$U292,INDEX(Pengaturan!$B$8:$B$27,S$4)))</f>
        <v>0</v>
      </c>
      <c r="T292" s="26" t="n">
        <f aca="false">IF(INDEX(Pengaturan!$B$8:$B$27,T$4)="",0,COUNTIF(Data!$B292:$U292,INDEX(Pengaturan!$B$8:$B$27,T$4)))</f>
        <v>0</v>
      </c>
      <c r="U292" s="26" t="n">
        <f aca="false">IF(INDEX(Pengaturan!$B$8:$B$27,U$4)="",0,COUNTIF(Data!$B292:$U292,INDEX(Pengaturan!$B$8:$B$27,U$4)))</f>
        <v>0</v>
      </c>
      <c r="V292" s="26" t="n">
        <f aca="false">COUNTA(Data!$B292:$U292)</f>
        <v>0</v>
      </c>
      <c r="W292" s="27" t="str">
        <f aca="false">IF(V292=0,"",IF(V292&lt;&gt;Hasil!$C$4,"Data kosong/tidak lengkap",IF(SUM(B292:U292)&lt;&gt;V292,"Kategori tidak dikenal","OK")))</f>
        <v/>
      </c>
      <c r="X292" s="26" t="n">
        <f aca="false">IF(OR(W292="",W292="OK"),0,1)</f>
        <v>0</v>
      </c>
    </row>
    <row r="293" customFormat="false" ht="15" hidden="false" customHeight="false" outlineLevel="0" collapsed="false">
      <c r="A293" s="26" t="n">
        <f aca="false">Data!A293</f>
        <v>288</v>
      </c>
      <c r="B293" s="26" t="n">
        <f aca="false">IF(INDEX(Pengaturan!$B$8:$B$27,B$4)="",0,COUNTIF(Data!$B293:$U293,INDEX(Pengaturan!$B$8:$B$27,B$4)))</f>
        <v>0</v>
      </c>
      <c r="C293" s="26" t="n">
        <f aca="false">IF(INDEX(Pengaturan!$B$8:$B$27,C$4)="",0,COUNTIF(Data!$B293:$U293,INDEX(Pengaturan!$B$8:$B$27,C$4)))</f>
        <v>0</v>
      </c>
      <c r="D293" s="26" t="n">
        <f aca="false">IF(INDEX(Pengaturan!$B$8:$B$27,D$4)="",0,COUNTIF(Data!$B293:$U293,INDEX(Pengaturan!$B$8:$B$27,D$4)))</f>
        <v>0</v>
      </c>
      <c r="E293" s="26" t="n">
        <f aca="false">IF(INDEX(Pengaturan!$B$8:$B$27,E$4)="",0,COUNTIF(Data!$B293:$U293,INDEX(Pengaturan!$B$8:$B$27,E$4)))</f>
        <v>0</v>
      </c>
      <c r="F293" s="26" t="n">
        <f aca="false">IF(INDEX(Pengaturan!$B$8:$B$27,F$4)="",0,COUNTIF(Data!$B293:$U293,INDEX(Pengaturan!$B$8:$B$27,F$4)))</f>
        <v>0</v>
      </c>
      <c r="G293" s="26" t="n">
        <f aca="false">IF(INDEX(Pengaturan!$B$8:$B$27,G$4)="",0,COUNTIF(Data!$B293:$U293,INDEX(Pengaturan!$B$8:$B$27,G$4)))</f>
        <v>0</v>
      </c>
      <c r="H293" s="26" t="n">
        <f aca="false">IF(INDEX(Pengaturan!$B$8:$B$27,H$4)="",0,COUNTIF(Data!$B293:$U293,INDEX(Pengaturan!$B$8:$B$27,H$4)))</f>
        <v>0</v>
      </c>
      <c r="I293" s="26" t="n">
        <f aca="false">IF(INDEX(Pengaturan!$B$8:$B$27,I$4)="",0,COUNTIF(Data!$B293:$U293,INDEX(Pengaturan!$B$8:$B$27,I$4)))</f>
        <v>0</v>
      </c>
      <c r="J293" s="26" t="n">
        <f aca="false">IF(INDEX(Pengaturan!$B$8:$B$27,J$4)="",0,COUNTIF(Data!$B293:$U293,INDEX(Pengaturan!$B$8:$B$27,J$4)))</f>
        <v>0</v>
      </c>
      <c r="K293" s="26" t="n">
        <f aca="false">IF(INDEX(Pengaturan!$B$8:$B$27,K$4)="",0,COUNTIF(Data!$B293:$U293,INDEX(Pengaturan!$B$8:$B$27,K$4)))</f>
        <v>0</v>
      </c>
      <c r="L293" s="26" t="n">
        <f aca="false">IF(INDEX(Pengaturan!$B$8:$B$27,L$4)="",0,COUNTIF(Data!$B293:$U293,INDEX(Pengaturan!$B$8:$B$27,L$4)))</f>
        <v>0</v>
      </c>
      <c r="M293" s="26" t="n">
        <f aca="false">IF(INDEX(Pengaturan!$B$8:$B$27,M$4)="",0,COUNTIF(Data!$B293:$U293,INDEX(Pengaturan!$B$8:$B$27,M$4)))</f>
        <v>0</v>
      </c>
      <c r="N293" s="26" t="n">
        <f aca="false">IF(INDEX(Pengaturan!$B$8:$B$27,N$4)="",0,COUNTIF(Data!$B293:$U293,INDEX(Pengaturan!$B$8:$B$27,N$4)))</f>
        <v>0</v>
      </c>
      <c r="O293" s="26" t="n">
        <f aca="false">IF(INDEX(Pengaturan!$B$8:$B$27,O$4)="",0,COUNTIF(Data!$B293:$U293,INDEX(Pengaturan!$B$8:$B$27,O$4)))</f>
        <v>0</v>
      </c>
      <c r="P293" s="26" t="n">
        <f aca="false">IF(INDEX(Pengaturan!$B$8:$B$27,P$4)="",0,COUNTIF(Data!$B293:$U293,INDEX(Pengaturan!$B$8:$B$27,P$4)))</f>
        <v>0</v>
      </c>
      <c r="Q293" s="26" t="n">
        <f aca="false">IF(INDEX(Pengaturan!$B$8:$B$27,Q$4)="",0,COUNTIF(Data!$B293:$U293,INDEX(Pengaturan!$B$8:$B$27,Q$4)))</f>
        <v>0</v>
      </c>
      <c r="R293" s="26" t="n">
        <f aca="false">IF(INDEX(Pengaturan!$B$8:$B$27,R$4)="",0,COUNTIF(Data!$B293:$U293,INDEX(Pengaturan!$B$8:$B$27,R$4)))</f>
        <v>0</v>
      </c>
      <c r="S293" s="26" t="n">
        <f aca="false">IF(INDEX(Pengaturan!$B$8:$B$27,S$4)="",0,COUNTIF(Data!$B293:$U293,INDEX(Pengaturan!$B$8:$B$27,S$4)))</f>
        <v>0</v>
      </c>
      <c r="T293" s="26" t="n">
        <f aca="false">IF(INDEX(Pengaturan!$B$8:$B$27,T$4)="",0,COUNTIF(Data!$B293:$U293,INDEX(Pengaturan!$B$8:$B$27,T$4)))</f>
        <v>0</v>
      </c>
      <c r="U293" s="26" t="n">
        <f aca="false">IF(INDEX(Pengaturan!$B$8:$B$27,U$4)="",0,COUNTIF(Data!$B293:$U293,INDEX(Pengaturan!$B$8:$B$27,U$4)))</f>
        <v>0</v>
      </c>
      <c r="V293" s="26" t="n">
        <f aca="false">COUNTA(Data!$B293:$U293)</f>
        <v>0</v>
      </c>
      <c r="W293" s="27" t="str">
        <f aca="false">IF(V293=0,"",IF(V293&lt;&gt;Hasil!$C$4,"Data kosong/tidak lengkap",IF(SUM(B293:U293)&lt;&gt;V293,"Kategori tidak dikenal","OK")))</f>
        <v/>
      </c>
      <c r="X293" s="26" t="n">
        <f aca="false">IF(OR(W293="",W293="OK"),0,1)</f>
        <v>0</v>
      </c>
    </row>
    <row r="294" customFormat="false" ht="15" hidden="false" customHeight="false" outlineLevel="0" collapsed="false">
      <c r="A294" s="26" t="n">
        <f aca="false">Data!A294</f>
        <v>289</v>
      </c>
      <c r="B294" s="26" t="n">
        <f aca="false">IF(INDEX(Pengaturan!$B$8:$B$27,B$4)="",0,COUNTIF(Data!$B294:$U294,INDEX(Pengaturan!$B$8:$B$27,B$4)))</f>
        <v>0</v>
      </c>
      <c r="C294" s="26" t="n">
        <f aca="false">IF(INDEX(Pengaturan!$B$8:$B$27,C$4)="",0,COUNTIF(Data!$B294:$U294,INDEX(Pengaturan!$B$8:$B$27,C$4)))</f>
        <v>0</v>
      </c>
      <c r="D294" s="26" t="n">
        <f aca="false">IF(INDEX(Pengaturan!$B$8:$B$27,D$4)="",0,COUNTIF(Data!$B294:$U294,INDEX(Pengaturan!$B$8:$B$27,D$4)))</f>
        <v>0</v>
      </c>
      <c r="E294" s="26" t="n">
        <f aca="false">IF(INDEX(Pengaturan!$B$8:$B$27,E$4)="",0,COUNTIF(Data!$B294:$U294,INDEX(Pengaturan!$B$8:$B$27,E$4)))</f>
        <v>0</v>
      </c>
      <c r="F294" s="26" t="n">
        <f aca="false">IF(INDEX(Pengaturan!$B$8:$B$27,F$4)="",0,COUNTIF(Data!$B294:$U294,INDEX(Pengaturan!$B$8:$B$27,F$4)))</f>
        <v>0</v>
      </c>
      <c r="G294" s="26" t="n">
        <f aca="false">IF(INDEX(Pengaturan!$B$8:$B$27,G$4)="",0,COUNTIF(Data!$B294:$U294,INDEX(Pengaturan!$B$8:$B$27,G$4)))</f>
        <v>0</v>
      </c>
      <c r="H294" s="26" t="n">
        <f aca="false">IF(INDEX(Pengaturan!$B$8:$B$27,H$4)="",0,COUNTIF(Data!$B294:$U294,INDEX(Pengaturan!$B$8:$B$27,H$4)))</f>
        <v>0</v>
      </c>
      <c r="I294" s="26" t="n">
        <f aca="false">IF(INDEX(Pengaturan!$B$8:$B$27,I$4)="",0,COUNTIF(Data!$B294:$U294,INDEX(Pengaturan!$B$8:$B$27,I$4)))</f>
        <v>0</v>
      </c>
      <c r="J294" s="26" t="n">
        <f aca="false">IF(INDEX(Pengaturan!$B$8:$B$27,J$4)="",0,COUNTIF(Data!$B294:$U294,INDEX(Pengaturan!$B$8:$B$27,J$4)))</f>
        <v>0</v>
      </c>
      <c r="K294" s="26" t="n">
        <f aca="false">IF(INDEX(Pengaturan!$B$8:$B$27,K$4)="",0,COUNTIF(Data!$B294:$U294,INDEX(Pengaturan!$B$8:$B$27,K$4)))</f>
        <v>0</v>
      </c>
      <c r="L294" s="26" t="n">
        <f aca="false">IF(INDEX(Pengaturan!$B$8:$B$27,L$4)="",0,COUNTIF(Data!$B294:$U294,INDEX(Pengaturan!$B$8:$B$27,L$4)))</f>
        <v>0</v>
      </c>
      <c r="M294" s="26" t="n">
        <f aca="false">IF(INDEX(Pengaturan!$B$8:$B$27,M$4)="",0,COUNTIF(Data!$B294:$U294,INDEX(Pengaturan!$B$8:$B$27,M$4)))</f>
        <v>0</v>
      </c>
      <c r="N294" s="26" t="n">
        <f aca="false">IF(INDEX(Pengaturan!$B$8:$B$27,N$4)="",0,COUNTIF(Data!$B294:$U294,INDEX(Pengaturan!$B$8:$B$27,N$4)))</f>
        <v>0</v>
      </c>
      <c r="O294" s="26" t="n">
        <f aca="false">IF(INDEX(Pengaturan!$B$8:$B$27,O$4)="",0,COUNTIF(Data!$B294:$U294,INDEX(Pengaturan!$B$8:$B$27,O$4)))</f>
        <v>0</v>
      </c>
      <c r="P294" s="26" t="n">
        <f aca="false">IF(INDEX(Pengaturan!$B$8:$B$27,P$4)="",0,COUNTIF(Data!$B294:$U294,INDEX(Pengaturan!$B$8:$B$27,P$4)))</f>
        <v>0</v>
      </c>
      <c r="Q294" s="26" t="n">
        <f aca="false">IF(INDEX(Pengaturan!$B$8:$B$27,Q$4)="",0,COUNTIF(Data!$B294:$U294,INDEX(Pengaturan!$B$8:$B$27,Q$4)))</f>
        <v>0</v>
      </c>
      <c r="R294" s="26" t="n">
        <f aca="false">IF(INDEX(Pengaturan!$B$8:$B$27,R$4)="",0,COUNTIF(Data!$B294:$U294,INDEX(Pengaturan!$B$8:$B$27,R$4)))</f>
        <v>0</v>
      </c>
      <c r="S294" s="26" t="n">
        <f aca="false">IF(INDEX(Pengaturan!$B$8:$B$27,S$4)="",0,COUNTIF(Data!$B294:$U294,INDEX(Pengaturan!$B$8:$B$27,S$4)))</f>
        <v>0</v>
      </c>
      <c r="T294" s="26" t="n">
        <f aca="false">IF(INDEX(Pengaturan!$B$8:$B$27,T$4)="",0,COUNTIF(Data!$B294:$U294,INDEX(Pengaturan!$B$8:$B$27,T$4)))</f>
        <v>0</v>
      </c>
      <c r="U294" s="26" t="n">
        <f aca="false">IF(INDEX(Pengaturan!$B$8:$B$27,U$4)="",0,COUNTIF(Data!$B294:$U294,INDEX(Pengaturan!$B$8:$B$27,U$4)))</f>
        <v>0</v>
      </c>
      <c r="V294" s="26" t="n">
        <f aca="false">COUNTA(Data!$B294:$U294)</f>
        <v>0</v>
      </c>
      <c r="W294" s="27" t="str">
        <f aca="false">IF(V294=0,"",IF(V294&lt;&gt;Hasil!$C$4,"Data kosong/tidak lengkap",IF(SUM(B294:U294)&lt;&gt;V294,"Kategori tidak dikenal","OK")))</f>
        <v/>
      </c>
      <c r="X294" s="26" t="n">
        <f aca="false">IF(OR(W294="",W294="OK"),0,1)</f>
        <v>0</v>
      </c>
    </row>
    <row r="295" customFormat="false" ht="15" hidden="false" customHeight="false" outlineLevel="0" collapsed="false">
      <c r="A295" s="26" t="n">
        <f aca="false">Data!A295</f>
        <v>290</v>
      </c>
      <c r="B295" s="26" t="n">
        <f aca="false">IF(INDEX(Pengaturan!$B$8:$B$27,B$4)="",0,COUNTIF(Data!$B295:$U295,INDEX(Pengaturan!$B$8:$B$27,B$4)))</f>
        <v>0</v>
      </c>
      <c r="C295" s="26" t="n">
        <f aca="false">IF(INDEX(Pengaturan!$B$8:$B$27,C$4)="",0,COUNTIF(Data!$B295:$U295,INDEX(Pengaturan!$B$8:$B$27,C$4)))</f>
        <v>0</v>
      </c>
      <c r="D295" s="26" t="n">
        <f aca="false">IF(INDEX(Pengaturan!$B$8:$B$27,D$4)="",0,COUNTIF(Data!$B295:$U295,INDEX(Pengaturan!$B$8:$B$27,D$4)))</f>
        <v>0</v>
      </c>
      <c r="E295" s="26" t="n">
        <f aca="false">IF(INDEX(Pengaturan!$B$8:$B$27,E$4)="",0,COUNTIF(Data!$B295:$U295,INDEX(Pengaturan!$B$8:$B$27,E$4)))</f>
        <v>0</v>
      </c>
      <c r="F295" s="26" t="n">
        <f aca="false">IF(INDEX(Pengaturan!$B$8:$B$27,F$4)="",0,COUNTIF(Data!$B295:$U295,INDEX(Pengaturan!$B$8:$B$27,F$4)))</f>
        <v>0</v>
      </c>
      <c r="G295" s="26" t="n">
        <f aca="false">IF(INDEX(Pengaturan!$B$8:$B$27,G$4)="",0,COUNTIF(Data!$B295:$U295,INDEX(Pengaturan!$B$8:$B$27,G$4)))</f>
        <v>0</v>
      </c>
      <c r="H295" s="26" t="n">
        <f aca="false">IF(INDEX(Pengaturan!$B$8:$B$27,H$4)="",0,COUNTIF(Data!$B295:$U295,INDEX(Pengaturan!$B$8:$B$27,H$4)))</f>
        <v>0</v>
      </c>
      <c r="I295" s="26" t="n">
        <f aca="false">IF(INDEX(Pengaturan!$B$8:$B$27,I$4)="",0,COUNTIF(Data!$B295:$U295,INDEX(Pengaturan!$B$8:$B$27,I$4)))</f>
        <v>0</v>
      </c>
      <c r="J295" s="26" t="n">
        <f aca="false">IF(INDEX(Pengaturan!$B$8:$B$27,J$4)="",0,COUNTIF(Data!$B295:$U295,INDEX(Pengaturan!$B$8:$B$27,J$4)))</f>
        <v>0</v>
      </c>
      <c r="K295" s="26" t="n">
        <f aca="false">IF(INDEX(Pengaturan!$B$8:$B$27,K$4)="",0,COUNTIF(Data!$B295:$U295,INDEX(Pengaturan!$B$8:$B$27,K$4)))</f>
        <v>0</v>
      </c>
      <c r="L295" s="26" t="n">
        <f aca="false">IF(INDEX(Pengaturan!$B$8:$B$27,L$4)="",0,COUNTIF(Data!$B295:$U295,INDEX(Pengaturan!$B$8:$B$27,L$4)))</f>
        <v>0</v>
      </c>
      <c r="M295" s="26" t="n">
        <f aca="false">IF(INDEX(Pengaturan!$B$8:$B$27,M$4)="",0,COUNTIF(Data!$B295:$U295,INDEX(Pengaturan!$B$8:$B$27,M$4)))</f>
        <v>0</v>
      </c>
      <c r="N295" s="26" t="n">
        <f aca="false">IF(INDEX(Pengaturan!$B$8:$B$27,N$4)="",0,COUNTIF(Data!$B295:$U295,INDEX(Pengaturan!$B$8:$B$27,N$4)))</f>
        <v>0</v>
      </c>
      <c r="O295" s="26" t="n">
        <f aca="false">IF(INDEX(Pengaturan!$B$8:$B$27,O$4)="",0,COUNTIF(Data!$B295:$U295,INDEX(Pengaturan!$B$8:$B$27,O$4)))</f>
        <v>0</v>
      </c>
      <c r="P295" s="26" t="n">
        <f aca="false">IF(INDEX(Pengaturan!$B$8:$B$27,P$4)="",0,COUNTIF(Data!$B295:$U295,INDEX(Pengaturan!$B$8:$B$27,P$4)))</f>
        <v>0</v>
      </c>
      <c r="Q295" s="26" t="n">
        <f aca="false">IF(INDEX(Pengaturan!$B$8:$B$27,Q$4)="",0,COUNTIF(Data!$B295:$U295,INDEX(Pengaturan!$B$8:$B$27,Q$4)))</f>
        <v>0</v>
      </c>
      <c r="R295" s="26" t="n">
        <f aca="false">IF(INDEX(Pengaturan!$B$8:$B$27,R$4)="",0,COUNTIF(Data!$B295:$U295,INDEX(Pengaturan!$B$8:$B$27,R$4)))</f>
        <v>0</v>
      </c>
      <c r="S295" s="26" t="n">
        <f aca="false">IF(INDEX(Pengaturan!$B$8:$B$27,S$4)="",0,COUNTIF(Data!$B295:$U295,INDEX(Pengaturan!$B$8:$B$27,S$4)))</f>
        <v>0</v>
      </c>
      <c r="T295" s="26" t="n">
        <f aca="false">IF(INDEX(Pengaturan!$B$8:$B$27,T$4)="",0,COUNTIF(Data!$B295:$U295,INDEX(Pengaturan!$B$8:$B$27,T$4)))</f>
        <v>0</v>
      </c>
      <c r="U295" s="26" t="n">
        <f aca="false">IF(INDEX(Pengaturan!$B$8:$B$27,U$4)="",0,COUNTIF(Data!$B295:$U295,INDEX(Pengaturan!$B$8:$B$27,U$4)))</f>
        <v>0</v>
      </c>
      <c r="V295" s="26" t="n">
        <f aca="false">COUNTA(Data!$B295:$U295)</f>
        <v>0</v>
      </c>
      <c r="W295" s="27" t="str">
        <f aca="false">IF(V295=0,"",IF(V295&lt;&gt;Hasil!$C$4,"Data kosong/tidak lengkap",IF(SUM(B295:U295)&lt;&gt;V295,"Kategori tidak dikenal","OK")))</f>
        <v/>
      </c>
      <c r="X295" s="26" t="n">
        <f aca="false">IF(OR(W295="",W295="OK"),0,1)</f>
        <v>0</v>
      </c>
    </row>
    <row r="296" customFormat="false" ht="15" hidden="false" customHeight="false" outlineLevel="0" collapsed="false">
      <c r="A296" s="26" t="n">
        <f aca="false">Data!A296</f>
        <v>291</v>
      </c>
      <c r="B296" s="26" t="n">
        <f aca="false">IF(INDEX(Pengaturan!$B$8:$B$27,B$4)="",0,COUNTIF(Data!$B296:$U296,INDEX(Pengaturan!$B$8:$B$27,B$4)))</f>
        <v>0</v>
      </c>
      <c r="C296" s="26" t="n">
        <f aca="false">IF(INDEX(Pengaturan!$B$8:$B$27,C$4)="",0,COUNTIF(Data!$B296:$U296,INDEX(Pengaturan!$B$8:$B$27,C$4)))</f>
        <v>0</v>
      </c>
      <c r="D296" s="26" t="n">
        <f aca="false">IF(INDEX(Pengaturan!$B$8:$B$27,D$4)="",0,COUNTIF(Data!$B296:$U296,INDEX(Pengaturan!$B$8:$B$27,D$4)))</f>
        <v>0</v>
      </c>
      <c r="E296" s="26" t="n">
        <f aca="false">IF(INDEX(Pengaturan!$B$8:$B$27,E$4)="",0,COUNTIF(Data!$B296:$U296,INDEX(Pengaturan!$B$8:$B$27,E$4)))</f>
        <v>0</v>
      </c>
      <c r="F296" s="26" t="n">
        <f aca="false">IF(INDEX(Pengaturan!$B$8:$B$27,F$4)="",0,COUNTIF(Data!$B296:$U296,INDEX(Pengaturan!$B$8:$B$27,F$4)))</f>
        <v>0</v>
      </c>
      <c r="G296" s="26" t="n">
        <f aca="false">IF(INDEX(Pengaturan!$B$8:$B$27,G$4)="",0,COUNTIF(Data!$B296:$U296,INDEX(Pengaturan!$B$8:$B$27,G$4)))</f>
        <v>0</v>
      </c>
      <c r="H296" s="26" t="n">
        <f aca="false">IF(INDEX(Pengaturan!$B$8:$B$27,H$4)="",0,COUNTIF(Data!$B296:$U296,INDEX(Pengaturan!$B$8:$B$27,H$4)))</f>
        <v>0</v>
      </c>
      <c r="I296" s="26" t="n">
        <f aca="false">IF(INDEX(Pengaturan!$B$8:$B$27,I$4)="",0,COUNTIF(Data!$B296:$U296,INDEX(Pengaturan!$B$8:$B$27,I$4)))</f>
        <v>0</v>
      </c>
      <c r="J296" s="26" t="n">
        <f aca="false">IF(INDEX(Pengaturan!$B$8:$B$27,J$4)="",0,COUNTIF(Data!$B296:$U296,INDEX(Pengaturan!$B$8:$B$27,J$4)))</f>
        <v>0</v>
      </c>
      <c r="K296" s="26" t="n">
        <f aca="false">IF(INDEX(Pengaturan!$B$8:$B$27,K$4)="",0,COUNTIF(Data!$B296:$U296,INDEX(Pengaturan!$B$8:$B$27,K$4)))</f>
        <v>0</v>
      </c>
      <c r="L296" s="26" t="n">
        <f aca="false">IF(INDEX(Pengaturan!$B$8:$B$27,L$4)="",0,COUNTIF(Data!$B296:$U296,INDEX(Pengaturan!$B$8:$B$27,L$4)))</f>
        <v>0</v>
      </c>
      <c r="M296" s="26" t="n">
        <f aca="false">IF(INDEX(Pengaturan!$B$8:$B$27,M$4)="",0,COUNTIF(Data!$B296:$U296,INDEX(Pengaturan!$B$8:$B$27,M$4)))</f>
        <v>0</v>
      </c>
      <c r="N296" s="26" t="n">
        <f aca="false">IF(INDEX(Pengaturan!$B$8:$B$27,N$4)="",0,COUNTIF(Data!$B296:$U296,INDEX(Pengaturan!$B$8:$B$27,N$4)))</f>
        <v>0</v>
      </c>
      <c r="O296" s="26" t="n">
        <f aca="false">IF(INDEX(Pengaturan!$B$8:$B$27,O$4)="",0,COUNTIF(Data!$B296:$U296,INDEX(Pengaturan!$B$8:$B$27,O$4)))</f>
        <v>0</v>
      </c>
      <c r="P296" s="26" t="n">
        <f aca="false">IF(INDEX(Pengaturan!$B$8:$B$27,P$4)="",0,COUNTIF(Data!$B296:$U296,INDEX(Pengaturan!$B$8:$B$27,P$4)))</f>
        <v>0</v>
      </c>
      <c r="Q296" s="26" t="n">
        <f aca="false">IF(INDEX(Pengaturan!$B$8:$B$27,Q$4)="",0,COUNTIF(Data!$B296:$U296,INDEX(Pengaturan!$B$8:$B$27,Q$4)))</f>
        <v>0</v>
      </c>
      <c r="R296" s="26" t="n">
        <f aca="false">IF(INDEX(Pengaturan!$B$8:$B$27,R$4)="",0,COUNTIF(Data!$B296:$U296,INDEX(Pengaturan!$B$8:$B$27,R$4)))</f>
        <v>0</v>
      </c>
      <c r="S296" s="26" t="n">
        <f aca="false">IF(INDEX(Pengaturan!$B$8:$B$27,S$4)="",0,COUNTIF(Data!$B296:$U296,INDEX(Pengaturan!$B$8:$B$27,S$4)))</f>
        <v>0</v>
      </c>
      <c r="T296" s="26" t="n">
        <f aca="false">IF(INDEX(Pengaturan!$B$8:$B$27,T$4)="",0,COUNTIF(Data!$B296:$U296,INDEX(Pengaturan!$B$8:$B$27,T$4)))</f>
        <v>0</v>
      </c>
      <c r="U296" s="26" t="n">
        <f aca="false">IF(INDEX(Pengaturan!$B$8:$B$27,U$4)="",0,COUNTIF(Data!$B296:$U296,INDEX(Pengaturan!$B$8:$B$27,U$4)))</f>
        <v>0</v>
      </c>
      <c r="V296" s="26" t="n">
        <f aca="false">COUNTA(Data!$B296:$U296)</f>
        <v>0</v>
      </c>
      <c r="W296" s="27" t="str">
        <f aca="false">IF(V296=0,"",IF(V296&lt;&gt;Hasil!$C$4,"Data kosong/tidak lengkap",IF(SUM(B296:U296)&lt;&gt;V296,"Kategori tidak dikenal","OK")))</f>
        <v/>
      </c>
      <c r="X296" s="26" t="n">
        <f aca="false">IF(OR(W296="",W296="OK"),0,1)</f>
        <v>0</v>
      </c>
    </row>
    <row r="297" customFormat="false" ht="15" hidden="false" customHeight="false" outlineLevel="0" collapsed="false">
      <c r="A297" s="26" t="n">
        <f aca="false">Data!A297</f>
        <v>292</v>
      </c>
      <c r="B297" s="26" t="n">
        <f aca="false">IF(INDEX(Pengaturan!$B$8:$B$27,B$4)="",0,COUNTIF(Data!$B297:$U297,INDEX(Pengaturan!$B$8:$B$27,B$4)))</f>
        <v>0</v>
      </c>
      <c r="C297" s="26" t="n">
        <f aca="false">IF(INDEX(Pengaturan!$B$8:$B$27,C$4)="",0,COUNTIF(Data!$B297:$U297,INDEX(Pengaturan!$B$8:$B$27,C$4)))</f>
        <v>0</v>
      </c>
      <c r="D297" s="26" t="n">
        <f aca="false">IF(INDEX(Pengaturan!$B$8:$B$27,D$4)="",0,COUNTIF(Data!$B297:$U297,INDEX(Pengaturan!$B$8:$B$27,D$4)))</f>
        <v>0</v>
      </c>
      <c r="E297" s="26" t="n">
        <f aca="false">IF(INDEX(Pengaturan!$B$8:$B$27,E$4)="",0,COUNTIF(Data!$B297:$U297,INDEX(Pengaturan!$B$8:$B$27,E$4)))</f>
        <v>0</v>
      </c>
      <c r="F297" s="26" t="n">
        <f aca="false">IF(INDEX(Pengaturan!$B$8:$B$27,F$4)="",0,COUNTIF(Data!$B297:$U297,INDEX(Pengaturan!$B$8:$B$27,F$4)))</f>
        <v>0</v>
      </c>
      <c r="G297" s="26" t="n">
        <f aca="false">IF(INDEX(Pengaturan!$B$8:$B$27,G$4)="",0,COUNTIF(Data!$B297:$U297,INDEX(Pengaturan!$B$8:$B$27,G$4)))</f>
        <v>0</v>
      </c>
      <c r="H297" s="26" t="n">
        <f aca="false">IF(INDEX(Pengaturan!$B$8:$B$27,H$4)="",0,COUNTIF(Data!$B297:$U297,INDEX(Pengaturan!$B$8:$B$27,H$4)))</f>
        <v>0</v>
      </c>
      <c r="I297" s="26" t="n">
        <f aca="false">IF(INDEX(Pengaturan!$B$8:$B$27,I$4)="",0,COUNTIF(Data!$B297:$U297,INDEX(Pengaturan!$B$8:$B$27,I$4)))</f>
        <v>0</v>
      </c>
      <c r="J297" s="26" t="n">
        <f aca="false">IF(INDEX(Pengaturan!$B$8:$B$27,J$4)="",0,COUNTIF(Data!$B297:$U297,INDEX(Pengaturan!$B$8:$B$27,J$4)))</f>
        <v>0</v>
      </c>
      <c r="K297" s="26" t="n">
        <f aca="false">IF(INDEX(Pengaturan!$B$8:$B$27,K$4)="",0,COUNTIF(Data!$B297:$U297,INDEX(Pengaturan!$B$8:$B$27,K$4)))</f>
        <v>0</v>
      </c>
      <c r="L297" s="26" t="n">
        <f aca="false">IF(INDEX(Pengaturan!$B$8:$B$27,L$4)="",0,COUNTIF(Data!$B297:$U297,INDEX(Pengaturan!$B$8:$B$27,L$4)))</f>
        <v>0</v>
      </c>
      <c r="M297" s="26" t="n">
        <f aca="false">IF(INDEX(Pengaturan!$B$8:$B$27,M$4)="",0,COUNTIF(Data!$B297:$U297,INDEX(Pengaturan!$B$8:$B$27,M$4)))</f>
        <v>0</v>
      </c>
      <c r="N297" s="26" t="n">
        <f aca="false">IF(INDEX(Pengaturan!$B$8:$B$27,N$4)="",0,COUNTIF(Data!$B297:$U297,INDEX(Pengaturan!$B$8:$B$27,N$4)))</f>
        <v>0</v>
      </c>
      <c r="O297" s="26" t="n">
        <f aca="false">IF(INDEX(Pengaturan!$B$8:$B$27,O$4)="",0,COUNTIF(Data!$B297:$U297,INDEX(Pengaturan!$B$8:$B$27,O$4)))</f>
        <v>0</v>
      </c>
      <c r="P297" s="26" t="n">
        <f aca="false">IF(INDEX(Pengaturan!$B$8:$B$27,P$4)="",0,COUNTIF(Data!$B297:$U297,INDEX(Pengaturan!$B$8:$B$27,P$4)))</f>
        <v>0</v>
      </c>
      <c r="Q297" s="26" t="n">
        <f aca="false">IF(INDEX(Pengaturan!$B$8:$B$27,Q$4)="",0,COUNTIF(Data!$B297:$U297,INDEX(Pengaturan!$B$8:$B$27,Q$4)))</f>
        <v>0</v>
      </c>
      <c r="R297" s="26" t="n">
        <f aca="false">IF(INDEX(Pengaturan!$B$8:$B$27,R$4)="",0,COUNTIF(Data!$B297:$U297,INDEX(Pengaturan!$B$8:$B$27,R$4)))</f>
        <v>0</v>
      </c>
      <c r="S297" s="26" t="n">
        <f aca="false">IF(INDEX(Pengaturan!$B$8:$B$27,S$4)="",0,COUNTIF(Data!$B297:$U297,INDEX(Pengaturan!$B$8:$B$27,S$4)))</f>
        <v>0</v>
      </c>
      <c r="T297" s="26" t="n">
        <f aca="false">IF(INDEX(Pengaturan!$B$8:$B$27,T$4)="",0,COUNTIF(Data!$B297:$U297,INDEX(Pengaturan!$B$8:$B$27,T$4)))</f>
        <v>0</v>
      </c>
      <c r="U297" s="26" t="n">
        <f aca="false">IF(INDEX(Pengaturan!$B$8:$B$27,U$4)="",0,COUNTIF(Data!$B297:$U297,INDEX(Pengaturan!$B$8:$B$27,U$4)))</f>
        <v>0</v>
      </c>
      <c r="V297" s="26" t="n">
        <f aca="false">COUNTA(Data!$B297:$U297)</f>
        <v>0</v>
      </c>
      <c r="W297" s="27" t="str">
        <f aca="false">IF(V297=0,"",IF(V297&lt;&gt;Hasil!$C$4,"Data kosong/tidak lengkap",IF(SUM(B297:U297)&lt;&gt;V297,"Kategori tidak dikenal","OK")))</f>
        <v/>
      </c>
      <c r="X297" s="26" t="n">
        <f aca="false">IF(OR(W297="",W297="OK"),0,1)</f>
        <v>0</v>
      </c>
    </row>
    <row r="298" customFormat="false" ht="15" hidden="false" customHeight="false" outlineLevel="0" collapsed="false">
      <c r="A298" s="26" t="n">
        <f aca="false">Data!A298</f>
        <v>293</v>
      </c>
      <c r="B298" s="26" t="n">
        <f aca="false">IF(INDEX(Pengaturan!$B$8:$B$27,B$4)="",0,COUNTIF(Data!$B298:$U298,INDEX(Pengaturan!$B$8:$B$27,B$4)))</f>
        <v>0</v>
      </c>
      <c r="C298" s="26" t="n">
        <f aca="false">IF(INDEX(Pengaturan!$B$8:$B$27,C$4)="",0,COUNTIF(Data!$B298:$U298,INDEX(Pengaturan!$B$8:$B$27,C$4)))</f>
        <v>0</v>
      </c>
      <c r="D298" s="26" t="n">
        <f aca="false">IF(INDEX(Pengaturan!$B$8:$B$27,D$4)="",0,COUNTIF(Data!$B298:$U298,INDEX(Pengaturan!$B$8:$B$27,D$4)))</f>
        <v>0</v>
      </c>
      <c r="E298" s="26" t="n">
        <f aca="false">IF(INDEX(Pengaturan!$B$8:$B$27,E$4)="",0,COUNTIF(Data!$B298:$U298,INDEX(Pengaturan!$B$8:$B$27,E$4)))</f>
        <v>0</v>
      </c>
      <c r="F298" s="26" t="n">
        <f aca="false">IF(INDEX(Pengaturan!$B$8:$B$27,F$4)="",0,COUNTIF(Data!$B298:$U298,INDEX(Pengaturan!$B$8:$B$27,F$4)))</f>
        <v>0</v>
      </c>
      <c r="G298" s="26" t="n">
        <f aca="false">IF(INDEX(Pengaturan!$B$8:$B$27,G$4)="",0,COUNTIF(Data!$B298:$U298,INDEX(Pengaturan!$B$8:$B$27,G$4)))</f>
        <v>0</v>
      </c>
      <c r="H298" s="26" t="n">
        <f aca="false">IF(INDEX(Pengaturan!$B$8:$B$27,H$4)="",0,COUNTIF(Data!$B298:$U298,INDEX(Pengaturan!$B$8:$B$27,H$4)))</f>
        <v>0</v>
      </c>
      <c r="I298" s="26" t="n">
        <f aca="false">IF(INDEX(Pengaturan!$B$8:$B$27,I$4)="",0,COUNTIF(Data!$B298:$U298,INDEX(Pengaturan!$B$8:$B$27,I$4)))</f>
        <v>0</v>
      </c>
      <c r="J298" s="26" t="n">
        <f aca="false">IF(INDEX(Pengaturan!$B$8:$B$27,J$4)="",0,COUNTIF(Data!$B298:$U298,INDEX(Pengaturan!$B$8:$B$27,J$4)))</f>
        <v>0</v>
      </c>
      <c r="K298" s="26" t="n">
        <f aca="false">IF(INDEX(Pengaturan!$B$8:$B$27,K$4)="",0,COUNTIF(Data!$B298:$U298,INDEX(Pengaturan!$B$8:$B$27,K$4)))</f>
        <v>0</v>
      </c>
      <c r="L298" s="26" t="n">
        <f aca="false">IF(INDEX(Pengaturan!$B$8:$B$27,L$4)="",0,COUNTIF(Data!$B298:$U298,INDEX(Pengaturan!$B$8:$B$27,L$4)))</f>
        <v>0</v>
      </c>
      <c r="M298" s="26" t="n">
        <f aca="false">IF(INDEX(Pengaturan!$B$8:$B$27,M$4)="",0,COUNTIF(Data!$B298:$U298,INDEX(Pengaturan!$B$8:$B$27,M$4)))</f>
        <v>0</v>
      </c>
      <c r="N298" s="26" t="n">
        <f aca="false">IF(INDEX(Pengaturan!$B$8:$B$27,N$4)="",0,COUNTIF(Data!$B298:$U298,INDEX(Pengaturan!$B$8:$B$27,N$4)))</f>
        <v>0</v>
      </c>
      <c r="O298" s="26" t="n">
        <f aca="false">IF(INDEX(Pengaturan!$B$8:$B$27,O$4)="",0,COUNTIF(Data!$B298:$U298,INDEX(Pengaturan!$B$8:$B$27,O$4)))</f>
        <v>0</v>
      </c>
      <c r="P298" s="26" t="n">
        <f aca="false">IF(INDEX(Pengaturan!$B$8:$B$27,P$4)="",0,COUNTIF(Data!$B298:$U298,INDEX(Pengaturan!$B$8:$B$27,P$4)))</f>
        <v>0</v>
      </c>
      <c r="Q298" s="26" t="n">
        <f aca="false">IF(INDEX(Pengaturan!$B$8:$B$27,Q$4)="",0,COUNTIF(Data!$B298:$U298,INDEX(Pengaturan!$B$8:$B$27,Q$4)))</f>
        <v>0</v>
      </c>
      <c r="R298" s="26" t="n">
        <f aca="false">IF(INDEX(Pengaturan!$B$8:$B$27,R$4)="",0,COUNTIF(Data!$B298:$U298,INDEX(Pengaturan!$B$8:$B$27,R$4)))</f>
        <v>0</v>
      </c>
      <c r="S298" s="26" t="n">
        <f aca="false">IF(INDEX(Pengaturan!$B$8:$B$27,S$4)="",0,COUNTIF(Data!$B298:$U298,INDEX(Pengaturan!$B$8:$B$27,S$4)))</f>
        <v>0</v>
      </c>
      <c r="T298" s="26" t="n">
        <f aca="false">IF(INDEX(Pengaturan!$B$8:$B$27,T$4)="",0,COUNTIF(Data!$B298:$U298,INDEX(Pengaturan!$B$8:$B$27,T$4)))</f>
        <v>0</v>
      </c>
      <c r="U298" s="26" t="n">
        <f aca="false">IF(INDEX(Pengaturan!$B$8:$B$27,U$4)="",0,COUNTIF(Data!$B298:$U298,INDEX(Pengaturan!$B$8:$B$27,U$4)))</f>
        <v>0</v>
      </c>
      <c r="V298" s="26" t="n">
        <f aca="false">COUNTA(Data!$B298:$U298)</f>
        <v>0</v>
      </c>
      <c r="W298" s="27" t="str">
        <f aca="false">IF(V298=0,"",IF(V298&lt;&gt;Hasil!$C$4,"Data kosong/tidak lengkap",IF(SUM(B298:U298)&lt;&gt;V298,"Kategori tidak dikenal","OK")))</f>
        <v/>
      </c>
      <c r="X298" s="26" t="n">
        <f aca="false">IF(OR(W298="",W298="OK"),0,1)</f>
        <v>0</v>
      </c>
    </row>
    <row r="299" customFormat="false" ht="15" hidden="false" customHeight="false" outlineLevel="0" collapsed="false">
      <c r="A299" s="26" t="n">
        <f aca="false">Data!A299</f>
        <v>294</v>
      </c>
      <c r="B299" s="26" t="n">
        <f aca="false">IF(INDEX(Pengaturan!$B$8:$B$27,B$4)="",0,COUNTIF(Data!$B299:$U299,INDEX(Pengaturan!$B$8:$B$27,B$4)))</f>
        <v>0</v>
      </c>
      <c r="C299" s="26" t="n">
        <f aca="false">IF(INDEX(Pengaturan!$B$8:$B$27,C$4)="",0,COUNTIF(Data!$B299:$U299,INDEX(Pengaturan!$B$8:$B$27,C$4)))</f>
        <v>0</v>
      </c>
      <c r="D299" s="26" t="n">
        <f aca="false">IF(INDEX(Pengaturan!$B$8:$B$27,D$4)="",0,COUNTIF(Data!$B299:$U299,INDEX(Pengaturan!$B$8:$B$27,D$4)))</f>
        <v>0</v>
      </c>
      <c r="E299" s="26" t="n">
        <f aca="false">IF(INDEX(Pengaturan!$B$8:$B$27,E$4)="",0,COUNTIF(Data!$B299:$U299,INDEX(Pengaturan!$B$8:$B$27,E$4)))</f>
        <v>0</v>
      </c>
      <c r="F299" s="26" t="n">
        <f aca="false">IF(INDEX(Pengaturan!$B$8:$B$27,F$4)="",0,COUNTIF(Data!$B299:$U299,INDEX(Pengaturan!$B$8:$B$27,F$4)))</f>
        <v>0</v>
      </c>
      <c r="G299" s="26" t="n">
        <f aca="false">IF(INDEX(Pengaturan!$B$8:$B$27,G$4)="",0,COUNTIF(Data!$B299:$U299,INDEX(Pengaturan!$B$8:$B$27,G$4)))</f>
        <v>0</v>
      </c>
      <c r="H299" s="26" t="n">
        <f aca="false">IF(INDEX(Pengaturan!$B$8:$B$27,H$4)="",0,COUNTIF(Data!$B299:$U299,INDEX(Pengaturan!$B$8:$B$27,H$4)))</f>
        <v>0</v>
      </c>
      <c r="I299" s="26" t="n">
        <f aca="false">IF(INDEX(Pengaturan!$B$8:$B$27,I$4)="",0,COUNTIF(Data!$B299:$U299,INDEX(Pengaturan!$B$8:$B$27,I$4)))</f>
        <v>0</v>
      </c>
      <c r="J299" s="26" t="n">
        <f aca="false">IF(INDEX(Pengaturan!$B$8:$B$27,J$4)="",0,COUNTIF(Data!$B299:$U299,INDEX(Pengaturan!$B$8:$B$27,J$4)))</f>
        <v>0</v>
      </c>
      <c r="K299" s="26" t="n">
        <f aca="false">IF(INDEX(Pengaturan!$B$8:$B$27,K$4)="",0,COUNTIF(Data!$B299:$U299,INDEX(Pengaturan!$B$8:$B$27,K$4)))</f>
        <v>0</v>
      </c>
      <c r="L299" s="26" t="n">
        <f aca="false">IF(INDEX(Pengaturan!$B$8:$B$27,L$4)="",0,COUNTIF(Data!$B299:$U299,INDEX(Pengaturan!$B$8:$B$27,L$4)))</f>
        <v>0</v>
      </c>
      <c r="M299" s="26" t="n">
        <f aca="false">IF(INDEX(Pengaturan!$B$8:$B$27,M$4)="",0,COUNTIF(Data!$B299:$U299,INDEX(Pengaturan!$B$8:$B$27,M$4)))</f>
        <v>0</v>
      </c>
      <c r="N299" s="26" t="n">
        <f aca="false">IF(INDEX(Pengaturan!$B$8:$B$27,N$4)="",0,COUNTIF(Data!$B299:$U299,INDEX(Pengaturan!$B$8:$B$27,N$4)))</f>
        <v>0</v>
      </c>
      <c r="O299" s="26" t="n">
        <f aca="false">IF(INDEX(Pengaturan!$B$8:$B$27,O$4)="",0,COUNTIF(Data!$B299:$U299,INDEX(Pengaturan!$B$8:$B$27,O$4)))</f>
        <v>0</v>
      </c>
      <c r="P299" s="26" t="n">
        <f aca="false">IF(INDEX(Pengaturan!$B$8:$B$27,P$4)="",0,COUNTIF(Data!$B299:$U299,INDEX(Pengaturan!$B$8:$B$27,P$4)))</f>
        <v>0</v>
      </c>
      <c r="Q299" s="26" t="n">
        <f aca="false">IF(INDEX(Pengaturan!$B$8:$B$27,Q$4)="",0,COUNTIF(Data!$B299:$U299,INDEX(Pengaturan!$B$8:$B$27,Q$4)))</f>
        <v>0</v>
      </c>
      <c r="R299" s="26" t="n">
        <f aca="false">IF(INDEX(Pengaturan!$B$8:$B$27,R$4)="",0,COUNTIF(Data!$B299:$U299,INDEX(Pengaturan!$B$8:$B$27,R$4)))</f>
        <v>0</v>
      </c>
      <c r="S299" s="26" t="n">
        <f aca="false">IF(INDEX(Pengaturan!$B$8:$B$27,S$4)="",0,COUNTIF(Data!$B299:$U299,INDEX(Pengaturan!$B$8:$B$27,S$4)))</f>
        <v>0</v>
      </c>
      <c r="T299" s="26" t="n">
        <f aca="false">IF(INDEX(Pengaturan!$B$8:$B$27,T$4)="",0,COUNTIF(Data!$B299:$U299,INDEX(Pengaturan!$B$8:$B$27,T$4)))</f>
        <v>0</v>
      </c>
      <c r="U299" s="26" t="n">
        <f aca="false">IF(INDEX(Pengaturan!$B$8:$B$27,U$4)="",0,COUNTIF(Data!$B299:$U299,INDEX(Pengaturan!$B$8:$B$27,U$4)))</f>
        <v>0</v>
      </c>
      <c r="V299" s="26" t="n">
        <f aca="false">COUNTA(Data!$B299:$U299)</f>
        <v>0</v>
      </c>
      <c r="W299" s="27" t="str">
        <f aca="false">IF(V299=0,"",IF(V299&lt;&gt;Hasil!$C$4,"Data kosong/tidak lengkap",IF(SUM(B299:U299)&lt;&gt;V299,"Kategori tidak dikenal","OK")))</f>
        <v/>
      </c>
      <c r="X299" s="26" t="n">
        <f aca="false">IF(OR(W299="",W299="OK"),0,1)</f>
        <v>0</v>
      </c>
    </row>
    <row r="300" customFormat="false" ht="15" hidden="false" customHeight="false" outlineLevel="0" collapsed="false">
      <c r="A300" s="26" t="n">
        <f aca="false">Data!A300</f>
        <v>295</v>
      </c>
      <c r="B300" s="26" t="n">
        <f aca="false">IF(INDEX(Pengaturan!$B$8:$B$27,B$4)="",0,COUNTIF(Data!$B300:$U300,INDEX(Pengaturan!$B$8:$B$27,B$4)))</f>
        <v>0</v>
      </c>
      <c r="C300" s="26" t="n">
        <f aca="false">IF(INDEX(Pengaturan!$B$8:$B$27,C$4)="",0,COUNTIF(Data!$B300:$U300,INDEX(Pengaturan!$B$8:$B$27,C$4)))</f>
        <v>0</v>
      </c>
      <c r="D300" s="26" t="n">
        <f aca="false">IF(INDEX(Pengaturan!$B$8:$B$27,D$4)="",0,COUNTIF(Data!$B300:$U300,INDEX(Pengaturan!$B$8:$B$27,D$4)))</f>
        <v>0</v>
      </c>
      <c r="E300" s="26" t="n">
        <f aca="false">IF(INDEX(Pengaturan!$B$8:$B$27,E$4)="",0,COUNTIF(Data!$B300:$U300,INDEX(Pengaturan!$B$8:$B$27,E$4)))</f>
        <v>0</v>
      </c>
      <c r="F300" s="26" t="n">
        <f aca="false">IF(INDEX(Pengaturan!$B$8:$B$27,F$4)="",0,COUNTIF(Data!$B300:$U300,INDEX(Pengaturan!$B$8:$B$27,F$4)))</f>
        <v>0</v>
      </c>
      <c r="G300" s="26" t="n">
        <f aca="false">IF(INDEX(Pengaturan!$B$8:$B$27,G$4)="",0,COUNTIF(Data!$B300:$U300,INDEX(Pengaturan!$B$8:$B$27,G$4)))</f>
        <v>0</v>
      </c>
      <c r="H300" s="26" t="n">
        <f aca="false">IF(INDEX(Pengaturan!$B$8:$B$27,H$4)="",0,COUNTIF(Data!$B300:$U300,INDEX(Pengaturan!$B$8:$B$27,H$4)))</f>
        <v>0</v>
      </c>
      <c r="I300" s="26" t="n">
        <f aca="false">IF(INDEX(Pengaturan!$B$8:$B$27,I$4)="",0,COUNTIF(Data!$B300:$U300,INDEX(Pengaturan!$B$8:$B$27,I$4)))</f>
        <v>0</v>
      </c>
      <c r="J300" s="26" t="n">
        <f aca="false">IF(INDEX(Pengaturan!$B$8:$B$27,J$4)="",0,COUNTIF(Data!$B300:$U300,INDEX(Pengaturan!$B$8:$B$27,J$4)))</f>
        <v>0</v>
      </c>
      <c r="K300" s="26" t="n">
        <f aca="false">IF(INDEX(Pengaturan!$B$8:$B$27,K$4)="",0,COUNTIF(Data!$B300:$U300,INDEX(Pengaturan!$B$8:$B$27,K$4)))</f>
        <v>0</v>
      </c>
      <c r="L300" s="26" t="n">
        <f aca="false">IF(INDEX(Pengaturan!$B$8:$B$27,L$4)="",0,COUNTIF(Data!$B300:$U300,INDEX(Pengaturan!$B$8:$B$27,L$4)))</f>
        <v>0</v>
      </c>
      <c r="M300" s="26" t="n">
        <f aca="false">IF(INDEX(Pengaturan!$B$8:$B$27,M$4)="",0,COUNTIF(Data!$B300:$U300,INDEX(Pengaturan!$B$8:$B$27,M$4)))</f>
        <v>0</v>
      </c>
      <c r="N300" s="26" t="n">
        <f aca="false">IF(INDEX(Pengaturan!$B$8:$B$27,N$4)="",0,COUNTIF(Data!$B300:$U300,INDEX(Pengaturan!$B$8:$B$27,N$4)))</f>
        <v>0</v>
      </c>
      <c r="O300" s="26" t="n">
        <f aca="false">IF(INDEX(Pengaturan!$B$8:$B$27,O$4)="",0,COUNTIF(Data!$B300:$U300,INDEX(Pengaturan!$B$8:$B$27,O$4)))</f>
        <v>0</v>
      </c>
      <c r="P300" s="26" t="n">
        <f aca="false">IF(INDEX(Pengaturan!$B$8:$B$27,P$4)="",0,COUNTIF(Data!$B300:$U300,INDEX(Pengaturan!$B$8:$B$27,P$4)))</f>
        <v>0</v>
      </c>
      <c r="Q300" s="26" t="n">
        <f aca="false">IF(INDEX(Pengaturan!$B$8:$B$27,Q$4)="",0,COUNTIF(Data!$B300:$U300,INDEX(Pengaturan!$B$8:$B$27,Q$4)))</f>
        <v>0</v>
      </c>
      <c r="R300" s="26" t="n">
        <f aca="false">IF(INDEX(Pengaturan!$B$8:$B$27,R$4)="",0,COUNTIF(Data!$B300:$U300,INDEX(Pengaturan!$B$8:$B$27,R$4)))</f>
        <v>0</v>
      </c>
      <c r="S300" s="26" t="n">
        <f aca="false">IF(INDEX(Pengaturan!$B$8:$B$27,S$4)="",0,COUNTIF(Data!$B300:$U300,INDEX(Pengaturan!$B$8:$B$27,S$4)))</f>
        <v>0</v>
      </c>
      <c r="T300" s="26" t="n">
        <f aca="false">IF(INDEX(Pengaturan!$B$8:$B$27,T$4)="",0,COUNTIF(Data!$B300:$U300,INDEX(Pengaturan!$B$8:$B$27,T$4)))</f>
        <v>0</v>
      </c>
      <c r="U300" s="26" t="n">
        <f aca="false">IF(INDEX(Pengaturan!$B$8:$B$27,U$4)="",0,COUNTIF(Data!$B300:$U300,INDEX(Pengaturan!$B$8:$B$27,U$4)))</f>
        <v>0</v>
      </c>
      <c r="V300" s="26" t="n">
        <f aca="false">COUNTA(Data!$B300:$U300)</f>
        <v>0</v>
      </c>
      <c r="W300" s="27" t="str">
        <f aca="false">IF(V300=0,"",IF(V300&lt;&gt;Hasil!$C$4,"Data kosong/tidak lengkap",IF(SUM(B300:U300)&lt;&gt;V300,"Kategori tidak dikenal","OK")))</f>
        <v/>
      </c>
      <c r="X300" s="26" t="n">
        <f aca="false">IF(OR(W300="",W300="OK"),0,1)</f>
        <v>0</v>
      </c>
    </row>
    <row r="301" customFormat="false" ht="15" hidden="false" customHeight="false" outlineLevel="0" collapsed="false">
      <c r="A301" s="26" t="n">
        <f aca="false">Data!A301</f>
        <v>296</v>
      </c>
      <c r="B301" s="26" t="n">
        <f aca="false">IF(INDEX(Pengaturan!$B$8:$B$27,B$4)="",0,COUNTIF(Data!$B301:$U301,INDEX(Pengaturan!$B$8:$B$27,B$4)))</f>
        <v>0</v>
      </c>
      <c r="C301" s="26" t="n">
        <f aca="false">IF(INDEX(Pengaturan!$B$8:$B$27,C$4)="",0,COUNTIF(Data!$B301:$U301,INDEX(Pengaturan!$B$8:$B$27,C$4)))</f>
        <v>0</v>
      </c>
      <c r="D301" s="26" t="n">
        <f aca="false">IF(INDEX(Pengaturan!$B$8:$B$27,D$4)="",0,COUNTIF(Data!$B301:$U301,INDEX(Pengaturan!$B$8:$B$27,D$4)))</f>
        <v>0</v>
      </c>
      <c r="E301" s="26" t="n">
        <f aca="false">IF(INDEX(Pengaturan!$B$8:$B$27,E$4)="",0,COUNTIF(Data!$B301:$U301,INDEX(Pengaturan!$B$8:$B$27,E$4)))</f>
        <v>0</v>
      </c>
      <c r="F301" s="26" t="n">
        <f aca="false">IF(INDEX(Pengaturan!$B$8:$B$27,F$4)="",0,COUNTIF(Data!$B301:$U301,INDEX(Pengaturan!$B$8:$B$27,F$4)))</f>
        <v>0</v>
      </c>
      <c r="G301" s="26" t="n">
        <f aca="false">IF(INDEX(Pengaturan!$B$8:$B$27,G$4)="",0,COUNTIF(Data!$B301:$U301,INDEX(Pengaturan!$B$8:$B$27,G$4)))</f>
        <v>0</v>
      </c>
      <c r="H301" s="26" t="n">
        <f aca="false">IF(INDEX(Pengaturan!$B$8:$B$27,H$4)="",0,COUNTIF(Data!$B301:$U301,INDEX(Pengaturan!$B$8:$B$27,H$4)))</f>
        <v>0</v>
      </c>
      <c r="I301" s="26" t="n">
        <f aca="false">IF(INDEX(Pengaturan!$B$8:$B$27,I$4)="",0,COUNTIF(Data!$B301:$U301,INDEX(Pengaturan!$B$8:$B$27,I$4)))</f>
        <v>0</v>
      </c>
      <c r="J301" s="26" t="n">
        <f aca="false">IF(INDEX(Pengaturan!$B$8:$B$27,J$4)="",0,COUNTIF(Data!$B301:$U301,INDEX(Pengaturan!$B$8:$B$27,J$4)))</f>
        <v>0</v>
      </c>
      <c r="K301" s="26" t="n">
        <f aca="false">IF(INDEX(Pengaturan!$B$8:$B$27,K$4)="",0,COUNTIF(Data!$B301:$U301,INDEX(Pengaturan!$B$8:$B$27,K$4)))</f>
        <v>0</v>
      </c>
      <c r="L301" s="26" t="n">
        <f aca="false">IF(INDEX(Pengaturan!$B$8:$B$27,L$4)="",0,COUNTIF(Data!$B301:$U301,INDEX(Pengaturan!$B$8:$B$27,L$4)))</f>
        <v>0</v>
      </c>
      <c r="M301" s="26" t="n">
        <f aca="false">IF(INDEX(Pengaturan!$B$8:$B$27,M$4)="",0,COUNTIF(Data!$B301:$U301,INDEX(Pengaturan!$B$8:$B$27,M$4)))</f>
        <v>0</v>
      </c>
      <c r="N301" s="26" t="n">
        <f aca="false">IF(INDEX(Pengaturan!$B$8:$B$27,N$4)="",0,COUNTIF(Data!$B301:$U301,INDEX(Pengaturan!$B$8:$B$27,N$4)))</f>
        <v>0</v>
      </c>
      <c r="O301" s="26" t="n">
        <f aca="false">IF(INDEX(Pengaturan!$B$8:$B$27,O$4)="",0,COUNTIF(Data!$B301:$U301,INDEX(Pengaturan!$B$8:$B$27,O$4)))</f>
        <v>0</v>
      </c>
      <c r="P301" s="26" t="n">
        <f aca="false">IF(INDEX(Pengaturan!$B$8:$B$27,P$4)="",0,COUNTIF(Data!$B301:$U301,INDEX(Pengaturan!$B$8:$B$27,P$4)))</f>
        <v>0</v>
      </c>
      <c r="Q301" s="26" t="n">
        <f aca="false">IF(INDEX(Pengaturan!$B$8:$B$27,Q$4)="",0,COUNTIF(Data!$B301:$U301,INDEX(Pengaturan!$B$8:$B$27,Q$4)))</f>
        <v>0</v>
      </c>
      <c r="R301" s="26" t="n">
        <f aca="false">IF(INDEX(Pengaturan!$B$8:$B$27,R$4)="",0,COUNTIF(Data!$B301:$U301,INDEX(Pengaturan!$B$8:$B$27,R$4)))</f>
        <v>0</v>
      </c>
      <c r="S301" s="26" t="n">
        <f aca="false">IF(INDEX(Pengaturan!$B$8:$B$27,S$4)="",0,COUNTIF(Data!$B301:$U301,INDEX(Pengaturan!$B$8:$B$27,S$4)))</f>
        <v>0</v>
      </c>
      <c r="T301" s="26" t="n">
        <f aca="false">IF(INDEX(Pengaturan!$B$8:$B$27,T$4)="",0,COUNTIF(Data!$B301:$U301,INDEX(Pengaturan!$B$8:$B$27,T$4)))</f>
        <v>0</v>
      </c>
      <c r="U301" s="26" t="n">
        <f aca="false">IF(INDEX(Pengaturan!$B$8:$B$27,U$4)="",0,COUNTIF(Data!$B301:$U301,INDEX(Pengaturan!$B$8:$B$27,U$4)))</f>
        <v>0</v>
      </c>
      <c r="V301" s="26" t="n">
        <f aca="false">COUNTA(Data!$B301:$U301)</f>
        <v>0</v>
      </c>
      <c r="W301" s="27" t="str">
        <f aca="false">IF(V301=0,"",IF(V301&lt;&gt;Hasil!$C$4,"Data kosong/tidak lengkap",IF(SUM(B301:U301)&lt;&gt;V301,"Kategori tidak dikenal","OK")))</f>
        <v/>
      </c>
      <c r="X301" s="26" t="n">
        <f aca="false">IF(OR(W301="",W301="OK"),0,1)</f>
        <v>0</v>
      </c>
    </row>
    <row r="302" customFormat="false" ht="15" hidden="false" customHeight="false" outlineLevel="0" collapsed="false">
      <c r="A302" s="26" t="n">
        <f aca="false">Data!A302</f>
        <v>297</v>
      </c>
      <c r="B302" s="26" t="n">
        <f aca="false">IF(INDEX(Pengaturan!$B$8:$B$27,B$4)="",0,COUNTIF(Data!$B302:$U302,INDEX(Pengaturan!$B$8:$B$27,B$4)))</f>
        <v>0</v>
      </c>
      <c r="C302" s="26" t="n">
        <f aca="false">IF(INDEX(Pengaturan!$B$8:$B$27,C$4)="",0,COUNTIF(Data!$B302:$U302,INDEX(Pengaturan!$B$8:$B$27,C$4)))</f>
        <v>0</v>
      </c>
      <c r="D302" s="26" t="n">
        <f aca="false">IF(INDEX(Pengaturan!$B$8:$B$27,D$4)="",0,COUNTIF(Data!$B302:$U302,INDEX(Pengaturan!$B$8:$B$27,D$4)))</f>
        <v>0</v>
      </c>
      <c r="E302" s="26" t="n">
        <f aca="false">IF(INDEX(Pengaturan!$B$8:$B$27,E$4)="",0,COUNTIF(Data!$B302:$U302,INDEX(Pengaturan!$B$8:$B$27,E$4)))</f>
        <v>0</v>
      </c>
      <c r="F302" s="26" t="n">
        <f aca="false">IF(INDEX(Pengaturan!$B$8:$B$27,F$4)="",0,COUNTIF(Data!$B302:$U302,INDEX(Pengaturan!$B$8:$B$27,F$4)))</f>
        <v>0</v>
      </c>
      <c r="G302" s="26" t="n">
        <f aca="false">IF(INDEX(Pengaturan!$B$8:$B$27,G$4)="",0,COUNTIF(Data!$B302:$U302,INDEX(Pengaturan!$B$8:$B$27,G$4)))</f>
        <v>0</v>
      </c>
      <c r="H302" s="26" t="n">
        <f aca="false">IF(INDEX(Pengaturan!$B$8:$B$27,H$4)="",0,COUNTIF(Data!$B302:$U302,INDEX(Pengaturan!$B$8:$B$27,H$4)))</f>
        <v>0</v>
      </c>
      <c r="I302" s="26" t="n">
        <f aca="false">IF(INDEX(Pengaturan!$B$8:$B$27,I$4)="",0,COUNTIF(Data!$B302:$U302,INDEX(Pengaturan!$B$8:$B$27,I$4)))</f>
        <v>0</v>
      </c>
      <c r="J302" s="26" t="n">
        <f aca="false">IF(INDEX(Pengaturan!$B$8:$B$27,J$4)="",0,COUNTIF(Data!$B302:$U302,INDEX(Pengaturan!$B$8:$B$27,J$4)))</f>
        <v>0</v>
      </c>
      <c r="K302" s="26" t="n">
        <f aca="false">IF(INDEX(Pengaturan!$B$8:$B$27,K$4)="",0,COUNTIF(Data!$B302:$U302,INDEX(Pengaturan!$B$8:$B$27,K$4)))</f>
        <v>0</v>
      </c>
      <c r="L302" s="26" t="n">
        <f aca="false">IF(INDEX(Pengaturan!$B$8:$B$27,L$4)="",0,COUNTIF(Data!$B302:$U302,INDEX(Pengaturan!$B$8:$B$27,L$4)))</f>
        <v>0</v>
      </c>
      <c r="M302" s="26" t="n">
        <f aca="false">IF(INDEX(Pengaturan!$B$8:$B$27,M$4)="",0,COUNTIF(Data!$B302:$U302,INDEX(Pengaturan!$B$8:$B$27,M$4)))</f>
        <v>0</v>
      </c>
      <c r="N302" s="26" t="n">
        <f aca="false">IF(INDEX(Pengaturan!$B$8:$B$27,N$4)="",0,COUNTIF(Data!$B302:$U302,INDEX(Pengaturan!$B$8:$B$27,N$4)))</f>
        <v>0</v>
      </c>
      <c r="O302" s="26" t="n">
        <f aca="false">IF(INDEX(Pengaturan!$B$8:$B$27,O$4)="",0,COUNTIF(Data!$B302:$U302,INDEX(Pengaturan!$B$8:$B$27,O$4)))</f>
        <v>0</v>
      </c>
      <c r="P302" s="26" t="n">
        <f aca="false">IF(INDEX(Pengaturan!$B$8:$B$27,P$4)="",0,COUNTIF(Data!$B302:$U302,INDEX(Pengaturan!$B$8:$B$27,P$4)))</f>
        <v>0</v>
      </c>
      <c r="Q302" s="26" t="n">
        <f aca="false">IF(INDEX(Pengaturan!$B$8:$B$27,Q$4)="",0,COUNTIF(Data!$B302:$U302,INDEX(Pengaturan!$B$8:$B$27,Q$4)))</f>
        <v>0</v>
      </c>
      <c r="R302" s="26" t="n">
        <f aca="false">IF(INDEX(Pengaturan!$B$8:$B$27,R$4)="",0,COUNTIF(Data!$B302:$U302,INDEX(Pengaturan!$B$8:$B$27,R$4)))</f>
        <v>0</v>
      </c>
      <c r="S302" s="26" t="n">
        <f aca="false">IF(INDEX(Pengaturan!$B$8:$B$27,S$4)="",0,COUNTIF(Data!$B302:$U302,INDEX(Pengaturan!$B$8:$B$27,S$4)))</f>
        <v>0</v>
      </c>
      <c r="T302" s="26" t="n">
        <f aca="false">IF(INDEX(Pengaturan!$B$8:$B$27,T$4)="",0,COUNTIF(Data!$B302:$U302,INDEX(Pengaturan!$B$8:$B$27,T$4)))</f>
        <v>0</v>
      </c>
      <c r="U302" s="26" t="n">
        <f aca="false">IF(INDEX(Pengaturan!$B$8:$B$27,U$4)="",0,COUNTIF(Data!$B302:$U302,INDEX(Pengaturan!$B$8:$B$27,U$4)))</f>
        <v>0</v>
      </c>
      <c r="V302" s="26" t="n">
        <f aca="false">COUNTA(Data!$B302:$U302)</f>
        <v>0</v>
      </c>
      <c r="W302" s="27" t="str">
        <f aca="false">IF(V302=0,"",IF(V302&lt;&gt;Hasil!$C$4,"Data kosong/tidak lengkap",IF(SUM(B302:U302)&lt;&gt;V302,"Kategori tidak dikenal","OK")))</f>
        <v/>
      </c>
      <c r="X302" s="26" t="n">
        <f aca="false">IF(OR(W302="",W302="OK"),0,1)</f>
        <v>0</v>
      </c>
    </row>
    <row r="303" customFormat="false" ht="15" hidden="false" customHeight="false" outlineLevel="0" collapsed="false">
      <c r="A303" s="26" t="n">
        <f aca="false">Data!A303</f>
        <v>298</v>
      </c>
      <c r="B303" s="26" t="n">
        <f aca="false">IF(INDEX(Pengaturan!$B$8:$B$27,B$4)="",0,COUNTIF(Data!$B303:$U303,INDEX(Pengaturan!$B$8:$B$27,B$4)))</f>
        <v>0</v>
      </c>
      <c r="C303" s="26" t="n">
        <f aca="false">IF(INDEX(Pengaturan!$B$8:$B$27,C$4)="",0,COUNTIF(Data!$B303:$U303,INDEX(Pengaturan!$B$8:$B$27,C$4)))</f>
        <v>0</v>
      </c>
      <c r="D303" s="26" t="n">
        <f aca="false">IF(INDEX(Pengaturan!$B$8:$B$27,D$4)="",0,COUNTIF(Data!$B303:$U303,INDEX(Pengaturan!$B$8:$B$27,D$4)))</f>
        <v>0</v>
      </c>
      <c r="E303" s="26" t="n">
        <f aca="false">IF(INDEX(Pengaturan!$B$8:$B$27,E$4)="",0,COUNTIF(Data!$B303:$U303,INDEX(Pengaturan!$B$8:$B$27,E$4)))</f>
        <v>0</v>
      </c>
      <c r="F303" s="26" t="n">
        <f aca="false">IF(INDEX(Pengaturan!$B$8:$B$27,F$4)="",0,COUNTIF(Data!$B303:$U303,INDEX(Pengaturan!$B$8:$B$27,F$4)))</f>
        <v>0</v>
      </c>
      <c r="G303" s="26" t="n">
        <f aca="false">IF(INDEX(Pengaturan!$B$8:$B$27,G$4)="",0,COUNTIF(Data!$B303:$U303,INDEX(Pengaturan!$B$8:$B$27,G$4)))</f>
        <v>0</v>
      </c>
      <c r="H303" s="26" t="n">
        <f aca="false">IF(INDEX(Pengaturan!$B$8:$B$27,H$4)="",0,COUNTIF(Data!$B303:$U303,INDEX(Pengaturan!$B$8:$B$27,H$4)))</f>
        <v>0</v>
      </c>
      <c r="I303" s="26" t="n">
        <f aca="false">IF(INDEX(Pengaturan!$B$8:$B$27,I$4)="",0,COUNTIF(Data!$B303:$U303,INDEX(Pengaturan!$B$8:$B$27,I$4)))</f>
        <v>0</v>
      </c>
      <c r="J303" s="26" t="n">
        <f aca="false">IF(INDEX(Pengaturan!$B$8:$B$27,J$4)="",0,COUNTIF(Data!$B303:$U303,INDEX(Pengaturan!$B$8:$B$27,J$4)))</f>
        <v>0</v>
      </c>
      <c r="K303" s="26" t="n">
        <f aca="false">IF(INDEX(Pengaturan!$B$8:$B$27,K$4)="",0,COUNTIF(Data!$B303:$U303,INDEX(Pengaturan!$B$8:$B$27,K$4)))</f>
        <v>0</v>
      </c>
      <c r="L303" s="26" t="n">
        <f aca="false">IF(INDEX(Pengaturan!$B$8:$B$27,L$4)="",0,COUNTIF(Data!$B303:$U303,INDEX(Pengaturan!$B$8:$B$27,L$4)))</f>
        <v>0</v>
      </c>
      <c r="M303" s="26" t="n">
        <f aca="false">IF(INDEX(Pengaturan!$B$8:$B$27,M$4)="",0,COUNTIF(Data!$B303:$U303,INDEX(Pengaturan!$B$8:$B$27,M$4)))</f>
        <v>0</v>
      </c>
      <c r="N303" s="26" t="n">
        <f aca="false">IF(INDEX(Pengaturan!$B$8:$B$27,N$4)="",0,COUNTIF(Data!$B303:$U303,INDEX(Pengaturan!$B$8:$B$27,N$4)))</f>
        <v>0</v>
      </c>
      <c r="O303" s="26" t="n">
        <f aca="false">IF(INDEX(Pengaturan!$B$8:$B$27,O$4)="",0,COUNTIF(Data!$B303:$U303,INDEX(Pengaturan!$B$8:$B$27,O$4)))</f>
        <v>0</v>
      </c>
      <c r="P303" s="26" t="n">
        <f aca="false">IF(INDEX(Pengaturan!$B$8:$B$27,P$4)="",0,COUNTIF(Data!$B303:$U303,INDEX(Pengaturan!$B$8:$B$27,P$4)))</f>
        <v>0</v>
      </c>
      <c r="Q303" s="26" t="n">
        <f aca="false">IF(INDEX(Pengaturan!$B$8:$B$27,Q$4)="",0,COUNTIF(Data!$B303:$U303,INDEX(Pengaturan!$B$8:$B$27,Q$4)))</f>
        <v>0</v>
      </c>
      <c r="R303" s="26" t="n">
        <f aca="false">IF(INDEX(Pengaturan!$B$8:$B$27,R$4)="",0,COUNTIF(Data!$B303:$U303,INDEX(Pengaturan!$B$8:$B$27,R$4)))</f>
        <v>0</v>
      </c>
      <c r="S303" s="26" t="n">
        <f aca="false">IF(INDEX(Pengaturan!$B$8:$B$27,S$4)="",0,COUNTIF(Data!$B303:$U303,INDEX(Pengaturan!$B$8:$B$27,S$4)))</f>
        <v>0</v>
      </c>
      <c r="T303" s="26" t="n">
        <f aca="false">IF(INDEX(Pengaturan!$B$8:$B$27,T$4)="",0,COUNTIF(Data!$B303:$U303,INDEX(Pengaturan!$B$8:$B$27,T$4)))</f>
        <v>0</v>
      </c>
      <c r="U303" s="26" t="n">
        <f aca="false">IF(INDEX(Pengaturan!$B$8:$B$27,U$4)="",0,COUNTIF(Data!$B303:$U303,INDEX(Pengaturan!$B$8:$B$27,U$4)))</f>
        <v>0</v>
      </c>
      <c r="V303" s="26" t="n">
        <f aca="false">COUNTA(Data!$B303:$U303)</f>
        <v>0</v>
      </c>
      <c r="W303" s="27" t="str">
        <f aca="false">IF(V303=0,"",IF(V303&lt;&gt;Hasil!$C$4,"Data kosong/tidak lengkap",IF(SUM(B303:U303)&lt;&gt;V303,"Kategori tidak dikenal","OK")))</f>
        <v/>
      </c>
      <c r="X303" s="26" t="n">
        <f aca="false">IF(OR(W303="",W303="OK"),0,1)</f>
        <v>0</v>
      </c>
    </row>
    <row r="304" customFormat="false" ht="15" hidden="false" customHeight="false" outlineLevel="0" collapsed="false">
      <c r="A304" s="26" t="n">
        <f aca="false">Data!A304</f>
        <v>299</v>
      </c>
      <c r="B304" s="26" t="n">
        <f aca="false">IF(INDEX(Pengaturan!$B$8:$B$27,B$4)="",0,COUNTIF(Data!$B304:$U304,INDEX(Pengaturan!$B$8:$B$27,B$4)))</f>
        <v>0</v>
      </c>
      <c r="C304" s="26" t="n">
        <f aca="false">IF(INDEX(Pengaturan!$B$8:$B$27,C$4)="",0,COUNTIF(Data!$B304:$U304,INDEX(Pengaturan!$B$8:$B$27,C$4)))</f>
        <v>0</v>
      </c>
      <c r="D304" s="26" t="n">
        <f aca="false">IF(INDEX(Pengaturan!$B$8:$B$27,D$4)="",0,COUNTIF(Data!$B304:$U304,INDEX(Pengaturan!$B$8:$B$27,D$4)))</f>
        <v>0</v>
      </c>
      <c r="E304" s="26" t="n">
        <f aca="false">IF(INDEX(Pengaturan!$B$8:$B$27,E$4)="",0,COUNTIF(Data!$B304:$U304,INDEX(Pengaturan!$B$8:$B$27,E$4)))</f>
        <v>0</v>
      </c>
      <c r="F304" s="26" t="n">
        <f aca="false">IF(INDEX(Pengaturan!$B$8:$B$27,F$4)="",0,COUNTIF(Data!$B304:$U304,INDEX(Pengaturan!$B$8:$B$27,F$4)))</f>
        <v>0</v>
      </c>
      <c r="G304" s="26" t="n">
        <f aca="false">IF(INDEX(Pengaturan!$B$8:$B$27,G$4)="",0,COUNTIF(Data!$B304:$U304,INDEX(Pengaturan!$B$8:$B$27,G$4)))</f>
        <v>0</v>
      </c>
      <c r="H304" s="26" t="n">
        <f aca="false">IF(INDEX(Pengaturan!$B$8:$B$27,H$4)="",0,COUNTIF(Data!$B304:$U304,INDEX(Pengaturan!$B$8:$B$27,H$4)))</f>
        <v>0</v>
      </c>
      <c r="I304" s="26" t="n">
        <f aca="false">IF(INDEX(Pengaturan!$B$8:$B$27,I$4)="",0,COUNTIF(Data!$B304:$U304,INDEX(Pengaturan!$B$8:$B$27,I$4)))</f>
        <v>0</v>
      </c>
      <c r="J304" s="26" t="n">
        <f aca="false">IF(INDEX(Pengaturan!$B$8:$B$27,J$4)="",0,COUNTIF(Data!$B304:$U304,INDEX(Pengaturan!$B$8:$B$27,J$4)))</f>
        <v>0</v>
      </c>
      <c r="K304" s="26" t="n">
        <f aca="false">IF(INDEX(Pengaturan!$B$8:$B$27,K$4)="",0,COUNTIF(Data!$B304:$U304,INDEX(Pengaturan!$B$8:$B$27,K$4)))</f>
        <v>0</v>
      </c>
      <c r="L304" s="26" t="n">
        <f aca="false">IF(INDEX(Pengaturan!$B$8:$B$27,L$4)="",0,COUNTIF(Data!$B304:$U304,INDEX(Pengaturan!$B$8:$B$27,L$4)))</f>
        <v>0</v>
      </c>
      <c r="M304" s="26" t="n">
        <f aca="false">IF(INDEX(Pengaturan!$B$8:$B$27,M$4)="",0,COUNTIF(Data!$B304:$U304,INDEX(Pengaturan!$B$8:$B$27,M$4)))</f>
        <v>0</v>
      </c>
      <c r="N304" s="26" t="n">
        <f aca="false">IF(INDEX(Pengaturan!$B$8:$B$27,N$4)="",0,COUNTIF(Data!$B304:$U304,INDEX(Pengaturan!$B$8:$B$27,N$4)))</f>
        <v>0</v>
      </c>
      <c r="O304" s="26" t="n">
        <f aca="false">IF(INDEX(Pengaturan!$B$8:$B$27,O$4)="",0,COUNTIF(Data!$B304:$U304,INDEX(Pengaturan!$B$8:$B$27,O$4)))</f>
        <v>0</v>
      </c>
      <c r="P304" s="26" t="n">
        <f aca="false">IF(INDEX(Pengaturan!$B$8:$B$27,P$4)="",0,COUNTIF(Data!$B304:$U304,INDEX(Pengaturan!$B$8:$B$27,P$4)))</f>
        <v>0</v>
      </c>
      <c r="Q304" s="26" t="n">
        <f aca="false">IF(INDEX(Pengaturan!$B$8:$B$27,Q$4)="",0,COUNTIF(Data!$B304:$U304,INDEX(Pengaturan!$B$8:$B$27,Q$4)))</f>
        <v>0</v>
      </c>
      <c r="R304" s="26" t="n">
        <f aca="false">IF(INDEX(Pengaturan!$B$8:$B$27,R$4)="",0,COUNTIF(Data!$B304:$U304,INDEX(Pengaturan!$B$8:$B$27,R$4)))</f>
        <v>0</v>
      </c>
      <c r="S304" s="26" t="n">
        <f aca="false">IF(INDEX(Pengaturan!$B$8:$B$27,S$4)="",0,COUNTIF(Data!$B304:$U304,INDEX(Pengaturan!$B$8:$B$27,S$4)))</f>
        <v>0</v>
      </c>
      <c r="T304" s="26" t="n">
        <f aca="false">IF(INDEX(Pengaturan!$B$8:$B$27,T$4)="",0,COUNTIF(Data!$B304:$U304,INDEX(Pengaturan!$B$8:$B$27,T$4)))</f>
        <v>0</v>
      </c>
      <c r="U304" s="26" t="n">
        <f aca="false">IF(INDEX(Pengaturan!$B$8:$B$27,U$4)="",0,COUNTIF(Data!$B304:$U304,INDEX(Pengaturan!$B$8:$B$27,U$4)))</f>
        <v>0</v>
      </c>
      <c r="V304" s="26" t="n">
        <f aca="false">COUNTA(Data!$B304:$U304)</f>
        <v>0</v>
      </c>
      <c r="W304" s="27" t="str">
        <f aca="false">IF(V304=0,"",IF(V304&lt;&gt;Hasil!$C$4,"Data kosong/tidak lengkap",IF(SUM(B304:U304)&lt;&gt;V304,"Kategori tidak dikenal","OK")))</f>
        <v/>
      </c>
      <c r="X304" s="26" t="n">
        <f aca="false">IF(OR(W304="",W304="OK"),0,1)</f>
        <v>0</v>
      </c>
    </row>
    <row r="305" customFormat="false" ht="15" hidden="false" customHeight="false" outlineLevel="0" collapsed="false">
      <c r="A305" s="26" t="n">
        <f aca="false">Data!A305</f>
        <v>300</v>
      </c>
      <c r="B305" s="26" t="n">
        <f aca="false">IF(INDEX(Pengaturan!$B$8:$B$27,B$4)="",0,COUNTIF(Data!$B305:$U305,INDEX(Pengaturan!$B$8:$B$27,B$4)))</f>
        <v>0</v>
      </c>
      <c r="C305" s="26" t="n">
        <f aca="false">IF(INDEX(Pengaturan!$B$8:$B$27,C$4)="",0,COUNTIF(Data!$B305:$U305,INDEX(Pengaturan!$B$8:$B$27,C$4)))</f>
        <v>0</v>
      </c>
      <c r="D305" s="26" t="n">
        <f aca="false">IF(INDEX(Pengaturan!$B$8:$B$27,D$4)="",0,COUNTIF(Data!$B305:$U305,INDEX(Pengaturan!$B$8:$B$27,D$4)))</f>
        <v>0</v>
      </c>
      <c r="E305" s="26" t="n">
        <f aca="false">IF(INDEX(Pengaturan!$B$8:$B$27,E$4)="",0,COUNTIF(Data!$B305:$U305,INDEX(Pengaturan!$B$8:$B$27,E$4)))</f>
        <v>0</v>
      </c>
      <c r="F305" s="26" t="n">
        <f aca="false">IF(INDEX(Pengaturan!$B$8:$B$27,F$4)="",0,COUNTIF(Data!$B305:$U305,INDEX(Pengaturan!$B$8:$B$27,F$4)))</f>
        <v>0</v>
      </c>
      <c r="G305" s="26" t="n">
        <f aca="false">IF(INDEX(Pengaturan!$B$8:$B$27,G$4)="",0,COUNTIF(Data!$B305:$U305,INDEX(Pengaturan!$B$8:$B$27,G$4)))</f>
        <v>0</v>
      </c>
      <c r="H305" s="26" t="n">
        <f aca="false">IF(INDEX(Pengaturan!$B$8:$B$27,H$4)="",0,COUNTIF(Data!$B305:$U305,INDEX(Pengaturan!$B$8:$B$27,H$4)))</f>
        <v>0</v>
      </c>
      <c r="I305" s="26" t="n">
        <f aca="false">IF(INDEX(Pengaturan!$B$8:$B$27,I$4)="",0,COUNTIF(Data!$B305:$U305,INDEX(Pengaturan!$B$8:$B$27,I$4)))</f>
        <v>0</v>
      </c>
      <c r="J305" s="26" t="n">
        <f aca="false">IF(INDEX(Pengaturan!$B$8:$B$27,J$4)="",0,COUNTIF(Data!$B305:$U305,INDEX(Pengaturan!$B$8:$B$27,J$4)))</f>
        <v>0</v>
      </c>
      <c r="K305" s="26" t="n">
        <f aca="false">IF(INDEX(Pengaturan!$B$8:$B$27,K$4)="",0,COUNTIF(Data!$B305:$U305,INDEX(Pengaturan!$B$8:$B$27,K$4)))</f>
        <v>0</v>
      </c>
      <c r="L305" s="26" t="n">
        <f aca="false">IF(INDEX(Pengaturan!$B$8:$B$27,L$4)="",0,COUNTIF(Data!$B305:$U305,INDEX(Pengaturan!$B$8:$B$27,L$4)))</f>
        <v>0</v>
      </c>
      <c r="M305" s="26" t="n">
        <f aca="false">IF(INDEX(Pengaturan!$B$8:$B$27,M$4)="",0,COUNTIF(Data!$B305:$U305,INDEX(Pengaturan!$B$8:$B$27,M$4)))</f>
        <v>0</v>
      </c>
      <c r="N305" s="26" t="n">
        <f aca="false">IF(INDEX(Pengaturan!$B$8:$B$27,N$4)="",0,COUNTIF(Data!$B305:$U305,INDEX(Pengaturan!$B$8:$B$27,N$4)))</f>
        <v>0</v>
      </c>
      <c r="O305" s="26" t="n">
        <f aca="false">IF(INDEX(Pengaturan!$B$8:$B$27,O$4)="",0,COUNTIF(Data!$B305:$U305,INDEX(Pengaturan!$B$8:$B$27,O$4)))</f>
        <v>0</v>
      </c>
      <c r="P305" s="26" t="n">
        <f aca="false">IF(INDEX(Pengaturan!$B$8:$B$27,P$4)="",0,COUNTIF(Data!$B305:$U305,INDEX(Pengaturan!$B$8:$B$27,P$4)))</f>
        <v>0</v>
      </c>
      <c r="Q305" s="26" t="n">
        <f aca="false">IF(INDEX(Pengaturan!$B$8:$B$27,Q$4)="",0,COUNTIF(Data!$B305:$U305,INDEX(Pengaturan!$B$8:$B$27,Q$4)))</f>
        <v>0</v>
      </c>
      <c r="R305" s="26" t="n">
        <f aca="false">IF(INDEX(Pengaturan!$B$8:$B$27,R$4)="",0,COUNTIF(Data!$B305:$U305,INDEX(Pengaturan!$B$8:$B$27,R$4)))</f>
        <v>0</v>
      </c>
      <c r="S305" s="26" t="n">
        <f aca="false">IF(INDEX(Pengaturan!$B$8:$B$27,S$4)="",0,COUNTIF(Data!$B305:$U305,INDEX(Pengaturan!$B$8:$B$27,S$4)))</f>
        <v>0</v>
      </c>
      <c r="T305" s="26" t="n">
        <f aca="false">IF(INDEX(Pengaturan!$B$8:$B$27,T$4)="",0,COUNTIF(Data!$B305:$U305,INDEX(Pengaturan!$B$8:$B$27,T$4)))</f>
        <v>0</v>
      </c>
      <c r="U305" s="26" t="n">
        <f aca="false">IF(INDEX(Pengaturan!$B$8:$B$27,U$4)="",0,COUNTIF(Data!$B305:$U305,INDEX(Pengaturan!$B$8:$B$27,U$4)))</f>
        <v>0</v>
      </c>
      <c r="V305" s="26" t="n">
        <f aca="false">COUNTA(Data!$B305:$U305)</f>
        <v>0</v>
      </c>
      <c r="W305" s="27" t="str">
        <f aca="false">IF(V305=0,"",IF(V305&lt;&gt;Hasil!$C$4,"Data kosong/tidak lengkap",IF(SUM(B305:U305)&lt;&gt;V305,"Kategori tidak dikenal","OK")))</f>
        <v/>
      </c>
      <c r="X305" s="26" t="n">
        <f aca="false">IF(OR(W305="",W305="OK"),0,1)</f>
        <v>0</v>
      </c>
    </row>
    <row r="306" customFormat="false" ht="15" hidden="false" customHeight="false" outlineLevel="0" collapsed="false">
      <c r="A306" s="26" t="n">
        <f aca="false">Data!A306</f>
        <v>301</v>
      </c>
      <c r="B306" s="26" t="n">
        <f aca="false">IF(INDEX(Pengaturan!$B$8:$B$27,B$4)="",0,COUNTIF(Data!$B306:$U306,INDEX(Pengaturan!$B$8:$B$27,B$4)))</f>
        <v>0</v>
      </c>
      <c r="C306" s="26" t="n">
        <f aca="false">IF(INDEX(Pengaturan!$B$8:$B$27,C$4)="",0,COUNTIF(Data!$B306:$U306,INDEX(Pengaturan!$B$8:$B$27,C$4)))</f>
        <v>0</v>
      </c>
      <c r="D306" s="26" t="n">
        <f aca="false">IF(INDEX(Pengaturan!$B$8:$B$27,D$4)="",0,COUNTIF(Data!$B306:$U306,INDEX(Pengaturan!$B$8:$B$27,D$4)))</f>
        <v>0</v>
      </c>
      <c r="E306" s="26" t="n">
        <f aca="false">IF(INDEX(Pengaturan!$B$8:$B$27,E$4)="",0,COUNTIF(Data!$B306:$U306,INDEX(Pengaturan!$B$8:$B$27,E$4)))</f>
        <v>0</v>
      </c>
      <c r="F306" s="26" t="n">
        <f aca="false">IF(INDEX(Pengaturan!$B$8:$B$27,F$4)="",0,COUNTIF(Data!$B306:$U306,INDEX(Pengaturan!$B$8:$B$27,F$4)))</f>
        <v>0</v>
      </c>
      <c r="G306" s="26" t="n">
        <f aca="false">IF(INDEX(Pengaturan!$B$8:$B$27,G$4)="",0,COUNTIF(Data!$B306:$U306,INDEX(Pengaturan!$B$8:$B$27,G$4)))</f>
        <v>0</v>
      </c>
      <c r="H306" s="26" t="n">
        <f aca="false">IF(INDEX(Pengaturan!$B$8:$B$27,H$4)="",0,COUNTIF(Data!$B306:$U306,INDEX(Pengaturan!$B$8:$B$27,H$4)))</f>
        <v>0</v>
      </c>
      <c r="I306" s="26" t="n">
        <f aca="false">IF(INDEX(Pengaturan!$B$8:$B$27,I$4)="",0,COUNTIF(Data!$B306:$U306,INDEX(Pengaturan!$B$8:$B$27,I$4)))</f>
        <v>0</v>
      </c>
      <c r="J306" s="26" t="n">
        <f aca="false">IF(INDEX(Pengaturan!$B$8:$B$27,J$4)="",0,COUNTIF(Data!$B306:$U306,INDEX(Pengaturan!$B$8:$B$27,J$4)))</f>
        <v>0</v>
      </c>
      <c r="K306" s="26" t="n">
        <f aca="false">IF(INDEX(Pengaturan!$B$8:$B$27,K$4)="",0,COUNTIF(Data!$B306:$U306,INDEX(Pengaturan!$B$8:$B$27,K$4)))</f>
        <v>0</v>
      </c>
      <c r="L306" s="26" t="n">
        <f aca="false">IF(INDEX(Pengaturan!$B$8:$B$27,L$4)="",0,COUNTIF(Data!$B306:$U306,INDEX(Pengaturan!$B$8:$B$27,L$4)))</f>
        <v>0</v>
      </c>
      <c r="M306" s="26" t="n">
        <f aca="false">IF(INDEX(Pengaturan!$B$8:$B$27,M$4)="",0,COUNTIF(Data!$B306:$U306,INDEX(Pengaturan!$B$8:$B$27,M$4)))</f>
        <v>0</v>
      </c>
      <c r="N306" s="26" t="n">
        <f aca="false">IF(INDEX(Pengaturan!$B$8:$B$27,N$4)="",0,COUNTIF(Data!$B306:$U306,INDEX(Pengaturan!$B$8:$B$27,N$4)))</f>
        <v>0</v>
      </c>
      <c r="O306" s="26" t="n">
        <f aca="false">IF(INDEX(Pengaturan!$B$8:$B$27,O$4)="",0,COUNTIF(Data!$B306:$U306,INDEX(Pengaturan!$B$8:$B$27,O$4)))</f>
        <v>0</v>
      </c>
      <c r="P306" s="26" t="n">
        <f aca="false">IF(INDEX(Pengaturan!$B$8:$B$27,P$4)="",0,COUNTIF(Data!$B306:$U306,INDEX(Pengaturan!$B$8:$B$27,P$4)))</f>
        <v>0</v>
      </c>
      <c r="Q306" s="26" t="n">
        <f aca="false">IF(INDEX(Pengaturan!$B$8:$B$27,Q$4)="",0,COUNTIF(Data!$B306:$U306,INDEX(Pengaturan!$B$8:$B$27,Q$4)))</f>
        <v>0</v>
      </c>
      <c r="R306" s="26" t="n">
        <f aca="false">IF(INDEX(Pengaturan!$B$8:$B$27,R$4)="",0,COUNTIF(Data!$B306:$U306,INDEX(Pengaturan!$B$8:$B$27,R$4)))</f>
        <v>0</v>
      </c>
      <c r="S306" s="26" t="n">
        <f aca="false">IF(INDEX(Pengaturan!$B$8:$B$27,S$4)="",0,COUNTIF(Data!$B306:$U306,INDEX(Pengaturan!$B$8:$B$27,S$4)))</f>
        <v>0</v>
      </c>
      <c r="T306" s="26" t="n">
        <f aca="false">IF(INDEX(Pengaturan!$B$8:$B$27,T$4)="",0,COUNTIF(Data!$B306:$U306,INDEX(Pengaturan!$B$8:$B$27,T$4)))</f>
        <v>0</v>
      </c>
      <c r="U306" s="26" t="n">
        <f aca="false">IF(INDEX(Pengaturan!$B$8:$B$27,U$4)="",0,COUNTIF(Data!$B306:$U306,INDEX(Pengaturan!$B$8:$B$27,U$4)))</f>
        <v>0</v>
      </c>
      <c r="V306" s="26" t="n">
        <f aca="false">COUNTA(Data!$B306:$U306)</f>
        <v>0</v>
      </c>
      <c r="W306" s="27" t="str">
        <f aca="false">IF(V306=0,"",IF(V306&lt;&gt;Hasil!$C$4,"Data kosong/tidak lengkap",IF(SUM(B306:U306)&lt;&gt;V306,"Kategori tidak dikenal","OK")))</f>
        <v/>
      </c>
      <c r="X306" s="26" t="n">
        <f aca="false">IF(OR(W306="",W306="OK"),0,1)</f>
        <v>0</v>
      </c>
    </row>
    <row r="307" customFormat="false" ht="15" hidden="false" customHeight="false" outlineLevel="0" collapsed="false">
      <c r="A307" s="26" t="n">
        <f aca="false">Data!A307</f>
        <v>302</v>
      </c>
      <c r="B307" s="26" t="n">
        <f aca="false">IF(INDEX(Pengaturan!$B$8:$B$27,B$4)="",0,COUNTIF(Data!$B307:$U307,INDEX(Pengaturan!$B$8:$B$27,B$4)))</f>
        <v>0</v>
      </c>
      <c r="C307" s="26" t="n">
        <f aca="false">IF(INDEX(Pengaturan!$B$8:$B$27,C$4)="",0,COUNTIF(Data!$B307:$U307,INDEX(Pengaturan!$B$8:$B$27,C$4)))</f>
        <v>0</v>
      </c>
      <c r="D307" s="26" t="n">
        <f aca="false">IF(INDEX(Pengaturan!$B$8:$B$27,D$4)="",0,COUNTIF(Data!$B307:$U307,INDEX(Pengaturan!$B$8:$B$27,D$4)))</f>
        <v>0</v>
      </c>
      <c r="E307" s="26" t="n">
        <f aca="false">IF(INDEX(Pengaturan!$B$8:$B$27,E$4)="",0,COUNTIF(Data!$B307:$U307,INDEX(Pengaturan!$B$8:$B$27,E$4)))</f>
        <v>0</v>
      </c>
      <c r="F307" s="26" t="n">
        <f aca="false">IF(INDEX(Pengaturan!$B$8:$B$27,F$4)="",0,COUNTIF(Data!$B307:$U307,INDEX(Pengaturan!$B$8:$B$27,F$4)))</f>
        <v>0</v>
      </c>
      <c r="G307" s="26" t="n">
        <f aca="false">IF(INDEX(Pengaturan!$B$8:$B$27,G$4)="",0,COUNTIF(Data!$B307:$U307,INDEX(Pengaturan!$B$8:$B$27,G$4)))</f>
        <v>0</v>
      </c>
      <c r="H307" s="26" t="n">
        <f aca="false">IF(INDEX(Pengaturan!$B$8:$B$27,H$4)="",0,COUNTIF(Data!$B307:$U307,INDEX(Pengaturan!$B$8:$B$27,H$4)))</f>
        <v>0</v>
      </c>
      <c r="I307" s="26" t="n">
        <f aca="false">IF(INDEX(Pengaturan!$B$8:$B$27,I$4)="",0,COUNTIF(Data!$B307:$U307,INDEX(Pengaturan!$B$8:$B$27,I$4)))</f>
        <v>0</v>
      </c>
      <c r="J307" s="26" t="n">
        <f aca="false">IF(INDEX(Pengaturan!$B$8:$B$27,J$4)="",0,COUNTIF(Data!$B307:$U307,INDEX(Pengaturan!$B$8:$B$27,J$4)))</f>
        <v>0</v>
      </c>
      <c r="K307" s="26" t="n">
        <f aca="false">IF(INDEX(Pengaturan!$B$8:$B$27,K$4)="",0,COUNTIF(Data!$B307:$U307,INDEX(Pengaturan!$B$8:$B$27,K$4)))</f>
        <v>0</v>
      </c>
      <c r="L307" s="26" t="n">
        <f aca="false">IF(INDEX(Pengaturan!$B$8:$B$27,L$4)="",0,COUNTIF(Data!$B307:$U307,INDEX(Pengaturan!$B$8:$B$27,L$4)))</f>
        <v>0</v>
      </c>
      <c r="M307" s="26" t="n">
        <f aca="false">IF(INDEX(Pengaturan!$B$8:$B$27,M$4)="",0,COUNTIF(Data!$B307:$U307,INDEX(Pengaturan!$B$8:$B$27,M$4)))</f>
        <v>0</v>
      </c>
      <c r="N307" s="26" t="n">
        <f aca="false">IF(INDEX(Pengaturan!$B$8:$B$27,N$4)="",0,COUNTIF(Data!$B307:$U307,INDEX(Pengaturan!$B$8:$B$27,N$4)))</f>
        <v>0</v>
      </c>
      <c r="O307" s="26" t="n">
        <f aca="false">IF(INDEX(Pengaturan!$B$8:$B$27,O$4)="",0,COUNTIF(Data!$B307:$U307,INDEX(Pengaturan!$B$8:$B$27,O$4)))</f>
        <v>0</v>
      </c>
      <c r="P307" s="26" t="n">
        <f aca="false">IF(INDEX(Pengaturan!$B$8:$B$27,P$4)="",0,COUNTIF(Data!$B307:$U307,INDEX(Pengaturan!$B$8:$B$27,P$4)))</f>
        <v>0</v>
      </c>
      <c r="Q307" s="26" t="n">
        <f aca="false">IF(INDEX(Pengaturan!$B$8:$B$27,Q$4)="",0,COUNTIF(Data!$B307:$U307,INDEX(Pengaturan!$B$8:$B$27,Q$4)))</f>
        <v>0</v>
      </c>
      <c r="R307" s="26" t="n">
        <f aca="false">IF(INDEX(Pengaturan!$B$8:$B$27,R$4)="",0,COUNTIF(Data!$B307:$U307,INDEX(Pengaturan!$B$8:$B$27,R$4)))</f>
        <v>0</v>
      </c>
      <c r="S307" s="26" t="n">
        <f aca="false">IF(INDEX(Pengaturan!$B$8:$B$27,S$4)="",0,COUNTIF(Data!$B307:$U307,INDEX(Pengaturan!$B$8:$B$27,S$4)))</f>
        <v>0</v>
      </c>
      <c r="T307" s="26" t="n">
        <f aca="false">IF(INDEX(Pengaturan!$B$8:$B$27,T$4)="",0,COUNTIF(Data!$B307:$U307,INDEX(Pengaturan!$B$8:$B$27,T$4)))</f>
        <v>0</v>
      </c>
      <c r="U307" s="26" t="n">
        <f aca="false">IF(INDEX(Pengaturan!$B$8:$B$27,U$4)="",0,COUNTIF(Data!$B307:$U307,INDEX(Pengaturan!$B$8:$B$27,U$4)))</f>
        <v>0</v>
      </c>
      <c r="V307" s="26" t="n">
        <f aca="false">COUNTA(Data!$B307:$U307)</f>
        <v>0</v>
      </c>
      <c r="W307" s="27" t="str">
        <f aca="false">IF(V307=0,"",IF(V307&lt;&gt;Hasil!$C$4,"Data kosong/tidak lengkap",IF(SUM(B307:U307)&lt;&gt;V307,"Kategori tidak dikenal","OK")))</f>
        <v/>
      </c>
      <c r="X307" s="26" t="n">
        <f aca="false">IF(OR(W307="",W307="OK"),0,1)</f>
        <v>0</v>
      </c>
    </row>
    <row r="308" customFormat="false" ht="15" hidden="false" customHeight="false" outlineLevel="0" collapsed="false">
      <c r="A308" s="26" t="n">
        <f aca="false">Data!A308</f>
        <v>303</v>
      </c>
      <c r="B308" s="26" t="n">
        <f aca="false">IF(INDEX(Pengaturan!$B$8:$B$27,B$4)="",0,COUNTIF(Data!$B308:$U308,INDEX(Pengaturan!$B$8:$B$27,B$4)))</f>
        <v>0</v>
      </c>
      <c r="C308" s="26" t="n">
        <f aca="false">IF(INDEX(Pengaturan!$B$8:$B$27,C$4)="",0,COUNTIF(Data!$B308:$U308,INDEX(Pengaturan!$B$8:$B$27,C$4)))</f>
        <v>0</v>
      </c>
      <c r="D308" s="26" t="n">
        <f aca="false">IF(INDEX(Pengaturan!$B$8:$B$27,D$4)="",0,COUNTIF(Data!$B308:$U308,INDEX(Pengaturan!$B$8:$B$27,D$4)))</f>
        <v>0</v>
      </c>
      <c r="E308" s="26" t="n">
        <f aca="false">IF(INDEX(Pengaturan!$B$8:$B$27,E$4)="",0,COUNTIF(Data!$B308:$U308,INDEX(Pengaturan!$B$8:$B$27,E$4)))</f>
        <v>0</v>
      </c>
      <c r="F308" s="26" t="n">
        <f aca="false">IF(INDEX(Pengaturan!$B$8:$B$27,F$4)="",0,COUNTIF(Data!$B308:$U308,INDEX(Pengaturan!$B$8:$B$27,F$4)))</f>
        <v>0</v>
      </c>
      <c r="G308" s="26" t="n">
        <f aca="false">IF(INDEX(Pengaturan!$B$8:$B$27,G$4)="",0,COUNTIF(Data!$B308:$U308,INDEX(Pengaturan!$B$8:$B$27,G$4)))</f>
        <v>0</v>
      </c>
      <c r="H308" s="26" t="n">
        <f aca="false">IF(INDEX(Pengaturan!$B$8:$B$27,H$4)="",0,COUNTIF(Data!$B308:$U308,INDEX(Pengaturan!$B$8:$B$27,H$4)))</f>
        <v>0</v>
      </c>
      <c r="I308" s="26" t="n">
        <f aca="false">IF(INDEX(Pengaturan!$B$8:$B$27,I$4)="",0,COUNTIF(Data!$B308:$U308,INDEX(Pengaturan!$B$8:$B$27,I$4)))</f>
        <v>0</v>
      </c>
      <c r="J308" s="26" t="n">
        <f aca="false">IF(INDEX(Pengaturan!$B$8:$B$27,J$4)="",0,COUNTIF(Data!$B308:$U308,INDEX(Pengaturan!$B$8:$B$27,J$4)))</f>
        <v>0</v>
      </c>
      <c r="K308" s="26" t="n">
        <f aca="false">IF(INDEX(Pengaturan!$B$8:$B$27,K$4)="",0,COUNTIF(Data!$B308:$U308,INDEX(Pengaturan!$B$8:$B$27,K$4)))</f>
        <v>0</v>
      </c>
      <c r="L308" s="26" t="n">
        <f aca="false">IF(INDEX(Pengaturan!$B$8:$B$27,L$4)="",0,COUNTIF(Data!$B308:$U308,INDEX(Pengaturan!$B$8:$B$27,L$4)))</f>
        <v>0</v>
      </c>
      <c r="M308" s="26" t="n">
        <f aca="false">IF(INDEX(Pengaturan!$B$8:$B$27,M$4)="",0,COUNTIF(Data!$B308:$U308,INDEX(Pengaturan!$B$8:$B$27,M$4)))</f>
        <v>0</v>
      </c>
      <c r="N308" s="26" t="n">
        <f aca="false">IF(INDEX(Pengaturan!$B$8:$B$27,N$4)="",0,COUNTIF(Data!$B308:$U308,INDEX(Pengaturan!$B$8:$B$27,N$4)))</f>
        <v>0</v>
      </c>
      <c r="O308" s="26" t="n">
        <f aca="false">IF(INDEX(Pengaturan!$B$8:$B$27,O$4)="",0,COUNTIF(Data!$B308:$U308,INDEX(Pengaturan!$B$8:$B$27,O$4)))</f>
        <v>0</v>
      </c>
      <c r="P308" s="26" t="n">
        <f aca="false">IF(INDEX(Pengaturan!$B$8:$B$27,P$4)="",0,COUNTIF(Data!$B308:$U308,INDEX(Pengaturan!$B$8:$B$27,P$4)))</f>
        <v>0</v>
      </c>
      <c r="Q308" s="26" t="n">
        <f aca="false">IF(INDEX(Pengaturan!$B$8:$B$27,Q$4)="",0,COUNTIF(Data!$B308:$U308,INDEX(Pengaturan!$B$8:$B$27,Q$4)))</f>
        <v>0</v>
      </c>
      <c r="R308" s="26" t="n">
        <f aca="false">IF(INDEX(Pengaturan!$B$8:$B$27,R$4)="",0,COUNTIF(Data!$B308:$U308,INDEX(Pengaturan!$B$8:$B$27,R$4)))</f>
        <v>0</v>
      </c>
      <c r="S308" s="26" t="n">
        <f aca="false">IF(INDEX(Pengaturan!$B$8:$B$27,S$4)="",0,COUNTIF(Data!$B308:$U308,INDEX(Pengaturan!$B$8:$B$27,S$4)))</f>
        <v>0</v>
      </c>
      <c r="T308" s="26" t="n">
        <f aca="false">IF(INDEX(Pengaturan!$B$8:$B$27,T$4)="",0,COUNTIF(Data!$B308:$U308,INDEX(Pengaturan!$B$8:$B$27,T$4)))</f>
        <v>0</v>
      </c>
      <c r="U308" s="26" t="n">
        <f aca="false">IF(INDEX(Pengaturan!$B$8:$B$27,U$4)="",0,COUNTIF(Data!$B308:$U308,INDEX(Pengaturan!$B$8:$B$27,U$4)))</f>
        <v>0</v>
      </c>
      <c r="V308" s="26" t="n">
        <f aca="false">COUNTA(Data!$B308:$U308)</f>
        <v>0</v>
      </c>
      <c r="W308" s="27" t="str">
        <f aca="false">IF(V308=0,"",IF(V308&lt;&gt;Hasil!$C$4,"Data kosong/tidak lengkap",IF(SUM(B308:U308)&lt;&gt;V308,"Kategori tidak dikenal","OK")))</f>
        <v/>
      </c>
      <c r="X308" s="26" t="n">
        <f aca="false">IF(OR(W308="",W308="OK"),0,1)</f>
        <v>0</v>
      </c>
    </row>
    <row r="309" customFormat="false" ht="15" hidden="false" customHeight="false" outlineLevel="0" collapsed="false">
      <c r="A309" s="26" t="n">
        <f aca="false">Data!A309</f>
        <v>304</v>
      </c>
      <c r="B309" s="26" t="n">
        <f aca="false">IF(INDEX(Pengaturan!$B$8:$B$27,B$4)="",0,COUNTIF(Data!$B309:$U309,INDEX(Pengaturan!$B$8:$B$27,B$4)))</f>
        <v>0</v>
      </c>
      <c r="C309" s="26" t="n">
        <f aca="false">IF(INDEX(Pengaturan!$B$8:$B$27,C$4)="",0,COUNTIF(Data!$B309:$U309,INDEX(Pengaturan!$B$8:$B$27,C$4)))</f>
        <v>0</v>
      </c>
      <c r="D309" s="26" t="n">
        <f aca="false">IF(INDEX(Pengaturan!$B$8:$B$27,D$4)="",0,COUNTIF(Data!$B309:$U309,INDEX(Pengaturan!$B$8:$B$27,D$4)))</f>
        <v>0</v>
      </c>
      <c r="E309" s="26" t="n">
        <f aca="false">IF(INDEX(Pengaturan!$B$8:$B$27,E$4)="",0,COUNTIF(Data!$B309:$U309,INDEX(Pengaturan!$B$8:$B$27,E$4)))</f>
        <v>0</v>
      </c>
      <c r="F309" s="26" t="n">
        <f aca="false">IF(INDEX(Pengaturan!$B$8:$B$27,F$4)="",0,COUNTIF(Data!$B309:$U309,INDEX(Pengaturan!$B$8:$B$27,F$4)))</f>
        <v>0</v>
      </c>
      <c r="G309" s="26" t="n">
        <f aca="false">IF(INDEX(Pengaturan!$B$8:$B$27,G$4)="",0,COUNTIF(Data!$B309:$U309,INDEX(Pengaturan!$B$8:$B$27,G$4)))</f>
        <v>0</v>
      </c>
      <c r="H309" s="26" t="n">
        <f aca="false">IF(INDEX(Pengaturan!$B$8:$B$27,H$4)="",0,COUNTIF(Data!$B309:$U309,INDEX(Pengaturan!$B$8:$B$27,H$4)))</f>
        <v>0</v>
      </c>
      <c r="I309" s="26" t="n">
        <f aca="false">IF(INDEX(Pengaturan!$B$8:$B$27,I$4)="",0,COUNTIF(Data!$B309:$U309,INDEX(Pengaturan!$B$8:$B$27,I$4)))</f>
        <v>0</v>
      </c>
      <c r="J309" s="26" t="n">
        <f aca="false">IF(INDEX(Pengaturan!$B$8:$B$27,J$4)="",0,COUNTIF(Data!$B309:$U309,INDEX(Pengaturan!$B$8:$B$27,J$4)))</f>
        <v>0</v>
      </c>
      <c r="K309" s="26" t="n">
        <f aca="false">IF(INDEX(Pengaturan!$B$8:$B$27,K$4)="",0,COUNTIF(Data!$B309:$U309,INDEX(Pengaturan!$B$8:$B$27,K$4)))</f>
        <v>0</v>
      </c>
      <c r="L309" s="26" t="n">
        <f aca="false">IF(INDEX(Pengaturan!$B$8:$B$27,L$4)="",0,COUNTIF(Data!$B309:$U309,INDEX(Pengaturan!$B$8:$B$27,L$4)))</f>
        <v>0</v>
      </c>
      <c r="M309" s="26" t="n">
        <f aca="false">IF(INDEX(Pengaturan!$B$8:$B$27,M$4)="",0,COUNTIF(Data!$B309:$U309,INDEX(Pengaturan!$B$8:$B$27,M$4)))</f>
        <v>0</v>
      </c>
      <c r="N309" s="26" t="n">
        <f aca="false">IF(INDEX(Pengaturan!$B$8:$B$27,N$4)="",0,COUNTIF(Data!$B309:$U309,INDEX(Pengaturan!$B$8:$B$27,N$4)))</f>
        <v>0</v>
      </c>
      <c r="O309" s="26" t="n">
        <f aca="false">IF(INDEX(Pengaturan!$B$8:$B$27,O$4)="",0,COUNTIF(Data!$B309:$U309,INDEX(Pengaturan!$B$8:$B$27,O$4)))</f>
        <v>0</v>
      </c>
      <c r="P309" s="26" t="n">
        <f aca="false">IF(INDEX(Pengaturan!$B$8:$B$27,P$4)="",0,COUNTIF(Data!$B309:$U309,INDEX(Pengaturan!$B$8:$B$27,P$4)))</f>
        <v>0</v>
      </c>
      <c r="Q309" s="26" t="n">
        <f aca="false">IF(INDEX(Pengaturan!$B$8:$B$27,Q$4)="",0,COUNTIF(Data!$B309:$U309,INDEX(Pengaturan!$B$8:$B$27,Q$4)))</f>
        <v>0</v>
      </c>
      <c r="R309" s="26" t="n">
        <f aca="false">IF(INDEX(Pengaturan!$B$8:$B$27,R$4)="",0,COUNTIF(Data!$B309:$U309,INDEX(Pengaturan!$B$8:$B$27,R$4)))</f>
        <v>0</v>
      </c>
      <c r="S309" s="26" t="n">
        <f aca="false">IF(INDEX(Pengaturan!$B$8:$B$27,S$4)="",0,COUNTIF(Data!$B309:$U309,INDEX(Pengaturan!$B$8:$B$27,S$4)))</f>
        <v>0</v>
      </c>
      <c r="T309" s="26" t="n">
        <f aca="false">IF(INDEX(Pengaturan!$B$8:$B$27,T$4)="",0,COUNTIF(Data!$B309:$U309,INDEX(Pengaturan!$B$8:$B$27,T$4)))</f>
        <v>0</v>
      </c>
      <c r="U309" s="26" t="n">
        <f aca="false">IF(INDEX(Pengaturan!$B$8:$B$27,U$4)="",0,COUNTIF(Data!$B309:$U309,INDEX(Pengaturan!$B$8:$B$27,U$4)))</f>
        <v>0</v>
      </c>
      <c r="V309" s="26" t="n">
        <f aca="false">COUNTA(Data!$B309:$U309)</f>
        <v>0</v>
      </c>
      <c r="W309" s="27" t="str">
        <f aca="false">IF(V309=0,"",IF(V309&lt;&gt;Hasil!$C$4,"Data kosong/tidak lengkap",IF(SUM(B309:U309)&lt;&gt;V309,"Kategori tidak dikenal","OK")))</f>
        <v/>
      </c>
      <c r="X309" s="26" t="n">
        <f aca="false">IF(OR(W309="",W309="OK"),0,1)</f>
        <v>0</v>
      </c>
    </row>
    <row r="310" customFormat="false" ht="15" hidden="false" customHeight="false" outlineLevel="0" collapsed="false">
      <c r="A310" s="26" t="n">
        <f aca="false">Data!A310</f>
        <v>305</v>
      </c>
      <c r="B310" s="26" t="n">
        <f aca="false">IF(INDEX(Pengaturan!$B$8:$B$27,B$4)="",0,COUNTIF(Data!$B310:$U310,INDEX(Pengaturan!$B$8:$B$27,B$4)))</f>
        <v>0</v>
      </c>
      <c r="C310" s="26" t="n">
        <f aca="false">IF(INDEX(Pengaturan!$B$8:$B$27,C$4)="",0,COUNTIF(Data!$B310:$U310,INDEX(Pengaturan!$B$8:$B$27,C$4)))</f>
        <v>0</v>
      </c>
      <c r="D310" s="26" t="n">
        <f aca="false">IF(INDEX(Pengaturan!$B$8:$B$27,D$4)="",0,COUNTIF(Data!$B310:$U310,INDEX(Pengaturan!$B$8:$B$27,D$4)))</f>
        <v>0</v>
      </c>
      <c r="E310" s="26" t="n">
        <f aca="false">IF(INDEX(Pengaturan!$B$8:$B$27,E$4)="",0,COUNTIF(Data!$B310:$U310,INDEX(Pengaturan!$B$8:$B$27,E$4)))</f>
        <v>0</v>
      </c>
      <c r="F310" s="26" t="n">
        <f aca="false">IF(INDEX(Pengaturan!$B$8:$B$27,F$4)="",0,COUNTIF(Data!$B310:$U310,INDEX(Pengaturan!$B$8:$B$27,F$4)))</f>
        <v>0</v>
      </c>
      <c r="G310" s="26" t="n">
        <f aca="false">IF(INDEX(Pengaturan!$B$8:$B$27,G$4)="",0,COUNTIF(Data!$B310:$U310,INDEX(Pengaturan!$B$8:$B$27,G$4)))</f>
        <v>0</v>
      </c>
      <c r="H310" s="26" t="n">
        <f aca="false">IF(INDEX(Pengaturan!$B$8:$B$27,H$4)="",0,COUNTIF(Data!$B310:$U310,INDEX(Pengaturan!$B$8:$B$27,H$4)))</f>
        <v>0</v>
      </c>
      <c r="I310" s="26" t="n">
        <f aca="false">IF(INDEX(Pengaturan!$B$8:$B$27,I$4)="",0,COUNTIF(Data!$B310:$U310,INDEX(Pengaturan!$B$8:$B$27,I$4)))</f>
        <v>0</v>
      </c>
      <c r="J310" s="26" t="n">
        <f aca="false">IF(INDEX(Pengaturan!$B$8:$B$27,J$4)="",0,COUNTIF(Data!$B310:$U310,INDEX(Pengaturan!$B$8:$B$27,J$4)))</f>
        <v>0</v>
      </c>
      <c r="K310" s="26" t="n">
        <f aca="false">IF(INDEX(Pengaturan!$B$8:$B$27,K$4)="",0,COUNTIF(Data!$B310:$U310,INDEX(Pengaturan!$B$8:$B$27,K$4)))</f>
        <v>0</v>
      </c>
      <c r="L310" s="26" t="n">
        <f aca="false">IF(INDEX(Pengaturan!$B$8:$B$27,L$4)="",0,COUNTIF(Data!$B310:$U310,INDEX(Pengaturan!$B$8:$B$27,L$4)))</f>
        <v>0</v>
      </c>
      <c r="M310" s="26" t="n">
        <f aca="false">IF(INDEX(Pengaturan!$B$8:$B$27,M$4)="",0,COUNTIF(Data!$B310:$U310,INDEX(Pengaturan!$B$8:$B$27,M$4)))</f>
        <v>0</v>
      </c>
      <c r="N310" s="26" t="n">
        <f aca="false">IF(INDEX(Pengaturan!$B$8:$B$27,N$4)="",0,COUNTIF(Data!$B310:$U310,INDEX(Pengaturan!$B$8:$B$27,N$4)))</f>
        <v>0</v>
      </c>
      <c r="O310" s="26" t="n">
        <f aca="false">IF(INDEX(Pengaturan!$B$8:$B$27,O$4)="",0,COUNTIF(Data!$B310:$U310,INDEX(Pengaturan!$B$8:$B$27,O$4)))</f>
        <v>0</v>
      </c>
      <c r="P310" s="26" t="n">
        <f aca="false">IF(INDEX(Pengaturan!$B$8:$B$27,P$4)="",0,COUNTIF(Data!$B310:$U310,INDEX(Pengaturan!$B$8:$B$27,P$4)))</f>
        <v>0</v>
      </c>
      <c r="Q310" s="26" t="n">
        <f aca="false">IF(INDEX(Pengaturan!$B$8:$B$27,Q$4)="",0,COUNTIF(Data!$B310:$U310,INDEX(Pengaturan!$B$8:$B$27,Q$4)))</f>
        <v>0</v>
      </c>
      <c r="R310" s="26" t="n">
        <f aca="false">IF(INDEX(Pengaturan!$B$8:$B$27,R$4)="",0,COUNTIF(Data!$B310:$U310,INDEX(Pengaturan!$B$8:$B$27,R$4)))</f>
        <v>0</v>
      </c>
      <c r="S310" s="26" t="n">
        <f aca="false">IF(INDEX(Pengaturan!$B$8:$B$27,S$4)="",0,COUNTIF(Data!$B310:$U310,INDEX(Pengaturan!$B$8:$B$27,S$4)))</f>
        <v>0</v>
      </c>
      <c r="T310" s="26" t="n">
        <f aca="false">IF(INDEX(Pengaturan!$B$8:$B$27,T$4)="",0,COUNTIF(Data!$B310:$U310,INDEX(Pengaturan!$B$8:$B$27,T$4)))</f>
        <v>0</v>
      </c>
      <c r="U310" s="26" t="n">
        <f aca="false">IF(INDEX(Pengaturan!$B$8:$B$27,U$4)="",0,COUNTIF(Data!$B310:$U310,INDEX(Pengaturan!$B$8:$B$27,U$4)))</f>
        <v>0</v>
      </c>
      <c r="V310" s="26" t="n">
        <f aca="false">COUNTA(Data!$B310:$U310)</f>
        <v>0</v>
      </c>
      <c r="W310" s="27" t="str">
        <f aca="false">IF(V310=0,"",IF(V310&lt;&gt;Hasil!$C$4,"Data kosong/tidak lengkap",IF(SUM(B310:U310)&lt;&gt;V310,"Kategori tidak dikenal","OK")))</f>
        <v/>
      </c>
      <c r="X310" s="26" t="n">
        <f aca="false">IF(OR(W310="",W310="OK"),0,1)</f>
        <v>0</v>
      </c>
    </row>
    <row r="311" customFormat="false" ht="15" hidden="false" customHeight="false" outlineLevel="0" collapsed="false">
      <c r="A311" s="26" t="n">
        <f aca="false">Data!A311</f>
        <v>306</v>
      </c>
      <c r="B311" s="26" t="n">
        <f aca="false">IF(INDEX(Pengaturan!$B$8:$B$27,B$4)="",0,COUNTIF(Data!$B311:$U311,INDEX(Pengaturan!$B$8:$B$27,B$4)))</f>
        <v>0</v>
      </c>
      <c r="C311" s="26" t="n">
        <f aca="false">IF(INDEX(Pengaturan!$B$8:$B$27,C$4)="",0,COUNTIF(Data!$B311:$U311,INDEX(Pengaturan!$B$8:$B$27,C$4)))</f>
        <v>0</v>
      </c>
      <c r="D311" s="26" t="n">
        <f aca="false">IF(INDEX(Pengaturan!$B$8:$B$27,D$4)="",0,COUNTIF(Data!$B311:$U311,INDEX(Pengaturan!$B$8:$B$27,D$4)))</f>
        <v>0</v>
      </c>
      <c r="E311" s="26" t="n">
        <f aca="false">IF(INDEX(Pengaturan!$B$8:$B$27,E$4)="",0,COUNTIF(Data!$B311:$U311,INDEX(Pengaturan!$B$8:$B$27,E$4)))</f>
        <v>0</v>
      </c>
      <c r="F311" s="26" t="n">
        <f aca="false">IF(INDEX(Pengaturan!$B$8:$B$27,F$4)="",0,COUNTIF(Data!$B311:$U311,INDEX(Pengaturan!$B$8:$B$27,F$4)))</f>
        <v>0</v>
      </c>
      <c r="G311" s="26" t="n">
        <f aca="false">IF(INDEX(Pengaturan!$B$8:$B$27,G$4)="",0,COUNTIF(Data!$B311:$U311,INDEX(Pengaturan!$B$8:$B$27,G$4)))</f>
        <v>0</v>
      </c>
      <c r="H311" s="26" t="n">
        <f aca="false">IF(INDEX(Pengaturan!$B$8:$B$27,H$4)="",0,COUNTIF(Data!$B311:$U311,INDEX(Pengaturan!$B$8:$B$27,H$4)))</f>
        <v>0</v>
      </c>
      <c r="I311" s="26" t="n">
        <f aca="false">IF(INDEX(Pengaturan!$B$8:$B$27,I$4)="",0,COUNTIF(Data!$B311:$U311,INDEX(Pengaturan!$B$8:$B$27,I$4)))</f>
        <v>0</v>
      </c>
      <c r="J311" s="26" t="n">
        <f aca="false">IF(INDEX(Pengaturan!$B$8:$B$27,J$4)="",0,COUNTIF(Data!$B311:$U311,INDEX(Pengaturan!$B$8:$B$27,J$4)))</f>
        <v>0</v>
      </c>
      <c r="K311" s="26" t="n">
        <f aca="false">IF(INDEX(Pengaturan!$B$8:$B$27,K$4)="",0,COUNTIF(Data!$B311:$U311,INDEX(Pengaturan!$B$8:$B$27,K$4)))</f>
        <v>0</v>
      </c>
      <c r="L311" s="26" t="n">
        <f aca="false">IF(INDEX(Pengaturan!$B$8:$B$27,L$4)="",0,COUNTIF(Data!$B311:$U311,INDEX(Pengaturan!$B$8:$B$27,L$4)))</f>
        <v>0</v>
      </c>
      <c r="M311" s="26" t="n">
        <f aca="false">IF(INDEX(Pengaturan!$B$8:$B$27,M$4)="",0,COUNTIF(Data!$B311:$U311,INDEX(Pengaturan!$B$8:$B$27,M$4)))</f>
        <v>0</v>
      </c>
      <c r="N311" s="26" t="n">
        <f aca="false">IF(INDEX(Pengaturan!$B$8:$B$27,N$4)="",0,COUNTIF(Data!$B311:$U311,INDEX(Pengaturan!$B$8:$B$27,N$4)))</f>
        <v>0</v>
      </c>
      <c r="O311" s="26" t="n">
        <f aca="false">IF(INDEX(Pengaturan!$B$8:$B$27,O$4)="",0,COUNTIF(Data!$B311:$U311,INDEX(Pengaturan!$B$8:$B$27,O$4)))</f>
        <v>0</v>
      </c>
      <c r="P311" s="26" t="n">
        <f aca="false">IF(INDEX(Pengaturan!$B$8:$B$27,P$4)="",0,COUNTIF(Data!$B311:$U311,INDEX(Pengaturan!$B$8:$B$27,P$4)))</f>
        <v>0</v>
      </c>
      <c r="Q311" s="26" t="n">
        <f aca="false">IF(INDEX(Pengaturan!$B$8:$B$27,Q$4)="",0,COUNTIF(Data!$B311:$U311,INDEX(Pengaturan!$B$8:$B$27,Q$4)))</f>
        <v>0</v>
      </c>
      <c r="R311" s="26" t="n">
        <f aca="false">IF(INDEX(Pengaturan!$B$8:$B$27,R$4)="",0,COUNTIF(Data!$B311:$U311,INDEX(Pengaturan!$B$8:$B$27,R$4)))</f>
        <v>0</v>
      </c>
      <c r="S311" s="26" t="n">
        <f aca="false">IF(INDEX(Pengaturan!$B$8:$B$27,S$4)="",0,COUNTIF(Data!$B311:$U311,INDEX(Pengaturan!$B$8:$B$27,S$4)))</f>
        <v>0</v>
      </c>
      <c r="T311" s="26" t="n">
        <f aca="false">IF(INDEX(Pengaturan!$B$8:$B$27,T$4)="",0,COUNTIF(Data!$B311:$U311,INDEX(Pengaturan!$B$8:$B$27,T$4)))</f>
        <v>0</v>
      </c>
      <c r="U311" s="26" t="n">
        <f aca="false">IF(INDEX(Pengaturan!$B$8:$B$27,U$4)="",0,COUNTIF(Data!$B311:$U311,INDEX(Pengaturan!$B$8:$B$27,U$4)))</f>
        <v>0</v>
      </c>
      <c r="V311" s="26" t="n">
        <f aca="false">COUNTA(Data!$B311:$U311)</f>
        <v>0</v>
      </c>
      <c r="W311" s="27" t="str">
        <f aca="false">IF(V311=0,"",IF(V311&lt;&gt;Hasil!$C$4,"Data kosong/tidak lengkap",IF(SUM(B311:U311)&lt;&gt;V311,"Kategori tidak dikenal","OK")))</f>
        <v/>
      </c>
      <c r="X311" s="26" t="n">
        <f aca="false">IF(OR(W311="",W311="OK"),0,1)</f>
        <v>0</v>
      </c>
    </row>
    <row r="312" customFormat="false" ht="15" hidden="false" customHeight="false" outlineLevel="0" collapsed="false">
      <c r="A312" s="26" t="n">
        <f aca="false">Data!A312</f>
        <v>307</v>
      </c>
      <c r="B312" s="26" t="n">
        <f aca="false">IF(INDEX(Pengaturan!$B$8:$B$27,B$4)="",0,COUNTIF(Data!$B312:$U312,INDEX(Pengaturan!$B$8:$B$27,B$4)))</f>
        <v>0</v>
      </c>
      <c r="C312" s="26" t="n">
        <f aca="false">IF(INDEX(Pengaturan!$B$8:$B$27,C$4)="",0,COUNTIF(Data!$B312:$U312,INDEX(Pengaturan!$B$8:$B$27,C$4)))</f>
        <v>0</v>
      </c>
      <c r="D312" s="26" t="n">
        <f aca="false">IF(INDEX(Pengaturan!$B$8:$B$27,D$4)="",0,COUNTIF(Data!$B312:$U312,INDEX(Pengaturan!$B$8:$B$27,D$4)))</f>
        <v>0</v>
      </c>
      <c r="E312" s="26" t="n">
        <f aca="false">IF(INDEX(Pengaturan!$B$8:$B$27,E$4)="",0,COUNTIF(Data!$B312:$U312,INDEX(Pengaturan!$B$8:$B$27,E$4)))</f>
        <v>0</v>
      </c>
      <c r="F312" s="26" t="n">
        <f aca="false">IF(INDEX(Pengaturan!$B$8:$B$27,F$4)="",0,COUNTIF(Data!$B312:$U312,INDEX(Pengaturan!$B$8:$B$27,F$4)))</f>
        <v>0</v>
      </c>
      <c r="G312" s="26" t="n">
        <f aca="false">IF(INDEX(Pengaturan!$B$8:$B$27,G$4)="",0,COUNTIF(Data!$B312:$U312,INDEX(Pengaturan!$B$8:$B$27,G$4)))</f>
        <v>0</v>
      </c>
      <c r="H312" s="26" t="n">
        <f aca="false">IF(INDEX(Pengaturan!$B$8:$B$27,H$4)="",0,COUNTIF(Data!$B312:$U312,INDEX(Pengaturan!$B$8:$B$27,H$4)))</f>
        <v>0</v>
      </c>
      <c r="I312" s="26" t="n">
        <f aca="false">IF(INDEX(Pengaturan!$B$8:$B$27,I$4)="",0,COUNTIF(Data!$B312:$U312,INDEX(Pengaturan!$B$8:$B$27,I$4)))</f>
        <v>0</v>
      </c>
      <c r="J312" s="26" t="n">
        <f aca="false">IF(INDEX(Pengaturan!$B$8:$B$27,J$4)="",0,COUNTIF(Data!$B312:$U312,INDEX(Pengaturan!$B$8:$B$27,J$4)))</f>
        <v>0</v>
      </c>
      <c r="K312" s="26" t="n">
        <f aca="false">IF(INDEX(Pengaturan!$B$8:$B$27,K$4)="",0,COUNTIF(Data!$B312:$U312,INDEX(Pengaturan!$B$8:$B$27,K$4)))</f>
        <v>0</v>
      </c>
      <c r="L312" s="26" t="n">
        <f aca="false">IF(INDEX(Pengaturan!$B$8:$B$27,L$4)="",0,COUNTIF(Data!$B312:$U312,INDEX(Pengaturan!$B$8:$B$27,L$4)))</f>
        <v>0</v>
      </c>
      <c r="M312" s="26" t="n">
        <f aca="false">IF(INDEX(Pengaturan!$B$8:$B$27,M$4)="",0,COUNTIF(Data!$B312:$U312,INDEX(Pengaturan!$B$8:$B$27,M$4)))</f>
        <v>0</v>
      </c>
      <c r="N312" s="26" t="n">
        <f aca="false">IF(INDEX(Pengaturan!$B$8:$B$27,N$4)="",0,COUNTIF(Data!$B312:$U312,INDEX(Pengaturan!$B$8:$B$27,N$4)))</f>
        <v>0</v>
      </c>
      <c r="O312" s="26" t="n">
        <f aca="false">IF(INDEX(Pengaturan!$B$8:$B$27,O$4)="",0,COUNTIF(Data!$B312:$U312,INDEX(Pengaturan!$B$8:$B$27,O$4)))</f>
        <v>0</v>
      </c>
      <c r="P312" s="26" t="n">
        <f aca="false">IF(INDEX(Pengaturan!$B$8:$B$27,P$4)="",0,COUNTIF(Data!$B312:$U312,INDEX(Pengaturan!$B$8:$B$27,P$4)))</f>
        <v>0</v>
      </c>
      <c r="Q312" s="26" t="n">
        <f aca="false">IF(INDEX(Pengaturan!$B$8:$B$27,Q$4)="",0,COUNTIF(Data!$B312:$U312,INDEX(Pengaturan!$B$8:$B$27,Q$4)))</f>
        <v>0</v>
      </c>
      <c r="R312" s="26" t="n">
        <f aca="false">IF(INDEX(Pengaturan!$B$8:$B$27,R$4)="",0,COUNTIF(Data!$B312:$U312,INDEX(Pengaturan!$B$8:$B$27,R$4)))</f>
        <v>0</v>
      </c>
      <c r="S312" s="26" t="n">
        <f aca="false">IF(INDEX(Pengaturan!$B$8:$B$27,S$4)="",0,COUNTIF(Data!$B312:$U312,INDEX(Pengaturan!$B$8:$B$27,S$4)))</f>
        <v>0</v>
      </c>
      <c r="T312" s="26" t="n">
        <f aca="false">IF(INDEX(Pengaturan!$B$8:$B$27,T$4)="",0,COUNTIF(Data!$B312:$U312,INDEX(Pengaturan!$B$8:$B$27,T$4)))</f>
        <v>0</v>
      </c>
      <c r="U312" s="26" t="n">
        <f aca="false">IF(INDEX(Pengaturan!$B$8:$B$27,U$4)="",0,COUNTIF(Data!$B312:$U312,INDEX(Pengaturan!$B$8:$B$27,U$4)))</f>
        <v>0</v>
      </c>
      <c r="V312" s="26" t="n">
        <f aca="false">COUNTA(Data!$B312:$U312)</f>
        <v>0</v>
      </c>
      <c r="W312" s="27" t="str">
        <f aca="false">IF(V312=0,"",IF(V312&lt;&gt;Hasil!$C$4,"Data kosong/tidak lengkap",IF(SUM(B312:U312)&lt;&gt;V312,"Kategori tidak dikenal","OK")))</f>
        <v/>
      </c>
      <c r="X312" s="26" t="n">
        <f aca="false">IF(OR(W312="",W312="OK"),0,1)</f>
        <v>0</v>
      </c>
    </row>
    <row r="313" customFormat="false" ht="15" hidden="false" customHeight="false" outlineLevel="0" collapsed="false">
      <c r="A313" s="26" t="n">
        <f aca="false">Data!A313</f>
        <v>308</v>
      </c>
      <c r="B313" s="26" t="n">
        <f aca="false">IF(INDEX(Pengaturan!$B$8:$B$27,B$4)="",0,COUNTIF(Data!$B313:$U313,INDEX(Pengaturan!$B$8:$B$27,B$4)))</f>
        <v>0</v>
      </c>
      <c r="C313" s="26" t="n">
        <f aca="false">IF(INDEX(Pengaturan!$B$8:$B$27,C$4)="",0,COUNTIF(Data!$B313:$U313,INDEX(Pengaturan!$B$8:$B$27,C$4)))</f>
        <v>0</v>
      </c>
      <c r="D313" s="26" t="n">
        <f aca="false">IF(INDEX(Pengaturan!$B$8:$B$27,D$4)="",0,COUNTIF(Data!$B313:$U313,INDEX(Pengaturan!$B$8:$B$27,D$4)))</f>
        <v>0</v>
      </c>
      <c r="E313" s="26" t="n">
        <f aca="false">IF(INDEX(Pengaturan!$B$8:$B$27,E$4)="",0,COUNTIF(Data!$B313:$U313,INDEX(Pengaturan!$B$8:$B$27,E$4)))</f>
        <v>0</v>
      </c>
      <c r="F313" s="26" t="n">
        <f aca="false">IF(INDEX(Pengaturan!$B$8:$B$27,F$4)="",0,COUNTIF(Data!$B313:$U313,INDEX(Pengaturan!$B$8:$B$27,F$4)))</f>
        <v>0</v>
      </c>
      <c r="G313" s="26" t="n">
        <f aca="false">IF(INDEX(Pengaturan!$B$8:$B$27,G$4)="",0,COUNTIF(Data!$B313:$U313,INDEX(Pengaturan!$B$8:$B$27,G$4)))</f>
        <v>0</v>
      </c>
      <c r="H313" s="26" t="n">
        <f aca="false">IF(INDEX(Pengaturan!$B$8:$B$27,H$4)="",0,COUNTIF(Data!$B313:$U313,INDEX(Pengaturan!$B$8:$B$27,H$4)))</f>
        <v>0</v>
      </c>
      <c r="I313" s="26" t="n">
        <f aca="false">IF(INDEX(Pengaturan!$B$8:$B$27,I$4)="",0,COUNTIF(Data!$B313:$U313,INDEX(Pengaturan!$B$8:$B$27,I$4)))</f>
        <v>0</v>
      </c>
      <c r="J313" s="26" t="n">
        <f aca="false">IF(INDEX(Pengaturan!$B$8:$B$27,J$4)="",0,COUNTIF(Data!$B313:$U313,INDEX(Pengaturan!$B$8:$B$27,J$4)))</f>
        <v>0</v>
      </c>
      <c r="K313" s="26" t="n">
        <f aca="false">IF(INDEX(Pengaturan!$B$8:$B$27,K$4)="",0,COUNTIF(Data!$B313:$U313,INDEX(Pengaturan!$B$8:$B$27,K$4)))</f>
        <v>0</v>
      </c>
      <c r="L313" s="26" t="n">
        <f aca="false">IF(INDEX(Pengaturan!$B$8:$B$27,L$4)="",0,COUNTIF(Data!$B313:$U313,INDEX(Pengaturan!$B$8:$B$27,L$4)))</f>
        <v>0</v>
      </c>
      <c r="M313" s="26" t="n">
        <f aca="false">IF(INDEX(Pengaturan!$B$8:$B$27,M$4)="",0,COUNTIF(Data!$B313:$U313,INDEX(Pengaturan!$B$8:$B$27,M$4)))</f>
        <v>0</v>
      </c>
      <c r="N313" s="26" t="n">
        <f aca="false">IF(INDEX(Pengaturan!$B$8:$B$27,N$4)="",0,COUNTIF(Data!$B313:$U313,INDEX(Pengaturan!$B$8:$B$27,N$4)))</f>
        <v>0</v>
      </c>
      <c r="O313" s="26" t="n">
        <f aca="false">IF(INDEX(Pengaturan!$B$8:$B$27,O$4)="",0,COUNTIF(Data!$B313:$U313,INDEX(Pengaturan!$B$8:$B$27,O$4)))</f>
        <v>0</v>
      </c>
      <c r="P313" s="26" t="n">
        <f aca="false">IF(INDEX(Pengaturan!$B$8:$B$27,P$4)="",0,COUNTIF(Data!$B313:$U313,INDEX(Pengaturan!$B$8:$B$27,P$4)))</f>
        <v>0</v>
      </c>
      <c r="Q313" s="26" t="n">
        <f aca="false">IF(INDEX(Pengaturan!$B$8:$B$27,Q$4)="",0,COUNTIF(Data!$B313:$U313,INDEX(Pengaturan!$B$8:$B$27,Q$4)))</f>
        <v>0</v>
      </c>
      <c r="R313" s="26" t="n">
        <f aca="false">IF(INDEX(Pengaturan!$B$8:$B$27,R$4)="",0,COUNTIF(Data!$B313:$U313,INDEX(Pengaturan!$B$8:$B$27,R$4)))</f>
        <v>0</v>
      </c>
      <c r="S313" s="26" t="n">
        <f aca="false">IF(INDEX(Pengaturan!$B$8:$B$27,S$4)="",0,COUNTIF(Data!$B313:$U313,INDEX(Pengaturan!$B$8:$B$27,S$4)))</f>
        <v>0</v>
      </c>
      <c r="T313" s="26" t="n">
        <f aca="false">IF(INDEX(Pengaturan!$B$8:$B$27,T$4)="",0,COUNTIF(Data!$B313:$U313,INDEX(Pengaturan!$B$8:$B$27,T$4)))</f>
        <v>0</v>
      </c>
      <c r="U313" s="26" t="n">
        <f aca="false">IF(INDEX(Pengaturan!$B$8:$B$27,U$4)="",0,COUNTIF(Data!$B313:$U313,INDEX(Pengaturan!$B$8:$B$27,U$4)))</f>
        <v>0</v>
      </c>
      <c r="V313" s="26" t="n">
        <f aca="false">COUNTA(Data!$B313:$U313)</f>
        <v>0</v>
      </c>
      <c r="W313" s="27" t="str">
        <f aca="false">IF(V313=0,"",IF(V313&lt;&gt;Hasil!$C$4,"Data kosong/tidak lengkap",IF(SUM(B313:U313)&lt;&gt;V313,"Kategori tidak dikenal","OK")))</f>
        <v/>
      </c>
      <c r="X313" s="26" t="n">
        <f aca="false">IF(OR(W313="",W313="OK"),0,1)</f>
        <v>0</v>
      </c>
    </row>
    <row r="314" customFormat="false" ht="15" hidden="false" customHeight="false" outlineLevel="0" collapsed="false">
      <c r="A314" s="26" t="n">
        <f aca="false">Data!A314</f>
        <v>309</v>
      </c>
      <c r="B314" s="26" t="n">
        <f aca="false">IF(INDEX(Pengaturan!$B$8:$B$27,B$4)="",0,COUNTIF(Data!$B314:$U314,INDEX(Pengaturan!$B$8:$B$27,B$4)))</f>
        <v>0</v>
      </c>
      <c r="C314" s="26" t="n">
        <f aca="false">IF(INDEX(Pengaturan!$B$8:$B$27,C$4)="",0,COUNTIF(Data!$B314:$U314,INDEX(Pengaturan!$B$8:$B$27,C$4)))</f>
        <v>0</v>
      </c>
      <c r="D314" s="26" t="n">
        <f aca="false">IF(INDEX(Pengaturan!$B$8:$B$27,D$4)="",0,COUNTIF(Data!$B314:$U314,INDEX(Pengaturan!$B$8:$B$27,D$4)))</f>
        <v>0</v>
      </c>
      <c r="E314" s="26" t="n">
        <f aca="false">IF(INDEX(Pengaturan!$B$8:$B$27,E$4)="",0,COUNTIF(Data!$B314:$U314,INDEX(Pengaturan!$B$8:$B$27,E$4)))</f>
        <v>0</v>
      </c>
      <c r="F314" s="26" t="n">
        <f aca="false">IF(INDEX(Pengaturan!$B$8:$B$27,F$4)="",0,COUNTIF(Data!$B314:$U314,INDEX(Pengaturan!$B$8:$B$27,F$4)))</f>
        <v>0</v>
      </c>
      <c r="G314" s="26" t="n">
        <f aca="false">IF(INDEX(Pengaturan!$B$8:$B$27,G$4)="",0,COUNTIF(Data!$B314:$U314,INDEX(Pengaturan!$B$8:$B$27,G$4)))</f>
        <v>0</v>
      </c>
      <c r="H314" s="26" t="n">
        <f aca="false">IF(INDEX(Pengaturan!$B$8:$B$27,H$4)="",0,COUNTIF(Data!$B314:$U314,INDEX(Pengaturan!$B$8:$B$27,H$4)))</f>
        <v>0</v>
      </c>
      <c r="I314" s="26" t="n">
        <f aca="false">IF(INDEX(Pengaturan!$B$8:$B$27,I$4)="",0,COUNTIF(Data!$B314:$U314,INDEX(Pengaturan!$B$8:$B$27,I$4)))</f>
        <v>0</v>
      </c>
      <c r="J314" s="26" t="n">
        <f aca="false">IF(INDEX(Pengaturan!$B$8:$B$27,J$4)="",0,COUNTIF(Data!$B314:$U314,INDEX(Pengaturan!$B$8:$B$27,J$4)))</f>
        <v>0</v>
      </c>
      <c r="K314" s="26" t="n">
        <f aca="false">IF(INDEX(Pengaturan!$B$8:$B$27,K$4)="",0,COUNTIF(Data!$B314:$U314,INDEX(Pengaturan!$B$8:$B$27,K$4)))</f>
        <v>0</v>
      </c>
      <c r="L314" s="26" t="n">
        <f aca="false">IF(INDEX(Pengaturan!$B$8:$B$27,L$4)="",0,COUNTIF(Data!$B314:$U314,INDEX(Pengaturan!$B$8:$B$27,L$4)))</f>
        <v>0</v>
      </c>
      <c r="M314" s="26" t="n">
        <f aca="false">IF(INDEX(Pengaturan!$B$8:$B$27,M$4)="",0,COUNTIF(Data!$B314:$U314,INDEX(Pengaturan!$B$8:$B$27,M$4)))</f>
        <v>0</v>
      </c>
      <c r="N314" s="26" t="n">
        <f aca="false">IF(INDEX(Pengaturan!$B$8:$B$27,N$4)="",0,COUNTIF(Data!$B314:$U314,INDEX(Pengaturan!$B$8:$B$27,N$4)))</f>
        <v>0</v>
      </c>
      <c r="O314" s="26" t="n">
        <f aca="false">IF(INDEX(Pengaturan!$B$8:$B$27,O$4)="",0,COUNTIF(Data!$B314:$U314,INDEX(Pengaturan!$B$8:$B$27,O$4)))</f>
        <v>0</v>
      </c>
      <c r="P314" s="26" t="n">
        <f aca="false">IF(INDEX(Pengaturan!$B$8:$B$27,P$4)="",0,COUNTIF(Data!$B314:$U314,INDEX(Pengaturan!$B$8:$B$27,P$4)))</f>
        <v>0</v>
      </c>
      <c r="Q314" s="26" t="n">
        <f aca="false">IF(INDEX(Pengaturan!$B$8:$B$27,Q$4)="",0,COUNTIF(Data!$B314:$U314,INDEX(Pengaturan!$B$8:$B$27,Q$4)))</f>
        <v>0</v>
      </c>
      <c r="R314" s="26" t="n">
        <f aca="false">IF(INDEX(Pengaturan!$B$8:$B$27,R$4)="",0,COUNTIF(Data!$B314:$U314,INDEX(Pengaturan!$B$8:$B$27,R$4)))</f>
        <v>0</v>
      </c>
      <c r="S314" s="26" t="n">
        <f aca="false">IF(INDEX(Pengaturan!$B$8:$B$27,S$4)="",0,COUNTIF(Data!$B314:$U314,INDEX(Pengaturan!$B$8:$B$27,S$4)))</f>
        <v>0</v>
      </c>
      <c r="T314" s="26" t="n">
        <f aca="false">IF(INDEX(Pengaturan!$B$8:$B$27,T$4)="",0,COUNTIF(Data!$B314:$U314,INDEX(Pengaturan!$B$8:$B$27,T$4)))</f>
        <v>0</v>
      </c>
      <c r="U314" s="26" t="n">
        <f aca="false">IF(INDEX(Pengaturan!$B$8:$B$27,U$4)="",0,COUNTIF(Data!$B314:$U314,INDEX(Pengaturan!$B$8:$B$27,U$4)))</f>
        <v>0</v>
      </c>
      <c r="V314" s="26" t="n">
        <f aca="false">COUNTA(Data!$B314:$U314)</f>
        <v>0</v>
      </c>
      <c r="W314" s="27" t="str">
        <f aca="false">IF(V314=0,"",IF(V314&lt;&gt;Hasil!$C$4,"Data kosong/tidak lengkap",IF(SUM(B314:U314)&lt;&gt;V314,"Kategori tidak dikenal","OK")))</f>
        <v/>
      </c>
      <c r="X314" s="26" t="n">
        <f aca="false">IF(OR(W314="",W314="OK"),0,1)</f>
        <v>0</v>
      </c>
    </row>
    <row r="315" customFormat="false" ht="15" hidden="false" customHeight="false" outlineLevel="0" collapsed="false">
      <c r="A315" s="26" t="n">
        <f aca="false">Data!A315</f>
        <v>310</v>
      </c>
      <c r="B315" s="26" t="n">
        <f aca="false">IF(INDEX(Pengaturan!$B$8:$B$27,B$4)="",0,COUNTIF(Data!$B315:$U315,INDEX(Pengaturan!$B$8:$B$27,B$4)))</f>
        <v>0</v>
      </c>
      <c r="C315" s="26" t="n">
        <f aca="false">IF(INDEX(Pengaturan!$B$8:$B$27,C$4)="",0,COUNTIF(Data!$B315:$U315,INDEX(Pengaturan!$B$8:$B$27,C$4)))</f>
        <v>0</v>
      </c>
      <c r="D315" s="26" t="n">
        <f aca="false">IF(INDEX(Pengaturan!$B$8:$B$27,D$4)="",0,COUNTIF(Data!$B315:$U315,INDEX(Pengaturan!$B$8:$B$27,D$4)))</f>
        <v>0</v>
      </c>
      <c r="E315" s="26" t="n">
        <f aca="false">IF(INDEX(Pengaturan!$B$8:$B$27,E$4)="",0,COUNTIF(Data!$B315:$U315,INDEX(Pengaturan!$B$8:$B$27,E$4)))</f>
        <v>0</v>
      </c>
      <c r="F315" s="26" t="n">
        <f aca="false">IF(INDEX(Pengaturan!$B$8:$B$27,F$4)="",0,COUNTIF(Data!$B315:$U315,INDEX(Pengaturan!$B$8:$B$27,F$4)))</f>
        <v>0</v>
      </c>
      <c r="G315" s="26" t="n">
        <f aca="false">IF(INDEX(Pengaturan!$B$8:$B$27,G$4)="",0,COUNTIF(Data!$B315:$U315,INDEX(Pengaturan!$B$8:$B$27,G$4)))</f>
        <v>0</v>
      </c>
      <c r="H315" s="26" t="n">
        <f aca="false">IF(INDEX(Pengaturan!$B$8:$B$27,H$4)="",0,COUNTIF(Data!$B315:$U315,INDEX(Pengaturan!$B$8:$B$27,H$4)))</f>
        <v>0</v>
      </c>
      <c r="I315" s="26" t="n">
        <f aca="false">IF(INDEX(Pengaturan!$B$8:$B$27,I$4)="",0,COUNTIF(Data!$B315:$U315,INDEX(Pengaturan!$B$8:$B$27,I$4)))</f>
        <v>0</v>
      </c>
      <c r="J315" s="26" t="n">
        <f aca="false">IF(INDEX(Pengaturan!$B$8:$B$27,J$4)="",0,COUNTIF(Data!$B315:$U315,INDEX(Pengaturan!$B$8:$B$27,J$4)))</f>
        <v>0</v>
      </c>
      <c r="K315" s="26" t="n">
        <f aca="false">IF(INDEX(Pengaturan!$B$8:$B$27,K$4)="",0,COUNTIF(Data!$B315:$U315,INDEX(Pengaturan!$B$8:$B$27,K$4)))</f>
        <v>0</v>
      </c>
      <c r="L315" s="26" t="n">
        <f aca="false">IF(INDEX(Pengaturan!$B$8:$B$27,L$4)="",0,COUNTIF(Data!$B315:$U315,INDEX(Pengaturan!$B$8:$B$27,L$4)))</f>
        <v>0</v>
      </c>
      <c r="M315" s="26" t="n">
        <f aca="false">IF(INDEX(Pengaturan!$B$8:$B$27,M$4)="",0,COUNTIF(Data!$B315:$U315,INDEX(Pengaturan!$B$8:$B$27,M$4)))</f>
        <v>0</v>
      </c>
      <c r="N315" s="26" t="n">
        <f aca="false">IF(INDEX(Pengaturan!$B$8:$B$27,N$4)="",0,COUNTIF(Data!$B315:$U315,INDEX(Pengaturan!$B$8:$B$27,N$4)))</f>
        <v>0</v>
      </c>
      <c r="O315" s="26" t="n">
        <f aca="false">IF(INDEX(Pengaturan!$B$8:$B$27,O$4)="",0,COUNTIF(Data!$B315:$U315,INDEX(Pengaturan!$B$8:$B$27,O$4)))</f>
        <v>0</v>
      </c>
      <c r="P315" s="26" t="n">
        <f aca="false">IF(INDEX(Pengaturan!$B$8:$B$27,P$4)="",0,COUNTIF(Data!$B315:$U315,INDEX(Pengaturan!$B$8:$B$27,P$4)))</f>
        <v>0</v>
      </c>
      <c r="Q315" s="26" t="n">
        <f aca="false">IF(INDEX(Pengaturan!$B$8:$B$27,Q$4)="",0,COUNTIF(Data!$B315:$U315,INDEX(Pengaturan!$B$8:$B$27,Q$4)))</f>
        <v>0</v>
      </c>
      <c r="R315" s="26" t="n">
        <f aca="false">IF(INDEX(Pengaturan!$B$8:$B$27,R$4)="",0,COUNTIF(Data!$B315:$U315,INDEX(Pengaturan!$B$8:$B$27,R$4)))</f>
        <v>0</v>
      </c>
      <c r="S315" s="26" t="n">
        <f aca="false">IF(INDEX(Pengaturan!$B$8:$B$27,S$4)="",0,COUNTIF(Data!$B315:$U315,INDEX(Pengaturan!$B$8:$B$27,S$4)))</f>
        <v>0</v>
      </c>
      <c r="T315" s="26" t="n">
        <f aca="false">IF(INDEX(Pengaturan!$B$8:$B$27,T$4)="",0,COUNTIF(Data!$B315:$U315,INDEX(Pengaturan!$B$8:$B$27,T$4)))</f>
        <v>0</v>
      </c>
      <c r="U315" s="26" t="n">
        <f aca="false">IF(INDEX(Pengaturan!$B$8:$B$27,U$4)="",0,COUNTIF(Data!$B315:$U315,INDEX(Pengaturan!$B$8:$B$27,U$4)))</f>
        <v>0</v>
      </c>
      <c r="V315" s="26" t="n">
        <f aca="false">COUNTA(Data!$B315:$U315)</f>
        <v>0</v>
      </c>
      <c r="W315" s="27" t="str">
        <f aca="false">IF(V315=0,"",IF(V315&lt;&gt;Hasil!$C$4,"Data kosong/tidak lengkap",IF(SUM(B315:U315)&lt;&gt;V315,"Kategori tidak dikenal","OK")))</f>
        <v/>
      </c>
      <c r="X315" s="26" t="n">
        <f aca="false">IF(OR(W315="",W315="OK"),0,1)</f>
        <v>0</v>
      </c>
    </row>
    <row r="316" customFormat="false" ht="15" hidden="false" customHeight="false" outlineLevel="0" collapsed="false">
      <c r="A316" s="26" t="n">
        <f aca="false">Data!A316</f>
        <v>311</v>
      </c>
      <c r="B316" s="26" t="n">
        <f aca="false">IF(INDEX(Pengaturan!$B$8:$B$27,B$4)="",0,COUNTIF(Data!$B316:$U316,INDEX(Pengaturan!$B$8:$B$27,B$4)))</f>
        <v>0</v>
      </c>
      <c r="C316" s="26" t="n">
        <f aca="false">IF(INDEX(Pengaturan!$B$8:$B$27,C$4)="",0,COUNTIF(Data!$B316:$U316,INDEX(Pengaturan!$B$8:$B$27,C$4)))</f>
        <v>0</v>
      </c>
      <c r="D316" s="26" t="n">
        <f aca="false">IF(INDEX(Pengaturan!$B$8:$B$27,D$4)="",0,COUNTIF(Data!$B316:$U316,INDEX(Pengaturan!$B$8:$B$27,D$4)))</f>
        <v>0</v>
      </c>
      <c r="E316" s="26" t="n">
        <f aca="false">IF(INDEX(Pengaturan!$B$8:$B$27,E$4)="",0,COUNTIF(Data!$B316:$U316,INDEX(Pengaturan!$B$8:$B$27,E$4)))</f>
        <v>0</v>
      </c>
      <c r="F316" s="26" t="n">
        <f aca="false">IF(INDEX(Pengaturan!$B$8:$B$27,F$4)="",0,COUNTIF(Data!$B316:$U316,INDEX(Pengaturan!$B$8:$B$27,F$4)))</f>
        <v>0</v>
      </c>
      <c r="G316" s="26" t="n">
        <f aca="false">IF(INDEX(Pengaturan!$B$8:$B$27,G$4)="",0,COUNTIF(Data!$B316:$U316,INDEX(Pengaturan!$B$8:$B$27,G$4)))</f>
        <v>0</v>
      </c>
      <c r="H316" s="26" t="n">
        <f aca="false">IF(INDEX(Pengaturan!$B$8:$B$27,H$4)="",0,COUNTIF(Data!$B316:$U316,INDEX(Pengaturan!$B$8:$B$27,H$4)))</f>
        <v>0</v>
      </c>
      <c r="I316" s="26" t="n">
        <f aca="false">IF(INDEX(Pengaturan!$B$8:$B$27,I$4)="",0,COUNTIF(Data!$B316:$U316,INDEX(Pengaturan!$B$8:$B$27,I$4)))</f>
        <v>0</v>
      </c>
      <c r="J316" s="26" t="n">
        <f aca="false">IF(INDEX(Pengaturan!$B$8:$B$27,J$4)="",0,COUNTIF(Data!$B316:$U316,INDEX(Pengaturan!$B$8:$B$27,J$4)))</f>
        <v>0</v>
      </c>
      <c r="K316" s="26" t="n">
        <f aca="false">IF(INDEX(Pengaturan!$B$8:$B$27,K$4)="",0,COUNTIF(Data!$B316:$U316,INDEX(Pengaturan!$B$8:$B$27,K$4)))</f>
        <v>0</v>
      </c>
      <c r="L316" s="26" t="n">
        <f aca="false">IF(INDEX(Pengaturan!$B$8:$B$27,L$4)="",0,COUNTIF(Data!$B316:$U316,INDEX(Pengaturan!$B$8:$B$27,L$4)))</f>
        <v>0</v>
      </c>
      <c r="M316" s="26" t="n">
        <f aca="false">IF(INDEX(Pengaturan!$B$8:$B$27,M$4)="",0,COUNTIF(Data!$B316:$U316,INDEX(Pengaturan!$B$8:$B$27,M$4)))</f>
        <v>0</v>
      </c>
      <c r="N316" s="26" t="n">
        <f aca="false">IF(INDEX(Pengaturan!$B$8:$B$27,N$4)="",0,COUNTIF(Data!$B316:$U316,INDEX(Pengaturan!$B$8:$B$27,N$4)))</f>
        <v>0</v>
      </c>
      <c r="O316" s="26" t="n">
        <f aca="false">IF(INDEX(Pengaturan!$B$8:$B$27,O$4)="",0,COUNTIF(Data!$B316:$U316,INDEX(Pengaturan!$B$8:$B$27,O$4)))</f>
        <v>0</v>
      </c>
      <c r="P316" s="26" t="n">
        <f aca="false">IF(INDEX(Pengaturan!$B$8:$B$27,P$4)="",0,COUNTIF(Data!$B316:$U316,INDEX(Pengaturan!$B$8:$B$27,P$4)))</f>
        <v>0</v>
      </c>
      <c r="Q316" s="26" t="n">
        <f aca="false">IF(INDEX(Pengaturan!$B$8:$B$27,Q$4)="",0,COUNTIF(Data!$B316:$U316,INDEX(Pengaturan!$B$8:$B$27,Q$4)))</f>
        <v>0</v>
      </c>
      <c r="R316" s="26" t="n">
        <f aca="false">IF(INDEX(Pengaturan!$B$8:$B$27,R$4)="",0,COUNTIF(Data!$B316:$U316,INDEX(Pengaturan!$B$8:$B$27,R$4)))</f>
        <v>0</v>
      </c>
      <c r="S316" s="26" t="n">
        <f aca="false">IF(INDEX(Pengaturan!$B$8:$B$27,S$4)="",0,COUNTIF(Data!$B316:$U316,INDEX(Pengaturan!$B$8:$B$27,S$4)))</f>
        <v>0</v>
      </c>
      <c r="T316" s="26" t="n">
        <f aca="false">IF(INDEX(Pengaturan!$B$8:$B$27,T$4)="",0,COUNTIF(Data!$B316:$U316,INDEX(Pengaturan!$B$8:$B$27,T$4)))</f>
        <v>0</v>
      </c>
      <c r="U316" s="26" t="n">
        <f aca="false">IF(INDEX(Pengaturan!$B$8:$B$27,U$4)="",0,COUNTIF(Data!$B316:$U316,INDEX(Pengaturan!$B$8:$B$27,U$4)))</f>
        <v>0</v>
      </c>
      <c r="V316" s="26" t="n">
        <f aca="false">COUNTA(Data!$B316:$U316)</f>
        <v>0</v>
      </c>
      <c r="W316" s="27" t="str">
        <f aca="false">IF(V316=0,"",IF(V316&lt;&gt;Hasil!$C$4,"Data kosong/tidak lengkap",IF(SUM(B316:U316)&lt;&gt;V316,"Kategori tidak dikenal","OK")))</f>
        <v/>
      </c>
      <c r="X316" s="26" t="n">
        <f aca="false">IF(OR(W316="",W316="OK"),0,1)</f>
        <v>0</v>
      </c>
    </row>
    <row r="317" customFormat="false" ht="15" hidden="false" customHeight="false" outlineLevel="0" collapsed="false">
      <c r="A317" s="26" t="n">
        <f aca="false">Data!A317</f>
        <v>312</v>
      </c>
      <c r="B317" s="26" t="n">
        <f aca="false">IF(INDEX(Pengaturan!$B$8:$B$27,B$4)="",0,COUNTIF(Data!$B317:$U317,INDEX(Pengaturan!$B$8:$B$27,B$4)))</f>
        <v>0</v>
      </c>
      <c r="C317" s="26" t="n">
        <f aca="false">IF(INDEX(Pengaturan!$B$8:$B$27,C$4)="",0,COUNTIF(Data!$B317:$U317,INDEX(Pengaturan!$B$8:$B$27,C$4)))</f>
        <v>0</v>
      </c>
      <c r="D317" s="26" t="n">
        <f aca="false">IF(INDEX(Pengaturan!$B$8:$B$27,D$4)="",0,COUNTIF(Data!$B317:$U317,INDEX(Pengaturan!$B$8:$B$27,D$4)))</f>
        <v>0</v>
      </c>
      <c r="E317" s="26" t="n">
        <f aca="false">IF(INDEX(Pengaturan!$B$8:$B$27,E$4)="",0,COUNTIF(Data!$B317:$U317,INDEX(Pengaturan!$B$8:$B$27,E$4)))</f>
        <v>0</v>
      </c>
      <c r="F317" s="26" t="n">
        <f aca="false">IF(INDEX(Pengaturan!$B$8:$B$27,F$4)="",0,COUNTIF(Data!$B317:$U317,INDEX(Pengaturan!$B$8:$B$27,F$4)))</f>
        <v>0</v>
      </c>
      <c r="G317" s="26" t="n">
        <f aca="false">IF(INDEX(Pengaturan!$B$8:$B$27,G$4)="",0,COUNTIF(Data!$B317:$U317,INDEX(Pengaturan!$B$8:$B$27,G$4)))</f>
        <v>0</v>
      </c>
      <c r="H317" s="26" t="n">
        <f aca="false">IF(INDEX(Pengaturan!$B$8:$B$27,H$4)="",0,COUNTIF(Data!$B317:$U317,INDEX(Pengaturan!$B$8:$B$27,H$4)))</f>
        <v>0</v>
      </c>
      <c r="I317" s="26" t="n">
        <f aca="false">IF(INDEX(Pengaturan!$B$8:$B$27,I$4)="",0,COUNTIF(Data!$B317:$U317,INDEX(Pengaturan!$B$8:$B$27,I$4)))</f>
        <v>0</v>
      </c>
      <c r="J317" s="26" t="n">
        <f aca="false">IF(INDEX(Pengaturan!$B$8:$B$27,J$4)="",0,COUNTIF(Data!$B317:$U317,INDEX(Pengaturan!$B$8:$B$27,J$4)))</f>
        <v>0</v>
      </c>
      <c r="K317" s="26" t="n">
        <f aca="false">IF(INDEX(Pengaturan!$B$8:$B$27,K$4)="",0,COUNTIF(Data!$B317:$U317,INDEX(Pengaturan!$B$8:$B$27,K$4)))</f>
        <v>0</v>
      </c>
      <c r="L317" s="26" t="n">
        <f aca="false">IF(INDEX(Pengaturan!$B$8:$B$27,L$4)="",0,COUNTIF(Data!$B317:$U317,INDEX(Pengaturan!$B$8:$B$27,L$4)))</f>
        <v>0</v>
      </c>
      <c r="M317" s="26" t="n">
        <f aca="false">IF(INDEX(Pengaturan!$B$8:$B$27,M$4)="",0,COUNTIF(Data!$B317:$U317,INDEX(Pengaturan!$B$8:$B$27,M$4)))</f>
        <v>0</v>
      </c>
      <c r="N317" s="26" t="n">
        <f aca="false">IF(INDEX(Pengaturan!$B$8:$B$27,N$4)="",0,COUNTIF(Data!$B317:$U317,INDEX(Pengaturan!$B$8:$B$27,N$4)))</f>
        <v>0</v>
      </c>
      <c r="O317" s="26" t="n">
        <f aca="false">IF(INDEX(Pengaturan!$B$8:$B$27,O$4)="",0,COUNTIF(Data!$B317:$U317,INDEX(Pengaturan!$B$8:$B$27,O$4)))</f>
        <v>0</v>
      </c>
      <c r="P317" s="26" t="n">
        <f aca="false">IF(INDEX(Pengaturan!$B$8:$B$27,P$4)="",0,COUNTIF(Data!$B317:$U317,INDEX(Pengaturan!$B$8:$B$27,P$4)))</f>
        <v>0</v>
      </c>
      <c r="Q317" s="26" t="n">
        <f aca="false">IF(INDEX(Pengaturan!$B$8:$B$27,Q$4)="",0,COUNTIF(Data!$B317:$U317,INDEX(Pengaturan!$B$8:$B$27,Q$4)))</f>
        <v>0</v>
      </c>
      <c r="R317" s="26" t="n">
        <f aca="false">IF(INDEX(Pengaturan!$B$8:$B$27,R$4)="",0,COUNTIF(Data!$B317:$U317,INDEX(Pengaturan!$B$8:$B$27,R$4)))</f>
        <v>0</v>
      </c>
      <c r="S317" s="26" t="n">
        <f aca="false">IF(INDEX(Pengaturan!$B$8:$B$27,S$4)="",0,COUNTIF(Data!$B317:$U317,INDEX(Pengaturan!$B$8:$B$27,S$4)))</f>
        <v>0</v>
      </c>
      <c r="T317" s="26" t="n">
        <f aca="false">IF(INDEX(Pengaturan!$B$8:$B$27,T$4)="",0,COUNTIF(Data!$B317:$U317,INDEX(Pengaturan!$B$8:$B$27,T$4)))</f>
        <v>0</v>
      </c>
      <c r="U317" s="26" t="n">
        <f aca="false">IF(INDEX(Pengaturan!$B$8:$B$27,U$4)="",0,COUNTIF(Data!$B317:$U317,INDEX(Pengaturan!$B$8:$B$27,U$4)))</f>
        <v>0</v>
      </c>
      <c r="V317" s="26" t="n">
        <f aca="false">COUNTA(Data!$B317:$U317)</f>
        <v>0</v>
      </c>
      <c r="W317" s="27" t="str">
        <f aca="false">IF(V317=0,"",IF(V317&lt;&gt;Hasil!$C$4,"Data kosong/tidak lengkap",IF(SUM(B317:U317)&lt;&gt;V317,"Kategori tidak dikenal","OK")))</f>
        <v/>
      </c>
      <c r="X317" s="26" t="n">
        <f aca="false">IF(OR(W317="",W317="OK"),0,1)</f>
        <v>0</v>
      </c>
    </row>
    <row r="318" customFormat="false" ht="15" hidden="false" customHeight="false" outlineLevel="0" collapsed="false">
      <c r="A318" s="26" t="n">
        <f aca="false">Data!A318</f>
        <v>313</v>
      </c>
      <c r="B318" s="26" t="n">
        <f aca="false">IF(INDEX(Pengaturan!$B$8:$B$27,B$4)="",0,COUNTIF(Data!$B318:$U318,INDEX(Pengaturan!$B$8:$B$27,B$4)))</f>
        <v>0</v>
      </c>
      <c r="C318" s="26" t="n">
        <f aca="false">IF(INDEX(Pengaturan!$B$8:$B$27,C$4)="",0,COUNTIF(Data!$B318:$U318,INDEX(Pengaturan!$B$8:$B$27,C$4)))</f>
        <v>0</v>
      </c>
      <c r="D318" s="26" t="n">
        <f aca="false">IF(INDEX(Pengaturan!$B$8:$B$27,D$4)="",0,COUNTIF(Data!$B318:$U318,INDEX(Pengaturan!$B$8:$B$27,D$4)))</f>
        <v>0</v>
      </c>
      <c r="E318" s="26" t="n">
        <f aca="false">IF(INDEX(Pengaturan!$B$8:$B$27,E$4)="",0,COUNTIF(Data!$B318:$U318,INDEX(Pengaturan!$B$8:$B$27,E$4)))</f>
        <v>0</v>
      </c>
      <c r="F318" s="26" t="n">
        <f aca="false">IF(INDEX(Pengaturan!$B$8:$B$27,F$4)="",0,COUNTIF(Data!$B318:$U318,INDEX(Pengaturan!$B$8:$B$27,F$4)))</f>
        <v>0</v>
      </c>
      <c r="G318" s="26" t="n">
        <f aca="false">IF(INDEX(Pengaturan!$B$8:$B$27,G$4)="",0,COUNTIF(Data!$B318:$U318,INDEX(Pengaturan!$B$8:$B$27,G$4)))</f>
        <v>0</v>
      </c>
      <c r="H318" s="26" t="n">
        <f aca="false">IF(INDEX(Pengaturan!$B$8:$B$27,H$4)="",0,COUNTIF(Data!$B318:$U318,INDEX(Pengaturan!$B$8:$B$27,H$4)))</f>
        <v>0</v>
      </c>
      <c r="I318" s="26" t="n">
        <f aca="false">IF(INDEX(Pengaturan!$B$8:$B$27,I$4)="",0,COUNTIF(Data!$B318:$U318,INDEX(Pengaturan!$B$8:$B$27,I$4)))</f>
        <v>0</v>
      </c>
      <c r="J318" s="26" t="n">
        <f aca="false">IF(INDEX(Pengaturan!$B$8:$B$27,J$4)="",0,COUNTIF(Data!$B318:$U318,INDEX(Pengaturan!$B$8:$B$27,J$4)))</f>
        <v>0</v>
      </c>
      <c r="K318" s="26" t="n">
        <f aca="false">IF(INDEX(Pengaturan!$B$8:$B$27,K$4)="",0,COUNTIF(Data!$B318:$U318,INDEX(Pengaturan!$B$8:$B$27,K$4)))</f>
        <v>0</v>
      </c>
      <c r="L318" s="26" t="n">
        <f aca="false">IF(INDEX(Pengaturan!$B$8:$B$27,L$4)="",0,COUNTIF(Data!$B318:$U318,INDEX(Pengaturan!$B$8:$B$27,L$4)))</f>
        <v>0</v>
      </c>
      <c r="M318" s="26" t="n">
        <f aca="false">IF(INDEX(Pengaturan!$B$8:$B$27,M$4)="",0,COUNTIF(Data!$B318:$U318,INDEX(Pengaturan!$B$8:$B$27,M$4)))</f>
        <v>0</v>
      </c>
      <c r="N318" s="26" t="n">
        <f aca="false">IF(INDEX(Pengaturan!$B$8:$B$27,N$4)="",0,COUNTIF(Data!$B318:$U318,INDEX(Pengaturan!$B$8:$B$27,N$4)))</f>
        <v>0</v>
      </c>
      <c r="O318" s="26" t="n">
        <f aca="false">IF(INDEX(Pengaturan!$B$8:$B$27,O$4)="",0,COUNTIF(Data!$B318:$U318,INDEX(Pengaturan!$B$8:$B$27,O$4)))</f>
        <v>0</v>
      </c>
      <c r="P318" s="26" t="n">
        <f aca="false">IF(INDEX(Pengaturan!$B$8:$B$27,P$4)="",0,COUNTIF(Data!$B318:$U318,INDEX(Pengaturan!$B$8:$B$27,P$4)))</f>
        <v>0</v>
      </c>
      <c r="Q318" s="26" t="n">
        <f aca="false">IF(INDEX(Pengaturan!$B$8:$B$27,Q$4)="",0,COUNTIF(Data!$B318:$U318,INDEX(Pengaturan!$B$8:$B$27,Q$4)))</f>
        <v>0</v>
      </c>
      <c r="R318" s="26" t="n">
        <f aca="false">IF(INDEX(Pengaturan!$B$8:$B$27,R$4)="",0,COUNTIF(Data!$B318:$U318,INDEX(Pengaturan!$B$8:$B$27,R$4)))</f>
        <v>0</v>
      </c>
      <c r="S318" s="26" t="n">
        <f aca="false">IF(INDEX(Pengaturan!$B$8:$B$27,S$4)="",0,COUNTIF(Data!$B318:$U318,INDEX(Pengaturan!$B$8:$B$27,S$4)))</f>
        <v>0</v>
      </c>
      <c r="T318" s="26" t="n">
        <f aca="false">IF(INDEX(Pengaturan!$B$8:$B$27,T$4)="",0,COUNTIF(Data!$B318:$U318,INDEX(Pengaturan!$B$8:$B$27,T$4)))</f>
        <v>0</v>
      </c>
      <c r="U318" s="26" t="n">
        <f aca="false">IF(INDEX(Pengaturan!$B$8:$B$27,U$4)="",0,COUNTIF(Data!$B318:$U318,INDEX(Pengaturan!$B$8:$B$27,U$4)))</f>
        <v>0</v>
      </c>
      <c r="V318" s="26" t="n">
        <f aca="false">COUNTA(Data!$B318:$U318)</f>
        <v>0</v>
      </c>
      <c r="W318" s="27" t="str">
        <f aca="false">IF(V318=0,"",IF(V318&lt;&gt;Hasil!$C$4,"Data kosong/tidak lengkap",IF(SUM(B318:U318)&lt;&gt;V318,"Kategori tidak dikenal","OK")))</f>
        <v/>
      </c>
      <c r="X318" s="26" t="n">
        <f aca="false">IF(OR(W318="",W318="OK"),0,1)</f>
        <v>0</v>
      </c>
    </row>
    <row r="319" customFormat="false" ht="15" hidden="false" customHeight="false" outlineLevel="0" collapsed="false">
      <c r="A319" s="26" t="n">
        <f aca="false">Data!A319</f>
        <v>314</v>
      </c>
      <c r="B319" s="26" t="n">
        <f aca="false">IF(INDEX(Pengaturan!$B$8:$B$27,B$4)="",0,COUNTIF(Data!$B319:$U319,INDEX(Pengaturan!$B$8:$B$27,B$4)))</f>
        <v>0</v>
      </c>
      <c r="C319" s="26" t="n">
        <f aca="false">IF(INDEX(Pengaturan!$B$8:$B$27,C$4)="",0,COUNTIF(Data!$B319:$U319,INDEX(Pengaturan!$B$8:$B$27,C$4)))</f>
        <v>0</v>
      </c>
      <c r="D319" s="26" t="n">
        <f aca="false">IF(INDEX(Pengaturan!$B$8:$B$27,D$4)="",0,COUNTIF(Data!$B319:$U319,INDEX(Pengaturan!$B$8:$B$27,D$4)))</f>
        <v>0</v>
      </c>
      <c r="E319" s="26" t="n">
        <f aca="false">IF(INDEX(Pengaturan!$B$8:$B$27,E$4)="",0,COUNTIF(Data!$B319:$U319,INDEX(Pengaturan!$B$8:$B$27,E$4)))</f>
        <v>0</v>
      </c>
      <c r="F319" s="26" t="n">
        <f aca="false">IF(INDEX(Pengaturan!$B$8:$B$27,F$4)="",0,COUNTIF(Data!$B319:$U319,INDEX(Pengaturan!$B$8:$B$27,F$4)))</f>
        <v>0</v>
      </c>
      <c r="G319" s="26" t="n">
        <f aca="false">IF(INDEX(Pengaturan!$B$8:$B$27,G$4)="",0,COUNTIF(Data!$B319:$U319,INDEX(Pengaturan!$B$8:$B$27,G$4)))</f>
        <v>0</v>
      </c>
      <c r="H319" s="26" t="n">
        <f aca="false">IF(INDEX(Pengaturan!$B$8:$B$27,H$4)="",0,COUNTIF(Data!$B319:$U319,INDEX(Pengaturan!$B$8:$B$27,H$4)))</f>
        <v>0</v>
      </c>
      <c r="I319" s="26" t="n">
        <f aca="false">IF(INDEX(Pengaturan!$B$8:$B$27,I$4)="",0,COUNTIF(Data!$B319:$U319,INDEX(Pengaturan!$B$8:$B$27,I$4)))</f>
        <v>0</v>
      </c>
      <c r="J319" s="26" t="n">
        <f aca="false">IF(INDEX(Pengaturan!$B$8:$B$27,J$4)="",0,COUNTIF(Data!$B319:$U319,INDEX(Pengaturan!$B$8:$B$27,J$4)))</f>
        <v>0</v>
      </c>
      <c r="K319" s="26" t="n">
        <f aca="false">IF(INDEX(Pengaturan!$B$8:$B$27,K$4)="",0,COUNTIF(Data!$B319:$U319,INDEX(Pengaturan!$B$8:$B$27,K$4)))</f>
        <v>0</v>
      </c>
      <c r="L319" s="26" t="n">
        <f aca="false">IF(INDEX(Pengaturan!$B$8:$B$27,L$4)="",0,COUNTIF(Data!$B319:$U319,INDEX(Pengaturan!$B$8:$B$27,L$4)))</f>
        <v>0</v>
      </c>
      <c r="M319" s="26" t="n">
        <f aca="false">IF(INDEX(Pengaturan!$B$8:$B$27,M$4)="",0,COUNTIF(Data!$B319:$U319,INDEX(Pengaturan!$B$8:$B$27,M$4)))</f>
        <v>0</v>
      </c>
      <c r="N319" s="26" t="n">
        <f aca="false">IF(INDEX(Pengaturan!$B$8:$B$27,N$4)="",0,COUNTIF(Data!$B319:$U319,INDEX(Pengaturan!$B$8:$B$27,N$4)))</f>
        <v>0</v>
      </c>
      <c r="O319" s="26" t="n">
        <f aca="false">IF(INDEX(Pengaturan!$B$8:$B$27,O$4)="",0,COUNTIF(Data!$B319:$U319,INDEX(Pengaturan!$B$8:$B$27,O$4)))</f>
        <v>0</v>
      </c>
      <c r="P319" s="26" t="n">
        <f aca="false">IF(INDEX(Pengaturan!$B$8:$B$27,P$4)="",0,COUNTIF(Data!$B319:$U319,INDEX(Pengaturan!$B$8:$B$27,P$4)))</f>
        <v>0</v>
      </c>
      <c r="Q319" s="26" t="n">
        <f aca="false">IF(INDEX(Pengaturan!$B$8:$B$27,Q$4)="",0,COUNTIF(Data!$B319:$U319,INDEX(Pengaturan!$B$8:$B$27,Q$4)))</f>
        <v>0</v>
      </c>
      <c r="R319" s="26" t="n">
        <f aca="false">IF(INDEX(Pengaturan!$B$8:$B$27,R$4)="",0,COUNTIF(Data!$B319:$U319,INDEX(Pengaturan!$B$8:$B$27,R$4)))</f>
        <v>0</v>
      </c>
      <c r="S319" s="26" t="n">
        <f aca="false">IF(INDEX(Pengaturan!$B$8:$B$27,S$4)="",0,COUNTIF(Data!$B319:$U319,INDEX(Pengaturan!$B$8:$B$27,S$4)))</f>
        <v>0</v>
      </c>
      <c r="T319" s="26" t="n">
        <f aca="false">IF(INDEX(Pengaturan!$B$8:$B$27,T$4)="",0,COUNTIF(Data!$B319:$U319,INDEX(Pengaturan!$B$8:$B$27,T$4)))</f>
        <v>0</v>
      </c>
      <c r="U319" s="26" t="n">
        <f aca="false">IF(INDEX(Pengaturan!$B$8:$B$27,U$4)="",0,COUNTIF(Data!$B319:$U319,INDEX(Pengaturan!$B$8:$B$27,U$4)))</f>
        <v>0</v>
      </c>
      <c r="V319" s="26" t="n">
        <f aca="false">COUNTA(Data!$B319:$U319)</f>
        <v>0</v>
      </c>
      <c r="W319" s="27" t="str">
        <f aca="false">IF(V319=0,"",IF(V319&lt;&gt;Hasil!$C$4,"Data kosong/tidak lengkap",IF(SUM(B319:U319)&lt;&gt;V319,"Kategori tidak dikenal","OK")))</f>
        <v/>
      </c>
      <c r="X319" s="26" t="n">
        <f aca="false">IF(OR(W319="",W319="OK"),0,1)</f>
        <v>0</v>
      </c>
    </row>
    <row r="320" customFormat="false" ht="15" hidden="false" customHeight="false" outlineLevel="0" collapsed="false">
      <c r="A320" s="26" t="n">
        <f aca="false">Data!A320</f>
        <v>315</v>
      </c>
      <c r="B320" s="26" t="n">
        <f aca="false">IF(INDEX(Pengaturan!$B$8:$B$27,B$4)="",0,COUNTIF(Data!$B320:$U320,INDEX(Pengaturan!$B$8:$B$27,B$4)))</f>
        <v>0</v>
      </c>
      <c r="C320" s="26" t="n">
        <f aca="false">IF(INDEX(Pengaturan!$B$8:$B$27,C$4)="",0,COUNTIF(Data!$B320:$U320,INDEX(Pengaturan!$B$8:$B$27,C$4)))</f>
        <v>0</v>
      </c>
      <c r="D320" s="26" t="n">
        <f aca="false">IF(INDEX(Pengaturan!$B$8:$B$27,D$4)="",0,COUNTIF(Data!$B320:$U320,INDEX(Pengaturan!$B$8:$B$27,D$4)))</f>
        <v>0</v>
      </c>
      <c r="E320" s="26" t="n">
        <f aca="false">IF(INDEX(Pengaturan!$B$8:$B$27,E$4)="",0,COUNTIF(Data!$B320:$U320,INDEX(Pengaturan!$B$8:$B$27,E$4)))</f>
        <v>0</v>
      </c>
      <c r="F320" s="26" t="n">
        <f aca="false">IF(INDEX(Pengaturan!$B$8:$B$27,F$4)="",0,COUNTIF(Data!$B320:$U320,INDEX(Pengaturan!$B$8:$B$27,F$4)))</f>
        <v>0</v>
      </c>
      <c r="G320" s="26" t="n">
        <f aca="false">IF(INDEX(Pengaturan!$B$8:$B$27,G$4)="",0,COUNTIF(Data!$B320:$U320,INDEX(Pengaturan!$B$8:$B$27,G$4)))</f>
        <v>0</v>
      </c>
      <c r="H320" s="26" t="n">
        <f aca="false">IF(INDEX(Pengaturan!$B$8:$B$27,H$4)="",0,COUNTIF(Data!$B320:$U320,INDEX(Pengaturan!$B$8:$B$27,H$4)))</f>
        <v>0</v>
      </c>
      <c r="I320" s="26" t="n">
        <f aca="false">IF(INDEX(Pengaturan!$B$8:$B$27,I$4)="",0,COUNTIF(Data!$B320:$U320,INDEX(Pengaturan!$B$8:$B$27,I$4)))</f>
        <v>0</v>
      </c>
      <c r="J320" s="26" t="n">
        <f aca="false">IF(INDEX(Pengaturan!$B$8:$B$27,J$4)="",0,COUNTIF(Data!$B320:$U320,INDEX(Pengaturan!$B$8:$B$27,J$4)))</f>
        <v>0</v>
      </c>
      <c r="K320" s="26" t="n">
        <f aca="false">IF(INDEX(Pengaturan!$B$8:$B$27,K$4)="",0,COUNTIF(Data!$B320:$U320,INDEX(Pengaturan!$B$8:$B$27,K$4)))</f>
        <v>0</v>
      </c>
      <c r="L320" s="26" t="n">
        <f aca="false">IF(INDEX(Pengaturan!$B$8:$B$27,L$4)="",0,COUNTIF(Data!$B320:$U320,INDEX(Pengaturan!$B$8:$B$27,L$4)))</f>
        <v>0</v>
      </c>
      <c r="M320" s="26" t="n">
        <f aca="false">IF(INDEX(Pengaturan!$B$8:$B$27,M$4)="",0,COUNTIF(Data!$B320:$U320,INDEX(Pengaturan!$B$8:$B$27,M$4)))</f>
        <v>0</v>
      </c>
      <c r="N320" s="26" t="n">
        <f aca="false">IF(INDEX(Pengaturan!$B$8:$B$27,N$4)="",0,COUNTIF(Data!$B320:$U320,INDEX(Pengaturan!$B$8:$B$27,N$4)))</f>
        <v>0</v>
      </c>
      <c r="O320" s="26" t="n">
        <f aca="false">IF(INDEX(Pengaturan!$B$8:$B$27,O$4)="",0,COUNTIF(Data!$B320:$U320,INDEX(Pengaturan!$B$8:$B$27,O$4)))</f>
        <v>0</v>
      </c>
      <c r="P320" s="26" t="n">
        <f aca="false">IF(INDEX(Pengaturan!$B$8:$B$27,P$4)="",0,COUNTIF(Data!$B320:$U320,INDEX(Pengaturan!$B$8:$B$27,P$4)))</f>
        <v>0</v>
      </c>
      <c r="Q320" s="26" t="n">
        <f aca="false">IF(INDEX(Pengaturan!$B$8:$B$27,Q$4)="",0,COUNTIF(Data!$B320:$U320,INDEX(Pengaturan!$B$8:$B$27,Q$4)))</f>
        <v>0</v>
      </c>
      <c r="R320" s="26" t="n">
        <f aca="false">IF(INDEX(Pengaturan!$B$8:$B$27,R$4)="",0,COUNTIF(Data!$B320:$U320,INDEX(Pengaturan!$B$8:$B$27,R$4)))</f>
        <v>0</v>
      </c>
      <c r="S320" s="26" t="n">
        <f aca="false">IF(INDEX(Pengaturan!$B$8:$B$27,S$4)="",0,COUNTIF(Data!$B320:$U320,INDEX(Pengaturan!$B$8:$B$27,S$4)))</f>
        <v>0</v>
      </c>
      <c r="T320" s="26" t="n">
        <f aca="false">IF(INDEX(Pengaturan!$B$8:$B$27,T$4)="",0,COUNTIF(Data!$B320:$U320,INDEX(Pengaturan!$B$8:$B$27,T$4)))</f>
        <v>0</v>
      </c>
      <c r="U320" s="26" t="n">
        <f aca="false">IF(INDEX(Pengaturan!$B$8:$B$27,U$4)="",0,COUNTIF(Data!$B320:$U320,INDEX(Pengaturan!$B$8:$B$27,U$4)))</f>
        <v>0</v>
      </c>
      <c r="V320" s="26" t="n">
        <f aca="false">COUNTA(Data!$B320:$U320)</f>
        <v>0</v>
      </c>
      <c r="W320" s="27" t="str">
        <f aca="false">IF(V320=0,"",IF(V320&lt;&gt;Hasil!$C$4,"Data kosong/tidak lengkap",IF(SUM(B320:U320)&lt;&gt;V320,"Kategori tidak dikenal","OK")))</f>
        <v/>
      </c>
      <c r="X320" s="26" t="n">
        <f aca="false">IF(OR(W320="",W320="OK"),0,1)</f>
        <v>0</v>
      </c>
    </row>
    <row r="321" customFormat="false" ht="15" hidden="false" customHeight="false" outlineLevel="0" collapsed="false">
      <c r="A321" s="26" t="n">
        <f aca="false">Data!A321</f>
        <v>316</v>
      </c>
      <c r="B321" s="26" t="n">
        <f aca="false">IF(INDEX(Pengaturan!$B$8:$B$27,B$4)="",0,COUNTIF(Data!$B321:$U321,INDEX(Pengaturan!$B$8:$B$27,B$4)))</f>
        <v>0</v>
      </c>
      <c r="C321" s="26" t="n">
        <f aca="false">IF(INDEX(Pengaturan!$B$8:$B$27,C$4)="",0,COUNTIF(Data!$B321:$U321,INDEX(Pengaturan!$B$8:$B$27,C$4)))</f>
        <v>0</v>
      </c>
      <c r="D321" s="26" t="n">
        <f aca="false">IF(INDEX(Pengaturan!$B$8:$B$27,D$4)="",0,COUNTIF(Data!$B321:$U321,INDEX(Pengaturan!$B$8:$B$27,D$4)))</f>
        <v>0</v>
      </c>
      <c r="E321" s="26" t="n">
        <f aca="false">IF(INDEX(Pengaturan!$B$8:$B$27,E$4)="",0,COUNTIF(Data!$B321:$U321,INDEX(Pengaturan!$B$8:$B$27,E$4)))</f>
        <v>0</v>
      </c>
      <c r="F321" s="26" t="n">
        <f aca="false">IF(INDEX(Pengaturan!$B$8:$B$27,F$4)="",0,COUNTIF(Data!$B321:$U321,INDEX(Pengaturan!$B$8:$B$27,F$4)))</f>
        <v>0</v>
      </c>
      <c r="G321" s="26" t="n">
        <f aca="false">IF(INDEX(Pengaturan!$B$8:$B$27,G$4)="",0,COUNTIF(Data!$B321:$U321,INDEX(Pengaturan!$B$8:$B$27,G$4)))</f>
        <v>0</v>
      </c>
      <c r="H321" s="26" t="n">
        <f aca="false">IF(INDEX(Pengaturan!$B$8:$B$27,H$4)="",0,COUNTIF(Data!$B321:$U321,INDEX(Pengaturan!$B$8:$B$27,H$4)))</f>
        <v>0</v>
      </c>
      <c r="I321" s="26" t="n">
        <f aca="false">IF(INDEX(Pengaturan!$B$8:$B$27,I$4)="",0,COUNTIF(Data!$B321:$U321,INDEX(Pengaturan!$B$8:$B$27,I$4)))</f>
        <v>0</v>
      </c>
      <c r="J321" s="26" t="n">
        <f aca="false">IF(INDEX(Pengaturan!$B$8:$B$27,J$4)="",0,COUNTIF(Data!$B321:$U321,INDEX(Pengaturan!$B$8:$B$27,J$4)))</f>
        <v>0</v>
      </c>
      <c r="K321" s="26" t="n">
        <f aca="false">IF(INDEX(Pengaturan!$B$8:$B$27,K$4)="",0,COUNTIF(Data!$B321:$U321,INDEX(Pengaturan!$B$8:$B$27,K$4)))</f>
        <v>0</v>
      </c>
      <c r="L321" s="26" t="n">
        <f aca="false">IF(INDEX(Pengaturan!$B$8:$B$27,L$4)="",0,COUNTIF(Data!$B321:$U321,INDEX(Pengaturan!$B$8:$B$27,L$4)))</f>
        <v>0</v>
      </c>
      <c r="M321" s="26" t="n">
        <f aca="false">IF(INDEX(Pengaturan!$B$8:$B$27,M$4)="",0,COUNTIF(Data!$B321:$U321,INDEX(Pengaturan!$B$8:$B$27,M$4)))</f>
        <v>0</v>
      </c>
      <c r="N321" s="26" t="n">
        <f aca="false">IF(INDEX(Pengaturan!$B$8:$B$27,N$4)="",0,COUNTIF(Data!$B321:$U321,INDEX(Pengaturan!$B$8:$B$27,N$4)))</f>
        <v>0</v>
      </c>
      <c r="O321" s="26" t="n">
        <f aca="false">IF(INDEX(Pengaturan!$B$8:$B$27,O$4)="",0,COUNTIF(Data!$B321:$U321,INDEX(Pengaturan!$B$8:$B$27,O$4)))</f>
        <v>0</v>
      </c>
      <c r="P321" s="26" t="n">
        <f aca="false">IF(INDEX(Pengaturan!$B$8:$B$27,P$4)="",0,COUNTIF(Data!$B321:$U321,INDEX(Pengaturan!$B$8:$B$27,P$4)))</f>
        <v>0</v>
      </c>
      <c r="Q321" s="26" t="n">
        <f aca="false">IF(INDEX(Pengaturan!$B$8:$B$27,Q$4)="",0,COUNTIF(Data!$B321:$U321,INDEX(Pengaturan!$B$8:$B$27,Q$4)))</f>
        <v>0</v>
      </c>
      <c r="R321" s="26" t="n">
        <f aca="false">IF(INDEX(Pengaturan!$B$8:$B$27,R$4)="",0,COUNTIF(Data!$B321:$U321,INDEX(Pengaturan!$B$8:$B$27,R$4)))</f>
        <v>0</v>
      </c>
      <c r="S321" s="26" t="n">
        <f aca="false">IF(INDEX(Pengaturan!$B$8:$B$27,S$4)="",0,COUNTIF(Data!$B321:$U321,INDEX(Pengaturan!$B$8:$B$27,S$4)))</f>
        <v>0</v>
      </c>
      <c r="T321" s="26" t="n">
        <f aca="false">IF(INDEX(Pengaturan!$B$8:$B$27,T$4)="",0,COUNTIF(Data!$B321:$U321,INDEX(Pengaturan!$B$8:$B$27,T$4)))</f>
        <v>0</v>
      </c>
      <c r="U321" s="26" t="n">
        <f aca="false">IF(INDEX(Pengaturan!$B$8:$B$27,U$4)="",0,COUNTIF(Data!$B321:$U321,INDEX(Pengaturan!$B$8:$B$27,U$4)))</f>
        <v>0</v>
      </c>
      <c r="V321" s="26" t="n">
        <f aca="false">COUNTA(Data!$B321:$U321)</f>
        <v>0</v>
      </c>
      <c r="W321" s="27" t="str">
        <f aca="false">IF(V321=0,"",IF(V321&lt;&gt;Hasil!$C$4,"Data kosong/tidak lengkap",IF(SUM(B321:U321)&lt;&gt;V321,"Kategori tidak dikenal","OK")))</f>
        <v/>
      </c>
      <c r="X321" s="26" t="n">
        <f aca="false">IF(OR(W321="",W321="OK"),0,1)</f>
        <v>0</v>
      </c>
    </row>
    <row r="322" customFormat="false" ht="15" hidden="false" customHeight="false" outlineLevel="0" collapsed="false">
      <c r="A322" s="26" t="n">
        <f aca="false">Data!A322</f>
        <v>317</v>
      </c>
      <c r="B322" s="26" t="n">
        <f aca="false">IF(INDEX(Pengaturan!$B$8:$B$27,B$4)="",0,COUNTIF(Data!$B322:$U322,INDEX(Pengaturan!$B$8:$B$27,B$4)))</f>
        <v>0</v>
      </c>
      <c r="C322" s="26" t="n">
        <f aca="false">IF(INDEX(Pengaturan!$B$8:$B$27,C$4)="",0,COUNTIF(Data!$B322:$U322,INDEX(Pengaturan!$B$8:$B$27,C$4)))</f>
        <v>0</v>
      </c>
      <c r="D322" s="26" t="n">
        <f aca="false">IF(INDEX(Pengaturan!$B$8:$B$27,D$4)="",0,COUNTIF(Data!$B322:$U322,INDEX(Pengaturan!$B$8:$B$27,D$4)))</f>
        <v>0</v>
      </c>
      <c r="E322" s="26" t="n">
        <f aca="false">IF(INDEX(Pengaturan!$B$8:$B$27,E$4)="",0,COUNTIF(Data!$B322:$U322,INDEX(Pengaturan!$B$8:$B$27,E$4)))</f>
        <v>0</v>
      </c>
      <c r="F322" s="26" t="n">
        <f aca="false">IF(INDEX(Pengaturan!$B$8:$B$27,F$4)="",0,COUNTIF(Data!$B322:$U322,INDEX(Pengaturan!$B$8:$B$27,F$4)))</f>
        <v>0</v>
      </c>
      <c r="G322" s="26" t="n">
        <f aca="false">IF(INDEX(Pengaturan!$B$8:$B$27,G$4)="",0,COUNTIF(Data!$B322:$U322,INDEX(Pengaturan!$B$8:$B$27,G$4)))</f>
        <v>0</v>
      </c>
      <c r="H322" s="26" t="n">
        <f aca="false">IF(INDEX(Pengaturan!$B$8:$B$27,H$4)="",0,COUNTIF(Data!$B322:$U322,INDEX(Pengaturan!$B$8:$B$27,H$4)))</f>
        <v>0</v>
      </c>
      <c r="I322" s="26" t="n">
        <f aca="false">IF(INDEX(Pengaturan!$B$8:$B$27,I$4)="",0,COUNTIF(Data!$B322:$U322,INDEX(Pengaturan!$B$8:$B$27,I$4)))</f>
        <v>0</v>
      </c>
      <c r="J322" s="26" t="n">
        <f aca="false">IF(INDEX(Pengaturan!$B$8:$B$27,J$4)="",0,COUNTIF(Data!$B322:$U322,INDEX(Pengaturan!$B$8:$B$27,J$4)))</f>
        <v>0</v>
      </c>
      <c r="K322" s="26" t="n">
        <f aca="false">IF(INDEX(Pengaturan!$B$8:$B$27,K$4)="",0,COUNTIF(Data!$B322:$U322,INDEX(Pengaturan!$B$8:$B$27,K$4)))</f>
        <v>0</v>
      </c>
      <c r="L322" s="26" t="n">
        <f aca="false">IF(INDEX(Pengaturan!$B$8:$B$27,L$4)="",0,COUNTIF(Data!$B322:$U322,INDEX(Pengaturan!$B$8:$B$27,L$4)))</f>
        <v>0</v>
      </c>
      <c r="M322" s="26" t="n">
        <f aca="false">IF(INDEX(Pengaturan!$B$8:$B$27,M$4)="",0,COUNTIF(Data!$B322:$U322,INDEX(Pengaturan!$B$8:$B$27,M$4)))</f>
        <v>0</v>
      </c>
      <c r="N322" s="26" t="n">
        <f aca="false">IF(INDEX(Pengaturan!$B$8:$B$27,N$4)="",0,COUNTIF(Data!$B322:$U322,INDEX(Pengaturan!$B$8:$B$27,N$4)))</f>
        <v>0</v>
      </c>
      <c r="O322" s="26" t="n">
        <f aca="false">IF(INDEX(Pengaturan!$B$8:$B$27,O$4)="",0,COUNTIF(Data!$B322:$U322,INDEX(Pengaturan!$B$8:$B$27,O$4)))</f>
        <v>0</v>
      </c>
      <c r="P322" s="26" t="n">
        <f aca="false">IF(INDEX(Pengaturan!$B$8:$B$27,P$4)="",0,COUNTIF(Data!$B322:$U322,INDEX(Pengaturan!$B$8:$B$27,P$4)))</f>
        <v>0</v>
      </c>
      <c r="Q322" s="26" t="n">
        <f aca="false">IF(INDEX(Pengaturan!$B$8:$B$27,Q$4)="",0,COUNTIF(Data!$B322:$U322,INDEX(Pengaturan!$B$8:$B$27,Q$4)))</f>
        <v>0</v>
      </c>
      <c r="R322" s="26" t="n">
        <f aca="false">IF(INDEX(Pengaturan!$B$8:$B$27,R$4)="",0,COUNTIF(Data!$B322:$U322,INDEX(Pengaturan!$B$8:$B$27,R$4)))</f>
        <v>0</v>
      </c>
      <c r="S322" s="26" t="n">
        <f aca="false">IF(INDEX(Pengaturan!$B$8:$B$27,S$4)="",0,COUNTIF(Data!$B322:$U322,INDEX(Pengaturan!$B$8:$B$27,S$4)))</f>
        <v>0</v>
      </c>
      <c r="T322" s="26" t="n">
        <f aca="false">IF(INDEX(Pengaturan!$B$8:$B$27,T$4)="",0,COUNTIF(Data!$B322:$U322,INDEX(Pengaturan!$B$8:$B$27,T$4)))</f>
        <v>0</v>
      </c>
      <c r="U322" s="26" t="n">
        <f aca="false">IF(INDEX(Pengaturan!$B$8:$B$27,U$4)="",0,COUNTIF(Data!$B322:$U322,INDEX(Pengaturan!$B$8:$B$27,U$4)))</f>
        <v>0</v>
      </c>
      <c r="V322" s="26" t="n">
        <f aca="false">COUNTA(Data!$B322:$U322)</f>
        <v>0</v>
      </c>
      <c r="W322" s="27" t="str">
        <f aca="false">IF(V322=0,"",IF(V322&lt;&gt;Hasil!$C$4,"Data kosong/tidak lengkap",IF(SUM(B322:U322)&lt;&gt;V322,"Kategori tidak dikenal","OK")))</f>
        <v/>
      </c>
      <c r="X322" s="26" t="n">
        <f aca="false">IF(OR(W322="",W322="OK"),0,1)</f>
        <v>0</v>
      </c>
    </row>
    <row r="323" customFormat="false" ht="15" hidden="false" customHeight="false" outlineLevel="0" collapsed="false">
      <c r="A323" s="26" t="n">
        <f aca="false">Data!A323</f>
        <v>318</v>
      </c>
      <c r="B323" s="26" t="n">
        <f aca="false">IF(INDEX(Pengaturan!$B$8:$B$27,B$4)="",0,COUNTIF(Data!$B323:$U323,INDEX(Pengaturan!$B$8:$B$27,B$4)))</f>
        <v>0</v>
      </c>
      <c r="C323" s="26" t="n">
        <f aca="false">IF(INDEX(Pengaturan!$B$8:$B$27,C$4)="",0,COUNTIF(Data!$B323:$U323,INDEX(Pengaturan!$B$8:$B$27,C$4)))</f>
        <v>0</v>
      </c>
      <c r="D323" s="26" t="n">
        <f aca="false">IF(INDEX(Pengaturan!$B$8:$B$27,D$4)="",0,COUNTIF(Data!$B323:$U323,INDEX(Pengaturan!$B$8:$B$27,D$4)))</f>
        <v>0</v>
      </c>
      <c r="E323" s="26" t="n">
        <f aca="false">IF(INDEX(Pengaturan!$B$8:$B$27,E$4)="",0,COUNTIF(Data!$B323:$U323,INDEX(Pengaturan!$B$8:$B$27,E$4)))</f>
        <v>0</v>
      </c>
      <c r="F323" s="26" t="n">
        <f aca="false">IF(INDEX(Pengaturan!$B$8:$B$27,F$4)="",0,COUNTIF(Data!$B323:$U323,INDEX(Pengaturan!$B$8:$B$27,F$4)))</f>
        <v>0</v>
      </c>
      <c r="G323" s="26" t="n">
        <f aca="false">IF(INDEX(Pengaturan!$B$8:$B$27,G$4)="",0,COUNTIF(Data!$B323:$U323,INDEX(Pengaturan!$B$8:$B$27,G$4)))</f>
        <v>0</v>
      </c>
      <c r="H323" s="26" t="n">
        <f aca="false">IF(INDEX(Pengaturan!$B$8:$B$27,H$4)="",0,COUNTIF(Data!$B323:$U323,INDEX(Pengaturan!$B$8:$B$27,H$4)))</f>
        <v>0</v>
      </c>
      <c r="I323" s="26" t="n">
        <f aca="false">IF(INDEX(Pengaturan!$B$8:$B$27,I$4)="",0,COUNTIF(Data!$B323:$U323,INDEX(Pengaturan!$B$8:$B$27,I$4)))</f>
        <v>0</v>
      </c>
      <c r="J323" s="26" t="n">
        <f aca="false">IF(INDEX(Pengaturan!$B$8:$B$27,J$4)="",0,COUNTIF(Data!$B323:$U323,INDEX(Pengaturan!$B$8:$B$27,J$4)))</f>
        <v>0</v>
      </c>
      <c r="K323" s="26" t="n">
        <f aca="false">IF(INDEX(Pengaturan!$B$8:$B$27,K$4)="",0,COUNTIF(Data!$B323:$U323,INDEX(Pengaturan!$B$8:$B$27,K$4)))</f>
        <v>0</v>
      </c>
      <c r="L323" s="26" t="n">
        <f aca="false">IF(INDEX(Pengaturan!$B$8:$B$27,L$4)="",0,COUNTIF(Data!$B323:$U323,INDEX(Pengaturan!$B$8:$B$27,L$4)))</f>
        <v>0</v>
      </c>
      <c r="M323" s="26" t="n">
        <f aca="false">IF(INDEX(Pengaturan!$B$8:$B$27,M$4)="",0,COUNTIF(Data!$B323:$U323,INDEX(Pengaturan!$B$8:$B$27,M$4)))</f>
        <v>0</v>
      </c>
      <c r="N323" s="26" t="n">
        <f aca="false">IF(INDEX(Pengaturan!$B$8:$B$27,N$4)="",0,COUNTIF(Data!$B323:$U323,INDEX(Pengaturan!$B$8:$B$27,N$4)))</f>
        <v>0</v>
      </c>
      <c r="O323" s="26" t="n">
        <f aca="false">IF(INDEX(Pengaturan!$B$8:$B$27,O$4)="",0,COUNTIF(Data!$B323:$U323,INDEX(Pengaturan!$B$8:$B$27,O$4)))</f>
        <v>0</v>
      </c>
      <c r="P323" s="26" t="n">
        <f aca="false">IF(INDEX(Pengaturan!$B$8:$B$27,P$4)="",0,COUNTIF(Data!$B323:$U323,INDEX(Pengaturan!$B$8:$B$27,P$4)))</f>
        <v>0</v>
      </c>
      <c r="Q323" s="26" t="n">
        <f aca="false">IF(INDEX(Pengaturan!$B$8:$B$27,Q$4)="",0,COUNTIF(Data!$B323:$U323,INDEX(Pengaturan!$B$8:$B$27,Q$4)))</f>
        <v>0</v>
      </c>
      <c r="R323" s="26" t="n">
        <f aca="false">IF(INDEX(Pengaturan!$B$8:$B$27,R$4)="",0,COUNTIF(Data!$B323:$U323,INDEX(Pengaturan!$B$8:$B$27,R$4)))</f>
        <v>0</v>
      </c>
      <c r="S323" s="26" t="n">
        <f aca="false">IF(INDEX(Pengaturan!$B$8:$B$27,S$4)="",0,COUNTIF(Data!$B323:$U323,INDEX(Pengaturan!$B$8:$B$27,S$4)))</f>
        <v>0</v>
      </c>
      <c r="T323" s="26" t="n">
        <f aca="false">IF(INDEX(Pengaturan!$B$8:$B$27,T$4)="",0,COUNTIF(Data!$B323:$U323,INDEX(Pengaturan!$B$8:$B$27,T$4)))</f>
        <v>0</v>
      </c>
      <c r="U323" s="26" t="n">
        <f aca="false">IF(INDEX(Pengaturan!$B$8:$B$27,U$4)="",0,COUNTIF(Data!$B323:$U323,INDEX(Pengaturan!$B$8:$B$27,U$4)))</f>
        <v>0</v>
      </c>
      <c r="V323" s="26" t="n">
        <f aca="false">COUNTA(Data!$B323:$U323)</f>
        <v>0</v>
      </c>
      <c r="W323" s="27" t="str">
        <f aca="false">IF(V323=0,"",IF(V323&lt;&gt;Hasil!$C$4,"Data kosong/tidak lengkap",IF(SUM(B323:U323)&lt;&gt;V323,"Kategori tidak dikenal","OK")))</f>
        <v/>
      </c>
      <c r="X323" s="26" t="n">
        <f aca="false">IF(OR(W323="",W323="OK"),0,1)</f>
        <v>0</v>
      </c>
    </row>
    <row r="324" customFormat="false" ht="15" hidden="false" customHeight="false" outlineLevel="0" collapsed="false">
      <c r="A324" s="26" t="n">
        <f aca="false">Data!A324</f>
        <v>319</v>
      </c>
      <c r="B324" s="26" t="n">
        <f aca="false">IF(INDEX(Pengaturan!$B$8:$B$27,B$4)="",0,COUNTIF(Data!$B324:$U324,INDEX(Pengaturan!$B$8:$B$27,B$4)))</f>
        <v>0</v>
      </c>
      <c r="C324" s="26" t="n">
        <f aca="false">IF(INDEX(Pengaturan!$B$8:$B$27,C$4)="",0,COUNTIF(Data!$B324:$U324,INDEX(Pengaturan!$B$8:$B$27,C$4)))</f>
        <v>0</v>
      </c>
      <c r="D324" s="26" t="n">
        <f aca="false">IF(INDEX(Pengaturan!$B$8:$B$27,D$4)="",0,COUNTIF(Data!$B324:$U324,INDEX(Pengaturan!$B$8:$B$27,D$4)))</f>
        <v>0</v>
      </c>
      <c r="E324" s="26" t="n">
        <f aca="false">IF(INDEX(Pengaturan!$B$8:$B$27,E$4)="",0,COUNTIF(Data!$B324:$U324,INDEX(Pengaturan!$B$8:$B$27,E$4)))</f>
        <v>0</v>
      </c>
      <c r="F324" s="26" t="n">
        <f aca="false">IF(INDEX(Pengaturan!$B$8:$B$27,F$4)="",0,COUNTIF(Data!$B324:$U324,INDEX(Pengaturan!$B$8:$B$27,F$4)))</f>
        <v>0</v>
      </c>
      <c r="G324" s="26" t="n">
        <f aca="false">IF(INDEX(Pengaturan!$B$8:$B$27,G$4)="",0,COUNTIF(Data!$B324:$U324,INDEX(Pengaturan!$B$8:$B$27,G$4)))</f>
        <v>0</v>
      </c>
      <c r="H324" s="26" t="n">
        <f aca="false">IF(INDEX(Pengaturan!$B$8:$B$27,H$4)="",0,COUNTIF(Data!$B324:$U324,INDEX(Pengaturan!$B$8:$B$27,H$4)))</f>
        <v>0</v>
      </c>
      <c r="I324" s="26" t="n">
        <f aca="false">IF(INDEX(Pengaturan!$B$8:$B$27,I$4)="",0,COUNTIF(Data!$B324:$U324,INDEX(Pengaturan!$B$8:$B$27,I$4)))</f>
        <v>0</v>
      </c>
      <c r="J324" s="26" t="n">
        <f aca="false">IF(INDEX(Pengaturan!$B$8:$B$27,J$4)="",0,COUNTIF(Data!$B324:$U324,INDEX(Pengaturan!$B$8:$B$27,J$4)))</f>
        <v>0</v>
      </c>
      <c r="K324" s="26" t="n">
        <f aca="false">IF(INDEX(Pengaturan!$B$8:$B$27,K$4)="",0,COUNTIF(Data!$B324:$U324,INDEX(Pengaturan!$B$8:$B$27,K$4)))</f>
        <v>0</v>
      </c>
      <c r="L324" s="26" t="n">
        <f aca="false">IF(INDEX(Pengaturan!$B$8:$B$27,L$4)="",0,COUNTIF(Data!$B324:$U324,INDEX(Pengaturan!$B$8:$B$27,L$4)))</f>
        <v>0</v>
      </c>
      <c r="M324" s="26" t="n">
        <f aca="false">IF(INDEX(Pengaturan!$B$8:$B$27,M$4)="",0,COUNTIF(Data!$B324:$U324,INDEX(Pengaturan!$B$8:$B$27,M$4)))</f>
        <v>0</v>
      </c>
      <c r="N324" s="26" t="n">
        <f aca="false">IF(INDEX(Pengaturan!$B$8:$B$27,N$4)="",0,COUNTIF(Data!$B324:$U324,INDEX(Pengaturan!$B$8:$B$27,N$4)))</f>
        <v>0</v>
      </c>
      <c r="O324" s="26" t="n">
        <f aca="false">IF(INDEX(Pengaturan!$B$8:$B$27,O$4)="",0,COUNTIF(Data!$B324:$U324,INDEX(Pengaturan!$B$8:$B$27,O$4)))</f>
        <v>0</v>
      </c>
      <c r="P324" s="26" t="n">
        <f aca="false">IF(INDEX(Pengaturan!$B$8:$B$27,P$4)="",0,COUNTIF(Data!$B324:$U324,INDEX(Pengaturan!$B$8:$B$27,P$4)))</f>
        <v>0</v>
      </c>
      <c r="Q324" s="26" t="n">
        <f aca="false">IF(INDEX(Pengaturan!$B$8:$B$27,Q$4)="",0,COUNTIF(Data!$B324:$U324,INDEX(Pengaturan!$B$8:$B$27,Q$4)))</f>
        <v>0</v>
      </c>
      <c r="R324" s="26" t="n">
        <f aca="false">IF(INDEX(Pengaturan!$B$8:$B$27,R$4)="",0,COUNTIF(Data!$B324:$U324,INDEX(Pengaturan!$B$8:$B$27,R$4)))</f>
        <v>0</v>
      </c>
      <c r="S324" s="26" t="n">
        <f aca="false">IF(INDEX(Pengaturan!$B$8:$B$27,S$4)="",0,COUNTIF(Data!$B324:$U324,INDEX(Pengaturan!$B$8:$B$27,S$4)))</f>
        <v>0</v>
      </c>
      <c r="T324" s="26" t="n">
        <f aca="false">IF(INDEX(Pengaturan!$B$8:$B$27,T$4)="",0,COUNTIF(Data!$B324:$U324,INDEX(Pengaturan!$B$8:$B$27,T$4)))</f>
        <v>0</v>
      </c>
      <c r="U324" s="26" t="n">
        <f aca="false">IF(INDEX(Pengaturan!$B$8:$B$27,U$4)="",0,COUNTIF(Data!$B324:$U324,INDEX(Pengaturan!$B$8:$B$27,U$4)))</f>
        <v>0</v>
      </c>
      <c r="V324" s="26" t="n">
        <f aca="false">COUNTA(Data!$B324:$U324)</f>
        <v>0</v>
      </c>
      <c r="W324" s="27" t="str">
        <f aca="false">IF(V324=0,"",IF(V324&lt;&gt;Hasil!$C$4,"Data kosong/tidak lengkap",IF(SUM(B324:U324)&lt;&gt;V324,"Kategori tidak dikenal","OK")))</f>
        <v/>
      </c>
      <c r="X324" s="26" t="n">
        <f aca="false">IF(OR(W324="",W324="OK"),0,1)</f>
        <v>0</v>
      </c>
    </row>
    <row r="325" customFormat="false" ht="15" hidden="false" customHeight="false" outlineLevel="0" collapsed="false">
      <c r="A325" s="26" t="n">
        <f aca="false">Data!A325</f>
        <v>320</v>
      </c>
      <c r="B325" s="26" t="n">
        <f aca="false">IF(INDEX(Pengaturan!$B$8:$B$27,B$4)="",0,COUNTIF(Data!$B325:$U325,INDEX(Pengaturan!$B$8:$B$27,B$4)))</f>
        <v>0</v>
      </c>
      <c r="C325" s="26" t="n">
        <f aca="false">IF(INDEX(Pengaturan!$B$8:$B$27,C$4)="",0,COUNTIF(Data!$B325:$U325,INDEX(Pengaturan!$B$8:$B$27,C$4)))</f>
        <v>0</v>
      </c>
      <c r="D325" s="26" t="n">
        <f aca="false">IF(INDEX(Pengaturan!$B$8:$B$27,D$4)="",0,COUNTIF(Data!$B325:$U325,INDEX(Pengaturan!$B$8:$B$27,D$4)))</f>
        <v>0</v>
      </c>
      <c r="E325" s="26" t="n">
        <f aca="false">IF(INDEX(Pengaturan!$B$8:$B$27,E$4)="",0,COUNTIF(Data!$B325:$U325,INDEX(Pengaturan!$B$8:$B$27,E$4)))</f>
        <v>0</v>
      </c>
      <c r="F325" s="26" t="n">
        <f aca="false">IF(INDEX(Pengaturan!$B$8:$B$27,F$4)="",0,COUNTIF(Data!$B325:$U325,INDEX(Pengaturan!$B$8:$B$27,F$4)))</f>
        <v>0</v>
      </c>
      <c r="G325" s="26" t="n">
        <f aca="false">IF(INDEX(Pengaturan!$B$8:$B$27,G$4)="",0,COUNTIF(Data!$B325:$U325,INDEX(Pengaturan!$B$8:$B$27,G$4)))</f>
        <v>0</v>
      </c>
      <c r="H325" s="26" t="n">
        <f aca="false">IF(INDEX(Pengaturan!$B$8:$B$27,H$4)="",0,COUNTIF(Data!$B325:$U325,INDEX(Pengaturan!$B$8:$B$27,H$4)))</f>
        <v>0</v>
      </c>
      <c r="I325" s="26" t="n">
        <f aca="false">IF(INDEX(Pengaturan!$B$8:$B$27,I$4)="",0,COUNTIF(Data!$B325:$U325,INDEX(Pengaturan!$B$8:$B$27,I$4)))</f>
        <v>0</v>
      </c>
      <c r="J325" s="26" t="n">
        <f aca="false">IF(INDEX(Pengaturan!$B$8:$B$27,J$4)="",0,COUNTIF(Data!$B325:$U325,INDEX(Pengaturan!$B$8:$B$27,J$4)))</f>
        <v>0</v>
      </c>
      <c r="K325" s="26" t="n">
        <f aca="false">IF(INDEX(Pengaturan!$B$8:$B$27,K$4)="",0,COUNTIF(Data!$B325:$U325,INDEX(Pengaturan!$B$8:$B$27,K$4)))</f>
        <v>0</v>
      </c>
      <c r="L325" s="26" t="n">
        <f aca="false">IF(INDEX(Pengaturan!$B$8:$B$27,L$4)="",0,COUNTIF(Data!$B325:$U325,INDEX(Pengaturan!$B$8:$B$27,L$4)))</f>
        <v>0</v>
      </c>
      <c r="M325" s="26" t="n">
        <f aca="false">IF(INDEX(Pengaturan!$B$8:$B$27,M$4)="",0,COUNTIF(Data!$B325:$U325,INDEX(Pengaturan!$B$8:$B$27,M$4)))</f>
        <v>0</v>
      </c>
      <c r="N325" s="26" t="n">
        <f aca="false">IF(INDEX(Pengaturan!$B$8:$B$27,N$4)="",0,COUNTIF(Data!$B325:$U325,INDEX(Pengaturan!$B$8:$B$27,N$4)))</f>
        <v>0</v>
      </c>
      <c r="O325" s="26" t="n">
        <f aca="false">IF(INDEX(Pengaturan!$B$8:$B$27,O$4)="",0,COUNTIF(Data!$B325:$U325,INDEX(Pengaturan!$B$8:$B$27,O$4)))</f>
        <v>0</v>
      </c>
      <c r="P325" s="26" t="n">
        <f aca="false">IF(INDEX(Pengaturan!$B$8:$B$27,P$4)="",0,COUNTIF(Data!$B325:$U325,INDEX(Pengaturan!$B$8:$B$27,P$4)))</f>
        <v>0</v>
      </c>
      <c r="Q325" s="26" t="n">
        <f aca="false">IF(INDEX(Pengaturan!$B$8:$B$27,Q$4)="",0,COUNTIF(Data!$B325:$U325,INDEX(Pengaturan!$B$8:$B$27,Q$4)))</f>
        <v>0</v>
      </c>
      <c r="R325" s="26" t="n">
        <f aca="false">IF(INDEX(Pengaturan!$B$8:$B$27,R$4)="",0,COUNTIF(Data!$B325:$U325,INDEX(Pengaturan!$B$8:$B$27,R$4)))</f>
        <v>0</v>
      </c>
      <c r="S325" s="26" t="n">
        <f aca="false">IF(INDEX(Pengaturan!$B$8:$B$27,S$4)="",0,COUNTIF(Data!$B325:$U325,INDEX(Pengaturan!$B$8:$B$27,S$4)))</f>
        <v>0</v>
      </c>
      <c r="T325" s="26" t="n">
        <f aca="false">IF(INDEX(Pengaturan!$B$8:$B$27,T$4)="",0,COUNTIF(Data!$B325:$U325,INDEX(Pengaturan!$B$8:$B$27,T$4)))</f>
        <v>0</v>
      </c>
      <c r="U325" s="26" t="n">
        <f aca="false">IF(INDEX(Pengaturan!$B$8:$B$27,U$4)="",0,COUNTIF(Data!$B325:$U325,INDEX(Pengaturan!$B$8:$B$27,U$4)))</f>
        <v>0</v>
      </c>
      <c r="V325" s="26" t="n">
        <f aca="false">COUNTA(Data!$B325:$U325)</f>
        <v>0</v>
      </c>
      <c r="W325" s="27" t="str">
        <f aca="false">IF(V325=0,"",IF(V325&lt;&gt;Hasil!$C$4,"Data kosong/tidak lengkap",IF(SUM(B325:U325)&lt;&gt;V325,"Kategori tidak dikenal","OK")))</f>
        <v/>
      </c>
      <c r="X325" s="26" t="n">
        <f aca="false">IF(OR(W325="",W325="OK"),0,1)</f>
        <v>0</v>
      </c>
    </row>
    <row r="326" customFormat="false" ht="15" hidden="false" customHeight="false" outlineLevel="0" collapsed="false">
      <c r="A326" s="26" t="n">
        <f aca="false">Data!A326</f>
        <v>321</v>
      </c>
      <c r="B326" s="26" t="n">
        <f aca="false">IF(INDEX(Pengaturan!$B$8:$B$27,B$4)="",0,COUNTIF(Data!$B326:$U326,INDEX(Pengaturan!$B$8:$B$27,B$4)))</f>
        <v>0</v>
      </c>
      <c r="C326" s="26" t="n">
        <f aca="false">IF(INDEX(Pengaturan!$B$8:$B$27,C$4)="",0,COUNTIF(Data!$B326:$U326,INDEX(Pengaturan!$B$8:$B$27,C$4)))</f>
        <v>0</v>
      </c>
      <c r="D326" s="26" t="n">
        <f aca="false">IF(INDEX(Pengaturan!$B$8:$B$27,D$4)="",0,COUNTIF(Data!$B326:$U326,INDEX(Pengaturan!$B$8:$B$27,D$4)))</f>
        <v>0</v>
      </c>
      <c r="E326" s="26" t="n">
        <f aca="false">IF(INDEX(Pengaturan!$B$8:$B$27,E$4)="",0,COUNTIF(Data!$B326:$U326,INDEX(Pengaturan!$B$8:$B$27,E$4)))</f>
        <v>0</v>
      </c>
      <c r="F326" s="26" t="n">
        <f aca="false">IF(INDEX(Pengaturan!$B$8:$B$27,F$4)="",0,COUNTIF(Data!$B326:$U326,INDEX(Pengaturan!$B$8:$B$27,F$4)))</f>
        <v>0</v>
      </c>
      <c r="G326" s="26" t="n">
        <f aca="false">IF(INDEX(Pengaturan!$B$8:$B$27,G$4)="",0,COUNTIF(Data!$B326:$U326,INDEX(Pengaturan!$B$8:$B$27,G$4)))</f>
        <v>0</v>
      </c>
      <c r="H326" s="26" t="n">
        <f aca="false">IF(INDEX(Pengaturan!$B$8:$B$27,H$4)="",0,COUNTIF(Data!$B326:$U326,INDEX(Pengaturan!$B$8:$B$27,H$4)))</f>
        <v>0</v>
      </c>
      <c r="I326" s="26" t="n">
        <f aca="false">IF(INDEX(Pengaturan!$B$8:$B$27,I$4)="",0,COUNTIF(Data!$B326:$U326,INDEX(Pengaturan!$B$8:$B$27,I$4)))</f>
        <v>0</v>
      </c>
      <c r="J326" s="26" t="n">
        <f aca="false">IF(INDEX(Pengaturan!$B$8:$B$27,J$4)="",0,COUNTIF(Data!$B326:$U326,INDEX(Pengaturan!$B$8:$B$27,J$4)))</f>
        <v>0</v>
      </c>
      <c r="K326" s="26" t="n">
        <f aca="false">IF(INDEX(Pengaturan!$B$8:$B$27,K$4)="",0,COUNTIF(Data!$B326:$U326,INDEX(Pengaturan!$B$8:$B$27,K$4)))</f>
        <v>0</v>
      </c>
      <c r="L326" s="26" t="n">
        <f aca="false">IF(INDEX(Pengaturan!$B$8:$B$27,L$4)="",0,COUNTIF(Data!$B326:$U326,INDEX(Pengaturan!$B$8:$B$27,L$4)))</f>
        <v>0</v>
      </c>
      <c r="M326" s="26" t="n">
        <f aca="false">IF(INDEX(Pengaturan!$B$8:$B$27,M$4)="",0,COUNTIF(Data!$B326:$U326,INDEX(Pengaturan!$B$8:$B$27,M$4)))</f>
        <v>0</v>
      </c>
      <c r="N326" s="26" t="n">
        <f aca="false">IF(INDEX(Pengaturan!$B$8:$B$27,N$4)="",0,COUNTIF(Data!$B326:$U326,INDEX(Pengaturan!$B$8:$B$27,N$4)))</f>
        <v>0</v>
      </c>
      <c r="O326" s="26" t="n">
        <f aca="false">IF(INDEX(Pengaturan!$B$8:$B$27,O$4)="",0,COUNTIF(Data!$B326:$U326,INDEX(Pengaturan!$B$8:$B$27,O$4)))</f>
        <v>0</v>
      </c>
      <c r="P326" s="26" t="n">
        <f aca="false">IF(INDEX(Pengaturan!$B$8:$B$27,P$4)="",0,COUNTIF(Data!$B326:$U326,INDEX(Pengaturan!$B$8:$B$27,P$4)))</f>
        <v>0</v>
      </c>
      <c r="Q326" s="26" t="n">
        <f aca="false">IF(INDEX(Pengaturan!$B$8:$B$27,Q$4)="",0,COUNTIF(Data!$B326:$U326,INDEX(Pengaturan!$B$8:$B$27,Q$4)))</f>
        <v>0</v>
      </c>
      <c r="R326" s="26" t="n">
        <f aca="false">IF(INDEX(Pengaturan!$B$8:$B$27,R$4)="",0,COUNTIF(Data!$B326:$U326,INDEX(Pengaturan!$B$8:$B$27,R$4)))</f>
        <v>0</v>
      </c>
      <c r="S326" s="26" t="n">
        <f aca="false">IF(INDEX(Pengaturan!$B$8:$B$27,S$4)="",0,COUNTIF(Data!$B326:$U326,INDEX(Pengaturan!$B$8:$B$27,S$4)))</f>
        <v>0</v>
      </c>
      <c r="T326" s="26" t="n">
        <f aca="false">IF(INDEX(Pengaturan!$B$8:$B$27,T$4)="",0,COUNTIF(Data!$B326:$U326,INDEX(Pengaturan!$B$8:$B$27,T$4)))</f>
        <v>0</v>
      </c>
      <c r="U326" s="26" t="n">
        <f aca="false">IF(INDEX(Pengaturan!$B$8:$B$27,U$4)="",0,COUNTIF(Data!$B326:$U326,INDEX(Pengaturan!$B$8:$B$27,U$4)))</f>
        <v>0</v>
      </c>
      <c r="V326" s="26" t="n">
        <f aca="false">COUNTA(Data!$B326:$U326)</f>
        <v>0</v>
      </c>
      <c r="W326" s="27" t="str">
        <f aca="false">IF(V326=0,"",IF(V326&lt;&gt;Hasil!$C$4,"Data kosong/tidak lengkap",IF(SUM(B326:U326)&lt;&gt;V326,"Kategori tidak dikenal","OK")))</f>
        <v/>
      </c>
      <c r="X326" s="26" t="n">
        <f aca="false">IF(OR(W326="",W326="OK"),0,1)</f>
        <v>0</v>
      </c>
    </row>
    <row r="327" customFormat="false" ht="15" hidden="false" customHeight="false" outlineLevel="0" collapsed="false">
      <c r="A327" s="26" t="n">
        <f aca="false">Data!A327</f>
        <v>322</v>
      </c>
      <c r="B327" s="26" t="n">
        <f aca="false">IF(INDEX(Pengaturan!$B$8:$B$27,B$4)="",0,COUNTIF(Data!$B327:$U327,INDEX(Pengaturan!$B$8:$B$27,B$4)))</f>
        <v>0</v>
      </c>
      <c r="C327" s="26" t="n">
        <f aca="false">IF(INDEX(Pengaturan!$B$8:$B$27,C$4)="",0,COUNTIF(Data!$B327:$U327,INDEX(Pengaturan!$B$8:$B$27,C$4)))</f>
        <v>0</v>
      </c>
      <c r="D327" s="26" t="n">
        <f aca="false">IF(INDEX(Pengaturan!$B$8:$B$27,D$4)="",0,COUNTIF(Data!$B327:$U327,INDEX(Pengaturan!$B$8:$B$27,D$4)))</f>
        <v>0</v>
      </c>
      <c r="E327" s="26" t="n">
        <f aca="false">IF(INDEX(Pengaturan!$B$8:$B$27,E$4)="",0,COUNTIF(Data!$B327:$U327,INDEX(Pengaturan!$B$8:$B$27,E$4)))</f>
        <v>0</v>
      </c>
      <c r="F327" s="26" t="n">
        <f aca="false">IF(INDEX(Pengaturan!$B$8:$B$27,F$4)="",0,COUNTIF(Data!$B327:$U327,INDEX(Pengaturan!$B$8:$B$27,F$4)))</f>
        <v>0</v>
      </c>
      <c r="G327" s="26" t="n">
        <f aca="false">IF(INDEX(Pengaturan!$B$8:$B$27,G$4)="",0,COUNTIF(Data!$B327:$U327,INDEX(Pengaturan!$B$8:$B$27,G$4)))</f>
        <v>0</v>
      </c>
      <c r="H327" s="26" t="n">
        <f aca="false">IF(INDEX(Pengaturan!$B$8:$B$27,H$4)="",0,COUNTIF(Data!$B327:$U327,INDEX(Pengaturan!$B$8:$B$27,H$4)))</f>
        <v>0</v>
      </c>
      <c r="I327" s="26" t="n">
        <f aca="false">IF(INDEX(Pengaturan!$B$8:$B$27,I$4)="",0,COUNTIF(Data!$B327:$U327,INDEX(Pengaturan!$B$8:$B$27,I$4)))</f>
        <v>0</v>
      </c>
      <c r="J327" s="26" t="n">
        <f aca="false">IF(INDEX(Pengaturan!$B$8:$B$27,J$4)="",0,COUNTIF(Data!$B327:$U327,INDEX(Pengaturan!$B$8:$B$27,J$4)))</f>
        <v>0</v>
      </c>
      <c r="K327" s="26" t="n">
        <f aca="false">IF(INDEX(Pengaturan!$B$8:$B$27,K$4)="",0,COUNTIF(Data!$B327:$U327,INDEX(Pengaturan!$B$8:$B$27,K$4)))</f>
        <v>0</v>
      </c>
      <c r="L327" s="26" t="n">
        <f aca="false">IF(INDEX(Pengaturan!$B$8:$B$27,L$4)="",0,COUNTIF(Data!$B327:$U327,INDEX(Pengaturan!$B$8:$B$27,L$4)))</f>
        <v>0</v>
      </c>
      <c r="M327" s="26" t="n">
        <f aca="false">IF(INDEX(Pengaturan!$B$8:$B$27,M$4)="",0,COUNTIF(Data!$B327:$U327,INDEX(Pengaturan!$B$8:$B$27,M$4)))</f>
        <v>0</v>
      </c>
      <c r="N327" s="26" t="n">
        <f aca="false">IF(INDEX(Pengaturan!$B$8:$B$27,N$4)="",0,COUNTIF(Data!$B327:$U327,INDEX(Pengaturan!$B$8:$B$27,N$4)))</f>
        <v>0</v>
      </c>
      <c r="O327" s="26" t="n">
        <f aca="false">IF(INDEX(Pengaturan!$B$8:$B$27,O$4)="",0,COUNTIF(Data!$B327:$U327,INDEX(Pengaturan!$B$8:$B$27,O$4)))</f>
        <v>0</v>
      </c>
      <c r="P327" s="26" t="n">
        <f aca="false">IF(INDEX(Pengaturan!$B$8:$B$27,P$4)="",0,COUNTIF(Data!$B327:$U327,INDEX(Pengaturan!$B$8:$B$27,P$4)))</f>
        <v>0</v>
      </c>
      <c r="Q327" s="26" t="n">
        <f aca="false">IF(INDEX(Pengaturan!$B$8:$B$27,Q$4)="",0,COUNTIF(Data!$B327:$U327,INDEX(Pengaturan!$B$8:$B$27,Q$4)))</f>
        <v>0</v>
      </c>
      <c r="R327" s="26" t="n">
        <f aca="false">IF(INDEX(Pengaturan!$B$8:$B$27,R$4)="",0,COUNTIF(Data!$B327:$U327,INDEX(Pengaturan!$B$8:$B$27,R$4)))</f>
        <v>0</v>
      </c>
      <c r="S327" s="26" t="n">
        <f aca="false">IF(INDEX(Pengaturan!$B$8:$B$27,S$4)="",0,COUNTIF(Data!$B327:$U327,INDEX(Pengaturan!$B$8:$B$27,S$4)))</f>
        <v>0</v>
      </c>
      <c r="T327" s="26" t="n">
        <f aca="false">IF(INDEX(Pengaturan!$B$8:$B$27,T$4)="",0,COUNTIF(Data!$B327:$U327,INDEX(Pengaturan!$B$8:$B$27,T$4)))</f>
        <v>0</v>
      </c>
      <c r="U327" s="26" t="n">
        <f aca="false">IF(INDEX(Pengaturan!$B$8:$B$27,U$4)="",0,COUNTIF(Data!$B327:$U327,INDEX(Pengaturan!$B$8:$B$27,U$4)))</f>
        <v>0</v>
      </c>
      <c r="V327" s="26" t="n">
        <f aca="false">COUNTA(Data!$B327:$U327)</f>
        <v>0</v>
      </c>
      <c r="W327" s="27" t="str">
        <f aca="false">IF(V327=0,"",IF(V327&lt;&gt;Hasil!$C$4,"Data kosong/tidak lengkap",IF(SUM(B327:U327)&lt;&gt;V327,"Kategori tidak dikenal","OK")))</f>
        <v/>
      </c>
      <c r="X327" s="26" t="n">
        <f aca="false">IF(OR(W327="",W327="OK"),0,1)</f>
        <v>0</v>
      </c>
    </row>
    <row r="328" customFormat="false" ht="15" hidden="false" customHeight="false" outlineLevel="0" collapsed="false">
      <c r="A328" s="26" t="n">
        <f aca="false">Data!A328</f>
        <v>323</v>
      </c>
      <c r="B328" s="26" t="n">
        <f aca="false">IF(INDEX(Pengaturan!$B$8:$B$27,B$4)="",0,COUNTIF(Data!$B328:$U328,INDEX(Pengaturan!$B$8:$B$27,B$4)))</f>
        <v>0</v>
      </c>
      <c r="C328" s="26" t="n">
        <f aca="false">IF(INDEX(Pengaturan!$B$8:$B$27,C$4)="",0,COUNTIF(Data!$B328:$U328,INDEX(Pengaturan!$B$8:$B$27,C$4)))</f>
        <v>0</v>
      </c>
      <c r="D328" s="26" t="n">
        <f aca="false">IF(INDEX(Pengaturan!$B$8:$B$27,D$4)="",0,COUNTIF(Data!$B328:$U328,INDEX(Pengaturan!$B$8:$B$27,D$4)))</f>
        <v>0</v>
      </c>
      <c r="E328" s="26" t="n">
        <f aca="false">IF(INDEX(Pengaturan!$B$8:$B$27,E$4)="",0,COUNTIF(Data!$B328:$U328,INDEX(Pengaturan!$B$8:$B$27,E$4)))</f>
        <v>0</v>
      </c>
      <c r="F328" s="26" t="n">
        <f aca="false">IF(INDEX(Pengaturan!$B$8:$B$27,F$4)="",0,COUNTIF(Data!$B328:$U328,INDEX(Pengaturan!$B$8:$B$27,F$4)))</f>
        <v>0</v>
      </c>
      <c r="G328" s="26" t="n">
        <f aca="false">IF(INDEX(Pengaturan!$B$8:$B$27,G$4)="",0,COUNTIF(Data!$B328:$U328,INDEX(Pengaturan!$B$8:$B$27,G$4)))</f>
        <v>0</v>
      </c>
      <c r="H328" s="26" t="n">
        <f aca="false">IF(INDEX(Pengaturan!$B$8:$B$27,H$4)="",0,COUNTIF(Data!$B328:$U328,INDEX(Pengaturan!$B$8:$B$27,H$4)))</f>
        <v>0</v>
      </c>
      <c r="I328" s="26" t="n">
        <f aca="false">IF(INDEX(Pengaturan!$B$8:$B$27,I$4)="",0,COUNTIF(Data!$B328:$U328,INDEX(Pengaturan!$B$8:$B$27,I$4)))</f>
        <v>0</v>
      </c>
      <c r="J328" s="26" t="n">
        <f aca="false">IF(INDEX(Pengaturan!$B$8:$B$27,J$4)="",0,COUNTIF(Data!$B328:$U328,INDEX(Pengaturan!$B$8:$B$27,J$4)))</f>
        <v>0</v>
      </c>
      <c r="K328" s="26" t="n">
        <f aca="false">IF(INDEX(Pengaturan!$B$8:$B$27,K$4)="",0,COUNTIF(Data!$B328:$U328,INDEX(Pengaturan!$B$8:$B$27,K$4)))</f>
        <v>0</v>
      </c>
      <c r="L328" s="26" t="n">
        <f aca="false">IF(INDEX(Pengaturan!$B$8:$B$27,L$4)="",0,COUNTIF(Data!$B328:$U328,INDEX(Pengaturan!$B$8:$B$27,L$4)))</f>
        <v>0</v>
      </c>
      <c r="M328" s="26" t="n">
        <f aca="false">IF(INDEX(Pengaturan!$B$8:$B$27,M$4)="",0,COUNTIF(Data!$B328:$U328,INDEX(Pengaturan!$B$8:$B$27,M$4)))</f>
        <v>0</v>
      </c>
      <c r="N328" s="26" t="n">
        <f aca="false">IF(INDEX(Pengaturan!$B$8:$B$27,N$4)="",0,COUNTIF(Data!$B328:$U328,INDEX(Pengaturan!$B$8:$B$27,N$4)))</f>
        <v>0</v>
      </c>
      <c r="O328" s="26" t="n">
        <f aca="false">IF(INDEX(Pengaturan!$B$8:$B$27,O$4)="",0,COUNTIF(Data!$B328:$U328,INDEX(Pengaturan!$B$8:$B$27,O$4)))</f>
        <v>0</v>
      </c>
      <c r="P328" s="26" t="n">
        <f aca="false">IF(INDEX(Pengaturan!$B$8:$B$27,P$4)="",0,COUNTIF(Data!$B328:$U328,INDEX(Pengaturan!$B$8:$B$27,P$4)))</f>
        <v>0</v>
      </c>
      <c r="Q328" s="26" t="n">
        <f aca="false">IF(INDEX(Pengaturan!$B$8:$B$27,Q$4)="",0,COUNTIF(Data!$B328:$U328,INDEX(Pengaturan!$B$8:$B$27,Q$4)))</f>
        <v>0</v>
      </c>
      <c r="R328" s="26" t="n">
        <f aca="false">IF(INDEX(Pengaturan!$B$8:$B$27,R$4)="",0,COUNTIF(Data!$B328:$U328,INDEX(Pengaturan!$B$8:$B$27,R$4)))</f>
        <v>0</v>
      </c>
      <c r="S328" s="26" t="n">
        <f aca="false">IF(INDEX(Pengaturan!$B$8:$B$27,S$4)="",0,COUNTIF(Data!$B328:$U328,INDEX(Pengaturan!$B$8:$B$27,S$4)))</f>
        <v>0</v>
      </c>
      <c r="T328" s="26" t="n">
        <f aca="false">IF(INDEX(Pengaturan!$B$8:$B$27,T$4)="",0,COUNTIF(Data!$B328:$U328,INDEX(Pengaturan!$B$8:$B$27,T$4)))</f>
        <v>0</v>
      </c>
      <c r="U328" s="26" t="n">
        <f aca="false">IF(INDEX(Pengaturan!$B$8:$B$27,U$4)="",0,COUNTIF(Data!$B328:$U328,INDEX(Pengaturan!$B$8:$B$27,U$4)))</f>
        <v>0</v>
      </c>
      <c r="V328" s="26" t="n">
        <f aca="false">COUNTA(Data!$B328:$U328)</f>
        <v>0</v>
      </c>
      <c r="W328" s="27" t="str">
        <f aca="false">IF(V328=0,"",IF(V328&lt;&gt;Hasil!$C$4,"Data kosong/tidak lengkap",IF(SUM(B328:U328)&lt;&gt;V328,"Kategori tidak dikenal","OK")))</f>
        <v/>
      </c>
      <c r="X328" s="26" t="n">
        <f aca="false">IF(OR(W328="",W328="OK"),0,1)</f>
        <v>0</v>
      </c>
    </row>
    <row r="329" customFormat="false" ht="15" hidden="false" customHeight="false" outlineLevel="0" collapsed="false">
      <c r="A329" s="26" t="n">
        <f aca="false">Data!A329</f>
        <v>324</v>
      </c>
      <c r="B329" s="26" t="n">
        <f aca="false">IF(INDEX(Pengaturan!$B$8:$B$27,B$4)="",0,COUNTIF(Data!$B329:$U329,INDEX(Pengaturan!$B$8:$B$27,B$4)))</f>
        <v>0</v>
      </c>
      <c r="C329" s="26" t="n">
        <f aca="false">IF(INDEX(Pengaturan!$B$8:$B$27,C$4)="",0,COUNTIF(Data!$B329:$U329,INDEX(Pengaturan!$B$8:$B$27,C$4)))</f>
        <v>0</v>
      </c>
      <c r="D329" s="26" t="n">
        <f aca="false">IF(INDEX(Pengaturan!$B$8:$B$27,D$4)="",0,COUNTIF(Data!$B329:$U329,INDEX(Pengaturan!$B$8:$B$27,D$4)))</f>
        <v>0</v>
      </c>
      <c r="E329" s="26" t="n">
        <f aca="false">IF(INDEX(Pengaturan!$B$8:$B$27,E$4)="",0,COUNTIF(Data!$B329:$U329,INDEX(Pengaturan!$B$8:$B$27,E$4)))</f>
        <v>0</v>
      </c>
      <c r="F329" s="26" t="n">
        <f aca="false">IF(INDEX(Pengaturan!$B$8:$B$27,F$4)="",0,COUNTIF(Data!$B329:$U329,INDEX(Pengaturan!$B$8:$B$27,F$4)))</f>
        <v>0</v>
      </c>
      <c r="G329" s="26" t="n">
        <f aca="false">IF(INDEX(Pengaturan!$B$8:$B$27,G$4)="",0,COUNTIF(Data!$B329:$U329,INDEX(Pengaturan!$B$8:$B$27,G$4)))</f>
        <v>0</v>
      </c>
      <c r="H329" s="26" t="n">
        <f aca="false">IF(INDEX(Pengaturan!$B$8:$B$27,H$4)="",0,COUNTIF(Data!$B329:$U329,INDEX(Pengaturan!$B$8:$B$27,H$4)))</f>
        <v>0</v>
      </c>
      <c r="I329" s="26" t="n">
        <f aca="false">IF(INDEX(Pengaturan!$B$8:$B$27,I$4)="",0,COUNTIF(Data!$B329:$U329,INDEX(Pengaturan!$B$8:$B$27,I$4)))</f>
        <v>0</v>
      </c>
      <c r="J329" s="26" t="n">
        <f aca="false">IF(INDEX(Pengaturan!$B$8:$B$27,J$4)="",0,COUNTIF(Data!$B329:$U329,INDEX(Pengaturan!$B$8:$B$27,J$4)))</f>
        <v>0</v>
      </c>
      <c r="K329" s="26" t="n">
        <f aca="false">IF(INDEX(Pengaturan!$B$8:$B$27,K$4)="",0,COUNTIF(Data!$B329:$U329,INDEX(Pengaturan!$B$8:$B$27,K$4)))</f>
        <v>0</v>
      </c>
      <c r="L329" s="26" t="n">
        <f aca="false">IF(INDEX(Pengaturan!$B$8:$B$27,L$4)="",0,COUNTIF(Data!$B329:$U329,INDEX(Pengaturan!$B$8:$B$27,L$4)))</f>
        <v>0</v>
      </c>
      <c r="M329" s="26" t="n">
        <f aca="false">IF(INDEX(Pengaturan!$B$8:$B$27,M$4)="",0,COUNTIF(Data!$B329:$U329,INDEX(Pengaturan!$B$8:$B$27,M$4)))</f>
        <v>0</v>
      </c>
      <c r="N329" s="26" t="n">
        <f aca="false">IF(INDEX(Pengaturan!$B$8:$B$27,N$4)="",0,COUNTIF(Data!$B329:$U329,INDEX(Pengaturan!$B$8:$B$27,N$4)))</f>
        <v>0</v>
      </c>
      <c r="O329" s="26" t="n">
        <f aca="false">IF(INDEX(Pengaturan!$B$8:$B$27,O$4)="",0,COUNTIF(Data!$B329:$U329,INDEX(Pengaturan!$B$8:$B$27,O$4)))</f>
        <v>0</v>
      </c>
      <c r="P329" s="26" t="n">
        <f aca="false">IF(INDEX(Pengaturan!$B$8:$B$27,P$4)="",0,COUNTIF(Data!$B329:$U329,INDEX(Pengaturan!$B$8:$B$27,P$4)))</f>
        <v>0</v>
      </c>
      <c r="Q329" s="26" t="n">
        <f aca="false">IF(INDEX(Pengaturan!$B$8:$B$27,Q$4)="",0,COUNTIF(Data!$B329:$U329,INDEX(Pengaturan!$B$8:$B$27,Q$4)))</f>
        <v>0</v>
      </c>
      <c r="R329" s="26" t="n">
        <f aca="false">IF(INDEX(Pengaturan!$B$8:$B$27,R$4)="",0,COUNTIF(Data!$B329:$U329,INDEX(Pengaturan!$B$8:$B$27,R$4)))</f>
        <v>0</v>
      </c>
      <c r="S329" s="26" t="n">
        <f aca="false">IF(INDEX(Pengaturan!$B$8:$B$27,S$4)="",0,COUNTIF(Data!$B329:$U329,INDEX(Pengaturan!$B$8:$B$27,S$4)))</f>
        <v>0</v>
      </c>
      <c r="T329" s="26" t="n">
        <f aca="false">IF(INDEX(Pengaturan!$B$8:$B$27,T$4)="",0,COUNTIF(Data!$B329:$U329,INDEX(Pengaturan!$B$8:$B$27,T$4)))</f>
        <v>0</v>
      </c>
      <c r="U329" s="26" t="n">
        <f aca="false">IF(INDEX(Pengaturan!$B$8:$B$27,U$4)="",0,COUNTIF(Data!$B329:$U329,INDEX(Pengaturan!$B$8:$B$27,U$4)))</f>
        <v>0</v>
      </c>
      <c r="V329" s="26" t="n">
        <f aca="false">COUNTA(Data!$B329:$U329)</f>
        <v>0</v>
      </c>
      <c r="W329" s="27" t="str">
        <f aca="false">IF(V329=0,"",IF(V329&lt;&gt;Hasil!$C$4,"Data kosong/tidak lengkap",IF(SUM(B329:U329)&lt;&gt;V329,"Kategori tidak dikenal","OK")))</f>
        <v/>
      </c>
      <c r="X329" s="26" t="n">
        <f aca="false">IF(OR(W329="",W329="OK"),0,1)</f>
        <v>0</v>
      </c>
    </row>
    <row r="330" customFormat="false" ht="15" hidden="false" customHeight="false" outlineLevel="0" collapsed="false">
      <c r="A330" s="26" t="n">
        <f aca="false">Data!A330</f>
        <v>325</v>
      </c>
      <c r="B330" s="26" t="n">
        <f aca="false">IF(INDEX(Pengaturan!$B$8:$B$27,B$4)="",0,COUNTIF(Data!$B330:$U330,INDEX(Pengaturan!$B$8:$B$27,B$4)))</f>
        <v>0</v>
      </c>
      <c r="C330" s="26" t="n">
        <f aca="false">IF(INDEX(Pengaturan!$B$8:$B$27,C$4)="",0,COUNTIF(Data!$B330:$U330,INDEX(Pengaturan!$B$8:$B$27,C$4)))</f>
        <v>0</v>
      </c>
      <c r="D330" s="26" t="n">
        <f aca="false">IF(INDEX(Pengaturan!$B$8:$B$27,D$4)="",0,COUNTIF(Data!$B330:$U330,INDEX(Pengaturan!$B$8:$B$27,D$4)))</f>
        <v>0</v>
      </c>
      <c r="E330" s="26" t="n">
        <f aca="false">IF(INDEX(Pengaturan!$B$8:$B$27,E$4)="",0,COUNTIF(Data!$B330:$U330,INDEX(Pengaturan!$B$8:$B$27,E$4)))</f>
        <v>0</v>
      </c>
      <c r="F330" s="26" t="n">
        <f aca="false">IF(INDEX(Pengaturan!$B$8:$B$27,F$4)="",0,COUNTIF(Data!$B330:$U330,INDEX(Pengaturan!$B$8:$B$27,F$4)))</f>
        <v>0</v>
      </c>
      <c r="G330" s="26" t="n">
        <f aca="false">IF(INDEX(Pengaturan!$B$8:$B$27,G$4)="",0,COUNTIF(Data!$B330:$U330,INDEX(Pengaturan!$B$8:$B$27,G$4)))</f>
        <v>0</v>
      </c>
      <c r="H330" s="26" t="n">
        <f aca="false">IF(INDEX(Pengaturan!$B$8:$B$27,H$4)="",0,COUNTIF(Data!$B330:$U330,INDEX(Pengaturan!$B$8:$B$27,H$4)))</f>
        <v>0</v>
      </c>
      <c r="I330" s="26" t="n">
        <f aca="false">IF(INDEX(Pengaturan!$B$8:$B$27,I$4)="",0,COUNTIF(Data!$B330:$U330,INDEX(Pengaturan!$B$8:$B$27,I$4)))</f>
        <v>0</v>
      </c>
      <c r="J330" s="26" t="n">
        <f aca="false">IF(INDEX(Pengaturan!$B$8:$B$27,J$4)="",0,COUNTIF(Data!$B330:$U330,INDEX(Pengaturan!$B$8:$B$27,J$4)))</f>
        <v>0</v>
      </c>
      <c r="K330" s="26" t="n">
        <f aca="false">IF(INDEX(Pengaturan!$B$8:$B$27,K$4)="",0,COUNTIF(Data!$B330:$U330,INDEX(Pengaturan!$B$8:$B$27,K$4)))</f>
        <v>0</v>
      </c>
      <c r="L330" s="26" t="n">
        <f aca="false">IF(INDEX(Pengaturan!$B$8:$B$27,L$4)="",0,COUNTIF(Data!$B330:$U330,INDEX(Pengaturan!$B$8:$B$27,L$4)))</f>
        <v>0</v>
      </c>
      <c r="M330" s="26" t="n">
        <f aca="false">IF(INDEX(Pengaturan!$B$8:$B$27,M$4)="",0,COUNTIF(Data!$B330:$U330,INDEX(Pengaturan!$B$8:$B$27,M$4)))</f>
        <v>0</v>
      </c>
      <c r="N330" s="26" t="n">
        <f aca="false">IF(INDEX(Pengaturan!$B$8:$B$27,N$4)="",0,COUNTIF(Data!$B330:$U330,INDEX(Pengaturan!$B$8:$B$27,N$4)))</f>
        <v>0</v>
      </c>
      <c r="O330" s="26" t="n">
        <f aca="false">IF(INDEX(Pengaturan!$B$8:$B$27,O$4)="",0,COUNTIF(Data!$B330:$U330,INDEX(Pengaturan!$B$8:$B$27,O$4)))</f>
        <v>0</v>
      </c>
      <c r="P330" s="26" t="n">
        <f aca="false">IF(INDEX(Pengaturan!$B$8:$B$27,P$4)="",0,COUNTIF(Data!$B330:$U330,INDEX(Pengaturan!$B$8:$B$27,P$4)))</f>
        <v>0</v>
      </c>
      <c r="Q330" s="26" t="n">
        <f aca="false">IF(INDEX(Pengaturan!$B$8:$B$27,Q$4)="",0,COUNTIF(Data!$B330:$U330,INDEX(Pengaturan!$B$8:$B$27,Q$4)))</f>
        <v>0</v>
      </c>
      <c r="R330" s="26" t="n">
        <f aca="false">IF(INDEX(Pengaturan!$B$8:$B$27,R$4)="",0,COUNTIF(Data!$B330:$U330,INDEX(Pengaturan!$B$8:$B$27,R$4)))</f>
        <v>0</v>
      </c>
      <c r="S330" s="26" t="n">
        <f aca="false">IF(INDEX(Pengaturan!$B$8:$B$27,S$4)="",0,COUNTIF(Data!$B330:$U330,INDEX(Pengaturan!$B$8:$B$27,S$4)))</f>
        <v>0</v>
      </c>
      <c r="T330" s="26" t="n">
        <f aca="false">IF(INDEX(Pengaturan!$B$8:$B$27,T$4)="",0,COUNTIF(Data!$B330:$U330,INDEX(Pengaturan!$B$8:$B$27,T$4)))</f>
        <v>0</v>
      </c>
      <c r="U330" s="26" t="n">
        <f aca="false">IF(INDEX(Pengaturan!$B$8:$B$27,U$4)="",0,COUNTIF(Data!$B330:$U330,INDEX(Pengaturan!$B$8:$B$27,U$4)))</f>
        <v>0</v>
      </c>
      <c r="V330" s="26" t="n">
        <f aca="false">COUNTA(Data!$B330:$U330)</f>
        <v>0</v>
      </c>
      <c r="W330" s="27" t="str">
        <f aca="false">IF(V330=0,"",IF(V330&lt;&gt;Hasil!$C$4,"Data kosong/tidak lengkap",IF(SUM(B330:U330)&lt;&gt;V330,"Kategori tidak dikenal","OK")))</f>
        <v/>
      </c>
      <c r="X330" s="26" t="n">
        <f aca="false">IF(OR(W330="",W330="OK"),0,1)</f>
        <v>0</v>
      </c>
    </row>
    <row r="331" customFormat="false" ht="15" hidden="false" customHeight="false" outlineLevel="0" collapsed="false">
      <c r="A331" s="26" t="n">
        <f aca="false">Data!A331</f>
        <v>326</v>
      </c>
      <c r="B331" s="26" t="n">
        <f aca="false">IF(INDEX(Pengaturan!$B$8:$B$27,B$4)="",0,COUNTIF(Data!$B331:$U331,INDEX(Pengaturan!$B$8:$B$27,B$4)))</f>
        <v>0</v>
      </c>
      <c r="C331" s="26" t="n">
        <f aca="false">IF(INDEX(Pengaturan!$B$8:$B$27,C$4)="",0,COUNTIF(Data!$B331:$U331,INDEX(Pengaturan!$B$8:$B$27,C$4)))</f>
        <v>0</v>
      </c>
      <c r="D331" s="26" t="n">
        <f aca="false">IF(INDEX(Pengaturan!$B$8:$B$27,D$4)="",0,COUNTIF(Data!$B331:$U331,INDEX(Pengaturan!$B$8:$B$27,D$4)))</f>
        <v>0</v>
      </c>
      <c r="E331" s="26" t="n">
        <f aca="false">IF(INDEX(Pengaturan!$B$8:$B$27,E$4)="",0,COUNTIF(Data!$B331:$U331,INDEX(Pengaturan!$B$8:$B$27,E$4)))</f>
        <v>0</v>
      </c>
      <c r="F331" s="26" t="n">
        <f aca="false">IF(INDEX(Pengaturan!$B$8:$B$27,F$4)="",0,COUNTIF(Data!$B331:$U331,INDEX(Pengaturan!$B$8:$B$27,F$4)))</f>
        <v>0</v>
      </c>
      <c r="G331" s="26" t="n">
        <f aca="false">IF(INDEX(Pengaturan!$B$8:$B$27,G$4)="",0,COUNTIF(Data!$B331:$U331,INDEX(Pengaturan!$B$8:$B$27,G$4)))</f>
        <v>0</v>
      </c>
      <c r="H331" s="26" t="n">
        <f aca="false">IF(INDEX(Pengaturan!$B$8:$B$27,H$4)="",0,COUNTIF(Data!$B331:$U331,INDEX(Pengaturan!$B$8:$B$27,H$4)))</f>
        <v>0</v>
      </c>
      <c r="I331" s="26" t="n">
        <f aca="false">IF(INDEX(Pengaturan!$B$8:$B$27,I$4)="",0,COUNTIF(Data!$B331:$U331,INDEX(Pengaturan!$B$8:$B$27,I$4)))</f>
        <v>0</v>
      </c>
      <c r="J331" s="26" t="n">
        <f aca="false">IF(INDEX(Pengaturan!$B$8:$B$27,J$4)="",0,COUNTIF(Data!$B331:$U331,INDEX(Pengaturan!$B$8:$B$27,J$4)))</f>
        <v>0</v>
      </c>
      <c r="K331" s="26" t="n">
        <f aca="false">IF(INDEX(Pengaturan!$B$8:$B$27,K$4)="",0,COUNTIF(Data!$B331:$U331,INDEX(Pengaturan!$B$8:$B$27,K$4)))</f>
        <v>0</v>
      </c>
      <c r="L331" s="26" t="n">
        <f aca="false">IF(INDEX(Pengaturan!$B$8:$B$27,L$4)="",0,COUNTIF(Data!$B331:$U331,INDEX(Pengaturan!$B$8:$B$27,L$4)))</f>
        <v>0</v>
      </c>
      <c r="M331" s="26" t="n">
        <f aca="false">IF(INDEX(Pengaturan!$B$8:$B$27,M$4)="",0,COUNTIF(Data!$B331:$U331,INDEX(Pengaturan!$B$8:$B$27,M$4)))</f>
        <v>0</v>
      </c>
      <c r="N331" s="26" t="n">
        <f aca="false">IF(INDEX(Pengaturan!$B$8:$B$27,N$4)="",0,COUNTIF(Data!$B331:$U331,INDEX(Pengaturan!$B$8:$B$27,N$4)))</f>
        <v>0</v>
      </c>
      <c r="O331" s="26" t="n">
        <f aca="false">IF(INDEX(Pengaturan!$B$8:$B$27,O$4)="",0,COUNTIF(Data!$B331:$U331,INDEX(Pengaturan!$B$8:$B$27,O$4)))</f>
        <v>0</v>
      </c>
      <c r="P331" s="26" t="n">
        <f aca="false">IF(INDEX(Pengaturan!$B$8:$B$27,P$4)="",0,COUNTIF(Data!$B331:$U331,INDEX(Pengaturan!$B$8:$B$27,P$4)))</f>
        <v>0</v>
      </c>
      <c r="Q331" s="26" t="n">
        <f aca="false">IF(INDEX(Pengaturan!$B$8:$B$27,Q$4)="",0,COUNTIF(Data!$B331:$U331,INDEX(Pengaturan!$B$8:$B$27,Q$4)))</f>
        <v>0</v>
      </c>
      <c r="R331" s="26" t="n">
        <f aca="false">IF(INDEX(Pengaturan!$B$8:$B$27,R$4)="",0,COUNTIF(Data!$B331:$U331,INDEX(Pengaturan!$B$8:$B$27,R$4)))</f>
        <v>0</v>
      </c>
      <c r="S331" s="26" t="n">
        <f aca="false">IF(INDEX(Pengaturan!$B$8:$B$27,S$4)="",0,COUNTIF(Data!$B331:$U331,INDEX(Pengaturan!$B$8:$B$27,S$4)))</f>
        <v>0</v>
      </c>
      <c r="T331" s="26" t="n">
        <f aca="false">IF(INDEX(Pengaturan!$B$8:$B$27,T$4)="",0,COUNTIF(Data!$B331:$U331,INDEX(Pengaturan!$B$8:$B$27,T$4)))</f>
        <v>0</v>
      </c>
      <c r="U331" s="26" t="n">
        <f aca="false">IF(INDEX(Pengaturan!$B$8:$B$27,U$4)="",0,COUNTIF(Data!$B331:$U331,INDEX(Pengaturan!$B$8:$B$27,U$4)))</f>
        <v>0</v>
      </c>
      <c r="V331" s="26" t="n">
        <f aca="false">COUNTA(Data!$B331:$U331)</f>
        <v>0</v>
      </c>
      <c r="W331" s="27" t="str">
        <f aca="false">IF(V331=0,"",IF(V331&lt;&gt;Hasil!$C$4,"Data kosong/tidak lengkap",IF(SUM(B331:U331)&lt;&gt;V331,"Kategori tidak dikenal","OK")))</f>
        <v/>
      </c>
      <c r="X331" s="26" t="n">
        <f aca="false">IF(OR(W331="",W331="OK"),0,1)</f>
        <v>0</v>
      </c>
    </row>
    <row r="332" customFormat="false" ht="15" hidden="false" customHeight="false" outlineLevel="0" collapsed="false">
      <c r="A332" s="26" t="n">
        <f aca="false">Data!A332</f>
        <v>327</v>
      </c>
      <c r="B332" s="26" t="n">
        <f aca="false">IF(INDEX(Pengaturan!$B$8:$B$27,B$4)="",0,COUNTIF(Data!$B332:$U332,INDEX(Pengaturan!$B$8:$B$27,B$4)))</f>
        <v>0</v>
      </c>
      <c r="C332" s="26" t="n">
        <f aca="false">IF(INDEX(Pengaturan!$B$8:$B$27,C$4)="",0,COUNTIF(Data!$B332:$U332,INDEX(Pengaturan!$B$8:$B$27,C$4)))</f>
        <v>0</v>
      </c>
      <c r="D332" s="26" t="n">
        <f aca="false">IF(INDEX(Pengaturan!$B$8:$B$27,D$4)="",0,COUNTIF(Data!$B332:$U332,INDEX(Pengaturan!$B$8:$B$27,D$4)))</f>
        <v>0</v>
      </c>
      <c r="E332" s="26" t="n">
        <f aca="false">IF(INDEX(Pengaturan!$B$8:$B$27,E$4)="",0,COUNTIF(Data!$B332:$U332,INDEX(Pengaturan!$B$8:$B$27,E$4)))</f>
        <v>0</v>
      </c>
      <c r="F332" s="26" t="n">
        <f aca="false">IF(INDEX(Pengaturan!$B$8:$B$27,F$4)="",0,COUNTIF(Data!$B332:$U332,INDEX(Pengaturan!$B$8:$B$27,F$4)))</f>
        <v>0</v>
      </c>
      <c r="G332" s="26" t="n">
        <f aca="false">IF(INDEX(Pengaturan!$B$8:$B$27,G$4)="",0,COUNTIF(Data!$B332:$U332,INDEX(Pengaturan!$B$8:$B$27,G$4)))</f>
        <v>0</v>
      </c>
      <c r="H332" s="26" t="n">
        <f aca="false">IF(INDEX(Pengaturan!$B$8:$B$27,H$4)="",0,COUNTIF(Data!$B332:$U332,INDEX(Pengaturan!$B$8:$B$27,H$4)))</f>
        <v>0</v>
      </c>
      <c r="I332" s="26" t="n">
        <f aca="false">IF(INDEX(Pengaturan!$B$8:$B$27,I$4)="",0,COUNTIF(Data!$B332:$U332,INDEX(Pengaturan!$B$8:$B$27,I$4)))</f>
        <v>0</v>
      </c>
      <c r="J332" s="26" t="n">
        <f aca="false">IF(INDEX(Pengaturan!$B$8:$B$27,J$4)="",0,COUNTIF(Data!$B332:$U332,INDEX(Pengaturan!$B$8:$B$27,J$4)))</f>
        <v>0</v>
      </c>
      <c r="K332" s="26" t="n">
        <f aca="false">IF(INDEX(Pengaturan!$B$8:$B$27,K$4)="",0,COUNTIF(Data!$B332:$U332,INDEX(Pengaturan!$B$8:$B$27,K$4)))</f>
        <v>0</v>
      </c>
      <c r="L332" s="26" t="n">
        <f aca="false">IF(INDEX(Pengaturan!$B$8:$B$27,L$4)="",0,COUNTIF(Data!$B332:$U332,INDEX(Pengaturan!$B$8:$B$27,L$4)))</f>
        <v>0</v>
      </c>
      <c r="M332" s="26" t="n">
        <f aca="false">IF(INDEX(Pengaturan!$B$8:$B$27,M$4)="",0,COUNTIF(Data!$B332:$U332,INDEX(Pengaturan!$B$8:$B$27,M$4)))</f>
        <v>0</v>
      </c>
      <c r="N332" s="26" t="n">
        <f aca="false">IF(INDEX(Pengaturan!$B$8:$B$27,N$4)="",0,COUNTIF(Data!$B332:$U332,INDEX(Pengaturan!$B$8:$B$27,N$4)))</f>
        <v>0</v>
      </c>
      <c r="O332" s="26" t="n">
        <f aca="false">IF(INDEX(Pengaturan!$B$8:$B$27,O$4)="",0,COUNTIF(Data!$B332:$U332,INDEX(Pengaturan!$B$8:$B$27,O$4)))</f>
        <v>0</v>
      </c>
      <c r="P332" s="26" t="n">
        <f aca="false">IF(INDEX(Pengaturan!$B$8:$B$27,P$4)="",0,COUNTIF(Data!$B332:$U332,INDEX(Pengaturan!$B$8:$B$27,P$4)))</f>
        <v>0</v>
      </c>
      <c r="Q332" s="26" t="n">
        <f aca="false">IF(INDEX(Pengaturan!$B$8:$B$27,Q$4)="",0,COUNTIF(Data!$B332:$U332,INDEX(Pengaturan!$B$8:$B$27,Q$4)))</f>
        <v>0</v>
      </c>
      <c r="R332" s="26" t="n">
        <f aca="false">IF(INDEX(Pengaturan!$B$8:$B$27,R$4)="",0,COUNTIF(Data!$B332:$U332,INDEX(Pengaturan!$B$8:$B$27,R$4)))</f>
        <v>0</v>
      </c>
      <c r="S332" s="26" t="n">
        <f aca="false">IF(INDEX(Pengaturan!$B$8:$B$27,S$4)="",0,COUNTIF(Data!$B332:$U332,INDEX(Pengaturan!$B$8:$B$27,S$4)))</f>
        <v>0</v>
      </c>
      <c r="T332" s="26" t="n">
        <f aca="false">IF(INDEX(Pengaturan!$B$8:$B$27,T$4)="",0,COUNTIF(Data!$B332:$U332,INDEX(Pengaturan!$B$8:$B$27,T$4)))</f>
        <v>0</v>
      </c>
      <c r="U332" s="26" t="n">
        <f aca="false">IF(INDEX(Pengaturan!$B$8:$B$27,U$4)="",0,COUNTIF(Data!$B332:$U332,INDEX(Pengaturan!$B$8:$B$27,U$4)))</f>
        <v>0</v>
      </c>
      <c r="V332" s="26" t="n">
        <f aca="false">COUNTA(Data!$B332:$U332)</f>
        <v>0</v>
      </c>
      <c r="W332" s="27" t="str">
        <f aca="false">IF(V332=0,"",IF(V332&lt;&gt;Hasil!$C$4,"Data kosong/tidak lengkap",IF(SUM(B332:U332)&lt;&gt;V332,"Kategori tidak dikenal","OK")))</f>
        <v/>
      </c>
      <c r="X332" s="26" t="n">
        <f aca="false">IF(OR(W332="",W332="OK"),0,1)</f>
        <v>0</v>
      </c>
    </row>
    <row r="333" customFormat="false" ht="15" hidden="false" customHeight="false" outlineLevel="0" collapsed="false">
      <c r="A333" s="26" t="n">
        <f aca="false">Data!A333</f>
        <v>328</v>
      </c>
      <c r="B333" s="26" t="n">
        <f aca="false">IF(INDEX(Pengaturan!$B$8:$B$27,B$4)="",0,COUNTIF(Data!$B333:$U333,INDEX(Pengaturan!$B$8:$B$27,B$4)))</f>
        <v>0</v>
      </c>
      <c r="C333" s="26" t="n">
        <f aca="false">IF(INDEX(Pengaturan!$B$8:$B$27,C$4)="",0,COUNTIF(Data!$B333:$U333,INDEX(Pengaturan!$B$8:$B$27,C$4)))</f>
        <v>0</v>
      </c>
      <c r="D333" s="26" t="n">
        <f aca="false">IF(INDEX(Pengaturan!$B$8:$B$27,D$4)="",0,COUNTIF(Data!$B333:$U333,INDEX(Pengaturan!$B$8:$B$27,D$4)))</f>
        <v>0</v>
      </c>
      <c r="E333" s="26" t="n">
        <f aca="false">IF(INDEX(Pengaturan!$B$8:$B$27,E$4)="",0,COUNTIF(Data!$B333:$U333,INDEX(Pengaturan!$B$8:$B$27,E$4)))</f>
        <v>0</v>
      </c>
      <c r="F333" s="26" t="n">
        <f aca="false">IF(INDEX(Pengaturan!$B$8:$B$27,F$4)="",0,COUNTIF(Data!$B333:$U333,INDEX(Pengaturan!$B$8:$B$27,F$4)))</f>
        <v>0</v>
      </c>
      <c r="G333" s="26" t="n">
        <f aca="false">IF(INDEX(Pengaturan!$B$8:$B$27,G$4)="",0,COUNTIF(Data!$B333:$U333,INDEX(Pengaturan!$B$8:$B$27,G$4)))</f>
        <v>0</v>
      </c>
      <c r="H333" s="26" t="n">
        <f aca="false">IF(INDEX(Pengaturan!$B$8:$B$27,H$4)="",0,COUNTIF(Data!$B333:$U333,INDEX(Pengaturan!$B$8:$B$27,H$4)))</f>
        <v>0</v>
      </c>
      <c r="I333" s="26" t="n">
        <f aca="false">IF(INDEX(Pengaturan!$B$8:$B$27,I$4)="",0,COUNTIF(Data!$B333:$U333,INDEX(Pengaturan!$B$8:$B$27,I$4)))</f>
        <v>0</v>
      </c>
      <c r="J333" s="26" t="n">
        <f aca="false">IF(INDEX(Pengaturan!$B$8:$B$27,J$4)="",0,COUNTIF(Data!$B333:$U333,INDEX(Pengaturan!$B$8:$B$27,J$4)))</f>
        <v>0</v>
      </c>
      <c r="K333" s="26" t="n">
        <f aca="false">IF(INDEX(Pengaturan!$B$8:$B$27,K$4)="",0,COUNTIF(Data!$B333:$U333,INDEX(Pengaturan!$B$8:$B$27,K$4)))</f>
        <v>0</v>
      </c>
      <c r="L333" s="26" t="n">
        <f aca="false">IF(INDEX(Pengaturan!$B$8:$B$27,L$4)="",0,COUNTIF(Data!$B333:$U333,INDEX(Pengaturan!$B$8:$B$27,L$4)))</f>
        <v>0</v>
      </c>
      <c r="M333" s="26" t="n">
        <f aca="false">IF(INDEX(Pengaturan!$B$8:$B$27,M$4)="",0,COUNTIF(Data!$B333:$U333,INDEX(Pengaturan!$B$8:$B$27,M$4)))</f>
        <v>0</v>
      </c>
      <c r="N333" s="26" t="n">
        <f aca="false">IF(INDEX(Pengaturan!$B$8:$B$27,N$4)="",0,COUNTIF(Data!$B333:$U333,INDEX(Pengaturan!$B$8:$B$27,N$4)))</f>
        <v>0</v>
      </c>
      <c r="O333" s="26" t="n">
        <f aca="false">IF(INDEX(Pengaturan!$B$8:$B$27,O$4)="",0,COUNTIF(Data!$B333:$U333,INDEX(Pengaturan!$B$8:$B$27,O$4)))</f>
        <v>0</v>
      </c>
      <c r="P333" s="26" t="n">
        <f aca="false">IF(INDEX(Pengaturan!$B$8:$B$27,P$4)="",0,COUNTIF(Data!$B333:$U333,INDEX(Pengaturan!$B$8:$B$27,P$4)))</f>
        <v>0</v>
      </c>
      <c r="Q333" s="26" t="n">
        <f aca="false">IF(INDEX(Pengaturan!$B$8:$B$27,Q$4)="",0,COUNTIF(Data!$B333:$U333,INDEX(Pengaturan!$B$8:$B$27,Q$4)))</f>
        <v>0</v>
      </c>
      <c r="R333" s="26" t="n">
        <f aca="false">IF(INDEX(Pengaturan!$B$8:$B$27,R$4)="",0,COUNTIF(Data!$B333:$U333,INDEX(Pengaturan!$B$8:$B$27,R$4)))</f>
        <v>0</v>
      </c>
      <c r="S333" s="26" t="n">
        <f aca="false">IF(INDEX(Pengaturan!$B$8:$B$27,S$4)="",0,COUNTIF(Data!$B333:$U333,INDEX(Pengaturan!$B$8:$B$27,S$4)))</f>
        <v>0</v>
      </c>
      <c r="T333" s="26" t="n">
        <f aca="false">IF(INDEX(Pengaturan!$B$8:$B$27,T$4)="",0,COUNTIF(Data!$B333:$U333,INDEX(Pengaturan!$B$8:$B$27,T$4)))</f>
        <v>0</v>
      </c>
      <c r="U333" s="26" t="n">
        <f aca="false">IF(INDEX(Pengaturan!$B$8:$B$27,U$4)="",0,COUNTIF(Data!$B333:$U333,INDEX(Pengaturan!$B$8:$B$27,U$4)))</f>
        <v>0</v>
      </c>
      <c r="V333" s="26" t="n">
        <f aca="false">COUNTA(Data!$B333:$U333)</f>
        <v>0</v>
      </c>
      <c r="W333" s="27" t="str">
        <f aca="false">IF(V333=0,"",IF(V333&lt;&gt;Hasil!$C$4,"Data kosong/tidak lengkap",IF(SUM(B333:U333)&lt;&gt;V333,"Kategori tidak dikenal","OK")))</f>
        <v/>
      </c>
      <c r="X333" s="26" t="n">
        <f aca="false">IF(OR(W333="",W333="OK"),0,1)</f>
        <v>0</v>
      </c>
    </row>
    <row r="334" customFormat="false" ht="15" hidden="false" customHeight="false" outlineLevel="0" collapsed="false">
      <c r="A334" s="26" t="n">
        <f aca="false">Data!A334</f>
        <v>329</v>
      </c>
      <c r="B334" s="26" t="n">
        <f aca="false">IF(INDEX(Pengaturan!$B$8:$B$27,B$4)="",0,COUNTIF(Data!$B334:$U334,INDEX(Pengaturan!$B$8:$B$27,B$4)))</f>
        <v>0</v>
      </c>
      <c r="C334" s="26" t="n">
        <f aca="false">IF(INDEX(Pengaturan!$B$8:$B$27,C$4)="",0,COUNTIF(Data!$B334:$U334,INDEX(Pengaturan!$B$8:$B$27,C$4)))</f>
        <v>0</v>
      </c>
      <c r="D334" s="26" t="n">
        <f aca="false">IF(INDEX(Pengaturan!$B$8:$B$27,D$4)="",0,COUNTIF(Data!$B334:$U334,INDEX(Pengaturan!$B$8:$B$27,D$4)))</f>
        <v>0</v>
      </c>
      <c r="E334" s="26" t="n">
        <f aca="false">IF(INDEX(Pengaturan!$B$8:$B$27,E$4)="",0,COUNTIF(Data!$B334:$U334,INDEX(Pengaturan!$B$8:$B$27,E$4)))</f>
        <v>0</v>
      </c>
      <c r="F334" s="26" t="n">
        <f aca="false">IF(INDEX(Pengaturan!$B$8:$B$27,F$4)="",0,COUNTIF(Data!$B334:$U334,INDEX(Pengaturan!$B$8:$B$27,F$4)))</f>
        <v>0</v>
      </c>
      <c r="G334" s="26" t="n">
        <f aca="false">IF(INDEX(Pengaturan!$B$8:$B$27,G$4)="",0,COUNTIF(Data!$B334:$U334,INDEX(Pengaturan!$B$8:$B$27,G$4)))</f>
        <v>0</v>
      </c>
      <c r="H334" s="26" t="n">
        <f aca="false">IF(INDEX(Pengaturan!$B$8:$B$27,H$4)="",0,COUNTIF(Data!$B334:$U334,INDEX(Pengaturan!$B$8:$B$27,H$4)))</f>
        <v>0</v>
      </c>
      <c r="I334" s="26" t="n">
        <f aca="false">IF(INDEX(Pengaturan!$B$8:$B$27,I$4)="",0,COUNTIF(Data!$B334:$U334,INDEX(Pengaturan!$B$8:$B$27,I$4)))</f>
        <v>0</v>
      </c>
      <c r="J334" s="26" t="n">
        <f aca="false">IF(INDEX(Pengaturan!$B$8:$B$27,J$4)="",0,COUNTIF(Data!$B334:$U334,INDEX(Pengaturan!$B$8:$B$27,J$4)))</f>
        <v>0</v>
      </c>
      <c r="K334" s="26" t="n">
        <f aca="false">IF(INDEX(Pengaturan!$B$8:$B$27,K$4)="",0,COUNTIF(Data!$B334:$U334,INDEX(Pengaturan!$B$8:$B$27,K$4)))</f>
        <v>0</v>
      </c>
      <c r="L334" s="26" t="n">
        <f aca="false">IF(INDEX(Pengaturan!$B$8:$B$27,L$4)="",0,COUNTIF(Data!$B334:$U334,INDEX(Pengaturan!$B$8:$B$27,L$4)))</f>
        <v>0</v>
      </c>
      <c r="M334" s="26" t="n">
        <f aca="false">IF(INDEX(Pengaturan!$B$8:$B$27,M$4)="",0,COUNTIF(Data!$B334:$U334,INDEX(Pengaturan!$B$8:$B$27,M$4)))</f>
        <v>0</v>
      </c>
      <c r="N334" s="26" t="n">
        <f aca="false">IF(INDEX(Pengaturan!$B$8:$B$27,N$4)="",0,COUNTIF(Data!$B334:$U334,INDEX(Pengaturan!$B$8:$B$27,N$4)))</f>
        <v>0</v>
      </c>
      <c r="O334" s="26" t="n">
        <f aca="false">IF(INDEX(Pengaturan!$B$8:$B$27,O$4)="",0,COUNTIF(Data!$B334:$U334,INDEX(Pengaturan!$B$8:$B$27,O$4)))</f>
        <v>0</v>
      </c>
      <c r="P334" s="26" t="n">
        <f aca="false">IF(INDEX(Pengaturan!$B$8:$B$27,P$4)="",0,COUNTIF(Data!$B334:$U334,INDEX(Pengaturan!$B$8:$B$27,P$4)))</f>
        <v>0</v>
      </c>
      <c r="Q334" s="26" t="n">
        <f aca="false">IF(INDEX(Pengaturan!$B$8:$B$27,Q$4)="",0,COUNTIF(Data!$B334:$U334,INDEX(Pengaturan!$B$8:$B$27,Q$4)))</f>
        <v>0</v>
      </c>
      <c r="R334" s="26" t="n">
        <f aca="false">IF(INDEX(Pengaturan!$B$8:$B$27,R$4)="",0,COUNTIF(Data!$B334:$U334,INDEX(Pengaturan!$B$8:$B$27,R$4)))</f>
        <v>0</v>
      </c>
      <c r="S334" s="26" t="n">
        <f aca="false">IF(INDEX(Pengaturan!$B$8:$B$27,S$4)="",0,COUNTIF(Data!$B334:$U334,INDEX(Pengaturan!$B$8:$B$27,S$4)))</f>
        <v>0</v>
      </c>
      <c r="T334" s="26" t="n">
        <f aca="false">IF(INDEX(Pengaturan!$B$8:$B$27,T$4)="",0,COUNTIF(Data!$B334:$U334,INDEX(Pengaturan!$B$8:$B$27,T$4)))</f>
        <v>0</v>
      </c>
      <c r="U334" s="26" t="n">
        <f aca="false">IF(INDEX(Pengaturan!$B$8:$B$27,U$4)="",0,COUNTIF(Data!$B334:$U334,INDEX(Pengaturan!$B$8:$B$27,U$4)))</f>
        <v>0</v>
      </c>
      <c r="V334" s="26" t="n">
        <f aca="false">COUNTA(Data!$B334:$U334)</f>
        <v>0</v>
      </c>
      <c r="W334" s="27" t="str">
        <f aca="false">IF(V334=0,"",IF(V334&lt;&gt;Hasil!$C$4,"Data kosong/tidak lengkap",IF(SUM(B334:U334)&lt;&gt;V334,"Kategori tidak dikenal","OK")))</f>
        <v/>
      </c>
      <c r="X334" s="26" t="n">
        <f aca="false">IF(OR(W334="",W334="OK"),0,1)</f>
        <v>0</v>
      </c>
    </row>
    <row r="335" customFormat="false" ht="15" hidden="false" customHeight="false" outlineLevel="0" collapsed="false">
      <c r="A335" s="26" t="n">
        <f aca="false">Data!A335</f>
        <v>330</v>
      </c>
      <c r="B335" s="26" t="n">
        <f aca="false">IF(INDEX(Pengaturan!$B$8:$B$27,B$4)="",0,COUNTIF(Data!$B335:$U335,INDEX(Pengaturan!$B$8:$B$27,B$4)))</f>
        <v>0</v>
      </c>
      <c r="C335" s="26" t="n">
        <f aca="false">IF(INDEX(Pengaturan!$B$8:$B$27,C$4)="",0,COUNTIF(Data!$B335:$U335,INDEX(Pengaturan!$B$8:$B$27,C$4)))</f>
        <v>0</v>
      </c>
      <c r="D335" s="26" t="n">
        <f aca="false">IF(INDEX(Pengaturan!$B$8:$B$27,D$4)="",0,COUNTIF(Data!$B335:$U335,INDEX(Pengaturan!$B$8:$B$27,D$4)))</f>
        <v>0</v>
      </c>
      <c r="E335" s="26" t="n">
        <f aca="false">IF(INDEX(Pengaturan!$B$8:$B$27,E$4)="",0,COUNTIF(Data!$B335:$U335,INDEX(Pengaturan!$B$8:$B$27,E$4)))</f>
        <v>0</v>
      </c>
      <c r="F335" s="26" t="n">
        <f aca="false">IF(INDEX(Pengaturan!$B$8:$B$27,F$4)="",0,COUNTIF(Data!$B335:$U335,INDEX(Pengaturan!$B$8:$B$27,F$4)))</f>
        <v>0</v>
      </c>
      <c r="G335" s="26" t="n">
        <f aca="false">IF(INDEX(Pengaturan!$B$8:$B$27,G$4)="",0,COUNTIF(Data!$B335:$U335,INDEX(Pengaturan!$B$8:$B$27,G$4)))</f>
        <v>0</v>
      </c>
      <c r="H335" s="26" t="n">
        <f aca="false">IF(INDEX(Pengaturan!$B$8:$B$27,H$4)="",0,COUNTIF(Data!$B335:$U335,INDEX(Pengaturan!$B$8:$B$27,H$4)))</f>
        <v>0</v>
      </c>
      <c r="I335" s="26" t="n">
        <f aca="false">IF(INDEX(Pengaturan!$B$8:$B$27,I$4)="",0,COUNTIF(Data!$B335:$U335,INDEX(Pengaturan!$B$8:$B$27,I$4)))</f>
        <v>0</v>
      </c>
      <c r="J335" s="26" t="n">
        <f aca="false">IF(INDEX(Pengaturan!$B$8:$B$27,J$4)="",0,COUNTIF(Data!$B335:$U335,INDEX(Pengaturan!$B$8:$B$27,J$4)))</f>
        <v>0</v>
      </c>
      <c r="K335" s="26" t="n">
        <f aca="false">IF(INDEX(Pengaturan!$B$8:$B$27,K$4)="",0,COUNTIF(Data!$B335:$U335,INDEX(Pengaturan!$B$8:$B$27,K$4)))</f>
        <v>0</v>
      </c>
      <c r="L335" s="26" t="n">
        <f aca="false">IF(INDEX(Pengaturan!$B$8:$B$27,L$4)="",0,COUNTIF(Data!$B335:$U335,INDEX(Pengaturan!$B$8:$B$27,L$4)))</f>
        <v>0</v>
      </c>
      <c r="M335" s="26" t="n">
        <f aca="false">IF(INDEX(Pengaturan!$B$8:$B$27,M$4)="",0,COUNTIF(Data!$B335:$U335,INDEX(Pengaturan!$B$8:$B$27,M$4)))</f>
        <v>0</v>
      </c>
      <c r="N335" s="26" t="n">
        <f aca="false">IF(INDEX(Pengaturan!$B$8:$B$27,N$4)="",0,COUNTIF(Data!$B335:$U335,INDEX(Pengaturan!$B$8:$B$27,N$4)))</f>
        <v>0</v>
      </c>
      <c r="O335" s="26" t="n">
        <f aca="false">IF(INDEX(Pengaturan!$B$8:$B$27,O$4)="",0,COUNTIF(Data!$B335:$U335,INDEX(Pengaturan!$B$8:$B$27,O$4)))</f>
        <v>0</v>
      </c>
      <c r="P335" s="26" t="n">
        <f aca="false">IF(INDEX(Pengaturan!$B$8:$B$27,P$4)="",0,COUNTIF(Data!$B335:$U335,INDEX(Pengaturan!$B$8:$B$27,P$4)))</f>
        <v>0</v>
      </c>
      <c r="Q335" s="26" t="n">
        <f aca="false">IF(INDEX(Pengaturan!$B$8:$B$27,Q$4)="",0,COUNTIF(Data!$B335:$U335,INDEX(Pengaturan!$B$8:$B$27,Q$4)))</f>
        <v>0</v>
      </c>
      <c r="R335" s="26" t="n">
        <f aca="false">IF(INDEX(Pengaturan!$B$8:$B$27,R$4)="",0,COUNTIF(Data!$B335:$U335,INDEX(Pengaturan!$B$8:$B$27,R$4)))</f>
        <v>0</v>
      </c>
      <c r="S335" s="26" t="n">
        <f aca="false">IF(INDEX(Pengaturan!$B$8:$B$27,S$4)="",0,COUNTIF(Data!$B335:$U335,INDEX(Pengaturan!$B$8:$B$27,S$4)))</f>
        <v>0</v>
      </c>
      <c r="T335" s="26" t="n">
        <f aca="false">IF(INDEX(Pengaturan!$B$8:$B$27,T$4)="",0,COUNTIF(Data!$B335:$U335,INDEX(Pengaturan!$B$8:$B$27,T$4)))</f>
        <v>0</v>
      </c>
      <c r="U335" s="26" t="n">
        <f aca="false">IF(INDEX(Pengaturan!$B$8:$B$27,U$4)="",0,COUNTIF(Data!$B335:$U335,INDEX(Pengaturan!$B$8:$B$27,U$4)))</f>
        <v>0</v>
      </c>
      <c r="V335" s="26" t="n">
        <f aca="false">COUNTA(Data!$B335:$U335)</f>
        <v>0</v>
      </c>
      <c r="W335" s="27" t="str">
        <f aca="false">IF(V335=0,"",IF(V335&lt;&gt;Hasil!$C$4,"Data kosong/tidak lengkap",IF(SUM(B335:U335)&lt;&gt;V335,"Kategori tidak dikenal","OK")))</f>
        <v/>
      </c>
      <c r="X335" s="26" t="n">
        <f aca="false">IF(OR(W335="",W335="OK"),0,1)</f>
        <v>0</v>
      </c>
    </row>
    <row r="336" customFormat="false" ht="15" hidden="false" customHeight="false" outlineLevel="0" collapsed="false">
      <c r="A336" s="26" t="n">
        <f aca="false">Data!A336</f>
        <v>331</v>
      </c>
      <c r="B336" s="26" t="n">
        <f aca="false">IF(INDEX(Pengaturan!$B$8:$B$27,B$4)="",0,COUNTIF(Data!$B336:$U336,INDEX(Pengaturan!$B$8:$B$27,B$4)))</f>
        <v>0</v>
      </c>
      <c r="C336" s="26" t="n">
        <f aca="false">IF(INDEX(Pengaturan!$B$8:$B$27,C$4)="",0,COUNTIF(Data!$B336:$U336,INDEX(Pengaturan!$B$8:$B$27,C$4)))</f>
        <v>0</v>
      </c>
      <c r="D336" s="26" t="n">
        <f aca="false">IF(INDEX(Pengaturan!$B$8:$B$27,D$4)="",0,COUNTIF(Data!$B336:$U336,INDEX(Pengaturan!$B$8:$B$27,D$4)))</f>
        <v>0</v>
      </c>
      <c r="E336" s="26" t="n">
        <f aca="false">IF(INDEX(Pengaturan!$B$8:$B$27,E$4)="",0,COUNTIF(Data!$B336:$U336,INDEX(Pengaturan!$B$8:$B$27,E$4)))</f>
        <v>0</v>
      </c>
      <c r="F336" s="26" t="n">
        <f aca="false">IF(INDEX(Pengaturan!$B$8:$B$27,F$4)="",0,COUNTIF(Data!$B336:$U336,INDEX(Pengaturan!$B$8:$B$27,F$4)))</f>
        <v>0</v>
      </c>
      <c r="G336" s="26" t="n">
        <f aca="false">IF(INDEX(Pengaturan!$B$8:$B$27,G$4)="",0,COUNTIF(Data!$B336:$U336,INDEX(Pengaturan!$B$8:$B$27,G$4)))</f>
        <v>0</v>
      </c>
      <c r="H336" s="26" t="n">
        <f aca="false">IF(INDEX(Pengaturan!$B$8:$B$27,H$4)="",0,COUNTIF(Data!$B336:$U336,INDEX(Pengaturan!$B$8:$B$27,H$4)))</f>
        <v>0</v>
      </c>
      <c r="I336" s="26" t="n">
        <f aca="false">IF(INDEX(Pengaturan!$B$8:$B$27,I$4)="",0,COUNTIF(Data!$B336:$U336,INDEX(Pengaturan!$B$8:$B$27,I$4)))</f>
        <v>0</v>
      </c>
      <c r="J336" s="26" t="n">
        <f aca="false">IF(INDEX(Pengaturan!$B$8:$B$27,J$4)="",0,COUNTIF(Data!$B336:$U336,INDEX(Pengaturan!$B$8:$B$27,J$4)))</f>
        <v>0</v>
      </c>
      <c r="K336" s="26" t="n">
        <f aca="false">IF(INDEX(Pengaturan!$B$8:$B$27,K$4)="",0,COUNTIF(Data!$B336:$U336,INDEX(Pengaturan!$B$8:$B$27,K$4)))</f>
        <v>0</v>
      </c>
      <c r="L336" s="26" t="n">
        <f aca="false">IF(INDEX(Pengaturan!$B$8:$B$27,L$4)="",0,COUNTIF(Data!$B336:$U336,INDEX(Pengaturan!$B$8:$B$27,L$4)))</f>
        <v>0</v>
      </c>
      <c r="M336" s="26" t="n">
        <f aca="false">IF(INDEX(Pengaturan!$B$8:$B$27,M$4)="",0,COUNTIF(Data!$B336:$U336,INDEX(Pengaturan!$B$8:$B$27,M$4)))</f>
        <v>0</v>
      </c>
      <c r="N336" s="26" t="n">
        <f aca="false">IF(INDEX(Pengaturan!$B$8:$B$27,N$4)="",0,COUNTIF(Data!$B336:$U336,INDEX(Pengaturan!$B$8:$B$27,N$4)))</f>
        <v>0</v>
      </c>
      <c r="O336" s="26" t="n">
        <f aca="false">IF(INDEX(Pengaturan!$B$8:$B$27,O$4)="",0,COUNTIF(Data!$B336:$U336,INDEX(Pengaturan!$B$8:$B$27,O$4)))</f>
        <v>0</v>
      </c>
      <c r="P336" s="26" t="n">
        <f aca="false">IF(INDEX(Pengaturan!$B$8:$B$27,P$4)="",0,COUNTIF(Data!$B336:$U336,INDEX(Pengaturan!$B$8:$B$27,P$4)))</f>
        <v>0</v>
      </c>
      <c r="Q336" s="26" t="n">
        <f aca="false">IF(INDEX(Pengaturan!$B$8:$B$27,Q$4)="",0,COUNTIF(Data!$B336:$U336,INDEX(Pengaturan!$B$8:$B$27,Q$4)))</f>
        <v>0</v>
      </c>
      <c r="R336" s="26" t="n">
        <f aca="false">IF(INDEX(Pengaturan!$B$8:$B$27,R$4)="",0,COUNTIF(Data!$B336:$U336,INDEX(Pengaturan!$B$8:$B$27,R$4)))</f>
        <v>0</v>
      </c>
      <c r="S336" s="26" t="n">
        <f aca="false">IF(INDEX(Pengaturan!$B$8:$B$27,S$4)="",0,COUNTIF(Data!$B336:$U336,INDEX(Pengaturan!$B$8:$B$27,S$4)))</f>
        <v>0</v>
      </c>
      <c r="T336" s="26" t="n">
        <f aca="false">IF(INDEX(Pengaturan!$B$8:$B$27,T$4)="",0,COUNTIF(Data!$B336:$U336,INDEX(Pengaturan!$B$8:$B$27,T$4)))</f>
        <v>0</v>
      </c>
      <c r="U336" s="26" t="n">
        <f aca="false">IF(INDEX(Pengaturan!$B$8:$B$27,U$4)="",0,COUNTIF(Data!$B336:$U336,INDEX(Pengaturan!$B$8:$B$27,U$4)))</f>
        <v>0</v>
      </c>
      <c r="V336" s="26" t="n">
        <f aca="false">COUNTA(Data!$B336:$U336)</f>
        <v>0</v>
      </c>
      <c r="W336" s="27" t="str">
        <f aca="false">IF(V336=0,"",IF(V336&lt;&gt;Hasil!$C$4,"Data kosong/tidak lengkap",IF(SUM(B336:U336)&lt;&gt;V336,"Kategori tidak dikenal","OK")))</f>
        <v/>
      </c>
      <c r="X336" s="26" t="n">
        <f aca="false">IF(OR(W336="",W336="OK"),0,1)</f>
        <v>0</v>
      </c>
    </row>
    <row r="337" customFormat="false" ht="15" hidden="false" customHeight="false" outlineLevel="0" collapsed="false">
      <c r="A337" s="26" t="n">
        <f aca="false">Data!A337</f>
        <v>332</v>
      </c>
      <c r="B337" s="26" t="n">
        <f aca="false">IF(INDEX(Pengaturan!$B$8:$B$27,B$4)="",0,COUNTIF(Data!$B337:$U337,INDEX(Pengaturan!$B$8:$B$27,B$4)))</f>
        <v>0</v>
      </c>
      <c r="C337" s="26" t="n">
        <f aca="false">IF(INDEX(Pengaturan!$B$8:$B$27,C$4)="",0,COUNTIF(Data!$B337:$U337,INDEX(Pengaturan!$B$8:$B$27,C$4)))</f>
        <v>0</v>
      </c>
      <c r="D337" s="26" t="n">
        <f aca="false">IF(INDEX(Pengaturan!$B$8:$B$27,D$4)="",0,COUNTIF(Data!$B337:$U337,INDEX(Pengaturan!$B$8:$B$27,D$4)))</f>
        <v>0</v>
      </c>
      <c r="E337" s="26" t="n">
        <f aca="false">IF(INDEX(Pengaturan!$B$8:$B$27,E$4)="",0,COUNTIF(Data!$B337:$U337,INDEX(Pengaturan!$B$8:$B$27,E$4)))</f>
        <v>0</v>
      </c>
      <c r="F337" s="26" t="n">
        <f aca="false">IF(INDEX(Pengaturan!$B$8:$B$27,F$4)="",0,COUNTIF(Data!$B337:$U337,INDEX(Pengaturan!$B$8:$B$27,F$4)))</f>
        <v>0</v>
      </c>
      <c r="G337" s="26" t="n">
        <f aca="false">IF(INDEX(Pengaturan!$B$8:$B$27,G$4)="",0,COUNTIF(Data!$B337:$U337,INDEX(Pengaturan!$B$8:$B$27,G$4)))</f>
        <v>0</v>
      </c>
      <c r="H337" s="26" t="n">
        <f aca="false">IF(INDEX(Pengaturan!$B$8:$B$27,H$4)="",0,COUNTIF(Data!$B337:$U337,INDEX(Pengaturan!$B$8:$B$27,H$4)))</f>
        <v>0</v>
      </c>
      <c r="I337" s="26" t="n">
        <f aca="false">IF(INDEX(Pengaturan!$B$8:$B$27,I$4)="",0,COUNTIF(Data!$B337:$U337,INDEX(Pengaturan!$B$8:$B$27,I$4)))</f>
        <v>0</v>
      </c>
      <c r="J337" s="26" t="n">
        <f aca="false">IF(INDEX(Pengaturan!$B$8:$B$27,J$4)="",0,COUNTIF(Data!$B337:$U337,INDEX(Pengaturan!$B$8:$B$27,J$4)))</f>
        <v>0</v>
      </c>
      <c r="K337" s="26" t="n">
        <f aca="false">IF(INDEX(Pengaturan!$B$8:$B$27,K$4)="",0,COUNTIF(Data!$B337:$U337,INDEX(Pengaturan!$B$8:$B$27,K$4)))</f>
        <v>0</v>
      </c>
      <c r="L337" s="26" t="n">
        <f aca="false">IF(INDEX(Pengaturan!$B$8:$B$27,L$4)="",0,COUNTIF(Data!$B337:$U337,INDEX(Pengaturan!$B$8:$B$27,L$4)))</f>
        <v>0</v>
      </c>
      <c r="M337" s="26" t="n">
        <f aca="false">IF(INDEX(Pengaturan!$B$8:$B$27,M$4)="",0,COUNTIF(Data!$B337:$U337,INDEX(Pengaturan!$B$8:$B$27,M$4)))</f>
        <v>0</v>
      </c>
      <c r="N337" s="26" t="n">
        <f aca="false">IF(INDEX(Pengaturan!$B$8:$B$27,N$4)="",0,COUNTIF(Data!$B337:$U337,INDEX(Pengaturan!$B$8:$B$27,N$4)))</f>
        <v>0</v>
      </c>
      <c r="O337" s="26" t="n">
        <f aca="false">IF(INDEX(Pengaturan!$B$8:$B$27,O$4)="",0,COUNTIF(Data!$B337:$U337,INDEX(Pengaturan!$B$8:$B$27,O$4)))</f>
        <v>0</v>
      </c>
      <c r="P337" s="26" t="n">
        <f aca="false">IF(INDEX(Pengaturan!$B$8:$B$27,P$4)="",0,COUNTIF(Data!$B337:$U337,INDEX(Pengaturan!$B$8:$B$27,P$4)))</f>
        <v>0</v>
      </c>
      <c r="Q337" s="26" t="n">
        <f aca="false">IF(INDEX(Pengaturan!$B$8:$B$27,Q$4)="",0,COUNTIF(Data!$B337:$U337,INDEX(Pengaturan!$B$8:$B$27,Q$4)))</f>
        <v>0</v>
      </c>
      <c r="R337" s="26" t="n">
        <f aca="false">IF(INDEX(Pengaturan!$B$8:$B$27,R$4)="",0,COUNTIF(Data!$B337:$U337,INDEX(Pengaturan!$B$8:$B$27,R$4)))</f>
        <v>0</v>
      </c>
      <c r="S337" s="26" t="n">
        <f aca="false">IF(INDEX(Pengaturan!$B$8:$B$27,S$4)="",0,COUNTIF(Data!$B337:$U337,INDEX(Pengaturan!$B$8:$B$27,S$4)))</f>
        <v>0</v>
      </c>
      <c r="T337" s="26" t="n">
        <f aca="false">IF(INDEX(Pengaturan!$B$8:$B$27,T$4)="",0,COUNTIF(Data!$B337:$U337,INDEX(Pengaturan!$B$8:$B$27,T$4)))</f>
        <v>0</v>
      </c>
      <c r="U337" s="26" t="n">
        <f aca="false">IF(INDEX(Pengaturan!$B$8:$B$27,U$4)="",0,COUNTIF(Data!$B337:$U337,INDEX(Pengaturan!$B$8:$B$27,U$4)))</f>
        <v>0</v>
      </c>
      <c r="V337" s="26" t="n">
        <f aca="false">COUNTA(Data!$B337:$U337)</f>
        <v>0</v>
      </c>
      <c r="W337" s="27" t="str">
        <f aca="false">IF(V337=0,"",IF(V337&lt;&gt;Hasil!$C$4,"Data kosong/tidak lengkap",IF(SUM(B337:U337)&lt;&gt;V337,"Kategori tidak dikenal","OK")))</f>
        <v/>
      </c>
      <c r="X337" s="26" t="n">
        <f aca="false">IF(OR(W337="",W337="OK"),0,1)</f>
        <v>0</v>
      </c>
    </row>
    <row r="338" customFormat="false" ht="15" hidden="false" customHeight="false" outlineLevel="0" collapsed="false">
      <c r="A338" s="26" t="n">
        <f aca="false">Data!A338</f>
        <v>333</v>
      </c>
      <c r="B338" s="26" t="n">
        <f aca="false">IF(INDEX(Pengaturan!$B$8:$B$27,B$4)="",0,COUNTIF(Data!$B338:$U338,INDEX(Pengaturan!$B$8:$B$27,B$4)))</f>
        <v>0</v>
      </c>
      <c r="C338" s="26" t="n">
        <f aca="false">IF(INDEX(Pengaturan!$B$8:$B$27,C$4)="",0,COUNTIF(Data!$B338:$U338,INDEX(Pengaturan!$B$8:$B$27,C$4)))</f>
        <v>0</v>
      </c>
      <c r="D338" s="26" t="n">
        <f aca="false">IF(INDEX(Pengaturan!$B$8:$B$27,D$4)="",0,COUNTIF(Data!$B338:$U338,INDEX(Pengaturan!$B$8:$B$27,D$4)))</f>
        <v>0</v>
      </c>
      <c r="E338" s="26" t="n">
        <f aca="false">IF(INDEX(Pengaturan!$B$8:$B$27,E$4)="",0,COUNTIF(Data!$B338:$U338,INDEX(Pengaturan!$B$8:$B$27,E$4)))</f>
        <v>0</v>
      </c>
      <c r="F338" s="26" t="n">
        <f aca="false">IF(INDEX(Pengaturan!$B$8:$B$27,F$4)="",0,COUNTIF(Data!$B338:$U338,INDEX(Pengaturan!$B$8:$B$27,F$4)))</f>
        <v>0</v>
      </c>
      <c r="G338" s="26" t="n">
        <f aca="false">IF(INDEX(Pengaturan!$B$8:$B$27,G$4)="",0,COUNTIF(Data!$B338:$U338,INDEX(Pengaturan!$B$8:$B$27,G$4)))</f>
        <v>0</v>
      </c>
      <c r="H338" s="26" t="n">
        <f aca="false">IF(INDEX(Pengaturan!$B$8:$B$27,H$4)="",0,COUNTIF(Data!$B338:$U338,INDEX(Pengaturan!$B$8:$B$27,H$4)))</f>
        <v>0</v>
      </c>
      <c r="I338" s="26" t="n">
        <f aca="false">IF(INDEX(Pengaturan!$B$8:$B$27,I$4)="",0,COUNTIF(Data!$B338:$U338,INDEX(Pengaturan!$B$8:$B$27,I$4)))</f>
        <v>0</v>
      </c>
      <c r="J338" s="26" t="n">
        <f aca="false">IF(INDEX(Pengaturan!$B$8:$B$27,J$4)="",0,COUNTIF(Data!$B338:$U338,INDEX(Pengaturan!$B$8:$B$27,J$4)))</f>
        <v>0</v>
      </c>
      <c r="K338" s="26" t="n">
        <f aca="false">IF(INDEX(Pengaturan!$B$8:$B$27,K$4)="",0,COUNTIF(Data!$B338:$U338,INDEX(Pengaturan!$B$8:$B$27,K$4)))</f>
        <v>0</v>
      </c>
      <c r="L338" s="26" t="n">
        <f aca="false">IF(INDEX(Pengaturan!$B$8:$B$27,L$4)="",0,COUNTIF(Data!$B338:$U338,INDEX(Pengaturan!$B$8:$B$27,L$4)))</f>
        <v>0</v>
      </c>
      <c r="M338" s="26" t="n">
        <f aca="false">IF(INDEX(Pengaturan!$B$8:$B$27,M$4)="",0,COUNTIF(Data!$B338:$U338,INDEX(Pengaturan!$B$8:$B$27,M$4)))</f>
        <v>0</v>
      </c>
      <c r="N338" s="26" t="n">
        <f aca="false">IF(INDEX(Pengaturan!$B$8:$B$27,N$4)="",0,COUNTIF(Data!$B338:$U338,INDEX(Pengaturan!$B$8:$B$27,N$4)))</f>
        <v>0</v>
      </c>
      <c r="O338" s="26" t="n">
        <f aca="false">IF(INDEX(Pengaturan!$B$8:$B$27,O$4)="",0,COUNTIF(Data!$B338:$U338,INDEX(Pengaturan!$B$8:$B$27,O$4)))</f>
        <v>0</v>
      </c>
      <c r="P338" s="26" t="n">
        <f aca="false">IF(INDEX(Pengaturan!$B$8:$B$27,P$4)="",0,COUNTIF(Data!$B338:$U338,INDEX(Pengaturan!$B$8:$B$27,P$4)))</f>
        <v>0</v>
      </c>
      <c r="Q338" s="26" t="n">
        <f aca="false">IF(INDEX(Pengaturan!$B$8:$B$27,Q$4)="",0,COUNTIF(Data!$B338:$U338,INDEX(Pengaturan!$B$8:$B$27,Q$4)))</f>
        <v>0</v>
      </c>
      <c r="R338" s="26" t="n">
        <f aca="false">IF(INDEX(Pengaturan!$B$8:$B$27,R$4)="",0,COUNTIF(Data!$B338:$U338,INDEX(Pengaturan!$B$8:$B$27,R$4)))</f>
        <v>0</v>
      </c>
      <c r="S338" s="26" t="n">
        <f aca="false">IF(INDEX(Pengaturan!$B$8:$B$27,S$4)="",0,COUNTIF(Data!$B338:$U338,INDEX(Pengaturan!$B$8:$B$27,S$4)))</f>
        <v>0</v>
      </c>
      <c r="T338" s="26" t="n">
        <f aca="false">IF(INDEX(Pengaturan!$B$8:$B$27,T$4)="",0,COUNTIF(Data!$B338:$U338,INDEX(Pengaturan!$B$8:$B$27,T$4)))</f>
        <v>0</v>
      </c>
      <c r="U338" s="26" t="n">
        <f aca="false">IF(INDEX(Pengaturan!$B$8:$B$27,U$4)="",0,COUNTIF(Data!$B338:$U338,INDEX(Pengaturan!$B$8:$B$27,U$4)))</f>
        <v>0</v>
      </c>
      <c r="V338" s="26" t="n">
        <f aca="false">COUNTA(Data!$B338:$U338)</f>
        <v>0</v>
      </c>
      <c r="W338" s="27" t="str">
        <f aca="false">IF(V338=0,"",IF(V338&lt;&gt;Hasil!$C$4,"Data kosong/tidak lengkap",IF(SUM(B338:U338)&lt;&gt;V338,"Kategori tidak dikenal","OK")))</f>
        <v/>
      </c>
      <c r="X338" s="26" t="n">
        <f aca="false">IF(OR(W338="",W338="OK"),0,1)</f>
        <v>0</v>
      </c>
    </row>
    <row r="339" customFormat="false" ht="15" hidden="false" customHeight="false" outlineLevel="0" collapsed="false">
      <c r="A339" s="26" t="n">
        <f aca="false">Data!A339</f>
        <v>334</v>
      </c>
      <c r="B339" s="26" t="n">
        <f aca="false">IF(INDEX(Pengaturan!$B$8:$B$27,B$4)="",0,COUNTIF(Data!$B339:$U339,INDEX(Pengaturan!$B$8:$B$27,B$4)))</f>
        <v>0</v>
      </c>
      <c r="C339" s="26" t="n">
        <f aca="false">IF(INDEX(Pengaturan!$B$8:$B$27,C$4)="",0,COUNTIF(Data!$B339:$U339,INDEX(Pengaturan!$B$8:$B$27,C$4)))</f>
        <v>0</v>
      </c>
      <c r="D339" s="26" t="n">
        <f aca="false">IF(INDEX(Pengaturan!$B$8:$B$27,D$4)="",0,COUNTIF(Data!$B339:$U339,INDEX(Pengaturan!$B$8:$B$27,D$4)))</f>
        <v>0</v>
      </c>
      <c r="E339" s="26" t="n">
        <f aca="false">IF(INDEX(Pengaturan!$B$8:$B$27,E$4)="",0,COUNTIF(Data!$B339:$U339,INDEX(Pengaturan!$B$8:$B$27,E$4)))</f>
        <v>0</v>
      </c>
      <c r="F339" s="26" t="n">
        <f aca="false">IF(INDEX(Pengaturan!$B$8:$B$27,F$4)="",0,COUNTIF(Data!$B339:$U339,INDEX(Pengaturan!$B$8:$B$27,F$4)))</f>
        <v>0</v>
      </c>
      <c r="G339" s="26" t="n">
        <f aca="false">IF(INDEX(Pengaturan!$B$8:$B$27,G$4)="",0,COUNTIF(Data!$B339:$U339,INDEX(Pengaturan!$B$8:$B$27,G$4)))</f>
        <v>0</v>
      </c>
      <c r="H339" s="26" t="n">
        <f aca="false">IF(INDEX(Pengaturan!$B$8:$B$27,H$4)="",0,COUNTIF(Data!$B339:$U339,INDEX(Pengaturan!$B$8:$B$27,H$4)))</f>
        <v>0</v>
      </c>
      <c r="I339" s="26" t="n">
        <f aca="false">IF(INDEX(Pengaturan!$B$8:$B$27,I$4)="",0,COUNTIF(Data!$B339:$U339,INDEX(Pengaturan!$B$8:$B$27,I$4)))</f>
        <v>0</v>
      </c>
      <c r="J339" s="26" t="n">
        <f aca="false">IF(INDEX(Pengaturan!$B$8:$B$27,J$4)="",0,COUNTIF(Data!$B339:$U339,INDEX(Pengaturan!$B$8:$B$27,J$4)))</f>
        <v>0</v>
      </c>
      <c r="K339" s="26" t="n">
        <f aca="false">IF(INDEX(Pengaturan!$B$8:$B$27,K$4)="",0,COUNTIF(Data!$B339:$U339,INDEX(Pengaturan!$B$8:$B$27,K$4)))</f>
        <v>0</v>
      </c>
      <c r="L339" s="26" t="n">
        <f aca="false">IF(INDEX(Pengaturan!$B$8:$B$27,L$4)="",0,COUNTIF(Data!$B339:$U339,INDEX(Pengaturan!$B$8:$B$27,L$4)))</f>
        <v>0</v>
      </c>
      <c r="M339" s="26" t="n">
        <f aca="false">IF(INDEX(Pengaturan!$B$8:$B$27,M$4)="",0,COUNTIF(Data!$B339:$U339,INDEX(Pengaturan!$B$8:$B$27,M$4)))</f>
        <v>0</v>
      </c>
      <c r="N339" s="26" t="n">
        <f aca="false">IF(INDEX(Pengaturan!$B$8:$B$27,N$4)="",0,COUNTIF(Data!$B339:$U339,INDEX(Pengaturan!$B$8:$B$27,N$4)))</f>
        <v>0</v>
      </c>
      <c r="O339" s="26" t="n">
        <f aca="false">IF(INDEX(Pengaturan!$B$8:$B$27,O$4)="",0,COUNTIF(Data!$B339:$U339,INDEX(Pengaturan!$B$8:$B$27,O$4)))</f>
        <v>0</v>
      </c>
      <c r="P339" s="26" t="n">
        <f aca="false">IF(INDEX(Pengaturan!$B$8:$B$27,P$4)="",0,COUNTIF(Data!$B339:$U339,INDEX(Pengaturan!$B$8:$B$27,P$4)))</f>
        <v>0</v>
      </c>
      <c r="Q339" s="26" t="n">
        <f aca="false">IF(INDEX(Pengaturan!$B$8:$B$27,Q$4)="",0,COUNTIF(Data!$B339:$U339,INDEX(Pengaturan!$B$8:$B$27,Q$4)))</f>
        <v>0</v>
      </c>
      <c r="R339" s="26" t="n">
        <f aca="false">IF(INDEX(Pengaturan!$B$8:$B$27,R$4)="",0,COUNTIF(Data!$B339:$U339,INDEX(Pengaturan!$B$8:$B$27,R$4)))</f>
        <v>0</v>
      </c>
      <c r="S339" s="26" t="n">
        <f aca="false">IF(INDEX(Pengaturan!$B$8:$B$27,S$4)="",0,COUNTIF(Data!$B339:$U339,INDEX(Pengaturan!$B$8:$B$27,S$4)))</f>
        <v>0</v>
      </c>
      <c r="T339" s="26" t="n">
        <f aca="false">IF(INDEX(Pengaturan!$B$8:$B$27,T$4)="",0,COUNTIF(Data!$B339:$U339,INDEX(Pengaturan!$B$8:$B$27,T$4)))</f>
        <v>0</v>
      </c>
      <c r="U339" s="26" t="n">
        <f aca="false">IF(INDEX(Pengaturan!$B$8:$B$27,U$4)="",0,COUNTIF(Data!$B339:$U339,INDEX(Pengaturan!$B$8:$B$27,U$4)))</f>
        <v>0</v>
      </c>
      <c r="V339" s="26" t="n">
        <f aca="false">COUNTA(Data!$B339:$U339)</f>
        <v>0</v>
      </c>
      <c r="W339" s="27" t="str">
        <f aca="false">IF(V339=0,"",IF(V339&lt;&gt;Hasil!$C$4,"Data kosong/tidak lengkap",IF(SUM(B339:U339)&lt;&gt;V339,"Kategori tidak dikenal","OK")))</f>
        <v/>
      </c>
      <c r="X339" s="26" t="n">
        <f aca="false">IF(OR(W339="",W339="OK"),0,1)</f>
        <v>0</v>
      </c>
    </row>
    <row r="340" customFormat="false" ht="15" hidden="false" customHeight="false" outlineLevel="0" collapsed="false">
      <c r="A340" s="26" t="n">
        <f aca="false">Data!A340</f>
        <v>335</v>
      </c>
      <c r="B340" s="26" t="n">
        <f aca="false">IF(INDEX(Pengaturan!$B$8:$B$27,B$4)="",0,COUNTIF(Data!$B340:$U340,INDEX(Pengaturan!$B$8:$B$27,B$4)))</f>
        <v>0</v>
      </c>
      <c r="C340" s="26" t="n">
        <f aca="false">IF(INDEX(Pengaturan!$B$8:$B$27,C$4)="",0,COUNTIF(Data!$B340:$U340,INDEX(Pengaturan!$B$8:$B$27,C$4)))</f>
        <v>0</v>
      </c>
      <c r="D340" s="26" t="n">
        <f aca="false">IF(INDEX(Pengaturan!$B$8:$B$27,D$4)="",0,COUNTIF(Data!$B340:$U340,INDEX(Pengaturan!$B$8:$B$27,D$4)))</f>
        <v>0</v>
      </c>
      <c r="E340" s="26" t="n">
        <f aca="false">IF(INDEX(Pengaturan!$B$8:$B$27,E$4)="",0,COUNTIF(Data!$B340:$U340,INDEX(Pengaturan!$B$8:$B$27,E$4)))</f>
        <v>0</v>
      </c>
      <c r="F340" s="26" t="n">
        <f aca="false">IF(INDEX(Pengaturan!$B$8:$B$27,F$4)="",0,COUNTIF(Data!$B340:$U340,INDEX(Pengaturan!$B$8:$B$27,F$4)))</f>
        <v>0</v>
      </c>
      <c r="G340" s="26" t="n">
        <f aca="false">IF(INDEX(Pengaturan!$B$8:$B$27,G$4)="",0,COUNTIF(Data!$B340:$U340,INDEX(Pengaturan!$B$8:$B$27,G$4)))</f>
        <v>0</v>
      </c>
      <c r="H340" s="26" t="n">
        <f aca="false">IF(INDEX(Pengaturan!$B$8:$B$27,H$4)="",0,COUNTIF(Data!$B340:$U340,INDEX(Pengaturan!$B$8:$B$27,H$4)))</f>
        <v>0</v>
      </c>
      <c r="I340" s="26" t="n">
        <f aca="false">IF(INDEX(Pengaturan!$B$8:$B$27,I$4)="",0,COUNTIF(Data!$B340:$U340,INDEX(Pengaturan!$B$8:$B$27,I$4)))</f>
        <v>0</v>
      </c>
      <c r="J340" s="26" t="n">
        <f aca="false">IF(INDEX(Pengaturan!$B$8:$B$27,J$4)="",0,COUNTIF(Data!$B340:$U340,INDEX(Pengaturan!$B$8:$B$27,J$4)))</f>
        <v>0</v>
      </c>
      <c r="K340" s="26" t="n">
        <f aca="false">IF(INDEX(Pengaturan!$B$8:$B$27,K$4)="",0,COUNTIF(Data!$B340:$U340,INDEX(Pengaturan!$B$8:$B$27,K$4)))</f>
        <v>0</v>
      </c>
      <c r="L340" s="26" t="n">
        <f aca="false">IF(INDEX(Pengaturan!$B$8:$B$27,L$4)="",0,COUNTIF(Data!$B340:$U340,INDEX(Pengaturan!$B$8:$B$27,L$4)))</f>
        <v>0</v>
      </c>
      <c r="M340" s="26" t="n">
        <f aca="false">IF(INDEX(Pengaturan!$B$8:$B$27,M$4)="",0,COUNTIF(Data!$B340:$U340,INDEX(Pengaturan!$B$8:$B$27,M$4)))</f>
        <v>0</v>
      </c>
      <c r="N340" s="26" t="n">
        <f aca="false">IF(INDEX(Pengaturan!$B$8:$B$27,N$4)="",0,COUNTIF(Data!$B340:$U340,INDEX(Pengaturan!$B$8:$B$27,N$4)))</f>
        <v>0</v>
      </c>
      <c r="O340" s="26" t="n">
        <f aca="false">IF(INDEX(Pengaturan!$B$8:$B$27,O$4)="",0,COUNTIF(Data!$B340:$U340,INDEX(Pengaturan!$B$8:$B$27,O$4)))</f>
        <v>0</v>
      </c>
      <c r="P340" s="26" t="n">
        <f aca="false">IF(INDEX(Pengaturan!$B$8:$B$27,P$4)="",0,COUNTIF(Data!$B340:$U340,INDEX(Pengaturan!$B$8:$B$27,P$4)))</f>
        <v>0</v>
      </c>
      <c r="Q340" s="26" t="n">
        <f aca="false">IF(INDEX(Pengaturan!$B$8:$B$27,Q$4)="",0,COUNTIF(Data!$B340:$U340,INDEX(Pengaturan!$B$8:$B$27,Q$4)))</f>
        <v>0</v>
      </c>
      <c r="R340" s="26" t="n">
        <f aca="false">IF(INDEX(Pengaturan!$B$8:$B$27,R$4)="",0,COUNTIF(Data!$B340:$U340,INDEX(Pengaturan!$B$8:$B$27,R$4)))</f>
        <v>0</v>
      </c>
      <c r="S340" s="26" t="n">
        <f aca="false">IF(INDEX(Pengaturan!$B$8:$B$27,S$4)="",0,COUNTIF(Data!$B340:$U340,INDEX(Pengaturan!$B$8:$B$27,S$4)))</f>
        <v>0</v>
      </c>
      <c r="T340" s="26" t="n">
        <f aca="false">IF(INDEX(Pengaturan!$B$8:$B$27,T$4)="",0,COUNTIF(Data!$B340:$U340,INDEX(Pengaturan!$B$8:$B$27,T$4)))</f>
        <v>0</v>
      </c>
      <c r="U340" s="26" t="n">
        <f aca="false">IF(INDEX(Pengaturan!$B$8:$B$27,U$4)="",0,COUNTIF(Data!$B340:$U340,INDEX(Pengaturan!$B$8:$B$27,U$4)))</f>
        <v>0</v>
      </c>
      <c r="V340" s="26" t="n">
        <f aca="false">COUNTA(Data!$B340:$U340)</f>
        <v>0</v>
      </c>
      <c r="W340" s="27" t="str">
        <f aca="false">IF(V340=0,"",IF(V340&lt;&gt;Hasil!$C$4,"Data kosong/tidak lengkap",IF(SUM(B340:U340)&lt;&gt;V340,"Kategori tidak dikenal","OK")))</f>
        <v/>
      </c>
      <c r="X340" s="26" t="n">
        <f aca="false">IF(OR(W340="",W340="OK"),0,1)</f>
        <v>0</v>
      </c>
    </row>
    <row r="341" customFormat="false" ht="15" hidden="false" customHeight="false" outlineLevel="0" collapsed="false">
      <c r="A341" s="26" t="n">
        <f aca="false">Data!A341</f>
        <v>336</v>
      </c>
      <c r="B341" s="26" t="n">
        <f aca="false">IF(INDEX(Pengaturan!$B$8:$B$27,B$4)="",0,COUNTIF(Data!$B341:$U341,INDEX(Pengaturan!$B$8:$B$27,B$4)))</f>
        <v>0</v>
      </c>
      <c r="C341" s="26" t="n">
        <f aca="false">IF(INDEX(Pengaturan!$B$8:$B$27,C$4)="",0,COUNTIF(Data!$B341:$U341,INDEX(Pengaturan!$B$8:$B$27,C$4)))</f>
        <v>0</v>
      </c>
      <c r="D341" s="26" t="n">
        <f aca="false">IF(INDEX(Pengaturan!$B$8:$B$27,D$4)="",0,COUNTIF(Data!$B341:$U341,INDEX(Pengaturan!$B$8:$B$27,D$4)))</f>
        <v>0</v>
      </c>
      <c r="E341" s="26" t="n">
        <f aca="false">IF(INDEX(Pengaturan!$B$8:$B$27,E$4)="",0,COUNTIF(Data!$B341:$U341,INDEX(Pengaturan!$B$8:$B$27,E$4)))</f>
        <v>0</v>
      </c>
      <c r="F341" s="26" t="n">
        <f aca="false">IF(INDEX(Pengaturan!$B$8:$B$27,F$4)="",0,COUNTIF(Data!$B341:$U341,INDEX(Pengaturan!$B$8:$B$27,F$4)))</f>
        <v>0</v>
      </c>
      <c r="G341" s="26" t="n">
        <f aca="false">IF(INDEX(Pengaturan!$B$8:$B$27,G$4)="",0,COUNTIF(Data!$B341:$U341,INDEX(Pengaturan!$B$8:$B$27,G$4)))</f>
        <v>0</v>
      </c>
      <c r="H341" s="26" t="n">
        <f aca="false">IF(INDEX(Pengaturan!$B$8:$B$27,H$4)="",0,COUNTIF(Data!$B341:$U341,INDEX(Pengaturan!$B$8:$B$27,H$4)))</f>
        <v>0</v>
      </c>
      <c r="I341" s="26" t="n">
        <f aca="false">IF(INDEX(Pengaturan!$B$8:$B$27,I$4)="",0,COUNTIF(Data!$B341:$U341,INDEX(Pengaturan!$B$8:$B$27,I$4)))</f>
        <v>0</v>
      </c>
      <c r="J341" s="26" t="n">
        <f aca="false">IF(INDEX(Pengaturan!$B$8:$B$27,J$4)="",0,COUNTIF(Data!$B341:$U341,INDEX(Pengaturan!$B$8:$B$27,J$4)))</f>
        <v>0</v>
      </c>
      <c r="K341" s="26" t="n">
        <f aca="false">IF(INDEX(Pengaturan!$B$8:$B$27,K$4)="",0,COUNTIF(Data!$B341:$U341,INDEX(Pengaturan!$B$8:$B$27,K$4)))</f>
        <v>0</v>
      </c>
      <c r="L341" s="26" t="n">
        <f aca="false">IF(INDEX(Pengaturan!$B$8:$B$27,L$4)="",0,COUNTIF(Data!$B341:$U341,INDEX(Pengaturan!$B$8:$B$27,L$4)))</f>
        <v>0</v>
      </c>
      <c r="M341" s="26" t="n">
        <f aca="false">IF(INDEX(Pengaturan!$B$8:$B$27,M$4)="",0,COUNTIF(Data!$B341:$U341,INDEX(Pengaturan!$B$8:$B$27,M$4)))</f>
        <v>0</v>
      </c>
      <c r="N341" s="26" t="n">
        <f aca="false">IF(INDEX(Pengaturan!$B$8:$B$27,N$4)="",0,COUNTIF(Data!$B341:$U341,INDEX(Pengaturan!$B$8:$B$27,N$4)))</f>
        <v>0</v>
      </c>
      <c r="O341" s="26" t="n">
        <f aca="false">IF(INDEX(Pengaturan!$B$8:$B$27,O$4)="",0,COUNTIF(Data!$B341:$U341,INDEX(Pengaturan!$B$8:$B$27,O$4)))</f>
        <v>0</v>
      </c>
      <c r="P341" s="26" t="n">
        <f aca="false">IF(INDEX(Pengaturan!$B$8:$B$27,P$4)="",0,COUNTIF(Data!$B341:$U341,INDEX(Pengaturan!$B$8:$B$27,P$4)))</f>
        <v>0</v>
      </c>
      <c r="Q341" s="26" t="n">
        <f aca="false">IF(INDEX(Pengaturan!$B$8:$B$27,Q$4)="",0,COUNTIF(Data!$B341:$U341,INDEX(Pengaturan!$B$8:$B$27,Q$4)))</f>
        <v>0</v>
      </c>
      <c r="R341" s="26" t="n">
        <f aca="false">IF(INDEX(Pengaturan!$B$8:$B$27,R$4)="",0,COUNTIF(Data!$B341:$U341,INDEX(Pengaturan!$B$8:$B$27,R$4)))</f>
        <v>0</v>
      </c>
      <c r="S341" s="26" t="n">
        <f aca="false">IF(INDEX(Pengaturan!$B$8:$B$27,S$4)="",0,COUNTIF(Data!$B341:$U341,INDEX(Pengaturan!$B$8:$B$27,S$4)))</f>
        <v>0</v>
      </c>
      <c r="T341" s="26" t="n">
        <f aca="false">IF(INDEX(Pengaturan!$B$8:$B$27,T$4)="",0,COUNTIF(Data!$B341:$U341,INDEX(Pengaturan!$B$8:$B$27,T$4)))</f>
        <v>0</v>
      </c>
      <c r="U341" s="26" t="n">
        <f aca="false">IF(INDEX(Pengaturan!$B$8:$B$27,U$4)="",0,COUNTIF(Data!$B341:$U341,INDEX(Pengaturan!$B$8:$B$27,U$4)))</f>
        <v>0</v>
      </c>
      <c r="V341" s="26" t="n">
        <f aca="false">COUNTA(Data!$B341:$U341)</f>
        <v>0</v>
      </c>
      <c r="W341" s="27" t="str">
        <f aca="false">IF(V341=0,"",IF(V341&lt;&gt;Hasil!$C$4,"Data kosong/tidak lengkap",IF(SUM(B341:U341)&lt;&gt;V341,"Kategori tidak dikenal","OK")))</f>
        <v/>
      </c>
      <c r="X341" s="26" t="n">
        <f aca="false">IF(OR(W341="",W341="OK"),0,1)</f>
        <v>0</v>
      </c>
    </row>
    <row r="342" customFormat="false" ht="15" hidden="false" customHeight="false" outlineLevel="0" collapsed="false">
      <c r="A342" s="26" t="n">
        <f aca="false">Data!A342</f>
        <v>337</v>
      </c>
      <c r="B342" s="26" t="n">
        <f aca="false">IF(INDEX(Pengaturan!$B$8:$B$27,B$4)="",0,COUNTIF(Data!$B342:$U342,INDEX(Pengaturan!$B$8:$B$27,B$4)))</f>
        <v>0</v>
      </c>
      <c r="C342" s="26" t="n">
        <f aca="false">IF(INDEX(Pengaturan!$B$8:$B$27,C$4)="",0,COUNTIF(Data!$B342:$U342,INDEX(Pengaturan!$B$8:$B$27,C$4)))</f>
        <v>0</v>
      </c>
      <c r="D342" s="26" t="n">
        <f aca="false">IF(INDEX(Pengaturan!$B$8:$B$27,D$4)="",0,COUNTIF(Data!$B342:$U342,INDEX(Pengaturan!$B$8:$B$27,D$4)))</f>
        <v>0</v>
      </c>
      <c r="E342" s="26" t="n">
        <f aca="false">IF(INDEX(Pengaturan!$B$8:$B$27,E$4)="",0,COUNTIF(Data!$B342:$U342,INDEX(Pengaturan!$B$8:$B$27,E$4)))</f>
        <v>0</v>
      </c>
      <c r="F342" s="26" t="n">
        <f aca="false">IF(INDEX(Pengaturan!$B$8:$B$27,F$4)="",0,COUNTIF(Data!$B342:$U342,INDEX(Pengaturan!$B$8:$B$27,F$4)))</f>
        <v>0</v>
      </c>
      <c r="G342" s="26" t="n">
        <f aca="false">IF(INDEX(Pengaturan!$B$8:$B$27,G$4)="",0,COUNTIF(Data!$B342:$U342,INDEX(Pengaturan!$B$8:$B$27,G$4)))</f>
        <v>0</v>
      </c>
      <c r="H342" s="26" t="n">
        <f aca="false">IF(INDEX(Pengaturan!$B$8:$B$27,H$4)="",0,COUNTIF(Data!$B342:$U342,INDEX(Pengaturan!$B$8:$B$27,H$4)))</f>
        <v>0</v>
      </c>
      <c r="I342" s="26" t="n">
        <f aca="false">IF(INDEX(Pengaturan!$B$8:$B$27,I$4)="",0,COUNTIF(Data!$B342:$U342,INDEX(Pengaturan!$B$8:$B$27,I$4)))</f>
        <v>0</v>
      </c>
      <c r="J342" s="26" t="n">
        <f aca="false">IF(INDEX(Pengaturan!$B$8:$B$27,J$4)="",0,COUNTIF(Data!$B342:$U342,INDEX(Pengaturan!$B$8:$B$27,J$4)))</f>
        <v>0</v>
      </c>
      <c r="K342" s="26" t="n">
        <f aca="false">IF(INDEX(Pengaturan!$B$8:$B$27,K$4)="",0,COUNTIF(Data!$B342:$U342,INDEX(Pengaturan!$B$8:$B$27,K$4)))</f>
        <v>0</v>
      </c>
      <c r="L342" s="26" t="n">
        <f aca="false">IF(INDEX(Pengaturan!$B$8:$B$27,L$4)="",0,COUNTIF(Data!$B342:$U342,INDEX(Pengaturan!$B$8:$B$27,L$4)))</f>
        <v>0</v>
      </c>
      <c r="M342" s="26" t="n">
        <f aca="false">IF(INDEX(Pengaturan!$B$8:$B$27,M$4)="",0,COUNTIF(Data!$B342:$U342,INDEX(Pengaturan!$B$8:$B$27,M$4)))</f>
        <v>0</v>
      </c>
      <c r="N342" s="26" t="n">
        <f aca="false">IF(INDEX(Pengaturan!$B$8:$B$27,N$4)="",0,COUNTIF(Data!$B342:$U342,INDEX(Pengaturan!$B$8:$B$27,N$4)))</f>
        <v>0</v>
      </c>
      <c r="O342" s="26" t="n">
        <f aca="false">IF(INDEX(Pengaturan!$B$8:$B$27,O$4)="",0,COUNTIF(Data!$B342:$U342,INDEX(Pengaturan!$B$8:$B$27,O$4)))</f>
        <v>0</v>
      </c>
      <c r="P342" s="26" t="n">
        <f aca="false">IF(INDEX(Pengaturan!$B$8:$B$27,P$4)="",0,COUNTIF(Data!$B342:$U342,INDEX(Pengaturan!$B$8:$B$27,P$4)))</f>
        <v>0</v>
      </c>
      <c r="Q342" s="26" t="n">
        <f aca="false">IF(INDEX(Pengaturan!$B$8:$B$27,Q$4)="",0,COUNTIF(Data!$B342:$U342,INDEX(Pengaturan!$B$8:$B$27,Q$4)))</f>
        <v>0</v>
      </c>
      <c r="R342" s="26" t="n">
        <f aca="false">IF(INDEX(Pengaturan!$B$8:$B$27,R$4)="",0,COUNTIF(Data!$B342:$U342,INDEX(Pengaturan!$B$8:$B$27,R$4)))</f>
        <v>0</v>
      </c>
      <c r="S342" s="26" t="n">
        <f aca="false">IF(INDEX(Pengaturan!$B$8:$B$27,S$4)="",0,COUNTIF(Data!$B342:$U342,INDEX(Pengaturan!$B$8:$B$27,S$4)))</f>
        <v>0</v>
      </c>
      <c r="T342" s="26" t="n">
        <f aca="false">IF(INDEX(Pengaturan!$B$8:$B$27,T$4)="",0,COUNTIF(Data!$B342:$U342,INDEX(Pengaturan!$B$8:$B$27,T$4)))</f>
        <v>0</v>
      </c>
      <c r="U342" s="26" t="n">
        <f aca="false">IF(INDEX(Pengaturan!$B$8:$B$27,U$4)="",0,COUNTIF(Data!$B342:$U342,INDEX(Pengaturan!$B$8:$B$27,U$4)))</f>
        <v>0</v>
      </c>
      <c r="V342" s="26" t="n">
        <f aca="false">COUNTA(Data!$B342:$U342)</f>
        <v>0</v>
      </c>
      <c r="W342" s="27" t="str">
        <f aca="false">IF(V342=0,"",IF(V342&lt;&gt;Hasil!$C$4,"Data kosong/tidak lengkap",IF(SUM(B342:U342)&lt;&gt;V342,"Kategori tidak dikenal","OK")))</f>
        <v/>
      </c>
      <c r="X342" s="26" t="n">
        <f aca="false">IF(OR(W342="",W342="OK"),0,1)</f>
        <v>0</v>
      </c>
    </row>
    <row r="343" customFormat="false" ht="15" hidden="false" customHeight="false" outlineLevel="0" collapsed="false">
      <c r="A343" s="26" t="n">
        <f aca="false">Data!A343</f>
        <v>338</v>
      </c>
      <c r="B343" s="26" t="n">
        <f aca="false">IF(INDEX(Pengaturan!$B$8:$B$27,B$4)="",0,COUNTIF(Data!$B343:$U343,INDEX(Pengaturan!$B$8:$B$27,B$4)))</f>
        <v>0</v>
      </c>
      <c r="C343" s="26" t="n">
        <f aca="false">IF(INDEX(Pengaturan!$B$8:$B$27,C$4)="",0,COUNTIF(Data!$B343:$U343,INDEX(Pengaturan!$B$8:$B$27,C$4)))</f>
        <v>0</v>
      </c>
      <c r="D343" s="26" t="n">
        <f aca="false">IF(INDEX(Pengaturan!$B$8:$B$27,D$4)="",0,COUNTIF(Data!$B343:$U343,INDEX(Pengaturan!$B$8:$B$27,D$4)))</f>
        <v>0</v>
      </c>
      <c r="E343" s="26" t="n">
        <f aca="false">IF(INDEX(Pengaturan!$B$8:$B$27,E$4)="",0,COUNTIF(Data!$B343:$U343,INDEX(Pengaturan!$B$8:$B$27,E$4)))</f>
        <v>0</v>
      </c>
      <c r="F343" s="26" t="n">
        <f aca="false">IF(INDEX(Pengaturan!$B$8:$B$27,F$4)="",0,COUNTIF(Data!$B343:$U343,INDEX(Pengaturan!$B$8:$B$27,F$4)))</f>
        <v>0</v>
      </c>
      <c r="G343" s="26" t="n">
        <f aca="false">IF(INDEX(Pengaturan!$B$8:$B$27,G$4)="",0,COUNTIF(Data!$B343:$U343,INDEX(Pengaturan!$B$8:$B$27,G$4)))</f>
        <v>0</v>
      </c>
      <c r="H343" s="26" t="n">
        <f aca="false">IF(INDEX(Pengaturan!$B$8:$B$27,H$4)="",0,COUNTIF(Data!$B343:$U343,INDEX(Pengaturan!$B$8:$B$27,H$4)))</f>
        <v>0</v>
      </c>
      <c r="I343" s="26" t="n">
        <f aca="false">IF(INDEX(Pengaturan!$B$8:$B$27,I$4)="",0,COUNTIF(Data!$B343:$U343,INDEX(Pengaturan!$B$8:$B$27,I$4)))</f>
        <v>0</v>
      </c>
      <c r="J343" s="26" t="n">
        <f aca="false">IF(INDEX(Pengaturan!$B$8:$B$27,J$4)="",0,COUNTIF(Data!$B343:$U343,INDEX(Pengaturan!$B$8:$B$27,J$4)))</f>
        <v>0</v>
      </c>
      <c r="K343" s="26" t="n">
        <f aca="false">IF(INDEX(Pengaturan!$B$8:$B$27,K$4)="",0,COUNTIF(Data!$B343:$U343,INDEX(Pengaturan!$B$8:$B$27,K$4)))</f>
        <v>0</v>
      </c>
      <c r="L343" s="26" t="n">
        <f aca="false">IF(INDEX(Pengaturan!$B$8:$B$27,L$4)="",0,COUNTIF(Data!$B343:$U343,INDEX(Pengaturan!$B$8:$B$27,L$4)))</f>
        <v>0</v>
      </c>
      <c r="M343" s="26" t="n">
        <f aca="false">IF(INDEX(Pengaturan!$B$8:$B$27,M$4)="",0,COUNTIF(Data!$B343:$U343,INDEX(Pengaturan!$B$8:$B$27,M$4)))</f>
        <v>0</v>
      </c>
      <c r="N343" s="26" t="n">
        <f aca="false">IF(INDEX(Pengaturan!$B$8:$B$27,N$4)="",0,COUNTIF(Data!$B343:$U343,INDEX(Pengaturan!$B$8:$B$27,N$4)))</f>
        <v>0</v>
      </c>
      <c r="O343" s="26" t="n">
        <f aca="false">IF(INDEX(Pengaturan!$B$8:$B$27,O$4)="",0,COUNTIF(Data!$B343:$U343,INDEX(Pengaturan!$B$8:$B$27,O$4)))</f>
        <v>0</v>
      </c>
      <c r="P343" s="26" t="n">
        <f aca="false">IF(INDEX(Pengaturan!$B$8:$B$27,P$4)="",0,COUNTIF(Data!$B343:$U343,INDEX(Pengaturan!$B$8:$B$27,P$4)))</f>
        <v>0</v>
      </c>
      <c r="Q343" s="26" t="n">
        <f aca="false">IF(INDEX(Pengaturan!$B$8:$B$27,Q$4)="",0,COUNTIF(Data!$B343:$U343,INDEX(Pengaturan!$B$8:$B$27,Q$4)))</f>
        <v>0</v>
      </c>
      <c r="R343" s="26" t="n">
        <f aca="false">IF(INDEX(Pengaturan!$B$8:$B$27,R$4)="",0,COUNTIF(Data!$B343:$U343,INDEX(Pengaturan!$B$8:$B$27,R$4)))</f>
        <v>0</v>
      </c>
      <c r="S343" s="26" t="n">
        <f aca="false">IF(INDEX(Pengaturan!$B$8:$B$27,S$4)="",0,COUNTIF(Data!$B343:$U343,INDEX(Pengaturan!$B$8:$B$27,S$4)))</f>
        <v>0</v>
      </c>
      <c r="T343" s="26" t="n">
        <f aca="false">IF(INDEX(Pengaturan!$B$8:$B$27,T$4)="",0,COUNTIF(Data!$B343:$U343,INDEX(Pengaturan!$B$8:$B$27,T$4)))</f>
        <v>0</v>
      </c>
      <c r="U343" s="26" t="n">
        <f aca="false">IF(INDEX(Pengaturan!$B$8:$B$27,U$4)="",0,COUNTIF(Data!$B343:$U343,INDEX(Pengaturan!$B$8:$B$27,U$4)))</f>
        <v>0</v>
      </c>
      <c r="V343" s="26" t="n">
        <f aca="false">COUNTA(Data!$B343:$U343)</f>
        <v>0</v>
      </c>
      <c r="W343" s="27" t="str">
        <f aca="false">IF(V343=0,"",IF(V343&lt;&gt;Hasil!$C$4,"Data kosong/tidak lengkap",IF(SUM(B343:U343)&lt;&gt;V343,"Kategori tidak dikenal","OK")))</f>
        <v/>
      </c>
      <c r="X343" s="26" t="n">
        <f aca="false">IF(OR(W343="",W343="OK"),0,1)</f>
        <v>0</v>
      </c>
    </row>
    <row r="344" customFormat="false" ht="15" hidden="false" customHeight="false" outlineLevel="0" collapsed="false">
      <c r="A344" s="26" t="n">
        <f aca="false">Data!A344</f>
        <v>339</v>
      </c>
      <c r="B344" s="26" t="n">
        <f aca="false">IF(INDEX(Pengaturan!$B$8:$B$27,B$4)="",0,COUNTIF(Data!$B344:$U344,INDEX(Pengaturan!$B$8:$B$27,B$4)))</f>
        <v>0</v>
      </c>
      <c r="C344" s="26" t="n">
        <f aca="false">IF(INDEX(Pengaturan!$B$8:$B$27,C$4)="",0,COUNTIF(Data!$B344:$U344,INDEX(Pengaturan!$B$8:$B$27,C$4)))</f>
        <v>0</v>
      </c>
      <c r="D344" s="26" t="n">
        <f aca="false">IF(INDEX(Pengaturan!$B$8:$B$27,D$4)="",0,COUNTIF(Data!$B344:$U344,INDEX(Pengaturan!$B$8:$B$27,D$4)))</f>
        <v>0</v>
      </c>
      <c r="E344" s="26" t="n">
        <f aca="false">IF(INDEX(Pengaturan!$B$8:$B$27,E$4)="",0,COUNTIF(Data!$B344:$U344,INDEX(Pengaturan!$B$8:$B$27,E$4)))</f>
        <v>0</v>
      </c>
      <c r="F344" s="26" t="n">
        <f aca="false">IF(INDEX(Pengaturan!$B$8:$B$27,F$4)="",0,COUNTIF(Data!$B344:$U344,INDEX(Pengaturan!$B$8:$B$27,F$4)))</f>
        <v>0</v>
      </c>
      <c r="G344" s="26" t="n">
        <f aca="false">IF(INDEX(Pengaturan!$B$8:$B$27,G$4)="",0,COUNTIF(Data!$B344:$U344,INDEX(Pengaturan!$B$8:$B$27,G$4)))</f>
        <v>0</v>
      </c>
      <c r="H344" s="26" t="n">
        <f aca="false">IF(INDEX(Pengaturan!$B$8:$B$27,H$4)="",0,COUNTIF(Data!$B344:$U344,INDEX(Pengaturan!$B$8:$B$27,H$4)))</f>
        <v>0</v>
      </c>
      <c r="I344" s="26" t="n">
        <f aca="false">IF(INDEX(Pengaturan!$B$8:$B$27,I$4)="",0,COUNTIF(Data!$B344:$U344,INDEX(Pengaturan!$B$8:$B$27,I$4)))</f>
        <v>0</v>
      </c>
      <c r="J344" s="26" t="n">
        <f aca="false">IF(INDEX(Pengaturan!$B$8:$B$27,J$4)="",0,COUNTIF(Data!$B344:$U344,INDEX(Pengaturan!$B$8:$B$27,J$4)))</f>
        <v>0</v>
      </c>
      <c r="K344" s="26" t="n">
        <f aca="false">IF(INDEX(Pengaturan!$B$8:$B$27,K$4)="",0,COUNTIF(Data!$B344:$U344,INDEX(Pengaturan!$B$8:$B$27,K$4)))</f>
        <v>0</v>
      </c>
      <c r="L344" s="26" t="n">
        <f aca="false">IF(INDEX(Pengaturan!$B$8:$B$27,L$4)="",0,COUNTIF(Data!$B344:$U344,INDEX(Pengaturan!$B$8:$B$27,L$4)))</f>
        <v>0</v>
      </c>
      <c r="M344" s="26" t="n">
        <f aca="false">IF(INDEX(Pengaturan!$B$8:$B$27,M$4)="",0,COUNTIF(Data!$B344:$U344,INDEX(Pengaturan!$B$8:$B$27,M$4)))</f>
        <v>0</v>
      </c>
      <c r="N344" s="26" t="n">
        <f aca="false">IF(INDEX(Pengaturan!$B$8:$B$27,N$4)="",0,COUNTIF(Data!$B344:$U344,INDEX(Pengaturan!$B$8:$B$27,N$4)))</f>
        <v>0</v>
      </c>
      <c r="O344" s="26" t="n">
        <f aca="false">IF(INDEX(Pengaturan!$B$8:$B$27,O$4)="",0,COUNTIF(Data!$B344:$U344,INDEX(Pengaturan!$B$8:$B$27,O$4)))</f>
        <v>0</v>
      </c>
      <c r="P344" s="26" t="n">
        <f aca="false">IF(INDEX(Pengaturan!$B$8:$B$27,P$4)="",0,COUNTIF(Data!$B344:$U344,INDEX(Pengaturan!$B$8:$B$27,P$4)))</f>
        <v>0</v>
      </c>
      <c r="Q344" s="26" t="n">
        <f aca="false">IF(INDEX(Pengaturan!$B$8:$B$27,Q$4)="",0,COUNTIF(Data!$B344:$U344,INDEX(Pengaturan!$B$8:$B$27,Q$4)))</f>
        <v>0</v>
      </c>
      <c r="R344" s="26" t="n">
        <f aca="false">IF(INDEX(Pengaturan!$B$8:$B$27,R$4)="",0,COUNTIF(Data!$B344:$U344,INDEX(Pengaturan!$B$8:$B$27,R$4)))</f>
        <v>0</v>
      </c>
      <c r="S344" s="26" t="n">
        <f aca="false">IF(INDEX(Pengaturan!$B$8:$B$27,S$4)="",0,COUNTIF(Data!$B344:$U344,INDEX(Pengaturan!$B$8:$B$27,S$4)))</f>
        <v>0</v>
      </c>
      <c r="T344" s="26" t="n">
        <f aca="false">IF(INDEX(Pengaturan!$B$8:$B$27,T$4)="",0,COUNTIF(Data!$B344:$U344,INDEX(Pengaturan!$B$8:$B$27,T$4)))</f>
        <v>0</v>
      </c>
      <c r="U344" s="26" t="n">
        <f aca="false">IF(INDEX(Pengaturan!$B$8:$B$27,U$4)="",0,COUNTIF(Data!$B344:$U344,INDEX(Pengaturan!$B$8:$B$27,U$4)))</f>
        <v>0</v>
      </c>
      <c r="V344" s="26" t="n">
        <f aca="false">COUNTA(Data!$B344:$U344)</f>
        <v>0</v>
      </c>
      <c r="W344" s="27" t="str">
        <f aca="false">IF(V344=0,"",IF(V344&lt;&gt;Hasil!$C$4,"Data kosong/tidak lengkap",IF(SUM(B344:U344)&lt;&gt;V344,"Kategori tidak dikenal","OK")))</f>
        <v/>
      </c>
      <c r="X344" s="26" t="n">
        <f aca="false">IF(OR(W344="",W344="OK"),0,1)</f>
        <v>0</v>
      </c>
    </row>
    <row r="345" customFormat="false" ht="15" hidden="false" customHeight="false" outlineLevel="0" collapsed="false">
      <c r="A345" s="26" t="n">
        <f aca="false">Data!A345</f>
        <v>340</v>
      </c>
      <c r="B345" s="26" t="n">
        <f aca="false">IF(INDEX(Pengaturan!$B$8:$B$27,B$4)="",0,COUNTIF(Data!$B345:$U345,INDEX(Pengaturan!$B$8:$B$27,B$4)))</f>
        <v>0</v>
      </c>
      <c r="C345" s="26" t="n">
        <f aca="false">IF(INDEX(Pengaturan!$B$8:$B$27,C$4)="",0,COUNTIF(Data!$B345:$U345,INDEX(Pengaturan!$B$8:$B$27,C$4)))</f>
        <v>0</v>
      </c>
      <c r="D345" s="26" t="n">
        <f aca="false">IF(INDEX(Pengaturan!$B$8:$B$27,D$4)="",0,COUNTIF(Data!$B345:$U345,INDEX(Pengaturan!$B$8:$B$27,D$4)))</f>
        <v>0</v>
      </c>
      <c r="E345" s="26" t="n">
        <f aca="false">IF(INDEX(Pengaturan!$B$8:$B$27,E$4)="",0,COUNTIF(Data!$B345:$U345,INDEX(Pengaturan!$B$8:$B$27,E$4)))</f>
        <v>0</v>
      </c>
      <c r="F345" s="26" t="n">
        <f aca="false">IF(INDEX(Pengaturan!$B$8:$B$27,F$4)="",0,COUNTIF(Data!$B345:$U345,INDEX(Pengaturan!$B$8:$B$27,F$4)))</f>
        <v>0</v>
      </c>
      <c r="G345" s="26" t="n">
        <f aca="false">IF(INDEX(Pengaturan!$B$8:$B$27,G$4)="",0,COUNTIF(Data!$B345:$U345,INDEX(Pengaturan!$B$8:$B$27,G$4)))</f>
        <v>0</v>
      </c>
      <c r="H345" s="26" t="n">
        <f aca="false">IF(INDEX(Pengaturan!$B$8:$B$27,H$4)="",0,COUNTIF(Data!$B345:$U345,INDEX(Pengaturan!$B$8:$B$27,H$4)))</f>
        <v>0</v>
      </c>
      <c r="I345" s="26" t="n">
        <f aca="false">IF(INDEX(Pengaturan!$B$8:$B$27,I$4)="",0,COUNTIF(Data!$B345:$U345,INDEX(Pengaturan!$B$8:$B$27,I$4)))</f>
        <v>0</v>
      </c>
      <c r="J345" s="26" t="n">
        <f aca="false">IF(INDEX(Pengaturan!$B$8:$B$27,J$4)="",0,COUNTIF(Data!$B345:$U345,INDEX(Pengaturan!$B$8:$B$27,J$4)))</f>
        <v>0</v>
      </c>
      <c r="K345" s="26" t="n">
        <f aca="false">IF(INDEX(Pengaturan!$B$8:$B$27,K$4)="",0,COUNTIF(Data!$B345:$U345,INDEX(Pengaturan!$B$8:$B$27,K$4)))</f>
        <v>0</v>
      </c>
      <c r="L345" s="26" t="n">
        <f aca="false">IF(INDEX(Pengaturan!$B$8:$B$27,L$4)="",0,COUNTIF(Data!$B345:$U345,INDEX(Pengaturan!$B$8:$B$27,L$4)))</f>
        <v>0</v>
      </c>
      <c r="M345" s="26" t="n">
        <f aca="false">IF(INDEX(Pengaturan!$B$8:$B$27,M$4)="",0,COUNTIF(Data!$B345:$U345,INDEX(Pengaturan!$B$8:$B$27,M$4)))</f>
        <v>0</v>
      </c>
      <c r="N345" s="26" t="n">
        <f aca="false">IF(INDEX(Pengaturan!$B$8:$B$27,N$4)="",0,COUNTIF(Data!$B345:$U345,INDEX(Pengaturan!$B$8:$B$27,N$4)))</f>
        <v>0</v>
      </c>
      <c r="O345" s="26" t="n">
        <f aca="false">IF(INDEX(Pengaturan!$B$8:$B$27,O$4)="",0,COUNTIF(Data!$B345:$U345,INDEX(Pengaturan!$B$8:$B$27,O$4)))</f>
        <v>0</v>
      </c>
      <c r="P345" s="26" t="n">
        <f aca="false">IF(INDEX(Pengaturan!$B$8:$B$27,P$4)="",0,COUNTIF(Data!$B345:$U345,INDEX(Pengaturan!$B$8:$B$27,P$4)))</f>
        <v>0</v>
      </c>
      <c r="Q345" s="26" t="n">
        <f aca="false">IF(INDEX(Pengaturan!$B$8:$B$27,Q$4)="",0,COUNTIF(Data!$B345:$U345,INDEX(Pengaturan!$B$8:$B$27,Q$4)))</f>
        <v>0</v>
      </c>
      <c r="R345" s="26" t="n">
        <f aca="false">IF(INDEX(Pengaturan!$B$8:$B$27,R$4)="",0,COUNTIF(Data!$B345:$U345,INDEX(Pengaturan!$B$8:$B$27,R$4)))</f>
        <v>0</v>
      </c>
      <c r="S345" s="26" t="n">
        <f aca="false">IF(INDEX(Pengaturan!$B$8:$B$27,S$4)="",0,COUNTIF(Data!$B345:$U345,INDEX(Pengaturan!$B$8:$B$27,S$4)))</f>
        <v>0</v>
      </c>
      <c r="T345" s="26" t="n">
        <f aca="false">IF(INDEX(Pengaturan!$B$8:$B$27,T$4)="",0,COUNTIF(Data!$B345:$U345,INDEX(Pengaturan!$B$8:$B$27,T$4)))</f>
        <v>0</v>
      </c>
      <c r="U345" s="26" t="n">
        <f aca="false">IF(INDEX(Pengaturan!$B$8:$B$27,U$4)="",0,COUNTIF(Data!$B345:$U345,INDEX(Pengaturan!$B$8:$B$27,U$4)))</f>
        <v>0</v>
      </c>
      <c r="V345" s="26" t="n">
        <f aca="false">COUNTA(Data!$B345:$U345)</f>
        <v>0</v>
      </c>
      <c r="W345" s="27" t="str">
        <f aca="false">IF(V345=0,"",IF(V345&lt;&gt;Hasil!$C$4,"Data kosong/tidak lengkap",IF(SUM(B345:U345)&lt;&gt;V345,"Kategori tidak dikenal","OK")))</f>
        <v/>
      </c>
      <c r="X345" s="26" t="n">
        <f aca="false">IF(OR(W345="",W345="OK"),0,1)</f>
        <v>0</v>
      </c>
    </row>
    <row r="346" customFormat="false" ht="15" hidden="false" customHeight="false" outlineLevel="0" collapsed="false">
      <c r="A346" s="26" t="n">
        <f aca="false">Data!A346</f>
        <v>341</v>
      </c>
      <c r="B346" s="26" t="n">
        <f aca="false">IF(INDEX(Pengaturan!$B$8:$B$27,B$4)="",0,COUNTIF(Data!$B346:$U346,INDEX(Pengaturan!$B$8:$B$27,B$4)))</f>
        <v>0</v>
      </c>
      <c r="C346" s="26" t="n">
        <f aca="false">IF(INDEX(Pengaturan!$B$8:$B$27,C$4)="",0,COUNTIF(Data!$B346:$U346,INDEX(Pengaturan!$B$8:$B$27,C$4)))</f>
        <v>0</v>
      </c>
      <c r="D346" s="26" t="n">
        <f aca="false">IF(INDEX(Pengaturan!$B$8:$B$27,D$4)="",0,COUNTIF(Data!$B346:$U346,INDEX(Pengaturan!$B$8:$B$27,D$4)))</f>
        <v>0</v>
      </c>
      <c r="E346" s="26" t="n">
        <f aca="false">IF(INDEX(Pengaturan!$B$8:$B$27,E$4)="",0,COUNTIF(Data!$B346:$U346,INDEX(Pengaturan!$B$8:$B$27,E$4)))</f>
        <v>0</v>
      </c>
      <c r="F346" s="26" t="n">
        <f aca="false">IF(INDEX(Pengaturan!$B$8:$B$27,F$4)="",0,COUNTIF(Data!$B346:$U346,INDEX(Pengaturan!$B$8:$B$27,F$4)))</f>
        <v>0</v>
      </c>
      <c r="G346" s="26" t="n">
        <f aca="false">IF(INDEX(Pengaturan!$B$8:$B$27,G$4)="",0,COUNTIF(Data!$B346:$U346,INDEX(Pengaturan!$B$8:$B$27,G$4)))</f>
        <v>0</v>
      </c>
      <c r="H346" s="26" t="n">
        <f aca="false">IF(INDEX(Pengaturan!$B$8:$B$27,H$4)="",0,COUNTIF(Data!$B346:$U346,INDEX(Pengaturan!$B$8:$B$27,H$4)))</f>
        <v>0</v>
      </c>
      <c r="I346" s="26" t="n">
        <f aca="false">IF(INDEX(Pengaturan!$B$8:$B$27,I$4)="",0,COUNTIF(Data!$B346:$U346,INDEX(Pengaturan!$B$8:$B$27,I$4)))</f>
        <v>0</v>
      </c>
      <c r="J346" s="26" t="n">
        <f aca="false">IF(INDEX(Pengaturan!$B$8:$B$27,J$4)="",0,COUNTIF(Data!$B346:$U346,INDEX(Pengaturan!$B$8:$B$27,J$4)))</f>
        <v>0</v>
      </c>
      <c r="K346" s="26" t="n">
        <f aca="false">IF(INDEX(Pengaturan!$B$8:$B$27,K$4)="",0,COUNTIF(Data!$B346:$U346,INDEX(Pengaturan!$B$8:$B$27,K$4)))</f>
        <v>0</v>
      </c>
      <c r="L346" s="26" t="n">
        <f aca="false">IF(INDEX(Pengaturan!$B$8:$B$27,L$4)="",0,COUNTIF(Data!$B346:$U346,INDEX(Pengaturan!$B$8:$B$27,L$4)))</f>
        <v>0</v>
      </c>
      <c r="M346" s="26" t="n">
        <f aca="false">IF(INDEX(Pengaturan!$B$8:$B$27,M$4)="",0,COUNTIF(Data!$B346:$U346,INDEX(Pengaturan!$B$8:$B$27,M$4)))</f>
        <v>0</v>
      </c>
      <c r="N346" s="26" t="n">
        <f aca="false">IF(INDEX(Pengaturan!$B$8:$B$27,N$4)="",0,COUNTIF(Data!$B346:$U346,INDEX(Pengaturan!$B$8:$B$27,N$4)))</f>
        <v>0</v>
      </c>
      <c r="O346" s="26" t="n">
        <f aca="false">IF(INDEX(Pengaturan!$B$8:$B$27,O$4)="",0,COUNTIF(Data!$B346:$U346,INDEX(Pengaturan!$B$8:$B$27,O$4)))</f>
        <v>0</v>
      </c>
      <c r="P346" s="26" t="n">
        <f aca="false">IF(INDEX(Pengaturan!$B$8:$B$27,P$4)="",0,COUNTIF(Data!$B346:$U346,INDEX(Pengaturan!$B$8:$B$27,P$4)))</f>
        <v>0</v>
      </c>
      <c r="Q346" s="26" t="n">
        <f aca="false">IF(INDEX(Pengaturan!$B$8:$B$27,Q$4)="",0,COUNTIF(Data!$B346:$U346,INDEX(Pengaturan!$B$8:$B$27,Q$4)))</f>
        <v>0</v>
      </c>
      <c r="R346" s="26" t="n">
        <f aca="false">IF(INDEX(Pengaturan!$B$8:$B$27,R$4)="",0,COUNTIF(Data!$B346:$U346,INDEX(Pengaturan!$B$8:$B$27,R$4)))</f>
        <v>0</v>
      </c>
      <c r="S346" s="26" t="n">
        <f aca="false">IF(INDEX(Pengaturan!$B$8:$B$27,S$4)="",0,COUNTIF(Data!$B346:$U346,INDEX(Pengaturan!$B$8:$B$27,S$4)))</f>
        <v>0</v>
      </c>
      <c r="T346" s="26" t="n">
        <f aca="false">IF(INDEX(Pengaturan!$B$8:$B$27,T$4)="",0,COUNTIF(Data!$B346:$U346,INDEX(Pengaturan!$B$8:$B$27,T$4)))</f>
        <v>0</v>
      </c>
      <c r="U346" s="26" t="n">
        <f aca="false">IF(INDEX(Pengaturan!$B$8:$B$27,U$4)="",0,COUNTIF(Data!$B346:$U346,INDEX(Pengaturan!$B$8:$B$27,U$4)))</f>
        <v>0</v>
      </c>
      <c r="V346" s="26" t="n">
        <f aca="false">COUNTA(Data!$B346:$U346)</f>
        <v>0</v>
      </c>
      <c r="W346" s="27" t="str">
        <f aca="false">IF(V346=0,"",IF(V346&lt;&gt;Hasil!$C$4,"Data kosong/tidak lengkap",IF(SUM(B346:U346)&lt;&gt;V346,"Kategori tidak dikenal","OK")))</f>
        <v/>
      </c>
      <c r="X346" s="26" t="n">
        <f aca="false">IF(OR(W346="",W346="OK"),0,1)</f>
        <v>0</v>
      </c>
    </row>
    <row r="347" customFormat="false" ht="15" hidden="false" customHeight="false" outlineLevel="0" collapsed="false">
      <c r="A347" s="26" t="n">
        <f aca="false">Data!A347</f>
        <v>342</v>
      </c>
      <c r="B347" s="26" t="n">
        <f aca="false">IF(INDEX(Pengaturan!$B$8:$B$27,B$4)="",0,COUNTIF(Data!$B347:$U347,INDEX(Pengaturan!$B$8:$B$27,B$4)))</f>
        <v>0</v>
      </c>
      <c r="C347" s="26" t="n">
        <f aca="false">IF(INDEX(Pengaturan!$B$8:$B$27,C$4)="",0,COUNTIF(Data!$B347:$U347,INDEX(Pengaturan!$B$8:$B$27,C$4)))</f>
        <v>0</v>
      </c>
      <c r="D347" s="26" t="n">
        <f aca="false">IF(INDEX(Pengaturan!$B$8:$B$27,D$4)="",0,COUNTIF(Data!$B347:$U347,INDEX(Pengaturan!$B$8:$B$27,D$4)))</f>
        <v>0</v>
      </c>
      <c r="E347" s="26" t="n">
        <f aca="false">IF(INDEX(Pengaturan!$B$8:$B$27,E$4)="",0,COUNTIF(Data!$B347:$U347,INDEX(Pengaturan!$B$8:$B$27,E$4)))</f>
        <v>0</v>
      </c>
      <c r="F347" s="26" t="n">
        <f aca="false">IF(INDEX(Pengaturan!$B$8:$B$27,F$4)="",0,COUNTIF(Data!$B347:$U347,INDEX(Pengaturan!$B$8:$B$27,F$4)))</f>
        <v>0</v>
      </c>
      <c r="G347" s="26" t="n">
        <f aca="false">IF(INDEX(Pengaturan!$B$8:$B$27,G$4)="",0,COUNTIF(Data!$B347:$U347,INDEX(Pengaturan!$B$8:$B$27,G$4)))</f>
        <v>0</v>
      </c>
      <c r="H347" s="26" t="n">
        <f aca="false">IF(INDEX(Pengaturan!$B$8:$B$27,H$4)="",0,COUNTIF(Data!$B347:$U347,INDEX(Pengaturan!$B$8:$B$27,H$4)))</f>
        <v>0</v>
      </c>
      <c r="I347" s="26" t="n">
        <f aca="false">IF(INDEX(Pengaturan!$B$8:$B$27,I$4)="",0,COUNTIF(Data!$B347:$U347,INDEX(Pengaturan!$B$8:$B$27,I$4)))</f>
        <v>0</v>
      </c>
      <c r="J347" s="26" t="n">
        <f aca="false">IF(INDEX(Pengaturan!$B$8:$B$27,J$4)="",0,COUNTIF(Data!$B347:$U347,INDEX(Pengaturan!$B$8:$B$27,J$4)))</f>
        <v>0</v>
      </c>
      <c r="K347" s="26" t="n">
        <f aca="false">IF(INDEX(Pengaturan!$B$8:$B$27,K$4)="",0,COUNTIF(Data!$B347:$U347,INDEX(Pengaturan!$B$8:$B$27,K$4)))</f>
        <v>0</v>
      </c>
      <c r="L347" s="26" t="n">
        <f aca="false">IF(INDEX(Pengaturan!$B$8:$B$27,L$4)="",0,COUNTIF(Data!$B347:$U347,INDEX(Pengaturan!$B$8:$B$27,L$4)))</f>
        <v>0</v>
      </c>
      <c r="M347" s="26" t="n">
        <f aca="false">IF(INDEX(Pengaturan!$B$8:$B$27,M$4)="",0,COUNTIF(Data!$B347:$U347,INDEX(Pengaturan!$B$8:$B$27,M$4)))</f>
        <v>0</v>
      </c>
      <c r="N347" s="26" t="n">
        <f aca="false">IF(INDEX(Pengaturan!$B$8:$B$27,N$4)="",0,COUNTIF(Data!$B347:$U347,INDEX(Pengaturan!$B$8:$B$27,N$4)))</f>
        <v>0</v>
      </c>
      <c r="O347" s="26" t="n">
        <f aca="false">IF(INDEX(Pengaturan!$B$8:$B$27,O$4)="",0,COUNTIF(Data!$B347:$U347,INDEX(Pengaturan!$B$8:$B$27,O$4)))</f>
        <v>0</v>
      </c>
      <c r="P347" s="26" t="n">
        <f aca="false">IF(INDEX(Pengaturan!$B$8:$B$27,P$4)="",0,COUNTIF(Data!$B347:$U347,INDEX(Pengaturan!$B$8:$B$27,P$4)))</f>
        <v>0</v>
      </c>
      <c r="Q347" s="26" t="n">
        <f aca="false">IF(INDEX(Pengaturan!$B$8:$B$27,Q$4)="",0,COUNTIF(Data!$B347:$U347,INDEX(Pengaturan!$B$8:$B$27,Q$4)))</f>
        <v>0</v>
      </c>
      <c r="R347" s="26" t="n">
        <f aca="false">IF(INDEX(Pengaturan!$B$8:$B$27,R$4)="",0,COUNTIF(Data!$B347:$U347,INDEX(Pengaturan!$B$8:$B$27,R$4)))</f>
        <v>0</v>
      </c>
      <c r="S347" s="26" t="n">
        <f aca="false">IF(INDEX(Pengaturan!$B$8:$B$27,S$4)="",0,COUNTIF(Data!$B347:$U347,INDEX(Pengaturan!$B$8:$B$27,S$4)))</f>
        <v>0</v>
      </c>
      <c r="T347" s="26" t="n">
        <f aca="false">IF(INDEX(Pengaturan!$B$8:$B$27,T$4)="",0,COUNTIF(Data!$B347:$U347,INDEX(Pengaturan!$B$8:$B$27,T$4)))</f>
        <v>0</v>
      </c>
      <c r="U347" s="26" t="n">
        <f aca="false">IF(INDEX(Pengaturan!$B$8:$B$27,U$4)="",0,COUNTIF(Data!$B347:$U347,INDEX(Pengaturan!$B$8:$B$27,U$4)))</f>
        <v>0</v>
      </c>
      <c r="V347" s="26" t="n">
        <f aca="false">COUNTA(Data!$B347:$U347)</f>
        <v>0</v>
      </c>
      <c r="W347" s="27" t="str">
        <f aca="false">IF(V347=0,"",IF(V347&lt;&gt;Hasil!$C$4,"Data kosong/tidak lengkap",IF(SUM(B347:U347)&lt;&gt;V347,"Kategori tidak dikenal","OK")))</f>
        <v/>
      </c>
      <c r="X347" s="26" t="n">
        <f aca="false">IF(OR(W347="",W347="OK"),0,1)</f>
        <v>0</v>
      </c>
    </row>
    <row r="348" customFormat="false" ht="15" hidden="false" customHeight="false" outlineLevel="0" collapsed="false">
      <c r="A348" s="26" t="n">
        <f aca="false">Data!A348</f>
        <v>343</v>
      </c>
      <c r="B348" s="26" t="n">
        <f aca="false">IF(INDEX(Pengaturan!$B$8:$B$27,B$4)="",0,COUNTIF(Data!$B348:$U348,INDEX(Pengaturan!$B$8:$B$27,B$4)))</f>
        <v>0</v>
      </c>
      <c r="C348" s="26" t="n">
        <f aca="false">IF(INDEX(Pengaturan!$B$8:$B$27,C$4)="",0,COUNTIF(Data!$B348:$U348,INDEX(Pengaturan!$B$8:$B$27,C$4)))</f>
        <v>0</v>
      </c>
      <c r="D348" s="26" t="n">
        <f aca="false">IF(INDEX(Pengaturan!$B$8:$B$27,D$4)="",0,COUNTIF(Data!$B348:$U348,INDEX(Pengaturan!$B$8:$B$27,D$4)))</f>
        <v>0</v>
      </c>
      <c r="E348" s="26" t="n">
        <f aca="false">IF(INDEX(Pengaturan!$B$8:$B$27,E$4)="",0,COUNTIF(Data!$B348:$U348,INDEX(Pengaturan!$B$8:$B$27,E$4)))</f>
        <v>0</v>
      </c>
      <c r="F348" s="26" t="n">
        <f aca="false">IF(INDEX(Pengaturan!$B$8:$B$27,F$4)="",0,COUNTIF(Data!$B348:$U348,INDEX(Pengaturan!$B$8:$B$27,F$4)))</f>
        <v>0</v>
      </c>
      <c r="G348" s="26" t="n">
        <f aca="false">IF(INDEX(Pengaturan!$B$8:$B$27,G$4)="",0,COUNTIF(Data!$B348:$U348,INDEX(Pengaturan!$B$8:$B$27,G$4)))</f>
        <v>0</v>
      </c>
      <c r="H348" s="26" t="n">
        <f aca="false">IF(INDEX(Pengaturan!$B$8:$B$27,H$4)="",0,COUNTIF(Data!$B348:$U348,INDEX(Pengaturan!$B$8:$B$27,H$4)))</f>
        <v>0</v>
      </c>
      <c r="I348" s="26" t="n">
        <f aca="false">IF(INDEX(Pengaturan!$B$8:$B$27,I$4)="",0,COUNTIF(Data!$B348:$U348,INDEX(Pengaturan!$B$8:$B$27,I$4)))</f>
        <v>0</v>
      </c>
      <c r="J348" s="26" t="n">
        <f aca="false">IF(INDEX(Pengaturan!$B$8:$B$27,J$4)="",0,COUNTIF(Data!$B348:$U348,INDEX(Pengaturan!$B$8:$B$27,J$4)))</f>
        <v>0</v>
      </c>
      <c r="K348" s="26" t="n">
        <f aca="false">IF(INDEX(Pengaturan!$B$8:$B$27,K$4)="",0,COUNTIF(Data!$B348:$U348,INDEX(Pengaturan!$B$8:$B$27,K$4)))</f>
        <v>0</v>
      </c>
      <c r="L348" s="26" t="n">
        <f aca="false">IF(INDEX(Pengaturan!$B$8:$B$27,L$4)="",0,COUNTIF(Data!$B348:$U348,INDEX(Pengaturan!$B$8:$B$27,L$4)))</f>
        <v>0</v>
      </c>
      <c r="M348" s="26" t="n">
        <f aca="false">IF(INDEX(Pengaturan!$B$8:$B$27,M$4)="",0,COUNTIF(Data!$B348:$U348,INDEX(Pengaturan!$B$8:$B$27,M$4)))</f>
        <v>0</v>
      </c>
      <c r="N348" s="26" t="n">
        <f aca="false">IF(INDEX(Pengaturan!$B$8:$B$27,N$4)="",0,COUNTIF(Data!$B348:$U348,INDEX(Pengaturan!$B$8:$B$27,N$4)))</f>
        <v>0</v>
      </c>
      <c r="O348" s="26" t="n">
        <f aca="false">IF(INDEX(Pengaturan!$B$8:$B$27,O$4)="",0,COUNTIF(Data!$B348:$U348,INDEX(Pengaturan!$B$8:$B$27,O$4)))</f>
        <v>0</v>
      </c>
      <c r="P348" s="26" t="n">
        <f aca="false">IF(INDEX(Pengaturan!$B$8:$B$27,P$4)="",0,COUNTIF(Data!$B348:$U348,INDEX(Pengaturan!$B$8:$B$27,P$4)))</f>
        <v>0</v>
      </c>
      <c r="Q348" s="26" t="n">
        <f aca="false">IF(INDEX(Pengaturan!$B$8:$B$27,Q$4)="",0,COUNTIF(Data!$B348:$U348,INDEX(Pengaturan!$B$8:$B$27,Q$4)))</f>
        <v>0</v>
      </c>
      <c r="R348" s="26" t="n">
        <f aca="false">IF(INDEX(Pengaturan!$B$8:$B$27,R$4)="",0,COUNTIF(Data!$B348:$U348,INDEX(Pengaturan!$B$8:$B$27,R$4)))</f>
        <v>0</v>
      </c>
      <c r="S348" s="26" t="n">
        <f aca="false">IF(INDEX(Pengaturan!$B$8:$B$27,S$4)="",0,COUNTIF(Data!$B348:$U348,INDEX(Pengaturan!$B$8:$B$27,S$4)))</f>
        <v>0</v>
      </c>
      <c r="T348" s="26" t="n">
        <f aca="false">IF(INDEX(Pengaturan!$B$8:$B$27,T$4)="",0,COUNTIF(Data!$B348:$U348,INDEX(Pengaturan!$B$8:$B$27,T$4)))</f>
        <v>0</v>
      </c>
      <c r="U348" s="26" t="n">
        <f aca="false">IF(INDEX(Pengaturan!$B$8:$B$27,U$4)="",0,COUNTIF(Data!$B348:$U348,INDEX(Pengaturan!$B$8:$B$27,U$4)))</f>
        <v>0</v>
      </c>
      <c r="V348" s="26" t="n">
        <f aca="false">COUNTA(Data!$B348:$U348)</f>
        <v>0</v>
      </c>
      <c r="W348" s="27" t="str">
        <f aca="false">IF(V348=0,"",IF(V348&lt;&gt;Hasil!$C$4,"Data kosong/tidak lengkap",IF(SUM(B348:U348)&lt;&gt;V348,"Kategori tidak dikenal","OK")))</f>
        <v/>
      </c>
      <c r="X348" s="26" t="n">
        <f aca="false">IF(OR(W348="",W348="OK"),0,1)</f>
        <v>0</v>
      </c>
    </row>
    <row r="349" customFormat="false" ht="15" hidden="false" customHeight="false" outlineLevel="0" collapsed="false">
      <c r="A349" s="26" t="n">
        <f aca="false">Data!A349</f>
        <v>344</v>
      </c>
      <c r="B349" s="26" t="n">
        <f aca="false">IF(INDEX(Pengaturan!$B$8:$B$27,B$4)="",0,COUNTIF(Data!$B349:$U349,INDEX(Pengaturan!$B$8:$B$27,B$4)))</f>
        <v>0</v>
      </c>
      <c r="C349" s="26" t="n">
        <f aca="false">IF(INDEX(Pengaturan!$B$8:$B$27,C$4)="",0,COUNTIF(Data!$B349:$U349,INDEX(Pengaturan!$B$8:$B$27,C$4)))</f>
        <v>0</v>
      </c>
      <c r="D349" s="26" t="n">
        <f aca="false">IF(INDEX(Pengaturan!$B$8:$B$27,D$4)="",0,COUNTIF(Data!$B349:$U349,INDEX(Pengaturan!$B$8:$B$27,D$4)))</f>
        <v>0</v>
      </c>
      <c r="E349" s="26" t="n">
        <f aca="false">IF(INDEX(Pengaturan!$B$8:$B$27,E$4)="",0,COUNTIF(Data!$B349:$U349,INDEX(Pengaturan!$B$8:$B$27,E$4)))</f>
        <v>0</v>
      </c>
      <c r="F349" s="26" t="n">
        <f aca="false">IF(INDEX(Pengaturan!$B$8:$B$27,F$4)="",0,COUNTIF(Data!$B349:$U349,INDEX(Pengaturan!$B$8:$B$27,F$4)))</f>
        <v>0</v>
      </c>
      <c r="G349" s="26" t="n">
        <f aca="false">IF(INDEX(Pengaturan!$B$8:$B$27,G$4)="",0,COUNTIF(Data!$B349:$U349,INDEX(Pengaturan!$B$8:$B$27,G$4)))</f>
        <v>0</v>
      </c>
      <c r="H349" s="26" t="n">
        <f aca="false">IF(INDEX(Pengaturan!$B$8:$B$27,H$4)="",0,COUNTIF(Data!$B349:$U349,INDEX(Pengaturan!$B$8:$B$27,H$4)))</f>
        <v>0</v>
      </c>
      <c r="I349" s="26" t="n">
        <f aca="false">IF(INDEX(Pengaturan!$B$8:$B$27,I$4)="",0,COUNTIF(Data!$B349:$U349,INDEX(Pengaturan!$B$8:$B$27,I$4)))</f>
        <v>0</v>
      </c>
      <c r="J349" s="26" t="n">
        <f aca="false">IF(INDEX(Pengaturan!$B$8:$B$27,J$4)="",0,COUNTIF(Data!$B349:$U349,INDEX(Pengaturan!$B$8:$B$27,J$4)))</f>
        <v>0</v>
      </c>
      <c r="K349" s="26" t="n">
        <f aca="false">IF(INDEX(Pengaturan!$B$8:$B$27,K$4)="",0,COUNTIF(Data!$B349:$U349,INDEX(Pengaturan!$B$8:$B$27,K$4)))</f>
        <v>0</v>
      </c>
      <c r="L349" s="26" t="n">
        <f aca="false">IF(INDEX(Pengaturan!$B$8:$B$27,L$4)="",0,COUNTIF(Data!$B349:$U349,INDEX(Pengaturan!$B$8:$B$27,L$4)))</f>
        <v>0</v>
      </c>
      <c r="M349" s="26" t="n">
        <f aca="false">IF(INDEX(Pengaturan!$B$8:$B$27,M$4)="",0,COUNTIF(Data!$B349:$U349,INDEX(Pengaturan!$B$8:$B$27,M$4)))</f>
        <v>0</v>
      </c>
      <c r="N349" s="26" t="n">
        <f aca="false">IF(INDEX(Pengaturan!$B$8:$B$27,N$4)="",0,COUNTIF(Data!$B349:$U349,INDEX(Pengaturan!$B$8:$B$27,N$4)))</f>
        <v>0</v>
      </c>
      <c r="O349" s="26" t="n">
        <f aca="false">IF(INDEX(Pengaturan!$B$8:$B$27,O$4)="",0,COUNTIF(Data!$B349:$U349,INDEX(Pengaturan!$B$8:$B$27,O$4)))</f>
        <v>0</v>
      </c>
      <c r="P349" s="26" t="n">
        <f aca="false">IF(INDEX(Pengaturan!$B$8:$B$27,P$4)="",0,COUNTIF(Data!$B349:$U349,INDEX(Pengaturan!$B$8:$B$27,P$4)))</f>
        <v>0</v>
      </c>
      <c r="Q349" s="26" t="n">
        <f aca="false">IF(INDEX(Pengaturan!$B$8:$B$27,Q$4)="",0,COUNTIF(Data!$B349:$U349,INDEX(Pengaturan!$B$8:$B$27,Q$4)))</f>
        <v>0</v>
      </c>
      <c r="R349" s="26" t="n">
        <f aca="false">IF(INDEX(Pengaturan!$B$8:$B$27,R$4)="",0,COUNTIF(Data!$B349:$U349,INDEX(Pengaturan!$B$8:$B$27,R$4)))</f>
        <v>0</v>
      </c>
      <c r="S349" s="26" t="n">
        <f aca="false">IF(INDEX(Pengaturan!$B$8:$B$27,S$4)="",0,COUNTIF(Data!$B349:$U349,INDEX(Pengaturan!$B$8:$B$27,S$4)))</f>
        <v>0</v>
      </c>
      <c r="T349" s="26" t="n">
        <f aca="false">IF(INDEX(Pengaturan!$B$8:$B$27,T$4)="",0,COUNTIF(Data!$B349:$U349,INDEX(Pengaturan!$B$8:$B$27,T$4)))</f>
        <v>0</v>
      </c>
      <c r="U349" s="26" t="n">
        <f aca="false">IF(INDEX(Pengaturan!$B$8:$B$27,U$4)="",0,COUNTIF(Data!$B349:$U349,INDEX(Pengaturan!$B$8:$B$27,U$4)))</f>
        <v>0</v>
      </c>
      <c r="V349" s="26" t="n">
        <f aca="false">COUNTA(Data!$B349:$U349)</f>
        <v>0</v>
      </c>
      <c r="W349" s="27" t="str">
        <f aca="false">IF(V349=0,"",IF(V349&lt;&gt;Hasil!$C$4,"Data kosong/tidak lengkap",IF(SUM(B349:U349)&lt;&gt;V349,"Kategori tidak dikenal","OK")))</f>
        <v/>
      </c>
      <c r="X349" s="26" t="n">
        <f aca="false">IF(OR(W349="",W349="OK"),0,1)</f>
        <v>0</v>
      </c>
    </row>
    <row r="350" customFormat="false" ht="15" hidden="false" customHeight="false" outlineLevel="0" collapsed="false">
      <c r="A350" s="26" t="n">
        <f aca="false">Data!A350</f>
        <v>345</v>
      </c>
      <c r="B350" s="26" t="n">
        <f aca="false">IF(INDEX(Pengaturan!$B$8:$B$27,B$4)="",0,COUNTIF(Data!$B350:$U350,INDEX(Pengaturan!$B$8:$B$27,B$4)))</f>
        <v>0</v>
      </c>
      <c r="C350" s="26" t="n">
        <f aca="false">IF(INDEX(Pengaturan!$B$8:$B$27,C$4)="",0,COUNTIF(Data!$B350:$U350,INDEX(Pengaturan!$B$8:$B$27,C$4)))</f>
        <v>0</v>
      </c>
      <c r="D350" s="26" t="n">
        <f aca="false">IF(INDEX(Pengaturan!$B$8:$B$27,D$4)="",0,COUNTIF(Data!$B350:$U350,INDEX(Pengaturan!$B$8:$B$27,D$4)))</f>
        <v>0</v>
      </c>
      <c r="E350" s="26" t="n">
        <f aca="false">IF(INDEX(Pengaturan!$B$8:$B$27,E$4)="",0,COUNTIF(Data!$B350:$U350,INDEX(Pengaturan!$B$8:$B$27,E$4)))</f>
        <v>0</v>
      </c>
      <c r="F350" s="26" t="n">
        <f aca="false">IF(INDEX(Pengaturan!$B$8:$B$27,F$4)="",0,COUNTIF(Data!$B350:$U350,INDEX(Pengaturan!$B$8:$B$27,F$4)))</f>
        <v>0</v>
      </c>
      <c r="G350" s="26" t="n">
        <f aca="false">IF(INDEX(Pengaturan!$B$8:$B$27,G$4)="",0,COUNTIF(Data!$B350:$U350,INDEX(Pengaturan!$B$8:$B$27,G$4)))</f>
        <v>0</v>
      </c>
      <c r="H350" s="26" t="n">
        <f aca="false">IF(INDEX(Pengaturan!$B$8:$B$27,H$4)="",0,COUNTIF(Data!$B350:$U350,INDEX(Pengaturan!$B$8:$B$27,H$4)))</f>
        <v>0</v>
      </c>
      <c r="I350" s="26" t="n">
        <f aca="false">IF(INDEX(Pengaturan!$B$8:$B$27,I$4)="",0,COUNTIF(Data!$B350:$U350,INDEX(Pengaturan!$B$8:$B$27,I$4)))</f>
        <v>0</v>
      </c>
      <c r="J350" s="26" t="n">
        <f aca="false">IF(INDEX(Pengaturan!$B$8:$B$27,J$4)="",0,COUNTIF(Data!$B350:$U350,INDEX(Pengaturan!$B$8:$B$27,J$4)))</f>
        <v>0</v>
      </c>
      <c r="K350" s="26" t="n">
        <f aca="false">IF(INDEX(Pengaturan!$B$8:$B$27,K$4)="",0,COUNTIF(Data!$B350:$U350,INDEX(Pengaturan!$B$8:$B$27,K$4)))</f>
        <v>0</v>
      </c>
      <c r="L350" s="26" t="n">
        <f aca="false">IF(INDEX(Pengaturan!$B$8:$B$27,L$4)="",0,COUNTIF(Data!$B350:$U350,INDEX(Pengaturan!$B$8:$B$27,L$4)))</f>
        <v>0</v>
      </c>
      <c r="M350" s="26" t="n">
        <f aca="false">IF(INDEX(Pengaturan!$B$8:$B$27,M$4)="",0,COUNTIF(Data!$B350:$U350,INDEX(Pengaturan!$B$8:$B$27,M$4)))</f>
        <v>0</v>
      </c>
      <c r="N350" s="26" t="n">
        <f aca="false">IF(INDEX(Pengaturan!$B$8:$B$27,N$4)="",0,COUNTIF(Data!$B350:$U350,INDEX(Pengaturan!$B$8:$B$27,N$4)))</f>
        <v>0</v>
      </c>
      <c r="O350" s="26" t="n">
        <f aca="false">IF(INDEX(Pengaturan!$B$8:$B$27,O$4)="",0,COUNTIF(Data!$B350:$U350,INDEX(Pengaturan!$B$8:$B$27,O$4)))</f>
        <v>0</v>
      </c>
      <c r="P350" s="26" t="n">
        <f aca="false">IF(INDEX(Pengaturan!$B$8:$B$27,P$4)="",0,COUNTIF(Data!$B350:$U350,INDEX(Pengaturan!$B$8:$B$27,P$4)))</f>
        <v>0</v>
      </c>
      <c r="Q350" s="26" t="n">
        <f aca="false">IF(INDEX(Pengaturan!$B$8:$B$27,Q$4)="",0,COUNTIF(Data!$B350:$U350,INDEX(Pengaturan!$B$8:$B$27,Q$4)))</f>
        <v>0</v>
      </c>
      <c r="R350" s="26" t="n">
        <f aca="false">IF(INDEX(Pengaturan!$B$8:$B$27,R$4)="",0,COUNTIF(Data!$B350:$U350,INDEX(Pengaturan!$B$8:$B$27,R$4)))</f>
        <v>0</v>
      </c>
      <c r="S350" s="26" t="n">
        <f aca="false">IF(INDEX(Pengaturan!$B$8:$B$27,S$4)="",0,COUNTIF(Data!$B350:$U350,INDEX(Pengaturan!$B$8:$B$27,S$4)))</f>
        <v>0</v>
      </c>
      <c r="T350" s="26" t="n">
        <f aca="false">IF(INDEX(Pengaturan!$B$8:$B$27,T$4)="",0,COUNTIF(Data!$B350:$U350,INDEX(Pengaturan!$B$8:$B$27,T$4)))</f>
        <v>0</v>
      </c>
      <c r="U350" s="26" t="n">
        <f aca="false">IF(INDEX(Pengaturan!$B$8:$B$27,U$4)="",0,COUNTIF(Data!$B350:$U350,INDEX(Pengaturan!$B$8:$B$27,U$4)))</f>
        <v>0</v>
      </c>
      <c r="V350" s="26" t="n">
        <f aca="false">COUNTA(Data!$B350:$U350)</f>
        <v>0</v>
      </c>
      <c r="W350" s="27" t="str">
        <f aca="false">IF(V350=0,"",IF(V350&lt;&gt;Hasil!$C$4,"Data kosong/tidak lengkap",IF(SUM(B350:U350)&lt;&gt;V350,"Kategori tidak dikenal","OK")))</f>
        <v/>
      </c>
      <c r="X350" s="26" t="n">
        <f aca="false">IF(OR(W350="",W350="OK"),0,1)</f>
        <v>0</v>
      </c>
    </row>
    <row r="351" customFormat="false" ht="15" hidden="false" customHeight="false" outlineLevel="0" collapsed="false">
      <c r="A351" s="26" t="n">
        <f aca="false">Data!A351</f>
        <v>346</v>
      </c>
      <c r="B351" s="26" t="n">
        <f aca="false">IF(INDEX(Pengaturan!$B$8:$B$27,B$4)="",0,COUNTIF(Data!$B351:$U351,INDEX(Pengaturan!$B$8:$B$27,B$4)))</f>
        <v>0</v>
      </c>
      <c r="C351" s="26" t="n">
        <f aca="false">IF(INDEX(Pengaturan!$B$8:$B$27,C$4)="",0,COUNTIF(Data!$B351:$U351,INDEX(Pengaturan!$B$8:$B$27,C$4)))</f>
        <v>0</v>
      </c>
      <c r="D351" s="26" t="n">
        <f aca="false">IF(INDEX(Pengaturan!$B$8:$B$27,D$4)="",0,COUNTIF(Data!$B351:$U351,INDEX(Pengaturan!$B$8:$B$27,D$4)))</f>
        <v>0</v>
      </c>
      <c r="E351" s="26" t="n">
        <f aca="false">IF(INDEX(Pengaturan!$B$8:$B$27,E$4)="",0,COUNTIF(Data!$B351:$U351,INDEX(Pengaturan!$B$8:$B$27,E$4)))</f>
        <v>0</v>
      </c>
      <c r="F351" s="26" t="n">
        <f aca="false">IF(INDEX(Pengaturan!$B$8:$B$27,F$4)="",0,COUNTIF(Data!$B351:$U351,INDEX(Pengaturan!$B$8:$B$27,F$4)))</f>
        <v>0</v>
      </c>
      <c r="G351" s="26" t="n">
        <f aca="false">IF(INDEX(Pengaturan!$B$8:$B$27,G$4)="",0,COUNTIF(Data!$B351:$U351,INDEX(Pengaturan!$B$8:$B$27,G$4)))</f>
        <v>0</v>
      </c>
      <c r="H351" s="26" t="n">
        <f aca="false">IF(INDEX(Pengaturan!$B$8:$B$27,H$4)="",0,COUNTIF(Data!$B351:$U351,INDEX(Pengaturan!$B$8:$B$27,H$4)))</f>
        <v>0</v>
      </c>
      <c r="I351" s="26" t="n">
        <f aca="false">IF(INDEX(Pengaturan!$B$8:$B$27,I$4)="",0,COUNTIF(Data!$B351:$U351,INDEX(Pengaturan!$B$8:$B$27,I$4)))</f>
        <v>0</v>
      </c>
      <c r="J351" s="26" t="n">
        <f aca="false">IF(INDEX(Pengaturan!$B$8:$B$27,J$4)="",0,COUNTIF(Data!$B351:$U351,INDEX(Pengaturan!$B$8:$B$27,J$4)))</f>
        <v>0</v>
      </c>
      <c r="K351" s="26" t="n">
        <f aca="false">IF(INDEX(Pengaturan!$B$8:$B$27,K$4)="",0,COUNTIF(Data!$B351:$U351,INDEX(Pengaturan!$B$8:$B$27,K$4)))</f>
        <v>0</v>
      </c>
      <c r="L351" s="26" t="n">
        <f aca="false">IF(INDEX(Pengaturan!$B$8:$B$27,L$4)="",0,COUNTIF(Data!$B351:$U351,INDEX(Pengaturan!$B$8:$B$27,L$4)))</f>
        <v>0</v>
      </c>
      <c r="M351" s="26" t="n">
        <f aca="false">IF(INDEX(Pengaturan!$B$8:$B$27,M$4)="",0,COUNTIF(Data!$B351:$U351,INDEX(Pengaturan!$B$8:$B$27,M$4)))</f>
        <v>0</v>
      </c>
      <c r="N351" s="26" t="n">
        <f aca="false">IF(INDEX(Pengaturan!$B$8:$B$27,N$4)="",0,COUNTIF(Data!$B351:$U351,INDEX(Pengaturan!$B$8:$B$27,N$4)))</f>
        <v>0</v>
      </c>
      <c r="O351" s="26" t="n">
        <f aca="false">IF(INDEX(Pengaturan!$B$8:$B$27,O$4)="",0,COUNTIF(Data!$B351:$U351,INDEX(Pengaturan!$B$8:$B$27,O$4)))</f>
        <v>0</v>
      </c>
      <c r="P351" s="26" t="n">
        <f aca="false">IF(INDEX(Pengaturan!$B$8:$B$27,P$4)="",0,COUNTIF(Data!$B351:$U351,INDEX(Pengaturan!$B$8:$B$27,P$4)))</f>
        <v>0</v>
      </c>
      <c r="Q351" s="26" t="n">
        <f aca="false">IF(INDEX(Pengaturan!$B$8:$B$27,Q$4)="",0,COUNTIF(Data!$B351:$U351,INDEX(Pengaturan!$B$8:$B$27,Q$4)))</f>
        <v>0</v>
      </c>
      <c r="R351" s="26" t="n">
        <f aca="false">IF(INDEX(Pengaturan!$B$8:$B$27,R$4)="",0,COUNTIF(Data!$B351:$U351,INDEX(Pengaturan!$B$8:$B$27,R$4)))</f>
        <v>0</v>
      </c>
      <c r="S351" s="26" t="n">
        <f aca="false">IF(INDEX(Pengaturan!$B$8:$B$27,S$4)="",0,COUNTIF(Data!$B351:$U351,INDEX(Pengaturan!$B$8:$B$27,S$4)))</f>
        <v>0</v>
      </c>
      <c r="T351" s="26" t="n">
        <f aca="false">IF(INDEX(Pengaturan!$B$8:$B$27,T$4)="",0,COUNTIF(Data!$B351:$U351,INDEX(Pengaturan!$B$8:$B$27,T$4)))</f>
        <v>0</v>
      </c>
      <c r="U351" s="26" t="n">
        <f aca="false">IF(INDEX(Pengaturan!$B$8:$B$27,U$4)="",0,COUNTIF(Data!$B351:$U351,INDEX(Pengaturan!$B$8:$B$27,U$4)))</f>
        <v>0</v>
      </c>
      <c r="V351" s="26" t="n">
        <f aca="false">COUNTA(Data!$B351:$U351)</f>
        <v>0</v>
      </c>
      <c r="W351" s="27" t="str">
        <f aca="false">IF(V351=0,"",IF(V351&lt;&gt;Hasil!$C$4,"Data kosong/tidak lengkap",IF(SUM(B351:U351)&lt;&gt;V351,"Kategori tidak dikenal","OK")))</f>
        <v/>
      </c>
      <c r="X351" s="26" t="n">
        <f aca="false">IF(OR(W351="",W351="OK"),0,1)</f>
        <v>0</v>
      </c>
    </row>
    <row r="352" customFormat="false" ht="15" hidden="false" customHeight="false" outlineLevel="0" collapsed="false">
      <c r="A352" s="26" t="n">
        <f aca="false">Data!A352</f>
        <v>347</v>
      </c>
      <c r="B352" s="26" t="n">
        <f aca="false">IF(INDEX(Pengaturan!$B$8:$B$27,B$4)="",0,COUNTIF(Data!$B352:$U352,INDEX(Pengaturan!$B$8:$B$27,B$4)))</f>
        <v>0</v>
      </c>
      <c r="C352" s="26" t="n">
        <f aca="false">IF(INDEX(Pengaturan!$B$8:$B$27,C$4)="",0,COUNTIF(Data!$B352:$U352,INDEX(Pengaturan!$B$8:$B$27,C$4)))</f>
        <v>0</v>
      </c>
      <c r="D352" s="26" t="n">
        <f aca="false">IF(INDEX(Pengaturan!$B$8:$B$27,D$4)="",0,COUNTIF(Data!$B352:$U352,INDEX(Pengaturan!$B$8:$B$27,D$4)))</f>
        <v>0</v>
      </c>
      <c r="E352" s="26" t="n">
        <f aca="false">IF(INDEX(Pengaturan!$B$8:$B$27,E$4)="",0,COUNTIF(Data!$B352:$U352,INDEX(Pengaturan!$B$8:$B$27,E$4)))</f>
        <v>0</v>
      </c>
      <c r="F352" s="26" t="n">
        <f aca="false">IF(INDEX(Pengaturan!$B$8:$B$27,F$4)="",0,COUNTIF(Data!$B352:$U352,INDEX(Pengaturan!$B$8:$B$27,F$4)))</f>
        <v>0</v>
      </c>
      <c r="G352" s="26" t="n">
        <f aca="false">IF(INDEX(Pengaturan!$B$8:$B$27,G$4)="",0,COUNTIF(Data!$B352:$U352,INDEX(Pengaturan!$B$8:$B$27,G$4)))</f>
        <v>0</v>
      </c>
      <c r="H352" s="26" t="n">
        <f aca="false">IF(INDEX(Pengaturan!$B$8:$B$27,H$4)="",0,COUNTIF(Data!$B352:$U352,INDEX(Pengaturan!$B$8:$B$27,H$4)))</f>
        <v>0</v>
      </c>
      <c r="I352" s="26" t="n">
        <f aca="false">IF(INDEX(Pengaturan!$B$8:$B$27,I$4)="",0,COUNTIF(Data!$B352:$U352,INDEX(Pengaturan!$B$8:$B$27,I$4)))</f>
        <v>0</v>
      </c>
      <c r="J352" s="26" t="n">
        <f aca="false">IF(INDEX(Pengaturan!$B$8:$B$27,J$4)="",0,COUNTIF(Data!$B352:$U352,INDEX(Pengaturan!$B$8:$B$27,J$4)))</f>
        <v>0</v>
      </c>
      <c r="K352" s="26" t="n">
        <f aca="false">IF(INDEX(Pengaturan!$B$8:$B$27,K$4)="",0,COUNTIF(Data!$B352:$U352,INDEX(Pengaturan!$B$8:$B$27,K$4)))</f>
        <v>0</v>
      </c>
      <c r="L352" s="26" t="n">
        <f aca="false">IF(INDEX(Pengaturan!$B$8:$B$27,L$4)="",0,COUNTIF(Data!$B352:$U352,INDEX(Pengaturan!$B$8:$B$27,L$4)))</f>
        <v>0</v>
      </c>
      <c r="M352" s="26" t="n">
        <f aca="false">IF(INDEX(Pengaturan!$B$8:$B$27,M$4)="",0,COUNTIF(Data!$B352:$U352,INDEX(Pengaturan!$B$8:$B$27,M$4)))</f>
        <v>0</v>
      </c>
      <c r="N352" s="26" t="n">
        <f aca="false">IF(INDEX(Pengaturan!$B$8:$B$27,N$4)="",0,COUNTIF(Data!$B352:$U352,INDEX(Pengaturan!$B$8:$B$27,N$4)))</f>
        <v>0</v>
      </c>
      <c r="O352" s="26" t="n">
        <f aca="false">IF(INDEX(Pengaturan!$B$8:$B$27,O$4)="",0,COUNTIF(Data!$B352:$U352,INDEX(Pengaturan!$B$8:$B$27,O$4)))</f>
        <v>0</v>
      </c>
      <c r="P352" s="26" t="n">
        <f aca="false">IF(INDEX(Pengaturan!$B$8:$B$27,P$4)="",0,COUNTIF(Data!$B352:$U352,INDEX(Pengaturan!$B$8:$B$27,P$4)))</f>
        <v>0</v>
      </c>
      <c r="Q352" s="26" t="n">
        <f aca="false">IF(INDEX(Pengaturan!$B$8:$B$27,Q$4)="",0,COUNTIF(Data!$B352:$U352,INDEX(Pengaturan!$B$8:$B$27,Q$4)))</f>
        <v>0</v>
      </c>
      <c r="R352" s="26" t="n">
        <f aca="false">IF(INDEX(Pengaturan!$B$8:$B$27,R$4)="",0,COUNTIF(Data!$B352:$U352,INDEX(Pengaturan!$B$8:$B$27,R$4)))</f>
        <v>0</v>
      </c>
      <c r="S352" s="26" t="n">
        <f aca="false">IF(INDEX(Pengaturan!$B$8:$B$27,S$4)="",0,COUNTIF(Data!$B352:$U352,INDEX(Pengaturan!$B$8:$B$27,S$4)))</f>
        <v>0</v>
      </c>
      <c r="T352" s="26" t="n">
        <f aca="false">IF(INDEX(Pengaturan!$B$8:$B$27,T$4)="",0,COUNTIF(Data!$B352:$U352,INDEX(Pengaturan!$B$8:$B$27,T$4)))</f>
        <v>0</v>
      </c>
      <c r="U352" s="26" t="n">
        <f aca="false">IF(INDEX(Pengaturan!$B$8:$B$27,U$4)="",0,COUNTIF(Data!$B352:$U352,INDEX(Pengaturan!$B$8:$B$27,U$4)))</f>
        <v>0</v>
      </c>
      <c r="V352" s="26" t="n">
        <f aca="false">COUNTA(Data!$B352:$U352)</f>
        <v>0</v>
      </c>
      <c r="W352" s="27" t="str">
        <f aca="false">IF(V352=0,"",IF(V352&lt;&gt;Hasil!$C$4,"Data kosong/tidak lengkap",IF(SUM(B352:U352)&lt;&gt;V352,"Kategori tidak dikenal","OK")))</f>
        <v/>
      </c>
      <c r="X352" s="26" t="n">
        <f aca="false">IF(OR(W352="",W352="OK"),0,1)</f>
        <v>0</v>
      </c>
    </row>
    <row r="353" customFormat="false" ht="15" hidden="false" customHeight="false" outlineLevel="0" collapsed="false">
      <c r="A353" s="26" t="n">
        <f aca="false">Data!A353</f>
        <v>348</v>
      </c>
      <c r="B353" s="26" t="n">
        <f aca="false">IF(INDEX(Pengaturan!$B$8:$B$27,B$4)="",0,COUNTIF(Data!$B353:$U353,INDEX(Pengaturan!$B$8:$B$27,B$4)))</f>
        <v>0</v>
      </c>
      <c r="C353" s="26" t="n">
        <f aca="false">IF(INDEX(Pengaturan!$B$8:$B$27,C$4)="",0,COUNTIF(Data!$B353:$U353,INDEX(Pengaturan!$B$8:$B$27,C$4)))</f>
        <v>0</v>
      </c>
      <c r="D353" s="26" t="n">
        <f aca="false">IF(INDEX(Pengaturan!$B$8:$B$27,D$4)="",0,COUNTIF(Data!$B353:$U353,INDEX(Pengaturan!$B$8:$B$27,D$4)))</f>
        <v>0</v>
      </c>
      <c r="E353" s="26" t="n">
        <f aca="false">IF(INDEX(Pengaturan!$B$8:$B$27,E$4)="",0,COUNTIF(Data!$B353:$U353,INDEX(Pengaturan!$B$8:$B$27,E$4)))</f>
        <v>0</v>
      </c>
      <c r="F353" s="26" t="n">
        <f aca="false">IF(INDEX(Pengaturan!$B$8:$B$27,F$4)="",0,COUNTIF(Data!$B353:$U353,INDEX(Pengaturan!$B$8:$B$27,F$4)))</f>
        <v>0</v>
      </c>
      <c r="G353" s="26" t="n">
        <f aca="false">IF(INDEX(Pengaturan!$B$8:$B$27,G$4)="",0,COUNTIF(Data!$B353:$U353,INDEX(Pengaturan!$B$8:$B$27,G$4)))</f>
        <v>0</v>
      </c>
      <c r="H353" s="26" t="n">
        <f aca="false">IF(INDEX(Pengaturan!$B$8:$B$27,H$4)="",0,COUNTIF(Data!$B353:$U353,INDEX(Pengaturan!$B$8:$B$27,H$4)))</f>
        <v>0</v>
      </c>
      <c r="I353" s="26" t="n">
        <f aca="false">IF(INDEX(Pengaturan!$B$8:$B$27,I$4)="",0,COUNTIF(Data!$B353:$U353,INDEX(Pengaturan!$B$8:$B$27,I$4)))</f>
        <v>0</v>
      </c>
      <c r="J353" s="26" t="n">
        <f aca="false">IF(INDEX(Pengaturan!$B$8:$B$27,J$4)="",0,COUNTIF(Data!$B353:$U353,INDEX(Pengaturan!$B$8:$B$27,J$4)))</f>
        <v>0</v>
      </c>
      <c r="K353" s="26" t="n">
        <f aca="false">IF(INDEX(Pengaturan!$B$8:$B$27,K$4)="",0,COUNTIF(Data!$B353:$U353,INDEX(Pengaturan!$B$8:$B$27,K$4)))</f>
        <v>0</v>
      </c>
      <c r="L353" s="26" t="n">
        <f aca="false">IF(INDEX(Pengaturan!$B$8:$B$27,L$4)="",0,COUNTIF(Data!$B353:$U353,INDEX(Pengaturan!$B$8:$B$27,L$4)))</f>
        <v>0</v>
      </c>
      <c r="M353" s="26" t="n">
        <f aca="false">IF(INDEX(Pengaturan!$B$8:$B$27,M$4)="",0,COUNTIF(Data!$B353:$U353,INDEX(Pengaturan!$B$8:$B$27,M$4)))</f>
        <v>0</v>
      </c>
      <c r="N353" s="26" t="n">
        <f aca="false">IF(INDEX(Pengaturan!$B$8:$B$27,N$4)="",0,COUNTIF(Data!$B353:$U353,INDEX(Pengaturan!$B$8:$B$27,N$4)))</f>
        <v>0</v>
      </c>
      <c r="O353" s="26" t="n">
        <f aca="false">IF(INDEX(Pengaturan!$B$8:$B$27,O$4)="",0,COUNTIF(Data!$B353:$U353,INDEX(Pengaturan!$B$8:$B$27,O$4)))</f>
        <v>0</v>
      </c>
      <c r="P353" s="26" t="n">
        <f aca="false">IF(INDEX(Pengaturan!$B$8:$B$27,P$4)="",0,COUNTIF(Data!$B353:$U353,INDEX(Pengaturan!$B$8:$B$27,P$4)))</f>
        <v>0</v>
      </c>
      <c r="Q353" s="26" t="n">
        <f aca="false">IF(INDEX(Pengaturan!$B$8:$B$27,Q$4)="",0,COUNTIF(Data!$B353:$U353,INDEX(Pengaturan!$B$8:$B$27,Q$4)))</f>
        <v>0</v>
      </c>
      <c r="R353" s="26" t="n">
        <f aca="false">IF(INDEX(Pengaturan!$B$8:$B$27,R$4)="",0,COUNTIF(Data!$B353:$U353,INDEX(Pengaturan!$B$8:$B$27,R$4)))</f>
        <v>0</v>
      </c>
      <c r="S353" s="26" t="n">
        <f aca="false">IF(INDEX(Pengaturan!$B$8:$B$27,S$4)="",0,COUNTIF(Data!$B353:$U353,INDEX(Pengaturan!$B$8:$B$27,S$4)))</f>
        <v>0</v>
      </c>
      <c r="T353" s="26" t="n">
        <f aca="false">IF(INDEX(Pengaturan!$B$8:$B$27,T$4)="",0,COUNTIF(Data!$B353:$U353,INDEX(Pengaturan!$B$8:$B$27,T$4)))</f>
        <v>0</v>
      </c>
      <c r="U353" s="26" t="n">
        <f aca="false">IF(INDEX(Pengaturan!$B$8:$B$27,U$4)="",0,COUNTIF(Data!$B353:$U353,INDEX(Pengaturan!$B$8:$B$27,U$4)))</f>
        <v>0</v>
      </c>
      <c r="V353" s="26" t="n">
        <f aca="false">COUNTA(Data!$B353:$U353)</f>
        <v>0</v>
      </c>
      <c r="W353" s="27" t="str">
        <f aca="false">IF(V353=0,"",IF(V353&lt;&gt;Hasil!$C$4,"Data kosong/tidak lengkap",IF(SUM(B353:U353)&lt;&gt;V353,"Kategori tidak dikenal","OK")))</f>
        <v/>
      </c>
      <c r="X353" s="26" t="n">
        <f aca="false">IF(OR(W353="",W353="OK"),0,1)</f>
        <v>0</v>
      </c>
    </row>
    <row r="354" customFormat="false" ht="15" hidden="false" customHeight="false" outlineLevel="0" collapsed="false">
      <c r="A354" s="26" t="n">
        <f aca="false">Data!A354</f>
        <v>349</v>
      </c>
      <c r="B354" s="26" t="n">
        <f aca="false">IF(INDEX(Pengaturan!$B$8:$B$27,B$4)="",0,COUNTIF(Data!$B354:$U354,INDEX(Pengaturan!$B$8:$B$27,B$4)))</f>
        <v>0</v>
      </c>
      <c r="C354" s="26" t="n">
        <f aca="false">IF(INDEX(Pengaturan!$B$8:$B$27,C$4)="",0,COUNTIF(Data!$B354:$U354,INDEX(Pengaturan!$B$8:$B$27,C$4)))</f>
        <v>0</v>
      </c>
      <c r="D354" s="26" t="n">
        <f aca="false">IF(INDEX(Pengaturan!$B$8:$B$27,D$4)="",0,COUNTIF(Data!$B354:$U354,INDEX(Pengaturan!$B$8:$B$27,D$4)))</f>
        <v>0</v>
      </c>
      <c r="E354" s="26" t="n">
        <f aca="false">IF(INDEX(Pengaturan!$B$8:$B$27,E$4)="",0,COUNTIF(Data!$B354:$U354,INDEX(Pengaturan!$B$8:$B$27,E$4)))</f>
        <v>0</v>
      </c>
      <c r="F354" s="26" t="n">
        <f aca="false">IF(INDEX(Pengaturan!$B$8:$B$27,F$4)="",0,COUNTIF(Data!$B354:$U354,INDEX(Pengaturan!$B$8:$B$27,F$4)))</f>
        <v>0</v>
      </c>
      <c r="G354" s="26" t="n">
        <f aca="false">IF(INDEX(Pengaturan!$B$8:$B$27,G$4)="",0,COUNTIF(Data!$B354:$U354,INDEX(Pengaturan!$B$8:$B$27,G$4)))</f>
        <v>0</v>
      </c>
      <c r="H354" s="26" t="n">
        <f aca="false">IF(INDEX(Pengaturan!$B$8:$B$27,H$4)="",0,COUNTIF(Data!$B354:$U354,INDEX(Pengaturan!$B$8:$B$27,H$4)))</f>
        <v>0</v>
      </c>
      <c r="I354" s="26" t="n">
        <f aca="false">IF(INDEX(Pengaturan!$B$8:$B$27,I$4)="",0,COUNTIF(Data!$B354:$U354,INDEX(Pengaturan!$B$8:$B$27,I$4)))</f>
        <v>0</v>
      </c>
      <c r="J354" s="26" t="n">
        <f aca="false">IF(INDEX(Pengaturan!$B$8:$B$27,J$4)="",0,COUNTIF(Data!$B354:$U354,INDEX(Pengaturan!$B$8:$B$27,J$4)))</f>
        <v>0</v>
      </c>
      <c r="K354" s="26" t="n">
        <f aca="false">IF(INDEX(Pengaturan!$B$8:$B$27,K$4)="",0,COUNTIF(Data!$B354:$U354,INDEX(Pengaturan!$B$8:$B$27,K$4)))</f>
        <v>0</v>
      </c>
      <c r="L354" s="26" t="n">
        <f aca="false">IF(INDEX(Pengaturan!$B$8:$B$27,L$4)="",0,COUNTIF(Data!$B354:$U354,INDEX(Pengaturan!$B$8:$B$27,L$4)))</f>
        <v>0</v>
      </c>
      <c r="M354" s="26" t="n">
        <f aca="false">IF(INDEX(Pengaturan!$B$8:$B$27,M$4)="",0,COUNTIF(Data!$B354:$U354,INDEX(Pengaturan!$B$8:$B$27,M$4)))</f>
        <v>0</v>
      </c>
      <c r="N354" s="26" t="n">
        <f aca="false">IF(INDEX(Pengaturan!$B$8:$B$27,N$4)="",0,COUNTIF(Data!$B354:$U354,INDEX(Pengaturan!$B$8:$B$27,N$4)))</f>
        <v>0</v>
      </c>
      <c r="O354" s="26" t="n">
        <f aca="false">IF(INDEX(Pengaturan!$B$8:$B$27,O$4)="",0,COUNTIF(Data!$B354:$U354,INDEX(Pengaturan!$B$8:$B$27,O$4)))</f>
        <v>0</v>
      </c>
      <c r="P354" s="26" t="n">
        <f aca="false">IF(INDEX(Pengaturan!$B$8:$B$27,P$4)="",0,COUNTIF(Data!$B354:$U354,INDEX(Pengaturan!$B$8:$B$27,P$4)))</f>
        <v>0</v>
      </c>
      <c r="Q354" s="26" t="n">
        <f aca="false">IF(INDEX(Pengaturan!$B$8:$B$27,Q$4)="",0,COUNTIF(Data!$B354:$U354,INDEX(Pengaturan!$B$8:$B$27,Q$4)))</f>
        <v>0</v>
      </c>
      <c r="R354" s="26" t="n">
        <f aca="false">IF(INDEX(Pengaturan!$B$8:$B$27,R$4)="",0,COUNTIF(Data!$B354:$U354,INDEX(Pengaturan!$B$8:$B$27,R$4)))</f>
        <v>0</v>
      </c>
      <c r="S354" s="26" t="n">
        <f aca="false">IF(INDEX(Pengaturan!$B$8:$B$27,S$4)="",0,COUNTIF(Data!$B354:$U354,INDEX(Pengaturan!$B$8:$B$27,S$4)))</f>
        <v>0</v>
      </c>
      <c r="T354" s="26" t="n">
        <f aca="false">IF(INDEX(Pengaturan!$B$8:$B$27,T$4)="",0,COUNTIF(Data!$B354:$U354,INDEX(Pengaturan!$B$8:$B$27,T$4)))</f>
        <v>0</v>
      </c>
      <c r="U354" s="26" t="n">
        <f aca="false">IF(INDEX(Pengaturan!$B$8:$B$27,U$4)="",0,COUNTIF(Data!$B354:$U354,INDEX(Pengaturan!$B$8:$B$27,U$4)))</f>
        <v>0</v>
      </c>
      <c r="V354" s="26" t="n">
        <f aca="false">COUNTA(Data!$B354:$U354)</f>
        <v>0</v>
      </c>
      <c r="W354" s="27" t="str">
        <f aca="false">IF(V354=0,"",IF(V354&lt;&gt;Hasil!$C$4,"Data kosong/tidak lengkap",IF(SUM(B354:U354)&lt;&gt;V354,"Kategori tidak dikenal","OK")))</f>
        <v/>
      </c>
      <c r="X354" s="26" t="n">
        <f aca="false">IF(OR(W354="",W354="OK"),0,1)</f>
        <v>0</v>
      </c>
    </row>
    <row r="355" customFormat="false" ht="15" hidden="false" customHeight="false" outlineLevel="0" collapsed="false">
      <c r="A355" s="26" t="n">
        <f aca="false">Data!A355</f>
        <v>350</v>
      </c>
      <c r="B355" s="26" t="n">
        <f aca="false">IF(INDEX(Pengaturan!$B$8:$B$27,B$4)="",0,COUNTIF(Data!$B355:$U355,INDEX(Pengaturan!$B$8:$B$27,B$4)))</f>
        <v>0</v>
      </c>
      <c r="C355" s="26" t="n">
        <f aca="false">IF(INDEX(Pengaturan!$B$8:$B$27,C$4)="",0,COUNTIF(Data!$B355:$U355,INDEX(Pengaturan!$B$8:$B$27,C$4)))</f>
        <v>0</v>
      </c>
      <c r="D355" s="26" t="n">
        <f aca="false">IF(INDEX(Pengaturan!$B$8:$B$27,D$4)="",0,COUNTIF(Data!$B355:$U355,INDEX(Pengaturan!$B$8:$B$27,D$4)))</f>
        <v>0</v>
      </c>
      <c r="E355" s="26" t="n">
        <f aca="false">IF(INDEX(Pengaturan!$B$8:$B$27,E$4)="",0,COUNTIF(Data!$B355:$U355,INDEX(Pengaturan!$B$8:$B$27,E$4)))</f>
        <v>0</v>
      </c>
      <c r="F355" s="26" t="n">
        <f aca="false">IF(INDEX(Pengaturan!$B$8:$B$27,F$4)="",0,COUNTIF(Data!$B355:$U355,INDEX(Pengaturan!$B$8:$B$27,F$4)))</f>
        <v>0</v>
      </c>
      <c r="G355" s="26" t="n">
        <f aca="false">IF(INDEX(Pengaturan!$B$8:$B$27,G$4)="",0,COUNTIF(Data!$B355:$U355,INDEX(Pengaturan!$B$8:$B$27,G$4)))</f>
        <v>0</v>
      </c>
      <c r="H355" s="26" t="n">
        <f aca="false">IF(INDEX(Pengaturan!$B$8:$B$27,H$4)="",0,COUNTIF(Data!$B355:$U355,INDEX(Pengaturan!$B$8:$B$27,H$4)))</f>
        <v>0</v>
      </c>
      <c r="I355" s="26" t="n">
        <f aca="false">IF(INDEX(Pengaturan!$B$8:$B$27,I$4)="",0,COUNTIF(Data!$B355:$U355,INDEX(Pengaturan!$B$8:$B$27,I$4)))</f>
        <v>0</v>
      </c>
      <c r="J355" s="26" t="n">
        <f aca="false">IF(INDEX(Pengaturan!$B$8:$B$27,J$4)="",0,COUNTIF(Data!$B355:$U355,INDEX(Pengaturan!$B$8:$B$27,J$4)))</f>
        <v>0</v>
      </c>
      <c r="K355" s="26" t="n">
        <f aca="false">IF(INDEX(Pengaturan!$B$8:$B$27,K$4)="",0,COUNTIF(Data!$B355:$U355,INDEX(Pengaturan!$B$8:$B$27,K$4)))</f>
        <v>0</v>
      </c>
      <c r="L355" s="26" t="n">
        <f aca="false">IF(INDEX(Pengaturan!$B$8:$B$27,L$4)="",0,COUNTIF(Data!$B355:$U355,INDEX(Pengaturan!$B$8:$B$27,L$4)))</f>
        <v>0</v>
      </c>
      <c r="M355" s="26" t="n">
        <f aca="false">IF(INDEX(Pengaturan!$B$8:$B$27,M$4)="",0,COUNTIF(Data!$B355:$U355,INDEX(Pengaturan!$B$8:$B$27,M$4)))</f>
        <v>0</v>
      </c>
      <c r="N355" s="26" t="n">
        <f aca="false">IF(INDEX(Pengaturan!$B$8:$B$27,N$4)="",0,COUNTIF(Data!$B355:$U355,INDEX(Pengaturan!$B$8:$B$27,N$4)))</f>
        <v>0</v>
      </c>
      <c r="O355" s="26" t="n">
        <f aca="false">IF(INDEX(Pengaturan!$B$8:$B$27,O$4)="",0,COUNTIF(Data!$B355:$U355,INDEX(Pengaturan!$B$8:$B$27,O$4)))</f>
        <v>0</v>
      </c>
      <c r="P355" s="26" t="n">
        <f aca="false">IF(INDEX(Pengaturan!$B$8:$B$27,P$4)="",0,COUNTIF(Data!$B355:$U355,INDEX(Pengaturan!$B$8:$B$27,P$4)))</f>
        <v>0</v>
      </c>
      <c r="Q355" s="26" t="n">
        <f aca="false">IF(INDEX(Pengaturan!$B$8:$B$27,Q$4)="",0,COUNTIF(Data!$B355:$U355,INDEX(Pengaturan!$B$8:$B$27,Q$4)))</f>
        <v>0</v>
      </c>
      <c r="R355" s="26" t="n">
        <f aca="false">IF(INDEX(Pengaturan!$B$8:$B$27,R$4)="",0,COUNTIF(Data!$B355:$U355,INDEX(Pengaturan!$B$8:$B$27,R$4)))</f>
        <v>0</v>
      </c>
      <c r="S355" s="26" t="n">
        <f aca="false">IF(INDEX(Pengaturan!$B$8:$B$27,S$4)="",0,COUNTIF(Data!$B355:$U355,INDEX(Pengaturan!$B$8:$B$27,S$4)))</f>
        <v>0</v>
      </c>
      <c r="T355" s="26" t="n">
        <f aca="false">IF(INDEX(Pengaturan!$B$8:$B$27,T$4)="",0,COUNTIF(Data!$B355:$U355,INDEX(Pengaturan!$B$8:$B$27,T$4)))</f>
        <v>0</v>
      </c>
      <c r="U355" s="26" t="n">
        <f aca="false">IF(INDEX(Pengaturan!$B$8:$B$27,U$4)="",0,COUNTIF(Data!$B355:$U355,INDEX(Pengaturan!$B$8:$B$27,U$4)))</f>
        <v>0</v>
      </c>
      <c r="V355" s="26" t="n">
        <f aca="false">COUNTA(Data!$B355:$U355)</f>
        <v>0</v>
      </c>
      <c r="W355" s="27" t="str">
        <f aca="false">IF(V355=0,"",IF(V355&lt;&gt;Hasil!$C$4,"Data kosong/tidak lengkap",IF(SUM(B355:U355)&lt;&gt;V355,"Kategori tidak dikenal","OK")))</f>
        <v/>
      </c>
      <c r="X355" s="26" t="n">
        <f aca="false">IF(OR(W355="",W355="OK"),0,1)</f>
        <v>0</v>
      </c>
    </row>
    <row r="356" customFormat="false" ht="15" hidden="false" customHeight="false" outlineLevel="0" collapsed="false">
      <c r="A356" s="26" t="n">
        <f aca="false">Data!A356</f>
        <v>351</v>
      </c>
      <c r="B356" s="26" t="n">
        <f aca="false">IF(INDEX(Pengaturan!$B$8:$B$27,B$4)="",0,COUNTIF(Data!$B356:$U356,INDEX(Pengaturan!$B$8:$B$27,B$4)))</f>
        <v>0</v>
      </c>
      <c r="C356" s="26" t="n">
        <f aca="false">IF(INDEX(Pengaturan!$B$8:$B$27,C$4)="",0,COUNTIF(Data!$B356:$U356,INDEX(Pengaturan!$B$8:$B$27,C$4)))</f>
        <v>0</v>
      </c>
      <c r="D356" s="26" t="n">
        <f aca="false">IF(INDEX(Pengaturan!$B$8:$B$27,D$4)="",0,COUNTIF(Data!$B356:$U356,INDEX(Pengaturan!$B$8:$B$27,D$4)))</f>
        <v>0</v>
      </c>
      <c r="E356" s="26" t="n">
        <f aca="false">IF(INDEX(Pengaturan!$B$8:$B$27,E$4)="",0,COUNTIF(Data!$B356:$U356,INDEX(Pengaturan!$B$8:$B$27,E$4)))</f>
        <v>0</v>
      </c>
      <c r="F356" s="26" t="n">
        <f aca="false">IF(INDEX(Pengaturan!$B$8:$B$27,F$4)="",0,COUNTIF(Data!$B356:$U356,INDEX(Pengaturan!$B$8:$B$27,F$4)))</f>
        <v>0</v>
      </c>
      <c r="G356" s="26" t="n">
        <f aca="false">IF(INDEX(Pengaturan!$B$8:$B$27,G$4)="",0,COUNTIF(Data!$B356:$U356,INDEX(Pengaturan!$B$8:$B$27,G$4)))</f>
        <v>0</v>
      </c>
      <c r="H356" s="26" t="n">
        <f aca="false">IF(INDEX(Pengaturan!$B$8:$B$27,H$4)="",0,COUNTIF(Data!$B356:$U356,INDEX(Pengaturan!$B$8:$B$27,H$4)))</f>
        <v>0</v>
      </c>
      <c r="I356" s="26" t="n">
        <f aca="false">IF(INDEX(Pengaturan!$B$8:$B$27,I$4)="",0,COUNTIF(Data!$B356:$U356,INDEX(Pengaturan!$B$8:$B$27,I$4)))</f>
        <v>0</v>
      </c>
      <c r="J356" s="26" t="n">
        <f aca="false">IF(INDEX(Pengaturan!$B$8:$B$27,J$4)="",0,COUNTIF(Data!$B356:$U356,INDEX(Pengaturan!$B$8:$B$27,J$4)))</f>
        <v>0</v>
      </c>
      <c r="K356" s="26" t="n">
        <f aca="false">IF(INDEX(Pengaturan!$B$8:$B$27,K$4)="",0,COUNTIF(Data!$B356:$U356,INDEX(Pengaturan!$B$8:$B$27,K$4)))</f>
        <v>0</v>
      </c>
      <c r="L356" s="26" t="n">
        <f aca="false">IF(INDEX(Pengaturan!$B$8:$B$27,L$4)="",0,COUNTIF(Data!$B356:$U356,INDEX(Pengaturan!$B$8:$B$27,L$4)))</f>
        <v>0</v>
      </c>
      <c r="M356" s="26" t="n">
        <f aca="false">IF(INDEX(Pengaturan!$B$8:$B$27,M$4)="",0,COUNTIF(Data!$B356:$U356,INDEX(Pengaturan!$B$8:$B$27,M$4)))</f>
        <v>0</v>
      </c>
      <c r="N356" s="26" t="n">
        <f aca="false">IF(INDEX(Pengaturan!$B$8:$B$27,N$4)="",0,COUNTIF(Data!$B356:$U356,INDEX(Pengaturan!$B$8:$B$27,N$4)))</f>
        <v>0</v>
      </c>
      <c r="O356" s="26" t="n">
        <f aca="false">IF(INDEX(Pengaturan!$B$8:$B$27,O$4)="",0,COUNTIF(Data!$B356:$U356,INDEX(Pengaturan!$B$8:$B$27,O$4)))</f>
        <v>0</v>
      </c>
      <c r="P356" s="26" t="n">
        <f aca="false">IF(INDEX(Pengaturan!$B$8:$B$27,P$4)="",0,COUNTIF(Data!$B356:$U356,INDEX(Pengaturan!$B$8:$B$27,P$4)))</f>
        <v>0</v>
      </c>
      <c r="Q356" s="26" t="n">
        <f aca="false">IF(INDEX(Pengaturan!$B$8:$B$27,Q$4)="",0,COUNTIF(Data!$B356:$U356,INDEX(Pengaturan!$B$8:$B$27,Q$4)))</f>
        <v>0</v>
      </c>
      <c r="R356" s="26" t="n">
        <f aca="false">IF(INDEX(Pengaturan!$B$8:$B$27,R$4)="",0,COUNTIF(Data!$B356:$U356,INDEX(Pengaturan!$B$8:$B$27,R$4)))</f>
        <v>0</v>
      </c>
      <c r="S356" s="26" t="n">
        <f aca="false">IF(INDEX(Pengaturan!$B$8:$B$27,S$4)="",0,COUNTIF(Data!$B356:$U356,INDEX(Pengaturan!$B$8:$B$27,S$4)))</f>
        <v>0</v>
      </c>
      <c r="T356" s="26" t="n">
        <f aca="false">IF(INDEX(Pengaturan!$B$8:$B$27,T$4)="",0,COUNTIF(Data!$B356:$U356,INDEX(Pengaturan!$B$8:$B$27,T$4)))</f>
        <v>0</v>
      </c>
      <c r="U356" s="26" t="n">
        <f aca="false">IF(INDEX(Pengaturan!$B$8:$B$27,U$4)="",0,COUNTIF(Data!$B356:$U356,INDEX(Pengaturan!$B$8:$B$27,U$4)))</f>
        <v>0</v>
      </c>
      <c r="V356" s="26" t="n">
        <f aca="false">COUNTA(Data!$B356:$U356)</f>
        <v>0</v>
      </c>
      <c r="W356" s="27" t="str">
        <f aca="false">IF(V356=0,"",IF(V356&lt;&gt;Hasil!$C$4,"Data kosong/tidak lengkap",IF(SUM(B356:U356)&lt;&gt;V356,"Kategori tidak dikenal","OK")))</f>
        <v/>
      </c>
      <c r="X356" s="26" t="n">
        <f aca="false">IF(OR(W356="",W356="OK"),0,1)</f>
        <v>0</v>
      </c>
    </row>
    <row r="357" customFormat="false" ht="15" hidden="false" customHeight="false" outlineLevel="0" collapsed="false">
      <c r="A357" s="26" t="n">
        <f aca="false">Data!A357</f>
        <v>352</v>
      </c>
      <c r="B357" s="26" t="n">
        <f aca="false">IF(INDEX(Pengaturan!$B$8:$B$27,B$4)="",0,COUNTIF(Data!$B357:$U357,INDEX(Pengaturan!$B$8:$B$27,B$4)))</f>
        <v>0</v>
      </c>
      <c r="C357" s="26" t="n">
        <f aca="false">IF(INDEX(Pengaturan!$B$8:$B$27,C$4)="",0,COUNTIF(Data!$B357:$U357,INDEX(Pengaturan!$B$8:$B$27,C$4)))</f>
        <v>0</v>
      </c>
      <c r="D357" s="26" t="n">
        <f aca="false">IF(INDEX(Pengaturan!$B$8:$B$27,D$4)="",0,COUNTIF(Data!$B357:$U357,INDEX(Pengaturan!$B$8:$B$27,D$4)))</f>
        <v>0</v>
      </c>
      <c r="E357" s="26" t="n">
        <f aca="false">IF(INDEX(Pengaturan!$B$8:$B$27,E$4)="",0,COUNTIF(Data!$B357:$U357,INDEX(Pengaturan!$B$8:$B$27,E$4)))</f>
        <v>0</v>
      </c>
      <c r="F357" s="26" t="n">
        <f aca="false">IF(INDEX(Pengaturan!$B$8:$B$27,F$4)="",0,COUNTIF(Data!$B357:$U357,INDEX(Pengaturan!$B$8:$B$27,F$4)))</f>
        <v>0</v>
      </c>
      <c r="G357" s="26" t="n">
        <f aca="false">IF(INDEX(Pengaturan!$B$8:$B$27,G$4)="",0,COUNTIF(Data!$B357:$U357,INDEX(Pengaturan!$B$8:$B$27,G$4)))</f>
        <v>0</v>
      </c>
      <c r="H357" s="26" t="n">
        <f aca="false">IF(INDEX(Pengaturan!$B$8:$B$27,H$4)="",0,COUNTIF(Data!$B357:$U357,INDEX(Pengaturan!$B$8:$B$27,H$4)))</f>
        <v>0</v>
      </c>
      <c r="I357" s="26" t="n">
        <f aca="false">IF(INDEX(Pengaturan!$B$8:$B$27,I$4)="",0,COUNTIF(Data!$B357:$U357,INDEX(Pengaturan!$B$8:$B$27,I$4)))</f>
        <v>0</v>
      </c>
      <c r="J357" s="26" t="n">
        <f aca="false">IF(INDEX(Pengaturan!$B$8:$B$27,J$4)="",0,COUNTIF(Data!$B357:$U357,INDEX(Pengaturan!$B$8:$B$27,J$4)))</f>
        <v>0</v>
      </c>
      <c r="K357" s="26" t="n">
        <f aca="false">IF(INDEX(Pengaturan!$B$8:$B$27,K$4)="",0,COUNTIF(Data!$B357:$U357,INDEX(Pengaturan!$B$8:$B$27,K$4)))</f>
        <v>0</v>
      </c>
      <c r="L357" s="26" t="n">
        <f aca="false">IF(INDEX(Pengaturan!$B$8:$B$27,L$4)="",0,COUNTIF(Data!$B357:$U357,INDEX(Pengaturan!$B$8:$B$27,L$4)))</f>
        <v>0</v>
      </c>
      <c r="M357" s="26" t="n">
        <f aca="false">IF(INDEX(Pengaturan!$B$8:$B$27,M$4)="",0,COUNTIF(Data!$B357:$U357,INDEX(Pengaturan!$B$8:$B$27,M$4)))</f>
        <v>0</v>
      </c>
      <c r="N357" s="26" t="n">
        <f aca="false">IF(INDEX(Pengaturan!$B$8:$B$27,N$4)="",0,COUNTIF(Data!$B357:$U357,INDEX(Pengaturan!$B$8:$B$27,N$4)))</f>
        <v>0</v>
      </c>
      <c r="O357" s="26" t="n">
        <f aca="false">IF(INDEX(Pengaturan!$B$8:$B$27,O$4)="",0,COUNTIF(Data!$B357:$U357,INDEX(Pengaturan!$B$8:$B$27,O$4)))</f>
        <v>0</v>
      </c>
      <c r="P357" s="26" t="n">
        <f aca="false">IF(INDEX(Pengaturan!$B$8:$B$27,P$4)="",0,COUNTIF(Data!$B357:$U357,INDEX(Pengaturan!$B$8:$B$27,P$4)))</f>
        <v>0</v>
      </c>
      <c r="Q357" s="26" t="n">
        <f aca="false">IF(INDEX(Pengaturan!$B$8:$B$27,Q$4)="",0,COUNTIF(Data!$B357:$U357,INDEX(Pengaturan!$B$8:$B$27,Q$4)))</f>
        <v>0</v>
      </c>
      <c r="R357" s="26" t="n">
        <f aca="false">IF(INDEX(Pengaturan!$B$8:$B$27,R$4)="",0,COUNTIF(Data!$B357:$U357,INDEX(Pengaturan!$B$8:$B$27,R$4)))</f>
        <v>0</v>
      </c>
      <c r="S357" s="26" t="n">
        <f aca="false">IF(INDEX(Pengaturan!$B$8:$B$27,S$4)="",0,COUNTIF(Data!$B357:$U357,INDEX(Pengaturan!$B$8:$B$27,S$4)))</f>
        <v>0</v>
      </c>
      <c r="T357" s="26" t="n">
        <f aca="false">IF(INDEX(Pengaturan!$B$8:$B$27,T$4)="",0,COUNTIF(Data!$B357:$U357,INDEX(Pengaturan!$B$8:$B$27,T$4)))</f>
        <v>0</v>
      </c>
      <c r="U357" s="26" t="n">
        <f aca="false">IF(INDEX(Pengaturan!$B$8:$B$27,U$4)="",0,COUNTIF(Data!$B357:$U357,INDEX(Pengaturan!$B$8:$B$27,U$4)))</f>
        <v>0</v>
      </c>
      <c r="V357" s="26" t="n">
        <f aca="false">COUNTA(Data!$B357:$U357)</f>
        <v>0</v>
      </c>
      <c r="W357" s="27" t="str">
        <f aca="false">IF(V357=0,"",IF(V357&lt;&gt;Hasil!$C$4,"Data kosong/tidak lengkap",IF(SUM(B357:U357)&lt;&gt;V357,"Kategori tidak dikenal","OK")))</f>
        <v/>
      </c>
      <c r="X357" s="26" t="n">
        <f aca="false">IF(OR(W357="",W357="OK"),0,1)</f>
        <v>0</v>
      </c>
    </row>
    <row r="358" customFormat="false" ht="15" hidden="false" customHeight="false" outlineLevel="0" collapsed="false">
      <c r="A358" s="26" t="n">
        <f aca="false">Data!A358</f>
        <v>353</v>
      </c>
      <c r="B358" s="26" t="n">
        <f aca="false">IF(INDEX(Pengaturan!$B$8:$B$27,B$4)="",0,COUNTIF(Data!$B358:$U358,INDEX(Pengaturan!$B$8:$B$27,B$4)))</f>
        <v>0</v>
      </c>
      <c r="C358" s="26" t="n">
        <f aca="false">IF(INDEX(Pengaturan!$B$8:$B$27,C$4)="",0,COUNTIF(Data!$B358:$U358,INDEX(Pengaturan!$B$8:$B$27,C$4)))</f>
        <v>0</v>
      </c>
      <c r="D358" s="26" t="n">
        <f aca="false">IF(INDEX(Pengaturan!$B$8:$B$27,D$4)="",0,COUNTIF(Data!$B358:$U358,INDEX(Pengaturan!$B$8:$B$27,D$4)))</f>
        <v>0</v>
      </c>
      <c r="E358" s="26" t="n">
        <f aca="false">IF(INDEX(Pengaturan!$B$8:$B$27,E$4)="",0,COUNTIF(Data!$B358:$U358,INDEX(Pengaturan!$B$8:$B$27,E$4)))</f>
        <v>0</v>
      </c>
      <c r="F358" s="26" t="n">
        <f aca="false">IF(INDEX(Pengaturan!$B$8:$B$27,F$4)="",0,COUNTIF(Data!$B358:$U358,INDEX(Pengaturan!$B$8:$B$27,F$4)))</f>
        <v>0</v>
      </c>
      <c r="G358" s="26" t="n">
        <f aca="false">IF(INDEX(Pengaturan!$B$8:$B$27,G$4)="",0,COUNTIF(Data!$B358:$U358,INDEX(Pengaturan!$B$8:$B$27,G$4)))</f>
        <v>0</v>
      </c>
      <c r="H358" s="26" t="n">
        <f aca="false">IF(INDEX(Pengaturan!$B$8:$B$27,H$4)="",0,COUNTIF(Data!$B358:$U358,INDEX(Pengaturan!$B$8:$B$27,H$4)))</f>
        <v>0</v>
      </c>
      <c r="I358" s="26" t="n">
        <f aca="false">IF(INDEX(Pengaturan!$B$8:$B$27,I$4)="",0,COUNTIF(Data!$B358:$U358,INDEX(Pengaturan!$B$8:$B$27,I$4)))</f>
        <v>0</v>
      </c>
      <c r="J358" s="26" t="n">
        <f aca="false">IF(INDEX(Pengaturan!$B$8:$B$27,J$4)="",0,COUNTIF(Data!$B358:$U358,INDEX(Pengaturan!$B$8:$B$27,J$4)))</f>
        <v>0</v>
      </c>
      <c r="K358" s="26" t="n">
        <f aca="false">IF(INDEX(Pengaturan!$B$8:$B$27,K$4)="",0,COUNTIF(Data!$B358:$U358,INDEX(Pengaturan!$B$8:$B$27,K$4)))</f>
        <v>0</v>
      </c>
      <c r="L358" s="26" t="n">
        <f aca="false">IF(INDEX(Pengaturan!$B$8:$B$27,L$4)="",0,COUNTIF(Data!$B358:$U358,INDEX(Pengaturan!$B$8:$B$27,L$4)))</f>
        <v>0</v>
      </c>
      <c r="M358" s="26" t="n">
        <f aca="false">IF(INDEX(Pengaturan!$B$8:$B$27,M$4)="",0,COUNTIF(Data!$B358:$U358,INDEX(Pengaturan!$B$8:$B$27,M$4)))</f>
        <v>0</v>
      </c>
      <c r="N358" s="26" t="n">
        <f aca="false">IF(INDEX(Pengaturan!$B$8:$B$27,N$4)="",0,COUNTIF(Data!$B358:$U358,INDEX(Pengaturan!$B$8:$B$27,N$4)))</f>
        <v>0</v>
      </c>
      <c r="O358" s="26" t="n">
        <f aca="false">IF(INDEX(Pengaturan!$B$8:$B$27,O$4)="",0,COUNTIF(Data!$B358:$U358,INDEX(Pengaturan!$B$8:$B$27,O$4)))</f>
        <v>0</v>
      </c>
      <c r="P358" s="26" t="n">
        <f aca="false">IF(INDEX(Pengaturan!$B$8:$B$27,P$4)="",0,COUNTIF(Data!$B358:$U358,INDEX(Pengaturan!$B$8:$B$27,P$4)))</f>
        <v>0</v>
      </c>
      <c r="Q358" s="26" t="n">
        <f aca="false">IF(INDEX(Pengaturan!$B$8:$B$27,Q$4)="",0,COUNTIF(Data!$B358:$U358,INDEX(Pengaturan!$B$8:$B$27,Q$4)))</f>
        <v>0</v>
      </c>
      <c r="R358" s="26" t="n">
        <f aca="false">IF(INDEX(Pengaturan!$B$8:$B$27,R$4)="",0,COUNTIF(Data!$B358:$U358,INDEX(Pengaturan!$B$8:$B$27,R$4)))</f>
        <v>0</v>
      </c>
      <c r="S358" s="26" t="n">
        <f aca="false">IF(INDEX(Pengaturan!$B$8:$B$27,S$4)="",0,COUNTIF(Data!$B358:$U358,INDEX(Pengaturan!$B$8:$B$27,S$4)))</f>
        <v>0</v>
      </c>
      <c r="T358" s="26" t="n">
        <f aca="false">IF(INDEX(Pengaturan!$B$8:$B$27,T$4)="",0,COUNTIF(Data!$B358:$U358,INDEX(Pengaturan!$B$8:$B$27,T$4)))</f>
        <v>0</v>
      </c>
      <c r="U358" s="26" t="n">
        <f aca="false">IF(INDEX(Pengaturan!$B$8:$B$27,U$4)="",0,COUNTIF(Data!$B358:$U358,INDEX(Pengaturan!$B$8:$B$27,U$4)))</f>
        <v>0</v>
      </c>
      <c r="V358" s="26" t="n">
        <f aca="false">COUNTA(Data!$B358:$U358)</f>
        <v>0</v>
      </c>
      <c r="W358" s="27" t="str">
        <f aca="false">IF(V358=0,"",IF(V358&lt;&gt;Hasil!$C$4,"Data kosong/tidak lengkap",IF(SUM(B358:U358)&lt;&gt;V358,"Kategori tidak dikenal","OK")))</f>
        <v/>
      </c>
      <c r="X358" s="26" t="n">
        <f aca="false">IF(OR(W358="",W358="OK"),0,1)</f>
        <v>0</v>
      </c>
    </row>
    <row r="359" customFormat="false" ht="15" hidden="false" customHeight="false" outlineLevel="0" collapsed="false">
      <c r="A359" s="26" t="n">
        <f aca="false">Data!A359</f>
        <v>354</v>
      </c>
      <c r="B359" s="26" t="n">
        <f aca="false">IF(INDEX(Pengaturan!$B$8:$B$27,B$4)="",0,COUNTIF(Data!$B359:$U359,INDEX(Pengaturan!$B$8:$B$27,B$4)))</f>
        <v>0</v>
      </c>
      <c r="C359" s="26" t="n">
        <f aca="false">IF(INDEX(Pengaturan!$B$8:$B$27,C$4)="",0,COUNTIF(Data!$B359:$U359,INDEX(Pengaturan!$B$8:$B$27,C$4)))</f>
        <v>0</v>
      </c>
      <c r="D359" s="26" t="n">
        <f aca="false">IF(INDEX(Pengaturan!$B$8:$B$27,D$4)="",0,COUNTIF(Data!$B359:$U359,INDEX(Pengaturan!$B$8:$B$27,D$4)))</f>
        <v>0</v>
      </c>
      <c r="E359" s="26" t="n">
        <f aca="false">IF(INDEX(Pengaturan!$B$8:$B$27,E$4)="",0,COUNTIF(Data!$B359:$U359,INDEX(Pengaturan!$B$8:$B$27,E$4)))</f>
        <v>0</v>
      </c>
      <c r="F359" s="26" t="n">
        <f aca="false">IF(INDEX(Pengaturan!$B$8:$B$27,F$4)="",0,COUNTIF(Data!$B359:$U359,INDEX(Pengaturan!$B$8:$B$27,F$4)))</f>
        <v>0</v>
      </c>
      <c r="G359" s="26" t="n">
        <f aca="false">IF(INDEX(Pengaturan!$B$8:$B$27,G$4)="",0,COUNTIF(Data!$B359:$U359,INDEX(Pengaturan!$B$8:$B$27,G$4)))</f>
        <v>0</v>
      </c>
      <c r="H359" s="26" t="n">
        <f aca="false">IF(INDEX(Pengaturan!$B$8:$B$27,H$4)="",0,COUNTIF(Data!$B359:$U359,INDEX(Pengaturan!$B$8:$B$27,H$4)))</f>
        <v>0</v>
      </c>
      <c r="I359" s="26" t="n">
        <f aca="false">IF(INDEX(Pengaturan!$B$8:$B$27,I$4)="",0,COUNTIF(Data!$B359:$U359,INDEX(Pengaturan!$B$8:$B$27,I$4)))</f>
        <v>0</v>
      </c>
      <c r="J359" s="26" t="n">
        <f aca="false">IF(INDEX(Pengaturan!$B$8:$B$27,J$4)="",0,COUNTIF(Data!$B359:$U359,INDEX(Pengaturan!$B$8:$B$27,J$4)))</f>
        <v>0</v>
      </c>
      <c r="K359" s="26" t="n">
        <f aca="false">IF(INDEX(Pengaturan!$B$8:$B$27,K$4)="",0,COUNTIF(Data!$B359:$U359,INDEX(Pengaturan!$B$8:$B$27,K$4)))</f>
        <v>0</v>
      </c>
      <c r="L359" s="26" t="n">
        <f aca="false">IF(INDEX(Pengaturan!$B$8:$B$27,L$4)="",0,COUNTIF(Data!$B359:$U359,INDEX(Pengaturan!$B$8:$B$27,L$4)))</f>
        <v>0</v>
      </c>
      <c r="M359" s="26" t="n">
        <f aca="false">IF(INDEX(Pengaturan!$B$8:$B$27,M$4)="",0,COUNTIF(Data!$B359:$U359,INDEX(Pengaturan!$B$8:$B$27,M$4)))</f>
        <v>0</v>
      </c>
      <c r="N359" s="26" t="n">
        <f aca="false">IF(INDEX(Pengaturan!$B$8:$B$27,N$4)="",0,COUNTIF(Data!$B359:$U359,INDEX(Pengaturan!$B$8:$B$27,N$4)))</f>
        <v>0</v>
      </c>
      <c r="O359" s="26" t="n">
        <f aca="false">IF(INDEX(Pengaturan!$B$8:$B$27,O$4)="",0,COUNTIF(Data!$B359:$U359,INDEX(Pengaturan!$B$8:$B$27,O$4)))</f>
        <v>0</v>
      </c>
      <c r="P359" s="26" t="n">
        <f aca="false">IF(INDEX(Pengaturan!$B$8:$B$27,P$4)="",0,COUNTIF(Data!$B359:$U359,INDEX(Pengaturan!$B$8:$B$27,P$4)))</f>
        <v>0</v>
      </c>
      <c r="Q359" s="26" t="n">
        <f aca="false">IF(INDEX(Pengaturan!$B$8:$B$27,Q$4)="",0,COUNTIF(Data!$B359:$U359,INDEX(Pengaturan!$B$8:$B$27,Q$4)))</f>
        <v>0</v>
      </c>
      <c r="R359" s="26" t="n">
        <f aca="false">IF(INDEX(Pengaturan!$B$8:$B$27,R$4)="",0,COUNTIF(Data!$B359:$U359,INDEX(Pengaturan!$B$8:$B$27,R$4)))</f>
        <v>0</v>
      </c>
      <c r="S359" s="26" t="n">
        <f aca="false">IF(INDEX(Pengaturan!$B$8:$B$27,S$4)="",0,COUNTIF(Data!$B359:$U359,INDEX(Pengaturan!$B$8:$B$27,S$4)))</f>
        <v>0</v>
      </c>
      <c r="T359" s="26" t="n">
        <f aca="false">IF(INDEX(Pengaturan!$B$8:$B$27,T$4)="",0,COUNTIF(Data!$B359:$U359,INDEX(Pengaturan!$B$8:$B$27,T$4)))</f>
        <v>0</v>
      </c>
      <c r="U359" s="26" t="n">
        <f aca="false">IF(INDEX(Pengaturan!$B$8:$B$27,U$4)="",0,COUNTIF(Data!$B359:$U359,INDEX(Pengaturan!$B$8:$B$27,U$4)))</f>
        <v>0</v>
      </c>
      <c r="V359" s="26" t="n">
        <f aca="false">COUNTA(Data!$B359:$U359)</f>
        <v>0</v>
      </c>
      <c r="W359" s="27" t="str">
        <f aca="false">IF(V359=0,"",IF(V359&lt;&gt;Hasil!$C$4,"Data kosong/tidak lengkap",IF(SUM(B359:U359)&lt;&gt;V359,"Kategori tidak dikenal","OK")))</f>
        <v/>
      </c>
      <c r="X359" s="26" t="n">
        <f aca="false">IF(OR(W359="",W359="OK"),0,1)</f>
        <v>0</v>
      </c>
    </row>
    <row r="360" customFormat="false" ht="15" hidden="false" customHeight="false" outlineLevel="0" collapsed="false">
      <c r="A360" s="26" t="n">
        <f aca="false">Data!A360</f>
        <v>355</v>
      </c>
      <c r="B360" s="26" t="n">
        <f aca="false">IF(INDEX(Pengaturan!$B$8:$B$27,B$4)="",0,COUNTIF(Data!$B360:$U360,INDEX(Pengaturan!$B$8:$B$27,B$4)))</f>
        <v>0</v>
      </c>
      <c r="C360" s="26" t="n">
        <f aca="false">IF(INDEX(Pengaturan!$B$8:$B$27,C$4)="",0,COUNTIF(Data!$B360:$U360,INDEX(Pengaturan!$B$8:$B$27,C$4)))</f>
        <v>0</v>
      </c>
      <c r="D360" s="26" t="n">
        <f aca="false">IF(INDEX(Pengaturan!$B$8:$B$27,D$4)="",0,COUNTIF(Data!$B360:$U360,INDEX(Pengaturan!$B$8:$B$27,D$4)))</f>
        <v>0</v>
      </c>
      <c r="E360" s="26" t="n">
        <f aca="false">IF(INDEX(Pengaturan!$B$8:$B$27,E$4)="",0,COUNTIF(Data!$B360:$U360,INDEX(Pengaturan!$B$8:$B$27,E$4)))</f>
        <v>0</v>
      </c>
      <c r="F360" s="26" t="n">
        <f aca="false">IF(INDEX(Pengaturan!$B$8:$B$27,F$4)="",0,COUNTIF(Data!$B360:$U360,INDEX(Pengaturan!$B$8:$B$27,F$4)))</f>
        <v>0</v>
      </c>
      <c r="G360" s="26" t="n">
        <f aca="false">IF(INDEX(Pengaturan!$B$8:$B$27,G$4)="",0,COUNTIF(Data!$B360:$U360,INDEX(Pengaturan!$B$8:$B$27,G$4)))</f>
        <v>0</v>
      </c>
      <c r="H360" s="26" t="n">
        <f aca="false">IF(INDEX(Pengaturan!$B$8:$B$27,H$4)="",0,COUNTIF(Data!$B360:$U360,INDEX(Pengaturan!$B$8:$B$27,H$4)))</f>
        <v>0</v>
      </c>
      <c r="I360" s="26" t="n">
        <f aca="false">IF(INDEX(Pengaturan!$B$8:$B$27,I$4)="",0,COUNTIF(Data!$B360:$U360,INDEX(Pengaturan!$B$8:$B$27,I$4)))</f>
        <v>0</v>
      </c>
      <c r="J360" s="26" t="n">
        <f aca="false">IF(INDEX(Pengaturan!$B$8:$B$27,J$4)="",0,COUNTIF(Data!$B360:$U360,INDEX(Pengaturan!$B$8:$B$27,J$4)))</f>
        <v>0</v>
      </c>
      <c r="K360" s="26" t="n">
        <f aca="false">IF(INDEX(Pengaturan!$B$8:$B$27,K$4)="",0,COUNTIF(Data!$B360:$U360,INDEX(Pengaturan!$B$8:$B$27,K$4)))</f>
        <v>0</v>
      </c>
      <c r="L360" s="26" t="n">
        <f aca="false">IF(INDEX(Pengaturan!$B$8:$B$27,L$4)="",0,COUNTIF(Data!$B360:$U360,INDEX(Pengaturan!$B$8:$B$27,L$4)))</f>
        <v>0</v>
      </c>
      <c r="M360" s="26" t="n">
        <f aca="false">IF(INDEX(Pengaturan!$B$8:$B$27,M$4)="",0,COUNTIF(Data!$B360:$U360,INDEX(Pengaturan!$B$8:$B$27,M$4)))</f>
        <v>0</v>
      </c>
      <c r="N360" s="26" t="n">
        <f aca="false">IF(INDEX(Pengaturan!$B$8:$B$27,N$4)="",0,COUNTIF(Data!$B360:$U360,INDEX(Pengaturan!$B$8:$B$27,N$4)))</f>
        <v>0</v>
      </c>
      <c r="O360" s="26" t="n">
        <f aca="false">IF(INDEX(Pengaturan!$B$8:$B$27,O$4)="",0,COUNTIF(Data!$B360:$U360,INDEX(Pengaturan!$B$8:$B$27,O$4)))</f>
        <v>0</v>
      </c>
      <c r="P360" s="26" t="n">
        <f aca="false">IF(INDEX(Pengaturan!$B$8:$B$27,P$4)="",0,COUNTIF(Data!$B360:$U360,INDEX(Pengaturan!$B$8:$B$27,P$4)))</f>
        <v>0</v>
      </c>
      <c r="Q360" s="26" t="n">
        <f aca="false">IF(INDEX(Pengaturan!$B$8:$B$27,Q$4)="",0,COUNTIF(Data!$B360:$U360,INDEX(Pengaturan!$B$8:$B$27,Q$4)))</f>
        <v>0</v>
      </c>
      <c r="R360" s="26" t="n">
        <f aca="false">IF(INDEX(Pengaturan!$B$8:$B$27,R$4)="",0,COUNTIF(Data!$B360:$U360,INDEX(Pengaturan!$B$8:$B$27,R$4)))</f>
        <v>0</v>
      </c>
      <c r="S360" s="26" t="n">
        <f aca="false">IF(INDEX(Pengaturan!$B$8:$B$27,S$4)="",0,COUNTIF(Data!$B360:$U360,INDEX(Pengaturan!$B$8:$B$27,S$4)))</f>
        <v>0</v>
      </c>
      <c r="T360" s="26" t="n">
        <f aca="false">IF(INDEX(Pengaturan!$B$8:$B$27,T$4)="",0,COUNTIF(Data!$B360:$U360,INDEX(Pengaturan!$B$8:$B$27,T$4)))</f>
        <v>0</v>
      </c>
      <c r="U360" s="26" t="n">
        <f aca="false">IF(INDEX(Pengaturan!$B$8:$B$27,U$4)="",0,COUNTIF(Data!$B360:$U360,INDEX(Pengaturan!$B$8:$B$27,U$4)))</f>
        <v>0</v>
      </c>
      <c r="V360" s="26" t="n">
        <f aca="false">COUNTA(Data!$B360:$U360)</f>
        <v>0</v>
      </c>
      <c r="W360" s="27" t="str">
        <f aca="false">IF(V360=0,"",IF(V360&lt;&gt;Hasil!$C$4,"Data kosong/tidak lengkap",IF(SUM(B360:U360)&lt;&gt;V360,"Kategori tidak dikenal","OK")))</f>
        <v/>
      </c>
      <c r="X360" s="26" t="n">
        <f aca="false">IF(OR(W360="",W360="OK"),0,1)</f>
        <v>0</v>
      </c>
    </row>
    <row r="361" customFormat="false" ht="15" hidden="false" customHeight="false" outlineLevel="0" collapsed="false">
      <c r="A361" s="26" t="n">
        <f aca="false">Data!A361</f>
        <v>356</v>
      </c>
      <c r="B361" s="26" t="n">
        <f aca="false">IF(INDEX(Pengaturan!$B$8:$B$27,B$4)="",0,COUNTIF(Data!$B361:$U361,INDEX(Pengaturan!$B$8:$B$27,B$4)))</f>
        <v>0</v>
      </c>
      <c r="C361" s="26" t="n">
        <f aca="false">IF(INDEX(Pengaturan!$B$8:$B$27,C$4)="",0,COUNTIF(Data!$B361:$U361,INDEX(Pengaturan!$B$8:$B$27,C$4)))</f>
        <v>0</v>
      </c>
      <c r="D361" s="26" t="n">
        <f aca="false">IF(INDEX(Pengaturan!$B$8:$B$27,D$4)="",0,COUNTIF(Data!$B361:$U361,INDEX(Pengaturan!$B$8:$B$27,D$4)))</f>
        <v>0</v>
      </c>
      <c r="E361" s="26" t="n">
        <f aca="false">IF(INDEX(Pengaturan!$B$8:$B$27,E$4)="",0,COUNTIF(Data!$B361:$U361,INDEX(Pengaturan!$B$8:$B$27,E$4)))</f>
        <v>0</v>
      </c>
      <c r="F361" s="26" t="n">
        <f aca="false">IF(INDEX(Pengaturan!$B$8:$B$27,F$4)="",0,COUNTIF(Data!$B361:$U361,INDEX(Pengaturan!$B$8:$B$27,F$4)))</f>
        <v>0</v>
      </c>
      <c r="G361" s="26" t="n">
        <f aca="false">IF(INDEX(Pengaturan!$B$8:$B$27,G$4)="",0,COUNTIF(Data!$B361:$U361,INDEX(Pengaturan!$B$8:$B$27,G$4)))</f>
        <v>0</v>
      </c>
      <c r="H361" s="26" t="n">
        <f aca="false">IF(INDEX(Pengaturan!$B$8:$B$27,H$4)="",0,COUNTIF(Data!$B361:$U361,INDEX(Pengaturan!$B$8:$B$27,H$4)))</f>
        <v>0</v>
      </c>
      <c r="I361" s="26" t="n">
        <f aca="false">IF(INDEX(Pengaturan!$B$8:$B$27,I$4)="",0,COUNTIF(Data!$B361:$U361,INDEX(Pengaturan!$B$8:$B$27,I$4)))</f>
        <v>0</v>
      </c>
      <c r="J361" s="26" t="n">
        <f aca="false">IF(INDEX(Pengaturan!$B$8:$B$27,J$4)="",0,COUNTIF(Data!$B361:$U361,INDEX(Pengaturan!$B$8:$B$27,J$4)))</f>
        <v>0</v>
      </c>
      <c r="K361" s="26" t="n">
        <f aca="false">IF(INDEX(Pengaturan!$B$8:$B$27,K$4)="",0,COUNTIF(Data!$B361:$U361,INDEX(Pengaturan!$B$8:$B$27,K$4)))</f>
        <v>0</v>
      </c>
      <c r="L361" s="26" t="n">
        <f aca="false">IF(INDEX(Pengaturan!$B$8:$B$27,L$4)="",0,COUNTIF(Data!$B361:$U361,INDEX(Pengaturan!$B$8:$B$27,L$4)))</f>
        <v>0</v>
      </c>
      <c r="M361" s="26" t="n">
        <f aca="false">IF(INDEX(Pengaturan!$B$8:$B$27,M$4)="",0,COUNTIF(Data!$B361:$U361,INDEX(Pengaturan!$B$8:$B$27,M$4)))</f>
        <v>0</v>
      </c>
      <c r="N361" s="26" t="n">
        <f aca="false">IF(INDEX(Pengaturan!$B$8:$B$27,N$4)="",0,COUNTIF(Data!$B361:$U361,INDEX(Pengaturan!$B$8:$B$27,N$4)))</f>
        <v>0</v>
      </c>
      <c r="O361" s="26" t="n">
        <f aca="false">IF(INDEX(Pengaturan!$B$8:$B$27,O$4)="",0,COUNTIF(Data!$B361:$U361,INDEX(Pengaturan!$B$8:$B$27,O$4)))</f>
        <v>0</v>
      </c>
      <c r="P361" s="26" t="n">
        <f aca="false">IF(INDEX(Pengaturan!$B$8:$B$27,P$4)="",0,COUNTIF(Data!$B361:$U361,INDEX(Pengaturan!$B$8:$B$27,P$4)))</f>
        <v>0</v>
      </c>
      <c r="Q361" s="26" t="n">
        <f aca="false">IF(INDEX(Pengaturan!$B$8:$B$27,Q$4)="",0,COUNTIF(Data!$B361:$U361,INDEX(Pengaturan!$B$8:$B$27,Q$4)))</f>
        <v>0</v>
      </c>
      <c r="R361" s="26" t="n">
        <f aca="false">IF(INDEX(Pengaturan!$B$8:$B$27,R$4)="",0,COUNTIF(Data!$B361:$U361,INDEX(Pengaturan!$B$8:$B$27,R$4)))</f>
        <v>0</v>
      </c>
      <c r="S361" s="26" t="n">
        <f aca="false">IF(INDEX(Pengaturan!$B$8:$B$27,S$4)="",0,COUNTIF(Data!$B361:$U361,INDEX(Pengaturan!$B$8:$B$27,S$4)))</f>
        <v>0</v>
      </c>
      <c r="T361" s="26" t="n">
        <f aca="false">IF(INDEX(Pengaturan!$B$8:$B$27,T$4)="",0,COUNTIF(Data!$B361:$U361,INDEX(Pengaturan!$B$8:$B$27,T$4)))</f>
        <v>0</v>
      </c>
      <c r="U361" s="26" t="n">
        <f aca="false">IF(INDEX(Pengaturan!$B$8:$B$27,U$4)="",0,COUNTIF(Data!$B361:$U361,INDEX(Pengaturan!$B$8:$B$27,U$4)))</f>
        <v>0</v>
      </c>
      <c r="V361" s="26" t="n">
        <f aca="false">COUNTA(Data!$B361:$U361)</f>
        <v>0</v>
      </c>
      <c r="W361" s="27" t="str">
        <f aca="false">IF(V361=0,"",IF(V361&lt;&gt;Hasil!$C$4,"Data kosong/tidak lengkap",IF(SUM(B361:U361)&lt;&gt;V361,"Kategori tidak dikenal","OK")))</f>
        <v/>
      </c>
      <c r="X361" s="26" t="n">
        <f aca="false">IF(OR(W361="",W361="OK"),0,1)</f>
        <v>0</v>
      </c>
    </row>
    <row r="362" customFormat="false" ht="15" hidden="false" customHeight="false" outlineLevel="0" collapsed="false">
      <c r="A362" s="26" t="n">
        <f aca="false">Data!A362</f>
        <v>357</v>
      </c>
      <c r="B362" s="26" t="n">
        <f aca="false">IF(INDEX(Pengaturan!$B$8:$B$27,B$4)="",0,COUNTIF(Data!$B362:$U362,INDEX(Pengaturan!$B$8:$B$27,B$4)))</f>
        <v>0</v>
      </c>
      <c r="C362" s="26" t="n">
        <f aca="false">IF(INDEX(Pengaturan!$B$8:$B$27,C$4)="",0,COUNTIF(Data!$B362:$U362,INDEX(Pengaturan!$B$8:$B$27,C$4)))</f>
        <v>0</v>
      </c>
      <c r="D362" s="26" t="n">
        <f aca="false">IF(INDEX(Pengaturan!$B$8:$B$27,D$4)="",0,COUNTIF(Data!$B362:$U362,INDEX(Pengaturan!$B$8:$B$27,D$4)))</f>
        <v>0</v>
      </c>
      <c r="E362" s="26" t="n">
        <f aca="false">IF(INDEX(Pengaturan!$B$8:$B$27,E$4)="",0,COUNTIF(Data!$B362:$U362,INDEX(Pengaturan!$B$8:$B$27,E$4)))</f>
        <v>0</v>
      </c>
      <c r="F362" s="26" t="n">
        <f aca="false">IF(INDEX(Pengaturan!$B$8:$B$27,F$4)="",0,COUNTIF(Data!$B362:$U362,INDEX(Pengaturan!$B$8:$B$27,F$4)))</f>
        <v>0</v>
      </c>
      <c r="G362" s="26" t="n">
        <f aca="false">IF(INDEX(Pengaturan!$B$8:$B$27,G$4)="",0,COUNTIF(Data!$B362:$U362,INDEX(Pengaturan!$B$8:$B$27,G$4)))</f>
        <v>0</v>
      </c>
      <c r="H362" s="26" t="n">
        <f aca="false">IF(INDEX(Pengaturan!$B$8:$B$27,H$4)="",0,COUNTIF(Data!$B362:$U362,INDEX(Pengaturan!$B$8:$B$27,H$4)))</f>
        <v>0</v>
      </c>
      <c r="I362" s="26" t="n">
        <f aca="false">IF(INDEX(Pengaturan!$B$8:$B$27,I$4)="",0,COUNTIF(Data!$B362:$U362,INDEX(Pengaturan!$B$8:$B$27,I$4)))</f>
        <v>0</v>
      </c>
      <c r="J362" s="26" t="n">
        <f aca="false">IF(INDEX(Pengaturan!$B$8:$B$27,J$4)="",0,COUNTIF(Data!$B362:$U362,INDEX(Pengaturan!$B$8:$B$27,J$4)))</f>
        <v>0</v>
      </c>
      <c r="K362" s="26" t="n">
        <f aca="false">IF(INDEX(Pengaturan!$B$8:$B$27,K$4)="",0,COUNTIF(Data!$B362:$U362,INDEX(Pengaturan!$B$8:$B$27,K$4)))</f>
        <v>0</v>
      </c>
      <c r="L362" s="26" t="n">
        <f aca="false">IF(INDEX(Pengaturan!$B$8:$B$27,L$4)="",0,COUNTIF(Data!$B362:$U362,INDEX(Pengaturan!$B$8:$B$27,L$4)))</f>
        <v>0</v>
      </c>
      <c r="M362" s="26" t="n">
        <f aca="false">IF(INDEX(Pengaturan!$B$8:$B$27,M$4)="",0,COUNTIF(Data!$B362:$U362,INDEX(Pengaturan!$B$8:$B$27,M$4)))</f>
        <v>0</v>
      </c>
      <c r="N362" s="26" t="n">
        <f aca="false">IF(INDEX(Pengaturan!$B$8:$B$27,N$4)="",0,COUNTIF(Data!$B362:$U362,INDEX(Pengaturan!$B$8:$B$27,N$4)))</f>
        <v>0</v>
      </c>
      <c r="O362" s="26" t="n">
        <f aca="false">IF(INDEX(Pengaturan!$B$8:$B$27,O$4)="",0,COUNTIF(Data!$B362:$U362,INDEX(Pengaturan!$B$8:$B$27,O$4)))</f>
        <v>0</v>
      </c>
      <c r="P362" s="26" t="n">
        <f aca="false">IF(INDEX(Pengaturan!$B$8:$B$27,P$4)="",0,COUNTIF(Data!$B362:$U362,INDEX(Pengaturan!$B$8:$B$27,P$4)))</f>
        <v>0</v>
      </c>
      <c r="Q362" s="26" t="n">
        <f aca="false">IF(INDEX(Pengaturan!$B$8:$B$27,Q$4)="",0,COUNTIF(Data!$B362:$U362,INDEX(Pengaturan!$B$8:$B$27,Q$4)))</f>
        <v>0</v>
      </c>
      <c r="R362" s="26" t="n">
        <f aca="false">IF(INDEX(Pengaturan!$B$8:$B$27,R$4)="",0,COUNTIF(Data!$B362:$U362,INDEX(Pengaturan!$B$8:$B$27,R$4)))</f>
        <v>0</v>
      </c>
      <c r="S362" s="26" t="n">
        <f aca="false">IF(INDEX(Pengaturan!$B$8:$B$27,S$4)="",0,COUNTIF(Data!$B362:$U362,INDEX(Pengaturan!$B$8:$B$27,S$4)))</f>
        <v>0</v>
      </c>
      <c r="T362" s="26" t="n">
        <f aca="false">IF(INDEX(Pengaturan!$B$8:$B$27,T$4)="",0,COUNTIF(Data!$B362:$U362,INDEX(Pengaturan!$B$8:$B$27,T$4)))</f>
        <v>0</v>
      </c>
      <c r="U362" s="26" t="n">
        <f aca="false">IF(INDEX(Pengaturan!$B$8:$B$27,U$4)="",0,COUNTIF(Data!$B362:$U362,INDEX(Pengaturan!$B$8:$B$27,U$4)))</f>
        <v>0</v>
      </c>
      <c r="V362" s="26" t="n">
        <f aca="false">COUNTA(Data!$B362:$U362)</f>
        <v>0</v>
      </c>
      <c r="W362" s="27" t="str">
        <f aca="false">IF(V362=0,"",IF(V362&lt;&gt;Hasil!$C$4,"Data kosong/tidak lengkap",IF(SUM(B362:U362)&lt;&gt;V362,"Kategori tidak dikenal","OK")))</f>
        <v/>
      </c>
      <c r="X362" s="26" t="n">
        <f aca="false">IF(OR(W362="",W362="OK"),0,1)</f>
        <v>0</v>
      </c>
    </row>
    <row r="363" customFormat="false" ht="15" hidden="false" customHeight="false" outlineLevel="0" collapsed="false">
      <c r="A363" s="26" t="n">
        <f aca="false">Data!A363</f>
        <v>358</v>
      </c>
      <c r="B363" s="26" t="n">
        <f aca="false">IF(INDEX(Pengaturan!$B$8:$B$27,B$4)="",0,COUNTIF(Data!$B363:$U363,INDEX(Pengaturan!$B$8:$B$27,B$4)))</f>
        <v>0</v>
      </c>
      <c r="C363" s="26" t="n">
        <f aca="false">IF(INDEX(Pengaturan!$B$8:$B$27,C$4)="",0,COUNTIF(Data!$B363:$U363,INDEX(Pengaturan!$B$8:$B$27,C$4)))</f>
        <v>0</v>
      </c>
      <c r="D363" s="26" t="n">
        <f aca="false">IF(INDEX(Pengaturan!$B$8:$B$27,D$4)="",0,COUNTIF(Data!$B363:$U363,INDEX(Pengaturan!$B$8:$B$27,D$4)))</f>
        <v>0</v>
      </c>
      <c r="E363" s="26" t="n">
        <f aca="false">IF(INDEX(Pengaturan!$B$8:$B$27,E$4)="",0,COUNTIF(Data!$B363:$U363,INDEX(Pengaturan!$B$8:$B$27,E$4)))</f>
        <v>0</v>
      </c>
      <c r="F363" s="26" t="n">
        <f aca="false">IF(INDEX(Pengaturan!$B$8:$B$27,F$4)="",0,COUNTIF(Data!$B363:$U363,INDEX(Pengaturan!$B$8:$B$27,F$4)))</f>
        <v>0</v>
      </c>
      <c r="G363" s="26" t="n">
        <f aca="false">IF(INDEX(Pengaturan!$B$8:$B$27,G$4)="",0,COUNTIF(Data!$B363:$U363,INDEX(Pengaturan!$B$8:$B$27,G$4)))</f>
        <v>0</v>
      </c>
      <c r="H363" s="26" t="n">
        <f aca="false">IF(INDEX(Pengaturan!$B$8:$B$27,H$4)="",0,COUNTIF(Data!$B363:$U363,INDEX(Pengaturan!$B$8:$B$27,H$4)))</f>
        <v>0</v>
      </c>
      <c r="I363" s="26" t="n">
        <f aca="false">IF(INDEX(Pengaturan!$B$8:$B$27,I$4)="",0,COUNTIF(Data!$B363:$U363,INDEX(Pengaturan!$B$8:$B$27,I$4)))</f>
        <v>0</v>
      </c>
      <c r="J363" s="26" t="n">
        <f aca="false">IF(INDEX(Pengaturan!$B$8:$B$27,J$4)="",0,COUNTIF(Data!$B363:$U363,INDEX(Pengaturan!$B$8:$B$27,J$4)))</f>
        <v>0</v>
      </c>
      <c r="K363" s="26" t="n">
        <f aca="false">IF(INDEX(Pengaturan!$B$8:$B$27,K$4)="",0,COUNTIF(Data!$B363:$U363,INDEX(Pengaturan!$B$8:$B$27,K$4)))</f>
        <v>0</v>
      </c>
      <c r="L363" s="26" t="n">
        <f aca="false">IF(INDEX(Pengaturan!$B$8:$B$27,L$4)="",0,COUNTIF(Data!$B363:$U363,INDEX(Pengaturan!$B$8:$B$27,L$4)))</f>
        <v>0</v>
      </c>
      <c r="M363" s="26" t="n">
        <f aca="false">IF(INDEX(Pengaturan!$B$8:$B$27,M$4)="",0,COUNTIF(Data!$B363:$U363,INDEX(Pengaturan!$B$8:$B$27,M$4)))</f>
        <v>0</v>
      </c>
      <c r="N363" s="26" t="n">
        <f aca="false">IF(INDEX(Pengaturan!$B$8:$B$27,N$4)="",0,COUNTIF(Data!$B363:$U363,INDEX(Pengaturan!$B$8:$B$27,N$4)))</f>
        <v>0</v>
      </c>
      <c r="O363" s="26" t="n">
        <f aca="false">IF(INDEX(Pengaturan!$B$8:$B$27,O$4)="",0,COUNTIF(Data!$B363:$U363,INDEX(Pengaturan!$B$8:$B$27,O$4)))</f>
        <v>0</v>
      </c>
      <c r="P363" s="26" t="n">
        <f aca="false">IF(INDEX(Pengaturan!$B$8:$B$27,P$4)="",0,COUNTIF(Data!$B363:$U363,INDEX(Pengaturan!$B$8:$B$27,P$4)))</f>
        <v>0</v>
      </c>
      <c r="Q363" s="26" t="n">
        <f aca="false">IF(INDEX(Pengaturan!$B$8:$B$27,Q$4)="",0,COUNTIF(Data!$B363:$U363,INDEX(Pengaturan!$B$8:$B$27,Q$4)))</f>
        <v>0</v>
      </c>
      <c r="R363" s="26" t="n">
        <f aca="false">IF(INDEX(Pengaturan!$B$8:$B$27,R$4)="",0,COUNTIF(Data!$B363:$U363,INDEX(Pengaturan!$B$8:$B$27,R$4)))</f>
        <v>0</v>
      </c>
      <c r="S363" s="26" t="n">
        <f aca="false">IF(INDEX(Pengaturan!$B$8:$B$27,S$4)="",0,COUNTIF(Data!$B363:$U363,INDEX(Pengaturan!$B$8:$B$27,S$4)))</f>
        <v>0</v>
      </c>
      <c r="T363" s="26" t="n">
        <f aca="false">IF(INDEX(Pengaturan!$B$8:$B$27,T$4)="",0,COUNTIF(Data!$B363:$U363,INDEX(Pengaturan!$B$8:$B$27,T$4)))</f>
        <v>0</v>
      </c>
      <c r="U363" s="26" t="n">
        <f aca="false">IF(INDEX(Pengaturan!$B$8:$B$27,U$4)="",0,COUNTIF(Data!$B363:$U363,INDEX(Pengaturan!$B$8:$B$27,U$4)))</f>
        <v>0</v>
      </c>
      <c r="V363" s="26" t="n">
        <f aca="false">COUNTA(Data!$B363:$U363)</f>
        <v>0</v>
      </c>
      <c r="W363" s="27" t="str">
        <f aca="false">IF(V363=0,"",IF(V363&lt;&gt;Hasil!$C$4,"Data kosong/tidak lengkap",IF(SUM(B363:U363)&lt;&gt;V363,"Kategori tidak dikenal","OK")))</f>
        <v/>
      </c>
      <c r="X363" s="26" t="n">
        <f aca="false">IF(OR(W363="",W363="OK"),0,1)</f>
        <v>0</v>
      </c>
    </row>
    <row r="364" customFormat="false" ht="15" hidden="false" customHeight="false" outlineLevel="0" collapsed="false">
      <c r="A364" s="26" t="n">
        <f aca="false">Data!A364</f>
        <v>359</v>
      </c>
      <c r="B364" s="26" t="n">
        <f aca="false">IF(INDEX(Pengaturan!$B$8:$B$27,B$4)="",0,COUNTIF(Data!$B364:$U364,INDEX(Pengaturan!$B$8:$B$27,B$4)))</f>
        <v>0</v>
      </c>
      <c r="C364" s="26" t="n">
        <f aca="false">IF(INDEX(Pengaturan!$B$8:$B$27,C$4)="",0,COUNTIF(Data!$B364:$U364,INDEX(Pengaturan!$B$8:$B$27,C$4)))</f>
        <v>0</v>
      </c>
      <c r="D364" s="26" t="n">
        <f aca="false">IF(INDEX(Pengaturan!$B$8:$B$27,D$4)="",0,COUNTIF(Data!$B364:$U364,INDEX(Pengaturan!$B$8:$B$27,D$4)))</f>
        <v>0</v>
      </c>
      <c r="E364" s="26" t="n">
        <f aca="false">IF(INDEX(Pengaturan!$B$8:$B$27,E$4)="",0,COUNTIF(Data!$B364:$U364,INDEX(Pengaturan!$B$8:$B$27,E$4)))</f>
        <v>0</v>
      </c>
      <c r="F364" s="26" t="n">
        <f aca="false">IF(INDEX(Pengaturan!$B$8:$B$27,F$4)="",0,COUNTIF(Data!$B364:$U364,INDEX(Pengaturan!$B$8:$B$27,F$4)))</f>
        <v>0</v>
      </c>
      <c r="G364" s="26" t="n">
        <f aca="false">IF(INDEX(Pengaturan!$B$8:$B$27,G$4)="",0,COUNTIF(Data!$B364:$U364,INDEX(Pengaturan!$B$8:$B$27,G$4)))</f>
        <v>0</v>
      </c>
      <c r="H364" s="26" t="n">
        <f aca="false">IF(INDEX(Pengaturan!$B$8:$B$27,H$4)="",0,COUNTIF(Data!$B364:$U364,INDEX(Pengaturan!$B$8:$B$27,H$4)))</f>
        <v>0</v>
      </c>
      <c r="I364" s="26" t="n">
        <f aca="false">IF(INDEX(Pengaturan!$B$8:$B$27,I$4)="",0,COUNTIF(Data!$B364:$U364,INDEX(Pengaturan!$B$8:$B$27,I$4)))</f>
        <v>0</v>
      </c>
      <c r="J364" s="26" t="n">
        <f aca="false">IF(INDEX(Pengaturan!$B$8:$B$27,J$4)="",0,COUNTIF(Data!$B364:$U364,INDEX(Pengaturan!$B$8:$B$27,J$4)))</f>
        <v>0</v>
      </c>
      <c r="K364" s="26" t="n">
        <f aca="false">IF(INDEX(Pengaturan!$B$8:$B$27,K$4)="",0,COUNTIF(Data!$B364:$U364,INDEX(Pengaturan!$B$8:$B$27,K$4)))</f>
        <v>0</v>
      </c>
      <c r="L364" s="26" t="n">
        <f aca="false">IF(INDEX(Pengaturan!$B$8:$B$27,L$4)="",0,COUNTIF(Data!$B364:$U364,INDEX(Pengaturan!$B$8:$B$27,L$4)))</f>
        <v>0</v>
      </c>
      <c r="M364" s="26" t="n">
        <f aca="false">IF(INDEX(Pengaturan!$B$8:$B$27,M$4)="",0,COUNTIF(Data!$B364:$U364,INDEX(Pengaturan!$B$8:$B$27,M$4)))</f>
        <v>0</v>
      </c>
      <c r="N364" s="26" t="n">
        <f aca="false">IF(INDEX(Pengaturan!$B$8:$B$27,N$4)="",0,COUNTIF(Data!$B364:$U364,INDEX(Pengaturan!$B$8:$B$27,N$4)))</f>
        <v>0</v>
      </c>
      <c r="O364" s="26" t="n">
        <f aca="false">IF(INDEX(Pengaturan!$B$8:$B$27,O$4)="",0,COUNTIF(Data!$B364:$U364,INDEX(Pengaturan!$B$8:$B$27,O$4)))</f>
        <v>0</v>
      </c>
      <c r="P364" s="26" t="n">
        <f aca="false">IF(INDEX(Pengaturan!$B$8:$B$27,P$4)="",0,COUNTIF(Data!$B364:$U364,INDEX(Pengaturan!$B$8:$B$27,P$4)))</f>
        <v>0</v>
      </c>
      <c r="Q364" s="26" t="n">
        <f aca="false">IF(INDEX(Pengaturan!$B$8:$B$27,Q$4)="",0,COUNTIF(Data!$B364:$U364,INDEX(Pengaturan!$B$8:$B$27,Q$4)))</f>
        <v>0</v>
      </c>
      <c r="R364" s="26" t="n">
        <f aca="false">IF(INDEX(Pengaturan!$B$8:$B$27,R$4)="",0,COUNTIF(Data!$B364:$U364,INDEX(Pengaturan!$B$8:$B$27,R$4)))</f>
        <v>0</v>
      </c>
      <c r="S364" s="26" t="n">
        <f aca="false">IF(INDEX(Pengaturan!$B$8:$B$27,S$4)="",0,COUNTIF(Data!$B364:$U364,INDEX(Pengaturan!$B$8:$B$27,S$4)))</f>
        <v>0</v>
      </c>
      <c r="T364" s="26" t="n">
        <f aca="false">IF(INDEX(Pengaturan!$B$8:$B$27,T$4)="",0,COUNTIF(Data!$B364:$U364,INDEX(Pengaturan!$B$8:$B$27,T$4)))</f>
        <v>0</v>
      </c>
      <c r="U364" s="26" t="n">
        <f aca="false">IF(INDEX(Pengaturan!$B$8:$B$27,U$4)="",0,COUNTIF(Data!$B364:$U364,INDEX(Pengaturan!$B$8:$B$27,U$4)))</f>
        <v>0</v>
      </c>
      <c r="V364" s="26" t="n">
        <f aca="false">COUNTA(Data!$B364:$U364)</f>
        <v>0</v>
      </c>
      <c r="W364" s="27" t="str">
        <f aca="false">IF(V364=0,"",IF(V364&lt;&gt;Hasil!$C$4,"Data kosong/tidak lengkap",IF(SUM(B364:U364)&lt;&gt;V364,"Kategori tidak dikenal","OK")))</f>
        <v/>
      </c>
      <c r="X364" s="26" t="n">
        <f aca="false">IF(OR(W364="",W364="OK"),0,1)</f>
        <v>0</v>
      </c>
    </row>
    <row r="365" customFormat="false" ht="15" hidden="false" customHeight="false" outlineLevel="0" collapsed="false">
      <c r="A365" s="26" t="n">
        <f aca="false">Data!A365</f>
        <v>360</v>
      </c>
      <c r="B365" s="26" t="n">
        <f aca="false">IF(INDEX(Pengaturan!$B$8:$B$27,B$4)="",0,COUNTIF(Data!$B365:$U365,INDEX(Pengaturan!$B$8:$B$27,B$4)))</f>
        <v>0</v>
      </c>
      <c r="C365" s="26" t="n">
        <f aca="false">IF(INDEX(Pengaturan!$B$8:$B$27,C$4)="",0,COUNTIF(Data!$B365:$U365,INDEX(Pengaturan!$B$8:$B$27,C$4)))</f>
        <v>0</v>
      </c>
      <c r="D365" s="26" t="n">
        <f aca="false">IF(INDEX(Pengaturan!$B$8:$B$27,D$4)="",0,COUNTIF(Data!$B365:$U365,INDEX(Pengaturan!$B$8:$B$27,D$4)))</f>
        <v>0</v>
      </c>
      <c r="E365" s="26" t="n">
        <f aca="false">IF(INDEX(Pengaturan!$B$8:$B$27,E$4)="",0,COUNTIF(Data!$B365:$U365,INDEX(Pengaturan!$B$8:$B$27,E$4)))</f>
        <v>0</v>
      </c>
      <c r="F365" s="26" t="n">
        <f aca="false">IF(INDEX(Pengaturan!$B$8:$B$27,F$4)="",0,COUNTIF(Data!$B365:$U365,INDEX(Pengaturan!$B$8:$B$27,F$4)))</f>
        <v>0</v>
      </c>
      <c r="G365" s="26" t="n">
        <f aca="false">IF(INDEX(Pengaturan!$B$8:$B$27,G$4)="",0,COUNTIF(Data!$B365:$U365,INDEX(Pengaturan!$B$8:$B$27,G$4)))</f>
        <v>0</v>
      </c>
      <c r="H365" s="26" t="n">
        <f aca="false">IF(INDEX(Pengaturan!$B$8:$B$27,H$4)="",0,COUNTIF(Data!$B365:$U365,INDEX(Pengaturan!$B$8:$B$27,H$4)))</f>
        <v>0</v>
      </c>
      <c r="I365" s="26" t="n">
        <f aca="false">IF(INDEX(Pengaturan!$B$8:$B$27,I$4)="",0,COUNTIF(Data!$B365:$U365,INDEX(Pengaturan!$B$8:$B$27,I$4)))</f>
        <v>0</v>
      </c>
      <c r="J365" s="26" t="n">
        <f aca="false">IF(INDEX(Pengaturan!$B$8:$B$27,J$4)="",0,COUNTIF(Data!$B365:$U365,INDEX(Pengaturan!$B$8:$B$27,J$4)))</f>
        <v>0</v>
      </c>
      <c r="K365" s="26" t="n">
        <f aca="false">IF(INDEX(Pengaturan!$B$8:$B$27,K$4)="",0,COUNTIF(Data!$B365:$U365,INDEX(Pengaturan!$B$8:$B$27,K$4)))</f>
        <v>0</v>
      </c>
      <c r="L365" s="26" t="n">
        <f aca="false">IF(INDEX(Pengaturan!$B$8:$B$27,L$4)="",0,COUNTIF(Data!$B365:$U365,INDEX(Pengaturan!$B$8:$B$27,L$4)))</f>
        <v>0</v>
      </c>
      <c r="M365" s="26" t="n">
        <f aca="false">IF(INDEX(Pengaturan!$B$8:$B$27,M$4)="",0,COUNTIF(Data!$B365:$U365,INDEX(Pengaturan!$B$8:$B$27,M$4)))</f>
        <v>0</v>
      </c>
      <c r="N365" s="26" t="n">
        <f aca="false">IF(INDEX(Pengaturan!$B$8:$B$27,N$4)="",0,COUNTIF(Data!$B365:$U365,INDEX(Pengaturan!$B$8:$B$27,N$4)))</f>
        <v>0</v>
      </c>
      <c r="O365" s="26" t="n">
        <f aca="false">IF(INDEX(Pengaturan!$B$8:$B$27,O$4)="",0,COUNTIF(Data!$B365:$U365,INDEX(Pengaturan!$B$8:$B$27,O$4)))</f>
        <v>0</v>
      </c>
      <c r="P365" s="26" t="n">
        <f aca="false">IF(INDEX(Pengaturan!$B$8:$B$27,P$4)="",0,COUNTIF(Data!$B365:$U365,INDEX(Pengaturan!$B$8:$B$27,P$4)))</f>
        <v>0</v>
      </c>
      <c r="Q365" s="26" t="n">
        <f aca="false">IF(INDEX(Pengaturan!$B$8:$B$27,Q$4)="",0,COUNTIF(Data!$B365:$U365,INDEX(Pengaturan!$B$8:$B$27,Q$4)))</f>
        <v>0</v>
      </c>
      <c r="R365" s="26" t="n">
        <f aca="false">IF(INDEX(Pengaturan!$B$8:$B$27,R$4)="",0,COUNTIF(Data!$B365:$U365,INDEX(Pengaturan!$B$8:$B$27,R$4)))</f>
        <v>0</v>
      </c>
      <c r="S365" s="26" t="n">
        <f aca="false">IF(INDEX(Pengaturan!$B$8:$B$27,S$4)="",0,COUNTIF(Data!$B365:$U365,INDEX(Pengaturan!$B$8:$B$27,S$4)))</f>
        <v>0</v>
      </c>
      <c r="T365" s="26" t="n">
        <f aca="false">IF(INDEX(Pengaturan!$B$8:$B$27,T$4)="",0,COUNTIF(Data!$B365:$U365,INDEX(Pengaturan!$B$8:$B$27,T$4)))</f>
        <v>0</v>
      </c>
      <c r="U365" s="26" t="n">
        <f aca="false">IF(INDEX(Pengaturan!$B$8:$B$27,U$4)="",0,COUNTIF(Data!$B365:$U365,INDEX(Pengaturan!$B$8:$B$27,U$4)))</f>
        <v>0</v>
      </c>
      <c r="V365" s="26" t="n">
        <f aca="false">COUNTA(Data!$B365:$U365)</f>
        <v>0</v>
      </c>
      <c r="W365" s="27" t="str">
        <f aca="false">IF(V365=0,"",IF(V365&lt;&gt;Hasil!$C$4,"Data kosong/tidak lengkap",IF(SUM(B365:U365)&lt;&gt;V365,"Kategori tidak dikenal","OK")))</f>
        <v/>
      </c>
      <c r="X365" s="26" t="n">
        <f aca="false">IF(OR(W365="",W365="OK"),0,1)</f>
        <v>0</v>
      </c>
    </row>
    <row r="366" customFormat="false" ht="15" hidden="false" customHeight="false" outlineLevel="0" collapsed="false">
      <c r="A366" s="26" t="n">
        <f aca="false">Data!A366</f>
        <v>361</v>
      </c>
      <c r="B366" s="26" t="n">
        <f aca="false">IF(INDEX(Pengaturan!$B$8:$B$27,B$4)="",0,COUNTIF(Data!$B366:$U366,INDEX(Pengaturan!$B$8:$B$27,B$4)))</f>
        <v>0</v>
      </c>
      <c r="C366" s="26" t="n">
        <f aca="false">IF(INDEX(Pengaturan!$B$8:$B$27,C$4)="",0,COUNTIF(Data!$B366:$U366,INDEX(Pengaturan!$B$8:$B$27,C$4)))</f>
        <v>0</v>
      </c>
      <c r="D366" s="26" t="n">
        <f aca="false">IF(INDEX(Pengaturan!$B$8:$B$27,D$4)="",0,COUNTIF(Data!$B366:$U366,INDEX(Pengaturan!$B$8:$B$27,D$4)))</f>
        <v>0</v>
      </c>
      <c r="E366" s="26" t="n">
        <f aca="false">IF(INDEX(Pengaturan!$B$8:$B$27,E$4)="",0,COUNTIF(Data!$B366:$U366,INDEX(Pengaturan!$B$8:$B$27,E$4)))</f>
        <v>0</v>
      </c>
      <c r="F366" s="26" t="n">
        <f aca="false">IF(INDEX(Pengaturan!$B$8:$B$27,F$4)="",0,COUNTIF(Data!$B366:$U366,INDEX(Pengaturan!$B$8:$B$27,F$4)))</f>
        <v>0</v>
      </c>
      <c r="G366" s="26" t="n">
        <f aca="false">IF(INDEX(Pengaturan!$B$8:$B$27,G$4)="",0,COUNTIF(Data!$B366:$U366,INDEX(Pengaturan!$B$8:$B$27,G$4)))</f>
        <v>0</v>
      </c>
      <c r="H366" s="26" t="n">
        <f aca="false">IF(INDEX(Pengaturan!$B$8:$B$27,H$4)="",0,COUNTIF(Data!$B366:$U366,INDEX(Pengaturan!$B$8:$B$27,H$4)))</f>
        <v>0</v>
      </c>
      <c r="I366" s="26" t="n">
        <f aca="false">IF(INDEX(Pengaturan!$B$8:$B$27,I$4)="",0,COUNTIF(Data!$B366:$U366,INDEX(Pengaturan!$B$8:$B$27,I$4)))</f>
        <v>0</v>
      </c>
      <c r="J366" s="26" t="n">
        <f aca="false">IF(INDEX(Pengaturan!$B$8:$B$27,J$4)="",0,COUNTIF(Data!$B366:$U366,INDEX(Pengaturan!$B$8:$B$27,J$4)))</f>
        <v>0</v>
      </c>
      <c r="K366" s="26" t="n">
        <f aca="false">IF(INDEX(Pengaturan!$B$8:$B$27,K$4)="",0,COUNTIF(Data!$B366:$U366,INDEX(Pengaturan!$B$8:$B$27,K$4)))</f>
        <v>0</v>
      </c>
      <c r="L366" s="26" t="n">
        <f aca="false">IF(INDEX(Pengaturan!$B$8:$B$27,L$4)="",0,COUNTIF(Data!$B366:$U366,INDEX(Pengaturan!$B$8:$B$27,L$4)))</f>
        <v>0</v>
      </c>
      <c r="M366" s="26" t="n">
        <f aca="false">IF(INDEX(Pengaturan!$B$8:$B$27,M$4)="",0,COUNTIF(Data!$B366:$U366,INDEX(Pengaturan!$B$8:$B$27,M$4)))</f>
        <v>0</v>
      </c>
      <c r="N366" s="26" t="n">
        <f aca="false">IF(INDEX(Pengaturan!$B$8:$B$27,N$4)="",0,COUNTIF(Data!$B366:$U366,INDEX(Pengaturan!$B$8:$B$27,N$4)))</f>
        <v>0</v>
      </c>
      <c r="O366" s="26" t="n">
        <f aca="false">IF(INDEX(Pengaturan!$B$8:$B$27,O$4)="",0,COUNTIF(Data!$B366:$U366,INDEX(Pengaturan!$B$8:$B$27,O$4)))</f>
        <v>0</v>
      </c>
      <c r="P366" s="26" t="n">
        <f aca="false">IF(INDEX(Pengaturan!$B$8:$B$27,P$4)="",0,COUNTIF(Data!$B366:$U366,INDEX(Pengaturan!$B$8:$B$27,P$4)))</f>
        <v>0</v>
      </c>
      <c r="Q366" s="26" t="n">
        <f aca="false">IF(INDEX(Pengaturan!$B$8:$B$27,Q$4)="",0,COUNTIF(Data!$B366:$U366,INDEX(Pengaturan!$B$8:$B$27,Q$4)))</f>
        <v>0</v>
      </c>
      <c r="R366" s="26" t="n">
        <f aca="false">IF(INDEX(Pengaturan!$B$8:$B$27,R$4)="",0,COUNTIF(Data!$B366:$U366,INDEX(Pengaturan!$B$8:$B$27,R$4)))</f>
        <v>0</v>
      </c>
      <c r="S366" s="26" t="n">
        <f aca="false">IF(INDEX(Pengaturan!$B$8:$B$27,S$4)="",0,COUNTIF(Data!$B366:$U366,INDEX(Pengaturan!$B$8:$B$27,S$4)))</f>
        <v>0</v>
      </c>
      <c r="T366" s="26" t="n">
        <f aca="false">IF(INDEX(Pengaturan!$B$8:$B$27,T$4)="",0,COUNTIF(Data!$B366:$U366,INDEX(Pengaturan!$B$8:$B$27,T$4)))</f>
        <v>0</v>
      </c>
      <c r="U366" s="26" t="n">
        <f aca="false">IF(INDEX(Pengaturan!$B$8:$B$27,U$4)="",0,COUNTIF(Data!$B366:$U366,INDEX(Pengaturan!$B$8:$B$27,U$4)))</f>
        <v>0</v>
      </c>
      <c r="V366" s="26" t="n">
        <f aca="false">COUNTA(Data!$B366:$U366)</f>
        <v>0</v>
      </c>
      <c r="W366" s="27" t="str">
        <f aca="false">IF(V366=0,"",IF(V366&lt;&gt;Hasil!$C$4,"Data kosong/tidak lengkap",IF(SUM(B366:U366)&lt;&gt;V366,"Kategori tidak dikenal","OK")))</f>
        <v/>
      </c>
      <c r="X366" s="26" t="n">
        <f aca="false">IF(OR(W366="",W366="OK"),0,1)</f>
        <v>0</v>
      </c>
    </row>
    <row r="367" customFormat="false" ht="15" hidden="false" customHeight="false" outlineLevel="0" collapsed="false">
      <c r="A367" s="26" t="n">
        <f aca="false">Data!A367</f>
        <v>362</v>
      </c>
      <c r="B367" s="26" t="n">
        <f aca="false">IF(INDEX(Pengaturan!$B$8:$B$27,B$4)="",0,COUNTIF(Data!$B367:$U367,INDEX(Pengaturan!$B$8:$B$27,B$4)))</f>
        <v>0</v>
      </c>
      <c r="C367" s="26" t="n">
        <f aca="false">IF(INDEX(Pengaturan!$B$8:$B$27,C$4)="",0,COUNTIF(Data!$B367:$U367,INDEX(Pengaturan!$B$8:$B$27,C$4)))</f>
        <v>0</v>
      </c>
      <c r="D367" s="26" t="n">
        <f aca="false">IF(INDEX(Pengaturan!$B$8:$B$27,D$4)="",0,COUNTIF(Data!$B367:$U367,INDEX(Pengaturan!$B$8:$B$27,D$4)))</f>
        <v>0</v>
      </c>
      <c r="E367" s="26" t="n">
        <f aca="false">IF(INDEX(Pengaturan!$B$8:$B$27,E$4)="",0,COUNTIF(Data!$B367:$U367,INDEX(Pengaturan!$B$8:$B$27,E$4)))</f>
        <v>0</v>
      </c>
      <c r="F367" s="26" t="n">
        <f aca="false">IF(INDEX(Pengaturan!$B$8:$B$27,F$4)="",0,COUNTIF(Data!$B367:$U367,INDEX(Pengaturan!$B$8:$B$27,F$4)))</f>
        <v>0</v>
      </c>
      <c r="G367" s="26" t="n">
        <f aca="false">IF(INDEX(Pengaturan!$B$8:$B$27,G$4)="",0,COUNTIF(Data!$B367:$U367,INDEX(Pengaturan!$B$8:$B$27,G$4)))</f>
        <v>0</v>
      </c>
      <c r="H367" s="26" t="n">
        <f aca="false">IF(INDEX(Pengaturan!$B$8:$B$27,H$4)="",0,COUNTIF(Data!$B367:$U367,INDEX(Pengaturan!$B$8:$B$27,H$4)))</f>
        <v>0</v>
      </c>
      <c r="I367" s="26" t="n">
        <f aca="false">IF(INDEX(Pengaturan!$B$8:$B$27,I$4)="",0,COUNTIF(Data!$B367:$U367,INDEX(Pengaturan!$B$8:$B$27,I$4)))</f>
        <v>0</v>
      </c>
      <c r="J367" s="26" t="n">
        <f aca="false">IF(INDEX(Pengaturan!$B$8:$B$27,J$4)="",0,COUNTIF(Data!$B367:$U367,INDEX(Pengaturan!$B$8:$B$27,J$4)))</f>
        <v>0</v>
      </c>
      <c r="K367" s="26" t="n">
        <f aca="false">IF(INDEX(Pengaturan!$B$8:$B$27,K$4)="",0,COUNTIF(Data!$B367:$U367,INDEX(Pengaturan!$B$8:$B$27,K$4)))</f>
        <v>0</v>
      </c>
      <c r="L367" s="26" t="n">
        <f aca="false">IF(INDEX(Pengaturan!$B$8:$B$27,L$4)="",0,COUNTIF(Data!$B367:$U367,INDEX(Pengaturan!$B$8:$B$27,L$4)))</f>
        <v>0</v>
      </c>
      <c r="M367" s="26" t="n">
        <f aca="false">IF(INDEX(Pengaturan!$B$8:$B$27,M$4)="",0,COUNTIF(Data!$B367:$U367,INDEX(Pengaturan!$B$8:$B$27,M$4)))</f>
        <v>0</v>
      </c>
      <c r="N367" s="26" t="n">
        <f aca="false">IF(INDEX(Pengaturan!$B$8:$B$27,N$4)="",0,COUNTIF(Data!$B367:$U367,INDEX(Pengaturan!$B$8:$B$27,N$4)))</f>
        <v>0</v>
      </c>
      <c r="O367" s="26" t="n">
        <f aca="false">IF(INDEX(Pengaturan!$B$8:$B$27,O$4)="",0,COUNTIF(Data!$B367:$U367,INDEX(Pengaturan!$B$8:$B$27,O$4)))</f>
        <v>0</v>
      </c>
      <c r="P367" s="26" t="n">
        <f aca="false">IF(INDEX(Pengaturan!$B$8:$B$27,P$4)="",0,COUNTIF(Data!$B367:$U367,INDEX(Pengaturan!$B$8:$B$27,P$4)))</f>
        <v>0</v>
      </c>
      <c r="Q367" s="26" t="n">
        <f aca="false">IF(INDEX(Pengaturan!$B$8:$B$27,Q$4)="",0,COUNTIF(Data!$B367:$U367,INDEX(Pengaturan!$B$8:$B$27,Q$4)))</f>
        <v>0</v>
      </c>
      <c r="R367" s="26" t="n">
        <f aca="false">IF(INDEX(Pengaturan!$B$8:$B$27,R$4)="",0,COUNTIF(Data!$B367:$U367,INDEX(Pengaturan!$B$8:$B$27,R$4)))</f>
        <v>0</v>
      </c>
      <c r="S367" s="26" t="n">
        <f aca="false">IF(INDEX(Pengaturan!$B$8:$B$27,S$4)="",0,COUNTIF(Data!$B367:$U367,INDEX(Pengaturan!$B$8:$B$27,S$4)))</f>
        <v>0</v>
      </c>
      <c r="T367" s="26" t="n">
        <f aca="false">IF(INDEX(Pengaturan!$B$8:$B$27,T$4)="",0,COUNTIF(Data!$B367:$U367,INDEX(Pengaturan!$B$8:$B$27,T$4)))</f>
        <v>0</v>
      </c>
      <c r="U367" s="26" t="n">
        <f aca="false">IF(INDEX(Pengaturan!$B$8:$B$27,U$4)="",0,COUNTIF(Data!$B367:$U367,INDEX(Pengaturan!$B$8:$B$27,U$4)))</f>
        <v>0</v>
      </c>
      <c r="V367" s="26" t="n">
        <f aca="false">COUNTA(Data!$B367:$U367)</f>
        <v>0</v>
      </c>
      <c r="W367" s="27" t="str">
        <f aca="false">IF(V367=0,"",IF(V367&lt;&gt;Hasil!$C$4,"Data kosong/tidak lengkap",IF(SUM(B367:U367)&lt;&gt;V367,"Kategori tidak dikenal","OK")))</f>
        <v/>
      </c>
      <c r="X367" s="26" t="n">
        <f aca="false">IF(OR(W367="",W367="OK"),0,1)</f>
        <v>0</v>
      </c>
    </row>
    <row r="368" customFormat="false" ht="15" hidden="false" customHeight="false" outlineLevel="0" collapsed="false">
      <c r="A368" s="26" t="n">
        <f aca="false">Data!A368</f>
        <v>363</v>
      </c>
      <c r="B368" s="26" t="n">
        <f aca="false">IF(INDEX(Pengaturan!$B$8:$B$27,B$4)="",0,COUNTIF(Data!$B368:$U368,INDEX(Pengaturan!$B$8:$B$27,B$4)))</f>
        <v>0</v>
      </c>
      <c r="C368" s="26" t="n">
        <f aca="false">IF(INDEX(Pengaturan!$B$8:$B$27,C$4)="",0,COUNTIF(Data!$B368:$U368,INDEX(Pengaturan!$B$8:$B$27,C$4)))</f>
        <v>0</v>
      </c>
      <c r="D368" s="26" t="n">
        <f aca="false">IF(INDEX(Pengaturan!$B$8:$B$27,D$4)="",0,COUNTIF(Data!$B368:$U368,INDEX(Pengaturan!$B$8:$B$27,D$4)))</f>
        <v>0</v>
      </c>
      <c r="E368" s="26" t="n">
        <f aca="false">IF(INDEX(Pengaturan!$B$8:$B$27,E$4)="",0,COUNTIF(Data!$B368:$U368,INDEX(Pengaturan!$B$8:$B$27,E$4)))</f>
        <v>0</v>
      </c>
      <c r="F368" s="26" t="n">
        <f aca="false">IF(INDEX(Pengaturan!$B$8:$B$27,F$4)="",0,COUNTIF(Data!$B368:$U368,INDEX(Pengaturan!$B$8:$B$27,F$4)))</f>
        <v>0</v>
      </c>
      <c r="G368" s="26" t="n">
        <f aca="false">IF(INDEX(Pengaturan!$B$8:$B$27,G$4)="",0,COUNTIF(Data!$B368:$U368,INDEX(Pengaturan!$B$8:$B$27,G$4)))</f>
        <v>0</v>
      </c>
      <c r="H368" s="26" t="n">
        <f aca="false">IF(INDEX(Pengaturan!$B$8:$B$27,H$4)="",0,COUNTIF(Data!$B368:$U368,INDEX(Pengaturan!$B$8:$B$27,H$4)))</f>
        <v>0</v>
      </c>
      <c r="I368" s="26" t="n">
        <f aca="false">IF(INDEX(Pengaturan!$B$8:$B$27,I$4)="",0,COUNTIF(Data!$B368:$U368,INDEX(Pengaturan!$B$8:$B$27,I$4)))</f>
        <v>0</v>
      </c>
      <c r="J368" s="26" t="n">
        <f aca="false">IF(INDEX(Pengaturan!$B$8:$B$27,J$4)="",0,COUNTIF(Data!$B368:$U368,INDEX(Pengaturan!$B$8:$B$27,J$4)))</f>
        <v>0</v>
      </c>
      <c r="K368" s="26" t="n">
        <f aca="false">IF(INDEX(Pengaturan!$B$8:$B$27,K$4)="",0,COUNTIF(Data!$B368:$U368,INDEX(Pengaturan!$B$8:$B$27,K$4)))</f>
        <v>0</v>
      </c>
      <c r="L368" s="26" t="n">
        <f aca="false">IF(INDEX(Pengaturan!$B$8:$B$27,L$4)="",0,COUNTIF(Data!$B368:$U368,INDEX(Pengaturan!$B$8:$B$27,L$4)))</f>
        <v>0</v>
      </c>
      <c r="M368" s="26" t="n">
        <f aca="false">IF(INDEX(Pengaturan!$B$8:$B$27,M$4)="",0,COUNTIF(Data!$B368:$U368,INDEX(Pengaturan!$B$8:$B$27,M$4)))</f>
        <v>0</v>
      </c>
      <c r="N368" s="26" t="n">
        <f aca="false">IF(INDEX(Pengaturan!$B$8:$B$27,N$4)="",0,COUNTIF(Data!$B368:$U368,INDEX(Pengaturan!$B$8:$B$27,N$4)))</f>
        <v>0</v>
      </c>
      <c r="O368" s="26" t="n">
        <f aca="false">IF(INDEX(Pengaturan!$B$8:$B$27,O$4)="",0,COUNTIF(Data!$B368:$U368,INDEX(Pengaturan!$B$8:$B$27,O$4)))</f>
        <v>0</v>
      </c>
      <c r="P368" s="26" t="n">
        <f aca="false">IF(INDEX(Pengaturan!$B$8:$B$27,P$4)="",0,COUNTIF(Data!$B368:$U368,INDEX(Pengaturan!$B$8:$B$27,P$4)))</f>
        <v>0</v>
      </c>
      <c r="Q368" s="26" t="n">
        <f aca="false">IF(INDEX(Pengaturan!$B$8:$B$27,Q$4)="",0,COUNTIF(Data!$B368:$U368,INDEX(Pengaturan!$B$8:$B$27,Q$4)))</f>
        <v>0</v>
      </c>
      <c r="R368" s="26" t="n">
        <f aca="false">IF(INDEX(Pengaturan!$B$8:$B$27,R$4)="",0,COUNTIF(Data!$B368:$U368,INDEX(Pengaturan!$B$8:$B$27,R$4)))</f>
        <v>0</v>
      </c>
      <c r="S368" s="26" t="n">
        <f aca="false">IF(INDEX(Pengaturan!$B$8:$B$27,S$4)="",0,COUNTIF(Data!$B368:$U368,INDEX(Pengaturan!$B$8:$B$27,S$4)))</f>
        <v>0</v>
      </c>
      <c r="T368" s="26" t="n">
        <f aca="false">IF(INDEX(Pengaturan!$B$8:$B$27,T$4)="",0,COUNTIF(Data!$B368:$U368,INDEX(Pengaturan!$B$8:$B$27,T$4)))</f>
        <v>0</v>
      </c>
      <c r="U368" s="26" t="n">
        <f aca="false">IF(INDEX(Pengaturan!$B$8:$B$27,U$4)="",0,COUNTIF(Data!$B368:$U368,INDEX(Pengaturan!$B$8:$B$27,U$4)))</f>
        <v>0</v>
      </c>
      <c r="V368" s="26" t="n">
        <f aca="false">COUNTA(Data!$B368:$U368)</f>
        <v>0</v>
      </c>
      <c r="W368" s="27" t="str">
        <f aca="false">IF(V368=0,"",IF(V368&lt;&gt;Hasil!$C$4,"Data kosong/tidak lengkap",IF(SUM(B368:U368)&lt;&gt;V368,"Kategori tidak dikenal","OK")))</f>
        <v/>
      </c>
      <c r="X368" s="26" t="n">
        <f aca="false">IF(OR(W368="",W368="OK"),0,1)</f>
        <v>0</v>
      </c>
    </row>
    <row r="369" customFormat="false" ht="15" hidden="false" customHeight="false" outlineLevel="0" collapsed="false">
      <c r="A369" s="26" t="n">
        <f aca="false">Data!A369</f>
        <v>364</v>
      </c>
      <c r="B369" s="26" t="n">
        <f aca="false">IF(INDEX(Pengaturan!$B$8:$B$27,B$4)="",0,COUNTIF(Data!$B369:$U369,INDEX(Pengaturan!$B$8:$B$27,B$4)))</f>
        <v>0</v>
      </c>
      <c r="C369" s="26" t="n">
        <f aca="false">IF(INDEX(Pengaturan!$B$8:$B$27,C$4)="",0,COUNTIF(Data!$B369:$U369,INDEX(Pengaturan!$B$8:$B$27,C$4)))</f>
        <v>0</v>
      </c>
      <c r="D369" s="26" t="n">
        <f aca="false">IF(INDEX(Pengaturan!$B$8:$B$27,D$4)="",0,COUNTIF(Data!$B369:$U369,INDEX(Pengaturan!$B$8:$B$27,D$4)))</f>
        <v>0</v>
      </c>
      <c r="E369" s="26" t="n">
        <f aca="false">IF(INDEX(Pengaturan!$B$8:$B$27,E$4)="",0,COUNTIF(Data!$B369:$U369,INDEX(Pengaturan!$B$8:$B$27,E$4)))</f>
        <v>0</v>
      </c>
      <c r="F369" s="26" t="n">
        <f aca="false">IF(INDEX(Pengaturan!$B$8:$B$27,F$4)="",0,COUNTIF(Data!$B369:$U369,INDEX(Pengaturan!$B$8:$B$27,F$4)))</f>
        <v>0</v>
      </c>
      <c r="G369" s="26" t="n">
        <f aca="false">IF(INDEX(Pengaturan!$B$8:$B$27,G$4)="",0,COUNTIF(Data!$B369:$U369,INDEX(Pengaturan!$B$8:$B$27,G$4)))</f>
        <v>0</v>
      </c>
      <c r="H369" s="26" t="n">
        <f aca="false">IF(INDEX(Pengaturan!$B$8:$B$27,H$4)="",0,COUNTIF(Data!$B369:$U369,INDEX(Pengaturan!$B$8:$B$27,H$4)))</f>
        <v>0</v>
      </c>
      <c r="I369" s="26" t="n">
        <f aca="false">IF(INDEX(Pengaturan!$B$8:$B$27,I$4)="",0,COUNTIF(Data!$B369:$U369,INDEX(Pengaturan!$B$8:$B$27,I$4)))</f>
        <v>0</v>
      </c>
      <c r="J369" s="26" t="n">
        <f aca="false">IF(INDEX(Pengaturan!$B$8:$B$27,J$4)="",0,COUNTIF(Data!$B369:$U369,INDEX(Pengaturan!$B$8:$B$27,J$4)))</f>
        <v>0</v>
      </c>
      <c r="K369" s="26" t="n">
        <f aca="false">IF(INDEX(Pengaturan!$B$8:$B$27,K$4)="",0,COUNTIF(Data!$B369:$U369,INDEX(Pengaturan!$B$8:$B$27,K$4)))</f>
        <v>0</v>
      </c>
      <c r="L369" s="26" t="n">
        <f aca="false">IF(INDEX(Pengaturan!$B$8:$B$27,L$4)="",0,COUNTIF(Data!$B369:$U369,INDEX(Pengaturan!$B$8:$B$27,L$4)))</f>
        <v>0</v>
      </c>
      <c r="M369" s="26" t="n">
        <f aca="false">IF(INDEX(Pengaturan!$B$8:$B$27,M$4)="",0,COUNTIF(Data!$B369:$U369,INDEX(Pengaturan!$B$8:$B$27,M$4)))</f>
        <v>0</v>
      </c>
      <c r="N369" s="26" t="n">
        <f aca="false">IF(INDEX(Pengaturan!$B$8:$B$27,N$4)="",0,COUNTIF(Data!$B369:$U369,INDEX(Pengaturan!$B$8:$B$27,N$4)))</f>
        <v>0</v>
      </c>
      <c r="O369" s="26" t="n">
        <f aca="false">IF(INDEX(Pengaturan!$B$8:$B$27,O$4)="",0,COUNTIF(Data!$B369:$U369,INDEX(Pengaturan!$B$8:$B$27,O$4)))</f>
        <v>0</v>
      </c>
      <c r="P369" s="26" t="n">
        <f aca="false">IF(INDEX(Pengaturan!$B$8:$B$27,P$4)="",0,COUNTIF(Data!$B369:$U369,INDEX(Pengaturan!$B$8:$B$27,P$4)))</f>
        <v>0</v>
      </c>
      <c r="Q369" s="26" t="n">
        <f aca="false">IF(INDEX(Pengaturan!$B$8:$B$27,Q$4)="",0,COUNTIF(Data!$B369:$U369,INDEX(Pengaturan!$B$8:$B$27,Q$4)))</f>
        <v>0</v>
      </c>
      <c r="R369" s="26" t="n">
        <f aca="false">IF(INDEX(Pengaturan!$B$8:$B$27,R$4)="",0,COUNTIF(Data!$B369:$U369,INDEX(Pengaturan!$B$8:$B$27,R$4)))</f>
        <v>0</v>
      </c>
      <c r="S369" s="26" t="n">
        <f aca="false">IF(INDEX(Pengaturan!$B$8:$B$27,S$4)="",0,COUNTIF(Data!$B369:$U369,INDEX(Pengaturan!$B$8:$B$27,S$4)))</f>
        <v>0</v>
      </c>
      <c r="T369" s="26" t="n">
        <f aca="false">IF(INDEX(Pengaturan!$B$8:$B$27,T$4)="",0,COUNTIF(Data!$B369:$U369,INDEX(Pengaturan!$B$8:$B$27,T$4)))</f>
        <v>0</v>
      </c>
      <c r="U369" s="26" t="n">
        <f aca="false">IF(INDEX(Pengaturan!$B$8:$B$27,U$4)="",0,COUNTIF(Data!$B369:$U369,INDEX(Pengaturan!$B$8:$B$27,U$4)))</f>
        <v>0</v>
      </c>
      <c r="V369" s="26" t="n">
        <f aca="false">COUNTA(Data!$B369:$U369)</f>
        <v>0</v>
      </c>
      <c r="W369" s="27" t="str">
        <f aca="false">IF(V369=0,"",IF(V369&lt;&gt;Hasil!$C$4,"Data kosong/tidak lengkap",IF(SUM(B369:U369)&lt;&gt;V369,"Kategori tidak dikenal","OK")))</f>
        <v/>
      </c>
      <c r="X369" s="26" t="n">
        <f aca="false">IF(OR(W369="",W369="OK"),0,1)</f>
        <v>0</v>
      </c>
    </row>
    <row r="370" customFormat="false" ht="15" hidden="false" customHeight="false" outlineLevel="0" collapsed="false">
      <c r="A370" s="26" t="n">
        <f aca="false">Data!A370</f>
        <v>365</v>
      </c>
      <c r="B370" s="26" t="n">
        <f aca="false">IF(INDEX(Pengaturan!$B$8:$B$27,B$4)="",0,COUNTIF(Data!$B370:$U370,INDEX(Pengaturan!$B$8:$B$27,B$4)))</f>
        <v>0</v>
      </c>
      <c r="C370" s="26" t="n">
        <f aca="false">IF(INDEX(Pengaturan!$B$8:$B$27,C$4)="",0,COUNTIF(Data!$B370:$U370,INDEX(Pengaturan!$B$8:$B$27,C$4)))</f>
        <v>0</v>
      </c>
      <c r="D370" s="26" t="n">
        <f aca="false">IF(INDEX(Pengaturan!$B$8:$B$27,D$4)="",0,COUNTIF(Data!$B370:$U370,INDEX(Pengaturan!$B$8:$B$27,D$4)))</f>
        <v>0</v>
      </c>
      <c r="E370" s="26" t="n">
        <f aca="false">IF(INDEX(Pengaturan!$B$8:$B$27,E$4)="",0,COUNTIF(Data!$B370:$U370,INDEX(Pengaturan!$B$8:$B$27,E$4)))</f>
        <v>0</v>
      </c>
      <c r="F370" s="26" t="n">
        <f aca="false">IF(INDEX(Pengaturan!$B$8:$B$27,F$4)="",0,COUNTIF(Data!$B370:$U370,INDEX(Pengaturan!$B$8:$B$27,F$4)))</f>
        <v>0</v>
      </c>
      <c r="G370" s="26" t="n">
        <f aca="false">IF(INDEX(Pengaturan!$B$8:$B$27,G$4)="",0,COUNTIF(Data!$B370:$U370,INDEX(Pengaturan!$B$8:$B$27,G$4)))</f>
        <v>0</v>
      </c>
      <c r="H370" s="26" t="n">
        <f aca="false">IF(INDEX(Pengaturan!$B$8:$B$27,H$4)="",0,COUNTIF(Data!$B370:$U370,INDEX(Pengaturan!$B$8:$B$27,H$4)))</f>
        <v>0</v>
      </c>
      <c r="I370" s="26" t="n">
        <f aca="false">IF(INDEX(Pengaturan!$B$8:$B$27,I$4)="",0,COUNTIF(Data!$B370:$U370,INDEX(Pengaturan!$B$8:$B$27,I$4)))</f>
        <v>0</v>
      </c>
      <c r="J370" s="26" t="n">
        <f aca="false">IF(INDEX(Pengaturan!$B$8:$B$27,J$4)="",0,COUNTIF(Data!$B370:$U370,INDEX(Pengaturan!$B$8:$B$27,J$4)))</f>
        <v>0</v>
      </c>
      <c r="K370" s="26" t="n">
        <f aca="false">IF(INDEX(Pengaturan!$B$8:$B$27,K$4)="",0,COUNTIF(Data!$B370:$U370,INDEX(Pengaturan!$B$8:$B$27,K$4)))</f>
        <v>0</v>
      </c>
      <c r="L370" s="26" t="n">
        <f aca="false">IF(INDEX(Pengaturan!$B$8:$B$27,L$4)="",0,COUNTIF(Data!$B370:$U370,INDEX(Pengaturan!$B$8:$B$27,L$4)))</f>
        <v>0</v>
      </c>
      <c r="M370" s="26" t="n">
        <f aca="false">IF(INDEX(Pengaturan!$B$8:$B$27,M$4)="",0,COUNTIF(Data!$B370:$U370,INDEX(Pengaturan!$B$8:$B$27,M$4)))</f>
        <v>0</v>
      </c>
      <c r="N370" s="26" t="n">
        <f aca="false">IF(INDEX(Pengaturan!$B$8:$B$27,N$4)="",0,COUNTIF(Data!$B370:$U370,INDEX(Pengaturan!$B$8:$B$27,N$4)))</f>
        <v>0</v>
      </c>
      <c r="O370" s="26" t="n">
        <f aca="false">IF(INDEX(Pengaturan!$B$8:$B$27,O$4)="",0,COUNTIF(Data!$B370:$U370,INDEX(Pengaturan!$B$8:$B$27,O$4)))</f>
        <v>0</v>
      </c>
      <c r="P370" s="26" t="n">
        <f aca="false">IF(INDEX(Pengaturan!$B$8:$B$27,P$4)="",0,COUNTIF(Data!$B370:$U370,INDEX(Pengaturan!$B$8:$B$27,P$4)))</f>
        <v>0</v>
      </c>
      <c r="Q370" s="26" t="n">
        <f aca="false">IF(INDEX(Pengaturan!$B$8:$B$27,Q$4)="",0,COUNTIF(Data!$B370:$U370,INDEX(Pengaturan!$B$8:$B$27,Q$4)))</f>
        <v>0</v>
      </c>
      <c r="R370" s="26" t="n">
        <f aca="false">IF(INDEX(Pengaturan!$B$8:$B$27,R$4)="",0,COUNTIF(Data!$B370:$U370,INDEX(Pengaturan!$B$8:$B$27,R$4)))</f>
        <v>0</v>
      </c>
      <c r="S370" s="26" t="n">
        <f aca="false">IF(INDEX(Pengaturan!$B$8:$B$27,S$4)="",0,COUNTIF(Data!$B370:$U370,INDEX(Pengaturan!$B$8:$B$27,S$4)))</f>
        <v>0</v>
      </c>
      <c r="T370" s="26" t="n">
        <f aca="false">IF(INDEX(Pengaturan!$B$8:$B$27,T$4)="",0,COUNTIF(Data!$B370:$U370,INDEX(Pengaturan!$B$8:$B$27,T$4)))</f>
        <v>0</v>
      </c>
      <c r="U370" s="26" t="n">
        <f aca="false">IF(INDEX(Pengaturan!$B$8:$B$27,U$4)="",0,COUNTIF(Data!$B370:$U370,INDEX(Pengaturan!$B$8:$B$27,U$4)))</f>
        <v>0</v>
      </c>
      <c r="V370" s="26" t="n">
        <f aca="false">COUNTA(Data!$B370:$U370)</f>
        <v>0</v>
      </c>
      <c r="W370" s="27" t="str">
        <f aca="false">IF(V370=0,"",IF(V370&lt;&gt;Hasil!$C$4,"Data kosong/tidak lengkap",IF(SUM(B370:U370)&lt;&gt;V370,"Kategori tidak dikenal","OK")))</f>
        <v/>
      </c>
      <c r="X370" s="26" t="n">
        <f aca="false">IF(OR(W370="",W370="OK"),0,1)</f>
        <v>0</v>
      </c>
    </row>
    <row r="371" customFormat="false" ht="15" hidden="false" customHeight="false" outlineLevel="0" collapsed="false">
      <c r="A371" s="26" t="n">
        <f aca="false">Data!A371</f>
        <v>366</v>
      </c>
      <c r="B371" s="26" t="n">
        <f aca="false">IF(INDEX(Pengaturan!$B$8:$B$27,B$4)="",0,COUNTIF(Data!$B371:$U371,INDEX(Pengaturan!$B$8:$B$27,B$4)))</f>
        <v>0</v>
      </c>
      <c r="C371" s="26" t="n">
        <f aca="false">IF(INDEX(Pengaturan!$B$8:$B$27,C$4)="",0,COUNTIF(Data!$B371:$U371,INDEX(Pengaturan!$B$8:$B$27,C$4)))</f>
        <v>0</v>
      </c>
      <c r="D371" s="26" t="n">
        <f aca="false">IF(INDEX(Pengaturan!$B$8:$B$27,D$4)="",0,COUNTIF(Data!$B371:$U371,INDEX(Pengaturan!$B$8:$B$27,D$4)))</f>
        <v>0</v>
      </c>
      <c r="E371" s="26" t="n">
        <f aca="false">IF(INDEX(Pengaturan!$B$8:$B$27,E$4)="",0,COUNTIF(Data!$B371:$U371,INDEX(Pengaturan!$B$8:$B$27,E$4)))</f>
        <v>0</v>
      </c>
      <c r="F371" s="26" t="n">
        <f aca="false">IF(INDEX(Pengaturan!$B$8:$B$27,F$4)="",0,COUNTIF(Data!$B371:$U371,INDEX(Pengaturan!$B$8:$B$27,F$4)))</f>
        <v>0</v>
      </c>
      <c r="G371" s="26" t="n">
        <f aca="false">IF(INDEX(Pengaturan!$B$8:$B$27,G$4)="",0,COUNTIF(Data!$B371:$U371,INDEX(Pengaturan!$B$8:$B$27,G$4)))</f>
        <v>0</v>
      </c>
      <c r="H371" s="26" t="n">
        <f aca="false">IF(INDEX(Pengaturan!$B$8:$B$27,H$4)="",0,COUNTIF(Data!$B371:$U371,INDEX(Pengaturan!$B$8:$B$27,H$4)))</f>
        <v>0</v>
      </c>
      <c r="I371" s="26" t="n">
        <f aca="false">IF(INDEX(Pengaturan!$B$8:$B$27,I$4)="",0,COUNTIF(Data!$B371:$U371,INDEX(Pengaturan!$B$8:$B$27,I$4)))</f>
        <v>0</v>
      </c>
      <c r="J371" s="26" t="n">
        <f aca="false">IF(INDEX(Pengaturan!$B$8:$B$27,J$4)="",0,COUNTIF(Data!$B371:$U371,INDEX(Pengaturan!$B$8:$B$27,J$4)))</f>
        <v>0</v>
      </c>
      <c r="K371" s="26" t="n">
        <f aca="false">IF(INDEX(Pengaturan!$B$8:$B$27,K$4)="",0,COUNTIF(Data!$B371:$U371,INDEX(Pengaturan!$B$8:$B$27,K$4)))</f>
        <v>0</v>
      </c>
      <c r="L371" s="26" t="n">
        <f aca="false">IF(INDEX(Pengaturan!$B$8:$B$27,L$4)="",0,COUNTIF(Data!$B371:$U371,INDEX(Pengaturan!$B$8:$B$27,L$4)))</f>
        <v>0</v>
      </c>
      <c r="M371" s="26" t="n">
        <f aca="false">IF(INDEX(Pengaturan!$B$8:$B$27,M$4)="",0,COUNTIF(Data!$B371:$U371,INDEX(Pengaturan!$B$8:$B$27,M$4)))</f>
        <v>0</v>
      </c>
      <c r="N371" s="26" t="n">
        <f aca="false">IF(INDEX(Pengaturan!$B$8:$B$27,N$4)="",0,COUNTIF(Data!$B371:$U371,INDEX(Pengaturan!$B$8:$B$27,N$4)))</f>
        <v>0</v>
      </c>
      <c r="O371" s="26" t="n">
        <f aca="false">IF(INDEX(Pengaturan!$B$8:$B$27,O$4)="",0,COUNTIF(Data!$B371:$U371,INDEX(Pengaturan!$B$8:$B$27,O$4)))</f>
        <v>0</v>
      </c>
      <c r="P371" s="26" t="n">
        <f aca="false">IF(INDEX(Pengaturan!$B$8:$B$27,P$4)="",0,COUNTIF(Data!$B371:$U371,INDEX(Pengaturan!$B$8:$B$27,P$4)))</f>
        <v>0</v>
      </c>
      <c r="Q371" s="26" t="n">
        <f aca="false">IF(INDEX(Pengaturan!$B$8:$B$27,Q$4)="",0,COUNTIF(Data!$B371:$U371,INDEX(Pengaturan!$B$8:$B$27,Q$4)))</f>
        <v>0</v>
      </c>
      <c r="R371" s="26" t="n">
        <f aca="false">IF(INDEX(Pengaturan!$B$8:$B$27,R$4)="",0,COUNTIF(Data!$B371:$U371,INDEX(Pengaturan!$B$8:$B$27,R$4)))</f>
        <v>0</v>
      </c>
      <c r="S371" s="26" t="n">
        <f aca="false">IF(INDEX(Pengaturan!$B$8:$B$27,S$4)="",0,COUNTIF(Data!$B371:$U371,INDEX(Pengaturan!$B$8:$B$27,S$4)))</f>
        <v>0</v>
      </c>
      <c r="T371" s="26" t="n">
        <f aca="false">IF(INDEX(Pengaturan!$B$8:$B$27,T$4)="",0,COUNTIF(Data!$B371:$U371,INDEX(Pengaturan!$B$8:$B$27,T$4)))</f>
        <v>0</v>
      </c>
      <c r="U371" s="26" t="n">
        <f aca="false">IF(INDEX(Pengaturan!$B$8:$B$27,U$4)="",0,COUNTIF(Data!$B371:$U371,INDEX(Pengaturan!$B$8:$B$27,U$4)))</f>
        <v>0</v>
      </c>
      <c r="V371" s="26" t="n">
        <f aca="false">COUNTA(Data!$B371:$U371)</f>
        <v>0</v>
      </c>
      <c r="W371" s="27" t="str">
        <f aca="false">IF(V371=0,"",IF(V371&lt;&gt;Hasil!$C$4,"Data kosong/tidak lengkap",IF(SUM(B371:U371)&lt;&gt;V371,"Kategori tidak dikenal","OK")))</f>
        <v/>
      </c>
      <c r="X371" s="26" t="n">
        <f aca="false">IF(OR(W371="",W371="OK"),0,1)</f>
        <v>0</v>
      </c>
    </row>
    <row r="372" customFormat="false" ht="15" hidden="false" customHeight="false" outlineLevel="0" collapsed="false">
      <c r="A372" s="26" t="n">
        <f aca="false">Data!A372</f>
        <v>367</v>
      </c>
      <c r="B372" s="26" t="n">
        <f aca="false">IF(INDEX(Pengaturan!$B$8:$B$27,B$4)="",0,COUNTIF(Data!$B372:$U372,INDEX(Pengaturan!$B$8:$B$27,B$4)))</f>
        <v>0</v>
      </c>
      <c r="C372" s="26" t="n">
        <f aca="false">IF(INDEX(Pengaturan!$B$8:$B$27,C$4)="",0,COUNTIF(Data!$B372:$U372,INDEX(Pengaturan!$B$8:$B$27,C$4)))</f>
        <v>0</v>
      </c>
      <c r="D372" s="26" t="n">
        <f aca="false">IF(INDEX(Pengaturan!$B$8:$B$27,D$4)="",0,COUNTIF(Data!$B372:$U372,INDEX(Pengaturan!$B$8:$B$27,D$4)))</f>
        <v>0</v>
      </c>
      <c r="E372" s="26" t="n">
        <f aca="false">IF(INDEX(Pengaturan!$B$8:$B$27,E$4)="",0,COUNTIF(Data!$B372:$U372,INDEX(Pengaturan!$B$8:$B$27,E$4)))</f>
        <v>0</v>
      </c>
      <c r="F372" s="26" t="n">
        <f aca="false">IF(INDEX(Pengaturan!$B$8:$B$27,F$4)="",0,COUNTIF(Data!$B372:$U372,INDEX(Pengaturan!$B$8:$B$27,F$4)))</f>
        <v>0</v>
      </c>
      <c r="G372" s="26" t="n">
        <f aca="false">IF(INDEX(Pengaturan!$B$8:$B$27,G$4)="",0,COUNTIF(Data!$B372:$U372,INDEX(Pengaturan!$B$8:$B$27,G$4)))</f>
        <v>0</v>
      </c>
      <c r="H372" s="26" t="n">
        <f aca="false">IF(INDEX(Pengaturan!$B$8:$B$27,H$4)="",0,COUNTIF(Data!$B372:$U372,INDEX(Pengaturan!$B$8:$B$27,H$4)))</f>
        <v>0</v>
      </c>
      <c r="I372" s="26" t="n">
        <f aca="false">IF(INDEX(Pengaturan!$B$8:$B$27,I$4)="",0,COUNTIF(Data!$B372:$U372,INDEX(Pengaturan!$B$8:$B$27,I$4)))</f>
        <v>0</v>
      </c>
      <c r="J372" s="26" t="n">
        <f aca="false">IF(INDEX(Pengaturan!$B$8:$B$27,J$4)="",0,COUNTIF(Data!$B372:$U372,INDEX(Pengaturan!$B$8:$B$27,J$4)))</f>
        <v>0</v>
      </c>
      <c r="K372" s="26" t="n">
        <f aca="false">IF(INDEX(Pengaturan!$B$8:$B$27,K$4)="",0,COUNTIF(Data!$B372:$U372,INDEX(Pengaturan!$B$8:$B$27,K$4)))</f>
        <v>0</v>
      </c>
      <c r="L372" s="26" t="n">
        <f aca="false">IF(INDEX(Pengaturan!$B$8:$B$27,L$4)="",0,COUNTIF(Data!$B372:$U372,INDEX(Pengaturan!$B$8:$B$27,L$4)))</f>
        <v>0</v>
      </c>
      <c r="M372" s="26" t="n">
        <f aca="false">IF(INDEX(Pengaturan!$B$8:$B$27,M$4)="",0,COUNTIF(Data!$B372:$U372,INDEX(Pengaturan!$B$8:$B$27,M$4)))</f>
        <v>0</v>
      </c>
      <c r="N372" s="26" t="n">
        <f aca="false">IF(INDEX(Pengaturan!$B$8:$B$27,N$4)="",0,COUNTIF(Data!$B372:$U372,INDEX(Pengaturan!$B$8:$B$27,N$4)))</f>
        <v>0</v>
      </c>
      <c r="O372" s="26" t="n">
        <f aca="false">IF(INDEX(Pengaturan!$B$8:$B$27,O$4)="",0,COUNTIF(Data!$B372:$U372,INDEX(Pengaturan!$B$8:$B$27,O$4)))</f>
        <v>0</v>
      </c>
      <c r="P372" s="26" t="n">
        <f aca="false">IF(INDEX(Pengaturan!$B$8:$B$27,P$4)="",0,COUNTIF(Data!$B372:$U372,INDEX(Pengaturan!$B$8:$B$27,P$4)))</f>
        <v>0</v>
      </c>
      <c r="Q372" s="26" t="n">
        <f aca="false">IF(INDEX(Pengaturan!$B$8:$B$27,Q$4)="",0,COUNTIF(Data!$B372:$U372,INDEX(Pengaturan!$B$8:$B$27,Q$4)))</f>
        <v>0</v>
      </c>
      <c r="R372" s="26" t="n">
        <f aca="false">IF(INDEX(Pengaturan!$B$8:$B$27,R$4)="",0,COUNTIF(Data!$B372:$U372,INDEX(Pengaturan!$B$8:$B$27,R$4)))</f>
        <v>0</v>
      </c>
      <c r="S372" s="26" t="n">
        <f aca="false">IF(INDEX(Pengaturan!$B$8:$B$27,S$4)="",0,COUNTIF(Data!$B372:$U372,INDEX(Pengaturan!$B$8:$B$27,S$4)))</f>
        <v>0</v>
      </c>
      <c r="T372" s="26" t="n">
        <f aca="false">IF(INDEX(Pengaturan!$B$8:$B$27,T$4)="",0,COUNTIF(Data!$B372:$U372,INDEX(Pengaturan!$B$8:$B$27,T$4)))</f>
        <v>0</v>
      </c>
      <c r="U372" s="26" t="n">
        <f aca="false">IF(INDEX(Pengaturan!$B$8:$B$27,U$4)="",0,COUNTIF(Data!$B372:$U372,INDEX(Pengaturan!$B$8:$B$27,U$4)))</f>
        <v>0</v>
      </c>
      <c r="V372" s="26" t="n">
        <f aca="false">COUNTA(Data!$B372:$U372)</f>
        <v>0</v>
      </c>
      <c r="W372" s="27" t="str">
        <f aca="false">IF(V372=0,"",IF(V372&lt;&gt;Hasil!$C$4,"Data kosong/tidak lengkap",IF(SUM(B372:U372)&lt;&gt;V372,"Kategori tidak dikenal","OK")))</f>
        <v/>
      </c>
      <c r="X372" s="26" t="n">
        <f aca="false">IF(OR(W372="",W372="OK"),0,1)</f>
        <v>0</v>
      </c>
    </row>
    <row r="373" customFormat="false" ht="15" hidden="false" customHeight="false" outlineLevel="0" collapsed="false">
      <c r="A373" s="26" t="n">
        <f aca="false">Data!A373</f>
        <v>368</v>
      </c>
      <c r="B373" s="26" t="n">
        <f aca="false">IF(INDEX(Pengaturan!$B$8:$B$27,B$4)="",0,COUNTIF(Data!$B373:$U373,INDEX(Pengaturan!$B$8:$B$27,B$4)))</f>
        <v>0</v>
      </c>
      <c r="C373" s="26" t="n">
        <f aca="false">IF(INDEX(Pengaturan!$B$8:$B$27,C$4)="",0,COUNTIF(Data!$B373:$U373,INDEX(Pengaturan!$B$8:$B$27,C$4)))</f>
        <v>0</v>
      </c>
      <c r="D373" s="26" t="n">
        <f aca="false">IF(INDEX(Pengaturan!$B$8:$B$27,D$4)="",0,COUNTIF(Data!$B373:$U373,INDEX(Pengaturan!$B$8:$B$27,D$4)))</f>
        <v>0</v>
      </c>
      <c r="E373" s="26" t="n">
        <f aca="false">IF(INDEX(Pengaturan!$B$8:$B$27,E$4)="",0,COUNTIF(Data!$B373:$U373,INDEX(Pengaturan!$B$8:$B$27,E$4)))</f>
        <v>0</v>
      </c>
      <c r="F373" s="26" t="n">
        <f aca="false">IF(INDEX(Pengaturan!$B$8:$B$27,F$4)="",0,COUNTIF(Data!$B373:$U373,INDEX(Pengaturan!$B$8:$B$27,F$4)))</f>
        <v>0</v>
      </c>
      <c r="G373" s="26" t="n">
        <f aca="false">IF(INDEX(Pengaturan!$B$8:$B$27,G$4)="",0,COUNTIF(Data!$B373:$U373,INDEX(Pengaturan!$B$8:$B$27,G$4)))</f>
        <v>0</v>
      </c>
      <c r="H373" s="26" t="n">
        <f aca="false">IF(INDEX(Pengaturan!$B$8:$B$27,H$4)="",0,COUNTIF(Data!$B373:$U373,INDEX(Pengaturan!$B$8:$B$27,H$4)))</f>
        <v>0</v>
      </c>
      <c r="I373" s="26" t="n">
        <f aca="false">IF(INDEX(Pengaturan!$B$8:$B$27,I$4)="",0,COUNTIF(Data!$B373:$U373,INDEX(Pengaturan!$B$8:$B$27,I$4)))</f>
        <v>0</v>
      </c>
      <c r="J373" s="26" t="n">
        <f aca="false">IF(INDEX(Pengaturan!$B$8:$B$27,J$4)="",0,COUNTIF(Data!$B373:$U373,INDEX(Pengaturan!$B$8:$B$27,J$4)))</f>
        <v>0</v>
      </c>
      <c r="K373" s="26" t="n">
        <f aca="false">IF(INDEX(Pengaturan!$B$8:$B$27,K$4)="",0,COUNTIF(Data!$B373:$U373,INDEX(Pengaturan!$B$8:$B$27,K$4)))</f>
        <v>0</v>
      </c>
      <c r="L373" s="26" t="n">
        <f aca="false">IF(INDEX(Pengaturan!$B$8:$B$27,L$4)="",0,COUNTIF(Data!$B373:$U373,INDEX(Pengaturan!$B$8:$B$27,L$4)))</f>
        <v>0</v>
      </c>
      <c r="M373" s="26" t="n">
        <f aca="false">IF(INDEX(Pengaturan!$B$8:$B$27,M$4)="",0,COUNTIF(Data!$B373:$U373,INDEX(Pengaturan!$B$8:$B$27,M$4)))</f>
        <v>0</v>
      </c>
      <c r="N373" s="26" t="n">
        <f aca="false">IF(INDEX(Pengaturan!$B$8:$B$27,N$4)="",0,COUNTIF(Data!$B373:$U373,INDEX(Pengaturan!$B$8:$B$27,N$4)))</f>
        <v>0</v>
      </c>
      <c r="O373" s="26" t="n">
        <f aca="false">IF(INDEX(Pengaturan!$B$8:$B$27,O$4)="",0,COUNTIF(Data!$B373:$U373,INDEX(Pengaturan!$B$8:$B$27,O$4)))</f>
        <v>0</v>
      </c>
      <c r="P373" s="26" t="n">
        <f aca="false">IF(INDEX(Pengaturan!$B$8:$B$27,P$4)="",0,COUNTIF(Data!$B373:$U373,INDEX(Pengaturan!$B$8:$B$27,P$4)))</f>
        <v>0</v>
      </c>
      <c r="Q373" s="26" t="n">
        <f aca="false">IF(INDEX(Pengaturan!$B$8:$B$27,Q$4)="",0,COUNTIF(Data!$B373:$U373,INDEX(Pengaturan!$B$8:$B$27,Q$4)))</f>
        <v>0</v>
      </c>
      <c r="R373" s="26" t="n">
        <f aca="false">IF(INDEX(Pengaturan!$B$8:$B$27,R$4)="",0,COUNTIF(Data!$B373:$U373,INDEX(Pengaturan!$B$8:$B$27,R$4)))</f>
        <v>0</v>
      </c>
      <c r="S373" s="26" t="n">
        <f aca="false">IF(INDEX(Pengaturan!$B$8:$B$27,S$4)="",0,COUNTIF(Data!$B373:$U373,INDEX(Pengaturan!$B$8:$B$27,S$4)))</f>
        <v>0</v>
      </c>
      <c r="T373" s="26" t="n">
        <f aca="false">IF(INDEX(Pengaturan!$B$8:$B$27,T$4)="",0,COUNTIF(Data!$B373:$U373,INDEX(Pengaturan!$B$8:$B$27,T$4)))</f>
        <v>0</v>
      </c>
      <c r="U373" s="26" t="n">
        <f aca="false">IF(INDEX(Pengaturan!$B$8:$B$27,U$4)="",0,COUNTIF(Data!$B373:$U373,INDEX(Pengaturan!$B$8:$B$27,U$4)))</f>
        <v>0</v>
      </c>
      <c r="V373" s="26" t="n">
        <f aca="false">COUNTA(Data!$B373:$U373)</f>
        <v>0</v>
      </c>
      <c r="W373" s="27" t="str">
        <f aca="false">IF(V373=0,"",IF(V373&lt;&gt;Hasil!$C$4,"Data kosong/tidak lengkap",IF(SUM(B373:U373)&lt;&gt;V373,"Kategori tidak dikenal","OK")))</f>
        <v/>
      </c>
      <c r="X373" s="26" t="n">
        <f aca="false">IF(OR(W373="",W373="OK"),0,1)</f>
        <v>0</v>
      </c>
    </row>
    <row r="374" customFormat="false" ht="15" hidden="false" customHeight="false" outlineLevel="0" collapsed="false">
      <c r="A374" s="26" t="n">
        <f aca="false">Data!A374</f>
        <v>369</v>
      </c>
      <c r="B374" s="26" t="n">
        <f aca="false">IF(INDEX(Pengaturan!$B$8:$B$27,B$4)="",0,COUNTIF(Data!$B374:$U374,INDEX(Pengaturan!$B$8:$B$27,B$4)))</f>
        <v>0</v>
      </c>
      <c r="C374" s="26" t="n">
        <f aca="false">IF(INDEX(Pengaturan!$B$8:$B$27,C$4)="",0,COUNTIF(Data!$B374:$U374,INDEX(Pengaturan!$B$8:$B$27,C$4)))</f>
        <v>0</v>
      </c>
      <c r="D374" s="26" t="n">
        <f aca="false">IF(INDEX(Pengaturan!$B$8:$B$27,D$4)="",0,COUNTIF(Data!$B374:$U374,INDEX(Pengaturan!$B$8:$B$27,D$4)))</f>
        <v>0</v>
      </c>
      <c r="E374" s="26" t="n">
        <f aca="false">IF(INDEX(Pengaturan!$B$8:$B$27,E$4)="",0,COUNTIF(Data!$B374:$U374,INDEX(Pengaturan!$B$8:$B$27,E$4)))</f>
        <v>0</v>
      </c>
      <c r="F374" s="26" t="n">
        <f aca="false">IF(INDEX(Pengaturan!$B$8:$B$27,F$4)="",0,COUNTIF(Data!$B374:$U374,INDEX(Pengaturan!$B$8:$B$27,F$4)))</f>
        <v>0</v>
      </c>
      <c r="G374" s="26" t="n">
        <f aca="false">IF(INDEX(Pengaturan!$B$8:$B$27,G$4)="",0,COUNTIF(Data!$B374:$U374,INDEX(Pengaturan!$B$8:$B$27,G$4)))</f>
        <v>0</v>
      </c>
      <c r="H374" s="26" t="n">
        <f aca="false">IF(INDEX(Pengaturan!$B$8:$B$27,H$4)="",0,COUNTIF(Data!$B374:$U374,INDEX(Pengaturan!$B$8:$B$27,H$4)))</f>
        <v>0</v>
      </c>
      <c r="I374" s="26" t="n">
        <f aca="false">IF(INDEX(Pengaturan!$B$8:$B$27,I$4)="",0,COUNTIF(Data!$B374:$U374,INDEX(Pengaturan!$B$8:$B$27,I$4)))</f>
        <v>0</v>
      </c>
      <c r="J374" s="26" t="n">
        <f aca="false">IF(INDEX(Pengaturan!$B$8:$B$27,J$4)="",0,COUNTIF(Data!$B374:$U374,INDEX(Pengaturan!$B$8:$B$27,J$4)))</f>
        <v>0</v>
      </c>
      <c r="K374" s="26" t="n">
        <f aca="false">IF(INDEX(Pengaturan!$B$8:$B$27,K$4)="",0,COUNTIF(Data!$B374:$U374,INDEX(Pengaturan!$B$8:$B$27,K$4)))</f>
        <v>0</v>
      </c>
      <c r="L374" s="26" t="n">
        <f aca="false">IF(INDEX(Pengaturan!$B$8:$B$27,L$4)="",0,COUNTIF(Data!$B374:$U374,INDEX(Pengaturan!$B$8:$B$27,L$4)))</f>
        <v>0</v>
      </c>
      <c r="M374" s="26" t="n">
        <f aca="false">IF(INDEX(Pengaturan!$B$8:$B$27,M$4)="",0,COUNTIF(Data!$B374:$U374,INDEX(Pengaturan!$B$8:$B$27,M$4)))</f>
        <v>0</v>
      </c>
      <c r="N374" s="26" t="n">
        <f aca="false">IF(INDEX(Pengaturan!$B$8:$B$27,N$4)="",0,COUNTIF(Data!$B374:$U374,INDEX(Pengaturan!$B$8:$B$27,N$4)))</f>
        <v>0</v>
      </c>
      <c r="O374" s="26" t="n">
        <f aca="false">IF(INDEX(Pengaturan!$B$8:$B$27,O$4)="",0,COUNTIF(Data!$B374:$U374,INDEX(Pengaturan!$B$8:$B$27,O$4)))</f>
        <v>0</v>
      </c>
      <c r="P374" s="26" t="n">
        <f aca="false">IF(INDEX(Pengaturan!$B$8:$B$27,P$4)="",0,COUNTIF(Data!$B374:$U374,INDEX(Pengaturan!$B$8:$B$27,P$4)))</f>
        <v>0</v>
      </c>
      <c r="Q374" s="26" t="n">
        <f aca="false">IF(INDEX(Pengaturan!$B$8:$B$27,Q$4)="",0,COUNTIF(Data!$B374:$U374,INDEX(Pengaturan!$B$8:$B$27,Q$4)))</f>
        <v>0</v>
      </c>
      <c r="R374" s="26" t="n">
        <f aca="false">IF(INDEX(Pengaturan!$B$8:$B$27,R$4)="",0,COUNTIF(Data!$B374:$U374,INDEX(Pengaturan!$B$8:$B$27,R$4)))</f>
        <v>0</v>
      </c>
      <c r="S374" s="26" t="n">
        <f aca="false">IF(INDEX(Pengaturan!$B$8:$B$27,S$4)="",0,COUNTIF(Data!$B374:$U374,INDEX(Pengaturan!$B$8:$B$27,S$4)))</f>
        <v>0</v>
      </c>
      <c r="T374" s="26" t="n">
        <f aca="false">IF(INDEX(Pengaturan!$B$8:$B$27,T$4)="",0,COUNTIF(Data!$B374:$U374,INDEX(Pengaturan!$B$8:$B$27,T$4)))</f>
        <v>0</v>
      </c>
      <c r="U374" s="26" t="n">
        <f aca="false">IF(INDEX(Pengaturan!$B$8:$B$27,U$4)="",0,COUNTIF(Data!$B374:$U374,INDEX(Pengaturan!$B$8:$B$27,U$4)))</f>
        <v>0</v>
      </c>
      <c r="V374" s="26" t="n">
        <f aca="false">COUNTA(Data!$B374:$U374)</f>
        <v>0</v>
      </c>
      <c r="W374" s="27" t="str">
        <f aca="false">IF(V374=0,"",IF(V374&lt;&gt;Hasil!$C$4,"Data kosong/tidak lengkap",IF(SUM(B374:U374)&lt;&gt;V374,"Kategori tidak dikenal","OK")))</f>
        <v/>
      </c>
      <c r="X374" s="26" t="n">
        <f aca="false">IF(OR(W374="",W374="OK"),0,1)</f>
        <v>0</v>
      </c>
    </row>
    <row r="375" customFormat="false" ht="15" hidden="false" customHeight="false" outlineLevel="0" collapsed="false">
      <c r="A375" s="26" t="n">
        <f aca="false">Data!A375</f>
        <v>370</v>
      </c>
      <c r="B375" s="26" t="n">
        <f aca="false">IF(INDEX(Pengaturan!$B$8:$B$27,B$4)="",0,COUNTIF(Data!$B375:$U375,INDEX(Pengaturan!$B$8:$B$27,B$4)))</f>
        <v>0</v>
      </c>
      <c r="C375" s="26" t="n">
        <f aca="false">IF(INDEX(Pengaturan!$B$8:$B$27,C$4)="",0,COUNTIF(Data!$B375:$U375,INDEX(Pengaturan!$B$8:$B$27,C$4)))</f>
        <v>0</v>
      </c>
      <c r="D375" s="26" t="n">
        <f aca="false">IF(INDEX(Pengaturan!$B$8:$B$27,D$4)="",0,COUNTIF(Data!$B375:$U375,INDEX(Pengaturan!$B$8:$B$27,D$4)))</f>
        <v>0</v>
      </c>
      <c r="E375" s="26" t="n">
        <f aca="false">IF(INDEX(Pengaturan!$B$8:$B$27,E$4)="",0,COUNTIF(Data!$B375:$U375,INDEX(Pengaturan!$B$8:$B$27,E$4)))</f>
        <v>0</v>
      </c>
      <c r="F375" s="26" t="n">
        <f aca="false">IF(INDEX(Pengaturan!$B$8:$B$27,F$4)="",0,COUNTIF(Data!$B375:$U375,INDEX(Pengaturan!$B$8:$B$27,F$4)))</f>
        <v>0</v>
      </c>
      <c r="G375" s="26" t="n">
        <f aca="false">IF(INDEX(Pengaturan!$B$8:$B$27,G$4)="",0,COUNTIF(Data!$B375:$U375,INDEX(Pengaturan!$B$8:$B$27,G$4)))</f>
        <v>0</v>
      </c>
      <c r="H375" s="26" t="n">
        <f aca="false">IF(INDEX(Pengaturan!$B$8:$B$27,H$4)="",0,COUNTIF(Data!$B375:$U375,INDEX(Pengaturan!$B$8:$B$27,H$4)))</f>
        <v>0</v>
      </c>
      <c r="I375" s="26" t="n">
        <f aca="false">IF(INDEX(Pengaturan!$B$8:$B$27,I$4)="",0,COUNTIF(Data!$B375:$U375,INDEX(Pengaturan!$B$8:$B$27,I$4)))</f>
        <v>0</v>
      </c>
      <c r="J375" s="26" t="n">
        <f aca="false">IF(INDEX(Pengaturan!$B$8:$B$27,J$4)="",0,COUNTIF(Data!$B375:$U375,INDEX(Pengaturan!$B$8:$B$27,J$4)))</f>
        <v>0</v>
      </c>
      <c r="K375" s="26" t="n">
        <f aca="false">IF(INDEX(Pengaturan!$B$8:$B$27,K$4)="",0,COUNTIF(Data!$B375:$U375,INDEX(Pengaturan!$B$8:$B$27,K$4)))</f>
        <v>0</v>
      </c>
      <c r="L375" s="26" t="n">
        <f aca="false">IF(INDEX(Pengaturan!$B$8:$B$27,L$4)="",0,COUNTIF(Data!$B375:$U375,INDEX(Pengaturan!$B$8:$B$27,L$4)))</f>
        <v>0</v>
      </c>
      <c r="M375" s="26" t="n">
        <f aca="false">IF(INDEX(Pengaturan!$B$8:$B$27,M$4)="",0,COUNTIF(Data!$B375:$U375,INDEX(Pengaturan!$B$8:$B$27,M$4)))</f>
        <v>0</v>
      </c>
      <c r="N375" s="26" t="n">
        <f aca="false">IF(INDEX(Pengaturan!$B$8:$B$27,N$4)="",0,COUNTIF(Data!$B375:$U375,INDEX(Pengaturan!$B$8:$B$27,N$4)))</f>
        <v>0</v>
      </c>
      <c r="O375" s="26" t="n">
        <f aca="false">IF(INDEX(Pengaturan!$B$8:$B$27,O$4)="",0,COUNTIF(Data!$B375:$U375,INDEX(Pengaturan!$B$8:$B$27,O$4)))</f>
        <v>0</v>
      </c>
      <c r="P375" s="26" t="n">
        <f aca="false">IF(INDEX(Pengaturan!$B$8:$B$27,P$4)="",0,COUNTIF(Data!$B375:$U375,INDEX(Pengaturan!$B$8:$B$27,P$4)))</f>
        <v>0</v>
      </c>
      <c r="Q375" s="26" t="n">
        <f aca="false">IF(INDEX(Pengaturan!$B$8:$B$27,Q$4)="",0,COUNTIF(Data!$B375:$U375,INDEX(Pengaturan!$B$8:$B$27,Q$4)))</f>
        <v>0</v>
      </c>
      <c r="R375" s="26" t="n">
        <f aca="false">IF(INDEX(Pengaturan!$B$8:$B$27,R$4)="",0,COUNTIF(Data!$B375:$U375,INDEX(Pengaturan!$B$8:$B$27,R$4)))</f>
        <v>0</v>
      </c>
      <c r="S375" s="26" t="n">
        <f aca="false">IF(INDEX(Pengaturan!$B$8:$B$27,S$4)="",0,COUNTIF(Data!$B375:$U375,INDEX(Pengaturan!$B$8:$B$27,S$4)))</f>
        <v>0</v>
      </c>
      <c r="T375" s="26" t="n">
        <f aca="false">IF(INDEX(Pengaturan!$B$8:$B$27,T$4)="",0,COUNTIF(Data!$B375:$U375,INDEX(Pengaturan!$B$8:$B$27,T$4)))</f>
        <v>0</v>
      </c>
      <c r="U375" s="26" t="n">
        <f aca="false">IF(INDEX(Pengaturan!$B$8:$B$27,U$4)="",0,COUNTIF(Data!$B375:$U375,INDEX(Pengaturan!$B$8:$B$27,U$4)))</f>
        <v>0</v>
      </c>
      <c r="V375" s="26" t="n">
        <f aca="false">COUNTA(Data!$B375:$U375)</f>
        <v>0</v>
      </c>
      <c r="W375" s="27" t="str">
        <f aca="false">IF(V375=0,"",IF(V375&lt;&gt;Hasil!$C$4,"Data kosong/tidak lengkap",IF(SUM(B375:U375)&lt;&gt;V375,"Kategori tidak dikenal","OK")))</f>
        <v/>
      </c>
      <c r="X375" s="26" t="n">
        <f aca="false">IF(OR(W375="",W375="OK"),0,1)</f>
        <v>0</v>
      </c>
    </row>
    <row r="376" customFormat="false" ht="15" hidden="false" customHeight="false" outlineLevel="0" collapsed="false">
      <c r="A376" s="26" t="n">
        <f aca="false">Data!A376</f>
        <v>371</v>
      </c>
      <c r="B376" s="26" t="n">
        <f aca="false">IF(INDEX(Pengaturan!$B$8:$B$27,B$4)="",0,COUNTIF(Data!$B376:$U376,INDEX(Pengaturan!$B$8:$B$27,B$4)))</f>
        <v>0</v>
      </c>
      <c r="C376" s="26" t="n">
        <f aca="false">IF(INDEX(Pengaturan!$B$8:$B$27,C$4)="",0,COUNTIF(Data!$B376:$U376,INDEX(Pengaturan!$B$8:$B$27,C$4)))</f>
        <v>0</v>
      </c>
      <c r="D376" s="26" t="n">
        <f aca="false">IF(INDEX(Pengaturan!$B$8:$B$27,D$4)="",0,COUNTIF(Data!$B376:$U376,INDEX(Pengaturan!$B$8:$B$27,D$4)))</f>
        <v>0</v>
      </c>
      <c r="E376" s="26" t="n">
        <f aca="false">IF(INDEX(Pengaturan!$B$8:$B$27,E$4)="",0,COUNTIF(Data!$B376:$U376,INDEX(Pengaturan!$B$8:$B$27,E$4)))</f>
        <v>0</v>
      </c>
      <c r="F376" s="26" t="n">
        <f aca="false">IF(INDEX(Pengaturan!$B$8:$B$27,F$4)="",0,COUNTIF(Data!$B376:$U376,INDEX(Pengaturan!$B$8:$B$27,F$4)))</f>
        <v>0</v>
      </c>
      <c r="G376" s="26" t="n">
        <f aca="false">IF(INDEX(Pengaturan!$B$8:$B$27,G$4)="",0,COUNTIF(Data!$B376:$U376,INDEX(Pengaturan!$B$8:$B$27,G$4)))</f>
        <v>0</v>
      </c>
      <c r="H376" s="26" t="n">
        <f aca="false">IF(INDEX(Pengaturan!$B$8:$B$27,H$4)="",0,COUNTIF(Data!$B376:$U376,INDEX(Pengaturan!$B$8:$B$27,H$4)))</f>
        <v>0</v>
      </c>
      <c r="I376" s="26" t="n">
        <f aca="false">IF(INDEX(Pengaturan!$B$8:$B$27,I$4)="",0,COUNTIF(Data!$B376:$U376,INDEX(Pengaturan!$B$8:$B$27,I$4)))</f>
        <v>0</v>
      </c>
      <c r="J376" s="26" t="n">
        <f aca="false">IF(INDEX(Pengaturan!$B$8:$B$27,J$4)="",0,COUNTIF(Data!$B376:$U376,INDEX(Pengaturan!$B$8:$B$27,J$4)))</f>
        <v>0</v>
      </c>
      <c r="K376" s="26" t="n">
        <f aca="false">IF(INDEX(Pengaturan!$B$8:$B$27,K$4)="",0,COUNTIF(Data!$B376:$U376,INDEX(Pengaturan!$B$8:$B$27,K$4)))</f>
        <v>0</v>
      </c>
      <c r="L376" s="26" t="n">
        <f aca="false">IF(INDEX(Pengaturan!$B$8:$B$27,L$4)="",0,COUNTIF(Data!$B376:$U376,INDEX(Pengaturan!$B$8:$B$27,L$4)))</f>
        <v>0</v>
      </c>
      <c r="M376" s="26" t="n">
        <f aca="false">IF(INDEX(Pengaturan!$B$8:$B$27,M$4)="",0,COUNTIF(Data!$B376:$U376,INDEX(Pengaturan!$B$8:$B$27,M$4)))</f>
        <v>0</v>
      </c>
      <c r="N376" s="26" t="n">
        <f aca="false">IF(INDEX(Pengaturan!$B$8:$B$27,N$4)="",0,COUNTIF(Data!$B376:$U376,INDEX(Pengaturan!$B$8:$B$27,N$4)))</f>
        <v>0</v>
      </c>
      <c r="O376" s="26" t="n">
        <f aca="false">IF(INDEX(Pengaturan!$B$8:$B$27,O$4)="",0,COUNTIF(Data!$B376:$U376,INDEX(Pengaturan!$B$8:$B$27,O$4)))</f>
        <v>0</v>
      </c>
      <c r="P376" s="26" t="n">
        <f aca="false">IF(INDEX(Pengaturan!$B$8:$B$27,P$4)="",0,COUNTIF(Data!$B376:$U376,INDEX(Pengaturan!$B$8:$B$27,P$4)))</f>
        <v>0</v>
      </c>
      <c r="Q376" s="26" t="n">
        <f aca="false">IF(INDEX(Pengaturan!$B$8:$B$27,Q$4)="",0,COUNTIF(Data!$B376:$U376,INDEX(Pengaturan!$B$8:$B$27,Q$4)))</f>
        <v>0</v>
      </c>
      <c r="R376" s="26" t="n">
        <f aca="false">IF(INDEX(Pengaturan!$B$8:$B$27,R$4)="",0,COUNTIF(Data!$B376:$U376,INDEX(Pengaturan!$B$8:$B$27,R$4)))</f>
        <v>0</v>
      </c>
      <c r="S376" s="26" t="n">
        <f aca="false">IF(INDEX(Pengaturan!$B$8:$B$27,S$4)="",0,COUNTIF(Data!$B376:$U376,INDEX(Pengaturan!$B$8:$B$27,S$4)))</f>
        <v>0</v>
      </c>
      <c r="T376" s="26" t="n">
        <f aca="false">IF(INDEX(Pengaturan!$B$8:$B$27,T$4)="",0,COUNTIF(Data!$B376:$U376,INDEX(Pengaturan!$B$8:$B$27,T$4)))</f>
        <v>0</v>
      </c>
      <c r="U376" s="26" t="n">
        <f aca="false">IF(INDEX(Pengaturan!$B$8:$B$27,U$4)="",0,COUNTIF(Data!$B376:$U376,INDEX(Pengaturan!$B$8:$B$27,U$4)))</f>
        <v>0</v>
      </c>
      <c r="V376" s="26" t="n">
        <f aca="false">COUNTA(Data!$B376:$U376)</f>
        <v>0</v>
      </c>
      <c r="W376" s="27" t="str">
        <f aca="false">IF(V376=0,"",IF(V376&lt;&gt;Hasil!$C$4,"Data kosong/tidak lengkap",IF(SUM(B376:U376)&lt;&gt;V376,"Kategori tidak dikenal","OK")))</f>
        <v/>
      </c>
      <c r="X376" s="26" t="n">
        <f aca="false">IF(OR(W376="",W376="OK"),0,1)</f>
        <v>0</v>
      </c>
    </row>
    <row r="377" customFormat="false" ht="15" hidden="false" customHeight="false" outlineLevel="0" collapsed="false">
      <c r="A377" s="26" t="n">
        <f aca="false">Data!A377</f>
        <v>372</v>
      </c>
      <c r="B377" s="26" t="n">
        <f aca="false">IF(INDEX(Pengaturan!$B$8:$B$27,B$4)="",0,COUNTIF(Data!$B377:$U377,INDEX(Pengaturan!$B$8:$B$27,B$4)))</f>
        <v>0</v>
      </c>
      <c r="C377" s="26" t="n">
        <f aca="false">IF(INDEX(Pengaturan!$B$8:$B$27,C$4)="",0,COUNTIF(Data!$B377:$U377,INDEX(Pengaturan!$B$8:$B$27,C$4)))</f>
        <v>0</v>
      </c>
      <c r="D377" s="26" t="n">
        <f aca="false">IF(INDEX(Pengaturan!$B$8:$B$27,D$4)="",0,COUNTIF(Data!$B377:$U377,INDEX(Pengaturan!$B$8:$B$27,D$4)))</f>
        <v>0</v>
      </c>
      <c r="E377" s="26" t="n">
        <f aca="false">IF(INDEX(Pengaturan!$B$8:$B$27,E$4)="",0,COUNTIF(Data!$B377:$U377,INDEX(Pengaturan!$B$8:$B$27,E$4)))</f>
        <v>0</v>
      </c>
      <c r="F377" s="26" t="n">
        <f aca="false">IF(INDEX(Pengaturan!$B$8:$B$27,F$4)="",0,COUNTIF(Data!$B377:$U377,INDEX(Pengaturan!$B$8:$B$27,F$4)))</f>
        <v>0</v>
      </c>
      <c r="G377" s="26" t="n">
        <f aca="false">IF(INDEX(Pengaturan!$B$8:$B$27,G$4)="",0,COUNTIF(Data!$B377:$U377,INDEX(Pengaturan!$B$8:$B$27,G$4)))</f>
        <v>0</v>
      </c>
      <c r="H377" s="26" t="n">
        <f aca="false">IF(INDEX(Pengaturan!$B$8:$B$27,H$4)="",0,COUNTIF(Data!$B377:$U377,INDEX(Pengaturan!$B$8:$B$27,H$4)))</f>
        <v>0</v>
      </c>
      <c r="I377" s="26" t="n">
        <f aca="false">IF(INDEX(Pengaturan!$B$8:$B$27,I$4)="",0,COUNTIF(Data!$B377:$U377,INDEX(Pengaturan!$B$8:$B$27,I$4)))</f>
        <v>0</v>
      </c>
      <c r="J377" s="26" t="n">
        <f aca="false">IF(INDEX(Pengaturan!$B$8:$B$27,J$4)="",0,COUNTIF(Data!$B377:$U377,INDEX(Pengaturan!$B$8:$B$27,J$4)))</f>
        <v>0</v>
      </c>
      <c r="K377" s="26" t="n">
        <f aca="false">IF(INDEX(Pengaturan!$B$8:$B$27,K$4)="",0,COUNTIF(Data!$B377:$U377,INDEX(Pengaturan!$B$8:$B$27,K$4)))</f>
        <v>0</v>
      </c>
      <c r="L377" s="26" t="n">
        <f aca="false">IF(INDEX(Pengaturan!$B$8:$B$27,L$4)="",0,COUNTIF(Data!$B377:$U377,INDEX(Pengaturan!$B$8:$B$27,L$4)))</f>
        <v>0</v>
      </c>
      <c r="M377" s="26" t="n">
        <f aca="false">IF(INDEX(Pengaturan!$B$8:$B$27,M$4)="",0,COUNTIF(Data!$B377:$U377,INDEX(Pengaturan!$B$8:$B$27,M$4)))</f>
        <v>0</v>
      </c>
      <c r="N377" s="26" t="n">
        <f aca="false">IF(INDEX(Pengaturan!$B$8:$B$27,N$4)="",0,COUNTIF(Data!$B377:$U377,INDEX(Pengaturan!$B$8:$B$27,N$4)))</f>
        <v>0</v>
      </c>
      <c r="O377" s="26" t="n">
        <f aca="false">IF(INDEX(Pengaturan!$B$8:$B$27,O$4)="",0,COUNTIF(Data!$B377:$U377,INDEX(Pengaturan!$B$8:$B$27,O$4)))</f>
        <v>0</v>
      </c>
      <c r="P377" s="26" t="n">
        <f aca="false">IF(INDEX(Pengaturan!$B$8:$B$27,P$4)="",0,COUNTIF(Data!$B377:$U377,INDEX(Pengaturan!$B$8:$B$27,P$4)))</f>
        <v>0</v>
      </c>
      <c r="Q377" s="26" t="n">
        <f aca="false">IF(INDEX(Pengaturan!$B$8:$B$27,Q$4)="",0,COUNTIF(Data!$B377:$U377,INDEX(Pengaturan!$B$8:$B$27,Q$4)))</f>
        <v>0</v>
      </c>
      <c r="R377" s="26" t="n">
        <f aca="false">IF(INDEX(Pengaturan!$B$8:$B$27,R$4)="",0,COUNTIF(Data!$B377:$U377,INDEX(Pengaturan!$B$8:$B$27,R$4)))</f>
        <v>0</v>
      </c>
      <c r="S377" s="26" t="n">
        <f aca="false">IF(INDEX(Pengaturan!$B$8:$B$27,S$4)="",0,COUNTIF(Data!$B377:$U377,INDEX(Pengaturan!$B$8:$B$27,S$4)))</f>
        <v>0</v>
      </c>
      <c r="T377" s="26" t="n">
        <f aca="false">IF(INDEX(Pengaturan!$B$8:$B$27,T$4)="",0,COUNTIF(Data!$B377:$U377,INDEX(Pengaturan!$B$8:$B$27,T$4)))</f>
        <v>0</v>
      </c>
      <c r="U377" s="26" t="n">
        <f aca="false">IF(INDEX(Pengaturan!$B$8:$B$27,U$4)="",0,COUNTIF(Data!$B377:$U377,INDEX(Pengaturan!$B$8:$B$27,U$4)))</f>
        <v>0</v>
      </c>
      <c r="V377" s="26" t="n">
        <f aca="false">COUNTA(Data!$B377:$U377)</f>
        <v>0</v>
      </c>
      <c r="W377" s="27" t="str">
        <f aca="false">IF(V377=0,"",IF(V377&lt;&gt;Hasil!$C$4,"Data kosong/tidak lengkap",IF(SUM(B377:U377)&lt;&gt;V377,"Kategori tidak dikenal","OK")))</f>
        <v/>
      </c>
      <c r="X377" s="26" t="n">
        <f aca="false">IF(OR(W377="",W377="OK"),0,1)</f>
        <v>0</v>
      </c>
    </row>
    <row r="378" customFormat="false" ht="15" hidden="false" customHeight="false" outlineLevel="0" collapsed="false">
      <c r="A378" s="26" t="n">
        <f aca="false">Data!A378</f>
        <v>373</v>
      </c>
      <c r="B378" s="26" t="n">
        <f aca="false">IF(INDEX(Pengaturan!$B$8:$B$27,B$4)="",0,COUNTIF(Data!$B378:$U378,INDEX(Pengaturan!$B$8:$B$27,B$4)))</f>
        <v>0</v>
      </c>
      <c r="C378" s="26" t="n">
        <f aca="false">IF(INDEX(Pengaturan!$B$8:$B$27,C$4)="",0,COUNTIF(Data!$B378:$U378,INDEX(Pengaturan!$B$8:$B$27,C$4)))</f>
        <v>0</v>
      </c>
      <c r="D378" s="26" t="n">
        <f aca="false">IF(INDEX(Pengaturan!$B$8:$B$27,D$4)="",0,COUNTIF(Data!$B378:$U378,INDEX(Pengaturan!$B$8:$B$27,D$4)))</f>
        <v>0</v>
      </c>
      <c r="E378" s="26" t="n">
        <f aca="false">IF(INDEX(Pengaturan!$B$8:$B$27,E$4)="",0,COUNTIF(Data!$B378:$U378,INDEX(Pengaturan!$B$8:$B$27,E$4)))</f>
        <v>0</v>
      </c>
      <c r="F378" s="26" t="n">
        <f aca="false">IF(INDEX(Pengaturan!$B$8:$B$27,F$4)="",0,COUNTIF(Data!$B378:$U378,INDEX(Pengaturan!$B$8:$B$27,F$4)))</f>
        <v>0</v>
      </c>
      <c r="G378" s="26" t="n">
        <f aca="false">IF(INDEX(Pengaturan!$B$8:$B$27,G$4)="",0,COUNTIF(Data!$B378:$U378,INDEX(Pengaturan!$B$8:$B$27,G$4)))</f>
        <v>0</v>
      </c>
      <c r="H378" s="26" t="n">
        <f aca="false">IF(INDEX(Pengaturan!$B$8:$B$27,H$4)="",0,COUNTIF(Data!$B378:$U378,INDEX(Pengaturan!$B$8:$B$27,H$4)))</f>
        <v>0</v>
      </c>
      <c r="I378" s="26" t="n">
        <f aca="false">IF(INDEX(Pengaturan!$B$8:$B$27,I$4)="",0,COUNTIF(Data!$B378:$U378,INDEX(Pengaturan!$B$8:$B$27,I$4)))</f>
        <v>0</v>
      </c>
      <c r="J378" s="26" t="n">
        <f aca="false">IF(INDEX(Pengaturan!$B$8:$B$27,J$4)="",0,COUNTIF(Data!$B378:$U378,INDEX(Pengaturan!$B$8:$B$27,J$4)))</f>
        <v>0</v>
      </c>
      <c r="K378" s="26" t="n">
        <f aca="false">IF(INDEX(Pengaturan!$B$8:$B$27,K$4)="",0,COUNTIF(Data!$B378:$U378,INDEX(Pengaturan!$B$8:$B$27,K$4)))</f>
        <v>0</v>
      </c>
      <c r="L378" s="26" t="n">
        <f aca="false">IF(INDEX(Pengaturan!$B$8:$B$27,L$4)="",0,COUNTIF(Data!$B378:$U378,INDEX(Pengaturan!$B$8:$B$27,L$4)))</f>
        <v>0</v>
      </c>
      <c r="M378" s="26" t="n">
        <f aca="false">IF(INDEX(Pengaturan!$B$8:$B$27,M$4)="",0,COUNTIF(Data!$B378:$U378,INDEX(Pengaturan!$B$8:$B$27,M$4)))</f>
        <v>0</v>
      </c>
      <c r="N378" s="26" t="n">
        <f aca="false">IF(INDEX(Pengaturan!$B$8:$B$27,N$4)="",0,COUNTIF(Data!$B378:$U378,INDEX(Pengaturan!$B$8:$B$27,N$4)))</f>
        <v>0</v>
      </c>
      <c r="O378" s="26" t="n">
        <f aca="false">IF(INDEX(Pengaturan!$B$8:$B$27,O$4)="",0,COUNTIF(Data!$B378:$U378,INDEX(Pengaturan!$B$8:$B$27,O$4)))</f>
        <v>0</v>
      </c>
      <c r="P378" s="26" t="n">
        <f aca="false">IF(INDEX(Pengaturan!$B$8:$B$27,P$4)="",0,COUNTIF(Data!$B378:$U378,INDEX(Pengaturan!$B$8:$B$27,P$4)))</f>
        <v>0</v>
      </c>
      <c r="Q378" s="26" t="n">
        <f aca="false">IF(INDEX(Pengaturan!$B$8:$B$27,Q$4)="",0,COUNTIF(Data!$B378:$U378,INDEX(Pengaturan!$B$8:$B$27,Q$4)))</f>
        <v>0</v>
      </c>
      <c r="R378" s="26" t="n">
        <f aca="false">IF(INDEX(Pengaturan!$B$8:$B$27,R$4)="",0,COUNTIF(Data!$B378:$U378,INDEX(Pengaturan!$B$8:$B$27,R$4)))</f>
        <v>0</v>
      </c>
      <c r="S378" s="26" t="n">
        <f aca="false">IF(INDEX(Pengaturan!$B$8:$B$27,S$4)="",0,COUNTIF(Data!$B378:$U378,INDEX(Pengaturan!$B$8:$B$27,S$4)))</f>
        <v>0</v>
      </c>
      <c r="T378" s="26" t="n">
        <f aca="false">IF(INDEX(Pengaturan!$B$8:$B$27,T$4)="",0,COUNTIF(Data!$B378:$U378,INDEX(Pengaturan!$B$8:$B$27,T$4)))</f>
        <v>0</v>
      </c>
      <c r="U378" s="26" t="n">
        <f aca="false">IF(INDEX(Pengaturan!$B$8:$B$27,U$4)="",0,COUNTIF(Data!$B378:$U378,INDEX(Pengaturan!$B$8:$B$27,U$4)))</f>
        <v>0</v>
      </c>
      <c r="V378" s="26" t="n">
        <f aca="false">COUNTA(Data!$B378:$U378)</f>
        <v>0</v>
      </c>
      <c r="W378" s="27" t="str">
        <f aca="false">IF(V378=0,"",IF(V378&lt;&gt;Hasil!$C$4,"Data kosong/tidak lengkap",IF(SUM(B378:U378)&lt;&gt;V378,"Kategori tidak dikenal","OK")))</f>
        <v/>
      </c>
      <c r="X378" s="26" t="n">
        <f aca="false">IF(OR(W378="",W378="OK"),0,1)</f>
        <v>0</v>
      </c>
    </row>
    <row r="379" customFormat="false" ht="15" hidden="false" customHeight="false" outlineLevel="0" collapsed="false">
      <c r="A379" s="26" t="n">
        <f aca="false">Data!A379</f>
        <v>374</v>
      </c>
      <c r="B379" s="26" t="n">
        <f aca="false">IF(INDEX(Pengaturan!$B$8:$B$27,B$4)="",0,COUNTIF(Data!$B379:$U379,INDEX(Pengaturan!$B$8:$B$27,B$4)))</f>
        <v>0</v>
      </c>
      <c r="C379" s="26" t="n">
        <f aca="false">IF(INDEX(Pengaturan!$B$8:$B$27,C$4)="",0,COUNTIF(Data!$B379:$U379,INDEX(Pengaturan!$B$8:$B$27,C$4)))</f>
        <v>0</v>
      </c>
      <c r="D379" s="26" t="n">
        <f aca="false">IF(INDEX(Pengaturan!$B$8:$B$27,D$4)="",0,COUNTIF(Data!$B379:$U379,INDEX(Pengaturan!$B$8:$B$27,D$4)))</f>
        <v>0</v>
      </c>
      <c r="E379" s="26" t="n">
        <f aca="false">IF(INDEX(Pengaturan!$B$8:$B$27,E$4)="",0,COUNTIF(Data!$B379:$U379,INDEX(Pengaturan!$B$8:$B$27,E$4)))</f>
        <v>0</v>
      </c>
      <c r="F379" s="26" t="n">
        <f aca="false">IF(INDEX(Pengaturan!$B$8:$B$27,F$4)="",0,COUNTIF(Data!$B379:$U379,INDEX(Pengaturan!$B$8:$B$27,F$4)))</f>
        <v>0</v>
      </c>
      <c r="G379" s="26" t="n">
        <f aca="false">IF(INDEX(Pengaturan!$B$8:$B$27,G$4)="",0,COUNTIF(Data!$B379:$U379,INDEX(Pengaturan!$B$8:$B$27,G$4)))</f>
        <v>0</v>
      </c>
      <c r="H379" s="26" t="n">
        <f aca="false">IF(INDEX(Pengaturan!$B$8:$B$27,H$4)="",0,COUNTIF(Data!$B379:$U379,INDEX(Pengaturan!$B$8:$B$27,H$4)))</f>
        <v>0</v>
      </c>
      <c r="I379" s="26" t="n">
        <f aca="false">IF(INDEX(Pengaturan!$B$8:$B$27,I$4)="",0,COUNTIF(Data!$B379:$U379,INDEX(Pengaturan!$B$8:$B$27,I$4)))</f>
        <v>0</v>
      </c>
      <c r="J379" s="26" t="n">
        <f aca="false">IF(INDEX(Pengaturan!$B$8:$B$27,J$4)="",0,COUNTIF(Data!$B379:$U379,INDEX(Pengaturan!$B$8:$B$27,J$4)))</f>
        <v>0</v>
      </c>
      <c r="K379" s="26" t="n">
        <f aca="false">IF(INDEX(Pengaturan!$B$8:$B$27,K$4)="",0,COUNTIF(Data!$B379:$U379,INDEX(Pengaturan!$B$8:$B$27,K$4)))</f>
        <v>0</v>
      </c>
      <c r="L379" s="26" t="n">
        <f aca="false">IF(INDEX(Pengaturan!$B$8:$B$27,L$4)="",0,COUNTIF(Data!$B379:$U379,INDEX(Pengaturan!$B$8:$B$27,L$4)))</f>
        <v>0</v>
      </c>
      <c r="M379" s="26" t="n">
        <f aca="false">IF(INDEX(Pengaturan!$B$8:$B$27,M$4)="",0,COUNTIF(Data!$B379:$U379,INDEX(Pengaturan!$B$8:$B$27,M$4)))</f>
        <v>0</v>
      </c>
      <c r="N379" s="26" t="n">
        <f aca="false">IF(INDEX(Pengaturan!$B$8:$B$27,N$4)="",0,COUNTIF(Data!$B379:$U379,INDEX(Pengaturan!$B$8:$B$27,N$4)))</f>
        <v>0</v>
      </c>
      <c r="O379" s="26" t="n">
        <f aca="false">IF(INDEX(Pengaturan!$B$8:$B$27,O$4)="",0,COUNTIF(Data!$B379:$U379,INDEX(Pengaturan!$B$8:$B$27,O$4)))</f>
        <v>0</v>
      </c>
      <c r="P379" s="26" t="n">
        <f aca="false">IF(INDEX(Pengaturan!$B$8:$B$27,P$4)="",0,COUNTIF(Data!$B379:$U379,INDEX(Pengaturan!$B$8:$B$27,P$4)))</f>
        <v>0</v>
      </c>
      <c r="Q379" s="26" t="n">
        <f aca="false">IF(INDEX(Pengaturan!$B$8:$B$27,Q$4)="",0,COUNTIF(Data!$B379:$U379,INDEX(Pengaturan!$B$8:$B$27,Q$4)))</f>
        <v>0</v>
      </c>
      <c r="R379" s="26" t="n">
        <f aca="false">IF(INDEX(Pengaturan!$B$8:$B$27,R$4)="",0,COUNTIF(Data!$B379:$U379,INDEX(Pengaturan!$B$8:$B$27,R$4)))</f>
        <v>0</v>
      </c>
      <c r="S379" s="26" t="n">
        <f aca="false">IF(INDEX(Pengaturan!$B$8:$B$27,S$4)="",0,COUNTIF(Data!$B379:$U379,INDEX(Pengaturan!$B$8:$B$27,S$4)))</f>
        <v>0</v>
      </c>
      <c r="T379" s="26" t="n">
        <f aca="false">IF(INDEX(Pengaturan!$B$8:$B$27,T$4)="",0,COUNTIF(Data!$B379:$U379,INDEX(Pengaturan!$B$8:$B$27,T$4)))</f>
        <v>0</v>
      </c>
      <c r="U379" s="26" t="n">
        <f aca="false">IF(INDEX(Pengaturan!$B$8:$B$27,U$4)="",0,COUNTIF(Data!$B379:$U379,INDEX(Pengaturan!$B$8:$B$27,U$4)))</f>
        <v>0</v>
      </c>
      <c r="V379" s="26" t="n">
        <f aca="false">COUNTA(Data!$B379:$U379)</f>
        <v>0</v>
      </c>
      <c r="W379" s="27" t="str">
        <f aca="false">IF(V379=0,"",IF(V379&lt;&gt;Hasil!$C$4,"Data kosong/tidak lengkap",IF(SUM(B379:U379)&lt;&gt;V379,"Kategori tidak dikenal","OK")))</f>
        <v/>
      </c>
      <c r="X379" s="26" t="n">
        <f aca="false">IF(OR(W379="",W379="OK"),0,1)</f>
        <v>0</v>
      </c>
    </row>
    <row r="380" customFormat="false" ht="15" hidden="false" customHeight="false" outlineLevel="0" collapsed="false">
      <c r="A380" s="26" t="n">
        <f aca="false">Data!A380</f>
        <v>375</v>
      </c>
      <c r="B380" s="26" t="n">
        <f aca="false">IF(INDEX(Pengaturan!$B$8:$B$27,B$4)="",0,COUNTIF(Data!$B380:$U380,INDEX(Pengaturan!$B$8:$B$27,B$4)))</f>
        <v>0</v>
      </c>
      <c r="C380" s="26" t="n">
        <f aca="false">IF(INDEX(Pengaturan!$B$8:$B$27,C$4)="",0,COUNTIF(Data!$B380:$U380,INDEX(Pengaturan!$B$8:$B$27,C$4)))</f>
        <v>0</v>
      </c>
      <c r="D380" s="26" t="n">
        <f aca="false">IF(INDEX(Pengaturan!$B$8:$B$27,D$4)="",0,COUNTIF(Data!$B380:$U380,INDEX(Pengaturan!$B$8:$B$27,D$4)))</f>
        <v>0</v>
      </c>
      <c r="E380" s="26" t="n">
        <f aca="false">IF(INDEX(Pengaturan!$B$8:$B$27,E$4)="",0,COUNTIF(Data!$B380:$U380,INDEX(Pengaturan!$B$8:$B$27,E$4)))</f>
        <v>0</v>
      </c>
      <c r="F380" s="26" t="n">
        <f aca="false">IF(INDEX(Pengaturan!$B$8:$B$27,F$4)="",0,COUNTIF(Data!$B380:$U380,INDEX(Pengaturan!$B$8:$B$27,F$4)))</f>
        <v>0</v>
      </c>
      <c r="G380" s="26" t="n">
        <f aca="false">IF(INDEX(Pengaturan!$B$8:$B$27,G$4)="",0,COUNTIF(Data!$B380:$U380,INDEX(Pengaturan!$B$8:$B$27,G$4)))</f>
        <v>0</v>
      </c>
      <c r="H380" s="26" t="n">
        <f aca="false">IF(INDEX(Pengaturan!$B$8:$B$27,H$4)="",0,COUNTIF(Data!$B380:$U380,INDEX(Pengaturan!$B$8:$B$27,H$4)))</f>
        <v>0</v>
      </c>
      <c r="I380" s="26" t="n">
        <f aca="false">IF(INDEX(Pengaturan!$B$8:$B$27,I$4)="",0,COUNTIF(Data!$B380:$U380,INDEX(Pengaturan!$B$8:$B$27,I$4)))</f>
        <v>0</v>
      </c>
      <c r="J380" s="26" t="n">
        <f aca="false">IF(INDEX(Pengaturan!$B$8:$B$27,J$4)="",0,COUNTIF(Data!$B380:$U380,INDEX(Pengaturan!$B$8:$B$27,J$4)))</f>
        <v>0</v>
      </c>
      <c r="K380" s="26" t="n">
        <f aca="false">IF(INDEX(Pengaturan!$B$8:$B$27,K$4)="",0,COUNTIF(Data!$B380:$U380,INDEX(Pengaturan!$B$8:$B$27,K$4)))</f>
        <v>0</v>
      </c>
      <c r="L380" s="26" t="n">
        <f aca="false">IF(INDEX(Pengaturan!$B$8:$B$27,L$4)="",0,COUNTIF(Data!$B380:$U380,INDEX(Pengaturan!$B$8:$B$27,L$4)))</f>
        <v>0</v>
      </c>
      <c r="M380" s="26" t="n">
        <f aca="false">IF(INDEX(Pengaturan!$B$8:$B$27,M$4)="",0,COUNTIF(Data!$B380:$U380,INDEX(Pengaturan!$B$8:$B$27,M$4)))</f>
        <v>0</v>
      </c>
      <c r="N380" s="26" t="n">
        <f aca="false">IF(INDEX(Pengaturan!$B$8:$B$27,N$4)="",0,COUNTIF(Data!$B380:$U380,INDEX(Pengaturan!$B$8:$B$27,N$4)))</f>
        <v>0</v>
      </c>
      <c r="O380" s="26" t="n">
        <f aca="false">IF(INDEX(Pengaturan!$B$8:$B$27,O$4)="",0,COUNTIF(Data!$B380:$U380,INDEX(Pengaturan!$B$8:$B$27,O$4)))</f>
        <v>0</v>
      </c>
      <c r="P380" s="26" t="n">
        <f aca="false">IF(INDEX(Pengaturan!$B$8:$B$27,P$4)="",0,COUNTIF(Data!$B380:$U380,INDEX(Pengaturan!$B$8:$B$27,P$4)))</f>
        <v>0</v>
      </c>
      <c r="Q380" s="26" t="n">
        <f aca="false">IF(INDEX(Pengaturan!$B$8:$B$27,Q$4)="",0,COUNTIF(Data!$B380:$U380,INDEX(Pengaturan!$B$8:$B$27,Q$4)))</f>
        <v>0</v>
      </c>
      <c r="R380" s="26" t="n">
        <f aca="false">IF(INDEX(Pengaturan!$B$8:$B$27,R$4)="",0,COUNTIF(Data!$B380:$U380,INDEX(Pengaturan!$B$8:$B$27,R$4)))</f>
        <v>0</v>
      </c>
      <c r="S380" s="26" t="n">
        <f aca="false">IF(INDEX(Pengaturan!$B$8:$B$27,S$4)="",0,COUNTIF(Data!$B380:$U380,INDEX(Pengaturan!$B$8:$B$27,S$4)))</f>
        <v>0</v>
      </c>
      <c r="T380" s="26" t="n">
        <f aca="false">IF(INDEX(Pengaturan!$B$8:$B$27,T$4)="",0,COUNTIF(Data!$B380:$U380,INDEX(Pengaturan!$B$8:$B$27,T$4)))</f>
        <v>0</v>
      </c>
      <c r="U380" s="26" t="n">
        <f aca="false">IF(INDEX(Pengaturan!$B$8:$B$27,U$4)="",0,COUNTIF(Data!$B380:$U380,INDEX(Pengaturan!$B$8:$B$27,U$4)))</f>
        <v>0</v>
      </c>
      <c r="V380" s="26" t="n">
        <f aca="false">COUNTA(Data!$B380:$U380)</f>
        <v>0</v>
      </c>
      <c r="W380" s="27" t="str">
        <f aca="false">IF(V380=0,"",IF(V380&lt;&gt;Hasil!$C$4,"Data kosong/tidak lengkap",IF(SUM(B380:U380)&lt;&gt;V380,"Kategori tidak dikenal","OK")))</f>
        <v/>
      </c>
      <c r="X380" s="26" t="n">
        <f aca="false">IF(OR(W380="",W380="OK"),0,1)</f>
        <v>0</v>
      </c>
    </row>
    <row r="381" customFormat="false" ht="15" hidden="false" customHeight="false" outlineLevel="0" collapsed="false">
      <c r="A381" s="26" t="n">
        <f aca="false">Data!A381</f>
        <v>376</v>
      </c>
      <c r="B381" s="26" t="n">
        <f aca="false">IF(INDEX(Pengaturan!$B$8:$B$27,B$4)="",0,COUNTIF(Data!$B381:$U381,INDEX(Pengaturan!$B$8:$B$27,B$4)))</f>
        <v>0</v>
      </c>
      <c r="C381" s="26" t="n">
        <f aca="false">IF(INDEX(Pengaturan!$B$8:$B$27,C$4)="",0,COUNTIF(Data!$B381:$U381,INDEX(Pengaturan!$B$8:$B$27,C$4)))</f>
        <v>0</v>
      </c>
      <c r="D381" s="26" t="n">
        <f aca="false">IF(INDEX(Pengaturan!$B$8:$B$27,D$4)="",0,COUNTIF(Data!$B381:$U381,INDEX(Pengaturan!$B$8:$B$27,D$4)))</f>
        <v>0</v>
      </c>
      <c r="E381" s="26" t="n">
        <f aca="false">IF(INDEX(Pengaturan!$B$8:$B$27,E$4)="",0,COUNTIF(Data!$B381:$U381,INDEX(Pengaturan!$B$8:$B$27,E$4)))</f>
        <v>0</v>
      </c>
      <c r="F381" s="26" t="n">
        <f aca="false">IF(INDEX(Pengaturan!$B$8:$B$27,F$4)="",0,COUNTIF(Data!$B381:$U381,INDEX(Pengaturan!$B$8:$B$27,F$4)))</f>
        <v>0</v>
      </c>
      <c r="G381" s="26" t="n">
        <f aca="false">IF(INDEX(Pengaturan!$B$8:$B$27,G$4)="",0,COUNTIF(Data!$B381:$U381,INDEX(Pengaturan!$B$8:$B$27,G$4)))</f>
        <v>0</v>
      </c>
      <c r="H381" s="26" t="n">
        <f aca="false">IF(INDEX(Pengaturan!$B$8:$B$27,H$4)="",0,COUNTIF(Data!$B381:$U381,INDEX(Pengaturan!$B$8:$B$27,H$4)))</f>
        <v>0</v>
      </c>
      <c r="I381" s="26" t="n">
        <f aca="false">IF(INDEX(Pengaturan!$B$8:$B$27,I$4)="",0,COUNTIF(Data!$B381:$U381,INDEX(Pengaturan!$B$8:$B$27,I$4)))</f>
        <v>0</v>
      </c>
      <c r="J381" s="26" t="n">
        <f aca="false">IF(INDEX(Pengaturan!$B$8:$B$27,J$4)="",0,COUNTIF(Data!$B381:$U381,INDEX(Pengaturan!$B$8:$B$27,J$4)))</f>
        <v>0</v>
      </c>
      <c r="K381" s="26" t="n">
        <f aca="false">IF(INDEX(Pengaturan!$B$8:$B$27,K$4)="",0,COUNTIF(Data!$B381:$U381,INDEX(Pengaturan!$B$8:$B$27,K$4)))</f>
        <v>0</v>
      </c>
      <c r="L381" s="26" t="n">
        <f aca="false">IF(INDEX(Pengaturan!$B$8:$B$27,L$4)="",0,COUNTIF(Data!$B381:$U381,INDEX(Pengaturan!$B$8:$B$27,L$4)))</f>
        <v>0</v>
      </c>
      <c r="M381" s="26" t="n">
        <f aca="false">IF(INDEX(Pengaturan!$B$8:$B$27,M$4)="",0,COUNTIF(Data!$B381:$U381,INDEX(Pengaturan!$B$8:$B$27,M$4)))</f>
        <v>0</v>
      </c>
      <c r="N381" s="26" t="n">
        <f aca="false">IF(INDEX(Pengaturan!$B$8:$B$27,N$4)="",0,COUNTIF(Data!$B381:$U381,INDEX(Pengaturan!$B$8:$B$27,N$4)))</f>
        <v>0</v>
      </c>
      <c r="O381" s="26" t="n">
        <f aca="false">IF(INDEX(Pengaturan!$B$8:$B$27,O$4)="",0,COUNTIF(Data!$B381:$U381,INDEX(Pengaturan!$B$8:$B$27,O$4)))</f>
        <v>0</v>
      </c>
      <c r="P381" s="26" t="n">
        <f aca="false">IF(INDEX(Pengaturan!$B$8:$B$27,P$4)="",0,COUNTIF(Data!$B381:$U381,INDEX(Pengaturan!$B$8:$B$27,P$4)))</f>
        <v>0</v>
      </c>
      <c r="Q381" s="26" t="n">
        <f aca="false">IF(INDEX(Pengaturan!$B$8:$B$27,Q$4)="",0,COUNTIF(Data!$B381:$U381,INDEX(Pengaturan!$B$8:$B$27,Q$4)))</f>
        <v>0</v>
      </c>
      <c r="R381" s="26" t="n">
        <f aca="false">IF(INDEX(Pengaturan!$B$8:$B$27,R$4)="",0,COUNTIF(Data!$B381:$U381,INDEX(Pengaturan!$B$8:$B$27,R$4)))</f>
        <v>0</v>
      </c>
      <c r="S381" s="26" t="n">
        <f aca="false">IF(INDEX(Pengaturan!$B$8:$B$27,S$4)="",0,COUNTIF(Data!$B381:$U381,INDEX(Pengaturan!$B$8:$B$27,S$4)))</f>
        <v>0</v>
      </c>
      <c r="T381" s="26" t="n">
        <f aca="false">IF(INDEX(Pengaturan!$B$8:$B$27,T$4)="",0,COUNTIF(Data!$B381:$U381,INDEX(Pengaturan!$B$8:$B$27,T$4)))</f>
        <v>0</v>
      </c>
      <c r="U381" s="26" t="n">
        <f aca="false">IF(INDEX(Pengaturan!$B$8:$B$27,U$4)="",0,COUNTIF(Data!$B381:$U381,INDEX(Pengaturan!$B$8:$B$27,U$4)))</f>
        <v>0</v>
      </c>
      <c r="V381" s="26" t="n">
        <f aca="false">COUNTA(Data!$B381:$U381)</f>
        <v>0</v>
      </c>
      <c r="W381" s="27" t="str">
        <f aca="false">IF(V381=0,"",IF(V381&lt;&gt;Hasil!$C$4,"Data kosong/tidak lengkap",IF(SUM(B381:U381)&lt;&gt;V381,"Kategori tidak dikenal","OK")))</f>
        <v/>
      </c>
      <c r="X381" s="26" t="n">
        <f aca="false">IF(OR(W381="",W381="OK"),0,1)</f>
        <v>0</v>
      </c>
    </row>
    <row r="382" customFormat="false" ht="15" hidden="false" customHeight="false" outlineLevel="0" collapsed="false">
      <c r="A382" s="26" t="n">
        <f aca="false">Data!A382</f>
        <v>377</v>
      </c>
      <c r="B382" s="26" t="n">
        <f aca="false">IF(INDEX(Pengaturan!$B$8:$B$27,B$4)="",0,COUNTIF(Data!$B382:$U382,INDEX(Pengaturan!$B$8:$B$27,B$4)))</f>
        <v>0</v>
      </c>
      <c r="C382" s="26" t="n">
        <f aca="false">IF(INDEX(Pengaturan!$B$8:$B$27,C$4)="",0,COUNTIF(Data!$B382:$U382,INDEX(Pengaturan!$B$8:$B$27,C$4)))</f>
        <v>0</v>
      </c>
      <c r="D382" s="26" t="n">
        <f aca="false">IF(INDEX(Pengaturan!$B$8:$B$27,D$4)="",0,COUNTIF(Data!$B382:$U382,INDEX(Pengaturan!$B$8:$B$27,D$4)))</f>
        <v>0</v>
      </c>
      <c r="E382" s="26" t="n">
        <f aca="false">IF(INDEX(Pengaturan!$B$8:$B$27,E$4)="",0,COUNTIF(Data!$B382:$U382,INDEX(Pengaturan!$B$8:$B$27,E$4)))</f>
        <v>0</v>
      </c>
      <c r="F382" s="26" t="n">
        <f aca="false">IF(INDEX(Pengaturan!$B$8:$B$27,F$4)="",0,COUNTIF(Data!$B382:$U382,INDEX(Pengaturan!$B$8:$B$27,F$4)))</f>
        <v>0</v>
      </c>
      <c r="G382" s="26" t="n">
        <f aca="false">IF(INDEX(Pengaturan!$B$8:$B$27,G$4)="",0,COUNTIF(Data!$B382:$U382,INDEX(Pengaturan!$B$8:$B$27,G$4)))</f>
        <v>0</v>
      </c>
      <c r="H382" s="26" t="n">
        <f aca="false">IF(INDEX(Pengaturan!$B$8:$B$27,H$4)="",0,COUNTIF(Data!$B382:$U382,INDEX(Pengaturan!$B$8:$B$27,H$4)))</f>
        <v>0</v>
      </c>
      <c r="I382" s="26" t="n">
        <f aca="false">IF(INDEX(Pengaturan!$B$8:$B$27,I$4)="",0,COUNTIF(Data!$B382:$U382,INDEX(Pengaturan!$B$8:$B$27,I$4)))</f>
        <v>0</v>
      </c>
      <c r="J382" s="26" t="n">
        <f aca="false">IF(INDEX(Pengaturan!$B$8:$B$27,J$4)="",0,COUNTIF(Data!$B382:$U382,INDEX(Pengaturan!$B$8:$B$27,J$4)))</f>
        <v>0</v>
      </c>
      <c r="K382" s="26" t="n">
        <f aca="false">IF(INDEX(Pengaturan!$B$8:$B$27,K$4)="",0,COUNTIF(Data!$B382:$U382,INDEX(Pengaturan!$B$8:$B$27,K$4)))</f>
        <v>0</v>
      </c>
      <c r="L382" s="26" t="n">
        <f aca="false">IF(INDEX(Pengaturan!$B$8:$B$27,L$4)="",0,COUNTIF(Data!$B382:$U382,INDEX(Pengaturan!$B$8:$B$27,L$4)))</f>
        <v>0</v>
      </c>
      <c r="M382" s="26" t="n">
        <f aca="false">IF(INDEX(Pengaturan!$B$8:$B$27,M$4)="",0,COUNTIF(Data!$B382:$U382,INDEX(Pengaturan!$B$8:$B$27,M$4)))</f>
        <v>0</v>
      </c>
      <c r="N382" s="26" t="n">
        <f aca="false">IF(INDEX(Pengaturan!$B$8:$B$27,N$4)="",0,COUNTIF(Data!$B382:$U382,INDEX(Pengaturan!$B$8:$B$27,N$4)))</f>
        <v>0</v>
      </c>
      <c r="O382" s="26" t="n">
        <f aca="false">IF(INDEX(Pengaturan!$B$8:$B$27,O$4)="",0,COUNTIF(Data!$B382:$U382,INDEX(Pengaturan!$B$8:$B$27,O$4)))</f>
        <v>0</v>
      </c>
      <c r="P382" s="26" t="n">
        <f aca="false">IF(INDEX(Pengaturan!$B$8:$B$27,P$4)="",0,COUNTIF(Data!$B382:$U382,INDEX(Pengaturan!$B$8:$B$27,P$4)))</f>
        <v>0</v>
      </c>
      <c r="Q382" s="26" t="n">
        <f aca="false">IF(INDEX(Pengaturan!$B$8:$B$27,Q$4)="",0,COUNTIF(Data!$B382:$U382,INDEX(Pengaturan!$B$8:$B$27,Q$4)))</f>
        <v>0</v>
      </c>
      <c r="R382" s="26" t="n">
        <f aca="false">IF(INDEX(Pengaturan!$B$8:$B$27,R$4)="",0,COUNTIF(Data!$B382:$U382,INDEX(Pengaturan!$B$8:$B$27,R$4)))</f>
        <v>0</v>
      </c>
      <c r="S382" s="26" t="n">
        <f aca="false">IF(INDEX(Pengaturan!$B$8:$B$27,S$4)="",0,COUNTIF(Data!$B382:$U382,INDEX(Pengaturan!$B$8:$B$27,S$4)))</f>
        <v>0</v>
      </c>
      <c r="T382" s="26" t="n">
        <f aca="false">IF(INDEX(Pengaturan!$B$8:$B$27,T$4)="",0,COUNTIF(Data!$B382:$U382,INDEX(Pengaturan!$B$8:$B$27,T$4)))</f>
        <v>0</v>
      </c>
      <c r="U382" s="26" t="n">
        <f aca="false">IF(INDEX(Pengaturan!$B$8:$B$27,U$4)="",0,COUNTIF(Data!$B382:$U382,INDEX(Pengaturan!$B$8:$B$27,U$4)))</f>
        <v>0</v>
      </c>
      <c r="V382" s="26" t="n">
        <f aca="false">COUNTA(Data!$B382:$U382)</f>
        <v>0</v>
      </c>
      <c r="W382" s="27" t="str">
        <f aca="false">IF(V382=0,"",IF(V382&lt;&gt;Hasil!$C$4,"Data kosong/tidak lengkap",IF(SUM(B382:U382)&lt;&gt;V382,"Kategori tidak dikenal","OK")))</f>
        <v/>
      </c>
      <c r="X382" s="26" t="n">
        <f aca="false">IF(OR(W382="",W382="OK"),0,1)</f>
        <v>0</v>
      </c>
    </row>
    <row r="383" customFormat="false" ht="15" hidden="false" customHeight="false" outlineLevel="0" collapsed="false">
      <c r="A383" s="26" t="n">
        <f aca="false">Data!A383</f>
        <v>378</v>
      </c>
      <c r="B383" s="26" t="n">
        <f aca="false">IF(INDEX(Pengaturan!$B$8:$B$27,B$4)="",0,COUNTIF(Data!$B383:$U383,INDEX(Pengaturan!$B$8:$B$27,B$4)))</f>
        <v>0</v>
      </c>
      <c r="C383" s="26" t="n">
        <f aca="false">IF(INDEX(Pengaturan!$B$8:$B$27,C$4)="",0,COUNTIF(Data!$B383:$U383,INDEX(Pengaturan!$B$8:$B$27,C$4)))</f>
        <v>0</v>
      </c>
      <c r="D383" s="26" t="n">
        <f aca="false">IF(INDEX(Pengaturan!$B$8:$B$27,D$4)="",0,COUNTIF(Data!$B383:$U383,INDEX(Pengaturan!$B$8:$B$27,D$4)))</f>
        <v>0</v>
      </c>
      <c r="E383" s="26" t="n">
        <f aca="false">IF(INDEX(Pengaturan!$B$8:$B$27,E$4)="",0,COUNTIF(Data!$B383:$U383,INDEX(Pengaturan!$B$8:$B$27,E$4)))</f>
        <v>0</v>
      </c>
      <c r="F383" s="26" t="n">
        <f aca="false">IF(INDEX(Pengaturan!$B$8:$B$27,F$4)="",0,COUNTIF(Data!$B383:$U383,INDEX(Pengaturan!$B$8:$B$27,F$4)))</f>
        <v>0</v>
      </c>
      <c r="G383" s="26" t="n">
        <f aca="false">IF(INDEX(Pengaturan!$B$8:$B$27,G$4)="",0,COUNTIF(Data!$B383:$U383,INDEX(Pengaturan!$B$8:$B$27,G$4)))</f>
        <v>0</v>
      </c>
      <c r="H383" s="26" t="n">
        <f aca="false">IF(INDEX(Pengaturan!$B$8:$B$27,H$4)="",0,COUNTIF(Data!$B383:$U383,INDEX(Pengaturan!$B$8:$B$27,H$4)))</f>
        <v>0</v>
      </c>
      <c r="I383" s="26" t="n">
        <f aca="false">IF(INDEX(Pengaturan!$B$8:$B$27,I$4)="",0,COUNTIF(Data!$B383:$U383,INDEX(Pengaturan!$B$8:$B$27,I$4)))</f>
        <v>0</v>
      </c>
      <c r="J383" s="26" t="n">
        <f aca="false">IF(INDEX(Pengaturan!$B$8:$B$27,J$4)="",0,COUNTIF(Data!$B383:$U383,INDEX(Pengaturan!$B$8:$B$27,J$4)))</f>
        <v>0</v>
      </c>
      <c r="K383" s="26" t="n">
        <f aca="false">IF(INDEX(Pengaturan!$B$8:$B$27,K$4)="",0,COUNTIF(Data!$B383:$U383,INDEX(Pengaturan!$B$8:$B$27,K$4)))</f>
        <v>0</v>
      </c>
      <c r="L383" s="26" t="n">
        <f aca="false">IF(INDEX(Pengaturan!$B$8:$B$27,L$4)="",0,COUNTIF(Data!$B383:$U383,INDEX(Pengaturan!$B$8:$B$27,L$4)))</f>
        <v>0</v>
      </c>
      <c r="M383" s="26" t="n">
        <f aca="false">IF(INDEX(Pengaturan!$B$8:$B$27,M$4)="",0,COUNTIF(Data!$B383:$U383,INDEX(Pengaturan!$B$8:$B$27,M$4)))</f>
        <v>0</v>
      </c>
      <c r="N383" s="26" t="n">
        <f aca="false">IF(INDEX(Pengaturan!$B$8:$B$27,N$4)="",0,COUNTIF(Data!$B383:$U383,INDEX(Pengaturan!$B$8:$B$27,N$4)))</f>
        <v>0</v>
      </c>
      <c r="O383" s="26" t="n">
        <f aca="false">IF(INDEX(Pengaturan!$B$8:$B$27,O$4)="",0,COUNTIF(Data!$B383:$U383,INDEX(Pengaturan!$B$8:$B$27,O$4)))</f>
        <v>0</v>
      </c>
      <c r="P383" s="26" t="n">
        <f aca="false">IF(INDEX(Pengaturan!$B$8:$B$27,P$4)="",0,COUNTIF(Data!$B383:$U383,INDEX(Pengaturan!$B$8:$B$27,P$4)))</f>
        <v>0</v>
      </c>
      <c r="Q383" s="26" t="n">
        <f aca="false">IF(INDEX(Pengaturan!$B$8:$B$27,Q$4)="",0,COUNTIF(Data!$B383:$U383,INDEX(Pengaturan!$B$8:$B$27,Q$4)))</f>
        <v>0</v>
      </c>
      <c r="R383" s="26" t="n">
        <f aca="false">IF(INDEX(Pengaturan!$B$8:$B$27,R$4)="",0,COUNTIF(Data!$B383:$U383,INDEX(Pengaturan!$B$8:$B$27,R$4)))</f>
        <v>0</v>
      </c>
      <c r="S383" s="26" t="n">
        <f aca="false">IF(INDEX(Pengaturan!$B$8:$B$27,S$4)="",0,COUNTIF(Data!$B383:$U383,INDEX(Pengaturan!$B$8:$B$27,S$4)))</f>
        <v>0</v>
      </c>
      <c r="T383" s="26" t="n">
        <f aca="false">IF(INDEX(Pengaturan!$B$8:$B$27,T$4)="",0,COUNTIF(Data!$B383:$U383,INDEX(Pengaturan!$B$8:$B$27,T$4)))</f>
        <v>0</v>
      </c>
      <c r="U383" s="26" t="n">
        <f aca="false">IF(INDEX(Pengaturan!$B$8:$B$27,U$4)="",0,COUNTIF(Data!$B383:$U383,INDEX(Pengaturan!$B$8:$B$27,U$4)))</f>
        <v>0</v>
      </c>
      <c r="V383" s="26" t="n">
        <f aca="false">COUNTA(Data!$B383:$U383)</f>
        <v>0</v>
      </c>
      <c r="W383" s="27" t="str">
        <f aca="false">IF(V383=0,"",IF(V383&lt;&gt;Hasil!$C$4,"Data kosong/tidak lengkap",IF(SUM(B383:U383)&lt;&gt;V383,"Kategori tidak dikenal","OK")))</f>
        <v/>
      </c>
      <c r="X383" s="26" t="n">
        <f aca="false">IF(OR(W383="",W383="OK"),0,1)</f>
        <v>0</v>
      </c>
    </row>
    <row r="384" customFormat="false" ht="15" hidden="false" customHeight="false" outlineLevel="0" collapsed="false">
      <c r="A384" s="26" t="n">
        <f aca="false">Data!A384</f>
        <v>379</v>
      </c>
      <c r="B384" s="26" t="n">
        <f aca="false">IF(INDEX(Pengaturan!$B$8:$B$27,B$4)="",0,COUNTIF(Data!$B384:$U384,INDEX(Pengaturan!$B$8:$B$27,B$4)))</f>
        <v>0</v>
      </c>
      <c r="C384" s="26" t="n">
        <f aca="false">IF(INDEX(Pengaturan!$B$8:$B$27,C$4)="",0,COUNTIF(Data!$B384:$U384,INDEX(Pengaturan!$B$8:$B$27,C$4)))</f>
        <v>0</v>
      </c>
      <c r="D384" s="26" t="n">
        <f aca="false">IF(INDEX(Pengaturan!$B$8:$B$27,D$4)="",0,COUNTIF(Data!$B384:$U384,INDEX(Pengaturan!$B$8:$B$27,D$4)))</f>
        <v>0</v>
      </c>
      <c r="E384" s="26" t="n">
        <f aca="false">IF(INDEX(Pengaturan!$B$8:$B$27,E$4)="",0,COUNTIF(Data!$B384:$U384,INDEX(Pengaturan!$B$8:$B$27,E$4)))</f>
        <v>0</v>
      </c>
      <c r="F384" s="26" t="n">
        <f aca="false">IF(INDEX(Pengaturan!$B$8:$B$27,F$4)="",0,COUNTIF(Data!$B384:$U384,INDEX(Pengaturan!$B$8:$B$27,F$4)))</f>
        <v>0</v>
      </c>
      <c r="G384" s="26" t="n">
        <f aca="false">IF(INDEX(Pengaturan!$B$8:$B$27,G$4)="",0,COUNTIF(Data!$B384:$U384,INDEX(Pengaturan!$B$8:$B$27,G$4)))</f>
        <v>0</v>
      </c>
      <c r="H384" s="26" t="n">
        <f aca="false">IF(INDEX(Pengaturan!$B$8:$B$27,H$4)="",0,COUNTIF(Data!$B384:$U384,INDEX(Pengaturan!$B$8:$B$27,H$4)))</f>
        <v>0</v>
      </c>
      <c r="I384" s="26" t="n">
        <f aca="false">IF(INDEX(Pengaturan!$B$8:$B$27,I$4)="",0,COUNTIF(Data!$B384:$U384,INDEX(Pengaturan!$B$8:$B$27,I$4)))</f>
        <v>0</v>
      </c>
      <c r="J384" s="26" t="n">
        <f aca="false">IF(INDEX(Pengaturan!$B$8:$B$27,J$4)="",0,COUNTIF(Data!$B384:$U384,INDEX(Pengaturan!$B$8:$B$27,J$4)))</f>
        <v>0</v>
      </c>
      <c r="K384" s="26" t="n">
        <f aca="false">IF(INDEX(Pengaturan!$B$8:$B$27,K$4)="",0,COUNTIF(Data!$B384:$U384,INDEX(Pengaturan!$B$8:$B$27,K$4)))</f>
        <v>0</v>
      </c>
      <c r="L384" s="26" t="n">
        <f aca="false">IF(INDEX(Pengaturan!$B$8:$B$27,L$4)="",0,COUNTIF(Data!$B384:$U384,INDEX(Pengaturan!$B$8:$B$27,L$4)))</f>
        <v>0</v>
      </c>
      <c r="M384" s="26" t="n">
        <f aca="false">IF(INDEX(Pengaturan!$B$8:$B$27,M$4)="",0,COUNTIF(Data!$B384:$U384,INDEX(Pengaturan!$B$8:$B$27,M$4)))</f>
        <v>0</v>
      </c>
      <c r="N384" s="26" t="n">
        <f aca="false">IF(INDEX(Pengaturan!$B$8:$B$27,N$4)="",0,COUNTIF(Data!$B384:$U384,INDEX(Pengaturan!$B$8:$B$27,N$4)))</f>
        <v>0</v>
      </c>
      <c r="O384" s="26" t="n">
        <f aca="false">IF(INDEX(Pengaturan!$B$8:$B$27,O$4)="",0,COUNTIF(Data!$B384:$U384,INDEX(Pengaturan!$B$8:$B$27,O$4)))</f>
        <v>0</v>
      </c>
      <c r="P384" s="26" t="n">
        <f aca="false">IF(INDEX(Pengaturan!$B$8:$B$27,P$4)="",0,COUNTIF(Data!$B384:$U384,INDEX(Pengaturan!$B$8:$B$27,P$4)))</f>
        <v>0</v>
      </c>
      <c r="Q384" s="26" t="n">
        <f aca="false">IF(INDEX(Pengaturan!$B$8:$B$27,Q$4)="",0,COUNTIF(Data!$B384:$U384,INDEX(Pengaturan!$B$8:$B$27,Q$4)))</f>
        <v>0</v>
      </c>
      <c r="R384" s="26" t="n">
        <f aca="false">IF(INDEX(Pengaturan!$B$8:$B$27,R$4)="",0,COUNTIF(Data!$B384:$U384,INDEX(Pengaturan!$B$8:$B$27,R$4)))</f>
        <v>0</v>
      </c>
      <c r="S384" s="26" t="n">
        <f aca="false">IF(INDEX(Pengaturan!$B$8:$B$27,S$4)="",0,COUNTIF(Data!$B384:$U384,INDEX(Pengaturan!$B$8:$B$27,S$4)))</f>
        <v>0</v>
      </c>
      <c r="T384" s="26" t="n">
        <f aca="false">IF(INDEX(Pengaturan!$B$8:$B$27,T$4)="",0,COUNTIF(Data!$B384:$U384,INDEX(Pengaturan!$B$8:$B$27,T$4)))</f>
        <v>0</v>
      </c>
      <c r="U384" s="26" t="n">
        <f aca="false">IF(INDEX(Pengaturan!$B$8:$B$27,U$4)="",0,COUNTIF(Data!$B384:$U384,INDEX(Pengaturan!$B$8:$B$27,U$4)))</f>
        <v>0</v>
      </c>
      <c r="V384" s="26" t="n">
        <f aca="false">COUNTA(Data!$B384:$U384)</f>
        <v>0</v>
      </c>
      <c r="W384" s="27" t="str">
        <f aca="false">IF(V384=0,"",IF(V384&lt;&gt;Hasil!$C$4,"Data kosong/tidak lengkap",IF(SUM(B384:U384)&lt;&gt;V384,"Kategori tidak dikenal","OK")))</f>
        <v/>
      </c>
      <c r="X384" s="26" t="n">
        <f aca="false">IF(OR(W384="",W384="OK"),0,1)</f>
        <v>0</v>
      </c>
    </row>
    <row r="385" customFormat="false" ht="15" hidden="false" customHeight="false" outlineLevel="0" collapsed="false">
      <c r="A385" s="26" t="n">
        <f aca="false">Data!A385</f>
        <v>380</v>
      </c>
      <c r="B385" s="26" t="n">
        <f aca="false">IF(INDEX(Pengaturan!$B$8:$B$27,B$4)="",0,COUNTIF(Data!$B385:$U385,INDEX(Pengaturan!$B$8:$B$27,B$4)))</f>
        <v>0</v>
      </c>
      <c r="C385" s="26" t="n">
        <f aca="false">IF(INDEX(Pengaturan!$B$8:$B$27,C$4)="",0,COUNTIF(Data!$B385:$U385,INDEX(Pengaturan!$B$8:$B$27,C$4)))</f>
        <v>0</v>
      </c>
      <c r="D385" s="26" t="n">
        <f aca="false">IF(INDEX(Pengaturan!$B$8:$B$27,D$4)="",0,COUNTIF(Data!$B385:$U385,INDEX(Pengaturan!$B$8:$B$27,D$4)))</f>
        <v>0</v>
      </c>
      <c r="E385" s="26" t="n">
        <f aca="false">IF(INDEX(Pengaturan!$B$8:$B$27,E$4)="",0,COUNTIF(Data!$B385:$U385,INDEX(Pengaturan!$B$8:$B$27,E$4)))</f>
        <v>0</v>
      </c>
      <c r="F385" s="26" t="n">
        <f aca="false">IF(INDEX(Pengaturan!$B$8:$B$27,F$4)="",0,COUNTIF(Data!$B385:$U385,INDEX(Pengaturan!$B$8:$B$27,F$4)))</f>
        <v>0</v>
      </c>
      <c r="G385" s="26" t="n">
        <f aca="false">IF(INDEX(Pengaturan!$B$8:$B$27,G$4)="",0,COUNTIF(Data!$B385:$U385,INDEX(Pengaturan!$B$8:$B$27,G$4)))</f>
        <v>0</v>
      </c>
      <c r="H385" s="26" t="n">
        <f aca="false">IF(INDEX(Pengaturan!$B$8:$B$27,H$4)="",0,COUNTIF(Data!$B385:$U385,INDEX(Pengaturan!$B$8:$B$27,H$4)))</f>
        <v>0</v>
      </c>
      <c r="I385" s="26" t="n">
        <f aca="false">IF(INDEX(Pengaturan!$B$8:$B$27,I$4)="",0,COUNTIF(Data!$B385:$U385,INDEX(Pengaturan!$B$8:$B$27,I$4)))</f>
        <v>0</v>
      </c>
      <c r="J385" s="26" t="n">
        <f aca="false">IF(INDEX(Pengaturan!$B$8:$B$27,J$4)="",0,COUNTIF(Data!$B385:$U385,INDEX(Pengaturan!$B$8:$B$27,J$4)))</f>
        <v>0</v>
      </c>
      <c r="K385" s="26" t="n">
        <f aca="false">IF(INDEX(Pengaturan!$B$8:$B$27,K$4)="",0,COUNTIF(Data!$B385:$U385,INDEX(Pengaturan!$B$8:$B$27,K$4)))</f>
        <v>0</v>
      </c>
      <c r="L385" s="26" t="n">
        <f aca="false">IF(INDEX(Pengaturan!$B$8:$B$27,L$4)="",0,COUNTIF(Data!$B385:$U385,INDEX(Pengaturan!$B$8:$B$27,L$4)))</f>
        <v>0</v>
      </c>
      <c r="M385" s="26" t="n">
        <f aca="false">IF(INDEX(Pengaturan!$B$8:$B$27,M$4)="",0,COUNTIF(Data!$B385:$U385,INDEX(Pengaturan!$B$8:$B$27,M$4)))</f>
        <v>0</v>
      </c>
      <c r="N385" s="26" t="n">
        <f aca="false">IF(INDEX(Pengaturan!$B$8:$B$27,N$4)="",0,COUNTIF(Data!$B385:$U385,INDEX(Pengaturan!$B$8:$B$27,N$4)))</f>
        <v>0</v>
      </c>
      <c r="O385" s="26" t="n">
        <f aca="false">IF(INDEX(Pengaturan!$B$8:$B$27,O$4)="",0,COUNTIF(Data!$B385:$U385,INDEX(Pengaturan!$B$8:$B$27,O$4)))</f>
        <v>0</v>
      </c>
      <c r="P385" s="26" t="n">
        <f aca="false">IF(INDEX(Pengaturan!$B$8:$B$27,P$4)="",0,COUNTIF(Data!$B385:$U385,INDEX(Pengaturan!$B$8:$B$27,P$4)))</f>
        <v>0</v>
      </c>
      <c r="Q385" s="26" t="n">
        <f aca="false">IF(INDEX(Pengaturan!$B$8:$B$27,Q$4)="",0,COUNTIF(Data!$B385:$U385,INDEX(Pengaturan!$B$8:$B$27,Q$4)))</f>
        <v>0</v>
      </c>
      <c r="R385" s="26" t="n">
        <f aca="false">IF(INDEX(Pengaturan!$B$8:$B$27,R$4)="",0,COUNTIF(Data!$B385:$U385,INDEX(Pengaturan!$B$8:$B$27,R$4)))</f>
        <v>0</v>
      </c>
      <c r="S385" s="26" t="n">
        <f aca="false">IF(INDEX(Pengaturan!$B$8:$B$27,S$4)="",0,COUNTIF(Data!$B385:$U385,INDEX(Pengaturan!$B$8:$B$27,S$4)))</f>
        <v>0</v>
      </c>
      <c r="T385" s="26" t="n">
        <f aca="false">IF(INDEX(Pengaturan!$B$8:$B$27,T$4)="",0,COUNTIF(Data!$B385:$U385,INDEX(Pengaturan!$B$8:$B$27,T$4)))</f>
        <v>0</v>
      </c>
      <c r="U385" s="26" t="n">
        <f aca="false">IF(INDEX(Pengaturan!$B$8:$B$27,U$4)="",0,COUNTIF(Data!$B385:$U385,INDEX(Pengaturan!$B$8:$B$27,U$4)))</f>
        <v>0</v>
      </c>
      <c r="V385" s="26" t="n">
        <f aca="false">COUNTA(Data!$B385:$U385)</f>
        <v>0</v>
      </c>
      <c r="W385" s="27" t="str">
        <f aca="false">IF(V385=0,"",IF(V385&lt;&gt;Hasil!$C$4,"Data kosong/tidak lengkap",IF(SUM(B385:U385)&lt;&gt;V385,"Kategori tidak dikenal","OK")))</f>
        <v/>
      </c>
      <c r="X385" s="26" t="n">
        <f aca="false">IF(OR(W385="",W385="OK"),0,1)</f>
        <v>0</v>
      </c>
    </row>
    <row r="386" customFormat="false" ht="15" hidden="false" customHeight="false" outlineLevel="0" collapsed="false">
      <c r="A386" s="26" t="n">
        <f aca="false">Data!A386</f>
        <v>381</v>
      </c>
      <c r="B386" s="26" t="n">
        <f aca="false">IF(INDEX(Pengaturan!$B$8:$B$27,B$4)="",0,COUNTIF(Data!$B386:$U386,INDEX(Pengaturan!$B$8:$B$27,B$4)))</f>
        <v>0</v>
      </c>
      <c r="C386" s="26" t="n">
        <f aca="false">IF(INDEX(Pengaturan!$B$8:$B$27,C$4)="",0,COUNTIF(Data!$B386:$U386,INDEX(Pengaturan!$B$8:$B$27,C$4)))</f>
        <v>0</v>
      </c>
      <c r="D386" s="26" t="n">
        <f aca="false">IF(INDEX(Pengaturan!$B$8:$B$27,D$4)="",0,COUNTIF(Data!$B386:$U386,INDEX(Pengaturan!$B$8:$B$27,D$4)))</f>
        <v>0</v>
      </c>
      <c r="E386" s="26" t="n">
        <f aca="false">IF(INDEX(Pengaturan!$B$8:$B$27,E$4)="",0,COUNTIF(Data!$B386:$U386,INDEX(Pengaturan!$B$8:$B$27,E$4)))</f>
        <v>0</v>
      </c>
      <c r="F386" s="26" t="n">
        <f aca="false">IF(INDEX(Pengaturan!$B$8:$B$27,F$4)="",0,COUNTIF(Data!$B386:$U386,INDEX(Pengaturan!$B$8:$B$27,F$4)))</f>
        <v>0</v>
      </c>
      <c r="G386" s="26" t="n">
        <f aca="false">IF(INDEX(Pengaturan!$B$8:$B$27,G$4)="",0,COUNTIF(Data!$B386:$U386,INDEX(Pengaturan!$B$8:$B$27,G$4)))</f>
        <v>0</v>
      </c>
      <c r="H386" s="26" t="n">
        <f aca="false">IF(INDEX(Pengaturan!$B$8:$B$27,H$4)="",0,COUNTIF(Data!$B386:$U386,INDEX(Pengaturan!$B$8:$B$27,H$4)))</f>
        <v>0</v>
      </c>
      <c r="I386" s="26" t="n">
        <f aca="false">IF(INDEX(Pengaturan!$B$8:$B$27,I$4)="",0,COUNTIF(Data!$B386:$U386,INDEX(Pengaturan!$B$8:$B$27,I$4)))</f>
        <v>0</v>
      </c>
      <c r="J386" s="26" t="n">
        <f aca="false">IF(INDEX(Pengaturan!$B$8:$B$27,J$4)="",0,COUNTIF(Data!$B386:$U386,INDEX(Pengaturan!$B$8:$B$27,J$4)))</f>
        <v>0</v>
      </c>
      <c r="K386" s="26" t="n">
        <f aca="false">IF(INDEX(Pengaturan!$B$8:$B$27,K$4)="",0,COUNTIF(Data!$B386:$U386,INDEX(Pengaturan!$B$8:$B$27,K$4)))</f>
        <v>0</v>
      </c>
      <c r="L386" s="26" t="n">
        <f aca="false">IF(INDEX(Pengaturan!$B$8:$B$27,L$4)="",0,COUNTIF(Data!$B386:$U386,INDEX(Pengaturan!$B$8:$B$27,L$4)))</f>
        <v>0</v>
      </c>
      <c r="M386" s="26" t="n">
        <f aca="false">IF(INDEX(Pengaturan!$B$8:$B$27,M$4)="",0,COUNTIF(Data!$B386:$U386,INDEX(Pengaturan!$B$8:$B$27,M$4)))</f>
        <v>0</v>
      </c>
      <c r="N386" s="26" t="n">
        <f aca="false">IF(INDEX(Pengaturan!$B$8:$B$27,N$4)="",0,COUNTIF(Data!$B386:$U386,INDEX(Pengaturan!$B$8:$B$27,N$4)))</f>
        <v>0</v>
      </c>
      <c r="O386" s="26" t="n">
        <f aca="false">IF(INDEX(Pengaturan!$B$8:$B$27,O$4)="",0,COUNTIF(Data!$B386:$U386,INDEX(Pengaturan!$B$8:$B$27,O$4)))</f>
        <v>0</v>
      </c>
      <c r="P386" s="26" t="n">
        <f aca="false">IF(INDEX(Pengaturan!$B$8:$B$27,P$4)="",0,COUNTIF(Data!$B386:$U386,INDEX(Pengaturan!$B$8:$B$27,P$4)))</f>
        <v>0</v>
      </c>
      <c r="Q386" s="26" t="n">
        <f aca="false">IF(INDEX(Pengaturan!$B$8:$B$27,Q$4)="",0,COUNTIF(Data!$B386:$U386,INDEX(Pengaturan!$B$8:$B$27,Q$4)))</f>
        <v>0</v>
      </c>
      <c r="R386" s="26" t="n">
        <f aca="false">IF(INDEX(Pengaturan!$B$8:$B$27,R$4)="",0,COUNTIF(Data!$B386:$U386,INDEX(Pengaturan!$B$8:$B$27,R$4)))</f>
        <v>0</v>
      </c>
      <c r="S386" s="26" t="n">
        <f aca="false">IF(INDEX(Pengaturan!$B$8:$B$27,S$4)="",0,COUNTIF(Data!$B386:$U386,INDEX(Pengaturan!$B$8:$B$27,S$4)))</f>
        <v>0</v>
      </c>
      <c r="T386" s="26" t="n">
        <f aca="false">IF(INDEX(Pengaturan!$B$8:$B$27,T$4)="",0,COUNTIF(Data!$B386:$U386,INDEX(Pengaturan!$B$8:$B$27,T$4)))</f>
        <v>0</v>
      </c>
      <c r="U386" s="26" t="n">
        <f aca="false">IF(INDEX(Pengaturan!$B$8:$B$27,U$4)="",0,COUNTIF(Data!$B386:$U386,INDEX(Pengaturan!$B$8:$B$27,U$4)))</f>
        <v>0</v>
      </c>
      <c r="V386" s="26" t="n">
        <f aca="false">COUNTA(Data!$B386:$U386)</f>
        <v>0</v>
      </c>
      <c r="W386" s="27" t="str">
        <f aca="false">IF(V386=0,"",IF(V386&lt;&gt;Hasil!$C$4,"Data kosong/tidak lengkap",IF(SUM(B386:U386)&lt;&gt;V386,"Kategori tidak dikenal","OK")))</f>
        <v/>
      </c>
      <c r="X386" s="26" t="n">
        <f aca="false">IF(OR(W386="",W386="OK"),0,1)</f>
        <v>0</v>
      </c>
    </row>
    <row r="387" customFormat="false" ht="15" hidden="false" customHeight="false" outlineLevel="0" collapsed="false">
      <c r="A387" s="26" t="n">
        <f aca="false">Data!A387</f>
        <v>382</v>
      </c>
      <c r="B387" s="26" t="n">
        <f aca="false">IF(INDEX(Pengaturan!$B$8:$B$27,B$4)="",0,COUNTIF(Data!$B387:$U387,INDEX(Pengaturan!$B$8:$B$27,B$4)))</f>
        <v>0</v>
      </c>
      <c r="C387" s="26" t="n">
        <f aca="false">IF(INDEX(Pengaturan!$B$8:$B$27,C$4)="",0,COUNTIF(Data!$B387:$U387,INDEX(Pengaturan!$B$8:$B$27,C$4)))</f>
        <v>0</v>
      </c>
      <c r="D387" s="26" t="n">
        <f aca="false">IF(INDEX(Pengaturan!$B$8:$B$27,D$4)="",0,COUNTIF(Data!$B387:$U387,INDEX(Pengaturan!$B$8:$B$27,D$4)))</f>
        <v>0</v>
      </c>
      <c r="E387" s="26" t="n">
        <f aca="false">IF(INDEX(Pengaturan!$B$8:$B$27,E$4)="",0,COUNTIF(Data!$B387:$U387,INDEX(Pengaturan!$B$8:$B$27,E$4)))</f>
        <v>0</v>
      </c>
      <c r="F387" s="26" t="n">
        <f aca="false">IF(INDEX(Pengaturan!$B$8:$B$27,F$4)="",0,COUNTIF(Data!$B387:$U387,INDEX(Pengaturan!$B$8:$B$27,F$4)))</f>
        <v>0</v>
      </c>
      <c r="G387" s="26" t="n">
        <f aca="false">IF(INDEX(Pengaturan!$B$8:$B$27,G$4)="",0,COUNTIF(Data!$B387:$U387,INDEX(Pengaturan!$B$8:$B$27,G$4)))</f>
        <v>0</v>
      </c>
      <c r="H387" s="26" t="n">
        <f aca="false">IF(INDEX(Pengaturan!$B$8:$B$27,H$4)="",0,COUNTIF(Data!$B387:$U387,INDEX(Pengaturan!$B$8:$B$27,H$4)))</f>
        <v>0</v>
      </c>
      <c r="I387" s="26" t="n">
        <f aca="false">IF(INDEX(Pengaturan!$B$8:$B$27,I$4)="",0,COUNTIF(Data!$B387:$U387,INDEX(Pengaturan!$B$8:$B$27,I$4)))</f>
        <v>0</v>
      </c>
      <c r="J387" s="26" t="n">
        <f aca="false">IF(INDEX(Pengaturan!$B$8:$B$27,J$4)="",0,COUNTIF(Data!$B387:$U387,INDEX(Pengaturan!$B$8:$B$27,J$4)))</f>
        <v>0</v>
      </c>
      <c r="K387" s="26" t="n">
        <f aca="false">IF(INDEX(Pengaturan!$B$8:$B$27,K$4)="",0,COUNTIF(Data!$B387:$U387,INDEX(Pengaturan!$B$8:$B$27,K$4)))</f>
        <v>0</v>
      </c>
      <c r="L387" s="26" t="n">
        <f aca="false">IF(INDEX(Pengaturan!$B$8:$B$27,L$4)="",0,COUNTIF(Data!$B387:$U387,INDEX(Pengaturan!$B$8:$B$27,L$4)))</f>
        <v>0</v>
      </c>
      <c r="M387" s="26" t="n">
        <f aca="false">IF(INDEX(Pengaturan!$B$8:$B$27,M$4)="",0,COUNTIF(Data!$B387:$U387,INDEX(Pengaturan!$B$8:$B$27,M$4)))</f>
        <v>0</v>
      </c>
      <c r="N387" s="26" t="n">
        <f aca="false">IF(INDEX(Pengaturan!$B$8:$B$27,N$4)="",0,COUNTIF(Data!$B387:$U387,INDEX(Pengaturan!$B$8:$B$27,N$4)))</f>
        <v>0</v>
      </c>
      <c r="O387" s="26" t="n">
        <f aca="false">IF(INDEX(Pengaturan!$B$8:$B$27,O$4)="",0,COUNTIF(Data!$B387:$U387,INDEX(Pengaturan!$B$8:$B$27,O$4)))</f>
        <v>0</v>
      </c>
      <c r="P387" s="26" t="n">
        <f aca="false">IF(INDEX(Pengaturan!$B$8:$B$27,P$4)="",0,COUNTIF(Data!$B387:$U387,INDEX(Pengaturan!$B$8:$B$27,P$4)))</f>
        <v>0</v>
      </c>
      <c r="Q387" s="26" t="n">
        <f aca="false">IF(INDEX(Pengaturan!$B$8:$B$27,Q$4)="",0,COUNTIF(Data!$B387:$U387,INDEX(Pengaturan!$B$8:$B$27,Q$4)))</f>
        <v>0</v>
      </c>
      <c r="R387" s="26" t="n">
        <f aca="false">IF(INDEX(Pengaturan!$B$8:$B$27,R$4)="",0,COUNTIF(Data!$B387:$U387,INDEX(Pengaturan!$B$8:$B$27,R$4)))</f>
        <v>0</v>
      </c>
      <c r="S387" s="26" t="n">
        <f aca="false">IF(INDEX(Pengaturan!$B$8:$B$27,S$4)="",0,COUNTIF(Data!$B387:$U387,INDEX(Pengaturan!$B$8:$B$27,S$4)))</f>
        <v>0</v>
      </c>
      <c r="T387" s="26" t="n">
        <f aca="false">IF(INDEX(Pengaturan!$B$8:$B$27,T$4)="",0,COUNTIF(Data!$B387:$U387,INDEX(Pengaturan!$B$8:$B$27,T$4)))</f>
        <v>0</v>
      </c>
      <c r="U387" s="26" t="n">
        <f aca="false">IF(INDEX(Pengaturan!$B$8:$B$27,U$4)="",0,COUNTIF(Data!$B387:$U387,INDEX(Pengaturan!$B$8:$B$27,U$4)))</f>
        <v>0</v>
      </c>
      <c r="V387" s="26" t="n">
        <f aca="false">COUNTA(Data!$B387:$U387)</f>
        <v>0</v>
      </c>
      <c r="W387" s="27" t="str">
        <f aca="false">IF(V387=0,"",IF(V387&lt;&gt;Hasil!$C$4,"Data kosong/tidak lengkap",IF(SUM(B387:U387)&lt;&gt;V387,"Kategori tidak dikenal","OK")))</f>
        <v/>
      </c>
      <c r="X387" s="26" t="n">
        <f aca="false">IF(OR(W387="",W387="OK"),0,1)</f>
        <v>0</v>
      </c>
    </row>
    <row r="388" customFormat="false" ht="15" hidden="false" customHeight="false" outlineLevel="0" collapsed="false">
      <c r="A388" s="26" t="n">
        <f aca="false">Data!A388</f>
        <v>383</v>
      </c>
      <c r="B388" s="26" t="n">
        <f aca="false">IF(INDEX(Pengaturan!$B$8:$B$27,B$4)="",0,COUNTIF(Data!$B388:$U388,INDEX(Pengaturan!$B$8:$B$27,B$4)))</f>
        <v>0</v>
      </c>
      <c r="C388" s="26" t="n">
        <f aca="false">IF(INDEX(Pengaturan!$B$8:$B$27,C$4)="",0,COUNTIF(Data!$B388:$U388,INDEX(Pengaturan!$B$8:$B$27,C$4)))</f>
        <v>0</v>
      </c>
      <c r="D388" s="26" t="n">
        <f aca="false">IF(INDEX(Pengaturan!$B$8:$B$27,D$4)="",0,COUNTIF(Data!$B388:$U388,INDEX(Pengaturan!$B$8:$B$27,D$4)))</f>
        <v>0</v>
      </c>
      <c r="E388" s="26" t="n">
        <f aca="false">IF(INDEX(Pengaturan!$B$8:$B$27,E$4)="",0,COUNTIF(Data!$B388:$U388,INDEX(Pengaturan!$B$8:$B$27,E$4)))</f>
        <v>0</v>
      </c>
      <c r="F388" s="26" t="n">
        <f aca="false">IF(INDEX(Pengaturan!$B$8:$B$27,F$4)="",0,COUNTIF(Data!$B388:$U388,INDEX(Pengaturan!$B$8:$B$27,F$4)))</f>
        <v>0</v>
      </c>
      <c r="G388" s="26" t="n">
        <f aca="false">IF(INDEX(Pengaturan!$B$8:$B$27,G$4)="",0,COUNTIF(Data!$B388:$U388,INDEX(Pengaturan!$B$8:$B$27,G$4)))</f>
        <v>0</v>
      </c>
      <c r="H388" s="26" t="n">
        <f aca="false">IF(INDEX(Pengaturan!$B$8:$B$27,H$4)="",0,COUNTIF(Data!$B388:$U388,INDEX(Pengaturan!$B$8:$B$27,H$4)))</f>
        <v>0</v>
      </c>
      <c r="I388" s="26" t="n">
        <f aca="false">IF(INDEX(Pengaturan!$B$8:$B$27,I$4)="",0,COUNTIF(Data!$B388:$U388,INDEX(Pengaturan!$B$8:$B$27,I$4)))</f>
        <v>0</v>
      </c>
      <c r="J388" s="26" t="n">
        <f aca="false">IF(INDEX(Pengaturan!$B$8:$B$27,J$4)="",0,COUNTIF(Data!$B388:$U388,INDEX(Pengaturan!$B$8:$B$27,J$4)))</f>
        <v>0</v>
      </c>
      <c r="K388" s="26" t="n">
        <f aca="false">IF(INDEX(Pengaturan!$B$8:$B$27,K$4)="",0,COUNTIF(Data!$B388:$U388,INDEX(Pengaturan!$B$8:$B$27,K$4)))</f>
        <v>0</v>
      </c>
      <c r="L388" s="26" t="n">
        <f aca="false">IF(INDEX(Pengaturan!$B$8:$B$27,L$4)="",0,COUNTIF(Data!$B388:$U388,INDEX(Pengaturan!$B$8:$B$27,L$4)))</f>
        <v>0</v>
      </c>
      <c r="M388" s="26" t="n">
        <f aca="false">IF(INDEX(Pengaturan!$B$8:$B$27,M$4)="",0,COUNTIF(Data!$B388:$U388,INDEX(Pengaturan!$B$8:$B$27,M$4)))</f>
        <v>0</v>
      </c>
      <c r="N388" s="26" t="n">
        <f aca="false">IF(INDEX(Pengaturan!$B$8:$B$27,N$4)="",0,COUNTIF(Data!$B388:$U388,INDEX(Pengaturan!$B$8:$B$27,N$4)))</f>
        <v>0</v>
      </c>
      <c r="O388" s="26" t="n">
        <f aca="false">IF(INDEX(Pengaturan!$B$8:$B$27,O$4)="",0,COUNTIF(Data!$B388:$U388,INDEX(Pengaturan!$B$8:$B$27,O$4)))</f>
        <v>0</v>
      </c>
      <c r="P388" s="26" t="n">
        <f aca="false">IF(INDEX(Pengaturan!$B$8:$B$27,P$4)="",0,COUNTIF(Data!$B388:$U388,INDEX(Pengaturan!$B$8:$B$27,P$4)))</f>
        <v>0</v>
      </c>
      <c r="Q388" s="26" t="n">
        <f aca="false">IF(INDEX(Pengaturan!$B$8:$B$27,Q$4)="",0,COUNTIF(Data!$B388:$U388,INDEX(Pengaturan!$B$8:$B$27,Q$4)))</f>
        <v>0</v>
      </c>
      <c r="R388" s="26" t="n">
        <f aca="false">IF(INDEX(Pengaturan!$B$8:$B$27,R$4)="",0,COUNTIF(Data!$B388:$U388,INDEX(Pengaturan!$B$8:$B$27,R$4)))</f>
        <v>0</v>
      </c>
      <c r="S388" s="26" t="n">
        <f aca="false">IF(INDEX(Pengaturan!$B$8:$B$27,S$4)="",0,COUNTIF(Data!$B388:$U388,INDEX(Pengaturan!$B$8:$B$27,S$4)))</f>
        <v>0</v>
      </c>
      <c r="T388" s="26" t="n">
        <f aca="false">IF(INDEX(Pengaturan!$B$8:$B$27,T$4)="",0,COUNTIF(Data!$B388:$U388,INDEX(Pengaturan!$B$8:$B$27,T$4)))</f>
        <v>0</v>
      </c>
      <c r="U388" s="26" t="n">
        <f aca="false">IF(INDEX(Pengaturan!$B$8:$B$27,U$4)="",0,COUNTIF(Data!$B388:$U388,INDEX(Pengaturan!$B$8:$B$27,U$4)))</f>
        <v>0</v>
      </c>
      <c r="V388" s="26" t="n">
        <f aca="false">COUNTA(Data!$B388:$U388)</f>
        <v>0</v>
      </c>
      <c r="W388" s="27" t="str">
        <f aca="false">IF(V388=0,"",IF(V388&lt;&gt;Hasil!$C$4,"Data kosong/tidak lengkap",IF(SUM(B388:U388)&lt;&gt;V388,"Kategori tidak dikenal","OK")))</f>
        <v/>
      </c>
      <c r="X388" s="26" t="n">
        <f aca="false">IF(OR(W388="",W388="OK"),0,1)</f>
        <v>0</v>
      </c>
    </row>
    <row r="389" customFormat="false" ht="15" hidden="false" customHeight="false" outlineLevel="0" collapsed="false">
      <c r="A389" s="26" t="n">
        <f aca="false">Data!A389</f>
        <v>384</v>
      </c>
      <c r="B389" s="26" t="n">
        <f aca="false">IF(INDEX(Pengaturan!$B$8:$B$27,B$4)="",0,COUNTIF(Data!$B389:$U389,INDEX(Pengaturan!$B$8:$B$27,B$4)))</f>
        <v>0</v>
      </c>
      <c r="C389" s="26" t="n">
        <f aca="false">IF(INDEX(Pengaturan!$B$8:$B$27,C$4)="",0,COUNTIF(Data!$B389:$U389,INDEX(Pengaturan!$B$8:$B$27,C$4)))</f>
        <v>0</v>
      </c>
      <c r="D389" s="26" t="n">
        <f aca="false">IF(INDEX(Pengaturan!$B$8:$B$27,D$4)="",0,COUNTIF(Data!$B389:$U389,INDEX(Pengaturan!$B$8:$B$27,D$4)))</f>
        <v>0</v>
      </c>
      <c r="E389" s="26" t="n">
        <f aca="false">IF(INDEX(Pengaturan!$B$8:$B$27,E$4)="",0,COUNTIF(Data!$B389:$U389,INDEX(Pengaturan!$B$8:$B$27,E$4)))</f>
        <v>0</v>
      </c>
      <c r="F389" s="26" t="n">
        <f aca="false">IF(INDEX(Pengaturan!$B$8:$B$27,F$4)="",0,COUNTIF(Data!$B389:$U389,INDEX(Pengaturan!$B$8:$B$27,F$4)))</f>
        <v>0</v>
      </c>
      <c r="G389" s="26" t="n">
        <f aca="false">IF(INDEX(Pengaturan!$B$8:$B$27,G$4)="",0,COUNTIF(Data!$B389:$U389,INDEX(Pengaturan!$B$8:$B$27,G$4)))</f>
        <v>0</v>
      </c>
      <c r="H389" s="26" t="n">
        <f aca="false">IF(INDEX(Pengaturan!$B$8:$B$27,H$4)="",0,COUNTIF(Data!$B389:$U389,INDEX(Pengaturan!$B$8:$B$27,H$4)))</f>
        <v>0</v>
      </c>
      <c r="I389" s="26" t="n">
        <f aca="false">IF(INDEX(Pengaturan!$B$8:$B$27,I$4)="",0,COUNTIF(Data!$B389:$U389,INDEX(Pengaturan!$B$8:$B$27,I$4)))</f>
        <v>0</v>
      </c>
      <c r="J389" s="26" t="n">
        <f aca="false">IF(INDEX(Pengaturan!$B$8:$B$27,J$4)="",0,COUNTIF(Data!$B389:$U389,INDEX(Pengaturan!$B$8:$B$27,J$4)))</f>
        <v>0</v>
      </c>
      <c r="K389" s="26" t="n">
        <f aca="false">IF(INDEX(Pengaturan!$B$8:$B$27,K$4)="",0,COUNTIF(Data!$B389:$U389,INDEX(Pengaturan!$B$8:$B$27,K$4)))</f>
        <v>0</v>
      </c>
      <c r="L389" s="26" t="n">
        <f aca="false">IF(INDEX(Pengaturan!$B$8:$B$27,L$4)="",0,COUNTIF(Data!$B389:$U389,INDEX(Pengaturan!$B$8:$B$27,L$4)))</f>
        <v>0</v>
      </c>
      <c r="M389" s="26" t="n">
        <f aca="false">IF(INDEX(Pengaturan!$B$8:$B$27,M$4)="",0,COUNTIF(Data!$B389:$U389,INDEX(Pengaturan!$B$8:$B$27,M$4)))</f>
        <v>0</v>
      </c>
      <c r="N389" s="26" t="n">
        <f aca="false">IF(INDEX(Pengaturan!$B$8:$B$27,N$4)="",0,COUNTIF(Data!$B389:$U389,INDEX(Pengaturan!$B$8:$B$27,N$4)))</f>
        <v>0</v>
      </c>
      <c r="O389" s="26" t="n">
        <f aca="false">IF(INDEX(Pengaturan!$B$8:$B$27,O$4)="",0,COUNTIF(Data!$B389:$U389,INDEX(Pengaturan!$B$8:$B$27,O$4)))</f>
        <v>0</v>
      </c>
      <c r="P389" s="26" t="n">
        <f aca="false">IF(INDEX(Pengaturan!$B$8:$B$27,P$4)="",0,COUNTIF(Data!$B389:$U389,INDEX(Pengaturan!$B$8:$B$27,P$4)))</f>
        <v>0</v>
      </c>
      <c r="Q389" s="26" t="n">
        <f aca="false">IF(INDEX(Pengaturan!$B$8:$B$27,Q$4)="",0,COUNTIF(Data!$B389:$U389,INDEX(Pengaturan!$B$8:$B$27,Q$4)))</f>
        <v>0</v>
      </c>
      <c r="R389" s="26" t="n">
        <f aca="false">IF(INDEX(Pengaturan!$B$8:$B$27,R$4)="",0,COUNTIF(Data!$B389:$U389,INDEX(Pengaturan!$B$8:$B$27,R$4)))</f>
        <v>0</v>
      </c>
      <c r="S389" s="26" t="n">
        <f aca="false">IF(INDEX(Pengaturan!$B$8:$B$27,S$4)="",0,COUNTIF(Data!$B389:$U389,INDEX(Pengaturan!$B$8:$B$27,S$4)))</f>
        <v>0</v>
      </c>
      <c r="T389" s="26" t="n">
        <f aca="false">IF(INDEX(Pengaturan!$B$8:$B$27,T$4)="",0,COUNTIF(Data!$B389:$U389,INDEX(Pengaturan!$B$8:$B$27,T$4)))</f>
        <v>0</v>
      </c>
      <c r="U389" s="26" t="n">
        <f aca="false">IF(INDEX(Pengaturan!$B$8:$B$27,U$4)="",0,COUNTIF(Data!$B389:$U389,INDEX(Pengaturan!$B$8:$B$27,U$4)))</f>
        <v>0</v>
      </c>
      <c r="V389" s="26" t="n">
        <f aca="false">COUNTA(Data!$B389:$U389)</f>
        <v>0</v>
      </c>
      <c r="W389" s="27" t="str">
        <f aca="false">IF(V389=0,"",IF(V389&lt;&gt;Hasil!$C$4,"Data kosong/tidak lengkap",IF(SUM(B389:U389)&lt;&gt;V389,"Kategori tidak dikenal","OK")))</f>
        <v/>
      </c>
      <c r="X389" s="26" t="n">
        <f aca="false">IF(OR(W389="",W389="OK"),0,1)</f>
        <v>0</v>
      </c>
    </row>
    <row r="390" customFormat="false" ht="15" hidden="false" customHeight="false" outlineLevel="0" collapsed="false">
      <c r="A390" s="26" t="n">
        <f aca="false">Data!A390</f>
        <v>385</v>
      </c>
      <c r="B390" s="26" t="n">
        <f aca="false">IF(INDEX(Pengaturan!$B$8:$B$27,B$4)="",0,COUNTIF(Data!$B390:$U390,INDEX(Pengaturan!$B$8:$B$27,B$4)))</f>
        <v>0</v>
      </c>
      <c r="C390" s="26" t="n">
        <f aca="false">IF(INDEX(Pengaturan!$B$8:$B$27,C$4)="",0,COUNTIF(Data!$B390:$U390,INDEX(Pengaturan!$B$8:$B$27,C$4)))</f>
        <v>0</v>
      </c>
      <c r="D390" s="26" t="n">
        <f aca="false">IF(INDEX(Pengaturan!$B$8:$B$27,D$4)="",0,COUNTIF(Data!$B390:$U390,INDEX(Pengaturan!$B$8:$B$27,D$4)))</f>
        <v>0</v>
      </c>
      <c r="E390" s="26" t="n">
        <f aca="false">IF(INDEX(Pengaturan!$B$8:$B$27,E$4)="",0,COUNTIF(Data!$B390:$U390,INDEX(Pengaturan!$B$8:$B$27,E$4)))</f>
        <v>0</v>
      </c>
      <c r="F390" s="26" t="n">
        <f aca="false">IF(INDEX(Pengaturan!$B$8:$B$27,F$4)="",0,COUNTIF(Data!$B390:$U390,INDEX(Pengaturan!$B$8:$B$27,F$4)))</f>
        <v>0</v>
      </c>
      <c r="G390" s="26" t="n">
        <f aca="false">IF(INDEX(Pengaturan!$B$8:$B$27,G$4)="",0,COUNTIF(Data!$B390:$U390,INDEX(Pengaturan!$B$8:$B$27,G$4)))</f>
        <v>0</v>
      </c>
      <c r="H390" s="26" t="n">
        <f aca="false">IF(INDEX(Pengaturan!$B$8:$B$27,H$4)="",0,COUNTIF(Data!$B390:$U390,INDEX(Pengaturan!$B$8:$B$27,H$4)))</f>
        <v>0</v>
      </c>
      <c r="I390" s="26" t="n">
        <f aca="false">IF(INDEX(Pengaturan!$B$8:$B$27,I$4)="",0,COUNTIF(Data!$B390:$U390,INDEX(Pengaturan!$B$8:$B$27,I$4)))</f>
        <v>0</v>
      </c>
      <c r="J390" s="26" t="n">
        <f aca="false">IF(INDEX(Pengaturan!$B$8:$B$27,J$4)="",0,COUNTIF(Data!$B390:$U390,INDEX(Pengaturan!$B$8:$B$27,J$4)))</f>
        <v>0</v>
      </c>
      <c r="K390" s="26" t="n">
        <f aca="false">IF(INDEX(Pengaturan!$B$8:$B$27,K$4)="",0,COUNTIF(Data!$B390:$U390,INDEX(Pengaturan!$B$8:$B$27,K$4)))</f>
        <v>0</v>
      </c>
      <c r="L390" s="26" t="n">
        <f aca="false">IF(INDEX(Pengaturan!$B$8:$B$27,L$4)="",0,COUNTIF(Data!$B390:$U390,INDEX(Pengaturan!$B$8:$B$27,L$4)))</f>
        <v>0</v>
      </c>
      <c r="M390" s="26" t="n">
        <f aca="false">IF(INDEX(Pengaturan!$B$8:$B$27,M$4)="",0,COUNTIF(Data!$B390:$U390,INDEX(Pengaturan!$B$8:$B$27,M$4)))</f>
        <v>0</v>
      </c>
      <c r="N390" s="26" t="n">
        <f aca="false">IF(INDEX(Pengaturan!$B$8:$B$27,N$4)="",0,COUNTIF(Data!$B390:$U390,INDEX(Pengaturan!$B$8:$B$27,N$4)))</f>
        <v>0</v>
      </c>
      <c r="O390" s="26" t="n">
        <f aca="false">IF(INDEX(Pengaturan!$B$8:$B$27,O$4)="",0,COUNTIF(Data!$B390:$U390,INDEX(Pengaturan!$B$8:$B$27,O$4)))</f>
        <v>0</v>
      </c>
      <c r="P390" s="26" t="n">
        <f aca="false">IF(INDEX(Pengaturan!$B$8:$B$27,P$4)="",0,COUNTIF(Data!$B390:$U390,INDEX(Pengaturan!$B$8:$B$27,P$4)))</f>
        <v>0</v>
      </c>
      <c r="Q390" s="26" t="n">
        <f aca="false">IF(INDEX(Pengaturan!$B$8:$B$27,Q$4)="",0,COUNTIF(Data!$B390:$U390,INDEX(Pengaturan!$B$8:$B$27,Q$4)))</f>
        <v>0</v>
      </c>
      <c r="R390" s="26" t="n">
        <f aca="false">IF(INDEX(Pengaturan!$B$8:$B$27,R$4)="",0,COUNTIF(Data!$B390:$U390,INDEX(Pengaturan!$B$8:$B$27,R$4)))</f>
        <v>0</v>
      </c>
      <c r="S390" s="26" t="n">
        <f aca="false">IF(INDEX(Pengaturan!$B$8:$B$27,S$4)="",0,COUNTIF(Data!$B390:$U390,INDEX(Pengaturan!$B$8:$B$27,S$4)))</f>
        <v>0</v>
      </c>
      <c r="T390" s="26" t="n">
        <f aca="false">IF(INDEX(Pengaturan!$B$8:$B$27,T$4)="",0,COUNTIF(Data!$B390:$U390,INDEX(Pengaturan!$B$8:$B$27,T$4)))</f>
        <v>0</v>
      </c>
      <c r="U390" s="26" t="n">
        <f aca="false">IF(INDEX(Pengaturan!$B$8:$B$27,U$4)="",0,COUNTIF(Data!$B390:$U390,INDEX(Pengaturan!$B$8:$B$27,U$4)))</f>
        <v>0</v>
      </c>
      <c r="V390" s="26" t="n">
        <f aca="false">COUNTA(Data!$B390:$U390)</f>
        <v>0</v>
      </c>
      <c r="W390" s="27" t="str">
        <f aca="false">IF(V390=0,"",IF(V390&lt;&gt;Hasil!$C$4,"Data kosong/tidak lengkap",IF(SUM(B390:U390)&lt;&gt;V390,"Kategori tidak dikenal","OK")))</f>
        <v/>
      </c>
      <c r="X390" s="26" t="n">
        <f aca="false">IF(OR(W390="",W390="OK"),0,1)</f>
        <v>0</v>
      </c>
    </row>
    <row r="391" customFormat="false" ht="15" hidden="false" customHeight="false" outlineLevel="0" collapsed="false">
      <c r="A391" s="26" t="n">
        <f aca="false">Data!A391</f>
        <v>386</v>
      </c>
      <c r="B391" s="26" t="n">
        <f aca="false">IF(INDEX(Pengaturan!$B$8:$B$27,B$4)="",0,COUNTIF(Data!$B391:$U391,INDEX(Pengaturan!$B$8:$B$27,B$4)))</f>
        <v>0</v>
      </c>
      <c r="C391" s="26" t="n">
        <f aca="false">IF(INDEX(Pengaturan!$B$8:$B$27,C$4)="",0,COUNTIF(Data!$B391:$U391,INDEX(Pengaturan!$B$8:$B$27,C$4)))</f>
        <v>0</v>
      </c>
      <c r="D391" s="26" t="n">
        <f aca="false">IF(INDEX(Pengaturan!$B$8:$B$27,D$4)="",0,COUNTIF(Data!$B391:$U391,INDEX(Pengaturan!$B$8:$B$27,D$4)))</f>
        <v>0</v>
      </c>
      <c r="E391" s="26" t="n">
        <f aca="false">IF(INDEX(Pengaturan!$B$8:$B$27,E$4)="",0,COUNTIF(Data!$B391:$U391,INDEX(Pengaturan!$B$8:$B$27,E$4)))</f>
        <v>0</v>
      </c>
      <c r="F391" s="26" t="n">
        <f aca="false">IF(INDEX(Pengaturan!$B$8:$B$27,F$4)="",0,COUNTIF(Data!$B391:$U391,INDEX(Pengaturan!$B$8:$B$27,F$4)))</f>
        <v>0</v>
      </c>
      <c r="G391" s="26" t="n">
        <f aca="false">IF(INDEX(Pengaturan!$B$8:$B$27,G$4)="",0,COUNTIF(Data!$B391:$U391,INDEX(Pengaturan!$B$8:$B$27,G$4)))</f>
        <v>0</v>
      </c>
      <c r="H391" s="26" t="n">
        <f aca="false">IF(INDEX(Pengaturan!$B$8:$B$27,H$4)="",0,COUNTIF(Data!$B391:$U391,INDEX(Pengaturan!$B$8:$B$27,H$4)))</f>
        <v>0</v>
      </c>
      <c r="I391" s="26" t="n">
        <f aca="false">IF(INDEX(Pengaturan!$B$8:$B$27,I$4)="",0,COUNTIF(Data!$B391:$U391,INDEX(Pengaturan!$B$8:$B$27,I$4)))</f>
        <v>0</v>
      </c>
      <c r="J391" s="26" t="n">
        <f aca="false">IF(INDEX(Pengaturan!$B$8:$B$27,J$4)="",0,COUNTIF(Data!$B391:$U391,INDEX(Pengaturan!$B$8:$B$27,J$4)))</f>
        <v>0</v>
      </c>
      <c r="K391" s="26" t="n">
        <f aca="false">IF(INDEX(Pengaturan!$B$8:$B$27,K$4)="",0,COUNTIF(Data!$B391:$U391,INDEX(Pengaturan!$B$8:$B$27,K$4)))</f>
        <v>0</v>
      </c>
      <c r="L391" s="26" t="n">
        <f aca="false">IF(INDEX(Pengaturan!$B$8:$B$27,L$4)="",0,COUNTIF(Data!$B391:$U391,INDEX(Pengaturan!$B$8:$B$27,L$4)))</f>
        <v>0</v>
      </c>
      <c r="M391" s="26" t="n">
        <f aca="false">IF(INDEX(Pengaturan!$B$8:$B$27,M$4)="",0,COUNTIF(Data!$B391:$U391,INDEX(Pengaturan!$B$8:$B$27,M$4)))</f>
        <v>0</v>
      </c>
      <c r="N391" s="26" t="n">
        <f aca="false">IF(INDEX(Pengaturan!$B$8:$B$27,N$4)="",0,COUNTIF(Data!$B391:$U391,INDEX(Pengaturan!$B$8:$B$27,N$4)))</f>
        <v>0</v>
      </c>
      <c r="O391" s="26" t="n">
        <f aca="false">IF(INDEX(Pengaturan!$B$8:$B$27,O$4)="",0,COUNTIF(Data!$B391:$U391,INDEX(Pengaturan!$B$8:$B$27,O$4)))</f>
        <v>0</v>
      </c>
      <c r="P391" s="26" t="n">
        <f aca="false">IF(INDEX(Pengaturan!$B$8:$B$27,P$4)="",0,COUNTIF(Data!$B391:$U391,INDEX(Pengaturan!$B$8:$B$27,P$4)))</f>
        <v>0</v>
      </c>
      <c r="Q391" s="26" t="n">
        <f aca="false">IF(INDEX(Pengaturan!$B$8:$B$27,Q$4)="",0,COUNTIF(Data!$B391:$U391,INDEX(Pengaturan!$B$8:$B$27,Q$4)))</f>
        <v>0</v>
      </c>
      <c r="R391" s="26" t="n">
        <f aca="false">IF(INDEX(Pengaturan!$B$8:$B$27,R$4)="",0,COUNTIF(Data!$B391:$U391,INDEX(Pengaturan!$B$8:$B$27,R$4)))</f>
        <v>0</v>
      </c>
      <c r="S391" s="26" t="n">
        <f aca="false">IF(INDEX(Pengaturan!$B$8:$B$27,S$4)="",0,COUNTIF(Data!$B391:$U391,INDEX(Pengaturan!$B$8:$B$27,S$4)))</f>
        <v>0</v>
      </c>
      <c r="T391" s="26" t="n">
        <f aca="false">IF(INDEX(Pengaturan!$B$8:$B$27,T$4)="",0,COUNTIF(Data!$B391:$U391,INDEX(Pengaturan!$B$8:$B$27,T$4)))</f>
        <v>0</v>
      </c>
      <c r="U391" s="26" t="n">
        <f aca="false">IF(INDEX(Pengaturan!$B$8:$B$27,U$4)="",0,COUNTIF(Data!$B391:$U391,INDEX(Pengaturan!$B$8:$B$27,U$4)))</f>
        <v>0</v>
      </c>
      <c r="V391" s="26" t="n">
        <f aca="false">COUNTA(Data!$B391:$U391)</f>
        <v>0</v>
      </c>
      <c r="W391" s="27" t="str">
        <f aca="false">IF(V391=0,"",IF(V391&lt;&gt;Hasil!$C$4,"Data kosong/tidak lengkap",IF(SUM(B391:U391)&lt;&gt;V391,"Kategori tidak dikenal","OK")))</f>
        <v/>
      </c>
      <c r="X391" s="26" t="n">
        <f aca="false">IF(OR(W391="",W391="OK"),0,1)</f>
        <v>0</v>
      </c>
    </row>
    <row r="392" customFormat="false" ht="15" hidden="false" customHeight="false" outlineLevel="0" collapsed="false">
      <c r="A392" s="26" t="n">
        <f aca="false">Data!A392</f>
        <v>387</v>
      </c>
      <c r="B392" s="26" t="n">
        <f aca="false">IF(INDEX(Pengaturan!$B$8:$B$27,B$4)="",0,COUNTIF(Data!$B392:$U392,INDEX(Pengaturan!$B$8:$B$27,B$4)))</f>
        <v>0</v>
      </c>
      <c r="C392" s="26" t="n">
        <f aca="false">IF(INDEX(Pengaturan!$B$8:$B$27,C$4)="",0,COUNTIF(Data!$B392:$U392,INDEX(Pengaturan!$B$8:$B$27,C$4)))</f>
        <v>0</v>
      </c>
      <c r="D392" s="26" t="n">
        <f aca="false">IF(INDEX(Pengaturan!$B$8:$B$27,D$4)="",0,COUNTIF(Data!$B392:$U392,INDEX(Pengaturan!$B$8:$B$27,D$4)))</f>
        <v>0</v>
      </c>
      <c r="E392" s="26" t="n">
        <f aca="false">IF(INDEX(Pengaturan!$B$8:$B$27,E$4)="",0,COUNTIF(Data!$B392:$U392,INDEX(Pengaturan!$B$8:$B$27,E$4)))</f>
        <v>0</v>
      </c>
      <c r="F392" s="26" t="n">
        <f aca="false">IF(INDEX(Pengaturan!$B$8:$B$27,F$4)="",0,COUNTIF(Data!$B392:$U392,INDEX(Pengaturan!$B$8:$B$27,F$4)))</f>
        <v>0</v>
      </c>
      <c r="G392" s="26" t="n">
        <f aca="false">IF(INDEX(Pengaturan!$B$8:$B$27,G$4)="",0,COUNTIF(Data!$B392:$U392,INDEX(Pengaturan!$B$8:$B$27,G$4)))</f>
        <v>0</v>
      </c>
      <c r="H392" s="26" t="n">
        <f aca="false">IF(INDEX(Pengaturan!$B$8:$B$27,H$4)="",0,COUNTIF(Data!$B392:$U392,INDEX(Pengaturan!$B$8:$B$27,H$4)))</f>
        <v>0</v>
      </c>
      <c r="I392" s="26" t="n">
        <f aca="false">IF(INDEX(Pengaturan!$B$8:$B$27,I$4)="",0,COUNTIF(Data!$B392:$U392,INDEX(Pengaturan!$B$8:$B$27,I$4)))</f>
        <v>0</v>
      </c>
      <c r="J392" s="26" t="n">
        <f aca="false">IF(INDEX(Pengaturan!$B$8:$B$27,J$4)="",0,COUNTIF(Data!$B392:$U392,INDEX(Pengaturan!$B$8:$B$27,J$4)))</f>
        <v>0</v>
      </c>
      <c r="K392" s="26" t="n">
        <f aca="false">IF(INDEX(Pengaturan!$B$8:$B$27,K$4)="",0,COUNTIF(Data!$B392:$U392,INDEX(Pengaturan!$B$8:$B$27,K$4)))</f>
        <v>0</v>
      </c>
      <c r="L392" s="26" t="n">
        <f aca="false">IF(INDEX(Pengaturan!$B$8:$B$27,L$4)="",0,COUNTIF(Data!$B392:$U392,INDEX(Pengaturan!$B$8:$B$27,L$4)))</f>
        <v>0</v>
      </c>
      <c r="M392" s="26" t="n">
        <f aca="false">IF(INDEX(Pengaturan!$B$8:$B$27,M$4)="",0,COUNTIF(Data!$B392:$U392,INDEX(Pengaturan!$B$8:$B$27,M$4)))</f>
        <v>0</v>
      </c>
      <c r="N392" s="26" t="n">
        <f aca="false">IF(INDEX(Pengaturan!$B$8:$B$27,N$4)="",0,COUNTIF(Data!$B392:$U392,INDEX(Pengaturan!$B$8:$B$27,N$4)))</f>
        <v>0</v>
      </c>
      <c r="O392" s="26" t="n">
        <f aca="false">IF(INDEX(Pengaturan!$B$8:$B$27,O$4)="",0,COUNTIF(Data!$B392:$U392,INDEX(Pengaturan!$B$8:$B$27,O$4)))</f>
        <v>0</v>
      </c>
      <c r="P392" s="26" t="n">
        <f aca="false">IF(INDEX(Pengaturan!$B$8:$B$27,P$4)="",0,COUNTIF(Data!$B392:$U392,INDEX(Pengaturan!$B$8:$B$27,P$4)))</f>
        <v>0</v>
      </c>
      <c r="Q392" s="26" t="n">
        <f aca="false">IF(INDEX(Pengaturan!$B$8:$B$27,Q$4)="",0,COUNTIF(Data!$B392:$U392,INDEX(Pengaturan!$B$8:$B$27,Q$4)))</f>
        <v>0</v>
      </c>
      <c r="R392" s="26" t="n">
        <f aca="false">IF(INDEX(Pengaturan!$B$8:$B$27,R$4)="",0,COUNTIF(Data!$B392:$U392,INDEX(Pengaturan!$B$8:$B$27,R$4)))</f>
        <v>0</v>
      </c>
      <c r="S392" s="26" t="n">
        <f aca="false">IF(INDEX(Pengaturan!$B$8:$B$27,S$4)="",0,COUNTIF(Data!$B392:$U392,INDEX(Pengaturan!$B$8:$B$27,S$4)))</f>
        <v>0</v>
      </c>
      <c r="T392" s="26" t="n">
        <f aca="false">IF(INDEX(Pengaturan!$B$8:$B$27,T$4)="",0,COUNTIF(Data!$B392:$U392,INDEX(Pengaturan!$B$8:$B$27,T$4)))</f>
        <v>0</v>
      </c>
      <c r="U392" s="26" t="n">
        <f aca="false">IF(INDEX(Pengaturan!$B$8:$B$27,U$4)="",0,COUNTIF(Data!$B392:$U392,INDEX(Pengaturan!$B$8:$B$27,U$4)))</f>
        <v>0</v>
      </c>
      <c r="V392" s="26" t="n">
        <f aca="false">COUNTA(Data!$B392:$U392)</f>
        <v>0</v>
      </c>
      <c r="W392" s="27" t="str">
        <f aca="false">IF(V392=0,"",IF(V392&lt;&gt;Hasil!$C$4,"Data kosong/tidak lengkap",IF(SUM(B392:U392)&lt;&gt;V392,"Kategori tidak dikenal","OK")))</f>
        <v/>
      </c>
      <c r="X392" s="26" t="n">
        <f aca="false">IF(OR(W392="",W392="OK"),0,1)</f>
        <v>0</v>
      </c>
    </row>
    <row r="393" customFormat="false" ht="15" hidden="false" customHeight="false" outlineLevel="0" collapsed="false">
      <c r="A393" s="26" t="n">
        <f aca="false">Data!A393</f>
        <v>388</v>
      </c>
      <c r="B393" s="26" t="n">
        <f aca="false">IF(INDEX(Pengaturan!$B$8:$B$27,B$4)="",0,COUNTIF(Data!$B393:$U393,INDEX(Pengaturan!$B$8:$B$27,B$4)))</f>
        <v>0</v>
      </c>
      <c r="C393" s="26" t="n">
        <f aca="false">IF(INDEX(Pengaturan!$B$8:$B$27,C$4)="",0,COUNTIF(Data!$B393:$U393,INDEX(Pengaturan!$B$8:$B$27,C$4)))</f>
        <v>0</v>
      </c>
      <c r="D393" s="26" t="n">
        <f aca="false">IF(INDEX(Pengaturan!$B$8:$B$27,D$4)="",0,COUNTIF(Data!$B393:$U393,INDEX(Pengaturan!$B$8:$B$27,D$4)))</f>
        <v>0</v>
      </c>
      <c r="E393" s="26" t="n">
        <f aca="false">IF(INDEX(Pengaturan!$B$8:$B$27,E$4)="",0,COUNTIF(Data!$B393:$U393,INDEX(Pengaturan!$B$8:$B$27,E$4)))</f>
        <v>0</v>
      </c>
      <c r="F393" s="26" t="n">
        <f aca="false">IF(INDEX(Pengaturan!$B$8:$B$27,F$4)="",0,COUNTIF(Data!$B393:$U393,INDEX(Pengaturan!$B$8:$B$27,F$4)))</f>
        <v>0</v>
      </c>
      <c r="G393" s="26" t="n">
        <f aca="false">IF(INDEX(Pengaturan!$B$8:$B$27,G$4)="",0,COUNTIF(Data!$B393:$U393,INDEX(Pengaturan!$B$8:$B$27,G$4)))</f>
        <v>0</v>
      </c>
      <c r="H393" s="26" t="n">
        <f aca="false">IF(INDEX(Pengaturan!$B$8:$B$27,H$4)="",0,COUNTIF(Data!$B393:$U393,INDEX(Pengaturan!$B$8:$B$27,H$4)))</f>
        <v>0</v>
      </c>
      <c r="I393" s="26" t="n">
        <f aca="false">IF(INDEX(Pengaturan!$B$8:$B$27,I$4)="",0,COUNTIF(Data!$B393:$U393,INDEX(Pengaturan!$B$8:$B$27,I$4)))</f>
        <v>0</v>
      </c>
      <c r="J393" s="26" t="n">
        <f aca="false">IF(INDEX(Pengaturan!$B$8:$B$27,J$4)="",0,COUNTIF(Data!$B393:$U393,INDEX(Pengaturan!$B$8:$B$27,J$4)))</f>
        <v>0</v>
      </c>
      <c r="K393" s="26" t="n">
        <f aca="false">IF(INDEX(Pengaturan!$B$8:$B$27,K$4)="",0,COUNTIF(Data!$B393:$U393,INDEX(Pengaturan!$B$8:$B$27,K$4)))</f>
        <v>0</v>
      </c>
      <c r="L393" s="26" t="n">
        <f aca="false">IF(INDEX(Pengaturan!$B$8:$B$27,L$4)="",0,COUNTIF(Data!$B393:$U393,INDEX(Pengaturan!$B$8:$B$27,L$4)))</f>
        <v>0</v>
      </c>
      <c r="M393" s="26" t="n">
        <f aca="false">IF(INDEX(Pengaturan!$B$8:$B$27,M$4)="",0,COUNTIF(Data!$B393:$U393,INDEX(Pengaturan!$B$8:$B$27,M$4)))</f>
        <v>0</v>
      </c>
      <c r="N393" s="26" t="n">
        <f aca="false">IF(INDEX(Pengaturan!$B$8:$B$27,N$4)="",0,COUNTIF(Data!$B393:$U393,INDEX(Pengaturan!$B$8:$B$27,N$4)))</f>
        <v>0</v>
      </c>
      <c r="O393" s="26" t="n">
        <f aca="false">IF(INDEX(Pengaturan!$B$8:$B$27,O$4)="",0,COUNTIF(Data!$B393:$U393,INDEX(Pengaturan!$B$8:$B$27,O$4)))</f>
        <v>0</v>
      </c>
      <c r="P393" s="26" t="n">
        <f aca="false">IF(INDEX(Pengaturan!$B$8:$B$27,P$4)="",0,COUNTIF(Data!$B393:$U393,INDEX(Pengaturan!$B$8:$B$27,P$4)))</f>
        <v>0</v>
      </c>
      <c r="Q393" s="26" t="n">
        <f aca="false">IF(INDEX(Pengaturan!$B$8:$B$27,Q$4)="",0,COUNTIF(Data!$B393:$U393,INDEX(Pengaturan!$B$8:$B$27,Q$4)))</f>
        <v>0</v>
      </c>
      <c r="R393" s="26" t="n">
        <f aca="false">IF(INDEX(Pengaturan!$B$8:$B$27,R$4)="",0,COUNTIF(Data!$B393:$U393,INDEX(Pengaturan!$B$8:$B$27,R$4)))</f>
        <v>0</v>
      </c>
      <c r="S393" s="26" t="n">
        <f aca="false">IF(INDEX(Pengaturan!$B$8:$B$27,S$4)="",0,COUNTIF(Data!$B393:$U393,INDEX(Pengaturan!$B$8:$B$27,S$4)))</f>
        <v>0</v>
      </c>
      <c r="T393" s="26" t="n">
        <f aca="false">IF(INDEX(Pengaturan!$B$8:$B$27,T$4)="",0,COUNTIF(Data!$B393:$U393,INDEX(Pengaturan!$B$8:$B$27,T$4)))</f>
        <v>0</v>
      </c>
      <c r="U393" s="26" t="n">
        <f aca="false">IF(INDEX(Pengaturan!$B$8:$B$27,U$4)="",0,COUNTIF(Data!$B393:$U393,INDEX(Pengaturan!$B$8:$B$27,U$4)))</f>
        <v>0</v>
      </c>
      <c r="V393" s="26" t="n">
        <f aca="false">COUNTA(Data!$B393:$U393)</f>
        <v>0</v>
      </c>
      <c r="W393" s="27" t="str">
        <f aca="false">IF(V393=0,"",IF(V393&lt;&gt;Hasil!$C$4,"Data kosong/tidak lengkap",IF(SUM(B393:U393)&lt;&gt;V393,"Kategori tidak dikenal","OK")))</f>
        <v/>
      </c>
      <c r="X393" s="26" t="n">
        <f aca="false">IF(OR(W393="",W393="OK"),0,1)</f>
        <v>0</v>
      </c>
    </row>
    <row r="394" customFormat="false" ht="15" hidden="false" customHeight="false" outlineLevel="0" collapsed="false">
      <c r="A394" s="26" t="n">
        <f aca="false">Data!A394</f>
        <v>389</v>
      </c>
      <c r="B394" s="26" t="n">
        <f aca="false">IF(INDEX(Pengaturan!$B$8:$B$27,B$4)="",0,COUNTIF(Data!$B394:$U394,INDEX(Pengaturan!$B$8:$B$27,B$4)))</f>
        <v>0</v>
      </c>
      <c r="C394" s="26" t="n">
        <f aca="false">IF(INDEX(Pengaturan!$B$8:$B$27,C$4)="",0,COUNTIF(Data!$B394:$U394,INDEX(Pengaturan!$B$8:$B$27,C$4)))</f>
        <v>0</v>
      </c>
      <c r="D394" s="26" t="n">
        <f aca="false">IF(INDEX(Pengaturan!$B$8:$B$27,D$4)="",0,COUNTIF(Data!$B394:$U394,INDEX(Pengaturan!$B$8:$B$27,D$4)))</f>
        <v>0</v>
      </c>
      <c r="E394" s="26" t="n">
        <f aca="false">IF(INDEX(Pengaturan!$B$8:$B$27,E$4)="",0,COUNTIF(Data!$B394:$U394,INDEX(Pengaturan!$B$8:$B$27,E$4)))</f>
        <v>0</v>
      </c>
      <c r="F394" s="26" t="n">
        <f aca="false">IF(INDEX(Pengaturan!$B$8:$B$27,F$4)="",0,COUNTIF(Data!$B394:$U394,INDEX(Pengaturan!$B$8:$B$27,F$4)))</f>
        <v>0</v>
      </c>
      <c r="G394" s="26" t="n">
        <f aca="false">IF(INDEX(Pengaturan!$B$8:$B$27,G$4)="",0,COUNTIF(Data!$B394:$U394,INDEX(Pengaturan!$B$8:$B$27,G$4)))</f>
        <v>0</v>
      </c>
      <c r="H394" s="26" t="n">
        <f aca="false">IF(INDEX(Pengaturan!$B$8:$B$27,H$4)="",0,COUNTIF(Data!$B394:$U394,INDEX(Pengaturan!$B$8:$B$27,H$4)))</f>
        <v>0</v>
      </c>
      <c r="I394" s="26" t="n">
        <f aca="false">IF(INDEX(Pengaturan!$B$8:$B$27,I$4)="",0,COUNTIF(Data!$B394:$U394,INDEX(Pengaturan!$B$8:$B$27,I$4)))</f>
        <v>0</v>
      </c>
      <c r="J394" s="26" t="n">
        <f aca="false">IF(INDEX(Pengaturan!$B$8:$B$27,J$4)="",0,COUNTIF(Data!$B394:$U394,INDEX(Pengaturan!$B$8:$B$27,J$4)))</f>
        <v>0</v>
      </c>
      <c r="K394" s="26" t="n">
        <f aca="false">IF(INDEX(Pengaturan!$B$8:$B$27,K$4)="",0,COUNTIF(Data!$B394:$U394,INDEX(Pengaturan!$B$8:$B$27,K$4)))</f>
        <v>0</v>
      </c>
      <c r="L394" s="26" t="n">
        <f aca="false">IF(INDEX(Pengaturan!$B$8:$B$27,L$4)="",0,COUNTIF(Data!$B394:$U394,INDEX(Pengaturan!$B$8:$B$27,L$4)))</f>
        <v>0</v>
      </c>
      <c r="M394" s="26" t="n">
        <f aca="false">IF(INDEX(Pengaturan!$B$8:$B$27,M$4)="",0,COUNTIF(Data!$B394:$U394,INDEX(Pengaturan!$B$8:$B$27,M$4)))</f>
        <v>0</v>
      </c>
      <c r="N394" s="26" t="n">
        <f aca="false">IF(INDEX(Pengaturan!$B$8:$B$27,N$4)="",0,COUNTIF(Data!$B394:$U394,INDEX(Pengaturan!$B$8:$B$27,N$4)))</f>
        <v>0</v>
      </c>
      <c r="O394" s="26" t="n">
        <f aca="false">IF(INDEX(Pengaturan!$B$8:$B$27,O$4)="",0,COUNTIF(Data!$B394:$U394,INDEX(Pengaturan!$B$8:$B$27,O$4)))</f>
        <v>0</v>
      </c>
      <c r="P394" s="26" t="n">
        <f aca="false">IF(INDEX(Pengaturan!$B$8:$B$27,P$4)="",0,COUNTIF(Data!$B394:$U394,INDEX(Pengaturan!$B$8:$B$27,P$4)))</f>
        <v>0</v>
      </c>
      <c r="Q394" s="26" t="n">
        <f aca="false">IF(INDEX(Pengaturan!$B$8:$B$27,Q$4)="",0,COUNTIF(Data!$B394:$U394,INDEX(Pengaturan!$B$8:$B$27,Q$4)))</f>
        <v>0</v>
      </c>
      <c r="R394" s="26" t="n">
        <f aca="false">IF(INDEX(Pengaturan!$B$8:$B$27,R$4)="",0,COUNTIF(Data!$B394:$U394,INDEX(Pengaturan!$B$8:$B$27,R$4)))</f>
        <v>0</v>
      </c>
      <c r="S394" s="26" t="n">
        <f aca="false">IF(INDEX(Pengaturan!$B$8:$B$27,S$4)="",0,COUNTIF(Data!$B394:$U394,INDEX(Pengaturan!$B$8:$B$27,S$4)))</f>
        <v>0</v>
      </c>
      <c r="T394" s="26" t="n">
        <f aca="false">IF(INDEX(Pengaturan!$B$8:$B$27,T$4)="",0,COUNTIF(Data!$B394:$U394,INDEX(Pengaturan!$B$8:$B$27,T$4)))</f>
        <v>0</v>
      </c>
      <c r="U394" s="26" t="n">
        <f aca="false">IF(INDEX(Pengaturan!$B$8:$B$27,U$4)="",0,COUNTIF(Data!$B394:$U394,INDEX(Pengaturan!$B$8:$B$27,U$4)))</f>
        <v>0</v>
      </c>
      <c r="V394" s="26" t="n">
        <f aca="false">COUNTA(Data!$B394:$U394)</f>
        <v>0</v>
      </c>
      <c r="W394" s="27" t="str">
        <f aca="false">IF(V394=0,"",IF(V394&lt;&gt;Hasil!$C$4,"Data kosong/tidak lengkap",IF(SUM(B394:U394)&lt;&gt;V394,"Kategori tidak dikenal","OK")))</f>
        <v/>
      </c>
      <c r="X394" s="26" t="n">
        <f aca="false">IF(OR(W394="",W394="OK"),0,1)</f>
        <v>0</v>
      </c>
    </row>
    <row r="395" customFormat="false" ht="15" hidden="false" customHeight="false" outlineLevel="0" collapsed="false">
      <c r="A395" s="26" t="n">
        <f aca="false">Data!A395</f>
        <v>390</v>
      </c>
      <c r="B395" s="26" t="n">
        <f aca="false">IF(INDEX(Pengaturan!$B$8:$B$27,B$4)="",0,COUNTIF(Data!$B395:$U395,INDEX(Pengaturan!$B$8:$B$27,B$4)))</f>
        <v>0</v>
      </c>
      <c r="C395" s="26" t="n">
        <f aca="false">IF(INDEX(Pengaturan!$B$8:$B$27,C$4)="",0,COUNTIF(Data!$B395:$U395,INDEX(Pengaturan!$B$8:$B$27,C$4)))</f>
        <v>0</v>
      </c>
      <c r="D395" s="26" t="n">
        <f aca="false">IF(INDEX(Pengaturan!$B$8:$B$27,D$4)="",0,COUNTIF(Data!$B395:$U395,INDEX(Pengaturan!$B$8:$B$27,D$4)))</f>
        <v>0</v>
      </c>
      <c r="E395" s="26" t="n">
        <f aca="false">IF(INDEX(Pengaturan!$B$8:$B$27,E$4)="",0,COUNTIF(Data!$B395:$U395,INDEX(Pengaturan!$B$8:$B$27,E$4)))</f>
        <v>0</v>
      </c>
      <c r="F395" s="26" t="n">
        <f aca="false">IF(INDEX(Pengaturan!$B$8:$B$27,F$4)="",0,COUNTIF(Data!$B395:$U395,INDEX(Pengaturan!$B$8:$B$27,F$4)))</f>
        <v>0</v>
      </c>
      <c r="G395" s="26" t="n">
        <f aca="false">IF(INDEX(Pengaturan!$B$8:$B$27,G$4)="",0,COUNTIF(Data!$B395:$U395,INDEX(Pengaturan!$B$8:$B$27,G$4)))</f>
        <v>0</v>
      </c>
      <c r="H395" s="26" t="n">
        <f aca="false">IF(INDEX(Pengaturan!$B$8:$B$27,H$4)="",0,COUNTIF(Data!$B395:$U395,INDEX(Pengaturan!$B$8:$B$27,H$4)))</f>
        <v>0</v>
      </c>
      <c r="I395" s="26" t="n">
        <f aca="false">IF(INDEX(Pengaturan!$B$8:$B$27,I$4)="",0,COUNTIF(Data!$B395:$U395,INDEX(Pengaturan!$B$8:$B$27,I$4)))</f>
        <v>0</v>
      </c>
      <c r="J395" s="26" t="n">
        <f aca="false">IF(INDEX(Pengaturan!$B$8:$B$27,J$4)="",0,COUNTIF(Data!$B395:$U395,INDEX(Pengaturan!$B$8:$B$27,J$4)))</f>
        <v>0</v>
      </c>
      <c r="K395" s="26" t="n">
        <f aca="false">IF(INDEX(Pengaturan!$B$8:$B$27,K$4)="",0,COUNTIF(Data!$B395:$U395,INDEX(Pengaturan!$B$8:$B$27,K$4)))</f>
        <v>0</v>
      </c>
      <c r="L395" s="26" t="n">
        <f aca="false">IF(INDEX(Pengaturan!$B$8:$B$27,L$4)="",0,COUNTIF(Data!$B395:$U395,INDEX(Pengaturan!$B$8:$B$27,L$4)))</f>
        <v>0</v>
      </c>
      <c r="M395" s="26" t="n">
        <f aca="false">IF(INDEX(Pengaturan!$B$8:$B$27,M$4)="",0,COUNTIF(Data!$B395:$U395,INDEX(Pengaturan!$B$8:$B$27,M$4)))</f>
        <v>0</v>
      </c>
      <c r="N395" s="26" t="n">
        <f aca="false">IF(INDEX(Pengaturan!$B$8:$B$27,N$4)="",0,COUNTIF(Data!$B395:$U395,INDEX(Pengaturan!$B$8:$B$27,N$4)))</f>
        <v>0</v>
      </c>
      <c r="O395" s="26" t="n">
        <f aca="false">IF(INDEX(Pengaturan!$B$8:$B$27,O$4)="",0,COUNTIF(Data!$B395:$U395,INDEX(Pengaturan!$B$8:$B$27,O$4)))</f>
        <v>0</v>
      </c>
      <c r="P395" s="26" t="n">
        <f aca="false">IF(INDEX(Pengaturan!$B$8:$B$27,P$4)="",0,COUNTIF(Data!$B395:$U395,INDEX(Pengaturan!$B$8:$B$27,P$4)))</f>
        <v>0</v>
      </c>
      <c r="Q395" s="26" t="n">
        <f aca="false">IF(INDEX(Pengaturan!$B$8:$B$27,Q$4)="",0,COUNTIF(Data!$B395:$U395,INDEX(Pengaturan!$B$8:$B$27,Q$4)))</f>
        <v>0</v>
      </c>
      <c r="R395" s="26" t="n">
        <f aca="false">IF(INDEX(Pengaturan!$B$8:$B$27,R$4)="",0,COUNTIF(Data!$B395:$U395,INDEX(Pengaturan!$B$8:$B$27,R$4)))</f>
        <v>0</v>
      </c>
      <c r="S395" s="26" t="n">
        <f aca="false">IF(INDEX(Pengaturan!$B$8:$B$27,S$4)="",0,COUNTIF(Data!$B395:$U395,INDEX(Pengaturan!$B$8:$B$27,S$4)))</f>
        <v>0</v>
      </c>
      <c r="T395" s="26" t="n">
        <f aca="false">IF(INDEX(Pengaturan!$B$8:$B$27,T$4)="",0,COUNTIF(Data!$B395:$U395,INDEX(Pengaturan!$B$8:$B$27,T$4)))</f>
        <v>0</v>
      </c>
      <c r="U395" s="26" t="n">
        <f aca="false">IF(INDEX(Pengaturan!$B$8:$B$27,U$4)="",0,COUNTIF(Data!$B395:$U395,INDEX(Pengaturan!$B$8:$B$27,U$4)))</f>
        <v>0</v>
      </c>
      <c r="V395" s="26" t="n">
        <f aca="false">COUNTA(Data!$B395:$U395)</f>
        <v>0</v>
      </c>
      <c r="W395" s="27" t="str">
        <f aca="false">IF(V395=0,"",IF(V395&lt;&gt;Hasil!$C$4,"Data kosong/tidak lengkap",IF(SUM(B395:U395)&lt;&gt;V395,"Kategori tidak dikenal","OK")))</f>
        <v/>
      </c>
      <c r="X395" s="26" t="n">
        <f aca="false">IF(OR(W395="",W395="OK"),0,1)</f>
        <v>0</v>
      </c>
    </row>
    <row r="396" customFormat="false" ht="15" hidden="false" customHeight="false" outlineLevel="0" collapsed="false">
      <c r="A396" s="26" t="n">
        <f aca="false">Data!A396</f>
        <v>391</v>
      </c>
      <c r="B396" s="26" t="n">
        <f aca="false">IF(INDEX(Pengaturan!$B$8:$B$27,B$4)="",0,COUNTIF(Data!$B396:$U396,INDEX(Pengaturan!$B$8:$B$27,B$4)))</f>
        <v>0</v>
      </c>
      <c r="C396" s="26" t="n">
        <f aca="false">IF(INDEX(Pengaturan!$B$8:$B$27,C$4)="",0,COUNTIF(Data!$B396:$U396,INDEX(Pengaturan!$B$8:$B$27,C$4)))</f>
        <v>0</v>
      </c>
      <c r="D396" s="26" t="n">
        <f aca="false">IF(INDEX(Pengaturan!$B$8:$B$27,D$4)="",0,COUNTIF(Data!$B396:$U396,INDEX(Pengaturan!$B$8:$B$27,D$4)))</f>
        <v>0</v>
      </c>
      <c r="E396" s="26" t="n">
        <f aca="false">IF(INDEX(Pengaturan!$B$8:$B$27,E$4)="",0,COUNTIF(Data!$B396:$U396,INDEX(Pengaturan!$B$8:$B$27,E$4)))</f>
        <v>0</v>
      </c>
      <c r="F396" s="26" t="n">
        <f aca="false">IF(INDEX(Pengaturan!$B$8:$B$27,F$4)="",0,COUNTIF(Data!$B396:$U396,INDEX(Pengaturan!$B$8:$B$27,F$4)))</f>
        <v>0</v>
      </c>
      <c r="G396" s="26" t="n">
        <f aca="false">IF(INDEX(Pengaturan!$B$8:$B$27,G$4)="",0,COUNTIF(Data!$B396:$U396,INDEX(Pengaturan!$B$8:$B$27,G$4)))</f>
        <v>0</v>
      </c>
      <c r="H396" s="26" t="n">
        <f aca="false">IF(INDEX(Pengaturan!$B$8:$B$27,H$4)="",0,COUNTIF(Data!$B396:$U396,INDEX(Pengaturan!$B$8:$B$27,H$4)))</f>
        <v>0</v>
      </c>
      <c r="I396" s="26" t="n">
        <f aca="false">IF(INDEX(Pengaturan!$B$8:$B$27,I$4)="",0,COUNTIF(Data!$B396:$U396,INDEX(Pengaturan!$B$8:$B$27,I$4)))</f>
        <v>0</v>
      </c>
      <c r="J396" s="26" t="n">
        <f aca="false">IF(INDEX(Pengaturan!$B$8:$B$27,J$4)="",0,COUNTIF(Data!$B396:$U396,INDEX(Pengaturan!$B$8:$B$27,J$4)))</f>
        <v>0</v>
      </c>
      <c r="K396" s="26" t="n">
        <f aca="false">IF(INDEX(Pengaturan!$B$8:$B$27,K$4)="",0,COUNTIF(Data!$B396:$U396,INDEX(Pengaturan!$B$8:$B$27,K$4)))</f>
        <v>0</v>
      </c>
      <c r="L396" s="26" t="n">
        <f aca="false">IF(INDEX(Pengaturan!$B$8:$B$27,L$4)="",0,COUNTIF(Data!$B396:$U396,INDEX(Pengaturan!$B$8:$B$27,L$4)))</f>
        <v>0</v>
      </c>
      <c r="M396" s="26" t="n">
        <f aca="false">IF(INDEX(Pengaturan!$B$8:$B$27,M$4)="",0,COUNTIF(Data!$B396:$U396,INDEX(Pengaturan!$B$8:$B$27,M$4)))</f>
        <v>0</v>
      </c>
      <c r="N396" s="26" t="n">
        <f aca="false">IF(INDEX(Pengaturan!$B$8:$B$27,N$4)="",0,COUNTIF(Data!$B396:$U396,INDEX(Pengaturan!$B$8:$B$27,N$4)))</f>
        <v>0</v>
      </c>
      <c r="O396" s="26" t="n">
        <f aca="false">IF(INDEX(Pengaturan!$B$8:$B$27,O$4)="",0,COUNTIF(Data!$B396:$U396,INDEX(Pengaturan!$B$8:$B$27,O$4)))</f>
        <v>0</v>
      </c>
      <c r="P396" s="26" t="n">
        <f aca="false">IF(INDEX(Pengaturan!$B$8:$B$27,P$4)="",0,COUNTIF(Data!$B396:$U396,INDEX(Pengaturan!$B$8:$B$27,P$4)))</f>
        <v>0</v>
      </c>
      <c r="Q396" s="26" t="n">
        <f aca="false">IF(INDEX(Pengaturan!$B$8:$B$27,Q$4)="",0,COUNTIF(Data!$B396:$U396,INDEX(Pengaturan!$B$8:$B$27,Q$4)))</f>
        <v>0</v>
      </c>
      <c r="R396" s="26" t="n">
        <f aca="false">IF(INDEX(Pengaturan!$B$8:$B$27,R$4)="",0,COUNTIF(Data!$B396:$U396,INDEX(Pengaturan!$B$8:$B$27,R$4)))</f>
        <v>0</v>
      </c>
      <c r="S396" s="26" t="n">
        <f aca="false">IF(INDEX(Pengaturan!$B$8:$B$27,S$4)="",0,COUNTIF(Data!$B396:$U396,INDEX(Pengaturan!$B$8:$B$27,S$4)))</f>
        <v>0</v>
      </c>
      <c r="T396" s="26" t="n">
        <f aca="false">IF(INDEX(Pengaturan!$B$8:$B$27,T$4)="",0,COUNTIF(Data!$B396:$U396,INDEX(Pengaturan!$B$8:$B$27,T$4)))</f>
        <v>0</v>
      </c>
      <c r="U396" s="26" t="n">
        <f aca="false">IF(INDEX(Pengaturan!$B$8:$B$27,U$4)="",0,COUNTIF(Data!$B396:$U396,INDEX(Pengaturan!$B$8:$B$27,U$4)))</f>
        <v>0</v>
      </c>
      <c r="V396" s="26" t="n">
        <f aca="false">COUNTA(Data!$B396:$U396)</f>
        <v>0</v>
      </c>
      <c r="W396" s="27" t="str">
        <f aca="false">IF(V396=0,"",IF(V396&lt;&gt;Hasil!$C$4,"Data kosong/tidak lengkap",IF(SUM(B396:U396)&lt;&gt;V396,"Kategori tidak dikenal","OK")))</f>
        <v/>
      </c>
      <c r="X396" s="26" t="n">
        <f aca="false">IF(OR(W396="",W396="OK"),0,1)</f>
        <v>0</v>
      </c>
    </row>
    <row r="397" customFormat="false" ht="15" hidden="false" customHeight="false" outlineLevel="0" collapsed="false">
      <c r="A397" s="26" t="n">
        <f aca="false">Data!A397</f>
        <v>392</v>
      </c>
      <c r="B397" s="26" t="n">
        <f aca="false">IF(INDEX(Pengaturan!$B$8:$B$27,B$4)="",0,COUNTIF(Data!$B397:$U397,INDEX(Pengaturan!$B$8:$B$27,B$4)))</f>
        <v>0</v>
      </c>
      <c r="C397" s="26" t="n">
        <f aca="false">IF(INDEX(Pengaturan!$B$8:$B$27,C$4)="",0,COUNTIF(Data!$B397:$U397,INDEX(Pengaturan!$B$8:$B$27,C$4)))</f>
        <v>0</v>
      </c>
      <c r="D397" s="26" t="n">
        <f aca="false">IF(INDEX(Pengaturan!$B$8:$B$27,D$4)="",0,COUNTIF(Data!$B397:$U397,INDEX(Pengaturan!$B$8:$B$27,D$4)))</f>
        <v>0</v>
      </c>
      <c r="E397" s="26" t="n">
        <f aca="false">IF(INDEX(Pengaturan!$B$8:$B$27,E$4)="",0,COUNTIF(Data!$B397:$U397,INDEX(Pengaturan!$B$8:$B$27,E$4)))</f>
        <v>0</v>
      </c>
      <c r="F397" s="26" t="n">
        <f aca="false">IF(INDEX(Pengaturan!$B$8:$B$27,F$4)="",0,COUNTIF(Data!$B397:$U397,INDEX(Pengaturan!$B$8:$B$27,F$4)))</f>
        <v>0</v>
      </c>
      <c r="G397" s="26" t="n">
        <f aca="false">IF(INDEX(Pengaturan!$B$8:$B$27,G$4)="",0,COUNTIF(Data!$B397:$U397,INDEX(Pengaturan!$B$8:$B$27,G$4)))</f>
        <v>0</v>
      </c>
      <c r="H397" s="26" t="n">
        <f aca="false">IF(INDEX(Pengaturan!$B$8:$B$27,H$4)="",0,COUNTIF(Data!$B397:$U397,INDEX(Pengaturan!$B$8:$B$27,H$4)))</f>
        <v>0</v>
      </c>
      <c r="I397" s="26" t="n">
        <f aca="false">IF(INDEX(Pengaturan!$B$8:$B$27,I$4)="",0,COUNTIF(Data!$B397:$U397,INDEX(Pengaturan!$B$8:$B$27,I$4)))</f>
        <v>0</v>
      </c>
      <c r="J397" s="26" t="n">
        <f aca="false">IF(INDEX(Pengaturan!$B$8:$B$27,J$4)="",0,COUNTIF(Data!$B397:$U397,INDEX(Pengaturan!$B$8:$B$27,J$4)))</f>
        <v>0</v>
      </c>
      <c r="K397" s="26" t="n">
        <f aca="false">IF(INDEX(Pengaturan!$B$8:$B$27,K$4)="",0,COUNTIF(Data!$B397:$U397,INDEX(Pengaturan!$B$8:$B$27,K$4)))</f>
        <v>0</v>
      </c>
      <c r="L397" s="26" t="n">
        <f aca="false">IF(INDEX(Pengaturan!$B$8:$B$27,L$4)="",0,COUNTIF(Data!$B397:$U397,INDEX(Pengaturan!$B$8:$B$27,L$4)))</f>
        <v>0</v>
      </c>
      <c r="M397" s="26" t="n">
        <f aca="false">IF(INDEX(Pengaturan!$B$8:$B$27,M$4)="",0,COUNTIF(Data!$B397:$U397,INDEX(Pengaturan!$B$8:$B$27,M$4)))</f>
        <v>0</v>
      </c>
      <c r="N397" s="26" t="n">
        <f aca="false">IF(INDEX(Pengaturan!$B$8:$B$27,N$4)="",0,COUNTIF(Data!$B397:$U397,INDEX(Pengaturan!$B$8:$B$27,N$4)))</f>
        <v>0</v>
      </c>
      <c r="O397" s="26" t="n">
        <f aca="false">IF(INDEX(Pengaturan!$B$8:$B$27,O$4)="",0,COUNTIF(Data!$B397:$U397,INDEX(Pengaturan!$B$8:$B$27,O$4)))</f>
        <v>0</v>
      </c>
      <c r="P397" s="26" t="n">
        <f aca="false">IF(INDEX(Pengaturan!$B$8:$B$27,P$4)="",0,COUNTIF(Data!$B397:$U397,INDEX(Pengaturan!$B$8:$B$27,P$4)))</f>
        <v>0</v>
      </c>
      <c r="Q397" s="26" t="n">
        <f aca="false">IF(INDEX(Pengaturan!$B$8:$B$27,Q$4)="",0,COUNTIF(Data!$B397:$U397,INDEX(Pengaturan!$B$8:$B$27,Q$4)))</f>
        <v>0</v>
      </c>
      <c r="R397" s="26" t="n">
        <f aca="false">IF(INDEX(Pengaturan!$B$8:$B$27,R$4)="",0,COUNTIF(Data!$B397:$U397,INDEX(Pengaturan!$B$8:$B$27,R$4)))</f>
        <v>0</v>
      </c>
      <c r="S397" s="26" t="n">
        <f aca="false">IF(INDEX(Pengaturan!$B$8:$B$27,S$4)="",0,COUNTIF(Data!$B397:$U397,INDEX(Pengaturan!$B$8:$B$27,S$4)))</f>
        <v>0</v>
      </c>
      <c r="T397" s="26" t="n">
        <f aca="false">IF(INDEX(Pengaturan!$B$8:$B$27,T$4)="",0,COUNTIF(Data!$B397:$U397,INDEX(Pengaturan!$B$8:$B$27,T$4)))</f>
        <v>0</v>
      </c>
      <c r="U397" s="26" t="n">
        <f aca="false">IF(INDEX(Pengaturan!$B$8:$B$27,U$4)="",0,COUNTIF(Data!$B397:$U397,INDEX(Pengaturan!$B$8:$B$27,U$4)))</f>
        <v>0</v>
      </c>
      <c r="V397" s="26" t="n">
        <f aca="false">COUNTA(Data!$B397:$U397)</f>
        <v>0</v>
      </c>
      <c r="W397" s="27" t="str">
        <f aca="false">IF(V397=0,"",IF(V397&lt;&gt;Hasil!$C$4,"Data kosong/tidak lengkap",IF(SUM(B397:U397)&lt;&gt;V397,"Kategori tidak dikenal","OK")))</f>
        <v/>
      </c>
      <c r="X397" s="26" t="n">
        <f aca="false">IF(OR(W397="",W397="OK"),0,1)</f>
        <v>0</v>
      </c>
    </row>
    <row r="398" customFormat="false" ht="15" hidden="false" customHeight="false" outlineLevel="0" collapsed="false">
      <c r="A398" s="26" t="n">
        <f aca="false">Data!A398</f>
        <v>393</v>
      </c>
      <c r="B398" s="26" t="n">
        <f aca="false">IF(INDEX(Pengaturan!$B$8:$B$27,B$4)="",0,COUNTIF(Data!$B398:$U398,INDEX(Pengaturan!$B$8:$B$27,B$4)))</f>
        <v>0</v>
      </c>
      <c r="C398" s="26" t="n">
        <f aca="false">IF(INDEX(Pengaturan!$B$8:$B$27,C$4)="",0,COUNTIF(Data!$B398:$U398,INDEX(Pengaturan!$B$8:$B$27,C$4)))</f>
        <v>0</v>
      </c>
      <c r="D398" s="26" t="n">
        <f aca="false">IF(INDEX(Pengaturan!$B$8:$B$27,D$4)="",0,COUNTIF(Data!$B398:$U398,INDEX(Pengaturan!$B$8:$B$27,D$4)))</f>
        <v>0</v>
      </c>
      <c r="E398" s="26" t="n">
        <f aca="false">IF(INDEX(Pengaturan!$B$8:$B$27,E$4)="",0,COUNTIF(Data!$B398:$U398,INDEX(Pengaturan!$B$8:$B$27,E$4)))</f>
        <v>0</v>
      </c>
      <c r="F398" s="26" t="n">
        <f aca="false">IF(INDEX(Pengaturan!$B$8:$B$27,F$4)="",0,COUNTIF(Data!$B398:$U398,INDEX(Pengaturan!$B$8:$B$27,F$4)))</f>
        <v>0</v>
      </c>
      <c r="G398" s="26" t="n">
        <f aca="false">IF(INDEX(Pengaturan!$B$8:$B$27,G$4)="",0,COUNTIF(Data!$B398:$U398,INDEX(Pengaturan!$B$8:$B$27,G$4)))</f>
        <v>0</v>
      </c>
      <c r="H398" s="26" t="n">
        <f aca="false">IF(INDEX(Pengaturan!$B$8:$B$27,H$4)="",0,COUNTIF(Data!$B398:$U398,INDEX(Pengaturan!$B$8:$B$27,H$4)))</f>
        <v>0</v>
      </c>
      <c r="I398" s="26" t="n">
        <f aca="false">IF(INDEX(Pengaturan!$B$8:$B$27,I$4)="",0,COUNTIF(Data!$B398:$U398,INDEX(Pengaturan!$B$8:$B$27,I$4)))</f>
        <v>0</v>
      </c>
      <c r="J398" s="26" t="n">
        <f aca="false">IF(INDEX(Pengaturan!$B$8:$B$27,J$4)="",0,COUNTIF(Data!$B398:$U398,INDEX(Pengaturan!$B$8:$B$27,J$4)))</f>
        <v>0</v>
      </c>
      <c r="K398" s="26" t="n">
        <f aca="false">IF(INDEX(Pengaturan!$B$8:$B$27,K$4)="",0,COUNTIF(Data!$B398:$U398,INDEX(Pengaturan!$B$8:$B$27,K$4)))</f>
        <v>0</v>
      </c>
      <c r="L398" s="26" t="n">
        <f aca="false">IF(INDEX(Pengaturan!$B$8:$B$27,L$4)="",0,COUNTIF(Data!$B398:$U398,INDEX(Pengaturan!$B$8:$B$27,L$4)))</f>
        <v>0</v>
      </c>
      <c r="M398" s="26" t="n">
        <f aca="false">IF(INDEX(Pengaturan!$B$8:$B$27,M$4)="",0,COUNTIF(Data!$B398:$U398,INDEX(Pengaturan!$B$8:$B$27,M$4)))</f>
        <v>0</v>
      </c>
      <c r="N398" s="26" t="n">
        <f aca="false">IF(INDEX(Pengaturan!$B$8:$B$27,N$4)="",0,COUNTIF(Data!$B398:$U398,INDEX(Pengaturan!$B$8:$B$27,N$4)))</f>
        <v>0</v>
      </c>
      <c r="O398" s="26" t="n">
        <f aca="false">IF(INDEX(Pengaturan!$B$8:$B$27,O$4)="",0,COUNTIF(Data!$B398:$U398,INDEX(Pengaturan!$B$8:$B$27,O$4)))</f>
        <v>0</v>
      </c>
      <c r="P398" s="26" t="n">
        <f aca="false">IF(INDEX(Pengaturan!$B$8:$B$27,P$4)="",0,COUNTIF(Data!$B398:$U398,INDEX(Pengaturan!$B$8:$B$27,P$4)))</f>
        <v>0</v>
      </c>
      <c r="Q398" s="26" t="n">
        <f aca="false">IF(INDEX(Pengaturan!$B$8:$B$27,Q$4)="",0,COUNTIF(Data!$B398:$U398,INDEX(Pengaturan!$B$8:$B$27,Q$4)))</f>
        <v>0</v>
      </c>
      <c r="R398" s="26" t="n">
        <f aca="false">IF(INDEX(Pengaturan!$B$8:$B$27,R$4)="",0,COUNTIF(Data!$B398:$U398,INDEX(Pengaturan!$B$8:$B$27,R$4)))</f>
        <v>0</v>
      </c>
      <c r="S398" s="26" t="n">
        <f aca="false">IF(INDEX(Pengaturan!$B$8:$B$27,S$4)="",0,COUNTIF(Data!$B398:$U398,INDEX(Pengaturan!$B$8:$B$27,S$4)))</f>
        <v>0</v>
      </c>
      <c r="T398" s="26" t="n">
        <f aca="false">IF(INDEX(Pengaturan!$B$8:$B$27,T$4)="",0,COUNTIF(Data!$B398:$U398,INDEX(Pengaturan!$B$8:$B$27,T$4)))</f>
        <v>0</v>
      </c>
      <c r="U398" s="26" t="n">
        <f aca="false">IF(INDEX(Pengaturan!$B$8:$B$27,U$4)="",0,COUNTIF(Data!$B398:$U398,INDEX(Pengaturan!$B$8:$B$27,U$4)))</f>
        <v>0</v>
      </c>
      <c r="V398" s="26" t="n">
        <f aca="false">COUNTA(Data!$B398:$U398)</f>
        <v>0</v>
      </c>
      <c r="W398" s="27" t="str">
        <f aca="false">IF(V398=0,"",IF(V398&lt;&gt;Hasil!$C$4,"Data kosong/tidak lengkap",IF(SUM(B398:U398)&lt;&gt;V398,"Kategori tidak dikenal","OK")))</f>
        <v/>
      </c>
      <c r="X398" s="26" t="n">
        <f aca="false">IF(OR(W398="",W398="OK"),0,1)</f>
        <v>0</v>
      </c>
    </row>
    <row r="399" customFormat="false" ht="15" hidden="false" customHeight="false" outlineLevel="0" collapsed="false">
      <c r="A399" s="26" t="n">
        <f aca="false">Data!A399</f>
        <v>394</v>
      </c>
      <c r="B399" s="26" t="n">
        <f aca="false">IF(INDEX(Pengaturan!$B$8:$B$27,B$4)="",0,COUNTIF(Data!$B399:$U399,INDEX(Pengaturan!$B$8:$B$27,B$4)))</f>
        <v>0</v>
      </c>
      <c r="C399" s="26" t="n">
        <f aca="false">IF(INDEX(Pengaturan!$B$8:$B$27,C$4)="",0,COUNTIF(Data!$B399:$U399,INDEX(Pengaturan!$B$8:$B$27,C$4)))</f>
        <v>0</v>
      </c>
      <c r="D399" s="26" t="n">
        <f aca="false">IF(INDEX(Pengaturan!$B$8:$B$27,D$4)="",0,COUNTIF(Data!$B399:$U399,INDEX(Pengaturan!$B$8:$B$27,D$4)))</f>
        <v>0</v>
      </c>
      <c r="E399" s="26" t="n">
        <f aca="false">IF(INDEX(Pengaturan!$B$8:$B$27,E$4)="",0,COUNTIF(Data!$B399:$U399,INDEX(Pengaturan!$B$8:$B$27,E$4)))</f>
        <v>0</v>
      </c>
      <c r="F399" s="26" t="n">
        <f aca="false">IF(INDEX(Pengaturan!$B$8:$B$27,F$4)="",0,COUNTIF(Data!$B399:$U399,INDEX(Pengaturan!$B$8:$B$27,F$4)))</f>
        <v>0</v>
      </c>
      <c r="G399" s="26" t="n">
        <f aca="false">IF(INDEX(Pengaturan!$B$8:$B$27,G$4)="",0,COUNTIF(Data!$B399:$U399,INDEX(Pengaturan!$B$8:$B$27,G$4)))</f>
        <v>0</v>
      </c>
      <c r="H399" s="26" t="n">
        <f aca="false">IF(INDEX(Pengaturan!$B$8:$B$27,H$4)="",0,COUNTIF(Data!$B399:$U399,INDEX(Pengaturan!$B$8:$B$27,H$4)))</f>
        <v>0</v>
      </c>
      <c r="I399" s="26" t="n">
        <f aca="false">IF(INDEX(Pengaturan!$B$8:$B$27,I$4)="",0,COUNTIF(Data!$B399:$U399,INDEX(Pengaturan!$B$8:$B$27,I$4)))</f>
        <v>0</v>
      </c>
      <c r="J399" s="26" t="n">
        <f aca="false">IF(INDEX(Pengaturan!$B$8:$B$27,J$4)="",0,COUNTIF(Data!$B399:$U399,INDEX(Pengaturan!$B$8:$B$27,J$4)))</f>
        <v>0</v>
      </c>
      <c r="K399" s="26" t="n">
        <f aca="false">IF(INDEX(Pengaturan!$B$8:$B$27,K$4)="",0,COUNTIF(Data!$B399:$U399,INDEX(Pengaturan!$B$8:$B$27,K$4)))</f>
        <v>0</v>
      </c>
      <c r="L399" s="26" t="n">
        <f aca="false">IF(INDEX(Pengaturan!$B$8:$B$27,L$4)="",0,COUNTIF(Data!$B399:$U399,INDEX(Pengaturan!$B$8:$B$27,L$4)))</f>
        <v>0</v>
      </c>
      <c r="M399" s="26" t="n">
        <f aca="false">IF(INDEX(Pengaturan!$B$8:$B$27,M$4)="",0,COUNTIF(Data!$B399:$U399,INDEX(Pengaturan!$B$8:$B$27,M$4)))</f>
        <v>0</v>
      </c>
      <c r="N399" s="26" t="n">
        <f aca="false">IF(INDEX(Pengaturan!$B$8:$B$27,N$4)="",0,COUNTIF(Data!$B399:$U399,INDEX(Pengaturan!$B$8:$B$27,N$4)))</f>
        <v>0</v>
      </c>
      <c r="O399" s="26" t="n">
        <f aca="false">IF(INDEX(Pengaturan!$B$8:$B$27,O$4)="",0,COUNTIF(Data!$B399:$U399,INDEX(Pengaturan!$B$8:$B$27,O$4)))</f>
        <v>0</v>
      </c>
      <c r="P399" s="26" t="n">
        <f aca="false">IF(INDEX(Pengaturan!$B$8:$B$27,P$4)="",0,COUNTIF(Data!$B399:$U399,INDEX(Pengaturan!$B$8:$B$27,P$4)))</f>
        <v>0</v>
      </c>
      <c r="Q399" s="26" t="n">
        <f aca="false">IF(INDEX(Pengaturan!$B$8:$B$27,Q$4)="",0,COUNTIF(Data!$B399:$U399,INDEX(Pengaturan!$B$8:$B$27,Q$4)))</f>
        <v>0</v>
      </c>
      <c r="R399" s="26" t="n">
        <f aca="false">IF(INDEX(Pengaturan!$B$8:$B$27,R$4)="",0,COUNTIF(Data!$B399:$U399,INDEX(Pengaturan!$B$8:$B$27,R$4)))</f>
        <v>0</v>
      </c>
      <c r="S399" s="26" t="n">
        <f aca="false">IF(INDEX(Pengaturan!$B$8:$B$27,S$4)="",0,COUNTIF(Data!$B399:$U399,INDEX(Pengaturan!$B$8:$B$27,S$4)))</f>
        <v>0</v>
      </c>
      <c r="T399" s="26" t="n">
        <f aca="false">IF(INDEX(Pengaturan!$B$8:$B$27,T$4)="",0,COUNTIF(Data!$B399:$U399,INDEX(Pengaturan!$B$8:$B$27,T$4)))</f>
        <v>0</v>
      </c>
      <c r="U399" s="26" t="n">
        <f aca="false">IF(INDEX(Pengaturan!$B$8:$B$27,U$4)="",0,COUNTIF(Data!$B399:$U399,INDEX(Pengaturan!$B$8:$B$27,U$4)))</f>
        <v>0</v>
      </c>
      <c r="V399" s="26" t="n">
        <f aca="false">COUNTA(Data!$B399:$U399)</f>
        <v>0</v>
      </c>
      <c r="W399" s="27" t="str">
        <f aca="false">IF(V399=0,"",IF(V399&lt;&gt;Hasil!$C$4,"Data kosong/tidak lengkap",IF(SUM(B399:U399)&lt;&gt;V399,"Kategori tidak dikenal","OK")))</f>
        <v/>
      </c>
      <c r="X399" s="26" t="n">
        <f aca="false">IF(OR(W399="",W399="OK"),0,1)</f>
        <v>0</v>
      </c>
    </row>
    <row r="400" customFormat="false" ht="15" hidden="false" customHeight="false" outlineLevel="0" collapsed="false">
      <c r="A400" s="26" t="n">
        <f aca="false">Data!A400</f>
        <v>395</v>
      </c>
      <c r="B400" s="26" t="n">
        <f aca="false">IF(INDEX(Pengaturan!$B$8:$B$27,B$4)="",0,COUNTIF(Data!$B400:$U400,INDEX(Pengaturan!$B$8:$B$27,B$4)))</f>
        <v>0</v>
      </c>
      <c r="C400" s="26" t="n">
        <f aca="false">IF(INDEX(Pengaturan!$B$8:$B$27,C$4)="",0,COUNTIF(Data!$B400:$U400,INDEX(Pengaturan!$B$8:$B$27,C$4)))</f>
        <v>0</v>
      </c>
      <c r="D400" s="26" t="n">
        <f aca="false">IF(INDEX(Pengaturan!$B$8:$B$27,D$4)="",0,COUNTIF(Data!$B400:$U400,INDEX(Pengaturan!$B$8:$B$27,D$4)))</f>
        <v>0</v>
      </c>
      <c r="E400" s="26" t="n">
        <f aca="false">IF(INDEX(Pengaturan!$B$8:$B$27,E$4)="",0,COUNTIF(Data!$B400:$U400,INDEX(Pengaturan!$B$8:$B$27,E$4)))</f>
        <v>0</v>
      </c>
      <c r="F400" s="26" t="n">
        <f aca="false">IF(INDEX(Pengaturan!$B$8:$B$27,F$4)="",0,COUNTIF(Data!$B400:$U400,INDEX(Pengaturan!$B$8:$B$27,F$4)))</f>
        <v>0</v>
      </c>
      <c r="G400" s="26" t="n">
        <f aca="false">IF(INDEX(Pengaturan!$B$8:$B$27,G$4)="",0,COUNTIF(Data!$B400:$U400,INDEX(Pengaturan!$B$8:$B$27,G$4)))</f>
        <v>0</v>
      </c>
      <c r="H400" s="26" t="n">
        <f aca="false">IF(INDEX(Pengaturan!$B$8:$B$27,H$4)="",0,COUNTIF(Data!$B400:$U400,INDEX(Pengaturan!$B$8:$B$27,H$4)))</f>
        <v>0</v>
      </c>
      <c r="I400" s="26" t="n">
        <f aca="false">IF(INDEX(Pengaturan!$B$8:$B$27,I$4)="",0,COUNTIF(Data!$B400:$U400,INDEX(Pengaturan!$B$8:$B$27,I$4)))</f>
        <v>0</v>
      </c>
      <c r="J400" s="26" t="n">
        <f aca="false">IF(INDEX(Pengaturan!$B$8:$B$27,J$4)="",0,COUNTIF(Data!$B400:$U400,INDEX(Pengaturan!$B$8:$B$27,J$4)))</f>
        <v>0</v>
      </c>
      <c r="K400" s="26" t="n">
        <f aca="false">IF(INDEX(Pengaturan!$B$8:$B$27,K$4)="",0,COUNTIF(Data!$B400:$U400,INDEX(Pengaturan!$B$8:$B$27,K$4)))</f>
        <v>0</v>
      </c>
      <c r="L400" s="26" t="n">
        <f aca="false">IF(INDEX(Pengaturan!$B$8:$B$27,L$4)="",0,COUNTIF(Data!$B400:$U400,INDEX(Pengaturan!$B$8:$B$27,L$4)))</f>
        <v>0</v>
      </c>
      <c r="M400" s="26" t="n">
        <f aca="false">IF(INDEX(Pengaturan!$B$8:$B$27,M$4)="",0,COUNTIF(Data!$B400:$U400,INDEX(Pengaturan!$B$8:$B$27,M$4)))</f>
        <v>0</v>
      </c>
      <c r="N400" s="26" t="n">
        <f aca="false">IF(INDEX(Pengaturan!$B$8:$B$27,N$4)="",0,COUNTIF(Data!$B400:$U400,INDEX(Pengaturan!$B$8:$B$27,N$4)))</f>
        <v>0</v>
      </c>
      <c r="O400" s="26" t="n">
        <f aca="false">IF(INDEX(Pengaturan!$B$8:$B$27,O$4)="",0,COUNTIF(Data!$B400:$U400,INDEX(Pengaturan!$B$8:$B$27,O$4)))</f>
        <v>0</v>
      </c>
      <c r="P400" s="26" t="n">
        <f aca="false">IF(INDEX(Pengaturan!$B$8:$B$27,P$4)="",0,COUNTIF(Data!$B400:$U400,INDEX(Pengaturan!$B$8:$B$27,P$4)))</f>
        <v>0</v>
      </c>
      <c r="Q400" s="26" t="n">
        <f aca="false">IF(INDEX(Pengaturan!$B$8:$B$27,Q$4)="",0,COUNTIF(Data!$B400:$U400,INDEX(Pengaturan!$B$8:$B$27,Q$4)))</f>
        <v>0</v>
      </c>
      <c r="R400" s="26" t="n">
        <f aca="false">IF(INDEX(Pengaturan!$B$8:$B$27,R$4)="",0,COUNTIF(Data!$B400:$U400,INDEX(Pengaturan!$B$8:$B$27,R$4)))</f>
        <v>0</v>
      </c>
      <c r="S400" s="26" t="n">
        <f aca="false">IF(INDEX(Pengaturan!$B$8:$B$27,S$4)="",0,COUNTIF(Data!$B400:$U400,INDEX(Pengaturan!$B$8:$B$27,S$4)))</f>
        <v>0</v>
      </c>
      <c r="T400" s="26" t="n">
        <f aca="false">IF(INDEX(Pengaturan!$B$8:$B$27,T$4)="",0,COUNTIF(Data!$B400:$U400,INDEX(Pengaturan!$B$8:$B$27,T$4)))</f>
        <v>0</v>
      </c>
      <c r="U400" s="26" t="n">
        <f aca="false">IF(INDEX(Pengaturan!$B$8:$B$27,U$4)="",0,COUNTIF(Data!$B400:$U400,INDEX(Pengaturan!$B$8:$B$27,U$4)))</f>
        <v>0</v>
      </c>
      <c r="V400" s="26" t="n">
        <f aca="false">COUNTA(Data!$B400:$U400)</f>
        <v>0</v>
      </c>
      <c r="W400" s="27" t="str">
        <f aca="false">IF(V400=0,"",IF(V400&lt;&gt;Hasil!$C$4,"Data kosong/tidak lengkap",IF(SUM(B400:U400)&lt;&gt;V400,"Kategori tidak dikenal","OK")))</f>
        <v/>
      </c>
      <c r="X400" s="26" t="n">
        <f aca="false">IF(OR(W400="",W400="OK"),0,1)</f>
        <v>0</v>
      </c>
    </row>
    <row r="401" customFormat="false" ht="15" hidden="false" customHeight="false" outlineLevel="0" collapsed="false">
      <c r="A401" s="26" t="n">
        <f aca="false">Data!A401</f>
        <v>396</v>
      </c>
      <c r="B401" s="26" t="n">
        <f aca="false">IF(INDEX(Pengaturan!$B$8:$B$27,B$4)="",0,COUNTIF(Data!$B401:$U401,INDEX(Pengaturan!$B$8:$B$27,B$4)))</f>
        <v>0</v>
      </c>
      <c r="C401" s="26" t="n">
        <f aca="false">IF(INDEX(Pengaturan!$B$8:$B$27,C$4)="",0,COUNTIF(Data!$B401:$U401,INDEX(Pengaturan!$B$8:$B$27,C$4)))</f>
        <v>0</v>
      </c>
      <c r="D401" s="26" t="n">
        <f aca="false">IF(INDEX(Pengaturan!$B$8:$B$27,D$4)="",0,COUNTIF(Data!$B401:$U401,INDEX(Pengaturan!$B$8:$B$27,D$4)))</f>
        <v>0</v>
      </c>
      <c r="E401" s="26" t="n">
        <f aca="false">IF(INDEX(Pengaturan!$B$8:$B$27,E$4)="",0,COUNTIF(Data!$B401:$U401,INDEX(Pengaturan!$B$8:$B$27,E$4)))</f>
        <v>0</v>
      </c>
      <c r="F401" s="26" t="n">
        <f aca="false">IF(INDEX(Pengaturan!$B$8:$B$27,F$4)="",0,COUNTIF(Data!$B401:$U401,INDEX(Pengaturan!$B$8:$B$27,F$4)))</f>
        <v>0</v>
      </c>
      <c r="G401" s="26" t="n">
        <f aca="false">IF(INDEX(Pengaturan!$B$8:$B$27,G$4)="",0,COUNTIF(Data!$B401:$U401,INDEX(Pengaturan!$B$8:$B$27,G$4)))</f>
        <v>0</v>
      </c>
      <c r="H401" s="26" t="n">
        <f aca="false">IF(INDEX(Pengaturan!$B$8:$B$27,H$4)="",0,COUNTIF(Data!$B401:$U401,INDEX(Pengaturan!$B$8:$B$27,H$4)))</f>
        <v>0</v>
      </c>
      <c r="I401" s="26" t="n">
        <f aca="false">IF(INDEX(Pengaturan!$B$8:$B$27,I$4)="",0,COUNTIF(Data!$B401:$U401,INDEX(Pengaturan!$B$8:$B$27,I$4)))</f>
        <v>0</v>
      </c>
      <c r="J401" s="26" t="n">
        <f aca="false">IF(INDEX(Pengaturan!$B$8:$B$27,J$4)="",0,COUNTIF(Data!$B401:$U401,INDEX(Pengaturan!$B$8:$B$27,J$4)))</f>
        <v>0</v>
      </c>
      <c r="K401" s="26" t="n">
        <f aca="false">IF(INDEX(Pengaturan!$B$8:$B$27,K$4)="",0,COUNTIF(Data!$B401:$U401,INDEX(Pengaturan!$B$8:$B$27,K$4)))</f>
        <v>0</v>
      </c>
      <c r="L401" s="26" t="n">
        <f aca="false">IF(INDEX(Pengaturan!$B$8:$B$27,L$4)="",0,COUNTIF(Data!$B401:$U401,INDEX(Pengaturan!$B$8:$B$27,L$4)))</f>
        <v>0</v>
      </c>
      <c r="M401" s="26" t="n">
        <f aca="false">IF(INDEX(Pengaturan!$B$8:$B$27,M$4)="",0,COUNTIF(Data!$B401:$U401,INDEX(Pengaturan!$B$8:$B$27,M$4)))</f>
        <v>0</v>
      </c>
      <c r="N401" s="26" t="n">
        <f aca="false">IF(INDEX(Pengaturan!$B$8:$B$27,N$4)="",0,COUNTIF(Data!$B401:$U401,INDEX(Pengaturan!$B$8:$B$27,N$4)))</f>
        <v>0</v>
      </c>
      <c r="O401" s="26" t="n">
        <f aca="false">IF(INDEX(Pengaturan!$B$8:$B$27,O$4)="",0,COUNTIF(Data!$B401:$U401,INDEX(Pengaturan!$B$8:$B$27,O$4)))</f>
        <v>0</v>
      </c>
      <c r="P401" s="26" t="n">
        <f aca="false">IF(INDEX(Pengaturan!$B$8:$B$27,P$4)="",0,COUNTIF(Data!$B401:$U401,INDEX(Pengaturan!$B$8:$B$27,P$4)))</f>
        <v>0</v>
      </c>
      <c r="Q401" s="26" t="n">
        <f aca="false">IF(INDEX(Pengaturan!$B$8:$B$27,Q$4)="",0,COUNTIF(Data!$B401:$U401,INDEX(Pengaturan!$B$8:$B$27,Q$4)))</f>
        <v>0</v>
      </c>
      <c r="R401" s="26" t="n">
        <f aca="false">IF(INDEX(Pengaturan!$B$8:$B$27,R$4)="",0,COUNTIF(Data!$B401:$U401,INDEX(Pengaturan!$B$8:$B$27,R$4)))</f>
        <v>0</v>
      </c>
      <c r="S401" s="26" t="n">
        <f aca="false">IF(INDEX(Pengaturan!$B$8:$B$27,S$4)="",0,COUNTIF(Data!$B401:$U401,INDEX(Pengaturan!$B$8:$B$27,S$4)))</f>
        <v>0</v>
      </c>
      <c r="T401" s="26" t="n">
        <f aca="false">IF(INDEX(Pengaturan!$B$8:$B$27,T$4)="",0,COUNTIF(Data!$B401:$U401,INDEX(Pengaturan!$B$8:$B$27,T$4)))</f>
        <v>0</v>
      </c>
      <c r="U401" s="26" t="n">
        <f aca="false">IF(INDEX(Pengaturan!$B$8:$B$27,U$4)="",0,COUNTIF(Data!$B401:$U401,INDEX(Pengaturan!$B$8:$B$27,U$4)))</f>
        <v>0</v>
      </c>
      <c r="V401" s="26" t="n">
        <f aca="false">COUNTA(Data!$B401:$U401)</f>
        <v>0</v>
      </c>
      <c r="W401" s="27" t="str">
        <f aca="false">IF(V401=0,"",IF(V401&lt;&gt;Hasil!$C$4,"Data kosong/tidak lengkap",IF(SUM(B401:U401)&lt;&gt;V401,"Kategori tidak dikenal","OK")))</f>
        <v/>
      </c>
      <c r="X401" s="26" t="n">
        <f aca="false">IF(OR(W401="",W401="OK"),0,1)</f>
        <v>0</v>
      </c>
    </row>
    <row r="402" customFormat="false" ht="15" hidden="false" customHeight="false" outlineLevel="0" collapsed="false">
      <c r="A402" s="26" t="n">
        <f aca="false">Data!A402</f>
        <v>397</v>
      </c>
      <c r="B402" s="26" t="n">
        <f aca="false">IF(INDEX(Pengaturan!$B$8:$B$27,B$4)="",0,COUNTIF(Data!$B402:$U402,INDEX(Pengaturan!$B$8:$B$27,B$4)))</f>
        <v>0</v>
      </c>
      <c r="C402" s="26" t="n">
        <f aca="false">IF(INDEX(Pengaturan!$B$8:$B$27,C$4)="",0,COUNTIF(Data!$B402:$U402,INDEX(Pengaturan!$B$8:$B$27,C$4)))</f>
        <v>0</v>
      </c>
      <c r="D402" s="26" t="n">
        <f aca="false">IF(INDEX(Pengaturan!$B$8:$B$27,D$4)="",0,COUNTIF(Data!$B402:$U402,INDEX(Pengaturan!$B$8:$B$27,D$4)))</f>
        <v>0</v>
      </c>
      <c r="E402" s="26" t="n">
        <f aca="false">IF(INDEX(Pengaturan!$B$8:$B$27,E$4)="",0,COUNTIF(Data!$B402:$U402,INDEX(Pengaturan!$B$8:$B$27,E$4)))</f>
        <v>0</v>
      </c>
      <c r="F402" s="26" t="n">
        <f aca="false">IF(INDEX(Pengaturan!$B$8:$B$27,F$4)="",0,COUNTIF(Data!$B402:$U402,INDEX(Pengaturan!$B$8:$B$27,F$4)))</f>
        <v>0</v>
      </c>
      <c r="G402" s="26" t="n">
        <f aca="false">IF(INDEX(Pengaturan!$B$8:$B$27,G$4)="",0,COUNTIF(Data!$B402:$U402,INDEX(Pengaturan!$B$8:$B$27,G$4)))</f>
        <v>0</v>
      </c>
      <c r="H402" s="26" t="n">
        <f aca="false">IF(INDEX(Pengaturan!$B$8:$B$27,H$4)="",0,COUNTIF(Data!$B402:$U402,INDEX(Pengaturan!$B$8:$B$27,H$4)))</f>
        <v>0</v>
      </c>
      <c r="I402" s="26" t="n">
        <f aca="false">IF(INDEX(Pengaturan!$B$8:$B$27,I$4)="",0,COUNTIF(Data!$B402:$U402,INDEX(Pengaturan!$B$8:$B$27,I$4)))</f>
        <v>0</v>
      </c>
      <c r="J402" s="26" t="n">
        <f aca="false">IF(INDEX(Pengaturan!$B$8:$B$27,J$4)="",0,COUNTIF(Data!$B402:$U402,INDEX(Pengaturan!$B$8:$B$27,J$4)))</f>
        <v>0</v>
      </c>
      <c r="K402" s="26" t="n">
        <f aca="false">IF(INDEX(Pengaturan!$B$8:$B$27,K$4)="",0,COUNTIF(Data!$B402:$U402,INDEX(Pengaturan!$B$8:$B$27,K$4)))</f>
        <v>0</v>
      </c>
      <c r="L402" s="26" t="n">
        <f aca="false">IF(INDEX(Pengaturan!$B$8:$B$27,L$4)="",0,COUNTIF(Data!$B402:$U402,INDEX(Pengaturan!$B$8:$B$27,L$4)))</f>
        <v>0</v>
      </c>
      <c r="M402" s="26" t="n">
        <f aca="false">IF(INDEX(Pengaturan!$B$8:$B$27,M$4)="",0,COUNTIF(Data!$B402:$U402,INDEX(Pengaturan!$B$8:$B$27,M$4)))</f>
        <v>0</v>
      </c>
      <c r="N402" s="26" t="n">
        <f aca="false">IF(INDEX(Pengaturan!$B$8:$B$27,N$4)="",0,COUNTIF(Data!$B402:$U402,INDEX(Pengaturan!$B$8:$B$27,N$4)))</f>
        <v>0</v>
      </c>
      <c r="O402" s="26" t="n">
        <f aca="false">IF(INDEX(Pengaturan!$B$8:$B$27,O$4)="",0,COUNTIF(Data!$B402:$U402,INDEX(Pengaturan!$B$8:$B$27,O$4)))</f>
        <v>0</v>
      </c>
      <c r="P402" s="26" t="n">
        <f aca="false">IF(INDEX(Pengaturan!$B$8:$B$27,P$4)="",0,COUNTIF(Data!$B402:$U402,INDEX(Pengaturan!$B$8:$B$27,P$4)))</f>
        <v>0</v>
      </c>
      <c r="Q402" s="26" t="n">
        <f aca="false">IF(INDEX(Pengaturan!$B$8:$B$27,Q$4)="",0,COUNTIF(Data!$B402:$U402,INDEX(Pengaturan!$B$8:$B$27,Q$4)))</f>
        <v>0</v>
      </c>
      <c r="R402" s="26" t="n">
        <f aca="false">IF(INDEX(Pengaturan!$B$8:$B$27,R$4)="",0,COUNTIF(Data!$B402:$U402,INDEX(Pengaturan!$B$8:$B$27,R$4)))</f>
        <v>0</v>
      </c>
      <c r="S402" s="26" t="n">
        <f aca="false">IF(INDEX(Pengaturan!$B$8:$B$27,S$4)="",0,COUNTIF(Data!$B402:$U402,INDEX(Pengaturan!$B$8:$B$27,S$4)))</f>
        <v>0</v>
      </c>
      <c r="T402" s="26" t="n">
        <f aca="false">IF(INDEX(Pengaturan!$B$8:$B$27,T$4)="",0,COUNTIF(Data!$B402:$U402,INDEX(Pengaturan!$B$8:$B$27,T$4)))</f>
        <v>0</v>
      </c>
      <c r="U402" s="26" t="n">
        <f aca="false">IF(INDEX(Pengaturan!$B$8:$B$27,U$4)="",0,COUNTIF(Data!$B402:$U402,INDEX(Pengaturan!$B$8:$B$27,U$4)))</f>
        <v>0</v>
      </c>
      <c r="V402" s="26" t="n">
        <f aca="false">COUNTA(Data!$B402:$U402)</f>
        <v>0</v>
      </c>
      <c r="W402" s="27" t="str">
        <f aca="false">IF(V402=0,"",IF(V402&lt;&gt;Hasil!$C$4,"Data kosong/tidak lengkap",IF(SUM(B402:U402)&lt;&gt;V402,"Kategori tidak dikenal","OK")))</f>
        <v/>
      </c>
      <c r="X402" s="26" t="n">
        <f aca="false">IF(OR(W402="",W402="OK"),0,1)</f>
        <v>0</v>
      </c>
    </row>
    <row r="403" customFormat="false" ht="15" hidden="false" customHeight="false" outlineLevel="0" collapsed="false">
      <c r="A403" s="26" t="n">
        <f aca="false">Data!A403</f>
        <v>398</v>
      </c>
      <c r="B403" s="26" t="n">
        <f aca="false">IF(INDEX(Pengaturan!$B$8:$B$27,B$4)="",0,COUNTIF(Data!$B403:$U403,INDEX(Pengaturan!$B$8:$B$27,B$4)))</f>
        <v>0</v>
      </c>
      <c r="C403" s="26" t="n">
        <f aca="false">IF(INDEX(Pengaturan!$B$8:$B$27,C$4)="",0,COUNTIF(Data!$B403:$U403,INDEX(Pengaturan!$B$8:$B$27,C$4)))</f>
        <v>0</v>
      </c>
      <c r="D403" s="26" t="n">
        <f aca="false">IF(INDEX(Pengaturan!$B$8:$B$27,D$4)="",0,COUNTIF(Data!$B403:$U403,INDEX(Pengaturan!$B$8:$B$27,D$4)))</f>
        <v>0</v>
      </c>
      <c r="E403" s="26" t="n">
        <f aca="false">IF(INDEX(Pengaturan!$B$8:$B$27,E$4)="",0,COUNTIF(Data!$B403:$U403,INDEX(Pengaturan!$B$8:$B$27,E$4)))</f>
        <v>0</v>
      </c>
      <c r="F403" s="26" t="n">
        <f aca="false">IF(INDEX(Pengaturan!$B$8:$B$27,F$4)="",0,COUNTIF(Data!$B403:$U403,INDEX(Pengaturan!$B$8:$B$27,F$4)))</f>
        <v>0</v>
      </c>
      <c r="G403" s="26" t="n">
        <f aca="false">IF(INDEX(Pengaturan!$B$8:$B$27,G$4)="",0,COUNTIF(Data!$B403:$U403,INDEX(Pengaturan!$B$8:$B$27,G$4)))</f>
        <v>0</v>
      </c>
      <c r="H403" s="26" t="n">
        <f aca="false">IF(INDEX(Pengaturan!$B$8:$B$27,H$4)="",0,COUNTIF(Data!$B403:$U403,INDEX(Pengaturan!$B$8:$B$27,H$4)))</f>
        <v>0</v>
      </c>
      <c r="I403" s="26" t="n">
        <f aca="false">IF(INDEX(Pengaturan!$B$8:$B$27,I$4)="",0,COUNTIF(Data!$B403:$U403,INDEX(Pengaturan!$B$8:$B$27,I$4)))</f>
        <v>0</v>
      </c>
      <c r="J403" s="26" t="n">
        <f aca="false">IF(INDEX(Pengaturan!$B$8:$B$27,J$4)="",0,COUNTIF(Data!$B403:$U403,INDEX(Pengaturan!$B$8:$B$27,J$4)))</f>
        <v>0</v>
      </c>
      <c r="K403" s="26" t="n">
        <f aca="false">IF(INDEX(Pengaturan!$B$8:$B$27,K$4)="",0,COUNTIF(Data!$B403:$U403,INDEX(Pengaturan!$B$8:$B$27,K$4)))</f>
        <v>0</v>
      </c>
      <c r="L403" s="26" t="n">
        <f aca="false">IF(INDEX(Pengaturan!$B$8:$B$27,L$4)="",0,COUNTIF(Data!$B403:$U403,INDEX(Pengaturan!$B$8:$B$27,L$4)))</f>
        <v>0</v>
      </c>
      <c r="M403" s="26" t="n">
        <f aca="false">IF(INDEX(Pengaturan!$B$8:$B$27,M$4)="",0,COUNTIF(Data!$B403:$U403,INDEX(Pengaturan!$B$8:$B$27,M$4)))</f>
        <v>0</v>
      </c>
      <c r="N403" s="26" t="n">
        <f aca="false">IF(INDEX(Pengaturan!$B$8:$B$27,N$4)="",0,COUNTIF(Data!$B403:$U403,INDEX(Pengaturan!$B$8:$B$27,N$4)))</f>
        <v>0</v>
      </c>
      <c r="O403" s="26" t="n">
        <f aca="false">IF(INDEX(Pengaturan!$B$8:$B$27,O$4)="",0,COUNTIF(Data!$B403:$U403,INDEX(Pengaturan!$B$8:$B$27,O$4)))</f>
        <v>0</v>
      </c>
      <c r="P403" s="26" t="n">
        <f aca="false">IF(INDEX(Pengaturan!$B$8:$B$27,P$4)="",0,COUNTIF(Data!$B403:$U403,INDEX(Pengaturan!$B$8:$B$27,P$4)))</f>
        <v>0</v>
      </c>
      <c r="Q403" s="26" t="n">
        <f aca="false">IF(INDEX(Pengaturan!$B$8:$B$27,Q$4)="",0,COUNTIF(Data!$B403:$U403,INDEX(Pengaturan!$B$8:$B$27,Q$4)))</f>
        <v>0</v>
      </c>
      <c r="R403" s="26" t="n">
        <f aca="false">IF(INDEX(Pengaturan!$B$8:$B$27,R$4)="",0,COUNTIF(Data!$B403:$U403,INDEX(Pengaturan!$B$8:$B$27,R$4)))</f>
        <v>0</v>
      </c>
      <c r="S403" s="26" t="n">
        <f aca="false">IF(INDEX(Pengaturan!$B$8:$B$27,S$4)="",0,COUNTIF(Data!$B403:$U403,INDEX(Pengaturan!$B$8:$B$27,S$4)))</f>
        <v>0</v>
      </c>
      <c r="T403" s="26" t="n">
        <f aca="false">IF(INDEX(Pengaturan!$B$8:$B$27,T$4)="",0,COUNTIF(Data!$B403:$U403,INDEX(Pengaturan!$B$8:$B$27,T$4)))</f>
        <v>0</v>
      </c>
      <c r="U403" s="26" t="n">
        <f aca="false">IF(INDEX(Pengaturan!$B$8:$B$27,U$4)="",0,COUNTIF(Data!$B403:$U403,INDEX(Pengaturan!$B$8:$B$27,U$4)))</f>
        <v>0</v>
      </c>
      <c r="V403" s="26" t="n">
        <f aca="false">COUNTA(Data!$B403:$U403)</f>
        <v>0</v>
      </c>
      <c r="W403" s="27" t="str">
        <f aca="false">IF(V403=0,"",IF(V403&lt;&gt;Hasil!$C$4,"Data kosong/tidak lengkap",IF(SUM(B403:U403)&lt;&gt;V403,"Kategori tidak dikenal","OK")))</f>
        <v/>
      </c>
      <c r="X403" s="26" t="n">
        <f aca="false">IF(OR(W403="",W403="OK"),0,1)</f>
        <v>0</v>
      </c>
    </row>
    <row r="404" customFormat="false" ht="15" hidden="false" customHeight="false" outlineLevel="0" collapsed="false">
      <c r="A404" s="26" t="n">
        <f aca="false">Data!A404</f>
        <v>399</v>
      </c>
      <c r="B404" s="26" t="n">
        <f aca="false">IF(INDEX(Pengaturan!$B$8:$B$27,B$4)="",0,COUNTIF(Data!$B404:$U404,INDEX(Pengaturan!$B$8:$B$27,B$4)))</f>
        <v>0</v>
      </c>
      <c r="C404" s="26" t="n">
        <f aca="false">IF(INDEX(Pengaturan!$B$8:$B$27,C$4)="",0,COUNTIF(Data!$B404:$U404,INDEX(Pengaturan!$B$8:$B$27,C$4)))</f>
        <v>0</v>
      </c>
      <c r="D404" s="26" t="n">
        <f aca="false">IF(INDEX(Pengaturan!$B$8:$B$27,D$4)="",0,COUNTIF(Data!$B404:$U404,INDEX(Pengaturan!$B$8:$B$27,D$4)))</f>
        <v>0</v>
      </c>
      <c r="E404" s="26" t="n">
        <f aca="false">IF(INDEX(Pengaturan!$B$8:$B$27,E$4)="",0,COUNTIF(Data!$B404:$U404,INDEX(Pengaturan!$B$8:$B$27,E$4)))</f>
        <v>0</v>
      </c>
      <c r="F404" s="26" t="n">
        <f aca="false">IF(INDEX(Pengaturan!$B$8:$B$27,F$4)="",0,COUNTIF(Data!$B404:$U404,INDEX(Pengaturan!$B$8:$B$27,F$4)))</f>
        <v>0</v>
      </c>
      <c r="G404" s="26" t="n">
        <f aca="false">IF(INDEX(Pengaturan!$B$8:$B$27,G$4)="",0,COUNTIF(Data!$B404:$U404,INDEX(Pengaturan!$B$8:$B$27,G$4)))</f>
        <v>0</v>
      </c>
      <c r="H404" s="26" t="n">
        <f aca="false">IF(INDEX(Pengaturan!$B$8:$B$27,H$4)="",0,COUNTIF(Data!$B404:$U404,INDEX(Pengaturan!$B$8:$B$27,H$4)))</f>
        <v>0</v>
      </c>
      <c r="I404" s="26" t="n">
        <f aca="false">IF(INDEX(Pengaturan!$B$8:$B$27,I$4)="",0,COUNTIF(Data!$B404:$U404,INDEX(Pengaturan!$B$8:$B$27,I$4)))</f>
        <v>0</v>
      </c>
      <c r="J404" s="26" t="n">
        <f aca="false">IF(INDEX(Pengaturan!$B$8:$B$27,J$4)="",0,COUNTIF(Data!$B404:$U404,INDEX(Pengaturan!$B$8:$B$27,J$4)))</f>
        <v>0</v>
      </c>
      <c r="K404" s="26" t="n">
        <f aca="false">IF(INDEX(Pengaturan!$B$8:$B$27,K$4)="",0,COUNTIF(Data!$B404:$U404,INDEX(Pengaturan!$B$8:$B$27,K$4)))</f>
        <v>0</v>
      </c>
      <c r="L404" s="26" t="n">
        <f aca="false">IF(INDEX(Pengaturan!$B$8:$B$27,L$4)="",0,COUNTIF(Data!$B404:$U404,INDEX(Pengaturan!$B$8:$B$27,L$4)))</f>
        <v>0</v>
      </c>
      <c r="M404" s="26" t="n">
        <f aca="false">IF(INDEX(Pengaturan!$B$8:$B$27,M$4)="",0,COUNTIF(Data!$B404:$U404,INDEX(Pengaturan!$B$8:$B$27,M$4)))</f>
        <v>0</v>
      </c>
      <c r="N404" s="26" t="n">
        <f aca="false">IF(INDEX(Pengaturan!$B$8:$B$27,N$4)="",0,COUNTIF(Data!$B404:$U404,INDEX(Pengaturan!$B$8:$B$27,N$4)))</f>
        <v>0</v>
      </c>
      <c r="O404" s="26" t="n">
        <f aca="false">IF(INDEX(Pengaturan!$B$8:$B$27,O$4)="",0,COUNTIF(Data!$B404:$U404,INDEX(Pengaturan!$B$8:$B$27,O$4)))</f>
        <v>0</v>
      </c>
      <c r="P404" s="26" t="n">
        <f aca="false">IF(INDEX(Pengaturan!$B$8:$B$27,P$4)="",0,COUNTIF(Data!$B404:$U404,INDEX(Pengaturan!$B$8:$B$27,P$4)))</f>
        <v>0</v>
      </c>
      <c r="Q404" s="26" t="n">
        <f aca="false">IF(INDEX(Pengaturan!$B$8:$B$27,Q$4)="",0,COUNTIF(Data!$B404:$U404,INDEX(Pengaturan!$B$8:$B$27,Q$4)))</f>
        <v>0</v>
      </c>
      <c r="R404" s="26" t="n">
        <f aca="false">IF(INDEX(Pengaturan!$B$8:$B$27,R$4)="",0,COUNTIF(Data!$B404:$U404,INDEX(Pengaturan!$B$8:$B$27,R$4)))</f>
        <v>0</v>
      </c>
      <c r="S404" s="26" t="n">
        <f aca="false">IF(INDEX(Pengaturan!$B$8:$B$27,S$4)="",0,COUNTIF(Data!$B404:$U404,INDEX(Pengaturan!$B$8:$B$27,S$4)))</f>
        <v>0</v>
      </c>
      <c r="T404" s="26" t="n">
        <f aca="false">IF(INDEX(Pengaturan!$B$8:$B$27,T$4)="",0,COUNTIF(Data!$B404:$U404,INDEX(Pengaturan!$B$8:$B$27,T$4)))</f>
        <v>0</v>
      </c>
      <c r="U404" s="26" t="n">
        <f aca="false">IF(INDEX(Pengaturan!$B$8:$B$27,U$4)="",0,COUNTIF(Data!$B404:$U404,INDEX(Pengaturan!$B$8:$B$27,U$4)))</f>
        <v>0</v>
      </c>
      <c r="V404" s="26" t="n">
        <f aca="false">COUNTA(Data!$B404:$U404)</f>
        <v>0</v>
      </c>
      <c r="W404" s="27" t="str">
        <f aca="false">IF(V404=0,"",IF(V404&lt;&gt;Hasil!$C$4,"Data kosong/tidak lengkap",IF(SUM(B404:U404)&lt;&gt;V404,"Kategori tidak dikenal","OK")))</f>
        <v/>
      </c>
      <c r="X404" s="26" t="n">
        <f aca="false">IF(OR(W404="",W404="OK"),0,1)</f>
        <v>0</v>
      </c>
    </row>
    <row r="405" customFormat="false" ht="15" hidden="false" customHeight="false" outlineLevel="0" collapsed="false">
      <c r="A405" s="26" t="n">
        <f aca="false">Data!A405</f>
        <v>400</v>
      </c>
      <c r="B405" s="26" t="n">
        <f aca="false">IF(INDEX(Pengaturan!$B$8:$B$27,B$4)="",0,COUNTIF(Data!$B405:$U405,INDEX(Pengaturan!$B$8:$B$27,B$4)))</f>
        <v>0</v>
      </c>
      <c r="C405" s="26" t="n">
        <f aca="false">IF(INDEX(Pengaturan!$B$8:$B$27,C$4)="",0,COUNTIF(Data!$B405:$U405,INDEX(Pengaturan!$B$8:$B$27,C$4)))</f>
        <v>0</v>
      </c>
      <c r="D405" s="26" t="n">
        <f aca="false">IF(INDEX(Pengaturan!$B$8:$B$27,D$4)="",0,COUNTIF(Data!$B405:$U405,INDEX(Pengaturan!$B$8:$B$27,D$4)))</f>
        <v>0</v>
      </c>
      <c r="E405" s="26" t="n">
        <f aca="false">IF(INDEX(Pengaturan!$B$8:$B$27,E$4)="",0,COUNTIF(Data!$B405:$U405,INDEX(Pengaturan!$B$8:$B$27,E$4)))</f>
        <v>0</v>
      </c>
      <c r="F405" s="26" t="n">
        <f aca="false">IF(INDEX(Pengaturan!$B$8:$B$27,F$4)="",0,COUNTIF(Data!$B405:$U405,INDEX(Pengaturan!$B$8:$B$27,F$4)))</f>
        <v>0</v>
      </c>
      <c r="G405" s="26" t="n">
        <f aca="false">IF(INDEX(Pengaturan!$B$8:$B$27,G$4)="",0,COUNTIF(Data!$B405:$U405,INDEX(Pengaturan!$B$8:$B$27,G$4)))</f>
        <v>0</v>
      </c>
      <c r="H405" s="26" t="n">
        <f aca="false">IF(INDEX(Pengaturan!$B$8:$B$27,H$4)="",0,COUNTIF(Data!$B405:$U405,INDEX(Pengaturan!$B$8:$B$27,H$4)))</f>
        <v>0</v>
      </c>
      <c r="I405" s="26" t="n">
        <f aca="false">IF(INDEX(Pengaturan!$B$8:$B$27,I$4)="",0,COUNTIF(Data!$B405:$U405,INDEX(Pengaturan!$B$8:$B$27,I$4)))</f>
        <v>0</v>
      </c>
      <c r="J405" s="26" t="n">
        <f aca="false">IF(INDEX(Pengaturan!$B$8:$B$27,J$4)="",0,COUNTIF(Data!$B405:$U405,INDEX(Pengaturan!$B$8:$B$27,J$4)))</f>
        <v>0</v>
      </c>
      <c r="K405" s="26" t="n">
        <f aca="false">IF(INDEX(Pengaturan!$B$8:$B$27,K$4)="",0,COUNTIF(Data!$B405:$U405,INDEX(Pengaturan!$B$8:$B$27,K$4)))</f>
        <v>0</v>
      </c>
      <c r="L405" s="26" t="n">
        <f aca="false">IF(INDEX(Pengaturan!$B$8:$B$27,L$4)="",0,COUNTIF(Data!$B405:$U405,INDEX(Pengaturan!$B$8:$B$27,L$4)))</f>
        <v>0</v>
      </c>
      <c r="M405" s="26" t="n">
        <f aca="false">IF(INDEX(Pengaturan!$B$8:$B$27,M$4)="",0,COUNTIF(Data!$B405:$U405,INDEX(Pengaturan!$B$8:$B$27,M$4)))</f>
        <v>0</v>
      </c>
      <c r="N405" s="26" t="n">
        <f aca="false">IF(INDEX(Pengaturan!$B$8:$B$27,N$4)="",0,COUNTIF(Data!$B405:$U405,INDEX(Pengaturan!$B$8:$B$27,N$4)))</f>
        <v>0</v>
      </c>
      <c r="O405" s="26" t="n">
        <f aca="false">IF(INDEX(Pengaturan!$B$8:$B$27,O$4)="",0,COUNTIF(Data!$B405:$U405,INDEX(Pengaturan!$B$8:$B$27,O$4)))</f>
        <v>0</v>
      </c>
      <c r="P405" s="26" t="n">
        <f aca="false">IF(INDEX(Pengaturan!$B$8:$B$27,P$4)="",0,COUNTIF(Data!$B405:$U405,INDEX(Pengaturan!$B$8:$B$27,P$4)))</f>
        <v>0</v>
      </c>
      <c r="Q405" s="26" t="n">
        <f aca="false">IF(INDEX(Pengaturan!$B$8:$B$27,Q$4)="",0,COUNTIF(Data!$B405:$U405,INDEX(Pengaturan!$B$8:$B$27,Q$4)))</f>
        <v>0</v>
      </c>
      <c r="R405" s="26" t="n">
        <f aca="false">IF(INDEX(Pengaturan!$B$8:$B$27,R$4)="",0,COUNTIF(Data!$B405:$U405,INDEX(Pengaturan!$B$8:$B$27,R$4)))</f>
        <v>0</v>
      </c>
      <c r="S405" s="26" t="n">
        <f aca="false">IF(INDEX(Pengaturan!$B$8:$B$27,S$4)="",0,COUNTIF(Data!$B405:$U405,INDEX(Pengaturan!$B$8:$B$27,S$4)))</f>
        <v>0</v>
      </c>
      <c r="T405" s="26" t="n">
        <f aca="false">IF(INDEX(Pengaturan!$B$8:$B$27,T$4)="",0,COUNTIF(Data!$B405:$U405,INDEX(Pengaturan!$B$8:$B$27,T$4)))</f>
        <v>0</v>
      </c>
      <c r="U405" s="26" t="n">
        <f aca="false">IF(INDEX(Pengaturan!$B$8:$B$27,U$4)="",0,COUNTIF(Data!$B405:$U405,INDEX(Pengaturan!$B$8:$B$27,U$4)))</f>
        <v>0</v>
      </c>
      <c r="V405" s="26" t="n">
        <f aca="false">COUNTA(Data!$B405:$U405)</f>
        <v>0</v>
      </c>
      <c r="W405" s="27" t="str">
        <f aca="false">IF(V405=0,"",IF(V405&lt;&gt;Hasil!$C$4,"Data kosong/tidak lengkap",IF(SUM(B405:U405)&lt;&gt;V405,"Kategori tidak dikenal","OK")))</f>
        <v/>
      </c>
      <c r="X405" s="26" t="n">
        <f aca="false">IF(OR(W405="",W405="OK"),0,1)</f>
        <v>0</v>
      </c>
    </row>
    <row r="406" customFormat="false" ht="15" hidden="false" customHeight="false" outlineLevel="0" collapsed="false">
      <c r="A406" s="26" t="n">
        <f aca="false">Data!A406</f>
        <v>401</v>
      </c>
      <c r="B406" s="26" t="n">
        <f aca="false">IF(INDEX(Pengaturan!$B$8:$B$27,B$4)="",0,COUNTIF(Data!$B406:$U406,INDEX(Pengaturan!$B$8:$B$27,B$4)))</f>
        <v>0</v>
      </c>
      <c r="C406" s="26" t="n">
        <f aca="false">IF(INDEX(Pengaturan!$B$8:$B$27,C$4)="",0,COUNTIF(Data!$B406:$U406,INDEX(Pengaturan!$B$8:$B$27,C$4)))</f>
        <v>0</v>
      </c>
      <c r="D406" s="26" t="n">
        <f aca="false">IF(INDEX(Pengaturan!$B$8:$B$27,D$4)="",0,COUNTIF(Data!$B406:$U406,INDEX(Pengaturan!$B$8:$B$27,D$4)))</f>
        <v>0</v>
      </c>
      <c r="E406" s="26" t="n">
        <f aca="false">IF(INDEX(Pengaturan!$B$8:$B$27,E$4)="",0,COUNTIF(Data!$B406:$U406,INDEX(Pengaturan!$B$8:$B$27,E$4)))</f>
        <v>0</v>
      </c>
      <c r="F406" s="26" t="n">
        <f aca="false">IF(INDEX(Pengaturan!$B$8:$B$27,F$4)="",0,COUNTIF(Data!$B406:$U406,INDEX(Pengaturan!$B$8:$B$27,F$4)))</f>
        <v>0</v>
      </c>
      <c r="G406" s="26" t="n">
        <f aca="false">IF(INDEX(Pengaturan!$B$8:$B$27,G$4)="",0,COUNTIF(Data!$B406:$U406,INDEX(Pengaturan!$B$8:$B$27,G$4)))</f>
        <v>0</v>
      </c>
      <c r="H406" s="26" t="n">
        <f aca="false">IF(INDEX(Pengaturan!$B$8:$B$27,H$4)="",0,COUNTIF(Data!$B406:$U406,INDEX(Pengaturan!$B$8:$B$27,H$4)))</f>
        <v>0</v>
      </c>
      <c r="I406" s="26" t="n">
        <f aca="false">IF(INDEX(Pengaturan!$B$8:$B$27,I$4)="",0,COUNTIF(Data!$B406:$U406,INDEX(Pengaturan!$B$8:$B$27,I$4)))</f>
        <v>0</v>
      </c>
      <c r="J406" s="26" t="n">
        <f aca="false">IF(INDEX(Pengaturan!$B$8:$B$27,J$4)="",0,COUNTIF(Data!$B406:$U406,INDEX(Pengaturan!$B$8:$B$27,J$4)))</f>
        <v>0</v>
      </c>
      <c r="K406" s="26" t="n">
        <f aca="false">IF(INDEX(Pengaturan!$B$8:$B$27,K$4)="",0,COUNTIF(Data!$B406:$U406,INDEX(Pengaturan!$B$8:$B$27,K$4)))</f>
        <v>0</v>
      </c>
      <c r="L406" s="26" t="n">
        <f aca="false">IF(INDEX(Pengaturan!$B$8:$B$27,L$4)="",0,COUNTIF(Data!$B406:$U406,INDEX(Pengaturan!$B$8:$B$27,L$4)))</f>
        <v>0</v>
      </c>
      <c r="M406" s="26" t="n">
        <f aca="false">IF(INDEX(Pengaturan!$B$8:$B$27,M$4)="",0,COUNTIF(Data!$B406:$U406,INDEX(Pengaturan!$B$8:$B$27,M$4)))</f>
        <v>0</v>
      </c>
      <c r="N406" s="26" t="n">
        <f aca="false">IF(INDEX(Pengaturan!$B$8:$B$27,N$4)="",0,COUNTIF(Data!$B406:$U406,INDEX(Pengaturan!$B$8:$B$27,N$4)))</f>
        <v>0</v>
      </c>
      <c r="O406" s="26" t="n">
        <f aca="false">IF(INDEX(Pengaturan!$B$8:$B$27,O$4)="",0,COUNTIF(Data!$B406:$U406,INDEX(Pengaturan!$B$8:$B$27,O$4)))</f>
        <v>0</v>
      </c>
      <c r="P406" s="26" t="n">
        <f aca="false">IF(INDEX(Pengaturan!$B$8:$B$27,P$4)="",0,COUNTIF(Data!$B406:$U406,INDEX(Pengaturan!$B$8:$B$27,P$4)))</f>
        <v>0</v>
      </c>
      <c r="Q406" s="26" t="n">
        <f aca="false">IF(INDEX(Pengaturan!$B$8:$B$27,Q$4)="",0,COUNTIF(Data!$B406:$U406,INDEX(Pengaturan!$B$8:$B$27,Q$4)))</f>
        <v>0</v>
      </c>
      <c r="R406" s="26" t="n">
        <f aca="false">IF(INDEX(Pengaturan!$B$8:$B$27,R$4)="",0,COUNTIF(Data!$B406:$U406,INDEX(Pengaturan!$B$8:$B$27,R$4)))</f>
        <v>0</v>
      </c>
      <c r="S406" s="26" t="n">
        <f aca="false">IF(INDEX(Pengaturan!$B$8:$B$27,S$4)="",0,COUNTIF(Data!$B406:$U406,INDEX(Pengaturan!$B$8:$B$27,S$4)))</f>
        <v>0</v>
      </c>
      <c r="T406" s="26" t="n">
        <f aca="false">IF(INDEX(Pengaturan!$B$8:$B$27,T$4)="",0,COUNTIF(Data!$B406:$U406,INDEX(Pengaturan!$B$8:$B$27,T$4)))</f>
        <v>0</v>
      </c>
      <c r="U406" s="26" t="n">
        <f aca="false">IF(INDEX(Pengaturan!$B$8:$B$27,U$4)="",0,COUNTIF(Data!$B406:$U406,INDEX(Pengaturan!$B$8:$B$27,U$4)))</f>
        <v>0</v>
      </c>
      <c r="V406" s="26" t="n">
        <f aca="false">COUNTA(Data!$B406:$U406)</f>
        <v>0</v>
      </c>
      <c r="W406" s="27" t="str">
        <f aca="false">IF(V406=0,"",IF(V406&lt;&gt;Hasil!$C$4,"Data kosong/tidak lengkap",IF(SUM(B406:U406)&lt;&gt;V406,"Kategori tidak dikenal","OK")))</f>
        <v/>
      </c>
      <c r="X406" s="26" t="n">
        <f aca="false">IF(OR(W406="",W406="OK"),0,1)</f>
        <v>0</v>
      </c>
    </row>
    <row r="407" customFormat="false" ht="15" hidden="false" customHeight="false" outlineLevel="0" collapsed="false">
      <c r="A407" s="26" t="n">
        <f aca="false">Data!A407</f>
        <v>402</v>
      </c>
      <c r="B407" s="26" t="n">
        <f aca="false">IF(INDEX(Pengaturan!$B$8:$B$27,B$4)="",0,COUNTIF(Data!$B407:$U407,INDEX(Pengaturan!$B$8:$B$27,B$4)))</f>
        <v>0</v>
      </c>
      <c r="C407" s="26" t="n">
        <f aca="false">IF(INDEX(Pengaturan!$B$8:$B$27,C$4)="",0,COUNTIF(Data!$B407:$U407,INDEX(Pengaturan!$B$8:$B$27,C$4)))</f>
        <v>0</v>
      </c>
      <c r="D407" s="26" t="n">
        <f aca="false">IF(INDEX(Pengaturan!$B$8:$B$27,D$4)="",0,COUNTIF(Data!$B407:$U407,INDEX(Pengaturan!$B$8:$B$27,D$4)))</f>
        <v>0</v>
      </c>
      <c r="E407" s="26" t="n">
        <f aca="false">IF(INDEX(Pengaturan!$B$8:$B$27,E$4)="",0,COUNTIF(Data!$B407:$U407,INDEX(Pengaturan!$B$8:$B$27,E$4)))</f>
        <v>0</v>
      </c>
      <c r="F407" s="26" t="n">
        <f aca="false">IF(INDEX(Pengaturan!$B$8:$B$27,F$4)="",0,COUNTIF(Data!$B407:$U407,INDEX(Pengaturan!$B$8:$B$27,F$4)))</f>
        <v>0</v>
      </c>
      <c r="G407" s="26" t="n">
        <f aca="false">IF(INDEX(Pengaturan!$B$8:$B$27,G$4)="",0,COUNTIF(Data!$B407:$U407,INDEX(Pengaturan!$B$8:$B$27,G$4)))</f>
        <v>0</v>
      </c>
      <c r="H407" s="26" t="n">
        <f aca="false">IF(INDEX(Pengaturan!$B$8:$B$27,H$4)="",0,COUNTIF(Data!$B407:$U407,INDEX(Pengaturan!$B$8:$B$27,H$4)))</f>
        <v>0</v>
      </c>
      <c r="I407" s="26" t="n">
        <f aca="false">IF(INDEX(Pengaturan!$B$8:$B$27,I$4)="",0,COUNTIF(Data!$B407:$U407,INDEX(Pengaturan!$B$8:$B$27,I$4)))</f>
        <v>0</v>
      </c>
      <c r="J407" s="26" t="n">
        <f aca="false">IF(INDEX(Pengaturan!$B$8:$B$27,J$4)="",0,COUNTIF(Data!$B407:$U407,INDEX(Pengaturan!$B$8:$B$27,J$4)))</f>
        <v>0</v>
      </c>
      <c r="K407" s="26" t="n">
        <f aca="false">IF(INDEX(Pengaturan!$B$8:$B$27,K$4)="",0,COUNTIF(Data!$B407:$U407,INDEX(Pengaturan!$B$8:$B$27,K$4)))</f>
        <v>0</v>
      </c>
      <c r="L407" s="26" t="n">
        <f aca="false">IF(INDEX(Pengaturan!$B$8:$B$27,L$4)="",0,COUNTIF(Data!$B407:$U407,INDEX(Pengaturan!$B$8:$B$27,L$4)))</f>
        <v>0</v>
      </c>
      <c r="M407" s="26" t="n">
        <f aca="false">IF(INDEX(Pengaturan!$B$8:$B$27,M$4)="",0,COUNTIF(Data!$B407:$U407,INDEX(Pengaturan!$B$8:$B$27,M$4)))</f>
        <v>0</v>
      </c>
      <c r="N407" s="26" t="n">
        <f aca="false">IF(INDEX(Pengaturan!$B$8:$B$27,N$4)="",0,COUNTIF(Data!$B407:$U407,INDEX(Pengaturan!$B$8:$B$27,N$4)))</f>
        <v>0</v>
      </c>
      <c r="O407" s="26" t="n">
        <f aca="false">IF(INDEX(Pengaturan!$B$8:$B$27,O$4)="",0,COUNTIF(Data!$B407:$U407,INDEX(Pengaturan!$B$8:$B$27,O$4)))</f>
        <v>0</v>
      </c>
      <c r="P407" s="26" t="n">
        <f aca="false">IF(INDEX(Pengaturan!$B$8:$B$27,P$4)="",0,COUNTIF(Data!$B407:$U407,INDEX(Pengaturan!$B$8:$B$27,P$4)))</f>
        <v>0</v>
      </c>
      <c r="Q407" s="26" t="n">
        <f aca="false">IF(INDEX(Pengaturan!$B$8:$B$27,Q$4)="",0,COUNTIF(Data!$B407:$U407,INDEX(Pengaturan!$B$8:$B$27,Q$4)))</f>
        <v>0</v>
      </c>
      <c r="R407" s="26" t="n">
        <f aca="false">IF(INDEX(Pengaturan!$B$8:$B$27,R$4)="",0,COUNTIF(Data!$B407:$U407,INDEX(Pengaturan!$B$8:$B$27,R$4)))</f>
        <v>0</v>
      </c>
      <c r="S407" s="26" t="n">
        <f aca="false">IF(INDEX(Pengaturan!$B$8:$B$27,S$4)="",0,COUNTIF(Data!$B407:$U407,INDEX(Pengaturan!$B$8:$B$27,S$4)))</f>
        <v>0</v>
      </c>
      <c r="T407" s="26" t="n">
        <f aca="false">IF(INDEX(Pengaturan!$B$8:$B$27,T$4)="",0,COUNTIF(Data!$B407:$U407,INDEX(Pengaturan!$B$8:$B$27,T$4)))</f>
        <v>0</v>
      </c>
      <c r="U407" s="26" t="n">
        <f aca="false">IF(INDEX(Pengaturan!$B$8:$B$27,U$4)="",0,COUNTIF(Data!$B407:$U407,INDEX(Pengaturan!$B$8:$B$27,U$4)))</f>
        <v>0</v>
      </c>
      <c r="V407" s="26" t="n">
        <f aca="false">COUNTA(Data!$B407:$U407)</f>
        <v>0</v>
      </c>
      <c r="W407" s="27" t="str">
        <f aca="false">IF(V407=0,"",IF(V407&lt;&gt;Hasil!$C$4,"Data kosong/tidak lengkap",IF(SUM(B407:U407)&lt;&gt;V407,"Kategori tidak dikenal","OK")))</f>
        <v/>
      </c>
      <c r="X407" s="26" t="n">
        <f aca="false">IF(OR(W407="",W407="OK"),0,1)</f>
        <v>0</v>
      </c>
    </row>
    <row r="408" customFormat="false" ht="15" hidden="false" customHeight="false" outlineLevel="0" collapsed="false">
      <c r="A408" s="26" t="n">
        <f aca="false">Data!A408</f>
        <v>403</v>
      </c>
      <c r="B408" s="26" t="n">
        <f aca="false">IF(INDEX(Pengaturan!$B$8:$B$27,B$4)="",0,COUNTIF(Data!$B408:$U408,INDEX(Pengaturan!$B$8:$B$27,B$4)))</f>
        <v>0</v>
      </c>
      <c r="C408" s="26" t="n">
        <f aca="false">IF(INDEX(Pengaturan!$B$8:$B$27,C$4)="",0,COUNTIF(Data!$B408:$U408,INDEX(Pengaturan!$B$8:$B$27,C$4)))</f>
        <v>0</v>
      </c>
      <c r="D408" s="26" t="n">
        <f aca="false">IF(INDEX(Pengaturan!$B$8:$B$27,D$4)="",0,COUNTIF(Data!$B408:$U408,INDEX(Pengaturan!$B$8:$B$27,D$4)))</f>
        <v>0</v>
      </c>
      <c r="E408" s="26" t="n">
        <f aca="false">IF(INDEX(Pengaturan!$B$8:$B$27,E$4)="",0,COUNTIF(Data!$B408:$U408,INDEX(Pengaturan!$B$8:$B$27,E$4)))</f>
        <v>0</v>
      </c>
      <c r="F408" s="26" t="n">
        <f aca="false">IF(INDEX(Pengaturan!$B$8:$B$27,F$4)="",0,COUNTIF(Data!$B408:$U408,INDEX(Pengaturan!$B$8:$B$27,F$4)))</f>
        <v>0</v>
      </c>
      <c r="G408" s="26" t="n">
        <f aca="false">IF(INDEX(Pengaturan!$B$8:$B$27,G$4)="",0,COUNTIF(Data!$B408:$U408,INDEX(Pengaturan!$B$8:$B$27,G$4)))</f>
        <v>0</v>
      </c>
      <c r="H408" s="26" t="n">
        <f aca="false">IF(INDEX(Pengaturan!$B$8:$B$27,H$4)="",0,COUNTIF(Data!$B408:$U408,INDEX(Pengaturan!$B$8:$B$27,H$4)))</f>
        <v>0</v>
      </c>
      <c r="I408" s="26" t="n">
        <f aca="false">IF(INDEX(Pengaturan!$B$8:$B$27,I$4)="",0,COUNTIF(Data!$B408:$U408,INDEX(Pengaturan!$B$8:$B$27,I$4)))</f>
        <v>0</v>
      </c>
      <c r="J408" s="26" t="n">
        <f aca="false">IF(INDEX(Pengaturan!$B$8:$B$27,J$4)="",0,COUNTIF(Data!$B408:$U408,INDEX(Pengaturan!$B$8:$B$27,J$4)))</f>
        <v>0</v>
      </c>
      <c r="K408" s="26" t="n">
        <f aca="false">IF(INDEX(Pengaturan!$B$8:$B$27,K$4)="",0,COUNTIF(Data!$B408:$U408,INDEX(Pengaturan!$B$8:$B$27,K$4)))</f>
        <v>0</v>
      </c>
      <c r="L408" s="26" t="n">
        <f aca="false">IF(INDEX(Pengaturan!$B$8:$B$27,L$4)="",0,COUNTIF(Data!$B408:$U408,INDEX(Pengaturan!$B$8:$B$27,L$4)))</f>
        <v>0</v>
      </c>
      <c r="M408" s="26" t="n">
        <f aca="false">IF(INDEX(Pengaturan!$B$8:$B$27,M$4)="",0,COUNTIF(Data!$B408:$U408,INDEX(Pengaturan!$B$8:$B$27,M$4)))</f>
        <v>0</v>
      </c>
      <c r="N408" s="26" t="n">
        <f aca="false">IF(INDEX(Pengaturan!$B$8:$B$27,N$4)="",0,COUNTIF(Data!$B408:$U408,INDEX(Pengaturan!$B$8:$B$27,N$4)))</f>
        <v>0</v>
      </c>
      <c r="O408" s="26" t="n">
        <f aca="false">IF(INDEX(Pengaturan!$B$8:$B$27,O$4)="",0,COUNTIF(Data!$B408:$U408,INDEX(Pengaturan!$B$8:$B$27,O$4)))</f>
        <v>0</v>
      </c>
      <c r="P408" s="26" t="n">
        <f aca="false">IF(INDEX(Pengaturan!$B$8:$B$27,P$4)="",0,COUNTIF(Data!$B408:$U408,INDEX(Pengaturan!$B$8:$B$27,P$4)))</f>
        <v>0</v>
      </c>
      <c r="Q408" s="26" t="n">
        <f aca="false">IF(INDEX(Pengaturan!$B$8:$B$27,Q$4)="",0,COUNTIF(Data!$B408:$U408,INDEX(Pengaturan!$B$8:$B$27,Q$4)))</f>
        <v>0</v>
      </c>
      <c r="R408" s="26" t="n">
        <f aca="false">IF(INDEX(Pengaturan!$B$8:$B$27,R$4)="",0,COUNTIF(Data!$B408:$U408,INDEX(Pengaturan!$B$8:$B$27,R$4)))</f>
        <v>0</v>
      </c>
      <c r="S408" s="26" t="n">
        <f aca="false">IF(INDEX(Pengaturan!$B$8:$B$27,S$4)="",0,COUNTIF(Data!$B408:$U408,INDEX(Pengaturan!$B$8:$B$27,S$4)))</f>
        <v>0</v>
      </c>
      <c r="T408" s="26" t="n">
        <f aca="false">IF(INDEX(Pengaturan!$B$8:$B$27,T$4)="",0,COUNTIF(Data!$B408:$U408,INDEX(Pengaturan!$B$8:$B$27,T$4)))</f>
        <v>0</v>
      </c>
      <c r="U408" s="26" t="n">
        <f aca="false">IF(INDEX(Pengaturan!$B$8:$B$27,U$4)="",0,COUNTIF(Data!$B408:$U408,INDEX(Pengaturan!$B$8:$B$27,U$4)))</f>
        <v>0</v>
      </c>
      <c r="V408" s="26" t="n">
        <f aca="false">COUNTA(Data!$B408:$U408)</f>
        <v>0</v>
      </c>
      <c r="W408" s="27" t="str">
        <f aca="false">IF(V408=0,"",IF(V408&lt;&gt;Hasil!$C$4,"Data kosong/tidak lengkap",IF(SUM(B408:U408)&lt;&gt;V408,"Kategori tidak dikenal","OK")))</f>
        <v/>
      </c>
      <c r="X408" s="26" t="n">
        <f aca="false">IF(OR(W408="",W408="OK"),0,1)</f>
        <v>0</v>
      </c>
    </row>
    <row r="409" customFormat="false" ht="15" hidden="false" customHeight="false" outlineLevel="0" collapsed="false">
      <c r="A409" s="26" t="n">
        <f aca="false">Data!A409</f>
        <v>404</v>
      </c>
      <c r="B409" s="26" t="n">
        <f aca="false">IF(INDEX(Pengaturan!$B$8:$B$27,B$4)="",0,COUNTIF(Data!$B409:$U409,INDEX(Pengaturan!$B$8:$B$27,B$4)))</f>
        <v>0</v>
      </c>
      <c r="C409" s="26" t="n">
        <f aca="false">IF(INDEX(Pengaturan!$B$8:$B$27,C$4)="",0,COUNTIF(Data!$B409:$U409,INDEX(Pengaturan!$B$8:$B$27,C$4)))</f>
        <v>0</v>
      </c>
      <c r="D409" s="26" t="n">
        <f aca="false">IF(INDEX(Pengaturan!$B$8:$B$27,D$4)="",0,COUNTIF(Data!$B409:$U409,INDEX(Pengaturan!$B$8:$B$27,D$4)))</f>
        <v>0</v>
      </c>
      <c r="E409" s="26" t="n">
        <f aca="false">IF(INDEX(Pengaturan!$B$8:$B$27,E$4)="",0,COUNTIF(Data!$B409:$U409,INDEX(Pengaturan!$B$8:$B$27,E$4)))</f>
        <v>0</v>
      </c>
      <c r="F409" s="26" t="n">
        <f aca="false">IF(INDEX(Pengaturan!$B$8:$B$27,F$4)="",0,COUNTIF(Data!$B409:$U409,INDEX(Pengaturan!$B$8:$B$27,F$4)))</f>
        <v>0</v>
      </c>
      <c r="G409" s="26" t="n">
        <f aca="false">IF(INDEX(Pengaturan!$B$8:$B$27,G$4)="",0,COUNTIF(Data!$B409:$U409,INDEX(Pengaturan!$B$8:$B$27,G$4)))</f>
        <v>0</v>
      </c>
      <c r="H409" s="26" t="n">
        <f aca="false">IF(INDEX(Pengaturan!$B$8:$B$27,H$4)="",0,COUNTIF(Data!$B409:$U409,INDEX(Pengaturan!$B$8:$B$27,H$4)))</f>
        <v>0</v>
      </c>
      <c r="I409" s="26" t="n">
        <f aca="false">IF(INDEX(Pengaturan!$B$8:$B$27,I$4)="",0,COUNTIF(Data!$B409:$U409,INDEX(Pengaturan!$B$8:$B$27,I$4)))</f>
        <v>0</v>
      </c>
      <c r="J409" s="26" t="n">
        <f aca="false">IF(INDEX(Pengaturan!$B$8:$B$27,J$4)="",0,COUNTIF(Data!$B409:$U409,INDEX(Pengaturan!$B$8:$B$27,J$4)))</f>
        <v>0</v>
      </c>
      <c r="K409" s="26" t="n">
        <f aca="false">IF(INDEX(Pengaturan!$B$8:$B$27,K$4)="",0,COUNTIF(Data!$B409:$U409,INDEX(Pengaturan!$B$8:$B$27,K$4)))</f>
        <v>0</v>
      </c>
      <c r="L409" s="26" t="n">
        <f aca="false">IF(INDEX(Pengaturan!$B$8:$B$27,L$4)="",0,COUNTIF(Data!$B409:$U409,INDEX(Pengaturan!$B$8:$B$27,L$4)))</f>
        <v>0</v>
      </c>
      <c r="M409" s="26" t="n">
        <f aca="false">IF(INDEX(Pengaturan!$B$8:$B$27,M$4)="",0,COUNTIF(Data!$B409:$U409,INDEX(Pengaturan!$B$8:$B$27,M$4)))</f>
        <v>0</v>
      </c>
      <c r="N409" s="26" t="n">
        <f aca="false">IF(INDEX(Pengaturan!$B$8:$B$27,N$4)="",0,COUNTIF(Data!$B409:$U409,INDEX(Pengaturan!$B$8:$B$27,N$4)))</f>
        <v>0</v>
      </c>
      <c r="O409" s="26" t="n">
        <f aca="false">IF(INDEX(Pengaturan!$B$8:$B$27,O$4)="",0,COUNTIF(Data!$B409:$U409,INDEX(Pengaturan!$B$8:$B$27,O$4)))</f>
        <v>0</v>
      </c>
      <c r="P409" s="26" t="n">
        <f aca="false">IF(INDEX(Pengaturan!$B$8:$B$27,P$4)="",0,COUNTIF(Data!$B409:$U409,INDEX(Pengaturan!$B$8:$B$27,P$4)))</f>
        <v>0</v>
      </c>
      <c r="Q409" s="26" t="n">
        <f aca="false">IF(INDEX(Pengaturan!$B$8:$B$27,Q$4)="",0,COUNTIF(Data!$B409:$U409,INDEX(Pengaturan!$B$8:$B$27,Q$4)))</f>
        <v>0</v>
      </c>
      <c r="R409" s="26" t="n">
        <f aca="false">IF(INDEX(Pengaturan!$B$8:$B$27,R$4)="",0,COUNTIF(Data!$B409:$U409,INDEX(Pengaturan!$B$8:$B$27,R$4)))</f>
        <v>0</v>
      </c>
      <c r="S409" s="26" t="n">
        <f aca="false">IF(INDEX(Pengaturan!$B$8:$B$27,S$4)="",0,COUNTIF(Data!$B409:$U409,INDEX(Pengaturan!$B$8:$B$27,S$4)))</f>
        <v>0</v>
      </c>
      <c r="T409" s="26" t="n">
        <f aca="false">IF(INDEX(Pengaturan!$B$8:$B$27,T$4)="",0,COUNTIF(Data!$B409:$U409,INDEX(Pengaturan!$B$8:$B$27,T$4)))</f>
        <v>0</v>
      </c>
      <c r="U409" s="26" t="n">
        <f aca="false">IF(INDEX(Pengaturan!$B$8:$B$27,U$4)="",0,COUNTIF(Data!$B409:$U409,INDEX(Pengaturan!$B$8:$B$27,U$4)))</f>
        <v>0</v>
      </c>
      <c r="V409" s="26" t="n">
        <f aca="false">COUNTA(Data!$B409:$U409)</f>
        <v>0</v>
      </c>
      <c r="W409" s="27" t="str">
        <f aca="false">IF(V409=0,"",IF(V409&lt;&gt;Hasil!$C$4,"Data kosong/tidak lengkap",IF(SUM(B409:U409)&lt;&gt;V409,"Kategori tidak dikenal","OK")))</f>
        <v/>
      </c>
      <c r="X409" s="26" t="n">
        <f aca="false">IF(OR(W409="",W409="OK"),0,1)</f>
        <v>0</v>
      </c>
    </row>
    <row r="410" customFormat="false" ht="15" hidden="false" customHeight="false" outlineLevel="0" collapsed="false">
      <c r="A410" s="26" t="n">
        <f aca="false">Data!A410</f>
        <v>405</v>
      </c>
      <c r="B410" s="26" t="n">
        <f aca="false">IF(INDEX(Pengaturan!$B$8:$B$27,B$4)="",0,COUNTIF(Data!$B410:$U410,INDEX(Pengaturan!$B$8:$B$27,B$4)))</f>
        <v>0</v>
      </c>
      <c r="C410" s="26" t="n">
        <f aca="false">IF(INDEX(Pengaturan!$B$8:$B$27,C$4)="",0,COUNTIF(Data!$B410:$U410,INDEX(Pengaturan!$B$8:$B$27,C$4)))</f>
        <v>0</v>
      </c>
      <c r="D410" s="26" t="n">
        <f aca="false">IF(INDEX(Pengaturan!$B$8:$B$27,D$4)="",0,COUNTIF(Data!$B410:$U410,INDEX(Pengaturan!$B$8:$B$27,D$4)))</f>
        <v>0</v>
      </c>
      <c r="E410" s="26" t="n">
        <f aca="false">IF(INDEX(Pengaturan!$B$8:$B$27,E$4)="",0,COUNTIF(Data!$B410:$U410,INDEX(Pengaturan!$B$8:$B$27,E$4)))</f>
        <v>0</v>
      </c>
      <c r="F410" s="26" t="n">
        <f aca="false">IF(INDEX(Pengaturan!$B$8:$B$27,F$4)="",0,COUNTIF(Data!$B410:$U410,INDEX(Pengaturan!$B$8:$B$27,F$4)))</f>
        <v>0</v>
      </c>
      <c r="G410" s="26" t="n">
        <f aca="false">IF(INDEX(Pengaturan!$B$8:$B$27,G$4)="",0,COUNTIF(Data!$B410:$U410,INDEX(Pengaturan!$B$8:$B$27,G$4)))</f>
        <v>0</v>
      </c>
      <c r="H410" s="26" t="n">
        <f aca="false">IF(INDEX(Pengaturan!$B$8:$B$27,H$4)="",0,COUNTIF(Data!$B410:$U410,INDEX(Pengaturan!$B$8:$B$27,H$4)))</f>
        <v>0</v>
      </c>
      <c r="I410" s="26" t="n">
        <f aca="false">IF(INDEX(Pengaturan!$B$8:$B$27,I$4)="",0,COUNTIF(Data!$B410:$U410,INDEX(Pengaturan!$B$8:$B$27,I$4)))</f>
        <v>0</v>
      </c>
      <c r="J410" s="26" t="n">
        <f aca="false">IF(INDEX(Pengaturan!$B$8:$B$27,J$4)="",0,COUNTIF(Data!$B410:$U410,INDEX(Pengaturan!$B$8:$B$27,J$4)))</f>
        <v>0</v>
      </c>
      <c r="K410" s="26" t="n">
        <f aca="false">IF(INDEX(Pengaturan!$B$8:$B$27,K$4)="",0,COUNTIF(Data!$B410:$U410,INDEX(Pengaturan!$B$8:$B$27,K$4)))</f>
        <v>0</v>
      </c>
      <c r="L410" s="26" t="n">
        <f aca="false">IF(INDEX(Pengaturan!$B$8:$B$27,L$4)="",0,COUNTIF(Data!$B410:$U410,INDEX(Pengaturan!$B$8:$B$27,L$4)))</f>
        <v>0</v>
      </c>
      <c r="M410" s="26" t="n">
        <f aca="false">IF(INDEX(Pengaturan!$B$8:$B$27,M$4)="",0,COUNTIF(Data!$B410:$U410,INDEX(Pengaturan!$B$8:$B$27,M$4)))</f>
        <v>0</v>
      </c>
      <c r="N410" s="26" t="n">
        <f aca="false">IF(INDEX(Pengaturan!$B$8:$B$27,N$4)="",0,COUNTIF(Data!$B410:$U410,INDEX(Pengaturan!$B$8:$B$27,N$4)))</f>
        <v>0</v>
      </c>
      <c r="O410" s="26" t="n">
        <f aca="false">IF(INDEX(Pengaturan!$B$8:$B$27,O$4)="",0,COUNTIF(Data!$B410:$U410,INDEX(Pengaturan!$B$8:$B$27,O$4)))</f>
        <v>0</v>
      </c>
      <c r="P410" s="26" t="n">
        <f aca="false">IF(INDEX(Pengaturan!$B$8:$B$27,P$4)="",0,COUNTIF(Data!$B410:$U410,INDEX(Pengaturan!$B$8:$B$27,P$4)))</f>
        <v>0</v>
      </c>
      <c r="Q410" s="26" t="n">
        <f aca="false">IF(INDEX(Pengaturan!$B$8:$B$27,Q$4)="",0,COUNTIF(Data!$B410:$U410,INDEX(Pengaturan!$B$8:$B$27,Q$4)))</f>
        <v>0</v>
      </c>
      <c r="R410" s="26" t="n">
        <f aca="false">IF(INDEX(Pengaturan!$B$8:$B$27,R$4)="",0,COUNTIF(Data!$B410:$U410,INDEX(Pengaturan!$B$8:$B$27,R$4)))</f>
        <v>0</v>
      </c>
      <c r="S410" s="26" t="n">
        <f aca="false">IF(INDEX(Pengaturan!$B$8:$B$27,S$4)="",0,COUNTIF(Data!$B410:$U410,INDEX(Pengaturan!$B$8:$B$27,S$4)))</f>
        <v>0</v>
      </c>
      <c r="T410" s="26" t="n">
        <f aca="false">IF(INDEX(Pengaturan!$B$8:$B$27,T$4)="",0,COUNTIF(Data!$B410:$U410,INDEX(Pengaturan!$B$8:$B$27,T$4)))</f>
        <v>0</v>
      </c>
      <c r="U410" s="26" t="n">
        <f aca="false">IF(INDEX(Pengaturan!$B$8:$B$27,U$4)="",0,COUNTIF(Data!$B410:$U410,INDEX(Pengaturan!$B$8:$B$27,U$4)))</f>
        <v>0</v>
      </c>
      <c r="V410" s="26" t="n">
        <f aca="false">COUNTA(Data!$B410:$U410)</f>
        <v>0</v>
      </c>
      <c r="W410" s="27" t="str">
        <f aca="false">IF(V410=0,"",IF(V410&lt;&gt;Hasil!$C$4,"Data kosong/tidak lengkap",IF(SUM(B410:U410)&lt;&gt;V410,"Kategori tidak dikenal","OK")))</f>
        <v/>
      </c>
      <c r="X410" s="26" t="n">
        <f aca="false">IF(OR(W410="",W410="OK"),0,1)</f>
        <v>0</v>
      </c>
    </row>
    <row r="411" customFormat="false" ht="15" hidden="false" customHeight="false" outlineLevel="0" collapsed="false">
      <c r="A411" s="26" t="n">
        <f aca="false">Data!A411</f>
        <v>406</v>
      </c>
      <c r="B411" s="26" t="n">
        <f aca="false">IF(INDEX(Pengaturan!$B$8:$B$27,B$4)="",0,COUNTIF(Data!$B411:$U411,INDEX(Pengaturan!$B$8:$B$27,B$4)))</f>
        <v>0</v>
      </c>
      <c r="C411" s="26" t="n">
        <f aca="false">IF(INDEX(Pengaturan!$B$8:$B$27,C$4)="",0,COUNTIF(Data!$B411:$U411,INDEX(Pengaturan!$B$8:$B$27,C$4)))</f>
        <v>0</v>
      </c>
      <c r="D411" s="26" t="n">
        <f aca="false">IF(INDEX(Pengaturan!$B$8:$B$27,D$4)="",0,COUNTIF(Data!$B411:$U411,INDEX(Pengaturan!$B$8:$B$27,D$4)))</f>
        <v>0</v>
      </c>
      <c r="E411" s="26" t="n">
        <f aca="false">IF(INDEX(Pengaturan!$B$8:$B$27,E$4)="",0,COUNTIF(Data!$B411:$U411,INDEX(Pengaturan!$B$8:$B$27,E$4)))</f>
        <v>0</v>
      </c>
      <c r="F411" s="26" t="n">
        <f aca="false">IF(INDEX(Pengaturan!$B$8:$B$27,F$4)="",0,COUNTIF(Data!$B411:$U411,INDEX(Pengaturan!$B$8:$B$27,F$4)))</f>
        <v>0</v>
      </c>
      <c r="G411" s="26" t="n">
        <f aca="false">IF(INDEX(Pengaturan!$B$8:$B$27,G$4)="",0,COUNTIF(Data!$B411:$U411,INDEX(Pengaturan!$B$8:$B$27,G$4)))</f>
        <v>0</v>
      </c>
      <c r="H411" s="26" t="n">
        <f aca="false">IF(INDEX(Pengaturan!$B$8:$B$27,H$4)="",0,COUNTIF(Data!$B411:$U411,INDEX(Pengaturan!$B$8:$B$27,H$4)))</f>
        <v>0</v>
      </c>
      <c r="I411" s="26" t="n">
        <f aca="false">IF(INDEX(Pengaturan!$B$8:$B$27,I$4)="",0,COUNTIF(Data!$B411:$U411,INDEX(Pengaturan!$B$8:$B$27,I$4)))</f>
        <v>0</v>
      </c>
      <c r="J411" s="26" t="n">
        <f aca="false">IF(INDEX(Pengaturan!$B$8:$B$27,J$4)="",0,COUNTIF(Data!$B411:$U411,INDEX(Pengaturan!$B$8:$B$27,J$4)))</f>
        <v>0</v>
      </c>
      <c r="K411" s="26" t="n">
        <f aca="false">IF(INDEX(Pengaturan!$B$8:$B$27,K$4)="",0,COUNTIF(Data!$B411:$U411,INDEX(Pengaturan!$B$8:$B$27,K$4)))</f>
        <v>0</v>
      </c>
      <c r="L411" s="26" t="n">
        <f aca="false">IF(INDEX(Pengaturan!$B$8:$B$27,L$4)="",0,COUNTIF(Data!$B411:$U411,INDEX(Pengaturan!$B$8:$B$27,L$4)))</f>
        <v>0</v>
      </c>
      <c r="M411" s="26" t="n">
        <f aca="false">IF(INDEX(Pengaturan!$B$8:$B$27,M$4)="",0,COUNTIF(Data!$B411:$U411,INDEX(Pengaturan!$B$8:$B$27,M$4)))</f>
        <v>0</v>
      </c>
      <c r="N411" s="26" t="n">
        <f aca="false">IF(INDEX(Pengaturan!$B$8:$B$27,N$4)="",0,COUNTIF(Data!$B411:$U411,INDEX(Pengaturan!$B$8:$B$27,N$4)))</f>
        <v>0</v>
      </c>
      <c r="O411" s="26" t="n">
        <f aca="false">IF(INDEX(Pengaturan!$B$8:$B$27,O$4)="",0,COUNTIF(Data!$B411:$U411,INDEX(Pengaturan!$B$8:$B$27,O$4)))</f>
        <v>0</v>
      </c>
      <c r="P411" s="26" t="n">
        <f aca="false">IF(INDEX(Pengaturan!$B$8:$B$27,P$4)="",0,COUNTIF(Data!$B411:$U411,INDEX(Pengaturan!$B$8:$B$27,P$4)))</f>
        <v>0</v>
      </c>
      <c r="Q411" s="26" t="n">
        <f aca="false">IF(INDEX(Pengaturan!$B$8:$B$27,Q$4)="",0,COUNTIF(Data!$B411:$U411,INDEX(Pengaturan!$B$8:$B$27,Q$4)))</f>
        <v>0</v>
      </c>
      <c r="R411" s="26" t="n">
        <f aca="false">IF(INDEX(Pengaturan!$B$8:$B$27,R$4)="",0,COUNTIF(Data!$B411:$U411,INDEX(Pengaturan!$B$8:$B$27,R$4)))</f>
        <v>0</v>
      </c>
      <c r="S411" s="26" t="n">
        <f aca="false">IF(INDEX(Pengaturan!$B$8:$B$27,S$4)="",0,COUNTIF(Data!$B411:$U411,INDEX(Pengaturan!$B$8:$B$27,S$4)))</f>
        <v>0</v>
      </c>
      <c r="T411" s="26" t="n">
        <f aca="false">IF(INDEX(Pengaturan!$B$8:$B$27,T$4)="",0,COUNTIF(Data!$B411:$U411,INDEX(Pengaturan!$B$8:$B$27,T$4)))</f>
        <v>0</v>
      </c>
      <c r="U411" s="26" t="n">
        <f aca="false">IF(INDEX(Pengaturan!$B$8:$B$27,U$4)="",0,COUNTIF(Data!$B411:$U411,INDEX(Pengaturan!$B$8:$B$27,U$4)))</f>
        <v>0</v>
      </c>
      <c r="V411" s="26" t="n">
        <f aca="false">COUNTA(Data!$B411:$U411)</f>
        <v>0</v>
      </c>
      <c r="W411" s="27" t="str">
        <f aca="false">IF(V411=0,"",IF(V411&lt;&gt;Hasil!$C$4,"Data kosong/tidak lengkap",IF(SUM(B411:U411)&lt;&gt;V411,"Kategori tidak dikenal","OK")))</f>
        <v/>
      </c>
      <c r="X411" s="26" t="n">
        <f aca="false">IF(OR(W411="",W411="OK"),0,1)</f>
        <v>0</v>
      </c>
    </row>
    <row r="412" customFormat="false" ht="15" hidden="false" customHeight="false" outlineLevel="0" collapsed="false">
      <c r="A412" s="26" t="n">
        <f aca="false">Data!A412</f>
        <v>407</v>
      </c>
      <c r="B412" s="26" t="n">
        <f aca="false">IF(INDEX(Pengaturan!$B$8:$B$27,B$4)="",0,COUNTIF(Data!$B412:$U412,INDEX(Pengaturan!$B$8:$B$27,B$4)))</f>
        <v>0</v>
      </c>
      <c r="C412" s="26" t="n">
        <f aca="false">IF(INDEX(Pengaturan!$B$8:$B$27,C$4)="",0,COUNTIF(Data!$B412:$U412,INDEX(Pengaturan!$B$8:$B$27,C$4)))</f>
        <v>0</v>
      </c>
      <c r="D412" s="26" t="n">
        <f aca="false">IF(INDEX(Pengaturan!$B$8:$B$27,D$4)="",0,COUNTIF(Data!$B412:$U412,INDEX(Pengaturan!$B$8:$B$27,D$4)))</f>
        <v>0</v>
      </c>
      <c r="E412" s="26" t="n">
        <f aca="false">IF(INDEX(Pengaturan!$B$8:$B$27,E$4)="",0,COUNTIF(Data!$B412:$U412,INDEX(Pengaturan!$B$8:$B$27,E$4)))</f>
        <v>0</v>
      </c>
      <c r="F412" s="26" t="n">
        <f aca="false">IF(INDEX(Pengaturan!$B$8:$B$27,F$4)="",0,COUNTIF(Data!$B412:$U412,INDEX(Pengaturan!$B$8:$B$27,F$4)))</f>
        <v>0</v>
      </c>
      <c r="G412" s="26" t="n">
        <f aca="false">IF(INDEX(Pengaturan!$B$8:$B$27,G$4)="",0,COUNTIF(Data!$B412:$U412,INDEX(Pengaturan!$B$8:$B$27,G$4)))</f>
        <v>0</v>
      </c>
      <c r="H412" s="26" t="n">
        <f aca="false">IF(INDEX(Pengaturan!$B$8:$B$27,H$4)="",0,COUNTIF(Data!$B412:$U412,INDEX(Pengaturan!$B$8:$B$27,H$4)))</f>
        <v>0</v>
      </c>
      <c r="I412" s="26" t="n">
        <f aca="false">IF(INDEX(Pengaturan!$B$8:$B$27,I$4)="",0,COUNTIF(Data!$B412:$U412,INDEX(Pengaturan!$B$8:$B$27,I$4)))</f>
        <v>0</v>
      </c>
      <c r="J412" s="26" t="n">
        <f aca="false">IF(INDEX(Pengaturan!$B$8:$B$27,J$4)="",0,COUNTIF(Data!$B412:$U412,INDEX(Pengaturan!$B$8:$B$27,J$4)))</f>
        <v>0</v>
      </c>
      <c r="K412" s="26" t="n">
        <f aca="false">IF(INDEX(Pengaturan!$B$8:$B$27,K$4)="",0,COUNTIF(Data!$B412:$U412,INDEX(Pengaturan!$B$8:$B$27,K$4)))</f>
        <v>0</v>
      </c>
      <c r="L412" s="26" t="n">
        <f aca="false">IF(INDEX(Pengaturan!$B$8:$B$27,L$4)="",0,COUNTIF(Data!$B412:$U412,INDEX(Pengaturan!$B$8:$B$27,L$4)))</f>
        <v>0</v>
      </c>
      <c r="M412" s="26" t="n">
        <f aca="false">IF(INDEX(Pengaturan!$B$8:$B$27,M$4)="",0,COUNTIF(Data!$B412:$U412,INDEX(Pengaturan!$B$8:$B$27,M$4)))</f>
        <v>0</v>
      </c>
      <c r="N412" s="26" t="n">
        <f aca="false">IF(INDEX(Pengaturan!$B$8:$B$27,N$4)="",0,COUNTIF(Data!$B412:$U412,INDEX(Pengaturan!$B$8:$B$27,N$4)))</f>
        <v>0</v>
      </c>
      <c r="O412" s="26" t="n">
        <f aca="false">IF(INDEX(Pengaturan!$B$8:$B$27,O$4)="",0,COUNTIF(Data!$B412:$U412,INDEX(Pengaturan!$B$8:$B$27,O$4)))</f>
        <v>0</v>
      </c>
      <c r="P412" s="26" t="n">
        <f aca="false">IF(INDEX(Pengaturan!$B$8:$B$27,P$4)="",0,COUNTIF(Data!$B412:$U412,INDEX(Pengaturan!$B$8:$B$27,P$4)))</f>
        <v>0</v>
      </c>
      <c r="Q412" s="26" t="n">
        <f aca="false">IF(INDEX(Pengaturan!$B$8:$B$27,Q$4)="",0,COUNTIF(Data!$B412:$U412,INDEX(Pengaturan!$B$8:$B$27,Q$4)))</f>
        <v>0</v>
      </c>
      <c r="R412" s="26" t="n">
        <f aca="false">IF(INDEX(Pengaturan!$B$8:$B$27,R$4)="",0,COUNTIF(Data!$B412:$U412,INDEX(Pengaturan!$B$8:$B$27,R$4)))</f>
        <v>0</v>
      </c>
      <c r="S412" s="26" t="n">
        <f aca="false">IF(INDEX(Pengaturan!$B$8:$B$27,S$4)="",0,COUNTIF(Data!$B412:$U412,INDEX(Pengaturan!$B$8:$B$27,S$4)))</f>
        <v>0</v>
      </c>
      <c r="T412" s="26" t="n">
        <f aca="false">IF(INDEX(Pengaturan!$B$8:$B$27,T$4)="",0,COUNTIF(Data!$B412:$U412,INDEX(Pengaturan!$B$8:$B$27,T$4)))</f>
        <v>0</v>
      </c>
      <c r="U412" s="26" t="n">
        <f aca="false">IF(INDEX(Pengaturan!$B$8:$B$27,U$4)="",0,COUNTIF(Data!$B412:$U412,INDEX(Pengaturan!$B$8:$B$27,U$4)))</f>
        <v>0</v>
      </c>
      <c r="V412" s="26" t="n">
        <f aca="false">COUNTA(Data!$B412:$U412)</f>
        <v>0</v>
      </c>
      <c r="W412" s="27" t="str">
        <f aca="false">IF(V412=0,"",IF(V412&lt;&gt;Hasil!$C$4,"Data kosong/tidak lengkap",IF(SUM(B412:U412)&lt;&gt;V412,"Kategori tidak dikenal","OK")))</f>
        <v/>
      </c>
      <c r="X412" s="26" t="n">
        <f aca="false">IF(OR(W412="",W412="OK"),0,1)</f>
        <v>0</v>
      </c>
    </row>
    <row r="413" customFormat="false" ht="15" hidden="false" customHeight="false" outlineLevel="0" collapsed="false">
      <c r="A413" s="26" t="n">
        <f aca="false">Data!A413</f>
        <v>408</v>
      </c>
      <c r="B413" s="26" t="n">
        <f aca="false">IF(INDEX(Pengaturan!$B$8:$B$27,B$4)="",0,COUNTIF(Data!$B413:$U413,INDEX(Pengaturan!$B$8:$B$27,B$4)))</f>
        <v>0</v>
      </c>
      <c r="C413" s="26" t="n">
        <f aca="false">IF(INDEX(Pengaturan!$B$8:$B$27,C$4)="",0,COUNTIF(Data!$B413:$U413,INDEX(Pengaturan!$B$8:$B$27,C$4)))</f>
        <v>0</v>
      </c>
      <c r="D413" s="26" t="n">
        <f aca="false">IF(INDEX(Pengaturan!$B$8:$B$27,D$4)="",0,COUNTIF(Data!$B413:$U413,INDEX(Pengaturan!$B$8:$B$27,D$4)))</f>
        <v>0</v>
      </c>
      <c r="E413" s="26" t="n">
        <f aca="false">IF(INDEX(Pengaturan!$B$8:$B$27,E$4)="",0,COUNTIF(Data!$B413:$U413,INDEX(Pengaturan!$B$8:$B$27,E$4)))</f>
        <v>0</v>
      </c>
      <c r="F413" s="26" t="n">
        <f aca="false">IF(INDEX(Pengaturan!$B$8:$B$27,F$4)="",0,COUNTIF(Data!$B413:$U413,INDEX(Pengaturan!$B$8:$B$27,F$4)))</f>
        <v>0</v>
      </c>
      <c r="G413" s="26" t="n">
        <f aca="false">IF(INDEX(Pengaturan!$B$8:$B$27,G$4)="",0,COUNTIF(Data!$B413:$U413,INDEX(Pengaturan!$B$8:$B$27,G$4)))</f>
        <v>0</v>
      </c>
      <c r="H413" s="26" t="n">
        <f aca="false">IF(INDEX(Pengaturan!$B$8:$B$27,H$4)="",0,COUNTIF(Data!$B413:$U413,INDEX(Pengaturan!$B$8:$B$27,H$4)))</f>
        <v>0</v>
      </c>
      <c r="I413" s="26" t="n">
        <f aca="false">IF(INDEX(Pengaturan!$B$8:$B$27,I$4)="",0,COUNTIF(Data!$B413:$U413,INDEX(Pengaturan!$B$8:$B$27,I$4)))</f>
        <v>0</v>
      </c>
      <c r="J413" s="26" t="n">
        <f aca="false">IF(INDEX(Pengaturan!$B$8:$B$27,J$4)="",0,COUNTIF(Data!$B413:$U413,INDEX(Pengaturan!$B$8:$B$27,J$4)))</f>
        <v>0</v>
      </c>
      <c r="K413" s="26" t="n">
        <f aca="false">IF(INDEX(Pengaturan!$B$8:$B$27,K$4)="",0,COUNTIF(Data!$B413:$U413,INDEX(Pengaturan!$B$8:$B$27,K$4)))</f>
        <v>0</v>
      </c>
      <c r="L413" s="26" t="n">
        <f aca="false">IF(INDEX(Pengaturan!$B$8:$B$27,L$4)="",0,COUNTIF(Data!$B413:$U413,INDEX(Pengaturan!$B$8:$B$27,L$4)))</f>
        <v>0</v>
      </c>
      <c r="M413" s="26" t="n">
        <f aca="false">IF(INDEX(Pengaturan!$B$8:$B$27,M$4)="",0,COUNTIF(Data!$B413:$U413,INDEX(Pengaturan!$B$8:$B$27,M$4)))</f>
        <v>0</v>
      </c>
      <c r="N413" s="26" t="n">
        <f aca="false">IF(INDEX(Pengaturan!$B$8:$B$27,N$4)="",0,COUNTIF(Data!$B413:$U413,INDEX(Pengaturan!$B$8:$B$27,N$4)))</f>
        <v>0</v>
      </c>
      <c r="O413" s="26" t="n">
        <f aca="false">IF(INDEX(Pengaturan!$B$8:$B$27,O$4)="",0,COUNTIF(Data!$B413:$U413,INDEX(Pengaturan!$B$8:$B$27,O$4)))</f>
        <v>0</v>
      </c>
      <c r="P413" s="26" t="n">
        <f aca="false">IF(INDEX(Pengaturan!$B$8:$B$27,P$4)="",0,COUNTIF(Data!$B413:$U413,INDEX(Pengaturan!$B$8:$B$27,P$4)))</f>
        <v>0</v>
      </c>
      <c r="Q413" s="26" t="n">
        <f aca="false">IF(INDEX(Pengaturan!$B$8:$B$27,Q$4)="",0,COUNTIF(Data!$B413:$U413,INDEX(Pengaturan!$B$8:$B$27,Q$4)))</f>
        <v>0</v>
      </c>
      <c r="R413" s="26" t="n">
        <f aca="false">IF(INDEX(Pengaturan!$B$8:$B$27,R$4)="",0,COUNTIF(Data!$B413:$U413,INDEX(Pengaturan!$B$8:$B$27,R$4)))</f>
        <v>0</v>
      </c>
      <c r="S413" s="26" t="n">
        <f aca="false">IF(INDEX(Pengaturan!$B$8:$B$27,S$4)="",0,COUNTIF(Data!$B413:$U413,INDEX(Pengaturan!$B$8:$B$27,S$4)))</f>
        <v>0</v>
      </c>
      <c r="T413" s="26" t="n">
        <f aca="false">IF(INDEX(Pengaturan!$B$8:$B$27,T$4)="",0,COUNTIF(Data!$B413:$U413,INDEX(Pengaturan!$B$8:$B$27,T$4)))</f>
        <v>0</v>
      </c>
      <c r="U413" s="26" t="n">
        <f aca="false">IF(INDEX(Pengaturan!$B$8:$B$27,U$4)="",0,COUNTIF(Data!$B413:$U413,INDEX(Pengaturan!$B$8:$B$27,U$4)))</f>
        <v>0</v>
      </c>
      <c r="V413" s="26" t="n">
        <f aca="false">COUNTA(Data!$B413:$U413)</f>
        <v>0</v>
      </c>
      <c r="W413" s="27" t="str">
        <f aca="false">IF(V413=0,"",IF(V413&lt;&gt;Hasil!$C$4,"Data kosong/tidak lengkap",IF(SUM(B413:U413)&lt;&gt;V413,"Kategori tidak dikenal","OK")))</f>
        <v/>
      </c>
      <c r="X413" s="26" t="n">
        <f aca="false">IF(OR(W413="",W413="OK"),0,1)</f>
        <v>0</v>
      </c>
    </row>
    <row r="414" customFormat="false" ht="15" hidden="false" customHeight="false" outlineLevel="0" collapsed="false">
      <c r="A414" s="26" t="n">
        <f aca="false">Data!A414</f>
        <v>409</v>
      </c>
      <c r="B414" s="26" t="n">
        <f aca="false">IF(INDEX(Pengaturan!$B$8:$B$27,B$4)="",0,COUNTIF(Data!$B414:$U414,INDEX(Pengaturan!$B$8:$B$27,B$4)))</f>
        <v>0</v>
      </c>
      <c r="C414" s="26" t="n">
        <f aca="false">IF(INDEX(Pengaturan!$B$8:$B$27,C$4)="",0,COUNTIF(Data!$B414:$U414,INDEX(Pengaturan!$B$8:$B$27,C$4)))</f>
        <v>0</v>
      </c>
      <c r="D414" s="26" t="n">
        <f aca="false">IF(INDEX(Pengaturan!$B$8:$B$27,D$4)="",0,COUNTIF(Data!$B414:$U414,INDEX(Pengaturan!$B$8:$B$27,D$4)))</f>
        <v>0</v>
      </c>
      <c r="E414" s="26" t="n">
        <f aca="false">IF(INDEX(Pengaturan!$B$8:$B$27,E$4)="",0,COUNTIF(Data!$B414:$U414,INDEX(Pengaturan!$B$8:$B$27,E$4)))</f>
        <v>0</v>
      </c>
      <c r="F414" s="26" t="n">
        <f aca="false">IF(INDEX(Pengaturan!$B$8:$B$27,F$4)="",0,COUNTIF(Data!$B414:$U414,INDEX(Pengaturan!$B$8:$B$27,F$4)))</f>
        <v>0</v>
      </c>
      <c r="G414" s="26" t="n">
        <f aca="false">IF(INDEX(Pengaturan!$B$8:$B$27,G$4)="",0,COUNTIF(Data!$B414:$U414,INDEX(Pengaturan!$B$8:$B$27,G$4)))</f>
        <v>0</v>
      </c>
      <c r="H414" s="26" t="n">
        <f aca="false">IF(INDEX(Pengaturan!$B$8:$B$27,H$4)="",0,COUNTIF(Data!$B414:$U414,INDEX(Pengaturan!$B$8:$B$27,H$4)))</f>
        <v>0</v>
      </c>
      <c r="I414" s="26" t="n">
        <f aca="false">IF(INDEX(Pengaturan!$B$8:$B$27,I$4)="",0,COUNTIF(Data!$B414:$U414,INDEX(Pengaturan!$B$8:$B$27,I$4)))</f>
        <v>0</v>
      </c>
      <c r="J414" s="26" t="n">
        <f aca="false">IF(INDEX(Pengaturan!$B$8:$B$27,J$4)="",0,COUNTIF(Data!$B414:$U414,INDEX(Pengaturan!$B$8:$B$27,J$4)))</f>
        <v>0</v>
      </c>
      <c r="K414" s="26" t="n">
        <f aca="false">IF(INDEX(Pengaturan!$B$8:$B$27,K$4)="",0,COUNTIF(Data!$B414:$U414,INDEX(Pengaturan!$B$8:$B$27,K$4)))</f>
        <v>0</v>
      </c>
      <c r="L414" s="26" t="n">
        <f aca="false">IF(INDEX(Pengaturan!$B$8:$B$27,L$4)="",0,COUNTIF(Data!$B414:$U414,INDEX(Pengaturan!$B$8:$B$27,L$4)))</f>
        <v>0</v>
      </c>
      <c r="M414" s="26" t="n">
        <f aca="false">IF(INDEX(Pengaturan!$B$8:$B$27,M$4)="",0,COUNTIF(Data!$B414:$U414,INDEX(Pengaturan!$B$8:$B$27,M$4)))</f>
        <v>0</v>
      </c>
      <c r="N414" s="26" t="n">
        <f aca="false">IF(INDEX(Pengaturan!$B$8:$B$27,N$4)="",0,COUNTIF(Data!$B414:$U414,INDEX(Pengaturan!$B$8:$B$27,N$4)))</f>
        <v>0</v>
      </c>
      <c r="O414" s="26" t="n">
        <f aca="false">IF(INDEX(Pengaturan!$B$8:$B$27,O$4)="",0,COUNTIF(Data!$B414:$U414,INDEX(Pengaturan!$B$8:$B$27,O$4)))</f>
        <v>0</v>
      </c>
      <c r="P414" s="26" t="n">
        <f aca="false">IF(INDEX(Pengaturan!$B$8:$B$27,P$4)="",0,COUNTIF(Data!$B414:$U414,INDEX(Pengaturan!$B$8:$B$27,P$4)))</f>
        <v>0</v>
      </c>
      <c r="Q414" s="26" t="n">
        <f aca="false">IF(INDEX(Pengaturan!$B$8:$B$27,Q$4)="",0,COUNTIF(Data!$B414:$U414,INDEX(Pengaturan!$B$8:$B$27,Q$4)))</f>
        <v>0</v>
      </c>
      <c r="R414" s="26" t="n">
        <f aca="false">IF(INDEX(Pengaturan!$B$8:$B$27,R$4)="",0,COUNTIF(Data!$B414:$U414,INDEX(Pengaturan!$B$8:$B$27,R$4)))</f>
        <v>0</v>
      </c>
      <c r="S414" s="26" t="n">
        <f aca="false">IF(INDEX(Pengaturan!$B$8:$B$27,S$4)="",0,COUNTIF(Data!$B414:$U414,INDEX(Pengaturan!$B$8:$B$27,S$4)))</f>
        <v>0</v>
      </c>
      <c r="T414" s="26" t="n">
        <f aca="false">IF(INDEX(Pengaturan!$B$8:$B$27,T$4)="",0,COUNTIF(Data!$B414:$U414,INDEX(Pengaturan!$B$8:$B$27,T$4)))</f>
        <v>0</v>
      </c>
      <c r="U414" s="26" t="n">
        <f aca="false">IF(INDEX(Pengaturan!$B$8:$B$27,U$4)="",0,COUNTIF(Data!$B414:$U414,INDEX(Pengaturan!$B$8:$B$27,U$4)))</f>
        <v>0</v>
      </c>
      <c r="V414" s="26" t="n">
        <f aca="false">COUNTA(Data!$B414:$U414)</f>
        <v>0</v>
      </c>
      <c r="W414" s="27" t="str">
        <f aca="false">IF(V414=0,"",IF(V414&lt;&gt;Hasil!$C$4,"Data kosong/tidak lengkap",IF(SUM(B414:U414)&lt;&gt;V414,"Kategori tidak dikenal","OK")))</f>
        <v/>
      </c>
      <c r="X414" s="26" t="n">
        <f aca="false">IF(OR(W414="",W414="OK"),0,1)</f>
        <v>0</v>
      </c>
    </row>
    <row r="415" customFormat="false" ht="15" hidden="false" customHeight="false" outlineLevel="0" collapsed="false">
      <c r="A415" s="26" t="n">
        <f aca="false">Data!A415</f>
        <v>410</v>
      </c>
      <c r="B415" s="26" t="n">
        <f aca="false">IF(INDEX(Pengaturan!$B$8:$B$27,B$4)="",0,COUNTIF(Data!$B415:$U415,INDEX(Pengaturan!$B$8:$B$27,B$4)))</f>
        <v>0</v>
      </c>
      <c r="C415" s="26" t="n">
        <f aca="false">IF(INDEX(Pengaturan!$B$8:$B$27,C$4)="",0,COUNTIF(Data!$B415:$U415,INDEX(Pengaturan!$B$8:$B$27,C$4)))</f>
        <v>0</v>
      </c>
      <c r="D415" s="26" t="n">
        <f aca="false">IF(INDEX(Pengaturan!$B$8:$B$27,D$4)="",0,COUNTIF(Data!$B415:$U415,INDEX(Pengaturan!$B$8:$B$27,D$4)))</f>
        <v>0</v>
      </c>
      <c r="E415" s="26" t="n">
        <f aca="false">IF(INDEX(Pengaturan!$B$8:$B$27,E$4)="",0,COUNTIF(Data!$B415:$U415,INDEX(Pengaturan!$B$8:$B$27,E$4)))</f>
        <v>0</v>
      </c>
      <c r="F415" s="26" t="n">
        <f aca="false">IF(INDEX(Pengaturan!$B$8:$B$27,F$4)="",0,COUNTIF(Data!$B415:$U415,INDEX(Pengaturan!$B$8:$B$27,F$4)))</f>
        <v>0</v>
      </c>
      <c r="G415" s="26" t="n">
        <f aca="false">IF(INDEX(Pengaturan!$B$8:$B$27,G$4)="",0,COUNTIF(Data!$B415:$U415,INDEX(Pengaturan!$B$8:$B$27,G$4)))</f>
        <v>0</v>
      </c>
      <c r="H415" s="26" t="n">
        <f aca="false">IF(INDEX(Pengaturan!$B$8:$B$27,H$4)="",0,COUNTIF(Data!$B415:$U415,INDEX(Pengaturan!$B$8:$B$27,H$4)))</f>
        <v>0</v>
      </c>
      <c r="I415" s="26" t="n">
        <f aca="false">IF(INDEX(Pengaturan!$B$8:$B$27,I$4)="",0,COUNTIF(Data!$B415:$U415,INDEX(Pengaturan!$B$8:$B$27,I$4)))</f>
        <v>0</v>
      </c>
      <c r="J415" s="26" t="n">
        <f aca="false">IF(INDEX(Pengaturan!$B$8:$B$27,J$4)="",0,COUNTIF(Data!$B415:$U415,INDEX(Pengaturan!$B$8:$B$27,J$4)))</f>
        <v>0</v>
      </c>
      <c r="K415" s="26" t="n">
        <f aca="false">IF(INDEX(Pengaturan!$B$8:$B$27,K$4)="",0,COUNTIF(Data!$B415:$U415,INDEX(Pengaturan!$B$8:$B$27,K$4)))</f>
        <v>0</v>
      </c>
      <c r="L415" s="26" t="n">
        <f aca="false">IF(INDEX(Pengaturan!$B$8:$B$27,L$4)="",0,COUNTIF(Data!$B415:$U415,INDEX(Pengaturan!$B$8:$B$27,L$4)))</f>
        <v>0</v>
      </c>
      <c r="M415" s="26" t="n">
        <f aca="false">IF(INDEX(Pengaturan!$B$8:$B$27,M$4)="",0,COUNTIF(Data!$B415:$U415,INDEX(Pengaturan!$B$8:$B$27,M$4)))</f>
        <v>0</v>
      </c>
      <c r="N415" s="26" t="n">
        <f aca="false">IF(INDEX(Pengaturan!$B$8:$B$27,N$4)="",0,COUNTIF(Data!$B415:$U415,INDEX(Pengaturan!$B$8:$B$27,N$4)))</f>
        <v>0</v>
      </c>
      <c r="O415" s="26" t="n">
        <f aca="false">IF(INDEX(Pengaturan!$B$8:$B$27,O$4)="",0,COUNTIF(Data!$B415:$U415,INDEX(Pengaturan!$B$8:$B$27,O$4)))</f>
        <v>0</v>
      </c>
      <c r="P415" s="26" t="n">
        <f aca="false">IF(INDEX(Pengaturan!$B$8:$B$27,P$4)="",0,COUNTIF(Data!$B415:$U415,INDEX(Pengaturan!$B$8:$B$27,P$4)))</f>
        <v>0</v>
      </c>
      <c r="Q415" s="26" t="n">
        <f aca="false">IF(INDEX(Pengaturan!$B$8:$B$27,Q$4)="",0,COUNTIF(Data!$B415:$U415,INDEX(Pengaturan!$B$8:$B$27,Q$4)))</f>
        <v>0</v>
      </c>
      <c r="R415" s="26" t="n">
        <f aca="false">IF(INDEX(Pengaturan!$B$8:$B$27,R$4)="",0,COUNTIF(Data!$B415:$U415,INDEX(Pengaturan!$B$8:$B$27,R$4)))</f>
        <v>0</v>
      </c>
      <c r="S415" s="26" t="n">
        <f aca="false">IF(INDEX(Pengaturan!$B$8:$B$27,S$4)="",0,COUNTIF(Data!$B415:$U415,INDEX(Pengaturan!$B$8:$B$27,S$4)))</f>
        <v>0</v>
      </c>
      <c r="T415" s="26" t="n">
        <f aca="false">IF(INDEX(Pengaturan!$B$8:$B$27,T$4)="",0,COUNTIF(Data!$B415:$U415,INDEX(Pengaturan!$B$8:$B$27,T$4)))</f>
        <v>0</v>
      </c>
      <c r="U415" s="26" t="n">
        <f aca="false">IF(INDEX(Pengaturan!$B$8:$B$27,U$4)="",0,COUNTIF(Data!$B415:$U415,INDEX(Pengaturan!$B$8:$B$27,U$4)))</f>
        <v>0</v>
      </c>
      <c r="V415" s="26" t="n">
        <f aca="false">COUNTA(Data!$B415:$U415)</f>
        <v>0</v>
      </c>
      <c r="W415" s="27" t="str">
        <f aca="false">IF(V415=0,"",IF(V415&lt;&gt;Hasil!$C$4,"Data kosong/tidak lengkap",IF(SUM(B415:U415)&lt;&gt;V415,"Kategori tidak dikenal","OK")))</f>
        <v/>
      </c>
      <c r="X415" s="26" t="n">
        <f aca="false">IF(OR(W415="",W415="OK"),0,1)</f>
        <v>0</v>
      </c>
    </row>
    <row r="416" customFormat="false" ht="15" hidden="false" customHeight="false" outlineLevel="0" collapsed="false">
      <c r="A416" s="26" t="n">
        <f aca="false">Data!A416</f>
        <v>411</v>
      </c>
      <c r="B416" s="26" t="n">
        <f aca="false">IF(INDEX(Pengaturan!$B$8:$B$27,B$4)="",0,COUNTIF(Data!$B416:$U416,INDEX(Pengaturan!$B$8:$B$27,B$4)))</f>
        <v>0</v>
      </c>
      <c r="C416" s="26" t="n">
        <f aca="false">IF(INDEX(Pengaturan!$B$8:$B$27,C$4)="",0,COUNTIF(Data!$B416:$U416,INDEX(Pengaturan!$B$8:$B$27,C$4)))</f>
        <v>0</v>
      </c>
      <c r="D416" s="26" t="n">
        <f aca="false">IF(INDEX(Pengaturan!$B$8:$B$27,D$4)="",0,COUNTIF(Data!$B416:$U416,INDEX(Pengaturan!$B$8:$B$27,D$4)))</f>
        <v>0</v>
      </c>
      <c r="E416" s="26" t="n">
        <f aca="false">IF(INDEX(Pengaturan!$B$8:$B$27,E$4)="",0,COUNTIF(Data!$B416:$U416,INDEX(Pengaturan!$B$8:$B$27,E$4)))</f>
        <v>0</v>
      </c>
      <c r="F416" s="26" t="n">
        <f aca="false">IF(INDEX(Pengaturan!$B$8:$B$27,F$4)="",0,COUNTIF(Data!$B416:$U416,INDEX(Pengaturan!$B$8:$B$27,F$4)))</f>
        <v>0</v>
      </c>
      <c r="G416" s="26" t="n">
        <f aca="false">IF(INDEX(Pengaturan!$B$8:$B$27,G$4)="",0,COUNTIF(Data!$B416:$U416,INDEX(Pengaturan!$B$8:$B$27,G$4)))</f>
        <v>0</v>
      </c>
      <c r="H416" s="26" t="n">
        <f aca="false">IF(INDEX(Pengaturan!$B$8:$B$27,H$4)="",0,COUNTIF(Data!$B416:$U416,INDEX(Pengaturan!$B$8:$B$27,H$4)))</f>
        <v>0</v>
      </c>
      <c r="I416" s="26" t="n">
        <f aca="false">IF(INDEX(Pengaturan!$B$8:$B$27,I$4)="",0,COUNTIF(Data!$B416:$U416,INDEX(Pengaturan!$B$8:$B$27,I$4)))</f>
        <v>0</v>
      </c>
      <c r="J416" s="26" t="n">
        <f aca="false">IF(INDEX(Pengaturan!$B$8:$B$27,J$4)="",0,COUNTIF(Data!$B416:$U416,INDEX(Pengaturan!$B$8:$B$27,J$4)))</f>
        <v>0</v>
      </c>
      <c r="K416" s="26" t="n">
        <f aca="false">IF(INDEX(Pengaturan!$B$8:$B$27,K$4)="",0,COUNTIF(Data!$B416:$U416,INDEX(Pengaturan!$B$8:$B$27,K$4)))</f>
        <v>0</v>
      </c>
      <c r="L416" s="26" t="n">
        <f aca="false">IF(INDEX(Pengaturan!$B$8:$B$27,L$4)="",0,COUNTIF(Data!$B416:$U416,INDEX(Pengaturan!$B$8:$B$27,L$4)))</f>
        <v>0</v>
      </c>
      <c r="M416" s="26" t="n">
        <f aca="false">IF(INDEX(Pengaturan!$B$8:$B$27,M$4)="",0,COUNTIF(Data!$B416:$U416,INDEX(Pengaturan!$B$8:$B$27,M$4)))</f>
        <v>0</v>
      </c>
      <c r="N416" s="26" t="n">
        <f aca="false">IF(INDEX(Pengaturan!$B$8:$B$27,N$4)="",0,COUNTIF(Data!$B416:$U416,INDEX(Pengaturan!$B$8:$B$27,N$4)))</f>
        <v>0</v>
      </c>
      <c r="O416" s="26" t="n">
        <f aca="false">IF(INDEX(Pengaturan!$B$8:$B$27,O$4)="",0,COUNTIF(Data!$B416:$U416,INDEX(Pengaturan!$B$8:$B$27,O$4)))</f>
        <v>0</v>
      </c>
      <c r="P416" s="26" t="n">
        <f aca="false">IF(INDEX(Pengaturan!$B$8:$B$27,P$4)="",0,COUNTIF(Data!$B416:$U416,INDEX(Pengaturan!$B$8:$B$27,P$4)))</f>
        <v>0</v>
      </c>
      <c r="Q416" s="26" t="n">
        <f aca="false">IF(INDEX(Pengaturan!$B$8:$B$27,Q$4)="",0,COUNTIF(Data!$B416:$U416,INDEX(Pengaturan!$B$8:$B$27,Q$4)))</f>
        <v>0</v>
      </c>
      <c r="R416" s="26" t="n">
        <f aca="false">IF(INDEX(Pengaturan!$B$8:$B$27,R$4)="",0,COUNTIF(Data!$B416:$U416,INDEX(Pengaturan!$B$8:$B$27,R$4)))</f>
        <v>0</v>
      </c>
      <c r="S416" s="26" t="n">
        <f aca="false">IF(INDEX(Pengaturan!$B$8:$B$27,S$4)="",0,COUNTIF(Data!$B416:$U416,INDEX(Pengaturan!$B$8:$B$27,S$4)))</f>
        <v>0</v>
      </c>
      <c r="T416" s="26" t="n">
        <f aca="false">IF(INDEX(Pengaturan!$B$8:$B$27,T$4)="",0,COUNTIF(Data!$B416:$U416,INDEX(Pengaturan!$B$8:$B$27,T$4)))</f>
        <v>0</v>
      </c>
      <c r="U416" s="26" t="n">
        <f aca="false">IF(INDEX(Pengaturan!$B$8:$B$27,U$4)="",0,COUNTIF(Data!$B416:$U416,INDEX(Pengaturan!$B$8:$B$27,U$4)))</f>
        <v>0</v>
      </c>
      <c r="V416" s="26" t="n">
        <f aca="false">COUNTA(Data!$B416:$U416)</f>
        <v>0</v>
      </c>
      <c r="W416" s="27" t="str">
        <f aca="false">IF(V416=0,"",IF(V416&lt;&gt;Hasil!$C$4,"Data kosong/tidak lengkap",IF(SUM(B416:U416)&lt;&gt;V416,"Kategori tidak dikenal","OK")))</f>
        <v/>
      </c>
      <c r="X416" s="26" t="n">
        <f aca="false">IF(OR(W416="",W416="OK"),0,1)</f>
        <v>0</v>
      </c>
    </row>
    <row r="417" customFormat="false" ht="15" hidden="false" customHeight="false" outlineLevel="0" collapsed="false">
      <c r="A417" s="26" t="n">
        <f aca="false">Data!A417</f>
        <v>412</v>
      </c>
      <c r="B417" s="26" t="n">
        <f aca="false">IF(INDEX(Pengaturan!$B$8:$B$27,B$4)="",0,COUNTIF(Data!$B417:$U417,INDEX(Pengaturan!$B$8:$B$27,B$4)))</f>
        <v>0</v>
      </c>
      <c r="C417" s="26" t="n">
        <f aca="false">IF(INDEX(Pengaturan!$B$8:$B$27,C$4)="",0,COUNTIF(Data!$B417:$U417,INDEX(Pengaturan!$B$8:$B$27,C$4)))</f>
        <v>0</v>
      </c>
      <c r="D417" s="26" t="n">
        <f aca="false">IF(INDEX(Pengaturan!$B$8:$B$27,D$4)="",0,COUNTIF(Data!$B417:$U417,INDEX(Pengaturan!$B$8:$B$27,D$4)))</f>
        <v>0</v>
      </c>
      <c r="E417" s="26" t="n">
        <f aca="false">IF(INDEX(Pengaturan!$B$8:$B$27,E$4)="",0,COUNTIF(Data!$B417:$U417,INDEX(Pengaturan!$B$8:$B$27,E$4)))</f>
        <v>0</v>
      </c>
      <c r="F417" s="26" t="n">
        <f aca="false">IF(INDEX(Pengaturan!$B$8:$B$27,F$4)="",0,COUNTIF(Data!$B417:$U417,INDEX(Pengaturan!$B$8:$B$27,F$4)))</f>
        <v>0</v>
      </c>
      <c r="G417" s="26" t="n">
        <f aca="false">IF(INDEX(Pengaturan!$B$8:$B$27,G$4)="",0,COUNTIF(Data!$B417:$U417,INDEX(Pengaturan!$B$8:$B$27,G$4)))</f>
        <v>0</v>
      </c>
      <c r="H417" s="26" t="n">
        <f aca="false">IF(INDEX(Pengaturan!$B$8:$B$27,H$4)="",0,COUNTIF(Data!$B417:$U417,INDEX(Pengaturan!$B$8:$B$27,H$4)))</f>
        <v>0</v>
      </c>
      <c r="I417" s="26" t="n">
        <f aca="false">IF(INDEX(Pengaturan!$B$8:$B$27,I$4)="",0,COUNTIF(Data!$B417:$U417,INDEX(Pengaturan!$B$8:$B$27,I$4)))</f>
        <v>0</v>
      </c>
      <c r="J417" s="26" t="n">
        <f aca="false">IF(INDEX(Pengaturan!$B$8:$B$27,J$4)="",0,COUNTIF(Data!$B417:$U417,INDEX(Pengaturan!$B$8:$B$27,J$4)))</f>
        <v>0</v>
      </c>
      <c r="K417" s="26" t="n">
        <f aca="false">IF(INDEX(Pengaturan!$B$8:$B$27,K$4)="",0,COUNTIF(Data!$B417:$U417,INDEX(Pengaturan!$B$8:$B$27,K$4)))</f>
        <v>0</v>
      </c>
      <c r="L417" s="26" t="n">
        <f aca="false">IF(INDEX(Pengaturan!$B$8:$B$27,L$4)="",0,COUNTIF(Data!$B417:$U417,INDEX(Pengaturan!$B$8:$B$27,L$4)))</f>
        <v>0</v>
      </c>
      <c r="M417" s="26" t="n">
        <f aca="false">IF(INDEX(Pengaturan!$B$8:$B$27,M$4)="",0,COUNTIF(Data!$B417:$U417,INDEX(Pengaturan!$B$8:$B$27,M$4)))</f>
        <v>0</v>
      </c>
      <c r="N417" s="26" t="n">
        <f aca="false">IF(INDEX(Pengaturan!$B$8:$B$27,N$4)="",0,COUNTIF(Data!$B417:$U417,INDEX(Pengaturan!$B$8:$B$27,N$4)))</f>
        <v>0</v>
      </c>
      <c r="O417" s="26" t="n">
        <f aca="false">IF(INDEX(Pengaturan!$B$8:$B$27,O$4)="",0,COUNTIF(Data!$B417:$U417,INDEX(Pengaturan!$B$8:$B$27,O$4)))</f>
        <v>0</v>
      </c>
      <c r="P417" s="26" t="n">
        <f aca="false">IF(INDEX(Pengaturan!$B$8:$B$27,P$4)="",0,COUNTIF(Data!$B417:$U417,INDEX(Pengaturan!$B$8:$B$27,P$4)))</f>
        <v>0</v>
      </c>
      <c r="Q417" s="26" t="n">
        <f aca="false">IF(INDEX(Pengaturan!$B$8:$B$27,Q$4)="",0,COUNTIF(Data!$B417:$U417,INDEX(Pengaturan!$B$8:$B$27,Q$4)))</f>
        <v>0</v>
      </c>
      <c r="R417" s="26" t="n">
        <f aca="false">IF(INDEX(Pengaturan!$B$8:$B$27,R$4)="",0,COUNTIF(Data!$B417:$U417,INDEX(Pengaturan!$B$8:$B$27,R$4)))</f>
        <v>0</v>
      </c>
      <c r="S417" s="26" t="n">
        <f aca="false">IF(INDEX(Pengaturan!$B$8:$B$27,S$4)="",0,COUNTIF(Data!$B417:$U417,INDEX(Pengaturan!$B$8:$B$27,S$4)))</f>
        <v>0</v>
      </c>
      <c r="T417" s="26" t="n">
        <f aca="false">IF(INDEX(Pengaturan!$B$8:$B$27,T$4)="",0,COUNTIF(Data!$B417:$U417,INDEX(Pengaturan!$B$8:$B$27,T$4)))</f>
        <v>0</v>
      </c>
      <c r="U417" s="26" t="n">
        <f aca="false">IF(INDEX(Pengaturan!$B$8:$B$27,U$4)="",0,COUNTIF(Data!$B417:$U417,INDEX(Pengaturan!$B$8:$B$27,U$4)))</f>
        <v>0</v>
      </c>
      <c r="V417" s="26" t="n">
        <f aca="false">COUNTA(Data!$B417:$U417)</f>
        <v>0</v>
      </c>
      <c r="W417" s="27" t="str">
        <f aca="false">IF(V417=0,"",IF(V417&lt;&gt;Hasil!$C$4,"Data kosong/tidak lengkap",IF(SUM(B417:U417)&lt;&gt;V417,"Kategori tidak dikenal","OK")))</f>
        <v/>
      </c>
      <c r="X417" s="26" t="n">
        <f aca="false">IF(OR(W417="",W417="OK"),0,1)</f>
        <v>0</v>
      </c>
    </row>
    <row r="418" customFormat="false" ht="15" hidden="false" customHeight="false" outlineLevel="0" collapsed="false">
      <c r="A418" s="26" t="n">
        <f aca="false">Data!A418</f>
        <v>413</v>
      </c>
      <c r="B418" s="26" t="n">
        <f aca="false">IF(INDEX(Pengaturan!$B$8:$B$27,B$4)="",0,COUNTIF(Data!$B418:$U418,INDEX(Pengaturan!$B$8:$B$27,B$4)))</f>
        <v>0</v>
      </c>
      <c r="C418" s="26" t="n">
        <f aca="false">IF(INDEX(Pengaturan!$B$8:$B$27,C$4)="",0,COUNTIF(Data!$B418:$U418,INDEX(Pengaturan!$B$8:$B$27,C$4)))</f>
        <v>0</v>
      </c>
      <c r="D418" s="26" t="n">
        <f aca="false">IF(INDEX(Pengaturan!$B$8:$B$27,D$4)="",0,COUNTIF(Data!$B418:$U418,INDEX(Pengaturan!$B$8:$B$27,D$4)))</f>
        <v>0</v>
      </c>
      <c r="E418" s="26" t="n">
        <f aca="false">IF(INDEX(Pengaturan!$B$8:$B$27,E$4)="",0,COUNTIF(Data!$B418:$U418,INDEX(Pengaturan!$B$8:$B$27,E$4)))</f>
        <v>0</v>
      </c>
      <c r="F418" s="26" t="n">
        <f aca="false">IF(INDEX(Pengaturan!$B$8:$B$27,F$4)="",0,COUNTIF(Data!$B418:$U418,INDEX(Pengaturan!$B$8:$B$27,F$4)))</f>
        <v>0</v>
      </c>
      <c r="G418" s="26" t="n">
        <f aca="false">IF(INDEX(Pengaturan!$B$8:$B$27,G$4)="",0,COUNTIF(Data!$B418:$U418,INDEX(Pengaturan!$B$8:$B$27,G$4)))</f>
        <v>0</v>
      </c>
      <c r="H418" s="26" t="n">
        <f aca="false">IF(INDEX(Pengaturan!$B$8:$B$27,H$4)="",0,COUNTIF(Data!$B418:$U418,INDEX(Pengaturan!$B$8:$B$27,H$4)))</f>
        <v>0</v>
      </c>
      <c r="I418" s="26" t="n">
        <f aca="false">IF(INDEX(Pengaturan!$B$8:$B$27,I$4)="",0,COUNTIF(Data!$B418:$U418,INDEX(Pengaturan!$B$8:$B$27,I$4)))</f>
        <v>0</v>
      </c>
      <c r="J418" s="26" t="n">
        <f aca="false">IF(INDEX(Pengaturan!$B$8:$B$27,J$4)="",0,COUNTIF(Data!$B418:$U418,INDEX(Pengaturan!$B$8:$B$27,J$4)))</f>
        <v>0</v>
      </c>
      <c r="K418" s="26" t="n">
        <f aca="false">IF(INDEX(Pengaturan!$B$8:$B$27,K$4)="",0,COUNTIF(Data!$B418:$U418,INDEX(Pengaturan!$B$8:$B$27,K$4)))</f>
        <v>0</v>
      </c>
      <c r="L418" s="26" t="n">
        <f aca="false">IF(INDEX(Pengaturan!$B$8:$B$27,L$4)="",0,COUNTIF(Data!$B418:$U418,INDEX(Pengaturan!$B$8:$B$27,L$4)))</f>
        <v>0</v>
      </c>
      <c r="M418" s="26" t="n">
        <f aca="false">IF(INDEX(Pengaturan!$B$8:$B$27,M$4)="",0,COUNTIF(Data!$B418:$U418,INDEX(Pengaturan!$B$8:$B$27,M$4)))</f>
        <v>0</v>
      </c>
      <c r="N418" s="26" t="n">
        <f aca="false">IF(INDEX(Pengaturan!$B$8:$B$27,N$4)="",0,COUNTIF(Data!$B418:$U418,INDEX(Pengaturan!$B$8:$B$27,N$4)))</f>
        <v>0</v>
      </c>
      <c r="O418" s="26" t="n">
        <f aca="false">IF(INDEX(Pengaturan!$B$8:$B$27,O$4)="",0,COUNTIF(Data!$B418:$U418,INDEX(Pengaturan!$B$8:$B$27,O$4)))</f>
        <v>0</v>
      </c>
      <c r="P418" s="26" t="n">
        <f aca="false">IF(INDEX(Pengaturan!$B$8:$B$27,P$4)="",0,COUNTIF(Data!$B418:$U418,INDEX(Pengaturan!$B$8:$B$27,P$4)))</f>
        <v>0</v>
      </c>
      <c r="Q418" s="26" t="n">
        <f aca="false">IF(INDEX(Pengaturan!$B$8:$B$27,Q$4)="",0,COUNTIF(Data!$B418:$U418,INDEX(Pengaturan!$B$8:$B$27,Q$4)))</f>
        <v>0</v>
      </c>
      <c r="R418" s="26" t="n">
        <f aca="false">IF(INDEX(Pengaturan!$B$8:$B$27,R$4)="",0,COUNTIF(Data!$B418:$U418,INDEX(Pengaturan!$B$8:$B$27,R$4)))</f>
        <v>0</v>
      </c>
      <c r="S418" s="26" t="n">
        <f aca="false">IF(INDEX(Pengaturan!$B$8:$B$27,S$4)="",0,COUNTIF(Data!$B418:$U418,INDEX(Pengaturan!$B$8:$B$27,S$4)))</f>
        <v>0</v>
      </c>
      <c r="T418" s="26" t="n">
        <f aca="false">IF(INDEX(Pengaturan!$B$8:$B$27,T$4)="",0,COUNTIF(Data!$B418:$U418,INDEX(Pengaturan!$B$8:$B$27,T$4)))</f>
        <v>0</v>
      </c>
      <c r="U418" s="26" t="n">
        <f aca="false">IF(INDEX(Pengaturan!$B$8:$B$27,U$4)="",0,COUNTIF(Data!$B418:$U418,INDEX(Pengaturan!$B$8:$B$27,U$4)))</f>
        <v>0</v>
      </c>
      <c r="V418" s="26" t="n">
        <f aca="false">COUNTA(Data!$B418:$U418)</f>
        <v>0</v>
      </c>
      <c r="W418" s="27" t="str">
        <f aca="false">IF(V418=0,"",IF(V418&lt;&gt;Hasil!$C$4,"Data kosong/tidak lengkap",IF(SUM(B418:U418)&lt;&gt;V418,"Kategori tidak dikenal","OK")))</f>
        <v/>
      </c>
      <c r="X418" s="26" t="n">
        <f aca="false">IF(OR(W418="",W418="OK"),0,1)</f>
        <v>0</v>
      </c>
    </row>
    <row r="419" customFormat="false" ht="15" hidden="false" customHeight="false" outlineLevel="0" collapsed="false">
      <c r="A419" s="26" t="n">
        <f aca="false">Data!A419</f>
        <v>414</v>
      </c>
      <c r="B419" s="26" t="n">
        <f aca="false">IF(INDEX(Pengaturan!$B$8:$B$27,B$4)="",0,COUNTIF(Data!$B419:$U419,INDEX(Pengaturan!$B$8:$B$27,B$4)))</f>
        <v>0</v>
      </c>
      <c r="C419" s="26" t="n">
        <f aca="false">IF(INDEX(Pengaturan!$B$8:$B$27,C$4)="",0,COUNTIF(Data!$B419:$U419,INDEX(Pengaturan!$B$8:$B$27,C$4)))</f>
        <v>0</v>
      </c>
      <c r="D419" s="26" t="n">
        <f aca="false">IF(INDEX(Pengaturan!$B$8:$B$27,D$4)="",0,COUNTIF(Data!$B419:$U419,INDEX(Pengaturan!$B$8:$B$27,D$4)))</f>
        <v>0</v>
      </c>
      <c r="E419" s="26" t="n">
        <f aca="false">IF(INDEX(Pengaturan!$B$8:$B$27,E$4)="",0,COUNTIF(Data!$B419:$U419,INDEX(Pengaturan!$B$8:$B$27,E$4)))</f>
        <v>0</v>
      </c>
      <c r="F419" s="26" t="n">
        <f aca="false">IF(INDEX(Pengaturan!$B$8:$B$27,F$4)="",0,COUNTIF(Data!$B419:$U419,INDEX(Pengaturan!$B$8:$B$27,F$4)))</f>
        <v>0</v>
      </c>
      <c r="G419" s="26" t="n">
        <f aca="false">IF(INDEX(Pengaturan!$B$8:$B$27,G$4)="",0,COUNTIF(Data!$B419:$U419,INDEX(Pengaturan!$B$8:$B$27,G$4)))</f>
        <v>0</v>
      </c>
      <c r="H419" s="26" t="n">
        <f aca="false">IF(INDEX(Pengaturan!$B$8:$B$27,H$4)="",0,COUNTIF(Data!$B419:$U419,INDEX(Pengaturan!$B$8:$B$27,H$4)))</f>
        <v>0</v>
      </c>
      <c r="I419" s="26" t="n">
        <f aca="false">IF(INDEX(Pengaturan!$B$8:$B$27,I$4)="",0,COUNTIF(Data!$B419:$U419,INDEX(Pengaturan!$B$8:$B$27,I$4)))</f>
        <v>0</v>
      </c>
      <c r="J419" s="26" t="n">
        <f aca="false">IF(INDEX(Pengaturan!$B$8:$B$27,J$4)="",0,COUNTIF(Data!$B419:$U419,INDEX(Pengaturan!$B$8:$B$27,J$4)))</f>
        <v>0</v>
      </c>
      <c r="K419" s="26" t="n">
        <f aca="false">IF(INDEX(Pengaturan!$B$8:$B$27,K$4)="",0,COUNTIF(Data!$B419:$U419,INDEX(Pengaturan!$B$8:$B$27,K$4)))</f>
        <v>0</v>
      </c>
      <c r="L419" s="26" t="n">
        <f aca="false">IF(INDEX(Pengaturan!$B$8:$B$27,L$4)="",0,COUNTIF(Data!$B419:$U419,INDEX(Pengaturan!$B$8:$B$27,L$4)))</f>
        <v>0</v>
      </c>
      <c r="M419" s="26" t="n">
        <f aca="false">IF(INDEX(Pengaturan!$B$8:$B$27,M$4)="",0,COUNTIF(Data!$B419:$U419,INDEX(Pengaturan!$B$8:$B$27,M$4)))</f>
        <v>0</v>
      </c>
      <c r="N419" s="26" t="n">
        <f aca="false">IF(INDEX(Pengaturan!$B$8:$B$27,N$4)="",0,COUNTIF(Data!$B419:$U419,INDEX(Pengaturan!$B$8:$B$27,N$4)))</f>
        <v>0</v>
      </c>
      <c r="O419" s="26" t="n">
        <f aca="false">IF(INDEX(Pengaturan!$B$8:$B$27,O$4)="",0,COUNTIF(Data!$B419:$U419,INDEX(Pengaturan!$B$8:$B$27,O$4)))</f>
        <v>0</v>
      </c>
      <c r="P419" s="26" t="n">
        <f aca="false">IF(INDEX(Pengaturan!$B$8:$B$27,P$4)="",0,COUNTIF(Data!$B419:$U419,INDEX(Pengaturan!$B$8:$B$27,P$4)))</f>
        <v>0</v>
      </c>
      <c r="Q419" s="26" t="n">
        <f aca="false">IF(INDEX(Pengaturan!$B$8:$B$27,Q$4)="",0,COUNTIF(Data!$B419:$U419,INDEX(Pengaturan!$B$8:$B$27,Q$4)))</f>
        <v>0</v>
      </c>
      <c r="R419" s="26" t="n">
        <f aca="false">IF(INDEX(Pengaturan!$B$8:$B$27,R$4)="",0,COUNTIF(Data!$B419:$U419,INDEX(Pengaturan!$B$8:$B$27,R$4)))</f>
        <v>0</v>
      </c>
      <c r="S419" s="26" t="n">
        <f aca="false">IF(INDEX(Pengaturan!$B$8:$B$27,S$4)="",0,COUNTIF(Data!$B419:$U419,INDEX(Pengaturan!$B$8:$B$27,S$4)))</f>
        <v>0</v>
      </c>
      <c r="T419" s="26" t="n">
        <f aca="false">IF(INDEX(Pengaturan!$B$8:$B$27,T$4)="",0,COUNTIF(Data!$B419:$U419,INDEX(Pengaturan!$B$8:$B$27,T$4)))</f>
        <v>0</v>
      </c>
      <c r="U419" s="26" t="n">
        <f aca="false">IF(INDEX(Pengaturan!$B$8:$B$27,U$4)="",0,COUNTIF(Data!$B419:$U419,INDEX(Pengaturan!$B$8:$B$27,U$4)))</f>
        <v>0</v>
      </c>
      <c r="V419" s="26" t="n">
        <f aca="false">COUNTA(Data!$B419:$U419)</f>
        <v>0</v>
      </c>
      <c r="W419" s="27" t="str">
        <f aca="false">IF(V419=0,"",IF(V419&lt;&gt;Hasil!$C$4,"Data kosong/tidak lengkap",IF(SUM(B419:U419)&lt;&gt;V419,"Kategori tidak dikenal","OK")))</f>
        <v/>
      </c>
      <c r="X419" s="26" t="n">
        <f aca="false">IF(OR(W419="",W419="OK"),0,1)</f>
        <v>0</v>
      </c>
    </row>
    <row r="420" customFormat="false" ht="15" hidden="false" customHeight="false" outlineLevel="0" collapsed="false">
      <c r="A420" s="26" t="n">
        <f aca="false">Data!A420</f>
        <v>415</v>
      </c>
      <c r="B420" s="26" t="n">
        <f aca="false">IF(INDEX(Pengaturan!$B$8:$B$27,B$4)="",0,COUNTIF(Data!$B420:$U420,INDEX(Pengaturan!$B$8:$B$27,B$4)))</f>
        <v>0</v>
      </c>
      <c r="C420" s="26" t="n">
        <f aca="false">IF(INDEX(Pengaturan!$B$8:$B$27,C$4)="",0,COUNTIF(Data!$B420:$U420,INDEX(Pengaturan!$B$8:$B$27,C$4)))</f>
        <v>0</v>
      </c>
      <c r="D420" s="26" t="n">
        <f aca="false">IF(INDEX(Pengaturan!$B$8:$B$27,D$4)="",0,COUNTIF(Data!$B420:$U420,INDEX(Pengaturan!$B$8:$B$27,D$4)))</f>
        <v>0</v>
      </c>
      <c r="E420" s="26" t="n">
        <f aca="false">IF(INDEX(Pengaturan!$B$8:$B$27,E$4)="",0,COUNTIF(Data!$B420:$U420,INDEX(Pengaturan!$B$8:$B$27,E$4)))</f>
        <v>0</v>
      </c>
      <c r="F420" s="26" t="n">
        <f aca="false">IF(INDEX(Pengaturan!$B$8:$B$27,F$4)="",0,COUNTIF(Data!$B420:$U420,INDEX(Pengaturan!$B$8:$B$27,F$4)))</f>
        <v>0</v>
      </c>
      <c r="G420" s="26" t="n">
        <f aca="false">IF(INDEX(Pengaturan!$B$8:$B$27,G$4)="",0,COUNTIF(Data!$B420:$U420,INDEX(Pengaturan!$B$8:$B$27,G$4)))</f>
        <v>0</v>
      </c>
      <c r="H420" s="26" t="n">
        <f aca="false">IF(INDEX(Pengaturan!$B$8:$B$27,H$4)="",0,COUNTIF(Data!$B420:$U420,INDEX(Pengaturan!$B$8:$B$27,H$4)))</f>
        <v>0</v>
      </c>
      <c r="I420" s="26" t="n">
        <f aca="false">IF(INDEX(Pengaturan!$B$8:$B$27,I$4)="",0,COUNTIF(Data!$B420:$U420,INDEX(Pengaturan!$B$8:$B$27,I$4)))</f>
        <v>0</v>
      </c>
      <c r="J420" s="26" t="n">
        <f aca="false">IF(INDEX(Pengaturan!$B$8:$B$27,J$4)="",0,COUNTIF(Data!$B420:$U420,INDEX(Pengaturan!$B$8:$B$27,J$4)))</f>
        <v>0</v>
      </c>
      <c r="K420" s="26" t="n">
        <f aca="false">IF(INDEX(Pengaturan!$B$8:$B$27,K$4)="",0,COUNTIF(Data!$B420:$U420,INDEX(Pengaturan!$B$8:$B$27,K$4)))</f>
        <v>0</v>
      </c>
      <c r="L420" s="26" t="n">
        <f aca="false">IF(INDEX(Pengaturan!$B$8:$B$27,L$4)="",0,COUNTIF(Data!$B420:$U420,INDEX(Pengaturan!$B$8:$B$27,L$4)))</f>
        <v>0</v>
      </c>
      <c r="M420" s="26" t="n">
        <f aca="false">IF(INDEX(Pengaturan!$B$8:$B$27,M$4)="",0,COUNTIF(Data!$B420:$U420,INDEX(Pengaturan!$B$8:$B$27,M$4)))</f>
        <v>0</v>
      </c>
      <c r="N420" s="26" t="n">
        <f aca="false">IF(INDEX(Pengaturan!$B$8:$B$27,N$4)="",0,COUNTIF(Data!$B420:$U420,INDEX(Pengaturan!$B$8:$B$27,N$4)))</f>
        <v>0</v>
      </c>
      <c r="O420" s="26" t="n">
        <f aca="false">IF(INDEX(Pengaturan!$B$8:$B$27,O$4)="",0,COUNTIF(Data!$B420:$U420,INDEX(Pengaturan!$B$8:$B$27,O$4)))</f>
        <v>0</v>
      </c>
      <c r="P420" s="26" t="n">
        <f aca="false">IF(INDEX(Pengaturan!$B$8:$B$27,P$4)="",0,COUNTIF(Data!$B420:$U420,INDEX(Pengaturan!$B$8:$B$27,P$4)))</f>
        <v>0</v>
      </c>
      <c r="Q420" s="26" t="n">
        <f aca="false">IF(INDEX(Pengaturan!$B$8:$B$27,Q$4)="",0,COUNTIF(Data!$B420:$U420,INDEX(Pengaturan!$B$8:$B$27,Q$4)))</f>
        <v>0</v>
      </c>
      <c r="R420" s="26" t="n">
        <f aca="false">IF(INDEX(Pengaturan!$B$8:$B$27,R$4)="",0,COUNTIF(Data!$B420:$U420,INDEX(Pengaturan!$B$8:$B$27,R$4)))</f>
        <v>0</v>
      </c>
      <c r="S420" s="26" t="n">
        <f aca="false">IF(INDEX(Pengaturan!$B$8:$B$27,S$4)="",0,COUNTIF(Data!$B420:$U420,INDEX(Pengaturan!$B$8:$B$27,S$4)))</f>
        <v>0</v>
      </c>
      <c r="T420" s="26" t="n">
        <f aca="false">IF(INDEX(Pengaturan!$B$8:$B$27,T$4)="",0,COUNTIF(Data!$B420:$U420,INDEX(Pengaturan!$B$8:$B$27,T$4)))</f>
        <v>0</v>
      </c>
      <c r="U420" s="26" t="n">
        <f aca="false">IF(INDEX(Pengaturan!$B$8:$B$27,U$4)="",0,COUNTIF(Data!$B420:$U420,INDEX(Pengaturan!$B$8:$B$27,U$4)))</f>
        <v>0</v>
      </c>
      <c r="V420" s="26" t="n">
        <f aca="false">COUNTA(Data!$B420:$U420)</f>
        <v>0</v>
      </c>
      <c r="W420" s="27" t="str">
        <f aca="false">IF(V420=0,"",IF(V420&lt;&gt;Hasil!$C$4,"Data kosong/tidak lengkap",IF(SUM(B420:U420)&lt;&gt;V420,"Kategori tidak dikenal","OK")))</f>
        <v/>
      </c>
      <c r="X420" s="26" t="n">
        <f aca="false">IF(OR(W420="",W420="OK"),0,1)</f>
        <v>0</v>
      </c>
    </row>
    <row r="421" customFormat="false" ht="15" hidden="false" customHeight="false" outlineLevel="0" collapsed="false">
      <c r="A421" s="26" t="n">
        <f aca="false">Data!A421</f>
        <v>416</v>
      </c>
      <c r="B421" s="26" t="n">
        <f aca="false">IF(INDEX(Pengaturan!$B$8:$B$27,B$4)="",0,COUNTIF(Data!$B421:$U421,INDEX(Pengaturan!$B$8:$B$27,B$4)))</f>
        <v>0</v>
      </c>
      <c r="C421" s="26" t="n">
        <f aca="false">IF(INDEX(Pengaturan!$B$8:$B$27,C$4)="",0,COUNTIF(Data!$B421:$U421,INDEX(Pengaturan!$B$8:$B$27,C$4)))</f>
        <v>0</v>
      </c>
      <c r="D421" s="26" t="n">
        <f aca="false">IF(INDEX(Pengaturan!$B$8:$B$27,D$4)="",0,COUNTIF(Data!$B421:$U421,INDEX(Pengaturan!$B$8:$B$27,D$4)))</f>
        <v>0</v>
      </c>
      <c r="E421" s="26" t="n">
        <f aca="false">IF(INDEX(Pengaturan!$B$8:$B$27,E$4)="",0,COUNTIF(Data!$B421:$U421,INDEX(Pengaturan!$B$8:$B$27,E$4)))</f>
        <v>0</v>
      </c>
      <c r="F421" s="26" t="n">
        <f aca="false">IF(INDEX(Pengaturan!$B$8:$B$27,F$4)="",0,COUNTIF(Data!$B421:$U421,INDEX(Pengaturan!$B$8:$B$27,F$4)))</f>
        <v>0</v>
      </c>
      <c r="G421" s="26" t="n">
        <f aca="false">IF(INDEX(Pengaturan!$B$8:$B$27,G$4)="",0,COUNTIF(Data!$B421:$U421,INDEX(Pengaturan!$B$8:$B$27,G$4)))</f>
        <v>0</v>
      </c>
      <c r="H421" s="26" t="n">
        <f aca="false">IF(INDEX(Pengaturan!$B$8:$B$27,H$4)="",0,COUNTIF(Data!$B421:$U421,INDEX(Pengaturan!$B$8:$B$27,H$4)))</f>
        <v>0</v>
      </c>
      <c r="I421" s="26" t="n">
        <f aca="false">IF(INDEX(Pengaturan!$B$8:$B$27,I$4)="",0,COUNTIF(Data!$B421:$U421,INDEX(Pengaturan!$B$8:$B$27,I$4)))</f>
        <v>0</v>
      </c>
      <c r="J421" s="26" t="n">
        <f aca="false">IF(INDEX(Pengaturan!$B$8:$B$27,J$4)="",0,COUNTIF(Data!$B421:$U421,INDEX(Pengaturan!$B$8:$B$27,J$4)))</f>
        <v>0</v>
      </c>
      <c r="K421" s="26" t="n">
        <f aca="false">IF(INDEX(Pengaturan!$B$8:$B$27,K$4)="",0,COUNTIF(Data!$B421:$U421,INDEX(Pengaturan!$B$8:$B$27,K$4)))</f>
        <v>0</v>
      </c>
      <c r="L421" s="26" t="n">
        <f aca="false">IF(INDEX(Pengaturan!$B$8:$B$27,L$4)="",0,COUNTIF(Data!$B421:$U421,INDEX(Pengaturan!$B$8:$B$27,L$4)))</f>
        <v>0</v>
      </c>
      <c r="M421" s="26" t="n">
        <f aca="false">IF(INDEX(Pengaturan!$B$8:$B$27,M$4)="",0,COUNTIF(Data!$B421:$U421,INDEX(Pengaturan!$B$8:$B$27,M$4)))</f>
        <v>0</v>
      </c>
      <c r="N421" s="26" t="n">
        <f aca="false">IF(INDEX(Pengaturan!$B$8:$B$27,N$4)="",0,COUNTIF(Data!$B421:$U421,INDEX(Pengaturan!$B$8:$B$27,N$4)))</f>
        <v>0</v>
      </c>
      <c r="O421" s="26" t="n">
        <f aca="false">IF(INDEX(Pengaturan!$B$8:$B$27,O$4)="",0,COUNTIF(Data!$B421:$U421,INDEX(Pengaturan!$B$8:$B$27,O$4)))</f>
        <v>0</v>
      </c>
      <c r="P421" s="26" t="n">
        <f aca="false">IF(INDEX(Pengaturan!$B$8:$B$27,P$4)="",0,COUNTIF(Data!$B421:$U421,INDEX(Pengaturan!$B$8:$B$27,P$4)))</f>
        <v>0</v>
      </c>
      <c r="Q421" s="26" t="n">
        <f aca="false">IF(INDEX(Pengaturan!$B$8:$B$27,Q$4)="",0,COUNTIF(Data!$B421:$U421,INDEX(Pengaturan!$B$8:$B$27,Q$4)))</f>
        <v>0</v>
      </c>
      <c r="R421" s="26" t="n">
        <f aca="false">IF(INDEX(Pengaturan!$B$8:$B$27,R$4)="",0,COUNTIF(Data!$B421:$U421,INDEX(Pengaturan!$B$8:$B$27,R$4)))</f>
        <v>0</v>
      </c>
      <c r="S421" s="26" t="n">
        <f aca="false">IF(INDEX(Pengaturan!$B$8:$B$27,S$4)="",0,COUNTIF(Data!$B421:$U421,INDEX(Pengaturan!$B$8:$B$27,S$4)))</f>
        <v>0</v>
      </c>
      <c r="T421" s="26" t="n">
        <f aca="false">IF(INDEX(Pengaturan!$B$8:$B$27,T$4)="",0,COUNTIF(Data!$B421:$U421,INDEX(Pengaturan!$B$8:$B$27,T$4)))</f>
        <v>0</v>
      </c>
      <c r="U421" s="26" t="n">
        <f aca="false">IF(INDEX(Pengaturan!$B$8:$B$27,U$4)="",0,COUNTIF(Data!$B421:$U421,INDEX(Pengaturan!$B$8:$B$27,U$4)))</f>
        <v>0</v>
      </c>
      <c r="V421" s="26" t="n">
        <f aca="false">COUNTA(Data!$B421:$U421)</f>
        <v>0</v>
      </c>
      <c r="W421" s="27" t="str">
        <f aca="false">IF(V421=0,"",IF(V421&lt;&gt;Hasil!$C$4,"Data kosong/tidak lengkap",IF(SUM(B421:U421)&lt;&gt;V421,"Kategori tidak dikenal","OK")))</f>
        <v/>
      </c>
      <c r="X421" s="26" t="n">
        <f aca="false">IF(OR(W421="",W421="OK"),0,1)</f>
        <v>0</v>
      </c>
    </row>
    <row r="422" customFormat="false" ht="15" hidden="false" customHeight="false" outlineLevel="0" collapsed="false">
      <c r="A422" s="26" t="n">
        <f aca="false">Data!A422</f>
        <v>417</v>
      </c>
      <c r="B422" s="26" t="n">
        <f aca="false">IF(INDEX(Pengaturan!$B$8:$B$27,B$4)="",0,COUNTIF(Data!$B422:$U422,INDEX(Pengaturan!$B$8:$B$27,B$4)))</f>
        <v>0</v>
      </c>
      <c r="C422" s="26" t="n">
        <f aca="false">IF(INDEX(Pengaturan!$B$8:$B$27,C$4)="",0,COUNTIF(Data!$B422:$U422,INDEX(Pengaturan!$B$8:$B$27,C$4)))</f>
        <v>0</v>
      </c>
      <c r="D422" s="26" t="n">
        <f aca="false">IF(INDEX(Pengaturan!$B$8:$B$27,D$4)="",0,COUNTIF(Data!$B422:$U422,INDEX(Pengaturan!$B$8:$B$27,D$4)))</f>
        <v>0</v>
      </c>
      <c r="E422" s="26" t="n">
        <f aca="false">IF(INDEX(Pengaturan!$B$8:$B$27,E$4)="",0,COUNTIF(Data!$B422:$U422,INDEX(Pengaturan!$B$8:$B$27,E$4)))</f>
        <v>0</v>
      </c>
      <c r="F422" s="26" t="n">
        <f aca="false">IF(INDEX(Pengaturan!$B$8:$B$27,F$4)="",0,COUNTIF(Data!$B422:$U422,INDEX(Pengaturan!$B$8:$B$27,F$4)))</f>
        <v>0</v>
      </c>
      <c r="G422" s="26" t="n">
        <f aca="false">IF(INDEX(Pengaturan!$B$8:$B$27,G$4)="",0,COUNTIF(Data!$B422:$U422,INDEX(Pengaturan!$B$8:$B$27,G$4)))</f>
        <v>0</v>
      </c>
      <c r="H422" s="26" t="n">
        <f aca="false">IF(INDEX(Pengaturan!$B$8:$B$27,H$4)="",0,COUNTIF(Data!$B422:$U422,INDEX(Pengaturan!$B$8:$B$27,H$4)))</f>
        <v>0</v>
      </c>
      <c r="I422" s="26" t="n">
        <f aca="false">IF(INDEX(Pengaturan!$B$8:$B$27,I$4)="",0,COUNTIF(Data!$B422:$U422,INDEX(Pengaturan!$B$8:$B$27,I$4)))</f>
        <v>0</v>
      </c>
      <c r="J422" s="26" t="n">
        <f aca="false">IF(INDEX(Pengaturan!$B$8:$B$27,J$4)="",0,COUNTIF(Data!$B422:$U422,INDEX(Pengaturan!$B$8:$B$27,J$4)))</f>
        <v>0</v>
      </c>
      <c r="K422" s="26" t="n">
        <f aca="false">IF(INDEX(Pengaturan!$B$8:$B$27,K$4)="",0,COUNTIF(Data!$B422:$U422,INDEX(Pengaturan!$B$8:$B$27,K$4)))</f>
        <v>0</v>
      </c>
      <c r="L422" s="26" t="n">
        <f aca="false">IF(INDEX(Pengaturan!$B$8:$B$27,L$4)="",0,COUNTIF(Data!$B422:$U422,INDEX(Pengaturan!$B$8:$B$27,L$4)))</f>
        <v>0</v>
      </c>
      <c r="M422" s="26" t="n">
        <f aca="false">IF(INDEX(Pengaturan!$B$8:$B$27,M$4)="",0,COUNTIF(Data!$B422:$U422,INDEX(Pengaturan!$B$8:$B$27,M$4)))</f>
        <v>0</v>
      </c>
      <c r="N422" s="26" t="n">
        <f aca="false">IF(INDEX(Pengaturan!$B$8:$B$27,N$4)="",0,COUNTIF(Data!$B422:$U422,INDEX(Pengaturan!$B$8:$B$27,N$4)))</f>
        <v>0</v>
      </c>
      <c r="O422" s="26" t="n">
        <f aca="false">IF(INDEX(Pengaturan!$B$8:$B$27,O$4)="",0,COUNTIF(Data!$B422:$U422,INDEX(Pengaturan!$B$8:$B$27,O$4)))</f>
        <v>0</v>
      </c>
      <c r="P422" s="26" t="n">
        <f aca="false">IF(INDEX(Pengaturan!$B$8:$B$27,P$4)="",0,COUNTIF(Data!$B422:$U422,INDEX(Pengaturan!$B$8:$B$27,P$4)))</f>
        <v>0</v>
      </c>
      <c r="Q422" s="26" t="n">
        <f aca="false">IF(INDEX(Pengaturan!$B$8:$B$27,Q$4)="",0,COUNTIF(Data!$B422:$U422,INDEX(Pengaturan!$B$8:$B$27,Q$4)))</f>
        <v>0</v>
      </c>
      <c r="R422" s="26" t="n">
        <f aca="false">IF(INDEX(Pengaturan!$B$8:$B$27,R$4)="",0,COUNTIF(Data!$B422:$U422,INDEX(Pengaturan!$B$8:$B$27,R$4)))</f>
        <v>0</v>
      </c>
      <c r="S422" s="26" t="n">
        <f aca="false">IF(INDEX(Pengaturan!$B$8:$B$27,S$4)="",0,COUNTIF(Data!$B422:$U422,INDEX(Pengaturan!$B$8:$B$27,S$4)))</f>
        <v>0</v>
      </c>
      <c r="T422" s="26" t="n">
        <f aca="false">IF(INDEX(Pengaturan!$B$8:$B$27,T$4)="",0,COUNTIF(Data!$B422:$U422,INDEX(Pengaturan!$B$8:$B$27,T$4)))</f>
        <v>0</v>
      </c>
      <c r="U422" s="26" t="n">
        <f aca="false">IF(INDEX(Pengaturan!$B$8:$B$27,U$4)="",0,COUNTIF(Data!$B422:$U422,INDEX(Pengaturan!$B$8:$B$27,U$4)))</f>
        <v>0</v>
      </c>
      <c r="V422" s="26" t="n">
        <f aca="false">COUNTA(Data!$B422:$U422)</f>
        <v>0</v>
      </c>
      <c r="W422" s="27" t="str">
        <f aca="false">IF(V422=0,"",IF(V422&lt;&gt;Hasil!$C$4,"Data kosong/tidak lengkap",IF(SUM(B422:U422)&lt;&gt;V422,"Kategori tidak dikenal","OK")))</f>
        <v/>
      </c>
      <c r="X422" s="26" t="n">
        <f aca="false">IF(OR(W422="",W422="OK"),0,1)</f>
        <v>0</v>
      </c>
    </row>
    <row r="423" customFormat="false" ht="15" hidden="false" customHeight="false" outlineLevel="0" collapsed="false">
      <c r="A423" s="26" t="n">
        <f aca="false">Data!A423</f>
        <v>418</v>
      </c>
      <c r="B423" s="26" t="n">
        <f aca="false">IF(INDEX(Pengaturan!$B$8:$B$27,B$4)="",0,COUNTIF(Data!$B423:$U423,INDEX(Pengaturan!$B$8:$B$27,B$4)))</f>
        <v>0</v>
      </c>
      <c r="C423" s="26" t="n">
        <f aca="false">IF(INDEX(Pengaturan!$B$8:$B$27,C$4)="",0,COUNTIF(Data!$B423:$U423,INDEX(Pengaturan!$B$8:$B$27,C$4)))</f>
        <v>0</v>
      </c>
      <c r="D423" s="26" t="n">
        <f aca="false">IF(INDEX(Pengaturan!$B$8:$B$27,D$4)="",0,COUNTIF(Data!$B423:$U423,INDEX(Pengaturan!$B$8:$B$27,D$4)))</f>
        <v>0</v>
      </c>
      <c r="E423" s="26" t="n">
        <f aca="false">IF(INDEX(Pengaturan!$B$8:$B$27,E$4)="",0,COUNTIF(Data!$B423:$U423,INDEX(Pengaturan!$B$8:$B$27,E$4)))</f>
        <v>0</v>
      </c>
      <c r="F423" s="26" t="n">
        <f aca="false">IF(INDEX(Pengaturan!$B$8:$B$27,F$4)="",0,COUNTIF(Data!$B423:$U423,INDEX(Pengaturan!$B$8:$B$27,F$4)))</f>
        <v>0</v>
      </c>
      <c r="G423" s="26" t="n">
        <f aca="false">IF(INDEX(Pengaturan!$B$8:$B$27,G$4)="",0,COUNTIF(Data!$B423:$U423,INDEX(Pengaturan!$B$8:$B$27,G$4)))</f>
        <v>0</v>
      </c>
      <c r="H423" s="26" t="n">
        <f aca="false">IF(INDEX(Pengaturan!$B$8:$B$27,H$4)="",0,COUNTIF(Data!$B423:$U423,INDEX(Pengaturan!$B$8:$B$27,H$4)))</f>
        <v>0</v>
      </c>
      <c r="I423" s="26" t="n">
        <f aca="false">IF(INDEX(Pengaturan!$B$8:$B$27,I$4)="",0,COUNTIF(Data!$B423:$U423,INDEX(Pengaturan!$B$8:$B$27,I$4)))</f>
        <v>0</v>
      </c>
      <c r="J423" s="26" t="n">
        <f aca="false">IF(INDEX(Pengaturan!$B$8:$B$27,J$4)="",0,COUNTIF(Data!$B423:$U423,INDEX(Pengaturan!$B$8:$B$27,J$4)))</f>
        <v>0</v>
      </c>
      <c r="K423" s="26" t="n">
        <f aca="false">IF(INDEX(Pengaturan!$B$8:$B$27,K$4)="",0,COUNTIF(Data!$B423:$U423,INDEX(Pengaturan!$B$8:$B$27,K$4)))</f>
        <v>0</v>
      </c>
      <c r="L423" s="26" t="n">
        <f aca="false">IF(INDEX(Pengaturan!$B$8:$B$27,L$4)="",0,COUNTIF(Data!$B423:$U423,INDEX(Pengaturan!$B$8:$B$27,L$4)))</f>
        <v>0</v>
      </c>
      <c r="M423" s="26" t="n">
        <f aca="false">IF(INDEX(Pengaturan!$B$8:$B$27,M$4)="",0,COUNTIF(Data!$B423:$U423,INDEX(Pengaturan!$B$8:$B$27,M$4)))</f>
        <v>0</v>
      </c>
      <c r="N423" s="26" t="n">
        <f aca="false">IF(INDEX(Pengaturan!$B$8:$B$27,N$4)="",0,COUNTIF(Data!$B423:$U423,INDEX(Pengaturan!$B$8:$B$27,N$4)))</f>
        <v>0</v>
      </c>
      <c r="O423" s="26" t="n">
        <f aca="false">IF(INDEX(Pengaturan!$B$8:$B$27,O$4)="",0,COUNTIF(Data!$B423:$U423,INDEX(Pengaturan!$B$8:$B$27,O$4)))</f>
        <v>0</v>
      </c>
      <c r="P423" s="26" t="n">
        <f aca="false">IF(INDEX(Pengaturan!$B$8:$B$27,P$4)="",0,COUNTIF(Data!$B423:$U423,INDEX(Pengaturan!$B$8:$B$27,P$4)))</f>
        <v>0</v>
      </c>
      <c r="Q423" s="26" t="n">
        <f aca="false">IF(INDEX(Pengaturan!$B$8:$B$27,Q$4)="",0,COUNTIF(Data!$B423:$U423,INDEX(Pengaturan!$B$8:$B$27,Q$4)))</f>
        <v>0</v>
      </c>
      <c r="R423" s="26" t="n">
        <f aca="false">IF(INDEX(Pengaturan!$B$8:$B$27,R$4)="",0,COUNTIF(Data!$B423:$U423,INDEX(Pengaturan!$B$8:$B$27,R$4)))</f>
        <v>0</v>
      </c>
      <c r="S423" s="26" t="n">
        <f aca="false">IF(INDEX(Pengaturan!$B$8:$B$27,S$4)="",0,COUNTIF(Data!$B423:$U423,INDEX(Pengaturan!$B$8:$B$27,S$4)))</f>
        <v>0</v>
      </c>
      <c r="T423" s="26" t="n">
        <f aca="false">IF(INDEX(Pengaturan!$B$8:$B$27,T$4)="",0,COUNTIF(Data!$B423:$U423,INDEX(Pengaturan!$B$8:$B$27,T$4)))</f>
        <v>0</v>
      </c>
      <c r="U423" s="26" t="n">
        <f aca="false">IF(INDEX(Pengaturan!$B$8:$B$27,U$4)="",0,COUNTIF(Data!$B423:$U423,INDEX(Pengaturan!$B$8:$B$27,U$4)))</f>
        <v>0</v>
      </c>
      <c r="V423" s="26" t="n">
        <f aca="false">COUNTA(Data!$B423:$U423)</f>
        <v>0</v>
      </c>
      <c r="W423" s="27" t="str">
        <f aca="false">IF(V423=0,"",IF(V423&lt;&gt;Hasil!$C$4,"Data kosong/tidak lengkap",IF(SUM(B423:U423)&lt;&gt;V423,"Kategori tidak dikenal","OK")))</f>
        <v/>
      </c>
      <c r="X423" s="26" t="n">
        <f aca="false">IF(OR(W423="",W423="OK"),0,1)</f>
        <v>0</v>
      </c>
    </row>
    <row r="424" customFormat="false" ht="15" hidden="false" customHeight="false" outlineLevel="0" collapsed="false">
      <c r="A424" s="26" t="n">
        <f aca="false">Data!A424</f>
        <v>419</v>
      </c>
      <c r="B424" s="26" t="n">
        <f aca="false">IF(INDEX(Pengaturan!$B$8:$B$27,B$4)="",0,COUNTIF(Data!$B424:$U424,INDEX(Pengaturan!$B$8:$B$27,B$4)))</f>
        <v>0</v>
      </c>
      <c r="C424" s="26" t="n">
        <f aca="false">IF(INDEX(Pengaturan!$B$8:$B$27,C$4)="",0,COUNTIF(Data!$B424:$U424,INDEX(Pengaturan!$B$8:$B$27,C$4)))</f>
        <v>0</v>
      </c>
      <c r="D424" s="26" t="n">
        <f aca="false">IF(INDEX(Pengaturan!$B$8:$B$27,D$4)="",0,COUNTIF(Data!$B424:$U424,INDEX(Pengaturan!$B$8:$B$27,D$4)))</f>
        <v>0</v>
      </c>
      <c r="E424" s="26" t="n">
        <f aca="false">IF(INDEX(Pengaturan!$B$8:$B$27,E$4)="",0,COUNTIF(Data!$B424:$U424,INDEX(Pengaturan!$B$8:$B$27,E$4)))</f>
        <v>0</v>
      </c>
      <c r="F424" s="26" t="n">
        <f aca="false">IF(INDEX(Pengaturan!$B$8:$B$27,F$4)="",0,COUNTIF(Data!$B424:$U424,INDEX(Pengaturan!$B$8:$B$27,F$4)))</f>
        <v>0</v>
      </c>
      <c r="G424" s="26" t="n">
        <f aca="false">IF(INDEX(Pengaturan!$B$8:$B$27,G$4)="",0,COUNTIF(Data!$B424:$U424,INDEX(Pengaturan!$B$8:$B$27,G$4)))</f>
        <v>0</v>
      </c>
      <c r="H424" s="26" t="n">
        <f aca="false">IF(INDEX(Pengaturan!$B$8:$B$27,H$4)="",0,COUNTIF(Data!$B424:$U424,INDEX(Pengaturan!$B$8:$B$27,H$4)))</f>
        <v>0</v>
      </c>
      <c r="I424" s="26" t="n">
        <f aca="false">IF(INDEX(Pengaturan!$B$8:$B$27,I$4)="",0,COUNTIF(Data!$B424:$U424,INDEX(Pengaturan!$B$8:$B$27,I$4)))</f>
        <v>0</v>
      </c>
      <c r="J424" s="26" t="n">
        <f aca="false">IF(INDEX(Pengaturan!$B$8:$B$27,J$4)="",0,COUNTIF(Data!$B424:$U424,INDEX(Pengaturan!$B$8:$B$27,J$4)))</f>
        <v>0</v>
      </c>
      <c r="K424" s="26" t="n">
        <f aca="false">IF(INDEX(Pengaturan!$B$8:$B$27,K$4)="",0,COUNTIF(Data!$B424:$U424,INDEX(Pengaturan!$B$8:$B$27,K$4)))</f>
        <v>0</v>
      </c>
      <c r="L424" s="26" t="n">
        <f aca="false">IF(INDEX(Pengaturan!$B$8:$B$27,L$4)="",0,COUNTIF(Data!$B424:$U424,INDEX(Pengaturan!$B$8:$B$27,L$4)))</f>
        <v>0</v>
      </c>
      <c r="M424" s="26" t="n">
        <f aca="false">IF(INDEX(Pengaturan!$B$8:$B$27,M$4)="",0,COUNTIF(Data!$B424:$U424,INDEX(Pengaturan!$B$8:$B$27,M$4)))</f>
        <v>0</v>
      </c>
      <c r="N424" s="26" t="n">
        <f aca="false">IF(INDEX(Pengaturan!$B$8:$B$27,N$4)="",0,COUNTIF(Data!$B424:$U424,INDEX(Pengaturan!$B$8:$B$27,N$4)))</f>
        <v>0</v>
      </c>
      <c r="O424" s="26" t="n">
        <f aca="false">IF(INDEX(Pengaturan!$B$8:$B$27,O$4)="",0,COUNTIF(Data!$B424:$U424,INDEX(Pengaturan!$B$8:$B$27,O$4)))</f>
        <v>0</v>
      </c>
      <c r="P424" s="26" t="n">
        <f aca="false">IF(INDEX(Pengaturan!$B$8:$B$27,P$4)="",0,COUNTIF(Data!$B424:$U424,INDEX(Pengaturan!$B$8:$B$27,P$4)))</f>
        <v>0</v>
      </c>
      <c r="Q424" s="26" t="n">
        <f aca="false">IF(INDEX(Pengaturan!$B$8:$B$27,Q$4)="",0,COUNTIF(Data!$B424:$U424,INDEX(Pengaturan!$B$8:$B$27,Q$4)))</f>
        <v>0</v>
      </c>
      <c r="R424" s="26" t="n">
        <f aca="false">IF(INDEX(Pengaturan!$B$8:$B$27,R$4)="",0,COUNTIF(Data!$B424:$U424,INDEX(Pengaturan!$B$8:$B$27,R$4)))</f>
        <v>0</v>
      </c>
      <c r="S424" s="26" t="n">
        <f aca="false">IF(INDEX(Pengaturan!$B$8:$B$27,S$4)="",0,COUNTIF(Data!$B424:$U424,INDEX(Pengaturan!$B$8:$B$27,S$4)))</f>
        <v>0</v>
      </c>
      <c r="T424" s="26" t="n">
        <f aca="false">IF(INDEX(Pengaturan!$B$8:$B$27,T$4)="",0,COUNTIF(Data!$B424:$U424,INDEX(Pengaturan!$B$8:$B$27,T$4)))</f>
        <v>0</v>
      </c>
      <c r="U424" s="26" t="n">
        <f aca="false">IF(INDEX(Pengaturan!$B$8:$B$27,U$4)="",0,COUNTIF(Data!$B424:$U424,INDEX(Pengaturan!$B$8:$B$27,U$4)))</f>
        <v>0</v>
      </c>
      <c r="V424" s="26" t="n">
        <f aca="false">COUNTA(Data!$B424:$U424)</f>
        <v>0</v>
      </c>
      <c r="W424" s="27" t="str">
        <f aca="false">IF(V424=0,"",IF(V424&lt;&gt;Hasil!$C$4,"Data kosong/tidak lengkap",IF(SUM(B424:U424)&lt;&gt;V424,"Kategori tidak dikenal","OK")))</f>
        <v/>
      </c>
      <c r="X424" s="26" t="n">
        <f aca="false">IF(OR(W424="",W424="OK"),0,1)</f>
        <v>0</v>
      </c>
    </row>
    <row r="425" customFormat="false" ht="15" hidden="false" customHeight="false" outlineLevel="0" collapsed="false">
      <c r="A425" s="26" t="n">
        <f aca="false">Data!A425</f>
        <v>420</v>
      </c>
      <c r="B425" s="26" t="n">
        <f aca="false">IF(INDEX(Pengaturan!$B$8:$B$27,B$4)="",0,COUNTIF(Data!$B425:$U425,INDEX(Pengaturan!$B$8:$B$27,B$4)))</f>
        <v>0</v>
      </c>
      <c r="C425" s="26" t="n">
        <f aca="false">IF(INDEX(Pengaturan!$B$8:$B$27,C$4)="",0,COUNTIF(Data!$B425:$U425,INDEX(Pengaturan!$B$8:$B$27,C$4)))</f>
        <v>0</v>
      </c>
      <c r="D425" s="26" t="n">
        <f aca="false">IF(INDEX(Pengaturan!$B$8:$B$27,D$4)="",0,COUNTIF(Data!$B425:$U425,INDEX(Pengaturan!$B$8:$B$27,D$4)))</f>
        <v>0</v>
      </c>
      <c r="E425" s="26" t="n">
        <f aca="false">IF(INDEX(Pengaturan!$B$8:$B$27,E$4)="",0,COUNTIF(Data!$B425:$U425,INDEX(Pengaturan!$B$8:$B$27,E$4)))</f>
        <v>0</v>
      </c>
      <c r="F425" s="26" t="n">
        <f aca="false">IF(INDEX(Pengaturan!$B$8:$B$27,F$4)="",0,COUNTIF(Data!$B425:$U425,INDEX(Pengaturan!$B$8:$B$27,F$4)))</f>
        <v>0</v>
      </c>
      <c r="G425" s="26" t="n">
        <f aca="false">IF(INDEX(Pengaturan!$B$8:$B$27,G$4)="",0,COUNTIF(Data!$B425:$U425,INDEX(Pengaturan!$B$8:$B$27,G$4)))</f>
        <v>0</v>
      </c>
      <c r="H425" s="26" t="n">
        <f aca="false">IF(INDEX(Pengaturan!$B$8:$B$27,H$4)="",0,COUNTIF(Data!$B425:$U425,INDEX(Pengaturan!$B$8:$B$27,H$4)))</f>
        <v>0</v>
      </c>
      <c r="I425" s="26" t="n">
        <f aca="false">IF(INDEX(Pengaturan!$B$8:$B$27,I$4)="",0,COUNTIF(Data!$B425:$U425,INDEX(Pengaturan!$B$8:$B$27,I$4)))</f>
        <v>0</v>
      </c>
      <c r="J425" s="26" t="n">
        <f aca="false">IF(INDEX(Pengaturan!$B$8:$B$27,J$4)="",0,COUNTIF(Data!$B425:$U425,INDEX(Pengaturan!$B$8:$B$27,J$4)))</f>
        <v>0</v>
      </c>
      <c r="K425" s="26" t="n">
        <f aca="false">IF(INDEX(Pengaturan!$B$8:$B$27,K$4)="",0,COUNTIF(Data!$B425:$U425,INDEX(Pengaturan!$B$8:$B$27,K$4)))</f>
        <v>0</v>
      </c>
      <c r="L425" s="26" t="n">
        <f aca="false">IF(INDEX(Pengaturan!$B$8:$B$27,L$4)="",0,COUNTIF(Data!$B425:$U425,INDEX(Pengaturan!$B$8:$B$27,L$4)))</f>
        <v>0</v>
      </c>
      <c r="M425" s="26" t="n">
        <f aca="false">IF(INDEX(Pengaturan!$B$8:$B$27,M$4)="",0,COUNTIF(Data!$B425:$U425,INDEX(Pengaturan!$B$8:$B$27,M$4)))</f>
        <v>0</v>
      </c>
      <c r="N425" s="26" t="n">
        <f aca="false">IF(INDEX(Pengaturan!$B$8:$B$27,N$4)="",0,COUNTIF(Data!$B425:$U425,INDEX(Pengaturan!$B$8:$B$27,N$4)))</f>
        <v>0</v>
      </c>
      <c r="O425" s="26" t="n">
        <f aca="false">IF(INDEX(Pengaturan!$B$8:$B$27,O$4)="",0,COUNTIF(Data!$B425:$U425,INDEX(Pengaturan!$B$8:$B$27,O$4)))</f>
        <v>0</v>
      </c>
      <c r="P425" s="26" t="n">
        <f aca="false">IF(INDEX(Pengaturan!$B$8:$B$27,P$4)="",0,COUNTIF(Data!$B425:$U425,INDEX(Pengaturan!$B$8:$B$27,P$4)))</f>
        <v>0</v>
      </c>
      <c r="Q425" s="26" t="n">
        <f aca="false">IF(INDEX(Pengaturan!$B$8:$B$27,Q$4)="",0,COUNTIF(Data!$B425:$U425,INDEX(Pengaturan!$B$8:$B$27,Q$4)))</f>
        <v>0</v>
      </c>
      <c r="R425" s="26" t="n">
        <f aca="false">IF(INDEX(Pengaturan!$B$8:$B$27,R$4)="",0,COUNTIF(Data!$B425:$U425,INDEX(Pengaturan!$B$8:$B$27,R$4)))</f>
        <v>0</v>
      </c>
      <c r="S425" s="26" t="n">
        <f aca="false">IF(INDEX(Pengaturan!$B$8:$B$27,S$4)="",0,COUNTIF(Data!$B425:$U425,INDEX(Pengaturan!$B$8:$B$27,S$4)))</f>
        <v>0</v>
      </c>
      <c r="T425" s="26" t="n">
        <f aca="false">IF(INDEX(Pengaturan!$B$8:$B$27,T$4)="",0,COUNTIF(Data!$B425:$U425,INDEX(Pengaturan!$B$8:$B$27,T$4)))</f>
        <v>0</v>
      </c>
      <c r="U425" s="26" t="n">
        <f aca="false">IF(INDEX(Pengaturan!$B$8:$B$27,U$4)="",0,COUNTIF(Data!$B425:$U425,INDEX(Pengaturan!$B$8:$B$27,U$4)))</f>
        <v>0</v>
      </c>
      <c r="V425" s="26" t="n">
        <f aca="false">COUNTA(Data!$B425:$U425)</f>
        <v>0</v>
      </c>
      <c r="W425" s="27" t="str">
        <f aca="false">IF(V425=0,"",IF(V425&lt;&gt;Hasil!$C$4,"Data kosong/tidak lengkap",IF(SUM(B425:U425)&lt;&gt;V425,"Kategori tidak dikenal","OK")))</f>
        <v/>
      </c>
      <c r="X425" s="26" t="n">
        <f aca="false">IF(OR(W425="",W425="OK"),0,1)</f>
        <v>0</v>
      </c>
    </row>
    <row r="426" customFormat="false" ht="15" hidden="false" customHeight="false" outlineLevel="0" collapsed="false">
      <c r="A426" s="26" t="n">
        <f aca="false">Data!A426</f>
        <v>421</v>
      </c>
      <c r="B426" s="26" t="n">
        <f aca="false">IF(INDEX(Pengaturan!$B$8:$B$27,B$4)="",0,COUNTIF(Data!$B426:$U426,INDEX(Pengaturan!$B$8:$B$27,B$4)))</f>
        <v>0</v>
      </c>
      <c r="C426" s="26" t="n">
        <f aca="false">IF(INDEX(Pengaturan!$B$8:$B$27,C$4)="",0,COUNTIF(Data!$B426:$U426,INDEX(Pengaturan!$B$8:$B$27,C$4)))</f>
        <v>0</v>
      </c>
      <c r="D426" s="26" t="n">
        <f aca="false">IF(INDEX(Pengaturan!$B$8:$B$27,D$4)="",0,COUNTIF(Data!$B426:$U426,INDEX(Pengaturan!$B$8:$B$27,D$4)))</f>
        <v>0</v>
      </c>
      <c r="E426" s="26" t="n">
        <f aca="false">IF(INDEX(Pengaturan!$B$8:$B$27,E$4)="",0,COUNTIF(Data!$B426:$U426,INDEX(Pengaturan!$B$8:$B$27,E$4)))</f>
        <v>0</v>
      </c>
      <c r="F426" s="26" t="n">
        <f aca="false">IF(INDEX(Pengaturan!$B$8:$B$27,F$4)="",0,COUNTIF(Data!$B426:$U426,INDEX(Pengaturan!$B$8:$B$27,F$4)))</f>
        <v>0</v>
      </c>
      <c r="G426" s="26" t="n">
        <f aca="false">IF(INDEX(Pengaturan!$B$8:$B$27,G$4)="",0,COUNTIF(Data!$B426:$U426,INDEX(Pengaturan!$B$8:$B$27,G$4)))</f>
        <v>0</v>
      </c>
      <c r="H426" s="26" t="n">
        <f aca="false">IF(INDEX(Pengaturan!$B$8:$B$27,H$4)="",0,COUNTIF(Data!$B426:$U426,INDEX(Pengaturan!$B$8:$B$27,H$4)))</f>
        <v>0</v>
      </c>
      <c r="I426" s="26" t="n">
        <f aca="false">IF(INDEX(Pengaturan!$B$8:$B$27,I$4)="",0,COUNTIF(Data!$B426:$U426,INDEX(Pengaturan!$B$8:$B$27,I$4)))</f>
        <v>0</v>
      </c>
      <c r="J426" s="26" t="n">
        <f aca="false">IF(INDEX(Pengaturan!$B$8:$B$27,J$4)="",0,COUNTIF(Data!$B426:$U426,INDEX(Pengaturan!$B$8:$B$27,J$4)))</f>
        <v>0</v>
      </c>
      <c r="K426" s="26" t="n">
        <f aca="false">IF(INDEX(Pengaturan!$B$8:$B$27,K$4)="",0,COUNTIF(Data!$B426:$U426,INDEX(Pengaturan!$B$8:$B$27,K$4)))</f>
        <v>0</v>
      </c>
      <c r="L426" s="26" t="n">
        <f aca="false">IF(INDEX(Pengaturan!$B$8:$B$27,L$4)="",0,COUNTIF(Data!$B426:$U426,INDEX(Pengaturan!$B$8:$B$27,L$4)))</f>
        <v>0</v>
      </c>
      <c r="M426" s="26" t="n">
        <f aca="false">IF(INDEX(Pengaturan!$B$8:$B$27,M$4)="",0,COUNTIF(Data!$B426:$U426,INDEX(Pengaturan!$B$8:$B$27,M$4)))</f>
        <v>0</v>
      </c>
      <c r="N426" s="26" t="n">
        <f aca="false">IF(INDEX(Pengaturan!$B$8:$B$27,N$4)="",0,COUNTIF(Data!$B426:$U426,INDEX(Pengaturan!$B$8:$B$27,N$4)))</f>
        <v>0</v>
      </c>
      <c r="O426" s="26" t="n">
        <f aca="false">IF(INDEX(Pengaturan!$B$8:$B$27,O$4)="",0,COUNTIF(Data!$B426:$U426,INDEX(Pengaturan!$B$8:$B$27,O$4)))</f>
        <v>0</v>
      </c>
      <c r="P426" s="26" t="n">
        <f aca="false">IF(INDEX(Pengaturan!$B$8:$B$27,P$4)="",0,COUNTIF(Data!$B426:$U426,INDEX(Pengaturan!$B$8:$B$27,P$4)))</f>
        <v>0</v>
      </c>
      <c r="Q426" s="26" t="n">
        <f aca="false">IF(INDEX(Pengaturan!$B$8:$B$27,Q$4)="",0,COUNTIF(Data!$B426:$U426,INDEX(Pengaturan!$B$8:$B$27,Q$4)))</f>
        <v>0</v>
      </c>
      <c r="R426" s="26" t="n">
        <f aca="false">IF(INDEX(Pengaturan!$B$8:$B$27,R$4)="",0,COUNTIF(Data!$B426:$U426,INDEX(Pengaturan!$B$8:$B$27,R$4)))</f>
        <v>0</v>
      </c>
      <c r="S426" s="26" t="n">
        <f aca="false">IF(INDEX(Pengaturan!$B$8:$B$27,S$4)="",0,COUNTIF(Data!$B426:$U426,INDEX(Pengaturan!$B$8:$B$27,S$4)))</f>
        <v>0</v>
      </c>
      <c r="T426" s="26" t="n">
        <f aca="false">IF(INDEX(Pengaturan!$B$8:$B$27,T$4)="",0,COUNTIF(Data!$B426:$U426,INDEX(Pengaturan!$B$8:$B$27,T$4)))</f>
        <v>0</v>
      </c>
      <c r="U426" s="26" t="n">
        <f aca="false">IF(INDEX(Pengaturan!$B$8:$B$27,U$4)="",0,COUNTIF(Data!$B426:$U426,INDEX(Pengaturan!$B$8:$B$27,U$4)))</f>
        <v>0</v>
      </c>
      <c r="V426" s="26" t="n">
        <f aca="false">COUNTA(Data!$B426:$U426)</f>
        <v>0</v>
      </c>
      <c r="W426" s="27" t="str">
        <f aca="false">IF(V426=0,"",IF(V426&lt;&gt;Hasil!$C$4,"Data kosong/tidak lengkap",IF(SUM(B426:U426)&lt;&gt;V426,"Kategori tidak dikenal","OK")))</f>
        <v/>
      </c>
      <c r="X426" s="26" t="n">
        <f aca="false">IF(OR(W426="",W426="OK"),0,1)</f>
        <v>0</v>
      </c>
    </row>
    <row r="427" customFormat="false" ht="15" hidden="false" customHeight="false" outlineLevel="0" collapsed="false">
      <c r="A427" s="26" t="n">
        <f aca="false">Data!A427</f>
        <v>422</v>
      </c>
      <c r="B427" s="26" t="n">
        <f aca="false">IF(INDEX(Pengaturan!$B$8:$B$27,B$4)="",0,COUNTIF(Data!$B427:$U427,INDEX(Pengaturan!$B$8:$B$27,B$4)))</f>
        <v>0</v>
      </c>
      <c r="C427" s="26" t="n">
        <f aca="false">IF(INDEX(Pengaturan!$B$8:$B$27,C$4)="",0,COUNTIF(Data!$B427:$U427,INDEX(Pengaturan!$B$8:$B$27,C$4)))</f>
        <v>0</v>
      </c>
      <c r="D427" s="26" t="n">
        <f aca="false">IF(INDEX(Pengaturan!$B$8:$B$27,D$4)="",0,COUNTIF(Data!$B427:$U427,INDEX(Pengaturan!$B$8:$B$27,D$4)))</f>
        <v>0</v>
      </c>
      <c r="E427" s="26" t="n">
        <f aca="false">IF(INDEX(Pengaturan!$B$8:$B$27,E$4)="",0,COUNTIF(Data!$B427:$U427,INDEX(Pengaturan!$B$8:$B$27,E$4)))</f>
        <v>0</v>
      </c>
      <c r="F427" s="26" t="n">
        <f aca="false">IF(INDEX(Pengaturan!$B$8:$B$27,F$4)="",0,COUNTIF(Data!$B427:$U427,INDEX(Pengaturan!$B$8:$B$27,F$4)))</f>
        <v>0</v>
      </c>
      <c r="G427" s="26" t="n">
        <f aca="false">IF(INDEX(Pengaturan!$B$8:$B$27,G$4)="",0,COUNTIF(Data!$B427:$U427,INDEX(Pengaturan!$B$8:$B$27,G$4)))</f>
        <v>0</v>
      </c>
      <c r="H427" s="26" t="n">
        <f aca="false">IF(INDEX(Pengaturan!$B$8:$B$27,H$4)="",0,COUNTIF(Data!$B427:$U427,INDEX(Pengaturan!$B$8:$B$27,H$4)))</f>
        <v>0</v>
      </c>
      <c r="I427" s="26" t="n">
        <f aca="false">IF(INDEX(Pengaturan!$B$8:$B$27,I$4)="",0,COUNTIF(Data!$B427:$U427,INDEX(Pengaturan!$B$8:$B$27,I$4)))</f>
        <v>0</v>
      </c>
      <c r="J427" s="26" t="n">
        <f aca="false">IF(INDEX(Pengaturan!$B$8:$B$27,J$4)="",0,COUNTIF(Data!$B427:$U427,INDEX(Pengaturan!$B$8:$B$27,J$4)))</f>
        <v>0</v>
      </c>
      <c r="K427" s="26" t="n">
        <f aca="false">IF(INDEX(Pengaturan!$B$8:$B$27,K$4)="",0,COUNTIF(Data!$B427:$U427,INDEX(Pengaturan!$B$8:$B$27,K$4)))</f>
        <v>0</v>
      </c>
      <c r="L427" s="26" t="n">
        <f aca="false">IF(INDEX(Pengaturan!$B$8:$B$27,L$4)="",0,COUNTIF(Data!$B427:$U427,INDEX(Pengaturan!$B$8:$B$27,L$4)))</f>
        <v>0</v>
      </c>
      <c r="M427" s="26" t="n">
        <f aca="false">IF(INDEX(Pengaturan!$B$8:$B$27,M$4)="",0,COUNTIF(Data!$B427:$U427,INDEX(Pengaturan!$B$8:$B$27,M$4)))</f>
        <v>0</v>
      </c>
      <c r="N427" s="26" t="n">
        <f aca="false">IF(INDEX(Pengaturan!$B$8:$B$27,N$4)="",0,COUNTIF(Data!$B427:$U427,INDEX(Pengaturan!$B$8:$B$27,N$4)))</f>
        <v>0</v>
      </c>
      <c r="O427" s="26" t="n">
        <f aca="false">IF(INDEX(Pengaturan!$B$8:$B$27,O$4)="",0,COUNTIF(Data!$B427:$U427,INDEX(Pengaturan!$B$8:$B$27,O$4)))</f>
        <v>0</v>
      </c>
      <c r="P427" s="26" t="n">
        <f aca="false">IF(INDEX(Pengaturan!$B$8:$B$27,P$4)="",0,COUNTIF(Data!$B427:$U427,INDEX(Pengaturan!$B$8:$B$27,P$4)))</f>
        <v>0</v>
      </c>
      <c r="Q427" s="26" t="n">
        <f aca="false">IF(INDEX(Pengaturan!$B$8:$B$27,Q$4)="",0,COUNTIF(Data!$B427:$U427,INDEX(Pengaturan!$B$8:$B$27,Q$4)))</f>
        <v>0</v>
      </c>
      <c r="R427" s="26" t="n">
        <f aca="false">IF(INDEX(Pengaturan!$B$8:$B$27,R$4)="",0,COUNTIF(Data!$B427:$U427,INDEX(Pengaturan!$B$8:$B$27,R$4)))</f>
        <v>0</v>
      </c>
      <c r="S427" s="26" t="n">
        <f aca="false">IF(INDEX(Pengaturan!$B$8:$B$27,S$4)="",0,COUNTIF(Data!$B427:$U427,INDEX(Pengaturan!$B$8:$B$27,S$4)))</f>
        <v>0</v>
      </c>
      <c r="T427" s="26" t="n">
        <f aca="false">IF(INDEX(Pengaturan!$B$8:$B$27,T$4)="",0,COUNTIF(Data!$B427:$U427,INDEX(Pengaturan!$B$8:$B$27,T$4)))</f>
        <v>0</v>
      </c>
      <c r="U427" s="26" t="n">
        <f aca="false">IF(INDEX(Pengaturan!$B$8:$B$27,U$4)="",0,COUNTIF(Data!$B427:$U427,INDEX(Pengaturan!$B$8:$B$27,U$4)))</f>
        <v>0</v>
      </c>
      <c r="V427" s="26" t="n">
        <f aca="false">COUNTA(Data!$B427:$U427)</f>
        <v>0</v>
      </c>
      <c r="W427" s="27" t="str">
        <f aca="false">IF(V427=0,"",IF(V427&lt;&gt;Hasil!$C$4,"Data kosong/tidak lengkap",IF(SUM(B427:U427)&lt;&gt;V427,"Kategori tidak dikenal","OK")))</f>
        <v/>
      </c>
      <c r="X427" s="26" t="n">
        <f aca="false">IF(OR(W427="",W427="OK"),0,1)</f>
        <v>0</v>
      </c>
    </row>
    <row r="428" customFormat="false" ht="15" hidden="false" customHeight="false" outlineLevel="0" collapsed="false">
      <c r="A428" s="26" t="n">
        <f aca="false">Data!A428</f>
        <v>423</v>
      </c>
      <c r="B428" s="26" t="n">
        <f aca="false">IF(INDEX(Pengaturan!$B$8:$B$27,B$4)="",0,COUNTIF(Data!$B428:$U428,INDEX(Pengaturan!$B$8:$B$27,B$4)))</f>
        <v>0</v>
      </c>
      <c r="C428" s="26" t="n">
        <f aca="false">IF(INDEX(Pengaturan!$B$8:$B$27,C$4)="",0,COUNTIF(Data!$B428:$U428,INDEX(Pengaturan!$B$8:$B$27,C$4)))</f>
        <v>0</v>
      </c>
      <c r="D428" s="26" t="n">
        <f aca="false">IF(INDEX(Pengaturan!$B$8:$B$27,D$4)="",0,COUNTIF(Data!$B428:$U428,INDEX(Pengaturan!$B$8:$B$27,D$4)))</f>
        <v>0</v>
      </c>
      <c r="E428" s="26" t="n">
        <f aca="false">IF(INDEX(Pengaturan!$B$8:$B$27,E$4)="",0,COUNTIF(Data!$B428:$U428,INDEX(Pengaturan!$B$8:$B$27,E$4)))</f>
        <v>0</v>
      </c>
      <c r="F428" s="26" t="n">
        <f aca="false">IF(INDEX(Pengaturan!$B$8:$B$27,F$4)="",0,COUNTIF(Data!$B428:$U428,INDEX(Pengaturan!$B$8:$B$27,F$4)))</f>
        <v>0</v>
      </c>
      <c r="G428" s="26" t="n">
        <f aca="false">IF(INDEX(Pengaturan!$B$8:$B$27,G$4)="",0,COUNTIF(Data!$B428:$U428,INDEX(Pengaturan!$B$8:$B$27,G$4)))</f>
        <v>0</v>
      </c>
      <c r="H428" s="26" t="n">
        <f aca="false">IF(INDEX(Pengaturan!$B$8:$B$27,H$4)="",0,COUNTIF(Data!$B428:$U428,INDEX(Pengaturan!$B$8:$B$27,H$4)))</f>
        <v>0</v>
      </c>
      <c r="I428" s="26" t="n">
        <f aca="false">IF(INDEX(Pengaturan!$B$8:$B$27,I$4)="",0,COUNTIF(Data!$B428:$U428,INDEX(Pengaturan!$B$8:$B$27,I$4)))</f>
        <v>0</v>
      </c>
      <c r="J428" s="26" t="n">
        <f aca="false">IF(INDEX(Pengaturan!$B$8:$B$27,J$4)="",0,COUNTIF(Data!$B428:$U428,INDEX(Pengaturan!$B$8:$B$27,J$4)))</f>
        <v>0</v>
      </c>
      <c r="K428" s="26" t="n">
        <f aca="false">IF(INDEX(Pengaturan!$B$8:$B$27,K$4)="",0,COUNTIF(Data!$B428:$U428,INDEX(Pengaturan!$B$8:$B$27,K$4)))</f>
        <v>0</v>
      </c>
      <c r="L428" s="26" t="n">
        <f aca="false">IF(INDEX(Pengaturan!$B$8:$B$27,L$4)="",0,COUNTIF(Data!$B428:$U428,INDEX(Pengaturan!$B$8:$B$27,L$4)))</f>
        <v>0</v>
      </c>
      <c r="M428" s="26" t="n">
        <f aca="false">IF(INDEX(Pengaturan!$B$8:$B$27,M$4)="",0,COUNTIF(Data!$B428:$U428,INDEX(Pengaturan!$B$8:$B$27,M$4)))</f>
        <v>0</v>
      </c>
      <c r="N428" s="26" t="n">
        <f aca="false">IF(INDEX(Pengaturan!$B$8:$B$27,N$4)="",0,COUNTIF(Data!$B428:$U428,INDEX(Pengaturan!$B$8:$B$27,N$4)))</f>
        <v>0</v>
      </c>
      <c r="O428" s="26" t="n">
        <f aca="false">IF(INDEX(Pengaturan!$B$8:$B$27,O$4)="",0,COUNTIF(Data!$B428:$U428,INDEX(Pengaturan!$B$8:$B$27,O$4)))</f>
        <v>0</v>
      </c>
      <c r="P428" s="26" t="n">
        <f aca="false">IF(INDEX(Pengaturan!$B$8:$B$27,P$4)="",0,COUNTIF(Data!$B428:$U428,INDEX(Pengaturan!$B$8:$B$27,P$4)))</f>
        <v>0</v>
      </c>
      <c r="Q428" s="26" t="n">
        <f aca="false">IF(INDEX(Pengaturan!$B$8:$B$27,Q$4)="",0,COUNTIF(Data!$B428:$U428,INDEX(Pengaturan!$B$8:$B$27,Q$4)))</f>
        <v>0</v>
      </c>
      <c r="R428" s="26" t="n">
        <f aca="false">IF(INDEX(Pengaturan!$B$8:$B$27,R$4)="",0,COUNTIF(Data!$B428:$U428,INDEX(Pengaturan!$B$8:$B$27,R$4)))</f>
        <v>0</v>
      </c>
      <c r="S428" s="26" t="n">
        <f aca="false">IF(INDEX(Pengaturan!$B$8:$B$27,S$4)="",0,COUNTIF(Data!$B428:$U428,INDEX(Pengaturan!$B$8:$B$27,S$4)))</f>
        <v>0</v>
      </c>
      <c r="T428" s="26" t="n">
        <f aca="false">IF(INDEX(Pengaturan!$B$8:$B$27,T$4)="",0,COUNTIF(Data!$B428:$U428,INDEX(Pengaturan!$B$8:$B$27,T$4)))</f>
        <v>0</v>
      </c>
      <c r="U428" s="26" t="n">
        <f aca="false">IF(INDEX(Pengaturan!$B$8:$B$27,U$4)="",0,COUNTIF(Data!$B428:$U428,INDEX(Pengaturan!$B$8:$B$27,U$4)))</f>
        <v>0</v>
      </c>
      <c r="V428" s="26" t="n">
        <f aca="false">COUNTA(Data!$B428:$U428)</f>
        <v>0</v>
      </c>
      <c r="W428" s="27" t="str">
        <f aca="false">IF(V428=0,"",IF(V428&lt;&gt;Hasil!$C$4,"Data kosong/tidak lengkap",IF(SUM(B428:U428)&lt;&gt;V428,"Kategori tidak dikenal","OK")))</f>
        <v/>
      </c>
      <c r="X428" s="26" t="n">
        <f aca="false">IF(OR(W428="",W428="OK"),0,1)</f>
        <v>0</v>
      </c>
    </row>
    <row r="429" customFormat="false" ht="15" hidden="false" customHeight="false" outlineLevel="0" collapsed="false">
      <c r="A429" s="26" t="n">
        <f aca="false">Data!A429</f>
        <v>424</v>
      </c>
      <c r="B429" s="26" t="n">
        <f aca="false">IF(INDEX(Pengaturan!$B$8:$B$27,B$4)="",0,COUNTIF(Data!$B429:$U429,INDEX(Pengaturan!$B$8:$B$27,B$4)))</f>
        <v>0</v>
      </c>
      <c r="C429" s="26" t="n">
        <f aca="false">IF(INDEX(Pengaturan!$B$8:$B$27,C$4)="",0,COUNTIF(Data!$B429:$U429,INDEX(Pengaturan!$B$8:$B$27,C$4)))</f>
        <v>0</v>
      </c>
      <c r="D429" s="26" t="n">
        <f aca="false">IF(INDEX(Pengaturan!$B$8:$B$27,D$4)="",0,COUNTIF(Data!$B429:$U429,INDEX(Pengaturan!$B$8:$B$27,D$4)))</f>
        <v>0</v>
      </c>
      <c r="E429" s="26" t="n">
        <f aca="false">IF(INDEX(Pengaturan!$B$8:$B$27,E$4)="",0,COUNTIF(Data!$B429:$U429,INDEX(Pengaturan!$B$8:$B$27,E$4)))</f>
        <v>0</v>
      </c>
      <c r="F429" s="26" t="n">
        <f aca="false">IF(INDEX(Pengaturan!$B$8:$B$27,F$4)="",0,COUNTIF(Data!$B429:$U429,INDEX(Pengaturan!$B$8:$B$27,F$4)))</f>
        <v>0</v>
      </c>
      <c r="G429" s="26" t="n">
        <f aca="false">IF(INDEX(Pengaturan!$B$8:$B$27,G$4)="",0,COUNTIF(Data!$B429:$U429,INDEX(Pengaturan!$B$8:$B$27,G$4)))</f>
        <v>0</v>
      </c>
      <c r="H429" s="26" t="n">
        <f aca="false">IF(INDEX(Pengaturan!$B$8:$B$27,H$4)="",0,COUNTIF(Data!$B429:$U429,INDEX(Pengaturan!$B$8:$B$27,H$4)))</f>
        <v>0</v>
      </c>
      <c r="I429" s="26" t="n">
        <f aca="false">IF(INDEX(Pengaturan!$B$8:$B$27,I$4)="",0,COUNTIF(Data!$B429:$U429,INDEX(Pengaturan!$B$8:$B$27,I$4)))</f>
        <v>0</v>
      </c>
      <c r="J429" s="26" t="n">
        <f aca="false">IF(INDEX(Pengaturan!$B$8:$B$27,J$4)="",0,COUNTIF(Data!$B429:$U429,INDEX(Pengaturan!$B$8:$B$27,J$4)))</f>
        <v>0</v>
      </c>
      <c r="K429" s="26" t="n">
        <f aca="false">IF(INDEX(Pengaturan!$B$8:$B$27,K$4)="",0,COUNTIF(Data!$B429:$U429,INDEX(Pengaturan!$B$8:$B$27,K$4)))</f>
        <v>0</v>
      </c>
      <c r="L429" s="26" t="n">
        <f aca="false">IF(INDEX(Pengaturan!$B$8:$B$27,L$4)="",0,COUNTIF(Data!$B429:$U429,INDEX(Pengaturan!$B$8:$B$27,L$4)))</f>
        <v>0</v>
      </c>
      <c r="M429" s="26" t="n">
        <f aca="false">IF(INDEX(Pengaturan!$B$8:$B$27,M$4)="",0,COUNTIF(Data!$B429:$U429,INDEX(Pengaturan!$B$8:$B$27,M$4)))</f>
        <v>0</v>
      </c>
      <c r="N429" s="26" t="n">
        <f aca="false">IF(INDEX(Pengaturan!$B$8:$B$27,N$4)="",0,COUNTIF(Data!$B429:$U429,INDEX(Pengaturan!$B$8:$B$27,N$4)))</f>
        <v>0</v>
      </c>
      <c r="O429" s="26" t="n">
        <f aca="false">IF(INDEX(Pengaturan!$B$8:$B$27,O$4)="",0,COUNTIF(Data!$B429:$U429,INDEX(Pengaturan!$B$8:$B$27,O$4)))</f>
        <v>0</v>
      </c>
      <c r="P429" s="26" t="n">
        <f aca="false">IF(INDEX(Pengaturan!$B$8:$B$27,P$4)="",0,COUNTIF(Data!$B429:$U429,INDEX(Pengaturan!$B$8:$B$27,P$4)))</f>
        <v>0</v>
      </c>
      <c r="Q429" s="26" t="n">
        <f aca="false">IF(INDEX(Pengaturan!$B$8:$B$27,Q$4)="",0,COUNTIF(Data!$B429:$U429,INDEX(Pengaturan!$B$8:$B$27,Q$4)))</f>
        <v>0</v>
      </c>
      <c r="R429" s="26" t="n">
        <f aca="false">IF(INDEX(Pengaturan!$B$8:$B$27,R$4)="",0,COUNTIF(Data!$B429:$U429,INDEX(Pengaturan!$B$8:$B$27,R$4)))</f>
        <v>0</v>
      </c>
      <c r="S429" s="26" t="n">
        <f aca="false">IF(INDEX(Pengaturan!$B$8:$B$27,S$4)="",0,COUNTIF(Data!$B429:$U429,INDEX(Pengaturan!$B$8:$B$27,S$4)))</f>
        <v>0</v>
      </c>
      <c r="T429" s="26" t="n">
        <f aca="false">IF(INDEX(Pengaturan!$B$8:$B$27,T$4)="",0,COUNTIF(Data!$B429:$U429,INDEX(Pengaturan!$B$8:$B$27,T$4)))</f>
        <v>0</v>
      </c>
      <c r="U429" s="26" t="n">
        <f aca="false">IF(INDEX(Pengaturan!$B$8:$B$27,U$4)="",0,COUNTIF(Data!$B429:$U429,INDEX(Pengaturan!$B$8:$B$27,U$4)))</f>
        <v>0</v>
      </c>
      <c r="V429" s="26" t="n">
        <f aca="false">COUNTA(Data!$B429:$U429)</f>
        <v>0</v>
      </c>
      <c r="W429" s="27" t="str">
        <f aca="false">IF(V429=0,"",IF(V429&lt;&gt;Hasil!$C$4,"Data kosong/tidak lengkap",IF(SUM(B429:U429)&lt;&gt;V429,"Kategori tidak dikenal","OK")))</f>
        <v/>
      </c>
      <c r="X429" s="26" t="n">
        <f aca="false">IF(OR(W429="",W429="OK"),0,1)</f>
        <v>0</v>
      </c>
    </row>
    <row r="430" customFormat="false" ht="15" hidden="false" customHeight="false" outlineLevel="0" collapsed="false">
      <c r="A430" s="26" t="n">
        <f aca="false">Data!A430</f>
        <v>425</v>
      </c>
      <c r="B430" s="26" t="n">
        <f aca="false">IF(INDEX(Pengaturan!$B$8:$B$27,B$4)="",0,COUNTIF(Data!$B430:$U430,INDEX(Pengaturan!$B$8:$B$27,B$4)))</f>
        <v>0</v>
      </c>
      <c r="C430" s="26" t="n">
        <f aca="false">IF(INDEX(Pengaturan!$B$8:$B$27,C$4)="",0,COUNTIF(Data!$B430:$U430,INDEX(Pengaturan!$B$8:$B$27,C$4)))</f>
        <v>0</v>
      </c>
      <c r="D430" s="26" t="n">
        <f aca="false">IF(INDEX(Pengaturan!$B$8:$B$27,D$4)="",0,COUNTIF(Data!$B430:$U430,INDEX(Pengaturan!$B$8:$B$27,D$4)))</f>
        <v>0</v>
      </c>
      <c r="E430" s="26" t="n">
        <f aca="false">IF(INDEX(Pengaturan!$B$8:$B$27,E$4)="",0,COUNTIF(Data!$B430:$U430,INDEX(Pengaturan!$B$8:$B$27,E$4)))</f>
        <v>0</v>
      </c>
      <c r="F430" s="26" t="n">
        <f aca="false">IF(INDEX(Pengaturan!$B$8:$B$27,F$4)="",0,COUNTIF(Data!$B430:$U430,INDEX(Pengaturan!$B$8:$B$27,F$4)))</f>
        <v>0</v>
      </c>
      <c r="G430" s="26" t="n">
        <f aca="false">IF(INDEX(Pengaturan!$B$8:$B$27,G$4)="",0,COUNTIF(Data!$B430:$U430,INDEX(Pengaturan!$B$8:$B$27,G$4)))</f>
        <v>0</v>
      </c>
      <c r="H430" s="26" t="n">
        <f aca="false">IF(INDEX(Pengaturan!$B$8:$B$27,H$4)="",0,COUNTIF(Data!$B430:$U430,INDEX(Pengaturan!$B$8:$B$27,H$4)))</f>
        <v>0</v>
      </c>
      <c r="I430" s="26" t="n">
        <f aca="false">IF(INDEX(Pengaturan!$B$8:$B$27,I$4)="",0,COUNTIF(Data!$B430:$U430,INDEX(Pengaturan!$B$8:$B$27,I$4)))</f>
        <v>0</v>
      </c>
      <c r="J430" s="26" t="n">
        <f aca="false">IF(INDEX(Pengaturan!$B$8:$B$27,J$4)="",0,COUNTIF(Data!$B430:$U430,INDEX(Pengaturan!$B$8:$B$27,J$4)))</f>
        <v>0</v>
      </c>
      <c r="K430" s="26" t="n">
        <f aca="false">IF(INDEX(Pengaturan!$B$8:$B$27,K$4)="",0,COUNTIF(Data!$B430:$U430,INDEX(Pengaturan!$B$8:$B$27,K$4)))</f>
        <v>0</v>
      </c>
      <c r="L430" s="26" t="n">
        <f aca="false">IF(INDEX(Pengaturan!$B$8:$B$27,L$4)="",0,COUNTIF(Data!$B430:$U430,INDEX(Pengaturan!$B$8:$B$27,L$4)))</f>
        <v>0</v>
      </c>
      <c r="M430" s="26" t="n">
        <f aca="false">IF(INDEX(Pengaturan!$B$8:$B$27,M$4)="",0,COUNTIF(Data!$B430:$U430,INDEX(Pengaturan!$B$8:$B$27,M$4)))</f>
        <v>0</v>
      </c>
      <c r="N430" s="26" t="n">
        <f aca="false">IF(INDEX(Pengaturan!$B$8:$B$27,N$4)="",0,COUNTIF(Data!$B430:$U430,INDEX(Pengaturan!$B$8:$B$27,N$4)))</f>
        <v>0</v>
      </c>
      <c r="O430" s="26" t="n">
        <f aca="false">IF(INDEX(Pengaturan!$B$8:$B$27,O$4)="",0,COUNTIF(Data!$B430:$U430,INDEX(Pengaturan!$B$8:$B$27,O$4)))</f>
        <v>0</v>
      </c>
      <c r="P430" s="26" t="n">
        <f aca="false">IF(INDEX(Pengaturan!$B$8:$B$27,P$4)="",0,COUNTIF(Data!$B430:$U430,INDEX(Pengaturan!$B$8:$B$27,P$4)))</f>
        <v>0</v>
      </c>
      <c r="Q430" s="26" t="n">
        <f aca="false">IF(INDEX(Pengaturan!$B$8:$B$27,Q$4)="",0,COUNTIF(Data!$B430:$U430,INDEX(Pengaturan!$B$8:$B$27,Q$4)))</f>
        <v>0</v>
      </c>
      <c r="R430" s="26" t="n">
        <f aca="false">IF(INDEX(Pengaturan!$B$8:$B$27,R$4)="",0,COUNTIF(Data!$B430:$U430,INDEX(Pengaturan!$B$8:$B$27,R$4)))</f>
        <v>0</v>
      </c>
      <c r="S430" s="26" t="n">
        <f aca="false">IF(INDEX(Pengaturan!$B$8:$B$27,S$4)="",0,COUNTIF(Data!$B430:$U430,INDEX(Pengaturan!$B$8:$B$27,S$4)))</f>
        <v>0</v>
      </c>
      <c r="T430" s="26" t="n">
        <f aca="false">IF(INDEX(Pengaturan!$B$8:$B$27,T$4)="",0,COUNTIF(Data!$B430:$U430,INDEX(Pengaturan!$B$8:$B$27,T$4)))</f>
        <v>0</v>
      </c>
      <c r="U430" s="26" t="n">
        <f aca="false">IF(INDEX(Pengaturan!$B$8:$B$27,U$4)="",0,COUNTIF(Data!$B430:$U430,INDEX(Pengaturan!$B$8:$B$27,U$4)))</f>
        <v>0</v>
      </c>
      <c r="V430" s="26" t="n">
        <f aca="false">COUNTA(Data!$B430:$U430)</f>
        <v>0</v>
      </c>
      <c r="W430" s="27" t="str">
        <f aca="false">IF(V430=0,"",IF(V430&lt;&gt;Hasil!$C$4,"Data kosong/tidak lengkap",IF(SUM(B430:U430)&lt;&gt;V430,"Kategori tidak dikenal","OK")))</f>
        <v/>
      </c>
      <c r="X430" s="26" t="n">
        <f aca="false">IF(OR(W430="",W430="OK"),0,1)</f>
        <v>0</v>
      </c>
    </row>
    <row r="431" customFormat="false" ht="15" hidden="false" customHeight="false" outlineLevel="0" collapsed="false">
      <c r="A431" s="26" t="n">
        <f aca="false">Data!A431</f>
        <v>426</v>
      </c>
      <c r="B431" s="26" t="n">
        <f aca="false">IF(INDEX(Pengaturan!$B$8:$B$27,B$4)="",0,COUNTIF(Data!$B431:$U431,INDEX(Pengaturan!$B$8:$B$27,B$4)))</f>
        <v>0</v>
      </c>
      <c r="C431" s="26" t="n">
        <f aca="false">IF(INDEX(Pengaturan!$B$8:$B$27,C$4)="",0,COUNTIF(Data!$B431:$U431,INDEX(Pengaturan!$B$8:$B$27,C$4)))</f>
        <v>0</v>
      </c>
      <c r="D431" s="26" t="n">
        <f aca="false">IF(INDEX(Pengaturan!$B$8:$B$27,D$4)="",0,COUNTIF(Data!$B431:$U431,INDEX(Pengaturan!$B$8:$B$27,D$4)))</f>
        <v>0</v>
      </c>
      <c r="E431" s="26" t="n">
        <f aca="false">IF(INDEX(Pengaturan!$B$8:$B$27,E$4)="",0,COUNTIF(Data!$B431:$U431,INDEX(Pengaturan!$B$8:$B$27,E$4)))</f>
        <v>0</v>
      </c>
      <c r="F431" s="26" t="n">
        <f aca="false">IF(INDEX(Pengaturan!$B$8:$B$27,F$4)="",0,COUNTIF(Data!$B431:$U431,INDEX(Pengaturan!$B$8:$B$27,F$4)))</f>
        <v>0</v>
      </c>
      <c r="G431" s="26" t="n">
        <f aca="false">IF(INDEX(Pengaturan!$B$8:$B$27,G$4)="",0,COUNTIF(Data!$B431:$U431,INDEX(Pengaturan!$B$8:$B$27,G$4)))</f>
        <v>0</v>
      </c>
      <c r="H431" s="26" t="n">
        <f aca="false">IF(INDEX(Pengaturan!$B$8:$B$27,H$4)="",0,COUNTIF(Data!$B431:$U431,INDEX(Pengaturan!$B$8:$B$27,H$4)))</f>
        <v>0</v>
      </c>
      <c r="I431" s="26" t="n">
        <f aca="false">IF(INDEX(Pengaturan!$B$8:$B$27,I$4)="",0,COUNTIF(Data!$B431:$U431,INDEX(Pengaturan!$B$8:$B$27,I$4)))</f>
        <v>0</v>
      </c>
      <c r="J431" s="26" t="n">
        <f aca="false">IF(INDEX(Pengaturan!$B$8:$B$27,J$4)="",0,COUNTIF(Data!$B431:$U431,INDEX(Pengaturan!$B$8:$B$27,J$4)))</f>
        <v>0</v>
      </c>
      <c r="K431" s="26" t="n">
        <f aca="false">IF(INDEX(Pengaturan!$B$8:$B$27,K$4)="",0,COUNTIF(Data!$B431:$U431,INDEX(Pengaturan!$B$8:$B$27,K$4)))</f>
        <v>0</v>
      </c>
      <c r="L431" s="26" t="n">
        <f aca="false">IF(INDEX(Pengaturan!$B$8:$B$27,L$4)="",0,COUNTIF(Data!$B431:$U431,INDEX(Pengaturan!$B$8:$B$27,L$4)))</f>
        <v>0</v>
      </c>
      <c r="M431" s="26" t="n">
        <f aca="false">IF(INDEX(Pengaturan!$B$8:$B$27,M$4)="",0,COUNTIF(Data!$B431:$U431,INDEX(Pengaturan!$B$8:$B$27,M$4)))</f>
        <v>0</v>
      </c>
      <c r="N431" s="26" t="n">
        <f aca="false">IF(INDEX(Pengaturan!$B$8:$B$27,N$4)="",0,COUNTIF(Data!$B431:$U431,INDEX(Pengaturan!$B$8:$B$27,N$4)))</f>
        <v>0</v>
      </c>
      <c r="O431" s="26" t="n">
        <f aca="false">IF(INDEX(Pengaturan!$B$8:$B$27,O$4)="",0,COUNTIF(Data!$B431:$U431,INDEX(Pengaturan!$B$8:$B$27,O$4)))</f>
        <v>0</v>
      </c>
      <c r="P431" s="26" t="n">
        <f aca="false">IF(INDEX(Pengaturan!$B$8:$B$27,P$4)="",0,COUNTIF(Data!$B431:$U431,INDEX(Pengaturan!$B$8:$B$27,P$4)))</f>
        <v>0</v>
      </c>
      <c r="Q431" s="26" t="n">
        <f aca="false">IF(INDEX(Pengaturan!$B$8:$B$27,Q$4)="",0,COUNTIF(Data!$B431:$U431,INDEX(Pengaturan!$B$8:$B$27,Q$4)))</f>
        <v>0</v>
      </c>
      <c r="R431" s="26" t="n">
        <f aca="false">IF(INDEX(Pengaturan!$B$8:$B$27,R$4)="",0,COUNTIF(Data!$B431:$U431,INDEX(Pengaturan!$B$8:$B$27,R$4)))</f>
        <v>0</v>
      </c>
      <c r="S431" s="26" t="n">
        <f aca="false">IF(INDEX(Pengaturan!$B$8:$B$27,S$4)="",0,COUNTIF(Data!$B431:$U431,INDEX(Pengaturan!$B$8:$B$27,S$4)))</f>
        <v>0</v>
      </c>
      <c r="T431" s="26" t="n">
        <f aca="false">IF(INDEX(Pengaturan!$B$8:$B$27,T$4)="",0,COUNTIF(Data!$B431:$U431,INDEX(Pengaturan!$B$8:$B$27,T$4)))</f>
        <v>0</v>
      </c>
      <c r="U431" s="26" t="n">
        <f aca="false">IF(INDEX(Pengaturan!$B$8:$B$27,U$4)="",0,COUNTIF(Data!$B431:$U431,INDEX(Pengaturan!$B$8:$B$27,U$4)))</f>
        <v>0</v>
      </c>
      <c r="V431" s="26" t="n">
        <f aca="false">COUNTA(Data!$B431:$U431)</f>
        <v>0</v>
      </c>
      <c r="W431" s="27" t="str">
        <f aca="false">IF(V431=0,"",IF(V431&lt;&gt;Hasil!$C$4,"Data kosong/tidak lengkap",IF(SUM(B431:U431)&lt;&gt;V431,"Kategori tidak dikenal","OK")))</f>
        <v/>
      </c>
      <c r="X431" s="26" t="n">
        <f aca="false">IF(OR(W431="",W431="OK"),0,1)</f>
        <v>0</v>
      </c>
    </row>
    <row r="432" customFormat="false" ht="15" hidden="false" customHeight="false" outlineLevel="0" collapsed="false">
      <c r="A432" s="26" t="n">
        <f aca="false">Data!A432</f>
        <v>427</v>
      </c>
      <c r="B432" s="26" t="n">
        <f aca="false">IF(INDEX(Pengaturan!$B$8:$B$27,B$4)="",0,COUNTIF(Data!$B432:$U432,INDEX(Pengaturan!$B$8:$B$27,B$4)))</f>
        <v>0</v>
      </c>
      <c r="C432" s="26" t="n">
        <f aca="false">IF(INDEX(Pengaturan!$B$8:$B$27,C$4)="",0,COUNTIF(Data!$B432:$U432,INDEX(Pengaturan!$B$8:$B$27,C$4)))</f>
        <v>0</v>
      </c>
      <c r="D432" s="26" t="n">
        <f aca="false">IF(INDEX(Pengaturan!$B$8:$B$27,D$4)="",0,COUNTIF(Data!$B432:$U432,INDEX(Pengaturan!$B$8:$B$27,D$4)))</f>
        <v>0</v>
      </c>
      <c r="E432" s="26" t="n">
        <f aca="false">IF(INDEX(Pengaturan!$B$8:$B$27,E$4)="",0,COUNTIF(Data!$B432:$U432,INDEX(Pengaturan!$B$8:$B$27,E$4)))</f>
        <v>0</v>
      </c>
      <c r="F432" s="26" t="n">
        <f aca="false">IF(INDEX(Pengaturan!$B$8:$B$27,F$4)="",0,COUNTIF(Data!$B432:$U432,INDEX(Pengaturan!$B$8:$B$27,F$4)))</f>
        <v>0</v>
      </c>
      <c r="G432" s="26" t="n">
        <f aca="false">IF(INDEX(Pengaturan!$B$8:$B$27,G$4)="",0,COUNTIF(Data!$B432:$U432,INDEX(Pengaturan!$B$8:$B$27,G$4)))</f>
        <v>0</v>
      </c>
      <c r="H432" s="26" t="n">
        <f aca="false">IF(INDEX(Pengaturan!$B$8:$B$27,H$4)="",0,COUNTIF(Data!$B432:$U432,INDEX(Pengaturan!$B$8:$B$27,H$4)))</f>
        <v>0</v>
      </c>
      <c r="I432" s="26" t="n">
        <f aca="false">IF(INDEX(Pengaturan!$B$8:$B$27,I$4)="",0,COUNTIF(Data!$B432:$U432,INDEX(Pengaturan!$B$8:$B$27,I$4)))</f>
        <v>0</v>
      </c>
      <c r="J432" s="26" t="n">
        <f aca="false">IF(INDEX(Pengaturan!$B$8:$B$27,J$4)="",0,COUNTIF(Data!$B432:$U432,INDEX(Pengaturan!$B$8:$B$27,J$4)))</f>
        <v>0</v>
      </c>
      <c r="K432" s="26" t="n">
        <f aca="false">IF(INDEX(Pengaturan!$B$8:$B$27,K$4)="",0,COUNTIF(Data!$B432:$U432,INDEX(Pengaturan!$B$8:$B$27,K$4)))</f>
        <v>0</v>
      </c>
      <c r="L432" s="26" t="n">
        <f aca="false">IF(INDEX(Pengaturan!$B$8:$B$27,L$4)="",0,COUNTIF(Data!$B432:$U432,INDEX(Pengaturan!$B$8:$B$27,L$4)))</f>
        <v>0</v>
      </c>
      <c r="M432" s="26" t="n">
        <f aca="false">IF(INDEX(Pengaturan!$B$8:$B$27,M$4)="",0,COUNTIF(Data!$B432:$U432,INDEX(Pengaturan!$B$8:$B$27,M$4)))</f>
        <v>0</v>
      </c>
      <c r="N432" s="26" t="n">
        <f aca="false">IF(INDEX(Pengaturan!$B$8:$B$27,N$4)="",0,COUNTIF(Data!$B432:$U432,INDEX(Pengaturan!$B$8:$B$27,N$4)))</f>
        <v>0</v>
      </c>
      <c r="O432" s="26" t="n">
        <f aca="false">IF(INDEX(Pengaturan!$B$8:$B$27,O$4)="",0,COUNTIF(Data!$B432:$U432,INDEX(Pengaturan!$B$8:$B$27,O$4)))</f>
        <v>0</v>
      </c>
      <c r="P432" s="26" t="n">
        <f aca="false">IF(INDEX(Pengaturan!$B$8:$B$27,P$4)="",0,COUNTIF(Data!$B432:$U432,INDEX(Pengaturan!$B$8:$B$27,P$4)))</f>
        <v>0</v>
      </c>
      <c r="Q432" s="26" t="n">
        <f aca="false">IF(INDEX(Pengaturan!$B$8:$B$27,Q$4)="",0,COUNTIF(Data!$B432:$U432,INDEX(Pengaturan!$B$8:$B$27,Q$4)))</f>
        <v>0</v>
      </c>
      <c r="R432" s="26" t="n">
        <f aca="false">IF(INDEX(Pengaturan!$B$8:$B$27,R$4)="",0,COUNTIF(Data!$B432:$U432,INDEX(Pengaturan!$B$8:$B$27,R$4)))</f>
        <v>0</v>
      </c>
      <c r="S432" s="26" t="n">
        <f aca="false">IF(INDEX(Pengaturan!$B$8:$B$27,S$4)="",0,COUNTIF(Data!$B432:$U432,INDEX(Pengaturan!$B$8:$B$27,S$4)))</f>
        <v>0</v>
      </c>
      <c r="T432" s="26" t="n">
        <f aca="false">IF(INDEX(Pengaturan!$B$8:$B$27,T$4)="",0,COUNTIF(Data!$B432:$U432,INDEX(Pengaturan!$B$8:$B$27,T$4)))</f>
        <v>0</v>
      </c>
      <c r="U432" s="26" t="n">
        <f aca="false">IF(INDEX(Pengaturan!$B$8:$B$27,U$4)="",0,COUNTIF(Data!$B432:$U432,INDEX(Pengaturan!$B$8:$B$27,U$4)))</f>
        <v>0</v>
      </c>
      <c r="V432" s="26" t="n">
        <f aca="false">COUNTA(Data!$B432:$U432)</f>
        <v>0</v>
      </c>
      <c r="W432" s="27" t="str">
        <f aca="false">IF(V432=0,"",IF(V432&lt;&gt;Hasil!$C$4,"Data kosong/tidak lengkap",IF(SUM(B432:U432)&lt;&gt;V432,"Kategori tidak dikenal","OK")))</f>
        <v/>
      </c>
      <c r="X432" s="26" t="n">
        <f aca="false">IF(OR(W432="",W432="OK"),0,1)</f>
        <v>0</v>
      </c>
    </row>
    <row r="433" customFormat="false" ht="15" hidden="false" customHeight="false" outlineLevel="0" collapsed="false">
      <c r="A433" s="26" t="n">
        <f aca="false">Data!A433</f>
        <v>428</v>
      </c>
      <c r="B433" s="26" t="n">
        <f aca="false">IF(INDEX(Pengaturan!$B$8:$B$27,B$4)="",0,COUNTIF(Data!$B433:$U433,INDEX(Pengaturan!$B$8:$B$27,B$4)))</f>
        <v>0</v>
      </c>
      <c r="C433" s="26" t="n">
        <f aca="false">IF(INDEX(Pengaturan!$B$8:$B$27,C$4)="",0,COUNTIF(Data!$B433:$U433,INDEX(Pengaturan!$B$8:$B$27,C$4)))</f>
        <v>0</v>
      </c>
      <c r="D433" s="26" t="n">
        <f aca="false">IF(INDEX(Pengaturan!$B$8:$B$27,D$4)="",0,COUNTIF(Data!$B433:$U433,INDEX(Pengaturan!$B$8:$B$27,D$4)))</f>
        <v>0</v>
      </c>
      <c r="E433" s="26" t="n">
        <f aca="false">IF(INDEX(Pengaturan!$B$8:$B$27,E$4)="",0,COUNTIF(Data!$B433:$U433,INDEX(Pengaturan!$B$8:$B$27,E$4)))</f>
        <v>0</v>
      </c>
      <c r="F433" s="26" t="n">
        <f aca="false">IF(INDEX(Pengaturan!$B$8:$B$27,F$4)="",0,COUNTIF(Data!$B433:$U433,INDEX(Pengaturan!$B$8:$B$27,F$4)))</f>
        <v>0</v>
      </c>
      <c r="G433" s="26" t="n">
        <f aca="false">IF(INDEX(Pengaturan!$B$8:$B$27,G$4)="",0,COUNTIF(Data!$B433:$U433,INDEX(Pengaturan!$B$8:$B$27,G$4)))</f>
        <v>0</v>
      </c>
      <c r="H433" s="26" t="n">
        <f aca="false">IF(INDEX(Pengaturan!$B$8:$B$27,H$4)="",0,COUNTIF(Data!$B433:$U433,INDEX(Pengaturan!$B$8:$B$27,H$4)))</f>
        <v>0</v>
      </c>
      <c r="I433" s="26" t="n">
        <f aca="false">IF(INDEX(Pengaturan!$B$8:$B$27,I$4)="",0,COUNTIF(Data!$B433:$U433,INDEX(Pengaturan!$B$8:$B$27,I$4)))</f>
        <v>0</v>
      </c>
      <c r="J433" s="26" t="n">
        <f aca="false">IF(INDEX(Pengaturan!$B$8:$B$27,J$4)="",0,COUNTIF(Data!$B433:$U433,INDEX(Pengaturan!$B$8:$B$27,J$4)))</f>
        <v>0</v>
      </c>
      <c r="K433" s="26" t="n">
        <f aca="false">IF(INDEX(Pengaturan!$B$8:$B$27,K$4)="",0,COUNTIF(Data!$B433:$U433,INDEX(Pengaturan!$B$8:$B$27,K$4)))</f>
        <v>0</v>
      </c>
      <c r="L433" s="26" t="n">
        <f aca="false">IF(INDEX(Pengaturan!$B$8:$B$27,L$4)="",0,COUNTIF(Data!$B433:$U433,INDEX(Pengaturan!$B$8:$B$27,L$4)))</f>
        <v>0</v>
      </c>
      <c r="M433" s="26" t="n">
        <f aca="false">IF(INDEX(Pengaturan!$B$8:$B$27,M$4)="",0,COUNTIF(Data!$B433:$U433,INDEX(Pengaturan!$B$8:$B$27,M$4)))</f>
        <v>0</v>
      </c>
      <c r="N433" s="26" t="n">
        <f aca="false">IF(INDEX(Pengaturan!$B$8:$B$27,N$4)="",0,COUNTIF(Data!$B433:$U433,INDEX(Pengaturan!$B$8:$B$27,N$4)))</f>
        <v>0</v>
      </c>
      <c r="O433" s="26" t="n">
        <f aca="false">IF(INDEX(Pengaturan!$B$8:$B$27,O$4)="",0,COUNTIF(Data!$B433:$U433,INDEX(Pengaturan!$B$8:$B$27,O$4)))</f>
        <v>0</v>
      </c>
      <c r="P433" s="26" t="n">
        <f aca="false">IF(INDEX(Pengaturan!$B$8:$B$27,P$4)="",0,COUNTIF(Data!$B433:$U433,INDEX(Pengaturan!$B$8:$B$27,P$4)))</f>
        <v>0</v>
      </c>
      <c r="Q433" s="26" t="n">
        <f aca="false">IF(INDEX(Pengaturan!$B$8:$B$27,Q$4)="",0,COUNTIF(Data!$B433:$U433,INDEX(Pengaturan!$B$8:$B$27,Q$4)))</f>
        <v>0</v>
      </c>
      <c r="R433" s="26" t="n">
        <f aca="false">IF(INDEX(Pengaturan!$B$8:$B$27,R$4)="",0,COUNTIF(Data!$B433:$U433,INDEX(Pengaturan!$B$8:$B$27,R$4)))</f>
        <v>0</v>
      </c>
      <c r="S433" s="26" t="n">
        <f aca="false">IF(INDEX(Pengaturan!$B$8:$B$27,S$4)="",0,COUNTIF(Data!$B433:$U433,INDEX(Pengaturan!$B$8:$B$27,S$4)))</f>
        <v>0</v>
      </c>
      <c r="T433" s="26" t="n">
        <f aca="false">IF(INDEX(Pengaturan!$B$8:$B$27,T$4)="",0,COUNTIF(Data!$B433:$U433,INDEX(Pengaturan!$B$8:$B$27,T$4)))</f>
        <v>0</v>
      </c>
      <c r="U433" s="26" t="n">
        <f aca="false">IF(INDEX(Pengaturan!$B$8:$B$27,U$4)="",0,COUNTIF(Data!$B433:$U433,INDEX(Pengaturan!$B$8:$B$27,U$4)))</f>
        <v>0</v>
      </c>
      <c r="V433" s="26" t="n">
        <f aca="false">COUNTA(Data!$B433:$U433)</f>
        <v>0</v>
      </c>
      <c r="W433" s="27" t="str">
        <f aca="false">IF(V433=0,"",IF(V433&lt;&gt;Hasil!$C$4,"Data kosong/tidak lengkap",IF(SUM(B433:U433)&lt;&gt;V433,"Kategori tidak dikenal","OK")))</f>
        <v/>
      </c>
      <c r="X433" s="26" t="n">
        <f aca="false">IF(OR(W433="",W433="OK"),0,1)</f>
        <v>0</v>
      </c>
    </row>
    <row r="434" customFormat="false" ht="15" hidden="false" customHeight="false" outlineLevel="0" collapsed="false">
      <c r="A434" s="26" t="n">
        <f aca="false">Data!A434</f>
        <v>429</v>
      </c>
      <c r="B434" s="26" t="n">
        <f aca="false">IF(INDEX(Pengaturan!$B$8:$B$27,B$4)="",0,COUNTIF(Data!$B434:$U434,INDEX(Pengaturan!$B$8:$B$27,B$4)))</f>
        <v>0</v>
      </c>
      <c r="C434" s="26" t="n">
        <f aca="false">IF(INDEX(Pengaturan!$B$8:$B$27,C$4)="",0,COUNTIF(Data!$B434:$U434,INDEX(Pengaturan!$B$8:$B$27,C$4)))</f>
        <v>0</v>
      </c>
      <c r="D434" s="26" t="n">
        <f aca="false">IF(INDEX(Pengaturan!$B$8:$B$27,D$4)="",0,COUNTIF(Data!$B434:$U434,INDEX(Pengaturan!$B$8:$B$27,D$4)))</f>
        <v>0</v>
      </c>
      <c r="E434" s="26" t="n">
        <f aca="false">IF(INDEX(Pengaturan!$B$8:$B$27,E$4)="",0,COUNTIF(Data!$B434:$U434,INDEX(Pengaturan!$B$8:$B$27,E$4)))</f>
        <v>0</v>
      </c>
      <c r="F434" s="26" t="n">
        <f aca="false">IF(INDEX(Pengaturan!$B$8:$B$27,F$4)="",0,COUNTIF(Data!$B434:$U434,INDEX(Pengaturan!$B$8:$B$27,F$4)))</f>
        <v>0</v>
      </c>
      <c r="G434" s="26" t="n">
        <f aca="false">IF(INDEX(Pengaturan!$B$8:$B$27,G$4)="",0,COUNTIF(Data!$B434:$U434,INDEX(Pengaturan!$B$8:$B$27,G$4)))</f>
        <v>0</v>
      </c>
      <c r="H434" s="26" t="n">
        <f aca="false">IF(INDEX(Pengaturan!$B$8:$B$27,H$4)="",0,COUNTIF(Data!$B434:$U434,INDEX(Pengaturan!$B$8:$B$27,H$4)))</f>
        <v>0</v>
      </c>
      <c r="I434" s="26" t="n">
        <f aca="false">IF(INDEX(Pengaturan!$B$8:$B$27,I$4)="",0,COUNTIF(Data!$B434:$U434,INDEX(Pengaturan!$B$8:$B$27,I$4)))</f>
        <v>0</v>
      </c>
      <c r="J434" s="26" t="n">
        <f aca="false">IF(INDEX(Pengaturan!$B$8:$B$27,J$4)="",0,COUNTIF(Data!$B434:$U434,INDEX(Pengaturan!$B$8:$B$27,J$4)))</f>
        <v>0</v>
      </c>
      <c r="K434" s="26" t="n">
        <f aca="false">IF(INDEX(Pengaturan!$B$8:$B$27,K$4)="",0,COUNTIF(Data!$B434:$U434,INDEX(Pengaturan!$B$8:$B$27,K$4)))</f>
        <v>0</v>
      </c>
      <c r="L434" s="26" t="n">
        <f aca="false">IF(INDEX(Pengaturan!$B$8:$B$27,L$4)="",0,COUNTIF(Data!$B434:$U434,INDEX(Pengaturan!$B$8:$B$27,L$4)))</f>
        <v>0</v>
      </c>
      <c r="M434" s="26" t="n">
        <f aca="false">IF(INDEX(Pengaturan!$B$8:$B$27,M$4)="",0,COUNTIF(Data!$B434:$U434,INDEX(Pengaturan!$B$8:$B$27,M$4)))</f>
        <v>0</v>
      </c>
      <c r="N434" s="26" t="n">
        <f aca="false">IF(INDEX(Pengaturan!$B$8:$B$27,N$4)="",0,COUNTIF(Data!$B434:$U434,INDEX(Pengaturan!$B$8:$B$27,N$4)))</f>
        <v>0</v>
      </c>
      <c r="O434" s="26" t="n">
        <f aca="false">IF(INDEX(Pengaturan!$B$8:$B$27,O$4)="",0,COUNTIF(Data!$B434:$U434,INDEX(Pengaturan!$B$8:$B$27,O$4)))</f>
        <v>0</v>
      </c>
      <c r="P434" s="26" t="n">
        <f aca="false">IF(INDEX(Pengaturan!$B$8:$B$27,P$4)="",0,COUNTIF(Data!$B434:$U434,INDEX(Pengaturan!$B$8:$B$27,P$4)))</f>
        <v>0</v>
      </c>
      <c r="Q434" s="26" t="n">
        <f aca="false">IF(INDEX(Pengaturan!$B$8:$B$27,Q$4)="",0,COUNTIF(Data!$B434:$U434,INDEX(Pengaturan!$B$8:$B$27,Q$4)))</f>
        <v>0</v>
      </c>
      <c r="R434" s="26" t="n">
        <f aca="false">IF(INDEX(Pengaturan!$B$8:$B$27,R$4)="",0,COUNTIF(Data!$B434:$U434,INDEX(Pengaturan!$B$8:$B$27,R$4)))</f>
        <v>0</v>
      </c>
      <c r="S434" s="26" t="n">
        <f aca="false">IF(INDEX(Pengaturan!$B$8:$B$27,S$4)="",0,COUNTIF(Data!$B434:$U434,INDEX(Pengaturan!$B$8:$B$27,S$4)))</f>
        <v>0</v>
      </c>
      <c r="T434" s="26" t="n">
        <f aca="false">IF(INDEX(Pengaturan!$B$8:$B$27,T$4)="",0,COUNTIF(Data!$B434:$U434,INDEX(Pengaturan!$B$8:$B$27,T$4)))</f>
        <v>0</v>
      </c>
      <c r="U434" s="26" t="n">
        <f aca="false">IF(INDEX(Pengaturan!$B$8:$B$27,U$4)="",0,COUNTIF(Data!$B434:$U434,INDEX(Pengaturan!$B$8:$B$27,U$4)))</f>
        <v>0</v>
      </c>
      <c r="V434" s="26" t="n">
        <f aca="false">COUNTA(Data!$B434:$U434)</f>
        <v>0</v>
      </c>
      <c r="W434" s="27" t="str">
        <f aca="false">IF(V434=0,"",IF(V434&lt;&gt;Hasil!$C$4,"Data kosong/tidak lengkap",IF(SUM(B434:U434)&lt;&gt;V434,"Kategori tidak dikenal","OK")))</f>
        <v/>
      </c>
      <c r="X434" s="26" t="n">
        <f aca="false">IF(OR(W434="",W434="OK"),0,1)</f>
        <v>0</v>
      </c>
    </row>
    <row r="435" customFormat="false" ht="15" hidden="false" customHeight="false" outlineLevel="0" collapsed="false">
      <c r="A435" s="26" t="n">
        <f aca="false">Data!A435</f>
        <v>430</v>
      </c>
      <c r="B435" s="26" t="n">
        <f aca="false">IF(INDEX(Pengaturan!$B$8:$B$27,B$4)="",0,COUNTIF(Data!$B435:$U435,INDEX(Pengaturan!$B$8:$B$27,B$4)))</f>
        <v>0</v>
      </c>
      <c r="C435" s="26" t="n">
        <f aca="false">IF(INDEX(Pengaturan!$B$8:$B$27,C$4)="",0,COUNTIF(Data!$B435:$U435,INDEX(Pengaturan!$B$8:$B$27,C$4)))</f>
        <v>0</v>
      </c>
      <c r="D435" s="26" t="n">
        <f aca="false">IF(INDEX(Pengaturan!$B$8:$B$27,D$4)="",0,COUNTIF(Data!$B435:$U435,INDEX(Pengaturan!$B$8:$B$27,D$4)))</f>
        <v>0</v>
      </c>
      <c r="E435" s="26" t="n">
        <f aca="false">IF(INDEX(Pengaturan!$B$8:$B$27,E$4)="",0,COUNTIF(Data!$B435:$U435,INDEX(Pengaturan!$B$8:$B$27,E$4)))</f>
        <v>0</v>
      </c>
      <c r="F435" s="26" t="n">
        <f aca="false">IF(INDEX(Pengaturan!$B$8:$B$27,F$4)="",0,COUNTIF(Data!$B435:$U435,INDEX(Pengaturan!$B$8:$B$27,F$4)))</f>
        <v>0</v>
      </c>
      <c r="G435" s="26" t="n">
        <f aca="false">IF(INDEX(Pengaturan!$B$8:$B$27,G$4)="",0,COUNTIF(Data!$B435:$U435,INDEX(Pengaturan!$B$8:$B$27,G$4)))</f>
        <v>0</v>
      </c>
      <c r="H435" s="26" t="n">
        <f aca="false">IF(INDEX(Pengaturan!$B$8:$B$27,H$4)="",0,COUNTIF(Data!$B435:$U435,INDEX(Pengaturan!$B$8:$B$27,H$4)))</f>
        <v>0</v>
      </c>
      <c r="I435" s="26" t="n">
        <f aca="false">IF(INDEX(Pengaturan!$B$8:$B$27,I$4)="",0,COUNTIF(Data!$B435:$U435,INDEX(Pengaturan!$B$8:$B$27,I$4)))</f>
        <v>0</v>
      </c>
      <c r="J435" s="26" t="n">
        <f aca="false">IF(INDEX(Pengaturan!$B$8:$B$27,J$4)="",0,COUNTIF(Data!$B435:$U435,INDEX(Pengaturan!$B$8:$B$27,J$4)))</f>
        <v>0</v>
      </c>
      <c r="K435" s="26" t="n">
        <f aca="false">IF(INDEX(Pengaturan!$B$8:$B$27,K$4)="",0,COUNTIF(Data!$B435:$U435,INDEX(Pengaturan!$B$8:$B$27,K$4)))</f>
        <v>0</v>
      </c>
      <c r="L435" s="26" t="n">
        <f aca="false">IF(INDEX(Pengaturan!$B$8:$B$27,L$4)="",0,COUNTIF(Data!$B435:$U435,INDEX(Pengaturan!$B$8:$B$27,L$4)))</f>
        <v>0</v>
      </c>
      <c r="M435" s="26" t="n">
        <f aca="false">IF(INDEX(Pengaturan!$B$8:$B$27,M$4)="",0,COUNTIF(Data!$B435:$U435,INDEX(Pengaturan!$B$8:$B$27,M$4)))</f>
        <v>0</v>
      </c>
      <c r="N435" s="26" t="n">
        <f aca="false">IF(INDEX(Pengaturan!$B$8:$B$27,N$4)="",0,COUNTIF(Data!$B435:$U435,INDEX(Pengaturan!$B$8:$B$27,N$4)))</f>
        <v>0</v>
      </c>
      <c r="O435" s="26" t="n">
        <f aca="false">IF(INDEX(Pengaturan!$B$8:$B$27,O$4)="",0,COUNTIF(Data!$B435:$U435,INDEX(Pengaturan!$B$8:$B$27,O$4)))</f>
        <v>0</v>
      </c>
      <c r="P435" s="26" t="n">
        <f aca="false">IF(INDEX(Pengaturan!$B$8:$B$27,P$4)="",0,COUNTIF(Data!$B435:$U435,INDEX(Pengaturan!$B$8:$B$27,P$4)))</f>
        <v>0</v>
      </c>
      <c r="Q435" s="26" t="n">
        <f aca="false">IF(INDEX(Pengaturan!$B$8:$B$27,Q$4)="",0,COUNTIF(Data!$B435:$U435,INDEX(Pengaturan!$B$8:$B$27,Q$4)))</f>
        <v>0</v>
      </c>
      <c r="R435" s="26" t="n">
        <f aca="false">IF(INDEX(Pengaturan!$B$8:$B$27,R$4)="",0,COUNTIF(Data!$B435:$U435,INDEX(Pengaturan!$B$8:$B$27,R$4)))</f>
        <v>0</v>
      </c>
      <c r="S435" s="26" t="n">
        <f aca="false">IF(INDEX(Pengaturan!$B$8:$B$27,S$4)="",0,COUNTIF(Data!$B435:$U435,INDEX(Pengaturan!$B$8:$B$27,S$4)))</f>
        <v>0</v>
      </c>
      <c r="T435" s="26" t="n">
        <f aca="false">IF(INDEX(Pengaturan!$B$8:$B$27,T$4)="",0,COUNTIF(Data!$B435:$U435,INDEX(Pengaturan!$B$8:$B$27,T$4)))</f>
        <v>0</v>
      </c>
      <c r="U435" s="26" t="n">
        <f aca="false">IF(INDEX(Pengaturan!$B$8:$B$27,U$4)="",0,COUNTIF(Data!$B435:$U435,INDEX(Pengaturan!$B$8:$B$27,U$4)))</f>
        <v>0</v>
      </c>
      <c r="V435" s="26" t="n">
        <f aca="false">COUNTA(Data!$B435:$U435)</f>
        <v>0</v>
      </c>
      <c r="W435" s="27" t="str">
        <f aca="false">IF(V435=0,"",IF(V435&lt;&gt;Hasil!$C$4,"Data kosong/tidak lengkap",IF(SUM(B435:U435)&lt;&gt;V435,"Kategori tidak dikenal","OK")))</f>
        <v/>
      </c>
      <c r="X435" s="26" t="n">
        <f aca="false">IF(OR(W435="",W435="OK"),0,1)</f>
        <v>0</v>
      </c>
    </row>
    <row r="436" customFormat="false" ht="15" hidden="false" customHeight="false" outlineLevel="0" collapsed="false">
      <c r="A436" s="26" t="n">
        <f aca="false">Data!A436</f>
        <v>431</v>
      </c>
      <c r="B436" s="26" t="n">
        <f aca="false">IF(INDEX(Pengaturan!$B$8:$B$27,B$4)="",0,COUNTIF(Data!$B436:$U436,INDEX(Pengaturan!$B$8:$B$27,B$4)))</f>
        <v>0</v>
      </c>
      <c r="C436" s="26" t="n">
        <f aca="false">IF(INDEX(Pengaturan!$B$8:$B$27,C$4)="",0,COUNTIF(Data!$B436:$U436,INDEX(Pengaturan!$B$8:$B$27,C$4)))</f>
        <v>0</v>
      </c>
      <c r="D436" s="26" t="n">
        <f aca="false">IF(INDEX(Pengaturan!$B$8:$B$27,D$4)="",0,COUNTIF(Data!$B436:$U436,INDEX(Pengaturan!$B$8:$B$27,D$4)))</f>
        <v>0</v>
      </c>
      <c r="E436" s="26" t="n">
        <f aca="false">IF(INDEX(Pengaturan!$B$8:$B$27,E$4)="",0,COUNTIF(Data!$B436:$U436,INDEX(Pengaturan!$B$8:$B$27,E$4)))</f>
        <v>0</v>
      </c>
      <c r="F436" s="26" t="n">
        <f aca="false">IF(INDEX(Pengaturan!$B$8:$B$27,F$4)="",0,COUNTIF(Data!$B436:$U436,INDEX(Pengaturan!$B$8:$B$27,F$4)))</f>
        <v>0</v>
      </c>
      <c r="G436" s="26" t="n">
        <f aca="false">IF(INDEX(Pengaturan!$B$8:$B$27,G$4)="",0,COUNTIF(Data!$B436:$U436,INDEX(Pengaturan!$B$8:$B$27,G$4)))</f>
        <v>0</v>
      </c>
      <c r="H436" s="26" t="n">
        <f aca="false">IF(INDEX(Pengaturan!$B$8:$B$27,H$4)="",0,COUNTIF(Data!$B436:$U436,INDEX(Pengaturan!$B$8:$B$27,H$4)))</f>
        <v>0</v>
      </c>
      <c r="I436" s="26" t="n">
        <f aca="false">IF(INDEX(Pengaturan!$B$8:$B$27,I$4)="",0,COUNTIF(Data!$B436:$U436,INDEX(Pengaturan!$B$8:$B$27,I$4)))</f>
        <v>0</v>
      </c>
      <c r="J436" s="26" t="n">
        <f aca="false">IF(INDEX(Pengaturan!$B$8:$B$27,J$4)="",0,COUNTIF(Data!$B436:$U436,INDEX(Pengaturan!$B$8:$B$27,J$4)))</f>
        <v>0</v>
      </c>
      <c r="K436" s="26" t="n">
        <f aca="false">IF(INDEX(Pengaturan!$B$8:$B$27,K$4)="",0,COUNTIF(Data!$B436:$U436,INDEX(Pengaturan!$B$8:$B$27,K$4)))</f>
        <v>0</v>
      </c>
      <c r="L436" s="26" t="n">
        <f aca="false">IF(INDEX(Pengaturan!$B$8:$B$27,L$4)="",0,COUNTIF(Data!$B436:$U436,INDEX(Pengaturan!$B$8:$B$27,L$4)))</f>
        <v>0</v>
      </c>
      <c r="M436" s="26" t="n">
        <f aca="false">IF(INDEX(Pengaturan!$B$8:$B$27,M$4)="",0,COUNTIF(Data!$B436:$U436,INDEX(Pengaturan!$B$8:$B$27,M$4)))</f>
        <v>0</v>
      </c>
      <c r="N436" s="26" t="n">
        <f aca="false">IF(INDEX(Pengaturan!$B$8:$B$27,N$4)="",0,COUNTIF(Data!$B436:$U436,INDEX(Pengaturan!$B$8:$B$27,N$4)))</f>
        <v>0</v>
      </c>
      <c r="O436" s="26" t="n">
        <f aca="false">IF(INDEX(Pengaturan!$B$8:$B$27,O$4)="",0,COUNTIF(Data!$B436:$U436,INDEX(Pengaturan!$B$8:$B$27,O$4)))</f>
        <v>0</v>
      </c>
      <c r="P436" s="26" t="n">
        <f aca="false">IF(INDEX(Pengaturan!$B$8:$B$27,P$4)="",0,COUNTIF(Data!$B436:$U436,INDEX(Pengaturan!$B$8:$B$27,P$4)))</f>
        <v>0</v>
      </c>
      <c r="Q436" s="26" t="n">
        <f aca="false">IF(INDEX(Pengaturan!$B$8:$B$27,Q$4)="",0,COUNTIF(Data!$B436:$U436,INDEX(Pengaturan!$B$8:$B$27,Q$4)))</f>
        <v>0</v>
      </c>
      <c r="R436" s="26" t="n">
        <f aca="false">IF(INDEX(Pengaturan!$B$8:$B$27,R$4)="",0,COUNTIF(Data!$B436:$U436,INDEX(Pengaturan!$B$8:$B$27,R$4)))</f>
        <v>0</v>
      </c>
      <c r="S436" s="26" t="n">
        <f aca="false">IF(INDEX(Pengaturan!$B$8:$B$27,S$4)="",0,COUNTIF(Data!$B436:$U436,INDEX(Pengaturan!$B$8:$B$27,S$4)))</f>
        <v>0</v>
      </c>
      <c r="T436" s="26" t="n">
        <f aca="false">IF(INDEX(Pengaturan!$B$8:$B$27,T$4)="",0,COUNTIF(Data!$B436:$U436,INDEX(Pengaturan!$B$8:$B$27,T$4)))</f>
        <v>0</v>
      </c>
      <c r="U436" s="26" t="n">
        <f aca="false">IF(INDEX(Pengaturan!$B$8:$B$27,U$4)="",0,COUNTIF(Data!$B436:$U436,INDEX(Pengaturan!$B$8:$B$27,U$4)))</f>
        <v>0</v>
      </c>
      <c r="V436" s="26" t="n">
        <f aca="false">COUNTA(Data!$B436:$U436)</f>
        <v>0</v>
      </c>
      <c r="W436" s="27" t="str">
        <f aca="false">IF(V436=0,"",IF(V436&lt;&gt;Hasil!$C$4,"Data kosong/tidak lengkap",IF(SUM(B436:U436)&lt;&gt;V436,"Kategori tidak dikenal","OK")))</f>
        <v/>
      </c>
      <c r="X436" s="26" t="n">
        <f aca="false">IF(OR(W436="",W436="OK"),0,1)</f>
        <v>0</v>
      </c>
    </row>
    <row r="437" customFormat="false" ht="15" hidden="false" customHeight="false" outlineLevel="0" collapsed="false">
      <c r="A437" s="26" t="n">
        <f aca="false">Data!A437</f>
        <v>432</v>
      </c>
      <c r="B437" s="26" t="n">
        <f aca="false">IF(INDEX(Pengaturan!$B$8:$B$27,B$4)="",0,COUNTIF(Data!$B437:$U437,INDEX(Pengaturan!$B$8:$B$27,B$4)))</f>
        <v>0</v>
      </c>
      <c r="C437" s="26" t="n">
        <f aca="false">IF(INDEX(Pengaturan!$B$8:$B$27,C$4)="",0,COUNTIF(Data!$B437:$U437,INDEX(Pengaturan!$B$8:$B$27,C$4)))</f>
        <v>0</v>
      </c>
      <c r="D437" s="26" t="n">
        <f aca="false">IF(INDEX(Pengaturan!$B$8:$B$27,D$4)="",0,COUNTIF(Data!$B437:$U437,INDEX(Pengaturan!$B$8:$B$27,D$4)))</f>
        <v>0</v>
      </c>
      <c r="E437" s="26" t="n">
        <f aca="false">IF(INDEX(Pengaturan!$B$8:$B$27,E$4)="",0,COUNTIF(Data!$B437:$U437,INDEX(Pengaturan!$B$8:$B$27,E$4)))</f>
        <v>0</v>
      </c>
      <c r="F437" s="26" t="n">
        <f aca="false">IF(INDEX(Pengaturan!$B$8:$B$27,F$4)="",0,COUNTIF(Data!$B437:$U437,INDEX(Pengaturan!$B$8:$B$27,F$4)))</f>
        <v>0</v>
      </c>
      <c r="G437" s="26" t="n">
        <f aca="false">IF(INDEX(Pengaturan!$B$8:$B$27,G$4)="",0,COUNTIF(Data!$B437:$U437,INDEX(Pengaturan!$B$8:$B$27,G$4)))</f>
        <v>0</v>
      </c>
      <c r="H437" s="26" t="n">
        <f aca="false">IF(INDEX(Pengaturan!$B$8:$B$27,H$4)="",0,COUNTIF(Data!$B437:$U437,INDEX(Pengaturan!$B$8:$B$27,H$4)))</f>
        <v>0</v>
      </c>
      <c r="I437" s="26" t="n">
        <f aca="false">IF(INDEX(Pengaturan!$B$8:$B$27,I$4)="",0,COUNTIF(Data!$B437:$U437,INDEX(Pengaturan!$B$8:$B$27,I$4)))</f>
        <v>0</v>
      </c>
      <c r="J437" s="26" t="n">
        <f aca="false">IF(INDEX(Pengaturan!$B$8:$B$27,J$4)="",0,COUNTIF(Data!$B437:$U437,INDEX(Pengaturan!$B$8:$B$27,J$4)))</f>
        <v>0</v>
      </c>
      <c r="K437" s="26" t="n">
        <f aca="false">IF(INDEX(Pengaturan!$B$8:$B$27,K$4)="",0,COUNTIF(Data!$B437:$U437,INDEX(Pengaturan!$B$8:$B$27,K$4)))</f>
        <v>0</v>
      </c>
      <c r="L437" s="26" t="n">
        <f aca="false">IF(INDEX(Pengaturan!$B$8:$B$27,L$4)="",0,COUNTIF(Data!$B437:$U437,INDEX(Pengaturan!$B$8:$B$27,L$4)))</f>
        <v>0</v>
      </c>
      <c r="M437" s="26" t="n">
        <f aca="false">IF(INDEX(Pengaturan!$B$8:$B$27,M$4)="",0,COUNTIF(Data!$B437:$U437,INDEX(Pengaturan!$B$8:$B$27,M$4)))</f>
        <v>0</v>
      </c>
      <c r="N437" s="26" t="n">
        <f aca="false">IF(INDEX(Pengaturan!$B$8:$B$27,N$4)="",0,COUNTIF(Data!$B437:$U437,INDEX(Pengaturan!$B$8:$B$27,N$4)))</f>
        <v>0</v>
      </c>
      <c r="O437" s="26" t="n">
        <f aca="false">IF(INDEX(Pengaturan!$B$8:$B$27,O$4)="",0,COUNTIF(Data!$B437:$U437,INDEX(Pengaturan!$B$8:$B$27,O$4)))</f>
        <v>0</v>
      </c>
      <c r="P437" s="26" t="n">
        <f aca="false">IF(INDEX(Pengaturan!$B$8:$B$27,P$4)="",0,COUNTIF(Data!$B437:$U437,INDEX(Pengaturan!$B$8:$B$27,P$4)))</f>
        <v>0</v>
      </c>
      <c r="Q437" s="26" t="n">
        <f aca="false">IF(INDEX(Pengaturan!$B$8:$B$27,Q$4)="",0,COUNTIF(Data!$B437:$U437,INDEX(Pengaturan!$B$8:$B$27,Q$4)))</f>
        <v>0</v>
      </c>
      <c r="R437" s="26" t="n">
        <f aca="false">IF(INDEX(Pengaturan!$B$8:$B$27,R$4)="",0,COUNTIF(Data!$B437:$U437,INDEX(Pengaturan!$B$8:$B$27,R$4)))</f>
        <v>0</v>
      </c>
      <c r="S437" s="26" t="n">
        <f aca="false">IF(INDEX(Pengaturan!$B$8:$B$27,S$4)="",0,COUNTIF(Data!$B437:$U437,INDEX(Pengaturan!$B$8:$B$27,S$4)))</f>
        <v>0</v>
      </c>
      <c r="T437" s="26" t="n">
        <f aca="false">IF(INDEX(Pengaturan!$B$8:$B$27,T$4)="",0,COUNTIF(Data!$B437:$U437,INDEX(Pengaturan!$B$8:$B$27,T$4)))</f>
        <v>0</v>
      </c>
      <c r="U437" s="26" t="n">
        <f aca="false">IF(INDEX(Pengaturan!$B$8:$B$27,U$4)="",0,COUNTIF(Data!$B437:$U437,INDEX(Pengaturan!$B$8:$B$27,U$4)))</f>
        <v>0</v>
      </c>
      <c r="V437" s="26" t="n">
        <f aca="false">COUNTA(Data!$B437:$U437)</f>
        <v>0</v>
      </c>
      <c r="W437" s="27" t="str">
        <f aca="false">IF(V437=0,"",IF(V437&lt;&gt;Hasil!$C$4,"Data kosong/tidak lengkap",IF(SUM(B437:U437)&lt;&gt;V437,"Kategori tidak dikenal","OK")))</f>
        <v/>
      </c>
      <c r="X437" s="26" t="n">
        <f aca="false">IF(OR(W437="",W437="OK"),0,1)</f>
        <v>0</v>
      </c>
    </row>
    <row r="438" customFormat="false" ht="15" hidden="false" customHeight="false" outlineLevel="0" collapsed="false">
      <c r="A438" s="26" t="n">
        <f aca="false">Data!A438</f>
        <v>433</v>
      </c>
      <c r="B438" s="26" t="n">
        <f aca="false">IF(INDEX(Pengaturan!$B$8:$B$27,B$4)="",0,COUNTIF(Data!$B438:$U438,INDEX(Pengaturan!$B$8:$B$27,B$4)))</f>
        <v>0</v>
      </c>
      <c r="C438" s="26" t="n">
        <f aca="false">IF(INDEX(Pengaturan!$B$8:$B$27,C$4)="",0,COUNTIF(Data!$B438:$U438,INDEX(Pengaturan!$B$8:$B$27,C$4)))</f>
        <v>0</v>
      </c>
      <c r="D438" s="26" t="n">
        <f aca="false">IF(INDEX(Pengaturan!$B$8:$B$27,D$4)="",0,COUNTIF(Data!$B438:$U438,INDEX(Pengaturan!$B$8:$B$27,D$4)))</f>
        <v>0</v>
      </c>
      <c r="E438" s="26" t="n">
        <f aca="false">IF(INDEX(Pengaturan!$B$8:$B$27,E$4)="",0,COUNTIF(Data!$B438:$U438,INDEX(Pengaturan!$B$8:$B$27,E$4)))</f>
        <v>0</v>
      </c>
      <c r="F438" s="26" t="n">
        <f aca="false">IF(INDEX(Pengaturan!$B$8:$B$27,F$4)="",0,COUNTIF(Data!$B438:$U438,INDEX(Pengaturan!$B$8:$B$27,F$4)))</f>
        <v>0</v>
      </c>
      <c r="G438" s="26" t="n">
        <f aca="false">IF(INDEX(Pengaturan!$B$8:$B$27,G$4)="",0,COUNTIF(Data!$B438:$U438,INDEX(Pengaturan!$B$8:$B$27,G$4)))</f>
        <v>0</v>
      </c>
      <c r="H438" s="26" t="n">
        <f aca="false">IF(INDEX(Pengaturan!$B$8:$B$27,H$4)="",0,COUNTIF(Data!$B438:$U438,INDEX(Pengaturan!$B$8:$B$27,H$4)))</f>
        <v>0</v>
      </c>
      <c r="I438" s="26" t="n">
        <f aca="false">IF(INDEX(Pengaturan!$B$8:$B$27,I$4)="",0,COUNTIF(Data!$B438:$U438,INDEX(Pengaturan!$B$8:$B$27,I$4)))</f>
        <v>0</v>
      </c>
      <c r="J438" s="26" t="n">
        <f aca="false">IF(INDEX(Pengaturan!$B$8:$B$27,J$4)="",0,COUNTIF(Data!$B438:$U438,INDEX(Pengaturan!$B$8:$B$27,J$4)))</f>
        <v>0</v>
      </c>
      <c r="K438" s="26" t="n">
        <f aca="false">IF(INDEX(Pengaturan!$B$8:$B$27,K$4)="",0,COUNTIF(Data!$B438:$U438,INDEX(Pengaturan!$B$8:$B$27,K$4)))</f>
        <v>0</v>
      </c>
      <c r="L438" s="26" t="n">
        <f aca="false">IF(INDEX(Pengaturan!$B$8:$B$27,L$4)="",0,COUNTIF(Data!$B438:$U438,INDEX(Pengaturan!$B$8:$B$27,L$4)))</f>
        <v>0</v>
      </c>
      <c r="M438" s="26" t="n">
        <f aca="false">IF(INDEX(Pengaturan!$B$8:$B$27,M$4)="",0,COUNTIF(Data!$B438:$U438,INDEX(Pengaturan!$B$8:$B$27,M$4)))</f>
        <v>0</v>
      </c>
      <c r="N438" s="26" t="n">
        <f aca="false">IF(INDEX(Pengaturan!$B$8:$B$27,N$4)="",0,COUNTIF(Data!$B438:$U438,INDEX(Pengaturan!$B$8:$B$27,N$4)))</f>
        <v>0</v>
      </c>
      <c r="O438" s="26" t="n">
        <f aca="false">IF(INDEX(Pengaturan!$B$8:$B$27,O$4)="",0,COUNTIF(Data!$B438:$U438,INDEX(Pengaturan!$B$8:$B$27,O$4)))</f>
        <v>0</v>
      </c>
      <c r="P438" s="26" t="n">
        <f aca="false">IF(INDEX(Pengaturan!$B$8:$B$27,P$4)="",0,COUNTIF(Data!$B438:$U438,INDEX(Pengaturan!$B$8:$B$27,P$4)))</f>
        <v>0</v>
      </c>
      <c r="Q438" s="26" t="n">
        <f aca="false">IF(INDEX(Pengaturan!$B$8:$B$27,Q$4)="",0,COUNTIF(Data!$B438:$U438,INDEX(Pengaturan!$B$8:$B$27,Q$4)))</f>
        <v>0</v>
      </c>
      <c r="R438" s="26" t="n">
        <f aca="false">IF(INDEX(Pengaturan!$B$8:$B$27,R$4)="",0,COUNTIF(Data!$B438:$U438,INDEX(Pengaturan!$B$8:$B$27,R$4)))</f>
        <v>0</v>
      </c>
      <c r="S438" s="26" t="n">
        <f aca="false">IF(INDEX(Pengaturan!$B$8:$B$27,S$4)="",0,COUNTIF(Data!$B438:$U438,INDEX(Pengaturan!$B$8:$B$27,S$4)))</f>
        <v>0</v>
      </c>
      <c r="T438" s="26" t="n">
        <f aca="false">IF(INDEX(Pengaturan!$B$8:$B$27,T$4)="",0,COUNTIF(Data!$B438:$U438,INDEX(Pengaturan!$B$8:$B$27,T$4)))</f>
        <v>0</v>
      </c>
      <c r="U438" s="26" t="n">
        <f aca="false">IF(INDEX(Pengaturan!$B$8:$B$27,U$4)="",0,COUNTIF(Data!$B438:$U438,INDEX(Pengaturan!$B$8:$B$27,U$4)))</f>
        <v>0</v>
      </c>
      <c r="V438" s="26" t="n">
        <f aca="false">COUNTA(Data!$B438:$U438)</f>
        <v>0</v>
      </c>
      <c r="W438" s="27" t="str">
        <f aca="false">IF(V438=0,"",IF(V438&lt;&gt;Hasil!$C$4,"Data kosong/tidak lengkap",IF(SUM(B438:U438)&lt;&gt;V438,"Kategori tidak dikenal","OK")))</f>
        <v/>
      </c>
      <c r="X438" s="26" t="n">
        <f aca="false">IF(OR(W438="",W438="OK"),0,1)</f>
        <v>0</v>
      </c>
    </row>
    <row r="439" customFormat="false" ht="15" hidden="false" customHeight="false" outlineLevel="0" collapsed="false">
      <c r="A439" s="26" t="n">
        <f aca="false">Data!A439</f>
        <v>434</v>
      </c>
      <c r="B439" s="26" t="n">
        <f aca="false">IF(INDEX(Pengaturan!$B$8:$B$27,B$4)="",0,COUNTIF(Data!$B439:$U439,INDEX(Pengaturan!$B$8:$B$27,B$4)))</f>
        <v>0</v>
      </c>
      <c r="C439" s="26" t="n">
        <f aca="false">IF(INDEX(Pengaturan!$B$8:$B$27,C$4)="",0,COUNTIF(Data!$B439:$U439,INDEX(Pengaturan!$B$8:$B$27,C$4)))</f>
        <v>0</v>
      </c>
      <c r="D439" s="26" t="n">
        <f aca="false">IF(INDEX(Pengaturan!$B$8:$B$27,D$4)="",0,COUNTIF(Data!$B439:$U439,INDEX(Pengaturan!$B$8:$B$27,D$4)))</f>
        <v>0</v>
      </c>
      <c r="E439" s="26" t="n">
        <f aca="false">IF(INDEX(Pengaturan!$B$8:$B$27,E$4)="",0,COUNTIF(Data!$B439:$U439,INDEX(Pengaturan!$B$8:$B$27,E$4)))</f>
        <v>0</v>
      </c>
      <c r="F439" s="26" t="n">
        <f aca="false">IF(INDEX(Pengaturan!$B$8:$B$27,F$4)="",0,COUNTIF(Data!$B439:$U439,INDEX(Pengaturan!$B$8:$B$27,F$4)))</f>
        <v>0</v>
      </c>
      <c r="G439" s="26" t="n">
        <f aca="false">IF(INDEX(Pengaturan!$B$8:$B$27,G$4)="",0,COUNTIF(Data!$B439:$U439,INDEX(Pengaturan!$B$8:$B$27,G$4)))</f>
        <v>0</v>
      </c>
      <c r="H439" s="26" t="n">
        <f aca="false">IF(INDEX(Pengaturan!$B$8:$B$27,H$4)="",0,COUNTIF(Data!$B439:$U439,INDEX(Pengaturan!$B$8:$B$27,H$4)))</f>
        <v>0</v>
      </c>
      <c r="I439" s="26" t="n">
        <f aca="false">IF(INDEX(Pengaturan!$B$8:$B$27,I$4)="",0,COUNTIF(Data!$B439:$U439,INDEX(Pengaturan!$B$8:$B$27,I$4)))</f>
        <v>0</v>
      </c>
      <c r="J439" s="26" t="n">
        <f aca="false">IF(INDEX(Pengaturan!$B$8:$B$27,J$4)="",0,COUNTIF(Data!$B439:$U439,INDEX(Pengaturan!$B$8:$B$27,J$4)))</f>
        <v>0</v>
      </c>
      <c r="K439" s="26" t="n">
        <f aca="false">IF(INDEX(Pengaturan!$B$8:$B$27,K$4)="",0,COUNTIF(Data!$B439:$U439,INDEX(Pengaturan!$B$8:$B$27,K$4)))</f>
        <v>0</v>
      </c>
      <c r="L439" s="26" t="n">
        <f aca="false">IF(INDEX(Pengaturan!$B$8:$B$27,L$4)="",0,COUNTIF(Data!$B439:$U439,INDEX(Pengaturan!$B$8:$B$27,L$4)))</f>
        <v>0</v>
      </c>
      <c r="M439" s="26" t="n">
        <f aca="false">IF(INDEX(Pengaturan!$B$8:$B$27,M$4)="",0,COUNTIF(Data!$B439:$U439,INDEX(Pengaturan!$B$8:$B$27,M$4)))</f>
        <v>0</v>
      </c>
      <c r="N439" s="26" t="n">
        <f aca="false">IF(INDEX(Pengaturan!$B$8:$B$27,N$4)="",0,COUNTIF(Data!$B439:$U439,INDEX(Pengaturan!$B$8:$B$27,N$4)))</f>
        <v>0</v>
      </c>
      <c r="O439" s="26" t="n">
        <f aca="false">IF(INDEX(Pengaturan!$B$8:$B$27,O$4)="",0,COUNTIF(Data!$B439:$U439,INDEX(Pengaturan!$B$8:$B$27,O$4)))</f>
        <v>0</v>
      </c>
      <c r="P439" s="26" t="n">
        <f aca="false">IF(INDEX(Pengaturan!$B$8:$B$27,P$4)="",0,COUNTIF(Data!$B439:$U439,INDEX(Pengaturan!$B$8:$B$27,P$4)))</f>
        <v>0</v>
      </c>
      <c r="Q439" s="26" t="n">
        <f aca="false">IF(INDEX(Pengaturan!$B$8:$B$27,Q$4)="",0,COUNTIF(Data!$B439:$U439,INDEX(Pengaturan!$B$8:$B$27,Q$4)))</f>
        <v>0</v>
      </c>
      <c r="R439" s="26" t="n">
        <f aca="false">IF(INDEX(Pengaturan!$B$8:$B$27,R$4)="",0,COUNTIF(Data!$B439:$U439,INDEX(Pengaturan!$B$8:$B$27,R$4)))</f>
        <v>0</v>
      </c>
      <c r="S439" s="26" t="n">
        <f aca="false">IF(INDEX(Pengaturan!$B$8:$B$27,S$4)="",0,COUNTIF(Data!$B439:$U439,INDEX(Pengaturan!$B$8:$B$27,S$4)))</f>
        <v>0</v>
      </c>
      <c r="T439" s="26" t="n">
        <f aca="false">IF(INDEX(Pengaturan!$B$8:$B$27,T$4)="",0,COUNTIF(Data!$B439:$U439,INDEX(Pengaturan!$B$8:$B$27,T$4)))</f>
        <v>0</v>
      </c>
      <c r="U439" s="26" t="n">
        <f aca="false">IF(INDEX(Pengaturan!$B$8:$B$27,U$4)="",0,COUNTIF(Data!$B439:$U439,INDEX(Pengaturan!$B$8:$B$27,U$4)))</f>
        <v>0</v>
      </c>
      <c r="V439" s="26" t="n">
        <f aca="false">COUNTA(Data!$B439:$U439)</f>
        <v>0</v>
      </c>
      <c r="W439" s="27" t="str">
        <f aca="false">IF(V439=0,"",IF(V439&lt;&gt;Hasil!$C$4,"Data kosong/tidak lengkap",IF(SUM(B439:U439)&lt;&gt;V439,"Kategori tidak dikenal","OK")))</f>
        <v/>
      </c>
      <c r="X439" s="26" t="n">
        <f aca="false">IF(OR(W439="",W439="OK"),0,1)</f>
        <v>0</v>
      </c>
    </row>
    <row r="440" customFormat="false" ht="15" hidden="false" customHeight="false" outlineLevel="0" collapsed="false">
      <c r="A440" s="26" t="n">
        <f aca="false">Data!A440</f>
        <v>435</v>
      </c>
      <c r="B440" s="26" t="n">
        <f aca="false">IF(INDEX(Pengaturan!$B$8:$B$27,B$4)="",0,COUNTIF(Data!$B440:$U440,INDEX(Pengaturan!$B$8:$B$27,B$4)))</f>
        <v>0</v>
      </c>
      <c r="C440" s="26" t="n">
        <f aca="false">IF(INDEX(Pengaturan!$B$8:$B$27,C$4)="",0,COUNTIF(Data!$B440:$U440,INDEX(Pengaturan!$B$8:$B$27,C$4)))</f>
        <v>0</v>
      </c>
      <c r="D440" s="26" t="n">
        <f aca="false">IF(INDEX(Pengaturan!$B$8:$B$27,D$4)="",0,COUNTIF(Data!$B440:$U440,INDEX(Pengaturan!$B$8:$B$27,D$4)))</f>
        <v>0</v>
      </c>
      <c r="E440" s="26" t="n">
        <f aca="false">IF(INDEX(Pengaturan!$B$8:$B$27,E$4)="",0,COUNTIF(Data!$B440:$U440,INDEX(Pengaturan!$B$8:$B$27,E$4)))</f>
        <v>0</v>
      </c>
      <c r="F440" s="26" t="n">
        <f aca="false">IF(INDEX(Pengaturan!$B$8:$B$27,F$4)="",0,COUNTIF(Data!$B440:$U440,INDEX(Pengaturan!$B$8:$B$27,F$4)))</f>
        <v>0</v>
      </c>
      <c r="G440" s="26" t="n">
        <f aca="false">IF(INDEX(Pengaturan!$B$8:$B$27,G$4)="",0,COUNTIF(Data!$B440:$U440,INDEX(Pengaturan!$B$8:$B$27,G$4)))</f>
        <v>0</v>
      </c>
      <c r="H440" s="26" t="n">
        <f aca="false">IF(INDEX(Pengaturan!$B$8:$B$27,H$4)="",0,COUNTIF(Data!$B440:$U440,INDEX(Pengaturan!$B$8:$B$27,H$4)))</f>
        <v>0</v>
      </c>
      <c r="I440" s="26" t="n">
        <f aca="false">IF(INDEX(Pengaturan!$B$8:$B$27,I$4)="",0,COUNTIF(Data!$B440:$U440,INDEX(Pengaturan!$B$8:$B$27,I$4)))</f>
        <v>0</v>
      </c>
      <c r="J440" s="26" t="n">
        <f aca="false">IF(INDEX(Pengaturan!$B$8:$B$27,J$4)="",0,COUNTIF(Data!$B440:$U440,INDEX(Pengaturan!$B$8:$B$27,J$4)))</f>
        <v>0</v>
      </c>
      <c r="K440" s="26" t="n">
        <f aca="false">IF(INDEX(Pengaturan!$B$8:$B$27,K$4)="",0,COUNTIF(Data!$B440:$U440,INDEX(Pengaturan!$B$8:$B$27,K$4)))</f>
        <v>0</v>
      </c>
      <c r="L440" s="26" t="n">
        <f aca="false">IF(INDEX(Pengaturan!$B$8:$B$27,L$4)="",0,COUNTIF(Data!$B440:$U440,INDEX(Pengaturan!$B$8:$B$27,L$4)))</f>
        <v>0</v>
      </c>
      <c r="M440" s="26" t="n">
        <f aca="false">IF(INDEX(Pengaturan!$B$8:$B$27,M$4)="",0,COUNTIF(Data!$B440:$U440,INDEX(Pengaturan!$B$8:$B$27,M$4)))</f>
        <v>0</v>
      </c>
      <c r="N440" s="26" t="n">
        <f aca="false">IF(INDEX(Pengaturan!$B$8:$B$27,N$4)="",0,COUNTIF(Data!$B440:$U440,INDEX(Pengaturan!$B$8:$B$27,N$4)))</f>
        <v>0</v>
      </c>
      <c r="O440" s="26" t="n">
        <f aca="false">IF(INDEX(Pengaturan!$B$8:$B$27,O$4)="",0,COUNTIF(Data!$B440:$U440,INDEX(Pengaturan!$B$8:$B$27,O$4)))</f>
        <v>0</v>
      </c>
      <c r="P440" s="26" t="n">
        <f aca="false">IF(INDEX(Pengaturan!$B$8:$B$27,P$4)="",0,COUNTIF(Data!$B440:$U440,INDEX(Pengaturan!$B$8:$B$27,P$4)))</f>
        <v>0</v>
      </c>
      <c r="Q440" s="26" t="n">
        <f aca="false">IF(INDEX(Pengaturan!$B$8:$B$27,Q$4)="",0,COUNTIF(Data!$B440:$U440,INDEX(Pengaturan!$B$8:$B$27,Q$4)))</f>
        <v>0</v>
      </c>
      <c r="R440" s="26" t="n">
        <f aca="false">IF(INDEX(Pengaturan!$B$8:$B$27,R$4)="",0,COUNTIF(Data!$B440:$U440,INDEX(Pengaturan!$B$8:$B$27,R$4)))</f>
        <v>0</v>
      </c>
      <c r="S440" s="26" t="n">
        <f aca="false">IF(INDEX(Pengaturan!$B$8:$B$27,S$4)="",0,COUNTIF(Data!$B440:$U440,INDEX(Pengaturan!$B$8:$B$27,S$4)))</f>
        <v>0</v>
      </c>
      <c r="T440" s="26" t="n">
        <f aca="false">IF(INDEX(Pengaturan!$B$8:$B$27,T$4)="",0,COUNTIF(Data!$B440:$U440,INDEX(Pengaturan!$B$8:$B$27,T$4)))</f>
        <v>0</v>
      </c>
      <c r="U440" s="26" t="n">
        <f aca="false">IF(INDEX(Pengaturan!$B$8:$B$27,U$4)="",0,COUNTIF(Data!$B440:$U440,INDEX(Pengaturan!$B$8:$B$27,U$4)))</f>
        <v>0</v>
      </c>
      <c r="V440" s="26" t="n">
        <f aca="false">COUNTA(Data!$B440:$U440)</f>
        <v>0</v>
      </c>
      <c r="W440" s="27" t="str">
        <f aca="false">IF(V440=0,"",IF(V440&lt;&gt;Hasil!$C$4,"Data kosong/tidak lengkap",IF(SUM(B440:U440)&lt;&gt;V440,"Kategori tidak dikenal","OK")))</f>
        <v/>
      </c>
      <c r="X440" s="26" t="n">
        <f aca="false">IF(OR(W440="",W440="OK"),0,1)</f>
        <v>0</v>
      </c>
    </row>
    <row r="441" customFormat="false" ht="15" hidden="false" customHeight="false" outlineLevel="0" collapsed="false">
      <c r="A441" s="26" t="n">
        <f aca="false">Data!A441</f>
        <v>436</v>
      </c>
      <c r="B441" s="26" t="n">
        <f aca="false">IF(INDEX(Pengaturan!$B$8:$B$27,B$4)="",0,COUNTIF(Data!$B441:$U441,INDEX(Pengaturan!$B$8:$B$27,B$4)))</f>
        <v>0</v>
      </c>
      <c r="C441" s="26" t="n">
        <f aca="false">IF(INDEX(Pengaturan!$B$8:$B$27,C$4)="",0,COUNTIF(Data!$B441:$U441,INDEX(Pengaturan!$B$8:$B$27,C$4)))</f>
        <v>0</v>
      </c>
      <c r="D441" s="26" t="n">
        <f aca="false">IF(INDEX(Pengaturan!$B$8:$B$27,D$4)="",0,COUNTIF(Data!$B441:$U441,INDEX(Pengaturan!$B$8:$B$27,D$4)))</f>
        <v>0</v>
      </c>
      <c r="E441" s="26" t="n">
        <f aca="false">IF(INDEX(Pengaturan!$B$8:$B$27,E$4)="",0,COUNTIF(Data!$B441:$U441,INDEX(Pengaturan!$B$8:$B$27,E$4)))</f>
        <v>0</v>
      </c>
      <c r="F441" s="26" t="n">
        <f aca="false">IF(INDEX(Pengaturan!$B$8:$B$27,F$4)="",0,COUNTIF(Data!$B441:$U441,INDEX(Pengaturan!$B$8:$B$27,F$4)))</f>
        <v>0</v>
      </c>
      <c r="G441" s="26" t="n">
        <f aca="false">IF(INDEX(Pengaturan!$B$8:$B$27,G$4)="",0,COUNTIF(Data!$B441:$U441,INDEX(Pengaturan!$B$8:$B$27,G$4)))</f>
        <v>0</v>
      </c>
      <c r="H441" s="26" t="n">
        <f aca="false">IF(INDEX(Pengaturan!$B$8:$B$27,H$4)="",0,COUNTIF(Data!$B441:$U441,INDEX(Pengaturan!$B$8:$B$27,H$4)))</f>
        <v>0</v>
      </c>
      <c r="I441" s="26" t="n">
        <f aca="false">IF(INDEX(Pengaturan!$B$8:$B$27,I$4)="",0,COUNTIF(Data!$B441:$U441,INDEX(Pengaturan!$B$8:$B$27,I$4)))</f>
        <v>0</v>
      </c>
      <c r="J441" s="26" t="n">
        <f aca="false">IF(INDEX(Pengaturan!$B$8:$B$27,J$4)="",0,COUNTIF(Data!$B441:$U441,INDEX(Pengaturan!$B$8:$B$27,J$4)))</f>
        <v>0</v>
      </c>
      <c r="K441" s="26" t="n">
        <f aca="false">IF(INDEX(Pengaturan!$B$8:$B$27,K$4)="",0,COUNTIF(Data!$B441:$U441,INDEX(Pengaturan!$B$8:$B$27,K$4)))</f>
        <v>0</v>
      </c>
      <c r="L441" s="26" t="n">
        <f aca="false">IF(INDEX(Pengaturan!$B$8:$B$27,L$4)="",0,COUNTIF(Data!$B441:$U441,INDEX(Pengaturan!$B$8:$B$27,L$4)))</f>
        <v>0</v>
      </c>
      <c r="M441" s="26" t="n">
        <f aca="false">IF(INDEX(Pengaturan!$B$8:$B$27,M$4)="",0,COUNTIF(Data!$B441:$U441,INDEX(Pengaturan!$B$8:$B$27,M$4)))</f>
        <v>0</v>
      </c>
      <c r="N441" s="26" t="n">
        <f aca="false">IF(INDEX(Pengaturan!$B$8:$B$27,N$4)="",0,COUNTIF(Data!$B441:$U441,INDEX(Pengaturan!$B$8:$B$27,N$4)))</f>
        <v>0</v>
      </c>
      <c r="O441" s="26" t="n">
        <f aca="false">IF(INDEX(Pengaturan!$B$8:$B$27,O$4)="",0,COUNTIF(Data!$B441:$U441,INDEX(Pengaturan!$B$8:$B$27,O$4)))</f>
        <v>0</v>
      </c>
      <c r="P441" s="26" t="n">
        <f aca="false">IF(INDEX(Pengaturan!$B$8:$B$27,P$4)="",0,COUNTIF(Data!$B441:$U441,INDEX(Pengaturan!$B$8:$B$27,P$4)))</f>
        <v>0</v>
      </c>
      <c r="Q441" s="26" t="n">
        <f aca="false">IF(INDEX(Pengaturan!$B$8:$B$27,Q$4)="",0,COUNTIF(Data!$B441:$U441,INDEX(Pengaturan!$B$8:$B$27,Q$4)))</f>
        <v>0</v>
      </c>
      <c r="R441" s="26" t="n">
        <f aca="false">IF(INDEX(Pengaturan!$B$8:$B$27,R$4)="",0,COUNTIF(Data!$B441:$U441,INDEX(Pengaturan!$B$8:$B$27,R$4)))</f>
        <v>0</v>
      </c>
      <c r="S441" s="26" t="n">
        <f aca="false">IF(INDEX(Pengaturan!$B$8:$B$27,S$4)="",0,COUNTIF(Data!$B441:$U441,INDEX(Pengaturan!$B$8:$B$27,S$4)))</f>
        <v>0</v>
      </c>
      <c r="T441" s="26" t="n">
        <f aca="false">IF(INDEX(Pengaturan!$B$8:$B$27,T$4)="",0,COUNTIF(Data!$B441:$U441,INDEX(Pengaturan!$B$8:$B$27,T$4)))</f>
        <v>0</v>
      </c>
      <c r="U441" s="26" t="n">
        <f aca="false">IF(INDEX(Pengaturan!$B$8:$B$27,U$4)="",0,COUNTIF(Data!$B441:$U441,INDEX(Pengaturan!$B$8:$B$27,U$4)))</f>
        <v>0</v>
      </c>
      <c r="V441" s="26" t="n">
        <f aca="false">COUNTA(Data!$B441:$U441)</f>
        <v>0</v>
      </c>
      <c r="W441" s="27" t="str">
        <f aca="false">IF(V441=0,"",IF(V441&lt;&gt;Hasil!$C$4,"Data kosong/tidak lengkap",IF(SUM(B441:U441)&lt;&gt;V441,"Kategori tidak dikenal","OK")))</f>
        <v/>
      </c>
      <c r="X441" s="26" t="n">
        <f aca="false">IF(OR(W441="",W441="OK"),0,1)</f>
        <v>0</v>
      </c>
    </row>
    <row r="442" customFormat="false" ht="15" hidden="false" customHeight="false" outlineLevel="0" collapsed="false">
      <c r="A442" s="26" t="n">
        <f aca="false">Data!A442</f>
        <v>437</v>
      </c>
      <c r="B442" s="26" t="n">
        <f aca="false">IF(INDEX(Pengaturan!$B$8:$B$27,B$4)="",0,COUNTIF(Data!$B442:$U442,INDEX(Pengaturan!$B$8:$B$27,B$4)))</f>
        <v>0</v>
      </c>
      <c r="C442" s="26" t="n">
        <f aca="false">IF(INDEX(Pengaturan!$B$8:$B$27,C$4)="",0,COUNTIF(Data!$B442:$U442,INDEX(Pengaturan!$B$8:$B$27,C$4)))</f>
        <v>0</v>
      </c>
      <c r="D442" s="26" t="n">
        <f aca="false">IF(INDEX(Pengaturan!$B$8:$B$27,D$4)="",0,COUNTIF(Data!$B442:$U442,INDEX(Pengaturan!$B$8:$B$27,D$4)))</f>
        <v>0</v>
      </c>
      <c r="E442" s="26" t="n">
        <f aca="false">IF(INDEX(Pengaturan!$B$8:$B$27,E$4)="",0,COUNTIF(Data!$B442:$U442,INDEX(Pengaturan!$B$8:$B$27,E$4)))</f>
        <v>0</v>
      </c>
      <c r="F442" s="26" t="n">
        <f aca="false">IF(INDEX(Pengaturan!$B$8:$B$27,F$4)="",0,COUNTIF(Data!$B442:$U442,INDEX(Pengaturan!$B$8:$B$27,F$4)))</f>
        <v>0</v>
      </c>
      <c r="G442" s="26" t="n">
        <f aca="false">IF(INDEX(Pengaturan!$B$8:$B$27,G$4)="",0,COUNTIF(Data!$B442:$U442,INDEX(Pengaturan!$B$8:$B$27,G$4)))</f>
        <v>0</v>
      </c>
      <c r="H442" s="26" t="n">
        <f aca="false">IF(INDEX(Pengaturan!$B$8:$B$27,H$4)="",0,COUNTIF(Data!$B442:$U442,INDEX(Pengaturan!$B$8:$B$27,H$4)))</f>
        <v>0</v>
      </c>
      <c r="I442" s="26" t="n">
        <f aca="false">IF(INDEX(Pengaturan!$B$8:$B$27,I$4)="",0,COUNTIF(Data!$B442:$U442,INDEX(Pengaturan!$B$8:$B$27,I$4)))</f>
        <v>0</v>
      </c>
      <c r="J442" s="26" t="n">
        <f aca="false">IF(INDEX(Pengaturan!$B$8:$B$27,J$4)="",0,COUNTIF(Data!$B442:$U442,INDEX(Pengaturan!$B$8:$B$27,J$4)))</f>
        <v>0</v>
      </c>
      <c r="K442" s="26" t="n">
        <f aca="false">IF(INDEX(Pengaturan!$B$8:$B$27,K$4)="",0,COUNTIF(Data!$B442:$U442,INDEX(Pengaturan!$B$8:$B$27,K$4)))</f>
        <v>0</v>
      </c>
      <c r="L442" s="26" t="n">
        <f aca="false">IF(INDEX(Pengaturan!$B$8:$B$27,L$4)="",0,COUNTIF(Data!$B442:$U442,INDEX(Pengaturan!$B$8:$B$27,L$4)))</f>
        <v>0</v>
      </c>
      <c r="M442" s="26" t="n">
        <f aca="false">IF(INDEX(Pengaturan!$B$8:$B$27,M$4)="",0,COUNTIF(Data!$B442:$U442,INDEX(Pengaturan!$B$8:$B$27,M$4)))</f>
        <v>0</v>
      </c>
      <c r="N442" s="26" t="n">
        <f aca="false">IF(INDEX(Pengaturan!$B$8:$B$27,N$4)="",0,COUNTIF(Data!$B442:$U442,INDEX(Pengaturan!$B$8:$B$27,N$4)))</f>
        <v>0</v>
      </c>
      <c r="O442" s="26" t="n">
        <f aca="false">IF(INDEX(Pengaturan!$B$8:$B$27,O$4)="",0,COUNTIF(Data!$B442:$U442,INDEX(Pengaturan!$B$8:$B$27,O$4)))</f>
        <v>0</v>
      </c>
      <c r="P442" s="26" t="n">
        <f aca="false">IF(INDEX(Pengaturan!$B$8:$B$27,P$4)="",0,COUNTIF(Data!$B442:$U442,INDEX(Pengaturan!$B$8:$B$27,P$4)))</f>
        <v>0</v>
      </c>
      <c r="Q442" s="26" t="n">
        <f aca="false">IF(INDEX(Pengaturan!$B$8:$B$27,Q$4)="",0,COUNTIF(Data!$B442:$U442,INDEX(Pengaturan!$B$8:$B$27,Q$4)))</f>
        <v>0</v>
      </c>
      <c r="R442" s="26" t="n">
        <f aca="false">IF(INDEX(Pengaturan!$B$8:$B$27,R$4)="",0,COUNTIF(Data!$B442:$U442,INDEX(Pengaturan!$B$8:$B$27,R$4)))</f>
        <v>0</v>
      </c>
      <c r="S442" s="26" t="n">
        <f aca="false">IF(INDEX(Pengaturan!$B$8:$B$27,S$4)="",0,COUNTIF(Data!$B442:$U442,INDEX(Pengaturan!$B$8:$B$27,S$4)))</f>
        <v>0</v>
      </c>
      <c r="T442" s="26" t="n">
        <f aca="false">IF(INDEX(Pengaturan!$B$8:$B$27,T$4)="",0,COUNTIF(Data!$B442:$U442,INDEX(Pengaturan!$B$8:$B$27,T$4)))</f>
        <v>0</v>
      </c>
      <c r="U442" s="26" t="n">
        <f aca="false">IF(INDEX(Pengaturan!$B$8:$B$27,U$4)="",0,COUNTIF(Data!$B442:$U442,INDEX(Pengaturan!$B$8:$B$27,U$4)))</f>
        <v>0</v>
      </c>
      <c r="V442" s="26" t="n">
        <f aca="false">COUNTA(Data!$B442:$U442)</f>
        <v>0</v>
      </c>
      <c r="W442" s="27" t="str">
        <f aca="false">IF(V442=0,"",IF(V442&lt;&gt;Hasil!$C$4,"Data kosong/tidak lengkap",IF(SUM(B442:U442)&lt;&gt;V442,"Kategori tidak dikenal","OK")))</f>
        <v/>
      </c>
      <c r="X442" s="26" t="n">
        <f aca="false">IF(OR(W442="",W442="OK"),0,1)</f>
        <v>0</v>
      </c>
    </row>
    <row r="443" customFormat="false" ht="15" hidden="false" customHeight="false" outlineLevel="0" collapsed="false">
      <c r="A443" s="26" t="n">
        <f aca="false">Data!A443</f>
        <v>438</v>
      </c>
      <c r="B443" s="26" t="n">
        <f aca="false">IF(INDEX(Pengaturan!$B$8:$B$27,B$4)="",0,COUNTIF(Data!$B443:$U443,INDEX(Pengaturan!$B$8:$B$27,B$4)))</f>
        <v>0</v>
      </c>
      <c r="C443" s="26" t="n">
        <f aca="false">IF(INDEX(Pengaturan!$B$8:$B$27,C$4)="",0,COUNTIF(Data!$B443:$U443,INDEX(Pengaturan!$B$8:$B$27,C$4)))</f>
        <v>0</v>
      </c>
      <c r="D443" s="26" t="n">
        <f aca="false">IF(INDEX(Pengaturan!$B$8:$B$27,D$4)="",0,COUNTIF(Data!$B443:$U443,INDEX(Pengaturan!$B$8:$B$27,D$4)))</f>
        <v>0</v>
      </c>
      <c r="E443" s="26" t="n">
        <f aca="false">IF(INDEX(Pengaturan!$B$8:$B$27,E$4)="",0,COUNTIF(Data!$B443:$U443,INDEX(Pengaturan!$B$8:$B$27,E$4)))</f>
        <v>0</v>
      </c>
      <c r="F443" s="26" t="n">
        <f aca="false">IF(INDEX(Pengaturan!$B$8:$B$27,F$4)="",0,COUNTIF(Data!$B443:$U443,INDEX(Pengaturan!$B$8:$B$27,F$4)))</f>
        <v>0</v>
      </c>
      <c r="G443" s="26" t="n">
        <f aca="false">IF(INDEX(Pengaturan!$B$8:$B$27,G$4)="",0,COUNTIF(Data!$B443:$U443,INDEX(Pengaturan!$B$8:$B$27,G$4)))</f>
        <v>0</v>
      </c>
      <c r="H443" s="26" t="n">
        <f aca="false">IF(INDEX(Pengaturan!$B$8:$B$27,H$4)="",0,COUNTIF(Data!$B443:$U443,INDEX(Pengaturan!$B$8:$B$27,H$4)))</f>
        <v>0</v>
      </c>
      <c r="I443" s="26" t="n">
        <f aca="false">IF(INDEX(Pengaturan!$B$8:$B$27,I$4)="",0,COUNTIF(Data!$B443:$U443,INDEX(Pengaturan!$B$8:$B$27,I$4)))</f>
        <v>0</v>
      </c>
      <c r="J443" s="26" t="n">
        <f aca="false">IF(INDEX(Pengaturan!$B$8:$B$27,J$4)="",0,COUNTIF(Data!$B443:$U443,INDEX(Pengaturan!$B$8:$B$27,J$4)))</f>
        <v>0</v>
      </c>
      <c r="K443" s="26" t="n">
        <f aca="false">IF(INDEX(Pengaturan!$B$8:$B$27,K$4)="",0,COUNTIF(Data!$B443:$U443,INDEX(Pengaturan!$B$8:$B$27,K$4)))</f>
        <v>0</v>
      </c>
      <c r="L443" s="26" t="n">
        <f aca="false">IF(INDEX(Pengaturan!$B$8:$B$27,L$4)="",0,COUNTIF(Data!$B443:$U443,INDEX(Pengaturan!$B$8:$B$27,L$4)))</f>
        <v>0</v>
      </c>
      <c r="M443" s="26" t="n">
        <f aca="false">IF(INDEX(Pengaturan!$B$8:$B$27,M$4)="",0,COUNTIF(Data!$B443:$U443,INDEX(Pengaturan!$B$8:$B$27,M$4)))</f>
        <v>0</v>
      </c>
      <c r="N443" s="26" t="n">
        <f aca="false">IF(INDEX(Pengaturan!$B$8:$B$27,N$4)="",0,COUNTIF(Data!$B443:$U443,INDEX(Pengaturan!$B$8:$B$27,N$4)))</f>
        <v>0</v>
      </c>
      <c r="O443" s="26" t="n">
        <f aca="false">IF(INDEX(Pengaturan!$B$8:$B$27,O$4)="",0,COUNTIF(Data!$B443:$U443,INDEX(Pengaturan!$B$8:$B$27,O$4)))</f>
        <v>0</v>
      </c>
      <c r="P443" s="26" t="n">
        <f aca="false">IF(INDEX(Pengaturan!$B$8:$B$27,P$4)="",0,COUNTIF(Data!$B443:$U443,INDEX(Pengaturan!$B$8:$B$27,P$4)))</f>
        <v>0</v>
      </c>
      <c r="Q443" s="26" t="n">
        <f aca="false">IF(INDEX(Pengaturan!$B$8:$B$27,Q$4)="",0,COUNTIF(Data!$B443:$U443,INDEX(Pengaturan!$B$8:$B$27,Q$4)))</f>
        <v>0</v>
      </c>
      <c r="R443" s="26" t="n">
        <f aca="false">IF(INDEX(Pengaturan!$B$8:$B$27,R$4)="",0,COUNTIF(Data!$B443:$U443,INDEX(Pengaturan!$B$8:$B$27,R$4)))</f>
        <v>0</v>
      </c>
      <c r="S443" s="26" t="n">
        <f aca="false">IF(INDEX(Pengaturan!$B$8:$B$27,S$4)="",0,COUNTIF(Data!$B443:$U443,INDEX(Pengaturan!$B$8:$B$27,S$4)))</f>
        <v>0</v>
      </c>
      <c r="T443" s="26" t="n">
        <f aca="false">IF(INDEX(Pengaturan!$B$8:$B$27,T$4)="",0,COUNTIF(Data!$B443:$U443,INDEX(Pengaturan!$B$8:$B$27,T$4)))</f>
        <v>0</v>
      </c>
      <c r="U443" s="26" t="n">
        <f aca="false">IF(INDEX(Pengaturan!$B$8:$B$27,U$4)="",0,COUNTIF(Data!$B443:$U443,INDEX(Pengaturan!$B$8:$B$27,U$4)))</f>
        <v>0</v>
      </c>
      <c r="V443" s="26" t="n">
        <f aca="false">COUNTA(Data!$B443:$U443)</f>
        <v>0</v>
      </c>
      <c r="W443" s="27" t="str">
        <f aca="false">IF(V443=0,"",IF(V443&lt;&gt;Hasil!$C$4,"Data kosong/tidak lengkap",IF(SUM(B443:U443)&lt;&gt;V443,"Kategori tidak dikenal","OK")))</f>
        <v/>
      </c>
      <c r="X443" s="26" t="n">
        <f aca="false">IF(OR(W443="",W443="OK"),0,1)</f>
        <v>0</v>
      </c>
    </row>
    <row r="444" customFormat="false" ht="15" hidden="false" customHeight="false" outlineLevel="0" collapsed="false">
      <c r="A444" s="26" t="n">
        <f aca="false">Data!A444</f>
        <v>439</v>
      </c>
      <c r="B444" s="26" t="n">
        <f aca="false">IF(INDEX(Pengaturan!$B$8:$B$27,B$4)="",0,COUNTIF(Data!$B444:$U444,INDEX(Pengaturan!$B$8:$B$27,B$4)))</f>
        <v>0</v>
      </c>
      <c r="C444" s="26" t="n">
        <f aca="false">IF(INDEX(Pengaturan!$B$8:$B$27,C$4)="",0,COUNTIF(Data!$B444:$U444,INDEX(Pengaturan!$B$8:$B$27,C$4)))</f>
        <v>0</v>
      </c>
      <c r="D444" s="26" t="n">
        <f aca="false">IF(INDEX(Pengaturan!$B$8:$B$27,D$4)="",0,COUNTIF(Data!$B444:$U444,INDEX(Pengaturan!$B$8:$B$27,D$4)))</f>
        <v>0</v>
      </c>
      <c r="E444" s="26" t="n">
        <f aca="false">IF(INDEX(Pengaturan!$B$8:$B$27,E$4)="",0,COUNTIF(Data!$B444:$U444,INDEX(Pengaturan!$B$8:$B$27,E$4)))</f>
        <v>0</v>
      </c>
      <c r="F444" s="26" t="n">
        <f aca="false">IF(INDEX(Pengaturan!$B$8:$B$27,F$4)="",0,COUNTIF(Data!$B444:$U444,INDEX(Pengaturan!$B$8:$B$27,F$4)))</f>
        <v>0</v>
      </c>
      <c r="G444" s="26" t="n">
        <f aca="false">IF(INDEX(Pengaturan!$B$8:$B$27,G$4)="",0,COUNTIF(Data!$B444:$U444,INDEX(Pengaturan!$B$8:$B$27,G$4)))</f>
        <v>0</v>
      </c>
      <c r="H444" s="26" t="n">
        <f aca="false">IF(INDEX(Pengaturan!$B$8:$B$27,H$4)="",0,COUNTIF(Data!$B444:$U444,INDEX(Pengaturan!$B$8:$B$27,H$4)))</f>
        <v>0</v>
      </c>
      <c r="I444" s="26" t="n">
        <f aca="false">IF(INDEX(Pengaturan!$B$8:$B$27,I$4)="",0,COUNTIF(Data!$B444:$U444,INDEX(Pengaturan!$B$8:$B$27,I$4)))</f>
        <v>0</v>
      </c>
      <c r="J444" s="26" t="n">
        <f aca="false">IF(INDEX(Pengaturan!$B$8:$B$27,J$4)="",0,COUNTIF(Data!$B444:$U444,INDEX(Pengaturan!$B$8:$B$27,J$4)))</f>
        <v>0</v>
      </c>
      <c r="K444" s="26" t="n">
        <f aca="false">IF(INDEX(Pengaturan!$B$8:$B$27,K$4)="",0,COUNTIF(Data!$B444:$U444,INDEX(Pengaturan!$B$8:$B$27,K$4)))</f>
        <v>0</v>
      </c>
      <c r="L444" s="26" t="n">
        <f aca="false">IF(INDEX(Pengaturan!$B$8:$B$27,L$4)="",0,COUNTIF(Data!$B444:$U444,INDEX(Pengaturan!$B$8:$B$27,L$4)))</f>
        <v>0</v>
      </c>
      <c r="M444" s="26" t="n">
        <f aca="false">IF(INDEX(Pengaturan!$B$8:$B$27,M$4)="",0,COUNTIF(Data!$B444:$U444,INDEX(Pengaturan!$B$8:$B$27,M$4)))</f>
        <v>0</v>
      </c>
      <c r="N444" s="26" t="n">
        <f aca="false">IF(INDEX(Pengaturan!$B$8:$B$27,N$4)="",0,COUNTIF(Data!$B444:$U444,INDEX(Pengaturan!$B$8:$B$27,N$4)))</f>
        <v>0</v>
      </c>
      <c r="O444" s="26" t="n">
        <f aca="false">IF(INDEX(Pengaturan!$B$8:$B$27,O$4)="",0,COUNTIF(Data!$B444:$U444,INDEX(Pengaturan!$B$8:$B$27,O$4)))</f>
        <v>0</v>
      </c>
      <c r="P444" s="26" t="n">
        <f aca="false">IF(INDEX(Pengaturan!$B$8:$B$27,P$4)="",0,COUNTIF(Data!$B444:$U444,INDEX(Pengaturan!$B$8:$B$27,P$4)))</f>
        <v>0</v>
      </c>
      <c r="Q444" s="26" t="n">
        <f aca="false">IF(INDEX(Pengaturan!$B$8:$B$27,Q$4)="",0,COUNTIF(Data!$B444:$U444,INDEX(Pengaturan!$B$8:$B$27,Q$4)))</f>
        <v>0</v>
      </c>
      <c r="R444" s="26" t="n">
        <f aca="false">IF(INDEX(Pengaturan!$B$8:$B$27,R$4)="",0,COUNTIF(Data!$B444:$U444,INDEX(Pengaturan!$B$8:$B$27,R$4)))</f>
        <v>0</v>
      </c>
      <c r="S444" s="26" t="n">
        <f aca="false">IF(INDEX(Pengaturan!$B$8:$B$27,S$4)="",0,COUNTIF(Data!$B444:$U444,INDEX(Pengaturan!$B$8:$B$27,S$4)))</f>
        <v>0</v>
      </c>
      <c r="T444" s="26" t="n">
        <f aca="false">IF(INDEX(Pengaturan!$B$8:$B$27,T$4)="",0,COUNTIF(Data!$B444:$U444,INDEX(Pengaturan!$B$8:$B$27,T$4)))</f>
        <v>0</v>
      </c>
      <c r="U444" s="26" t="n">
        <f aca="false">IF(INDEX(Pengaturan!$B$8:$B$27,U$4)="",0,COUNTIF(Data!$B444:$U444,INDEX(Pengaturan!$B$8:$B$27,U$4)))</f>
        <v>0</v>
      </c>
      <c r="V444" s="26" t="n">
        <f aca="false">COUNTA(Data!$B444:$U444)</f>
        <v>0</v>
      </c>
      <c r="W444" s="27" t="str">
        <f aca="false">IF(V444=0,"",IF(V444&lt;&gt;Hasil!$C$4,"Data kosong/tidak lengkap",IF(SUM(B444:U444)&lt;&gt;V444,"Kategori tidak dikenal","OK")))</f>
        <v/>
      </c>
      <c r="X444" s="26" t="n">
        <f aca="false">IF(OR(W444="",W444="OK"),0,1)</f>
        <v>0</v>
      </c>
    </row>
    <row r="445" customFormat="false" ht="15" hidden="false" customHeight="false" outlineLevel="0" collapsed="false">
      <c r="A445" s="26" t="n">
        <f aca="false">Data!A445</f>
        <v>440</v>
      </c>
      <c r="B445" s="26" t="n">
        <f aca="false">IF(INDEX(Pengaturan!$B$8:$B$27,B$4)="",0,COUNTIF(Data!$B445:$U445,INDEX(Pengaturan!$B$8:$B$27,B$4)))</f>
        <v>0</v>
      </c>
      <c r="C445" s="26" t="n">
        <f aca="false">IF(INDEX(Pengaturan!$B$8:$B$27,C$4)="",0,COUNTIF(Data!$B445:$U445,INDEX(Pengaturan!$B$8:$B$27,C$4)))</f>
        <v>0</v>
      </c>
      <c r="D445" s="26" t="n">
        <f aca="false">IF(INDEX(Pengaturan!$B$8:$B$27,D$4)="",0,COUNTIF(Data!$B445:$U445,INDEX(Pengaturan!$B$8:$B$27,D$4)))</f>
        <v>0</v>
      </c>
      <c r="E445" s="26" t="n">
        <f aca="false">IF(INDEX(Pengaturan!$B$8:$B$27,E$4)="",0,COUNTIF(Data!$B445:$U445,INDEX(Pengaturan!$B$8:$B$27,E$4)))</f>
        <v>0</v>
      </c>
      <c r="F445" s="26" t="n">
        <f aca="false">IF(INDEX(Pengaturan!$B$8:$B$27,F$4)="",0,COUNTIF(Data!$B445:$U445,INDEX(Pengaturan!$B$8:$B$27,F$4)))</f>
        <v>0</v>
      </c>
      <c r="G445" s="26" t="n">
        <f aca="false">IF(INDEX(Pengaturan!$B$8:$B$27,G$4)="",0,COUNTIF(Data!$B445:$U445,INDEX(Pengaturan!$B$8:$B$27,G$4)))</f>
        <v>0</v>
      </c>
      <c r="H445" s="26" t="n">
        <f aca="false">IF(INDEX(Pengaturan!$B$8:$B$27,H$4)="",0,COUNTIF(Data!$B445:$U445,INDEX(Pengaturan!$B$8:$B$27,H$4)))</f>
        <v>0</v>
      </c>
      <c r="I445" s="26" t="n">
        <f aca="false">IF(INDEX(Pengaturan!$B$8:$B$27,I$4)="",0,COUNTIF(Data!$B445:$U445,INDEX(Pengaturan!$B$8:$B$27,I$4)))</f>
        <v>0</v>
      </c>
      <c r="J445" s="26" t="n">
        <f aca="false">IF(INDEX(Pengaturan!$B$8:$B$27,J$4)="",0,COUNTIF(Data!$B445:$U445,INDEX(Pengaturan!$B$8:$B$27,J$4)))</f>
        <v>0</v>
      </c>
      <c r="K445" s="26" t="n">
        <f aca="false">IF(INDEX(Pengaturan!$B$8:$B$27,K$4)="",0,COUNTIF(Data!$B445:$U445,INDEX(Pengaturan!$B$8:$B$27,K$4)))</f>
        <v>0</v>
      </c>
      <c r="L445" s="26" t="n">
        <f aca="false">IF(INDEX(Pengaturan!$B$8:$B$27,L$4)="",0,COUNTIF(Data!$B445:$U445,INDEX(Pengaturan!$B$8:$B$27,L$4)))</f>
        <v>0</v>
      </c>
      <c r="M445" s="26" t="n">
        <f aca="false">IF(INDEX(Pengaturan!$B$8:$B$27,M$4)="",0,COUNTIF(Data!$B445:$U445,INDEX(Pengaturan!$B$8:$B$27,M$4)))</f>
        <v>0</v>
      </c>
      <c r="N445" s="26" t="n">
        <f aca="false">IF(INDEX(Pengaturan!$B$8:$B$27,N$4)="",0,COUNTIF(Data!$B445:$U445,INDEX(Pengaturan!$B$8:$B$27,N$4)))</f>
        <v>0</v>
      </c>
      <c r="O445" s="26" t="n">
        <f aca="false">IF(INDEX(Pengaturan!$B$8:$B$27,O$4)="",0,COUNTIF(Data!$B445:$U445,INDEX(Pengaturan!$B$8:$B$27,O$4)))</f>
        <v>0</v>
      </c>
      <c r="P445" s="26" t="n">
        <f aca="false">IF(INDEX(Pengaturan!$B$8:$B$27,P$4)="",0,COUNTIF(Data!$B445:$U445,INDEX(Pengaturan!$B$8:$B$27,P$4)))</f>
        <v>0</v>
      </c>
      <c r="Q445" s="26" t="n">
        <f aca="false">IF(INDEX(Pengaturan!$B$8:$B$27,Q$4)="",0,COUNTIF(Data!$B445:$U445,INDEX(Pengaturan!$B$8:$B$27,Q$4)))</f>
        <v>0</v>
      </c>
      <c r="R445" s="26" t="n">
        <f aca="false">IF(INDEX(Pengaturan!$B$8:$B$27,R$4)="",0,COUNTIF(Data!$B445:$U445,INDEX(Pengaturan!$B$8:$B$27,R$4)))</f>
        <v>0</v>
      </c>
      <c r="S445" s="26" t="n">
        <f aca="false">IF(INDEX(Pengaturan!$B$8:$B$27,S$4)="",0,COUNTIF(Data!$B445:$U445,INDEX(Pengaturan!$B$8:$B$27,S$4)))</f>
        <v>0</v>
      </c>
      <c r="T445" s="26" t="n">
        <f aca="false">IF(INDEX(Pengaturan!$B$8:$B$27,T$4)="",0,COUNTIF(Data!$B445:$U445,INDEX(Pengaturan!$B$8:$B$27,T$4)))</f>
        <v>0</v>
      </c>
      <c r="U445" s="26" t="n">
        <f aca="false">IF(INDEX(Pengaturan!$B$8:$B$27,U$4)="",0,COUNTIF(Data!$B445:$U445,INDEX(Pengaturan!$B$8:$B$27,U$4)))</f>
        <v>0</v>
      </c>
      <c r="V445" s="26" t="n">
        <f aca="false">COUNTA(Data!$B445:$U445)</f>
        <v>0</v>
      </c>
      <c r="W445" s="27" t="str">
        <f aca="false">IF(V445=0,"",IF(V445&lt;&gt;Hasil!$C$4,"Data kosong/tidak lengkap",IF(SUM(B445:U445)&lt;&gt;V445,"Kategori tidak dikenal","OK")))</f>
        <v/>
      </c>
      <c r="X445" s="26" t="n">
        <f aca="false">IF(OR(W445="",W445="OK"),0,1)</f>
        <v>0</v>
      </c>
    </row>
    <row r="446" customFormat="false" ht="15" hidden="false" customHeight="false" outlineLevel="0" collapsed="false">
      <c r="A446" s="26" t="n">
        <f aca="false">Data!A446</f>
        <v>441</v>
      </c>
      <c r="B446" s="26" t="n">
        <f aca="false">IF(INDEX(Pengaturan!$B$8:$B$27,B$4)="",0,COUNTIF(Data!$B446:$U446,INDEX(Pengaturan!$B$8:$B$27,B$4)))</f>
        <v>0</v>
      </c>
      <c r="C446" s="26" t="n">
        <f aca="false">IF(INDEX(Pengaturan!$B$8:$B$27,C$4)="",0,COUNTIF(Data!$B446:$U446,INDEX(Pengaturan!$B$8:$B$27,C$4)))</f>
        <v>0</v>
      </c>
      <c r="D446" s="26" t="n">
        <f aca="false">IF(INDEX(Pengaturan!$B$8:$B$27,D$4)="",0,COUNTIF(Data!$B446:$U446,INDEX(Pengaturan!$B$8:$B$27,D$4)))</f>
        <v>0</v>
      </c>
      <c r="E446" s="26" t="n">
        <f aca="false">IF(INDEX(Pengaturan!$B$8:$B$27,E$4)="",0,COUNTIF(Data!$B446:$U446,INDEX(Pengaturan!$B$8:$B$27,E$4)))</f>
        <v>0</v>
      </c>
      <c r="F446" s="26" t="n">
        <f aca="false">IF(INDEX(Pengaturan!$B$8:$B$27,F$4)="",0,COUNTIF(Data!$B446:$U446,INDEX(Pengaturan!$B$8:$B$27,F$4)))</f>
        <v>0</v>
      </c>
      <c r="G446" s="26" t="n">
        <f aca="false">IF(INDEX(Pengaturan!$B$8:$B$27,G$4)="",0,COUNTIF(Data!$B446:$U446,INDEX(Pengaturan!$B$8:$B$27,G$4)))</f>
        <v>0</v>
      </c>
      <c r="H446" s="26" t="n">
        <f aca="false">IF(INDEX(Pengaturan!$B$8:$B$27,H$4)="",0,COUNTIF(Data!$B446:$U446,INDEX(Pengaturan!$B$8:$B$27,H$4)))</f>
        <v>0</v>
      </c>
      <c r="I446" s="26" t="n">
        <f aca="false">IF(INDEX(Pengaturan!$B$8:$B$27,I$4)="",0,COUNTIF(Data!$B446:$U446,INDEX(Pengaturan!$B$8:$B$27,I$4)))</f>
        <v>0</v>
      </c>
      <c r="J446" s="26" t="n">
        <f aca="false">IF(INDEX(Pengaturan!$B$8:$B$27,J$4)="",0,COUNTIF(Data!$B446:$U446,INDEX(Pengaturan!$B$8:$B$27,J$4)))</f>
        <v>0</v>
      </c>
      <c r="K446" s="26" t="n">
        <f aca="false">IF(INDEX(Pengaturan!$B$8:$B$27,K$4)="",0,COUNTIF(Data!$B446:$U446,INDEX(Pengaturan!$B$8:$B$27,K$4)))</f>
        <v>0</v>
      </c>
      <c r="L446" s="26" t="n">
        <f aca="false">IF(INDEX(Pengaturan!$B$8:$B$27,L$4)="",0,COUNTIF(Data!$B446:$U446,INDEX(Pengaturan!$B$8:$B$27,L$4)))</f>
        <v>0</v>
      </c>
      <c r="M446" s="26" t="n">
        <f aca="false">IF(INDEX(Pengaturan!$B$8:$B$27,M$4)="",0,COUNTIF(Data!$B446:$U446,INDEX(Pengaturan!$B$8:$B$27,M$4)))</f>
        <v>0</v>
      </c>
      <c r="N446" s="26" t="n">
        <f aca="false">IF(INDEX(Pengaturan!$B$8:$B$27,N$4)="",0,COUNTIF(Data!$B446:$U446,INDEX(Pengaturan!$B$8:$B$27,N$4)))</f>
        <v>0</v>
      </c>
      <c r="O446" s="26" t="n">
        <f aca="false">IF(INDEX(Pengaturan!$B$8:$B$27,O$4)="",0,COUNTIF(Data!$B446:$U446,INDEX(Pengaturan!$B$8:$B$27,O$4)))</f>
        <v>0</v>
      </c>
      <c r="P446" s="26" t="n">
        <f aca="false">IF(INDEX(Pengaturan!$B$8:$B$27,P$4)="",0,COUNTIF(Data!$B446:$U446,INDEX(Pengaturan!$B$8:$B$27,P$4)))</f>
        <v>0</v>
      </c>
      <c r="Q446" s="26" t="n">
        <f aca="false">IF(INDEX(Pengaturan!$B$8:$B$27,Q$4)="",0,COUNTIF(Data!$B446:$U446,INDEX(Pengaturan!$B$8:$B$27,Q$4)))</f>
        <v>0</v>
      </c>
      <c r="R446" s="26" t="n">
        <f aca="false">IF(INDEX(Pengaturan!$B$8:$B$27,R$4)="",0,COUNTIF(Data!$B446:$U446,INDEX(Pengaturan!$B$8:$B$27,R$4)))</f>
        <v>0</v>
      </c>
      <c r="S446" s="26" t="n">
        <f aca="false">IF(INDEX(Pengaturan!$B$8:$B$27,S$4)="",0,COUNTIF(Data!$B446:$U446,INDEX(Pengaturan!$B$8:$B$27,S$4)))</f>
        <v>0</v>
      </c>
      <c r="T446" s="26" t="n">
        <f aca="false">IF(INDEX(Pengaturan!$B$8:$B$27,T$4)="",0,COUNTIF(Data!$B446:$U446,INDEX(Pengaturan!$B$8:$B$27,T$4)))</f>
        <v>0</v>
      </c>
      <c r="U446" s="26" t="n">
        <f aca="false">IF(INDEX(Pengaturan!$B$8:$B$27,U$4)="",0,COUNTIF(Data!$B446:$U446,INDEX(Pengaturan!$B$8:$B$27,U$4)))</f>
        <v>0</v>
      </c>
      <c r="V446" s="26" t="n">
        <f aca="false">COUNTA(Data!$B446:$U446)</f>
        <v>0</v>
      </c>
      <c r="W446" s="27" t="str">
        <f aca="false">IF(V446=0,"",IF(V446&lt;&gt;Hasil!$C$4,"Data kosong/tidak lengkap",IF(SUM(B446:U446)&lt;&gt;V446,"Kategori tidak dikenal","OK")))</f>
        <v/>
      </c>
      <c r="X446" s="26" t="n">
        <f aca="false">IF(OR(W446="",W446="OK"),0,1)</f>
        <v>0</v>
      </c>
    </row>
    <row r="447" customFormat="false" ht="15" hidden="false" customHeight="false" outlineLevel="0" collapsed="false">
      <c r="A447" s="26" t="n">
        <f aca="false">Data!A447</f>
        <v>442</v>
      </c>
      <c r="B447" s="26" t="n">
        <f aca="false">IF(INDEX(Pengaturan!$B$8:$B$27,B$4)="",0,COUNTIF(Data!$B447:$U447,INDEX(Pengaturan!$B$8:$B$27,B$4)))</f>
        <v>0</v>
      </c>
      <c r="C447" s="26" t="n">
        <f aca="false">IF(INDEX(Pengaturan!$B$8:$B$27,C$4)="",0,COUNTIF(Data!$B447:$U447,INDEX(Pengaturan!$B$8:$B$27,C$4)))</f>
        <v>0</v>
      </c>
      <c r="D447" s="26" t="n">
        <f aca="false">IF(INDEX(Pengaturan!$B$8:$B$27,D$4)="",0,COUNTIF(Data!$B447:$U447,INDEX(Pengaturan!$B$8:$B$27,D$4)))</f>
        <v>0</v>
      </c>
      <c r="E447" s="26" t="n">
        <f aca="false">IF(INDEX(Pengaturan!$B$8:$B$27,E$4)="",0,COUNTIF(Data!$B447:$U447,INDEX(Pengaturan!$B$8:$B$27,E$4)))</f>
        <v>0</v>
      </c>
      <c r="F447" s="26" t="n">
        <f aca="false">IF(INDEX(Pengaturan!$B$8:$B$27,F$4)="",0,COUNTIF(Data!$B447:$U447,INDEX(Pengaturan!$B$8:$B$27,F$4)))</f>
        <v>0</v>
      </c>
      <c r="G447" s="26" t="n">
        <f aca="false">IF(INDEX(Pengaturan!$B$8:$B$27,G$4)="",0,COUNTIF(Data!$B447:$U447,INDEX(Pengaturan!$B$8:$B$27,G$4)))</f>
        <v>0</v>
      </c>
      <c r="H447" s="26" t="n">
        <f aca="false">IF(INDEX(Pengaturan!$B$8:$B$27,H$4)="",0,COUNTIF(Data!$B447:$U447,INDEX(Pengaturan!$B$8:$B$27,H$4)))</f>
        <v>0</v>
      </c>
      <c r="I447" s="26" t="n">
        <f aca="false">IF(INDEX(Pengaturan!$B$8:$B$27,I$4)="",0,COUNTIF(Data!$B447:$U447,INDEX(Pengaturan!$B$8:$B$27,I$4)))</f>
        <v>0</v>
      </c>
      <c r="J447" s="26" t="n">
        <f aca="false">IF(INDEX(Pengaturan!$B$8:$B$27,J$4)="",0,COUNTIF(Data!$B447:$U447,INDEX(Pengaturan!$B$8:$B$27,J$4)))</f>
        <v>0</v>
      </c>
      <c r="K447" s="26" t="n">
        <f aca="false">IF(INDEX(Pengaturan!$B$8:$B$27,K$4)="",0,COUNTIF(Data!$B447:$U447,INDEX(Pengaturan!$B$8:$B$27,K$4)))</f>
        <v>0</v>
      </c>
      <c r="L447" s="26" t="n">
        <f aca="false">IF(INDEX(Pengaturan!$B$8:$B$27,L$4)="",0,COUNTIF(Data!$B447:$U447,INDEX(Pengaturan!$B$8:$B$27,L$4)))</f>
        <v>0</v>
      </c>
      <c r="M447" s="26" t="n">
        <f aca="false">IF(INDEX(Pengaturan!$B$8:$B$27,M$4)="",0,COUNTIF(Data!$B447:$U447,INDEX(Pengaturan!$B$8:$B$27,M$4)))</f>
        <v>0</v>
      </c>
      <c r="N447" s="26" t="n">
        <f aca="false">IF(INDEX(Pengaturan!$B$8:$B$27,N$4)="",0,COUNTIF(Data!$B447:$U447,INDEX(Pengaturan!$B$8:$B$27,N$4)))</f>
        <v>0</v>
      </c>
      <c r="O447" s="26" t="n">
        <f aca="false">IF(INDEX(Pengaturan!$B$8:$B$27,O$4)="",0,COUNTIF(Data!$B447:$U447,INDEX(Pengaturan!$B$8:$B$27,O$4)))</f>
        <v>0</v>
      </c>
      <c r="P447" s="26" t="n">
        <f aca="false">IF(INDEX(Pengaturan!$B$8:$B$27,P$4)="",0,COUNTIF(Data!$B447:$U447,INDEX(Pengaturan!$B$8:$B$27,P$4)))</f>
        <v>0</v>
      </c>
      <c r="Q447" s="26" t="n">
        <f aca="false">IF(INDEX(Pengaturan!$B$8:$B$27,Q$4)="",0,COUNTIF(Data!$B447:$U447,INDEX(Pengaturan!$B$8:$B$27,Q$4)))</f>
        <v>0</v>
      </c>
      <c r="R447" s="26" t="n">
        <f aca="false">IF(INDEX(Pengaturan!$B$8:$B$27,R$4)="",0,COUNTIF(Data!$B447:$U447,INDEX(Pengaturan!$B$8:$B$27,R$4)))</f>
        <v>0</v>
      </c>
      <c r="S447" s="26" t="n">
        <f aca="false">IF(INDEX(Pengaturan!$B$8:$B$27,S$4)="",0,COUNTIF(Data!$B447:$U447,INDEX(Pengaturan!$B$8:$B$27,S$4)))</f>
        <v>0</v>
      </c>
      <c r="T447" s="26" t="n">
        <f aca="false">IF(INDEX(Pengaturan!$B$8:$B$27,T$4)="",0,COUNTIF(Data!$B447:$U447,INDEX(Pengaturan!$B$8:$B$27,T$4)))</f>
        <v>0</v>
      </c>
      <c r="U447" s="26" t="n">
        <f aca="false">IF(INDEX(Pengaturan!$B$8:$B$27,U$4)="",0,COUNTIF(Data!$B447:$U447,INDEX(Pengaturan!$B$8:$B$27,U$4)))</f>
        <v>0</v>
      </c>
      <c r="V447" s="26" t="n">
        <f aca="false">COUNTA(Data!$B447:$U447)</f>
        <v>0</v>
      </c>
      <c r="W447" s="27" t="str">
        <f aca="false">IF(V447=0,"",IF(V447&lt;&gt;Hasil!$C$4,"Data kosong/tidak lengkap",IF(SUM(B447:U447)&lt;&gt;V447,"Kategori tidak dikenal","OK")))</f>
        <v/>
      </c>
      <c r="X447" s="26" t="n">
        <f aca="false">IF(OR(W447="",W447="OK"),0,1)</f>
        <v>0</v>
      </c>
    </row>
    <row r="448" customFormat="false" ht="15" hidden="false" customHeight="false" outlineLevel="0" collapsed="false">
      <c r="A448" s="26" t="n">
        <f aca="false">Data!A448</f>
        <v>443</v>
      </c>
      <c r="B448" s="26" t="n">
        <f aca="false">IF(INDEX(Pengaturan!$B$8:$B$27,B$4)="",0,COUNTIF(Data!$B448:$U448,INDEX(Pengaturan!$B$8:$B$27,B$4)))</f>
        <v>0</v>
      </c>
      <c r="C448" s="26" t="n">
        <f aca="false">IF(INDEX(Pengaturan!$B$8:$B$27,C$4)="",0,COUNTIF(Data!$B448:$U448,INDEX(Pengaturan!$B$8:$B$27,C$4)))</f>
        <v>0</v>
      </c>
      <c r="D448" s="26" t="n">
        <f aca="false">IF(INDEX(Pengaturan!$B$8:$B$27,D$4)="",0,COUNTIF(Data!$B448:$U448,INDEX(Pengaturan!$B$8:$B$27,D$4)))</f>
        <v>0</v>
      </c>
      <c r="E448" s="26" t="n">
        <f aca="false">IF(INDEX(Pengaturan!$B$8:$B$27,E$4)="",0,COUNTIF(Data!$B448:$U448,INDEX(Pengaturan!$B$8:$B$27,E$4)))</f>
        <v>0</v>
      </c>
      <c r="F448" s="26" t="n">
        <f aca="false">IF(INDEX(Pengaturan!$B$8:$B$27,F$4)="",0,COUNTIF(Data!$B448:$U448,INDEX(Pengaturan!$B$8:$B$27,F$4)))</f>
        <v>0</v>
      </c>
      <c r="G448" s="26" t="n">
        <f aca="false">IF(INDEX(Pengaturan!$B$8:$B$27,G$4)="",0,COUNTIF(Data!$B448:$U448,INDEX(Pengaturan!$B$8:$B$27,G$4)))</f>
        <v>0</v>
      </c>
      <c r="H448" s="26" t="n">
        <f aca="false">IF(INDEX(Pengaturan!$B$8:$B$27,H$4)="",0,COUNTIF(Data!$B448:$U448,INDEX(Pengaturan!$B$8:$B$27,H$4)))</f>
        <v>0</v>
      </c>
      <c r="I448" s="26" t="n">
        <f aca="false">IF(INDEX(Pengaturan!$B$8:$B$27,I$4)="",0,COUNTIF(Data!$B448:$U448,INDEX(Pengaturan!$B$8:$B$27,I$4)))</f>
        <v>0</v>
      </c>
      <c r="J448" s="26" t="n">
        <f aca="false">IF(INDEX(Pengaturan!$B$8:$B$27,J$4)="",0,COUNTIF(Data!$B448:$U448,INDEX(Pengaturan!$B$8:$B$27,J$4)))</f>
        <v>0</v>
      </c>
      <c r="K448" s="26" t="n">
        <f aca="false">IF(INDEX(Pengaturan!$B$8:$B$27,K$4)="",0,COUNTIF(Data!$B448:$U448,INDEX(Pengaturan!$B$8:$B$27,K$4)))</f>
        <v>0</v>
      </c>
      <c r="L448" s="26" t="n">
        <f aca="false">IF(INDEX(Pengaturan!$B$8:$B$27,L$4)="",0,COUNTIF(Data!$B448:$U448,INDEX(Pengaturan!$B$8:$B$27,L$4)))</f>
        <v>0</v>
      </c>
      <c r="M448" s="26" t="n">
        <f aca="false">IF(INDEX(Pengaturan!$B$8:$B$27,M$4)="",0,COUNTIF(Data!$B448:$U448,INDEX(Pengaturan!$B$8:$B$27,M$4)))</f>
        <v>0</v>
      </c>
      <c r="N448" s="26" t="n">
        <f aca="false">IF(INDEX(Pengaturan!$B$8:$B$27,N$4)="",0,COUNTIF(Data!$B448:$U448,INDEX(Pengaturan!$B$8:$B$27,N$4)))</f>
        <v>0</v>
      </c>
      <c r="O448" s="26" t="n">
        <f aca="false">IF(INDEX(Pengaturan!$B$8:$B$27,O$4)="",0,COUNTIF(Data!$B448:$U448,INDEX(Pengaturan!$B$8:$B$27,O$4)))</f>
        <v>0</v>
      </c>
      <c r="P448" s="26" t="n">
        <f aca="false">IF(INDEX(Pengaturan!$B$8:$B$27,P$4)="",0,COUNTIF(Data!$B448:$U448,INDEX(Pengaturan!$B$8:$B$27,P$4)))</f>
        <v>0</v>
      </c>
      <c r="Q448" s="26" t="n">
        <f aca="false">IF(INDEX(Pengaturan!$B$8:$B$27,Q$4)="",0,COUNTIF(Data!$B448:$U448,INDEX(Pengaturan!$B$8:$B$27,Q$4)))</f>
        <v>0</v>
      </c>
      <c r="R448" s="26" t="n">
        <f aca="false">IF(INDEX(Pengaturan!$B$8:$B$27,R$4)="",0,COUNTIF(Data!$B448:$U448,INDEX(Pengaturan!$B$8:$B$27,R$4)))</f>
        <v>0</v>
      </c>
      <c r="S448" s="26" t="n">
        <f aca="false">IF(INDEX(Pengaturan!$B$8:$B$27,S$4)="",0,COUNTIF(Data!$B448:$U448,INDEX(Pengaturan!$B$8:$B$27,S$4)))</f>
        <v>0</v>
      </c>
      <c r="T448" s="26" t="n">
        <f aca="false">IF(INDEX(Pengaturan!$B$8:$B$27,T$4)="",0,COUNTIF(Data!$B448:$U448,INDEX(Pengaturan!$B$8:$B$27,T$4)))</f>
        <v>0</v>
      </c>
      <c r="U448" s="26" t="n">
        <f aca="false">IF(INDEX(Pengaturan!$B$8:$B$27,U$4)="",0,COUNTIF(Data!$B448:$U448,INDEX(Pengaturan!$B$8:$B$27,U$4)))</f>
        <v>0</v>
      </c>
      <c r="V448" s="26" t="n">
        <f aca="false">COUNTA(Data!$B448:$U448)</f>
        <v>0</v>
      </c>
      <c r="W448" s="27" t="str">
        <f aca="false">IF(V448=0,"",IF(V448&lt;&gt;Hasil!$C$4,"Data kosong/tidak lengkap",IF(SUM(B448:U448)&lt;&gt;V448,"Kategori tidak dikenal","OK")))</f>
        <v/>
      </c>
      <c r="X448" s="26" t="n">
        <f aca="false">IF(OR(W448="",W448="OK"),0,1)</f>
        <v>0</v>
      </c>
    </row>
    <row r="449" customFormat="false" ht="15" hidden="false" customHeight="false" outlineLevel="0" collapsed="false">
      <c r="A449" s="26" t="n">
        <f aca="false">Data!A449</f>
        <v>444</v>
      </c>
      <c r="B449" s="26" t="n">
        <f aca="false">IF(INDEX(Pengaturan!$B$8:$B$27,B$4)="",0,COUNTIF(Data!$B449:$U449,INDEX(Pengaturan!$B$8:$B$27,B$4)))</f>
        <v>0</v>
      </c>
      <c r="C449" s="26" t="n">
        <f aca="false">IF(INDEX(Pengaturan!$B$8:$B$27,C$4)="",0,COUNTIF(Data!$B449:$U449,INDEX(Pengaturan!$B$8:$B$27,C$4)))</f>
        <v>0</v>
      </c>
      <c r="D449" s="26" t="n">
        <f aca="false">IF(INDEX(Pengaturan!$B$8:$B$27,D$4)="",0,COUNTIF(Data!$B449:$U449,INDEX(Pengaturan!$B$8:$B$27,D$4)))</f>
        <v>0</v>
      </c>
      <c r="E449" s="26" t="n">
        <f aca="false">IF(INDEX(Pengaturan!$B$8:$B$27,E$4)="",0,COUNTIF(Data!$B449:$U449,INDEX(Pengaturan!$B$8:$B$27,E$4)))</f>
        <v>0</v>
      </c>
      <c r="F449" s="26" t="n">
        <f aca="false">IF(INDEX(Pengaturan!$B$8:$B$27,F$4)="",0,COUNTIF(Data!$B449:$U449,INDEX(Pengaturan!$B$8:$B$27,F$4)))</f>
        <v>0</v>
      </c>
      <c r="G449" s="26" t="n">
        <f aca="false">IF(INDEX(Pengaturan!$B$8:$B$27,G$4)="",0,COUNTIF(Data!$B449:$U449,INDEX(Pengaturan!$B$8:$B$27,G$4)))</f>
        <v>0</v>
      </c>
      <c r="H449" s="26" t="n">
        <f aca="false">IF(INDEX(Pengaturan!$B$8:$B$27,H$4)="",0,COUNTIF(Data!$B449:$U449,INDEX(Pengaturan!$B$8:$B$27,H$4)))</f>
        <v>0</v>
      </c>
      <c r="I449" s="26" t="n">
        <f aca="false">IF(INDEX(Pengaturan!$B$8:$B$27,I$4)="",0,COUNTIF(Data!$B449:$U449,INDEX(Pengaturan!$B$8:$B$27,I$4)))</f>
        <v>0</v>
      </c>
      <c r="J449" s="26" t="n">
        <f aca="false">IF(INDEX(Pengaturan!$B$8:$B$27,J$4)="",0,COUNTIF(Data!$B449:$U449,INDEX(Pengaturan!$B$8:$B$27,J$4)))</f>
        <v>0</v>
      </c>
      <c r="K449" s="26" t="n">
        <f aca="false">IF(INDEX(Pengaturan!$B$8:$B$27,K$4)="",0,COUNTIF(Data!$B449:$U449,INDEX(Pengaturan!$B$8:$B$27,K$4)))</f>
        <v>0</v>
      </c>
      <c r="L449" s="26" t="n">
        <f aca="false">IF(INDEX(Pengaturan!$B$8:$B$27,L$4)="",0,COUNTIF(Data!$B449:$U449,INDEX(Pengaturan!$B$8:$B$27,L$4)))</f>
        <v>0</v>
      </c>
      <c r="M449" s="26" t="n">
        <f aca="false">IF(INDEX(Pengaturan!$B$8:$B$27,M$4)="",0,COUNTIF(Data!$B449:$U449,INDEX(Pengaturan!$B$8:$B$27,M$4)))</f>
        <v>0</v>
      </c>
      <c r="N449" s="26" t="n">
        <f aca="false">IF(INDEX(Pengaturan!$B$8:$B$27,N$4)="",0,COUNTIF(Data!$B449:$U449,INDEX(Pengaturan!$B$8:$B$27,N$4)))</f>
        <v>0</v>
      </c>
      <c r="O449" s="26" t="n">
        <f aca="false">IF(INDEX(Pengaturan!$B$8:$B$27,O$4)="",0,COUNTIF(Data!$B449:$U449,INDEX(Pengaturan!$B$8:$B$27,O$4)))</f>
        <v>0</v>
      </c>
      <c r="P449" s="26" t="n">
        <f aca="false">IF(INDEX(Pengaturan!$B$8:$B$27,P$4)="",0,COUNTIF(Data!$B449:$U449,INDEX(Pengaturan!$B$8:$B$27,P$4)))</f>
        <v>0</v>
      </c>
      <c r="Q449" s="26" t="n">
        <f aca="false">IF(INDEX(Pengaturan!$B$8:$B$27,Q$4)="",0,COUNTIF(Data!$B449:$U449,INDEX(Pengaturan!$B$8:$B$27,Q$4)))</f>
        <v>0</v>
      </c>
      <c r="R449" s="26" t="n">
        <f aca="false">IF(INDEX(Pengaturan!$B$8:$B$27,R$4)="",0,COUNTIF(Data!$B449:$U449,INDEX(Pengaturan!$B$8:$B$27,R$4)))</f>
        <v>0</v>
      </c>
      <c r="S449" s="26" t="n">
        <f aca="false">IF(INDEX(Pengaturan!$B$8:$B$27,S$4)="",0,COUNTIF(Data!$B449:$U449,INDEX(Pengaturan!$B$8:$B$27,S$4)))</f>
        <v>0</v>
      </c>
      <c r="T449" s="26" t="n">
        <f aca="false">IF(INDEX(Pengaturan!$B$8:$B$27,T$4)="",0,COUNTIF(Data!$B449:$U449,INDEX(Pengaturan!$B$8:$B$27,T$4)))</f>
        <v>0</v>
      </c>
      <c r="U449" s="26" t="n">
        <f aca="false">IF(INDEX(Pengaturan!$B$8:$B$27,U$4)="",0,COUNTIF(Data!$B449:$U449,INDEX(Pengaturan!$B$8:$B$27,U$4)))</f>
        <v>0</v>
      </c>
      <c r="V449" s="26" t="n">
        <f aca="false">COUNTA(Data!$B449:$U449)</f>
        <v>0</v>
      </c>
      <c r="W449" s="27" t="str">
        <f aca="false">IF(V449=0,"",IF(V449&lt;&gt;Hasil!$C$4,"Data kosong/tidak lengkap",IF(SUM(B449:U449)&lt;&gt;V449,"Kategori tidak dikenal","OK")))</f>
        <v/>
      </c>
      <c r="X449" s="26" t="n">
        <f aca="false">IF(OR(W449="",W449="OK"),0,1)</f>
        <v>0</v>
      </c>
    </row>
    <row r="450" customFormat="false" ht="15" hidden="false" customHeight="false" outlineLevel="0" collapsed="false">
      <c r="A450" s="26" t="n">
        <f aca="false">Data!A450</f>
        <v>445</v>
      </c>
      <c r="B450" s="26" t="n">
        <f aca="false">IF(INDEX(Pengaturan!$B$8:$B$27,B$4)="",0,COUNTIF(Data!$B450:$U450,INDEX(Pengaturan!$B$8:$B$27,B$4)))</f>
        <v>0</v>
      </c>
      <c r="C450" s="26" t="n">
        <f aca="false">IF(INDEX(Pengaturan!$B$8:$B$27,C$4)="",0,COUNTIF(Data!$B450:$U450,INDEX(Pengaturan!$B$8:$B$27,C$4)))</f>
        <v>0</v>
      </c>
      <c r="D450" s="26" t="n">
        <f aca="false">IF(INDEX(Pengaturan!$B$8:$B$27,D$4)="",0,COUNTIF(Data!$B450:$U450,INDEX(Pengaturan!$B$8:$B$27,D$4)))</f>
        <v>0</v>
      </c>
      <c r="E450" s="26" t="n">
        <f aca="false">IF(INDEX(Pengaturan!$B$8:$B$27,E$4)="",0,COUNTIF(Data!$B450:$U450,INDEX(Pengaturan!$B$8:$B$27,E$4)))</f>
        <v>0</v>
      </c>
      <c r="F450" s="26" t="n">
        <f aca="false">IF(INDEX(Pengaturan!$B$8:$B$27,F$4)="",0,COUNTIF(Data!$B450:$U450,INDEX(Pengaturan!$B$8:$B$27,F$4)))</f>
        <v>0</v>
      </c>
      <c r="G450" s="26" t="n">
        <f aca="false">IF(INDEX(Pengaturan!$B$8:$B$27,G$4)="",0,COUNTIF(Data!$B450:$U450,INDEX(Pengaturan!$B$8:$B$27,G$4)))</f>
        <v>0</v>
      </c>
      <c r="H450" s="26" t="n">
        <f aca="false">IF(INDEX(Pengaturan!$B$8:$B$27,H$4)="",0,COUNTIF(Data!$B450:$U450,INDEX(Pengaturan!$B$8:$B$27,H$4)))</f>
        <v>0</v>
      </c>
      <c r="I450" s="26" t="n">
        <f aca="false">IF(INDEX(Pengaturan!$B$8:$B$27,I$4)="",0,COUNTIF(Data!$B450:$U450,INDEX(Pengaturan!$B$8:$B$27,I$4)))</f>
        <v>0</v>
      </c>
      <c r="J450" s="26" t="n">
        <f aca="false">IF(INDEX(Pengaturan!$B$8:$B$27,J$4)="",0,COUNTIF(Data!$B450:$U450,INDEX(Pengaturan!$B$8:$B$27,J$4)))</f>
        <v>0</v>
      </c>
      <c r="K450" s="26" t="n">
        <f aca="false">IF(INDEX(Pengaturan!$B$8:$B$27,K$4)="",0,COUNTIF(Data!$B450:$U450,INDEX(Pengaturan!$B$8:$B$27,K$4)))</f>
        <v>0</v>
      </c>
      <c r="L450" s="26" t="n">
        <f aca="false">IF(INDEX(Pengaturan!$B$8:$B$27,L$4)="",0,COUNTIF(Data!$B450:$U450,INDEX(Pengaturan!$B$8:$B$27,L$4)))</f>
        <v>0</v>
      </c>
      <c r="M450" s="26" t="n">
        <f aca="false">IF(INDEX(Pengaturan!$B$8:$B$27,M$4)="",0,COUNTIF(Data!$B450:$U450,INDEX(Pengaturan!$B$8:$B$27,M$4)))</f>
        <v>0</v>
      </c>
      <c r="N450" s="26" t="n">
        <f aca="false">IF(INDEX(Pengaturan!$B$8:$B$27,N$4)="",0,COUNTIF(Data!$B450:$U450,INDEX(Pengaturan!$B$8:$B$27,N$4)))</f>
        <v>0</v>
      </c>
      <c r="O450" s="26" t="n">
        <f aca="false">IF(INDEX(Pengaturan!$B$8:$B$27,O$4)="",0,COUNTIF(Data!$B450:$U450,INDEX(Pengaturan!$B$8:$B$27,O$4)))</f>
        <v>0</v>
      </c>
      <c r="P450" s="26" t="n">
        <f aca="false">IF(INDEX(Pengaturan!$B$8:$B$27,P$4)="",0,COUNTIF(Data!$B450:$U450,INDEX(Pengaturan!$B$8:$B$27,P$4)))</f>
        <v>0</v>
      </c>
      <c r="Q450" s="26" t="n">
        <f aca="false">IF(INDEX(Pengaturan!$B$8:$B$27,Q$4)="",0,COUNTIF(Data!$B450:$U450,INDEX(Pengaturan!$B$8:$B$27,Q$4)))</f>
        <v>0</v>
      </c>
      <c r="R450" s="26" t="n">
        <f aca="false">IF(INDEX(Pengaturan!$B$8:$B$27,R$4)="",0,COUNTIF(Data!$B450:$U450,INDEX(Pengaturan!$B$8:$B$27,R$4)))</f>
        <v>0</v>
      </c>
      <c r="S450" s="26" t="n">
        <f aca="false">IF(INDEX(Pengaturan!$B$8:$B$27,S$4)="",0,COUNTIF(Data!$B450:$U450,INDEX(Pengaturan!$B$8:$B$27,S$4)))</f>
        <v>0</v>
      </c>
      <c r="T450" s="26" t="n">
        <f aca="false">IF(INDEX(Pengaturan!$B$8:$B$27,T$4)="",0,COUNTIF(Data!$B450:$U450,INDEX(Pengaturan!$B$8:$B$27,T$4)))</f>
        <v>0</v>
      </c>
      <c r="U450" s="26" t="n">
        <f aca="false">IF(INDEX(Pengaturan!$B$8:$B$27,U$4)="",0,COUNTIF(Data!$B450:$U450,INDEX(Pengaturan!$B$8:$B$27,U$4)))</f>
        <v>0</v>
      </c>
      <c r="V450" s="26" t="n">
        <f aca="false">COUNTA(Data!$B450:$U450)</f>
        <v>0</v>
      </c>
      <c r="W450" s="27" t="str">
        <f aca="false">IF(V450=0,"",IF(V450&lt;&gt;Hasil!$C$4,"Data kosong/tidak lengkap",IF(SUM(B450:U450)&lt;&gt;V450,"Kategori tidak dikenal","OK")))</f>
        <v/>
      </c>
      <c r="X450" s="26" t="n">
        <f aca="false">IF(OR(W450="",W450="OK"),0,1)</f>
        <v>0</v>
      </c>
    </row>
    <row r="451" customFormat="false" ht="15" hidden="false" customHeight="false" outlineLevel="0" collapsed="false">
      <c r="A451" s="26" t="n">
        <f aca="false">Data!A451</f>
        <v>446</v>
      </c>
      <c r="B451" s="26" t="n">
        <f aca="false">IF(INDEX(Pengaturan!$B$8:$B$27,B$4)="",0,COUNTIF(Data!$B451:$U451,INDEX(Pengaturan!$B$8:$B$27,B$4)))</f>
        <v>0</v>
      </c>
      <c r="C451" s="26" t="n">
        <f aca="false">IF(INDEX(Pengaturan!$B$8:$B$27,C$4)="",0,COUNTIF(Data!$B451:$U451,INDEX(Pengaturan!$B$8:$B$27,C$4)))</f>
        <v>0</v>
      </c>
      <c r="D451" s="26" t="n">
        <f aca="false">IF(INDEX(Pengaturan!$B$8:$B$27,D$4)="",0,COUNTIF(Data!$B451:$U451,INDEX(Pengaturan!$B$8:$B$27,D$4)))</f>
        <v>0</v>
      </c>
      <c r="E451" s="26" t="n">
        <f aca="false">IF(INDEX(Pengaturan!$B$8:$B$27,E$4)="",0,COUNTIF(Data!$B451:$U451,INDEX(Pengaturan!$B$8:$B$27,E$4)))</f>
        <v>0</v>
      </c>
      <c r="F451" s="26" t="n">
        <f aca="false">IF(INDEX(Pengaturan!$B$8:$B$27,F$4)="",0,COUNTIF(Data!$B451:$U451,INDEX(Pengaturan!$B$8:$B$27,F$4)))</f>
        <v>0</v>
      </c>
      <c r="G451" s="26" t="n">
        <f aca="false">IF(INDEX(Pengaturan!$B$8:$B$27,G$4)="",0,COUNTIF(Data!$B451:$U451,INDEX(Pengaturan!$B$8:$B$27,G$4)))</f>
        <v>0</v>
      </c>
      <c r="H451" s="26" t="n">
        <f aca="false">IF(INDEX(Pengaturan!$B$8:$B$27,H$4)="",0,COUNTIF(Data!$B451:$U451,INDEX(Pengaturan!$B$8:$B$27,H$4)))</f>
        <v>0</v>
      </c>
      <c r="I451" s="26" t="n">
        <f aca="false">IF(INDEX(Pengaturan!$B$8:$B$27,I$4)="",0,COUNTIF(Data!$B451:$U451,INDEX(Pengaturan!$B$8:$B$27,I$4)))</f>
        <v>0</v>
      </c>
      <c r="J451" s="26" t="n">
        <f aca="false">IF(INDEX(Pengaturan!$B$8:$B$27,J$4)="",0,COUNTIF(Data!$B451:$U451,INDEX(Pengaturan!$B$8:$B$27,J$4)))</f>
        <v>0</v>
      </c>
      <c r="K451" s="26" t="n">
        <f aca="false">IF(INDEX(Pengaturan!$B$8:$B$27,K$4)="",0,COUNTIF(Data!$B451:$U451,INDEX(Pengaturan!$B$8:$B$27,K$4)))</f>
        <v>0</v>
      </c>
      <c r="L451" s="26" t="n">
        <f aca="false">IF(INDEX(Pengaturan!$B$8:$B$27,L$4)="",0,COUNTIF(Data!$B451:$U451,INDEX(Pengaturan!$B$8:$B$27,L$4)))</f>
        <v>0</v>
      </c>
      <c r="M451" s="26" t="n">
        <f aca="false">IF(INDEX(Pengaturan!$B$8:$B$27,M$4)="",0,COUNTIF(Data!$B451:$U451,INDEX(Pengaturan!$B$8:$B$27,M$4)))</f>
        <v>0</v>
      </c>
      <c r="N451" s="26" t="n">
        <f aca="false">IF(INDEX(Pengaturan!$B$8:$B$27,N$4)="",0,COUNTIF(Data!$B451:$U451,INDEX(Pengaturan!$B$8:$B$27,N$4)))</f>
        <v>0</v>
      </c>
      <c r="O451" s="26" t="n">
        <f aca="false">IF(INDEX(Pengaturan!$B$8:$B$27,O$4)="",0,COUNTIF(Data!$B451:$U451,INDEX(Pengaturan!$B$8:$B$27,O$4)))</f>
        <v>0</v>
      </c>
      <c r="P451" s="26" t="n">
        <f aca="false">IF(INDEX(Pengaturan!$B$8:$B$27,P$4)="",0,COUNTIF(Data!$B451:$U451,INDEX(Pengaturan!$B$8:$B$27,P$4)))</f>
        <v>0</v>
      </c>
      <c r="Q451" s="26" t="n">
        <f aca="false">IF(INDEX(Pengaturan!$B$8:$B$27,Q$4)="",0,COUNTIF(Data!$B451:$U451,INDEX(Pengaturan!$B$8:$B$27,Q$4)))</f>
        <v>0</v>
      </c>
      <c r="R451" s="26" t="n">
        <f aca="false">IF(INDEX(Pengaturan!$B$8:$B$27,R$4)="",0,COUNTIF(Data!$B451:$U451,INDEX(Pengaturan!$B$8:$B$27,R$4)))</f>
        <v>0</v>
      </c>
      <c r="S451" s="26" t="n">
        <f aca="false">IF(INDEX(Pengaturan!$B$8:$B$27,S$4)="",0,COUNTIF(Data!$B451:$U451,INDEX(Pengaturan!$B$8:$B$27,S$4)))</f>
        <v>0</v>
      </c>
      <c r="T451" s="26" t="n">
        <f aca="false">IF(INDEX(Pengaturan!$B$8:$B$27,T$4)="",0,COUNTIF(Data!$B451:$U451,INDEX(Pengaturan!$B$8:$B$27,T$4)))</f>
        <v>0</v>
      </c>
      <c r="U451" s="26" t="n">
        <f aca="false">IF(INDEX(Pengaturan!$B$8:$B$27,U$4)="",0,COUNTIF(Data!$B451:$U451,INDEX(Pengaturan!$B$8:$B$27,U$4)))</f>
        <v>0</v>
      </c>
      <c r="V451" s="26" t="n">
        <f aca="false">COUNTA(Data!$B451:$U451)</f>
        <v>0</v>
      </c>
      <c r="W451" s="27" t="str">
        <f aca="false">IF(V451=0,"",IF(V451&lt;&gt;Hasil!$C$4,"Data kosong/tidak lengkap",IF(SUM(B451:U451)&lt;&gt;V451,"Kategori tidak dikenal","OK")))</f>
        <v/>
      </c>
      <c r="X451" s="26" t="n">
        <f aca="false">IF(OR(W451="",W451="OK"),0,1)</f>
        <v>0</v>
      </c>
    </row>
    <row r="452" customFormat="false" ht="15" hidden="false" customHeight="false" outlineLevel="0" collapsed="false">
      <c r="A452" s="26" t="n">
        <f aca="false">Data!A452</f>
        <v>447</v>
      </c>
      <c r="B452" s="26" t="n">
        <f aca="false">IF(INDEX(Pengaturan!$B$8:$B$27,B$4)="",0,COUNTIF(Data!$B452:$U452,INDEX(Pengaturan!$B$8:$B$27,B$4)))</f>
        <v>0</v>
      </c>
      <c r="C452" s="26" t="n">
        <f aca="false">IF(INDEX(Pengaturan!$B$8:$B$27,C$4)="",0,COUNTIF(Data!$B452:$U452,INDEX(Pengaturan!$B$8:$B$27,C$4)))</f>
        <v>0</v>
      </c>
      <c r="D452" s="26" t="n">
        <f aca="false">IF(INDEX(Pengaturan!$B$8:$B$27,D$4)="",0,COUNTIF(Data!$B452:$U452,INDEX(Pengaturan!$B$8:$B$27,D$4)))</f>
        <v>0</v>
      </c>
      <c r="E452" s="26" t="n">
        <f aca="false">IF(INDEX(Pengaturan!$B$8:$B$27,E$4)="",0,COUNTIF(Data!$B452:$U452,INDEX(Pengaturan!$B$8:$B$27,E$4)))</f>
        <v>0</v>
      </c>
      <c r="F452" s="26" t="n">
        <f aca="false">IF(INDEX(Pengaturan!$B$8:$B$27,F$4)="",0,COUNTIF(Data!$B452:$U452,INDEX(Pengaturan!$B$8:$B$27,F$4)))</f>
        <v>0</v>
      </c>
      <c r="G452" s="26" t="n">
        <f aca="false">IF(INDEX(Pengaturan!$B$8:$B$27,G$4)="",0,COUNTIF(Data!$B452:$U452,INDEX(Pengaturan!$B$8:$B$27,G$4)))</f>
        <v>0</v>
      </c>
      <c r="H452" s="26" t="n">
        <f aca="false">IF(INDEX(Pengaturan!$B$8:$B$27,H$4)="",0,COUNTIF(Data!$B452:$U452,INDEX(Pengaturan!$B$8:$B$27,H$4)))</f>
        <v>0</v>
      </c>
      <c r="I452" s="26" t="n">
        <f aca="false">IF(INDEX(Pengaturan!$B$8:$B$27,I$4)="",0,COUNTIF(Data!$B452:$U452,INDEX(Pengaturan!$B$8:$B$27,I$4)))</f>
        <v>0</v>
      </c>
      <c r="J452" s="26" t="n">
        <f aca="false">IF(INDEX(Pengaturan!$B$8:$B$27,J$4)="",0,COUNTIF(Data!$B452:$U452,INDEX(Pengaturan!$B$8:$B$27,J$4)))</f>
        <v>0</v>
      </c>
      <c r="K452" s="26" t="n">
        <f aca="false">IF(INDEX(Pengaturan!$B$8:$B$27,K$4)="",0,COUNTIF(Data!$B452:$U452,INDEX(Pengaturan!$B$8:$B$27,K$4)))</f>
        <v>0</v>
      </c>
      <c r="L452" s="26" t="n">
        <f aca="false">IF(INDEX(Pengaturan!$B$8:$B$27,L$4)="",0,COUNTIF(Data!$B452:$U452,INDEX(Pengaturan!$B$8:$B$27,L$4)))</f>
        <v>0</v>
      </c>
      <c r="M452" s="26" t="n">
        <f aca="false">IF(INDEX(Pengaturan!$B$8:$B$27,M$4)="",0,COUNTIF(Data!$B452:$U452,INDEX(Pengaturan!$B$8:$B$27,M$4)))</f>
        <v>0</v>
      </c>
      <c r="N452" s="26" t="n">
        <f aca="false">IF(INDEX(Pengaturan!$B$8:$B$27,N$4)="",0,COUNTIF(Data!$B452:$U452,INDEX(Pengaturan!$B$8:$B$27,N$4)))</f>
        <v>0</v>
      </c>
      <c r="O452" s="26" t="n">
        <f aca="false">IF(INDEX(Pengaturan!$B$8:$B$27,O$4)="",0,COUNTIF(Data!$B452:$U452,INDEX(Pengaturan!$B$8:$B$27,O$4)))</f>
        <v>0</v>
      </c>
      <c r="P452" s="26" t="n">
        <f aca="false">IF(INDEX(Pengaturan!$B$8:$B$27,P$4)="",0,COUNTIF(Data!$B452:$U452,INDEX(Pengaturan!$B$8:$B$27,P$4)))</f>
        <v>0</v>
      </c>
      <c r="Q452" s="26" t="n">
        <f aca="false">IF(INDEX(Pengaturan!$B$8:$B$27,Q$4)="",0,COUNTIF(Data!$B452:$U452,INDEX(Pengaturan!$B$8:$B$27,Q$4)))</f>
        <v>0</v>
      </c>
      <c r="R452" s="26" t="n">
        <f aca="false">IF(INDEX(Pengaturan!$B$8:$B$27,R$4)="",0,COUNTIF(Data!$B452:$U452,INDEX(Pengaturan!$B$8:$B$27,R$4)))</f>
        <v>0</v>
      </c>
      <c r="S452" s="26" t="n">
        <f aca="false">IF(INDEX(Pengaturan!$B$8:$B$27,S$4)="",0,COUNTIF(Data!$B452:$U452,INDEX(Pengaturan!$B$8:$B$27,S$4)))</f>
        <v>0</v>
      </c>
      <c r="T452" s="26" t="n">
        <f aca="false">IF(INDEX(Pengaturan!$B$8:$B$27,T$4)="",0,COUNTIF(Data!$B452:$U452,INDEX(Pengaturan!$B$8:$B$27,T$4)))</f>
        <v>0</v>
      </c>
      <c r="U452" s="26" t="n">
        <f aca="false">IF(INDEX(Pengaturan!$B$8:$B$27,U$4)="",0,COUNTIF(Data!$B452:$U452,INDEX(Pengaturan!$B$8:$B$27,U$4)))</f>
        <v>0</v>
      </c>
      <c r="V452" s="26" t="n">
        <f aca="false">COUNTA(Data!$B452:$U452)</f>
        <v>0</v>
      </c>
      <c r="W452" s="27" t="str">
        <f aca="false">IF(V452=0,"",IF(V452&lt;&gt;Hasil!$C$4,"Data kosong/tidak lengkap",IF(SUM(B452:U452)&lt;&gt;V452,"Kategori tidak dikenal","OK")))</f>
        <v/>
      </c>
      <c r="X452" s="26" t="n">
        <f aca="false">IF(OR(W452="",W452="OK"),0,1)</f>
        <v>0</v>
      </c>
    </row>
    <row r="453" customFormat="false" ht="15" hidden="false" customHeight="false" outlineLevel="0" collapsed="false">
      <c r="A453" s="26" t="n">
        <f aca="false">Data!A453</f>
        <v>448</v>
      </c>
      <c r="B453" s="26" t="n">
        <f aca="false">IF(INDEX(Pengaturan!$B$8:$B$27,B$4)="",0,COUNTIF(Data!$B453:$U453,INDEX(Pengaturan!$B$8:$B$27,B$4)))</f>
        <v>0</v>
      </c>
      <c r="C453" s="26" t="n">
        <f aca="false">IF(INDEX(Pengaturan!$B$8:$B$27,C$4)="",0,COUNTIF(Data!$B453:$U453,INDEX(Pengaturan!$B$8:$B$27,C$4)))</f>
        <v>0</v>
      </c>
      <c r="D453" s="26" t="n">
        <f aca="false">IF(INDEX(Pengaturan!$B$8:$B$27,D$4)="",0,COUNTIF(Data!$B453:$U453,INDEX(Pengaturan!$B$8:$B$27,D$4)))</f>
        <v>0</v>
      </c>
      <c r="E453" s="26" t="n">
        <f aca="false">IF(INDEX(Pengaturan!$B$8:$B$27,E$4)="",0,COUNTIF(Data!$B453:$U453,INDEX(Pengaturan!$B$8:$B$27,E$4)))</f>
        <v>0</v>
      </c>
      <c r="F453" s="26" t="n">
        <f aca="false">IF(INDEX(Pengaturan!$B$8:$B$27,F$4)="",0,COUNTIF(Data!$B453:$U453,INDEX(Pengaturan!$B$8:$B$27,F$4)))</f>
        <v>0</v>
      </c>
      <c r="G453" s="26" t="n">
        <f aca="false">IF(INDEX(Pengaturan!$B$8:$B$27,G$4)="",0,COUNTIF(Data!$B453:$U453,INDEX(Pengaturan!$B$8:$B$27,G$4)))</f>
        <v>0</v>
      </c>
      <c r="H453" s="26" t="n">
        <f aca="false">IF(INDEX(Pengaturan!$B$8:$B$27,H$4)="",0,COUNTIF(Data!$B453:$U453,INDEX(Pengaturan!$B$8:$B$27,H$4)))</f>
        <v>0</v>
      </c>
      <c r="I453" s="26" t="n">
        <f aca="false">IF(INDEX(Pengaturan!$B$8:$B$27,I$4)="",0,COUNTIF(Data!$B453:$U453,INDEX(Pengaturan!$B$8:$B$27,I$4)))</f>
        <v>0</v>
      </c>
      <c r="J453" s="26" t="n">
        <f aca="false">IF(INDEX(Pengaturan!$B$8:$B$27,J$4)="",0,COUNTIF(Data!$B453:$U453,INDEX(Pengaturan!$B$8:$B$27,J$4)))</f>
        <v>0</v>
      </c>
      <c r="K453" s="26" t="n">
        <f aca="false">IF(INDEX(Pengaturan!$B$8:$B$27,K$4)="",0,COUNTIF(Data!$B453:$U453,INDEX(Pengaturan!$B$8:$B$27,K$4)))</f>
        <v>0</v>
      </c>
      <c r="L453" s="26" t="n">
        <f aca="false">IF(INDEX(Pengaturan!$B$8:$B$27,L$4)="",0,COUNTIF(Data!$B453:$U453,INDEX(Pengaturan!$B$8:$B$27,L$4)))</f>
        <v>0</v>
      </c>
      <c r="M453" s="26" t="n">
        <f aca="false">IF(INDEX(Pengaturan!$B$8:$B$27,M$4)="",0,COUNTIF(Data!$B453:$U453,INDEX(Pengaturan!$B$8:$B$27,M$4)))</f>
        <v>0</v>
      </c>
      <c r="N453" s="26" t="n">
        <f aca="false">IF(INDEX(Pengaturan!$B$8:$B$27,N$4)="",0,COUNTIF(Data!$B453:$U453,INDEX(Pengaturan!$B$8:$B$27,N$4)))</f>
        <v>0</v>
      </c>
      <c r="O453" s="26" t="n">
        <f aca="false">IF(INDEX(Pengaturan!$B$8:$B$27,O$4)="",0,COUNTIF(Data!$B453:$U453,INDEX(Pengaturan!$B$8:$B$27,O$4)))</f>
        <v>0</v>
      </c>
      <c r="P453" s="26" t="n">
        <f aca="false">IF(INDEX(Pengaturan!$B$8:$B$27,P$4)="",0,COUNTIF(Data!$B453:$U453,INDEX(Pengaturan!$B$8:$B$27,P$4)))</f>
        <v>0</v>
      </c>
      <c r="Q453" s="26" t="n">
        <f aca="false">IF(INDEX(Pengaturan!$B$8:$B$27,Q$4)="",0,COUNTIF(Data!$B453:$U453,INDEX(Pengaturan!$B$8:$B$27,Q$4)))</f>
        <v>0</v>
      </c>
      <c r="R453" s="26" t="n">
        <f aca="false">IF(INDEX(Pengaturan!$B$8:$B$27,R$4)="",0,COUNTIF(Data!$B453:$U453,INDEX(Pengaturan!$B$8:$B$27,R$4)))</f>
        <v>0</v>
      </c>
      <c r="S453" s="26" t="n">
        <f aca="false">IF(INDEX(Pengaturan!$B$8:$B$27,S$4)="",0,COUNTIF(Data!$B453:$U453,INDEX(Pengaturan!$B$8:$B$27,S$4)))</f>
        <v>0</v>
      </c>
      <c r="T453" s="26" t="n">
        <f aca="false">IF(INDEX(Pengaturan!$B$8:$B$27,T$4)="",0,COUNTIF(Data!$B453:$U453,INDEX(Pengaturan!$B$8:$B$27,T$4)))</f>
        <v>0</v>
      </c>
      <c r="U453" s="26" t="n">
        <f aca="false">IF(INDEX(Pengaturan!$B$8:$B$27,U$4)="",0,COUNTIF(Data!$B453:$U453,INDEX(Pengaturan!$B$8:$B$27,U$4)))</f>
        <v>0</v>
      </c>
      <c r="V453" s="26" t="n">
        <f aca="false">COUNTA(Data!$B453:$U453)</f>
        <v>0</v>
      </c>
      <c r="W453" s="27" t="str">
        <f aca="false">IF(V453=0,"",IF(V453&lt;&gt;Hasil!$C$4,"Data kosong/tidak lengkap",IF(SUM(B453:U453)&lt;&gt;V453,"Kategori tidak dikenal","OK")))</f>
        <v/>
      </c>
      <c r="X453" s="26" t="n">
        <f aca="false">IF(OR(W453="",W453="OK"),0,1)</f>
        <v>0</v>
      </c>
    </row>
    <row r="454" customFormat="false" ht="15" hidden="false" customHeight="false" outlineLevel="0" collapsed="false">
      <c r="A454" s="26" t="n">
        <f aca="false">Data!A454</f>
        <v>449</v>
      </c>
      <c r="B454" s="26" t="n">
        <f aca="false">IF(INDEX(Pengaturan!$B$8:$B$27,B$4)="",0,COUNTIF(Data!$B454:$U454,INDEX(Pengaturan!$B$8:$B$27,B$4)))</f>
        <v>0</v>
      </c>
      <c r="C454" s="26" t="n">
        <f aca="false">IF(INDEX(Pengaturan!$B$8:$B$27,C$4)="",0,COUNTIF(Data!$B454:$U454,INDEX(Pengaturan!$B$8:$B$27,C$4)))</f>
        <v>0</v>
      </c>
      <c r="D454" s="26" t="n">
        <f aca="false">IF(INDEX(Pengaturan!$B$8:$B$27,D$4)="",0,COUNTIF(Data!$B454:$U454,INDEX(Pengaturan!$B$8:$B$27,D$4)))</f>
        <v>0</v>
      </c>
      <c r="E454" s="26" t="n">
        <f aca="false">IF(INDEX(Pengaturan!$B$8:$B$27,E$4)="",0,COUNTIF(Data!$B454:$U454,INDEX(Pengaturan!$B$8:$B$27,E$4)))</f>
        <v>0</v>
      </c>
      <c r="F454" s="26" t="n">
        <f aca="false">IF(INDEX(Pengaturan!$B$8:$B$27,F$4)="",0,COUNTIF(Data!$B454:$U454,INDEX(Pengaturan!$B$8:$B$27,F$4)))</f>
        <v>0</v>
      </c>
      <c r="G454" s="26" t="n">
        <f aca="false">IF(INDEX(Pengaturan!$B$8:$B$27,G$4)="",0,COUNTIF(Data!$B454:$U454,INDEX(Pengaturan!$B$8:$B$27,G$4)))</f>
        <v>0</v>
      </c>
      <c r="H454" s="26" t="n">
        <f aca="false">IF(INDEX(Pengaturan!$B$8:$B$27,H$4)="",0,COUNTIF(Data!$B454:$U454,INDEX(Pengaturan!$B$8:$B$27,H$4)))</f>
        <v>0</v>
      </c>
      <c r="I454" s="26" t="n">
        <f aca="false">IF(INDEX(Pengaturan!$B$8:$B$27,I$4)="",0,COUNTIF(Data!$B454:$U454,INDEX(Pengaturan!$B$8:$B$27,I$4)))</f>
        <v>0</v>
      </c>
      <c r="J454" s="26" t="n">
        <f aca="false">IF(INDEX(Pengaturan!$B$8:$B$27,J$4)="",0,COUNTIF(Data!$B454:$U454,INDEX(Pengaturan!$B$8:$B$27,J$4)))</f>
        <v>0</v>
      </c>
      <c r="K454" s="26" t="n">
        <f aca="false">IF(INDEX(Pengaturan!$B$8:$B$27,K$4)="",0,COUNTIF(Data!$B454:$U454,INDEX(Pengaturan!$B$8:$B$27,K$4)))</f>
        <v>0</v>
      </c>
      <c r="L454" s="26" t="n">
        <f aca="false">IF(INDEX(Pengaturan!$B$8:$B$27,L$4)="",0,COUNTIF(Data!$B454:$U454,INDEX(Pengaturan!$B$8:$B$27,L$4)))</f>
        <v>0</v>
      </c>
      <c r="M454" s="26" t="n">
        <f aca="false">IF(INDEX(Pengaturan!$B$8:$B$27,M$4)="",0,COUNTIF(Data!$B454:$U454,INDEX(Pengaturan!$B$8:$B$27,M$4)))</f>
        <v>0</v>
      </c>
      <c r="N454" s="26" t="n">
        <f aca="false">IF(INDEX(Pengaturan!$B$8:$B$27,N$4)="",0,COUNTIF(Data!$B454:$U454,INDEX(Pengaturan!$B$8:$B$27,N$4)))</f>
        <v>0</v>
      </c>
      <c r="O454" s="26" t="n">
        <f aca="false">IF(INDEX(Pengaturan!$B$8:$B$27,O$4)="",0,COUNTIF(Data!$B454:$U454,INDEX(Pengaturan!$B$8:$B$27,O$4)))</f>
        <v>0</v>
      </c>
      <c r="P454" s="26" t="n">
        <f aca="false">IF(INDEX(Pengaturan!$B$8:$B$27,P$4)="",0,COUNTIF(Data!$B454:$U454,INDEX(Pengaturan!$B$8:$B$27,P$4)))</f>
        <v>0</v>
      </c>
      <c r="Q454" s="26" t="n">
        <f aca="false">IF(INDEX(Pengaturan!$B$8:$B$27,Q$4)="",0,COUNTIF(Data!$B454:$U454,INDEX(Pengaturan!$B$8:$B$27,Q$4)))</f>
        <v>0</v>
      </c>
      <c r="R454" s="26" t="n">
        <f aca="false">IF(INDEX(Pengaturan!$B$8:$B$27,R$4)="",0,COUNTIF(Data!$B454:$U454,INDEX(Pengaturan!$B$8:$B$27,R$4)))</f>
        <v>0</v>
      </c>
      <c r="S454" s="26" t="n">
        <f aca="false">IF(INDEX(Pengaturan!$B$8:$B$27,S$4)="",0,COUNTIF(Data!$B454:$U454,INDEX(Pengaturan!$B$8:$B$27,S$4)))</f>
        <v>0</v>
      </c>
      <c r="T454" s="26" t="n">
        <f aca="false">IF(INDEX(Pengaturan!$B$8:$B$27,T$4)="",0,COUNTIF(Data!$B454:$U454,INDEX(Pengaturan!$B$8:$B$27,T$4)))</f>
        <v>0</v>
      </c>
      <c r="U454" s="26" t="n">
        <f aca="false">IF(INDEX(Pengaturan!$B$8:$B$27,U$4)="",0,COUNTIF(Data!$B454:$U454,INDEX(Pengaturan!$B$8:$B$27,U$4)))</f>
        <v>0</v>
      </c>
      <c r="V454" s="26" t="n">
        <f aca="false">COUNTA(Data!$B454:$U454)</f>
        <v>0</v>
      </c>
      <c r="W454" s="27" t="str">
        <f aca="false">IF(V454=0,"",IF(V454&lt;&gt;Hasil!$C$4,"Data kosong/tidak lengkap",IF(SUM(B454:U454)&lt;&gt;V454,"Kategori tidak dikenal","OK")))</f>
        <v/>
      </c>
      <c r="X454" s="26" t="n">
        <f aca="false">IF(OR(W454="",W454="OK"),0,1)</f>
        <v>0</v>
      </c>
    </row>
    <row r="455" customFormat="false" ht="15" hidden="false" customHeight="false" outlineLevel="0" collapsed="false">
      <c r="A455" s="26" t="n">
        <f aca="false">Data!A455</f>
        <v>450</v>
      </c>
      <c r="B455" s="26" t="n">
        <f aca="false">IF(INDEX(Pengaturan!$B$8:$B$27,B$4)="",0,COUNTIF(Data!$B455:$U455,INDEX(Pengaturan!$B$8:$B$27,B$4)))</f>
        <v>0</v>
      </c>
      <c r="C455" s="26" t="n">
        <f aca="false">IF(INDEX(Pengaturan!$B$8:$B$27,C$4)="",0,COUNTIF(Data!$B455:$U455,INDEX(Pengaturan!$B$8:$B$27,C$4)))</f>
        <v>0</v>
      </c>
      <c r="D455" s="26" t="n">
        <f aca="false">IF(INDEX(Pengaturan!$B$8:$B$27,D$4)="",0,COUNTIF(Data!$B455:$U455,INDEX(Pengaturan!$B$8:$B$27,D$4)))</f>
        <v>0</v>
      </c>
      <c r="E455" s="26" t="n">
        <f aca="false">IF(INDEX(Pengaturan!$B$8:$B$27,E$4)="",0,COUNTIF(Data!$B455:$U455,INDEX(Pengaturan!$B$8:$B$27,E$4)))</f>
        <v>0</v>
      </c>
      <c r="F455" s="26" t="n">
        <f aca="false">IF(INDEX(Pengaturan!$B$8:$B$27,F$4)="",0,COUNTIF(Data!$B455:$U455,INDEX(Pengaturan!$B$8:$B$27,F$4)))</f>
        <v>0</v>
      </c>
      <c r="G455" s="26" t="n">
        <f aca="false">IF(INDEX(Pengaturan!$B$8:$B$27,G$4)="",0,COUNTIF(Data!$B455:$U455,INDEX(Pengaturan!$B$8:$B$27,G$4)))</f>
        <v>0</v>
      </c>
      <c r="H455" s="26" t="n">
        <f aca="false">IF(INDEX(Pengaturan!$B$8:$B$27,H$4)="",0,COUNTIF(Data!$B455:$U455,INDEX(Pengaturan!$B$8:$B$27,H$4)))</f>
        <v>0</v>
      </c>
      <c r="I455" s="26" t="n">
        <f aca="false">IF(INDEX(Pengaturan!$B$8:$B$27,I$4)="",0,COUNTIF(Data!$B455:$U455,INDEX(Pengaturan!$B$8:$B$27,I$4)))</f>
        <v>0</v>
      </c>
      <c r="J455" s="26" t="n">
        <f aca="false">IF(INDEX(Pengaturan!$B$8:$B$27,J$4)="",0,COUNTIF(Data!$B455:$U455,INDEX(Pengaturan!$B$8:$B$27,J$4)))</f>
        <v>0</v>
      </c>
      <c r="K455" s="26" t="n">
        <f aca="false">IF(INDEX(Pengaturan!$B$8:$B$27,K$4)="",0,COUNTIF(Data!$B455:$U455,INDEX(Pengaturan!$B$8:$B$27,K$4)))</f>
        <v>0</v>
      </c>
      <c r="L455" s="26" t="n">
        <f aca="false">IF(INDEX(Pengaturan!$B$8:$B$27,L$4)="",0,COUNTIF(Data!$B455:$U455,INDEX(Pengaturan!$B$8:$B$27,L$4)))</f>
        <v>0</v>
      </c>
      <c r="M455" s="26" t="n">
        <f aca="false">IF(INDEX(Pengaturan!$B$8:$B$27,M$4)="",0,COUNTIF(Data!$B455:$U455,INDEX(Pengaturan!$B$8:$B$27,M$4)))</f>
        <v>0</v>
      </c>
      <c r="N455" s="26" t="n">
        <f aca="false">IF(INDEX(Pengaturan!$B$8:$B$27,N$4)="",0,COUNTIF(Data!$B455:$U455,INDEX(Pengaturan!$B$8:$B$27,N$4)))</f>
        <v>0</v>
      </c>
      <c r="O455" s="26" t="n">
        <f aca="false">IF(INDEX(Pengaturan!$B$8:$B$27,O$4)="",0,COUNTIF(Data!$B455:$U455,INDEX(Pengaturan!$B$8:$B$27,O$4)))</f>
        <v>0</v>
      </c>
      <c r="P455" s="26" t="n">
        <f aca="false">IF(INDEX(Pengaturan!$B$8:$B$27,P$4)="",0,COUNTIF(Data!$B455:$U455,INDEX(Pengaturan!$B$8:$B$27,P$4)))</f>
        <v>0</v>
      </c>
      <c r="Q455" s="26" t="n">
        <f aca="false">IF(INDEX(Pengaturan!$B$8:$B$27,Q$4)="",0,COUNTIF(Data!$B455:$U455,INDEX(Pengaturan!$B$8:$B$27,Q$4)))</f>
        <v>0</v>
      </c>
      <c r="R455" s="26" t="n">
        <f aca="false">IF(INDEX(Pengaturan!$B$8:$B$27,R$4)="",0,COUNTIF(Data!$B455:$U455,INDEX(Pengaturan!$B$8:$B$27,R$4)))</f>
        <v>0</v>
      </c>
      <c r="S455" s="26" t="n">
        <f aca="false">IF(INDEX(Pengaturan!$B$8:$B$27,S$4)="",0,COUNTIF(Data!$B455:$U455,INDEX(Pengaturan!$B$8:$B$27,S$4)))</f>
        <v>0</v>
      </c>
      <c r="T455" s="26" t="n">
        <f aca="false">IF(INDEX(Pengaturan!$B$8:$B$27,T$4)="",0,COUNTIF(Data!$B455:$U455,INDEX(Pengaturan!$B$8:$B$27,T$4)))</f>
        <v>0</v>
      </c>
      <c r="U455" s="26" t="n">
        <f aca="false">IF(INDEX(Pengaturan!$B$8:$B$27,U$4)="",0,COUNTIF(Data!$B455:$U455,INDEX(Pengaturan!$B$8:$B$27,U$4)))</f>
        <v>0</v>
      </c>
      <c r="V455" s="26" t="n">
        <f aca="false">COUNTA(Data!$B455:$U455)</f>
        <v>0</v>
      </c>
      <c r="W455" s="27" t="str">
        <f aca="false">IF(V455=0,"",IF(V455&lt;&gt;Hasil!$C$4,"Data kosong/tidak lengkap",IF(SUM(B455:U455)&lt;&gt;V455,"Kategori tidak dikenal","OK")))</f>
        <v/>
      </c>
      <c r="X455" s="26" t="n">
        <f aca="false">IF(OR(W455="",W455="OK"),0,1)</f>
        <v>0</v>
      </c>
    </row>
    <row r="456" customFormat="false" ht="15" hidden="false" customHeight="false" outlineLevel="0" collapsed="false">
      <c r="A456" s="26" t="n">
        <f aca="false">Data!A456</f>
        <v>451</v>
      </c>
      <c r="B456" s="26" t="n">
        <f aca="false">IF(INDEX(Pengaturan!$B$8:$B$27,B$4)="",0,COUNTIF(Data!$B456:$U456,INDEX(Pengaturan!$B$8:$B$27,B$4)))</f>
        <v>0</v>
      </c>
      <c r="C456" s="26" t="n">
        <f aca="false">IF(INDEX(Pengaturan!$B$8:$B$27,C$4)="",0,COUNTIF(Data!$B456:$U456,INDEX(Pengaturan!$B$8:$B$27,C$4)))</f>
        <v>0</v>
      </c>
      <c r="D456" s="26" t="n">
        <f aca="false">IF(INDEX(Pengaturan!$B$8:$B$27,D$4)="",0,COUNTIF(Data!$B456:$U456,INDEX(Pengaturan!$B$8:$B$27,D$4)))</f>
        <v>0</v>
      </c>
      <c r="E456" s="26" t="n">
        <f aca="false">IF(INDEX(Pengaturan!$B$8:$B$27,E$4)="",0,COUNTIF(Data!$B456:$U456,INDEX(Pengaturan!$B$8:$B$27,E$4)))</f>
        <v>0</v>
      </c>
      <c r="F456" s="26" t="n">
        <f aca="false">IF(INDEX(Pengaturan!$B$8:$B$27,F$4)="",0,COUNTIF(Data!$B456:$U456,INDEX(Pengaturan!$B$8:$B$27,F$4)))</f>
        <v>0</v>
      </c>
      <c r="G456" s="26" t="n">
        <f aca="false">IF(INDEX(Pengaturan!$B$8:$B$27,G$4)="",0,COUNTIF(Data!$B456:$U456,INDEX(Pengaturan!$B$8:$B$27,G$4)))</f>
        <v>0</v>
      </c>
      <c r="H456" s="26" t="n">
        <f aca="false">IF(INDEX(Pengaturan!$B$8:$B$27,H$4)="",0,COUNTIF(Data!$B456:$U456,INDEX(Pengaturan!$B$8:$B$27,H$4)))</f>
        <v>0</v>
      </c>
      <c r="I456" s="26" t="n">
        <f aca="false">IF(INDEX(Pengaturan!$B$8:$B$27,I$4)="",0,COUNTIF(Data!$B456:$U456,INDEX(Pengaturan!$B$8:$B$27,I$4)))</f>
        <v>0</v>
      </c>
      <c r="J456" s="26" t="n">
        <f aca="false">IF(INDEX(Pengaturan!$B$8:$B$27,J$4)="",0,COUNTIF(Data!$B456:$U456,INDEX(Pengaturan!$B$8:$B$27,J$4)))</f>
        <v>0</v>
      </c>
      <c r="K456" s="26" t="n">
        <f aca="false">IF(INDEX(Pengaturan!$B$8:$B$27,K$4)="",0,COUNTIF(Data!$B456:$U456,INDEX(Pengaturan!$B$8:$B$27,K$4)))</f>
        <v>0</v>
      </c>
      <c r="L456" s="26" t="n">
        <f aca="false">IF(INDEX(Pengaturan!$B$8:$B$27,L$4)="",0,COUNTIF(Data!$B456:$U456,INDEX(Pengaturan!$B$8:$B$27,L$4)))</f>
        <v>0</v>
      </c>
      <c r="M456" s="26" t="n">
        <f aca="false">IF(INDEX(Pengaturan!$B$8:$B$27,M$4)="",0,COUNTIF(Data!$B456:$U456,INDEX(Pengaturan!$B$8:$B$27,M$4)))</f>
        <v>0</v>
      </c>
      <c r="N456" s="26" t="n">
        <f aca="false">IF(INDEX(Pengaturan!$B$8:$B$27,N$4)="",0,COUNTIF(Data!$B456:$U456,INDEX(Pengaturan!$B$8:$B$27,N$4)))</f>
        <v>0</v>
      </c>
      <c r="O456" s="26" t="n">
        <f aca="false">IF(INDEX(Pengaturan!$B$8:$B$27,O$4)="",0,COUNTIF(Data!$B456:$U456,INDEX(Pengaturan!$B$8:$B$27,O$4)))</f>
        <v>0</v>
      </c>
      <c r="P456" s="26" t="n">
        <f aca="false">IF(INDEX(Pengaturan!$B$8:$B$27,P$4)="",0,COUNTIF(Data!$B456:$U456,INDEX(Pengaturan!$B$8:$B$27,P$4)))</f>
        <v>0</v>
      </c>
      <c r="Q456" s="26" t="n">
        <f aca="false">IF(INDEX(Pengaturan!$B$8:$B$27,Q$4)="",0,COUNTIF(Data!$B456:$U456,INDEX(Pengaturan!$B$8:$B$27,Q$4)))</f>
        <v>0</v>
      </c>
      <c r="R456" s="26" t="n">
        <f aca="false">IF(INDEX(Pengaturan!$B$8:$B$27,R$4)="",0,COUNTIF(Data!$B456:$U456,INDEX(Pengaturan!$B$8:$B$27,R$4)))</f>
        <v>0</v>
      </c>
      <c r="S456" s="26" t="n">
        <f aca="false">IF(INDEX(Pengaturan!$B$8:$B$27,S$4)="",0,COUNTIF(Data!$B456:$U456,INDEX(Pengaturan!$B$8:$B$27,S$4)))</f>
        <v>0</v>
      </c>
      <c r="T456" s="26" t="n">
        <f aca="false">IF(INDEX(Pengaturan!$B$8:$B$27,T$4)="",0,COUNTIF(Data!$B456:$U456,INDEX(Pengaturan!$B$8:$B$27,T$4)))</f>
        <v>0</v>
      </c>
      <c r="U456" s="26" t="n">
        <f aca="false">IF(INDEX(Pengaturan!$B$8:$B$27,U$4)="",0,COUNTIF(Data!$B456:$U456,INDEX(Pengaturan!$B$8:$B$27,U$4)))</f>
        <v>0</v>
      </c>
      <c r="V456" s="26" t="n">
        <f aca="false">COUNTA(Data!$B456:$U456)</f>
        <v>0</v>
      </c>
      <c r="W456" s="27" t="str">
        <f aca="false">IF(V456=0,"",IF(V456&lt;&gt;Hasil!$C$4,"Data kosong/tidak lengkap",IF(SUM(B456:U456)&lt;&gt;V456,"Kategori tidak dikenal","OK")))</f>
        <v/>
      </c>
      <c r="X456" s="26" t="n">
        <f aca="false">IF(OR(W456="",W456="OK"),0,1)</f>
        <v>0</v>
      </c>
    </row>
    <row r="457" customFormat="false" ht="15" hidden="false" customHeight="false" outlineLevel="0" collapsed="false">
      <c r="A457" s="26" t="n">
        <f aca="false">Data!A457</f>
        <v>452</v>
      </c>
      <c r="B457" s="26" t="n">
        <f aca="false">IF(INDEX(Pengaturan!$B$8:$B$27,B$4)="",0,COUNTIF(Data!$B457:$U457,INDEX(Pengaturan!$B$8:$B$27,B$4)))</f>
        <v>0</v>
      </c>
      <c r="C457" s="26" t="n">
        <f aca="false">IF(INDEX(Pengaturan!$B$8:$B$27,C$4)="",0,COUNTIF(Data!$B457:$U457,INDEX(Pengaturan!$B$8:$B$27,C$4)))</f>
        <v>0</v>
      </c>
      <c r="D457" s="26" t="n">
        <f aca="false">IF(INDEX(Pengaturan!$B$8:$B$27,D$4)="",0,COUNTIF(Data!$B457:$U457,INDEX(Pengaturan!$B$8:$B$27,D$4)))</f>
        <v>0</v>
      </c>
      <c r="E457" s="26" t="n">
        <f aca="false">IF(INDEX(Pengaturan!$B$8:$B$27,E$4)="",0,COUNTIF(Data!$B457:$U457,INDEX(Pengaturan!$B$8:$B$27,E$4)))</f>
        <v>0</v>
      </c>
      <c r="F457" s="26" t="n">
        <f aca="false">IF(INDEX(Pengaturan!$B$8:$B$27,F$4)="",0,COUNTIF(Data!$B457:$U457,INDEX(Pengaturan!$B$8:$B$27,F$4)))</f>
        <v>0</v>
      </c>
      <c r="G457" s="26" t="n">
        <f aca="false">IF(INDEX(Pengaturan!$B$8:$B$27,G$4)="",0,COUNTIF(Data!$B457:$U457,INDEX(Pengaturan!$B$8:$B$27,G$4)))</f>
        <v>0</v>
      </c>
      <c r="H457" s="26" t="n">
        <f aca="false">IF(INDEX(Pengaturan!$B$8:$B$27,H$4)="",0,COUNTIF(Data!$B457:$U457,INDEX(Pengaturan!$B$8:$B$27,H$4)))</f>
        <v>0</v>
      </c>
      <c r="I457" s="26" t="n">
        <f aca="false">IF(INDEX(Pengaturan!$B$8:$B$27,I$4)="",0,COUNTIF(Data!$B457:$U457,INDEX(Pengaturan!$B$8:$B$27,I$4)))</f>
        <v>0</v>
      </c>
      <c r="J457" s="26" t="n">
        <f aca="false">IF(INDEX(Pengaturan!$B$8:$B$27,J$4)="",0,COUNTIF(Data!$B457:$U457,INDEX(Pengaturan!$B$8:$B$27,J$4)))</f>
        <v>0</v>
      </c>
      <c r="K457" s="26" t="n">
        <f aca="false">IF(INDEX(Pengaturan!$B$8:$B$27,K$4)="",0,COUNTIF(Data!$B457:$U457,INDEX(Pengaturan!$B$8:$B$27,K$4)))</f>
        <v>0</v>
      </c>
      <c r="L457" s="26" t="n">
        <f aca="false">IF(INDEX(Pengaturan!$B$8:$B$27,L$4)="",0,COUNTIF(Data!$B457:$U457,INDEX(Pengaturan!$B$8:$B$27,L$4)))</f>
        <v>0</v>
      </c>
      <c r="M457" s="26" t="n">
        <f aca="false">IF(INDEX(Pengaturan!$B$8:$B$27,M$4)="",0,COUNTIF(Data!$B457:$U457,INDEX(Pengaturan!$B$8:$B$27,M$4)))</f>
        <v>0</v>
      </c>
      <c r="N457" s="26" t="n">
        <f aca="false">IF(INDEX(Pengaturan!$B$8:$B$27,N$4)="",0,COUNTIF(Data!$B457:$U457,INDEX(Pengaturan!$B$8:$B$27,N$4)))</f>
        <v>0</v>
      </c>
      <c r="O457" s="26" t="n">
        <f aca="false">IF(INDEX(Pengaturan!$B$8:$B$27,O$4)="",0,COUNTIF(Data!$B457:$U457,INDEX(Pengaturan!$B$8:$B$27,O$4)))</f>
        <v>0</v>
      </c>
      <c r="P457" s="26" t="n">
        <f aca="false">IF(INDEX(Pengaturan!$B$8:$B$27,P$4)="",0,COUNTIF(Data!$B457:$U457,INDEX(Pengaturan!$B$8:$B$27,P$4)))</f>
        <v>0</v>
      </c>
      <c r="Q457" s="26" t="n">
        <f aca="false">IF(INDEX(Pengaturan!$B$8:$B$27,Q$4)="",0,COUNTIF(Data!$B457:$U457,INDEX(Pengaturan!$B$8:$B$27,Q$4)))</f>
        <v>0</v>
      </c>
      <c r="R457" s="26" t="n">
        <f aca="false">IF(INDEX(Pengaturan!$B$8:$B$27,R$4)="",0,COUNTIF(Data!$B457:$U457,INDEX(Pengaturan!$B$8:$B$27,R$4)))</f>
        <v>0</v>
      </c>
      <c r="S457" s="26" t="n">
        <f aca="false">IF(INDEX(Pengaturan!$B$8:$B$27,S$4)="",0,COUNTIF(Data!$B457:$U457,INDEX(Pengaturan!$B$8:$B$27,S$4)))</f>
        <v>0</v>
      </c>
      <c r="T457" s="26" t="n">
        <f aca="false">IF(INDEX(Pengaturan!$B$8:$B$27,T$4)="",0,COUNTIF(Data!$B457:$U457,INDEX(Pengaturan!$B$8:$B$27,T$4)))</f>
        <v>0</v>
      </c>
      <c r="U457" s="26" t="n">
        <f aca="false">IF(INDEX(Pengaturan!$B$8:$B$27,U$4)="",0,COUNTIF(Data!$B457:$U457,INDEX(Pengaturan!$B$8:$B$27,U$4)))</f>
        <v>0</v>
      </c>
      <c r="V457" s="26" t="n">
        <f aca="false">COUNTA(Data!$B457:$U457)</f>
        <v>0</v>
      </c>
      <c r="W457" s="27" t="str">
        <f aca="false">IF(V457=0,"",IF(V457&lt;&gt;Hasil!$C$4,"Data kosong/tidak lengkap",IF(SUM(B457:U457)&lt;&gt;V457,"Kategori tidak dikenal","OK")))</f>
        <v/>
      </c>
      <c r="X457" s="26" t="n">
        <f aca="false">IF(OR(W457="",W457="OK"),0,1)</f>
        <v>0</v>
      </c>
    </row>
    <row r="458" customFormat="false" ht="15" hidden="false" customHeight="false" outlineLevel="0" collapsed="false">
      <c r="A458" s="26" t="n">
        <f aca="false">Data!A458</f>
        <v>453</v>
      </c>
      <c r="B458" s="26" t="n">
        <f aca="false">IF(INDEX(Pengaturan!$B$8:$B$27,B$4)="",0,COUNTIF(Data!$B458:$U458,INDEX(Pengaturan!$B$8:$B$27,B$4)))</f>
        <v>0</v>
      </c>
      <c r="C458" s="26" t="n">
        <f aca="false">IF(INDEX(Pengaturan!$B$8:$B$27,C$4)="",0,COUNTIF(Data!$B458:$U458,INDEX(Pengaturan!$B$8:$B$27,C$4)))</f>
        <v>0</v>
      </c>
      <c r="D458" s="26" t="n">
        <f aca="false">IF(INDEX(Pengaturan!$B$8:$B$27,D$4)="",0,COUNTIF(Data!$B458:$U458,INDEX(Pengaturan!$B$8:$B$27,D$4)))</f>
        <v>0</v>
      </c>
      <c r="E458" s="26" t="n">
        <f aca="false">IF(INDEX(Pengaturan!$B$8:$B$27,E$4)="",0,COUNTIF(Data!$B458:$U458,INDEX(Pengaturan!$B$8:$B$27,E$4)))</f>
        <v>0</v>
      </c>
      <c r="F458" s="26" t="n">
        <f aca="false">IF(INDEX(Pengaturan!$B$8:$B$27,F$4)="",0,COUNTIF(Data!$B458:$U458,INDEX(Pengaturan!$B$8:$B$27,F$4)))</f>
        <v>0</v>
      </c>
      <c r="G458" s="26" t="n">
        <f aca="false">IF(INDEX(Pengaturan!$B$8:$B$27,G$4)="",0,COUNTIF(Data!$B458:$U458,INDEX(Pengaturan!$B$8:$B$27,G$4)))</f>
        <v>0</v>
      </c>
      <c r="H458" s="26" t="n">
        <f aca="false">IF(INDEX(Pengaturan!$B$8:$B$27,H$4)="",0,COUNTIF(Data!$B458:$U458,INDEX(Pengaturan!$B$8:$B$27,H$4)))</f>
        <v>0</v>
      </c>
      <c r="I458" s="26" t="n">
        <f aca="false">IF(INDEX(Pengaturan!$B$8:$B$27,I$4)="",0,COUNTIF(Data!$B458:$U458,INDEX(Pengaturan!$B$8:$B$27,I$4)))</f>
        <v>0</v>
      </c>
      <c r="J458" s="26" t="n">
        <f aca="false">IF(INDEX(Pengaturan!$B$8:$B$27,J$4)="",0,COUNTIF(Data!$B458:$U458,INDEX(Pengaturan!$B$8:$B$27,J$4)))</f>
        <v>0</v>
      </c>
      <c r="K458" s="26" t="n">
        <f aca="false">IF(INDEX(Pengaturan!$B$8:$B$27,K$4)="",0,COUNTIF(Data!$B458:$U458,INDEX(Pengaturan!$B$8:$B$27,K$4)))</f>
        <v>0</v>
      </c>
      <c r="L458" s="26" t="n">
        <f aca="false">IF(INDEX(Pengaturan!$B$8:$B$27,L$4)="",0,COUNTIF(Data!$B458:$U458,INDEX(Pengaturan!$B$8:$B$27,L$4)))</f>
        <v>0</v>
      </c>
      <c r="M458" s="26" t="n">
        <f aca="false">IF(INDEX(Pengaturan!$B$8:$B$27,M$4)="",0,COUNTIF(Data!$B458:$U458,INDEX(Pengaturan!$B$8:$B$27,M$4)))</f>
        <v>0</v>
      </c>
      <c r="N458" s="26" t="n">
        <f aca="false">IF(INDEX(Pengaturan!$B$8:$B$27,N$4)="",0,COUNTIF(Data!$B458:$U458,INDEX(Pengaturan!$B$8:$B$27,N$4)))</f>
        <v>0</v>
      </c>
      <c r="O458" s="26" t="n">
        <f aca="false">IF(INDEX(Pengaturan!$B$8:$B$27,O$4)="",0,COUNTIF(Data!$B458:$U458,INDEX(Pengaturan!$B$8:$B$27,O$4)))</f>
        <v>0</v>
      </c>
      <c r="P458" s="26" t="n">
        <f aca="false">IF(INDEX(Pengaturan!$B$8:$B$27,P$4)="",0,COUNTIF(Data!$B458:$U458,INDEX(Pengaturan!$B$8:$B$27,P$4)))</f>
        <v>0</v>
      </c>
      <c r="Q458" s="26" t="n">
        <f aca="false">IF(INDEX(Pengaturan!$B$8:$B$27,Q$4)="",0,COUNTIF(Data!$B458:$U458,INDEX(Pengaturan!$B$8:$B$27,Q$4)))</f>
        <v>0</v>
      </c>
      <c r="R458" s="26" t="n">
        <f aca="false">IF(INDEX(Pengaturan!$B$8:$B$27,R$4)="",0,COUNTIF(Data!$B458:$U458,INDEX(Pengaturan!$B$8:$B$27,R$4)))</f>
        <v>0</v>
      </c>
      <c r="S458" s="26" t="n">
        <f aca="false">IF(INDEX(Pengaturan!$B$8:$B$27,S$4)="",0,COUNTIF(Data!$B458:$U458,INDEX(Pengaturan!$B$8:$B$27,S$4)))</f>
        <v>0</v>
      </c>
      <c r="T458" s="26" t="n">
        <f aca="false">IF(INDEX(Pengaturan!$B$8:$B$27,T$4)="",0,COUNTIF(Data!$B458:$U458,INDEX(Pengaturan!$B$8:$B$27,T$4)))</f>
        <v>0</v>
      </c>
      <c r="U458" s="26" t="n">
        <f aca="false">IF(INDEX(Pengaturan!$B$8:$B$27,U$4)="",0,COUNTIF(Data!$B458:$U458,INDEX(Pengaturan!$B$8:$B$27,U$4)))</f>
        <v>0</v>
      </c>
      <c r="V458" s="26" t="n">
        <f aca="false">COUNTA(Data!$B458:$U458)</f>
        <v>0</v>
      </c>
      <c r="W458" s="27" t="str">
        <f aca="false">IF(V458=0,"",IF(V458&lt;&gt;Hasil!$C$4,"Data kosong/tidak lengkap",IF(SUM(B458:U458)&lt;&gt;V458,"Kategori tidak dikenal","OK")))</f>
        <v/>
      </c>
      <c r="X458" s="26" t="n">
        <f aca="false">IF(OR(W458="",W458="OK"),0,1)</f>
        <v>0</v>
      </c>
    </row>
    <row r="459" customFormat="false" ht="15" hidden="false" customHeight="false" outlineLevel="0" collapsed="false">
      <c r="A459" s="26" t="n">
        <f aca="false">Data!A459</f>
        <v>454</v>
      </c>
      <c r="B459" s="26" t="n">
        <f aca="false">IF(INDEX(Pengaturan!$B$8:$B$27,B$4)="",0,COUNTIF(Data!$B459:$U459,INDEX(Pengaturan!$B$8:$B$27,B$4)))</f>
        <v>0</v>
      </c>
      <c r="C459" s="26" t="n">
        <f aca="false">IF(INDEX(Pengaturan!$B$8:$B$27,C$4)="",0,COUNTIF(Data!$B459:$U459,INDEX(Pengaturan!$B$8:$B$27,C$4)))</f>
        <v>0</v>
      </c>
      <c r="D459" s="26" t="n">
        <f aca="false">IF(INDEX(Pengaturan!$B$8:$B$27,D$4)="",0,COUNTIF(Data!$B459:$U459,INDEX(Pengaturan!$B$8:$B$27,D$4)))</f>
        <v>0</v>
      </c>
      <c r="E459" s="26" t="n">
        <f aca="false">IF(INDEX(Pengaturan!$B$8:$B$27,E$4)="",0,COUNTIF(Data!$B459:$U459,INDEX(Pengaturan!$B$8:$B$27,E$4)))</f>
        <v>0</v>
      </c>
      <c r="F459" s="26" t="n">
        <f aca="false">IF(INDEX(Pengaturan!$B$8:$B$27,F$4)="",0,COUNTIF(Data!$B459:$U459,INDEX(Pengaturan!$B$8:$B$27,F$4)))</f>
        <v>0</v>
      </c>
      <c r="G459" s="26" t="n">
        <f aca="false">IF(INDEX(Pengaturan!$B$8:$B$27,G$4)="",0,COUNTIF(Data!$B459:$U459,INDEX(Pengaturan!$B$8:$B$27,G$4)))</f>
        <v>0</v>
      </c>
      <c r="H459" s="26" t="n">
        <f aca="false">IF(INDEX(Pengaturan!$B$8:$B$27,H$4)="",0,COUNTIF(Data!$B459:$U459,INDEX(Pengaturan!$B$8:$B$27,H$4)))</f>
        <v>0</v>
      </c>
      <c r="I459" s="26" t="n">
        <f aca="false">IF(INDEX(Pengaturan!$B$8:$B$27,I$4)="",0,COUNTIF(Data!$B459:$U459,INDEX(Pengaturan!$B$8:$B$27,I$4)))</f>
        <v>0</v>
      </c>
      <c r="J459" s="26" t="n">
        <f aca="false">IF(INDEX(Pengaturan!$B$8:$B$27,J$4)="",0,COUNTIF(Data!$B459:$U459,INDEX(Pengaturan!$B$8:$B$27,J$4)))</f>
        <v>0</v>
      </c>
      <c r="K459" s="26" t="n">
        <f aca="false">IF(INDEX(Pengaturan!$B$8:$B$27,K$4)="",0,COUNTIF(Data!$B459:$U459,INDEX(Pengaturan!$B$8:$B$27,K$4)))</f>
        <v>0</v>
      </c>
      <c r="L459" s="26" t="n">
        <f aca="false">IF(INDEX(Pengaturan!$B$8:$B$27,L$4)="",0,COUNTIF(Data!$B459:$U459,INDEX(Pengaturan!$B$8:$B$27,L$4)))</f>
        <v>0</v>
      </c>
      <c r="M459" s="26" t="n">
        <f aca="false">IF(INDEX(Pengaturan!$B$8:$B$27,M$4)="",0,COUNTIF(Data!$B459:$U459,INDEX(Pengaturan!$B$8:$B$27,M$4)))</f>
        <v>0</v>
      </c>
      <c r="N459" s="26" t="n">
        <f aca="false">IF(INDEX(Pengaturan!$B$8:$B$27,N$4)="",0,COUNTIF(Data!$B459:$U459,INDEX(Pengaturan!$B$8:$B$27,N$4)))</f>
        <v>0</v>
      </c>
      <c r="O459" s="26" t="n">
        <f aca="false">IF(INDEX(Pengaturan!$B$8:$B$27,O$4)="",0,COUNTIF(Data!$B459:$U459,INDEX(Pengaturan!$B$8:$B$27,O$4)))</f>
        <v>0</v>
      </c>
      <c r="P459" s="26" t="n">
        <f aca="false">IF(INDEX(Pengaturan!$B$8:$B$27,P$4)="",0,COUNTIF(Data!$B459:$U459,INDEX(Pengaturan!$B$8:$B$27,P$4)))</f>
        <v>0</v>
      </c>
      <c r="Q459" s="26" t="n">
        <f aca="false">IF(INDEX(Pengaturan!$B$8:$B$27,Q$4)="",0,COUNTIF(Data!$B459:$U459,INDEX(Pengaturan!$B$8:$B$27,Q$4)))</f>
        <v>0</v>
      </c>
      <c r="R459" s="26" t="n">
        <f aca="false">IF(INDEX(Pengaturan!$B$8:$B$27,R$4)="",0,COUNTIF(Data!$B459:$U459,INDEX(Pengaturan!$B$8:$B$27,R$4)))</f>
        <v>0</v>
      </c>
      <c r="S459" s="26" t="n">
        <f aca="false">IF(INDEX(Pengaturan!$B$8:$B$27,S$4)="",0,COUNTIF(Data!$B459:$U459,INDEX(Pengaturan!$B$8:$B$27,S$4)))</f>
        <v>0</v>
      </c>
      <c r="T459" s="26" t="n">
        <f aca="false">IF(INDEX(Pengaturan!$B$8:$B$27,T$4)="",0,COUNTIF(Data!$B459:$U459,INDEX(Pengaturan!$B$8:$B$27,T$4)))</f>
        <v>0</v>
      </c>
      <c r="U459" s="26" t="n">
        <f aca="false">IF(INDEX(Pengaturan!$B$8:$B$27,U$4)="",0,COUNTIF(Data!$B459:$U459,INDEX(Pengaturan!$B$8:$B$27,U$4)))</f>
        <v>0</v>
      </c>
      <c r="V459" s="26" t="n">
        <f aca="false">COUNTA(Data!$B459:$U459)</f>
        <v>0</v>
      </c>
      <c r="W459" s="27" t="str">
        <f aca="false">IF(V459=0,"",IF(V459&lt;&gt;Hasil!$C$4,"Data kosong/tidak lengkap",IF(SUM(B459:U459)&lt;&gt;V459,"Kategori tidak dikenal","OK")))</f>
        <v/>
      </c>
      <c r="X459" s="26" t="n">
        <f aca="false">IF(OR(W459="",W459="OK"),0,1)</f>
        <v>0</v>
      </c>
    </row>
    <row r="460" customFormat="false" ht="15" hidden="false" customHeight="false" outlineLevel="0" collapsed="false">
      <c r="A460" s="26" t="n">
        <f aca="false">Data!A460</f>
        <v>455</v>
      </c>
      <c r="B460" s="26" t="n">
        <f aca="false">IF(INDEX(Pengaturan!$B$8:$B$27,B$4)="",0,COUNTIF(Data!$B460:$U460,INDEX(Pengaturan!$B$8:$B$27,B$4)))</f>
        <v>0</v>
      </c>
      <c r="C460" s="26" t="n">
        <f aca="false">IF(INDEX(Pengaturan!$B$8:$B$27,C$4)="",0,COUNTIF(Data!$B460:$U460,INDEX(Pengaturan!$B$8:$B$27,C$4)))</f>
        <v>0</v>
      </c>
      <c r="D460" s="26" t="n">
        <f aca="false">IF(INDEX(Pengaturan!$B$8:$B$27,D$4)="",0,COUNTIF(Data!$B460:$U460,INDEX(Pengaturan!$B$8:$B$27,D$4)))</f>
        <v>0</v>
      </c>
      <c r="E460" s="26" t="n">
        <f aca="false">IF(INDEX(Pengaturan!$B$8:$B$27,E$4)="",0,COUNTIF(Data!$B460:$U460,INDEX(Pengaturan!$B$8:$B$27,E$4)))</f>
        <v>0</v>
      </c>
      <c r="F460" s="26" t="n">
        <f aca="false">IF(INDEX(Pengaturan!$B$8:$B$27,F$4)="",0,COUNTIF(Data!$B460:$U460,INDEX(Pengaturan!$B$8:$B$27,F$4)))</f>
        <v>0</v>
      </c>
      <c r="G460" s="26" t="n">
        <f aca="false">IF(INDEX(Pengaturan!$B$8:$B$27,G$4)="",0,COUNTIF(Data!$B460:$U460,INDEX(Pengaturan!$B$8:$B$27,G$4)))</f>
        <v>0</v>
      </c>
      <c r="H460" s="26" t="n">
        <f aca="false">IF(INDEX(Pengaturan!$B$8:$B$27,H$4)="",0,COUNTIF(Data!$B460:$U460,INDEX(Pengaturan!$B$8:$B$27,H$4)))</f>
        <v>0</v>
      </c>
      <c r="I460" s="26" t="n">
        <f aca="false">IF(INDEX(Pengaturan!$B$8:$B$27,I$4)="",0,COUNTIF(Data!$B460:$U460,INDEX(Pengaturan!$B$8:$B$27,I$4)))</f>
        <v>0</v>
      </c>
      <c r="J460" s="26" t="n">
        <f aca="false">IF(INDEX(Pengaturan!$B$8:$B$27,J$4)="",0,COUNTIF(Data!$B460:$U460,INDEX(Pengaturan!$B$8:$B$27,J$4)))</f>
        <v>0</v>
      </c>
      <c r="K460" s="26" t="n">
        <f aca="false">IF(INDEX(Pengaturan!$B$8:$B$27,K$4)="",0,COUNTIF(Data!$B460:$U460,INDEX(Pengaturan!$B$8:$B$27,K$4)))</f>
        <v>0</v>
      </c>
      <c r="L460" s="26" t="n">
        <f aca="false">IF(INDEX(Pengaturan!$B$8:$B$27,L$4)="",0,COUNTIF(Data!$B460:$U460,INDEX(Pengaturan!$B$8:$B$27,L$4)))</f>
        <v>0</v>
      </c>
      <c r="M460" s="26" t="n">
        <f aca="false">IF(INDEX(Pengaturan!$B$8:$B$27,M$4)="",0,COUNTIF(Data!$B460:$U460,INDEX(Pengaturan!$B$8:$B$27,M$4)))</f>
        <v>0</v>
      </c>
      <c r="N460" s="26" t="n">
        <f aca="false">IF(INDEX(Pengaturan!$B$8:$B$27,N$4)="",0,COUNTIF(Data!$B460:$U460,INDEX(Pengaturan!$B$8:$B$27,N$4)))</f>
        <v>0</v>
      </c>
      <c r="O460" s="26" t="n">
        <f aca="false">IF(INDEX(Pengaturan!$B$8:$B$27,O$4)="",0,COUNTIF(Data!$B460:$U460,INDEX(Pengaturan!$B$8:$B$27,O$4)))</f>
        <v>0</v>
      </c>
      <c r="P460" s="26" t="n">
        <f aca="false">IF(INDEX(Pengaturan!$B$8:$B$27,P$4)="",0,COUNTIF(Data!$B460:$U460,INDEX(Pengaturan!$B$8:$B$27,P$4)))</f>
        <v>0</v>
      </c>
      <c r="Q460" s="26" t="n">
        <f aca="false">IF(INDEX(Pengaturan!$B$8:$B$27,Q$4)="",0,COUNTIF(Data!$B460:$U460,INDEX(Pengaturan!$B$8:$B$27,Q$4)))</f>
        <v>0</v>
      </c>
      <c r="R460" s="26" t="n">
        <f aca="false">IF(INDEX(Pengaturan!$B$8:$B$27,R$4)="",0,COUNTIF(Data!$B460:$U460,INDEX(Pengaturan!$B$8:$B$27,R$4)))</f>
        <v>0</v>
      </c>
      <c r="S460" s="26" t="n">
        <f aca="false">IF(INDEX(Pengaturan!$B$8:$B$27,S$4)="",0,COUNTIF(Data!$B460:$U460,INDEX(Pengaturan!$B$8:$B$27,S$4)))</f>
        <v>0</v>
      </c>
      <c r="T460" s="26" t="n">
        <f aca="false">IF(INDEX(Pengaturan!$B$8:$B$27,T$4)="",0,COUNTIF(Data!$B460:$U460,INDEX(Pengaturan!$B$8:$B$27,T$4)))</f>
        <v>0</v>
      </c>
      <c r="U460" s="26" t="n">
        <f aca="false">IF(INDEX(Pengaturan!$B$8:$B$27,U$4)="",0,COUNTIF(Data!$B460:$U460,INDEX(Pengaturan!$B$8:$B$27,U$4)))</f>
        <v>0</v>
      </c>
      <c r="V460" s="26" t="n">
        <f aca="false">COUNTA(Data!$B460:$U460)</f>
        <v>0</v>
      </c>
      <c r="W460" s="27" t="str">
        <f aca="false">IF(V460=0,"",IF(V460&lt;&gt;Hasil!$C$4,"Data kosong/tidak lengkap",IF(SUM(B460:U460)&lt;&gt;V460,"Kategori tidak dikenal","OK")))</f>
        <v/>
      </c>
      <c r="X460" s="26" t="n">
        <f aca="false">IF(OR(W460="",W460="OK"),0,1)</f>
        <v>0</v>
      </c>
    </row>
    <row r="461" customFormat="false" ht="15" hidden="false" customHeight="false" outlineLevel="0" collapsed="false">
      <c r="A461" s="26" t="n">
        <f aca="false">Data!A461</f>
        <v>456</v>
      </c>
      <c r="B461" s="26" t="n">
        <f aca="false">IF(INDEX(Pengaturan!$B$8:$B$27,B$4)="",0,COUNTIF(Data!$B461:$U461,INDEX(Pengaturan!$B$8:$B$27,B$4)))</f>
        <v>0</v>
      </c>
      <c r="C461" s="26" t="n">
        <f aca="false">IF(INDEX(Pengaturan!$B$8:$B$27,C$4)="",0,COUNTIF(Data!$B461:$U461,INDEX(Pengaturan!$B$8:$B$27,C$4)))</f>
        <v>0</v>
      </c>
      <c r="D461" s="26" t="n">
        <f aca="false">IF(INDEX(Pengaturan!$B$8:$B$27,D$4)="",0,COUNTIF(Data!$B461:$U461,INDEX(Pengaturan!$B$8:$B$27,D$4)))</f>
        <v>0</v>
      </c>
      <c r="E461" s="26" t="n">
        <f aca="false">IF(INDEX(Pengaturan!$B$8:$B$27,E$4)="",0,COUNTIF(Data!$B461:$U461,INDEX(Pengaturan!$B$8:$B$27,E$4)))</f>
        <v>0</v>
      </c>
      <c r="F461" s="26" t="n">
        <f aca="false">IF(INDEX(Pengaturan!$B$8:$B$27,F$4)="",0,COUNTIF(Data!$B461:$U461,INDEX(Pengaturan!$B$8:$B$27,F$4)))</f>
        <v>0</v>
      </c>
      <c r="G461" s="26" t="n">
        <f aca="false">IF(INDEX(Pengaturan!$B$8:$B$27,G$4)="",0,COUNTIF(Data!$B461:$U461,INDEX(Pengaturan!$B$8:$B$27,G$4)))</f>
        <v>0</v>
      </c>
      <c r="H461" s="26" t="n">
        <f aca="false">IF(INDEX(Pengaturan!$B$8:$B$27,H$4)="",0,COUNTIF(Data!$B461:$U461,INDEX(Pengaturan!$B$8:$B$27,H$4)))</f>
        <v>0</v>
      </c>
      <c r="I461" s="26" t="n">
        <f aca="false">IF(INDEX(Pengaturan!$B$8:$B$27,I$4)="",0,COUNTIF(Data!$B461:$U461,INDEX(Pengaturan!$B$8:$B$27,I$4)))</f>
        <v>0</v>
      </c>
      <c r="J461" s="26" t="n">
        <f aca="false">IF(INDEX(Pengaturan!$B$8:$B$27,J$4)="",0,COUNTIF(Data!$B461:$U461,INDEX(Pengaturan!$B$8:$B$27,J$4)))</f>
        <v>0</v>
      </c>
      <c r="K461" s="26" t="n">
        <f aca="false">IF(INDEX(Pengaturan!$B$8:$B$27,K$4)="",0,COUNTIF(Data!$B461:$U461,INDEX(Pengaturan!$B$8:$B$27,K$4)))</f>
        <v>0</v>
      </c>
      <c r="L461" s="26" t="n">
        <f aca="false">IF(INDEX(Pengaturan!$B$8:$B$27,L$4)="",0,COUNTIF(Data!$B461:$U461,INDEX(Pengaturan!$B$8:$B$27,L$4)))</f>
        <v>0</v>
      </c>
      <c r="M461" s="26" t="n">
        <f aca="false">IF(INDEX(Pengaturan!$B$8:$B$27,M$4)="",0,COUNTIF(Data!$B461:$U461,INDEX(Pengaturan!$B$8:$B$27,M$4)))</f>
        <v>0</v>
      </c>
      <c r="N461" s="26" t="n">
        <f aca="false">IF(INDEX(Pengaturan!$B$8:$B$27,N$4)="",0,COUNTIF(Data!$B461:$U461,INDEX(Pengaturan!$B$8:$B$27,N$4)))</f>
        <v>0</v>
      </c>
      <c r="O461" s="26" t="n">
        <f aca="false">IF(INDEX(Pengaturan!$B$8:$B$27,O$4)="",0,COUNTIF(Data!$B461:$U461,INDEX(Pengaturan!$B$8:$B$27,O$4)))</f>
        <v>0</v>
      </c>
      <c r="P461" s="26" t="n">
        <f aca="false">IF(INDEX(Pengaturan!$B$8:$B$27,P$4)="",0,COUNTIF(Data!$B461:$U461,INDEX(Pengaturan!$B$8:$B$27,P$4)))</f>
        <v>0</v>
      </c>
      <c r="Q461" s="26" t="n">
        <f aca="false">IF(INDEX(Pengaturan!$B$8:$B$27,Q$4)="",0,COUNTIF(Data!$B461:$U461,INDEX(Pengaturan!$B$8:$B$27,Q$4)))</f>
        <v>0</v>
      </c>
      <c r="R461" s="26" t="n">
        <f aca="false">IF(INDEX(Pengaturan!$B$8:$B$27,R$4)="",0,COUNTIF(Data!$B461:$U461,INDEX(Pengaturan!$B$8:$B$27,R$4)))</f>
        <v>0</v>
      </c>
      <c r="S461" s="26" t="n">
        <f aca="false">IF(INDEX(Pengaturan!$B$8:$B$27,S$4)="",0,COUNTIF(Data!$B461:$U461,INDEX(Pengaturan!$B$8:$B$27,S$4)))</f>
        <v>0</v>
      </c>
      <c r="T461" s="26" t="n">
        <f aca="false">IF(INDEX(Pengaturan!$B$8:$B$27,T$4)="",0,COUNTIF(Data!$B461:$U461,INDEX(Pengaturan!$B$8:$B$27,T$4)))</f>
        <v>0</v>
      </c>
      <c r="U461" s="26" t="n">
        <f aca="false">IF(INDEX(Pengaturan!$B$8:$B$27,U$4)="",0,COUNTIF(Data!$B461:$U461,INDEX(Pengaturan!$B$8:$B$27,U$4)))</f>
        <v>0</v>
      </c>
      <c r="V461" s="26" t="n">
        <f aca="false">COUNTA(Data!$B461:$U461)</f>
        <v>0</v>
      </c>
      <c r="W461" s="27" t="str">
        <f aca="false">IF(V461=0,"",IF(V461&lt;&gt;Hasil!$C$4,"Data kosong/tidak lengkap",IF(SUM(B461:U461)&lt;&gt;V461,"Kategori tidak dikenal","OK")))</f>
        <v/>
      </c>
      <c r="X461" s="26" t="n">
        <f aca="false">IF(OR(W461="",W461="OK"),0,1)</f>
        <v>0</v>
      </c>
    </row>
    <row r="462" customFormat="false" ht="15" hidden="false" customHeight="false" outlineLevel="0" collapsed="false">
      <c r="A462" s="26" t="n">
        <f aca="false">Data!A462</f>
        <v>457</v>
      </c>
      <c r="B462" s="26" t="n">
        <f aca="false">IF(INDEX(Pengaturan!$B$8:$B$27,B$4)="",0,COUNTIF(Data!$B462:$U462,INDEX(Pengaturan!$B$8:$B$27,B$4)))</f>
        <v>0</v>
      </c>
      <c r="C462" s="26" t="n">
        <f aca="false">IF(INDEX(Pengaturan!$B$8:$B$27,C$4)="",0,COUNTIF(Data!$B462:$U462,INDEX(Pengaturan!$B$8:$B$27,C$4)))</f>
        <v>0</v>
      </c>
      <c r="D462" s="26" t="n">
        <f aca="false">IF(INDEX(Pengaturan!$B$8:$B$27,D$4)="",0,COUNTIF(Data!$B462:$U462,INDEX(Pengaturan!$B$8:$B$27,D$4)))</f>
        <v>0</v>
      </c>
      <c r="E462" s="26" t="n">
        <f aca="false">IF(INDEX(Pengaturan!$B$8:$B$27,E$4)="",0,COUNTIF(Data!$B462:$U462,INDEX(Pengaturan!$B$8:$B$27,E$4)))</f>
        <v>0</v>
      </c>
      <c r="F462" s="26" t="n">
        <f aca="false">IF(INDEX(Pengaturan!$B$8:$B$27,F$4)="",0,COUNTIF(Data!$B462:$U462,INDEX(Pengaturan!$B$8:$B$27,F$4)))</f>
        <v>0</v>
      </c>
      <c r="G462" s="26" t="n">
        <f aca="false">IF(INDEX(Pengaturan!$B$8:$B$27,G$4)="",0,COUNTIF(Data!$B462:$U462,INDEX(Pengaturan!$B$8:$B$27,G$4)))</f>
        <v>0</v>
      </c>
      <c r="H462" s="26" t="n">
        <f aca="false">IF(INDEX(Pengaturan!$B$8:$B$27,H$4)="",0,COUNTIF(Data!$B462:$U462,INDEX(Pengaturan!$B$8:$B$27,H$4)))</f>
        <v>0</v>
      </c>
      <c r="I462" s="26" t="n">
        <f aca="false">IF(INDEX(Pengaturan!$B$8:$B$27,I$4)="",0,COUNTIF(Data!$B462:$U462,INDEX(Pengaturan!$B$8:$B$27,I$4)))</f>
        <v>0</v>
      </c>
      <c r="J462" s="26" t="n">
        <f aca="false">IF(INDEX(Pengaturan!$B$8:$B$27,J$4)="",0,COUNTIF(Data!$B462:$U462,INDEX(Pengaturan!$B$8:$B$27,J$4)))</f>
        <v>0</v>
      </c>
      <c r="K462" s="26" t="n">
        <f aca="false">IF(INDEX(Pengaturan!$B$8:$B$27,K$4)="",0,COUNTIF(Data!$B462:$U462,INDEX(Pengaturan!$B$8:$B$27,K$4)))</f>
        <v>0</v>
      </c>
      <c r="L462" s="26" t="n">
        <f aca="false">IF(INDEX(Pengaturan!$B$8:$B$27,L$4)="",0,COUNTIF(Data!$B462:$U462,INDEX(Pengaturan!$B$8:$B$27,L$4)))</f>
        <v>0</v>
      </c>
      <c r="M462" s="26" t="n">
        <f aca="false">IF(INDEX(Pengaturan!$B$8:$B$27,M$4)="",0,COUNTIF(Data!$B462:$U462,INDEX(Pengaturan!$B$8:$B$27,M$4)))</f>
        <v>0</v>
      </c>
      <c r="N462" s="26" t="n">
        <f aca="false">IF(INDEX(Pengaturan!$B$8:$B$27,N$4)="",0,COUNTIF(Data!$B462:$U462,INDEX(Pengaturan!$B$8:$B$27,N$4)))</f>
        <v>0</v>
      </c>
      <c r="O462" s="26" t="n">
        <f aca="false">IF(INDEX(Pengaturan!$B$8:$B$27,O$4)="",0,COUNTIF(Data!$B462:$U462,INDEX(Pengaturan!$B$8:$B$27,O$4)))</f>
        <v>0</v>
      </c>
      <c r="P462" s="26" t="n">
        <f aca="false">IF(INDEX(Pengaturan!$B$8:$B$27,P$4)="",0,COUNTIF(Data!$B462:$U462,INDEX(Pengaturan!$B$8:$B$27,P$4)))</f>
        <v>0</v>
      </c>
      <c r="Q462" s="26" t="n">
        <f aca="false">IF(INDEX(Pengaturan!$B$8:$B$27,Q$4)="",0,COUNTIF(Data!$B462:$U462,INDEX(Pengaturan!$B$8:$B$27,Q$4)))</f>
        <v>0</v>
      </c>
      <c r="R462" s="26" t="n">
        <f aca="false">IF(INDEX(Pengaturan!$B$8:$B$27,R$4)="",0,COUNTIF(Data!$B462:$U462,INDEX(Pengaturan!$B$8:$B$27,R$4)))</f>
        <v>0</v>
      </c>
      <c r="S462" s="26" t="n">
        <f aca="false">IF(INDEX(Pengaturan!$B$8:$B$27,S$4)="",0,COUNTIF(Data!$B462:$U462,INDEX(Pengaturan!$B$8:$B$27,S$4)))</f>
        <v>0</v>
      </c>
      <c r="T462" s="26" t="n">
        <f aca="false">IF(INDEX(Pengaturan!$B$8:$B$27,T$4)="",0,COUNTIF(Data!$B462:$U462,INDEX(Pengaturan!$B$8:$B$27,T$4)))</f>
        <v>0</v>
      </c>
      <c r="U462" s="26" t="n">
        <f aca="false">IF(INDEX(Pengaturan!$B$8:$B$27,U$4)="",0,COUNTIF(Data!$B462:$U462,INDEX(Pengaturan!$B$8:$B$27,U$4)))</f>
        <v>0</v>
      </c>
      <c r="V462" s="26" t="n">
        <f aca="false">COUNTA(Data!$B462:$U462)</f>
        <v>0</v>
      </c>
      <c r="W462" s="27" t="str">
        <f aca="false">IF(V462=0,"",IF(V462&lt;&gt;Hasil!$C$4,"Data kosong/tidak lengkap",IF(SUM(B462:U462)&lt;&gt;V462,"Kategori tidak dikenal","OK")))</f>
        <v/>
      </c>
      <c r="X462" s="26" t="n">
        <f aca="false">IF(OR(W462="",W462="OK"),0,1)</f>
        <v>0</v>
      </c>
    </row>
    <row r="463" customFormat="false" ht="15" hidden="false" customHeight="false" outlineLevel="0" collapsed="false">
      <c r="A463" s="26" t="n">
        <f aca="false">Data!A463</f>
        <v>458</v>
      </c>
      <c r="B463" s="26" t="n">
        <f aca="false">IF(INDEX(Pengaturan!$B$8:$B$27,B$4)="",0,COUNTIF(Data!$B463:$U463,INDEX(Pengaturan!$B$8:$B$27,B$4)))</f>
        <v>0</v>
      </c>
      <c r="C463" s="26" t="n">
        <f aca="false">IF(INDEX(Pengaturan!$B$8:$B$27,C$4)="",0,COUNTIF(Data!$B463:$U463,INDEX(Pengaturan!$B$8:$B$27,C$4)))</f>
        <v>0</v>
      </c>
      <c r="D463" s="26" t="n">
        <f aca="false">IF(INDEX(Pengaturan!$B$8:$B$27,D$4)="",0,COUNTIF(Data!$B463:$U463,INDEX(Pengaturan!$B$8:$B$27,D$4)))</f>
        <v>0</v>
      </c>
      <c r="E463" s="26" t="n">
        <f aca="false">IF(INDEX(Pengaturan!$B$8:$B$27,E$4)="",0,COUNTIF(Data!$B463:$U463,INDEX(Pengaturan!$B$8:$B$27,E$4)))</f>
        <v>0</v>
      </c>
      <c r="F463" s="26" t="n">
        <f aca="false">IF(INDEX(Pengaturan!$B$8:$B$27,F$4)="",0,COUNTIF(Data!$B463:$U463,INDEX(Pengaturan!$B$8:$B$27,F$4)))</f>
        <v>0</v>
      </c>
      <c r="G463" s="26" t="n">
        <f aca="false">IF(INDEX(Pengaturan!$B$8:$B$27,G$4)="",0,COUNTIF(Data!$B463:$U463,INDEX(Pengaturan!$B$8:$B$27,G$4)))</f>
        <v>0</v>
      </c>
      <c r="H463" s="26" t="n">
        <f aca="false">IF(INDEX(Pengaturan!$B$8:$B$27,H$4)="",0,COUNTIF(Data!$B463:$U463,INDEX(Pengaturan!$B$8:$B$27,H$4)))</f>
        <v>0</v>
      </c>
      <c r="I463" s="26" t="n">
        <f aca="false">IF(INDEX(Pengaturan!$B$8:$B$27,I$4)="",0,COUNTIF(Data!$B463:$U463,INDEX(Pengaturan!$B$8:$B$27,I$4)))</f>
        <v>0</v>
      </c>
      <c r="J463" s="26" t="n">
        <f aca="false">IF(INDEX(Pengaturan!$B$8:$B$27,J$4)="",0,COUNTIF(Data!$B463:$U463,INDEX(Pengaturan!$B$8:$B$27,J$4)))</f>
        <v>0</v>
      </c>
      <c r="K463" s="26" t="n">
        <f aca="false">IF(INDEX(Pengaturan!$B$8:$B$27,K$4)="",0,COUNTIF(Data!$B463:$U463,INDEX(Pengaturan!$B$8:$B$27,K$4)))</f>
        <v>0</v>
      </c>
      <c r="L463" s="26" t="n">
        <f aca="false">IF(INDEX(Pengaturan!$B$8:$B$27,L$4)="",0,COUNTIF(Data!$B463:$U463,INDEX(Pengaturan!$B$8:$B$27,L$4)))</f>
        <v>0</v>
      </c>
      <c r="M463" s="26" t="n">
        <f aca="false">IF(INDEX(Pengaturan!$B$8:$B$27,M$4)="",0,COUNTIF(Data!$B463:$U463,INDEX(Pengaturan!$B$8:$B$27,M$4)))</f>
        <v>0</v>
      </c>
      <c r="N463" s="26" t="n">
        <f aca="false">IF(INDEX(Pengaturan!$B$8:$B$27,N$4)="",0,COUNTIF(Data!$B463:$U463,INDEX(Pengaturan!$B$8:$B$27,N$4)))</f>
        <v>0</v>
      </c>
      <c r="O463" s="26" t="n">
        <f aca="false">IF(INDEX(Pengaturan!$B$8:$B$27,O$4)="",0,COUNTIF(Data!$B463:$U463,INDEX(Pengaturan!$B$8:$B$27,O$4)))</f>
        <v>0</v>
      </c>
      <c r="P463" s="26" t="n">
        <f aca="false">IF(INDEX(Pengaturan!$B$8:$B$27,P$4)="",0,COUNTIF(Data!$B463:$U463,INDEX(Pengaturan!$B$8:$B$27,P$4)))</f>
        <v>0</v>
      </c>
      <c r="Q463" s="26" t="n">
        <f aca="false">IF(INDEX(Pengaturan!$B$8:$B$27,Q$4)="",0,COUNTIF(Data!$B463:$U463,INDEX(Pengaturan!$B$8:$B$27,Q$4)))</f>
        <v>0</v>
      </c>
      <c r="R463" s="26" t="n">
        <f aca="false">IF(INDEX(Pengaturan!$B$8:$B$27,R$4)="",0,COUNTIF(Data!$B463:$U463,INDEX(Pengaturan!$B$8:$B$27,R$4)))</f>
        <v>0</v>
      </c>
      <c r="S463" s="26" t="n">
        <f aca="false">IF(INDEX(Pengaturan!$B$8:$B$27,S$4)="",0,COUNTIF(Data!$B463:$U463,INDEX(Pengaturan!$B$8:$B$27,S$4)))</f>
        <v>0</v>
      </c>
      <c r="T463" s="26" t="n">
        <f aca="false">IF(INDEX(Pengaturan!$B$8:$B$27,T$4)="",0,COUNTIF(Data!$B463:$U463,INDEX(Pengaturan!$B$8:$B$27,T$4)))</f>
        <v>0</v>
      </c>
      <c r="U463" s="26" t="n">
        <f aca="false">IF(INDEX(Pengaturan!$B$8:$B$27,U$4)="",0,COUNTIF(Data!$B463:$U463,INDEX(Pengaturan!$B$8:$B$27,U$4)))</f>
        <v>0</v>
      </c>
      <c r="V463" s="26" t="n">
        <f aca="false">COUNTA(Data!$B463:$U463)</f>
        <v>0</v>
      </c>
      <c r="W463" s="27" t="str">
        <f aca="false">IF(V463=0,"",IF(V463&lt;&gt;Hasil!$C$4,"Data kosong/tidak lengkap",IF(SUM(B463:U463)&lt;&gt;V463,"Kategori tidak dikenal","OK")))</f>
        <v/>
      </c>
      <c r="X463" s="26" t="n">
        <f aca="false">IF(OR(W463="",W463="OK"),0,1)</f>
        <v>0</v>
      </c>
    </row>
    <row r="464" customFormat="false" ht="15" hidden="false" customHeight="false" outlineLevel="0" collapsed="false">
      <c r="A464" s="26" t="n">
        <f aca="false">Data!A464</f>
        <v>459</v>
      </c>
      <c r="B464" s="26" t="n">
        <f aca="false">IF(INDEX(Pengaturan!$B$8:$B$27,B$4)="",0,COUNTIF(Data!$B464:$U464,INDEX(Pengaturan!$B$8:$B$27,B$4)))</f>
        <v>0</v>
      </c>
      <c r="C464" s="26" t="n">
        <f aca="false">IF(INDEX(Pengaturan!$B$8:$B$27,C$4)="",0,COUNTIF(Data!$B464:$U464,INDEX(Pengaturan!$B$8:$B$27,C$4)))</f>
        <v>0</v>
      </c>
      <c r="D464" s="26" t="n">
        <f aca="false">IF(INDEX(Pengaturan!$B$8:$B$27,D$4)="",0,COUNTIF(Data!$B464:$U464,INDEX(Pengaturan!$B$8:$B$27,D$4)))</f>
        <v>0</v>
      </c>
      <c r="E464" s="26" t="n">
        <f aca="false">IF(INDEX(Pengaturan!$B$8:$B$27,E$4)="",0,COUNTIF(Data!$B464:$U464,INDEX(Pengaturan!$B$8:$B$27,E$4)))</f>
        <v>0</v>
      </c>
      <c r="F464" s="26" t="n">
        <f aca="false">IF(INDEX(Pengaturan!$B$8:$B$27,F$4)="",0,COUNTIF(Data!$B464:$U464,INDEX(Pengaturan!$B$8:$B$27,F$4)))</f>
        <v>0</v>
      </c>
      <c r="G464" s="26" t="n">
        <f aca="false">IF(INDEX(Pengaturan!$B$8:$B$27,G$4)="",0,COUNTIF(Data!$B464:$U464,INDEX(Pengaturan!$B$8:$B$27,G$4)))</f>
        <v>0</v>
      </c>
      <c r="H464" s="26" t="n">
        <f aca="false">IF(INDEX(Pengaturan!$B$8:$B$27,H$4)="",0,COUNTIF(Data!$B464:$U464,INDEX(Pengaturan!$B$8:$B$27,H$4)))</f>
        <v>0</v>
      </c>
      <c r="I464" s="26" t="n">
        <f aca="false">IF(INDEX(Pengaturan!$B$8:$B$27,I$4)="",0,COUNTIF(Data!$B464:$U464,INDEX(Pengaturan!$B$8:$B$27,I$4)))</f>
        <v>0</v>
      </c>
      <c r="J464" s="26" t="n">
        <f aca="false">IF(INDEX(Pengaturan!$B$8:$B$27,J$4)="",0,COUNTIF(Data!$B464:$U464,INDEX(Pengaturan!$B$8:$B$27,J$4)))</f>
        <v>0</v>
      </c>
      <c r="K464" s="26" t="n">
        <f aca="false">IF(INDEX(Pengaturan!$B$8:$B$27,K$4)="",0,COUNTIF(Data!$B464:$U464,INDEX(Pengaturan!$B$8:$B$27,K$4)))</f>
        <v>0</v>
      </c>
      <c r="L464" s="26" t="n">
        <f aca="false">IF(INDEX(Pengaturan!$B$8:$B$27,L$4)="",0,COUNTIF(Data!$B464:$U464,INDEX(Pengaturan!$B$8:$B$27,L$4)))</f>
        <v>0</v>
      </c>
      <c r="M464" s="26" t="n">
        <f aca="false">IF(INDEX(Pengaturan!$B$8:$B$27,M$4)="",0,COUNTIF(Data!$B464:$U464,INDEX(Pengaturan!$B$8:$B$27,M$4)))</f>
        <v>0</v>
      </c>
      <c r="N464" s="26" t="n">
        <f aca="false">IF(INDEX(Pengaturan!$B$8:$B$27,N$4)="",0,COUNTIF(Data!$B464:$U464,INDEX(Pengaturan!$B$8:$B$27,N$4)))</f>
        <v>0</v>
      </c>
      <c r="O464" s="26" t="n">
        <f aca="false">IF(INDEX(Pengaturan!$B$8:$B$27,O$4)="",0,COUNTIF(Data!$B464:$U464,INDEX(Pengaturan!$B$8:$B$27,O$4)))</f>
        <v>0</v>
      </c>
      <c r="P464" s="26" t="n">
        <f aca="false">IF(INDEX(Pengaturan!$B$8:$B$27,P$4)="",0,COUNTIF(Data!$B464:$U464,INDEX(Pengaturan!$B$8:$B$27,P$4)))</f>
        <v>0</v>
      </c>
      <c r="Q464" s="26" t="n">
        <f aca="false">IF(INDEX(Pengaturan!$B$8:$B$27,Q$4)="",0,COUNTIF(Data!$B464:$U464,INDEX(Pengaturan!$B$8:$B$27,Q$4)))</f>
        <v>0</v>
      </c>
      <c r="R464" s="26" t="n">
        <f aca="false">IF(INDEX(Pengaturan!$B$8:$B$27,R$4)="",0,COUNTIF(Data!$B464:$U464,INDEX(Pengaturan!$B$8:$B$27,R$4)))</f>
        <v>0</v>
      </c>
      <c r="S464" s="26" t="n">
        <f aca="false">IF(INDEX(Pengaturan!$B$8:$B$27,S$4)="",0,COUNTIF(Data!$B464:$U464,INDEX(Pengaturan!$B$8:$B$27,S$4)))</f>
        <v>0</v>
      </c>
      <c r="T464" s="26" t="n">
        <f aca="false">IF(INDEX(Pengaturan!$B$8:$B$27,T$4)="",0,COUNTIF(Data!$B464:$U464,INDEX(Pengaturan!$B$8:$B$27,T$4)))</f>
        <v>0</v>
      </c>
      <c r="U464" s="26" t="n">
        <f aca="false">IF(INDEX(Pengaturan!$B$8:$B$27,U$4)="",0,COUNTIF(Data!$B464:$U464,INDEX(Pengaturan!$B$8:$B$27,U$4)))</f>
        <v>0</v>
      </c>
      <c r="V464" s="26" t="n">
        <f aca="false">COUNTA(Data!$B464:$U464)</f>
        <v>0</v>
      </c>
      <c r="W464" s="27" t="str">
        <f aca="false">IF(V464=0,"",IF(V464&lt;&gt;Hasil!$C$4,"Data kosong/tidak lengkap",IF(SUM(B464:U464)&lt;&gt;V464,"Kategori tidak dikenal","OK")))</f>
        <v/>
      </c>
      <c r="X464" s="26" t="n">
        <f aca="false">IF(OR(W464="",W464="OK"),0,1)</f>
        <v>0</v>
      </c>
    </row>
    <row r="465" customFormat="false" ht="15" hidden="false" customHeight="false" outlineLevel="0" collapsed="false">
      <c r="A465" s="26" t="n">
        <f aca="false">Data!A465</f>
        <v>460</v>
      </c>
      <c r="B465" s="26" t="n">
        <f aca="false">IF(INDEX(Pengaturan!$B$8:$B$27,B$4)="",0,COUNTIF(Data!$B465:$U465,INDEX(Pengaturan!$B$8:$B$27,B$4)))</f>
        <v>0</v>
      </c>
      <c r="C465" s="26" t="n">
        <f aca="false">IF(INDEX(Pengaturan!$B$8:$B$27,C$4)="",0,COUNTIF(Data!$B465:$U465,INDEX(Pengaturan!$B$8:$B$27,C$4)))</f>
        <v>0</v>
      </c>
      <c r="D465" s="26" t="n">
        <f aca="false">IF(INDEX(Pengaturan!$B$8:$B$27,D$4)="",0,COUNTIF(Data!$B465:$U465,INDEX(Pengaturan!$B$8:$B$27,D$4)))</f>
        <v>0</v>
      </c>
      <c r="E465" s="26" t="n">
        <f aca="false">IF(INDEX(Pengaturan!$B$8:$B$27,E$4)="",0,COUNTIF(Data!$B465:$U465,INDEX(Pengaturan!$B$8:$B$27,E$4)))</f>
        <v>0</v>
      </c>
      <c r="F465" s="26" t="n">
        <f aca="false">IF(INDEX(Pengaturan!$B$8:$B$27,F$4)="",0,COUNTIF(Data!$B465:$U465,INDEX(Pengaturan!$B$8:$B$27,F$4)))</f>
        <v>0</v>
      </c>
      <c r="G465" s="26" t="n">
        <f aca="false">IF(INDEX(Pengaturan!$B$8:$B$27,G$4)="",0,COUNTIF(Data!$B465:$U465,INDEX(Pengaturan!$B$8:$B$27,G$4)))</f>
        <v>0</v>
      </c>
      <c r="H465" s="26" t="n">
        <f aca="false">IF(INDEX(Pengaturan!$B$8:$B$27,H$4)="",0,COUNTIF(Data!$B465:$U465,INDEX(Pengaturan!$B$8:$B$27,H$4)))</f>
        <v>0</v>
      </c>
      <c r="I465" s="26" t="n">
        <f aca="false">IF(INDEX(Pengaturan!$B$8:$B$27,I$4)="",0,COUNTIF(Data!$B465:$U465,INDEX(Pengaturan!$B$8:$B$27,I$4)))</f>
        <v>0</v>
      </c>
      <c r="J465" s="26" t="n">
        <f aca="false">IF(INDEX(Pengaturan!$B$8:$B$27,J$4)="",0,COUNTIF(Data!$B465:$U465,INDEX(Pengaturan!$B$8:$B$27,J$4)))</f>
        <v>0</v>
      </c>
      <c r="K465" s="26" t="n">
        <f aca="false">IF(INDEX(Pengaturan!$B$8:$B$27,K$4)="",0,COUNTIF(Data!$B465:$U465,INDEX(Pengaturan!$B$8:$B$27,K$4)))</f>
        <v>0</v>
      </c>
      <c r="L465" s="26" t="n">
        <f aca="false">IF(INDEX(Pengaturan!$B$8:$B$27,L$4)="",0,COUNTIF(Data!$B465:$U465,INDEX(Pengaturan!$B$8:$B$27,L$4)))</f>
        <v>0</v>
      </c>
      <c r="M465" s="26" t="n">
        <f aca="false">IF(INDEX(Pengaturan!$B$8:$B$27,M$4)="",0,COUNTIF(Data!$B465:$U465,INDEX(Pengaturan!$B$8:$B$27,M$4)))</f>
        <v>0</v>
      </c>
      <c r="N465" s="26" t="n">
        <f aca="false">IF(INDEX(Pengaturan!$B$8:$B$27,N$4)="",0,COUNTIF(Data!$B465:$U465,INDEX(Pengaturan!$B$8:$B$27,N$4)))</f>
        <v>0</v>
      </c>
      <c r="O465" s="26" t="n">
        <f aca="false">IF(INDEX(Pengaturan!$B$8:$B$27,O$4)="",0,COUNTIF(Data!$B465:$U465,INDEX(Pengaturan!$B$8:$B$27,O$4)))</f>
        <v>0</v>
      </c>
      <c r="P465" s="26" t="n">
        <f aca="false">IF(INDEX(Pengaturan!$B$8:$B$27,P$4)="",0,COUNTIF(Data!$B465:$U465,INDEX(Pengaturan!$B$8:$B$27,P$4)))</f>
        <v>0</v>
      </c>
      <c r="Q465" s="26" t="n">
        <f aca="false">IF(INDEX(Pengaturan!$B$8:$B$27,Q$4)="",0,COUNTIF(Data!$B465:$U465,INDEX(Pengaturan!$B$8:$B$27,Q$4)))</f>
        <v>0</v>
      </c>
      <c r="R465" s="26" t="n">
        <f aca="false">IF(INDEX(Pengaturan!$B$8:$B$27,R$4)="",0,COUNTIF(Data!$B465:$U465,INDEX(Pengaturan!$B$8:$B$27,R$4)))</f>
        <v>0</v>
      </c>
      <c r="S465" s="26" t="n">
        <f aca="false">IF(INDEX(Pengaturan!$B$8:$B$27,S$4)="",0,COUNTIF(Data!$B465:$U465,INDEX(Pengaturan!$B$8:$B$27,S$4)))</f>
        <v>0</v>
      </c>
      <c r="T465" s="26" t="n">
        <f aca="false">IF(INDEX(Pengaturan!$B$8:$B$27,T$4)="",0,COUNTIF(Data!$B465:$U465,INDEX(Pengaturan!$B$8:$B$27,T$4)))</f>
        <v>0</v>
      </c>
      <c r="U465" s="26" t="n">
        <f aca="false">IF(INDEX(Pengaturan!$B$8:$B$27,U$4)="",0,COUNTIF(Data!$B465:$U465,INDEX(Pengaturan!$B$8:$B$27,U$4)))</f>
        <v>0</v>
      </c>
      <c r="V465" s="26" t="n">
        <f aca="false">COUNTA(Data!$B465:$U465)</f>
        <v>0</v>
      </c>
      <c r="W465" s="27" t="str">
        <f aca="false">IF(V465=0,"",IF(V465&lt;&gt;Hasil!$C$4,"Data kosong/tidak lengkap",IF(SUM(B465:U465)&lt;&gt;V465,"Kategori tidak dikenal","OK")))</f>
        <v/>
      </c>
      <c r="X465" s="26" t="n">
        <f aca="false">IF(OR(W465="",W465="OK"),0,1)</f>
        <v>0</v>
      </c>
    </row>
    <row r="466" customFormat="false" ht="15" hidden="false" customHeight="false" outlineLevel="0" collapsed="false">
      <c r="A466" s="26" t="n">
        <f aca="false">Data!A466</f>
        <v>461</v>
      </c>
      <c r="B466" s="26" t="n">
        <f aca="false">IF(INDEX(Pengaturan!$B$8:$B$27,B$4)="",0,COUNTIF(Data!$B466:$U466,INDEX(Pengaturan!$B$8:$B$27,B$4)))</f>
        <v>0</v>
      </c>
      <c r="C466" s="26" t="n">
        <f aca="false">IF(INDEX(Pengaturan!$B$8:$B$27,C$4)="",0,COUNTIF(Data!$B466:$U466,INDEX(Pengaturan!$B$8:$B$27,C$4)))</f>
        <v>0</v>
      </c>
      <c r="D466" s="26" t="n">
        <f aca="false">IF(INDEX(Pengaturan!$B$8:$B$27,D$4)="",0,COUNTIF(Data!$B466:$U466,INDEX(Pengaturan!$B$8:$B$27,D$4)))</f>
        <v>0</v>
      </c>
      <c r="E466" s="26" t="n">
        <f aca="false">IF(INDEX(Pengaturan!$B$8:$B$27,E$4)="",0,COUNTIF(Data!$B466:$U466,INDEX(Pengaturan!$B$8:$B$27,E$4)))</f>
        <v>0</v>
      </c>
      <c r="F466" s="26" t="n">
        <f aca="false">IF(INDEX(Pengaturan!$B$8:$B$27,F$4)="",0,COUNTIF(Data!$B466:$U466,INDEX(Pengaturan!$B$8:$B$27,F$4)))</f>
        <v>0</v>
      </c>
      <c r="G466" s="26" t="n">
        <f aca="false">IF(INDEX(Pengaturan!$B$8:$B$27,G$4)="",0,COUNTIF(Data!$B466:$U466,INDEX(Pengaturan!$B$8:$B$27,G$4)))</f>
        <v>0</v>
      </c>
      <c r="H466" s="26" t="n">
        <f aca="false">IF(INDEX(Pengaturan!$B$8:$B$27,H$4)="",0,COUNTIF(Data!$B466:$U466,INDEX(Pengaturan!$B$8:$B$27,H$4)))</f>
        <v>0</v>
      </c>
      <c r="I466" s="26" t="n">
        <f aca="false">IF(INDEX(Pengaturan!$B$8:$B$27,I$4)="",0,COUNTIF(Data!$B466:$U466,INDEX(Pengaturan!$B$8:$B$27,I$4)))</f>
        <v>0</v>
      </c>
      <c r="J466" s="26" t="n">
        <f aca="false">IF(INDEX(Pengaturan!$B$8:$B$27,J$4)="",0,COUNTIF(Data!$B466:$U466,INDEX(Pengaturan!$B$8:$B$27,J$4)))</f>
        <v>0</v>
      </c>
      <c r="K466" s="26" t="n">
        <f aca="false">IF(INDEX(Pengaturan!$B$8:$B$27,K$4)="",0,COUNTIF(Data!$B466:$U466,INDEX(Pengaturan!$B$8:$B$27,K$4)))</f>
        <v>0</v>
      </c>
      <c r="L466" s="26" t="n">
        <f aca="false">IF(INDEX(Pengaturan!$B$8:$B$27,L$4)="",0,COUNTIF(Data!$B466:$U466,INDEX(Pengaturan!$B$8:$B$27,L$4)))</f>
        <v>0</v>
      </c>
      <c r="M466" s="26" t="n">
        <f aca="false">IF(INDEX(Pengaturan!$B$8:$B$27,M$4)="",0,COUNTIF(Data!$B466:$U466,INDEX(Pengaturan!$B$8:$B$27,M$4)))</f>
        <v>0</v>
      </c>
      <c r="N466" s="26" t="n">
        <f aca="false">IF(INDEX(Pengaturan!$B$8:$B$27,N$4)="",0,COUNTIF(Data!$B466:$U466,INDEX(Pengaturan!$B$8:$B$27,N$4)))</f>
        <v>0</v>
      </c>
      <c r="O466" s="26" t="n">
        <f aca="false">IF(INDEX(Pengaturan!$B$8:$B$27,O$4)="",0,COUNTIF(Data!$B466:$U466,INDEX(Pengaturan!$B$8:$B$27,O$4)))</f>
        <v>0</v>
      </c>
      <c r="P466" s="26" t="n">
        <f aca="false">IF(INDEX(Pengaturan!$B$8:$B$27,P$4)="",0,COUNTIF(Data!$B466:$U466,INDEX(Pengaturan!$B$8:$B$27,P$4)))</f>
        <v>0</v>
      </c>
      <c r="Q466" s="26" t="n">
        <f aca="false">IF(INDEX(Pengaturan!$B$8:$B$27,Q$4)="",0,COUNTIF(Data!$B466:$U466,INDEX(Pengaturan!$B$8:$B$27,Q$4)))</f>
        <v>0</v>
      </c>
      <c r="R466" s="26" t="n">
        <f aca="false">IF(INDEX(Pengaturan!$B$8:$B$27,R$4)="",0,COUNTIF(Data!$B466:$U466,INDEX(Pengaturan!$B$8:$B$27,R$4)))</f>
        <v>0</v>
      </c>
      <c r="S466" s="26" t="n">
        <f aca="false">IF(INDEX(Pengaturan!$B$8:$B$27,S$4)="",0,COUNTIF(Data!$B466:$U466,INDEX(Pengaturan!$B$8:$B$27,S$4)))</f>
        <v>0</v>
      </c>
      <c r="T466" s="26" t="n">
        <f aca="false">IF(INDEX(Pengaturan!$B$8:$B$27,T$4)="",0,COUNTIF(Data!$B466:$U466,INDEX(Pengaturan!$B$8:$B$27,T$4)))</f>
        <v>0</v>
      </c>
      <c r="U466" s="26" t="n">
        <f aca="false">IF(INDEX(Pengaturan!$B$8:$B$27,U$4)="",0,COUNTIF(Data!$B466:$U466,INDEX(Pengaturan!$B$8:$B$27,U$4)))</f>
        <v>0</v>
      </c>
      <c r="V466" s="26" t="n">
        <f aca="false">COUNTA(Data!$B466:$U466)</f>
        <v>0</v>
      </c>
      <c r="W466" s="27" t="str">
        <f aca="false">IF(V466=0,"",IF(V466&lt;&gt;Hasil!$C$4,"Data kosong/tidak lengkap",IF(SUM(B466:U466)&lt;&gt;V466,"Kategori tidak dikenal","OK")))</f>
        <v/>
      </c>
      <c r="X466" s="26" t="n">
        <f aca="false">IF(OR(W466="",W466="OK"),0,1)</f>
        <v>0</v>
      </c>
    </row>
    <row r="467" customFormat="false" ht="15" hidden="false" customHeight="false" outlineLevel="0" collapsed="false">
      <c r="A467" s="26" t="n">
        <f aca="false">Data!A467</f>
        <v>462</v>
      </c>
      <c r="B467" s="26" t="n">
        <f aca="false">IF(INDEX(Pengaturan!$B$8:$B$27,B$4)="",0,COUNTIF(Data!$B467:$U467,INDEX(Pengaturan!$B$8:$B$27,B$4)))</f>
        <v>0</v>
      </c>
      <c r="C467" s="26" t="n">
        <f aca="false">IF(INDEX(Pengaturan!$B$8:$B$27,C$4)="",0,COUNTIF(Data!$B467:$U467,INDEX(Pengaturan!$B$8:$B$27,C$4)))</f>
        <v>0</v>
      </c>
      <c r="D467" s="26" t="n">
        <f aca="false">IF(INDEX(Pengaturan!$B$8:$B$27,D$4)="",0,COUNTIF(Data!$B467:$U467,INDEX(Pengaturan!$B$8:$B$27,D$4)))</f>
        <v>0</v>
      </c>
      <c r="E467" s="26" t="n">
        <f aca="false">IF(INDEX(Pengaturan!$B$8:$B$27,E$4)="",0,COUNTIF(Data!$B467:$U467,INDEX(Pengaturan!$B$8:$B$27,E$4)))</f>
        <v>0</v>
      </c>
      <c r="F467" s="26" t="n">
        <f aca="false">IF(INDEX(Pengaturan!$B$8:$B$27,F$4)="",0,COUNTIF(Data!$B467:$U467,INDEX(Pengaturan!$B$8:$B$27,F$4)))</f>
        <v>0</v>
      </c>
      <c r="G467" s="26" t="n">
        <f aca="false">IF(INDEX(Pengaturan!$B$8:$B$27,G$4)="",0,COUNTIF(Data!$B467:$U467,INDEX(Pengaturan!$B$8:$B$27,G$4)))</f>
        <v>0</v>
      </c>
      <c r="H467" s="26" t="n">
        <f aca="false">IF(INDEX(Pengaturan!$B$8:$B$27,H$4)="",0,COUNTIF(Data!$B467:$U467,INDEX(Pengaturan!$B$8:$B$27,H$4)))</f>
        <v>0</v>
      </c>
      <c r="I467" s="26" t="n">
        <f aca="false">IF(INDEX(Pengaturan!$B$8:$B$27,I$4)="",0,COUNTIF(Data!$B467:$U467,INDEX(Pengaturan!$B$8:$B$27,I$4)))</f>
        <v>0</v>
      </c>
      <c r="J467" s="26" t="n">
        <f aca="false">IF(INDEX(Pengaturan!$B$8:$B$27,J$4)="",0,COUNTIF(Data!$B467:$U467,INDEX(Pengaturan!$B$8:$B$27,J$4)))</f>
        <v>0</v>
      </c>
      <c r="K467" s="26" t="n">
        <f aca="false">IF(INDEX(Pengaturan!$B$8:$B$27,K$4)="",0,COUNTIF(Data!$B467:$U467,INDEX(Pengaturan!$B$8:$B$27,K$4)))</f>
        <v>0</v>
      </c>
      <c r="L467" s="26" t="n">
        <f aca="false">IF(INDEX(Pengaturan!$B$8:$B$27,L$4)="",0,COUNTIF(Data!$B467:$U467,INDEX(Pengaturan!$B$8:$B$27,L$4)))</f>
        <v>0</v>
      </c>
      <c r="M467" s="26" t="n">
        <f aca="false">IF(INDEX(Pengaturan!$B$8:$B$27,M$4)="",0,COUNTIF(Data!$B467:$U467,INDEX(Pengaturan!$B$8:$B$27,M$4)))</f>
        <v>0</v>
      </c>
      <c r="N467" s="26" t="n">
        <f aca="false">IF(INDEX(Pengaturan!$B$8:$B$27,N$4)="",0,COUNTIF(Data!$B467:$U467,INDEX(Pengaturan!$B$8:$B$27,N$4)))</f>
        <v>0</v>
      </c>
      <c r="O467" s="26" t="n">
        <f aca="false">IF(INDEX(Pengaturan!$B$8:$B$27,O$4)="",0,COUNTIF(Data!$B467:$U467,INDEX(Pengaturan!$B$8:$B$27,O$4)))</f>
        <v>0</v>
      </c>
      <c r="P467" s="26" t="n">
        <f aca="false">IF(INDEX(Pengaturan!$B$8:$B$27,P$4)="",0,COUNTIF(Data!$B467:$U467,INDEX(Pengaturan!$B$8:$B$27,P$4)))</f>
        <v>0</v>
      </c>
      <c r="Q467" s="26" t="n">
        <f aca="false">IF(INDEX(Pengaturan!$B$8:$B$27,Q$4)="",0,COUNTIF(Data!$B467:$U467,INDEX(Pengaturan!$B$8:$B$27,Q$4)))</f>
        <v>0</v>
      </c>
      <c r="R467" s="26" t="n">
        <f aca="false">IF(INDEX(Pengaturan!$B$8:$B$27,R$4)="",0,COUNTIF(Data!$B467:$U467,INDEX(Pengaturan!$B$8:$B$27,R$4)))</f>
        <v>0</v>
      </c>
      <c r="S467" s="26" t="n">
        <f aca="false">IF(INDEX(Pengaturan!$B$8:$B$27,S$4)="",0,COUNTIF(Data!$B467:$U467,INDEX(Pengaturan!$B$8:$B$27,S$4)))</f>
        <v>0</v>
      </c>
      <c r="T467" s="26" t="n">
        <f aca="false">IF(INDEX(Pengaturan!$B$8:$B$27,T$4)="",0,COUNTIF(Data!$B467:$U467,INDEX(Pengaturan!$B$8:$B$27,T$4)))</f>
        <v>0</v>
      </c>
      <c r="U467" s="26" t="n">
        <f aca="false">IF(INDEX(Pengaturan!$B$8:$B$27,U$4)="",0,COUNTIF(Data!$B467:$U467,INDEX(Pengaturan!$B$8:$B$27,U$4)))</f>
        <v>0</v>
      </c>
      <c r="V467" s="26" t="n">
        <f aca="false">COUNTA(Data!$B467:$U467)</f>
        <v>0</v>
      </c>
      <c r="W467" s="27" t="str">
        <f aca="false">IF(V467=0,"",IF(V467&lt;&gt;Hasil!$C$4,"Data kosong/tidak lengkap",IF(SUM(B467:U467)&lt;&gt;V467,"Kategori tidak dikenal","OK")))</f>
        <v/>
      </c>
      <c r="X467" s="26" t="n">
        <f aca="false">IF(OR(W467="",W467="OK"),0,1)</f>
        <v>0</v>
      </c>
    </row>
    <row r="468" customFormat="false" ht="15" hidden="false" customHeight="false" outlineLevel="0" collapsed="false">
      <c r="A468" s="26" t="n">
        <f aca="false">Data!A468</f>
        <v>463</v>
      </c>
      <c r="B468" s="26" t="n">
        <f aca="false">IF(INDEX(Pengaturan!$B$8:$B$27,B$4)="",0,COUNTIF(Data!$B468:$U468,INDEX(Pengaturan!$B$8:$B$27,B$4)))</f>
        <v>0</v>
      </c>
      <c r="C468" s="26" t="n">
        <f aca="false">IF(INDEX(Pengaturan!$B$8:$B$27,C$4)="",0,COUNTIF(Data!$B468:$U468,INDEX(Pengaturan!$B$8:$B$27,C$4)))</f>
        <v>0</v>
      </c>
      <c r="D468" s="26" t="n">
        <f aca="false">IF(INDEX(Pengaturan!$B$8:$B$27,D$4)="",0,COUNTIF(Data!$B468:$U468,INDEX(Pengaturan!$B$8:$B$27,D$4)))</f>
        <v>0</v>
      </c>
      <c r="E468" s="26" t="n">
        <f aca="false">IF(INDEX(Pengaturan!$B$8:$B$27,E$4)="",0,COUNTIF(Data!$B468:$U468,INDEX(Pengaturan!$B$8:$B$27,E$4)))</f>
        <v>0</v>
      </c>
      <c r="F468" s="26" t="n">
        <f aca="false">IF(INDEX(Pengaturan!$B$8:$B$27,F$4)="",0,COUNTIF(Data!$B468:$U468,INDEX(Pengaturan!$B$8:$B$27,F$4)))</f>
        <v>0</v>
      </c>
      <c r="G468" s="26" t="n">
        <f aca="false">IF(INDEX(Pengaturan!$B$8:$B$27,G$4)="",0,COUNTIF(Data!$B468:$U468,INDEX(Pengaturan!$B$8:$B$27,G$4)))</f>
        <v>0</v>
      </c>
      <c r="H468" s="26" t="n">
        <f aca="false">IF(INDEX(Pengaturan!$B$8:$B$27,H$4)="",0,COUNTIF(Data!$B468:$U468,INDEX(Pengaturan!$B$8:$B$27,H$4)))</f>
        <v>0</v>
      </c>
      <c r="I468" s="26" t="n">
        <f aca="false">IF(INDEX(Pengaturan!$B$8:$B$27,I$4)="",0,COUNTIF(Data!$B468:$U468,INDEX(Pengaturan!$B$8:$B$27,I$4)))</f>
        <v>0</v>
      </c>
      <c r="J468" s="26" t="n">
        <f aca="false">IF(INDEX(Pengaturan!$B$8:$B$27,J$4)="",0,COUNTIF(Data!$B468:$U468,INDEX(Pengaturan!$B$8:$B$27,J$4)))</f>
        <v>0</v>
      </c>
      <c r="K468" s="26" t="n">
        <f aca="false">IF(INDEX(Pengaturan!$B$8:$B$27,K$4)="",0,COUNTIF(Data!$B468:$U468,INDEX(Pengaturan!$B$8:$B$27,K$4)))</f>
        <v>0</v>
      </c>
      <c r="L468" s="26" t="n">
        <f aca="false">IF(INDEX(Pengaturan!$B$8:$B$27,L$4)="",0,COUNTIF(Data!$B468:$U468,INDEX(Pengaturan!$B$8:$B$27,L$4)))</f>
        <v>0</v>
      </c>
      <c r="M468" s="26" t="n">
        <f aca="false">IF(INDEX(Pengaturan!$B$8:$B$27,M$4)="",0,COUNTIF(Data!$B468:$U468,INDEX(Pengaturan!$B$8:$B$27,M$4)))</f>
        <v>0</v>
      </c>
      <c r="N468" s="26" t="n">
        <f aca="false">IF(INDEX(Pengaturan!$B$8:$B$27,N$4)="",0,COUNTIF(Data!$B468:$U468,INDEX(Pengaturan!$B$8:$B$27,N$4)))</f>
        <v>0</v>
      </c>
      <c r="O468" s="26" t="n">
        <f aca="false">IF(INDEX(Pengaturan!$B$8:$B$27,O$4)="",0,COUNTIF(Data!$B468:$U468,INDEX(Pengaturan!$B$8:$B$27,O$4)))</f>
        <v>0</v>
      </c>
      <c r="P468" s="26" t="n">
        <f aca="false">IF(INDEX(Pengaturan!$B$8:$B$27,P$4)="",0,COUNTIF(Data!$B468:$U468,INDEX(Pengaturan!$B$8:$B$27,P$4)))</f>
        <v>0</v>
      </c>
      <c r="Q468" s="26" t="n">
        <f aca="false">IF(INDEX(Pengaturan!$B$8:$B$27,Q$4)="",0,COUNTIF(Data!$B468:$U468,INDEX(Pengaturan!$B$8:$B$27,Q$4)))</f>
        <v>0</v>
      </c>
      <c r="R468" s="26" t="n">
        <f aca="false">IF(INDEX(Pengaturan!$B$8:$B$27,R$4)="",0,COUNTIF(Data!$B468:$U468,INDEX(Pengaturan!$B$8:$B$27,R$4)))</f>
        <v>0</v>
      </c>
      <c r="S468" s="26" t="n">
        <f aca="false">IF(INDEX(Pengaturan!$B$8:$B$27,S$4)="",0,COUNTIF(Data!$B468:$U468,INDEX(Pengaturan!$B$8:$B$27,S$4)))</f>
        <v>0</v>
      </c>
      <c r="T468" s="26" t="n">
        <f aca="false">IF(INDEX(Pengaturan!$B$8:$B$27,T$4)="",0,COUNTIF(Data!$B468:$U468,INDEX(Pengaturan!$B$8:$B$27,T$4)))</f>
        <v>0</v>
      </c>
      <c r="U468" s="26" t="n">
        <f aca="false">IF(INDEX(Pengaturan!$B$8:$B$27,U$4)="",0,COUNTIF(Data!$B468:$U468,INDEX(Pengaturan!$B$8:$B$27,U$4)))</f>
        <v>0</v>
      </c>
      <c r="V468" s="26" t="n">
        <f aca="false">COUNTA(Data!$B468:$U468)</f>
        <v>0</v>
      </c>
      <c r="W468" s="27" t="str">
        <f aca="false">IF(V468=0,"",IF(V468&lt;&gt;Hasil!$C$4,"Data kosong/tidak lengkap",IF(SUM(B468:U468)&lt;&gt;V468,"Kategori tidak dikenal","OK")))</f>
        <v/>
      </c>
      <c r="X468" s="26" t="n">
        <f aca="false">IF(OR(W468="",W468="OK"),0,1)</f>
        <v>0</v>
      </c>
    </row>
    <row r="469" customFormat="false" ht="15" hidden="false" customHeight="false" outlineLevel="0" collapsed="false">
      <c r="A469" s="26" t="n">
        <f aca="false">Data!A469</f>
        <v>464</v>
      </c>
      <c r="B469" s="26" t="n">
        <f aca="false">IF(INDEX(Pengaturan!$B$8:$B$27,B$4)="",0,COUNTIF(Data!$B469:$U469,INDEX(Pengaturan!$B$8:$B$27,B$4)))</f>
        <v>0</v>
      </c>
      <c r="C469" s="26" t="n">
        <f aca="false">IF(INDEX(Pengaturan!$B$8:$B$27,C$4)="",0,COUNTIF(Data!$B469:$U469,INDEX(Pengaturan!$B$8:$B$27,C$4)))</f>
        <v>0</v>
      </c>
      <c r="D469" s="26" t="n">
        <f aca="false">IF(INDEX(Pengaturan!$B$8:$B$27,D$4)="",0,COUNTIF(Data!$B469:$U469,INDEX(Pengaturan!$B$8:$B$27,D$4)))</f>
        <v>0</v>
      </c>
      <c r="E469" s="26" t="n">
        <f aca="false">IF(INDEX(Pengaturan!$B$8:$B$27,E$4)="",0,COUNTIF(Data!$B469:$U469,INDEX(Pengaturan!$B$8:$B$27,E$4)))</f>
        <v>0</v>
      </c>
      <c r="F469" s="26" t="n">
        <f aca="false">IF(INDEX(Pengaturan!$B$8:$B$27,F$4)="",0,COUNTIF(Data!$B469:$U469,INDEX(Pengaturan!$B$8:$B$27,F$4)))</f>
        <v>0</v>
      </c>
      <c r="G469" s="26" t="n">
        <f aca="false">IF(INDEX(Pengaturan!$B$8:$B$27,G$4)="",0,COUNTIF(Data!$B469:$U469,INDEX(Pengaturan!$B$8:$B$27,G$4)))</f>
        <v>0</v>
      </c>
      <c r="H469" s="26" t="n">
        <f aca="false">IF(INDEX(Pengaturan!$B$8:$B$27,H$4)="",0,COUNTIF(Data!$B469:$U469,INDEX(Pengaturan!$B$8:$B$27,H$4)))</f>
        <v>0</v>
      </c>
      <c r="I469" s="26" t="n">
        <f aca="false">IF(INDEX(Pengaturan!$B$8:$B$27,I$4)="",0,COUNTIF(Data!$B469:$U469,INDEX(Pengaturan!$B$8:$B$27,I$4)))</f>
        <v>0</v>
      </c>
      <c r="J469" s="26" t="n">
        <f aca="false">IF(INDEX(Pengaturan!$B$8:$B$27,J$4)="",0,COUNTIF(Data!$B469:$U469,INDEX(Pengaturan!$B$8:$B$27,J$4)))</f>
        <v>0</v>
      </c>
      <c r="K469" s="26" t="n">
        <f aca="false">IF(INDEX(Pengaturan!$B$8:$B$27,K$4)="",0,COUNTIF(Data!$B469:$U469,INDEX(Pengaturan!$B$8:$B$27,K$4)))</f>
        <v>0</v>
      </c>
      <c r="L469" s="26" t="n">
        <f aca="false">IF(INDEX(Pengaturan!$B$8:$B$27,L$4)="",0,COUNTIF(Data!$B469:$U469,INDEX(Pengaturan!$B$8:$B$27,L$4)))</f>
        <v>0</v>
      </c>
      <c r="M469" s="26" t="n">
        <f aca="false">IF(INDEX(Pengaturan!$B$8:$B$27,M$4)="",0,COUNTIF(Data!$B469:$U469,INDEX(Pengaturan!$B$8:$B$27,M$4)))</f>
        <v>0</v>
      </c>
      <c r="N469" s="26" t="n">
        <f aca="false">IF(INDEX(Pengaturan!$B$8:$B$27,N$4)="",0,COUNTIF(Data!$B469:$U469,INDEX(Pengaturan!$B$8:$B$27,N$4)))</f>
        <v>0</v>
      </c>
      <c r="O469" s="26" t="n">
        <f aca="false">IF(INDEX(Pengaturan!$B$8:$B$27,O$4)="",0,COUNTIF(Data!$B469:$U469,INDEX(Pengaturan!$B$8:$B$27,O$4)))</f>
        <v>0</v>
      </c>
      <c r="P469" s="26" t="n">
        <f aca="false">IF(INDEX(Pengaturan!$B$8:$B$27,P$4)="",0,COUNTIF(Data!$B469:$U469,INDEX(Pengaturan!$B$8:$B$27,P$4)))</f>
        <v>0</v>
      </c>
      <c r="Q469" s="26" t="n">
        <f aca="false">IF(INDEX(Pengaturan!$B$8:$B$27,Q$4)="",0,COUNTIF(Data!$B469:$U469,INDEX(Pengaturan!$B$8:$B$27,Q$4)))</f>
        <v>0</v>
      </c>
      <c r="R469" s="26" t="n">
        <f aca="false">IF(INDEX(Pengaturan!$B$8:$B$27,R$4)="",0,COUNTIF(Data!$B469:$U469,INDEX(Pengaturan!$B$8:$B$27,R$4)))</f>
        <v>0</v>
      </c>
      <c r="S469" s="26" t="n">
        <f aca="false">IF(INDEX(Pengaturan!$B$8:$B$27,S$4)="",0,COUNTIF(Data!$B469:$U469,INDEX(Pengaturan!$B$8:$B$27,S$4)))</f>
        <v>0</v>
      </c>
      <c r="T469" s="26" t="n">
        <f aca="false">IF(INDEX(Pengaturan!$B$8:$B$27,T$4)="",0,COUNTIF(Data!$B469:$U469,INDEX(Pengaturan!$B$8:$B$27,T$4)))</f>
        <v>0</v>
      </c>
      <c r="U469" s="26" t="n">
        <f aca="false">IF(INDEX(Pengaturan!$B$8:$B$27,U$4)="",0,COUNTIF(Data!$B469:$U469,INDEX(Pengaturan!$B$8:$B$27,U$4)))</f>
        <v>0</v>
      </c>
      <c r="V469" s="26" t="n">
        <f aca="false">COUNTA(Data!$B469:$U469)</f>
        <v>0</v>
      </c>
      <c r="W469" s="27" t="str">
        <f aca="false">IF(V469=0,"",IF(V469&lt;&gt;Hasil!$C$4,"Data kosong/tidak lengkap",IF(SUM(B469:U469)&lt;&gt;V469,"Kategori tidak dikenal","OK")))</f>
        <v/>
      </c>
      <c r="X469" s="26" t="n">
        <f aca="false">IF(OR(W469="",W469="OK"),0,1)</f>
        <v>0</v>
      </c>
    </row>
    <row r="470" customFormat="false" ht="15" hidden="false" customHeight="false" outlineLevel="0" collapsed="false">
      <c r="A470" s="26" t="n">
        <f aca="false">Data!A470</f>
        <v>465</v>
      </c>
      <c r="B470" s="26" t="n">
        <f aca="false">IF(INDEX(Pengaturan!$B$8:$B$27,B$4)="",0,COUNTIF(Data!$B470:$U470,INDEX(Pengaturan!$B$8:$B$27,B$4)))</f>
        <v>0</v>
      </c>
      <c r="C470" s="26" t="n">
        <f aca="false">IF(INDEX(Pengaturan!$B$8:$B$27,C$4)="",0,COUNTIF(Data!$B470:$U470,INDEX(Pengaturan!$B$8:$B$27,C$4)))</f>
        <v>0</v>
      </c>
      <c r="D470" s="26" t="n">
        <f aca="false">IF(INDEX(Pengaturan!$B$8:$B$27,D$4)="",0,COUNTIF(Data!$B470:$U470,INDEX(Pengaturan!$B$8:$B$27,D$4)))</f>
        <v>0</v>
      </c>
      <c r="E470" s="26" t="n">
        <f aca="false">IF(INDEX(Pengaturan!$B$8:$B$27,E$4)="",0,COUNTIF(Data!$B470:$U470,INDEX(Pengaturan!$B$8:$B$27,E$4)))</f>
        <v>0</v>
      </c>
      <c r="F470" s="26" t="n">
        <f aca="false">IF(INDEX(Pengaturan!$B$8:$B$27,F$4)="",0,COUNTIF(Data!$B470:$U470,INDEX(Pengaturan!$B$8:$B$27,F$4)))</f>
        <v>0</v>
      </c>
      <c r="G470" s="26" t="n">
        <f aca="false">IF(INDEX(Pengaturan!$B$8:$B$27,G$4)="",0,COUNTIF(Data!$B470:$U470,INDEX(Pengaturan!$B$8:$B$27,G$4)))</f>
        <v>0</v>
      </c>
      <c r="H470" s="26" t="n">
        <f aca="false">IF(INDEX(Pengaturan!$B$8:$B$27,H$4)="",0,COUNTIF(Data!$B470:$U470,INDEX(Pengaturan!$B$8:$B$27,H$4)))</f>
        <v>0</v>
      </c>
      <c r="I470" s="26" t="n">
        <f aca="false">IF(INDEX(Pengaturan!$B$8:$B$27,I$4)="",0,COUNTIF(Data!$B470:$U470,INDEX(Pengaturan!$B$8:$B$27,I$4)))</f>
        <v>0</v>
      </c>
      <c r="J470" s="26" t="n">
        <f aca="false">IF(INDEX(Pengaturan!$B$8:$B$27,J$4)="",0,COUNTIF(Data!$B470:$U470,INDEX(Pengaturan!$B$8:$B$27,J$4)))</f>
        <v>0</v>
      </c>
      <c r="K470" s="26" t="n">
        <f aca="false">IF(INDEX(Pengaturan!$B$8:$B$27,K$4)="",0,COUNTIF(Data!$B470:$U470,INDEX(Pengaturan!$B$8:$B$27,K$4)))</f>
        <v>0</v>
      </c>
      <c r="L470" s="26" t="n">
        <f aca="false">IF(INDEX(Pengaturan!$B$8:$B$27,L$4)="",0,COUNTIF(Data!$B470:$U470,INDEX(Pengaturan!$B$8:$B$27,L$4)))</f>
        <v>0</v>
      </c>
      <c r="M470" s="26" t="n">
        <f aca="false">IF(INDEX(Pengaturan!$B$8:$B$27,M$4)="",0,COUNTIF(Data!$B470:$U470,INDEX(Pengaturan!$B$8:$B$27,M$4)))</f>
        <v>0</v>
      </c>
      <c r="N470" s="26" t="n">
        <f aca="false">IF(INDEX(Pengaturan!$B$8:$B$27,N$4)="",0,COUNTIF(Data!$B470:$U470,INDEX(Pengaturan!$B$8:$B$27,N$4)))</f>
        <v>0</v>
      </c>
      <c r="O470" s="26" t="n">
        <f aca="false">IF(INDEX(Pengaturan!$B$8:$B$27,O$4)="",0,COUNTIF(Data!$B470:$U470,INDEX(Pengaturan!$B$8:$B$27,O$4)))</f>
        <v>0</v>
      </c>
      <c r="P470" s="26" t="n">
        <f aca="false">IF(INDEX(Pengaturan!$B$8:$B$27,P$4)="",0,COUNTIF(Data!$B470:$U470,INDEX(Pengaturan!$B$8:$B$27,P$4)))</f>
        <v>0</v>
      </c>
      <c r="Q470" s="26" t="n">
        <f aca="false">IF(INDEX(Pengaturan!$B$8:$B$27,Q$4)="",0,COUNTIF(Data!$B470:$U470,INDEX(Pengaturan!$B$8:$B$27,Q$4)))</f>
        <v>0</v>
      </c>
      <c r="R470" s="26" t="n">
        <f aca="false">IF(INDEX(Pengaturan!$B$8:$B$27,R$4)="",0,COUNTIF(Data!$B470:$U470,INDEX(Pengaturan!$B$8:$B$27,R$4)))</f>
        <v>0</v>
      </c>
      <c r="S470" s="26" t="n">
        <f aca="false">IF(INDEX(Pengaturan!$B$8:$B$27,S$4)="",0,COUNTIF(Data!$B470:$U470,INDEX(Pengaturan!$B$8:$B$27,S$4)))</f>
        <v>0</v>
      </c>
      <c r="T470" s="26" t="n">
        <f aca="false">IF(INDEX(Pengaturan!$B$8:$B$27,T$4)="",0,COUNTIF(Data!$B470:$U470,INDEX(Pengaturan!$B$8:$B$27,T$4)))</f>
        <v>0</v>
      </c>
      <c r="U470" s="26" t="n">
        <f aca="false">IF(INDEX(Pengaturan!$B$8:$B$27,U$4)="",0,COUNTIF(Data!$B470:$U470,INDEX(Pengaturan!$B$8:$B$27,U$4)))</f>
        <v>0</v>
      </c>
      <c r="V470" s="26" t="n">
        <f aca="false">COUNTA(Data!$B470:$U470)</f>
        <v>0</v>
      </c>
      <c r="W470" s="27" t="str">
        <f aca="false">IF(V470=0,"",IF(V470&lt;&gt;Hasil!$C$4,"Data kosong/tidak lengkap",IF(SUM(B470:U470)&lt;&gt;V470,"Kategori tidak dikenal","OK")))</f>
        <v/>
      </c>
      <c r="X470" s="26" t="n">
        <f aca="false">IF(OR(W470="",W470="OK"),0,1)</f>
        <v>0</v>
      </c>
    </row>
    <row r="471" customFormat="false" ht="15" hidden="false" customHeight="false" outlineLevel="0" collapsed="false">
      <c r="A471" s="26" t="n">
        <f aca="false">Data!A471</f>
        <v>466</v>
      </c>
      <c r="B471" s="26" t="n">
        <f aca="false">IF(INDEX(Pengaturan!$B$8:$B$27,B$4)="",0,COUNTIF(Data!$B471:$U471,INDEX(Pengaturan!$B$8:$B$27,B$4)))</f>
        <v>0</v>
      </c>
      <c r="C471" s="26" t="n">
        <f aca="false">IF(INDEX(Pengaturan!$B$8:$B$27,C$4)="",0,COUNTIF(Data!$B471:$U471,INDEX(Pengaturan!$B$8:$B$27,C$4)))</f>
        <v>0</v>
      </c>
      <c r="D471" s="26" t="n">
        <f aca="false">IF(INDEX(Pengaturan!$B$8:$B$27,D$4)="",0,COUNTIF(Data!$B471:$U471,INDEX(Pengaturan!$B$8:$B$27,D$4)))</f>
        <v>0</v>
      </c>
      <c r="E471" s="26" t="n">
        <f aca="false">IF(INDEX(Pengaturan!$B$8:$B$27,E$4)="",0,COUNTIF(Data!$B471:$U471,INDEX(Pengaturan!$B$8:$B$27,E$4)))</f>
        <v>0</v>
      </c>
      <c r="F471" s="26" t="n">
        <f aca="false">IF(INDEX(Pengaturan!$B$8:$B$27,F$4)="",0,COUNTIF(Data!$B471:$U471,INDEX(Pengaturan!$B$8:$B$27,F$4)))</f>
        <v>0</v>
      </c>
      <c r="G471" s="26" t="n">
        <f aca="false">IF(INDEX(Pengaturan!$B$8:$B$27,G$4)="",0,COUNTIF(Data!$B471:$U471,INDEX(Pengaturan!$B$8:$B$27,G$4)))</f>
        <v>0</v>
      </c>
      <c r="H471" s="26" t="n">
        <f aca="false">IF(INDEX(Pengaturan!$B$8:$B$27,H$4)="",0,COUNTIF(Data!$B471:$U471,INDEX(Pengaturan!$B$8:$B$27,H$4)))</f>
        <v>0</v>
      </c>
      <c r="I471" s="26" t="n">
        <f aca="false">IF(INDEX(Pengaturan!$B$8:$B$27,I$4)="",0,COUNTIF(Data!$B471:$U471,INDEX(Pengaturan!$B$8:$B$27,I$4)))</f>
        <v>0</v>
      </c>
      <c r="J471" s="26" t="n">
        <f aca="false">IF(INDEX(Pengaturan!$B$8:$B$27,J$4)="",0,COUNTIF(Data!$B471:$U471,INDEX(Pengaturan!$B$8:$B$27,J$4)))</f>
        <v>0</v>
      </c>
      <c r="K471" s="26" t="n">
        <f aca="false">IF(INDEX(Pengaturan!$B$8:$B$27,K$4)="",0,COUNTIF(Data!$B471:$U471,INDEX(Pengaturan!$B$8:$B$27,K$4)))</f>
        <v>0</v>
      </c>
      <c r="L471" s="26" t="n">
        <f aca="false">IF(INDEX(Pengaturan!$B$8:$B$27,L$4)="",0,COUNTIF(Data!$B471:$U471,INDEX(Pengaturan!$B$8:$B$27,L$4)))</f>
        <v>0</v>
      </c>
      <c r="M471" s="26" t="n">
        <f aca="false">IF(INDEX(Pengaturan!$B$8:$B$27,M$4)="",0,COUNTIF(Data!$B471:$U471,INDEX(Pengaturan!$B$8:$B$27,M$4)))</f>
        <v>0</v>
      </c>
      <c r="N471" s="26" t="n">
        <f aca="false">IF(INDEX(Pengaturan!$B$8:$B$27,N$4)="",0,COUNTIF(Data!$B471:$U471,INDEX(Pengaturan!$B$8:$B$27,N$4)))</f>
        <v>0</v>
      </c>
      <c r="O471" s="26" t="n">
        <f aca="false">IF(INDEX(Pengaturan!$B$8:$B$27,O$4)="",0,COUNTIF(Data!$B471:$U471,INDEX(Pengaturan!$B$8:$B$27,O$4)))</f>
        <v>0</v>
      </c>
      <c r="P471" s="26" t="n">
        <f aca="false">IF(INDEX(Pengaturan!$B$8:$B$27,P$4)="",0,COUNTIF(Data!$B471:$U471,INDEX(Pengaturan!$B$8:$B$27,P$4)))</f>
        <v>0</v>
      </c>
      <c r="Q471" s="26" t="n">
        <f aca="false">IF(INDEX(Pengaturan!$B$8:$B$27,Q$4)="",0,COUNTIF(Data!$B471:$U471,INDEX(Pengaturan!$B$8:$B$27,Q$4)))</f>
        <v>0</v>
      </c>
      <c r="R471" s="26" t="n">
        <f aca="false">IF(INDEX(Pengaturan!$B$8:$B$27,R$4)="",0,COUNTIF(Data!$B471:$U471,INDEX(Pengaturan!$B$8:$B$27,R$4)))</f>
        <v>0</v>
      </c>
      <c r="S471" s="26" t="n">
        <f aca="false">IF(INDEX(Pengaturan!$B$8:$B$27,S$4)="",0,COUNTIF(Data!$B471:$U471,INDEX(Pengaturan!$B$8:$B$27,S$4)))</f>
        <v>0</v>
      </c>
      <c r="T471" s="26" t="n">
        <f aca="false">IF(INDEX(Pengaturan!$B$8:$B$27,T$4)="",0,COUNTIF(Data!$B471:$U471,INDEX(Pengaturan!$B$8:$B$27,T$4)))</f>
        <v>0</v>
      </c>
      <c r="U471" s="26" t="n">
        <f aca="false">IF(INDEX(Pengaturan!$B$8:$B$27,U$4)="",0,COUNTIF(Data!$B471:$U471,INDEX(Pengaturan!$B$8:$B$27,U$4)))</f>
        <v>0</v>
      </c>
      <c r="V471" s="26" t="n">
        <f aca="false">COUNTA(Data!$B471:$U471)</f>
        <v>0</v>
      </c>
      <c r="W471" s="27" t="str">
        <f aca="false">IF(V471=0,"",IF(V471&lt;&gt;Hasil!$C$4,"Data kosong/tidak lengkap",IF(SUM(B471:U471)&lt;&gt;V471,"Kategori tidak dikenal","OK")))</f>
        <v/>
      </c>
      <c r="X471" s="26" t="n">
        <f aca="false">IF(OR(W471="",W471="OK"),0,1)</f>
        <v>0</v>
      </c>
    </row>
    <row r="472" customFormat="false" ht="15" hidden="false" customHeight="false" outlineLevel="0" collapsed="false">
      <c r="A472" s="26" t="n">
        <f aca="false">Data!A472</f>
        <v>467</v>
      </c>
      <c r="B472" s="26" t="n">
        <f aca="false">IF(INDEX(Pengaturan!$B$8:$B$27,B$4)="",0,COUNTIF(Data!$B472:$U472,INDEX(Pengaturan!$B$8:$B$27,B$4)))</f>
        <v>0</v>
      </c>
      <c r="C472" s="26" t="n">
        <f aca="false">IF(INDEX(Pengaturan!$B$8:$B$27,C$4)="",0,COUNTIF(Data!$B472:$U472,INDEX(Pengaturan!$B$8:$B$27,C$4)))</f>
        <v>0</v>
      </c>
      <c r="D472" s="26" t="n">
        <f aca="false">IF(INDEX(Pengaturan!$B$8:$B$27,D$4)="",0,COUNTIF(Data!$B472:$U472,INDEX(Pengaturan!$B$8:$B$27,D$4)))</f>
        <v>0</v>
      </c>
      <c r="E472" s="26" t="n">
        <f aca="false">IF(INDEX(Pengaturan!$B$8:$B$27,E$4)="",0,COUNTIF(Data!$B472:$U472,INDEX(Pengaturan!$B$8:$B$27,E$4)))</f>
        <v>0</v>
      </c>
      <c r="F472" s="26" t="n">
        <f aca="false">IF(INDEX(Pengaturan!$B$8:$B$27,F$4)="",0,COUNTIF(Data!$B472:$U472,INDEX(Pengaturan!$B$8:$B$27,F$4)))</f>
        <v>0</v>
      </c>
      <c r="G472" s="26" t="n">
        <f aca="false">IF(INDEX(Pengaturan!$B$8:$B$27,G$4)="",0,COUNTIF(Data!$B472:$U472,INDEX(Pengaturan!$B$8:$B$27,G$4)))</f>
        <v>0</v>
      </c>
      <c r="H472" s="26" t="n">
        <f aca="false">IF(INDEX(Pengaturan!$B$8:$B$27,H$4)="",0,COUNTIF(Data!$B472:$U472,INDEX(Pengaturan!$B$8:$B$27,H$4)))</f>
        <v>0</v>
      </c>
      <c r="I472" s="26" t="n">
        <f aca="false">IF(INDEX(Pengaturan!$B$8:$B$27,I$4)="",0,COUNTIF(Data!$B472:$U472,INDEX(Pengaturan!$B$8:$B$27,I$4)))</f>
        <v>0</v>
      </c>
      <c r="J472" s="26" t="n">
        <f aca="false">IF(INDEX(Pengaturan!$B$8:$B$27,J$4)="",0,COUNTIF(Data!$B472:$U472,INDEX(Pengaturan!$B$8:$B$27,J$4)))</f>
        <v>0</v>
      </c>
      <c r="K472" s="26" t="n">
        <f aca="false">IF(INDEX(Pengaturan!$B$8:$B$27,K$4)="",0,COUNTIF(Data!$B472:$U472,INDEX(Pengaturan!$B$8:$B$27,K$4)))</f>
        <v>0</v>
      </c>
      <c r="L472" s="26" t="n">
        <f aca="false">IF(INDEX(Pengaturan!$B$8:$B$27,L$4)="",0,COUNTIF(Data!$B472:$U472,INDEX(Pengaturan!$B$8:$B$27,L$4)))</f>
        <v>0</v>
      </c>
      <c r="M472" s="26" t="n">
        <f aca="false">IF(INDEX(Pengaturan!$B$8:$B$27,M$4)="",0,COUNTIF(Data!$B472:$U472,INDEX(Pengaturan!$B$8:$B$27,M$4)))</f>
        <v>0</v>
      </c>
      <c r="N472" s="26" t="n">
        <f aca="false">IF(INDEX(Pengaturan!$B$8:$B$27,N$4)="",0,COUNTIF(Data!$B472:$U472,INDEX(Pengaturan!$B$8:$B$27,N$4)))</f>
        <v>0</v>
      </c>
      <c r="O472" s="26" t="n">
        <f aca="false">IF(INDEX(Pengaturan!$B$8:$B$27,O$4)="",0,COUNTIF(Data!$B472:$U472,INDEX(Pengaturan!$B$8:$B$27,O$4)))</f>
        <v>0</v>
      </c>
      <c r="P472" s="26" t="n">
        <f aca="false">IF(INDEX(Pengaturan!$B$8:$B$27,P$4)="",0,COUNTIF(Data!$B472:$U472,INDEX(Pengaturan!$B$8:$B$27,P$4)))</f>
        <v>0</v>
      </c>
      <c r="Q472" s="26" t="n">
        <f aca="false">IF(INDEX(Pengaturan!$B$8:$B$27,Q$4)="",0,COUNTIF(Data!$B472:$U472,INDEX(Pengaturan!$B$8:$B$27,Q$4)))</f>
        <v>0</v>
      </c>
      <c r="R472" s="26" t="n">
        <f aca="false">IF(INDEX(Pengaturan!$B$8:$B$27,R$4)="",0,COUNTIF(Data!$B472:$U472,INDEX(Pengaturan!$B$8:$B$27,R$4)))</f>
        <v>0</v>
      </c>
      <c r="S472" s="26" t="n">
        <f aca="false">IF(INDEX(Pengaturan!$B$8:$B$27,S$4)="",0,COUNTIF(Data!$B472:$U472,INDEX(Pengaturan!$B$8:$B$27,S$4)))</f>
        <v>0</v>
      </c>
      <c r="T472" s="26" t="n">
        <f aca="false">IF(INDEX(Pengaturan!$B$8:$B$27,T$4)="",0,COUNTIF(Data!$B472:$U472,INDEX(Pengaturan!$B$8:$B$27,T$4)))</f>
        <v>0</v>
      </c>
      <c r="U472" s="26" t="n">
        <f aca="false">IF(INDEX(Pengaturan!$B$8:$B$27,U$4)="",0,COUNTIF(Data!$B472:$U472,INDEX(Pengaturan!$B$8:$B$27,U$4)))</f>
        <v>0</v>
      </c>
      <c r="V472" s="26" t="n">
        <f aca="false">COUNTA(Data!$B472:$U472)</f>
        <v>0</v>
      </c>
      <c r="W472" s="27" t="str">
        <f aca="false">IF(V472=0,"",IF(V472&lt;&gt;Hasil!$C$4,"Data kosong/tidak lengkap",IF(SUM(B472:U472)&lt;&gt;V472,"Kategori tidak dikenal","OK")))</f>
        <v/>
      </c>
      <c r="X472" s="26" t="n">
        <f aca="false">IF(OR(W472="",W472="OK"),0,1)</f>
        <v>0</v>
      </c>
    </row>
    <row r="473" customFormat="false" ht="15" hidden="false" customHeight="false" outlineLevel="0" collapsed="false">
      <c r="A473" s="26" t="n">
        <f aca="false">Data!A473</f>
        <v>468</v>
      </c>
      <c r="B473" s="26" t="n">
        <f aca="false">IF(INDEX(Pengaturan!$B$8:$B$27,B$4)="",0,COUNTIF(Data!$B473:$U473,INDEX(Pengaturan!$B$8:$B$27,B$4)))</f>
        <v>0</v>
      </c>
      <c r="C473" s="26" t="n">
        <f aca="false">IF(INDEX(Pengaturan!$B$8:$B$27,C$4)="",0,COUNTIF(Data!$B473:$U473,INDEX(Pengaturan!$B$8:$B$27,C$4)))</f>
        <v>0</v>
      </c>
      <c r="D473" s="26" t="n">
        <f aca="false">IF(INDEX(Pengaturan!$B$8:$B$27,D$4)="",0,COUNTIF(Data!$B473:$U473,INDEX(Pengaturan!$B$8:$B$27,D$4)))</f>
        <v>0</v>
      </c>
      <c r="E473" s="26" t="n">
        <f aca="false">IF(INDEX(Pengaturan!$B$8:$B$27,E$4)="",0,COUNTIF(Data!$B473:$U473,INDEX(Pengaturan!$B$8:$B$27,E$4)))</f>
        <v>0</v>
      </c>
      <c r="F473" s="26" t="n">
        <f aca="false">IF(INDEX(Pengaturan!$B$8:$B$27,F$4)="",0,COUNTIF(Data!$B473:$U473,INDEX(Pengaturan!$B$8:$B$27,F$4)))</f>
        <v>0</v>
      </c>
      <c r="G473" s="26" t="n">
        <f aca="false">IF(INDEX(Pengaturan!$B$8:$B$27,G$4)="",0,COUNTIF(Data!$B473:$U473,INDEX(Pengaturan!$B$8:$B$27,G$4)))</f>
        <v>0</v>
      </c>
      <c r="H473" s="26" t="n">
        <f aca="false">IF(INDEX(Pengaturan!$B$8:$B$27,H$4)="",0,COUNTIF(Data!$B473:$U473,INDEX(Pengaturan!$B$8:$B$27,H$4)))</f>
        <v>0</v>
      </c>
      <c r="I473" s="26" t="n">
        <f aca="false">IF(INDEX(Pengaturan!$B$8:$B$27,I$4)="",0,COUNTIF(Data!$B473:$U473,INDEX(Pengaturan!$B$8:$B$27,I$4)))</f>
        <v>0</v>
      </c>
      <c r="J473" s="26" t="n">
        <f aca="false">IF(INDEX(Pengaturan!$B$8:$B$27,J$4)="",0,COUNTIF(Data!$B473:$U473,INDEX(Pengaturan!$B$8:$B$27,J$4)))</f>
        <v>0</v>
      </c>
      <c r="K473" s="26" t="n">
        <f aca="false">IF(INDEX(Pengaturan!$B$8:$B$27,K$4)="",0,COUNTIF(Data!$B473:$U473,INDEX(Pengaturan!$B$8:$B$27,K$4)))</f>
        <v>0</v>
      </c>
      <c r="L473" s="26" t="n">
        <f aca="false">IF(INDEX(Pengaturan!$B$8:$B$27,L$4)="",0,COUNTIF(Data!$B473:$U473,INDEX(Pengaturan!$B$8:$B$27,L$4)))</f>
        <v>0</v>
      </c>
      <c r="M473" s="26" t="n">
        <f aca="false">IF(INDEX(Pengaturan!$B$8:$B$27,M$4)="",0,COUNTIF(Data!$B473:$U473,INDEX(Pengaturan!$B$8:$B$27,M$4)))</f>
        <v>0</v>
      </c>
      <c r="N473" s="26" t="n">
        <f aca="false">IF(INDEX(Pengaturan!$B$8:$B$27,N$4)="",0,COUNTIF(Data!$B473:$U473,INDEX(Pengaturan!$B$8:$B$27,N$4)))</f>
        <v>0</v>
      </c>
      <c r="O473" s="26" t="n">
        <f aca="false">IF(INDEX(Pengaturan!$B$8:$B$27,O$4)="",0,COUNTIF(Data!$B473:$U473,INDEX(Pengaturan!$B$8:$B$27,O$4)))</f>
        <v>0</v>
      </c>
      <c r="P473" s="26" t="n">
        <f aca="false">IF(INDEX(Pengaturan!$B$8:$B$27,P$4)="",0,COUNTIF(Data!$B473:$U473,INDEX(Pengaturan!$B$8:$B$27,P$4)))</f>
        <v>0</v>
      </c>
      <c r="Q473" s="26" t="n">
        <f aca="false">IF(INDEX(Pengaturan!$B$8:$B$27,Q$4)="",0,COUNTIF(Data!$B473:$U473,INDEX(Pengaturan!$B$8:$B$27,Q$4)))</f>
        <v>0</v>
      </c>
      <c r="R473" s="26" t="n">
        <f aca="false">IF(INDEX(Pengaturan!$B$8:$B$27,R$4)="",0,COUNTIF(Data!$B473:$U473,INDEX(Pengaturan!$B$8:$B$27,R$4)))</f>
        <v>0</v>
      </c>
      <c r="S473" s="26" t="n">
        <f aca="false">IF(INDEX(Pengaturan!$B$8:$B$27,S$4)="",0,COUNTIF(Data!$B473:$U473,INDEX(Pengaturan!$B$8:$B$27,S$4)))</f>
        <v>0</v>
      </c>
      <c r="T473" s="26" t="n">
        <f aca="false">IF(INDEX(Pengaturan!$B$8:$B$27,T$4)="",0,COUNTIF(Data!$B473:$U473,INDEX(Pengaturan!$B$8:$B$27,T$4)))</f>
        <v>0</v>
      </c>
      <c r="U473" s="26" t="n">
        <f aca="false">IF(INDEX(Pengaturan!$B$8:$B$27,U$4)="",0,COUNTIF(Data!$B473:$U473,INDEX(Pengaturan!$B$8:$B$27,U$4)))</f>
        <v>0</v>
      </c>
      <c r="V473" s="26" t="n">
        <f aca="false">COUNTA(Data!$B473:$U473)</f>
        <v>0</v>
      </c>
      <c r="W473" s="27" t="str">
        <f aca="false">IF(V473=0,"",IF(V473&lt;&gt;Hasil!$C$4,"Data kosong/tidak lengkap",IF(SUM(B473:U473)&lt;&gt;V473,"Kategori tidak dikenal","OK")))</f>
        <v/>
      </c>
      <c r="X473" s="26" t="n">
        <f aca="false">IF(OR(W473="",W473="OK"),0,1)</f>
        <v>0</v>
      </c>
    </row>
    <row r="474" customFormat="false" ht="15" hidden="false" customHeight="false" outlineLevel="0" collapsed="false">
      <c r="A474" s="26" t="n">
        <f aca="false">Data!A474</f>
        <v>469</v>
      </c>
      <c r="B474" s="26" t="n">
        <f aca="false">IF(INDEX(Pengaturan!$B$8:$B$27,B$4)="",0,COUNTIF(Data!$B474:$U474,INDEX(Pengaturan!$B$8:$B$27,B$4)))</f>
        <v>0</v>
      </c>
      <c r="C474" s="26" t="n">
        <f aca="false">IF(INDEX(Pengaturan!$B$8:$B$27,C$4)="",0,COUNTIF(Data!$B474:$U474,INDEX(Pengaturan!$B$8:$B$27,C$4)))</f>
        <v>0</v>
      </c>
      <c r="D474" s="26" t="n">
        <f aca="false">IF(INDEX(Pengaturan!$B$8:$B$27,D$4)="",0,COUNTIF(Data!$B474:$U474,INDEX(Pengaturan!$B$8:$B$27,D$4)))</f>
        <v>0</v>
      </c>
      <c r="E474" s="26" t="n">
        <f aca="false">IF(INDEX(Pengaturan!$B$8:$B$27,E$4)="",0,COUNTIF(Data!$B474:$U474,INDEX(Pengaturan!$B$8:$B$27,E$4)))</f>
        <v>0</v>
      </c>
      <c r="F474" s="26" t="n">
        <f aca="false">IF(INDEX(Pengaturan!$B$8:$B$27,F$4)="",0,COUNTIF(Data!$B474:$U474,INDEX(Pengaturan!$B$8:$B$27,F$4)))</f>
        <v>0</v>
      </c>
      <c r="G474" s="26" t="n">
        <f aca="false">IF(INDEX(Pengaturan!$B$8:$B$27,G$4)="",0,COUNTIF(Data!$B474:$U474,INDEX(Pengaturan!$B$8:$B$27,G$4)))</f>
        <v>0</v>
      </c>
      <c r="H474" s="26" t="n">
        <f aca="false">IF(INDEX(Pengaturan!$B$8:$B$27,H$4)="",0,COUNTIF(Data!$B474:$U474,INDEX(Pengaturan!$B$8:$B$27,H$4)))</f>
        <v>0</v>
      </c>
      <c r="I474" s="26" t="n">
        <f aca="false">IF(INDEX(Pengaturan!$B$8:$B$27,I$4)="",0,COUNTIF(Data!$B474:$U474,INDEX(Pengaturan!$B$8:$B$27,I$4)))</f>
        <v>0</v>
      </c>
      <c r="J474" s="26" t="n">
        <f aca="false">IF(INDEX(Pengaturan!$B$8:$B$27,J$4)="",0,COUNTIF(Data!$B474:$U474,INDEX(Pengaturan!$B$8:$B$27,J$4)))</f>
        <v>0</v>
      </c>
      <c r="K474" s="26" t="n">
        <f aca="false">IF(INDEX(Pengaturan!$B$8:$B$27,K$4)="",0,COUNTIF(Data!$B474:$U474,INDEX(Pengaturan!$B$8:$B$27,K$4)))</f>
        <v>0</v>
      </c>
      <c r="L474" s="26" t="n">
        <f aca="false">IF(INDEX(Pengaturan!$B$8:$B$27,L$4)="",0,COUNTIF(Data!$B474:$U474,INDEX(Pengaturan!$B$8:$B$27,L$4)))</f>
        <v>0</v>
      </c>
      <c r="M474" s="26" t="n">
        <f aca="false">IF(INDEX(Pengaturan!$B$8:$B$27,M$4)="",0,COUNTIF(Data!$B474:$U474,INDEX(Pengaturan!$B$8:$B$27,M$4)))</f>
        <v>0</v>
      </c>
      <c r="N474" s="26" t="n">
        <f aca="false">IF(INDEX(Pengaturan!$B$8:$B$27,N$4)="",0,COUNTIF(Data!$B474:$U474,INDEX(Pengaturan!$B$8:$B$27,N$4)))</f>
        <v>0</v>
      </c>
      <c r="O474" s="26" t="n">
        <f aca="false">IF(INDEX(Pengaturan!$B$8:$B$27,O$4)="",0,COUNTIF(Data!$B474:$U474,INDEX(Pengaturan!$B$8:$B$27,O$4)))</f>
        <v>0</v>
      </c>
      <c r="P474" s="26" t="n">
        <f aca="false">IF(INDEX(Pengaturan!$B$8:$B$27,P$4)="",0,COUNTIF(Data!$B474:$U474,INDEX(Pengaturan!$B$8:$B$27,P$4)))</f>
        <v>0</v>
      </c>
      <c r="Q474" s="26" t="n">
        <f aca="false">IF(INDEX(Pengaturan!$B$8:$B$27,Q$4)="",0,COUNTIF(Data!$B474:$U474,INDEX(Pengaturan!$B$8:$B$27,Q$4)))</f>
        <v>0</v>
      </c>
      <c r="R474" s="26" t="n">
        <f aca="false">IF(INDEX(Pengaturan!$B$8:$B$27,R$4)="",0,COUNTIF(Data!$B474:$U474,INDEX(Pengaturan!$B$8:$B$27,R$4)))</f>
        <v>0</v>
      </c>
      <c r="S474" s="26" t="n">
        <f aca="false">IF(INDEX(Pengaturan!$B$8:$B$27,S$4)="",0,COUNTIF(Data!$B474:$U474,INDEX(Pengaturan!$B$8:$B$27,S$4)))</f>
        <v>0</v>
      </c>
      <c r="T474" s="26" t="n">
        <f aca="false">IF(INDEX(Pengaturan!$B$8:$B$27,T$4)="",0,COUNTIF(Data!$B474:$U474,INDEX(Pengaturan!$B$8:$B$27,T$4)))</f>
        <v>0</v>
      </c>
      <c r="U474" s="26" t="n">
        <f aca="false">IF(INDEX(Pengaturan!$B$8:$B$27,U$4)="",0,COUNTIF(Data!$B474:$U474,INDEX(Pengaturan!$B$8:$B$27,U$4)))</f>
        <v>0</v>
      </c>
      <c r="V474" s="26" t="n">
        <f aca="false">COUNTA(Data!$B474:$U474)</f>
        <v>0</v>
      </c>
      <c r="W474" s="27" t="str">
        <f aca="false">IF(V474=0,"",IF(V474&lt;&gt;Hasil!$C$4,"Data kosong/tidak lengkap",IF(SUM(B474:U474)&lt;&gt;V474,"Kategori tidak dikenal","OK")))</f>
        <v/>
      </c>
      <c r="X474" s="26" t="n">
        <f aca="false">IF(OR(W474="",W474="OK"),0,1)</f>
        <v>0</v>
      </c>
    </row>
    <row r="475" customFormat="false" ht="15" hidden="false" customHeight="false" outlineLevel="0" collapsed="false">
      <c r="A475" s="26" t="n">
        <f aca="false">Data!A475</f>
        <v>470</v>
      </c>
      <c r="B475" s="26" t="n">
        <f aca="false">IF(INDEX(Pengaturan!$B$8:$B$27,B$4)="",0,COUNTIF(Data!$B475:$U475,INDEX(Pengaturan!$B$8:$B$27,B$4)))</f>
        <v>0</v>
      </c>
      <c r="C475" s="26" t="n">
        <f aca="false">IF(INDEX(Pengaturan!$B$8:$B$27,C$4)="",0,COUNTIF(Data!$B475:$U475,INDEX(Pengaturan!$B$8:$B$27,C$4)))</f>
        <v>0</v>
      </c>
      <c r="D475" s="26" t="n">
        <f aca="false">IF(INDEX(Pengaturan!$B$8:$B$27,D$4)="",0,COUNTIF(Data!$B475:$U475,INDEX(Pengaturan!$B$8:$B$27,D$4)))</f>
        <v>0</v>
      </c>
      <c r="E475" s="26" t="n">
        <f aca="false">IF(INDEX(Pengaturan!$B$8:$B$27,E$4)="",0,COUNTIF(Data!$B475:$U475,INDEX(Pengaturan!$B$8:$B$27,E$4)))</f>
        <v>0</v>
      </c>
      <c r="F475" s="26" t="n">
        <f aca="false">IF(INDEX(Pengaturan!$B$8:$B$27,F$4)="",0,COUNTIF(Data!$B475:$U475,INDEX(Pengaturan!$B$8:$B$27,F$4)))</f>
        <v>0</v>
      </c>
      <c r="G475" s="26" t="n">
        <f aca="false">IF(INDEX(Pengaturan!$B$8:$B$27,G$4)="",0,COUNTIF(Data!$B475:$U475,INDEX(Pengaturan!$B$8:$B$27,G$4)))</f>
        <v>0</v>
      </c>
      <c r="H475" s="26" t="n">
        <f aca="false">IF(INDEX(Pengaturan!$B$8:$B$27,H$4)="",0,COUNTIF(Data!$B475:$U475,INDEX(Pengaturan!$B$8:$B$27,H$4)))</f>
        <v>0</v>
      </c>
      <c r="I475" s="26" t="n">
        <f aca="false">IF(INDEX(Pengaturan!$B$8:$B$27,I$4)="",0,COUNTIF(Data!$B475:$U475,INDEX(Pengaturan!$B$8:$B$27,I$4)))</f>
        <v>0</v>
      </c>
      <c r="J475" s="26" t="n">
        <f aca="false">IF(INDEX(Pengaturan!$B$8:$B$27,J$4)="",0,COUNTIF(Data!$B475:$U475,INDEX(Pengaturan!$B$8:$B$27,J$4)))</f>
        <v>0</v>
      </c>
      <c r="K475" s="26" t="n">
        <f aca="false">IF(INDEX(Pengaturan!$B$8:$B$27,K$4)="",0,COUNTIF(Data!$B475:$U475,INDEX(Pengaturan!$B$8:$B$27,K$4)))</f>
        <v>0</v>
      </c>
      <c r="L475" s="26" t="n">
        <f aca="false">IF(INDEX(Pengaturan!$B$8:$B$27,L$4)="",0,COUNTIF(Data!$B475:$U475,INDEX(Pengaturan!$B$8:$B$27,L$4)))</f>
        <v>0</v>
      </c>
      <c r="M475" s="26" t="n">
        <f aca="false">IF(INDEX(Pengaturan!$B$8:$B$27,M$4)="",0,COUNTIF(Data!$B475:$U475,INDEX(Pengaturan!$B$8:$B$27,M$4)))</f>
        <v>0</v>
      </c>
      <c r="N475" s="26" t="n">
        <f aca="false">IF(INDEX(Pengaturan!$B$8:$B$27,N$4)="",0,COUNTIF(Data!$B475:$U475,INDEX(Pengaturan!$B$8:$B$27,N$4)))</f>
        <v>0</v>
      </c>
      <c r="O475" s="26" t="n">
        <f aca="false">IF(INDEX(Pengaturan!$B$8:$B$27,O$4)="",0,COUNTIF(Data!$B475:$U475,INDEX(Pengaturan!$B$8:$B$27,O$4)))</f>
        <v>0</v>
      </c>
      <c r="P475" s="26" t="n">
        <f aca="false">IF(INDEX(Pengaturan!$B$8:$B$27,P$4)="",0,COUNTIF(Data!$B475:$U475,INDEX(Pengaturan!$B$8:$B$27,P$4)))</f>
        <v>0</v>
      </c>
      <c r="Q475" s="26" t="n">
        <f aca="false">IF(INDEX(Pengaturan!$B$8:$B$27,Q$4)="",0,COUNTIF(Data!$B475:$U475,INDEX(Pengaturan!$B$8:$B$27,Q$4)))</f>
        <v>0</v>
      </c>
      <c r="R475" s="26" t="n">
        <f aca="false">IF(INDEX(Pengaturan!$B$8:$B$27,R$4)="",0,COUNTIF(Data!$B475:$U475,INDEX(Pengaturan!$B$8:$B$27,R$4)))</f>
        <v>0</v>
      </c>
      <c r="S475" s="26" t="n">
        <f aca="false">IF(INDEX(Pengaturan!$B$8:$B$27,S$4)="",0,COUNTIF(Data!$B475:$U475,INDEX(Pengaturan!$B$8:$B$27,S$4)))</f>
        <v>0</v>
      </c>
      <c r="T475" s="26" t="n">
        <f aca="false">IF(INDEX(Pengaturan!$B$8:$B$27,T$4)="",0,COUNTIF(Data!$B475:$U475,INDEX(Pengaturan!$B$8:$B$27,T$4)))</f>
        <v>0</v>
      </c>
      <c r="U475" s="26" t="n">
        <f aca="false">IF(INDEX(Pengaturan!$B$8:$B$27,U$4)="",0,COUNTIF(Data!$B475:$U475,INDEX(Pengaturan!$B$8:$B$27,U$4)))</f>
        <v>0</v>
      </c>
      <c r="V475" s="26" t="n">
        <f aca="false">COUNTA(Data!$B475:$U475)</f>
        <v>0</v>
      </c>
      <c r="W475" s="27" t="str">
        <f aca="false">IF(V475=0,"",IF(V475&lt;&gt;Hasil!$C$4,"Data kosong/tidak lengkap",IF(SUM(B475:U475)&lt;&gt;V475,"Kategori tidak dikenal","OK")))</f>
        <v/>
      </c>
      <c r="X475" s="26" t="n">
        <f aca="false">IF(OR(W475="",W475="OK"),0,1)</f>
        <v>0</v>
      </c>
    </row>
    <row r="476" customFormat="false" ht="15" hidden="false" customHeight="false" outlineLevel="0" collapsed="false">
      <c r="A476" s="26" t="n">
        <f aca="false">Data!A476</f>
        <v>471</v>
      </c>
      <c r="B476" s="26" t="n">
        <f aca="false">IF(INDEX(Pengaturan!$B$8:$B$27,B$4)="",0,COUNTIF(Data!$B476:$U476,INDEX(Pengaturan!$B$8:$B$27,B$4)))</f>
        <v>0</v>
      </c>
      <c r="C476" s="26" t="n">
        <f aca="false">IF(INDEX(Pengaturan!$B$8:$B$27,C$4)="",0,COUNTIF(Data!$B476:$U476,INDEX(Pengaturan!$B$8:$B$27,C$4)))</f>
        <v>0</v>
      </c>
      <c r="D476" s="26" t="n">
        <f aca="false">IF(INDEX(Pengaturan!$B$8:$B$27,D$4)="",0,COUNTIF(Data!$B476:$U476,INDEX(Pengaturan!$B$8:$B$27,D$4)))</f>
        <v>0</v>
      </c>
      <c r="E476" s="26" t="n">
        <f aca="false">IF(INDEX(Pengaturan!$B$8:$B$27,E$4)="",0,COUNTIF(Data!$B476:$U476,INDEX(Pengaturan!$B$8:$B$27,E$4)))</f>
        <v>0</v>
      </c>
      <c r="F476" s="26" t="n">
        <f aca="false">IF(INDEX(Pengaturan!$B$8:$B$27,F$4)="",0,COUNTIF(Data!$B476:$U476,INDEX(Pengaturan!$B$8:$B$27,F$4)))</f>
        <v>0</v>
      </c>
      <c r="G476" s="26" t="n">
        <f aca="false">IF(INDEX(Pengaturan!$B$8:$B$27,G$4)="",0,COUNTIF(Data!$B476:$U476,INDEX(Pengaturan!$B$8:$B$27,G$4)))</f>
        <v>0</v>
      </c>
      <c r="H476" s="26" t="n">
        <f aca="false">IF(INDEX(Pengaturan!$B$8:$B$27,H$4)="",0,COUNTIF(Data!$B476:$U476,INDEX(Pengaturan!$B$8:$B$27,H$4)))</f>
        <v>0</v>
      </c>
      <c r="I476" s="26" t="n">
        <f aca="false">IF(INDEX(Pengaturan!$B$8:$B$27,I$4)="",0,COUNTIF(Data!$B476:$U476,INDEX(Pengaturan!$B$8:$B$27,I$4)))</f>
        <v>0</v>
      </c>
      <c r="J476" s="26" t="n">
        <f aca="false">IF(INDEX(Pengaturan!$B$8:$B$27,J$4)="",0,COUNTIF(Data!$B476:$U476,INDEX(Pengaturan!$B$8:$B$27,J$4)))</f>
        <v>0</v>
      </c>
      <c r="K476" s="26" t="n">
        <f aca="false">IF(INDEX(Pengaturan!$B$8:$B$27,K$4)="",0,COUNTIF(Data!$B476:$U476,INDEX(Pengaturan!$B$8:$B$27,K$4)))</f>
        <v>0</v>
      </c>
      <c r="L476" s="26" t="n">
        <f aca="false">IF(INDEX(Pengaturan!$B$8:$B$27,L$4)="",0,COUNTIF(Data!$B476:$U476,INDEX(Pengaturan!$B$8:$B$27,L$4)))</f>
        <v>0</v>
      </c>
      <c r="M476" s="26" t="n">
        <f aca="false">IF(INDEX(Pengaturan!$B$8:$B$27,M$4)="",0,COUNTIF(Data!$B476:$U476,INDEX(Pengaturan!$B$8:$B$27,M$4)))</f>
        <v>0</v>
      </c>
      <c r="N476" s="26" t="n">
        <f aca="false">IF(INDEX(Pengaturan!$B$8:$B$27,N$4)="",0,COUNTIF(Data!$B476:$U476,INDEX(Pengaturan!$B$8:$B$27,N$4)))</f>
        <v>0</v>
      </c>
      <c r="O476" s="26" t="n">
        <f aca="false">IF(INDEX(Pengaturan!$B$8:$B$27,O$4)="",0,COUNTIF(Data!$B476:$U476,INDEX(Pengaturan!$B$8:$B$27,O$4)))</f>
        <v>0</v>
      </c>
      <c r="P476" s="26" t="n">
        <f aca="false">IF(INDEX(Pengaturan!$B$8:$B$27,P$4)="",0,COUNTIF(Data!$B476:$U476,INDEX(Pengaturan!$B$8:$B$27,P$4)))</f>
        <v>0</v>
      </c>
      <c r="Q476" s="26" t="n">
        <f aca="false">IF(INDEX(Pengaturan!$B$8:$B$27,Q$4)="",0,COUNTIF(Data!$B476:$U476,INDEX(Pengaturan!$B$8:$B$27,Q$4)))</f>
        <v>0</v>
      </c>
      <c r="R476" s="26" t="n">
        <f aca="false">IF(INDEX(Pengaturan!$B$8:$B$27,R$4)="",0,COUNTIF(Data!$B476:$U476,INDEX(Pengaturan!$B$8:$B$27,R$4)))</f>
        <v>0</v>
      </c>
      <c r="S476" s="26" t="n">
        <f aca="false">IF(INDEX(Pengaturan!$B$8:$B$27,S$4)="",0,COUNTIF(Data!$B476:$U476,INDEX(Pengaturan!$B$8:$B$27,S$4)))</f>
        <v>0</v>
      </c>
      <c r="T476" s="26" t="n">
        <f aca="false">IF(INDEX(Pengaturan!$B$8:$B$27,T$4)="",0,COUNTIF(Data!$B476:$U476,INDEX(Pengaturan!$B$8:$B$27,T$4)))</f>
        <v>0</v>
      </c>
      <c r="U476" s="26" t="n">
        <f aca="false">IF(INDEX(Pengaturan!$B$8:$B$27,U$4)="",0,COUNTIF(Data!$B476:$U476,INDEX(Pengaturan!$B$8:$B$27,U$4)))</f>
        <v>0</v>
      </c>
      <c r="V476" s="26" t="n">
        <f aca="false">COUNTA(Data!$B476:$U476)</f>
        <v>0</v>
      </c>
      <c r="W476" s="27" t="str">
        <f aca="false">IF(V476=0,"",IF(V476&lt;&gt;Hasil!$C$4,"Data kosong/tidak lengkap",IF(SUM(B476:U476)&lt;&gt;V476,"Kategori tidak dikenal","OK")))</f>
        <v/>
      </c>
      <c r="X476" s="26" t="n">
        <f aca="false">IF(OR(W476="",W476="OK"),0,1)</f>
        <v>0</v>
      </c>
    </row>
    <row r="477" customFormat="false" ht="15" hidden="false" customHeight="false" outlineLevel="0" collapsed="false">
      <c r="A477" s="26" t="n">
        <f aca="false">Data!A477</f>
        <v>472</v>
      </c>
      <c r="B477" s="26" t="n">
        <f aca="false">IF(INDEX(Pengaturan!$B$8:$B$27,B$4)="",0,COUNTIF(Data!$B477:$U477,INDEX(Pengaturan!$B$8:$B$27,B$4)))</f>
        <v>0</v>
      </c>
      <c r="C477" s="26" t="n">
        <f aca="false">IF(INDEX(Pengaturan!$B$8:$B$27,C$4)="",0,COUNTIF(Data!$B477:$U477,INDEX(Pengaturan!$B$8:$B$27,C$4)))</f>
        <v>0</v>
      </c>
      <c r="D477" s="26" t="n">
        <f aca="false">IF(INDEX(Pengaturan!$B$8:$B$27,D$4)="",0,COUNTIF(Data!$B477:$U477,INDEX(Pengaturan!$B$8:$B$27,D$4)))</f>
        <v>0</v>
      </c>
      <c r="E477" s="26" t="n">
        <f aca="false">IF(INDEX(Pengaturan!$B$8:$B$27,E$4)="",0,COUNTIF(Data!$B477:$U477,INDEX(Pengaturan!$B$8:$B$27,E$4)))</f>
        <v>0</v>
      </c>
      <c r="F477" s="26" t="n">
        <f aca="false">IF(INDEX(Pengaturan!$B$8:$B$27,F$4)="",0,COUNTIF(Data!$B477:$U477,INDEX(Pengaturan!$B$8:$B$27,F$4)))</f>
        <v>0</v>
      </c>
      <c r="G477" s="26" t="n">
        <f aca="false">IF(INDEX(Pengaturan!$B$8:$B$27,G$4)="",0,COUNTIF(Data!$B477:$U477,INDEX(Pengaturan!$B$8:$B$27,G$4)))</f>
        <v>0</v>
      </c>
      <c r="H477" s="26" t="n">
        <f aca="false">IF(INDEX(Pengaturan!$B$8:$B$27,H$4)="",0,COUNTIF(Data!$B477:$U477,INDEX(Pengaturan!$B$8:$B$27,H$4)))</f>
        <v>0</v>
      </c>
      <c r="I477" s="26" t="n">
        <f aca="false">IF(INDEX(Pengaturan!$B$8:$B$27,I$4)="",0,COUNTIF(Data!$B477:$U477,INDEX(Pengaturan!$B$8:$B$27,I$4)))</f>
        <v>0</v>
      </c>
      <c r="J477" s="26" t="n">
        <f aca="false">IF(INDEX(Pengaturan!$B$8:$B$27,J$4)="",0,COUNTIF(Data!$B477:$U477,INDEX(Pengaturan!$B$8:$B$27,J$4)))</f>
        <v>0</v>
      </c>
      <c r="K477" s="26" t="n">
        <f aca="false">IF(INDEX(Pengaturan!$B$8:$B$27,K$4)="",0,COUNTIF(Data!$B477:$U477,INDEX(Pengaturan!$B$8:$B$27,K$4)))</f>
        <v>0</v>
      </c>
      <c r="L477" s="26" t="n">
        <f aca="false">IF(INDEX(Pengaturan!$B$8:$B$27,L$4)="",0,COUNTIF(Data!$B477:$U477,INDEX(Pengaturan!$B$8:$B$27,L$4)))</f>
        <v>0</v>
      </c>
      <c r="M477" s="26" t="n">
        <f aca="false">IF(INDEX(Pengaturan!$B$8:$B$27,M$4)="",0,COUNTIF(Data!$B477:$U477,INDEX(Pengaturan!$B$8:$B$27,M$4)))</f>
        <v>0</v>
      </c>
      <c r="N477" s="26" t="n">
        <f aca="false">IF(INDEX(Pengaturan!$B$8:$B$27,N$4)="",0,COUNTIF(Data!$B477:$U477,INDEX(Pengaturan!$B$8:$B$27,N$4)))</f>
        <v>0</v>
      </c>
      <c r="O477" s="26" t="n">
        <f aca="false">IF(INDEX(Pengaturan!$B$8:$B$27,O$4)="",0,COUNTIF(Data!$B477:$U477,INDEX(Pengaturan!$B$8:$B$27,O$4)))</f>
        <v>0</v>
      </c>
      <c r="P477" s="26" t="n">
        <f aca="false">IF(INDEX(Pengaturan!$B$8:$B$27,P$4)="",0,COUNTIF(Data!$B477:$U477,INDEX(Pengaturan!$B$8:$B$27,P$4)))</f>
        <v>0</v>
      </c>
      <c r="Q477" s="26" t="n">
        <f aca="false">IF(INDEX(Pengaturan!$B$8:$B$27,Q$4)="",0,COUNTIF(Data!$B477:$U477,INDEX(Pengaturan!$B$8:$B$27,Q$4)))</f>
        <v>0</v>
      </c>
      <c r="R477" s="26" t="n">
        <f aca="false">IF(INDEX(Pengaturan!$B$8:$B$27,R$4)="",0,COUNTIF(Data!$B477:$U477,INDEX(Pengaturan!$B$8:$B$27,R$4)))</f>
        <v>0</v>
      </c>
      <c r="S477" s="26" t="n">
        <f aca="false">IF(INDEX(Pengaturan!$B$8:$B$27,S$4)="",0,COUNTIF(Data!$B477:$U477,INDEX(Pengaturan!$B$8:$B$27,S$4)))</f>
        <v>0</v>
      </c>
      <c r="T477" s="26" t="n">
        <f aca="false">IF(INDEX(Pengaturan!$B$8:$B$27,T$4)="",0,COUNTIF(Data!$B477:$U477,INDEX(Pengaturan!$B$8:$B$27,T$4)))</f>
        <v>0</v>
      </c>
      <c r="U477" s="26" t="n">
        <f aca="false">IF(INDEX(Pengaturan!$B$8:$B$27,U$4)="",0,COUNTIF(Data!$B477:$U477,INDEX(Pengaturan!$B$8:$B$27,U$4)))</f>
        <v>0</v>
      </c>
      <c r="V477" s="26" t="n">
        <f aca="false">COUNTA(Data!$B477:$U477)</f>
        <v>0</v>
      </c>
      <c r="W477" s="27" t="str">
        <f aca="false">IF(V477=0,"",IF(V477&lt;&gt;Hasil!$C$4,"Data kosong/tidak lengkap",IF(SUM(B477:U477)&lt;&gt;V477,"Kategori tidak dikenal","OK")))</f>
        <v/>
      </c>
      <c r="X477" s="26" t="n">
        <f aca="false">IF(OR(W477="",W477="OK"),0,1)</f>
        <v>0</v>
      </c>
    </row>
    <row r="478" customFormat="false" ht="15" hidden="false" customHeight="false" outlineLevel="0" collapsed="false">
      <c r="A478" s="26" t="n">
        <f aca="false">Data!A478</f>
        <v>473</v>
      </c>
      <c r="B478" s="26" t="n">
        <f aca="false">IF(INDEX(Pengaturan!$B$8:$B$27,B$4)="",0,COUNTIF(Data!$B478:$U478,INDEX(Pengaturan!$B$8:$B$27,B$4)))</f>
        <v>0</v>
      </c>
      <c r="C478" s="26" t="n">
        <f aca="false">IF(INDEX(Pengaturan!$B$8:$B$27,C$4)="",0,COUNTIF(Data!$B478:$U478,INDEX(Pengaturan!$B$8:$B$27,C$4)))</f>
        <v>0</v>
      </c>
      <c r="D478" s="26" t="n">
        <f aca="false">IF(INDEX(Pengaturan!$B$8:$B$27,D$4)="",0,COUNTIF(Data!$B478:$U478,INDEX(Pengaturan!$B$8:$B$27,D$4)))</f>
        <v>0</v>
      </c>
      <c r="E478" s="26" t="n">
        <f aca="false">IF(INDEX(Pengaturan!$B$8:$B$27,E$4)="",0,COUNTIF(Data!$B478:$U478,INDEX(Pengaturan!$B$8:$B$27,E$4)))</f>
        <v>0</v>
      </c>
      <c r="F478" s="26" t="n">
        <f aca="false">IF(INDEX(Pengaturan!$B$8:$B$27,F$4)="",0,COUNTIF(Data!$B478:$U478,INDEX(Pengaturan!$B$8:$B$27,F$4)))</f>
        <v>0</v>
      </c>
      <c r="G478" s="26" t="n">
        <f aca="false">IF(INDEX(Pengaturan!$B$8:$B$27,G$4)="",0,COUNTIF(Data!$B478:$U478,INDEX(Pengaturan!$B$8:$B$27,G$4)))</f>
        <v>0</v>
      </c>
      <c r="H478" s="26" t="n">
        <f aca="false">IF(INDEX(Pengaturan!$B$8:$B$27,H$4)="",0,COUNTIF(Data!$B478:$U478,INDEX(Pengaturan!$B$8:$B$27,H$4)))</f>
        <v>0</v>
      </c>
      <c r="I478" s="26" t="n">
        <f aca="false">IF(INDEX(Pengaturan!$B$8:$B$27,I$4)="",0,COUNTIF(Data!$B478:$U478,INDEX(Pengaturan!$B$8:$B$27,I$4)))</f>
        <v>0</v>
      </c>
      <c r="J478" s="26" t="n">
        <f aca="false">IF(INDEX(Pengaturan!$B$8:$B$27,J$4)="",0,COUNTIF(Data!$B478:$U478,INDEX(Pengaturan!$B$8:$B$27,J$4)))</f>
        <v>0</v>
      </c>
      <c r="K478" s="26" t="n">
        <f aca="false">IF(INDEX(Pengaturan!$B$8:$B$27,K$4)="",0,COUNTIF(Data!$B478:$U478,INDEX(Pengaturan!$B$8:$B$27,K$4)))</f>
        <v>0</v>
      </c>
      <c r="L478" s="26" t="n">
        <f aca="false">IF(INDEX(Pengaturan!$B$8:$B$27,L$4)="",0,COUNTIF(Data!$B478:$U478,INDEX(Pengaturan!$B$8:$B$27,L$4)))</f>
        <v>0</v>
      </c>
      <c r="M478" s="26" t="n">
        <f aca="false">IF(INDEX(Pengaturan!$B$8:$B$27,M$4)="",0,COUNTIF(Data!$B478:$U478,INDEX(Pengaturan!$B$8:$B$27,M$4)))</f>
        <v>0</v>
      </c>
      <c r="N478" s="26" t="n">
        <f aca="false">IF(INDEX(Pengaturan!$B$8:$B$27,N$4)="",0,COUNTIF(Data!$B478:$U478,INDEX(Pengaturan!$B$8:$B$27,N$4)))</f>
        <v>0</v>
      </c>
      <c r="O478" s="26" t="n">
        <f aca="false">IF(INDEX(Pengaturan!$B$8:$B$27,O$4)="",0,COUNTIF(Data!$B478:$U478,INDEX(Pengaturan!$B$8:$B$27,O$4)))</f>
        <v>0</v>
      </c>
      <c r="P478" s="26" t="n">
        <f aca="false">IF(INDEX(Pengaturan!$B$8:$B$27,P$4)="",0,COUNTIF(Data!$B478:$U478,INDEX(Pengaturan!$B$8:$B$27,P$4)))</f>
        <v>0</v>
      </c>
      <c r="Q478" s="26" t="n">
        <f aca="false">IF(INDEX(Pengaturan!$B$8:$B$27,Q$4)="",0,COUNTIF(Data!$B478:$U478,INDEX(Pengaturan!$B$8:$B$27,Q$4)))</f>
        <v>0</v>
      </c>
      <c r="R478" s="26" t="n">
        <f aca="false">IF(INDEX(Pengaturan!$B$8:$B$27,R$4)="",0,COUNTIF(Data!$B478:$U478,INDEX(Pengaturan!$B$8:$B$27,R$4)))</f>
        <v>0</v>
      </c>
      <c r="S478" s="26" t="n">
        <f aca="false">IF(INDEX(Pengaturan!$B$8:$B$27,S$4)="",0,COUNTIF(Data!$B478:$U478,INDEX(Pengaturan!$B$8:$B$27,S$4)))</f>
        <v>0</v>
      </c>
      <c r="T478" s="26" t="n">
        <f aca="false">IF(INDEX(Pengaturan!$B$8:$B$27,T$4)="",0,COUNTIF(Data!$B478:$U478,INDEX(Pengaturan!$B$8:$B$27,T$4)))</f>
        <v>0</v>
      </c>
      <c r="U478" s="26" t="n">
        <f aca="false">IF(INDEX(Pengaturan!$B$8:$B$27,U$4)="",0,COUNTIF(Data!$B478:$U478,INDEX(Pengaturan!$B$8:$B$27,U$4)))</f>
        <v>0</v>
      </c>
      <c r="V478" s="26" t="n">
        <f aca="false">COUNTA(Data!$B478:$U478)</f>
        <v>0</v>
      </c>
      <c r="W478" s="27" t="str">
        <f aca="false">IF(V478=0,"",IF(V478&lt;&gt;Hasil!$C$4,"Data kosong/tidak lengkap",IF(SUM(B478:U478)&lt;&gt;V478,"Kategori tidak dikenal","OK")))</f>
        <v/>
      </c>
      <c r="X478" s="26" t="n">
        <f aca="false">IF(OR(W478="",W478="OK"),0,1)</f>
        <v>0</v>
      </c>
    </row>
    <row r="479" customFormat="false" ht="15" hidden="false" customHeight="false" outlineLevel="0" collapsed="false">
      <c r="A479" s="26" t="n">
        <f aca="false">Data!A479</f>
        <v>474</v>
      </c>
      <c r="B479" s="26" t="n">
        <f aca="false">IF(INDEX(Pengaturan!$B$8:$B$27,B$4)="",0,COUNTIF(Data!$B479:$U479,INDEX(Pengaturan!$B$8:$B$27,B$4)))</f>
        <v>0</v>
      </c>
      <c r="C479" s="26" t="n">
        <f aca="false">IF(INDEX(Pengaturan!$B$8:$B$27,C$4)="",0,COUNTIF(Data!$B479:$U479,INDEX(Pengaturan!$B$8:$B$27,C$4)))</f>
        <v>0</v>
      </c>
      <c r="D479" s="26" t="n">
        <f aca="false">IF(INDEX(Pengaturan!$B$8:$B$27,D$4)="",0,COUNTIF(Data!$B479:$U479,INDEX(Pengaturan!$B$8:$B$27,D$4)))</f>
        <v>0</v>
      </c>
      <c r="E479" s="26" t="n">
        <f aca="false">IF(INDEX(Pengaturan!$B$8:$B$27,E$4)="",0,COUNTIF(Data!$B479:$U479,INDEX(Pengaturan!$B$8:$B$27,E$4)))</f>
        <v>0</v>
      </c>
      <c r="F479" s="26" t="n">
        <f aca="false">IF(INDEX(Pengaturan!$B$8:$B$27,F$4)="",0,COUNTIF(Data!$B479:$U479,INDEX(Pengaturan!$B$8:$B$27,F$4)))</f>
        <v>0</v>
      </c>
      <c r="G479" s="26" t="n">
        <f aca="false">IF(INDEX(Pengaturan!$B$8:$B$27,G$4)="",0,COUNTIF(Data!$B479:$U479,INDEX(Pengaturan!$B$8:$B$27,G$4)))</f>
        <v>0</v>
      </c>
      <c r="H479" s="26" t="n">
        <f aca="false">IF(INDEX(Pengaturan!$B$8:$B$27,H$4)="",0,COUNTIF(Data!$B479:$U479,INDEX(Pengaturan!$B$8:$B$27,H$4)))</f>
        <v>0</v>
      </c>
      <c r="I479" s="26" t="n">
        <f aca="false">IF(INDEX(Pengaturan!$B$8:$B$27,I$4)="",0,COUNTIF(Data!$B479:$U479,INDEX(Pengaturan!$B$8:$B$27,I$4)))</f>
        <v>0</v>
      </c>
      <c r="J479" s="26" t="n">
        <f aca="false">IF(INDEX(Pengaturan!$B$8:$B$27,J$4)="",0,COUNTIF(Data!$B479:$U479,INDEX(Pengaturan!$B$8:$B$27,J$4)))</f>
        <v>0</v>
      </c>
      <c r="K479" s="26" t="n">
        <f aca="false">IF(INDEX(Pengaturan!$B$8:$B$27,K$4)="",0,COUNTIF(Data!$B479:$U479,INDEX(Pengaturan!$B$8:$B$27,K$4)))</f>
        <v>0</v>
      </c>
      <c r="L479" s="26" t="n">
        <f aca="false">IF(INDEX(Pengaturan!$B$8:$B$27,L$4)="",0,COUNTIF(Data!$B479:$U479,INDEX(Pengaturan!$B$8:$B$27,L$4)))</f>
        <v>0</v>
      </c>
      <c r="M479" s="26" t="n">
        <f aca="false">IF(INDEX(Pengaturan!$B$8:$B$27,M$4)="",0,COUNTIF(Data!$B479:$U479,INDEX(Pengaturan!$B$8:$B$27,M$4)))</f>
        <v>0</v>
      </c>
      <c r="N479" s="26" t="n">
        <f aca="false">IF(INDEX(Pengaturan!$B$8:$B$27,N$4)="",0,COUNTIF(Data!$B479:$U479,INDEX(Pengaturan!$B$8:$B$27,N$4)))</f>
        <v>0</v>
      </c>
      <c r="O479" s="26" t="n">
        <f aca="false">IF(INDEX(Pengaturan!$B$8:$B$27,O$4)="",0,COUNTIF(Data!$B479:$U479,INDEX(Pengaturan!$B$8:$B$27,O$4)))</f>
        <v>0</v>
      </c>
      <c r="P479" s="26" t="n">
        <f aca="false">IF(INDEX(Pengaturan!$B$8:$B$27,P$4)="",0,COUNTIF(Data!$B479:$U479,INDEX(Pengaturan!$B$8:$B$27,P$4)))</f>
        <v>0</v>
      </c>
      <c r="Q479" s="26" t="n">
        <f aca="false">IF(INDEX(Pengaturan!$B$8:$B$27,Q$4)="",0,COUNTIF(Data!$B479:$U479,INDEX(Pengaturan!$B$8:$B$27,Q$4)))</f>
        <v>0</v>
      </c>
      <c r="R479" s="26" t="n">
        <f aca="false">IF(INDEX(Pengaturan!$B$8:$B$27,R$4)="",0,COUNTIF(Data!$B479:$U479,INDEX(Pengaturan!$B$8:$B$27,R$4)))</f>
        <v>0</v>
      </c>
      <c r="S479" s="26" t="n">
        <f aca="false">IF(INDEX(Pengaturan!$B$8:$B$27,S$4)="",0,COUNTIF(Data!$B479:$U479,INDEX(Pengaturan!$B$8:$B$27,S$4)))</f>
        <v>0</v>
      </c>
      <c r="T479" s="26" t="n">
        <f aca="false">IF(INDEX(Pengaturan!$B$8:$B$27,T$4)="",0,COUNTIF(Data!$B479:$U479,INDEX(Pengaturan!$B$8:$B$27,T$4)))</f>
        <v>0</v>
      </c>
      <c r="U479" s="26" t="n">
        <f aca="false">IF(INDEX(Pengaturan!$B$8:$B$27,U$4)="",0,COUNTIF(Data!$B479:$U479,INDEX(Pengaturan!$B$8:$B$27,U$4)))</f>
        <v>0</v>
      </c>
      <c r="V479" s="26" t="n">
        <f aca="false">COUNTA(Data!$B479:$U479)</f>
        <v>0</v>
      </c>
      <c r="W479" s="27" t="str">
        <f aca="false">IF(V479=0,"",IF(V479&lt;&gt;Hasil!$C$4,"Data kosong/tidak lengkap",IF(SUM(B479:U479)&lt;&gt;V479,"Kategori tidak dikenal","OK")))</f>
        <v/>
      </c>
      <c r="X479" s="26" t="n">
        <f aca="false">IF(OR(W479="",W479="OK"),0,1)</f>
        <v>0</v>
      </c>
    </row>
    <row r="480" customFormat="false" ht="15" hidden="false" customHeight="false" outlineLevel="0" collapsed="false">
      <c r="A480" s="26" t="n">
        <f aca="false">Data!A480</f>
        <v>475</v>
      </c>
      <c r="B480" s="26" t="n">
        <f aca="false">IF(INDEX(Pengaturan!$B$8:$B$27,B$4)="",0,COUNTIF(Data!$B480:$U480,INDEX(Pengaturan!$B$8:$B$27,B$4)))</f>
        <v>0</v>
      </c>
      <c r="C480" s="26" t="n">
        <f aca="false">IF(INDEX(Pengaturan!$B$8:$B$27,C$4)="",0,COUNTIF(Data!$B480:$U480,INDEX(Pengaturan!$B$8:$B$27,C$4)))</f>
        <v>0</v>
      </c>
      <c r="D480" s="26" t="n">
        <f aca="false">IF(INDEX(Pengaturan!$B$8:$B$27,D$4)="",0,COUNTIF(Data!$B480:$U480,INDEX(Pengaturan!$B$8:$B$27,D$4)))</f>
        <v>0</v>
      </c>
      <c r="E480" s="26" t="n">
        <f aca="false">IF(INDEX(Pengaturan!$B$8:$B$27,E$4)="",0,COUNTIF(Data!$B480:$U480,INDEX(Pengaturan!$B$8:$B$27,E$4)))</f>
        <v>0</v>
      </c>
      <c r="F480" s="26" t="n">
        <f aca="false">IF(INDEX(Pengaturan!$B$8:$B$27,F$4)="",0,COUNTIF(Data!$B480:$U480,INDEX(Pengaturan!$B$8:$B$27,F$4)))</f>
        <v>0</v>
      </c>
      <c r="G480" s="26" t="n">
        <f aca="false">IF(INDEX(Pengaturan!$B$8:$B$27,G$4)="",0,COUNTIF(Data!$B480:$U480,INDEX(Pengaturan!$B$8:$B$27,G$4)))</f>
        <v>0</v>
      </c>
      <c r="H480" s="26" t="n">
        <f aca="false">IF(INDEX(Pengaturan!$B$8:$B$27,H$4)="",0,COUNTIF(Data!$B480:$U480,INDEX(Pengaturan!$B$8:$B$27,H$4)))</f>
        <v>0</v>
      </c>
      <c r="I480" s="26" t="n">
        <f aca="false">IF(INDEX(Pengaturan!$B$8:$B$27,I$4)="",0,COUNTIF(Data!$B480:$U480,INDEX(Pengaturan!$B$8:$B$27,I$4)))</f>
        <v>0</v>
      </c>
      <c r="J480" s="26" t="n">
        <f aca="false">IF(INDEX(Pengaturan!$B$8:$B$27,J$4)="",0,COUNTIF(Data!$B480:$U480,INDEX(Pengaturan!$B$8:$B$27,J$4)))</f>
        <v>0</v>
      </c>
      <c r="K480" s="26" t="n">
        <f aca="false">IF(INDEX(Pengaturan!$B$8:$B$27,K$4)="",0,COUNTIF(Data!$B480:$U480,INDEX(Pengaturan!$B$8:$B$27,K$4)))</f>
        <v>0</v>
      </c>
      <c r="L480" s="26" t="n">
        <f aca="false">IF(INDEX(Pengaturan!$B$8:$B$27,L$4)="",0,COUNTIF(Data!$B480:$U480,INDEX(Pengaturan!$B$8:$B$27,L$4)))</f>
        <v>0</v>
      </c>
      <c r="M480" s="26" t="n">
        <f aca="false">IF(INDEX(Pengaturan!$B$8:$B$27,M$4)="",0,COUNTIF(Data!$B480:$U480,INDEX(Pengaturan!$B$8:$B$27,M$4)))</f>
        <v>0</v>
      </c>
      <c r="N480" s="26" t="n">
        <f aca="false">IF(INDEX(Pengaturan!$B$8:$B$27,N$4)="",0,COUNTIF(Data!$B480:$U480,INDEX(Pengaturan!$B$8:$B$27,N$4)))</f>
        <v>0</v>
      </c>
      <c r="O480" s="26" t="n">
        <f aca="false">IF(INDEX(Pengaturan!$B$8:$B$27,O$4)="",0,COUNTIF(Data!$B480:$U480,INDEX(Pengaturan!$B$8:$B$27,O$4)))</f>
        <v>0</v>
      </c>
      <c r="P480" s="26" t="n">
        <f aca="false">IF(INDEX(Pengaturan!$B$8:$B$27,P$4)="",0,COUNTIF(Data!$B480:$U480,INDEX(Pengaturan!$B$8:$B$27,P$4)))</f>
        <v>0</v>
      </c>
      <c r="Q480" s="26" t="n">
        <f aca="false">IF(INDEX(Pengaturan!$B$8:$B$27,Q$4)="",0,COUNTIF(Data!$B480:$U480,INDEX(Pengaturan!$B$8:$B$27,Q$4)))</f>
        <v>0</v>
      </c>
      <c r="R480" s="26" t="n">
        <f aca="false">IF(INDEX(Pengaturan!$B$8:$B$27,R$4)="",0,COUNTIF(Data!$B480:$U480,INDEX(Pengaturan!$B$8:$B$27,R$4)))</f>
        <v>0</v>
      </c>
      <c r="S480" s="26" t="n">
        <f aca="false">IF(INDEX(Pengaturan!$B$8:$B$27,S$4)="",0,COUNTIF(Data!$B480:$U480,INDEX(Pengaturan!$B$8:$B$27,S$4)))</f>
        <v>0</v>
      </c>
      <c r="T480" s="26" t="n">
        <f aca="false">IF(INDEX(Pengaturan!$B$8:$B$27,T$4)="",0,COUNTIF(Data!$B480:$U480,INDEX(Pengaturan!$B$8:$B$27,T$4)))</f>
        <v>0</v>
      </c>
      <c r="U480" s="26" t="n">
        <f aca="false">IF(INDEX(Pengaturan!$B$8:$B$27,U$4)="",0,COUNTIF(Data!$B480:$U480,INDEX(Pengaturan!$B$8:$B$27,U$4)))</f>
        <v>0</v>
      </c>
      <c r="V480" s="26" t="n">
        <f aca="false">COUNTA(Data!$B480:$U480)</f>
        <v>0</v>
      </c>
      <c r="W480" s="27" t="str">
        <f aca="false">IF(V480=0,"",IF(V480&lt;&gt;Hasil!$C$4,"Data kosong/tidak lengkap",IF(SUM(B480:U480)&lt;&gt;V480,"Kategori tidak dikenal","OK")))</f>
        <v/>
      </c>
      <c r="X480" s="26" t="n">
        <f aca="false">IF(OR(W480="",W480="OK"),0,1)</f>
        <v>0</v>
      </c>
    </row>
    <row r="481" customFormat="false" ht="15" hidden="false" customHeight="false" outlineLevel="0" collapsed="false">
      <c r="A481" s="26" t="n">
        <f aca="false">Data!A481</f>
        <v>476</v>
      </c>
      <c r="B481" s="26" t="n">
        <f aca="false">IF(INDEX(Pengaturan!$B$8:$B$27,B$4)="",0,COUNTIF(Data!$B481:$U481,INDEX(Pengaturan!$B$8:$B$27,B$4)))</f>
        <v>0</v>
      </c>
      <c r="C481" s="26" t="n">
        <f aca="false">IF(INDEX(Pengaturan!$B$8:$B$27,C$4)="",0,COUNTIF(Data!$B481:$U481,INDEX(Pengaturan!$B$8:$B$27,C$4)))</f>
        <v>0</v>
      </c>
      <c r="D481" s="26" t="n">
        <f aca="false">IF(INDEX(Pengaturan!$B$8:$B$27,D$4)="",0,COUNTIF(Data!$B481:$U481,INDEX(Pengaturan!$B$8:$B$27,D$4)))</f>
        <v>0</v>
      </c>
      <c r="E481" s="26" t="n">
        <f aca="false">IF(INDEX(Pengaturan!$B$8:$B$27,E$4)="",0,COUNTIF(Data!$B481:$U481,INDEX(Pengaturan!$B$8:$B$27,E$4)))</f>
        <v>0</v>
      </c>
      <c r="F481" s="26" t="n">
        <f aca="false">IF(INDEX(Pengaturan!$B$8:$B$27,F$4)="",0,COUNTIF(Data!$B481:$U481,INDEX(Pengaturan!$B$8:$B$27,F$4)))</f>
        <v>0</v>
      </c>
      <c r="G481" s="26" t="n">
        <f aca="false">IF(INDEX(Pengaturan!$B$8:$B$27,G$4)="",0,COUNTIF(Data!$B481:$U481,INDEX(Pengaturan!$B$8:$B$27,G$4)))</f>
        <v>0</v>
      </c>
      <c r="H481" s="26" t="n">
        <f aca="false">IF(INDEX(Pengaturan!$B$8:$B$27,H$4)="",0,COUNTIF(Data!$B481:$U481,INDEX(Pengaturan!$B$8:$B$27,H$4)))</f>
        <v>0</v>
      </c>
      <c r="I481" s="26" t="n">
        <f aca="false">IF(INDEX(Pengaturan!$B$8:$B$27,I$4)="",0,COUNTIF(Data!$B481:$U481,INDEX(Pengaturan!$B$8:$B$27,I$4)))</f>
        <v>0</v>
      </c>
      <c r="J481" s="26" t="n">
        <f aca="false">IF(INDEX(Pengaturan!$B$8:$B$27,J$4)="",0,COUNTIF(Data!$B481:$U481,INDEX(Pengaturan!$B$8:$B$27,J$4)))</f>
        <v>0</v>
      </c>
      <c r="K481" s="26" t="n">
        <f aca="false">IF(INDEX(Pengaturan!$B$8:$B$27,K$4)="",0,COUNTIF(Data!$B481:$U481,INDEX(Pengaturan!$B$8:$B$27,K$4)))</f>
        <v>0</v>
      </c>
      <c r="L481" s="26" t="n">
        <f aca="false">IF(INDEX(Pengaturan!$B$8:$B$27,L$4)="",0,COUNTIF(Data!$B481:$U481,INDEX(Pengaturan!$B$8:$B$27,L$4)))</f>
        <v>0</v>
      </c>
      <c r="M481" s="26" t="n">
        <f aca="false">IF(INDEX(Pengaturan!$B$8:$B$27,M$4)="",0,COUNTIF(Data!$B481:$U481,INDEX(Pengaturan!$B$8:$B$27,M$4)))</f>
        <v>0</v>
      </c>
      <c r="N481" s="26" t="n">
        <f aca="false">IF(INDEX(Pengaturan!$B$8:$B$27,N$4)="",0,COUNTIF(Data!$B481:$U481,INDEX(Pengaturan!$B$8:$B$27,N$4)))</f>
        <v>0</v>
      </c>
      <c r="O481" s="26" t="n">
        <f aca="false">IF(INDEX(Pengaturan!$B$8:$B$27,O$4)="",0,COUNTIF(Data!$B481:$U481,INDEX(Pengaturan!$B$8:$B$27,O$4)))</f>
        <v>0</v>
      </c>
      <c r="P481" s="26" t="n">
        <f aca="false">IF(INDEX(Pengaturan!$B$8:$B$27,P$4)="",0,COUNTIF(Data!$B481:$U481,INDEX(Pengaturan!$B$8:$B$27,P$4)))</f>
        <v>0</v>
      </c>
      <c r="Q481" s="26" t="n">
        <f aca="false">IF(INDEX(Pengaturan!$B$8:$B$27,Q$4)="",0,COUNTIF(Data!$B481:$U481,INDEX(Pengaturan!$B$8:$B$27,Q$4)))</f>
        <v>0</v>
      </c>
      <c r="R481" s="26" t="n">
        <f aca="false">IF(INDEX(Pengaturan!$B$8:$B$27,R$4)="",0,COUNTIF(Data!$B481:$U481,INDEX(Pengaturan!$B$8:$B$27,R$4)))</f>
        <v>0</v>
      </c>
      <c r="S481" s="26" t="n">
        <f aca="false">IF(INDEX(Pengaturan!$B$8:$B$27,S$4)="",0,COUNTIF(Data!$B481:$U481,INDEX(Pengaturan!$B$8:$B$27,S$4)))</f>
        <v>0</v>
      </c>
      <c r="T481" s="26" t="n">
        <f aca="false">IF(INDEX(Pengaturan!$B$8:$B$27,T$4)="",0,COUNTIF(Data!$B481:$U481,INDEX(Pengaturan!$B$8:$B$27,T$4)))</f>
        <v>0</v>
      </c>
      <c r="U481" s="26" t="n">
        <f aca="false">IF(INDEX(Pengaturan!$B$8:$B$27,U$4)="",0,COUNTIF(Data!$B481:$U481,INDEX(Pengaturan!$B$8:$B$27,U$4)))</f>
        <v>0</v>
      </c>
      <c r="V481" s="26" t="n">
        <f aca="false">COUNTA(Data!$B481:$U481)</f>
        <v>0</v>
      </c>
      <c r="W481" s="27" t="str">
        <f aca="false">IF(V481=0,"",IF(V481&lt;&gt;Hasil!$C$4,"Data kosong/tidak lengkap",IF(SUM(B481:U481)&lt;&gt;V481,"Kategori tidak dikenal","OK")))</f>
        <v/>
      </c>
      <c r="X481" s="26" t="n">
        <f aca="false">IF(OR(W481="",W481="OK"),0,1)</f>
        <v>0</v>
      </c>
    </row>
    <row r="482" customFormat="false" ht="15" hidden="false" customHeight="false" outlineLevel="0" collapsed="false">
      <c r="A482" s="26" t="n">
        <f aca="false">Data!A482</f>
        <v>477</v>
      </c>
      <c r="B482" s="26" t="n">
        <f aca="false">IF(INDEX(Pengaturan!$B$8:$B$27,B$4)="",0,COUNTIF(Data!$B482:$U482,INDEX(Pengaturan!$B$8:$B$27,B$4)))</f>
        <v>0</v>
      </c>
      <c r="C482" s="26" t="n">
        <f aca="false">IF(INDEX(Pengaturan!$B$8:$B$27,C$4)="",0,COUNTIF(Data!$B482:$U482,INDEX(Pengaturan!$B$8:$B$27,C$4)))</f>
        <v>0</v>
      </c>
      <c r="D482" s="26" t="n">
        <f aca="false">IF(INDEX(Pengaturan!$B$8:$B$27,D$4)="",0,COUNTIF(Data!$B482:$U482,INDEX(Pengaturan!$B$8:$B$27,D$4)))</f>
        <v>0</v>
      </c>
      <c r="E482" s="26" t="n">
        <f aca="false">IF(INDEX(Pengaturan!$B$8:$B$27,E$4)="",0,COUNTIF(Data!$B482:$U482,INDEX(Pengaturan!$B$8:$B$27,E$4)))</f>
        <v>0</v>
      </c>
      <c r="F482" s="26" t="n">
        <f aca="false">IF(INDEX(Pengaturan!$B$8:$B$27,F$4)="",0,COUNTIF(Data!$B482:$U482,INDEX(Pengaturan!$B$8:$B$27,F$4)))</f>
        <v>0</v>
      </c>
      <c r="G482" s="26" t="n">
        <f aca="false">IF(INDEX(Pengaturan!$B$8:$B$27,G$4)="",0,COUNTIF(Data!$B482:$U482,INDEX(Pengaturan!$B$8:$B$27,G$4)))</f>
        <v>0</v>
      </c>
      <c r="H482" s="26" t="n">
        <f aca="false">IF(INDEX(Pengaturan!$B$8:$B$27,H$4)="",0,COUNTIF(Data!$B482:$U482,INDEX(Pengaturan!$B$8:$B$27,H$4)))</f>
        <v>0</v>
      </c>
      <c r="I482" s="26" t="n">
        <f aca="false">IF(INDEX(Pengaturan!$B$8:$B$27,I$4)="",0,COUNTIF(Data!$B482:$U482,INDEX(Pengaturan!$B$8:$B$27,I$4)))</f>
        <v>0</v>
      </c>
      <c r="J482" s="26" t="n">
        <f aca="false">IF(INDEX(Pengaturan!$B$8:$B$27,J$4)="",0,COUNTIF(Data!$B482:$U482,INDEX(Pengaturan!$B$8:$B$27,J$4)))</f>
        <v>0</v>
      </c>
      <c r="K482" s="26" t="n">
        <f aca="false">IF(INDEX(Pengaturan!$B$8:$B$27,K$4)="",0,COUNTIF(Data!$B482:$U482,INDEX(Pengaturan!$B$8:$B$27,K$4)))</f>
        <v>0</v>
      </c>
      <c r="L482" s="26" t="n">
        <f aca="false">IF(INDEX(Pengaturan!$B$8:$B$27,L$4)="",0,COUNTIF(Data!$B482:$U482,INDEX(Pengaturan!$B$8:$B$27,L$4)))</f>
        <v>0</v>
      </c>
      <c r="M482" s="26" t="n">
        <f aca="false">IF(INDEX(Pengaturan!$B$8:$B$27,M$4)="",0,COUNTIF(Data!$B482:$U482,INDEX(Pengaturan!$B$8:$B$27,M$4)))</f>
        <v>0</v>
      </c>
      <c r="N482" s="26" t="n">
        <f aca="false">IF(INDEX(Pengaturan!$B$8:$B$27,N$4)="",0,COUNTIF(Data!$B482:$U482,INDEX(Pengaturan!$B$8:$B$27,N$4)))</f>
        <v>0</v>
      </c>
      <c r="O482" s="26" t="n">
        <f aca="false">IF(INDEX(Pengaturan!$B$8:$B$27,O$4)="",0,COUNTIF(Data!$B482:$U482,INDEX(Pengaturan!$B$8:$B$27,O$4)))</f>
        <v>0</v>
      </c>
      <c r="P482" s="26" t="n">
        <f aca="false">IF(INDEX(Pengaturan!$B$8:$B$27,P$4)="",0,COUNTIF(Data!$B482:$U482,INDEX(Pengaturan!$B$8:$B$27,P$4)))</f>
        <v>0</v>
      </c>
      <c r="Q482" s="26" t="n">
        <f aca="false">IF(INDEX(Pengaturan!$B$8:$B$27,Q$4)="",0,COUNTIF(Data!$B482:$U482,INDEX(Pengaturan!$B$8:$B$27,Q$4)))</f>
        <v>0</v>
      </c>
      <c r="R482" s="26" t="n">
        <f aca="false">IF(INDEX(Pengaturan!$B$8:$B$27,R$4)="",0,COUNTIF(Data!$B482:$U482,INDEX(Pengaturan!$B$8:$B$27,R$4)))</f>
        <v>0</v>
      </c>
      <c r="S482" s="26" t="n">
        <f aca="false">IF(INDEX(Pengaturan!$B$8:$B$27,S$4)="",0,COUNTIF(Data!$B482:$U482,INDEX(Pengaturan!$B$8:$B$27,S$4)))</f>
        <v>0</v>
      </c>
      <c r="T482" s="26" t="n">
        <f aca="false">IF(INDEX(Pengaturan!$B$8:$B$27,T$4)="",0,COUNTIF(Data!$B482:$U482,INDEX(Pengaturan!$B$8:$B$27,T$4)))</f>
        <v>0</v>
      </c>
      <c r="U482" s="26" t="n">
        <f aca="false">IF(INDEX(Pengaturan!$B$8:$B$27,U$4)="",0,COUNTIF(Data!$B482:$U482,INDEX(Pengaturan!$B$8:$B$27,U$4)))</f>
        <v>0</v>
      </c>
      <c r="V482" s="26" t="n">
        <f aca="false">COUNTA(Data!$B482:$U482)</f>
        <v>0</v>
      </c>
      <c r="W482" s="27" t="str">
        <f aca="false">IF(V482=0,"",IF(V482&lt;&gt;Hasil!$C$4,"Data kosong/tidak lengkap",IF(SUM(B482:U482)&lt;&gt;V482,"Kategori tidak dikenal","OK")))</f>
        <v/>
      </c>
      <c r="X482" s="26" t="n">
        <f aca="false">IF(OR(W482="",W482="OK"),0,1)</f>
        <v>0</v>
      </c>
    </row>
    <row r="483" customFormat="false" ht="15" hidden="false" customHeight="false" outlineLevel="0" collapsed="false">
      <c r="A483" s="26" t="n">
        <f aca="false">Data!A483</f>
        <v>478</v>
      </c>
      <c r="B483" s="26" t="n">
        <f aca="false">IF(INDEX(Pengaturan!$B$8:$B$27,B$4)="",0,COUNTIF(Data!$B483:$U483,INDEX(Pengaturan!$B$8:$B$27,B$4)))</f>
        <v>0</v>
      </c>
      <c r="C483" s="26" t="n">
        <f aca="false">IF(INDEX(Pengaturan!$B$8:$B$27,C$4)="",0,COUNTIF(Data!$B483:$U483,INDEX(Pengaturan!$B$8:$B$27,C$4)))</f>
        <v>0</v>
      </c>
      <c r="D483" s="26" t="n">
        <f aca="false">IF(INDEX(Pengaturan!$B$8:$B$27,D$4)="",0,COUNTIF(Data!$B483:$U483,INDEX(Pengaturan!$B$8:$B$27,D$4)))</f>
        <v>0</v>
      </c>
      <c r="E483" s="26" t="n">
        <f aca="false">IF(INDEX(Pengaturan!$B$8:$B$27,E$4)="",0,COUNTIF(Data!$B483:$U483,INDEX(Pengaturan!$B$8:$B$27,E$4)))</f>
        <v>0</v>
      </c>
      <c r="F483" s="26" t="n">
        <f aca="false">IF(INDEX(Pengaturan!$B$8:$B$27,F$4)="",0,COUNTIF(Data!$B483:$U483,INDEX(Pengaturan!$B$8:$B$27,F$4)))</f>
        <v>0</v>
      </c>
      <c r="G483" s="26" t="n">
        <f aca="false">IF(INDEX(Pengaturan!$B$8:$B$27,G$4)="",0,COUNTIF(Data!$B483:$U483,INDEX(Pengaturan!$B$8:$B$27,G$4)))</f>
        <v>0</v>
      </c>
      <c r="H483" s="26" t="n">
        <f aca="false">IF(INDEX(Pengaturan!$B$8:$B$27,H$4)="",0,COUNTIF(Data!$B483:$U483,INDEX(Pengaturan!$B$8:$B$27,H$4)))</f>
        <v>0</v>
      </c>
      <c r="I483" s="26" t="n">
        <f aca="false">IF(INDEX(Pengaturan!$B$8:$B$27,I$4)="",0,COUNTIF(Data!$B483:$U483,INDEX(Pengaturan!$B$8:$B$27,I$4)))</f>
        <v>0</v>
      </c>
      <c r="J483" s="26" t="n">
        <f aca="false">IF(INDEX(Pengaturan!$B$8:$B$27,J$4)="",0,COUNTIF(Data!$B483:$U483,INDEX(Pengaturan!$B$8:$B$27,J$4)))</f>
        <v>0</v>
      </c>
      <c r="K483" s="26" t="n">
        <f aca="false">IF(INDEX(Pengaturan!$B$8:$B$27,K$4)="",0,COUNTIF(Data!$B483:$U483,INDEX(Pengaturan!$B$8:$B$27,K$4)))</f>
        <v>0</v>
      </c>
      <c r="L483" s="26" t="n">
        <f aca="false">IF(INDEX(Pengaturan!$B$8:$B$27,L$4)="",0,COUNTIF(Data!$B483:$U483,INDEX(Pengaturan!$B$8:$B$27,L$4)))</f>
        <v>0</v>
      </c>
      <c r="M483" s="26" t="n">
        <f aca="false">IF(INDEX(Pengaturan!$B$8:$B$27,M$4)="",0,COUNTIF(Data!$B483:$U483,INDEX(Pengaturan!$B$8:$B$27,M$4)))</f>
        <v>0</v>
      </c>
      <c r="N483" s="26" t="n">
        <f aca="false">IF(INDEX(Pengaturan!$B$8:$B$27,N$4)="",0,COUNTIF(Data!$B483:$U483,INDEX(Pengaturan!$B$8:$B$27,N$4)))</f>
        <v>0</v>
      </c>
      <c r="O483" s="26" t="n">
        <f aca="false">IF(INDEX(Pengaturan!$B$8:$B$27,O$4)="",0,COUNTIF(Data!$B483:$U483,INDEX(Pengaturan!$B$8:$B$27,O$4)))</f>
        <v>0</v>
      </c>
      <c r="P483" s="26" t="n">
        <f aca="false">IF(INDEX(Pengaturan!$B$8:$B$27,P$4)="",0,COUNTIF(Data!$B483:$U483,INDEX(Pengaturan!$B$8:$B$27,P$4)))</f>
        <v>0</v>
      </c>
      <c r="Q483" s="26" t="n">
        <f aca="false">IF(INDEX(Pengaturan!$B$8:$B$27,Q$4)="",0,COUNTIF(Data!$B483:$U483,INDEX(Pengaturan!$B$8:$B$27,Q$4)))</f>
        <v>0</v>
      </c>
      <c r="R483" s="26" t="n">
        <f aca="false">IF(INDEX(Pengaturan!$B$8:$B$27,R$4)="",0,COUNTIF(Data!$B483:$U483,INDEX(Pengaturan!$B$8:$B$27,R$4)))</f>
        <v>0</v>
      </c>
      <c r="S483" s="26" t="n">
        <f aca="false">IF(INDEX(Pengaturan!$B$8:$B$27,S$4)="",0,COUNTIF(Data!$B483:$U483,INDEX(Pengaturan!$B$8:$B$27,S$4)))</f>
        <v>0</v>
      </c>
      <c r="T483" s="26" t="n">
        <f aca="false">IF(INDEX(Pengaturan!$B$8:$B$27,T$4)="",0,COUNTIF(Data!$B483:$U483,INDEX(Pengaturan!$B$8:$B$27,T$4)))</f>
        <v>0</v>
      </c>
      <c r="U483" s="26" t="n">
        <f aca="false">IF(INDEX(Pengaturan!$B$8:$B$27,U$4)="",0,COUNTIF(Data!$B483:$U483,INDEX(Pengaturan!$B$8:$B$27,U$4)))</f>
        <v>0</v>
      </c>
      <c r="V483" s="26" t="n">
        <f aca="false">COUNTA(Data!$B483:$U483)</f>
        <v>0</v>
      </c>
      <c r="W483" s="27" t="str">
        <f aca="false">IF(V483=0,"",IF(V483&lt;&gt;Hasil!$C$4,"Data kosong/tidak lengkap",IF(SUM(B483:U483)&lt;&gt;V483,"Kategori tidak dikenal","OK")))</f>
        <v/>
      </c>
      <c r="X483" s="26" t="n">
        <f aca="false">IF(OR(W483="",W483="OK"),0,1)</f>
        <v>0</v>
      </c>
    </row>
    <row r="484" customFormat="false" ht="15" hidden="false" customHeight="false" outlineLevel="0" collapsed="false">
      <c r="A484" s="26" t="n">
        <f aca="false">Data!A484</f>
        <v>479</v>
      </c>
      <c r="B484" s="26" t="n">
        <f aca="false">IF(INDEX(Pengaturan!$B$8:$B$27,B$4)="",0,COUNTIF(Data!$B484:$U484,INDEX(Pengaturan!$B$8:$B$27,B$4)))</f>
        <v>0</v>
      </c>
      <c r="C484" s="26" t="n">
        <f aca="false">IF(INDEX(Pengaturan!$B$8:$B$27,C$4)="",0,COUNTIF(Data!$B484:$U484,INDEX(Pengaturan!$B$8:$B$27,C$4)))</f>
        <v>0</v>
      </c>
      <c r="D484" s="26" t="n">
        <f aca="false">IF(INDEX(Pengaturan!$B$8:$B$27,D$4)="",0,COUNTIF(Data!$B484:$U484,INDEX(Pengaturan!$B$8:$B$27,D$4)))</f>
        <v>0</v>
      </c>
      <c r="E484" s="26" t="n">
        <f aca="false">IF(INDEX(Pengaturan!$B$8:$B$27,E$4)="",0,COUNTIF(Data!$B484:$U484,INDEX(Pengaturan!$B$8:$B$27,E$4)))</f>
        <v>0</v>
      </c>
      <c r="F484" s="26" t="n">
        <f aca="false">IF(INDEX(Pengaturan!$B$8:$B$27,F$4)="",0,COUNTIF(Data!$B484:$U484,INDEX(Pengaturan!$B$8:$B$27,F$4)))</f>
        <v>0</v>
      </c>
      <c r="G484" s="26" t="n">
        <f aca="false">IF(INDEX(Pengaturan!$B$8:$B$27,G$4)="",0,COUNTIF(Data!$B484:$U484,INDEX(Pengaturan!$B$8:$B$27,G$4)))</f>
        <v>0</v>
      </c>
      <c r="H484" s="26" t="n">
        <f aca="false">IF(INDEX(Pengaturan!$B$8:$B$27,H$4)="",0,COUNTIF(Data!$B484:$U484,INDEX(Pengaturan!$B$8:$B$27,H$4)))</f>
        <v>0</v>
      </c>
      <c r="I484" s="26" t="n">
        <f aca="false">IF(INDEX(Pengaturan!$B$8:$B$27,I$4)="",0,COUNTIF(Data!$B484:$U484,INDEX(Pengaturan!$B$8:$B$27,I$4)))</f>
        <v>0</v>
      </c>
      <c r="J484" s="26" t="n">
        <f aca="false">IF(INDEX(Pengaturan!$B$8:$B$27,J$4)="",0,COUNTIF(Data!$B484:$U484,INDEX(Pengaturan!$B$8:$B$27,J$4)))</f>
        <v>0</v>
      </c>
      <c r="K484" s="26" t="n">
        <f aca="false">IF(INDEX(Pengaturan!$B$8:$B$27,K$4)="",0,COUNTIF(Data!$B484:$U484,INDEX(Pengaturan!$B$8:$B$27,K$4)))</f>
        <v>0</v>
      </c>
      <c r="L484" s="26" t="n">
        <f aca="false">IF(INDEX(Pengaturan!$B$8:$B$27,L$4)="",0,COUNTIF(Data!$B484:$U484,INDEX(Pengaturan!$B$8:$B$27,L$4)))</f>
        <v>0</v>
      </c>
      <c r="M484" s="26" t="n">
        <f aca="false">IF(INDEX(Pengaturan!$B$8:$B$27,M$4)="",0,COUNTIF(Data!$B484:$U484,INDEX(Pengaturan!$B$8:$B$27,M$4)))</f>
        <v>0</v>
      </c>
      <c r="N484" s="26" t="n">
        <f aca="false">IF(INDEX(Pengaturan!$B$8:$B$27,N$4)="",0,COUNTIF(Data!$B484:$U484,INDEX(Pengaturan!$B$8:$B$27,N$4)))</f>
        <v>0</v>
      </c>
      <c r="O484" s="26" t="n">
        <f aca="false">IF(INDEX(Pengaturan!$B$8:$B$27,O$4)="",0,COUNTIF(Data!$B484:$U484,INDEX(Pengaturan!$B$8:$B$27,O$4)))</f>
        <v>0</v>
      </c>
      <c r="P484" s="26" t="n">
        <f aca="false">IF(INDEX(Pengaturan!$B$8:$B$27,P$4)="",0,COUNTIF(Data!$B484:$U484,INDEX(Pengaturan!$B$8:$B$27,P$4)))</f>
        <v>0</v>
      </c>
      <c r="Q484" s="26" t="n">
        <f aca="false">IF(INDEX(Pengaturan!$B$8:$B$27,Q$4)="",0,COUNTIF(Data!$B484:$U484,INDEX(Pengaturan!$B$8:$B$27,Q$4)))</f>
        <v>0</v>
      </c>
      <c r="R484" s="26" t="n">
        <f aca="false">IF(INDEX(Pengaturan!$B$8:$B$27,R$4)="",0,COUNTIF(Data!$B484:$U484,INDEX(Pengaturan!$B$8:$B$27,R$4)))</f>
        <v>0</v>
      </c>
      <c r="S484" s="26" t="n">
        <f aca="false">IF(INDEX(Pengaturan!$B$8:$B$27,S$4)="",0,COUNTIF(Data!$B484:$U484,INDEX(Pengaturan!$B$8:$B$27,S$4)))</f>
        <v>0</v>
      </c>
      <c r="T484" s="26" t="n">
        <f aca="false">IF(INDEX(Pengaturan!$B$8:$B$27,T$4)="",0,COUNTIF(Data!$B484:$U484,INDEX(Pengaturan!$B$8:$B$27,T$4)))</f>
        <v>0</v>
      </c>
      <c r="U484" s="26" t="n">
        <f aca="false">IF(INDEX(Pengaturan!$B$8:$B$27,U$4)="",0,COUNTIF(Data!$B484:$U484,INDEX(Pengaturan!$B$8:$B$27,U$4)))</f>
        <v>0</v>
      </c>
      <c r="V484" s="26" t="n">
        <f aca="false">COUNTA(Data!$B484:$U484)</f>
        <v>0</v>
      </c>
      <c r="W484" s="27" t="str">
        <f aca="false">IF(V484=0,"",IF(V484&lt;&gt;Hasil!$C$4,"Data kosong/tidak lengkap",IF(SUM(B484:U484)&lt;&gt;V484,"Kategori tidak dikenal","OK")))</f>
        <v/>
      </c>
      <c r="X484" s="26" t="n">
        <f aca="false">IF(OR(W484="",W484="OK"),0,1)</f>
        <v>0</v>
      </c>
    </row>
    <row r="485" customFormat="false" ht="15" hidden="false" customHeight="false" outlineLevel="0" collapsed="false">
      <c r="A485" s="26" t="n">
        <f aca="false">Data!A485</f>
        <v>480</v>
      </c>
      <c r="B485" s="26" t="n">
        <f aca="false">IF(INDEX(Pengaturan!$B$8:$B$27,B$4)="",0,COUNTIF(Data!$B485:$U485,INDEX(Pengaturan!$B$8:$B$27,B$4)))</f>
        <v>0</v>
      </c>
      <c r="C485" s="26" t="n">
        <f aca="false">IF(INDEX(Pengaturan!$B$8:$B$27,C$4)="",0,COUNTIF(Data!$B485:$U485,INDEX(Pengaturan!$B$8:$B$27,C$4)))</f>
        <v>0</v>
      </c>
      <c r="D485" s="26" t="n">
        <f aca="false">IF(INDEX(Pengaturan!$B$8:$B$27,D$4)="",0,COUNTIF(Data!$B485:$U485,INDEX(Pengaturan!$B$8:$B$27,D$4)))</f>
        <v>0</v>
      </c>
      <c r="E485" s="26" t="n">
        <f aca="false">IF(INDEX(Pengaturan!$B$8:$B$27,E$4)="",0,COUNTIF(Data!$B485:$U485,INDEX(Pengaturan!$B$8:$B$27,E$4)))</f>
        <v>0</v>
      </c>
      <c r="F485" s="26" t="n">
        <f aca="false">IF(INDEX(Pengaturan!$B$8:$B$27,F$4)="",0,COUNTIF(Data!$B485:$U485,INDEX(Pengaturan!$B$8:$B$27,F$4)))</f>
        <v>0</v>
      </c>
      <c r="G485" s="26" t="n">
        <f aca="false">IF(INDEX(Pengaturan!$B$8:$B$27,G$4)="",0,COUNTIF(Data!$B485:$U485,INDEX(Pengaturan!$B$8:$B$27,G$4)))</f>
        <v>0</v>
      </c>
      <c r="H485" s="26" t="n">
        <f aca="false">IF(INDEX(Pengaturan!$B$8:$B$27,H$4)="",0,COUNTIF(Data!$B485:$U485,INDEX(Pengaturan!$B$8:$B$27,H$4)))</f>
        <v>0</v>
      </c>
      <c r="I485" s="26" t="n">
        <f aca="false">IF(INDEX(Pengaturan!$B$8:$B$27,I$4)="",0,COUNTIF(Data!$B485:$U485,INDEX(Pengaturan!$B$8:$B$27,I$4)))</f>
        <v>0</v>
      </c>
      <c r="J485" s="26" t="n">
        <f aca="false">IF(INDEX(Pengaturan!$B$8:$B$27,J$4)="",0,COUNTIF(Data!$B485:$U485,INDEX(Pengaturan!$B$8:$B$27,J$4)))</f>
        <v>0</v>
      </c>
      <c r="K485" s="26" t="n">
        <f aca="false">IF(INDEX(Pengaturan!$B$8:$B$27,K$4)="",0,COUNTIF(Data!$B485:$U485,INDEX(Pengaturan!$B$8:$B$27,K$4)))</f>
        <v>0</v>
      </c>
      <c r="L485" s="26" t="n">
        <f aca="false">IF(INDEX(Pengaturan!$B$8:$B$27,L$4)="",0,COUNTIF(Data!$B485:$U485,INDEX(Pengaturan!$B$8:$B$27,L$4)))</f>
        <v>0</v>
      </c>
      <c r="M485" s="26" t="n">
        <f aca="false">IF(INDEX(Pengaturan!$B$8:$B$27,M$4)="",0,COUNTIF(Data!$B485:$U485,INDEX(Pengaturan!$B$8:$B$27,M$4)))</f>
        <v>0</v>
      </c>
      <c r="N485" s="26" t="n">
        <f aca="false">IF(INDEX(Pengaturan!$B$8:$B$27,N$4)="",0,COUNTIF(Data!$B485:$U485,INDEX(Pengaturan!$B$8:$B$27,N$4)))</f>
        <v>0</v>
      </c>
      <c r="O485" s="26" t="n">
        <f aca="false">IF(INDEX(Pengaturan!$B$8:$B$27,O$4)="",0,COUNTIF(Data!$B485:$U485,INDEX(Pengaturan!$B$8:$B$27,O$4)))</f>
        <v>0</v>
      </c>
      <c r="P485" s="26" t="n">
        <f aca="false">IF(INDEX(Pengaturan!$B$8:$B$27,P$4)="",0,COUNTIF(Data!$B485:$U485,INDEX(Pengaturan!$B$8:$B$27,P$4)))</f>
        <v>0</v>
      </c>
      <c r="Q485" s="26" t="n">
        <f aca="false">IF(INDEX(Pengaturan!$B$8:$B$27,Q$4)="",0,COUNTIF(Data!$B485:$U485,INDEX(Pengaturan!$B$8:$B$27,Q$4)))</f>
        <v>0</v>
      </c>
      <c r="R485" s="26" t="n">
        <f aca="false">IF(INDEX(Pengaturan!$B$8:$B$27,R$4)="",0,COUNTIF(Data!$B485:$U485,INDEX(Pengaturan!$B$8:$B$27,R$4)))</f>
        <v>0</v>
      </c>
      <c r="S485" s="26" t="n">
        <f aca="false">IF(INDEX(Pengaturan!$B$8:$B$27,S$4)="",0,COUNTIF(Data!$B485:$U485,INDEX(Pengaturan!$B$8:$B$27,S$4)))</f>
        <v>0</v>
      </c>
      <c r="T485" s="26" t="n">
        <f aca="false">IF(INDEX(Pengaturan!$B$8:$B$27,T$4)="",0,COUNTIF(Data!$B485:$U485,INDEX(Pengaturan!$B$8:$B$27,T$4)))</f>
        <v>0</v>
      </c>
      <c r="U485" s="26" t="n">
        <f aca="false">IF(INDEX(Pengaturan!$B$8:$B$27,U$4)="",0,COUNTIF(Data!$B485:$U485,INDEX(Pengaturan!$B$8:$B$27,U$4)))</f>
        <v>0</v>
      </c>
      <c r="V485" s="26" t="n">
        <f aca="false">COUNTA(Data!$B485:$U485)</f>
        <v>0</v>
      </c>
      <c r="W485" s="27" t="str">
        <f aca="false">IF(V485=0,"",IF(V485&lt;&gt;Hasil!$C$4,"Data kosong/tidak lengkap",IF(SUM(B485:U485)&lt;&gt;V485,"Kategori tidak dikenal","OK")))</f>
        <v/>
      </c>
      <c r="X485" s="26" t="n">
        <f aca="false">IF(OR(W485="",W485="OK"),0,1)</f>
        <v>0</v>
      </c>
    </row>
    <row r="486" customFormat="false" ht="15" hidden="false" customHeight="false" outlineLevel="0" collapsed="false">
      <c r="A486" s="26" t="n">
        <f aca="false">Data!A486</f>
        <v>481</v>
      </c>
      <c r="B486" s="26" t="n">
        <f aca="false">IF(INDEX(Pengaturan!$B$8:$B$27,B$4)="",0,COUNTIF(Data!$B486:$U486,INDEX(Pengaturan!$B$8:$B$27,B$4)))</f>
        <v>0</v>
      </c>
      <c r="C486" s="26" t="n">
        <f aca="false">IF(INDEX(Pengaturan!$B$8:$B$27,C$4)="",0,COUNTIF(Data!$B486:$U486,INDEX(Pengaturan!$B$8:$B$27,C$4)))</f>
        <v>0</v>
      </c>
      <c r="D486" s="26" t="n">
        <f aca="false">IF(INDEX(Pengaturan!$B$8:$B$27,D$4)="",0,COUNTIF(Data!$B486:$U486,INDEX(Pengaturan!$B$8:$B$27,D$4)))</f>
        <v>0</v>
      </c>
      <c r="E486" s="26" t="n">
        <f aca="false">IF(INDEX(Pengaturan!$B$8:$B$27,E$4)="",0,COUNTIF(Data!$B486:$U486,INDEX(Pengaturan!$B$8:$B$27,E$4)))</f>
        <v>0</v>
      </c>
      <c r="F486" s="26" t="n">
        <f aca="false">IF(INDEX(Pengaturan!$B$8:$B$27,F$4)="",0,COUNTIF(Data!$B486:$U486,INDEX(Pengaturan!$B$8:$B$27,F$4)))</f>
        <v>0</v>
      </c>
      <c r="G486" s="26" t="n">
        <f aca="false">IF(INDEX(Pengaturan!$B$8:$B$27,G$4)="",0,COUNTIF(Data!$B486:$U486,INDEX(Pengaturan!$B$8:$B$27,G$4)))</f>
        <v>0</v>
      </c>
      <c r="H486" s="26" t="n">
        <f aca="false">IF(INDEX(Pengaturan!$B$8:$B$27,H$4)="",0,COUNTIF(Data!$B486:$U486,INDEX(Pengaturan!$B$8:$B$27,H$4)))</f>
        <v>0</v>
      </c>
      <c r="I486" s="26" t="n">
        <f aca="false">IF(INDEX(Pengaturan!$B$8:$B$27,I$4)="",0,COUNTIF(Data!$B486:$U486,INDEX(Pengaturan!$B$8:$B$27,I$4)))</f>
        <v>0</v>
      </c>
      <c r="J486" s="26" t="n">
        <f aca="false">IF(INDEX(Pengaturan!$B$8:$B$27,J$4)="",0,COUNTIF(Data!$B486:$U486,INDEX(Pengaturan!$B$8:$B$27,J$4)))</f>
        <v>0</v>
      </c>
      <c r="K486" s="26" t="n">
        <f aca="false">IF(INDEX(Pengaturan!$B$8:$B$27,K$4)="",0,COUNTIF(Data!$B486:$U486,INDEX(Pengaturan!$B$8:$B$27,K$4)))</f>
        <v>0</v>
      </c>
      <c r="L486" s="26" t="n">
        <f aca="false">IF(INDEX(Pengaturan!$B$8:$B$27,L$4)="",0,COUNTIF(Data!$B486:$U486,INDEX(Pengaturan!$B$8:$B$27,L$4)))</f>
        <v>0</v>
      </c>
      <c r="M486" s="26" t="n">
        <f aca="false">IF(INDEX(Pengaturan!$B$8:$B$27,M$4)="",0,COUNTIF(Data!$B486:$U486,INDEX(Pengaturan!$B$8:$B$27,M$4)))</f>
        <v>0</v>
      </c>
      <c r="N486" s="26" t="n">
        <f aca="false">IF(INDEX(Pengaturan!$B$8:$B$27,N$4)="",0,COUNTIF(Data!$B486:$U486,INDEX(Pengaturan!$B$8:$B$27,N$4)))</f>
        <v>0</v>
      </c>
      <c r="O486" s="26" t="n">
        <f aca="false">IF(INDEX(Pengaturan!$B$8:$B$27,O$4)="",0,COUNTIF(Data!$B486:$U486,INDEX(Pengaturan!$B$8:$B$27,O$4)))</f>
        <v>0</v>
      </c>
      <c r="P486" s="26" t="n">
        <f aca="false">IF(INDEX(Pengaturan!$B$8:$B$27,P$4)="",0,COUNTIF(Data!$B486:$U486,INDEX(Pengaturan!$B$8:$B$27,P$4)))</f>
        <v>0</v>
      </c>
      <c r="Q486" s="26" t="n">
        <f aca="false">IF(INDEX(Pengaturan!$B$8:$B$27,Q$4)="",0,COUNTIF(Data!$B486:$U486,INDEX(Pengaturan!$B$8:$B$27,Q$4)))</f>
        <v>0</v>
      </c>
      <c r="R486" s="26" t="n">
        <f aca="false">IF(INDEX(Pengaturan!$B$8:$B$27,R$4)="",0,COUNTIF(Data!$B486:$U486,INDEX(Pengaturan!$B$8:$B$27,R$4)))</f>
        <v>0</v>
      </c>
      <c r="S486" s="26" t="n">
        <f aca="false">IF(INDEX(Pengaturan!$B$8:$B$27,S$4)="",0,COUNTIF(Data!$B486:$U486,INDEX(Pengaturan!$B$8:$B$27,S$4)))</f>
        <v>0</v>
      </c>
      <c r="T486" s="26" t="n">
        <f aca="false">IF(INDEX(Pengaturan!$B$8:$B$27,T$4)="",0,COUNTIF(Data!$B486:$U486,INDEX(Pengaturan!$B$8:$B$27,T$4)))</f>
        <v>0</v>
      </c>
      <c r="U486" s="26" t="n">
        <f aca="false">IF(INDEX(Pengaturan!$B$8:$B$27,U$4)="",0,COUNTIF(Data!$B486:$U486,INDEX(Pengaturan!$B$8:$B$27,U$4)))</f>
        <v>0</v>
      </c>
      <c r="V486" s="26" t="n">
        <f aca="false">COUNTA(Data!$B486:$U486)</f>
        <v>0</v>
      </c>
      <c r="W486" s="27" t="str">
        <f aca="false">IF(V486=0,"",IF(V486&lt;&gt;Hasil!$C$4,"Data kosong/tidak lengkap",IF(SUM(B486:U486)&lt;&gt;V486,"Kategori tidak dikenal","OK")))</f>
        <v/>
      </c>
      <c r="X486" s="26" t="n">
        <f aca="false">IF(OR(W486="",W486="OK"),0,1)</f>
        <v>0</v>
      </c>
    </row>
    <row r="487" customFormat="false" ht="15" hidden="false" customHeight="false" outlineLevel="0" collapsed="false">
      <c r="A487" s="26" t="n">
        <f aca="false">Data!A487</f>
        <v>482</v>
      </c>
      <c r="B487" s="26" t="n">
        <f aca="false">IF(INDEX(Pengaturan!$B$8:$B$27,B$4)="",0,COUNTIF(Data!$B487:$U487,INDEX(Pengaturan!$B$8:$B$27,B$4)))</f>
        <v>0</v>
      </c>
      <c r="C487" s="26" t="n">
        <f aca="false">IF(INDEX(Pengaturan!$B$8:$B$27,C$4)="",0,COUNTIF(Data!$B487:$U487,INDEX(Pengaturan!$B$8:$B$27,C$4)))</f>
        <v>0</v>
      </c>
      <c r="D487" s="26" t="n">
        <f aca="false">IF(INDEX(Pengaturan!$B$8:$B$27,D$4)="",0,COUNTIF(Data!$B487:$U487,INDEX(Pengaturan!$B$8:$B$27,D$4)))</f>
        <v>0</v>
      </c>
      <c r="E487" s="26" t="n">
        <f aca="false">IF(INDEX(Pengaturan!$B$8:$B$27,E$4)="",0,COUNTIF(Data!$B487:$U487,INDEX(Pengaturan!$B$8:$B$27,E$4)))</f>
        <v>0</v>
      </c>
      <c r="F487" s="26" t="n">
        <f aca="false">IF(INDEX(Pengaturan!$B$8:$B$27,F$4)="",0,COUNTIF(Data!$B487:$U487,INDEX(Pengaturan!$B$8:$B$27,F$4)))</f>
        <v>0</v>
      </c>
      <c r="G487" s="26" t="n">
        <f aca="false">IF(INDEX(Pengaturan!$B$8:$B$27,G$4)="",0,COUNTIF(Data!$B487:$U487,INDEX(Pengaturan!$B$8:$B$27,G$4)))</f>
        <v>0</v>
      </c>
      <c r="H487" s="26" t="n">
        <f aca="false">IF(INDEX(Pengaturan!$B$8:$B$27,H$4)="",0,COUNTIF(Data!$B487:$U487,INDEX(Pengaturan!$B$8:$B$27,H$4)))</f>
        <v>0</v>
      </c>
      <c r="I487" s="26" t="n">
        <f aca="false">IF(INDEX(Pengaturan!$B$8:$B$27,I$4)="",0,COUNTIF(Data!$B487:$U487,INDEX(Pengaturan!$B$8:$B$27,I$4)))</f>
        <v>0</v>
      </c>
      <c r="J487" s="26" t="n">
        <f aca="false">IF(INDEX(Pengaturan!$B$8:$B$27,J$4)="",0,COUNTIF(Data!$B487:$U487,INDEX(Pengaturan!$B$8:$B$27,J$4)))</f>
        <v>0</v>
      </c>
      <c r="K487" s="26" t="n">
        <f aca="false">IF(INDEX(Pengaturan!$B$8:$B$27,K$4)="",0,COUNTIF(Data!$B487:$U487,INDEX(Pengaturan!$B$8:$B$27,K$4)))</f>
        <v>0</v>
      </c>
      <c r="L487" s="26" t="n">
        <f aca="false">IF(INDEX(Pengaturan!$B$8:$B$27,L$4)="",0,COUNTIF(Data!$B487:$U487,INDEX(Pengaturan!$B$8:$B$27,L$4)))</f>
        <v>0</v>
      </c>
      <c r="M487" s="26" t="n">
        <f aca="false">IF(INDEX(Pengaturan!$B$8:$B$27,M$4)="",0,COUNTIF(Data!$B487:$U487,INDEX(Pengaturan!$B$8:$B$27,M$4)))</f>
        <v>0</v>
      </c>
      <c r="N487" s="26" t="n">
        <f aca="false">IF(INDEX(Pengaturan!$B$8:$B$27,N$4)="",0,COUNTIF(Data!$B487:$U487,INDEX(Pengaturan!$B$8:$B$27,N$4)))</f>
        <v>0</v>
      </c>
      <c r="O487" s="26" t="n">
        <f aca="false">IF(INDEX(Pengaturan!$B$8:$B$27,O$4)="",0,COUNTIF(Data!$B487:$U487,INDEX(Pengaturan!$B$8:$B$27,O$4)))</f>
        <v>0</v>
      </c>
      <c r="P487" s="26" t="n">
        <f aca="false">IF(INDEX(Pengaturan!$B$8:$B$27,P$4)="",0,COUNTIF(Data!$B487:$U487,INDEX(Pengaturan!$B$8:$B$27,P$4)))</f>
        <v>0</v>
      </c>
      <c r="Q487" s="26" t="n">
        <f aca="false">IF(INDEX(Pengaturan!$B$8:$B$27,Q$4)="",0,COUNTIF(Data!$B487:$U487,INDEX(Pengaturan!$B$8:$B$27,Q$4)))</f>
        <v>0</v>
      </c>
      <c r="R487" s="26" t="n">
        <f aca="false">IF(INDEX(Pengaturan!$B$8:$B$27,R$4)="",0,COUNTIF(Data!$B487:$U487,INDEX(Pengaturan!$B$8:$B$27,R$4)))</f>
        <v>0</v>
      </c>
      <c r="S487" s="26" t="n">
        <f aca="false">IF(INDEX(Pengaturan!$B$8:$B$27,S$4)="",0,COUNTIF(Data!$B487:$U487,INDEX(Pengaturan!$B$8:$B$27,S$4)))</f>
        <v>0</v>
      </c>
      <c r="T487" s="26" t="n">
        <f aca="false">IF(INDEX(Pengaturan!$B$8:$B$27,T$4)="",0,COUNTIF(Data!$B487:$U487,INDEX(Pengaturan!$B$8:$B$27,T$4)))</f>
        <v>0</v>
      </c>
      <c r="U487" s="26" t="n">
        <f aca="false">IF(INDEX(Pengaturan!$B$8:$B$27,U$4)="",0,COUNTIF(Data!$B487:$U487,INDEX(Pengaturan!$B$8:$B$27,U$4)))</f>
        <v>0</v>
      </c>
      <c r="V487" s="26" t="n">
        <f aca="false">COUNTA(Data!$B487:$U487)</f>
        <v>0</v>
      </c>
      <c r="W487" s="27" t="str">
        <f aca="false">IF(V487=0,"",IF(V487&lt;&gt;Hasil!$C$4,"Data kosong/tidak lengkap",IF(SUM(B487:U487)&lt;&gt;V487,"Kategori tidak dikenal","OK")))</f>
        <v/>
      </c>
      <c r="X487" s="26" t="n">
        <f aca="false">IF(OR(W487="",W487="OK"),0,1)</f>
        <v>0</v>
      </c>
    </row>
    <row r="488" customFormat="false" ht="15" hidden="false" customHeight="false" outlineLevel="0" collapsed="false">
      <c r="A488" s="26" t="n">
        <f aca="false">Data!A488</f>
        <v>483</v>
      </c>
      <c r="B488" s="26" t="n">
        <f aca="false">IF(INDEX(Pengaturan!$B$8:$B$27,B$4)="",0,COUNTIF(Data!$B488:$U488,INDEX(Pengaturan!$B$8:$B$27,B$4)))</f>
        <v>0</v>
      </c>
      <c r="C488" s="26" t="n">
        <f aca="false">IF(INDEX(Pengaturan!$B$8:$B$27,C$4)="",0,COUNTIF(Data!$B488:$U488,INDEX(Pengaturan!$B$8:$B$27,C$4)))</f>
        <v>0</v>
      </c>
      <c r="D488" s="26" t="n">
        <f aca="false">IF(INDEX(Pengaturan!$B$8:$B$27,D$4)="",0,COUNTIF(Data!$B488:$U488,INDEX(Pengaturan!$B$8:$B$27,D$4)))</f>
        <v>0</v>
      </c>
      <c r="E488" s="26" t="n">
        <f aca="false">IF(INDEX(Pengaturan!$B$8:$B$27,E$4)="",0,COUNTIF(Data!$B488:$U488,INDEX(Pengaturan!$B$8:$B$27,E$4)))</f>
        <v>0</v>
      </c>
      <c r="F488" s="26" t="n">
        <f aca="false">IF(INDEX(Pengaturan!$B$8:$B$27,F$4)="",0,COUNTIF(Data!$B488:$U488,INDEX(Pengaturan!$B$8:$B$27,F$4)))</f>
        <v>0</v>
      </c>
      <c r="G488" s="26" t="n">
        <f aca="false">IF(INDEX(Pengaturan!$B$8:$B$27,G$4)="",0,COUNTIF(Data!$B488:$U488,INDEX(Pengaturan!$B$8:$B$27,G$4)))</f>
        <v>0</v>
      </c>
      <c r="H488" s="26" t="n">
        <f aca="false">IF(INDEX(Pengaturan!$B$8:$B$27,H$4)="",0,COUNTIF(Data!$B488:$U488,INDEX(Pengaturan!$B$8:$B$27,H$4)))</f>
        <v>0</v>
      </c>
      <c r="I488" s="26" t="n">
        <f aca="false">IF(INDEX(Pengaturan!$B$8:$B$27,I$4)="",0,COUNTIF(Data!$B488:$U488,INDEX(Pengaturan!$B$8:$B$27,I$4)))</f>
        <v>0</v>
      </c>
      <c r="J488" s="26" t="n">
        <f aca="false">IF(INDEX(Pengaturan!$B$8:$B$27,J$4)="",0,COUNTIF(Data!$B488:$U488,INDEX(Pengaturan!$B$8:$B$27,J$4)))</f>
        <v>0</v>
      </c>
      <c r="K488" s="26" t="n">
        <f aca="false">IF(INDEX(Pengaturan!$B$8:$B$27,K$4)="",0,COUNTIF(Data!$B488:$U488,INDEX(Pengaturan!$B$8:$B$27,K$4)))</f>
        <v>0</v>
      </c>
      <c r="L488" s="26" t="n">
        <f aca="false">IF(INDEX(Pengaturan!$B$8:$B$27,L$4)="",0,COUNTIF(Data!$B488:$U488,INDEX(Pengaturan!$B$8:$B$27,L$4)))</f>
        <v>0</v>
      </c>
      <c r="M488" s="26" t="n">
        <f aca="false">IF(INDEX(Pengaturan!$B$8:$B$27,M$4)="",0,COUNTIF(Data!$B488:$U488,INDEX(Pengaturan!$B$8:$B$27,M$4)))</f>
        <v>0</v>
      </c>
      <c r="N488" s="26" t="n">
        <f aca="false">IF(INDEX(Pengaturan!$B$8:$B$27,N$4)="",0,COUNTIF(Data!$B488:$U488,INDEX(Pengaturan!$B$8:$B$27,N$4)))</f>
        <v>0</v>
      </c>
      <c r="O488" s="26" t="n">
        <f aca="false">IF(INDEX(Pengaturan!$B$8:$B$27,O$4)="",0,COUNTIF(Data!$B488:$U488,INDEX(Pengaturan!$B$8:$B$27,O$4)))</f>
        <v>0</v>
      </c>
      <c r="P488" s="26" t="n">
        <f aca="false">IF(INDEX(Pengaturan!$B$8:$B$27,P$4)="",0,COUNTIF(Data!$B488:$U488,INDEX(Pengaturan!$B$8:$B$27,P$4)))</f>
        <v>0</v>
      </c>
      <c r="Q488" s="26" t="n">
        <f aca="false">IF(INDEX(Pengaturan!$B$8:$B$27,Q$4)="",0,COUNTIF(Data!$B488:$U488,INDEX(Pengaturan!$B$8:$B$27,Q$4)))</f>
        <v>0</v>
      </c>
      <c r="R488" s="26" t="n">
        <f aca="false">IF(INDEX(Pengaturan!$B$8:$B$27,R$4)="",0,COUNTIF(Data!$B488:$U488,INDEX(Pengaturan!$B$8:$B$27,R$4)))</f>
        <v>0</v>
      </c>
      <c r="S488" s="26" t="n">
        <f aca="false">IF(INDEX(Pengaturan!$B$8:$B$27,S$4)="",0,COUNTIF(Data!$B488:$U488,INDEX(Pengaturan!$B$8:$B$27,S$4)))</f>
        <v>0</v>
      </c>
      <c r="T488" s="26" t="n">
        <f aca="false">IF(INDEX(Pengaturan!$B$8:$B$27,T$4)="",0,COUNTIF(Data!$B488:$U488,INDEX(Pengaturan!$B$8:$B$27,T$4)))</f>
        <v>0</v>
      </c>
      <c r="U488" s="26" t="n">
        <f aca="false">IF(INDEX(Pengaturan!$B$8:$B$27,U$4)="",0,COUNTIF(Data!$B488:$U488,INDEX(Pengaturan!$B$8:$B$27,U$4)))</f>
        <v>0</v>
      </c>
      <c r="V488" s="26" t="n">
        <f aca="false">COUNTA(Data!$B488:$U488)</f>
        <v>0</v>
      </c>
      <c r="W488" s="27" t="str">
        <f aca="false">IF(V488=0,"",IF(V488&lt;&gt;Hasil!$C$4,"Data kosong/tidak lengkap",IF(SUM(B488:U488)&lt;&gt;V488,"Kategori tidak dikenal","OK")))</f>
        <v/>
      </c>
      <c r="X488" s="26" t="n">
        <f aca="false">IF(OR(W488="",W488="OK"),0,1)</f>
        <v>0</v>
      </c>
    </row>
    <row r="489" customFormat="false" ht="15" hidden="false" customHeight="false" outlineLevel="0" collapsed="false">
      <c r="A489" s="26" t="n">
        <f aca="false">Data!A489</f>
        <v>484</v>
      </c>
      <c r="B489" s="26" t="n">
        <f aca="false">IF(INDEX(Pengaturan!$B$8:$B$27,B$4)="",0,COUNTIF(Data!$B489:$U489,INDEX(Pengaturan!$B$8:$B$27,B$4)))</f>
        <v>0</v>
      </c>
      <c r="C489" s="26" t="n">
        <f aca="false">IF(INDEX(Pengaturan!$B$8:$B$27,C$4)="",0,COUNTIF(Data!$B489:$U489,INDEX(Pengaturan!$B$8:$B$27,C$4)))</f>
        <v>0</v>
      </c>
      <c r="D489" s="26" t="n">
        <f aca="false">IF(INDEX(Pengaturan!$B$8:$B$27,D$4)="",0,COUNTIF(Data!$B489:$U489,INDEX(Pengaturan!$B$8:$B$27,D$4)))</f>
        <v>0</v>
      </c>
      <c r="E489" s="26" t="n">
        <f aca="false">IF(INDEX(Pengaturan!$B$8:$B$27,E$4)="",0,COUNTIF(Data!$B489:$U489,INDEX(Pengaturan!$B$8:$B$27,E$4)))</f>
        <v>0</v>
      </c>
      <c r="F489" s="26" t="n">
        <f aca="false">IF(INDEX(Pengaturan!$B$8:$B$27,F$4)="",0,COUNTIF(Data!$B489:$U489,INDEX(Pengaturan!$B$8:$B$27,F$4)))</f>
        <v>0</v>
      </c>
      <c r="G489" s="26" t="n">
        <f aca="false">IF(INDEX(Pengaturan!$B$8:$B$27,G$4)="",0,COUNTIF(Data!$B489:$U489,INDEX(Pengaturan!$B$8:$B$27,G$4)))</f>
        <v>0</v>
      </c>
      <c r="H489" s="26" t="n">
        <f aca="false">IF(INDEX(Pengaturan!$B$8:$B$27,H$4)="",0,COUNTIF(Data!$B489:$U489,INDEX(Pengaturan!$B$8:$B$27,H$4)))</f>
        <v>0</v>
      </c>
      <c r="I489" s="26" t="n">
        <f aca="false">IF(INDEX(Pengaturan!$B$8:$B$27,I$4)="",0,COUNTIF(Data!$B489:$U489,INDEX(Pengaturan!$B$8:$B$27,I$4)))</f>
        <v>0</v>
      </c>
      <c r="J489" s="26" t="n">
        <f aca="false">IF(INDEX(Pengaturan!$B$8:$B$27,J$4)="",0,COUNTIF(Data!$B489:$U489,INDEX(Pengaturan!$B$8:$B$27,J$4)))</f>
        <v>0</v>
      </c>
      <c r="K489" s="26" t="n">
        <f aca="false">IF(INDEX(Pengaturan!$B$8:$B$27,K$4)="",0,COUNTIF(Data!$B489:$U489,INDEX(Pengaturan!$B$8:$B$27,K$4)))</f>
        <v>0</v>
      </c>
      <c r="L489" s="26" t="n">
        <f aca="false">IF(INDEX(Pengaturan!$B$8:$B$27,L$4)="",0,COUNTIF(Data!$B489:$U489,INDEX(Pengaturan!$B$8:$B$27,L$4)))</f>
        <v>0</v>
      </c>
      <c r="M489" s="26" t="n">
        <f aca="false">IF(INDEX(Pengaturan!$B$8:$B$27,M$4)="",0,COUNTIF(Data!$B489:$U489,INDEX(Pengaturan!$B$8:$B$27,M$4)))</f>
        <v>0</v>
      </c>
      <c r="N489" s="26" t="n">
        <f aca="false">IF(INDEX(Pengaturan!$B$8:$B$27,N$4)="",0,COUNTIF(Data!$B489:$U489,INDEX(Pengaturan!$B$8:$B$27,N$4)))</f>
        <v>0</v>
      </c>
      <c r="O489" s="26" t="n">
        <f aca="false">IF(INDEX(Pengaturan!$B$8:$B$27,O$4)="",0,COUNTIF(Data!$B489:$U489,INDEX(Pengaturan!$B$8:$B$27,O$4)))</f>
        <v>0</v>
      </c>
      <c r="P489" s="26" t="n">
        <f aca="false">IF(INDEX(Pengaturan!$B$8:$B$27,P$4)="",0,COUNTIF(Data!$B489:$U489,INDEX(Pengaturan!$B$8:$B$27,P$4)))</f>
        <v>0</v>
      </c>
      <c r="Q489" s="26" t="n">
        <f aca="false">IF(INDEX(Pengaturan!$B$8:$B$27,Q$4)="",0,COUNTIF(Data!$B489:$U489,INDEX(Pengaturan!$B$8:$B$27,Q$4)))</f>
        <v>0</v>
      </c>
      <c r="R489" s="26" t="n">
        <f aca="false">IF(INDEX(Pengaturan!$B$8:$B$27,R$4)="",0,COUNTIF(Data!$B489:$U489,INDEX(Pengaturan!$B$8:$B$27,R$4)))</f>
        <v>0</v>
      </c>
      <c r="S489" s="26" t="n">
        <f aca="false">IF(INDEX(Pengaturan!$B$8:$B$27,S$4)="",0,COUNTIF(Data!$B489:$U489,INDEX(Pengaturan!$B$8:$B$27,S$4)))</f>
        <v>0</v>
      </c>
      <c r="T489" s="26" t="n">
        <f aca="false">IF(INDEX(Pengaturan!$B$8:$B$27,T$4)="",0,COUNTIF(Data!$B489:$U489,INDEX(Pengaturan!$B$8:$B$27,T$4)))</f>
        <v>0</v>
      </c>
      <c r="U489" s="26" t="n">
        <f aca="false">IF(INDEX(Pengaturan!$B$8:$B$27,U$4)="",0,COUNTIF(Data!$B489:$U489,INDEX(Pengaturan!$B$8:$B$27,U$4)))</f>
        <v>0</v>
      </c>
      <c r="V489" s="26" t="n">
        <f aca="false">COUNTA(Data!$B489:$U489)</f>
        <v>0</v>
      </c>
      <c r="W489" s="27" t="str">
        <f aca="false">IF(V489=0,"",IF(V489&lt;&gt;Hasil!$C$4,"Data kosong/tidak lengkap",IF(SUM(B489:U489)&lt;&gt;V489,"Kategori tidak dikenal","OK")))</f>
        <v/>
      </c>
      <c r="X489" s="26" t="n">
        <f aca="false">IF(OR(W489="",W489="OK"),0,1)</f>
        <v>0</v>
      </c>
    </row>
    <row r="490" customFormat="false" ht="15" hidden="false" customHeight="false" outlineLevel="0" collapsed="false">
      <c r="A490" s="26" t="n">
        <f aca="false">Data!A490</f>
        <v>485</v>
      </c>
      <c r="B490" s="26" t="n">
        <f aca="false">IF(INDEX(Pengaturan!$B$8:$B$27,B$4)="",0,COUNTIF(Data!$B490:$U490,INDEX(Pengaturan!$B$8:$B$27,B$4)))</f>
        <v>0</v>
      </c>
      <c r="C490" s="26" t="n">
        <f aca="false">IF(INDEX(Pengaturan!$B$8:$B$27,C$4)="",0,COUNTIF(Data!$B490:$U490,INDEX(Pengaturan!$B$8:$B$27,C$4)))</f>
        <v>0</v>
      </c>
      <c r="D490" s="26" t="n">
        <f aca="false">IF(INDEX(Pengaturan!$B$8:$B$27,D$4)="",0,COUNTIF(Data!$B490:$U490,INDEX(Pengaturan!$B$8:$B$27,D$4)))</f>
        <v>0</v>
      </c>
      <c r="E490" s="26" t="n">
        <f aca="false">IF(INDEX(Pengaturan!$B$8:$B$27,E$4)="",0,COUNTIF(Data!$B490:$U490,INDEX(Pengaturan!$B$8:$B$27,E$4)))</f>
        <v>0</v>
      </c>
      <c r="F490" s="26" t="n">
        <f aca="false">IF(INDEX(Pengaturan!$B$8:$B$27,F$4)="",0,COUNTIF(Data!$B490:$U490,INDEX(Pengaturan!$B$8:$B$27,F$4)))</f>
        <v>0</v>
      </c>
      <c r="G490" s="26" t="n">
        <f aca="false">IF(INDEX(Pengaturan!$B$8:$B$27,G$4)="",0,COUNTIF(Data!$B490:$U490,INDEX(Pengaturan!$B$8:$B$27,G$4)))</f>
        <v>0</v>
      </c>
      <c r="H490" s="26" t="n">
        <f aca="false">IF(INDEX(Pengaturan!$B$8:$B$27,H$4)="",0,COUNTIF(Data!$B490:$U490,INDEX(Pengaturan!$B$8:$B$27,H$4)))</f>
        <v>0</v>
      </c>
      <c r="I490" s="26" t="n">
        <f aca="false">IF(INDEX(Pengaturan!$B$8:$B$27,I$4)="",0,COUNTIF(Data!$B490:$U490,INDEX(Pengaturan!$B$8:$B$27,I$4)))</f>
        <v>0</v>
      </c>
      <c r="J490" s="26" t="n">
        <f aca="false">IF(INDEX(Pengaturan!$B$8:$B$27,J$4)="",0,COUNTIF(Data!$B490:$U490,INDEX(Pengaturan!$B$8:$B$27,J$4)))</f>
        <v>0</v>
      </c>
      <c r="K490" s="26" t="n">
        <f aca="false">IF(INDEX(Pengaturan!$B$8:$B$27,K$4)="",0,COUNTIF(Data!$B490:$U490,INDEX(Pengaturan!$B$8:$B$27,K$4)))</f>
        <v>0</v>
      </c>
      <c r="L490" s="26" t="n">
        <f aca="false">IF(INDEX(Pengaturan!$B$8:$B$27,L$4)="",0,COUNTIF(Data!$B490:$U490,INDEX(Pengaturan!$B$8:$B$27,L$4)))</f>
        <v>0</v>
      </c>
      <c r="M490" s="26" t="n">
        <f aca="false">IF(INDEX(Pengaturan!$B$8:$B$27,M$4)="",0,COUNTIF(Data!$B490:$U490,INDEX(Pengaturan!$B$8:$B$27,M$4)))</f>
        <v>0</v>
      </c>
      <c r="N490" s="26" t="n">
        <f aca="false">IF(INDEX(Pengaturan!$B$8:$B$27,N$4)="",0,COUNTIF(Data!$B490:$U490,INDEX(Pengaturan!$B$8:$B$27,N$4)))</f>
        <v>0</v>
      </c>
      <c r="O490" s="26" t="n">
        <f aca="false">IF(INDEX(Pengaturan!$B$8:$B$27,O$4)="",0,COUNTIF(Data!$B490:$U490,INDEX(Pengaturan!$B$8:$B$27,O$4)))</f>
        <v>0</v>
      </c>
      <c r="P490" s="26" t="n">
        <f aca="false">IF(INDEX(Pengaturan!$B$8:$B$27,P$4)="",0,COUNTIF(Data!$B490:$U490,INDEX(Pengaturan!$B$8:$B$27,P$4)))</f>
        <v>0</v>
      </c>
      <c r="Q490" s="26" t="n">
        <f aca="false">IF(INDEX(Pengaturan!$B$8:$B$27,Q$4)="",0,COUNTIF(Data!$B490:$U490,INDEX(Pengaturan!$B$8:$B$27,Q$4)))</f>
        <v>0</v>
      </c>
      <c r="R490" s="26" t="n">
        <f aca="false">IF(INDEX(Pengaturan!$B$8:$B$27,R$4)="",0,COUNTIF(Data!$B490:$U490,INDEX(Pengaturan!$B$8:$B$27,R$4)))</f>
        <v>0</v>
      </c>
      <c r="S490" s="26" t="n">
        <f aca="false">IF(INDEX(Pengaturan!$B$8:$B$27,S$4)="",0,COUNTIF(Data!$B490:$U490,INDEX(Pengaturan!$B$8:$B$27,S$4)))</f>
        <v>0</v>
      </c>
      <c r="T490" s="26" t="n">
        <f aca="false">IF(INDEX(Pengaturan!$B$8:$B$27,T$4)="",0,COUNTIF(Data!$B490:$U490,INDEX(Pengaturan!$B$8:$B$27,T$4)))</f>
        <v>0</v>
      </c>
      <c r="U490" s="26" t="n">
        <f aca="false">IF(INDEX(Pengaturan!$B$8:$B$27,U$4)="",0,COUNTIF(Data!$B490:$U490,INDEX(Pengaturan!$B$8:$B$27,U$4)))</f>
        <v>0</v>
      </c>
      <c r="V490" s="26" t="n">
        <f aca="false">COUNTA(Data!$B490:$U490)</f>
        <v>0</v>
      </c>
      <c r="W490" s="27" t="str">
        <f aca="false">IF(V490=0,"",IF(V490&lt;&gt;Hasil!$C$4,"Data kosong/tidak lengkap",IF(SUM(B490:U490)&lt;&gt;V490,"Kategori tidak dikenal","OK")))</f>
        <v/>
      </c>
      <c r="X490" s="26" t="n">
        <f aca="false">IF(OR(W490="",W490="OK"),0,1)</f>
        <v>0</v>
      </c>
    </row>
    <row r="491" customFormat="false" ht="15" hidden="false" customHeight="false" outlineLevel="0" collapsed="false">
      <c r="A491" s="26" t="n">
        <f aca="false">Data!A491</f>
        <v>486</v>
      </c>
      <c r="B491" s="26" t="n">
        <f aca="false">IF(INDEX(Pengaturan!$B$8:$B$27,B$4)="",0,COUNTIF(Data!$B491:$U491,INDEX(Pengaturan!$B$8:$B$27,B$4)))</f>
        <v>0</v>
      </c>
      <c r="C491" s="26" t="n">
        <f aca="false">IF(INDEX(Pengaturan!$B$8:$B$27,C$4)="",0,COUNTIF(Data!$B491:$U491,INDEX(Pengaturan!$B$8:$B$27,C$4)))</f>
        <v>0</v>
      </c>
      <c r="D491" s="26" t="n">
        <f aca="false">IF(INDEX(Pengaturan!$B$8:$B$27,D$4)="",0,COUNTIF(Data!$B491:$U491,INDEX(Pengaturan!$B$8:$B$27,D$4)))</f>
        <v>0</v>
      </c>
      <c r="E491" s="26" t="n">
        <f aca="false">IF(INDEX(Pengaturan!$B$8:$B$27,E$4)="",0,COUNTIF(Data!$B491:$U491,INDEX(Pengaturan!$B$8:$B$27,E$4)))</f>
        <v>0</v>
      </c>
      <c r="F491" s="26" t="n">
        <f aca="false">IF(INDEX(Pengaturan!$B$8:$B$27,F$4)="",0,COUNTIF(Data!$B491:$U491,INDEX(Pengaturan!$B$8:$B$27,F$4)))</f>
        <v>0</v>
      </c>
      <c r="G491" s="26" t="n">
        <f aca="false">IF(INDEX(Pengaturan!$B$8:$B$27,G$4)="",0,COUNTIF(Data!$B491:$U491,INDEX(Pengaturan!$B$8:$B$27,G$4)))</f>
        <v>0</v>
      </c>
      <c r="H491" s="26" t="n">
        <f aca="false">IF(INDEX(Pengaturan!$B$8:$B$27,H$4)="",0,COUNTIF(Data!$B491:$U491,INDEX(Pengaturan!$B$8:$B$27,H$4)))</f>
        <v>0</v>
      </c>
      <c r="I491" s="26" t="n">
        <f aca="false">IF(INDEX(Pengaturan!$B$8:$B$27,I$4)="",0,COUNTIF(Data!$B491:$U491,INDEX(Pengaturan!$B$8:$B$27,I$4)))</f>
        <v>0</v>
      </c>
      <c r="J491" s="26" t="n">
        <f aca="false">IF(INDEX(Pengaturan!$B$8:$B$27,J$4)="",0,COUNTIF(Data!$B491:$U491,INDEX(Pengaturan!$B$8:$B$27,J$4)))</f>
        <v>0</v>
      </c>
      <c r="K491" s="26" t="n">
        <f aca="false">IF(INDEX(Pengaturan!$B$8:$B$27,K$4)="",0,COUNTIF(Data!$B491:$U491,INDEX(Pengaturan!$B$8:$B$27,K$4)))</f>
        <v>0</v>
      </c>
      <c r="L491" s="26" t="n">
        <f aca="false">IF(INDEX(Pengaturan!$B$8:$B$27,L$4)="",0,COUNTIF(Data!$B491:$U491,INDEX(Pengaturan!$B$8:$B$27,L$4)))</f>
        <v>0</v>
      </c>
      <c r="M491" s="26" t="n">
        <f aca="false">IF(INDEX(Pengaturan!$B$8:$B$27,M$4)="",0,COUNTIF(Data!$B491:$U491,INDEX(Pengaturan!$B$8:$B$27,M$4)))</f>
        <v>0</v>
      </c>
      <c r="N491" s="26" t="n">
        <f aca="false">IF(INDEX(Pengaturan!$B$8:$B$27,N$4)="",0,COUNTIF(Data!$B491:$U491,INDEX(Pengaturan!$B$8:$B$27,N$4)))</f>
        <v>0</v>
      </c>
      <c r="O491" s="26" t="n">
        <f aca="false">IF(INDEX(Pengaturan!$B$8:$B$27,O$4)="",0,COUNTIF(Data!$B491:$U491,INDEX(Pengaturan!$B$8:$B$27,O$4)))</f>
        <v>0</v>
      </c>
      <c r="P491" s="26" t="n">
        <f aca="false">IF(INDEX(Pengaturan!$B$8:$B$27,P$4)="",0,COUNTIF(Data!$B491:$U491,INDEX(Pengaturan!$B$8:$B$27,P$4)))</f>
        <v>0</v>
      </c>
      <c r="Q491" s="26" t="n">
        <f aca="false">IF(INDEX(Pengaturan!$B$8:$B$27,Q$4)="",0,COUNTIF(Data!$B491:$U491,INDEX(Pengaturan!$B$8:$B$27,Q$4)))</f>
        <v>0</v>
      </c>
      <c r="R491" s="26" t="n">
        <f aca="false">IF(INDEX(Pengaturan!$B$8:$B$27,R$4)="",0,COUNTIF(Data!$B491:$U491,INDEX(Pengaturan!$B$8:$B$27,R$4)))</f>
        <v>0</v>
      </c>
      <c r="S491" s="26" t="n">
        <f aca="false">IF(INDEX(Pengaturan!$B$8:$B$27,S$4)="",0,COUNTIF(Data!$B491:$U491,INDEX(Pengaturan!$B$8:$B$27,S$4)))</f>
        <v>0</v>
      </c>
      <c r="T491" s="26" t="n">
        <f aca="false">IF(INDEX(Pengaturan!$B$8:$B$27,T$4)="",0,COUNTIF(Data!$B491:$U491,INDEX(Pengaturan!$B$8:$B$27,T$4)))</f>
        <v>0</v>
      </c>
      <c r="U491" s="26" t="n">
        <f aca="false">IF(INDEX(Pengaturan!$B$8:$B$27,U$4)="",0,COUNTIF(Data!$B491:$U491,INDEX(Pengaturan!$B$8:$B$27,U$4)))</f>
        <v>0</v>
      </c>
      <c r="V491" s="26" t="n">
        <f aca="false">COUNTA(Data!$B491:$U491)</f>
        <v>0</v>
      </c>
      <c r="W491" s="27" t="str">
        <f aca="false">IF(V491=0,"",IF(V491&lt;&gt;Hasil!$C$4,"Data kosong/tidak lengkap",IF(SUM(B491:U491)&lt;&gt;V491,"Kategori tidak dikenal","OK")))</f>
        <v/>
      </c>
      <c r="X491" s="26" t="n">
        <f aca="false">IF(OR(W491="",W491="OK"),0,1)</f>
        <v>0</v>
      </c>
    </row>
    <row r="492" customFormat="false" ht="15" hidden="false" customHeight="false" outlineLevel="0" collapsed="false">
      <c r="A492" s="26" t="n">
        <f aca="false">Data!A492</f>
        <v>487</v>
      </c>
      <c r="B492" s="26" t="n">
        <f aca="false">IF(INDEX(Pengaturan!$B$8:$B$27,B$4)="",0,COUNTIF(Data!$B492:$U492,INDEX(Pengaturan!$B$8:$B$27,B$4)))</f>
        <v>0</v>
      </c>
      <c r="C492" s="26" t="n">
        <f aca="false">IF(INDEX(Pengaturan!$B$8:$B$27,C$4)="",0,COUNTIF(Data!$B492:$U492,INDEX(Pengaturan!$B$8:$B$27,C$4)))</f>
        <v>0</v>
      </c>
      <c r="D492" s="26" t="n">
        <f aca="false">IF(INDEX(Pengaturan!$B$8:$B$27,D$4)="",0,COUNTIF(Data!$B492:$U492,INDEX(Pengaturan!$B$8:$B$27,D$4)))</f>
        <v>0</v>
      </c>
      <c r="E492" s="26" t="n">
        <f aca="false">IF(INDEX(Pengaturan!$B$8:$B$27,E$4)="",0,COUNTIF(Data!$B492:$U492,INDEX(Pengaturan!$B$8:$B$27,E$4)))</f>
        <v>0</v>
      </c>
      <c r="F492" s="26" t="n">
        <f aca="false">IF(INDEX(Pengaturan!$B$8:$B$27,F$4)="",0,COUNTIF(Data!$B492:$U492,INDEX(Pengaturan!$B$8:$B$27,F$4)))</f>
        <v>0</v>
      </c>
      <c r="G492" s="26" t="n">
        <f aca="false">IF(INDEX(Pengaturan!$B$8:$B$27,G$4)="",0,COUNTIF(Data!$B492:$U492,INDEX(Pengaturan!$B$8:$B$27,G$4)))</f>
        <v>0</v>
      </c>
      <c r="H492" s="26" t="n">
        <f aca="false">IF(INDEX(Pengaturan!$B$8:$B$27,H$4)="",0,COUNTIF(Data!$B492:$U492,INDEX(Pengaturan!$B$8:$B$27,H$4)))</f>
        <v>0</v>
      </c>
      <c r="I492" s="26" t="n">
        <f aca="false">IF(INDEX(Pengaturan!$B$8:$B$27,I$4)="",0,COUNTIF(Data!$B492:$U492,INDEX(Pengaturan!$B$8:$B$27,I$4)))</f>
        <v>0</v>
      </c>
      <c r="J492" s="26" t="n">
        <f aca="false">IF(INDEX(Pengaturan!$B$8:$B$27,J$4)="",0,COUNTIF(Data!$B492:$U492,INDEX(Pengaturan!$B$8:$B$27,J$4)))</f>
        <v>0</v>
      </c>
      <c r="K492" s="26" t="n">
        <f aca="false">IF(INDEX(Pengaturan!$B$8:$B$27,K$4)="",0,COUNTIF(Data!$B492:$U492,INDEX(Pengaturan!$B$8:$B$27,K$4)))</f>
        <v>0</v>
      </c>
      <c r="L492" s="26" t="n">
        <f aca="false">IF(INDEX(Pengaturan!$B$8:$B$27,L$4)="",0,COUNTIF(Data!$B492:$U492,INDEX(Pengaturan!$B$8:$B$27,L$4)))</f>
        <v>0</v>
      </c>
      <c r="M492" s="26" t="n">
        <f aca="false">IF(INDEX(Pengaturan!$B$8:$B$27,M$4)="",0,COUNTIF(Data!$B492:$U492,INDEX(Pengaturan!$B$8:$B$27,M$4)))</f>
        <v>0</v>
      </c>
      <c r="N492" s="26" t="n">
        <f aca="false">IF(INDEX(Pengaturan!$B$8:$B$27,N$4)="",0,COUNTIF(Data!$B492:$U492,INDEX(Pengaturan!$B$8:$B$27,N$4)))</f>
        <v>0</v>
      </c>
      <c r="O492" s="26" t="n">
        <f aca="false">IF(INDEX(Pengaturan!$B$8:$B$27,O$4)="",0,COUNTIF(Data!$B492:$U492,INDEX(Pengaturan!$B$8:$B$27,O$4)))</f>
        <v>0</v>
      </c>
      <c r="P492" s="26" t="n">
        <f aca="false">IF(INDEX(Pengaturan!$B$8:$B$27,P$4)="",0,COUNTIF(Data!$B492:$U492,INDEX(Pengaturan!$B$8:$B$27,P$4)))</f>
        <v>0</v>
      </c>
      <c r="Q492" s="26" t="n">
        <f aca="false">IF(INDEX(Pengaturan!$B$8:$B$27,Q$4)="",0,COUNTIF(Data!$B492:$U492,INDEX(Pengaturan!$B$8:$B$27,Q$4)))</f>
        <v>0</v>
      </c>
      <c r="R492" s="26" t="n">
        <f aca="false">IF(INDEX(Pengaturan!$B$8:$B$27,R$4)="",0,COUNTIF(Data!$B492:$U492,INDEX(Pengaturan!$B$8:$B$27,R$4)))</f>
        <v>0</v>
      </c>
      <c r="S492" s="26" t="n">
        <f aca="false">IF(INDEX(Pengaturan!$B$8:$B$27,S$4)="",0,COUNTIF(Data!$B492:$U492,INDEX(Pengaturan!$B$8:$B$27,S$4)))</f>
        <v>0</v>
      </c>
      <c r="T492" s="26" t="n">
        <f aca="false">IF(INDEX(Pengaturan!$B$8:$B$27,T$4)="",0,COUNTIF(Data!$B492:$U492,INDEX(Pengaturan!$B$8:$B$27,T$4)))</f>
        <v>0</v>
      </c>
      <c r="U492" s="26" t="n">
        <f aca="false">IF(INDEX(Pengaturan!$B$8:$B$27,U$4)="",0,COUNTIF(Data!$B492:$U492,INDEX(Pengaturan!$B$8:$B$27,U$4)))</f>
        <v>0</v>
      </c>
      <c r="V492" s="26" t="n">
        <f aca="false">COUNTA(Data!$B492:$U492)</f>
        <v>0</v>
      </c>
      <c r="W492" s="27" t="str">
        <f aca="false">IF(V492=0,"",IF(V492&lt;&gt;Hasil!$C$4,"Data kosong/tidak lengkap",IF(SUM(B492:U492)&lt;&gt;V492,"Kategori tidak dikenal","OK")))</f>
        <v/>
      </c>
      <c r="X492" s="26" t="n">
        <f aca="false">IF(OR(W492="",W492="OK"),0,1)</f>
        <v>0</v>
      </c>
    </row>
    <row r="493" customFormat="false" ht="15" hidden="false" customHeight="false" outlineLevel="0" collapsed="false">
      <c r="A493" s="26" t="n">
        <f aca="false">Data!A493</f>
        <v>488</v>
      </c>
      <c r="B493" s="26" t="n">
        <f aca="false">IF(INDEX(Pengaturan!$B$8:$B$27,B$4)="",0,COUNTIF(Data!$B493:$U493,INDEX(Pengaturan!$B$8:$B$27,B$4)))</f>
        <v>0</v>
      </c>
      <c r="C493" s="26" t="n">
        <f aca="false">IF(INDEX(Pengaturan!$B$8:$B$27,C$4)="",0,COUNTIF(Data!$B493:$U493,INDEX(Pengaturan!$B$8:$B$27,C$4)))</f>
        <v>0</v>
      </c>
      <c r="D493" s="26" t="n">
        <f aca="false">IF(INDEX(Pengaturan!$B$8:$B$27,D$4)="",0,COUNTIF(Data!$B493:$U493,INDEX(Pengaturan!$B$8:$B$27,D$4)))</f>
        <v>0</v>
      </c>
      <c r="E493" s="26" t="n">
        <f aca="false">IF(INDEX(Pengaturan!$B$8:$B$27,E$4)="",0,COUNTIF(Data!$B493:$U493,INDEX(Pengaturan!$B$8:$B$27,E$4)))</f>
        <v>0</v>
      </c>
      <c r="F493" s="26" t="n">
        <f aca="false">IF(INDEX(Pengaturan!$B$8:$B$27,F$4)="",0,COUNTIF(Data!$B493:$U493,INDEX(Pengaturan!$B$8:$B$27,F$4)))</f>
        <v>0</v>
      </c>
      <c r="G493" s="26" t="n">
        <f aca="false">IF(INDEX(Pengaturan!$B$8:$B$27,G$4)="",0,COUNTIF(Data!$B493:$U493,INDEX(Pengaturan!$B$8:$B$27,G$4)))</f>
        <v>0</v>
      </c>
      <c r="H493" s="26" t="n">
        <f aca="false">IF(INDEX(Pengaturan!$B$8:$B$27,H$4)="",0,COUNTIF(Data!$B493:$U493,INDEX(Pengaturan!$B$8:$B$27,H$4)))</f>
        <v>0</v>
      </c>
      <c r="I493" s="26" t="n">
        <f aca="false">IF(INDEX(Pengaturan!$B$8:$B$27,I$4)="",0,COUNTIF(Data!$B493:$U493,INDEX(Pengaturan!$B$8:$B$27,I$4)))</f>
        <v>0</v>
      </c>
      <c r="J493" s="26" t="n">
        <f aca="false">IF(INDEX(Pengaturan!$B$8:$B$27,J$4)="",0,COUNTIF(Data!$B493:$U493,INDEX(Pengaturan!$B$8:$B$27,J$4)))</f>
        <v>0</v>
      </c>
      <c r="K493" s="26" t="n">
        <f aca="false">IF(INDEX(Pengaturan!$B$8:$B$27,K$4)="",0,COUNTIF(Data!$B493:$U493,INDEX(Pengaturan!$B$8:$B$27,K$4)))</f>
        <v>0</v>
      </c>
      <c r="L493" s="26" t="n">
        <f aca="false">IF(INDEX(Pengaturan!$B$8:$B$27,L$4)="",0,COUNTIF(Data!$B493:$U493,INDEX(Pengaturan!$B$8:$B$27,L$4)))</f>
        <v>0</v>
      </c>
      <c r="M493" s="26" t="n">
        <f aca="false">IF(INDEX(Pengaturan!$B$8:$B$27,M$4)="",0,COUNTIF(Data!$B493:$U493,INDEX(Pengaturan!$B$8:$B$27,M$4)))</f>
        <v>0</v>
      </c>
      <c r="N493" s="26" t="n">
        <f aca="false">IF(INDEX(Pengaturan!$B$8:$B$27,N$4)="",0,COUNTIF(Data!$B493:$U493,INDEX(Pengaturan!$B$8:$B$27,N$4)))</f>
        <v>0</v>
      </c>
      <c r="O493" s="26" t="n">
        <f aca="false">IF(INDEX(Pengaturan!$B$8:$B$27,O$4)="",0,COUNTIF(Data!$B493:$U493,INDEX(Pengaturan!$B$8:$B$27,O$4)))</f>
        <v>0</v>
      </c>
      <c r="P493" s="26" t="n">
        <f aca="false">IF(INDEX(Pengaturan!$B$8:$B$27,P$4)="",0,COUNTIF(Data!$B493:$U493,INDEX(Pengaturan!$B$8:$B$27,P$4)))</f>
        <v>0</v>
      </c>
      <c r="Q493" s="26" t="n">
        <f aca="false">IF(INDEX(Pengaturan!$B$8:$B$27,Q$4)="",0,COUNTIF(Data!$B493:$U493,INDEX(Pengaturan!$B$8:$B$27,Q$4)))</f>
        <v>0</v>
      </c>
      <c r="R493" s="26" t="n">
        <f aca="false">IF(INDEX(Pengaturan!$B$8:$B$27,R$4)="",0,COUNTIF(Data!$B493:$U493,INDEX(Pengaturan!$B$8:$B$27,R$4)))</f>
        <v>0</v>
      </c>
      <c r="S493" s="26" t="n">
        <f aca="false">IF(INDEX(Pengaturan!$B$8:$B$27,S$4)="",0,COUNTIF(Data!$B493:$U493,INDEX(Pengaturan!$B$8:$B$27,S$4)))</f>
        <v>0</v>
      </c>
      <c r="T493" s="26" t="n">
        <f aca="false">IF(INDEX(Pengaturan!$B$8:$B$27,T$4)="",0,COUNTIF(Data!$B493:$U493,INDEX(Pengaturan!$B$8:$B$27,T$4)))</f>
        <v>0</v>
      </c>
      <c r="U493" s="26" t="n">
        <f aca="false">IF(INDEX(Pengaturan!$B$8:$B$27,U$4)="",0,COUNTIF(Data!$B493:$U493,INDEX(Pengaturan!$B$8:$B$27,U$4)))</f>
        <v>0</v>
      </c>
      <c r="V493" s="26" t="n">
        <f aca="false">COUNTA(Data!$B493:$U493)</f>
        <v>0</v>
      </c>
      <c r="W493" s="27" t="str">
        <f aca="false">IF(V493=0,"",IF(V493&lt;&gt;Hasil!$C$4,"Data kosong/tidak lengkap",IF(SUM(B493:U493)&lt;&gt;V493,"Kategori tidak dikenal","OK")))</f>
        <v/>
      </c>
      <c r="X493" s="26" t="n">
        <f aca="false">IF(OR(W493="",W493="OK"),0,1)</f>
        <v>0</v>
      </c>
    </row>
    <row r="494" customFormat="false" ht="15" hidden="false" customHeight="false" outlineLevel="0" collapsed="false">
      <c r="A494" s="26" t="n">
        <f aca="false">Data!A494</f>
        <v>489</v>
      </c>
      <c r="B494" s="26" t="n">
        <f aca="false">IF(INDEX(Pengaturan!$B$8:$B$27,B$4)="",0,COUNTIF(Data!$B494:$U494,INDEX(Pengaturan!$B$8:$B$27,B$4)))</f>
        <v>0</v>
      </c>
      <c r="C494" s="26" t="n">
        <f aca="false">IF(INDEX(Pengaturan!$B$8:$B$27,C$4)="",0,COUNTIF(Data!$B494:$U494,INDEX(Pengaturan!$B$8:$B$27,C$4)))</f>
        <v>0</v>
      </c>
      <c r="D494" s="26" t="n">
        <f aca="false">IF(INDEX(Pengaturan!$B$8:$B$27,D$4)="",0,COUNTIF(Data!$B494:$U494,INDEX(Pengaturan!$B$8:$B$27,D$4)))</f>
        <v>0</v>
      </c>
      <c r="E494" s="26" t="n">
        <f aca="false">IF(INDEX(Pengaturan!$B$8:$B$27,E$4)="",0,COUNTIF(Data!$B494:$U494,INDEX(Pengaturan!$B$8:$B$27,E$4)))</f>
        <v>0</v>
      </c>
      <c r="F494" s="26" t="n">
        <f aca="false">IF(INDEX(Pengaturan!$B$8:$B$27,F$4)="",0,COUNTIF(Data!$B494:$U494,INDEX(Pengaturan!$B$8:$B$27,F$4)))</f>
        <v>0</v>
      </c>
      <c r="G494" s="26" t="n">
        <f aca="false">IF(INDEX(Pengaturan!$B$8:$B$27,G$4)="",0,COUNTIF(Data!$B494:$U494,INDEX(Pengaturan!$B$8:$B$27,G$4)))</f>
        <v>0</v>
      </c>
      <c r="H494" s="26" t="n">
        <f aca="false">IF(INDEX(Pengaturan!$B$8:$B$27,H$4)="",0,COUNTIF(Data!$B494:$U494,INDEX(Pengaturan!$B$8:$B$27,H$4)))</f>
        <v>0</v>
      </c>
      <c r="I494" s="26" t="n">
        <f aca="false">IF(INDEX(Pengaturan!$B$8:$B$27,I$4)="",0,COUNTIF(Data!$B494:$U494,INDEX(Pengaturan!$B$8:$B$27,I$4)))</f>
        <v>0</v>
      </c>
      <c r="J494" s="26" t="n">
        <f aca="false">IF(INDEX(Pengaturan!$B$8:$B$27,J$4)="",0,COUNTIF(Data!$B494:$U494,INDEX(Pengaturan!$B$8:$B$27,J$4)))</f>
        <v>0</v>
      </c>
      <c r="K494" s="26" t="n">
        <f aca="false">IF(INDEX(Pengaturan!$B$8:$B$27,K$4)="",0,COUNTIF(Data!$B494:$U494,INDEX(Pengaturan!$B$8:$B$27,K$4)))</f>
        <v>0</v>
      </c>
      <c r="L494" s="26" t="n">
        <f aca="false">IF(INDEX(Pengaturan!$B$8:$B$27,L$4)="",0,COUNTIF(Data!$B494:$U494,INDEX(Pengaturan!$B$8:$B$27,L$4)))</f>
        <v>0</v>
      </c>
      <c r="M494" s="26" t="n">
        <f aca="false">IF(INDEX(Pengaturan!$B$8:$B$27,M$4)="",0,COUNTIF(Data!$B494:$U494,INDEX(Pengaturan!$B$8:$B$27,M$4)))</f>
        <v>0</v>
      </c>
      <c r="N494" s="26" t="n">
        <f aca="false">IF(INDEX(Pengaturan!$B$8:$B$27,N$4)="",0,COUNTIF(Data!$B494:$U494,INDEX(Pengaturan!$B$8:$B$27,N$4)))</f>
        <v>0</v>
      </c>
      <c r="O494" s="26" t="n">
        <f aca="false">IF(INDEX(Pengaturan!$B$8:$B$27,O$4)="",0,COUNTIF(Data!$B494:$U494,INDEX(Pengaturan!$B$8:$B$27,O$4)))</f>
        <v>0</v>
      </c>
      <c r="P494" s="26" t="n">
        <f aca="false">IF(INDEX(Pengaturan!$B$8:$B$27,P$4)="",0,COUNTIF(Data!$B494:$U494,INDEX(Pengaturan!$B$8:$B$27,P$4)))</f>
        <v>0</v>
      </c>
      <c r="Q494" s="26" t="n">
        <f aca="false">IF(INDEX(Pengaturan!$B$8:$B$27,Q$4)="",0,COUNTIF(Data!$B494:$U494,INDEX(Pengaturan!$B$8:$B$27,Q$4)))</f>
        <v>0</v>
      </c>
      <c r="R494" s="26" t="n">
        <f aca="false">IF(INDEX(Pengaturan!$B$8:$B$27,R$4)="",0,COUNTIF(Data!$B494:$U494,INDEX(Pengaturan!$B$8:$B$27,R$4)))</f>
        <v>0</v>
      </c>
      <c r="S494" s="26" t="n">
        <f aca="false">IF(INDEX(Pengaturan!$B$8:$B$27,S$4)="",0,COUNTIF(Data!$B494:$U494,INDEX(Pengaturan!$B$8:$B$27,S$4)))</f>
        <v>0</v>
      </c>
      <c r="T494" s="26" t="n">
        <f aca="false">IF(INDEX(Pengaturan!$B$8:$B$27,T$4)="",0,COUNTIF(Data!$B494:$U494,INDEX(Pengaturan!$B$8:$B$27,T$4)))</f>
        <v>0</v>
      </c>
      <c r="U494" s="26" t="n">
        <f aca="false">IF(INDEX(Pengaturan!$B$8:$B$27,U$4)="",0,COUNTIF(Data!$B494:$U494,INDEX(Pengaturan!$B$8:$B$27,U$4)))</f>
        <v>0</v>
      </c>
      <c r="V494" s="26" t="n">
        <f aca="false">COUNTA(Data!$B494:$U494)</f>
        <v>0</v>
      </c>
      <c r="W494" s="27" t="str">
        <f aca="false">IF(V494=0,"",IF(V494&lt;&gt;Hasil!$C$4,"Data kosong/tidak lengkap",IF(SUM(B494:U494)&lt;&gt;V494,"Kategori tidak dikenal","OK")))</f>
        <v/>
      </c>
      <c r="X494" s="26" t="n">
        <f aca="false">IF(OR(W494="",W494="OK"),0,1)</f>
        <v>0</v>
      </c>
    </row>
    <row r="495" customFormat="false" ht="15" hidden="false" customHeight="false" outlineLevel="0" collapsed="false">
      <c r="A495" s="26" t="n">
        <f aca="false">Data!A495</f>
        <v>490</v>
      </c>
      <c r="B495" s="26" t="n">
        <f aca="false">IF(INDEX(Pengaturan!$B$8:$B$27,B$4)="",0,COUNTIF(Data!$B495:$U495,INDEX(Pengaturan!$B$8:$B$27,B$4)))</f>
        <v>0</v>
      </c>
      <c r="C495" s="26" t="n">
        <f aca="false">IF(INDEX(Pengaturan!$B$8:$B$27,C$4)="",0,COUNTIF(Data!$B495:$U495,INDEX(Pengaturan!$B$8:$B$27,C$4)))</f>
        <v>0</v>
      </c>
      <c r="D495" s="26" t="n">
        <f aca="false">IF(INDEX(Pengaturan!$B$8:$B$27,D$4)="",0,COUNTIF(Data!$B495:$U495,INDEX(Pengaturan!$B$8:$B$27,D$4)))</f>
        <v>0</v>
      </c>
      <c r="E495" s="26" t="n">
        <f aca="false">IF(INDEX(Pengaturan!$B$8:$B$27,E$4)="",0,COUNTIF(Data!$B495:$U495,INDEX(Pengaturan!$B$8:$B$27,E$4)))</f>
        <v>0</v>
      </c>
      <c r="F495" s="26" t="n">
        <f aca="false">IF(INDEX(Pengaturan!$B$8:$B$27,F$4)="",0,COUNTIF(Data!$B495:$U495,INDEX(Pengaturan!$B$8:$B$27,F$4)))</f>
        <v>0</v>
      </c>
      <c r="G495" s="26" t="n">
        <f aca="false">IF(INDEX(Pengaturan!$B$8:$B$27,G$4)="",0,COUNTIF(Data!$B495:$U495,INDEX(Pengaturan!$B$8:$B$27,G$4)))</f>
        <v>0</v>
      </c>
      <c r="H495" s="26" t="n">
        <f aca="false">IF(INDEX(Pengaturan!$B$8:$B$27,H$4)="",0,COUNTIF(Data!$B495:$U495,INDEX(Pengaturan!$B$8:$B$27,H$4)))</f>
        <v>0</v>
      </c>
      <c r="I495" s="26" t="n">
        <f aca="false">IF(INDEX(Pengaturan!$B$8:$B$27,I$4)="",0,COUNTIF(Data!$B495:$U495,INDEX(Pengaturan!$B$8:$B$27,I$4)))</f>
        <v>0</v>
      </c>
      <c r="J495" s="26" t="n">
        <f aca="false">IF(INDEX(Pengaturan!$B$8:$B$27,J$4)="",0,COUNTIF(Data!$B495:$U495,INDEX(Pengaturan!$B$8:$B$27,J$4)))</f>
        <v>0</v>
      </c>
      <c r="K495" s="26" t="n">
        <f aca="false">IF(INDEX(Pengaturan!$B$8:$B$27,K$4)="",0,COUNTIF(Data!$B495:$U495,INDEX(Pengaturan!$B$8:$B$27,K$4)))</f>
        <v>0</v>
      </c>
      <c r="L495" s="26" t="n">
        <f aca="false">IF(INDEX(Pengaturan!$B$8:$B$27,L$4)="",0,COUNTIF(Data!$B495:$U495,INDEX(Pengaturan!$B$8:$B$27,L$4)))</f>
        <v>0</v>
      </c>
      <c r="M495" s="26" t="n">
        <f aca="false">IF(INDEX(Pengaturan!$B$8:$B$27,M$4)="",0,COUNTIF(Data!$B495:$U495,INDEX(Pengaturan!$B$8:$B$27,M$4)))</f>
        <v>0</v>
      </c>
      <c r="N495" s="26" t="n">
        <f aca="false">IF(INDEX(Pengaturan!$B$8:$B$27,N$4)="",0,COUNTIF(Data!$B495:$U495,INDEX(Pengaturan!$B$8:$B$27,N$4)))</f>
        <v>0</v>
      </c>
      <c r="O495" s="26" t="n">
        <f aca="false">IF(INDEX(Pengaturan!$B$8:$B$27,O$4)="",0,COUNTIF(Data!$B495:$U495,INDEX(Pengaturan!$B$8:$B$27,O$4)))</f>
        <v>0</v>
      </c>
      <c r="P495" s="26" t="n">
        <f aca="false">IF(INDEX(Pengaturan!$B$8:$B$27,P$4)="",0,COUNTIF(Data!$B495:$U495,INDEX(Pengaturan!$B$8:$B$27,P$4)))</f>
        <v>0</v>
      </c>
      <c r="Q495" s="26" t="n">
        <f aca="false">IF(INDEX(Pengaturan!$B$8:$B$27,Q$4)="",0,COUNTIF(Data!$B495:$U495,INDEX(Pengaturan!$B$8:$B$27,Q$4)))</f>
        <v>0</v>
      </c>
      <c r="R495" s="26" t="n">
        <f aca="false">IF(INDEX(Pengaturan!$B$8:$B$27,R$4)="",0,COUNTIF(Data!$B495:$U495,INDEX(Pengaturan!$B$8:$B$27,R$4)))</f>
        <v>0</v>
      </c>
      <c r="S495" s="26" t="n">
        <f aca="false">IF(INDEX(Pengaturan!$B$8:$B$27,S$4)="",0,COUNTIF(Data!$B495:$U495,INDEX(Pengaturan!$B$8:$B$27,S$4)))</f>
        <v>0</v>
      </c>
      <c r="T495" s="26" t="n">
        <f aca="false">IF(INDEX(Pengaturan!$B$8:$B$27,T$4)="",0,COUNTIF(Data!$B495:$U495,INDEX(Pengaturan!$B$8:$B$27,T$4)))</f>
        <v>0</v>
      </c>
      <c r="U495" s="26" t="n">
        <f aca="false">IF(INDEX(Pengaturan!$B$8:$B$27,U$4)="",0,COUNTIF(Data!$B495:$U495,INDEX(Pengaturan!$B$8:$B$27,U$4)))</f>
        <v>0</v>
      </c>
      <c r="V495" s="26" t="n">
        <f aca="false">COUNTA(Data!$B495:$U495)</f>
        <v>0</v>
      </c>
      <c r="W495" s="27" t="str">
        <f aca="false">IF(V495=0,"",IF(V495&lt;&gt;Hasil!$C$4,"Data kosong/tidak lengkap",IF(SUM(B495:U495)&lt;&gt;V495,"Kategori tidak dikenal","OK")))</f>
        <v/>
      </c>
      <c r="X495" s="26" t="n">
        <f aca="false">IF(OR(W495="",W495="OK"),0,1)</f>
        <v>0</v>
      </c>
    </row>
    <row r="496" customFormat="false" ht="15" hidden="false" customHeight="false" outlineLevel="0" collapsed="false">
      <c r="A496" s="26" t="n">
        <f aca="false">Data!A496</f>
        <v>491</v>
      </c>
      <c r="B496" s="26" t="n">
        <f aca="false">IF(INDEX(Pengaturan!$B$8:$B$27,B$4)="",0,COUNTIF(Data!$B496:$U496,INDEX(Pengaturan!$B$8:$B$27,B$4)))</f>
        <v>0</v>
      </c>
      <c r="C496" s="26" t="n">
        <f aca="false">IF(INDEX(Pengaturan!$B$8:$B$27,C$4)="",0,COUNTIF(Data!$B496:$U496,INDEX(Pengaturan!$B$8:$B$27,C$4)))</f>
        <v>0</v>
      </c>
      <c r="D496" s="26" t="n">
        <f aca="false">IF(INDEX(Pengaturan!$B$8:$B$27,D$4)="",0,COUNTIF(Data!$B496:$U496,INDEX(Pengaturan!$B$8:$B$27,D$4)))</f>
        <v>0</v>
      </c>
      <c r="E496" s="26" t="n">
        <f aca="false">IF(INDEX(Pengaturan!$B$8:$B$27,E$4)="",0,COUNTIF(Data!$B496:$U496,INDEX(Pengaturan!$B$8:$B$27,E$4)))</f>
        <v>0</v>
      </c>
      <c r="F496" s="26" t="n">
        <f aca="false">IF(INDEX(Pengaturan!$B$8:$B$27,F$4)="",0,COUNTIF(Data!$B496:$U496,INDEX(Pengaturan!$B$8:$B$27,F$4)))</f>
        <v>0</v>
      </c>
      <c r="G496" s="26" t="n">
        <f aca="false">IF(INDEX(Pengaturan!$B$8:$B$27,G$4)="",0,COUNTIF(Data!$B496:$U496,INDEX(Pengaturan!$B$8:$B$27,G$4)))</f>
        <v>0</v>
      </c>
      <c r="H496" s="26" t="n">
        <f aca="false">IF(INDEX(Pengaturan!$B$8:$B$27,H$4)="",0,COUNTIF(Data!$B496:$U496,INDEX(Pengaturan!$B$8:$B$27,H$4)))</f>
        <v>0</v>
      </c>
      <c r="I496" s="26" t="n">
        <f aca="false">IF(INDEX(Pengaturan!$B$8:$B$27,I$4)="",0,COUNTIF(Data!$B496:$U496,INDEX(Pengaturan!$B$8:$B$27,I$4)))</f>
        <v>0</v>
      </c>
      <c r="J496" s="26" t="n">
        <f aca="false">IF(INDEX(Pengaturan!$B$8:$B$27,J$4)="",0,COUNTIF(Data!$B496:$U496,INDEX(Pengaturan!$B$8:$B$27,J$4)))</f>
        <v>0</v>
      </c>
      <c r="K496" s="26" t="n">
        <f aca="false">IF(INDEX(Pengaturan!$B$8:$B$27,K$4)="",0,COUNTIF(Data!$B496:$U496,INDEX(Pengaturan!$B$8:$B$27,K$4)))</f>
        <v>0</v>
      </c>
      <c r="L496" s="26" t="n">
        <f aca="false">IF(INDEX(Pengaturan!$B$8:$B$27,L$4)="",0,COUNTIF(Data!$B496:$U496,INDEX(Pengaturan!$B$8:$B$27,L$4)))</f>
        <v>0</v>
      </c>
      <c r="M496" s="26" t="n">
        <f aca="false">IF(INDEX(Pengaturan!$B$8:$B$27,M$4)="",0,COUNTIF(Data!$B496:$U496,INDEX(Pengaturan!$B$8:$B$27,M$4)))</f>
        <v>0</v>
      </c>
      <c r="N496" s="26" t="n">
        <f aca="false">IF(INDEX(Pengaturan!$B$8:$B$27,N$4)="",0,COUNTIF(Data!$B496:$U496,INDEX(Pengaturan!$B$8:$B$27,N$4)))</f>
        <v>0</v>
      </c>
      <c r="O496" s="26" t="n">
        <f aca="false">IF(INDEX(Pengaturan!$B$8:$B$27,O$4)="",0,COUNTIF(Data!$B496:$U496,INDEX(Pengaturan!$B$8:$B$27,O$4)))</f>
        <v>0</v>
      </c>
      <c r="P496" s="26" t="n">
        <f aca="false">IF(INDEX(Pengaturan!$B$8:$B$27,P$4)="",0,COUNTIF(Data!$B496:$U496,INDEX(Pengaturan!$B$8:$B$27,P$4)))</f>
        <v>0</v>
      </c>
      <c r="Q496" s="26" t="n">
        <f aca="false">IF(INDEX(Pengaturan!$B$8:$B$27,Q$4)="",0,COUNTIF(Data!$B496:$U496,INDEX(Pengaturan!$B$8:$B$27,Q$4)))</f>
        <v>0</v>
      </c>
      <c r="R496" s="26" t="n">
        <f aca="false">IF(INDEX(Pengaturan!$B$8:$B$27,R$4)="",0,COUNTIF(Data!$B496:$U496,INDEX(Pengaturan!$B$8:$B$27,R$4)))</f>
        <v>0</v>
      </c>
      <c r="S496" s="26" t="n">
        <f aca="false">IF(INDEX(Pengaturan!$B$8:$B$27,S$4)="",0,COUNTIF(Data!$B496:$U496,INDEX(Pengaturan!$B$8:$B$27,S$4)))</f>
        <v>0</v>
      </c>
      <c r="T496" s="26" t="n">
        <f aca="false">IF(INDEX(Pengaturan!$B$8:$B$27,T$4)="",0,COUNTIF(Data!$B496:$U496,INDEX(Pengaturan!$B$8:$B$27,T$4)))</f>
        <v>0</v>
      </c>
      <c r="U496" s="26" t="n">
        <f aca="false">IF(INDEX(Pengaturan!$B$8:$B$27,U$4)="",0,COUNTIF(Data!$B496:$U496,INDEX(Pengaturan!$B$8:$B$27,U$4)))</f>
        <v>0</v>
      </c>
      <c r="V496" s="26" t="n">
        <f aca="false">COUNTA(Data!$B496:$U496)</f>
        <v>0</v>
      </c>
      <c r="W496" s="27" t="str">
        <f aca="false">IF(V496=0,"",IF(V496&lt;&gt;Hasil!$C$4,"Data kosong/tidak lengkap",IF(SUM(B496:U496)&lt;&gt;V496,"Kategori tidak dikenal","OK")))</f>
        <v/>
      </c>
      <c r="X496" s="26" t="n">
        <f aca="false">IF(OR(W496="",W496="OK"),0,1)</f>
        <v>0</v>
      </c>
    </row>
    <row r="497" customFormat="false" ht="15" hidden="false" customHeight="false" outlineLevel="0" collapsed="false">
      <c r="A497" s="26" t="n">
        <f aca="false">Data!A497</f>
        <v>492</v>
      </c>
      <c r="B497" s="26" t="n">
        <f aca="false">IF(INDEX(Pengaturan!$B$8:$B$27,B$4)="",0,COUNTIF(Data!$B497:$U497,INDEX(Pengaturan!$B$8:$B$27,B$4)))</f>
        <v>0</v>
      </c>
      <c r="C497" s="26" t="n">
        <f aca="false">IF(INDEX(Pengaturan!$B$8:$B$27,C$4)="",0,COUNTIF(Data!$B497:$U497,INDEX(Pengaturan!$B$8:$B$27,C$4)))</f>
        <v>0</v>
      </c>
      <c r="D497" s="26" t="n">
        <f aca="false">IF(INDEX(Pengaturan!$B$8:$B$27,D$4)="",0,COUNTIF(Data!$B497:$U497,INDEX(Pengaturan!$B$8:$B$27,D$4)))</f>
        <v>0</v>
      </c>
      <c r="E497" s="26" t="n">
        <f aca="false">IF(INDEX(Pengaturan!$B$8:$B$27,E$4)="",0,COUNTIF(Data!$B497:$U497,INDEX(Pengaturan!$B$8:$B$27,E$4)))</f>
        <v>0</v>
      </c>
      <c r="F497" s="26" t="n">
        <f aca="false">IF(INDEX(Pengaturan!$B$8:$B$27,F$4)="",0,COUNTIF(Data!$B497:$U497,INDEX(Pengaturan!$B$8:$B$27,F$4)))</f>
        <v>0</v>
      </c>
      <c r="G497" s="26" t="n">
        <f aca="false">IF(INDEX(Pengaturan!$B$8:$B$27,G$4)="",0,COUNTIF(Data!$B497:$U497,INDEX(Pengaturan!$B$8:$B$27,G$4)))</f>
        <v>0</v>
      </c>
      <c r="H497" s="26" t="n">
        <f aca="false">IF(INDEX(Pengaturan!$B$8:$B$27,H$4)="",0,COUNTIF(Data!$B497:$U497,INDEX(Pengaturan!$B$8:$B$27,H$4)))</f>
        <v>0</v>
      </c>
      <c r="I497" s="26" t="n">
        <f aca="false">IF(INDEX(Pengaturan!$B$8:$B$27,I$4)="",0,COUNTIF(Data!$B497:$U497,INDEX(Pengaturan!$B$8:$B$27,I$4)))</f>
        <v>0</v>
      </c>
      <c r="J497" s="26" t="n">
        <f aca="false">IF(INDEX(Pengaturan!$B$8:$B$27,J$4)="",0,COUNTIF(Data!$B497:$U497,INDEX(Pengaturan!$B$8:$B$27,J$4)))</f>
        <v>0</v>
      </c>
      <c r="K497" s="26" t="n">
        <f aca="false">IF(INDEX(Pengaturan!$B$8:$B$27,K$4)="",0,COUNTIF(Data!$B497:$U497,INDEX(Pengaturan!$B$8:$B$27,K$4)))</f>
        <v>0</v>
      </c>
      <c r="L497" s="26" t="n">
        <f aca="false">IF(INDEX(Pengaturan!$B$8:$B$27,L$4)="",0,COUNTIF(Data!$B497:$U497,INDEX(Pengaturan!$B$8:$B$27,L$4)))</f>
        <v>0</v>
      </c>
      <c r="M497" s="26" t="n">
        <f aca="false">IF(INDEX(Pengaturan!$B$8:$B$27,M$4)="",0,COUNTIF(Data!$B497:$U497,INDEX(Pengaturan!$B$8:$B$27,M$4)))</f>
        <v>0</v>
      </c>
      <c r="N497" s="26" t="n">
        <f aca="false">IF(INDEX(Pengaturan!$B$8:$B$27,N$4)="",0,COUNTIF(Data!$B497:$U497,INDEX(Pengaturan!$B$8:$B$27,N$4)))</f>
        <v>0</v>
      </c>
      <c r="O497" s="26" t="n">
        <f aca="false">IF(INDEX(Pengaturan!$B$8:$B$27,O$4)="",0,COUNTIF(Data!$B497:$U497,INDEX(Pengaturan!$B$8:$B$27,O$4)))</f>
        <v>0</v>
      </c>
      <c r="P497" s="26" t="n">
        <f aca="false">IF(INDEX(Pengaturan!$B$8:$B$27,P$4)="",0,COUNTIF(Data!$B497:$U497,INDEX(Pengaturan!$B$8:$B$27,P$4)))</f>
        <v>0</v>
      </c>
      <c r="Q497" s="26" t="n">
        <f aca="false">IF(INDEX(Pengaturan!$B$8:$B$27,Q$4)="",0,COUNTIF(Data!$B497:$U497,INDEX(Pengaturan!$B$8:$B$27,Q$4)))</f>
        <v>0</v>
      </c>
      <c r="R497" s="26" t="n">
        <f aca="false">IF(INDEX(Pengaturan!$B$8:$B$27,R$4)="",0,COUNTIF(Data!$B497:$U497,INDEX(Pengaturan!$B$8:$B$27,R$4)))</f>
        <v>0</v>
      </c>
      <c r="S497" s="26" t="n">
        <f aca="false">IF(INDEX(Pengaturan!$B$8:$B$27,S$4)="",0,COUNTIF(Data!$B497:$U497,INDEX(Pengaturan!$B$8:$B$27,S$4)))</f>
        <v>0</v>
      </c>
      <c r="T497" s="26" t="n">
        <f aca="false">IF(INDEX(Pengaturan!$B$8:$B$27,T$4)="",0,COUNTIF(Data!$B497:$U497,INDEX(Pengaturan!$B$8:$B$27,T$4)))</f>
        <v>0</v>
      </c>
      <c r="U497" s="26" t="n">
        <f aca="false">IF(INDEX(Pengaturan!$B$8:$B$27,U$4)="",0,COUNTIF(Data!$B497:$U497,INDEX(Pengaturan!$B$8:$B$27,U$4)))</f>
        <v>0</v>
      </c>
      <c r="V497" s="26" t="n">
        <f aca="false">COUNTA(Data!$B497:$U497)</f>
        <v>0</v>
      </c>
      <c r="W497" s="27" t="str">
        <f aca="false">IF(V497=0,"",IF(V497&lt;&gt;Hasil!$C$4,"Data kosong/tidak lengkap",IF(SUM(B497:U497)&lt;&gt;V497,"Kategori tidak dikenal","OK")))</f>
        <v/>
      </c>
      <c r="X497" s="26" t="n">
        <f aca="false">IF(OR(W497="",W497="OK"),0,1)</f>
        <v>0</v>
      </c>
    </row>
    <row r="498" customFormat="false" ht="15" hidden="false" customHeight="false" outlineLevel="0" collapsed="false">
      <c r="A498" s="26" t="n">
        <f aca="false">Data!A498</f>
        <v>493</v>
      </c>
      <c r="B498" s="26" t="n">
        <f aca="false">IF(INDEX(Pengaturan!$B$8:$B$27,B$4)="",0,COUNTIF(Data!$B498:$U498,INDEX(Pengaturan!$B$8:$B$27,B$4)))</f>
        <v>0</v>
      </c>
      <c r="C498" s="26" t="n">
        <f aca="false">IF(INDEX(Pengaturan!$B$8:$B$27,C$4)="",0,COUNTIF(Data!$B498:$U498,INDEX(Pengaturan!$B$8:$B$27,C$4)))</f>
        <v>0</v>
      </c>
      <c r="D498" s="26" t="n">
        <f aca="false">IF(INDEX(Pengaturan!$B$8:$B$27,D$4)="",0,COUNTIF(Data!$B498:$U498,INDEX(Pengaturan!$B$8:$B$27,D$4)))</f>
        <v>0</v>
      </c>
      <c r="E498" s="26" t="n">
        <f aca="false">IF(INDEX(Pengaturan!$B$8:$B$27,E$4)="",0,COUNTIF(Data!$B498:$U498,INDEX(Pengaturan!$B$8:$B$27,E$4)))</f>
        <v>0</v>
      </c>
      <c r="F498" s="26" t="n">
        <f aca="false">IF(INDEX(Pengaturan!$B$8:$B$27,F$4)="",0,COUNTIF(Data!$B498:$U498,INDEX(Pengaturan!$B$8:$B$27,F$4)))</f>
        <v>0</v>
      </c>
      <c r="G498" s="26" t="n">
        <f aca="false">IF(INDEX(Pengaturan!$B$8:$B$27,G$4)="",0,COUNTIF(Data!$B498:$U498,INDEX(Pengaturan!$B$8:$B$27,G$4)))</f>
        <v>0</v>
      </c>
      <c r="H498" s="26" t="n">
        <f aca="false">IF(INDEX(Pengaturan!$B$8:$B$27,H$4)="",0,COUNTIF(Data!$B498:$U498,INDEX(Pengaturan!$B$8:$B$27,H$4)))</f>
        <v>0</v>
      </c>
      <c r="I498" s="26" t="n">
        <f aca="false">IF(INDEX(Pengaturan!$B$8:$B$27,I$4)="",0,COUNTIF(Data!$B498:$U498,INDEX(Pengaturan!$B$8:$B$27,I$4)))</f>
        <v>0</v>
      </c>
      <c r="J498" s="26" t="n">
        <f aca="false">IF(INDEX(Pengaturan!$B$8:$B$27,J$4)="",0,COUNTIF(Data!$B498:$U498,INDEX(Pengaturan!$B$8:$B$27,J$4)))</f>
        <v>0</v>
      </c>
      <c r="K498" s="26" t="n">
        <f aca="false">IF(INDEX(Pengaturan!$B$8:$B$27,K$4)="",0,COUNTIF(Data!$B498:$U498,INDEX(Pengaturan!$B$8:$B$27,K$4)))</f>
        <v>0</v>
      </c>
      <c r="L498" s="26" t="n">
        <f aca="false">IF(INDEX(Pengaturan!$B$8:$B$27,L$4)="",0,COUNTIF(Data!$B498:$U498,INDEX(Pengaturan!$B$8:$B$27,L$4)))</f>
        <v>0</v>
      </c>
      <c r="M498" s="26" t="n">
        <f aca="false">IF(INDEX(Pengaturan!$B$8:$B$27,M$4)="",0,COUNTIF(Data!$B498:$U498,INDEX(Pengaturan!$B$8:$B$27,M$4)))</f>
        <v>0</v>
      </c>
      <c r="N498" s="26" t="n">
        <f aca="false">IF(INDEX(Pengaturan!$B$8:$B$27,N$4)="",0,COUNTIF(Data!$B498:$U498,INDEX(Pengaturan!$B$8:$B$27,N$4)))</f>
        <v>0</v>
      </c>
      <c r="O498" s="26" t="n">
        <f aca="false">IF(INDEX(Pengaturan!$B$8:$B$27,O$4)="",0,COUNTIF(Data!$B498:$U498,INDEX(Pengaturan!$B$8:$B$27,O$4)))</f>
        <v>0</v>
      </c>
      <c r="P498" s="26" t="n">
        <f aca="false">IF(INDEX(Pengaturan!$B$8:$B$27,P$4)="",0,COUNTIF(Data!$B498:$U498,INDEX(Pengaturan!$B$8:$B$27,P$4)))</f>
        <v>0</v>
      </c>
      <c r="Q498" s="26" t="n">
        <f aca="false">IF(INDEX(Pengaturan!$B$8:$B$27,Q$4)="",0,COUNTIF(Data!$B498:$U498,INDEX(Pengaturan!$B$8:$B$27,Q$4)))</f>
        <v>0</v>
      </c>
      <c r="R498" s="26" t="n">
        <f aca="false">IF(INDEX(Pengaturan!$B$8:$B$27,R$4)="",0,COUNTIF(Data!$B498:$U498,INDEX(Pengaturan!$B$8:$B$27,R$4)))</f>
        <v>0</v>
      </c>
      <c r="S498" s="26" t="n">
        <f aca="false">IF(INDEX(Pengaturan!$B$8:$B$27,S$4)="",0,COUNTIF(Data!$B498:$U498,INDEX(Pengaturan!$B$8:$B$27,S$4)))</f>
        <v>0</v>
      </c>
      <c r="T498" s="26" t="n">
        <f aca="false">IF(INDEX(Pengaturan!$B$8:$B$27,T$4)="",0,COUNTIF(Data!$B498:$U498,INDEX(Pengaturan!$B$8:$B$27,T$4)))</f>
        <v>0</v>
      </c>
      <c r="U498" s="26" t="n">
        <f aca="false">IF(INDEX(Pengaturan!$B$8:$B$27,U$4)="",0,COUNTIF(Data!$B498:$U498,INDEX(Pengaturan!$B$8:$B$27,U$4)))</f>
        <v>0</v>
      </c>
      <c r="V498" s="26" t="n">
        <f aca="false">COUNTA(Data!$B498:$U498)</f>
        <v>0</v>
      </c>
      <c r="W498" s="27" t="str">
        <f aca="false">IF(V498=0,"",IF(V498&lt;&gt;Hasil!$C$4,"Data kosong/tidak lengkap",IF(SUM(B498:U498)&lt;&gt;V498,"Kategori tidak dikenal","OK")))</f>
        <v/>
      </c>
      <c r="X498" s="26" t="n">
        <f aca="false">IF(OR(W498="",W498="OK"),0,1)</f>
        <v>0</v>
      </c>
    </row>
    <row r="499" customFormat="false" ht="15" hidden="false" customHeight="false" outlineLevel="0" collapsed="false">
      <c r="A499" s="26" t="n">
        <f aca="false">Data!A499</f>
        <v>494</v>
      </c>
      <c r="B499" s="26" t="n">
        <f aca="false">IF(INDEX(Pengaturan!$B$8:$B$27,B$4)="",0,COUNTIF(Data!$B499:$U499,INDEX(Pengaturan!$B$8:$B$27,B$4)))</f>
        <v>0</v>
      </c>
      <c r="C499" s="26" t="n">
        <f aca="false">IF(INDEX(Pengaturan!$B$8:$B$27,C$4)="",0,COUNTIF(Data!$B499:$U499,INDEX(Pengaturan!$B$8:$B$27,C$4)))</f>
        <v>0</v>
      </c>
      <c r="D499" s="26" t="n">
        <f aca="false">IF(INDEX(Pengaturan!$B$8:$B$27,D$4)="",0,COUNTIF(Data!$B499:$U499,INDEX(Pengaturan!$B$8:$B$27,D$4)))</f>
        <v>0</v>
      </c>
      <c r="E499" s="26" t="n">
        <f aca="false">IF(INDEX(Pengaturan!$B$8:$B$27,E$4)="",0,COUNTIF(Data!$B499:$U499,INDEX(Pengaturan!$B$8:$B$27,E$4)))</f>
        <v>0</v>
      </c>
      <c r="F499" s="26" t="n">
        <f aca="false">IF(INDEX(Pengaturan!$B$8:$B$27,F$4)="",0,COUNTIF(Data!$B499:$U499,INDEX(Pengaturan!$B$8:$B$27,F$4)))</f>
        <v>0</v>
      </c>
      <c r="G499" s="26" t="n">
        <f aca="false">IF(INDEX(Pengaturan!$B$8:$B$27,G$4)="",0,COUNTIF(Data!$B499:$U499,INDEX(Pengaturan!$B$8:$B$27,G$4)))</f>
        <v>0</v>
      </c>
      <c r="H499" s="26" t="n">
        <f aca="false">IF(INDEX(Pengaturan!$B$8:$B$27,H$4)="",0,COUNTIF(Data!$B499:$U499,INDEX(Pengaturan!$B$8:$B$27,H$4)))</f>
        <v>0</v>
      </c>
      <c r="I499" s="26" t="n">
        <f aca="false">IF(INDEX(Pengaturan!$B$8:$B$27,I$4)="",0,COUNTIF(Data!$B499:$U499,INDEX(Pengaturan!$B$8:$B$27,I$4)))</f>
        <v>0</v>
      </c>
      <c r="J499" s="26" t="n">
        <f aca="false">IF(INDEX(Pengaturan!$B$8:$B$27,J$4)="",0,COUNTIF(Data!$B499:$U499,INDEX(Pengaturan!$B$8:$B$27,J$4)))</f>
        <v>0</v>
      </c>
      <c r="K499" s="26" t="n">
        <f aca="false">IF(INDEX(Pengaturan!$B$8:$B$27,K$4)="",0,COUNTIF(Data!$B499:$U499,INDEX(Pengaturan!$B$8:$B$27,K$4)))</f>
        <v>0</v>
      </c>
      <c r="L499" s="26" t="n">
        <f aca="false">IF(INDEX(Pengaturan!$B$8:$B$27,L$4)="",0,COUNTIF(Data!$B499:$U499,INDEX(Pengaturan!$B$8:$B$27,L$4)))</f>
        <v>0</v>
      </c>
      <c r="M499" s="26" t="n">
        <f aca="false">IF(INDEX(Pengaturan!$B$8:$B$27,M$4)="",0,COUNTIF(Data!$B499:$U499,INDEX(Pengaturan!$B$8:$B$27,M$4)))</f>
        <v>0</v>
      </c>
      <c r="N499" s="26" t="n">
        <f aca="false">IF(INDEX(Pengaturan!$B$8:$B$27,N$4)="",0,COUNTIF(Data!$B499:$U499,INDEX(Pengaturan!$B$8:$B$27,N$4)))</f>
        <v>0</v>
      </c>
      <c r="O499" s="26" t="n">
        <f aca="false">IF(INDEX(Pengaturan!$B$8:$B$27,O$4)="",0,COUNTIF(Data!$B499:$U499,INDEX(Pengaturan!$B$8:$B$27,O$4)))</f>
        <v>0</v>
      </c>
      <c r="P499" s="26" t="n">
        <f aca="false">IF(INDEX(Pengaturan!$B$8:$B$27,P$4)="",0,COUNTIF(Data!$B499:$U499,INDEX(Pengaturan!$B$8:$B$27,P$4)))</f>
        <v>0</v>
      </c>
      <c r="Q499" s="26" t="n">
        <f aca="false">IF(INDEX(Pengaturan!$B$8:$B$27,Q$4)="",0,COUNTIF(Data!$B499:$U499,INDEX(Pengaturan!$B$8:$B$27,Q$4)))</f>
        <v>0</v>
      </c>
      <c r="R499" s="26" t="n">
        <f aca="false">IF(INDEX(Pengaturan!$B$8:$B$27,R$4)="",0,COUNTIF(Data!$B499:$U499,INDEX(Pengaturan!$B$8:$B$27,R$4)))</f>
        <v>0</v>
      </c>
      <c r="S499" s="26" t="n">
        <f aca="false">IF(INDEX(Pengaturan!$B$8:$B$27,S$4)="",0,COUNTIF(Data!$B499:$U499,INDEX(Pengaturan!$B$8:$B$27,S$4)))</f>
        <v>0</v>
      </c>
      <c r="T499" s="26" t="n">
        <f aca="false">IF(INDEX(Pengaturan!$B$8:$B$27,T$4)="",0,COUNTIF(Data!$B499:$U499,INDEX(Pengaturan!$B$8:$B$27,T$4)))</f>
        <v>0</v>
      </c>
      <c r="U499" s="26" t="n">
        <f aca="false">IF(INDEX(Pengaturan!$B$8:$B$27,U$4)="",0,COUNTIF(Data!$B499:$U499,INDEX(Pengaturan!$B$8:$B$27,U$4)))</f>
        <v>0</v>
      </c>
      <c r="V499" s="26" t="n">
        <f aca="false">COUNTA(Data!$B499:$U499)</f>
        <v>0</v>
      </c>
      <c r="W499" s="27" t="str">
        <f aca="false">IF(V499=0,"",IF(V499&lt;&gt;Hasil!$C$4,"Data kosong/tidak lengkap",IF(SUM(B499:U499)&lt;&gt;V499,"Kategori tidak dikenal","OK")))</f>
        <v/>
      </c>
      <c r="X499" s="26" t="n">
        <f aca="false">IF(OR(W499="",W499="OK"),0,1)</f>
        <v>0</v>
      </c>
    </row>
    <row r="500" customFormat="false" ht="15" hidden="false" customHeight="false" outlineLevel="0" collapsed="false">
      <c r="A500" s="26" t="n">
        <f aca="false">Data!A500</f>
        <v>495</v>
      </c>
      <c r="B500" s="26" t="n">
        <f aca="false">IF(INDEX(Pengaturan!$B$8:$B$27,B$4)="",0,COUNTIF(Data!$B500:$U500,INDEX(Pengaturan!$B$8:$B$27,B$4)))</f>
        <v>0</v>
      </c>
      <c r="C500" s="26" t="n">
        <f aca="false">IF(INDEX(Pengaturan!$B$8:$B$27,C$4)="",0,COUNTIF(Data!$B500:$U500,INDEX(Pengaturan!$B$8:$B$27,C$4)))</f>
        <v>0</v>
      </c>
      <c r="D500" s="26" t="n">
        <f aca="false">IF(INDEX(Pengaturan!$B$8:$B$27,D$4)="",0,COUNTIF(Data!$B500:$U500,INDEX(Pengaturan!$B$8:$B$27,D$4)))</f>
        <v>0</v>
      </c>
      <c r="E500" s="26" t="n">
        <f aca="false">IF(INDEX(Pengaturan!$B$8:$B$27,E$4)="",0,COUNTIF(Data!$B500:$U500,INDEX(Pengaturan!$B$8:$B$27,E$4)))</f>
        <v>0</v>
      </c>
      <c r="F500" s="26" t="n">
        <f aca="false">IF(INDEX(Pengaturan!$B$8:$B$27,F$4)="",0,COUNTIF(Data!$B500:$U500,INDEX(Pengaturan!$B$8:$B$27,F$4)))</f>
        <v>0</v>
      </c>
      <c r="G500" s="26" t="n">
        <f aca="false">IF(INDEX(Pengaturan!$B$8:$B$27,G$4)="",0,COUNTIF(Data!$B500:$U500,INDEX(Pengaturan!$B$8:$B$27,G$4)))</f>
        <v>0</v>
      </c>
      <c r="H500" s="26" t="n">
        <f aca="false">IF(INDEX(Pengaturan!$B$8:$B$27,H$4)="",0,COUNTIF(Data!$B500:$U500,INDEX(Pengaturan!$B$8:$B$27,H$4)))</f>
        <v>0</v>
      </c>
      <c r="I500" s="26" t="n">
        <f aca="false">IF(INDEX(Pengaturan!$B$8:$B$27,I$4)="",0,COUNTIF(Data!$B500:$U500,INDEX(Pengaturan!$B$8:$B$27,I$4)))</f>
        <v>0</v>
      </c>
      <c r="J500" s="26" t="n">
        <f aca="false">IF(INDEX(Pengaturan!$B$8:$B$27,J$4)="",0,COUNTIF(Data!$B500:$U500,INDEX(Pengaturan!$B$8:$B$27,J$4)))</f>
        <v>0</v>
      </c>
      <c r="K500" s="26" t="n">
        <f aca="false">IF(INDEX(Pengaturan!$B$8:$B$27,K$4)="",0,COUNTIF(Data!$B500:$U500,INDEX(Pengaturan!$B$8:$B$27,K$4)))</f>
        <v>0</v>
      </c>
      <c r="L500" s="26" t="n">
        <f aca="false">IF(INDEX(Pengaturan!$B$8:$B$27,L$4)="",0,COUNTIF(Data!$B500:$U500,INDEX(Pengaturan!$B$8:$B$27,L$4)))</f>
        <v>0</v>
      </c>
      <c r="M500" s="26" t="n">
        <f aca="false">IF(INDEX(Pengaturan!$B$8:$B$27,M$4)="",0,COUNTIF(Data!$B500:$U500,INDEX(Pengaturan!$B$8:$B$27,M$4)))</f>
        <v>0</v>
      </c>
      <c r="N500" s="26" t="n">
        <f aca="false">IF(INDEX(Pengaturan!$B$8:$B$27,N$4)="",0,COUNTIF(Data!$B500:$U500,INDEX(Pengaturan!$B$8:$B$27,N$4)))</f>
        <v>0</v>
      </c>
      <c r="O500" s="26" t="n">
        <f aca="false">IF(INDEX(Pengaturan!$B$8:$B$27,O$4)="",0,COUNTIF(Data!$B500:$U500,INDEX(Pengaturan!$B$8:$B$27,O$4)))</f>
        <v>0</v>
      </c>
      <c r="P500" s="26" t="n">
        <f aca="false">IF(INDEX(Pengaturan!$B$8:$B$27,P$4)="",0,COUNTIF(Data!$B500:$U500,INDEX(Pengaturan!$B$8:$B$27,P$4)))</f>
        <v>0</v>
      </c>
      <c r="Q500" s="26" t="n">
        <f aca="false">IF(INDEX(Pengaturan!$B$8:$B$27,Q$4)="",0,COUNTIF(Data!$B500:$U500,INDEX(Pengaturan!$B$8:$B$27,Q$4)))</f>
        <v>0</v>
      </c>
      <c r="R500" s="26" t="n">
        <f aca="false">IF(INDEX(Pengaturan!$B$8:$B$27,R$4)="",0,COUNTIF(Data!$B500:$U500,INDEX(Pengaturan!$B$8:$B$27,R$4)))</f>
        <v>0</v>
      </c>
      <c r="S500" s="26" t="n">
        <f aca="false">IF(INDEX(Pengaturan!$B$8:$B$27,S$4)="",0,COUNTIF(Data!$B500:$U500,INDEX(Pengaturan!$B$8:$B$27,S$4)))</f>
        <v>0</v>
      </c>
      <c r="T500" s="26" t="n">
        <f aca="false">IF(INDEX(Pengaturan!$B$8:$B$27,T$4)="",0,COUNTIF(Data!$B500:$U500,INDEX(Pengaturan!$B$8:$B$27,T$4)))</f>
        <v>0</v>
      </c>
      <c r="U500" s="26" t="n">
        <f aca="false">IF(INDEX(Pengaturan!$B$8:$B$27,U$4)="",0,COUNTIF(Data!$B500:$U500,INDEX(Pengaturan!$B$8:$B$27,U$4)))</f>
        <v>0</v>
      </c>
      <c r="V500" s="26" t="n">
        <f aca="false">COUNTA(Data!$B500:$U500)</f>
        <v>0</v>
      </c>
      <c r="W500" s="27" t="str">
        <f aca="false">IF(V500=0,"",IF(V500&lt;&gt;Hasil!$C$4,"Data kosong/tidak lengkap",IF(SUM(B500:U500)&lt;&gt;V500,"Kategori tidak dikenal","OK")))</f>
        <v/>
      </c>
      <c r="X500" s="26" t="n">
        <f aca="false">IF(OR(W500="",W500="OK"),0,1)</f>
        <v>0</v>
      </c>
    </row>
    <row r="501" customFormat="false" ht="15" hidden="false" customHeight="false" outlineLevel="0" collapsed="false">
      <c r="A501" s="26" t="n">
        <f aca="false">Data!A501</f>
        <v>496</v>
      </c>
      <c r="B501" s="26" t="n">
        <f aca="false">IF(INDEX(Pengaturan!$B$8:$B$27,B$4)="",0,COUNTIF(Data!$B501:$U501,INDEX(Pengaturan!$B$8:$B$27,B$4)))</f>
        <v>0</v>
      </c>
      <c r="C501" s="26" t="n">
        <f aca="false">IF(INDEX(Pengaturan!$B$8:$B$27,C$4)="",0,COUNTIF(Data!$B501:$U501,INDEX(Pengaturan!$B$8:$B$27,C$4)))</f>
        <v>0</v>
      </c>
      <c r="D501" s="26" t="n">
        <f aca="false">IF(INDEX(Pengaturan!$B$8:$B$27,D$4)="",0,COUNTIF(Data!$B501:$U501,INDEX(Pengaturan!$B$8:$B$27,D$4)))</f>
        <v>0</v>
      </c>
      <c r="E501" s="26" t="n">
        <f aca="false">IF(INDEX(Pengaturan!$B$8:$B$27,E$4)="",0,COUNTIF(Data!$B501:$U501,INDEX(Pengaturan!$B$8:$B$27,E$4)))</f>
        <v>0</v>
      </c>
      <c r="F501" s="26" t="n">
        <f aca="false">IF(INDEX(Pengaturan!$B$8:$B$27,F$4)="",0,COUNTIF(Data!$B501:$U501,INDEX(Pengaturan!$B$8:$B$27,F$4)))</f>
        <v>0</v>
      </c>
      <c r="G501" s="26" t="n">
        <f aca="false">IF(INDEX(Pengaturan!$B$8:$B$27,G$4)="",0,COUNTIF(Data!$B501:$U501,INDEX(Pengaturan!$B$8:$B$27,G$4)))</f>
        <v>0</v>
      </c>
      <c r="H501" s="26" t="n">
        <f aca="false">IF(INDEX(Pengaturan!$B$8:$B$27,H$4)="",0,COUNTIF(Data!$B501:$U501,INDEX(Pengaturan!$B$8:$B$27,H$4)))</f>
        <v>0</v>
      </c>
      <c r="I501" s="26" t="n">
        <f aca="false">IF(INDEX(Pengaturan!$B$8:$B$27,I$4)="",0,COUNTIF(Data!$B501:$U501,INDEX(Pengaturan!$B$8:$B$27,I$4)))</f>
        <v>0</v>
      </c>
      <c r="J501" s="26" t="n">
        <f aca="false">IF(INDEX(Pengaturan!$B$8:$B$27,J$4)="",0,COUNTIF(Data!$B501:$U501,INDEX(Pengaturan!$B$8:$B$27,J$4)))</f>
        <v>0</v>
      </c>
      <c r="K501" s="26" t="n">
        <f aca="false">IF(INDEX(Pengaturan!$B$8:$B$27,K$4)="",0,COUNTIF(Data!$B501:$U501,INDEX(Pengaturan!$B$8:$B$27,K$4)))</f>
        <v>0</v>
      </c>
      <c r="L501" s="26" t="n">
        <f aca="false">IF(INDEX(Pengaturan!$B$8:$B$27,L$4)="",0,COUNTIF(Data!$B501:$U501,INDEX(Pengaturan!$B$8:$B$27,L$4)))</f>
        <v>0</v>
      </c>
      <c r="M501" s="26" t="n">
        <f aca="false">IF(INDEX(Pengaturan!$B$8:$B$27,M$4)="",0,COUNTIF(Data!$B501:$U501,INDEX(Pengaturan!$B$8:$B$27,M$4)))</f>
        <v>0</v>
      </c>
      <c r="N501" s="26" t="n">
        <f aca="false">IF(INDEX(Pengaturan!$B$8:$B$27,N$4)="",0,COUNTIF(Data!$B501:$U501,INDEX(Pengaturan!$B$8:$B$27,N$4)))</f>
        <v>0</v>
      </c>
      <c r="O501" s="26" t="n">
        <f aca="false">IF(INDEX(Pengaturan!$B$8:$B$27,O$4)="",0,COUNTIF(Data!$B501:$U501,INDEX(Pengaturan!$B$8:$B$27,O$4)))</f>
        <v>0</v>
      </c>
      <c r="P501" s="26" t="n">
        <f aca="false">IF(INDEX(Pengaturan!$B$8:$B$27,P$4)="",0,COUNTIF(Data!$B501:$U501,INDEX(Pengaturan!$B$8:$B$27,P$4)))</f>
        <v>0</v>
      </c>
      <c r="Q501" s="26" t="n">
        <f aca="false">IF(INDEX(Pengaturan!$B$8:$B$27,Q$4)="",0,COUNTIF(Data!$B501:$U501,INDEX(Pengaturan!$B$8:$B$27,Q$4)))</f>
        <v>0</v>
      </c>
      <c r="R501" s="26" t="n">
        <f aca="false">IF(INDEX(Pengaturan!$B$8:$B$27,R$4)="",0,COUNTIF(Data!$B501:$U501,INDEX(Pengaturan!$B$8:$B$27,R$4)))</f>
        <v>0</v>
      </c>
      <c r="S501" s="26" t="n">
        <f aca="false">IF(INDEX(Pengaturan!$B$8:$B$27,S$4)="",0,COUNTIF(Data!$B501:$U501,INDEX(Pengaturan!$B$8:$B$27,S$4)))</f>
        <v>0</v>
      </c>
      <c r="T501" s="26" t="n">
        <f aca="false">IF(INDEX(Pengaturan!$B$8:$B$27,T$4)="",0,COUNTIF(Data!$B501:$U501,INDEX(Pengaturan!$B$8:$B$27,T$4)))</f>
        <v>0</v>
      </c>
      <c r="U501" s="26" t="n">
        <f aca="false">IF(INDEX(Pengaturan!$B$8:$B$27,U$4)="",0,COUNTIF(Data!$B501:$U501,INDEX(Pengaturan!$B$8:$B$27,U$4)))</f>
        <v>0</v>
      </c>
      <c r="V501" s="26" t="n">
        <f aca="false">COUNTA(Data!$B501:$U501)</f>
        <v>0</v>
      </c>
      <c r="W501" s="27" t="str">
        <f aca="false">IF(V501=0,"",IF(V501&lt;&gt;Hasil!$C$4,"Data kosong/tidak lengkap",IF(SUM(B501:U501)&lt;&gt;V501,"Kategori tidak dikenal","OK")))</f>
        <v/>
      </c>
      <c r="X501" s="26" t="n">
        <f aca="false">IF(OR(W501="",W501="OK"),0,1)</f>
        <v>0</v>
      </c>
    </row>
    <row r="502" customFormat="false" ht="15" hidden="false" customHeight="false" outlineLevel="0" collapsed="false">
      <c r="A502" s="26" t="n">
        <f aca="false">Data!A502</f>
        <v>497</v>
      </c>
      <c r="B502" s="26" t="n">
        <f aca="false">IF(INDEX(Pengaturan!$B$8:$B$27,B$4)="",0,COUNTIF(Data!$B502:$U502,INDEX(Pengaturan!$B$8:$B$27,B$4)))</f>
        <v>0</v>
      </c>
      <c r="C502" s="26" t="n">
        <f aca="false">IF(INDEX(Pengaturan!$B$8:$B$27,C$4)="",0,COUNTIF(Data!$B502:$U502,INDEX(Pengaturan!$B$8:$B$27,C$4)))</f>
        <v>0</v>
      </c>
      <c r="D502" s="26" t="n">
        <f aca="false">IF(INDEX(Pengaturan!$B$8:$B$27,D$4)="",0,COUNTIF(Data!$B502:$U502,INDEX(Pengaturan!$B$8:$B$27,D$4)))</f>
        <v>0</v>
      </c>
      <c r="E502" s="26" t="n">
        <f aca="false">IF(INDEX(Pengaturan!$B$8:$B$27,E$4)="",0,COUNTIF(Data!$B502:$U502,INDEX(Pengaturan!$B$8:$B$27,E$4)))</f>
        <v>0</v>
      </c>
      <c r="F502" s="26" t="n">
        <f aca="false">IF(INDEX(Pengaturan!$B$8:$B$27,F$4)="",0,COUNTIF(Data!$B502:$U502,INDEX(Pengaturan!$B$8:$B$27,F$4)))</f>
        <v>0</v>
      </c>
      <c r="G502" s="26" t="n">
        <f aca="false">IF(INDEX(Pengaturan!$B$8:$B$27,G$4)="",0,COUNTIF(Data!$B502:$U502,INDEX(Pengaturan!$B$8:$B$27,G$4)))</f>
        <v>0</v>
      </c>
      <c r="H502" s="26" t="n">
        <f aca="false">IF(INDEX(Pengaturan!$B$8:$B$27,H$4)="",0,COUNTIF(Data!$B502:$U502,INDEX(Pengaturan!$B$8:$B$27,H$4)))</f>
        <v>0</v>
      </c>
      <c r="I502" s="26" t="n">
        <f aca="false">IF(INDEX(Pengaturan!$B$8:$B$27,I$4)="",0,COUNTIF(Data!$B502:$U502,INDEX(Pengaturan!$B$8:$B$27,I$4)))</f>
        <v>0</v>
      </c>
      <c r="J502" s="26" t="n">
        <f aca="false">IF(INDEX(Pengaturan!$B$8:$B$27,J$4)="",0,COUNTIF(Data!$B502:$U502,INDEX(Pengaturan!$B$8:$B$27,J$4)))</f>
        <v>0</v>
      </c>
      <c r="K502" s="26" t="n">
        <f aca="false">IF(INDEX(Pengaturan!$B$8:$B$27,K$4)="",0,COUNTIF(Data!$B502:$U502,INDEX(Pengaturan!$B$8:$B$27,K$4)))</f>
        <v>0</v>
      </c>
      <c r="L502" s="26" t="n">
        <f aca="false">IF(INDEX(Pengaturan!$B$8:$B$27,L$4)="",0,COUNTIF(Data!$B502:$U502,INDEX(Pengaturan!$B$8:$B$27,L$4)))</f>
        <v>0</v>
      </c>
      <c r="M502" s="26" t="n">
        <f aca="false">IF(INDEX(Pengaturan!$B$8:$B$27,M$4)="",0,COUNTIF(Data!$B502:$U502,INDEX(Pengaturan!$B$8:$B$27,M$4)))</f>
        <v>0</v>
      </c>
      <c r="N502" s="26" t="n">
        <f aca="false">IF(INDEX(Pengaturan!$B$8:$B$27,N$4)="",0,COUNTIF(Data!$B502:$U502,INDEX(Pengaturan!$B$8:$B$27,N$4)))</f>
        <v>0</v>
      </c>
      <c r="O502" s="26" t="n">
        <f aca="false">IF(INDEX(Pengaturan!$B$8:$B$27,O$4)="",0,COUNTIF(Data!$B502:$U502,INDEX(Pengaturan!$B$8:$B$27,O$4)))</f>
        <v>0</v>
      </c>
      <c r="P502" s="26" t="n">
        <f aca="false">IF(INDEX(Pengaturan!$B$8:$B$27,P$4)="",0,COUNTIF(Data!$B502:$U502,INDEX(Pengaturan!$B$8:$B$27,P$4)))</f>
        <v>0</v>
      </c>
      <c r="Q502" s="26" t="n">
        <f aca="false">IF(INDEX(Pengaturan!$B$8:$B$27,Q$4)="",0,COUNTIF(Data!$B502:$U502,INDEX(Pengaturan!$B$8:$B$27,Q$4)))</f>
        <v>0</v>
      </c>
      <c r="R502" s="26" t="n">
        <f aca="false">IF(INDEX(Pengaturan!$B$8:$B$27,R$4)="",0,COUNTIF(Data!$B502:$U502,INDEX(Pengaturan!$B$8:$B$27,R$4)))</f>
        <v>0</v>
      </c>
      <c r="S502" s="26" t="n">
        <f aca="false">IF(INDEX(Pengaturan!$B$8:$B$27,S$4)="",0,COUNTIF(Data!$B502:$U502,INDEX(Pengaturan!$B$8:$B$27,S$4)))</f>
        <v>0</v>
      </c>
      <c r="T502" s="26" t="n">
        <f aca="false">IF(INDEX(Pengaturan!$B$8:$B$27,T$4)="",0,COUNTIF(Data!$B502:$U502,INDEX(Pengaturan!$B$8:$B$27,T$4)))</f>
        <v>0</v>
      </c>
      <c r="U502" s="26" t="n">
        <f aca="false">IF(INDEX(Pengaturan!$B$8:$B$27,U$4)="",0,COUNTIF(Data!$B502:$U502,INDEX(Pengaturan!$B$8:$B$27,U$4)))</f>
        <v>0</v>
      </c>
      <c r="V502" s="26" t="n">
        <f aca="false">COUNTA(Data!$B502:$U502)</f>
        <v>0</v>
      </c>
      <c r="W502" s="27" t="str">
        <f aca="false">IF(V502=0,"",IF(V502&lt;&gt;Hasil!$C$4,"Data kosong/tidak lengkap",IF(SUM(B502:U502)&lt;&gt;V502,"Kategori tidak dikenal","OK")))</f>
        <v/>
      </c>
      <c r="X502" s="26" t="n">
        <f aca="false">IF(OR(W502="",W502="OK"),0,1)</f>
        <v>0</v>
      </c>
    </row>
    <row r="503" customFormat="false" ht="15" hidden="false" customHeight="false" outlineLevel="0" collapsed="false">
      <c r="A503" s="26" t="n">
        <f aca="false">Data!A503</f>
        <v>498</v>
      </c>
      <c r="B503" s="26" t="n">
        <f aca="false">IF(INDEX(Pengaturan!$B$8:$B$27,B$4)="",0,COUNTIF(Data!$B503:$U503,INDEX(Pengaturan!$B$8:$B$27,B$4)))</f>
        <v>0</v>
      </c>
      <c r="C503" s="26" t="n">
        <f aca="false">IF(INDEX(Pengaturan!$B$8:$B$27,C$4)="",0,COUNTIF(Data!$B503:$U503,INDEX(Pengaturan!$B$8:$B$27,C$4)))</f>
        <v>0</v>
      </c>
      <c r="D503" s="26" t="n">
        <f aca="false">IF(INDEX(Pengaturan!$B$8:$B$27,D$4)="",0,COUNTIF(Data!$B503:$U503,INDEX(Pengaturan!$B$8:$B$27,D$4)))</f>
        <v>0</v>
      </c>
      <c r="E503" s="26" t="n">
        <f aca="false">IF(INDEX(Pengaturan!$B$8:$B$27,E$4)="",0,COUNTIF(Data!$B503:$U503,INDEX(Pengaturan!$B$8:$B$27,E$4)))</f>
        <v>0</v>
      </c>
      <c r="F503" s="26" t="n">
        <f aca="false">IF(INDEX(Pengaturan!$B$8:$B$27,F$4)="",0,COUNTIF(Data!$B503:$U503,INDEX(Pengaturan!$B$8:$B$27,F$4)))</f>
        <v>0</v>
      </c>
      <c r="G503" s="26" t="n">
        <f aca="false">IF(INDEX(Pengaturan!$B$8:$B$27,G$4)="",0,COUNTIF(Data!$B503:$U503,INDEX(Pengaturan!$B$8:$B$27,G$4)))</f>
        <v>0</v>
      </c>
      <c r="H503" s="26" t="n">
        <f aca="false">IF(INDEX(Pengaturan!$B$8:$B$27,H$4)="",0,COUNTIF(Data!$B503:$U503,INDEX(Pengaturan!$B$8:$B$27,H$4)))</f>
        <v>0</v>
      </c>
      <c r="I503" s="26" t="n">
        <f aca="false">IF(INDEX(Pengaturan!$B$8:$B$27,I$4)="",0,COUNTIF(Data!$B503:$U503,INDEX(Pengaturan!$B$8:$B$27,I$4)))</f>
        <v>0</v>
      </c>
      <c r="J503" s="26" t="n">
        <f aca="false">IF(INDEX(Pengaturan!$B$8:$B$27,J$4)="",0,COUNTIF(Data!$B503:$U503,INDEX(Pengaturan!$B$8:$B$27,J$4)))</f>
        <v>0</v>
      </c>
      <c r="K503" s="26" t="n">
        <f aca="false">IF(INDEX(Pengaturan!$B$8:$B$27,K$4)="",0,COUNTIF(Data!$B503:$U503,INDEX(Pengaturan!$B$8:$B$27,K$4)))</f>
        <v>0</v>
      </c>
      <c r="L503" s="26" t="n">
        <f aca="false">IF(INDEX(Pengaturan!$B$8:$B$27,L$4)="",0,COUNTIF(Data!$B503:$U503,INDEX(Pengaturan!$B$8:$B$27,L$4)))</f>
        <v>0</v>
      </c>
      <c r="M503" s="26" t="n">
        <f aca="false">IF(INDEX(Pengaturan!$B$8:$B$27,M$4)="",0,COUNTIF(Data!$B503:$U503,INDEX(Pengaturan!$B$8:$B$27,M$4)))</f>
        <v>0</v>
      </c>
      <c r="N503" s="26" t="n">
        <f aca="false">IF(INDEX(Pengaturan!$B$8:$B$27,N$4)="",0,COUNTIF(Data!$B503:$U503,INDEX(Pengaturan!$B$8:$B$27,N$4)))</f>
        <v>0</v>
      </c>
      <c r="O503" s="26" t="n">
        <f aca="false">IF(INDEX(Pengaturan!$B$8:$B$27,O$4)="",0,COUNTIF(Data!$B503:$U503,INDEX(Pengaturan!$B$8:$B$27,O$4)))</f>
        <v>0</v>
      </c>
      <c r="P503" s="26" t="n">
        <f aca="false">IF(INDEX(Pengaturan!$B$8:$B$27,P$4)="",0,COUNTIF(Data!$B503:$U503,INDEX(Pengaturan!$B$8:$B$27,P$4)))</f>
        <v>0</v>
      </c>
      <c r="Q503" s="26" t="n">
        <f aca="false">IF(INDEX(Pengaturan!$B$8:$B$27,Q$4)="",0,COUNTIF(Data!$B503:$U503,INDEX(Pengaturan!$B$8:$B$27,Q$4)))</f>
        <v>0</v>
      </c>
      <c r="R503" s="26" t="n">
        <f aca="false">IF(INDEX(Pengaturan!$B$8:$B$27,R$4)="",0,COUNTIF(Data!$B503:$U503,INDEX(Pengaturan!$B$8:$B$27,R$4)))</f>
        <v>0</v>
      </c>
      <c r="S503" s="26" t="n">
        <f aca="false">IF(INDEX(Pengaturan!$B$8:$B$27,S$4)="",0,COUNTIF(Data!$B503:$U503,INDEX(Pengaturan!$B$8:$B$27,S$4)))</f>
        <v>0</v>
      </c>
      <c r="T503" s="26" t="n">
        <f aca="false">IF(INDEX(Pengaturan!$B$8:$B$27,T$4)="",0,COUNTIF(Data!$B503:$U503,INDEX(Pengaturan!$B$8:$B$27,T$4)))</f>
        <v>0</v>
      </c>
      <c r="U503" s="26" t="n">
        <f aca="false">IF(INDEX(Pengaturan!$B$8:$B$27,U$4)="",0,COUNTIF(Data!$B503:$U503,INDEX(Pengaturan!$B$8:$B$27,U$4)))</f>
        <v>0</v>
      </c>
      <c r="V503" s="26" t="n">
        <f aca="false">COUNTA(Data!$B503:$U503)</f>
        <v>0</v>
      </c>
      <c r="W503" s="27" t="str">
        <f aca="false">IF(V503=0,"",IF(V503&lt;&gt;Hasil!$C$4,"Data kosong/tidak lengkap",IF(SUM(B503:U503)&lt;&gt;V503,"Kategori tidak dikenal","OK")))</f>
        <v/>
      </c>
      <c r="X503" s="26" t="n">
        <f aca="false">IF(OR(W503="",W503="OK"),0,1)</f>
        <v>0</v>
      </c>
    </row>
    <row r="504" customFormat="false" ht="15" hidden="false" customHeight="false" outlineLevel="0" collapsed="false">
      <c r="A504" s="26" t="n">
        <f aca="false">Data!A504</f>
        <v>499</v>
      </c>
      <c r="B504" s="26" t="n">
        <f aca="false">IF(INDEX(Pengaturan!$B$8:$B$27,B$4)="",0,COUNTIF(Data!$B504:$U504,INDEX(Pengaturan!$B$8:$B$27,B$4)))</f>
        <v>0</v>
      </c>
      <c r="C504" s="26" t="n">
        <f aca="false">IF(INDEX(Pengaturan!$B$8:$B$27,C$4)="",0,COUNTIF(Data!$B504:$U504,INDEX(Pengaturan!$B$8:$B$27,C$4)))</f>
        <v>0</v>
      </c>
      <c r="D504" s="26" t="n">
        <f aca="false">IF(INDEX(Pengaturan!$B$8:$B$27,D$4)="",0,COUNTIF(Data!$B504:$U504,INDEX(Pengaturan!$B$8:$B$27,D$4)))</f>
        <v>0</v>
      </c>
      <c r="E504" s="26" t="n">
        <f aca="false">IF(INDEX(Pengaturan!$B$8:$B$27,E$4)="",0,COUNTIF(Data!$B504:$U504,INDEX(Pengaturan!$B$8:$B$27,E$4)))</f>
        <v>0</v>
      </c>
      <c r="F504" s="26" t="n">
        <f aca="false">IF(INDEX(Pengaturan!$B$8:$B$27,F$4)="",0,COUNTIF(Data!$B504:$U504,INDEX(Pengaturan!$B$8:$B$27,F$4)))</f>
        <v>0</v>
      </c>
      <c r="G504" s="26" t="n">
        <f aca="false">IF(INDEX(Pengaturan!$B$8:$B$27,G$4)="",0,COUNTIF(Data!$B504:$U504,INDEX(Pengaturan!$B$8:$B$27,G$4)))</f>
        <v>0</v>
      </c>
      <c r="H504" s="26" t="n">
        <f aca="false">IF(INDEX(Pengaturan!$B$8:$B$27,H$4)="",0,COUNTIF(Data!$B504:$U504,INDEX(Pengaturan!$B$8:$B$27,H$4)))</f>
        <v>0</v>
      </c>
      <c r="I504" s="26" t="n">
        <f aca="false">IF(INDEX(Pengaturan!$B$8:$B$27,I$4)="",0,COUNTIF(Data!$B504:$U504,INDEX(Pengaturan!$B$8:$B$27,I$4)))</f>
        <v>0</v>
      </c>
      <c r="J504" s="26" t="n">
        <f aca="false">IF(INDEX(Pengaturan!$B$8:$B$27,J$4)="",0,COUNTIF(Data!$B504:$U504,INDEX(Pengaturan!$B$8:$B$27,J$4)))</f>
        <v>0</v>
      </c>
      <c r="K504" s="26" t="n">
        <f aca="false">IF(INDEX(Pengaturan!$B$8:$B$27,K$4)="",0,COUNTIF(Data!$B504:$U504,INDEX(Pengaturan!$B$8:$B$27,K$4)))</f>
        <v>0</v>
      </c>
      <c r="L504" s="26" t="n">
        <f aca="false">IF(INDEX(Pengaturan!$B$8:$B$27,L$4)="",0,COUNTIF(Data!$B504:$U504,INDEX(Pengaturan!$B$8:$B$27,L$4)))</f>
        <v>0</v>
      </c>
      <c r="M504" s="26" t="n">
        <f aca="false">IF(INDEX(Pengaturan!$B$8:$B$27,M$4)="",0,COUNTIF(Data!$B504:$U504,INDEX(Pengaturan!$B$8:$B$27,M$4)))</f>
        <v>0</v>
      </c>
      <c r="N504" s="26" t="n">
        <f aca="false">IF(INDEX(Pengaturan!$B$8:$B$27,N$4)="",0,COUNTIF(Data!$B504:$U504,INDEX(Pengaturan!$B$8:$B$27,N$4)))</f>
        <v>0</v>
      </c>
      <c r="O504" s="26" t="n">
        <f aca="false">IF(INDEX(Pengaturan!$B$8:$B$27,O$4)="",0,COUNTIF(Data!$B504:$U504,INDEX(Pengaturan!$B$8:$B$27,O$4)))</f>
        <v>0</v>
      </c>
      <c r="P504" s="26" t="n">
        <f aca="false">IF(INDEX(Pengaturan!$B$8:$B$27,P$4)="",0,COUNTIF(Data!$B504:$U504,INDEX(Pengaturan!$B$8:$B$27,P$4)))</f>
        <v>0</v>
      </c>
      <c r="Q504" s="26" t="n">
        <f aca="false">IF(INDEX(Pengaturan!$B$8:$B$27,Q$4)="",0,COUNTIF(Data!$B504:$U504,INDEX(Pengaturan!$B$8:$B$27,Q$4)))</f>
        <v>0</v>
      </c>
      <c r="R504" s="26" t="n">
        <f aca="false">IF(INDEX(Pengaturan!$B$8:$B$27,R$4)="",0,COUNTIF(Data!$B504:$U504,INDEX(Pengaturan!$B$8:$B$27,R$4)))</f>
        <v>0</v>
      </c>
      <c r="S504" s="26" t="n">
        <f aca="false">IF(INDEX(Pengaturan!$B$8:$B$27,S$4)="",0,COUNTIF(Data!$B504:$U504,INDEX(Pengaturan!$B$8:$B$27,S$4)))</f>
        <v>0</v>
      </c>
      <c r="T504" s="26" t="n">
        <f aca="false">IF(INDEX(Pengaturan!$B$8:$B$27,T$4)="",0,COUNTIF(Data!$B504:$U504,INDEX(Pengaturan!$B$8:$B$27,T$4)))</f>
        <v>0</v>
      </c>
      <c r="U504" s="26" t="n">
        <f aca="false">IF(INDEX(Pengaturan!$B$8:$B$27,U$4)="",0,COUNTIF(Data!$B504:$U504,INDEX(Pengaturan!$B$8:$B$27,U$4)))</f>
        <v>0</v>
      </c>
      <c r="V504" s="26" t="n">
        <f aca="false">COUNTA(Data!$B504:$U504)</f>
        <v>0</v>
      </c>
      <c r="W504" s="27" t="str">
        <f aca="false">IF(V504=0,"",IF(V504&lt;&gt;Hasil!$C$4,"Data kosong/tidak lengkap",IF(SUM(B504:U504)&lt;&gt;V504,"Kategori tidak dikenal","OK")))</f>
        <v/>
      </c>
      <c r="X504" s="26" t="n">
        <f aca="false">IF(OR(W504="",W504="OK"),0,1)</f>
        <v>0</v>
      </c>
    </row>
    <row r="505" customFormat="false" ht="15" hidden="false" customHeight="false" outlineLevel="0" collapsed="false">
      <c r="A505" s="26" t="n">
        <f aca="false">Data!A505</f>
        <v>500</v>
      </c>
      <c r="B505" s="26" t="n">
        <f aca="false">IF(INDEX(Pengaturan!$B$8:$B$27,B$4)="",0,COUNTIF(Data!$B505:$U505,INDEX(Pengaturan!$B$8:$B$27,B$4)))</f>
        <v>0</v>
      </c>
      <c r="C505" s="26" t="n">
        <f aca="false">IF(INDEX(Pengaturan!$B$8:$B$27,C$4)="",0,COUNTIF(Data!$B505:$U505,INDEX(Pengaturan!$B$8:$B$27,C$4)))</f>
        <v>0</v>
      </c>
      <c r="D505" s="26" t="n">
        <f aca="false">IF(INDEX(Pengaturan!$B$8:$B$27,D$4)="",0,COUNTIF(Data!$B505:$U505,INDEX(Pengaturan!$B$8:$B$27,D$4)))</f>
        <v>0</v>
      </c>
      <c r="E505" s="26" t="n">
        <f aca="false">IF(INDEX(Pengaturan!$B$8:$B$27,E$4)="",0,COUNTIF(Data!$B505:$U505,INDEX(Pengaturan!$B$8:$B$27,E$4)))</f>
        <v>0</v>
      </c>
      <c r="F505" s="26" t="n">
        <f aca="false">IF(INDEX(Pengaturan!$B$8:$B$27,F$4)="",0,COUNTIF(Data!$B505:$U505,INDEX(Pengaturan!$B$8:$B$27,F$4)))</f>
        <v>0</v>
      </c>
      <c r="G505" s="26" t="n">
        <f aca="false">IF(INDEX(Pengaturan!$B$8:$B$27,G$4)="",0,COUNTIF(Data!$B505:$U505,INDEX(Pengaturan!$B$8:$B$27,G$4)))</f>
        <v>0</v>
      </c>
      <c r="H505" s="26" t="n">
        <f aca="false">IF(INDEX(Pengaturan!$B$8:$B$27,H$4)="",0,COUNTIF(Data!$B505:$U505,INDEX(Pengaturan!$B$8:$B$27,H$4)))</f>
        <v>0</v>
      </c>
      <c r="I505" s="26" t="n">
        <f aca="false">IF(INDEX(Pengaturan!$B$8:$B$27,I$4)="",0,COUNTIF(Data!$B505:$U505,INDEX(Pengaturan!$B$8:$B$27,I$4)))</f>
        <v>0</v>
      </c>
      <c r="J505" s="26" t="n">
        <f aca="false">IF(INDEX(Pengaturan!$B$8:$B$27,J$4)="",0,COUNTIF(Data!$B505:$U505,INDEX(Pengaturan!$B$8:$B$27,J$4)))</f>
        <v>0</v>
      </c>
      <c r="K505" s="26" t="n">
        <f aca="false">IF(INDEX(Pengaturan!$B$8:$B$27,K$4)="",0,COUNTIF(Data!$B505:$U505,INDEX(Pengaturan!$B$8:$B$27,K$4)))</f>
        <v>0</v>
      </c>
      <c r="L505" s="26" t="n">
        <f aca="false">IF(INDEX(Pengaturan!$B$8:$B$27,L$4)="",0,COUNTIF(Data!$B505:$U505,INDEX(Pengaturan!$B$8:$B$27,L$4)))</f>
        <v>0</v>
      </c>
      <c r="M505" s="26" t="n">
        <f aca="false">IF(INDEX(Pengaturan!$B$8:$B$27,M$4)="",0,COUNTIF(Data!$B505:$U505,INDEX(Pengaturan!$B$8:$B$27,M$4)))</f>
        <v>0</v>
      </c>
      <c r="N505" s="26" t="n">
        <f aca="false">IF(INDEX(Pengaturan!$B$8:$B$27,N$4)="",0,COUNTIF(Data!$B505:$U505,INDEX(Pengaturan!$B$8:$B$27,N$4)))</f>
        <v>0</v>
      </c>
      <c r="O505" s="26" t="n">
        <f aca="false">IF(INDEX(Pengaturan!$B$8:$B$27,O$4)="",0,COUNTIF(Data!$B505:$U505,INDEX(Pengaturan!$B$8:$B$27,O$4)))</f>
        <v>0</v>
      </c>
      <c r="P505" s="26" t="n">
        <f aca="false">IF(INDEX(Pengaturan!$B$8:$B$27,P$4)="",0,COUNTIF(Data!$B505:$U505,INDEX(Pengaturan!$B$8:$B$27,P$4)))</f>
        <v>0</v>
      </c>
      <c r="Q505" s="26" t="n">
        <f aca="false">IF(INDEX(Pengaturan!$B$8:$B$27,Q$4)="",0,COUNTIF(Data!$B505:$U505,INDEX(Pengaturan!$B$8:$B$27,Q$4)))</f>
        <v>0</v>
      </c>
      <c r="R505" s="26" t="n">
        <f aca="false">IF(INDEX(Pengaturan!$B$8:$B$27,R$4)="",0,COUNTIF(Data!$B505:$U505,INDEX(Pengaturan!$B$8:$B$27,R$4)))</f>
        <v>0</v>
      </c>
      <c r="S505" s="26" t="n">
        <f aca="false">IF(INDEX(Pengaturan!$B$8:$B$27,S$4)="",0,COUNTIF(Data!$B505:$U505,INDEX(Pengaturan!$B$8:$B$27,S$4)))</f>
        <v>0</v>
      </c>
      <c r="T505" s="26" t="n">
        <f aca="false">IF(INDEX(Pengaturan!$B$8:$B$27,T$4)="",0,COUNTIF(Data!$B505:$U505,INDEX(Pengaturan!$B$8:$B$27,T$4)))</f>
        <v>0</v>
      </c>
      <c r="U505" s="26" t="n">
        <f aca="false">IF(INDEX(Pengaturan!$B$8:$B$27,U$4)="",0,COUNTIF(Data!$B505:$U505,INDEX(Pengaturan!$B$8:$B$27,U$4)))</f>
        <v>0</v>
      </c>
      <c r="V505" s="26" t="n">
        <f aca="false">COUNTA(Data!$B505:$U505)</f>
        <v>0</v>
      </c>
      <c r="W505" s="27" t="str">
        <f aca="false">IF(V505=0,"",IF(V505&lt;&gt;Hasil!$C$4,"Data kosong/tidak lengkap",IF(SUM(B505:U505)&lt;&gt;V505,"Kategori tidak dikenal","OK")))</f>
        <v/>
      </c>
      <c r="X505" s="26" t="n">
        <f aca="false">IF(OR(W505="",W505="OK"),0,1)</f>
        <v>0</v>
      </c>
    </row>
    <row r="506" customFormat="false" ht="15" hidden="false" customHeight="false" outlineLevel="0" collapsed="false">
      <c r="A506" s="26" t="n">
        <f aca="false">Data!A506</f>
        <v>501</v>
      </c>
      <c r="B506" s="26" t="n">
        <f aca="false">IF(INDEX(Pengaturan!$B$8:$B$27,B$4)="",0,COUNTIF(Data!$B506:$U506,INDEX(Pengaturan!$B$8:$B$27,B$4)))</f>
        <v>0</v>
      </c>
      <c r="C506" s="26" t="n">
        <f aca="false">IF(INDEX(Pengaturan!$B$8:$B$27,C$4)="",0,COUNTIF(Data!$B506:$U506,INDEX(Pengaturan!$B$8:$B$27,C$4)))</f>
        <v>0</v>
      </c>
      <c r="D506" s="26" t="n">
        <f aca="false">IF(INDEX(Pengaturan!$B$8:$B$27,D$4)="",0,COUNTIF(Data!$B506:$U506,INDEX(Pengaturan!$B$8:$B$27,D$4)))</f>
        <v>0</v>
      </c>
      <c r="E506" s="26" t="n">
        <f aca="false">IF(INDEX(Pengaturan!$B$8:$B$27,E$4)="",0,COUNTIF(Data!$B506:$U506,INDEX(Pengaturan!$B$8:$B$27,E$4)))</f>
        <v>0</v>
      </c>
      <c r="F506" s="26" t="n">
        <f aca="false">IF(INDEX(Pengaturan!$B$8:$B$27,F$4)="",0,COUNTIF(Data!$B506:$U506,INDEX(Pengaturan!$B$8:$B$27,F$4)))</f>
        <v>0</v>
      </c>
      <c r="G506" s="26" t="n">
        <f aca="false">IF(INDEX(Pengaturan!$B$8:$B$27,G$4)="",0,COUNTIF(Data!$B506:$U506,INDEX(Pengaturan!$B$8:$B$27,G$4)))</f>
        <v>0</v>
      </c>
      <c r="H506" s="26" t="n">
        <f aca="false">IF(INDEX(Pengaturan!$B$8:$B$27,H$4)="",0,COUNTIF(Data!$B506:$U506,INDEX(Pengaturan!$B$8:$B$27,H$4)))</f>
        <v>0</v>
      </c>
      <c r="I506" s="26" t="n">
        <f aca="false">IF(INDEX(Pengaturan!$B$8:$B$27,I$4)="",0,COUNTIF(Data!$B506:$U506,INDEX(Pengaturan!$B$8:$B$27,I$4)))</f>
        <v>0</v>
      </c>
      <c r="J506" s="26" t="n">
        <f aca="false">IF(INDEX(Pengaturan!$B$8:$B$27,J$4)="",0,COUNTIF(Data!$B506:$U506,INDEX(Pengaturan!$B$8:$B$27,J$4)))</f>
        <v>0</v>
      </c>
      <c r="K506" s="26" t="n">
        <f aca="false">IF(INDEX(Pengaturan!$B$8:$B$27,K$4)="",0,COUNTIF(Data!$B506:$U506,INDEX(Pengaturan!$B$8:$B$27,K$4)))</f>
        <v>0</v>
      </c>
      <c r="L506" s="26" t="n">
        <f aca="false">IF(INDEX(Pengaturan!$B$8:$B$27,L$4)="",0,COUNTIF(Data!$B506:$U506,INDEX(Pengaturan!$B$8:$B$27,L$4)))</f>
        <v>0</v>
      </c>
      <c r="M506" s="26" t="n">
        <f aca="false">IF(INDEX(Pengaturan!$B$8:$B$27,M$4)="",0,COUNTIF(Data!$B506:$U506,INDEX(Pengaturan!$B$8:$B$27,M$4)))</f>
        <v>0</v>
      </c>
      <c r="N506" s="26" t="n">
        <f aca="false">IF(INDEX(Pengaturan!$B$8:$B$27,N$4)="",0,COUNTIF(Data!$B506:$U506,INDEX(Pengaturan!$B$8:$B$27,N$4)))</f>
        <v>0</v>
      </c>
      <c r="O506" s="26" t="n">
        <f aca="false">IF(INDEX(Pengaturan!$B$8:$B$27,O$4)="",0,COUNTIF(Data!$B506:$U506,INDEX(Pengaturan!$B$8:$B$27,O$4)))</f>
        <v>0</v>
      </c>
      <c r="P506" s="26" t="n">
        <f aca="false">IF(INDEX(Pengaturan!$B$8:$B$27,P$4)="",0,COUNTIF(Data!$B506:$U506,INDEX(Pengaturan!$B$8:$B$27,P$4)))</f>
        <v>0</v>
      </c>
      <c r="Q506" s="26" t="n">
        <f aca="false">IF(INDEX(Pengaturan!$B$8:$B$27,Q$4)="",0,COUNTIF(Data!$B506:$U506,INDEX(Pengaturan!$B$8:$B$27,Q$4)))</f>
        <v>0</v>
      </c>
      <c r="R506" s="26" t="n">
        <f aca="false">IF(INDEX(Pengaturan!$B$8:$B$27,R$4)="",0,COUNTIF(Data!$B506:$U506,INDEX(Pengaturan!$B$8:$B$27,R$4)))</f>
        <v>0</v>
      </c>
      <c r="S506" s="26" t="n">
        <f aca="false">IF(INDEX(Pengaturan!$B$8:$B$27,S$4)="",0,COUNTIF(Data!$B506:$U506,INDEX(Pengaturan!$B$8:$B$27,S$4)))</f>
        <v>0</v>
      </c>
      <c r="T506" s="26" t="n">
        <f aca="false">IF(INDEX(Pengaturan!$B$8:$B$27,T$4)="",0,COUNTIF(Data!$B506:$U506,INDEX(Pengaturan!$B$8:$B$27,T$4)))</f>
        <v>0</v>
      </c>
      <c r="U506" s="26" t="n">
        <f aca="false">IF(INDEX(Pengaturan!$B$8:$B$27,U$4)="",0,COUNTIF(Data!$B506:$U506,INDEX(Pengaturan!$B$8:$B$27,U$4)))</f>
        <v>0</v>
      </c>
      <c r="V506" s="26" t="n">
        <f aca="false">COUNTA(Data!$B506:$U506)</f>
        <v>0</v>
      </c>
      <c r="W506" s="27" t="str">
        <f aca="false">IF(V506=0,"",IF(V506&lt;&gt;Hasil!$C$4,"Data kosong/tidak lengkap",IF(SUM(B506:U506)&lt;&gt;V506,"Kategori tidak dikenal","OK")))</f>
        <v/>
      </c>
      <c r="X506" s="26" t="n">
        <f aca="false">IF(OR(W506="",W506="OK"),0,1)</f>
        <v>0</v>
      </c>
    </row>
    <row r="507" customFormat="false" ht="15" hidden="false" customHeight="false" outlineLevel="0" collapsed="false">
      <c r="A507" s="26" t="n">
        <f aca="false">Data!A507</f>
        <v>502</v>
      </c>
      <c r="B507" s="26" t="n">
        <f aca="false">IF(INDEX(Pengaturan!$B$8:$B$27,B$4)="",0,COUNTIF(Data!$B507:$U507,INDEX(Pengaturan!$B$8:$B$27,B$4)))</f>
        <v>0</v>
      </c>
      <c r="C507" s="26" t="n">
        <f aca="false">IF(INDEX(Pengaturan!$B$8:$B$27,C$4)="",0,COUNTIF(Data!$B507:$U507,INDEX(Pengaturan!$B$8:$B$27,C$4)))</f>
        <v>0</v>
      </c>
      <c r="D507" s="26" t="n">
        <f aca="false">IF(INDEX(Pengaturan!$B$8:$B$27,D$4)="",0,COUNTIF(Data!$B507:$U507,INDEX(Pengaturan!$B$8:$B$27,D$4)))</f>
        <v>0</v>
      </c>
      <c r="E507" s="26" t="n">
        <f aca="false">IF(INDEX(Pengaturan!$B$8:$B$27,E$4)="",0,COUNTIF(Data!$B507:$U507,INDEX(Pengaturan!$B$8:$B$27,E$4)))</f>
        <v>0</v>
      </c>
      <c r="F507" s="26" t="n">
        <f aca="false">IF(INDEX(Pengaturan!$B$8:$B$27,F$4)="",0,COUNTIF(Data!$B507:$U507,INDEX(Pengaturan!$B$8:$B$27,F$4)))</f>
        <v>0</v>
      </c>
      <c r="G507" s="26" t="n">
        <f aca="false">IF(INDEX(Pengaturan!$B$8:$B$27,G$4)="",0,COUNTIF(Data!$B507:$U507,INDEX(Pengaturan!$B$8:$B$27,G$4)))</f>
        <v>0</v>
      </c>
      <c r="H507" s="26" t="n">
        <f aca="false">IF(INDEX(Pengaturan!$B$8:$B$27,H$4)="",0,COUNTIF(Data!$B507:$U507,INDEX(Pengaturan!$B$8:$B$27,H$4)))</f>
        <v>0</v>
      </c>
      <c r="I507" s="26" t="n">
        <f aca="false">IF(INDEX(Pengaturan!$B$8:$B$27,I$4)="",0,COUNTIF(Data!$B507:$U507,INDEX(Pengaturan!$B$8:$B$27,I$4)))</f>
        <v>0</v>
      </c>
      <c r="J507" s="26" t="n">
        <f aca="false">IF(INDEX(Pengaturan!$B$8:$B$27,J$4)="",0,COUNTIF(Data!$B507:$U507,INDEX(Pengaturan!$B$8:$B$27,J$4)))</f>
        <v>0</v>
      </c>
      <c r="K507" s="26" t="n">
        <f aca="false">IF(INDEX(Pengaturan!$B$8:$B$27,K$4)="",0,COUNTIF(Data!$B507:$U507,INDEX(Pengaturan!$B$8:$B$27,K$4)))</f>
        <v>0</v>
      </c>
      <c r="L507" s="26" t="n">
        <f aca="false">IF(INDEX(Pengaturan!$B$8:$B$27,L$4)="",0,COUNTIF(Data!$B507:$U507,INDEX(Pengaturan!$B$8:$B$27,L$4)))</f>
        <v>0</v>
      </c>
      <c r="M507" s="26" t="n">
        <f aca="false">IF(INDEX(Pengaturan!$B$8:$B$27,M$4)="",0,COUNTIF(Data!$B507:$U507,INDEX(Pengaturan!$B$8:$B$27,M$4)))</f>
        <v>0</v>
      </c>
      <c r="N507" s="26" t="n">
        <f aca="false">IF(INDEX(Pengaturan!$B$8:$B$27,N$4)="",0,COUNTIF(Data!$B507:$U507,INDEX(Pengaturan!$B$8:$B$27,N$4)))</f>
        <v>0</v>
      </c>
      <c r="O507" s="26" t="n">
        <f aca="false">IF(INDEX(Pengaturan!$B$8:$B$27,O$4)="",0,COUNTIF(Data!$B507:$U507,INDEX(Pengaturan!$B$8:$B$27,O$4)))</f>
        <v>0</v>
      </c>
      <c r="P507" s="26" t="n">
        <f aca="false">IF(INDEX(Pengaturan!$B$8:$B$27,P$4)="",0,COUNTIF(Data!$B507:$U507,INDEX(Pengaturan!$B$8:$B$27,P$4)))</f>
        <v>0</v>
      </c>
      <c r="Q507" s="26" t="n">
        <f aca="false">IF(INDEX(Pengaturan!$B$8:$B$27,Q$4)="",0,COUNTIF(Data!$B507:$U507,INDEX(Pengaturan!$B$8:$B$27,Q$4)))</f>
        <v>0</v>
      </c>
      <c r="R507" s="26" t="n">
        <f aca="false">IF(INDEX(Pengaturan!$B$8:$B$27,R$4)="",0,COUNTIF(Data!$B507:$U507,INDEX(Pengaturan!$B$8:$B$27,R$4)))</f>
        <v>0</v>
      </c>
      <c r="S507" s="26" t="n">
        <f aca="false">IF(INDEX(Pengaturan!$B$8:$B$27,S$4)="",0,COUNTIF(Data!$B507:$U507,INDEX(Pengaturan!$B$8:$B$27,S$4)))</f>
        <v>0</v>
      </c>
      <c r="T507" s="26" t="n">
        <f aca="false">IF(INDEX(Pengaturan!$B$8:$B$27,T$4)="",0,COUNTIF(Data!$B507:$U507,INDEX(Pengaturan!$B$8:$B$27,T$4)))</f>
        <v>0</v>
      </c>
      <c r="U507" s="26" t="n">
        <f aca="false">IF(INDEX(Pengaturan!$B$8:$B$27,U$4)="",0,COUNTIF(Data!$B507:$U507,INDEX(Pengaturan!$B$8:$B$27,U$4)))</f>
        <v>0</v>
      </c>
      <c r="V507" s="26" t="n">
        <f aca="false">COUNTA(Data!$B507:$U507)</f>
        <v>0</v>
      </c>
      <c r="W507" s="27" t="str">
        <f aca="false">IF(V507=0,"",IF(V507&lt;&gt;Hasil!$C$4,"Data kosong/tidak lengkap",IF(SUM(B507:U507)&lt;&gt;V507,"Kategori tidak dikenal","OK")))</f>
        <v/>
      </c>
      <c r="X507" s="26" t="n">
        <f aca="false">IF(OR(W507="",W507="OK"),0,1)</f>
        <v>0</v>
      </c>
    </row>
    <row r="508" customFormat="false" ht="15" hidden="false" customHeight="false" outlineLevel="0" collapsed="false">
      <c r="A508" s="26" t="n">
        <f aca="false">Data!A508</f>
        <v>503</v>
      </c>
      <c r="B508" s="26" t="n">
        <f aca="false">IF(INDEX(Pengaturan!$B$8:$B$27,B$4)="",0,COUNTIF(Data!$B508:$U508,INDEX(Pengaturan!$B$8:$B$27,B$4)))</f>
        <v>0</v>
      </c>
      <c r="C508" s="26" t="n">
        <f aca="false">IF(INDEX(Pengaturan!$B$8:$B$27,C$4)="",0,COUNTIF(Data!$B508:$U508,INDEX(Pengaturan!$B$8:$B$27,C$4)))</f>
        <v>0</v>
      </c>
      <c r="D508" s="26" t="n">
        <f aca="false">IF(INDEX(Pengaturan!$B$8:$B$27,D$4)="",0,COUNTIF(Data!$B508:$U508,INDEX(Pengaturan!$B$8:$B$27,D$4)))</f>
        <v>0</v>
      </c>
      <c r="E508" s="26" t="n">
        <f aca="false">IF(INDEX(Pengaturan!$B$8:$B$27,E$4)="",0,COUNTIF(Data!$B508:$U508,INDEX(Pengaturan!$B$8:$B$27,E$4)))</f>
        <v>0</v>
      </c>
      <c r="F508" s="26" t="n">
        <f aca="false">IF(INDEX(Pengaturan!$B$8:$B$27,F$4)="",0,COUNTIF(Data!$B508:$U508,INDEX(Pengaturan!$B$8:$B$27,F$4)))</f>
        <v>0</v>
      </c>
      <c r="G508" s="26" t="n">
        <f aca="false">IF(INDEX(Pengaturan!$B$8:$B$27,G$4)="",0,COUNTIF(Data!$B508:$U508,INDEX(Pengaturan!$B$8:$B$27,G$4)))</f>
        <v>0</v>
      </c>
      <c r="H508" s="26" t="n">
        <f aca="false">IF(INDEX(Pengaturan!$B$8:$B$27,H$4)="",0,COUNTIF(Data!$B508:$U508,INDEX(Pengaturan!$B$8:$B$27,H$4)))</f>
        <v>0</v>
      </c>
      <c r="I508" s="26" t="n">
        <f aca="false">IF(INDEX(Pengaturan!$B$8:$B$27,I$4)="",0,COUNTIF(Data!$B508:$U508,INDEX(Pengaturan!$B$8:$B$27,I$4)))</f>
        <v>0</v>
      </c>
      <c r="J508" s="26" t="n">
        <f aca="false">IF(INDEX(Pengaturan!$B$8:$B$27,J$4)="",0,COUNTIF(Data!$B508:$U508,INDEX(Pengaturan!$B$8:$B$27,J$4)))</f>
        <v>0</v>
      </c>
      <c r="K508" s="26" t="n">
        <f aca="false">IF(INDEX(Pengaturan!$B$8:$B$27,K$4)="",0,COUNTIF(Data!$B508:$U508,INDEX(Pengaturan!$B$8:$B$27,K$4)))</f>
        <v>0</v>
      </c>
      <c r="L508" s="26" t="n">
        <f aca="false">IF(INDEX(Pengaturan!$B$8:$B$27,L$4)="",0,COUNTIF(Data!$B508:$U508,INDEX(Pengaturan!$B$8:$B$27,L$4)))</f>
        <v>0</v>
      </c>
      <c r="M508" s="26" t="n">
        <f aca="false">IF(INDEX(Pengaturan!$B$8:$B$27,M$4)="",0,COUNTIF(Data!$B508:$U508,INDEX(Pengaturan!$B$8:$B$27,M$4)))</f>
        <v>0</v>
      </c>
      <c r="N508" s="26" t="n">
        <f aca="false">IF(INDEX(Pengaturan!$B$8:$B$27,N$4)="",0,COUNTIF(Data!$B508:$U508,INDEX(Pengaturan!$B$8:$B$27,N$4)))</f>
        <v>0</v>
      </c>
      <c r="O508" s="26" t="n">
        <f aca="false">IF(INDEX(Pengaturan!$B$8:$B$27,O$4)="",0,COUNTIF(Data!$B508:$U508,INDEX(Pengaturan!$B$8:$B$27,O$4)))</f>
        <v>0</v>
      </c>
      <c r="P508" s="26" t="n">
        <f aca="false">IF(INDEX(Pengaturan!$B$8:$B$27,P$4)="",0,COUNTIF(Data!$B508:$U508,INDEX(Pengaturan!$B$8:$B$27,P$4)))</f>
        <v>0</v>
      </c>
      <c r="Q508" s="26" t="n">
        <f aca="false">IF(INDEX(Pengaturan!$B$8:$B$27,Q$4)="",0,COUNTIF(Data!$B508:$U508,INDEX(Pengaturan!$B$8:$B$27,Q$4)))</f>
        <v>0</v>
      </c>
      <c r="R508" s="26" t="n">
        <f aca="false">IF(INDEX(Pengaturan!$B$8:$B$27,R$4)="",0,COUNTIF(Data!$B508:$U508,INDEX(Pengaturan!$B$8:$B$27,R$4)))</f>
        <v>0</v>
      </c>
      <c r="S508" s="26" t="n">
        <f aca="false">IF(INDEX(Pengaturan!$B$8:$B$27,S$4)="",0,COUNTIF(Data!$B508:$U508,INDEX(Pengaturan!$B$8:$B$27,S$4)))</f>
        <v>0</v>
      </c>
      <c r="T508" s="26" t="n">
        <f aca="false">IF(INDEX(Pengaturan!$B$8:$B$27,T$4)="",0,COUNTIF(Data!$B508:$U508,INDEX(Pengaturan!$B$8:$B$27,T$4)))</f>
        <v>0</v>
      </c>
      <c r="U508" s="26" t="n">
        <f aca="false">IF(INDEX(Pengaturan!$B$8:$B$27,U$4)="",0,COUNTIF(Data!$B508:$U508,INDEX(Pengaturan!$B$8:$B$27,U$4)))</f>
        <v>0</v>
      </c>
      <c r="V508" s="26" t="n">
        <f aca="false">COUNTA(Data!$B508:$U508)</f>
        <v>0</v>
      </c>
      <c r="W508" s="27" t="str">
        <f aca="false">IF(V508=0,"",IF(V508&lt;&gt;Hasil!$C$4,"Data kosong/tidak lengkap",IF(SUM(B508:U508)&lt;&gt;V508,"Kategori tidak dikenal","OK")))</f>
        <v/>
      </c>
      <c r="X508" s="26" t="n">
        <f aca="false">IF(OR(W508="",W508="OK"),0,1)</f>
        <v>0</v>
      </c>
    </row>
    <row r="509" customFormat="false" ht="15" hidden="false" customHeight="false" outlineLevel="0" collapsed="false">
      <c r="A509" s="26" t="n">
        <f aca="false">Data!A509</f>
        <v>504</v>
      </c>
      <c r="B509" s="26" t="n">
        <f aca="false">IF(INDEX(Pengaturan!$B$8:$B$27,B$4)="",0,COUNTIF(Data!$B509:$U509,INDEX(Pengaturan!$B$8:$B$27,B$4)))</f>
        <v>0</v>
      </c>
      <c r="C509" s="26" t="n">
        <f aca="false">IF(INDEX(Pengaturan!$B$8:$B$27,C$4)="",0,COUNTIF(Data!$B509:$U509,INDEX(Pengaturan!$B$8:$B$27,C$4)))</f>
        <v>0</v>
      </c>
      <c r="D509" s="26" t="n">
        <f aca="false">IF(INDEX(Pengaturan!$B$8:$B$27,D$4)="",0,COUNTIF(Data!$B509:$U509,INDEX(Pengaturan!$B$8:$B$27,D$4)))</f>
        <v>0</v>
      </c>
      <c r="E509" s="26" t="n">
        <f aca="false">IF(INDEX(Pengaturan!$B$8:$B$27,E$4)="",0,COUNTIF(Data!$B509:$U509,INDEX(Pengaturan!$B$8:$B$27,E$4)))</f>
        <v>0</v>
      </c>
      <c r="F509" s="26" t="n">
        <f aca="false">IF(INDEX(Pengaturan!$B$8:$B$27,F$4)="",0,COUNTIF(Data!$B509:$U509,INDEX(Pengaturan!$B$8:$B$27,F$4)))</f>
        <v>0</v>
      </c>
      <c r="G509" s="26" t="n">
        <f aca="false">IF(INDEX(Pengaturan!$B$8:$B$27,G$4)="",0,COUNTIF(Data!$B509:$U509,INDEX(Pengaturan!$B$8:$B$27,G$4)))</f>
        <v>0</v>
      </c>
      <c r="H509" s="26" t="n">
        <f aca="false">IF(INDEX(Pengaturan!$B$8:$B$27,H$4)="",0,COUNTIF(Data!$B509:$U509,INDEX(Pengaturan!$B$8:$B$27,H$4)))</f>
        <v>0</v>
      </c>
      <c r="I509" s="26" t="n">
        <f aca="false">IF(INDEX(Pengaturan!$B$8:$B$27,I$4)="",0,COUNTIF(Data!$B509:$U509,INDEX(Pengaturan!$B$8:$B$27,I$4)))</f>
        <v>0</v>
      </c>
      <c r="J509" s="26" t="n">
        <f aca="false">IF(INDEX(Pengaturan!$B$8:$B$27,J$4)="",0,COUNTIF(Data!$B509:$U509,INDEX(Pengaturan!$B$8:$B$27,J$4)))</f>
        <v>0</v>
      </c>
      <c r="K509" s="26" t="n">
        <f aca="false">IF(INDEX(Pengaturan!$B$8:$B$27,K$4)="",0,COUNTIF(Data!$B509:$U509,INDEX(Pengaturan!$B$8:$B$27,K$4)))</f>
        <v>0</v>
      </c>
      <c r="L509" s="26" t="n">
        <f aca="false">IF(INDEX(Pengaturan!$B$8:$B$27,L$4)="",0,COUNTIF(Data!$B509:$U509,INDEX(Pengaturan!$B$8:$B$27,L$4)))</f>
        <v>0</v>
      </c>
      <c r="M509" s="26" t="n">
        <f aca="false">IF(INDEX(Pengaturan!$B$8:$B$27,M$4)="",0,COUNTIF(Data!$B509:$U509,INDEX(Pengaturan!$B$8:$B$27,M$4)))</f>
        <v>0</v>
      </c>
      <c r="N509" s="26" t="n">
        <f aca="false">IF(INDEX(Pengaturan!$B$8:$B$27,N$4)="",0,COUNTIF(Data!$B509:$U509,INDEX(Pengaturan!$B$8:$B$27,N$4)))</f>
        <v>0</v>
      </c>
      <c r="O509" s="26" t="n">
        <f aca="false">IF(INDEX(Pengaturan!$B$8:$B$27,O$4)="",0,COUNTIF(Data!$B509:$U509,INDEX(Pengaturan!$B$8:$B$27,O$4)))</f>
        <v>0</v>
      </c>
      <c r="P509" s="26" t="n">
        <f aca="false">IF(INDEX(Pengaturan!$B$8:$B$27,P$4)="",0,COUNTIF(Data!$B509:$U509,INDEX(Pengaturan!$B$8:$B$27,P$4)))</f>
        <v>0</v>
      </c>
      <c r="Q509" s="26" t="n">
        <f aca="false">IF(INDEX(Pengaturan!$B$8:$B$27,Q$4)="",0,COUNTIF(Data!$B509:$U509,INDEX(Pengaturan!$B$8:$B$27,Q$4)))</f>
        <v>0</v>
      </c>
      <c r="R509" s="26" t="n">
        <f aca="false">IF(INDEX(Pengaturan!$B$8:$B$27,R$4)="",0,COUNTIF(Data!$B509:$U509,INDEX(Pengaturan!$B$8:$B$27,R$4)))</f>
        <v>0</v>
      </c>
      <c r="S509" s="26" t="n">
        <f aca="false">IF(INDEX(Pengaturan!$B$8:$B$27,S$4)="",0,COUNTIF(Data!$B509:$U509,INDEX(Pengaturan!$B$8:$B$27,S$4)))</f>
        <v>0</v>
      </c>
      <c r="T509" s="26" t="n">
        <f aca="false">IF(INDEX(Pengaturan!$B$8:$B$27,T$4)="",0,COUNTIF(Data!$B509:$U509,INDEX(Pengaturan!$B$8:$B$27,T$4)))</f>
        <v>0</v>
      </c>
      <c r="U509" s="26" t="n">
        <f aca="false">IF(INDEX(Pengaturan!$B$8:$B$27,U$4)="",0,COUNTIF(Data!$B509:$U509,INDEX(Pengaturan!$B$8:$B$27,U$4)))</f>
        <v>0</v>
      </c>
      <c r="V509" s="26" t="n">
        <f aca="false">COUNTA(Data!$B509:$U509)</f>
        <v>0</v>
      </c>
      <c r="W509" s="27" t="str">
        <f aca="false">IF(V509=0,"",IF(V509&lt;&gt;Hasil!$C$4,"Data kosong/tidak lengkap",IF(SUM(B509:U509)&lt;&gt;V509,"Kategori tidak dikenal","OK")))</f>
        <v/>
      </c>
      <c r="X509" s="26" t="n">
        <f aca="false">IF(OR(W509="",W509="OK"),0,1)</f>
        <v>0</v>
      </c>
    </row>
    <row r="510" customFormat="false" ht="15" hidden="false" customHeight="false" outlineLevel="0" collapsed="false">
      <c r="A510" s="26" t="n">
        <f aca="false">Data!A510</f>
        <v>505</v>
      </c>
      <c r="B510" s="26" t="n">
        <f aca="false">IF(INDEX(Pengaturan!$B$8:$B$27,B$4)="",0,COUNTIF(Data!$B510:$U510,INDEX(Pengaturan!$B$8:$B$27,B$4)))</f>
        <v>0</v>
      </c>
      <c r="C510" s="26" t="n">
        <f aca="false">IF(INDEX(Pengaturan!$B$8:$B$27,C$4)="",0,COUNTIF(Data!$B510:$U510,INDEX(Pengaturan!$B$8:$B$27,C$4)))</f>
        <v>0</v>
      </c>
      <c r="D510" s="26" t="n">
        <f aca="false">IF(INDEX(Pengaturan!$B$8:$B$27,D$4)="",0,COUNTIF(Data!$B510:$U510,INDEX(Pengaturan!$B$8:$B$27,D$4)))</f>
        <v>0</v>
      </c>
      <c r="E510" s="26" t="n">
        <f aca="false">IF(INDEX(Pengaturan!$B$8:$B$27,E$4)="",0,COUNTIF(Data!$B510:$U510,INDEX(Pengaturan!$B$8:$B$27,E$4)))</f>
        <v>0</v>
      </c>
      <c r="F510" s="26" t="n">
        <f aca="false">IF(INDEX(Pengaturan!$B$8:$B$27,F$4)="",0,COUNTIF(Data!$B510:$U510,INDEX(Pengaturan!$B$8:$B$27,F$4)))</f>
        <v>0</v>
      </c>
      <c r="G510" s="26" t="n">
        <f aca="false">IF(INDEX(Pengaturan!$B$8:$B$27,G$4)="",0,COUNTIF(Data!$B510:$U510,INDEX(Pengaturan!$B$8:$B$27,G$4)))</f>
        <v>0</v>
      </c>
      <c r="H510" s="26" t="n">
        <f aca="false">IF(INDEX(Pengaturan!$B$8:$B$27,H$4)="",0,COUNTIF(Data!$B510:$U510,INDEX(Pengaturan!$B$8:$B$27,H$4)))</f>
        <v>0</v>
      </c>
      <c r="I510" s="26" t="n">
        <f aca="false">IF(INDEX(Pengaturan!$B$8:$B$27,I$4)="",0,COUNTIF(Data!$B510:$U510,INDEX(Pengaturan!$B$8:$B$27,I$4)))</f>
        <v>0</v>
      </c>
      <c r="J510" s="26" t="n">
        <f aca="false">IF(INDEX(Pengaturan!$B$8:$B$27,J$4)="",0,COUNTIF(Data!$B510:$U510,INDEX(Pengaturan!$B$8:$B$27,J$4)))</f>
        <v>0</v>
      </c>
      <c r="K510" s="26" t="n">
        <f aca="false">IF(INDEX(Pengaturan!$B$8:$B$27,K$4)="",0,COUNTIF(Data!$B510:$U510,INDEX(Pengaturan!$B$8:$B$27,K$4)))</f>
        <v>0</v>
      </c>
      <c r="L510" s="26" t="n">
        <f aca="false">IF(INDEX(Pengaturan!$B$8:$B$27,L$4)="",0,COUNTIF(Data!$B510:$U510,INDEX(Pengaturan!$B$8:$B$27,L$4)))</f>
        <v>0</v>
      </c>
      <c r="M510" s="26" t="n">
        <f aca="false">IF(INDEX(Pengaturan!$B$8:$B$27,M$4)="",0,COUNTIF(Data!$B510:$U510,INDEX(Pengaturan!$B$8:$B$27,M$4)))</f>
        <v>0</v>
      </c>
      <c r="N510" s="26" t="n">
        <f aca="false">IF(INDEX(Pengaturan!$B$8:$B$27,N$4)="",0,COUNTIF(Data!$B510:$U510,INDEX(Pengaturan!$B$8:$B$27,N$4)))</f>
        <v>0</v>
      </c>
      <c r="O510" s="26" t="n">
        <f aca="false">IF(INDEX(Pengaturan!$B$8:$B$27,O$4)="",0,COUNTIF(Data!$B510:$U510,INDEX(Pengaturan!$B$8:$B$27,O$4)))</f>
        <v>0</v>
      </c>
      <c r="P510" s="26" t="n">
        <f aca="false">IF(INDEX(Pengaturan!$B$8:$B$27,P$4)="",0,COUNTIF(Data!$B510:$U510,INDEX(Pengaturan!$B$8:$B$27,P$4)))</f>
        <v>0</v>
      </c>
      <c r="Q510" s="26" t="n">
        <f aca="false">IF(INDEX(Pengaturan!$B$8:$B$27,Q$4)="",0,COUNTIF(Data!$B510:$U510,INDEX(Pengaturan!$B$8:$B$27,Q$4)))</f>
        <v>0</v>
      </c>
      <c r="R510" s="26" t="n">
        <f aca="false">IF(INDEX(Pengaturan!$B$8:$B$27,R$4)="",0,COUNTIF(Data!$B510:$U510,INDEX(Pengaturan!$B$8:$B$27,R$4)))</f>
        <v>0</v>
      </c>
      <c r="S510" s="26" t="n">
        <f aca="false">IF(INDEX(Pengaturan!$B$8:$B$27,S$4)="",0,COUNTIF(Data!$B510:$U510,INDEX(Pengaturan!$B$8:$B$27,S$4)))</f>
        <v>0</v>
      </c>
      <c r="T510" s="26" t="n">
        <f aca="false">IF(INDEX(Pengaturan!$B$8:$B$27,T$4)="",0,COUNTIF(Data!$B510:$U510,INDEX(Pengaturan!$B$8:$B$27,T$4)))</f>
        <v>0</v>
      </c>
      <c r="U510" s="26" t="n">
        <f aca="false">IF(INDEX(Pengaturan!$B$8:$B$27,U$4)="",0,COUNTIF(Data!$B510:$U510,INDEX(Pengaturan!$B$8:$B$27,U$4)))</f>
        <v>0</v>
      </c>
      <c r="V510" s="26" t="n">
        <f aca="false">COUNTA(Data!$B510:$U510)</f>
        <v>0</v>
      </c>
      <c r="W510" s="27" t="str">
        <f aca="false">IF(V510=0,"",IF(V510&lt;&gt;Hasil!$C$4,"Data kosong/tidak lengkap",IF(SUM(B510:U510)&lt;&gt;V510,"Kategori tidak dikenal","OK")))</f>
        <v/>
      </c>
      <c r="X510" s="26" t="n">
        <f aca="false">IF(OR(W510="",W510="OK"),0,1)</f>
        <v>0</v>
      </c>
    </row>
    <row r="511" customFormat="false" ht="15" hidden="false" customHeight="false" outlineLevel="0" collapsed="false">
      <c r="A511" s="26" t="n">
        <f aca="false">Data!A511</f>
        <v>506</v>
      </c>
      <c r="B511" s="26" t="n">
        <f aca="false">IF(INDEX(Pengaturan!$B$8:$B$27,B$4)="",0,COUNTIF(Data!$B511:$U511,INDEX(Pengaturan!$B$8:$B$27,B$4)))</f>
        <v>0</v>
      </c>
      <c r="C511" s="26" t="n">
        <f aca="false">IF(INDEX(Pengaturan!$B$8:$B$27,C$4)="",0,COUNTIF(Data!$B511:$U511,INDEX(Pengaturan!$B$8:$B$27,C$4)))</f>
        <v>0</v>
      </c>
      <c r="D511" s="26" t="n">
        <f aca="false">IF(INDEX(Pengaturan!$B$8:$B$27,D$4)="",0,COUNTIF(Data!$B511:$U511,INDEX(Pengaturan!$B$8:$B$27,D$4)))</f>
        <v>0</v>
      </c>
      <c r="E511" s="26" t="n">
        <f aca="false">IF(INDEX(Pengaturan!$B$8:$B$27,E$4)="",0,COUNTIF(Data!$B511:$U511,INDEX(Pengaturan!$B$8:$B$27,E$4)))</f>
        <v>0</v>
      </c>
      <c r="F511" s="26" t="n">
        <f aca="false">IF(INDEX(Pengaturan!$B$8:$B$27,F$4)="",0,COUNTIF(Data!$B511:$U511,INDEX(Pengaturan!$B$8:$B$27,F$4)))</f>
        <v>0</v>
      </c>
      <c r="G511" s="26" t="n">
        <f aca="false">IF(INDEX(Pengaturan!$B$8:$B$27,G$4)="",0,COUNTIF(Data!$B511:$U511,INDEX(Pengaturan!$B$8:$B$27,G$4)))</f>
        <v>0</v>
      </c>
      <c r="H511" s="26" t="n">
        <f aca="false">IF(INDEX(Pengaturan!$B$8:$B$27,H$4)="",0,COUNTIF(Data!$B511:$U511,INDEX(Pengaturan!$B$8:$B$27,H$4)))</f>
        <v>0</v>
      </c>
      <c r="I511" s="26" t="n">
        <f aca="false">IF(INDEX(Pengaturan!$B$8:$B$27,I$4)="",0,COUNTIF(Data!$B511:$U511,INDEX(Pengaturan!$B$8:$B$27,I$4)))</f>
        <v>0</v>
      </c>
      <c r="J511" s="26" t="n">
        <f aca="false">IF(INDEX(Pengaturan!$B$8:$B$27,J$4)="",0,COUNTIF(Data!$B511:$U511,INDEX(Pengaturan!$B$8:$B$27,J$4)))</f>
        <v>0</v>
      </c>
      <c r="K511" s="26" t="n">
        <f aca="false">IF(INDEX(Pengaturan!$B$8:$B$27,K$4)="",0,COUNTIF(Data!$B511:$U511,INDEX(Pengaturan!$B$8:$B$27,K$4)))</f>
        <v>0</v>
      </c>
      <c r="L511" s="26" t="n">
        <f aca="false">IF(INDEX(Pengaturan!$B$8:$B$27,L$4)="",0,COUNTIF(Data!$B511:$U511,INDEX(Pengaturan!$B$8:$B$27,L$4)))</f>
        <v>0</v>
      </c>
      <c r="M511" s="26" t="n">
        <f aca="false">IF(INDEX(Pengaturan!$B$8:$B$27,M$4)="",0,COUNTIF(Data!$B511:$U511,INDEX(Pengaturan!$B$8:$B$27,M$4)))</f>
        <v>0</v>
      </c>
      <c r="N511" s="26" t="n">
        <f aca="false">IF(INDEX(Pengaturan!$B$8:$B$27,N$4)="",0,COUNTIF(Data!$B511:$U511,INDEX(Pengaturan!$B$8:$B$27,N$4)))</f>
        <v>0</v>
      </c>
      <c r="O511" s="26" t="n">
        <f aca="false">IF(INDEX(Pengaturan!$B$8:$B$27,O$4)="",0,COUNTIF(Data!$B511:$U511,INDEX(Pengaturan!$B$8:$B$27,O$4)))</f>
        <v>0</v>
      </c>
      <c r="P511" s="26" t="n">
        <f aca="false">IF(INDEX(Pengaturan!$B$8:$B$27,P$4)="",0,COUNTIF(Data!$B511:$U511,INDEX(Pengaturan!$B$8:$B$27,P$4)))</f>
        <v>0</v>
      </c>
      <c r="Q511" s="26" t="n">
        <f aca="false">IF(INDEX(Pengaturan!$B$8:$B$27,Q$4)="",0,COUNTIF(Data!$B511:$U511,INDEX(Pengaturan!$B$8:$B$27,Q$4)))</f>
        <v>0</v>
      </c>
      <c r="R511" s="26" t="n">
        <f aca="false">IF(INDEX(Pengaturan!$B$8:$B$27,R$4)="",0,COUNTIF(Data!$B511:$U511,INDEX(Pengaturan!$B$8:$B$27,R$4)))</f>
        <v>0</v>
      </c>
      <c r="S511" s="26" t="n">
        <f aca="false">IF(INDEX(Pengaturan!$B$8:$B$27,S$4)="",0,COUNTIF(Data!$B511:$U511,INDEX(Pengaturan!$B$8:$B$27,S$4)))</f>
        <v>0</v>
      </c>
      <c r="T511" s="26" t="n">
        <f aca="false">IF(INDEX(Pengaturan!$B$8:$B$27,T$4)="",0,COUNTIF(Data!$B511:$U511,INDEX(Pengaturan!$B$8:$B$27,T$4)))</f>
        <v>0</v>
      </c>
      <c r="U511" s="26" t="n">
        <f aca="false">IF(INDEX(Pengaturan!$B$8:$B$27,U$4)="",0,COUNTIF(Data!$B511:$U511,INDEX(Pengaturan!$B$8:$B$27,U$4)))</f>
        <v>0</v>
      </c>
      <c r="V511" s="26" t="n">
        <f aca="false">COUNTA(Data!$B511:$U511)</f>
        <v>0</v>
      </c>
      <c r="W511" s="27" t="str">
        <f aca="false">IF(V511=0,"",IF(V511&lt;&gt;Hasil!$C$4,"Data kosong/tidak lengkap",IF(SUM(B511:U511)&lt;&gt;V511,"Kategori tidak dikenal","OK")))</f>
        <v/>
      </c>
      <c r="X511" s="26" t="n">
        <f aca="false">IF(OR(W511="",W511="OK"),0,1)</f>
        <v>0</v>
      </c>
    </row>
    <row r="512" customFormat="false" ht="15" hidden="false" customHeight="false" outlineLevel="0" collapsed="false">
      <c r="A512" s="26" t="n">
        <f aca="false">Data!A512</f>
        <v>507</v>
      </c>
      <c r="B512" s="26" t="n">
        <f aca="false">IF(INDEX(Pengaturan!$B$8:$B$27,B$4)="",0,COUNTIF(Data!$B512:$U512,INDEX(Pengaturan!$B$8:$B$27,B$4)))</f>
        <v>0</v>
      </c>
      <c r="C512" s="26" t="n">
        <f aca="false">IF(INDEX(Pengaturan!$B$8:$B$27,C$4)="",0,COUNTIF(Data!$B512:$U512,INDEX(Pengaturan!$B$8:$B$27,C$4)))</f>
        <v>0</v>
      </c>
      <c r="D512" s="26" t="n">
        <f aca="false">IF(INDEX(Pengaturan!$B$8:$B$27,D$4)="",0,COUNTIF(Data!$B512:$U512,INDEX(Pengaturan!$B$8:$B$27,D$4)))</f>
        <v>0</v>
      </c>
      <c r="E512" s="26" t="n">
        <f aca="false">IF(INDEX(Pengaturan!$B$8:$B$27,E$4)="",0,COUNTIF(Data!$B512:$U512,INDEX(Pengaturan!$B$8:$B$27,E$4)))</f>
        <v>0</v>
      </c>
      <c r="F512" s="26" t="n">
        <f aca="false">IF(INDEX(Pengaturan!$B$8:$B$27,F$4)="",0,COUNTIF(Data!$B512:$U512,INDEX(Pengaturan!$B$8:$B$27,F$4)))</f>
        <v>0</v>
      </c>
      <c r="G512" s="26" t="n">
        <f aca="false">IF(INDEX(Pengaturan!$B$8:$B$27,G$4)="",0,COUNTIF(Data!$B512:$U512,INDEX(Pengaturan!$B$8:$B$27,G$4)))</f>
        <v>0</v>
      </c>
      <c r="H512" s="26" t="n">
        <f aca="false">IF(INDEX(Pengaturan!$B$8:$B$27,H$4)="",0,COUNTIF(Data!$B512:$U512,INDEX(Pengaturan!$B$8:$B$27,H$4)))</f>
        <v>0</v>
      </c>
      <c r="I512" s="26" t="n">
        <f aca="false">IF(INDEX(Pengaturan!$B$8:$B$27,I$4)="",0,COUNTIF(Data!$B512:$U512,INDEX(Pengaturan!$B$8:$B$27,I$4)))</f>
        <v>0</v>
      </c>
      <c r="J512" s="26" t="n">
        <f aca="false">IF(INDEX(Pengaturan!$B$8:$B$27,J$4)="",0,COUNTIF(Data!$B512:$U512,INDEX(Pengaturan!$B$8:$B$27,J$4)))</f>
        <v>0</v>
      </c>
      <c r="K512" s="26" t="n">
        <f aca="false">IF(INDEX(Pengaturan!$B$8:$B$27,K$4)="",0,COUNTIF(Data!$B512:$U512,INDEX(Pengaturan!$B$8:$B$27,K$4)))</f>
        <v>0</v>
      </c>
      <c r="L512" s="26" t="n">
        <f aca="false">IF(INDEX(Pengaturan!$B$8:$B$27,L$4)="",0,COUNTIF(Data!$B512:$U512,INDEX(Pengaturan!$B$8:$B$27,L$4)))</f>
        <v>0</v>
      </c>
      <c r="M512" s="26" t="n">
        <f aca="false">IF(INDEX(Pengaturan!$B$8:$B$27,M$4)="",0,COUNTIF(Data!$B512:$U512,INDEX(Pengaturan!$B$8:$B$27,M$4)))</f>
        <v>0</v>
      </c>
      <c r="N512" s="26" t="n">
        <f aca="false">IF(INDEX(Pengaturan!$B$8:$B$27,N$4)="",0,COUNTIF(Data!$B512:$U512,INDEX(Pengaturan!$B$8:$B$27,N$4)))</f>
        <v>0</v>
      </c>
      <c r="O512" s="26" t="n">
        <f aca="false">IF(INDEX(Pengaturan!$B$8:$B$27,O$4)="",0,COUNTIF(Data!$B512:$U512,INDEX(Pengaturan!$B$8:$B$27,O$4)))</f>
        <v>0</v>
      </c>
      <c r="P512" s="26" t="n">
        <f aca="false">IF(INDEX(Pengaturan!$B$8:$B$27,P$4)="",0,COUNTIF(Data!$B512:$U512,INDEX(Pengaturan!$B$8:$B$27,P$4)))</f>
        <v>0</v>
      </c>
      <c r="Q512" s="26" t="n">
        <f aca="false">IF(INDEX(Pengaturan!$B$8:$B$27,Q$4)="",0,COUNTIF(Data!$B512:$U512,INDEX(Pengaturan!$B$8:$B$27,Q$4)))</f>
        <v>0</v>
      </c>
      <c r="R512" s="26" t="n">
        <f aca="false">IF(INDEX(Pengaturan!$B$8:$B$27,R$4)="",0,COUNTIF(Data!$B512:$U512,INDEX(Pengaturan!$B$8:$B$27,R$4)))</f>
        <v>0</v>
      </c>
      <c r="S512" s="26" t="n">
        <f aca="false">IF(INDEX(Pengaturan!$B$8:$B$27,S$4)="",0,COUNTIF(Data!$B512:$U512,INDEX(Pengaturan!$B$8:$B$27,S$4)))</f>
        <v>0</v>
      </c>
      <c r="T512" s="26" t="n">
        <f aca="false">IF(INDEX(Pengaturan!$B$8:$B$27,T$4)="",0,COUNTIF(Data!$B512:$U512,INDEX(Pengaturan!$B$8:$B$27,T$4)))</f>
        <v>0</v>
      </c>
      <c r="U512" s="26" t="n">
        <f aca="false">IF(INDEX(Pengaturan!$B$8:$B$27,U$4)="",0,COUNTIF(Data!$B512:$U512,INDEX(Pengaturan!$B$8:$B$27,U$4)))</f>
        <v>0</v>
      </c>
      <c r="V512" s="26" t="n">
        <f aca="false">COUNTA(Data!$B512:$U512)</f>
        <v>0</v>
      </c>
      <c r="W512" s="27" t="str">
        <f aca="false">IF(V512=0,"",IF(V512&lt;&gt;Hasil!$C$4,"Data kosong/tidak lengkap",IF(SUM(B512:U512)&lt;&gt;V512,"Kategori tidak dikenal","OK")))</f>
        <v/>
      </c>
      <c r="X512" s="26" t="n">
        <f aca="false">IF(OR(W512="",W512="OK"),0,1)</f>
        <v>0</v>
      </c>
    </row>
    <row r="513" customFormat="false" ht="15" hidden="false" customHeight="false" outlineLevel="0" collapsed="false">
      <c r="A513" s="26" t="n">
        <f aca="false">Data!A513</f>
        <v>508</v>
      </c>
      <c r="B513" s="26" t="n">
        <f aca="false">IF(INDEX(Pengaturan!$B$8:$B$27,B$4)="",0,COUNTIF(Data!$B513:$U513,INDEX(Pengaturan!$B$8:$B$27,B$4)))</f>
        <v>0</v>
      </c>
      <c r="C513" s="26" t="n">
        <f aca="false">IF(INDEX(Pengaturan!$B$8:$B$27,C$4)="",0,COUNTIF(Data!$B513:$U513,INDEX(Pengaturan!$B$8:$B$27,C$4)))</f>
        <v>0</v>
      </c>
      <c r="D513" s="26" t="n">
        <f aca="false">IF(INDEX(Pengaturan!$B$8:$B$27,D$4)="",0,COUNTIF(Data!$B513:$U513,INDEX(Pengaturan!$B$8:$B$27,D$4)))</f>
        <v>0</v>
      </c>
      <c r="E513" s="26" t="n">
        <f aca="false">IF(INDEX(Pengaturan!$B$8:$B$27,E$4)="",0,COUNTIF(Data!$B513:$U513,INDEX(Pengaturan!$B$8:$B$27,E$4)))</f>
        <v>0</v>
      </c>
      <c r="F513" s="26" t="n">
        <f aca="false">IF(INDEX(Pengaturan!$B$8:$B$27,F$4)="",0,COUNTIF(Data!$B513:$U513,INDEX(Pengaturan!$B$8:$B$27,F$4)))</f>
        <v>0</v>
      </c>
      <c r="G513" s="26" t="n">
        <f aca="false">IF(INDEX(Pengaturan!$B$8:$B$27,G$4)="",0,COUNTIF(Data!$B513:$U513,INDEX(Pengaturan!$B$8:$B$27,G$4)))</f>
        <v>0</v>
      </c>
      <c r="H513" s="26" t="n">
        <f aca="false">IF(INDEX(Pengaturan!$B$8:$B$27,H$4)="",0,COUNTIF(Data!$B513:$U513,INDEX(Pengaturan!$B$8:$B$27,H$4)))</f>
        <v>0</v>
      </c>
      <c r="I513" s="26" t="n">
        <f aca="false">IF(INDEX(Pengaturan!$B$8:$B$27,I$4)="",0,COUNTIF(Data!$B513:$U513,INDEX(Pengaturan!$B$8:$B$27,I$4)))</f>
        <v>0</v>
      </c>
      <c r="J513" s="26" t="n">
        <f aca="false">IF(INDEX(Pengaturan!$B$8:$B$27,J$4)="",0,COUNTIF(Data!$B513:$U513,INDEX(Pengaturan!$B$8:$B$27,J$4)))</f>
        <v>0</v>
      </c>
      <c r="K513" s="26" t="n">
        <f aca="false">IF(INDEX(Pengaturan!$B$8:$B$27,K$4)="",0,COUNTIF(Data!$B513:$U513,INDEX(Pengaturan!$B$8:$B$27,K$4)))</f>
        <v>0</v>
      </c>
      <c r="L513" s="26" t="n">
        <f aca="false">IF(INDEX(Pengaturan!$B$8:$B$27,L$4)="",0,COUNTIF(Data!$B513:$U513,INDEX(Pengaturan!$B$8:$B$27,L$4)))</f>
        <v>0</v>
      </c>
      <c r="M513" s="26" t="n">
        <f aca="false">IF(INDEX(Pengaturan!$B$8:$B$27,M$4)="",0,COUNTIF(Data!$B513:$U513,INDEX(Pengaturan!$B$8:$B$27,M$4)))</f>
        <v>0</v>
      </c>
      <c r="N513" s="26" t="n">
        <f aca="false">IF(INDEX(Pengaturan!$B$8:$B$27,N$4)="",0,COUNTIF(Data!$B513:$U513,INDEX(Pengaturan!$B$8:$B$27,N$4)))</f>
        <v>0</v>
      </c>
      <c r="O513" s="26" t="n">
        <f aca="false">IF(INDEX(Pengaturan!$B$8:$B$27,O$4)="",0,COUNTIF(Data!$B513:$U513,INDEX(Pengaturan!$B$8:$B$27,O$4)))</f>
        <v>0</v>
      </c>
      <c r="P513" s="26" t="n">
        <f aca="false">IF(INDEX(Pengaturan!$B$8:$B$27,P$4)="",0,COUNTIF(Data!$B513:$U513,INDEX(Pengaturan!$B$8:$B$27,P$4)))</f>
        <v>0</v>
      </c>
      <c r="Q513" s="26" t="n">
        <f aca="false">IF(INDEX(Pengaturan!$B$8:$B$27,Q$4)="",0,COUNTIF(Data!$B513:$U513,INDEX(Pengaturan!$B$8:$B$27,Q$4)))</f>
        <v>0</v>
      </c>
      <c r="R513" s="26" t="n">
        <f aca="false">IF(INDEX(Pengaturan!$B$8:$B$27,R$4)="",0,COUNTIF(Data!$B513:$U513,INDEX(Pengaturan!$B$8:$B$27,R$4)))</f>
        <v>0</v>
      </c>
      <c r="S513" s="26" t="n">
        <f aca="false">IF(INDEX(Pengaturan!$B$8:$B$27,S$4)="",0,COUNTIF(Data!$B513:$U513,INDEX(Pengaturan!$B$8:$B$27,S$4)))</f>
        <v>0</v>
      </c>
      <c r="T513" s="26" t="n">
        <f aca="false">IF(INDEX(Pengaturan!$B$8:$B$27,T$4)="",0,COUNTIF(Data!$B513:$U513,INDEX(Pengaturan!$B$8:$B$27,T$4)))</f>
        <v>0</v>
      </c>
      <c r="U513" s="26" t="n">
        <f aca="false">IF(INDEX(Pengaturan!$B$8:$B$27,U$4)="",0,COUNTIF(Data!$B513:$U513,INDEX(Pengaturan!$B$8:$B$27,U$4)))</f>
        <v>0</v>
      </c>
      <c r="V513" s="26" t="n">
        <f aca="false">COUNTA(Data!$B513:$U513)</f>
        <v>0</v>
      </c>
      <c r="W513" s="27" t="str">
        <f aca="false">IF(V513=0,"",IF(V513&lt;&gt;Hasil!$C$4,"Data kosong/tidak lengkap",IF(SUM(B513:U513)&lt;&gt;V513,"Kategori tidak dikenal","OK")))</f>
        <v/>
      </c>
      <c r="X513" s="26" t="n">
        <f aca="false">IF(OR(W513="",W513="OK"),0,1)</f>
        <v>0</v>
      </c>
    </row>
    <row r="514" customFormat="false" ht="15" hidden="false" customHeight="false" outlineLevel="0" collapsed="false">
      <c r="A514" s="26" t="n">
        <f aca="false">Data!A514</f>
        <v>509</v>
      </c>
      <c r="B514" s="26" t="n">
        <f aca="false">IF(INDEX(Pengaturan!$B$8:$B$27,B$4)="",0,COUNTIF(Data!$B514:$U514,INDEX(Pengaturan!$B$8:$B$27,B$4)))</f>
        <v>0</v>
      </c>
      <c r="C514" s="26" t="n">
        <f aca="false">IF(INDEX(Pengaturan!$B$8:$B$27,C$4)="",0,COUNTIF(Data!$B514:$U514,INDEX(Pengaturan!$B$8:$B$27,C$4)))</f>
        <v>0</v>
      </c>
      <c r="D514" s="26" t="n">
        <f aca="false">IF(INDEX(Pengaturan!$B$8:$B$27,D$4)="",0,COUNTIF(Data!$B514:$U514,INDEX(Pengaturan!$B$8:$B$27,D$4)))</f>
        <v>0</v>
      </c>
      <c r="E514" s="26" t="n">
        <f aca="false">IF(INDEX(Pengaturan!$B$8:$B$27,E$4)="",0,COUNTIF(Data!$B514:$U514,INDEX(Pengaturan!$B$8:$B$27,E$4)))</f>
        <v>0</v>
      </c>
      <c r="F514" s="26" t="n">
        <f aca="false">IF(INDEX(Pengaturan!$B$8:$B$27,F$4)="",0,COUNTIF(Data!$B514:$U514,INDEX(Pengaturan!$B$8:$B$27,F$4)))</f>
        <v>0</v>
      </c>
      <c r="G514" s="26" t="n">
        <f aca="false">IF(INDEX(Pengaturan!$B$8:$B$27,G$4)="",0,COUNTIF(Data!$B514:$U514,INDEX(Pengaturan!$B$8:$B$27,G$4)))</f>
        <v>0</v>
      </c>
      <c r="H514" s="26" t="n">
        <f aca="false">IF(INDEX(Pengaturan!$B$8:$B$27,H$4)="",0,COUNTIF(Data!$B514:$U514,INDEX(Pengaturan!$B$8:$B$27,H$4)))</f>
        <v>0</v>
      </c>
      <c r="I514" s="26" t="n">
        <f aca="false">IF(INDEX(Pengaturan!$B$8:$B$27,I$4)="",0,COUNTIF(Data!$B514:$U514,INDEX(Pengaturan!$B$8:$B$27,I$4)))</f>
        <v>0</v>
      </c>
      <c r="J514" s="26" t="n">
        <f aca="false">IF(INDEX(Pengaturan!$B$8:$B$27,J$4)="",0,COUNTIF(Data!$B514:$U514,INDEX(Pengaturan!$B$8:$B$27,J$4)))</f>
        <v>0</v>
      </c>
      <c r="K514" s="26" t="n">
        <f aca="false">IF(INDEX(Pengaturan!$B$8:$B$27,K$4)="",0,COUNTIF(Data!$B514:$U514,INDEX(Pengaturan!$B$8:$B$27,K$4)))</f>
        <v>0</v>
      </c>
      <c r="L514" s="26" t="n">
        <f aca="false">IF(INDEX(Pengaturan!$B$8:$B$27,L$4)="",0,COUNTIF(Data!$B514:$U514,INDEX(Pengaturan!$B$8:$B$27,L$4)))</f>
        <v>0</v>
      </c>
      <c r="M514" s="26" t="n">
        <f aca="false">IF(INDEX(Pengaturan!$B$8:$B$27,M$4)="",0,COUNTIF(Data!$B514:$U514,INDEX(Pengaturan!$B$8:$B$27,M$4)))</f>
        <v>0</v>
      </c>
      <c r="N514" s="26" t="n">
        <f aca="false">IF(INDEX(Pengaturan!$B$8:$B$27,N$4)="",0,COUNTIF(Data!$B514:$U514,INDEX(Pengaturan!$B$8:$B$27,N$4)))</f>
        <v>0</v>
      </c>
      <c r="O514" s="26" t="n">
        <f aca="false">IF(INDEX(Pengaturan!$B$8:$B$27,O$4)="",0,COUNTIF(Data!$B514:$U514,INDEX(Pengaturan!$B$8:$B$27,O$4)))</f>
        <v>0</v>
      </c>
      <c r="P514" s="26" t="n">
        <f aca="false">IF(INDEX(Pengaturan!$B$8:$B$27,P$4)="",0,COUNTIF(Data!$B514:$U514,INDEX(Pengaturan!$B$8:$B$27,P$4)))</f>
        <v>0</v>
      </c>
      <c r="Q514" s="26" t="n">
        <f aca="false">IF(INDEX(Pengaturan!$B$8:$B$27,Q$4)="",0,COUNTIF(Data!$B514:$U514,INDEX(Pengaturan!$B$8:$B$27,Q$4)))</f>
        <v>0</v>
      </c>
      <c r="R514" s="26" t="n">
        <f aca="false">IF(INDEX(Pengaturan!$B$8:$B$27,R$4)="",0,COUNTIF(Data!$B514:$U514,INDEX(Pengaturan!$B$8:$B$27,R$4)))</f>
        <v>0</v>
      </c>
      <c r="S514" s="26" t="n">
        <f aca="false">IF(INDEX(Pengaturan!$B$8:$B$27,S$4)="",0,COUNTIF(Data!$B514:$U514,INDEX(Pengaturan!$B$8:$B$27,S$4)))</f>
        <v>0</v>
      </c>
      <c r="T514" s="26" t="n">
        <f aca="false">IF(INDEX(Pengaturan!$B$8:$B$27,T$4)="",0,COUNTIF(Data!$B514:$U514,INDEX(Pengaturan!$B$8:$B$27,T$4)))</f>
        <v>0</v>
      </c>
      <c r="U514" s="26" t="n">
        <f aca="false">IF(INDEX(Pengaturan!$B$8:$B$27,U$4)="",0,COUNTIF(Data!$B514:$U514,INDEX(Pengaturan!$B$8:$B$27,U$4)))</f>
        <v>0</v>
      </c>
      <c r="V514" s="26" t="n">
        <f aca="false">COUNTA(Data!$B514:$U514)</f>
        <v>0</v>
      </c>
      <c r="W514" s="27" t="str">
        <f aca="false">IF(V514=0,"",IF(V514&lt;&gt;Hasil!$C$4,"Data kosong/tidak lengkap",IF(SUM(B514:U514)&lt;&gt;V514,"Kategori tidak dikenal","OK")))</f>
        <v/>
      </c>
      <c r="X514" s="26" t="n">
        <f aca="false">IF(OR(W514="",W514="OK"),0,1)</f>
        <v>0</v>
      </c>
    </row>
    <row r="515" customFormat="false" ht="15" hidden="false" customHeight="false" outlineLevel="0" collapsed="false">
      <c r="A515" s="26" t="n">
        <f aca="false">Data!A515</f>
        <v>510</v>
      </c>
      <c r="B515" s="26" t="n">
        <f aca="false">IF(INDEX(Pengaturan!$B$8:$B$27,B$4)="",0,COUNTIF(Data!$B515:$U515,INDEX(Pengaturan!$B$8:$B$27,B$4)))</f>
        <v>0</v>
      </c>
      <c r="C515" s="26" t="n">
        <f aca="false">IF(INDEX(Pengaturan!$B$8:$B$27,C$4)="",0,COUNTIF(Data!$B515:$U515,INDEX(Pengaturan!$B$8:$B$27,C$4)))</f>
        <v>0</v>
      </c>
      <c r="D515" s="26" t="n">
        <f aca="false">IF(INDEX(Pengaturan!$B$8:$B$27,D$4)="",0,COUNTIF(Data!$B515:$U515,INDEX(Pengaturan!$B$8:$B$27,D$4)))</f>
        <v>0</v>
      </c>
      <c r="E515" s="26" t="n">
        <f aca="false">IF(INDEX(Pengaturan!$B$8:$B$27,E$4)="",0,COUNTIF(Data!$B515:$U515,INDEX(Pengaturan!$B$8:$B$27,E$4)))</f>
        <v>0</v>
      </c>
      <c r="F515" s="26" t="n">
        <f aca="false">IF(INDEX(Pengaturan!$B$8:$B$27,F$4)="",0,COUNTIF(Data!$B515:$U515,INDEX(Pengaturan!$B$8:$B$27,F$4)))</f>
        <v>0</v>
      </c>
      <c r="G515" s="26" t="n">
        <f aca="false">IF(INDEX(Pengaturan!$B$8:$B$27,G$4)="",0,COUNTIF(Data!$B515:$U515,INDEX(Pengaturan!$B$8:$B$27,G$4)))</f>
        <v>0</v>
      </c>
      <c r="H515" s="26" t="n">
        <f aca="false">IF(INDEX(Pengaturan!$B$8:$B$27,H$4)="",0,COUNTIF(Data!$B515:$U515,INDEX(Pengaturan!$B$8:$B$27,H$4)))</f>
        <v>0</v>
      </c>
      <c r="I515" s="26" t="n">
        <f aca="false">IF(INDEX(Pengaturan!$B$8:$B$27,I$4)="",0,COUNTIF(Data!$B515:$U515,INDEX(Pengaturan!$B$8:$B$27,I$4)))</f>
        <v>0</v>
      </c>
      <c r="J515" s="26" t="n">
        <f aca="false">IF(INDEX(Pengaturan!$B$8:$B$27,J$4)="",0,COUNTIF(Data!$B515:$U515,INDEX(Pengaturan!$B$8:$B$27,J$4)))</f>
        <v>0</v>
      </c>
      <c r="K515" s="26" t="n">
        <f aca="false">IF(INDEX(Pengaturan!$B$8:$B$27,K$4)="",0,COUNTIF(Data!$B515:$U515,INDEX(Pengaturan!$B$8:$B$27,K$4)))</f>
        <v>0</v>
      </c>
      <c r="L515" s="26" t="n">
        <f aca="false">IF(INDEX(Pengaturan!$B$8:$B$27,L$4)="",0,COUNTIF(Data!$B515:$U515,INDEX(Pengaturan!$B$8:$B$27,L$4)))</f>
        <v>0</v>
      </c>
      <c r="M515" s="26" t="n">
        <f aca="false">IF(INDEX(Pengaturan!$B$8:$B$27,M$4)="",0,COUNTIF(Data!$B515:$U515,INDEX(Pengaturan!$B$8:$B$27,M$4)))</f>
        <v>0</v>
      </c>
      <c r="N515" s="26" t="n">
        <f aca="false">IF(INDEX(Pengaturan!$B$8:$B$27,N$4)="",0,COUNTIF(Data!$B515:$U515,INDEX(Pengaturan!$B$8:$B$27,N$4)))</f>
        <v>0</v>
      </c>
      <c r="O515" s="26" t="n">
        <f aca="false">IF(INDEX(Pengaturan!$B$8:$B$27,O$4)="",0,COUNTIF(Data!$B515:$U515,INDEX(Pengaturan!$B$8:$B$27,O$4)))</f>
        <v>0</v>
      </c>
      <c r="P515" s="26" t="n">
        <f aca="false">IF(INDEX(Pengaturan!$B$8:$B$27,P$4)="",0,COUNTIF(Data!$B515:$U515,INDEX(Pengaturan!$B$8:$B$27,P$4)))</f>
        <v>0</v>
      </c>
      <c r="Q515" s="26" t="n">
        <f aca="false">IF(INDEX(Pengaturan!$B$8:$B$27,Q$4)="",0,COUNTIF(Data!$B515:$U515,INDEX(Pengaturan!$B$8:$B$27,Q$4)))</f>
        <v>0</v>
      </c>
      <c r="R515" s="26" t="n">
        <f aca="false">IF(INDEX(Pengaturan!$B$8:$B$27,R$4)="",0,COUNTIF(Data!$B515:$U515,INDEX(Pengaturan!$B$8:$B$27,R$4)))</f>
        <v>0</v>
      </c>
      <c r="S515" s="26" t="n">
        <f aca="false">IF(INDEX(Pengaturan!$B$8:$B$27,S$4)="",0,COUNTIF(Data!$B515:$U515,INDEX(Pengaturan!$B$8:$B$27,S$4)))</f>
        <v>0</v>
      </c>
      <c r="T515" s="26" t="n">
        <f aca="false">IF(INDEX(Pengaturan!$B$8:$B$27,T$4)="",0,COUNTIF(Data!$B515:$U515,INDEX(Pengaturan!$B$8:$B$27,T$4)))</f>
        <v>0</v>
      </c>
      <c r="U515" s="26" t="n">
        <f aca="false">IF(INDEX(Pengaturan!$B$8:$B$27,U$4)="",0,COUNTIF(Data!$B515:$U515,INDEX(Pengaturan!$B$8:$B$27,U$4)))</f>
        <v>0</v>
      </c>
      <c r="V515" s="26" t="n">
        <f aca="false">COUNTA(Data!$B515:$U515)</f>
        <v>0</v>
      </c>
      <c r="W515" s="27" t="str">
        <f aca="false">IF(V515=0,"",IF(V515&lt;&gt;Hasil!$C$4,"Data kosong/tidak lengkap",IF(SUM(B515:U515)&lt;&gt;V515,"Kategori tidak dikenal","OK")))</f>
        <v/>
      </c>
      <c r="X515" s="26" t="n">
        <f aca="false">IF(OR(W515="",W515="OK"),0,1)</f>
        <v>0</v>
      </c>
    </row>
    <row r="516" customFormat="false" ht="15" hidden="false" customHeight="false" outlineLevel="0" collapsed="false">
      <c r="A516" s="26" t="n">
        <f aca="false">Data!A516</f>
        <v>511</v>
      </c>
      <c r="B516" s="26" t="n">
        <f aca="false">IF(INDEX(Pengaturan!$B$8:$B$27,B$4)="",0,COUNTIF(Data!$B516:$U516,INDEX(Pengaturan!$B$8:$B$27,B$4)))</f>
        <v>0</v>
      </c>
      <c r="C516" s="26" t="n">
        <f aca="false">IF(INDEX(Pengaturan!$B$8:$B$27,C$4)="",0,COUNTIF(Data!$B516:$U516,INDEX(Pengaturan!$B$8:$B$27,C$4)))</f>
        <v>0</v>
      </c>
      <c r="D516" s="26" t="n">
        <f aca="false">IF(INDEX(Pengaturan!$B$8:$B$27,D$4)="",0,COUNTIF(Data!$B516:$U516,INDEX(Pengaturan!$B$8:$B$27,D$4)))</f>
        <v>0</v>
      </c>
      <c r="E516" s="26" t="n">
        <f aca="false">IF(INDEX(Pengaturan!$B$8:$B$27,E$4)="",0,COUNTIF(Data!$B516:$U516,INDEX(Pengaturan!$B$8:$B$27,E$4)))</f>
        <v>0</v>
      </c>
      <c r="F516" s="26" t="n">
        <f aca="false">IF(INDEX(Pengaturan!$B$8:$B$27,F$4)="",0,COUNTIF(Data!$B516:$U516,INDEX(Pengaturan!$B$8:$B$27,F$4)))</f>
        <v>0</v>
      </c>
      <c r="G516" s="26" t="n">
        <f aca="false">IF(INDEX(Pengaturan!$B$8:$B$27,G$4)="",0,COUNTIF(Data!$B516:$U516,INDEX(Pengaturan!$B$8:$B$27,G$4)))</f>
        <v>0</v>
      </c>
      <c r="H516" s="26" t="n">
        <f aca="false">IF(INDEX(Pengaturan!$B$8:$B$27,H$4)="",0,COUNTIF(Data!$B516:$U516,INDEX(Pengaturan!$B$8:$B$27,H$4)))</f>
        <v>0</v>
      </c>
      <c r="I516" s="26" t="n">
        <f aca="false">IF(INDEX(Pengaturan!$B$8:$B$27,I$4)="",0,COUNTIF(Data!$B516:$U516,INDEX(Pengaturan!$B$8:$B$27,I$4)))</f>
        <v>0</v>
      </c>
      <c r="J516" s="26" t="n">
        <f aca="false">IF(INDEX(Pengaturan!$B$8:$B$27,J$4)="",0,COUNTIF(Data!$B516:$U516,INDEX(Pengaturan!$B$8:$B$27,J$4)))</f>
        <v>0</v>
      </c>
      <c r="K516" s="26" t="n">
        <f aca="false">IF(INDEX(Pengaturan!$B$8:$B$27,K$4)="",0,COUNTIF(Data!$B516:$U516,INDEX(Pengaturan!$B$8:$B$27,K$4)))</f>
        <v>0</v>
      </c>
      <c r="L516" s="26" t="n">
        <f aca="false">IF(INDEX(Pengaturan!$B$8:$B$27,L$4)="",0,COUNTIF(Data!$B516:$U516,INDEX(Pengaturan!$B$8:$B$27,L$4)))</f>
        <v>0</v>
      </c>
      <c r="M516" s="26" t="n">
        <f aca="false">IF(INDEX(Pengaturan!$B$8:$B$27,M$4)="",0,COUNTIF(Data!$B516:$U516,INDEX(Pengaturan!$B$8:$B$27,M$4)))</f>
        <v>0</v>
      </c>
      <c r="N516" s="26" t="n">
        <f aca="false">IF(INDEX(Pengaturan!$B$8:$B$27,N$4)="",0,COUNTIF(Data!$B516:$U516,INDEX(Pengaturan!$B$8:$B$27,N$4)))</f>
        <v>0</v>
      </c>
      <c r="O516" s="26" t="n">
        <f aca="false">IF(INDEX(Pengaturan!$B$8:$B$27,O$4)="",0,COUNTIF(Data!$B516:$U516,INDEX(Pengaturan!$B$8:$B$27,O$4)))</f>
        <v>0</v>
      </c>
      <c r="P516" s="26" t="n">
        <f aca="false">IF(INDEX(Pengaturan!$B$8:$B$27,P$4)="",0,COUNTIF(Data!$B516:$U516,INDEX(Pengaturan!$B$8:$B$27,P$4)))</f>
        <v>0</v>
      </c>
      <c r="Q516" s="26" t="n">
        <f aca="false">IF(INDEX(Pengaturan!$B$8:$B$27,Q$4)="",0,COUNTIF(Data!$B516:$U516,INDEX(Pengaturan!$B$8:$B$27,Q$4)))</f>
        <v>0</v>
      </c>
      <c r="R516" s="26" t="n">
        <f aca="false">IF(INDEX(Pengaturan!$B$8:$B$27,R$4)="",0,COUNTIF(Data!$B516:$U516,INDEX(Pengaturan!$B$8:$B$27,R$4)))</f>
        <v>0</v>
      </c>
      <c r="S516" s="26" t="n">
        <f aca="false">IF(INDEX(Pengaturan!$B$8:$B$27,S$4)="",0,COUNTIF(Data!$B516:$U516,INDEX(Pengaturan!$B$8:$B$27,S$4)))</f>
        <v>0</v>
      </c>
      <c r="T516" s="26" t="n">
        <f aca="false">IF(INDEX(Pengaturan!$B$8:$B$27,T$4)="",0,COUNTIF(Data!$B516:$U516,INDEX(Pengaturan!$B$8:$B$27,T$4)))</f>
        <v>0</v>
      </c>
      <c r="U516" s="26" t="n">
        <f aca="false">IF(INDEX(Pengaturan!$B$8:$B$27,U$4)="",0,COUNTIF(Data!$B516:$U516,INDEX(Pengaturan!$B$8:$B$27,U$4)))</f>
        <v>0</v>
      </c>
      <c r="V516" s="26" t="n">
        <f aca="false">COUNTA(Data!$B516:$U516)</f>
        <v>0</v>
      </c>
      <c r="W516" s="27" t="str">
        <f aca="false">IF(V516=0,"",IF(V516&lt;&gt;Hasil!$C$4,"Data kosong/tidak lengkap",IF(SUM(B516:U516)&lt;&gt;V516,"Kategori tidak dikenal","OK")))</f>
        <v/>
      </c>
      <c r="X516" s="26" t="n">
        <f aca="false">IF(OR(W516="",W516="OK"),0,1)</f>
        <v>0</v>
      </c>
    </row>
    <row r="517" customFormat="false" ht="15" hidden="false" customHeight="false" outlineLevel="0" collapsed="false">
      <c r="A517" s="26" t="n">
        <f aca="false">Data!A517</f>
        <v>512</v>
      </c>
      <c r="B517" s="26" t="n">
        <f aca="false">IF(INDEX(Pengaturan!$B$8:$B$27,B$4)="",0,COUNTIF(Data!$B517:$U517,INDEX(Pengaturan!$B$8:$B$27,B$4)))</f>
        <v>0</v>
      </c>
      <c r="C517" s="26" t="n">
        <f aca="false">IF(INDEX(Pengaturan!$B$8:$B$27,C$4)="",0,COUNTIF(Data!$B517:$U517,INDEX(Pengaturan!$B$8:$B$27,C$4)))</f>
        <v>0</v>
      </c>
      <c r="D517" s="26" t="n">
        <f aca="false">IF(INDEX(Pengaturan!$B$8:$B$27,D$4)="",0,COUNTIF(Data!$B517:$U517,INDEX(Pengaturan!$B$8:$B$27,D$4)))</f>
        <v>0</v>
      </c>
      <c r="E517" s="26" t="n">
        <f aca="false">IF(INDEX(Pengaturan!$B$8:$B$27,E$4)="",0,COUNTIF(Data!$B517:$U517,INDEX(Pengaturan!$B$8:$B$27,E$4)))</f>
        <v>0</v>
      </c>
      <c r="F517" s="26" t="n">
        <f aca="false">IF(INDEX(Pengaturan!$B$8:$B$27,F$4)="",0,COUNTIF(Data!$B517:$U517,INDEX(Pengaturan!$B$8:$B$27,F$4)))</f>
        <v>0</v>
      </c>
      <c r="G517" s="26" t="n">
        <f aca="false">IF(INDEX(Pengaturan!$B$8:$B$27,G$4)="",0,COUNTIF(Data!$B517:$U517,INDEX(Pengaturan!$B$8:$B$27,G$4)))</f>
        <v>0</v>
      </c>
      <c r="H517" s="26" t="n">
        <f aca="false">IF(INDEX(Pengaturan!$B$8:$B$27,H$4)="",0,COUNTIF(Data!$B517:$U517,INDEX(Pengaturan!$B$8:$B$27,H$4)))</f>
        <v>0</v>
      </c>
      <c r="I517" s="26" t="n">
        <f aca="false">IF(INDEX(Pengaturan!$B$8:$B$27,I$4)="",0,COUNTIF(Data!$B517:$U517,INDEX(Pengaturan!$B$8:$B$27,I$4)))</f>
        <v>0</v>
      </c>
      <c r="J517" s="26" t="n">
        <f aca="false">IF(INDEX(Pengaturan!$B$8:$B$27,J$4)="",0,COUNTIF(Data!$B517:$U517,INDEX(Pengaturan!$B$8:$B$27,J$4)))</f>
        <v>0</v>
      </c>
      <c r="K517" s="26" t="n">
        <f aca="false">IF(INDEX(Pengaturan!$B$8:$B$27,K$4)="",0,COUNTIF(Data!$B517:$U517,INDEX(Pengaturan!$B$8:$B$27,K$4)))</f>
        <v>0</v>
      </c>
      <c r="L517" s="26" t="n">
        <f aca="false">IF(INDEX(Pengaturan!$B$8:$B$27,L$4)="",0,COUNTIF(Data!$B517:$U517,INDEX(Pengaturan!$B$8:$B$27,L$4)))</f>
        <v>0</v>
      </c>
      <c r="M517" s="26" t="n">
        <f aca="false">IF(INDEX(Pengaturan!$B$8:$B$27,M$4)="",0,COUNTIF(Data!$B517:$U517,INDEX(Pengaturan!$B$8:$B$27,M$4)))</f>
        <v>0</v>
      </c>
      <c r="N517" s="26" t="n">
        <f aca="false">IF(INDEX(Pengaturan!$B$8:$B$27,N$4)="",0,COUNTIF(Data!$B517:$U517,INDEX(Pengaturan!$B$8:$B$27,N$4)))</f>
        <v>0</v>
      </c>
      <c r="O517" s="26" t="n">
        <f aca="false">IF(INDEX(Pengaturan!$B$8:$B$27,O$4)="",0,COUNTIF(Data!$B517:$U517,INDEX(Pengaturan!$B$8:$B$27,O$4)))</f>
        <v>0</v>
      </c>
      <c r="P517" s="26" t="n">
        <f aca="false">IF(INDEX(Pengaturan!$B$8:$B$27,P$4)="",0,COUNTIF(Data!$B517:$U517,INDEX(Pengaturan!$B$8:$B$27,P$4)))</f>
        <v>0</v>
      </c>
      <c r="Q517" s="26" t="n">
        <f aca="false">IF(INDEX(Pengaturan!$B$8:$B$27,Q$4)="",0,COUNTIF(Data!$B517:$U517,INDEX(Pengaturan!$B$8:$B$27,Q$4)))</f>
        <v>0</v>
      </c>
      <c r="R517" s="26" t="n">
        <f aca="false">IF(INDEX(Pengaturan!$B$8:$B$27,R$4)="",0,COUNTIF(Data!$B517:$U517,INDEX(Pengaturan!$B$8:$B$27,R$4)))</f>
        <v>0</v>
      </c>
      <c r="S517" s="26" t="n">
        <f aca="false">IF(INDEX(Pengaturan!$B$8:$B$27,S$4)="",0,COUNTIF(Data!$B517:$U517,INDEX(Pengaturan!$B$8:$B$27,S$4)))</f>
        <v>0</v>
      </c>
      <c r="T517" s="26" t="n">
        <f aca="false">IF(INDEX(Pengaturan!$B$8:$B$27,T$4)="",0,COUNTIF(Data!$B517:$U517,INDEX(Pengaturan!$B$8:$B$27,T$4)))</f>
        <v>0</v>
      </c>
      <c r="U517" s="26" t="n">
        <f aca="false">IF(INDEX(Pengaturan!$B$8:$B$27,U$4)="",0,COUNTIF(Data!$B517:$U517,INDEX(Pengaturan!$B$8:$B$27,U$4)))</f>
        <v>0</v>
      </c>
      <c r="V517" s="26" t="n">
        <f aca="false">COUNTA(Data!$B517:$U517)</f>
        <v>0</v>
      </c>
      <c r="W517" s="27" t="str">
        <f aca="false">IF(V517=0,"",IF(V517&lt;&gt;Hasil!$C$4,"Data kosong/tidak lengkap",IF(SUM(B517:U517)&lt;&gt;V517,"Kategori tidak dikenal","OK")))</f>
        <v/>
      </c>
      <c r="X517" s="26" t="n">
        <f aca="false">IF(OR(W517="",W517="OK"),0,1)</f>
        <v>0</v>
      </c>
    </row>
    <row r="518" customFormat="false" ht="15" hidden="false" customHeight="false" outlineLevel="0" collapsed="false">
      <c r="A518" s="26" t="n">
        <f aca="false">Data!A518</f>
        <v>513</v>
      </c>
      <c r="B518" s="26" t="n">
        <f aca="false">IF(INDEX(Pengaturan!$B$8:$B$27,B$4)="",0,COUNTIF(Data!$B518:$U518,INDEX(Pengaturan!$B$8:$B$27,B$4)))</f>
        <v>0</v>
      </c>
      <c r="C518" s="26" t="n">
        <f aca="false">IF(INDEX(Pengaturan!$B$8:$B$27,C$4)="",0,COUNTIF(Data!$B518:$U518,INDEX(Pengaturan!$B$8:$B$27,C$4)))</f>
        <v>0</v>
      </c>
      <c r="D518" s="26" t="n">
        <f aca="false">IF(INDEX(Pengaturan!$B$8:$B$27,D$4)="",0,COUNTIF(Data!$B518:$U518,INDEX(Pengaturan!$B$8:$B$27,D$4)))</f>
        <v>0</v>
      </c>
      <c r="E518" s="26" t="n">
        <f aca="false">IF(INDEX(Pengaturan!$B$8:$B$27,E$4)="",0,COUNTIF(Data!$B518:$U518,INDEX(Pengaturan!$B$8:$B$27,E$4)))</f>
        <v>0</v>
      </c>
      <c r="F518" s="26" t="n">
        <f aca="false">IF(INDEX(Pengaturan!$B$8:$B$27,F$4)="",0,COUNTIF(Data!$B518:$U518,INDEX(Pengaturan!$B$8:$B$27,F$4)))</f>
        <v>0</v>
      </c>
      <c r="G518" s="26" t="n">
        <f aca="false">IF(INDEX(Pengaturan!$B$8:$B$27,G$4)="",0,COUNTIF(Data!$B518:$U518,INDEX(Pengaturan!$B$8:$B$27,G$4)))</f>
        <v>0</v>
      </c>
      <c r="H518" s="26" t="n">
        <f aca="false">IF(INDEX(Pengaturan!$B$8:$B$27,H$4)="",0,COUNTIF(Data!$B518:$U518,INDEX(Pengaturan!$B$8:$B$27,H$4)))</f>
        <v>0</v>
      </c>
      <c r="I518" s="26" t="n">
        <f aca="false">IF(INDEX(Pengaturan!$B$8:$B$27,I$4)="",0,COUNTIF(Data!$B518:$U518,INDEX(Pengaturan!$B$8:$B$27,I$4)))</f>
        <v>0</v>
      </c>
      <c r="J518" s="26" t="n">
        <f aca="false">IF(INDEX(Pengaturan!$B$8:$B$27,J$4)="",0,COUNTIF(Data!$B518:$U518,INDEX(Pengaturan!$B$8:$B$27,J$4)))</f>
        <v>0</v>
      </c>
      <c r="K518" s="26" t="n">
        <f aca="false">IF(INDEX(Pengaturan!$B$8:$B$27,K$4)="",0,COUNTIF(Data!$B518:$U518,INDEX(Pengaturan!$B$8:$B$27,K$4)))</f>
        <v>0</v>
      </c>
      <c r="L518" s="26" t="n">
        <f aca="false">IF(INDEX(Pengaturan!$B$8:$B$27,L$4)="",0,COUNTIF(Data!$B518:$U518,INDEX(Pengaturan!$B$8:$B$27,L$4)))</f>
        <v>0</v>
      </c>
      <c r="M518" s="26" t="n">
        <f aca="false">IF(INDEX(Pengaturan!$B$8:$B$27,M$4)="",0,COUNTIF(Data!$B518:$U518,INDEX(Pengaturan!$B$8:$B$27,M$4)))</f>
        <v>0</v>
      </c>
      <c r="N518" s="26" t="n">
        <f aca="false">IF(INDEX(Pengaturan!$B$8:$B$27,N$4)="",0,COUNTIF(Data!$B518:$U518,INDEX(Pengaturan!$B$8:$B$27,N$4)))</f>
        <v>0</v>
      </c>
      <c r="O518" s="26" t="n">
        <f aca="false">IF(INDEX(Pengaturan!$B$8:$B$27,O$4)="",0,COUNTIF(Data!$B518:$U518,INDEX(Pengaturan!$B$8:$B$27,O$4)))</f>
        <v>0</v>
      </c>
      <c r="P518" s="26" t="n">
        <f aca="false">IF(INDEX(Pengaturan!$B$8:$B$27,P$4)="",0,COUNTIF(Data!$B518:$U518,INDEX(Pengaturan!$B$8:$B$27,P$4)))</f>
        <v>0</v>
      </c>
      <c r="Q518" s="26" t="n">
        <f aca="false">IF(INDEX(Pengaturan!$B$8:$B$27,Q$4)="",0,COUNTIF(Data!$B518:$U518,INDEX(Pengaturan!$B$8:$B$27,Q$4)))</f>
        <v>0</v>
      </c>
      <c r="R518" s="26" t="n">
        <f aca="false">IF(INDEX(Pengaturan!$B$8:$B$27,R$4)="",0,COUNTIF(Data!$B518:$U518,INDEX(Pengaturan!$B$8:$B$27,R$4)))</f>
        <v>0</v>
      </c>
      <c r="S518" s="26" t="n">
        <f aca="false">IF(INDEX(Pengaturan!$B$8:$B$27,S$4)="",0,COUNTIF(Data!$B518:$U518,INDEX(Pengaturan!$B$8:$B$27,S$4)))</f>
        <v>0</v>
      </c>
      <c r="T518" s="26" t="n">
        <f aca="false">IF(INDEX(Pengaturan!$B$8:$B$27,T$4)="",0,COUNTIF(Data!$B518:$U518,INDEX(Pengaturan!$B$8:$B$27,T$4)))</f>
        <v>0</v>
      </c>
      <c r="U518" s="26" t="n">
        <f aca="false">IF(INDEX(Pengaturan!$B$8:$B$27,U$4)="",0,COUNTIF(Data!$B518:$U518,INDEX(Pengaturan!$B$8:$B$27,U$4)))</f>
        <v>0</v>
      </c>
      <c r="V518" s="26" t="n">
        <f aca="false">COUNTA(Data!$B518:$U518)</f>
        <v>0</v>
      </c>
      <c r="W518" s="27" t="str">
        <f aca="false">IF(V518=0,"",IF(V518&lt;&gt;Hasil!$C$4,"Data kosong/tidak lengkap",IF(SUM(B518:U518)&lt;&gt;V518,"Kategori tidak dikenal","OK")))</f>
        <v/>
      </c>
      <c r="X518" s="26" t="n">
        <f aca="false">IF(OR(W518="",W518="OK"),0,1)</f>
        <v>0</v>
      </c>
    </row>
    <row r="519" customFormat="false" ht="15" hidden="false" customHeight="false" outlineLevel="0" collapsed="false">
      <c r="A519" s="26" t="n">
        <f aca="false">Data!A519</f>
        <v>514</v>
      </c>
      <c r="B519" s="26" t="n">
        <f aca="false">IF(INDEX(Pengaturan!$B$8:$B$27,B$4)="",0,COUNTIF(Data!$B519:$U519,INDEX(Pengaturan!$B$8:$B$27,B$4)))</f>
        <v>0</v>
      </c>
      <c r="C519" s="26" t="n">
        <f aca="false">IF(INDEX(Pengaturan!$B$8:$B$27,C$4)="",0,COUNTIF(Data!$B519:$U519,INDEX(Pengaturan!$B$8:$B$27,C$4)))</f>
        <v>0</v>
      </c>
      <c r="D519" s="26" t="n">
        <f aca="false">IF(INDEX(Pengaturan!$B$8:$B$27,D$4)="",0,COUNTIF(Data!$B519:$U519,INDEX(Pengaturan!$B$8:$B$27,D$4)))</f>
        <v>0</v>
      </c>
      <c r="E519" s="26" t="n">
        <f aca="false">IF(INDEX(Pengaturan!$B$8:$B$27,E$4)="",0,COUNTIF(Data!$B519:$U519,INDEX(Pengaturan!$B$8:$B$27,E$4)))</f>
        <v>0</v>
      </c>
      <c r="F519" s="26" t="n">
        <f aca="false">IF(INDEX(Pengaturan!$B$8:$B$27,F$4)="",0,COUNTIF(Data!$B519:$U519,INDEX(Pengaturan!$B$8:$B$27,F$4)))</f>
        <v>0</v>
      </c>
      <c r="G519" s="26" t="n">
        <f aca="false">IF(INDEX(Pengaturan!$B$8:$B$27,G$4)="",0,COUNTIF(Data!$B519:$U519,INDEX(Pengaturan!$B$8:$B$27,G$4)))</f>
        <v>0</v>
      </c>
      <c r="H519" s="26" t="n">
        <f aca="false">IF(INDEX(Pengaturan!$B$8:$B$27,H$4)="",0,COUNTIF(Data!$B519:$U519,INDEX(Pengaturan!$B$8:$B$27,H$4)))</f>
        <v>0</v>
      </c>
      <c r="I519" s="26" t="n">
        <f aca="false">IF(INDEX(Pengaturan!$B$8:$B$27,I$4)="",0,COUNTIF(Data!$B519:$U519,INDEX(Pengaturan!$B$8:$B$27,I$4)))</f>
        <v>0</v>
      </c>
      <c r="J519" s="26" t="n">
        <f aca="false">IF(INDEX(Pengaturan!$B$8:$B$27,J$4)="",0,COUNTIF(Data!$B519:$U519,INDEX(Pengaturan!$B$8:$B$27,J$4)))</f>
        <v>0</v>
      </c>
      <c r="K519" s="26" t="n">
        <f aca="false">IF(INDEX(Pengaturan!$B$8:$B$27,K$4)="",0,COUNTIF(Data!$B519:$U519,INDEX(Pengaturan!$B$8:$B$27,K$4)))</f>
        <v>0</v>
      </c>
      <c r="L519" s="26" t="n">
        <f aca="false">IF(INDEX(Pengaturan!$B$8:$B$27,L$4)="",0,COUNTIF(Data!$B519:$U519,INDEX(Pengaturan!$B$8:$B$27,L$4)))</f>
        <v>0</v>
      </c>
      <c r="M519" s="26" t="n">
        <f aca="false">IF(INDEX(Pengaturan!$B$8:$B$27,M$4)="",0,COUNTIF(Data!$B519:$U519,INDEX(Pengaturan!$B$8:$B$27,M$4)))</f>
        <v>0</v>
      </c>
      <c r="N519" s="26" t="n">
        <f aca="false">IF(INDEX(Pengaturan!$B$8:$B$27,N$4)="",0,COUNTIF(Data!$B519:$U519,INDEX(Pengaturan!$B$8:$B$27,N$4)))</f>
        <v>0</v>
      </c>
      <c r="O519" s="26" t="n">
        <f aca="false">IF(INDEX(Pengaturan!$B$8:$B$27,O$4)="",0,COUNTIF(Data!$B519:$U519,INDEX(Pengaturan!$B$8:$B$27,O$4)))</f>
        <v>0</v>
      </c>
      <c r="P519" s="26" t="n">
        <f aca="false">IF(INDEX(Pengaturan!$B$8:$B$27,P$4)="",0,COUNTIF(Data!$B519:$U519,INDEX(Pengaturan!$B$8:$B$27,P$4)))</f>
        <v>0</v>
      </c>
      <c r="Q519" s="26" t="n">
        <f aca="false">IF(INDEX(Pengaturan!$B$8:$B$27,Q$4)="",0,COUNTIF(Data!$B519:$U519,INDEX(Pengaturan!$B$8:$B$27,Q$4)))</f>
        <v>0</v>
      </c>
      <c r="R519" s="26" t="n">
        <f aca="false">IF(INDEX(Pengaturan!$B$8:$B$27,R$4)="",0,COUNTIF(Data!$B519:$U519,INDEX(Pengaturan!$B$8:$B$27,R$4)))</f>
        <v>0</v>
      </c>
      <c r="S519" s="26" t="n">
        <f aca="false">IF(INDEX(Pengaturan!$B$8:$B$27,S$4)="",0,COUNTIF(Data!$B519:$U519,INDEX(Pengaturan!$B$8:$B$27,S$4)))</f>
        <v>0</v>
      </c>
      <c r="T519" s="26" t="n">
        <f aca="false">IF(INDEX(Pengaturan!$B$8:$B$27,T$4)="",0,COUNTIF(Data!$B519:$U519,INDEX(Pengaturan!$B$8:$B$27,T$4)))</f>
        <v>0</v>
      </c>
      <c r="U519" s="26" t="n">
        <f aca="false">IF(INDEX(Pengaturan!$B$8:$B$27,U$4)="",0,COUNTIF(Data!$B519:$U519,INDEX(Pengaturan!$B$8:$B$27,U$4)))</f>
        <v>0</v>
      </c>
      <c r="V519" s="26" t="n">
        <f aca="false">COUNTA(Data!$B519:$U519)</f>
        <v>0</v>
      </c>
      <c r="W519" s="27" t="str">
        <f aca="false">IF(V519=0,"",IF(V519&lt;&gt;Hasil!$C$4,"Data kosong/tidak lengkap",IF(SUM(B519:U519)&lt;&gt;V519,"Kategori tidak dikenal","OK")))</f>
        <v/>
      </c>
      <c r="X519" s="26" t="n">
        <f aca="false">IF(OR(W519="",W519="OK"),0,1)</f>
        <v>0</v>
      </c>
    </row>
    <row r="520" customFormat="false" ht="15" hidden="false" customHeight="false" outlineLevel="0" collapsed="false">
      <c r="A520" s="26" t="n">
        <f aca="false">Data!A520</f>
        <v>515</v>
      </c>
      <c r="B520" s="26" t="n">
        <f aca="false">IF(INDEX(Pengaturan!$B$8:$B$27,B$4)="",0,COUNTIF(Data!$B520:$U520,INDEX(Pengaturan!$B$8:$B$27,B$4)))</f>
        <v>0</v>
      </c>
      <c r="C520" s="26" t="n">
        <f aca="false">IF(INDEX(Pengaturan!$B$8:$B$27,C$4)="",0,COUNTIF(Data!$B520:$U520,INDEX(Pengaturan!$B$8:$B$27,C$4)))</f>
        <v>0</v>
      </c>
      <c r="D520" s="26" t="n">
        <f aca="false">IF(INDEX(Pengaturan!$B$8:$B$27,D$4)="",0,COUNTIF(Data!$B520:$U520,INDEX(Pengaturan!$B$8:$B$27,D$4)))</f>
        <v>0</v>
      </c>
      <c r="E520" s="26" t="n">
        <f aca="false">IF(INDEX(Pengaturan!$B$8:$B$27,E$4)="",0,COUNTIF(Data!$B520:$U520,INDEX(Pengaturan!$B$8:$B$27,E$4)))</f>
        <v>0</v>
      </c>
      <c r="F520" s="26" t="n">
        <f aca="false">IF(INDEX(Pengaturan!$B$8:$B$27,F$4)="",0,COUNTIF(Data!$B520:$U520,INDEX(Pengaturan!$B$8:$B$27,F$4)))</f>
        <v>0</v>
      </c>
      <c r="G520" s="26" t="n">
        <f aca="false">IF(INDEX(Pengaturan!$B$8:$B$27,G$4)="",0,COUNTIF(Data!$B520:$U520,INDEX(Pengaturan!$B$8:$B$27,G$4)))</f>
        <v>0</v>
      </c>
      <c r="H520" s="26" t="n">
        <f aca="false">IF(INDEX(Pengaturan!$B$8:$B$27,H$4)="",0,COUNTIF(Data!$B520:$U520,INDEX(Pengaturan!$B$8:$B$27,H$4)))</f>
        <v>0</v>
      </c>
      <c r="I520" s="26" t="n">
        <f aca="false">IF(INDEX(Pengaturan!$B$8:$B$27,I$4)="",0,COUNTIF(Data!$B520:$U520,INDEX(Pengaturan!$B$8:$B$27,I$4)))</f>
        <v>0</v>
      </c>
      <c r="J520" s="26" t="n">
        <f aca="false">IF(INDEX(Pengaturan!$B$8:$B$27,J$4)="",0,COUNTIF(Data!$B520:$U520,INDEX(Pengaturan!$B$8:$B$27,J$4)))</f>
        <v>0</v>
      </c>
      <c r="K520" s="26" t="n">
        <f aca="false">IF(INDEX(Pengaturan!$B$8:$B$27,K$4)="",0,COUNTIF(Data!$B520:$U520,INDEX(Pengaturan!$B$8:$B$27,K$4)))</f>
        <v>0</v>
      </c>
      <c r="L520" s="26" t="n">
        <f aca="false">IF(INDEX(Pengaturan!$B$8:$B$27,L$4)="",0,COUNTIF(Data!$B520:$U520,INDEX(Pengaturan!$B$8:$B$27,L$4)))</f>
        <v>0</v>
      </c>
      <c r="M520" s="26" t="n">
        <f aca="false">IF(INDEX(Pengaturan!$B$8:$B$27,M$4)="",0,COUNTIF(Data!$B520:$U520,INDEX(Pengaturan!$B$8:$B$27,M$4)))</f>
        <v>0</v>
      </c>
      <c r="N520" s="26" t="n">
        <f aca="false">IF(INDEX(Pengaturan!$B$8:$B$27,N$4)="",0,COUNTIF(Data!$B520:$U520,INDEX(Pengaturan!$B$8:$B$27,N$4)))</f>
        <v>0</v>
      </c>
      <c r="O520" s="26" t="n">
        <f aca="false">IF(INDEX(Pengaturan!$B$8:$B$27,O$4)="",0,COUNTIF(Data!$B520:$U520,INDEX(Pengaturan!$B$8:$B$27,O$4)))</f>
        <v>0</v>
      </c>
      <c r="P520" s="26" t="n">
        <f aca="false">IF(INDEX(Pengaturan!$B$8:$B$27,P$4)="",0,COUNTIF(Data!$B520:$U520,INDEX(Pengaturan!$B$8:$B$27,P$4)))</f>
        <v>0</v>
      </c>
      <c r="Q520" s="26" t="n">
        <f aca="false">IF(INDEX(Pengaturan!$B$8:$B$27,Q$4)="",0,COUNTIF(Data!$B520:$U520,INDEX(Pengaturan!$B$8:$B$27,Q$4)))</f>
        <v>0</v>
      </c>
      <c r="R520" s="26" t="n">
        <f aca="false">IF(INDEX(Pengaturan!$B$8:$B$27,R$4)="",0,COUNTIF(Data!$B520:$U520,INDEX(Pengaturan!$B$8:$B$27,R$4)))</f>
        <v>0</v>
      </c>
      <c r="S520" s="26" t="n">
        <f aca="false">IF(INDEX(Pengaturan!$B$8:$B$27,S$4)="",0,COUNTIF(Data!$B520:$U520,INDEX(Pengaturan!$B$8:$B$27,S$4)))</f>
        <v>0</v>
      </c>
      <c r="T520" s="26" t="n">
        <f aca="false">IF(INDEX(Pengaturan!$B$8:$B$27,T$4)="",0,COUNTIF(Data!$B520:$U520,INDEX(Pengaturan!$B$8:$B$27,T$4)))</f>
        <v>0</v>
      </c>
      <c r="U520" s="26" t="n">
        <f aca="false">IF(INDEX(Pengaturan!$B$8:$B$27,U$4)="",0,COUNTIF(Data!$B520:$U520,INDEX(Pengaturan!$B$8:$B$27,U$4)))</f>
        <v>0</v>
      </c>
      <c r="V520" s="26" t="n">
        <f aca="false">COUNTA(Data!$B520:$U520)</f>
        <v>0</v>
      </c>
      <c r="W520" s="27" t="str">
        <f aca="false">IF(V520=0,"",IF(V520&lt;&gt;Hasil!$C$4,"Data kosong/tidak lengkap",IF(SUM(B520:U520)&lt;&gt;V520,"Kategori tidak dikenal","OK")))</f>
        <v/>
      </c>
      <c r="X520" s="26" t="n">
        <f aca="false">IF(OR(W520="",W520="OK"),0,1)</f>
        <v>0</v>
      </c>
    </row>
    <row r="521" customFormat="false" ht="15" hidden="false" customHeight="false" outlineLevel="0" collapsed="false">
      <c r="A521" s="26" t="n">
        <f aca="false">Data!A521</f>
        <v>516</v>
      </c>
      <c r="B521" s="26" t="n">
        <f aca="false">IF(INDEX(Pengaturan!$B$8:$B$27,B$4)="",0,COUNTIF(Data!$B521:$U521,INDEX(Pengaturan!$B$8:$B$27,B$4)))</f>
        <v>0</v>
      </c>
      <c r="C521" s="26" t="n">
        <f aca="false">IF(INDEX(Pengaturan!$B$8:$B$27,C$4)="",0,COUNTIF(Data!$B521:$U521,INDEX(Pengaturan!$B$8:$B$27,C$4)))</f>
        <v>0</v>
      </c>
      <c r="D521" s="26" t="n">
        <f aca="false">IF(INDEX(Pengaturan!$B$8:$B$27,D$4)="",0,COUNTIF(Data!$B521:$U521,INDEX(Pengaturan!$B$8:$B$27,D$4)))</f>
        <v>0</v>
      </c>
      <c r="E521" s="26" t="n">
        <f aca="false">IF(INDEX(Pengaturan!$B$8:$B$27,E$4)="",0,COUNTIF(Data!$B521:$U521,INDEX(Pengaturan!$B$8:$B$27,E$4)))</f>
        <v>0</v>
      </c>
      <c r="F521" s="26" t="n">
        <f aca="false">IF(INDEX(Pengaturan!$B$8:$B$27,F$4)="",0,COUNTIF(Data!$B521:$U521,INDEX(Pengaturan!$B$8:$B$27,F$4)))</f>
        <v>0</v>
      </c>
      <c r="G521" s="26" t="n">
        <f aca="false">IF(INDEX(Pengaturan!$B$8:$B$27,G$4)="",0,COUNTIF(Data!$B521:$U521,INDEX(Pengaturan!$B$8:$B$27,G$4)))</f>
        <v>0</v>
      </c>
      <c r="H521" s="26" t="n">
        <f aca="false">IF(INDEX(Pengaturan!$B$8:$B$27,H$4)="",0,COUNTIF(Data!$B521:$U521,INDEX(Pengaturan!$B$8:$B$27,H$4)))</f>
        <v>0</v>
      </c>
      <c r="I521" s="26" t="n">
        <f aca="false">IF(INDEX(Pengaturan!$B$8:$B$27,I$4)="",0,COUNTIF(Data!$B521:$U521,INDEX(Pengaturan!$B$8:$B$27,I$4)))</f>
        <v>0</v>
      </c>
      <c r="J521" s="26" t="n">
        <f aca="false">IF(INDEX(Pengaturan!$B$8:$B$27,J$4)="",0,COUNTIF(Data!$B521:$U521,INDEX(Pengaturan!$B$8:$B$27,J$4)))</f>
        <v>0</v>
      </c>
      <c r="K521" s="26" t="n">
        <f aca="false">IF(INDEX(Pengaturan!$B$8:$B$27,K$4)="",0,COUNTIF(Data!$B521:$U521,INDEX(Pengaturan!$B$8:$B$27,K$4)))</f>
        <v>0</v>
      </c>
      <c r="L521" s="26" t="n">
        <f aca="false">IF(INDEX(Pengaturan!$B$8:$B$27,L$4)="",0,COUNTIF(Data!$B521:$U521,INDEX(Pengaturan!$B$8:$B$27,L$4)))</f>
        <v>0</v>
      </c>
      <c r="M521" s="26" t="n">
        <f aca="false">IF(INDEX(Pengaturan!$B$8:$B$27,M$4)="",0,COUNTIF(Data!$B521:$U521,INDEX(Pengaturan!$B$8:$B$27,M$4)))</f>
        <v>0</v>
      </c>
      <c r="N521" s="26" t="n">
        <f aca="false">IF(INDEX(Pengaturan!$B$8:$B$27,N$4)="",0,COUNTIF(Data!$B521:$U521,INDEX(Pengaturan!$B$8:$B$27,N$4)))</f>
        <v>0</v>
      </c>
      <c r="O521" s="26" t="n">
        <f aca="false">IF(INDEX(Pengaturan!$B$8:$B$27,O$4)="",0,COUNTIF(Data!$B521:$U521,INDEX(Pengaturan!$B$8:$B$27,O$4)))</f>
        <v>0</v>
      </c>
      <c r="P521" s="26" t="n">
        <f aca="false">IF(INDEX(Pengaturan!$B$8:$B$27,P$4)="",0,COUNTIF(Data!$B521:$U521,INDEX(Pengaturan!$B$8:$B$27,P$4)))</f>
        <v>0</v>
      </c>
      <c r="Q521" s="26" t="n">
        <f aca="false">IF(INDEX(Pengaturan!$B$8:$B$27,Q$4)="",0,COUNTIF(Data!$B521:$U521,INDEX(Pengaturan!$B$8:$B$27,Q$4)))</f>
        <v>0</v>
      </c>
      <c r="R521" s="26" t="n">
        <f aca="false">IF(INDEX(Pengaturan!$B$8:$B$27,R$4)="",0,COUNTIF(Data!$B521:$U521,INDEX(Pengaturan!$B$8:$B$27,R$4)))</f>
        <v>0</v>
      </c>
      <c r="S521" s="26" t="n">
        <f aca="false">IF(INDEX(Pengaturan!$B$8:$B$27,S$4)="",0,COUNTIF(Data!$B521:$U521,INDEX(Pengaturan!$B$8:$B$27,S$4)))</f>
        <v>0</v>
      </c>
      <c r="T521" s="26" t="n">
        <f aca="false">IF(INDEX(Pengaturan!$B$8:$B$27,T$4)="",0,COUNTIF(Data!$B521:$U521,INDEX(Pengaturan!$B$8:$B$27,T$4)))</f>
        <v>0</v>
      </c>
      <c r="U521" s="26" t="n">
        <f aca="false">IF(INDEX(Pengaturan!$B$8:$B$27,U$4)="",0,COUNTIF(Data!$B521:$U521,INDEX(Pengaturan!$B$8:$B$27,U$4)))</f>
        <v>0</v>
      </c>
      <c r="V521" s="26" t="n">
        <f aca="false">COUNTA(Data!$B521:$U521)</f>
        <v>0</v>
      </c>
      <c r="W521" s="27" t="str">
        <f aca="false">IF(V521=0,"",IF(V521&lt;&gt;Hasil!$C$4,"Data kosong/tidak lengkap",IF(SUM(B521:U521)&lt;&gt;V521,"Kategori tidak dikenal","OK")))</f>
        <v/>
      </c>
      <c r="X521" s="26" t="n">
        <f aca="false">IF(OR(W521="",W521="OK"),0,1)</f>
        <v>0</v>
      </c>
    </row>
    <row r="522" customFormat="false" ht="15" hidden="false" customHeight="false" outlineLevel="0" collapsed="false">
      <c r="A522" s="26" t="n">
        <f aca="false">Data!A522</f>
        <v>517</v>
      </c>
      <c r="B522" s="26" t="n">
        <f aca="false">IF(INDEX(Pengaturan!$B$8:$B$27,B$4)="",0,COUNTIF(Data!$B522:$U522,INDEX(Pengaturan!$B$8:$B$27,B$4)))</f>
        <v>0</v>
      </c>
      <c r="C522" s="26" t="n">
        <f aca="false">IF(INDEX(Pengaturan!$B$8:$B$27,C$4)="",0,COUNTIF(Data!$B522:$U522,INDEX(Pengaturan!$B$8:$B$27,C$4)))</f>
        <v>0</v>
      </c>
      <c r="D522" s="26" t="n">
        <f aca="false">IF(INDEX(Pengaturan!$B$8:$B$27,D$4)="",0,COUNTIF(Data!$B522:$U522,INDEX(Pengaturan!$B$8:$B$27,D$4)))</f>
        <v>0</v>
      </c>
      <c r="E522" s="26" t="n">
        <f aca="false">IF(INDEX(Pengaturan!$B$8:$B$27,E$4)="",0,COUNTIF(Data!$B522:$U522,INDEX(Pengaturan!$B$8:$B$27,E$4)))</f>
        <v>0</v>
      </c>
      <c r="F522" s="26" t="n">
        <f aca="false">IF(INDEX(Pengaturan!$B$8:$B$27,F$4)="",0,COUNTIF(Data!$B522:$U522,INDEX(Pengaturan!$B$8:$B$27,F$4)))</f>
        <v>0</v>
      </c>
      <c r="G522" s="26" t="n">
        <f aca="false">IF(INDEX(Pengaturan!$B$8:$B$27,G$4)="",0,COUNTIF(Data!$B522:$U522,INDEX(Pengaturan!$B$8:$B$27,G$4)))</f>
        <v>0</v>
      </c>
      <c r="H522" s="26" t="n">
        <f aca="false">IF(INDEX(Pengaturan!$B$8:$B$27,H$4)="",0,COUNTIF(Data!$B522:$U522,INDEX(Pengaturan!$B$8:$B$27,H$4)))</f>
        <v>0</v>
      </c>
      <c r="I522" s="26" t="n">
        <f aca="false">IF(INDEX(Pengaturan!$B$8:$B$27,I$4)="",0,COUNTIF(Data!$B522:$U522,INDEX(Pengaturan!$B$8:$B$27,I$4)))</f>
        <v>0</v>
      </c>
      <c r="J522" s="26" t="n">
        <f aca="false">IF(INDEX(Pengaturan!$B$8:$B$27,J$4)="",0,COUNTIF(Data!$B522:$U522,INDEX(Pengaturan!$B$8:$B$27,J$4)))</f>
        <v>0</v>
      </c>
      <c r="K522" s="26" t="n">
        <f aca="false">IF(INDEX(Pengaturan!$B$8:$B$27,K$4)="",0,COUNTIF(Data!$B522:$U522,INDEX(Pengaturan!$B$8:$B$27,K$4)))</f>
        <v>0</v>
      </c>
      <c r="L522" s="26" t="n">
        <f aca="false">IF(INDEX(Pengaturan!$B$8:$B$27,L$4)="",0,COUNTIF(Data!$B522:$U522,INDEX(Pengaturan!$B$8:$B$27,L$4)))</f>
        <v>0</v>
      </c>
      <c r="M522" s="26" t="n">
        <f aca="false">IF(INDEX(Pengaturan!$B$8:$B$27,M$4)="",0,COUNTIF(Data!$B522:$U522,INDEX(Pengaturan!$B$8:$B$27,M$4)))</f>
        <v>0</v>
      </c>
      <c r="N522" s="26" t="n">
        <f aca="false">IF(INDEX(Pengaturan!$B$8:$B$27,N$4)="",0,COUNTIF(Data!$B522:$U522,INDEX(Pengaturan!$B$8:$B$27,N$4)))</f>
        <v>0</v>
      </c>
      <c r="O522" s="26" t="n">
        <f aca="false">IF(INDEX(Pengaturan!$B$8:$B$27,O$4)="",0,COUNTIF(Data!$B522:$U522,INDEX(Pengaturan!$B$8:$B$27,O$4)))</f>
        <v>0</v>
      </c>
      <c r="P522" s="26" t="n">
        <f aca="false">IF(INDEX(Pengaturan!$B$8:$B$27,P$4)="",0,COUNTIF(Data!$B522:$U522,INDEX(Pengaturan!$B$8:$B$27,P$4)))</f>
        <v>0</v>
      </c>
      <c r="Q522" s="26" t="n">
        <f aca="false">IF(INDEX(Pengaturan!$B$8:$B$27,Q$4)="",0,COUNTIF(Data!$B522:$U522,INDEX(Pengaturan!$B$8:$B$27,Q$4)))</f>
        <v>0</v>
      </c>
      <c r="R522" s="26" t="n">
        <f aca="false">IF(INDEX(Pengaturan!$B$8:$B$27,R$4)="",0,COUNTIF(Data!$B522:$U522,INDEX(Pengaturan!$B$8:$B$27,R$4)))</f>
        <v>0</v>
      </c>
      <c r="S522" s="26" t="n">
        <f aca="false">IF(INDEX(Pengaturan!$B$8:$B$27,S$4)="",0,COUNTIF(Data!$B522:$U522,INDEX(Pengaturan!$B$8:$B$27,S$4)))</f>
        <v>0</v>
      </c>
      <c r="T522" s="26" t="n">
        <f aca="false">IF(INDEX(Pengaturan!$B$8:$B$27,T$4)="",0,COUNTIF(Data!$B522:$U522,INDEX(Pengaturan!$B$8:$B$27,T$4)))</f>
        <v>0</v>
      </c>
      <c r="U522" s="26" t="n">
        <f aca="false">IF(INDEX(Pengaturan!$B$8:$B$27,U$4)="",0,COUNTIF(Data!$B522:$U522,INDEX(Pengaturan!$B$8:$B$27,U$4)))</f>
        <v>0</v>
      </c>
      <c r="V522" s="26" t="n">
        <f aca="false">COUNTA(Data!$B522:$U522)</f>
        <v>0</v>
      </c>
      <c r="W522" s="27" t="str">
        <f aca="false">IF(V522=0,"",IF(V522&lt;&gt;Hasil!$C$4,"Data kosong/tidak lengkap",IF(SUM(B522:U522)&lt;&gt;V522,"Kategori tidak dikenal","OK")))</f>
        <v/>
      </c>
      <c r="X522" s="26" t="n">
        <f aca="false">IF(OR(W522="",W522="OK"),0,1)</f>
        <v>0</v>
      </c>
    </row>
    <row r="523" customFormat="false" ht="15" hidden="false" customHeight="false" outlineLevel="0" collapsed="false">
      <c r="A523" s="26" t="n">
        <f aca="false">Data!A523</f>
        <v>518</v>
      </c>
      <c r="B523" s="26" t="n">
        <f aca="false">IF(INDEX(Pengaturan!$B$8:$B$27,B$4)="",0,COUNTIF(Data!$B523:$U523,INDEX(Pengaturan!$B$8:$B$27,B$4)))</f>
        <v>0</v>
      </c>
      <c r="C523" s="26" t="n">
        <f aca="false">IF(INDEX(Pengaturan!$B$8:$B$27,C$4)="",0,COUNTIF(Data!$B523:$U523,INDEX(Pengaturan!$B$8:$B$27,C$4)))</f>
        <v>0</v>
      </c>
      <c r="D523" s="26" t="n">
        <f aca="false">IF(INDEX(Pengaturan!$B$8:$B$27,D$4)="",0,COUNTIF(Data!$B523:$U523,INDEX(Pengaturan!$B$8:$B$27,D$4)))</f>
        <v>0</v>
      </c>
      <c r="E523" s="26" t="n">
        <f aca="false">IF(INDEX(Pengaturan!$B$8:$B$27,E$4)="",0,COUNTIF(Data!$B523:$U523,INDEX(Pengaturan!$B$8:$B$27,E$4)))</f>
        <v>0</v>
      </c>
      <c r="F523" s="26" t="n">
        <f aca="false">IF(INDEX(Pengaturan!$B$8:$B$27,F$4)="",0,COUNTIF(Data!$B523:$U523,INDEX(Pengaturan!$B$8:$B$27,F$4)))</f>
        <v>0</v>
      </c>
      <c r="G523" s="26" t="n">
        <f aca="false">IF(INDEX(Pengaturan!$B$8:$B$27,G$4)="",0,COUNTIF(Data!$B523:$U523,INDEX(Pengaturan!$B$8:$B$27,G$4)))</f>
        <v>0</v>
      </c>
      <c r="H523" s="26" t="n">
        <f aca="false">IF(INDEX(Pengaturan!$B$8:$B$27,H$4)="",0,COUNTIF(Data!$B523:$U523,INDEX(Pengaturan!$B$8:$B$27,H$4)))</f>
        <v>0</v>
      </c>
      <c r="I523" s="26" t="n">
        <f aca="false">IF(INDEX(Pengaturan!$B$8:$B$27,I$4)="",0,COUNTIF(Data!$B523:$U523,INDEX(Pengaturan!$B$8:$B$27,I$4)))</f>
        <v>0</v>
      </c>
      <c r="J523" s="26" t="n">
        <f aca="false">IF(INDEX(Pengaturan!$B$8:$B$27,J$4)="",0,COUNTIF(Data!$B523:$U523,INDEX(Pengaturan!$B$8:$B$27,J$4)))</f>
        <v>0</v>
      </c>
      <c r="K523" s="26" t="n">
        <f aca="false">IF(INDEX(Pengaturan!$B$8:$B$27,K$4)="",0,COUNTIF(Data!$B523:$U523,INDEX(Pengaturan!$B$8:$B$27,K$4)))</f>
        <v>0</v>
      </c>
      <c r="L523" s="26" t="n">
        <f aca="false">IF(INDEX(Pengaturan!$B$8:$B$27,L$4)="",0,COUNTIF(Data!$B523:$U523,INDEX(Pengaturan!$B$8:$B$27,L$4)))</f>
        <v>0</v>
      </c>
      <c r="M523" s="26" t="n">
        <f aca="false">IF(INDEX(Pengaturan!$B$8:$B$27,M$4)="",0,COUNTIF(Data!$B523:$U523,INDEX(Pengaturan!$B$8:$B$27,M$4)))</f>
        <v>0</v>
      </c>
      <c r="N523" s="26" t="n">
        <f aca="false">IF(INDEX(Pengaturan!$B$8:$B$27,N$4)="",0,COUNTIF(Data!$B523:$U523,INDEX(Pengaturan!$B$8:$B$27,N$4)))</f>
        <v>0</v>
      </c>
      <c r="O523" s="26" t="n">
        <f aca="false">IF(INDEX(Pengaturan!$B$8:$B$27,O$4)="",0,COUNTIF(Data!$B523:$U523,INDEX(Pengaturan!$B$8:$B$27,O$4)))</f>
        <v>0</v>
      </c>
      <c r="P523" s="26" t="n">
        <f aca="false">IF(INDEX(Pengaturan!$B$8:$B$27,P$4)="",0,COUNTIF(Data!$B523:$U523,INDEX(Pengaturan!$B$8:$B$27,P$4)))</f>
        <v>0</v>
      </c>
      <c r="Q523" s="26" t="n">
        <f aca="false">IF(INDEX(Pengaturan!$B$8:$B$27,Q$4)="",0,COUNTIF(Data!$B523:$U523,INDEX(Pengaturan!$B$8:$B$27,Q$4)))</f>
        <v>0</v>
      </c>
      <c r="R523" s="26" t="n">
        <f aca="false">IF(INDEX(Pengaturan!$B$8:$B$27,R$4)="",0,COUNTIF(Data!$B523:$U523,INDEX(Pengaturan!$B$8:$B$27,R$4)))</f>
        <v>0</v>
      </c>
      <c r="S523" s="26" t="n">
        <f aca="false">IF(INDEX(Pengaturan!$B$8:$B$27,S$4)="",0,COUNTIF(Data!$B523:$U523,INDEX(Pengaturan!$B$8:$B$27,S$4)))</f>
        <v>0</v>
      </c>
      <c r="T523" s="26" t="n">
        <f aca="false">IF(INDEX(Pengaturan!$B$8:$B$27,T$4)="",0,COUNTIF(Data!$B523:$U523,INDEX(Pengaturan!$B$8:$B$27,T$4)))</f>
        <v>0</v>
      </c>
      <c r="U523" s="26" t="n">
        <f aca="false">IF(INDEX(Pengaturan!$B$8:$B$27,U$4)="",0,COUNTIF(Data!$B523:$U523,INDEX(Pengaturan!$B$8:$B$27,U$4)))</f>
        <v>0</v>
      </c>
      <c r="V523" s="26" t="n">
        <f aca="false">COUNTA(Data!$B523:$U523)</f>
        <v>0</v>
      </c>
      <c r="W523" s="27" t="str">
        <f aca="false">IF(V523=0,"",IF(V523&lt;&gt;Hasil!$C$4,"Data kosong/tidak lengkap",IF(SUM(B523:U523)&lt;&gt;V523,"Kategori tidak dikenal","OK")))</f>
        <v/>
      </c>
      <c r="X523" s="26" t="n">
        <f aca="false">IF(OR(W523="",W523="OK"),0,1)</f>
        <v>0</v>
      </c>
    </row>
    <row r="524" customFormat="false" ht="15" hidden="false" customHeight="false" outlineLevel="0" collapsed="false">
      <c r="A524" s="26" t="n">
        <f aca="false">Data!A524</f>
        <v>519</v>
      </c>
      <c r="B524" s="26" t="n">
        <f aca="false">IF(INDEX(Pengaturan!$B$8:$B$27,B$4)="",0,COUNTIF(Data!$B524:$U524,INDEX(Pengaturan!$B$8:$B$27,B$4)))</f>
        <v>0</v>
      </c>
      <c r="C524" s="26" t="n">
        <f aca="false">IF(INDEX(Pengaturan!$B$8:$B$27,C$4)="",0,COUNTIF(Data!$B524:$U524,INDEX(Pengaturan!$B$8:$B$27,C$4)))</f>
        <v>0</v>
      </c>
      <c r="D524" s="26" t="n">
        <f aca="false">IF(INDEX(Pengaturan!$B$8:$B$27,D$4)="",0,COUNTIF(Data!$B524:$U524,INDEX(Pengaturan!$B$8:$B$27,D$4)))</f>
        <v>0</v>
      </c>
      <c r="E524" s="26" t="n">
        <f aca="false">IF(INDEX(Pengaturan!$B$8:$B$27,E$4)="",0,COUNTIF(Data!$B524:$U524,INDEX(Pengaturan!$B$8:$B$27,E$4)))</f>
        <v>0</v>
      </c>
      <c r="F524" s="26" t="n">
        <f aca="false">IF(INDEX(Pengaturan!$B$8:$B$27,F$4)="",0,COUNTIF(Data!$B524:$U524,INDEX(Pengaturan!$B$8:$B$27,F$4)))</f>
        <v>0</v>
      </c>
      <c r="G524" s="26" t="n">
        <f aca="false">IF(INDEX(Pengaturan!$B$8:$B$27,G$4)="",0,COUNTIF(Data!$B524:$U524,INDEX(Pengaturan!$B$8:$B$27,G$4)))</f>
        <v>0</v>
      </c>
      <c r="H524" s="26" t="n">
        <f aca="false">IF(INDEX(Pengaturan!$B$8:$B$27,H$4)="",0,COUNTIF(Data!$B524:$U524,INDEX(Pengaturan!$B$8:$B$27,H$4)))</f>
        <v>0</v>
      </c>
      <c r="I524" s="26" t="n">
        <f aca="false">IF(INDEX(Pengaturan!$B$8:$B$27,I$4)="",0,COUNTIF(Data!$B524:$U524,INDEX(Pengaturan!$B$8:$B$27,I$4)))</f>
        <v>0</v>
      </c>
      <c r="J524" s="26" t="n">
        <f aca="false">IF(INDEX(Pengaturan!$B$8:$B$27,J$4)="",0,COUNTIF(Data!$B524:$U524,INDEX(Pengaturan!$B$8:$B$27,J$4)))</f>
        <v>0</v>
      </c>
      <c r="K524" s="26" t="n">
        <f aca="false">IF(INDEX(Pengaturan!$B$8:$B$27,K$4)="",0,COUNTIF(Data!$B524:$U524,INDEX(Pengaturan!$B$8:$B$27,K$4)))</f>
        <v>0</v>
      </c>
      <c r="L524" s="26" t="n">
        <f aca="false">IF(INDEX(Pengaturan!$B$8:$B$27,L$4)="",0,COUNTIF(Data!$B524:$U524,INDEX(Pengaturan!$B$8:$B$27,L$4)))</f>
        <v>0</v>
      </c>
      <c r="M524" s="26" t="n">
        <f aca="false">IF(INDEX(Pengaturan!$B$8:$B$27,M$4)="",0,COUNTIF(Data!$B524:$U524,INDEX(Pengaturan!$B$8:$B$27,M$4)))</f>
        <v>0</v>
      </c>
      <c r="N524" s="26" t="n">
        <f aca="false">IF(INDEX(Pengaturan!$B$8:$B$27,N$4)="",0,COUNTIF(Data!$B524:$U524,INDEX(Pengaturan!$B$8:$B$27,N$4)))</f>
        <v>0</v>
      </c>
      <c r="O524" s="26" t="n">
        <f aca="false">IF(INDEX(Pengaturan!$B$8:$B$27,O$4)="",0,COUNTIF(Data!$B524:$U524,INDEX(Pengaturan!$B$8:$B$27,O$4)))</f>
        <v>0</v>
      </c>
      <c r="P524" s="26" t="n">
        <f aca="false">IF(INDEX(Pengaturan!$B$8:$B$27,P$4)="",0,COUNTIF(Data!$B524:$U524,INDEX(Pengaturan!$B$8:$B$27,P$4)))</f>
        <v>0</v>
      </c>
      <c r="Q524" s="26" t="n">
        <f aca="false">IF(INDEX(Pengaturan!$B$8:$B$27,Q$4)="",0,COUNTIF(Data!$B524:$U524,INDEX(Pengaturan!$B$8:$B$27,Q$4)))</f>
        <v>0</v>
      </c>
      <c r="R524" s="26" t="n">
        <f aca="false">IF(INDEX(Pengaturan!$B$8:$B$27,R$4)="",0,COUNTIF(Data!$B524:$U524,INDEX(Pengaturan!$B$8:$B$27,R$4)))</f>
        <v>0</v>
      </c>
      <c r="S524" s="26" t="n">
        <f aca="false">IF(INDEX(Pengaturan!$B$8:$B$27,S$4)="",0,COUNTIF(Data!$B524:$U524,INDEX(Pengaturan!$B$8:$B$27,S$4)))</f>
        <v>0</v>
      </c>
      <c r="T524" s="26" t="n">
        <f aca="false">IF(INDEX(Pengaturan!$B$8:$B$27,T$4)="",0,COUNTIF(Data!$B524:$U524,INDEX(Pengaturan!$B$8:$B$27,T$4)))</f>
        <v>0</v>
      </c>
      <c r="U524" s="26" t="n">
        <f aca="false">IF(INDEX(Pengaturan!$B$8:$B$27,U$4)="",0,COUNTIF(Data!$B524:$U524,INDEX(Pengaturan!$B$8:$B$27,U$4)))</f>
        <v>0</v>
      </c>
      <c r="V524" s="26" t="n">
        <f aca="false">COUNTA(Data!$B524:$U524)</f>
        <v>0</v>
      </c>
      <c r="W524" s="27" t="str">
        <f aca="false">IF(V524=0,"",IF(V524&lt;&gt;Hasil!$C$4,"Data kosong/tidak lengkap",IF(SUM(B524:U524)&lt;&gt;V524,"Kategori tidak dikenal","OK")))</f>
        <v/>
      </c>
      <c r="X524" s="26" t="n">
        <f aca="false">IF(OR(W524="",W524="OK"),0,1)</f>
        <v>0</v>
      </c>
    </row>
    <row r="525" customFormat="false" ht="15" hidden="false" customHeight="false" outlineLevel="0" collapsed="false">
      <c r="A525" s="26" t="n">
        <f aca="false">Data!A525</f>
        <v>520</v>
      </c>
      <c r="B525" s="26" t="n">
        <f aca="false">IF(INDEX(Pengaturan!$B$8:$B$27,B$4)="",0,COUNTIF(Data!$B525:$U525,INDEX(Pengaturan!$B$8:$B$27,B$4)))</f>
        <v>0</v>
      </c>
      <c r="C525" s="26" t="n">
        <f aca="false">IF(INDEX(Pengaturan!$B$8:$B$27,C$4)="",0,COUNTIF(Data!$B525:$U525,INDEX(Pengaturan!$B$8:$B$27,C$4)))</f>
        <v>0</v>
      </c>
      <c r="D525" s="26" t="n">
        <f aca="false">IF(INDEX(Pengaturan!$B$8:$B$27,D$4)="",0,COUNTIF(Data!$B525:$U525,INDEX(Pengaturan!$B$8:$B$27,D$4)))</f>
        <v>0</v>
      </c>
      <c r="E525" s="26" t="n">
        <f aca="false">IF(INDEX(Pengaturan!$B$8:$B$27,E$4)="",0,COUNTIF(Data!$B525:$U525,INDEX(Pengaturan!$B$8:$B$27,E$4)))</f>
        <v>0</v>
      </c>
      <c r="F525" s="26" t="n">
        <f aca="false">IF(INDEX(Pengaturan!$B$8:$B$27,F$4)="",0,COUNTIF(Data!$B525:$U525,INDEX(Pengaturan!$B$8:$B$27,F$4)))</f>
        <v>0</v>
      </c>
      <c r="G525" s="26" t="n">
        <f aca="false">IF(INDEX(Pengaturan!$B$8:$B$27,G$4)="",0,COUNTIF(Data!$B525:$U525,INDEX(Pengaturan!$B$8:$B$27,G$4)))</f>
        <v>0</v>
      </c>
      <c r="H525" s="26" t="n">
        <f aca="false">IF(INDEX(Pengaturan!$B$8:$B$27,H$4)="",0,COUNTIF(Data!$B525:$U525,INDEX(Pengaturan!$B$8:$B$27,H$4)))</f>
        <v>0</v>
      </c>
      <c r="I525" s="26" t="n">
        <f aca="false">IF(INDEX(Pengaturan!$B$8:$B$27,I$4)="",0,COUNTIF(Data!$B525:$U525,INDEX(Pengaturan!$B$8:$B$27,I$4)))</f>
        <v>0</v>
      </c>
      <c r="J525" s="26" t="n">
        <f aca="false">IF(INDEX(Pengaturan!$B$8:$B$27,J$4)="",0,COUNTIF(Data!$B525:$U525,INDEX(Pengaturan!$B$8:$B$27,J$4)))</f>
        <v>0</v>
      </c>
      <c r="K525" s="26" t="n">
        <f aca="false">IF(INDEX(Pengaturan!$B$8:$B$27,K$4)="",0,COUNTIF(Data!$B525:$U525,INDEX(Pengaturan!$B$8:$B$27,K$4)))</f>
        <v>0</v>
      </c>
      <c r="L525" s="26" t="n">
        <f aca="false">IF(INDEX(Pengaturan!$B$8:$B$27,L$4)="",0,COUNTIF(Data!$B525:$U525,INDEX(Pengaturan!$B$8:$B$27,L$4)))</f>
        <v>0</v>
      </c>
      <c r="M525" s="26" t="n">
        <f aca="false">IF(INDEX(Pengaturan!$B$8:$B$27,M$4)="",0,COUNTIF(Data!$B525:$U525,INDEX(Pengaturan!$B$8:$B$27,M$4)))</f>
        <v>0</v>
      </c>
      <c r="N525" s="26" t="n">
        <f aca="false">IF(INDEX(Pengaturan!$B$8:$B$27,N$4)="",0,COUNTIF(Data!$B525:$U525,INDEX(Pengaturan!$B$8:$B$27,N$4)))</f>
        <v>0</v>
      </c>
      <c r="O525" s="26" t="n">
        <f aca="false">IF(INDEX(Pengaturan!$B$8:$B$27,O$4)="",0,COUNTIF(Data!$B525:$U525,INDEX(Pengaturan!$B$8:$B$27,O$4)))</f>
        <v>0</v>
      </c>
      <c r="P525" s="26" t="n">
        <f aca="false">IF(INDEX(Pengaturan!$B$8:$B$27,P$4)="",0,COUNTIF(Data!$B525:$U525,INDEX(Pengaturan!$B$8:$B$27,P$4)))</f>
        <v>0</v>
      </c>
      <c r="Q525" s="26" t="n">
        <f aca="false">IF(INDEX(Pengaturan!$B$8:$B$27,Q$4)="",0,COUNTIF(Data!$B525:$U525,INDEX(Pengaturan!$B$8:$B$27,Q$4)))</f>
        <v>0</v>
      </c>
      <c r="R525" s="26" t="n">
        <f aca="false">IF(INDEX(Pengaturan!$B$8:$B$27,R$4)="",0,COUNTIF(Data!$B525:$U525,INDEX(Pengaturan!$B$8:$B$27,R$4)))</f>
        <v>0</v>
      </c>
      <c r="S525" s="26" t="n">
        <f aca="false">IF(INDEX(Pengaturan!$B$8:$B$27,S$4)="",0,COUNTIF(Data!$B525:$U525,INDEX(Pengaturan!$B$8:$B$27,S$4)))</f>
        <v>0</v>
      </c>
      <c r="T525" s="26" t="n">
        <f aca="false">IF(INDEX(Pengaturan!$B$8:$B$27,T$4)="",0,COUNTIF(Data!$B525:$U525,INDEX(Pengaturan!$B$8:$B$27,T$4)))</f>
        <v>0</v>
      </c>
      <c r="U525" s="26" t="n">
        <f aca="false">IF(INDEX(Pengaturan!$B$8:$B$27,U$4)="",0,COUNTIF(Data!$B525:$U525,INDEX(Pengaturan!$B$8:$B$27,U$4)))</f>
        <v>0</v>
      </c>
      <c r="V525" s="26" t="n">
        <f aca="false">COUNTA(Data!$B525:$U525)</f>
        <v>0</v>
      </c>
      <c r="W525" s="27" t="str">
        <f aca="false">IF(V525=0,"",IF(V525&lt;&gt;Hasil!$C$4,"Data kosong/tidak lengkap",IF(SUM(B525:U525)&lt;&gt;V525,"Kategori tidak dikenal","OK")))</f>
        <v/>
      </c>
      <c r="X525" s="26" t="n">
        <f aca="false">IF(OR(W525="",W525="OK"),0,1)</f>
        <v>0</v>
      </c>
    </row>
    <row r="526" customFormat="false" ht="15" hidden="false" customHeight="false" outlineLevel="0" collapsed="false">
      <c r="A526" s="26" t="n">
        <f aca="false">Data!A526</f>
        <v>521</v>
      </c>
      <c r="B526" s="26" t="n">
        <f aca="false">IF(INDEX(Pengaturan!$B$8:$B$27,B$4)="",0,COUNTIF(Data!$B526:$U526,INDEX(Pengaturan!$B$8:$B$27,B$4)))</f>
        <v>0</v>
      </c>
      <c r="C526" s="26" t="n">
        <f aca="false">IF(INDEX(Pengaturan!$B$8:$B$27,C$4)="",0,COUNTIF(Data!$B526:$U526,INDEX(Pengaturan!$B$8:$B$27,C$4)))</f>
        <v>0</v>
      </c>
      <c r="D526" s="26" t="n">
        <f aca="false">IF(INDEX(Pengaturan!$B$8:$B$27,D$4)="",0,COUNTIF(Data!$B526:$U526,INDEX(Pengaturan!$B$8:$B$27,D$4)))</f>
        <v>0</v>
      </c>
      <c r="E526" s="26" t="n">
        <f aca="false">IF(INDEX(Pengaturan!$B$8:$B$27,E$4)="",0,COUNTIF(Data!$B526:$U526,INDEX(Pengaturan!$B$8:$B$27,E$4)))</f>
        <v>0</v>
      </c>
      <c r="F526" s="26" t="n">
        <f aca="false">IF(INDEX(Pengaturan!$B$8:$B$27,F$4)="",0,COUNTIF(Data!$B526:$U526,INDEX(Pengaturan!$B$8:$B$27,F$4)))</f>
        <v>0</v>
      </c>
      <c r="G526" s="26" t="n">
        <f aca="false">IF(INDEX(Pengaturan!$B$8:$B$27,G$4)="",0,COUNTIF(Data!$B526:$U526,INDEX(Pengaturan!$B$8:$B$27,G$4)))</f>
        <v>0</v>
      </c>
      <c r="H526" s="26" t="n">
        <f aca="false">IF(INDEX(Pengaturan!$B$8:$B$27,H$4)="",0,COUNTIF(Data!$B526:$U526,INDEX(Pengaturan!$B$8:$B$27,H$4)))</f>
        <v>0</v>
      </c>
      <c r="I526" s="26" t="n">
        <f aca="false">IF(INDEX(Pengaturan!$B$8:$B$27,I$4)="",0,COUNTIF(Data!$B526:$U526,INDEX(Pengaturan!$B$8:$B$27,I$4)))</f>
        <v>0</v>
      </c>
      <c r="J526" s="26" t="n">
        <f aca="false">IF(INDEX(Pengaturan!$B$8:$B$27,J$4)="",0,COUNTIF(Data!$B526:$U526,INDEX(Pengaturan!$B$8:$B$27,J$4)))</f>
        <v>0</v>
      </c>
      <c r="K526" s="26" t="n">
        <f aca="false">IF(INDEX(Pengaturan!$B$8:$B$27,K$4)="",0,COUNTIF(Data!$B526:$U526,INDEX(Pengaturan!$B$8:$B$27,K$4)))</f>
        <v>0</v>
      </c>
      <c r="L526" s="26" t="n">
        <f aca="false">IF(INDEX(Pengaturan!$B$8:$B$27,L$4)="",0,COUNTIF(Data!$B526:$U526,INDEX(Pengaturan!$B$8:$B$27,L$4)))</f>
        <v>0</v>
      </c>
      <c r="M526" s="26" t="n">
        <f aca="false">IF(INDEX(Pengaturan!$B$8:$B$27,M$4)="",0,COUNTIF(Data!$B526:$U526,INDEX(Pengaturan!$B$8:$B$27,M$4)))</f>
        <v>0</v>
      </c>
      <c r="N526" s="26" t="n">
        <f aca="false">IF(INDEX(Pengaturan!$B$8:$B$27,N$4)="",0,COUNTIF(Data!$B526:$U526,INDEX(Pengaturan!$B$8:$B$27,N$4)))</f>
        <v>0</v>
      </c>
      <c r="O526" s="26" t="n">
        <f aca="false">IF(INDEX(Pengaturan!$B$8:$B$27,O$4)="",0,COUNTIF(Data!$B526:$U526,INDEX(Pengaturan!$B$8:$B$27,O$4)))</f>
        <v>0</v>
      </c>
      <c r="P526" s="26" t="n">
        <f aca="false">IF(INDEX(Pengaturan!$B$8:$B$27,P$4)="",0,COUNTIF(Data!$B526:$U526,INDEX(Pengaturan!$B$8:$B$27,P$4)))</f>
        <v>0</v>
      </c>
      <c r="Q526" s="26" t="n">
        <f aca="false">IF(INDEX(Pengaturan!$B$8:$B$27,Q$4)="",0,COUNTIF(Data!$B526:$U526,INDEX(Pengaturan!$B$8:$B$27,Q$4)))</f>
        <v>0</v>
      </c>
      <c r="R526" s="26" t="n">
        <f aca="false">IF(INDEX(Pengaturan!$B$8:$B$27,R$4)="",0,COUNTIF(Data!$B526:$U526,INDEX(Pengaturan!$B$8:$B$27,R$4)))</f>
        <v>0</v>
      </c>
      <c r="S526" s="26" t="n">
        <f aca="false">IF(INDEX(Pengaturan!$B$8:$B$27,S$4)="",0,COUNTIF(Data!$B526:$U526,INDEX(Pengaturan!$B$8:$B$27,S$4)))</f>
        <v>0</v>
      </c>
      <c r="T526" s="26" t="n">
        <f aca="false">IF(INDEX(Pengaturan!$B$8:$B$27,T$4)="",0,COUNTIF(Data!$B526:$U526,INDEX(Pengaturan!$B$8:$B$27,T$4)))</f>
        <v>0</v>
      </c>
      <c r="U526" s="26" t="n">
        <f aca="false">IF(INDEX(Pengaturan!$B$8:$B$27,U$4)="",0,COUNTIF(Data!$B526:$U526,INDEX(Pengaturan!$B$8:$B$27,U$4)))</f>
        <v>0</v>
      </c>
      <c r="V526" s="26" t="n">
        <f aca="false">COUNTA(Data!$B526:$U526)</f>
        <v>0</v>
      </c>
      <c r="W526" s="27" t="str">
        <f aca="false">IF(V526=0,"",IF(V526&lt;&gt;Hasil!$C$4,"Data kosong/tidak lengkap",IF(SUM(B526:U526)&lt;&gt;V526,"Kategori tidak dikenal","OK")))</f>
        <v/>
      </c>
      <c r="X526" s="26" t="n">
        <f aca="false">IF(OR(W526="",W526="OK"),0,1)</f>
        <v>0</v>
      </c>
    </row>
    <row r="527" customFormat="false" ht="15" hidden="false" customHeight="false" outlineLevel="0" collapsed="false">
      <c r="A527" s="26" t="n">
        <f aca="false">Data!A527</f>
        <v>522</v>
      </c>
      <c r="B527" s="26" t="n">
        <f aca="false">IF(INDEX(Pengaturan!$B$8:$B$27,B$4)="",0,COUNTIF(Data!$B527:$U527,INDEX(Pengaturan!$B$8:$B$27,B$4)))</f>
        <v>0</v>
      </c>
      <c r="C527" s="26" t="n">
        <f aca="false">IF(INDEX(Pengaturan!$B$8:$B$27,C$4)="",0,COUNTIF(Data!$B527:$U527,INDEX(Pengaturan!$B$8:$B$27,C$4)))</f>
        <v>0</v>
      </c>
      <c r="D527" s="26" t="n">
        <f aca="false">IF(INDEX(Pengaturan!$B$8:$B$27,D$4)="",0,COUNTIF(Data!$B527:$U527,INDEX(Pengaturan!$B$8:$B$27,D$4)))</f>
        <v>0</v>
      </c>
      <c r="E527" s="26" t="n">
        <f aca="false">IF(INDEX(Pengaturan!$B$8:$B$27,E$4)="",0,COUNTIF(Data!$B527:$U527,INDEX(Pengaturan!$B$8:$B$27,E$4)))</f>
        <v>0</v>
      </c>
      <c r="F527" s="26" t="n">
        <f aca="false">IF(INDEX(Pengaturan!$B$8:$B$27,F$4)="",0,COUNTIF(Data!$B527:$U527,INDEX(Pengaturan!$B$8:$B$27,F$4)))</f>
        <v>0</v>
      </c>
      <c r="G527" s="26" t="n">
        <f aca="false">IF(INDEX(Pengaturan!$B$8:$B$27,G$4)="",0,COUNTIF(Data!$B527:$U527,INDEX(Pengaturan!$B$8:$B$27,G$4)))</f>
        <v>0</v>
      </c>
      <c r="H527" s="26" t="n">
        <f aca="false">IF(INDEX(Pengaturan!$B$8:$B$27,H$4)="",0,COUNTIF(Data!$B527:$U527,INDEX(Pengaturan!$B$8:$B$27,H$4)))</f>
        <v>0</v>
      </c>
      <c r="I527" s="26" t="n">
        <f aca="false">IF(INDEX(Pengaturan!$B$8:$B$27,I$4)="",0,COUNTIF(Data!$B527:$U527,INDEX(Pengaturan!$B$8:$B$27,I$4)))</f>
        <v>0</v>
      </c>
      <c r="J527" s="26" t="n">
        <f aca="false">IF(INDEX(Pengaturan!$B$8:$B$27,J$4)="",0,COUNTIF(Data!$B527:$U527,INDEX(Pengaturan!$B$8:$B$27,J$4)))</f>
        <v>0</v>
      </c>
      <c r="K527" s="26" t="n">
        <f aca="false">IF(INDEX(Pengaturan!$B$8:$B$27,K$4)="",0,COUNTIF(Data!$B527:$U527,INDEX(Pengaturan!$B$8:$B$27,K$4)))</f>
        <v>0</v>
      </c>
      <c r="L527" s="26" t="n">
        <f aca="false">IF(INDEX(Pengaturan!$B$8:$B$27,L$4)="",0,COUNTIF(Data!$B527:$U527,INDEX(Pengaturan!$B$8:$B$27,L$4)))</f>
        <v>0</v>
      </c>
      <c r="M527" s="26" t="n">
        <f aca="false">IF(INDEX(Pengaturan!$B$8:$B$27,M$4)="",0,COUNTIF(Data!$B527:$U527,INDEX(Pengaturan!$B$8:$B$27,M$4)))</f>
        <v>0</v>
      </c>
      <c r="N527" s="26" t="n">
        <f aca="false">IF(INDEX(Pengaturan!$B$8:$B$27,N$4)="",0,COUNTIF(Data!$B527:$U527,INDEX(Pengaturan!$B$8:$B$27,N$4)))</f>
        <v>0</v>
      </c>
      <c r="O527" s="26" t="n">
        <f aca="false">IF(INDEX(Pengaturan!$B$8:$B$27,O$4)="",0,COUNTIF(Data!$B527:$U527,INDEX(Pengaturan!$B$8:$B$27,O$4)))</f>
        <v>0</v>
      </c>
      <c r="P527" s="26" t="n">
        <f aca="false">IF(INDEX(Pengaturan!$B$8:$B$27,P$4)="",0,COUNTIF(Data!$B527:$U527,INDEX(Pengaturan!$B$8:$B$27,P$4)))</f>
        <v>0</v>
      </c>
      <c r="Q527" s="26" t="n">
        <f aca="false">IF(INDEX(Pengaturan!$B$8:$B$27,Q$4)="",0,COUNTIF(Data!$B527:$U527,INDEX(Pengaturan!$B$8:$B$27,Q$4)))</f>
        <v>0</v>
      </c>
      <c r="R527" s="26" t="n">
        <f aca="false">IF(INDEX(Pengaturan!$B$8:$B$27,R$4)="",0,COUNTIF(Data!$B527:$U527,INDEX(Pengaturan!$B$8:$B$27,R$4)))</f>
        <v>0</v>
      </c>
      <c r="S527" s="26" t="n">
        <f aca="false">IF(INDEX(Pengaturan!$B$8:$B$27,S$4)="",0,COUNTIF(Data!$B527:$U527,INDEX(Pengaturan!$B$8:$B$27,S$4)))</f>
        <v>0</v>
      </c>
      <c r="T527" s="26" t="n">
        <f aca="false">IF(INDEX(Pengaturan!$B$8:$B$27,T$4)="",0,COUNTIF(Data!$B527:$U527,INDEX(Pengaturan!$B$8:$B$27,T$4)))</f>
        <v>0</v>
      </c>
      <c r="U527" s="26" t="n">
        <f aca="false">IF(INDEX(Pengaturan!$B$8:$B$27,U$4)="",0,COUNTIF(Data!$B527:$U527,INDEX(Pengaturan!$B$8:$B$27,U$4)))</f>
        <v>0</v>
      </c>
      <c r="V527" s="26" t="n">
        <f aca="false">COUNTA(Data!$B527:$U527)</f>
        <v>0</v>
      </c>
      <c r="W527" s="27" t="str">
        <f aca="false">IF(V527=0,"",IF(V527&lt;&gt;Hasil!$C$4,"Data kosong/tidak lengkap",IF(SUM(B527:U527)&lt;&gt;V527,"Kategori tidak dikenal","OK")))</f>
        <v/>
      </c>
      <c r="X527" s="26" t="n">
        <f aca="false">IF(OR(W527="",W527="OK"),0,1)</f>
        <v>0</v>
      </c>
    </row>
    <row r="528" customFormat="false" ht="15" hidden="false" customHeight="false" outlineLevel="0" collapsed="false">
      <c r="A528" s="26" t="n">
        <f aca="false">Data!A528</f>
        <v>523</v>
      </c>
      <c r="B528" s="26" t="n">
        <f aca="false">IF(INDEX(Pengaturan!$B$8:$B$27,B$4)="",0,COUNTIF(Data!$B528:$U528,INDEX(Pengaturan!$B$8:$B$27,B$4)))</f>
        <v>0</v>
      </c>
      <c r="C528" s="26" t="n">
        <f aca="false">IF(INDEX(Pengaturan!$B$8:$B$27,C$4)="",0,COUNTIF(Data!$B528:$U528,INDEX(Pengaturan!$B$8:$B$27,C$4)))</f>
        <v>0</v>
      </c>
      <c r="D528" s="26" t="n">
        <f aca="false">IF(INDEX(Pengaturan!$B$8:$B$27,D$4)="",0,COUNTIF(Data!$B528:$U528,INDEX(Pengaturan!$B$8:$B$27,D$4)))</f>
        <v>0</v>
      </c>
      <c r="E528" s="26" t="n">
        <f aca="false">IF(INDEX(Pengaturan!$B$8:$B$27,E$4)="",0,COUNTIF(Data!$B528:$U528,INDEX(Pengaturan!$B$8:$B$27,E$4)))</f>
        <v>0</v>
      </c>
      <c r="F528" s="26" t="n">
        <f aca="false">IF(INDEX(Pengaturan!$B$8:$B$27,F$4)="",0,COUNTIF(Data!$B528:$U528,INDEX(Pengaturan!$B$8:$B$27,F$4)))</f>
        <v>0</v>
      </c>
      <c r="G528" s="26" t="n">
        <f aca="false">IF(INDEX(Pengaturan!$B$8:$B$27,G$4)="",0,COUNTIF(Data!$B528:$U528,INDEX(Pengaturan!$B$8:$B$27,G$4)))</f>
        <v>0</v>
      </c>
      <c r="H528" s="26" t="n">
        <f aca="false">IF(INDEX(Pengaturan!$B$8:$B$27,H$4)="",0,COUNTIF(Data!$B528:$U528,INDEX(Pengaturan!$B$8:$B$27,H$4)))</f>
        <v>0</v>
      </c>
      <c r="I528" s="26" t="n">
        <f aca="false">IF(INDEX(Pengaturan!$B$8:$B$27,I$4)="",0,COUNTIF(Data!$B528:$U528,INDEX(Pengaturan!$B$8:$B$27,I$4)))</f>
        <v>0</v>
      </c>
      <c r="J528" s="26" t="n">
        <f aca="false">IF(INDEX(Pengaturan!$B$8:$B$27,J$4)="",0,COUNTIF(Data!$B528:$U528,INDEX(Pengaturan!$B$8:$B$27,J$4)))</f>
        <v>0</v>
      </c>
      <c r="K528" s="26" t="n">
        <f aca="false">IF(INDEX(Pengaturan!$B$8:$B$27,K$4)="",0,COUNTIF(Data!$B528:$U528,INDEX(Pengaturan!$B$8:$B$27,K$4)))</f>
        <v>0</v>
      </c>
      <c r="L528" s="26" t="n">
        <f aca="false">IF(INDEX(Pengaturan!$B$8:$B$27,L$4)="",0,COUNTIF(Data!$B528:$U528,INDEX(Pengaturan!$B$8:$B$27,L$4)))</f>
        <v>0</v>
      </c>
      <c r="M528" s="26" t="n">
        <f aca="false">IF(INDEX(Pengaturan!$B$8:$B$27,M$4)="",0,COUNTIF(Data!$B528:$U528,INDEX(Pengaturan!$B$8:$B$27,M$4)))</f>
        <v>0</v>
      </c>
      <c r="N528" s="26" t="n">
        <f aca="false">IF(INDEX(Pengaturan!$B$8:$B$27,N$4)="",0,COUNTIF(Data!$B528:$U528,INDEX(Pengaturan!$B$8:$B$27,N$4)))</f>
        <v>0</v>
      </c>
      <c r="O528" s="26" t="n">
        <f aca="false">IF(INDEX(Pengaturan!$B$8:$B$27,O$4)="",0,COUNTIF(Data!$B528:$U528,INDEX(Pengaturan!$B$8:$B$27,O$4)))</f>
        <v>0</v>
      </c>
      <c r="P528" s="26" t="n">
        <f aca="false">IF(INDEX(Pengaturan!$B$8:$B$27,P$4)="",0,COUNTIF(Data!$B528:$U528,INDEX(Pengaturan!$B$8:$B$27,P$4)))</f>
        <v>0</v>
      </c>
      <c r="Q528" s="26" t="n">
        <f aca="false">IF(INDEX(Pengaturan!$B$8:$B$27,Q$4)="",0,COUNTIF(Data!$B528:$U528,INDEX(Pengaturan!$B$8:$B$27,Q$4)))</f>
        <v>0</v>
      </c>
      <c r="R528" s="26" t="n">
        <f aca="false">IF(INDEX(Pengaturan!$B$8:$B$27,R$4)="",0,COUNTIF(Data!$B528:$U528,INDEX(Pengaturan!$B$8:$B$27,R$4)))</f>
        <v>0</v>
      </c>
      <c r="S528" s="26" t="n">
        <f aca="false">IF(INDEX(Pengaturan!$B$8:$B$27,S$4)="",0,COUNTIF(Data!$B528:$U528,INDEX(Pengaturan!$B$8:$B$27,S$4)))</f>
        <v>0</v>
      </c>
      <c r="T528" s="26" t="n">
        <f aca="false">IF(INDEX(Pengaturan!$B$8:$B$27,T$4)="",0,COUNTIF(Data!$B528:$U528,INDEX(Pengaturan!$B$8:$B$27,T$4)))</f>
        <v>0</v>
      </c>
      <c r="U528" s="26" t="n">
        <f aca="false">IF(INDEX(Pengaturan!$B$8:$B$27,U$4)="",0,COUNTIF(Data!$B528:$U528,INDEX(Pengaturan!$B$8:$B$27,U$4)))</f>
        <v>0</v>
      </c>
      <c r="V528" s="26" t="n">
        <f aca="false">COUNTA(Data!$B528:$U528)</f>
        <v>0</v>
      </c>
      <c r="W528" s="27" t="str">
        <f aca="false">IF(V528=0,"",IF(V528&lt;&gt;Hasil!$C$4,"Data kosong/tidak lengkap",IF(SUM(B528:U528)&lt;&gt;V528,"Kategori tidak dikenal","OK")))</f>
        <v/>
      </c>
      <c r="X528" s="26" t="n">
        <f aca="false">IF(OR(W528="",W528="OK"),0,1)</f>
        <v>0</v>
      </c>
    </row>
    <row r="529" customFormat="false" ht="15" hidden="false" customHeight="false" outlineLevel="0" collapsed="false">
      <c r="A529" s="26" t="n">
        <f aca="false">Data!A529</f>
        <v>524</v>
      </c>
      <c r="B529" s="26" t="n">
        <f aca="false">IF(INDEX(Pengaturan!$B$8:$B$27,B$4)="",0,COUNTIF(Data!$B529:$U529,INDEX(Pengaturan!$B$8:$B$27,B$4)))</f>
        <v>0</v>
      </c>
      <c r="C529" s="26" t="n">
        <f aca="false">IF(INDEX(Pengaturan!$B$8:$B$27,C$4)="",0,COUNTIF(Data!$B529:$U529,INDEX(Pengaturan!$B$8:$B$27,C$4)))</f>
        <v>0</v>
      </c>
      <c r="D529" s="26" t="n">
        <f aca="false">IF(INDEX(Pengaturan!$B$8:$B$27,D$4)="",0,COUNTIF(Data!$B529:$U529,INDEX(Pengaturan!$B$8:$B$27,D$4)))</f>
        <v>0</v>
      </c>
      <c r="E529" s="26" t="n">
        <f aca="false">IF(INDEX(Pengaturan!$B$8:$B$27,E$4)="",0,COUNTIF(Data!$B529:$U529,INDEX(Pengaturan!$B$8:$B$27,E$4)))</f>
        <v>0</v>
      </c>
      <c r="F529" s="26" t="n">
        <f aca="false">IF(INDEX(Pengaturan!$B$8:$B$27,F$4)="",0,COUNTIF(Data!$B529:$U529,INDEX(Pengaturan!$B$8:$B$27,F$4)))</f>
        <v>0</v>
      </c>
      <c r="G529" s="26" t="n">
        <f aca="false">IF(INDEX(Pengaturan!$B$8:$B$27,G$4)="",0,COUNTIF(Data!$B529:$U529,INDEX(Pengaturan!$B$8:$B$27,G$4)))</f>
        <v>0</v>
      </c>
      <c r="H529" s="26" t="n">
        <f aca="false">IF(INDEX(Pengaturan!$B$8:$B$27,H$4)="",0,COUNTIF(Data!$B529:$U529,INDEX(Pengaturan!$B$8:$B$27,H$4)))</f>
        <v>0</v>
      </c>
      <c r="I529" s="26" t="n">
        <f aca="false">IF(INDEX(Pengaturan!$B$8:$B$27,I$4)="",0,COUNTIF(Data!$B529:$U529,INDEX(Pengaturan!$B$8:$B$27,I$4)))</f>
        <v>0</v>
      </c>
      <c r="J529" s="26" t="n">
        <f aca="false">IF(INDEX(Pengaturan!$B$8:$B$27,J$4)="",0,COUNTIF(Data!$B529:$U529,INDEX(Pengaturan!$B$8:$B$27,J$4)))</f>
        <v>0</v>
      </c>
      <c r="K529" s="26" t="n">
        <f aca="false">IF(INDEX(Pengaturan!$B$8:$B$27,K$4)="",0,COUNTIF(Data!$B529:$U529,INDEX(Pengaturan!$B$8:$B$27,K$4)))</f>
        <v>0</v>
      </c>
      <c r="L529" s="26" t="n">
        <f aca="false">IF(INDEX(Pengaturan!$B$8:$B$27,L$4)="",0,COUNTIF(Data!$B529:$U529,INDEX(Pengaturan!$B$8:$B$27,L$4)))</f>
        <v>0</v>
      </c>
      <c r="M529" s="26" t="n">
        <f aca="false">IF(INDEX(Pengaturan!$B$8:$B$27,M$4)="",0,COUNTIF(Data!$B529:$U529,INDEX(Pengaturan!$B$8:$B$27,M$4)))</f>
        <v>0</v>
      </c>
      <c r="N529" s="26" t="n">
        <f aca="false">IF(INDEX(Pengaturan!$B$8:$B$27,N$4)="",0,COUNTIF(Data!$B529:$U529,INDEX(Pengaturan!$B$8:$B$27,N$4)))</f>
        <v>0</v>
      </c>
      <c r="O529" s="26" t="n">
        <f aca="false">IF(INDEX(Pengaturan!$B$8:$B$27,O$4)="",0,COUNTIF(Data!$B529:$U529,INDEX(Pengaturan!$B$8:$B$27,O$4)))</f>
        <v>0</v>
      </c>
      <c r="P529" s="26" t="n">
        <f aca="false">IF(INDEX(Pengaturan!$B$8:$B$27,P$4)="",0,COUNTIF(Data!$B529:$U529,INDEX(Pengaturan!$B$8:$B$27,P$4)))</f>
        <v>0</v>
      </c>
      <c r="Q529" s="26" t="n">
        <f aca="false">IF(INDEX(Pengaturan!$B$8:$B$27,Q$4)="",0,COUNTIF(Data!$B529:$U529,INDEX(Pengaturan!$B$8:$B$27,Q$4)))</f>
        <v>0</v>
      </c>
      <c r="R529" s="26" t="n">
        <f aca="false">IF(INDEX(Pengaturan!$B$8:$B$27,R$4)="",0,COUNTIF(Data!$B529:$U529,INDEX(Pengaturan!$B$8:$B$27,R$4)))</f>
        <v>0</v>
      </c>
      <c r="S529" s="26" t="n">
        <f aca="false">IF(INDEX(Pengaturan!$B$8:$B$27,S$4)="",0,COUNTIF(Data!$B529:$U529,INDEX(Pengaturan!$B$8:$B$27,S$4)))</f>
        <v>0</v>
      </c>
      <c r="T529" s="26" t="n">
        <f aca="false">IF(INDEX(Pengaturan!$B$8:$B$27,T$4)="",0,COUNTIF(Data!$B529:$U529,INDEX(Pengaturan!$B$8:$B$27,T$4)))</f>
        <v>0</v>
      </c>
      <c r="U529" s="26" t="n">
        <f aca="false">IF(INDEX(Pengaturan!$B$8:$B$27,U$4)="",0,COUNTIF(Data!$B529:$U529,INDEX(Pengaturan!$B$8:$B$27,U$4)))</f>
        <v>0</v>
      </c>
      <c r="V529" s="26" t="n">
        <f aca="false">COUNTA(Data!$B529:$U529)</f>
        <v>0</v>
      </c>
      <c r="W529" s="27" t="str">
        <f aca="false">IF(V529=0,"",IF(V529&lt;&gt;Hasil!$C$4,"Data kosong/tidak lengkap",IF(SUM(B529:U529)&lt;&gt;V529,"Kategori tidak dikenal","OK")))</f>
        <v/>
      </c>
      <c r="X529" s="26" t="n">
        <f aca="false">IF(OR(W529="",W529="OK"),0,1)</f>
        <v>0</v>
      </c>
    </row>
    <row r="530" customFormat="false" ht="15" hidden="false" customHeight="false" outlineLevel="0" collapsed="false">
      <c r="A530" s="26" t="n">
        <f aca="false">Data!A530</f>
        <v>525</v>
      </c>
      <c r="B530" s="26" t="n">
        <f aca="false">IF(INDEX(Pengaturan!$B$8:$B$27,B$4)="",0,COUNTIF(Data!$B530:$U530,INDEX(Pengaturan!$B$8:$B$27,B$4)))</f>
        <v>0</v>
      </c>
      <c r="C530" s="26" t="n">
        <f aca="false">IF(INDEX(Pengaturan!$B$8:$B$27,C$4)="",0,COUNTIF(Data!$B530:$U530,INDEX(Pengaturan!$B$8:$B$27,C$4)))</f>
        <v>0</v>
      </c>
      <c r="D530" s="26" t="n">
        <f aca="false">IF(INDEX(Pengaturan!$B$8:$B$27,D$4)="",0,COUNTIF(Data!$B530:$U530,INDEX(Pengaturan!$B$8:$B$27,D$4)))</f>
        <v>0</v>
      </c>
      <c r="E530" s="26" t="n">
        <f aca="false">IF(INDEX(Pengaturan!$B$8:$B$27,E$4)="",0,COUNTIF(Data!$B530:$U530,INDEX(Pengaturan!$B$8:$B$27,E$4)))</f>
        <v>0</v>
      </c>
      <c r="F530" s="26" t="n">
        <f aca="false">IF(INDEX(Pengaturan!$B$8:$B$27,F$4)="",0,COUNTIF(Data!$B530:$U530,INDEX(Pengaturan!$B$8:$B$27,F$4)))</f>
        <v>0</v>
      </c>
      <c r="G530" s="26" t="n">
        <f aca="false">IF(INDEX(Pengaturan!$B$8:$B$27,G$4)="",0,COUNTIF(Data!$B530:$U530,INDEX(Pengaturan!$B$8:$B$27,G$4)))</f>
        <v>0</v>
      </c>
      <c r="H530" s="26" t="n">
        <f aca="false">IF(INDEX(Pengaturan!$B$8:$B$27,H$4)="",0,COUNTIF(Data!$B530:$U530,INDEX(Pengaturan!$B$8:$B$27,H$4)))</f>
        <v>0</v>
      </c>
      <c r="I530" s="26" t="n">
        <f aca="false">IF(INDEX(Pengaturan!$B$8:$B$27,I$4)="",0,COUNTIF(Data!$B530:$U530,INDEX(Pengaturan!$B$8:$B$27,I$4)))</f>
        <v>0</v>
      </c>
      <c r="J530" s="26" t="n">
        <f aca="false">IF(INDEX(Pengaturan!$B$8:$B$27,J$4)="",0,COUNTIF(Data!$B530:$U530,INDEX(Pengaturan!$B$8:$B$27,J$4)))</f>
        <v>0</v>
      </c>
      <c r="K530" s="26" t="n">
        <f aca="false">IF(INDEX(Pengaturan!$B$8:$B$27,K$4)="",0,COUNTIF(Data!$B530:$U530,INDEX(Pengaturan!$B$8:$B$27,K$4)))</f>
        <v>0</v>
      </c>
      <c r="L530" s="26" t="n">
        <f aca="false">IF(INDEX(Pengaturan!$B$8:$B$27,L$4)="",0,COUNTIF(Data!$B530:$U530,INDEX(Pengaturan!$B$8:$B$27,L$4)))</f>
        <v>0</v>
      </c>
      <c r="M530" s="26" t="n">
        <f aca="false">IF(INDEX(Pengaturan!$B$8:$B$27,M$4)="",0,COUNTIF(Data!$B530:$U530,INDEX(Pengaturan!$B$8:$B$27,M$4)))</f>
        <v>0</v>
      </c>
      <c r="N530" s="26" t="n">
        <f aca="false">IF(INDEX(Pengaturan!$B$8:$B$27,N$4)="",0,COUNTIF(Data!$B530:$U530,INDEX(Pengaturan!$B$8:$B$27,N$4)))</f>
        <v>0</v>
      </c>
      <c r="O530" s="26" t="n">
        <f aca="false">IF(INDEX(Pengaturan!$B$8:$B$27,O$4)="",0,COUNTIF(Data!$B530:$U530,INDEX(Pengaturan!$B$8:$B$27,O$4)))</f>
        <v>0</v>
      </c>
      <c r="P530" s="26" t="n">
        <f aca="false">IF(INDEX(Pengaturan!$B$8:$B$27,P$4)="",0,COUNTIF(Data!$B530:$U530,INDEX(Pengaturan!$B$8:$B$27,P$4)))</f>
        <v>0</v>
      </c>
      <c r="Q530" s="26" t="n">
        <f aca="false">IF(INDEX(Pengaturan!$B$8:$B$27,Q$4)="",0,COUNTIF(Data!$B530:$U530,INDEX(Pengaturan!$B$8:$B$27,Q$4)))</f>
        <v>0</v>
      </c>
      <c r="R530" s="26" t="n">
        <f aca="false">IF(INDEX(Pengaturan!$B$8:$B$27,R$4)="",0,COUNTIF(Data!$B530:$U530,INDEX(Pengaturan!$B$8:$B$27,R$4)))</f>
        <v>0</v>
      </c>
      <c r="S530" s="26" t="n">
        <f aca="false">IF(INDEX(Pengaturan!$B$8:$B$27,S$4)="",0,COUNTIF(Data!$B530:$U530,INDEX(Pengaturan!$B$8:$B$27,S$4)))</f>
        <v>0</v>
      </c>
      <c r="T530" s="26" t="n">
        <f aca="false">IF(INDEX(Pengaturan!$B$8:$B$27,T$4)="",0,COUNTIF(Data!$B530:$U530,INDEX(Pengaturan!$B$8:$B$27,T$4)))</f>
        <v>0</v>
      </c>
      <c r="U530" s="26" t="n">
        <f aca="false">IF(INDEX(Pengaturan!$B$8:$B$27,U$4)="",0,COUNTIF(Data!$B530:$U530,INDEX(Pengaturan!$B$8:$B$27,U$4)))</f>
        <v>0</v>
      </c>
      <c r="V530" s="26" t="n">
        <f aca="false">COUNTA(Data!$B530:$U530)</f>
        <v>0</v>
      </c>
      <c r="W530" s="27" t="str">
        <f aca="false">IF(V530=0,"",IF(V530&lt;&gt;Hasil!$C$4,"Data kosong/tidak lengkap",IF(SUM(B530:U530)&lt;&gt;V530,"Kategori tidak dikenal","OK")))</f>
        <v/>
      </c>
      <c r="X530" s="26" t="n">
        <f aca="false">IF(OR(W530="",W530="OK"),0,1)</f>
        <v>0</v>
      </c>
    </row>
    <row r="531" customFormat="false" ht="15" hidden="false" customHeight="false" outlineLevel="0" collapsed="false">
      <c r="A531" s="26" t="n">
        <f aca="false">Data!A531</f>
        <v>526</v>
      </c>
      <c r="B531" s="26" t="n">
        <f aca="false">IF(INDEX(Pengaturan!$B$8:$B$27,B$4)="",0,COUNTIF(Data!$B531:$U531,INDEX(Pengaturan!$B$8:$B$27,B$4)))</f>
        <v>0</v>
      </c>
      <c r="C531" s="26" t="n">
        <f aca="false">IF(INDEX(Pengaturan!$B$8:$B$27,C$4)="",0,COUNTIF(Data!$B531:$U531,INDEX(Pengaturan!$B$8:$B$27,C$4)))</f>
        <v>0</v>
      </c>
      <c r="D531" s="26" t="n">
        <f aca="false">IF(INDEX(Pengaturan!$B$8:$B$27,D$4)="",0,COUNTIF(Data!$B531:$U531,INDEX(Pengaturan!$B$8:$B$27,D$4)))</f>
        <v>0</v>
      </c>
      <c r="E531" s="26" t="n">
        <f aca="false">IF(INDEX(Pengaturan!$B$8:$B$27,E$4)="",0,COUNTIF(Data!$B531:$U531,INDEX(Pengaturan!$B$8:$B$27,E$4)))</f>
        <v>0</v>
      </c>
      <c r="F531" s="26" t="n">
        <f aca="false">IF(INDEX(Pengaturan!$B$8:$B$27,F$4)="",0,COUNTIF(Data!$B531:$U531,INDEX(Pengaturan!$B$8:$B$27,F$4)))</f>
        <v>0</v>
      </c>
      <c r="G531" s="26" t="n">
        <f aca="false">IF(INDEX(Pengaturan!$B$8:$B$27,G$4)="",0,COUNTIF(Data!$B531:$U531,INDEX(Pengaturan!$B$8:$B$27,G$4)))</f>
        <v>0</v>
      </c>
      <c r="H531" s="26" t="n">
        <f aca="false">IF(INDEX(Pengaturan!$B$8:$B$27,H$4)="",0,COUNTIF(Data!$B531:$U531,INDEX(Pengaturan!$B$8:$B$27,H$4)))</f>
        <v>0</v>
      </c>
      <c r="I531" s="26" t="n">
        <f aca="false">IF(INDEX(Pengaturan!$B$8:$B$27,I$4)="",0,COUNTIF(Data!$B531:$U531,INDEX(Pengaturan!$B$8:$B$27,I$4)))</f>
        <v>0</v>
      </c>
      <c r="J531" s="26" t="n">
        <f aca="false">IF(INDEX(Pengaturan!$B$8:$B$27,J$4)="",0,COUNTIF(Data!$B531:$U531,INDEX(Pengaturan!$B$8:$B$27,J$4)))</f>
        <v>0</v>
      </c>
      <c r="K531" s="26" t="n">
        <f aca="false">IF(INDEX(Pengaturan!$B$8:$B$27,K$4)="",0,COUNTIF(Data!$B531:$U531,INDEX(Pengaturan!$B$8:$B$27,K$4)))</f>
        <v>0</v>
      </c>
      <c r="L531" s="26" t="n">
        <f aca="false">IF(INDEX(Pengaturan!$B$8:$B$27,L$4)="",0,COUNTIF(Data!$B531:$U531,INDEX(Pengaturan!$B$8:$B$27,L$4)))</f>
        <v>0</v>
      </c>
      <c r="M531" s="26" t="n">
        <f aca="false">IF(INDEX(Pengaturan!$B$8:$B$27,M$4)="",0,COUNTIF(Data!$B531:$U531,INDEX(Pengaturan!$B$8:$B$27,M$4)))</f>
        <v>0</v>
      </c>
      <c r="N531" s="26" t="n">
        <f aca="false">IF(INDEX(Pengaturan!$B$8:$B$27,N$4)="",0,COUNTIF(Data!$B531:$U531,INDEX(Pengaturan!$B$8:$B$27,N$4)))</f>
        <v>0</v>
      </c>
      <c r="O531" s="26" t="n">
        <f aca="false">IF(INDEX(Pengaturan!$B$8:$B$27,O$4)="",0,COUNTIF(Data!$B531:$U531,INDEX(Pengaturan!$B$8:$B$27,O$4)))</f>
        <v>0</v>
      </c>
      <c r="P531" s="26" t="n">
        <f aca="false">IF(INDEX(Pengaturan!$B$8:$B$27,P$4)="",0,COUNTIF(Data!$B531:$U531,INDEX(Pengaturan!$B$8:$B$27,P$4)))</f>
        <v>0</v>
      </c>
      <c r="Q531" s="26" t="n">
        <f aca="false">IF(INDEX(Pengaturan!$B$8:$B$27,Q$4)="",0,COUNTIF(Data!$B531:$U531,INDEX(Pengaturan!$B$8:$B$27,Q$4)))</f>
        <v>0</v>
      </c>
      <c r="R531" s="26" t="n">
        <f aca="false">IF(INDEX(Pengaturan!$B$8:$B$27,R$4)="",0,COUNTIF(Data!$B531:$U531,INDEX(Pengaturan!$B$8:$B$27,R$4)))</f>
        <v>0</v>
      </c>
      <c r="S531" s="26" t="n">
        <f aca="false">IF(INDEX(Pengaturan!$B$8:$B$27,S$4)="",0,COUNTIF(Data!$B531:$U531,INDEX(Pengaturan!$B$8:$B$27,S$4)))</f>
        <v>0</v>
      </c>
      <c r="T531" s="26" t="n">
        <f aca="false">IF(INDEX(Pengaturan!$B$8:$B$27,T$4)="",0,COUNTIF(Data!$B531:$U531,INDEX(Pengaturan!$B$8:$B$27,T$4)))</f>
        <v>0</v>
      </c>
      <c r="U531" s="26" t="n">
        <f aca="false">IF(INDEX(Pengaturan!$B$8:$B$27,U$4)="",0,COUNTIF(Data!$B531:$U531,INDEX(Pengaturan!$B$8:$B$27,U$4)))</f>
        <v>0</v>
      </c>
      <c r="V531" s="26" t="n">
        <f aca="false">COUNTA(Data!$B531:$U531)</f>
        <v>0</v>
      </c>
      <c r="W531" s="27" t="str">
        <f aca="false">IF(V531=0,"",IF(V531&lt;&gt;Hasil!$C$4,"Data kosong/tidak lengkap",IF(SUM(B531:U531)&lt;&gt;V531,"Kategori tidak dikenal","OK")))</f>
        <v/>
      </c>
      <c r="X531" s="26" t="n">
        <f aca="false">IF(OR(W531="",W531="OK"),0,1)</f>
        <v>0</v>
      </c>
    </row>
    <row r="532" customFormat="false" ht="15" hidden="false" customHeight="false" outlineLevel="0" collapsed="false">
      <c r="A532" s="26" t="n">
        <f aca="false">Data!A532</f>
        <v>527</v>
      </c>
      <c r="B532" s="26" t="n">
        <f aca="false">IF(INDEX(Pengaturan!$B$8:$B$27,B$4)="",0,COUNTIF(Data!$B532:$U532,INDEX(Pengaturan!$B$8:$B$27,B$4)))</f>
        <v>0</v>
      </c>
      <c r="C532" s="26" t="n">
        <f aca="false">IF(INDEX(Pengaturan!$B$8:$B$27,C$4)="",0,COUNTIF(Data!$B532:$U532,INDEX(Pengaturan!$B$8:$B$27,C$4)))</f>
        <v>0</v>
      </c>
      <c r="D532" s="26" t="n">
        <f aca="false">IF(INDEX(Pengaturan!$B$8:$B$27,D$4)="",0,COUNTIF(Data!$B532:$U532,INDEX(Pengaturan!$B$8:$B$27,D$4)))</f>
        <v>0</v>
      </c>
      <c r="E532" s="26" t="n">
        <f aca="false">IF(INDEX(Pengaturan!$B$8:$B$27,E$4)="",0,COUNTIF(Data!$B532:$U532,INDEX(Pengaturan!$B$8:$B$27,E$4)))</f>
        <v>0</v>
      </c>
      <c r="F532" s="26" t="n">
        <f aca="false">IF(INDEX(Pengaturan!$B$8:$B$27,F$4)="",0,COUNTIF(Data!$B532:$U532,INDEX(Pengaturan!$B$8:$B$27,F$4)))</f>
        <v>0</v>
      </c>
      <c r="G532" s="26" t="n">
        <f aca="false">IF(INDEX(Pengaturan!$B$8:$B$27,G$4)="",0,COUNTIF(Data!$B532:$U532,INDEX(Pengaturan!$B$8:$B$27,G$4)))</f>
        <v>0</v>
      </c>
      <c r="H532" s="26" t="n">
        <f aca="false">IF(INDEX(Pengaturan!$B$8:$B$27,H$4)="",0,COUNTIF(Data!$B532:$U532,INDEX(Pengaturan!$B$8:$B$27,H$4)))</f>
        <v>0</v>
      </c>
      <c r="I532" s="26" t="n">
        <f aca="false">IF(INDEX(Pengaturan!$B$8:$B$27,I$4)="",0,COUNTIF(Data!$B532:$U532,INDEX(Pengaturan!$B$8:$B$27,I$4)))</f>
        <v>0</v>
      </c>
      <c r="J532" s="26" t="n">
        <f aca="false">IF(INDEX(Pengaturan!$B$8:$B$27,J$4)="",0,COUNTIF(Data!$B532:$U532,INDEX(Pengaturan!$B$8:$B$27,J$4)))</f>
        <v>0</v>
      </c>
      <c r="K532" s="26" t="n">
        <f aca="false">IF(INDEX(Pengaturan!$B$8:$B$27,K$4)="",0,COUNTIF(Data!$B532:$U532,INDEX(Pengaturan!$B$8:$B$27,K$4)))</f>
        <v>0</v>
      </c>
      <c r="L532" s="26" t="n">
        <f aca="false">IF(INDEX(Pengaturan!$B$8:$B$27,L$4)="",0,COUNTIF(Data!$B532:$U532,INDEX(Pengaturan!$B$8:$B$27,L$4)))</f>
        <v>0</v>
      </c>
      <c r="M532" s="26" t="n">
        <f aca="false">IF(INDEX(Pengaturan!$B$8:$B$27,M$4)="",0,COUNTIF(Data!$B532:$U532,INDEX(Pengaturan!$B$8:$B$27,M$4)))</f>
        <v>0</v>
      </c>
      <c r="N532" s="26" t="n">
        <f aca="false">IF(INDEX(Pengaturan!$B$8:$B$27,N$4)="",0,COUNTIF(Data!$B532:$U532,INDEX(Pengaturan!$B$8:$B$27,N$4)))</f>
        <v>0</v>
      </c>
      <c r="O532" s="26" t="n">
        <f aca="false">IF(INDEX(Pengaturan!$B$8:$B$27,O$4)="",0,COUNTIF(Data!$B532:$U532,INDEX(Pengaturan!$B$8:$B$27,O$4)))</f>
        <v>0</v>
      </c>
      <c r="P532" s="26" t="n">
        <f aca="false">IF(INDEX(Pengaturan!$B$8:$B$27,P$4)="",0,COUNTIF(Data!$B532:$U532,INDEX(Pengaturan!$B$8:$B$27,P$4)))</f>
        <v>0</v>
      </c>
      <c r="Q532" s="26" t="n">
        <f aca="false">IF(INDEX(Pengaturan!$B$8:$B$27,Q$4)="",0,COUNTIF(Data!$B532:$U532,INDEX(Pengaturan!$B$8:$B$27,Q$4)))</f>
        <v>0</v>
      </c>
      <c r="R532" s="26" t="n">
        <f aca="false">IF(INDEX(Pengaturan!$B$8:$B$27,R$4)="",0,COUNTIF(Data!$B532:$U532,INDEX(Pengaturan!$B$8:$B$27,R$4)))</f>
        <v>0</v>
      </c>
      <c r="S532" s="26" t="n">
        <f aca="false">IF(INDEX(Pengaturan!$B$8:$B$27,S$4)="",0,COUNTIF(Data!$B532:$U532,INDEX(Pengaturan!$B$8:$B$27,S$4)))</f>
        <v>0</v>
      </c>
      <c r="T532" s="26" t="n">
        <f aca="false">IF(INDEX(Pengaturan!$B$8:$B$27,T$4)="",0,COUNTIF(Data!$B532:$U532,INDEX(Pengaturan!$B$8:$B$27,T$4)))</f>
        <v>0</v>
      </c>
      <c r="U532" s="26" t="n">
        <f aca="false">IF(INDEX(Pengaturan!$B$8:$B$27,U$4)="",0,COUNTIF(Data!$B532:$U532,INDEX(Pengaturan!$B$8:$B$27,U$4)))</f>
        <v>0</v>
      </c>
      <c r="V532" s="26" t="n">
        <f aca="false">COUNTA(Data!$B532:$U532)</f>
        <v>0</v>
      </c>
      <c r="W532" s="27" t="str">
        <f aca="false">IF(V532=0,"",IF(V532&lt;&gt;Hasil!$C$4,"Data kosong/tidak lengkap",IF(SUM(B532:U532)&lt;&gt;V532,"Kategori tidak dikenal","OK")))</f>
        <v/>
      </c>
      <c r="X532" s="26" t="n">
        <f aca="false">IF(OR(W532="",W532="OK"),0,1)</f>
        <v>0</v>
      </c>
    </row>
    <row r="533" customFormat="false" ht="15" hidden="false" customHeight="false" outlineLevel="0" collapsed="false">
      <c r="A533" s="26" t="n">
        <f aca="false">Data!A533</f>
        <v>528</v>
      </c>
      <c r="B533" s="26" t="n">
        <f aca="false">IF(INDEX(Pengaturan!$B$8:$B$27,B$4)="",0,COUNTIF(Data!$B533:$U533,INDEX(Pengaturan!$B$8:$B$27,B$4)))</f>
        <v>0</v>
      </c>
      <c r="C533" s="26" t="n">
        <f aca="false">IF(INDEX(Pengaturan!$B$8:$B$27,C$4)="",0,COUNTIF(Data!$B533:$U533,INDEX(Pengaturan!$B$8:$B$27,C$4)))</f>
        <v>0</v>
      </c>
      <c r="D533" s="26" t="n">
        <f aca="false">IF(INDEX(Pengaturan!$B$8:$B$27,D$4)="",0,COUNTIF(Data!$B533:$U533,INDEX(Pengaturan!$B$8:$B$27,D$4)))</f>
        <v>0</v>
      </c>
      <c r="E533" s="26" t="n">
        <f aca="false">IF(INDEX(Pengaturan!$B$8:$B$27,E$4)="",0,COUNTIF(Data!$B533:$U533,INDEX(Pengaturan!$B$8:$B$27,E$4)))</f>
        <v>0</v>
      </c>
      <c r="F533" s="26" t="n">
        <f aca="false">IF(INDEX(Pengaturan!$B$8:$B$27,F$4)="",0,COUNTIF(Data!$B533:$U533,INDEX(Pengaturan!$B$8:$B$27,F$4)))</f>
        <v>0</v>
      </c>
      <c r="G533" s="26" t="n">
        <f aca="false">IF(INDEX(Pengaturan!$B$8:$B$27,G$4)="",0,COUNTIF(Data!$B533:$U533,INDEX(Pengaturan!$B$8:$B$27,G$4)))</f>
        <v>0</v>
      </c>
      <c r="H533" s="26" t="n">
        <f aca="false">IF(INDEX(Pengaturan!$B$8:$B$27,H$4)="",0,COUNTIF(Data!$B533:$U533,INDEX(Pengaturan!$B$8:$B$27,H$4)))</f>
        <v>0</v>
      </c>
      <c r="I533" s="26" t="n">
        <f aca="false">IF(INDEX(Pengaturan!$B$8:$B$27,I$4)="",0,COUNTIF(Data!$B533:$U533,INDEX(Pengaturan!$B$8:$B$27,I$4)))</f>
        <v>0</v>
      </c>
      <c r="J533" s="26" t="n">
        <f aca="false">IF(INDEX(Pengaturan!$B$8:$B$27,J$4)="",0,COUNTIF(Data!$B533:$U533,INDEX(Pengaturan!$B$8:$B$27,J$4)))</f>
        <v>0</v>
      </c>
      <c r="K533" s="26" t="n">
        <f aca="false">IF(INDEX(Pengaturan!$B$8:$B$27,K$4)="",0,COUNTIF(Data!$B533:$U533,INDEX(Pengaturan!$B$8:$B$27,K$4)))</f>
        <v>0</v>
      </c>
      <c r="L533" s="26" t="n">
        <f aca="false">IF(INDEX(Pengaturan!$B$8:$B$27,L$4)="",0,COUNTIF(Data!$B533:$U533,INDEX(Pengaturan!$B$8:$B$27,L$4)))</f>
        <v>0</v>
      </c>
      <c r="M533" s="26" t="n">
        <f aca="false">IF(INDEX(Pengaturan!$B$8:$B$27,M$4)="",0,COUNTIF(Data!$B533:$U533,INDEX(Pengaturan!$B$8:$B$27,M$4)))</f>
        <v>0</v>
      </c>
      <c r="N533" s="26" t="n">
        <f aca="false">IF(INDEX(Pengaturan!$B$8:$B$27,N$4)="",0,COUNTIF(Data!$B533:$U533,INDEX(Pengaturan!$B$8:$B$27,N$4)))</f>
        <v>0</v>
      </c>
      <c r="O533" s="26" t="n">
        <f aca="false">IF(INDEX(Pengaturan!$B$8:$B$27,O$4)="",0,COUNTIF(Data!$B533:$U533,INDEX(Pengaturan!$B$8:$B$27,O$4)))</f>
        <v>0</v>
      </c>
      <c r="P533" s="26" t="n">
        <f aca="false">IF(INDEX(Pengaturan!$B$8:$B$27,P$4)="",0,COUNTIF(Data!$B533:$U533,INDEX(Pengaturan!$B$8:$B$27,P$4)))</f>
        <v>0</v>
      </c>
      <c r="Q533" s="26" t="n">
        <f aca="false">IF(INDEX(Pengaturan!$B$8:$B$27,Q$4)="",0,COUNTIF(Data!$B533:$U533,INDEX(Pengaturan!$B$8:$B$27,Q$4)))</f>
        <v>0</v>
      </c>
      <c r="R533" s="26" t="n">
        <f aca="false">IF(INDEX(Pengaturan!$B$8:$B$27,R$4)="",0,COUNTIF(Data!$B533:$U533,INDEX(Pengaturan!$B$8:$B$27,R$4)))</f>
        <v>0</v>
      </c>
      <c r="S533" s="26" t="n">
        <f aca="false">IF(INDEX(Pengaturan!$B$8:$B$27,S$4)="",0,COUNTIF(Data!$B533:$U533,INDEX(Pengaturan!$B$8:$B$27,S$4)))</f>
        <v>0</v>
      </c>
      <c r="T533" s="26" t="n">
        <f aca="false">IF(INDEX(Pengaturan!$B$8:$B$27,T$4)="",0,COUNTIF(Data!$B533:$U533,INDEX(Pengaturan!$B$8:$B$27,T$4)))</f>
        <v>0</v>
      </c>
      <c r="U533" s="26" t="n">
        <f aca="false">IF(INDEX(Pengaturan!$B$8:$B$27,U$4)="",0,COUNTIF(Data!$B533:$U533,INDEX(Pengaturan!$B$8:$B$27,U$4)))</f>
        <v>0</v>
      </c>
      <c r="V533" s="26" t="n">
        <f aca="false">COUNTA(Data!$B533:$U533)</f>
        <v>0</v>
      </c>
      <c r="W533" s="27" t="str">
        <f aca="false">IF(V533=0,"",IF(V533&lt;&gt;Hasil!$C$4,"Data kosong/tidak lengkap",IF(SUM(B533:U533)&lt;&gt;V533,"Kategori tidak dikenal","OK")))</f>
        <v/>
      </c>
      <c r="X533" s="26" t="n">
        <f aca="false">IF(OR(W533="",W533="OK"),0,1)</f>
        <v>0</v>
      </c>
    </row>
    <row r="534" customFormat="false" ht="15" hidden="false" customHeight="false" outlineLevel="0" collapsed="false">
      <c r="A534" s="26" t="n">
        <f aca="false">Data!A534</f>
        <v>529</v>
      </c>
      <c r="B534" s="26" t="n">
        <f aca="false">IF(INDEX(Pengaturan!$B$8:$B$27,B$4)="",0,COUNTIF(Data!$B534:$U534,INDEX(Pengaturan!$B$8:$B$27,B$4)))</f>
        <v>0</v>
      </c>
      <c r="C534" s="26" t="n">
        <f aca="false">IF(INDEX(Pengaturan!$B$8:$B$27,C$4)="",0,COUNTIF(Data!$B534:$U534,INDEX(Pengaturan!$B$8:$B$27,C$4)))</f>
        <v>0</v>
      </c>
      <c r="D534" s="26" t="n">
        <f aca="false">IF(INDEX(Pengaturan!$B$8:$B$27,D$4)="",0,COUNTIF(Data!$B534:$U534,INDEX(Pengaturan!$B$8:$B$27,D$4)))</f>
        <v>0</v>
      </c>
      <c r="E534" s="26" t="n">
        <f aca="false">IF(INDEX(Pengaturan!$B$8:$B$27,E$4)="",0,COUNTIF(Data!$B534:$U534,INDEX(Pengaturan!$B$8:$B$27,E$4)))</f>
        <v>0</v>
      </c>
      <c r="F534" s="26" t="n">
        <f aca="false">IF(INDEX(Pengaturan!$B$8:$B$27,F$4)="",0,COUNTIF(Data!$B534:$U534,INDEX(Pengaturan!$B$8:$B$27,F$4)))</f>
        <v>0</v>
      </c>
      <c r="G534" s="26" t="n">
        <f aca="false">IF(INDEX(Pengaturan!$B$8:$B$27,G$4)="",0,COUNTIF(Data!$B534:$U534,INDEX(Pengaturan!$B$8:$B$27,G$4)))</f>
        <v>0</v>
      </c>
      <c r="H534" s="26" t="n">
        <f aca="false">IF(INDEX(Pengaturan!$B$8:$B$27,H$4)="",0,COUNTIF(Data!$B534:$U534,INDEX(Pengaturan!$B$8:$B$27,H$4)))</f>
        <v>0</v>
      </c>
      <c r="I534" s="26" t="n">
        <f aca="false">IF(INDEX(Pengaturan!$B$8:$B$27,I$4)="",0,COUNTIF(Data!$B534:$U534,INDEX(Pengaturan!$B$8:$B$27,I$4)))</f>
        <v>0</v>
      </c>
      <c r="J534" s="26" t="n">
        <f aca="false">IF(INDEX(Pengaturan!$B$8:$B$27,J$4)="",0,COUNTIF(Data!$B534:$U534,INDEX(Pengaturan!$B$8:$B$27,J$4)))</f>
        <v>0</v>
      </c>
      <c r="K534" s="26" t="n">
        <f aca="false">IF(INDEX(Pengaturan!$B$8:$B$27,K$4)="",0,COUNTIF(Data!$B534:$U534,INDEX(Pengaturan!$B$8:$B$27,K$4)))</f>
        <v>0</v>
      </c>
      <c r="L534" s="26" t="n">
        <f aca="false">IF(INDEX(Pengaturan!$B$8:$B$27,L$4)="",0,COUNTIF(Data!$B534:$U534,INDEX(Pengaturan!$B$8:$B$27,L$4)))</f>
        <v>0</v>
      </c>
      <c r="M534" s="26" t="n">
        <f aca="false">IF(INDEX(Pengaturan!$B$8:$B$27,M$4)="",0,COUNTIF(Data!$B534:$U534,INDEX(Pengaturan!$B$8:$B$27,M$4)))</f>
        <v>0</v>
      </c>
      <c r="N534" s="26" t="n">
        <f aca="false">IF(INDEX(Pengaturan!$B$8:$B$27,N$4)="",0,COUNTIF(Data!$B534:$U534,INDEX(Pengaturan!$B$8:$B$27,N$4)))</f>
        <v>0</v>
      </c>
      <c r="O534" s="26" t="n">
        <f aca="false">IF(INDEX(Pengaturan!$B$8:$B$27,O$4)="",0,COUNTIF(Data!$B534:$U534,INDEX(Pengaturan!$B$8:$B$27,O$4)))</f>
        <v>0</v>
      </c>
      <c r="P534" s="26" t="n">
        <f aca="false">IF(INDEX(Pengaturan!$B$8:$B$27,P$4)="",0,COUNTIF(Data!$B534:$U534,INDEX(Pengaturan!$B$8:$B$27,P$4)))</f>
        <v>0</v>
      </c>
      <c r="Q534" s="26" t="n">
        <f aca="false">IF(INDEX(Pengaturan!$B$8:$B$27,Q$4)="",0,COUNTIF(Data!$B534:$U534,INDEX(Pengaturan!$B$8:$B$27,Q$4)))</f>
        <v>0</v>
      </c>
      <c r="R534" s="26" t="n">
        <f aca="false">IF(INDEX(Pengaturan!$B$8:$B$27,R$4)="",0,COUNTIF(Data!$B534:$U534,INDEX(Pengaturan!$B$8:$B$27,R$4)))</f>
        <v>0</v>
      </c>
      <c r="S534" s="26" t="n">
        <f aca="false">IF(INDEX(Pengaturan!$B$8:$B$27,S$4)="",0,COUNTIF(Data!$B534:$U534,INDEX(Pengaturan!$B$8:$B$27,S$4)))</f>
        <v>0</v>
      </c>
      <c r="T534" s="26" t="n">
        <f aca="false">IF(INDEX(Pengaturan!$B$8:$B$27,T$4)="",0,COUNTIF(Data!$B534:$U534,INDEX(Pengaturan!$B$8:$B$27,T$4)))</f>
        <v>0</v>
      </c>
      <c r="U534" s="26" t="n">
        <f aca="false">IF(INDEX(Pengaturan!$B$8:$B$27,U$4)="",0,COUNTIF(Data!$B534:$U534,INDEX(Pengaturan!$B$8:$B$27,U$4)))</f>
        <v>0</v>
      </c>
      <c r="V534" s="26" t="n">
        <f aca="false">COUNTA(Data!$B534:$U534)</f>
        <v>0</v>
      </c>
      <c r="W534" s="27" t="str">
        <f aca="false">IF(V534=0,"",IF(V534&lt;&gt;Hasil!$C$4,"Data kosong/tidak lengkap",IF(SUM(B534:U534)&lt;&gt;V534,"Kategori tidak dikenal","OK")))</f>
        <v/>
      </c>
      <c r="X534" s="26" t="n">
        <f aca="false">IF(OR(W534="",W534="OK"),0,1)</f>
        <v>0</v>
      </c>
    </row>
    <row r="535" customFormat="false" ht="15" hidden="false" customHeight="false" outlineLevel="0" collapsed="false">
      <c r="A535" s="26" t="n">
        <f aca="false">Data!A535</f>
        <v>530</v>
      </c>
      <c r="B535" s="26" t="n">
        <f aca="false">IF(INDEX(Pengaturan!$B$8:$B$27,B$4)="",0,COUNTIF(Data!$B535:$U535,INDEX(Pengaturan!$B$8:$B$27,B$4)))</f>
        <v>0</v>
      </c>
      <c r="C535" s="26" t="n">
        <f aca="false">IF(INDEX(Pengaturan!$B$8:$B$27,C$4)="",0,COUNTIF(Data!$B535:$U535,INDEX(Pengaturan!$B$8:$B$27,C$4)))</f>
        <v>0</v>
      </c>
      <c r="D535" s="26" t="n">
        <f aca="false">IF(INDEX(Pengaturan!$B$8:$B$27,D$4)="",0,COUNTIF(Data!$B535:$U535,INDEX(Pengaturan!$B$8:$B$27,D$4)))</f>
        <v>0</v>
      </c>
      <c r="E535" s="26" t="n">
        <f aca="false">IF(INDEX(Pengaturan!$B$8:$B$27,E$4)="",0,COUNTIF(Data!$B535:$U535,INDEX(Pengaturan!$B$8:$B$27,E$4)))</f>
        <v>0</v>
      </c>
      <c r="F535" s="26" t="n">
        <f aca="false">IF(INDEX(Pengaturan!$B$8:$B$27,F$4)="",0,COUNTIF(Data!$B535:$U535,INDEX(Pengaturan!$B$8:$B$27,F$4)))</f>
        <v>0</v>
      </c>
      <c r="G535" s="26" t="n">
        <f aca="false">IF(INDEX(Pengaturan!$B$8:$B$27,G$4)="",0,COUNTIF(Data!$B535:$U535,INDEX(Pengaturan!$B$8:$B$27,G$4)))</f>
        <v>0</v>
      </c>
      <c r="H535" s="26" t="n">
        <f aca="false">IF(INDEX(Pengaturan!$B$8:$B$27,H$4)="",0,COUNTIF(Data!$B535:$U535,INDEX(Pengaturan!$B$8:$B$27,H$4)))</f>
        <v>0</v>
      </c>
      <c r="I535" s="26" t="n">
        <f aca="false">IF(INDEX(Pengaturan!$B$8:$B$27,I$4)="",0,COUNTIF(Data!$B535:$U535,INDEX(Pengaturan!$B$8:$B$27,I$4)))</f>
        <v>0</v>
      </c>
      <c r="J535" s="26" t="n">
        <f aca="false">IF(INDEX(Pengaturan!$B$8:$B$27,J$4)="",0,COUNTIF(Data!$B535:$U535,INDEX(Pengaturan!$B$8:$B$27,J$4)))</f>
        <v>0</v>
      </c>
      <c r="K535" s="26" t="n">
        <f aca="false">IF(INDEX(Pengaturan!$B$8:$B$27,K$4)="",0,COUNTIF(Data!$B535:$U535,INDEX(Pengaturan!$B$8:$B$27,K$4)))</f>
        <v>0</v>
      </c>
      <c r="L535" s="26" t="n">
        <f aca="false">IF(INDEX(Pengaturan!$B$8:$B$27,L$4)="",0,COUNTIF(Data!$B535:$U535,INDEX(Pengaturan!$B$8:$B$27,L$4)))</f>
        <v>0</v>
      </c>
      <c r="M535" s="26" t="n">
        <f aca="false">IF(INDEX(Pengaturan!$B$8:$B$27,M$4)="",0,COUNTIF(Data!$B535:$U535,INDEX(Pengaturan!$B$8:$B$27,M$4)))</f>
        <v>0</v>
      </c>
      <c r="N535" s="26" t="n">
        <f aca="false">IF(INDEX(Pengaturan!$B$8:$B$27,N$4)="",0,COUNTIF(Data!$B535:$U535,INDEX(Pengaturan!$B$8:$B$27,N$4)))</f>
        <v>0</v>
      </c>
      <c r="O535" s="26" t="n">
        <f aca="false">IF(INDEX(Pengaturan!$B$8:$B$27,O$4)="",0,COUNTIF(Data!$B535:$U535,INDEX(Pengaturan!$B$8:$B$27,O$4)))</f>
        <v>0</v>
      </c>
      <c r="P535" s="26" t="n">
        <f aca="false">IF(INDEX(Pengaturan!$B$8:$B$27,P$4)="",0,COUNTIF(Data!$B535:$U535,INDEX(Pengaturan!$B$8:$B$27,P$4)))</f>
        <v>0</v>
      </c>
      <c r="Q535" s="26" t="n">
        <f aca="false">IF(INDEX(Pengaturan!$B$8:$B$27,Q$4)="",0,COUNTIF(Data!$B535:$U535,INDEX(Pengaturan!$B$8:$B$27,Q$4)))</f>
        <v>0</v>
      </c>
      <c r="R535" s="26" t="n">
        <f aca="false">IF(INDEX(Pengaturan!$B$8:$B$27,R$4)="",0,COUNTIF(Data!$B535:$U535,INDEX(Pengaturan!$B$8:$B$27,R$4)))</f>
        <v>0</v>
      </c>
      <c r="S535" s="26" t="n">
        <f aca="false">IF(INDEX(Pengaturan!$B$8:$B$27,S$4)="",0,COUNTIF(Data!$B535:$U535,INDEX(Pengaturan!$B$8:$B$27,S$4)))</f>
        <v>0</v>
      </c>
      <c r="T535" s="26" t="n">
        <f aca="false">IF(INDEX(Pengaturan!$B$8:$B$27,T$4)="",0,COUNTIF(Data!$B535:$U535,INDEX(Pengaturan!$B$8:$B$27,T$4)))</f>
        <v>0</v>
      </c>
      <c r="U535" s="26" t="n">
        <f aca="false">IF(INDEX(Pengaturan!$B$8:$B$27,U$4)="",0,COUNTIF(Data!$B535:$U535,INDEX(Pengaturan!$B$8:$B$27,U$4)))</f>
        <v>0</v>
      </c>
      <c r="V535" s="26" t="n">
        <f aca="false">COUNTA(Data!$B535:$U535)</f>
        <v>0</v>
      </c>
      <c r="W535" s="27" t="str">
        <f aca="false">IF(V535=0,"",IF(V535&lt;&gt;Hasil!$C$4,"Data kosong/tidak lengkap",IF(SUM(B535:U535)&lt;&gt;V535,"Kategori tidak dikenal","OK")))</f>
        <v/>
      </c>
      <c r="X535" s="26" t="n">
        <f aca="false">IF(OR(W535="",W535="OK"),0,1)</f>
        <v>0</v>
      </c>
    </row>
    <row r="536" customFormat="false" ht="15" hidden="false" customHeight="false" outlineLevel="0" collapsed="false">
      <c r="A536" s="26" t="n">
        <f aca="false">Data!A536</f>
        <v>531</v>
      </c>
      <c r="B536" s="26" t="n">
        <f aca="false">IF(INDEX(Pengaturan!$B$8:$B$27,B$4)="",0,COUNTIF(Data!$B536:$U536,INDEX(Pengaturan!$B$8:$B$27,B$4)))</f>
        <v>0</v>
      </c>
      <c r="C536" s="26" t="n">
        <f aca="false">IF(INDEX(Pengaturan!$B$8:$B$27,C$4)="",0,COUNTIF(Data!$B536:$U536,INDEX(Pengaturan!$B$8:$B$27,C$4)))</f>
        <v>0</v>
      </c>
      <c r="D536" s="26" t="n">
        <f aca="false">IF(INDEX(Pengaturan!$B$8:$B$27,D$4)="",0,COUNTIF(Data!$B536:$U536,INDEX(Pengaturan!$B$8:$B$27,D$4)))</f>
        <v>0</v>
      </c>
      <c r="E536" s="26" t="n">
        <f aca="false">IF(INDEX(Pengaturan!$B$8:$B$27,E$4)="",0,COUNTIF(Data!$B536:$U536,INDEX(Pengaturan!$B$8:$B$27,E$4)))</f>
        <v>0</v>
      </c>
      <c r="F536" s="26" t="n">
        <f aca="false">IF(INDEX(Pengaturan!$B$8:$B$27,F$4)="",0,COUNTIF(Data!$B536:$U536,INDEX(Pengaturan!$B$8:$B$27,F$4)))</f>
        <v>0</v>
      </c>
      <c r="G536" s="26" t="n">
        <f aca="false">IF(INDEX(Pengaturan!$B$8:$B$27,G$4)="",0,COUNTIF(Data!$B536:$U536,INDEX(Pengaturan!$B$8:$B$27,G$4)))</f>
        <v>0</v>
      </c>
      <c r="H536" s="26" t="n">
        <f aca="false">IF(INDEX(Pengaturan!$B$8:$B$27,H$4)="",0,COUNTIF(Data!$B536:$U536,INDEX(Pengaturan!$B$8:$B$27,H$4)))</f>
        <v>0</v>
      </c>
      <c r="I536" s="26" t="n">
        <f aca="false">IF(INDEX(Pengaturan!$B$8:$B$27,I$4)="",0,COUNTIF(Data!$B536:$U536,INDEX(Pengaturan!$B$8:$B$27,I$4)))</f>
        <v>0</v>
      </c>
      <c r="J536" s="26" t="n">
        <f aca="false">IF(INDEX(Pengaturan!$B$8:$B$27,J$4)="",0,COUNTIF(Data!$B536:$U536,INDEX(Pengaturan!$B$8:$B$27,J$4)))</f>
        <v>0</v>
      </c>
      <c r="K536" s="26" t="n">
        <f aca="false">IF(INDEX(Pengaturan!$B$8:$B$27,K$4)="",0,COUNTIF(Data!$B536:$U536,INDEX(Pengaturan!$B$8:$B$27,K$4)))</f>
        <v>0</v>
      </c>
      <c r="L536" s="26" t="n">
        <f aca="false">IF(INDEX(Pengaturan!$B$8:$B$27,L$4)="",0,COUNTIF(Data!$B536:$U536,INDEX(Pengaturan!$B$8:$B$27,L$4)))</f>
        <v>0</v>
      </c>
      <c r="M536" s="26" t="n">
        <f aca="false">IF(INDEX(Pengaturan!$B$8:$B$27,M$4)="",0,COUNTIF(Data!$B536:$U536,INDEX(Pengaturan!$B$8:$B$27,M$4)))</f>
        <v>0</v>
      </c>
      <c r="N536" s="26" t="n">
        <f aca="false">IF(INDEX(Pengaturan!$B$8:$B$27,N$4)="",0,COUNTIF(Data!$B536:$U536,INDEX(Pengaturan!$B$8:$B$27,N$4)))</f>
        <v>0</v>
      </c>
      <c r="O536" s="26" t="n">
        <f aca="false">IF(INDEX(Pengaturan!$B$8:$B$27,O$4)="",0,COUNTIF(Data!$B536:$U536,INDEX(Pengaturan!$B$8:$B$27,O$4)))</f>
        <v>0</v>
      </c>
      <c r="P536" s="26" t="n">
        <f aca="false">IF(INDEX(Pengaturan!$B$8:$B$27,P$4)="",0,COUNTIF(Data!$B536:$U536,INDEX(Pengaturan!$B$8:$B$27,P$4)))</f>
        <v>0</v>
      </c>
      <c r="Q536" s="26" t="n">
        <f aca="false">IF(INDEX(Pengaturan!$B$8:$B$27,Q$4)="",0,COUNTIF(Data!$B536:$U536,INDEX(Pengaturan!$B$8:$B$27,Q$4)))</f>
        <v>0</v>
      </c>
      <c r="R536" s="26" t="n">
        <f aca="false">IF(INDEX(Pengaturan!$B$8:$B$27,R$4)="",0,COUNTIF(Data!$B536:$U536,INDEX(Pengaturan!$B$8:$B$27,R$4)))</f>
        <v>0</v>
      </c>
      <c r="S536" s="26" t="n">
        <f aca="false">IF(INDEX(Pengaturan!$B$8:$B$27,S$4)="",0,COUNTIF(Data!$B536:$U536,INDEX(Pengaturan!$B$8:$B$27,S$4)))</f>
        <v>0</v>
      </c>
      <c r="T536" s="26" t="n">
        <f aca="false">IF(INDEX(Pengaturan!$B$8:$B$27,T$4)="",0,COUNTIF(Data!$B536:$U536,INDEX(Pengaturan!$B$8:$B$27,T$4)))</f>
        <v>0</v>
      </c>
      <c r="U536" s="26" t="n">
        <f aca="false">IF(INDEX(Pengaturan!$B$8:$B$27,U$4)="",0,COUNTIF(Data!$B536:$U536,INDEX(Pengaturan!$B$8:$B$27,U$4)))</f>
        <v>0</v>
      </c>
      <c r="V536" s="26" t="n">
        <f aca="false">COUNTA(Data!$B536:$U536)</f>
        <v>0</v>
      </c>
      <c r="W536" s="27" t="str">
        <f aca="false">IF(V536=0,"",IF(V536&lt;&gt;Hasil!$C$4,"Data kosong/tidak lengkap",IF(SUM(B536:U536)&lt;&gt;V536,"Kategori tidak dikenal","OK")))</f>
        <v/>
      </c>
      <c r="X536" s="26" t="n">
        <f aca="false">IF(OR(W536="",W536="OK"),0,1)</f>
        <v>0</v>
      </c>
    </row>
    <row r="537" customFormat="false" ht="15" hidden="false" customHeight="false" outlineLevel="0" collapsed="false">
      <c r="A537" s="26" t="n">
        <f aca="false">Data!A537</f>
        <v>532</v>
      </c>
      <c r="B537" s="26" t="n">
        <f aca="false">IF(INDEX(Pengaturan!$B$8:$B$27,B$4)="",0,COUNTIF(Data!$B537:$U537,INDEX(Pengaturan!$B$8:$B$27,B$4)))</f>
        <v>0</v>
      </c>
      <c r="C537" s="26" t="n">
        <f aca="false">IF(INDEX(Pengaturan!$B$8:$B$27,C$4)="",0,COUNTIF(Data!$B537:$U537,INDEX(Pengaturan!$B$8:$B$27,C$4)))</f>
        <v>0</v>
      </c>
      <c r="D537" s="26" t="n">
        <f aca="false">IF(INDEX(Pengaturan!$B$8:$B$27,D$4)="",0,COUNTIF(Data!$B537:$U537,INDEX(Pengaturan!$B$8:$B$27,D$4)))</f>
        <v>0</v>
      </c>
      <c r="E537" s="26" t="n">
        <f aca="false">IF(INDEX(Pengaturan!$B$8:$B$27,E$4)="",0,COUNTIF(Data!$B537:$U537,INDEX(Pengaturan!$B$8:$B$27,E$4)))</f>
        <v>0</v>
      </c>
      <c r="F537" s="26" t="n">
        <f aca="false">IF(INDEX(Pengaturan!$B$8:$B$27,F$4)="",0,COUNTIF(Data!$B537:$U537,INDEX(Pengaturan!$B$8:$B$27,F$4)))</f>
        <v>0</v>
      </c>
      <c r="G537" s="26" t="n">
        <f aca="false">IF(INDEX(Pengaturan!$B$8:$B$27,G$4)="",0,COUNTIF(Data!$B537:$U537,INDEX(Pengaturan!$B$8:$B$27,G$4)))</f>
        <v>0</v>
      </c>
      <c r="H537" s="26" t="n">
        <f aca="false">IF(INDEX(Pengaturan!$B$8:$B$27,H$4)="",0,COUNTIF(Data!$B537:$U537,INDEX(Pengaturan!$B$8:$B$27,H$4)))</f>
        <v>0</v>
      </c>
      <c r="I537" s="26" t="n">
        <f aca="false">IF(INDEX(Pengaturan!$B$8:$B$27,I$4)="",0,COUNTIF(Data!$B537:$U537,INDEX(Pengaturan!$B$8:$B$27,I$4)))</f>
        <v>0</v>
      </c>
      <c r="J537" s="26" t="n">
        <f aca="false">IF(INDEX(Pengaturan!$B$8:$B$27,J$4)="",0,COUNTIF(Data!$B537:$U537,INDEX(Pengaturan!$B$8:$B$27,J$4)))</f>
        <v>0</v>
      </c>
      <c r="K537" s="26" t="n">
        <f aca="false">IF(INDEX(Pengaturan!$B$8:$B$27,K$4)="",0,COUNTIF(Data!$B537:$U537,INDEX(Pengaturan!$B$8:$B$27,K$4)))</f>
        <v>0</v>
      </c>
      <c r="L537" s="26" t="n">
        <f aca="false">IF(INDEX(Pengaturan!$B$8:$B$27,L$4)="",0,COUNTIF(Data!$B537:$U537,INDEX(Pengaturan!$B$8:$B$27,L$4)))</f>
        <v>0</v>
      </c>
      <c r="M537" s="26" t="n">
        <f aca="false">IF(INDEX(Pengaturan!$B$8:$B$27,M$4)="",0,COUNTIF(Data!$B537:$U537,INDEX(Pengaturan!$B$8:$B$27,M$4)))</f>
        <v>0</v>
      </c>
      <c r="N537" s="26" t="n">
        <f aca="false">IF(INDEX(Pengaturan!$B$8:$B$27,N$4)="",0,COUNTIF(Data!$B537:$U537,INDEX(Pengaturan!$B$8:$B$27,N$4)))</f>
        <v>0</v>
      </c>
      <c r="O537" s="26" t="n">
        <f aca="false">IF(INDEX(Pengaturan!$B$8:$B$27,O$4)="",0,COUNTIF(Data!$B537:$U537,INDEX(Pengaturan!$B$8:$B$27,O$4)))</f>
        <v>0</v>
      </c>
      <c r="P537" s="26" t="n">
        <f aca="false">IF(INDEX(Pengaturan!$B$8:$B$27,P$4)="",0,COUNTIF(Data!$B537:$U537,INDEX(Pengaturan!$B$8:$B$27,P$4)))</f>
        <v>0</v>
      </c>
      <c r="Q537" s="26" t="n">
        <f aca="false">IF(INDEX(Pengaturan!$B$8:$B$27,Q$4)="",0,COUNTIF(Data!$B537:$U537,INDEX(Pengaturan!$B$8:$B$27,Q$4)))</f>
        <v>0</v>
      </c>
      <c r="R537" s="26" t="n">
        <f aca="false">IF(INDEX(Pengaturan!$B$8:$B$27,R$4)="",0,COUNTIF(Data!$B537:$U537,INDEX(Pengaturan!$B$8:$B$27,R$4)))</f>
        <v>0</v>
      </c>
      <c r="S537" s="26" t="n">
        <f aca="false">IF(INDEX(Pengaturan!$B$8:$B$27,S$4)="",0,COUNTIF(Data!$B537:$U537,INDEX(Pengaturan!$B$8:$B$27,S$4)))</f>
        <v>0</v>
      </c>
      <c r="T537" s="26" t="n">
        <f aca="false">IF(INDEX(Pengaturan!$B$8:$B$27,T$4)="",0,COUNTIF(Data!$B537:$U537,INDEX(Pengaturan!$B$8:$B$27,T$4)))</f>
        <v>0</v>
      </c>
      <c r="U537" s="26" t="n">
        <f aca="false">IF(INDEX(Pengaturan!$B$8:$B$27,U$4)="",0,COUNTIF(Data!$B537:$U537,INDEX(Pengaturan!$B$8:$B$27,U$4)))</f>
        <v>0</v>
      </c>
      <c r="V537" s="26" t="n">
        <f aca="false">COUNTA(Data!$B537:$U537)</f>
        <v>0</v>
      </c>
      <c r="W537" s="27" t="str">
        <f aca="false">IF(V537=0,"",IF(V537&lt;&gt;Hasil!$C$4,"Data kosong/tidak lengkap",IF(SUM(B537:U537)&lt;&gt;V537,"Kategori tidak dikenal","OK")))</f>
        <v/>
      </c>
      <c r="X537" s="26" t="n">
        <f aca="false">IF(OR(W537="",W537="OK"),0,1)</f>
        <v>0</v>
      </c>
    </row>
    <row r="538" customFormat="false" ht="15" hidden="false" customHeight="false" outlineLevel="0" collapsed="false">
      <c r="A538" s="26" t="n">
        <f aca="false">Data!A538</f>
        <v>533</v>
      </c>
      <c r="B538" s="26" t="n">
        <f aca="false">IF(INDEX(Pengaturan!$B$8:$B$27,B$4)="",0,COUNTIF(Data!$B538:$U538,INDEX(Pengaturan!$B$8:$B$27,B$4)))</f>
        <v>0</v>
      </c>
      <c r="C538" s="26" t="n">
        <f aca="false">IF(INDEX(Pengaturan!$B$8:$B$27,C$4)="",0,COUNTIF(Data!$B538:$U538,INDEX(Pengaturan!$B$8:$B$27,C$4)))</f>
        <v>0</v>
      </c>
      <c r="D538" s="26" t="n">
        <f aca="false">IF(INDEX(Pengaturan!$B$8:$B$27,D$4)="",0,COUNTIF(Data!$B538:$U538,INDEX(Pengaturan!$B$8:$B$27,D$4)))</f>
        <v>0</v>
      </c>
      <c r="E538" s="26" t="n">
        <f aca="false">IF(INDEX(Pengaturan!$B$8:$B$27,E$4)="",0,COUNTIF(Data!$B538:$U538,INDEX(Pengaturan!$B$8:$B$27,E$4)))</f>
        <v>0</v>
      </c>
      <c r="F538" s="26" t="n">
        <f aca="false">IF(INDEX(Pengaturan!$B$8:$B$27,F$4)="",0,COUNTIF(Data!$B538:$U538,INDEX(Pengaturan!$B$8:$B$27,F$4)))</f>
        <v>0</v>
      </c>
      <c r="G538" s="26" t="n">
        <f aca="false">IF(INDEX(Pengaturan!$B$8:$B$27,G$4)="",0,COUNTIF(Data!$B538:$U538,INDEX(Pengaturan!$B$8:$B$27,G$4)))</f>
        <v>0</v>
      </c>
      <c r="H538" s="26" t="n">
        <f aca="false">IF(INDEX(Pengaturan!$B$8:$B$27,H$4)="",0,COUNTIF(Data!$B538:$U538,INDEX(Pengaturan!$B$8:$B$27,H$4)))</f>
        <v>0</v>
      </c>
      <c r="I538" s="26" t="n">
        <f aca="false">IF(INDEX(Pengaturan!$B$8:$B$27,I$4)="",0,COUNTIF(Data!$B538:$U538,INDEX(Pengaturan!$B$8:$B$27,I$4)))</f>
        <v>0</v>
      </c>
      <c r="J538" s="26" t="n">
        <f aca="false">IF(INDEX(Pengaturan!$B$8:$B$27,J$4)="",0,COUNTIF(Data!$B538:$U538,INDEX(Pengaturan!$B$8:$B$27,J$4)))</f>
        <v>0</v>
      </c>
      <c r="K538" s="26" t="n">
        <f aca="false">IF(INDEX(Pengaturan!$B$8:$B$27,K$4)="",0,COUNTIF(Data!$B538:$U538,INDEX(Pengaturan!$B$8:$B$27,K$4)))</f>
        <v>0</v>
      </c>
      <c r="L538" s="26" t="n">
        <f aca="false">IF(INDEX(Pengaturan!$B$8:$B$27,L$4)="",0,COUNTIF(Data!$B538:$U538,INDEX(Pengaturan!$B$8:$B$27,L$4)))</f>
        <v>0</v>
      </c>
      <c r="M538" s="26" t="n">
        <f aca="false">IF(INDEX(Pengaturan!$B$8:$B$27,M$4)="",0,COUNTIF(Data!$B538:$U538,INDEX(Pengaturan!$B$8:$B$27,M$4)))</f>
        <v>0</v>
      </c>
      <c r="N538" s="26" t="n">
        <f aca="false">IF(INDEX(Pengaturan!$B$8:$B$27,N$4)="",0,COUNTIF(Data!$B538:$U538,INDEX(Pengaturan!$B$8:$B$27,N$4)))</f>
        <v>0</v>
      </c>
      <c r="O538" s="26" t="n">
        <f aca="false">IF(INDEX(Pengaturan!$B$8:$B$27,O$4)="",0,COUNTIF(Data!$B538:$U538,INDEX(Pengaturan!$B$8:$B$27,O$4)))</f>
        <v>0</v>
      </c>
      <c r="P538" s="26" t="n">
        <f aca="false">IF(INDEX(Pengaturan!$B$8:$B$27,P$4)="",0,COUNTIF(Data!$B538:$U538,INDEX(Pengaturan!$B$8:$B$27,P$4)))</f>
        <v>0</v>
      </c>
      <c r="Q538" s="26" t="n">
        <f aca="false">IF(INDEX(Pengaturan!$B$8:$B$27,Q$4)="",0,COUNTIF(Data!$B538:$U538,INDEX(Pengaturan!$B$8:$B$27,Q$4)))</f>
        <v>0</v>
      </c>
      <c r="R538" s="26" t="n">
        <f aca="false">IF(INDEX(Pengaturan!$B$8:$B$27,R$4)="",0,COUNTIF(Data!$B538:$U538,INDEX(Pengaturan!$B$8:$B$27,R$4)))</f>
        <v>0</v>
      </c>
      <c r="S538" s="26" t="n">
        <f aca="false">IF(INDEX(Pengaturan!$B$8:$B$27,S$4)="",0,COUNTIF(Data!$B538:$U538,INDEX(Pengaturan!$B$8:$B$27,S$4)))</f>
        <v>0</v>
      </c>
      <c r="T538" s="26" t="n">
        <f aca="false">IF(INDEX(Pengaturan!$B$8:$B$27,T$4)="",0,COUNTIF(Data!$B538:$U538,INDEX(Pengaturan!$B$8:$B$27,T$4)))</f>
        <v>0</v>
      </c>
      <c r="U538" s="26" t="n">
        <f aca="false">IF(INDEX(Pengaturan!$B$8:$B$27,U$4)="",0,COUNTIF(Data!$B538:$U538,INDEX(Pengaturan!$B$8:$B$27,U$4)))</f>
        <v>0</v>
      </c>
      <c r="V538" s="26" t="n">
        <f aca="false">COUNTA(Data!$B538:$U538)</f>
        <v>0</v>
      </c>
      <c r="W538" s="27" t="str">
        <f aca="false">IF(V538=0,"",IF(V538&lt;&gt;Hasil!$C$4,"Data kosong/tidak lengkap",IF(SUM(B538:U538)&lt;&gt;V538,"Kategori tidak dikenal","OK")))</f>
        <v/>
      </c>
      <c r="X538" s="26" t="n">
        <f aca="false">IF(OR(W538="",W538="OK"),0,1)</f>
        <v>0</v>
      </c>
    </row>
    <row r="539" customFormat="false" ht="15" hidden="false" customHeight="false" outlineLevel="0" collapsed="false">
      <c r="A539" s="26" t="n">
        <f aca="false">Data!A539</f>
        <v>534</v>
      </c>
      <c r="B539" s="26" t="n">
        <f aca="false">IF(INDEX(Pengaturan!$B$8:$B$27,B$4)="",0,COUNTIF(Data!$B539:$U539,INDEX(Pengaturan!$B$8:$B$27,B$4)))</f>
        <v>0</v>
      </c>
      <c r="C539" s="26" t="n">
        <f aca="false">IF(INDEX(Pengaturan!$B$8:$B$27,C$4)="",0,COUNTIF(Data!$B539:$U539,INDEX(Pengaturan!$B$8:$B$27,C$4)))</f>
        <v>0</v>
      </c>
      <c r="D539" s="26" t="n">
        <f aca="false">IF(INDEX(Pengaturan!$B$8:$B$27,D$4)="",0,COUNTIF(Data!$B539:$U539,INDEX(Pengaturan!$B$8:$B$27,D$4)))</f>
        <v>0</v>
      </c>
      <c r="E539" s="26" t="n">
        <f aca="false">IF(INDEX(Pengaturan!$B$8:$B$27,E$4)="",0,COUNTIF(Data!$B539:$U539,INDEX(Pengaturan!$B$8:$B$27,E$4)))</f>
        <v>0</v>
      </c>
      <c r="F539" s="26" t="n">
        <f aca="false">IF(INDEX(Pengaturan!$B$8:$B$27,F$4)="",0,COUNTIF(Data!$B539:$U539,INDEX(Pengaturan!$B$8:$B$27,F$4)))</f>
        <v>0</v>
      </c>
      <c r="G539" s="26" t="n">
        <f aca="false">IF(INDEX(Pengaturan!$B$8:$B$27,G$4)="",0,COUNTIF(Data!$B539:$U539,INDEX(Pengaturan!$B$8:$B$27,G$4)))</f>
        <v>0</v>
      </c>
      <c r="H539" s="26" t="n">
        <f aca="false">IF(INDEX(Pengaturan!$B$8:$B$27,H$4)="",0,COUNTIF(Data!$B539:$U539,INDEX(Pengaturan!$B$8:$B$27,H$4)))</f>
        <v>0</v>
      </c>
      <c r="I539" s="26" t="n">
        <f aca="false">IF(INDEX(Pengaturan!$B$8:$B$27,I$4)="",0,COUNTIF(Data!$B539:$U539,INDEX(Pengaturan!$B$8:$B$27,I$4)))</f>
        <v>0</v>
      </c>
      <c r="J539" s="26" t="n">
        <f aca="false">IF(INDEX(Pengaturan!$B$8:$B$27,J$4)="",0,COUNTIF(Data!$B539:$U539,INDEX(Pengaturan!$B$8:$B$27,J$4)))</f>
        <v>0</v>
      </c>
      <c r="K539" s="26" t="n">
        <f aca="false">IF(INDEX(Pengaturan!$B$8:$B$27,K$4)="",0,COUNTIF(Data!$B539:$U539,INDEX(Pengaturan!$B$8:$B$27,K$4)))</f>
        <v>0</v>
      </c>
      <c r="L539" s="26" t="n">
        <f aca="false">IF(INDEX(Pengaturan!$B$8:$B$27,L$4)="",0,COUNTIF(Data!$B539:$U539,INDEX(Pengaturan!$B$8:$B$27,L$4)))</f>
        <v>0</v>
      </c>
      <c r="M539" s="26" t="n">
        <f aca="false">IF(INDEX(Pengaturan!$B$8:$B$27,M$4)="",0,COUNTIF(Data!$B539:$U539,INDEX(Pengaturan!$B$8:$B$27,M$4)))</f>
        <v>0</v>
      </c>
      <c r="N539" s="26" t="n">
        <f aca="false">IF(INDEX(Pengaturan!$B$8:$B$27,N$4)="",0,COUNTIF(Data!$B539:$U539,INDEX(Pengaturan!$B$8:$B$27,N$4)))</f>
        <v>0</v>
      </c>
      <c r="O539" s="26" t="n">
        <f aca="false">IF(INDEX(Pengaturan!$B$8:$B$27,O$4)="",0,COUNTIF(Data!$B539:$U539,INDEX(Pengaturan!$B$8:$B$27,O$4)))</f>
        <v>0</v>
      </c>
      <c r="P539" s="26" t="n">
        <f aca="false">IF(INDEX(Pengaturan!$B$8:$B$27,P$4)="",0,COUNTIF(Data!$B539:$U539,INDEX(Pengaturan!$B$8:$B$27,P$4)))</f>
        <v>0</v>
      </c>
      <c r="Q539" s="26" t="n">
        <f aca="false">IF(INDEX(Pengaturan!$B$8:$B$27,Q$4)="",0,COUNTIF(Data!$B539:$U539,INDEX(Pengaturan!$B$8:$B$27,Q$4)))</f>
        <v>0</v>
      </c>
      <c r="R539" s="26" t="n">
        <f aca="false">IF(INDEX(Pengaturan!$B$8:$B$27,R$4)="",0,COUNTIF(Data!$B539:$U539,INDEX(Pengaturan!$B$8:$B$27,R$4)))</f>
        <v>0</v>
      </c>
      <c r="S539" s="26" t="n">
        <f aca="false">IF(INDEX(Pengaturan!$B$8:$B$27,S$4)="",0,COUNTIF(Data!$B539:$U539,INDEX(Pengaturan!$B$8:$B$27,S$4)))</f>
        <v>0</v>
      </c>
      <c r="T539" s="26" t="n">
        <f aca="false">IF(INDEX(Pengaturan!$B$8:$B$27,T$4)="",0,COUNTIF(Data!$B539:$U539,INDEX(Pengaturan!$B$8:$B$27,T$4)))</f>
        <v>0</v>
      </c>
      <c r="U539" s="26" t="n">
        <f aca="false">IF(INDEX(Pengaturan!$B$8:$B$27,U$4)="",0,COUNTIF(Data!$B539:$U539,INDEX(Pengaturan!$B$8:$B$27,U$4)))</f>
        <v>0</v>
      </c>
      <c r="V539" s="26" t="n">
        <f aca="false">COUNTA(Data!$B539:$U539)</f>
        <v>0</v>
      </c>
      <c r="W539" s="27" t="str">
        <f aca="false">IF(V539=0,"",IF(V539&lt;&gt;Hasil!$C$4,"Data kosong/tidak lengkap",IF(SUM(B539:U539)&lt;&gt;V539,"Kategori tidak dikenal","OK")))</f>
        <v/>
      </c>
      <c r="X539" s="26" t="n">
        <f aca="false">IF(OR(W539="",W539="OK"),0,1)</f>
        <v>0</v>
      </c>
    </row>
    <row r="540" customFormat="false" ht="15" hidden="false" customHeight="false" outlineLevel="0" collapsed="false">
      <c r="A540" s="26" t="n">
        <f aca="false">Data!A540</f>
        <v>535</v>
      </c>
      <c r="B540" s="26" t="n">
        <f aca="false">IF(INDEX(Pengaturan!$B$8:$B$27,B$4)="",0,COUNTIF(Data!$B540:$U540,INDEX(Pengaturan!$B$8:$B$27,B$4)))</f>
        <v>0</v>
      </c>
      <c r="C540" s="26" t="n">
        <f aca="false">IF(INDEX(Pengaturan!$B$8:$B$27,C$4)="",0,COUNTIF(Data!$B540:$U540,INDEX(Pengaturan!$B$8:$B$27,C$4)))</f>
        <v>0</v>
      </c>
      <c r="D540" s="26" t="n">
        <f aca="false">IF(INDEX(Pengaturan!$B$8:$B$27,D$4)="",0,COUNTIF(Data!$B540:$U540,INDEX(Pengaturan!$B$8:$B$27,D$4)))</f>
        <v>0</v>
      </c>
      <c r="E540" s="26" t="n">
        <f aca="false">IF(INDEX(Pengaturan!$B$8:$B$27,E$4)="",0,COUNTIF(Data!$B540:$U540,INDEX(Pengaturan!$B$8:$B$27,E$4)))</f>
        <v>0</v>
      </c>
      <c r="F540" s="26" t="n">
        <f aca="false">IF(INDEX(Pengaturan!$B$8:$B$27,F$4)="",0,COUNTIF(Data!$B540:$U540,INDEX(Pengaturan!$B$8:$B$27,F$4)))</f>
        <v>0</v>
      </c>
      <c r="G540" s="26" t="n">
        <f aca="false">IF(INDEX(Pengaturan!$B$8:$B$27,G$4)="",0,COUNTIF(Data!$B540:$U540,INDEX(Pengaturan!$B$8:$B$27,G$4)))</f>
        <v>0</v>
      </c>
      <c r="H540" s="26" t="n">
        <f aca="false">IF(INDEX(Pengaturan!$B$8:$B$27,H$4)="",0,COUNTIF(Data!$B540:$U540,INDEX(Pengaturan!$B$8:$B$27,H$4)))</f>
        <v>0</v>
      </c>
      <c r="I540" s="26" t="n">
        <f aca="false">IF(INDEX(Pengaturan!$B$8:$B$27,I$4)="",0,COUNTIF(Data!$B540:$U540,INDEX(Pengaturan!$B$8:$B$27,I$4)))</f>
        <v>0</v>
      </c>
      <c r="J540" s="26" t="n">
        <f aca="false">IF(INDEX(Pengaturan!$B$8:$B$27,J$4)="",0,COUNTIF(Data!$B540:$U540,INDEX(Pengaturan!$B$8:$B$27,J$4)))</f>
        <v>0</v>
      </c>
      <c r="K540" s="26" t="n">
        <f aca="false">IF(INDEX(Pengaturan!$B$8:$B$27,K$4)="",0,COUNTIF(Data!$B540:$U540,INDEX(Pengaturan!$B$8:$B$27,K$4)))</f>
        <v>0</v>
      </c>
      <c r="L540" s="26" t="n">
        <f aca="false">IF(INDEX(Pengaturan!$B$8:$B$27,L$4)="",0,COUNTIF(Data!$B540:$U540,INDEX(Pengaturan!$B$8:$B$27,L$4)))</f>
        <v>0</v>
      </c>
      <c r="M540" s="26" t="n">
        <f aca="false">IF(INDEX(Pengaturan!$B$8:$B$27,M$4)="",0,COUNTIF(Data!$B540:$U540,INDEX(Pengaturan!$B$8:$B$27,M$4)))</f>
        <v>0</v>
      </c>
      <c r="N540" s="26" t="n">
        <f aca="false">IF(INDEX(Pengaturan!$B$8:$B$27,N$4)="",0,COUNTIF(Data!$B540:$U540,INDEX(Pengaturan!$B$8:$B$27,N$4)))</f>
        <v>0</v>
      </c>
      <c r="O540" s="26" t="n">
        <f aca="false">IF(INDEX(Pengaturan!$B$8:$B$27,O$4)="",0,COUNTIF(Data!$B540:$U540,INDEX(Pengaturan!$B$8:$B$27,O$4)))</f>
        <v>0</v>
      </c>
      <c r="P540" s="26" t="n">
        <f aca="false">IF(INDEX(Pengaturan!$B$8:$B$27,P$4)="",0,COUNTIF(Data!$B540:$U540,INDEX(Pengaturan!$B$8:$B$27,P$4)))</f>
        <v>0</v>
      </c>
      <c r="Q540" s="26" t="n">
        <f aca="false">IF(INDEX(Pengaturan!$B$8:$B$27,Q$4)="",0,COUNTIF(Data!$B540:$U540,INDEX(Pengaturan!$B$8:$B$27,Q$4)))</f>
        <v>0</v>
      </c>
      <c r="R540" s="26" t="n">
        <f aca="false">IF(INDEX(Pengaturan!$B$8:$B$27,R$4)="",0,COUNTIF(Data!$B540:$U540,INDEX(Pengaturan!$B$8:$B$27,R$4)))</f>
        <v>0</v>
      </c>
      <c r="S540" s="26" t="n">
        <f aca="false">IF(INDEX(Pengaturan!$B$8:$B$27,S$4)="",0,COUNTIF(Data!$B540:$U540,INDEX(Pengaturan!$B$8:$B$27,S$4)))</f>
        <v>0</v>
      </c>
      <c r="T540" s="26" t="n">
        <f aca="false">IF(INDEX(Pengaturan!$B$8:$B$27,T$4)="",0,COUNTIF(Data!$B540:$U540,INDEX(Pengaturan!$B$8:$B$27,T$4)))</f>
        <v>0</v>
      </c>
      <c r="U540" s="26" t="n">
        <f aca="false">IF(INDEX(Pengaturan!$B$8:$B$27,U$4)="",0,COUNTIF(Data!$B540:$U540,INDEX(Pengaturan!$B$8:$B$27,U$4)))</f>
        <v>0</v>
      </c>
      <c r="V540" s="26" t="n">
        <f aca="false">COUNTA(Data!$B540:$U540)</f>
        <v>0</v>
      </c>
      <c r="W540" s="27" t="str">
        <f aca="false">IF(V540=0,"",IF(V540&lt;&gt;Hasil!$C$4,"Data kosong/tidak lengkap",IF(SUM(B540:U540)&lt;&gt;V540,"Kategori tidak dikenal","OK")))</f>
        <v/>
      </c>
      <c r="X540" s="26" t="n">
        <f aca="false">IF(OR(W540="",W540="OK"),0,1)</f>
        <v>0</v>
      </c>
    </row>
    <row r="541" customFormat="false" ht="15" hidden="false" customHeight="false" outlineLevel="0" collapsed="false">
      <c r="A541" s="26" t="n">
        <f aca="false">Data!A541</f>
        <v>536</v>
      </c>
      <c r="B541" s="26" t="n">
        <f aca="false">IF(INDEX(Pengaturan!$B$8:$B$27,B$4)="",0,COUNTIF(Data!$B541:$U541,INDEX(Pengaturan!$B$8:$B$27,B$4)))</f>
        <v>0</v>
      </c>
      <c r="C541" s="26" t="n">
        <f aca="false">IF(INDEX(Pengaturan!$B$8:$B$27,C$4)="",0,COUNTIF(Data!$B541:$U541,INDEX(Pengaturan!$B$8:$B$27,C$4)))</f>
        <v>0</v>
      </c>
      <c r="D541" s="26" t="n">
        <f aca="false">IF(INDEX(Pengaturan!$B$8:$B$27,D$4)="",0,COUNTIF(Data!$B541:$U541,INDEX(Pengaturan!$B$8:$B$27,D$4)))</f>
        <v>0</v>
      </c>
      <c r="E541" s="26" t="n">
        <f aca="false">IF(INDEX(Pengaturan!$B$8:$B$27,E$4)="",0,COUNTIF(Data!$B541:$U541,INDEX(Pengaturan!$B$8:$B$27,E$4)))</f>
        <v>0</v>
      </c>
      <c r="F541" s="26" t="n">
        <f aca="false">IF(INDEX(Pengaturan!$B$8:$B$27,F$4)="",0,COUNTIF(Data!$B541:$U541,INDEX(Pengaturan!$B$8:$B$27,F$4)))</f>
        <v>0</v>
      </c>
      <c r="G541" s="26" t="n">
        <f aca="false">IF(INDEX(Pengaturan!$B$8:$B$27,G$4)="",0,COUNTIF(Data!$B541:$U541,INDEX(Pengaturan!$B$8:$B$27,G$4)))</f>
        <v>0</v>
      </c>
      <c r="H541" s="26" t="n">
        <f aca="false">IF(INDEX(Pengaturan!$B$8:$B$27,H$4)="",0,COUNTIF(Data!$B541:$U541,INDEX(Pengaturan!$B$8:$B$27,H$4)))</f>
        <v>0</v>
      </c>
      <c r="I541" s="26" t="n">
        <f aca="false">IF(INDEX(Pengaturan!$B$8:$B$27,I$4)="",0,COUNTIF(Data!$B541:$U541,INDEX(Pengaturan!$B$8:$B$27,I$4)))</f>
        <v>0</v>
      </c>
      <c r="J541" s="26" t="n">
        <f aca="false">IF(INDEX(Pengaturan!$B$8:$B$27,J$4)="",0,COUNTIF(Data!$B541:$U541,INDEX(Pengaturan!$B$8:$B$27,J$4)))</f>
        <v>0</v>
      </c>
      <c r="K541" s="26" t="n">
        <f aca="false">IF(INDEX(Pengaturan!$B$8:$B$27,K$4)="",0,COUNTIF(Data!$B541:$U541,INDEX(Pengaturan!$B$8:$B$27,K$4)))</f>
        <v>0</v>
      </c>
      <c r="L541" s="26" t="n">
        <f aca="false">IF(INDEX(Pengaturan!$B$8:$B$27,L$4)="",0,COUNTIF(Data!$B541:$U541,INDEX(Pengaturan!$B$8:$B$27,L$4)))</f>
        <v>0</v>
      </c>
      <c r="M541" s="26" t="n">
        <f aca="false">IF(INDEX(Pengaturan!$B$8:$B$27,M$4)="",0,COUNTIF(Data!$B541:$U541,INDEX(Pengaturan!$B$8:$B$27,M$4)))</f>
        <v>0</v>
      </c>
      <c r="N541" s="26" t="n">
        <f aca="false">IF(INDEX(Pengaturan!$B$8:$B$27,N$4)="",0,COUNTIF(Data!$B541:$U541,INDEX(Pengaturan!$B$8:$B$27,N$4)))</f>
        <v>0</v>
      </c>
      <c r="O541" s="26" t="n">
        <f aca="false">IF(INDEX(Pengaturan!$B$8:$B$27,O$4)="",0,COUNTIF(Data!$B541:$U541,INDEX(Pengaturan!$B$8:$B$27,O$4)))</f>
        <v>0</v>
      </c>
      <c r="P541" s="26" t="n">
        <f aca="false">IF(INDEX(Pengaturan!$B$8:$B$27,P$4)="",0,COUNTIF(Data!$B541:$U541,INDEX(Pengaturan!$B$8:$B$27,P$4)))</f>
        <v>0</v>
      </c>
      <c r="Q541" s="26" t="n">
        <f aca="false">IF(INDEX(Pengaturan!$B$8:$B$27,Q$4)="",0,COUNTIF(Data!$B541:$U541,INDEX(Pengaturan!$B$8:$B$27,Q$4)))</f>
        <v>0</v>
      </c>
      <c r="R541" s="26" t="n">
        <f aca="false">IF(INDEX(Pengaturan!$B$8:$B$27,R$4)="",0,COUNTIF(Data!$B541:$U541,INDEX(Pengaturan!$B$8:$B$27,R$4)))</f>
        <v>0</v>
      </c>
      <c r="S541" s="26" t="n">
        <f aca="false">IF(INDEX(Pengaturan!$B$8:$B$27,S$4)="",0,COUNTIF(Data!$B541:$U541,INDEX(Pengaturan!$B$8:$B$27,S$4)))</f>
        <v>0</v>
      </c>
      <c r="T541" s="26" t="n">
        <f aca="false">IF(INDEX(Pengaturan!$B$8:$B$27,T$4)="",0,COUNTIF(Data!$B541:$U541,INDEX(Pengaturan!$B$8:$B$27,T$4)))</f>
        <v>0</v>
      </c>
      <c r="U541" s="26" t="n">
        <f aca="false">IF(INDEX(Pengaturan!$B$8:$B$27,U$4)="",0,COUNTIF(Data!$B541:$U541,INDEX(Pengaturan!$B$8:$B$27,U$4)))</f>
        <v>0</v>
      </c>
      <c r="V541" s="26" t="n">
        <f aca="false">COUNTA(Data!$B541:$U541)</f>
        <v>0</v>
      </c>
      <c r="W541" s="27" t="str">
        <f aca="false">IF(V541=0,"",IF(V541&lt;&gt;Hasil!$C$4,"Data kosong/tidak lengkap",IF(SUM(B541:U541)&lt;&gt;V541,"Kategori tidak dikenal","OK")))</f>
        <v/>
      </c>
      <c r="X541" s="26" t="n">
        <f aca="false">IF(OR(W541="",W541="OK"),0,1)</f>
        <v>0</v>
      </c>
    </row>
    <row r="542" customFormat="false" ht="15" hidden="false" customHeight="false" outlineLevel="0" collapsed="false">
      <c r="A542" s="26" t="n">
        <f aca="false">Data!A542</f>
        <v>537</v>
      </c>
      <c r="B542" s="26" t="n">
        <f aca="false">IF(INDEX(Pengaturan!$B$8:$B$27,B$4)="",0,COUNTIF(Data!$B542:$U542,INDEX(Pengaturan!$B$8:$B$27,B$4)))</f>
        <v>0</v>
      </c>
      <c r="C542" s="26" t="n">
        <f aca="false">IF(INDEX(Pengaturan!$B$8:$B$27,C$4)="",0,COUNTIF(Data!$B542:$U542,INDEX(Pengaturan!$B$8:$B$27,C$4)))</f>
        <v>0</v>
      </c>
      <c r="D542" s="26" t="n">
        <f aca="false">IF(INDEX(Pengaturan!$B$8:$B$27,D$4)="",0,COUNTIF(Data!$B542:$U542,INDEX(Pengaturan!$B$8:$B$27,D$4)))</f>
        <v>0</v>
      </c>
      <c r="E542" s="26" t="n">
        <f aca="false">IF(INDEX(Pengaturan!$B$8:$B$27,E$4)="",0,COUNTIF(Data!$B542:$U542,INDEX(Pengaturan!$B$8:$B$27,E$4)))</f>
        <v>0</v>
      </c>
      <c r="F542" s="26" t="n">
        <f aca="false">IF(INDEX(Pengaturan!$B$8:$B$27,F$4)="",0,COUNTIF(Data!$B542:$U542,INDEX(Pengaturan!$B$8:$B$27,F$4)))</f>
        <v>0</v>
      </c>
      <c r="G542" s="26" t="n">
        <f aca="false">IF(INDEX(Pengaturan!$B$8:$B$27,G$4)="",0,COUNTIF(Data!$B542:$U542,INDEX(Pengaturan!$B$8:$B$27,G$4)))</f>
        <v>0</v>
      </c>
      <c r="H542" s="26" t="n">
        <f aca="false">IF(INDEX(Pengaturan!$B$8:$B$27,H$4)="",0,COUNTIF(Data!$B542:$U542,INDEX(Pengaturan!$B$8:$B$27,H$4)))</f>
        <v>0</v>
      </c>
      <c r="I542" s="26" t="n">
        <f aca="false">IF(INDEX(Pengaturan!$B$8:$B$27,I$4)="",0,COUNTIF(Data!$B542:$U542,INDEX(Pengaturan!$B$8:$B$27,I$4)))</f>
        <v>0</v>
      </c>
      <c r="J542" s="26" t="n">
        <f aca="false">IF(INDEX(Pengaturan!$B$8:$B$27,J$4)="",0,COUNTIF(Data!$B542:$U542,INDEX(Pengaturan!$B$8:$B$27,J$4)))</f>
        <v>0</v>
      </c>
      <c r="K542" s="26" t="n">
        <f aca="false">IF(INDEX(Pengaturan!$B$8:$B$27,K$4)="",0,COUNTIF(Data!$B542:$U542,INDEX(Pengaturan!$B$8:$B$27,K$4)))</f>
        <v>0</v>
      </c>
      <c r="L542" s="26" t="n">
        <f aca="false">IF(INDEX(Pengaturan!$B$8:$B$27,L$4)="",0,COUNTIF(Data!$B542:$U542,INDEX(Pengaturan!$B$8:$B$27,L$4)))</f>
        <v>0</v>
      </c>
      <c r="M542" s="26" t="n">
        <f aca="false">IF(INDEX(Pengaturan!$B$8:$B$27,M$4)="",0,COUNTIF(Data!$B542:$U542,INDEX(Pengaturan!$B$8:$B$27,M$4)))</f>
        <v>0</v>
      </c>
      <c r="N542" s="26" t="n">
        <f aca="false">IF(INDEX(Pengaturan!$B$8:$B$27,N$4)="",0,COUNTIF(Data!$B542:$U542,INDEX(Pengaturan!$B$8:$B$27,N$4)))</f>
        <v>0</v>
      </c>
      <c r="O542" s="26" t="n">
        <f aca="false">IF(INDEX(Pengaturan!$B$8:$B$27,O$4)="",0,COUNTIF(Data!$B542:$U542,INDEX(Pengaturan!$B$8:$B$27,O$4)))</f>
        <v>0</v>
      </c>
      <c r="P542" s="26" t="n">
        <f aca="false">IF(INDEX(Pengaturan!$B$8:$B$27,P$4)="",0,COUNTIF(Data!$B542:$U542,INDEX(Pengaturan!$B$8:$B$27,P$4)))</f>
        <v>0</v>
      </c>
      <c r="Q542" s="26" t="n">
        <f aca="false">IF(INDEX(Pengaturan!$B$8:$B$27,Q$4)="",0,COUNTIF(Data!$B542:$U542,INDEX(Pengaturan!$B$8:$B$27,Q$4)))</f>
        <v>0</v>
      </c>
      <c r="R542" s="26" t="n">
        <f aca="false">IF(INDEX(Pengaturan!$B$8:$B$27,R$4)="",0,COUNTIF(Data!$B542:$U542,INDEX(Pengaturan!$B$8:$B$27,R$4)))</f>
        <v>0</v>
      </c>
      <c r="S542" s="26" t="n">
        <f aca="false">IF(INDEX(Pengaturan!$B$8:$B$27,S$4)="",0,COUNTIF(Data!$B542:$U542,INDEX(Pengaturan!$B$8:$B$27,S$4)))</f>
        <v>0</v>
      </c>
      <c r="T542" s="26" t="n">
        <f aca="false">IF(INDEX(Pengaturan!$B$8:$B$27,T$4)="",0,COUNTIF(Data!$B542:$U542,INDEX(Pengaturan!$B$8:$B$27,T$4)))</f>
        <v>0</v>
      </c>
      <c r="U542" s="26" t="n">
        <f aca="false">IF(INDEX(Pengaturan!$B$8:$B$27,U$4)="",0,COUNTIF(Data!$B542:$U542,INDEX(Pengaturan!$B$8:$B$27,U$4)))</f>
        <v>0</v>
      </c>
      <c r="V542" s="26" t="n">
        <f aca="false">COUNTA(Data!$B542:$U542)</f>
        <v>0</v>
      </c>
      <c r="W542" s="27" t="str">
        <f aca="false">IF(V542=0,"",IF(V542&lt;&gt;Hasil!$C$4,"Data kosong/tidak lengkap",IF(SUM(B542:U542)&lt;&gt;V542,"Kategori tidak dikenal","OK")))</f>
        <v/>
      </c>
      <c r="X542" s="26" t="n">
        <f aca="false">IF(OR(W542="",W542="OK"),0,1)</f>
        <v>0</v>
      </c>
    </row>
    <row r="543" customFormat="false" ht="15" hidden="false" customHeight="false" outlineLevel="0" collapsed="false">
      <c r="A543" s="26" t="n">
        <f aca="false">Data!A543</f>
        <v>538</v>
      </c>
      <c r="B543" s="26" t="n">
        <f aca="false">IF(INDEX(Pengaturan!$B$8:$B$27,B$4)="",0,COUNTIF(Data!$B543:$U543,INDEX(Pengaturan!$B$8:$B$27,B$4)))</f>
        <v>0</v>
      </c>
      <c r="C543" s="26" t="n">
        <f aca="false">IF(INDEX(Pengaturan!$B$8:$B$27,C$4)="",0,COUNTIF(Data!$B543:$U543,INDEX(Pengaturan!$B$8:$B$27,C$4)))</f>
        <v>0</v>
      </c>
      <c r="D543" s="26" t="n">
        <f aca="false">IF(INDEX(Pengaturan!$B$8:$B$27,D$4)="",0,COUNTIF(Data!$B543:$U543,INDEX(Pengaturan!$B$8:$B$27,D$4)))</f>
        <v>0</v>
      </c>
      <c r="E543" s="26" t="n">
        <f aca="false">IF(INDEX(Pengaturan!$B$8:$B$27,E$4)="",0,COUNTIF(Data!$B543:$U543,INDEX(Pengaturan!$B$8:$B$27,E$4)))</f>
        <v>0</v>
      </c>
      <c r="F543" s="26" t="n">
        <f aca="false">IF(INDEX(Pengaturan!$B$8:$B$27,F$4)="",0,COUNTIF(Data!$B543:$U543,INDEX(Pengaturan!$B$8:$B$27,F$4)))</f>
        <v>0</v>
      </c>
      <c r="G543" s="26" t="n">
        <f aca="false">IF(INDEX(Pengaturan!$B$8:$B$27,G$4)="",0,COUNTIF(Data!$B543:$U543,INDEX(Pengaturan!$B$8:$B$27,G$4)))</f>
        <v>0</v>
      </c>
      <c r="H543" s="26" t="n">
        <f aca="false">IF(INDEX(Pengaturan!$B$8:$B$27,H$4)="",0,COUNTIF(Data!$B543:$U543,INDEX(Pengaturan!$B$8:$B$27,H$4)))</f>
        <v>0</v>
      </c>
      <c r="I543" s="26" t="n">
        <f aca="false">IF(INDEX(Pengaturan!$B$8:$B$27,I$4)="",0,COUNTIF(Data!$B543:$U543,INDEX(Pengaturan!$B$8:$B$27,I$4)))</f>
        <v>0</v>
      </c>
      <c r="J543" s="26" t="n">
        <f aca="false">IF(INDEX(Pengaturan!$B$8:$B$27,J$4)="",0,COUNTIF(Data!$B543:$U543,INDEX(Pengaturan!$B$8:$B$27,J$4)))</f>
        <v>0</v>
      </c>
      <c r="K543" s="26" t="n">
        <f aca="false">IF(INDEX(Pengaturan!$B$8:$B$27,K$4)="",0,COUNTIF(Data!$B543:$U543,INDEX(Pengaturan!$B$8:$B$27,K$4)))</f>
        <v>0</v>
      </c>
      <c r="L543" s="26" t="n">
        <f aca="false">IF(INDEX(Pengaturan!$B$8:$B$27,L$4)="",0,COUNTIF(Data!$B543:$U543,INDEX(Pengaturan!$B$8:$B$27,L$4)))</f>
        <v>0</v>
      </c>
      <c r="M543" s="26" t="n">
        <f aca="false">IF(INDEX(Pengaturan!$B$8:$B$27,M$4)="",0,COUNTIF(Data!$B543:$U543,INDEX(Pengaturan!$B$8:$B$27,M$4)))</f>
        <v>0</v>
      </c>
      <c r="N543" s="26" t="n">
        <f aca="false">IF(INDEX(Pengaturan!$B$8:$B$27,N$4)="",0,COUNTIF(Data!$B543:$U543,INDEX(Pengaturan!$B$8:$B$27,N$4)))</f>
        <v>0</v>
      </c>
      <c r="O543" s="26" t="n">
        <f aca="false">IF(INDEX(Pengaturan!$B$8:$B$27,O$4)="",0,COUNTIF(Data!$B543:$U543,INDEX(Pengaturan!$B$8:$B$27,O$4)))</f>
        <v>0</v>
      </c>
      <c r="P543" s="26" t="n">
        <f aca="false">IF(INDEX(Pengaturan!$B$8:$B$27,P$4)="",0,COUNTIF(Data!$B543:$U543,INDEX(Pengaturan!$B$8:$B$27,P$4)))</f>
        <v>0</v>
      </c>
      <c r="Q543" s="26" t="n">
        <f aca="false">IF(INDEX(Pengaturan!$B$8:$B$27,Q$4)="",0,COUNTIF(Data!$B543:$U543,INDEX(Pengaturan!$B$8:$B$27,Q$4)))</f>
        <v>0</v>
      </c>
      <c r="R543" s="26" t="n">
        <f aca="false">IF(INDEX(Pengaturan!$B$8:$B$27,R$4)="",0,COUNTIF(Data!$B543:$U543,INDEX(Pengaturan!$B$8:$B$27,R$4)))</f>
        <v>0</v>
      </c>
      <c r="S543" s="26" t="n">
        <f aca="false">IF(INDEX(Pengaturan!$B$8:$B$27,S$4)="",0,COUNTIF(Data!$B543:$U543,INDEX(Pengaturan!$B$8:$B$27,S$4)))</f>
        <v>0</v>
      </c>
      <c r="T543" s="26" t="n">
        <f aca="false">IF(INDEX(Pengaturan!$B$8:$B$27,T$4)="",0,COUNTIF(Data!$B543:$U543,INDEX(Pengaturan!$B$8:$B$27,T$4)))</f>
        <v>0</v>
      </c>
      <c r="U543" s="26" t="n">
        <f aca="false">IF(INDEX(Pengaturan!$B$8:$B$27,U$4)="",0,COUNTIF(Data!$B543:$U543,INDEX(Pengaturan!$B$8:$B$27,U$4)))</f>
        <v>0</v>
      </c>
      <c r="V543" s="26" t="n">
        <f aca="false">COUNTA(Data!$B543:$U543)</f>
        <v>0</v>
      </c>
      <c r="W543" s="27" t="str">
        <f aca="false">IF(V543=0,"",IF(V543&lt;&gt;Hasil!$C$4,"Data kosong/tidak lengkap",IF(SUM(B543:U543)&lt;&gt;V543,"Kategori tidak dikenal","OK")))</f>
        <v/>
      </c>
      <c r="X543" s="26" t="n">
        <f aca="false">IF(OR(W543="",W543="OK"),0,1)</f>
        <v>0</v>
      </c>
    </row>
    <row r="544" customFormat="false" ht="15" hidden="false" customHeight="false" outlineLevel="0" collapsed="false">
      <c r="A544" s="26" t="n">
        <f aca="false">Data!A544</f>
        <v>539</v>
      </c>
      <c r="B544" s="26" t="n">
        <f aca="false">IF(INDEX(Pengaturan!$B$8:$B$27,B$4)="",0,COUNTIF(Data!$B544:$U544,INDEX(Pengaturan!$B$8:$B$27,B$4)))</f>
        <v>0</v>
      </c>
      <c r="C544" s="26" t="n">
        <f aca="false">IF(INDEX(Pengaturan!$B$8:$B$27,C$4)="",0,COUNTIF(Data!$B544:$U544,INDEX(Pengaturan!$B$8:$B$27,C$4)))</f>
        <v>0</v>
      </c>
      <c r="D544" s="26" t="n">
        <f aca="false">IF(INDEX(Pengaturan!$B$8:$B$27,D$4)="",0,COUNTIF(Data!$B544:$U544,INDEX(Pengaturan!$B$8:$B$27,D$4)))</f>
        <v>0</v>
      </c>
      <c r="E544" s="26" t="n">
        <f aca="false">IF(INDEX(Pengaturan!$B$8:$B$27,E$4)="",0,COUNTIF(Data!$B544:$U544,INDEX(Pengaturan!$B$8:$B$27,E$4)))</f>
        <v>0</v>
      </c>
      <c r="F544" s="26" t="n">
        <f aca="false">IF(INDEX(Pengaturan!$B$8:$B$27,F$4)="",0,COUNTIF(Data!$B544:$U544,INDEX(Pengaturan!$B$8:$B$27,F$4)))</f>
        <v>0</v>
      </c>
      <c r="G544" s="26" t="n">
        <f aca="false">IF(INDEX(Pengaturan!$B$8:$B$27,G$4)="",0,COUNTIF(Data!$B544:$U544,INDEX(Pengaturan!$B$8:$B$27,G$4)))</f>
        <v>0</v>
      </c>
      <c r="H544" s="26" t="n">
        <f aca="false">IF(INDEX(Pengaturan!$B$8:$B$27,H$4)="",0,COUNTIF(Data!$B544:$U544,INDEX(Pengaturan!$B$8:$B$27,H$4)))</f>
        <v>0</v>
      </c>
      <c r="I544" s="26" t="n">
        <f aca="false">IF(INDEX(Pengaturan!$B$8:$B$27,I$4)="",0,COUNTIF(Data!$B544:$U544,INDEX(Pengaturan!$B$8:$B$27,I$4)))</f>
        <v>0</v>
      </c>
      <c r="J544" s="26" t="n">
        <f aca="false">IF(INDEX(Pengaturan!$B$8:$B$27,J$4)="",0,COUNTIF(Data!$B544:$U544,INDEX(Pengaturan!$B$8:$B$27,J$4)))</f>
        <v>0</v>
      </c>
      <c r="K544" s="26" t="n">
        <f aca="false">IF(INDEX(Pengaturan!$B$8:$B$27,K$4)="",0,COUNTIF(Data!$B544:$U544,INDEX(Pengaturan!$B$8:$B$27,K$4)))</f>
        <v>0</v>
      </c>
      <c r="L544" s="26" t="n">
        <f aca="false">IF(INDEX(Pengaturan!$B$8:$B$27,L$4)="",0,COUNTIF(Data!$B544:$U544,INDEX(Pengaturan!$B$8:$B$27,L$4)))</f>
        <v>0</v>
      </c>
      <c r="M544" s="26" t="n">
        <f aca="false">IF(INDEX(Pengaturan!$B$8:$B$27,M$4)="",0,COUNTIF(Data!$B544:$U544,INDEX(Pengaturan!$B$8:$B$27,M$4)))</f>
        <v>0</v>
      </c>
      <c r="N544" s="26" t="n">
        <f aca="false">IF(INDEX(Pengaturan!$B$8:$B$27,N$4)="",0,COUNTIF(Data!$B544:$U544,INDEX(Pengaturan!$B$8:$B$27,N$4)))</f>
        <v>0</v>
      </c>
      <c r="O544" s="26" t="n">
        <f aca="false">IF(INDEX(Pengaturan!$B$8:$B$27,O$4)="",0,COUNTIF(Data!$B544:$U544,INDEX(Pengaturan!$B$8:$B$27,O$4)))</f>
        <v>0</v>
      </c>
      <c r="P544" s="26" t="n">
        <f aca="false">IF(INDEX(Pengaturan!$B$8:$B$27,P$4)="",0,COUNTIF(Data!$B544:$U544,INDEX(Pengaturan!$B$8:$B$27,P$4)))</f>
        <v>0</v>
      </c>
      <c r="Q544" s="26" t="n">
        <f aca="false">IF(INDEX(Pengaturan!$B$8:$B$27,Q$4)="",0,COUNTIF(Data!$B544:$U544,INDEX(Pengaturan!$B$8:$B$27,Q$4)))</f>
        <v>0</v>
      </c>
      <c r="R544" s="26" t="n">
        <f aca="false">IF(INDEX(Pengaturan!$B$8:$B$27,R$4)="",0,COUNTIF(Data!$B544:$U544,INDEX(Pengaturan!$B$8:$B$27,R$4)))</f>
        <v>0</v>
      </c>
      <c r="S544" s="26" t="n">
        <f aca="false">IF(INDEX(Pengaturan!$B$8:$B$27,S$4)="",0,COUNTIF(Data!$B544:$U544,INDEX(Pengaturan!$B$8:$B$27,S$4)))</f>
        <v>0</v>
      </c>
      <c r="T544" s="26" t="n">
        <f aca="false">IF(INDEX(Pengaturan!$B$8:$B$27,T$4)="",0,COUNTIF(Data!$B544:$U544,INDEX(Pengaturan!$B$8:$B$27,T$4)))</f>
        <v>0</v>
      </c>
      <c r="U544" s="26" t="n">
        <f aca="false">IF(INDEX(Pengaturan!$B$8:$B$27,U$4)="",0,COUNTIF(Data!$B544:$U544,INDEX(Pengaturan!$B$8:$B$27,U$4)))</f>
        <v>0</v>
      </c>
      <c r="V544" s="26" t="n">
        <f aca="false">COUNTA(Data!$B544:$U544)</f>
        <v>0</v>
      </c>
      <c r="W544" s="27" t="str">
        <f aca="false">IF(V544=0,"",IF(V544&lt;&gt;Hasil!$C$4,"Data kosong/tidak lengkap",IF(SUM(B544:U544)&lt;&gt;V544,"Kategori tidak dikenal","OK")))</f>
        <v/>
      </c>
      <c r="X544" s="26" t="n">
        <f aca="false">IF(OR(W544="",W544="OK"),0,1)</f>
        <v>0</v>
      </c>
    </row>
    <row r="545" customFormat="false" ht="15" hidden="false" customHeight="false" outlineLevel="0" collapsed="false">
      <c r="A545" s="26" t="n">
        <f aca="false">Data!A545</f>
        <v>540</v>
      </c>
      <c r="B545" s="26" t="n">
        <f aca="false">IF(INDEX(Pengaturan!$B$8:$B$27,B$4)="",0,COUNTIF(Data!$B545:$U545,INDEX(Pengaturan!$B$8:$B$27,B$4)))</f>
        <v>0</v>
      </c>
      <c r="C545" s="26" t="n">
        <f aca="false">IF(INDEX(Pengaturan!$B$8:$B$27,C$4)="",0,COUNTIF(Data!$B545:$U545,INDEX(Pengaturan!$B$8:$B$27,C$4)))</f>
        <v>0</v>
      </c>
      <c r="D545" s="26" t="n">
        <f aca="false">IF(INDEX(Pengaturan!$B$8:$B$27,D$4)="",0,COUNTIF(Data!$B545:$U545,INDEX(Pengaturan!$B$8:$B$27,D$4)))</f>
        <v>0</v>
      </c>
      <c r="E545" s="26" t="n">
        <f aca="false">IF(INDEX(Pengaturan!$B$8:$B$27,E$4)="",0,COUNTIF(Data!$B545:$U545,INDEX(Pengaturan!$B$8:$B$27,E$4)))</f>
        <v>0</v>
      </c>
      <c r="F545" s="26" t="n">
        <f aca="false">IF(INDEX(Pengaturan!$B$8:$B$27,F$4)="",0,COUNTIF(Data!$B545:$U545,INDEX(Pengaturan!$B$8:$B$27,F$4)))</f>
        <v>0</v>
      </c>
      <c r="G545" s="26" t="n">
        <f aca="false">IF(INDEX(Pengaturan!$B$8:$B$27,G$4)="",0,COUNTIF(Data!$B545:$U545,INDEX(Pengaturan!$B$8:$B$27,G$4)))</f>
        <v>0</v>
      </c>
      <c r="H545" s="26" t="n">
        <f aca="false">IF(INDEX(Pengaturan!$B$8:$B$27,H$4)="",0,COUNTIF(Data!$B545:$U545,INDEX(Pengaturan!$B$8:$B$27,H$4)))</f>
        <v>0</v>
      </c>
      <c r="I545" s="26" t="n">
        <f aca="false">IF(INDEX(Pengaturan!$B$8:$B$27,I$4)="",0,COUNTIF(Data!$B545:$U545,INDEX(Pengaturan!$B$8:$B$27,I$4)))</f>
        <v>0</v>
      </c>
      <c r="J545" s="26" t="n">
        <f aca="false">IF(INDEX(Pengaturan!$B$8:$B$27,J$4)="",0,COUNTIF(Data!$B545:$U545,INDEX(Pengaturan!$B$8:$B$27,J$4)))</f>
        <v>0</v>
      </c>
      <c r="K545" s="26" t="n">
        <f aca="false">IF(INDEX(Pengaturan!$B$8:$B$27,K$4)="",0,COUNTIF(Data!$B545:$U545,INDEX(Pengaturan!$B$8:$B$27,K$4)))</f>
        <v>0</v>
      </c>
      <c r="L545" s="26" t="n">
        <f aca="false">IF(INDEX(Pengaturan!$B$8:$B$27,L$4)="",0,COUNTIF(Data!$B545:$U545,INDEX(Pengaturan!$B$8:$B$27,L$4)))</f>
        <v>0</v>
      </c>
      <c r="M545" s="26" t="n">
        <f aca="false">IF(INDEX(Pengaturan!$B$8:$B$27,M$4)="",0,COUNTIF(Data!$B545:$U545,INDEX(Pengaturan!$B$8:$B$27,M$4)))</f>
        <v>0</v>
      </c>
      <c r="N545" s="26" t="n">
        <f aca="false">IF(INDEX(Pengaturan!$B$8:$B$27,N$4)="",0,COUNTIF(Data!$B545:$U545,INDEX(Pengaturan!$B$8:$B$27,N$4)))</f>
        <v>0</v>
      </c>
      <c r="O545" s="26" t="n">
        <f aca="false">IF(INDEX(Pengaturan!$B$8:$B$27,O$4)="",0,COUNTIF(Data!$B545:$U545,INDEX(Pengaturan!$B$8:$B$27,O$4)))</f>
        <v>0</v>
      </c>
      <c r="P545" s="26" t="n">
        <f aca="false">IF(INDEX(Pengaturan!$B$8:$B$27,P$4)="",0,COUNTIF(Data!$B545:$U545,INDEX(Pengaturan!$B$8:$B$27,P$4)))</f>
        <v>0</v>
      </c>
      <c r="Q545" s="26" t="n">
        <f aca="false">IF(INDEX(Pengaturan!$B$8:$B$27,Q$4)="",0,COUNTIF(Data!$B545:$U545,INDEX(Pengaturan!$B$8:$B$27,Q$4)))</f>
        <v>0</v>
      </c>
      <c r="R545" s="26" t="n">
        <f aca="false">IF(INDEX(Pengaturan!$B$8:$B$27,R$4)="",0,COUNTIF(Data!$B545:$U545,INDEX(Pengaturan!$B$8:$B$27,R$4)))</f>
        <v>0</v>
      </c>
      <c r="S545" s="26" t="n">
        <f aca="false">IF(INDEX(Pengaturan!$B$8:$B$27,S$4)="",0,COUNTIF(Data!$B545:$U545,INDEX(Pengaturan!$B$8:$B$27,S$4)))</f>
        <v>0</v>
      </c>
      <c r="T545" s="26" t="n">
        <f aca="false">IF(INDEX(Pengaturan!$B$8:$B$27,T$4)="",0,COUNTIF(Data!$B545:$U545,INDEX(Pengaturan!$B$8:$B$27,T$4)))</f>
        <v>0</v>
      </c>
      <c r="U545" s="26" t="n">
        <f aca="false">IF(INDEX(Pengaturan!$B$8:$B$27,U$4)="",0,COUNTIF(Data!$B545:$U545,INDEX(Pengaturan!$B$8:$B$27,U$4)))</f>
        <v>0</v>
      </c>
      <c r="V545" s="26" t="n">
        <f aca="false">COUNTA(Data!$B545:$U545)</f>
        <v>0</v>
      </c>
      <c r="W545" s="27" t="str">
        <f aca="false">IF(V545=0,"",IF(V545&lt;&gt;Hasil!$C$4,"Data kosong/tidak lengkap",IF(SUM(B545:U545)&lt;&gt;V545,"Kategori tidak dikenal","OK")))</f>
        <v/>
      </c>
      <c r="X545" s="26" t="n">
        <f aca="false">IF(OR(W545="",W545="OK"),0,1)</f>
        <v>0</v>
      </c>
    </row>
    <row r="546" customFormat="false" ht="15" hidden="false" customHeight="false" outlineLevel="0" collapsed="false">
      <c r="A546" s="26" t="n">
        <f aca="false">Data!A546</f>
        <v>541</v>
      </c>
      <c r="B546" s="26" t="n">
        <f aca="false">IF(INDEX(Pengaturan!$B$8:$B$27,B$4)="",0,COUNTIF(Data!$B546:$U546,INDEX(Pengaturan!$B$8:$B$27,B$4)))</f>
        <v>0</v>
      </c>
      <c r="C546" s="26" t="n">
        <f aca="false">IF(INDEX(Pengaturan!$B$8:$B$27,C$4)="",0,COUNTIF(Data!$B546:$U546,INDEX(Pengaturan!$B$8:$B$27,C$4)))</f>
        <v>0</v>
      </c>
      <c r="D546" s="26" t="n">
        <f aca="false">IF(INDEX(Pengaturan!$B$8:$B$27,D$4)="",0,COUNTIF(Data!$B546:$U546,INDEX(Pengaturan!$B$8:$B$27,D$4)))</f>
        <v>0</v>
      </c>
      <c r="E546" s="26" t="n">
        <f aca="false">IF(INDEX(Pengaturan!$B$8:$B$27,E$4)="",0,COUNTIF(Data!$B546:$U546,INDEX(Pengaturan!$B$8:$B$27,E$4)))</f>
        <v>0</v>
      </c>
      <c r="F546" s="26" t="n">
        <f aca="false">IF(INDEX(Pengaturan!$B$8:$B$27,F$4)="",0,COUNTIF(Data!$B546:$U546,INDEX(Pengaturan!$B$8:$B$27,F$4)))</f>
        <v>0</v>
      </c>
      <c r="G546" s="26" t="n">
        <f aca="false">IF(INDEX(Pengaturan!$B$8:$B$27,G$4)="",0,COUNTIF(Data!$B546:$U546,INDEX(Pengaturan!$B$8:$B$27,G$4)))</f>
        <v>0</v>
      </c>
      <c r="H546" s="26" t="n">
        <f aca="false">IF(INDEX(Pengaturan!$B$8:$B$27,H$4)="",0,COUNTIF(Data!$B546:$U546,INDEX(Pengaturan!$B$8:$B$27,H$4)))</f>
        <v>0</v>
      </c>
      <c r="I546" s="26" t="n">
        <f aca="false">IF(INDEX(Pengaturan!$B$8:$B$27,I$4)="",0,COUNTIF(Data!$B546:$U546,INDEX(Pengaturan!$B$8:$B$27,I$4)))</f>
        <v>0</v>
      </c>
      <c r="J546" s="26" t="n">
        <f aca="false">IF(INDEX(Pengaturan!$B$8:$B$27,J$4)="",0,COUNTIF(Data!$B546:$U546,INDEX(Pengaturan!$B$8:$B$27,J$4)))</f>
        <v>0</v>
      </c>
      <c r="K546" s="26" t="n">
        <f aca="false">IF(INDEX(Pengaturan!$B$8:$B$27,K$4)="",0,COUNTIF(Data!$B546:$U546,INDEX(Pengaturan!$B$8:$B$27,K$4)))</f>
        <v>0</v>
      </c>
      <c r="L546" s="26" t="n">
        <f aca="false">IF(INDEX(Pengaturan!$B$8:$B$27,L$4)="",0,COUNTIF(Data!$B546:$U546,INDEX(Pengaturan!$B$8:$B$27,L$4)))</f>
        <v>0</v>
      </c>
      <c r="M546" s="26" t="n">
        <f aca="false">IF(INDEX(Pengaturan!$B$8:$B$27,M$4)="",0,COUNTIF(Data!$B546:$U546,INDEX(Pengaturan!$B$8:$B$27,M$4)))</f>
        <v>0</v>
      </c>
      <c r="N546" s="26" t="n">
        <f aca="false">IF(INDEX(Pengaturan!$B$8:$B$27,N$4)="",0,COUNTIF(Data!$B546:$U546,INDEX(Pengaturan!$B$8:$B$27,N$4)))</f>
        <v>0</v>
      </c>
      <c r="O546" s="26" t="n">
        <f aca="false">IF(INDEX(Pengaturan!$B$8:$B$27,O$4)="",0,COUNTIF(Data!$B546:$U546,INDEX(Pengaturan!$B$8:$B$27,O$4)))</f>
        <v>0</v>
      </c>
      <c r="P546" s="26" t="n">
        <f aca="false">IF(INDEX(Pengaturan!$B$8:$B$27,P$4)="",0,COUNTIF(Data!$B546:$U546,INDEX(Pengaturan!$B$8:$B$27,P$4)))</f>
        <v>0</v>
      </c>
      <c r="Q546" s="26" t="n">
        <f aca="false">IF(INDEX(Pengaturan!$B$8:$B$27,Q$4)="",0,COUNTIF(Data!$B546:$U546,INDEX(Pengaturan!$B$8:$B$27,Q$4)))</f>
        <v>0</v>
      </c>
      <c r="R546" s="26" t="n">
        <f aca="false">IF(INDEX(Pengaturan!$B$8:$B$27,R$4)="",0,COUNTIF(Data!$B546:$U546,INDEX(Pengaturan!$B$8:$B$27,R$4)))</f>
        <v>0</v>
      </c>
      <c r="S546" s="26" t="n">
        <f aca="false">IF(INDEX(Pengaturan!$B$8:$B$27,S$4)="",0,COUNTIF(Data!$B546:$U546,INDEX(Pengaturan!$B$8:$B$27,S$4)))</f>
        <v>0</v>
      </c>
      <c r="T546" s="26" t="n">
        <f aca="false">IF(INDEX(Pengaturan!$B$8:$B$27,T$4)="",0,COUNTIF(Data!$B546:$U546,INDEX(Pengaturan!$B$8:$B$27,T$4)))</f>
        <v>0</v>
      </c>
      <c r="U546" s="26" t="n">
        <f aca="false">IF(INDEX(Pengaturan!$B$8:$B$27,U$4)="",0,COUNTIF(Data!$B546:$U546,INDEX(Pengaturan!$B$8:$B$27,U$4)))</f>
        <v>0</v>
      </c>
      <c r="V546" s="26" t="n">
        <f aca="false">COUNTA(Data!$B546:$U546)</f>
        <v>0</v>
      </c>
      <c r="W546" s="27" t="str">
        <f aca="false">IF(V546=0,"",IF(V546&lt;&gt;Hasil!$C$4,"Data kosong/tidak lengkap",IF(SUM(B546:U546)&lt;&gt;V546,"Kategori tidak dikenal","OK")))</f>
        <v/>
      </c>
      <c r="X546" s="26" t="n">
        <f aca="false">IF(OR(W546="",W546="OK"),0,1)</f>
        <v>0</v>
      </c>
    </row>
    <row r="547" customFormat="false" ht="15" hidden="false" customHeight="false" outlineLevel="0" collapsed="false">
      <c r="A547" s="26" t="n">
        <f aca="false">Data!A547</f>
        <v>542</v>
      </c>
      <c r="B547" s="26" t="n">
        <f aca="false">IF(INDEX(Pengaturan!$B$8:$B$27,B$4)="",0,COUNTIF(Data!$B547:$U547,INDEX(Pengaturan!$B$8:$B$27,B$4)))</f>
        <v>0</v>
      </c>
      <c r="C547" s="26" t="n">
        <f aca="false">IF(INDEX(Pengaturan!$B$8:$B$27,C$4)="",0,COUNTIF(Data!$B547:$U547,INDEX(Pengaturan!$B$8:$B$27,C$4)))</f>
        <v>0</v>
      </c>
      <c r="D547" s="26" t="n">
        <f aca="false">IF(INDEX(Pengaturan!$B$8:$B$27,D$4)="",0,COUNTIF(Data!$B547:$U547,INDEX(Pengaturan!$B$8:$B$27,D$4)))</f>
        <v>0</v>
      </c>
      <c r="E547" s="26" t="n">
        <f aca="false">IF(INDEX(Pengaturan!$B$8:$B$27,E$4)="",0,COUNTIF(Data!$B547:$U547,INDEX(Pengaturan!$B$8:$B$27,E$4)))</f>
        <v>0</v>
      </c>
      <c r="F547" s="26" t="n">
        <f aca="false">IF(INDEX(Pengaturan!$B$8:$B$27,F$4)="",0,COUNTIF(Data!$B547:$U547,INDEX(Pengaturan!$B$8:$B$27,F$4)))</f>
        <v>0</v>
      </c>
      <c r="G547" s="26" t="n">
        <f aca="false">IF(INDEX(Pengaturan!$B$8:$B$27,G$4)="",0,COUNTIF(Data!$B547:$U547,INDEX(Pengaturan!$B$8:$B$27,G$4)))</f>
        <v>0</v>
      </c>
      <c r="H547" s="26" t="n">
        <f aca="false">IF(INDEX(Pengaturan!$B$8:$B$27,H$4)="",0,COUNTIF(Data!$B547:$U547,INDEX(Pengaturan!$B$8:$B$27,H$4)))</f>
        <v>0</v>
      </c>
      <c r="I547" s="26" t="n">
        <f aca="false">IF(INDEX(Pengaturan!$B$8:$B$27,I$4)="",0,COUNTIF(Data!$B547:$U547,INDEX(Pengaturan!$B$8:$B$27,I$4)))</f>
        <v>0</v>
      </c>
      <c r="J547" s="26" t="n">
        <f aca="false">IF(INDEX(Pengaturan!$B$8:$B$27,J$4)="",0,COUNTIF(Data!$B547:$U547,INDEX(Pengaturan!$B$8:$B$27,J$4)))</f>
        <v>0</v>
      </c>
      <c r="K547" s="26" t="n">
        <f aca="false">IF(INDEX(Pengaturan!$B$8:$B$27,K$4)="",0,COUNTIF(Data!$B547:$U547,INDEX(Pengaturan!$B$8:$B$27,K$4)))</f>
        <v>0</v>
      </c>
      <c r="L547" s="26" t="n">
        <f aca="false">IF(INDEX(Pengaturan!$B$8:$B$27,L$4)="",0,COUNTIF(Data!$B547:$U547,INDEX(Pengaturan!$B$8:$B$27,L$4)))</f>
        <v>0</v>
      </c>
      <c r="M547" s="26" t="n">
        <f aca="false">IF(INDEX(Pengaturan!$B$8:$B$27,M$4)="",0,COUNTIF(Data!$B547:$U547,INDEX(Pengaturan!$B$8:$B$27,M$4)))</f>
        <v>0</v>
      </c>
      <c r="N547" s="26" t="n">
        <f aca="false">IF(INDEX(Pengaturan!$B$8:$B$27,N$4)="",0,COUNTIF(Data!$B547:$U547,INDEX(Pengaturan!$B$8:$B$27,N$4)))</f>
        <v>0</v>
      </c>
      <c r="O547" s="26" t="n">
        <f aca="false">IF(INDEX(Pengaturan!$B$8:$B$27,O$4)="",0,COUNTIF(Data!$B547:$U547,INDEX(Pengaturan!$B$8:$B$27,O$4)))</f>
        <v>0</v>
      </c>
      <c r="P547" s="26" t="n">
        <f aca="false">IF(INDEX(Pengaturan!$B$8:$B$27,P$4)="",0,COUNTIF(Data!$B547:$U547,INDEX(Pengaturan!$B$8:$B$27,P$4)))</f>
        <v>0</v>
      </c>
      <c r="Q547" s="26" t="n">
        <f aca="false">IF(INDEX(Pengaturan!$B$8:$B$27,Q$4)="",0,COUNTIF(Data!$B547:$U547,INDEX(Pengaturan!$B$8:$B$27,Q$4)))</f>
        <v>0</v>
      </c>
      <c r="R547" s="26" t="n">
        <f aca="false">IF(INDEX(Pengaturan!$B$8:$B$27,R$4)="",0,COUNTIF(Data!$B547:$U547,INDEX(Pengaturan!$B$8:$B$27,R$4)))</f>
        <v>0</v>
      </c>
      <c r="S547" s="26" t="n">
        <f aca="false">IF(INDEX(Pengaturan!$B$8:$B$27,S$4)="",0,COUNTIF(Data!$B547:$U547,INDEX(Pengaturan!$B$8:$B$27,S$4)))</f>
        <v>0</v>
      </c>
      <c r="T547" s="26" t="n">
        <f aca="false">IF(INDEX(Pengaturan!$B$8:$B$27,T$4)="",0,COUNTIF(Data!$B547:$U547,INDEX(Pengaturan!$B$8:$B$27,T$4)))</f>
        <v>0</v>
      </c>
      <c r="U547" s="26" t="n">
        <f aca="false">IF(INDEX(Pengaturan!$B$8:$B$27,U$4)="",0,COUNTIF(Data!$B547:$U547,INDEX(Pengaturan!$B$8:$B$27,U$4)))</f>
        <v>0</v>
      </c>
      <c r="V547" s="26" t="n">
        <f aca="false">COUNTA(Data!$B547:$U547)</f>
        <v>0</v>
      </c>
      <c r="W547" s="27" t="str">
        <f aca="false">IF(V547=0,"",IF(V547&lt;&gt;Hasil!$C$4,"Data kosong/tidak lengkap",IF(SUM(B547:U547)&lt;&gt;V547,"Kategori tidak dikenal","OK")))</f>
        <v/>
      </c>
      <c r="X547" s="26" t="n">
        <f aca="false">IF(OR(W547="",W547="OK"),0,1)</f>
        <v>0</v>
      </c>
    </row>
    <row r="548" customFormat="false" ht="15" hidden="false" customHeight="false" outlineLevel="0" collapsed="false">
      <c r="A548" s="26" t="n">
        <f aca="false">Data!A548</f>
        <v>543</v>
      </c>
      <c r="B548" s="26" t="n">
        <f aca="false">IF(INDEX(Pengaturan!$B$8:$B$27,B$4)="",0,COUNTIF(Data!$B548:$U548,INDEX(Pengaturan!$B$8:$B$27,B$4)))</f>
        <v>0</v>
      </c>
      <c r="C548" s="26" t="n">
        <f aca="false">IF(INDEX(Pengaturan!$B$8:$B$27,C$4)="",0,COUNTIF(Data!$B548:$U548,INDEX(Pengaturan!$B$8:$B$27,C$4)))</f>
        <v>0</v>
      </c>
      <c r="D548" s="26" t="n">
        <f aca="false">IF(INDEX(Pengaturan!$B$8:$B$27,D$4)="",0,COUNTIF(Data!$B548:$U548,INDEX(Pengaturan!$B$8:$B$27,D$4)))</f>
        <v>0</v>
      </c>
      <c r="E548" s="26" t="n">
        <f aca="false">IF(INDEX(Pengaturan!$B$8:$B$27,E$4)="",0,COUNTIF(Data!$B548:$U548,INDEX(Pengaturan!$B$8:$B$27,E$4)))</f>
        <v>0</v>
      </c>
      <c r="F548" s="26" t="n">
        <f aca="false">IF(INDEX(Pengaturan!$B$8:$B$27,F$4)="",0,COUNTIF(Data!$B548:$U548,INDEX(Pengaturan!$B$8:$B$27,F$4)))</f>
        <v>0</v>
      </c>
      <c r="G548" s="26" t="n">
        <f aca="false">IF(INDEX(Pengaturan!$B$8:$B$27,G$4)="",0,COUNTIF(Data!$B548:$U548,INDEX(Pengaturan!$B$8:$B$27,G$4)))</f>
        <v>0</v>
      </c>
      <c r="H548" s="26" t="n">
        <f aca="false">IF(INDEX(Pengaturan!$B$8:$B$27,H$4)="",0,COUNTIF(Data!$B548:$U548,INDEX(Pengaturan!$B$8:$B$27,H$4)))</f>
        <v>0</v>
      </c>
      <c r="I548" s="26" t="n">
        <f aca="false">IF(INDEX(Pengaturan!$B$8:$B$27,I$4)="",0,COUNTIF(Data!$B548:$U548,INDEX(Pengaturan!$B$8:$B$27,I$4)))</f>
        <v>0</v>
      </c>
      <c r="J548" s="26" t="n">
        <f aca="false">IF(INDEX(Pengaturan!$B$8:$B$27,J$4)="",0,COUNTIF(Data!$B548:$U548,INDEX(Pengaturan!$B$8:$B$27,J$4)))</f>
        <v>0</v>
      </c>
      <c r="K548" s="26" t="n">
        <f aca="false">IF(INDEX(Pengaturan!$B$8:$B$27,K$4)="",0,COUNTIF(Data!$B548:$U548,INDEX(Pengaturan!$B$8:$B$27,K$4)))</f>
        <v>0</v>
      </c>
      <c r="L548" s="26" t="n">
        <f aca="false">IF(INDEX(Pengaturan!$B$8:$B$27,L$4)="",0,COUNTIF(Data!$B548:$U548,INDEX(Pengaturan!$B$8:$B$27,L$4)))</f>
        <v>0</v>
      </c>
      <c r="M548" s="26" t="n">
        <f aca="false">IF(INDEX(Pengaturan!$B$8:$B$27,M$4)="",0,COUNTIF(Data!$B548:$U548,INDEX(Pengaturan!$B$8:$B$27,M$4)))</f>
        <v>0</v>
      </c>
      <c r="N548" s="26" t="n">
        <f aca="false">IF(INDEX(Pengaturan!$B$8:$B$27,N$4)="",0,COUNTIF(Data!$B548:$U548,INDEX(Pengaturan!$B$8:$B$27,N$4)))</f>
        <v>0</v>
      </c>
      <c r="O548" s="26" t="n">
        <f aca="false">IF(INDEX(Pengaturan!$B$8:$B$27,O$4)="",0,COUNTIF(Data!$B548:$U548,INDEX(Pengaturan!$B$8:$B$27,O$4)))</f>
        <v>0</v>
      </c>
      <c r="P548" s="26" t="n">
        <f aca="false">IF(INDEX(Pengaturan!$B$8:$B$27,P$4)="",0,COUNTIF(Data!$B548:$U548,INDEX(Pengaturan!$B$8:$B$27,P$4)))</f>
        <v>0</v>
      </c>
      <c r="Q548" s="26" t="n">
        <f aca="false">IF(INDEX(Pengaturan!$B$8:$B$27,Q$4)="",0,COUNTIF(Data!$B548:$U548,INDEX(Pengaturan!$B$8:$B$27,Q$4)))</f>
        <v>0</v>
      </c>
      <c r="R548" s="26" t="n">
        <f aca="false">IF(INDEX(Pengaturan!$B$8:$B$27,R$4)="",0,COUNTIF(Data!$B548:$U548,INDEX(Pengaturan!$B$8:$B$27,R$4)))</f>
        <v>0</v>
      </c>
      <c r="S548" s="26" t="n">
        <f aca="false">IF(INDEX(Pengaturan!$B$8:$B$27,S$4)="",0,COUNTIF(Data!$B548:$U548,INDEX(Pengaturan!$B$8:$B$27,S$4)))</f>
        <v>0</v>
      </c>
      <c r="T548" s="26" t="n">
        <f aca="false">IF(INDEX(Pengaturan!$B$8:$B$27,T$4)="",0,COUNTIF(Data!$B548:$U548,INDEX(Pengaturan!$B$8:$B$27,T$4)))</f>
        <v>0</v>
      </c>
      <c r="U548" s="26" t="n">
        <f aca="false">IF(INDEX(Pengaturan!$B$8:$B$27,U$4)="",0,COUNTIF(Data!$B548:$U548,INDEX(Pengaturan!$B$8:$B$27,U$4)))</f>
        <v>0</v>
      </c>
      <c r="V548" s="26" t="n">
        <f aca="false">COUNTA(Data!$B548:$U548)</f>
        <v>0</v>
      </c>
      <c r="W548" s="27" t="str">
        <f aca="false">IF(V548=0,"",IF(V548&lt;&gt;Hasil!$C$4,"Data kosong/tidak lengkap",IF(SUM(B548:U548)&lt;&gt;V548,"Kategori tidak dikenal","OK")))</f>
        <v/>
      </c>
      <c r="X548" s="26" t="n">
        <f aca="false">IF(OR(W548="",W548="OK"),0,1)</f>
        <v>0</v>
      </c>
    </row>
    <row r="549" customFormat="false" ht="15" hidden="false" customHeight="false" outlineLevel="0" collapsed="false">
      <c r="A549" s="26" t="n">
        <f aca="false">Data!A549</f>
        <v>544</v>
      </c>
      <c r="B549" s="26" t="n">
        <f aca="false">IF(INDEX(Pengaturan!$B$8:$B$27,B$4)="",0,COUNTIF(Data!$B549:$U549,INDEX(Pengaturan!$B$8:$B$27,B$4)))</f>
        <v>0</v>
      </c>
      <c r="C549" s="26" t="n">
        <f aca="false">IF(INDEX(Pengaturan!$B$8:$B$27,C$4)="",0,COUNTIF(Data!$B549:$U549,INDEX(Pengaturan!$B$8:$B$27,C$4)))</f>
        <v>0</v>
      </c>
      <c r="D549" s="26" t="n">
        <f aca="false">IF(INDEX(Pengaturan!$B$8:$B$27,D$4)="",0,COUNTIF(Data!$B549:$U549,INDEX(Pengaturan!$B$8:$B$27,D$4)))</f>
        <v>0</v>
      </c>
      <c r="E549" s="26" t="n">
        <f aca="false">IF(INDEX(Pengaturan!$B$8:$B$27,E$4)="",0,COUNTIF(Data!$B549:$U549,INDEX(Pengaturan!$B$8:$B$27,E$4)))</f>
        <v>0</v>
      </c>
      <c r="F549" s="26" t="n">
        <f aca="false">IF(INDEX(Pengaturan!$B$8:$B$27,F$4)="",0,COUNTIF(Data!$B549:$U549,INDEX(Pengaturan!$B$8:$B$27,F$4)))</f>
        <v>0</v>
      </c>
      <c r="G549" s="26" t="n">
        <f aca="false">IF(INDEX(Pengaturan!$B$8:$B$27,G$4)="",0,COUNTIF(Data!$B549:$U549,INDEX(Pengaturan!$B$8:$B$27,G$4)))</f>
        <v>0</v>
      </c>
      <c r="H549" s="26" t="n">
        <f aca="false">IF(INDEX(Pengaturan!$B$8:$B$27,H$4)="",0,COUNTIF(Data!$B549:$U549,INDEX(Pengaturan!$B$8:$B$27,H$4)))</f>
        <v>0</v>
      </c>
      <c r="I549" s="26" t="n">
        <f aca="false">IF(INDEX(Pengaturan!$B$8:$B$27,I$4)="",0,COUNTIF(Data!$B549:$U549,INDEX(Pengaturan!$B$8:$B$27,I$4)))</f>
        <v>0</v>
      </c>
      <c r="J549" s="26" t="n">
        <f aca="false">IF(INDEX(Pengaturan!$B$8:$B$27,J$4)="",0,COUNTIF(Data!$B549:$U549,INDEX(Pengaturan!$B$8:$B$27,J$4)))</f>
        <v>0</v>
      </c>
      <c r="K549" s="26" t="n">
        <f aca="false">IF(INDEX(Pengaturan!$B$8:$B$27,K$4)="",0,COUNTIF(Data!$B549:$U549,INDEX(Pengaturan!$B$8:$B$27,K$4)))</f>
        <v>0</v>
      </c>
      <c r="L549" s="26" t="n">
        <f aca="false">IF(INDEX(Pengaturan!$B$8:$B$27,L$4)="",0,COUNTIF(Data!$B549:$U549,INDEX(Pengaturan!$B$8:$B$27,L$4)))</f>
        <v>0</v>
      </c>
      <c r="M549" s="26" t="n">
        <f aca="false">IF(INDEX(Pengaturan!$B$8:$B$27,M$4)="",0,COUNTIF(Data!$B549:$U549,INDEX(Pengaturan!$B$8:$B$27,M$4)))</f>
        <v>0</v>
      </c>
      <c r="N549" s="26" t="n">
        <f aca="false">IF(INDEX(Pengaturan!$B$8:$B$27,N$4)="",0,COUNTIF(Data!$B549:$U549,INDEX(Pengaturan!$B$8:$B$27,N$4)))</f>
        <v>0</v>
      </c>
      <c r="O549" s="26" t="n">
        <f aca="false">IF(INDEX(Pengaturan!$B$8:$B$27,O$4)="",0,COUNTIF(Data!$B549:$U549,INDEX(Pengaturan!$B$8:$B$27,O$4)))</f>
        <v>0</v>
      </c>
      <c r="P549" s="26" t="n">
        <f aca="false">IF(INDEX(Pengaturan!$B$8:$B$27,P$4)="",0,COUNTIF(Data!$B549:$U549,INDEX(Pengaturan!$B$8:$B$27,P$4)))</f>
        <v>0</v>
      </c>
      <c r="Q549" s="26" t="n">
        <f aca="false">IF(INDEX(Pengaturan!$B$8:$B$27,Q$4)="",0,COUNTIF(Data!$B549:$U549,INDEX(Pengaturan!$B$8:$B$27,Q$4)))</f>
        <v>0</v>
      </c>
      <c r="R549" s="26" t="n">
        <f aca="false">IF(INDEX(Pengaturan!$B$8:$B$27,R$4)="",0,COUNTIF(Data!$B549:$U549,INDEX(Pengaturan!$B$8:$B$27,R$4)))</f>
        <v>0</v>
      </c>
      <c r="S549" s="26" t="n">
        <f aca="false">IF(INDEX(Pengaturan!$B$8:$B$27,S$4)="",0,COUNTIF(Data!$B549:$U549,INDEX(Pengaturan!$B$8:$B$27,S$4)))</f>
        <v>0</v>
      </c>
      <c r="T549" s="26" t="n">
        <f aca="false">IF(INDEX(Pengaturan!$B$8:$B$27,T$4)="",0,COUNTIF(Data!$B549:$U549,INDEX(Pengaturan!$B$8:$B$27,T$4)))</f>
        <v>0</v>
      </c>
      <c r="U549" s="26" t="n">
        <f aca="false">IF(INDEX(Pengaturan!$B$8:$B$27,U$4)="",0,COUNTIF(Data!$B549:$U549,INDEX(Pengaturan!$B$8:$B$27,U$4)))</f>
        <v>0</v>
      </c>
      <c r="V549" s="26" t="n">
        <f aca="false">COUNTA(Data!$B549:$U549)</f>
        <v>0</v>
      </c>
      <c r="W549" s="27" t="str">
        <f aca="false">IF(V549=0,"",IF(V549&lt;&gt;Hasil!$C$4,"Data kosong/tidak lengkap",IF(SUM(B549:U549)&lt;&gt;V549,"Kategori tidak dikenal","OK")))</f>
        <v/>
      </c>
      <c r="X549" s="26" t="n">
        <f aca="false">IF(OR(W549="",W549="OK"),0,1)</f>
        <v>0</v>
      </c>
    </row>
    <row r="550" customFormat="false" ht="15" hidden="false" customHeight="false" outlineLevel="0" collapsed="false">
      <c r="A550" s="26" t="n">
        <f aca="false">Data!A550</f>
        <v>545</v>
      </c>
      <c r="B550" s="26" t="n">
        <f aca="false">IF(INDEX(Pengaturan!$B$8:$B$27,B$4)="",0,COUNTIF(Data!$B550:$U550,INDEX(Pengaturan!$B$8:$B$27,B$4)))</f>
        <v>0</v>
      </c>
      <c r="C550" s="26" t="n">
        <f aca="false">IF(INDEX(Pengaturan!$B$8:$B$27,C$4)="",0,COUNTIF(Data!$B550:$U550,INDEX(Pengaturan!$B$8:$B$27,C$4)))</f>
        <v>0</v>
      </c>
      <c r="D550" s="26" t="n">
        <f aca="false">IF(INDEX(Pengaturan!$B$8:$B$27,D$4)="",0,COUNTIF(Data!$B550:$U550,INDEX(Pengaturan!$B$8:$B$27,D$4)))</f>
        <v>0</v>
      </c>
      <c r="E550" s="26" t="n">
        <f aca="false">IF(INDEX(Pengaturan!$B$8:$B$27,E$4)="",0,COUNTIF(Data!$B550:$U550,INDEX(Pengaturan!$B$8:$B$27,E$4)))</f>
        <v>0</v>
      </c>
      <c r="F550" s="26" t="n">
        <f aca="false">IF(INDEX(Pengaturan!$B$8:$B$27,F$4)="",0,COUNTIF(Data!$B550:$U550,INDEX(Pengaturan!$B$8:$B$27,F$4)))</f>
        <v>0</v>
      </c>
      <c r="G550" s="26" t="n">
        <f aca="false">IF(INDEX(Pengaturan!$B$8:$B$27,G$4)="",0,COUNTIF(Data!$B550:$U550,INDEX(Pengaturan!$B$8:$B$27,G$4)))</f>
        <v>0</v>
      </c>
      <c r="H550" s="26" t="n">
        <f aca="false">IF(INDEX(Pengaturan!$B$8:$B$27,H$4)="",0,COUNTIF(Data!$B550:$U550,INDEX(Pengaturan!$B$8:$B$27,H$4)))</f>
        <v>0</v>
      </c>
      <c r="I550" s="26" t="n">
        <f aca="false">IF(INDEX(Pengaturan!$B$8:$B$27,I$4)="",0,COUNTIF(Data!$B550:$U550,INDEX(Pengaturan!$B$8:$B$27,I$4)))</f>
        <v>0</v>
      </c>
      <c r="J550" s="26" t="n">
        <f aca="false">IF(INDEX(Pengaturan!$B$8:$B$27,J$4)="",0,COUNTIF(Data!$B550:$U550,INDEX(Pengaturan!$B$8:$B$27,J$4)))</f>
        <v>0</v>
      </c>
      <c r="K550" s="26" t="n">
        <f aca="false">IF(INDEX(Pengaturan!$B$8:$B$27,K$4)="",0,COUNTIF(Data!$B550:$U550,INDEX(Pengaturan!$B$8:$B$27,K$4)))</f>
        <v>0</v>
      </c>
      <c r="L550" s="26" t="n">
        <f aca="false">IF(INDEX(Pengaturan!$B$8:$B$27,L$4)="",0,COUNTIF(Data!$B550:$U550,INDEX(Pengaturan!$B$8:$B$27,L$4)))</f>
        <v>0</v>
      </c>
      <c r="M550" s="26" t="n">
        <f aca="false">IF(INDEX(Pengaturan!$B$8:$B$27,M$4)="",0,COUNTIF(Data!$B550:$U550,INDEX(Pengaturan!$B$8:$B$27,M$4)))</f>
        <v>0</v>
      </c>
      <c r="N550" s="26" t="n">
        <f aca="false">IF(INDEX(Pengaturan!$B$8:$B$27,N$4)="",0,COUNTIF(Data!$B550:$U550,INDEX(Pengaturan!$B$8:$B$27,N$4)))</f>
        <v>0</v>
      </c>
      <c r="O550" s="26" t="n">
        <f aca="false">IF(INDEX(Pengaturan!$B$8:$B$27,O$4)="",0,COUNTIF(Data!$B550:$U550,INDEX(Pengaturan!$B$8:$B$27,O$4)))</f>
        <v>0</v>
      </c>
      <c r="P550" s="26" t="n">
        <f aca="false">IF(INDEX(Pengaturan!$B$8:$B$27,P$4)="",0,COUNTIF(Data!$B550:$U550,INDEX(Pengaturan!$B$8:$B$27,P$4)))</f>
        <v>0</v>
      </c>
      <c r="Q550" s="26" t="n">
        <f aca="false">IF(INDEX(Pengaturan!$B$8:$B$27,Q$4)="",0,COUNTIF(Data!$B550:$U550,INDEX(Pengaturan!$B$8:$B$27,Q$4)))</f>
        <v>0</v>
      </c>
      <c r="R550" s="26" t="n">
        <f aca="false">IF(INDEX(Pengaturan!$B$8:$B$27,R$4)="",0,COUNTIF(Data!$B550:$U550,INDEX(Pengaturan!$B$8:$B$27,R$4)))</f>
        <v>0</v>
      </c>
      <c r="S550" s="26" t="n">
        <f aca="false">IF(INDEX(Pengaturan!$B$8:$B$27,S$4)="",0,COUNTIF(Data!$B550:$U550,INDEX(Pengaturan!$B$8:$B$27,S$4)))</f>
        <v>0</v>
      </c>
      <c r="T550" s="26" t="n">
        <f aca="false">IF(INDEX(Pengaturan!$B$8:$B$27,T$4)="",0,COUNTIF(Data!$B550:$U550,INDEX(Pengaturan!$B$8:$B$27,T$4)))</f>
        <v>0</v>
      </c>
      <c r="U550" s="26" t="n">
        <f aca="false">IF(INDEX(Pengaturan!$B$8:$B$27,U$4)="",0,COUNTIF(Data!$B550:$U550,INDEX(Pengaturan!$B$8:$B$27,U$4)))</f>
        <v>0</v>
      </c>
      <c r="V550" s="26" t="n">
        <f aca="false">COUNTA(Data!$B550:$U550)</f>
        <v>0</v>
      </c>
      <c r="W550" s="27" t="str">
        <f aca="false">IF(V550=0,"",IF(V550&lt;&gt;Hasil!$C$4,"Data kosong/tidak lengkap",IF(SUM(B550:U550)&lt;&gt;V550,"Kategori tidak dikenal","OK")))</f>
        <v/>
      </c>
      <c r="X550" s="26" t="n">
        <f aca="false">IF(OR(W550="",W550="OK"),0,1)</f>
        <v>0</v>
      </c>
    </row>
    <row r="551" customFormat="false" ht="15" hidden="false" customHeight="false" outlineLevel="0" collapsed="false">
      <c r="A551" s="26" t="n">
        <f aca="false">Data!A551</f>
        <v>546</v>
      </c>
      <c r="B551" s="26" t="n">
        <f aca="false">IF(INDEX(Pengaturan!$B$8:$B$27,B$4)="",0,COUNTIF(Data!$B551:$U551,INDEX(Pengaturan!$B$8:$B$27,B$4)))</f>
        <v>0</v>
      </c>
      <c r="C551" s="26" t="n">
        <f aca="false">IF(INDEX(Pengaturan!$B$8:$B$27,C$4)="",0,COUNTIF(Data!$B551:$U551,INDEX(Pengaturan!$B$8:$B$27,C$4)))</f>
        <v>0</v>
      </c>
      <c r="D551" s="26" t="n">
        <f aca="false">IF(INDEX(Pengaturan!$B$8:$B$27,D$4)="",0,COUNTIF(Data!$B551:$U551,INDEX(Pengaturan!$B$8:$B$27,D$4)))</f>
        <v>0</v>
      </c>
      <c r="E551" s="26" t="n">
        <f aca="false">IF(INDEX(Pengaturan!$B$8:$B$27,E$4)="",0,COUNTIF(Data!$B551:$U551,INDEX(Pengaturan!$B$8:$B$27,E$4)))</f>
        <v>0</v>
      </c>
      <c r="F551" s="26" t="n">
        <f aca="false">IF(INDEX(Pengaturan!$B$8:$B$27,F$4)="",0,COUNTIF(Data!$B551:$U551,INDEX(Pengaturan!$B$8:$B$27,F$4)))</f>
        <v>0</v>
      </c>
      <c r="G551" s="26" t="n">
        <f aca="false">IF(INDEX(Pengaturan!$B$8:$B$27,G$4)="",0,COUNTIF(Data!$B551:$U551,INDEX(Pengaturan!$B$8:$B$27,G$4)))</f>
        <v>0</v>
      </c>
      <c r="H551" s="26" t="n">
        <f aca="false">IF(INDEX(Pengaturan!$B$8:$B$27,H$4)="",0,COUNTIF(Data!$B551:$U551,INDEX(Pengaturan!$B$8:$B$27,H$4)))</f>
        <v>0</v>
      </c>
      <c r="I551" s="26" t="n">
        <f aca="false">IF(INDEX(Pengaturan!$B$8:$B$27,I$4)="",0,COUNTIF(Data!$B551:$U551,INDEX(Pengaturan!$B$8:$B$27,I$4)))</f>
        <v>0</v>
      </c>
      <c r="J551" s="26" t="n">
        <f aca="false">IF(INDEX(Pengaturan!$B$8:$B$27,J$4)="",0,COUNTIF(Data!$B551:$U551,INDEX(Pengaturan!$B$8:$B$27,J$4)))</f>
        <v>0</v>
      </c>
      <c r="K551" s="26" t="n">
        <f aca="false">IF(INDEX(Pengaturan!$B$8:$B$27,K$4)="",0,COUNTIF(Data!$B551:$U551,INDEX(Pengaturan!$B$8:$B$27,K$4)))</f>
        <v>0</v>
      </c>
      <c r="L551" s="26" t="n">
        <f aca="false">IF(INDEX(Pengaturan!$B$8:$B$27,L$4)="",0,COUNTIF(Data!$B551:$U551,INDEX(Pengaturan!$B$8:$B$27,L$4)))</f>
        <v>0</v>
      </c>
      <c r="M551" s="26" t="n">
        <f aca="false">IF(INDEX(Pengaturan!$B$8:$B$27,M$4)="",0,COUNTIF(Data!$B551:$U551,INDEX(Pengaturan!$B$8:$B$27,M$4)))</f>
        <v>0</v>
      </c>
      <c r="N551" s="26" t="n">
        <f aca="false">IF(INDEX(Pengaturan!$B$8:$B$27,N$4)="",0,COUNTIF(Data!$B551:$U551,INDEX(Pengaturan!$B$8:$B$27,N$4)))</f>
        <v>0</v>
      </c>
      <c r="O551" s="26" t="n">
        <f aca="false">IF(INDEX(Pengaturan!$B$8:$B$27,O$4)="",0,COUNTIF(Data!$B551:$U551,INDEX(Pengaturan!$B$8:$B$27,O$4)))</f>
        <v>0</v>
      </c>
      <c r="P551" s="26" t="n">
        <f aca="false">IF(INDEX(Pengaturan!$B$8:$B$27,P$4)="",0,COUNTIF(Data!$B551:$U551,INDEX(Pengaturan!$B$8:$B$27,P$4)))</f>
        <v>0</v>
      </c>
      <c r="Q551" s="26" t="n">
        <f aca="false">IF(INDEX(Pengaturan!$B$8:$B$27,Q$4)="",0,COUNTIF(Data!$B551:$U551,INDEX(Pengaturan!$B$8:$B$27,Q$4)))</f>
        <v>0</v>
      </c>
      <c r="R551" s="26" t="n">
        <f aca="false">IF(INDEX(Pengaturan!$B$8:$B$27,R$4)="",0,COUNTIF(Data!$B551:$U551,INDEX(Pengaturan!$B$8:$B$27,R$4)))</f>
        <v>0</v>
      </c>
      <c r="S551" s="26" t="n">
        <f aca="false">IF(INDEX(Pengaturan!$B$8:$B$27,S$4)="",0,COUNTIF(Data!$B551:$U551,INDEX(Pengaturan!$B$8:$B$27,S$4)))</f>
        <v>0</v>
      </c>
      <c r="T551" s="26" t="n">
        <f aca="false">IF(INDEX(Pengaturan!$B$8:$B$27,T$4)="",0,COUNTIF(Data!$B551:$U551,INDEX(Pengaturan!$B$8:$B$27,T$4)))</f>
        <v>0</v>
      </c>
      <c r="U551" s="26" t="n">
        <f aca="false">IF(INDEX(Pengaturan!$B$8:$B$27,U$4)="",0,COUNTIF(Data!$B551:$U551,INDEX(Pengaturan!$B$8:$B$27,U$4)))</f>
        <v>0</v>
      </c>
      <c r="V551" s="26" t="n">
        <f aca="false">COUNTA(Data!$B551:$U551)</f>
        <v>0</v>
      </c>
      <c r="W551" s="27" t="str">
        <f aca="false">IF(V551=0,"",IF(V551&lt;&gt;Hasil!$C$4,"Data kosong/tidak lengkap",IF(SUM(B551:U551)&lt;&gt;V551,"Kategori tidak dikenal","OK")))</f>
        <v/>
      </c>
      <c r="X551" s="26" t="n">
        <f aca="false">IF(OR(W551="",W551="OK"),0,1)</f>
        <v>0</v>
      </c>
    </row>
    <row r="552" customFormat="false" ht="15" hidden="false" customHeight="false" outlineLevel="0" collapsed="false">
      <c r="A552" s="26" t="n">
        <f aca="false">Data!A552</f>
        <v>547</v>
      </c>
      <c r="B552" s="26" t="n">
        <f aca="false">IF(INDEX(Pengaturan!$B$8:$B$27,B$4)="",0,COUNTIF(Data!$B552:$U552,INDEX(Pengaturan!$B$8:$B$27,B$4)))</f>
        <v>0</v>
      </c>
      <c r="C552" s="26" t="n">
        <f aca="false">IF(INDEX(Pengaturan!$B$8:$B$27,C$4)="",0,COUNTIF(Data!$B552:$U552,INDEX(Pengaturan!$B$8:$B$27,C$4)))</f>
        <v>0</v>
      </c>
      <c r="D552" s="26" t="n">
        <f aca="false">IF(INDEX(Pengaturan!$B$8:$B$27,D$4)="",0,COUNTIF(Data!$B552:$U552,INDEX(Pengaturan!$B$8:$B$27,D$4)))</f>
        <v>0</v>
      </c>
      <c r="E552" s="26" t="n">
        <f aca="false">IF(INDEX(Pengaturan!$B$8:$B$27,E$4)="",0,COUNTIF(Data!$B552:$U552,INDEX(Pengaturan!$B$8:$B$27,E$4)))</f>
        <v>0</v>
      </c>
      <c r="F552" s="26" t="n">
        <f aca="false">IF(INDEX(Pengaturan!$B$8:$B$27,F$4)="",0,COUNTIF(Data!$B552:$U552,INDEX(Pengaturan!$B$8:$B$27,F$4)))</f>
        <v>0</v>
      </c>
      <c r="G552" s="26" t="n">
        <f aca="false">IF(INDEX(Pengaturan!$B$8:$B$27,G$4)="",0,COUNTIF(Data!$B552:$U552,INDEX(Pengaturan!$B$8:$B$27,G$4)))</f>
        <v>0</v>
      </c>
      <c r="H552" s="26" t="n">
        <f aca="false">IF(INDEX(Pengaturan!$B$8:$B$27,H$4)="",0,COUNTIF(Data!$B552:$U552,INDEX(Pengaturan!$B$8:$B$27,H$4)))</f>
        <v>0</v>
      </c>
      <c r="I552" s="26" t="n">
        <f aca="false">IF(INDEX(Pengaturan!$B$8:$B$27,I$4)="",0,COUNTIF(Data!$B552:$U552,INDEX(Pengaturan!$B$8:$B$27,I$4)))</f>
        <v>0</v>
      </c>
      <c r="J552" s="26" t="n">
        <f aca="false">IF(INDEX(Pengaturan!$B$8:$B$27,J$4)="",0,COUNTIF(Data!$B552:$U552,INDEX(Pengaturan!$B$8:$B$27,J$4)))</f>
        <v>0</v>
      </c>
      <c r="K552" s="26" t="n">
        <f aca="false">IF(INDEX(Pengaturan!$B$8:$B$27,K$4)="",0,COUNTIF(Data!$B552:$U552,INDEX(Pengaturan!$B$8:$B$27,K$4)))</f>
        <v>0</v>
      </c>
      <c r="L552" s="26" t="n">
        <f aca="false">IF(INDEX(Pengaturan!$B$8:$B$27,L$4)="",0,COUNTIF(Data!$B552:$U552,INDEX(Pengaturan!$B$8:$B$27,L$4)))</f>
        <v>0</v>
      </c>
      <c r="M552" s="26" t="n">
        <f aca="false">IF(INDEX(Pengaturan!$B$8:$B$27,M$4)="",0,COUNTIF(Data!$B552:$U552,INDEX(Pengaturan!$B$8:$B$27,M$4)))</f>
        <v>0</v>
      </c>
      <c r="N552" s="26" t="n">
        <f aca="false">IF(INDEX(Pengaturan!$B$8:$B$27,N$4)="",0,COUNTIF(Data!$B552:$U552,INDEX(Pengaturan!$B$8:$B$27,N$4)))</f>
        <v>0</v>
      </c>
      <c r="O552" s="26" t="n">
        <f aca="false">IF(INDEX(Pengaturan!$B$8:$B$27,O$4)="",0,COUNTIF(Data!$B552:$U552,INDEX(Pengaturan!$B$8:$B$27,O$4)))</f>
        <v>0</v>
      </c>
      <c r="P552" s="26" t="n">
        <f aca="false">IF(INDEX(Pengaturan!$B$8:$B$27,P$4)="",0,COUNTIF(Data!$B552:$U552,INDEX(Pengaturan!$B$8:$B$27,P$4)))</f>
        <v>0</v>
      </c>
      <c r="Q552" s="26" t="n">
        <f aca="false">IF(INDEX(Pengaturan!$B$8:$B$27,Q$4)="",0,COUNTIF(Data!$B552:$U552,INDEX(Pengaturan!$B$8:$B$27,Q$4)))</f>
        <v>0</v>
      </c>
      <c r="R552" s="26" t="n">
        <f aca="false">IF(INDEX(Pengaturan!$B$8:$B$27,R$4)="",0,COUNTIF(Data!$B552:$U552,INDEX(Pengaturan!$B$8:$B$27,R$4)))</f>
        <v>0</v>
      </c>
      <c r="S552" s="26" t="n">
        <f aca="false">IF(INDEX(Pengaturan!$B$8:$B$27,S$4)="",0,COUNTIF(Data!$B552:$U552,INDEX(Pengaturan!$B$8:$B$27,S$4)))</f>
        <v>0</v>
      </c>
      <c r="T552" s="26" t="n">
        <f aca="false">IF(INDEX(Pengaturan!$B$8:$B$27,T$4)="",0,COUNTIF(Data!$B552:$U552,INDEX(Pengaturan!$B$8:$B$27,T$4)))</f>
        <v>0</v>
      </c>
      <c r="U552" s="26" t="n">
        <f aca="false">IF(INDEX(Pengaturan!$B$8:$B$27,U$4)="",0,COUNTIF(Data!$B552:$U552,INDEX(Pengaturan!$B$8:$B$27,U$4)))</f>
        <v>0</v>
      </c>
      <c r="V552" s="26" t="n">
        <f aca="false">COUNTA(Data!$B552:$U552)</f>
        <v>0</v>
      </c>
      <c r="W552" s="27" t="str">
        <f aca="false">IF(V552=0,"",IF(V552&lt;&gt;Hasil!$C$4,"Data kosong/tidak lengkap",IF(SUM(B552:U552)&lt;&gt;V552,"Kategori tidak dikenal","OK")))</f>
        <v/>
      </c>
      <c r="X552" s="26" t="n">
        <f aca="false">IF(OR(W552="",W552="OK"),0,1)</f>
        <v>0</v>
      </c>
    </row>
    <row r="553" customFormat="false" ht="15" hidden="false" customHeight="false" outlineLevel="0" collapsed="false">
      <c r="A553" s="26" t="n">
        <f aca="false">Data!A553</f>
        <v>548</v>
      </c>
      <c r="B553" s="26" t="n">
        <f aca="false">IF(INDEX(Pengaturan!$B$8:$B$27,B$4)="",0,COUNTIF(Data!$B553:$U553,INDEX(Pengaturan!$B$8:$B$27,B$4)))</f>
        <v>0</v>
      </c>
      <c r="C553" s="26" t="n">
        <f aca="false">IF(INDEX(Pengaturan!$B$8:$B$27,C$4)="",0,COUNTIF(Data!$B553:$U553,INDEX(Pengaturan!$B$8:$B$27,C$4)))</f>
        <v>0</v>
      </c>
      <c r="D553" s="26" t="n">
        <f aca="false">IF(INDEX(Pengaturan!$B$8:$B$27,D$4)="",0,COUNTIF(Data!$B553:$U553,INDEX(Pengaturan!$B$8:$B$27,D$4)))</f>
        <v>0</v>
      </c>
      <c r="E553" s="26" t="n">
        <f aca="false">IF(INDEX(Pengaturan!$B$8:$B$27,E$4)="",0,COUNTIF(Data!$B553:$U553,INDEX(Pengaturan!$B$8:$B$27,E$4)))</f>
        <v>0</v>
      </c>
      <c r="F553" s="26" t="n">
        <f aca="false">IF(INDEX(Pengaturan!$B$8:$B$27,F$4)="",0,COUNTIF(Data!$B553:$U553,INDEX(Pengaturan!$B$8:$B$27,F$4)))</f>
        <v>0</v>
      </c>
      <c r="G553" s="26" t="n">
        <f aca="false">IF(INDEX(Pengaturan!$B$8:$B$27,G$4)="",0,COUNTIF(Data!$B553:$U553,INDEX(Pengaturan!$B$8:$B$27,G$4)))</f>
        <v>0</v>
      </c>
      <c r="H553" s="26" t="n">
        <f aca="false">IF(INDEX(Pengaturan!$B$8:$B$27,H$4)="",0,COUNTIF(Data!$B553:$U553,INDEX(Pengaturan!$B$8:$B$27,H$4)))</f>
        <v>0</v>
      </c>
      <c r="I553" s="26" t="n">
        <f aca="false">IF(INDEX(Pengaturan!$B$8:$B$27,I$4)="",0,COUNTIF(Data!$B553:$U553,INDEX(Pengaturan!$B$8:$B$27,I$4)))</f>
        <v>0</v>
      </c>
      <c r="J553" s="26" t="n">
        <f aca="false">IF(INDEX(Pengaturan!$B$8:$B$27,J$4)="",0,COUNTIF(Data!$B553:$U553,INDEX(Pengaturan!$B$8:$B$27,J$4)))</f>
        <v>0</v>
      </c>
      <c r="K553" s="26" t="n">
        <f aca="false">IF(INDEX(Pengaturan!$B$8:$B$27,K$4)="",0,COUNTIF(Data!$B553:$U553,INDEX(Pengaturan!$B$8:$B$27,K$4)))</f>
        <v>0</v>
      </c>
      <c r="L553" s="26" t="n">
        <f aca="false">IF(INDEX(Pengaturan!$B$8:$B$27,L$4)="",0,COUNTIF(Data!$B553:$U553,INDEX(Pengaturan!$B$8:$B$27,L$4)))</f>
        <v>0</v>
      </c>
      <c r="M553" s="26" t="n">
        <f aca="false">IF(INDEX(Pengaturan!$B$8:$B$27,M$4)="",0,COUNTIF(Data!$B553:$U553,INDEX(Pengaturan!$B$8:$B$27,M$4)))</f>
        <v>0</v>
      </c>
      <c r="N553" s="26" t="n">
        <f aca="false">IF(INDEX(Pengaturan!$B$8:$B$27,N$4)="",0,COUNTIF(Data!$B553:$U553,INDEX(Pengaturan!$B$8:$B$27,N$4)))</f>
        <v>0</v>
      </c>
      <c r="O553" s="26" t="n">
        <f aca="false">IF(INDEX(Pengaturan!$B$8:$B$27,O$4)="",0,COUNTIF(Data!$B553:$U553,INDEX(Pengaturan!$B$8:$B$27,O$4)))</f>
        <v>0</v>
      </c>
      <c r="P553" s="26" t="n">
        <f aca="false">IF(INDEX(Pengaturan!$B$8:$B$27,P$4)="",0,COUNTIF(Data!$B553:$U553,INDEX(Pengaturan!$B$8:$B$27,P$4)))</f>
        <v>0</v>
      </c>
      <c r="Q553" s="26" t="n">
        <f aca="false">IF(INDEX(Pengaturan!$B$8:$B$27,Q$4)="",0,COUNTIF(Data!$B553:$U553,INDEX(Pengaturan!$B$8:$B$27,Q$4)))</f>
        <v>0</v>
      </c>
      <c r="R553" s="26" t="n">
        <f aca="false">IF(INDEX(Pengaturan!$B$8:$B$27,R$4)="",0,COUNTIF(Data!$B553:$U553,INDEX(Pengaturan!$B$8:$B$27,R$4)))</f>
        <v>0</v>
      </c>
      <c r="S553" s="26" t="n">
        <f aca="false">IF(INDEX(Pengaturan!$B$8:$B$27,S$4)="",0,COUNTIF(Data!$B553:$U553,INDEX(Pengaturan!$B$8:$B$27,S$4)))</f>
        <v>0</v>
      </c>
      <c r="T553" s="26" t="n">
        <f aca="false">IF(INDEX(Pengaturan!$B$8:$B$27,T$4)="",0,COUNTIF(Data!$B553:$U553,INDEX(Pengaturan!$B$8:$B$27,T$4)))</f>
        <v>0</v>
      </c>
      <c r="U553" s="26" t="n">
        <f aca="false">IF(INDEX(Pengaturan!$B$8:$B$27,U$4)="",0,COUNTIF(Data!$B553:$U553,INDEX(Pengaturan!$B$8:$B$27,U$4)))</f>
        <v>0</v>
      </c>
      <c r="V553" s="26" t="n">
        <f aca="false">COUNTA(Data!$B553:$U553)</f>
        <v>0</v>
      </c>
      <c r="W553" s="27" t="str">
        <f aca="false">IF(V553=0,"",IF(V553&lt;&gt;Hasil!$C$4,"Data kosong/tidak lengkap",IF(SUM(B553:U553)&lt;&gt;V553,"Kategori tidak dikenal","OK")))</f>
        <v/>
      </c>
      <c r="X553" s="26" t="n">
        <f aca="false">IF(OR(W553="",W553="OK"),0,1)</f>
        <v>0</v>
      </c>
    </row>
    <row r="554" customFormat="false" ht="15" hidden="false" customHeight="false" outlineLevel="0" collapsed="false">
      <c r="A554" s="26" t="n">
        <f aca="false">Data!A554</f>
        <v>549</v>
      </c>
      <c r="B554" s="26" t="n">
        <f aca="false">IF(INDEX(Pengaturan!$B$8:$B$27,B$4)="",0,COUNTIF(Data!$B554:$U554,INDEX(Pengaturan!$B$8:$B$27,B$4)))</f>
        <v>0</v>
      </c>
      <c r="C554" s="26" t="n">
        <f aca="false">IF(INDEX(Pengaturan!$B$8:$B$27,C$4)="",0,COUNTIF(Data!$B554:$U554,INDEX(Pengaturan!$B$8:$B$27,C$4)))</f>
        <v>0</v>
      </c>
      <c r="D554" s="26" t="n">
        <f aca="false">IF(INDEX(Pengaturan!$B$8:$B$27,D$4)="",0,COUNTIF(Data!$B554:$U554,INDEX(Pengaturan!$B$8:$B$27,D$4)))</f>
        <v>0</v>
      </c>
      <c r="E554" s="26" t="n">
        <f aca="false">IF(INDEX(Pengaturan!$B$8:$B$27,E$4)="",0,COUNTIF(Data!$B554:$U554,INDEX(Pengaturan!$B$8:$B$27,E$4)))</f>
        <v>0</v>
      </c>
      <c r="F554" s="26" t="n">
        <f aca="false">IF(INDEX(Pengaturan!$B$8:$B$27,F$4)="",0,COUNTIF(Data!$B554:$U554,INDEX(Pengaturan!$B$8:$B$27,F$4)))</f>
        <v>0</v>
      </c>
      <c r="G554" s="26" t="n">
        <f aca="false">IF(INDEX(Pengaturan!$B$8:$B$27,G$4)="",0,COUNTIF(Data!$B554:$U554,INDEX(Pengaturan!$B$8:$B$27,G$4)))</f>
        <v>0</v>
      </c>
      <c r="H554" s="26" t="n">
        <f aca="false">IF(INDEX(Pengaturan!$B$8:$B$27,H$4)="",0,COUNTIF(Data!$B554:$U554,INDEX(Pengaturan!$B$8:$B$27,H$4)))</f>
        <v>0</v>
      </c>
      <c r="I554" s="26" t="n">
        <f aca="false">IF(INDEX(Pengaturan!$B$8:$B$27,I$4)="",0,COUNTIF(Data!$B554:$U554,INDEX(Pengaturan!$B$8:$B$27,I$4)))</f>
        <v>0</v>
      </c>
      <c r="J554" s="26" t="n">
        <f aca="false">IF(INDEX(Pengaturan!$B$8:$B$27,J$4)="",0,COUNTIF(Data!$B554:$U554,INDEX(Pengaturan!$B$8:$B$27,J$4)))</f>
        <v>0</v>
      </c>
      <c r="K554" s="26" t="n">
        <f aca="false">IF(INDEX(Pengaturan!$B$8:$B$27,K$4)="",0,COUNTIF(Data!$B554:$U554,INDEX(Pengaturan!$B$8:$B$27,K$4)))</f>
        <v>0</v>
      </c>
      <c r="L554" s="26" t="n">
        <f aca="false">IF(INDEX(Pengaturan!$B$8:$B$27,L$4)="",0,COUNTIF(Data!$B554:$U554,INDEX(Pengaturan!$B$8:$B$27,L$4)))</f>
        <v>0</v>
      </c>
      <c r="M554" s="26" t="n">
        <f aca="false">IF(INDEX(Pengaturan!$B$8:$B$27,M$4)="",0,COUNTIF(Data!$B554:$U554,INDEX(Pengaturan!$B$8:$B$27,M$4)))</f>
        <v>0</v>
      </c>
      <c r="N554" s="26" t="n">
        <f aca="false">IF(INDEX(Pengaturan!$B$8:$B$27,N$4)="",0,COUNTIF(Data!$B554:$U554,INDEX(Pengaturan!$B$8:$B$27,N$4)))</f>
        <v>0</v>
      </c>
      <c r="O554" s="26" t="n">
        <f aca="false">IF(INDEX(Pengaturan!$B$8:$B$27,O$4)="",0,COUNTIF(Data!$B554:$U554,INDEX(Pengaturan!$B$8:$B$27,O$4)))</f>
        <v>0</v>
      </c>
      <c r="P554" s="26" t="n">
        <f aca="false">IF(INDEX(Pengaturan!$B$8:$B$27,P$4)="",0,COUNTIF(Data!$B554:$U554,INDEX(Pengaturan!$B$8:$B$27,P$4)))</f>
        <v>0</v>
      </c>
      <c r="Q554" s="26" t="n">
        <f aca="false">IF(INDEX(Pengaturan!$B$8:$B$27,Q$4)="",0,COUNTIF(Data!$B554:$U554,INDEX(Pengaturan!$B$8:$B$27,Q$4)))</f>
        <v>0</v>
      </c>
      <c r="R554" s="26" t="n">
        <f aca="false">IF(INDEX(Pengaturan!$B$8:$B$27,R$4)="",0,COUNTIF(Data!$B554:$U554,INDEX(Pengaturan!$B$8:$B$27,R$4)))</f>
        <v>0</v>
      </c>
      <c r="S554" s="26" t="n">
        <f aca="false">IF(INDEX(Pengaturan!$B$8:$B$27,S$4)="",0,COUNTIF(Data!$B554:$U554,INDEX(Pengaturan!$B$8:$B$27,S$4)))</f>
        <v>0</v>
      </c>
      <c r="T554" s="26" t="n">
        <f aca="false">IF(INDEX(Pengaturan!$B$8:$B$27,T$4)="",0,COUNTIF(Data!$B554:$U554,INDEX(Pengaturan!$B$8:$B$27,T$4)))</f>
        <v>0</v>
      </c>
      <c r="U554" s="26" t="n">
        <f aca="false">IF(INDEX(Pengaturan!$B$8:$B$27,U$4)="",0,COUNTIF(Data!$B554:$U554,INDEX(Pengaturan!$B$8:$B$27,U$4)))</f>
        <v>0</v>
      </c>
      <c r="V554" s="26" t="n">
        <f aca="false">COUNTA(Data!$B554:$U554)</f>
        <v>0</v>
      </c>
      <c r="W554" s="27" t="str">
        <f aca="false">IF(V554=0,"",IF(V554&lt;&gt;Hasil!$C$4,"Data kosong/tidak lengkap",IF(SUM(B554:U554)&lt;&gt;V554,"Kategori tidak dikenal","OK")))</f>
        <v/>
      </c>
      <c r="X554" s="26" t="n">
        <f aca="false">IF(OR(W554="",W554="OK"),0,1)</f>
        <v>0</v>
      </c>
    </row>
    <row r="555" customFormat="false" ht="15" hidden="false" customHeight="false" outlineLevel="0" collapsed="false">
      <c r="A555" s="26" t="n">
        <f aca="false">Data!A555</f>
        <v>550</v>
      </c>
      <c r="B555" s="26" t="n">
        <f aca="false">IF(INDEX(Pengaturan!$B$8:$B$27,B$4)="",0,COUNTIF(Data!$B555:$U555,INDEX(Pengaturan!$B$8:$B$27,B$4)))</f>
        <v>0</v>
      </c>
      <c r="C555" s="26" t="n">
        <f aca="false">IF(INDEX(Pengaturan!$B$8:$B$27,C$4)="",0,COUNTIF(Data!$B555:$U555,INDEX(Pengaturan!$B$8:$B$27,C$4)))</f>
        <v>0</v>
      </c>
      <c r="D555" s="26" t="n">
        <f aca="false">IF(INDEX(Pengaturan!$B$8:$B$27,D$4)="",0,COUNTIF(Data!$B555:$U555,INDEX(Pengaturan!$B$8:$B$27,D$4)))</f>
        <v>0</v>
      </c>
      <c r="E555" s="26" t="n">
        <f aca="false">IF(INDEX(Pengaturan!$B$8:$B$27,E$4)="",0,COUNTIF(Data!$B555:$U555,INDEX(Pengaturan!$B$8:$B$27,E$4)))</f>
        <v>0</v>
      </c>
      <c r="F555" s="26" t="n">
        <f aca="false">IF(INDEX(Pengaturan!$B$8:$B$27,F$4)="",0,COUNTIF(Data!$B555:$U555,INDEX(Pengaturan!$B$8:$B$27,F$4)))</f>
        <v>0</v>
      </c>
      <c r="G555" s="26" t="n">
        <f aca="false">IF(INDEX(Pengaturan!$B$8:$B$27,G$4)="",0,COUNTIF(Data!$B555:$U555,INDEX(Pengaturan!$B$8:$B$27,G$4)))</f>
        <v>0</v>
      </c>
      <c r="H555" s="26" t="n">
        <f aca="false">IF(INDEX(Pengaturan!$B$8:$B$27,H$4)="",0,COUNTIF(Data!$B555:$U555,INDEX(Pengaturan!$B$8:$B$27,H$4)))</f>
        <v>0</v>
      </c>
      <c r="I555" s="26" t="n">
        <f aca="false">IF(INDEX(Pengaturan!$B$8:$B$27,I$4)="",0,COUNTIF(Data!$B555:$U555,INDEX(Pengaturan!$B$8:$B$27,I$4)))</f>
        <v>0</v>
      </c>
      <c r="J555" s="26" t="n">
        <f aca="false">IF(INDEX(Pengaturan!$B$8:$B$27,J$4)="",0,COUNTIF(Data!$B555:$U555,INDEX(Pengaturan!$B$8:$B$27,J$4)))</f>
        <v>0</v>
      </c>
      <c r="K555" s="26" t="n">
        <f aca="false">IF(INDEX(Pengaturan!$B$8:$B$27,K$4)="",0,COUNTIF(Data!$B555:$U555,INDEX(Pengaturan!$B$8:$B$27,K$4)))</f>
        <v>0</v>
      </c>
      <c r="L555" s="26" t="n">
        <f aca="false">IF(INDEX(Pengaturan!$B$8:$B$27,L$4)="",0,COUNTIF(Data!$B555:$U555,INDEX(Pengaturan!$B$8:$B$27,L$4)))</f>
        <v>0</v>
      </c>
      <c r="M555" s="26" t="n">
        <f aca="false">IF(INDEX(Pengaturan!$B$8:$B$27,M$4)="",0,COUNTIF(Data!$B555:$U555,INDEX(Pengaturan!$B$8:$B$27,M$4)))</f>
        <v>0</v>
      </c>
      <c r="N555" s="26" t="n">
        <f aca="false">IF(INDEX(Pengaturan!$B$8:$B$27,N$4)="",0,COUNTIF(Data!$B555:$U555,INDEX(Pengaturan!$B$8:$B$27,N$4)))</f>
        <v>0</v>
      </c>
      <c r="O555" s="26" t="n">
        <f aca="false">IF(INDEX(Pengaturan!$B$8:$B$27,O$4)="",0,COUNTIF(Data!$B555:$U555,INDEX(Pengaturan!$B$8:$B$27,O$4)))</f>
        <v>0</v>
      </c>
      <c r="P555" s="26" t="n">
        <f aca="false">IF(INDEX(Pengaturan!$B$8:$B$27,P$4)="",0,COUNTIF(Data!$B555:$U555,INDEX(Pengaturan!$B$8:$B$27,P$4)))</f>
        <v>0</v>
      </c>
      <c r="Q555" s="26" t="n">
        <f aca="false">IF(INDEX(Pengaturan!$B$8:$B$27,Q$4)="",0,COUNTIF(Data!$B555:$U555,INDEX(Pengaturan!$B$8:$B$27,Q$4)))</f>
        <v>0</v>
      </c>
      <c r="R555" s="26" t="n">
        <f aca="false">IF(INDEX(Pengaturan!$B$8:$B$27,R$4)="",0,COUNTIF(Data!$B555:$U555,INDEX(Pengaturan!$B$8:$B$27,R$4)))</f>
        <v>0</v>
      </c>
      <c r="S555" s="26" t="n">
        <f aca="false">IF(INDEX(Pengaturan!$B$8:$B$27,S$4)="",0,COUNTIF(Data!$B555:$U555,INDEX(Pengaturan!$B$8:$B$27,S$4)))</f>
        <v>0</v>
      </c>
      <c r="T555" s="26" t="n">
        <f aca="false">IF(INDEX(Pengaturan!$B$8:$B$27,T$4)="",0,COUNTIF(Data!$B555:$U555,INDEX(Pengaturan!$B$8:$B$27,T$4)))</f>
        <v>0</v>
      </c>
      <c r="U555" s="26" t="n">
        <f aca="false">IF(INDEX(Pengaturan!$B$8:$B$27,U$4)="",0,COUNTIF(Data!$B555:$U555,INDEX(Pengaturan!$B$8:$B$27,U$4)))</f>
        <v>0</v>
      </c>
      <c r="V555" s="26" t="n">
        <f aca="false">COUNTA(Data!$B555:$U555)</f>
        <v>0</v>
      </c>
      <c r="W555" s="27" t="str">
        <f aca="false">IF(V555=0,"",IF(V555&lt;&gt;Hasil!$C$4,"Data kosong/tidak lengkap",IF(SUM(B555:U555)&lt;&gt;V555,"Kategori tidak dikenal","OK")))</f>
        <v/>
      </c>
      <c r="X555" s="26" t="n">
        <f aca="false">IF(OR(W555="",W555="OK"),0,1)</f>
        <v>0</v>
      </c>
    </row>
    <row r="556" customFormat="false" ht="15" hidden="false" customHeight="false" outlineLevel="0" collapsed="false">
      <c r="A556" s="26" t="n">
        <f aca="false">Data!A556</f>
        <v>551</v>
      </c>
      <c r="B556" s="26" t="n">
        <f aca="false">IF(INDEX(Pengaturan!$B$8:$B$27,B$4)="",0,COUNTIF(Data!$B556:$U556,INDEX(Pengaturan!$B$8:$B$27,B$4)))</f>
        <v>0</v>
      </c>
      <c r="C556" s="26" t="n">
        <f aca="false">IF(INDEX(Pengaturan!$B$8:$B$27,C$4)="",0,COUNTIF(Data!$B556:$U556,INDEX(Pengaturan!$B$8:$B$27,C$4)))</f>
        <v>0</v>
      </c>
      <c r="D556" s="26" t="n">
        <f aca="false">IF(INDEX(Pengaturan!$B$8:$B$27,D$4)="",0,COUNTIF(Data!$B556:$U556,INDEX(Pengaturan!$B$8:$B$27,D$4)))</f>
        <v>0</v>
      </c>
      <c r="E556" s="26" t="n">
        <f aca="false">IF(INDEX(Pengaturan!$B$8:$B$27,E$4)="",0,COUNTIF(Data!$B556:$U556,INDEX(Pengaturan!$B$8:$B$27,E$4)))</f>
        <v>0</v>
      </c>
      <c r="F556" s="26" t="n">
        <f aca="false">IF(INDEX(Pengaturan!$B$8:$B$27,F$4)="",0,COUNTIF(Data!$B556:$U556,INDEX(Pengaturan!$B$8:$B$27,F$4)))</f>
        <v>0</v>
      </c>
      <c r="G556" s="26" t="n">
        <f aca="false">IF(INDEX(Pengaturan!$B$8:$B$27,G$4)="",0,COUNTIF(Data!$B556:$U556,INDEX(Pengaturan!$B$8:$B$27,G$4)))</f>
        <v>0</v>
      </c>
      <c r="H556" s="26" t="n">
        <f aca="false">IF(INDEX(Pengaturan!$B$8:$B$27,H$4)="",0,COUNTIF(Data!$B556:$U556,INDEX(Pengaturan!$B$8:$B$27,H$4)))</f>
        <v>0</v>
      </c>
      <c r="I556" s="26" t="n">
        <f aca="false">IF(INDEX(Pengaturan!$B$8:$B$27,I$4)="",0,COUNTIF(Data!$B556:$U556,INDEX(Pengaturan!$B$8:$B$27,I$4)))</f>
        <v>0</v>
      </c>
      <c r="J556" s="26" t="n">
        <f aca="false">IF(INDEX(Pengaturan!$B$8:$B$27,J$4)="",0,COUNTIF(Data!$B556:$U556,INDEX(Pengaturan!$B$8:$B$27,J$4)))</f>
        <v>0</v>
      </c>
      <c r="K556" s="26" t="n">
        <f aca="false">IF(INDEX(Pengaturan!$B$8:$B$27,K$4)="",0,COUNTIF(Data!$B556:$U556,INDEX(Pengaturan!$B$8:$B$27,K$4)))</f>
        <v>0</v>
      </c>
      <c r="L556" s="26" t="n">
        <f aca="false">IF(INDEX(Pengaturan!$B$8:$B$27,L$4)="",0,COUNTIF(Data!$B556:$U556,INDEX(Pengaturan!$B$8:$B$27,L$4)))</f>
        <v>0</v>
      </c>
      <c r="M556" s="26" t="n">
        <f aca="false">IF(INDEX(Pengaturan!$B$8:$B$27,M$4)="",0,COUNTIF(Data!$B556:$U556,INDEX(Pengaturan!$B$8:$B$27,M$4)))</f>
        <v>0</v>
      </c>
      <c r="N556" s="26" t="n">
        <f aca="false">IF(INDEX(Pengaturan!$B$8:$B$27,N$4)="",0,COUNTIF(Data!$B556:$U556,INDEX(Pengaturan!$B$8:$B$27,N$4)))</f>
        <v>0</v>
      </c>
      <c r="O556" s="26" t="n">
        <f aca="false">IF(INDEX(Pengaturan!$B$8:$B$27,O$4)="",0,COUNTIF(Data!$B556:$U556,INDEX(Pengaturan!$B$8:$B$27,O$4)))</f>
        <v>0</v>
      </c>
      <c r="P556" s="26" t="n">
        <f aca="false">IF(INDEX(Pengaturan!$B$8:$B$27,P$4)="",0,COUNTIF(Data!$B556:$U556,INDEX(Pengaturan!$B$8:$B$27,P$4)))</f>
        <v>0</v>
      </c>
      <c r="Q556" s="26" t="n">
        <f aca="false">IF(INDEX(Pengaturan!$B$8:$B$27,Q$4)="",0,COUNTIF(Data!$B556:$U556,INDEX(Pengaturan!$B$8:$B$27,Q$4)))</f>
        <v>0</v>
      </c>
      <c r="R556" s="26" t="n">
        <f aca="false">IF(INDEX(Pengaturan!$B$8:$B$27,R$4)="",0,COUNTIF(Data!$B556:$U556,INDEX(Pengaturan!$B$8:$B$27,R$4)))</f>
        <v>0</v>
      </c>
      <c r="S556" s="26" t="n">
        <f aca="false">IF(INDEX(Pengaturan!$B$8:$B$27,S$4)="",0,COUNTIF(Data!$B556:$U556,INDEX(Pengaturan!$B$8:$B$27,S$4)))</f>
        <v>0</v>
      </c>
      <c r="T556" s="26" t="n">
        <f aca="false">IF(INDEX(Pengaturan!$B$8:$B$27,T$4)="",0,COUNTIF(Data!$B556:$U556,INDEX(Pengaturan!$B$8:$B$27,T$4)))</f>
        <v>0</v>
      </c>
      <c r="U556" s="26" t="n">
        <f aca="false">IF(INDEX(Pengaturan!$B$8:$B$27,U$4)="",0,COUNTIF(Data!$B556:$U556,INDEX(Pengaturan!$B$8:$B$27,U$4)))</f>
        <v>0</v>
      </c>
      <c r="V556" s="26" t="n">
        <f aca="false">COUNTA(Data!$B556:$U556)</f>
        <v>0</v>
      </c>
      <c r="W556" s="27" t="str">
        <f aca="false">IF(V556=0,"",IF(V556&lt;&gt;Hasil!$C$4,"Data kosong/tidak lengkap",IF(SUM(B556:U556)&lt;&gt;V556,"Kategori tidak dikenal","OK")))</f>
        <v/>
      </c>
      <c r="X556" s="26" t="n">
        <f aca="false">IF(OR(W556="",W556="OK"),0,1)</f>
        <v>0</v>
      </c>
    </row>
    <row r="557" customFormat="false" ht="15" hidden="false" customHeight="false" outlineLevel="0" collapsed="false">
      <c r="A557" s="26" t="n">
        <f aca="false">Data!A557</f>
        <v>552</v>
      </c>
      <c r="B557" s="26" t="n">
        <f aca="false">IF(INDEX(Pengaturan!$B$8:$B$27,B$4)="",0,COUNTIF(Data!$B557:$U557,INDEX(Pengaturan!$B$8:$B$27,B$4)))</f>
        <v>0</v>
      </c>
      <c r="C557" s="26" t="n">
        <f aca="false">IF(INDEX(Pengaturan!$B$8:$B$27,C$4)="",0,COUNTIF(Data!$B557:$U557,INDEX(Pengaturan!$B$8:$B$27,C$4)))</f>
        <v>0</v>
      </c>
      <c r="D557" s="26" t="n">
        <f aca="false">IF(INDEX(Pengaturan!$B$8:$B$27,D$4)="",0,COUNTIF(Data!$B557:$U557,INDEX(Pengaturan!$B$8:$B$27,D$4)))</f>
        <v>0</v>
      </c>
      <c r="E557" s="26" t="n">
        <f aca="false">IF(INDEX(Pengaturan!$B$8:$B$27,E$4)="",0,COUNTIF(Data!$B557:$U557,INDEX(Pengaturan!$B$8:$B$27,E$4)))</f>
        <v>0</v>
      </c>
      <c r="F557" s="26" t="n">
        <f aca="false">IF(INDEX(Pengaturan!$B$8:$B$27,F$4)="",0,COUNTIF(Data!$B557:$U557,INDEX(Pengaturan!$B$8:$B$27,F$4)))</f>
        <v>0</v>
      </c>
      <c r="G557" s="26" t="n">
        <f aca="false">IF(INDEX(Pengaturan!$B$8:$B$27,G$4)="",0,COUNTIF(Data!$B557:$U557,INDEX(Pengaturan!$B$8:$B$27,G$4)))</f>
        <v>0</v>
      </c>
      <c r="H557" s="26" t="n">
        <f aca="false">IF(INDEX(Pengaturan!$B$8:$B$27,H$4)="",0,COUNTIF(Data!$B557:$U557,INDEX(Pengaturan!$B$8:$B$27,H$4)))</f>
        <v>0</v>
      </c>
      <c r="I557" s="26" t="n">
        <f aca="false">IF(INDEX(Pengaturan!$B$8:$B$27,I$4)="",0,COUNTIF(Data!$B557:$U557,INDEX(Pengaturan!$B$8:$B$27,I$4)))</f>
        <v>0</v>
      </c>
      <c r="J557" s="26" t="n">
        <f aca="false">IF(INDEX(Pengaturan!$B$8:$B$27,J$4)="",0,COUNTIF(Data!$B557:$U557,INDEX(Pengaturan!$B$8:$B$27,J$4)))</f>
        <v>0</v>
      </c>
      <c r="K557" s="26" t="n">
        <f aca="false">IF(INDEX(Pengaturan!$B$8:$B$27,K$4)="",0,COUNTIF(Data!$B557:$U557,INDEX(Pengaturan!$B$8:$B$27,K$4)))</f>
        <v>0</v>
      </c>
      <c r="L557" s="26" t="n">
        <f aca="false">IF(INDEX(Pengaturan!$B$8:$B$27,L$4)="",0,COUNTIF(Data!$B557:$U557,INDEX(Pengaturan!$B$8:$B$27,L$4)))</f>
        <v>0</v>
      </c>
      <c r="M557" s="26" t="n">
        <f aca="false">IF(INDEX(Pengaturan!$B$8:$B$27,M$4)="",0,COUNTIF(Data!$B557:$U557,INDEX(Pengaturan!$B$8:$B$27,M$4)))</f>
        <v>0</v>
      </c>
      <c r="N557" s="26" t="n">
        <f aca="false">IF(INDEX(Pengaturan!$B$8:$B$27,N$4)="",0,COUNTIF(Data!$B557:$U557,INDEX(Pengaturan!$B$8:$B$27,N$4)))</f>
        <v>0</v>
      </c>
      <c r="O557" s="26" t="n">
        <f aca="false">IF(INDEX(Pengaturan!$B$8:$B$27,O$4)="",0,COUNTIF(Data!$B557:$U557,INDEX(Pengaturan!$B$8:$B$27,O$4)))</f>
        <v>0</v>
      </c>
      <c r="P557" s="26" t="n">
        <f aca="false">IF(INDEX(Pengaturan!$B$8:$B$27,P$4)="",0,COUNTIF(Data!$B557:$U557,INDEX(Pengaturan!$B$8:$B$27,P$4)))</f>
        <v>0</v>
      </c>
      <c r="Q557" s="26" t="n">
        <f aca="false">IF(INDEX(Pengaturan!$B$8:$B$27,Q$4)="",0,COUNTIF(Data!$B557:$U557,INDEX(Pengaturan!$B$8:$B$27,Q$4)))</f>
        <v>0</v>
      </c>
      <c r="R557" s="26" t="n">
        <f aca="false">IF(INDEX(Pengaturan!$B$8:$B$27,R$4)="",0,COUNTIF(Data!$B557:$U557,INDEX(Pengaturan!$B$8:$B$27,R$4)))</f>
        <v>0</v>
      </c>
      <c r="S557" s="26" t="n">
        <f aca="false">IF(INDEX(Pengaturan!$B$8:$B$27,S$4)="",0,COUNTIF(Data!$B557:$U557,INDEX(Pengaturan!$B$8:$B$27,S$4)))</f>
        <v>0</v>
      </c>
      <c r="T557" s="26" t="n">
        <f aca="false">IF(INDEX(Pengaturan!$B$8:$B$27,T$4)="",0,COUNTIF(Data!$B557:$U557,INDEX(Pengaturan!$B$8:$B$27,T$4)))</f>
        <v>0</v>
      </c>
      <c r="U557" s="26" t="n">
        <f aca="false">IF(INDEX(Pengaturan!$B$8:$B$27,U$4)="",0,COUNTIF(Data!$B557:$U557,INDEX(Pengaturan!$B$8:$B$27,U$4)))</f>
        <v>0</v>
      </c>
      <c r="V557" s="26" t="n">
        <f aca="false">COUNTA(Data!$B557:$U557)</f>
        <v>0</v>
      </c>
      <c r="W557" s="27" t="str">
        <f aca="false">IF(V557=0,"",IF(V557&lt;&gt;Hasil!$C$4,"Data kosong/tidak lengkap",IF(SUM(B557:U557)&lt;&gt;V557,"Kategori tidak dikenal","OK")))</f>
        <v/>
      </c>
      <c r="X557" s="26" t="n">
        <f aca="false">IF(OR(W557="",W557="OK"),0,1)</f>
        <v>0</v>
      </c>
    </row>
    <row r="558" customFormat="false" ht="15" hidden="false" customHeight="false" outlineLevel="0" collapsed="false">
      <c r="A558" s="26" t="n">
        <f aca="false">Data!A558</f>
        <v>553</v>
      </c>
      <c r="B558" s="26" t="n">
        <f aca="false">IF(INDEX(Pengaturan!$B$8:$B$27,B$4)="",0,COUNTIF(Data!$B558:$U558,INDEX(Pengaturan!$B$8:$B$27,B$4)))</f>
        <v>0</v>
      </c>
      <c r="C558" s="26" t="n">
        <f aca="false">IF(INDEX(Pengaturan!$B$8:$B$27,C$4)="",0,COUNTIF(Data!$B558:$U558,INDEX(Pengaturan!$B$8:$B$27,C$4)))</f>
        <v>0</v>
      </c>
      <c r="D558" s="26" t="n">
        <f aca="false">IF(INDEX(Pengaturan!$B$8:$B$27,D$4)="",0,COUNTIF(Data!$B558:$U558,INDEX(Pengaturan!$B$8:$B$27,D$4)))</f>
        <v>0</v>
      </c>
      <c r="E558" s="26" t="n">
        <f aca="false">IF(INDEX(Pengaturan!$B$8:$B$27,E$4)="",0,COUNTIF(Data!$B558:$U558,INDEX(Pengaturan!$B$8:$B$27,E$4)))</f>
        <v>0</v>
      </c>
      <c r="F558" s="26" t="n">
        <f aca="false">IF(INDEX(Pengaturan!$B$8:$B$27,F$4)="",0,COUNTIF(Data!$B558:$U558,INDEX(Pengaturan!$B$8:$B$27,F$4)))</f>
        <v>0</v>
      </c>
      <c r="G558" s="26" t="n">
        <f aca="false">IF(INDEX(Pengaturan!$B$8:$B$27,G$4)="",0,COUNTIF(Data!$B558:$U558,INDEX(Pengaturan!$B$8:$B$27,G$4)))</f>
        <v>0</v>
      </c>
      <c r="H558" s="26" t="n">
        <f aca="false">IF(INDEX(Pengaturan!$B$8:$B$27,H$4)="",0,COUNTIF(Data!$B558:$U558,INDEX(Pengaturan!$B$8:$B$27,H$4)))</f>
        <v>0</v>
      </c>
      <c r="I558" s="26" t="n">
        <f aca="false">IF(INDEX(Pengaturan!$B$8:$B$27,I$4)="",0,COUNTIF(Data!$B558:$U558,INDEX(Pengaturan!$B$8:$B$27,I$4)))</f>
        <v>0</v>
      </c>
      <c r="J558" s="26" t="n">
        <f aca="false">IF(INDEX(Pengaturan!$B$8:$B$27,J$4)="",0,COUNTIF(Data!$B558:$U558,INDEX(Pengaturan!$B$8:$B$27,J$4)))</f>
        <v>0</v>
      </c>
      <c r="K558" s="26" t="n">
        <f aca="false">IF(INDEX(Pengaturan!$B$8:$B$27,K$4)="",0,COUNTIF(Data!$B558:$U558,INDEX(Pengaturan!$B$8:$B$27,K$4)))</f>
        <v>0</v>
      </c>
      <c r="L558" s="26" t="n">
        <f aca="false">IF(INDEX(Pengaturan!$B$8:$B$27,L$4)="",0,COUNTIF(Data!$B558:$U558,INDEX(Pengaturan!$B$8:$B$27,L$4)))</f>
        <v>0</v>
      </c>
      <c r="M558" s="26" t="n">
        <f aca="false">IF(INDEX(Pengaturan!$B$8:$B$27,M$4)="",0,COUNTIF(Data!$B558:$U558,INDEX(Pengaturan!$B$8:$B$27,M$4)))</f>
        <v>0</v>
      </c>
      <c r="N558" s="26" t="n">
        <f aca="false">IF(INDEX(Pengaturan!$B$8:$B$27,N$4)="",0,COUNTIF(Data!$B558:$U558,INDEX(Pengaturan!$B$8:$B$27,N$4)))</f>
        <v>0</v>
      </c>
      <c r="O558" s="26" t="n">
        <f aca="false">IF(INDEX(Pengaturan!$B$8:$B$27,O$4)="",0,COUNTIF(Data!$B558:$U558,INDEX(Pengaturan!$B$8:$B$27,O$4)))</f>
        <v>0</v>
      </c>
      <c r="P558" s="26" t="n">
        <f aca="false">IF(INDEX(Pengaturan!$B$8:$B$27,P$4)="",0,COUNTIF(Data!$B558:$U558,INDEX(Pengaturan!$B$8:$B$27,P$4)))</f>
        <v>0</v>
      </c>
      <c r="Q558" s="26" t="n">
        <f aca="false">IF(INDEX(Pengaturan!$B$8:$B$27,Q$4)="",0,COUNTIF(Data!$B558:$U558,INDEX(Pengaturan!$B$8:$B$27,Q$4)))</f>
        <v>0</v>
      </c>
      <c r="R558" s="26" t="n">
        <f aca="false">IF(INDEX(Pengaturan!$B$8:$B$27,R$4)="",0,COUNTIF(Data!$B558:$U558,INDEX(Pengaturan!$B$8:$B$27,R$4)))</f>
        <v>0</v>
      </c>
      <c r="S558" s="26" t="n">
        <f aca="false">IF(INDEX(Pengaturan!$B$8:$B$27,S$4)="",0,COUNTIF(Data!$B558:$U558,INDEX(Pengaturan!$B$8:$B$27,S$4)))</f>
        <v>0</v>
      </c>
      <c r="T558" s="26" t="n">
        <f aca="false">IF(INDEX(Pengaturan!$B$8:$B$27,T$4)="",0,COUNTIF(Data!$B558:$U558,INDEX(Pengaturan!$B$8:$B$27,T$4)))</f>
        <v>0</v>
      </c>
      <c r="U558" s="26" t="n">
        <f aca="false">IF(INDEX(Pengaturan!$B$8:$B$27,U$4)="",0,COUNTIF(Data!$B558:$U558,INDEX(Pengaturan!$B$8:$B$27,U$4)))</f>
        <v>0</v>
      </c>
      <c r="V558" s="26" t="n">
        <f aca="false">COUNTA(Data!$B558:$U558)</f>
        <v>0</v>
      </c>
      <c r="W558" s="27" t="str">
        <f aca="false">IF(V558=0,"",IF(V558&lt;&gt;Hasil!$C$4,"Data kosong/tidak lengkap",IF(SUM(B558:U558)&lt;&gt;V558,"Kategori tidak dikenal","OK")))</f>
        <v/>
      </c>
      <c r="X558" s="26" t="n">
        <f aca="false">IF(OR(W558="",W558="OK"),0,1)</f>
        <v>0</v>
      </c>
    </row>
    <row r="559" customFormat="false" ht="15" hidden="false" customHeight="false" outlineLevel="0" collapsed="false">
      <c r="A559" s="26" t="n">
        <f aca="false">Data!A559</f>
        <v>554</v>
      </c>
      <c r="B559" s="26" t="n">
        <f aca="false">IF(INDEX(Pengaturan!$B$8:$B$27,B$4)="",0,COUNTIF(Data!$B559:$U559,INDEX(Pengaturan!$B$8:$B$27,B$4)))</f>
        <v>0</v>
      </c>
      <c r="C559" s="26" t="n">
        <f aca="false">IF(INDEX(Pengaturan!$B$8:$B$27,C$4)="",0,COUNTIF(Data!$B559:$U559,INDEX(Pengaturan!$B$8:$B$27,C$4)))</f>
        <v>0</v>
      </c>
      <c r="D559" s="26" t="n">
        <f aca="false">IF(INDEX(Pengaturan!$B$8:$B$27,D$4)="",0,COUNTIF(Data!$B559:$U559,INDEX(Pengaturan!$B$8:$B$27,D$4)))</f>
        <v>0</v>
      </c>
      <c r="E559" s="26" t="n">
        <f aca="false">IF(INDEX(Pengaturan!$B$8:$B$27,E$4)="",0,COUNTIF(Data!$B559:$U559,INDEX(Pengaturan!$B$8:$B$27,E$4)))</f>
        <v>0</v>
      </c>
      <c r="F559" s="26" t="n">
        <f aca="false">IF(INDEX(Pengaturan!$B$8:$B$27,F$4)="",0,COUNTIF(Data!$B559:$U559,INDEX(Pengaturan!$B$8:$B$27,F$4)))</f>
        <v>0</v>
      </c>
      <c r="G559" s="26" t="n">
        <f aca="false">IF(INDEX(Pengaturan!$B$8:$B$27,G$4)="",0,COUNTIF(Data!$B559:$U559,INDEX(Pengaturan!$B$8:$B$27,G$4)))</f>
        <v>0</v>
      </c>
      <c r="H559" s="26" t="n">
        <f aca="false">IF(INDEX(Pengaturan!$B$8:$B$27,H$4)="",0,COUNTIF(Data!$B559:$U559,INDEX(Pengaturan!$B$8:$B$27,H$4)))</f>
        <v>0</v>
      </c>
      <c r="I559" s="26" t="n">
        <f aca="false">IF(INDEX(Pengaturan!$B$8:$B$27,I$4)="",0,COUNTIF(Data!$B559:$U559,INDEX(Pengaturan!$B$8:$B$27,I$4)))</f>
        <v>0</v>
      </c>
      <c r="J559" s="26" t="n">
        <f aca="false">IF(INDEX(Pengaturan!$B$8:$B$27,J$4)="",0,COUNTIF(Data!$B559:$U559,INDEX(Pengaturan!$B$8:$B$27,J$4)))</f>
        <v>0</v>
      </c>
      <c r="K559" s="26" t="n">
        <f aca="false">IF(INDEX(Pengaturan!$B$8:$B$27,K$4)="",0,COUNTIF(Data!$B559:$U559,INDEX(Pengaturan!$B$8:$B$27,K$4)))</f>
        <v>0</v>
      </c>
      <c r="L559" s="26" t="n">
        <f aca="false">IF(INDEX(Pengaturan!$B$8:$B$27,L$4)="",0,COUNTIF(Data!$B559:$U559,INDEX(Pengaturan!$B$8:$B$27,L$4)))</f>
        <v>0</v>
      </c>
      <c r="M559" s="26" t="n">
        <f aca="false">IF(INDEX(Pengaturan!$B$8:$B$27,M$4)="",0,COUNTIF(Data!$B559:$U559,INDEX(Pengaturan!$B$8:$B$27,M$4)))</f>
        <v>0</v>
      </c>
      <c r="N559" s="26" t="n">
        <f aca="false">IF(INDEX(Pengaturan!$B$8:$B$27,N$4)="",0,COUNTIF(Data!$B559:$U559,INDEX(Pengaturan!$B$8:$B$27,N$4)))</f>
        <v>0</v>
      </c>
      <c r="O559" s="26" t="n">
        <f aca="false">IF(INDEX(Pengaturan!$B$8:$B$27,O$4)="",0,COUNTIF(Data!$B559:$U559,INDEX(Pengaturan!$B$8:$B$27,O$4)))</f>
        <v>0</v>
      </c>
      <c r="P559" s="26" t="n">
        <f aca="false">IF(INDEX(Pengaturan!$B$8:$B$27,P$4)="",0,COUNTIF(Data!$B559:$U559,INDEX(Pengaturan!$B$8:$B$27,P$4)))</f>
        <v>0</v>
      </c>
      <c r="Q559" s="26" t="n">
        <f aca="false">IF(INDEX(Pengaturan!$B$8:$B$27,Q$4)="",0,COUNTIF(Data!$B559:$U559,INDEX(Pengaturan!$B$8:$B$27,Q$4)))</f>
        <v>0</v>
      </c>
      <c r="R559" s="26" t="n">
        <f aca="false">IF(INDEX(Pengaturan!$B$8:$B$27,R$4)="",0,COUNTIF(Data!$B559:$U559,INDEX(Pengaturan!$B$8:$B$27,R$4)))</f>
        <v>0</v>
      </c>
      <c r="S559" s="26" t="n">
        <f aca="false">IF(INDEX(Pengaturan!$B$8:$B$27,S$4)="",0,COUNTIF(Data!$B559:$U559,INDEX(Pengaturan!$B$8:$B$27,S$4)))</f>
        <v>0</v>
      </c>
      <c r="T559" s="26" t="n">
        <f aca="false">IF(INDEX(Pengaturan!$B$8:$B$27,T$4)="",0,COUNTIF(Data!$B559:$U559,INDEX(Pengaturan!$B$8:$B$27,T$4)))</f>
        <v>0</v>
      </c>
      <c r="U559" s="26" t="n">
        <f aca="false">IF(INDEX(Pengaturan!$B$8:$B$27,U$4)="",0,COUNTIF(Data!$B559:$U559,INDEX(Pengaturan!$B$8:$B$27,U$4)))</f>
        <v>0</v>
      </c>
      <c r="V559" s="26" t="n">
        <f aca="false">COUNTA(Data!$B559:$U559)</f>
        <v>0</v>
      </c>
      <c r="W559" s="27" t="str">
        <f aca="false">IF(V559=0,"",IF(V559&lt;&gt;Hasil!$C$4,"Data kosong/tidak lengkap",IF(SUM(B559:U559)&lt;&gt;V559,"Kategori tidak dikenal","OK")))</f>
        <v/>
      </c>
      <c r="X559" s="26" t="n">
        <f aca="false">IF(OR(W559="",W559="OK"),0,1)</f>
        <v>0</v>
      </c>
    </row>
    <row r="560" customFormat="false" ht="15" hidden="false" customHeight="false" outlineLevel="0" collapsed="false">
      <c r="A560" s="26" t="n">
        <f aca="false">Data!A560</f>
        <v>555</v>
      </c>
      <c r="B560" s="26" t="n">
        <f aca="false">IF(INDEX(Pengaturan!$B$8:$B$27,B$4)="",0,COUNTIF(Data!$B560:$U560,INDEX(Pengaturan!$B$8:$B$27,B$4)))</f>
        <v>0</v>
      </c>
      <c r="C560" s="26" t="n">
        <f aca="false">IF(INDEX(Pengaturan!$B$8:$B$27,C$4)="",0,COUNTIF(Data!$B560:$U560,INDEX(Pengaturan!$B$8:$B$27,C$4)))</f>
        <v>0</v>
      </c>
      <c r="D560" s="26" t="n">
        <f aca="false">IF(INDEX(Pengaturan!$B$8:$B$27,D$4)="",0,COUNTIF(Data!$B560:$U560,INDEX(Pengaturan!$B$8:$B$27,D$4)))</f>
        <v>0</v>
      </c>
      <c r="E560" s="26" t="n">
        <f aca="false">IF(INDEX(Pengaturan!$B$8:$B$27,E$4)="",0,COUNTIF(Data!$B560:$U560,INDEX(Pengaturan!$B$8:$B$27,E$4)))</f>
        <v>0</v>
      </c>
      <c r="F560" s="26" t="n">
        <f aca="false">IF(INDEX(Pengaturan!$B$8:$B$27,F$4)="",0,COUNTIF(Data!$B560:$U560,INDEX(Pengaturan!$B$8:$B$27,F$4)))</f>
        <v>0</v>
      </c>
      <c r="G560" s="26" t="n">
        <f aca="false">IF(INDEX(Pengaturan!$B$8:$B$27,G$4)="",0,COUNTIF(Data!$B560:$U560,INDEX(Pengaturan!$B$8:$B$27,G$4)))</f>
        <v>0</v>
      </c>
      <c r="H560" s="26" t="n">
        <f aca="false">IF(INDEX(Pengaturan!$B$8:$B$27,H$4)="",0,COUNTIF(Data!$B560:$U560,INDEX(Pengaturan!$B$8:$B$27,H$4)))</f>
        <v>0</v>
      </c>
      <c r="I560" s="26" t="n">
        <f aca="false">IF(INDEX(Pengaturan!$B$8:$B$27,I$4)="",0,COUNTIF(Data!$B560:$U560,INDEX(Pengaturan!$B$8:$B$27,I$4)))</f>
        <v>0</v>
      </c>
      <c r="J560" s="26" t="n">
        <f aca="false">IF(INDEX(Pengaturan!$B$8:$B$27,J$4)="",0,COUNTIF(Data!$B560:$U560,INDEX(Pengaturan!$B$8:$B$27,J$4)))</f>
        <v>0</v>
      </c>
      <c r="K560" s="26" t="n">
        <f aca="false">IF(INDEX(Pengaturan!$B$8:$B$27,K$4)="",0,COUNTIF(Data!$B560:$U560,INDEX(Pengaturan!$B$8:$B$27,K$4)))</f>
        <v>0</v>
      </c>
      <c r="L560" s="26" t="n">
        <f aca="false">IF(INDEX(Pengaturan!$B$8:$B$27,L$4)="",0,COUNTIF(Data!$B560:$U560,INDEX(Pengaturan!$B$8:$B$27,L$4)))</f>
        <v>0</v>
      </c>
      <c r="M560" s="26" t="n">
        <f aca="false">IF(INDEX(Pengaturan!$B$8:$B$27,M$4)="",0,COUNTIF(Data!$B560:$U560,INDEX(Pengaturan!$B$8:$B$27,M$4)))</f>
        <v>0</v>
      </c>
      <c r="N560" s="26" t="n">
        <f aca="false">IF(INDEX(Pengaturan!$B$8:$B$27,N$4)="",0,COUNTIF(Data!$B560:$U560,INDEX(Pengaturan!$B$8:$B$27,N$4)))</f>
        <v>0</v>
      </c>
      <c r="O560" s="26" t="n">
        <f aca="false">IF(INDEX(Pengaturan!$B$8:$B$27,O$4)="",0,COUNTIF(Data!$B560:$U560,INDEX(Pengaturan!$B$8:$B$27,O$4)))</f>
        <v>0</v>
      </c>
      <c r="P560" s="26" t="n">
        <f aca="false">IF(INDEX(Pengaturan!$B$8:$B$27,P$4)="",0,COUNTIF(Data!$B560:$U560,INDEX(Pengaturan!$B$8:$B$27,P$4)))</f>
        <v>0</v>
      </c>
      <c r="Q560" s="26" t="n">
        <f aca="false">IF(INDEX(Pengaturan!$B$8:$B$27,Q$4)="",0,COUNTIF(Data!$B560:$U560,INDEX(Pengaturan!$B$8:$B$27,Q$4)))</f>
        <v>0</v>
      </c>
      <c r="R560" s="26" t="n">
        <f aca="false">IF(INDEX(Pengaturan!$B$8:$B$27,R$4)="",0,COUNTIF(Data!$B560:$U560,INDEX(Pengaturan!$B$8:$B$27,R$4)))</f>
        <v>0</v>
      </c>
      <c r="S560" s="26" t="n">
        <f aca="false">IF(INDEX(Pengaturan!$B$8:$B$27,S$4)="",0,COUNTIF(Data!$B560:$U560,INDEX(Pengaturan!$B$8:$B$27,S$4)))</f>
        <v>0</v>
      </c>
      <c r="T560" s="26" t="n">
        <f aca="false">IF(INDEX(Pengaturan!$B$8:$B$27,T$4)="",0,COUNTIF(Data!$B560:$U560,INDEX(Pengaturan!$B$8:$B$27,T$4)))</f>
        <v>0</v>
      </c>
      <c r="U560" s="26" t="n">
        <f aca="false">IF(INDEX(Pengaturan!$B$8:$B$27,U$4)="",0,COUNTIF(Data!$B560:$U560,INDEX(Pengaturan!$B$8:$B$27,U$4)))</f>
        <v>0</v>
      </c>
      <c r="V560" s="26" t="n">
        <f aca="false">COUNTA(Data!$B560:$U560)</f>
        <v>0</v>
      </c>
      <c r="W560" s="27" t="str">
        <f aca="false">IF(V560=0,"",IF(V560&lt;&gt;Hasil!$C$4,"Data kosong/tidak lengkap",IF(SUM(B560:U560)&lt;&gt;V560,"Kategori tidak dikenal","OK")))</f>
        <v/>
      </c>
      <c r="X560" s="26" t="n">
        <f aca="false">IF(OR(W560="",W560="OK"),0,1)</f>
        <v>0</v>
      </c>
    </row>
    <row r="561" customFormat="false" ht="15" hidden="false" customHeight="false" outlineLevel="0" collapsed="false">
      <c r="A561" s="26" t="n">
        <f aca="false">Data!A561</f>
        <v>556</v>
      </c>
      <c r="B561" s="26" t="n">
        <f aca="false">IF(INDEX(Pengaturan!$B$8:$B$27,B$4)="",0,COUNTIF(Data!$B561:$U561,INDEX(Pengaturan!$B$8:$B$27,B$4)))</f>
        <v>0</v>
      </c>
      <c r="C561" s="26" t="n">
        <f aca="false">IF(INDEX(Pengaturan!$B$8:$B$27,C$4)="",0,COUNTIF(Data!$B561:$U561,INDEX(Pengaturan!$B$8:$B$27,C$4)))</f>
        <v>0</v>
      </c>
      <c r="D561" s="26" t="n">
        <f aca="false">IF(INDEX(Pengaturan!$B$8:$B$27,D$4)="",0,COUNTIF(Data!$B561:$U561,INDEX(Pengaturan!$B$8:$B$27,D$4)))</f>
        <v>0</v>
      </c>
      <c r="E561" s="26" t="n">
        <f aca="false">IF(INDEX(Pengaturan!$B$8:$B$27,E$4)="",0,COUNTIF(Data!$B561:$U561,INDEX(Pengaturan!$B$8:$B$27,E$4)))</f>
        <v>0</v>
      </c>
      <c r="F561" s="26" t="n">
        <f aca="false">IF(INDEX(Pengaturan!$B$8:$B$27,F$4)="",0,COUNTIF(Data!$B561:$U561,INDEX(Pengaturan!$B$8:$B$27,F$4)))</f>
        <v>0</v>
      </c>
      <c r="G561" s="26" t="n">
        <f aca="false">IF(INDEX(Pengaturan!$B$8:$B$27,G$4)="",0,COUNTIF(Data!$B561:$U561,INDEX(Pengaturan!$B$8:$B$27,G$4)))</f>
        <v>0</v>
      </c>
      <c r="H561" s="26" t="n">
        <f aca="false">IF(INDEX(Pengaturan!$B$8:$B$27,H$4)="",0,COUNTIF(Data!$B561:$U561,INDEX(Pengaturan!$B$8:$B$27,H$4)))</f>
        <v>0</v>
      </c>
      <c r="I561" s="26" t="n">
        <f aca="false">IF(INDEX(Pengaturan!$B$8:$B$27,I$4)="",0,COUNTIF(Data!$B561:$U561,INDEX(Pengaturan!$B$8:$B$27,I$4)))</f>
        <v>0</v>
      </c>
      <c r="J561" s="26" t="n">
        <f aca="false">IF(INDEX(Pengaturan!$B$8:$B$27,J$4)="",0,COUNTIF(Data!$B561:$U561,INDEX(Pengaturan!$B$8:$B$27,J$4)))</f>
        <v>0</v>
      </c>
      <c r="K561" s="26" t="n">
        <f aca="false">IF(INDEX(Pengaturan!$B$8:$B$27,K$4)="",0,COUNTIF(Data!$B561:$U561,INDEX(Pengaturan!$B$8:$B$27,K$4)))</f>
        <v>0</v>
      </c>
      <c r="L561" s="26" t="n">
        <f aca="false">IF(INDEX(Pengaturan!$B$8:$B$27,L$4)="",0,COUNTIF(Data!$B561:$U561,INDEX(Pengaturan!$B$8:$B$27,L$4)))</f>
        <v>0</v>
      </c>
      <c r="M561" s="26" t="n">
        <f aca="false">IF(INDEX(Pengaturan!$B$8:$B$27,M$4)="",0,COUNTIF(Data!$B561:$U561,INDEX(Pengaturan!$B$8:$B$27,M$4)))</f>
        <v>0</v>
      </c>
      <c r="N561" s="26" t="n">
        <f aca="false">IF(INDEX(Pengaturan!$B$8:$B$27,N$4)="",0,COUNTIF(Data!$B561:$U561,INDEX(Pengaturan!$B$8:$B$27,N$4)))</f>
        <v>0</v>
      </c>
      <c r="O561" s="26" t="n">
        <f aca="false">IF(INDEX(Pengaturan!$B$8:$B$27,O$4)="",0,COUNTIF(Data!$B561:$U561,INDEX(Pengaturan!$B$8:$B$27,O$4)))</f>
        <v>0</v>
      </c>
      <c r="P561" s="26" t="n">
        <f aca="false">IF(INDEX(Pengaturan!$B$8:$B$27,P$4)="",0,COUNTIF(Data!$B561:$U561,INDEX(Pengaturan!$B$8:$B$27,P$4)))</f>
        <v>0</v>
      </c>
      <c r="Q561" s="26" t="n">
        <f aca="false">IF(INDEX(Pengaturan!$B$8:$B$27,Q$4)="",0,COUNTIF(Data!$B561:$U561,INDEX(Pengaturan!$B$8:$B$27,Q$4)))</f>
        <v>0</v>
      </c>
      <c r="R561" s="26" t="n">
        <f aca="false">IF(INDEX(Pengaturan!$B$8:$B$27,R$4)="",0,COUNTIF(Data!$B561:$U561,INDEX(Pengaturan!$B$8:$B$27,R$4)))</f>
        <v>0</v>
      </c>
      <c r="S561" s="26" t="n">
        <f aca="false">IF(INDEX(Pengaturan!$B$8:$B$27,S$4)="",0,COUNTIF(Data!$B561:$U561,INDEX(Pengaturan!$B$8:$B$27,S$4)))</f>
        <v>0</v>
      </c>
      <c r="T561" s="26" t="n">
        <f aca="false">IF(INDEX(Pengaturan!$B$8:$B$27,T$4)="",0,COUNTIF(Data!$B561:$U561,INDEX(Pengaturan!$B$8:$B$27,T$4)))</f>
        <v>0</v>
      </c>
      <c r="U561" s="26" t="n">
        <f aca="false">IF(INDEX(Pengaturan!$B$8:$B$27,U$4)="",0,COUNTIF(Data!$B561:$U561,INDEX(Pengaturan!$B$8:$B$27,U$4)))</f>
        <v>0</v>
      </c>
      <c r="V561" s="26" t="n">
        <f aca="false">COUNTA(Data!$B561:$U561)</f>
        <v>0</v>
      </c>
      <c r="W561" s="27" t="str">
        <f aca="false">IF(V561=0,"",IF(V561&lt;&gt;Hasil!$C$4,"Data kosong/tidak lengkap",IF(SUM(B561:U561)&lt;&gt;V561,"Kategori tidak dikenal","OK")))</f>
        <v/>
      </c>
      <c r="X561" s="26" t="n">
        <f aca="false">IF(OR(W561="",W561="OK"),0,1)</f>
        <v>0</v>
      </c>
    </row>
    <row r="562" customFormat="false" ht="15" hidden="false" customHeight="false" outlineLevel="0" collapsed="false">
      <c r="A562" s="26" t="n">
        <f aca="false">Data!A562</f>
        <v>557</v>
      </c>
      <c r="B562" s="26" t="n">
        <f aca="false">IF(INDEX(Pengaturan!$B$8:$B$27,B$4)="",0,COUNTIF(Data!$B562:$U562,INDEX(Pengaturan!$B$8:$B$27,B$4)))</f>
        <v>0</v>
      </c>
      <c r="C562" s="26" t="n">
        <f aca="false">IF(INDEX(Pengaturan!$B$8:$B$27,C$4)="",0,COUNTIF(Data!$B562:$U562,INDEX(Pengaturan!$B$8:$B$27,C$4)))</f>
        <v>0</v>
      </c>
      <c r="D562" s="26" t="n">
        <f aca="false">IF(INDEX(Pengaturan!$B$8:$B$27,D$4)="",0,COUNTIF(Data!$B562:$U562,INDEX(Pengaturan!$B$8:$B$27,D$4)))</f>
        <v>0</v>
      </c>
      <c r="E562" s="26" t="n">
        <f aca="false">IF(INDEX(Pengaturan!$B$8:$B$27,E$4)="",0,COUNTIF(Data!$B562:$U562,INDEX(Pengaturan!$B$8:$B$27,E$4)))</f>
        <v>0</v>
      </c>
      <c r="F562" s="26" t="n">
        <f aca="false">IF(INDEX(Pengaturan!$B$8:$B$27,F$4)="",0,COUNTIF(Data!$B562:$U562,INDEX(Pengaturan!$B$8:$B$27,F$4)))</f>
        <v>0</v>
      </c>
      <c r="G562" s="26" t="n">
        <f aca="false">IF(INDEX(Pengaturan!$B$8:$B$27,G$4)="",0,COUNTIF(Data!$B562:$U562,INDEX(Pengaturan!$B$8:$B$27,G$4)))</f>
        <v>0</v>
      </c>
      <c r="H562" s="26" t="n">
        <f aca="false">IF(INDEX(Pengaturan!$B$8:$B$27,H$4)="",0,COUNTIF(Data!$B562:$U562,INDEX(Pengaturan!$B$8:$B$27,H$4)))</f>
        <v>0</v>
      </c>
      <c r="I562" s="26" t="n">
        <f aca="false">IF(INDEX(Pengaturan!$B$8:$B$27,I$4)="",0,COUNTIF(Data!$B562:$U562,INDEX(Pengaturan!$B$8:$B$27,I$4)))</f>
        <v>0</v>
      </c>
      <c r="J562" s="26" t="n">
        <f aca="false">IF(INDEX(Pengaturan!$B$8:$B$27,J$4)="",0,COUNTIF(Data!$B562:$U562,INDEX(Pengaturan!$B$8:$B$27,J$4)))</f>
        <v>0</v>
      </c>
      <c r="K562" s="26" t="n">
        <f aca="false">IF(INDEX(Pengaturan!$B$8:$B$27,K$4)="",0,COUNTIF(Data!$B562:$U562,INDEX(Pengaturan!$B$8:$B$27,K$4)))</f>
        <v>0</v>
      </c>
      <c r="L562" s="26" t="n">
        <f aca="false">IF(INDEX(Pengaturan!$B$8:$B$27,L$4)="",0,COUNTIF(Data!$B562:$U562,INDEX(Pengaturan!$B$8:$B$27,L$4)))</f>
        <v>0</v>
      </c>
      <c r="M562" s="26" t="n">
        <f aca="false">IF(INDEX(Pengaturan!$B$8:$B$27,M$4)="",0,COUNTIF(Data!$B562:$U562,INDEX(Pengaturan!$B$8:$B$27,M$4)))</f>
        <v>0</v>
      </c>
      <c r="N562" s="26" t="n">
        <f aca="false">IF(INDEX(Pengaturan!$B$8:$B$27,N$4)="",0,COUNTIF(Data!$B562:$U562,INDEX(Pengaturan!$B$8:$B$27,N$4)))</f>
        <v>0</v>
      </c>
      <c r="O562" s="26" t="n">
        <f aca="false">IF(INDEX(Pengaturan!$B$8:$B$27,O$4)="",0,COUNTIF(Data!$B562:$U562,INDEX(Pengaturan!$B$8:$B$27,O$4)))</f>
        <v>0</v>
      </c>
      <c r="P562" s="26" t="n">
        <f aca="false">IF(INDEX(Pengaturan!$B$8:$B$27,P$4)="",0,COUNTIF(Data!$B562:$U562,INDEX(Pengaturan!$B$8:$B$27,P$4)))</f>
        <v>0</v>
      </c>
      <c r="Q562" s="26" t="n">
        <f aca="false">IF(INDEX(Pengaturan!$B$8:$B$27,Q$4)="",0,COUNTIF(Data!$B562:$U562,INDEX(Pengaturan!$B$8:$B$27,Q$4)))</f>
        <v>0</v>
      </c>
      <c r="R562" s="26" t="n">
        <f aca="false">IF(INDEX(Pengaturan!$B$8:$B$27,R$4)="",0,COUNTIF(Data!$B562:$U562,INDEX(Pengaturan!$B$8:$B$27,R$4)))</f>
        <v>0</v>
      </c>
      <c r="S562" s="26" t="n">
        <f aca="false">IF(INDEX(Pengaturan!$B$8:$B$27,S$4)="",0,COUNTIF(Data!$B562:$U562,INDEX(Pengaturan!$B$8:$B$27,S$4)))</f>
        <v>0</v>
      </c>
      <c r="T562" s="26" t="n">
        <f aca="false">IF(INDEX(Pengaturan!$B$8:$B$27,T$4)="",0,COUNTIF(Data!$B562:$U562,INDEX(Pengaturan!$B$8:$B$27,T$4)))</f>
        <v>0</v>
      </c>
      <c r="U562" s="26" t="n">
        <f aca="false">IF(INDEX(Pengaturan!$B$8:$B$27,U$4)="",0,COUNTIF(Data!$B562:$U562,INDEX(Pengaturan!$B$8:$B$27,U$4)))</f>
        <v>0</v>
      </c>
      <c r="V562" s="26" t="n">
        <f aca="false">COUNTA(Data!$B562:$U562)</f>
        <v>0</v>
      </c>
      <c r="W562" s="27" t="str">
        <f aca="false">IF(V562=0,"",IF(V562&lt;&gt;Hasil!$C$4,"Data kosong/tidak lengkap",IF(SUM(B562:U562)&lt;&gt;V562,"Kategori tidak dikenal","OK")))</f>
        <v/>
      </c>
      <c r="X562" s="26" t="n">
        <f aca="false">IF(OR(W562="",W562="OK"),0,1)</f>
        <v>0</v>
      </c>
    </row>
    <row r="563" customFormat="false" ht="15" hidden="false" customHeight="false" outlineLevel="0" collapsed="false">
      <c r="A563" s="26" t="n">
        <f aca="false">Data!A563</f>
        <v>558</v>
      </c>
      <c r="B563" s="26" t="n">
        <f aca="false">IF(INDEX(Pengaturan!$B$8:$B$27,B$4)="",0,COUNTIF(Data!$B563:$U563,INDEX(Pengaturan!$B$8:$B$27,B$4)))</f>
        <v>0</v>
      </c>
      <c r="C563" s="26" t="n">
        <f aca="false">IF(INDEX(Pengaturan!$B$8:$B$27,C$4)="",0,COUNTIF(Data!$B563:$U563,INDEX(Pengaturan!$B$8:$B$27,C$4)))</f>
        <v>0</v>
      </c>
      <c r="D563" s="26" t="n">
        <f aca="false">IF(INDEX(Pengaturan!$B$8:$B$27,D$4)="",0,COUNTIF(Data!$B563:$U563,INDEX(Pengaturan!$B$8:$B$27,D$4)))</f>
        <v>0</v>
      </c>
      <c r="E563" s="26" t="n">
        <f aca="false">IF(INDEX(Pengaturan!$B$8:$B$27,E$4)="",0,COUNTIF(Data!$B563:$U563,INDEX(Pengaturan!$B$8:$B$27,E$4)))</f>
        <v>0</v>
      </c>
      <c r="F563" s="26" t="n">
        <f aca="false">IF(INDEX(Pengaturan!$B$8:$B$27,F$4)="",0,COUNTIF(Data!$B563:$U563,INDEX(Pengaturan!$B$8:$B$27,F$4)))</f>
        <v>0</v>
      </c>
      <c r="G563" s="26" t="n">
        <f aca="false">IF(INDEX(Pengaturan!$B$8:$B$27,G$4)="",0,COUNTIF(Data!$B563:$U563,INDEX(Pengaturan!$B$8:$B$27,G$4)))</f>
        <v>0</v>
      </c>
      <c r="H563" s="26" t="n">
        <f aca="false">IF(INDEX(Pengaturan!$B$8:$B$27,H$4)="",0,COUNTIF(Data!$B563:$U563,INDEX(Pengaturan!$B$8:$B$27,H$4)))</f>
        <v>0</v>
      </c>
      <c r="I563" s="26" t="n">
        <f aca="false">IF(INDEX(Pengaturan!$B$8:$B$27,I$4)="",0,COUNTIF(Data!$B563:$U563,INDEX(Pengaturan!$B$8:$B$27,I$4)))</f>
        <v>0</v>
      </c>
      <c r="J563" s="26" t="n">
        <f aca="false">IF(INDEX(Pengaturan!$B$8:$B$27,J$4)="",0,COUNTIF(Data!$B563:$U563,INDEX(Pengaturan!$B$8:$B$27,J$4)))</f>
        <v>0</v>
      </c>
      <c r="K563" s="26" t="n">
        <f aca="false">IF(INDEX(Pengaturan!$B$8:$B$27,K$4)="",0,COUNTIF(Data!$B563:$U563,INDEX(Pengaturan!$B$8:$B$27,K$4)))</f>
        <v>0</v>
      </c>
      <c r="L563" s="26" t="n">
        <f aca="false">IF(INDEX(Pengaturan!$B$8:$B$27,L$4)="",0,COUNTIF(Data!$B563:$U563,INDEX(Pengaturan!$B$8:$B$27,L$4)))</f>
        <v>0</v>
      </c>
      <c r="M563" s="26" t="n">
        <f aca="false">IF(INDEX(Pengaturan!$B$8:$B$27,M$4)="",0,COUNTIF(Data!$B563:$U563,INDEX(Pengaturan!$B$8:$B$27,M$4)))</f>
        <v>0</v>
      </c>
      <c r="N563" s="26" t="n">
        <f aca="false">IF(INDEX(Pengaturan!$B$8:$B$27,N$4)="",0,COUNTIF(Data!$B563:$U563,INDEX(Pengaturan!$B$8:$B$27,N$4)))</f>
        <v>0</v>
      </c>
      <c r="O563" s="26" t="n">
        <f aca="false">IF(INDEX(Pengaturan!$B$8:$B$27,O$4)="",0,COUNTIF(Data!$B563:$U563,INDEX(Pengaturan!$B$8:$B$27,O$4)))</f>
        <v>0</v>
      </c>
      <c r="P563" s="26" t="n">
        <f aca="false">IF(INDEX(Pengaturan!$B$8:$B$27,P$4)="",0,COUNTIF(Data!$B563:$U563,INDEX(Pengaturan!$B$8:$B$27,P$4)))</f>
        <v>0</v>
      </c>
      <c r="Q563" s="26" t="n">
        <f aca="false">IF(INDEX(Pengaturan!$B$8:$B$27,Q$4)="",0,COUNTIF(Data!$B563:$U563,INDEX(Pengaturan!$B$8:$B$27,Q$4)))</f>
        <v>0</v>
      </c>
      <c r="R563" s="26" t="n">
        <f aca="false">IF(INDEX(Pengaturan!$B$8:$B$27,R$4)="",0,COUNTIF(Data!$B563:$U563,INDEX(Pengaturan!$B$8:$B$27,R$4)))</f>
        <v>0</v>
      </c>
      <c r="S563" s="26" t="n">
        <f aca="false">IF(INDEX(Pengaturan!$B$8:$B$27,S$4)="",0,COUNTIF(Data!$B563:$U563,INDEX(Pengaturan!$B$8:$B$27,S$4)))</f>
        <v>0</v>
      </c>
      <c r="T563" s="26" t="n">
        <f aca="false">IF(INDEX(Pengaturan!$B$8:$B$27,T$4)="",0,COUNTIF(Data!$B563:$U563,INDEX(Pengaturan!$B$8:$B$27,T$4)))</f>
        <v>0</v>
      </c>
      <c r="U563" s="26" t="n">
        <f aca="false">IF(INDEX(Pengaturan!$B$8:$B$27,U$4)="",0,COUNTIF(Data!$B563:$U563,INDEX(Pengaturan!$B$8:$B$27,U$4)))</f>
        <v>0</v>
      </c>
      <c r="V563" s="26" t="n">
        <f aca="false">COUNTA(Data!$B563:$U563)</f>
        <v>0</v>
      </c>
      <c r="W563" s="27" t="str">
        <f aca="false">IF(V563=0,"",IF(V563&lt;&gt;Hasil!$C$4,"Data kosong/tidak lengkap",IF(SUM(B563:U563)&lt;&gt;V563,"Kategori tidak dikenal","OK")))</f>
        <v/>
      </c>
      <c r="X563" s="26" t="n">
        <f aca="false">IF(OR(W563="",W563="OK"),0,1)</f>
        <v>0</v>
      </c>
    </row>
    <row r="564" customFormat="false" ht="15" hidden="false" customHeight="false" outlineLevel="0" collapsed="false">
      <c r="A564" s="26" t="n">
        <f aca="false">Data!A564</f>
        <v>559</v>
      </c>
      <c r="B564" s="26" t="n">
        <f aca="false">IF(INDEX(Pengaturan!$B$8:$B$27,B$4)="",0,COUNTIF(Data!$B564:$U564,INDEX(Pengaturan!$B$8:$B$27,B$4)))</f>
        <v>0</v>
      </c>
      <c r="C564" s="26" t="n">
        <f aca="false">IF(INDEX(Pengaturan!$B$8:$B$27,C$4)="",0,COUNTIF(Data!$B564:$U564,INDEX(Pengaturan!$B$8:$B$27,C$4)))</f>
        <v>0</v>
      </c>
      <c r="D564" s="26" t="n">
        <f aca="false">IF(INDEX(Pengaturan!$B$8:$B$27,D$4)="",0,COUNTIF(Data!$B564:$U564,INDEX(Pengaturan!$B$8:$B$27,D$4)))</f>
        <v>0</v>
      </c>
      <c r="E564" s="26" t="n">
        <f aca="false">IF(INDEX(Pengaturan!$B$8:$B$27,E$4)="",0,COUNTIF(Data!$B564:$U564,INDEX(Pengaturan!$B$8:$B$27,E$4)))</f>
        <v>0</v>
      </c>
      <c r="F564" s="26" t="n">
        <f aca="false">IF(INDEX(Pengaturan!$B$8:$B$27,F$4)="",0,COUNTIF(Data!$B564:$U564,INDEX(Pengaturan!$B$8:$B$27,F$4)))</f>
        <v>0</v>
      </c>
      <c r="G564" s="26" t="n">
        <f aca="false">IF(INDEX(Pengaturan!$B$8:$B$27,G$4)="",0,COUNTIF(Data!$B564:$U564,INDEX(Pengaturan!$B$8:$B$27,G$4)))</f>
        <v>0</v>
      </c>
      <c r="H564" s="26" t="n">
        <f aca="false">IF(INDEX(Pengaturan!$B$8:$B$27,H$4)="",0,COUNTIF(Data!$B564:$U564,INDEX(Pengaturan!$B$8:$B$27,H$4)))</f>
        <v>0</v>
      </c>
      <c r="I564" s="26" t="n">
        <f aca="false">IF(INDEX(Pengaturan!$B$8:$B$27,I$4)="",0,COUNTIF(Data!$B564:$U564,INDEX(Pengaturan!$B$8:$B$27,I$4)))</f>
        <v>0</v>
      </c>
      <c r="J564" s="26" t="n">
        <f aca="false">IF(INDEX(Pengaturan!$B$8:$B$27,J$4)="",0,COUNTIF(Data!$B564:$U564,INDEX(Pengaturan!$B$8:$B$27,J$4)))</f>
        <v>0</v>
      </c>
      <c r="K564" s="26" t="n">
        <f aca="false">IF(INDEX(Pengaturan!$B$8:$B$27,K$4)="",0,COUNTIF(Data!$B564:$U564,INDEX(Pengaturan!$B$8:$B$27,K$4)))</f>
        <v>0</v>
      </c>
      <c r="L564" s="26" t="n">
        <f aca="false">IF(INDEX(Pengaturan!$B$8:$B$27,L$4)="",0,COUNTIF(Data!$B564:$U564,INDEX(Pengaturan!$B$8:$B$27,L$4)))</f>
        <v>0</v>
      </c>
      <c r="M564" s="26" t="n">
        <f aca="false">IF(INDEX(Pengaturan!$B$8:$B$27,M$4)="",0,COUNTIF(Data!$B564:$U564,INDEX(Pengaturan!$B$8:$B$27,M$4)))</f>
        <v>0</v>
      </c>
      <c r="N564" s="26" t="n">
        <f aca="false">IF(INDEX(Pengaturan!$B$8:$B$27,N$4)="",0,COUNTIF(Data!$B564:$U564,INDEX(Pengaturan!$B$8:$B$27,N$4)))</f>
        <v>0</v>
      </c>
      <c r="O564" s="26" t="n">
        <f aca="false">IF(INDEX(Pengaturan!$B$8:$B$27,O$4)="",0,COUNTIF(Data!$B564:$U564,INDEX(Pengaturan!$B$8:$B$27,O$4)))</f>
        <v>0</v>
      </c>
      <c r="P564" s="26" t="n">
        <f aca="false">IF(INDEX(Pengaturan!$B$8:$B$27,P$4)="",0,COUNTIF(Data!$B564:$U564,INDEX(Pengaturan!$B$8:$B$27,P$4)))</f>
        <v>0</v>
      </c>
      <c r="Q564" s="26" t="n">
        <f aca="false">IF(INDEX(Pengaturan!$B$8:$B$27,Q$4)="",0,COUNTIF(Data!$B564:$U564,INDEX(Pengaturan!$B$8:$B$27,Q$4)))</f>
        <v>0</v>
      </c>
      <c r="R564" s="26" t="n">
        <f aca="false">IF(INDEX(Pengaturan!$B$8:$B$27,R$4)="",0,COUNTIF(Data!$B564:$U564,INDEX(Pengaturan!$B$8:$B$27,R$4)))</f>
        <v>0</v>
      </c>
      <c r="S564" s="26" t="n">
        <f aca="false">IF(INDEX(Pengaturan!$B$8:$B$27,S$4)="",0,COUNTIF(Data!$B564:$U564,INDEX(Pengaturan!$B$8:$B$27,S$4)))</f>
        <v>0</v>
      </c>
      <c r="T564" s="26" t="n">
        <f aca="false">IF(INDEX(Pengaturan!$B$8:$B$27,T$4)="",0,COUNTIF(Data!$B564:$U564,INDEX(Pengaturan!$B$8:$B$27,T$4)))</f>
        <v>0</v>
      </c>
      <c r="U564" s="26" t="n">
        <f aca="false">IF(INDEX(Pengaturan!$B$8:$B$27,U$4)="",0,COUNTIF(Data!$B564:$U564,INDEX(Pengaturan!$B$8:$B$27,U$4)))</f>
        <v>0</v>
      </c>
      <c r="V564" s="26" t="n">
        <f aca="false">COUNTA(Data!$B564:$U564)</f>
        <v>0</v>
      </c>
      <c r="W564" s="27" t="str">
        <f aca="false">IF(V564=0,"",IF(V564&lt;&gt;Hasil!$C$4,"Data kosong/tidak lengkap",IF(SUM(B564:U564)&lt;&gt;V564,"Kategori tidak dikenal","OK")))</f>
        <v/>
      </c>
      <c r="X564" s="26" t="n">
        <f aca="false">IF(OR(W564="",W564="OK"),0,1)</f>
        <v>0</v>
      </c>
    </row>
    <row r="565" customFormat="false" ht="15" hidden="false" customHeight="false" outlineLevel="0" collapsed="false">
      <c r="A565" s="26" t="n">
        <f aca="false">Data!A565</f>
        <v>560</v>
      </c>
      <c r="B565" s="26" t="n">
        <f aca="false">IF(INDEX(Pengaturan!$B$8:$B$27,B$4)="",0,COUNTIF(Data!$B565:$U565,INDEX(Pengaturan!$B$8:$B$27,B$4)))</f>
        <v>0</v>
      </c>
      <c r="C565" s="26" t="n">
        <f aca="false">IF(INDEX(Pengaturan!$B$8:$B$27,C$4)="",0,COUNTIF(Data!$B565:$U565,INDEX(Pengaturan!$B$8:$B$27,C$4)))</f>
        <v>0</v>
      </c>
      <c r="D565" s="26" t="n">
        <f aca="false">IF(INDEX(Pengaturan!$B$8:$B$27,D$4)="",0,COUNTIF(Data!$B565:$U565,INDEX(Pengaturan!$B$8:$B$27,D$4)))</f>
        <v>0</v>
      </c>
      <c r="E565" s="26" t="n">
        <f aca="false">IF(INDEX(Pengaturan!$B$8:$B$27,E$4)="",0,COUNTIF(Data!$B565:$U565,INDEX(Pengaturan!$B$8:$B$27,E$4)))</f>
        <v>0</v>
      </c>
      <c r="F565" s="26" t="n">
        <f aca="false">IF(INDEX(Pengaturan!$B$8:$B$27,F$4)="",0,COUNTIF(Data!$B565:$U565,INDEX(Pengaturan!$B$8:$B$27,F$4)))</f>
        <v>0</v>
      </c>
      <c r="G565" s="26" t="n">
        <f aca="false">IF(INDEX(Pengaturan!$B$8:$B$27,G$4)="",0,COUNTIF(Data!$B565:$U565,INDEX(Pengaturan!$B$8:$B$27,G$4)))</f>
        <v>0</v>
      </c>
      <c r="H565" s="26" t="n">
        <f aca="false">IF(INDEX(Pengaturan!$B$8:$B$27,H$4)="",0,COUNTIF(Data!$B565:$U565,INDEX(Pengaturan!$B$8:$B$27,H$4)))</f>
        <v>0</v>
      </c>
      <c r="I565" s="26" t="n">
        <f aca="false">IF(INDEX(Pengaturan!$B$8:$B$27,I$4)="",0,COUNTIF(Data!$B565:$U565,INDEX(Pengaturan!$B$8:$B$27,I$4)))</f>
        <v>0</v>
      </c>
      <c r="J565" s="26" t="n">
        <f aca="false">IF(INDEX(Pengaturan!$B$8:$B$27,J$4)="",0,COUNTIF(Data!$B565:$U565,INDEX(Pengaturan!$B$8:$B$27,J$4)))</f>
        <v>0</v>
      </c>
      <c r="K565" s="26" t="n">
        <f aca="false">IF(INDEX(Pengaturan!$B$8:$B$27,K$4)="",0,COUNTIF(Data!$B565:$U565,INDEX(Pengaturan!$B$8:$B$27,K$4)))</f>
        <v>0</v>
      </c>
      <c r="L565" s="26" t="n">
        <f aca="false">IF(INDEX(Pengaturan!$B$8:$B$27,L$4)="",0,COUNTIF(Data!$B565:$U565,INDEX(Pengaturan!$B$8:$B$27,L$4)))</f>
        <v>0</v>
      </c>
      <c r="M565" s="26" t="n">
        <f aca="false">IF(INDEX(Pengaturan!$B$8:$B$27,M$4)="",0,COUNTIF(Data!$B565:$U565,INDEX(Pengaturan!$B$8:$B$27,M$4)))</f>
        <v>0</v>
      </c>
      <c r="N565" s="26" t="n">
        <f aca="false">IF(INDEX(Pengaturan!$B$8:$B$27,N$4)="",0,COUNTIF(Data!$B565:$U565,INDEX(Pengaturan!$B$8:$B$27,N$4)))</f>
        <v>0</v>
      </c>
      <c r="O565" s="26" t="n">
        <f aca="false">IF(INDEX(Pengaturan!$B$8:$B$27,O$4)="",0,COUNTIF(Data!$B565:$U565,INDEX(Pengaturan!$B$8:$B$27,O$4)))</f>
        <v>0</v>
      </c>
      <c r="P565" s="26" t="n">
        <f aca="false">IF(INDEX(Pengaturan!$B$8:$B$27,P$4)="",0,COUNTIF(Data!$B565:$U565,INDEX(Pengaturan!$B$8:$B$27,P$4)))</f>
        <v>0</v>
      </c>
      <c r="Q565" s="26" t="n">
        <f aca="false">IF(INDEX(Pengaturan!$B$8:$B$27,Q$4)="",0,COUNTIF(Data!$B565:$U565,INDEX(Pengaturan!$B$8:$B$27,Q$4)))</f>
        <v>0</v>
      </c>
      <c r="R565" s="26" t="n">
        <f aca="false">IF(INDEX(Pengaturan!$B$8:$B$27,R$4)="",0,COUNTIF(Data!$B565:$U565,INDEX(Pengaturan!$B$8:$B$27,R$4)))</f>
        <v>0</v>
      </c>
      <c r="S565" s="26" t="n">
        <f aca="false">IF(INDEX(Pengaturan!$B$8:$B$27,S$4)="",0,COUNTIF(Data!$B565:$U565,INDEX(Pengaturan!$B$8:$B$27,S$4)))</f>
        <v>0</v>
      </c>
      <c r="T565" s="26" t="n">
        <f aca="false">IF(INDEX(Pengaturan!$B$8:$B$27,T$4)="",0,COUNTIF(Data!$B565:$U565,INDEX(Pengaturan!$B$8:$B$27,T$4)))</f>
        <v>0</v>
      </c>
      <c r="U565" s="26" t="n">
        <f aca="false">IF(INDEX(Pengaturan!$B$8:$B$27,U$4)="",0,COUNTIF(Data!$B565:$U565,INDEX(Pengaturan!$B$8:$B$27,U$4)))</f>
        <v>0</v>
      </c>
      <c r="V565" s="26" t="n">
        <f aca="false">COUNTA(Data!$B565:$U565)</f>
        <v>0</v>
      </c>
      <c r="W565" s="27" t="str">
        <f aca="false">IF(V565=0,"",IF(V565&lt;&gt;Hasil!$C$4,"Data kosong/tidak lengkap",IF(SUM(B565:U565)&lt;&gt;V565,"Kategori tidak dikenal","OK")))</f>
        <v/>
      </c>
      <c r="X565" s="26" t="n">
        <f aca="false">IF(OR(W565="",W565="OK"),0,1)</f>
        <v>0</v>
      </c>
    </row>
    <row r="566" customFormat="false" ht="15" hidden="false" customHeight="false" outlineLevel="0" collapsed="false">
      <c r="A566" s="26" t="n">
        <f aca="false">Data!A566</f>
        <v>561</v>
      </c>
      <c r="B566" s="26" t="n">
        <f aca="false">IF(INDEX(Pengaturan!$B$8:$B$27,B$4)="",0,COUNTIF(Data!$B566:$U566,INDEX(Pengaturan!$B$8:$B$27,B$4)))</f>
        <v>0</v>
      </c>
      <c r="C566" s="26" t="n">
        <f aca="false">IF(INDEX(Pengaturan!$B$8:$B$27,C$4)="",0,COUNTIF(Data!$B566:$U566,INDEX(Pengaturan!$B$8:$B$27,C$4)))</f>
        <v>0</v>
      </c>
      <c r="D566" s="26" t="n">
        <f aca="false">IF(INDEX(Pengaturan!$B$8:$B$27,D$4)="",0,COUNTIF(Data!$B566:$U566,INDEX(Pengaturan!$B$8:$B$27,D$4)))</f>
        <v>0</v>
      </c>
      <c r="E566" s="26" t="n">
        <f aca="false">IF(INDEX(Pengaturan!$B$8:$B$27,E$4)="",0,COUNTIF(Data!$B566:$U566,INDEX(Pengaturan!$B$8:$B$27,E$4)))</f>
        <v>0</v>
      </c>
      <c r="F566" s="26" t="n">
        <f aca="false">IF(INDEX(Pengaturan!$B$8:$B$27,F$4)="",0,COUNTIF(Data!$B566:$U566,INDEX(Pengaturan!$B$8:$B$27,F$4)))</f>
        <v>0</v>
      </c>
      <c r="G566" s="26" t="n">
        <f aca="false">IF(INDEX(Pengaturan!$B$8:$B$27,G$4)="",0,COUNTIF(Data!$B566:$U566,INDEX(Pengaturan!$B$8:$B$27,G$4)))</f>
        <v>0</v>
      </c>
      <c r="H566" s="26" t="n">
        <f aca="false">IF(INDEX(Pengaturan!$B$8:$B$27,H$4)="",0,COUNTIF(Data!$B566:$U566,INDEX(Pengaturan!$B$8:$B$27,H$4)))</f>
        <v>0</v>
      </c>
      <c r="I566" s="26" t="n">
        <f aca="false">IF(INDEX(Pengaturan!$B$8:$B$27,I$4)="",0,COUNTIF(Data!$B566:$U566,INDEX(Pengaturan!$B$8:$B$27,I$4)))</f>
        <v>0</v>
      </c>
      <c r="J566" s="26" t="n">
        <f aca="false">IF(INDEX(Pengaturan!$B$8:$B$27,J$4)="",0,COUNTIF(Data!$B566:$U566,INDEX(Pengaturan!$B$8:$B$27,J$4)))</f>
        <v>0</v>
      </c>
      <c r="K566" s="26" t="n">
        <f aca="false">IF(INDEX(Pengaturan!$B$8:$B$27,K$4)="",0,COUNTIF(Data!$B566:$U566,INDEX(Pengaturan!$B$8:$B$27,K$4)))</f>
        <v>0</v>
      </c>
      <c r="L566" s="26" t="n">
        <f aca="false">IF(INDEX(Pengaturan!$B$8:$B$27,L$4)="",0,COUNTIF(Data!$B566:$U566,INDEX(Pengaturan!$B$8:$B$27,L$4)))</f>
        <v>0</v>
      </c>
      <c r="M566" s="26" t="n">
        <f aca="false">IF(INDEX(Pengaturan!$B$8:$B$27,M$4)="",0,COUNTIF(Data!$B566:$U566,INDEX(Pengaturan!$B$8:$B$27,M$4)))</f>
        <v>0</v>
      </c>
      <c r="N566" s="26" t="n">
        <f aca="false">IF(INDEX(Pengaturan!$B$8:$B$27,N$4)="",0,COUNTIF(Data!$B566:$U566,INDEX(Pengaturan!$B$8:$B$27,N$4)))</f>
        <v>0</v>
      </c>
      <c r="O566" s="26" t="n">
        <f aca="false">IF(INDEX(Pengaturan!$B$8:$B$27,O$4)="",0,COUNTIF(Data!$B566:$U566,INDEX(Pengaturan!$B$8:$B$27,O$4)))</f>
        <v>0</v>
      </c>
      <c r="P566" s="26" t="n">
        <f aca="false">IF(INDEX(Pengaturan!$B$8:$B$27,P$4)="",0,COUNTIF(Data!$B566:$U566,INDEX(Pengaturan!$B$8:$B$27,P$4)))</f>
        <v>0</v>
      </c>
      <c r="Q566" s="26" t="n">
        <f aca="false">IF(INDEX(Pengaturan!$B$8:$B$27,Q$4)="",0,COUNTIF(Data!$B566:$U566,INDEX(Pengaturan!$B$8:$B$27,Q$4)))</f>
        <v>0</v>
      </c>
      <c r="R566" s="26" t="n">
        <f aca="false">IF(INDEX(Pengaturan!$B$8:$B$27,R$4)="",0,COUNTIF(Data!$B566:$U566,INDEX(Pengaturan!$B$8:$B$27,R$4)))</f>
        <v>0</v>
      </c>
      <c r="S566" s="26" t="n">
        <f aca="false">IF(INDEX(Pengaturan!$B$8:$B$27,S$4)="",0,COUNTIF(Data!$B566:$U566,INDEX(Pengaturan!$B$8:$B$27,S$4)))</f>
        <v>0</v>
      </c>
      <c r="T566" s="26" t="n">
        <f aca="false">IF(INDEX(Pengaturan!$B$8:$B$27,T$4)="",0,COUNTIF(Data!$B566:$U566,INDEX(Pengaturan!$B$8:$B$27,T$4)))</f>
        <v>0</v>
      </c>
      <c r="U566" s="26" t="n">
        <f aca="false">IF(INDEX(Pengaturan!$B$8:$B$27,U$4)="",0,COUNTIF(Data!$B566:$U566,INDEX(Pengaturan!$B$8:$B$27,U$4)))</f>
        <v>0</v>
      </c>
      <c r="V566" s="26" t="n">
        <f aca="false">COUNTA(Data!$B566:$U566)</f>
        <v>0</v>
      </c>
      <c r="W566" s="27" t="str">
        <f aca="false">IF(V566=0,"",IF(V566&lt;&gt;Hasil!$C$4,"Data kosong/tidak lengkap",IF(SUM(B566:U566)&lt;&gt;V566,"Kategori tidak dikenal","OK")))</f>
        <v/>
      </c>
      <c r="X566" s="26" t="n">
        <f aca="false">IF(OR(W566="",W566="OK"),0,1)</f>
        <v>0</v>
      </c>
    </row>
    <row r="567" customFormat="false" ht="15" hidden="false" customHeight="false" outlineLevel="0" collapsed="false">
      <c r="A567" s="26" t="n">
        <f aca="false">Data!A567</f>
        <v>562</v>
      </c>
      <c r="B567" s="26" t="n">
        <f aca="false">IF(INDEX(Pengaturan!$B$8:$B$27,B$4)="",0,COUNTIF(Data!$B567:$U567,INDEX(Pengaturan!$B$8:$B$27,B$4)))</f>
        <v>0</v>
      </c>
      <c r="C567" s="26" t="n">
        <f aca="false">IF(INDEX(Pengaturan!$B$8:$B$27,C$4)="",0,COUNTIF(Data!$B567:$U567,INDEX(Pengaturan!$B$8:$B$27,C$4)))</f>
        <v>0</v>
      </c>
      <c r="D567" s="26" t="n">
        <f aca="false">IF(INDEX(Pengaturan!$B$8:$B$27,D$4)="",0,COUNTIF(Data!$B567:$U567,INDEX(Pengaturan!$B$8:$B$27,D$4)))</f>
        <v>0</v>
      </c>
      <c r="E567" s="26" t="n">
        <f aca="false">IF(INDEX(Pengaturan!$B$8:$B$27,E$4)="",0,COUNTIF(Data!$B567:$U567,INDEX(Pengaturan!$B$8:$B$27,E$4)))</f>
        <v>0</v>
      </c>
      <c r="F567" s="26" t="n">
        <f aca="false">IF(INDEX(Pengaturan!$B$8:$B$27,F$4)="",0,COUNTIF(Data!$B567:$U567,INDEX(Pengaturan!$B$8:$B$27,F$4)))</f>
        <v>0</v>
      </c>
      <c r="G567" s="26" t="n">
        <f aca="false">IF(INDEX(Pengaturan!$B$8:$B$27,G$4)="",0,COUNTIF(Data!$B567:$U567,INDEX(Pengaturan!$B$8:$B$27,G$4)))</f>
        <v>0</v>
      </c>
      <c r="H567" s="26" t="n">
        <f aca="false">IF(INDEX(Pengaturan!$B$8:$B$27,H$4)="",0,COUNTIF(Data!$B567:$U567,INDEX(Pengaturan!$B$8:$B$27,H$4)))</f>
        <v>0</v>
      </c>
      <c r="I567" s="26" t="n">
        <f aca="false">IF(INDEX(Pengaturan!$B$8:$B$27,I$4)="",0,COUNTIF(Data!$B567:$U567,INDEX(Pengaturan!$B$8:$B$27,I$4)))</f>
        <v>0</v>
      </c>
      <c r="J567" s="26" t="n">
        <f aca="false">IF(INDEX(Pengaturan!$B$8:$B$27,J$4)="",0,COUNTIF(Data!$B567:$U567,INDEX(Pengaturan!$B$8:$B$27,J$4)))</f>
        <v>0</v>
      </c>
      <c r="K567" s="26" t="n">
        <f aca="false">IF(INDEX(Pengaturan!$B$8:$B$27,K$4)="",0,COUNTIF(Data!$B567:$U567,INDEX(Pengaturan!$B$8:$B$27,K$4)))</f>
        <v>0</v>
      </c>
      <c r="L567" s="26" t="n">
        <f aca="false">IF(INDEX(Pengaturan!$B$8:$B$27,L$4)="",0,COUNTIF(Data!$B567:$U567,INDEX(Pengaturan!$B$8:$B$27,L$4)))</f>
        <v>0</v>
      </c>
      <c r="M567" s="26" t="n">
        <f aca="false">IF(INDEX(Pengaturan!$B$8:$B$27,M$4)="",0,COUNTIF(Data!$B567:$U567,INDEX(Pengaturan!$B$8:$B$27,M$4)))</f>
        <v>0</v>
      </c>
      <c r="N567" s="26" t="n">
        <f aca="false">IF(INDEX(Pengaturan!$B$8:$B$27,N$4)="",0,COUNTIF(Data!$B567:$U567,INDEX(Pengaturan!$B$8:$B$27,N$4)))</f>
        <v>0</v>
      </c>
      <c r="O567" s="26" t="n">
        <f aca="false">IF(INDEX(Pengaturan!$B$8:$B$27,O$4)="",0,COUNTIF(Data!$B567:$U567,INDEX(Pengaturan!$B$8:$B$27,O$4)))</f>
        <v>0</v>
      </c>
      <c r="P567" s="26" t="n">
        <f aca="false">IF(INDEX(Pengaturan!$B$8:$B$27,P$4)="",0,COUNTIF(Data!$B567:$U567,INDEX(Pengaturan!$B$8:$B$27,P$4)))</f>
        <v>0</v>
      </c>
      <c r="Q567" s="26" t="n">
        <f aca="false">IF(INDEX(Pengaturan!$B$8:$B$27,Q$4)="",0,COUNTIF(Data!$B567:$U567,INDEX(Pengaturan!$B$8:$B$27,Q$4)))</f>
        <v>0</v>
      </c>
      <c r="R567" s="26" t="n">
        <f aca="false">IF(INDEX(Pengaturan!$B$8:$B$27,R$4)="",0,COUNTIF(Data!$B567:$U567,INDEX(Pengaturan!$B$8:$B$27,R$4)))</f>
        <v>0</v>
      </c>
      <c r="S567" s="26" t="n">
        <f aca="false">IF(INDEX(Pengaturan!$B$8:$B$27,S$4)="",0,COUNTIF(Data!$B567:$U567,INDEX(Pengaturan!$B$8:$B$27,S$4)))</f>
        <v>0</v>
      </c>
      <c r="T567" s="26" t="n">
        <f aca="false">IF(INDEX(Pengaturan!$B$8:$B$27,T$4)="",0,COUNTIF(Data!$B567:$U567,INDEX(Pengaturan!$B$8:$B$27,T$4)))</f>
        <v>0</v>
      </c>
      <c r="U567" s="26" t="n">
        <f aca="false">IF(INDEX(Pengaturan!$B$8:$B$27,U$4)="",0,COUNTIF(Data!$B567:$U567,INDEX(Pengaturan!$B$8:$B$27,U$4)))</f>
        <v>0</v>
      </c>
      <c r="V567" s="26" t="n">
        <f aca="false">COUNTA(Data!$B567:$U567)</f>
        <v>0</v>
      </c>
      <c r="W567" s="27" t="str">
        <f aca="false">IF(V567=0,"",IF(V567&lt;&gt;Hasil!$C$4,"Data kosong/tidak lengkap",IF(SUM(B567:U567)&lt;&gt;V567,"Kategori tidak dikenal","OK")))</f>
        <v/>
      </c>
      <c r="X567" s="26" t="n">
        <f aca="false">IF(OR(W567="",W567="OK"),0,1)</f>
        <v>0</v>
      </c>
    </row>
    <row r="568" customFormat="false" ht="15" hidden="false" customHeight="false" outlineLevel="0" collapsed="false">
      <c r="A568" s="26" t="n">
        <f aca="false">Data!A568</f>
        <v>563</v>
      </c>
      <c r="B568" s="26" t="n">
        <f aca="false">IF(INDEX(Pengaturan!$B$8:$B$27,B$4)="",0,COUNTIF(Data!$B568:$U568,INDEX(Pengaturan!$B$8:$B$27,B$4)))</f>
        <v>0</v>
      </c>
      <c r="C568" s="26" t="n">
        <f aca="false">IF(INDEX(Pengaturan!$B$8:$B$27,C$4)="",0,COUNTIF(Data!$B568:$U568,INDEX(Pengaturan!$B$8:$B$27,C$4)))</f>
        <v>0</v>
      </c>
      <c r="D568" s="26" t="n">
        <f aca="false">IF(INDEX(Pengaturan!$B$8:$B$27,D$4)="",0,COUNTIF(Data!$B568:$U568,INDEX(Pengaturan!$B$8:$B$27,D$4)))</f>
        <v>0</v>
      </c>
      <c r="E568" s="26" t="n">
        <f aca="false">IF(INDEX(Pengaturan!$B$8:$B$27,E$4)="",0,COUNTIF(Data!$B568:$U568,INDEX(Pengaturan!$B$8:$B$27,E$4)))</f>
        <v>0</v>
      </c>
      <c r="F568" s="26" t="n">
        <f aca="false">IF(INDEX(Pengaturan!$B$8:$B$27,F$4)="",0,COUNTIF(Data!$B568:$U568,INDEX(Pengaturan!$B$8:$B$27,F$4)))</f>
        <v>0</v>
      </c>
      <c r="G568" s="26" t="n">
        <f aca="false">IF(INDEX(Pengaturan!$B$8:$B$27,G$4)="",0,COUNTIF(Data!$B568:$U568,INDEX(Pengaturan!$B$8:$B$27,G$4)))</f>
        <v>0</v>
      </c>
      <c r="H568" s="26" t="n">
        <f aca="false">IF(INDEX(Pengaturan!$B$8:$B$27,H$4)="",0,COUNTIF(Data!$B568:$U568,INDEX(Pengaturan!$B$8:$B$27,H$4)))</f>
        <v>0</v>
      </c>
      <c r="I568" s="26" t="n">
        <f aca="false">IF(INDEX(Pengaturan!$B$8:$B$27,I$4)="",0,COUNTIF(Data!$B568:$U568,INDEX(Pengaturan!$B$8:$B$27,I$4)))</f>
        <v>0</v>
      </c>
      <c r="J568" s="26" t="n">
        <f aca="false">IF(INDEX(Pengaturan!$B$8:$B$27,J$4)="",0,COUNTIF(Data!$B568:$U568,INDEX(Pengaturan!$B$8:$B$27,J$4)))</f>
        <v>0</v>
      </c>
      <c r="K568" s="26" t="n">
        <f aca="false">IF(INDEX(Pengaturan!$B$8:$B$27,K$4)="",0,COUNTIF(Data!$B568:$U568,INDEX(Pengaturan!$B$8:$B$27,K$4)))</f>
        <v>0</v>
      </c>
      <c r="L568" s="26" t="n">
        <f aca="false">IF(INDEX(Pengaturan!$B$8:$B$27,L$4)="",0,COUNTIF(Data!$B568:$U568,INDEX(Pengaturan!$B$8:$B$27,L$4)))</f>
        <v>0</v>
      </c>
      <c r="M568" s="26" t="n">
        <f aca="false">IF(INDEX(Pengaturan!$B$8:$B$27,M$4)="",0,COUNTIF(Data!$B568:$U568,INDEX(Pengaturan!$B$8:$B$27,M$4)))</f>
        <v>0</v>
      </c>
      <c r="N568" s="26" t="n">
        <f aca="false">IF(INDEX(Pengaturan!$B$8:$B$27,N$4)="",0,COUNTIF(Data!$B568:$U568,INDEX(Pengaturan!$B$8:$B$27,N$4)))</f>
        <v>0</v>
      </c>
      <c r="O568" s="26" t="n">
        <f aca="false">IF(INDEX(Pengaturan!$B$8:$B$27,O$4)="",0,COUNTIF(Data!$B568:$U568,INDEX(Pengaturan!$B$8:$B$27,O$4)))</f>
        <v>0</v>
      </c>
      <c r="P568" s="26" t="n">
        <f aca="false">IF(INDEX(Pengaturan!$B$8:$B$27,P$4)="",0,COUNTIF(Data!$B568:$U568,INDEX(Pengaturan!$B$8:$B$27,P$4)))</f>
        <v>0</v>
      </c>
      <c r="Q568" s="26" t="n">
        <f aca="false">IF(INDEX(Pengaturan!$B$8:$B$27,Q$4)="",0,COUNTIF(Data!$B568:$U568,INDEX(Pengaturan!$B$8:$B$27,Q$4)))</f>
        <v>0</v>
      </c>
      <c r="R568" s="26" t="n">
        <f aca="false">IF(INDEX(Pengaturan!$B$8:$B$27,R$4)="",0,COUNTIF(Data!$B568:$U568,INDEX(Pengaturan!$B$8:$B$27,R$4)))</f>
        <v>0</v>
      </c>
      <c r="S568" s="26" t="n">
        <f aca="false">IF(INDEX(Pengaturan!$B$8:$B$27,S$4)="",0,COUNTIF(Data!$B568:$U568,INDEX(Pengaturan!$B$8:$B$27,S$4)))</f>
        <v>0</v>
      </c>
      <c r="T568" s="26" t="n">
        <f aca="false">IF(INDEX(Pengaturan!$B$8:$B$27,T$4)="",0,COUNTIF(Data!$B568:$U568,INDEX(Pengaturan!$B$8:$B$27,T$4)))</f>
        <v>0</v>
      </c>
      <c r="U568" s="26" t="n">
        <f aca="false">IF(INDEX(Pengaturan!$B$8:$B$27,U$4)="",0,COUNTIF(Data!$B568:$U568,INDEX(Pengaturan!$B$8:$B$27,U$4)))</f>
        <v>0</v>
      </c>
      <c r="V568" s="26" t="n">
        <f aca="false">COUNTA(Data!$B568:$U568)</f>
        <v>0</v>
      </c>
      <c r="W568" s="27" t="str">
        <f aca="false">IF(V568=0,"",IF(V568&lt;&gt;Hasil!$C$4,"Data kosong/tidak lengkap",IF(SUM(B568:U568)&lt;&gt;V568,"Kategori tidak dikenal","OK")))</f>
        <v/>
      </c>
      <c r="X568" s="26" t="n">
        <f aca="false">IF(OR(W568="",W568="OK"),0,1)</f>
        <v>0</v>
      </c>
    </row>
    <row r="569" customFormat="false" ht="15" hidden="false" customHeight="false" outlineLevel="0" collapsed="false">
      <c r="A569" s="26" t="n">
        <f aca="false">Data!A569</f>
        <v>564</v>
      </c>
      <c r="B569" s="26" t="n">
        <f aca="false">IF(INDEX(Pengaturan!$B$8:$B$27,B$4)="",0,COUNTIF(Data!$B569:$U569,INDEX(Pengaturan!$B$8:$B$27,B$4)))</f>
        <v>0</v>
      </c>
      <c r="C569" s="26" t="n">
        <f aca="false">IF(INDEX(Pengaturan!$B$8:$B$27,C$4)="",0,COUNTIF(Data!$B569:$U569,INDEX(Pengaturan!$B$8:$B$27,C$4)))</f>
        <v>0</v>
      </c>
      <c r="D569" s="26" t="n">
        <f aca="false">IF(INDEX(Pengaturan!$B$8:$B$27,D$4)="",0,COUNTIF(Data!$B569:$U569,INDEX(Pengaturan!$B$8:$B$27,D$4)))</f>
        <v>0</v>
      </c>
      <c r="E569" s="26" t="n">
        <f aca="false">IF(INDEX(Pengaturan!$B$8:$B$27,E$4)="",0,COUNTIF(Data!$B569:$U569,INDEX(Pengaturan!$B$8:$B$27,E$4)))</f>
        <v>0</v>
      </c>
      <c r="F569" s="26" t="n">
        <f aca="false">IF(INDEX(Pengaturan!$B$8:$B$27,F$4)="",0,COUNTIF(Data!$B569:$U569,INDEX(Pengaturan!$B$8:$B$27,F$4)))</f>
        <v>0</v>
      </c>
      <c r="G569" s="26" t="n">
        <f aca="false">IF(INDEX(Pengaturan!$B$8:$B$27,G$4)="",0,COUNTIF(Data!$B569:$U569,INDEX(Pengaturan!$B$8:$B$27,G$4)))</f>
        <v>0</v>
      </c>
      <c r="H569" s="26" t="n">
        <f aca="false">IF(INDEX(Pengaturan!$B$8:$B$27,H$4)="",0,COUNTIF(Data!$B569:$U569,INDEX(Pengaturan!$B$8:$B$27,H$4)))</f>
        <v>0</v>
      </c>
      <c r="I569" s="26" t="n">
        <f aca="false">IF(INDEX(Pengaturan!$B$8:$B$27,I$4)="",0,COUNTIF(Data!$B569:$U569,INDEX(Pengaturan!$B$8:$B$27,I$4)))</f>
        <v>0</v>
      </c>
      <c r="J569" s="26" t="n">
        <f aca="false">IF(INDEX(Pengaturan!$B$8:$B$27,J$4)="",0,COUNTIF(Data!$B569:$U569,INDEX(Pengaturan!$B$8:$B$27,J$4)))</f>
        <v>0</v>
      </c>
      <c r="K569" s="26" t="n">
        <f aca="false">IF(INDEX(Pengaturan!$B$8:$B$27,K$4)="",0,COUNTIF(Data!$B569:$U569,INDEX(Pengaturan!$B$8:$B$27,K$4)))</f>
        <v>0</v>
      </c>
      <c r="L569" s="26" t="n">
        <f aca="false">IF(INDEX(Pengaturan!$B$8:$B$27,L$4)="",0,COUNTIF(Data!$B569:$U569,INDEX(Pengaturan!$B$8:$B$27,L$4)))</f>
        <v>0</v>
      </c>
      <c r="M569" s="26" t="n">
        <f aca="false">IF(INDEX(Pengaturan!$B$8:$B$27,M$4)="",0,COUNTIF(Data!$B569:$U569,INDEX(Pengaturan!$B$8:$B$27,M$4)))</f>
        <v>0</v>
      </c>
      <c r="N569" s="26" t="n">
        <f aca="false">IF(INDEX(Pengaturan!$B$8:$B$27,N$4)="",0,COUNTIF(Data!$B569:$U569,INDEX(Pengaturan!$B$8:$B$27,N$4)))</f>
        <v>0</v>
      </c>
      <c r="O569" s="26" t="n">
        <f aca="false">IF(INDEX(Pengaturan!$B$8:$B$27,O$4)="",0,COUNTIF(Data!$B569:$U569,INDEX(Pengaturan!$B$8:$B$27,O$4)))</f>
        <v>0</v>
      </c>
      <c r="P569" s="26" t="n">
        <f aca="false">IF(INDEX(Pengaturan!$B$8:$B$27,P$4)="",0,COUNTIF(Data!$B569:$U569,INDEX(Pengaturan!$B$8:$B$27,P$4)))</f>
        <v>0</v>
      </c>
      <c r="Q569" s="26" t="n">
        <f aca="false">IF(INDEX(Pengaturan!$B$8:$B$27,Q$4)="",0,COUNTIF(Data!$B569:$U569,INDEX(Pengaturan!$B$8:$B$27,Q$4)))</f>
        <v>0</v>
      </c>
      <c r="R569" s="26" t="n">
        <f aca="false">IF(INDEX(Pengaturan!$B$8:$B$27,R$4)="",0,COUNTIF(Data!$B569:$U569,INDEX(Pengaturan!$B$8:$B$27,R$4)))</f>
        <v>0</v>
      </c>
      <c r="S569" s="26" t="n">
        <f aca="false">IF(INDEX(Pengaturan!$B$8:$B$27,S$4)="",0,COUNTIF(Data!$B569:$U569,INDEX(Pengaturan!$B$8:$B$27,S$4)))</f>
        <v>0</v>
      </c>
      <c r="T569" s="26" t="n">
        <f aca="false">IF(INDEX(Pengaturan!$B$8:$B$27,T$4)="",0,COUNTIF(Data!$B569:$U569,INDEX(Pengaturan!$B$8:$B$27,T$4)))</f>
        <v>0</v>
      </c>
      <c r="U569" s="26" t="n">
        <f aca="false">IF(INDEX(Pengaturan!$B$8:$B$27,U$4)="",0,COUNTIF(Data!$B569:$U569,INDEX(Pengaturan!$B$8:$B$27,U$4)))</f>
        <v>0</v>
      </c>
      <c r="V569" s="26" t="n">
        <f aca="false">COUNTA(Data!$B569:$U569)</f>
        <v>0</v>
      </c>
      <c r="W569" s="27" t="str">
        <f aca="false">IF(V569=0,"",IF(V569&lt;&gt;Hasil!$C$4,"Data kosong/tidak lengkap",IF(SUM(B569:U569)&lt;&gt;V569,"Kategori tidak dikenal","OK")))</f>
        <v/>
      </c>
      <c r="X569" s="26" t="n">
        <f aca="false">IF(OR(W569="",W569="OK"),0,1)</f>
        <v>0</v>
      </c>
    </row>
    <row r="570" customFormat="false" ht="15" hidden="false" customHeight="false" outlineLevel="0" collapsed="false">
      <c r="A570" s="26" t="n">
        <f aca="false">Data!A570</f>
        <v>565</v>
      </c>
      <c r="B570" s="26" t="n">
        <f aca="false">IF(INDEX(Pengaturan!$B$8:$B$27,B$4)="",0,COUNTIF(Data!$B570:$U570,INDEX(Pengaturan!$B$8:$B$27,B$4)))</f>
        <v>0</v>
      </c>
      <c r="C570" s="26" t="n">
        <f aca="false">IF(INDEX(Pengaturan!$B$8:$B$27,C$4)="",0,COUNTIF(Data!$B570:$U570,INDEX(Pengaturan!$B$8:$B$27,C$4)))</f>
        <v>0</v>
      </c>
      <c r="D570" s="26" t="n">
        <f aca="false">IF(INDEX(Pengaturan!$B$8:$B$27,D$4)="",0,COUNTIF(Data!$B570:$U570,INDEX(Pengaturan!$B$8:$B$27,D$4)))</f>
        <v>0</v>
      </c>
      <c r="E570" s="26" t="n">
        <f aca="false">IF(INDEX(Pengaturan!$B$8:$B$27,E$4)="",0,COUNTIF(Data!$B570:$U570,INDEX(Pengaturan!$B$8:$B$27,E$4)))</f>
        <v>0</v>
      </c>
      <c r="F570" s="26" t="n">
        <f aca="false">IF(INDEX(Pengaturan!$B$8:$B$27,F$4)="",0,COUNTIF(Data!$B570:$U570,INDEX(Pengaturan!$B$8:$B$27,F$4)))</f>
        <v>0</v>
      </c>
      <c r="G570" s="26" t="n">
        <f aca="false">IF(INDEX(Pengaturan!$B$8:$B$27,G$4)="",0,COUNTIF(Data!$B570:$U570,INDEX(Pengaturan!$B$8:$B$27,G$4)))</f>
        <v>0</v>
      </c>
      <c r="H570" s="26" t="n">
        <f aca="false">IF(INDEX(Pengaturan!$B$8:$B$27,H$4)="",0,COUNTIF(Data!$B570:$U570,INDEX(Pengaturan!$B$8:$B$27,H$4)))</f>
        <v>0</v>
      </c>
      <c r="I570" s="26" t="n">
        <f aca="false">IF(INDEX(Pengaturan!$B$8:$B$27,I$4)="",0,COUNTIF(Data!$B570:$U570,INDEX(Pengaturan!$B$8:$B$27,I$4)))</f>
        <v>0</v>
      </c>
      <c r="J570" s="26" t="n">
        <f aca="false">IF(INDEX(Pengaturan!$B$8:$B$27,J$4)="",0,COUNTIF(Data!$B570:$U570,INDEX(Pengaturan!$B$8:$B$27,J$4)))</f>
        <v>0</v>
      </c>
      <c r="K570" s="26" t="n">
        <f aca="false">IF(INDEX(Pengaturan!$B$8:$B$27,K$4)="",0,COUNTIF(Data!$B570:$U570,INDEX(Pengaturan!$B$8:$B$27,K$4)))</f>
        <v>0</v>
      </c>
      <c r="L570" s="26" t="n">
        <f aca="false">IF(INDEX(Pengaturan!$B$8:$B$27,L$4)="",0,COUNTIF(Data!$B570:$U570,INDEX(Pengaturan!$B$8:$B$27,L$4)))</f>
        <v>0</v>
      </c>
      <c r="M570" s="26" t="n">
        <f aca="false">IF(INDEX(Pengaturan!$B$8:$B$27,M$4)="",0,COUNTIF(Data!$B570:$U570,INDEX(Pengaturan!$B$8:$B$27,M$4)))</f>
        <v>0</v>
      </c>
      <c r="N570" s="26" t="n">
        <f aca="false">IF(INDEX(Pengaturan!$B$8:$B$27,N$4)="",0,COUNTIF(Data!$B570:$U570,INDEX(Pengaturan!$B$8:$B$27,N$4)))</f>
        <v>0</v>
      </c>
      <c r="O570" s="26" t="n">
        <f aca="false">IF(INDEX(Pengaturan!$B$8:$B$27,O$4)="",0,COUNTIF(Data!$B570:$U570,INDEX(Pengaturan!$B$8:$B$27,O$4)))</f>
        <v>0</v>
      </c>
      <c r="P570" s="26" t="n">
        <f aca="false">IF(INDEX(Pengaturan!$B$8:$B$27,P$4)="",0,COUNTIF(Data!$B570:$U570,INDEX(Pengaturan!$B$8:$B$27,P$4)))</f>
        <v>0</v>
      </c>
      <c r="Q570" s="26" t="n">
        <f aca="false">IF(INDEX(Pengaturan!$B$8:$B$27,Q$4)="",0,COUNTIF(Data!$B570:$U570,INDEX(Pengaturan!$B$8:$B$27,Q$4)))</f>
        <v>0</v>
      </c>
      <c r="R570" s="26" t="n">
        <f aca="false">IF(INDEX(Pengaturan!$B$8:$B$27,R$4)="",0,COUNTIF(Data!$B570:$U570,INDEX(Pengaturan!$B$8:$B$27,R$4)))</f>
        <v>0</v>
      </c>
      <c r="S570" s="26" t="n">
        <f aca="false">IF(INDEX(Pengaturan!$B$8:$B$27,S$4)="",0,COUNTIF(Data!$B570:$U570,INDEX(Pengaturan!$B$8:$B$27,S$4)))</f>
        <v>0</v>
      </c>
      <c r="T570" s="26" t="n">
        <f aca="false">IF(INDEX(Pengaturan!$B$8:$B$27,T$4)="",0,COUNTIF(Data!$B570:$U570,INDEX(Pengaturan!$B$8:$B$27,T$4)))</f>
        <v>0</v>
      </c>
      <c r="U570" s="26" t="n">
        <f aca="false">IF(INDEX(Pengaturan!$B$8:$B$27,U$4)="",0,COUNTIF(Data!$B570:$U570,INDEX(Pengaturan!$B$8:$B$27,U$4)))</f>
        <v>0</v>
      </c>
      <c r="V570" s="26" t="n">
        <f aca="false">COUNTA(Data!$B570:$U570)</f>
        <v>0</v>
      </c>
      <c r="W570" s="27" t="str">
        <f aca="false">IF(V570=0,"",IF(V570&lt;&gt;Hasil!$C$4,"Data kosong/tidak lengkap",IF(SUM(B570:U570)&lt;&gt;V570,"Kategori tidak dikenal","OK")))</f>
        <v/>
      </c>
      <c r="X570" s="26" t="n">
        <f aca="false">IF(OR(W570="",W570="OK"),0,1)</f>
        <v>0</v>
      </c>
    </row>
    <row r="571" customFormat="false" ht="15" hidden="false" customHeight="false" outlineLevel="0" collapsed="false">
      <c r="A571" s="26" t="n">
        <f aca="false">Data!A571</f>
        <v>566</v>
      </c>
      <c r="B571" s="26" t="n">
        <f aca="false">IF(INDEX(Pengaturan!$B$8:$B$27,B$4)="",0,COUNTIF(Data!$B571:$U571,INDEX(Pengaturan!$B$8:$B$27,B$4)))</f>
        <v>0</v>
      </c>
      <c r="C571" s="26" t="n">
        <f aca="false">IF(INDEX(Pengaturan!$B$8:$B$27,C$4)="",0,COUNTIF(Data!$B571:$U571,INDEX(Pengaturan!$B$8:$B$27,C$4)))</f>
        <v>0</v>
      </c>
      <c r="D571" s="26" t="n">
        <f aca="false">IF(INDEX(Pengaturan!$B$8:$B$27,D$4)="",0,COUNTIF(Data!$B571:$U571,INDEX(Pengaturan!$B$8:$B$27,D$4)))</f>
        <v>0</v>
      </c>
      <c r="E571" s="26" t="n">
        <f aca="false">IF(INDEX(Pengaturan!$B$8:$B$27,E$4)="",0,COUNTIF(Data!$B571:$U571,INDEX(Pengaturan!$B$8:$B$27,E$4)))</f>
        <v>0</v>
      </c>
      <c r="F571" s="26" t="n">
        <f aca="false">IF(INDEX(Pengaturan!$B$8:$B$27,F$4)="",0,COUNTIF(Data!$B571:$U571,INDEX(Pengaturan!$B$8:$B$27,F$4)))</f>
        <v>0</v>
      </c>
      <c r="G571" s="26" t="n">
        <f aca="false">IF(INDEX(Pengaturan!$B$8:$B$27,G$4)="",0,COUNTIF(Data!$B571:$U571,INDEX(Pengaturan!$B$8:$B$27,G$4)))</f>
        <v>0</v>
      </c>
      <c r="H571" s="26" t="n">
        <f aca="false">IF(INDEX(Pengaturan!$B$8:$B$27,H$4)="",0,COUNTIF(Data!$B571:$U571,INDEX(Pengaturan!$B$8:$B$27,H$4)))</f>
        <v>0</v>
      </c>
      <c r="I571" s="26" t="n">
        <f aca="false">IF(INDEX(Pengaturan!$B$8:$B$27,I$4)="",0,COUNTIF(Data!$B571:$U571,INDEX(Pengaturan!$B$8:$B$27,I$4)))</f>
        <v>0</v>
      </c>
      <c r="J571" s="26" t="n">
        <f aca="false">IF(INDEX(Pengaturan!$B$8:$B$27,J$4)="",0,COUNTIF(Data!$B571:$U571,INDEX(Pengaturan!$B$8:$B$27,J$4)))</f>
        <v>0</v>
      </c>
      <c r="K571" s="26" t="n">
        <f aca="false">IF(INDEX(Pengaturan!$B$8:$B$27,K$4)="",0,COUNTIF(Data!$B571:$U571,INDEX(Pengaturan!$B$8:$B$27,K$4)))</f>
        <v>0</v>
      </c>
      <c r="L571" s="26" t="n">
        <f aca="false">IF(INDEX(Pengaturan!$B$8:$B$27,L$4)="",0,COUNTIF(Data!$B571:$U571,INDEX(Pengaturan!$B$8:$B$27,L$4)))</f>
        <v>0</v>
      </c>
      <c r="M571" s="26" t="n">
        <f aca="false">IF(INDEX(Pengaturan!$B$8:$B$27,M$4)="",0,COUNTIF(Data!$B571:$U571,INDEX(Pengaturan!$B$8:$B$27,M$4)))</f>
        <v>0</v>
      </c>
      <c r="N571" s="26" t="n">
        <f aca="false">IF(INDEX(Pengaturan!$B$8:$B$27,N$4)="",0,COUNTIF(Data!$B571:$U571,INDEX(Pengaturan!$B$8:$B$27,N$4)))</f>
        <v>0</v>
      </c>
      <c r="O571" s="26" t="n">
        <f aca="false">IF(INDEX(Pengaturan!$B$8:$B$27,O$4)="",0,COUNTIF(Data!$B571:$U571,INDEX(Pengaturan!$B$8:$B$27,O$4)))</f>
        <v>0</v>
      </c>
      <c r="P571" s="26" t="n">
        <f aca="false">IF(INDEX(Pengaturan!$B$8:$B$27,P$4)="",0,COUNTIF(Data!$B571:$U571,INDEX(Pengaturan!$B$8:$B$27,P$4)))</f>
        <v>0</v>
      </c>
      <c r="Q571" s="26" t="n">
        <f aca="false">IF(INDEX(Pengaturan!$B$8:$B$27,Q$4)="",0,COUNTIF(Data!$B571:$U571,INDEX(Pengaturan!$B$8:$B$27,Q$4)))</f>
        <v>0</v>
      </c>
      <c r="R571" s="26" t="n">
        <f aca="false">IF(INDEX(Pengaturan!$B$8:$B$27,R$4)="",0,COUNTIF(Data!$B571:$U571,INDEX(Pengaturan!$B$8:$B$27,R$4)))</f>
        <v>0</v>
      </c>
      <c r="S571" s="26" t="n">
        <f aca="false">IF(INDEX(Pengaturan!$B$8:$B$27,S$4)="",0,COUNTIF(Data!$B571:$U571,INDEX(Pengaturan!$B$8:$B$27,S$4)))</f>
        <v>0</v>
      </c>
      <c r="T571" s="26" t="n">
        <f aca="false">IF(INDEX(Pengaturan!$B$8:$B$27,T$4)="",0,COUNTIF(Data!$B571:$U571,INDEX(Pengaturan!$B$8:$B$27,T$4)))</f>
        <v>0</v>
      </c>
      <c r="U571" s="26" t="n">
        <f aca="false">IF(INDEX(Pengaturan!$B$8:$B$27,U$4)="",0,COUNTIF(Data!$B571:$U571,INDEX(Pengaturan!$B$8:$B$27,U$4)))</f>
        <v>0</v>
      </c>
      <c r="V571" s="26" t="n">
        <f aca="false">COUNTA(Data!$B571:$U571)</f>
        <v>0</v>
      </c>
      <c r="W571" s="27" t="str">
        <f aca="false">IF(V571=0,"",IF(V571&lt;&gt;Hasil!$C$4,"Data kosong/tidak lengkap",IF(SUM(B571:U571)&lt;&gt;V571,"Kategori tidak dikenal","OK")))</f>
        <v/>
      </c>
      <c r="X571" s="26" t="n">
        <f aca="false">IF(OR(W571="",W571="OK"),0,1)</f>
        <v>0</v>
      </c>
    </row>
    <row r="572" customFormat="false" ht="15" hidden="false" customHeight="false" outlineLevel="0" collapsed="false">
      <c r="A572" s="26" t="n">
        <f aca="false">Data!A572</f>
        <v>567</v>
      </c>
      <c r="B572" s="26" t="n">
        <f aca="false">IF(INDEX(Pengaturan!$B$8:$B$27,B$4)="",0,COUNTIF(Data!$B572:$U572,INDEX(Pengaturan!$B$8:$B$27,B$4)))</f>
        <v>0</v>
      </c>
      <c r="C572" s="26" t="n">
        <f aca="false">IF(INDEX(Pengaturan!$B$8:$B$27,C$4)="",0,COUNTIF(Data!$B572:$U572,INDEX(Pengaturan!$B$8:$B$27,C$4)))</f>
        <v>0</v>
      </c>
      <c r="D572" s="26" t="n">
        <f aca="false">IF(INDEX(Pengaturan!$B$8:$B$27,D$4)="",0,COUNTIF(Data!$B572:$U572,INDEX(Pengaturan!$B$8:$B$27,D$4)))</f>
        <v>0</v>
      </c>
      <c r="E572" s="26" t="n">
        <f aca="false">IF(INDEX(Pengaturan!$B$8:$B$27,E$4)="",0,COUNTIF(Data!$B572:$U572,INDEX(Pengaturan!$B$8:$B$27,E$4)))</f>
        <v>0</v>
      </c>
      <c r="F572" s="26" t="n">
        <f aca="false">IF(INDEX(Pengaturan!$B$8:$B$27,F$4)="",0,COUNTIF(Data!$B572:$U572,INDEX(Pengaturan!$B$8:$B$27,F$4)))</f>
        <v>0</v>
      </c>
      <c r="G572" s="26" t="n">
        <f aca="false">IF(INDEX(Pengaturan!$B$8:$B$27,G$4)="",0,COUNTIF(Data!$B572:$U572,INDEX(Pengaturan!$B$8:$B$27,G$4)))</f>
        <v>0</v>
      </c>
      <c r="H572" s="26" t="n">
        <f aca="false">IF(INDEX(Pengaturan!$B$8:$B$27,H$4)="",0,COUNTIF(Data!$B572:$U572,INDEX(Pengaturan!$B$8:$B$27,H$4)))</f>
        <v>0</v>
      </c>
      <c r="I572" s="26" t="n">
        <f aca="false">IF(INDEX(Pengaturan!$B$8:$B$27,I$4)="",0,COUNTIF(Data!$B572:$U572,INDEX(Pengaturan!$B$8:$B$27,I$4)))</f>
        <v>0</v>
      </c>
      <c r="J572" s="26" t="n">
        <f aca="false">IF(INDEX(Pengaturan!$B$8:$B$27,J$4)="",0,COUNTIF(Data!$B572:$U572,INDEX(Pengaturan!$B$8:$B$27,J$4)))</f>
        <v>0</v>
      </c>
      <c r="K572" s="26" t="n">
        <f aca="false">IF(INDEX(Pengaturan!$B$8:$B$27,K$4)="",0,COUNTIF(Data!$B572:$U572,INDEX(Pengaturan!$B$8:$B$27,K$4)))</f>
        <v>0</v>
      </c>
      <c r="L572" s="26" t="n">
        <f aca="false">IF(INDEX(Pengaturan!$B$8:$B$27,L$4)="",0,COUNTIF(Data!$B572:$U572,INDEX(Pengaturan!$B$8:$B$27,L$4)))</f>
        <v>0</v>
      </c>
      <c r="M572" s="26" t="n">
        <f aca="false">IF(INDEX(Pengaturan!$B$8:$B$27,M$4)="",0,COUNTIF(Data!$B572:$U572,INDEX(Pengaturan!$B$8:$B$27,M$4)))</f>
        <v>0</v>
      </c>
      <c r="N572" s="26" t="n">
        <f aca="false">IF(INDEX(Pengaturan!$B$8:$B$27,N$4)="",0,COUNTIF(Data!$B572:$U572,INDEX(Pengaturan!$B$8:$B$27,N$4)))</f>
        <v>0</v>
      </c>
      <c r="O572" s="26" t="n">
        <f aca="false">IF(INDEX(Pengaturan!$B$8:$B$27,O$4)="",0,COUNTIF(Data!$B572:$U572,INDEX(Pengaturan!$B$8:$B$27,O$4)))</f>
        <v>0</v>
      </c>
      <c r="P572" s="26" t="n">
        <f aca="false">IF(INDEX(Pengaturan!$B$8:$B$27,P$4)="",0,COUNTIF(Data!$B572:$U572,INDEX(Pengaturan!$B$8:$B$27,P$4)))</f>
        <v>0</v>
      </c>
      <c r="Q572" s="26" t="n">
        <f aca="false">IF(INDEX(Pengaturan!$B$8:$B$27,Q$4)="",0,COUNTIF(Data!$B572:$U572,INDEX(Pengaturan!$B$8:$B$27,Q$4)))</f>
        <v>0</v>
      </c>
      <c r="R572" s="26" t="n">
        <f aca="false">IF(INDEX(Pengaturan!$B$8:$B$27,R$4)="",0,COUNTIF(Data!$B572:$U572,INDEX(Pengaturan!$B$8:$B$27,R$4)))</f>
        <v>0</v>
      </c>
      <c r="S572" s="26" t="n">
        <f aca="false">IF(INDEX(Pengaturan!$B$8:$B$27,S$4)="",0,COUNTIF(Data!$B572:$U572,INDEX(Pengaturan!$B$8:$B$27,S$4)))</f>
        <v>0</v>
      </c>
      <c r="T572" s="26" t="n">
        <f aca="false">IF(INDEX(Pengaturan!$B$8:$B$27,T$4)="",0,COUNTIF(Data!$B572:$U572,INDEX(Pengaturan!$B$8:$B$27,T$4)))</f>
        <v>0</v>
      </c>
      <c r="U572" s="26" t="n">
        <f aca="false">IF(INDEX(Pengaturan!$B$8:$B$27,U$4)="",0,COUNTIF(Data!$B572:$U572,INDEX(Pengaturan!$B$8:$B$27,U$4)))</f>
        <v>0</v>
      </c>
      <c r="V572" s="26" t="n">
        <f aca="false">COUNTA(Data!$B572:$U572)</f>
        <v>0</v>
      </c>
      <c r="W572" s="27" t="str">
        <f aca="false">IF(V572=0,"",IF(V572&lt;&gt;Hasil!$C$4,"Data kosong/tidak lengkap",IF(SUM(B572:U572)&lt;&gt;V572,"Kategori tidak dikenal","OK")))</f>
        <v/>
      </c>
      <c r="X572" s="26" t="n">
        <f aca="false">IF(OR(W572="",W572="OK"),0,1)</f>
        <v>0</v>
      </c>
    </row>
    <row r="573" customFormat="false" ht="15" hidden="false" customHeight="false" outlineLevel="0" collapsed="false">
      <c r="A573" s="26" t="n">
        <f aca="false">Data!A573</f>
        <v>568</v>
      </c>
      <c r="B573" s="26" t="n">
        <f aca="false">IF(INDEX(Pengaturan!$B$8:$B$27,B$4)="",0,COUNTIF(Data!$B573:$U573,INDEX(Pengaturan!$B$8:$B$27,B$4)))</f>
        <v>0</v>
      </c>
      <c r="C573" s="26" t="n">
        <f aca="false">IF(INDEX(Pengaturan!$B$8:$B$27,C$4)="",0,COUNTIF(Data!$B573:$U573,INDEX(Pengaturan!$B$8:$B$27,C$4)))</f>
        <v>0</v>
      </c>
      <c r="D573" s="26" t="n">
        <f aca="false">IF(INDEX(Pengaturan!$B$8:$B$27,D$4)="",0,COUNTIF(Data!$B573:$U573,INDEX(Pengaturan!$B$8:$B$27,D$4)))</f>
        <v>0</v>
      </c>
      <c r="E573" s="26" t="n">
        <f aca="false">IF(INDEX(Pengaturan!$B$8:$B$27,E$4)="",0,COUNTIF(Data!$B573:$U573,INDEX(Pengaturan!$B$8:$B$27,E$4)))</f>
        <v>0</v>
      </c>
      <c r="F573" s="26" t="n">
        <f aca="false">IF(INDEX(Pengaturan!$B$8:$B$27,F$4)="",0,COUNTIF(Data!$B573:$U573,INDEX(Pengaturan!$B$8:$B$27,F$4)))</f>
        <v>0</v>
      </c>
      <c r="G573" s="26" t="n">
        <f aca="false">IF(INDEX(Pengaturan!$B$8:$B$27,G$4)="",0,COUNTIF(Data!$B573:$U573,INDEX(Pengaturan!$B$8:$B$27,G$4)))</f>
        <v>0</v>
      </c>
      <c r="H573" s="26" t="n">
        <f aca="false">IF(INDEX(Pengaturan!$B$8:$B$27,H$4)="",0,COUNTIF(Data!$B573:$U573,INDEX(Pengaturan!$B$8:$B$27,H$4)))</f>
        <v>0</v>
      </c>
      <c r="I573" s="26" t="n">
        <f aca="false">IF(INDEX(Pengaturan!$B$8:$B$27,I$4)="",0,COUNTIF(Data!$B573:$U573,INDEX(Pengaturan!$B$8:$B$27,I$4)))</f>
        <v>0</v>
      </c>
      <c r="J573" s="26" t="n">
        <f aca="false">IF(INDEX(Pengaturan!$B$8:$B$27,J$4)="",0,COUNTIF(Data!$B573:$U573,INDEX(Pengaturan!$B$8:$B$27,J$4)))</f>
        <v>0</v>
      </c>
      <c r="K573" s="26" t="n">
        <f aca="false">IF(INDEX(Pengaturan!$B$8:$B$27,K$4)="",0,COUNTIF(Data!$B573:$U573,INDEX(Pengaturan!$B$8:$B$27,K$4)))</f>
        <v>0</v>
      </c>
      <c r="L573" s="26" t="n">
        <f aca="false">IF(INDEX(Pengaturan!$B$8:$B$27,L$4)="",0,COUNTIF(Data!$B573:$U573,INDEX(Pengaturan!$B$8:$B$27,L$4)))</f>
        <v>0</v>
      </c>
      <c r="M573" s="26" t="n">
        <f aca="false">IF(INDEX(Pengaturan!$B$8:$B$27,M$4)="",0,COUNTIF(Data!$B573:$U573,INDEX(Pengaturan!$B$8:$B$27,M$4)))</f>
        <v>0</v>
      </c>
      <c r="N573" s="26" t="n">
        <f aca="false">IF(INDEX(Pengaturan!$B$8:$B$27,N$4)="",0,COUNTIF(Data!$B573:$U573,INDEX(Pengaturan!$B$8:$B$27,N$4)))</f>
        <v>0</v>
      </c>
      <c r="O573" s="26" t="n">
        <f aca="false">IF(INDEX(Pengaturan!$B$8:$B$27,O$4)="",0,COUNTIF(Data!$B573:$U573,INDEX(Pengaturan!$B$8:$B$27,O$4)))</f>
        <v>0</v>
      </c>
      <c r="P573" s="26" t="n">
        <f aca="false">IF(INDEX(Pengaturan!$B$8:$B$27,P$4)="",0,COUNTIF(Data!$B573:$U573,INDEX(Pengaturan!$B$8:$B$27,P$4)))</f>
        <v>0</v>
      </c>
      <c r="Q573" s="26" t="n">
        <f aca="false">IF(INDEX(Pengaturan!$B$8:$B$27,Q$4)="",0,COUNTIF(Data!$B573:$U573,INDEX(Pengaturan!$B$8:$B$27,Q$4)))</f>
        <v>0</v>
      </c>
      <c r="R573" s="26" t="n">
        <f aca="false">IF(INDEX(Pengaturan!$B$8:$B$27,R$4)="",0,COUNTIF(Data!$B573:$U573,INDEX(Pengaturan!$B$8:$B$27,R$4)))</f>
        <v>0</v>
      </c>
      <c r="S573" s="26" t="n">
        <f aca="false">IF(INDEX(Pengaturan!$B$8:$B$27,S$4)="",0,COUNTIF(Data!$B573:$U573,INDEX(Pengaturan!$B$8:$B$27,S$4)))</f>
        <v>0</v>
      </c>
      <c r="T573" s="26" t="n">
        <f aca="false">IF(INDEX(Pengaturan!$B$8:$B$27,T$4)="",0,COUNTIF(Data!$B573:$U573,INDEX(Pengaturan!$B$8:$B$27,T$4)))</f>
        <v>0</v>
      </c>
      <c r="U573" s="26" t="n">
        <f aca="false">IF(INDEX(Pengaturan!$B$8:$B$27,U$4)="",0,COUNTIF(Data!$B573:$U573,INDEX(Pengaturan!$B$8:$B$27,U$4)))</f>
        <v>0</v>
      </c>
      <c r="V573" s="26" t="n">
        <f aca="false">COUNTA(Data!$B573:$U573)</f>
        <v>0</v>
      </c>
      <c r="W573" s="27" t="str">
        <f aca="false">IF(V573=0,"",IF(V573&lt;&gt;Hasil!$C$4,"Data kosong/tidak lengkap",IF(SUM(B573:U573)&lt;&gt;V573,"Kategori tidak dikenal","OK")))</f>
        <v/>
      </c>
      <c r="X573" s="26" t="n">
        <f aca="false">IF(OR(W573="",W573="OK"),0,1)</f>
        <v>0</v>
      </c>
    </row>
    <row r="574" customFormat="false" ht="15" hidden="false" customHeight="false" outlineLevel="0" collapsed="false">
      <c r="A574" s="26" t="n">
        <f aca="false">Data!A574</f>
        <v>569</v>
      </c>
      <c r="B574" s="26" t="n">
        <f aca="false">IF(INDEX(Pengaturan!$B$8:$B$27,B$4)="",0,COUNTIF(Data!$B574:$U574,INDEX(Pengaturan!$B$8:$B$27,B$4)))</f>
        <v>0</v>
      </c>
      <c r="C574" s="26" t="n">
        <f aca="false">IF(INDEX(Pengaturan!$B$8:$B$27,C$4)="",0,COUNTIF(Data!$B574:$U574,INDEX(Pengaturan!$B$8:$B$27,C$4)))</f>
        <v>0</v>
      </c>
      <c r="D574" s="26" t="n">
        <f aca="false">IF(INDEX(Pengaturan!$B$8:$B$27,D$4)="",0,COUNTIF(Data!$B574:$U574,INDEX(Pengaturan!$B$8:$B$27,D$4)))</f>
        <v>0</v>
      </c>
      <c r="E574" s="26" t="n">
        <f aca="false">IF(INDEX(Pengaturan!$B$8:$B$27,E$4)="",0,COUNTIF(Data!$B574:$U574,INDEX(Pengaturan!$B$8:$B$27,E$4)))</f>
        <v>0</v>
      </c>
      <c r="F574" s="26" t="n">
        <f aca="false">IF(INDEX(Pengaturan!$B$8:$B$27,F$4)="",0,COUNTIF(Data!$B574:$U574,INDEX(Pengaturan!$B$8:$B$27,F$4)))</f>
        <v>0</v>
      </c>
      <c r="G574" s="26" t="n">
        <f aca="false">IF(INDEX(Pengaturan!$B$8:$B$27,G$4)="",0,COUNTIF(Data!$B574:$U574,INDEX(Pengaturan!$B$8:$B$27,G$4)))</f>
        <v>0</v>
      </c>
      <c r="H574" s="26" t="n">
        <f aca="false">IF(INDEX(Pengaturan!$B$8:$B$27,H$4)="",0,COUNTIF(Data!$B574:$U574,INDEX(Pengaturan!$B$8:$B$27,H$4)))</f>
        <v>0</v>
      </c>
      <c r="I574" s="26" t="n">
        <f aca="false">IF(INDEX(Pengaturan!$B$8:$B$27,I$4)="",0,COUNTIF(Data!$B574:$U574,INDEX(Pengaturan!$B$8:$B$27,I$4)))</f>
        <v>0</v>
      </c>
      <c r="J574" s="26" t="n">
        <f aca="false">IF(INDEX(Pengaturan!$B$8:$B$27,J$4)="",0,COUNTIF(Data!$B574:$U574,INDEX(Pengaturan!$B$8:$B$27,J$4)))</f>
        <v>0</v>
      </c>
      <c r="K574" s="26" t="n">
        <f aca="false">IF(INDEX(Pengaturan!$B$8:$B$27,K$4)="",0,COUNTIF(Data!$B574:$U574,INDEX(Pengaturan!$B$8:$B$27,K$4)))</f>
        <v>0</v>
      </c>
      <c r="L574" s="26" t="n">
        <f aca="false">IF(INDEX(Pengaturan!$B$8:$B$27,L$4)="",0,COUNTIF(Data!$B574:$U574,INDEX(Pengaturan!$B$8:$B$27,L$4)))</f>
        <v>0</v>
      </c>
      <c r="M574" s="26" t="n">
        <f aca="false">IF(INDEX(Pengaturan!$B$8:$B$27,M$4)="",0,COUNTIF(Data!$B574:$U574,INDEX(Pengaturan!$B$8:$B$27,M$4)))</f>
        <v>0</v>
      </c>
      <c r="N574" s="26" t="n">
        <f aca="false">IF(INDEX(Pengaturan!$B$8:$B$27,N$4)="",0,COUNTIF(Data!$B574:$U574,INDEX(Pengaturan!$B$8:$B$27,N$4)))</f>
        <v>0</v>
      </c>
      <c r="O574" s="26" t="n">
        <f aca="false">IF(INDEX(Pengaturan!$B$8:$B$27,O$4)="",0,COUNTIF(Data!$B574:$U574,INDEX(Pengaturan!$B$8:$B$27,O$4)))</f>
        <v>0</v>
      </c>
      <c r="P574" s="26" t="n">
        <f aca="false">IF(INDEX(Pengaturan!$B$8:$B$27,P$4)="",0,COUNTIF(Data!$B574:$U574,INDEX(Pengaturan!$B$8:$B$27,P$4)))</f>
        <v>0</v>
      </c>
      <c r="Q574" s="26" t="n">
        <f aca="false">IF(INDEX(Pengaturan!$B$8:$B$27,Q$4)="",0,COUNTIF(Data!$B574:$U574,INDEX(Pengaturan!$B$8:$B$27,Q$4)))</f>
        <v>0</v>
      </c>
      <c r="R574" s="26" t="n">
        <f aca="false">IF(INDEX(Pengaturan!$B$8:$B$27,R$4)="",0,COUNTIF(Data!$B574:$U574,INDEX(Pengaturan!$B$8:$B$27,R$4)))</f>
        <v>0</v>
      </c>
      <c r="S574" s="26" t="n">
        <f aca="false">IF(INDEX(Pengaturan!$B$8:$B$27,S$4)="",0,COUNTIF(Data!$B574:$U574,INDEX(Pengaturan!$B$8:$B$27,S$4)))</f>
        <v>0</v>
      </c>
      <c r="T574" s="26" t="n">
        <f aca="false">IF(INDEX(Pengaturan!$B$8:$B$27,T$4)="",0,COUNTIF(Data!$B574:$U574,INDEX(Pengaturan!$B$8:$B$27,T$4)))</f>
        <v>0</v>
      </c>
      <c r="U574" s="26" t="n">
        <f aca="false">IF(INDEX(Pengaturan!$B$8:$B$27,U$4)="",0,COUNTIF(Data!$B574:$U574,INDEX(Pengaturan!$B$8:$B$27,U$4)))</f>
        <v>0</v>
      </c>
      <c r="V574" s="26" t="n">
        <f aca="false">COUNTA(Data!$B574:$U574)</f>
        <v>0</v>
      </c>
      <c r="W574" s="27" t="str">
        <f aca="false">IF(V574=0,"",IF(V574&lt;&gt;Hasil!$C$4,"Data kosong/tidak lengkap",IF(SUM(B574:U574)&lt;&gt;V574,"Kategori tidak dikenal","OK")))</f>
        <v/>
      </c>
      <c r="X574" s="26" t="n">
        <f aca="false">IF(OR(W574="",W574="OK"),0,1)</f>
        <v>0</v>
      </c>
    </row>
    <row r="575" customFormat="false" ht="15" hidden="false" customHeight="false" outlineLevel="0" collapsed="false">
      <c r="A575" s="26" t="n">
        <f aca="false">Data!A575</f>
        <v>570</v>
      </c>
      <c r="B575" s="26" t="n">
        <f aca="false">IF(INDEX(Pengaturan!$B$8:$B$27,B$4)="",0,COUNTIF(Data!$B575:$U575,INDEX(Pengaturan!$B$8:$B$27,B$4)))</f>
        <v>0</v>
      </c>
      <c r="C575" s="26" t="n">
        <f aca="false">IF(INDEX(Pengaturan!$B$8:$B$27,C$4)="",0,COUNTIF(Data!$B575:$U575,INDEX(Pengaturan!$B$8:$B$27,C$4)))</f>
        <v>0</v>
      </c>
      <c r="D575" s="26" t="n">
        <f aca="false">IF(INDEX(Pengaturan!$B$8:$B$27,D$4)="",0,COUNTIF(Data!$B575:$U575,INDEX(Pengaturan!$B$8:$B$27,D$4)))</f>
        <v>0</v>
      </c>
      <c r="E575" s="26" t="n">
        <f aca="false">IF(INDEX(Pengaturan!$B$8:$B$27,E$4)="",0,COUNTIF(Data!$B575:$U575,INDEX(Pengaturan!$B$8:$B$27,E$4)))</f>
        <v>0</v>
      </c>
      <c r="F575" s="26" t="n">
        <f aca="false">IF(INDEX(Pengaturan!$B$8:$B$27,F$4)="",0,COUNTIF(Data!$B575:$U575,INDEX(Pengaturan!$B$8:$B$27,F$4)))</f>
        <v>0</v>
      </c>
      <c r="G575" s="26" t="n">
        <f aca="false">IF(INDEX(Pengaturan!$B$8:$B$27,G$4)="",0,COUNTIF(Data!$B575:$U575,INDEX(Pengaturan!$B$8:$B$27,G$4)))</f>
        <v>0</v>
      </c>
      <c r="H575" s="26" t="n">
        <f aca="false">IF(INDEX(Pengaturan!$B$8:$B$27,H$4)="",0,COUNTIF(Data!$B575:$U575,INDEX(Pengaturan!$B$8:$B$27,H$4)))</f>
        <v>0</v>
      </c>
      <c r="I575" s="26" t="n">
        <f aca="false">IF(INDEX(Pengaturan!$B$8:$B$27,I$4)="",0,COUNTIF(Data!$B575:$U575,INDEX(Pengaturan!$B$8:$B$27,I$4)))</f>
        <v>0</v>
      </c>
      <c r="J575" s="26" t="n">
        <f aca="false">IF(INDEX(Pengaturan!$B$8:$B$27,J$4)="",0,COUNTIF(Data!$B575:$U575,INDEX(Pengaturan!$B$8:$B$27,J$4)))</f>
        <v>0</v>
      </c>
      <c r="K575" s="26" t="n">
        <f aca="false">IF(INDEX(Pengaturan!$B$8:$B$27,K$4)="",0,COUNTIF(Data!$B575:$U575,INDEX(Pengaturan!$B$8:$B$27,K$4)))</f>
        <v>0</v>
      </c>
      <c r="L575" s="26" t="n">
        <f aca="false">IF(INDEX(Pengaturan!$B$8:$B$27,L$4)="",0,COUNTIF(Data!$B575:$U575,INDEX(Pengaturan!$B$8:$B$27,L$4)))</f>
        <v>0</v>
      </c>
      <c r="M575" s="26" t="n">
        <f aca="false">IF(INDEX(Pengaturan!$B$8:$B$27,M$4)="",0,COUNTIF(Data!$B575:$U575,INDEX(Pengaturan!$B$8:$B$27,M$4)))</f>
        <v>0</v>
      </c>
      <c r="N575" s="26" t="n">
        <f aca="false">IF(INDEX(Pengaturan!$B$8:$B$27,N$4)="",0,COUNTIF(Data!$B575:$U575,INDEX(Pengaturan!$B$8:$B$27,N$4)))</f>
        <v>0</v>
      </c>
      <c r="O575" s="26" t="n">
        <f aca="false">IF(INDEX(Pengaturan!$B$8:$B$27,O$4)="",0,COUNTIF(Data!$B575:$U575,INDEX(Pengaturan!$B$8:$B$27,O$4)))</f>
        <v>0</v>
      </c>
      <c r="P575" s="26" t="n">
        <f aca="false">IF(INDEX(Pengaturan!$B$8:$B$27,P$4)="",0,COUNTIF(Data!$B575:$U575,INDEX(Pengaturan!$B$8:$B$27,P$4)))</f>
        <v>0</v>
      </c>
      <c r="Q575" s="26" t="n">
        <f aca="false">IF(INDEX(Pengaturan!$B$8:$B$27,Q$4)="",0,COUNTIF(Data!$B575:$U575,INDEX(Pengaturan!$B$8:$B$27,Q$4)))</f>
        <v>0</v>
      </c>
      <c r="R575" s="26" t="n">
        <f aca="false">IF(INDEX(Pengaturan!$B$8:$B$27,R$4)="",0,COUNTIF(Data!$B575:$U575,INDEX(Pengaturan!$B$8:$B$27,R$4)))</f>
        <v>0</v>
      </c>
      <c r="S575" s="26" t="n">
        <f aca="false">IF(INDEX(Pengaturan!$B$8:$B$27,S$4)="",0,COUNTIF(Data!$B575:$U575,INDEX(Pengaturan!$B$8:$B$27,S$4)))</f>
        <v>0</v>
      </c>
      <c r="T575" s="26" t="n">
        <f aca="false">IF(INDEX(Pengaturan!$B$8:$B$27,T$4)="",0,COUNTIF(Data!$B575:$U575,INDEX(Pengaturan!$B$8:$B$27,T$4)))</f>
        <v>0</v>
      </c>
      <c r="U575" s="26" t="n">
        <f aca="false">IF(INDEX(Pengaturan!$B$8:$B$27,U$4)="",0,COUNTIF(Data!$B575:$U575,INDEX(Pengaturan!$B$8:$B$27,U$4)))</f>
        <v>0</v>
      </c>
      <c r="V575" s="26" t="n">
        <f aca="false">COUNTA(Data!$B575:$U575)</f>
        <v>0</v>
      </c>
      <c r="W575" s="27" t="str">
        <f aca="false">IF(V575=0,"",IF(V575&lt;&gt;Hasil!$C$4,"Data kosong/tidak lengkap",IF(SUM(B575:U575)&lt;&gt;V575,"Kategori tidak dikenal","OK")))</f>
        <v/>
      </c>
      <c r="X575" s="26" t="n">
        <f aca="false">IF(OR(W575="",W575="OK"),0,1)</f>
        <v>0</v>
      </c>
    </row>
    <row r="576" customFormat="false" ht="15" hidden="false" customHeight="false" outlineLevel="0" collapsed="false">
      <c r="A576" s="26" t="n">
        <f aca="false">Data!A576</f>
        <v>571</v>
      </c>
      <c r="B576" s="26" t="n">
        <f aca="false">IF(INDEX(Pengaturan!$B$8:$B$27,B$4)="",0,COUNTIF(Data!$B576:$U576,INDEX(Pengaturan!$B$8:$B$27,B$4)))</f>
        <v>0</v>
      </c>
      <c r="C576" s="26" t="n">
        <f aca="false">IF(INDEX(Pengaturan!$B$8:$B$27,C$4)="",0,COUNTIF(Data!$B576:$U576,INDEX(Pengaturan!$B$8:$B$27,C$4)))</f>
        <v>0</v>
      </c>
      <c r="D576" s="26" t="n">
        <f aca="false">IF(INDEX(Pengaturan!$B$8:$B$27,D$4)="",0,COUNTIF(Data!$B576:$U576,INDEX(Pengaturan!$B$8:$B$27,D$4)))</f>
        <v>0</v>
      </c>
      <c r="E576" s="26" t="n">
        <f aca="false">IF(INDEX(Pengaturan!$B$8:$B$27,E$4)="",0,COUNTIF(Data!$B576:$U576,INDEX(Pengaturan!$B$8:$B$27,E$4)))</f>
        <v>0</v>
      </c>
      <c r="F576" s="26" t="n">
        <f aca="false">IF(INDEX(Pengaturan!$B$8:$B$27,F$4)="",0,COUNTIF(Data!$B576:$U576,INDEX(Pengaturan!$B$8:$B$27,F$4)))</f>
        <v>0</v>
      </c>
      <c r="G576" s="26" t="n">
        <f aca="false">IF(INDEX(Pengaturan!$B$8:$B$27,G$4)="",0,COUNTIF(Data!$B576:$U576,INDEX(Pengaturan!$B$8:$B$27,G$4)))</f>
        <v>0</v>
      </c>
      <c r="H576" s="26" t="n">
        <f aca="false">IF(INDEX(Pengaturan!$B$8:$B$27,H$4)="",0,COUNTIF(Data!$B576:$U576,INDEX(Pengaturan!$B$8:$B$27,H$4)))</f>
        <v>0</v>
      </c>
      <c r="I576" s="26" t="n">
        <f aca="false">IF(INDEX(Pengaturan!$B$8:$B$27,I$4)="",0,COUNTIF(Data!$B576:$U576,INDEX(Pengaturan!$B$8:$B$27,I$4)))</f>
        <v>0</v>
      </c>
      <c r="J576" s="26" t="n">
        <f aca="false">IF(INDEX(Pengaturan!$B$8:$B$27,J$4)="",0,COUNTIF(Data!$B576:$U576,INDEX(Pengaturan!$B$8:$B$27,J$4)))</f>
        <v>0</v>
      </c>
      <c r="K576" s="26" t="n">
        <f aca="false">IF(INDEX(Pengaturan!$B$8:$B$27,K$4)="",0,COUNTIF(Data!$B576:$U576,INDEX(Pengaturan!$B$8:$B$27,K$4)))</f>
        <v>0</v>
      </c>
      <c r="L576" s="26" t="n">
        <f aca="false">IF(INDEX(Pengaturan!$B$8:$B$27,L$4)="",0,COUNTIF(Data!$B576:$U576,INDEX(Pengaturan!$B$8:$B$27,L$4)))</f>
        <v>0</v>
      </c>
      <c r="M576" s="26" t="n">
        <f aca="false">IF(INDEX(Pengaturan!$B$8:$B$27,M$4)="",0,COUNTIF(Data!$B576:$U576,INDEX(Pengaturan!$B$8:$B$27,M$4)))</f>
        <v>0</v>
      </c>
      <c r="N576" s="26" t="n">
        <f aca="false">IF(INDEX(Pengaturan!$B$8:$B$27,N$4)="",0,COUNTIF(Data!$B576:$U576,INDEX(Pengaturan!$B$8:$B$27,N$4)))</f>
        <v>0</v>
      </c>
      <c r="O576" s="26" t="n">
        <f aca="false">IF(INDEX(Pengaturan!$B$8:$B$27,O$4)="",0,COUNTIF(Data!$B576:$U576,INDEX(Pengaturan!$B$8:$B$27,O$4)))</f>
        <v>0</v>
      </c>
      <c r="P576" s="26" t="n">
        <f aca="false">IF(INDEX(Pengaturan!$B$8:$B$27,P$4)="",0,COUNTIF(Data!$B576:$U576,INDEX(Pengaturan!$B$8:$B$27,P$4)))</f>
        <v>0</v>
      </c>
      <c r="Q576" s="26" t="n">
        <f aca="false">IF(INDEX(Pengaturan!$B$8:$B$27,Q$4)="",0,COUNTIF(Data!$B576:$U576,INDEX(Pengaturan!$B$8:$B$27,Q$4)))</f>
        <v>0</v>
      </c>
      <c r="R576" s="26" t="n">
        <f aca="false">IF(INDEX(Pengaturan!$B$8:$B$27,R$4)="",0,COUNTIF(Data!$B576:$U576,INDEX(Pengaturan!$B$8:$B$27,R$4)))</f>
        <v>0</v>
      </c>
      <c r="S576" s="26" t="n">
        <f aca="false">IF(INDEX(Pengaturan!$B$8:$B$27,S$4)="",0,COUNTIF(Data!$B576:$U576,INDEX(Pengaturan!$B$8:$B$27,S$4)))</f>
        <v>0</v>
      </c>
      <c r="T576" s="26" t="n">
        <f aca="false">IF(INDEX(Pengaturan!$B$8:$B$27,T$4)="",0,COUNTIF(Data!$B576:$U576,INDEX(Pengaturan!$B$8:$B$27,T$4)))</f>
        <v>0</v>
      </c>
      <c r="U576" s="26" t="n">
        <f aca="false">IF(INDEX(Pengaturan!$B$8:$B$27,U$4)="",0,COUNTIF(Data!$B576:$U576,INDEX(Pengaturan!$B$8:$B$27,U$4)))</f>
        <v>0</v>
      </c>
      <c r="V576" s="26" t="n">
        <f aca="false">COUNTA(Data!$B576:$U576)</f>
        <v>0</v>
      </c>
      <c r="W576" s="27" t="str">
        <f aca="false">IF(V576=0,"",IF(V576&lt;&gt;Hasil!$C$4,"Data kosong/tidak lengkap",IF(SUM(B576:U576)&lt;&gt;V576,"Kategori tidak dikenal","OK")))</f>
        <v/>
      </c>
      <c r="X576" s="26" t="n">
        <f aca="false">IF(OR(W576="",W576="OK"),0,1)</f>
        <v>0</v>
      </c>
    </row>
    <row r="577" customFormat="false" ht="15" hidden="false" customHeight="false" outlineLevel="0" collapsed="false">
      <c r="A577" s="26" t="n">
        <f aca="false">Data!A577</f>
        <v>572</v>
      </c>
      <c r="B577" s="26" t="n">
        <f aca="false">IF(INDEX(Pengaturan!$B$8:$B$27,B$4)="",0,COUNTIF(Data!$B577:$U577,INDEX(Pengaturan!$B$8:$B$27,B$4)))</f>
        <v>0</v>
      </c>
      <c r="C577" s="26" t="n">
        <f aca="false">IF(INDEX(Pengaturan!$B$8:$B$27,C$4)="",0,COUNTIF(Data!$B577:$U577,INDEX(Pengaturan!$B$8:$B$27,C$4)))</f>
        <v>0</v>
      </c>
      <c r="D577" s="26" t="n">
        <f aca="false">IF(INDEX(Pengaturan!$B$8:$B$27,D$4)="",0,COUNTIF(Data!$B577:$U577,INDEX(Pengaturan!$B$8:$B$27,D$4)))</f>
        <v>0</v>
      </c>
      <c r="E577" s="26" t="n">
        <f aca="false">IF(INDEX(Pengaturan!$B$8:$B$27,E$4)="",0,COUNTIF(Data!$B577:$U577,INDEX(Pengaturan!$B$8:$B$27,E$4)))</f>
        <v>0</v>
      </c>
      <c r="F577" s="26" t="n">
        <f aca="false">IF(INDEX(Pengaturan!$B$8:$B$27,F$4)="",0,COUNTIF(Data!$B577:$U577,INDEX(Pengaturan!$B$8:$B$27,F$4)))</f>
        <v>0</v>
      </c>
      <c r="G577" s="26" t="n">
        <f aca="false">IF(INDEX(Pengaturan!$B$8:$B$27,G$4)="",0,COUNTIF(Data!$B577:$U577,INDEX(Pengaturan!$B$8:$B$27,G$4)))</f>
        <v>0</v>
      </c>
      <c r="H577" s="26" t="n">
        <f aca="false">IF(INDEX(Pengaturan!$B$8:$B$27,H$4)="",0,COUNTIF(Data!$B577:$U577,INDEX(Pengaturan!$B$8:$B$27,H$4)))</f>
        <v>0</v>
      </c>
      <c r="I577" s="26" t="n">
        <f aca="false">IF(INDEX(Pengaturan!$B$8:$B$27,I$4)="",0,COUNTIF(Data!$B577:$U577,INDEX(Pengaturan!$B$8:$B$27,I$4)))</f>
        <v>0</v>
      </c>
      <c r="J577" s="26" t="n">
        <f aca="false">IF(INDEX(Pengaturan!$B$8:$B$27,J$4)="",0,COUNTIF(Data!$B577:$U577,INDEX(Pengaturan!$B$8:$B$27,J$4)))</f>
        <v>0</v>
      </c>
      <c r="K577" s="26" t="n">
        <f aca="false">IF(INDEX(Pengaturan!$B$8:$B$27,K$4)="",0,COUNTIF(Data!$B577:$U577,INDEX(Pengaturan!$B$8:$B$27,K$4)))</f>
        <v>0</v>
      </c>
      <c r="L577" s="26" t="n">
        <f aca="false">IF(INDEX(Pengaturan!$B$8:$B$27,L$4)="",0,COUNTIF(Data!$B577:$U577,INDEX(Pengaturan!$B$8:$B$27,L$4)))</f>
        <v>0</v>
      </c>
      <c r="M577" s="26" t="n">
        <f aca="false">IF(INDEX(Pengaturan!$B$8:$B$27,M$4)="",0,COUNTIF(Data!$B577:$U577,INDEX(Pengaturan!$B$8:$B$27,M$4)))</f>
        <v>0</v>
      </c>
      <c r="N577" s="26" t="n">
        <f aca="false">IF(INDEX(Pengaturan!$B$8:$B$27,N$4)="",0,COUNTIF(Data!$B577:$U577,INDEX(Pengaturan!$B$8:$B$27,N$4)))</f>
        <v>0</v>
      </c>
      <c r="O577" s="26" t="n">
        <f aca="false">IF(INDEX(Pengaturan!$B$8:$B$27,O$4)="",0,COUNTIF(Data!$B577:$U577,INDEX(Pengaturan!$B$8:$B$27,O$4)))</f>
        <v>0</v>
      </c>
      <c r="P577" s="26" t="n">
        <f aca="false">IF(INDEX(Pengaturan!$B$8:$B$27,P$4)="",0,COUNTIF(Data!$B577:$U577,INDEX(Pengaturan!$B$8:$B$27,P$4)))</f>
        <v>0</v>
      </c>
      <c r="Q577" s="26" t="n">
        <f aca="false">IF(INDEX(Pengaturan!$B$8:$B$27,Q$4)="",0,COUNTIF(Data!$B577:$U577,INDEX(Pengaturan!$B$8:$B$27,Q$4)))</f>
        <v>0</v>
      </c>
      <c r="R577" s="26" t="n">
        <f aca="false">IF(INDEX(Pengaturan!$B$8:$B$27,R$4)="",0,COUNTIF(Data!$B577:$U577,INDEX(Pengaturan!$B$8:$B$27,R$4)))</f>
        <v>0</v>
      </c>
      <c r="S577" s="26" t="n">
        <f aca="false">IF(INDEX(Pengaturan!$B$8:$B$27,S$4)="",0,COUNTIF(Data!$B577:$U577,INDEX(Pengaturan!$B$8:$B$27,S$4)))</f>
        <v>0</v>
      </c>
      <c r="T577" s="26" t="n">
        <f aca="false">IF(INDEX(Pengaturan!$B$8:$B$27,T$4)="",0,COUNTIF(Data!$B577:$U577,INDEX(Pengaturan!$B$8:$B$27,T$4)))</f>
        <v>0</v>
      </c>
      <c r="U577" s="26" t="n">
        <f aca="false">IF(INDEX(Pengaturan!$B$8:$B$27,U$4)="",0,COUNTIF(Data!$B577:$U577,INDEX(Pengaturan!$B$8:$B$27,U$4)))</f>
        <v>0</v>
      </c>
      <c r="V577" s="26" t="n">
        <f aca="false">COUNTA(Data!$B577:$U577)</f>
        <v>0</v>
      </c>
      <c r="W577" s="27" t="str">
        <f aca="false">IF(V577=0,"",IF(V577&lt;&gt;Hasil!$C$4,"Data kosong/tidak lengkap",IF(SUM(B577:U577)&lt;&gt;V577,"Kategori tidak dikenal","OK")))</f>
        <v/>
      </c>
      <c r="X577" s="26" t="n">
        <f aca="false">IF(OR(W577="",W577="OK"),0,1)</f>
        <v>0</v>
      </c>
    </row>
    <row r="578" customFormat="false" ht="15" hidden="false" customHeight="false" outlineLevel="0" collapsed="false">
      <c r="A578" s="26" t="n">
        <f aca="false">Data!A578</f>
        <v>573</v>
      </c>
      <c r="B578" s="26" t="n">
        <f aca="false">IF(INDEX(Pengaturan!$B$8:$B$27,B$4)="",0,COUNTIF(Data!$B578:$U578,INDEX(Pengaturan!$B$8:$B$27,B$4)))</f>
        <v>0</v>
      </c>
      <c r="C578" s="26" t="n">
        <f aca="false">IF(INDEX(Pengaturan!$B$8:$B$27,C$4)="",0,COUNTIF(Data!$B578:$U578,INDEX(Pengaturan!$B$8:$B$27,C$4)))</f>
        <v>0</v>
      </c>
      <c r="D578" s="26" t="n">
        <f aca="false">IF(INDEX(Pengaturan!$B$8:$B$27,D$4)="",0,COUNTIF(Data!$B578:$U578,INDEX(Pengaturan!$B$8:$B$27,D$4)))</f>
        <v>0</v>
      </c>
      <c r="E578" s="26" t="n">
        <f aca="false">IF(INDEX(Pengaturan!$B$8:$B$27,E$4)="",0,COUNTIF(Data!$B578:$U578,INDEX(Pengaturan!$B$8:$B$27,E$4)))</f>
        <v>0</v>
      </c>
      <c r="F578" s="26" t="n">
        <f aca="false">IF(INDEX(Pengaturan!$B$8:$B$27,F$4)="",0,COUNTIF(Data!$B578:$U578,INDEX(Pengaturan!$B$8:$B$27,F$4)))</f>
        <v>0</v>
      </c>
      <c r="G578" s="26" t="n">
        <f aca="false">IF(INDEX(Pengaturan!$B$8:$B$27,G$4)="",0,COUNTIF(Data!$B578:$U578,INDEX(Pengaturan!$B$8:$B$27,G$4)))</f>
        <v>0</v>
      </c>
      <c r="H578" s="26" t="n">
        <f aca="false">IF(INDEX(Pengaturan!$B$8:$B$27,H$4)="",0,COUNTIF(Data!$B578:$U578,INDEX(Pengaturan!$B$8:$B$27,H$4)))</f>
        <v>0</v>
      </c>
      <c r="I578" s="26" t="n">
        <f aca="false">IF(INDEX(Pengaturan!$B$8:$B$27,I$4)="",0,COUNTIF(Data!$B578:$U578,INDEX(Pengaturan!$B$8:$B$27,I$4)))</f>
        <v>0</v>
      </c>
      <c r="J578" s="26" t="n">
        <f aca="false">IF(INDEX(Pengaturan!$B$8:$B$27,J$4)="",0,COUNTIF(Data!$B578:$U578,INDEX(Pengaturan!$B$8:$B$27,J$4)))</f>
        <v>0</v>
      </c>
      <c r="K578" s="26" t="n">
        <f aca="false">IF(INDEX(Pengaturan!$B$8:$B$27,K$4)="",0,COUNTIF(Data!$B578:$U578,INDEX(Pengaturan!$B$8:$B$27,K$4)))</f>
        <v>0</v>
      </c>
      <c r="L578" s="26" t="n">
        <f aca="false">IF(INDEX(Pengaturan!$B$8:$B$27,L$4)="",0,COUNTIF(Data!$B578:$U578,INDEX(Pengaturan!$B$8:$B$27,L$4)))</f>
        <v>0</v>
      </c>
      <c r="M578" s="26" t="n">
        <f aca="false">IF(INDEX(Pengaturan!$B$8:$B$27,M$4)="",0,COUNTIF(Data!$B578:$U578,INDEX(Pengaturan!$B$8:$B$27,M$4)))</f>
        <v>0</v>
      </c>
      <c r="N578" s="26" t="n">
        <f aca="false">IF(INDEX(Pengaturan!$B$8:$B$27,N$4)="",0,COUNTIF(Data!$B578:$U578,INDEX(Pengaturan!$B$8:$B$27,N$4)))</f>
        <v>0</v>
      </c>
      <c r="O578" s="26" t="n">
        <f aca="false">IF(INDEX(Pengaturan!$B$8:$B$27,O$4)="",0,COUNTIF(Data!$B578:$U578,INDEX(Pengaturan!$B$8:$B$27,O$4)))</f>
        <v>0</v>
      </c>
      <c r="P578" s="26" t="n">
        <f aca="false">IF(INDEX(Pengaturan!$B$8:$B$27,P$4)="",0,COUNTIF(Data!$B578:$U578,INDEX(Pengaturan!$B$8:$B$27,P$4)))</f>
        <v>0</v>
      </c>
      <c r="Q578" s="26" t="n">
        <f aca="false">IF(INDEX(Pengaturan!$B$8:$B$27,Q$4)="",0,COUNTIF(Data!$B578:$U578,INDEX(Pengaturan!$B$8:$B$27,Q$4)))</f>
        <v>0</v>
      </c>
      <c r="R578" s="26" t="n">
        <f aca="false">IF(INDEX(Pengaturan!$B$8:$B$27,R$4)="",0,COUNTIF(Data!$B578:$U578,INDEX(Pengaturan!$B$8:$B$27,R$4)))</f>
        <v>0</v>
      </c>
      <c r="S578" s="26" t="n">
        <f aca="false">IF(INDEX(Pengaturan!$B$8:$B$27,S$4)="",0,COUNTIF(Data!$B578:$U578,INDEX(Pengaturan!$B$8:$B$27,S$4)))</f>
        <v>0</v>
      </c>
      <c r="T578" s="26" t="n">
        <f aca="false">IF(INDEX(Pengaturan!$B$8:$B$27,T$4)="",0,COUNTIF(Data!$B578:$U578,INDEX(Pengaturan!$B$8:$B$27,T$4)))</f>
        <v>0</v>
      </c>
      <c r="U578" s="26" t="n">
        <f aca="false">IF(INDEX(Pengaturan!$B$8:$B$27,U$4)="",0,COUNTIF(Data!$B578:$U578,INDEX(Pengaturan!$B$8:$B$27,U$4)))</f>
        <v>0</v>
      </c>
      <c r="V578" s="26" t="n">
        <f aca="false">COUNTA(Data!$B578:$U578)</f>
        <v>0</v>
      </c>
      <c r="W578" s="27" t="str">
        <f aca="false">IF(V578=0,"",IF(V578&lt;&gt;Hasil!$C$4,"Data kosong/tidak lengkap",IF(SUM(B578:U578)&lt;&gt;V578,"Kategori tidak dikenal","OK")))</f>
        <v/>
      </c>
      <c r="X578" s="26" t="n">
        <f aca="false">IF(OR(W578="",W578="OK"),0,1)</f>
        <v>0</v>
      </c>
    </row>
    <row r="579" customFormat="false" ht="15" hidden="false" customHeight="false" outlineLevel="0" collapsed="false">
      <c r="A579" s="26" t="n">
        <f aca="false">Data!A579</f>
        <v>574</v>
      </c>
      <c r="B579" s="26" t="n">
        <f aca="false">IF(INDEX(Pengaturan!$B$8:$B$27,B$4)="",0,COUNTIF(Data!$B579:$U579,INDEX(Pengaturan!$B$8:$B$27,B$4)))</f>
        <v>0</v>
      </c>
      <c r="C579" s="26" t="n">
        <f aca="false">IF(INDEX(Pengaturan!$B$8:$B$27,C$4)="",0,COUNTIF(Data!$B579:$U579,INDEX(Pengaturan!$B$8:$B$27,C$4)))</f>
        <v>0</v>
      </c>
      <c r="D579" s="26" t="n">
        <f aca="false">IF(INDEX(Pengaturan!$B$8:$B$27,D$4)="",0,COUNTIF(Data!$B579:$U579,INDEX(Pengaturan!$B$8:$B$27,D$4)))</f>
        <v>0</v>
      </c>
      <c r="E579" s="26" t="n">
        <f aca="false">IF(INDEX(Pengaturan!$B$8:$B$27,E$4)="",0,COUNTIF(Data!$B579:$U579,INDEX(Pengaturan!$B$8:$B$27,E$4)))</f>
        <v>0</v>
      </c>
      <c r="F579" s="26" t="n">
        <f aca="false">IF(INDEX(Pengaturan!$B$8:$B$27,F$4)="",0,COUNTIF(Data!$B579:$U579,INDEX(Pengaturan!$B$8:$B$27,F$4)))</f>
        <v>0</v>
      </c>
      <c r="G579" s="26" t="n">
        <f aca="false">IF(INDEX(Pengaturan!$B$8:$B$27,G$4)="",0,COUNTIF(Data!$B579:$U579,INDEX(Pengaturan!$B$8:$B$27,G$4)))</f>
        <v>0</v>
      </c>
      <c r="H579" s="26" t="n">
        <f aca="false">IF(INDEX(Pengaturan!$B$8:$B$27,H$4)="",0,COUNTIF(Data!$B579:$U579,INDEX(Pengaturan!$B$8:$B$27,H$4)))</f>
        <v>0</v>
      </c>
      <c r="I579" s="26" t="n">
        <f aca="false">IF(INDEX(Pengaturan!$B$8:$B$27,I$4)="",0,COUNTIF(Data!$B579:$U579,INDEX(Pengaturan!$B$8:$B$27,I$4)))</f>
        <v>0</v>
      </c>
      <c r="J579" s="26" t="n">
        <f aca="false">IF(INDEX(Pengaturan!$B$8:$B$27,J$4)="",0,COUNTIF(Data!$B579:$U579,INDEX(Pengaturan!$B$8:$B$27,J$4)))</f>
        <v>0</v>
      </c>
      <c r="K579" s="26" t="n">
        <f aca="false">IF(INDEX(Pengaturan!$B$8:$B$27,K$4)="",0,COUNTIF(Data!$B579:$U579,INDEX(Pengaturan!$B$8:$B$27,K$4)))</f>
        <v>0</v>
      </c>
      <c r="L579" s="26" t="n">
        <f aca="false">IF(INDEX(Pengaturan!$B$8:$B$27,L$4)="",0,COUNTIF(Data!$B579:$U579,INDEX(Pengaturan!$B$8:$B$27,L$4)))</f>
        <v>0</v>
      </c>
      <c r="M579" s="26" t="n">
        <f aca="false">IF(INDEX(Pengaturan!$B$8:$B$27,M$4)="",0,COUNTIF(Data!$B579:$U579,INDEX(Pengaturan!$B$8:$B$27,M$4)))</f>
        <v>0</v>
      </c>
      <c r="N579" s="26" t="n">
        <f aca="false">IF(INDEX(Pengaturan!$B$8:$B$27,N$4)="",0,COUNTIF(Data!$B579:$U579,INDEX(Pengaturan!$B$8:$B$27,N$4)))</f>
        <v>0</v>
      </c>
      <c r="O579" s="26" t="n">
        <f aca="false">IF(INDEX(Pengaturan!$B$8:$B$27,O$4)="",0,COUNTIF(Data!$B579:$U579,INDEX(Pengaturan!$B$8:$B$27,O$4)))</f>
        <v>0</v>
      </c>
      <c r="P579" s="26" t="n">
        <f aca="false">IF(INDEX(Pengaturan!$B$8:$B$27,P$4)="",0,COUNTIF(Data!$B579:$U579,INDEX(Pengaturan!$B$8:$B$27,P$4)))</f>
        <v>0</v>
      </c>
      <c r="Q579" s="26" t="n">
        <f aca="false">IF(INDEX(Pengaturan!$B$8:$B$27,Q$4)="",0,COUNTIF(Data!$B579:$U579,INDEX(Pengaturan!$B$8:$B$27,Q$4)))</f>
        <v>0</v>
      </c>
      <c r="R579" s="26" t="n">
        <f aca="false">IF(INDEX(Pengaturan!$B$8:$B$27,R$4)="",0,COUNTIF(Data!$B579:$U579,INDEX(Pengaturan!$B$8:$B$27,R$4)))</f>
        <v>0</v>
      </c>
      <c r="S579" s="26" t="n">
        <f aca="false">IF(INDEX(Pengaturan!$B$8:$B$27,S$4)="",0,COUNTIF(Data!$B579:$U579,INDEX(Pengaturan!$B$8:$B$27,S$4)))</f>
        <v>0</v>
      </c>
      <c r="T579" s="26" t="n">
        <f aca="false">IF(INDEX(Pengaturan!$B$8:$B$27,T$4)="",0,COUNTIF(Data!$B579:$U579,INDEX(Pengaturan!$B$8:$B$27,T$4)))</f>
        <v>0</v>
      </c>
      <c r="U579" s="26" t="n">
        <f aca="false">IF(INDEX(Pengaturan!$B$8:$B$27,U$4)="",0,COUNTIF(Data!$B579:$U579,INDEX(Pengaturan!$B$8:$B$27,U$4)))</f>
        <v>0</v>
      </c>
      <c r="V579" s="26" t="n">
        <f aca="false">COUNTA(Data!$B579:$U579)</f>
        <v>0</v>
      </c>
      <c r="W579" s="27" t="str">
        <f aca="false">IF(V579=0,"",IF(V579&lt;&gt;Hasil!$C$4,"Data kosong/tidak lengkap",IF(SUM(B579:U579)&lt;&gt;V579,"Kategori tidak dikenal","OK")))</f>
        <v/>
      </c>
      <c r="X579" s="26" t="n">
        <f aca="false">IF(OR(W579="",W579="OK"),0,1)</f>
        <v>0</v>
      </c>
    </row>
    <row r="580" customFormat="false" ht="15" hidden="false" customHeight="false" outlineLevel="0" collapsed="false">
      <c r="A580" s="26" t="n">
        <f aca="false">Data!A580</f>
        <v>575</v>
      </c>
      <c r="B580" s="26" t="n">
        <f aca="false">IF(INDEX(Pengaturan!$B$8:$B$27,B$4)="",0,COUNTIF(Data!$B580:$U580,INDEX(Pengaturan!$B$8:$B$27,B$4)))</f>
        <v>0</v>
      </c>
      <c r="C580" s="26" t="n">
        <f aca="false">IF(INDEX(Pengaturan!$B$8:$B$27,C$4)="",0,COUNTIF(Data!$B580:$U580,INDEX(Pengaturan!$B$8:$B$27,C$4)))</f>
        <v>0</v>
      </c>
      <c r="D580" s="26" t="n">
        <f aca="false">IF(INDEX(Pengaturan!$B$8:$B$27,D$4)="",0,COUNTIF(Data!$B580:$U580,INDEX(Pengaturan!$B$8:$B$27,D$4)))</f>
        <v>0</v>
      </c>
      <c r="E580" s="26" t="n">
        <f aca="false">IF(INDEX(Pengaturan!$B$8:$B$27,E$4)="",0,COUNTIF(Data!$B580:$U580,INDEX(Pengaturan!$B$8:$B$27,E$4)))</f>
        <v>0</v>
      </c>
      <c r="F580" s="26" t="n">
        <f aca="false">IF(INDEX(Pengaturan!$B$8:$B$27,F$4)="",0,COUNTIF(Data!$B580:$U580,INDEX(Pengaturan!$B$8:$B$27,F$4)))</f>
        <v>0</v>
      </c>
      <c r="G580" s="26" t="n">
        <f aca="false">IF(INDEX(Pengaturan!$B$8:$B$27,G$4)="",0,COUNTIF(Data!$B580:$U580,INDEX(Pengaturan!$B$8:$B$27,G$4)))</f>
        <v>0</v>
      </c>
      <c r="H580" s="26" t="n">
        <f aca="false">IF(INDEX(Pengaturan!$B$8:$B$27,H$4)="",0,COUNTIF(Data!$B580:$U580,INDEX(Pengaturan!$B$8:$B$27,H$4)))</f>
        <v>0</v>
      </c>
      <c r="I580" s="26" t="n">
        <f aca="false">IF(INDEX(Pengaturan!$B$8:$B$27,I$4)="",0,COUNTIF(Data!$B580:$U580,INDEX(Pengaturan!$B$8:$B$27,I$4)))</f>
        <v>0</v>
      </c>
      <c r="J580" s="26" t="n">
        <f aca="false">IF(INDEX(Pengaturan!$B$8:$B$27,J$4)="",0,COUNTIF(Data!$B580:$U580,INDEX(Pengaturan!$B$8:$B$27,J$4)))</f>
        <v>0</v>
      </c>
      <c r="K580" s="26" t="n">
        <f aca="false">IF(INDEX(Pengaturan!$B$8:$B$27,K$4)="",0,COUNTIF(Data!$B580:$U580,INDEX(Pengaturan!$B$8:$B$27,K$4)))</f>
        <v>0</v>
      </c>
      <c r="L580" s="26" t="n">
        <f aca="false">IF(INDEX(Pengaturan!$B$8:$B$27,L$4)="",0,COUNTIF(Data!$B580:$U580,INDEX(Pengaturan!$B$8:$B$27,L$4)))</f>
        <v>0</v>
      </c>
      <c r="M580" s="26" t="n">
        <f aca="false">IF(INDEX(Pengaturan!$B$8:$B$27,M$4)="",0,COUNTIF(Data!$B580:$U580,INDEX(Pengaturan!$B$8:$B$27,M$4)))</f>
        <v>0</v>
      </c>
      <c r="N580" s="26" t="n">
        <f aca="false">IF(INDEX(Pengaturan!$B$8:$B$27,N$4)="",0,COUNTIF(Data!$B580:$U580,INDEX(Pengaturan!$B$8:$B$27,N$4)))</f>
        <v>0</v>
      </c>
      <c r="O580" s="26" t="n">
        <f aca="false">IF(INDEX(Pengaturan!$B$8:$B$27,O$4)="",0,COUNTIF(Data!$B580:$U580,INDEX(Pengaturan!$B$8:$B$27,O$4)))</f>
        <v>0</v>
      </c>
      <c r="P580" s="26" t="n">
        <f aca="false">IF(INDEX(Pengaturan!$B$8:$B$27,P$4)="",0,COUNTIF(Data!$B580:$U580,INDEX(Pengaturan!$B$8:$B$27,P$4)))</f>
        <v>0</v>
      </c>
      <c r="Q580" s="26" t="n">
        <f aca="false">IF(INDEX(Pengaturan!$B$8:$B$27,Q$4)="",0,COUNTIF(Data!$B580:$U580,INDEX(Pengaturan!$B$8:$B$27,Q$4)))</f>
        <v>0</v>
      </c>
      <c r="R580" s="26" t="n">
        <f aca="false">IF(INDEX(Pengaturan!$B$8:$B$27,R$4)="",0,COUNTIF(Data!$B580:$U580,INDEX(Pengaturan!$B$8:$B$27,R$4)))</f>
        <v>0</v>
      </c>
      <c r="S580" s="26" t="n">
        <f aca="false">IF(INDEX(Pengaturan!$B$8:$B$27,S$4)="",0,COUNTIF(Data!$B580:$U580,INDEX(Pengaturan!$B$8:$B$27,S$4)))</f>
        <v>0</v>
      </c>
      <c r="T580" s="26" t="n">
        <f aca="false">IF(INDEX(Pengaturan!$B$8:$B$27,T$4)="",0,COUNTIF(Data!$B580:$U580,INDEX(Pengaturan!$B$8:$B$27,T$4)))</f>
        <v>0</v>
      </c>
      <c r="U580" s="26" t="n">
        <f aca="false">IF(INDEX(Pengaturan!$B$8:$B$27,U$4)="",0,COUNTIF(Data!$B580:$U580,INDEX(Pengaturan!$B$8:$B$27,U$4)))</f>
        <v>0</v>
      </c>
      <c r="V580" s="26" t="n">
        <f aca="false">COUNTA(Data!$B580:$U580)</f>
        <v>0</v>
      </c>
      <c r="W580" s="27" t="str">
        <f aca="false">IF(V580=0,"",IF(V580&lt;&gt;Hasil!$C$4,"Data kosong/tidak lengkap",IF(SUM(B580:U580)&lt;&gt;V580,"Kategori tidak dikenal","OK")))</f>
        <v/>
      </c>
      <c r="X580" s="26" t="n">
        <f aca="false">IF(OR(W580="",W580="OK"),0,1)</f>
        <v>0</v>
      </c>
    </row>
    <row r="581" customFormat="false" ht="15" hidden="false" customHeight="false" outlineLevel="0" collapsed="false">
      <c r="A581" s="26" t="n">
        <f aca="false">Data!A581</f>
        <v>576</v>
      </c>
      <c r="B581" s="26" t="n">
        <f aca="false">IF(INDEX(Pengaturan!$B$8:$B$27,B$4)="",0,COUNTIF(Data!$B581:$U581,INDEX(Pengaturan!$B$8:$B$27,B$4)))</f>
        <v>0</v>
      </c>
      <c r="C581" s="26" t="n">
        <f aca="false">IF(INDEX(Pengaturan!$B$8:$B$27,C$4)="",0,COUNTIF(Data!$B581:$U581,INDEX(Pengaturan!$B$8:$B$27,C$4)))</f>
        <v>0</v>
      </c>
      <c r="D581" s="26" t="n">
        <f aca="false">IF(INDEX(Pengaturan!$B$8:$B$27,D$4)="",0,COUNTIF(Data!$B581:$U581,INDEX(Pengaturan!$B$8:$B$27,D$4)))</f>
        <v>0</v>
      </c>
      <c r="E581" s="26" t="n">
        <f aca="false">IF(INDEX(Pengaturan!$B$8:$B$27,E$4)="",0,COUNTIF(Data!$B581:$U581,INDEX(Pengaturan!$B$8:$B$27,E$4)))</f>
        <v>0</v>
      </c>
      <c r="F581" s="26" t="n">
        <f aca="false">IF(INDEX(Pengaturan!$B$8:$B$27,F$4)="",0,COUNTIF(Data!$B581:$U581,INDEX(Pengaturan!$B$8:$B$27,F$4)))</f>
        <v>0</v>
      </c>
      <c r="G581" s="26" t="n">
        <f aca="false">IF(INDEX(Pengaturan!$B$8:$B$27,G$4)="",0,COUNTIF(Data!$B581:$U581,INDEX(Pengaturan!$B$8:$B$27,G$4)))</f>
        <v>0</v>
      </c>
      <c r="H581" s="26" t="n">
        <f aca="false">IF(INDEX(Pengaturan!$B$8:$B$27,H$4)="",0,COUNTIF(Data!$B581:$U581,INDEX(Pengaturan!$B$8:$B$27,H$4)))</f>
        <v>0</v>
      </c>
      <c r="I581" s="26" t="n">
        <f aca="false">IF(INDEX(Pengaturan!$B$8:$B$27,I$4)="",0,COUNTIF(Data!$B581:$U581,INDEX(Pengaturan!$B$8:$B$27,I$4)))</f>
        <v>0</v>
      </c>
      <c r="J581" s="26" t="n">
        <f aca="false">IF(INDEX(Pengaturan!$B$8:$B$27,J$4)="",0,COUNTIF(Data!$B581:$U581,INDEX(Pengaturan!$B$8:$B$27,J$4)))</f>
        <v>0</v>
      </c>
      <c r="K581" s="26" t="n">
        <f aca="false">IF(INDEX(Pengaturan!$B$8:$B$27,K$4)="",0,COUNTIF(Data!$B581:$U581,INDEX(Pengaturan!$B$8:$B$27,K$4)))</f>
        <v>0</v>
      </c>
      <c r="L581" s="26" t="n">
        <f aca="false">IF(INDEX(Pengaturan!$B$8:$B$27,L$4)="",0,COUNTIF(Data!$B581:$U581,INDEX(Pengaturan!$B$8:$B$27,L$4)))</f>
        <v>0</v>
      </c>
      <c r="M581" s="26" t="n">
        <f aca="false">IF(INDEX(Pengaturan!$B$8:$B$27,M$4)="",0,COUNTIF(Data!$B581:$U581,INDEX(Pengaturan!$B$8:$B$27,M$4)))</f>
        <v>0</v>
      </c>
      <c r="N581" s="26" t="n">
        <f aca="false">IF(INDEX(Pengaturan!$B$8:$B$27,N$4)="",0,COUNTIF(Data!$B581:$U581,INDEX(Pengaturan!$B$8:$B$27,N$4)))</f>
        <v>0</v>
      </c>
      <c r="O581" s="26" t="n">
        <f aca="false">IF(INDEX(Pengaturan!$B$8:$B$27,O$4)="",0,COUNTIF(Data!$B581:$U581,INDEX(Pengaturan!$B$8:$B$27,O$4)))</f>
        <v>0</v>
      </c>
      <c r="P581" s="26" t="n">
        <f aca="false">IF(INDEX(Pengaturan!$B$8:$B$27,P$4)="",0,COUNTIF(Data!$B581:$U581,INDEX(Pengaturan!$B$8:$B$27,P$4)))</f>
        <v>0</v>
      </c>
      <c r="Q581" s="26" t="n">
        <f aca="false">IF(INDEX(Pengaturan!$B$8:$B$27,Q$4)="",0,COUNTIF(Data!$B581:$U581,INDEX(Pengaturan!$B$8:$B$27,Q$4)))</f>
        <v>0</v>
      </c>
      <c r="R581" s="26" t="n">
        <f aca="false">IF(INDEX(Pengaturan!$B$8:$B$27,R$4)="",0,COUNTIF(Data!$B581:$U581,INDEX(Pengaturan!$B$8:$B$27,R$4)))</f>
        <v>0</v>
      </c>
      <c r="S581" s="26" t="n">
        <f aca="false">IF(INDEX(Pengaturan!$B$8:$B$27,S$4)="",0,COUNTIF(Data!$B581:$U581,INDEX(Pengaturan!$B$8:$B$27,S$4)))</f>
        <v>0</v>
      </c>
      <c r="T581" s="26" t="n">
        <f aca="false">IF(INDEX(Pengaturan!$B$8:$B$27,T$4)="",0,COUNTIF(Data!$B581:$U581,INDEX(Pengaturan!$B$8:$B$27,T$4)))</f>
        <v>0</v>
      </c>
      <c r="U581" s="26" t="n">
        <f aca="false">IF(INDEX(Pengaturan!$B$8:$B$27,U$4)="",0,COUNTIF(Data!$B581:$U581,INDEX(Pengaturan!$B$8:$B$27,U$4)))</f>
        <v>0</v>
      </c>
      <c r="V581" s="26" t="n">
        <f aca="false">COUNTA(Data!$B581:$U581)</f>
        <v>0</v>
      </c>
      <c r="W581" s="27" t="str">
        <f aca="false">IF(V581=0,"",IF(V581&lt;&gt;Hasil!$C$4,"Data kosong/tidak lengkap",IF(SUM(B581:U581)&lt;&gt;V581,"Kategori tidak dikenal","OK")))</f>
        <v/>
      </c>
      <c r="X581" s="26" t="n">
        <f aca="false">IF(OR(W581="",W581="OK"),0,1)</f>
        <v>0</v>
      </c>
    </row>
    <row r="582" customFormat="false" ht="15" hidden="false" customHeight="false" outlineLevel="0" collapsed="false">
      <c r="A582" s="26" t="n">
        <f aca="false">Data!A582</f>
        <v>577</v>
      </c>
      <c r="B582" s="26" t="n">
        <f aca="false">IF(INDEX(Pengaturan!$B$8:$B$27,B$4)="",0,COUNTIF(Data!$B582:$U582,INDEX(Pengaturan!$B$8:$B$27,B$4)))</f>
        <v>0</v>
      </c>
      <c r="C582" s="26" t="n">
        <f aca="false">IF(INDEX(Pengaturan!$B$8:$B$27,C$4)="",0,COUNTIF(Data!$B582:$U582,INDEX(Pengaturan!$B$8:$B$27,C$4)))</f>
        <v>0</v>
      </c>
      <c r="D582" s="26" t="n">
        <f aca="false">IF(INDEX(Pengaturan!$B$8:$B$27,D$4)="",0,COUNTIF(Data!$B582:$U582,INDEX(Pengaturan!$B$8:$B$27,D$4)))</f>
        <v>0</v>
      </c>
      <c r="E582" s="26" t="n">
        <f aca="false">IF(INDEX(Pengaturan!$B$8:$B$27,E$4)="",0,COUNTIF(Data!$B582:$U582,INDEX(Pengaturan!$B$8:$B$27,E$4)))</f>
        <v>0</v>
      </c>
      <c r="F582" s="26" t="n">
        <f aca="false">IF(INDEX(Pengaturan!$B$8:$B$27,F$4)="",0,COUNTIF(Data!$B582:$U582,INDEX(Pengaturan!$B$8:$B$27,F$4)))</f>
        <v>0</v>
      </c>
      <c r="G582" s="26" t="n">
        <f aca="false">IF(INDEX(Pengaturan!$B$8:$B$27,G$4)="",0,COUNTIF(Data!$B582:$U582,INDEX(Pengaturan!$B$8:$B$27,G$4)))</f>
        <v>0</v>
      </c>
      <c r="H582" s="26" t="n">
        <f aca="false">IF(INDEX(Pengaturan!$B$8:$B$27,H$4)="",0,COUNTIF(Data!$B582:$U582,INDEX(Pengaturan!$B$8:$B$27,H$4)))</f>
        <v>0</v>
      </c>
      <c r="I582" s="26" t="n">
        <f aca="false">IF(INDEX(Pengaturan!$B$8:$B$27,I$4)="",0,COUNTIF(Data!$B582:$U582,INDEX(Pengaturan!$B$8:$B$27,I$4)))</f>
        <v>0</v>
      </c>
      <c r="J582" s="26" t="n">
        <f aca="false">IF(INDEX(Pengaturan!$B$8:$B$27,J$4)="",0,COUNTIF(Data!$B582:$U582,INDEX(Pengaturan!$B$8:$B$27,J$4)))</f>
        <v>0</v>
      </c>
      <c r="K582" s="26" t="n">
        <f aca="false">IF(INDEX(Pengaturan!$B$8:$B$27,K$4)="",0,COUNTIF(Data!$B582:$U582,INDEX(Pengaturan!$B$8:$B$27,K$4)))</f>
        <v>0</v>
      </c>
      <c r="L582" s="26" t="n">
        <f aca="false">IF(INDEX(Pengaturan!$B$8:$B$27,L$4)="",0,COUNTIF(Data!$B582:$U582,INDEX(Pengaturan!$B$8:$B$27,L$4)))</f>
        <v>0</v>
      </c>
      <c r="M582" s="26" t="n">
        <f aca="false">IF(INDEX(Pengaturan!$B$8:$B$27,M$4)="",0,COUNTIF(Data!$B582:$U582,INDEX(Pengaturan!$B$8:$B$27,M$4)))</f>
        <v>0</v>
      </c>
      <c r="N582" s="26" t="n">
        <f aca="false">IF(INDEX(Pengaturan!$B$8:$B$27,N$4)="",0,COUNTIF(Data!$B582:$U582,INDEX(Pengaturan!$B$8:$B$27,N$4)))</f>
        <v>0</v>
      </c>
      <c r="O582" s="26" t="n">
        <f aca="false">IF(INDEX(Pengaturan!$B$8:$B$27,O$4)="",0,COUNTIF(Data!$B582:$U582,INDEX(Pengaturan!$B$8:$B$27,O$4)))</f>
        <v>0</v>
      </c>
      <c r="P582" s="26" t="n">
        <f aca="false">IF(INDEX(Pengaturan!$B$8:$B$27,P$4)="",0,COUNTIF(Data!$B582:$U582,INDEX(Pengaturan!$B$8:$B$27,P$4)))</f>
        <v>0</v>
      </c>
      <c r="Q582" s="26" t="n">
        <f aca="false">IF(INDEX(Pengaturan!$B$8:$B$27,Q$4)="",0,COUNTIF(Data!$B582:$U582,INDEX(Pengaturan!$B$8:$B$27,Q$4)))</f>
        <v>0</v>
      </c>
      <c r="R582" s="26" t="n">
        <f aca="false">IF(INDEX(Pengaturan!$B$8:$B$27,R$4)="",0,COUNTIF(Data!$B582:$U582,INDEX(Pengaturan!$B$8:$B$27,R$4)))</f>
        <v>0</v>
      </c>
      <c r="S582" s="26" t="n">
        <f aca="false">IF(INDEX(Pengaturan!$B$8:$B$27,S$4)="",0,COUNTIF(Data!$B582:$U582,INDEX(Pengaturan!$B$8:$B$27,S$4)))</f>
        <v>0</v>
      </c>
      <c r="T582" s="26" t="n">
        <f aca="false">IF(INDEX(Pengaturan!$B$8:$B$27,T$4)="",0,COUNTIF(Data!$B582:$U582,INDEX(Pengaturan!$B$8:$B$27,T$4)))</f>
        <v>0</v>
      </c>
      <c r="U582" s="26" t="n">
        <f aca="false">IF(INDEX(Pengaturan!$B$8:$B$27,U$4)="",0,COUNTIF(Data!$B582:$U582,INDEX(Pengaturan!$B$8:$B$27,U$4)))</f>
        <v>0</v>
      </c>
      <c r="V582" s="26" t="n">
        <f aca="false">COUNTA(Data!$B582:$U582)</f>
        <v>0</v>
      </c>
      <c r="W582" s="27" t="str">
        <f aca="false">IF(V582=0,"",IF(V582&lt;&gt;Hasil!$C$4,"Data kosong/tidak lengkap",IF(SUM(B582:U582)&lt;&gt;V582,"Kategori tidak dikenal","OK")))</f>
        <v/>
      </c>
      <c r="X582" s="26" t="n">
        <f aca="false">IF(OR(W582="",W582="OK"),0,1)</f>
        <v>0</v>
      </c>
    </row>
    <row r="583" customFormat="false" ht="15" hidden="false" customHeight="false" outlineLevel="0" collapsed="false">
      <c r="A583" s="26" t="n">
        <f aca="false">Data!A583</f>
        <v>578</v>
      </c>
      <c r="B583" s="26" t="n">
        <f aca="false">IF(INDEX(Pengaturan!$B$8:$B$27,B$4)="",0,COUNTIF(Data!$B583:$U583,INDEX(Pengaturan!$B$8:$B$27,B$4)))</f>
        <v>0</v>
      </c>
      <c r="C583" s="26" t="n">
        <f aca="false">IF(INDEX(Pengaturan!$B$8:$B$27,C$4)="",0,COUNTIF(Data!$B583:$U583,INDEX(Pengaturan!$B$8:$B$27,C$4)))</f>
        <v>0</v>
      </c>
      <c r="D583" s="26" t="n">
        <f aca="false">IF(INDEX(Pengaturan!$B$8:$B$27,D$4)="",0,COUNTIF(Data!$B583:$U583,INDEX(Pengaturan!$B$8:$B$27,D$4)))</f>
        <v>0</v>
      </c>
      <c r="E583" s="26" t="n">
        <f aca="false">IF(INDEX(Pengaturan!$B$8:$B$27,E$4)="",0,COUNTIF(Data!$B583:$U583,INDEX(Pengaturan!$B$8:$B$27,E$4)))</f>
        <v>0</v>
      </c>
      <c r="F583" s="26" t="n">
        <f aca="false">IF(INDEX(Pengaturan!$B$8:$B$27,F$4)="",0,COUNTIF(Data!$B583:$U583,INDEX(Pengaturan!$B$8:$B$27,F$4)))</f>
        <v>0</v>
      </c>
      <c r="G583" s="26" t="n">
        <f aca="false">IF(INDEX(Pengaturan!$B$8:$B$27,G$4)="",0,COUNTIF(Data!$B583:$U583,INDEX(Pengaturan!$B$8:$B$27,G$4)))</f>
        <v>0</v>
      </c>
      <c r="H583" s="26" t="n">
        <f aca="false">IF(INDEX(Pengaturan!$B$8:$B$27,H$4)="",0,COUNTIF(Data!$B583:$U583,INDEX(Pengaturan!$B$8:$B$27,H$4)))</f>
        <v>0</v>
      </c>
      <c r="I583" s="26" t="n">
        <f aca="false">IF(INDEX(Pengaturan!$B$8:$B$27,I$4)="",0,COUNTIF(Data!$B583:$U583,INDEX(Pengaturan!$B$8:$B$27,I$4)))</f>
        <v>0</v>
      </c>
      <c r="J583" s="26" t="n">
        <f aca="false">IF(INDEX(Pengaturan!$B$8:$B$27,J$4)="",0,COUNTIF(Data!$B583:$U583,INDEX(Pengaturan!$B$8:$B$27,J$4)))</f>
        <v>0</v>
      </c>
      <c r="K583" s="26" t="n">
        <f aca="false">IF(INDEX(Pengaturan!$B$8:$B$27,K$4)="",0,COUNTIF(Data!$B583:$U583,INDEX(Pengaturan!$B$8:$B$27,K$4)))</f>
        <v>0</v>
      </c>
      <c r="L583" s="26" t="n">
        <f aca="false">IF(INDEX(Pengaturan!$B$8:$B$27,L$4)="",0,COUNTIF(Data!$B583:$U583,INDEX(Pengaturan!$B$8:$B$27,L$4)))</f>
        <v>0</v>
      </c>
      <c r="M583" s="26" t="n">
        <f aca="false">IF(INDEX(Pengaturan!$B$8:$B$27,M$4)="",0,COUNTIF(Data!$B583:$U583,INDEX(Pengaturan!$B$8:$B$27,M$4)))</f>
        <v>0</v>
      </c>
      <c r="N583" s="26" t="n">
        <f aca="false">IF(INDEX(Pengaturan!$B$8:$B$27,N$4)="",0,COUNTIF(Data!$B583:$U583,INDEX(Pengaturan!$B$8:$B$27,N$4)))</f>
        <v>0</v>
      </c>
      <c r="O583" s="26" t="n">
        <f aca="false">IF(INDEX(Pengaturan!$B$8:$B$27,O$4)="",0,COUNTIF(Data!$B583:$U583,INDEX(Pengaturan!$B$8:$B$27,O$4)))</f>
        <v>0</v>
      </c>
      <c r="P583" s="26" t="n">
        <f aca="false">IF(INDEX(Pengaturan!$B$8:$B$27,P$4)="",0,COUNTIF(Data!$B583:$U583,INDEX(Pengaturan!$B$8:$B$27,P$4)))</f>
        <v>0</v>
      </c>
      <c r="Q583" s="26" t="n">
        <f aca="false">IF(INDEX(Pengaturan!$B$8:$B$27,Q$4)="",0,COUNTIF(Data!$B583:$U583,INDEX(Pengaturan!$B$8:$B$27,Q$4)))</f>
        <v>0</v>
      </c>
      <c r="R583" s="26" t="n">
        <f aca="false">IF(INDEX(Pengaturan!$B$8:$B$27,R$4)="",0,COUNTIF(Data!$B583:$U583,INDEX(Pengaturan!$B$8:$B$27,R$4)))</f>
        <v>0</v>
      </c>
      <c r="S583" s="26" t="n">
        <f aca="false">IF(INDEX(Pengaturan!$B$8:$B$27,S$4)="",0,COUNTIF(Data!$B583:$U583,INDEX(Pengaturan!$B$8:$B$27,S$4)))</f>
        <v>0</v>
      </c>
      <c r="T583" s="26" t="n">
        <f aca="false">IF(INDEX(Pengaturan!$B$8:$B$27,T$4)="",0,COUNTIF(Data!$B583:$U583,INDEX(Pengaturan!$B$8:$B$27,T$4)))</f>
        <v>0</v>
      </c>
      <c r="U583" s="26" t="n">
        <f aca="false">IF(INDEX(Pengaturan!$B$8:$B$27,U$4)="",0,COUNTIF(Data!$B583:$U583,INDEX(Pengaturan!$B$8:$B$27,U$4)))</f>
        <v>0</v>
      </c>
      <c r="V583" s="26" t="n">
        <f aca="false">COUNTA(Data!$B583:$U583)</f>
        <v>0</v>
      </c>
      <c r="W583" s="27" t="str">
        <f aca="false">IF(V583=0,"",IF(V583&lt;&gt;Hasil!$C$4,"Data kosong/tidak lengkap",IF(SUM(B583:U583)&lt;&gt;V583,"Kategori tidak dikenal","OK")))</f>
        <v/>
      </c>
      <c r="X583" s="26" t="n">
        <f aca="false">IF(OR(W583="",W583="OK"),0,1)</f>
        <v>0</v>
      </c>
    </row>
    <row r="584" customFormat="false" ht="15" hidden="false" customHeight="false" outlineLevel="0" collapsed="false">
      <c r="A584" s="26" t="n">
        <f aca="false">Data!A584</f>
        <v>579</v>
      </c>
      <c r="B584" s="26" t="n">
        <f aca="false">IF(INDEX(Pengaturan!$B$8:$B$27,B$4)="",0,COUNTIF(Data!$B584:$U584,INDEX(Pengaturan!$B$8:$B$27,B$4)))</f>
        <v>0</v>
      </c>
      <c r="C584" s="26" t="n">
        <f aca="false">IF(INDEX(Pengaturan!$B$8:$B$27,C$4)="",0,COUNTIF(Data!$B584:$U584,INDEX(Pengaturan!$B$8:$B$27,C$4)))</f>
        <v>0</v>
      </c>
      <c r="D584" s="26" t="n">
        <f aca="false">IF(INDEX(Pengaturan!$B$8:$B$27,D$4)="",0,COUNTIF(Data!$B584:$U584,INDEX(Pengaturan!$B$8:$B$27,D$4)))</f>
        <v>0</v>
      </c>
      <c r="E584" s="26" t="n">
        <f aca="false">IF(INDEX(Pengaturan!$B$8:$B$27,E$4)="",0,COUNTIF(Data!$B584:$U584,INDEX(Pengaturan!$B$8:$B$27,E$4)))</f>
        <v>0</v>
      </c>
      <c r="F584" s="26" t="n">
        <f aca="false">IF(INDEX(Pengaturan!$B$8:$B$27,F$4)="",0,COUNTIF(Data!$B584:$U584,INDEX(Pengaturan!$B$8:$B$27,F$4)))</f>
        <v>0</v>
      </c>
      <c r="G584" s="26" t="n">
        <f aca="false">IF(INDEX(Pengaturan!$B$8:$B$27,G$4)="",0,COUNTIF(Data!$B584:$U584,INDEX(Pengaturan!$B$8:$B$27,G$4)))</f>
        <v>0</v>
      </c>
      <c r="H584" s="26" t="n">
        <f aca="false">IF(INDEX(Pengaturan!$B$8:$B$27,H$4)="",0,COUNTIF(Data!$B584:$U584,INDEX(Pengaturan!$B$8:$B$27,H$4)))</f>
        <v>0</v>
      </c>
      <c r="I584" s="26" t="n">
        <f aca="false">IF(INDEX(Pengaturan!$B$8:$B$27,I$4)="",0,COUNTIF(Data!$B584:$U584,INDEX(Pengaturan!$B$8:$B$27,I$4)))</f>
        <v>0</v>
      </c>
      <c r="J584" s="26" t="n">
        <f aca="false">IF(INDEX(Pengaturan!$B$8:$B$27,J$4)="",0,COUNTIF(Data!$B584:$U584,INDEX(Pengaturan!$B$8:$B$27,J$4)))</f>
        <v>0</v>
      </c>
      <c r="K584" s="26" t="n">
        <f aca="false">IF(INDEX(Pengaturan!$B$8:$B$27,K$4)="",0,COUNTIF(Data!$B584:$U584,INDEX(Pengaturan!$B$8:$B$27,K$4)))</f>
        <v>0</v>
      </c>
      <c r="L584" s="26" t="n">
        <f aca="false">IF(INDEX(Pengaturan!$B$8:$B$27,L$4)="",0,COUNTIF(Data!$B584:$U584,INDEX(Pengaturan!$B$8:$B$27,L$4)))</f>
        <v>0</v>
      </c>
      <c r="M584" s="26" t="n">
        <f aca="false">IF(INDEX(Pengaturan!$B$8:$B$27,M$4)="",0,COUNTIF(Data!$B584:$U584,INDEX(Pengaturan!$B$8:$B$27,M$4)))</f>
        <v>0</v>
      </c>
      <c r="N584" s="26" t="n">
        <f aca="false">IF(INDEX(Pengaturan!$B$8:$B$27,N$4)="",0,COUNTIF(Data!$B584:$U584,INDEX(Pengaturan!$B$8:$B$27,N$4)))</f>
        <v>0</v>
      </c>
      <c r="O584" s="26" t="n">
        <f aca="false">IF(INDEX(Pengaturan!$B$8:$B$27,O$4)="",0,COUNTIF(Data!$B584:$U584,INDEX(Pengaturan!$B$8:$B$27,O$4)))</f>
        <v>0</v>
      </c>
      <c r="P584" s="26" t="n">
        <f aca="false">IF(INDEX(Pengaturan!$B$8:$B$27,P$4)="",0,COUNTIF(Data!$B584:$U584,INDEX(Pengaturan!$B$8:$B$27,P$4)))</f>
        <v>0</v>
      </c>
      <c r="Q584" s="26" t="n">
        <f aca="false">IF(INDEX(Pengaturan!$B$8:$B$27,Q$4)="",0,COUNTIF(Data!$B584:$U584,INDEX(Pengaturan!$B$8:$B$27,Q$4)))</f>
        <v>0</v>
      </c>
      <c r="R584" s="26" t="n">
        <f aca="false">IF(INDEX(Pengaturan!$B$8:$B$27,R$4)="",0,COUNTIF(Data!$B584:$U584,INDEX(Pengaturan!$B$8:$B$27,R$4)))</f>
        <v>0</v>
      </c>
      <c r="S584" s="26" t="n">
        <f aca="false">IF(INDEX(Pengaturan!$B$8:$B$27,S$4)="",0,COUNTIF(Data!$B584:$U584,INDEX(Pengaturan!$B$8:$B$27,S$4)))</f>
        <v>0</v>
      </c>
      <c r="T584" s="26" t="n">
        <f aca="false">IF(INDEX(Pengaturan!$B$8:$B$27,T$4)="",0,COUNTIF(Data!$B584:$U584,INDEX(Pengaturan!$B$8:$B$27,T$4)))</f>
        <v>0</v>
      </c>
      <c r="U584" s="26" t="n">
        <f aca="false">IF(INDEX(Pengaturan!$B$8:$B$27,U$4)="",0,COUNTIF(Data!$B584:$U584,INDEX(Pengaturan!$B$8:$B$27,U$4)))</f>
        <v>0</v>
      </c>
      <c r="V584" s="26" t="n">
        <f aca="false">COUNTA(Data!$B584:$U584)</f>
        <v>0</v>
      </c>
      <c r="W584" s="27" t="str">
        <f aca="false">IF(V584=0,"",IF(V584&lt;&gt;Hasil!$C$4,"Data kosong/tidak lengkap",IF(SUM(B584:U584)&lt;&gt;V584,"Kategori tidak dikenal","OK")))</f>
        <v/>
      </c>
      <c r="X584" s="26" t="n">
        <f aca="false">IF(OR(W584="",W584="OK"),0,1)</f>
        <v>0</v>
      </c>
    </row>
    <row r="585" customFormat="false" ht="15" hidden="false" customHeight="false" outlineLevel="0" collapsed="false">
      <c r="A585" s="26" t="n">
        <f aca="false">Data!A585</f>
        <v>580</v>
      </c>
      <c r="B585" s="26" t="n">
        <f aca="false">IF(INDEX(Pengaturan!$B$8:$B$27,B$4)="",0,COUNTIF(Data!$B585:$U585,INDEX(Pengaturan!$B$8:$B$27,B$4)))</f>
        <v>0</v>
      </c>
      <c r="C585" s="26" t="n">
        <f aca="false">IF(INDEX(Pengaturan!$B$8:$B$27,C$4)="",0,COUNTIF(Data!$B585:$U585,INDEX(Pengaturan!$B$8:$B$27,C$4)))</f>
        <v>0</v>
      </c>
      <c r="D585" s="26" t="n">
        <f aca="false">IF(INDEX(Pengaturan!$B$8:$B$27,D$4)="",0,COUNTIF(Data!$B585:$U585,INDEX(Pengaturan!$B$8:$B$27,D$4)))</f>
        <v>0</v>
      </c>
      <c r="E585" s="26" t="n">
        <f aca="false">IF(INDEX(Pengaturan!$B$8:$B$27,E$4)="",0,COUNTIF(Data!$B585:$U585,INDEX(Pengaturan!$B$8:$B$27,E$4)))</f>
        <v>0</v>
      </c>
      <c r="F585" s="26" t="n">
        <f aca="false">IF(INDEX(Pengaturan!$B$8:$B$27,F$4)="",0,COUNTIF(Data!$B585:$U585,INDEX(Pengaturan!$B$8:$B$27,F$4)))</f>
        <v>0</v>
      </c>
      <c r="G585" s="26" t="n">
        <f aca="false">IF(INDEX(Pengaturan!$B$8:$B$27,G$4)="",0,COUNTIF(Data!$B585:$U585,INDEX(Pengaturan!$B$8:$B$27,G$4)))</f>
        <v>0</v>
      </c>
      <c r="H585" s="26" t="n">
        <f aca="false">IF(INDEX(Pengaturan!$B$8:$B$27,H$4)="",0,COUNTIF(Data!$B585:$U585,INDEX(Pengaturan!$B$8:$B$27,H$4)))</f>
        <v>0</v>
      </c>
      <c r="I585" s="26" t="n">
        <f aca="false">IF(INDEX(Pengaturan!$B$8:$B$27,I$4)="",0,COUNTIF(Data!$B585:$U585,INDEX(Pengaturan!$B$8:$B$27,I$4)))</f>
        <v>0</v>
      </c>
      <c r="J585" s="26" t="n">
        <f aca="false">IF(INDEX(Pengaturan!$B$8:$B$27,J$4)="",0,COUNTIF(Data!$B585:$U585,INDEX(Pengaturan!$B$8:$B$27,J$4)))</f>
        <v>0</v>
      </c>
      <c r="K585" s="26" t="n">
        <f aca="false">IF(INDEX(Pengaturan!$B$8:$B$27,K$4)="",0,COUNTIF(Data!$B585:$U585,INDEX(Pengaturan!$B$8:$B$27,K$4)))</f>
        <v>0</v>
      </c>
      <c r="L585" s="26" t="n">
        <f aca="false">IF(INDEX(Pengaturan!$B$8:$B$27,L$4)="",0,COUNTIF(Data!$B585:$U585,INDEX(Pengaturan!$B$8:$B$27,L$4)))</f>
        <v>0</v>
      </c>
      <c r="M585" s="26" t="n">
        <f aca="false">IF(INDEX(Pengaturan!$B$8:$B$27,M$4)="",0,COUNTIF(Data!$B585:$U585,INDEX(Pengaturan!$B$8:$B$27,M$4)))</f>
        <v>0</v>
      </c>
      <c r="N585" s="26" t="n">
        <f aca="false">IF(INDEX(Pengaturan!$B$8:$B$27,N$4)="",0,COUNTIF(Data!$B585:$U585,INDEX(Pengaturan!$B$8:$B$27,N$4)))</f>
        <v>0</v>
      </c>
      <c r="O585" s="26" t="n">
        <f aca="false">IF(INDEX(Pengaturan!$B$8:$B$27,O$4)="",0,COUNTIF(Data!$B585:$U585,INDEX(Pengaturan!$B$8:$B$27,O$4)))</f>
        <v>0</v>
      </c>
      <c r="P585" s="26" t="n">
        <f aca="false">IF(INDEX(Pengaturan!$B$8:$B$27,P$4)="",0,COUNTIF(Data!$B585:$U585,INDEX(Pengaturan!$B$8:$B$27,P$4)))</f>
        <v>0</v>
      </c>
      <c r="Q585" s="26" t="n">
        <f aca="false">IF(INDEX(Pengaturan!$B$8:$B$27,Q$4)="",0,COUNTIF(Data!$B585:$U585,INDEX(Pengaturan!$B$8:$B$27,Q$4)))</f>
        <v>0</v>
      </c>
      <c r="R585" s="26" t="n">
        <f aca="false">IF(INDEX(Pengaturan!$B$8:$B$27,R$4)="",0,COUNTIF(Data!$B585:$U585,INDEX(Pengaturan!$B$8:$B$27,R$4)))</f>
        <v>0</v>
      </c>
      <c r="S585" s="26" t="n">
        <f aca="false">IF(INDEX(Pengaturan!$B$8:$B$27,S$4)="",0,COUNTIF(Data!$B585:$U585,INDEX(Pengaturan!$B$8:$B$27,S$4)))</f>
        <v>0</v>
      </c>
      <c r="T585" s="26" t="n">
        <f aca="false">IF(INDEX(Pengaturan!$B$8:$B$27,T$4)="",0,COUNTIF(Data!$B585:$U585,INDEX(Pengaturan!$B$8:$B$27,T$4)))</f>
        <v>0</v>
      </c>
      <c r="U585" s="26" t="n">
        <f aca="false">IF(INDEX(Pengaturan!$B$8:$B$27,U$4)="",0,COUNTIF(Data!$B585:$U585,INDEX(Pengaturan!$B$8:$B$27,U$4)))</f>
        <v>0</v>
      </c>
      <c r="V585" s="26" t="n">
        <f aca="false">COUNTA(Data!$B585:$U585)</f>
        <v>0</v>
      </c>
      <c r="W585" s="27" t="str">
        <f aca="false">IF(V585=0,"",IF(V585&lt;&gt;Hasil!$C$4,"Data kosong/tidak lengkap",IF(SUM(B585:U585)&lt;&gt;V585,"Kategori tidak dikenal","OK")))</f>
        <v/>
      </c>
      <c r="X585" s="26" t="n">
        <f aca="false">IF(OR(W585="",W585="OK"),0,1)</f>
        <v>0</v>
      </c>
    </row>
    <row r="586" customFormat="false" ht="15" hidden="false" customHeight="false" outlineLevel="0" collapsed="false">
      <c r="A586" s="26" t="n">
        <f aca="false">Data!A586</f>
        <v>581</v>
      </c>
      <c r="B586" s="26" t="n">
        <f aca="false">IF(INDEX(Pengaturan!$B$8:$B$27,B$4)="",0,COUNTIF(Data!$B586:$U586,INDEX(Pengaturan!$B$8:$B$27,B$4)))</f>
        <v>0</v>
      </c>
      <c r="C586" s="26" t="n">
        <f aca="false">IF(INDEX(Pengaturan!$B$8:$B$27,C$4)="",0,COUNTIF(Data!$B586:$U586,INDEX(Pengaturan!$B$8:$B$27,C$4)))</f>
        <v>0</v>
      </c>
      <c r="D586" s="26" t="n">
        <f aca="false">IF(INDEX(Pengaturan!$B$8:$B$27,D$4)="",0,COUNTIF(Data!$B586:$U586,INDEX(Pengaturan!$B$8:$B$27,D$4)))</f>
        <v>0</v>
      </c>
      <c r="E586" s="26" t="n">
        <f aca="false">IF(INDEX(Pengaturan!$B$8:$B$27,E$4)="",0,COUNTIF(Data!$B586:$U586,INDEX(Pengaturan!$B$8:$B$27,E$4)))</f>
        <v>0</v>
      </c>
      <c r="F586" s="26" t="n">
        <f aca="false">IF(INDEX(Pengaturan!$B$8:$B$27,F$4)="",0,COUNTIF(Data!$B586:$U586,INDEX(Pengaturan!$B$8:$B$27,F$4)))</f>
        <v>0</v>
      </c>
      <c r="G586" s="26" t="n">
        <f aca="false">IF(INDEX(Pengaturan!$B$8:$B$27,G$4)="",0,COUNTIF(Data!$B586:$U586,INDEX(Pengaturan!$B$8:$B$27,G$4)))</f>
        <v>0</v>
      </c>
      <c r="H586" s="26" t="n">
        <f aca="false">IF(INDEX(Pengaturan!$B$8:$B$27,H$4)="",0,COUNTIF(Data!$B586:$U586,INDEX(Pengaturan!$B$8:$B$27,H$4)))</f>
        <v>0</v>
      </c>
      <c r="I586" s="26" t="n">
        <f aca="false">IF(INDEX(Pengaturan!$B$8:$B$27,I$4)="",0,COUNTIF(Data!$B586:$U586,INDEX(Pengaturan!$B$8:$B$27,I$4)))</f>
        <v>0</v>
      </c>
      <c r="J586" s="26" t="n">
        <f aca="false">IF(INDEX(Pengaturan!$B$8:$B$27,J$4)="",0,COUNTIF(Data!$B586:$U586,INDEX(Pengaturan!$B$8:$B$27,J$4)))</f>
        <v>0</v>
      </c>
      <c r="K586" s="26" t="n">
        <f aca="false">IF(INDEX(Pengaturan!$B$8:$B$27,K$4)="",0,COUNTIF(Data!$B586:$U586,INDEX(Pengaturan!$B$8:$B$27,K$4)))</f>
        <v>0</v>
      </c>
      <c r="L586" s="26" t="n">
        <f aca="false">IF(INDEX(Pengaturan!$B$8:$B$27,L$4)="",0,COUNTIF(Data!$B586:$U586,INDEX(Pengaturan!$B$8:$B$27,L$4)))</f>
        <v>0</v>
      </c>
      <c r="M586" s="26" t="n">
        <f aca="false">IF(INDEX(Pengaturan!$B$8:$B$27,M$4)="",0,COUNTIF(Data!$B586:$U586,INDEX(Pengaturan!$B$8:$B$27,M$4)))</f>
        <v>0</v>
      </c>
      <c r="N586" s="26" t="n">
        <f aca="false">IF(INDEX(Pengaturan!$B$8:$B$27,N$4)="",0,COUNTIF(Data!$B586:$U586,INDEX(Pengaturan!$B$8:$B$27,N$4)))</f>
        <v>0</v>
      </c>
      <c r="O586" s="26" t="n">
        <f aca="false">IF(INDEX(Pengaturan!$B$8:$B$27,O$4)="",0,COUNTIF(Data!$B586:$U586,INDEX(Pengaturan!$B$8:$B$27,O$4)))</f>
        <v>0</v>
      </c>
      <c r="P586" s="26" t="n">
        <f aca="false">IF(INDEX(Pengaturan!$B$8:$B$27,P$4)="",0,COUNTIF(Data!$B586:$U586,INDEX(Pengaturan!$B$8:$B$27,P$4)))</f>
        <v>0</v>
      </c>
      <c r="Q586" s="26" t="n">
        <f aca="false">IF(INDEX(Pengaturan!$B$8:$B$27,Q$4)="",0,COUNTIF(Data!$B586:$U586,INDEX(Pengaturan!$B$8:$B$27,Q$4)))</f>
        <v>0</v>
      </c>
      <c r="R586" s="26" t="n">
        <f aca="false">IF(INDEX(Pengaturan!$B$8:$B$27,R$4)="",0,COUNTIF(Data!$B586:$U586,INDEX(Pengaturan!$B$8:$B$27,R$4)))</f>
        <v>0</v>
      </c>
      <c r="S586" s="26" t="n">
        <f aca="false">IF(INDEX(Pengaturan!$B$8:$B$27,S$4)="",0,COUNTIF(Data!$B586:$U586,INDEX(Pengaturan!$B$8:$B$27,S$4)))</f>
        <v>0</v>
      </c>
      <c r="T586" s="26" t="n">
        <f aca="false">IF(INDEX(Pengaturan!$B$8:$B$27,T$4)="",0,COUNTIF(Data!$B586:$U586,INDEX(Pengaturan!$B$8:$B$27,T$4)))</f>
        <v>0</v>
      </c>
      <c r="U586" s="26" t="n">
        <f aca="false">IF(INDEX(Pengaturan!$B$8:$B$27,U$4)="",0,COUNTIF(Data!$B586:$U586,INDEX(Pengaturan!$B$8:$B$27,U$4)))</f>
        <v>0</v>
      </c>
      <c r="V586" s="26" t="n">
        <f aca="false">COUNTA(Data!$B586:$U586)</f>
        <v>0</v>
      </c>
      <c r="W586" s="27" t="str">
        <f aca="false">IF(V586=0,"",IF(V586&lt;&gt;Hasil!$C$4,"Data kosong/tidak lengkap",IF(SUM(B586:U586)&lt;&gt;V586,"Kategori tidak dikenal","OK")))</f>
        <v/>
      </c>
      <c r="X586" s="26" t="n">
        <f aca="false">IF(OR(W586="",W586="OK"),0,1)</f>
        <v>0</v>
      </c>
    </row>
    <row r="587" customFormat="false" ht="15" hidden="false" customHeight="false" outlineLevel="0" collapsed="false">
      <c r="A587" s="26" t="n">
        <f aca="false">Data!A587</f>
        <v>582</v>
      </c>
      <c r="B587" s="26" t="n">
        <f aca="false">IF(INDEX(Pengaturan!$B$8:$B$27,B$4)="",0,COUNTIF(Data!$B587:$U587,INDEX(Pengaturan!$B$8:$B$27,B$4)))</f>
        <v>0</v>
      </c>
      <c r="C587" s="26" t="n">
        <f aca="false">IF(INDEX(Pengaturan!$B$8:$B$27,C$4)="",0,COUNTIF(Data!$B587:$U587,INDEX(Pengaturan!$B$8:$B$27,C$4)))</f>
        <v>0</v>
      </c>
      <c r="D587" s="26" t="n">
        <f aca="false">IF(INDEX(Pengaturan!$B$8:$B$27,D$4)="",0,COUNTIF(Data!$B587:$U587,INDEX(Pengaturan!$B$8:$B$27,D$4)))</f>
        <v>0</v>
      </c>
      <c r="E587" s="26" t="n">
        <f aca="false">IF(INDEX(Pengaturan!$B$8:$B$27,E$4)="",0,COUNTIF(Data!$B587:$U587,INDEX(Pengaturan!$B$8:$B$27,E$4)))</f>
        <v>0</v>
      </c>
      <c r="F587" s="26" t="n">
        <f aca="false">IF(INDEX(Pengaturan!$B$8:$B$27,F$4)="",0,COUNTIF(Data!$B587:$U587,INDEX(Pengaturan!$B$8:$B$27,F$4)))</f>
        <v>0</v>
      </c>
      <c r="G587" s="26" t="n">
        <f aca="false">IF(INDEX(Pengaturan!$B$8:$B$27,G$4)="",0,COUNTIF(Data!$B587:$U587,INDEX(Pengaturan!$B$8:$B$27,G$4)))</f>
        <v>0</v>
      </c>
      <c r="H587" s="26" t="n">
        <f aca="false">IF(INDEX(Pengaturan!$B$8:$B$27,H$4)="",0,COUNTIF(Data!$B587:$U587,INDEX(Pengaturan!$B$8:$B$27,H$4)))</f>
        <v>0</v>
      </c>
      <c r="I587" s="26" t="n">
        <f aca="false">IF(INDEX(Pengaturan!$B$8:$B$27,I$4)="",0,COUNTIF(Data!$B587:$U587,INDEX(Pengaturan!$B$8:$B$27,I$4)))</f>
        <v>0</v>
      </c>
      <c r="J587" s="26" t="n">
        <f aca="false">IF(INDEX(Pengaturan!$B$8:$B$27,J$4)="",0,COUNTIF(Data!$B587:$U587,INDEX(Pengaturan!$B$8:$B$27,J$4)))</f>
        <v>0</v>
      </c>
      <c r="K587" s="26" t="n">
        <f aca="false">IF(INDEX(Pengaturan!$B$8:$B$27,K$4)="",0,COUNTIF(Data!$B587:$U587,INDEX(Pengaturan!$B$8:$B$27,K$4)))</f>
        <v>0</v>
      </c>
      <c r="L587" s="26" t="n">
        <f aca="false">IF(INDEX(Pengaturan!$B$8:$B$27,L$4)="",0,COUNTIF(Data!$B587:$U587,INDEX(Pengaturan!$B$8:$B$27,L$4)))</f>
        <v>0</v>
      </c>
      <c r="M587" s="26" t="n">
        <f aca="false">IF(INDEX(Pengaturan!$B$8:$B$27,M$4)="",0,COUNTIF(Data!$B587:$U587,INDEX(Pengaturan!$B$8:$B$27,M$4)))</f>
        <v>0</v>
      </c>
      <c r="N587" s="26" t="n">
        <f aca="false">IF(INDEX(Pengaturan!$B$8:$B$27,N$4)="",0,COUNTIF(Data!$B587:$U587,INDEX(Pengaturan!$B$8:$B$27,N$4)))</f>
        <v>0</v>
      </c>
      <c r="O587" s="26" t="n">
        <f aca="false">IF(INDEX(Pengaturan!$B$8:$B$27,O$4)="",0,COUNTIF(Data!$B587:$U587,INDEX(Pengaturan!$B$8:$B$27,O$4)))</f>
        <v>0</v>
      </c>
      <c r="P587" s="26" t="n">
        <f aca="false">IF(INDEX(Pengaturan!$B$8:$B$27,P$4)="",0,COUNTIF(Data!$B587:$U587,INDEX(Pengaturan!$B$8:$B$27,P$4)))</f>
        <v>0</v>
      </c>
      <c r="Q587" s="26" t="n">
        <f aca="false">IF(INDEX(Pengaturan!$B$8:$B$27,Q$4)="",0,COUNTIF(Data!$B587:$U587,INDEX(Pengaturan!$B$8:$B$27,Q$4)))</f>
        <v>0</v>
      </c>
      <c r="R587" s="26" t="n">
        <f aca="false">IF(INDEX(Pengaturan!$B$8:$B$27,R$4)="",0,COUNTIF(Data!$B587:$U587,INDEX(Pengaturan!$B$8:$B$27,R$4)))</f>
        <v>0</v>
      </c>
      <c r="S587" s="26" t="n">
        <f aca="false">IF(INDEX(Pengaturan!$B$8:$B$27,S$4)="",0,COUNTIF(Data!$B587:$U587,INDEX(Pengaturan!$B$8:$B$27,S$4)))</f>
        <v>0</v>
      </c>
      <c r="T587" s="26" t="n">
        <f aca="false">IF(INDEX(Pengaturan!$B$8:$B$27,T$4)="",0,COUNTIF(Data!$B587:$U587,INDEX(Pengaturan!$B$8:$B$27,T$4)))</f>
        <v>0</v>
      </c>
      <c r="U587" s="26" t="n">
        <f aca="false">IF(INDEX(Pengaturan!$B$8:$B$27,U$4)="",0,COUNTIF(Data!$B587:$U587,INDEX(Pengaturan!$B$8:$B$27,U$4)))</f>
        <v>0</v>
      </c>
      <c r="V587" s="26" t="n">
        <f aca="false">COUNTA(Data!$B587:$U587)</f>
        <v>0</v>
      </c>
      <c r="W587" s="27" t="str">
        <f aca="false">IF(V587=0,"",IF(V587&lt;&gt;Hasil!$C$4,"Data kosong/tidak lengkap",IF(SUM(B587:U587)&lt;&gt;V587,"Kategori tidak dikenal","OK")))</f>
        <v/>
      </c>
      <c r="X587" s="26" t="n">
        <f aca="false">IF(OR(W587="",W587="OK"),0,1)</f>
        <v>0</v>
      </c>
    </row>
    <row r="588" customFormat="false" ht="15" hidden="false" customHeight="false" outlineLevel="0" collapsed="false">
      <c r="A588" s="26" t="n">
        <f aca="false">Data!A588</f>
        <v>583</v>
      </c>
      <c r="B588" s="26" t="n">
        <f aca="false">IF(INDEX(Pengaturan!$B$8:$B$27,B$4)="",0,COUNTIF(Data!$B588:$U588,INDEX(Pengaturan!$B$8:$B$27,B$4)))</f>
        <v>0</v>
      </c>
      <c r="C588" s="26" t="n">
        <f aca="false">IF(INDEX(Pengaturan!$B$8:$B$27,C$4)="",0,COUNTIF(Data!$B588:$U588,INDEX(Pengaturan!$B$8:$B$27,C$4)))</f>
        <v>0</v>
      </c>
      <c r="D588" s="26" t="n">
        <f aca="false">IF(INDEX(Pengaturan!$B$8:$B$27,D$4)="",0,COUNTIF(Data!$B588:$U588,INDEX(Pengaturan!$B$8:$B$27,D$4)))</f>
        <v>0</v>
      </c>
      <c r="E588" s="26" t="n">
        <f aca="false">IF(INDEX(Pengaturan!$B$8:$B$27,E$4)="",0,COUNTIF(Data!$B588:$U588,INDEX(Pengaturan!$B$8:$B$27,E$4)))</f>
        <v>0</v>
      </c>
      <c r="F588" s="26" t="n">
        <f aca="false">IF(INDEX(Pengaturan!$B$8:$B$27,F$4)="",0,COUNTIF(Data!$B588:$U588,INDEX(Pengaturan!$B$8:$B$27,F$4)))</f>
        <v>0</v>
      </c>
      <c r="G588" s="26" t="n">
        <f aca="false">IF(INDEX(Pengaturan!$B$8:$B$27,G$4)="",0,COUNTIF(Data!$B588:$U588,INDEX(Pengaturan!$B$8:$B$27,G$4)))</f>
        <v>0</v>
      </c>
      <c r="H588" s="26" t="n">
        <f aca="false">IF(INDEX(Pengaturan!$B$8:$B$27,H$4)="",0,COUNTIF(Data!$B588:$U588,INDEX(Pengaturan!$B$8:$B$27,H$4)))</f>
        <v>0</v>
      </c>
      <c r="I588" s="26" t="n">
        <f aca="false">IF(INDEX(Pengaturan!$B$8:$B$27,I$4)="",0,COUNTIF(Data!$B588:$U588,INDEX(Pengaturan!$B$8:$B$27,I$4)))</f>
        <v>0</v>
      </c>
      <c r="J588" s="26" t="n">
        <f aca="false">IF(INDEX(Pengaturan!$B$8:$B$27,J$4)="",0,COUNTIF(Data!$B588:$U588,INDEX(Pengaturan!$B$8:$B$27,J$4)))</f>
        <v>0</v>
      </c>
      <c r="K588" s="26" t="n">
        <f aca="false">IF(INDEX(Pengaturan!$B$8:$B$27,K$4)="",0,COUNTIF(Data!$B588:$U588,INDEX(Pengaturan!$B$8:$B$27,K$4)))</f>
        <v>0</v>
      </c>
      <c r="L588" s="26" t="n">
        <f aca="false">IF(INDEX(Pengaturan!$B$8:$B$27,L$4)="",0,COUNTIF(Data!$B588:$U588,INDEX(Pengaturan!$B$8:$B$27,L$4)))</f>
        <v>0</v>
      </c>
      <c r="M588" s="26" t="n">
        <f aca="false">IF(INDEX(Pengaturan!$B$8:$B$27,M$4)="",0,COUNTIF(Data!$B588:$U588,INDEX(Pengaturan!$B$8:$B$27,M$4)))</f>
        <v>0</v>
      </c>
      <c r="N588" s="26" t="n">
        <f aca="false">IF(INDEX(Pengaturan!$B$8:$B$27,N$4)="",0,COUNTIF(Data!$B588:$U588,INDEX(Pengaturan!$B$8:$B$27,N$4)))</f>
        <v>0</v>
      </c>
      <c r="O588" s="26" t="n">
        <f aca="false">IF(INDEX(Pengaturan!$B$8:$B$27,O$4)="",0,COUNTIF(Data!$B588:$U588,INDEX(Pengaturan!$B$8:$B$27,O$4)))</f>
        <v>0</v>
      </c>
      <c r="P588" s="26" t="n">
        <f aca="false">IF(INDEX(Pengaturan!$B$8:$B$27,P$4)="",0,COUNTIF(Data!$B588:$U588,INDEX(Pengaturan!$B$8:$B$27,P$4)))</f>
        <v>0</v>
      </c>
      <c r="Q588" s="26" t="n">
        <f aca="false">IF(INDEX(Pengaturan!$B$8:$B$27,Q$4)="",0,COUNTIF(Data!$B588:$U588,INDEX(Pengaturan!$B$8:$B$27,Q$4)))</f>
        <v>0</v>
      </c>
      <c r="R588" s="26" t="n">
        <f aca="false">IF(INDEX(Pengaturan!$B$8:$B$27,R$4)="",0,COUNTIF(Data!$B588:$U588,INDEX(Pengaturan!$B$8:$B$27,R$4)))</f>
        <v>0</v>
      </c>
      <c r="S588" s="26" t="n">
        <f aca="false">IF(INDEX(Pengaturan!$B$8:$B$27,S$4)="",0,COUNTIF(Data!$B588:$U588,INDEX(Pengaturan!$B$8:$B$27,S$4)))</f>
        <v>0</v>
      </c>
      <c r="T588" s="26" t="n">
        <f aca="false">IF(INDEX(Pengaturan!$B$8:$B$27,T$4)="",0,COUNTIF(Data!$B588:$U588,INDEX(Pengaturan!$B$8:$B$27,T$4)))</f>
        <v>0</v>
      </c>
      <c r="U588" s="26" t="n">
        <f aca="false">IF(INDEX(Pengaturan!$B$8:$B$27,U$4)="",0,COUNTIF(Data!$B588:$U588,INDEX(Pengaturan!$B$8:$B$27,U$4)))</f>
        <v>0</v>
      </c>
      <c r="V588" s="26" t="n">
        <f aca="false">COUNTA(Data!$B588:$U588)</f>
        <v>0</v>
      </c>
      <c r="W588" s="27" t="str">
        <f aca="false">IF(V588=0,"",IF(V588&lt;&gt;Hasil!$C$4,"Data kosong/tidak lengkap",IF(SUM(B588:U588)&lt;&gt;V588,"Kategori tidak dikenal","OK")))</f>
        <v/>
      </c>
      <c r="X588" s="26" t="n">
        <f aca="false">IF(OR(W588="",W588="OK"),0,1)</f>
        <v>0</v>
      </c>
    </row>
    <row r="589" customFormat="false" ht="15" hidden="false" customHeight="false" outlineLevel="0" collapsed="false">
      <c r="A589" s="26" t="n">
        <f aca="false">Data!A589</f>
        <v>584</v>
      </c>
      <c r="B589" s="26" t="n">
        <f aca="false">IF(INDEX(Pengaturan!$B$8:$B$27,B$4)="",0,COUNTIF(Data!$B589:$U589,INDEX(Pengaturan!$B$8:$B$27,B$4)))</f>
        <v>0</v>
      </c>
      <c r="C589" s="26" t="n">
        <f aca="false">IF(INDEX(Pengaturan!$B$8:$B$27,C$4)="",0,COUNTIF(Data!$B589:$U589,INDEX(Pengaturan!$B$8:$B$27,C$4)))</f>
        <v>0</v>
      </c>
      <c r="D589" s="26" t="n">
        <f aca="false">IF(INDEX(Pengaturan!$B$8:$B$27,D$4)="",0,COUNTIF(Data!$B589:$U589,INDEX(Pengaturan!$B$8:$B$27,D$4)))</f>
        <v>0</v>
      </c>
      <c r="E589" s="26" t="n">
        <f aca="false">IF(INDEX(Pengaturan!$B$8:$B$27,E$4)="",0,COUNTIF(Data!$B589:$U589,INDEX(Pengaturan!$B$8:$B$27,E$4)))</f>
        <v>0</v>
      </c>
      <c r="F589" s="26" t="n">
        <f aca="false">IF(INDEX(Pengaturan!$B$8:$B$27,F$4)="",0,COUNTIF(Data!$B589:$U589,INDEX(Pengaturan!$B$8:$B$27,F$4)))</f>
        <v>0</v>
      </c>
      <c r="G589" s="26" t="n">
        <f aca="false">IF(INDEX(Pengaturan!$B$8:$B$27,G$4)="",0,COUNTIF(Data!$B589:$U589,INDEX(Pengaturan!$B$8:$B$27,G$4)))</f>
        <v>0</v>
      </c>
      <c r="H589" s="26" t="n">
        <f aca="false">IF(INDEX(Pengaturan!$B$8:$B$27,H$4)="",0,COUNTIF(Data!$B589:$U589,INDEX(Pengaturan!$B$8:$B$27,H$4)))</f>
        <v>0</v>
      </c>
      <c r="I589" s="26" t="n">
        <f aca="false">IF(INDEX(Pengaturan!$B$8:$B$27,I$4)="",0,COUNTIF(Data!$B589:$U589,INDEX(Pengaturan!$B$8:$B$27,I$4)))</f>
        <v>0</v>
      </c>
      <c r="J589" s="26" t="n">
        <f aca="false">IF(INDEX(Pengaturan!$B$8:$B$27,J$4)="",0,COUNTIF(Data!$B589:$U589,INDEX(Pengaturan!$B$8:$B$27,J$4)))</f>
        <v>0</v>
      </c>
      <c r="K589" s="26" t="n">
        <f aca="false">IF(INDEX(Pengaturan!$B$8:$B$27,K$4)="",0,COUNTIF(Data!$B589:$U589,INDEX(Pengaturan!$B$8:$B$27,K$4)))</f>
        <v>0</v>
      </c>
      <c r="L589" s="26" t="n">
        <f aca="false">IF(INDEX(Pengaturan!$B$8:$B$27,L$4)="",0,COUNTIF(Data!$B589:$U589,INDEX(Pengaturan!$B$8:$B$27,L$4)))</f>
        <v>0</v>
      </c>
      <c r="M589" s="26" t="n">
        <f aca="false">IF(INDEX(Pengaturan!$B$8:$B$27,M$4)="",0,COUNTIF(Data!$B589:$U589,INDEX(Pengaturan!$B$8:$B$27,M$4)))</f>
        <v>0</v>
      </c>
      <c r="N589" s="26" t="n">
        <f aca="false">IF(INDEX(Pengaturan!$B$8:$B$27,N$4)="",0,COUNTIF(Data!$B589:$U589,INDEX(Pengaturan!$B$8:$B$27,N$4)))</f>
        <v>0</v>
      </c>
      <c r="O589" s="26" t="n">
        <f aca="false">IF(INDEX(Pengaturan!$B$8:$B$27,O$4)="",0,COUNTIF(Data!$B589:$U589,INDEX(Pengaturan!$B$8:$B$27,O$4)))</f>
        <v>0</v>
      </c>
      <c r="P589" s="26" t="n">
        <f aca="false">IF(INDEX(Pengaturan!$B$8:$B$27,P$4)="",0,COUNTIF(Data!$B589:$U589,INDEX(Pengaturan!$B$8:$B$27,P$4)))</f>
        <v>0</v>
      </c>
      <c r="Q589" s="26" t="n">
        <f aca="false">IF(INDEX(Pengaturan!$B$8:$B$27,Q$4)="",0,COUNTIF(Data!$B589:$U589,INDEX(Pengaturan!$B$8:$B$27,Q$4)))</f>
        <v>0</v>
      </c>
      <c r="R589" s="26" t="n">
        <f aca="false">IF(INDEX(Pengaturan!$B$8:$B$27,R$4)="",0,COUNTIF(Data!$B589:$U589,INDEX(Pengaturan!$B$8:$B$27,R$4)))</f>
        <v>0</v>
      </c>
      <c r="S589" s="26" t="n">
        <f aca="false">IF(INDEX(Pengaturan!$B$8:$B$27,S$4)="",0,COUNTIF(Data!$B589:$U589,INDEX(Pengaturan!$B$8:$B$27,S$4)))</f>
        <v>0</v>
      </c>
      <c r="T589" s="26" t="n">
        <f aca="false">IF(INDEX(Pengaturan!$B$8:$B$27,T$4)="",0,COUNTIF(Data!$B589:$U589,INDEX(Pengaturan!$B$8:$B$27,T$4)))</f>
        <v>0</v>
      </c>
      <c r="U589" s="26" t="n">
        <f aca="false">IF(INDEX(Pengaturan!$B$8:$B$27,U$4)="",0,COUNTIF(Data!$B589:$U589,INDEX(Pengaturan!$B$8:$B$27,U$4)))</f>
        <v>0</v>
      </c>
      <c r="V589" s="26" t="n">
        <f aca="false">COUNTA(Data!$B589:$U589)</f>
        <v>0</v>
      </c>
      <c r="W589" s="27" t="str">
        <f aca="false">IF(V589=0,"",IF(V589&lt;&gt;Hasil!$C$4,"Data kosong/tidak lengkap",IF(SUM(B589:U589)&lt;&gt;V589,"Kategori tidak dikenal","OK")))</f>
        <v/>
      </c>
      <c r="X589" s="26" t="n">
        <f aca="false">IF(OR(W589="",W589="OK"),0,1)</f>
        <v>0</v>
      </c>
    </row>
    <row r="590" customFormat="false" ht="15" hidden="false" customHeight="false" outlineLevel="0" collapsed="false">
      <c r="A590" s="26" t="n">
        <f aca="false">Data!A590</f>
        <v>585</v>
      </c>
      <c r="B590" s="26" t="n">
        <f aca="false">IF(INDEX(Pengaturan!$B$8:$B$27,B$4)="",0,COUNTIF(Data!$B590:$U590,INDEX(Pengaturan!$B$8:$B$27,B$4)))</f>
        <v>0</v>
      </c>
      <c r="C590" s="26" t="n">
        <f aca="false">IF(INDEX(Pengaturan!$B$8:$B$27,C$4)="",0,COUNTIF(Data!$B590:$U590,INDEX(Pengaturan!$B$8:$B$27,C$4)))</f>
        <v>0</v>
      </c>
      <c r="D590" s="26" t="n">
        <f aca="false">IF(INDEX(Pengaturan!$B$8:$B$27,D$4)="",0,COUNTIF(Data!$B590:$U590,INDEX(Pengaturan!$B$8:$B$27,D$4)))</f>
        <v>0</v>
      </c>
      <c r="E590" s="26" t="n">
        <f aca="false">IF(INDEX(Pengaturan!$B$8:$B$27,E$4)="",0,COUNTIF(Data!$B590:$U590,INDEX(Pengaturan!$B$8:$B$27,E$4)))</f>
        <v>0</v>
      </c>
      <c r="F590" s="26" t="n">
        <f aca="false">IF(INDEX(Pengaturan!$B$8:$B$27,F$4)="",0,COUNTIF(Data!$B590:$U590,INDEX(Pengaturan!$B$8:$B$27,F$4)))</f>
        <v>0</v>
      </c>
      <c r="G590" s="26" t="n">
        <f aca="false">IF(INDEX(Pengaturan!$B$8:$B$27,G$4)="",0,COUNTIF(Data!$B590:$U590,INDEX(Pengaturan!$B$8:$B$27,G$4)))</f>
        <v>0</v>
      </c>
      <c r="H590" s="26" t="n">
        <f aca="false">IF(INDEX(Pengaturan!$B$8:$B$27,H$4)="",0,COUNTIF(Data!$B590:$U590,INDEX(Pengaturan!$B$8:$B$27,H$4)))</f>
        <v>0</v>
      </c>
      <c r="I590" s="26" t="n">
        <f aca="false">IF(INDEX(Pengaturan!$B$8:$B$27,I$4)="",0,COUNTIF(Data!$B590:$U590,INDEX(Pengaturan!$B$8:$B$27,I$4)))</f>
        <v>0</v>
      </c>
      <c r="J590" s="26" t="n">
        <f aca="false">IF(INDEX(Pengaturan!$B$8:$B$27,J$4)="",0,COUNTIF(Data!$B590:$U590,INDEX(Pengaturan!$B$8:$B$27,J$4)))</f>
        <v>0</v>
      </c>
      <c r="K590" s="26" t="n">
        <f aca="false">IF(INDEX(Pengaturan!$B$8:$B$27,K$4)="",0,COUNTIF(Data!$B590:$U590,INDEX(Pengaturan!$B$8:$B$27,K$4)))</f>
        <v>0</v>
      </c>
      <c r="L590" s="26" t="n">
        <f aca="false">IF(INDEX(Pengaturan!$B$8:$B$27,L$4)="",0,COUNTIF(Data!$B590:$U590,INDEX(Pengaturan!$B$8:$B$27,L$4)))</f>
        <v>0</v>
      </c>
      <c r="M590" s="26" t="n">
        <f aca="false">IF(INDEX(Pengaturan!$B$8:$B$27,M$4)="",0,COUNTIF(Data!$B590:$U590,INDEX(Pengaturan!$B$8:$B$27,M$4)))</f>
        <v>0</v>
      </c>
      <c r="N590" s="26" t="n">
        <f aca="false">IF(INDEX(Pengaturan!$B$8:$B$27,N$4)="",0,COUNTIF(Data!$B590:$U590,INDEX(Pengaturan!$B$8:$B$27,N$4)))</f>
        <v>0</v>
      </c>
      <c r="O590" s="26" t="n">
        <f aca="false">IF(INDEX(Pengaturan!$B$8:$B$27,O$4)="",0,COUNTIF(Data!$B590:$U590,INDEX(Pengaturan!$B$8:$B$27,O$4)))</f>
        <v>0</v>
      </c>
      <c r="P590" s="26" t="n">
        <f aca="false">IF(INDEX(Pengaturan!$B$8:$B$27,P$4)="",0,COUNTIF(Data!$B590:$U590,INDEX(Pengaturan!$B$8:$B$27,P$4)))</f>
        <v>0</v>
      </c>
      <c r="Q590" s="26" t="n">
        <f aca="false">IF(INDEX(Pengaturan!$B$8:$B$27,Q$4)="",0,COUNTIF(Data!$B590:$U590,INDEX(Pengaturan!$B$8:$B$27,Q$4)))</f>
        <v>0</v>
      </c>
      <c r="R590" s="26" t="n">
        <f aca="false">IF(INDEX(Pengaturan!$B$8:$B$27,R$4)="",0,COUNTIF(Data!$B590:$U590,INDEX(Pengaturan!$B$8:$B$27,R$4)))</f>
        <v>0</v>
      </c>
      <c r="S590" s="26" t="n">
        <f aca="false">IF(INDEX(Pengaturan!$B$8:$B$27,S$4)="",0,COUNTIF(Data!$B590:$U590,INDEX(Pengaturan!$B$8:$B$27,S$4)))</f>
        <v>0</v>
      </c>
      <c r="T590" s="26" t="n">
        <f aca="false">IF(INDEX(Pengaturan!$B$8:$B$27,T$4)="",0,COUNTIF(Data!$B590:$U590,INDEX(Pengaturan!$B$8:$B$27,T$4)))</f>
        <v>0</v>
      </c>
      <c r="U590" s="26" t="n">
        <f aca="false">IF(INDEX(Pengaturan!$B$8:$B$27,U$4)="",0,COUNTIF(Data!$B590:$U590,INDEX(Pengaturan!$B$8:$B$27,U$4)))</f>
        <v>0</v>
      </c>
      <c r="V590" s="26" t="n">
        <f aca="false">COUNTA(Data!$B590:$U590)</f>
        <v>0</v>
      </c>
      <c r="W590" s="27" t="str">
        <f aca="false">IF(V590=0,"",IF(V590&lt;&gt;Hasil!$C$4,"Data kosong/tidak lengkap",IF(SUM(B590:U590)&lt;&gt;V590,"Kategori tidak dikenal","OK")))</f>
        <v/>
      </c>
      <c r="X590" s="26" t="n">
        <f aca="false">IF(OR(W590="",W590="OK"),0,1)</f>
        <v>0</v>
      </c>
    </row>
    <row r="591" customFormat="false" ht="15" hidden="false" customHeight="false" outlineLevel="0" collapsed="false">
      <c r="A591" s="26" t="n">
        <f aca="false">Data!A591</f>
        <v>586</v>
      </c>
      <c r="B591" s="26" t="n">
        <f aca="false">IF(INDEX(Pengaturan!$B$8:$B$27,B$4)="",0,COUNTIF(Data!$B591:$U591,INDEX(Pengaturan!$B$8:$B$27,B$4)))</f>
        <v>0</v>
      </c>
      <c r="C591" s="26" t="n">
        <f aca="false">IF(INDEX(Pengaturan!$B$8:$B$27,C$4)="",0,COUNTIF(Data!$B591:$U591,INDEX(Pengaturan!$B$8:$B$27,C$4)))</f>
        <v>0</v>
      </c>
      <c r="D591" s="26" t="n">
        <f aca="false">IF(INDEX(Pengaturan!$B$8:$B$27,D$4)="",0,COUNTIF(Data!$B591:$U591,INDEX(Pengaturan!$B$8:$B$27,D$4)))</f>
        <v>0</v>
      </c>
      <c r="E591" s="26" t="n">
        <f aca="false">IF(INDEX(Pengaturan!$B$8:$B$27,E$4)="",0,COUNTIF(Data!$B591:$U591,INDEX(Pengaturan!$B$8:$B$27,E$4)))</f>
        <v>0</v>
      </c>
      <c r="F591" s="26" t="n">
        <f aca="false">IF(INDEX(Pengaturan!$B$8:$B$27,F$4)="",0,COUNTIF(Data!$B591:$U591,INDEX(Pengaturan!$B$8:$B$27,F$4)))</f>
        <v>0</v>
      </c>
      <c r="G591" s="26" t="n">
        <f aca="false">IF(INDEX(Pengaturan!$B$8:$B$27,G$4)="",0,COUNTIF(Data!$B591:$U591,INDEX(Pengaturan!$B$8:$B$27,G$4)))</f>
        <v>0</v>
      </c>
      <c r="H591" s="26" t="n">
        <f aca="false">IF(INDEX(Pengaturan!$B$8:$B$27,H$4)="",0,COUNTIF(Data!$B591:$U591,INDEX(Pengaturan!$B$8:$B$27,H$4)))</f>
        <v>0</v>
      </c>
      <c r="I591" s="26" t="n">
        <f aca="false">IF(INDEX(Pengaturan!$B$8:$B$27,I$4)="",0,COUNTIF(Data!$B591:$U591,INDEX(Pengaturan!$B$8:$B$27,I$4)))</f>
        <v>0</v>
      </c>
      <c r="J591" s="26" t="n">
        <f aca="false">IF(INDEX(Pengaturan!$B$8:$B$27,J$4)="",0,COUNTIF(Data!$B591:$U591,INDEX(Pengaturan!$B$8:$B$27,J$4)))</f>
        <v>0</v>
      </c>
      <c r="K591" s="26" t="n">
        <f aca="false">IF(INDEX(Pengaturan!$B$8:$B$27,K$4)="",0,COUNTIF(Data!$B591:$U591,INDEX(Pengaturan!$B$8:$B$27,K$4)))</f>
        <v>0</v>
      </c>
      <c r="L591" s="26" t="n">
        <f aca="false">IF(INDEX(Pengaturan!$B$8:$B$27,L$4)="",0,COUNTIF(Data!$B591:$U591,INDEX(Pengaturan!$B$8:$B$27,L$4)))</f>
        <v>0</v>
      </c>
      <c r="M591" s="26" t="n">
        <f aca="false">IF(INDEX(Pengaturan!$B$8:$B$27,M$4)="",0,COUNTIF(Data!$B591:$U591,INDEX(Pengaturan!$B$8:$B$27,M$4)))</f>
        <v>0</v>
      </c>
      <c r="N591" s="26" t="n">
        <f aca="false">IF(INDEX(Pengaturan!$B$8:$B$27,N$4)="",0,COUNTIF(Data!$B591:$U591,INDEX(Pengaturan!$B$8:$B$27,N$4)))</f>
        <v>0</v>
      </c>
      <c r="O591" s="26" t="n">
        <f aca="false">IF(INDEX(Pengaturan!$B$8:$B$27,O$4)="",0,COUNTIF(Data!$B591:$U591,INDEX(Pengaturan!$B$8:$B$27,O$4)))</f>
        <v>0</v>
      </c>
      <c r="P591" s="26" t="n">
        <f aca="false">IF(INDEX(Pengaturan!$B$8:$B$27,P$4)="",0,COUNTIF(Data!$B591:$U591,INDEX(Pengaturan!$B$8:$B$27,P$4)))</f>
        <v>0</v>
      </c>
      <c r="Q591" s="26" t="n">
        <f aca="false">IF(INDEX(Pengaturan!$B$8:$B$27,Q$4)="",0,COUNTIF(Data!$B591:$U591,INDEX(Pengaturan!$B$8:$B$27,Q$4)))</f>
        <v>0</v>
      </c>
      <c r="R591" s="26" t="n">
        <f aca="false">IF(INDEX(Pengaturan!$B$8:$B$27,R$4)="",0,COUNTIF(Data!$B591:$U591,INDEX(Pengaturan!$B$8:$B$27,R$4)))</f>
        <v>0</v>
      </c>
      <c r="S591" s="26" t="n">
        <f aca="false">IF(INDEX(Pengaturan!$B$8:$B$27,S$4)="",0,COUNTIF(Data!$B591:$U591,INDEX(Pengaturan!$B$8:$B$27,S$4)))</f>
        <v>0</v>
      </c>
      <c r="T591" s="26" t="n">
        <f aca="false">IF(INDEX(Pengaturan!$B$8:$B$27,T$4)="",0,COUNTIF(Data!$B591:$U591,INDEX(Pengaturan!$B$8:$B$27,T$4)))</f>
        <v>0</v>
      </c>
      <c r="U591" s="26" t="n">
        <f aca="false">IF(INDEX(Pengaturan!$B$8:$B$27,U$4)="",0,COUNTIF(Data!$B591:$U591,INDEX(Pengaturan!$B$8:$B$27,U$4)))</f>
        <v>0</v>
      </c>
      <c r="V591" s="26" t="n">
        <f aca="false">COUNTA(Data!$B591:$U591)</f>
        <v>0</v>
      </c>
      <c r="W591" s="27" t="str">
        <f aca="false">IF(V591=0,"",IF(V591&lt;&gt;Hasil!$C$4,"Data kosong/tidak lengkap",IF(SUM(B591:U591)&lt;&gt;V591,"Kategori tidak dikenal","OK")))</f>
        <v/>
      </c>
      <c r="X591" s="26" t="n">
        <f aca="false">IF(OR(W591="",W591="OK"),0,1)</f>
        <v>0</v>
      </c>
    </row>
    <row r="592" customFormat="false" ht="15" hidden="false" customHeight="false" outlineLevel="0" collapsed="false">
      <c r="A592" s="26" t="n">
        <f aca="false">Data!A592</f>
        <v>587</v>
      </c>
      <c r="B592" s="26" t="n">
        <f aca="false">IF(INDEX(Pengaturan!$B$8:$B$27,B$4)="",0,COUNTIF(Data!$B592:$U592,INDEX(Pengaturan!$B$8:$B$27,B$4)))</f>
        <v>0</v>
      </c>
      <c r="C592" s="26" t="n">
        <f aca="false">IF(INDEX(Pengaturan!$B$8:$B$27,C$4)="",0,COUNTIF(Data!$B592:$U592,INDEX(Pengaturan!$B$8:$B$27,C$4)))</f>
        <v>0</v>
      </c>
      <c r="D592" s="26" t="n">
        <f aca="false">IF(INDEX(Pengaturan!$B$8:$B$27,D$4)="",0,COUNTIF(Data!$B592:$U592,INDEX(Pengaturan!$B$8:$B$27,D$4)))</f>
        <v>0</v>
      </c>
      <c r="E592" s="26" t="n">
        <f aca="false">IF(INDEX(Pengaturan!$B$8:$B$27,E$4)="",0,COUNTIF(Data!$B592:$U592,INDEX(Pengaturan!$B$8:$B$27,E$4)))</f>
        <v>0</v>
      </c>
      <c r="F592" s="26" t="n">
        <f aca="false">IF(INDEX(Pengaturan!$B$8:$B$27,F$4)="",0,COUNTIF(Data!$B592:$U592,INDEX(Pengaturan!$B$8:$B$27,F$4)))</f>
        <v>0</v>
      </c>
      <c r="G592" s="26" t="n">
        <f aca="false">IF(INDEX(Pengaturan!$B$8:$B$27,G$4)="",0,COUNTIF(Data!$B592:$U592,INDEX(Pengaturan!$B$8:$B$27,G$4)))</f>
        <v>0</v>
      </c>
      <c r="H592" s="26" t="n">
        <f aca="false">IF(INDEX(Pengaturan!$B$8:$B$27,H$4)="",0,COUNTIF(Data!$B592:$U592,INDEX(Pengaturan!$B$8:$B$27,H$4)))</f>
        <v>0</v>
      </c>
      <c r="I592" s="26" t="n">
        <f aca="false">IF(INDEX(Pengaturan!$B$8:$B$27,I$4)="",0,COUNTIF(Data!$B592:$U592,INDEX(Pengaturan!$B$8:$B$27,I$4)))</f>
        <v>0</v>
      </c>
      <c r="J592" s="26" t="n">
        <f aca="false">IF(INDEX(Pengaturan!$B$8:$B$27,J$4)="",0,COUNTIF(Data!$B592:$U592,INDEX(Pengaturan!$B$8:$B$27,J$4)))</f>
        <v>0</v>
      </c>
      <c r="K592" s="26" t="n">
        <f aca="false">IF(INDEX(Pengaturan!$B$8:$B$27,K$4)="",0,COUNTIF(Data!$B592:$U592,INDEX(Pengaturan!$B$8:$B$27,K$4)))</f>
        <v>0</v>
      </c>
      <c r="L592" s="26" t="n">
        <f aca="false">IF(INDEX(Pengaturan!$B$8:$B$27,L$4)="",0,COUNTIF(Data!$B592:$U592,INDEX(Pengaturan!$B$8:$B$27,L$4)))</f>
        <v>0</v>
      </c>
      <c r="M592" s="26" t="n">
        <f aca="false">IF(INDEX(Pengaturan!$B$8:$B$27,M$4)="",0,COUNTIF(Data!$B592:$U592,INDEX(Pengaturan!$B$8:$B$27,M$4)))</f>
        <v>0</v>
      </c>
      <c r="N592" s="26" t="n">
        <f aca="false">IF(INDEX(Pengaturan!$B$8:$B$27,N$4)="",0,COUNTIF(Data!$B592:$U592,INDEX(Pengaturan!$B$8:$B$27,N$4)))</f>
        <v>0</v>
      </c>
      <c r="O592" s="26" t="n">
        <f aca="false">IF(INDEX(Pengaturan!$B$8:$B$27,O$4)="",0,COUNTIF(Data!$B592:$U592,INDEX(Pengaturan!$B$8:$B$27,O$4)))</f>
        <v>0</v>
      </c>
      <c r="P592" s="26" t="n">
        <f aca="false">IF(INDEX(Pengaturan!$B$8:$B$27,P$4)="",0,COUNTIF(Data!$B592:$U592,INDEX(Pengaturan!$B$8:$B$27,P$4)))</f>
        <v>0</v>
      </c>
      <c r="Q592" s="26" t="n">
        <f aca="false">IF(INDEX(Pengaturan!$B$8:$B$27,Q$4)="",0,COUNTIF(Data!$B592:$U592,INDEX(Pengaturan!$B$8:$B$27,Q$4)))</f>
        <v>0</v>
      </c>
      <c r="R592" s="26" t="n">
        <f aca="false">IF(INDEX(Pengaturan!$B$8:$B$27,R$4)="",0,COUNTIF(Data!$B592:$U592,INDEX(Pengaturan!$B$8:$B$27,R$4)))</f>
        <v>0</v>
      </c>
      <c r="S592" s="26" t="n">
        <f aca="false">IF(INDEX(Pengaturan!$B$8:$B$27,S$4)="",0,COUNTIF(Data!$B592:$U592,INDEX(Pengaturan!$B$8:$B$27,S$4)))</f>
        <v>0</v>
      </c>
      <c r="T592" s="26" t="n">
        <f aca="false">IF(INDEX(Pengaturan!$B$8:$B$27,T$4)="",0,COUNTIF(Data!$B592:$U592,INDEX(Pengaturan!$B$8:$B$27,T$4)))</f>
        <v>0</v>
      </c>
      <c r="U592" s="26" t="n">
        <f aca="false">IF(INDEX(Pengaturan!$B$8:$B$27,U$4)="",0,COUNTIF(Data!$B592:$U592,INDEX(Pengaturan!$B$8:$B$27,U$4)))</f>
        <v>0</v>
      </c>
      <c r="V592" s="26" t="n">
        <f aca="false">COUNTA(Data!$B592:$U592)</f>
        <v>0</v>
      </c>
      <c r="W592" s="27" t="str">
        <f aca="false">IF(V592=0,"",IF(V592&lt;&gt;Hasil!$C$4,"Data kosong/tidak lengkap",IF(SUM(B592:U592)&lt;&gt;V592,"Kategori tidak dikenal","OK")))</f>
        <v/>
      </c>
      <c r="X592" s="26" t="n">
        <f aca="false">IF(OR(W592="",W592="OK"),0,1)</f>
        <v>0</v>
      </c>
    </row>
    <row r="593" customFormat="false" ht="15" hidden="false" customHeight="false" outlineLevel="0" collapsed="false">
      <c r="A593" s="26" t="n">
        <f aca="false">Data!A593</f>
        <v>588</v>
      </c>
      <c r="B593" s="26" t="n">
        <f aca="false">IF(INDEX(Pengaturan!$B$8:$B$27,B$4)="",0,COUNTIF(Data!$B593:$U593,INDEX(Pengaturan!$B$8:$B$27,B$4)))</f>
        <v>0</v>
      </c>
      <c r="C593" s="26" t="n">
        <f aca="false">IF(INDEX(Pengaturan!$B$8:$B$27,C$4)="",0,COUNTIF(Data!$B593:$U593,INDEX(Pengaturan!$B$8:$B$27,C$4)))</f>
        <v>0</v>
      </c>
      <c r="D593" s="26" t="n">
        <f aca="false">IF(INDEX(Pengaturan!$B$8:$B$27,D$4)="",0,COUNTIF(Data!$B593:$U593,INDEX(Pengaturan!$B$8:$B$27,D$4)))</f>
        <v>0</v>
      </c>
      <c r="E593" s="26" t="n">
        <f aca="false">IF(INDEX(Pengaturan!$B$8:$B$27,E$4)="",0,COUNTIF(Data!$B593:$U593,INDEX(Pengaturan!$B$8:$B$27,E$4)))</f>
        <v>0</v>
      </c>
      <c r="F593" s="26" t="n">
        <f aca="false">IF(INDEX(Pengaturan!$B$8:$B$27,F$4)="",0,COUNTIF(Data!$B593:$U593,INDEX(Pengaturan!$B$8:$B$27,F$4)))</f>
        <v>0</v>
      </c>
      <c r="G593" s="26" t="n">
        <f aca="false">IF(INDEX(Pengaturan!$B$8:$B$27,G$4)="",0,COUNTIF(Data!$B593:$U593,INDEX(Pengaturan!$B$8:$B$27,G$4)))</f>
        <v>0</v>
      </c>
      <c r="H593" s="26" t="n">
        <f aca="false">IF(INDEX(Pengaturan!$B$8:$B$27,H$4)="",0,COUNTIF(Data!$B593:$U593,INDEX(Pengaturan!$B$8:$B$27,H$4)))</f>
        <v>0</v>
      </c>
      <c r="I593" s="26" t="n">
        <f aca="false">IF(INDEX(Pengaturan!$B$8:$B$27,I$4)="",0,COUNTIF(Data!$B593:$U593,INDEX(Pengaturan!$B$8:$B$27,I$4)))</f>
        <v>0</v>
      </c>
      <c r="J593" s="26" t="n">
        <f aca="false">IF(INDEX(Pengaturan!$B$8:$B$27,J$4)="",0,COUNTIF(Data!$B593:$U593,INDEX(Pengaturan!$B$8:$B$27,J$4)))</f>
        <v>0</v>
      </c>
      <c r="K593" s="26" t="n">
        <f aca="false">IF(INDEX(Pengaturan!$B$8:$B$27,K$4)="",0,COUNTIF(Data!$B593:$U593,INDEX(Pengaturan!$B$8:$B$27,K$4)))</f>
        <v>0</v>
      </c>
      <c r="L593" s="26" t="n">
        <f aca="false">IF(INDEX(Pengaturan!$B$8:$B$27,L$4)="",0,COUNTIF(Data!$B593:$U593,INDEX(Pengaturan!$B$8:$B$27,L$4)))</f>
        <v>0</v>
      </c>
      <c r="M593" s="26" t="n">
        <f aca="false">IF(INDEX(Pengaturan!$B$8:$B$27,M$4)="",0,COUNTIF(Data!$B593:$U593,INDEX(Pengaturan!$B$8:$B$27,M$4)))</f>
        <v>0</v>
      </c>
      <c r="N593" s="26" t="n">
        <f aca="false">IF(INDEX(Pengaturan!$B$8:$B$27,N$4)="",0,COUNTIF(Data!$B593:$U593,INDEX(Pengaturan!$B$8:$B$27,N$4)))</f>
        <v>0</v>
      </c>
      <c r="O593" s="26" t="n">
        <f aca="false">IF(INDEX(Pengaturan!$B$8:$B$27,O$4)="",0,COUNTIF(Data!$B593:$U593,INDEX(Pengaturan!$B$8:$B$27,O$4)))</f>
        <v>0</v>
      </c>
      <c r="P593" s="26" t="n">
        <f aca="false">IF(INDEX(Pengaturan!$B$8:$B$27,P$4)="",0,COUNTIF(Data!$B593:$U593,INDEX(Pengaturan!$B$8:$B$27,P$4)))</f>
        <v>0</v>
      </c>
      <c r="Q593" s="26" t="n">
        <f aca="false">IF(INDEX(Pengaturan!$B$8:$B$27,Q$4)="",0,COUNTIF(Data!$B593:$U593,INDEX(Pengaturan!$B$8:$B$27,Q$4)))</f>
        <v>0</v>
      </c>
      <c r="R593" s="26" t="n">
        <f aca="false">IF(INDEX(Pengaturan!$B$8:$B$27,R$4)="",0,COUNTIF(Data!$B593:$U593,INDEX(Pengaturan!$B$8:$B$27,R$4)))</f>
        <v>0</v>
      </c>
      <c r="S593" s="26" t="n">
        <f aca="false">IF(INDEX(Pengaturan!$B$8:$B$27,S$4)="",0,COUNTIF(Data!$B593:$U593,INDEX(Pengaturan!$B$8:$B$27,S$4)))</f>
        <v>0</v>
      </c>
      <c r="T593" s="26" t="n">
        <f aca="false">IF(INDEX(Pengaturan!$B$8:$B$27,T$4)="",0,COUNTIF(Data!$B593:$U593,INDEX(Pengaturan!$B$8:$B$27,T$4)))</f>
        <v>0</v>
      </c>
      <c r="U593" s="26" t="n">
        <f aca="false">IF(INDEX(Pengaturan!$B$8:$B$27,U$4)="",0,COUNTIF(Data!$B593:$U593,INDEX(Pengaturan!$B$8:$B$27,U$4)))</f>
        <v>0</v>
      </c>
      <c r="V593" s="26" t="n">
        <f aca="false">COUNTA(Data!$B593:$U593)</f>
        <v>0</v>
      </c>
      <c r="W593" s="27" t="str">
        <f aca="false">IF(V593=0,"",IF(V593&lt;&gt;Hasil!$C$4,"Data kosong/tidak lengkap",IF(SUM(B593:U593)&lt;&gt;V593,"Kategori tidak dikenal","OK")))</f>
        <v/>
      </c>
      <c r="X593" s="26" t="n">
        <f aca="false">IF(OR(W593="",W593="OK"),0,1)</f>
        <v>0</v>
      </c>
    </row>
    <row r="594" customFormat="false" ht="15" hidden="false" customHeight="false" outlineLevel="0" collapsed="false">
      <c r="A594" s="26" t="n">
        <f aca="false">Data!A594</f>
        <v>589</v>
      </c>
      <c r="B594" s="26" t="n">
        <f aca="false">IF(INDEX(Pengaturan!$B$8:$B$27,B$4)="",0,COUNTIF(Data!$B594:$U594,INDEX(Pengaturan!$B$8:$B$27,B$4)))</f>
        <v>0</v>
      </c>
      <c r="C594" s="26" t="n">
        <f aca="false">IF(INDEX(Pengaturan!$B$8:$B$27,C$4)="",0,COUNTIF(Data!$B594:$U594,INDEX(Pengaturan!$B$8:$B$27,C$4)))</f>
        <v>0</v>
      </c>
      <c r="D594" s="26" t="n">
        <f aca="false">IF(INDEX(Pengaturan!$B$8:$B$27,D$4)="",0,COUNTIF(Data!$B594:$U594,INDEX(Pengaturan!$B$8:$B$27,D$4)))</f>
        <v>0</v>
      </c>
      <c r="E594" s="26" t="n">
        <f aca="false">IF(INDEX(Pengaturan!$B$8:$B$27,E$4)="",0,COUNTIF(Data!$B594:$U594,INDEX(Pengaturan!$B$8:$B$27,E$4)))</f>
        <v>0</v>
      </c>
      <c r="F594" s="26" t="n">
        <f aca="false">IF(INDEX(Pengaturan!$B$8:$B$27,F$4)="",0,COUNTIF(Data!$B594:$U594,INDEX(Pengaturan!$B$8:$B$27,F$4)))</f>
        <v>0</v>
      </c>
      <c r="G594" s="26" t="n">
        <f aca="false">IF(INDEX(Pengaturan!$B$8:$B$27,G$4)="",0,COUNTIF(Data!$B594:$U594,INDEX(Pengaturan!$B$8:$B$27,G$4)))</f>
        <v>0</v>
      </c>
      <c r="H594" s="26" t="n">
        <f aca="false">IF(INDEX(Pengaturan!$B$8:$B$27,H$4)="",0,COUNTIF(Data!$B594:$U594,INDEX(Pengaturan!$B$8:$B$27,H$4)))</f>
        <v>0</v>
      </c>
      <c r="I594" s="26" t="n">
        <f aca="false">IF(INDEX(Pengaturan!$B$8:$B$27,I$4)="",0,COUNTIF(Data!$B594:$U594,INDEX(Pengaturan!$B$8:$B$27,I$4)))</f>
        <v>0</v>
      </c>
      <c r="J594" s="26" t="n">
        <f aca="false">IF(INDEX(Pengaturan!$B$8:$B$27,J$4)="",0,COUNTIF(Data!$B594:$U594,INDEX(Pengaturan!$B$8:$B$27,J$4)))</f>
        <v>0</v>
      </c>
      <c r="K594" s="26" t="n">
        <f aca="false">IF(INDEX(Pengaturan!$B$8:$B$27,K$4)="",0,COUNTIF(Data!$B594:$U594,INDEX(Pengaturan!$B$8:$B$27,K$4)))</f>
        <v>0</v>
      </c>
      <c r="L594" s="26" t="n">
        <f aca="false">IF(INDEX(Pengaturan!$B$8:$B$27,L$4)="",0,COUNTIF(Data!$B594:$U594,INDEX(Pengaturan!$B$8:$B$27,L$4)))</f>
        <v>0</v>
      </c>
      <c r="M594" s="26" t="n">
        <f aca="false">IF(INDEX(Pengaturan!$B$8:$B$27,M$4)="",0,COUNTIF(Data!$B594:$U594,INDEX(Pengaturan!$B$8:$B$27,M$4)))</f>
        <v>0</v>
      </c>
      <c r="N594" s="26" t="n">
        <f aca="false">IF(INDEX(Pengaturan!$B$8:$B$27,N$4)="",0,COUNTIF(Data!$B594:$U594,INDEX(Pengaturan!$B$8:$B$27,N$4)))</f>
        <v>0</v>
      </c>
      <c r="O594" s="26" t="n">
        <f aca="false">IF(INDEX(Pengaturan!$B$8:$B$27,O$4)="",0,COUNTIF(Data!$B594:$U594,INDEX(Pengaturan!$B$8:$B$27,O$4)))</f>
        <v>0</v>
      </c>
      <c r="P594" s="26" t="n">
        <f aca="false">IF(INDEX(Pengaturan!$B$8:$B$27,P$4)="",0,COUNTIF(Data!$B594:$U594,INDEX(Pengaturan!$B$8:$B$27,P$4)))</f>
        <v>0</v>
      </c>
      <c r="Q594" s="26" t="n">
        <f aca="false">IF(INDEX(Pengaturan!$B$8:$B$27,Q$4)="",0,COUNTIF(Data!$B594:$U594,INDEX(Pengaturan!$B$8:$B$27,Q$4)))</f>
        <v>0</v>
      </c>
      <c r="R594" s="26" t="n">
        <f aca="false">IF(INDEX(Pengaturan!$B$8:$B$27,R$4)="",0,COUNTIF(Data!$B594:$U594,INDEX(Pengaturan!$B$8:$B$27,R$4)))</f>
        <v>0</v>
      </c>
      <c r="S594" s="26" t="n">
        <f aca="false">IF(INDEX(Pengaturan!$B$8:$B$27,S$4)="",0,COUNTIF(Data!$B594:$U594,INDEX(Pengaturan!$B$8:$B$27,S$4)))</f>
        <v>0</v>
      </c>
      <c r="T594" s="26" t="n">
        <f aca="false">IF(INDEX(Pengaturan!$B$8:$B$27,T$4)="",0,COUNTIF(Data!$B594:$U594,INDEX(Pengaturan!$B$8:$B$27,T$4)))</f>
        <v>0</v>
      </c>
      <c r="U594" s="26" t="n">
        <f aca="false">IF(INDEX(Pengaturan!$B$8:$B$27,U$4)="",0,COUNTIF(Data!$B594:$U594,INDEX(Pengaturan!$B$8:$B$27,U$4)))</f>
        <v>0</v>
      </c>
      <c r="V594" s="26" t="n">
        <f aca="false">COUNTA(Data!$B594:$U594)</f>
        <v>0</v>
      </c>
      <c r="W594" s="27" t="str">
        <f aca="false">IF(V594=0,"",IF(V594&lt;&gt;Hasil!$C$4,"Data kosong/tidak lengkap",IF(SUM(B594:U594)&lt;&gt;V594,"Kategori tidak dikenal","OK")))</f>
        <v/>
      </c>
      <c r="X594" s="26" t="n">
        <f aca="false">IF(OR(W594="",W594="OK"),0,1)</f>
        <v>0</v>
      </c>
    </row>
    <row r="595" customFormat="false" ht="15" hidden="false" customHeight="false" outlineLevel="0" collapsed="false">
      <c r="A595" s="26" t="n">
        <f aca="false">Data!A595</f>
        <v>590</v>
      </c>
      <c r="B595" s="26" t="n">
        <f aca="false">IF(INDEX(Pengaturan!$B$8:$B$27,B$4)="",0,COUNTIF(Data!$B595:$U595,INDEX(Pengaturan!$B$8:$B$27,B$4)))</f>
        <v>0</v>
      </c>
      <c r="C595" s="26" t="n">
        <f aca="false">IF(INDEX(Pengaturan!$B$8:$B$27,C$4)="",0,COUNTIF(Data!$B595:$U595,INDEX(Pengaturan!$B$8:$B$27,C$4)))</f>
        <v>0</v>
      </c>
      <c r="D595" s="26" t="n">
        <f aca="false">IF(INDEX(Pengaturan!$B$8:$B$27,D$4)="",0,COUNTIF(Data!$B595:$U595,INDEX(Pengaturan!$B$8:$B$27,D$4)))</f>
        <v>0</v>
      </c>
      <c r="E595" s="26" t="n">
        <f aca="false">IF(INDEX(Pengaturan!$B$8:$B$27,E$4)="",0,COUNTIF(Data!$B595:$U595,INDEX(Pengaturan!$B$8:$B$27,E$4)))</f>
        <v>0</v>
      </c>
      <c r="F595" s="26" t="n">
        <f aca="false">IF(INDEX(Pengaturan!$B$8:$B$27,F$4)="",0,COUNTIF(Data!$B595:$U595,INDEX(Pengaturan!$B$8:$B$27,F$4)))</f>
        <v>0</v>
      </c>
      <c r="G595" s="26" t="n">
        <f aca="false">IF(INDEX(Pengaturan!$B$8:$B$27,G$4)="",0,COUNTIF(Data!$B595:$U595,INDEX(Pengaturan!$B$8:$B$27,G$4)))</f>
        <v>0</v>
      </c>
      <c r="H595" s="26" t="n">
        <f aca="false">IF(INDEX(Pengaturan!$B$8:$B$27,H$4)="",0,COUNTIF(Data!$B595:$U595,INDEX(Pengaturan!$B$8:$B$27,H$4)))</f>
        <v>0</v>
      </c>
      <c r="I595" s="26" t="n">
        <f aca="false">IF(INDEX(Pengaturan!$B$8:$B$27,I$4)="",0,COUNTIF(Data!$B595:$U595,INDEX(Pengaturan!$B$8:$B$27,I$4)))</f>
        <v>0</v>
      </c>
      <c r="J595" s="26" t="n">
        <f aca="false">IF(INDEX(Pengaturan!$B$8:$B$27,J$4)="",0,COUNTIF(Data!$B595:$U595,INDEX(Pengaturan!$B$8:$B$27,J$4)))</f>
        <v>0</v>
      </c>
      <c r="K595" s="26" t="n">
        <f aca="false">IF(INDEX(Pengaturan!$B$8:$B$27,K$4)="",0,COUNTIF(Data!$B595:$U595,INDEX(Pengaturan!$B$8:$B$27,K$4)))</f>
        <v>0</v>
      </c>
      <c r="L595" s="26" t="n">
        <f aca="false">IF(INDEX(Pengaturan!$B$8:$B$27,L$4)="",0,COUNTIF(Data!$B595:$U595,INDEX(Pengaturan!$B$8:$B$27,L$4)))</f>
        <v>0</v>
      </c>
      <c r="M595" s="26" t="n">
        <f aca="false">IF(INDEX(Pengaturan!$B$8:$B$27,M$4)="",0,COUNTIF(Data!$B595:$U595,INDEX(Pengaturan!$B$8:$B$27,M$4)))</f>
        <v>0</v>
      </c>
      <c r="N595" s="26" t="n">
        <f aca="false">IF(INDEX(Pengaturan!$B$8:$B$27,N$4)="",0,COUNTIF(Data!$B595:$U595,INDEX(Pengaturan!$B$8:$B$27,N$4)))</f>
        <v>0</v>
      </c>
      <c r="O595" s="26" t="n">
        <f aca="false">IF(INDEX(Pengaturan!$B$8:$B$27,O$4)="",0,COUNTIF(Data!$B595:$U595,INDEX(Pengaturan!$B$8:$B$27,O$4)))</f>
        <v>0</v>
      </c>
      <c r="P595" s="26" t="n">
        <f aca="false">IF(INDEX(Pengaturan!$B$8:$B$27,P$4)="",0,COUNTIF(Data!$B595:$U595,INDEX(Pengaturan!$B$8:$B$27,P$4)))</f>
        <v>0</v>
      </c>
      <c r="Q595" s="26" t="n">
        <f aca="false">IF(INDEX(Pengaturan!$B$8:$B$27,Q$4)="",0,COUNTIF(Data!$B595:$U595,INDEX(Pengaturan!$B$8:$B$27,Q$4)))</f>
        <v>0</v>
      </c>
      <c r="R595" s="26" t="n">
        <f aca="false">IF(INDEX(Pengaturan!$B$8:$B$27,R$4)="",0,COUNTIF(Data!$B595:$U595,INDEX(Pengaturan!$B$8:$B$27,R$4)))</f>
        <v>0</v>
      </c>
      <c r="S595" s="26" t="n">
        <f aca="false">IF(INDEX(Pengaturan!$B$8:$B$27,S$4)="",0,COUNTIF(Data!$B595:$U595,INDEX(Pengaturan!$B$8:$B$27,S$4)))</f>
        <v>0</v>
      </c>
      <c r="T595" s="26" t="n">
        <f aca="false">IF(INDEX(Pengaturan!$B$8:$B$27,T$4)="",0,COUNTIF(Data!$B595:$U595,INDEX(Pengaturan!$B$8:$B$27,T$4)))</f>
        <v>0</v>
      </c>
      <c r="U595" s="26" t="n">
        <f aca="false">IF(INDEX(Pengaturan!$B$8:$B$27,U$4)="",0,COUNTIF(Data!$B595:$U595,INDEX(Pengaturan!$B$8:$B$27,U$4)))</f>
        <v>0</v>
      </c>
      <c r="V595" s="26" t="n">
        <f aca="false">COUNTA(Data!$B595:$U595)</f>
        <v>0</v>
      </c>
      <c r="W595" s="27" t="str">
        <f aca="false">IF(V595=0,"",IF(V595&lt;&gt;Hasil!$C$4,"Data kosong/tidak lengkap",IF(SUM(B595:U595)&lt;&gt;V595,"Kategori tidak dikenal","OK")))</f>
        <v/>
      </c>
      <c r="X595" s="26" t="n">
        <f aca="false">IF(OR(W595="",W595="OK"),0,1)</f>
        <v>0</v>
      </c>
    </row>
    <row r="596" customFormat="false" ht="15" hidden="false" customHeight="false" outlineLevel="0" collapsed="false">
      <c r="A596" s="26" t="n">
        <f aca="false">Data!A596</f>
        <v>591</v>
      </c>
      <c r="B596" s="26" t="n">
        <f aca="false">IF(INDEX(Pengaturan!$B$8:$B$27,B$4)="",0,COUNTIF(Data!$B596:$U596,INDEX(Pengaturan!$B$8:$B$27,B$4)))</f>
        <v>0</v>
      </c>
      <c r="C596" s="26" t="n">
        <f aca="false">IF(INDEX(Pengaturan!$B$8:$B$27,C$4)="",0,COUNTIF(Data!$B596:$U596,INDEX(Pengaturan!$B$8:$B$27,C$4)))</f>
        <v>0</v>
      </c>
      <c r="D596" s="26" t="n">
        <f aca="false">IF(INDEX(Pengaturan!$B$8:$B$27,D$4)="",0,COUNTIF(Data!$B596:$U596,INDEX(Pengaturan!$B$8:$B$27,D$4)))</f>
        <v>0</v>
      </c>
      <c r="E596" s="26" t="n">
        <f aca="false">IF(INDEX(Pengaturan!$B$8:$B$27,E$4)="",0,COUNTIF(Data!$B596:$U596,INDEX(Pengaturan!$B$8:$B$27,E$4)))</f>
        <v>0</v>
      </c>
      <c r="F596" s="26" t="n">
        <f aca="false">IF(INDEX(Pengaturan!$B$8:$B$27,F$4)="",0,COUNTIF(Data!$B596:$U596,INDEX(Pengaturan!$B$8:$B$27,F$4)))</f>
        <v>0</v>
      </c>
      <c r="G596" s="26" t="n">
        <f aca="false">IF(INDEX(Pengaturan!$B$8:$B$27,G$4)="",0,COUNTIF(Data!$B596:$U596,INDEX(Pengaturan!$B$8:$B$27,G$4)))</f>
        <v>0</v>
      </c>
      <c r="H596" s="26" t="n">
        <f aca="false">IF(INDEX(Pengaturan!$B$8:$B$27,H$4)="",0,COUNTIF(Data!$B596:$U596,INDEX(Pengaturan!$B$8:$B$27,H$4)))</f>
        <v>0</v>
      </c>
      <c r="I596" s="26" t="n">
        <f aca="false">IF(INDEX(Pengaturan!$B$8:$B$27,I$4)="",0,COUNTIF(Data!$B596:$U596,INDEX(Pengaturan!$B$8:$B$27,I$4)))</f>
        <v>0</v>
      </c>
      <c r="J596" s="26" t="n">
        <f aca="false">IF(INDEX(Pengaturan!$B$8:$B$27,J$4)="",0,COUNTIF(Data!$B596:$U596,INDEX(Pengaturan!$B$8:$B$27,J$4)))</f>
        <v>0</v>
      </c>
      <c r="K596" s="26" t="n">
        <f aca="false">IF(INDEX(Pengaturan!$B$8:$B$27,K$4)="",0,COUNTIF(Data!$B596:$U596,INDEX(Pengaturan!$B$8:$B$27,K$4)))</f>
        <v>0</v>
      </c>
      <c r="L596" s="26" t="n">
        <f aca="false">IF(INDEX(Pengaturan!$B$8:$B$27,L$4)="",0,COUNTIF(Data!$B596:$U596,INDEX(Pengaturan!$B$8:$B$27,L$4)))</f>
        <v>0</v>
      </c>
      <c r="M596" s="26" t="n">
        <f aca="false">IF(INDEX(Pengaturan!$B$8:$B$27,M$4)="",0,COUNTIF(Data!$B596:$U596,INDEX(Pengaturan!$B$8:$B$27,M$4)))</f>
        <v>0</v>
      </c>
      <c r="N596" s="26" t="n">
        <f aca="false">IF(INDEX(Pengaturan!$B$8:$B$27,N$4)="",0,COUNTIF(Data!$B596:$U596,INDEX(Pengaturan!$B$8:$B$27,N$4)))</f>
        <v>0</v>
      </c>
      <c r="O596" s="26" t="n">
        <f aca="false">IF(INDEX(Pengaturan!$B$8:$B$27,O$4)="",0,COUNTIF(Data!$B596:$U596,INDEX(Pengaturan!$B$8:$B$27,O$4)))</f>
        <v>0</v>
      </c>
      <c r="P596" s="26" t="n">
        <f aca="false">IF(INDEX(Pengaturan!$B$8:$B$27,P$4)="",0,COUNTIF(Data!$B596:$U596,INDEX(Pengaturan!$B$8:$B$27,P$4)))</f>
        <v>0</v>
      </c>
      <c r="Q596" s="26" t="n">
        <f aca="false">IF(INDEX(Pengaturan!$B$8:$B$27,Q$4)="",0,COUNTIF(Data!$B596:$U596,INDEX(Pengaturan!$B$8:$B$27,Q$4)))</f>
        <v>0</v>
      </c>
      <c r="R596" s="26" t="n">
        <f aca="false">IF(INDEX(Pengaturan!$B$8:$B$27,R$4)="",0,COUNTIF(Data!$B596:$U596,INDEX(Pengaturan!$B$8:$B$27,R$4)))</f>
        <v>0</v>
      </c>
      <c r="S596" s="26" t="n">
        <f aca="false">IF(INDEX(Pengaturan!$B$8:$B$27,S$4)="",0,COUNTIF(Data!$B596:$U596,INDEX(Pengaturan!$B$8:$B$27,S$4)))</f>
        <v>0</v>
      </c>
      <c r="T596" s="26" t="n">
        <f aca="false">IF(INDEX(Pengaturan!$B$8:$B$27,T$4)="",0,COUNTIF(Data!$B596:$U596,INDEX(Pengaturan!$B$8:$B$27,T$4)))</f>
        <v>0</v>
      </c>
      <c r="U596" s="26" t="n">
        <f aca="false">IF(INDEX(Pengaturan!$B$8:$B$27,U$4)="",0,COUNTIF(Data!$B596:$U596,INDEX(Pengaturan!$B$8:$B$27,U$4)))</f>
        <v>0</v>
      </c>
      <c r="V596" s="26" t="n">
        <f aca="false">COUNTA(Data!$B596:$U596)</f>
        <v>0</v>
      </c>
      <c r="W596" s="27" t="str">
        <f aca="false">IF(V596=0,"",IF(V596&lt;&gt;Hasil!$C$4,"Data kosong/tidak lengkap",IF(SUM(B596:U596)&lt;&gt;V596,"Kategori tidak dikenal","OK")))</f>
        <v/>
      </c>
      <c r="X596" s="26" t="n">
        <f aca="false">IF(OR(W596="",W596="OK"),0,1)</f>
        <v>0</v>
      </c>
    </row>
    <row r="597" customFormat="false" ht="15" hidden="false" customHeight="false" outlineLevel="0" collapsed="false">
      <c r="A597" s="26" t="n">
        <f aca="false">Data!A597</f>
        <v>592</v>
      </c>
      <c r="B597" s="26" t="n">
        <f aca="false">IF(INDEX(Pengaturan!$B$8:$B$27,B$4)="",0,COUNTIF(Data!$B597:$U597,INDEX(Pengaturan!$B$8:$B$27,B$4)))</f>
        <v>0</v>
      </c>
      <c r="C597" s="26" t="n">
        <f aca="false">IF(INDEX(Pengaturan!$B$8:$B$27,C$4)="",0,COUNTIF(Data!$B597:$U597,INDEX(Pengaturan!$B$8:$B$27,C$4)))</f>
        <v>0</v>
      </c>
      <c r="D597" s="26" t="n">
        <f aca="false">IF(INDEX(Pengaturan!$B$8:$B$27,D$4)="",0,COUNTIF(Data!$B597:$U597,INDEX(Pengaturan!$B$8:$B$27,D$4)))</f>
        <v>0</v>
      </c>
      <c r="E597" s="26" t="n">
        <f aca="false">IF(INDEX(Pengaturan!$B$8:$B$27,E$4)="",0,COUNTIF(Data!$B597:$U597,INDEX(Pengaturan!$B$8:$B$27,E$4)))</f>
        <v>0</v>
      </c>
      <c r="F597" s="26" t="n">
        <f aca="false">IF(INDEX(Pengaturan!$B$8:$B$27,F$4)="",0,COUNTIF(Data!$B597:$U597,INDEX(Pengaturan!$B$8:$B$27,F$4)))</f>
        <v>0</v>
      </c>
      <c r="G597" s="26" t="n">
        <f aca="false">IF(INDEX(Pengaturan!$B$8:$B$27,G$4)="",0,COUNTIF(Data!$B597:$U597,INDEX(Pengaturan!$B$8:$B$27,G$4)))</f>
        <v>0</v>
      </c>
      <c r="H597" s="26" t="n">
        <f aca="false">IF(INDEX(Pengaturan!$B$8:$B$27,H$4)="",0,COUNTIF(Data!$B597:$U597,INDEX(Pengaturan!$B$8:$B$27,H$4)))</f>
        <v>0</v>
      </c>
      <c r="I597" s="26" t="n">
        <f aca="false">IF(INDEX(Pengaturan!$B$8:$B$27,I$4)="",0,COUNTIF(Data!$B597:$U597,INDEX(Pengaturan!$B$8:$B$27,I$4)))</f>
        <v>0</v>
      </c>
      <c r="J597" s="26" t="n">
        <f aca="false">IF(INDEX(Pengaturan!$B$8:$B$27,J$4)="",0,COUNTIF(Data!$B597:$U597,INDEX(Pengaturan!$B$8:$B$27,J$4)))</f>
        <v>0</v>
      </c>
      <c r="K597" s="26" t="n">
        <f aca="false">IF(INDEX(Pengaturan!$B$8:$B$27,K$4)="",0,COUNTIF(Data!$B597:$U597,INDEX(Pengaturan!$B$8:$B$27,K$4)))</f>
        <v>0</v>
      </c>
      <c r="L597" s="26" t="n">
        <f aca="false">IF(INDEX(Pengaturan!$B$8:$B$27,L$4)="",0,COUNTIF(Data!$B597:$U597,INDEX(Pengaturan!$B$8:$B$27,L$4)))</f>
        <v>0</v>
      </c>
      <c r="M597" s="26" t="n">
        <f aca="false">IF(INDEX(Pengaturan!$B$8:$B$27,M$4)="",0,COUNTIF(Data!$B597:$U597,INDEX(Pengaturan!$B$8:$B$27,M$4)))</f>
        <v>0</v>
      </c>
      <c r="N597" s="26" t="n">
        <f aca="false">IF(INDEX(Pengaturan!$B$8:$B$27,N$4)="",0,COUNTIF(Data!$B597:$U597,INDEX(Pengaturan!$B$8:$B$27,N$4)))</f>
        <v>0</v>
      </c>
      <c r="O597" s="26" t="n">
        <f aca="false">IF(INDEX(Pengaturan!$B$8:$B$27,O$4)="",0,COUNTIF(Data!$B597:$U597,INDEX(Pengaturan!$B$8:$B$27,O$4)))</f>
        <v>0</v>
      </c>
      <c r="P597" s="26" t="n">
        <f aca="false">IF(INDEX(Pengaturan!$B$8:$B$27,P$4)="",0,COUNTIF(Data!$B597:$U597,INDEX(Pengaturan!$B$8:$B$27,P$4)))</f>
        <v>0</v>
      </c>
      <c r="Q597" s="26" t="n">
        <f aca="false">IF(INDEX(Pengaturan!$B$8:$B$27,Q$4)="",0,COUNTIF(Data!$B597:$U597,INDEX(Pengaturan!$B$8:$B$27,Q$4)))</f>
        <v>0</v>
      </c>
      <c r="R597" s="26" t="n">
        <f aca="false">IF(INDEX(Pengaturan!$B$8:$B$27,R$4)="",0,COUNTIF(Data!$B597:$U597,INDEX(Pengaturan!$B$8:$B$27,R$4)))</f>
        <v>0</v>
      </c>
      <c r="S597" s="26" t="n">
        <f aca="false">IF(INDEX(Pengaturan!$B$8:$B$27,S$4)="",0,COUNTIF(Data!$B597:$U597,INDEX(Pengaturan!$B$8:$B$27,S$4)))</f>
        <v>0</v>
      </c>
      <c r="T597" s="26" t="n">
        <f aca="false">IF(INDEX(Pengaturan!$B$8:$B$27,T$4)="",0,COUNTIF(Data!$B597:$U597,INDEX(Pengaturan!$B$8:$B$27,T$4)))</f>
        <v>0</v>
      </c>
      <c r="U597" s="26" t="n">
        <f aca="false">IF(INDEX(Pengaturan!$B$8:$B$27,U$4)="",0,COUNTIF(Data!$B597:$U597,INDEX(Pengaturan!$B$8:$B$27,U$4)))</f>
        <v>0</v>
      </c>
      <c r="V597" s="26" t="n">
        <f aca="false">COUNTA(Data!$B597:$U597)</f>
        <v>0</v>
      </c>
      <c r="W597" s="27" t="str">
        <f aca="false">IF(V597=0,"",IF(V597&lt;&gt;Hasil!$C$4,"Data kosong/tidak lengkap",IF(SUM(B597:U597)&lt;&gt;V597,"Kategori tidak dikenal","OK")))</f>
        <v/>
      </c>
      <c r="X597" s="26" t="n">
        <f aca="false">IF(OR(W597="",W597="OK"),0,1)</f>
        <v>0</v>
      </c>
    </row>
    <row r="598" customFormat="false" ht="15" hidden="false" customHeight="false" outlineLevel="0" collapsed="false">
      <c r="A598" s="26" t="n">
        <f aca="false">Data!A598</f>
        <v>593</v>
      </c>
      <c r="B598" s="26" t="n">
        <f aca="false">IF(INDEX(Pengaturan!$B$8:$B$27,B$4)="",0,COUNTIF(Data!$B598:$U598,INDEX(Pengaturan!$B$8:$B$27,B$4)))</f>
        <v>0</v>
      </c>
      <c r="C598" s="26" t="n">
        <f aca="false">IF(INDEX(Pengaturan!$B$8:$B$27,C$4)="",0,COUNTIF(Data!$B598:$U598,INDEX(Pengaturan!$B$8:$B$27,C$4)))</f>
        <v>0</v>
      </c>
      <c r="D598" s="26" t="n">
        <f aca="false">IF(INDEX(Pengaturan!$B$8:$B$27,D$4)="",0,COUNTIF(Data!$B598:$U598,INDEX(Pengaturan!$B$8:$B$27,D$4)))</f>
        <v>0</v>
      </c>
      <c r="E598" s="26" t="n">
        <f aca="false">IF(INDEX(Pengaturan!$B$8:$B$27,E$4)="",0,COUNTIF(Data!$B598:$U598,INDEX(Pengaturan!$B$8:$B$27,E$4)))</f>
        <v>0</v>
      </c>
      <c r="F598" s="26" t="n">
        <f aca="false">IF(INDEX(Pengaturan!$B$8:$B$27,F$4)="",0,COUNTIF(Data!$B598:$U598,INDEX(Pengaturan!$B$8:$B$27,F$4)))</f>
        <v>0</v>
      </c>
      <c r="G598" s="26" t="n">
        <f aca="false">IF(INDEX(Pengaturan!$B$8:$B$27,G$4)="",0,COUNTIF(Data!$B598:$U598,INDEX(Pengaturan!$B$8:$B$27,G$4)))</f>
        <v>0</v>
      </c>
      <c r="H598" s="26" t="n">
        <f aca="false">IF(INDEX(Pengaturan!$B$8:$B$27,H$4)="",0,COUNTIF(Data!$B598:$U598,INDEX(Pengaturan!$B$8:$B$27,H$4)))</f>
        <v>0</v>
      </c>
      <c r="I598" s="26" t="n">
        <f aca="false">IF(INDEX(Pengaturan!$B$8:$B$27,I$4)="",0,COUNTIF(Data!$B598:$U598,INDEX(Pengaturan!$B$8:$B$27,I$4)))</f>
        <v>0</v>
      </c>
      <c r="J598" s="26" t="n">
        <f aca="false">IF(INDEX(Pengaturan!$B$8:$B$27,J$4)="",0,COUNTIF(Data!$B598:$U598,INDEX(Pengaturan!$B$8:$B$27,J$4)))</f>
        <v>0</v>
      </c>
      <c r="K598" s="26" t="n">
        <f aca="false">IF(INDEX(Pengaturan!$B$8:$B$27,K$4)="",0,COUNTIF(Data!$B598:$U598,INDEX(Pengaturan!$B$8:$B$27,K$4)))</f>
        <v>0</v>
      </c>
      <c r="L598" s="26" t="n">
        <f aca="false">IF(INDEX(Pengaturan!$B$8:$B$27,L$4)="",0,COUNTIF(Data!$B598:$U598,INDEX(Pengaturan!$B$8:$B$27,L$4)))</f>
        <v>0</v>
      </c>
      <c r="M598" s="26" t="n">
        <f aca="false">IF(INDEX(Pengaturan!$B$8:$B$27,M$4)="",0,COUNTIF(Data!$B598:$U598,INDEX(Pengaturan!$B$8:$B$27,M$4)))</f>
        <v>0</v>
      </c>
      <c r="N598" s="26" t="n">
        <f aca="false">IF(INDEX(Pengaturan!$B$8:$B$27,N$4)="",0,COUNTIF(Data!$B598:$U598,INDEX(Pengaturan!$B$8:$B$27,N$4)))</f>
        <v>0</v>
      </c>
      <c r="O598" s="26" t="n">
        <f aca="false">IF(INDEX(Pengaturan!$B$8:$B$27,O$4)="",0,COUNTIF(Data!$B598:$U598,INDEX(Pengaturan!$B$8:$B$27,O$4)))</f>
        <v>0</v>
      </c>
      <c r="P598" s="26" t="n">
        <f aca="false">IF(INDEX(Pengaturan!$B$8:$B$27,P$4)="",0,COUNTIF(Data!$B598:$U598,INDEX(Pengaturan!$B$8:$B$27,P$4)))</f>
        <v>0</v>
      </c>
      <c r="Q598" s="26" t="n">
        <f aca="false">IF(INDEX(Pengaturan!$B$8:$B$27,Q$4)="",0,COUNTIF(Data!$B598:$U598,INDEX(Pengaturan!$B$8:$B$27,Q$4)))</f>
        <v>0</v>
      </c>
      <c r="R598" s="26" t="n">
        <f aca="false">IF(INDEX(Pengaturan!$B$8:$B$27,R$4)="",0,COUNTIF(Data!$B598:$U598,INDEX(Pengaturan!$B$8:$B$27,R$4)))</f>
        <v>0</v>
      </c>
      <c r="S598" s="26" t="n">
        <f aca="false">IF(INDEX(Pengaturan!$B$8:$B$27,S$4)="",0,COUNTIF(Data!$B598:$U598,INDEX(Pengaturan!$B$8:$B$27,S$4)))</f>
        <v>0</v>
      </c>
      <c r="T598" s="26" t="n">
        <f aca="false">IF(INDEX(Pengaturan!$B$8:$B$27,T$4)="",0,COUNTIF(Data!$B598:$U598,INDEX(Pengaturan!$B$8:$B$27,T$4)))</f>
        <v>0</v>
      </c>
      <c r="U598" s="26" t="n">
        <f aca="false">IF(INDEX(Pengaturan!$B$8:$B$27,U$4)="",0,COUNTIF(Data!$B598:$U598,INDEX(Pengaturan!$B$8:$B$27,U$4)))</f>
        <v>0</v>
      </c>
      <c r="V598" s="26" t="n">
        <f aca="false">COUNTA(Data!$B598:$U598)</f>
        <v>0</v>
      </c>
      <c r="W598" s="27" t="str">
        <f aca="false">IF(V598=0,"",IF(V598&lt;&gt;Hasil!$C$4,"Data kosong/tidak lengkap",IF(SUM(B598:U598)&lt;&gt;V598,"Kategori tidak dikenal","OK")))</f>
        <v/>
      </c>
      <c r="X598" s="26" t="n">
        <f aca="false">IF(OR(W598="",W598="OK"),0,1)</f>
        <v>0</v>
      </c>
    </row>
    <row r="599" customFormat="false" ht="15" hidden="false" customHeight="false" outlineLevel="0" collapsed="false">
      <c r="A599" s="26" t="n">
        <f aca="false">Data!A599</f>
        <v>594</v>
      </c>
      <c r="B599" s="26" t="n">
        <f aca="false">IF(INDEX(Pengaturan!$B$8:$B$27,B$4)="",0,COUNTIF(Data!$B599:$U599,INDEX(Pengaturan!$B$8:$B$27,B$4)))</f>
        <v>0</v>
      </c>
      <c r="C599" s="26" t="n">
        <f aca="false">IF(INDEX(Pengaturan!$B$8:$B$27,C$4)="",0,COUNTIF(Data!$B599:$U599,INDEX(Pengaturan!$B$8:$B$27,C$4)))</f>
        <v>0</v>
      </c>
      <c r="D599" s="26" t="n">
        <f aca="false">IF(INDEX(Pengaturan!$B$8:$B$27,D$4)="",0,COUNTIF(Data!$B599:$U599,INDEX(Pengaturan!$B$8:$B$27,D$4)))</f>
        <v>0</v>
      </c>
      <c r="E599" s="26" t="n">
        <f aca="false">IF(INDEX(Pengaturan!$B$8:$B$27,E$4)="",0,COUNTIF(Data!$B599:$U599,INDEX(Pengaturan!$B$8:$B$27,E$4)))</f>
        <v>0</v>
      </c>
      <c r="F599" s="26" t="n">
        <f aca="false">IF(INDEX(Pengaturan!$B$8:$B$27,F$4)="",0,COUNTIF(Data!$B599:$U599,INDEX(Pengaturan!$B$8:$B$27,F$4)))</f>
        <v>0</v>
      </c>
      <c r="G599" s="26" t="n">
        <f aca="false">IF(INDEX(Pengaturan!$B$8:$B$27,G$4)="",0,COUNTIF(Data!$B599:$U599,INDEX(Pengaturan!$B$8:$B$27,G$4)))</f>
        <v>0</v>
      </c>
      <c r="H599" s="26" t="n">
        <f aca="false">IF(INDEX(Pengaturan!$B$8:$B$27,H$4)="",0,COUNTIF(Data!$B599:$U599,INDEX(Pengaturan!$B$8:$B$27,H$4)))</f>
        <v>0</v>
      </c>
      <c r="I599" s="26" t="n">
        <f aca="false">IF(INDEX(Pengaturan!$B$8:$B$27,I$4)="",0,COUNTIF(Data!$B599:$U599,INDEX(Pengaturan!$B$8:$B$27,I$4)))</f>
        <v>0</v>
      </c>
      <c r="J599" s="26" t="n">
        <f aca="false">IF(INDEX(Pengaturan!$B$8:$B$27,J$4)="",0,COUNTIF(Data!$B599:$U599,INDEX(Pengaturan!$B$8:$B$27,J$4)))</f>
        <v>0</v>
      </c>
      <c r="K599" s="26" t="n">
        <f aca="false">IF(INDEX(Pengaturan!$B$8:$B$27,K$4)="",0,COUNTIF(Data!$B599:$U599,INDEX(Pengaturan!$B$8:$B$27,K$4)))</f>
        <v>0</v>
      </c>
      <c r="L599" s="26" t="n">
        <f aca="false">IF(INDEX(Pengaturan!$B$8:$B$27,L$4)="",0,COUNTIF(Data!$B599:$U599,INDEX(Pengaturan!$B$8:$B$27,L$4)))</f>
        <v>0</v>
      </c>
      <c r="M599" s="26" t="n">
        <f aca="false">IF(INDEX(Pengaturan!$B$8:$B$27,M$4)="",0,COUNTIF(Data!$B599:$U599,INDEX(Pengaturan!$B$8:$B$27,M$4)))</f>
        <v>0</v>
      </c>
      <c r="N599" s="26" t="n">
        <f aca="false">IF(INDEX(Pengaturan!$B$8:$B$27,N$4)="",0,COUNTIF(Data!$B599:$U599,INDEX(Pengaturan!$B$8:$B$27,N$4)))</f>
        <v>0</v>
      </c>
      <c r="O599" s="26" t="n">
        <f aca="false">IF(INDEX(Pengaturan!$B$8:$B$27,O$4)="",0,COUNTIF(Data!$B599:$U599,INDEX(Pengaturan!$B$8:$B$27,O$4)))</f>
        <v>0</v>
      </c>
      <c r="P599" s="26" t="n">
        <f aca="false">IF(INDEX(Pengaturan!$B$8:$B$27,P$4)="",0,COUNTIF(Data!$B599:$U599,INDEX(Pengaturan!$B$8:$B$27,P$4)))</f>
        <v>0</v>
      </c>
      <c r="Q599" s="26" t="n">
        <f aca="false">IF(INDEX(Pengaturan!$B$8:$B$27,Q$4)="",0,COUNTIF(Data!$B599:$U599,INDEX(Pengaturan!$B$8:$B$27,Q$4)))</f>
        <v>0</v>
      </c>
      <c r="R599" s="26" t="n">
        <f aca="false">IF(INDEX(Pengaturan!$B$8:$B$27,R$4)="",0,COUNTIF(Data!$B599:$U599,INDEX(Pengaturan!$B$8:$B$27,R$4)))</f>
        <v>0</v>
      </c>
      <c r="S599" s="26" t="n">
        <f aca="false">IF(INDEX(Pengaturan!$B$8:$B$27,S$4)="",0,COUNTIF(Data!$B599:$U599,INDEX(Pengaturan!$B$8:$B$27,S$4)))</f>
        <v>0</v>
      </c>
      <c r="T599" s="26" t="n">
        <f aca="false">IF(INDEX(Pengaturan!$B$8:$B$27,T$4)="",0,COUNTIF(Data!$B599:$U599,INDEX(Pengaturan!$B$8:$B$27,T$4)))</f>
        <v>0</v>
      </c>
      <c r="U599" s="26" t="n">
        <f aca="false">IF(INDEX(Pengaturan!$B$8:$B$27,U$4)="",0,COUNTIF(Data!$B599:$U599,INDEX(Pengaturan!$B$8:$B$27,U$4)))</f>
        <v>0</v>
      </c>
      <c r="V599" s="26" t="n">
        <f aca="false">COUNTA(Data!$B599:$U599)</f>
        <v>0</v>
      </c>
      <c r="W599" s="27" t="str">
        <f aca="false">IF(V599=0,"",IF(V599&lt;&gt;Hasil!$C$4,"Data kosong/tidak lengkap",IF(SUM(B599:U599)&lt;&gt;V599,"Kategori tidak dikenal","OK")))</f>
        <v/>
      </c>
      <c r="X599" s="26" t="n">
        <f aca="false">IF(OR(W599="",W599="OK"),0,1)</f>
        <v>0</v>
      </c>
    </row>
    <row r="600" customFormat="false" ht="15" hidden="false" customHeight="false" outlineLevel="0" collapsed="false">
      <c r="A600" s="26" t="n">
        <f aca="false">Data!A600</f>
        <v>595</v>
      </c>
      <c r="B600" s="26" t="n">
        <f aca="false">IF(INDEX(Pengaturan!$B$8:$B$27,B$4)="",0,COUNTIF(Data!$B600:$U600,INDEX(Pengaturan!$B$8:$B$27,B$4)))</f>
        <v>0</v>
      </c>
      <c r="C600" s="26" t="n">
        <f aca="false">IF(INDEX(Pengaturan!$B$8:$B$27,C$4)="",0,COUNTIF(Data!$B600:$U600,INDEX(Pengaturan!$B$8:$B$27,C$4)))</f>
        <v>0</v>
      </c>
      <c r="D600" s="26" t="n">
        <f aca="false">IF(INDEX(Pengaturan!$B$8:$B$27,D$4)="",0,COUNTIF(Data!$B600:$U600,INDEX(Pengaturan!$B$8:$B$27,D$4)))</f>
        <v>0</v>
      </c>
      <c r="E600" s="26" t="n">
        <f aca="false">IF(INDEX(Pengaturan!$B$8:$B$27,E$4)="",0,COUNTIF(Data!$B600:$U600,INDEX(Pengaturan!$B$8:$B$27,E$4)))</f>
        <v>0</v>
      </c>
      <c r="F600" s="26" t="n">
        <f aca="false">IF(INDEX(Pengaturan!$B$8:$B$27,F$4)="",0,COUNTIF(Data!$B600:$U600,INDEX(Pengaturan!$B$8:$B$27,F$4)))</f>
        <v>0</v>
      </c>
      <c r="G600" s="26" t="n">
        <f aca="false">IF(INDEX(Pengaturan!$B$8:$B$27,G$4)="",0,COUNTIF(Data!$B600:$U600,INDEX(Pengaturan!$B$8:$B$27,G$4)))</f>
        <v>0</v>
      </c>
      <c r="H600" s="26" t="n">
        <f aca="false">IF(INDEX(Pengaturan!$B$8:$B$27,H$4)="",0,COUNTIF(Data!$B600:$U600,INDEX(Pengaturan!$B$8:$B$27,H$4)))</f>
        <v>0</v>
      </c>
      <c r="I600" s="26" t="n">
        <f aca="false">IF(INDEX(Pengaturan!$B$8:$B$27,I$4)="",0,COUNTIF(Data!$B600:$U600,INDEX(Pengaturan!$B$8:$B$27,I$4)))</f>
        <v>0</v>
      </c>
      <c r="J600" s="26" t="n">
        <f aca="false">IF(INDEX(Pengaturan!$B$8:$B$27,J$4)="",0,COUNTIF(Data!$B600:$U600,INDEX(Pengaturan!$B$8:$B$27,J$4)))</f>
        <v>0</v>
      </c>
      <c r="K600" s="26" t="n">
        <f aca="false">IF(INDEX(Pengaturan!$B$8:$B$27,K$4)="",0,COUNTIF(Data!$B600:$U600,INDEX(Pengaturan!$B$8:$B$27,K$4)))</f>
        <v>0</v>
      </c>
      <c r="L600" s="26" t="n">
        <f aca="false">IF(INDEX(Pengaturan!$B$8:$B$27,L$4)="",0,COUNTIF(Data!$B600:$U600,INDEX(Pengaturan!$B$8:$B$27,L$4)))</f>
        <v>0</v>
      </c>
      <c r="M600" s="26" t="n">
        <f aca="false">IF(INDEX(Pengaturan!$B$8:$B$27,M$4)="",0,COUNTIF(Data!$B600:$U600,INDEX(Pengaturan!$B$8:$B$27,M$4)))</f>
        <v>0</v>
      </c>
      <c r="N600" s="26" t="n">
        <f aca="false">IF(INDEX(Pengaturan!$B$8:$B$27,N$4)="",0,COUNTIF(Data!$B600:$U600,INDEX(Pengaturan!$B$8:$B$27,N$4)))</f>
        <v>0</v>
      </c>
      <c r="O600" s="26" t="n">
        <f aca="false">IF(INDEX(Pengaturan!$B$8:$B$27,O$4)="",0,COUNTIF(Data!$B600:$U600,INDEX(Pengaturan!$B$8:$B$27,O$4)))</f>
        <v>0</v>
      </c>
      <c r="P600" s="26" t="n">
        <f aca="false">IF(INDEX(Pengaturan!$B$8:$B$27,P$4)="",0,COUNTIF(Data!$B600:$U600,INDEX(Pengaturan!$B$8:$B$27,P$4)))</f>
        <v>0</v>
      </c>
      <c r="Q600" s="26" t="n">
        <f aca="false">IF(INDEX(Pengaturan!$B$8:$B$27,Q$4)="",0,COUNTIF(Data!$B600:$U600,INDEX(Pengaturan!$B$8:$B$27,Q$4)))</f>
        <v>0</v>
      </c>
      <c r="R600" s="26" t="n">
        <f aca="false">IF(INDEX(Pengaturan!$B$8:$B$27,R$4)="",0,COUNTIF(Data!$B600:$U600,INDEX(Pengaturan!$B$8:$B$27,R$4)))</f>
        <v>0</v>
      </c>
      <c r="S600" s="26" t="n">
        <f aca="false">IF(INDEX(Pengaturan!$B$8:$B$27,S$4)="",0,COUNTIF(Data!$B600:$U600,INDEX(Pengaturan!$B$8:$B$27,S$4)))</f>
        <v>0</v>
      </c>
      <c r="T600" s="26" t="n">
        <f aca="false">IF(INDEX(Pengaturan!$B$8:$B$27,T$4)="",0,COUNTIF(Data!$B600:$U600,INDEX(Pengaturan!$B$8:$B$27,T$4)))</f>
        <v>0</v>
      </c>
      <c r="U600" s="26" t="n">
        <f aca="false">IF(INDEX(Pengaturan!$B$8:$B$27,U$4)="",0,COUNTIF(Data!$B600:$U600,INDEX(Pengaturan!$B$8:$B$27,U$4)))</f>
        <v>0</v>
      </c>
      <c r="V600" s="26" t="n">
        <f aca="false">COUNTA(Data!$B600:$U600)</f>
        <v>0</v>
      </c>
      <c r="W600" s="27" t="str">
        <f aca="false">IF(V600=0,"",IF(V600&lt;&gt;Hasil!$C$4,"Data kosong/tidak lengkap",IF(SUM(B600:U600)&lt;&gt;V600,"Kategori tidak dikenal","OK")))</f>
        <v/>
      </c>
      <c r="X600" s="26" t="n">
        <f aca="false">IF(OR(W600="",W600="OK"),0,1)</f>
        <v>0</v>
      </c>
    </row>
    <row r="601" customFormat="false" ht="15" hidden="false" customHeight="false" outlineLevel="0" collapsed="false">
      <c r="A601" s="26" t="n">
        <f aca="false">Data!A601</f>
        <v>596</v>
      </c>
      <c r="B601" s="26" t="n">
        <f aca="false">IF(INDEX(Pengaturan!$B$8:$B$27,B$4)="",0,COUNTIF(Data!$B601:$U601,INDEX(Pengaturan!$B$8:$B$27,B$4)))</f>
        <v>0</v>
      </c>
      <c r="C601" s="26" t="n">
        <f aca="false">IF(INDEX(Pengaturan!$B$8:$B$27,C$4)="",0,COUNTIF(Data!$B601:$U601,INDEX(Pengaturan!$B$8:$B$27,C$4)))</f>
        <v>0</v>
      </c>
      <c r="D601" s="26" t="n">
        <f aca="false">IF(INDEX(Pengaturan!$B$8:$B$27,D$4)="",0,COUNTIF(Data!$B601:$U601,INDEX(Pengaturan!$B$8:$B$27,D$4)))</f>
        <v>0</v>
      </c>
      <c r="E601" s="26" t="n">
        <f aca="false">IF(INDEX(Pengaturan!$B$8:$B$27,E$4)="",0,COUNTIF(Data!$B601:$U601,INDEX(Pengaturan!$B$8:$B$27,E$4)))</f>
        <v>0</v>
      </c>
      <c r="F601" s="26" t="n">
        <f aca="false">IF(INDEX(Pengaturan!$B$8:$B$27,F$4)="",0,COUNTIF(Data!$B601:$U601,INDEX(Pengaturan!$B$8:$B$27,F$4)))</f>
        <v>0</v>
      </c>
      <c r="G601" s="26" t="n">
        <f aca="false">IF(INDEX(Pengaturan!$B$8:$B$27,G$4)="",0,COUNTIF(Data!$B601:$U601,INDEX(Pengaturan!$B$8:$B$27,G$4)))</f>
        <v>0</v>
      </c>
      <c r="H601" s="26" t="n">
        <f aca="false">IF(INDEX(Pengaturan!$B$8:$B$27,H$4)="",0,COUNTIF(Data!$B601:$U601,INDEX(Pengaturan!$B$8:$B$27,H$4)))</f>
        <v>0</v>
      </c>
      <c r="I601" s="26" t="n">
        <f aca="false">IF(INDEX(Pengaturan!$B$8:$B$27,I$4)="",0,COUNTIF(Data!$B601:$U601,INDEX(Pengaturan!$B$8:$B$27,I$4)))</f>
        <v>0</v>
      </c>
      <c r="J601" s="26" t="n">
        <f aca="false">IF(INDEX(Pengaturan!$B$8:$B$27,J$4)="",0,COUNTIF(Data!$B601:$U601,INDEX(Pengaturan!$B$8:$B$27,J$4)))</f>
        <v>0</v>
      </c>
      <c r="K601" s="26" t="n">
        <f aca="false">IF(INDEX(Pengaturan!$B$8:$B$27,K$4)="",0,COUNTIF(Data!$B601:$U601,INDEX(Pengaturan!$B$8:$B$27,K$4)))</f>
        <v>0</v>
      </c>
      <c r="L601" s="26" t="n">
        <f aca="false">IF(INDEX(Pengaturan!$B$8:$B$27,L$4)="",0,COUNTIF(Data!$B601:$U601,INDEX(Pengaturan!$B$8:$B$27,L$4)))</f>
        <v>0</v>
      </c>
      <c r="M601" s="26" t="n">
        <f aca="false">IF(INDEX(Pengaturan!$B$8:$B$27,M$4)="",0,COUNTIF(Data!$B601:$U601,INDEX(Pengaturan!$B$8:$B$27,M$4)))</f>
        <v>0</v>
      </c>
      <c r="N601" s="26" t="n">
        <f aca="false">IF(INDEX(Pengaturan!$B$8:$B$27,N$4)="",0,COUNTIF(Data!$B601:$U601,INDEX(Pengaturan!$B$8:$B$27,N$4)))</f>
        <v>0</v>
      </c>
      <c r="O601" s="26" t="n">
        <f aca="false">IF(INDEX(Pengaturan!$B$8:$B$27,O$4)="",0,COUNTIF(Data!$B601:$U601,INDEX(Pengaturan!$B$8:$B$27,O$4)))</f>
        <v>0</v>
      </c>
      <c r="P601" s="26" t="n">
        <f aca="false">IF(INDEX(Pengaturan!$B$8:$B$27,P$4)="",0,COUNTIF(Data!$B601:$U601,INDEX(Pengaturan!$B$8:$B$27,P$4)))</f>
        <v>0</v>
      </c>
      <c r="Q601" s="26" t="n">
        <f aca="false">IF(INDEX(Pengaturan!$B$8:$B$27,Q$4)="",0,COUNTIF(Data!$B601:$U601,INDEX(Pengaturan!$B$8:$B$27,Q$4)))</f>
        <v>0</v>
      </c>
      <c r="R601" s="26" t="n">
        <f aca="false">IF(INDEX(Pengaturan!$B$8:$B$27,R$4)="",0,COUNTIF(Data!$B601:$U601,INDEX(Pengaturan!$B$8:$B$27,R$4)))</f>
        <v>0</v>
      </c>
      <c r="S601" s="26" t="n">
        <f aca="false">IF(INDEX(Pengaturan!$B$8:$B$27,S$4)="",0,COUNTIF(Data!$B601:$U601,INDEX(Pengaturan!$B$8:$B$27,S$4)))</f>
        <v>0</v>
      </c>
      <c r="T601" s="26" t="n">
        <f aca="false">IF(INDEX(Pengaturan!$B$8:$B$27,T$4)="",0,COUNTIF(Data!$B601:$U601,INDEX(Pengaturan!$B$8:$B$27,T$4)))</f>
        <v>0</v>
      </c>
      <c r="U601" s="26" t="n">
        <f aca="false">IF(INDEX(Pengaturan!$B$8:$B$27,U$4)="",0,COUNTIF(Data!$B601:$U601,INDEX(Pengaturan!$B$8:$B$27,U$4)))</f>
        <v>0</v>
      </c>
      <c r="V601" s="26" t="n">
        <f aca="false">COUNTA(Data!$B601:$U601)</f>
        <v>0</v>
      </c>
      <c r="W601" s="27" t="str">
        <f aca="false">IF(V601=0,"",IF(V601&lt;&gt;Hasil!$C$4,"Data kosong/tidak lengkap",IF(SUM(B601:U601)&lt;&gt;V601,"Kategori tidak dikenal","OK")))</f>
        <v/>
      </c>
      <c r="X601" s="26" t="n">
        <f aca="false">IF(OR(W601="",W601="OK"),0,1)</f>
        <v>0</v>
      </c>
    </row>
    <row r="602" customFormat="false" ht="15" hidden="false" customHeight="false" outlineLevel="0" collapsed="false">
      <c r="A602" s="26" t="n">
        <f aca="false">Data!A602</f>
        <v>597</v>
      </c>
      <c r="B602" s="26" t="n">
        <f aca="false">IF(INDEX(Pengaturan!$B$8:$B$27,B$4)="",0,COUNTIF(Data!$B602:$U602,INDEX(Pengaturan!$B$8:$B$27,B$4)))</f>
        <v>0</v>
      </c>
      <c r="C602" s="26" t="n">
        <f aca="false">IF(INDEX(Pengaturan!$B$8:$B$27,C$4)="",0,COUNTIF(Data!$B602:$U602,INDEX(Pengaturan!$B$8:$B$27,C$4)))</f>
        <v>0</v>
      </c>
      <c r="D602" s="26" t="n">
        <f aca="false">IF(INDEX(Pengaturan!$B$8:$B$27,D$4)="",0,COUNTIF(Data!$B602:$U602,INDEX(Pengaturan!$B$8:$B$27,D$4)))</f>
        <v>0</v>
      </c>
      <c r="E602" s="26" t="n">
        <f aca="false">IF(INDEX(Pengaturan!$B$8:$B$27,E$4)="",0,COUNTIF(Data!$B602:$U602,INDEX(Pengaturan!$B$8:$B$27,E$4)))</f>
        <v>0</v>
      </c>
      <c r="F602" s="26" t="n">
        <f aca="false">IF(INDEX(Pengaturan!$B$8:$B$27,F$4)="",0,COUNTIF(Data!$B602:$U602,INDEX(Pengaturan!$B$8:$B$27,F$4)))</f>
        <v>0</v>
      </c>
      <c r="G602" s="26" t="n">
        <f aca="false">IF(INDEX(Pengaturan!$B$8:$B$27,G$4)="",0,COUNTIF(Data!$B602:$U602,INDEX(Pengaturan!$B$8:$B$27,G$4)))</f>
        <v>0</v>
      </c>
      <c r="H602" s="26" t="n">
        <f aca="false">IF(INDEX(Pengaturan!$B$8:$B$27,H$4)="",0,COUNTIF(Data!$B602:$U602,INDEX(Pengaturan!$B$8:$B$27,H$4)))</f>
        <v>0</v>
      </c>
      <c r="I602" s="26" t="n">
        <f aca="false">IF(INDEX(Pengaturan!$B$8:$B$27,I$4)="",0,COUNTIF(Data!$B602:$U602,INDEX(Pengaturan!$B$8:$B$27,I$4)))</f>
        <v>0</v>
      </c>
      <c r="J602" s="26" t="n">
        <f aca="false">IF(INDEX(Pengaturan!$B$8:$B$27,J$4)="",0,COUNTIF(Data!$B602:$U602,INDEX(Pengaturan!$B$8:$B$27,J$4)))</f>
        <v>0</v>
      </c>
      <c r="K602" s="26" t="n">
        <f aca="false">IF(INDEX(Pengaturan!$B$8:$B$27,K$4)="",0,COUNTIF(Data!$B602:$U602,INDEX(Pengaturan!$B$8:$B$27,K$4)))</f>
        <v>0</v>
      </c>
      <c r="L602" s="26" t="n">
        <f aca="false">IF(INDEX(Pengaturan!$B$8:$B$27,L$4)="",0,COUNTIF(Data!$B602:$U602,INDEX(Pengaturan!$B$8:$B$27,L$4)))</f>
        <v>0</v>
      </c>
      <c r="M602" s="26" t="n">
        <f aca="false">IF(INDEX(Pengaturan!$B$8:$B$27,M$4)="",0,COUNTIF(Data!$B602:$U602,INDEX(Pengaturan!$B$8:$B$27,M$4)))</f>
        <v>0</v>
      </c>
      <c r="N602" s="26" t="n">
        <f aca="false">IF(INDEX(Pengaturan!$B$8:$B$27,N$4)="",0,COUNTIF(Data!$B602:$U602,INDEX(Pengaturan!$B$8:$B$27,N$4)))</f>
        <v>0</v>
      </c>
      <c r="O602" s="26" t="n">
        <f aca="false">IF(INDEX(Pengaturan!$B$8:$B$27,O$4)="",0,COUNTIF(Data!$B602:$U602,INDEX(Pengaturan!$B$8:$B$27,O$4)))</f>
        <v>0</v>
      </c>
      <c r="P602" s="26" t="n">
        <f aca="false">IF(INDEX(Pengaturan!$B$8:$B$27,P$4)="",0,COUNTIF(Data!$B602:$U602,INDEX(Pengaturan!$B$8:$B$27,P$4)))</f>
        <v>0</v>
      </c>
      <c r="Q602" s="26" t="n">
        <f aca="false">IF(INDEX(Pengaturan!$B$8:$B$27,Q$4)="",0,COUNTIF(Data!$B602:$U602,INDEX(Pengaturan!$B$8:$B$27,Q$4)))</f>
        <v>0</v>
      </c>
      <c r="R602" s="26" t="n">
        <f aca="false">IF(INDEX(Pengaturan!$B$8:$B$27,R$4)="",0,COUNTIF(Data!$B602:$U602,INDEX(Pengaturan!$B$8:$B$27,R$4)))</f>
        <v>0</v>
      </c>
      <c r="S602" s="26" t="n">
        <f aca="false">IF(INDEX(Pengaturan!$B$8:$B$27,S$4)="",0,COUNTIF(Data!$B602:$U602,INDEX(Pengaturan!$B$8:$B$27,S$4)))</f>
        <v>0</v>
      </c>
      <c r="T602" s="26" t="n">
        <f aca="false">IF(INDEX(Pengaturan!$B$8:$B$27,T$4)="",0,COUNTIF(Data!$B602:$U602,INDEX(Pengaturan!$B$8:$B$27,T$4)))</f>
        <v>0</v>
      </c>
      <c r="U602" s="26" t="n">
        <f aca="false">IF(INDEX(Pengaturan!$B$8:$B$27,U$4)="",0,COUNTIF(Data!$B602:$U602,INDEX(Pengaturan!$B$8:$B$27,U$4)))</f>
        <v>0</v>
      </c>
      <c r="V602" s="26" t="n">
        <f aca="false">COUNTA(Data!$B602:$U602)</f>
        <v>0</v>
      </c>
      <c r="W602" s="27" t="str">
        <f aca="false">IF(V602=0,"",IF(V602&lt;&gt;Hasil!$C$4,"Data kosong/tidak lengkap",IF(SUM(B602:U602)&lt;&gt;V602,"Kategori tidak dikenal","OK")))</f>
        <v/>
      </c>
      <c r="X602" s="26" t="n">
        <f aca="false">IF(OR(W602="",W602="OK"),0,1)</f>
        <v>0</v>
      </c>
    </row>
    <row r="603" customFormat="false" ht="15" hidden="false" customHeight="false" outlineLevel="0" collapsed="false">
      <c r="A603" s="26" t="n">
        <f aca="false">Data!A603</f>
        <v>598</v>
      </c>
      <c r="B603" s="26" t="n">
        <f aca="false">IF(INDEX(Pengaturan!$B$8:$B$27,B$4)="",0,COUNTIF(Data!$B603:$U603,INDEX(Pengaturan!$B$8:$B$27,B$4)))</f>
        <v>0</v>
      </c>
      <c r="C603" s="26" t="n">
        <f aca="false">IF(INDEX(Pengaturan!$B$8:$B$27,C$4)="",0,COUNTIF(Data!$B603:$U603,INDEX(Pengaturan!$B$8:$B$27,C$4)))</f>
        <v>0</v>
      </c>
      <c r="D603" s="26" t="n">
        <f aca="false">IF(INDEX(Pengaturan!$B$8:$B$27,D$4)="",0,COUNTIF(Data!$B603:$U603,INDEX(Pengaturan!$B$8:$B$27,D$4)))</f>
        <v>0</v>
      </c>
      <c r="E603" s="26" t="n">
        <f aca="false">IF(INDEX(Pengaturan!$B$8:$B$27,E$4)="",0,COUNTIF(Data!$B603:$U603,INDEX(Pengaturan!$B$8:$B$27,E$4)))</f>
        <v>0</v>
      </c>
      <c r="F603" s="26" t="n">
        <f aca="false">IF(INDEX(Pengaturan!$B$8:$B$27,F$4)="",0,COUNTIF(Data!$B603:$U603,INDEX(Pengaturan!$B$8:$B$27,F$4)))</f>
        <v>0</v>
      </c>
      <c r="G603" s="26" t="n">
        <f aca="false">IF(INDEX(Pengaturan!$B$8:$B$27,G$4)="",0,COUNTIF(Data!$B603:$U603,INDEX(Pengaturan!$B$8:$B$27,G$4)))</f>
        <v>0</v>
      </c>
      <c r="H603" s="26" t="n">
        <f aca="false">IF(INDEX(Pengaturan!$B$8:$B$27,H$4)="",0,COUNTIF(Data!$B603:$U603,INDEX(Pengaturan!$B$8:$B$27,H$4)))</f>
        <v>0</v>
      </c>
      <c r="I603" s="26" t="n">
        <f aca="false">IF(INDEX(Pengaturan!$B$8:$B$27,I$4)="",0,COUNTIF(Data!$B603:$U603,INDEX(Pengaturan!$B$8:$B$27,I$4)))</f>
        <v>0</v>
      </c>
      <c r="J603" s="26" t="n">
        <f aca="false">IF(INDEX(Pengaturan!$B$8:$B$27,J$4)="",0,COUNTIF(Data!$B603:$U603,INDEX(Pengaturan!$B$8:$B$27,J$4)))</f>
        <v>0</v>
      </c>
      <c r="K603" s="26" t="n">
        <f aca="false">IF(INDEX(Pengaturan!$B$8:$B$27,K$4)="",0,COUNTIF(Data!$B603:$U603,INDEX(Pengaturan!$B$8:$B$27,K$4)))</f>
        <v>0</v>
      </c>
      <c r="L603" s="26" t="n">
        <f aca="false">IF(INDEX(Pengaturan!$B$8:$B$27,L$4)="",0,COUNTIF(Data!$B603:$U603,INDEX(Pengaturan!$B$8:$B$27,L$4)))</f>
        <v>0</v>
      </c>
      <c r="M603" s="26" t="n">
        <f aca="false">IF(INDEX(Pengaturan!$B$8:$B$27,M$4)="",0,COUNTIF(Data!$B603:$U603,INDEX(Pengaturan!$B$8:$B$27,M$4)))</f>
        <v>0</v>
      </c>
      <c r="N603" s="26" t="n">
        <f aca="false">IF(INDEX(Pengaturan!$B$8:$B$27,N$4)="",0,COUNTIF(Data!$B603:$U603,INDEX(Pengaturan!$B$8:$B$27,N$4)))</f>
        <v>0</v>
      </c>
      <c r="O603" s="26" t="n">
        <f aca="false">IF(INDEX(Pengaturan!$B$8:$B$27,O$4)="",0,COUNTIF(Data!$B603:$U603,INDEX(Pengaturan!$B$8:$B$27,O$4)))</f>
        <v>0</v>
      </c>
      <c r="P603" s="26" t="n">
        <f aca="false">IF(INDEX(Pengaturan!$B$8:$B$27,P$4)="",0,COUNTIF(Data!$B603:$U603,INDEX(Pengaturan!$B$8:$B$27,P$4)))</f>
        <v>0</v>
      </c>
      <c r="Q603" s="26" t="n">
        <f aca="false">IF(INDEX(Pengaturan!$B$8:$B$27,Q$4)="",0,COUNTIF(Data!$B603:$U603,INDEX(Pengaturan!$B$8:$B$27,Q$4)))</f>
        <v>0</v>
      </c>
      <c r="R603" s="26" t="n">
        <f aca="false">IF(INDEX(Pengaturan!$B$8:$B$27,R$4)="",0,COUNTIF(Data!$B603:$U603,INDEX(Pengaturan!$B$8:$B$27,R$4)))</f>
        <v>0</v>
      </c>
      <c r="S603" s="26" t="n">
        <f aca="false">IF(INDEX(Pengaturan!$B$8:$B$27,S$4)="",0,COUNTIF(Data!$B603:$U603,INDEX(Pengaturan!$B$8:$B$27,S$4)))</f>
        <v>0</v>
      </c>
      <c r="T603" s="26" t="n">
        <f aca="false">IF(INDEX(Pengaturan!$B$8:$B$27,T$4)="",0,COUNTIF(Data!$B603:$U603,INDEX(Pengaturan!$B$8:$B$27,T$4)))</f>
        <v>0</v>
      </c>
      <c r="U603" s="26" t="n">
        <f aca="false">IF(INDEX(Pengaturan!$B$8:$B$27,U$4)="",0,COUNTIF(Data!$B603:$U603,INDEX(Pengaturan!$B$8:$B$27,U$4)))</f>
        <v>0</v>
      </c>
      <c r="V603" s="26" t="n">
        <f aca="false">COUNTA(Data!$B603:$U603)</f>
        <v>0</v>
      </c>
      <c r="W603" s="27" t="str">
        <f aca="false">IF(V603=0,"",IF(V603&lt;&gt;Hasil!$C$4,"Data kosong/tidak lengkap",IF(SUM(B603:U603)&lt;&gt;V603,"Kategori tidak dikenal","OK")))</f>
        <v/>
      </c>
      <c r="X603" s="26" t="n">
        <f aca="false">IF(OR(W603="",W603="OK"),0,1)</f>
        <v>0</v>
      </c>
    </row>
    <row r="604" customFormat="false" ht="15" hidden="false" customHeight="false" outlineLevel="0" collapsed="false">
      <c r="A604" s="26" t="n">
        <f aca="false">Data!A604</f>
        <v>599</v>
      </c>
      <c r="B604" s="26" t="n">
        <f aca="false">IF(INDEX(Pengaturan!$B$8:$B$27,B$4)="",0,COUNTIF(Data!$B604:$U604,INDEX(Pengaturan!$B$8:$B$27,B$4)))</f>
        <v>0</v>
      </c>
      <c r="C604" s="26" t="n">
        <f aca="false">IF(INDEX(Pengaturan!$B$8:$B$27,C$4)="",0,COUNTIF(Data!$B604:$U604,INDEX(Pengaturan!$B$8:$B$27,C$4)))</f>
        <v>0</v>
      </c>
      <c r="D604" s="26" t="n">
        <f aca="false">IF(INDEX(Pengaturan!$B$8:$B$27,D$4)="",0,COUNTIF(Data!$B604:$U604,INDEX(Pengaturan!$B$8:$B$27,D$4)))</f>
        <v>0</v>
      </c>
      <c r="E604" s="26" t="n">
        <f aca="false">IF(INDEX(Pengaturan!$B$8:$B$27,E$4)="",0,COUNTIF(Data!$B604:$U604,INDEX(Pengaturan!$B$8:$B$27,E$4)))</f>
        <v>0</v>
      </c>
      <c r="F604" s="26" t="n">
        <f aca="false">IF(INDEX(Pengaturan!$B$8:$B$27,F$4)="",0,COUNTIF(Data!$B604:$U604,INDEX(Pengaturan!$B$8:$B$27,F$4)))</f>
        <v>0</v>
      </c>
      <c r="G604" s="26" t="n">
        <f aca="false">IF(INDEX(Pengaturan!$B$8:$B$27,G$4)="",0,COUNTIF(Data!$B604:$U604,INDEX(Pengaturan!$B$8:$B$27,G$4)))</f>
        <v>0</v>
      </c>
      <c r="H604" s="26" t="n">
        <f aca="false">IF(INDEX(Pengaturan!$B$8:$B$27,H$4)="",0,COUNTIF(Data!$B604:$U604,INDEX(Pengaturan!$B$8:$B$27,H$4)))</f>
        <v>0</v>
      </c>
      <c r="I604" s="26" t="n">
        <f aca="false">IF(INDEX(Pengaturan!$B$8:$B$27,I$4)="",0,COUNTIF(Data!$B604:$U604,INDEX(Pengaturan!$B$8:$B$27,I$4)))</f>
        <v>0</v>
      </c>
      <c r="J604" s="26" t="n">
        <f aca="false">IF(INDEX(Pengaturan!$B$8:$B$27,J$4)="",0,COUNTIF(Data!$B604:$U604,INDEX(Pengaturan!$B$8:$B$27,J$4)))</f>
        <v>0</v>
      </c>
      <c r="K604" s="26" t="n">
        <f aca="false">IF(INDEX(Pengaturan!$B$8:$B$27,K$4)="",0,COUNTIF(Data!$B604:$U604,INDEX(Pengaturan!$B$8:$B$27,K$4)))</f>
        <v>0</v>
      </c>
      <c r="L604" s="26" t="n">
        <f aca="false">IF(INDEX(Pengaturan!$B$8:$B$27,L$4)="",0,COUNTIF(Data!$B604:$U604,INDEX(Pengaturan!$B$8:$B$27,L$4)))</f>
        <v>0</v>
      </c>
      <c r="M604" s="26" t="n">
        <f aca="false">IF(INDEX(Pengaturan!$B$8:$B$27,M$4)="",0,COUNTIF(Data!$B604:$U604,INDEX(Pengaturan!$B$8:$B$27,M$4)))</f>
        <v>0</v>
      </c>
      <c r="N604" s="26" t="n">
        <f aca="false">IF(INDEX(Pengaturan!$B$8:$B$27,N$4)="",0,COUNTIF(Data!$B604:$U604,INDEX(Pengaturan!$B$8:$B$27,N$4)))</f>
        <v>0</v>
      </c>
      <c r="O604" s="26" t="n">
        <f aca="false">IF(INDEX(Pengaturan!$B$8:$B$27,O$4)="",0,COUNTIF(Data!$B604:$U604,INDEX(Pengaturan!$B$8:$B$27,O$4)))</f>
        <v>0</v>
      </c>
      <c r="P604" s="26" t="n">
        <f aca="false">IF(INDEX(Pengaturan!$B$8:$B$27,P$4)="",0,COUNTIF(Data!$B604:$U604,INDEX(Pengaturan!$B$8:$B$27,P$4)))</f>
        <v>0</v>
      </c>
      <c r="Q604" s="26" t="n">
        <f aca="false">IF(INDEX(Pengaturan!$B$8:$B$27,Q$4)="",0,COUNTIF(Data!$B604:$U604,INDEX(Pengaturan!$B$8:$B$27,Q$4)))</f>
        <v>0</v>
      </c>
      <c r="R604" s="26" t="n">
        <f aca="false">IF(INDEX(Pengaturan!$B$8:$B$27,R$4)="",0,COUNTIF(Data!$B604:$U604,INDEX(Pengaturan!$B$8:$B$27,R$4)))</f>
        <v>0</v>
      </c>
      <c r="S604" s="26" t="n">
        <f aca="false">IF(INDEX(Pengaturan!$B$8:$B$27,S$4)="",0,COUNTIF(Data!$B604:$U604,INDEX(Pengaturan!$B$8:$B$27,S$4)))</f>
        <v>0</v>
      </c>
      <c r="T604" s="26" t="n">
        <f aca="false">IF(INDEX(Pengaturan!$B$8:$B$27,T$4)="",0,COUNTIF(Data!$B604:$U604,INDEX(Pengaturan!$B$8:$B$27,T$4)))</f>
        <v>0</v>
      </c>
      <c r="U604" s="26" t="n">
        <f aca="false">IF(INDEX(Pengaturan!$B$8:$B$27,U$4)="",0,COUNTIF(Data!$B604:$U604,INDEX(Pengaturan!$B$8:$B$27,U$4)))</f>
        <v>0</v>
      </c>
      <c r="V604" s="26" t="n">
        <f aca="false">COUNTA(Data!$B604:$U604)</f>
        <v>0</v>
      </c>
      <c r="W604" s="27" t="str">
        <f aca="false">IF(V604=0,"",IF(V604&lt;&gt;Hasil!$C$4,"Data kosong/tidak lengkap",IF(SUM(B604:U604)&lt;&gt;V604,"Kategori tidak dikenal","OK")))</f>
        <v/>
      </c>
      <c r="X604" s="26" t="n">
        <f aca="false">IF(OR(W604="",W604="OK"),0,1)</f>
        <v>0</v>
      </c>
    </row>
    <row r="605" customFormat="false" ht="15" hidden="false" customHeight="false" outlineLevel="0" collapsed="false">
      <c r="A605" s="26" t="n">
        <f aca="false">Data!A605</f>
        <v>600</v>
      </c>
      <c r="B605" s="26" t="n">
        <f aca="false">IF(INDEX(Pengaturan!$B$8:$B$27,B$4)="",0,COUNTIF(Data!$B605:$U605,INDEX(Pengaturan!$B$8:$B$27,B$4)))</f>
        <v>0</v>
      </c>
      <c r="C605" s="26" t="n">
        <f aca="false">IF(INDEX(Pengaturan!$B$8:$B$27,C$4)="",0,COUNTIF(Data!$B605:$U605,INDEX(Pengaturan!$B$8:$B$27,C$4)))</f>
        <v>0</v>
      </c>
      <c r="D605" s="26" t="n">
        <f aca="false">IF(INDEX(Pengaturan!$B$8:$B$27,D$4)="",0,COUNTIF(Data!$B605:$U605,INDEX(Pengaturan!$B$8:$B$27,D$4)))</f>
        <v>0</v>
      </c>
      <c r="E605" s="26" t="n">
        <f aca="false">IF(INDEX(Pengaturan!$B$8:$B$27,E$4)="",0,COUNTIF(Data!$B605:$U605,INDEX(Pengaturan!$B$8:$B$27,E$4)))</f>
        <v>0</v>
      </c>
      <c r="F605" s="26" t="n">
        <f aca="false">IF(INDEX(Pengaturan!$B$8:$B$27,F$4)="",0,COUNTIF(Data!$B605:$U605,INDEX(Pengaturan!$B$8:$B$27,F$4)))</f>
        <v>0</v>
      </c>
      <c r="G605" s="26" t="n">
        <f aca="false">IF(INDEX(Pengaturan!$B$8:$B$27,G$4)="",0,COUNTIF(Data!$B605:$U605,INDEX(Pengaturan!$B$8:$B$27,G$4)))</f>
        <v>0</v>
      </c>
      <c r="H605" s="26" t="n">
        <f aca="false">IF(INDEX(Pengaturan!$B$8:$B$27,H$4)="",0,COUNTIF(Data!$B605:$U605,INDEX(Pengaturan!$B$8:$B$27,H$4)))</f>
        <v>0</v>
      </c>
      <c r="I605" s="26" t="n">
        <f aca="false">IF(INDEX(Pengaturan!$B$8:$B$27,I$4)="",0,COUNTIF(Data!$B605:$U605,INDEX(Pengaturan!$B$8:$B$27,I$4)))</f>
        <v>0</v>
      </c>
      <c r="J605" s="26" t="n">
        <f aca="false">IF(INDEX(Pengaturan!$B$8:$B$27,J$4)="",0,COUNTIF(Data!$B605:$U605,INDEX(Pengaturan!$B$8:$B$27,J$4)))</f>
        <v>0</v>
      </c>
      <c r="K605" s="26" t="n">
        <f aca="false">IF(INDEX(Pengaturan!$B$8:$B$27,K$4)="",0,COUNTIF(Data!$B605:$U605,INDEX(Pengaturan!$B$8:$B$27,K$4)))</f>
        <v>0</v>
      </c>
      <c r="L605" s="26" t="n">
        <f aca="false">IF(INDEX(Pengaturan!$B$8:$B$27,L$4)="",0,COUNTIF(Data!$B605:$U605,INDEX(Pengaturan!$B$8:$B$27,L$4)))</f>
        <v>0</v>
      </c>
      <c r="M605" s="26" t="n">
        <f aca="false">IF(INDEX(Pengaturan!$B$8:$B$27,M$4)="",0,COUNTIF(Data!$B605:$U605,INDEX(Pengaturan!$B$8:$B$27,M$4)))</f>
        <v>0</v>
      </c>
      <c r="N605" s="26" t="n">
        <f aca="false">IF(INDEX(Pengaturan!$B$8:$B$27,N$4)="",0,COUNTIF(Data!$B605:$U605,INDEX(Pengaturan!$B$8:$B$27,N$4)))</f>
        <v>0</v>
      </c>
      <c r="O605" s="26" t="n">
        <f aca="false">IF(INDEX(Pengaturan!$B$8:$B$27,O$4)="",0,COUNTIF(Data!$B605:$U605,INDEX(Pengaturan!$B$8:$B$27,O$4)))</f>
        <v>0</v>
      </c>
      <c r="P605" s="26" t="n">
        <f aca="false">IF(INDEX(Pengaturan!$B$8:$B$27,P$4)="",0,COUNTIF(Data!$B605:$U605,INDEX(Pengaturan!$B$8:$B$27,P$4)))</f>
        <v>0</v>
      </c>
      <c r="Q605" s="26" t="n">
        <f aca="false">IF(INDEX(Pengaturan!$B$8:$B$27,Q$4)="",0,COUNTIF(Data!$B605:$U605,INDEX(Pengaturan!$B$8:$B$27,Q$4)))</f>
        <v>0</v>
      </c>
      <c r="R605" s="26" t="n">
        <f aca="false">IF(INDEX(Pengaturan!$B$8:$B$27,R$4)="",0,COUNTIF(Data!$B605:$U605,INDEX(Pengaturan!$B$8:$B$27,R$4)))</f>
        <v>0</v>
      </c>
      <c r="S605" s="26" t="n">
        <f aca="false">IF(INDEX(Pengaturan!$B$8:$B$27,S$4)="",0,COUNTIF(Data!$B605:$U605,INDEX(Pengaturan!$B$8:$B$27,S$4)))</f>
        <v>0</v>
      </c>
      <c r="T605" s="26" t="n">
        <f aca="false">IF(INDEX(Pengaturan!$B$8:$B$27,T$4)="",0,COUNTIF(Data!$B605:$U605,INDEX(Pengaturan!$B$8:$B$27,T$4)))</f>
        <v>0</v>
      </c>
      <c r="U605" s="26" t="n">
        <f aca="false">IF(INDEX(Pengaturan!$B$8:$B$27,U$4)="",0,COUNTIF(Data!$B605:$U605,INDEX(Pengaturan!$B$8:$B$27,U$4)))</f>
        <v>0</v>
      </c>
      <c r="V605" s="26" t="n">
        <f aca="false">COUNTA(Data!$B605:$U605)</f>
        <v>0</v>
      </c>
      <c r="W605" s="27" t="str">
        <f aca="false">IF(V605=0,"",IF(V605&lt;&gt;Hasil!$C$4,"Data kosong/tidak lengkap",IF(SUM(B605:U605)&lt;&gt;V605,"Kategori tidak dikenal","OK")))</f>
        <v/>
      </c>
      <c r="X605" s="26" t="n">
        <f aca="false">IF(OR(W605="",W605="OK"),0,1)</f>
        <v>0</v>
      </c>
    </row>
    <row r="606" customFormat="false" ht="15" hidden="false" customHeight="false" outlineLevel="0" collapsed="false">
      <c r="A606" s="26" t="n">
        <f aca="false">Data!A606</f>
        <v>601</v>
      </c>
      <c r="B606" s="26" t="n">
        <f aca="false">IF(INDEX(Pengaturan!$B$8:$B$27,B$4)="",0,COUNTIF(Data!$B606:$U606,INDEX(Pengaturan!$B$8:$B$27,B$4)))</f>
        <v>0</v>
      </c>
      <c r="C606" s="26" t="n">
        <f aca="false">IF(INDEX(Pengaturan!$B$8:$B$27,C$4)="",0,COUNTIF(Data!$B606:$U606,INDEX(Pengaturan!$B$8:$B$27,C$4)))</f>
        <v>0</v>
      </c>
      <c r="D606" s="26" t="n">
        <f aca="false">IF(INDEX(Pengaturan!$B$8:$B$27,D$4)="",0,COUNTIF(Data!$B606:$U606,INDEX(Pengaturan!$B$8:$B$27,D$4)))</f>
        <v>0</v>
      </c>
      <c r="E606" s="26" t="n">
        <f aca="false">IF(INDEX(Pengaturan!$B$8:$B$27,E$4)="",0,COUNTIF(Data!$B606:$U606,INDEX(Pengaturan!$B$8:$B$27,E$4)))</f>
        <v>0</v>
      </c>
      <c r="F606" s="26" t="n">
        <f aca="false">IF(INDEX(Pengaturan!$B$8:$B$27,F$4)="",0,COUNTIF(Data!$B606:$U606,INDEX(Pengaturan!$B$8:$B$27,F$4)))</f>
        <v>0</v>
      </c>
      <c r="G606" s="26" t="n">
        <f aca="false">IF(INDEX(Pengaturan!$B$8:$B$27,G$4)="",0,COUNTIF(Data!$B606:$U606,INDEX(Pengaturan!$B$8:$B$27,G$4)))</f>
        <v>0</v>
      </c>
      <c r="H606" s="26" t="n">
        <f aca="false">IF(INDEX(Pengaturan!$B$8:$B$27,H$4)="",0,COUNTIF(Data!$B606:$U606,INDEX(Pengaturan!$B$8:$B$27,H$4)))</f>
        <v>0</v>
      </c>
      <c r="I606" s="26" t="n">
        <f aca="false">IF(INDEX(Pengaturan!$B$8:$B$27,I$4)="",0,COUNTIF(Data!$B606:$U606,INDEX(Pengaturan!$B$8:$B$27,I$4)))</f>
        <v>0</v>
      </c>
      <c r="J606" s="26" t="n">
        <f aca="false">IF(INDEX(Pengaturan!$B$8:$B$27,J$4)="",0,COUNTIF(Data!$B606:$U606,INDEX(Pengaturan!$B$8:$B$27,J$4)))</f>
        <v>0</v>
      </c>
      <c r="K606" s="26" t="n">
        <f aca="false">IF(INDEX(Pengaturan!$B$8:$B$27,K$4)="",0,COUNTIF(Data!$B606:$U606,INDEX(Pengaturan!$B$8:$B$27,K$4)))</f>
        <v>0</v>
      </c>
      <c r="L606" s="26" t="n">
        <f aca="false">IF(INDEX(Pengaturan!$B$8:$B$27,L$4)="",0,COUNTIF(Data!$B606:$U606,INDEX(Pengaturan!$B$8:$B$27,L$4)))</f>
        <v>0</v>
      </c>
      <c r="M606" s="26" t="n">
        <f aca="false">IF(INDEX(Pengaturan!$B$8:$B$27,M$4)="",0,COUNTIF(Data!$B606:$U606,INDEX(Pengaturan!$B$8:$B$27,M$4)))</f>
        <v>0</v>
      </c>
      <c r="N606" s="26" t="n">
        <f aca="false">IF(INDEX(Pengaturan!$B$8:$B$27,N$4)="",0,COUNTIF(Data!$B606:$U606,INDEX(Pengaturan!$B$8:$B$27,N$4)))</f>
        <v>0</v>
      </c>
      <c r="O606" s="26" t="n">
        <f aca="false">IF(INDEX(Pengaturan!$B$8:$B$27,O$4)="",0,COUNTIF(Data!$B606:$U606,INDEX(Pengaturan!$B$8:$B$27,O$4)))</f>
        <v>0</v>
      </c>
      <c r="P606" s="26" t="n">
        <f aca="false">IF(INDEX(Pengaturan!$B$8:$B$27,P$4)="",0,COUNTIF(Data!$B606:$U606,INDEX(Pengaturan!$B$8:$B$27,P$4)))</f>
        <v>0</v>
      </c>
      <c r="Q606" s="26" t="n">
        <f aca="false">IF(INDEX(Pengaturan!$B$8:$B$27,Q$4)="",0,COUNTIF(Data!$B606:$U606,INDEX(Pengaturan!$B$8:$B$27,Q$4)))</f>
        <v>0</v>
      </c>
      <c r="R606" s="26" t="n">
        <f aca="false">IF(INDEX(Pengaturan!$B$8:$B$27,R$4)="",0,COUNTIF(Data!$B606:$U606,INDEX(Pengaturan!$B$8:$B$27,R$4)))</f>
        <v>0</v>
      </c>
      <c r="S606" s="26" t="n">
        <f aca="false">IF(INDEX(Pengaturan!$B$8:$B$27,S$4)="",0,COUNTIF(Data!$B606:$U606,INDEX(Pengaturan!$B$8:$B$27,S$4)))</f>
        <v>0</v>
      </c>
      <c r="T606" s="26" t="n">
        <f aca="false">IF(INDEX(Pengaturan!$B$8:$B$27,T$4)="",0,COUNTIF(Data!$B606:$U606,INDEX(Pengaturan!$B$8:$B$27,T$4)))</f>
        <v>0</v>
      </c>
      <c r="U606" s="26" t="n">
        <f aca="false">IF(INDEX(Pengaturan!$B$8:$B$27,U$4)="",0,COUNTIF(Data!$B606:$U606,INDEX(Pengaturan!$B$8:$B$27,U$4)))</f>
        <v>0</v>
      </c>
      <c r="V606" s="26" t="n">
        <f aca="false">COUNTA(Data!$B606:$U606)</f>
        <v>0</v>
      </c>
      <c r="W606" s="27" t="str">
        <f aca="false">IF(V606=0,"",IF(V606&lt;&gt;Hasil!$C$4,"Data kosong/tidak lengkap",IF(SUM(B606:U606)&lt;&gt;V606,"Kategori tidak dikenal","OK")))</f>
        <v/>
      </c>
      <c r="X606" s="26" t="n">
        <f aca="false">IF(OR(W606="",W606="OK"),0,1)</f>
        <v>0</v>
      </c>
    </row>
    <row r="607" customFormat="false" ht="15" hidden="false" customHeight="false" outlineLevel="0" collapsed="false">
      <c r="A607" s="26" t="n">
        <f aca="false">Data!A607</f>
        <v>602</v>
      </c>
      <c r="B607" s="26" t="n">
        <f aca="false">IF(INDEX(Pengaturan!$B$8:$B$27,B$4)="",0,COUNTIF(Data!$B607:$U607,INDEX(Pengaturan!$B$8:$B$27,B$4)))</f>
        <v>0</v>
      </c>
      <c r="C607" s="26" t="n">
        <f aca="false">IF(INDEX(Pengaturan!$B$8:$B$27,C$4)="",0,COUNTIF(Data!$B607:$U607,INDEX(Pengaturan!$B$8:$B$27,C$4)))</f>
        <v>0</v>
      </c>
      <c r="D607" s="26" t="n">
        <f aca="false">IF(INDEX(Pengaturan!$B$8:$B$27,D$4)="",0,COUNTIF(Data!$B607:$U607,INDEX(Pengaturan!$B$8:$B$27,D$4)))</f>
        <v>0</v>
      </c>
      <c r="E607" s="26" t="n">
        <f aca="false">IF(INDEX(Pengaturan!$B$8:$B$27,E$4)="",0,COUNTIF(Data!$B607:$U607,INDEX(Pengaturan!$B$8:$B$27,E$4)))</f>
        <v>0</v>
      </c>
      <c r="F607" s="26" t="n">
        <f aca="false">IF(INDEX(Pengaturan!$B$8:$B$27,F$4)="",0,COUNTIF(Data!$B607:$U607,INDEX(Pengaturan!$B$8:$B$27,F$4)))</f>
        <v>0</v>
      </c>
      <c r="G607" s="26" t="n">
        <f aca="false">IF(INDEX(Pengaturan!$B$8:$B$27,G$4)="",0,COUNTIF(Data!$B607:$U607,INDEX(Pengaturan!$B$8:$B$27,G$4)))</f>
        <v>0</v>
      </c>
      <c r="H607" s="26" t="n">
        <f aca="false">IF(INDEX(Pengaturan!$B$8:$B$27,H$4)="",0,COUNTIF(Data!$B607:$U607,INDEX(Pengaturan!$B$8:$B$27,H$4)))</f>
        <v>0</v>
      </c>
      <c r="I607" s="26" t="n">
        <f aca="false">IF(INDEX(Pengaturan!$B$8:$B$27,I$4)="",0,COUNTIF(Data!$B607:$U607,INDEX(Pengaturan!$B$8:$B$27,I$4)))</f>
        <v>0</v>
      </c>
      <c r="J607" s="26" t="n">
        <f aca="false">IF(INDEX(Pengaturan!$B$8:$B$27,J$4)="",0,COUNTIF(Data!$B607:$U607,INDEX(Pengaturan!$B$8:$B$27,J$4)))</f>
        <v>0</v>
      </c>
      <c r="K607" s="26" t="n">
        <f aca="false">IF(INDEX(Pengaturan!$B$8:$B$27,K$4)="",0,COUNTIF(Data!$B607:$U607,INDEX(Pengaturan!$B$8:$B$27,K$4)))</f>
        <v>0</v>
      </c>
      <c r="L607" s="26" t="n">
        <f aca="false">IF(INDEX(Pengaturan!$B$8:$B$27,L$4)="",0,COUNTIF(Data!$B607:$U607,INDEX(Pengaturan!$B$8:$B$27,L$4)))</f>
        <v>0</v>
      </c>
      <c r="M607" s="26" t="n">
        <f aca="false">IF(INDEX(Pengaturan!$B$8:$B$27,M$4)="",0,COUNTIF(Data!$B607:$U607,INDEX(Pengaturan!$B$8:$B$27,M$4)))</f>
        <v>0</v>
      </c>
      <c r="N607" s="26" t="n">
        <f aca="false">IF(INDEX(Pengaturan!$B$8:$B$27,N$4)="",0,COUNTIF(Data!$B607:$U607,INDEX(Pengaturan!$B$8:$B$27,N$4)))</f>
        <v>0</v>
      </c>
      <c r="O607" s="26" t="n">
        <f aca="false">IF(INDEX(Pengaturan!$B$8:$B$27,O$4)="",0,COUNTIF(Data!$B607:$U607,INDEX(Pengaturan!$B$8:$B$27,O$4)))</f>
        <v>0</v>
      </c>
      <c r="P607" s="26" t="n">
        <f aca="false">IF(INDEX(Pengaturan!$B$8:$B$27,P$4)="",0,COUNTIF(Data!$B607:$U607,INDEX(Pengaturan!$B$8:$B$27,P$4)))</f>
        <v>0</v>
      </c>
      <c r="Q607" s="26" t="n">
        <f aca="false">IF(INDEX(Pengaturan!$B$8:$B$27,Q$4)="",0,COUNTIF(Data!$B607:$U607,INDEX(Pengaturan!$B$8:$B$27,Q$4)))</f>
        <v>0</v>
      </c>
      <c r="R607" s="26" t="n">
        <f aca="false">IF(INDEX(Pengaturan!$B$8:$B$27,R$4)="",0,COUNTIF(Data!$B607:$U607,INDEX(Pengaturan!$B$8:$B$27,R$4)))</f>
        <v>0</v>
      </c>
      <c r="S607" s="26" t="n">
        <f aca="false">IF(INDEX(Pengaturan!$B$8:$B$27,S$4)="",0,COUNTIF(Data!$B607:$U607,INDEX(Pengaturan!$B$8:$B$27,S$4)))</f>
        <v>0</v>
      </c>
      <c r="T607" s="26" t="n">
        <f aca="false">IF(INDEX(Pengaturan!$B$8:$B$27,T$4)="",0,COUNTIF(Data!$B607:$U607,INDEX(Pengaturan!$B$8:$B$27,T$4)))</f>
        <v>0</v>
      </c>
      <c r="U607" s="26" t="n">
        <f aca="false">IF(INDEX(Pengaturan!$B$8:$B$27,U$4)="",0,COUNTIF(Data!$B607:$U607,INDEX(Pengaturan!$B$8:$B$27,U$4)))</f>
        <v>0</v>
      </c>
      <c r="V607" s="26" t="n">
        <f aca="false">COUNTA(Data!$B607:$U607)</f>
        <v>0</v>
      </c>
      <c r="W607" s="27" t="str">
        <f aca="false">IF(V607=0,"",IF(V607&lt;&gt;Hasil!$C$4,"Data kosong/tidak lengkap",IF(SUM(B607:U607)&lt;&gt;V607,"Kategori tidak dikenal","OK")))</f>
        <v/>
      </c>
      <c r="X607" s="26" t="n">
        <f aca="false">IF(OR(W607="",W607="OK"),0,1)</f>
        <v>0</v>
      </c>
    </row>
    <row r="608" customFormat="false" ht="15" hidden="false" customHeight="false" outlineLevel="0" collapsed="false">
      <c r="A608" s="26" t="n">
        <f aca="false">Data!A608</f>
        <v>603</v>
      </c>
      <c r="B608" s="26" t="n">
        <f aca="false">IF(INDEX(Pengaturan!$B$8:$B$27,B$4)="",0,COUNTIF(Data!$B608:$U608,INDEX(Pengaturan!$B$8:$B$27,B$4)))</f>
        <v>0</v>
      </c>
      <c r="C608" s="26" t="n">
        <f aca="false">IF(INDEX(Pengaturan!$B$8:$B$27,C$4)="",0,COUNTIF(Data!$B608:$U608,INDEX(Pengaturan!$B$8:$B$27,C$4)))</f>
        <v>0</v>
      </c>
      <c r="D608" s="26" t="n">
        <f aca="false">IF(INDEX(Pengaturan!$B$8:$B$27,D$4)="",0,COUNTIF(Data!$B608:$U608,INDEX(Pengaturan!$B$8:$B$27,D$4)))</f>
        <v>0</v>
      </c>
      <c r="E608" s="26" t="n">
        <f aca="false">IF(INDEX(Pengaturan!$B$8:$B$27,E$4)="",0,COUNTIF(Data!$B608:$U608,INDEX(Pengaturan!$B$8:$B$27,E$4)))</f>
        <v>0</v>
      </c>
      <c r="F608" s="26" t="n">
        <f aca="false">IF(INDEX(Pengaturan!$B$8:$B$27,F$4)="",0,COUNTIF(Data!$B608:$U608,INDEX(Pengaturan!$B$8:$B$27,F$4)))</f>
        <v>0</v>
      </c>
      <c r="G608" s="26" t="n">
        <f aca="false">IF(INDEX(Pengaturan!$B$8:$B$27,G$4)="",0,COUNTIF(Data!$B608:$U608,INDEX(Pengaturan!$B$8:$B$27,G$4)))</f>
        <v>0</v>
      </c>
      <c r="H608" s="26" t="n">
        <f aca="false">IF(INDEX(Pengaturan!$B$8:$B$27,H$4)="",0,COUNTIF(Data!$B608:$U608,INDEX(Pengaturan!$B$8:$B$27,H$4)))</f>
        <v>0</v>
      </c>
      <c r="I608" s="26" t="n">
        <f aca="false">IF(INDEX(Pengaturan!$B$8:$B$27,I$4)="",0,COUNTIF(Data!$B608:$U608,INDEX(Pengaturan!$B$8:$B$27,I$4)))</f>
        <v>0</v>
      </c>
      <c r="J608" s="26" t="n">
        <f aca="false">IF(INDEX(Pengaturan!$B$8:$B$27,J$4)="",0,COUNTIF(Data!$B608:$U608,INDEX(Pengaturan!$B$8:$B$27,J$4)))</f>
        <v>0</v>
      </c>
      <c r="K608" s="26" t="n">
        <f aca="false">IF(INDEX(Pengaturan!$B$8:$B$27,K$4)="",0,COUNTIF(Data!$B608:$U608,INDEX(Pengaturan!$B$8:$B$27,K$4)))</f>
        <v>0</v>
      </c>
      <c r="L608" s="26" t="n">
        <f aca="false">IF(INDEX(Pengaturan!$B$8:$B$27,L$4)="",0,COUNTIF(Data!$B608:$U608,INDEX(Pengaturan!$B$8:$B$27,L$4)))</f>
        <v>0</v>
      </c>
      <c r="M608" s="26" t="n">
        <f aca="false">IF(INDEX(Pengaturan!$B$8:$B$27,M$4)="",0,COUNTIF(Data!$B608:$U608,INDEX(Pengaturan!$B$8:$B$27,M$4)))</f>
        <v>0</v>
      </c>
      <c r="N608" s="26" t="n">
        <f aca="false">IF(INDEX(Pengaturan!$B$8:$B$27,N$4)="",0,COUNTIF(Data!$B608:$U608,INDEX(Pengaturan!$B$8:$B$27,N$4)))</f>
        <v>0</v>
      </c>
      <c r="O608" s="26" t="n">
        <f aca="false">IF(INDEX(Pengaturan!$B$8:$B$27,O$4)="",0,COUNTIF(Data!$B608:$U608,INDEX(Pengaturan!$B$8:$B$27,O$4)))</f>
        <v>0</v>
      </c>
      <c r="P608" s="26" t="n">
        <f aca="false">IF(INDEX(Pengaturan!$B$8:$B$27,P$4)="",0,COUNTIF(Data!$B608:$U608,INDEX(Pengaturan!$B$8:$B$27,P$4)))</f>
        <v>0</v>
      </c>
      <c r="Q608" s="26" t="n">
        <f aca="false">IF(INDEX(Pengaturan!$B$8:$B$27,Q$4)="",0,COUNTIF(Data!$B608:$U608,INDEX(Pengaturan!$B$8:$B$27,Q$4)))</f>
        <v>0</v>
      </c>
      <c r="R608" s="26" t="n">
        <f aca="false">IF(INDEX(Pengaturan!$B$8:$B$27,R$4)="",0,COUNTIF(Data!$B608:$U608,INDEX(Pengaturan!$B$8:$B$27,R$4)))</f>
        <v>0</v>
      </c>
      <c r="S608" s="26" t="n">
        <f aca="false">IF(INDEX(Pengaturan!$B$8:$B$27,S$4)="",0,COUNTIF(Data!$B608:$U608,INDEX(Pengaturan!$B$8:$B$27,S$4)))</f>
        <v>0</v>
      </c>
      <c r="T608" s="26" t="n">
        <f aca="false">IF(INDEX(Pengaturan!$B$8:$B$27,T$4)="",0,COUNTIF(Data!$B608:$U608,INDEX(Pengaturan!$B$8:$B$27,T$4)))</f>
        <v>0</v>
      </c>
      <c r="U608" s="26" t="n">
        <f aca="false">IF(INDEX(Pengaturan!$B$8:$B$27,U$4)="",0,COUNTIF(Data!$B608:$U608,INDEX(Pengaturan!$B$8:$B$27,U$4)))</f>
        <v>0</v>
      </c>
      <c r="V608" s="26" t="n">
        <f aca="false">COUNTA(Data!$B608:$U608)</f>
        <v>0</v>
      </c>
      <c r="W608" s="27" t="str">
        <f aca="false">IF(V608=0,"",IF(V608&lt;&gt;Hasil!$C$4,"Data kosong/tidak lengkap",IF(SUM(B608:U608)&lt;&gt;V608,"Kategori tidak dikenal","OK")))</f>
        <v/>
      </c>
      <c r="X608" s="26" t="n">
        <f aca="false">IF(OR(W608="",W608="OK"),0,1)</f>
        <v>0</v>
      </c>
    </row>
    <row r="609" customFormat="false" ht="15" hidden="false" customHeight="false" outlineLevel="0" collapsed="false">
      <c r="A609" s="26" t="n">
        <f aca="false">Data!A609</f>
        <v>604</v>
      </c>
      <c r="B609" s="26" t="n">
        <f aca="false">IF(INDEX(Pengaturan!$B$8:$B$27,B$4)="",0,COUNTIF(Data!$B609:$U609,INDEX(Pengaturan!$B$8:$B$27,B$4)))</f>
        <v>0</v>
      </c>
      <c r="C609" s="26" t="n">
        <f aca="false">IF(INDEX(Pengaturan!$B$8:$B$27,C$4)="",0,COUNTIF(Data!$B609:$U609,INDEX(Pengaturan!$B$8:$B$27,C$4)))</f>
        <v>0</v>
      </c>
      <c r="D609" s="26" t="n">
        <f aca="false">IF(INDEX(Pengaturan!$B$8:$B$27,D$4)="",0,COUNTIF(Data!$B609:$U609,INDEX(Pengaturan!$B$8:$B$27,D$4)))</f>
        <v>0</v>
      </c>
      <c r="E609" s="26" t="n">
        <f aca="false">IF(INDEX(Pengaturan!$B$8:$B$27,E$4)="",0,COUNTIF(Data!$B609:$U609,INDEX(Pengaturan!$B$8:$B$27,E$4)))</f>
        <v>0</v>
      </c>
      <c r="F609" s="26" t="n">
        <f aca="false">IF(INDEX(Pengaturan!$B$8:$B$27,F$4)="",0,COUNTIF(Data!$B609:$U609,INDEX(Pengaturan!$B$8:$B$27,F$4)))</f>
        <v>0</v>
      </c>
      <c r="G609" s="26" t="n">
        <f aca="false">IF(INDEX(Pengaturan!$B$8:$B$27,G$4)="",0,COUNTIF(Data!$B609:$U609,INDEX(Pengaturan!$B$8:$B$27,G$4)))</f>
        <v>0</v>
      </c>
      <c r="H609" s="26" t="n">
        <f aca="false">IF(INDEX(Pengaturan!$B$8:$B$27,H$4)="",0,COUNTIF(Data!$B609:$U609,INDEX(Pengaturan!$B$8:$B$27,H$4)))</f>
        <v>0</v>
      </c>
      <c r="I609" s="26" t="n">
        <f aca="false">IF(INDEX(Pengaturan!$B$8:$B$27,I$4)="",0,COUNTIF(Data!$B609:$U609,INDEX(Pengaturan!$B$8:$B$27,I$4)))</f>
        <v>0</v>
      </c>
      <c r="J609" s="26" t="n">
        <f aca="false">IF(INDEX(Pengaturan!$B$8:$B$27,J$4)="",0,COUNTIF(Data!$B609:$U609,INDEX(Pengaturan!$B$8:$B$27,J$4)))</f>
        <v>0</v>
      </c>
      <c r="K609" s="26" t="n">
        <f aca="false">IF(INDEX(Pengaturan!$B$8:$B$27,K$4)="",0,COUNTIF(Data!$B609:$U609,INDEX(Pengaturan!$B$8:$B$27,K$4)))</f>
        <v>0</v>
      </c>
      <c r="L609" s="26" t="n">
        <f aca="false">IF(INDEX(Pengaturan!$B$8:$B$27,L$4)="",0,COUNTIF(Data!$B609:$U609,INDEX(Pengaturan!$B$8:$B$27,L$4)))</f>
        <v>0</v>
      </c>
      <c r="M609" s="26" t="n">
        <f aca="false">IF(INDEX(Pengaturan!$B$8:$B$27,M$4)="",0,COUNTIF(Data!$B609:$U609,INDEX(Pengaturan!$B$8:$B$27,M$4)))</f>
        <v>0</v>
      </c>
      <c r="N609" s="26" t="n">
        <f aca="false">IF(INDEX(Pengaturan!$B$8:$B$27,N$4)="",0,COUNTIF(Data!$B609:$U609,INDEX(Pengaturan!$B$8:$B$27,N$4)))</f>
        <v>0</v>
      </c>
      <c r="O609" s="26" t="n">
        <f aca="false">IF(INDEX(Pengaturan!$B$8:$B$27,O$4)="",0,COUNTIF(Data!$B609:$U609,INDEX(Pengaturan!$B$8:$B$27,O$4)))</f>
        <v>0</v>
      </c>
      <c r="P609" s="26" t="n">
        <f aca="false">IF(INDEX(Pengaturan!$B$8:$B$27,P$4)="",0,COUNTIF(Data!$B609:$U609,INDEX(Pengaturan!$B$8:$B$27,P$4)))</f>
        <v>0</v>
      </c>
      <c r="Q609" s="26" t="n">
        <f aca="false">IF(INDEX(Pengaturan!$B$8:$B$27,Q$4)="",0,COUNTIF(Data!$B609:$U609,INDEX(Pengaturan!$B$8:$B$27,Q$4)))</f>
        <v>0</v>
      </c>
      <c r="R609" s="26" t="n">
        <f aca="false">IF(INDEX(Pengaturan!$B$8:$B$27,R$4)="",0,COUNTIF(Data!$B609:$U609,INDEX(Pengaturan!$B$8:$B$27,R$4)))</f>
        <v>0</v>
      </c>
      <c r="S609" s="26" t="n">
        <f aca="false">IF(INDEX(Pengaturan!$B$8:$B$27,S$4)="",0,COUNTIF(Data!$B609:$U609,INDEX(Pengaturan!$B$8:$B$27,S$4)))</f>
        <v>0</v>
      </c>
      <c r="T609" s="26" t="n">
        <f aca="false">IF(INDEX(Pengaturan!$B$8:$B$27,T$4)="",0,COUNTIF(Data!$B609:$U609,INDEX(Pengaturan!$B$8:$B$27,T$4)))</f>
        <v>0</v>
      </c>
      <c r="U609" s="26" t="n">
        <f aca="false">IF(INDEX(Pengaturan!$B$8:$B$27,U$4)="",0,COUNTIF(Data!$B609:$U609,INDEX(Pengaturan!$B$8:$B$27,U$4)))</f>
        <v>0</v>
      </c>
      <c r="V609" s="26" t="n">
        <f aca="false">COUNTA(Data!$B609:$U609)</f>
        <v>0</v>
      </c>
      <c r="W609" s="27" t="str">
        <f aca="false">IF(V609=0,"",IF(V609&lt;&gt;Hasil!$C$4,"Data kosong/tidak lengkap",IF(SUM(B609:U609)&lt;&gt;V609,"Kategori tidak dikenal","OK")))</f>
        <v/>
      </c>
      <c r="X609" s="26" t="n">
        <f aca="false">IF(OR(W609="",W609="OK"),0,1)</f>
        <v>0</v>
      </c>
    </row>
    <row r="610" customFormat="false" ht="15" hidden="false" customHeight="false" outlineLevel="0" collapsed="false">
      <c r="A610" s="26" t="n">
        <f aca="false">Data!A610</f>
        <v>605</v>
      </c>
      <c r="B610" s="26" t="n">
        <f aca="false">IF(INDEX(Pengaturan!$B$8:$B$27,B$4)="",0,COUNTIF(Data!$B610:$U610,INDEX(Pengaturan!$B$8:$B$27,B$4)))</f>
        <v>0</v>
      </c>
      <c r="C610" s="26" t="n">
        <f aca="false">IF(INDEX(Pengaturan!$B$8:$B$27,C$4)="",0,COUNTIF(Data!$B610:$U610,INDEX(Pengaturan!$B$8:$B$27,C$4)))</f>
        <v>0</v>
      </c>
      <c r="D610" s="26" t="n">
        <f aca="false">IF(INDEX(Pengaturan!$B$8:$B$27,D$4)="",0,COUNTIF(Data!$B610:$U610,INDEX(Pengaturan!$B$8:$B$27,D$4)))</f>
        <v>0</v>
      </c>
      <c r="E610" s="26" t="n">
        <f aca="false">IF(INDEX(Pengaturan!$B$8:$B$27,E$4)="",0,COUNTIF(Data!$B610:$U610,INDEX(Pengaturan!$B$8:$B$27,E$4)))</f>
        <v>0</v>
      </c>
      <c r="F610" s="26" t="n">
        <f aca="false">IF(INDEX(Pengaturan!$B$8:$B$27,F$4)="",0,COUNTIF(Data!$B610:$U610,INDEX(Pengaturan!$B$8:$B$27,F$4)))</f>
        <v>0</v>
      </c>
      <c r="G610" s="26" t="n">
        <f aca="false">IF(INDEX(Pengaturan!$B$8:$B$27,G$4)="",0,COUNTIF(Data!$B610:$U610,INDEX(Pengaturan!$B$8:$B$27,G$4)))</f>
        <v>0</v>
      </c>
      <c r="H610" s="26" t="n">
        <f aca="false">IF(INDEX(Pengaturan!$B$8:$B$27,H$4)="",0,COUNTIF(Data!$B610:$U610,INDEX(Pengaturan!$B$8:$B$27,H$4)))</f>
        <v>0</v>
      </c>
      <c r="I610" s="26" t="n">
        <f aca="false">IF(INDEX(Pengaturan!$B$8:$B$27,I$4)="",0,COUNTIF(Data!$B610:$U610,INDEX(Pengaturan!$B$8:$B$27,I$4)))</f>
        <v>0</v>
      </c>
      <c r="J610" s="26" t="n">
        <f aca="false">IF(INDEX(Pengaturan!$B$8:$B$27,J$4)="",0,COUNTIF(Data!$B610:$U610,INDEX(Pengaturan!$B$8:$B$27,J$4)))</f>
        <v>0</v>
      </c>
      <c r="K610" s="26" t="n">
        <f aca="false">IF(INDEX(Pengaturan!$B$8:$B$27,K$4)="",0,COUNTIF(Data!$B610:$U610,INDEX(Pengaturan!$B$8:$B$27,K$4)))</f>
        <v>0</v>
      </c>
      <c r="L610" s="26" t="n">
        <f aca="false">IF(INDEX(Pengaturan!$B$8:$B$27,L$4)="",0,COUNTIF(Data!$B610:$U610,INDEX(Pengaturan!$B$8:$B$27,L$4)))</f>
        <v>0</v>
      </c>
      <c r="M610" s="26" t="n">
        <f aca="false">IF(INDEX(Pengaturan!$B$8:$B$27,M$4)="",0,COUNTIF(Data!$B610:$U610,INDEX(Pengaturan!$B$8:$B$27,M$4)))</f>
        <v>0</v>
      </c>
      <c r="N610" s="26" t="n">
        <f aca="false">IF(INDEX(Pengaturan!$B$8:$B$27,N$4)="",0,COUNTIF(Data!$B610:$U610,INDEX(Pengaturan!$B$8:$B$27,N$4)))</f>
        <v>0</v>
      </c>
      <c r="O610" s="26" t="n">
        <f aca="false">IF(INDEX(Pengaturan!$B$8:$B$27,O$4)="",0,COUNTIF(Data!$B610:$U610,INDEX(Pengaturan!$B$8:$B$27,O$4)))</f>
        <v>0</v>
      </c>
      <c r="P610" s="26" t="n">
        <f aca="false">IF(INDEX(Pengaturan!$B$8:$B$27,P$4)="",0,COUNTIF(Data!$B610:$U610,INDEX(Pengaturan!$B$8:$B$27,P$4)))</f>
        <v>0</v>
      </c>
      <c r="Q610" s="26" t="n">
        <f aca="false">IF(INDEX(Pengaturan!$B$8:$B$27,Q$4)="",0,COUNTIF(Data!$B610:$U610,INDEX(Pengaturan!$B$8:$B$27,Q$4)))</f>
        <v>0</v>
      </c>
      <c r="R610" s="26" t="n">
        <f aca="false">IF(INDEX(Pengaturan!$B$8:$B$27,R$4)="",0,COUNTIF(Data!$B610:$U610,INDEX(Pengaturan!$B$8:$B$27,R$4)))</f>
        <v>0</v>
      </c>
      <c r="S610" s="26" t="n">
        <f aca="false">IF(INDEX(Pengaturan!$B$8:$B$27,S$4)="",0,COUNTIF(Data!$B610:$U610,INDEX(Pengaturan!$B$8:$B$27,S$4)))</f>
        <v>0</v>
      </c>
      <c r="T610" s="26" t="n">
        <f aca="false">IF(INDEX(Pengaturan!$B$8:$B$27,T$4)="",0,COUNTIF(Data!$B610:$U610,INDEX(Pengaturan!$B$8:$B$27,T$4)))</f>
        <v>0</v>
      </c>
      <c r="U610" s="26" t="n">
        <f aca="false">IF(INDEX(Pengaturan!$B$8:$B$27,U$4)="",0,COUNTIF(Data!$B610:$U610,INDEX(Pengaturan!$B$8:$B$27,U$4)))</f>
        <v>0</v>
      </c>
      <c r="V610" s="26" t="n">
        <f aca="false">COUNTA(Data!$B610:$U610)</f>
        <v>0</v>
      </c>
      <c r="W610" s="27" t="str">
        <f aca="false">IF(V610=0,"",IF(V610&lt;&gt;Hasil!$C$4,"Data kosong/tidak lengkap",IF(SUM(B610:U610)&lt;&gt;V610,"Kategori tidak dikenal","OK")))</f>
        <v/>
      </c>
      <c r="X610" s="26" t="n">
        <f aca="false">IF(OR(W610="",W610="OK"),0,1)</f>
        <v>0</v>
      </c>
    </row>
    <row r="611" customFormat="false" ht="15" hidden="false" customHeight="false" outlineLevel="0" collapsed="false">
      <c r="A611" s="26" t="n">
        <f aca="false">Data!A611</f>
        <v>606</v>
      </c>
      <c r="B611" s="26" t="n">
        <f aca="false">IF(INDEX(Pengaturan!$B$8:$B$27,B$4)="",0,COUNTIF(Data!$B611:$U611,INDEX(Pengaturan!$B$8:$B$27,B$4)))</f>
        <v>0</v>
      </c>
      <c r="C611" s="26" t="n">
        <f aca="false">IF(INDEX(Pengaturan!$B$8:$B$27,C$4)="",0,COUNTIF(Data!$B611:$U611,INDEX(Pengaturan!$B$8:$B$27,C$4)))</f>
        <v>0</v>
      </c>
      <c r="D611" s="26" t="n">
        <f aca="false">IF(INDEX(Pengaturan!$B$8:$B$27,D$4)="",0,COUNTIF(Data!$B611:$U611,INDEX(Pengaturan!$B$8:$B$27,D$4)))</f>
        <v>0</v>
      </c>
      <c r="E611" s="26" t="n">
        <f aca="false">IF(INDEX(Pengaturan!$B$8:$B$27,E$4)="",0,COUNTIF(Data!$B611:$U611,INDEX(Pengaturan!$B$8:$B$27,E$4)))</f>
        <v>0</v>
      </c>
      <c r="F611" s="26" t="n">
        <f aca="false">IF(INDEX(Pengaturan!$B$8:$B$27,F$4)="",0,COUNTIF(Data!$B611:$U611,INDEX(Pengaturan!$B$8:$B$27,F$4)))</f>
        <v>0</v>
      </c>
      <c r="G611" s="26" t="n">
        <f aca="false">IF(INDEX(Pengaturan!$B$8:$B$27,G$4)="",0,COUNTIF(Data!$B611:$U611,INDEX(Pengaturan!$B$8:$B$27,G$4)))</f>
        <v>0</v>
      </c>
      <c r="H611" s="26" t="n">
        <f aca="false">IF(INDEX(Pengaturan!$B$8:$B$27,H$4)="",0,COUNTIF(Data!$B611:$U611,INDEX(Pengaturan!$B$8:$B$27,H$4)))</f>
        <v>0</v>
      </c>
      <c r="I611" s="26" t="n">
        <f aca="false">IF(INDEX(Pengaturan!$B$8:$B$27,I$4)="",0,COUNTIF(Data!$B611:$U611,INDEX(Pengaturan!$B$8:$B$27,I$4)))</f>
        <v>0</v>
      </c>
      <c r="J611" s="26" t="n">
        <f aca="false">IF(INDEX(Pengaturan!$B$8:$B$27,J$4)="",0,COUNTIF(Data!$B611:$U611,INDEX(Pengaturan!$B$8:$B$27,J$4)))</f>
        <v>0</v>
      </c>
      <c r="K611" s="26" t="n">
        <f aca="false">IF(INDEX(Pengaturan!$B$8:$B$27,K$4)="",0,COUNTIF(Data!$B611:$U611,INDEX(Pengaturan!$B$8:$B$27,K$4)))</f>
        <v>0</v>
      </c>
      <c r="L611" s="26" t="n">
        <f aca="false">IF(INDEX(Pengaturan!$B$8:$B$27,L$4)="",0,COUNTIF(Data!$B611:$U611,INDEX(Pengaturan!$B$8:$B$27,L$4)))</f>
        <v>0</v>
      </c>
      <c r="M611" s="26" t="n">
        <f aca="false">IF(INDEX(Pengaturan!$B$8:$B$27,M$4)="",0,COUNTIF(Data!$B611:$U611,INDEX(Pengaturan!$B$8:$B$27,M$4)))</f>
        <v>0</v>
      </c>
      <c r="N611" s="26" t="n">
        <f aca="false">IF(INDEX(Pengaturan!$B$8:$B$27,N$4)="",0,COUNTIF(Data!$B611:$U611,INDEX(Pengaturan!$B$8:$B$27,N$4)))</f>
        <v>0</v>
      </c>
      <c r="O611" s="26" t="n">
        <f aca="false">IF(INDEX(Pengaturan!$B$8:$B$27,O$4)="",0,COUNTIF(Data!$B611:$U611,INDEX(Pengaturan!$B$8:$B$27,O$4)))</f>
        <v>0</v>
      </c>
      <c r="P611" s="26" t="n">
        <f aca="false">IF(INDEX(Pengaturan!$B$8:$B$27,P$4)="",0,COUNTIF(Data!$B611:$U611,INDEX(Pengaturan!$B$8:$B$27,P$4)))</f>
        <v>0</v>
      </c>
      <c r="Q611" s="26" t="n">
        <f aca="false">IF(INDEX(Pengaturan!$B$8:$B$27,Q$4)="",0,COUNTIF(Data!$B611:$U611,INDEX(Pengaturan!$B$8:$B$27,Q$4)))</f>
        <v>0</v>
      </c>
      <c r="R611" s="26" t="n">
        <f aca="false">IF(INDEX(Pengaturan!$B$8:$B$27,R$4)="",0,COUNTIF(Data!$B611:$U611,INDEX(Pengaturan!$B$8:$B$27,R$4)))</f>
        <v>0</v>
      </c>
      <c r="S611" s="26" t="n">
        <f aca="false">IF(INDEX(Pengaturan!$B$8:$B$27,S$4)="",0,COUNTIF(Data!$B611:$U611,INDEX(Pengaturan!$B$8:$B$27,S$4)))</f>
        <v>0</v>
      </c>
      <c r="T611" s="26" t="n">
        <f aca="false">IF(INDEX(Pengaturan!$B$8:$B$27,T$4)="",0,COUNTIF(Data!$B611:$U611,INDEX(Pengaturan!$B$8:$B$27,T$4)))</f>
        <v>0</v>
      </c>
      <c r="U611" s="26" t="n">
        <f aca="false">IF(INDEX(Pengaturan!$B$8:$B$27,U$4)="",0,COUNTIF(Data!$B611:$U611,INDEX(Pengaturan!$B$8:$B$27,U$4)))</f>
        <v>0</v>
      </c>
      <c r="V611" s="26" t="n">
        <f aca="false">COUNTA(Data!$B611:$U611)</f>
        <v>0</v>
      </c>
      <c r="W611" s="27" t="str">
        <f aca="false">IF(V611=0,"",IF(V611&lt;&gt;Hasil!$C$4,"Data kosong/tidak lengkap",IF(SUM(B611:U611)&lt;&gt;V611,"Kategori tidak dikenal","OK")))</f>
        <v/>
      </c>
      <c r="X611" s="26" t="n">
        <f aca="false">IF(OR(W611="",W611="OK"),0,1)</f>
        <v>0</v>
      </c>
    </row>
    <row r="612" customFormat="false" ht="15" hidden="false" customHeight="false" outlineLevel="0" collapsed="false">
      <c r="A612" s="26" t="n">
        <f aca="false">Data!A612</f>
        <v>607</v>
      </c>
      <c r="B612" s="26" t="n">
        <f aca="false">IF(INDEX(Pengaturan!$B$8:$B$27,B$4)="",0,COUNTIF(Data!$B612:$U612,INDEX(Pengaturan!$B$8:$B$27,B$4)))</f>
        <v>0</v>
      </c>
      <c r="C612" s="26" t="n">
        <f aca="false">IF(INDEX(Pengaturan!$B$8:$B$27,C$4)="",0,COUNTIF(Data!$B612:$U612,INDEX(Pengaturan!$B$8:$B$27,C$4)))</f>
        <v>0</v>
      </c>
      <c r="D612" s="26" t="n">
        <f aca="false">IF(INDEX(Pengaturan!$B$8:$B$27,D$4)="",0,COUNTIF(Data!$B612:$U612,INDEX(Pengaturan!$B$8:$B$27,D$4)))</f>
        <v>0</v>
      </c>
      <c r="E612" s="26" t="n">
        <f aca="false">IF(INDEX(Pengaturan!$B$8:$B$27,E$4)="",0,COUNTIF(Data!$B612:$U612,INDEX(Pengaturan!$B$8:$B$27,E$4)))</f>
        <v>0</v>
      </c>
      <c r="F612" s="26" t="n">
        <f aca="false">IF(INDEX(Pengaturan!$B$8:$B$27,F$4)="",0,COUNTIF(Data!$B612:$U612,INDEX(Pengaturan!$B$8:$B$27,F$4)))</f>
        <v>0</v>
      </c>
      <c r="G612" s="26" t="n">
        <f aca="false">IF(INDEX(Pengaturan!$B$8:$B$27,G$4)="",0,COUNTIF(Data!$B612:$U612,INDEX(Pengaturan!$B$8:$B$27,G$4)))</f>
        <v>0</v>
      </c>
      <c r="H612" s="26" t="n">
        <f aca="false">IF(INDEX(Pengaturan!$B$8:$B$27,H$4)="",0,COUNTIF(Data!$B612:$U612,INDEX(Pengaturan!$B$8:$B$27,H$4)))</f>
        <v>0</v>
      </c>
      <c r="I612" s="26" t="n">
        <f aca="false">IF(INDEX(Pengaturan!$B$8:$B$27,I$4)="",0,COUNTIF(Data!$B612:$U612,INDEX(Pengaturan!$B$8:$B$27,I$4)))</f>
        <v>0</v>
      </c>
      <c r="J612" s="26" t="n">
        <f aca="false">IF(INDEX(Pengaturan!$B$8:$B$27,J$4)="",0,COUNTIF(Data!$B612:$U612,INDEX(Pengaturan!$B$8:$B$27,J$4)))</f>
        <v>0</v>
      </c>
      <c r="K612" s="26" t="n">
        <f aca="false">IF(INDEX(Pengaturan!$B$8:$B$27,K$4)="",0,COUNTIF(Data!$B612:$U612,INDEX(Pengaturan!$B$8:$B$27,K$4)))</f>
        <v>0</v>
      </c>
      <c r="L612" s="26" t="n">
        <f aca="false">IF(INDEX(Pengaturan!$B$8:$B$27,L$4)="",0,COUNTIF(Data!$B612:$U612,INDEX(Pengaturan!$B$8:$B$27,L$4)))</f>
        <v>0</v>
      </c>
      <c r="M612" s="26" t="n">
        <f aca="false">IF(INDEX(Pengaturan!$B$8:$B$27,M$4)="",0,COUNTIF(Data!$B612:$U612,INDEX(Pengaturan!$B$8:$B$27,M$4)))</f>
        <v>0</v>
      </c>
      <c r="N612" s="26" t="n">
        <f aca="false">IF(INDEX(Pengaturan!$B$8:$B$27,N$4)="",0,COUNTIF(Data!$B612:$U612,INDEX(Pengaturan!$B$8:$B$27,N$4)))</f>
        <v>0</v>
      </c>
      <c r="O612" s="26" t="n">
        <f aca="false">IF(INDEX(Pengaturan!$B$8:$B$27,O$4)="",0,COUNTIF(Data!$B612:$U612,INDEX(Pengaturan!$B$8:$B$27,O$4)))</f>
        <v>0</v>
      </c>
      <c r="P612" s="26" t="n">
        <f aca="false">IF(INDEX(Pengaturan!$B$8:$B$27,P$4)="",0,COUNTIF(Data!$B612:$U612,INDEX(Pengaturan!$B$8:$B$27,P$4)))</f>
        <v>0</v>
      </c>
      <c r="Q612" s="26" t="n">
        <f aca="false">IF(INDEX(Pengaturan!$B$8:$B$27,Q$4)="",0,COUNTIF(Data!$B612:$U612,INDEX(Pengaturan!$B$8:$B$27,Q$4)))</f>
        <v>0</v>
      </c>
      <c r="R612" s="26" t="n">
        <f aca="false">IF(INDEX(Pengaturan!$B$8:$B$27,R$4)="",0,COUNTIF(Data!$B612:$U612,INDEX(Pengaturan!$B$8:$B$27,R$4)))</f>
        <v>0</v>
      </c>
      <c r="S612" s="26" t="n">
        <f aca="false">IF(INDEX(Pengaturan!$B$8:$B$27,S$4)="",0,COUNTIF(Data!$B612:$U612,INDEX(Pengaturan!$B$8:$B$27,S$4)))</f>
        <v>0</v>
      </c>
      <c r="T612" s="26" t="n">
        <f aca="false">IF(INDEX(Pengaturan!$B$8:$B$27,T$4)="",0,COUNTIF(Data!$B612:$U612,INDEX(Pengaturan!$B$8:$B$27,T$4)))</f>
        <v>0</v>
      </c>
      <c r="U612" s="26" t="n">
        <f aca="false">IF(INDEX(Pengaturan!$B$8:$B$27,U$4)="",0,COUNTIF(Data!$B612:$U612,INDEX(Pengaturan!$B$8:$B$27,U$4)))</f>
        <v>0</v>
      </c>
      <c r="V612" s="26" t="n">
        <f aca="false">COUNTA(Data!$B612:$U612)</f>
        <v>0</v>
      </c>
      <c r="W612" s="27" t="str">
        <f aca="false">IF(V612=0,"",IF(V612&lt;&gt;Hasil!$C$4,"Data kosong/tidak lengkap",IF(SUM(B612:U612)&lt;&gt;V612,"Kategori tidak dikenal","OK")))</f>
        <v/>
      </c>
      <c r="X612" s="26" t="n">
        <f aca="false">IF(OR(W612="",W612="OK"),0,1)</f>
        <v>0</v>
      </c>
    </row>
    <row r="613" customFormat="false" ht="15" hidden="false" customHeight="false" outlineLevel="0" collapsed="false">
      <c r="A613" s="26" t="n">
        <f aca="false">Data!A613</f>
        <v>608</v>
      </c>
      <c r="B613" s="26" t="n">
        <f aca="false">IF(INDEX(Pengaturan!$B$8:$B$27,B$4)="",0,COUNTIF(Data!$B613:$U613,INDEX(Pengaturan!$B$8:$B$27,B$4)))</f>
        <v>0</v>
      </c>
      <c r="C613" s="26" t="n">
        <f aca="false">IF(INDEX(Pengaturan!$B$8:$B$27,C$4)="",0,COUNTIF(Data!$B613:$U613,INDEX(Pengaturan!$B$8:$B$27,C$4)))</f>
        <v>0</v>
      </c>
      <c r="D613" s="26" t="n">
        <f aca="false">IF(INDEX(Pengaturan!$B$8:$B$27,D$4)="",0,COUNTIF(Data!$B613:$U613,INDEX(Pengaturan!$B$8:$B$27,D$4)))</f>
        <v>0</v>
      </c>
      <c r="E613" s="26" t="n">
        <f aca="false">IF(INDEX(Pengaturan!$B$8:$B$27,E$4)="",0,COUNTIF(Data!$B613:$U613,INDEX(Pengaturan!$B$8:$B$27,E$4)))</f>
        <v>0</v>
      </c>
      <c r="F613" s="26" t="n">
        <f aca="false">IF(INDEX(Pengaturan!$B$8:$B$27,F$4)="",0,COUNTIF(Data!$B613:$U613,INDEX(Pengaturan!$B$8:$B$27,F$4)))</f>
        <v>0</v>
      </c>
      <c r="G613" s="26" t="n">
        <f aca="false">IF(INDEX(Pengaturan!$B$8:$B$27,G$4)="",0,COUNTIF(Data!$B613:$U613,INDEX(Pengaturan!$B$8:$B$27,G$4)))</f>
        <v>0</v>
      </c>
      <c r="H613" s="26" t="n">
        <f aca="false">IF(INDEX(Pengaturan!$B$8:$B$27,H$4)="",0,COUNTIF(Data!$B613:$U613,INDEX(Pengaturan!$B$8:$B$27,H$4)))</f>
        <v>0</v>
      </c>
      <c r="I613" s="26" t="n">
        <f aca="false">IF(INDEX(Pengaturan!$B$8:$B$27,I$4)="",0,COUNTIF(Data!$B613:$U613,INDEX(Pengaturan!$B$8:$B$27,I$4)))</f>
        <v>0</v>
      </c>
      <c r="J613" s="26" t="n">
        <f aca="false">IF(INDEX(Pengaturan!$B$8:$B$27,J$4)="",0,COUNTIF(Data!$B613:$U613,INDEX(Pengaturan!$B$8:$B$27,J$4)))</f>
        <v>0</v>
      </c>
      <c r="K613" s="26" t="n">
        <f aca="false">IF(INDEX(Pengaturan!$B$8:$B$27,K$4)="",0,COUNTIF(Data!$B613:$U613,INDEX(Pengaturan!$B$8:$B$27,K$4)))</f>
        <v>0</v>
      </c>
      <c r="L613" s="26" t="n">
        <f aca="false">IF(INDEX(Pengaturan!$B$8:$B$27,L$4)="",0,COUNTIF(Data!$B613:$U613,INDEX(Pengaturan!$B$8:$B$27,L$4)))</f>
        <v>0</v>
      </c>
      <c r="M613" s="26" t="n">
        <f aca="false">IF(INDEX(Pengaturan!$B$8:$B$27,M$4)="",0,COUNTIF(Data!$B613:$U613,INDEX(Pengaturan!$B$8:$B$27,M$4)))</f>
        <v>0</v>
      </c>
      <c r="N613" s="26" t="n">
        <f aca="false">IF(INDEX(Pengaturan!$B$8:$B$27,N$4)="",0,COUNTIF(Data!$B613:$U613,INDEX(Pengaturan!$B$8:$B$27,N$4)))</f>
        <v>0</v>
      </c>
      <c r="O613" s="26" t="n">
        <f aca="false">IF(INDEX(Pengaturan!$B$8:$B$27,O$4)="",0,COUNTIF(Data!$B613:$U613,INDEX(Pengaturan!$B$8:$B$27,O$4)))</f>
        <v>0</v>
      </c>
      <c r="P613" s="26" t="n">
        <f aca="false">IF(INDEX(Pengaturan!$B$8:$B$27,P$4)="",0,COUNTIF(Data!$B613:$U613,INDEX(Pengaturan!$B$8:$B$27,P$4)))</f>
        <v>0</v>
      </c>
      <c r="Q613" s="26" t="n">
        <f aca="false">IF(INDEX(Pengaturan!$B$8:$B$27,Q$4)="",0,COUNTIF(Data!$B613:$U613,INDEX(Pengaturan!$B$8:$B$27,Q$4)))</f>
        <v>0</v>
      </c>
      <c r="R613" s="26" t="n">
        <f aca="false">IF(INDEX(Pengaturan!$B$8:$B$27,R$4)="",0,COUNTIF(Data!$B613:$U613,INDEX(Pengaturan!$B$8:$B$27,R$4)))</f>
        <v>0</v>
      </c>
      <c r="S613" s="26" t="n">
        <f aca="false">IF(INDEX(Pengaturan!$B$8:$B$27,S$4)="",0,COUNTIF(Data!$B613:$U613,INDEX(Pengaturan!$B$8:$B$27,S$4)))</f>
        <v>0</v>
      </c>
      <c r="T613" s="26" t="n">
        <f aca="false">IF(INDEX(Pengaturan!$B$8:$B$27,T$4)="",0,COUNTIF(Data!$B613:$U613,INDEX(Pengaturan!$B$8:$B$27,T$4)))</f>
        <v>0</v>
      </c>
      <c r="U613" s="26" t="n">
        <f aca="false">IF(INDEX(Pengaturan!$B$8:$B$27,U$4)="",0,COUNTIF(Data!$B613:$U613,INDEX(Pengaturan!$B$8:$B$27,U$4)))</f>
        <v>0</v>
      </c>
      <c r="V613" s="26" t="n">
        <f aca="false">COUNTA(Data!$B613:$U613)</f>
        <v>0</v>
      </c>
      <c r="W613" s="27" t="str">
        <f aca="false">IF(V613=0,"",IF(V613&lt;&gt;Hasil!$C$4,"Data kosong/tidak lengkap",IF(SUM(B613:U613)&lt;&gt;V613,"Kategori tidak dikenal","OK")))</f>
        <v/>
      </c>
      <c r="X613" s="26" t="n">
        <f aca="false">IF(OR(W613="",W613="OK"),0,1)</f>
        <v>0</v>
      </c>
    </row>
    <row r="614" customFormat="false" ht="15" hidden="false" customHeight="false" outlineLevel="0" collapsed="false">
      <c r="A614" s="26" t="n">
        <f aca="false">Data!A614</f>
        <v>609</v>
      </c>
      <c r="B614" s="26" t="n">
        <f aca="false">IF(INDEX(Pengaturan!$B$8:$B$27,B$4)="",0,COUNTIF(Data!$B614:$U614,INDEX(Pengaturan!$B$8:$B$27,B$4)))</f>
        <v>0</v>
      </c>
      <c r="C614" s="26" t="n">
        <f aca="false">IF(INDEX(Pengaturan!$B$8:$B$27,C$4)="",0,COUNTIF(Data!$B614:$U614,INDEX(Pengaturan!$B$8:$B$27,C$4)))</f>
        <v>0</v>
      </c>
      <c r="D614" s="26" t="n">
        <f aca="false">IF(INDEX(Pengaturan!$B$8:$B$27,D$4)="",0,COUNTIF(Data!$B614:$U614,INDEX(Pengaturan!$B$8:$B$27,D$4)))</f>
        <v>0</v>
      </c>
      <c r="E614" s="26" t="n">
        <f aca="false">IF(INDEX(Pengaturan!$B$8:$B$27,E$4)="",0,COUNTIF(Data!$B614:$U614,INDEX(Pengaturan!$B$8:$B$27,E$4)))</f>
        <v>0</v>
      </c>
      <c r="F614" s="26" t="n">
        <f aca="false">IF(INDEX(Pengaturan!$B$8:$B$27,F$4)="",0,COUNTIF(Data!$B614:$U614,INDEX(Pengaturan!$B$8:$B$27,F$4)))</f>
        <v>0</v>
      </c>
      <c r="G614" s="26" t="n">
        <f aca="false">IF(INDEX(Pengaturan!$B$8:$B$27,G$4)="",0,COUNTIF(Data!$B614:$U614,INDEX(Pengaturan!$B$8:$B$27,G$4)))</f>
        <v>0</v>
      </c>
      <c r="H614" s="26" t="n">
        <f aca="false">IF(INDEX(Pengaturan!$B$8:$B$27,H$4)="",0,COUNTIF(Data!$B614:$U614,INDEX(Pengaturan!$B$8:$B$27,H$4)))</f>
        <v>0</v>
      </c>
      <c r="I614" s="26" t="n">
        <f aca="false">IF(INDEX(Pengaturan!$B$8:$B$27,I$4)="",0,COUNTIF(Data!$B614:$U614,INDEX(Pengaturan!$B$8:$B$27,I$4)))</f>
        <v>0</v>
      </c>
      <c r="J614" s="26" t="n">
        <f aca="false">IF(INDEX(Pengaturan!$B$8:$B$27,J$4)="",0,COUNTIF(Data!$B614:$U614,INDEX(Pengaturan!$B$8:$B$27,J$4)))</f>
        <v>0</v>
      </c>
      <c r="K614" s="26" t="n">
        <f aca="false">IF(INDEX(Pengaturan!$B$8:$B$27,K$4)="",0,COUNTIF(Data!$B614:$U614,INDEX(Pengaturan!$B$8:$B$27,K$4)))</f>
        <v>0</v>
      </c>
      <c r="L614" s="26" t="n">
        <f aca="false">IF(INDEX(Pengaturan!$B$8:$B$27,L$4)="",0,COUNTIF(Data!$B614:$U614,INDEX(Pengaturan!$B$8:$B$27,L$4)))</f>
        <v>0</v>
      </c>
      <c r="M614" s="26" t="n">
        <f aca="false">IF(INDEX(Pengaturan!$B$8:$B$27,M$4)="",0,COUNTIF(Data!$B614:$U614,INDEX(Pengaturan!$B$8:$B$27,M$4)))</f>
        <v>0</v>
      </c>
      <c r="N614" s="26" t="n">
        <f aca="false">IF(INDEX(Pengaturan!$B$8:$B$27,N$4)="",0,COUNTIF(Data!$B614:$U614,INDEX(Pengaturan!$B$8:$B$27,N$4)))</f>
        <v>0</v>
      </c>
      <c r="O614" s="26" t="n">
        <f aca="false">IF(INDEX(Pengaturan!$B$8:$B$27,O$4)="",0,COUNTIF(Data!$B614:$U614,INDEX(Pengaturan!$B$8:$B$27,O$4)))</f>
        <v>0</v>
      </c>
      <c r="P614" s="26" t="n">
        <f aca="false">IF(INDEX(Pengaturan!$B$8:$B$27,P$4)="",0,COUNTIF(Data!$B614:$U614,INDEX(Pengaturan!$B$8:$B$27,P$4)))</f>
        <v>0</v>
      </c>
      <c r="Q614" s="26" t="n">
        <f aca="false">IF(INDEX(Pengaturan!$B$8:$B$27,Q$4)="",0,COUNTIF(Data!$B614:$U614,INDEX(Pengaturan!$B$8:$B$27,Q$4)))</f>
        <v>0</v>
      </c>
      <c r="R614" s="26" t="n">
        <f aca="false">IF(INDEX(Pengaturan!$B$8:$B$27,R$4)="",0,COUNTIF(Data!$B614:$U614,INDEX(Pengaturan!$B$8:$B$27,R$4)))</f>
        <v>0</v>
      </c>
      <c r="S614" s="26" t="n">
        <f aca="false">IF(INDEX(Pengaturan!$B$8:$B$27,S$4)="",0,COUNTIF(Data!$B614:$U614,INDEX(Pengaturan!$B$8:$B$27,S$4)))</f>
        <v>0</v>
      </c>
      <c r="T614" s="26" t="n">
        <f aca="false">IF(INDEX(Pengaturan!$B$8:$B$27,T$4)="",0,COUNTIF(Data!$B614:$U614,INDEX(Pengaturan!$B$8:$B$27,T$4)))</f>
        <v>0</v>
      </c>
      <c r="U614" s="26" t="n">
        <f aca="false">IF(INDEX(Pengaturan!$B$8:$B$27,U$4)="",0,COUNTIF(Data!$B614:$U614,INDEX(Pengaturan!$B$8:$B$27,U$4)))</f>
        <v>0</v>
      </c>
      <c r="V614" s="26" t="n">
        <f aca="false">COUNTA(Data!$B614:$U614)</f>
        <v>0</v>
      </c>
      <c r="W614" s="27" t="str">
        <f aca="false">IF(V614=0,"",IF(V614&lt;&gt;Hasil!$C$4,"Data kosong/tidak lengkap",IF(SUM(B614:U614)&lt;&gt;V614,"Kategori tidak dikenal","OK")))</f>
        <v/>
      </c>
      <c r="X614" s="26" t="n">
        <f aca="false">IF(OR(W614="",W614="OK"),0,1)</f>
        <v>0</v>
      </c>
    </row>
    <row r="615" customFormat="false" ht="15" hidden="false" customHeight="false" outlineLevel="0" collapsed="false">
      <c r="A615" s="26" t="n">
        <f aca="false">Data!A615</f>
        <v>610</v>
      </c>
      <c r="B615" s="26" t="n">
        <f aca="false">IF(INDEX(Pengaturan!$B$8:$B$27,B$4)="",0,COUNTIF(Data!$B615:$U615,INDEX(Pengaturan!$B$8:$B$27,B$4)))</f>
        <v>0</v>
      </c>
      <c r="C615" s="26" t="n">
        <f aca="false">IF(INDEX(Pengaturan!$B$8:$B$27,C$4)="",0,COUNTIF(Data!$B615:$U615,INDEX(Pengaturan!$B$8:$B$27,C$4)))</f>
        <v>0</v>
      </c>
      <c r="D615" s="26" t="n">
        <f aca="false">IF(INDEX(Pengaturan!$B$8:$B$27,D$4)="",0,COUNTIF(Data!$B615:$U615,INDEX(Pengaturan!$B$8:$B$27,D$4)))</f>
        <v>0</v>
      </c>
      <c r="E615" s="26" t="n">
        <f aca="false">IF(INDEX(Pengaturan!$B$8:$B$27,E$4)="",0,COUNTIF(Data!$B615:$U615,INDEX(Pengaturan!$B$8:$B$27,E$4)))</f>
        <v>0</v>
      </c>
      <c r="F615" s="26" t="n">
        <f aca="false">IF(INDEX(Pengaturan!$B$8:$B$27,F$4)="",0,COUNTIF(Data!$B615:$U615,INDEX(Pengaturan!$B$8:$B$27,F$4)))</f>
        <v>0</v>
      </c>
      <c r="G615" s="26" t="n">
        <f aca="false">IF(INDEX(Pengaturan!$B$8:$B$27,G$4)="",0,COUNTIF(Data!$B615:$U615,INDEX(Pengaturan!$B$8:$B$27,G$4)))</f>
        <v>0</v>
      </c>
      <c r="H615" s="26" t="n">
        <f aca="false">IF(INDEX(Pengaturan!$B$8:$B$27,H$4)="",0,COUNTIF(Data!$B615:$U615,INDEX(Pengaturan!$B$8:$B$27,H$4)))</f>
        <v>0</v>
      </c>
      <c r="I615" s="26" t="n">
        <f aca="false">IF(INDEX(Pengaturan!$B$8:$B$27,I$4)="",0,COUNTIF(Data!$B615:$U615,INDEX(Pengaturan!$B$8:$B$27,I$4)))</f>
        <v>0</v>
      </c>
      <c r="J615" s="26" t="n">
        <f aca="false">IF(INDEX(Pengaturan!$B$8:$B$27,J$4)="",0,COUNTIF(Data!$B615:$U615,INDEX(Pengaturan!$B$8:$B$27,J$4)))</f>
        <v>0</v>
      </c>
      <c r="K615" s="26" t="n">
        <f aca="false">IF(INDEX(Pengaturan!$B$8:$B$27,K$4)="",0,COUNTIF(Data!$B615:$U615,INDEX(Pengaturan!$B$8:$B$27,K$4)))</f>
        <v>0</v>
      </c>
      <c r="L615" s="26" t="n">
        <f aca="false">IF(INDEX(Pengaturan!$B$8:$B$27,L$4)="",0,COUNTIF(Data!$B615:$U615,INDEX(Pengaturan!$B$8:$B$27,L$4)))</f>
        <v>0</v>
      </c>
      <c r="M615" s="26" t="n">
        <f aca="false">IF(INDEX(Pengaturan!$B$8:$B$27,M$4)="",0,COUNTIF(Data!$B615:$U615,INDEX(Pengaturan!$B$8:$B$27,M$4)))</f>
        <v>0</v>
      </c>
      <c r="N615" s="26" t="n">
        <f aca="false">IF(INDEX(Pengaturan!$B$8:$B$27,N$4)="",0,COUNTIF(Data!$B615:$U615,INDEX(Pengaturan!$B$8:$B$27,N$4)))</f>
        <v>0</v>
      </c>
      <c r="O615" s="26" t="n">
        <f aca="false">IF(INDEX(Pengaturan!$B$8:$B$27,O$4)="",0,COUNTIF(Data!$B615:$U615,INDEX(Pengaturan!$B$8:$B$27,O$4)))</f>
        <v>0</v>
      </c>
      <c r="P615" s="26" t="n">
        <f aca="false">IF(INDEX(Pengaturan!$B$8:$B$27,P$4)="",0,COUNTIF(Data!$B615:$U615,INDEX(Pengaturan!$B$8:$B$27,P$4)))</f>
        <v>0</v>
      </c>
      <c r="Q615" s="26" t="n">
        <f aca="false">IF(INDEX(Pengaturan!$B$8:$B$27,Q$4)="",0,COUNTIF(Data!$B615:$U615,INDEX(Pengaturan!$B$8:$B$27,Q$4)))</f>
        <v>0</v>
      </c>
      <c r="R615" s="26" t="n">
        <f aca="false">IF(INDEX(Pengaturan!$B$8:$B$27,R$4)="",0,COUNTIF(Data!$B615:$U615,INDEX(Pengaturan!$B$8:$B$27,R$4)))</f>
        <v>0</v>
      </c>
      <c r="S615" s="26" t="n">
        <f aca="false">IF(INDEX(Pengaturan!$B$8:$B$27,S$4)="",0,COUNTIF(Data!$B615:$U615,INDEX(Pengaturan!$B$8:$B$27,S$4)))</f>
        <v>0</v>
      </c>
      <c r="T615" s="26" t="n">
        <f aca="false">IF(INDEX(Pengaturan!$B$8:$B$27,T$4)="",0,COUNTIF(Data!$B615:$U615,INDEX(Pengaturan!$B$8:$B$27,T$4)))</f>
        <v>0</v>
      </c>
      <c r="U615" s="26" t="n">
        <f aca="false">IF(INDEX(Pengaturan!$B$8:$B$27,U$4)="",0,COUNTIF(Data!$B615:$U615,INDEX(Pengaturan!$B$8:$B$27,U$4)))</f>
        <v>0</v>
      </c>
      <c r="V615" s="26" t="n">
        <f aca="false">COUNTA(Data!$B615:$U615)</f>
        <v>0</v>
      </c>
      <c r="W615" s="27" t="str">
        <f aca="false">IF(V615=0,"",IF(V615&lt;&gt;Hasil!$C$4,"Data kosong/tidak lengkap",IF(SUM(B615:U615)&lt;&gt;V615,"Kategori tidak dikenal","OK")))</f>
        <v/>
      </c>
      <c r="X615" s="26" t="n">
        <f aca="false">IF(OR(W615="",W615="OK"),0,1)</f>
        <v>0</v>
      </c>
    </row>
    <row r="616" customFormat="false" ht="15" hidden="false" customHeight="false" outlineLevel="0" collapsed="false">
      <c r="A616" s="26" t="n">
        <f aca="false">Data!A616</f>
        <v>611</v>
      </c>
      <c r="B616" s="26" t="n">
        <f aca="false">IF(INDEX(Pengaturan!$B$8:$B$27,B$4)="",0,COUNTIF(Data!$B616:$U616,INDEX(Pengaturan!$B$8:$B$27,B$4)))</f>
        <v>0</v>
      </c>
      <c r="C616" s="26" t="n">
        <f aca="false">IF(INDEX(Pengaturan!$B$8:$B$27,C$4)="",0,COUNTIF(Data!$B616:$U616,INDEX(Pengaturan!$B$8:$B$27,C$4)))</f>
        <v>0</v>
      </c>
      <c r="D616" s="26" t="n">
        <f aca="false">IF(INDEX(Pengaturan!$B$8:$B$27,D$4)="",0,COUNTIF(Data!$B616:$U616,INDEX(Pengaturan!$B$8:$B$27,D$4)))</f>
        <v>0</v>
      </c>
      <c r="E616" s="26" t="n">
        <f aca="false">IF(INDEX(Pengaturan!$B$8:$B$27,E$4)="",0,COUNTIF(Data!$B616:$U616,INDEX(Pengaturan!$B$8:$B$27,E$4)))</f>
        <v>0</v>
      </c>
      <c r="F616" s="26" t="n">
        <f aca="false">IF(INDEX(Pengaturan!$B$8:$B$27,F$4)="",0,COUNTIF(Data!$B616:$U616,INDEX(Pengaturan!$B$8:$B$27,F$4)))</f>
        <v>0</v>
      </c>
      <c r="G616" s="26" t="n">
        <f aca="false">IF(INDEX(Pengaturan!$B$8:$B$27,G$4)="",0,COUNTIF(Data!$B616:$U616,INDEX(Pengaturan!$B$8:$B$27,G$4)))</f>
        <v>0</v>
      </c>
      <c r="H616" s="26" t="n">
        <f aca="false">IF(INDEX(Pengaturan!$B$8:$B$27,H$4)="",0,COUNTIF(Data!$B616:$U616,INDEX(Pengaturan!$B$8:$B$27,H$4)))</f>
        <v>0</v>
      </c>
      <c r="I616" s="26" t="n">
        <f aca="false">IF(INDEX(Pengaturan!$B$8:$B$27,I$4)="",0,COUNTIF(Data!$B616:$U616,INDEX(Pengaturan!$B$8:$B$27,I$4)))</f>
        <v>0</v>
      </c>
      <c r="J616" s="26" t="n">
        <f aca="false">IF(INDEX(Pengaturan!$B$8:$B$27,J$4)="",0,COUNTIF(Data!$B616:$U616,INDEX(Pengaturan!$B$8:$B$27,J$4)))</f>
        <v>0</v>
      </c>
      <c r="K616" s="26" t="n">
        <f aca="false">IF(INDEX(Pengaturan!$B$8:$B$27,K$4)="",0,COUNTIF(Data!$B616:$U616,INDEX(Pengaturan!$B$8:$B$27,K$4)))</f>
        <v>0</v>
      </c>
      <c r="L616" s="26" t="n">
        <f aca="false">IF(INDEX(Pengaturan!$B$8:$B$27,L$4)="",0,COUNTIF(Data!$B616:$U616,INDEX(Pengaturan!$B$8:$B$27,L$4)))</f>
        <v>0</v>
      </c>
      <c r="M616" s="26" t="n">
        <f aca="false">IF(INDEX(Pengaturan!$B$8:$B$27,M$4)="",0,COUNTIF(Data!$B616:$U616,INDEX(Pengaturan!$B$8:$B$27,M$4)))</f>
        <v>0</v>
      </c>
      <c r="N616" s="26" t="n">
        <f aca="false">IF(INDEX(Pengaturan!$B$8:$B$27,N$4)="",0,COUNTIF(Data!$B616:$U616,INDEX(Pengaturan!$B$8:$B$27,N$4)))</f>
        <v>0</v>
      </c>
      <c r="O616" s="26" t="n">
        <f aca="false">IF(INDEX(Pengaturan!$B$8:$B$27,O$4)="",0,COUNTIF(Data!$B616:$U616,INDEX(Pengaturan!$B$8:$B$27,O$4)))</f>
        <v>0</v>
      </c>
      <c r="P616" s="26" t="n">
        <f aca="false">IF(INDEX(Pengaturan!$B$8:$B$27,P$4)="",0,COUNTIF(Data!$B616:$U616,INDEX(Pengaturan!$B$8:$B$27,P$4)))</f>
        <v>0</v>
      </c>
      <c r="Q616" s="26" t="n">
        <f aca="false">IF(INDEX(Pengaturan!$B$8:$B$27,Q$4)="",0,COUNTIF(Data!$B616:$U616,INDEX(Pengaturan!$B$8:$B$27,Q$4)))</f>
        <v>0</v>
      </c>
      <c r="R616" s="26" t="n">
        <f aca="false">IF(INDEX(Pengaturan!$B$8:$B$27,R$4)="",0,COUNTIF(Data!$B616:$U616,INDEX(Pengaturan!$B$8:$B$27,R$4)))</f>
        <v>0</v>
      </c>
      <c r="S616" s="26" t="n">
        <f aca="false">IF(INDEX(Pengaturan!$B$8:$B$27,S$4)="",0,COUNTIF(Data!$B616:$U616,INDEX(Pengaturan!$B$8:$B$27,S$4)))</f>
        <v>0</v>
      </c>
      <c r="T616" s="26" t="n">
        <f aca="false">IF(INDEX(Pengaturan!$B$8:$B$27,T$4)="",0,COUNTIF(Data!$B616:$U616,INDEX(Pengaturan!$B$8:$B$27,T$4)))</f>
        <v>0</v>
      </c>
      <c r="U616" s="26" t="n">
        <f aca="false">IF(INDEX(Pengaturan!$B$8:$B$27,U$4)="",0,COUNTIF(Data!$B616:$U616,INDEX(Pengaturan!$B$8:$B$27,U$4)))</f>
        <v>0</v>
      </c>
      <c r="V616" s="26" t="n">
        <f aca="false">COUNTA(Data!$B616:$U616)</f>
        <v>0</v>
      </c>
      <c r="W616" s="27" t="str">
        <f aca="false">IF(V616=0,"",IF(V616&lt;&gt;Hasil!$C$4,"Data kosong/tidak lengkap",IF(SUM(B616:U616)&lt;&gt;V616,"Kategori tidak dikenal","OK")))</f>
        <v/>
      </c>
      <c r="X616" s="26" t="n">
        <f aca="false">IF(OR(W616="",W616="OK"),0,1)</f>
        <v>0</v>
      </c>
    </row>
    <row r="617" customFormat="false" ht="15" hidden="false" customHeight="false" outlineLevel="0" collapsed="false">
      <c r="A617" s="26" t="n">
        <f aca="false">Data!A617</f>
        <v>612</v>
      </c>
      <c r="B617" s="26" t="n">
        <f aca="false">IF(INDEX(Pengaturan!$B$8:$B$27,B$4)="",0,COUNTIF(Data!$B617:$U617,INDEX(Pengaturan!$B$8:$B$27,B$4)))</f>
        <v>0</v>
      </c>
      <c r="C617" s="26" t="n">
        <f aca="false">IF(INDEX(Pengaturan!$B$8:$B$27,C$4)="",0,COUNTIF(Data!$B617:$U617,INDEX(Pengaturan!$B$8:$B$27,C$4)))</f>
        <v>0</v>
      </c>
      <c r="D617" s="26" t="n">
        <f aca="false">IF(INDEX(Pengaturan!$B$8:$B$27,D$4)="",0,COUNTIF(Data!$B617:$U617,INDEX(Pengaturan!$B$8:$B$27,D$4)))</f>
        <v>0</v>
      </c>
      <c r="E617" s="26" t="n">
        <f aca="false">IF(INDEX(Pengaturan!$B$8:$B$27,E$4)="",0,COUNTIF(Data!$B617:$U617,INDEX(Pengaturan!$B$8:$B$27,E$4)))</f>
        <v>0</v>
      </c>
      <c r="F617" s="26" t="n">
        <f aca="false">IF(INDEX(Pengaturan!$B$8:$B$27,F$4)="",0,COUNTIF(Data!$B617:$U617,INDEX(Pengaturan!$B$8:$B$27,F$4)))</f>
        <v>0</v>
      </c>
      <c r="G617" s="26" t="n">
        <f aca="false">IF(INDEX(Pengaturan!$B$8:$B$27,G$4)="",0,COUNTIF(Data!$B617:$U617,INDEX(Pengaturan!$B$8:$B$27,G$4)))</f>
        <v>0</v>
      </c>
      <c r="H617" s="26" t="n">
        <f aca="false">IF(INDEX(Pengaturan!$B$8:$B$27,H$4)="",0,COUNTIF(Data!$B617:$U617,INDEX(Pengaturan!$B$8:$B$27,H$4)))</f>
        <v>0</v>
      </c>
      <c r="I617" s="26" t="n">
        <f aca="false">IF(INDEX(Pengaturan!$B$8:$B$27,I$4)="",0,COUNTIF(Data!$B617:$U617,INDEX(Pengaturan!$B$8:$B$27,I$4)))</f>
        <v>0</v>
      </c>
      <c r="J617" s="26" t="n">
        <f aca="false">IF(INDEX(Pengaturan!$B$8:$B$27,J$4)="",0,COUNTIF(Data!$B617:$U617,INDEX(Pengaturan!$B$8:$B$27,J$4)))</f>
        <v>0</v>
      </c>
      <c r="K617" s="26" t="n">
        <f aca="false">IF(INDEX(Pengaturan!$B$8:$B$27,K$4)="",0,COUNTIF(Data!$B617:$U617,INDEX(Pengaturan!$B$8:$B$27,K$4)))</f>
        <v>0</v>
      </c>
      <c r="L617" s="26" t="n">
        <f aca="false">IF(INDEX(Pengaturan!$B$8:$B$27,L$4)="",0,COUNTIF(Data!$B617:$U617,INDEX(Pengaturan!$B$8:$B$27,L$4)))</f>
        <v>0</v>
      </c>
      <c r="M617" s="26" t="n">
        <f aca="false">IF(INDEX(Pengaturan!$B$8:$B$27,M$4)="",0,COUNTIF(Data!$B617:$U617,INDEX(Pengaturan!$B$8:$B$27,M$4)))</f>
        <v>0</v>
      </c>
      <c r="N617" s="26" t="n">
        <f aca="false">IF(INDEX(Pengaturan!$B$8:$B$27,N$4)="",0,COUNTIF(Data!$B617:$U617,INDEX(Pengaturan!$B$8:$B$27,N$4)))</f>
        <v>0</v>
      </c>
      <c r="O617" s="26" t="n">
        <f aca="false">IF(INDEX(Pengaturan!$B$8:$B$27,O$4)="",0,COUNTIF(Data!$B617:$U617,INDEX(Pengaturan!$B$8:$B$27,O$4)))</f>
        <v>0</v>
      </c>
      <c r="P617" s="26" t="n">
        <f aca="false">IF(INDEX(Pengaturan!$B$8:$B$27,P$4)="",0,COUNTIF(Data!$B617:$U617,INDEX(Pengaturan!$B$8:$B$27,P$4)))</f>
        <v>0</v>
      </c>
      <c r="Q617" s="26" t="n">
        <f aca="false">IF(INDEX(Pengaturan!$B$8:$B$27,Q$4)="",0,COUNTIF(Data!$B617:$U617,INDEX(Pengaturan!$B$8:$B$27,Q$4)))</f>
        <v>0</v>
      </c>
      <c r="R617" s="26" t="n">
        <f aca="false">IF(INDEX(Pengaturan!$B$8:$B$27,R$4)="",0,COUNTIF(Data!$B617:$U617,INDEX(Pengaturan!$B$8:$B$27,R$4)))</f>
        <v>0</v>
      </c>
      <c r="S617" s="26" t="n">
        <f aca="false">IF(INDEX(Pengaturan!$B$8:$B$27,S$4)="",0,COUNTIF(Data!$B617:$U617,INDEX(Pengaturan!$B$8:$B$27,S$4)))</f>
        <v>0</v>
      </c>
      <c r="T617" s="26" t="n">
        <f aca="false">IF(INDEX(Pengaturan!$B$8:$B$27,T$4)="",0,COUNTIF(Data!$B617:$U617,INDEX(Pengaturan!$B$8:$B$27,T$4)))</f>
        <v>0</v>
      </c>
      <c r="U617" s="26" t="n">
        <f aca="false">IF(INDEX(Pengaturan!$B$8:$B$27,U$4)="",0,COUNTIF(Data!$B617:$U617,INDEX(Pengaturan!$B$8:$B$27,U$4)))</f>
        <v>0</v>
      </c>
      <c r="V617" s="26" t="n">
        <f aca="false">COUNTA(Data!$B617:$U617)</f>
        <v>0</v>
      </c>
      <c r="W617" s="27" t="str">
        <f aca="false">IF(V617=0,"",IF(V617&lt;&gt;Hasil!$C$4,"Data kosong/tidak lengkap",IF(SUM(B617:U617)&lt;&gt;V617,"Kategori tidak dikenal","OK")))</f>
        <v/>
      </c>
      <c r="X617" s="26" t="n">
        <f aca="false">IF(OR(W617="",W617="OK"),0,1)</f>
        <v>0</v>
      </c>
    </row>
    <row r="618" customFormat="false" ht="15" hidden="false" customHeight="false" outlineLevel="0" collapsed="false">
      <c r="A618" s="26" t="n">
        <f aca="false">Data!A618</f>
        <v>613</v>
      </c>
      <c r="B618" s="26" t="n">
        <f aca="false">IF(INDEX(Pengaturan!$B$8:$B$27,B$4)="",0,COUNTIF(Data!$B618:$U618,INDEX(Pengaturan!$B$8:$B$27,B$4)))</f>
        <v>0</v>
      </c>
      <c r="C618" s="26" t="n">
        <f aca="false">IF(INDEX(Pengaturan!$B$8:$B$27,C$4)="",0,COUNTIF(Data!$B618:$U618,INDEX(Pengaturan!$B$8:$B$27,C$4)))</f>
        <v>0</v>
      </c>
      <c r="D618" s="26" t="n">
        <f aca="false">IF(INDEX(Pengaturan!$B$8:$B$27,D$4)="",0,COUNTIF(Data!$B618:$U618,INDEX(Pengaturan!$B$8:$B$27,D$4)))</f>
        <v>0</v>
      </c>
      <c r="E618" s="26" t="n">
        <f aca="false">IF(INDEX(Pengaturan!$B$8:$B$27,E$4)="",0,COUNTIF(Data!$B618:$U618,INDEX(Pengaturan!$B$8:$B$27,E$4)))</f>
        <v>0</v>
      </c>
      <c r="F618" s="26" t="n">
        <f aca="false">IF(INDEX(Pengaturan!$B$8:$B$27,F$4)="",0,COUNTIF(Data!$B618:$U618,INDEX(Pengaturan!$B$8:$B$27,F$4)))</f>
        <v>0</v>
      </c>
      <c r="G618" s="26" t="n">
        <f aca="false">IF(INDEX(Pengaturan!$B$8:$B$27,G$4)="",0,COUNTIF(Data!$B618:$U618,INDEX(Pengaturan!$B$8:$B$27,G$4)))</f>
        <v>0</v>
      </c>
      <c r="H618" s="26" t="n">
        <f aca="false">IF(INDEX(Pengaturan!$B$8:$B$27,H$4)="",0,COUNTIF(Data!$B618:$U618,INDEX(Pengaturan!$B$8:$B$27,H$4)))</f>
        <v>0</v>
      </c>
      <c r="I618" s="26" t="n">
        <f aca="false">IF(INDEX(Pengaturan!$B$8:$B$27,I$4)="",0,COUNTIF(Data!$B618:$U618,INDEX(Pengaturan!$B$8:$B$27,I$4)))</f>
        <v>0</v>
      </c>
      <c r="J618" s="26" t="n">
        <f aca="false">IF(INDEX(Pengaturan!$B$8:$B$27,J$4)="",0,COUNTIF(Data!$B618:$U618,INDEX(Pengaturan!$B$8:$B$27,J$4)))</f>
        <v>0</v>
      </c>
      <c r="K618" s="26" t="n">
        <f aca="false">IF(INDEX(Pengaturan!$B$8:$B$27,K$4)="",0,COUNTIF(Data!$B618:$U618,INDEX(Pengaturan!$B$8:$B$27,K$4)))</f>
        <v>0</v>
      </c>
      <c r="L618" s="26" t="n">
        <f aca="false">IF(INDEX(Pengaturan!$B$8:$B$27,L$4)="",0,COUNTIF(Data!$B618:$U618,INDEX(Pengaturan!$B$8:$B$27,L$4)))</f>
        <v>0</v>
      </c>
      <c r="M618" s="26" t="n">
        <f aca="false">IF(INDEX(Pengaturan!$B$8:$B$27,M$4)="",0,COUNTIF(Data!$B618:$U618,INDEX(Pengaturan!$B$8:$B$27,M$4)))</f>
        <v>0</v>
      </c>
      <c r="N618" s="26" t="n">
        <f aca="false">IF(INDEX(Pengaturan!$B$8:$B$27,N$4)="",0,COUNTIF(Data!$B618:$U618,INDEX(Pengaturan!$B$8:$B$27,N$4)))</f>
        <v>0</v>
      </c>
      <c r="O618" s="26" t="n">
        <f aca="false">IF(INDEX(Pengaturan!$B$8:$B$27,O$4)="",0,COUNTIF(Data!$B618:$U618,INDEX(Pengaturan!$B$8:$B$27,O$4)))</f>
        <v>0</v>
      </c>
      <c r="P618" s="26" t="n">
        <f aca="false">IF(INDEX(Pengaturan!$B$8:$B$27,P$4)="",0,COUNTIF(Data!$B618:$U618,INDEX(Pengaturan!$B$8:$B$27,P$4)))</f>
        <v>0</v>
      </c>
      <c r="Q618" s="26" t="n">
        <f aca="false">IF(INDEX(Pengaturan!$B$8:$B$27,Q$4)="",0,COUNTIF(Data!$B618:$U618,INDEX(Pengaturan!$B$8:$B$27,Q$4)))</f>
        <v>0</v>
      </c>
      <c r="R618" s="26" t="n">
        <f aca="false">IF(INDEX(Pengaturan!$B$8:$B$27,R$4)="",0,COUNTIF(Data!$B618:$U618,INDEX(Pengaturan!$B$8:$B$27,R$4)))</f>
        <v>0</v>
      </c>
      <c r="S618" s="26" t="n">
        <f aca="false">IF(INDEX(Pengaturan!$B$8:$B$27,S$4)="",0,COUNTIF(Data!$B618:$U618,INDEX(Pengaturan!$B$8:$B$27,S$4)))</f>
        <v>0</v>
      </c>
      <c r="T618" s="26" t="n">
        <f aca="false">IF(INDEX(Pengaturan!$B$8:$B$27,T$4)="",0,COUNTIF(Data!$B618:$U618,INDEX(Pengaturan!$B$8:$B$27,T$4)))</f>
        <v>0</v>
      </c>
      <c r="U618" s="26" t="n">
        <f aca="false">IF(INDEX(Pengaturan!$B$8:$B$27,U$4)="",0,COUNTIF(Data!$B618:$U618,INDEX(Pengaturan!$B$8:$B$27,U$4)))</f>
        <v>0</v>
      </c>
      <c r="V618" s="26" t="n">
        <f aca="false">COUNTA(Data!$B618:$U618)</f>
        <v>0</v>
      </c>
      <c r="W618" s="27" t="str">
        <f aca="false">IF(V618=0,"",IF(V618&lt;&gt;Hasil!$C$4,"Data kosong/tidak lengkap",IF(SUM(B618:U618)&lt;&gt;V618,"Kategori tidak dikenal","OK")))</f>
        <v/>
      </c>
      <c r="X618" s="26" t="n">
        <f aca="false">IF(OR(W618="",W618="OK"),0,1)</f>
        <v>0</v>
      </c>
    </row>
    <row r="619" customFormat="false" ht="15" hidden="false" customHeight="false" outlineLevel="0" collapsed="false">
      <c r="A619" s="26" t="n">
        <f aca="false">Data!A619</f>
        <v>614</v>
      </c>
      <c r="B619" s="26" t="n">
        <f aca="false">IF(INDEX(Pengaturan!$B$8:$B$27,B$4)="",0,COUNTIF(Data!$B619:$U619,INDEX(Pengaturan!$B$8:$B$27,B$4)))</f>
        <v>0</v>
      </c>
      <c r="C619" s="26" t="n">
        <f aca="false">IF(INDEX(Pengaturan!$B$8:$B$27,C$4)="",0,COUNTIF(Data!$B619:$U619,INDEX(Pengaturan!$B$8:$B$27,C$4)))</f>
        <v>0</v>
      </c>
      <c r="D619" s="26" t="n">
        <f aca="false">IF(INDEX(Pengaturan!$B$8:$B$27,D$4)="",0,COUNTIF(Data!$B619:$U619,INDEX(Pengaturan!$B$8:$B$27,D$4)))</f>
        <v>0</v>
      </c>
      <c r="E619" s="26" t="n">
        <f aca="false">IF(INDEX(Pengaturan!$B$8:$B$27,E$4)="",0,COUNTIF(Data!$B619:$U619,INDEX(Pengaturan!$B$8:$B$27,E$4)))</f>
        <v>0</v>
      </c>
      <c r="F619" s="26" t="n">
        <f aca="false">IF(INDEX(Pengaturan!$B$8:$B$27,F$4)="",0,COUNTIF(Data!$B619:$U619,INDEX(Pengaturan!$B$8:$B$27,F$4)))</f>
        <v>0</v>
      </c>
      <c r="G619" s="26" t="n">
        <f aca="false">IF(INDEX(Pengaturan!$B$8:$B$27,G$4)="",0,COUNTIF(Data!$B619:$U619,INDEX(Pengaturan!$B$8:$B$27,G$4)))</f>
        <v>0</v>
      </c>
      <c r="H619" s="26" t="n">
        <f aca="false">IF(INDEX(Pengaturan!$B$8:$B$27,H$4)="",0,COUNTIF(Data!$B619:$U619,INDEX(Pengaturan!$B$8:$B$27,H$4)))</f>
        <v>0</v>
      </c>
      <c r="I619" s="26" t="n">
        <f aca="false">IF(INDEX(Pengaturan!$B$8:$B$27,I$4)="",0,COUNTIF(Data!$B619:$U619,INDEX(Pengaturan!$B$8:$B$27,I$4)))</f>
        <v>0</v>
      </c>
      <c r="J619" s="26" t="n">
        <f aca="false">IF(INDEX(Pengaturan!$B$8:$B$27,J$4)="",0,COUNTIF(Data!$B619:$U619,INDEX(Pengaturan!$B$8:$B$27,J$4)))</f>
        <v>0</v>
      </c>
      <c r="K619" s="26" t="n">
        <f aca="false">IF(INDEX(Pengaturan!$B$8:$B$27,K$4)="",0,COUNTIF(Data!$B619:$U619,INDEX(Pengaturan!$B$8:$B$27,K$4)))</f>
        <v>0</v>
      </c>
      <c r="L619" s="26" t="n">
        <f aca="false">IF(INDEX(Pengaturan!$B$8:$B$27,L$4)="",0,COUNTIF(Data!$B619:$U619,INDEX(Pengaturan!$B$8:$B$27,L$4)))</f>
        <v>0</v>
      </c>
      <c r="M619" s="26" t="n">
        <f aca="false">IF(INDEX(Pengaturan!$B$8:$B$27,M$4)="",0,COUNTIF(Data!$B619:$U619,INDEX(Pengaturan!$B$8:$B$27,M$4)))</f>
        <v>0</v>
      </c>
      <c r="N619" s="26" t="n">
        <f aca="false">IF(INDEX(Pengaturan!$B$8:$B$27,N$4)="",0,COUNTIF(Data!$B619:$U619,INDEX(Pengaturan!$B$8:$B$27,N$4)))</f>
        <v>0</v>
      </c>
      <c r="O619" s="26" t="n">
        <f aca="false">IF(INDEX(Pengaturan!$B$8:$B$27,O$4)="",0,COUNTIF(Data!$B619:$U619,INDEX(Pengaturan!$B$8:$B$27,O$4)))</f>
        <v>0</v>
      </c>
      <c r="P619" s="26" t="n">
        <f aca="false">IF(INDEX(Pengaturan!$B$8:$B$27,P$4)="",0,COUNTIF(Data!$B619:$U619,INDEX(Pengaturan!$B$8:$B$27,P$4)))</f>
        <v>0</v>
      </c>
      <c r="Q619" s="26" t="n">
        <f aca="false">IF(INDEX(Pengaturan!$B$8:$B$27,Q$4)="",0,COUNTIF(Data!$B619:$U619,INDEX(Pengaturan!$B$8:$B$27,Q$4)))</f>
        <v>0</v>
      </c>
      <c r="R619" s="26" t="n">
        <f aca="false">IF(INDEX(Pengaturan!$B$8:$B$27,R$4)="",0,COUNTIF(Data!$B619:$U619,INDEX(Pengaturan!$B$8:$B$27,R$4)))</f>
        <v>0</v>
      </c>
      <c r="S619" s="26" t="n">
        <f aca="false">IF(INDEX(Pengaturan!$B$8:$B$27,S$4)="",0,COUNTIF(Data!$B619:$U619,INDEX(Pengaturan!$B$8:$B$27,S$4)))</f>
        <v>0</v>
      </c>
      <c r="T619" s="26" t="n">
        <f aca="false">IF(INDEX(Pengaturan!$B$8:$B$27,T$4)="",0,COUNTIF(Data!$B619:$U619,INDEX(Pengaturan!$B$8:$B$27,T$4)))</f>
        <v>0</v>
      </c>
      <c r="U619" s="26" t="n">
        <f aca="false">IF(INDEX(Pengaturan!$B$8:$B$27,U$4)="",0,COUNTIF(Data!$B619:$U619,INDEX(Pengaturan!$B$8:$B$27,U$4)))</f>
        <v>0</v>
      </c>
      <c r="V619" s="26" t="n">
        <f aca="false">COUNTA(Data!$B619:$U619)</f>
        <v>0</v>
      </c>
      <c r="W619" s="27" t="str">
        <f aca="false">IF(V619=0,"",IF(V619&lt;&gt;Hasil!$C$4,"Data kosong/tidak lengkap",IF(SUM(B619:U619)&lt;&gt;V619,"Kategori tidak dikenal","OK")))</f>
        <v/>
      </c>
      <c r="X619" s="26" t="n">
        <f aca="false">IF(OR(W619="",W619="OK"),0,1)</f>
        <v>0</v>
      </c>
    </row>
    <row r="620" customFormat="false" ht="15" hidden="false" customHeight="false" outlineLevel="0" collapsed="false">
      <c r="A620" s="26" t="n">
        <f aca="false">Data!A620</f>
        <v>615</v>
      </c>
      <c r="B620" s="26" t="n">
        <f aca="false">IF(INDEX(Pengaturan!$B$8:$B$27,B$4)="",0,COUNTIF(Data!$B620:$U620,INDEX(Pengaturan!$B$8:$B$27,B$4)))</f>
        <v>0</v>
      </c>
      <c r="C620" s="26" t="n">
        <f aca="false">IF(INDEX(Pengaturan!$B$8:$B$27,C$4)="",0,COUNTIF(Data!$B620:$U620,INDEX(Pengaturan!$B$8:$B$27,C$4)))</f>
        <v>0</v>
      </c>
      <c r="D620" s="26" t="n">
        <f aca="false">IF(INDEX(Pengaturan!$B$8:$B$27,D$4)="",0,COUNTIF(Data!$B620:$U620,INDEX(Pengaturan!$B$8:$B$27,D$4)))</f>
        <v>0</v>
      </c>
      <c r="E620" s="26" t="n">
        <f aca="false">IF(INDEX(Pengaturan!$B$8:$B$27,E$4)="",0,COUNTIF(Data!$B620:$U620,INDEX(Pengaturan!$B$8:$B$27,E$4)))</f>
        <v>0</v>
      </c>
      <c r="F620" s="26" t="n">
        <f aca="false">IF(INDEX(Pengaturan!$B$8:$B$27,F$4)="",0,COUNTIF(Data!$B620:$U620,INDEX(Pengaturan!$B$8:$B$27,F$4)))</f>
        <v>0</v>
      </c>
      <c r="G620" s="26" t="n">
        <f aca="false">IF(INDEX(Pengaturan!$B$8:$B$27,G$4)="",0,COUNTIF(Data!$B620:$U620,INDEX(Pengaturan!$B$8:$B$27,G$4)))</f>
        <v>0</v>
      </c>
      <c r="H620" s="26" t="n">
        <f aca="false">IF(INDEX(Pengaturan!$B$8:$B$27,H$4)="",0,COUNTIF(Data!$B620:$U620,INDEX(Pengaturan!$B$8:$B$27,H$4)))</f>
        <v>0</v>
      </c>
      <c r="I620" s="26" t="n">
        <f aca="false">IF(INDEX(Pengaturan!$B$8:$B$27,I$4)="",0,COUNTIF(Data!$B620:$U620,INDEX(Pengaturan!$B$8:$B$27,I$4)))</f>
        <v>0</v>
      </c>
      <c r="J620" s="26" t="n">
        <f aca="false">IF(INDEX(Pengaturan!$B$8:$B$27,J$4)="",0,COUNTIF(Data!$B620:$U620,INDEX(Pengaturan!$B$8:$B$27,J$4)))</f>
        <v>0</v>
      </c>
      <c r="K620" s="26" t="n">
        <f aca="false">IF(INDEX(Pengaturan!$B$8:$B$27,K$4)="",0,COUNTIF(Data!$B620:$U620,INDEX(Pengaturan!$B$8:$B$27,K$4)))</f>
        <v>0</v>
      </c>
      <c r="L620" s="26" t="n">
        <f aca="false">IF(INDEX(Pengaturan!$B$8:$B$27,L$4)="",0,COUNTIF(Data!$B620:$U620,INDEX(Pengaturan!$B$8:$B$27,L$4)))</f>
        <v>0</v>
      </c>
      <c r="M620" s="26" t="n">
        <f aca="false">IF(INDEX(Pengaturan!$B$8:$B$27,M$4)="",0,COUNTIF(Data!$B620:$U620,INDEX(Pengaturan!$B$8:$B$27,M$4)))</f>
        <v>0</v>
      </c>
      <c r="N620" s="26" t="n">
        <f aca="false">IF(INDEX(Pengaturan!$B$8:$B$27,N$4)="",0,COUNTIF(Data!$B620:$U620,INDEX(Pengaturan!$B$8:$B$27,N$4)))</f>
        <v>0</v>
      </c>
      <c r="O620" s="26" t="n">
        <f aca="false">IF(INDEX(Pengaturan!$B$8:$B$27,O$4)="",0,COUNTIF(Data!$B620:$U620,INDEX(Pengaturan!$B$8:$B$27,O$4)))</f>
        <v>0</v>
      </c>
      <c r="P620" s="26" t="n">
        <f aca="false">IF(INDEX(Pengaturan!$B$8:$B$27,P$4)="",0,COUNTIF(Data!$B620:$U620,INDEX(Pengaturan!$B$8:$B$27,P$4)))</f>
        <v>0</v>
      </c>
      <c r="Q620" s="26" t="n">
        <f aca="false">IF(INDEX(Pengaturan!$B$8:$B$27,Q$4)="",0,COUNTIF(Data!$B620:$U620,INDEX(Pengaturan!$B$8:$B$27,Q$4)))</f>
        <v>0</v>
      </c>
      <c r="R620" s="26" t="n">
        <f aca="false">IF(INDEX(Pengaturan!$B$8:$B$27,R$4)="",0,COUNTIF(Data!$B620:$U620,INDEX(Pengaturan!$B$8:$B$27,R$4)))</f>
        <v>0</v>
      </c>
      <c r="S620" s="26" t="n">
        <f aca="false">IF(INDEX(Pengaturan!$B$8:$B$27,S$4)="",0,COUNTIF(Data!$B620:$U620,INDEX(Pengaturan!$B$8:$B$27,S$4)))</f>
        <v>0</v>
      </c>
      <c r="T620" s="26" t="n">
        <f aca="false">IF(INDEX(Pengaturan!$B$8:$B$27,T$4)="",0,COUNTIF(Data!$B620:$U620,INDEX(Pengaturan!$B$8:$B$27,T$4)))</f>
        <v>0</v>
      </c>
      <c r="U620" s="26" t="n">
        <f aca="false">IF(INDEX(Pengaturan!$B$8:$B$27,U$4)="",0,COUNTIF(Data!$B620:$U620,INDEX(Pengaturan!$B$8:$B$27,U$4)))</f>
        <v>0</v>
      </c>
      <c r="V620" s="26" t="n">
        <f aca="false">COUNTA(Data!$B620:$U620)</f>
        <v>0</v>
      </c>
      <c r="W620" s="27" t="str">
        <f aca="false">IF(V620=0,"",IF(V620&lt;&gt;Hasil!$C$4,"Data kosong/tidak lengkap",IF(SUM(B620:U620)&lt;&gt;V620,"Kategori tidak dikenal","OK")))</f>
        <v/>
      </c>
      <c r="X620" s="26" t="n">
        <f aca="false">IF(OR(W620="",W620="OK"),0,1)</f>
        <v>0</v>
      </c>
    </row>
    <row r="621" customFormat="false" ht="15" hidden="false" customHeight="false" outlineLevel="0" collapsed="false">
      <c r="A621" s="26" t="n">
        <f aca="false">Data!A621</f>
        <v>616</v>
      </c>
      <c r="B621" s="26" t="n">
        <f aca="false">IF(INDEX(Pengaturan!$B$8:$B$27,B$4)="",0,COUNTIF(Data!$B621:$U621,INDEX(Pengaturan!$B$8:$B$27,B$4)))</f>
        <v>0</v>
      </c>
      <c r="C621" s="26" t="n">
        <f aca="false">IF(INDEX(Pengaturan!$B$8:$B$27,C$4)="",0,COUNTIF(Data!$B621:$U621,INDEX(Pengaturan!$B$8:$B$27,C$4)))</f>
        <v>0</v>
      </c>
      <c r="D621" s="26" t="n">
        <f aca="false">IF(INDEX(Pengaturan!$B$8:$B$27,D$4)="",0,COUNTIF(Data!$B621:$U621,INDEX(Pengaturan!$B$8:$B$27,D$4)))</f>
        <v>0</v>
      </c>
      <c r="E621" s="26" t="n">
        <f aca="false">IF(INDEX(Pengaturan!$B$8:$B$27,E$4)="",0,COUNTIF(Data!$B621:$U621,INDEX(Pengaturan!$B$8:$B$27,E$4)))</f>
        <v>0</v>
      </c>
      <c r="F621" s="26" t="n">
        <f aca="false">IF(INDEX(Pengaturan!$B$8:$B$27,F$4)="",0,COUNTIF(Data!$B621:$U621,INDEX(Pengaturan!$B$8:$B$27,F$4)))</f>
        <v>0</v>
      </c>
      <c r="G621" s="26" t="n">
        <f aca="false">IF(INDEX(Pengaturan!$B$8:$B$27,G$4)="",0,COUNTIF(Data!$B621:$U621,INDEX(Pengaturan!$B$8:$B$27,G$4)))</f>
        <v>0</v>
      </c>
      <c r="H621" s="26" t="n">
        <f aca="false">IF(INDEX(Pengaturan!$B$8:$B$27,H$4)="",0,COUNTIF(Data!$B621:$U621,INDEX(Pengaturan!$B$8:$B$27,H$4)))</f>
        <v>0</v>
      </c>
      <c r="I621" s="26" t="n">
        <f aca="false">IF(INDEX(Pengaturan!$B$8:$B$27,I$4)="",0,COUNTIF(Data!$B621:$U621,INDEX(Pengaturan!$B$8:$B$27,I$4)))</f>
        <v>0</v>
      </c>
      <c r="J621" s="26" t="n">
        <f aca="false">IF(INDEX(Pengaturan!$B$8:$B$27,J$4)="",0,COUNTIF(Data!$B621:$U621,INDEX(Pengaturan!$B$8:$B$27,J$4)))</f>
        <v>0</v>
      </c>
      <c r="K621" s="26" t="n">
        <f aca="false">IF(INDEX(Pengaturan!$B$8:$B$27,K$4)="",0,COUNTIF(Data!$B621:$U621,INDEX(Pengaturan!$B$8:$B$27,K$4)))</f>
        <v>0</v>
      </c>
      <c r="L621" s="26" t="n">
        <f aca="false">IF(INDEX(Pengaturan!$B$8:$B$27,L$4)="",0,COUNTIF(Data!$B621:$U621,INDEX(Pengaturan!$B$8:$B$27,L$4)))</f>
        <v>0</v>
      </c>
      <c r="M621" s="26" t="n">
        <f aca="false">IF(INDEX(Pengaturan!$B$8:$B$27,M$4)="",0,COUNTIF(Data!$B621:$U621,INDEX(Pengaturan!$B$8:$B$27,M$4)))</f>
        <v>0</v>
      </c>
      <c r="N621" s="26" t="n">
        <f aca="false">IF(INDEX(Pengaturan!$B$8:$B$27,N$4)="",0,COUNTIF(Data!$B621:$U621,INDEX(Pengaturan!$B$8:$B$27,N$4)))</f>
        <v>0</v>
      </c>
      <c r="O621" s="26" t="n">
        <f aca="false">IF(INDEX(Pengaturan!$B$8:$B$27,O$4)="",0,COUNTIF(Data!$B621:$U621,INDEX(Pengaturan!$B$8:$B$27,O$4)))</f>
        <v>0</v>
      </c>
      <c r="P621" s="26" t="n">
        <f aca="false">IF(INDEX(Pengaturan!$B$8:$B$27,P$4)="",0,COUNTIF(Data!$B621:$U621,INDEX(Pengaturan!$B$8:$B$27,P$4)))</f>
        <v>0</v>
      </c>
      <c r="Q621" s="26" t="n">
        <f aca="false">IF(INDEX(Pengaturan!$B$8:$B$27,Q$4)="",0,COUNTIF(Data!$B621:$U621,INDEX(Pengaturan!$B$8:$B$27,Q$4)))</f>
        <v>0</v>
      </c>
      <c r="R621" s="26" t="n">
        <f aca="false">IF(INDEX(Pengaturan!$B$8:$B$27,R$4)="",0,COUNTIF(Data!$B621:$U621,INDEX(Pengaturan!$B$8:$B$27,R$4)))</f>
        <v>0</v>
      </c>
      <c r="S621" s="26" t="n">
        <f aca="false">IF(INDEX(Pengaturan!$B$8:$B$27,S$4)="",0,COUNTIF(Data!$B621:$U621,INDEX(Pengaturan!$B$8:$B$27,S$4)))</f>
        <v>0</v>
      </c>
      <c r="T621" s="26" t="n">
        <f aca="false">IF(INDEX(Pengaturan!$B$8:$B$27,T$4)="",0,COUNTIF(Data!$B621:$U621,INDEX(Pengaturan!$B$8:$B$27,T$4)))</f>
        <v>0</v>
      </c>
      <c r="U621" s="26" t="n">
        <f aca="false">IF(INDEX(Pengaturan!$B$8:$B$27,U$4)="",0,COUNTIF(Data!$B621:$U621,INDEX(Pengaturan!$B$8:$B$27,U$4)))</f>
        <v>0</v>
      </c>
      <c r="V621" s="26" t="n">
        <f aca="false">COUNTA(Data!$B621:$U621)</f>
        <v>0</v>
      </c>
      <c r="W621" s="27" t="str">
        <f aca="false">IF(V621=0,"",IF(V621&lt;&gt;Hasil!$C$4,"Data kosong/tidak lengkap",IF(SUM(B621:U621)&lt;&gt;V621,"Kategori tidak dikenal","OK")))</f>
        <v/>
      </c>
      <c r="X621" s="26" t="n">
        <f aca="false">IF(OR(W621="",W621="OK"),0,1)</f>
        <v>0</v>
      </c>
    </row>
    <row r="622" customFormat="false" ht="15" hidden="false" customHeight="false" outlineLevel="0" collapsed="false">
      <c r="A622" s="26" t="n">
        <f aca="false">Data!A622</f>
        <v>617</v>
      </c>
      <c r="B622" s="26" t="n">
        <f aca="false">IF(INDEX(Pengaturan!$B$8:$B$27,B$4)="",0,COUNTIF(Data!$B622:$U622,INDEX(Pengaturan!$B$8:$B$27,B$4)))</f>
        <v>0</v>
      </c>
      <c r="C622" s="26" t="n">
        <f aca="false">IF(INDEX(Pengaturan!$B$8:$B$27,C$4)="",0,COUNTIF(Data!$B622:$U622,INDEX(Pengaturan!$B$8:$B$27,C$4)))</f>
        <v>0</v>
      </c>
      <c r="D622" s="26" t="n">
        <f aca="false">IF(INDEX(Pengaturan!$B$8:$B$27,D$4)="",0,COUNTIF(Data!$B622:$U622,INDEX(Pengaturan!$B$8:$B$27,D$4)))</f>
        <v>0</v>
      </c>
      <c r="E622" s="26" t="n">
        <f aca="false">IF(INDEX(Pengaturan!$B$8:$B$27,E$4)="",0,COUNTIF(Data!$B622:$U622,INDEX(Pengaturan!$B$8:$B$27,E$4)))</f>
        <v>0</v>
      </c>
      <c r="F622" s="26" t="n">
        <f aca="false">IF(INDEX(Pengaturan!$B$8:$B$27,F$4)="",0,COUNTIF(Data!$B622:$U622,INDEX(Pengaturan!$B$8:$B$27,F$4)))</f>
        <v>0</v>
      </c>
      <c r="G622" s="26" t="n">
        <f aca="false">IF(INDEX(Pengaturan!$B$8:$B$27,G$4)="",0,COUNTIF(Data!$B622:$U622,INDEX(Pengaturan!$B$8:$B$27,G$4)))</f>
        <v>0</v>
      </c>
      <c r="H622" s="26" t="n">
        <f aca="false">IF(INDEX(Pengaturan!$B$8:$B$27,H$4)="",0,COUNTIF(Data!$B622:$U622,INDEX(Pengaturan!$B$8:$B$27,H$4)))</f>
        <v>0</v>
      </c>
      <c r="I622" s="26" t="n">
        <f aca="false">IF(INDEX(Pengaturan!$B$8:$B$27,I$4)="",0,COUNTIF(Data!$B622:$U622,INDEX(Pengaturan!$B$8:$B$27,I$4)))</f>
        <v>0</v>
      </c>
      <c r="J622" s="26" t="n">
        <f aca="false">IF(INDEX(Pengaturan!$B$8:$B$27,J$4)="",0,COUNTIF(Data!$B622:$U622,INDEX(Pengaturan!$B$8:$B$27,J$4)))</f>
        <v>0</v>
      </c>
      <c r="K622" s="26" t="n">
        <f aca="false">IF(INDEX(Pengaturan!$B$8:$B$27,K$4)="",0,COUNTIF(Data!$B622:$U622,INDEX(Pengaturan!$B$8:$B$27,K$4)))</f>
        <v>0</v>
      </c>
      <c r="L622" s="26" t="n">
        <f aca="false">IF(INDEX(Pengaturan!$B$8:$B$27,L$4)="",0,COUNTIF(Data!$B622:$U622,INDEX(Pengaturan!$B$8:$B$27,L$4)))</f>
        <v>0</v>
      </c>
      <c r="M622" s="26" t="n">
        <f aca="false">IF(INDEX(Pengaturan!$B$8:$B$27,M$4)="",0,COUNTIF(Data!$B622:$U622,INDEX(Pengaturan!$B$8:$B$27,M$4)))</f>
        <v>0</v>
      </c>
      <c r="N622" s="26" t="n">
        <f aca="false">IF(INDEX(Pengaturan!$B$8:$B$27,N$4)="",0,COUNTIF(Data!$B622:$U622,INDEX(Pengaturan!$B$8:$B$27,N$4)))</f>
        <v>0</v>
      </c>
      <c r="O622" s="26" t="n">
        <f aca="false">IF(INDEX(Pengaturan!$B$8:$B$27,O$4)="",0,COUNTIF(Data!$B622:$U622,INDEX(Pengaturan!$B$8:$B$27,O$4)))</f>
        <v>0</v>
      </c>
      <c r="P622" s="26" t="n">
        <f aca="false">IF(INDEX(Pengaturan!$B$8:$B$27,P$4)="",0,COUNTIF(Data!$B622:$U622,INDEX(Pengaturan!$B$8:$B$27,P$4)))</f>
        <v>0</v>
      </c>
      <c r="Q622" s="26" t="n">
        <f aca="false">IF(INDEX(Pengaturan!$B$8:$B$27,Q$4)="",0,COUNTIF(Data!$B622:$U622,INDEX(Pengaturan!$B$8:$B$27,Q$4)))</f>
        <v>0</v>
      </c>
      <c r="R622" s="26" t="n">
        <f aca="false">IF(INDEX(Pengaturan!$B$8:$B$27,R$4)="",0,COUNTIF(Data!$B622:$U622,INDEX(Pengaturan!$B$8:$B$27,R$4)))</f>
        <v>0</v>
      </c>
      <c r="S622" s="26" t="n">
        <f aca="false">IF(INDEX(Pengaturan!$B$8:$B$27,S$4)="",0,COUNTIF(Data!$B622:$U622,INDEX(Pengaturan!$B$8:$B$27,S$4)))</f>
        <v>0</v>
      </c>
      <c r="T622" s="26" t="n">
        <f aca="false">IF(INDEX(Pengaturan!$B$8:$B$27,T$4)="",0,COUNTIF(Data!$B622:$U622,INDEX(Pengaturan!$B$8:$B$27,T$4)))</f>
        <v>0</v>
      </c>
      <c r="U622" s="26" t="n">
        <f aca="false">IF(INDEX(Pengaturan!$B$8:$B$27,U$4)="",0,COUNTIF(Data!$B622:$U622,INDEX(Pengaturan!$B$8:$B$27,U$4)))</f>
        <v>0</v>
      </c>
      <c r="V622" s="26" t="n">
        <f aca="false">COUNTA(Data!$B622:$U622)</f>
        <v>0</v>
      </c>
      <c r="W622" s="27" t="str">
        <f aca="false">IF(V622=0,"",IF(V622&lt;&gt;Hasil!$C$4,"Data kosong/tidak lengkap",IF(SUM(B622:U622)&lt;&gt;V622,"Kategori tidak dikenal","OK")))</f>
        <v/>
      </c>
      <c r="X622" s="26" t="n">
        <f aca="false">IF(OR(W622="",W622="OK"),0,1)</f>
        <v>0</v>
      </c>
    </row>
    <row r="623" customFormat="false" ht="15" hidden="false" customHeight="false" outlineLevel="0" collapsed="false">
      <c r="A623" s="26" t="n">
        <f aca="false">Data!A623</f>
        <v>618</v>
      </c>
      <c r="B623" s="26" t="n">
        <f aca="false">IF(INDEX(Pengaturan!$B$8:$B$27,B$4)="",0,COUNTIF(Data!$B623:$U623,INDEX(Pengaturan!$B$8:$B$27,B$4)))</f>
        <v>0</v>
      </c>
      <c r="C623" s="26" t="n">
        <f aca="false">IF(INDEX(Pengaturan!$B$8:$B$27,C$4)="",0,COUNTIF(Data!$B623:$U623,INDEX(Pengaturan!$B$8:$B$27,C$4)))</f>
        <v>0</v>
      </c>
      <c r="D623" s="26" t="n">
        <f aca="false">IF(INDEX(Pengaturan!$B$8:$B$27,D$4)="",0,COUNTIF(Data!$B623:$U623,INDEX(Pengaturan!$B$8:$B$27,D$4)))</f>
        <v>0</v>
      </c>
      <c r="E623" s="26" t="n">
        <f aca="false">IF(INDEX(Pengaturan!$B$8:$B$27,E$4)="",0,COUNTIF(Data!$B623:$U623,INDEX(Pengaturan!$B$8:$B$27,E$4)))</f>
        <v>0</v>
      </c>
      <c r="F623" s="26" t="n">
        <f aca="false">IF(INDEX(Pengaturan!$B$8:$B$27,F$4)="",0,COUNTIF(Data!$B623:$U623,INDEX(Pengaturan!$B$8:$B$27,F$4)))</f>
        <v>0</v>
      </c>
      <c r="G623" s="26" t="n">
        <f aca="false">IF(INDEX(Pengaturan!$B$8:$B$27,G$4)="",0,COUNTIF(Data!$B623:$U623,INDEX(Pengaturan!$B$8:$B$27,G$4)))</f>
        <v>0</v>
      </c>
      <c r="H623" s="26" t="n">
        <f aca="false">IF(INDEX(Pengaturan!$B$8:$B$27,H$4)="",0,COUNTIF(Data!$B623:$U623,INDEX(Pengaturan!$B$8:$B$27,H$4)))</f>
        <v>0</v>
      </c>
      <c r="I623" s="26" t="n">
        <f aca="false">IF(INDEX(Pengaturan!$B$8:$B$27,I$4)="",0,COUNTIF(Data!$B623:$U623,INDEX(Pengaturan!$B$8:$B$27,I$4)))</f>
        <v>0</v>
      </c>
      <c r="J623" s="26" t="n">
        <f aca="false">IF(INDEX(Pengaturan!$B$8:$B$27,J$4)="",0,COUNTIF(Data!$B623:$U623,INDEX(Pengaturan!$B$8:$B$27,J$4)))</f>
        <v>0</v>
      </c>
      <c r="K623" s="26" t="n">
        <f aca="false">IF(INDEX(Pengaturan!$B$8:$B$27,K$4)="",0,COUNTIF(Data!$B623:$U623,INDEX(Pengaturan!$B$8:$B$27,K$4)))</f>
        <v>0</v>
      </c>
      <c r="L623" s="26" t="n">
        <f aca="false">IF(INDEX(Pengaturan!$B$8:$B$27,L$4)="",0,COUNTIF(Data!$B623:$U623,INDEX(Pengaturan!$B$8:$B$27,L$4)))</f>
        <v>0</v>
      </c>
      <c r="M623" s="26" t="n">
        <f aca="false">IF(INDEX(Pengaturan!$B$8:$B$27,M$4)="",0,COUNTIF(Data!$B623:$U623,INDEX(Pengaturan!$B$8:$B$27,M$4)))</f>
        <v>0</v>
      </c>
      <c r="N623" s="26" t="n">
        <f aca="false">IF(INDEX(Pengaturan!$B$8:$B$27,N$4)="",0,COUNTIF(Data!$B623:$U623,INDEX(Pengaturan!$B$8:$B$27,N$4)))</f>
        <v>0</v>
      </c>
      <c r="O623" s="26" t="n">
        <f aca="false">IF(INDEX(Pengaturan!$B$8:$B$27,O$4)="",0,COUNTIF(Data!$B623:$U623,INDEX(Pengaturan!$B$8:$B$27,O$4)))</f>
        <v>0</v>
      </c>
      <c r="P623" s="26" t="n">
        <f aca="false">IF(INDEX(Pengaturan!$B$8:$B$27,P$4)="",0,COUNTIF(Data!$B623:$U623,INDEX(Pengaturan!$B$8:$B$27,P$4)))</f>
        <v>0</v>
      </c>
      <c r="Q623" s="26" t="n">
        <f aca="false">IF(INDEX(Pengaturan!$B$8:$B$27,Q$4)="",0,COUNTIF(Data!$B623:$U623,INDEX(Pengaturan!$B$8:$B$27,Q$4)))</f>
        <v>0</v>
      </c>
      <c r="R623" s="26" t="n">
        <f aca="false">IF(INDEX(Pengaturan!$B$8:$B$27,R$4)="",0,COUNTIF(Data!$B623:$U623,INDEX(Pengaturan!$B$8:$B$27,R$4)))</f>
        <v>0</v>
      </c>
      <c r="S623" s="26" t="n">
        <f aca="false">IF(INDEX(Pengaturan!$B$8:$B$27,S$4)="",0,COUNTIF(Data!$B623:$U623,INDEX(Pengaturan!$B$8:$B$27,S$4)))</f>
        <v>0</v>
      </c>
      <c r="T623" s="26" t="n">
        <f aca="false">IF(INDEX(Pengaturan!$B$8:$B$27,T$4)="",0,COUNTIF(Data!$B623:$U623,INDEX(Pengaturan!$B$8:$B$27,T$4)))</f>
        <v>0</v>
      </c>
      <c r="U623" s="26" t="n">
        <f aca="false">IF(INDEX(Pengaturan!$B$8:$B$27,U$4)="",0,COUNTIF(Data!$B623:$U623,INDEX(Pengaturan!$B$8:$B$27,U$4)))</f>
        <v>0</v>
      </c>
      <c r="V623" s="26" t="n">
        <f aca="false">COUNTA(Data!$B623:$U623)</f>
        <v>0</v>
      </c>
      <c r="W623" s="27" t="str">
        <f aca="false">IF(V623=0,"",IF(V623&lt;&gt;Hasil!$C$4,"Data kosong/tidak lengkap",IF(SUM(B623:U623)&lt;&gt;V623,"Kategori tidak dikenal","OK")))</f>
        <v/>
      </c>
      <c r="X623" s="26" t="n">
        <f aca="false">IF(OR(W623="",W623="OK"),0,1)</f>
        <v>0</v>
      </c>
    </row>
    <row r="624" customFormat="false" ht="15" hidden="false" customHeight="false" outlineLevel="0" collapsed="false">
      <c r="A624" s="26" t="n">
        <f aca="false">Data!A624</f>
        <v>619</v>
      </c>
      <c r="B624" s="26" t="n">
        <f aca="false">IF(INDEX(Pengaturan!$B$8:$B$27,B$4)="",0,COUNTIF(Data!$B624:$U624,INDEX(Pengaturan!$B$8:$B$27,B$4)))</f>
        <v>0</v>
      </c>
      <c r="C624" s="26" t="n">
        <f aca="false">IF(INDEX(Pengaturan!$B$8:$B$27,C$4)="",0,COUNTIF(Data!$B624:$U624,INDEX(Pengaturan!$B$8:$B$27,C$4)))</f>
        <v>0</v>
      </c>
      <c r="D624" s="26" t="n">
        <f aca="false">IF(INDEX(Pengaturan!$B$8:$B$27,D$4)="",0,COUNTIF(Data!$B624:$U624,INDEX(Pengaturan!$B$8:$B$27,D$4)))</f>
        <v>0</v>
      </c>
      <c r="E624" s="26" t="n">
        <f aca="false">IF(INDEX(Pengaturan!$B$8:$B$27,E$4)="",0,COUNTIF(Data!$B624:$U624,INDEX(Pengaturan!$B$8:$B$27,E$4)))</f>
        <v>0</v>
      </c>
      <c r="F624" s="26" t="n">
        <f aca="false">IF(INDEX(Pengaturan!$B$8:$B$27,F$4)="",0,COUNTIF(Data!$B624:$U624,INDEX(Pengaturan!$B$8:$B$27,F$4)))</f>
        <v>0</v>
      </c>
      <c r="G624" s="26" t="n">
        <f aca="false">IF(INDEX(Pengaturan!$B$8:$B$27,G$4)="",0,COUNTIF(Data!$B624:$U624,INDEX(Pengaturan!$B$8:$B$27,G$4)))</f>
        <v>0</v>
      </c>
      <c r="H624" s="26" t="n">
        <f aca="false">IF(INDEX(Pengaturan!$B$8:$B$27,H$4)="",0,COUNTIF(Data!$B624:$U624,INDEX(Pengaturan!$B$8:$B$27,H$4)))</f>
        <v>0</v>
      </c>
      <c r="I624" s="26" t="n">
        <f aca="false">IF(INDEX(Pengaturan!$B$8:$B$27,I$4)="",0,COUNTIF(Data!$B624:$U624,INDEX(Pengaturan!$B$8:$B$27,I$4)))</f>
        <v>0</v>
      </c>
      <c r="J624" s="26" t="n">
        <f aca="false">IF(INDEX(Pengaturan!$B$8:$B$27,J$4)="",0,COUNTIF(Data!$B624:$U624,INDEX(Pengaturan!$B$8:$B$27,J$4)))</f>
        <v>0</v>
      </c>
      <c r="K624" s="26" t="n">
        <f aca="false">IF(INDEX(Pengaturan!$B$8:$B$27,K$4)="",0,COUNTIF(Data!$B624:$U624,INDEX(Pengaturan!$B$8:$B$27,K$4)))</f>
        <v>0</v>
      </c>
      <c r="L624" s="26" t="n">
        <f aca="false">IF(INDEX(Pengaturan!$B$8:$B$27,L$4)="",0,COUNTIF(Data!$B624:$U624,INDEX(Pengaturan!$B$8:$B$27,L$4)))</f>
        <v>0</v>
      </c>
      <c r="M624" s="26" t="n">
        <f aca="false">IF(INDEX(Pengaturan!$B$8:$B$27,M$4)="",0,COUNTIF(Data!$B624:$U624,INDEX(Pengaturan!$B$8:$B$27,M$4)))</f>
        <v>0</v>
      </c>
      <c r="N624" s="26" t="n">
        <f aca="false">IF(INDEX(Pengaturan!$B$8:$B$27,N$4)="",0,COUNTIF(Data!$B624:$U624,INDEX(Pengaturan!$B$8:$B$27,N$4)))</f>
        <v>0</v>
      </c>
      <c r="O624" s="26" t="n">
        <f aca="false">IF(INDEX(Pengaturan!$B$8:$B$27,O$4)="",0,COUNTIF(Data!$B624:$U624,INDEX(Pengaturan!$B$8:$B$27,O$4)))</f>
        <v>0</v>
      </c>
      <c r="P624" s="26" t="n">
        <f aca="false">IF(INDEX(Pengaturan!$B$8:$B$27,P$4)="",0,COUNTIF(Data!$B624:$U624,INDEX(Pengaturan!$B$8:$B$27,P$4)))</f>
        <v>0</v>
      </c>
      <c r="Q624" s="26" t="n">
        <f aca="false">IF(INDEX(Pengaturan!$B$8:$B$27,Q$4)="",0,COUNTIF(Data!$B624:$U624,INDEX(Pengaturan!$B$8:$B$27,Q$4)))</f>
        <v>0</v>
      </c>
      <c r="R624" s="26" t="n">
        <f aca="false">IF(INDEX(Pengaturan!$B$8:$B$27,R$4)="",0,COUNTIF(Data!$B624:$U624,INDEX(Pengaturan!$B$8:$B$27,R$4)))</f>
        <v>0</v>
      </c>
      <c r="S624" s="26" t="n">
        <f aca="false">IF(INDEX(Pengaturan!$B$8:$B$27,S$4)="",0,COUNTIF(Data!$B624:$U624,INDEX(Pengaturan!$B$8:$B$27,S$4)))</f>
        <v>0</v>
      </c>
      <c r="T624" s="26" t="n">
        <f aca="false">IF(INDEX(Pengaturan!$B$8:$B$27,T$4)="",0,COUNTIF(Data!$B624:$U624,INDEX(Pengaturan!$B$8:$B$27,T$4)))</f>
        <v>0</v>
      </c>
      <c r="U624" s="26" t="n">
        <f aca="false">IF(INDEX(Pengaturan!$B$8:$B$27,U$4)="",0,COUNTIF(Data!$B624:$U624,INDEX(Pengaturan!$B$8:$B$27,U$4)))</f>
        <v>0</v>
      </c>
      <c r="V624" s="26" t="n">
        <f aca="false">COUNTA(Data!$B624:$U624)</f>
        <v>0</v>
      </c>
      <c r="W624" s="27" t="str">
        <f aca="false">IF(V624=0,"",IF(V624&lt;&gt;Hasil!$C$4,"Data kosong/tidak lengkap",IF(SUM(B624:U624)&lt;&gt;V624,"Kategori tidak dikenal","OK")))</f>
        <v/>
      </c>
      <c r="X624" s="26" t="n">
        <f aca="false">IF(OR(W624="",W624="OK"),0,1)</f>
        <v>0</v>
      </c>
    </row>
    <row r="625" customFormat="false" ht="15" hidden="false" customHeight="false" outlineLevel="0" collapsed="false">
      <c r="A625" s="26" t="n">
        <f aca="false">Data!A625</f>
        <v>620</v>
      </c>
      <c r="B625" s="26" t="n">
        <f aca="false">IF(INDEX(Pengaturan!$B$8:$B$27,B$4)="",0,COUNTIF(Data!$B625:$U625,INDEX(Pengaturan!$B$8:$B$27,B$4)))</f>
        <v>0</v>
      </c>
      <c r="C625" s="26" t="n">
        <f aca="false">IF(INDEX(Pengaturan!$B$8:$B$27,C$4)="",0,COUNTIF(Data!$B625:$U625,INDEX(Pengaturan!$B$8:$B$27,C$4)))</f>
        <v>0</v>
      </c>
      <c r="D625" s="26" t="n">
        <f aca="false">IF(INDEX(Pengaturan!$B$8:$B$27,D$4)="",0,COUNTIF(Data!$B625:$U625,INDEX(Pengaturan!$B$8:$B$27,D$4)))</f>
        <v>0</v>
      </c>
      <c r="E625" s="26" t="n">
        <f aca="false">IF(INDEX(Pengaturan!$B$8:$B$27,E$4)="",0,COUNTIF(Data!$B625:$U625,INDEX(Pengaturan!$B$8:$B$27,E$4)))</f>
        <v>0</v>
      </c>
      <c r="F625" s="26" t="n">
        <f aca="false">IF(INDEX(Pengaturan!$B$8:$B$27,F$4)="",0,COUNTIF(Data!$B625:$U625,INDEX(Pengaturan!$B$8:$B$27,F$4)))</f>
        <v>0</v>
      </c>
      <c r="G625" s="26" t="n">
        <f aca="false">IF(INDEX(Pengaturan!$B$8:$B$27,G$4)="",0,COUNTIF(Data!$B625:$U625,INDEX(Pengaturan!$B$8:$B$27,G$4)))</f>
        <v>0</v>
      </c>
      <c r="H625" s="26" t="n">
        <f aca="false">IF(INDEX(Pengaturan!$B$8:$B$27,H$4)="",0,COUNTIF(Data!$B625:$U625,INDEX(Pengaturan!$B$8:$B$27,H$4)))</f>
        <v>0</v>
      </c>
      <c r="I625" s="26" t="n">
        <f aca="false">IF(INDEX(Pengaturan!$B$8:$B$27,I$4)="",0,COUNTIF(Data!$B625:$U625,INDEX(Pengaturan!$B$8:$B$27,I$4)))</f>
        <v>0</v>
      </c>
      <c r="J625" s="26" t="n">
        <f aca="false">IF(INDEX(Pengaturan!$B$8:$B$27,J$4)="",0,COUNTIF(Data!$B625:$U625,INDEX(Pengaturan!$B$8:$B$27,J$4)))</f>
        <v>0</v>
      </c>
      <c r="K625" s="26" t="n">
        <f aca="false">IF(INDEX(Pengaturan!$B$8:$B$27,K$4)="",0,COUNTIF(Data!$B625:$U625,INDEX(Pengaturan!$B$8:$B$27,K$4)))</f>
        <v>0</v>
      </c>
      <c r="L625" s="26" t="n">
        <f aca="false">IF(INDEX(Pengaturan!$B$8:$B$27,L$4)="",0,COUNTIF(Data!$B625:$U625,INDEX(Pengaturan!$B$8:$B$27,L$4)))</f>
        <v>0</v>
      </c>
      <c r="M625" s="26" t="n">
        <f aca="false">IF(INDEX(Pengaturan!$B$8:$B$27,M$4)="",0,COUNTIF(Data!$B625:$U625,INDEX(Pengaturan!$B$8:$B$27,M$4)))</f>
        <v>0</v>
      </c>
      <c r="N625" s="26" t="n">
        <f aca="false">IF(INDEX(Pengaturan!$B$8:$B$27,N$4)="",0,COUNTIF(Data!$B625:$U625,INDEX(Pengaturan!$B$8:$B$27,N$4)))</f>
        <v>0</v>
      </c>
      <c r="O625" s="26" t="n">
        <f aca="false">IF(INDEX(Pengaturan!$B$8:$B$27,O$4)="",0,COUNTIF(Data!$B625:$U625,INDEX(Pengaturan!$B$8:$B$27,O$4)))</f>
        <v>0</v>
      </c>
      <c r="P625" s="26" t="n">
        <f aca="false">IF(INDEX(Pengaturan!$B$8:$B$27,P$4)="",0,COUNTIF(Data!$B625:$U625,INDEX(Pengaturan!$B$8:$B$27,P$4)))</f>
        <v>0</v>
      </c>
      <c r="Q625" s="26" t="n">
        <f aca="false">IF(INDEX(Pengaturan!$B$8:$B$27,Q$4)="",0,COUNTIF(Data!$B625:$U625,INDEX(Pengaturan!$B$8:$B$27,Q$4)))</f>
        <v>0</v>
      </c>
      <c r="R625" s="26" t="n">
        <f aca="false">IF(INDEX(Pengaturan!$B$8:$B$27,R$4)="",0,COUNTIF(Data!$B625:$U625,INDEX(Pengaturan!$B$8:$B$27,R$4)))</f>
        <v>0</v>
      </c>
      <c r="S625" s="26" t="n">
        <f aca="false">IF(INDEX(Pengaturan!$B$8:$B$27,S$4)="",0,COUNTIF(Data!$B625:$U625,INDEX(Pengaturan!$B$8:$B$27,S$4)))</f>
        <v>0</v>
      </c>
      <c r="T625" s="26" t="n">
        <f aca="false">IF(INDEX(Pengaturan!$B$8:$B$27,T$4)="",0,COUNTIF(Data!$B625:$U625,INDEX(Pengaturan!$B$8:$B$27,T$4)))</f>
        <v>0</v>
      </c>
      <c r="U625" s="26" t="n">
        <f aca="false">IF(INDEX(Pengaturan!$B$8:$B$27,U$4)="",0,COUNTIF(Data!$B625:$U625,INDEX(Pengaturan!$B$8:$B$27,U$4)))</f>
        <v>0</v>
      </c>
      <c r="V625" s="26" t="n">
        <f aca="false">COUNTA(Data!$B625:$U625)</f>
        <v>0</v>
      </c>
      <c r="W625" s="27" t="str">
        <f aca="false">IF(V625=0,"",IF(V625&lt;&gt;Hasil!$C$4,"Data kosong/tidak lengkap",IF(SUM(B625:U625)&lt;&gt;V625,"Kategori tidak dikenal","OK")))</f>
        <v/>
      </c>
      <c r="X625" s="26" t="n">
        <f aca="false">IF(OR(W625="",W625="OK"),0,1)</f>
        <v>0</v>
      </c>
    </row>
    <row r="626" customFormat="false" ht="15" hidden="false" customHeight="false" outlineLevel="0" collapsed="false">
      <c r="A626" s="26" t="n">
        <f aca="false">Data!A626</f>
        <v>621</v>
      </c>
      <c r="B626" s="26" t="n">
        <f aca="false">IF(INDEX(Pengaturan!$B$8:$B$27,B$4)="",0,COUNTIF(Data!$B626:$U626,INDEX(Pengaturan!$B$8:$B$27,B$4)))</f>
        <v>0</v>
      </c>
      <c r="C626" s="26" t="n">
        <f aca="false">IF(INDEX(Pengaturan!$B$8:$B$27,C$4)="",0,COUNTIF(Data!$B626:$U626,INDEX(Pengaturan!$B$8:$B$27,C$4)))</f>
        <v>0</v>
      </c>
      <c r="D626" s="26" t="n">
        <f aca="false">IF(INDEX(Pengaturan!$B$8:$B$27,D$4)="",0,COUNTIF(Data!$B626:$U626,INDEX(Pengaturan!$B$8:$B$27,D$4)))</f>
        <v>0</v>
      </c>
      <c r="E626" s="26" t="n">
        <f aca="false">IF(INDEX(Pengaturan!$B$8:$B$27,E$4)="",0,COUNTIF(Data!$B626:$U626,INDEX(Pengaturan!$B$8:$B$27,E$4)))</f>
        <v>0</v>
      </c>
      <c r="F626" s="26" t="n">
        <f aca="false">IF(INDEX(Pengaturan!$B$8:$B$27,F$4)="",0,COUNTIF(Data!$B626:$U626,INDEX(Pengaturan!$B$8:$B$27,F$4)))</f>
        <v>0</v>
      </c>
      <c r="G626" s="26" t="n">
        <f aca="false">IF(INDEX(Pengaturan!$B$8:$B$27,G$4)="",0,COUNTIF(Data!$B626:$U626,INDEX(Pengaturan!$B$8:$B$27,G$4)))</f>
        <v>0</v>
      </c>
      <c r="H626" s="26" t="n">
        <f aca="false">IF(INDEX(Pengaturan!$B$8:$B$27,H$4)="",0,COUNTIF(Data!$B626:$U626,INDEX(Pengaturan!$B$8:$B$27,H$4)))</f>
        <v>0</v>
      </c>
      <c r="I626" s="26" t="n">
        <f aca="false">IF(INDEX(Pengaturan!$B$8:$B$27,I$4)="",0,COUNTIF(Data!$B626:$U626,INDEX(Pengaturan!$B$8:$B$27,I$4)))</f>
        <v>0</v>
      </c>
      <c r="J626" s="26" t="n">
        <f aca="false">IF(INDEX(Pengaturan!$B$8:$B$27,J$4)="",0,COUNTIF(Data!$B626:$U626,INDEX(Pengaturan!$B$8:$B$27,J$4)))</f>
        <v>0</v>
      </c>
      <c r="K626" s="26" t="n">
        <f aca="false">IF(INDEX(Pengaturan!$B$8:$B$27,K$4)="",0,COUNTIF(Data!$B626:$U626,INDEX(Pengaturan!$B$8:$B$27,K$4)))</f>
        <v>0</v>
      </c>
      <c r="L626" s="26" t="n">
        <f aca="false">IF(INDEX(Pengaturan!$B$8:$B$27,L$4)="",0,COUNTIF(Data!$B626:$U626,INDEX(Pengaturan!$B$8:$B$27,L$4)))</f>
        <v>0</v>
      </c>
      <c r="M626" s="26" t="n">
        <f aca="false">IF(INDEX(Pengaturan!$B$8:$B$27,M$4)="",0,COUNTIF(Data!$B626:$U626,INDEX(Pengaturan!$B$8:$B$27,M$4)))</f>
        <v>0</v>
      </c>
      <c r="N626" s="26" t="n">
        <f aca="false">IF(INDEX(Pengaturan!$B$8:$B$27,N$4)="",0,COUNTIF(Data!$B626:$U626,INDEX(Pengaturan!$B$8:$B$27,N$4)))</f>
        <v>0</v>
      </c>
      <c r="O626" s="26" t="n">
        <f aca="false">IF(INDEX(Pengaturan!$B$8:$B$27,O$4)="",0,COUNTIF(Data!$B626:$U626,INDEX(Pengaturan!$B$8:$B$27,O$4)))</f>
        <v>0</v>
      </c>
      <c r="P626" s="26" t="n">
        <f aca="false">IF(INDEX(Pengaturan!$B$8:$B$27,P$4)="",0,COUNTIF(Data!$B626:$U626,INDEX(Pengaturan!$B$8:$B$27,P$4)))</f>
        <v>0</v>
      </c>
      <c r="Q626" s="26" t="n">
        <f aca="false">IF(INDEX(Pengaturan!$B$8:$B$27,Q$4)="",0,COUNTIF(Data!$B626:$U626,INDEX(Pengaturan!$B$8:$B$27,Q$4)))</f>
        <v>0</v>
      </c>
      <c r="R626" s="26" t="n">
        <f aca="false">IF(INDEX(Pengaturan!$B$8:$B$27,R$4)="",0,COUNTIF(Data!$B626:$U626,INDEX(Pengaturan!$B$8:$B$27,R$4)))</f>
        <v>0</v>
      </c>
      <c r="S626" s="26" t="n">
        <f aca="false">IF(INDEX(Pengaturan!$B$8:$B$27,S$4)="",0,COUNTIF(Data!$B626:$U626,INDEX(Pengaturan!$B$8:$B$27,S$4)))</f>
        <v>0</v>
      </c>
      <c r="T626" s="26" t="n">
        <f aca="false">IF(INDEX(Pengaturan!$B$8:$B$27,T$4)="",0,COUNTIF(Data!$B626:$U626,INDEX(Pengaturan!$B$8:$B$27,T$4)))</f>
        <v>0</v>
      </c>
      <c r="U626" s="26" t="n">
        <f aca="false">IF(INDEX(Pengaturan!$B$8:$B$27,U$4)="",0,COUNTIF(Data!$B626:$U626,INDEX(Pengaturan!$B$8:$B$27,U$4)))</f>
        <v>0</v>
      </c>
      <c r="V626" s="26" t="n">
        <f aca="false">COUNTA(Data!$B626:$U626)</f>
        <v>0</v>
      </c>
      <c r="W626" s="27" t="str">
        <f aca="false">IF(V626=0,"",IF(V626&lt;&gt;Hasil!$C$4,"Data kosong/tidak lengkap",IF(SUM(B626:U626)&lt;&gt;V626,"Kategori tidak dikenal","OK")))</f>
        <v/>
      </c>
      <c r="X626" s="26" t="n">
        <f aca="false">IF(OR(W626="",W626="OK"),0,1)</f>
        <v>0</v>
      </c>
    </row>
    <row r="627" customFormat="false" ht="15" hidden="false" customHeight="false" outlineLevel="0" collapsed="false">
      <c r="A627" s="26" t="n">
        <f aca="false">Data!A627</f>
        <v>622</v>
      </c>
      <c r="B627" s="26" t="n">
        <f aca="false">IF(INDEX(Pengaturan!$B$8:$B$27,B$4)="",0,COUNTIF(Data!$B627:$U627,INDEX(Pengaturan!$B$8:$B$27,B$4)))</f>
        <v>0</v>
      </c>
      <c r="C627" s="26" t="n">
        <f aca="false">IF(INDEX(Pengaturan!$B$8:$B$27,C$4)="",0,COUNTIF(Data!$B627:$U627,INDEX(Pengaturan!$B$8:$B$27,C$4)))</f>
        <v>0</v>
      </c>
      <c r="D627" s="26" t="n">
        <f aca="false">IF(INDEX(Pengaturan!$B$8:$B$27,D$4)="",0,COUNTIF(Data!$B627:$U627,INDEX(Pengaturan!$B$8:$B$27,D$4)))</f>
        <v>0</v>
      </c>
      <c r="E627" s="26" t="n">
        <f aca="false">IF(INDEX(Pengaturan!$B$8:$B$27,E$4)="",0,COUNTIF(Data!$B627:$U627,INDEX(Pengaturan!$B$8:$B$27,E$4)))</f>
        <v>0</v>
      </c>
      <c r="F627" s="26" t="n">
        <f aca="false">IF(INDEX(Pengaturan!$B$8:$B$27,F$4)="",0,COUNTIF(Data!$B627:$U627,INDEX(Pengaturan!$B$8:$B$27,F$4)))</f>
        <v>0</v>
      </c>
      <c r="G627" s="26" t="n">
        <f aca="false">IF(INDEX(Pengaturan!$B$8:$B$27,G$4)="",0,COUNTIF(Data!$B627:$U627,INDEX(Pengaturan!$B$8:$B$27,G$4)))</f>
        <v>0</v>
      </c>
      <c r="H627" s="26" t="n">
        <f aca="false">IF(INDEX(Pengaturan!$B$8:$B$27,H$4)="",0,COUNTIF(Data!$B627:$U627,INDEX(Pengaturan!$B$8:$B$27,H$4)))</f>
        <v>0</v>
      </c>
      <c r="I627" s="26" t="n">
        <f aca="false">IF(INDEX(Pengaturan!$B$8:$B$27,I$4)="",0,COUNTIF(Data!$B627:$U627,INDEX(Pengaturan!$B$8:$B$27,I$4)))</f>
        <v>0</v>
      </c>
      <c r="J627" s="26" t="n">
        <f aca="false">IF(INDEX(Pengaturan!$B$8:$B$27,J$4)="",0,COUNTIF(Data!$B627:$U627,INDEX(Pengaturan!$B$8:$B$27,J$4)))</f>
        <v>0</v>
      </c>
      <c r="K627" s="26" t="n">
        <f aca="false">IF(INDEX(Pengaturan!$B$8:$B$27,K$4)="",0,COUNTIF(Data!$B627:$U627,INDEX(Pengaturan!$B$8:$B$27,K$4)))</f>
        <v>0</v>
      </c>
      <c r="L627" s="26" t="n">
        <f aca="false">IF(INDEX(Pengaturan!$B$8:$B$27,L$4)="",0,COUNTIF(Data!$B627:$U627,INDEX(Pengaturan!$B$8:$B$27,L$4)))</f>
        <v>0</v>
      </c>
      <c r="M627" s="26" t="n">
        <f aca="false">IF(INDEX(Pengaturan!$B$8:$B$27,M$4)="",0,COUNTIF(Data!$B627:$U627,INDEX(Pengaturan!$B$8:$B$27,M$4)))</f>
        <v>0</v>
      </c>
      <c r="N627" s="26" t="n">
        <f aca="false">IF(INDEX(Pengaturan!$B$8:$B$27,N$4)="",0,COUNTIF(Data!$B627:$U627,INDEX(Pengaturan!$B$8:$B$27,N$4)))</f>
        <v>0</v>
      </c>
      <c r="O627" s="26" t="n">
        <f aca="false">IF(INDEX(Pengaturan!$B$8:$B$27,O$4)="",0,COUNTIF(Data!$B627:$U627,INDEX(Pengaturan!$B$8:$B$27,O$4)))</f>
        <v>0</v>
      </c>
      <c r="P627" s="26" t="n">
        <f aca="false">IF(INDEX(Pengaturan!$B$8:$B$27,P$4)="",0,COUNTIF(Data!$B627:$U627,INDEX(Pengaturan!$B$8:$B$27,P$4)))</f>
        <v>0</v>
      </c>
      <c r="Q627" s="26" t="n">
        <f aca="false">IF(INDEX(Pengaturan!$B$8:$B$27,Q$4)="",0,COUNTIF(Data!$B627:$U627,INDEX(Pengaturan!$B$8:$B$27,Q$4)))</f>
        <v>0</v>
      </c>
      <c r="R627" s="26" t="n">
        <f aca="false">IF(INDEX(Pengaturan!$B$8:$B$27,R$4)="",0,COUNTIF(Data!$B627:$U627,INDEX(Pengaturan!$B$8:$B$27,R$4)))</f>
        <v>0</v>
      </c>
      <c r="S627" s="26" t="n">
        <f aca="false">IF(INDEX(Pengaturan!$B$8:$B$27,S$4)="",0,COUNTIF(Data!$B627:$U627,INDEX(Pengaturan!$B$8:$B$27,S$4)))</f>
        <v>0</v>
      </c>
      <c r="T627" s="26" t="n">
        <f aca="false">IF(INDEX(Pengaturan!$B$8:$B$27,T$4)="",0,COUNTIF(Data!$B627:$U627,INDEX(Pengaturan!$B$8:$B$27,T$4)))</f>
        <v>0</v>
      </c>
      <c r="U627" s="26" t="n">
        <f aca="false">IF(INDEX(Pengaturan!$B$8:$B$27,U$4)="",0,COUNTIF(Data!$B627:$U627,INDEX(Pengaturan!$B$8:$B$27,U$4)))</f>
        <v>0</v>
      </c>
      <c r="V627" s="26" t="n">
        <f aca="false">COUNTA(Data!$B627:$U627)</f>
        <v>0</v>
      </c>
      <c r="W627" s="27" t="str">
        <f aca="false">IF(V627=0,"",IF(V627&lt;&gt;Hasil!$C$4,"Data kosong/tidak lengkap",IF(SUM(B627:U627)&lt;&gt;V627,"Kategori tidak dikenal","OK")))</f>
        <v/>
      </c>
      <c r="X627" s="26" t="n">
        <f aca="false">IF(OR(W627="",W627="OK"),0,1)</f>
        <v>0</v>
      </c>
    </row>
    <row r="628" customFormat="false" ht="15" hidden="false" customHeight="false" outlineLevel="0" collapsed="false">
      <c r="A628" s="26" t="n">
        <f aca="false">Data!A628</f>
        <v>623</v>
      </c>
      <c r="B628" s="26" t="n">
        <f aca="false">IF(INDEX(Pengaturan!$B$8:$B$27,B$4)="",0,COUNTIF(Data!$B628:$U628,INDEX(Pengaturan!$B$8:$B$27,B$4)))</f>
        <v>0</v>
      </c>
      <c r="C628" s="26" t="n">
        <f aca="false">IF(INDEX(Pengaturan!$B$8:$B$27,C$4)="",0,COUNTIF(Data!$B628:$U628,INDEX(Pengaturan!$B$8:$B$27,C$4)))</f>
        <v>0</v>
      </c>
      <c r="D628" s="26" t="n">
        <f aca="false">IF(INDEX(Pengaturan!$B$8:$B$27,D$4)="",0,COUNTIF(Data!$B628:$U628,INDEX(Pengaturan!$B$8:$B$27,D$4)))</f>
        <v>0</v>
      </c>
      <c r="E628" s="26" t="n">
        <f aca="false">IF(INDEX(Pengaturan!$B$8:$B$27,E$4)="",0,COUNTIF(Data!$B628:$U628,INDEX(Pengaturan!$B$8:$B$27,E$4)))</f>
        <v>0</v>
      </c>
      <c r="F628" s="26" t="n">
        <f aca="false">IF(INDEX(Pengaturan!$B$8:$B$27,F$4)="",0,COUNTIF(Data!$B628:$U628,INDEX(Pengaturan!$B$8:$B$27,F$4)))</f>
        <v>0</v>
      </c>
      <c r="G628" s="26" t="n">
        <f aca="false">IF(INDEX(Pengaturan!$B$8:$B$27,G$4)="",0,COUNTIF(Data!$B628:$U628,INDEX(Pengaturan!$B$8:$B$27,G$4)))</f>
        <v>0</v>
      </c>
      <c r="H628" s="26" t="n">
        <f aca="false">IF(INDEX(Pengaturan!$B$8:$B$27,H$4)="",0,COUNTIF(Data!$B628:$U628,INDEX(Pengaturan!$B$8:$B$27,H$4)))</f>
        <v>0</v>
      </c>
      <c r="I628" s="26" t="n">
        <f aca="false">IF(INDEX(Pengaturan!$B$8:$B$27,I$4)="",0,COUNTIF(Data!$B628:$U628,INDEX(Pengaturan!$B$8:$B$27,I$4)))</f>
        <v>0</v>
      </c>
      <c r="J628" s="26" t="n">
        <f aca="false">IF(INDEX(Pengaturan!$B$8:$B$27,J$4)="",0,COUNTIF(Data!$B628:$U628,INDEX(Pengaturan!$B$8:$B$27,J$4)))</f>
        <v>0</v>
      </c>
      <c r="K628" s="26" t="n">
        <f aca="false">IF(INDEX(Pengaturan!$B$8:$B$27,K$4)="",0,COUNTIF(Data!$B628:$U628,INDEX(Pengaturan!$B$8:$B$27,K$4)))</f>
        <v>0</v>
      </c>
      <c r="L628" s="26" t="n">
        <f aca="false">IF(INDEX(Pengaturan!$B$8:$B$27,L$4)="",0,COUNTIF(Data!$B628:$U628,INDEX(Pengaturan!$B$8:$B$27,L$4)))</f>
        <v>0</v>
      </c>
      <c r="M628" s="26" t="n">
        <f aca="false">IF(INDEX(Pengaturan!$B$8:$B$27,M$4)="",0,COUNTIF(Data!$B628:$U628,INDEX(Pengaturan!$B$8:$B$27,M$4)))</f>
        <v>0</v>
      </c>
      <c r="N628" s="26" t="n">
        <f aca="false">IF(INDEX(Pengaturan!$B$8:$B$27,N$4)="",0,COUNTIF(Data!$B628:$U628,INDEX(Pengaturan!$B$8:$B$27,N$4)))</f>
        <v>0</v>
      </c>
      <c r="O628" s="26" t="n">
        <f aca="false">IF(INDEX(Pengaturan!$B$8:$B$27,O$4)="",0,COUNTIF(Data!$B628:$U628,INDEX(Pengaturan!$B$8:$B$27,O$4)))</f>
        <v>0</v>
      </c>
      <c r="P628" s="26" t="n">
        <f aca="false">IF(INDEX(Pengaturan!$B$8:$B$27,P$4)="",0,COUNTIF(Data!$B628:$U628,INDEX(Pengaturan!$B$8:$B$27,P$4)))</f>
        <v>0</v>
      </c>
      <c r="Q628" s="26" t="n">
        <f aca="false">IF(INDEX(Pengaturan!$B$8:$B$27,Q$4)="",0,COUNTIF(Data!$B628:$U628,INDEX(Pengaturan!$B$8:$B$27,Q$4)))</f>
        <v>0</v>
      </c>
      <c r="R628" s="26" t="n">
        <f aca="false">IF(INDEX(Pengaturan!$B$8:$B$27,R$4)="",0,COUNTIF(Data!$B628:$U628,INDEX(Pengaturan!$B$8:$B$27,R$4)))</f>
        <v>0</v>
      </c>
      <c r="S628" s="26" t="n">
        <f aca="false">IF(INDEX(Pengaturan!$B$8:$B$27,S$4)="",0,COUNTIF(Data!$B628:$U628,INDEX(Pengaturan!$B$8:$B$27,S$4)))</f>
        <v>0</v>
      </c>
      <c r="T628" s="26" t="n">
        <f aca="false">IF(INDEX(Pengaturan!$B$8:$B$27,T$4)="",0,COUNTIF(Data!$B628:$U628,INDEX(Pengaturan!$B$8:$B$27,T$4)))</f>
        <v>0</v>
      </c>
      <c r="U628" s="26" t="n">
        <f aca="false">IF(INDEX(Pengaturan!$B$8:$B$27,U$4)="",0,COUNTIF(Data!$B628:$U628,INDEX(Pengaturan!$B$8:$B$27,U$4)))</f>
        <v>0</v>
      </c>
      <c r="V628" s="26" t="n">
        <f aca="false">COUNTA(Data!$B628:$U628)</f>
        <v>0</v>
      </c>
      <c r="W628" s="27" t="str">
        <f aca="false">IF(V628=0,"",IF(V628&lt;&gt;Hasil!$C$4,"Data kosong/tidak lengkap",IF(SUM(B628:U628)&lt;&gt;V628,"Kategori tidak dikenal","OK")))</f>
        <v/>
      </c>
      <c r="X628" s="26" t="n">
        <f aca="false">IF(OR(W628="",W628="OK"),0,1)</f>
        <v>0</v>
      </c>
    </row>
    <row r="629" customFormat="false" ht="15" hidden="false" customHeight="false" outlineLevel="0" collapsed="false">
      <c r="A629" s="26" t="n">
        <f aca="false">Data!A629</f>
        <v>624</v>
      </c>
      <c r="B629" s="26" t="n">
        <f aca="false">IF(INDEX(Pengaturan!$B$8:$B$27,B$4)="",0,COUNTIF(Data!$B629:$U629,INDEX(Pengaturan!$B$8:$B$27,B$4)))</f>
        <v>0</v>
      </c>
      <c r="C629" s="26" t="n">
        <f aca="false">IF(INDEX(Pengaturan!$B$8:$B$27,C$4)="",0,COUNTIF(Data!$B629:$U629,INDEX(Pengaturan!$B$8:$B$27,C$4)))</f>
        <v>0</v>
      </c>
      <c r="D629" s="26" t="n">
        <f aca="false">IF(INDEX(Pengaturan!$B$8:$B$27,D$4)="",0,COUNTIF(Data!$B629:$U629,INDEX(Pengaturan!$B$8:$B$27,D$4)))</f>
        <v>0</v>
      </c>
      <c r="E629" s="26" t="n">
        <f aca="false">IF(INDEX(Pengaturan!$B$8:$B$27,E$4)="",0,COUNTIF(Data!$B629:$U629,INDEX(Pengaturan!$B$8:$B$27,E$4)))</f>
        <v>0</v>
      </c>
      <c r="F629" s="26" t="n">
        <f aca="false">IF(INDEX(Pengaturan!$B$8:$B$27,F$4)="",0,COUNTIF(Data!$B629:$U629,INDEX(Pengaturan!$B$8:$B$27,F$4)))</f>
        <v>0</v>
      </c>
      <c r="G629" s="26" t="n">
        <f aca="false">IF(INDEX(Pengaturan!$B$8:$B$27,G$4)="",0,COUNTIF(Data!$B629:$U629,INDEX(Pengaturan!$B$8:$B$27,G$4)))</f>
        <v>0</v>
      </c>
      <c r="H629" s="26" t="n">
        <f aca="false">IF(INDEX(Pengaturan!$B$8:$B$27,H$4)="",0,COUNTIF(Data!$B629:$U629,INDEX(Pengaturan!$B$8:$B$27,H$4)))</f>
        <v>0</v>
      </c>
      <c r="I629" s="26" t="n">
        <f aca="false">IF(INDEX(Pengaturan!$B$8:$B$27,I$4)="",0,COUNTIF(Data!$B629:$U629,INDEX(Pengaturan!$B$8:$B$27,I$4)))</f>
        <v>0</v>
      </c>
      <c r="J629" s="26" t="n">
        <f aca="false">IF(INDEX(Pengaturan!$B$8:$B$27,J$4)="",0,COUNTIF(Data!$B629:$U629,INDEX(Pengaturan!$B$8:$B$27,J$4)))</f>
        <v>0</v>
      </c>
      <c r="K629" s="26" t="n">
        <f aca="false">IF(INDEX(Pengaturan!$B$8:$B$27,K$4)="",0,COUNTIF(Data!$B629:$U629,INDEX(Pengaturan!$B$8:$B$27,K$4)))</f>
        <v>0</v>
      </c>
      <c r="L629" s="26" t="n">
        <f aca="false">IF(INDEX(Pengaturan!$B$8:$B$27,L$4)="",0,COUNTIF(Data!$B629:$U629,INDEX(Pengaturan!$B$8:$B$27,L$4)))</f>
        <v>0</v>
      </c>
      <c r="M629" s="26" t="n">
        <f aca="false">IF(INDEX(Pengaturan!$B$8:$B$27,M$4)="",0,COUNTIF(Data!$B629:$U629,INDEX(Pengaturan!$B$8:$B$27,M$4)))</f>
        <v>0</v>
      </c>
      <c r="N629" s="26" t="n">
        <f aca="false">IF(INDEX(Pengaturan!$B$8:$B$27,N$4)="",0,COUNTIF(Data!$B629:$U629,INDEX(Pengaturan!$B$8:$B$27,N$4)))</f>
        <v>0</v>
      </c>
      <c r="O629" s="26" t="n">
        <f aca="false">IF(INDEX(Pengaturan!$B$8:$B$27,O$4)="",0,COUNTIF(Data!$B629:$U629,INDEX(Pengaturan!$B$8:$B$27,O$4)))</f>
        <v>0</v>
      </c>
      <c r="P629" s="26" t="n">
        <f aca="false">IF(INDEX(Pengaturan!$B$8:$B$27,P$4)="",0,COUNTIF(Data!$B629:$U629,INDEX(Pengaturan!$B$8:$B$27,P$4)))</f>
        <v>0</v>
      </c>
      <c r="Q629" s="26" t="n">
        <f aca="false">IF(INDEX(Pengaturan!$B$8:$B$27,Q$4)="",0,COUNTIF(Data!$B629:$U629,INDEX(Pengaturan!$B$8:$B$27,Q$4)))</f>
        <v>0</v>
      </c>
      <c r="R629" s="26" t="n">
        <f aca="false">IF(INDEX(Pengaturan!$B$8:$B$27,R$4)="",0,COUNTIF(Data!$B629:$U629,INDEX(Pengaturan!$B$8:$B$27,R$4)))</f>
        <v>0</v>
      </c>
      <c r="S629" s="26" t="n">
        <f aca="false">IF(INDEX(Pengaturan!$B$8:$B$27,S$4)="",0,COUNTIF(Data!$B629:$U629,INDEX(Pengaturan!$B$8:$B$27,S$4)))</f>
        <v>0</v>
      </c>
      <c r="T629" s="26" t="n">
        <f aca="false">IF(INDEX(Pengaturan!$B$8:$B$27,T$4)="",0,COUNTIF(Data!$B629:$U629,INDEX(Pengaturan!$B$8:$B$27,T$4)))</f>
        <v>0</v>
      </c>
      <c r="U629" s="26" t="n">
        <f aca="false">IF(INDEX(Pengaturan!$B$8:$B$27,U$4)="",0,COUNTIF(Data!$B629:$U629,INDEX(Pengaturan!$B$8:$B$27,U$4)))</f>
        <v>0</v>
      </c>
      <c r="V629" s="26" t="n">
        <f aca="false">COUNTA(Data!$B629:$U629)</f>
        <v>0</v>
      </c>
      <c r="W629" s="27" t="str">
        <f aca="false">IF(V629=0,"",IF(V629&lt;&gt;Hasil!$C$4,"Data kosong/tidak lengkap",IF(SUM(B629:U629)&lt;&gt;V629,"Kategori tidak dikenal","OK")))</f>
        <v/>
      </c>
      <c r="X629" s="26" t="n">
        <f aca="false">IF(OR(W629="",W629="OK"),0,1)</f>
        <v>0</v>
      </c>
    </row>
    <row r="630" customFormat="false" ht="15" hidden="false" customHeight="false" outlineLevel="0" collapsed="false">
      <c r="A630" s="26" t="n">
        <f aca="false">Data!A630</f>
        <v>625</v>
      </c>
      <c r="B630" s="26" t="n">
        <f aca="false">IF(INDEX(Pengaturan!$B$8:$B$27,B$4)="",0,COUNTIF(Data!$B630:$U630,INDEX(Pengaturan!$B$8:$B$27,B$4)))</f>
        <v>0</v>
      </c>
      <c r="C630" s="26" t="n">
        <f aca="false">IF(INDEX(Pengaturan!$B$8:$B$27,C$4)="",0,COUNTIF(Data!$B630:$U630,INDEX(Pengaturan!$B$8:$B$27,C$4)))</f>
        <v>0</v>
      </c>
      <c r="D630" s="26" t="n">
        <f aca="false">IF(INDEX(Pengaturan!$B$8:$B$27,D$4)="",0,COUNTIF(Data!$B630:$U630,INDEX(Pengaturan!$B$8:$B$27,D$4)))</f>
        <v>0</v>
      </c>
      <c r="E630" s="26" t="n">
        <f aca="false">IF(INDEX(Pengaturan!$B$8:$B$27,E$4)="",0,COUNTIF(Data!$B630:$U630,INDEX(Pengaturan!$B$8:$B$27,E$4)))</f>
        <v>0</v>
      </c>
      <c r="F630" s="26" t="n">
        <f aca="false">IF(INDEX(Pengaturan!$B$8:$B$27,F$4)="",0,COUNTIF(Data!$B630:$U630,INDEX(Pengaturan!$B$8:$B$27,F$4)))</f>
        <v>0</v>
      </c>
      <c r="G630" s="26" t="n">
        <f aca="false">IF(INDEX(Pengaturan!$B$8:$B$27,G$4)="",0,COUNTIF(Data!$B630:$U630,INDEX(Pengaturan!$B$8:$B$27,G$4)))</f>
        <v>0</v>
      </c>
      <c r="H630" s="26" t="n">
        <f aca="false">IF(INDEX(Pengaturan!$B$8:$B$27,H$4)="",0,COUNTIF(Data!$B630:$U630,INDEX(Pengaturan!$B$8:$B$27,H$4)))</f>
        <v>0</v>
      </c>
      <c r="I630" s="26" t="n">
        <f aca="false">IF(INDEX(Pengaturan!$B$8:$B$27,I$4)="",0,COUNTIF(Data!$B630:$U630,INDEX(Pengaturan!$B$8:$B$27,I$4)))</f>
        <v>0</v>
      </c>
      <c r="J630" s="26" t="n">
        <f aca="false">IF(INDEX(Pengaturan!$B$8:$B$27,J$4)="",0,COUNTIF(Data!$B630:$U630,INDEX(Pengaturan!$B$8:$B$27,J$4)))</f>
        <v>0</v>
      </c>
      <c r="K630" s="26" t="n">
        <f aca="false">IF(INDEX(Pengaturan!$B$8:$B$27,K$4)="",0,COUNTIF(Data!$B630:$U630,INDEX(Pengaturan!$B$8:$B$27,K$4)))</f>
        <v>0</v>
      </c>
      <c r="L630" s="26" t="n">
        <f aca="false">IF(INDEX(Pengaturan!$B$8:$B$27,L$4)="",0,COUNTIF(Data!$B630:$U630,INDEX(Pengaturan!$B$8:$B$27,L$4)))</f>
        <v>0</v>
      </c>
      <c r="M630" s="26" t="n">
        <f aca="false">IF(INDEX(Pengaturan!$B$8:$B$27,M$4)="",0,COUNTIF(Data!$B630:$U630,INDEX(Pengaturan!$B$8:$B$27,M$4)))</f>
        <v>0</v>
      </c>
      <c r="N630" s="26" t="n">
        <f aca="false">IF(INDEX(Pengaturan!$B$8:$B$27,N$4)="",0,COUNTIF(Data!$B630:$U630,INDEX(Pengaturan!$B$8:$B$27,N$4)))</f>
        <v>0</v>
      </c>
      <c r="O630" s="26" t="n">
        <f aca="false">IF(INDEX(Pengaturan!$B$8:$B$27,O$4)="",0,COUNTIF(Data!$B630:$U630,INDEX(Pengaturan!$B$8:$B$27,O$4)))</f>
        <v>0</v>
      </c>
      <c r="P630" s="26" t="n">
        <f aca="false">IF(INDEX(Pengaturan!$B$8:$B$27,P$4)="",0,COUNTIF(Data!$B630:$U630,INDEX(Pengaturan!$B$8:$B$27,P$4)))</f>
        <v>0</v>
      </c>
      <c r="Q630" s="26" t="n">
        <f aca="false">IF(INDEX(Pengaturan!$B$8:$B$27,Q$4)="",0,COUNTIF(Data!$B630:$U630,INDEX(Pengaturan!$B$8:$B$27,Q$4)))</f>
        <v>0</v>
      </c>
      <c r="R630" s="26" t="n">
        <f aca="false">IF(INDEX(Pengaturan!$B$8:$B$27,R$4)="",0,COUNTIF(Data!$B630:$U630,INDEX(Pengaturan!$B$8:$B$27,R$4)))</f>
        <v>0</v>
      </c>
      <c r="S630" s="26" t="n">
        <f aca="false">IF(INDEX(Pengaturan!$B$8:$B$27,S$4)="",0,COUNTIF(Data!$B630:$U630,INDEX(Pengaturan!$B$8:$B$27,S$4)))</f>
        <v>0</v>
      </c>
      <c r="T630" s="26" t="n">
        <f aca="false">IF(INDEX(Pengaturan!$B$8:$B$27,T$4)="",0,COUNTIF(Data!$B630:$U630,INDEX(Pengaturan!$B$8:$B$27,T$4)))</f>
        <v>0</v>
      </c>
      <c r="U630" s="26" t="n">
        <f aca="false">IF(INDEX(Pengaturan!$B$8:$B$27,U$4)="",0,COUNTIF(Data!$B630:$U630,INDEX(Pengaturan!$B$8:$B$27,U$4)))</f>
        <v>0</v>
      </c>
      <c r="V630" s="26" t="n">
        <f aca="false">COUNTA(Data!$B630:$U630)</f>
        <v>0</v>
      </c>
      <c r="W630" s="27" t="str">
        <f aca="false">IF(V630=0,"",IF(V630&lt;&gt;Hasil!$C$4,"Data kosong/tidak lengkap",IF(SUM(B630:U630)&lt;&gt;V630,"Kategori tidak dikenal","OK")))</f>
        <v/>
      </c>
      <c r="X630" s="26" t="n">
        <f aca="false">IF(OR(W630="",W630="OK"),0,1)</f>
        <v>0</v>
      </c>
    </row>
    <row r="631" customFormat="false" ht="15" hidden="false" customHeight="false" outlineLevel="0" collapsed="false">
      <c r="A631" s="26" t="n">
        <f aca="false">Data!A631</f>
        <v>626</v>
      </c>
      <c r="B631" s="26" t="n">
        <f aca="false">IF(INDEX(Pengaturan!$B$8:$B$27,B$4)="",0,COUNTIF(Data!$B631:$U631,INDEX(Pengaturan!$B$8:$B$27,B$4)))</f>
        <v>0</v>
      </c>
      <c r="C631" s="26" t="n">
        <f aca="false">IF(INDEX(Pengaturan!$B$8:$B$27,C$4)="",0,COUNTIF(Data!$B631:$U631,INDEX(Pengaturan!$B$8:$B$27,C$4)))</f>
        <v>0</v>
      </c>
      <c r="D631" s="26" t="n">
        <f aca="false">IF(INDEX(Pengaturan!$B$8:$B$27,D$4)="",0,COUNTIF(Data!$B631:$U631,INDEX(Pengaturan!$B$8:$B$27,D$4)))</f>
        <v>0</v>
      </c>
      <c r="E631" s="26" t="n">
        <f aca="false">IF(INDEX(Pengaturan!$B$8:$B$27,E$4)="",0,COUNTIF(Data!$B631:$U631,INDEX(Pengaturan!$B$8:$B$27,E$4)))</f>
        <v>0</v>
      </c>
      <c r="F631" s="26" t="n">
        <f aca="false">IF(INDEX(Pengaturan!$B$8:$B$27,F$4)="",0,COUNTIF(Data!$B631:$U631,INDEX(Pengaturan!$B$8:$B$27,F$4)))</f>
        <v>0</v>
      </c>
      <c r="G631" s="26" t="n">
        <f aca="false">IF(INDEX(Pengaturan!$B$8:$B$27,G$4)="",0,COUNTIF(Data!$B631:$U631,INDEX(Pengaturan!$B$8:$B$27,G$4)))</f>
        <v>0</v>
      </c>
      <c r="H631" s="26" t="n">
        <f aca="false">IF(INDEX(Pengaturan!$B$8:$B$27,H$4)="",0,COUNTIF(Data!$B631:$U631,INDEX(Pengaturan!$B$8:$B$27,H$4)))</f>
        <v>0</v>
      </c>
      <c r="I631" s="26" t="n">
        <f aca="false">IF(INDEX(Pengaturan!$B$8:$B$27,I$4)="",0,COUNTIF(Data!$B631:$U631,INDEX(Pengaturan!$B$8:$B$27,I$4)))</f>
        <v>0</v>
      </c>
      <c r="J631" s="26" t="n">
        <f aca="false">IF(INDEX(Pengaturan!$B$8:$B$27,J$4)="",0,COUNTIF(Data!$B631:$U631,INDEX(Pengaturan!$B$8:$B$27,J$4)))</f>
        <v>0</v>
      </c>
      <c r="K631" s="26" t="n">
        <f aca="false">IF(INDEX(Pengaturan!$B$8:$B$27,K$4)="",0,COUNTIF(Data!$B631:$U631,INDEX(Pengaturan!$B$8:$B$27,K$4)))</f>
        <v>0</v>
      </c>
      <c r="L631" s="26" t="n">
        <f aca="false">IF(INDEX(Pengaturan!$B$8:$B$27,L$4)="",0,COUNTIF(Data!$B631:$U631,INDEX(Pengaturan!$B$8:$B$27,L$4)))</f>
        <v>0</v>
      </c>
      <c r="M631" s="26" t="n">
        <f aca="false">IF(INDEX(Pengaturan!$B$8:$B$27,M$4)="",0,COUNTIF(Data!$B631:$U631,INDEX(Pengaturan!$B$8:$B$27,M$4)))</f>
        <v>0</v>
      </c>
      <c r="N631" s="26" t="n">
        <f aca="false">IF(INDEX(Pengaturan!$B$8:$B$27,N$4)="",0,COUNTIF(Data!$B631:$U631,INDEX(Pengaturan!$B$8:$B$27,N$4)))</f>
        <v>0</v>
      </c>
      <c r="O631" s="26" t="n">
        <f aca="false">IF(INDEX(Pengaturan!$B$8:$B$27,O$4)="",0,COUNTIF(Data!$B631:$U631,INDEX(Pengaturan!$B$8:$B$27,O$4)))</f>
        <v>0</v>
      </c>
      <c r="P631" s="26" t="n">
        <f aca="false">IF(INDEX(Pengaturan!$B$8:$B$27,P$4)="",0,COUNTIF(Data!$B631:$U631,INDEX(Pengaturan!$B$8:$B$27,P$4)))</f>
        <v>0</v>
      </c>
      <c r="Q631" s="26" t="n">
        <f aca="false">IF(INDEX(Pengaturan!$B$8:$B$27,Q$4)="",0,COUNTIF(Data!$B631:$U631,INDEX(Pengaturan!$B$8:$B$27,Q$4)))</f>
        <v>0</v>
      </c>
      <c r="R631" s="26" t="n">
        <f aca="false">IF(INDEX(Pengaturan!$B$8:$B$27,R$4)="",0,COUNTIF(Data!$B631:$U631,INDEX(Pengaturan!$B$8:$B$27,R$4)))</f>
        <v>0</v>
      </c>
      <c r="S631" s="26" t="n">
        <f aca="false">IF(INDEX(Pengaturan!$B$8:$B$27,S$4)="",0,COUNTIF(Data!$B631:$U631,INDEX(Pengaturan!$B$8:$B$27,S$4)))</f>
        <v>0</v>
      </c>
      <c r="T631" s="26" t="n">
        <f aca="false">IF(INDEX(Pengaturan!$B$8:$B$27,T$4)="",0,COUNTIF(Data!$B631:$U631,INDEX(Pengaturan!$B$8:$B$27,T$4)))</f>
        <v>0</v>
      </c>
      <c r="U631" s="26" t="n">
        <f aca="false">IF(INDEX(Pengaturan!$B$8:$B$27,U$4)="",0,COUNTIF(Data!$B631:$U631,INDEX(Pengaturan!$B$8:$B$27,U$4)))</f>
        <v>0</v>
      </c>
      <c r="V631" s="26" t="n">
        <f aca="false">COUNTA(Data!$B631:$U631)</f>
        <v>0</v>
      </c>
      <c r="W631" s="27" t="str">
        <f aca="false">IF(V631=0,"",IF(V631&lt;&gt;Hasil!$C$4,"Data kosong/tidak lengkap",IF(SUM(B631:U631)&lt;&gt;V631,"Kategori tidak dikenal","OK")))</f>
        <v/>
      </c>
      <c r="X631" s="26" t="n">
        <f aca="false">IF(OR(W631="",W631="OK"),0,1)</f>
        <v>0</v>
      </c>
    </row>
    <row r="632" customFormat="false" ht="15" hidden="false" customHeight="false" outlineLevel="0" collapsed="false">
      <c r="A632" s="26" t="n">
        <f aca="false">Data!A632</f>
        <v>627</v>
      </c>
      <c r="B632" s="26" t="n">
        <f aca="false">IF(INDEX(Pengaturan!$B$8:$B$27,B$4)="",0,COUNTIF(Data!$B632:$U632,INDEX(Pengaturan!$B$8:$B$27,B$4)))</f>
        <v>0</v>
      </c>
      <c r="C632" s="26" t="n">
        <f aca="false">IF(INDEX(Pengaturan!$B$8:$B$27,C$4)="",0,COUNTIF(Data!$B632:$U632,INDEX(Pengaturan!$B$8:$B$27,C$4)))</f>
        <v>0</v>
      </c>
      <c r="D632" s="26" t="n">
        <f aca="false">IF(INDEX(Pengaturan!$B$8:$B$27,D$4)="",0,COUNTIF(Data!$B632:$U632,INDEX(Pengaturan!$B$8:$B$27,D$4)))</f>
        <v>0</v>
      </c>
      <c r="E632" s="26" t="n">
        <f aca="false">IF(INDEX(Pengaturan!$B$8:$B$27,E$4)="",0,COUNTIF(Data!$B632:$U632,INDEX(Pengaturan!$B$8:$B$27,E$4)))</f>
        <v>0</v>
      </c>
      <c r="F632" s="26" t="n">
        <f aca="false">IF(INDEX(Pengaturan!$B$8:$B$27,F$4)="",0,COUNTIF(Data!$B632:$U632,INDEX(Pengaturan!$B$8:$B$27,F$4)))</f>
        <v>0</v>
      </c>
      <c r="G632" s="26" t="n">
        <f aca="false">IF(INDEX(Pengaturan!$B$8:$B$27,G$4)="",0,COUNTIF(Data!$B632:$U632,INDEX(Pengaturan!$B$8:$B$27,G$4)))</f>
        <v>0</v>
      </c>
      <c r="H632" s="26" t="n">
        <f aca="false">IF(INDEX(Pengaturan!$B$8:$B$27,H$4)="",0,COUNTIF(Data!$B632:$U632,INDEX(Pengaturan!$B$8:$B$27,H$4)))</f>
        <v>0</v>
      </c>
      <c r="I632" s="26" t="n">
        <f aca="false">IF(INDEX(Pengaturan!$B$8:$B$27,I$4)="",0,COUNTIF(Data!$B632:$U632,INDEX(Pengaturan!$B$8:$B$27,I$4)))</f>
        <v>0</v>
      </c>
      <c r="J632" s="26" t="n">
        <f aca="false">IF(INDEX(Pengaturan!$B$8:$B$27,J$4)="",0,COUNTIF(Data!$B632:$U632,INDEX(Pengaturan!$B$8:$B$27,J$4)))</f>
        <v>0</v>
      </c>
      <c r="K632" s="26" t="n">
        <f aca="false">IF(INDEX(Pengaturan!$B$8:$B$27,K$4)="",0,COUNTIF(Data!$B632:$U632,INDEX(Pengaturan!$B$8:$B$27,K$4)))</f>
        <v>0</v>
      </c>
      <c r="L632" s="26" t="n">
        <f aca="false">IF(INDEX(Pengaturan!$B$8:$B$27,L$4)="",0,COUNTIF(Data!$B632:$U632,INDEX(Pengaturan!$B$8:$B$27,L$4)))</f>
        <v>0</v>
      </c>
      <c r="M632" s="26" t="n">
        <f aca="false">IF(INDEX(Pengaturan!$B$8:$B$27,M$4)="",0,COUNTIF(Data!$B632:$U632,INDEX(Pengaturan!$B$8:$B$27,M$4)))</f>
        <v>0</v>
      </c>
      <c r="N632" s="26" t="n">
        <f aca="false">IF(INDEX(Pengaturan!$B$8:$B$27,N$4)="",0,COUNTIF(Data!$B632:$U632,INDEX(Pengaturan!$B$8:$B$27,N$4)))</f>
        <v>0</v>
      </c>
      <c r="O632" s="26" t="n">
        <f aca="false">IF(INDEX(Pengaturan!$B$8:$B$27,O$4)="",0,COUNTIF(Data!$B632:$U632,INDEX(Pengaturan!$B$8:$B$27,O$4)))</f>
        <v>0</v>
      </c>
      <c r="P632" s="26" t="n">
        <f aca="false">IF(INDEX(Pengaturan!$B$8:$B$27,P$4)="",0,COUNTIF(Data!$B632:$U632,INDEX(Pengaturan!$B$8:$B$27,P$4)))</f>
        <v>0</v>
      </c>
      <c r="Q632" s="26" t="n">
        <f aca="false">IF(INDEX(Pengaturan!$B$8:$B$27,Q$4)="",0,COUNTIF(Data!$B632:$U632,INDEX(Pengaturan!$B$8:$B$27,Q$4)))</f>
        <v>0</v>
      </c>
      <c r="R632" s="26" t="n">
        <f aca="false">IF(INDEX(Pengaturan!$B$8:$B$27,R$4)="",0,COUNTIF(Data!$B632:$U632,INDEX(Pengaturan!$B$8:$B$27,R$4)))</f>
        <v>0</v>
      </c>
      <c r="S632" s="26" t="n">
        <f aca="false">IF(INDEX(Pengaturan!$B$8:$B$27,S$4)="",0,COUNTIF(Data!$B632:$U632,INDEX(Pengaturan!$B$8:$B$27,S$4)))</f>
        <v>0</v>
      </c>
      <c r="T632" s="26" t="n">
        <f aca="false">IF(INDEX(Pengaturan!$B$8:$B$27,T$4)="",0,COUNTIF(Data!$B632:$U632,INDEX(Pengaturan!$B$8:$B$27,T$4)))</f>
        <v>0</v>
      </c>
      <c r="U632" s="26" t="n">
        <f aca="false">IF(INDEX(Pengaturan!$B$8:$B$27,U$4)="",0,COUNTIF(Data!$B632:$U632,INDEX(Pengaturan!$B$8:$B$27,U$4)))</f>
        <v>0</v>
      </c>
      <c r="V632" s="26" t="n">
        <f aca="false">COUNTA(Data!$B632:$U632)</f>
        <v>0</v>
      </c>
      <c r="W632" s="27" t="str">
        <f aca="false">IF(V632=0,"",IF(V632&lt;&gt;Hasil!$C$4,"Data kosong/tidak lengkap",IF(SUM(B632:U632)&lt;&gt;V632,"Kategori tidak dikenal","OK")))</f>
        <v/>
      </c>
      <c r="X632" s="26" t="n">
        <f aca="false">IF(OR(W632="",W632="OK"),0,1)</f>
        <v>0</v>
      </c>
    </row>
    <row r="633" customFormat="false" ht="15" hidden="false" customHeight="false" outlineLevel="0" collapsed="false">
      <c r="A633" s="26" t="n">
        <f aca="false">Data!A633</f>
        <v>628</v>
      </c>
      <c r="B633" s="26" t="n">
        <f aca="false">IF(INDEX(Pengaturan!$B$8:$B$27,B$4)="",0,COUNTIF(Data!$B633:$U633,INDEX(Pengaturan!$B$8:$B$27,B$4)))</f>
        <v>0</v>
      </c>
      <c r="C633" s="26" t="n">
        <f aca="false">IF(INDEX(Pengaturan!$B$8:$B$27,C$4)="",0,COUNTIF(Data!$B633:$U633,INDEX(Pengaturan!$B$8:$B$27,C$4)))</f>
        <v>0</v>
      </c>
      <c r="D633" s="26" t="n">
        <f aca="false">IF(INDEX(Pengaturan!$B$8:$B$27,D$4)="",0,COUNTIF(Data!$B633:$U633,INDEX(Pengaturan!$B$8:$B$27,D$4)))</f>
        <v>0</v>
      </c>
      <c r="E633" s="26" t="n">
        <f aca="false">IF(INDEX(Pengaturan!$B$8:$B$27,E$4)="",0,COUNTIF(Data!$B633:$U633,INDEX(Pengaturan!$B$8:$B$27,E$4)))</f>
        <v>0</v>
      </c>
      <c r="F633" s="26" t="n">
        <f aca="false">IF(INDEX(Pengaturan!$B$8:$B$27,F$4)="",0,COUNTIF(Data!$B633:$U633,INDEX(Pengaturan!$B$8:$B$27,F$4)))</f>
        <v>0</v>
      </c>
      <c r="G633" s="26" t="n">
        <f aca="false">IF(INDEX(Pengaturan!$B$8:$B$27,G$4)="",0,COUNTIF(Data!$B633:$U633,INDEX(Pengaturan!$B$8:$B$27,G$4)))</f>
        <v>0</v>
      </c>
      <c r="H633" s="26" t="n">
        <f aca="false">IF(INDEX(Pengaturan!$B$8:$B$27,H$4)="",0,COUNTIF(Data!$B633:$U633,INDEX(Pengaturan!$B$8:$B$27,H$4)))</f>
        <v>0</v>
      </c>
      <c r="I633" s="26" t="n">
        <f aca="false">IF(INDEX(Pengaturan!$B$8:$B$27,I$4)="",0,COUNTIF(Data!$B633:$U633,INDEX(Pengaturan!$B$8:$B$27,I$4)))</f>
        <v>0</v>
      </c>
      <c r="J633" s="26" t="n">
        <f aca="false">IF(INDEX(Pengaturan!$B$8:$B$27,J$4)="",0,COUNTIF(Data!$B633:$U633,INDEX(Pengaturan!$B$8:$B$27,J$4)))</f>
        <v>0</v>
      </c>
      <c r="K633" s="26" t="n">
        <f aca="false">IF(INDEX(Pengaturan!$B$8:$B$27,K$4)="",0,COUNTIF(Data!$B633:$U633,INDEX(Pengaturan!$B$8:$B$27,K$4)))</f>
        <v>0</v>
      </c>
      <c r="L633" s="26" t="n">
        <f aca="false">IF(INDEX(Pengaturan!$B$8:$B$27,L$4)="",0,COUNTIF(Data!$B633:$U633,INDEX(Pengaturan!$B$8:$B$27,L$4)))</f>
        <v>0</v>
      </c>
      <c r="M633" s="26" t="n">
        <f aca="false">IF(INDEX(Pengaturan!$B$8:$B$27,M$4)="",0,COUNTIF(Data!$B633:$U633,INDEX(Pengaturan!$B$8:$B$27,M$4)))</f>
        <v>0</v>
      </c>
      <c r="N633" s="26" t="n">
        <f aca="false">IF(INDEX(Pengaturan!$B$8:$B$27,N$4)="",0,COUNTIF(Data!$B633:$U633,INDEX(Pengaturan!$B$8:$B$27,N$4)))</f>
        <v>0</v>
      </c>
      <c r="O633" s="26" t="n">
        <f aca="false">IF(INDEX(Pengaturan!$B$8:$B$27,O$4)="",0,COUNTIF(Data!$B633:$U633,INDEX(Pengaturan!$B$8:$B$27,O$4)))</f>
        <v>0</v>
      </c>
      <c r="P633" s="26" t="n">
        <f aca="false">IF(INDEX(Pengaturan!$B$8:$B$27,P$4)="",0,COUNTIF(Data!$B633:$U633,INDEX(Pengaturan!$B$8:$B$27,P$4)))</f>
        <v>0</v>
      </c>
      <c r="Q633" s="26" t="n">
        <f aca="false">IF(INDEX(Pengaturan!$B$8:$B$27,Q$4)="",0,COUNTIF(Data!$B633:$U633,INDEX(Pengaturan!$B$8:$B$27,Q$4)))</f>
        <v>0</v>
      </c>
      <c r="R633" s="26" t="n">
        <f aca="false">IF(INDEX(Pengaturan!$B$8:$B$27,R$4)="",0,COUNTIF(Data!$B633:$U633,INDEX(Pengaturan!$B$8:$B$27,R$4)))</f>
        <v>0</v>
      </c>
      <c r="S633" s="26" t="n">
        <f aca="false">IF(INDEX(Pengaturan!$B$8:$B$27,S$4)="",0,COUNTIF(Data!$B633:$U633,INDEX(Pengaturan!$B$8:$B$27,S$4)))</f>
        <v>0</v>
      </c>
      <c r="T633" s="26" t="n">
        <f aca="false">IF(INDEX(Pengaturan!$B$8:$B$27,T$4)="",0,COUNTIF(Data!$B633:$U633,INDEX(Pengaturan!$B$8:$B$27,T$4)))</f>
        <v>0</v>
      </c>
      <c r="U633" s="26" t="n">
        <f aca="false">IF(INDEX(Pengaturan!$B$8:$B$27,U$4)="",0,COUNTIF(Data!$B633:$U633,INDEX(Pengaturan!$B$8:$B$27,U$4)))</f>
        <v>0</v>
      </c>
      <c r="V633" s="26" t="n">
        <f aca="false">COUNTA(Data!$B633:$U633)</f>
        <v>0</v>
      </c>
      <c r="W633" s="27" t="str">
        <f aca="false">IF(V633=0,"",IF(V633&lt;&gt;Hasil!$C$4,"Data kosong/tidak lengkap",IF(SUM(B633:U633)&lt;&gt;V633,"Kategori tidak dikenal","OK")))</f>
        <v/>
      </c>
      <c r="X633" s="26" t="n">
        <f aca="false">IF(OR(W633="",W633="OK"),0,1)</f>
        <v>0</v>
      </c>
    </row>
    <row r="634" customFormat="false" ht="15" hidden="false" customHeight="false" outlineLevel="0" collapsed="false">
      <c r="A634" s="26" t="n">
        <f aca="false">Data!A634</f>
        <v>629</v>
      </c>
      <c r="B634" s="26" t="n">
        <f aca="false">IF(INDEX(Pengaturan!$B$8:$B$27,B$4)="",0,COUNTIF(Data!$B634:$U634,INDEX(Pengaturan!$B$8:$B$27,B$4)))</f>
        <v>0</v>
      </c>
      <c r="C634" s="26" t="n">
        <f aca="false">IF(INDEX(Pengaturan!$B$8:$B$27,C$4)="",0,COUNTIF(Data!$B634:$U634,INDEX(Pengaturan!$B$8:$B$27,C$4)))</f>
        <v>0</v>
      </c>
      <c r="D634" s="26" t="n">
        <f aca="false">IF(INDEX(Pengaturan!$B$8:$B$27,D$4)="",0,COUNTIF(Data!$B634:$U634,INDEX(Pengaturan!$B$8:$B$27,D$4)))</f>
        <v>0</v>
      </c>
      <c r="E634" s="26" t="n">
        <f aca="false">IF(INDEX(Pengaturan!$B$8:$B$27,E$4)="",0,COUNTIF(Data!$B634:$U634,INDEX(Pengaturan!$B$8:$B$27,E$4)))</f>
        <v>0</v>
      </c>
      <c r="F634" s="26" t="n">
        <f aca="false">IF(INDEX(Pengaturan!$B$8:$B$27,F$4)="",0,COUNTIF(Data!$B634:$U634,INDEX(Pengaturan!$B$8:$B$27,F$4)))</f>
        <v>0</v>
      </c>
      <c r="G634" s="26" t="n">
        <f aca="false">IF(INDEX(Pengaturan!$B$8:$B$27,G$4)="",0,COUNTIF(Data!$B634:$U634,INDEX(Pengaturan!$B$8:$B$27,G$4)))</f>
        <v>0</v>
      </c>
      <c r="H634" s="26" t="n">
        <f aca="false">IF(INDEX(Pengaturan!$B$8:$B$27,H$4)="",0,COUNTIF(Data!$B634:$U634,INDEX(Pengaturan!$B$8:$B$27,H$4)))</f>
        <v>0</v>
      </c>
      <c r="I634" s="26" t="n">
        <f aca="false">IF(INDEX(Pengaturan!$B$8:$B$27,I$4)="",0,COUNTIF(Data!$B634:$U634,INDEX(Pengaturan!$B$8:$B$27,I$4)))</f>
        <v>0</v>
      </c>
      <c r="J634" s="26" t="n">
        <f aca="false">IF(INDEX(Pengaturan!$B$8:$B$27,J$4)="",0,COUNTIF(Data!$B634:$U634,INDEX(Pengaturan!$B$8:$B$27,J$4)))</f>
        <v>0</v>
      </c>
      <c r="K634" s="26" t="n">
        <f aca="false">IF(INDEX(Pengaturan!$B$8:$B$27,K$4)="",0,COUNTIF(Data!$B634:$U634,INDEX(Pengaturan!$B$8:$B$27,K$4)))</f>
        <v>0</v>
      </c>
      <c r="L634" s="26" t="n">
        <f aca="false">IF(INDEX(Pengaturan!$B$8:$B$27,L$4)="",0,COUNTIF(Data!$B634:$U634,INDEX(Pengaturan!$B$8:$B$27,L$4)))</f>
        <v>0</v>
      </c>
      <c r="M634" s="26" t="n">
        <f aca="false">IF(INDEX(Pengaturan!$B$8:$B$27,M$4)="",0,COUNTIF(Data!$B634:$U634,INDEX(Pengaturan!$B$8:$B$27,M$4)))</f>
        <v>0</v>
      </c>
      <c r="N634" s="26" t="n">
        <f aca="false">IF(INDEX(Pengaturan!$B$8:$B$27,N$4)="",0,COUNTIF(Data!$B634:$U634,INDEX(Pengaturan!$B$8:$B$27,N$4)))</f>
        <v>0</v>
      </c>
      <c r="O634" s="26" t="n">
        <f aca="false">IF(INDEX(Pengaturan!$B$8:$B$27,O$4)="",0,COUNTIF(Data!$B634:$U634,INDEX(Pengaturan!$B$8:$B$27,O$4)))</f>
        <v>0</v>
      </c>
      <c r="P634" s="26" t="n">
        <f aca="false">IF(INDEX(Pengaturan!$B$8:$B$27,P$4)="",0,COUNTIF(Data!$B634:$U634,INDEX(Pengaturan!$B$8:$B$27,P$4)))</f>
        <v>0</v>
      </c>
      <c r="Q634" s="26" t="n">
        <f aca="false">IF(INDEX(Pengaturan!$B$8:$B$27,Q$4)="",0,COUNTIF(Data!$B634:$U634,INDEX(Pengaturan!$B$8:$B$27,Q$4)))</f>
        <v>0</v>
      </c>
      <c r="R634" s="26" t="n">
        <f aca="false">IF(INDEX(Pengaturan!$B$8:$B$27,R$4)="",0,COUNTIF(Data!$B634:$U634,INDEX(Pengaturan!$B$8:$B$27,R$4)))</f>
        <v>0</v>
      </c>
      <c r="S634" s="26" t="n">
        <f aca="false">IF(INDEX(Pengaturan!$B$8:$B$27,S$4)="",0,COUNTIF(Data!$B634:$U634,INDEX(Pengaturan!$B$8:$B$27,S$4)))</f>
        <v>0</v>
      </c>
      <c r="T634" s="26" t="n">
        <f aca="false">IF(INDEX(Pengaturan!$B$8:$B$27,T$4)="",0,COUNTIF(Data!$B634:$U634,INDEX(Pengaturan!$B$8:$B$27,T$4)))</f>
        <v>0</v>
      </c>
      <c r="U634" s="26" t="n">
        <f aca="false">IF(INDEX(Pengaturan!$B$8:$B$27,U$4)="",0,COUNTIF(Data!$B634:$U634,INDEX(Pengaturan!$B$8:$B$27,U$4)))</f>
        <v>0</v>
      </c>
      <c r="V634" s="26" t="n">
        <f aca="false">COUNTA(Data!$B634:$U634)</f>
        <v>0</v>
      </c>
      <c r="W634" s="27" t="str">
        <f aca="false">IF(V634=0,"",IF(V634&lt;&gt;Hasil!$C$4,"Data kosong/tidak lengkap",IF(SUM(B634:U634)&lt;&gt;V634,"Kategori tidak dikenal","OK")))</f>
        <v/>
      </c>
      <c r="X634" s="26" t="n">
        <f aca="false">IF(OR(W634="",W634="OK"),0,1)</f>
        <v>0</v>
      </c>
    </row>
    <row r="635" customFormat="false" ht="15" hidden="false" customHeight="false" outlineLevel="0" collapsed="false">
      <c r="A635" s="26" t="n">
        <f aca="false">Data!A635</f>
        <v>630</v>
      </c>
      <c r="B635" s="26" t="n">
        <f aca="false">IF(INDEX(Pengaturan!$B$8:$B$27,B$4)="",0,COUNTIF(Data!$B635:$U635,INDEX(Pengaturan!$B$8:$B$27,B$4)))</f>
        <v>0</v>
      </c>
      <c r="C635" s="26" t="n">
        <f aca="false">IF(INDEX(Pengaturan!$B$8:$B$27,C$4)="",0,COUNTIF(Data!$B635:$U635,INDEX(Pengaturan!$B$8:$B$27,C$4)))</f>
        <v>0</v>
      </c>
      <c r="D635" s="26" t="n">
        <f aca="false">IF(INDEX(Pengaturan!$B$8:$B$27,D$4)="",0,COUNTIF(Data!$B635:$U635,INDEX(Pengaturan!$B$8:$B$27,D$4)))</f>
        <v>0</v>
      </c>
      <c r="E635" s="26" t="n">
        <f aca="false">IF(INDEX(Pengaturan!$B$8:$B$27,E$4)="",0,COUNTIF(Data!$B635:$U635,INDEX(Pengaturan!$B$8:$B$27,E$4)))</f>
        <v>0</v>
      </c>
      <c r="F635" s="26" t="n">
        <f aca="false">IF(INDEX(Pengaturan!$B$8:$B$27,F$4)="",0,COUNTIF(Data!$B635:$U635,INDEX(Pengaturan!$B$8:$B$27,F$4)))</f>
        <v>0</v>
      </c>
      <c r="G635" s="26" t="n">
        <f aca="false">IF(INDEX(Pengaturan!$B$8:$B$27,G$4)="",0,COUNTIF(Data!$B635:$U635,INDEX(Pengaturan!$B$8:$B$27,G$4)))</f>
        <v>0</v>
      </c>
      <c r="H635" s="26" t="n">
        <f aca="false">IF(INDEX(Pengaturan!$B$8:$B$27,H$4)="",0,COUNTIF(Data!$B635:$U635,INDEX(Pengaturan!$B$8:$B$27,H$4)))</f>
        <v>0</v>
      </c>
      <c r="I635" s="26" t="n">
        <f aca="false">IF(INDEX(Pengaturan!$B$8:$B$27,I$4)="",0,COUNTIF(Data!$B635:$U635,INDEX(Pengaturan!$B$8:$B$27,I$4)))</f>
        <v>0</v>
      </c>
      <c r="J635" s="26" t="n">
        <f aca="false">IF(INDEX(Pengaturan!$B$8:$B$27,J$4)="",0,COUNTIF(Data!$B635:$U635,INDEX(Pengaturan!$B$8:$B$27,J$4)))</f>
        <v>0</v>
      </c>
      <c r="K635" s="26" t="n">
        <f aca="false">IF(INDEX(Pengaturan!$B$8:$B$27,K$4)="",0,COUNTIF(Data!$B635:$U635,INDEX(Pengaturan!$B$8:$B$27,K$4)))</f>
        <v>0</v>
      </c>
      <c r="L635" s="26" t="n">
        <f aca="false">IF(INDEX(Pengaturan!$B$8:$B$27,L$4)="",0,COUNTIF(Data!$B635:$U635,INDEX(Pengaturan!$B$8:$B$27,L$4)))</f>
        <v>0</v>
      </c>
      <c r="M635" s="26" t="n">
        <f aca="false">IF(INDEX(Pengaturan!$B$8:$B$27,M$4)="",0,COUNTIF(Data!$B635:$U635,INDEX(Pengaturan!$B$8:$B$27,M$4)))</f>
        <v>0</v>
      </c>
      <c r="N635" s="26" t="n">
        <f aca="false">IF(INDEX(Pengaturan!$B$8:$B$27,N$4)="",0,COUNTIF(Data!$B635:$U635,INDEX(Pengaturan!$B$8:$B$27,N$4)))</f>
        <v>0</v>
      </c>
      <c r="O635" s="26" t="n">
        <f aca="false">IF(INDEX(Pengaturan!$B$8:$B$27,O$4)="",0,COUNTIF(Data!$B635:$U635,INDEX(Pengaturan!$B$8:$B$27,O$4)))</f>
        <v>0</v>
      </c>
      <c r="P635" s="26" t="n">
        <f aca="false">IF(INDEX(Pengaturan!$B$8:$B$27,P$4)="",0,COUNTIF(Data!$B635:$U635,INDEX(Pengaturan!$B$8:$B$27,P$4)))</f>
        <v>0</v>
      </c>
      <c r="Q635" s="26" t="n">
        <f aca="false">IF(INDEX(Pengaturan!$B$8:$B$27,Q$4)="",0,COUNTIF(Data!$B635:$U635,INDEX(Pengaturan!$B$8:$B$27,Q$4)))</f>
        <v>0</v>
      </c>
      <c r="R635" s="26" t="n">
        <f aca="false">IF(INDEX(Pengaturan!$B$8:$B$27,R$4)="",0,COUNTIF(Data!$B635:$U635,INDEX(Pengaturan!$B$8:$B$27,R$4)))</f>
        <v>0</v>
      </c>
      <c r="S635" s="26" t="n">
        <f aca="false">IF(INDEX(Pengaturan!$B$8:$B$27,S$4)="",0,COUNTIF(Data!$B635:$U635,INDEX(Pengaturan!$B$8:$B$27,S$4)))</f>
        <v>0</v>
      </c>
      <c r="T635" s="26" t="n">
        <f aca="false">IF(INDEX(Pengaturan!$B$8:$B$27,T$4)="",0,COUNTIF(Data!$B635:$U635,INDEX(Pengaturan!$B$8:$B$27,T$4)))</f>
        <v>0</v>
      </c>
      <c r="U635" s="26" t="n">
        <f aca="false">IF(INDEX(Pengaturan!$B$8:$B$27,U$4)="",0,COUNTIF(Data!$B635:$U635,INDEX(Pengaturan!$B$8:$B$27,U$4)))</f>
        <v>0</v>
      </c>
      <c r="V635" s="26" t="n">
        <f aca="false">COUNTA(Data!$B635:$U635)</f>
        <v>0</v>
      </c>
      <c r="W635" s="27" t="str">
        <f aca="false">IF(V635=0,"",IF(V635&lt;&gt;Hasil!$C$4,"Data kosong/tidak lengkap",IF(SUM(B635:U635)&lt;&gt;V635,"Kategori tidak dikenal","OK")))</f>
        <v/>
      </c>
      <c r="X635" s="26" t="n">
        <f aca="false">IF(OR(W635="",W635="OK"),0,1)</f>
        <v>0</v>
      </c>
    </row>
    <row r="636" customFormat="false" ht="15" hidden="false" customHeight="false" outlineLevel="0" collapsed="false">
      <c r="A636" s="26" t="n">
        <f aca="false">Data!A636</f>
        <v>631</v>
      </c>
      <c r="B636" s="26" t="n">
        <f aca="false">IF(INDEX(Pengaturan!$B$8:$B$27,B$4)="",0,COUNTIF(Data!$B636:$U636,INDEX(Pengaturan!$B$8:$B$27,B$4)))</f>
        <v>0</v>
      </c>
      <c r="C636" s="26" t="n">
        <f aca="false">IF(INDEX(Pengaturan!$B$8:$B$27,C$4)="",0,COUNTIF(Data!$B636:$U636,INDEX(Pengaturan!$B$8:$B$27,C$4)))</f>
        <v>0</v>
      </c>
      <c r="D636" s="26" t="n">
        <f aca="false">IF(INDEX(Pengaturan!$B$8:$B$27,D$4)="",0,COUNTIF(Data!$B636:$U636,INDEX(Pengaturan!$B$8:$B$27,D$4)))</f>
        <v>0</v>
      </c>
      <c r="E636" s="26" t="n">
        <f aca="false">IF(INDEX(Pengaturan!$B$8:$B$27,E$4)="",0,COUNTIF(Data!$B636:$U636,INDEX(Pengaturan!$B$8:$B$27,E$4)))</f>
        <v>0</v>
      </c>
      <c r="F636" s="26" t="n">
        <f aca="false">IF(INDEX(Pengaturan!$B$8:$B$27,F$4)="",0,COUNTIF(Data!$B636:$U636,INDEX(Pengaturan!$B$8:$B$27,F$4)))</f>
        <v>0</v>
      </c>
      <c r="G636" s="26" t="n">
        <f aca="false">IF(INDEX(Pengaturan!$B$8:$B$27,G$4)="",0,COUNTIF(Data!$B636:$U636,INDEX(Pengaturan!$B$8:$B$27,G$4)))</f>
        <v>0</v>
      </c>
      <c r="H636" s="26" t="n">
        <f aca="false">IF(INDEX(Pengaturan!$B$8:$B$27,H$4)="",0,COUNTIF(Data!$B636:$U636,INDEX(Pengaturan!$B$8:$B$27,H$4)))</f>
        <v>0</v>
      </c>
      <c r="I636" s="26" t="n">
        <f aca="false">IF(INDEX(Pengaturan!$B$8:$B$27,I$4)="",0,COUNTIF(Data!$B636:$U636,INDEX(Pengaturan!$B$8:$B$27,I$4)))</f>
        <v>0</v>
      </c>
      <c r="J636" s="26" t="n">
        <f aca="false">IF(INDEX(Pengaturan!$B$8:$B$27,J$4)="",0,COUNTIF(Data!$B636:$U636,INDEX(Pengaturan!$B$8:$B$27,J$4)))</f>
        <v>0</v>
      </c>
      <c r="K636" s="26" t="n">
        <f aca="false">IF(INDEX(Pengaturan!$B$8:$B$27,K$4)="",0,COUNTIF(Data!$B636:$U636,INDEX(Pengaturan!$B$8:$B$27,K$4)))</f>
        <v>0</v>
      </c>
      <c r="L636" s="26" t="n">
        <f aca="false">IF(INDEX(Pengaturan!$B$8:$B$27,L$4)="",0,COUNTIF(Data!$B636:$U636,INDEX(Pengaturan!$B$8:$B$27,L$4)))</f>
        <v>0</v>
      </c>
      <c r="M636" s="26" t="n">
        <f aca="false">IF(INDEX(Pengaturan!$B$8:$B$27,M$4)="",0,COUNTIF(Data!$B636:$U636,INDEX(Pengaturan!$B$8:$B$27,M$4)))</f>
        <v>0</v>
      </c>
      <c r="N636" s="26" t="n">
        <f aca="false">IF(INDEX(Pengaturan!$B$8:$B$27,N$4)="",0,COUNTIF(Data!$B636:$U636,INDEX(Pengaturan!$B$8:$B$27,N$4)))</f>
        <v>0</v>
      </c>
      <c r="O636" s="26" t="n">
        <f aca="false">IF(INDEX(Pengaturan!$B$8:$B$27,O$4)="",0,COUNTIF(Data!$B636:$U636,INDEX(Pengaturan!$B$8:$B$27,O$4)))</f>
        <v>0</v>
      </c>
      <c r="P636" s="26" t="n">
        <f aca="false">IF(INDEX(Pengaturan!$B$8:$B$27,P$4)="",0,COUNTIF(Data!$B636:$U636,INDEX(Pengaturan!$B$8:$B$27,P$4)))</f>
        <v>0</v>
      </c>
      <c r="Q636" s="26" t="n">
        <f aca="false">IF(INDEX(Pengaturan!$B$8:$B$27,Q$4)="",0,COUNTIF(Data!$B636:$U636,INDEX(Pengaturan!$B$8:$B$27,Q$4)))</f>
        <v>0</v>
      </c>
      <c r="R636" s="26" t="n">
        <f aca="false">IF(INDEX(Pengaturan!$B$8:$B$27,R$4)="",0,COUNTIF(Data!$B636:$U636,INDEX(Pengaturan!$B$8:$B$27,R$4)))</f>
        <v>0</v>
      </c>
      <c r="S636" s="26" t="n">
        <f aca="false">IF(INDEX(Pengaturan!$B$8:$B$27,S$4)="",0,COUNTIF(Data!$B636:$U636,INDEX(Pengaturan!$B$8:$B$27,S$4)))</f>
        <v>0</v>
      </c>
      <c r="T636" s="26" t="n">
        <f aca="false">IF(INDEX(Pengaturan!$B$8:$B$27,T$4)="",0,COUNTIF(Data!$B636:$U636,INDEX(Pengaturan!$B$8:$B$27,T$4)))</f>
        <v>0</v>
      </c>
      <c r="U636" s="26" t="n">
        <f aca="false">IF(INDEX(Pengaturan!$B$8:$B$27,U$4)="",0,COUNTIF(Data!$B636:$U636,INDEX(Pengaturan!$B$8:$B$27,U$4)))</f>
        <v>0</v>
      </c>
      <c r="V636" s="26" t="n">
        <f aca="false">COUNTA(Data!$B636:$U636)</f>
        <v>0</v>
      </c>
      <c r="W636" s="27" t="str">
        <f aca="false">IF(V636=0,"",IF(V636&lt;&gt;Hasil!$C$4,"Data kosong/tidak lengkap",IF(SUM(B636:U636)&lt;&gt;V636,"Kategori tidak dikenal","OK")))</f>
        <v/>
      </c>
      <c r="X636" s="26" t="n">
        <f aca="false">IF(OR(W636="",W636="OK"),0,1)</f>
        <v>0</v>
      </c>
    </row>
    <row r="637" customFormat="false" ht="15" hidden="false" customHeight="false" outlineLevel="0" collapsed="false">
      <c r="A637" s="26" t="n">
        <f aca="false">Data!A637</f>
        <v>632</v>
      </c>
      <c r="B637" s="26" t="n">
        <f aca="false">IF(INDEX(Pengaturan!$B$8:$B$27,B$4)="",0,COUNTIF(Data!$B637:$U637,INDEX(Pengaturan!$B$8:$B$27,B$4)))</f>
        <v>0</v>
      </c>
      <c r="C637" s="26" t="n">
        <f aca="false">IF(INDEX(Pengaturan!$B$8:$B$27,C$4)="",0,COUNTIF(Data!$B637:$U637,INDEX(Pengaturan!$B$8:$B$27,C$4)))</f>
        <v>0</v>
      </c>
      <c r="D637" s="26" t="n">
        <f aca="false">IF(INDEX(Pengaturan!$B$8:$B$27,D$4)="",0,COUNTIF(Data!$B637:$U637,INDEX(Pengaturan!$B$8:$B$27,D$4)))</f>
        <v>0</v>
      </c>
      <c r="E637" s="26" t="n">
        <f aca="false">IF(INDEX(Pengaturan!$B$8:$B$27,E$4)="",0,COUNTIF(Data!$B637:$U637,INDEX(Pengaturan!$B$8:$B$27,E$4)))</f>
        <v>0</v>
      </c>
      <c r="F637" s="26" t="n">
        <f aca="false">IF(INDEX(Pengaturan!$B$8:$B$27,F$4)="",0,COUNTIF(Data!$B637:$U637,INDEX(Pengaturan!$B$8:$B$27,F$4)))</f>
        <v>0</v>
      </c>
      <c r="G637" s="26" t="n">
        <f aca="false">IF(INDEX(Pengaturan!$B$8:$B$27,G$4)="",0,COUNTIF(Data!$B637:$U637,INDEX(Pengaturan!$B$8:$B$27,G$4)))</f>
        <v>0</v>
      </c>
      <c r="H637" s="26" t="n">
        <f aca="false">IF(INDEX(Pengaturan!$B$8:$B$27,H$4)="",0,COUNTIF(Data!$B637:$U637,INDEX(Pengaturan!$B$8:$B$27,H$4)))</f>
        <v>0</v>
      </c>
      <c r="I637" s="26" t="n">
        <f aca="false">IF(INDEX(Pengaturan!$B$8:$B$27,I$4)="",0,COUNTIF(Data!$B637:$U637,INDEX(Pengaturan!$B$8:$B$27,I$4)))</f>
        <v>0</v>
      </c>
      <c r="J637" s="26" t="n">
        <f aca="false">IF(INDEX(Pengaturan!$B$8:$B$27,J$4)="",0,COUNTIF(Data!$B637:$U637,INDEX(Pengaturan!$B$8:$B$27,J$4)))</f>
        <v>0</v>
      </c>
      <c r="K637" s="26" t="n">
        <f aca="false">IF(INDEX(Pengaturan!$B$8:$B$27,K$4)="",0,COUNTIF(Data!$B637:$U637,INDEX(Pengaturan!$B$8:$B$27,K$4)))</f>
        <v>0</v>
      </c>
      <c r="L637" s="26" t="n">
        <f aca="false">IF(INDEX(Pengaturan!$B$8:$B$27,L$4)="",0,COUNTIF(Data!$B637:$U637,INDEX(Pengaturan!$B$8:$B$27,L$4)))</f>
        <v>0</v>
      </c>
      <c r="M637" s="26" t="n">
        <f aca="false">IF(INDEX(Pengaturan!$B$8:$B$27,M$4)="",0,COUNTIF(Data!$B637:$U637,INDEX(Pengaturan!$B$8:$B$27,M$4)))</f>
        <v>0</v>
      </c>
      <c r="N637" s="26" t="n">
        <f aca="false">IF(INDEX(Pengaturan!$B$8:$B$27,N$4)="",0,COUNTIF(Data!$B637:$U637,INDEX(Pengaturan!$B$8:$B$27,N$4)))</f>
        <v>0</v>
      </c>
      <c r="O637" s="26" t="n">
        <f aca="false">IF(INDEX(Pengaturan!$B$8:$B$27,O$4)="",0,COUNTIF(Data!$B637:$U637,INDEX(Pengaturan!$B$8:$B$27,O$4)))</f>
        <v>0</v>
      </c>
      <c r="P637" s="26" t="n">
        <f aca="false">IF(INDEX(Pengaturan!$B$8:$B$27,P$4)="",0,COUNTIF(Data!$B637:$U637,INDEX(Pengaturan!$B$8:$B$27,P$4)))</f>
        <v>0</v>
      </c>
      <c r="Q637" s="26" t="n">
        <f aca="false">IF(INDEX(Pengaturan!$B$8:$B$27,Q$4)="",0,COUNTIF(Data!$B637:$U637,INDEX(Pengaturan!$B$8:$B$27,Q$4)))</f>
        <v>0</v>
      </c>
      <c r="R637" s="26" t="n">
        <f aca="false">IF(INDEX(Pengaturan!$B$8:$B$27,R$4)="",0,COUNTIF(Data!$B637:$U637,INDEX(Pengaturan!$B$8:$B$27,R$4)))</f>
        <v>0</v>
      </c>
      <c r="S637" s="26" t="n">
        <f aca="false">IF(INDEX(Pengaturan!$B$8:$B$27,S$4)="",0,COUNTIF(Data!$B637:$U637,INDEX(Pengaturan!$B$8:$B$27,S$4)))</f>
        <v>0</v>
      </c>
      <c r="T637" s="26" t="n">
        <f aca="false">IF(INDEX(Pengaturan!$B$8:$B$27,T$4)="",0,COUNTIF(Data!$B637:$U637,INDEX(Pengaturan!$B$8:$B$27,T$4)))</f>
        <v>0</v>
      </c>
      <c r="U637" s="26" t="n">
        <f aca="false">IF(INDEX(Pengaturan!$B$8:$B$27,U$4)="",0,COUNTIF(Data!$B637:$U637,INDEX(Pengaturan!$B$8:$B$27,U$4)))</f>
        <v>0</v>
      </c>
      <c r="V637" s="26" t="n">
        <f aca="false">COUNTA(Data!$B637:$U637)</f>
        <v>0</v>
      </c>
      <c r="W637" s="27" t="str">
        <f aca="false">IF(V637=0,"",IF(V637&lt;&gt;Hasil!$C$4,"Data kosong/tidak lengkap",IF(SUM(B637:U637)&lt;&gt;V637,"Kategori tidak dikenal","OK")))</f>
        <v/>
      </c>
      <c r="X637" s="26" t="n">
        <f aca="false">IF(OR(W637="",W637="OK"),0,1)</f>
        <v>0</v>
      </c>
    </row>
    <row r="638" customFormat="false" ht="15" hidden="false" customHeight="false" outlineLevel="0" collapsed="false">
      <c r="A638" s="26" t="n">
        <f aca="false">Data!A638</f>
        <v>633</v>
      </c>
      <c r="B638" s="26" t="n">
        <f aca="false">IF(INDEX(Pengaturan!$B$8:$B$27,B$4)="",0,COUNTIF(Data!$B638:$U638,INDEX(Pengaturan!$B$8:$B$27,B$4)))</f>
        <v>0</v>
      </c>
      <c r="C638" s="26" t="n">
        <f aca="false">IF(INDEX(Pengaturan!$B$8:$B$27,C$4)="",0,COUNTIF(Data!$B638:$U638,INDEX(Pengaturan!$B$8:$B$27,C$4)))</f>
        <v>0</v>
      </c>
      <c r="D638" s="26" t="n">
        <f aca="false">IF(INDEX(Pengaturan!$B$8:$B$27,D$4)="",0,COUNTIF(Data!$B638:$U638,INDEX(Pengaturan!$B$8:$B$27,D$4)))</f>
        <v>0</v>
      </c>
      <c r="E638" s="26" t="n">
        <f aca="false">IF(INDEX(Pengaturan!$B$8:$B$27,E$4)="",0,COUNTIF(Data!$B638:$U638,INDEX(Pengaturan!$B$8:$B$27,E$4)))</f>
        <v>0</v>
      </c>
      <c r="F638" s="26" t="n">
        <f aca="false">IF(INDEX(Pengaturan!$B$8:$B$27,F$4)="",0,COUNTIF(Data!$B638:$U638,INDEX(Pengaturan!$B$8:$B$27,F$4)))</f>
        <v>0</v>
      </c>
      <c r="G638" s="26" t="n">
        <f aca="false">IF(INDEX(Pengaturan!$B$8:$B$27,G$4)="",0,COUNTIF(Data!$B638:$U638,INDEX(Pengaturan!$B$8:$B$27,G$4)))</f>
        <v>0</v>
      </c>
      <c r="H638" s="26" t="n">
        <f aca="false">IF(INDEX(Pengaturan!$B$8:$B$27,H$4)="",0,COUNTIF(Data!$B638:$U638,INDEX(Pengaturan!$B$8:$B$27,H$4)))</f>
        <v>0</v>
      </c>
      <c r="I638" s="26" t="n">
        <f aca="false">IF(INDEX(Pengaturan!$B$8:$B$27,I$4)="",0,COUNTIF(Data!$B638:$U638,INDEX(Pengaturan!$B$8:$B$27,I$4)))</f>
        <v>0</v>
      </c>
      <c r="J638" s="26" t="n">
        <f aca="false">IF(INDEX(Pengaturan!$B$8:$B$27,J$4)="",0,COUNTIF(Data!$B638:$U638,INDEX(Pengaturan!$B$8:$B$27,J$4)))</f>
        <v>0</v>
      </c>
      <c r="K638" s="26" t="n">
        <f aca="false">IF(INDEX(Pengaturan!$B$8:$B$27,K$4)="",0,COUNTIF(Data!$B638:$U638,INDEX(Pengaturan!$B$8:$B$27,K$4)))</f>
        <v>0</v>
      </c>
      <c r="L638" s="26" t="n">
        <f aca="false">IF(INDEX(Pengaturan!$B$8:$B$27,L$4)="",0,COUNTIF(Data!$B638:$U638,INDEX(Pengaturan!$B$8:$B$27,L$4)))</f>
        <v>0</v>
      </c>
      <c r="M638" s="26" t="n">
        <f aca="false">IF(INDEX(Pengaturan!$B$8:$B$27,M$4)="",0,COUNTIF(Data!$B638:$U638,INDEX(Pengaturan!$B$8:$B$27,M$4)))</f>
        <v>0</v>
      </c>
      <c r="N638" s="26" t="n">
        <f aca="false">IF(INDEX(Pengaturan!$B$8:$B$27,N$4)="",0,COUNTIF(Data!$B638:$U638,INDEX(Pengaturan!$B$8:$B$27,N$4)))</f>
        <v>0</v>
      </c>
      <c r="O638" s="26" t="n">
        <f aca="false">IF(INDEX(Pengaturan!$B$8:$B$27,O$4)="",0,COUNTIF(Data!$B638:$U638,INDEX(Pengaturan!$B$8:$B$27,O$4)))</f>
        <v>0</v>
      </c>
      <c r="P638" s="26" t="n">
        <f aca="false">IF(INDEX(Pengaturan!$B$8:$B$27,P$4)="",0,COUNTIF(Data!$B638:$U638,INDEX(Pengaturan!$B$8:$B$27,P$4)))</f>
        <v>0</v>
      </c>
      <c r="Q638" s="26" t="n">
        <f aca="false">IF(INDEX(Pengaturan!$B$8:$B$27,Q$4)="",0,COUNTIF(Data!$B638:$U638,INDEX(Pengaturan!$B$8:$B$27,Q$4)))</f>
        <v>0</v>
      </c>
      <c r="R638" s="26" t="n">
        <f aca="false">IF(INDEX(Pengaturan!$B$8:$B$27,R$4)="",0,COUNTIF(Data!$B638:$U638,INDEX(Pengaturan!$B$8:$B$27,R$4)))</f>
        <v>0</v>
      </c>
      <c r="S638" s="26" t="n">
        <f aca="false">IF(INDEX(Pengaturan!$B$8:$B$27,S$4)="",0,COUNTIF(Data!$B638:$U638,INDEX(Pengaturan!$B$8:$B$27,S$4)))</f>
        <v>0</v>
      </c>
      <c r="T638" s="26" t="n">
        <f aca="false">IF(INDEX(Pengaturan!$B$8:$B$27,T$4)="",0,COUNTIF(Data!$B638:$U638,INDEX(Pengaturan!$B$8:$B$27,T$4)))</f>
        <v>0</v>
      </c>
      <c r="U638" s="26" t="n">
        <f aca="false">IF(INDEX(Pengaturan!$B$8:$B$27,U$4)="",0,COUNTIF(Data!$B638:$U638,INDEX(Pengaturan!$B$8:$B$27,U$4)))</f>
        <v>0</v>
      </c>
      <c r="V638" s="26" t="n">
        <f aca="false">COUNTA(Data!$B638:$U638)</f>
        <v>0</v>
      </c>
      <c r="W638" s="27" t="str">
        <f aca="false">IF(V638=0,"",IF(V638&lt;&gt;Hasil!$C$4,"Data kosong/tidak lengkap",IF(SUM(B638:U638)&lt;&gt;V638,"Kategori tidak dikenal","OK")))</f>
        <v/>
      </c>
      <c r="X638" s="26" t="n">
        <f aca="false">IF(OR(W638="",W638="OK"),0,1)</f>
        <v>0</v>
      </c>
    </row>
    <row r="639" customFormat="false" ht="15" hidden="false" customHeight="false" outlineLevel="0" collapsed="false">
      <c r="A639" s="26" t="n">
        <f aca="false">Data!A639</f>
        <v>634</v>
      </c>
      <c r="B639" s="26" t="n">
        <f aca="false">IF(INDEX(Pengaturan!$B$8:$B$27,B$4)="",0,COUNTIF(Data!$B639:$U639,INDEX(Pengaturan!$B$8:$B$27,B$4)))</f>
        <v>0</v>
      </c>
      <c r="C639" s="26" t="n">
        <f aca="false">IF(INDEX(Pengaturan!$B$8:$B$27,C$4)="",0,COUNTIF(Data!$B639:$U639,INDEX(Pengaturan!$B$8:$B$27,C$4)))</f>
        <v>0</v>
      </c>
      <c r="D639" s="26" t="n">
        <f aca="false">IF(INDEX(Pengaturan!$B$8:$B$27,D$4)="",0,COUNTIF(Data!$B639:$U639,INDEX(Pengaturan!$B$8:$B$27,D$4)))</f>
        <v>0</v>
      </c>
      <c r="E639" s="26" t="n">
        <f aca="false">IF(INDEX(Pengaturan!$B$8:$B$27,E$4)="",0,COUNTIF(Data!$B639:$U639,INDEX(Pengaturan!$B$8:$B$27,E$4)))</f>
        <v>0</v>
      </c>
      <c r="F639" s="26" t="n">
        <f aca="false">IF(INDEX(Pengaturan!$B$8:$B$27,F$4)="",0,COUNTIF(Data!$B639:$U639,INDEX(Pengaturan!$B$8:$B$27,F$4)))</f>
        <v>0</v>
      </c>
      <c r="G639" s="26" t="n">
        <f aca="false">IF(INDEX(Pengaturan!$B$8:$B$27,G$4)="",0,COUNTIF(Data!$B639:$U639,INDEX(Pengaturan!$B$8:$B$27,G$4)))</f>
        <v>0</v>
      </c>
      <c r="H639" s="26" t="n">
        <f aca="false">IF(INDEX(Pengaturan!$B$8:$B$27,H$4)="",0,COUNTIF(Data!$B639:$U639,INDEX(Pengaturan!$B$8:$B$27,H$4)))</f>
        <v>0</v>
      </c>
      <c r="I639" s="26" t="n">
        <f aca="false">IF(INDEX(Pengaturan!$B$8:$B$27,I$4)="",0,COUNTIF(Data!$B639:$U639,INDEX(Pengaturan!$B$8:$B$27,I$4)))</f>
        <v>0</v>
      </c>
      <c r="J639" s="26" t="n">
        <f aca="false">IF(INDEX(Pengaturan!$B$8:$B$27,J$4)="",0,COUNTIF(Data!$B639:$U639,INDEX(Pengaturan!$B$8:$B$27,J$4)))</f>
        <v>0</v>
      </c>
      <c r="K639" s="26" t="n">
        <f aca="false">IF(INDEX(Pengaturan!$B$8:$B$27,K$4)="",0,COUNTIF(Data!$B639:$U639,INDEX(Pengaturan!$B$8:$B$27,K$4)))</f>
        <v>0</v>
      </c>
      <c r="L639" s="26" t="n">
        <f aca="false">IF(INDEX(Pengaturan!$B$8:$B$27,L$4)="",0,COUNTIF(Data!$B639:$U639,INDEX(Pengaturan!$B$8:$B$27,L$4)))</f>
        <v>0</v>
      </c>
      <c r="M639" s="26" t="n">
        <f aca="false">IF(INDEX(Pengaturan!$B$8:$B$27,M$4)="",0,COUNTIF(Data!$B639:$U639,INDEX(Pengaturan!$B$8:$B$27,M$4)))</f>
        <v>0</v>
      </c>
      <c r="N639" s="26" t="n">
        <f aca="false">IF(INDEX(Pengaturan!$B$8:$B$27,N$4)="",0,COUNTIF(Data!$B639:$U639,INDEX(Pengaturan!$B$8:$B$27,N$4)))</f>
        <v>0</v>
      </c>
      <c r="O639" s="26" t="n">
        <f aca="false">IF(INDEX(Pengaturan!$B$8:$B$27,O$4)="",0,COUNTIF(Data!$B639:$U639,INDEX(Pengaturan!$B$8:$B$27,O$4)))</f>
        <v>0</v>
      </c>
      <c r="P639" s="26" t="n">
        <f aca="false">IF(INDEX(Pengaturan!$B$8:$B$27,P$4)="",0,COUNTIF(Data!$B639:$U639,INDEX(Pengaturan!$B$8:$B$27,P$4)))</f>
        <v>0</v>
      </c>
      <c r="Q639" s="26" t="n">
        <f aca="false">IF(INDEX(Pengaturan!$B$8:$B$27,Q$4)="",0,COUNTIF(Data!$B639:$U639,INDEX(Pengaturan!$B$8:$B$27,Q$4)))</f>
        <v>0</v>
      </c>
      <c r="R639" s="26" t="n">
        <f aca="false">IF(INDEX(Pengaturan!$B$8:$B$27,R$4)="",0,COUNTIF(Data!$B639:$U639,INDEX(Pengaturan!$B$8:$B$27,R$4)))</f>
        <v>0</v>
      </c>
      <c r="S639" s="26" t="n">
        <f aca="false">IF(INDEX(Pengaturan!$B$8:$B$27,S$4)="",0,COUNTIF(Data!$B639:$U639,INDEX(Pengaturan!$B$8:$B$27,S$4)))</f>
        <v>0</v>
      </c>
      <c r="T639" s="26" t="n">
        <f aca="false">IF(INDEX(Pengaturan!$B$8:$B$27,T$4)="",0,COUNTIF(Data!$B639:$U639,INDEX(Pengaturan!$B$8:$B$27,T$4)))</f>
        <v>0</v>
      </c>
      <c r="U639" s="26" t="n">
        <f aca="false">IF(INDEX(Pengaturan!$B$8:$B$27,U$4)="",0,COUNTIF(Data!$B639:$U639,INDEX(Pengaturan!$B$8:$B$27,U$4)))</f>
        <v>0</v>
      </c>
      <c r="V639" s="26" t="n">
        <f aca="false">COUNTA(Data!$B639:$U639)</f>
        <v>0</v>
      </c>
      <c r="W639" s="27" t="str">
        <f aca="false">IF(V639=0,"",IF(V639&lt;&gt;Hasil!$C$4,"Data kosong/tidak lengkap",IF(SUM(B639:U639)&lt;&gt;V639,"Kategori tidak dikenal","OK")))</f>
        <v/>
      </c>
      <c r="X639" s="26" t="n">
        <f aca="false">IF(OR(W639="",W639="OK"),0,1)</f>
        <v>0</v>
      </c>
    </row>
    <row r="640" customFormat="false" ht="15" hidden="false" customHeight="false" outlineLevel="0" collapsed="false">
      <c r="A640" s="26" t="n">
        <f aca="false">Data!A640</f>
        <v>635</v>
      </c>
      <c r="B640" s="26" t="n">
        <f aca="false">IF(INDEX(Pengaturan!$B$8:$B$27,B$4)="",0,COUNTIF(Data!$B640:$U640,INDEX(Pengaturan!$B$8:$B$27,B$4)))</f>
        <v>0</v>
      </c>
      <c r="C640" s="26" t="n">
        <f aca="false">IF(INDEX(Pengaturan!$B$8:$B$27,C$4)="",0,COUNTIF(Data!$B640:$U640,INDEX(Pengaturan!$B$8:$B$27,C$4)))</f>
        <v>0</v>
      </c>
      <c r="D640" s="26" t="n">
        <f aca="false">IF(INDEX(Pengaturan!$B$8:$B$27,D$4)="",0,COUNTIF(Data!$B640:$U640,INDEX(Pengaturan!$B$8:$B$27,D$4)))</f>
        <v>0</v>
      </c>
      <c r="E640" s="26" t="n">
        <f aca="false">IF(INDEX(Pengaturan!$B$8:$B$27,E$4)="",0,COUNTIF(Data!$B640:$U640,INDEX(Pengaturan!$B$8:$B$27,E$4)))</f>
        <v>0</v>
      </c>
      <c r="F640" s="26" t="n">
        <f aca="false">IF(INDEX(Pengaturan!$B$8:$B$27,F$4)="",0,COUNTIF(Data!$B640:$U640,INDEX(Pengaturan!$B$8:$B$27,F$4)))</f>
        <v>0</v>
      </c>
      <c r="G640" s="26" t="n">
        <f aca="false">IF(INDEX(Pengaturan!$B$8:$B$27,G$4)="",0,COUNTIF(Data!$B640:$U640,INDEX(Pengaturan!$B$8:$B$27,G$4)))</f>
        <v>0</v>
      </c>
      <c r="H640" s="26" t="n">
        <f aca="false">IF(INDEX(Pengaturan!$B$8:$B$27,H$4)="",0,COUNTIF(Data!$B640:$U640,INDEX(Pengaturan!$B$8:$B$27,H$4)))</f>
        <v>0</v>
      </c>
      <c r="I640" s="26" t="n">
        <f aca="false">IF(INDEX(Pengaturan!$B$8:$B$27,I$4)="",0,COUNTIF(Data!$B640:$U640,INDEX(Pengaturan!$B$8:$B$27,I$4)))</f>
        <v>0</v>
      </c>
      <c r="J640" s="26" t="n">
        <f aca="false">IF(INDEX(Pengaturan!$B$8:$B$27,J$4)="",0,COUNTIF(Data!$B640:$U640,INDEX(Pengaturan!$B$8:$B$27,J$4)))</f>
        <v>0</v>
      </c>
      <c r="K640" s="26" t="n">
        <f aca="false">IF(INDEX(Pengaturan!$B$8:$B$27,K$4)="",0,COUNTIF(Data!$B640:$U640,INDEX(Pengaturan!$B$8:$B$27,K$4)))</f>
        <v>0</v>
      </c>
      <c r="L640" s="26" t="n">
        <f aca="false">IF(INDEX(Pengaturan!$B$8:$B$27,L$4)="",0,COUNTIF(Data!$B640:$U640,INDEX(Pengaturan!$B$8:$B$27,L$4)))</f>
        <v>0</v>
      </c>
      <c r="M640" s="26" t="n">
        <f aca="false">IF(INDEX(Pengaturan!$B$8:$B$27,M$4)="",0,COUNTIF(Data!$B640:$U640,INDEX(Pengaturan!$B$8:$B$27,M$4)))</f>
        <v>0</v>
      </c>
      <c r="N640" s="26" t="n">
        <f aca="false">IF(INDEX(Pengaturan!$B$8:$B$27,N$4)="",0,COUNTIF(Data!$B640:$U640,INDEX(Pengaturan!$B$8:$B$27,N$4)))</f>
        <v>0</v>
      </c>
      <c r="O640" s="26" t="n">
        <f aca="false">IF(INDEX(Pengaturan!$B$8:$B$27,O$4)="",0,COUNTIF(Data!$B640:$U640,INDEX(Pengaturan!$B$8:$B$27,O$4)))</f>
        <v>0</v>
      </c>
      <c r="P640" s="26" t="n">
        <f aca="false">IF(INDEX(Pengaturan!$B$8:$B$27,P$4)="",0,COUNTIF(Data!$B640:$U640,INDEX(Pengaturan!$B$8:$B$27,P$4)))</f>
        <v>0</v>
      </c>
      <c r="Q640" s="26" t="n">
        <f aca="false">IF(INDEX(Pengaturan!$B$8:$B$27,Q$4)="",0,COUNTIF(Data!$B640:$U640,INDEX(Pengaturan!$B$8:$B$27,Q$4)))</f>
        <v>0</v>
      </c>
      <c r="R640" s="26" t="n">
        <f aca="false">IF(INDEX(Pengaturan!$B$8:$B$27,R$4)="",0,COUNTIF(Data!$B640:$U640,INDEX(Pengaturan!$B$8:$B$27,R$4)))</f>
        <v>0</v>
      </c>
      <c r="S640" s="26" t="n">
        <f aca="false">IF(INDEX(Pengaturan!$B$8:$B$27,S$4)="",0,COUNTIF(Data!$B640:$U640,INDEX(Pengaturan!$B$8:$B$27,S$4)))</f>
        <v>0</v>
      </c>
      <c r="T640" s="26" t="n">
        <f aca="false">IF(INDEX(Pengaturan!$B$8:$B$27,T$4)="",0,COUNTIF(Data!$B640:$U640,INDEX(Pengaturan!$B$8:$B$27,T$4)))</f>
        <v>0</v>
      </c>
      <c r="U640" s="26" t="n">
        <f aca="false">IF(INDEX(Pengaturan!$B$8:$B$27,U$4)="",0,COUNTIF(Data!$B640:$U640,INDEX(Pengaturan!$B$8:$B$27,U$4)))</f>
        <v>0</v>
      </c>
      <c r="V640" s="26" t="n">
        <f aca="false">COUNTA(Data!$B640:$U640)</f>
        <v>0</v>
      </c>
      <c r="W640" s="27" t="str">
        <f aca="false">IF(V640=0,"",IF(V640&lt;&gt;Hasil!$C$4,"Data kosong/tidak lengkap",IF(SUM(B640:U640)&lt;&gt;V640,"Kategori tidak dikenal","OK")))</f>
        <v/>
      </c>
      <c r="X640" s="26" t="n">
        <f aca="false">IF(OR(W640="",W640="OK"),0,1)</f>
        <v>0</v>
      </c>
    </row>
    <row r="641" customFormat="false" ht="15" hidden="false" customHeight="false" outlineLevel="0" collapsed="false">
      <c r="A641" s="26" t="n">
        <f aca="false">Data!A641</f>
        <v>636</v>
      </c>
      <c r="B641" s="26" t="n">
        <f aca="false">IF(INDEX(Pengaturan!$B$8:$B$27,B$4)="",0,COUNTIF(Data!$B641:$U641,INDEX(Pengaturan!$B$8:$B$27,B$4)))</f>
        <v>0</v>
      </c>
      <c r="C641" s="26" t="n">
        <f aca="false">IF(INDEX(Pengaturan!$B$8:$B$27,C$4)="",0,COUNTIF(Data!$B641:$U641,INDEX(Pengaturan!$B$8:$B$27,C$4)))</f>
        <v>0</v>
      </c>
      <c r="D641" s="26" t="n">
        <f aca="false">IF(INDEX(Pengaturan!$B$8:$B$27,D$4)="",0,COUNTIF(Data!$B641:$U641,INDEX(Pengaturan!$B$8:$B$27,D$4)))</f>
        <v>0</v>
      </c>
      <c r="E641" s="26" t="n">
        <f aca="false">IF(INDEX(Pengaturan!$B$8:$B$27,E$4)="",0,COUNTIF(Data!$B641:$U641,INDEX(Pengaturan!$B$8:$B$27,E$4)))</f>
        <v>0</v>
      </c>
      <c r="F641" s="26" t="n">
        <f aca="false">IF(INDEX(Pengaturan!$B$8:$B$27,F$4)="",0,COUNTIF(Data!$B641:$U641,INDEX(Pengaturan!$B$8:$B$27,F$4)))</f>
        <v>0</v>
      </c>
      <c r="G641" s="26" t="n">
        <f aca="false">IF(INDEX(Pengaturan!$B$8:$B$27,G$4)="",0,COUNTIF(Data!$B641:$U641,INDEX(Pengaturan!$B$8:$B$27,G$4)))</f>
        <v>0</v>
      </c>
      <c r="H641" s="26" t="n">
        <f aca="false">IF(INDEX(Pengaturan!$B$8:$B$27,H$4)="",0,COUNTIF(Data!$B641:$U641,INDEX(Pengaturan!$B$8:$B$27,H$4)))</f>
        <v>0</v>
      </c>
      <c r="I641" s="26" t="n">
        <f aca="false">IF(INDEX(Pengaturan!$B$8:$B$27,I$4)="",0,COUNTIF(Data!$B641:$U641,INDEX(Pengaturan!$B$8:$B$27,I$4)))</f>
        <v>0</v>
      </c>
      <c r="J641" s="26" t="n">
        <f aca="false">IF(INDEX(Pengaturan!$B$8:$B$27,J$4)="",0,COUNTIF(Data!$B641:$U641,INDEX(Pengaturan!$B$8:$B$27,J$4)))</f>
        <v>0</v>
      </c>
      <c r="K641" s="26" t="n">
        <f aca="false">IF(INDEX(Pengaturan!$B$8:$B$27,K$4)="",0,COUNTIF(Data!$B641:$U641,INDEX(Pengaturan!$B$8:$B$27,K$4)))</f>
        <v>0</v>
      </c>
      <c r="L641" s="26" t="n">
        <f aca="false">IF(INDEX(Pengaturan!$B$8:$B$27,L$4)="",0,COUNTIF(Data!$B641:$U641,INDEX(Pengaturan!$B$8:$B$27,L$4)))</f>
        <v>0</v>
      </c>
      <c r="M641" s="26" t="n">
        <f aca="false">IF(INDEX(Pengaturan!$B$8:$B$27,M$4)="",0,COUNTIF(Data!$B641:$U641,INDEX(Pengaturan!$B$8:$B$27,M$4)))</f>
        <v>0</v>
      </c>
      <c r="N641" s="26" t="n">
        <f aca="false">IF(INDEX(Pengaturan!$B$8:$B$27,N$4)="",0,COUNTIF(Data!$B641:$U641,INDEX(Pengaturan!$B$8:$B$27,N$4)))</f>
        <v>0</v>
      </c>
      <c r="O641" s="26" t="n">
        <f aca="false">IF(INDEX(Pengaturan!$B$8:$B$27,O$4)="",0,COUNTIF(Data!$B641:$U641,INDEX(Pengaturan!$B$8:$B$27,O$4)))</f>
        <v>0</v>
      </c>
      <c r="P641" s="26" t="n">
        <f aca="false">IF(INDEX(Pengaturan!$B$8:$B$27,P$4)="",0,COUNTIF(Data!$B641:$U641,INDEX(Pengaturan!$B$8:$B$27,P$4)))</f>
        <v>0</v>
      </c>
      <c r="Q641" s="26" t="n">
        <f aca="false">IF(INDEX(Pengaturan!$B$8:$B$27,Q$4)="",0,COUNTIF(Data!$B641:$U641,INDEX(Pengaturan!$B$8:$B$27,Q$4)))</f>
        <v>0</v>
      </c>
      <c r="R641" s="26" t="n">
        <f aca="false">IF(INDEX(Pengaturan!$B$8:$B$27,R$4)="",0,COUNTIF(Data!$B641:$U641,INDEX(Pengaturan!$B$8:$B$27,R$4)))</f>
        <v>0</v>
      </c>
      <c r="S641" s="26" t="n">
        <f aca="false">IF(INDEX(Pengaturan!$B$8:$B$27,S$4)="",0,COUNTIF(Data!$B641:$U641,INDEX(Pengaturan!$B$8:$B$27,S$4)))</f>
        <v>0</v>
      </c>
      <c r="T641" s="26" t="n">
        <f aca="false">IF(INDEX(Pengaturan!$B$8:$B$27,T$4)="",0,COUNTIF(Data!$B641:$U641,INDEX(Pengaturan!$B$8:$B$27,T$4)))</f>
        <v>0</v>
      </c>
      <c r="U641" s="26" t="n">
        <f aca="false">IF(INDEX(Pengaturan!$B$8:$B$27,U$4)="",0,COUNTIF(Data!$B641:$U641,INDEX(Pengaturan!$B$8:$B$27,U$4)))</f>
        <v>0</v>
      </c>
      <c r="V641" s="26" t="n">
        <f aca="false">COUNTA(Data!$B641:$U641)</f>
        <v>0</v>
      </c>
      <c r="W641" s="27" t="str">
        <f aca="false">IF(V641=0,"",IF(V641&lt;&gt;Hasil!$C$4,"Data kosong/tidak lengkap",IF(SUM(B641:U641)&lt;&gt;V641,"Kategori tidak dikenal","OK")))</f>
        <v/>
      </c>
      <c r="X641" s="26" t="n">
        <f aca="false">IF(OR(W641="",W641="OK"),0,1)</f>
        <v>0</v>
      </c>
    </row>
    <row r="642" customFormat="false" ht="15" hidden="false" customHeight="false" outlineLevel="0" collapsed="false">
      <c r="A642" s="26" t="n">
        <f aca="false">Data!A642</f>
        <v>637</v>
      </c>
      <c r="B642" s="26" t="n">
        <f aca="false">IF(INDEX(Pengaturan!$B$8:$B$27,B$4)="",0,COUNTIF(Data!$B642:$U642,INDEX(Pengaturan!$B$8:$B$27,B$4)))</f>
        <v>0</v>
      </c>
      <c r="C642" s="26" t="n">
        <f aca="false">IF(INDEX(Pengaturan!$B$8:$B$27,C$4)="",0,COUNTIF(Data!$B642:$U642,INDEX(Pengaturan!$B$8:$B$27,C$4)))</f>
        <v>0</v>
      </c>
      <c r="D642" s="26" t="n">
        <f aca="false">IF(INDEX(Pengaturan!$B$8:$B$27,D$4)="",0,COUNTIF(Data!$B642:$U642,INDEX(Pengaturan!$B$8:$B$27,D$4)))</f>
        <v>0</v>
      </c>
      <c r="E642" s="26" t="n">
        <f aca="false">IF(INDEX(Pengaturan!$B$8:$B$27,E$4)="",0,COUNTIF(Data!$B642:$U642,INDEX(Pengaturan!$B$8:$B$27,E$4)))</f>
        <v>0</v>
      </c>
      <c r="F642" s="26" t="n">
        <f aca="false">IF(INDEX(Pengaturan!$B$8:$B$27,F$4)="",0,COUNTIF(Data!$B642:$U642,INDEX(Pengaturan!$B$8:$B$27,F$4)))</f>
        <v>0</v>
      </c>
      <c r="G642" s="26" t="n">
        <f aca="false">IF(INDEX(Pengaturan!$B$8:$B$27,G$4)="",0,COUNTIF(Data!$B642:$U642,INDEX(Pengaturan!$B$8:$B$27,G$4)))</f>
        <v>0</v>
      </c>
      <c r="H642" s="26" t="n">
        <f aca="false">IF(INDEX(Pengaturan!$B$8:$B$27,H$4)="",0,COUNTIF(Data!$B642:$U642,INDEX(Pengaturan!$B$8:$B$27,H$4)))</f>
        <v>0</v>
      </c>
      <c r="I642" s="26" t="n">
        <f aca="false">IF(INDEX(Pengaturan!$B$8:$B$27,I$4)="",0,COUNTIF(Data!$B642:$U642,INDEX(Pengaturan!$B$8:$B$27,I$4)))</f>
        <v>0</v>
      </c>
      <c r="J642" s="26" t="n">
        <f aca="false">IF(INDEX(Pengaturan!$B$8:$B$27,J$4)="",0,COUNTIF(Data!$B642:$U642,INDEX(Pengaturan!$B$8:$B$27,J$4)))</f>
        <v>0</v>
      </c>
      <c r="K642" s="26" t="n">
        <f aca="false">IF(INDEX(Pengaturan!$B$8:$B$27,K$4)="",0,COUNTIF(Data!$B642:$U642,INDEX(Pengaturan!$B$8:$B$27,K$4)))</f>
        <v>0</v>
      </c>
      <c r="L642" s="26" t="n">
        <f aca="false">IF(INDEX(Pengaturan!$B$8:$B$27,L$4)="",0,COUNTIF(Data!$B642:$U642,INDEX(Pengaturan!$B$8:$B$27,L$4)))</f>
        <v>0</v>
      </c>
      <c r="M642" s="26" t="n">
        <f aca="false">IF(INDEX(Pengaturan!$B$8:$B$27,M$4)="",0,COUNTIF(Data!$B642:$U642,INDEX(Pengaturan!$B$8:$B$27,M$4)))</f>
        <v>0</v>
      </c>
      <c r="N642" s="26" t="n">
        <f aca="false">IF(INDEX(Pengaturan!$B$8:$B$27,N$4)="",0,COUNTIF(Data!$B642:$U642,INDEX(Pengaturan!$B$8:$B$27,N$4)))</f>
        <v>0</v>
      </c>
      <c r="O642" s="26" t="n">
        <f aca="false">IF(INDEX(Pengaturan!$B$8:$B$27,O$4)="",0,COUNTIF(Data!$B642:$U642,INDEX(Pengaturan!$B$8:$B$27,O$4)))</f>
        <v>0</v>
      </c>
      <c r="P642" s="26" t="n">
        <f aca="false">IF(INDEX(Pengaturan!$B$8:$B$27,P$4)="",0,COUNTIF(Data!$B642:$U642,INDEX(Pengaturan!$B$8:$B$27,P$4)))</f>
        <v>0</v>
      </c>
      <c r="Q642" s="26" t="n">
        <f aca="false">IF(INDEX(Pengaturan!$B$8:$B$27,Q$4)="",0,COUNTIF(Data!$B642:$U642,INDEX(Pengaturan!$B$8:$B$27,Q$4)))</f>
        <v>0</v>
      </c>
      <c r="R642" s="26" t="n">
        <f aca="false">IF(INDEX(Pengaturan!$B$8:$B$27,R$4)="",0,COUNTIF(Data!$B642:$U642,INDEX(Pengaturan!$B$8:$B$27,R$4)))</f>
        <v>0</v>
      </c>
      <c r="S642" s="26" t="n">
        <f aca="false">IF(INDEX(Pengaturan!$B$8:$B$27,S$4)="",0,COUNTIF(Data!$B642:$U642,INDEX(Pengaturan!$B$8:$B$27,S$4)))</f>
        <v>0</v>
      </c>
      <c r="T642" s="26" t="n">
        <f aca="false">IF(INDEX(Pengaturan!$B$8:$B$27,T$4)="",0,COUNTIF(Data!$B642:$U642,INDEX(Pengaturan!$B$8:$B$27,T$4)))</f>
        <v>0</v>
      </c>
      <c r="U642" s="26" t="n">
        <f aca="false">IF(INDEX(Pengaturan!$B$8:$B$27,U$4)="",0,COUNTIF(Data!$B642:$U642,INDEX(Pengaturan!$B$8:$B$27,U$4)))</f>
        <v>0</v>
      </c>
      <c r="V642" s="26" t="n">
        <f aca="false">COUNTA(Data!$B642:$U642)</f>
        <v>0</v>
      </c>
      <c r="W642" s="27" t="str">
        <f aca="false">IF(V642=0,"",IF(V642&lt;&gt;Hasil!$C$4,"Data kosong/tidak lengkap",IF(SUM(B642:U642)&lt;&gt;V642,"Kategori tidak dikenal","OK")))</f>
        <v/>
      </c>
      <c r="X642" s="26" t="n">
        <f aca="false">IF(OR(W642="",W642="OK"),0,1)</f>
        <v>0</v>
      </c>
    </row>
    <row r="643" customFormat="false" ht="15" hidden="false" customHeight="false" outlineLevel="0" collapsed="false">
      <c r="A643" s="26" t="n">
        <f aca="false">Data!A643</f>
        <v>638</v>
      </c>
      <c r="B643" s="26" t="n">
        <f aca="false">IF(INDEX(Pengaturan!$B$8:$B$27,B$4)="",0,COUNTIF(Data!$B643:$U643,INDEX(Pengaturan!$B$8:$B$27,B$4)))</f>
        <v>0</v>
      </c>
      <c r="C643" s="26" t="n">
        <f aca="false">IF(INDEX(Pengaturan!$B$8:$B$27,C$4)="",0,COUNTIF(Data!$B643:$U643,INDEX(Pengaturan!$B$8:$B$27,C$4)))</f>
        <v>0</v>
      </c>
      <c r="D643" s="26" t="n">
        <f aca="false">IF(INDEX(Pengaturan!$B$8:$B$27,D$4)="",0,COUNTIF(Data!$B643:$U643,INDEX(Pengaturan!$B$8:$B$27,D$4)))</f>
        <v>0</v>
      </c>
      <c r="E643" s="26" t="n">
        <f aca="false">IF(INDEX(Pengaturan!$B$8:$B$27,E$4)="",0,COUNTIF(Data!$B643:$U643,INDEX(Pengaturan!$B$8:$B$27,E$4)))</f>
        <v>0</v>
      </c>
      <c r="F643" s="26" t="n">
        <f aca="false">IF(INDEX(Pengaturan!$B$8:$B$27,F$4)="",0,COUNTIF(Data!$B643:$U643,INDEX(Pengaturan!$B$8:$B$27,F$4)))</f>
        <v>0</v>
      </c>
      <c r="G643" s="26" t="n">
        <f aca="false">IF(INDEX(Pengaturan!$B$8:$B$27,G$4)="",0,COUNTIF(Data!$B643:$U643,INDEX(Pengaturan!$B$8:$B$27,G$4)))</f>
        <v>0</v>
      </c>
      <c r="H643" s="26" t="n">
        <f aca="false">IF(INDEX(Pengaturan!$B$8:$B$27,H$4)="",0,COUNTIF(Data!$B643:$U643,INDEX(Pengaturan!$B$8:$B$27,H$4)))</f>
        <v>0</v>
      </c>
      <c r="I643" s="26" t="n">
        <f aca="false">IF(INDEX(Pengaturan!$B$8:$B$27,I$4)="",0,COUNTIF(Data!$B643:$U643,INDEX(Pengaturan!$B$8:$B$27,I$4)))</f>
        <v>0</v>
      </c>
      <c r="J643" s="26" t="n">
        <f aca="false">IF(INDEX(Pengaturan!$B$8:$B$27,J$4)="",0,COUNTIF(Data!$B643:$U643,INDEX(Pengaturan!$B$8:$B$27,J$4)))</f>
        <v>0</v>
      </c>
      <c r="K643" s="26" t="n">
        <f aca="false">IF(INDEX(Pengaturan!$B$8:$B$27,K$4)="",0,COUNTIF(Data!$B643:$U643,INDEX(Pengaturan!$B$8:$B$27,K$4)))</f>
        <v>0</v>
      </c>
      <c r="L643" s="26" t="n">
        <f aca="false">IF(INDEX(Pengaturan!$B$8:$B$27,L$4)="",0,COUNTIF(Data!$B643:$U643,INDEX(Pengaturan!$B$8:$B$27,L$4)))</f>
        <v>0</v>
      </c>
      <c r="M643" s="26" t="n">
        <f aca="false">IF(INDEX(Pengaturan!$B$8:$B$27,M$4)="",0,COUNTIF(Data!$B643:$U643,INDEX(Pengaturan!$B$8:$B$27,M$4)))</f>
        <v>0</v>
      </c>
      <c r="N643" s="26" t="n">
        <f aca="false">IF(INDEX(Pengaturan!$B$8:$B$27,N$4)="",0,COUNTIF(Data!$B643:$U643,INDEX(Pengaturan!$B$8:$B$27,N$4)))</f>
        <v>0</v>
      </c>
      <c r="O643" s="26" t="n">
        <f aca="false">IF(INDEX(Pengaturan!$B$8:$B$27,O$4)="",0,COUNTIF(Data!$B643:$U643,INDEX(Pengaturan!$B$8:$B$27,O$4)))</f>
        <v>0</v>
      </c>
      <c r="P643" s="26" t="n">
        <f aca="false">IF(INDEX(Pengaturan!$B$8:$B$27,P$4)="",0,COUNTIF(Data!$B643:$U643,INDEX(Pengaturan!$B$8:$B$27,P$4)))</f>
        <v>0</v>
      </c>
      <c r="Q643" s="26" t="n">
        <f aca="false">IF(INDEX(Pengaturan!$B$8:$B$27,Q$4)="",0,COUNTIF(Data!$B643:$U643,INDEX(Pengaturan!$B$8:$B$27,Q$4)))</f>
        <v>0</v>
      </c>
      <c r="R643" s="26" t="n">
        <f aca="false">IF(INDEX(Pengaturan!$B$8:$B$27,R$4)="",0,COUNTIF(Data!$B643:$U643,INDEX(Pengaturan!$B$8:$B$27,R$4)))</f>
        <v>0</v>
      </c>
      <c r="S643" s="26" t="n">
        <f aca="false">IF(INDEX(Pengaturan!$B$8:$B$27,S$4)="",0,COUNTIF(Data!$B643:$U643,INDEX(Pengaturan!$B$8:$B$27,S$4)))</f>
        <v>0</v>
      </c>
      <c r="T643" s="26" t="n">
        <f aca="false">IF(INDEX(Pengaturan!$B$8:$B$27,T$4)="",0,COUNTIF(Data!$B643:$U643,INDEX(Pengaturan!$B$8:$B$27,T$4)))</f>
        <v>0</v>
      </c>
      <c r="U643" s="26" t="n">
        <f aca="false">IF(INDEX(Pengaturan!$B$8:$B$27,U$4)="",0,COUNTIF(Data!$B643:$U643,INDEX(Pengaturan!$B$8:$B$27,U$4)))</f>
        <v>0</v>
      </c>
      <c r="V643" s="26" t="n">
        <f aca="false">COUNTA(Data!$B643:$U643)</f>
        <v>0</v>
      </c>
      <c r="W643" s="27" t="str">
        <f aca="false">IF(V643=0,"",IF(V643&lt;&gt;Hasil!$C$4,"Data kosong/tidak lengkap",IF(SUM(B643:U643)&lt;&gt;V643,"Kategori tidak dikenal","OK")))</f>
        <v/>
      </c>
      <c r="X643" s="26" t="n">
        <f aca="false">IF(OR(W643="",W643="OK"),0,1)</f>
        <v>0</v>
      </c>
    </row>
    <row r="644" customFormat="false" ht="15" hidden="false" customHeight="false" outlineLevel="0" collapsed="false">
      <c r="A644" s="26" t="n">
        <f aca="false">Data!A644</f>
        <v>639</v>
      </c>
      <c r="B644" s="26" t="n">
        <f aca="false">IF(INDEX(Pengaturan!$B$8:$B$27,B$4)="",0,COUNTIF(Data!$B644:$U644,INDEX(Pengaturan!$B$8:$B$27,B$4)))</f>
        <v>0</v>
      </c>
      <c r="C644" s="26" t="n">
        <f aca="false">IF(INDEX(Pengaturan!$B$8:$B$27,C$4)="",0,COUNTIF(Data!$B644:$U644,INDEX(Pengaturan!$B$8:$B$27,C$4)))</f>
        <v>0</v>
      </c>
      <c r="D644" s="26" t="n">
        <f aca="false">IF(INDEX(Pengaturan!$B$8:$B$27,D$4)="",0,COUNTIF(Data!$B644:$U644,INDEX(Pengaturan!$B$8:$B$27,D$4)))</f>
        <v>0</v>
      </c>
      <c r="E644" s="26" t="n">
        <f aca="false">IF(INDEX(Pengaturan!$B$8:$B$27,E$4)="",0,COUNTIF(Data!$B644:$U644,INDEX(Pengaturan!$B$8:$B$27,E$4)))</f>
        <v>0</v>
      </c>
      <c r="F644" s="26" t="n">
        <f aca="false">IF(INDEX(Pengaturan!$B$8:$B$27,F$4)="",0,COUNTIF(Data!$B644:$U644,INDEX(Pengaturan!$B$8:$B$27,F$4)))</f>
        <v>0</v>
      </c>
      <c r="G644" s="26" t="n">
        <f aca="false">IF(INDEX(Pengaturan!$B$8:$B$27,G$4)="",0,COUNTIF(Data!$B644:$U644,INDEX(Pengaturan!$B$8:$B$27,G$4)))</f>
        <v>0</v>
      </c>
      <c r="H644" s="26" t="n">
        <f aca="false">IF(INDEX(Pengaturan!$B$8:$B$27,H$4)="",0,COUNTIF(Data!$B644:$U644,INDEX(Pengaturan!$B$8:$B$27,H$4)))</f>
        <v>0</v>
      </c>
      <c r="I644" s="26" t="n">
        <f aca="false">IF(INDEX(Pengaturan!$B$8:$B$27,I$4)="",0,COUNTIF(Data!$B644:$U644,INDEX(Pengaturan!$B$8:$B$27,I$4)))</f>
        <v>0</v>
      </c>
      <c r="J644" s="26" t="n">
        <f aca="false">IF(INDEX(Pengaturan!$B$8:$B$27,J$4)="",0,COUNTIF(Data!$B644:$U644,INDEX(Pengaturan!$B$8:$B$27,J$4)))</f>
        <v>0</v>
      </c>
      <c r="K644" s="26" t="n">
        <f aca="false">IF(INDEX(Pengaturan!$B$8:$B$27,K$4)="",0,COUNTIF(Data!$B644:$U644,INDEX(Pengaturan!$B$8:$B$27,K$4)))</f>
        <v>0</v>
      </c>
      <c r="L644" s="26" t="n">
        <f aca="false">IF(INDEX(Pengaturan!$B$8:$B$27,L$4)="",0,COUNTIF(Data!$B644:$U644,INDEX(Pengaturan!$B$8:$B$27,L$4)))</f>
        <v>0</v>
      </c>
      <c r="M644" s="26" t="n">
        <f aca="false">IF(INDEX(Pengaturan!$B$8:$B$27,M$4)="",0,COUNTIF(Data!$B644:$U644,INDEX(Pengaturan!$B$8:$B$27,M$4)))</f>
        <v>0</v>
      </c>
      <c r="N644" s="26" t="n">
        <f aca="false">IF(INDEX(Pengaturan!$B$8:$B$27,N$4)="",0,COUNTIF(Data!$B644:$U644,INDEX(Pengaturan!$B$8:$B$27,N$4)))</f>
        <v>0</v>
      </c>
      <c r="O644" s="26" t="n">
        <f aca="false">IF(INDEX(Pengaturan!$B$8:$B$27,O$4)="",0,COUNTIF(Data!$B644:$U644,INDEX(Pengaturan!$B$8:$B$27,O$4)))</f>
        <v>0</v>
      </c>
      <c r="P644" s="26" t="n">
        <f aca="false">IF(INDEX(Pengaturan!$B$8:$B$27,P$4)="",0,COUNTIF(Data!$B644:$U644,INDEX(Pengaturan!$B$8:$B$27,P$4)))</f>
        <v>0</v>
      </c>
      <c r="Q644" s="26" t="n">
        <f aca="false">IF(INDEX(Pengaturan!$B$8:$B$27,Q$4)="",0,COUNTIF(Data!$B644:$U644,INDEX(Pengaturan!$B$8:$B$27,Q$4)))</f>
        <v>0</v>
      </c>
      <c r="R644" s="26" t="n">
        <f aca="false">IF(INDEX(Pengaturan!$B$8:$B$27,R$4)="",0,COUNTIF(Data!$B644:$U644,INDEX(Pengaturan!$B$8:$B$27,R$4)))</f>
        <v>0</v>
      </c>
      <c r="S644" s="26" t="n">
        <f aca="false">IF(INDEX(Pengaturan!$B$8:$B$27,S$4)="",0,COUNTIF(Data!$B644:$U644,INDEX(Pengaturan!$B$8:$B$27,S$4)))</f>
        <v>0</v>
      </c>
      <c r="T644" s="26" t="n">
        <f aca="false">IF(INDEX(Pengaturan!$B$8:$B$27,T$4)="",0,COUNTIF(Data!$B644:$U644,INDEX(Pengaturan!$B$8:$B$27,T$4)))</f>
        <v>0</v>
      </c>
      <c r="U644" s="26" t="n">
        <f aca="false">IF(INDEX(Pengaturan!$B$8:$B$27,U$4)="",0,COUNTIF(Data!$B644:$U644,INDEX(Pengaturan!$B$8:$B$27,U$4)))</f>
        <v>0</v>
      </c>
      <c r="V644" s="26" t="n">
        <f aca="false">COUNTA(Data!$B644:$U644)</f>
        <v>0</v>
      </c>
      <c r="W644" s="27" t="str">
        <f aca="false">IF(V644=0,"",IF(V644&lt;&gt;Hasil!$C$4,"Data kosong/tidak lengkap",IF(SUM(B644:U644)&lt;&gt;V644,"Kategori tidak dikenal","OK")))</f>
        <v/>
      </c>
      <c r="X644" s="26" t="n">
        <f aca="false">IF(OR(W644="",W644="OK"),0,1)</f>
        <v>0</v>
      </c>
    </row>
    <row r="645" customFormat="false" ht="15" hidden="false" customHeight="false" outlineLevel="0" collapsed="false">
      <c r="A645" s="26" t="n">
        <f aca="false">Data!A645</f>
        <v>640</v>
      </c>
      <c r="B645" s="26" t="n">
        <f aca="false">IF(INDEX(Pengaturan!$B$8:$B$27,B$4)="",0,COUNTIF(Data!$B645:$U645,INDEX(Pengaturan!$B$8:$B$27,B$4)))</f>
        <v>0</v>
      </c>
      <c r="C645" s="26" t="n">
        <f aca="false">IF(INDEX(Pengaturan!$B$8:$B$27,C$4)="",0,COUNTIF(Data!$B645:$U645,INDEX(Pengaturan!$B$8:$B$27,C$4)))</f>
        <v>0</v>
      </c>
      <c r="D645" s="26" t="n">
        <f aca="false">IF(INDEX(Pengaturan!$B$8:$B$27,D$4)="",0,COUNTIF(Data!$B645:$U645,INDEX(Pengaturan!$B$8:$B$27,D$4)))</f>
        <v>0</v>
      </c>
      <c r="E645" s="26" t="n">
        <f aca="false">IF(INDEX(Pengaturan!$B$8:$B$27,E$4)="",0,COUNTIF(Data!$B645:$U645,INDEX(Pengaturan!$B$8:$B$27,E$4)))</f>
        <v>0</v>
      </c>
      <c r="F645" s="26" t="n">
        <f aca="false">IF(INDEX(Pengaturan!$B$8:$B$27,F$4)="",0,COUNTIF(Data!$B645:$U645,INDEX(Pengaturan!$B$8:$B$27,F$4)))</f>
        <v>0</v>
      </c>
      <c r="G645" s="26" t="n">
        <f aca="false">IF(INDEX(Pengaturan!$B$8:$B$27,G$4)="",0,COUNTIF(Data!$B645:$U645,INDEX(Pengaturan!$B$8:$B$27,G$4)))</f>
        <v>0</v>
      </c>
      <c r="H645" s="26" t="n">
        <f aca="false">IF(INDEX(Pengaturan!$B$8:$B$27,H$4)="",0,COUNTIF(Data!$B645:$U645,INDEX(Pengaturan!$B$8:$B$27,H$4)))</f>
        <v>0</v>
      </c>
      <c r="I645" s="26" t="n">
        <f aca="false">IF(INDEX(Pengaturan!$B$8:$B$27,I$4)="",0,COUNTIF(Data!$B645:$U645,INDEX(Pengaturan!$B$8:$B$27,I$4)))</f>
        <v>0</v>
      </c>
      <c r="J645" s="26" t="n">
        <f aca="false">IF(INDEX(Pengaturan!$B$8:$B$27,J$4)="",0,COUNTIF(Data!$B645:$U645,INDEX(Pengaturan!$B$8:$B$27,J$4)))</f>
        <v>0</v>
      </c>
      <c r="K645" s="26" t="n">
        <f aca="false">IF(INDEX(Pengaturan!$B$8:$B$27,K$4)="",0,COUNTIF(Data!$B645:$U645,INDEX(Pengaturan!$B$8:$B$27,K$4)))</f>
        <v>0</v>
      </c>
      <c r="L645" s="26" t="n">
        <f aca="false">IF(INDEX(Pengaturan!$B$8:$B$27,L$4)="",0,COUNTIF(Data!$B645:$U645,INDEX(Pengaturan!$B$8:$B$27,L$4)))</f>
        <v>0</v>
      </c>
      <c r="M645" s="26" t="n">
        <f aca="false">IF(INDEX(Pengaturan!$B$8:$B$27,M$4)="",0,COUNTIF(Data!$B645:$U645,INDEX(Pengaturan!$B$8:$B$27,M$4)))</f>
        <v>0</v>
      </c>
      <c r="N645" s="26" t="n">
        <f aca="false">IF(INDEX(Pengaturan!$B$8:$B$27,N$4)="",0,COUNTIF(Data!$B645:$U645,INDEX(Pengaturan!$B$8:$B$27,N$4)))</f>
        <v>0</v>
      </c>
      <c r="O645" s="26" t="n">
        <f aca="false">IF(INDEX(Pengaturan!$B$8:$B$27,O$4)="",0,COUNTIF(Data!$B645:$U645,INDEX(Pengaturan!$B$8:$B$27,O$4)))</f>
        <v>0</v>
      </c>
      <c r="P645" s="26" t="n">
        <f aca="false">IF(INDEX(Pengaturan!$B$8:$B$27,P$4)="",0,COUNTIF(Data!$B645:$U645,INDEX(Pengaturan!$B$8:$B$27,P$4)))</f>
        <v>0</v>
      </c>
      <c r="Q645" s="26" t="n">
        <f aca="false">IF(INDEX(Pengaturan!$B$8:$B$27,Q$4)="",0,COUNTIF(Data!$B645:$U645,INDEX(Pengaturan!$B$8:$B$27,Q$4)))</f>
        <v>0</v>
      </c>
      <c r="R645" s="26" t="n">
        <f aca="false">IF(INDEX(Pengaturan!$B$8:$B$27,R$4)="",0,COUNTIF(Data!$B645:$U645,INDEX(Pengaturan!$B$8:$B$27,R$4)))</f>
        <v>0</v>
      </c>
      <c r="S645" s="26" t="n">
        <f aca="false">IF(INDEX(Pengaturan!$B$8:$B$27,S$4)="",0,COUNTIF(Data!$B645:$U645,INDEX(Pengaturan!$B$8:$B$27,S$4)))</f>
        <v>0</v>
      </c>
      <c r="T645" s="26" t="n">
        <f aca="false">IF(INDEX(Pengaturan!$B$8:$B$27,T$4)="",0,COUNTIF(Data!$B645:$U645,INDEX(Pengaturan!$B$8:$B$27,T$4)))</f>
        <v>0</v>
      </c>
      <c r="U645" s="26" t="n">
        <f aca="false">IF(INDEX(Pengaturan!$B$8:$B$27,U$4)="",0,COUNTIF(Data!$B645:$U645,INDEX(Pengaturan!$B$8:$B$27,U$4)))</f>
        <v>0</v>
      </c>
      <c r="V645" s="26" t="n">
        <f aca="false">COUNTA(Data!$B645:$U645)</f>
        <v>0</v>
      </c>
      <c r="W645" s="27" t="str">
        <f aca="false">IF(V645=0,"",IF(V645&lt;&gt;Hasil!$C$4,"Data kosong/tidak lengkap",IF(SUM(B645:U645)&lt;&gt;V645,"Kategori tidak dikenal","OK")))</f>
        <v/>
      </c>
      <c r="X645" s="26" t="n">
        <f aca="false">IF(OR(W645="",W645="OK"),0,1)</f>
        <v>0</v>
      </c>
    </row>
    <row r="646" customFormat="false" ht="15" hidden="false" customHeight="false" outlineLevel="0" collapsed="false">
      <c r="A646" s="26" t="n">
        <f aca="false">Data!A646</f>
        <v>641</v>
      </c>
      <c r="B646" s="26" t="n">
        <f aca="false">IF(INDEX(Pengaturan!$B$8:$B$27,B$4)="",0,COUNTIF(Data!$B646:$U646,INDEX(Pengaturan!$B$8:$B$27,B$4)))</f>
        <v>0</v>
      </c>
      <c r="C646" s="26" t="n">
        <f aca="false">IF(INDEX(Pengaturan!$B$8:$B$27,C$4)="",0,COUNTIF(Data!$B646:$U646,INDEX(Pengaturan!$B$8:$B$27,C$4)))</f>
        <v>0</v>
      </c>
      <c r="D646" s="26" t="n">
        <f aca="false">IF(INDEX(Pengaturan!$B$8:$B$27,D$4)="",0,COUNTIF(Data!$B646:$U646,INDEX(Pengaturan!$B$8:$B$27,D$4)))</f>
        <v>0</v>
      </c>
      <c r="E646" s="26" t="n">
        <f aca="false">IF(INDEX(Pengaturan!$B$8:$B$27,E$4)="",0,COUNTIF(Data!$B646:$U646,INDEX(Pengaturan!$B$8:$B$27,E$4)))</f>
        <v>0</v>
      </c>
      <c r="F646" s="26" t="n">
        <f aca="false">IF(INDEX(Pengaturan!$B$8:$B$27,F$4)="",0,COUNTIF(Data!$B646:$U646,INDEX(Pengaturan!$B$8:$B$27,F$4)))</f>
        <v>0</v>
      </c>
      <c r="G646" s="26" t="n">
        <f aca="false">IF(INDEX(Pengaturan!$B$8:$B$27,G$4)="",0,COUNTIF(Data!$B646:$U646,INDEX(Pengaturan!$B$8:$B$27,G$4)))</f>
        <v>0</v>
      </c>
      <c r="H646" s="26" t="n">
        <f aca="false">IF(INDEX(Pengaturan!$B$8:$B$27,H$4)="",0,COUNTIF(Data!$B646:$U646,INDEX(Pengaturan!$B$8:$B$27,H$4)))</f>
        <v>0</v>
      </c>
      <c r="I646" s="26" t="n">
        <f aca="false">IF(INDEX(Pengaturan!$B$8:$B$27,I$4)="",0,COUNTIF(Data!$B646:$U646,INDEX(Pengaturan!$B$8:$B$27,I$4)))</f>
        <v>0</v>
      </c>
      <c r="J646" s="26" t="n">
        <f aca="false">IF(INDEX(Pengaturan!$B$8:$B$27,J$4)="",0,COUNTIF(Data!$B646:$U646,INDEX(Pengaturan!$B$8:$B$27,J$4)))</f>
        <v>0</v>
      </c>
      <c r="K646" s="26" t="n">
        <f aca="false">IF(INDEX(Pengaturan!$B$8:$B$27,K$4)="",0,COUNTIF(Data!$B646:$U646,INDEX(Pengaturan!$B$8:$B$27,K$4)))</f>
        <v>0</v>
      </c>
      <c r="L646" s="26" t="n">
        <f aca="false">IF(INDEX(Pengaturan!$B$8:$B$27,L$4)="",0,COUNTIF(Data!$B646:$U646,INDEX(Pengaturan!$B$8:$B$27,L$4)))</f>
        <v>0</v>
      </c>
      <c r="M646" s="26" t="n">
        <f aca="false">IF(INDEX(Pengaturan!$B$8:$B$27,M$4)="",0,COUNTIF(Data!$B646:$U646,INDEX(Pengaturan!$B$8:$B$27,M$4)))</f>
        <v>0</v>
      </c>
      <c r="N646" s="26" t="n">
        <f aca="false">IF(INDEX(Pengaturan!$B$8:$B$27,N$4)="",0,COUNTIF(Data!$B646:$U646,INDEX(Pengaturan!$B$8:$B$27,N$4)))</f>
        <v>0</v>
      </c>
      <c r="O646" s="26" t="n">
        <f aca="false">IF(INDEX(Pengaturan!$B$8:$B$27,O$4)="",0,COUNTIF(Data!$B646:$U646,INDEX(Pengaturan!$B$8:$B$27,O$4)))</f>
        <v>0</v>
      </c>
      <c r="P646" s="26" t="n">
        <f aca="false">IF(INDEX(Pengaturan!$B$8:$B$27,P$4)="",0,COUNTIF(Data!$B646:$U646,INDEX(Pengaturan!$B$8:$B$27,P$4)))</f>
        <v>0</v>
      </c>
      <c r="Q646" s="26" t="n">
        <f aca="false">IF(INDEX(Pengaturan!$B$8:$B$27,Q$4)="",0,COUNTIF(Data!$B646:$U646,INDEX(Pengaturan!$B$8:$B$27,Q$4)))</f>
        <v>0</v>
      </c>
      <c r="R646" s="26" t="n">
        <f aca="false">IF(INDEX(Pengaturan!$B$8:$B$27,R$4)="",0,COUNTIF(Data!$B646:$U646,INDEX(Pengaturan!$B$8:$B$27,R$4)))</f>
        <v>0</v>
      </c>
      <c r="S646" s="26" t="n">
        <f aca="false">IF(INDEX(Pengaturan!$B$8:$B$27,S$4)="",0,COUNTIF(Data!$B646:$U646,INDEX(Pengaturan!$B$8:$B$27,S$4)))</f>
        <v>0</v>
      </c>
      <c r="T646" s="26" t="n">
        <f aca="false">IF(INDEX(Pengaturan!$B$8:$B$27,T$4)="",0,COUNTIF(Data!$B646:$U646,INDEX(Pengaturan!$B$8:$B$27,T$4)))</f>
        <v>0</v>
      </c>
      <c r="U646" s="26" t="n">
        <f aca="false">IF(INDEX(Pengaturan!$B$8:$B$27,U$4)="",0,COUNTIF(Data!$B646:$U646,INDEX(Pengaturan!$B$8:$B$27,U$4)))</f>
        <v>0</v>
      </c>
      <c r="V646" s="26" t="n">
        <f aca="false">COUNTA(Data!$B646:$U646)</f>
        <v>0</v>
      </c>
      <c r="W646" s="27" t="str">
        <f aca="false">IF(V646=0,"",IF(V646&lt;&gt;Hasil!$C$4,"Data kosong/tidak lengkap",IF(SUM(B646:U646)&lt;&gt;V646,"Kategori tidak dikenal","OK")))</f>
        <v/>
      </c>
      <c r="X646" s="26" t="n">
        <f aca="false">IF(OR(W646="",W646="OK"),0,1)</f>
        <v>0</v>
      </c>
    </row>
    <row r="647" customFormat="false" ht="15" hidden="false" customHeight="false" outlineLevel="0" collapsed="false">
      <c r="A647" s="26" t="n">
        <f aca="false">Data!A647</f>
        <v>642</v>
      </c>
      <c r="B647" s="26" t="n">
        <f aca="false">IF(INDEX(Pengaturan!$B$8:$B$27,B$4)="",0,COUNTIF(Data!$B647:$U647,INDEX(Pengaturan!$B$8:$B$27,B$4)))</f>
        <v>0</v>
      </c>
      <c r="C647" s="26" t="n">
        <f aca="false">IF(INDEX(Pengaturan!$B$8:$B$27,C$4)="",0,COUNTIF(Data!$B647:$U647,INDEX(Pengaturan!$B$8:$B$27,C$4)))</f>
        <v>0</v>
      </c>
      <c r="D647" s="26" t="n">
        <f aca="false">IF(INDEX(Pengaturan!$B$8:$B$27,D$4)="",0,COUNTIF(Data!$B647:$U647,INDEX(Pengaturan!$B$8:$B$27,D$4)))</f>
        <v>0</v>
      </c>
      <c r="E647" s="26" t="n">
        <f aca="false">IF(INDEX(Pengaturan!$B$8:$B$27,E$4)="",0,COUNTIF(Data!$B647:$U647,INDEX(Pengaturan!$B$8:$B$27,E$4)))</f>
        <v>0</v>
      </c>
      <c r="F647" s="26" t="n">
        <f aca="false">IF(INDEX(Pengaturan!$B$8:$B$27,F$4)="",0,COUNTIF(Data!$B647:$U647,INDEX(Pengaturan!$B$8:$B$27,F$4)))</f>
        <v>0</v>
      </c>
      <c r="G647" s="26" t="n">
        <f aca="false">IF(INDEX(Pengaturan!$B$8:$B$27,G$4)="",0,COUNTIF(Data!$B647:$U647,INDEX(Pengaturan!$B$8:$B$27,G$4)))</f>
        <v>0</v>
      </c>
      <c r="H647" s="26" t="n">
        <f aca="false">IF(INDEX(Pengaturan!$B$8:$B$27,H$4)="",0,COUNTIF(Data!$B647:$U647,INDEX(Pengaturan!$B$8:$B$27,H$4)))</f>
        <v>0</v>
      </c>
      <c r="I647" s="26" t="n">
        <f aca="false">IF(INDEX(Pengaturan!$B$8:$B$27,I$4)="",0,COUNTIF(Data!$B647:$U647,INDEX(Pengaturan!$B$8:$B$27,I$4)))</f>
        <v>0</v>
      </c>
      <c r="J647" s="26" t="n">
        <f aca="false">IF(INDEX(Pengaturan!$B$8:$B$27,J$4)="",0,COUNTIF(Data!$B647:$U647,INDEX(Pengaturan!$B$8:$B$27,J$4)))</f>
        <v>0</v>
      </c>
      <c r="K647" s="26" t="n">
        <f aca="false">IF(INDEX(Pengaturan!$B$8:$B$27,K$4)="",0,COUNTIF(Data!$B647:$U647,INDEX(Pengaturan!$B$8:$B$27,K$4)))</f>
        <v>0</v>
      </c>
      <c r="L647" s="26" t="n">
        <f aca="false">IF(INDEX(Pengaturan!$B$8:$B$27,L$4)="",0,COUNTIF(Data!$B647:$U647,INDEX(Pengaturan!$B$8:$B$27,L$4)))</f>
        <v>0</v>
      </c>
      <c r="M647" s="26" t="n">
        <f aca="false">IF(INDEX(Pengaturan!$B$8:$B$27,M$4)="",0,COUNTIF(Data!$B647:$U647,INDEX(Pengaturan!$B$8:$B$27,M$4)))</f>
        <v>0</v>
      </c>
      <c r="N647" s="26" t="n">
        <f aca="false">IF(INDEX(Pengaturan!$B$8:$B$27,N$4)="",0,COUNTIF(Data!$B647:$U647,INDEX(Pengaturan!$B$8:$B$27,N$4)))</f>
        <v>0</v>
      </c>
      <c r="O647" s="26" t="n">
        <f aca="false">IF(INDEX(Pengaturan!$B$8:$B$27,O$4)="",0,COUNTIF(Data!$B647:$U647,INDEX(Pengaturan!$B$8:$B$27,O$4)))</f>
        <v>0</v>
      </c>
      <c r="P647" s="26" t="n">
        <f aca="false">IF(INDEX(Pengaturan!$B$8:$B$27,P$4)="",0,COUNTIF(Data!$B647:$U647,INDEX(Pengaturan!$B$8:$B$27,P$4)))</f>
        <v>0</v>
      </c>
      <c r="Q647" s="26" t="n">
        <f aca="false">IF(INDEX(Pengaturan!$B$8:$B$27,Q$4)="",0,COUNTIF(Data!$B647:$U647,INDEX(Pengaturan!$B$8:$B$27,Q$4)))</f>
        <v>0</v>
      </c>
      <c r="R647" s="26" t="n">
        <f aca="false">IF(INDEX(Pengaturan!$B$8:$B$27,R$4)="",0,COUNTIF(Data!$B647:$U647,INDEX(Pengaturan!$B$8:$B$27,R$4)))</f>
        <v>0</v>
      </c>
      <c r="S647" s="26" t="n">
        <f aca="false">IF(INDEX(Pengaturan!$B$8:$B$27,S$4)="",0,COUNTIF(Data!$B647:$U647,INDEX(Pengaturan!$B$8:$B$27,S$4)))</f>
        <v>0</v>
      </c>
      <c r="T647" s="26" t="n">
        <f aca="false">IF(INDEX(Pengaturan!$B$8:$B$27,T$4)="",0,COUNTIF(Data!$B647:$U647,INDEX(Pengaturan!$B$8:$B$27,T$4)))</f>
        <v>0</v>
      </c>
      <c r="U647" s="26" t="n">
        <f aca="false">IF(INDEX(Pengaturan!$B$8:$B$27,U$4)="",0,COUNTIF(Data!$B647:$U647,INDEX(Pengaturan!$B$8:$B$27,U$4)))</f>
        <v>0</v>
      </c>
      <c r="V647" s="26" t="n">
        <f aca="false">COUNTA(Data!$B647:$U647)</f>
        <v>0</v>
      </c>
      <c r="W647" s="27" t="str">
        <f aca="false">IF(V647=0,"",IF(V647&lt;&gt;Hasil!$C$4,"Data kosong/tidak lengkap",IF(SUM(B647:U647)&lt;&gt;V647,"Kategori tidak dikenal","OK")))</f>
        <v/>
      </c>
      <c r="X647" s="26" t="n">
        <f aca="false">IF(OR(W647="",W647="OK"),0,1)</f>
        <v>0</v>
      </c>
    </row>
    <row r="648" customFormat="false" ht="15" hidden="false" customHeight="false" outlineLevel="0" collapsed="false">
      <c r="A648" s="26" t="n">
        <f aca="false">Data!A648</f>
        <v>643</v>
      </c>
      <c r="B648" s="26" t="n">
        <f aca="false">IF(INDEX(Pengaturan!$B$8:$B$27,B$4)="",0,COUNTIF(Data!$B648:$U648,INDEX(Pengaturan!$B$8:$B$27,B$4)))</f>
        <v>0</v>
      </c>
      <c r="C648" s="26" t="n">
        <f aca="false">IF(INDEX(Pengaturan!$B$8:$B$27,C$4)="",0,COUNTIF(Data!$B648:$U648,INDEX(Pengaturan!$B$8:$B$27,C$4)))</f>
        <v>0</v>
      </c>
      <c r="D648" s="26" t="n">
        <f aca="false">IF(INDEX(Pengaturan!$B$8:$B$27,D$4)="",0,COUNTIF(Data!$B648:$U648,INDEX(Pengaturan!$B$8:$B$27,D$4)))</f>
        <v>0</v>
      </c>
      <c r="E648" s="26" t="n">
        <f aca="false">IF(INDEX(Pengaturan!$B$8:$B$27,E$4)="",0,COUNTIF(Data!$B648:$U648,INDEX(Pengaturan!$B$8:$B$27,E$4)))</f>
        <v>0</v>
      </c>
      <c r="F648" s="26" t="n">
        <f aca="false">IF(INDEX(Pengaturan!$B$8:$B$27,F$4)="",0,COUNTIF(Data!$B648:$U648,INDEX(Pengaturan!$B$8:$B$27,F$4)))</f>
        <v>0</v>
      </c>
      <c r="G648" s="26" t="n">
        <f aca="false">IF(INDEX(Pengaturan!$B$8:$B$27,G$4)="",0,COUNTIF(Data!$B648:$U648,INDEX(Pengaturan!$B$8:$B$27,G$4)))</f>
        <v>0</v>
      </c>
      <c r="H648" s="26" t="n">
        <f aca="false">IF(INDEX(Pengaturan!$B$8:$B$27,H$4)="",0,COUNTIF(Data!$B648:$U648,INDEX(Pengaturan!$B$8:$B$27,H$4)))</f>
        <v>0</v>
      </c>
      <c r="I648" s="26" t="n">
        <f aca="false">IF(INDEX(Pengaturan!$B$8:$B$27,I$4)="",0,COUNTIF(Data!$B648:$U648,INDEX(Pengaturan!$B$8:$B$27,I$4)))</f>
        <v>0</v>
      </c>
      <c r="J648" s="26" t="n">
        <f aca="false">IF(INDEX(Pengaturan!$B$8:$B$27,J$4)="",0,COUNTIF(Data!$B648:$U648,INDEX(Pengaturan!$B$8:$B$27,J$4)))</f>
        <v>0</v>
      </c>
      <c r="K648" s="26" t="n">
        <f aca="false">IF(INDEX(Pengaturan!$B$8:$B$27,K$4)="",0,COUNTIF(Data!$B648:$U648,INDEX(Pengaturan!$B$8:$B$27,K$4)))</f>
        <v>0</v>
      </c>
      <c r="L648" s="26" t="n">
        <f aca="false">IF(INDEX(Pengaturan!$B$8:$B$27,L$4)="",0,COUNTIF(Data!$B648:$U648,INDEX(Pengaturan!$B$8:$B$27,L$4)))</f>
        <v>0</v>
      </c>
      <c r="M648" s="26" t="n">
        <f aca="false">IF(INDEX(Pengaturan!$B$8:$B$27,M$4)="",0,COUNTIF(Data!$B648:$U648,INDEX(Pengaturan!$B$8:$B$27,M$4)))</f>
        <v>0</v>
      </c>
      <c r="N648" s="26" t="n">
        <f aca="false">IF(INDEX(Pengaturan!$B$8:$B$27,N$4)="",0,COUNTIF(Data!$B648:$U648,INDEX(Pengaturan!$B$8:$B$27,N$4)))</f>
        <v>0</v>
      </c>
      <c r="O648" s="26" t="n">
        <f aca="false">IF(INDEX(Pengaturan!$B$8:$B$27,O$4)="",0,COUNTIF(Data!$B648:$U648,INDEX(Pengaturan!$B$8:$B$27,O$4)))</f>
        <v>0</v>
      </c>
      <c r="P648" s="26" t="n">
        <f aca="false">IF(INDEX(Pengaturan!$B$8:$B$27,P$4)="",0,COUNTIF(Data!$B648:$U648,INDEX(Pengaturan!$B$8:$B$27,P$4)))</f>
        <v>0</v>
      </c>
      <c r="Q648" s="26" t="n">
        <f aca="false">IF(INDEX(Pengaturan!$B$8:$B$27,Q$4)="",0,COUNTIF(Data!$B648:$U648,INDEX(Pengaturan!$B$8:$B$27,Q$4)))</f>
        <v>0</v>
      </c>
      <c r="R648" s="26" t="n">
        <f aca="false">IF(INDEX(Pengaturan!$B$8:$B$27,R$4)="",0,COUNTIF(Data!$B648:$U648,INDEX(Pengaturan!$B$8:$B$27,R$4)))</f>
        <v>0</v>
      </c>
      <c r="S648" s="26" t="n">
        <f aca="false">IF(INDEX(Pengaturan!$B$8:$B$27,S$4)="",0,COUNTIF(Data!$B648:$U648,INDEX(Pengaturan!$B$8:$B$27,S$4)))</f>
        <v>0</v>
      </c>
      <c r="T648" s="26" t="n">
        <f aca="false">IF(INDEX(Pengaturan!$B$8:$B$27,T$4)="",0,COUNTIF(Data!$B648:$U648,INDEX(Pengaturan!$B$8:$B$27,T$4)))</f>
        <v>0</v>
      </c>
      <c r="U648" s="26" t="n">
        <f aca="false">IF(INDEX(Pengaturan!$B$8:$B$27,U$4)="",0,COUNTIF(Data!$B648:$U648,INDEX(Pengaturan!$B$8:$B$27,U$4)))</f>
        <v>0</v>
      </c>
      <c r="V648" s="26" t="n">
        <f aca="false">COUNTA(Data!$B648:$U648)</f>
        <v>0</v>
      </c>
      <c r="W648" s="27" t="str">
        <f aca="false">IF(V648=0,"",IF(V648&lt;&gt;Hasil!$C$4,"Data kosong/tidak lengkap",IF(SUM(B648:U648)&lt;&gt;V648,"Kategori tidak dikenal","OK")))</f>
        <v/>
      </c>
      <c r="X648" s="26" t="n">
        <f aca="false">IF(OR(W648="",W648="OK"),0,1)</f>
        <v>0</v>
      </c>
    </row>
    <row r="649" customFormat="false" ht="15" hidden="false" customHeight="false" outlineLevel="0" collapsed="false">
      <c r="A649" s="26" t="n">
        <f aca="false">Data!A649</f>
        <v>644</v>
      </c>
      <c r="B649" s="26" t="n">
        <f aca="false">IF(INDEX(Pengaturan!$B$8:$B$27,B$4)="",0,COUNTIF(Data!$B649:$U649,INDEX(Pengaturan!$B$8:$B$27,B$4)))</f>
        <v>0</v>
      </c>
      <c r="C649" s="26" t="n">
        <f aca="false">IF(INDEX(Pengaturan!$B$8:$B$27,C$4)="",0,COUNTIF(Data!$B649:$U649,INDEX(Pengaturan!$B$8:$B$27,C$4)))</f>
        <v>0</v>
      </c>
      <c r="D649" s="26" t="n">
        <f aca="false">IF(INDEX(Pengaturan!$B$8:$B$27,D$4)="",0,COUNTIF(Data!$B649:$U649,INDEX(Pengaturan!$B$8:$B$27,D$4)))</f>
        <v>0</v>
      </c>
      <c r="E649" s="26" t="n">
        <f aca="false">IF(INDEX(Pengaturan!$B$8:$B$27,E$4)="",0,COUNTIF(Data!$B649:$U649,INDEX(Pengaturan!$B$8:$B$27,E$4)))</f>
        <v>0</v>
      </c>
      <c r="F649" s="26" t="n">
        <f aca="false">IF(INDEX(Pengaturan!$B$8:$B$27,F$4)="",0,COUNTIF(Data!$B649:$U649,INDEX(Pengaturan!$B$8:$B$27,F$4)))</f>
        <v>0</v>
      </c>
      <c r="G649" s="26" t="n">
        <f aca="false">IF(INDEX(Pengaturan!$B$8:$B$27,G$4)="",0,COUNTIF(Data!$B649:$U649,INDEX(Pengaturan!$B$8:$B$27,G$4)))</f>
        <v>0</v>
      </c>
      <c r="H649" s="26" t="n">
        <f aca="false">IF(INDEX(Pengaturan!$B$8:$B$27,H$4)="",0,COUNTIF(Data!$B649:$U649,INDEX(Pengaturan!$B$8:$B$27,H$4)))</f>
        <v>0</v>
      </c>
      <c r="I649" s="26" t="n">
        <f aca="false">IF(INDEX(Pengaturan!$B$8:$B$27,I$4)="",0,COUNTIF(Data!$B649:$U649,INDEX(Pengaturan!$B$8:$B$27,I$4)))</f>
        <v>0</v>
      </c>
      <c r="J649" s="26" t="n">
        <f aca="false">IF(INDEX(Pengaturan!$B$8:$B$27,J$4)="",0,COUNTIF(Data!$B649:$U649,INDEX(Pengaturan!$B$8:$B$27,J$4)))</f>
        <v>0</v>
      </c>
      <c r="K649" s="26" t="n">
        <f aca="false">IF(INDEX(Pengaturan!$B$8:$B$27,K$4)="",0,COUNTIF(Data!$B649:$U649,INDEX(Pengaturan!$B$8:$B$27,K$4)))</f>
        <v>0</v>
      </c>
      <c r="L649" s="26" t="n">
        <f aca="false">IF(INDEX(Pengaturan!$B$8:$B$27,L$4)="",0,COUNTIF(Data!$B649:$U649,INDEX(Pengaturan!$B$8:$B$27,L$4)))</f>
        <v>0</v>
      </c>
      <c r="M649" s="26" t="n">
        <f aca="false">IF(INDEX(Pengaturan!$B$8:$B$27,M$4)="",0,COUNTIF(Data!$B649:$U649,INDEX(Pengaturan!$B$8:$B$27,M$4)))</f>
        <v>0</v>
      </c>
      <c r="N649" s="26" t="n">
        <f aca="false">IF(INDEX(Pengaturan!$B$8:$B$27,N$4)="",0,COUNTIF(Data!$B649:$U649,INDEX(Pengaturan!$B$8:$B$27,N$4)))</f>
        <v>0</v>
      </c>
      <c r="O649" s="26" t="n">
        <f aca="false">IF(INDEX(Pengaturan!$B$8:$B$27,O$4)="",0,COUNTIF(Data!$B649:$U649,INDEX(Pengaturan!$B$8:$B$27,O$4)))</f>
        <v>0</v>
      </c>
      <c r="P649" s="26" t="n">
        <f aca="false">IF(INDEX(Pengaturan!$B$8:$B$27,P$4)="",0,COUNTIF(Data!$B649:$U649,INDEX(Pengaturan!$B$8:$B$27,P$4)))</f>
        <v>0</v>
      </c>
      <c r="Q649" s="26" t="n">
        <f aca="false">IF(INDEX(Pengaturan!$B$8:$B$27,Q$4)="",0,COUNTIF(Data!$B649:$U649,INDEX(Pengaturan!$B$8:$B$27,Q$4)))</f>
        <v>0</v>
      </c>
      <c r="R649" s="26" t="n">
        <f aca="false">IF(INDEX(Pengaturan!$B$8:$B$27,R$4)="",0,COUNTIF(Data!$B649:$U649,INDEX(Pengaturan!$B$8:$B$27,R$4)))</f>
        <v>0</v>
      </c>
      <c r="S649" s="26" t="n">
        <f aca="false">IF(INDEX(Pengaturan!$B$8:$B$27,S$4)="",0,COUNTIF(Data!$B649:$U649,INDEX(Pengaturan!$B$8:$B$27,S$4)))</f>
        <v>0</v>
      </c>
      <c r="T649" s="26" t="n">
        <f aca="false">IF(INDEX(Pengaturan!$B$8:$B$27,T$4)="",0,COUNTIF(Data!$B649:$U649,INDEX(Pengaturan!$B$8:$B$27,T$4)))</f>
        <v>0</v>
      </c>
      <c r="U649" s="26" t="n">
        <f aca="false">IF(INDEX(Pengaturan!$B$8:$B$27,U$4)="",0,COUNTIF(Data!$B649:$U649,INDEX(Pengaturan!$B$8:$B$27,U$4)))</f>
        <v>0</v>
      </c>
      <c r="V649" s="26" t="n">
        <f aca="false">COUNTA(Data!$B649:$U649)</f>
        <v>0</v>
      </c>
      <c r="W649" s="27" t="str">
        <f aca="false">IF(V649=0,"",IF(V649&lt;&gt;Hasil!$C$4,"Data kosong/tidak lengkap",IF(SUM(B649:U649)&lt;&gt;V649,"Kategori tidak dikenal","OK")))</f>
        <v/>
      </c>
      <c r="X649" s="26" t="n">
        <f aca="false">IF(OR(W649="",W649="OK"),0,1)</f>
        <v>0</v>
      </c>
    </row>
    <row r="650" customFormat="false" ht="15" hidden="false" customHeight="false" outlineLevel="0" collapsed="false">
      <c r="A650" s="26" t="n">
        <f aca="false">Data!A650</f>
        <v>645</v>
      </c>
      <c r="B650" s="26" t="n">
        <f aca="false">IF(INDEX(Pengaturan!$B$8:$B$27,B$4)="",0,COUNTIF(Data!$B650:$U650,INDEX(Pengaturan!$B$8:$B$27,B$4)))</f>
        <v>0</v>
      </c>
      <c r="C650" s="26" t="n">
        <f aca="false">IF(INDEX(Pengaturan!$B$8:$B$27,C$4)="",0,COUNTIF(Data!$B650:$U650,INDEX(Pengaturan!$B$8:$B$27,C$4)))</f>
        <v>0</v>
      </c>
      <c r="D650" s="26" t="n">
        <f aca="false">IF(INDEX(Pengaturan!$B$8:$B$27,D$4)="",0,COUNTIF(Data!$B650:$U650,INDEX(Pengaturan!$B$8:$B$27,D$4)))</f>
        <v>0</v>
      </c>
      <c r="E650" s="26" t="n">
        <f aca="false">IF(INDEX(Pengaturan!$B$8:$B$27,E$4)="",0,COUNTIF(Data!$B650:$U650,INDEX(Pengaturan!$B$8:$B$27,E$4)))</f>
        <v>0</v>
      </c>
      <c r="F650" s="26" t="n">
        <f aca="false">IF(INDEX(Pengaturan!$B$8:$B$27,F$4)="",0,COUNTIF(Data!$B650:$U650,INDEX(Pengaturan!$B$8:$B$27,F$4)))</f>
        <v>0</v>
      </c>
      <c r="G650" s="26" t="n">
        <f aca="false">IF(INDEX(Pengaturan!$B$8:$B$27,G$4)="",0,COUNTIF(Data!$B650:$U650,INDEX(Pengaturan!$B$8:$B$27,G$4)))</f>
        <v>0</v>
      </c>
      <c r="H650" s="26" t="n">
        <f aca="false">IF(INDEX(Pengaturan!$B$8:$B$27,H$4)="",0,COUNTIF(Data!$B650:$U650,INDEX(Pengaturan!$B$8:$B$27,H$4)))</f>
        <v>0</v>
      </c>
      <c r="I650" s="26" t="n">
        <f aca="false">IF(INDEX(Pengaturan!$B$8:$B$27,I$4)="",0,COUNTIF(Data!$B650:$U650,INDEX(Pengaturan!$B$8:$B$27,I$4)))</f>
        <v>0</v>
      </c>
      <c r="J650" s="26" t="n">
        <f aca="false">IF(INDEX(Pengaturan!$B$8:$B$27,J$4)="",0,COUNTIF(Data!$B650:$U650,INDEX(Pengaturan!$B$8:$B$27,J$4)))</f>
        <v>0</v>
      </c>
      <c r="K650" s="26" t="n">
        <f aca="false">IF(INDEX(Pengaturan!$B$8:$B$27,K$4)="",0,COUNTIF(Data!$B650:$U650,INDEX(Pengaturan!$B$8:$B$27,K$4)))</f>
        <v>0</v>
      </c>
      <c r="L650" s="26" t="n">
        <f aca="false">IF(INDEX(Pengaturan!$B$8:$B$27,L$4)="",0,COUNTIF(Data!$B650:$U650,INDEX(Pengaturan!$B$8:$B$27,L$4)))</f>
        <v>0</v>
      </c>
      <c r="M650" s="26" t="n">
        <f aca="false">IF(INDEX(Pengaturan!$B$8:$B$27,M$4)="",0,COUNTIF(Data!$B650:$U650,INDEX(Pengaturan!$B$8:$B$27,M$4)))</f>
        <v>0</v>
      </c>
      <c r="N650" s="26" t="n">
        <f aca="false">IF(INDEX(Pengaturan!$B$8:$B$27,N$4)="",0,COUNTIF(Data!$B650:$U650,INDEX(Pengaturan!$B$8:$B$27,N$4)))</f>
        <v>0</v>
      </c>
      <c r="O650" s="26" t="n">
        <f aca="false">IF(INDEX(Pengaturan!$B$8:$B$27,O$4)="",0,COUNTIF(Data!$B650:$U650,INDEX(Pengaturan!$B$8:$B$27,O$4)))</f>
        <v>0</v>
      </c>
      <c r="P650" s="26" t="n">
        <f aca="false">IF(INDEX(Pengaturan!$B$8:$B$27,P$4)="",0,COUNTIF(Data!$B650:$U650,INDEX(Pengaturan!$B$8:$B$27,P$4)))</f>
        <v>0</v>
      </c>
      <c r="Q650" s="26" t="n">
        <f aca="false">IF(INDEX(Pengaturan!$B$8:$B$27,Q$4)="",0,COUNTIF(Data!$B650:$U650,INDEX(Pengaturan!$B$8:$B$27,Q$4)))</f>
        <v>0</v>
      </c>
      <c r="R650" s="26" t="n">
        <f aca="false">IF(INDEX(Pengaturan!$B$8:$B$27,R$4)="",0,COUNTIF(Data!$B650:$U650,INDEX(Pengaturan!$B$8:$B$27,R$4)))</f>
        <v>0</v>
      </c>
      <c r="S650" s="26" t="n">
        <f aca="false">IF(INDEX(Pengaturan!$B$8:$B$27,S$4)="",0,COUNTIF(Data!$B650:$U650,INDEX(Pengaturan!$B$8:$B$27,S$4)))</f>
        <v>0</v>
      </c>
      <c r="T650" s="26" t="n">
        <f aca="false">IF(INDEX(Pengaturan!$B$8:$B$27,T$4)="",0,COUNTIF(Data!$B650:$U650,INDEX(Pengaturan!$B$8:$B$27,T$4)))</f>
        <v>0</v>
      </c>
      <c r="U650" s="26" t="n">
        <f aca="false">IF(INDEX(Pengaturan!$B$8:$B$27,U$4)="",0,COUNTIF(Data!$B650:$U650,INDEX(Pengaturan!$B$8:$B$27,U$4)))</f>
        <v>0</v>
      </c>
      <c r="V650" s="26" t="n">
        <f aca="false">COUNTA(Data!$B650:$U650)</f>
        <v>0</v>
      </c>
      <c r="W650" s="27" t="str">
        <f aca="false">IF(V650=0,"",IF(V650&lt;&gt;Hasil!$C$4,"Data kosong/tidak lengkap",IF(SUM(B650:U650)&lt;&gt;V650,"Kategori tidak dikenal","OK")))</f>
        <v/>
      </c>
      <c r="X650" s="26" t="n">
        <f aca="false">IF(OR(W650="",W650="OK"),0,1)</f>
        <v>0</v>
      </c>
    </row>
    <row r="651" customFormat="false" ht="15" hidden="false" customHeight="false" outlineLevel="0" collapsed="false">
      <c r="A651" s="26" t="n">
        <f aca="false">Data!A651</f>
        <v>646</v>
      </c>
      <c r="B651" s="26" t="n">
        <f aca="false">IF(INDEX(Pengaturan!$B$8:$B$27,B$4)="",0,COUNTIF(Data!$B651:$U651,INDEX(Pengaturan!$B$8:$B$27,B$4)))</f>
        <v>0</v>
      </c>
      <c r="C651" s="26" t="n">
        <f aca="false">IF(INDEX(Pengaturan!$B$8:$B$27,C$4)="",0,COUNTIF(Data!$B651:$U651,INDEX(Pengaturan!$B$8:$B$27,C$4)))</f>
        <v>0</v>
      </c>
      <c r="D651" s="26" t="n">
        <f aca="false">IF(INDEX(Pengaturan!$B$8:$B$27,D$4)="",0,COUNTIF(Data!$B651:$U651,INDEX(Pengaturan!$B$8:$B$27,D$4)))</f>
        <v>0</v>
      </c>
      <c r="E651" s="26" t="n">
        <f aca="false">IF(INDEX(Pengaturan!$B$8:$B$27,E$4)="",0,COUNTIF(Data!$B651:$U651,INDEX(Pengaturan!$B$8:$B$27,E$4)))</f>
        <v>0</v>
      </c>
      <c r="F651" s="26" t="n">
        <f aca="false">IF(INDEX(Pengaturan!$B$8:$B$27,F$4)="",0,COUNTIF(Data!$B651:$U651,INDEX(Pengaturan!$B$8:$B$27,F$4)))</f>
        <v>0</v>
      </c>
      <c r="G651" s="26" t="n">
        <f aca="false">IF(INDEX(Pengaturan!$B$8:$B$27,G$4)="",0,COUNTIF(Data!$B651:$U651,INDEX(Pengaturan!$B$8:$B$27,G$4)))</f>
        <v>0</v>
      </c>
      <c r="H651" s="26" t="n">
        <f aca="false">IF(INDEX(Pengaturan!$B$8:$B$27,H$4)="",0,COUNTIF(Data!$B651:$U651,INDEX(Pengaturan!$B$8:$B$27,H$4)))</f>
        <v>0</v>
      </c>
      <c r="I651" s="26" t="n">
        <f aca="false">IF(INDEX(Pengaturan!$B$8:$B$27,I$4)="",0,COUNTIF(Data!$B651:$U651,INDEX(Pengaturan!$B$8:$B$27,I$4)))</f>
        <v>0</v>
      </c>
      <c r="J651" s="26" t="n">
        <f aca="false">IF(INDEX(Pengaturan!$B$8:$B$27,J$4)="",0,COUNTIF(Data!$B651:$U651,INDEX(Pengaturan!$B$8:$B$27,J$4)))</f>
        <v>0</v>
      </c>
      <c r="K651" s="26" t="n">
        <f aca="false">IF(INDEX(Pengaturan!$B$8:$B$27,K$4)="",0,COUNTIF(Data!$B651:$U651,INDEX(Pengaturan!$B$8:$B$27,K$4)))</f>
        <v>0</v>
      </c>
      <c r="L651" s="26" t="n">
        <f aca="false">IF(INDEX(Pengaturan!$B$8:$B$27,L$4)="",0,COUNTIF(Data!$B651:$U651,INDEX(Pengaturan!$B$8:$B$27,L$4)))</f>
        <v>0</v>
      </c>
      <c r="M651" s="26" t="n">
        <f aca="false">IF(INDEX(Pengaturan!$B$8:$B$27,M$4)="",0,COUNTIF(Data!$B651:$U651,INDEX(Pengaturan!$B$8:$B$27,M$4)))</f>
        <v>0</v>
      </c>
      <c r="N651" s="26" t="n">
        <f aca="false">IF(INDEX(Pengaturan!$B$8:$B$27,N$4)="",0,COUNTIF(Data!$B651:$U651,INDEX(Pengaturan!$B$8:$B$27,N$4)))</f>
        <v>0</v>
      </c>
      <c r="O651" s="26" t="n">
        <f aca="false">IF(INDEX(Pengaturan!$B$8:$B$27,O$4)="",0,COUNTIF(Data!$B651:$U651,INDEX(Pengaturan!$B$8:$B$27,O$4)))</f>
        <v>0</v>
      </c>
      <c r="P651" s="26" t="n">
        <f aca="false">IF(INDEX(Pengaturan!$B$8:$B$27,P$4)="",0,COUNTIF(Data!$B651:$U651,INDEX(Pengaturan!$B$8:$B$27,P$4)))</f>
        <v>0</v>
      </c>
      <c r="Q651" s="26" t="n">
        <f aca="false">IF(INDEX(Pengaturan!$B$8:$B$27,Q$4)="",0,COUNTIF(Data!$B651:$U651,INDEX(Pengaturan!$B$8:$B$27,Q$4)))</f>
        <v>0</v>
      </c>
      <c r="R651" s="26" t="n">
        <f aca="false">IF(INDEX(Pengaturan!$B$8:$B$27,R$4)="",0,COUNTIF(Data!$B651:$U651,INDEX(Pengaturan!$B$8:$B$27,R$4)))</f>
        <v>0</v>
      </c>
      <c r="S651" s="26" t="n">
        <f aca="false">IF(INDEX(Pengaturan!$B$8:$B$27,S$4)="",0,COUNTIF(Data!$B651:$U651,INDEX(Pengaturan!$B$8:$B$27,S$4)))</f>
        <v>0</v>
      </c>
      <c r="T651" s="26" t="n">
        <f aca="false">IF(INDEX(Pengaturan!$B$8:$B$27,T$4)="",0,COUNTIF(Data!$B651:$U651,INDEX(Pengaturan!$B$8:$B$27,T$4)))</f>
        <v>0</v>
      </c>
      <c r="U651" s="26" t="n">
        <f aca="false">IF(INDEX(Pengaturan!$B$8:$B$27,U$4)="",0,COUNTIF(Data!$B651:$U651,INDEX(Pengaturan!$B$8:$B$27,U$4)))</f>
        <v>0</v>
      </c>
      <c r="V651" s="26" t="n">
        <f aca="false">COUNTA(Data!$B651:$U651)</f>
        <v>0</v>
      </c>
      <c r="W651" s="27" t="str">
        <f aca="false">IF(V651=0,"",IF(V651&lt;&gt;Hasil!$C$4,"Data kosong/tidak lengkap",IF(SUM(B651:U651)&lt;&gt;V651,"Kategori tidak dikenal","OK")))</f>
        <v/>
      </c>
      <c r="X651" s="26" t="n">
        <f aca="false">IF(OR(W651="",W651="OK"),0,1)</f>
        <v>0</v>
      </c>
    </row>
    <row r="652" customFormat="false" ht="15" hidden="false" customHeight="false" outlineLevel="0" collapsed="false">
      <c r="A652" s="26" t="n">
        <f aca="false">Data!A652</f>
        <v>647</v>
      </c>
      <c r="B652" s="26" t="n">
        <f aca="false">IF(INDEX(Pengaturan!$B$8:$B$27,B$4)="",0,COUNTIF(Data!$B652:$U652,INDEX(Pengaturan!$B$8:$B$27,B$4)))</f>
        <v>0</v>
      </c>
      <c r="C652" s="26" t="n">
        <f aca="false">IF(INDEX(Pengaturan!$B$8:$B$27,C$4)="",0,COUNTIF(Data!$B652:$U652,INDEX(Pengaturan!$B$8:$B$27,C$4)))</f>
        <v>0</v>
      </c>
      <c r="D652" s="26" t="n">
        <f aca="false">IF(INDEX(Pengaturan!$B$8:$B$27,D$4)="",0,COUNTIF(Data!$B652:$U652,INDEX(Pengaturan!$B$8:$B$27,D$4)))</f>
        <v>0</v>
      </c>
      <c r="E652" s="26" t="n">
        <f aca="false">IF(INDEX(Pengaturan!$B$8:$B$27,E$4)="",0,COUNTIF(Data!$B652:$U652,INDEX(Pengaturan!$B$8:$B$27,E$4)))</f>
        <v>0</v>
      </c>
      <c r="F652" s="26" t="n">
        <f aca="false">IF(INDEX(Pengaturan!$B$8:$B$27,F$4)="",0,COUNTIF(Data!$B652:$U652,INDEX(Pengaturan!$B$8:$B$27,F$4)))</f>
        <v>0</v>
      </c>
      <c r="G652" s="26" t="n">
        <f aca="false">IF(INDEX(Pengaturan!$B$8:$B$27,G$4)="",0,COUNTIF(Data!$B652:$U652,INDEX(Pengaturan!$B$8:$B$27,G$4)))</f>
        <v>0</v>
      </c>
      <c r="H652" s="26" t="n">
        <f aca="false">IF(INDEX(Pengaturan!$B$8:$B$27,H$4)="",0,COUNTIF(Data!$B652:$U652,INDEX(Pengaturan!$B$8:$B$27,H$4)))</f>
        <v>0</v>
      </c>
      <c r="I652" s="26" t="n">
        <f aca="false">IF(INDEX(Pengaturan!$B$8:$B$27,I$4)="",0,COUNTIF(Data!$B652:$U652,INDEX(Pengaturan!$B$8:$B$27,I$4)))</f>
        <v>0</v>
      </c>
      <c r="J652" s="26" t="n">
        <f aca="false">IF(INDEX(Pengaturan!$B$8:$B$27,J$4)="",0,COUNTIF(Data!$B652:$U652,INDEX(Pengaturan!$B$8:$B$27,J$4)))</f>
        <v>0</v>
      </c>
      <c r="K652" s="26" t="n">
        <f aca="false">IF(INDEX(Pengaturan!$B$8:$B$27,K$4)="",0,COUNTIF(Data!$B652:$U652,INDEX(Pengaturan!$B$8:$B$27,K$4)))</f>
        <v>0</v>
      </c>
      <c r="L652" s="26" t="n">
        <f aca="false">IF(INDEX(Pengaturan!$B$8:$B$27,L$4)="",0,COUNTIF(Data!$B652:$U652,INDEX(Pengaturan!$B$8:$B$27,L$4)))</f>
        <v>0</v>
      </c>
      <c r="M652" s="26" t="n">
        <f aca="false">IF(INDEX(Pengaturan!$B$8:$B$27,M$4)="",0,COUNTIF(Data!$B652:$U652,INDEX(Pengaturan!$B$8:$B$27,M$4)))</f>
        <v>0</v>
      </c>
      <c r="N652" s="26" t="n">
        <f aca="false">IF(INDEX(Pengaturan!$B$8:$B$27,N$4)="",0,COUNTIF(Data!$B652:$U652,INDEX(Pengaturan!$B$8:$B$27,N$4)))</f>
        <v>0</v>
      </c>
      <c r="O652" s="26" t="n">
        <f aca="false">IF(INDEX(Pengaturan!$B$8:$B$27,O$4)="",0,COUNTIF(Data!$B652:$U652,INDEX(Pengaturan!$B$8:$B$27,O$4)))</f>
        <v>0</v>
      </c>
      <c r="P652" s="26" t="n">
        <f aca="false">IF(INDEX(Pengaturan!$B$8:$B$27,P$4)="",0,COUNTIF(Data!$B652:$U652,INDEX(Pengaturan!$B$8:$B$27,P$4)))</f>
        <v>0</v>
      </c>
      <c r="Q652" s="26" t="n">
        <f aca="false">IF(INDEX(Pengaturan!$B$8:$B$27,Q$4)="",0,COUNTIF(Data!$B652:$U652,INDEX(Pengaturan!$B$8:$B$27,Q$4)))</f>
        <v>0</v>
      </c>
      <c r="R652" s="26" t="n">
        <f aca="false">IF(INDEX(Pengaturan!$B$8:$B$27,R$4)="",0,COUNTIF(Data!$B652:$U652,INDEX(Pengaturan!$B$8:$B$27,R$4)))</f>
        <v>0</v>
      </c>
      <c r="S652" s="26" t="n">
        <f aca="false">IF(INDEX(Pengaturan!$B$8:$B$27,S$4)="",0,COUNTIF(Data!$B652:$U652,INDEX(Pengaturan!$B$8:$B$27,S$4)))</f>
        <v>0</v>
      </c>
      <c r="T652" s="26" t="n">
        <f aca="false">IF(INDEX(Pengaturan!$B$8:$B$27,T$4)="",0,COUNTIF(Data!$B652:$U652,INDEX(Pengaturan!$B$8:$B$27,T$4)))</f>
        <v>0</v>
      </c>
      <c r="U652" s="26" t="n">
        <f aca="false">IF(INDEX(Pengaturan!$B$8:$B$27,U$4)="",0,COUNTIF(Data!$B652:$U652,INDEX(Pengaturan!$B$8:$B$27,U$4)))</f>
        <v>0</v>
      </c>
      <c r="V652" s="26" t="n">
        <f aca="false">COUNTA(Data!$B652:$U652)</f>
        <v>0</v>
      </c>
      <c r="W652" s="27" t="str">
        <f aca="false">IF(V652=0,"",IF(V652&lt;&gt;Hasil!$C$4,"Data kosong/tidak lengkap",IF(SUM(B652:U652)&lt;&gt;V652,"Kategori tidak dikenal","OK")))</f>
        <v/>
      </c>
      <c r="X652" s="26" t="n">
        <f aca="false">IF(OR(W652="",W652="OK"),0,1)</f>
        <v>0</v>
      </c>
    </row>
    <row r="653" customFormat="false" ht="15" hidden="false" customHeight="false" outlineLevel="0" collapsed="false">
      <c r="A653" s="26" t="n">
        <f aca="false">Data!A653</f>
        <v>648</v>
      </c>
      <c r="B653" s="26" t="n">
        <f aca="false">IF(INDEX(Pengaturan!$B$8:$B$27,B$4)="",0,COUNTIF(Data!$B653:$U653,INDEX(Pengaturan!$B$8:$B$27,B$4)))</f>
        <v>0</v>
      </c>
      <c r="C653" s="26" t="n">
        <f aca="false">IF(INDEX(Pengaturan!$B$8:$B$27,C$4)="",0,COUNTIF(Data!$B653:$U653,INDEX(Pengaturan!$B$8:$B$27,C$4)))</f>
        <v>0</v>
      </c>
      <c r="D653" s="26" t="n">
        <f aca="false">IF(INDEX(Pengaturan!$B$8:$B$27,D$4)="",0,COUNTIF(Data!$B653:$U653,INDEX(Pengaturan!$B$8:$B$27,D$4)))</f>
        <v>0</v>
      </c>
      <c r="E653" s="26" t="n">
        <f aca="false">IF(INDEX(Pengaturan!$B$8:$B$27,E$4)="",0,COUNTIF(Data!$B653:$U653,INDEX(Pengaturan!$B$8:$B$27,E$4)))</f>
        <v>0</v>
      </c>
      <c r="F653" s="26" t="n">
        <f aca="false">IF(INDEX(Pengaturan!$B$8:$B$27,F$4)="",0,COUNTIF(Data!$B653:$U653,INDEX(Pengaturan!$B$8:$B$27,F$4)))</f>
        <v>0</v>
      </c>
      <c r="G653" s="26" t="n">
        <f aca="false">IF(INDEX(Pengaturan!$B$8:$B$27,G$4)="",0,COUNTIF(Data!$B653:$U653,INDEX(Pengaturan!$B$8:$B$27,G$4)))</f>
        <v>0</v>
      </c>
      <c r="H653" s="26" t="n">
        <f aca="false">IF(INDEX(Pengaturan!$B$8:$B$27,H$4)="",0,COUNTIF(Data!$B653:$U653,INDEX(Pengaturan!$B$8:$B$27,H$4)))</f>
        <v>0</v>
      </c>
      <c r="I653" s="26" t="n">
        <f aca="false">IF(INDEX(Pengaturan!$B$8:$B$27,I$4)="",0,COUNTIF(Data!$B653:$U653,INDEX(Pengaturan!$B$8:$B$27,I$4)))</f>
        <v>0</v>
      </c>
      <c r="J653" s="26" t="n">
        <f aca="false">IF(INDEX(Pengaturan!$B$8:$B$27,J$4)="",0,COUNTIF(Data!$B653:$U653,INDEX(Pengaturan!$B$8:$B$27,J$4)))</f>
        <v>0</v>
      </c>
      <c r="K653" s="26" t="n">
        <f aca="false">IF(INDEX(Pengaturan!$B$8:$B$27,K$4)="",0,COUNTIF(Data!$B653:$U653,INDEX(Pengaturan!$B$8:$B$27,K$4)))</f>
        <v>0</v>
      </c>
      <c r="L653" s="26" t="n">
        <f aca="false">IF(INDEX(Pengaturan!$B$8:$B$27,L$4)="",0,COUNTIF(Data!$B653:$U653,INDEX(Pengaturan!$B$8:$B$27,L$4)))</f>
        <v>0</v>
      </c>
      <c r="M653" s="26" t="n">
        <f aca="false">IF(INDEX(Pengaturan!$B$8:$B$27,M$4)="",0,COUNTIF(Data!$B653:$U653,INDEX(Pengaturan!$B$8:$B$27,M$4)))</f>
        <v>0</v>
      </c>
      <c r="N653" s="26" t="n">
        <f aca="false">IF(INDEX(Pengaturan!$B$8:$B$27,N$4)="",0,COUNTIF(Data!$B653:$U653,INDEX(Pengaturan!$B$8:$B$27,N$4)))</f>
        <v>0</v>
      </c>
      <c r="O653" s="26" t="n">
        <f aca="false">IF(INDEX(Pengaturan!$B$8:$B$27,O$4)="",0,COUNTIF(Data!$B653:$U653,INDEX(Pengaturan!$B$8:$B$27,O$4)))</f>
        <v>0</v>
      </c>
      <c r="P653" s="26" t="n">
        <f aca="false">IF(INDEX(Pengaturan!$B$8:$B$27,P$4)="",0,COUNTIF(Data!$B653:$U653,INDEX(Pengaturan!$B$8:$B$27,P$4)))</f>
        <v>0</v>
      </c>
      <c r="Q653" s="26" t="n">
        <f aca="false">IF(INDEX(Pengaturan!$B$8:$B$27,Q$4)="",0,COUNTIF(Data!$B653:$U653,INDEX(Pengaturan!$B$8:$B$27,Q$4)))</f>
        <v>0</v>
      </c>
      <c r="R653" s="26" t="n">
        <f aca="false">IF(INDEX(Pengaturan!$B$8:$B$27,R$4)="",0,COUNTIF(Data!$B653:$U653,INDEX(Pengaturan!$B$8:$B$27,R$4)))</f>
        <v>0</v>
      </c>
      <c r="S653" s="26" t="n">
        <f aca="false">IF(INDEX(Pengaturan!$B$8:$B$27,S$4)="",0,COUNTIF(Data!$B653:$U653,INDEX(Pengaturan!$B$8:$B$27,S$4)))</f>
        <v>0</v>
      </c>
      <c r="T653" s="26" t="n">
        <f aca="false">IF(INDEX(Pengaturan!$B$8:$B$27,T$4)="",0,COUNTIF(Data!$B653:$U653,INDEX(Pengaturan!$B$8:$B$27,T$4)))</f>
        <v>0</v>
      </c>
      <c r="U653" s="26" t="n">
        <f aca="false">IF(INDEX(Pengaturan!$B$8:$B$27,U$4)="",0,COUNTIF(Data!$B653:$U653,INDEX(Pengaturan!$B$8:$B$27,U$4)))</f>
        <v>0</v>
      </c>
      <c r="V653" s="26" t="n">
        <f aca="false">COUNTA(Data!$B653:$U653)</f>
        <v>0</v>
      </c>
      <c r="W653" s="27" t="str">
        <f aca="false">IF(V653=0,"",IF(V653&lt;&gt;Hasil!$C$4,"Data kosong/tidak lengkap",IF(SUM(B653:U653)&lt;&gt;V653,"Kategori tidak dikenal","OK")))</f>
        <v/>
      </c>
      <c r="X653" s="26" t="n">
        <f aca="false">IF(OR(W653="",W653="OK"),0,1)</f>
        <v>0</v>
      </c>
    </row>
    <row r="654" customFormat="false" ht="15" hidden="false" customHeight="false" outlineLevel="0" collapsed="false">
      <c r="A654" s="26" t="n">
        <f aca="false">Data!A654</f>
        <v>649</v>
      </c>
      <c r="B654" s="26" t="n">
        <f aca="false">IF(INDEX(Pengaturan!$B$8:$B$27,B$4)="",0,COUNTIF(Data!$B654:$U654,INDEX(Pengaturan!$B$8:$B$27,B$4)))</f>
        <v>0</v>
      </c>
      <c r="C654" s="26" t="n">
        <f aca="false">IF(INDEX(Pengaturan!$B$8:$B$27,C$4)="",0,COUNTIF(Data!$B654:$U654,INDEX(Pengaturan!$B$8:$B$27,C$4)))</f>
        <v>0</v>
      </c>
      <c r="D654" s="26" t="n">
        <f aca="false">IF(INDEX(Pengaturan!$B$8:$B$27,D$4)="",0,COUNTIF(Data!$B654:$U654,INDEX(Pengaturan!$B$8:$B$27,D$4)))</f>
        <v>0</v>
      </c>
      <c r="E654" s="26" t="n">
        <f aca="false">IF(INDEX(Pengaturan!$B$8:$B$27,E$4)="",0,COUNTIF(Data!$B654:$U654,INDEX(Pengaturan!$B$8:$B$27,E$4)))</f>
        <v>0</v>
      </c>
      <c r="F654" s="26" t="n">
        <f aca="false">IF(INDEX(Pengaturan!$B$8:$B$27,F$4)="",0,COUNTIF(Data!$B654:$U654,INDEX(Pengaturan!$B$8:$B$27,F$4)))</f>
        <v>0</v>
      </c>
      <c r="G654" s="26" t="n">
        <f aca="false">IF(INDEX(Pengaturan!$B$8:$B$27,G$4)="",0,COUNTIF(Data!$B654:$U654,INDEX(Pengaturan!$B$8:$B$27,G$4)))</f>
        <v>0</v>
      </c>
      <c r="H654" s="26" t="n">
        <f aca="false">IF(INDEX(Pengaturan!$B$8:$B$27,H$4)="",0,COUNTIF(Data!$B654:$U654,INDEX(Pengaturan!$B$8:$B$27,H$4)))</f>
        <v>0</v>
      </c>
      <c r="I654" s="26" t="n">
        <f aca="false">IF(INDEX(Pengaturan!$B$8:$B$27,I$4)="",0,COUNTIF(Data!$B654:$U654,INDEX(Pengaturan!$B$8:$B$27,I$4)))</f>
        <v>0</v>
      </c>
      <c r="J654" s="26" t="n">
        <f aca="false">IF(INDEX(Pengaturan!$B$8:$B$27,J$4)="",0,COUNTIF(Data!$B654:$U654,INDEX(Pengaturan!$B$8:$B$27,J$4)))</f>
        <v>0</v>
      </c>
      <c r="K654" s="26" t="n">
        <f aca="false">IF(INDEX(Pengaturan!$B$8:$B$27,K$4)="",0,COUNTIF(Data!$B654:$U654,INDEX(Pengaturan!$B$8:$B$27,K$4)))</f>
        <v>0</v>
      </c>
      <c r="L654" s="26" t="n">
        <f aca="false">IF(INDEX(Pengaturan!$B$8:$B$27,L$4)="",0,COUNTIF(Data!$B654:$U654,INDEX(Pengaturan!$B$8:$B$27,L$4)))</f>
        <v>0</v>
      </c>
      <c r="M654" s="26" t="n">
        <f aca="false">IF(INDEX(Pengaturan!$B$8:$B$27,M$4)="",0,COUNTIF(Data!$B654:$U654,INDEX(Pengaturan!$B$8:$B$27,M$4)))</f>
        <v>0</v>
      </c>
      <c r="N654" s="26" t="n">
        <f aca="false">IF(INDEX(Pengaturan!$B$8:$B$27,N$4)="",0,COUNTIF(Data!$B654:$U654,INDEX(Pengaturan!$B$8:$B$27,N$4)))</f>
        <v>0</v>
      </c>
      <c r="O654" s="26" t="n">
        <f aca="false">IF(INDEX(Pengaturan!$B$8:$B$27,O$4)="",0,COUNTIF(Data!$B654:$U654,INDEX(Pengaturan!$B$8:$B$27,O$4)))</f>
        <v>0</v>
      </c>
      <c r="P654" s="26" t="n">
        <f aca="false">IF(INDEX(Pengaturan!$B$8:$B$27,P$4)="",0,COUNTIF(Data!$B654:$U654,INDEX(Pengaturan!$B$8:$B$27,P$4)))</f>
        <v>0</v>
      </c>
      <c r="Q654" s="26" t="n">
        <f aca="false">IF(INDEX(Pengaturan!$B$8:$B$27,Q$4)="",0,COUNTIF(Data!$B654:$U654,INDEX(Pengaturan!$B$8:$B$27,Q$4)))</f>
        <v>0</v>
      </c>
      <c r="R654" s="26" t="n">
        <f aca="false">IF(INDEX(Pengaturan!$B$8:$B$27,R$4)="",0,COUNTIF(Data!$B654:$U654,INDEX(Pengaturan!$B$8:$B$27,R$4)))</f>
        <v>0</v>
      </c>
      <c r="S654" s="26" t="n">
        <f aca="false">IF(INDEX(Pengaturan!$B$8:$B$27,S$4)="",0,COUNTIF(Data!$B654:$U654,INDEX(Pengaturan!$B$8:$B$27,S$4)))</f>
        <v>0</v>
      </c>
      <c r="T654" s="26" t="n">
        <f aca="false">IF(INDEX(Pengaturan!$B$8:$B$27,T$4)="",0,COUNTIF(Data!$B654:$U654,INDEX(Pengaturan!$B$8:$B$27,T$4)))</f>
        <v>0</v>
      </c>
      <c r="U654" s="26" t="n">
        <f aca="false">IF(INDEX(Pengaturan!$B$8:$B$27,U$4)="",0,COUNTIF(Data!$B654:$U654,INDEX(Pengaturan!$B$8:$B$27,U$4)))</f>
        <v>0</v>
      </c>
      <c r="V654" s="26" t="n">
        <f aca="false">COUNTA(Data!$B654:$U654)</f>
        <v>0</v>
      </c>
      <c r="W654" s="27" t="str">
        <f aca="false">IF(V654=0,"",IF(V654&lt;&gt;Hasil!$C$4,"Data kosong/tidak lengkap",IF(SUM(B654:U654)&lt;&gt;V654,"Kategori tidak dikenal","OK")))</f>
        <v/>
      </c>
      <c r="X654" s="26" t="n">
        <f aca="false">IF(OR(W654="",W654="OK"),0,1)</f>
        <v>0</v>
      </c>
    </row>
    <row r="655" customFormat="false" ht="15" hidden="false" customHeight="false" outlineLevel="0" collapsed="false">
      <c r="A655" s="26" t="n">
        <f aca="false">Data!A655</f>
        <v>650</v>
      </c>
      <c r="B655" s="26" t="n">
        <f aca="false">IF(INDEX(Pengaturan!$B$8:$B$27,B$4)="",0,COUNTIF(Data!$B655:$U655,INDEX(Pengaturan!$B$8:$B$27,B$4)))</f>
        <v>0</v>
      </c>
      <c r="C655" s="26" t="n">
        <f aca="false">IF(INDEX(Pengaturan!$B$8:$B$27,C$4)="",0,COUNTIF(Data!$B655:$U655,INDEX(Pengaturan!$B$8:$B$27,C$4)))</f>
        <v>0</v>
      </c>
      <c r="D655" s="26" t="n">
        <f aca="false">IF(INDEX(Pengaturan!$B$8:$B$27,D$4)="",0,COUNTIF(Data!$B655:$U655,INDEX(Pengaturan!$B$8:$B$27,D$4)))</f>
        <v>0</v>
      </c>
      <c r="E655" s="26" t="n">
        <f aca="false">IF(INDEX(Pengaturan!$B$8:$B$27,E$4)="",0,COUNTIF(Data!$B655:$U655,INDEX(Pengaturan!$B$8:$B$27,E$4)))</f>
        <v>0</v>
      </c>
      <c r="F655" s="26" t="n">
        <f aca="false">IF(INDEX(Pengaturan!$B$8:$B$27,F$4)="",0,COUNTIF(Data!$B655:$U655,INDEX(Pengaturan!$B$8:$B$27,F$4)))</f>
        <v>0</v>
      </c>
      <c r="G655" s="26" t="n">
        <f aca="false">IF(INDEX(Pengaturan!$B$8:$B$27,G$4)="",0,COUNTIF(Data!$B655:$U655,INDEX(Pengaturan!$B$8:$B$27,G$4)))</f>
        <v>0</v>
      </c>
      <c r="H655" s="26" t="n">
        <f aca="false">IF(INDEX(Pengaturan!$B$8:$B$27,H$4)="",0,COUNTIF(Data!$B655:$U655,INDEX(Pengaturan!$B$8:$B$27,H$4)))</f>
        <v>0</v>
      </c>
      <c r="I655" s="26" t="n">
        <f aca="false">IF(INDEX(Pengaturan!$B$8:$B$27,I$4)="",0,COUNTIF(Data!$B655:$U655,INDEX(Pengaturan!$B$8:$B$27,I$4)))</f>
        <v>0</v>
      </c>
      <c r="J655" s="26" t="n">
        <f aca="false">IF(INDEX(Pengaturan!$B$8:$B$27,J$4)="",0,COUNTIF(Data!$B655:$U655,INDEX(Pengaturan!$B$8:$B$27,J$4)))</f>
        <v>0</v>
      </c>
      <c r="K655" s="26" t="n">
        <f aca="false">IF(INDEX(Pengaturan!$B$8:$B$27,K$4)="",0,COUNTIF(Data!$B655:$U655,INDEX(Pengaturan!$B$8:$B$27,K$4)))</f>
        <v>0</v>
      </c>
      <c r="L655" s="26" t="n">
        <f aca="false">IF(INDEX(Pengaturan!$B$8:$B$27,L$4)="",0,COUNTIF(Data!$B655:$U655,INDEX(Pengaturan!$B$8:$B$27,L$4)))</f>
        <v>0</v>
      </c>
      <c r="M655" s="26" t="n">
        <f aca="false">IF(INDEX(Pengaturan!$B$8:$B$27,M$4)="",0,COUNTIF(Data!$B655:$U655,INDEX(Pengaturan!$B$8:$B$27,M$4)))</f>
        <v>0</v>
      </c>
      <c r="N655" s="26" t="n">
        <f aca="false">IF(INDEX(Pengaturan!$B$8:$B$27,N$4)="",0,COUNTIF(Data!$B655:$U655,INDEX(Pengaturan!$B$8:$B$27,N$4)))</f>
        <v>0</v>
      </c>
      <c r="O655" s="26" t="n">
        <f aca="false">IF(INDEX(Pengaturan!$B$8:$B$27,O$4)="",0,COUNTIF(Data!$B655:$U655,INDEX(Pengaturan!$B$8:$B$27,O$4)))</f>
        <v>0</v>
      </c>
      <c r="P655" s="26" t="n">
        <f aca="false">IF(INDEX(Pengaturan!$B$8:$B$27,P$4)="",0,COUNTIF(Data!$B655:$U655,INDEX(Pengaturan!$B$8:$B$27,P$4)))</f>
        <v>0</v>
      </c>
      <c r="Q655" s="26" t="n">
        <f aca="false">IF(INDEX(Pengaturan!$B$8:$B$27,Q$4)="",0,COUNTIF(Data!$B655:$U655,INDEX(Pengaturan!$B$8:$B$27,Q$4)))</f>
        <v>0</v>
      </c>
      <c r="R655" s="26" t="n">
        <f aca="false">IF(INDEX(Pengaturan!$B$8:$B$27,R$4)="",0,COUNTIF(Data!$B655:$U655,INDEX(Pengaturan!$B$8:$B$27,R$4)))</f>
        <v>0</v>
      </c>
      <c r="S655" s="26" t="n">
        <f aca="false">IF(INDEX(Pengaturan!$B$8:$B$27,S$4)="",0,COUNTIF(Data!$B655:$U655,INDEX(Pengaturan!$B$8:$B$27,S$4)))</f>
        <v>0</v>
      </c>
      <c r="T655" s="26" t="n">
        <f aca="false">IF(INDEX(Pengaturan!$B$8:$B$27,T$4)="",0,COUNTIF(Data!$B655:$U655,INDEX(Pengaturan!$B$8:$B$27,T$4)))</f>
        <v>0</v>
      </c>
      <c r="U655" s="26" t="n">
        <f aca="false">IF(INDEX(Pengaturan!$B$8:$B$27,U$4)="",0,COUNTIF(Data!$B655:$U655,INDEX(Pengaturan!$B$8:$B$27,U$4)))</f>
        <v>0</v>
      </c>
      <c r="V655" s="26" t="n">
        <f aca="false">COUNTA(Data!$B655:$U655)</f>
        <v>0</v>
      </c>
      <c r="W655" s="27" t="str">
        <f aca="false">IF(V655=0,"",IF(V655&lt;&gt;Hasil!$C$4,"Data kosong/tidak lengkap",IF(SUM(B655:U655)&lt;&gt;V655,"Kategori tidak dikenal","OK")))</f>
        <v/>
      </c>
      <c r="X655" s="26" t="n">
        <f aca="false">IF(OR(W655="",W655="OK"),0,1)</f>
        <v>0</v>
      </c>
    </row>
    <row r="656" customFormat="false" ht="15" hidden="false" customHeight="false" outlineLevel="0" collapsed="false">
      <c r="A656" s="26" t="n">
        <f aca="false">Data!A656</f>
        <v>651</v>
      </c>
      <c r="B656" s="26" t="n">
        <f aca="false">IF(INDEX(Pengaturan!$B$8:$B$27,B$4)="",0,COUNTIF(Data!$B656:$U656,INDEX(Pengaturan!$B$8:$B$27,B$4)))</f>
        <v>0</v>
      </c>
      <c r="C656" s="26" t="n">
        <f aca="false">IF(INDEX(Pengaturan!$B$8:$B$27,C$4)="",0,COUNTIF(Data!$B656:$U656,INDEX(Pengaturan!$B$8:$B$27,C$4)))</f>
        <v>0</v>
      </c>
      <c r="D656" s="26" t="n">
        <f aca="false">IF(INDEX(Pengaturan!$B$8:$B$27,D$4)="",0,COUNTIF(Data!$B656:$U656,INDEX(Pengaturan!$B$8:$B$27,D$4)))</f>
        <v>0</v>
      </c>
      <c r="E656" s="26" t="n">
        <f aca="false">IF(INDEX(Pengaturan!$B$8:$B$27,E$4)="",0,COUNTIF(Data!$B656:$U656,INDEX(Pengaturan!$B$8:$B$27,E$4)))</f>
        <v>0</v>
      </c>
      <c r="F656" s="26" t="n">
        <f aca="false">IF(INDEX(Pengaturan!$B$8:$B$27,F$4)="",0,COUNTIF(Data!$B656:$U656,INDEX(Pengaturan!$B$8:$B$27,F$4)))</f>
        <v>0</v>
      </c>
      <c r="G656" s="26" t="n">
        <f aca="false">IF(INDEX(Pengaturan!$B$8:$B$27,G$4)="",0,COUNTIF(Data!$B656:$U656,INDEX(Pengaturan!$B$8:$B$27,G$4)))</f>
        <v>0</v>
      </c>
      <c r="H656" s="26" t="n">
        <f aca="false">IF(INDEX(Pengaturan!$B$8:$B$27,H$4)="",0,COUNTIF(Data!$B656:$U656,INDEX(Pengaturan!$B$8:$B$27,H$4)))</f>
        <v>0</v>
      </c>
      <c r="I656" s="26" t="n">
        <f aca="false">IF(INDEX(Pengaturan!$B$8:$B$27,I$4)="",0,COUNTIF(Data!$B656:$U656,INDEX(Pengaturan!$B$8:$B$27,I$4)))</f>
        <v>0</v>
      </c>
      <c r="J656" s="26" t="n">
        <f aca="false">IF(INDEX(Pengaturan!$B$8:$B$27,J$4)="",0,COUNTIF(Data!$B656:$U656,INDEX(Pengaturan!$B$8:$B$27,J$4)))</f>
        <v>0</v>
      </c>
      <c r="K656" s="26" t="n">
        <f aca="false">IF(INDEX(Pengaturan!$B$8:$B$27,K$4)="",0,COUNTIF(Data!$B656:$U656,INDEX(Pengaturan!$B$8:$B$27,K$4)))</f>
        <v>0</v>
      </c>
      <c r="L656" s="26" t="n">
        <f aca="false">IF(INDEX(Pengaturan!$B$8:$B$27,L$4)="",0,COUNTIF(Data!$B656:$U656,INDEX(Pengaturan!$B$8:$B$27,L$4)))</f>
        <v>0</v>
      </c>
      <c r="M656" s="26" t="n">
        <f aca="false">IF(INDEX(Pengaturan!$B$8:$B$27,M$4)="",0,COUNTIF(Data!$B656:$U656,INDEX(Pengaturan!$B$8:$B$27,M$4)))</f>
        <v>0</v>
      </c>
      <c r="N656" s="26" t="n">
        <f aca="false">IF(INDEX(Pengaturan!$B$8:$B$27,N$4)="",0,COUNTIF(Data!$B656:$U656,INDEX(Pengaturan!$B$8:$B$27,N$4)))</f>
        <v>0</v>
      </c>
      <c r="O656" s="26" t="n">
        <f aca="false">IF(INDEX(Pengaturan!$B$8:$B$27,O$4)="",0,COUNTIF(Data!$B656:$U656,INDEX(Pengaturan!$B$8:$B$27,O$4)))</f>
        <v>0</v>
      </c>
      <c r="P656" s="26" t="n">
        <f aca="false">IF(INDEX(Pengaturan!$B$8:$B$27,P$4)="",0,COUNTIF(Data!$B656:$U656,INDEX(Pengaturan!$B$8:$B$27,P$4)))</f>
        <v>0</v>
      </c>
      <c r="Q656" s="26" t="n">
        <f aca="false">IF(INDEX(Pengaturan!$B$8:$B$27,Q$4)="",0,COUNTIF(Data!$B656:$U656,INDEX(Pengaturan!$B$8:$B$27,Q$4)))</f>
        <v>0</v>
      </c>
      <c r="R656" s="26" t="n">
        <f aca="false">IF(INDEX(Pengaturan!$B$8:$B$27,R$4)="",0,COUNTIF(Data!$B656:$U656,INDEX(Pengaturan!$B$8:$B$27,R$4)))</f>
        <v>0</v>
      </c>
      <c r="S656" s="26" t="n">
        <f aca="false">IF(INDEX(Pengaturan!$B$8:$B$27,S$4)="",0,COUNTIF(Data!$B656:$U656,INDEX(Pengaturan!$B$8:$B$27,S$4)))</f>
        <v>0</v>
      </c>
      <c r="T656" s="26" t="n">
        <f aca="false">IF(INDEX(Pengaturan!$B$8:$B$27,T$4)="",0,COUNTIF(Data!$B656:$U656,INDEX(Pengaturan!$B$8:$B$27,T$4)))</f>
        <v>0</v>
      </c>
      <c r="U656" s="26" t="n">
        <f aca="false">IF(INDEX(Pengaturan!$B$8:$B$27,U$4)="",0,COUNTIF(Data!$B656:$U656,INDEX(Pengaturan!$B$8:$B$27,U$4)))</f>
        <v>0</v>
      </c>
      <c r="V656" s="26" t="n">
        <f aca="false">COUNTA(Data!$B656:$U656)</f>
        <v>0</v>
      </c>
      <c r="W656" s="27" t="str">
        <f aca="false">IF(V656=0,"",IF(V656&lt;&gt;Hasil!$C$4,"Data kosong/tidak lengkap",IF(SUM(B656:U656)&lt;&gt;V656,"Kategori tidak dikenal","OK")))</f>
        <v/>
      </c>
      <c r="X656" s="26" t="n">
        <f aca="false">IF(OR(W656="",W656="OK"),0,1)</f>
        <v>0</v>
      </c>
    </row>
    <row r="657" customFormat="false" ht="15" hidden="false" customHeight="false" outlineLevel="0" collapsed="false">
      <c r="A657" s="26" t="n">
        <f aca="false">Data!A657</f>
        <v>652</v>
      </c>
      <c r="B657" s="26" t="n">
        <f aca="false">IF(INDEX(Pengaturan!$B$8:$B$27,B$4)="",0,COUNTIF(Data!$B657:$U657,INDEX(Pengaturan!$B$8:$B$27,B$4)))</f>
        <v>0</v>
      </c>
      <c r="C657" s="26" t="n">
        <f aca="false">IF(INDEX(Pengaturan!$B$8:$B$27,C$4)="",0,COUNTIF(Data!$B657:$U657,INDEX(Pengaturan!$B$8:$B$27,C$4)))</f>
        <v>0</v>
      </c>
      <c r="D657" s="26" t="n">
        <f aca="false">IF(INDEX(Pengaturan!$B$8:$B$27,D$4)="",0,COUNTIF(Data!$B657:$U657,INDEX(Pengaturan!$B$8:$B$27,D$4)))</f>
        <v>0</v>
      </c>
      <c r="E657" s="26" t="n">
        <f aca="false">IF(INDEX(Pengaturan!$B$8:$B$27,E$4)="",0,COUNTIF(Data!$B657:$U657,INDEX(Pengaturan!$B$8:$B$27,E$4)))</f>
        <v>0</v>
      </c>
      <c r="F657" s="26" t="n">
        <f aca="false">IF(INDEX(Pengaturan!$B$8:$B$27,F$4)="",0,COUNTIF(Data!$B657:$U657,INDEX(Pengaturan!$B$8:$B$27,F$4)))</f>
        <v>0</v>
      </c>
      <c r="G657" s="26" t="n">
        <f aca="false">IF(INDEX(Pengaturan!$B$8:$B$27,G$4)="",0,COUNTIF(Data!$B657:$U657,INDEX(Pengaturan!$B$8:$B$27,G$4)))</f>
        <v>0</v>
      </c>
      <c r="H657" s="26" t="n">
        <f aca="false">IF(INDEX(Pengaturan!$B$8:$B$27,H$4)="",0,COUNTIF(Data!$B657:$U657,INDEX(Pengaturan!$B$8:$B$27,H$4)))</f>
        <v>0</v>
      </c>
      <c r="I657" s="26" t="n">
        <f aca="false">IF(INDEX(Pengaturan!$B$8:$B$27,I$4)="",0,COUNTIF(Data!$B657:$U657,INDEX(Pengaturan!$B$8:$B$27,I$4)))</f>
        <v>0</v>
      </c>
      <c r="J657" s="26" t="n">
        <f aca="false">IF(INDEX(Pengaturan!$B$8:$B$27,J$4)="",0,COUNTIF(Data!$B657:$U657,INDEX(Pengaturan!$B$8:$B$27,J$4)))</f>
        <v>0</v>
      </c>
      <c r="K657" s="26" t="n">
        <f aca="false">IF(INDEX(Pengaturan!$B$8:$B$27,K$4)="",0,COUNTIF(Data!$B657:$U657,INDEX(Pengaturan!$B$8:$B$27,K$4)))</f>
        <v>0</v>
      </c>
      <c r="L657" s="26" t="n">
        <f aca="false">IF(INDEX(Pengaturan!$B$8:$B$27,L$4)="",0,COUNTIF(Data!$B657:$U657,INDEX(Pengaturan!$B$8:$B$27,L$4)))</f>
        <v>0</v>
      </c>
      <c r="M657" s="26" t="n">
        <f aca="false">IF(INDEX(Pengaturan!$B$8:$B$27,M$4)="",0,COUNTIF(Data!$B657:$U657,INDEX(Pengaturan!$B$8:$B$27,M$4)))</f>
        <v>0</v>
      </c>
      <c r="N657" s="26" t="n">
        <f aca="false">IF(INDEX(Pengaturan!$B$8:$B$27,N$4)="",0,COUNTIF(Data!$B657:$U657,INDEX(Pengaturan!$B$8:$B$27,N$4)))</f>
        <v>0</v>
      </c>
      <c r="O657" s="26" t="n">
        <f aca="false">IF(INDEX(Pengaturan!$B$8:$B$27,O$4)="",0,COUNTIF(Data!$B657:$U657,INDEX(Pengaturan!$B$8:$B$27,O$4)))</f>
        <v>0</v>
      </c>
      <c r="P657" s="26" t="n">
        <f aca="false">IF(INDEX(Pengaturan!$B$8:$B$27,P$4)="",0,COUNTIF(Data!$B657:$U657,INDEX(Pengaturan!$B$8:$B$27,P$4)))</f>
        <v>0</v>
      </c>
      <c r="Q657" s="26" t="n">
        <f aca="false">IF(INDEX(Pengaturan!$B$8:$B$27,Q$4)="",0,COUNTIF(Data!$B657:$U657,INDEX(Pengaturan!$B$8:$B$27,Q$4)))</f>
        <v>0</v>
      </c>
      <c r="R657" s="26" t="n">
        <f aca="false">IF(INDEX(Pengaturan!$B$8:$B$27,R$4)="",0,COUNTIF(Data!$B657:$U657,INDEX(Pengaturan!$B$8:$B$27,R$4)))</f>
        <v>0</v>
      </c>
      <c r="S657" s="26" t="n">
        <f aca="false">IF(INDEX(Pengaturan!$B$8:$B$27,S$4)="",0,COUNTIF(Data!$B657:$U657,INDEX(Pengaturan!$B$8:$B$27,S$4)))</f>
        <v>0</v>
      </c>
      <c r="T657" s="26" t="n">
        <f aca="false">IF(INDEX(Pengaturan!$B$8:$B$27,T$4)="",0,COUNTIF(Data!$B657:$U657,INDEX(Pengaturan!$B$8:$B$27,T$4)))</f>
        <v>0</v>
      </c>
      <c r="U657" s="26" t="n">
        <f aca="false">IF(INDEX(Pengaturan!$B$8:$B$27,U$4)="",0,COUNTIF(Data!$B657:$U657,INDEX(Pengaturan!$B$8:$B$27,U$4)))</f>
        <v>0</v>
      </c>
      <c r="V657" s="26" t="n">
        <f aca="false">COUNTA(Data!$B657:$U657)</f>
        <v>0</v>
      </c>
      <c r="W657" s="27" t="str">
        <f aca="false">IF(V657=0,"",IF(V657&lt;&gt;Hasil!$C$4,"Data kosong/tidak lengkap",IF(SUM(B657:U657)&lt;&gt;V657,"Kategori tidak dikenal","OK")))</f>
        <v/>
      </c>
      <c r="X657" s="26" t="n">
        <f aca="false">IF(OR(W657="",W657="OK"),0,1)</f>
        <v>0</v>
      </c>
    </row>
    <row r="658" customFormat="false" ht="15" hidden="false" customHeight="false" outlineLevel="0" collapsed="false">
      <c r="A658" s="26" t="n">
        <f aca="false">Data!A658</f>
        <v>653</v>
      </c>
      <c r="B658" s="26" t="n">
        <f aca="false">IF(INDEX(Pengaturan!$B$8:$B$27,B$4)="",0,COUNTIF(Data!$B658:$U658,INDEX(Pengaturan!$B$8:$B$27,B$4)))</f>
        <v>0</v>
      </c>
      <c r="C658" s="26" t="n">
        <f aca="false">IF(INDEX(Pengaturan!$B$8:$B$27,C$4)="",0,COUNTIF(Data!$B658:$U658,INDEX(Pengaturan!$B$8:$B$27,C$4)))</f>
        <v>0</v>
      </c>
      <c r="D658" s="26" t="n">
        <f aca="false">IF(INDEX(Pengaturan!$B$8:$B$27,D$4)="",0,COUNTIF(Data!$B658:$U658,INDEX(Pengaturan!$B$8:$B$27,D$4)))</f>
        <v>0</v>
      </c>
      <c r="E658" s="26" t="n">
        <f aca="false">IF(INDEX(Pengaturan!$B$8:$B$27,E$4)="",0,COUNTIF(Data!$B658:$U658,INDEX(Pengaturan!$B$8:$B$27,E$4)))</f>
        <v>0</v>
      </c>
      <c r="F658" s="26" t="n">
        <f aca="false">IF(INDEX(Pengaturan!$B$8:$B$27,F$4)="",0,COUNTIF(Data!$B658:$U658,INDEX(Pengaturan!$B$8:$B$27,F$4)))</f>
        <v>0</v>
      </c>
      <c r="G658" s="26" t="n">
        <f aca="false">IF(INDEX(Pengaturan!$B$8:$B$27,G$4)="",0,COUNTIF(Data!$B658:$U658,INDEX(Pengaturan!$B$8:$B$27,G$4)))</f>
        <v>0</v>
      </c>
      <c r="H658" s="26" t="n">
        <f aca="false">IF(INDEX(Pengaturan!$B$8:$B$27,H$4)="",0,COUNTIF(Data!$B658:$U658,INDEX(Pengaturan!$B$8:$B$27,H$4)))</f>
        <v>0</v>
      </c>
      <c r="I658" s="26" t="n">
        <f aca="false">IF(INDEX(Pengaturan!$B$8:$B$27,I$4)="",0,COUNTIF(Data!$B658:$U658,INDEX(Pengaturan!$B$8:$B$27,I$4)))</f>
        <v>0</v>
      </c>
      <c r="J658" s="26" t="n">
        <f aca="false">IF(INDEX(Pengaturan!$B$8:$B$27,J$4)="",0,COUNTIF(Data!$B658:$U658,INDEX(Pengaturan!$B$8:$B$27,J$4)))</f>
        <v>0</v>
      </c>
      <c r="K658" s="26" t="n">
        <f aca="false">IF(INDEX(Pengaturan!$B$8:$B$27,K$4)="",0,COUNTIF(Data!$B658:$U658,INDEX(Pengaturan!$B$8:$B$27,K$4)))</f>
        <v>0</v>
      </c>
      <c r="L658" s="26" t="n">
        <f aca="false">IF(INDEX(Pengaturan!$B$8:$B$27,L$4)="",0,COUNTIF(Data!$B658:$U658,INDEX(Pengaturan!$B$8:$B$27,L$4)))</f>
        <v>0</v>
      </c>
      <c r="M658" s="26" t="n">
        <f aca="false">IF(INDEX(Pengaturan!$B$8:$B$27,M$4)="",0,COUNTIF(Data!$B658:$U658,INDEX(Pengaturan!$B$8:$B$27,M$4)))</f>
        <v>0</v>
      </c>
      <c r="N658" s="26" t="n">
        <f aca="false">IF(INDEX(Pengaturan!$B$8:$B$27,N$4)="",0,COUNTIF(Data!$B658:$U658,INDEX(Pengaturan!$B$8:$B$27,N$4)))</f>
        <v>0</v>
      </c>
      <c r="O658" s="26" t="n">
        <f aca="false">IF(INDEX(Pengaturan!$B$8:$B$27,O$4)="",0,COUNTIF(Data!$B658:$U658,INDEX(Pengaturan!$B$8:$B$27,O$4)))</f>
        <v>0</v>
      </c>
      <c r="P658" s="26" t="n">
        <f aca="false">IF(INDEX(Pengaturan!$B$8:$B$27,P$4)="",0,COUNTIF(Data!$B658:$U658,INDEX(Pengaturan!$B$8:$B$27,P$4)))</f>
        <v>0</v>
      </c>
      <c r="Q658" s="26" t="n">
        <f aca="false">IF(INDEX(Pengaturan!$B$8:$B$27,Q$4)="",0,COUNTIF(Data!$B658:$U658,INDEX(Pengaturan!$B$8:$B$27,Q$4)))</f>
        <v>0</v>
      </c>
      <c r="R658" s="26" t="n">
        <f aca="false">IF(INDEX(Pengaturan!$B$8:$B$27,R$4)="",0,COUNTIF(Data!$B658:$U658,INDEX(Pengaturan!$B$8:$B$27,R$4)))</f>
        <v>0</v>
      </c>
      <c r="S658" s="26" t="n">
        <f aca="false">IF(INDEX(Pengaturan!$B$8:$B$27,S$4)="",0,COUNTIF(Data!$B658:$U658,INDEX(Pengaturan!$B$8:$B$27,S$4)))</f>
        <v>0</v>
      </c>
      <c r="T658" s="26" t="n">
        <f aca="false">IF(INDEX(Pengaturan!$B$8:$B$27,T$4)="",0,COUNTIF(Data!$B658:$U658,INDEX(Pengaturan!$B$8:$B$27,T$4)))</f>
        <v>0</v>
      </c>
      <c r="U658" s="26" t="n">
        <f aca="false">IF(INDEX(Pengaturan!$B$8:$B$27,U$4)="",0,COUNTIF(Data!$B658:$U658,INDEX(Pengaturan!$B$8:$B$27,U$4)))</f>
        <v>0</v>
      </c>
      <c r="V658" s="26" t="n">
        <f aca="false">COUNTA(Data!$B658:$U658)</f>
        <v>0</v>
      </c>
      <c r="W658" s="27" t="str">
        <f aca="false">IF(V658=0,"",IF(V658&lt;&gt;Hasil!$C$4,"Data kosong/tidak lengkap",IF(SUM(B658:U658)&lt;&gt;V658,"Kategori tidak dikenal","OK")))</f>
        <v/>
      </c>
      <c r="X658" s="26" t="n">
        <f aca="false">IF(OR(W658="",W658="OK"),0,1)</f>
        <v>0</v>
      </c>
    </row>
    <row r="659" customFormat="false" ht="15" hidden="false" customHeight="false" outlineLevel="0" collapsed="false">
      <c r="A659" s="26" t="n">
        <f aca="false">Data!A659</f>
        <v>654</v>
      </c>
      <c r="B659" s="26" t="n">
        <f aca="false">IF(INDEX(Pengaturan!$B$8:$B$27,B$4)="",0,COUNTIF(Data!$B659:$U659,INDEX(Pengaturan!$B$8:$B$27,B$4)))</f>
        <v>0</v>
      </c>
      <c r="C659" s="26" t="n">
        <f aca="false">IF(INDEX(Pengaturan!$B$8:$B$27,C$4)="",0,COUNTIF(Data!$B659:$U659,INDEX(Pengaturan!$B$8:$B$27,C$4)))</f>
        <v>0</v>
      </c>
      <c r="D659" s="26" t="n">
        <f aca="false">IF(INDEX(Pengaturan!$B$8:$B$27,D$4)="",0,COUNTIF(Data!$B659:$U659,INDEX(Pengaturan!$B$8:$B$27,D$4)))</f>
        <v>0</v>
      </c>
      <c r="E659" s="26" t="n">
        <f aca="false">IF(INDEX(Pengaturan!$B$8:$B$27,E$4)="",0,COUNTIF(Data!$B659:$U659,INDEX(Pengaturan!$B$8:$B$27,E$4)))</f>
        <v>0</v>
      </c>
      <c r="F659" s="26" t="n">
        <f aca="false">IF(INDEX(Pengaturan!$B$8:$B$27,F$4)="",0,COUNTIF(Data!$B659:$U659,INDEX(Pengaturan!$B$8:$B$27,F$4)))</f>
        <v>0</v>
      </c>
      <c r="G659" s="26" t="n">
        <f aca="false">IF(INDEX(Pengaturan!$B$8:$B$27,G$4)="",0,COUNTIF(Data!$B659:$U659,INDEX(Pengaturan!$B$8:$B$27,G$4)))</f>
        <v>0</v>
      </c>
      <c r="H659" s="26" t="n">
        <f aca="false">IF(INDEX(Pengaturan!$B$8:$B$27,H$4)="",0,COUNTIF(Data!$B659:$U659,INDEX(Pengaturan!$B$8:$B$27,H$4)))</f>
        <v>0</v>
      </c>
      <c r="I659" s="26" t="n">
        <f aca="false">IF(INDEX(Pengaturan!$B$8:$B$27,I$4)="",0,COUNTIF(Data!$B659:$U659,INDEX(Pengaturan!$B$8:$B$27,I$4)))</f>
        <v>0</v>
      </c>
      <c r="J659" s="26" t="n">
        <f aca="false">IF(INDEX(Pengaturan!$B$8:$B$27,J$4)="",0,COUNTIF(Data!$B659:$U659,INDEX(Pengaturan!$B$8:$B$27,J$4)))</f>
        <v>0</v>
      </c>
      <c r="K659" s="26" t="n">
        <f aca="false">IF(INDEX(Pengaturan!$B$8:$B$27,K$4)="",0,COUNTIF(Data!$B659:$U659,INDEX(Pengaturan!$B$8:$B$27,K$4)))</f>
        <v>0</v>
      </c>
      <c r="L659" s="26" t="n">
        <f aca="false">IF(INDEX(Pengaturan!$B$8:$B$27,L$4)="",0,COUNTIF(Data!$B659:$U659,INDEX(Pengaturan!$B$8:$B$27,L$4)))</f>
        <v>0</v>
      </c>
      <c r="M659" s="26" t="n">
        <f aca="false">IF(INDEX(Pengaturan!$B$8:$B$27,M$4)="",0,COUNTIF(Data!$B659:$U659,INDEX(Pengaturan!$B$8:$B$27,M$4)))</f>
        <v>0</v>
      </c>
      <c r="N659" s="26" t="n">
        <f aca="false">IF(INDEX(Pengaturan!$B$8:$B$27,N$4)="",0,COUNTIF(Data!$B659:$U659,INDEX(Pengaturan!$B$8:$B$27,N$4)))</f>
        <v>0</v>
      </c>
      <c r="O659" s="26" t="n">
        <f aca="false">IF(INDEX(Pengaturan!$B$8:$B$27,O$4)="",0,COUNTIF(Data!$B659:$U659,INDEX(Pengaturan!$B$8:$B$27,O$4)))</f>
        <v>0</v>
      </c>
      <c r="P659" s="26" t="n">
        <f aca="false">IF(INDEX(Pengaturan!$B$8:$B$27,P$4)="",0,COUNTIF(Data!$B659:$U659,INDEX(Pengaturan!$B$8:$B$27,P$4)))</f>
        <v>0</v>
      </c>
      <c r="Q659" s="26" t="n">
        <f aca="false">IF(INDEX(Pengaturan!$B$8:$B$27,Q$4)="",0,COUNTIF(Data!$B659:$U659,INDEX(Pengaturan!$B$8:$B$27,Q$4)))</f>
        <v>0</v>
      </c>
      <c r="R659" s="26" t="n">
        <f aca="false">IF(INDEX(Pengaturan!$B$8:$B$27,R$4)="",0,COUNTIF(Data!$B659:$U659,INDEX(Pengaturan!$B$8:$B$27,R$4)))</f>
        <v>0</v>
      </c>
      <c r="S659" s="26" t="n">
        <f aca="false">IF(INDEX(Pengaturan!$B$8:$B$27,S$4)="",0,COUNTIF(Data!$B659:$U659,INDEX(Pengaturan!$B$8:$B$27,S$4)))</f>
        <v>0</v>
      </c>
      <c r="T659" s="26" t="n">
        <f aca="false">IF(INDEX(Pengaturan!$B$8:$B$27,T$4)="",0,COUNTIF(Data!$B659:$U659,INDEX(Pengaturan!$B$8:$B$27,T$4)))</f>
        <v>0</v>
      </c>
      <c r="U659" s="26" t="n">
        <f aca="false">IF(INDEX(Pengaturan!$B$8:$B$27,U$4)="",0,COUNTIF(Data!$B659:$U659,INDEX(Pengaturan!$B$8:$B$27,U$4)))</f>
        <v>0</v>
      </c>
      <c r="V659" s="26" t="n">
        <f aca="false">COUNTA(Data!$B659:$U659)</f>
        <v>0</v>
      </c>
      <c r="W659" s="27" t="str">
        <f aca="false">IF(V659=0,"",IF(V659&lt;&gt;Hasil!$C$4,"Data kosong/tidak lengkap",IF(SUM(B659:U659)&lt;&gt;V659,"Kategori tidak dikenal","OK")))</f>
        <v/>
      </c>
      <c r="X659" s="26" t="n">
        <f aca="false">IF(OR(W659="",W659="OK"),0,1)</f>
        <v>0</v>
      </c>
    </row>
    <row r="660" customFormat="false" ht="15" hidden="false" customHeight="false" outlineLevel="0" collapsed="false">
      <c r="A660" s="26" t="n">
        <f aca="false">Data!A660</f>
        <v>655</v>
      </c>
      <c r="B660" s="26" t="n">
        <f aca="false">IF(INDEX(Pengaturan!$B$8:$B$27,B$4)="",0,COUNTIF(Data!$B660:$U660,INDEX(Pengaturan!$B$8:$B$27,B$4)))</f>
        <v>0</v>
      </c>
      <c r="C660" s="26" t="n">
        <f aca="false">IF(INDEX(Pengaturan!$B$8:$B$27,C$4)="",0,COUNTIF(Data!$B660:$U660,INDEX(Pengaturan!$B$8:$B$27,C$4)))</f>
        <v>0</v>
      </c>
      <c r="D660" s="26" t="n">
        <f aca="false">IF(INDEX(Pengaturan!$B$8:$B$27,D$4)="",0,COUNTIF(Data!$B660:$U660,INDEX(Pengaturan!$B$8:$B$27,D$4)))</f>
        <v>0</v>
      </c>
      <c r="E660" s="26" t="n">
        <f aca="false">IF(INDEX(Pengaturan!$B$8:$B$27,E$4)="",0,COUNTIF(Data!$B660:$U660,INDEX(Pengaturan!$B$8:$B$27,E$4)))</f>
        <v>0</v>
      </c>
      <c r="F660" s="26" t="n">
        <f aca="false">IF(INDEX(Pengaturan!$B$8:$B$27,F$4)="",0,COUNTIF(Data!$B660:$U660,INDEX(Pengaturan!$B$8:$B$27,F$4)))</f>
        <v>0</v>
      </c>
      <c r="G660" s="26" t="n">
        <f aca="false">IF(INDEX(Pengaturan!$B$8:$B$27,G$4)="",0,COUNTIF(Data!$B660:$U660,INDEX(Pengaturan!$B$8:$B$27,G$4)))</f>
        <v>0</v>
      </c>
      <c r="H660" s="26" t="n">
        <f aca="false">IF(INDEX(Pengaturan!$B$8:$B$27,H$4)="",0,COUNTIF(Data!$B660:$U660,INDEX(Pengaturan!$B$8:$B$27,H$4)))</f>
        <v>0</v>
      </c>
      <c r="I660" s="26" t="n">
        <f aca="false">IF(INDEX(Pengaturan!$B$8:$B$27,I$4)="",0,COUNTIF(Data!$B660:$U660,INDEX(Pengaturan!$B$8:$B$27,I$4)))</f>
        <v>0</v>
      </c>
      <c r="J660" s="26" t="n">
        <f aca="false">IF(INDEX(Pengaturan!$B$8:$B$27,J$4)="",0,COUNTIF(Data!$B660:$U660,INDEX(Pengaturan!$B$8:$B$27,J$4)))</f>
        <v>0</v>
      </c>
      <c r="K660" s="26" t="n">
        <f aca="false">IF(INDEX(Pengaturan!$B$8:$B$27,K$4)="",0,COUNTIF(Data!$B660:$U660,INDEX(Pengaturan!$B$8:$B$27,K$4)))</f>
        <v>0</v>
      </c>
      <c r="L660" s="26" t="n">
        <f aca="false">IF(INDEX(Pengaturan!$B$8:$B$27,L$4)="",0,COUNTIF(Data!$B660:$U660,INDEX(Pengaturan!$B$8:$B$27,L$4)))</f>
        <v>0</v>
      </c>
      <c r="M660" s="26" t="n">
        <f aca="false">IF(INDEX(Pengaturan!$B$8:$B$27,M$4)="",0,COUNTIF(Data!$B660:$U660,INDEX(Pengaturan!$B$8:$B$27,M$4)))</f>
        <v>0</v>
      </c>
      <c r="N660" s="26" t="n">
        <f aca="false">IF(INDEX(Pengaturan!$B$8:$B$27,N$4)="",0,COUNTIF(Data!$B660:$U660,INDEX(Pengaturan!$B$8:$B$27,N$4)))</f>
        <v>0</v>
      </c>
      <c r="O660" s="26" t="n">
        <f aca="false">IF(INDEX(Pengaturan!$B$8:$B$27,O$4)="",0,COUNTIF(Data!$B660:$U660,INDEX(Pengaturan!$B$8:$B$27,O$4)))</f>
        <v>0</v>
      </c>
      <c r="P660" s="26" t="n">
        <f aca="false">IF(INDEX(Pengaturan!$B$8:$B$27,P$4)="",0,COUNTIF(Data!$B660:$U660,INDEX(Pengaturan!$B$8:$B$27,P$4)))</f>
        <v>0</v>
      </c>
      <c r="Q660" s="26" t="n">
        <f aca="false">IF(INDEX(Pengaturan!$B$8:$B$27,Q$4)="",0,COUNTIF(Data!$B660:$U660,INDEX(Pengaturan!$B$8:$B$27,Q$4)))</f>
        <v>0</v>
      </c>
      <c r="R660" s="26" t="n">
        <f aca="false">IF(INDEX(Pengaturan!$B$8:$B$27,R$4)="",0,COUNTIF(Data!$B660:$U660,INDEX(Pengaturan!$B$8:$B$27,R$4)))</f>
        <v>0</v>
      </c>
      <c r="S660" s="26" t="n">
        <f aca="false">IF(INDEX(Pengaturan!$B$8:$B$27,S$4)="",0,COUNTIF(Data!$B660:$U660,INDEX(Pengaturan!$B$8:$B$27,S$4)))</f>
        <v>0</v>
      </c>
      <c r="T660" s="26" t="n">
        <f aca="false">IF(INDEX(Pengaturan!$B$8:$B$27,T$4)="",0,COUNTIF(Data!$B660:$U660,INDEX(Pengaturan!$B$8:$B$27,T$4)))</f>
        <v>0</v>
      </c>
      <c r="U660" s="26" t="n">
        <f aca="false">IF(INDEX(Pengaturan!$B$8:$B$27,U$4)="",0,COUNTIF(Data!$B660:$U660,INDEX(Pengaturan!$B$8:$B$27,U$4)))</f>
        <v>0</v>
      </c>
      <c r="V660" s="26" t="n">
        <f aca="false">COUNTA(Data!$B660:$U660)</f>
        <v>0</v>
      </c>
      <c r="W660" s="27" t="str">
        <f aca="false">IF(V660=0,"",IF(V660&lt;&gt;Hasil!$C$4,"Data kosong/tidak lengkap",IF(SUM(B660:U660)&lt;&gt;V660,"Kategori tidak dikenal","OK")))</f>
        <v/>
      </c>
      <c r="X660" s="26" t="n">
        <f aca="false">IF(OR(W660="",W660="OK"),0,1)</f>
        <v>0</v>
      </c>
    </row>
    <row r="661" customFormat="false" ht="15" hidden="false" customHeight="false" outlineLevel="0" collapsed="false">
      <c r="A661" s="26" t="n">
        <f aca="false">Data!A661</f>
        <v>656</v>
      </c>
      <c r="B661" s="26" t="n">
        <f aca="false">IF(INDEX(Pengaturan!$B$8:$B$27,B$4)="",0,COUNTIF(Data!$B661:$U661,INDEX(Pengaturan!$B$8:$B$27,B$4)))</f>
        <v>0</v>
      </c>
      <c r="C661" s="26" t="n">
        <f aca="false">IF(INDEX(Pengaturan!$B$8:$B$27,C$4)="",0,COUNTIF(Data!$B661:$U661,INDEX(Pengaturan!$B$8:$B$27,C$4)))</f>
        <v>0</v>
      </c>
      <c r="D661" s="26" t="n">
        <f aca="false">IF(INDEX(Pengaturan!$B$8:$B$27,D$4)="",0,COUNTIF(Data!$B661:$U661,INDEX(Pengaturan!$B$8:$B$27,D$4)))</f>
        <v>0</v>
      </c>
      <c r="E661" s="26" t="n">
        <f aca="false">IF(INDEX(Pengaturan!$B$8:$B$27,E$4)="",0,COUNTIF(Data!$B661:$U661,INDEX(Pengaturan!$B$8:$B$27,E$4)))</f>
        <v>0</v>
      </c>
      <c r="F661" s="26" t="n">
        <f aca="false">IF(INDEX(Pengaturan!$B$8:$B$27,F$4)="",0,COUNTIF(Data!$B661:$U661,INDEX(Pengaturan!$B$8:$B$27,F$4)))</f>
        <v>0</v>
      </c>
      <c r="G661" s="26" t="n">
        <f aca="false">IF(INDEX(Pengaturan!$B$8:$B$27,G$4)="",0,COUNTIF(Data!$B661:$U661,INDEX(Pengaturan!$B$8:$B$27,G$4)))</f>
        <v>0</v>
      </c>
      <c r="H661" s="26" t="n">
        <f aca="false">IF(INDEX(Pengaturan!$B$8:$B$27,H$4)="",0,COUNTIF(Data!$B661:$U661,INDEX(Pengaturan!$B$8:$B$27,H$4)))</f>
        <v>0</v>
      </c>
      <c r="I661" s="26" t="n">
        <f aca="false">IF(INDEX(Pengaturan!$B$8:$B$27,I$4)="",0,COUNTIF(Data!$B661:$U661,INDEX(Pengaturan!$B$8:$B$27,I$4)))</f>
        <v>0</v>
      </c>
      <c r="J661" s="26" t="n">
        <f aca="false">IF(INDEX(Pengaturan!$B$8:$B$27,J$4)="",0,COUNTIF(Data!$B661:$U661,INDEX(Pengaturan!$B$8:$B$27,J$4)))</f>
        <v>0</v>
      </c>
      <c r="K661" s="26" t="n">
        <f aca="false">IF(INDEX(Pengaturan!$B$8:$B$27,K$4)="",0,COUNTIF(Data!$B661:$U661,INDEX(Pengaturan!$B$8:$B$27,K$4)))</f>
        <v>0</v>
      </c>
      <c r="L661" s="26" t="n">
        <f aca="false">IF(INDEX(Pengaturan!$B$8:$B$27,L$4)="",0,COUNTIF(Data!$B661:$U661,INDEX(Pengaturan!$B$8:$B$27,L$4)))</f>
        <v>0</v>
      </c>
      <c r="M661" s="26" t="n">
        <f aca="false">IF(INDEX(Pengaturan!$B$8:$B$27,M$4)="",0,COUNTIF(Data!$B661:$U661,INDEX(Pengaturan!$B$8:$B$27,M$4)))</f>
        <v>0</v>
      </c>
      <c r="N661" s="26" t="n">
        <f aca="false">IF(INDEX(Pengaturan!$B$8:$B$27,N$4)="",0,COUNTIF(Data!$B661:$U661,INDEX(Pengaturan!$B$8:$B$27,N$4)))</f>
        <v>0</v>
      </c>
      <c r="O661" s="26" t="n">
        <f aca="false">IF(INDEX(Pengaturan!$B$8:$B$27,O$4)="",0,COUNTIF(Data!$B661:$U661,INDEX(Pengaturan!$B$8:$B$27,O$4)))</f>
        <v>0</v>
      </c>
      <c r="P661" s="26" t="n">
        <f aca="false">IF(INDEX(Pengaturan!$B$8:$B$27,P$4)="",0,COUNTIF(Data!$B661:$U661,INDEX(Pengaturan!$B$8:$B$27,P$4)))</f>
        <v>0</v>
      </c>
      <c r="Q661" s="26" t="n">
        <f aca="false">IF(INDEX(Pengaturan!$B$8:$B$27,Q$4)="",0,COUNTIF(Data!$B661:$U661,INDEX(Pengaturan!$B$8:$B$27,Q$4)))</f>
        <v>0</v>
      </c>
      <c r="R661" s="26" t="n">
        <f aca="false">IF(INDEX(Pengaturan!$B$8:$B$27,R$4)="",0,COUNTIF(Data!$B661:$U661,INDEX(Pengaturan!$B$8:$B$27,R$4)))</f>
        <v>0</v>
      </c>
      <c r="S661" s="26" t="n">
        <f aca="false">IF(INDEX(Pengaturan!$B$8:$B$27,S$4)="",0,COUNTIF(Data!$B661:$U661,INDEX(Pengaturan!$B$8:$B$27,S$4)))</f>
        <v>0</v>
      </c>
      <c r="T661" s="26" t="n">
        <f aca="false">IF(INDEX(Pengaturan!$B$8:$B$27,T$4)="",0,COUNTIF(Data!$B661:$U661,INDEX(Pengaturan!$B$8:$B$27,T$4)))</f>
        <v>0</v>
      </c>
      <c r="U661" s="26" t="n">
        <f aca="false">IF(INDEX(Pengaturan!$B$8:$B$27,U$4)="",0,COUNTIF(Data!$B661:$U661,INDEX(Pengaturan!$B$8:$B$27,U$4)))</f>
        <v>0</v>
      </c>
      <c r="V661" s="26" t="n">
        <f aca="false">COUNTA(Data!$B661:$U661)</f>
        <v>0</v>
      </c>
      <c r="W661" s="27" t="str">
        <f aca="false">IF(V661=0,"",IF(V661&lt;&gt;Hasil!$C$4,"Data kosong/tidak lengkap",IF(SUM(B661:U661)&lt;&gt;V661,"Kategori tidak dikenal","OK")))</f>
        <v/>
      </c>
      <c r="X661" s="26" t="n">
        <f aca="false">IF(OR(W661="",W661="OK"),0,1)</f>
        <v>0</v>
      </c>
    </row>
    <row r="662" customFormat="false" ht="15" hidden="false" customHeight="false" outlineLevel="0" collapsed="false">
      <c r="A662" s="26" t="n">
        <f aca="false">Data!A662</f>
        <v>657</v>
      </c>
      <c r="B662" s="26" t="n">
        <f aca="false">IF(INDEX(Pengaturan!$B$8:$B$27,B$4)="",0,COUNTIF(Data!$B662:$U662,INDEX(Pengaturan!$B$8:$B$27,B$4)))</f>
        <v>0</v>
      </c>
      <c r="C662" s="26" t="n">
        <f aca="false">IF(INDEX(Pengaturan!$B$8:$B$27,C$4)="",0,COUNTIF(Data!$B662:$U662,INDEX(Pengaturan!$B$8:$B$27,C$4)))</f>
        <v>0</v>
      </c>
      <c r="D662" s="26" t="n">
        <f aca="false">IF(INDEX(Pengaturan!$B$8:$B$27,D$4)="",0,COUNTIF(Data!$B662:$U662,INDEX(Pengaturan!$B$8:$B$27,D$4)))</f>
        <v>0</v>
      </c>
      <c r="E662" s="26" t="n">
        <f aca="false">IF(INDEX(Pengaturan!$B$8:$B$27,E$4)="",0,COUNTIF(Data!$B662:$U662,INDEX(Pengaturan!$B$8:$B$27,E$4)))</f>
        <v>0</v>
      </c>
      <c r="F662" s="26" t="n">
        <f aca="false">IF(INDEX(Pengaturan!$B$8:$B$27,F$4)="",0,COUNTIF(Data!$B662:$U662,INDEX(Pengaturan!$B$8:$B$27,F$4)))</f>
        <v>0</v>
      </c>
      <c r="G662" s="26" t="n">
        <f aca="false">IF(INDEX(Pengaturan!$B$8:$B$27,G$4)="",0,COUNTIF(Data!$B662:$U662,INDEX(Pengaturan!$B$8:$B$27,G$4)))</f>
        <v>0</v>
      </c>
      <c r="H662" s="26" t="n">
        <f aca="false">IF(INDEX(Pengaturan!$B$8:$B$27,H$4)="",0,COUNTIF(Data!$B662:$U662,INDEX(Pengaturan!$B$8:$B$27,H$4)))</f>
        <v>0</v>
      </c>
      <c r="I662" s="26" t="n">
        <f aca="false">IF(INDEX(Pengaturan!$B$8:$B$27,I$4)="",0,COUNTIF(Data!$B662:$U662,INDEX(Pengaturan!$B$8:$B$27,I$4)))</f>
        <v>0</v>
      </c>
      <c r="J662" s="26" t="n">
        <f aca="false">IF(INDEX(Pengaturan!$B$8:$B$27,J$4)="",0,COUNTIF(Data!$B662:$U662,INDEX(Pengaturan!$B$8:$B$27,J$4)))</f>
        <v>0</v>
      </c>
      <c r="K662" s="26" t="n">
        <f aca="false">IF(INDEX(Pengaturan!$B$8:$B$27,K$4)="",0,COUNTIF(Data!$B662:$U662,INDEX(Pengaturan!$B$8:$B$27,K$4)))</f>
        <v>0</v>
      </c>
      <c r="L662" s="26" t="n">
        <f aca="false">IF(INDEX(Pengaturan!$B$8:$B$27,L$4)="",0,COUNTIF(Data!$B662:$U662,INDEX(Pengaturan!$B$8:$B$27,L$4)))</f>
        <v>0</v>
      </c>
      <c r="M662" s="26" t="n">
        <f aca="false">IF(INDEX(Pengaturan!$B$8:$B$27,M$4)="",0,COUNTIF(Data!$B662:$U662,INDEX(Pengaturan!$B$8:$B$27,M$4)))</f>
        <v>0</v>
      </c>
      <c r="N662" s="26" t="n">
        <f aca="false">IF(INDEX(Pengaturan!$B$8:$B$27,N$4)="",0,COUNTIF(Data!$B662:$U662,INDEX(Pengaturan!$B$8:$B$27,N$4)))</f>
        <v>0</v>
      </c>
      <c r="O662" s="26" t="n">
        <f aca="false">IF(INDEX(Pengaturan!$B$8:$B$27,O$4)="",0,COUNTIF(Data!$B662:$U662,INDEX(Pengaturan!$B$8:$B$27,O$4)))</f>
        <v>0</v>
      </c>
      <c r="P662" s="26" t="n">
        <f aca="false">IF(INDEX(Pengaturan!$B$8:$B$27,P$4)="",0,COUNTIF(Data!$B662:$U662,INDEX(Pengaturan!$B$8:$B$27,P$4)))</f>
        <v>0</v>
      </c>
      <c r="Q662" s="26" t="n">
        <f aca="false">IF(INDEX(Pengaturan!$B$8:$B$27,Q$4)="",0,COUNTIF(Data!$B662:$U662,INDEX(Pengaturan!$B$8:$B$27,Q$4)))</f>
        <v>0</v>
      </c>
      <c r="R662" s="26" t="n">
        <f aca="false">IF(INDEX(Pengaturan!$B$8:$B$27,R$4)="",0,COUNTIF(Data!$B662:$U662,INDEX(Pengaturan!$B$8:$B$27,R$4)))</f>
        <v>0</v>
      </c>
      <c r="S662" s="26" t="n">
        <f aca="false">IF(INDEX(Pengaturan!$B$8:$B$27,S$4)="",0,COUNTIF(Data!$B662:$U662,INDEX(Pengaturan!$B$8:$B$27,S$4)))</f>
        <v>0</v>
      </c>
      <c r="T662" s="26" t="n">
        <f aca="false">IF(INDEX(Pengaturan!$B$8:$B$27,T$4)="",0,COUNTIF(Data!$B662:$U662,INDEX(Pengaturan!$B$8:$B$27,T$4)))</f>
        <v>0</v>
      </c>
      <c r="U662" s="26" t="n">
        <f aca="false">IF(INDEX(Pengaturan!$B$8:$B$27,U$4)="",0,COUNTIF(Data!$B662:$U662,INDEX(Pengaturan!$B$8:$B$27,U$4)))</f>
        <v>0</v>
      </c>
      <c r="V662" s="26" t="n">
        <f aca="false">COUNTA(Data!$B662:$U662)</f>
        <v>0</v>
      </c>
      <c r="W662" s="27" t="str">
        <f aca="false">IF(V662=0,"",IF(V662&lt;&gt;Hasil!$C$4,"Data kosong/tidak lengkap",IF(SUM(B662:U662)&lt;&gt;V662,"Kategori tidak dikenal","OK")))</f>
        <v/>
      </c>
      <c r="X662" s="26" t="n">
        <f aca="false">IF(OR(W662="",W662="OK"),0,1)</f>
        <v>0</v>
      </c>
    </row>
    <row r="663" customFormat="false" ht="15" hidden="false" customHeight="false" outlineLevel="0" collapsed="false">
      <c r="A663" s="26" t="n">
        <f aca="false">Data!A663</f>
        <v>658</v>
      </c>
      <c r="B663" s="26" t="n">
        <f aca="false">IF(INDEX(Pengaturan!$B$8:$B$27,B$4)="",0,COUNTIF(Data!$B663:$U663,INDEX(Pengaturan!$B$8:$B$27,B$4)))</f>
        <v>0</v>
      </c>
      <c r="C663" s="26" t="n">
        <f aca="false">IF(INDEX(Pengaturan!$B$8:$B$27,C$4)="",0,COUNTIF(Data!$B663:$U663,INDEX(Pengaturan!$B$8:$B$27,C$4)))</f>
        <v>0</v>
      </c>
      <c r="D663" s="26" t="n">
        <f aca="false">IF(INDEX(Pengaturan!$B$8:$B$27,D$4)="",0,COUNTIF(Data!$B663:$U663,INDEX(Pengaturan!$B$8:$B$27,D$4)))</f>
        <v>0</v>
      </c>
      <c r="E663" s="26" t="n">
        <f aca="false">IF(INDEX(Pengaturan!$B$8:$B$27,E$4)="",0,COUNTIF(Data!$B663:$U663,INDEX(Pengaturan!$B$8:$B$27,E$4)))</f>
        <v>0</v>
      </c>
      <c r="F663" s="26" t="n">
        <f aca="false">IF(INDEX(Pengaturan!$B$8:$B$27,F$4)="",0,COUNTIF(Data!$B663:$U663,INDEX(Pengaturan!$B$8:$B$27,F$4)))</f>
        <v>0</v>
      </c>
      <c r="G663" s="26" t="n">
        <f aca="false">IF(INDEX(Pengaturan!$B$8:$B$27,G$4)="",0,COUNTIF(Data!$B663:$U663,INDEX(Pengaturan!$B$8:$B$27,G$4)))</f>
        <v>0</v>
      </c>
      <c r="H663" s="26" t="n">
        <f aca="false">IF(INDEX(Pengaturan!$B$8:$B$27,H$4)="",0,COUNTIF(Data!$B663:$U663,INDEX(Pengaturan!$B$8:$B$27,H$4)))</f>
        <v>0</v>
      </c>
      <c r="I663" s="26" t="n">
        <f aca="false">IF(INDEX(Pengaturan!$B$8:$B$27,I$4)="",0,COUNTIF(Data!$B663:$U663,INDEX(Pengaturan!$B$8:$B$27,I$4)))</f>
        <v>0</v>
      </c>
      <c r="J663" s="26" t="n">
        <f aca="false">IF(INDEX(Pengaturan!$B$8:$B$27,J$4)="",0,COUNTIF(Data!$B663:$U663,INDEX(Pengaturan!$B$8:$B$27,J$4)))</f>
        <v>0</v>
      </c>
      <c r="K663" s="26" t="n">
        <f aca="false">IF(INDEX(Pengaturan!$B$8:$B$27,K$4)="",0,COUNTIF(Data!$B663:$U663,INDEX(Pengaturan!$B$8:$B$27,K$4)))</f>
        <v>0</v>
      </c>
      <c r="L663" s="26" t="n">
        <f aca="false">IF(INDEX(Pengaturan!$B$8:$B$27,L$4)="",0,COUNTIF(Data!$B663:$U663,INDEX(Pengaturan!$B$8:$B$27,L$4)))</f>
        <v>0</v>
      </c>
      <c r="M663" s="26" t="n">
        <f aca="false">IF(INDEX(Pengaturan!$B$8:$B$27,M$4)="",0,COUNTIF(Data!$B663:$U663,INDEX(Pengaturan!$B$8:$B$27,M$4)))</f>
        <v>0</v>
      </c>
      <c r="N663" s="26" t="n">
        <f aca="false">IF(INDEX(Pengaturan!$B$8:$B$27,N$4)="",0,COUNTIF(Data!$B663:$U663,INDEX(Pengaturan!$B$8:$B$27,N$4)))</f>
        <v>0</v>
      </c>
      <c r="O663" s="26" t="n">
        <f aca="false">IF(INDEX(Pengaturan!$B$8:$B$27,O$4)="",0,COUNTIF(Data!$B663:$U663,INDEX(Pengaturan!$B$8:$B$27,O$4)))</f>
        <v>0</v>
      </c>
      <c r="P663" s="26" t="n">
        <f aca="false">IF(INDEX(Pengaturan!$B$8:$B$27,P$4)="",0,COUNTIF(Data!$B663:$U663,INDEX(Pengaturan!$B$8:$B$27,P$4)))</f>
        <v>0</v>
      </c>
      <c r="Q663" s="26" t="n">
        <f aca="false">IF(INDEX(Pengaturan!$B$8:$B$27,Q$4)="",0,COUNTIF(Data!$B663:$U663,INDEX(Pengaturan!$B$8:$B$27,Q$4)))</f>
        <v>0</v>
      </c>
      <c r="R663" s="26" t="n">
        <f aca="false">IF(INDEX(Pengaturan!$B$8:$B$27,R$4)="",0,COUNTIF(Data!$B663:$U663,INDEX(Pengaturan!$B$8:$B$27,R$4)))</f>
        <v>0</v>
      </c>
      <c r="S663" s="26" t="n">
        <f aca="false">IF(INDEX(Pengaturan!$B$8:$B$27,S$4)="",0,COUNTIF(Data!$B663:$U663,INDEX(Pengaturan!$B$8:$B$27,S$4)))</f>
        <v>0</v>
      </c>
      <c r="T663" s="26" t="n">
        <f aca="false">IF(INDEX(Pengaturan!$B$8:$B$27,T$4)="",0,COUNTIF(Data!$B663:$U663,INDEX(Pengaturan!$B$8:$B$27,T$4)))</f>
        <v>0</v>
      </c>
      <c r="U663" s="26" t="n">
        <f aca="false">IF(INDEX(Pengaturan!$B$8:$B$27,U$4)="",0,COUNTIF(Data!$B663:$U663,INDEX(Pengaturan!$B$8:$B$27,U$4)))</f>
        <v>0</v>
      </c>
      <c r="V663" s="26" t="n">
        <f aca="false">COUNTA(Data!$B663:$U663)</f>
        <v>0</v>
      </c>
      <c r="W663" s="27" t="str">
        <f aca="false">IF(V663=0,"",IF(V663&lt;&gt;Hasil!$C$4,"Data kosong/tidak lengkap",IF(SUM(B663:U663)&lt;&gt;V663,"Kategori tidak dikenal","OK")))</f>
        <v/>
      </c>
      <c r="X663" s="26" t="n">
        <f aca="false">IF(OR(W663="",W663="OK"),0,1)</f>
        <v>0</v>
      </c>
    </row>
    <row r="664" customFormat="false" ht="15" hidden="false" customHeight="false" outlineLevel="0" collapsed="false">
      <c r="A664" s="26" t="n">
        <f aca="false">Data!A664</f>
        <v>659</v>
      </c>
      <c r="B664" s="26" t="n">
        <f aca="false">IF(INDEX(Pengaturan!$B$8:$B$27,B$4)="",0,COUNTIF(Data!$B664:$U664,INDEX(Pengaturan!$B$8:$B$27,B$4)))</f>
        <v>0</v>
      </c>
      <c r="C664" s="26" t="n">
        <f aca="false">IF(INDEX(Pengaturan!$B$8:$B$27,C$4)="",0,COUNTIF(Data!$B664:$U664,INDEX(Pengaturan!$B$8:$B$27,C$4)))</f>
        <v>0</v>
      </c>
      <c r="D664" s="26" t="n">
        <f aca="false">IF(INDEX(Pengaturan!$B$8:$B$27,D$4)="",0,COUNTIF(Data!$B664:$U664,INDEX(Pengaturan!$B$8:$B$27,D$4)))</f>
        <v>0</v>
      </c>
      <c r="E664" s="26" t="n">
        <f aca="false">IF(INDEX(Pengaturan!$B$8:$B$27,E$4)="",0,COUNTIF(Data!$B664:$U664,INDEX(Pengaturan!$B$8:$B$27,E$4)))</f>
        <v>0</v>
      </c>
      <c r="F664" s="26" t="n">
        <f aca="false">IF(INDEX(Pengaturan!$B$8:$B$27,F$4)="",0,COUNTIF(Data!$B664:$U664,INDEX(Pengaturan!$B$8:$B$27,F$4)))</f>
        <v>0</v>
      </c>
      <c r="G664" s="26" t="n">
        <f aca="false">IF(INDEX(Pengaturan!$B$8:$B$27,G$4)="",0,COUNTIF(Data!$B664:$U664,INDEX(Pengaturan!$B$8:$B$27,G$4)))</f>
        <v>0</v>
      </c>
      <c r="H664" s="26" t="n">
        <f aca="false">IF(INDEX(Pengaturan!$B$8:$B$27,H$4)="",0,COUNTIF(Data!$B664:$U664,INDEX(Pengaturan!$B$8:$B$27,H$4)))</f>
        <v>0</v>
      </c>
      <c r="I664" s="26" t="n">
        <f aca="false">IF(INDEX(Pengaturan!$B$8:$B$27,I$4)="",0,COUNTIF(Data!$B664:$U664,INDEX(Pengaturan!$B$8:$B$27,I$4)))</f>
        <v>0</v>
      </c>
      <c r="J664" s="26" t="n">
        <f aca="false">IF(INDEX(Pengaturan!$B$8:$B$27,J$4)="",0,COUNTIF(Data!$B664:$U664,INDEX(Pengaturan!$B$8:$B$27,J$4)))</f>
        <v>0</v>
      </c>
      <c r="K664" s="26" t="n">
        <f aca="false">IF(INDEX(Pengaturan!$B$8:$B$27,K$4)="",0,COUNTIF(Data!$B664:$U664,INDEX(Pengaturan!$B$8:$B$27,K$4)))</f>
        <v>0</v>
      </c>
      <c r="L664" s="26" t="n">
        <f aca="false">IF(INDEX(Pengaturan!$B$8:$B$27,L$4)="",0,COUNTIF(Data!$B664:$U664,INDEX(Pengaturan!$B$8:$B$27,L$4)))</f>
        <v>0</v>
      </c>
      <c r="M664" s="26" t="n">
        <f aca="false">IF(INDEX(Pengaturan!$B$8:$B$27,M$4)="",0,COUNTIF(Data!$B664:$U664,INDEX(Pengaturan!$B$8:$B$27,M$4)))</f>
        <v>0</v>
      </c>
      <c r="N664" s="26" t="n">
        <f aca="false">IF(INDEX(Pengaturan!$B$8:$B$27,N$4)="",0,COUNTIF(Data!$B664:$U664,INDEX(Pengaturan!$B$8:$B$27,N$4)))</f>
        <v>0</v>
      </c>
      <c r="O664" s="26" t="n">
        <f aca="false">IF(INDEX(Pengaturan!$B$8:$B$27,O$4)="",0,COUNTIF(Data!$B664:$U664,INDEX(Pengaturan!$B$8:$B$27,O$4)))</f>
        <v>0</v>
      </c>
      <c r="P664" s="26" t="n">
        <f aca="false">IF(INDEX(Pengaturan!$B$8:$B$27,P$4)="",0,COUNTIF(Data!$B664:$U664,INDEX(Pengaturan!$B$8:$B$27,P$4)))</f>
        <v>0</v>
      </c>
      <c r="Q664" s="26" t="n">
        <f aca="false">IF(INDEX(Pengaturan!$B$8:$B$27,Q$4)="",0,COUNTIF(Data!$B664:$U664,INDEX(Pengaturan!$B$8:$B$27,Q$4)))</f>
        <v>0</v>
      </c>
      <c r="R664" s="26" t="n">
        <f aca="false">IF(INDEX(Pengaturan!$B$8:$B$27,R$4)="",0,COUNTIF(Data!$B664:$U664,INDEX(Pengaturan!$B$8:$B$27,R$4)))</f>
        <v>0</v>
      </c>
      <c r="S664" s="26" t="n">
        <f aca="false">IF(INDEX(Pengaturan!$B$8:$B$27,S$4)="",0,COUNTIF(Data!$B664:$U664,INDEX(Pengaturan!$B$8:$B$27,S$4)))</f>
        <v>0</v>
      </c>
      <c r="T664" s="26" t="n">
        <f aca="false">IF(INDEX(Pengaturan!$B$8:$B$27,T$4)="",0,COUNTIF(Data!$B664:$U664,INDEX(Pengaturan!$B$8:$B$27,T$4)))</f>
        <v>0</v>
      </c>
      <c r="U664" s="26" t="n">
        <f aca="false">IF(INDEX(Pengaturan!$B$8:$B$27,U$4)="",0,COUNTIF(Data!$B664:$U664,INDEX(Pengaturan!$B$8:$B$27,U$4)))</f>
        <v>0</v>
      </c>
      <c r="V664" s="26" t="n">
        <f aca="false">COUNTA(Data!$B664:$U664)</f>
        <v>0</v>
      </c>
      <c r="W664" s="27" t="str">
        <f aca="false">IF(V664=0,"",IF(V664&lt;&gt;Hasil!$C$4,"Data kosong/tidak lengkap",IF(SUM(B664:U664)&lt;&gt;V664,"Kategori tidak dikenal","OK")))</f>
        <v/>
      </c>
      <c r="X664" s="26" t="n">
        <f aca="false">IF(OR(W664="",W664="OK"),0,1)</f>
        <v>0</v>
      </c>
    </row>
    <row r="665" customFormat="false" ht="15" hidden="false" customHeight="false" outlineLevel="0" collapsed="false">
      <c r="A665" s="26" t="n">
        <f aca="false">Data!A665</f>
        <v>660</v>
      </c>
      <c r="B665" s="26" t="n">
        <f aca="false">IF(INDEX(Pengaturan!$B$8:$B$27,B$4)="",0,COUNTIF(Data!$B665:$U665,INDEX(Pengaturan!$B$8:$B$27,B$4)))</f>
        <v>0</v>
      </c>
      <c r="C665" s="26" t="n">
        <f aca="false">IF(INDEX(Pengaturan!$B$8:$B$27,C$4)="",0,COUNTIF(Data!$B665:$U665,INDEX(Pengaturan!$B$8:$B$27,C$4)))</f>
        <v>0</v>
      </c>
      <c r="D665" s="26" t="n">
        <f aca="false">IF(INDEX(Pengaturan!$B$8:$B$27,D$4)="",0,COUNTIF(Data!$B665:$U665,INDEX(Pengaturan!$B$8:$B$27,D$4)))</f>
        <v>0</v>
      </c>
      <c r="E665" s="26" t="n">
        <f aca="false">IF(INDEX(Pengaturan!$B$8:$B$27,E$4)="",0,COUNTIF(Data!$B665:$U665,INDEX(Pengaturan!$B$8:$B$27,E$4)))</f>
        <v>0</v>
      </c>
      <c r="F665" s="26" t="n">
        <f aca="false">IF(INDEX(Pengaturan!$B$8:$B$27,F$4)="",0,COUNTIF(Data!$B665:$U665,INDEX(Pengaturan!$B$8:$B$27,F$4)))</f>
        <v>0</v>
      </c>
      <c r="G665" s="26" t="n">
        <f aca="false">IF(INDEX(Pengaturan!$B$8:$B$27,G$4)="",0,COUNTIF(Data!$B665:$U665,INDEX(Pengaturan!$B$8:$B$27,G$4)))</f>
        <v>0</v>
      </c>
      <c r="H665" s="26" t="n">
        <f aca="false">IF(INDEX(Pengaturan!$B$8:$B$27,H$4)="",0,COUNTIF(Data!$B665:$U665,INDEX(Pengaturan!$B$8:$B$27,H$4)))</f>
        <v>0</v>
      </c>
      <c r="I665" s="26" t="n">
        <f aca="false">IF(INDEX(Pengaturan!$B$8:$B$27,I$4)="",0,COUNTIF(Data!$B665:$U665,INDEX(Pengaturan!$B$8:$B$27,I$4)))</f>
        <v>0</v>
      </c>
      <c r="J665" s="26" t="n">
        <f aca="false">IF(INDEX(Pengaturan!$B$8:$B$27,J$4)="",0,COUNTIF(Data!$B665:$U665,INDEX(Pengaturan!$B$8:$B$27,J$4)))</f>
        <v>0</v>
      </c>
      <c r="K665" s="26" t="n">
        <f aca="false">IF(INDEX(Pengaturan!$B$8:$B$27,K$4)="",0,COUNTIF(Data!$B665:$U665,INDEX(Pengaturan!$B$8:$B$27,K$4)))</f>
        <v>0</v>
      </c>
      <c r="L665" s="26" t="n">
        <f aca="false">IF(INDEX(Pengaturan!$B$8:$B$27,L$4)="",0,COUNTIF(Data!$B665:$U665,INDEX(Pengaturan!$B$8:$B$27,L$4)))</f>
        <v>0</v>
      </c>
      <c r="M665" s="26" t="n">
        <f aca="false">IF(INDEX(Pengaturan!$B$8:$B$27,M$4)="",0,COUNTIF(Data!$B665:$U665,INDEX(Pengaturan!$B$8:$B$27,M$4)))</f>
        <v>0</v>
      </c>
      <c r="N665" s="26" t="n">
        <f aca="false">IF(INDEX(Pengaturan!$B$8:$B$27,N$4)="",0,COUNTIF(Data!$B665:$U665,INDEX(Pengaturan!$B$8:$B$27,N$4)))</f>
        <v>0</v>
      </c>
      <c r="O665" s="26" t="n">
        <f aca="false">IF(INDEX(Pengaturan!$B$8:$B$27,O$4)="",0,COUNTIF(Data!$B665:$U665,INDEX(Pengaturan!$B$8:$B$27,O$4)))</f>
        <v>0</v>
      </c>
      <c r="P665" s="26" t="n">
        <f aca="false">IF(INDEX(Pengaturan!$B$8:$B$27,P$4)="",0,COUNTIF(Data!$B665:$U665,INDEX(Pengaturan!$B$8:$B$27,P$4)))</f>
        <v>0</v>
      </c>
      <c r="Q665" s="26" t="n">
        <f aca="false">IF(INDEX(Pengaturan!$B$8:$B$27,Q$4)="",0,COUNTIF(Data!$B665:$U665,INDEX(Pengaturan!$B$8:$B$27,Q$4)))</f>
        <v>0</v>
      </c>
      <c r="R665" s="26" t="n">
        <f aca="false">IF(INDEX(Pengaturan!$B$8:$B$27,R$4)="",0,COUNTIF(Data!$B665:$U665,INDEX(Pengaturan!$B$8:$B$27,R$4)))</f>
        <v>0</v>
      </c>
      <c r="S665" s="26" t="n">
        <f aca="false">IF(INDEX(Pengaturan!$B$8:$B$27,S$4)="",0,COUNTIF(Data!$B665:$U665,INDEX(Pengaturan!$B$8:$B$27,S$4)))</f>
        <v>0</v>
      </c>
      <c r="T665" s="26" t="n">
        <f aca="false">IF(INDEX(Pengaturan!$B$8:$B$27,T$4)="",0,COUNTIF(Data!$B665:$U665,INDEX(Pengaturan!$B$8:$B$27,T$4)))</f>
        <v>0</v>
      </c>
      <c r="U665" s="26" t="n">
        <f aca="false">IF(INDEX(Pengaturan!$B$8:$B$27,U$4)="",0,COUNTIF(Data!$B665:$U665,INDEX(Pengaturan!$B$8:$B$27,U$4)))</f>
        <v>0</v>
      </c>
      <c r="V665" s="26" t="n">
        <f aca="false">COUNTA(Data!$B665:$U665)</f>
        <v>0</v>
      </c>
      <c r="W665" s="27" t="str">
        <f aca="false">IF(V665=0,"",IF(V665&lt;&gt;Hasil!$C$4,"Data kosong/tidak lengkap",IF(SUM(B665:U665)&lt;&gt;V665,"Kategori tidak dikenal","OK")))</f>
        <v/>
      </c>
      <c r="X665" s="26" t="n">
        <f aca="false">IF(OR(W665="",W665="OK"),0,1)</f>
        <v>0</v>
      </c>
    </row>
    <row r="666" customFormat="false" ht="15" hidden="false" customHeight="false" outlineLevel="0" collapsed="false">
      <c r="A666" s="26" t="n">
        <f aca="false">Data!A666</f>
        <v>661</v>
      </c>
      <c r="B666" s="26" t="n">
        <f aca="false">IF(INDEX(Pengaturan!$B$8:$B$27,B$4)="",0,COUNTIF(Data!$B666:$U666,INDEX(Pengaturan!$B$8:$B$27,B$4)))</f>
        <v>0</v>
      </c>
      <c r="C666" s="26" t="n">
        <f aca="false">IF(INDEX(Pengaturan!$B$8:$B$27,C$4)="",0,COUNTIF(Data!$B666:$U666,INDEX(Pengaturan!$B$8:$B$27,C$4)))</f>
        <v>0</v>
      </c>
      <c r="D666" s="26" t="n">
        <f aca="false">IF(INDEX(Pengaturan!$B$8:$B$27,D$4)="",0,COUNTIF(Data!$B666:$U666,INDEX(Pengaturan!$B$8:$B$27,D$4)))</f>
        <v>0</v>
      </c>
      <c r="E666" s="26" t="n">
        <f aca="false">IF(INDEX(Pengaturan!$B$8:$B$27,E$4)="",0,COUNTIF(Data!$B666:$U666,INDEX(Pengaturan!$B$8:$B$27,E$4)))</f>
        <v>0</v>
      </c>
      <c r="F666" s="26" t="n">
        <f aca="false">IF(INDEX(Pengaturan!$B$8:$B$27,F$4)="",0,COUNTIF(Data!$B666:$U666,INDEX(Pengaturan!$B$8:$B$27,F$4)))</f>
        <v>0</v>
      </c>
      <c r="G666" s="26" t="n">
        <f aca="false">IF(INDEX(Pengaturan!$B$8:$B$27,G$4)="",0,COUNTIF(Data!$B666:$U666,INDEX(Pengaturan!$B$8:$B$27,G$4)))</f>
        <v>0</v>
      </c>
      <c r="H666" s="26" t="n">
        <f aca="false">IF(INDEX(Pengaturan!$B$8:$B$27,H$4)="",0,COUNTIF(Data!$B666:$U666,INDEX(Pengaturan!$B$8:$B$27,H$4)))</f>
        <v>0</v>
      </c>
      <c r="I666" s="26" t="n">
        <f aca="false">IF(INDEX(Pengaturan!$B$8:$B$27,I$4)="",0,COUNTIF(Data!$B666:$U666,INDEX(Pengaturan!$B$8:$B$27,I$4)))</f>
        <v>0</v>
      </c>
      <c r="J666" s="26" t="n">
        <f aca="false">IF(INDEX(Pengaturan!$B$8:$B$27,J$4)="",0,COUNTIF(Data!$B666:$U666,INDEX(Pengaturan!$B$8:$B$27,J$4)))</f>
        <v>0</v>
      </c>
      <c r="K666" s="26" t="n">
        <f aca="false">IF(INDEX(Pengaturan!$B$8:$B$27,K$4)="",0,COUNTIF(Data!$B666:$U666,INDEX(Pengaturan!$B$8:$B$27,K$4)))</f>
        <v>0</v>
      </c>
      <c r="L666" s="26" t="n">
        <f aca="false">IF(INDEX(Pengaturan!$B$8:$B$27,L$4)="",0,COUNTIF(Data!$B666:$U666,INDEX(Pengaturan!$B$8:$B$27,L$4)))</f>
        <v>0</v>
      </c>
      <c r="M666" s="26" t="n">
        <f aca="false">IF(INDEX(Pengaturan!$B$8:$B$27,M$4)="",0,COUNTIF(Data!$B666:$U666,INDEX(Pengaturan!$B$8:$B$27,M$4)))</f>
        <v>0</v>
      </c>
      <c r="N666" s="26" t="n">
        <f aca="false">IF(INDEX(Pengaturan!$B$8:$B$27,N$4)="",0,COUNTIF(Data!$B666:$U666,INDEX(Pengaturan!$B$8:$B$27,N$4)))</f>
        <v>0</v>
      </c>
      <c r="O666" s="26" t="n">
        <f aca="false">IF(INDEX(Pengaturan!$B$8:$B$27,O$4)="",0,COUNTIF(Data!$B666:$U666,INDEX(Pengaturan!$B$8:$B$27,O$4)))</f>
        <v>0</v>
      </c>
      <c r="P666" s="26" t="n">
        <f aca="false">IF(INDEX(Pengaturan!$B$8:$B$27,P$4)="",0,COUNTIF(Data!$B666:$U666,INDEX(Pengaturan!$B$8:$B$27,P$4)))</f>
        <v>0</v>
      </c>
      <c r="Q666" s="26" t="n">
        <f aca="false">IF(INDEX(Pengaturan!$B$8:$B$27,Q$4)="",0,COUNTIF(Data!$B666:$U666,INDEX(Pengaturan!$B$8:$B$27,Q$4)))</f>
        <v>0</v>
      </c>
      <c r="R666" s="26" t="n">
        <f aca="false">IF(INDEX(Pengaturan!$B$8:$B$27,R$4)="",0,COUNTIF(Data!$B666:$U666,INDEX(Pengaturan!$B$8:$B$27,R$4)))</f>
        <v>0</v>
      </c>
      <c r="S666" s="26" t="n">
        <f aca="false">IF(INDEX(Pengaturan!$B$8:$B$27,S$4)="",0,COUNTIF(Data!$B666:$U666,INDEX(Pengaturan!$B$8:$B$27,S$4)))</f>
        <v>0</v>
      </c>
      <c r="T666" s="26" t="n">
        <f aca="false">IF(INDEX(Pengaturan!$B$8:$B$27,T$4)="",0,COUNTIF(Data!$B666:$U666,INDEX(Pengaturan!$B$8:$B$27,T$4)))</f>
        <v>0</v>
      </c>
      <c r="U666" s="26" t="n">
        <f aca="false">IF(INDEX(Pengaturan!$B$8:$B$27,U$4)="",0,COUNTIF(Data!$B666:$U666,INDEX(Pengaturan!$B$8:$B$27,U$4)))</f>
        <v>0</v>
      </c>
      <c r="V666" s="26" t="n">
        <f aca="false">COUNTA(Data!$B666:$U666)</f>
        <v>0</v>
      </c>
      <c r="W666" s="27" t="str">
        <f aca="false">IF(V666=0,"",IF(V666&lt;&gt;Hasil!$C$4,"Data kosong/tidak lengkap",IF(SUM(B666:U666)&lt;&gt;V666,"Kategori tidak dikenal","OK")))</f>
        <v/>
      </c>
      <c r="X666" s="26" t="n">
        <f aca="false">IF(OR(W666="",W666="OK"),0,1)</f>
        <v>0</v>
      </c>
    </row>
    <row r="667" customFormat="false" ht="15" hidden="false" customHeight="false" outlineLevel="0" collapsed="false">
      <c r="A667" s="26" t="n">
        <f aca="false">Data!A667</f>
        <v>662</v>
      </c>
      <c r="B667" s="26" t="n">
        <f aca="false">IF(INDEX(Pengaturan!$B$8:$B$27,B$4)="",0,COUNTIF(Data!$B667:$U667,INDEX(Pengaturan!$B$8:$B$27,B$4)))</f>
        <v>0</v>
      </c>
      <c r="C667" s="26" t="n">
        <f aca="false">IF(INDEX(Pengaturan!$B$8:$B$27,C$4)="",0,COUNTIF(Data!$B667:$U667,INDEX(Pengaturan!$B$8:$B$27,C$4)))</f>
        <v>0</v>
      </c>
      <c r="D667" s="26" t="n">
        <f aca="false">IF(INDEX(Pengaturan!$B$8:$B$27,D$4)="",0,COUNTIF(Data!$B667:$U667,INDEX(Pengaturan!$B$8:$B$27,D$4)))</f>
        <v>0</v>
      </c>
      <c r="E667" s="26" t="n">
        <f aca="false">IF(INDEX(Pengaturan!$B$8:$B$27,E$4)="",0,COUNTIF(Data!$B667:$U667,INDEX(Pengaturan!$B$8:$B$27,E$4)))</f>
        <v>0</v>
      </c>
      <c r="F667" s="26" t="n">
        <f aca="false">IF(INDEX(Pengaturan!$B$8:$B$27,F$4)="",0,COUNTIF(Data!$B667:$U667,INDEX(Pengaturan!$B$8:$B$27,F$4)))</f>
        <v>0</v>
      </c>
      <c r="G667" s="26" t="n">
        <f aca="false">IF(INDEX(Pengaturan!$B$8:$B$27,G$4)="",0,COUNTIF(Data!$B667:$U667,INDEX(Pengaturan!$B$8:$B$27,G$4)))</f>
        <v>0</v>
      </c>
      <c r="H667" s="26" t="n">
        <f aca="false">IF(INDEX(Pengaturan!$B$8:$B$27,H$4)="",0,COUNTIF(Data!$B667:$U667,INDEX(Pengaturan!$B$8:$B$27,H$4)))</f>
        <v>0</v>
      </c>
      <c r="I667" s="26" t="n">
        <f aca="false">IF(INDEX(Pengaturan!$B$8:$B$27,I$4)="",0,COUNTIF(Data!$B667:$U667,INDEX(Pengaturan!$B$8:$B$27,I$4)))</f>
        <v>0</v>
      </c>
      <c r="J667" s="26" t="n">
        <f aca="false">IF(INDEX(Pengaturan!$B$8:$B$27,J$4)="",0,COUNTIF(Data!$B667:$U667,INDEX(Pengaturan!$B$8:$B$27,J$4)))</f>
        <v>0</v>
      </c>
      <c r="K667" s="26" t="n">
        <f aca="false">IF(INDEX(Pengaturan!$B$8:$B$27,K$4)="",0,COUNTIF(Data!$B667:$U667,INDEX(Pengaturan!$B$8:$B$27,K$4)))</f>
        <v>0</v>
      </c>
      <c r="L667" s="26" t="n">
        <f aca="false">IF(INDEX(Pengaturan!$B$8:$B$27,L$4)="",0,COUNTIF(Data!$B667:$U667,INDEX(Pengaturan!$B$8:$B$27,L$4)))</f>
        <v>0</v>
      </c>
      <c r="M667" s="26" t="n">
        <f aca="false">IF(INDEX(Pengaturan!$B$8:$B$27,M$4)="",0,COUNTIF(Data!$B667:$U667,INDEX(Pengaturan!$B$8:$B$27,M$4)))</f>
        <v>0</v>
      </c>
      <c r="N667" s="26" t="n">
        <f aca="false">IF(INDEX(Pengaturan!$B$8:$B$27,N$4)="",0,COUNTIF(Data!$B667:$U667,INDEX(Pengaturan!$B$8:$B$27,N$4)))</f>
        <v>0</v>
      </c>
      <c r="O667" s="26" t="n">
        <f aca="false">IF(INDEX(Pengaturan!$B$8:$B$27,O$4)="",0,COUNTIF(Data!$B667:$U667,INDEX(Pengaturan!$B$8:$B$27,O$4)))</f>
        <v>0</v>
      </c>
      <c r="P667" s="26" t="n">
        <f aca="false">IF(INDEX(Pengaturan!$B$8:$B$27,P$4)="",0,COUNTIF(Data!$B667:$U667,INDEX(Pengaturan!$B$8:$B$27,P$4)))</f>
        <v>0</v>
      </c>
      <c r="Q667" s="26" t="n">
        <f aca="false">IF(INDEX(Pengaturan!$B$8:$B$27,Q$4)="",0,COUNTIF(Data!$B667:$U667,INDEX(Pengaturan!$B$8:$B$27,Q$4)))</f>
        <v>0</v>
      </c>
      <c r="R667" s="26" t="n">
        <f aca="false">IF(INDEX(Pengaturan!$B$8:$B$27,R$4)="",0,COUNTIF(Data!$B667:$U667,INDEX(Pengaturan!$B$8:$B$27,R$4)))</f>
        <v>0</v>
      </c>
      <c r="S667" s="26" t="n">
        <f aca="false">IF(INDEX(Pengaturan!$B$8:$B$27,S$4)="",0,COUNTIF(Data!$B667:$U667,INDEX(Pengaturan!$B$8:$B$27,S$4)))</f>
        <v>0</v>
      </c>
      <c r="T667" s="26" t="n">
        <f aca="false">IF(INDEX(Pengaturan!$B$8:$B$27,T$4)="",0,COUNTIF(Data!$B667:$U667,INDEX(Pengaturan!$B$8:$B$27,T$4)))</f>
        <v>0</v>
      </c>
      <c r="U667" s="26" t="n">
        <f aca="false">IF(INDEX(Pengaturan!$B$8:$B$27,U$4)="",0,COUNTIF(Data!$B667:$U667,INDEX(Pengaturan!$B$8:$B$27,U$4)))</f>
        <v>0</v>
      </c>
      <c r="V667" s="26" t="n">
        <f aca="false">COUNTA(Data!$B667:$U667)</f>
        <v>0</v>
      </c>
      <c r="W667" s="27" t="str">
        <f aca="false">IF(V667=0,"",IF(V667&lt;&gt;Hasil!$C$4,"Data kosong/tidak lengkap",IF(SUM(B667:U667)&lt;&gt;V667,"Kategori tidak dikenal","OK")))</f>
        <v/>
      </c>
      <c r="X667" s="26" t="n">
        <f aca="false">IF(OR(W667="",W667="OK"),0,1)</f>
        <v>0</v>
      </c>
    </row>
    <row r="668" customFormat="false" ht="15" hidden="false" customHeight="false" outlineLevel="0" collapsed="false">
      <c r="A668" s="26" t="n">
        <f aca="false">Data!A668</f>
        <v>663</v>
      </c>
      <c r="B668" s="26" t="n">
        <f aca="false">IF(INDEX(Pengaturan!$B$8:$B$27,B$4)="",0,COUNTIF(Data!$B668:$U668,INDEX(Pengaturan!$B$8:$B$27,B$4)))</f>
        <v>0</v>
      </c>
      <c r="C668" s="26" t="n">
        <f aca="false">IF(INDEX(Pengaturan!$B$8:$B$27,C$4)="",0,COUNTIF(Data!$B668:$U668,INDEX(Pengaturan!$B$8:$B$27,C$4)))</f>
        <v>0</v>
      </c>
      <c r="D668" s="26" t="n">
        <f aca="false">IF(INDEX(Pengaturan!$B$8:$B$27,D$4)="",0,COUNTIF(Data!$B668:$U668,INDEX(Pengaturan!$B$8:$B$27,D$4)))</f>
        <v>0</v>
      </c>
      <c r="E668" s="26" t="n">
        <f aca="false">IF(INDEX(Pengaturan!$B$8:$B$27,E$4)="",0,COUNTIF(Data!$B668:$U668,INDEX(Pengaturan!$B$8:$B$27,E$4)))</f>
        <v>0</v>
      </c>
      <c r="F668" s="26" t="n">
        <f aca="false">IF(INDEX(Pengaturan!$B$8:$B$27,F$4)="",0,COUNTIF(Data!$B668:$U668,INDEX(Pengaturan!$B$8:$B$27,F$4)))</f>
        <v>0</v>
      </c>
      <c r="G668" s="26" t="n">
        <f aca="false">IF(INDEX(Pengaturan!$B$8:$B$27,G$4)="",0,COUNTIF(Data!$B668:$U668,INDEX(Pengaturan!$B$8:$B$27,G$4)))</f>
        <v>0</v>
      </c>
      <c r="H668" s="26" t="n">
        <f aca="false">IF(INDEX(Pengaturan!$B$8:$B$27,H$4)="",0,COUNTIF(Data!$B668:$U668,INDEX(Pengaturan!$B$8:$B$27,H$4)))</f>
        <v>0</v>
      </c>
      <c r="I668" s="26" t="n">
        <f aca="false">IF(INDEX(Pengaturan!$B$8:$B$27,I$4)="",0,COUNTIF(Data!$B668:$U668,INDEX(Pengaturan!$B$8:$B$27,I$4)))</f>
        <v>0</v>
      </c>
      <c r="J668" s="26" t="n">
        <f aca="false">IF(INDEX(Pengaturan!$B$8:$B$27,J$4)="",0,COUNTIF(Data!$B668:$U668,INDEX(Pengaturan!$B$8:$B$27,J$4)))</f>
        <v>0</v>
      </c>
      <c r="K668" s="26" t="n">
        <f aca="false">IF(INDEX(Pengaturan!$B$8:$B$27,K$4)="",0,COUNTIF(Data!$B668:$U668,INDEX(Pengaturan!$B$8:$B$27,K$4)))</f>
        <v>0</v>
      </c>
      <c r="L668" s="26" t="n">
        <f aca="false">IF(INDEX(Pengaturan!$B$8:$B$27,L$4)="",0,COUNTIF(Data!$B668:$U668,INDEX(Pengaturan!$B$8:$B$27,L$4)))</f>
        <v>0</v>
      </c>
      <c r="M668" s="26" t="n">
        <f aca="false">IF(INDEX(Pengaturan!$B$8:$B$27,M$4)="",0,COUNTIF(Data!$B668:$U668,INDEX(Pengaturan!$B$8:$B$27,M$4)))</f>
        <v>0</v>
      </c>
      <c r="N668" s="26" t="n">
        <f aca="false">IF(INDEX(Pengaturan!$B$8:$B$27,N$4)="",0,COUNTIF(Data!$B668:$U668,INDEX(Pengaturan!$B$8:$B$27,N$4)))</f>
        <v>0</v>
      </c>
      <c r="O668" s="26" t="n">
        <f aca="false">IF(INDEX(Pengaturan!$B$8:$B$27,O$4)="",0,COUNTIF(Data!$B668:$U668,INDEX(Pengaturan!$B$8:$B$27,O$4)))</f>
        <v>0</v>
      </c>
      <c r="P668" s="26" t="n">
        <f aca="false">IF(INDEX(Pengaturan!$B$8:$B$27,P$4)="",0,COUNTIF(Data!$B668:$U668,INDEX(Pengaturan!$B$8:$B$27,P$4)))</f>
        <v>0</v>
      </c>
      <c r="Q668" s="26" t="n">
        <f aca="false">IF(INDEX(Pengaturan!$B$8:$B$27,Q$4)="",0,COUNTIF(Data!$B668:$U668,INDEX(Pengaturan!$B$8:$B$27,Q$4)))</f>
        <v>0</v>
      </c>
      <c r="R668" s="26" t="n">
        <f aca="false">IF(INDEX(Pengaturan!$B$8:$B$27,R$4)="",0,COUNTIF(Data!$B668:$U668,INDEX(Pengaturan!$B$8:$B$27,R$4)))</f>
        <v>0</v>
      </c>
      <c r="S668" s="26" t="n">
        <f aca="false">IF(INDEX(Pengaturan!$B$8:$B$27,S$4)="",0,COUNTIF(Data!$B668:$U668,INDEX(Pengaturan!$B$8:$B$27,S$4)))</f>
        <v>0</v>
      </c>
      <c r="T668" s="26" t="n">
        <f aca="false">IF(INDEX(Pengaturan!$B$8:$B$27,T$4)="",0,COUNTIF(Data!$B668:$U668,INDEX(Pengaturan!$B$8:$B$27,T$4)))</f>
        <v>0</v>
      </c>
      <c r="U668" s="26" t="n">
        <f aca="false">IF(INDEX(Pengaturan!$B$8:$B$27,U$4)="",0,COUNTIF(Data!$B668:$U668,INDEX(Pengaturan!$B$8:$B$27,U$4)))</f>
        <v>0</v>
      </c>
      <c r="V668" s="26" t="n">
        <f aca="false">COUNTA(Data!$B668:$U668)</f>
        <v>0</v>
      </c>
      <c r="W668" s="27" t="str">
        <f aca="false">IF(V668=0,"",IF(V668&lt;&gt;Hasil!$C$4,"Data kosong/tidak lengkap",IF(SUM(B668:U668)&lt;&gt;V668,"Kategori tidak dikenal","OK")))</f>
        <v/>
      </c>
      <c r="X668" s="26" t="n">
        <f aca="false">IF(OR(W668="",W668="OK"),0,1)</f>
        <v>0</v>
      </c>
    </row>
    <row r="669" customFormat="false" ht="15" hidden="false" customHeight="false" outlineLevel="0" collapsed="false">
      <c r="A669" s="26" t="n">
        <f aca="false">Data!A669</f>
        <v>664</v>
      </c>
      <c r="B669" s="26" t="n">
        <f aca="false">IF(INDEX(Pengaturan!$B$8:$B$27,B$4)="",0,COUNTIF(Data!$B669:$U669,INDEX(Pengaturan!$B$8:$B$27,B$4)))</f>
        <v>0</v>
      </c>
      <c r="C669" s="26" t="n">
        <f aca="false">IF(INDEX(Pengaturan!$B$8:$B$27,C$4)="",0,COUNTIF(Data!$B669:$U669,INDEX(Pengaturan!$B$8:$B$27,C$4)))</f>
        <v>0</v>
      </c>
      <c r="D669" s="26" t="n">
        <f aca="false">IF(INDEX(Pengaturan!$B$8:$B$27,D$4)="",0,COUNTIF(Data!$B669:$U669,INDEX(Pengaturan!$B$8:$B$27,D$4)))</f>
        <v>0</v>
      </c>
      <c r="E669" s="26" t="n">
        <f aca="false">IF(INDEX(Pengaturan!$B$8:$B$27,E$4)="",0,COUNTIF(Data!$B669:$U669,INDEX(Pengaturan!$B$8:$B$27,E$4)))</f>
        <v>0</v>
      </c>
      <c r="F669" s="26" t="n">
        <f aca="false">IF(INDEX(Pengaturan!$B$8:$B$27,F$4)="",0,COUNTIF(Data!$B669:$U669,INDEX(Pengaturan!$B$8:$B$27,F$4)))</f>
        <v>0</v>
      </c>
      <c r="G669" s="26" t="n">
        <f aca="false">IF(INDEX(Pengaturan!$B$8:$B$27,G$4)="",0,COUNTIF(Data!$B669:$U669,INDEX(Pengaturan!$B$8:$B$27,G$4)))</f>
        <v>0</v>
      </c>
      <c r="H669" s="26" t="n">
        <f aca="false">IF(INDEX(Pengaturan!$B$8:$B$27,H$4)="",0,COUNTIF(Data!$B669:$U669,INDEX(Pengaturan!$B$8:$B$27,H$4)))</f>
        <v>0</v>
      </c>
      <c r="I669" s="26" t="n">
        <f aca="false">IF(INDEX(Pengaturan!$B$8:$B$27,I$4)="",0,COUNTIF(Data!$B669:$U669,INDEX(Pengaturan!$B$8:$B$27,I$4)))</f>
        <v>0</v>
      </c>
      <c r="J669" s="26" t="n">
        <f aca="false">IF(INDEX(Pengaturan!$B$8:$B$27,J$4)="",0,COUNTIF(Data!$B669:$U669,INDEX(Pengaturan!$B$8:$B$27,J$4)))</f>
        <v>0</v>
      </c>
      <c r="K669" s="26" t="n">
        <f aca="false">IF(INDEX(Pengaturan!$B$8:$B$27,K$4)="",0,COUNTIF(Data!$B669:$U669,INDEX(Pengaturan!$B$8:$B$27,K$4)))</f>
        <v>0</v>
      </c>
      <c r="L669" s="26" t="n">
        <f aca="false">IF(INDEX(Pengaturan!$B$8:$B$27,L$4)="",0,COUNTIF(Data!$B669:$U669,INDEX(Pengaturan!$B$8:$B$27,L$4)))</f>
        <v>0</v>
      </c>
      <c r="M669" s="26" t="n">
        <f aca="false">IF(INDEX(Pengaturan!$B$8:$B$27,M$4)="",0,COUNTIF(Data!$B669:$U669,INDEX(Pengaturan!$B$8:$B$27,M$4)))</f>
        <v>0</v>
      </c>
      <c r="N669" s="26" t="n">
        <f aca="false">IF(INDEX(Pengaturan!$B$8:$B$27,N$4)="",0,COUNTIF(Data!$B669:$U669,INDEX(Pengaturan!$B$8:$B$27,N$4)))</f>
        <v>0</v>
      </c>
      <c r="O669" s="26" t="n">
        <f aca="false">IF(INDEX(Pengaturan!$B$8:$B$27,O$4)="",0,COUNTIF(Data!$B669:$U669,INDEX(Pengaturan!$B$8:$B$27,O$4)))</f>
        <v>0</v>
      </c>
      <c r="P669" s="26" t="n">
        <f aca="false">IF(INDEX(Pengaturan!$B$8:$B$27,P$4)="",0,COUNTIF(Data!$B669:$U669,INDEX(Pengaturan!$B$8:$B$27,P$4)))</f>
        <v>0</v>
      </c>
      <c r="Q669" s="26" t="n">
        <f aca="false">IF(INDEX(Pengaturan!$B$8:$B$27,Q$4)="",0,COUNTIF(Data!$B669:$U669,INDEX(Pengaturan!$B$8:$B$27,Q$4)))</f>
        <v>0</v>
      </c>
      <c r="R669" s="26" t="n">
        <f aca="false">IF(INDEX(Pengaturan!$B$8:$B$27,R$4)="",0,COUNTIF(Data!$B669:$U669,INDEX(Pengaturan!$B$8:$B$27,R$4)))</f>
        <v>0</v>
      </c>
      <c r="S669" s="26" t="n">
        <f aca="false">IF(INDEX(Pengaturan!$B$8:$B$27,S$4)="",0,COUNTIF(Data!$B669:$U669,INDEX(Pengaturan!$B$8:$B$27,S$4)))</f>
        <v>0</v>
      </c>
      <c r="T669" s="26" t="n">
        <f aca="false">IF(INDEX(Pengaturan!$B$8:$B$27,T$4)="",0,COUNTIF(Data!$B669:$U669,INDEX(Pengaturan!$B$8:$B$27,T$4)))</f>
        <v>0</v>
      </c>
      <c r="U669" s="26" t="n">
        <f aca="false">IF(INDEX(Pengaturan!$B$8:$B$27,U$4)="",0,COUNTIF(Data!$B669:$U669,INDEX(Pengaturan!$B$8:$B$27,U$4)))</f>
        <v>0</v>
      </c>
      <c r="V669" s="26" t="n">
        <f aca="false">COUNTA(Data!$B669:$U669)</f>
        <v>0</v>
      </c>
      <c r="W669" s="27" t="str">
        <f aca="false">IF(V669=0,"",IF(V669&lt;&gt;Hasil!$C$4,"Data kosong/tidak lengkap",IF(SUM(B669:U669)&lt;&gt;V669,"Kategori tidak dikenal","OK")))</f>
        <v/>
      </c>
      <c r="X669" s="26" t="n">
        <f aca="false">IF(OR(W669="",W669="OK"),0,1)</f>
        <v>0</v>
      </c>
    </row>
    <row r="670" customFormat="false" ht="15" hidden="false" customHeight="false" outlineLevel="0" collapsed="false">
      <c r="A670" s="26" t="n">
        <f aca="false">Data!A670</f>
        <v>665</v>
      </c>
      <c r="B670" s="26" t="n">
        <f aca="false">IF(INDEX(Pengaturan!$B$8:$B$27,B$4)="",0,COUNTIF(Data!$B670:$U670,INDEX(Pengaturan!$B$8:$B$27,B$4)))</f>
        <v>0</v>
      </c>
      <c r="C670" s="26" t="n">
        <f aca="false">IF(INDEX(Pengaturan!$B$8:$B$27,C$4)="",0,COUNTIF(Data!$B670:$U670,INDEX(Pengaturan!$B$8:$B$27,C$4)))</f>
        <v>0</v>
      </c>
      <c r="D670" s="26" t="n">
        <f aca="false">IF(INDEX(Pengaturan!$B$8:$B$27,D$4)="",0,COUNTIF(Data!$B670:$U670,INDEX(Pengaturan!$B$8:$B$27,D$4)))</f>
        <v>0</v>
      </c>
      <c r="E670" s="26" t="n">
        <f aca="false">IF(INDEX(Pengaturan!$B$8:$B$27,E$4)="",0,COUNTIF(Data!$B670:$U670,INDEX(Pengaturan!$B$8:$B$27,E$4)))</f>
        <v>0</v>
      </c>
      <c r="F670" s="26" t="n">
        <f aca="false">IF(INDEX(Pengaturan!$B$8:$B$27,F$4)="",0,COUNTIF(Data!$B670:$U670,INDEX(Pengaturan!$B$8:$B$27,F$4)))</f>
        <v>0</v>
      </c>
      <c r="G670" s="26" t="n">
        <f aca="false">IF(INDEX(Pengaturan!$B$8:$B$27,G$4)="",0,COUNTIF(Data!$B670:$U670,INDEX(Pengaturan!$B$8:$B$27,G$4)))</f>
        <v>0</v>
      </c>
      <c r="H670" s="26" t="n">
        <f aca="false">IF(INDEX(Pengaturan!$B$8:$B$27,H$4)="",0,COUNTIF(Data!$B670:$U670,INDEX(Pengaturan!$B$8:$B$27,H$4)))</f>
        <v>0</v>
      </c>
      <c r="I670" s="26" t="n">
        <f aca="false">IF(INDEX(Pengaturan!$B$8:$B$27,I$4)="",0,COUNTIF(Data!$B670:$U670,INDEX(Pengaturan!$B$8:$B$27,I$4)))</f>
        <v>0</v>
      </c>
      <c r="J670" s="26" t="n">
        <f aca="false">IF(INDEX(Pengaturan!$B$8:$B$27,J$4)="",0,COUNTIF(Data!$B670:$U670,INDEX(Pengaturan!$B$8:$B$27,J$4)))</f>
        <v>0</v>
      </c>
      <c r="K670" s="26" t="n">
        <f aca="false">IF(INDEX(Pengaturan!$B$8:$B$27,K$4)="",0,COUNTIF(Data!$B670:$U670,INDEX(Pengaturan!$B$8:$B$27,K$4)))</f>
        <v>0</v>
      </c>
      <c r="L670" s="26" t="n">
        <f aca="false">IF(INDEX(Pengaturan!$B$8:$B$27,L$4)="",0,COUNTIF(Data!$B670:$U670,INDEX(Pengaturan!$B$8:$B$27,L$4)))</f>
        <v>0</v>
      </c>
      <c r="M670" s="26" t="n">
        <f aca="false">IF(INDEX(Pengaturan!$B$8:$B$27,M$4)="",0,COUNTIF(Data!$B670:$U670,INDEX(Pengaturan!$B$8:$B$27,M$4)))</f>
        <v>0</v>
      </c>
      <c r="N670" s="26" t="n">
        <f aca="false">IF(INDEX(Pengaturan!$B$8:$B$27,N$4)="",0,COUNTIF(Data!$B670:$U670,INDEX(Pengaturan!$B$8:$B$27,N$4)))</f>
        <v>0</v>
      </c>
      <c r="O670" s="26" t="n">
        <f aca="false">IF(INDEX(Pengaturan!$B$8:$B$27,O$4)="",0,COUNTIF(Data!$B670:$U670,INDEX(Pengaturan!$B$8:$B$27,O$4)))</f>
        <v>0</v>
      </c>
      <c r="P670" s="26" t="n">
        <f aca="false">IF(INDEX(Pengaturan!$B$8:$B$27,P$4)="",0,COUNTIF(Data!$B670:$U670,INDEX(Pengaturan!$B$8:$B$27,P$4)))</f>
        <v>0</v>
      </c>
      <c r="Q670" s="26" t="n">
        <f aca="false">IF(INDEX(Pengaturan!$B$8:$B$27,Q$4)="",0,COUNTIF(Data!$B670:$U670,INDEX(Pengaturan!$B$8:$B$27,Q$4)))</f>
        <v>0</v>
      </c>
      <c r="R670" s="26" t="n">
        <f aca="false">IF(INDEX(Pengaturan!$B$8:$B$27,R$4)="",0,COUNTIF(Data!$B670:$U670,INDEX(Pengaturan!$B$8:$B$27,R$4)))</f>
        <v>0</v>
      </c>
      <c r="S670" s="26" t="n">
        <f aca="false">IF(INDEX(Pengaturan!$B$8:$B$27,S$4)="",0,COUNTIF(Data!$B670:$U670,INDEX(Pengaturan!$B$8:$B$27,S$4)))</f>
        <v>0</v>
      </c>
      <c r="T670" s="26" t="n">
        <f aca="false">IF(INDEX(Pengaturan!$B$8:$B$27,T$4)="",0,COUNTIF(Data!$B670:$U670,INDEX(Pengaturan!$B$8:$B$27,T$4)))</f>
        <v>0</v>
      </c>
      <c r="U670" s="26" t="n">
        <f aca="false">IF(INDEX(Pengaturan!$B$8:$B$27,U$4)="",0,COUNTIF(Data!$B670:$U670,INDEX(Pengaturan!$B$8:$B$27,U$4)))</f>
        <v>0</v>
      </c>
      <c r="V670" s="26" t="n">
        <f aca="false">COUNTA(Data!$B670:$U670)</f>
        <v>0</v>
      </c>
      <c r="W670" s="27" t="str">
        <f aca="false">IF(V670=0,"",IF(V670&lt;&gt;Hasil!$C$4,"Data kosong/tidak lengkap",IF(SUM(B670:U670)&lt;&gt;V670,"Kategori tidak dikenal","OK")))</f>
        <v/>
      </c>
      <c r="X670" s="26" t="n">
        <f aca="false">IF(OR(W670="",W670="OK"),0,1)</f>
        <v>0</v>
      </c>
    </row>
    <row r="671" customFormat="false" ht="15" hidden="false" customHeight="false" outlineLevel="0" collapsed="false">
      <c r="A671" s="26" t="n">
        <f aca="false">Data!A671</f>
        <v>666</v>
      </c>
      <c r="B671" s="26" t="n">
        <f aca="false">IF(INDEX(Pengaturan!$B$8:$B$27,B$4)="",0,COUNTIF(Data!$B671:$U671,INDEX(Pengaturan!$B$8:$B$27,B$4)))</f>
        <v>0</v>
      </c>
      <c r="C671" s="26" t="n">
        <f aca="false">IF(INDEX(Pengaturan!$B$8:$B$27,C$4)="",0,COUNTIF(Data!$B671:$U671,INDEX(Pengaturan!$B$8:$B$27,C$4)))</f>
        <v>0</v>
      </c>
      <c r="D671" s="26" t="n">
        <f aca="false">IF(INDEX(Pengaturan!$B$8:$B$27,D$4)="",0,COUNTIF(Data!$B671:$U671,INDEX(Pengaturan!$B$8:$B$27,D$4)))</f>
        <v>0</v>
      </c>
      <c r="E671" s="26" t="n">
        <f aca="false">IF(INDEX(Pengaturan!$B$8:$B$27,E$4)="",0,COUNTIF(Data!$B671:$U671,INDEX(Pengaturan!$B$8:$B$27,E$4)))</f>
        <v>0</v>
      </c>
      <c r="F671" s="26" t="n">
        <f aca="false">IF(INDEX(Pengaturan!$B$8:$B$27,F$4)="",0,COUNTIF(Data!$B671:$U671,INDEX(Pengaturan!$B$8:$B$27,F$4)))</f>
        <v>0</v>
      </c>
      <c r="G671" s="26" t="n">
        <f aca="false">IF(INDEX(Pengaturan!$B$8:$B$27,G$4)="",0,COUNTIF(Data!$B671:$U671,INDEX(Pengaturan!$B$8:$B$27,G$4)))</f>
        <v>0</v>
      </c>
      <c r="H671" s="26" t="n">
        <f aca="false">IF(INDEX(Pengaturan!$B$8:$B$27,H$4)="",0,COUNTIF(Data!$B671:$U671,INDEX(Pengaturan!$B$8:$B$27,H$4)))</f>
        <v>0</v>
      </c>
      <c r="I671" s="26" t="n">
        <f aca="false">IF(INDEX(Pengaturan!$B$8:$B$27,I$4)="",0,COUNTIF(Data!$B671:$U671,INDEX(Pengaturan!$B$8:$B$27,I$4)))</f>
        <v>0</v>
      </c>
      <c r="J671" s="26" t="n">
        <f aca="false">IF(INDEX(Pengaturan!$B$8:$B$27,J$4)="",0,COUNTIF(Data!$B671:$U671,INDEX(Pengaturan!$B$8:$B$27,J$4)))</f>
        <v>0</v>
      </c>
      <c r="K671" s="26" t="n">
        <f aca="false">IF(INDEX(Pengaturan!$B$8:$B$27,K$4)="",0,COUNTIF(Data!$B671:$U671,INDEX(Pengaturan!$B$8:$B$27,K$4)))</f>
        <v>0</v>
      </c>
      <c r="L671" s="26" t="n">
        <f aca="false">IF(INDEX(Pengaturan!$B$8:$B$27,L$4)="",0,COUNTIF(Data!$B671:$U671,INDEX(Pengaturan!$B$8:$B$27,L$4)))</f>
        <v>0</v>
      </c>
      <c r="M671" s="26" t="n">
        <f aca="false">IF(INDEX(Pengaturan!$B$8:$B$27,M$4)="",0,COUNTIF(Data!$B671:$U671,INDEX(Pengaturan!$B$8:$B$27,M$4)))</f>
        <v>0</v>
      </c>
      <c r="N671" s="26" t="n">
        <f aca="false">IF(INDEX(Pengaturan!$B$8:$B$27,N$4)="",0,COUNTIF(Data!$B671:$U671,INDEX(Pengaturan!$B$8:$B$27,N$4)))</f>
        <v>0</v>
      </c>
      <c r="O671" s="26" t="n">
        <f aca="false">IF(INDEX(Pengaturan!$B$8:$B$27,O$4)="",0,COUNTIF(Data!$B671:$U671,INDEX(Pengaturan!$B$8:$B$27,O$4)))</f>
        <v>0</v>
      </c>
      <c r="P671" s="26" t="n">
        <f aca="false">IF(INDEX(Pengaturan!$B$8:$B$27,P$4)="",0,COUNTIF(Data!$B671:$U671,INDEX(Pengaturan!$B$8:$B$27,P$4)))</f>
        <v>0</v>
      </c>
      <c r="Q671" s="26" t="n">
        <f aca="false">IF(INDEX(Pengaturan!$B$8:$B$27,Q$4)="",0,COUNTIF(Data!$B671:$U671,INDEX(Pengaturan!$B$8:$B$27,Q$4)))</f>
        <v>0</v>
      </c>
      <c r="R671" s="26" t="n">
        <f aca="false">IF(INDEX(Pengaturan!$B$8:$B$27,R$4)="",0,COUNTIF(Data!$B671:$U671,INDEX(Pengaturan!$B$8:$B$27,R$4)))</f>
        <v>0</v>
      </c>
      <c r="S671" s="26" t="n">
        <f aca="false">IF(INDEX(Pengaturan!$B$8:$B$27,S$4)="",0,COUNTIF(Data!$B671:$U671,INDEX(Pengaturan!$B$8:$B$27,S$4)))</f>
        <v>0</v>
      </c>
      <c r="T671" s="26" t="n">
        <f aca="false">IF(INDEX(Pengaturan!$B$8:$B$27,T$4)="",0,COUNTIF(Data!$B671:$U671,INDEX(Pengaturan!$B$8:$B$27,T$4)))</f>
        <v>0</v>
      </c>
      <c r="U671" s="26" t="n">
        <f aca="false">IF(INDEX(Pengaturan!$B$8:$B$27,U$4)="",0,COUNTIF(Data!$B671:$U671,INDEX(Pengaturan!$B$8:$B$27,U$4)))</f>
        <v>0</v>
      </c>
      <c r="V671" s="26" t="n">
        <f aca="false">COUNTA(Data!$B671:$U671)</f>
        <v>0</v>
      </c>
      <c r="W671" s="27" t="str">
        <f aca="false">IF(V671=0,"",IF(V671&lt;&gt;Hasil!$C$4,"Data kosong/tidak lengkap",IF(SUM(B671:U671)&lt;&gt;V671,"Kategori tidak dikenal","OK")))</f>
        <v/>
      </c>
      <c r="X671" s="26" t="n">
        <f aca="false">IF(OR(W671="",W671="OK"),0,1)</f>
        <v>0</v>
      </c>
    </row>
    <row r="672" customFormat="false" ht="15" hidden="false" customHeight="false" outlineLevel="0" collapsed="false">
      <c r="A672" s="26" t="n">
        <f aca="false">Data!A672</f>
        <v>667</v>
      </c>
      <c r="B672" s="26" t="n">
        <f aca="false">IF(INDEX(Pengaturan!$B$8:$B$27,B$4)="",0,COUNTIF(Data!$B672:$U672,INDEX(Pengaturan!$B$8:$B$27,B$4)))</f>
        <v>0</v>
      </c>
      <c r="C672" s="26" t="n">
        <f aca="false">IF(INDEX(Pengaturan!$B$8:$B$27,C$4)="",0,COUNTIF(Data!$B672:$U672,INDEX(Pengaturan!$B$8:$B$27,C$4)))</f>
        <v>0</v>
      </c>
      <c r="D672" s="26" t="n">
        <f aca="false">IF(INDEX(Pengaturan!$B$8:$B$27,D$4)="",0,COUNTIF(Data!$B672:$U672,INDEX(Pengaturan!$B$8:$B$27,D$4)))</f>
        <v>0</v>
      </c>
      <c r="E672" s="26" t="n">
        <f aca="false">IF(INDEX(Pengaturan!$B$8:$B$27,E$4)="",0,COUNTIF(Data!$B672:$U672,INDEX(Pengaturan!$B$8:$B$27,E$4)))</f>
        <v>0</v>
      </c>
      <c r="F672" s="26" t="n">
        <f aca="false">IF(INDEX(Pengaturan!$B$8:$B$27,F$4)="",0,COUNTIF(Data!$B672:$U672,INDEX(Pengaturan!$B$8:$B$27,F$4)))</f>
        <v>0</v>
      </c>
      <c r="G672" s="26" t="n">
        <f aca="false">IF(INDEX(Pengaturan!$B$8:$B$27,G$4)="",0,COUNTIF(Data!$B672:$U672,INDEX(Pengaturan!$B$8:$B$27,G$4)))</f>
        <v>0</v>
      </c>
      <c r="H672" s="26" t="n">
        <f aca="false">IF(INDEX(Pengaturan!$B$8:$B$27,H$4)="",0,COUNTIF(Data!$B672:$U672,INDEX(Pengaturan!$B$8:$B$27,H$4)))</f>
        <v>0</v>
      </c>
      <c r="I672" s="26" t="n">
        <f aca="false">IF(INDEX(Pengaturan!$B$8:$B$27,I$4)="",0,COUNTIF(Data!$B672:$U672,INDEX(Pengaturan!$B$8:$B$27,I$4)))</f>
        <v>0</v>
      </c>
      <c r="J672" s="26" t="n">
        <f aca="false">IF(INDEX(Pengaturan!$B$8:$B$27,J$4)="",0,COUNTIF(Data!$B672:$U672,INDEX(Pengaturan!$B$8:$B$27,J$4)))</f>
        <v>0</v>
      </c>
      <c r="K672" s="26" t="n">
        <f aca="false">IF(INDEX(Pengaturan!$B$8:$B$27,K$4)="",0,COUNTIF(Data!$B672:$U672,INDEX(Pengaturan!$B$8:$B$27,K$4)))</f>
        <v>0</v>
      </c>
      <c r="L672" s="26" t="n">
        <f aca="false">IF(INDEX(Pengaturan!$B$8:$B$27,L$4)="",0,COUNTIF(Data!$B672:$U672,INDEX(Pengaturan!$B$8:$B$27,L$4)))</f>
        <v>0</v>
      </c>
      <c r="M672" s="26" t="n">
        <f aca="false">IF(INDEX(Pengaturan!$B$8:$B$27,M$4)="",0,COUNTIF(Data!$B672:$U672,INDEX(Pengaturan!$B$8:$B$27,M$4)))</f>
        <v>0</v>
      </c>
      <c r="N672" s="26" t="n">
        <f aca="false">IF(INDEX(Pengaturan!$B$8:$B$27,N$4)="",0,COUNTIF(Data!$B672:$U672,INDEX(Pengaturan!$B$8:$B$27,N$4)))</f>
        <v>0</v>
      </c>
      <c r="O672" s="26" t="n">
        <f aca="false">IF(INDEX(Pengaturan!$B$8:$B$27,O$4)="",0,COUNTIF(Data!$B672:$U672,INDEX(Pengaturan!$B$8:$B$27,O$4)))</f>
        <v>0</v>
      </c>
      <c r="P672" s="26" t="n">
        <f aca="false">IF(INDEX(Pengaturan!$B$8:$B$27,P$4)="",0,COUNTIF(Data!$B672:$U672,INDEX(Pengaturan!$B$8:$B$27,P$4)))</f>
        <v>0</v>
      </c>
      <c r="Q672" s="26" t="n">
        <f aca="false">IF(INDEX(Pengaturan!$B$8:$B$27,Q$4)="",0,COUNTIF(Data!$B672:$U672,INDEX(Pengaturan!$B$8:$B$27,Q$4)))</f>
        <v>0</v>
      </c>
      <c r="R672" s="26" t="n">
        <f aca="false">IF(INDEX(Pengaturan!$B$8:$B$27,R$4)="",0,COUNTIF(Data!$B672:$U672,INDEX(Pengaturan!$B$8:$B$27,R$4)))</f>
        <v>0</v>
      </c>
      <c r="S672" s="26" t="n">
        <f aca="false">IF(INDEX(Pengaturan!$B$8:$B$27,S$4)="",0,COUNTIF(Data!$B672:$U672,INDEX(Pengaturan!$B$8:$B$27,S$4)))</f>
        <v>0</v>
      </c>
      <c r="T672" s="26" t="n">
        <f aca="false">IF(INDEX(Pengaturan!$B$8:$B$27,T$4)="",0,COUNTIF(Data!$B672:$U672,INDEX(Pengaturan!$B$8:$B$27,T$4)))</f>
        <v>0</v>
      </c>
      <c r="U672" s="26" t="n">
        <f aca="false">IF(INDEX(Pengaturan!$B$8:$B$27,U$4)="",0,COUNTIF(Data!$B672:$U672,INDEX(Pengaturan!$B$8:$B$27,U$4)))</f>
        <v>0</v>
      </c>
      <c r="V672" s="26" t="n">
        <f aca="false">COUNTA(Data!$B672:$U672)</f>
        <v>0</v>
      </c>
      <c r="W672" s="27" t="str">
        <f aca="false">IF(V672=0,"",IF(V672&lt;&gt;Hasil!$C$4,"Data kosong/tidak lengkap",IF(SUM(B672:U672)&lt;&gt;V672,"Kategori tidak dikenal","OK")))</f>
        <v/>
      </c>
      <c r="X672" s="26" t="n">
        <f aca="false">IF(OR(W672="",W672="OK"),0,1)</f>
        <v>0</v>
      </c>
    </row>
    <row r="673" customFormat="false" ht="15" hidden="false" customHeight="false" outlineLevel="0" collapsed="false">
      <c r="A673" s="26" t="n">
        <f aca="false">Data!A673</f>
        <v>668</v>
      </c>
      <c r="B673" s="26" t="n">
        <f aca="false">IF(INDEX(Pengaturan!$B$8:$B$27,B$4)="",0,COUNTIF(Data!$B673:$U673,INDEX(Pengaturan!$B$8:$B$27,B$4)))</f>
        <v>0</v>
      </c>
      <c r="C673" s="26" t="n">
        <f aca="false">IF(INDEX(Pengaturan!$B$8:$B$27,C$4)="",0,COUNTIF(Data!$B673:$U673,INDEX(Pengaturan!$B$8:$B$27,C$4)))</f>
        <v>0</v>
      </c>
      <c r="D673" s="26" t="n">
        <f aca="false">IF(INDEX(Pengaturan!$B$8:$B$27,D$4)="",0,COUNTIF(Data!$B673:$U673,INDEX(Pengaturan!$B$8:$B$27,D$4)))</f>
        <v>0</v>
      </c>
      <c r="E673" s="26" t="n">
        <f aca="false">IF(INDEX(Pengaturan!$B$8:$B$27,E$4)="",0,COUNTIF(Data!$B673:$U673,INDEX(Pengaturan!$B$8:$B$27,E$4)))</f>
        <v>0</v>
      </c>
      <c r="F673" s="26" t="n">
        <f aca="false">IF(INDEX(Pengaturan!$B$8:$B$27,F$4)="",0,COUNTIF(Data!$B673:$U673,INDEX(Pengaturan!$B$8:$B$27,F$4)))</f>
        <v>0</v>
      </c>
      <c r="G673" s="26" t="n">
        <f aca="false">IF(INDEX(Pengaturan!$B$8:$B$27,G$4)="",0,COUNTIF(Data!$B673:$U673,INDEX(Pengaturan!$B$8:$B$27,G$4)))</f>
        <v>0</v>
      </c>
      <c r="H673" s="26" t="n">
        <f aca="false">IF(INDEX(Pengaturan!$B$8:$B$27,H$4)="",0,COUNTIF(Data!$B673:$U673,INDEX(Pengaturan!$B$8:$B$27,H$4)))</f>
        <v>0</v>
      </c>
      <c r="I673" s="26" t="n">
        <f aca="false">IF(INDEX(Pengaturan!$B$8:$B$27,I$4)="",0,COUNTIF(Data!$B673:$U673,INDEX(Pengaturan!$B$8:$B$27,I$4)))</f>
        <v>0</v>
      </c>
      <c r="J673" s="26" t="n">
        <f aca="false">IF(INDEX(Pengaturan!$B$8:$B$27,J$4)="",0,COUNTIF(Data!$B673:$U673,INDEX(Pengaturan!$B$8:$B$27,J$4)))</f>
        <v>0</v>
      </c>
      <c r="K673" s="26" t="n">
        <f aca="false">IF(INDEX(Pengaturan!$B$8:$B$27,K$4)="",0,COUNTIF(Data!$B673:$U673,INDEX(Pengaturan!$B$8:$B$27,K$4)))</f>
        <v>0</v>
      </c>
      <c r="L673" s="26" t="n">
        <f aca="false">IF(INDEX(Pengaturan!$B$8:$B$27,L$4)="",0,COUNTIF(Data!$B673:$U673,INDEX(Pengaturan!$B$8:$B$27,L$4)))</f>
        <v>0</v>
      </c>
      <c r="M673" s="26" t="n">
        <f aca="false">IF(INDEX(Pengaturan!$B$8:$B$27,M$4)="",0,COUNTIF(Data!$B673:$U673,INDEX(Pengaturan!$B$8:$B$27,M$4)))</f>
        <v>0</v>
      </c>
      <c r="N673" s="26" t="n">
        <f aca="false">IF(INDEX(Pengaturan!$B$8:$B$27,N$4)="",0,COUNTIF(Data!$B673:$U673,INDEX(Pengaturan!$B$8:$B$27,N$4)))</f>
        <v>0</v>
      </c>
      <c r="O673" s="26" t="n">
        <f aca="false">IF(INDEX(Pengaturan!$B$8:$B$27,O$4)="",0,COUNTIF(Data!$B673:$U673,INDEX(Pengaturan!$B$8:$B$27,O$4)))</f>
        <v>0</v>
      </c>
      <c r="P673" s="26" t="n">
        <f aca="false">IF(INDEX(Pengaturan!$B$8:$B$27,P$4)="",0,COUNTIF(Data!$B673:$U673,INDEX(Pengaturan!$B$8:$B$27,P$4)))</f>
        <v>0</v>
      </c>
      <c r="Q673" s="26" t="n">
        <f aca="false">IF(INDEX(Pengaturan!$B$8:$B$27,Q$4)="",0,COUNTIF(Data!$B673:$U673,INDEX(Pengaturan!$B$8:$B$27,Q$4)))</f>
        <v>0</v>
      </c>
      <c r="R673" s="26" t="n">
        <f aca="false">IF(INDEX(Pengaturan!$B$8:$B$27,R$4)="",0,COUNTIF(Data!$B673:$U673,INDEX(Pengaturan!$B$8:$B$27,R$4)))</f>
        <v>0</v>
      </c>
      <c r="S673" s="26" t="n">
        <f aca="false">IF(INDEX(Pengaturan!$B$8:$B$27,S$4)="",0,COUNTIF(Data!$B673:$U673,INDEX(Pengaturan!$B$8:$B$27,S$4)))</f>
        <v>0</v>
      </c>
      <c r="T673" s="26" t="n">
        <f aca="false">IF(INDEX(Pengaturan!$B$8:$B$27,T$4)="",0,COUNTIF(Data!$B673:$U673,INDEX(Pengaturan!$B$8:$B$27,T$4)))</f>
        <v>0</v>
      </c>
      <c r="U673" s="26" t="n">
        <f aca="false">IF(INDEX(Pengaturan!$B$8:$B$27,U$4)="",0,COUNTIF(Data!$B673:$U673,INDEX(Pengaturan!$B$8:$B$27,U$4)))</f>
        <v>0</v>
      </c>
      <c r="V673" s="26" t="n">
        <f aca="false">COUNTA(Data!$B673:$U673)</f>
        <v>0</v>
      </c>
      <c r="W673" s="27" t="str">
        <f aca="false">IF(V673=0,"",IF(V673&lt;&gt;Hasil!$C$4,"Data kosong/tidak lengkap",IF(SUM(B673:U673)&lt;&gt;V673,"Kategori tidak dikenal","OK")))</f>
        <v/>
      </c>
      <c r="X673" s="26" t="n">
        <f aca="false">IF(OR(W673="",W673="OK"),0,1)</f>
        <v>0</v>
      </c>
    </row>
    <row r="674" customFormat="false" ht="15" hidden="false" customHeight="false" outlineLevel="0" collapsed="false">
      <c r="A674" s="26" t="n">
        <f aca="false">Data!A674</f>
        <v>669</v>
      </c>
      <c r="B674" s="26" t="n">
        <f aca="false">IF(INDEX(Pengaturan!$B$8:$B$27,B$4)="",0,COUNTIF(Data!$B674:$U674,INDEX(Pengaturan!$B$8:$B$27,B$4)))</f>
        <v>0</v>
      </c>
      <c r="C674" s="26" t="n">
        <f aca="false">IF(INDEX(Pengaturan!$B$8:$B$27,C$4)="",0,COUNTIF(Data!$B674:$U674,INDEX(Pengaturan!$B$8:$B$27,C$4)))</f>
        <v>0</v>
      </c>
      <c r="D674" s="26" t="n">
        <f aca="false">IF(INDEX(Pengaturan!$B$8:$B$27,D$4)="",0,COUNTIF(Data!$B674:$U674,INDEX(Pengaturan!$B$8:$B$27,D$4)))</f>
        <v>0</v>
      </c>
      <c r="E674" s="26" t="n">
        <f aca="false">IF(INDEX(Pengaturan!$B$8:$B$27,E$4)="",0,COUNTIF(Data!$B674:$U674,INDEX(Pengaturan!$B$8:$B$27,E$4)))</f>
        <v>0</v>
      </c>
      <c r="F674" s="26" t="n">
        <f aca="false">IF(INDEX(Pengaturan!$B$8:$B$27,F$4)="",0,COUNTIF(Data!$B674:$U674,INDEX(Pengaturan!$B$8:$B$27,F$4)))</f>
        <v>0</v>
      </c>
      <c r="G674" s="26" t="n">
        <f aca="false">IF(INDEX(Pengaturan!$B$8:$B$27,G$4)="",0,COUNTIF(Data!$B674:$U674,INDEX(Pengaturan!$B$8:$B$27,G$4)))</f>
        <v>0</v>
      </c>
      <c r="H674" s="26" t="n">
        <f aca="false">IF(INDEX(Pengaturan!$B$8:$B$27,H$4)="",0,COUNTIF(Data!$B674:$U674,INDEX(Pengaturan!$B$8:$B$27,H$4)))</f>
        <v>0</v>
      </c>
      <c r="I674" s="26" t="n">
        <f aca="false">IF(INDEX(Pengaturan!$B$8:$B$27,I$4)="",0,COUNTIF(Data!$B674:$U674,INDEX(Pengaturan!$B$8:$B$27,I$4)))</f>
        <v>0</v>
      </c>
      <c r="J674" s="26" t="n">
        <f aca="false">IF(INDEX(Pengaturan!$B$8:$B$27,J$4)="",0,COUNTIF(Data!$B674:$U674,INDEX(Pengaturan!$B$8:$B$27,J$4)))</f>
        <v>0</v>
      </c>
      <c r="K674" s="26" t="n">
        <f aca="false">IF(INDEX(Pengaturan!$B$8:$B$27,K$4)="",0,COUNTIF(Data!$B674:$U674,INDEX(Pengaturan!$B$8:$B$27,K$4)))</f>
        <v>0</v>
      </c>
      <c r="L674" s="26" t="n">
        <f aca="false">IF(INDEX(Pengaturan!$B$8:$B$27,L$4)="",0,COUNTIF(Data!$B674:$U674,INDEX(Pengaturan!$B$8:$B$27,L$4)))</f>
        <v>0</v>
      </c>
      <c r="M674" s="26" t="n">
        <f aca="false">IF(INDEX(Pengaturan!$B$8:$B$27,M$4)="",0,COUNTIF(Data!$B674:$U674,INDEX(Pengaturan!$B$8:$B$27,M$4)))</f>
        <v>0</v>
      </c>
      <c r="N674" s="26" t="n">
        <f aca="false">IF(INDEX(Pengaturan!$B$8:$B$27,N$4)="",0,COUNTIF(Data!$B674:$U674,INDEX(Pengaturan!$B$8:$B$27,N$4)))</f>
        <v>0</v>
      </c>
      <c r="O674" s="26" t="n">
        <f aca="false">IF(INDEX(Pengaturan!$B$8:$B$27,O$4)="",0,COUNTIF(Data!$B674:$U674,INDEX(Pengaturan!$B$8:$B$27,O$4)))</f>
        <v>0</v>
      </c>
      <c r="P674" s="26" t="n">
        <f aca="false">IF(INDEX(Pengaturan!$B$8:$B$27,P$4)="",0,COUNTIF(Data!$B674:$U674,INDEX(Pengaturan!$B$8:$B$27,P$4)))</f>
        <v>0</v>
      </c>
      <c r="Q674" s="26" t="n">
        <f aca="false">IF(INDEX(Pengaturan!$B$8:$B$27,Q$4)="",0,COUNTIF(Data!$B674:$U674,INDEX(Pengaturan!$B$8:$B$27,Q$4)))</f>
        <v>0</v>
      </c>
      <c r="R674" s="26" t="n">
        <f aca="false">IF(INDEX(Pengaturan!$B$8:$B$27,R$4)="",0,COUNTIF(Data!$B674:$U674,INDEX(Pengaturan!$B$8:$B$27,R$4)))</f>
        <v>0</v>
      </c>
      <c r="S674" s="26" t="n">
        <f aca="false">IF(INDEX(Pengaturan!$B$8:$B$27,S$4)="",0,COUNTIF(Data!$B674:$U674,INDEX(Pengaturan!$B$8:$B$27,S$4)))</f>
        <v>0</v>
      </c>
      <c r="T674" s="26" t="n">
        <f aca="false">IF(INDEX(Pengaturan!$B$8:$B$27,T$4)="",0,COUNTIF(Data!$B674:$U674,INDEX(Pengaturan!$B$8:$B$27,T$4)))</f>
        <v>0</v>
      </c>
      <c r="U674" s="26" t="n">
        <f aca="false">IF(INDEX(Pengaturan!$B$8:$B$27,U$4)="",0,COUNTIF(Data!$B674:$U674,INDEX(Pengaturan!$B$8:$B$27,U$4)))</f>
        <v>0</v>
      </c>
      <c r="V674" s="26" t="n">
        <f aca="false">COUNTA(Data!$B674:$U674)</f>
        <v>0</v>
      </c>
      <c r="W674" s="27" t="str">
        <f aca="false">IF(V674=0,"",IF(V674&lt;&gt;Hasil!$C$4,"Data kosong/tidak lengkap",IF(SUM(B674:U674)&lt;&gt;V674,"Kategori tidak dikenal","OK")))</f>
        <v/>
      </c>
      <c r="X674" s="26" t="n">
        <f aca="false">IF(OR(W674="",W674="OK"),0,1)</f>
        <v>0</v>
      </c>
    </row>
    <row r="675" customFormat="false" ht="15" hidden="false" customHeight="false" outlineLevel="0" collapsed="false">
      <c r="A675" s="26" t="n">
        <f aca="false">Data!A675</f>
        <v>670</v>
      </c>
      <c r="B675" s="26" t="n">
        <f aca="false">IF(INDEX(Pengaturan!$B$8:$B$27,B$4)="",0,COUNTIF(Data!$B675:$U675,INDEX(Pengaturan!$B$8:$B$27,B$4)))</f>
        <v>0</v>
      </c>
      <c r="C675" s="26" t="n">
        <f aca="false">IF(INDEX(Pengaturan!$B$8:$B$27,C$4)="",0,COUNTIF(Data!$B675:$U675,INDEX(Pengaturan!$B$8:$B$27,C$4)))</f>
        <v>0</v>
      </c>
      <c r="D675" s="26" t="n">
        <f aca="false">IF(INDEX(Pengaturan!$B$8:$B$27,D$4)="",0,COUNTIF(Data!$B675:$U675,INDEX(Pengaturan!$B$8:$B$27,D$4)))</f>
        <v>0</v>
      </c>
      <c r="E675" s="26" t="n">
        <f aca="false">IF(INDEX(Pengaturan!$B$8:$B$27,E$4)="",0,COUNTIF(Data!$B675:$U675,INDEX(Pengaturan!$B$8:$B$27,E$4)))</f>
        <v>0</v>
      </c>
      <c r="F675" s="26" t="n">
        <f aca="false">IF(INDEX(Pengaturan!$B$8:$B$27,F$4)="",0,COUNTIF(Data!$B675:$U675,INDEX(Pengaturan!$B$8:$B$27,F$4)))</f>
        <v>0</v>
      </c>
      <c r="G675" s="26" t="n">
        <f aca="false">IF(INDEX(Pengaturan!$B$8:$B$27,G$4)="",0,COUNTIF(Data!$B675:$U675,INDEX(Pengaturan!$B$8:$B$27,G$4)))</f>
        <v>0</v>
      </c>
      <c r="H675" s="26" t="n">
        <f aca="false">IF(INDEX(Pengaturan!$B$8:$B$27,H$4)="",0,COUNTIF(Data!$B675:$U675,INDEX(Pengaturan!$B$8:$B$27,H$4)))</f>
        <v>0</v>
      </c>
      <c r="I675" s="26" t="n">
        <f aca="false">IF(INDEX(Pengaturan!$B$8:$B$27,I$4)="",0,COUNTIF(Data!$B675:$U675,INDEX(Pengaturan!$B$8:$B$27,I$4)))</f>
        <v>0</v>
      </c>
      <c r="J675" s="26" t="n">
        <f aca="false">IF(INDEX(Pengaturan!$B$8:$B$27,J$4)="",0,COUNTIF(Data!$B675:$U675,INDEX(Pengaturan!$B$8:$B$27,J$4)))</f>
        <v>0</v>
      </c>
      <c r="K675" s="26" t="n">
        <f aca="false">IF(INDEX(Pengaturan!$B$8:$B$27,K$4)="",0,COUNTIF(Data!$B675:$U675,INDEX(Pengaturan!$B$8:$B$27,K$4)))</f>
        <v>0</v>
      </c>
      <c r="L675" s="26" t="n">
        <f aca="false">IF(INDEX(Pengaturan!$B$8:$B$27,L$4)="",0,COUNTIF(Data!$B675:$U675,INDEX(Pengaturan!$B$8:$B$27,L$4)))</f>
        <v>0</v>
      </c>
      <c r="M675" s="26" t="n">
        <f aca="false">IF(INDEX(Pengaturan!$B$8:$B$27,M$4)="",0,COUNTIF(Data!$B675:$U675,INDEX(Pengaturan!$B$8:$B$27,M$4)))</f>
        <v>0</v>
      </c>
      <c r="N675" s="26" t="n">
        <f aca="false">IF(INDEX(Pengaturan!$B$8:$B$27,N$4)="",0,COUNTIF(Data!$B675:$U675,INDEX(Pengaturan!$B$8:$B$27,N$4)))</f>
        <v>0</v>
      </c>
      <c r="O675" s="26" t="n">
        <f aca="false">IF(INDEX(Pengaturan!$B$8:$B$27,O$4)="",0,COUNTIF(Data!$B675:$U675,INDEX(Pengaturan!$B$8:$B$27,O$4)))</f>
        <v>0</v>
      </c>
      <c r="P675" s="26" t="n">
        <f aca="false">IF(INDEX(Pengaturan!$B$8:$B$27,P$4)="",0,COUNTIF(Data!$B675:$U675,INDEX(Pengaturan!$B$8:$B$27,P$4)))</f>
        <v>0</v>
      </c>
      <c r="Q675" s="26" t="n">
        <f aca="false">IF(INDEX(Pengaturan!$B$8:$B$27,Q$4)="",0,COUNTIF(Data!$B675:$U675,INDEX(Pengaturan!$B$8:$B$27,Q$4)))</f>
        <v>0</v>
      </c>
      <c r="R675" s="26" t="n">
        <f aca="false">IF(INDEX(Pengaturan!$B$8:$B$27,R$4)="",0,COUNTIF(Data!$B675:$U675,INDEX(Pengaturan!$B$8:$B$27,R$4)))</f>
        <v>0</v>
      </c>
      <c r="S675" s="26" t="n">
        <f aca="false">IF(INDEX(Pengaturan!$B$8:$B$27,S$4)="",0,COUNTIF(Data!$B675:$U675,INDEX(Pengaturan!$B$8:$B$27,S$4)))</f>
        <v>0</v>
      </c>
      <c r="T675" s="26" t="n">
        <f aca="false">IF(INDEX(Pengaturan!$B$8:$B$27,T$4)="",0,COUNTIF(Data!$B675:$U675,INDEX(Pengaturan!$B$8:$B$27,T$4)))</f>
        <v>0</v>
      </c>
      <c r="U675" s="26" t="n">
        <f aca="false">IF(INDEX(Pengaturan!$B$8:$B$27,U$4)="",0,COUNTIF(Data!$B675:$U675,INDEX(Pengaturan!$B$8:$B$27,U$4)))</f>
        <v>0</v>
      </c>
      <c r="V675" s="26" t="n">
        <f aca="false">COUNTA(Data!$B675:$U675)</f>
        <v>0</v>
      </c>
      <c r="W675" s="27" t="str">
        <f aca="false">IF(V675=0,"",IF(V675&lt;&gt;Hasil!$C$4,"Data kosong/tidak lengkap",IF(SUM(B675:U675)&lt;&gt;V675,"Kategori tidak dikenal","OK")))</f>
        <v/>
      </c>
      <c r="X675" s="26" t="n">
        <f aca="false">IF(OR(W675="",W675="OK"),0,1)</f>
        <v>0</v>
      </c>
    </row>
    <row r="676" customFormat="false" ht="15" hidden="false" customHeight="false" outlineLevel="0" collapsed="false">
      <c r="A676" s="26" t="n">
        <f aca="false">Data!A676</f>
        <v>671</v>
      </c>
      <c r="B676" s="26" t="n">
        <f aca="false">IF(INDEX(Pengaturan!$B$8:$B$27,B$4)="",0,COUNTIF(Data!$B676:$U676,INDEX(Pengaturan!$B$8:$B$27,B$4)))</f>
        <v>0</v>
      </c>
      <c r="C676" s="26" t="n">
        <f aca="false">IF(INDEX(Pengaturan!$B$8:$B$27,C$4)="",0,COUNTIF(Data!$B676:$U676,INDEX(Pengaturan!$B$8:$B$27,C$4)))</f>
        <v>0</v>
      </c>
      <c r="D676" s="26" t="n">
        <f aca="false">IF(INDEX(Pengaturan!$B$8:$B$27,D$4)="",0,COUNTIF(Data!$B676:$U676,INDEX(Pengaturan!$B$8:$B$27,D$4)))</f>
        <v>0</v>
      </c>
      <c r="E676" s="26" t="n">
        <f aca="false">IF(INDEX(Pengaturan!$B$8:$B$27,E$4)="",0,COUNTIF(Data!$B676:$U676,INDEX(Pengaturan!$B$8:$B$27,E$4)))</f>
        <v>0</v>
      </c>
      <c r="F676" s="26" t="n">
        <f aca="false">IF(INDEX(Pengaturan!$B$8:$B$27,F$4)="",0,COUNTIF(Data!$B676:$U676,INDEX(Pengaturan!$B$8:$B$27,F$4)))</f>
        <v>0</v>
      </c>
      <c r="G676" s="26" t="n">
        <f aca="false">IF(INDEX(Pengaturan!$B$8:$B$27,G$4)="",0,COUNTIF(Data!$B676:$U676,INDEX(Pengaturan!$B$8:$B$27,G$4)))</f>
        <v>0</v>
      </c>
      <c r="H676" s="26" t="n">
        <f aca="false">IF(INDEX(Pengaturan!$B$8:$B$27,H$4)="",0,COUNTIF(Data!$B676:$U676,INDEX(Pengaturan!$B$8:$B$27,H$4)))</f>
        <v>0</v>
      </c>
      <c r="I676" s="26" t="n">
        <f aca="false">IF(INDEX(Pengaturan!$B$8:$B$27,I$4)="",0,COUNTIF(Data!$B676:$U676,INDEX(Pengaturan!$B$8:$B$27,I$4)))</f>
        <v>0</v>
      </c>
      <c r="J676" s="26" t="n">
        <f aca="false">IF(INDEX(Pengaturan!$B$8:$B$27,J$4)="",0,COUNTIF(Data!$B676:$U676,INDEX(Pengaturan!$B$8:$B$27,J$4)))</f>
        <v>0</v>
      </c>
      <c r="K676" s="26" t="n">
        <f aca="false">IF(INDEX(Pengaturan!$B$8:$B$27,K$4)="",0,COUNTIF(Data!$B676:$U676,INDEX(Pengaturan!$B$8:$B$27,K$4)))</f>
        <v>0</v>
      </c>
      <c r="L676" s="26" t="n">
        <f aca="false">IF(INDEX(Pengaturan!$B$8:$B$27,L$4)="",0,COUNTIF(Data!$B676:$U676,INDEX(Pengaturan!$B$8:$B$27,L$4)))</f>
        <v>0</v>
      </c>
      <c r="M676" s="26" t="n">
        <f aca="false">IF(INDEX(Pengaturan!$B$8:$B$27,M$4)="",0,COUNTIF(Data!$B676:$U676,INDEX(Pengaturan!$B$8:$B$27,M$4)))</f>
        <v>0</v>
      </c>
      <c r="N676" s="26" t="n">
        <f aca="false">IF(INDEX(Pengaturan!$B$8:$B$27,N$4)="",0,COUNTIF(Data!$B676:$U676,INDEX(Pengaturan!$B$8:$B$27,N$4)))</f>
        <v>0</v>
      </c>
      <c r="O676" s="26" t="n">
        <f aca="false">IF(INDEX(Pengaturan!$B$8:$B$27,O$4)="",0,COUNTIF(Data!$B676:$U676,INDEX(Pengaturan!$B$8:$B$27,O$4)))</f>
        <v>0</v>
      </c>
      <c r="P676" s="26" t="n">
        <f aca="false">IF(INDEX(Pengaturan!$B$8:$B$27,P$4)="",0,COUNTIF(Data!$B676:$U676,INDEX(Pengaturan!$B$8:$B$27,P$4)))</f>
        <v>0</v>
      </c>
      <c r="Q676" s="26" t="n">
        <f aca="false">IF(INDEX(Pengaturan!$B$8:$B$27,Q$4)="",0,COUNTIF(Data!$B676:$U676,INDEX(Pengaturan!$B$8:$B$27,Q$4)))</f>
        <v>0</v>
      </c>
      <c r="R676" s="26" t="n">
        <f aca="false">IF(INDEX(Pengaturan!$B$8:$B$27,R$4)="",0,COUNTIF(Data!$B676:$U676,INDEX(Pengaturan!$B$8:$B$27,R$4)))</f>
        <v>0</v>
      </c>
      <c r="S676" s="26" t="n">
        <f aca="false">IF(INDEX(Pengaturan!$B$8:$B$27,S$4)="",0,COUNTIF(Data!$B676:$U676,INDEX(Pengaturan!$B$8:$B$27,S$4)))</f>
        <v>0</v>
      </c>
      <c r="T676" s="26" t="n">
        <f aca="false">IF(INDEX(Pengaturan!$B$8:$B$27,T$4)="",0,COUNTIF(Data!$B676:$U676,INDEX(Pengaturan!$B$8:$B$27,T$4)))</f>
        <v>0</v>
      </c>
      <c r="U676" s="26" t="n">
        <f aca="false">IF(INDEX(Pengaturan!$B$8:$B$27,U$4)="",0,COUNTIF(Data!$B676:$U676,INDEX(Pengaturan!$B$8:$B$27,U$4)))</f>
        <v>0</v>
      </c>
      <c r="V676" s="26" t="n">
        <f aca="false">COUNTA(Data!$B676:$U676)</f>
        <v>0</v>
      </c>
      <c r="W676" s="27" t="str">
        <f aca="false">IF(V676=0,"",IF(V676&lt;&gt;Hasil!$C$4,"Data kosong/tidak lengkap",IF(SUM(B676:U676)&lt;&gt;V676,"Kategori tidak dikenal","OK")))</f>
        <v/>
      </c>
      <c r="X676" s="26" t="n">
        <f aca="false">IF(OR(W676="",W676="OK"),0,1)</f>
        <v>0</v>
      </c>
    </row>
    <row r="677" customFormat="false" ht="15" hidden="false" customHeight="false" outlineLevel="0" collapsed="false">
      <c r="A677" s="26" t="n">
        <f aca="false">Data!A677</f>
        <v>672</v>
      </c>
      <c r="B677" s="26" t="n">
        <f aca="false">IF(INDEX(Pengaturan!$B$8:$B$27,B$4)="",0,COUNTIF(Data!$B677:$U677,INDEX(Pengaturan!$B$8:$B$27,B$4)))</f>
        <v>0</v>
      </c>
      <c r="C677" s="26" t="n">
        <f aca="false">IF(INDEX(Pengaturan!$B$8:$B$27,C$4)="",0,COUNTIF(Data!$B677:$U677,INDEX(Pengaturan!$B$8:$B$27,C$4)))</f>
        <v>0</v>
      </c>
      <c r="D677" s="26" t="n">
        <f aca="false">IF(INDEX(Pengaturan!$B$8:$B$27,D$4)="",0,COUNTIF(Data!$B677:$U677,INDEX(Pengaturan!$B$8:$B$27,D$4)))</f>
        <v>0</v>
      </c>
      <c r="E677" s="26" t="n">
        <f aca="false">IF(INDEX(Pengaturan!$B$8:$B$27,E$4)="",0,COUNTIF(Data!$B677:$U677,INDEX(Pengaturan!$B$8:$B$27,E$4)))</f>
        <v>0</v>
      </c>
      <c r="F677" s="26" t="n">
        <f aca="false">IF(INDEX(Pengaturan!$B$8:$B$27,F$4)="",0,COUNTIF(Data!$B677:$U677,INDEX(Pengaturan!$B$8:$B$27,F$4)))</f>
        <v>0</v>
      </c>
      <c r="G677" s="26" t="n">
        <f aca="false">IF(INDEX(Pengaturan!$B$8:$B$27,G$4)="",0,COUNTIF(Data!$B677:$U677,INDEX(Pengaturan!$B$8:$B$27,G$4)))</f>
        <v>0</v>
      </c>
      <c r="H677" s="26" t="n">
        <f aca="false">IF(INDEX(Pengaturan!$B$8:$B$27,H$4)="",0,COUNTIF(Data!$B677:$U677,INDEX(Pengaturan!$B$8:$B$27,H$4)))</f>
        <v>0</v>
      </c>
      <c r="I677" s="26" t="n">
        <f aca="false">IF(INDEX(Pengaturan!$B$8:$B$27,I$4)="",0,COUNTIF(Data!$B677:$U677,INDEX(Pengaturan!$B$8:$B$27,I$4)))</f>
        <v>0</v>
      </c>
      <c r="J677" s="26" t="n">
        <f aca="false">IF(INDEX(Pengaturan!$B$8:$B$27,J$4)="",0,COUNTIF(Data!$B677:$U677,INDEX(Pengaturan!$B$8:$B$27,J$4)))</f>
        <v>0</v>
      </c>
      <c r="K677" s="26" t="n">
        <f aca="false">IF(INDEX(Pengaturan!$B$8:$B$27,K$4)="",0,COUNTIF(Data!$B677:$U677,INDEX(Pengaturan!$B$8:$B$27,K$4)))</f>
        <v>0</v>
      </c>
      <c r="L677" s="26" t="n">
        <f aca="false">IF(INDEX(Pengaturan!$B$8:$B$27,L$4)="",0,COUNTIF(Data!$B677:$U677,INDEX(Pengaturan!$B$8:$B$27,L$4)))</f>
        <v>0</v>
      </c>
      <c r="M677" s="26" t="n">
        <f aca="false">IF(INDEX(Pengaturan!$B$8:$B$27,M$4)="",0,COUNTIF(Data!$B677:$U677,INDEX(Pengaturan!$B$8:$B$27,M$4)))</f>
        <v>0</v>
      </c>
      <c r="N677" s="26" t="n">
        <f aca="false">IF(INDEX(Pengaturan!$B$8:$B$27,N$4)="",0,COUNTIF(Data!$B677:$U677,INDEX(Pengaturan!$B$8:$B$27,N$4)))</f>
        <v>0</v>
      </c>
      <c r="O677" s="26" t="n">
        <f aca="false">IF(INDEX(Pengaturan!$B$8:$B$27,O$4)="",0,COUNTIF(Data!$B677:$U677,INDEX(Pengaturan!$B$8:$B$27,O$4)))</f>
        <v>0</v>
      </c>
      <c r="P677" s="26" t="n">
        <f aca="false">IF(INDEX(Pengaturan!$B$8:$B$27,P$4)="",0,COUNTIF(Data!$B677:$U677,INDEX(Pengaturan!$B$8:$B$27,P$4)))</f>
        <v>0</v>
      </c>
      <c r="Q677" s="26" t="n">
        <f aca="false">IF(INDEX(Pengaturan!$B$8:$B$27,Q$4)="",0,COUNTIF(Data!$B677:$U677,INDEX(Pengaturan!$B$8:$B$27,Q$4)))</f>
        <v>0</v>
      </c>
      <c r="R677" s="26" t="n">
        <f aca="false">IF(INDEX(Pengaturan!$B$8:$B$27,R$4)="",0,COUNTIF(Data!$B677:$U677,INDEX(Pengaturan!$B$8:$B$27,R$4)))</f>
        <v>0</v>
      </c>
      <c r="S677" s="26" t="n">
        <f aca="false">IF(INDEX(Pengaturan!$B$8:$B$27,S$4)="",0,COUNTIF(Data!$B677:$U677,INDEX(Pengaturan!$B$8:$B$27,S$4)))</f>
        <v>0</v>
      </c>
      <c r="T677" s="26" t="n">
        <f aca="false">IF(INDEX(Pengaturan!$B$8:$B$27,T$4)="",0,COUNTIF(Data!$B677:$U677,INDEX(Pengaturan!$B$8:$B$27,T$4)))</f>
        <v>0</v>
      </c>
      <c r="U677" s="26" t="n">
        <f aca="false">IF(INDEX(Pengaturan!$B$8:$B$27,U$4)="",0,COUNTIF(Data!$B677:$U677,INDEX(Pengaturan!$B$8:$B$27,U$4)))</f>
        <v>0</v>
      </c>
      <c r="V677" s="26" t="n">
        <f aca="false">COUNTA(Data!$B677:$U677)</f>
        <v>0</v>
      </c>
      <c r="W677" s="27" t="str">
        <f aca="false">IF(V677=0,"",IF(V677&lt;&gt;Hasil!$C$4,"Data kosong/tidak lengkap",IF(SUM(B677:U677)&lt;&gt;V677,"Kategori tidak dikenal","OK")))</f>
        <v/>
      </c>
      <c r="X677" s="26" t="n">
        <f aca="false">IF(OR(W677="",W677="OK"),0,1)</f>
        <v>0</v>
      </c>
    </row>
    <row r="678" customFormat="false" ht="15" hidden="false" customHeight="false" outlineLevel="0" collapsed="false">
      <c r="A678" s="26" t="n">
        <f aca="false">Data!A678</f>
        <v>673</v>
      </c>
      <c r="B678" s="26" t="n">
        <f aca="false">IF(INDEX(Pengaturan!$B$8:$B$27,B$4)="",0,COUNTIF(Data!$B678:$U678,INDEX(Pengaturan!$B$8:$B$27,B$4)))</f>
        <v>0</v>
      </c>
      <c r="C678" s="26" t="n">
        <f aca="false">IF(INDEX(Pengaturan!$B$8:$B$27,C$4)="",0,COUNTIF(Data!$B678:$U678,INDEX(Pengaturan!$B$8:$B$27,C$4)))</f>
        <v>0</v>
      </c>
      <c r="D678" s="26" t="n">
        <f aca="false">IF(INDEX(Pengaturan!$B$8:$B$27,D$4)="",0,COUNTIF(Data!$B678:$U678,INDEX(Pengaturan!$B$8:$B$27,D$4)))</f>
        <v>0</v>
      </c>
      <c r="E678" s="26" t="n">
        <f aca="false">IF(INDEX(Pengaturan!$B$8:$B$27,E$4)="",0,COUNTIF(Data!$B678:$U678,INDEX(Pengaturan!$B$8:$B$27,E$4)))</f>
        <v>0</v>
      </c>
      <c r="F678" s="26" t="n">
        <f aca="false">IF(INDEX(Pengaturan!$B$8:$B$27,F$4)="",0,COUNTIF(Data!$B678:$U678,INDEX(Pengaturan!$B$8:$B$27,F$4)))</f>
        <v>0</v>
      </c>
      <c r="G678" s="26" t="n">
        <f aca="false">IF(INDEX(Pengaturan!$B$8:$B$27,G$4)="",0,COUNTIF(Data!$B678:$U678,INDEX(Pengaturan!$B$8:$B$27,G$4)))</f>
        <v>0</v>
      </c>
      <c r="H678" s="26" t="n">
        <f aca="false">IF(INDEX(Pengaturan!$B$8:$B$27,H$4)="",0,COUNTIF(Data!$B678:$U678,INDEX(Pengaturan!$B$8:$B$27,H$4)))</f>
        <v>0</v>
      </c>
      <c r="I678" s="26" t="n">
        <f aca="false">IF(INDEX(Pengaturan!$B$8:$B$27,I$4)="",0,COUNTIF(Data!$B678:$U678,INDEX(Pengaturan!$B$8:$B$27,I$4)))</f>
        <v>0</v>
      </c>
      <c r="J678" s="26" t="n">
        <f aca="false">IF(INDEX(Pengaturan!$B$8:$B$27,J$4)="",0,COUNTIF(Data!$B678:$U678,INDEX(Pengaturan!$B$8:$B$27,J$4)))</f>
        <v>0</v>
      </c>
      <c r="K678" s="26" t="n">
        <f aca="false">IF(INDEX(Pengaturan!$B$8:$B$27,K$4)="",0,COUNTIF(Data!$B678:$U678,INDEX(Pengaturan!$B$8:$B$27,K$4)))</f>
        <v>0</v>
      </c>
      <c r="L678" s="26" t="n">
        <f aca="false">IF(INDEX(Pengaturan!$B$8:$B$27,L$4)="",0,COUNTIF(Data!$B678:$U678,INDEX(Pengaturan!$B$8:$B$27,L$4)))</f>
        <v>0</v>
      </c>
      <c r="M678" s="26" t="n">
        <f aca="false">IF(INDEX(Pengaturan!$B$8:$B$27,M$4)="",0,COUNTIF(Data!$B678:$U678,INDEX(Pengaturan!$B$8:$B$27,M$4)))</f>
        <v>0</v>
      </c>
      <c r="N678" s="26" t="n">
        <f aca="false">IF(INDEX(Pengaturan!$B$8:$B$27,N$4)="",0,COUNTIF(Data!$B678:$U678,INDEX(Pengaturan!$B$8:$B$27,N$4)))</f>
        <v>0</v>
      </c>
      <c r="O678" s="26" t="n">
        <f aca="false">IF(INDEX(Pengaturan!$B$8:$B$27,O$4)="",0,COUNTIF(Data!$B678:$U678,INDEX(Pengaturan!$B$8:$B$27,O$4)))</f>
        <v>0</v>
      </c>
      <c r="P678" s="26" t="n">
        <f aca="false">IF(INDEX(Pengaturan!$B$8:$B$27,P$4)="",0,COUNTIF(Data!$B678:$U678,INDEX(Pengaturan!$B$8:$B$27,P$4)))</f>
        <v>0</v>
      </c>
      <c r="Q678" s="26" t="n">
        <f aca="false">IF(INDEX(Pengaturan!$B$8:$B$27,Q$4)="",0,COUNTIF(Data!$B678:$U678,INDEX(Pengaturan!$B$8:$B$27,Q$4)))</f>
        <v>0</v>
      </c>
      <c r="R678" s="26" t="n">
        <f aca="false">IF(INDEX(Pengaturan!$B$8:$B$27,R$4)="",0,COUNTIF(Data!$B678:$U678,INDEX(Pengaturan!$B$8:$B$27,R$4)))</f>
        <v>0</v>
      </c>
      <c r="S678" s="26" t="n">
        <f aca="false">IF(INDEX(Pengaturan!$B$8:$B$27,S$4)="",0,COUNTIF(Data!$B678:$U678,INDEX(Pengaturan!$B$8:$B$27,S$4)))</f>
        <v>0</v>
      </c>
      <c r="T678" s="26" t="n">
        <f aca="false">IF(INDEX(Pengaturan!$B$8:$B$27,T$4)="",0,COUNTIF(Data!$B678:$U678,INDEX(Pengaturan!$B$8:$B$27,T$4)))</f>
        <v>0</v>
      </c>
      <c r="U678" s="26" t="n">
        <f aca="false">IF(INDEX(Pengaturan!$B$8:$B$27,U$4)="",0,COUNTIF(Data!$B678:$U678,INDEX(Pengaturan!$B$8:$B$27,U$4)))</f>
        <v>0</v>
      </c>
      <c r="V678" s="26" t="n">
        <f aca="false">COUNTA(Data!$B678:$U678)</f>
        <v>0</v>
      </c>
      <c r="W678" s="27" t="str">
        <f aca="false">IF(V678=0,"",IF(V678&lt;&gt;Hasil!$C$4,"Data kosong/tidak lengkap",IF(SUM(B678:U678)&lt;&gt;V678,"Kategori tidak dikenal","OK")))</f>
        <v/>
      </c>
      <c r="X678" s="26" t="n">
        <f aca="false">IF(OR(W678="",W678="OK"),0,1)</f>
        <v>0</v>
      </c>
    </row>
    <row r="679" customFormat="false" ht="15" hidden="false" customHeight="false" outlineLevel="0" collapsed="false">
      <c r="A679" s="26" t="n">
        <f aca="false">Data!A679</f>
        <v>674</v>
      </c>
      <c r="B679" s="26" t="n">
        <f aca="false">IF(INDEX(Pengaturan!$B$8:$B$27,B$4)="",0,COUNTIF(Data!$B679:$U679,INDEX(Pengaturan!$B$8:$B$27,B$4)))</f>
        <v>0</v>
      </c>
      <c r="C679" s="26" t="n">
        <f aca="false">IF(INDEX(Pengaturan!$B$8:$B$27,C$4)="",0,COUNTIF(Data!$B679:$U679,INDEX(Pengaturan!$B$8:$B$27,C$4)))</f>
        <v>0</v>
      </c>
      <c r="D679" s="26" t="n">
        <f aca="false">IF(INDEX(Pengaturan!$B$8:$B$27,D$4)="",0,COUNTIF(Data!$B679:$U679,INDEX(Pengaturan!$B$8:$B$27,D$4)))</f>
        <v>0</v>
      </c>
      <c r="E679" s="26" t="n">
        <f aca="false">IF(INDEX(Pengaturan!$B$8:$B$27,E$4)="",0,COUNTIF(Data!$B679:$U679,INDEX(Pengaturan!$B$8:$B$27,E$4)))</f>
        <v>0</v>
      </c>
      <c r="F679" s="26" t="n">
        <f aca="false">IF(INDEX(Pengaturan!$B$8:$B$27,F$4)="",0,COUNTIF(Data!$B679:$U679,INDEX(Pengaturan!$B$8:$B$27,F$4)))</f>
        <v>0</v>
      </c>
      <c r="G679" s="26" t="n">
        <f aca="false">IF(INDEX(Pengaturan!$B$8:$B$27,G$4)="",0,COUNTIF(Data!$B679:$U679,INDEX(Pengaturan!$B$8:$B$27,G$4)))</f>
        <v>0</v>
      </c>
      <c r="H679" s="26" t="n">
        <f aca="false">IF(INDEX(Pengaturan!$B$8:$B$27,H$4)="",0,COUNTIF(Data!$B679:$U679,INDEX(Pengaturan!$B$8:$B$27,H$4)))</f>
        <v>0</v>
      </c>
      <c r="I679" s="26" t="n">
        <f aca="false">IF(INDEX(Pengaturan!$B$8:$B$27,I$4)="",0,COUNTIF(Data!$B679:$U679,INDEX(Pengaturan!$B$8:$B$27,I$4)))</f>
        <v>0</v>
      </c>
      <c r="J679" s="26" t="n">
        <f aca="false">IF(INDEX(Pengaturan!$B$8:$B$27,J$4)="",0,COUNTIF(Data!$B679:$U679,INDEX(Pengaturan!$B$8:$B$27,J$4)))</f>
        <v>0</v>
      </c>
      <c r="K679" s="26" t="n">
        <f aca="false">IF(INDEX(Pengaturan!$B$8:$B$27,K$4)="",0,COUNTIF(Data!$B679:$U679,INDEX(Pengaturan!$B$8:$B$27,K$4)))</f>
        <v>0</v>
      </c>
      <c r="L679" s="26" t="n">
        <f aca="false">IF(INDEX(Pengaturan!$B$8:$B$27,L$4)="",0,COUNTIF(Data!$B679:$U679,INDEX(Pengaturan!$B$8:$B$27,L$4)))</f>
        <v>0</v>
      </c>
      <c r="M679" s="26" t="n">
        <f aca="false">IF(INDEX(Pengaturan!$B$8:$B$27,M$4)="",0,COUNTIF(Data!$B679:$U679,INDEX(Pengaturan!$B$8:$B$27,M$4)))</f>
        <v>0</v>
      </c>
      <c r="N679" s="26" t="n">
        <f aca="false">IF(INDEX(Pengaturan!$B$8:$B$27,N$4)="",0,COUNTIF(Data!$B679:$U679,INDEX(Pengaturan!$B$8:$B$27,N$4)))</f>
        <v>0</v>
      </c>
      <c r="O679" s="26" t="n">
        <f aca="false">IF(INDEX(Pengaturan!$B$8:$B$27,O$4)="",0,COUNTIF(Data!$B679:$U679,INDEX(Pengaturan!$B$8:$B$27,O$4)))</f>
        <v>0</v>
      </c>
      <c r="P679" s="26" t="n">
        <f aca="false">IF(INDEX(Pengaturan!$B$8:$B$27,P$4)="",0,COUNTIF(Data!$B679:$U679,INDEX(Pengaturan!$B$8:$B$27,P$4)))</f>
        <v>0</v>
      </c>
      <c r="Q679" s="26" t="n">
        <f aca="false">IF(INDEX(Pengaturan!$B$8:$B$27,Q$4)="",0,COUNTIF(Data!$B679:$U679,INDEX(Pengaturan!$B$8:$B$27,Q$4)))</f>
        <v>0</v>
      </c>
      <c r="R679" s="26" t="n">
        <f aca="false">IF(INDEX(Pengaturan!$B$8:$B$27,R$4)="",0,COUNTIF(Data!$B679:$U679,INDEX(Pengaturan!$B$8:$B$27,R$4)))</f>
        <v>0</v>
      </c>
      <c r="S679" s="26" t="n">
        <f aca="false">IF(INDEX(Pengaturan!$B$8:$B$27,S$4)="",0,COUNTIF(Data!$B679:$U679,INDEX(Pengaturan!$B$8:$B$27,S$4)))</f>
        <v>0</v>
      </c>
      <c r="T679" s="26" t="n">
        <f aca="false">IF(INDEX(Pengaturan!$B$8:$B$27,T$4)="",0,COUNTIF(Data!$B679:$U679,INDEX(Pengaturan!$B$8:$B$27,T$4)))</f>
        <v>0</v>
      </c>
      <c r="U679" s="26" t="n">
        <f aca="false">IF(INDEX(Pengaturan!$B$8:$B$27,U$4)="",0,COUNTIF(Data!$B679:$U679,INDEX(Pengaturan!$B$8:$B$27,U$4)))</f>
        <v>0</v>
      </c>
      <c r="V679" s="26" t="n">
        <f aca="false">COUNTA(Data!$B679:$U679)</f>
        <v>0</v>
      </c>
      <c r="W679" s="27" t="str">
        <f aca="false">IF(V679=0,"",IF(V679&lt;&gt;Hasil!$C$4,"Data kosong/tidak lengkap",IF(SUM(B679:U679)&lt;&gt;V679,"Kategori tidak dikenal","OK")))</f>
        <v/>
      </c>
      <c r="X679" s="26" t="n">
        <f aca="false">IF(OR(W679="",W679="OK"),0,1)</f>
        <v>0</v>
      </c>
    </row>
    <row r="680" customFormat="false" ht="15" hidden="false" customHeight="false" outlineLevel="0" collapsed="false">
      <c r="A680" s="26" t="n">
        <f aca="false">Data!A680</f>
        <v>675</v>
      </c>
      <c r="B680" s="26" t="n">
        <f aca="false">IF(INDEX(Pengaturan!$B$8:$B$27,B$4)="",0,COUNTIF(Data!$B680:$U680,INDEX(Pengaturan!$B$8:$B$27,B$4)))</f>
        <v>0</v>
      </c>
      <c r="C680" s="26" t="n">
        <f aca="false">IF(INDEX(Pengaturan!$B$8:$B$27,C$4)="",0,COUNTIF(Data!$B680:$U680,INDEX(Pengaturan!$B$8:$B$27,C$4)))</f>
        <v>0</v>
      </c>
      <c r="D680" s="26" t="n">
        <f aca="false">IF(INDEX(Pengaturan!$B$8:$B$27,D$4)="",0,COUNTIF(Data!$B680:$U680,INDEX(Pengaturan!$B$8:$B$27,D$4)))</f>
        <v>0</v>
      </c>
      <c r="E680" s="26" t="n">
        <f aca="false">IF(INDEX(Pengaturan!$B$8:$B$27,E$4)="",0,COUNTIF(Data!$B680:$U680,INDEX(Pengaturan!$B$8:$B$27,E$4)))</f>
        <v>0</v>
      </c>
      <c r="F680" s="26" t="n">
        <f aca="false">IF(INDEX(Pengaturan!$B$8:$B$27,F$4)="",0,COUNTIF(Data!$B680:$U680,INDEX(Pengaturan!$B$8:$B$27,F$4)))</f>
        <v>0</v>
      </c>
      <c r="G680" s="26" t="n">
        <f aca="false">IF(INDEX(Pengaturan!$B$8:$B$27,G$4)="",0,COUNTIF(Data!$B680:$U680,INDEX(Pengaturan!$B$8:$B$27,G$4)))</f>
        <v>0</v>
      </c>
      <c r="H680" s="26" t="n">
        <f aca="false">IF(INDEX(Pengaturan!$B$8:$B$27,H$4)="",0,COUNTIF(Data!$B680:$U680,INDEX(Pengaturan!$B$8:$B$27,H$4)))</f>
        <v>0</v>
      </c>
      <c r="I680" s="26" t="n">
        <f aca="false">IF(INDEX(Pengaturan!$B$8:$B$27,I$4)="",0,COUNTIF(Data!$B680:$U680,INDEX(Pengaturan!$B$8:$B$27,I$4)))</f>
        <v>0</v>
      </c>
      <c r="J680" s="26" t="n">
        <f aca="false">IF(INDEX(Pengaturan!$B$8:$B$27,J$4)="",0,COUNTIF(Data!$B680:$U680,INDEX(Pengaturan!$B$8:$B$27,J$4)))</f>
        <v>0</v>
      </c>
      <c r="K680" s="26" t="n">
        <f aca="false">IF(INDEX(Pengaturan!$B$8:$B$27,K$4)="",0,COUNTIF(Data!$B680:$U680,INDEX(Pengaturan!$B$8:$B$27,K$4)))</f>
        <v>0</v>
      </c>
      <c r="L680" s="26" t="n">
        <f aca="false">IF(INDEX(Pengaturan!$B$8:$B$27,L$4)="",0,COUNTIF(Data!$B680:$U680,INDEX(Pengaturan!$B$8:$B$27,L$4)))</f>
        <v>0</v>
      </c>
      <c r="M680" s="26" t="n">
        <f aca="false">IF(INDEX(Pengaturan!$B$8:$B$27,M$4)="",0,COUNTIF(Data!$B680:$U680,INDEX(Pengaturan!$B$8:$B$27,M$4)))</f>
        <v>0</v>
      </c>
      <c r="N680" s="26" t="n">
        <f aca="false">IF(INDEX(Pengaturan!$B$8:$B$27,N$4)="",0,COUNTIF(Data!$B680:$U680,INDEX(Pengaturan!$B$8:$B$27,N$4)))</f>
        <v>0</v>
      </c>
      <c r="O680" s="26" t="n">
        <f aca="false">IF(INDEX(Pengaturan!$B$8:$B$27,O$4)="",0,COUNTIF(Data!$B680:$U680,INDEX(Pengaturan!$B$8:$B$27,O$4)))</f>
        <v>0</v>
      </c>
      <c r="P680" s="26" t="n">
        <f aca="false">IF(INDEX(Pengaturan!$B$8:$B$27,P$4)="",0,COUNTIF(Data!$B680:$U680,INDEX(Pengaturan!$B$8:$B$27,P$4)))</f>
        <v>0</v>
      </c>
      <c r="Q680" s="26" t="n">
        <f aca="false">IF(INDEX(Pengaturan!$B$8:$B$27,Q$4)="",0,COUNTIF(Data!$B680:$U680,INDEX(Pengaturan!$B$8:$B$27,Q$4)))</f>
        <v>0</v>
      </c>
      <c r="R680" s="26" t="n">
        <f aca="false">IF(INDEX(Pengaturan!$B$8:$B$27,R$4)="",0,COUNTIF(Data!$B680:$U680,INDEX(Pengaturan!$B$8:$B$27,R$4)))</f>
        <v>0</v>
      </c>
      <c r="S680" s="26" t="n">
        <f aca="false">IF(INDEX(Pengaturan!$B$8:$B$27,S$4)="",0,COUNTIF(Data!$B680:$U680,INDEX(Pengaturan!$B$8:$B$27,S$4)))</f>
        <v>0</v>
      </c>
      <c r="T680" s="26" t="n">
        <f aca="false">IF(INDEX(Pengaturan!$B$8:$B$27,T$4)="",0,COUNTIF(Data!$B680:$U680,INDEX(Pengaturan!$B$8:$B$27,T$4)))</f>
        <v>0</v>
      </c>
      <c r="U680" s="26" t="n">
        <f aca="false">IF(INDEX(Pengaturan!$B$8:$B$27,U$4)="",0,COUNTIF(Data!$B680:$U680,INDEX(Pengaturan!$B$8:$B$27,U$4)))</f>
        <v>0</v>
      </c>
      <c r="V680" s="26" t="n">
        <f aca="false">COUNTA(Data!$B680:$U680)</f>
        <v>0</v>
      </c>
      <c r="W680" s="27" t="str">
        <f aca="false">IF(V680=0,"",IF(V680&lt;&gt;Hasil!$C$4,"Data kosong/tidak lengkap",IF(SUM(B680:U680)&lt;&gt;V680,"Kategori tidak dikenal","OK")))</f>
        <v/>
      </c>
      <c r="X680" s="26" t="n">
        <f aca="false">IF(OR(W680="",W680="OK"),0,1)</f>
        <v>0</v>
      </c>
    </row>
    <row r="681" customFormat="false" ht="15" hidden="false" customHeight="false" outlineLevel="0" collapsed="false">
      <c r="A681" s="26" t="n">
        <f aca="false">Data!A681</f>
        <v>676</v>
      </c>
      <c r="B681" s="26" t="n">
        <f aca="false">IF(INDEX(Pengaturan!$B$8:$B$27,B$4)="",0,COUNTIF(Data!$B681:$U681,INDEX(Pengaturan!$B$8:$B$27,B$4)))</f>
        <v>0</v>
      </c>
      <c r="C681" s="26" t="n">
        <f aca="false">IF(INDEX(Pengaturan!$B$8:$B$27,C$4)="",0,COUNTIF(Data!$B681:$U681,INDEX(Pengaturan!$B$8:$B$27,C$4)))</f>
        <v>0</v>
      </c>
      <c r="D681" s="26" t="n">
        <f aca="false">IF(INDEX(Pengaturan!$B$8:$B$27,D$4)="",0,COUNTIF(Data!$B681:$U681,INDEX(Pengaturan!$B$8:$B$27,D$4)))</f>
        <v>0</v>
      </c>
      <c r="E681" s="26" t="n">
        <f aca="false">IF(INDEX(Pengaturan!$B$8:$B$27,E$4)="",0,COUNTIF(Data!$B681:$U681,INDEX(Pengaturan!$B$8:$B$27,E$4)))</f>
        <v>0</v>
      </c>
      <c r="F681" s="26" t="n">
        <f aca="false">IF(INDEX(Pengaturan!$B$8:$B$27,F$4)="",0,COUNTIF(Data!$B681:$U681,INDEX(Pengaturan!$B$8:$B$27,F$4)))</f>
        <v>0</v>
      </c>
      <c r="G681" s="26" t="n">
        <f aca="false">IF(INDEX(Pengaturan!$B$8:$B$27,G$4)="",0,COUNTIF(Data!$B681:$U681,INDEX(Pengaturan!$B$8:$B$27,G$4)))</f>
        <v>0</v>
      </c>
      <c r="H681" s="26" t="n">
        <f aca="false">IF(INDEX(Pengaturan!$B$8:$B$27,H$4)="",0,COUNTIF(Data!$B681:$U681,INDEX(Pengaturan!$B$8:$B$27,H$4)))</f>
        <v>0</v>
      </c>
      <c r="I681" s="26" t="n">
        <f aca="false">IF(INDEX(Pengaturan!$B$8:$B$27,I$4)="",0,COUNTIF(Data!$B681:$U681,INDEX(Pengaturan!$B$8:$B$27,I$4)))</f>
        <v>0</v>
      </c>
      <c r="J681" s="26" t="n">
        <f aca="false">IF(INDEX(Pengaturan!$B$8:$B$27,J$4)="",0,COUNTIF(Data!$B681:$U681,INDEX(Pengaturan!$B$8:$B$27,J$4)))</f>
        <v>0</v>
      </c>
      <c r="K681" s="26" t="n">
        <f aca="false">IF(INDEX(Pengaturan!$B$8:$B$27,K$4)="",0,COUNTIF(Data!$B681:$U681,INDEX(Pengaturan!$B$8:$B$27,K$4)))</f>
        <v>0</v>
      </c>
      <c r="L681" s="26" t="n">
        <f aca="false">IF(INDEX(Pengaturan!$B$8:$B$27,L$4)="",0,COUNTIF(Data!$B681:$U681,INDEX(Pengaturan!$B$8:$B$27,L$4)))</f>
        <v>0</v>
      </c>
      <c r="M681" s="26" t="n">
        <f aca="false">IF(INDEX(Pengaturan!$B$8:$B$27,M$4)="",0,COUNTIF(Data!$B681:$U681,INDEX(Pengaturan!$B$8:$B$27,M$4)))</f>
        <v>0</v>
      </c>
      <c r="N681" s="26" t="n">
        <f aca="false">IF(INDEX(Pengaturan!$B$8:$B$27,N$4)="",0,COUNTIF(Data!$B681:$U681,INDEX(Pengaturan!$B$8:$B$27,N$4)))</f>
        <v>0</v>
      </c>
      <c r="O681" s="26" t="n">
        <f aca="false">IF(INDEX(Pengaturan!$B$8:$B$27,O$4)="",0,COUNTIF(Data!$B681:$U681,INDEX(Pengaturan!$B$8:$B$27,O$4)))</f>
        <v>0</v>
      </c>
      <c r="P681" s="26" t="n">
        <f aca="false">IF(INDEX(Pengaturan!$B$8:$B$27,P$4)="",0,COUNTIF(Data!$B681:$U681,INDEX(Pengaturan!$B$8:$B$27,P$4)))</f>
        <v>0</v>
      </c>
      <c r="Q681" s="26" t="n">
        <f aca="false">IF(INDEX(Pengaturan!$B$8:$B$27,Q$4)="",0,COUNTIF(Data!$B681:$U681,INDEX(Pengaturan!$B$8:$B$27,Q$4)))</f>
        <v>0</v>
      </c>
      <c r="R681" s="26" t="n">
        <f aca="false">IF(INDEX(Pengaturan!$B$8:$B$27,R$4)="",0,COUNTIF(Data!$B681:$U681,INDEX(Pengaturan!$B$8:$B$27,R$4)))</f>
        <v>0</v>
      </c>
      <c r="S681" s="26" t="n">
        <f aca="false">IF(INDEX(Pengaturan!$B$8:$B$27,S$4)="",0,COUNTIF(Data!$B681:$U681,INDEX(Pengaturan!$B$8:$B$27,S$4)))</f>
        <v>0</v>
      </c>
      <c r="T681" s="26" t="n">
        <f aca="false">IF(INDEX(Pengaturan!$B$8:$B$27,T$4)="",0,COUNTIF(Data!$B681:$U681,INDEX(Pengaturan!$B$8:$B$27,T$4)))</f>
        <v>0</v>
      </c>
      <c r="U681" s="26" t="n">
        <f aca="false">IF(INDEX(Pengaturan!$B$8:$B$27,U$4)="",0,COUNTIF(Data!$B681:$U681,INDEX(Pengaturan!$B$8:$B$27,U$4)))</f>
        <v>0</v>
      </c>
      <c r="V681" s="26" t="n">
        <f aca="false">COUNTA(Data!$B681:$U681)</f>
        <v>0</v>
      </c>
      <c r="W681" s="27" t="str">
        <f aca="false">IF(V681=0,"",IF(V681&lt;&gt;Hasil!$C$4,"Data kosong/tidak lengkap",IF(SUM(B681:U681)&lt;&gt;V681,"Kategori tidak dikenal","OK")))</f>
        <v/>
      </c>
      <c r="X681" s="26" t="n">
        <f aca="false">IF(OR(W681="",W681="OK"),0,1)</f>
        <v>0</v>
      </c>
    </row>
    <row r="682" customFormat="false" ht="15" hidden="false" customHeight="false" outlineLevel="0" collapsed="false">
      <c r="A682" s="26" t="n">
        <f aca="false">Data!A682</f>
        <v>677</v>
      </c>
      <c r="B682" s="26" t="n">
        <f aca="false">IF(INDEX(Pengaturan!$B$8:$B$27,B$4)="",0,COUNTIF(Data!$B682:$U682,INDEX(Pengaturan!$B$8:$B$27,B$4)))</f>
        <v>0</v>
      </c>
      <c r="C682" s="26" t="n">
        <f aca="false">IF(INDEX(Pengaturan!$B$8:$B$27,C$4)="",0,COUNTIF(Data!$B682:$U682,INDEX(Pengaturan!$B$8:$B$27,C$4)))</f>
        <v>0</v>
      </c>
      <c r="D682" s="26" t="n">
        <f aca="false">IF(INDEX(Pengaturan!$B$8:$B$27,D$4)="",0,COUNTIF(Data!$B682:$U682,INDEX(Pengaturan!$B$8:$B$27,D$4)))</f>
        <v>0</v>
      </c>
      <c r="E682" s="26" t="n">
        <f aca="false">IF(INDEX(Pengaturan!$B$8:$B$27,E$4)="",0,COUNTIF(Data!$B682:$U682,INDEX(Pengaturan!$B$8:$B$27,E$4)))</f>
        <v>0</v>
      </c>
      <c r="F682" s="26" t="n">
        <f aca="false">IF(INDEX(Pengaturan!$B$8:$B$27,F$4)="",0,COUNTIF(Data!$B682:$U682,INDEX(Pengaturan!$B$8:$B$27,F$4)))</f>
        <v>0</v>
      </c>
      <c r="G682" s="26" t="n">
        <f aca="false">IF(INDEX(Pengaturan!$B$8:$B$27,G$4)="",0,COUNTIF(Data!$B682:$U682,INDEX(Pengaturan!$B$8:$B$27,G$4)))</f>
        <v>0</v>
      </c>
      <c r="H682" s="26" t="n">
        <f aca="false">IF(INDEX(Pengaturan!$B$8:$B$27,H$4)="",0,COUNTIF(Data!$B682:$U682,INDEX(Pengaturan!$B$8:$B$27,H$4)))</f>
        <v>0</v>
      </c>
      <c r="I682" s="26" t="n">
        <f aca="false">IF(INDEX(Pengaturan!$B$8:$B$27,I$4)="",0,COUNTIF(Data!$B682:$U682,INDEX(Pengaturan!$B$8:$B$27,I$4)))</f>
        <v>0</v>
      </c>
      <c r="J682" s="26" t="n">
        <f aca="false">IF(INDEX(Pengaturan!$B$8:$B$27,J$4)="",0,COUNTIF(Data!$B682:$U682,INDEX(Pengaturan!$B$8:$B$27,J$4)))</f>
        <v>0</v>
      </c>
      <c r="K682" s="26" t="n">
        <f aca="false">IF(INDEX(Pengaturan!$B$8:$B$27,K$4)="",0,COUNTIF(Data!$B682:$U682,INDEX(Pengaturan!$B$8:$B$27,K$4)))</f>
        <v>0</v>
      </c>
      <c r="L682" s="26" t="n">
        <f aca="false">IF(INDEX(Pengaturan!$B$8:$B$27,L$4)="",0,COUNTIF(Data!$B682:$U682,INDEX(Pengaturan!$B$8:$B$27,L$4)))</f>
        <v>0</v>
      </c>
      <c r="M682" s="26" t="n">
        <f aca="false">IF(INDEX(Pengaturan!$B$8:$B$27,M$4)="",0,COUNTIF(Data!$B682:$U682,INDEX(Pengaturan!$B$8:$B$27,M$4)))</f>
        <v>0</v>
      </c>
      <c r="N682" s="26" t="n">
        <f aca="false">IF(INDEX(Pengaturan!$B$8:$B$27,N$4)="",0,COUNTIF(Data!$B682:$U682,INDEX(Pengaturan!$B$8:$B$27,N$4)))</f>
        <v>0</v>
      </c>
      <c r="O682" s="26" t="n">
        <f aca="false">IF(INDEX(Pengaturan!$B$8:$B$27,O$4)="",0,COUNTIF(Data!$B682:$U682,INDEX(Pengaturan!$B$8:$B$27,O$4)))</f>
        <v>0</v>
      </c>
      <c r="P682" s="26" t="n">
        <f aca="false">IF(INDEX(Pengaturan!$B$8:$B$27,P$4)="",0,COUNTIF(Data!$B682:$U682,INDEX(Pengaturan!$B$8:$B$27,P$4)))</f>
        <v>0</v>
      </c>
      <c r="Q682" s="26" t="n">
        <f aca="false">IF(INDEX(Pengaturan!$B$8:$B$27,Q$4)="",0,COUNTIF(Data!$B682:$U682,INDEX(Pengaturan!$B$8:$B$27,Q$4)))</f>
        <v>0</v>
      </c>
      <c r="R682" s="26" t="n">
        <f aca="false">IF(INDEX(Pengaturan!$B$8:$B$27,R$4)="",0,COUNTIF(Data!$B682:$U682,INDEX(Pengaturan!$B$8:$B$27,R$4)))</f>
        <v>0</v>
      </c>
      <c r="S682" s="26" t="n">
        <f aca="false">IF(INDEX(Pengaturan!$B$8:$B$27,S$4)="",0,COUNTIF(Data!$B682:$U682,INDEX(Pengaturan!$B$8:$B$27,S$4)))</f>
        <v>0</v>
      </c>
      <c r="T682" s="26" t="n">
        <f aca="false">IF(INDEX(Pengaturan!$B$8:$B$27,T$4)="",0,COUNTIF(Data!$B682:$U682,INDEX(Pengaturan!$B$8:$B$27,T$4)))</f>
        <v>0</v>
      </c>
      <c r="U682" s="26" t="n">
        <f aca="false">IF(INDEX(Pengaturan!$B$8:$B$27,U$4)="",0,COUNTIF(Data!$B682:$U682,INDEX(Pengaturan!$B$8:$B$27,U$4)))</f>
        <v>0</v>
      </c>
      <c r="V682" s="26" t="n">
        <f aca="false">COUNTA(Data!$B682:$U682)</f>
        <v>0</v>
      </c>
      <c r="W682" s="27" t="str">
        <f aca="false">IF(V682=0,"",IF(V682&lt;&gt;Hasil!$C$4,"Data kosong/tidak lengkap",IF(SUM(B682:U682)&lt;&gt;V682,"Kategori tidak dikenal","OK")))</f>
        <v/>
      </c>
      <c r="X682" s="26" t="n">
        <f aca="false">IF(OR(W682="",W682="OK"),0,1)</f>
        <v>0</v>
      </c>
    </row>
    <row r="683" customFormat="false" ht="15" hidden="false" customHeight="false" outlineLevel="0" collapsed="false">
      <c r="A683" s="26" t="n">
        <f aca="false">Data!A683</f>
        <v>678</v>
      </c>
      <c r="B683" s="26" t="n">
        <f aca="false">IF(INDEX(Pengaturan!$B$8:$B$27,B$4)="",0,COUNTIF(Data!$B683:$U683,INDEX(Pengaturan!$B$8:$B$27,B$4)))</f>
        <v>0</v>
      </c>
      <c r="C683" s="26" t="n">
        <f aca="false">IF(INDEX(Pengaturan!$B$8:$B$27,C$4)="",0,COUNTIF(Data!$B683:$U683,INDEX(Pengaturan!$B$8:$B$27,C$4)))</f>
        <v>0</v>
      </c>
      <c r="D683" s="26" t="n">
        <f aca="false">IF(INDEX(Pengaturan!$B$8:$B$27,D$4)="",0,COUNTIF(Data!$B683:$U683,INDEX(Pengaturan!$B$8:$B$27,D$4)))</f>
        <v>0</v>
      </c>
      <c r="E683" s="26" t="n">
        <f aca="false">IF(INDEX(Pengaturan!$B$8:$B$27,E$4)="",0,COUNTIF(Data!$B683:$U683,INDEX(Pengaturan!$B$8:$B$27,E$4)))</f>
        <v>0</v>
      </c>
      <c r="F683" s="26" t="n">
        <f aca="false">IF(INDEX(Pengaturan!$B$8:$B$27,F$4)="",0,COUNTIF(Data!$B683:$U683,INDEX(Pengaturan!$B$8:$B$27,F$4)))</f>
        <v>0</v>
      </c>
      <c r="G683" s="26" t="n">
        <f aca="false">IF(INDEX(Pengaturan!$B$8:$B$27,G$4)="",0,COUNTIF(Data!$B683:$U683,INDEX(Pengaturan!$B$8:$B$27,G$4)))</f>
        <v>0</v>
      </c>
      <c r="H683" s="26" t="n">
        <f aca="false">IF(INDEX(Pengaturan!$B$8:$B$27,H$4)="",0,COUNTIF(Data!$B683:$U683,INDEX(Pengaturan!$B$8:$B$27,H$4)))</f>
        <v>0</v>
      </c>
      <c r="I683" s="26" t="n">
        <f aca="false">IF(INDEX(Pengaturan!$B$8:$B$27,I$4)="",0,COUNTIF(Data!$B683:$U683,INDEX(Pengaturan!$B$8:$B$27,I$4)))</f>
        <v>0</v>
      </c>
      <c r="J683" s="26" t="n">
        <f aca="false">IF(INDEX(Pengaturan!$B$8:$B$27,J$4)="",0,COUNTIF(Data!$B683:$U683,INDEX(Pengaturan!$B$8:$B$27,J$4)))</f>
        <v>0</v>
      </c>
      <c r="K683" s="26" t="n">
        <f aca="false">IF(INDEX(Pengaturan!$B$8:$B$27,K$4)="",0,COUNTIF(Data!$B683:$U683,INDEX(Pengaturan!$B$8:$B$27,K$4)))</f>
        <v>0</v>
      </c>
      <c r="L683" s="26" t="n">
        <f aca="false">IF(INDEX(Pengaturan!$B$8:$B$27,L$4)="",0,COUNTIF(Data!$B683:$U683,INDEX(Pengaturan!$B$8:$B$27,L$4)))</f>
        <v>0</v>
      </c>
      <c r="M683" s="26" t="n">
        <f aca="false">IF(INDEX(Pengaturan!$B$8:$B$27,M$4)="",0,COUNTIF(Data!$B683:$U683,INDEX(Pengaturan!$B$8:$B$27,M$4)))</f>
        <v>0</v>
      </c>
      <c r="N683" s="26" t="n">
        <f aca="false">IF(INDEX(Pengaturan!$B$8:$B$27,N$4)="",0,COUNTIF(Data!$B683:$U683,INDEX(Pengaturan!$B$8:$B$27,N$4)))</f>
        <v>0</v>
      </c>
      <c r="O683" s="26" t="n">
        <f aca="false">IF(INDEX(Pengaturan!$B$8:$B$27,O$4)="",0,COUNTIF(Data!$B683:$U683,INDEX(Pengaturan!$B$8:$B$27,O$4)))</f>
        <v>0</v>
      </c>
      <c r="P683" s="26" t="n">
        <f aca="false">IF(INDEX(Pengaturan!$B$8:$B$27,P$4)="",0,COUNTIF(Data!$B683:$U683,INDEX(Pengaturan!$B$8:$B$27,P$4)))</f>
        <v>0</v>
      </c>
      <c r="Q683" s="26" t="n">
        <f aca="false">IF(INDEX(Pengaturan!$B$8:$B$27,Q$4)="",0,COUNTIF(Data!$B683:$U683,INDEX(Pengaturan!$B$8:$B$27,Q$4)))</f>
        <v>0</v>
      </c>
      <c r="R683" s="26" t="n">
        <f aca="false">IF(INDEX(Pengaturan!$B$8:$B$27,R$4)="",0,COUNTIF(Data!$B683:$U683,INDEX(Pengaturan!$B$8:$B$27,R$4)))</f>
        <v>0</v>
      </c>
      <c r="S683" s="26" t="n">
        <f aca="false">IF(INDEX(Pengaturan!$B$8:$B$27,S$4)="",0,COUNTIF(Data!$B683:$U683,INDEX(Pengaturan!$B$8:$B$27,S$4)))</f>
        <v>0</v>
      </c>
      <c r="T683" s="26" t="n">
        <f aca="false">IF(INDEX(Pengaturan!$B$8:$B$27,T$4)="",0,COUNTIF(Data!$B683:$U683,INDEX(Pengaturan!$B$8:$B$27,T$4)))</f>
        <v>0</v>
      </c>
      <c r="U683" s="26" t="n">
        <f aca="false">IF(INDEX(Pengaturan!$B$8:$B$27,U$4)="",0,COUNTIF(Data!$B683:$U683,INDEX(Pengaturan!$B$8:$B$27,U$4)))</f>
        <v>0</v>
      </c>
      <c r="V683" s="26" t="n">
        <f aca="false">COUNTA(Data!$B683:$U683)</f>
        <v>0</v>
      </c>
      <c r="W683" s="27" t="str">
        <f aca="false">IF(V683=0,"",IF(V683&lt;&gt;Hasil!$C$4,"Data kosong/tidak lengkap",IF(SUM(B683:U683)&lt;&gt;V683,"Kategori tidak dikenal","OK")))</f>
        <v/>
      </c>
      <c r="X683" s="26" t="n">
        <f aca="false">IF(OR(W683="",W683="OK"),0,1)</f>
        <v>0</v>
      </c>
    </row>
    <row r="684" customFormat="false" ht="15" hidden="false" customHeight="false" outlineLevel="0" collapsed="false">
      <c r="A684" s="26" t="n">
        <f aca="false">Data!A684</f>
        <v>679</v>
      </c>
      <c r="B684" s="26" t="n">
        <f aca="false">IF(INDEX(Pengaturan!$B$8:$B$27,B$4)="",0,COUNTIF(Data!$B684:$U684,INDEX(Pengaturan!$B$8:$B$27,B$4)))</f>
        <v>0</v>
      </c>
      <c r="C684" s="26" t="n">
        <f aca="false">IF(INDEX(Pengaturan!$B$8:$B$27,C$4)="",0,COUNTIF(Data!$B684:$U684,INDEX(Pengaturan!$B$8:$B$27,C$4)))</f>
        <v>0</v>
      </c>
      <c r="D684" s="26" t="n">
        <f aca="false">IF(INDEX(Pengaturan!$B$8:$B$27,D$4)="",0,COUNTIF(Data!$B684:$U684,INDEX(Pengaturan!$B$8:$B$27,D$4)))</f>
        <v>0</v>
      </c>
      <c r="E684" s="26" t="n">
        <f aca="false">IF(INDEX(Pengaturan!$B$8:$B$27,E$4)="",0,COUNTIF(Data!$B684:$U684,INDEX(Pengaturan!$B$8:$B$27,E$4)))</f>
        <v>0</v>
      </c>
      <c r="F684" s="26" t="n">
        <f aca="false">IF(INDEX(Pengaturan!$B$8:$B$27,F$4)="",0,COUNTIF(Data!$B684:$U684,INDEX(Pengaturan!$B$8:$B$27,F$4)))</f>
        <v>0</v>
      </c>
      <c r="G684" s="26" t="n">
        <f aca="false">IF(INDEX(Pengaturan!$B$8:$B$27,G$4)="",0,COUNTIF(Data!$B684:$U684,INDEX(Pengaturan!$B$8:$B$27,G$4)))</f>
        <v>0</v>
      </c>
      <c r="H684" s="26" t="n">
        <f aca="false">IF(INDEX(Pengaturan!$B$8:$B$27,H$4)="",0,COUNTIF(Data!$B684:$U684,INDEX(Pengaturan!$B$8:$B$27,H$4)))</f>
        <v>0</v>
      </c>
      <c r="I684" s="26" t="n">
        <f aca="false">IF(INDEX(Pengaturan!$B$8:$B$27,I$4)="",0,COUNTIF(Data!$B684:$U684,INDEX(Pengaturan!$B$8:$B$27,I$4)))</f>
        <v>0</v>
      </c>
      <c r="J684" s="26" t="n">
        <f aca="false">IF(INDEX(Pengaturan!$B$8:$B$27,J$4)="",0,COUNTIF(Data!$B684:$U684,INDEX(Pengaturan!$B$8:$B$27,J$4)))</f>
        <v>0</v>
      </c>
      <c r="K684" s="26" t="n">
        <f aca="false">IF(INDEX(Pengaturan!$B$8:$B$27,K$4)="",0,COUNTIF(Data!$B684:$U684,INDEX(Pengaturan!$B$8:$B$27,K$4)))</f>
        <v>0</v>
      </c>
      <c r="L684" s="26" t="n">
        <f aca="false">IF(INDEX(Pengaturan!$B$8:$B$27,L$4)="",0,COUNTIF(Data!$B684:$U684,INDEX(Pengaturan!$B$8:$B$27,L$4)))</f>
        <v>0</v>
      </c>
      <c r="M684" s="26" t="n">
        <f aca="false">IF(INDEX(Pengaturan!$B$8:$B$27,M$4)="",0,COUNTIF(Data!$B684:$U684,INDEX(Pengaturan!$B$8:$B$27,M$4)))</f>
        <v>0</v>
      </c>
      <c r="N684" s="26" t="n">
        <f aca="false">IF(INDEX(Pengaturan!$B$8:$B$27,N$4)="",0,COUNTIF(Data!$B684:$U684,INDEX(Pengaturan!$B$8:$B$27,N$4)))</f>
        <v>0</v>
      </c>
      <c r="O684" s="26" t="n">
        <f aca="false">IF(INDEX(Pengaturan!$B$8:$B$27,O$4)="",0,COUNTIF(Data!$B684:$U684,INDEX(Pengaturan!$B$8:$B$27,O$4)))</f>
        <v>0</v>
      </c>
      <c r="P684" s="26" t="n">
        <f aca="false">IF(INDEX(Pengaturan!$B$8:$B$27,P$4)="",0,COUNTIF(Data!$B684:$U684,INDEX(Pengaturan!$B$8:$B$27,P$4)))</f>
        <v>0</v>
      </c>
      <c r="Q684" s="26" t="n">
        <f aca="false">IF(INDEX(Pengaturan!$B$8:$B$27,Q$4)="",0,COUNTIF(Data!$B684:$U684,INDEX(Pengaturan!$B$8:$B$27,Q$4)))</f>
        <v>0</v>
      </c>
      <c r="R684" s="26" t="n">
        <f aca="false">IF(INDEX(Pengaturan!$B$8:$B$27,R$4)="",0,COUNTIF(Data!$B684:$U684,INDEX(Pengaturan!$B$8:$B$27,R$4)))</f>
        <v>0</v>
      </c>
      <c r="S684" s="26" t="n">
        <f aca="false">IF(INDEX(Pengaturan!$B$8:$B$27,S$4)="",0,COUNTIF(Data!$B684:$U684,INDEX(Pengaturan!$B$8:$B$27,S$4)))</f>
        <v>0</v>
      </c>
      <c r="T684" s="26" t="n">
        <f aca="false">IF(INDEX(Pengaturan!$B$8:$B$27,T$4)="",0,COUNTIF(Data!$B684:$U684,INDEX(Pengaturan!$B$8:$B$27,T$4)))</f>
        <v>0</v>
      </c>
      <c r="U684" s="26" t="n">
        <f aca="false">IF(INDEX(Pengaturan!$B$8:$B$27,U$4)="",0,COUNTIF(Data!$B684:$U684,INDEX(Pengaturan!$B$8:$B$27,U$4)))</f>
        <v>0</v>
      </c>
      <c r="V684" s="26" t="n">
        <f aca="false">COUNTA(Data!$B684:$U684)</f>
        <v>0</v>
      </c>
      <c r="W684" s="27" t="str">
        <f aca="false">IF(V684=0,"",IF(V684&lt;&gt;Hasil!$C$4,"Data kosong/tidak lengkap",IF(SUM(B684:U684)&lt;&gt;V684,"Kategori tidak dikenal","OK")))</f>
        <v/>
      </c>
      <c r="X684" s="26" t="n">
        <f aca="false">IF(OR(W684="",W684="OK"),0,1)</f>
        <v>0</v>
      </c>
    </row>
    <row r="685" customFormat="false" ht="15" hidden="false" customHeight="false" outlineLevel="0" collapsed="false">
      <c r="A685" s="26" t="n">
        <f aca="false">Data!A685</f>
        <v>680</v>
      </c>
      <c r="B685" s="26" t="n">
        <f aca="false">IF(INDEX(Pengaturan!$B$8:$B$27,B$4)="",0,COUNTIF(Data!$B685:$U685,INDEX(Pengaturan!$B$8:$B$27,B$4)))</f>
        <v>0</v>
      </c>
      <c r="C685" s="26" t="n">
        <f aca="false">IF(INDEX(Pengaturan!$B$8:$B$27,C$4)="",0,COUNTIF(Data!$B685:$U685,INDEX(Pengaturan!$B$8:$B$27,C$4)))</f>
        <v>0</v>
      </c>
      <c r="D685" s="26" t="n">
        <f aca="false">IF(INDEX(Pengaturan!$B$8:$B$27,D$4)="",0,COUNTIF(Data!$B685:$U685,INDEX(Pengaturan!$B$8:$B$27,D$4)))</f>
        <v>0</v>
      </c>
      <c r="E685" s="26" t="n">
        <f aca="false">IF(INDEX(Pengaturan!$B$8:$B$27,E$4)="",0,COUNTIF(Data!$B685:$U685,INDEX(Pengaturan!$B$8:$B$27,E$4)))</f>
        <v>0</v>
      </c>
      <c r="F685" s="26" t="n">
        <f aca="false">IF(INDEX(Pengaturan!$B$8:$B$27,F$4)="",0,COUNTIF(Data!$B685:$U685,INDEX(Pengaturan!$B$8:$B$27,F$4)))</f>
        <v>0</v>
      </c>
      <c r="G685" s="26" t="n">
        <f aca="false">IF(INDEX(Pengaturan!$B$8:$B$27,G$4)="",0,COUNTIF(Data!$B685:$U685,INDEX(Pengaturan!$B$8:$B$27,G$4)))</f>
        <v>0</v>
      </c>
      <c r="H685" s="26" t="n">
        <f aca="false">IF(INDEX(Pengaturan!$B$8:$B$27,H$4)="",0,COUNTIF(Data!$B685:$U685,INDEX(Pengaturan!$B$8:$B$27,H$4)))</f>
        <v>0</v>
      </c>
      <c r="I685" s="26" t="n">
        <f aca="false">IF(INDEX(Pengaturan!$B$8:$B$27,I$4)="",0,COUNTIF(Data!$B685:$U685,INDEX(Pengaturan!$B$8:$B$27,I$4)))</f>
        <v>0</v>
      </c>
      <c r="J685" s="26" t="n">
        <f aca="false">IF(INDEX(Pengaturan!$B$8:$B$27,J$4)="",0,COUNTIF(Data!$B685:$U685,INDEX(Pengaturan!$B$8:$B$27,J$4)))</f>
        <v>0</v>
      </c>
      <c r="K685" s="26" t="n">
        <f aca="false">IF(INDEX(Pengaturan!$B$8:$B$27,K$4)="",0,COUNTIF(Data!$B685:$U685,INDEX(Pengaturan!$B$8:$B$27,K$4)))</f>
        <v>0</v>
      </c>
      <c r="L685" s="26" t="n">
        <f aca="false">IF(INDEX(Pengaturan!$B$8:$B$27,L$4)="",0,COUNTIF(Data!$B685:$U685,INDEX(Pengaturan!$B$8:$B$27,L$4)))</f>
        <v>0</v>
      </c>
      <c r="M685" s="26" t="n">
        <f aca="false">IF(INDEX(Pengaturan!$B$8:$B$27,M$4)="",0,COUNTIF(Data!$B685:$U685,INDEX(Pengaturan!$B$8:$B$27,M$4)))</f>
        <v>0</v>
      </c>
      <c r="N685" s="26" t="n">
        <f aca="false">IF(INDEX(Pengaturan!$B$8:$B$27,N$4)="",0,COUNTIF(Data!$B685:$U685,INDEX(Pengaturan!$B$8:$B$27,N$4)))</f>
        <v>0</v>
      </c>
      <c r="O685" s="26" t="n">
        <f aca="false">IF(INDEX(Pengaturan!$B$8:$B$27,O$4)="",0,COUNTIF(Data!$B685:$U685,INDEX(Pengaturan!$B$8:$B$27,O$4)))</f>
        <v>0</v>
      </c>
      <c r="P685" s="26" t="n">
        <f aca="false">IF(INDEX(Pengaturan!$B$8:$B$27,P$4)="",0,COUNTIF(Data!$B685:$U685,INDEX(Pengaturan!$B$8:$B$27,P$4)))</f>
        <v>0</v>
      </c>
      <c r="Q685" s="26" t="n">
        <f aca="false">IF(INDEX(Pengaturan!$B$8:$B$27,Q$4)="",0,COUNTIF(Data!$B685:$U685,INDEX(Pengaturan!$B$8:$B$27,Q$4)))</f>
        <v>0</v>
      </c>
      <c r="R685" s="26" t="n">
        <f aca="false">IF(INDEX(Pengaturan!$B$8:$B$27,R$4)="",0,COUNTIF(Data!$B685:$U685,INDEX(Pengaturan!$B$8:$B$27,R$4)))</f>
        <v>0</v>
      </c>
      <c r="S685" s="26" t="n">
        <f aca="false">IF(INDEX(Pengaturan!$B$8:$B$27,S$4)="",0,COUNTIF(Data!$B685:$U685,INDEX(Pengaturan!$B$8:$B$27,S$4)))</f>
        <v>0</v>
      </c>
      <c r="T685" s="26" t="n">
        <f aca="false">IF(INDEX(Pengaturan!$B$8:$B$27,T$4)="",0,COUNTIF(Data!$B685:$U685,INDEX(Pengaturan!$B$8:$B$27,T$4)))</f>
        <v>0</v>
      </c>
      <c r="U685" s="26" t="n">
        <f aca="false">IF(INDEX(Pengaturan!$B$8:$B$27,U$4)="",0,COUNTIF(Data!$B685:$U685,INDEX(Pengaturan!$B$8:$B$27,U$4)))</f>
        <v>0</v>
      </c>
      <c r="V685" s="26" t="n">
        <f aca="false">COUNTA(Data!$B685:$U685)</f>
        <v>0</v>
      </c>
      <c r="W685" s="27" t="str">
        <f aca="false">IF(V685=0,"",IF(V685&lt;&gt;Hasil!$C$4,"Data kosong/tidak lengkap",IF(SUM(B685:U685)&lt;&gt;V685,"Kategori tidak dikenal","OK")))</f>
        <v/>
      </c>
      <c r="X685" s="26" t="n">
        <f aca="false">IF(OR(W685="",W685="OK"),0,1)</f>
        <v>0</v>
      </c>
    </row>
    <row r="686" customFormat="false" ht="15" hidden="false" customHeight="false" outlineLevel="0" collapsed="false">
      <c r="A686" s="26" t="n">
        <f aca="false">Data!A686</f>
        <v>681</v>
      </c>
      <c r="B686" s="26" t="n">
        <f aca="false">IF(INDEX(Pengaturan!$B$8:$B$27,B$4)="",0,COUNTIF(Data!$B686:$U686,INDEX(Pengaturan!$B$8:$B$27,B$4)))</f>
        <v>0</v>
      </c>
      <c r="C686" s="26" t="n">
        <f aca="false">IF(INDEX(Pengaturan!$B$8:$B$27,C$4)="",0,COUNTIF(Data!$B686:$U686,INDEX(Pengaturan!$B$8:$B$27,C$4)))</f>
        <v>0</v>
      </c>
      <c r="D686" s="26" t="n">
        <f aca="false">IF(INDEX(Pengaturan!$B$8:$B$27,D$4)="",0,COUNTIF(Data!$B686:$U686,INDEX(Pengaturan!$B$8:$B$27,D$4)))</f>
        <v>0</v>
      </c>
      <c r="E686" s="26" t="n">
        <f aca="false">IF(INDEX(Pengaturan!$B$8:$B$27,E$4)="",0,COUNTIF(Data!$B686:$U686,INDEX(Pengaturan!$B$8:$B$27,E$4)))</f>
        <v>0</v>
      </c>
      <c r="F686" s="26" t="n">
        <f aca="false">IF(INDEX(Pengaturan!$B$8:$B$27,F$4)="",0,COUNTIF(Data!$B686:$U686,INDEX(Pengaturan!$B$8:$B$27,F$4)))</f>
        <v>0</v>
      </c>
      <c r="G686" s="26" t="n">
        <f aca="false">IF(INDEX(Pengaturan!$B$8:$B$27,G$4)="",0,COUNTIF(Data!$B686:$U686,INDEX(Pengaturan!$B$8:$B$27,G$4)))</f>
        <v>0</v>
      </c>
      <c r="H686" s="26" t="n">
        <f aca="false">IF(INDEX(Pengaturan!$B$8:$B$27,H$4)="",0,COUNTIF(Data!$B686:$U686,INDEX(Pengaturan!$B$8:$B$27,H$4)))</f>
        <v>0</v>
      </c>
      <c r="I686" s="26" t="n">
        <f aca="false">IF(INDEX(Pengaturan!$B$8:$B$27,I$4)="",0,COUNTIF(Data!$B686:$U686,INDEX(Pengaturan!$B$8:$B$27,I$4)))</f>
        <v>0</v>
      </c>
      <c r="J686" s="26" t="n">
        <f aca="false">IF(INDEX(Pengaturan!$B$8:$B$27,J$4)="",0,COUNTIF(Data!$B686:$U686,INDEX(Pengaturan!$B$8:$B$27,J$4)))</f>
        <v>0</v>
      </c>
      <c r="K686" s="26" t="n">
        <f aca="false">IF(INDEX(Pengaturan!$B$8:$B$27,K$4)="",0,COUNTIF(Data!$B686:$U686,INDEX(Pengaturan!$B$8:$B$27,K$4)))</f>
        <v>0</v>
      </c>
      <c r="L686" s="26" t="n">
        <f aca="false">IF(INDEX(Pengaturan!$B$8:$B$27,L$4)="",0,COUNTIF(Data!$B686:$U686,INDEX(Pengaturan!$B$8:$B$27,L$4)))</f>
        <v>0</v>
      </c>
      <c r="M686" s="26" t="n">
        <f aca="false">IF(INDEX(Pengaturan!$B$8:$B$27,M$4)="",0,COUNTIF(Data!$B686:$U686,INDEX(Pengaturan!$B$8:$B$27,M$4)))</f>
        <v>0</v>
      </c>
      <c r="N686" s="26" t="n">
        <f aca="false">IF(INDEX(Pengaturan!$B$8:$B$27,N$4)="",0,COUNTIF(Data!$B686:$U686,INDEX(Pengaturan!$B$8:$B$27,N$4)))</f>
        <v>0</v>
      </c>
      <c r="O686" s="26" t="n">
        <f aca="false">IF(INDEX(Pengaturan!$B$8:$B$27,O$4)="",0,COUNTIF(Data!$B686:$U686,INDEX(Pengaturan!$B$8:$B$27,O$4)))</f>
        <v>0</v>
      </c>
      <c r="P686" s="26" t="n">
        <f aca="false">IF(INDEX(Pengaturan!$B$8:$B$27,P$4)="",0,COUNTIF(Data!$B686:$U686,INDEX(Pengaturan!$B$8:$B$27,P$4)))</f>
        <v>0</v>
      </c>
      <c r="Q686" s="26" t="n">
        <f aca="false">IF(INDEX(Pengaturan!$B$8:$B$27,Q$4)="",0,COUNTIF(Data!$B686:$U686,INDEX(Pengaturan!$B$8:$B$27,Q$4)))</f>
        <v>0</v>
      </c>
      <c r="R686" s="26" t="n">
        <f aca="false">IF(INDEX(Pengaturan!$B$8:$B$27,R$4)="",0,COUNTIF(Data!$B686:$U686,INDEX(Pengaturan!$B$8:$B$27,R$4)))</f>
        <v>0</v>
      </c>
      <c r="S686" s="26" t="n">
        <f aca="false">IF(INDEX(Pengaturan!$B$8:$B$27,S$4)="",0,COUNTIF(Data!$B686:$U686,INDEX(Pengaturan!$B$8:$B$27,S$4)))</f>
        <v>0</v>
      </c>
      <c r="T686" s="26" t="n">
        <f aca="false">IF(INDEX(Pengaturan!$B$8:$B$27,T$4)="",0,COUNTIF(Data!$B686:$U686,INDEX(Pengaturan!$B$8:$B$27,T$4)))</f>
        <v>0</v>
      </c>
      <c r="U686" s="26" t="n">
        <f aca="false">IF(INDEX(Pengaturan!$B$8:$B$27,U$4)="",0,COUNTIF(Data!$B686:$U686,INDEX(Pengaturan!$B$8:$B$27,U$4)))</f>
        <v>0</v>
      </c>
      <c r="V686" s="26" t="n">
        <f aca="false">COUNTA(Data!$B686:$U686)</f>
        <v>0</v>
      </c>
      <c r="W686" s="27" t="str">
        <f aca="false">IF(V686=0,"",IF(V686&lt;&gt;Hasil!$C$4,"Data kosong/tidak lengkap",IF(SUM(B686:U686)&lt;&gt;V686,"Kategori tidak dikenal","OK")))</f>
        <v/>
      </c>
      <c r="X686" s="26" t="n">
        <f aca="false">IF(OR(W686="",W686="OK"),0,1)</f>
        <v>0</v>
      </c>
    </row>
    <row r="687" customFormat="false" ht="15" hidden="false" customHeight="false" outlineLevel="0" collapsed="false">
      <c r="A687" s="26" t="n">
        <f aca="false">Data!A687</f>
        <v>682</v>
      </c>
      <c r="B687" s="26" t="n">
        <f aca="false">IF(INDEX(Pengaturan!$B$8:$B$27,B$4)="",0,COUNTIF(Data!$B687:$U687,INDEX(Pengaturan!$B$8:$B$27,B$4)))</f>
        <v>0</v>
      </c>
      <c r="C687" s="26" t="n">
        <f aca="false">IF(INDEX(Pengaturan!$B$8:$B$27,C$4)="",0,COUNTIF(Data!$B687:$U687,INDEX(Pengaturan!$B$8:$B$27,C$4)))</f>
        <v>0</v>
      </c>
      <c r="D687" s="26" t="n">
        <f aca="false">IF(INDEX(Pengaturan!$B$8:$B$27,D$4)="",0,COUNTIF(Data!$B687:$U687,INDEX(Pengaturan!$B$8:$B$27,D$4)))</f>
        <v>0</v>
      </c>
      <c r="E687" s="26" t="n">
        <f aca="false">IF(INDEX(Pengaturan!$B$8:$B$27,E$4)="",0,COUNTIF(Data!$B687:$U687,INDEX(Pengaturan!$B$8:$B$27,E$4)))</f>
        <v>0</v>
      </c>
      <c r="F687" s="26" t="n">
        <f aca="false">IF(INDEX(Pengaturan!$B$8:$B$27,F$4)="",0,COUNTIF(Data!$B687:$U687,INDEX(Pengaturan!$B$8:$B$27,F$4)))</f>
        <v>0</v>
      </c>
      <c r="G687" s="26" t="n">
        <f aca="false">IF(INDEX(Pengaturan!$B$8:$B$27,G$4)="",0,COUNTIF(Data!$B687:$U687,INDEX(Pengaturan!$B$8:$B$27,G$4)))</f>
        <v>0</v>
      </c>
      <c r="H687" s="26" t="n">
        <f aca="false">IF(INDEX(Pengaturan!$B$8:$B$27,H$4)="",0,COUNTIF(Data!$B687:$U687,INDEX(Pengaturan!$B$8:$B$27,H$4)))</f>
        <v>0</v>
      </c>
      <c r="I687" s="26" t="n">
        <f aca="false">IF(INDEX(Pengaturan!$B$8:$B$27,I$4)="",0,COUNTIF(Data!$B687:$U687,INDEX(Pengaturan!$B$8:$B$27,I$4)))</f>
        <v>0</v>
      </c>
      <c r="J687" s="26" t="n">
        <f aca="false">IF(INDEX(Pengaturan!$B$8:$B$27,J$4)="",0,COUNTIF(Data!$B687:$U687,INDEX(Pengaturan!$B$8:$B$27,J$4)))</f>
        <v>0</v>
      </c>
      <c r="K687" s="26" t="n">
        <f aca="false">IF(INDEX(Pengaturan!$B$8:$B$27,K$4)="",0,COUNTIF(Data!$B687:$U687,INDEX(Pengaturan!$B$8:$B$27,K$4)))</f>
        <v>0</v>
      </c>
      <c r="L687" s="26" t="n">
        <f aca="false">IF(INDEX(Pengaturan!$B$8:$B$27,L$4)="",0,COUNTIF(Data!$B687:$U687,INDEX(Pengaturan!$B$8:$B$27,L$4)))</f>
        <v>0</v>
      </c>
      <c r="M687" s="26" t="n">
        <f aca="false">IF(INDEX(Pengaturan!$B$8:$B$27,M$4)="",0,COUNTIF(Data!$B687:$U687,INDEX(Pengaturan!$B$8:$B$27,M$4)))</f>
        <v>0</v>
      </c>
      <c r="N687" s="26" t="n">
        <f aca="false">IF(INDEX(Pengaturan!$B$8:$B$27,N$4)="",0,COUNTIF(Data!$B687:$U687,INDEX(Pengaturan!$B$8:$B$27,N$4)))</f>
        <v>0</v>
      </c>
      <c r="O687" s="26" t="n">
        <f aca="false">IF(INDEX(Pengaturan!$B$8:$B$27,O$4)="",0,COUNTIF(Data!$B687:$U687,INDEX(Pengaturan!$B$8:$B$27,O$4)))</f>
        <v>0</v>
      </c>
      <c r="P687" s="26" t="n">
        <f aca="false">IF(INDEX(Pengaturan!$B$8:$B$27,P$4)="",0,COUNTIF(Data!$B687:$U687,INDEX(Pengaturan!$B$8:$B$27,P$4)))</f>
        <v>0</v>
      </c>
      <c r="Q687" s="26" t="n">
        <f aca="false">IF(INDEX(Pengaturan!$B$8:$B$27,Q$4)="",0,COUNTIF(Data!$B687:$U687,INDEX(Pengaturan!$B$8:$B$27,Q$4)))</f>
        <v>0</v>
      </c>
      <c r="R687" s="26" t="n">
        <f aca="false">IF(INDEX(Pengaturan!$B$8:$B$27,R$4)="",0,COUNTIF(Data!$B687:$U687,INDEX(Pengaturan!$B$8:$B$27,R$4)))</f>
        <v>0</v>
      </c>
      <c r="S687" s="26" t="n">
        <f aca="false">IF(INDEX(Pengaturan!$B$8:$B$27,S$4)="",0,COUNTIF(Data!$B687:$U687,INDEX(Pengaturan!$B$8:$B$27,S$4)))</f>
        <v>0</v>
      </c>
      <c r="T687" s="26" t="n">
        <f aca="false">IF(INDEX(Pengaturan!$B$8:$B$27,T$4)="",0,COUNTIF(Data!$B687:$U687,INDEX(Pengaturan!$B$8:$B$27,T$4)))</f>
        <v>0</v>
      </c>
      <c r="U687" s="26" t="n">
        <f aca="false">IF(INDEX(Pengaturan!$B$8:$B$27,U$4)="",0,COUNTIF(Data!$B687:$U687,INDEX(Pengaturan!$B$8:$B$27,U$4)))</f>
        <v>0</v>
      </c>
      <c r="V687" s="26" t="n">
        <f aca="false">COUNTA(Data!$B687:$U687)</f>
        <v>0</v>
      </c>
      <c r="W687" s="27" t="str">
        <f aca="false">IF(V687=0,"",IF(V687&lt;&gt;Hasil!$C$4,"Data kosong/tidak lengkap",IF(SUM(B687:U687)&lt;&gt;V687,"Kategori tidak dikenal","OK")))</f>
        <v/>
      </c>
      <c r="X687" s="26" t="n">
        <f aca="false">IF(OR(W687="",W687="OK"),0,1)</f>
        <v>0</v>
      </c>
    </row>
    <row r="688" customFormat="false" ht="15" hidden="false" customHeight="false" outlineLevel="0" collapsed="false">
      <c r="A688" s="26" t="n">
        <f aca="false">Data!A688</f>
        <v>683</v>
      </c>
      <c r="B688" s="26" t="n">
        <f aca="false">IF(INDEX(Pengaturan!$B$8:$B$27,B$4)="",0,COUNTIF(Data!$B688:$U688,INDEX(Pengaturan!$B$8:$B$27,B$4)))</f>
        <v>0</v>
      </c>
      <c r="C688" s="26" t="n">
        <f aca="false">IF(INDEX(Pengaturan!$B$8:$B$27,C$4)="",0,COUNTIF(Data!$B688:$U688,INDEX(Pengaturan!$B$8:$B$27,C$4)))</f>
        <v>0</v>
      </c>
      <c r="D688" s="26" t="n">
        <f aca="false">IF(INDEX(Pengaturan!$B$8:$B$27,D$4)="",0,COUNTIF(Data!$B688:$U688,INDEX(Pengaturan!$B$8:$B$27,D$4)))</f>
        <v>0</v>
      </c>
      <c r="E688" s="26" t="n">
        <f aca="false">IF(INDEX(Pengaturan!$B$8:$B$27,E$4)="",0,COUNTIF(Data!$B688:$U688,INDEX(Pengaturan!$B$8:$B$27,E$4)))</f>
        <v>0</v>
      </c>
      <c r="F688" s="26" t="n">
        <f aca="false">IF(INDEX(Pengaturan!$B$8:$B$27,F$4)="",0,COUNTIF(Data!$B688:$U688,INDEX(Pengaturan!$B$8:$B$27,F$4)))</f>
        <v>0</v>
      </c>
      <c r="G688" s="26" t="n">
        <f aca="false">IF(INDEX(Pengaturan!$B$8:$B$27,G$4)="",0,COUNTIF(Data!$B688:$U688,INDEX(Pengaturan!$B$8:$B$27,G$4)))</f>
        <v>0</v>
      </c>
      <c r="H688" s="26" t="n">
        <f aca="false">IF(INDEX(Pengaturan!$B$8:$B$27,H$4)="",0,COUNTIF(Data!$B688:$U688,INDEX(Pengaturan!$B$8:$B$27,H$4)))</f>
        <v>0</v>
      </c>
      <c r="I688" s="26" t="n">
        <f aca="false">IF(INDEX(Pengaturan!$B$8:$B$27,I$4)="",0,COUNTIF(Data!$B688:$U688,INDEX(Pengaturan!$B$8:$B$27,I$4)))</f>
        <v>0</v>
      </c>
      <c r="J688" s="26" t="n">
        <f aca="false">IF(INDEX(Pengaturan!$B$8:$B$27,J$4)="",0,COUNTIF(Data!$B688:$U688,INDEX(Pengaturan!$B$8:$B$27,J$4)))</f>
        <v>0</v>
      </c>
      <c r="K688" s="26" t="n">
        <f aca="false">IF(INDEX(Pengaturan!$B$8:$B$27,K$4)="",0,COUNTIF(Data!$B688:$U688,INDEX(Pengaturan!$B$8:$B$27,K$4)))</f>
        <v>0</v>
      </c>
      <c r="L688" s="26" t="n">
        <f aca="false">IF(INDEX(Pengaturan!$B$8:$B$27,L$4)="",0,COUNTIF(Data!$B688:$U688,INDEX(Pengaturan!$B$8:$B$27,L$4)))</f>
        <v>0</v>
      </c>
      <c r="M688" s="26" t="n">
        <f aca="false">IF(INDEX(Pengaturan!$B$8:$B$27,M$4)="",0,COUNTIF(Data!$B688:$U688,INDEX(Pengaturan!$B$8:$B$27,M$4)))</f>
        <v>0</v>
      </c>
      <c r="N688" s="26" t="n">
        <f aca="false">IF(INDEX(Pengaturan!$B$8:$B$27,N$4)="",0,COUNTIF(Data!$B688:$U688,INDEX(Pengaturan!$B$8:$B$27,N$4)))</f>
        <v>0</v>
      </c>
      <c r="O688" s="26" t="n">
        <f aca="false">IF(INDEX(Pengaturan!$B$8:$B$27,O$4)="",0,COUNTIF(Data!$B688:$U688,INDEX(Pengaturan!$B$8:$B$27,O$4)))</f>
        <v>0</v>
      </c>
      <c r="P688" s="26" t="n">
        <f aca="false">IF(INDEX(Pengaturan!$B$8:$B$27,P$4)="",0,COUNTIF(Data!$B688:$U688,INDEX(Pengaturan!$B$8:$B$27,P$4)))</f>
        <v>0</v>
      </c>
      <c r="Q688" s="26" t="n">
        <f aca="false">IF(INDEX(Pengaturan!$B$8:$B$27,Q$4)="",0,COUNTIF(Data!$B688:$U688,INDEX(Pengaturan!$B$8:$B$27,Q$4)))</f>
        <v>0</v>
      </c>
      <c r="R688" s="26" t="n">
        <f aca="false">IF(INDEX(Pengaturan!$B$8:$B$27,R$4)="",0,COUNTIF(Data!$B688:$U688,INDEX(Pengaturan!$B$8:$B$27,R$4)))</f>
        <v>0</v>
      </c>
      <c r="S688" s="26" t="n">
        <f aca="false">IF(INDEX(Pengaturan!$B$8:$B$27,S$4)="",0,COUNTIF(Data!$B688:$U688,INDEX(Pengaturan!$B$8:$B$27,S$4)))</f>
        <v>0</v>
      </c>
      <c r="T688" s="26" t="n">
        <f aca="false">IF(INDEX(Pengaturan!$B$8:$B$27,T$4)="",0,COUNTIF(Data!$B688:$U688,INDEX(Pengaturan!$B$8:$B$27,T$4)))</f>
        <v>0</v>
      </c>
      <c r="U688" s="26" t="n">
        <f aca="false">IF(INDEX(Pengaturan!$B$8:$B$27,U$4)="",0,COUNTIF(Data!$B688:$U688,INDEX(Pengaturan!$B$8:$B$27,U$4)))</f>
        <v>0</v>
      </c>
      <c r="V688" s="26" t="n">
        <f aca="false">COUNTA(Data!$B688:$U688)</f>
        <v>0</v>
      </c>
      <c r="W688" s="27" t="str">
        <f aca="false">IF(V688=0,"",IF(V688&lt;&gt;Hasil!$C$4,"Data kosong/tidak lengkap",IF(SUM(B688:U688)&lt;&gt;V688,"Kategori tidak dikenal","OK")))</f>
        <v/>
      </c>
      <c r="X688" s="26" t="n">
        <f aca="false">IF(OR(W688="",W688="OK"),0,1)</f>
        <v>0</v>
      </c>
    </row>
    <row r="689" customFormat="false" ht="15" hidden="false" customHeight="false" outlineLevel="0" collapsed="false">
      <c r="A689" s="26" t="n">
        <f aca="false">Data!A689</f>
        <v>684</v>
      </c>
      <c r="B689" s="26" t="n">
        <f aca="false">IF(INDEX(Pengaturan!$B$8:$B$27,B$4)="",0,COUNTIF(Data!$B689:$U689,INDEX(Pengaturan!$B$8:$B$27,B$4)))</f>
        <v>0</v>
      </c>
      <c r="C689" s="26" t="n">
        <f aca="false">IF(INDEX(Pengaturan!$B$8:$B$27,C$4)="",0,COUNTIF(Data!$B689:$U689,INDEX(Pengaturan!$B$8:$B$27,C$4)))</f>
        <v>0</v>
      </c>
      <c r="D689" s="26" t="n">
        <f aca="false">IF(INDEX(Pengaturan!$B$8:$B$27,D$4)="",0,COUNTIF(Data!$B689:$U689,INDEX(Pengaturan!$B$8:$B$27,D$4)))</f>
        <v>0</v>
      </c>
      <c r="E689" s="26" t="n">
        <f aca="false">IF(INDEX(Pengaturan!$B$8:$B$27,E$4)="",0,COUNTIF(Data!$B689:$U689,INDEX(Pengaturan!$B$8:$B$27,E$4)))</f>
        <v>0</v>
      </c>
      <c r="F689" s="26" t="n">
        <f aca="false">IF(INDEX(Pengaturan!$B$8:$B$27,F$4)="",0,COUNTIF(Data!$B689:$U689,INDEX(Pengaturan!$B$8:$B$27,F$4)))</f>
        <v>0</v>
      </c>
      <c r="G689" s="26" t="n">
        <f aca="false">IF(INDEX(Pengaturan!$B$8:$B$27,G$4)="",0,COUNTIF(Data!$B689:$U689,INDEX(Pengaturan!$B$8:$B$27,G$4)))</f>
        <v>0</v>
      </c>
      <c r="H689" s="26" t="n">
        <f aca="false">IF(INDEX(Pengaturan!$B$8:$B$27,H$4)="",0,COUNTIF(Data!$B689:$U689,INDEX(Pengaturan!$B$8:$B$27,H$4)))</f>
        <v>0</v>
      </c>
      <c r="I689" s="26" t="n">
        <f aca="false">IF(INDEX(Pengaturan!$B$8:$B$27,I$4)="",0,COUNTIF(Data!$B689:$U689,INDEX(Pengaturan!$B$8:$B$27,I$4)))</f>
        <v>0</v>
      </c>
      <c r="J689" s="26" t="n">
        <f aca="false">IF(INDEX(Pengaturan!$B$8:$B$27,J$4)="",0,COUNTIF(Data!$B689:$U689,INDEX(Pengaturan!$B$8:$B$27,J$4)))</f>
        <v>0</v>
      </c>
      <c r="K689" s="26" t="n">
        <f aca="false">IF(INDEX(Pengaturan!$B$8:$B$27,K$4)="",0,COUNTIF(Data!$B689:$U689,INDEX(Pengaturan!$B$8:$B$27,K$4)))</f>
        <v>0</v>
      </c>
      <c r="L689" s="26" t="n">
        <f aca="false">IF(INDEX(Pengaturan!$B$8:$B$27,L$4)="",0,COUNTIF(Data!$B689:$U689,INDEX(Pengaturan!$B$8:$B$27,L$4)))</f>
        <v>0</v>
      </c>
      <c r="M689" s="26" t="n">
        <f aca="false">IF(INDEX(Pengaturan!$B$8:$B$27,M$4)="",0,COUNTIF(Data!$B689:$U689,INDEX(Pengaturan!$B$8:$B$27,M$4)))</f>
        <v>0</v>
      </c>
      <c r="N689" s="26" t="n">
        <f aca="false">IF(INDEX(Pengaturan!$B$8:$B$27,N$4)="",0,COUNTIF(Data!$B689:$U689,INDEX(Pengaturan!$B$8:$B$27,N$4)))</f>
        <v>0</v>
      </c>
      <c r="O689" s="26" t="n">
        <f aca="false">IF(INDEX(Pengaturan!$B$8:$B$27,O$4)="",0,COUNTIF(Data!$B689:$U689,INDEX(Pengaturan!$B$8:$B$27,O$4)))</f>
        <v>0</v>
      </c>
      <c r="P689" s="26" t="n">
        <f aca="false">IF(INDEX(Pengaturan!$B$8:$B$27,P$4)="",0,COUNTIF(Data!$B689:$U689,INDEX(Pengaturan!$B$8:$B$27,P$4)))</f>
        <v>0</v>
      </c>
      <c r="Q689" s="26" t="n">
        <f aca="false">IF(INDEX(Pengaturan!$B$8:$B$27,Q$4)="",0,COUNTIF(Data!$B689:$U689,INDEX(Pengaturan!$B$8:$B$27,Q$4)))</f>
        <v>0</v>
      </c>
      <c r="R689" s="26" t="n">
        <f aca="false">IF(INDEX(Pengaturan!$B$8:$B$27,R$4)="",0,COUNTIF(Data!$B689:$U689,INDEX(Pengaturan!$B$8:$B$27,R$4)))</f>
        <v>0</v>
      </c>
      <c r="S689" s="26" t="n">
        <f aca="false">IF(INDEX(Pengaturan!$B$8:$B$27,S$4)="",0,COUNTIF(Data!$B689:$U689,INDEX(Pengaturan!$B$8:$B$27,S$4)))</f>
        <v>0</v>
      </c>
      <c r="T689" s="26" t="n">
        <f aca="false">IF(INDEX(Pengaturan!$B$8:$B$27,T$4)="",0,COUNTIF(Data!$B689:$U689,INDEX(Pengaturan!$B$8:$B$27,T$4)))</f>
        <v>0</v>
      </c>
      <c r="U689" s="26" t="n">
        <f aca="false">IF(INDEX(Pengaturan!$B$8:$B$27,U$4)="",0,COUNTIF(Data!$B689:$U689,INDEX(Pengaturan!$B$8:$B$27,U$4)))</f>
        <v>0</v>
      </c>
      <c r="V689" s="26" t="n">
        <f aca="false">COUNTA(Data!$B689:$U689)</f>
        <v>0</v>
      </c>
      <c r="W689" s="27" t="str">
        <f aca="false">IF(V689=0,"",IF(V689&lt;&gt;Hasil!$C$4,"Data kosong/tidak lengkap",IF(SUM(B689:U689)&lt;&gt;V689,"Kategori tidak dikenal","OK")))</f>
        <v/>
      </c>
      <c r="X689" s="26" t="n">
        <f aca="false">IF(OR(W689="",W689="OK"),0,1)</f>
        <v>0</v>
      </c>
    </row>
    <row r="690" customFormat="false" ht="15" hidden="false" customHeight="false" outlineLevel="0" collapsed="false">
      <c r="A690" s="26" t="n">
        <f aca="false">Data!A690</f>
        <v>685</v>
      </c>
      <c r="B690" s="26" t="n">
        <f aca="false">IF(INDEX(Pengaturan!$B$8:$B$27,B$4)="",0,COUNTIF(Data!$B690:$U690,INDEX(Pengaturan!$B$8:$B$27,B$4)))</f>
        <v>0</v>
      </c>
      <c r="C690" s="26" t="n">
        <f aca="false">IF(INDEX(Pengaturan!$B$8:$B$27,C$4)="",0,COUNTIF(Data!$B690:$U690,INDEX(Pengaturan!$B$8:$B$27,C$4)))</f>
        <v>0</v>
      </c>
      <c r="D690" s="26" t="n">
        <f aca="false">IF(INDEX(Pengaturan!$B$8:$B$27,D$4)="",0,COUNTIF(Data!$B690:$U690,INDEX(Pengaturan!$B$8:$B$27,D$4)))</f>
        <v>0</v>
      </c>
      <c r="E690" s="26" t="n">
        <f aca="false">IF(INDEX(Pengaturan!$B$8:$B$27,E$4)="",0,COUNTIF(Data!$B690:$U690,INDEX(Pengaturan!$B$8:$B$27,E$4)))</f>
        <v>0</v>
      </c>
      <c r="F690" s="26" t="n">
        <f aca="false">IF(INDEX(Pengaturan!$B$8:$B$27,F$4)="",0,COUNTIF(Data!$B690:$U690,INDEX(Pengaturan!$B$8:$B$27,F$4)))</f>
        <v>0</v>
      </c>
      <c r="G690" s="26" t="n">
        <f aca="false">IF(INDEX(Pengaturan!$B$8:$B$27,G$4)="",0,COUNTIF(Data!$B690:$U690,INDEX(Pengaturan!$B$8:$B$27,G$4)))</f>
        <v>0</v>
      </c>
      <c r="H690" s="26" t="n">
        <f aca="false">IF(INDEX(Pengaturan!$B$8:$B$27,H$4)="",0,COUNTIF(Data!$B690:$U690,INDEX(Pengaturan!$B$8:$B$27,H$4)))</f>
        <v>0</v>
      </c>
      <c r="I690" s="26" t="n">
        <f aca="false">IF(INDEX(Pengaturan!$B$8:$B$27,I$4)="",0,COUNTIF(Data!$B690:$U690,INDEX(Pengaturan!$B$8:$B$27,I$4)))</f>
        <v>0</v>
      </c>
      <c r="J690" s="26" t="n">
        <f aca="false">IF(INDEX(Pengaturan!$B$8:$B$27,J$4)="",0,COUNTIF(Data!$B690:$U690,INDEX(Pengaturan!$B$8:$B$27,J$4)))</f>
        <v>0</v>
      </c>
      <c r="K690" s="26" t="n">
        <f aca="false">IF(INDEX(Pengaturan!$B$8:$B$27,K$4)="",0,COUNTIF(Data!$B690:$U690,INDEX(Pengaturan!$B$8:$B$27,K$4)))</f>
        <v>0</v>
      </c>
      <c r="L690" s="26" t="n">
        <f aca="false">IF(INDEX(Pengaturan!$B$8:$B$27,L$4)="",0,COUNTIF(Data!$B690:$U690,INDEX(Pengaturan!$B$8:$B$27,L$4)))</f>
        <v>0</v>
      </c>
      <c r="M690" s="26" t="n">
        <f aca="false">IF(INDEX(Pengaturan!$B$8:$B$27,M$4)="",0,COUNTIF(Data!$B690:$U690,INDEX(Pengaturan!$B$8:$B$27,M$4)))</f>
        <v>0</v>
      </c>
      <c r="N690" s="26" t="n">
        <f aca="false">IF(INDEX(Pengaturan!$B$8:$B$27,N$4)="",0,COUNTIF(Data!$B690:$U690,INDEX(Pengaturan!$B$8:$B$27,N$4)))</f>
        <v>0</v>
      </c>
      <c r="O690" s="26" t="n">
        <f aca="false">IF(INDEX(Pengaturan!$B$8:$B$27,O$4)="",0,COUNTIF(Data!$B690:$U690,INDEX(Pengaturan!$B$8:$B$27,O$4)))</f>
        <v>0</v>
      </c>
      <c r="P690" s="26" t="n">
        <f aca="false">IF(INDEX(Pengaturan!$B$8:$B$27,P$4)="",0,COUNTIF(Data!$B690:$U690,INDEX(Pengaturan!$B$8:$B$27,P$4)))</f>
        <v>0</v>
      </c>
      <c r="Q690" s="26" t="n">
        <f aca="false">IF(INDEX(Pengaturan!$B$8:$B$27,Q$4)="",0,COUNTIF(Data!$B690:$U690,INDEX(Pengaturan!$B$8:$B$27,Q$4)))</f>
        <v>0</v>
      </c>
      <c r="R690" s="26" t="n">
        <f aca="false">IF(INDEX(Pengaturan!$B$8:$B$27,R$4)="",0,COUNTIF(Data!$B690:$U690,INDEX(Pengaturan!$B$8:$B$27,R$4)))</f>
        <v>0</v>
      </c>
      <c r="S690" s="26" t="n">
        <f aca="false">IF(INDEX(Pengaturan!$B$8:$B$27,S$4)="",0,COUNTIF(Data!$B690:$U690,INDEX(Pengaturan!$B$8:$B$27,S$4)))</f>
        <v>0</v>
      </c>
      <c r="T690" s="26" t="n">
        <f aca="false">IF(INDEX(Pengaturan!$B$8:$B$27,T$4)="",0,COUNTIF(Data!$B690:$U690,INDEX(Pengaturan!$B$8:$B$27,T$4)))</f>
        <v>0</v>
      </c>
      <c r="U690" s="26" t="n">
        <f aca="false">IF(INDEX(Pengaturan!$B$8:$B$27,U$4)="",0,COUNTIF(Data!$B690:$U690,INDEX(Pengaturan!$B$8:$B$27,U$4)))</f>
        <v>0</v>
      </c>
      <c r="V690" s="26" t="n">
        <f aca="false">COUNTA(Data!$B690:$U690)</f>
        <v>0</v>
      </c>
      <c r="W690" s="27" t="str">
        <f aca="false">IF(V690=0,"",IF(V690&lt;&gt;Hasil!$C$4,"Data kosong/tidak lengkap",IF(SUM(B690:U690)&lt;&gt;V690,"Kategori tidak dikenal","OK")))</f>
        <v/>
      </c>
      <c r="X690" s="26" t="n">
        <f aca="false">IF(OR(W690="",W690="OK"),0,1)</f>
        <v>0</v>
      </c>
    </row>
    <row r="691" customFormat="false" ht="15" hidden="false" customHeight="false" outlineLevel="0" collapsed="false">
      <c r="A691" s="26" t="n">
        <f aca="false">Data!A691</f>
        <v>686</v>
      </c>
      <c r="B691" s="26" t="n">
        <f aca="false">IF(INDEX(Pengaturan!$B$8:$B$27,B$4)="",0,COUNTIF(Data!$B691:$U691,INDEX(Pengaturan!$B$8:$B$27,B$4)))</f>
        <v>0</v>
      </c>
      <c r="C691" s="26" t="n">
        <f aca="false">IF(INDEX(Pengaturan!$B$8:$B$27,C$4)="",0,COUNTIF(Data!$B691:$U691,INDEX(Pengaturan!$B$8:$B$27,C$4)))</f>
        <v>0</v>
      </c>
      <c r="D691" s="26" t="n">
        <f aca="false">IF(INDEX(Pengaturan!$B$8:$B$27,D$4)="",0,COUNTIF(Data!$B691:$U691,INDEX(Pengaturan!$B$8:$B$27,D$4)))</f>
        <v>0</v>
      </c>
      <c r="E691" s="26" t="n">
        <f aca="false">IF(INDEX(Pengaturan!$B$8:$B$27,E$4)="",0,COUNTIF(Data!$B691:$U691,INDEX(Pengaturan!$B$8:$B$27,E$4)))</f>
        <v>0</v>
      </c>
      <c r="F691" s="26" t="n">
        <f aca="false">IF(INDEX(Pengaturan!$B$8:$B$27,F$4)="",0,COUNTIF(Data!$B691:$U691,INDEX(Pengaturan!$B$8:$B$27,F$4)))</f>
        <v>0</v>
      </c>
      <c r="G691" s="26" t="n">
        <f aca="false">IF(INDEX(Pengaturan!$B$8:$B$27,G$4)="",0,COUNTIF(Data!$B691:$U691,INDEX(Pengaturan!$B$8:$B$27,G$4)))</f>
        <v>0</v>
      </c>
      <c r="H691" s="26" t="n">
        <f aca="false">IF(INDEX(Pengaturan!$B$8:$B$27,H$4)="",0,COUNTIF(Data!$B691:$U691,INDEX(Pengaturan!$B$8:$B$27,H$4)))</f>
        <v>0</v>
      </c>
      <c r="I691" s="26" t="n">
        <f aca="false">IF(INDEX(Pengaturan!$B$8:$B$27,I$4)="",0,COUNTIF(Data!$B691:$U691,INDEX(Pengaturan!$B$8:$B$27,I$4)))</f>
        <v>0</v>
      </c>
      <c r="J691" s="26" t="n">
        <f aca="false">IF(INDEX(Pengaturan!$B$8:$B$27,J$4)="",0,COUNTIF(Data!$B691:$U691,INDEX(Pengaturan!$B$8:$B$27,J$4)))</f>
        <v>0</v>
      </c>
      <c r="K691" s="26" t="n">
        <f aca="false">IF(INDEX(Pengaturan!$B$8:$B$27,K$4)="",0,COUNTIF(Data!$B691:$U691,INDEX(Pengaturan!$B$8:$B$27,K$4)))</f>
        <v>0</v>
      </c>
      <c r="L691" s="26" t="n">
        <f aca="false">IF(INDEX(Pengaturan!$B$8:$B$27,L$4)="",0,COUNTIF(Data!$B691:$U691,INDEX(Pengaturan!$B$8:$B$27,L$4)))</f>
        <v>0</v>
      </c>
      <c r="M691" s="26" t="n">
        <f aca="false">IF(INDEX(Pengaturan!$B$8:$B$27,M$4)="",0,COUNTIF(Data!$B691:$U691,INDEX(Pengaturan!$B$8:$B$27,M$4)))</f>
        <v>0</v>
      </c>
      <c r="N691" s="26" t="n">
        <f aca="false">IF(INDEX(Pengaturan!$B$8:$B$27,N$4)="",0,COUNTIF(Data!$B691:$U691,INDEX(Pengaturan!$B$8:$B$27,N$4)))</f>
        <v>0</v>
      </c>
      <c r="O691" s="26" t="n">
        <f aca="false">IF(INDEX(Pengaturan!$B$8:$B$27,O$4)="",0,COUNTIF(Data!$B691:$U691,INDEX(Pengaturan!$B$8:$B$27,O$4)))</f>
        <v>0</v>
      </c>
      <c r="P691" s="26" t="n">
        <f aca="false">IF(INDEX(Pengaturan!$B$8:$B$27,P$4)="",0,COUNTIF(Data!$B691:$U691,INDEX(Pengaturan!$B$8:$B$27,P$4)))</f>
        <v>0</v>
      </c>
      <c r="Q691" s="26" t="n">
        <f aca="false">IF(INDEX(Pengaturan!$B$8:$B$27,Q$4)="",0,COUNTIF(Data!$B691:$U691,INDEX(Pengaturan!$B$8:$B$27,Q$4)))</f>
        <v>0</v>
      </c>
      <c r="R691" s="26" t="n">
        <f aca="false">IF(INDEX(Pengaturan!$B$8:$B$27,R$4)="",0,COUNTIF(Data!$B691:$U691,INDEX(Pengaturan!$B$8:$B$27,R$4)))</f>
        <v>0</v>
      </c>
      <c r="S691" s="26" t="n">
        <f aca="false">IF(INDEX(Pengaturan!$B$8:$B$27,S$4)="",0,COUNTIF(Data!$B691:$U691,INDEX(Pengaturan!$B$8:$B$27,S$4)))</f>
        <v>0</v>
      </c>
      <c r="T691" s="26" t="n">
        <f aca="false">IF(INDEX(Pengaturan!$B$8:$B$27,T$4)="",0,COUNTIF(Data!$B691:$U691,INDEX(Pengaturan!$B$8:$B$27,T$4)))</f>
        <v>0</v>
      </c>
      <c r="U691" s="26" t="n">
        <f aca="false">IF(INDEX(Pengaturan!$B$8:$B$27,U$4)="",0,COUNTIF(Data!$B691:$U691,INDEX(Pengaturan!$B$8:$B$27,U$4)))</f>
        <v>0</v>
      </c>
      <c r="V691" s="26" t="n">
        <f aca="false">COUNTA(Data!$B691:$U691)</f>
        <v>0</v>
      </c>
      <c r="W691" s="27" t="str">
        <f aca="false">IF(V691=0,"",IF(V691&lt;&gt;Hasil!$C$4,"Data kosong/tidak lengkap",IF(SUM(B691:U691)&lt;&gt;V691,"Kategori tidak dikenal","OK")))</f>
        <v/>
      </c>
      <c r="X691" s="26" t="n">
        <f aca="false">IF(OR(W691="",W691="OK"),0,1)</f>
        <v>0</v>
      </c>
    </row>
    <row r="692" customFormat="false" ht="15" hidden="false" customHeight="false" outlineLevel="0" collapsed="false">
      <c r="A692" s="26" t="n">
        <f aca="false">Data!A692</f>
        <v>687</v>
      </c>
      <c r="B692" s="26" t="n">
        <f aca="false">IF(INDEX(Pengaturan!$B$8:$B$27,B$4)="",0,COUNTIF(Data!$B692:$U692,INDEX(Pengaturan!$B$8:$B$27,B$4)))</f>
        <v>0</v>
      </c>
      <c r="C692" s="26" t="n">
        <f aca="false">IF(INDEX(Pengaturan!$B$8:$B$27,C$4)="",0,COUNTIF(Data!$B692:$U692,INDEX(Pengaturan!$B$8:$B$27,C$4)))</f>
        <v>0</v>
      </c>
      <c r="D692" s="26" t="n">
        <f aca="false">IF(INDEX(Pengaturan!$B$8:$B$27,D$4)="",0,COUNTIF(Data!$B692:$U692,INDEX(Pengaturan!$B$8:$B$27,D$4)))</f>
        <v>0</v>
      </c>
      <c r="E692" s="26" t="n">
        <f aca="false">IF(INDEX(Pengaturan!$B$8:$B$27,E$4)="",0,COUNTIF(Data!$B692:$U692,INDEX(Pengaturan!$B$8:$B$27,E$4)))</f>
        <v>0</v>
      </c>
      <c r="F692" s="26" t="n">
        <f aca="false">IF(INDEX(Pengaturan!$B$8:$B$27,F$4)="",0,COUNTIF(Data!$B692:$U692,INDEX(Pengaturan!$B$8:$B$27,F$4)))</f>
        <v>0</v>
      </c>
      <c r="G692" s="26" t="n">
        <f aca="false">IF(INDEX(Pengaturan!$B$8:$B$27,G$4)="",0,COUNTIF(Data!$B692:$U692,INDEX(Pengaturan!$B$8:$B$27,G$4)))</f>
        <v>0</v>
      </c>
      <c r="H692" s="26" t="n">
        <f aca="false">IF(INDEX(Pengaturan!$B$8:$B$27,H$4)="",0,COUNTIF(Data!$B692:$U692,INDEX(Pengaturan!$B$8:$B$27,H$4)))</f>
        <v>0</v>
      </c>
      <c r="I692" s="26" t="n">
        <f aca="false">IF(INDEX(Pengaturan!$B$8:$B$27,I$4)="",0,COUNTIF(Data!$B692:$U692,INDEX(Pengaturan!$B$8:$B$27,I$4)))</f>
        <v>0</v>
      </c>
      <c r="J692" s="26" t="n">
        <f aca="false">IF(INDEX(Pengaturan!$B$8:$B$27,J$4)="",0,COUNTIF(Data!$B692:$U692,INDEX(Pengaturan!$B$8:$B$27,J$4)))</f>
        <v>0</v>
      </c>
      <c r="K692" s="26" t="n">
        <f aca="false">IF(INDEX(Pengaturan!$B$8:$B$27,K$4)="",0,COUNTIF(Data!$B692:$U692,INDEX(Pengaturan!$B$8:$B$27,K$4)))</f>
        <v>0</v>
      </c>
      <c r="L692" s="26" t="n">
        <f aca="false">IF(INDEX(Pengaturan!$B$8:$B$27,L$4)="",0,COUNTIF(Data!$B692:$U692,INDEX(Pengaturan!$B$8:$B$27,L$4)))</f>
        <v>0</v>
      </c>
      <c r="M692" s="26" t="n">
        <f aca="false">IF(INDEX(Pengaturan!$B$8:$B$27,M$4)="",0,COUNTIF(Data!$B692:$U692,INDEX(Pengaturan!$B$8:$B$27,M$4)))</f>
        <v>0</v>
      </c>
      <c r="N692" s="26" t="n">
        <f aca="false">IF(INDEX(Pengaturan!$B$8:$B$27,N$4)="",0,COUNTIF(Data!$B692:$U692,INDEX(Pengaturan!$B$8:$B$27,N$4)))</f>
        <v>0</v>
      </c>
      <c r="O692" s="26" t="n">
        <f aca="false">IF(INDEX(Pengaturan!$B$8:$B$27,O$4)="",0,COUNTIF(Data!$B692:$U692,INDEX(Pengaturan!$B$8:$B$27,O$4)))</f>
        <v>0</v>
      </c>
      <c r="P692" s="26" t="n">
        <f aca="false">IF(INDEX(Pengaturan!$B$8:$B$27,P$4)="",0,COUNTIF(Data!$B692:$U692,INDEX(Pengaturan!$B$8:$B$27,P$4)))</f>
        <v>0</v>
      </c>
      <c r="Q692" s="26" t="n">
        <f aca="false">IF(INDEX(Pengaturan!$B$8:$B$27,Q$4)="",0,COUNTIF(Data!$B692:$U692,INDEX(Pengaturan!$B$8:$B$27,Q$4)))</f>
        <v>0</v>
      </c>
      <c r="R692" s="26" t="n">
        <f aca="false">IF(INDEX(Pengaturan!$B$8:$B$27,R$4)="",0,COUNTIF(Data!$B692:$U692,INDEX(Pengaturan!$B$8:$B$27,R$4)))</f>
        <v>0</v>
      </c>
      <c r="S692" s="26" t="n">
        <f aca="false">IF(INDEX(Pengaturan!$B$8:$B$27,S$4)="",0,COUNTIF(Data!$B692:$U692,INDEX(Pengaturan!$B$8:$B$27,S$4)))</f>
        <v>0</v>
      </c>
      <c r="T692" s="26" t="n">
        <f aca="false">IF(INDEX(Pengaturan!$B$8:$B$27,T$4)="",0,COUNTIF(Data!$B692:$U692,INDEX(Pengaturan!$B$8:$B$27,T$4)))</f>
        <v>0</v>
      </c>
      <c r="U692" s="26" t="n">
        <f aca="false">IF(INDEX(Pengaturan!$B$8:$B$27,U$4)="",0,COUNTIF(Data!$B692:$U692,INDEX(Pengaturan!$B$8:$B$27,U$4)))</f>
        <v>0</v>
      </c>
      <c r="V692" s="26" t="n">
        <f aca="false">COUNTA(Data!$B692:$U692)</f>
        <v>0</v>
      </c>
      <c r="W692" s="27" t="str">
        <f aca="false">IF(V692=0,"",IF(V692&lt;&gt;Hasil!$C$4,"Data kosong/tidak lengkap",IF(SUM(B692:U692)&lt;&gt;V692,"Kategori tidak dikenal","OK")))</f>
        <v/>
      </c>
      <c r="X692" s="26" t="n">
        <f aca="false">IF(OR(W692="",W692="OK"),0,1)</f>
        <v>0</v>
      </c>
    </row>
    <row r="693" customFormat="false" ht="15" hidden="false" customHeight="false" outlineLevel="0" collapsed="false">
      <c r="A693" s="26" t="n">
        <f aca="false">Data!A693</f>
        <v>688</v>
      </c>
      <c r="B693" s="26" t="n">
        <f aca="false">IF(INDEX(Pengaturan!$B$8:$B$27,B$4)="",0,COUNTIF(Data!$B693:$U693,INDEX(Pengaturan!$B$8:$B$27,B$4)))</f>
        <v>0</v>
      </c>
      <c r="C693" s="26" t="n">
        <f aca="false">IF(INDEX(Pengaturan!$B$8:$B$27,C$4)="",0,COUNTIF(Data!$B693:$U693,INDEX(Pengaturan!$B$8:$B$27,C$4)))</f>
        <v>0</v>
      </c>
      <c r="D693" s="26" t="n">
        <f aca="false">IF(INDEX(Pengaturan!$B$8:$B$27,D$4)="",0,COUNTIF(Data!$B693:$U693,INDEX(Pengaturan!$B$8:$B$27,D$4)))</f>
        <v>0</v>
      </c>
      <c r="E693" s="26" t="n">
        <f aca="false">IF(INDEX(Pengaturan!$B$8:$B$27,E$4)="",0,COUNTIF(Data!$B693:$U693,INDEX(Pengaturan!$B$8:$B$27,E$4)))</f>
        <v>0</v>
      </c>
      <c r="F693" s="26" t="n">
        <f aca="false">IF(INDEX(Pengaturan!$B$8:$B$27,F$4)="",0,COUNTIF(Data!$B693:$U693,INDEX(Pengaturan!$B$8:$B$27,F$4)))</f>
        <v>0</v>
      </c>
      <c r="G693" s="26" t="n">
        <f aca="false">IF(INDEX(Pengaturan!$B$8:$B$27,G$4)="",0,COUNTIF(Data!$B693:$U693,INDEX(Pengaturan!$B$8:$B$27,G$4)))</f>
        <v>0</v>
      </c>
      <c r="H693" s="26" t="n">
        <f aca="false">IF(INDEX(Pengaturan!$B$8:$B$27,H$4)="",0,COUNTIF(Data!$B693:$U693,INDEX(Pengaturan!$B$8:$B$27,H$4)))</f>
        <v>0</v>
      </c>
      <c r="I693" s="26" t="n">
        <f aca="false">IF(INDEX(Pengaturan!$B$8:$B$27,I$4)="",0,COUNTIF(Data!$B693:$U693,INDEX(Pengaturan!$B$8:$B$27,I$4)))</f>
        <v>0</v>
      </c>
      <c r="J693" s="26" t="n">
        <f aca="false">IF(INDEX(Pengaturan!$B$8:$B$27,J$4)="",0,COUNTIF(Data!$B693:$U693,INDEX(Pengaturan!$B$8:$B$27,J$4)))</f>
        <v>0</v>
      </c>
      <c r="K693" s="26" t="n">
        <f aca="false">IF(INDEX(Pengaturan!$B$8:$B$27,K$4)="",0,COUNTIF(Data!$B693:$U693,INDEX(Pengaturan!$B$8:$B$27,K$4)))</f>
        <v>0</v>
      </c>
      <c r="L693" s="26" t="n">
        <f aca="false">IF(INDEX(Pengaturan!$B$8:$B$27,L$4)="",0,COUNTIF(Data!$B693:$U693,INDEX(Pengaturan!$B$8:$B$27,L$4)))</f>
        <v>0</v>
      </c>
      <c r="M693" s="26" t="n">
        <f aca="false">IF(INDEX(Pengaturan!$B$8:$B$27,M$4)="",0,COUNTIF(Data!$B693:$U693,INDEX(Pengaturan!$B$8:$B$27,M$4)))</f>
        <v>0</v>
      </c>
      <c r="N693" s="26" t="n">
        <f aca="false">IF(INDEX(Pengaturan!$B$8:$B$27,N$4)="",0,COUNTIF(Data!$B693:$U693,INDEX(Pengaturan!$B$8:$B$27,N$4)))</f>
        <v>0</v>
      </c>
      <c r="O693" s="26" t="n">
        <f aca="false">IF(INDEX(Pengaturan!$B$8:$B$27,O$4)="",0,COUNTIF(Data!$B693:$U693,INDEX(Pengaturan!$B$8:$B$27,O$4)))</f>
        <v>0</v>
      </c>
      <c r="P693" s="26" t="n">
        <f aca="false">IF(INDEX(Pengaturan!$B$8:$B$27,P$4)="",0,COUNTIF(Data!$B693:$U693,INDEX(Pengaturan!$B$8:$B$27,P$4)))</f>
        <v>0</v>
      </c>
      <c r="Q693" s="26" t="n">
        <f aca="false">IF(INDEX(Pengaturan!$B$8:$B$27,Q$4)="",0,COUNTIF(Data!$B693:$U693,INDEX(Pengaturan!$B$8:$B$27,Q$4)))</f>
        <v>0</v>
      </c>
      <c r="R693" s="26" t="n">
        <f aca="false">IF(INDEX(Pengaturan!$B$8:$B$27,R$4)="",0,COUNTIF(Data!$B693:$U693,INDEX(Pengaturan!$B$8:$B$27,R$4)))</f>
        <v>0</v>
      </c>
      <c r="S693" s="26" t="n">
        <f aca="false">IF(INDEX(Pengaturan!$B$8:$B$27,S$4)="",0,COUNTIF(Data!$B693:$U693,INDEX(Pengaturan!$B$8:$B$27,S$4)))</f>
        <v>0</v>
      </c>
      <c r="T693" s="26" t="n">
        <f aca="false">IF(INDEX(Pengaturan!$B$8:$B$27,T$4)="",0,COUNTIF(Data!$B693:$U693,INDEX(Pengaturan!$B$8:$B$27,T$4)))</f>
        <v>0</v>
      </c>
      <c r="U693" s="26" t="n">
        <f aca="false">IF(INDEX(Pengaturan!$B$8:$B$27,U$4)="",0,COUNTIF(Data!$B693:$U693,INDEX(Pengaturan!$B$8:$B$27,U$4)))</f>
        <v>0</v>
      </c>
      <c r="V693" s="26" t="n">
        <f aca="false">COUNTA(Data!$B693:$U693)</f>
        <v>0</v>
      </c>
      <c r="W693" s="27" t="str">
        <f aca="false">IF(V693=0,"",IF(V693&lt;&gt;Hasil!$C$4,"Data kosong/tidak lengkap",IF(SUM(B693:U693)&lt;&gt;V693,"Kategori tidak dikenal","OK")))</f>
        <v/>
      </c>
      <c r="X693" s="26" t="n">
        <f aca="false">IF(OR(W693="",W693="OK"),0,1)</f>
        <v>0</v>
      </c>
    </row>
    <row r="694" customFormat="false" ht="15" hidden="false" customHeight="false" outlineLevel="0" collapsed="false">
      <c r="A694" s="26" t="n">
        <f aca="false">Data!A694</f>
        <v>689</v>
      </c>
      <c r="B694" s="26" t="n">
        <f aca="false">IF(INDEX(Pengaturan!$B$8:$B$27,B$4)="",0,COUNTIF(Data!$B694:$U694,INDEX(Pengaturan!$B$8:$B$27,B$4)))</f>
        <v>0</v>
      </c>
      <c r="C694" s="26" t="n">
        <f aca="false">IF(INDEX(Pengaturan!$B$8:$B$27,C$4)="",0,COUNTIF(Data!$B694:$U694,INDEX(Pengaturan!$B$8:$B$27,C$4)))</f>
        <v>0</v>
      </c>
      <c r="D694" s="26" t="n">
        <f aca="false">IF(INDEX(Pengaturan!$B$8:$B$27,D$4)="",0,COUNTIF(Data!$B694:$U694,INDEX(Pengaturan!$B$8:$B$27,D$4)))</f>
        <v>0</v>
      </c>
      <c r="E694" s="26" t="n">
        <f aca="false">IF(INDEX(Pengaturan!$B$8:$B$27,E$4)="",0,COUNTIF(Data!$B694:$U694,INDEX(Pengaturan!$B$8:$B$27,E$4)))</f>
        <v>0</v>
      </c>
      <c r="F694" s="26" t="n">
        <f aca="false">IF(INDEX(Pengaturan!$B$8:$B$27,F$4)="",0,COUNTIF(Data!$B694:$U694,INDEX(Pengaturan!$B$8:$B$27,F$4)))</f>
        <v>0</v>
      </c>
      <c r="G694" s="26" t="n">
        <f aca="false">IF(INDEX(Pengaturan!$B$8:$B$27,G$4)="",0,COUNTIF(Data!$B694:$U694,INDEX(Pengaturan!$B$8:$B$27,G$4)))</f>
        <v>0</v>
      </c>
      <c r="H694" s="26" t="n">
        <f aca="false">IF(INDEX(Pengaturan!$B$8:$B$27,H$4)="",0,COUNTIF(Data!$B694:$U694,INDEX(Pengaturan!$B$8:$B$27,H$4)))</f>
        <v>0</v>
      </c>
      <c r="I694" s="26" t="n">
        <f aca="false">IF(INDEX(Pengaturan!$B$8:$B$27,I$4)="",0,COUNTIF(Data!$B694:$U694,INDEX(Pengaturan!$B$8:$B$27,I$4)))</f>
        <v>0</v>
      </c>
      <c r="J694" s="26" t="n">
        <f aca="false">IF(INDEX(Pengaturan!$B$8:$B$27,J$4)="",0,COUNTIF(Data!$B694:$U694,INDEX(Pengaturan!$B$8:$B$27,J$4)))</f>
        <v>0</v>
      </c>
      <c r="K694" s="26" t="n">
        <f aca="false">IF(INDEX(Pengaturan!$B$8:$B$27,K$4)="",0,COUNTIF(Data!$B694:$U694,INDEX(Pengaturan!$B$8:$B$27,K$4)))</f>
        <v>0</v>
      </c>
      <c r="L694" s="26" t="n">
        <f aca="false">IF(INDEX(Pengaturan!$B$8:$B$27,L$4)="",0,COUNTIF(Data!$B694:$U694,INDEX(Pengaturan!$B$8:$B$27,L$4)))</f>
        <v>0</v>
      </c>
      <c r="M694" s="26" t="n">
        <f aca="false">IF(INDEX(Pengaturan!$B$8:$B$27,M$4)="",0,COUNTIF(Data!$B694:$U694,INDEX(Pengaturan!$B$8:$B$27,M$4)))</f>
        <v>0</v>
      </c>
      <c r="N694" s="26" t="n">
        <f aca="false">IF(INDEX(Pengaturan!$B$8:$B$27,N$4)="",0,COUNTIF(Data!$B694:$U694,INDEX(Pengaturan!$B$8:$B$27,N$4)))</f>
        <v>0</v>
      </c>
      <c r="O694" s="26" t="n">
        <f aca="false">IF(INDEX(Pengaturan!$B$8:$B$27,O$4)="",0,COUNTIF(Data!$B694:$U694,INDEX(Pengaturan!$B$8:$B$27,O$4)))</f>
        <v>0</v>
      </c>
      <c r="P694" s="26" t="n">
        <f aca="false">IF(INDEX(Pengaturan!$B$8:$B$27,P$4)="",0,COUNTIF(Data!$B694:$U694,INDEX(Pengaturan!$B$8:$B$27,P$4)))</f>
        <v>0</v>
      </c>
      <c r="Q694" s="26" t="n">
        <f aca="false">IF(INDEX(Pengaturan!$B$8:$B$27,Q$4)="",0,COUNTIF(Data!$B694:$U694,INDEX(Pengaturan!$B$8:$B$27,Q$4)))</f>
        <v>0</v>
      </c>
      <c r="R694" s="26" t="n">
        <f aca="false">IF(INDEX(Pengaturan!$B$8:$B$27,R$4)="",0,COUNTIF(Data!$B694:$U694,INDEX(Pengaturan!$B$8:$B$27,R$4)))</f>
        <v>0</v>
      </c>
      <c r="S694" s="26" t="n">
        <f aca="false">IF(INDEX(Pengaturan!$B$8:$B$27,S$4)="",0,COUNTIF(Data!$B694:$U694,INDEX(Pengaturan!$B$8:$B$27,S$4)))</f>
        <v>0</v>
      </c>
      <c r="T694" s="26" t="n">
        <f aca="false">IF(INDEX(Pengaturan!$B$8:$B$27,T$4)="",0,COUNTIF(Data!$B694:$U694,INDEX(Pengaturan!$B$8:$B$27,T$4)))</f>
        <v>0</v>
      </c>
      <c r="U694" s="26" t="n">
        <f aca="false">IF(INDEX(Pengaturan!$B$8:$B$27,U$4)="",0,COUNTIF(Data!$B694:$U694,INDEX(Pengaturan!$B$8:$B$27,U$4)))</f>
        <v>0</v>
      </c>
      <c r="V694" s="26" t="n">
        <f aca="false">COUNTA(Data!$B694:$U694)</f>
        <v>0</v>
      </c>
      <c r="W694" s="27" t="str">
        <f aca="false">IF(V694=0,"",IF(V694&lt;&gt;Hasil!$C$4,"Data kosong/tidak lengkap",IF(SUM(B694:U694)&lt;&gt;V694,"Kategori tidak dikenal","OK")))</f>
        <v/>
      </c>
      <c r="X694" s="26" t="n">
        <f aca="false">IF(OR(W694="",W694="OK"),0,1)</f>
        <v>0</v>
      </c>
    </row>
    <row r="695" customFormat="false" ht="15" hidden="false" customHeight="false" outlineLevel="0" collapsed="false">
      <c r="A695" s="26" t="n">
        <f aca="false">Data!A695</f>
        <v>690</v>
      </c>
      <c r="B695" s="26" t="n">
        <f aca="false">IF(INDEX(Pengaturan!$B$8:$B$27,B$4)="",0,COUNTIF(Data!$B695:$U695,INDEX(Pengaturan!$B$8:$B$27,B$4)))</f>
        <v>0</v>
      </c>
      <c r="C695" s="26" t="n">
        <f aca="false">IF(INDEX(Pengaturan!$B$8:$B$27,C$4)="",0,COUNTIF(Data!$B695:$U695,INDEX(Pengaturan!$B$8:$B$27,C$4)))</f>
        <v>0</v>
      </c>
      <c r="D695" s="26" t="n">
        <f aca="false">IF(INDEX(Pengaturan!$B$8:$B$27,D$4)="",0,COUNTIF(Data!$B695:$U695,INDEX(Pengaturan!$B$8:$B$27,D$4)))</f>
        <v>0</v>
      </c>
      <c r="E695" s="26" t="n">
        <f aca="false">IF(INDEX(Pengaturan!$B$8:$B$27,E$4)="",0,COUNTIF(Data!$B695:$U695,INDEX(Pengaturan!$B$8:$B$27,E$4)))</f>
        <v>0</v>
      </c>
      <c r="F695" s="26" t="n">
        <f aca="false">IF(INDEX(Pengaturan!$B$8:$B$27,F$4)="",0,COUNTIF(Data!$B695:$U695,INDEX(Pengaturan!$B$8:$B$27,F$4)))</f>
        <v>0</v>
      </c>
      <c r="G695" s="26" t="n">
        <f aca="false">IF(INDEX(Pengaturan!$B$8:$B$27,G$4)="",0,COUNTIF(Data!$B695:$U695,INDEX(Pengaturan!$B$8:$B$27,G$4)))</f>
        <v>0</v>
      </c>
      <c r="H695" s="26" t="n">
        <f aca="false">IF(INDEX(Pengaturan!$B$8:$B$27,H$4)="",0,COUNTIF(Data!$B695:$U695,INDEX(Pengaturan!$B$8:$B$27,H$4)))</f>
        <v>0</v>
      </c>
      <c r="I695" s="26" t="n">
        <f aca="false">IF(INDEX(Pengaturan!$B$8:$B$27,I$4)="",0,COUNTIF(Data!$B695:$U695,INDEX(Pengaturan!$B$8:$B$27,I$4)))</f>
        <v>0</v>
      </c>
      <c r="J695" s="26" t="n">
        <f aca="false">IF(INDEX(Pengaturan!$B$8:$B$27,J$4)="",0,COUNTIF(Data!$B695:$U695,INDEX(Pengaturan!$B$8:$B$27,J$4)))</f>
        <v>0</v>
      </c>
      <c r="K695" s="26" t="n">
        <f aca="false">IF(INDEX(Pengaturan!$B$8:$B$27,K$4)="",0,COUNTIF(Data!$B695:$U695,INDEX(Pengaturan!$B$8:$B$27,K$4)))</f>
        <v>0</v>
      </c>
      <c r="L695" s="26" t="n">
        <f aca="false">IF(INDEX(Pengaturan!$B$8:$B$27,L$4)="",0,COUNTIF(Data!$B695:$U695,INDEX(Pengaturan!$B$8:$B$27,L$4)))</f>
        <v>0</v>
      </c>
      <c r="M695" s="26" t="n">
        <f aca="false">IF(INDEX(Pengaturan!$B$8:$B$27,M$4)="",0,COUNTIF(Data!$B695:$U695,INDEX(Pengaturan!$B$8:$B$27,M$4)))</f>
        <v>0</v>
      </c>
      <c r="N695" s="26" t="n">
        <f aca="false">IF(INDEX(Pengaturan!$B$8:$B$27,N$4)="",0,COUNTIF(Data!$B695:$U695,INDEX(Pengaturan!$B$8:$B$27,N$4)))</f>
        <v>0</v>
      </c>
      <c r="O695" s="26" t="n">
        <f aca="false">IF(INDEX(Pengaturan!$B$8:$B$27,O$4)="",0,COUNTIF(Data!$B695:$U695,INDEX(Pengaturan!$B$8:$B$27,O$4)))</f>
        <v>0</v>
      </c>
      <c r="P695" s="26" t="n">
        <f aca="false">IF(INDEX(Pengaturan!$B$8:$B$27,P$4)="",0,COUNTIF(Data!$B695:$U695,INDEX(Pengaturan!$B$8:$B$27,P$4)))</f>
        <v>0</v>
      </c>
      <c r="Q695" s="26" t="n">
        <f aca="false">IF(INDEX(Pengaturan!$B$8:$B$27,Q$4)="",0,COUNTIF(Data!$B695:$U695,INDEX(Pengaturan!$B$8:$B$27,Q$4)))</f>
        <v>0</v>
      </c>
      <c r="R695" s="26" t="n">
        <f aca="false">IF(INDEX(Pengaturan!$B$8:$B$27,R$4)="",0,COUNTIF(Data!$B695:$U695,INDEX(Pengaturan!$B$8:$B$27,R$4)))</f>
        <v>0</v>
      </c>
      <c r="S695" s="26" t="n">
        <f aca="false">IF(INDEX(Pengaturan!$B$8:$B$27,S$4)="",0,COUNTIF(Data!$B695:$U695,INDEX(Pengaturan!$B$8:$B$27,S$4)))</f>
        <v>0</v>
      </c>
      <c r="T695" s="26" t="n">
        <f aca="false">IF(INDEX(Pengaturan!$B$8:$B$27,T$4)="",0,COUNTIF(Data!$B695:$U695,INDEX(Pengaturan!$B$8:$B$27,T$4)))</f>
        <v>0</v>
      </c>
      <c r="U695" s="26" t="n">
        <f aca="false">IF(INDEX(Pengaturan!$B$8:$B$27,U$4)="",0,COUNTIF(Data!$B695:$U695,INDEX(Pengaturan!$B$8:$B$27,U$4)))</f>
        <v>0</v>
      </c>
      <c r="V695" s="26" t="n">
        <f aca="false">COUNTA(Data!$B695:$U695)</f>
        <v>0</v>
      </c>
      <c r="W695" s="27" t="str">
        <f aca="false">IF(V695=0,"",IF(V695&lt;&gt;Hasil!$C$4,"Data kosong/tidak lengkap",IF(SUM(B695:U695)&lt;&gt;V695,"Kategori tidak dikenal","OK")))</f>
        <v/>
      </c>
      <c r="X695" s="26" t="n">
        <f aca="false">IF(OR(W695="",W695="OK"),0,1)</f>
        <v>0</v>
      </c>
    </row>
    <row r="696" customFormat="false" ht="15" hidden="false" customHeight="false" outlineLevel="0" collapsed="false">
      <c r="A696" s="26" t="n">
        <f aca="false">Data!A696</f>
        <v>691</v>
      </c>
      <c r="B696" s="26" t="n">
        <f aca="false">IF(INDEX(Pengaturan!$B$8:$B$27,B$4)="",0,COUNTIF(Data!$B696:$U696,INDEX(Pengaturan!$B$8:$B$27,B$4)))</f>
        <v>0</v>
      </c>
      <c r="C696" s="26" t="n">
        <f aca="false">IF(INDEX(Pengaturan!$B$8:$B$27,C$4)="",0,COUNTIF(Data!$B696:$U696,INDEX(Pengaturan!$B$8:$B$27,C$4)))</f>
        <v>0</v>
      </c>
      <c r="D696" s="26" t="n">
        <f aca="false">IF(INDEX(Pengaturan!$B$8:$B$27,D$4)="",0,COUNTIF(Data!$B696:$U696,INDEX(Pengaturan!$B$8:$B$27,D$4)))</f>
        <v>0</v>
      </c>
      <c r="E696" s="26" t="n">
        <f aca="false">IF(INDEX(Pengaturan!$B$8:$B$27,E$4)="",0,COUNTIF(Data!$B696:$U696,INDEX(Pengaturan!$B$8:$B$27,E$4)))</f>
        <v>0</v>
      </c>
      <c r="F696" s="26" t="n">
        <f aca="false">IF(INDEX(Pengaturan!$B$8:$B$27,F$4)="",0,COUNTIF(Data!$B696:$U696,INDEX(Pengaturan!$B$8:$B$27,F$4)))</f>
        <v>0</v>
      </c>
      <c r="G696" s="26" t="n">
        <f aca="false">IF(INDEX(Pengaturan!$B$8:$B$27,G$4)="",0,COUNTIF(Data!$B696:$U696,INDEX(Pengaturan!$B$8:$B$27,G$4)))</f>
        <v>0</v>
      </c>
      <c r="H696" s="26" t="n">
        <f aca="false">IF(INDEX(Pengaturan!$B$8:$B$27,H$4)="",0,COUNTIF(Data!$B696:$U696,INDEX(Pengaturan!$B$8:$B$27,H$4)))</f>
        <v>0</v>
      </c>
      <c r="I696" s="26" t="n">
        <f aca="false">IF(INDEX(Pengaturan!$B$8:$B$27,I$4)="",0,COUNTIF(Data!$B696:$U696,INDEX(Pengaturan!$B$8:$B$27,I$4)))</f>
        <v>0</v>
      </c>
      <c r="J696" s="26" t="n">
        <f aca="false">IF(INDEX(Pengaturan!$B$8:$B$27,J$4)="",0,COUNTIF(Data!$B696:$U696,INDEX(Pengaturan!$B$8:$B$27,J$4)))</f>
        <v>0</v>
      </c>
      <c r="K696" s="26" t="n">
        <f aca="false">IF(INDEX(Pengaturan!$B$8:$B$27,K$4)="",0,COUNTIF(Data!$B696:$U696,INDEX(Pengaturan!$B$8:$B$27,K$4)))</f>
        <v>0</v>
      </c>
      <c r="L696" s="26" t="n">
        <f aca="false">IF(INDEX(Pengaturan!$B$8:$B$27,L$4)="",0,COUNTIF(Data!$B696:$U696,INDEX(Pengaturan!$B$8:$B$27,L$4)))</f>
        <v>0</v>
      </c>
      <c r="M696" s="26" t="n">
        <f aca="false">IF(INDEX(Pengaturan!$B$8:$B$27,M$4)="",0,COUNTIF(Data!$B696:$U696,INDEX(Pengaturan!$B$8:$B$27,M$4)))</f>
        <v>0</v>
      </c>
      <c r="N696" s="26" t="n">
        <f aca="false">IF(INDEX(Pengaturan!$B$8:$B$27,N$4)="",0,COUNTIF(Data!$B696:$U696,INDEX(Pengaturan!$B$8:$B$27,N$4)))</f>
        <v>0</v>
      </c>
      <c r="O696" s="26" t="n">
        <f aca="false">IF(INDEX(Pengaturan!$B$8:$B$27,O$4)="",0,COUNTIF(Data!$B696:$U696,INDEX(Pengaturan!$B$8:$B$27,O$4)))</f>
        <v>0</v>
      </c>
      <c r="P696" s="26" t="n">
        <f aca="false">IF(INDEX(Pengaturan!$B$8:$B$27,P$4)="",0,COUNTIF(Data!$B696:$U696,INDEX(Pengaturan!$B$8:$B$27,P$4)))</f>
        <v>0</v>
      </c>
      <c r="Q696" s="26" t="n">
        <f aca="false">IF(INDEX(Pengaturan!$B$8:$B$27,Q$4)="",0,COUNTIF(Data!$B696:$U696,INDEX(Pengaturan!$B$8:$B$27,Q$4)))</f>
        <v>0</v>
      </c>
      <c r="R696" s="26" t="n">
        <f aca="false">IF(INDEX(Pengaturan!$B$8:$B$27,R$4)="",0,COUNTIF(Data!$B696:$U696,INDEX(Pengaturan!$B$8:$B$27,R$4)))</f>
        <v>0</v>
      </c>
      <c r="S696" s="26" t="n">
        <f aca="false">IF(INDEX(Pengaturan!$B$8:$B$27,S$4)="",0,COUNTIF(Data!$B696:$U696,INDEX(Pengaturan!$B$8:$B$27,S$4)))</f>
        <v>0</v>
      </c>
      <c r="T696" s="26" t="n">
        <f aca="false">IF(INDEX(Pengaturan!$B$8:$B$27,T$4)="",0,COUNTIF(Data!$B696:$U696,INDEX(Pengaturan!$B$8:$B$27,T$4)))</f>
        <v>0</v>
      </c>
      <c r="U696" s="26" t="n">
        <f aca="false">IF(INDEX(Pengaturan!$B$8:$B$27,U$4)="",0,COUNTIF(Data!$B696:$U696,INDEX(Pengaturan!$B$8:$B$27,U$4)))</f>
        <v>0</v>
      </c>
      <c r="V696" s="26" t="n">
        <f aca="false">COUNTA(Data!$B696:$U696)</f>
        <v>0</v>
      </c>
      <c r="W696" s="27" t="str">
        <f aca="false">IF(V696=0,"",IF(V696&lt;&gt;Hasil!$C$4,"Data kosong/tidak lengkap",IF(SUM(B696:U696)&lt;&gt;V696,"Kategori tidak dikenal","OK")))</f>
        <v/>
      </c>
      <c r="X696" s="26" t="n">
        <f aca="false">IF(OR(W696="",W696="OK"),0,1)</f>
        <v>0</v>
      </c>
    </row>
    <row r="697" customFormat="false" ht="15" hidden="false" customHeight="false" outlineLevel="0" collapsed="false">
      <c r="A697" s="26" t="n">
        <f aca="false">Data!A697</f>
        <v>692</v>
      </c>
      <c r="B697" s="26" t="n">
        <f aca="false">IF(INDEX(Pengaturan!$B$8:$B$27,B$4)="",0,COUNTIF(Data!$B697:$U697,INDEX(Pengaturan!$B$8:$B$27,B$4)))</f>
        <v>0</v>
      </c>
      <c r="C697" s="26" t="n">
        <f aca="false">IF(INDEX(Pengaturan!$B$8:$B$27,C$4)="",0,COUNTIF(Data!$B697:$U697,INDEX(Pengaturan!$B$8:$B$27,C$4)))</f>
        <v>0</v>
      </c>
      <c r="D697" s="26" t="n">
        <f aca="false">IF(INDEX(Pengaturan!$B$8:$B$27,D$4)="",0,COUNTIF(Data!$B697:$U697,INDEX(Pengaturan!$B$8:$B$27,D$4)))</f>
        <v>0</v>
      </c>
      <c r="E697" s="26" t="n">
        <f aca="false">IF(INDEX(Pengaturan!$B$8:$B$27,E$4)="",0,COUNTIF(Data!$B697:$U697,INDEX(Pengaturan!$B$8:$B$27,E$4)))</f>
        <v>0</v>
      </c>
      <c r="F697" s="26" t="n">
        <f aca="false">IF(INDEX(Pengaturan!$B$8:$B$27,F$4)="",0,COUNTIF(Data!$B697:$U697,INDEX(Pengaturan!$B$8:$B$27,F$4)))</f>
        <v>0</v>
      </c>
      <c r="G697" s="26" t="n">
        <f aca="false">IF(INDEX(Pengaturan!$B$8:$B$27,G$4)="",0,COUNTIF(Data!$B697:$U697,INDEX(Pengaturan!$B$8:$B$27,G$4)))</f>
        <v>0</v>
      </c>
      <c r="H697" s="26" t="n">
        <f aca="false">IF(INDEX(Pengaturan!$B$8:$B$27,H$4)="",0,COUNTIF(Data!$B697:$U697,INDEX(Pengaturan!$B$8:$B$27,H$4)))</f>
        <v>0</v>
      </c>
      <c r="I697" s="26" t="n">
        <f aca="false">IF(INDEX(Pengaturan!$B$8:$B$27,I$4)="",0,COUNTIF(Data!$B697:$U697,INDEX(Pengaturan!$B$8:$B$27,I$4)))</f>
        <v>0</v>
      </c>
      <c r="J697" s="26" t="n">
        <f aca="false">IF(INDEX(Pengaturan!$B$8:$B$27,J$4)="",0,COUNTIF(Data!$B697:$U697,INDEX(Pengaturan!$B$8:$B$27,J$4)))</f>
        <v>0</v>
      </c>
      <c r="K697" s="26" t="n">
        <f aca="false">IF(INDEX(Pengaturan!$B$8:$B$27,K$4)="",0,COUNTIF(Data!$B697:$U697,INDEX(Pengaturan!$B$8:$B$27,K$4)))</f>
        <v>0</v>
      </c>
      <c r="L697" s="26" t="n">
        <f aca="false">IF(INDEX(Pengaturan!$B$8:$B$27,L$4)="",0,COUNTIF(Data!$B697:$U697,INDEX(Pengaturan!$B$8:$B$27,L$4)))</f>
        <v>0</v>
      </c>
      <c r="M697" s="26" t="n">
        <f aca="false">IF(INDEX(Pengaturan!$B$8:$B$27,M$4)="",0,COUNTIF(Data!$B697:$U697,INDEX(Pengaturan!$B$8:$B$27,M$4)))</f>
        <v>0</v>
      </c>
      <c r="N697" s="26" t="n">
        <f aca="false">IF(INDEX(Pengaturan!$B$8:$B$27,N$4)="",0,COUNTIF(Data!$B697:$U697,INDEX(Pengaturan!$B$8:$B$27,N$4)))</f>
        <v>0</v>
      </c>
      <c r="O697" s="26" t="n">
        <f aca="false">IF(INDEX(Pengaturan!$B$8:$B$27,O$4)="",0,COUNTIF(Data!$B697:$U697,INDEX(Pengaturan!$B$8:$B$27,O$4)))</f>
        <v>0</v>
      </c>
      <c r="P697" s="26" t="n">
        <f aca="false">IF(INDEX(Pengaturan!$B$8:$B$27,P$4)="",0,COUNTIF(Data!$B697:$U697,INDEX(Pengaturan!$B$8:$B$27,P$4)))</f>
        <v>0</v>
      </c>
      <c r="Q697" s="26" t="n">
        <f aca="false">IF(INDEX(Pengaturan!$B$8:$B$27,Q$4)="",0,COUNTIF(Data!$B697:$U697,INDEX(Pengaturan!$B$8:$B$27,Q$4)))</f>
        <v>0</v>
      </c>
      <c r="R697" s="26" t="n">
        <f aca="false">IF(INDEX(Pengaturan!$B$8:$B$27,R$4)="",0,COUNTIF(Data!$B697:$U697,INDEX(Pengaturan!$B$8:$B$27,R$4)))</f>
        <v>0</v>
      </c>
      <c r="S697" s="26" t="n">
        <f aca="false">IF(INDEX(Pengaturan!$B$8:$B$27,S$4)="",0,COUNTIF(Data!$B697:$U697,INDEX(Pengaturan!$B$8:$B$27,S$4)))</f>
        <v>0</v>
      </c>
      <c r="T697" s="26" t="n">
        <f aca="false">IF(INDEX(Pengaturan!$B$8:$B$27,T$4)="",0,COUNTIF(Data!$B697:$U697,INDEX(Pengaturan!$B$8:$B$27,T$4)))</f>
        <v>0</v>
      </c>
      <c r="U697" s="26" t="n">
        <f aca="false">IF(INDEX(Pengaturan!$B$8:$B$27,U$4)="",0,COUNTIF(Data!$B697:$U697,INDEX(Pengaturan!$B$8:$B$27,U$4)))</f>
        <v>0</v>
      </c>
      <c r="V697" s="26" t="n">
        <f aca="false">COUNTA(Data!$B697:$U697)</f>
        <v>0</v>
      </c>
      <c r="W697" s="27" t="str">
        <f aca="false">IF(V697=0,"",IF(V697&lt;&gt;Hasil!$C$4,"Data kosong/tidak lengkap",IF(SUM(B697:U697)&lt;&gt;V697,"Kategori tidak dikenal","OK")))</f>
        <v/>
      </c>
      <c r="X697" s="26" t="n">
        <f aca="false">IF(OR(W697="",W697="OK"),0,1)</f>
        <v>0</v>
      </c>
    </row>
    <row r="698" customFormat="false" ht="15" hidden="false" customHeight="false" outlineLevel="0" collapsed="false">
      <c r="A698" s="26" t="n">
        <f aca="false">Data!A698</f>
        <v>693</v>
      </c>
      <c r="B698" s="26" t="n">
        <f aca="false">IF(INDEX(Pengaturan!$B$8:$B$27,B$4)="",0,COUNTIF(Data!$B698:$U698,INDEX(Pengaturan!$B$8:$B$27,B$4)))</f>
        <v>0</v>
      </c>
      <c r="C698" s="26" t="n">
        <f aca="false">IF(INDEX(Pengaturan!$B$8:$B$27,C$4)="",0,COUNTIF(Data!$B698:$U698,INDEX(Pengaturan!$B$8:$B$27,C$4)))</f>
        <v>0</v>
      </c>
      <c r="D698" s="26" t="n">
        <f aca="false">IF(INDEX(Pengaturan!$B$8:$B$27,D$4)="",0,COUNTIF(Data!$B698:$U698,INDEX(Pengaturan!$B$8:$B$27,D$4)))</f>
        <v>0</v>
      </c>
      <c r="E698" s="26" t="n">
        <f aca="false">IF(INDEX(Pengaturan!$B$8:$B$27,E$4)="",0,COUNTIF(Data!$B698:$U698,INDEX(Pengaturan!$B$8:$B$27,E$4)))</f>
        <v>0</v>
      </c>
      <c r="F698" s="26" t="n">
        <f aca="false">IF(INDEX(Pengaturan!$B$8:$B$27,F$4)="",0,COUNTIF(Data!$B698:$U698,INDEX(Pengaturan!$B$8:$B$27,F$4)))</f>
        <v>0</v>
      </c>
      <c r="G698" s="26" t="n">
        <f aca="false">IF(INDEX(Pengaturan!$B$8:$B$27,G$4)="",0,COUNTIF(Data!$B698:$U698,INDEX(Pengaturan!$B$8:$B$27,G$4)))</f>
        <v>0</v>
      </c>
      <c r="H698" s="26" t="n">
        <f aca="false">IF(INDEX(Pengaturan!$B$8:$B$27,H$4)="",0,COUNTIF(Data!$B698:$U698,INDEX(Pengaturan!$B$8:$B$27,H$4)))</f>
        <v>0</v>
      </c>
      <c r="I698" s="26" t="n">
        <f aca="false">IF(INDEX(Pengaturan!$B$8:$B$27,I$4)="",0,COUNTIF(Data!$B698:$U698,INDEX(Pengaturan!$B$8:$B$27,I$4)))</f>
        <v>0</v>
      </c>
      <c r="J698" s="26" t="n">
        <f aca="false">IF(INDEX(Pengaturan!$B$8:$B$27,J$4)="",0,COUNTIF(Data!$B698:$U698,INDEX(Pengaturan!$B$8:$B$27,J$4)))</f>
        <v>0</v>
      </c>
      <c r="K698" s="26" t="n">
        <f aca="false">IF(INDEX(Pengaturan!$B$8:$B$27,K$4)="",0,COUNTIF(Data!$B698:$U698,INDEX(Pengaturan!$B$8:$B$27,K$4)))</f>
        <v>0</v>
      </c>
      <c r="L698" s="26" t="n">
        <f aca="false">IF(INDEX(Pengaturan!$B$8:$B$27,L$4)="",0,COUNTIF(Data!$B698:$U698,INDEX(Pengaturan!$B$8:$B$27,L$4)))</f>
        <v>0</v>
      </c>
      <c r="M698" s="26" t="n">
        <f aca="false">IF(INDEX(Pengaturan!$B$8:$B$27,M$4)="",0,COUNTIF(Data!$B698:$U698,INDEX(Pengaturan!$B$8:$B$27,M$4)))</f>
        <v>0</v>
      </c>
      <c r="N698" s="26" t="n">
        <f aca="false">IF(INDEX(Pengaturan!$B$8:$B$27,N$4)="",0,COUNTIF(Data!$B698:$U698,INDEX(Pengaturan!$B$8:$B$27,N$4)))</f>
        <v>0</v>
      </c>
      <c r="O698" s="26" t="n">
        <f aca="false">IF(INDEX(Pengaturan!$B$8:$B$27,O$4)="",0,COUNTIF(Data!$B698:$U698,INDEX(Pengaturan!$B$8:$B$27,O$4)))</f>
        <v>0</v>
      </c>
      <c r="P698" s="26" t="n">
        <f aca="false">IF(INDEX(Pengaturan!$B$8:$B$27,P$4)="",0,COUNTIF(Data!$B698:$U698,INDEX(Pengaturan!$B$8:$B$27,P$4)))</f>
        <v>0</v>
      </c>
      <c r="Q698" s="26" t="n">
        <f aca="false">IF(INDEX(Pengaturan!$B$8:$B$27,Q$4)="",0,COUNTIF(Data!$B698:$U698,INDEX(Pengaturan!$B$8:$B$27,Q$4)))</f>
        <v>0</v>
      </c>
      <c r="R698" s="26" t="n">
        <f aca="false">IF(INDEX(Pengaturan!$B$8:$B$27,R$4)="",0,COUNTIF(Data!$B698:$U698,INDEX(Pengaturan!$B$8:$B$27,R$4)))</f>
        <v>0</v>
      </c>
      <c r="S698" s="26" t="n">
        <f aca="false">IF(INDEX(Pengaturan!$B$8:$B$27,S$4)="",0,COUNTIF(Data!$B698:$U698,INDEX(Pengaturan!$B$8:$B$27,S$4)))</f>
        <v>0</v>
      </c>
      <c r="T698" s="26" t="n">
        <f aca="false">IF(INDEX(Pengaturan!$B$8:$B$27,T$4)="",0,COUNTIF(Data!$B698:$U698,INDEX(Pengaturan!$B$8:$B$27,T$4)))</f>
        <v>0</v>
      </c>
      <c r="U698" s="26" t="n">
        <f aca="false">IF(INDEX(Pengaturan!$B$8:$B$27,U$4)="",0,COUNTIF(Data!$B698:$U698,INDEX(Pengaturan!$B$8:$B$27,U$4)))</f>
        <v>0</v>
      </c>
      <c r="V698" s="26" t="n">
        <f aca="false">COUNTA(Data!$B698:$U698)</f>
        <v>0</v>
      </c>
      <c r="W698" s="27" t="str">
        <f aca="false">IF(V698=0,"",IF(V698&lt;&gt;Hasil!$C$4,"Data kosong/tidak lengkap",IF(SUM(B698:U698)&lt;&gt;V698,"Kategori tidak dikenal","OK")))</f>
        <v/>
      </c>
      <c r="X698" s="26" t="n">
        <f aca="false">IF(OR(W698="",W698="OK"),0,1)</f>
        <v>0</v>
      </c>
    </row>
    <row r="699" customFormat="false" ht="15" hidden="false" customHeight="false" outlineLevel="0" collapsed="false">
      <c r="A699" s="26" t="n">
        <f aca="false">Data!A699</f>
        <v>694</v>
      </c>
      <c r="B699" s="26" t="n">
        <f aca="false">IF(INDEX(Pengaturan!$B$8:$B$27,B$4)="",0,COUNTIF(Data!$B699:$U699,INDEX(Pengaturan!$B$8:$B$27,B$4)))</f>
        <v>0</v>
      </c>
      <c r="C699" s="26" t="n">
        <f aca="false">IF(INDEX(Pengaturan!$B$8:$B$27,C$4)="",0,COUNTIF(Data!$B699:$U699,INDEX(Pengaturan!$B$8:$B$27,C$4)))</f>
        <v>0</v>
      </c>
      <c r="D699" s="26" t="n">
        <f aca="false">IF(INDEX(Pengaturan!$B$8:$B$27,D$4)="",0,COUNTIF(Data!$B699:$U699,INDEX(Pengaturan!$B$8:$B$27,D$4)))</f>
        <v>0</v>
      </c>
      <c r="E699" s="26" t="n">
        <f aca="false">IF(INDEX(Pengaturan!$B$8:$B$27,E$4)="",0,COUNTIF(Data!$B699:$U699,INDEX(Pengaturan!$B$8:$B$27,E$4)))</f>
        <v>0</v>
      </c>
      <c r="F699" s="26" t="n">
        <f aca="false">IF(INDEX(Pengaturan!$B$8:$B$27,F$4)="",0,COUNTIF(Data!$B699:$U699,INDEX(Pengaturan!$B$8:$B$27,F$4)))</f>
        <v>0</v>
      </c>
      <c r="G699" s="26" t="n">
        <f aca="false">IF(INDEX(Pengaturan!$B$8:$B$27,G$4)="",0,COUNTIF(Data!$B699:$U699,INDEX(Pengaturan!$B$8:$B$27,G$4)))</f>
        <v>0</v>
      </c>
      <c r="H699" s="26" t="n">
        <f aca="false">IF(INDEX(Pengaturan!$B$8:$B$27,H$4)="",0,COUNTIF(Data!$B699:$U699,INDEX(Pengaturan!$B$8:$B$27,H$4)))</f>
        <v>0</v>
      </c>
      <c r="I699" s="26" t="n">
        <f aca="false">IF(INDEX(Pengaturan!$B$8:$B$27,I$4)="",0,COUNTIF(Data!$B699:$U699,INDEX(Pengaturan!$B$8:$B$27,I$4)))</f>
        <v>0</v>
      </c>
      <c r="J699" s="26" t="n">
        <f aca="false">IF(INDEX(Pengaturan!$B$8:$B$27,J$4)="",0,COUNTIF(Data!$B699:$U699,INDEX(Pengaturan!$B$8:$B$27,J$4)))</f>
        <v>0</v>
      </c>
      <c r="K699" s="26" t="n">
        <f aca="false">IF(INDEX(Pengaturan!$B$8:$B$27,K$4)="",0,COUNTIF(Data!$B699:$U699,INDEX(Pengaturan!$B$8:$B$27,K$4)))</f>
        <v>0</v>
      </c>
      <c r="L699" s="26" t="n">
        <f aca="false">IF(INDEX(Pengaturan!$B$8:$B$27,L$4)="",0,COUNTIF(Data!$B699:$U699,INDEX(Pengaturan!$B$8:$B$27,L$4)))</f>
        <v>0</v>
      </c>
      <c r="M699" s="26" t="n">
        <f aca="false">IF(INDEX(Pengaturan!$B$8:$B$27,M$4)="",0,COUNTIF(Data!$B699:$U699,INDEX(Pengaturan!$B$8:$B$27,M$4)))</f>
        <v>0</v>
      </c>
      <c r="N699" s="26" t="n">
        <f aca="false">IF(INDEX(Pengaturan!$B$8:$B$27,N$4)="",0,COUNTIF(Data!$B699:$U699,INDEX(Pengaturan!$B$8:$B$27,N$4)))</f>
        <v>0</v>
      </c>
      <c r="O699" s="26" t="n">
        <f aca="false">IF(INDEX(Pengaturan!$B$8:$B$27,O$4)="",0,COUNTIF(Data!$B699:$U699,INDEX(Pengaturan!$B$8:$B$27,O$4)))</f>
        <v>0</v>
      </c>
      <c r="P699" s="26" t="n">
        <f aca="false">IF(INDEX(Pengaturan!$B$8:$B$27,P$4)="",0,COUNTIF(Data!$B699:$U699,INDEX(Pengaturan!$B$8:$B$27,P$4)))</f>
        <v>0</v>
      </c>
      <c r="Q699" s="26" t="n">
        <f aca="false">IF(INDEX(Pengaturan!$B$8:$B$27,Q$4)="",0,COUNTIF(Data!$B699:$U699,INDEX(Pengaturan!$B$8:$B$27,Q$4)))</f>
        <v>0</v>
      </c>
      <c r="R699" s="26" t="n">
        <f aca="false">IF(INDEX(Pengaturan!$B$8:$B$27,R$4)="",0,COUNTIF(Data!$B699:$U699,INDEX(Pengaturan!$B$8:$B$27,R$4)))</f>
        <v>0</v>
      </c>
      <c r="S699" s="26" t="n">
        <f aca="false">IF(INDEX(Pengaturan!$B$8:$B$27,S$4)="",0,COUNTIF(Data!$B699:$U699,INDEX(Pengaturan!$B$8:$B$27,S$4)))</f>
        <v>0</v>
      </c>
      <c r="T699" s="26" t="n">
        <f aca="false">IF(INDEX(Pengaturan!$B$8:$B$27,T$4)="",0,COUNTIF(Data!$B699:$U699,INDEX(Pengaturan!$B$8:$B$27,T$4)))</f>
        <v>0</v>
      </c>
      <c r="U699" s="26" t="n">
        <f aca="false">IF(INDEX(Pengaturan!$B$8:$B$27,U$4)="",0,COUNTIF(Data!$B699:$U699,INDEX(Pengaturan!$B$8:$B$27,U$4)))</f>
        <v>0</v>
      </c>
      <c r="V699" s="26" t="n">
        <f aca="false">COUNTA(Data!$B699:$U699)</f>
        <v>0</v>
      </c>
      <c r="W699" s="27" t="str">
        <f aca="false">IF(V699=0,"",IF(V699&lt;&gt;Hasil!$C$4,"Data kosong/tidak lengkap",IF(SUM(B699:U699)&lt;&gt;V699,"Kategori tidak dikenal","OK")))</f>
        <v/>
      </c>
      <c r="X699" s="26" t="n">
        <f aca="false">IF(OR(W699="",W699="OK"),0,1)</f>
        <v>0</v>
      </c>
    </row>
    <row r="700" customFormat="false" ht="15" hidden="false" customHeight="false" outlineLevel="0" collapsed="false">
      <c r="A700" s="26" t="n">
        <f aca="false">Data!A700</f>
        <v>695</v>
      </c>
      <c r="B700" s="26" t="n">
        <f aca="false">IF(INDEX(Pengaturan!$B$8:$B$27,B$4)="",0,COUNTIF(Data!$B700:$U700,INDEX(Pengaturan!$B$8:$B$27,B$4)))</f>
        <v>0</v>
      </c>
      <c r="C700" s="26" t="n">
        <f aca="false">IF(INDEX(Pengaturan!$B$8:$B$27,C$4)="",0,COUNTIF(Data!$B700:$U700,INDEX(Pengaturan!$B$8:$B$27,C$4)))</f>
        <v>0</v>
      </c>
      <c r="D700" s="26" t="n">
        <f aca="false">IF(INDEX(Pengaturan!$B$8:$B$27,D$4)="",0,COUNTIF(Data!$B700:$U700,INDEX(Pengaturan!$B$8:$B$27,D$4)))</f>
        <v>0</v>
      </c>
      <c r="E700" s="26" t="n">
        <f aca="false">IF(INDEX(Pengaturan!$B$8:$B$27,E$4)="",0,COUNTIF(Data!$B700:$U700,INDEX(Pengaturan!$B$8:$B$27,E$4)))</f>
        <v>0</v>
      </c>
      <c r="F700" s="26" t="n">
        <f aca="false">IF(INDEX(Pengaturan!$B$8:$B$27,F$4)="",0,COUNTIF(Data!$B700:$U700,INDEX(Pengaturan!$B$8:$B$27,F$4)))</f>
        <v>0</v>
      </c>
      <c r="G700" s="26" t="n">
        <f aca="false">IF(INDEX(Pengaturan!$B$8:$B$27,G$4)="",0,COUNTIF(Data!$B700:$U700,INDEX(Pengaturan!$B$8:$B$27,G$4)))</f>
        <v>0</v>
      </c>
      <c r="H700" s="26" t="n">
        <f aca="false">IF(INDEX(Pengaturan!$B$8:$B$27,H$4)="",0,COUNTIF(Data!$B700:$U700,INDEX(Pengaturan!$B$8:$B$27,H$4)))</f>
        <v>0</v>
      </c>
      <c r="I700" s="26" t="n">
        <f aca="false">IF(INDEX(Pengaturan!$B$8:$B$27,I$4)="",0,COUNTIF(Data!$B700:$U700,INDEX(Pengaturan!$B$8:$B$27,I$4)))</f>
        <v>0</v>
      </c>
      <c r="J700" s="26" t="n">
        <f aca="false">IF(INDEX(Pengaturan!$B$8:$B$27,J$4)="",0,COUNTIF(Data!$B700:$U700,INDEX(Pengaturan!$B$8:$B$27,J$4)))</f>
        <v>0</v>
      </c>
      <c r="K700" s="26" t="n">
        <f aca="false">IF(INDEX(Pengaturan!$B$8:$B$27,K$4)="",0,COUNTIF(Data!$B700:$U700,INDEX(Pengaturan!$B$8:$B$27,K$4)))</f>
        <v>0</v>
      </c>
      <c r="L700" s="26" t="n">
        <f aca="false">IF(INDEX(Pengaturan!$B$8:$B$27,L$4)="",0,COUNTIF(Data!$B700:$U700,INDEX(Pengaturan!$B$8:$B$27,L$4)))</f>
        <v>0</v>
      </c>
      <c r="M700" s="26" t="n">
        <f aca="false">IF(INDEX(Pengaturan!$B$8:$B$27,M$4)="",0,COUNTIF(Data!$B700:$U700,INDEX(Pengaturan!$B$8:$B$27,M$4)))</f>
        <v>0</v>
      </c>
      <c r="N700" s="26" t="n">
        <f aca="false">IF(INDEX(Pengaturan!$B$8:$B$27,N$4)="",0,COUNTIF(Data!$B700:$U700,INDEX(Pengaturan!$B$8:$B$27,N$4)))</f>
        <v>0</v>
      </c>
      <c r="O700" s="26" t="n">
        <f aca="false">IF(INDEX(Pengaturan!$B$8:$B$27,O$4)="",0,COUNTIF(Data!$B700:$U700,INDEX(Pengaturan!$B$8:$B$27,O$4)))</f>
        <v>0</v>
      </c>
      <c r="P700" s="26" t="n">
        <f aca="false">IF(INDEX(Pengaturan!$B$8:$B$27,P$4)="",0,COUNTIF(Data!$B700:$U700,INDEX(Pengaturan!$B$8:$B$27,P$4)))</f>
        <v>0</v>
      </c>
      <c r="Q700" s="26" t="n">
        <f aca="false">IF(INDEX(Pengaturan!$B$8:$B$27,Q$4)="",0,COUNTIF(Data!$B700:$U700,INDEX(Pengaturan!$B$8:$B$27,Q$4)))</f>
        <v>0</v>
      </c>
      <c r="R700" s="26" t="n">
        <f aca="false">IF(INDEX(Pengaturan!$B$8:$B$27,R$4)="",0,COUNTIF(Data!$B700:$U700,INDEX(Pengaturan!$B$8:$B$27,R$4)))</f>
        <v>0</v>
      </c>
      <c r="S700" s="26" t="n">
        <f aca="false">IF(INDEX(Pengaturan!$B$8:$B$27,S$4)="",0,COUNTIF(Data!$B700:$U700,INDEX(Pengaturan!$B$8:$B$27,S$4)))</f>
        <v>0</v>
      </c>
      <c r="T700" s="26" t="n">
        <f aca="false">IF(INDEX(Pengaturan!$B$8:$B$27,T$4)="",0,COUNTIF(Data!$B700:$U700,INDEX(Pengaturan!$B$8:$B$27,T$4)))</f>
        <v>0</v>
      </c>
      <c r="U700" s="26" t="n">
        <f aca="false">IF(INDEX(Pengaturan!$B$8:$B$27,U$4)="",0,COUNTIF(Data!$B700:$U700,INDEX(Pengaturan!$B$8:$B$27,U$4)))</f>
        <v>0</v>
      </c>
      <c r="V700" s="26" t="n">
        <f aca="false">COUNTA(Data!$B700:$U700)</f>
        <v>0</v>
      </c>
      <c r="W700" s="27" t="str">
        <f aca="false">IF(V700=0,"",IF(V700&lt;&gt;Hasil!$C$4,"Data kosong/tidak lengkap",IF(SUM(B700:U700)&lt;&gt;V700,"Kategori tidak dikenal","OK")))</f>
        <v/>
      </c>
      <c r="X700" s="26" t="n">
        <f aca="false">IF(OR(W700="",W700="OK"),0,1)</f>
        <v>0</v>
      </c>
    </row>
    <row r="701" customFormat="false" ht="15" hidden="false" customHeight="false" outlineLevel="0" collapsed="false">
      <c r="A701" s="26" t="n">
        <f aca="false">Data!A701</f>
        <v>696</v>
      </c>
      <c r="B701" s="26" t="n">
        <f aca="false">IF(INDEX(Pengaturan!$B$8:$B$27,B$4)="",0,COUNTIF(Data!$B701:$U701,INDEX(Pengaturan!$B$8:$B$27,B$4)))</f>
        <v>0</v>
      </c>
      <c r="C701" s="26" t="n">
        <f aca="false">IF(INDEX(Pengaturan!$B$8:$B$27,C$4)="",0,COUNTIF(Data!$B701:$U701,INDEX(Pengaturan!$B$8:$B$27,C$4)))</f>
        <v>0</v>
      </c>
      <c r="D701" s="26" t="n">
        <f aca="false">IF(INDEX(Pengaturan!$B$8:$B$27,D$4)="",0,COUNTIF(Data!$B701:$U701,INDEX(Pengaturan!$B$8:$B$27,D$4)))</f>
        <v>0</v>
      </c>
      <c r="E701" s="26" t="n">
        <f aca="false">IF(INDEX(Pengaturan!$B$8:$B$27,E$4)="",0,COUNTIF(Data!$B701:$U701,INDEX(Pengaturan!$B$8:$B$27,E$4)))</f>
        <v>0</v>
      </c>
      <c r="F701" s="26" t="n">
        <f aca="false">IF(INDEX(Pengaturan!$B$8:$B$27,F$4)="",0,COUNTIF(Data!$B701:$U701,INDEX(Pengaturan!$B$8:$B$27,F$4)))</f>
        <v>0</v>
      </c>
      <c r="G701" s="26" t="n">
        <f aca="false">IF(INDEX(Pengaturan!$B$8:$B$27,G$4)="",0,COUNTIF(Data!$B701:$U701,INDEX(Pengaturan!$B$8:$B$27,G$4)))</f>
        <v>0</v>
      </c>
      <c r="H701" s="26" t="n">
        <f aca="false">IF(INDEX(Pengaturan!$B$8:$B$27,H$4)="",0,COUNTIF(Data!$B701:$U701,INDEX(Pengaturan!$B$8:$B$27,H$4)))</f>
        <v>0</v>
      </c>
      <c r="I701" s="26" t="n">
        <f aca="false">IF(INDEX(Pengaturan!$B$8:$B$27,I$4)="",0,COUNTIF(Data!$B701:$U701,INDEX(Pengaturan!$B$8:$B$27,I$4)))</f>
        <v>0</v>
      </c>
      <c r="J701" s="26" t="n">
        <f aca="false">IF(INDEX(Pengaturan!$B$8:$B$27,J$4)="",0,COUNTIF(Data!$B701:$U701,INDEX(Pengaturan!$B$8:$B$27,J$4)))</f>
        <v>0</v>
      </c>
      <c r="K701" s="26" t="n">
        <f aca="false">IF(INDEX(Pengaturan!$B$8:$B$27,K$4)="",0,COUNTIF(Data!$B701:$U701,INDEX(Pengaturan!$B$8:$B$27,K$4)))</f>
        <v>0</v>
      </c>
      <c r="L701" s="26" t="n">
        <f aca="false">IF(INDEX(Pengaturan!$B$8:$B$27,L$4)="",0,COUNTIF(Data!$B701:$U701,INDEX(Pengaturan!$B$8:$B$27,L$4)))</f>
        <v>0</v>
      </c>
      <c r="M701" s="26" t="n">
        <f aca="false">IF(INDEX(Pengaturan!$B$8:$B$27,M$4)="",0,COUNTIF(Data!$B701:$U701,INDEX(Pengaturan!$B$8:$B$27,M$4)))</f>
        <v>0</v>
      </c>
      <c r="N701" s="26" t="n">
        <f aca="false">IF(INDEX(Pengaturan!$B$8:$B$27,N$4)="",0,COUNTIF(Data!$B701:$U701,INDEX(Pengaturan!$B$8:$B$27,N$4)))</f>
        <v>0</v>
      </c>
      <c r="O701" s="26" t="n">
        <f aca="false">IF(INDEX(Pengaturan!$B$8:$B$27,O$4)="",0,COUNTIF(Data!$B701:$U701,INDEX(Pengaturan!$B$8:$B$27,O$4)))</f>
        <v>0</v>
      </c>
      <c r="P701" s="26" t="n">
        <f aca="false">IF(INDEX(Pengaturan!$B$8:$B$27,P$4)="",0,COUNTIF(Data!$B701:$U701,INDEX(Pengaturan!$B$8:$B$27,P$4)))</f>
        <v>0</v>
      </c>
      <c r="Q701" s="26" t="n">
        <f aca="false">IF(INDEX(Pengaturan!$B$8:$B$27,Q$4)="",0,COUNTIF(Data!$B701:$U701,INDEX(Pengaturan!$B$8:$B$27,Q$4)))</f>
        <v>0</v>
      </c>
      <c r="R701" s="26" t="n">
        <f aca="false">IF(INDEX(Pengaturan!$B$8:$B$27,R$4)="",0,COUNTIF(Data!$B701:$U701,INDEX(Pengaturan!$B$8:$B$27,R$4)))</f>
        <v>0</v>
      </c>
      <c r="S701" s="26" t="n">
        <f aca="false">IF(INDEX(Pengaturan!$B$8:$B$27,S$4)="",0,COUNTIF(Data!$B701:$U701,INDEX(Pengaturan!$B$8:$B$27,S$4)))</f>
        <v>0</v>
      </c>
      <c r="T701" s="26" t="n">
        <f aca="false">IF(INDEX(Pengaturan!$B$8:$B$27,T$4)="",0,COUNTIF(Data!$B701:$U701,INDEX(Pengaturan!$B$8:$B$27,T$4)))</f>
        <v>0</v>
      </c>
      <c r="U701" s="26" t="n">
        <f aca="false">IF(INDEX(Pengaturan!$B$8:$B$27,U$4)="",0,COUNTIF(Data!$B701:$U701,INDEX(Pengaturan!$B$8:$B$27,U$4)))</f>
        <v>0</v>
      </c>
      <c r="V701" s="26" t="n">
        <f aca="false">COUNTA(Data!$B701:$U701)</f>
        <v>0</v>
      </c>
      <c r="W701" s="27" t="str">
        <f aca="false">IF(V701=0,"",IF(V701&lt;&gt;Hasil!$C$4,"Data kosong/tidak lengkap",IF(SUM(B701:U701)&lt;&gt;V701,"Kategori tidak dikenal","OK")))</f>
        <v/>
      </c>
      <c r="X701" s="26" t="n">
        <f aca="false">IF(OR(W701="",W701="OK"),0,1)</f>
        <v>0</v>
      </c>
    </row>
    <row r="702" customFormat="false" ht="15" hidden="false" customHeight="false" outlineLevel="0" collapsed="false">
      <c r="A702" s="26" t="n">
        <f aca="false">Data!A702</f>
        <v>697</v>
      </c>
      <c r="B702" s="26" t="n">
        <f aca="false">IF(INDEX(Pengaturan!$B$8:$B$27,B$4)="",0,COUNTIF(Data!$B702:$U702,INDEX(Pengaturan!$B$8:$B$27,B$4)))</f>
        <v>0</v>
      </c>
      <c r="C702" s="26" t="n">
        <f aca="false">IF(INDEX(Pengaturan!$B$8:$B$27,C$4)="",0,COUNTIF(Data!$B702:$U702,INDEX(Pengaturan!$B$8:$B$27,C$4)))</f>
        <v>0</v>
      </c>
      <c r="D702" s="26" t="n">
        <f aca="false">IF(INDEX(Pengaturan!$B$8:$B$27,D$4)="",0,COUNTIF(Data!$B702:$U702,INDEX(Pengaturan!$B$8:$B$27,D$4)))</f>
        <v>0</v>
      </c>
      <c r="E702" s="26" t="n">
        <f aca="false">IF(INDEX(Pengaturan!$B$8:$B$27,E$4)="",0,COUNTIF(Data!$B702:$U702,INDEX(Pengaturan!$B$8:$B$27,E$4)))</f>
        <v>0</v>
      </c>
      <c r="F702" s="26" t="n">
        <f aca="false">IF(INDEX(Pengaturan!$B$8:$B$27,F$4)="",0,COUNTIF(Data!$B702:$U702,INDEX(Pengaturan!$B$8:$B$27,F$4)))</f>
        <v>0</v>
      </c>
      <c r="G702" s="26" t="n">
        <f aca="false">IF(INDEX(Pengaturan!$B$8:$B$27,G$4)="",0,COUNTIF(Data!$B702:$U702,INDEX(Pengaturan!$B$8:$B$27,G$4)))</f>
        <v>0</v>
      </c>
      <c r="H702" s="26" t="n">
        <f aca="false">IF(INDEX(Pengaturan!$B$8:$B$27,H$4)="",0,COUNTIF(Data!$B702:$U702,INDEX(Pengaturan!$B$8:$B$27,H$4)))</f>
        <v>0</v>
      </c>
      <c r="I702" s="26" t="n">
        <f aca="false">IF(INDEX(Pengaturan!$B$8:$B$27,I$4)="",0,COUNTIF(Data!$B702:$U702,INDEX(Pengaturan!$B$8:$B$27,I$4)))</f>
        <v>0</v>
      </c>
      <c r="J702" s="26" t="n">
        <f aca="false">IF(INDEX(Pengaturan!$B$8:$B$27,J$4)="",0,COUNTIF(Data!$B702:$U702,INDEX(Pengaturan!$B$8:$B$27,J$4)))</f>
        <v>0</v>
      </c>
      <c r="K702" s="26" t="n">
        <f aca="false">IF(INDEX(Pengaturan!$B$8:$B$27,K$4)="",0,COUNTIF(Data!$B702:$U702,INDEX(Pengaturan!$B$8:$B$27,K$4)))</f>
        <v>0</v>
      </c>
      <c r="L702" s="26" t="n">
        <f aca="false">IF(INDEX(Pengaturan!$B$8:$B$27,L$4)="",0,COUNTIF(Data!$B702:$U702,INDEX(Pengaturan!$B$8:$B$27,L$4)))</f>
        <v>0</v>
      </c>
      <c r="M702" s="26" t="n">
        <f aca="false">IF(INDEX(Pengaturan!$B$8:$B$27,M$4)="",0,COUNTIF(Data!$B702:$U702,INDEX(Pengaturan!$B$8:$B$27,M$4)))</f>
        <v>0</v>
      </c>
      <c r="N702" s="26" t="n">
        <f aca="false">IF(INDEX(Pengaturan!$B$8:$B$27,N$4)="",0,COUNTIF(Data!$B702:$U702,INDEX(Pengaturan!$B$8:$B$27,N$4)))</f>
        <v>0</v>
      </c>
      <c r="O702" s="26" t="n">
        <f aca="false">IF(INDEX(Pengaturan!$B$8:$B$27,O$4)="",0,COUNTIF(Data!$B702:$U702,INDEX(Pengaturan!$B$8:$B$27,O$4)))</f>
        <v>0</v>
      </c>
      <c r="P702" s="26" t="n">
        <f aca="false">IF(INDEX(Pengaturan!$B$8:$B$27,P$4)="",0,COUNTIF(Data!$B702:$U702,INDEX(Pengaturan!$B$8:$B$27,P$4)))</f>
        <v>0</v>
      </c>
      <c r="Q702" s="26" t="n">
        <f aca="false">IF(INDEX(Pengaturan!$B$8:$B$27,Q$4)="",0,COUNTIF(Data!$B702:$U702,INDEX(Pengaturan!$B$8:$B$27,Q$4)))</f>
        <v>0</v>
      </c>
      <c r="R702" s="26" t="n">
        <f aca="false">IF(INDEX(Pengaturan!$B$8:$B$27,R$4)="",0,COUNTIF(Data!$B702:$U702,INDEX(Pengaturan!$B$8:$B$27,R$4)))</f>
        <v>0</v>
      </c>
      <c r="S702" s="26" t="n">
        <f aca="false">IF(INDEX(Pengaturan!$B$8:$B$27,S$4)="",0,COUNTIF(Data!$B702:$U702,INDEX(Pengaturan!$B$8:$B$27,S$4)))</f>
        <v>0</v>
      </c>
      <c r="T702" s="26" t="n">
        <f aca="false">IF(INDEX(Pengaturan!$B$8:$B$27,T$4)="",0,COUNTIF(Data!$B702:$U702,INDEX(Pengaturan!$B$8:$B$27,T$4)))</f>
        <v>0</v>
      </c>
      <c r="U702" s="26" t="n">
        <f aca="false">IF(INDEX(Pengaturan!$B$8:$B$27,U$4)="",0,COUNTIF(Data!$B702:$U702,INDEX(Pengaturan!$B$8:$B$27,U$4)))</f>
        <v>0</v>
      </c>
      <c r="V702" s="26" t="n">
        <f aca="false">COUNTA(Data!$B702:$U702)</f>
        <v>0</v>
      </c>
      <c r="W702" s="27" t="str">
        <f aca="false">IF(V702=0,"",IF(V702&lt;&gt;Hasil!$C$4,"Data kosong/tidak lengkap",IF(SUM(B702:U702)&lt;&gt;V702,"Kategori tidak dikenal","OK")))</f>
        <v/>
      </c>
      <c r="X702" s="26" t="n">
        <f aca="false">IF(OR(W702="",W702="OK"),0,1)</f>
        <v>0</v>
      </c>
    </row>
    <row r="703" customFormat="false" ht="15" hidden="false" customHeight="false" outlineLevel="0" collapsed="false">
      <c r="A703" s="26" t="n">
        <f aca="false">Data!A703</f>
        <v>698</v>
      </c>
      <c r="B703" s="26" t="n">
        <f aca="false">IF(INDEX(Pengaturan!$B$8:$B$27,B$4)="",0,COUNTIF(Data!$B703:$U703,INDEX(Pengaturan!$B$8:$B$27,B$4)))</f>
        <v>0</v>
      </c>
      <c r="C703" s="26" t="n">
        <f aca="false">IF(INDEX(Pengaturan!$B$8:$B$27,C$4)="",0,COUNTIF(Data!$B703:$U703,INDEX(Pengaturan!$B$8:$B$27,C$4)))</f>
        <v>0</v>
      </c>
      <c r="D703" s="26" t="n">
        <f aca="false">IF(INDEX(Pengaturan!$B$8:$B$27,D$4)="",0,COUNTIF(Data!$B703:$U703,INDEX(Pengaturan!$B$8:$B$27,D$4)))</f>
        <v>0</v>
      </c>
      <c r="E703" s="26" t="n">
        <f aca="false">IF(INDEX(Pengaturan!$B$8:$B$27,E$4)="",0,COUNTIF(Data!$B703:$U703,INDEX(Pengaturan!$B$8:$B$27,E$4)))</f>
        <v>0</v>
      </c>
      <c r="F703" s="26" t="n">
        <f aca="false">IF(INDEX(Pengaturan!$B$8:$B$27,F$4)="",0,COUNTIF(Data!$B703:$U703,INDEX(Pengaturan!$B$8:$B$27,F$4)))</f>
        <v>0</v>
      </c>
      <c r="G703" s="26" t="n">
        <f aca="false">IF(INDEX(Pengaturan!$B$8:$B$27,G$4)="",0,COUNTIF(Data!$B703:$U703,INDEX(Pengaturan!$B$8:$B$27,G$4)))</f>
        <v>0</v>
      </c>
      <c r="H703" s="26" t="n">
        <f aca="false">IF(INDEX(Pengaturan!$B$8:$B$27,H$4)="",0,COUNTIF(Data!$B703:$U703,INDEX(Pengaturan!$B$8:$B$27,H$4)))</f>
        <v>0</v>
      </c>
      <c r="I703" s="26" t="n">
        <f aca="false">IF(INDEX(Pengaturan!$B$8:$B$27,I$4)="",0,COUNTIF(Data!$B703:$U703,INDEX(Pengaturan!$B$8:$B$27,I$4)))</f>
        <v>0</v>
      </c>
      <c r="J703" s="26" t="n">
        <f aca="false">IF(INDEX(Pengaturan!$B$8:$B$27,J$4)="",0,COUNTIF(Data!$B703:$U703,INDEX(Pengaturan!$B$8:$B$27,J$4)))</f>
        <v>0</v>
      </c>
      <c r="K703" s="26" t="n">
        <f aca="false">IF(INDEX(Pengaturan!$B$8:$B$27,K$4)="",0,COUNTIF(Data!$B703:$U703,INDEX(Pengaturan!$B$8:$B$27,K$4)))</f>
        <v>0</v>
      </c>
      <c r="L703" s="26" t="n">
        <f aca="false">IF(INDEX(Pengaturan!$B$8:$B$27,L$4)="",0,COUNTIF(Data!$B703:$U703,INDEX(Pengaturan!$B$8:$B$27,L$4)))</f>
        <v>0</v>
      </c>
      <c r="M703" s="26" t="n">
        <f aca="false">IF(INDEX(Pengaturan!$B$8:$B$27,M$4)="",0,COUNTIF(Data!$B703:$U703,INDEX(Pengaturan!$B$8:$B$27,M$4)))</f>
        <v>0</v>
      </c>
      <c r="N703" s="26" t="n">
        <f aca="false">IF(INDEX(Pengaturan!$B$8:$B$27,N$4)="",0,COUNTIF(Data!$B703:$U703,INDEX(Pengaturan!$B$8:$B$27,N$4)))</f>
        <v>0</v>
      </c>
      <c r="O703" s="26" t="n">
        <f aca="false">IF(INDEX(Pengaturan!$B$8:$B$27,O$4)="",0,COUNTIF(Data!$B703:$U703,INDEX(Pengaturan!$B$8:$B$27,O$4)))</f>
        <v>0</v>
      </c>
      <c r="P703" s="26" t="n">
        <f aca="false">IF(INDEX(Pengaturan!$B$8:$B$27,P$4)="",0,COUNTIF(Data!$B703:$U703,INDEX(Pengaturan!$B$8:$B$27,P$4)))</f>
        <v>0</v>
      </c>
      <c r="Q703" s="26" t="n">
        <f aca="false">IF(INDEX(Pengaturan!$B$8:$B$27,Q$4)="",0,COUNTIF(Data!$B703:$U703,INDEX(Pengaturan!$B$8:$B$27,Q$4)))</f>
        <v>0</v>
      </c>
      <c r="R703" s="26" t="n">
        <f aca="false">IF(INDEX(Pengaturan!$B$8:$B$27,R$4)="",0,COUNTIF(Data!$B703:$U703,INDEX(Pengaturan!$B$8:$B$27,R$4)))</f>
        <v>0</v>
      </c>
      <c r="S703" s="26" t="n">
        <f aca="false">IF(INDEX(Pengaturan!$B$8:$B$27,S$4)="",0,COUNTIF(Data!$B703:$U703,INDEX(Pengaturan!$B$8:$B$27,S$4)))</f>
        <v>0</v>
      </c>
      <c r="T703" s="26" t="n">
        <f aca="false">IF(INDEX(Pengaturan!$B$8:$B$27,T$4)="",0,COUNTIF(Data!$B703:$U703,INDEX(Pengaturan!$B$8:$B$27,T$4)))</f>
        <v>0</v>
      </c>
      <c r="U703" s="26" t="n">
        <f aca="false">IF(INDEX(Pengaturan!$B$8:$B$27,U$4)="",0,COUNTIF(Data!$B703:$U703,INDEX(Pengaturan!$B$8:$B$27,U$4)))</f>
        <v>0</v>
      </c>
      <c r="V703" s="26" t="n">
        <f aca="false">COUNTA(Data!$B703:$U703)</f>
        <v>0</v>
      </c>
      <c r="W703" s="27" t="str">
        <f aca="false">IF(V703=0,"",IF(V703&lt;&gt;Hasil!$C$4,"Data kosong/tidak lengkap",IF(SUM(B703:U703)&lt;&gt;V703,"Kategori tidak dikenal","OK")))</f>
        <v/>
      </c>
      <c r="X703" s="26" t="n">
        <f aca="false">IF(OR(W703="",W703="OK"),0,1)</f>
        <v>0</v>
      </c>
    </row>
    <row r="704" customFormat="false" ht="15" hidden="false" customHeight="false" outlineLevel="0" collapsed="false">
      <c r="A704" s="26" t="n">
        <f aca="false">Data!A704</f>
        <v>699</v>
      </c>
      <c r="B704" s="26" t="n">
        <f aca="false">IF(INDEX(Pengaturan!$B$8:$B$27,B$4)="",0,COUNTIF(Data!$B704:$U704,INDEX(Pengaturan!$B$8:$B$27,B$4)))</f>
        <v>0</v>
      </c>
      <c r="C704" s="26" t="n">
        <f aca="false">IF(INDEX(Pengaturan!$B$8:$B$27,C$4)="",0,COUNTIF(Data!$B704:$U704,INDEX(Pengaturan!$B$8:$B$27,C$4)))</f>
        <v>0</v>
      </c>
      <c r="D704" s="26" t="n">
        <f aca="false">IF(INDEX(Pengaturan!$B$8:$B$27,D$4)="",0,COUNTIF(Data!$B704:$U704,INDEX(Pengaturan!$B$8:$B$27,D$4)))</f>
        <v>0</v>
      </c>
      <c r="E704" s="26" t="n">
        <f aca="false">IF(INDEX(Pengaturan!$B$8:$B$27,E$4)="",0,COUNTIF(Data!$B704:$U704,INDEX(Pengaturan!$B$8:$B$27,E$4)))</f>
        <v>0</v>
      </c>
      <c r="F704" s="26" t="n">
        <f aca="false">IF(INDEX(Pengaturan!$B$8:$B$27,F$4)="",0,COUNTIF(Data!$B704:$U704,INDEX(Pengaturan!$B$8:$B$27,F$4)))</f>
        <v>0</v>
      </c>
      <c r="G704" s="26" t="n">
        <f aca="false">IF(INDEX(Pengaturan!$B$8:$B$27,G$4)="",0,COUNTIF(Data!$B704:$U704,INDEX(Pengaturan!$B$8:$B$27,G$4)))</f>
        <v>0</v>
      </c>
      <c r="H704" s="26" t="n">
        <f aca="false">IF(INDEX(Pengaturan!$B$8:$B$27,H$4)="",0,COUNTIF(Data!$B704:$U704,INDEX(Pengaturan!$B$8:$B$27,H$4)))</f>
        <v>0</v>
      </c>
      <c r="I704" s="26" t="n">
        <f aca="false">IF(INDEX(Pengaturan!$B$8:$B$27,I$4)="",0,COUNTIF(Data!$B704:$U704,INDEX(Pengaturan!$B$8:$B$27,I$4)))</f>
        <v>0</v>
      </c>
      <c r="J704" s="26" t="n">
        <f aca="false">IF(INDEX(Pengaturan!$B$8:$B$27,J$4)="",0,COUNTIF(Data!$B704:$U704,INDEX(Pengaturan!$B$8:$B$27,J$4)))</f>
        <v>0</v>
      </c>
      <c r="K704" s="26" t="n">
        <f aca="false">IF(INDEX(Pengaturan!$B$8:$B$27,K$4)="",0,COUNTIF(Data!$B704:$U704,INDEX(Pengaturan!$B$8:$B$27,K$4)))</f>
        <v>0</v>
      </c>
      <c r="L704" s="26" t="n">
        <f aca="false">IF(INDEX(Pengaturan!$B$8:$B$27,L$4)="",0,COUNTIF(Data!$B704:$U704,INDEX(Pengaturan!$B$8:$B$27,L$4)))</f>
        <v>0</v>
      </c>
      <c r="M704" s="26" t="n">
        <f aca="false">IF(INDEX(Pengaturan!$B$8:$B$27,M$4)="",0,COUNTIF(Data!$B704:$U704,INDEX(Pengaturan!$B$8:$B$27,M$4)))</f>
        <v>0</v>
      </c>
      <c r="N704" s="26" t="n">
        <f aca="false">IF(INDEX(Pengaturan!$B$8:$B$27,N$4)="",0,COUNTIF(Data!$B704:$U704,INDEX(Pengaturan!$B$8:$B$27,N$4)))</f>
        <v>0</v>
      </c>
      <c r="O704" s="26" t="n">
        <f aca="false">IF(INDEX(Pengaturan!$B$8:$B$27,O$4)="",0,COUNTIF(Data!$B704:$U704,INDEX(Pengaturan!$B$8:$B$27,O$4)))</f>
        <v>0</v>
      </c>
      <c r="P704" s="26" t="n">
        <f aca="false">IF(INDEX(Pengaturan!$B$8:$B$27,P$4)="",0,COUNTIF(Data!$B704:$U704,INDEX(Pengaturan!$B$8:$B$27,P$4)))</f>
        <v>0</v>
      </c>
      <c r="Q704" s="26" t="n">
        <f aca="false">IF(INDEX(Pengaturan!$B$8:$B$27,Q$4)="",0,COUNTIF(Data!$B704:$U704,INDEX(Pengaturan!$B$8:$B$27,Q$4)))</f>
        <v>0</v>
      </c>
      <c r="R704" s="26" t="n">
        <f aca="false">IF(INDEX(Pengaturan!$B$8:$B$27,R$4)="",0,COUNTIF(Data!$B704:$U704,INDEX(Pengaturan!$B$8:$B$27,R$4)))</f>
        <v>0</v>
      </c>
      <c r="S704" s="26" t="n">
        <f aca="false">IF(INDEX(Pengaturan!$B$8:$B$27,S$4)="",0,COUNTIF(Data!$B704:$U704,INDEX(Pengaturan!$B$8:$B$27,S$4)))</f>
        <v>0</v>
      </c>
      <c r="T704" s="26" t="n">
        <f aca="false">IF(INDEX(Pengaturan!$B$8:$B$27,T$4)="",0,COUNTIF(Data!$B704:$U704,INDEX(Pengaturan!$B$8:$B$27,T$4)))</f>
        <v>0</v>
      </c>
      <c r="U704" s="26" t="n">
        <f aca="false">IF(INDEX(Pengaturan!$B$8:$B$27,U$4)="",0,COUNTIF(Data!$B704:$U704,INDEX(Pengaturan!$B$8:$B$27,U$4)))</f>
        <v>0</v>
      </c>
      <c r="V704" s="26" t="n">
        <f aca="false">COUNTA(Data!$B704:$U704)</f>
        <v>0</v>
      </c>
      <c r="W704" s="27" t="str">
        <f aca="false">IF(V704=0,"",IF(V704&lt;&gt;Hasil!$C$4,"Data kosong/tidak lengkap",IF(SUM(B704:U704)&lt;&gt;V704,"Kategori tidak dikenal","OK")))</f>
        <v/>
      </c>
      <c r="X704" s="26" t="n">
        <f aca="false">IF(OR(W704="",W704="OK"),0,1)</f>
        <v>0</v>
      </c>
    </row>
    <row r="705" customFormat="false" ht="15" hidden="false" customHeight="false" outlineLevel="0" collapsed="false">
      <c r="A705" s="26" t="n">
        <f aca="false">Data!A705</f>
        <v>700</v>
      </c>
      <c r="B705" s="26" t="n">
        <f aca="false">IF(INDEX(Pengaturan!$B$8:$B$27,B$4)="",0,COUNTIF(Data!$B705:$U705,INDEX(Pengaturan!$B$8:$B$27,B$4)))</f>
        <v>0</v>
      </c>
      <c r="C705" s="26" t="n">
        <f aca="false">IF(INDEX(Pengaturan!$B$8:$B$27,C$4)="",0,COUNTIF(Data!$B705:$U705,INDEX(Pengaturan!$B$8:$B$27,C$4)))</f>
        <v>0</v>
      </c>
      <c r="D705" s="26" t="n">
        <f aca="false">IF(INDEX(Pengaturan!$B$8:$B$27,D$4)="",0,COUNTIF(Data!$B705:$U705,INDEX(Pengaturan!$B$8:$B$27,D$4)))</f>
        <v>0</v>
      </c>
      <c r="E705" s="26" t="n">
        <f aca="false">IF(INDEX(Pengaturan!$B$8:$B$27,E$4)="",0,COUNTIF(Data!$B705:$U705,INDEX(Pengaturan!$B$8:$B$27,E$4)))</f>
        <v>0</v>
      </c>
      <c r="F705" s="26" t="n">
        <f aca="false">IF(INDEX(Pengaturan!$B$8:$B$27,F$4)="",0,COUNTIF(Data!$B705:$U705,INDEX(Pengaturan!$B$8:$B$27,F$4)))</f>
        <v>0</v>
      </c>
      <c r="G705" s="26" t="n">
        <f aca="false">IF(INDEX(Pengaturan!$B$8:$B$27,G$4)="",0,COUNTIF(Data!$B705:$U705,INDEX(Pengaturan!$B$8:$B$27,G$4)))</f>
        <v>0</v>
      </c>
      <c r="H705" s="26" t="n">
        <f aca="false">IF(INDEX(Pengaturan!$B$8:$B$27,H$4)="",0,COUNTIF(Data!$B705:$U705,INDEX(Pengaturan!$B$8:$B$27,H$4)))</f>
        <v>0</v>
      </c>
      <c r="I705" s="26" t="n">
        <f aca="false">IF(INDEX(Pengaturan!$B$8:$B$27,I$4)="",0,COUNTIF(Data!$B705:$U705,INDEX(Pengaturan!$B$8:$B$27,I$4)))</f>
        <v>0</v>
      </c>
      <c r="J705" s="26" t="n">
        <f aca="false">IF(INDEX(Pengaturan!$B$8:$B$27,J$4)="",0,COUNTIF(Data!$B705:$U705,INDEX(Pengaturan!$B$8:$B$27,J$4)))</f>
        <v>0</v>
      </c>
      <c r="K705" s="26" t="n">
        <f aca="false">IF(INDEX(Pengaturan!$B$8:$B$27,K$4)="",0,COUNTIF(Data!$B705:$U705,INDEX(Pengaturan!$B$8:$B$27,K$4)))</f>
        <v>0</v>
      </c>
      <c r="L705" s="26" t="n">
        <f aca="false">IF(INDEX(Pengaturan!$B$8:$B$27,L$4)="",0,COUNTIF(Data!$B705:$U705,INDEX(Pengaturan!$B$8:$B$27,L$4)))</f>
        <v>0</v>
      </c>
      <c r="M705" s="26" t="n">
        <f aca="false">IF(INDEX(Pengaturan!$B$8:$B$27,M$4)="",0,COUNTIF(Data!$B705:$U705,INDEX(Pengaturan!$B$8:$B$27,M$4)))</f>
        <v>0</v>
      </c>
      <c r="N705" s="26" t="n">
        <f aca="false">IF(INDEX(Pengaturan!$B$8:$B$27,N$4)="",0,COUNTIF(Data!$B705:$U705,INDEX(Pengaturan!$B$8:$B$27,N$4)))</f>
        <v>0</v>
      </c>
      <c r="O705" s="26" t="n">
        <f aca="false">IF(INDEX(Pengaturan!$B$8:$B$27,O$4)="",0,COUNTIF(Data!$B705:$U705,INDEX(Pengaturan!$B$8:$B$27,O$4)))</f>
        <v>0</v>
      </c>
      <c r="P705" s="26" t="n">
        <f aca="false">IF(INDEX(Pengaturan!$B$8:$B$27,P$4)="",0,COUNTIF(Data!$B705:$U705,INDEX(Pengaturan!$B$8:$B$27,P$4)))</f>
        <v>0</v>
      </c>
      <c r="Q705" s="26" t="n">
        <f aca="false">IF(INDEX(Pengaturan!$B$8:$B$27,Q$4)="",0,COUNTIF(Data!$B705:$U705,INDEX(Pengaturan!$B$8:$B$27,Q$4)))</f>
        <v>0</v>
      </c>
      <c r="R705" s="26" t="n">
        <f aca="false">IF(INDEX(Pengaturan!$B$8:$B$27,R$4)="",0,COUNTIF(Data!$B705:$U705,INDEX(Pengaturan!$B$8:$B$27,R$4)))</f>
        <v>0</v>
      </c>
      <c r="S705" s="26" t="n">
        <f aca="false">IF(INDEX(Pengaturan!$B$8:$B$27,S$4)="",0,COUNTIF(Data!$B705:$U705,INDEX(Pengaturan!$B$8:$B$27,S$4)))</f>
        <v>0</v>
      </c>
      <c r="T705" s="26" t="n">
        <f aca="false">IF(INDEX(Pengaturan!$B$8:$B$27,T$4)="",0,COUNTIF(Data!$B705:$U705,INDEX(Pengaturan!$B$8:$B$27,T$4)))</f>
        <v>0</v>
      </c>
      <c r="U705" s="26" t="n">
        <f aca="false">IF(INDEX(Pengaturan!$B$8:$B$27,U$4)="",0,COUNTIF(Data!$B705:$U705,INDEX(Pengaturan!$B$8:$B$27,U$4)))</f>
        <v>0</v>
      </c>
      <c r="V705" s="26" t="n">
        <f aca="false">COUNTA(Data!$B705:$U705)</f>
        <v>0</v>
      </c>
      <c r="W705" s="27" t="str">
        <f aca="false">IF(V705=0,"",IF(V705&lt;&gt;Hasil!$C$4,"Data kosong/tidak lengkap",IF(SUM(B705:U705)&lt;&gt;V705,"Kategori tidak dikenal","OK")))</f>
        <v/>
      </c>
      <c r="X705" s="26" t="n">
        <f aca="false">IF(OR(W705="",W705="OK"),0,1)</f>
        <v>0</v>
      </c>
    </row>
    <row r="706" customFormat="false" ht="15" hidden="false" customHeight="false" outlineLevel="0" collapsed="false">
      <c r="A706" s="26" t="n">
        <f aca="false">Data!A706</f>
        <v>701</v>
      </c>
      <c r="B706" s="26" t="n">
        <f aca="false">IF(INDEX(Pengaturan!$B$8:$B$27,B$4)="",0,COUNTIF(Data!$B706:$U706,INDEX(Pengaturan!$B$8:$B$27,B$4)))</f>
        <v>0</v>
      </c>
      <c r="C706" s="26" t="n">
        <f aca="false">IF(INDEX(Pengaturan!$B$8:$B$27,C$4)="",0,COUNTIF(Data!$B706:$U706,INDEX(Pengaturan!$B$8:$B$27,C$4)))</f>
        <v>0</v>
      </c>
      <c r="D706" s="26" t="n">
        <f aca="false">IF(INDEX(Pengaturan!$B$8:$B$27,D$4)="",0,COUNTIF(Data!$B706:$U706,INDEX(Pengaturan!$B$8:$B$27,D$4)))</f>
        <v>0</v>
      </c>
      <c r="E706" s="26" t="n">
        <f aca="false">IF(INDEX(Pengaturan!$B$8:$B$27,E$4)="",0,COUNTIF(Data!$B706:$U706,INDEX(Pengaturan!$B$8:$B$27,E$4)))</f>
        <v>0</v>
      </c>
      <c r="F706" s="26" t="n">
        <f aca="false">IF(INDEX(Pengaturan!$B$8:$B$27,F$4)="",0,COUNTIF(Data!$B706:$U706,INDEX(Pengaturan!$B$8:$B$27,F$4)))</f>
        <v>0</v>
      </c>
      <c r="G706" s="26" t="n">
        <f aca="false">IF(INDEX(Pengaturan!$B$8:$B$27,G$4)="",0,COUNTIF(Data!$B706:$U706,INDEX(Pengaturan!$B$8:$B$27,G$4)))</f>
        <v>0</v>
      </c>
      <c r="H706" s="26" t="n">
        <f aca="false">IF(INDEX(Pengaturan!$B$8:$B$27,H$4)="",0,COUNTIF(Data!$B706:$U706,INDEX(Pengaturan!$B$8:$B$27,H$4)))</f>
        <v>0</v>
      </c>
      <c r="I706" s="26" t="n">
        <f aca="false">IF(INDEX(Pengaturan!$B$8:$B$27,I$4)="",0,COUNTIF(Data!$B706:$U706,INDEX(Pengaturan!$B$8:$B$27,I$4)))</f>
        <v>0</v>
      </c>
      <c r="J706" s="26" t="n">
        <f aca="false">IF(INDEX(Pengaturan!$B$8:$B$27,J$4)="",0,COUNTIF(Data!$B706:$U706,INDEX(Pengaturan!$B$8:$B$27,J$4)))</f>
        <v>0</v>
      </c>
      <c r="K706" s="26" t="n">
        <f aca="false">IF(INDEX(Pengaturan!$B$8:$B$27,K$4)="",0,COUNTIF(Data!$B706:$U706,INDEX(Pengaturan!$B$8:$B$27,K$4)))</f>
        <v>0</v>
      </c>
      <c r="L706" s="26" t="n">
        <f aca="false">IF(INDEX(Pengaturan!$B$8:$B$27,L$4)="",0,COUNTIF(Data!$B706:$U706,INDEX(Pengaturan!$B$8:$B$27,L$4)))</f>
        <v>0</v>
      </c>
      <c r="M706" s="26" t="n">
        <f aca="false">IF(INDEX(Pengaturan!$B$8:$B$27,M$4)="",0,COUNTIF(Data!$B706:$U706,INDEX(Pengaturan!$B$8:$B$27,M$4)))</f>
        <v>0</v>
      </c>
      <c r="N706" s="26" t="n">
        <f aca="false">IF(INDEX(Pengaturan!$B$8:$B$27,N$4)="",0,COUNTIF(Data!$B706:$U706,INDEX(Pengaturan!$B$8:$B$27,N$4)))</f>
        <v>0</v>
      </c>
      <c r="O706" s="26" t="n">
        <f aca="false">IF(INDEX(Pengaturan!$B$8:$B$27,O$4)="",0,COUNTIF(Data!$B706:$U706,INDEX(Pengaturan!$B$8:$B$27,O$4)))</f>
        <v>0</v>
      </c>
      <c r="P706" s="26" t="n">
        <f aca="false">IF(INDEX(Pengaturan!$B$8:$B$27,P$4)="",0,COUNTIF(Data!$B706:$U706,INDEX(Pengaturan!$B$8:$B$27,P$4)))</f>
        <v>0</v>
      </c>
      <c r="Q706" s="26" t="n">
        <f aca="false">IF(INDEX(Pengaturan!$B$8:$B$27,Q$4)="",0,COUNTIF(Data!$B706:$U706,INDEX(Pengaturan!$B$8:$B$27,Q$4)))</f>
        <v>0</v>
      </c>
      <c r="R706" s="26" t="n">
        <f aca="false">IF(INDEX(Pengaturan!$B$8:$B$27,R$4)="",0,COUNTIF(Data!$B706:$U706,INDEX(Pengaturan!$B$8:$B$27,R$4)))</f>
        <v>0</v>
      </c>
      <c r="S706" s="26" t="n">
        <f aca="false">IF(INDEX(Pengaturan!$B$8:$B$27,S$4)="",0,COUNTIF(Data!$B706:$U706,INDEX(Pengaturan!$B$8:$B$27,S$4)))</f>
        <v>0</v>
      </c>
      <c r="T706" s="26" t="n">
        <f aca="false">IF(INDEX(Pengaturan!$B$8:$B$27,T$4)="",0,COUNTIF(Data!$B706:$U706,INDEX(Pengaturan!$B$8:$B$27,T$4)))</f>
        <v>0</v>
      </c>
      <c r="U706" s="26" t="n">
        <f aca="false">IF(INDEX(Pengaturan!$B$8:$B$27,U$4)="",0,COUNTIF(Data!$B706:$U706,INDEX(Pengaturan!$B$8:$B$27,U$4)))</f>
        <v>0</v>
      </c>
      <c r="V706" s="26" t="n">
        <f aca="false">COUNTA(Data!$B706:$U706)</f>
        <v>0</v>
      </c>
      <c r="W706" s="27" t="str">
        <f aca="false">IF(V706=0,"",IF(V706&lt;&gt;Hasil!$C$4,"Data kosong/tidak lengkap",IF(SUM(B706:U706)&lt;&gt;V706,"Kategori tidak dikenal","OK")))</f>
        <v/>
      </c>
      <c r="X706" s="26" t="n">
        <f aca="false">IF(OR(W706="",W706="OK"),0,1)</f>
        <v>0</v>
      </c>
    </row>
    <row r="707" customFormat="false" ht="15" hidden="false" customHeight="false" outlineLevel="0" collapsed="false">
      <c r="A707" s="26" t="n">
        <f aca="false">Data!A707</f>
        <v>702</v>
      </c>
      <c r="B707" s="26" t="n">
        <f aca="false">IF(INDEX(Pengaturan!$B$8:$B$27,B$4)="",0,COUNTIF(Data!$B707:$U707,INDEX(Pengaturan!$B$8:$B$27,B$4)))</f>
        <v>0</v>
      </c>
      <c r="C707" s="26" t="n">
        <f aca="false">IF(INDEX(Pengaturan!$B$8:$B$27,C$4)="",0,COUNTIF(Data!$B707:$U707,INDEX(Pengaturan!$B$8:$B$27,C$4)))</f>
        <v>0</v>
      </c>
      <c r="D707" s="26" t="n">
        <f aca="false">IF(INDEX(Pengaturan!$B$8:$B$27,D$4)="",0,COUNTIF(Data!$B707:$U707,INDEX(Pengaturan!$B$8:$B$27,D$4)))</f>
        <v>0</v>
      </c>
      <c r="E707" s="26" t="n">
        <f aca="false">IF(INDEX(Pengaturan!$B$8:$B$27,E$4)="",0,COUNTIF(Data!$B707:$U707,INDEX(Pengaturan!$B$8:$B$27,E$4)))</f>
        <v>0</v>
      </c>
      <c r="F707" s="26" t="n">
        <f aca="false">IF(INDEX(Pengaturan!$B$8:$B$27,F$4)="",0,COUNTIF(Data!$B707:$U707,INDEX(Pengaturan!$B$8:$B$27,F$4)))</f>
        <v>0</v>
      </c>
      <c r="G707" s="26" t="n">
        <f aca="false">IF(INDEX(Pengaturan!$B$8:$B$27,G$4)="",0,COUNTIF(Data!$B707:$U707,INDEX(Pengaturan!$B$8:$B$27,G$4)))</f>
        <v>0</v>
      </c>
      <c r="H707" s="26" t="n">
        <f aca="false">IF(INDEX(Pengaturan!$B$8:$B$27,H$4)="",0,COUNTIF(Data!$B707:$U707,INDEX(Pengaturan!$B$8:$B$27,H$4)))</f>
        <v>0</v>
      </c>
      <c r="I707" s="26" t="n">
        <f aca="false">IF(INDEX(Pengaturan!$B$8:$B$27,I$4)="",0,COUNTIF(Data!$B707:$U707,INDEX(Pengaturan!$B$8:$B$27,I$4)))</f>
        <v>0</v>
      </c>
      <c r="J707" s="26" t="n">
        <f aca="false">IF(INDEX(Pengaturan!$B$8:$B$27,J$4)="",0,COUNTIF(Data!$B707:$U707,INDEX(Pengaturan!$B$8:$B$27,J$4)))</f>
        <v>0</v>
      </c>
      <c r="K707" s="26" t="n">
        <f aca="false">IF(INDEX(Pengaturan!$B$8:$B$27,K$4)="",0,COUNTIF(Data!$B707:$U707,INDEX(Pengaturan!$B$8:$B$27,K$4)))</f>
        <v>0</v>
      </c>
      <c r="L707" s="26" t="n">
        <f aca="false">IF(INDEX(Pengaturan!$B$8:$B$27,L$4)="",0,COUNTIF(Data!$B707:$U707,INDEX(Pengaturan!$B$8:$B$27,L$4)))</f>
        <v>0</v>
      </c>
      <c r="M707" s="26" t="n">
        <f aca="false">IF(INDEX(Pengaturan!$B$8:$B$27,M$4)="",0,COUNTIF(Data!$B707:$U707,INDEX(Pengaturan!$B$8:$B$27,M$4)))</f>
        <v>0</v>
      </c>
      <c r="N707" s="26" t="n">
        <f aca="false">IF(INDEX(Pengaturan!$B$8:$B$27,N$4)="",0,COUNTIF(Data!$B707:$U707,INDEX(Pengaturan!$B$8:$B$27,N$4)))</f>
        <v>0</v>
      </c>
      <c r="O707" s="26" t="n">
        <f aca="false">IF(INDEX(Pengaturan!$B$8:$B$27,O$4)="",0,COUNTIF(Data!$B707:$U707,INDEX(Pengaturan!$B$8:$B$27,O$4)))</f>
        <v>0</v>
      </c>
      <c r="P707" s="26" t="n">
        <f aca="false">IF(INDEX(Pengaturan!$B$8:$B$27,P$4)="",0,COUNTIF(Data!$B707:$U707,INDEX(Pengaturan!$B$8:$B$27,P$4)))</f>
        <v>0</v>
      </c>
      <c r="Q707" s="26" t="n">
        <f aca="false">IF(INDEX(Pengaturan!$B$8:$B$27,Q$4)="",0,COUNTIF(Data!$B707:$U707,INDEX(Pengaturan!$B$8:$B$27,Q$4)))</f>
        <v>0</v>
      </c>
      <c r="R707" s="26" t="n">
        <f aca="false">IF(INDEX(Pengaturan!$B$8:$B$27,R$4)="",0,COUNTIF(Data!$B707:$U707,INDEX(Pengaturan!$B$8:$B$27,R$4)))</f>
        <v>0</v>
      </c>
      <c r="S707" s="26" t="n">
        <f aca="false">IF(INDEX(Pengaturan!$B$8:$B$27,S$4)="",0,COUNTIF(Data!$B707:$U707,INDEX(Pengaturan!$B$8:$B$27,S$4)))</f>
        <v>0</v>
      </c>
      <c r="T707" s="26" t="n">
        <f aca="false">IF(INDEX(Pengaturan!$B$8:$B$27,T$4)="",0,COUNTIF(Data!$B707:$U707,INDEX(Pengaturan!$B$8:$B$27,T$4)))</f>
        <v>0</v>
      </c>
      <c r="U707" s="26" t="n">
        <f aca="false">IF(INDEX(Pengaturan!$B$8:$B$27,U$4)="",0,COUNTIF(Data!$B707:$U707,INDEX(Pengaturan!$B$8:$B$27,U$4)))</f>
        <v>0</v>
      </c>
      <c r="V707" s="26" t="n">
        <f aca="false">COUNTA(Data!$B707:$U707)</f>
        <v>0</v>
      </c>
      <c r="W707" s="27" t="str">
        <f aca="false">IF(V707=0,"",IF(V707&lt;&gt;Hasil!$C$4,"Data kosong/tidak lengkap",IF(SUM(B707:U707)&lt;&gt;V707,"Kategori tidak dikenal","OK")))</f>
        <v/>
      </c>
      <c r="X707" s="26" t="n">
        <f aca="false">IF(OR(W707="",W707="OK"),0,1)</f>
        <v>0</v>
      </c>
    </row>
    <row r="708" customFormat="false" ht="15" hidden="false" customHeight="false" outlineLevel="0" collapsed="false">
      <c r="A708" s="26" t="n">
        <f aca="false">Data!A708</f>
        <v>703</v>
      </c>
      <c r="B708" s="26" t="n">
        <f aca="false">IF(INDEX(Pengaturan!$B$8:$B$27,B$4)="",0,COUNTIF(Data!$B708:$U708,INDEX(Pengaturan!$B$8:$B$27,B$4)))</f>
        <v>0</v>
      </c>
      <c r="C708" s="26" t="n">
        <f aca="false">IF(INDEX(Pengaturan!$B$8:$B$27,C$4)="",0,COUNTIF(Data!$B708:$U708,INDEX(Pengaturan!$B$8:$B$27,C$4)))</f>
        <v>0</v>
      </c>
      <c r="D708" s="26" t="n">
        <f aca="false">IF(INDEX(Pengaturan!$B$8:$B$27,D$4)="",0,COUNTIF(Data!$B708:$U708,INDEX(Pengaturan!$B$8:$B$27,D$4)))</f>
        <v>0</v>
      </c>
      <c r="E708" s="26" t="n">
        <f aca="false">IF(INDEX(Pengaturan!$B$8:$B$27,E$4)="",0,COUNTIF(Data!$B708:$U708,INDEX(Pengaturan!$B$8:$B$27,E$4)))</f>
        <v>0</v>
      </c>
      <c r="F708" s="26" t="n">
        <f aca="false">IF(INDEX(Pengaturan!$B$8:$B$27,F$4)="",0,COUNTIF(Data!$B708:$U708,INDEX(Pengaturan!$B$8:$B$27,F$4)))</f>
        <v>0</v>
      </c>
      <c r="G708" s="26" t="n">
        <f aca="false">IF(INDEX(Pengaturan!$B$8:$B$27,G$4)="",0,COUNTIF(Data!$B708:$U708,INDEX(Pengaturan!$B$8:$B$27,G$4)))</f>
        <v>0</v>
      </c>
      <c r="H708" s="26" t="n">
        <f aca="false">IF(INDEX(Pengaturan!$B$8:$B$27,H$4)="",0,COUNTIF(Data!$B708:$U708,INDEX(Pengaturan!$B$8:$B$27,H$4)))</f>
        <v>0</v>
      </c>
      <c r="I708" s="26" t="n">
        <f aca="false">IF(INDEX(Pengaturan!$B$8:$B$27,I$4)="",0,COUNTIF(Data!$B708:$U708,INDEX(Pengaturan!$B$8:$B$27,I$4)))</f>
        <v>0</v>
      </c>
      <c r="J708" s="26" t="n">
        <f aca="false">IF(INDEX(Pengaturan!$B$8:$B$27,J$4)="",0,COUNTIF(Data!$B708:$U708,INDEX(Pengaturan!$B$8:$B$27,J$4)))</f>
        <v>0</v>
      </c>
      <c r="K708" s="26" t="n">
        <f aca="false">IF(INDEX(Pengaturan!$B$8:$B$27,K$4)="",0,COUNTIF(Data!$B708:$U708,INDEX(Pengaturan!$B$8:$B$27,K$4)))</f>
        <v>0</v>
      </c>
      <c r="L708" s="26" t="n">
        <f aca="false">IF(INDEX(Pengaturan!$B$8:$B$27,L$4)="",0,COUNTIF(Data!$B708:$U708,INDEX(Pengaturan!$B$8:$B$27,L$4)))</f>
        <v>0</v>
      </c>
      <c r="M708" s="26" t="n">
        <f aca="false">IF(INDEX(Pengaturan!$B$8:$B$27,M$4)="",0,COUNTIF(Data!$B708:$U708,INDEX(Pengaturan!$B$8:$B$27,M$4)))</f>
        <v>0</v>
      </c>
      <c r="N708" s="26" t="n">
        <f aca="false">IF(INDEX(Pengaturan!$B$8:$B$27,N$4)="",0,COUNTIF(Data!$B708:$U708,INDEX(Pengaturan!$B$8:$B$27,N$4)))</f>
        <v>0</v>
      </c>
      <c r="O708" s="26" t="n">
        <f aca="false">IF(INDEX(Pengaturan!$B$8:$B$27,O$4)="",0,COUNTIF(Data!$B708:$U708,INDEX(Pengaturan!$B$8:$B$27,O$4)))</f>
        <v>0</v>
      </c>
      <c r="P708" s="26" t="n">
        <f aca="false">IF(INDEX(Pengaturan!$B$8:$B$27,P$4)="",0,COUNTIF(Data!$B708:$U708,INDEX(Pengaturan!$B$8:$B$27,P$4)))</f>
        <v>0</v>
      </c>
      <c r="Q708" s="26" t="n">
        <f aca="false">IF(INDEX(Pengaturan!$B$8:$B$27,Q$4)="",0,COUNTIF(Data!$B708:$U708,INDEX(Pengaturan!$B$8:$B$27,Q$4)))</f>
        <v>0</v>
      </c>
      <c r="R708" s="26" t="n">
        <f aca="false">IF(INDEX(Pengaturan!$B$8:$B$27,R$4)="",0,COUNTIF(Data!$B708:$U708,INDEX(Pengaturan!$B$8:$B$27,R$4)))</f>
        <v>0</v>
      </c>
      <c r="S708" s="26" t="n">
        <f aca="false">IF(INDEX(Pengaturan!$B$8:$B$27,S$4)="",0,COUNTIF(Data!$B708:$U708,INDEX(Pengaturan!$B$8:$B$27,S$4)))</f>
        <v>0</v>
      </c>
      <c r="T708" s="26" t="n">
        <f aca="false">IF(INDEX(Pengaturan!$B$8:$B$27,T$4)="",0,COUNTIF(Data!$B708:$U708,INDEX(Pengaturan!$B$8:$B$27,T$4)))</f>
        <v>0</v>
      </c>
      <c r="U708" s="26" t="n">
        <f aca="false">IF(INDEX(Pengaturan!$B$8:$B$27,U$4)="",0,COUNTIF(Data!$B708:$U708,INDEX(Pengaturan!$B$8:$B$27,U$4)))</f>
        <v>0</v>
      </c>
      <c r="V708" s="26" t="n">
        <f aca="false">COUNTA(Data!$B708:$U708)</f>
        <v>0</v>
      </c>
      <c r="W708" s="27" t="str">
        <f aca="false">IF(V708=0,"",IF(V708&lt;&gt;Hasil!$C$4,"Data kosong/tidak lengkap",IF(SUM(B708:U708)&lt;&gt;V708,"Kategori tidak dikenal","OK")))</f>
        <v/>
      </c>
      <c r="X708" s="26" t="n">
        <f aca="false">IF(OR(W708="",W708="OK"),0,1)</f>
        <v>0</v>
      </c>
    </row>
    <row r="709" customFormat="false" ht="15" hidden="false" customHeight="false" outlineLevel="0" collapsed="false">
      <c r="A709" s="26" t="n">
        <f aca="false">Data!A709</f>
        <v>704</v>
      </c>
      <c r="B709" s="26" t="n">
        <f aca="false">IF(INDEX(Pengaturan!$B$8:$B$27,B$4)="",0,COUNTIF(Data!$B709:$U709,INDEX(Pengaturan!$B$8:$B$27,B$4)))</f>
        <v>0</v>
      </c>
      <c r="C709" s="26" t="n">
        <f aca="false">IF(INDEX(Pengaturan!$B$8:$B$27,C$4)="",0,COUNTIF(Data!$B709:$U709,INDEX(Pengaturan!$B$8:$B$27,C$4)))</f>
        <v>0</v>
      </c>
      <c r="D709" s="26" t="n">
        <f aca="false">IF(INDEX(Pengaturan!$B$8:$B$27,D$4)="",0,COUNTIF(Data!$B709:$U709,INDEX(Pengaturan!$B$8:$B$27,D$4)))</f>
        <v>0</v>
      </c>
      <c r="E709" s="26" t="n">
        <f aca="false">IF(INDEX(Pengaturan!$B$8:$B$27,E$4)="",0,COUNTIF(Data!$B709:$U709,INDEX(Pengaturan!$B$8:$B$27,E$4)))</f>
        <v>0</v>
      </c>
      <c r="F709" s="26" t="n">
        <f aca="false">IF(INDEX(Pengaturan!$B$8:$B$27,F$4)="",0,COUNTIF(Data!$B709:$U709,INDEX(Pengaturan!$B$8:$B$27,F$4)))</f>
        <v>0</v>
      </c>
      <c r="G709" s="26" t="n">
        <f aca="false">IF(INDEX(Pengaturan!$B$8:$B$27,G$4)="",0,COUNTIF(Data!$B709:$U709,INDEX(Pengaturan!$B$8:$B$27,G$4)))</f>
        <v>0</v>
      </c>
      <c r="H709" s="26" t="n">
        <f aca="false">IF(INDEX(Pengaturan!$B$8:$B$27,H$4)="",0,COUNTIF(Data!$B709:$U709,INDEX(Pengaturan!$B$8:$B$27,H$4)))</f>
        <v>0</v>
      </c>
      <c r="I709" s="26" t="n">
        <f aca="false">IF(INDEX(Pengaturan!$B$8:$B$27,I$4)="",0,COUNTIF(Data!$B709:$U709,INDEX(Pengaturan!$B$8:$B$27,I$4)))</f>
        <v>0</v>
      </c>
      <c r="J709" s="26" t="n">
        <f aca="false">IF(INDEX(Pengaturan!$B$8:$B$27,J$4)="",0,COUNTIF(Data!$B709:$U709,INDEX(Pengaturan!$B$8:$B$27,J$4)))</f>
        <v>0</v>
      </c>
      <c r="K709" s="26" t="n">
        <f aca="false">IF(INDEX(Pengaturan!$B$8:$B$27,K$4)="",0,COUNTIF(Data!$B709:$U709,INDEX(Pengaturan!$B$8:$B$27,K$4)))</f>
        <v>0</v>
      </c>
      <c r="L709" s="26" t="n">
        <f aca="false">IF(INDEX(Pengaturan!$B$8:$B$27,L$4)="",0,COUNTIF(Data!$B709:$U709,INDEX(Pengaturan!$B$8:$B$27,L$4)))</f>
        <v>0</v>
      </c>
      <c r="M709" s="26" t="n">
        <f aca="false">IF(INDEX(Pengaturan!$B$8:$B$27,M$4)="",0,COUNTIF(Data!$B709:$U709,INDEX(Pengaturan!$B$8:$B$27,M$4)))</f>
        <v>0</v>
      </c>
      <c r="N709" s="26" t="n">
        <f aca="false">IF(INDEX(Pengaturan!$B$8:$B$27,N$4)="",0,COUNTIF(Data!$B709:$U709,INDEX(Pengaturan!$B$8:$B$27,N$4)))</f>
        <v>0</v>
      </c>
      <c r="O709" s="26" t="n">
        <f aca="false">IF(INDEX(Pengaturan!$B$8:$B$27,O$4)="",0,COUNTIF(Data!$B709:$U709,INDEX(Pengaturan!$B$8:$B$27,O$4)))</f>
        <v>0</v>
      </c>
      <c r="P709" s="26" t="n">
        <f aca="false">IF(INDEX(Pengaturan!$B$8:$B$27,P$4)="",0,COUNTIF(Data!$B709:$U709,INDEX(Pengaturan!$B$8:$B$27,P$4)))</f>
        <v>0</v>
      </c>
      <c r="Q709" s="26" t="n">
        <f aca="false">IF(INDEX(Pengaturan!$B$8:$B$27,Q$4)="",0,COUNTIF(Data!$B709:$U709,INDEX(Pengaturan!$B$8:$B$27,Q$4)))</f>
        <v>0</v>
      </c>
      <c r="R709" s="26" t="n">
        <f aca="false">IF(INDEX(Pengaturan!$B$8:$B$27,R$4)="",0,COUNTIF(Data!$B709:$U709,INDEX(Pengaturan!$B$8:$B$27,R$4)))</f>
        <v>0</v>
      </c>
      <c r="S709" s="26" t="n">
        <f aca="false">IF(INDEX(Pengaturan!$B$8:$B$27,S$4)="",0,COUNTIF(Data!$B709:$U709,INDEX(Pengaturan!$B$8:$B$27,S$4)))</f>
        <v>0</v>
      </c>
      <c r="T709" s="26" t="n">
        <f aca="false">IF(INDEX(Pengaturan!$B$8:$B$27,T$4)="",0,COUNTIF(Data!$B709:$U709,INDEX(Pengaturan!$B$8:$B$27,T$4)))</f>
        <v>0</v>
      </c>
      <c r="U709" s="26" t="n">
        <f aca="false">IF(INDEX(Pengaturan!$B$8:$B$27,U$4)="",0,COUNTIF(Data!$B709:$U709,INDEX(Pengaturan!$B$8:$B$27,U$4)))</f>
        <v>0</v>
      </c>
      <c r="V709" s="26" t="n">
        <f aca="false">COUNTA(Data!$B709:$U709)</f>
        <v>0</v>
      </c>
      <c r="W709" s="27" t="str">
        <f aca="false">IF(V709=0,"",IF(V709&lt;&gt;Hasil!$C$4,"Data kosong/tidak lengkap",IF(SUM(B709:U709)&lt;&gt;V709,"Kategori tidak dikenal","OK")))</f>
        <v/>
      </c>
      <c r="X709" s="26" t="n">
        <f aca="false">IF(OR(W709="",W709="OK"),0,1)</f>
        <v>0</v>
      </c>
    </row>
    <row r="710" customFormat="false" ht="15" hidden="false" customHeight="false" outlineLevel="0" collapsed="false">
      <c r="A710" s="26" t="n">
        <f aca="false">Data!A710</f>
        <v>705</v>
      </c>
      <c r="B710" s="26" t="n">
        <f aca="false">IF(INDEX(Pengaturan!$B$8:$B$27,B$4)="",0,COUNTIF(Data!$B710:$U710,INDEX(Pengaturan!$B$8:$B$27,B$4)))</f>
        <v>0</v>
      </c>
      <c r="C710" s="26" t="n">
        <f aca="false">IF(INDEX(Pengaturan!$B$8:$B$27,C$4)="",0,COUNTIF(Data!$B710:$U710,INDEX(Pengaturan!$B$8:$B$27,C$4)))</f>
        <v>0</v>
      </c>
      <c r="D710" s="26" t="n">
        <f aca="false">IF(INDEX(Pengaturan!$B$8:$B$27,D$4)="",0,COUNTIF(Data!$B710:$U710,INDEX(Pengaturan!$B$8:$B$27,D$4)))</f>
        <v>0</v>
      </c>
      <c r="E710" s="26" t="n">
        <f aca="false">IF(INDEX(Pengaturan!$B$8:$B$27,E$4)="",0,COUNTIF(Data!$B710:$U710,INDEX(Pengaturan!$B$8:$B$27,E$4)))</f>
        <v>0</v>
      </c>
      <c r="F710" s="26" t="n">
        <f aca="false">IF(INDEX(Pengaturan!$B$8:$B$27,F$4)="",0,COUNTIF(Data!$B710:$U710,INDEX(Pengaturan!$B$8:$B$27,F$4)))</f>
        <v>0</v>
      </c>
      <c r="G710" s="26" t="n">
        <f aca="false">IF(INDEX(Pengaturan!$B$8:$B$27,G$4)="",0,COUNTIF(Data!$B710:$U710,INDEX(Pengaturan!$B$8:$B$27,G$4)))</f>
        <v>0</v>
      </c>
      <c r="H710" s="26" t="n">
        <f aca="false">IF(INDEX(Pengaturan!$B$8:$B$27,H$4)="",0,COUNTIF(Data!$B710:$U710,INDEX(Pengaturan!$B$8:$B$27,H$4)))</f>
        <v>0</v>
      </c>
      <c r="I710" s="26" t="n">
        <f aca="false">IF(INDEX(Pengaturan!$B$8:$B$27,I$4)="",0,COUNTIF(Data!$B710:$U710,INDEX(Pengaturan!$B$8:$B$27,I$4)))</f>
        <v>0</v>
      </c>
      <c r="J710" s="26" t="n">
        <f aca="false">IF(INDEX(Pengaturan!$B$8:$B$27,J$4)="",0,COUNTIF(Data!$B710:$U710,INDEX(Pengaturan!$B$8:$B$27,J$4)))</f>
        <v>0</v>
      </c>
      <c r="K710" s="26" t="n">
        <f aca="false">IF(INDEX(Pengaturan!$B$8:$B$27,K$4)="",0,COUNTIF(Data!$B710:$U710,INDEX(Pengaturan!$B$8:$B$27,K$4)))</f>
        <v>0</v>
      </c>
      <c r="L710" s="26" t="n">
        <f aca="false">IF(INDEX(Pengaturan!$B$8:$B$27,L$4)="",0,COUNTIF(Data!$B710:$U710,INDEX(Pengaturan!$B$8:$B$27,L$4)))</f>
        <v>0</v>
      </c>
      <c r="M710" s="26" t="n">
        <f aca="false">IF(INDEX(Pengaturan!$B$8:$B$27,M$4)="",0,COUNTIF(Data!$B710:$U710,INDEX(Pengaturan!$B$8:$B$27,M$4)))</f>
        <v>0</v>
      </c>
      <c r="N710" s="26" t="n">
        <f aca="false">IF(INDEX(Pengaturan!$B$8:$B$27,N$4)="",0,COUNTIF(Data!$B710:$U710,INDEX(Pengaturan!$B$8:$B$27,N$4)))</f>
        <v>0</v>
      </c>
      <c r="O710" s="26" t="n">
        <f aca="false">IF(INDEX(Pengaturan!$B$8:$B$27,O$4)="",0,COUNTIF(Data!$B710:$U710,INDEX(Pengaturan!$B$8:$B$27,O$4)))</f>
        <v>0</v>
      </c>
      <c r="P710" s="26" t="n">
        <f aca="false">IF(INDEX(Pengaturan!$B$8:$B$27,P$4)="",0,COUNTIF(Data!$B710:$U710,INDEX(Pengaturan!$B$8:$B$27,P$4)))</f>
        <v>0</v>
      </c>
      <c r="Q710" s="26" t="n">
        <f aca="false">IF(INDEX(Pengaturan!$B$8:$B$27,Q$4)="",0,COUNTIF(Data!$B710:$U710,INDEX(Pengaturan!$B$8:$B$27,Q$4)))</f>
        <v>0</v>
      </c>
      <c r="R710" s="26" t="n">
        <f aca="false">IF(INDEX(Pengaturan!$B$8:$B$27,R$4)="",0,COUNTIF(Data!$B710:$U710,INDEX(Pengaturan!$B$8:$B$27,R$4)))</f>
        <v>0</v>
      </c>
      <c r="S710" s="26" t="n">
        <f aca="false">IF(INDEX(Pengaturan!$B$8:$B$27,S$4)="",0,COUNTIF(Data!$B710:$U710,INDEX(Pengaturan!$B$8:$B$27,S$4)))</f>
        <v>0</v>
      </c>
      <c r="T710" s="26" t="n">
        <f aca="false">IF(INDEX(Pengaturan!$B$8:$B$27,T$4)="",0,COUNTIF(Data!$B710:$U710,INDEX(Pengaturan!$B$8:$B$27,T$4)))</f>
        <v>0</v>
      </c>
      <c r="U710" s="26" t="n">
        <f aca="false">IF(INDEX(Pengaturan!$B$8:$B$27,U$4)="",0,COUNTIF(Data!$B710:$U710,INDEX(Pengaturan!$B$8:$B$27,U$4)))</f>
        <v>0</v>
      </c>
      <c r="V710" s="26" t="n">
        <f aca="false">COUNTA(Data!$B710:$U710)</f>
        <v>0</v>
      </c>
      <c r="W710" s="27" t="str">
        <f aca="false">IF(V710=0,"",IF(V710&lt;&gt;Hasil!$C$4,"Data kosong/tidak lengkap",IF(SUM(B710:U710)&lt;&gt;V710,"Kategori tidak dikenal","OK")))</f>
        <v/>
      </c>
      <c r="X710" s="26" t="n">
        <f aca="false">IF(OR(W710="",W710="OK"),0,1)</f>
        <v>0</v>
      </c>
    </row>
    <row r="711" customFormat="false" ht="15" hidden="false" customHeight="false" outlineLevel="0" collapsed="false">
      <c r="A711" s="26" t="n">
        <f aca="false">Data!A711</f>
        <v>706</v>
      </c>
      <c r="B711" s="26" t="n">
        <f aca="false">IF(INDEX(Pengaturan!$B$8:$B$27,B$4)="",0,COUNTIF(Data!$B711:$U711,INDEX(Pengaturan!$B$8:$B$27,B$4)))</f>
        <v>0</v>
      </c>
      <c r="C711" s="26" t="n">
        <f aca="false">IF(INDEX(Pengaturan!$B$8:$B$27,C$4)="",0,COUNTIF(Data!$B711:$U711,INDEX(Pengaturan!$B$8:$B$27,C$4)))</f>
        <v>0</v>
      </c>
      <c r="D711" s="26" t="n">
        <f aca="false">IF(INDEX(Pengaturan!$B$8:$B$27,D$4)="",0,COUNTIF(Data!$B711:$U711,INDEX(Pengaturan!$B$8:$B$27,D$4)))</f>
        <v>0</v>
      </c>
      <c r="E711" s="26" t="n">
        <f aca="false">IF(INDEX(Pengaturan!$B$8:$B$27,E$4)="",0,COUNTIF(Data!$B711:$U711,INDEX(Pengaturan!$B$8:$B$27,E$4)))</f>
        <v>0</v>
      </c>
      <c r="F711" s="26" t="n">
        <f aca="false">IF(INDEX(Pengaturan!$B$8:$B$27,F$4)="",0,COUNTIF(Data!$B711:$U711,INDEX(Pengaturan!$B$8:$B$27,F$4)))</f>
        <v>0</v>
      </c>
      <c r="G711" s="26" t="n">
        <f aca="false">IF(INDEX(Pengaturan!$B$8:$B$27,G$4)="",0,COUNTIF(Data!$B711:$U711,INDEX(Pengaturan!$B$8:$B$27,G$4)))</f>
        <v>0</v>
      </c>
      <c r="H711" s="26" t="n">
        <f aca="false">IF(INDEX(Pengaturan!$B$8:$B$27,H$4)="",0,COUNTIF(Data!$B711:$U711,INDEX(Pengaturan!$B$8:$B$27,H$4)))</f>
        <v>0</v>
      </c>
      <c r="I711" s="26" t="n">
        <f aca="false">IF(INDEX(Pengaturan!$B$8:$B$27,I$4)="",0,COUNTIF(Data!$B711:$U711,INDEX(Pengaturan!$B$8:$B$27,I$4)))</f>
        <v>0</v>
      </c>
      <c r="J711" s="26" t="n">
        <f aca="false">IF(INDEX(Pengaturan!$B$8:$B$27,J$4)="",0,COUNTIF(Data!$B711:$U711,INDEX(Pengaturan!$B$8:$B$27,J$4)))</f>
        <v>0</v>
      </c>
      <c r="K711" s="26" t="n">
        <f aca="false">IF(INDEX(Pengaturan!$B$8:$B$27,K$4)="",0,COUNTIF(Data!$B711:$U711,INDEX(Pengaturan!$B$8:$B$27,K$4)))</f>
        <v>0</v>
      </c>
      <c r="L711" s="26" t="n">
        <f aca="false">IF(INDEX(Pengaturan!$B$8:$B$27,L$4)="",0,COUNTIF(Data!$B711:$U711,INDEX(Pengaturan!$B$8:$B$27,L$4)))</f>
        <v>0</v>
      </c>
      <c r="M711" s="26" t="n">
        <f aca="false">IF(INDEX(Pengaturan!$B$8:$B$27,M$4)="",0,COUNTIF(Data!$B711:$U711,INDEX(Pengaturan!$B$8:$B$27,M$4)))</f>
        <v>0</v>
      </c>
      <c r="N711" s="26" t="n">
        <f aca="false">IF(INDEX(Pengaturan!$B$8:$B$27,N$4)="",0,COUNTIF(Data!$B711:$U711,INDEX(Pengaturan!$B$8:$B$27,N$4)))</f>
        <v>0</v>
      </c>
      <c r="O711" s="26" t="n">
        <f aca="false">IF(INDEX(Pengaturan!$B$8:$B$27,O$4)="",0,COUNTIF(Data!$B711:$U711,INDEX(Pengaturan!$B$8:$B$27,O$4)))</f>
        <v>0</v>
      </c>
      <c r="P711" s="26" t="n">
        <f aca="false">IF(INDEX(Pengaturan!$B$8:$B$27,P$4)="",0,COUNTIF(Data!$B711:$U711,INDEX(Pengaturan!$B$8:$B$27,P$4)))</f>
        <v>0</v>
      </c>
      <c r="Q711" s="26" t="n">
        <f aca="false">IF(INDEX(Pengaturan!$B$8:$B$27,Q$4)="",0,COUNTIF(Data!$B711:$U711,INDEX(Pengaturan!$B$8:$B$27,Q$4)))</f>
        <v>0</v>
      </c>
      <c r="R711" s="26" t="n">
        <f aca="false">IF(INDEX(Pengaturan!$B$8:$B$27,R$4)="",0,COUNTIF(Data!$B711:$U711,INDEX(Pengaturan!$B$8:$B$27,R$4)))</f>
        <v>0</v>
      </c>
      <c r="S711" s="26" t="n">
        <f aca="false">IF(INDEX(Pengaturan!$B$8:$B$27,S$4)="",0,COUNTIF(Data!$B711:$U711,INDEX(Pengaturan!$B$8:$B$27,S$4)))</f>
        <v>0</v>
      </c>
      <c r="T711" s="26" t="n">
        <f aca="false">IF(INDEX(Pengaturan!$B$8:$B$27,T$4)="",0,COUNTIF(Data!$B711:$U711,INDEX(Pengaturan!$B$8:$B$27,T$4)))</f>
        <v>0</v>
      </c>
      <c r="U711" s="26" t="n">
        <f aca="false">IF(INDEX(Pengaturan!$B$8:$B$27,U$4)="",0,COUNTIF(Data!$B711:$U711,INDEX(Pengaturan!$B$8:$B$27,U$4)))</f>
        <v>0</v>
      </c>
      <c r="V711" s="26" t="n">
        <f aca="false">COUNTA(Data!$B711:$U711)</f>
        <v>0</v>
      </c>
      <c r="W711" s="27" t="str">
        <f aca="false">IF(V711=0,"",IF(V711&lt;&gt;Hasil!$C$4,"Data kosong/tidak lengkap",IF(SUM(B711:U711)&lt;&gt;V711,"Kategori tidak dikenal","OK")))</f>
        <v/>
      </c>
      <c r="X711" s="26" t="n">
        <f aca="false">IF(OR(W711="",W711="OK"),0,1)</f>
        <v>0</v>
      </c>
    </row>
    <row r="712" customFormat="false" ht="15" hidden="false" customHeight="false" outlineLevel="0" collapsed="false">
      <c r="A712" s="26" t="n">
        <f aca="false">Data!A712</f>
        <v>707</v>
      </c>
      <c r="B712" s="26" t="n">
        <f aca="false">IF(INDEX(Pengaturan!$B$8:$B$27,B$4)="",0,COUNTIF(Data!$B712:$U712,INDEX(Pengaturan!$B$8:$B$27,B$4)))</f>
        <v>0</v>
      </c>
      <c r="C712" s="26" t="n">
        <f aca="false">IF(INDEX(Pengaturan!$B$8:$B$27,C$4)="",0,COUNTIF(Data!$B712:$U712,INDEX(Pengaturan!$B$8:$B$27,C$4)))</f>
        <v>0</v>
      </c>
      <c r="D712" s="26" t="n">
        <f aca="false">IF(INDEX(Pengaturan!$B$8:$B$27,D$4)="",0,COUNTIF(Data!$B712:$U712,INDEX(Pengaturan!$B$8:$B$27,D$4)))</f>
        <v>0</v>
      </c>
      <c r="E712" s="26" t="n">
        <f aca="false">IF(INDEX(Pengaturan!$B$8:$B$27,E$4)="",0,COUNTIF(Data!$B712:$U712,INDEX(Pengaturan!$B$8:$B$27,E$4)))</f>
        <v>0</v>
      </c>
      <c r="F712" s="26" t="n">
        <f aca="false">IF(INDEX(Pengaturan!$B$8:$B$27,F$4)="",0,COUNTIF(Data!$B712:$U712,INDEX(Pengaturan!$B$8:$B$27,F$4)))</f>
        <v>0</v>
      </c>
      <c r="G712" s="26" t="n">
        <f aca="false">IF(INDEX(Pengaturan!$B$8:$B$27,G$4)="",0,COUNTIF(Data!$B712:$U712,INDEX(Pengaturan!$B$8:$B$27,G$4)))</f>
        <v>0</v>
      </c>
      <c r="H712" s="26" t="n">
        <f aca="false">IF(INDEX(Pengaturan!$B$8:$B$27,H$4)="",0,COUNTIF(Data!$B712:$U712,INDEX(Pengaturan!$B$8:$B$27,H$4)))</f>
        <v>0</v>
      </c>
      <c r="I712" s="26" t="n">
        <f aca="false">IF(INDEX(Pengaturan!$B$8:$B$27,I$4)="",0,COUNTIF(Data!$B712:$U712,INDEX(Pengaturan!$B$8:$B$27,I$4)))</f>
        <v>0</v>
      </c>
      <c r="J712" s="26" t="n">
        <f aca="false">IF(INDEX(Pengaturan!$B$8:$B$27,J$4)="",0,COUNTIF(Data!$B712:$U712,INDEX(Pengaturan!$B$8:$B$27,J$4)))</f>
        <v>0</v>
      </c>
      <c r="K712" s="26" t="n">
        <f aca="false">IF(INDEX(Pengaturan!$B$8:$B$27,K$4)="",0,COUNTIF(Data!$B712:$U712,INDEX(Pengaturan!$B$8:$B$27,K$4)))</f>
        <v>0</v>
      </c>
      <c r="L712" s="26" t="n">
        <f aca="false">IF(INDEX(Pengaturan!$B$8:$B$27,L$4)="",0,COUNTIF(Data!$B712:$U712,INDEX(Pengaturan!$B$8:$B$27,L$4)))</f>
        <v>0</v>
      </c>
      <c r="M712" s="26" t="n">
        <f aca="false">IF(INDEX(Pengaturan!$B$8:$B$27,M$4)="",0,COUNTIF(Data!$B712:$U712,INDEX(Pengaturan!$B$8:$B$27,M$4)))</f>
        <v>0</v>
      </c>
      <c r="N712" s="26" t="n">
        <f aca="false">IF(INDEX(Pengaturan!$B$8:$B$27,N$4)="",0,COUNTIF(Data!$B712:$U712,INDEX(Pengaturan!$B$8:$B$27,N$4)))</f>
        <v>0</v>
      </c>
      <c r="O712" s="26" t="n">
        <f aca="false">IF(INDEX(Pengaturan!$B$8:$B$27,O$4)="",0,COUNTIF(Data!$B712:$U712,INDEX(Pengaturan!$B$8:$B$27,O$4)))</f>
        <v>0</v>
      </c>
      <c r="P712" s="26" t="n">
        <f aca="false">IF(INDEX(Pengaturan!$B$8:$B$27,P$4)="",0,COUNTIF(Data!$B712:$U712,INDEX(Pengaturan!$B$8:$B$27,P$4)))</f>
        <v>0</v>
      </c>
      <c r="Q712" s="26" t="n">
        <f aca="false">IF(INDEX(Pengaturan!$B$8:$B$27,Q$4)="",0,COUNTIF(Data!$B712:$U712,INDEX(Pengaturan!$B$8:$B$27,Q$4)))</f>
        <v>0</v>
      </c>
      <c r="R712" s="26" t="n">
        <f aca="false">IF(INDEX(Pengaturan!$B$8:$B$27,R$4)="",0,COUNTIF(Data!$B712:$U712,INDEX(Pengaturan!$B$8:$B$27,R$4)))</f>
        <v>0</v>
      </c>
      <c r="S712" s="26" t="n">
        <f aca="false">IF(INDEX(Pengaturan!$B$8:$B$27,S$4)="",0,COUNTIF(Data!$B712:$U712,INDEX(Pengaturan!$B$8:$B$27,S$4)))</f>
        <v>0</v>
      </c>
      <c r="T712" s="26" t="n">
        <f aca="false">IF(INDEX(Pengaturan!$B$8:$B$27,T$4)="",0,COUNTIF(Data!$B712:$U712,INDEX(Pengaturan!$B$8:$B$27,T$4)))</f>
        <v>0</v>
      </c>
      <c r="U712" s="26" t="n">
        <f aca="false">IF(INDEX(Pengaturan!$B$8:$B$27,U$4)="",0,COUNTIF(Data!$B712:$U712,INDEX(Pengaturan!$B$8:$B$27,U$4)))</f>
        <v>0</v>
      </c>
      <c r="V712" s="26" t="n">
        <f aca="false">COUNTA(Data!$B712:$U712)</f>
        <v>0</v>
      </c>
      <c r="W712" s="27" t="str">
        <f aca="false">IF(V712=0,"",IF(V712&lt;&gt;Hasil!$C$4,"Data kosong/tidak lengkap",IF(SUM(B712:U712)&lt;&gt;V712,"Kategori tidak dikenal","OK")))</f>
        <v/>
      </c>
      <c r="X712" s="26" t="n">
        <f aca="false">IF(OR(W712="",W712="OK"),0,1)</f>
        <v>0</v>
      </c>
    </row>
    <row r="713" customFormat="false" ht="15" hidden="false" customHeight="false" outlineLevel="0" collapsed="false">
      <c r="A713" s="26" t="n">
        <f aca="false">Data!A713</f>
        <v>708</v>
      </c>
      <c r="B713" s="26" t="n">
        <f aca="false">IF(INDEX(Pengaturan!$B$8:$B$27,B$4)="",0,COUNTIF(Data!$B713:$U713,INDEX(Pengaturan!$B$8:$B$27,B$4)))</f>
        <v>0</v>
      </c>
      <c r="C713" s="26" t="n">
        <f aca="false">IF(INDEX(Pengaturan!$B$8:$B$27,C$4)="",0,COUNTIF(Data!$B713:$U713,INDEX(Pengaturan!$B$8:$B$27,C$4)))</f>
        <v>0</v>
      </c>
      <c r="D713" s="26" t="n">
        <f aca="false">IF(INDEX(Pengaturan!$B$8:$B$27,D$4)="",0,COUNTIF(Data!$B713:$U713,INDEX(Pengaturan!$B$8:$B$27,D$4)))</f>
        <v>0</v>
      </c>
      <c r="E713" s="26" t="n">
        <f aca="false">IF(INDEX(Pengaturan!$B$8:$B$27,E$4)="",0,COUNTIF(Data!$B713:$U713,INDEX(Pengaturan!$B$8:$B$27,E$4)))</f>
        <v>0</v>
      </c>
      <c r="F713" s="26" t="n">
        <f aca="false">IF(INDEX(Pengaturan!$B$8:$B$27,F$4)="",0,COUNTIF(Data!$B713:$U713,INDEX(Pengaturan!$B$8:$B$27,F$4)))</f>
        <v>0</v>
      </c>
      <c r="G713" s="26" t="n">
        <f aca="false">IF(INDEX(Pengaturan!$B$8:$B$27,G$4)="",0,COUNTIF(Data!$B713:$U713,INDEX(Pengaturan!$B$8:$B$27,G$4)))</f>
        <v>0</v>
      </c>
      <c r="H713" s="26" t="n">
        <f aca="false">IF(INDEX(Pengaturan!$B$8:$B$27,H$4)="",0,COUNTIF(Data!$B713:$U713,INDEX(Pengaturan!$B$8:$B$27,H$4)))</f>
        <v>0</v>
      </c>
      <c r="I713" s="26" t="n">
        <f aca="false">IF(INDEX(Pengaturan!$B$8:$B$27,I$4)="",0,COUNTIF(Data!$B713:$U713,INDEX(Pengaturan!$B$8:$B$27,I$4)))</f>
        <v>0</v>
      </c>
      <c r="J713" s="26" t="n">
        <f aca="false">IF(INDEX(Pengaturan!$B$8:$B$27,J$4)="",0,COUNTIF(Data!$B713:$U713,INDEX(Pengaturan!$B$8:$B$27,J$4)))</f>
        <v>0</v>
      </c>
      <c r="K713" s="26" t="n">
        <f aca="false">IF(INDEX(Pengaturan!$B$8:$B$27,K$4)="",0,COUNTIF(Data!$B713:$U713,INDEX(Pengaturan!$B$8:$B$27,K$4)))</f>
        <v>0</v>
      </c>
      <c r="L713" s="26" t="n">
        <f aca="false">IF(INDEX(Pengaturan!$B$8:$B$27,L$4)="",0,COUNTIF(Data!$B713:$U713,INDEX(Pengaturan!$B$8:$B$27,L$4)))</f>
        <v>0</v>
      </c>
      <c r="M713" s="26" t="n">
        <f aca="false">IF(INDEX(Pengaturan!$B$8:$B$27,M$4)="",0,COUNTIF(Data!$B713:$U713,INDEX(Pengaturan!$B$8:$B$27,M$4)))</f>
        <v>0</v>
      </c>
      <c r="N713" s="26" t="n">
        <f aca="false">IF(INDEX(Pengaturan!$B$8:$B$27,N$4)="",0,COUNTIF(Data!$B713:$U713,INDEX(Pengaturan!$B$8:$B$27,N$4)))</f>
        <v>0</v>
      </c>
      <c r="O713" s="26" t="n">
        <f aca="false">IF(INDEX(Pengaturan!$B$8:$B$27,O$4)="",0,COUNTIF(Data!$B713:$U713,INDEX(Pengaturan!$B$8:$B$27,O$4)))</f>
        <v>0</v>
      </c>
      <c r="P713" s="26" t="n">
        <f aca="false">IF(INDEX(Pengaturan!$B$8:$B$27,P$4)="",0,COUNTIF(Data!$B713:$U713,INDEX(Pengaturan!$B$8:$B$27,P$4)))</f>
        <v>0</v>
      </c>
      <c r="Q713" s="26" t="n">
        <f aca="false">IF(INDEX(Pengaturan!$B$8:$B$27,Q$4)="",0,COUNTIF(Data!$B713:$U713,INDEX(Pengaturan!$B$8:$B$27,Q$4)))</f>
        <v>0</v>
      </c>
      <c r="R713" s="26" t="n">
        <f aca="false">IF(INDEX(Pengaturan!$B$8:$B$27,R$4)="",0,COUNTIF(Data!$B713:$U713,INDEX(Pengaturan!$B$8:$B$27,R$4)))</f>
        <v>0</v>
      </c>
      <c r="S713" s="26" t="n">
        <f aca="false">IF(INDEX(Pengaturan!$B$8:$B$27,S$4)="",0,COUNTIF(Data!$B713:$U713,INDEX(Pengaturan!$B$8:$B$27,S$4)))</f>
        <v>0</v>
      </c>
      <c r="T713" s="26" t="n">
        <f aca="false">IF(INDEX(Pengaturan!$B$8:$B$27,T$4)="",0,COUNTIF(Data!$B713:$U713,INDEX(Pengaturan!$B$8:$B$27,T$4)))</f>
        <v>0</v>
      </c>
      <c r="U713" s="26" t="n">
        <f aca="false">IF(INDEX(Pengaturan!$B$8:$B$27,U$4)="",0,COUNTIF(Data!$B713:$U713,INDEX(Pengaturan!$B$8:$B$27,U$4)))</f>
        <v>0</v>
      </c>
      <c r="V713" s="26" t="n">
        <f aca="false">COUNTA(Data!$B713:$U713)</f>
        <v>0</v>
      </c>
      <c r="W713" s="27" t="str">
        <f aca="false">IF(V713=0,"",IF(V713&lt;&gt;Hasil!$C$4,"Data kosong/tidak lengkap",IF(SUM(B713:U713)&lt;&gt;V713,"Kategori tidak dikenal","OK")))</f>
        <v/>
      </c>
      <c r="X713" s="26" t="n">
        <f aca="false">IF(OR(W713="",W713="OK"),0,1)</f>
        <v>0</v>
      </c>
    </row>
    <row r="714" customFormat="false" ht="15" hidden="false" customHeight="false" outlineLevel="0" collapsed="false">
      <c r="A714" s="26" t="n">
        <f aca="false">Data!A714</f>
        <v>709</v>
      </c>
      <c r="B714" s="26" t="n">
        <f aca="false">IF(INDEX(Pengaturan!$B$8:$B$27,B$4)="",0,COUNTIF(Data!$B714:$U714,INDEX(Pengaturan!$B$8:$B$27,B$4)))</f>
        <v>0</v>
      </c>
      <c r="C714" s="26" t="n">
        <f aca="false">IF(INDEX(Pengaturan!$B$8:$B$27,C$4)="",0,COUNTIF(Data!$B714:$U714,INDEX(Pengaturan!$B$8:$B$27,C$4)))</f>
        <v>0</v>
      </c>
      <c r="D714" s="26" t="n">
        <f aca="false">IF(INDEX(Pengaturan!$B$8:$B$27,D$4)="",0,COUNTIF(Data!$B714:$U714,INDEX(Pengaturan!$B$8:$B$27,D$4)))</f>
        <v>0</v>
      </c>
      <c r="E714" s="26" t="n">
        <f aca="false">IF(INDEX(Pengaturan!$B$8:$B$27,E$4)="",0,COUNTIF(Data!$B714:$U714,INDEX(Pengaturan!$B$8:$B$27,E$4)))</f>
        <v>0</v>
      </c>
      <c r="F714" s="26" t="n">
        <f aca="false">IF(INDEX(Pengaturan!$B$8:$B$27,F$4)="",0,COUNTIF(Data!$B714:$U714,INDEX(Pengaturan!$B$8:$B$27,F$4)))</f>
        <v>0</v>
      </c>
      <c r="G714" s="26" t="n">
        <f aca="false">IF(INDEX(Pengaturan!$B$8:$B$27,G$4)="",0,COUNTIF(Data!$B714:$U714,INDEX(Pengaturan!$B$8:$B$27,G$4)))</f>
        <v>0</v>
      </c>
      <c r="H714" s="26" t="n">
        <f aca="false">IF(INDEX(Pengaturan!$B$8:$B$27,H$4)="",0,COUNTIF(Data!$B714:$U714,INDEX(Pengaturan!$B$8:$B$27,H$4)))</f>
        <v>0</v>
      </c>
      <c r="I714" s="26" t="n">
        <f aca="false">IF(INDEX(Pengaturan!$B$8:$B$27,I$4)="",0,COUNTIF(Data!$B714:$U714,INDEX(Pengaturan!$B$8:$B$27,I$4)))</f>
        <v>0</v>
      </c>
      <c r="J714" s="26" t="n">
        <f aca="false">IF(INDEX(Pengaturan!$B$8:$B$27,J$4)="",0,COUNTIF(Data!$B714:$U714,INDEX(Pengaturan!$B$8:$B$27,J$4)))</f>
        <v>0</v>
      </c>
      <c r="K714" s="26" t="n">
        <f aca="false">IF(INDEX(Pengaturan!$B$8:$B$27,K$4)="",0,COUNTIF(Data!$B714:$U714,INDEX(Pengaturan!$B$8:$B$27,K$4)))</f>
        <v>0</v>
      </c>
      <c r="L714" s="26" t="n">
        <f aca="false">IF(INDEX(Pengaturan!$B$8:$B$27,L$4)="",0,COUNTIF(Data!$B714:$U714,INDEX(Pengaturan!$B$8:$B$27,L$4)))</f>
        <v>0</v>
      </c>
      <c r="M714" s="26" t="n">
        <f aca="false">IF(INDEX(Pengaturan!$B$8:$B$27,M$4)="",0,COUNTIF(Data!$B714:$U714,INDEX(Pengaturan!$B$8:$B$27,M$4)))</f>
        <v>0</v>
      </c>
      <c r="N714" s="26" t="n">
        <f aca="false">IF(INDEX(Pengaturan!$B$8:$B$27,N$4)="",0,COUNTIF(Data!$B714:$U714,INDEX(Pengaturan!$B$8:$B$27,N$4)))</f>
        <v>0</v>
      </c>
      <c r="O714" s="26" t="n">
        <f aca="false">IF(INDEX(Pengaturan!$B$8:$B$27,O$4)="",0,COUNTIF(Data!$B714:$U714,INDEX(Pengaturan!$B$8:$B$27,O$4)))</f>
        <v>0</v>
      </c>
      <c r="P714" s="26" t="n">
        <f aca="false">IF(INDEX(Pengaturan!$B$8:$B$27,P$4)="",0,COUNTIF(Data!$B714:$U714,INDEX(Pengaturan!$B$8:$B$27,P$4)))</f>
        <v>0</v>
      </c>
      <c r="Q714" s="26" t="n">
        <f aca="false">IF(INDEX(Pengaturan!$B$8:$B$27,Q$4)="",0,COUNTIF(Data!$B714:$U714,INDEX(Pengaturan!$B$8:$B$27,Q$4)))</f>
        <v>0</v>
      </c>
      <c r="R714" s="26" t="n">
        <f aca="false">IF(INDEX(Pengaturan!$B$8:$B$27,R$4)="",0,COUNTIF(Data!$B714:$U714,INDEX(Pengaturan!$B$8:$B$27,R$4)))</f>
        <v>0</v>
      </c>
      <c r="S714" s="26" t="n">
        <f aca="false">IF(INDEX(Pengaturan!$B$8:$B$27,S$4)="",0,COUNTIF(Data!$B714:$U714,INDEX(Pengaturan!$B$8:$B$27,S$4)))</f>
        <v>0</v>
      </c>
      <c r="T714" s="26" t="n">
        <f aca="false">IF(INDEX(Pengaturan!$B$8:$B$27,T$4)="",0,COUNTIF(Data!$B714:$U714,INDEX(Pengaturan!$B$8:$B$27,T$4)))</f>
        <v>0</v>
      </c>
      <c r="U714" s="26" t="n">
        <f aca="false">IF(INDEX(Pengaturan!$B$8:$B$27,U$4)="",0,COUNTIF(Data!$B714:$U714,INDEX(Pengaturan!$B$8:$B$27,U$4)))</f>
        <v>0</v>
      </c>
      <c r="V714" s="26" t="n">
        <f aca="false">COUNTA(Data!$B714:$U714)</f>
        <v>0</v>
      </c>
      <c r="W714" s="27" t="str">
        <f aca="false">IF(V714=0,"",IF(V714&lt;&gt;Hasil!$C$4,"Data kosong/tidak lengkap",IF(SUM(B714:U714)&lt;&gt;V714,"Kategori tidak dikenal","OK")))</f>
        <v/>
      </c>
      <c r="X714" s="26" t="n">
        <f aca="false">IF(OR(W714="",W714="OK"),0,1)</f>
        <v>0</v>
      </c>
    </row>
    <row r="715" customFormat="false" ht="15" hidden="false" customHeight="false" outlineLevel="0" collapsed="false">
      <c r="A715" s="26" t="n">
        <f aca="false">Data!A715</f>
        <v>710</v>
      </c>
      <c r="B715" s="26" t="n">
        <f aca="false">IF(INDEX(Pengaturan!$B$8:$B$27,B$4)="",0,COUNTIF(Data!$B715:$U715,INDEX(Pengaturan!$B$8:$B$27,B$4)))</f>
        <v>0</v>
      </c>
      <c r="C715" s="26" t="n">
        <f aca="false">IF(INDEX(Pengaturan!$B$8:$B$27,C$4)="",0,COUNTIF(Data!$B715:$U715,INDEX(Pengaturan!$B$8:$B$27,C$4)))</f>
        <v>0</v>
      </c>
      <c r="D715" s="26" t="n">
        <f aca="false">IF(INDEX(Pengaturan!$B$8:$B$27,D$4)="",0,COUNTIF(Data!$B715:$U715,INDEX(Pengaturan!$B$8:$B$27,D$4)))</f>
        <v>0</v>
      </c>
      <c r="E715" s="26" t="n">
        <f aca="false">IF(INDEX(Pengaturan!$B$8:$B$27,E$4)="",0,COUNTIF(Data!$B715:$U715,INDEX(Pengaturan!$B$8:$B$27,E$4)))</f>
        <v>0</v>
      </c>
      <c r="F715" s="26" t="n">
        <f aca="false">IF(INDEX(Pengaturan!$B$8:$B$27,F$4)="",0,COUNTIF(Data!$B715:$U715,INDEX(Pengaturan!$B$8:$B$27,F$4)))</f>
        <v>0</v>
      </c>
      <c r="G715" s="26" t="n">
        <f aca="false">IF(INDEX(Pengaturan!$B$8:$B$27,G$4)="",0,COUNTIF(Data!$B715:$U715,INDEX(Pengaturan!$B$8:$B$27,G$4)))</f>
        <v>0</v>
      </c>
      <c r="H715" s="26" t="n">
        <f aca="false">IF(INDEX(Pengaturan!$B$8:$B$27,H$4)="",0,COUNTIF(Data!$B715:$U715,INDEX(Pengaturan!$B$8:$B$27,H$4)))</f>
        <v>0</v>
      </c>
      <c r="I715" s="26" t="n">
        <f aca="false">IF(INDEX(Pengaturan!$B$8:$B$27,I$4)="",0,COUNTIF(Data!$B715:$U715,INDEX(Pengaturan!$B$8:$B$27,I$4)))</f>
        <v>0</v>
      </c>
      <c r="J715" s="26" t="n">
        <f aca="false">IF(INDEX(Pengaturan!$B$8:$B$27,J$4)="",0,COUNTIF(Data!$B715:$U715,INDEX(Pengaturan!$B$8:$B$27,J$4)))</f>
        <v>0</v>
      </c>
      <c r="K715" s="26" t="n">
        <f aca="false">IF(INDEX(Pengaturan!$B$8:$B$27,K$4)="",0,COUNTIF(Data!$B715:$U715,INDEX(Pengaturan!$B$8:$B$27,K$4)))</f>
        <v>0</v>
      </c>
      <c r="L715" s="26" t="n">
        <f aca="false">IF(INDEX(Pengaturan!$B$8:$B$27,L$4)="",0,COUNTIF(Data!$B715:$U715,INDEX(Pengaturan!$B$8:$B$27,L$4)))</f>
        <v>0</v>
      </c>
      <c r="M715" s="26" t="n">
        <f aca="false">IF(INDEX(Pengaturan!$B$8:$B$27,M$4)="",0,COUNTIF(Data!$B715:$U715,INDEX(Pengaturan!$B$8:$B$27,M$4)))</f>
        <v>0</v>
      </c>
      <c r="N715" s="26" t="n">
        <f aca="false">IF(INDEX(Pengaturan!$B$8:$B$27,N$4)="",0,COUNTIF(Data!$B715:$U715,INDEX(Pengaturan!$B$8:$B$27,N$4)))</f>
        <v>0</v>
      </c>
      <c r="O715" s="26" t="n">
        <f aca="false">IF(INDEX(Pengaturan!$B$8:$B$27,O$4)="",0,COUNTIF(Data!$B715:$U715,INDEX(Pengaturan!$B$8:$B$27,O$4)))</f>
        <v>0</v>
      </c>
      <c r="P715" s="26" t="n">
        <f aca="false">IF(INDEX(Pengaturan!$B$8:$B$27,P$4)="",0,COUNTIF(Data!$B715:$U715,INDEX(Pengaturan!$B$8:$B$27,P$4)))</f>
        <v>0</v>
      </c>
      <c r="Q715" s="26" t="n">
        <f aca="false">IF(INDEX(Pengaturan!$B$8:$B$27,Q$4)="",0,COUNTIF(Data!$B715:$U715,INDEX(Pengaturan!$B$8:$B$27,Q$4)))</f>
        <v>0</v>
      </c>
      <c r="R715" s="26" t="n">
        <f aca="false">IF(INDEX(Pengaturan!$B$8:$B$27,R$4)="",0,COUNTIF(Data!$B715:$U715,INDEX(Pengaturan!$B$8:$B$27,R$4)))</f>
        <v>0</v>
      </c>
      <c r="S715" s="26" t="n">
        <f aca="false">IF(INDEX(Pengaturan!$B$8:$B$27,S$4)="",0,COUNTIF(Data!$B715:$U715,INDEX(Pengaturan!$B$8:$B$27,S$4)))</f>
        <v>0</v>
      </c>
      <c r="T715" s="26" t="n">
        <f aca="false">IF(INDEX(Pengaturan!$B$8:$B$27,T$4)="",0,COUNTIF(Data!$B715:$U715,INDEX(Pengaturan!$B$8:$B$27,T$4)))</f>
        <v>0</v>
      </c>
      <c r="U715" s="26" t="n">
        <f aca="false">IF(INDEX(Pengaturan!$B$8:$B$27,U$4)="",0,COUNTIF(Data!$B715:$U715,INDEX(Pengaturan!$B$8:$B$27,U$4)))</f>
        <v>0</v>
      </c>
      <c r="V715" s="26" t="n">
        <f aca="false">COUNTA(Data!$B715:$U715)</f>
        <v>0</v>
      </c>
      <c r="W715" s="27" t="str">
        <f aca="false">IF(V715=0,"",IF(V715&lt;&gt;Hasil!$C$4,"Data kosong/tidak lengkap",IF(SUM(B715:U715)&lt;&gt;V715,"Kategori tidak dikenal","OK")))</f>
        <v/>
      </c>
      <c r="X715" s="26" t="n">
        <f aca="false">IF(OR(W715="",W715="OK"),0,1)</f>
        <v>0</v>
      </c>
    </row>
    <row r="716" customFormat="false" ht="15" hidden="false" customHeight="false" outlineLevel="0" collapsed="false">
      <c r="A716" s="26" t="n">
        <f aca="false">Data!A716</f>
        <v>711</v>
      </c>
      <c r="B716" s="26" t="n">
        <f aca="false">IF(INDEX(Pengaturan!$B$8:$B$27,B$4)="",0,COUNTIF(Data!$B716:$U716,INDEX(Pengaturan!$B$8:$B$27,B$4)))</f>
        <v>0</v>
      </c>
      <c r="C716" s="26" t="n">
        <f aca="false">IF(INDEX(Pengaturan!$B$8:$B$27,C$4)="",0,COUNTIF(Data!$B716:$U716,INDEX(Pengaturan!$B$8:$B$27,C$4)))</f>
        <v>0</v>
      </c>
      <c r="D716" s="26" t="n">
        <f aca="false">IF(INDEX(Pengaturan!$B$8:$B$27,D$4)="",0,COUNTIF(Data!$B716:$U716,INDEX(Pengaturan!$B$8:$B$27,D$4)))</f>
        <v>0</v>
      </c>
      <c r="E716" s="26" t="n">
        <f aca="false">IF(INDEX(Pengaturan!$B$8:$B$27,E$4)="",0,COUNTIF(Data!$B716:$U716,INDEX(Pengaturan!$B$8:$B$27,E$4)))</f>
        <v>0</v>
      </c>
      <c r="F716" s="26" t="n">
        <f aca="false">IF(INDEX(Pengaturan!$B$8:$B$27,F$4)="",0,COUNTIF(Data!$B716:$U716,INDEX(Pengaturan!$B$8:$B$27,F$4)))</f>
        <v>0</v>
      </c>
      <c r="G716" s="26" t="n">
        <f aca="false">IF(INDEX(Pengaturan!$B$8:$B$27,G$4)="",0,COUNTIF(Data!$B716:$U716,INDEX(Pengaturan!$B$8:$B$27,G$4)))</f>
        <v>0</v>
      </c>
      <c r="H716" s="26" t="n">
        <f aca="false">IF(INDEX(Pengaturan!$B$8:$B$27,H$4)="",0,COUNTIF(Data!$B716:$U716,INDEX(Pengaturan!$B$8:$B$27,H$4)))</f>
        <v>0</v>
      </c>
      <c r="I716" s="26" t="n">
        <f aca="false">IF(INDEX(Pengaturan!$B$8:$B$27,I$4)="",0,COUNTIF(Data!$B716:$U716,INDEX(Pengaturan!$B$8:$B$27,I$4)))</f>
        <v>0</v>
      </c>
      <c r="J716" s="26" t="n">
        <f aca="false">IF(INDEX(Pengaturan!$B$8:$B$27,J$4)="",0,COUNTIF(Data!$B716:$U716,INDEX(Pengaturan!$B$8:$B$27,J$4)))</f>
        <v>0</v>
      </c>
      <c r="K716" s="26" t="n">
        <f aca="false">IF(INDEX(Pengaturan!$B$8:$B$27,K$4)="",0,COUNTIF(Data!$B716:$U716,INDEX(Pengaturan!$B$8:$B$27,K$4)))</f>
        <v>0</v>
      </c>
      <c r="L716" s="26" t="n">
        <f aca="false">IF(INDEX(Pengaturan!$B$8:$B$27,L$4)="",0,COUNTIF(Data!$B716:$U716,INDEX(Pengaturan!$B$8:$B$27,L$4)))</f>
        <v>0</v>
      </c>
      <c r="M716" s="26" t="n">
        <f aca="false">IF(INDEX(Pengaturan!$B$8:$B$27,M$4)="",0,COUNTIF(Data!$B716:$U716,INDEX(Pengaturan!$B$8:$B$27,M$4)))</f>
        <v>0</v>
      </c>
      <c r="N716" s="26" t="n">
        <f aca="false">IF(INDEX(Pengaturan!$B$8:$B$27,N$4)="",0,COUNTIF(Data!$B716:$U716,INDEX(Pengaturan!$B$8:$B$27,N$4)))</f>
        <v>0</v>
      </c>
      <c r="O716" s="26" t="n">
        <f aca="false">IF(INDEX(Pengaturan!$B$8:$B$27,O$4)="",0,COUNTIF(Data!$B716:$U716,INDEX(Pengaturan!$B$8:$B$27,O$4)))</f>
        <v>0</v>
      </c>
      <c r="P716" s="26" t="n">
        <f aca="false">IF(INDEX(Pengaturan!$B$8:$B$27,P$4)="",0,COUNTIF(Data!$B716:$U716,INDEX(Pengaturan!$B$8:$B$27,P$4)))</f>
        <v>0</v>
      </c>
      <c r="Q716" s="26" t="n">
        <f aca="false">IF(INDEX(Pengaturan!$B$8:$B$27,Q$4)="",0,COUNTIF(Data!$B716:$U716,INDEX(Pengaturan!$B$8:$B$27,Q$4)))</f>
        <v>0</v>
      </c>
      <c r="R716" s="26" t="n">
        <f aca="false">IF(INDEX(Pengaturan!$B$8:$B$27,R$4)="",0,COUNTIF(Data!$B716:$U716,INDEX(Pengaturan!$B$8:$B$27,R$4)))</f>
        <v>0</v>
      </c>
      <c r="S716" s="26" t="n">
        <f aca="false">IF(INDEX(Pengaturan!$B$8:$B$27,S$4)="",0,COUNTIF(Data!$B716:$U716,INDEX(Pengaturan!$B$8:$B$27,S$4)))</f>
        <v>0</v>
      </c>
      <c r="T716" s="26" t="n">
        <f aca="false">IF(INDEX(Pengaturan!$B$8:$B$27,T$4)="",0,COUNTIF(Data!$B716:$U716,INDEX(Pengaturan!$B$8:$B$27,T$4)))</f>
        <v>0</v>
      </c>
      <c r="U716" s="26" t="n">
        <f aca="false">IF(INDEX(Pengaturan!$B$8:$B$27,U$4)="",0,COUNTIF(Data!$B716:$U716,INDEX(Pengaturan!$B$8:$B$27,U$4)))</f>
        <v>0</v>
      </c>
      <c r="V716" s="26" t="n">
        <f aca="false">COUNTA(Data!$B716:$U716)</f>
        <v>0</v>
      </c>
      <c r="W716" s="27" t="str">
        <f aca="false">IF(V716=0,"",IF(V716&lt;&gt;Hasil!$C$4,"Data kosong/tidak lengkap",IF(SUM(B716:U716)&lt;&gt;V716,"Kategori tidak dikenal","OK")))</f>
        <v/>
      </c>
      <c r="X716" s="26" t="n">
        <f aca="false">IF(OR(W716="",W716="OK"),0,1)</f>
        <v>0</v>
      </c>
    </row>
    <row r="717" customFormat="false" ht="15" hidden="false" customHeight="false" outlineLevel="0" collapsed="false">
      <c r="A717" s="26" t="n">
        <f aca="false">Data!A717</f>
        <v>712</v>
      </c>
      <c r="B717" s="26" t="n">
        <f aca="false">IF(INDEX(Pengaturan!$B$8:$B$27,B$4)="",0,COUNTIF(Data!$B717:$U717,INDEX(Pengaturan!$B$8:$B$27,B$4)))</f>
        <v>0</v>
      </c>
      <c r="C717" s="26" t="n">
        <f aca="false">IF(INDEX(Pengaturan!$B$8:$B$27,C$4)="",0,COUNTIF(Data!$B717:$U717,INDEX(Pengaturan!$B$8:$B$27,C$4)))</f>
        <v>0</v>
      </c>
      <c r="D717" s="26" t="n">
        <f aca="false">IF(INDEX(Pengaturan!$B$8:$B$27,D$4)="",0,COUNTIF(Data!$B717:$U717,INDEX(Pengaturan!$B$8:$B$27,D$4)))</f>
        <v>0</v>
      </c>
      <c r="E717" s="26" t="n">
        <f aca="false">IF(INDEX(Pengaturan!$B$8:$B$27,E$4)="",0,COUNTIF(Data!$B717:$U717,INDEX(Pengaturan!$B$8:$B$27,E$4)))</f>
        <v>0</v>
      </c>
      <c r="F717" s="26" t="n">
        <f aca="false">IF(INDEX(Pengaturan!$B$8:$B$27,F$4)="",0,COUNTIF(Data!$B717:$U717,INDEX(Pengaturan!$B$8:$B$27,F$4)))</f>
        <v>0</v>
      </c>
      <c r="G717" s="26" t="n">
        <f aca="false">IF(INDEX(Pengaturan!$B$8:$B$27,G$4)="",0,COUNTIF(Data!$B717:$U717,INDEX(Pengaturan!$B$8:$B$27,G$4)))</f>
        <v>0</v>
      </c>
      <c r="H717" s="26" t="n">
        <f aca="false">IF(INDEX(Pengaturan!$B$8:$B$27,H$4)="",0,COUNTIF(Data!$B717:$U717,INDEX(Pengaturan!$B$8:$B$27,H$4)))</f>
        <v>0</v>
      </c>
      <c r="I717" s="26" t="n">
        <f aca="false">IF(INDEX(Pengaturan!$B$8:$B$27,I$4)="",0,COUNTIF(Data!$B717:$U717,INDEX(Pengaturan!$B$8:$B$27,I$4)))</f>
        <v>0</v>
      </c>
      <c r="J717" s="26" t="n">
        <f aca="false">IF(INDEX(Pengaturan!$B$8:$B$27,J$4)="",0,COUNTIF(Data!$B717:$U717,INDEX(Pengaturan!$B$8:$B$27,J$4)))</f>
        <v>0</v>
      </c>
      <c r="K717" s="26" t="n">
        <f aca="false">IF(INDEX(Pengaturan!$B$8:$B$27,K$4)="",0,COUNTIF(Data!$B717:$U717,INDEX(Pengaturan!$B$8:$B$27,K$4)))</f>
        <v>0</v>
      </c>
      <c r="L717" s="26" t="n">
        <f aca="false">IF(INDEX(Pengaturan!$B$8:$B$27,L$4)="",0,COUNTIF(Data!$B717:$U717,INDEX(Pengaturan!$B$8:$B$27,L$4)))</f>
        <v>0</v>
      </c>
      <c r="M717" s="26" t="n">
        <f aca="false">IF(INDEX(Pengaturan!$B$8:$B$27,M$4)="",0,COUNTIF(Data!$B717:$U717,INDEX(Pengaturan!$B$8:$B$27,M$4)))</f>
        <v>0</v>
      </c>
      <c r="N717" s="26" t="n">
        <f aca="false">IF(INDEX(Pengaturan!$B$8:$B$27,N$4)="",0,COUNTIF(Data!$B717:$U717,INDEX(Pengaturan!$B$8:$B$27,N$4)))</f>
        <v>0</v>
      </c>
      <c r="O717" s="26" t="n">
        <f aca="false">IF(INDEX(Pengaturan!$B$8:$B$27,O$4)="",0,COUNTIF(Data!$B717:$U717,INDEX(Pengaturan!$B$8:$B$27,O$4)))</f>
        <v>0</v>
      </c>
      <c r="P717" s="26" t="n">
        <f aca="false">IF(INDEX(Pengaturan!$B$8:$B$27,P$4)="",0,COUNTIF(Data!$B717:$U717,INDEX(Pengaturan!$B$8:$B$27,P$4)))</f>
        <v>0</v>
      </c>
      <c r="Q717" s="26" t="n">
        <f aca="false">IF(INDEX(Pengaturan!$B$8:$B$27,Q$4)="",0,COUNTIF(Data!$B717:$U717,INDEX(Pengaturan!$B$8:$B$27,Q$4)))</f>
        <v>0</v>
      </c>
      <c r="R717" s="26" t="n">
        <f aca="false">IF(INDEX(Pengaturan!$B$8:$B$27,R$4)="",0,COUNTIF(Data!$B717:$U717,INDEX(Pengaturan!$B$8:$B$27,R$4)))</f>
        <v>0</v>
      </c>
      <c r="S717" s="26" t="n">
        <f aca="false">IF(INDEX(Pengaturan!$B$8:$B$27,S$4)="",0,COUNTIF(Data!$B717:$U717,INDEX(Pengaturan!$B$8:$B$27,S$4)))</f>
        <v>0</v>
      </c>
      <c r="T717" s="26" t="n">
        <f aca="false">IF(INDEX(Pengaturan!$B$8:$B$27,T$4)="",0,COUNTIF(Data!$B717:$U717,INDEX(Pengaturan!$B$8:$B$27,T$4)))</f>
        <v>0</v>
      </c>
      <c r="U717" s="26" t="n">
        <f aca="false">IF(INDEX(Pengaturan!$B$8:$B$27,U$4)="",0,COUNTIF(Data!$B717:$U717,INDEX(Pengaturan!$B$8:$B$27,U$4)))</f>
        <v>0</v>
      </c>
      <c r="V717" s="26" t="n">
        <f aca="false">COUNTA(Data!$B717:$U717)</f>
        <v>0</v>
      </c>
      <c r="W717" s="27" t="str">
        <f aca="false">IF(V717=0,"",IF(V717&lt;&gt;Hasil!$C$4,"Data kosong/tidak lengkap",IF(SUM(B717:U717)&lt;&gt;V717,"Kategori tidak dikenal","OK")))</f>
        <v/>
      </c>
      <c r="X717" s="26" t="n">
        <f aca="false">IF(OR(W717="",W717="OK"),0,1)</f>
        <v>0</v>
      </c>
    </row>
    <row r="718" customFormat="false" ht="15" hidden="false" customHeight="false" outlineLevel="0" collapsed="false">
      <c r="A718" s="26" t="n">
        <f aca="false">Data!A718</f>
        <v>713</v>
      </c>
      <c r="B718" s="26" t="n">
        <f aca="false">IF(INDEX(Pengaturan!$B$8:$B$27,B$4)="",0,COUNTIF(Data!$B718:$U718,INDEX(Pengaturan!$B$8:$B$27,B$4)))</f>
        <v>0</v>
      </c>
      <c r="C718" s="26" t="n">
        <f aca="false">IF(INDEX(Pengaturan!$B$8:$B$27,C$4)="",0,COUNTIF(Data!$B718:$U718,INDEX(Pengaturan!$B$8:$B$27,C$4)))</f>
        <v>0</v>
      </c>
      <c r="D718" s="26" t="n">
        <f aca="false">IF(INDEX(Pengaturan!$B$8:$B$27,D$4)="",0,COUNTIF(Data!$B718:$U718,INDEX(Pengaturan!$B$8:$B$27,D$4)))</f>
        <v>0</v>
      </c>
      <c r="E718" s="26" t="n">
        <f aca="false">IF(INDEX(Pengaturan!$B$8:$B$27,E$4)="",0,COUNTIF(Data!$B718:$U718,INDEX(Pengaturan!$B$8:$B$27,E$4)))</f>
        <v>0</v>
      </c>
      <c r="F718" s="26" t="n">
        <f aca="false">IF(INDEX(Pengaturan!$B$8:$B$27,F$4)="",0,COUNTIF(Data!$B718:$U718,INDEX(Pengaturan!$B$8:$B$27,F$4)))</f>
        <v>0</v>
      </c>
      <c r="G718" s="26" t="n">
        <f aca="false">IF(INDEX(Pengaturan!$B$8:$B$27,G$4)="",0,COUNTIF(Data!$B718:$U718,INDEX(Pengaturan!$B$8:$B$27,G$4)))</f>
        <v>0</v>
      </c>
      <c r="H718" s="26" t="n">
        <f aca="false">IF(INDEX(Pengaturan!$B$8:$B$27,H$4)="",0,COUNTIF(Data!$B718:$U718,INDEX(Pengaturan!$B$8:$B$27,H$4)))</f>
        <v>0</v>
      </c>
      <c r="I718" s="26" t="n">
        <f aca="false">IF(INDEX(Pengaturan!$B$8:$B$27,I$4)="",0,COUNTIF(Data!$B718:$U718,INDEX(Pengaturan!$B$8:$B$27,I$4)))</f>
        <v>0</v>
      </c>
      <c r="J718" s="26" t="n">
        <f aca="false">IF(INDEX(Pengaturan!$B$8:$B$27,J$4)="",0,COUNTIF(Data!$B718:$U718,INDEX(Pengaturan!$B$8:$B$27,J$4)))</f>
        <v>0</v>
      </c>
      <c r="K718" s="26" t="n">
        <f aca="false">IF(INDEX(Pengaturan!$B$8:$B$27,K$4)="",0,COUNTIF(Data!$B718:$U718,INDEX(Pengaturan!$B$8:$B$27,K$4)))</f>
        <v>0</v>
      </c>
      <c r="L718" s="26" t="n">
        <f aca="false">IF(INDEX(Pengaturan!$B$8:$B$27,L$4)="",0,COUNTIF(Data!$B718:$U718,INDEX(Pengaturan!$B$8:$B$27,L$4)))</f>
        <v>0</v>
      </c>
      <c r="M718" s="26" t="n">
        <f aca="false">IF(INDEX(Pengaturan!$B$8:$B$27,M$4)="",0,COUNTIF(Data!$B718:$U718,INDEX(Pengaturan!$B$8:$B$27,M$4)))</f>
        <v>0</v>
      </c>
      <c r="N718" s="26" t="n">
        <f aca="false">IF(INDEX(Pengaturan!$B$8:$B$27,N$4)="",0,COUNTIF(Data!$B718:$U718,INDEX(Pengaturan!$B$8:$B$27,N$4)))</f>
        <v>0</v>
      </c>
      <c r="O718" s="26" t="n">
        <f aca="false">IF(INDEX(Pengaturan!$B$8:$B$27,O$4)="",0,COUNTIF(Data!$B718:$U718,INDEX(Pengaturan!$B$8:$B$27,O$4)))</f>
        <v>0</v>
      </c>
      <c r="P718" s="26" t="n">
        <f aca="false">IF(INDEX(Pengaturan!$B$8:$B$27,P$4)="",0,COUNTIF(Data!$B718:$U718,INDEX(Pengaturan!$B$8:$B$27,P$4)))</f>
        <v>0</v>
      </c>
      <c r="Q718" s="26" t="n">
        <f aca="false">IF(INDEX(Pengaturan!$B$8:$B$27,Q$4)="",0,COUNTIF(Data!$B718:$U718,INDEX(Pengaturan!$B$8:$B$27,Q$4)))</f>
        <v>0</v>
      </c>
      <c r="R718" s="26" t="n">
        <f aca="false">IF(INDEX(Pengaturan!$B$8:$B$27,R$4)="",0,COUNTIF(Data!$B718:$U718,INDEX(Pengaturan!$B$8:$B$27,R$4)))</f>
        <v>0</v>
      </c>
      <c r="S718" s="26" t="n">
        <f aca="false">IF(INDEX(Pengaturan!$B$8:$B$27,S$4)="",0,COUNTIF(Data!$B718:$U718,INDEX(Pengaturan!$B$8:$B$27,S$4)))</f>
        <v>0</v>
      </c>
      <c r="T718" s="26" t="n">
        <f aca="false">IF(INDEX(Pengaturan!$B$8:$B$27,T$4)="",0,COUNTIF(Data!$B718:$U718,INDEX(Pengaturan!$B$8:$B$27,T$4)))</f>
        <v>0</v>
      </c>
      <c r="U718" s="26" t="n">
        <f aca="false">IF(INDEX(Pengaturan!$B$8:$B$27,U$4)="",0,COUNTIF(Data!$B718:$U718,INDEX(Pengaturan!$B$8:$B$27,U$4)))</f>
        <v>0</v>
      </c>
      <c r="V718" s="26" t="n">
        <f aca="false">COUNTA(Data!$B718:$U718)</f>
        <v>0</v>
      </c>
      <c r="W718" s="27" t="str">
        <f aca="false">IF(V718=0,"",IF(V718&lt;&gt;Hasil!$C$4,"Data kosong/tidak lengkap",IF(SUM(B718:U718)&lt;&gt;V718,"Kategori tidak dikenal","OK")))</f>
        <v/>
      </c>
      <c r="X718" s="26" t="n">
        <f aca="false">IF(OR(W718="",W718="OK"),0,1)</f>
        <v>0</v>
      </c>
    </row>
    <row r="719" customFormat="false" ht="15" hidden="false" customHeight="false" outlineLevel="0" collapsed="false">
      <c r="A719" s="26" t="n">
        <f aca="false">Data!A719</f>
        <v>714</v>
      </c>
      <c r="B719" s="26" t="n">
        <f aca="false">IF(INDEX(Pengaturan!$B$8:$B$27,B$4)="",0,COUNTIF(Data!$B719:$U719,INDEX(Pengaturan!$B$8:$B$27,B$4)))</f>
        <v>0</v>
      </c>
      <c r="C719" s="26" t="n">
        <f aca="false">IF(INDEX(Pengaturan!$B$8:$B$27,C$4)="",0,COUNTIF(Data!$B719:$U719,INDEX(Pengaturan!$B$8:$B$27,C$4)))</f>
        <v>0</v>
      </c>
      <c r="D719" s="26" t="n">
        <f aca="false">IF(INDEX(Pengaturan!$B$8:$B$27,D$4)="",0,COUNTIF(Data!$B719:$U719,INDEX(Pengaturan!$B$8:$B$27,D$4)))</f>
        <v>0</v>
      </c>
      <c r="E719" s="26" t="n">
        <f aca="false">IF(INDEX(Pengaturan!$B$8:$B$27,E$4)="",0,COUNTIF(Data!$B719:$U719,INDEX(Pengaturan!$B$8:$B$27,E$4)))</f>
        <v>0</v>
      </c>
      <c r="F719" s="26" t="n">
        <f aca="false">IF(INDEX(Pengaturan!$B$8:$B$27,F$4)="",0,COUNTIF(Data!$B719:$U719,INDEX(Pengaturan!$B$8:$B$27,F$4)))</f>
        <v>0</v>
      </c>
      <c r="G719" s="26" t="n">
        <f aca="false">IF(INDEX(Pengaturan!$B$8:$B$27,G$4)="",0,COUNTIF(Data!$B719:$U719,INDEX(Pengaturan!$B$8:$B$27,G$4)))</f>
        <v>0</v>
      </c>
      <c r="H719" s="26" t="n">
        <f aca="false">IF(INDEX(Pengaturan!$B$8:$B$27,H$4)="",0,COUNTIF(Data!$B719:$U719,INDEX(Pengaturan!$B$8:$B$27,H$4)))</f>
        <v>0</v>
      </c>
      <c r="I719" s="26" t="n">
        <f aca="false">IF(INDEX(Pengaturan!$B$8:$B$27,I$4)="",0,COUNTIF(Data!$B719:$U719,INDEX(Pengaturan!$B$8:$B$27,I$4)))</f>
        <v>0</v>
      </c>
      <c r="J719" s="26" t="n">
        <f aca="false">IF(INDEX(Pengaturan!$B$8:$B$27,J$4)="",0,COUNTIF(Data!$B719:$U719,INDEX(Pengaturan!$B$8:$B$27,J$4)))</f>
        <v>0</v>
      </c>
      <c r="K719" s="26" t="n">
        <f aca="false">IF(INDEX(Pengaturan!$B$8:$B$27,K$4)="",0,COUNTIF(Data!$B719:$U719,INDEX(Pengaturan!$B$8:$B$27,K$4)))</f>
        <v>0</v>
      </c>
      <c r="L719" s="26" t="n">
        <f aca="false">IF(INDEX(Pengaturan!$B$8:$B$27,L$4)="",0,COUNTIF(Data!$B719:$U719,INDEX(Pengaturan!$B$8:$B$27,L$4)))</f>
        <v>0</v>
      </c>
      <c r="M719" s="26" t="n">
        <f aca="false">IF(INDEX(Pengaturan!$B$8:$B$27,M$4)="",0,COUNTIF(Data!$B719:$U719,INDEX(Pengaturan!$B$8:$B$27,M$4)))</f>
        <v>0</v>
      </c>
      <c r="N719" s="26" t="n">
        <f aca="false">IF(INDEX(Pengaturan!$B$8:$B$27,N$4)="",0,COUNTIF(Data!$B719:$U719,INDEX(Pengaturan!$B$8:$B$27,N$4)))</f>
        <v>0</v>
      </c>
      <c r="O719" s="26" t="n">
        <f aca="false">IF(INDEX(Pengaturan!$B$8:$B$27,O$4)="",0,COUNTIF(Data!$B719:$U719,INDEX(Pengaturan!$B$8:$B$27,O$4)))</f>
        <v>0</v>
      </c>
      <c r="P719" s="26" t="n">
        <f aca="false">IF(INDEX(Pengaturan!$B$8:$B$27,P$4)="",0,COUNTIF(Data!$B719:$U719,INDEX(Pengaturan!$B$8:$B$27,P$4)))</f>
        <v>0</v>
      </c>
      <c r="Q719" s="26" t="n">
        <f aca="false">IF(INDEX(Pengaturan!$B$8:$B$27,Q$4)="",0,COUNTIF(Data!$B719:$U719,INDEX(Pengaturan!$B$8:$B$27,Q$4)))</f>
        <v>0</v>
      </c>
      <c r="R719" s="26" t="n">
        <f aca="false">IF(INDEX(Pengaturan!$B$8:$B$27,R$4)="",0,COUNTIF(Data!$B719:$U719,INDEX(Pengaturan!$B$8:$B$27,R$4)))</f>
        <v>0</v>
      </c>
      <c r="S719" s="26" t="n">
        <f aca="false">IF(INDEX(Pengaturan!$B$8:$B$27,S$4)="",0,COUNTIF(Data!$B719:$U719,INDEX(Pengaturan!$B$8:$B$27,S$4)))</f>
        <v>0</v>
      </c>
      <c r="T719" s="26" t="n">
        <f aca="false">IF(INDEX(Pengaturan!$B$8:$B$27,T$4)="",0,COUNTIF(Data!$B719:$U719,INDEX(Pengaturan!$B$8:$B$27,T$4)))</f>
        <v>0</v>
      </c>
      <c r="U719" s="26" t="n">
        <f aca="false">IF(INDEX(Pengaturan!$B$8:$B$27,U$4)="",0,COUNTIF(Data!$B719:$U719,INDEX(Pengaturan!$B$8:$B$27,U$4)))</f>
        <v>0</v>
      </c>
      <c r="V719" s="26" t="n">
        <f aca="false">COUNTA(Data!$B719:$U719)</f>
        <v>0</v>
      </c>
      <c r="W719" s="27" t="str">
        <f aca="false">IF(V719=0,"",IF(V719&lt;&gt;Hasil!$C$4,"Data kosong/tidak lengkap",IF(SUM(B719:U719)&lt;&gt;V719,"Kategori tidak dikenal","OK")))</f>
        <v/>
      </c>
      <c r="X719" s="26" t="n">
        <f aca="false">IF(OR(W719="",W719="OK"),0,1)</f>
        <v>0</v>
      </c>
    </row>
    <row r="720" customFormat="false" ht="15" hidden="false" customHeight="false" outlineLevel="0" collapsed="false">
      <c r="A720" s="26" t="n">
        <f aca="false">Data!A720</f>
        <v>715</v>
      </c>
      <c r="B720" s="26" t="n">
        <f aca="false">IF(INDEX(Pengaturan!$B$8:$B$27,B$4)="",0,COUNTIF(Data!$B720:$U720,INDEX(Pengaturan!$B$8:$B$27,B$4)))</f>
        <v>0</v>
      </c>
      <c r="C720" s="26" t="n">
        <f aca="false">IF(INDEX(Pengaturan!$B$8:$B$27,C$4)="",0,COUNTIF(Data!$B720:$U720,INDEX(Pengaturan!$B$8:$B$27,C$4)))</f>
        <v>0</v>
      </c>
      <c r="D720" s="26" t="n">
        <f aca="false">IF(INDEX(Pengaturan!$B$8:$B$27,D$4)="",0,COUNTIF(Data!$B720:$U720,INDEX(Pengaturan!$B$8:$B$27,D$4)))</f>
        <v>0</v>
      </c>
      <c r="E720" s="26" t="n">
        <f aca="false">IF(INDEX(Pengaturan!$B$8:$B$27,E$4)="",0,COUNTIF(Data!$B720:$U720,INDEX(Pengaturan!$B$8:$B$27,E$4)))</f>
        <v>0</v>
      </c>
      <c r="F720" s="26" t="n">
        <f aca="false">IF(INDEX(Pengaturan!$B$8:$B$27,F$4)="",0,COUNTIF(Data!$B720:$U720,INDEX(Pengaturan!$B$8:$B$27,F$4)))</f>
        <v>0</v>
      </c>
      <c r="G720" s="26" t="n">
        <f aca="false">IF(INDEX(Pengaturan!$B$8:$B$27,G$4)="",0,COUNTIF(Data!$B720:$U720,INDEX(Pengaturan!$B$8:$B$27,G$4)))</f>
        <v>0</v>
      </c>
      <c r="H720" s="26" t="n">
        <f aca="false">IF(INDEX(Pengaturan!$B$8:$B$27,H$4)="",0,COUNTIF(Data!$B720:$U720,INDEX(Pengaturan!$B$8:$B$27,H$4)))</f>
        <v>0</v>
      </c>
      <c r="I720" s="26" t="n">
        <f aca="false">IF(INDEX(Pengaturan!$B$8:$B$27,I$4)="",0,COUNTIF(Data!$B720:$U720,INDEX(Pengaturan!$B$8:$B$27,I$4)))</f>
        <v>0</v>
      </c>
      <c r="J720" s="26" t="n">
        <f aca="false">IF(INDEX(Pengaturan!$B$8:$B$27,J$4)="",0,COUNTIF(Data!$B720:$U720,INDEX(Pengaturan!$B$8:$B$27,J$4)))</f>
        <v>0</v>
      </c>
      <c r="K720" s="26" t="n">
        <f aca="false">IF(INDEX(Pengaturan!$B$8:$B$27,K$4)="",0,COUNTIF(Data!$B720:$U720,INDEX(Pengaturan!$B$8:$B$27,K$4)))</f>
        <v>0</v>
      </c>
      <c r="L720" s="26" t="n">
        <f aca="false">IF(INDEX(Pengaturan!$B$8:$B$27,L$4)="",0,COUNTIF(Data!$B720:$U720,INDEX(Pengaturan!$B$8:$B$27,L$4)))</f>
        <v>0</v>
      </c>
      <c r="M720" s="26" t="n">
        <f aca="false">IF(INDEX(Pengaturan!$B$8:$B$27,M$4)="",0,COUNTIF(Data!$B720:$U720,INDEX(Pengaturan!$B$8:$B$27,M$4)))</f>
        <v>0</v>
      </c>
      <c r="N720" s="26" t="n">
        <f aca="false">IF(INDEX(Pengaturan!$B$8:$B$27,N$4)="",0,COUNTIF(Data!$B720:$U720,INDEX(Pengaturan!$B$8:$B$27,N$4)))</f>
        <v>0</v>
      </c>
      <c r="O720" s="26" t="n">
        <f aca="false">IF(INDEX(Pengaturan!$B$8:$B$27,O$4)="",0,COUNTIF(Data!$B720:$U720,INDEX(Pengaturan!$B$8:$B$27,O$4)))</f>
        <v>0</v>
      </c>
      <c r="P720" s="26" t="n">
        <f aca="false">IF(INDEX(Pengaturan!$B$8:$B$27,P$4)="",0,COUNTIF(Data!$B720:$U720,INDEX(Pengaturan!$B$8:$B$27,P$4)))</f>
        <v>0</v>
      </c>
      <c r="Q720" s="26" t="n">
        <f aca="false">IF(INDEX(Pengaturan!$B$8:$B$27,Q$4)="",0,COUNTIF(Data!$B720:$U720,INDEX(Pengaturan!$B$8:$B$27,Q$4)))</f>
        <v>0</v>
      </c>
      <c r="R720" s="26" t="n">
        <f aca="false">IF(INDEX(Pengaturan!$B$8:$B$27,R$4)="",0,COUNTIF(Data!$B720:$U720,INDEX(Pengaturan!$B$8:$B$27,R$4)))</f>
        <v>0</v>
      </c>
      <c r="S720" s="26" t="n">
        <f aca="false">IF(INDEX(Pengaturan!$B$8:$B$27,S$4)="",0,COUNTIF(Data!$B720:$U720,INDEX(Pengaturan!$B$8:$B$27,S$4)))</f>
        <v>0</v>
      </c>
      <c r="T720" s="26" t="n">
        <f aca="false">IF(INDEX(Pengaturan!$B$8:$B$27,T$4)="",0,COUNTIF(Data!$B720:$U720,INDEX(Pengaturan!$B$8:$B$27,T$4)))</f>
        <v>0</v>
      </c>
      <c r="U720" s="26" t="n">
        <f aca="false">IF(INDEX(Pengaturan!$B$8:$B$27,U$4)="",0,COUNTIF(Data!$B720:$U720,INDEX(Pengaturan!$B$8:$B$27,U$4)))</f>
        <v>0</v>
      </c>
      <c r="V720" s="26" t="n">
        <f aca="false">COUNTA(Data!$B720:$U720)</f>
        <v>0</v>
      </c>
      <c r="W720" s="27" t="str">
        <f aca="false">IF(V720=0,"",IF(V720&lt;&gt;Hasil!$C$4,"Data kosong/tidak lengkap",IF(SUM(B720:U720)&lt;&gt;V720,"Kategori tidak dikenal","OK")))</f>
        <v/>
      </c>
      <c r="X720" s="26" t="n">
        <f aca="false">IF(OR(W720="",W720="OK"),0,1)</f>
        <v>0</v>
      </c>
    </row>
    <row r="721" customFormat="false" ht="15" hidden="false" customHeight="false" outlineLevel="0" collapsed="false">
      <c r="A721" s="26" t="n">
        <f aca="false">Data!A721</f>
        <v>716</v>
      </c>
      <c r="B721" s="26" t="n">
        <f aca="false">IF(INDEX(Pengaturan!$B$8:$B$27,B$4)="",0,COUNTIF(Data!$B721:$U721,INDEX(Pengaturan!$B$8:$B$27,B$4)))</f>
        <v>0</v>
      </c>
      <c r="C721" s="26" t="n">
        <f aca="false">IF(INDEX(Pengaturan!$B$8:$B$27,C$4)="",0,COUNTIF(Data!$B721:$U721,INDEX(Pengaturan!$B$8:$B$27,C$4)))</f>
        <v>0</v>
      </c>
      <c r="D721" s="26" t="n">
        <f aca="false">IF(INDEX(Pengaturan!$B$8:$B$27,D$4)="",0,COUNTIF(Data!$B721:$U721,INDEX(Pengaturan!$B$8:$B$27,D$4)))</f>
        <v>0</v>
      </c>
      <c r="E721" s="26" t="n">
        <f aca="false">IF(INDEX(Pengaturan!$B$8:$B$27,E$4)="",0,COUNTIF(Data!$B721:$U721,INDEX(Pengaturan!$B$8:$B$27,E$4)))</f>
        <v>0</v>
      </c>
      <c r="F721" s="26" t="n">
        <f aca="false">IF(INDEX(Pengaturan!$B$8:$B$27,F$4)="",0,COUNTIF(Data!$B721:$U721,INDEX(Pengaturan!$B$8:$B$27,F$4)))</f>
        <v>0</v>
      </c>
      <c r="G721" s="26" t="n">
        <f aca="false">IF(INDEX(Pengaturan!$B$8:$B$27,G$4)="",0,COUNTIF(Data!$B721:$U721,INDEX(Pengaturan!$B$8:$B$27,G$4)))</f>
        <v>0</v>
      </c>
      <c r="H721" s="26" t="n">
        <f aca="false">IF(INDEX(Pengaturan!$B$8:$B$27,H$4)="",0,COUNTIF(Data!$B721:$U721,INDEX(Pengaturan!$B$8:$B$27,H$4)))</f>
        <v>0</v>
      </c>
      <c r="I721" s="26" t="n">
        <f aca="false">IF(INDEX(Pengaturan!$B$8:$B$27,I$4)="",0,COUNTIF(Data!$B721:$U721,INDEX(Pengaturan!$B$8:$B$27,I$4)))</f>
        <v>0</v>
      </c>
      <c r="J721" s="26" t="n">
        <f aca="false">IF(INDEX(Pengaturan!$B$8:$B$27,J$4)="",0,COUNTIF(Data!$B721:$U721,INDEX(Pengaturan!$B$8:$B$27,J$4)))</f>
        <v>0</v>
      </c>
      <c r="K721" s="26" t="n">
        <f aca="false">IF(INDEX(Pengaturan!$B$8:$B$27,K$4)="",0,COUNTIF(Data!$B721:$U721,INDEX(Pengaturan!$B$8:$B$27,K$4)))</f>
        <v>0</v>
      </c>
      <c r="L721" s="26" t="n">
        <f aca="false">IF(INDEX(Pengaturan!$B$8:$B$27,L$4)="",0,COUNTIF(Data!$B721:$U721,INDEX(Pengaturan!$B$8:$B$27,L$4)))</f>
        <v>0</v>
      </c>
      <c r="M721" s="26" t="n">
        <f aca="false">IF(INDEX(Pengaturan!$B$8:$B$27,M$4)="",0,COUNTIF(Data!$B721:$U721,INDEX(Pengaturan!$B$8:$B$27,M$4)))</f>
        <v>0</v>
      </c>
      <c r="N721" s="26" t="n">
        <f aca="false">IF(INDEX(Pengaturan!$B$8:$B$27,N$4)="",0,COUNTIF(Data!$B721:$U721,INDEX(Pengaturan!$B$8:$B$27,N$4)))</f>
        <v>0</v>
      </c>
      <c r="O721" s="26" t="n">
        <f aca="false">IF(INDEX(Pengaturan!$B$8:$B$27,O$4)="",0,COUNTIF(Data!$B721:$U721,INDEX(Pengaturan!$B$8:$B$27,O$4)))</f>
        <v>0</v>
      </c>
      <c r="P721" s="26" t="n">
        <f aca="false">IF(INDEX(Pengaturan!$B$8:$B$27,P$4)="",0,COUNTIF(Data!$B721:$U721,INDEX(Pengaturan!$B$8:$B$27,P$4)))</f>
        <v>0</v>
      </c>
      <c r="Q721" s="26" t="n">
        <f aca="false">IF(INDEX(Pengaturan!$B$8:$B$27,Q$4)="",0,COUNTIF(Data!$B721:$U721,INDEX(Pengaturan!$B$8:$B$27,Q$4)))</f>
        <v>0</v>
      </c>
      <c r="R721" s="26" t="n">
        <f aca="false">IF(INDEX(Pengaturan!$B$8:$B$27,R$4)="",0,COUNTIF(Data!$B721:$U721,INDEX(Pengaturan!$B$8:$B$27,R$4)))</f>
        <v>0</v>
      </c>
      <c r="S721" s="26" t="n">
        <f aca="false">IF(INDEX(Pengaturan!$B$8:$B$27,S$4)="",0,COUNTIF(Data!$B721:$U721,INDEX(Pengaturan!$B$8:$B$27,S$4)))</f>
        <v>0</v>
      </c>
      <c r="T721" s="26" t="n">
        <f aca="false">IF(INDEX(Pengaturan!$B$8:$B$27,T$4)="",0,COUNTIF(Data!$B721:$U721,INDEX(Pengaturan!$B$8:$B$27,T$4)))</f>
        <v>0</v>
      </c>
      <c r="U721" s="26" t="n">
        <f aca="false">IF(INDEX(Pengaturan!$B$8:$B$27,U$4)="",0,COUNTIF(Data!$B721:$U721,INDEX(Pengaturan!$B$8:$B$27,U$4)))</f>
        <v>0</v>
      </c>
      <c r="V721" s="26" t="n">
        <f aca="false">COUNTA(Data!$B721:$U721)</f>
        <v>0</v>
      </c>
      <c r="W721" s="27" t="str">
        <f aca="false">IF(V721=0,"",IF(V721&lt;&gt;Hasil!$C$4,"Data kosong/tidak lengkap",IF(SUM(B721:U721)&lt;&gt;V721,"Kategori tidak dikenal","OK")))</f>
        <v/>
      </c>
      <c r="X721" s="26" t="n">
        <f aca="false">IF(OR(W721="",W721="OK"),0,1)</f>
        <v>0</v>
      </c>
    </row>
    <row r="722" customFormat="false" ht="15" hidden="false" customHeight="false" outlineLevel="0" collapsed="false">
      <c r="A722" s="26" t="n">
        <f aca="false">Data!A722</f>
        <v>717</v>
      </c>
      <c r="B722" s="26" t="n">
        <f aca="false">IF(INDEX(Pengaturan!$B$8:$B$27,B$4)="",0,COUNTIF(Data!$B722:$U722,INDEX(Pengaturan!$B$8:$B$27,B$4)))</f>
        <v>0</v>
      </c>
      <c r="C722" s="26" t="n">
        <f aca="false">IF(INDEX(Pengaturan!$B$8:$B$27,C$4)="",0,COUNTIF(Data!$B722:$U722,INDEX(Pengaturan!$B$8:$B$27,C$4)))</f>
        <v>0</v>
      </c>
      <c r="D722" s="26" t="n">
        <f aca="false">IF(INDEX(Pengaturan!$B$8:$B$27,D$4)="",0,COUNTIF(Data!$B722:$U722,INDEX(Pengaturan!$B$8:$B$27,D$4)))</f>
        <v>0</v>
      </c>
      <c r="E722" s="26" t="n">
        <f aca="false">IF(INDEX(Pengaturan!$B$8:$B$27,E$4)="",0,COUNTIF(Data!$B722:$U722,INDEX(Pengaturan!$B$8:$B$27,E$4)))</f>
        <v>0</v>
      </c>
      <c r="F722" s="26" t="n">
        <f aca="false">IF(INDEX(Pengaturan!$B$8:$B$27,F$4)="",0,COUNTIF(Data!$B722:$U722,INDEX(Pengaturan!$B$8:$B$27,F$4)))</f>
        <v>0</v>
      </c>
      <c r="G722" s="26" t="n">
        <f aca="false">IF(INDEX(Pengaturan!$B$8:$B$27,G$4)="",0,COUNTIF(Data!$B722:$U722,INDEX(Pengaturan!$B$8:$B$27,G$4)))</f>
        <v>0</v>
      </c>
      <c r="H722" s="26" t="n">
        <f aca="false">IF(INDEX(Pengaturan!$B$8:$B$27,H$4)="",0,COUNTIF(Data!$B722:$U722,INDEX(Pengaturan!$B$8:$B$27,H$4)))</f>
        <v>0</v>
      </c>
      <c r="I722" s="26" t="n">
        <f aca="false">IF(INDEX(Pengaturan!$B$8:$B$27,I$4)="",0,COUNTIF(Data!$B722:$U722,INDEX(Pengaturan!$B$8:$B$27,I$4)))</f>
        <v>0</v>
      </c>
      <c r="J722" s="26" t="n">
        <f aca="false">IF(INDEX(Pengaturan!$B$8:$B$27,J$4)="",0,COUNTIF(Data!$B722:$U722,INDEX(Pengaturan!$B$8:$B$27,J$4)))</f>
        <v>0</v>
      </c>
      <c r="K722" s="26" t="n">
        <f aca="false">IF(INDEX(Pengaturan!$B$8:$B$27,K$4)="",0,COUNTIF(Data!$B722:$U722,INDEX(Pengaturan!$B$8:$B$27,K$4)))</f>
        <v>0</v>
      </c>
      <c r="L722" s="26" t="n">
        <f aca="false">IF(INDEX(Pengaturan!$B$8:$B$27,L$4)="",0,COUNTIF(Data!$B722:$U722,INDEX(Pengaturan!$B$8:$B$27,L$4)))</f>
        <v>0</v>
      </c>
      <c r="M722" s="26" t="n">
        <f aca="false">IF(INDEX(Pengaturan!$B$8:$B$27,M$4)="",0,COUNTIF(Data!$B722:$U722,INDEX(Pengaturan!$B$8:$B$27,M$4)))</f>
        <v>0</v>
      </c>
      <c r="N722" s="26" t="n">
        <f aca="false">IF(INDEX(Pengaturan!$B$8:$B$27,N$4)="",0,COUNTIF(Data!$B722:$U722,INDEX(Pengaturan!$B$8:$B$27,N$4)))</f>
        <v>0</v>
      </c>
      <c r="O722" s="26" t="n">
        <f aca="false">IF(INDEX(Pengaturan!$B$8:$B$27,O$4)="",0,COUNTIF(Data!$B722:$U722,INDEX(Pengaturan!$B$8:$B$27,O$4)))</f>
        <v>0</v>
      </c>
      <c r="P722" s="26" t="n">
        <f aca="false">IF(INDEX(Pengaturan!$B$8:$B$27,P$4)="",0,COUNTIF(Data!$B722:$U722,INDEX(Pengaturan!$B$8:$B$27,P$4)))</f>
        <v>0</v>
      </c>
      <c r="Q722" s="26" t="n">
        <f aca="false">IF(INDEX(Pengaturan!$B$8:$B$27,Q$4)="",0,COUNTIF(Data!$B722:$U722,INDEX(Pengaturan!$B$8:$B$27,Q$4)))</f>
        <v>0</v>
      </c>
      <c r="R722" s="26" t="n">
        <f aca="false">IF(INDEX(Pengaturan!$B$8:$B$27,R$4)="",0,COUNTIF(Data!$B722:$U722,INDEX(Pengaturan!$B$8:$B$27,R$4)))</f>
        <v>0</v>
      </c>
      <c r="S722" s="26" t="n">
        <f aca="false">IF(INDEX(Pengaturan!$B$8:$B$27,S$4)="",0,COUNTIF(Data!$B722:$U722,INDEX(Pengaturan!$B$8:$B$27,S$4)))</f>
        <v>0</v>
      </c>
      <c r="T722" s="26" t="n">
        <f aca="false">IF(INDEX(Pengaturan!$B$8:$B$27,T$4)="",0,COUNTIF(Data!$B722:$U722,INDEX(Pengaturan!$B$8:$B$27,T$4)))</f>
        <v>0</v>
      </c>
      <c r="U722" s="26" t="n">
        <f aca="false">IF(INDEX(Pengaturan!$B$8:$B$27,U$4)="",0,COUNTIF(Data!$B722:$U722,INDEX(Pengaturan!$B$8:$B$27,U$4)))</f>
        <v>0</v>
      </c>
      <c r="V722" s="26" t="n">
        <f aca="false">COUNTA(Data!$B722:$U722)</f>
        <v>0</v>
      </c>
      <c r="W722" s="27" t="str">
        <f aca="false">IF(V722=0,"",IF(V722&lt;&gt;Hasil!$C$4,"Data kosong/tidak lengkap",IF(SUM(B722:U722)&lt;&gt;V722,"Kategori tidak dikenal","OK")))</f>
        <v/>
      </c>
      <c r="X722" s="26" t="n">
        <f aca="false">IF(OR(W722="",W722="OK"),0,1)</f>
        <v>0</v>
      </c>
    </row>
    <row r="723" customFormat="false" ht="15" hidden="false" customHeight="false" outlineLevel="0" collapsed="false">
      <c r="A723" s="26" t="n">
        <f aca="false">Data!A723</f>
        <v>718</v>
      </c>
      <c r="B723" s="26" t="n">
        <f aca="false">IF(INDEX(Pengaturan!$B$8:$B$27,B$4)="",0,COUNTIF(Data!$B723:$U723,INDEX(Pengaturan!$B$8:$B$27,B$4)))</f>
        <v>0</v>
      </c>
      <c r="C723" s="26" t="n">
        <f aca="false">IF(INDEX(Pengaturan!$B$8:$B$27,C$4)="",0,COUNTIF(Data!$B723:$U723,INDEX(Pengaturan!$B$8:$B$27,C$4)))</f>
        <v>0</v>
      </c>
      <c r="D723" s="26" t="n">
        <f aca="false">IF(INDEX(Pengaturan!$B$8:$B$27,D$4)="",0,COUNTIF(Data!$B723:$U723,INDEX(Pengaturan!$B$8:$B$27,D$4)))</f>
        <v>0</v>
      </c>
      <c r="E723" s="26" t="n">
        <f aca="false">IF(INDEX(Pengaturan!$B$8:$B$27,E$4)="",0,COUNTIF(Data!$B723:$U723,INDEX(Pengaturan!$B$8:$B$27,E$4)))</f>
        <v>0</v>
      </c>
      <c r="F723" s="26" t="n">
        <f aca="false">IF(INDEX(Pengaturan!$B$8:$B$27,F$4)="",0,COUNTIF(Data!$B723:$U723,INDEX(Pengaturan!$B$8:$B$27,F$4)))</f>
        <v>0</v>
      </c>
      <c r="G723" s="26" t="n">
        <f aca="false">IF(INDEX(Pengaturan!$B$8:$B$27,G$4)="",0,COUNTIF(Data!$B723:$U723,INDEX(Pengaturan!$B$8:$B$27,G$4)))</f>
        <v>0</v>
      </c>
      <c r="H723" s="26" t="n">
        <f aca="false">IF(INDEX(Pengaturan!$B$8:$B$27,H$4)="",0,COUNTIF(Data!$B723:$U723,INDEX(Pengaturan!$B$8:$B$27,H$4)))</f>
        <v>0</v>
      </c>
      <c r="I723" s="26" t="n">
        <f aca="false">IF(INDEX(Pengaturan!$B$8:$B$27,I$4)="",0,COUNTIF(Data!$B723:$U723,INDEX(Pengaturan!$B$8:$B$27,I$4)))</f>
        <v>0</v>
      </c>
      <c r="J723" s="26" t="n">
        <f aca="false">IF(INDEX(Pengaturan!$B$8:$B$27,J$4)="",0,COUNTIF(Data!$B723:$U723,INDEX(Pengaturan!$B$8:$B$27,J$4)))</f>
        <v>0</v>
      </c>
      <c r="K723" s="26" t="n">
        <f aca="false">IF(INDEX(Pengaturan!$B$8:$B$27,K$4)="",0,COUNTIF(Data!$B723:$U723,INDEX(Pengaturan!$B$8:$B$27,K$4)))</f>
        <v>0</v>
      </c>
      <c r="L723" s="26" t="n">
        <f aca="false">IF(INDEX(Pengaturan!$B$8:$B$27,L$4)="",0,COUNTIF(Data!$B723:$U723,INDEX(Pengaturan!$B$8:$B$27,L$4)))</f>
        <v>0</v>
      </c>
      <c r="M723" s="26" t="n">
        <f aca="false">IF(INDEX(Pengaturan!$B$8:$B$27,M$4)="",0,COUNTIF(Data!$B723:$U723,INDEX(Pengaturan!$B$8:$B$27,M$4)))</f>
        <v>0</v>
      </c>
      <c r="N723" s="26" t="n">
        <f aca="false">IF(INDEX(Pengaturan!$B$8:$B$27,N$4)="",0,COUNTIF(Data!$B723:$U723,INDEX(Pengaturan!$B$8:$B$27,N$4)))</f>
        <v>0</v>
      </c>
      <c r="O723" s="26" t="n">
        <f aca="false">IF(INDEX(Pengaturan!$B$8:$B$27,O$4)="",0,COUNTIF(Data!$B723:$U723,INDEX(Pengaturan!$B$8:$B$27,O$4)))</f>
        <v>0</v>
      </c>
      <c r="P723" s="26" t="n">
        <f aca="false">IF(INDEX(Pengaturan!$B$8:$B$27,P$4)="",0,COUNTIF(Data!$B723:$U723,INDEX(Pengaturan!$B$8:$B$27,P$4)))</f>
        <v>0</v>
      </c>
      <c r="Q723" s="26" t="n">
        <f aca="false">IF(INDEX(Pengaturan!$B$8:$B$27,Q$4)="",0,COUNTIF(Data!$B723:$U723,INDEX(Pengaturan!$B$8:$B$27,Q$4)))</f>
        <v>0</v>
      </c>
      <c r="R723" s="26" t="n">
        <f aca="false">IF(INDEX(Pengaturan!$B$8:$B$27,R$4)="",0,COUNTIF(Data!$B723:$U723,INDEX(Pengaturan!$B$8:$B$27,R$4)))</f>
        <v>0</v>
      </c>
      <c r="S723" s="26" t="n">
        <f aca="false">IF(INDEX(Pengaturan!$B$8:$B$27,S$4)="",0,COUNTIF(Data!$B723:$U723,INDEX(Pengaturan!$B$8:$B$27,S$4)))</f>
        <v>0</v>
      </c>
      <c r="T723" s="26" t="n">
        <f aca="false">IF(INDEX(Pengaturan!$B$8:$B$27,T$4)="",0,COUNTIF(Data!$B723:$U723,INDEX(Pengaturan!$B$8:$B$27,T$4)))</f>
        <v>0</v>
      </c>
      <c r="U723" s="26" t="n">
        <f aca="false">IF(INDEX(Pengaturan!$B$8:$B$27,U$4)="",0,COUNTIF(Data!$B723:$U723,INDEX(Pengaturan!$B$8:$B$27,U$4)))</f>
        <v>0</v>
      </c>
      <c r="V723" s="26" t="n">
        <f aca="false">COUNTA(Data!$B723:$U723)</f>
        <v>0</v>
      </c>
      <c r="W723" s="27" t="str">
        <f aca="false">IF(V723=0,"",IF(V723&lt;&gt;Hasil!$C$4,"Data kosong/tidak lengkap",IF(SUM(B723:U723)&lt;&gt;V723,"Kategori tidak dikenal","OK")))</f>
        <v/>
      </c>
      <c r="X723" s="26" t="n">
        <f aca="false">IF(OR(W723="",W723="OK"),0,1)</f>
        <v>0</v>
      </c>
    </row>
    <row r="724" customFormat="false" ht="15" hidden="false" customHeight="false" outlineLevel="0" collapsed="false">
      <c r="A724" s="26" t="n">
        <f aca="false">Data!A724</f>
        <v>719</v>
      </c>
      <c r="B724" s="26" t="n">
        <f aca="false">IF(INDEX(Pengaturan!$B$8:$B$27,B$4)="",0,COUNTIF(Data!$B724:$U724,INDEX(Pengaturan!$B$8:$B$27,B$4)))</f>
        <v>0</v>
      </c>
      <c r="C724" s="26" t="n">
        <f aca="false">IF(INDEX(Pengaturan!$B$8:$B$27,C$4)="",0,COUNTIF(Data!$B724:$U724,INDEX(Pengaturan!$B$8:$B$27,C$4)))</f>
        <v>0</v>
      </c>
      <c r="D724" s="26" t="n">
        <f aca="false">IF(INDEX(Pengaturan!$B$8:$B$27,D$4)="",0,COUNTIF(Data!$B724:$U724,INDEX(Pengaturan!$B$8:$B$27,D$4)))</f>
        <v>0</v>
      </c>
      <c r="E724" s="26" t="n">
        <f aca="false">IF(INDEX(Pengaturan!$B$8:$B$27,E$4)="",0,COUNTIF(Data!$B724:$U724,INDEX(Pengaturan!$B$8:$B$27,E$4)))</f>
        <v>0</v>
      </c>
      <c r="F724" s="26" t="n">
        <f aca="false">IF(INDEX(Pengaturan!$B$8:$B$27,F$4)="",0,COUNTIF(Data!$B724:$U724,INDEX(Pengaturan!$B$8:$B$27,F$4)))</f>
        <v>0</v>
      </c>
      <c r="G724" s="26" t="n">
        <f aca="false">IF(INDEX(Pengaturan!$B$8:$B$27,G$4)="",0,COUNTIF(Data!$B724:$U724,INDEX(Pengaturan!$B$8:$B$27,G$4)))</f>
        <v>0</v>
      </c>
      <c r="H724" s="26" t="n">
        <f aca="false">IF(INDEX(Pengaturan!$B$8:$B$27,H$4)="",0,COUNTIF(Data!$B724:$U724,INDEX(Pengaturan!$B$8:$B$27,H$4)))</f>
        <v>0</v>
      </c>
      <c r="I724" s="26" t="n">
        <f aca="false">IF(INDEX(Pengaturan!$B$8:$B$27,I$4)="",0,COUNTIF(Data!$B724:$U724,INDEX(Pengaturan!$B$8:$B$27,I$4)))</f>
        <v>0</v>
      </c>
      <c r="J724" s="26" t="n">
        <f aca="false">IF(INDEX(Pengaturan!$B$8:$B$27,J$4)="",0,COUNTIF(Data!$B724:$U724,INDEX(Pengaturan!$B$8:$B$27,J$4)))</f>
        <v>0</v>
      </c>
      <c r="K724" s="26" t="n">
        <f aca="false">IF(INDEX(Pengaturan!$B$8:$B$27,K$4)="",0,COUNTIF(Data!$B724:$U724,INDEX(Pengaturan!$B$8:$B$27,K$4)))</f>
        <v>0</v>
      </c>
      <c r="L724" s="26" t="n">
        <f aca="false">IF(INDEX(Pengaturan!$B$8:$B$27,L$4)="",0,COUNTIF(Data!$B724:$U724,INDEX(Pengaturan!$B$8:$B$27,L$4)))</f>
        <v>0</v>
      </c>
      <c r="M724" s="26" t="n">
        <f aca="false">IF(INDEX(Pengaturan!$B$8:$B$27,M$4)="",0,COUNTIF(Data!$B724:$U724,INDEX(Pengaturan!$B$8:$B$27,M$4)))</f>
        <v>0</v>
      </c>
      <c r="N724" s="26" t="n">
        <f aca="false">IF(INDEX(Pengaturan!$B$8:$B$27,N$4)="",0,COUNTIF(Data!$B724:$U724,INDEX(Pengaturan!$B$8:$B$27,N$4)))</f>
        <v>0</v>
      </c>
      <c r="O724" s="26" t="n">
        <f aca="false">IF(INDEX(Pengaturan!$B$8:$B$27,O$4)="",0,COUNTIF(Data!$B724:$U724,INDEX(Pengaturan!$B$8:$B$27,O$4)))</f>
        <v>0</v>
      </c>
      <c r="P724" s="26" t="n">
        <f aca="false">IF(INDEX(Pengaturan!$B$8:$B$27,P$4)="",0,COUNTIF(Data!$B724:$U724,INDEX(Pengaturan!$B$8:$B$27,P$4)))</f>
        <v>0</v>
      </c>
      <c r="Q724" s="26" t="n">
        <f aca="false">IF(INDEX(Pengaturan!$B$8:$B$27,Q$4)="",0,COUNTIF(Data!$B724:$U724,INDEX(Pengaturan!$B$8:$B$27,Q$4)))</f>
        <v>0</v>
      </c>
      <c r="R724" s="26" t="n">
        <f aca="false">IF(INDEX(Pengaturan!$B$8:$B$27,R$4)="",0,COUNTIF(Data!$B724:$U724,INDEX(Pengaturan!$B$8:$B$27,R$4)))</f>
        <v>0</v>
      </c>
      <c r="S724" s="26" t="n">
        <f aca="false">IF(INDEX(Pengaturan!$B$8:$B$27,S$4)="",0,COUNTIF(Data!$B724:$U724,INDEX(Pengaturan!$B$8:$B$27,S$4)))</f>
        <v>0</v>
      </c>
      <c r="T724" s="26" t="n">
        <f aca="false">IF(INDEX(Pengaturan!$B$8:$B$27,T$4)="",0,COUNTIF(Data!$B724:$U724,INDEX(Pengaturan!$B$8:$B$27,T$4)))</f>
        <v>0</v>
      </c>
      <c r="U724" s="26" t="n">
        <f aca="false">IF(INDEX(Pengaturan!$B$8:$B$27,U$4)="",0,COUNTIF(Data!$B724:$U724,INDEX(Pengaturan!$B$8:$B$27,U$4)))</f>
        <v>0</v>
      </c>
      <c r="V724" s="26" t="n">
        <f aca="false">COUNTA(Data!$B724:$U724)</f>
        <v>0</v>
      </c>
      <c r="W724" s="27" t="str">
        <f aca="false">IF(V724=0,"",IF(V724&lt;&gt;Hasil!$C$4,"Data kosong/tidak lengkap",IF(SUM(B724:U724)&lt;&gt;V724,"Kategori tidak dikenal","OK")))</f>
        <v/>
      </c>
      <c r="X724" s="26" t="n">
        <f aca="false">IF(OR(W724="",W724="OK"),0,1)</f>
        <v>0</v>
      </c>
    </row>
    <row r="725" customFormat="false" ht="15" hidden="false" customHeight="false" outlineLevel="0" collapsed="false">
      <c r="A725" s="26" t="n">
        <f aca="false">Data!A725</f>
        <v>720</v>
      </c>
      <c r="B725" s="26" t="n">
        <f aca="false">IF(INDEX(Pengaturan!$B$8:$B$27,B$4)="",0,COUNTIF(Data!$B725:$U725,INDEX(Pengaturan!$B$8:$B$27,B$4)))</f>
        <v>0</v>
      </c>
      <c r="C725" s="26" t="n">
        <f aca="false">IF(INDEX(Pengaturan!$B$8:$B$27,C$4)="",0,COUNTIF(Data!$B725:$U725,INDEX(Pengaturan!$B$8:$B$27,C$4)))</f>
        <v>0</v>
      </c>
      <c r="D725" s="26" t="n">
        <f aca="false">IF(INDEX(Pengaturan!$B$8:$B$27,D$4)="",0,COUNTIF(Data!$B725:$U725,INDEX(Pengaturan!$B$8:$B$27,D$4)))</f>
        <v>0</v>
      </c>
      <c r="E725" s="26" t="n">
        <f aca="false">IF(INDEX(Pengaturan!$B$8:$B$27,E$4)="",0,COUNTIF(Data!$B725:$U725,INDEX(Pengaturan!$B$8:$B$27,E$4)))</f>
        <v>0</v>
      </c>
      <c r="F725" s="26" t="n">
        <f aca="false">IF(INDEX(Pengaturan!$B$8:$B$27,F$4)="",0,COUNTIF(Data!$B725:$U725,INDEX(Pengaturan!$B$8:$B$27,F$4)))</f>
        <v>0</v>
      </c>
      <c r="G725" s="26" t="n">
        <f aca="false">IF(INDEX(Pengaturan!$B$8:$B$27,G$4)="",0,COUNTIF(Data!$B725:$U725,INDEX(Pengaturan!$B$8:$B$27,G$4)))</f>
        <v>0</v>
      </c>
      <c r="H725" s="26" t="n">
        <f aca="false">IF(INDEX(Pengaturan!$B$8:$B$27,H$4)="",0,COUNTIF(Data!$B725:$U725,INDEX(Pengaturan!$B$8:$B$27,H$4)))</f>
        <v>0</v>
      </c>
      <c r="I725" s="26" t="n">
        <f aca="false">IF(INDEX(Pengaturan!$B$8:$B$27,I$4)="",0,COUNTIF(Data!$B725:$U725,INDEX(Pengaturan!$B$8:$B$27,I$4)))</f>
        <v>0</v>
      </c>
      <c r="J725" s="26" t="n">
        <f aca="false">IF(INDEX(Pengaturan!$B$8:$B$27,J$4)="",0,COUNTIF(Data!$B725:$U725,INDEX(Pengaturan!$B$8:$B$27,J$4)))</f>
        <v>0</v>
      </c>
      <c r="K725" s="26" t="n">
        <f aca="false">IF(INDEX(Pengaturan!$B$8:$B$27,K$4)="",0,COUNTIF(Data!$B725:$U725,INDEX(Pengaturan!$B$8:$B$27,K$4)))</f>
        <v>0</v>
      </c>
      <c r="L725" s="26" t="n">
        <f aca="false">IF(INDEX(Pengaturan!$B$8:$B$27,L$4)="",0,COUNTIF(Data!$B725:$U725,INDEX(Pengaturan!$B$8:$B$27,L$4)))</f>
        <v>0</v>
      </c>
      <c r="M725" s="26" t="n">
        <f aca="false">IF(INDEX(Pengaturan!$B$8:$B$27,M$4)="",0,COUNTIF(Data!$B725:$U725,INDEX(Pengaturan!$B$8:$B$27,M$4)))</f>
        <v>0</v>
      </c>
      <c r="N725" s="26" t="n">
        <f aca="false">IF(INDEX(Pengaturan!$B$8:$B$27,N$4)="",0,COUNTIF(Data!$B725:$U725,INDEX(Pengaturan!$B$8:$B$27,N$4)))</f>
        <v>0</v>
      </c>
      <c r="O725" s="26" t="n">
        <f aca="false">IF(INDEX(Pengaturan!$B$8:$B$27,O$4)="",0,COUNTIF(Data!$B725:$U725,INDEX(Pengaturan!$B$8:$B$27,O$4)))</f>
        <v>0</v>
      </c>
      <c r="P725" s="26" t="n">
        <f aca="false">IF(INDEX(Pengaturan!$B$8:$B$27,P$4)="",0,COUNTIF(Data!$B725:$U725,INDEX(Pengaturan!$B$8:$B$27,P$4)))</f>
        <v>0</v>
      </c>
      <c r="Q725" s="26" t="n">
        <f aca="false">IF(INDEX(Pengaturan!$B$8:$B$27,Q$4)="",0,COUNTIF(Data!$B725:$U725,INDEX(Pengaturan!$B$8:$B$27,Q$4)))</f>
        <v>0</v>
      </c>
      <c r="R725" s="26" t="n">
        <f aca="false">IF(INDEX(Pengaturan!$B$8:$B$27,R$4)="",0,COUNTIF(Data!$B725:$U725,INDEX(Pengaturan!$B$8:$B$27,R$4)))</f>
        <v>0</v>
      </c>
      <c r="S725" s="26" t="n">
        <f aca="false">IF(INDEX(Pengaturan!$B$8:$B$27,S$4)="",0,COUNTIF(Data!$B725:$U725,INDEX(Pengaturan!$B$8:$B$27,S$4)))</f>
        <v>0</v>
      </c>
      <c r="T725" s="26" t="n">
        <f aca="false">IF(INDEX(Pengaturan!$B$8:$B$27,T$4)="",0,COUNTIF(Data!$B725:$U725,INDEX(Pengaturan!$B$8:$B$27,T$4)))</f>
        <v>0</v>
      </c>
      <c r="U725" s="26" t="n">
        <f aca="false">IF(INDEX(Pengaturan!$B$8:$B$27,U$4)="",0,COUNTIF(Data!$B725:$U725,INDEX(Pengaturan!$B$8:$B$27,U$4)))</f>
        <v>0</v>
      </c>
      <c r="V725" s="26" t="n">
        <f aca="false">COUNTA(Data!$B725:$U725)</f>
        <v>0</v>
      </c>
      <c r="W725" s="27" t="str">
        <f aca="false">IF(V725=0,"",IF(V725&lt;&gt;Hasil!$C$4,"Data kosong/tidak lengkap",IF(SUM(B725:U725)&lt;&gt;V725,"Kategori tidak dikenal","OK")))</f>
        <v/>
      </c>
      <c r="X725" s="26" t="n">
        <f aca="false">IF(OR(W725="",W725="OK"),0,1)</f>
        <v>0</v>
      </c>
    </row>
    <row r="726" customFormat="false" ht="15" hidden="false" customHeight="false" outlineLevel="0" collapsed="false">
      <c r="A726" s="26" t="n">
        <f aca="false">Data!A726</f>
        <v>721</v>
      </c>
      <c r="B726" s="26" t="n">
        <f aca="false">IF(INDEX(Pengaturan!$B$8:$B$27,B$4)="",0,COUNTIF(Data!$B726:$U726,INDEX(Pengaturan!$B$8:$B$27,B$4)))</f>
        <v>0</v>
      </c>
      <c r="C726" s="26" t="n">
        <f aca="false">IF(INDEX(Pengaturan!$B$8:$B$27,C$4)="",0,COUNTIF(Data!$B726:$U726,INDEX(Pengaturan!$B$8:$B$27,C$4)))</f>
        <v>0</v>
      </c>
      <c r="D726" s="26" t="n">
        <f aca="false">IF(INDEX(Pengaturan!$B$8:$B$27,D$4)="",0,COUNTIF(Data!$B726:$U726,INDEX(Pengaturan!$B$8:$B$27,D$4)))</f>
        <v>0</v>
      </c>
      <c r="E726" s="26" t="n">
        <f aca="false">IF(INDEX(Pengaturan!$B$8:$B$27,E$4)="",0,COUNTIF(Data!$B726:$U726,INDEX(Pengaturan!$B$8:$B$27,E$4)))</f>
        <v>0</v>
      </c>
      <c r="F726" s="26" t="n">
        <f aca="false">IF(INDEX(Pengaturan!$B$8:$B$27,F$4)="",0,COUNTIF(Data!$B726:$U726,INDEX(Pengaturan!$B$8:$B$27,F$4)))</f>
        <v>0</v>
      </c>
      <c r="G726" s="26" t="n">
        <f aca="false">IF(INDEX(Pengaturan!$B$8:$B$27,G$4)="",0,COUNTIF(Data!$B726:$U726,INDEX(Pengaturan!$B$8:$B$27,G$4)))</f>
        <v>0</v>
      </c>
      <c r="H726" s="26" t="n">
        <f aca="false">IF(INDEX(Pengaturan!$B$8:$B$27,H$4)="",0,COUNTIF(Data!$B726:$U726,INDEX(Pengaturan!$B$8:$B$27,H$4)))</f>
        <v>0</v>
      </c>
      <c r="I726" s="26" t="n">
        <f aca="false">IF(INDEX(Pengaturan!$B$8:$B$27,I$4)="",0,COUNTIF(Data!$B726:$U726,INDEX(Pengaturan!$B$8:$B$27,I$4)))</f>
        <v>0</v>
      </c>
      <c r="J726" s="26" t="n">
        <f aca="false">IF(INDEX(Pengaturan!$B$8:$B$27,J$4)="",0,COUNTIF(Data!$B726:$U726,INDEX(Pengaturan!$B$8:$B$27,J$4)))</f>
        <v>0</v>
      </c>
      <c r="K726" s="26" t="n">
        <f aca="false">IF(INDEX(Pengaturan!$B$8:$B$27,K$4)="",0,COUNTIF(Data!$B726:$U726,INDEX(Pengaturan!$B$8:$B$27,K$4)))</f>
        <v>0</v>
      </c>
      <c r="L726" s="26" t="n">
        <f aca="false">IF(INDEX(Pengaturan!$B$8:$B$27,L$4)="",0,COUNTIF(Data!$B726:$U726,INDEX(Pengaturan!$B$8:$B$27,L$4)))</f>
        <v>0</v>
      </c>
      <c r="M726" s="26" t="n">
        <f aca="false">IF(INDEX(Pengaturan!$B$8:$B$27,M$4)="",0,COUNTIF(Data!$B726:$U726,INDEX(Pengaturan!$B$8:$B$27,M$4)))</f>
        <v>0</v>
      </c>
      <c r="N726" s="26" t="n">
        <f aca="false">IF(INDEX(Pengaturan!$B$8:$B$27,N$4)="",0,COUNTIF(Data!$B726:$U726,INDEX(Pengaturan!$B$8:$B$27,N$4)))</f>
        <v>0</v>
      </c>
      <c r="O726" s="26" t="n">
        <f aca="false">IF(INDEX(Pengaturan!$B$8:$B$27,O$4)="",0,COUNTIF(Data!$B726:$U726,INDEX(Pengaturan!$B$8:$B$27,O$4)))</f>
        <v>0</v>
      </c>
      <c r="P726" s="26" t="n">
        <f aca="false">IF(INDEX(Pengaturan!$B$8:$B$27,P$4)="",0,COUNTIF(Data!$B726:$U726,INDEX(Pengaturan!$B$8:$B$27,P$4)))</f>
        <v>0</v>
      </c>
      <c r="Q726" s="26" t="n">
        <f aca="false">IF(INDEX(Pengaturan!$B$8:$B$27,Q$4)="",0,COUNTIF(Data!$B726:$U726,INDEX(Pengaturan!$B$8:$B$27,Q$4)))</f>
        <v>0</v>
      </c>
      <c r="R726" s="26" t="n">
        <f aca="false">IF(INDEX(Pengaturan!$B$8:$B$27,R$4)="",0,COUNTIF(Data!$B726:$U726,INDEX(Pengaturan!$B$8:$B$27,R$4)))</f>
        <v>0</v>
      </c>
      <c r="S726" s="26" t="n">
        <f aca="false">IF(INDEX(Pengaturan!$B$8:$B$27,S$4)="",0,COUNTIF(Data!$B726:$U726,INDEX(Pengaturan!$B$8:$B$27,S$4)))</f>
        <v>0</v>
      </c>
      <c r="T726" s="26" t="n">
        <f aca="false">IF(INDEX(Pengaturan!$B$8:$B$27,T$4)="",0,COUNTIF(Data!$B726:$U726,INDEX(Pengaturan!$B$8:$B$27,T$4)))</f>
        <v>0</v>
      </c>
      <c r="U726" s="26" t="n">
        <f aca="false">IF(INDEX(Pengaturan!$B$8:$B$27,U$4)="",0,COUNTIF(Data!$B726:$U726,INDEX(Pengaturan!$B$8:$B$27,U$4)))</f>
        <v>0</v>
      </c>
      <c r="V726" s="26" t="n">
        <f aca="false">COUNTA(Data!$B726:$U726)</f>
        <v>0</v>
      </c>
      <c r="W726" s="27" t="str">
        <f aca="false">IF(V726=0,"",IF(V726&lt;&gt;Hasil!$C$4,"Data kosong/tidak lengkap",IF(SUM(B726:U726)&lt;&gt;V726,"Kategori tidak dikenal","OK")))</f>
        <v/>
      </c>
      <c r="X726" s="26" t="n">
        <f aca="false">IF(OR(W726="",W726="OK"),0,1)</f>
        <v>0</v>
      </c>
    </row>
    <row r="727" customFormat="false" ht="15" hidden="false" customHeight="false" outlineLevel="0" collapsed="false">
      <c r="A727" s="26" t="n">
        <f aca="false">Data!A727</f>
        <v>722</v>
      </c>
      <c r="B727" s="26" t="n">
        <f aca="false">IF(INDEX(Pengaturan!$B$8:$B$27,B$4)="",0,COUNTIF(Data!$B727:$U727,INDEX(Pengaturan!$B$8:$B$27,B$4)))</f>
        <v>0</v>
      </c>
      <c r="C727" s="26" t="n">
        <f aca="false">IF(INDEX(Pengaturan!$B$8:$B$27,C$4)="",0,COUNTIF(Data!$B727:$U727,INDEX(Pengaturan!$B$8:$B$27,C$4)))</f>
        <v>0</v>
      </c>
      <c r="D727" s="26" t="n">
        <f aca="false">IF(INDEX(Pengaturan!$B$8:$B$27,D$4)="",0,COUNTIF(Data!$B727:$U727,INDEX(Pengaturan!$B$8:$B$27,D$4)))</f>
        <v>0</v>
      </c>
      <c r="E727" s="26" t="n">
        <f aca="false">IF(INDEX(Pengaturan!$B$8:$B$27,E$4)="",0,COUNTIF(Data!$B727:$U727,INDEX(Pengaturan!$B$8:$B$27,E$4)))</f>
        <v>0</v>
      </c>
      <c r="F727" s="26" t="n">
        <f aca="false">IF(INDEX(Pengaturan!$B$8:$B$27,F$4)="",0,COUNTIF(Data!$B727:$U727,INDEX(Pengaturan!$B$8:$B$27,F$4)))</f>
        <v>0</v>
      </c>
      <c r="G727" s="26" t="n">
        <f aca="false">IF(INDEX(Pengaturan!$B$8:$B$27,G$4)="",0,COUNTIF(Data!$B727:$U727,INDEX(Pengaturan!$B$8:$B$27,G$4)))</f>
        <v>0</v>
      </c>
      <c r="H727" s="26" t="n">
        <f aca="false">IF(INDEX(Pengaturan!$B$8:$B$27,H$4)="",0,COUNTIF(Data!$B727:$U727,INDEX(Pengaturan!$B$8:$B$27,H$4)))</f>
        <v>0</v>
      </c>
      <c r="I727" s="26" t="n">
        <f aca="false">IF(INDEX(Pengaturan!$B$8:$B$27,I$4)="",0,COUNTIF(Data!$B727:$U727,INDEX(Pengaturan!$B$8:$B$27,I$4)))</f>
        <v>0</v>
      </c>
      <c r="J727" s="26" t="n">
        <f aca="false">IF(INDEX(Pengaturan!$B$8:$B$27,J$4)="",0,COUNTIF(Data!$B727:$U727,INDEX(Pengaturan!$B$8:$B$27,J$4)))</f>
        <v>0</v>
      </c>
      <c r="K727" s="26" t="n">
        <f aca="false">IF(INDEX(Pengaturan!$B$8:$B$27,K$4)="",0,COUNTIF(Data!$B727:$U727,INDEX(Pengaturan!$B$8:$B$27,K$4)))</f>
        <v>0</v>
      </c>
      <c r="L727" s="26" t="n">
        <f aca="false">IF(INDEX(Pengaturan!$B$8:$B$27,L$4)="",0,COUNTIF(Data!$B727:$U727,INDEX(Pengaturan!$B$8:$B$27,L$4)))</f>
        <v>0</v>
      </c>
      <c r="M727" s="26" t="n">
        <f aca="false">IF(INDEX(Pengaturan!$B$8:$B$27,M$4)="",0,COUNTIF(Data!$B727:$U727,INDEX(Pengaturan!$B$8:$B$27,M$4)))</f>
        <v>0</v>
      </c>
      <c r="N727" s="26" t="n">
        <f aca="false">IF(INDEX(Pengaturan!$B$8:$B$27,N$4)="",0,COUNTIF(Data!$B727:$U727,INDEX(Pengaturan!$B$8:$B$27,N$4)))</f>
        <v>0</v>
      </c>
      <c r="O727" s="26" t="n">
        <f aca="false">IF(INDEX(Pengaturan!$B$8:$B$27,O$4)="",0,COUNTIF(Data!$B727:$U727,INDEX(Pengaturan!$B$8:$B$27,O$4)))</f>
        <v>0</v>
      </c>
      <c r="P727" s="26" t="n">
        <f aca="false">IF(INDEX(Pengaturan!$B$8:$B$27,P$4)="",0,COUNTIF(Data!$B727:$U727,INDEX(Pengaturan!$B$8:$B$27,P$4)))</f>
        <v>0</v>
      </c>
      <c r="Q727" s="26" t="n">
        <f aca="false">IF(INDEX(Pengaturan!$B$8:$B$27,Q$4)="",0,COUNTIF(Data!$B727:$U727,INDEX(Pengaturan!$B$8:$B$27,Q$4)))</f>
        <v>0</v>
      </c>
      <c r="R727" s="26" t="n">
        <f aca="false">IF(INDEX(Pengaturan!$B$8:$B$27,R$4)="",0,COUNTIF(Data!$B727:$U727,INDEX(Pengaturan!$B$8:$B$27,R$4)))</f>
        <v>0</v>
      </c>
      <c r="S727" s="26" t="n">
        <f aca="false">IF(INDEX(Pengaturan!$B$8:$B$27,S$4)="",0,COUNTIF(Data!$B727:$U727,INDEX(Pengaturan!$B$8:$B$27,S$4)))</f>
        <v>0</v>
      </c>
      <c r="T727" s="26" t="n">
        <f aca="false">IF(INDEX(Pengaturan!$B$8:$B$27,T$4)="",0,COUNTIF(Data!$B727:$U727,INDEX(Pengaturan!$B$8:$B$27,T$4)))</f>
        <v>0</v>
      </c>
      <c r="U727" s="26" t="n">
        <f aca="false">IF(INDEX(Pengaturan!$B$8:$B$27,U$4)="",0,COUNTIF(Data!$B727:$U727,INDEX(Pengaturan!$B$8:$B$27,U$4)))</f>
        <v>0</v>
      </c>
      <c r="V727" s="26" t="n">
        <f aca="false">COUNTA(Data!$B727:$U727)</f>
        <v>0</v>
      </c>
      <c r="W727" s="27" t="str">
        <f aca="false">IF(V727=0,"",IF(V727&lt;&gt;Hasil!$C$4,"Data kosong/tidak lengkap",IF(SUM(B727:U727)&lt;&gt;V727,"Kategori tidak dikenal","OK")))</f>
        <v/>
      </c>
      <c r="X727" s="26" t="n">
        <f aca="false">IF(OR(W727="",W727="OK"),0,1)</f>
        <v>0</v>
      </c>
    </row>
    <row r="728" customFormat="false" ht="15" hidden="false" customHeight="false" outlineLevel="0" collapsed="false">
      <c r="A728" s="26" t="n">
        <f aca="false">Data!A728</f>
        <v>723</v>
      </c>
      <c r="B728" s="26" t="n">
        <f aca="false">IF(INDEX(Pengaturan!$B$8:$B$27,B$4)="",0,COUNTIF(Data!$B728:$U728,INDEX(Pengaturan!$B$8:$B$27,B$4)))</f>
        <v>0</v>
      </c>
      <c r="C728" s="26" t="n">
        <f aca="false">IF(INDEX(Pengaturan!$B$8:$B$27,C$4)="",0,COUNTIF(Data!$B728:$U728,INDEX(Pengaturan!$B$8:$B$27,C$4)))</f>
        <v>0</v>
      </c>
      <c r="D728" s="26" t="n">
        <f aca="false">IF(INDEX(Pengaturan!$B$8:$B$27,D$4)="",0,COUNTIF(Data!$B728:$U728,INDEX(Pengaturan!$B$8:$B$27,D$4)))</f>
        <v>0</v>
      </c>
      <c r="E728" s="26" t="n">
        <f aca="false">IF(INDEX(Pengaturan!$B$8:$B$27,E$4)="",0,COUNTIF(Data!$B728:$U728,INDEX(Pengaturan!$B$8:$B$27,E$4)))</f>
        <v>0</v>
      </c>
      <c r="F728" s="26" t="n">
        <f aca="false">IF(INDEX(Pengaturan!$B$8:$B$27,F$4)="",0,COUNTIF(Data!$B728:$U728,INDEX(Pengaturan!$B$8:$B$27,F$4)))</f>
        <v>0</v>
      </c>
      <c r="G728" s="26" t="n">
        <f aca="false">IF(INDEX(Pengaturan!$B$8:$B$27,G$4)="",0,COUNTIF(Data!$B728:$U728,INDEX(Pengaturan!$B$8:$B$27,G$4)))</f>
        <v>0</v>
      </c>
      <c r="H728" s="26" t="n">
        <f aca="false">IF(INDEX(Pengaturan!$B$8:$B$27,H$4)="",0,COUNTIF(Data!$B728:$U728,INDEX(Pengaturan!$B$8:$B$27,H$4)))</f>
        <v>0</v>
      </c>
      <c r="I728" s="26" t="n">
        <f aca="false">IF(INDEX(Pengaturan!$B$8:$B$27,I$4)="",0,COUNTIF(Data!$B728:$U728,INDEX(Pengaturan!$B$8:$B$27,I$4)))</f>
        <v>0</v>
      </c>
      <c r="J728" s="26" t="n">
        <f aca="false">IF(INDEX(Pengaturan!$B$8:$B$27,J$4)="",0,COUNTIF(Data!$B728:$U728,INDEX(Pengaturan!$B$8:$B$27,J$4)))</f>
        <v>0</v>
      </c>
      <c r="K728" s="26" t="n">
        <f aca="false">IF(INDEX(Pengaturan!$B$8:$B$27,K$4)="",0,COUNTIF(Data!$B728:$U728,INDEX(Pengaturan!$B$8:$B$27,K$4)))</f>
        <v>0</v>
      </c>
      <c r="L728" s="26" t="n">
        <f aca="false">IF(INDEX(Pengaturan!$B$8:$B$27,L$4)="",0,COUNTIF(Data!$B728:$U728,INDEX(Pengaturan!$B$8:$B$27,L$4)))</f>
        <v>0</v>
      </c>
      <c r="M728" s="26" t="n">
        <f aca="false">IF(INDEX(Pengaturan!$B$8:$B$27,M$4)="",0,COUNTIF(Data!$B728:$U728,INDEX(Pengaturan!$B$8:$B$27,M$4)))</f>
        <v>0</v>
      </c>
      <c r="N728" s="26" t="n">
        <f aca="false">IF(INDEX(Pengaturan!$B$8:$B$27,N$4)="",0,COUNTIF(Data!$B728:$U728,INDEX(Pengaturan!$B$8:$B$27,N$4)))</f>
        <v>0</v>
      </c>
      <c r="O728" s="26" t="n">
        <f aca="false">IF(INDEX(Pengaturan!$B$8:$B$27,O$4)="",0,COUNTIF(Data!$B728:$U728,INDEX(Pengaturan!$B$8:$B$27,O$4)))</f>
        <v>0</v>
      </c>
      <c r="P728" s="26" t="n">
        <f aca="false">IF(INDEX(Pengaturan!$B$8:$B$27,P$4)="",0,COUNTIF(Data!$B728:$U728,INDEX(Pengaturan!$B$8:$B$27,P$4)))</f>
        <v>0</v>
      </c>
      <c r="Q728" s="26" t="n">
        <f aca="false">IF(INDEX(Pengaturan!$B$8:$B$27,Q$4)="",0,COUNTIF(Data!$B728:$U728,INDEX(Pengaturan!$B$8:$B$27,Q$4)))</f>
        <v>0</v>
      </c>
      <c r="R728" s="26" t="n">
        <f aca="false">IF(INDEX(Pengaturan!$B$8:$B$27,R$4)="",0,COUNTIF(Data!$B728:$U728,INDEX(Pengaturan!$B$8:$B$27,R$4)))</f>
        <v>0</v>
      </c>
      <c r="S728" s="26" t="n">
        <f aca="false">IF(INDEX(Pengaturan!$B$8:$B$27,S$4)="",0,COUNTIF(Data!$B728:$U728,INDEX(Pengaturan!$B$8:$B$27,S$4)))</f>
        <v>0</v>
      </c>
      <c r="T728" s="26" t="n">
        <f aca="false">IF(INDEX(Pengaturan!$B$8:$B$27,T$4)="",0,COUNTIF(Data!$B728:$U728,INDEX(Pengaturan!$B$8:$B$27,T$4)))</f>
        <v>0</v>
      </c>
      <c r="U728" s="26" t="n">
        <f aca="false">IF(INDEX(Pengaturan!$B$8:$B$27,U$4)="",0,COUNTIF(Data!$B728:$U728,INDEX(Pengaturan!$B$8:$B$27,U$4)))</f>
        <v>0</v>
      </c>
      <c r="V728" s="26" t="n">
        <f aca="false">COUNTA(Data!$B728:$U728)</f>
        <v>0</v>
      </c>
      <c r="W728" s="27" t="str">
        <f aca="false">IF(V728=0,"",IF(V728&lt;&gt;Hasil!$C$4,"Data kosong/tidak lengkap",IF(SUM(B728:U728)&lt;&gt;V728,"Kategori tidak dikenal","OK")))</f>
        <v/>
      </c>
      <c r="X728" s="26" t="n">
        <f aca="false">IF(OR(W728="",W728="OK"),0,1)</f>
        <v>0</v>
      </c>
    </row>
    <row r="729" customFormat="false" ht="15" hidden="false" customHeight="false" outlineLevel="0" collapsed="false">
      <c r="A729" s="26" t="n">
        <f aca="false">Data!A729</f>
        <v>724</v>
      </c>
      <c r="B729" s="26" t="n">
        <f aca="false">IF(INDEX(Pengaturan!$B$8:$B$27,B$4)="",0,COUNTIF(Data!$B729:$U729,INDEX(Pengaturan!$B$8:$B$27,B$4)))</f>
        <v>0</v>
      </c>
      <c r="C729" s="26" t="n">
        <f aca="false">IF(INDEX(Pengaturan!$B$8:$B$27,C$4)="",0,COUNTIF(Data!$B729:$U729,INDEX(Pengaturan!$B$8:$B$27,C$4)))</f>
        <v>0</v>
      </c>
      <c r="D729" s="26" t="n">
        <f aca="false">IF(INDEX(Pengaturan!$B$8:$B$27,D$4)="",0,COUNTIF(Data!$B729:$U729,INDEX(Pengaturan!$B$8:$B$27,D$4)))</f>
        <v>0</v>
      </c>
      <c r="E729" s="26" t="n">
        <f aca="false">IF(INDEX(Pengaturan!$B$8:$B$27,E$4)="",0,COUNTIF(Data!$B729:$U729,INDEX(Pengaturan!$B$8:$B$27,E$4)))</f>
        <v>0</v>
      </c>
      <c r="F729" s="26" t="n">
        <f aca="false">IF(INDEX(Pengaturan!$B$8:$B$27,F$4)="",0,COUNTIF(Data!$B729:$U729,INDEX(Pengaturan!$B$8:$B$27,F$4)))</f>
        <v>0</v>
      </c>
      <c r="G729" s="26" t="n">
        <f aca="false">IF(INDEX(Pengaturan!$B$8:$B$27,G$4)="",0,COUNTIF(Data!$B729:$U729,INDEX(Pengaturan!$B$8:$B$27,G$4)))</f>
        <v>0</v>
      </c>
      <c r="H729" s="26" t="n">
        <f aca="false">IF(INDEX(Pengaturan!$B$8:$B$27,H$4)="",0,COUNTIF(Data!$B729:$U729,INDEX(Pengaturan!$B$8:$B$27,H$4)))</f>
        <v>0</v>
      </c>
      <c r="I729" s="26" t="n">
        <f aca="false">IF(INDEX(Pengaturan!$B$8:$B$27,I$4)="",0,COUNTIF(Data!$B729:$U729,INDEX(Pengaturan!$B$8:$B$27,I$4)))</f>
        <v>0</v>
      </c>
      <c r="J729" s="26" t="n">
        <f aca="false">IF(INDEX(Pengaturan!$B$8:$B$27,J$4)="",0,COUNTIF(Data!$B729:$U729,INDEX(Pengaturan!$B$8:$B$27,J$4)))</f>
        <v>0</v>
      </c>
      <c r="K729" s="26" t="n">
        <f aca="false">IF(INDEX(Pengaturan!$B$8:$B$27,K$4)="",0,COUNTIF(Data!$B729:$U729,INDEX(Pengaturan!$B$8:$B$27,K$4)))</f>
        <v>0</v>
      </c>
      <c r="L729" s="26" t="n">
        <f aca="false">IF(INDEX(Pengaturan!$B$8:$B$27,L$4)="",0,COUNTIF(Data!$B729:$U729,INDEX(Pengaturan!$B$8:$B$27,L$4)))</f>
        <v>0</v>
      </c>
      <c r="M729" s="26" t="n">
        <f aca="false">IF(INDEX(Pengaturan!$B$8:$B$27,M$4)="",0,COUNTIF(Data!$B729:$U729,INDEX(Pengaturan!$B$8:$B$27,M$4)))</f>
        <v>0</v>
      </c>
      <c r="N729" s="26" t="n">
        <f aca="false">IF(INDEX(Pengaturan!$B$8:$B$27,N$4)="",0,COUNTIF(Data!$B729:$U729,INDEX(Pengaturan!$B$8:$B$27,N$4)))</f>
        <v>0</v>
      </c>
      <c r="O729" s="26" t="n">
        <f aca="false">IF(INDEX(Pengaturan!$B$8:$B$27,O$4)="",0,COUNTIF(Data!$B729:$U729,INDEX(Pengaturan!$B$8:$B$27,O$4)))</f>
        <v>0</v>
      </c>
      <c r="P729" s="26" t="n">
        <f aca="false">IF(INDEX(Pengaturan!$B$8:$B$27,P$4)="",0,COUNTIF(Data!$B729:$U729,INDEX(Pengaturan!$B$8:$B$27,P$4)))</f>
        <v>0</v>
      </c>
      <c r="Q729" s="26" t="n">
        <f aca="false">IF(INDEX(Pengaturan!$B$8:$B$27,Q$4)="",0,COUNTIF(Data!$B729:$U729,INDEX(Pengaturan!$B$8:$B$27,Q$4)))</f>
        <v>0</v>
      </c>
      <c r="R729" s="26" t="n">
        <f aca="false">IF(INDEX(Pengaturan!$B$8:$B$27,R$4)="",0,COUNTIF(Data!$B729:$U729,INDEX(Pengaturan!$B$8:$B$27,R$4)))</f>
        <v>0</v>
      </c>
      <c r="S729" s="26" t="n">
        <f aca="false">IF(INDEX(Pengaturan!$B$8:$B$27,S$4)="",0,COUNTIF(Data!$B729:$U729,INDEX(Pengaturan!$B$8:$B$27,S$4)))</f>
        <v>0</v>
      </c>
      <c r="T729" s="26" t="n">
        <f aca="false">IF(INDEX(Pengaturan!$B$8:$B$27,T$4)="",0,COUNTIF(Data!$B729:$U729,INDEX(Pengaturan!$B$8:$B$27,T$4)))</f>
        <v>0</v>
      </c>
      <c r="U729" s="26" t="n">
        <f aca="false">IF(INDEX(Pengaturan!$B$8:$B$27,U$4)="",0,COUNTIF(Data!$B729:$U729,INDEX(Pengaturan!$B$8:$B$27,U$4)))</f>
        <v>0</v>
      </c>
      <c r="V729" s="26" t="n">
        <f aca="false">COUNTA(Data!$B729:$U729)</f>
        <v>0</v>
      </c>
      <c r="W729" s="27" t="str">
        <f aca="false">IF(V729=0,"",IF(V729&lt;&gt;Hasil!$C$4,"Data kosong/tidak lengkap",IF(SUM(B729:U729)&lt;&gt;V729,"Kategori tidak dikenal","OK")))</f>
        <v/>
      </c>
      <c r="X729" s="26" t="n">
        <f aca="false">IF(OR(W729="",W729="OK"),0,1)</f>
        <v>0</v>
      </c>
    </row>
    <row r="730" customFormat="false" ht="15" hidden="false" customHeight="false" outlineLevel="0" collapsed="false">
      <c r="A730" s="26" t="n">
        <f aca="false">Data!A730</f>
        <v>725</v>
      </c>
      <c r="B730" s="26" t="n">
        <f aca="false">IF(INDEX(Pengaturan!$B$8:$B$27,B$4)="",0,COUNTIF(Data!$B730:$U730,INDEX(Pengaturan!$B$8:$B$27,B$4)))</f>
        <v>0</v>
      </c>
      <c r="C730" s="26" t="n">
        <f aca="false">IF(INDEX(Pengaturan!$B$8:$B$27,C$4)="",0,COUNTIF(Data!$B730:$U730,INDEX(Pengaturan!$B$8:$B$27,C$4)))</f>
        <v>0</v>
      </c>
      <c r="D730" s="26" t="n">
        <f aca="false">IF(INDEX(Pengaturan!$B$8:$B$27,D$4)="",0,COUNTIF(Data!$B730:$U730,INDEX(Pengaturan!$B$8:$B$27,D$4)))</f>
        <v>0</v>
      </c>
      <c r="E730" s="26" t="n">
        <f aca="false">IF(INDEX(Pengaturan!$B$8:$B$27,E$4)="",0,COUNTIF(Data!$B730:$U730,INDEX(Pengaturan!$B$8:$B$27,E$4)))</f>
        <v>0</v>
      </c>
      <c r="F730" s="26" t="n">
        <f aca="false">IF(INDEX(Pengaturan!$B$8:$B$27,F$4)="",0,COUNTIF(Data!$B730:$U730,INDEX(Pengaturan!$B$8:$B$27,F$4)))</f>
        <v>0</v>
      </c>
      <c r="G730" s="26" t="n">
        <f aca="false">IF(INDEX(Pengaturan!$B$8:$B$27,G$4)="",0,COUNTIF(Data!$B730:$U730,INDEX(Pengaturan!$B$8:$B$27,G$4)))</f>
        <v>0</v>
      </c>
      <c r="H730" s="26" t="n">
        <f aca="false">IF(INDEX(Pengaturan!$B$8:$B$27,H$4)="",0,COUNTIF(Data!$B730:$U730,INDEX(Pengaturan!$B$8:$B$27,H$4)))</f>
        <v>0</v>
      </c>
      <c r="I730" s="26" t="n">
        <f aca="false">IF(INDEX(Pengaturan!$B$8:$B$27,I$4)="",0,COUNTIF(Data!$B730:$U730,INDEX(Pengaturan!$B$8:$B$27,I$4)))</f>
        <v>0</v>
      </c>
      <c r="J730" s="26" t="n">
        <f aca="false">IF(INDEX(Pengaturan!$B$8:$B$27,J$4)="",0,COUNTIF(Data!$B730:$U730,INDEX(Pengaturan!$B$8:$B$27,J$4)))</f>
        <v>0</v>
      </c>
      <c r="K730" s="26" t="n">
        <f aca="false">IF(INDEX(Pengaturan!$B$8:$B$27,K$4)="",0,COUNTIF(Data!$B730:$U730,INDEX(Pengaturan!$B$8:$B$27,K$4)))</f>
        <v>0</v>
      </c>
      <c r="L730" s="26" t="n">
        <f aca="false">IF(INDEX(Pengaturan!$B$8:$B$27,L$4)="",0,COUNTIF(Data!$B730:$U730,INDEX(Pengaturan!$B$8:$B$27,L$4)))</f>
        <v>0</v>
      </c>
      <c r="M730" s="26" t="n">
        <f aca="false">IF(INDEX(Pengaturan!$B$8:$B$27,M$4)="",0,COUNTIF(Data!$B730:$U730,INDEX(Pengaturan!$B$8:$B$27,M$4)))</f>
        <v>0</v>
      </c>
      <c r="N730" s="26" t="n">
        <f aca="false">IF(INDEX(Pengaturan!$B$8:$B$27,N$4)="",0,COUNTIF(Data!$B730:$U730,INDEX(Pengaturan!$B$8:$B$27,N$4)))</f>
        <v>0</v>
      </c>
      <c r="O730" s="26" t="n">
        <f aca="false">IF(INDEX(Pengaturan!$B$8:$B$27,O$4)="",0,COUNTIF(Data!$B730:$U730,INDEX(Pengaturan!$B$8:$B$27,O$4)))</f>
        <v>0</v>
      </c>
      <c r="P730" s="26" t="n">
        <f aca="false">IF(INDEX(Pengaturan!$B$8:$B$27,P$4)="",0,COUNTIF(Data!$B730:$U730,INDEX(Pengaturan!$B$8:$B$27,P$4)))</f>
        <v>0</v>
      </c>
      <c r="Q730" s="26" t="n">
        <f aca="false">IF(INDEX(Pengaturan!$B$8:$B$27,Q$4)="",0,COUNTIF(Data!$B730:$U730,INDEX(Pengaturan!$B$8:$B$27,Q$4)))</f>
        <v>0</v>
      </c>
      <c r="R730" s="26" t="n">
        <f aca="false">IF(INDEX(Pengaturan!$B$8:$B$27,R$4)="",0,COUNTIF(Data!$B730:$U730,INDEX(Pengaturan!$B$8:$B$27,R$4)))</f>
        <v>0</v>
      </c>
      <c r="S730" s="26" t="n">
        <f aca="false">IF(INDEX(Pengaturan!$B$8:$B$27,S$4)="",0,COUNTIF(Data!$B730:$U730,INDEX(Pengaturan!$B$8:$B$27,S$4)))</f>
        <v>0</v>
      </c>
      <c r="T730" s="26" t="n">
        <f aca="false">IF(INDEX(Pengaturan!$B$8:$B$27,T$4)="",0,COUNTIF(Data!$B730:$U730,INDEX(Pengaturan!$B$8:$B$27,T$4)))</f>
        <v>0</v>
      </c>
      <c r="U730" s="26" t="n">
        <f aca="false">IF(INDEX(Pengaturan!$B$8:$B$27,U$4)="",0,COUNTIF(Data!$B730:$U730,INDEX(Pengaturan!$B$8:$B$27,U$4)))</f>
        <v>0</v>
      </c>
      <c r="V730" s="26" t="n">
        <f aca="false">COUNTA(Data!$B730:$U730)</f>
        <v>0</v>
      </c>
      <c r="W730" s="27" t="str">
        <f aca="false">IF(V730=0,"",IF(V730&lt;&gt;Hasil!$C$4,"Data kosong/tidak lengkap",IF(SUM(B730:U730)&lt;&gt;V730,"Kategori tidak dikenal","OK")))</f>
        <v/>
      </c>
      <c r="X730" s="26" t="n">
        <f aca="false">IF(OR(W730="",W730="OK"),0,1)</f>
        <v>0</v>
      </c>
    </row>
    <row r="731" customFormat="false" ht="15" hidden="false" customHeight="false" outlineLevel="0" collapsed="false">
      <c r="A731" s="26" t="n">
        <f aca="false">Data!A731</f>
        <v>726</v>
      </c>
      <c r="B731" s="26" t="n">
        <f aca="false">IF(INDEX(Pengaturan!$B$8:$B$27,B$4)="",0,COUNTIF(Data!$B731:$U731,INDEX(Pengaturan!$B$8:$B$27,B$4)))</f>
        <v>0</v>
      </c>
      <c r="C731" s="26" t="n">
        <f aca="false">IF(INDEX(Pengaturan!$B$8:$B$27,C$4)="",0,COUNTIF(Data!$B731:$U731,INDEX(Pengaturan!$B$8:$B$27,C$4)))</f>
        <v>0</v>
      </c>
      <c r="D731" s="26" t="n">
        <f aca="false">IF(INDEX(Pengaturan!$B$8:$B$27,D$4)="",0,COUNTIF(Data!$B731:$U731,INDEX(Pengaturan!$B$8:$B$27,D$4)))</f>
        <v>0</v>
      </c>
      <c r="E731" s="26" t="n">
        <f aca="false">IF(INDEX(Pengaturan!$B$8:$B$27,E$4)="",0,COUNTIF(Data!$B731:$U731,INDEX(Pengaturan!$B$8:$B$27,E$4)))</f>
        <v>0</v>
      </c>
      <c r="F731" s="26" t="n">
        <f aca="false">IF(INDEX(Pengaturan!$B$8:$B$27,F$4)="",0,COUNTIF(Data!$B731:$U731,INDEX(Pengaturan!$B$8:$B$27,F$4)))</f>
        <v>0</v>
      </c>
      <c r="G731" s="26" t="n">
        <f aca="false">IF(INDEX(Pengaturan!$B$8:$B$27,G$4)="",0,COUNTIF(Data!$B731:$U731,INDEX(Pengaturan!$B$8:$B$27,G$4)))</f>
        <v>0</v>
      </c>
      <c r="H731" s="26" t="n">
        <f aca="false">IF(INDEX(Pengaturan!$B$8:$B$27,H$4)="",0,COUNTIF(Data!$B731:$U731,INDEX(Pengaturan!$B$8:$B$27,H$4)))</f>
        <v>0</v>
      </c>
      <c r="I731" s="26" t="n">
        <f aca="false">IF(INDEX(Pengaturan!$B$8:$B$27,I$4)="",0,COUNTIF(Data!$B731:$U731,INDEX(Pengaturan!$B$8:$B$27,I$4)))</f>
        <v>0</v>
      </c>
      <c r="J731" s="26" t="n">
        <f aca="false">IF(INDEX(Pengaturan!$B$8:$B$27,J$4)="",0,COUNTIF(Data!$B731:$U731,INDEX(Pengaturan!$B$8:$B$27,J$4)))</f>
        <v>0</v>
      </c>
      <c r="K731" s="26" t="n">
        <f aca="false">IF(INDEX(Pengaturan!$B$8:$B$27,K$4)="",0,COUNTIF(Data!$B731:$U731,INDEX(Pengaturan!$B$8:$B$27,K$4)))</f>
        <v>0</v>
      </c>
      <c r="L731" s="26" t="n">
        <f aca="false">IF(INDEX(Pengaturan!$B$8:$B$27,L$4)="",0,COUNTIF(Data!$B731:$U731,INDEX(Pengaturan!$B$8:$B$27,L$4)))</f>
        <v>0</v>
      </c>
      <c r="M731" s="26" t="n">
        <f aca="false">IF(INDEX(Pengaturan!$B$8:$B$27,M$4)="",0,COUNTIF(Data!$B731:$U731,INDEX(Pengaturan!$B$8:$B$27,M$4)))</f>
        <v>0</v>
      </c>
      <c r="N731" s="26" t="n">
        <f aca="false">IF(INDEX(Pengaturan!$B$8:$B$27,N$4)="",0,COUNTIF(Data!$B731:$U731,INDEX(Pengaturan!$B$8:$B$27,N$4)))</f>
        <v>0</v>
      </c>
      <c r="O731" s="26" t="n">
        <f aca="false">IF(INDEX(Pengaturan!$B$8:$B$27,O$4)="",0,COUNTIF(Data!$B731:$U731,INDEX(Pengaturan!$B$8:$B$27,O$4)))</f>
        <v>0</v>
      </c>
      <c r="P731" s="26" t="n">
        <f aca="false">IF(INDEX(Pengaturan!$B$8:$B$27,P$4)="",0,COUNTIF(Data!$B731:$U731,INDEX(Pengaturan!$B$8:$B$27,P$4)))</f>
        <v>0</v>
      </c>
      <c r="Q731" s="26" t="n">
        <f aca="false">IF(INDEX(Pengaturan!$B$8:$B$27,Q$4)="",0,COUNTIF(Data!$B731:$U731,INDEX(Pengaturan!$B$8:$B$27,Q$4)))</f>
        <v>0</v>
      </c>
      <c r="R731" s="26" t="n">
        <f aca="false">IF(INDEX(Pengaturan!$B$8:$B$27,R$4)="",0,COUNTIF(Data!$B731:$U731,INDEX(Pengaturan!$B$8:$B$27,R$4)))</f>
        <v>0</v>
      </c>
      <c r="S731" s="26" t="n">
        <f aca="false">IF(INDEX(Pengaturan!$B$8:$B$27,S$4)="",0,COUNTIF(Data!$B731:$U731,INDEX(Pengaturan!$B$8:$B$27,S$4)))</f>
        <v>0</v>
      </c>
      <c r="T731" s="26" t="n">
        <f aca="false">IF(INDEX(Pengaturan!$B$8:$B$27,T$4)="",0,COUNTIF(Data!$B731:$U731,INDEX(Pengaturan!$B$8:$B$27,T$4)))</f>
        <v>0</v>
      </c>
      <c r="U731" s="26" t="n">
        <f aca="false">IF(INDEX(Pengaturan!$B$8:$B$27,U$4)="",0,COUNTIF(Data!$B731:$U731,INDEX(Pengaturan!$B$8:$B$27,U$4)))</f>
        <v>0</v>
      </c>
      <c r="V731" s="26" t="n">
        <f aca="false">COUNTA(Data!$B731:$U731)</f>
        <v>0</v>
      </c>
      <c r="W731" s="27" t="str">
        <f aca="false">IF(V731=0,"",IF(V731&lt;&gt;Hasil!$C$4,"Data kosong/tidak lengkap",IF(SUM(B731:U731)&lt;&gt;V731,"Kategori tidak dikenal","OK")))</f>
        <v/>
      </c>
      <c r="X731" s="26" t="n">
        <f aca="false">IF(OR(W731="",W731="OK"),0,1)</f>
        <v>0</v>
      </c>
    </row>
    <row r="732" customFormat="false" ht="15" hidden="false" customHeight="false" outlineLevel="0" collapsed="false">
      <c r="A732" s="26" t="n">
        <f aca="false">Data!A732</f>
        <v>727</v>
      </c>
      <c r="B732" s="26" t="n">
        <f aca="false">IF(INDEX(Pengaturan!$B$8:$B$27,B$4)="",0,COUNTIF(Data!$B732:$U732,INDEX(Pengaturan!$B$8:$B$27,B$4)))</f>
        <v>0</v>
      </c>
      <c r="C732" s="26" t="n">
        <f aca="false">IF(INDEX(Pengaturan!$B$8:$B$27,C$4)="",0,COUNTIF(Data!$B732:$U732,INDEX(Pengaturan!$B$8:$B$27,C$4)))</f>
        <v>0</v>
      </c>
      <c r="D732" s="26" t="n">
        <f aca="false">IF(INDEX(Pengaturan!$B$8:$B$27,D$4)="",0,COUNTIF(Data!$B732:$U732,INDEX(Pengaturan!$B$8:$B$27,D$4)))</f>
        <v>0</v>
      </c>
      <c r="E732" s="26" t="n">
        <f aca="false">IF(INDEX(Pengaturan!$B$8:$B$27,E$4)="",0,COUNTIF(Data!$B732:$U732,INDEX(Pengaturan!$B$8:$B$27,E$4)))</f>
        <v>0</v>
      </c>
      <c r="F732" s="26" t="n">
        <f aca="false">IF(INDEX(Pengaturan!$B$8:$B$27,F$4)="",0,COUNTIF(Data!$B732:$U732,INDEX(Pengaturan!$B$8:$B$27,F$4)))</f>
        <v>0</v>
      </c>
      <c r="G732" s="26" t="n">
        <f aca="false">IF(INDEX(Pengaturan!$B$8:$B$27,G$4)="",0,COUNTIF(Data!$B732:$U732,INDEX(Pengaturan!$B$8:$B$27,G$4)))</f>
        <v>0</v>
      </c>
      <c r="H732" s="26" t="n">
        <f aca="false">IF(INDEX(Pengaturan!$B$8:$B$27,H$4)="",0,COUNTIF(Data!$B732:$U732,INDEX(Pengaturan!$B$8:$B$27,H$4)))</f>
        <v>0</v>
      </c>
      <c r="I732" s="26" t="n">
        <f aca="false">IF(INDEX(Pengaturan!$B$8:$B$27,I$4)="",0,COUNTIF(Data!$B732:$U732,INDEX(Pengaturan!$B$8:$B$27,I$4)))</f>
        <v>0</v>
      </c>
      <c r="J732" s="26" t="n">
        <f aca="false">IF(INDEX(Pengaturan!$B$8:$B$27,J$4)="",0,COUNTIF(Data!$B732:$U732,INDEX(Pengaturan!$B$8:$B$27,J$4)))</f>
        <v>0</v>
      </c>
      <c r="K732" s="26" t="n">
        <f aca="false">IF(INDEX(Pengaturan!$B$8:$B$27,K$4)="",0,COUNTIF(Data!$B732:$U732,INDEX(Pengaturan!$B$8:$B$27,K$4)))</f>
        <v>0</v>
      </c>
      <c r="L732" s="26" t="n">
        <f aca="false">IF(INDEX(Pengaturan!$B$8:$B$27,L$4)="",0,COUNTIF(Data!$B732:$U732,INDEX(Pengaturan!$B$8:$B$27,L$4)))</f>
        <v>0</v>
      </c>
      <c r="M732" s="26" t="n">
        <f aca="false">IF(INDEX(Pengaturan!$B$8:$B$27,M$4)="",0,COUNTIF(Data!$B732:$U732,INDEX(Pengaturan!$B$8:$B$27,M$4)))</f>
        <v>0</v>
      </c>
      <c r="N732" s="26" t="n">
        <f aca="false">IF(INDEX(Pengaturan!$B$8:$B$27,N$4)="",0,COUNTIF(Data!$B732:$U732,INDEX(Pengaturan!$B$8:$B$27,N$4)))</f>
        <v>0</v>
      </c>
      <c r="O732" s="26" t="n">
        <f aca="false">IF(INDEX(Pengaturan!$B$8:$B$27,O$4)="",0,COUNTIF(Data!$B732:$U732,INDEX(Pengaturan!$B$8:$B$27,O$4)))</f>
        <v>0</v>
      </c>
      <c r="P732" s="26" t="n">
        <f aca="false">IF(INDEX(Pengaturan!$B$8:$B$27,P$4)="",0,COUNTIF(Data!$B732:$U732,INDEX(Pengaturan!$B$8:$B$27,P$4)))</f>
        <v>0</v>
      </c>
      <c r="Q732" s="26" t="n">
        <f aca="false">IF(INDEX(Pengaturan!$B$8:$B$27,Q$4)="",0,COUNTIF(Data!$B732:$U732,INDEX(Pengaturan!$B$8:$B$27,Q$4)))</f>
        <v>0</v>
      </c>
      <c r="R732" s="26" t="n">
        <f aca="false">IF(INDEX(Pengaturan!$B$8:$B$27,R$4)="",0,COUNTIF(Data!$B732:$U732,INDEX(Pengaturan!$B$8:$B$27,R$4)))</f>
        <v>0</v>
      </c>
      <c r="S732" s="26" t="n">
        <f aca="false">IF(INDEX(Pengaturan!$B$8:$B$27,S$4)="",0,COUNTIF(Data!$B732:$U732,INDEX(Pengaturan!$B$8:$B$27,S$4)))</f>
        <v>0</v>
      </c>
      <c r="T732" s="26" t="n">
        <f aca="false">IF(INDEX(Pengaturan!$B$8:$B$27,T$4)="",0,COUNTIF(Data!$B732:$U732,INDEX(Pengaturan!$B$8:$B$27,T$4)))</f>
        <v>0</v>
      </c>
      <c r="U732" s="26" t="n">
        <f aca="false">IF(INDEX(Pengaturan!$B$8:$B$27,U$4)="",0,COUNTIF(Data!$B732:$U732,INDEX(Pengaturan!$B$8:$B$27,U$4)))</f>
        <v>0</v>
      </c>
      <c r="V732" s="26" t="n">
        <f aca="false">COUNTA(Data!$B732:$U732)</f>
        <v>0</v>
      </c>
      <c r="W732" s="27" t="str">
        <f aca="false">IF(V732=0,"",IF(V732&lt;&gt;Hasil!$C$4,"Data kosong/tidak lengkap",IF(SUM(B732:U732)&lt;&gt;V732,"Kategori tidak dikenal","OK")))</f>
        <v/>
      </c>
      <c r="X732" s="26" t="n">
        <f aca="false">IF(OR(W732="",W732="OK"),0,1)</f>
        <v>0</v>
      </c>
    </row>
    <row r="733" customFormat="false" ht="15" hidden="false" customHeight="false" outlineLevel="0" collapsed="false">
      <c r="A733" s="26" t="n">
        <f aca="false">Data!A733</f>
        <v>728</v>
      </c>
      <c r="B733" s="26" t="n">
        <f aca="false">IF(INDEX(Pengaturan!$B$8:$B$27,B$4)="",0,COUNTIF(Data!$B733:$U733,INDEX(Pengaturan!$B$8:$B$27,B$4)))</f>
        <v>0</v>
      </c>
      <c r="C733" s="26" t="n">
        <f aca="false">IF(INDEX(Pengaturan!$B$8:$B$27,C$4)="",0,COUNTIF(Data!$B733:$U733,INDEX(Pengaturan!$B$8:$B$27,C$4)))</f>
        <v>0</v>
      </c>
      <c r="D733" s="26" t="n">
        <f aca="false">IF(INDEX(Pengaturan!$B$8:$B$27,D$4)="",0,COUNTIF(Data!$B733:$U733,INDEX(Pengaturan!$B$8:$B$27,D$4)))</f>
        <v>0</v>
      </c>
      <c r="E733" s="26" t="n">
        <f aca="false">IF(INDEX(Pengaturan!$B$8:$B$27,E$4)="",0,COUNTIF(Data!$B733:$U733,INDEX(Pengaturan!$B$8:$B$27,E$4)))</f>
        <v>0</v>
      </c>
      <c r="F733" s="26" t="n">
        <f aca="false">IF(INDEX(Pengaturan!$B$8:$B$27,F$4)="",0,COUNTIF(Data!$B733:$U733,INDEX(Pengaturan!$B$8:$B$27,F$4)))</f>
        <v>0</v>
      </c>
      <c r="G733" s="26" t="n">
        <f aca="false">IF(INDEX(Pengaturan!$B$8:$B$27,G$4)="",0,COUNTIF(Data!$B733:$U733,INDEX(Pengaturan!$B$8:$B$27,G$4)))</f>
        <v>0</v>
      </c>
      <c r="H733" s="26" t="n">
        <f aca="false">IF(INDEX(Pengaturan!$B$8:$B$27,H$4)="",0,COUNTIF(Data!$B733:$U733,INDEX(Pengaturan!$B$8:$B$27,H$4)))</f>
        <v>0</v>
      </c>
      <c r="I733" s="26" t="n">
        <f aca="false">IF(INDEX(Pengaturan!$B$8:$B$27,I$4)="",0,COUNTIF(Data!$B733:$U733,INDEX(Pengaturan!$B$8:$B$27,I$4)))</f>
        <v>0</v>
      </c>
      <c r="J733" s="26" t="n">
        <f aca="false">IF(INDEX(Pengaturan!$B$8:$B$27,J$4)="",0,COUNTIF(Data!$B733:$U733,INDEX(Pengaturan!$B$8:$B$27,J$4)))</f>
        <v>0</v>
      </c>
      <c r="K733" s="26" t="n">
        <f aca="false">IF(INDEX(Pengaturan!$B$8:$B$27,K$4)="",0,COUNTIF(Data!$B733:$U733,INDEX(Pengaturan!$B$8:$B$27,K$4)))</f>
        <v>0</v>
      </c>
      <c r="L733" s="26" t="n">
        <f aca="false">IF(INDEX(Pengaturan!$B$8:$B$27,L$4)="",0,COUNTIF(Data!$B733:$U733,INDEX(Pengaturan!$B$8:$B$27,L$4)))</f>
        <v>0</v>
      </c>
      <c r="M733" s="26" t="n">
        <f aca="false">IF(INDEX(Pengaturan!$B$8:$B$27,M$4)="",0,COUNTIF(Data!$B733:$U733,INDEX(Pengaturan!$B$8:$B$27,M$4)))</f>
        <v>0</v>
      </c>
      <c r="N733" s="26" t="n">
        <f aca="false">IF(INDEX(Pengaturan!$B$8:$B$27,N$4)="",0,COUNTIF(Data!$B733:$U733,INDEX(Pengaturan!$B$8:$B$27,N$4)))</f>
        <v>0</v>
      </c>
      <c r="O733" s="26" t="n">
        <f aca="false">IF(INDEX(Pengaturan!$B$8:$B$27,O$4)="",0,COUNTIF(Data!$B733:$U733,INDEX(Pengaturan!$B$8:$B$27,O$4)))</f>
        <v>0</v>
      </c>
      <c r="P733" s="26" t="n">
        <f aca="false">IF(INDEX(Pengaturan!$B$8:$B$27,P$4)="",0,COUNTIF(Data!$B733:$U733,INDEX(Pengaturan!$B$8:$B$27,P$4)))</f>
        <v>0</v>
      </c>
      <c r="Q733" s="26" t="n">
        <f aca="false">IF(INDEX(Pengaturan!$B$8:$B$27,Q$4)="",0,COUNTIF(Data!$B733:$U733,INDEX(Pengaturan!$B$8:$B$27,Q$4)))</f>
        <v>0</v>
      </c>
      <c r="R733" s="26" t="n">
        <f aca="false">IF(INDEX(Pengaturan!$B$8:$B$27,R$4)="",0,COUNTIF(Data!$B733:$U733,INDEX(Pengaturan!$B$8:$B$27,R$4)))</f>
        <v>0</v>
      </c>
      <c r="S733" s="26" t="n">
        <f aca="false">IF(INDEX(Pengaturan!$B$8:$B$27,S$4)="",0,COUNTIF(Data!$B733:$U733,INDEX(Pengaturan!$B$8:$B$27,S$4)))</f>
        <v>0</v>
      </c>
      <c r="T733" s="26" t="n">
        <f aca="false">IF(INDEX(Pengaturan!$B$8:$B$27,T$4)="",0,COUNTIF(Data!$B733:$U733,INDEX(Pengaturan!$B$8:$B$27,T$4)))</f>
        <v>0</v>
      </c>
      <c r="U733" s="26" t="n">
        <f aca="false">IF(INDEX(Pengaturan!$B$8:$B$27,U$4)="",0,COUNTIF(Data!$B733:$U733,INDEX(Pengaturan!$B$8:$B$27,U$4)))</f>
        <v>0</v>
      </c>
      <c r="V733" s="26" t="n">
        <f aca="false">COUNTA(Data!$B733:$U733)</f>
        <v>0</v>
      </c>
      <c r="W733" s="27" t="str">
        <f aca="false">IF(V733=0,"",IF(V733&lt;&gt;Hasil!$C$4,"Data kosong/tidak lengkap",IF(SUM(B733:U733)&lt;&gt;V733,"Kategori tidak dikenal","OK")))</f>
        <v/>
      </c>
      <c r="X733" s="26" t="n">
        <f aca="false">IF(OR(W733="",W733="OK"),0,1)</f>
        <v>0</v>
      </c>
    </row>
    <row r="734" customFormat="false" ht="15" hidden="false" customHeight="false" outlineLevel="0" collapsed="false">
      <c r="A734" s="26" t="n">
        <f aca="false">Data!A734</f>
        <v>729</v>
      </c>
      <c r="B734" s="26" t="n">
        <f aca="false">IF(INDEX(Pengaturan!$B$8:$B$27,B$4)="",0,COUNTIF(Data!$B734:$U734,INDEX(Pengaturan!$B$8:$B$27,B$4)))</f>
        <v>0</v>
      </c>
      <c r="C734" s="26" t="n">
        <f aca="false">IF(INDEX(Pengaturan!$B$8:$B$27,C$4)="",0,COUNTIF(Data!$B734:$U734,INDEX(Pengaturan!$B$8:$B$27,C$4)))</f>
        <v>0</v>
      </c>
      <c r="D734" s="26" t="n">
        <f aca="false">IF(INDEX(Pengaturan!$B$8:$B$27,D$4)="",0,COUNTIF(Data!$B734:$U734,INDEX(Pengaturan!$B$8:$B$27,D$4)))</f>
        <v>0</v>
      </c>
      <c r="E734" s="26" t="n">
        <f aca="false">IF(INDEX(Pengaturan!$B$8:$B$27,E$4)="",0,COUNTIF(Data!$B734:$U734,INDEX(Pengaturan!$B$8:$B$27,E$4)))</f>
        <v>0</v>
      </c>
      <c r="F734" s="26" t="n">
        <f aca="false">IF(INDEX(Pengaturan!$B$8:$B$27,F$4)="",0,COUNTIF(Data!$B734:$U734,INDEX(Pengaturan!$B$8:$B$27,F$4)))</f>
        <v>0</v>
      </c>
      <c r="G734" s="26" t="n">
        <f aca="false">IF(INDEX(Pengaturan!$B$8:$B$27,G$4)="",0,COUNTIF(Data!$B734:$U734,INDEX(Pengaturan!$B$8:$B$27,G$4)))</f>
        <v>0</v>
      </c>
      <c r="H734" s="26" t="n">
        <f aca="false">IF(INDEX(Pengaturan!$B$8:$B$27,H$4)="",0,COUNTIF(Data!$B734:$U734,INDEX(Pengaturan!$B$8:$B$27,H$4)))</f>
        <v>0</v>
      </c>
      <c r="I734" s="26" t="n">
        <f aca="false">IF(INDEX(Pengaturan!$B$8:$B$27,I$4)="",0,COUNTIF(Data!$B734:$U734,INDEX(Pengaturan!$B$8:$B$27,I$4)))</f>
        <v>0</v>
      </c>
      <c r="J734" s="26" t="n">
        <f aca="false">IF(INDEX(Pengaturan!$B$8:$B$27,J$4)="",0,COUNTIF(Data!$B734:$U734,INDEX(Pengaturan!$B$8:$B$27,J$4)))</f>
        <v>0</v>
      </c>
      <c r="K734" s="26" t="n">
        <f aca="false">IF(INDEX(Pengaturan!$B$8:$B$27,K$4)="",0,COUNTIF(Data!$B734:$U734,INDEX(Pengaturan!$B$8:$B$27,K$4)))</f>
        <v>0</v>
      </c>
      <c r="L734" s="26" t="n">
        <f aca="false">IF(INDEX(Pengaturan!$B$8:$B$27,L$4)="",0,COUNTIF(Data!$B734:$U734,INDEX(Pengaturan!$B$8:$B$27,L$4)))</f>
        <v>0</v>
      </c>
      <c r="M734" s="26" t="n">
        <f aca="false">IF(INDEX(Pengaturan!$B$8:$B$27,M$4)="",0,COUNTIF(Data!$B734:$U734,INDEX(Pengaturan!$B$8:$B$27,M$4)))</f>
        <v>0</v>
      </c>
      <c r="N734" s="26" t="n">
        <f aca="false">IF(INDEX(Pengaturan!$B$8:$B$27,N$4)="",0,COUNTIF(Data!$B734:$U734,INDEX(Pengaturan!$B$8:$B$27,N$4)))</f>
        <v>0</v>
      </c>
      <c r="O734" s="26" t="n">
        <f aca="false">IF(INDEX(Pengaturan!$B$8:$B$27,O$4)="",0,COUNTIF(Data!$B734:$U734,INDEX(Pengaturan!$B$8:$B$27,O$4)))</f>
        <v>0</v>
      </c>
      <c r="P734" s="26" t="n">
        <f aca="false">IF(INDEX(Pengaturan!$B$8:$B$27,P$4)="",0,COUNTIF(Data!$B734:$U734,INDEX(Pengaturan!$B$8:$B$27,P$4)))</f>
        <v>0</v>
      </c>
      <c r="Q734" s="26" t="n">
        <f aca="false">IF(INDEX(Pengaturan!$B$8:$B$27,Q$4)="",0,COUNTIF(Data!$B734:$U734,INDEX(Pengaturan!$B$8:$B$27,Q$4)))</f>
        <v>0</v>
      </c>
      <c r="R734" s="26" t="n">
        <f aca="false">IF(INDEX(Pengaturan!$B$8:$B$27,R$4)="",0,COUNTIF(Data!$B734:$U734,INDEX(Pengaturan!$B$8:$B$27,R$4)))</f>
        <v>0</v>
      </c>
      <c r="S734" s="26" t="n">
        <f aca="false">IF(INDEX(Pengaturan!$B$8:$B$27,S$4)="",0,COUNTIF(Data!$B734:$U734,INDEX(Pengaturan!$B$8:$B$27,S$4)))</f>
        <v>0</v>
      </c>
      <c r="T734" s="26" t="n">
        <f aca="false">IF(INDEX(Pengaturan!$B$8:$B$27,T$4)="",0,COUNTIF(Data!$B734:$U734,INDEX(Pengaturan!$B$8:$B$27,T$4)))</f>
        <v>0</v>
      </c>
      <c r="U734" s="26" t="n">
        <f aca="false">IF(INDEX(Pengaturan!$B$8:$B$27,U$4)="",0,COUNTIF(Data!$B734:$U734,INDEX(Pengaturan!$B$8:$B$27,U$4)))</f>
        <v>0</v>
      </c>
      <c r="V734" s="26" t="n">
        <f aca="false">COUNTA(Data!$B734:$U734)</f>
        <v>0</v>
      </c>
      <c r="W734" s="27" t="str">
        <f aca="false">IF(V734=0,"",IF(V734&lt;&gt;Hasil!$C$4,"Data kosong/tidak lengkap",IF(SUM(B734:U734)&lt;&gt;V734,"Kategori tidak dikenal","OK")))</f>
        <v/>
      </c>
      <c r="X734" s="26" t="n">
        <f aca="false">IF(OR(W734="",W734="OK"),0,1)</f>
        <v>0</v>
      </c>
    </row>
    <row r="735" customFormat="false" ht="15" hidden="false" customHeight="false" outlineLevel="0" collapsed="false">
      <c r="A735" s="26" t="n">
        <f aca="false">Data!A735</f>
        <v>730</v>
      </c>
      <c r="B735" s="26" t="n">
        <f aca="false">IF(INDEX(Pengaturan!$B$8:$B$27,B$4)="",0,COUNTIF(Data!$B735:$U735,INDEX(Pengaturan!$B$8:$B$27,B$4)))</f>
        <v>0</v>
      </c>
      <c r="C735" s="26" t="n">
        <f aca="false">IF(INDEX(Pengaturan!$B$8:$B$27,C$4)="",0,COUNTIF(Data!$B735:$U735,INDEX(Pengaturan!$B$8:$B$27,C$4)))</f>
        <v>0</v>
      </c>
      <c r="D735" s="26" t="n">
        <f aca="false">IF(INDEX(Pengaturan!$B$8:$B$27,D$4)="",0,COUNTIF(Data!$B735:$U735,INDEX(Pengaturan!$B$8:$B$27,D$4)))</f>
        <v>0</v>
      </c>
      <c r="E735" s="26" t="n">
        <f aca="false">IF(INDEX(Pengaturan!$B$8:$B$27,E$4)="",0,COUNTIF(Data!$B735:$U735,INDEX(Pengaturan!$B$8:$B$27,E$4)))</f>
        <v>0</v>
      </c>
      <c r="F735" s="26" t="n">
        <f aca="false">IF(INDEX(Pengaturan!$B$8:$B$27,F$4)="",0,COUNTIF(Data!$B735:$U735,INDEX(Pengaturan!$B$8:$B$27,F$4)))</f>
        <v>0</v>
      </c>
      <c r="G735" s="26" t="n">
        <f aca="false">IF(INDEX(Pengaturan!$B$8:$B$27,G$4)="",0,COUNTIF(Data!$B735:$U735,INDEX(Pengaturan!$B$8:$B$27,G$4)))</f>
        <v>0</v>
      </c>
      <c r="H735" s="26" t="n">
        <f aca="false">IF(INDEX(Pengaturan!$B$8:$B$27,H$4)="",0,COUNTIF(Data!$B735:$U735,INDEX(Pengaturan!$B$8:$B$27,H$4)))</f>
        <v>0</v>
      </c>
      <c r="I735" s="26" t="n">
        <f aca="false">IF(INDEX(Pengaturan!$B$8:$B$27,I$4)="",0,COUNTIF(Data!$B735:$U735,INDEX(Pengaturan!$B$8:$B$27,I$4)))</f>
        <v>0</v>
      </c>
      <c r="J735" s="26" t="n">
        <f aca="false">IF(INDEX(Pengaturan!$B$8:$B$27,J$4)="",0,COUNTIF(Data!$B735:$U735,INDEX(Pengaturan!$B$8:$B$27,J$4)))</f>
        <v>0</v>
      </c>
      <c r="K735" s="26" t="n">
        <f aca="false">IF(INDEX(Pengaturan!$B$8:$B$27,K$4)="",0,COUNTIF(Data!$B735:$U735,INDEX(Pengaturan!$B$8:$B$27,K$4)))</f>
        <v>0</v>
      </c>
      <c r="L735" s="26" t="n">
        <f aca="false">IF(INDEX(Pengaturan!$B$8:$B$27,L$4)="",0,COUNTIF(Data!$B735:$U735,INDEX(Pengaturan!$B$8:$B$27,L$4)))</f>
        <v>0</v>
      </c>
      <c r="M735" s="26" t="n">
        <f aca="false">IF(INDEX(Pengaturan!$B$8:$B$27,M$4)="",0,COUNTIF(Data!$B735:$U735,INDEX(Pengaturan!$B$8:$B$27,M$4)))</f>
        <v>0</v>
      </c>
      <c r="N735" s="26" t="n">
        <f aca="false">IF(INDEX(Pengaturan!$B$8:$B$27,N$4)="",0,COUNTIF(Data!$B735:$U735,INDEX(Pengaturan!$B$8:$B$27,N$4)))</f>
        <v>0</v>
      </c>
      <c r="O735" s="26" t="n">
        <f aca="false">IF(INDEX(Pengaturan!$B$8:$B$27,O$4)="",0,COUNTIF(Data!$B735:$U735,INDEX(Pengaturan!$B$8:$B$27,O$4)))</f>
        <v>0</v>
      </c>
      <c r="P735" s="26" t="n">
        <f aca="false">IF(INDEX(Pengaturan!$B$8:$B$27,P$4)="",0,COUNTIF(Data!$B735:$U735,INDEX(Pengaturan!$B$8:$B$27,P$4)))</f>
        <v>0</v>
      </c>
      <c r="Q735" s="26" t="n">
        <f aca="false">IF(INDEX(Pengaturan!$B$8:$B$27,Q$4)="",0,COUNTIF(Data!$B735:$U735,INDEX(Pengaturan!$B$8:$B$27,Q$4)))</f>
        <v>0</v>
      </c>
      <c r="R735" s="26" t="n">
        <f aca="false">IF(INDEX(Pengaturan!$B$8:$B$27,R$4)="",0,COUNTIF(Data!$B735:$U735,INDEX(Pengaturan!$B$8:$B$27,R$4)))</f>
        <v>0</v>
      </c>
      <c r="S735" s="26" t="n">
        <f aca="false">IF(INDEX(Pengaturan!$B$8:$B$27,S$4)="",0,COUNTIF(Data!$B735:$U735,INDEX(Pengaturan!$B$8:$B$27,S$4)))</f>
        <v>0</v>
      </c>
      <c r="T735" s="26" t="n">
        <f aca="false">IF(INDEX(Pengaturan!$B$8:$B$27,T$4)="",0,COUNTIF(Data!$B735:$U735,INDEX(Pengaturan!$B$8:$B$27,T$4)))</f>
        <v>0</v>
      </c>
      <c r="U735" s="26" t="n">
        <f aca="false">IF(INDEX(Pengaturan!$B$8:$B$27,U$4)="",0,COUNTIF(Data!$B735:$U735,INDEX(Pengaturan!$B$8:$B$27,U$4)))</f>
        <v>0</v>
      </c>
      <c r="V735" s="26" t="n">
        <f aca="false">COUNTA(Data!$B735:$U735)</f>
        <v>0</v>
      </c>
      <c r="W735" s="27" t="str">
        <f aca="false">IF(V735=0,"",IF(V735&lt;&gt;Hasil!$C$4,"Data kosong/tidak lengkap",IF(SUM(B735:U735)&lt;&gt;V735,"Kategori tidak dikenal","OK")))</f>
        <v/>
      </c>
      <c r="X735" s="26" t="n">
        <f aca="false">IF(OR(W735="",W735="OK"),0,1)</f>
        <v>0</v>
      </c>
    </row>
    <row r="736" customFormat="false" ht="15" hidden="false" customHeight="false" outlineLevel="0" collapsed="false">
      <c r="A736" s="26" t="n">
        <f aca="false">Data!A736</f>
        <v>731</v>
      </c>
      <c r="B736" s="26" t="n">
        <f aca="false">IF(INDEX(Pengaturan!$B$8:$B$27,B$4)="",0,COUNTIF(Data!$B736:$U736,INDEX(Pengaturan!$B$8:$B$27,B$4)))</f>
        <v>0</v>
      </c>
      <c r="C736" s="26" t="n">
        <f aca="false">IF(INDEX(Pengaturan!$B$8:$B$27,C$4)="",0,COUNTIF(Data!$B736:$U736,INDEX(Pengaturan!$B$8:$B$27,C$4)))</f>
        <v>0</v>
      </c>
      <c r="D736" s="26" t="n">
        <f aca="false">IF(INDEX(Pengaturan!$B$8:$B$27,D$4)="",0,COUNTIF(Data!$B736:$U736,INDEX(Pengaturan!$B$8:$B$27,D$4)))</f>
        <v>0</v>
      </c>
      <c r="E736" s="26" t="n">
        <f aca="false">IF(INDEX(Pengaturan!$B$8:$B$27,E$4)="",0,COUNTIF(Data!$B736:$U736,INDEX(Pengaturan!$B$8:$B$27,E$4)))</f>
        <v>0</v>
      </c>
      <c r="F736" s="26" t="n">
        <f aca="false">IF(INDEX(Pengaturan!$B$8:$B$27,F$4)="",0,COUNTIF(Data!$B736:$U736,INDEX(Pengaturan!$B$8:$B$27,F$4)))</f>
        <v>0</v>
      </c>
      <c r="G736" s="26" t="n">
        <f aca="false">IF(INDEX(Pengaturan!$B$8:$B$27,G$4)="",0,COUNTIF(Data!$B736:$U736,INDEX(Pengaturan!$B$8:$B$27,G$4)))</f>
        <v>0</v>
      </c>
      <c r="H736" s="26" t="n">
        <f aca="false">IF(INDEX(Pengaturan!$B$8:$B$27,H$4)="",0,COUNTIF(Data!$B736:$U736,INDEX(Pengaturan!$B$8:$B$27,H$4)))</f>
        <v>0</v>
      </c>
      <c r="I736" s="26" t="n">
        <f aca="false">IF(INDEX(Pengaturan!$B$8:$B$27,I$4)="",0,COUNTIF(Data!$B736:$U736,INDEX(Pengaturan!$B$8:$B$27,I$4)))</f>
        <v>0</v>
      </c>
      <c r="J736" s="26" t="n">
        <f aca="false">IF(INDEX(Pengaturan!$B$8:$B$27,J$4)="",0,COUNTIF(Data!$B736:$U736,INDEX(Pengaturan!$B$8:$B$27,J$4)))</f>
        <v>0</v>
      </c>
      <c r="K736" s="26" t="n">
        <f aca="false">IF(INDEX(Pengaturan!$B$8:$B$27,K$4)="",0,COUNTIF(Data!$B736:$U736,INDEX(Pengaturan!$B$8:$B$27,K$4)))</f>
        <v>0</v>
      </c>
      <c r="L736" s="26" t="n">
        <f aca="false">IF(INDEX(Pengaturan!$B$8:$B$27,L$4)="",0,COUNTIF(Data!$B736:$U736,INDEX(Pengaturan!$B$8:$B$27,L$4)))</f>
        <v>0</v>
      </c>
      <c r="M736" s="26" t="n">
        <f aca="false">IF(INDEX(Pengaturan!$B$8:$B$27,M$4)="",0,COUNTIF(Data!$B736:$U736,INDEX(Pengaturan!$B$8:$B$27,M$4)))</f>
        <v>0</v>
      </c>
      <c r="N736" s="26" t="n">
        <f aca="false">IF(INDEX(Pengaturan!$B$8:$B$27,N$4)="",0,COUNTIF(Data!$B736:$U736,INDEX(Pengaturan!$B$8:$B$27,N$4)))</f>
        <v>0</v>
      </c>
      <c r="O736" s="26" t="n">
        <f aca="false">IF(INDEX(Pengaturan!$B$8:$B$27,O$4)="",0,COUNTIF(Data!$B736:$U736,INDEX(Pengaturan!$B$8:$B$27,O$4)))</f>
        <v>0</v>
      </c>
      <c r="P736" s="26" t="n">
        <f aca="false">IF(INDEX(Pengaturan!$B$8:$B$27,P$4)="",0,COUNTIF(Data!$B736:$U736,INDEX(Pengaturan!$B$8:$B$27,P$4)))</f>
        <v>0</v>
      </c>
      <c r="Q736" s="26" t="n">
        <f aca="false">IF(INDEX(Pengaturan!$B$8:$B$27,Q$4)="",0,COUNTIF(Data!$B736:$U736,INDEX(Pengaturan!$B$8:$B$27,Q$4)))</f>
        <v>0</v>
      </c>
      <c r="R736" s="26" t="n">
        <f aca="false">IF(INDEX(Pengaturan!$B$8:$B$27,R$4)="",0,COUNTIF(Data!$B736:$U736,INDEX(Pengaturan!$B$8:$B$27,R$4)))</f>
        <v>0</v>
      </c>
      <c r="S736" s="26" t="n">
        <f aca="false">IF(INDEX(Pengaturan!$B$8:$B$27,S$4)="",0,COUNTIF(Data!$B736:$U736,INDEX(Pengaturan!$B$8:$B$27,S$4)))</f>
        <v>0</v>
      </c>
      <c r="T736" s="26" t="n">
        <f aca="false">IF(INDEX(Pengaturan!$B$8:$B$27,T$4)="",0,COUNTIF(Data!$B736:$U736,INDEX(Pengaturan!$B$8:$B$27,T$4)))</f>
        <v>0</v>
      </c>
      <c r="U736" s="26" t="n">
        <f aca="false">IF(INDEX(Pengaturan!$B$8:$B$27,U$4)="",0,COUNTIF(Data!$B736:$U736,INDEX(Pengaturan!$B$8:$B$27,U$4)))</f>
        <v>0</v>
      </c>
      <c r="V736" s="26" t="n">
        <f aca="false">COUNTA(Data!$B736:$U736)</f>
        <v>0</v>
      </c>
      <c r="W736" s="27" t="str">
        <f aca="false">IF(V736=0,"",IF(V736&lt;&gt;Hasil!$C$4,"Data kosong/tidak lengkap",IF(SUM(B736:U736)&lt;&gt;V736,"Kategori tidak dikenal","OK")))</f>
        <v/>
      </c>
      <c r="X736" s="26" t="n">
        <f aca="false">IF(OR(W736="",W736="OK"),0,1)</f>
        <v>0</v>
      </c>
    </row>
    <row r="737" customFormat="false" ht="15" hidden="false" customHeight="false" outlineLevel="0" collapsed="false">
      <c r="A737" s="26" t="n">
        <f aca="false">Data!A737</f>
        <v>732</v>
      </c>
      <c r="B737" s="26" t="n">
        <f aca="false">IF(INDEX(Pengaturan!$B$8:$B$27,B$4)="",0,COUNTIF(Data!$B737:$U737,INDEX(Pengaturan!$B$8:$B$27,B$4)))</f>
        <v>0</v>
      </c>
      <c r="C737" s="26" t="n">
        <f aca="false">IF(INDEX(Pengaturan!$B$8:$B$27,C$4)="",0,COUNTIF(Data!$B737:$U737,INDEX(Pengaturan!$B$8:$B$27,C$4)))</f>
        <v>0</v>
      </c>
      <c r="D737" s="26" t="n">
        <f aca="false">IF(INDEX(Pengaturan!$B$8:$B$27,D$4)="",0,COUNTIF(Data!$B737:$U737,INDEX(Pengaturan!$B$8:$B$27,D$4)))</f>
        <v>0</v>
      </c>
      <c r="E737" s="26" t="n">
        <f aca="false">IF(INDEX(Pengaturan!$B$8:$B$27,E$4)="",0,COUNTIF(Data!$B737:$U737,INDEX(Pengaturan!$B$8:$B$27,E$4)))</f>
        <v>0</v>
      </c>
      <c r="F737" s="26" t="n">
        <f aca="false">IF(INDEX(Pengaturan!$B$8:$B$27,F$4)="",0,COUNTIF(Data!$B737:$U737,INDEX(Pengaturan!$B$8:$B$27,F$4)))</f>
        <v>0</v>
      </c>
      <c r="G737" s="26" t="n">
        <f aca="false">IF(INDEX(Pengaturan!$B$8:$B$27,G$4)="",0,COUNTIF(Data!$B737:$U737,INDEX(Pengaturan!$B$8:$B$27,G$4)))</f>
        <v>0</v>
      </c>
      <c r="H737" s="26" t="n">
        <f aca="false">IF(INDEX(Pengaturan!$B$8:$B$27,H$4)="",0,COUNTIF(Data!$B737:$U737,INDEX(Pengaturan!$B$8:$B$27,H$4)))</f>
        <v>0</v>
      </c>
      <c r="I737" s="26" t="n">
        <f aca="false">IF(INDEX(Pengaturan!$B$8:$B$27,I$4)="",0,COUNTIF(Data!$B737:$U737,INDEX(Pengaturan!$B$8:$B$27,I$4)))</f>
        <v>0</v>
      </c>
      <c r="J737" s="26" t="n">
        <f aca="false">IF(INDEX(Pengaturan!$B$8:$B$27,J$4)="",0,COUNTIF(Data!$B737:$U737,INDEX(Pengaturan!$B$8:$B$27,J$4)))</f>
        <v>0</v>
      </c>
      <c r="K737" s="26" t="n">
        <f aca="false">IF(INDEX(Pengaturan!$B$8:$B$27,K$4)="",0,COUNTIF(Data!$B737:$U737,INDEX(Pengaturan!$B$8:$B$27,K$4)))</f>
        <v>0</v>
      </c>
      <c r="L737" s="26" t="n">
        <f aca="false">IF(INDEX(Pengaturan!$B$8:$B$27,L$4)="",0,COUNTIF(Data!$B737:$U737,INDEX(Pengaturan!$B$8:$B$27,L$4)))</f>
        <v>0</v>
      </c>
      <c r="M737" s="26" t="n">
        <f aca="false">IF(INDEX(Pengaturan!$B$8:$B$27,M$4)="",0,COUNTIF(Data!$B737:$U737,INDEX(Pengaturan!$B$8:$B$27,M$4)))</f>
        <v>0</v>
      </c>
      <c r="N737" s="26" t="n">
        <f aca="false">IF(INDEX(Pengaturan!$B$8:$B$27,N$4)="",0,COUNTIF(Data!$B737:$U737,INDEX(Pengaturan!$B$8:$B$27,N$4)))</f>
        <v>0</v>
      </c>
      <c r="O737" s="26" t="n">
        <f aca="false">IF(INDEX(Pengaturan!$B$8:$B$27,O$4)="",0,COUNTIF(Data!$B737:$U737,INDEX(Pengaturan!$B$8:$B$27,O$4)))</f>
        <v>0</v>
      </c>
      <c r="P737" s="26" t="n">
        <f aca="false">IF(INDEX(Pengaturan!$B$8:$B$27,P$4)="",0,COUNTIF(Data!$B737:$U737,INDEX(Pengaturan!$B$8:$B$27,P$4)))</f>
        <v>0</v>
      </c>
      <c r="Q737" s="26" t="n">
        <f aca="false">IF(INDEX(Pengaturan!$B$8:$B$27,Q$4)="",0,COUNTIF(Data!$B737:$U737,INDEX(Pengaturan!$B$8:$B$27,Q$4)))</f>
        <v>0</v>
      </c>
      <c r="R737" s="26" t="n">
        <f aca="false">IF(INDEX(Pengaturan!$B$8:$B$27,R$4)="",0,COUNTIF(Data!$B737:$U737,INDEX(Pengaturan!$B$8:$B$27,R$4)))</f>
        <v>0</v>
      </c>
      <c r="S737" s="26" t="n">
        <f aca="false">IF(INDEX(Pengaturan!$B$8:$B$27,S$4)="",0,COUNTIF(Data!$B737:$U737,INDEX(Pengaturan!$B$8:$B$27,S$4)))</f>
        <v>0</v>
      </c>
      <c r="T737" s="26" t="n">
        <f aca="false">IF(INDEX(Pengaturan!$B$8:$B$27,T$4)="",0,COUNTIF(Data!$B737:$U737,INDEX(Pengaturan!$B$8:$B$27,T$4)))</f>
        <v>0</v>
      </c>
      <c r="U737" s="26" t="n">
        <f aca="false">IF(INDEX(Pengaturan!$B$8:$B$27,U$4)="",0,COUNTIF(Data!$B737:$U737,INDEX(Pengaturan!$B$8:$B$27,U$4)))</f>
        <v>0</v>
      </c>
      <c r="V737" s="26" t="n">
        <f aca="false">COUNTA(Data!$B737:$U737)</f>
        <v>0</v>
      </c>
      <c r="W737" s="27" t="str">
        <f aca="false">IF(V737=0,"",IF(V737&lt;&gt;Hasil!$C$4,"Data kosong/tidak lengkap",IF(SUM(B737:U737)&lt;&gt;V737,"Kategori tidak dikenal","OK")))</f>
        <v/>
      </c>
      <c r="X737" s="26" t="n">
        <f aca="false">IF(OR(W737="",W737="OK"),0,1)</f>
        <v>0</v>
      </c>
    </row>
    <row r="738" customFormat="false" ht="15" hidden="false" customHeight="false" outlineLevel="0" collapsed="false">
      <c r="A738" s="26" t="n">
        <f aca="false">Data!A738</f>
        <v>733</v>
      </c>
      <c r="B738" s="26" t="n">
        <f aca="false">IF(INDEX(Pengaturan!$B$8:$B$27,B$4)="",0,COUNTIF(Data!$B738:$U738,INDEX(Pengaturan!$B$8:$B$27,B$4)))</f>
        <v>0</v>
      </c>
      <c r="C738" s="26" t="n">
        <f aca="false">IF(INDEX(Pengaturan!$B$8:$B$27,C$4)="",0,COUNTIF(Data!$B738:$U738,INDEX(Pengaturan!$B$8:$B$27,C$4)))</f>
        <v>0</v>
      </c>
      <c r="D738" s="26" t="n">
        <f aca="false">IF(INDEX(Pengaturan!$B$8:$B$27,D$4)="",0,COUNTIF(Data!$B738:$U738,INDEX(Pengaturan!$B$8:$B$27,D$4)))</f>
        <v>0</v>
      </c>
      <c r="E738" s="26" t="n">
        <f aca="false">IF(INDEX(Pengaturan!$B$8:$B$27,E$4)="",0,COUNTIF(Data!$B738:$U738,INDEX(Pengaturan!$B$8:$B$27,E$4)))</f>
        <v>0</v>
      </c>
      <c r="F738" s="26" t="n">
        <f aca="false">IF(INDEX(Pengaturan!$B$8:$B$27,F$4)="",0,COUNTIF(Data!$B738:$U738,INDEX(Pengaturan!$B$8:$B$27,F$4)))</f>
        <v>0</v>
      </c>
      <c r="G738" s="26" t="n">
        <f aca="false">IF(INDEX(Pengaturan!$B$8:$B$27,G$4)="",0,COUNTIF(Data!$B738:$U738,INDEX(Pengaturan!$B$8:$B$27,G$4)))</f>
        <v>0</v>
      </c>
      <c r="H738" s="26" t="n">
        <f aca="false">IF(INDEX(Pengaturan!$B$8:$B$27,H$4)="",0,COUNTIF(Data!$B738:$U738,INDEX(Pengaturan!$B$8:$B$27,H$4)))</f>
        <v>0</v>
      </c>
      <c r="I738" s="26" t="n">
        <f aca="false">IF(INDEX(Pengaturan!$B$8:$B$27,I$4)="",0,COUNTIF(Data!$B738:$U738,INDEX(Pengaturan!$B$8:$B$27,I$4)))</f>
        <v>0</v>
      </c>
      <c r="J738" s="26" t="n">
        <f aca="false">IF(INDEX(Pengaturan!$B$8:$B$27,J$4)="",0,COUNTIF(Data!$B738:$U738,INDEX(Pengaturan!$B$8:$B$27,J$4)))</f>
        <v>0</v>
      </c>
      <c r="K738" s="26" t="n">
        <f aca="false">IF(INDEX(Pengaturan!$B$8:$B$27,K$4)="",0,COUNTIF(Data!$B738:$U738,INDEX(Pengaturan!$B$8:$B$27,K$4)))</f>
        <v>0</v>
      </c>
      <c r="L738" s="26" t="n">
        <f aca="false">IF(INDEX(Pengaturan!$B$8:$B$27,L$4)="",0,COUNTIF(Data!$B738:$U738,INDEX(Pengaturan!$B$8:$B$27,L$4)))</f>
        <v>0</v>
      </c>
      <c r="M738" s="26" t="n">
        <f aca="false">IF(INDEX(Pengaturan!$B$8:$B$27,M$4)="",0,COUNTIF(Data!$B738:$U738,INDEX(Pengaturan!$B$8:$B$27,M$4)))</f>
        <v>0</v>
      </c>
      <c r="N738" s="26" t="n">
        <f aca="false">IF(INDEX(Pengaturan!$B$8:$B$27,N$4)="",0,COUNTIF(Data!$B738:$U738,INDEX(Pengaturan!$B$8:$B$27,N$4)))</f>
        <v>0</v>
      </c>
      <c r="O738" s="26" t="n">
        <f aca="false">IF(INDEX(Pengaturan!$B$8:$B$27,O$4)="",0,COUNTIF(Data!$B738:$U738,INDEX(Pengaturan!$B$8:$B$27,O$4)))</f>
        <v>0</v>
      </c>
      <c r="P738" s="26" t="n">
        <f aca="false">IF(INDEX(Pengaturan!$B$8:$B$27,P$4)="",0,COUNTIF(Data!$B738:$U738,INDEX(Pengaturan!$B$8:$B$27,P$4)))</f>
        <v>0</v>
      </c>
      <c r="Q738" s="26" t="n">
        <f aca="false">IF(INDEX(Pengaturan!$B$8:$B$27,Q$4)="",0,COUNTIF(Data!$B738:$U738,INDEX(Pengaturan!$B$8:$B$27,Q$4)))</f>
        <v>0</v>
      </c>
      <c r="R738" s="26" t="n">
        <f aca="false">IF(INDEX(Pengaturan!$B$8:$B$27,R$4)="",0,COUNTIF(Data!$B738:$U738,INDEX(Pengaturan!$B$8:$B$27,R$4)))</f>
        <v>0</v>
      </c>
      <c r="S738" s="26" t="n">
        <f aca="false">IF(INDEX(Pengaturan!$B$8:$B$27,S$4)="",0,COUNTIF(Data!$B738:$U738,INDEX(Pengaturan!$B$8:$B$27,S$4)))</f>
        <v>0</v>
      </c>
      <c r="T738" s="26" t="n">
        <f aca="false">IF(INDEX(Pengaturan!$B$8:$B$27,T$4)="",0,COUNTIF(Data!$B738:$U738,INDEX(Pengaturan!$B$8:$B$27,T$4)))</f>
        <v>0</v>
      </c>
      <c r="U738" s="26" t="n">
        <f aca="false">IF(INDEX(Pengaturan!$B$8:$B$27,U$4)="",0,COUNTIF(Data!$B738:$U738,INDEX(Pengaturan!$B$8:$B$27,U$4)))</f>
        <v>0</v>
      </c>
      <c r="V738" s="26" t="n">
        <f aca="false">COUNTA(Data!$B738:$U738)</f>
        <v>0</v>
      </c>
      <c r="W738" s="27" t="str">
        <f aca="false">IF(V738=0,"",IF(V738&lt;&gt;Hasil!$C$4,"Data kosong/tidak lengkap",IF(SUM(B738:U738)&lt;&gt;V738,"Kategori tidak dikenal","OK")))</f>
        <v/>
      </c>
      <c r="X738" s="26" t="n">
        <f aca="false">IF(OR(W738="",W738="OK"),0,1)</f>
        <v>0</v>
      </c>
    </row>
    <row r="739" customFormat="false" ht="15" hidden="false" customHeight="false" outlineLevel="0" collapsed="false">
      <c r="A739" s="26" t="n">
        <f aca="false">Data!A739</f>
        <v>734</v>
      </c>
      <c r="B739" s="26" t="n">
        <f aca="false">IF(INDEX(Pengaturan!$B$8:$B$27,B$4)="",0,COUNTIF(Data!$B739:$U739,INDEX(Pengaturan!$B$8:$B$27,B$4)))</f>
        <v>0</v>
      </c>
      <c r="C739" s="26" t="n">
        <f aca="false">IF(INDEX(Pengaturan!$B$8:$B$27,C$4)="",0,COUNTIF(Data!$B739:$U739,INDEX(Pengaturan!$B$8:$B$27,C$4)))</f>
        <v>0</v>
      </c>
      <c r="D739" s="26" t="n">
        <f aca="false">IF(INDEX(Pengaturan!$B$8:$B$27,D$4)="",0,COUNTIF(Data!$B739:$U739,INDEX(Pengaturan!$B$8:$B$27,D$4)))</f>
        <v>0</v>
      </c>
      <c r="E739" s="26" t="n">
        <f aca="false">IF(INDEX(Pengaturan!$B$8:$B$27,E$4)="",0,COUNTIF(Data!$B739:$U739,INDEX(Pengaturan!$B$8:$B$27,E$4)))</f>
        <v>0</v>
      </c>
      <c r="F739" s="26" t="n">
        <f aca="false">IF(INDEX(Pengaturan!$B$8:$B$27,F$4)="",0,COUNTIF(Data!$B739:$U739,INDEX(Pengaturan!$B$8:$B$27,F$4)))</f>
        <v>0</v>
      </c>
      <c r="G739" s="26" t="n">
        <f aca="false">IF(INDEX(Pengaturan!$B$8:$B$27,G$4)="",0,COUNTIF(Data!$B739:$U739,INDEX(Pengaturan!$B$8:$B$27,G$4)))</f>
        <v>0</v>
      </c>
      <c r="H739" s="26" t="n">
        <f aca="false">IF(INDEX(Pengaturan!$B$8:$B$27,H$4)="",0,COUNTIF(Data!$B739:$U739,INDEX(Pengaturan!$B$8:$B$27,H$4)))</f>
        <v>0</v>
      </c>
      <c r="I739" s="26" t="n">
        <f aca="false">IF(INDEX(Pengaturan!$B$8:$B$27,I$4)="",0,COUNTIF(Data!$B739:$U739,INDEX(Pengaturan!$B$8:$B$27,I$4)))</f>
        <v>0</v>
      </c>
      <c r="J739" s="26" t="n">
        <f aca="false">IF(INDEX(Pengaturan!$B$8:$B$27,J$4)="",0,COUNTIF(Data!$B739:$U739,INDEX(Pengaturan!$B$8:$B$27,J$4)))</f>
        <v>0</v>
      </c>
      <c r="K739" s="26" t="n">
        <f aca="false">IF(INDEX(Pengaturan!$B$8:$B$27,K$4)="",0,COUNTIF(Data!$B739:$U739,INDEX(Pengaturan!$B$8:$B$27,K$4)))</f>
        <v>0</v>
      </c>
      <c r="L739" s="26" t="n">
        <f aca="false">IF(INDEX(Pengaturan!$B$8:$B$27,L$4)="",0,COUNTIF(Data!$B739:$U739,INDEX(Pengaturan!$B$8:$B$27,L$4)))</f>
        <v>0</v>
      </c>
      <c r="M739" s="26" t="n">
        <f aca="false">IF(INDEX(Pengaturan!$B$8:$B$27,M$4)="",0,COUNTIF(Data!$B739:$U739,INDEX(Pengaturan!$B$8:$B$27,M$4)))</f>
        <v>0</v>
      </c>
      <c r="N739" s="26" t="n">
        <f aca="false">IF(INDEX(Pengaturan!$B$8:$B$27,N$4)="",0,COUNTIF(Data!$B739:$U739,INDEX(Pengaturan!$B$8:$B$27,N$4)))</f>
        <v>0</v>
      </c>
      <c r="O739" s="26" t="n">
        <f aca="false">IF(INDEX(Pengaturan!$B$8:$B$27,O$4)="",0,COUNTIF(Data!$B739:$U739,INDEX(Pengaturan!$B$8:$B$27,O$4)))</f>
        <v>0</v>
      </c>
      <c r="P739" s="26" t="n">
        <f aca="false">IF(INDEX(Pengaturan!$B$8:$B$27,P$4)="",0,COUNTIF(Data!$B739:$U739,INDEX(Pengaturan!$B$8:$B$27,P$4)))</f>
        <v>0</v>
      </c>
      <c r="Q739" s="26" t="n">
        <f aca="false">IF(INDEX(Pengaturan!$B$8:$B$27,Q$4)="",0,COUNTIF(Data!$B739:$U739,INDEX(Pengaturan!$B$8:$B$27,Q$4)))</f>
        <v>0</v>
      </c>
      <c r="R739" s="26" t="n">
        <f aca="false">IF(INDEX(Pengaturan!$B$8:$B$27,R$4)="",0,COUNTIF(Data!$B739:$U739,INDEX(Pengaturan!$B$8:$B$27,R$4)))</f>
        <v>0</v>
      </c>
      <c r="S739" s="26" t="n">
        <f aca="false">IF(INDEX(Pengaturan!$B$8:$B$27,S$4)="",0,COUNTIF(Data!$B739:$U739,INDEX(Pengaturan!$B$8:$B$27,S$4)))</f>
        <v>0</v>
      </c>
      <c r="T739" s="26" t="n">
        <f aca="false">IF(INDEX(Pengaturan!$B$8:$B$27,T$4)="",0,COUNTIF(Data!$B739:$U739,INDEX(Pengaturan!$B$8:$B$27,T$4)))</f>
        <v>0</v>
      </c>
      <c r="U739" s="26" t="n">
        <f aca="false">IF(INDEX(Pengaturan!$B$8:$B$27,U$4)="",0,COUNTIF(Data!$B739:$U739,INDEX(Pengaturan!$B$8:$B$27,U$4)))</f>
        <v>0</v>
      </c>
      <c r="V739" s="26" t="n">
        <f aca="false">COUNTA(Data!$B739:$U739)</f>
        <v>0</v>
      </c>
      <c r="W739" s="27" t="str">
        <f aca="false">IF(V739=0,"",IF(V739&lt;&gt;Hasil!$C$4,"Data kosong/tidak lengkap",IF(SUM(B739:U739)&lt;&gt;V739,"Kategori tidak dikenal","OK")))</f>
        <v/>
      </c>
      <c r="X739" s="26" t="n">
        <f aca="false">IF(OR(W739="",W739="OK"),0,1)</f>
        <v>0</v>
      </c>
    </row>
    <row r="740" customFormat="false" ht="15" hidden="false" customHeight="false" outlineLevel="0" collapsed="false">
      <c r="A740" s="26" t="n">
        <f aca="false">Data!A740</f>
        <v>735</v>
      </c>
      <c r="B740" s="26" t="n">
        <f aca="false">IF(INDEX(Pengaturan!$B$8:$B$27,B$4)="",0,COUNTIF(Data!$B740:$U740,INDEX(Pengaturan!$B$8:$B$27,B$4)))</f>
        <v>0</v>
      </c>
      <c r="C740" s="26" t="n">
        <f aca="false">IF(INDEX(Pengaturan!$B$8:$B$27,C$4)="",0,COUNTIF(Data!$B740:$U740,INDEX(Pengaturan!$B$8:$B$27,C$4)))</f>
        <v>0</v>
      </c>
      <c r="D740" s="26" t="n">
        <f aca="false">IF(INDEX(Pengaturan!$B$8:$B$27,D$4)="",0,COUNTIF(Data!$B740:$U740,INDEX(Pengaturan!$B$8:$B$27,D$4)))</f>
        <v>0</v>
      </c>
      <c r="E740" s="26" t="n">
        <f aca="false">IF(INDEX(Pengaturan!$B$8:$B$27,E$4)="",0,COUNTIF(Data!$B740:$U740,INDEX(Pengaturan!$B$8:$B$27,E$4)))</f>
        <v>0</v>
      </c>
      <c r="F740" s="26" t="n">
        <f aca="false">IF(INDEX(Pengaturan!$B$8:$B$27,F$4)="",0,COUNTIF(Data!$B740:$U740,INDEX(Pengaturan!$B$8:$B$27,F$4)))</f>
        <v>0</v>
      </c>
      <c r="G740" s="26" t="n">
        <f aca="false">IF(INDEX(Pengaturan!$B$8:$B$27,G$4)="",0,COUNTIF(Data!$B740:$U740,INDEX(Pengaturan!$B$8:$B$27,G$4)))</f>
        <v>0</v>
      </c>
      <c r="H740" s="26" t="n">
        <f aca="false">IF(INDEX(Pengaturan!$B$8:$B$27,H$4)="",0,COUNTIF(Data!$B740:$U740,INDEX(Pengaturan!$B$8:$B$27,H$4)))</f>
        <v>0</v>
      </c>
      <c r="I740" s="26" t="n">
        <f aca="false">IF(INDEX(Pengaturan!$B$8:$B$27,I$4)="",0,COUNTIF(Data!$B740:$U740,INDEX(Pengaturan!$B$8:$B$27,I$4)))</f>
        <v>0</v>
      </c>
      <c r="J740" s="26" t="n">
        <f aca="false">IF(INDEX(Pengaturan!$B$8:$B$27,J$4)="",0,COUNTIF(Data!$B740:$U740,INDEX(Pengaturan!$B$8:$B$27,J$4)))</f>
        <v>0</v>
      </c>
      <c r="K740" s="26" t="n">
        <f aca="false">IF(INDEX(Pengaturan!$B$8:$B$27,K$4)="",0,COUNTIF(Data!$B740:$U740,INDEX(Pengaturan!$B$8:$B$27,K$4)))</f>
        <v>0</v>
      </c>
      <c r="L740" s="26" t="n">
        <f aca="false">IF(INDEX(Pengaturan!$B$8:$B$27,L$4)="",0,COUNTIF(Data!$B740:$U740,INDEX(Pengaturan!$B$8:$B$27,L$4)))</f>
        <v>0</v>
      </c>
      <c r="M740" s="26" t="n">
        <f aca="false">IF(INDEX(Pengaturan!$B$8:$B$27,M$4)="",0,COUNTIF(Data!$B740:$U740,INDEX(Pengaturan!$B$8:$B$27,M$4)))</f>
        <v>0</v>
      </c>
      <c r="N740" s="26" t="n">
        <f aca="false">IF(INDEX(Pengaturan!$B$8:$B$27,N$4)="",0,COUNTIF(Data!$B740:$U740,INDEX(Pengaturan!$B$8:$B$27,N$4)))</f>
        <v>0</v>
      </c>
      <c r="O740" s="26" t="n">
        <f aca="false">IF(INDEX(Pengaturan!$B$8:$B$27,O$4)="",0,COUNTIF(Data!$B740:$U740,INDEX(Pengaturan!$B$8:$B$27,O$4)))</f>
        <v>0</v>
      </c>
      <c r="P740" s="26" t="n">
        <f aca="false">IF(INDEX(Pengaturan!$B$8:$B$27,P$4)="",0,COUNTIF(Data!$B740:$U740,INDEX(Pengaturan!$B$8:$B$27,P$4)))</f>
        <v>0</v>
      </c>
      <c r="Q740" s="26" t="n">
        <f aca="false">IF(INDEX(Pengaturan!$B$8:$B$27,Q$4)="",0,COUNTIF(Data!$B740:$U740,INDEX(Pengaturan!$B$8:$B$27,Q$4)))</f>
        <v>0</v>
      </c>
      <c r="R740" s="26" t="n">
        <f aca="false">IF(INDEX(Pengaturan!$B$8:$B$27,R$4)="",0,COUNTIF(Data!$B740:$U740,INDEX(Pengaturan!$B$8:$B$27,R$4)))</f>
        <v>0</v>
      </c>
      <c r="S740" s="26" t="n">
        <f aca="false">IF(INDEX(Pengaturan!$B$8:$B$27,S$4)="",0,COUNTIF(Data!$B740:$U740,INDEX(Pengaturan!$B$8:$B$27,S$4)))</f>
        <v>0</v>
      </c>
      <c r="T740" s="26" t="n">
        <f aca="false">IF(INDEX(Pengaturan!$B$8:$B$27,T$4)="",0,COUNTIF(Data!$B740:$U740,INDEX(Pengaturan!$B$8:$B$27,T$4)))</f>
        <v>0</v>
      </c>
      <c r="U740" s="26" t="n">
        <f aca="false">IF(INDEX(Pengaturan!$B$8:$B$27,U$4)="",0,COUNTIF(Data!$B740:$U740,INDEX(Pengaturan!$B$8:$B$27,U$4)))</f>
        <v>0</v>
      </c>
      <c r="V740" s="26" t="n">
        <f aca="false">COUNTA(Data!$B740:$U740)</f>
        <v>0</v>
      </c>
      <c r="W740" s="27" t="str">
        <f aca="false">IF(V740=0,"",IF(V740&lt;&gt;Hasil!$C$4,"Data kosong/tidak lengkap",IF(SUM(B740:U740)&lt;&gt;V740,"Kategori tidak dikenal","OK")))</f>
        <v/>
      </c>
      <c r="X740" s="26" t="n">
        <f aca="false">IF(OR(W740="",W740="OK"),0,1)</f>
        <v>0</v>
      </c>
    </row>
    <row r="741" customFormat="false" ht="15" hidden="false" customHeight="false" outlineLevel="0" collapsed="false">
      <c r="A741" s="26" t="n">
        <f aca="false">Data!A741</f>
        <v>736</v>
      </c>
      <c r="B741" s="26" t="n">
        <f aca="false">IF(INDEX(Pengaturan!$B$8:$B$27,B$4)="",0,COUNTIF(Data!$B741:$U741,INDEX(Pengaturan!$B$8:$B$27,B$4)))</f>
        <v>0</v>
      </c>
      <c r="C741" s="26" t="n">
        <f aca="false">IF(INDEX(Pengaturan!$B$8:$B$27,C$4)="",0,COUNTIF(Data!$B741:$U741,INDEX(Pengaturan!$B$8:$B$27,C$4)))</f>
        <v>0</v>
      </c>
      <c r="D741" s="26" t="n">
        <f aca="false">IF(INDEX(Pengaturan!$B$8:$B$27,D$4)="",0,COUNTIF(Data!$B741:$U741,INDEX(Pengaturan!$B$8:$B$27,D$4)))</f>
        <v>0</v>
      </c>
      <c r="E741" s="26" t="n">
        <f aca="false">IF(INDEX(Pengaturan!$B$8:$B$27,E$4)="",0,COUNTIF(Data!$B741:$U741,INDEX(Pengaturan!$B$8:$B$27,E$4)))</f>
        <v>0</v>
      </c>
      <c r="F741" s="26" t="n">
        <f aca="false">IF(INDEX(Pengaturan!$B$8:$B$27,F$4)="",0,COUNTIF(Data!$B741:$U741,INDEX(Pengaturan!$B$8:$B$27,F$4)))</f>
        <v>0</v>
      </c>
      <c r="G741" s="26" t="n">
        <f aca="false">IF(INDEX(Pengaturan!$B$8:$B$27,G$4)="",0,COUNTIF(Data!$B741:$U741,INDEX(Pengaturan!$B$8:$B$27,G$4)))</f>
        <v>0</v>
      </c>
      <c r="H741" s="26" t="n">
        <f aca="false">IF(INDEX(Pengaturan!$B$8:$B$27,H$4)="",0,COUNTIF(Data!$B741:$U741,INDEX(Pengaturan!$B$8:$B$27,H$4)))</f>
        <v>0</v>
      </c>
      <c r="I741" s="26" t="n">
        <f aca="false">IF(INDEX(Pengaturan!$B$8:$B$27,I$4)="",0,COUNTIF(Data!$B741:$U741,INDEX(Pengaturan!$B$8:$B$27,I$4)))</f>
        <v>0</v>
      </c>
      <c r="J741" s="26" t="n">
        <f aca="false">IF(INDEX(Pengaturan!$B$8:$B$27,J$4)="",0,COUNTIF(Data!$B741:$U741,INDEX(Pengaturan!$B$8:$B$27,J$4)))</f>
        <v>0</v>
      </c>
      <c r="K741" s="26" t="n">
        <f aca="false">IF(INDEX(Pengaturan!$B$8:$B$27,K$4)="",0,COUNTIF(Data!$B741:$U741,INDEX(Pengaturan!$B$8:$B$27,K$4)))</f>
        <v>0</v>
      </c>
      <c r="L741" s="26" t="n">
        <f aca="false">IF(INDEX(Pengaturan!$B$8:$B$27,L$4)="",0,COUNTIF(Data!$B741:$U741,INDEX(Pengaturan!$B$8:$B$27,L$4)))</f>
        <v>0</v>
      </c>
      <c r="M741" s="26" t="n">
        <f aca="false">IF(INDEX(Pengaturan!$B$8:$B$27,M$4)="",0,COUNTIF(Data!$B741:$U741,INDEX(Pengaturan!$B$8:$B$27,M$4)))</f>
        <v>0</v>
      </c>
      <c r="N741" s="26" t="n">
        <f aca="false">IF(INDEX(Pengaturan!$B$8:$B$27,N$4)="",0,COUNTIF(Data!$B741:$U741,INDEX(Pengaturan!$B$8:$B$27,N$4)))</f>
        <v>0</v>
      </c>
      <c r="O741" s="26" t="n">
        <f aca="false">IF(INDEX(Pengaturan!$B$8:$B$27,O$4)="",0,COUNTIF(Data!$B741:$U741,INDEX(Pengaturan!$B$8:$B$27,O$4)))</f>
        <v>0</v>
      </c>
      <c r="P741" s="26" t="n">
        <f aca="false">IF(INDEX(Pengaturan!$B$8:$B$27,P$4)="",0,COUNTIF(Data!$B741:$U741,INDEX(Pengaturan!$B$8:$B$27,P$4)))</f>
        <v>0</v>
      </c>
      <c r="Q741" s="26" t="n">
        <f aca="false">IF(INDEX(Pengaturan!$B$8:$B$27,Q$4)="",0,COUNTIF(Data!$B741:$U741,INDEX(Pengaturan!$B$8:$B$27,Q$4)))</f>
        <v>0</v>
      </c>
      <c r="R741" s="26" t="n">
        <f aca="false">IF(INDEX(Pengaturan!$B$8:$B$27,R$4)="",0,COUNTIF(Data!$B741:$U741,INDEX(Pengaturan!$B$8:$B$27,R$4)))</f>
        <v>0</v>
      </c>
      <c r="S741" s="26" t="n">
        <f aca="false">IF(INDEX(Pengaturan!$B$8:$B$27,S$4)="",0,COUNTIF(Data!$B741:$U741,INDEX(Pengaturan!$B$8:$B$27,S$4)))</f>
        <v>0</v>
      </c>
      <c r="T741" s="26" t="n">
        <f aca="false">IF(INDEX(Pengaturan!$B$8:$B$27,T$4)="",0,COUNTIF(Data!$B741:$U741,INDEX(Pengaturan!$B$8:$B$27,T$4)))</f>
        <v>0</v>
      </c>
      <c r="U741" s="26" t="n">
        <f aca="false">IF(INDEX(Pengaturan!$B$8:$B$27,U$4)="",0,COUNTIF(Data!$B741:$U741,INDEX(Pengaturan!$B$8:$B$27,U$4)))</f>
        <v>0</v>
      </c>
      <c r="V741" s="26" t="n">
        <f aca="false">COUNTA(Data!$B741:$U741)</f>
        <v>0</v>
      </c>
      <c r="W741" s="27" t="str">
        <f aca="false">IF(V741=0,"",IF(V741&lt;&gt;Hasil!$C$4,"Data kosong/tidak lengkap",IF(SUM(B741:U741)&lt;&gt;V741,"Kategori tidak dikenal","OK")))</f>
        <v/>
      </c>
      <c r="X741" s="26" t="n">
        <f aca="false">IF(OR(W741="",W741="OK"),0,1)</f>
        <v>0</v>
      </c>
    </row>
    <row r="742" customFormat="false" ht="15" hidden="false" customHeight="false" outlineLevel="0" collapsed="false">
      <c r="A742" s="26" t="n">
        <f aca="false">Data!A742</f>
        <v>737</v>
      </c>
      <c r="B742" s="26" t="n">
        <f aca="false">IF(INDEX(Pengaturan!$B$8:$B$27,B$4)="",0,COUNTIF(Data!$B742:$U742,INDEX(Pengaturan!$B$8:$B$27,B$4)))</f>
        <v>0</v>
      </c>
      <c r="C742" s="26" t="n">
        <f aca="false">IF(INDEX(Pengaturan!$B$8:$B$27,C$4)="",0,COUNTIF(Data!$B742:$U742,INDEX(Pengaturan!$B$8:$B$27,C$4)))</f>
        <v>0</v>
      </c>
      <c r="D742" s="26" t="n">
        <f aca="false">IF(INDEX(Pengaturan!$B$8:$B$27,D$4)="",0,COUNTIF(Data!$B742:$U742,INDEX(Pengaturan!$B$8:$B$27,D$4)))</f>
        <v>0</v>
      </c>
      <c r="E742" s="26" t="n">
        <f aca="false">IF(INDEX(Pengaturan!$B$8:$B$27,E$4)="",0,COUNTIF(Data!$B742:$U742,INDEX(Pengaturan!$B$8:$B$27,E$4)))</f>
        <v>0</v>
      </c>
      <c r="F742" s="26" t="n">
        <f aca="false">IF(INDEX(Pengaturan!$B$8:$B$27,F$4)="",0,COUNTIF(Data!$B742:$U742,INDEX(Pengaturan!$B$8:$B$27,F$4)))</f>
        <v>0</v>
      </c>
      <c r="G742" s="26" t="n">
        <f aca="false">IF(INDEX(Pengaturan!$B$8:$B$27,G$4)="",0,COUNTIF(Data!$B742:$U742,INDEX(Pengaturan!$B$8:$B$27,G$4)))</f>
        <v>0</v>
      </c>
      <c r="H742" s="26" t="n">
        <f aca="false">IF(INDEX(Pengaturan!$B$8:$B$27,H$4)="",0,COUNTIF(Data!$B742:$U742,INDEX(Pengaturan!$B$8:$B$27,H$4)))</f>
        <v>0</v>
      </c>
      <c r="I742" s="26" t="n">
        <f aca="false">IF(INDEX(Pengaturan!$B$8:$B$27,I$4)="",0,COUNTIF(Data!$B742:$U742,INDEX(Pengaturan!$B$8:$B$27,I$4)))</f>
        <v>0</v>
      </c>
      <c r="J742" s="26" t="n">
        <f aca="false">IF(INDEX(Pengaturan!$B$8:$B$27,J$4)="",0,COUNTIF(Data!$B742:$U742,INDEX(Pengaturan!$B$8:$B$27,J$4)))</f>
        <v>0</v>
      </c>
      <c r="K742" s="26" t="n">
        <f aca="false">IF(INDEX(Pengaturan!$B$8:$B$27,K$4)="",0,COUNTIF(Data!$B742:$U742,INDEX(Pengaturan!$B$8:$B$27,K$4)))</f>
        <v>0</v>
      </c>
      <c r="L742" s="26" t="n">
        <f aca="false">IF(INDEX(Pengaturan!$B$8:$B$27,L$4)="",0,COUNTIF(Data!$B742:$U742,INDEX(Pengaturan!$B$8:$B$27,L$4)))</f>
        <v>0</v>
      </c>
      <c r="M742" s="26" t="n">
        <f aca="false">IF(INDEX(Pengaturan!$B$8:$B$27,M$4)="",0,COUNTIF(Data!$B742:$U742,INDEX(Pengaturan!$B$8:$B$27,M$4)))</f>
        <v>0</v>
      </c>
      <c r="N742" s="26" t="n">
        <f aca="false">IF(INDEX(Pengaturan!$B$8:$B$27,N$4)="",0,COUNTIF(Data!$B742:$U742,INDEX(Pengaturan!$B$8:$B$27,N$4)))</f>
        <v>0</v>
      </c>
      <c r="O742" s="26" t="n">
        <f aca="false">IF(INDEX(Pengaturan!$B$8:$B$27,O$4)="",0,COUNTIF(Data!$B742:$U742,INDEX(Pengaturan!$B$8:$B$27,O$4)))</f>
        <v>0</v>
      </c>
      <c r="P742" s="26" t="n">
        <f aca="false">IF(INDEX(Pengaturan!$B$8:$B$27,P$4)="",0,COUNTIF(Data!$B742:$U742,INDEX(Pengaturan!$B$8:$B$27,P$4)))</f>
        <v>0</v>
      </c>
      <c r="Q742" s="26" t="n">
        <f aca="false">IF(INDEX(Pengaturan!$B$8:$B$27,Q$4)="",0,COUNTIF(Data!$B742:$U742,INDEX(Pengaturan!$B$8:$B$27,Q$4)))</f>
        <v>0</v>
      </c>
      <c r="R742" s="26" t="n">
        <f aca="false">IF(INDEX(Pengaturan!$B$8:$B$27,R$4)="",0,COUNTIF(Data!$B742:$U742,INDEX(Pengaturan!$B$8:$B$27,R$4)))</f>
        <v>0</v>
      </c>
      <c r="S742" s="26" t="n">
        <f aca="false">IF(INDEX(Pengaturan!$B$8:$B$27,S$4)="",0,COUNTIF(Data!$B742:$U742,INDEX(Pengaturan!$B$8:$B$27,S$4)))</f>
        <v>0</v>
      </c>
      <c r="T742" s="26" t="n">
        <f aca="false">IF(INDEX(Pengaturan!$B$8:$B$27,T$4)="",0,COUNTIF(Data!$B742:$U742,INDEX(Pengaturan!$B$8:$B$27,T$4)))</f>
        <v>0</v>
      </c>
      <c r="U742" s="26" t="n">
        <f aca="false">IF(INDEX(Pengaturan!$B$8:$B$27,U$4)="",0,COUNTIF(Data!$B742:$U742,INDEX(Pengaturan!$B$8:$B$27,U$4)))</f>
        <v>0</v>
      </c>
      <c r="V742" s="26" t="n">
        <f aca="false">COUNTA(Data!$B742:$U742)</f>
        <v>0</v>
      </c>
      <c r="W742" s="27" t="str">
        <f aca="false">IF(V742=0,"",IF(V742&lt;&gt;Hasil!$C$4,"Data kosong/tidak lengkap",IF(SUM(B742:U742)&lt;&gt;V742,"Kategori tidak dikenal","OK")))</f>
        <v/>
      </c>
      <c r="X742" s="26" t="n">
        <f aca="false">IF(OR(W742="",W742="OK"),0,1)</f>
        <v>0</v>
      </c>
    </row>
    <row r="743" customFormat="false" ht="15" hidden="false" customHeight="false" outlineLevel="0" collapsed="false">
      <c r="A743" s="26" t="n">
        <f aca="false">Data!A743</f>
        <v>738</v>
      </c>
      <c r="B743" s="26" t="n">
        <f aca="false">IF(INDEX(Pengaturan!$B$8:$B$27,B$4)="",0,COUNTIF(Data!$B743:$U743,INDEX(Pengaturan!$B$8:$B$27,B$4)))</f>
        <v>0</v>
      </c>
      <c r="C743" s="26" t="n">
        <f aca="false">IF(INDEX(Pengaturan!$B$8:$B$27,C$4)="",0,COUNTIF(Data!$B743:$U743,INDEX(Pengaturan!$B$8:$B$27,C$4)))</f>
        <v>0</v>
      </c>
      <c r="D743" s="26" t="n">
        <f aca="false">IF(INDEX(Pengaturan!$B$8:$B$27,D$4)="",0,COUNTIF(Data!$B743:$U743,INDEX(Pengaturan!$B$8:$B$27,D$4)))</f>
        <v>0</v>
      </c>
      <c r="E743" s="26" t="n">
        <f aca="false">IF(INDEX(Pengaturan!$B$8:$B$27,E$4)="",0,COUNTIF(Data!$B743:$U743,INDEX(Pengaturan!$B$8:$B$27,E$4)))</f>
        <v>0</v>
      </c>
      <c r="F743" s="26" t="n">
        <f aca="false">IF(INDEX(Pengaturan!$B$8:$B$27,F$4)="",0,COUNTIF(Data!$B743:$U743,INDEX(Pengaturan!$B$8:$B$27,F$4)))</f>
        <v>0</v>
      </c>
      <c r="G743" s="26" t="n">
        <f aca="false">IF(INDEX(Pengaturan!$B$8:$B$27,G$4)="",0,COUNTIF(Data!$B743:$U743,INDEX(Pengaturan!$B$8:$B$27,G$4)))</f>
        <v>0</v>
      </c>
      <c r="H743" s="26" t="n">
        <f aca="false">IF(INDEX(Pengaturan!$B$8:$B$27,H$4)="",0,COUNTIF(Data!$B743:$U743,INDEX(Pengaturan!$B$8:$B$27,H$4)))</f>
        <v>0</v>
      </c>
      <c r="I743" s="26" t="n">
        <f aca="false">IF(INDEX(Pengaturan!$B$8:$B$27,I$4)="",0,COUNTIF(Data!$B743:$U743,INDEX(Pengaturan!$B$8:$B$27,I$4)))</f>
        <v>0</v>
      </c>
      <c r="J743" s="26" t="n">
        <f aca="false">IF(INDEX(Pengaturan!$B$8:$B$27,J$4)="",0,COUNTIF(Data!$B743:$U743,INDEX(Pengaturan!$B$8:$B$27,J$4)))</f>
        <v>0</v>
      </c>
      <c r="K743" s="26" t="n">
        <f aca="false">IF(INDEX(Pengaturan!$B$8:$B$27,K$4)="",0,COUNTIF(Data!$B743:$U743,INDEX(Pengaturan!$B$8:$B$27,K$4)))</f>
        <v>0</v>
      </c>
      <c r="L743" s="26" t="n">
        <f aca="false">IF(INDEX(Pengaturan!$B$8:$B$27,L$4)="",0,COUNTIF(Data!$B743:$U743,INDEX(Pengaturan!$B$8:$B$27,L$4)))</f>
        <v>0</v>
      </c>
      <c r="M743" s="26" t="n">
        <f aca="false">IF(INDEX(Pengaturan!$B$8:$B$27,M$4)="",0,COUNTIF(Data!$B743:$U743,INDEX(Pengaturan!$B$8:$B$27,M$4)))</f>
        <v>0</v>
      </c>
      <c r="N743" s="26" t="n">
        <f aca="false">IF(INDEX(Pengaturan!$B$8:$B$27,N$4)="",0,COUNTIF(Data!$B743:$U743,INDEX(Pengaturan!$B$8:$B$27,N$4)))</f>
        <v>0</v>
      </c>
      <c r="O743" s="26" t="n">
        <f aca="false">IF(INDEX(Pengaturan!$B$8:$B$27,O$4)="",0,COUNTIF(Data!$B743:$U743,INDEX(Pengaturan!$B$8:$B$27,O$4)))</f>
        <v>0</v>
      </c>
      <c r="P743" s="26" t="n">
        <f aca="false">IF(INDEX(Pengaturan!$B$8:$B$27,P$4)="",0,COUNTIF(Data!$B743:$U743,INDEX(Pengaturan!$B$8:$B$27,P$4)))</f>
        <v>0</v>
      </c>
      <c r="Q743" s="26" t="n">
        <f aca="false">IF(INDEX(Pengaturan!$B$8:$B$27,Q$4)="",0,COUNTIF(Data!$B743:$U743,INDEX(Pengaturan!$B$8:$B$27,Q$4)))</f>
        <v>0</v>
      </c>
      <c r="R743" s="26" t="n">
        <f aca="false">IF(INDEX(Pengaturan!$B$8:$B$27,R$4)="",0,COUNTIF(Data!$B743:$U743,INDEX(Pengaturan!$B$8:$B$27,R$4)))</f>
        <v>0</v>
      </c>
      <c r="S743" s="26" t="n">
        <f aca="false">IF(INDEX(Pengaturan!$B$8:$B$27,S$4)="",0,COUNTIF(Data!$B743:$U743,INDEX(Pengaturan!$B$8:$B$27,S$4)))</f>
        <v>0</v>
      </c>
      <c r="T743" s="26" t="n">
        <f aca="false">IF(INDEX(Pengaturan!$B$8:$B$27,T$4)="",0,COUNTIF(Data!$B743:$U743,INDEX(Pengaturan!$B$8:$B$27,T$4)))</f>
        <v>0</v>
      </c>
      <c r="U743" s="26" t="n">
        <f aca="false">IF(INDEX(Pengaturan!$B$8:$B$27,U$4)="",0,COUNTIF(Data!$B743:$U743,INDEX(Pengaturan!$B$8:$B$27,U$4)))</f>
        <v>0</v>
      </c>
      <c r="V743" s="26" t="n">
        <f aca="false">COUNTA(Data!$B743:$U743)</f>
        <v>0</v>
      </c>
      <c r="W743" s="27" t="str">
        <f aca="false">IF(V743=0,"",IF(V743&lt;&gt;Hasil!$C$4,"Data kosong/tidak lengkap",IF(SUM(B743:U743)&lt;&gt;V743,"Kategori tidak dikenal","OK")))</f>
        <v/>
      </c>
      <c r="X743" s="26" t="n">
        <f aca="false">IF(OR(W743="",W743="OK"),0,1)</f>
        <v>0</v>
      </c>
    </row>
    <row r="744" customFormat="false" ht="15" hidden="false" customHeight="false" outlineLevel="0" collapsed="false">
      <c r="A744" s="26" t="n">
        <f aca="false">Data!A744</f>
        <v>739</v>
      </c>
      <c r="B744" s="26" t="n">
        <f aca="false">IF(INDEX(Pengaturan!$B$8:$B$27,B$4)="",0,COUNTIF(Data!$B744:$U744,INDEX(Pengaturan!$B$8:$B$27,B$4)))</f>
        <v>0</v>
      </c>
      <c r="C744" s="26" t="n">
        <f aca="false">IF(INDEX(Pengaturan!$B$8:$B$27,C$4)="",0,COUNTIF(Data!$B744:$U744,INDEX(Pengaturan!$B$8:$B$27,C$4)))</f>
        <v>0</v>
      </c>
      <c r="D744" s="26" t="n">
        <f aca="false">IF(INDEX(Pengaturan!$B$8:$B$27,D$4)="",0,COUNTIF(Data!$B744:$U744,INDEX(Pengaturan!$B$8:$B$27,D$4)))</f>
        <v>0</v>
      </c>
      <c r="E744" s="26" t="n">
        <f aca="false">IF(INDEX(Pengaturan!$B$8:$B$27,E$4)="",0,COUNTIF(Data!$B744:$U744,INDEX(Pengaturan!$B$8:$B$27,E$4)))</f>
        <v>0</v>
      </c>
      <c r="F744" s="26" t="n">
        <f aca="false">IF(INDEX(Pengaturan!$B$8:$B$27,F$4)="",0,COUNTIF(Data!$B744:$U744,INDEX(Pengaturan!$B$8:$B$27,F$4)))</f>
        <v>0</v>
      </c>
      <c r="G744" s="26" t="n">
        <f aca="false">IF(INDEX(Pengaturan!$B$8:$B$27,G$4)="",0,COUNTIF(Data!$B744:$U744,INDEX(Pengaturan!$B$8:$B$27,G$4)))</f>
        <v>0</v>
      </c>
      <c r="H744" s="26" t="n">
        <f aca="false">IF(INDEX(Pengaturan!$B$8:$B$27,H$4)="",0,COUNTIF(Data!$B744:$U744,INDEX(Pengaturan!$B$8:$B$27,H$4)))</f>
        <v>0</v>
      </c>
      <c r="I744" s="26" t="n">
        <f aca="false">IF(INDEX(Pengaturan!$B$8:$B$27,I$4)="",0,COUNTIF(Data!$B744:$U744,INDEX(Pengaturan!$B$8:$B$27,I$4)))</f>
        <v>0</v>
      </c>
      <c r="J744" s="26" t="n">
        <f aca="false">IF(INDEX(Pengaturan!$B$8:$B$27,J$4)="",0,COUNTIF(Data!$B744:$U744,INDEX(Pengaturan!$B$8:$B$27,J$4)))</f>
        <v>0</v>
      </c>
      <c r="K744" s="26" t="n">
        <f aca="false">IF(INDEX(Pengaturan!$B$8:$B$27,K$4)="",0,COUNTIF(Data!$B744:$U744,INDEX(Pengaturan!$B$8:$B$27,K$4)))</f>
        <v>0</v>
      </c>
      <c r="L744" s="26" t="n">
        <f aca="false">IF(INDEX(Pengaturan!$B$8:$B$27,L$4)="",0,COUNTIF(Data!$B744:$U744,INDEX(Pengaturan!$B$8:$B$27,L$4)))</f>
        <v>0</v>
      </c>
      <c r="M744" s="26" t="n">
        <f aca="false">IF(INDEX(Pengaturan!$B$8:$B$27,M$4)="",0,COUNTIF(Data!$B744:$U744,INDEX(Pengaturan!$B$8:$B$27,M$4)))</f>
        <v>0</v>
      </c>
      <c r="N744" s="26" t="n">
        <f aca="false">IF(INDEX(Pengaturan!$B$8:$B$27,N$4)="",0,COUNTIF(Data!$B744:$U744,INDEX(Pengaturan!$B$8:$B$27,N$4)))</f>
        <v>0</v>
      </c>
      <c r="O744" s="26" t="n">
        <f aca="false">IF(INDEX(Pengaturan!$B$8:$B$27,O$4)="",0,COUNTIF(Data!$B744:$U744,INDEX(Pengaturan!$B$8:$B$27,O$4)))</f>
        <v>0</v>
      </c>
      <c r="P744" s="26" t="n">
        <f aca="false">IF(INDEX(Pengaturan!$B$8:$B$27,P$4)="",0,COUNTIF(Data!$B744:$U744,INDEX(Pengaturan!$B$8:$B$27,P$4)))</f>
        <v>0</v>
      </c>
      <c r="Q744" s="26" t="n">
        <f aca="false">IF(INDEX(Pengaturan!$B$8:$B$27,Q$4)="",0,COUNTIF(Data!$B744:$U744,INDEX(Pengaturan!$B$8:$B$27,Q$4)))</f>
        <v>0</v>
      </c>
      <c r="R744" s="26" t="n">
        <f aca="false">IF(INDEX(Pengaturan!$B$8:$B$27,R$4)="",0,COUNTIF(Data!$B744:$U744,INDEX(Pengaturan!$B$8:$B$27,R$4)))</f>
        <v>0</v>
      </c>
      <c r="S744" s="26" t="n">
        <f aca="false">IF(INDEX(Pengaturan!$B$8:$B$27,S$4)="",0,COUNTIF(Data!$B744:$U744,INDEX(Pengaturan!$B$8:$B$27,S$4)))</f>
        <v>0</v>
      </c>
      <c r="T744" s="26" t="n">
        <f aca="false">IF(INDEX(Pengaturan!$B$8:$B$27,T$4)="",0,COUNTIF(Data!$B744:$U744,INDEX(Pengaturan!$B$8:$B$27,T$4)))</f>
        <v>0</v>
      </c>
      <c r="U744" s="26" t="n">
        <f aca="false">IF(INDEX(Pengaturan!$B$8:$B$27,U$4)="",0,COUNTIF(Data!$B744:$U744,INDEX(Pengaturan!$B$8:$B$27,U$4)))</f>
        <v>0</v>
      </c>
      <c r="V744" s="26" t="n">
        <f aca="false">COUNTA(Data!$B744:$U744)</f>
        <v>0</v>
      </c>
      <c r="W744" s="27" t="str">
        <f aca="false">IF(V744=0,"",IF(V744&lt;&gt;Hasil!$C$4,"Data kosong/tidak lengkap",IF(SUM(B744:U744)&lt;&gt;V744,"Kategori tidak dikenal","OK")))</f>
        <v/>
      </c>
      <c r="X744" s="26" t="n">
        <f aca="false">IF(OR(W744="",W744="OK"),0,1)</f>
        <v>0</v>
      </c>
    </row>
    <row r="745" customFormat="false" ht="15" hidden="false" customHeight="false" outlineLevel="0" collapsed="false">
      <c r="A745" s="26" t="n">
        <f aca="false">Data!A745</f>
        <v>740</v>
      </c>
      <c r="B745" s="26" t="n">
        <f aca="false">IF(INDEX(Pengaturan!$B$8:$B$27,B$4)="",0,COUNTIF(Data!$B745:$U745,INDEX(Pengaturan!$B$8:$B$27,B$4)))</f>
        <v>0</v>
      </c>
      <c r="C745" s="26" t="n">
        <f aca="false">IF(INDEX(Pengaturan!$B$8:$B$27,C$4)="",0,COUNTIF(Data!$B745:$U745,INDEX(Pengaturan!$B$8:$B$27,C$4)))</f>
        <v>0</v>
      </c>
      <c r="D745" s="26" t="n">
        <f aca="false">IF(INDEX(Pengaturan!$B$8:$B$27,D$4)="",0,COUNTIF(Data!$B745:$U745,INDEX(Pengaturan!$B$8:$B$27,D$4)))</f>
        <v>0</v>
      </c>
      <c r="E745" s="26" t="n">
        <f aca="false">IF(INDEX(Pengaturan!$B$8:$B$27,E$4)="",0,COUNTIF(Data!$B745:$U745,INDEX(Pengaturan!$B$8:$B$27,E$4)))</f>
        <v>0</v>
      </c>
      <c r="F745" s="26" t="n">
        <f aca="false">IF(INDEX(Pengaturan!$B$8:$B$27,F$4)="",0,COUNTIF(Data!$B745:$U745,INDEX(Pengaturan!$B$8:$B$27,F$4)))</f>
        <v>0</v>
      </c>
      <c r="G745" s="26" t="n">
        <f aca="false">IF(INDEX(Pengaturan!$B$8:$B$27,G$4)="",0,COUNTIF(Data!$B745:$U745,INDEX(Pengaturan!$B$8:$B$27,G$4)))</f>
        <v>0</v>
      </c>
      <c r="H745" s="26" t="n">
        <f aca="false">IF(INDEX(Pengaturan!$B$8:$B$27,H$4)="",0,COUNTIF(Data!$B745:$U745,INDEX(Pengaturan!$B$8:$B$27,H$4)))</f>
        <v>0</v>
      </c>
      <c r="I745" s="26" t="n">
        <f aca="false">IF(INDEX(Pengaturan!$B$8:$B$27,I$4)="",0,COUNTIF(Data!$B745:$U745,INDEX(Pengaturan!$B$8:$B$27,I$4)))</f>
        <v>0</v>
      </c>
      <c r="J745" s="26" t="n">
        <f aca="false">IF(INDEX(Pengaturan!$B$8:$B$27,J$4)="",0,COUNTIF(Data!$B745:$U745,INDEX(Pengaturan!$B$8:$B$27,J$4)))</f>
        <v>0</v>
      </c>
      <c r="K745" s="26" t="n">
        <f aca="false">IF(INDEX(Pengaturan!$B$8:$B$27,K$4)="",0,COUNTIF(Data!$B745:$U745,INDEX(Pengaturan!$B$8:$B$27,K$4)))</f>
        <v>0</v>
      </c>
      <c r="L745" s="26" t="n">
        <f aca="false">IF(INDEX(Pengaturan!$B$8:$B$27,L$4)="",0,COUNTIF(Data!$B745:$U745,INDEX(Pengaturan!$B$8:$B$27,L$4)))</f>
        <v>0</v>
      </c>
      <c r="M745" s="26" t="n">
        <f aca="false">IF(INDEX(Pengaturan!$B$8:$B$27,M$4)="",0,COUNTIF(Data!$B745:$U745,INDEX(Pengaturan!$B$8:$B$27,M$4)))</f>
        <v>0</v>
      </c>
      <c r="N745" s="26" t="n">
        <f aca="false">IF(INDEX(Pengaturan!$B$8:$B$27,N$4)="",0,COUNTIF(Data!$B745:$U745,INDEX(Pengaturan!$B$8:$B$27,N$4)))</f>
        <v>0</v>
      </c>
      <c r="O745" s="26" t="n">
        <f aca="false">IF(INDEX(Pengaturan!$B$8:$B$27,O$4)="",0,COUNTIF(Data!$B745:$U745,INDEX(Pengaturan!$B$8:$B$27,O$4)))</f>
        <v>0</v>
      </c>
      <c r="P745" s="26" t="n">
        <f aca="false">IF(INDEX(Pengaturan!$B$8:$B$27,P$4)="",0,COUNTIF(Data!$B745:$U745,INDEX(Pengaturan!$B$8:$B$27,P$4)))</f>
        <v>0</v>
      </c>
      <c r="Q745" s="26" t="n">
        <f aca="false">IF(INDEX(Pengaturan!$B$8:$B$27,Q$4)="",0,COUNTIF(Data!$B745:$U745,INDEX(Pengaturan!$B$8:$B$27,Q$4)))</f>
        <v>0</v>
      </c>
      <c r="R745" s="26" t="n">
        <f aca="false">IF(INDEX(Pengaturan!$B$8:$B$27,R$4)="",0,COUNTIF(Data!$B745:$U745,INDEX(Pengaturan!$B$8:$B$27,R$4)))</f>
        <v>0</v>
      </c>
      <c r="S745" s="26" t="n">
        <f aca="false">IF(INDEX(Pengaturan!$B$8:$B$27,S$4)="",0,COUNTIF(Data!$B745:$U745,INDEX(Pengaturan!$B$8:$B$27,S$4)))</f>
        <v>0</v>
      </c>
      <c r="T745" s="26" t="n">
        <f aca="false">IF(INDEX(Pengaturan!$B$8:$B$27,T$4)="",0,COUNTIF(Data!$B745:$U745,INDEX(Pengaturan!$B$8:$B$27,T$4)))</f>
        <v>0</v>
      </c>
      <c r="U745" s="26" t="n">
        <f aca="false">IF(INDEX(Pengaturan!$B$8:$B$27,U$4)="",0,COUNTIF(Data!$B745:$U745,INDEX(Pengaturan!$B$8:$B$27,U$4)))</f>
        <v>0</v>
      </c>
      <c r="V745" s="26" t="n">
        <f aca="false">COUNTA(Data!$B745:$U745)</f>
        <v>0</v>
      </c>
      <c r="W745" s="27" t="str">
        <f aca="false">IF(V745=0,"",IF(V745&lt;&gt;Hasil!$C$4,"Data kosong/tidak lengkap",IF(SUM(B745:U745)&lt;&gt;V745,"Kategori tidak dikenal","OK")))</f>
        <v/>
      </c>
      <c r="X745" s="26" t="n">
        <f aca="false">IF(OR(W745="",W745="OK"),0,1)</f>
        <v>0</v>
      </c>
    </row>
    <row r="746" customFormat="false" ht="15" hidden="false" customHeight="false" outlineLevel="0" collapsed="false">
      <c r="A746" s="26" t="n">
        <f aca="false">Data!A746</f>
        <v>741</v>
      </c>
      <c r="B746" s="26" t="n">
        <f aca="false">IF(INDEX(Pengaturan!$B$8:$B$27,B$4)="",0,COUNTIF(Data!$B746:$U746,INDEX(Pengaturan!$B$8:$B$27,B$4)))</f>
        <v>0</v>
      </c>
      <c r="C746" s="26" t="n">
        <f aca="false">IF(INDEX(Pengaturan!$B$8:$B$27,C$4)="",0,COUNTIF(Data!$B746:$U746,INDEX(Pengaturan!$B$8:$B$27,C$4)))</f>
        <v>0</v>
      </c>
      <c r="D746" s="26" t="n">
        <f aca="false">IF(INDEX(Pengaturan!$B$8:$B$27,D$4)="",0,COUNTIF(Data!$B746:$U746,INDEX(Pengaturan!$B$8:$B$27,D$4)))</f>
        <v>0</v>
      </c>
      <c r="E746" s="26" t="n">
        <f aca="false">IF(INDEX(Pengaturan!$B$8:$B$27,E$4)="",0,COUNTIF(Data!$B746:$U746,INDEX(Pengaturan!$B$8:$B$27,E$4)))</f>
        <v>0</v>
      </c>
      <c r="F746" s="26" t="n">
        <f aca="false">IF(INDEX(Pengaturan!$B$8:$B$27,F$4)="",0,COUNTIF(Data!$B746:$U746,INDEX(Pengaturan!$B$8:$B$27,F$4)))</f>
        <v>0</v>
      </c>
      <c r="G746" s="26" t="n">
        <f aca="false">IF(INDEX(Pengaturan!$B$8:$B$27,G$4)="",0,COUNTIF(Data!$B746:$U746,INDEX(Pengaturan!$B$8:$B$27,G$4)))</f>
        <v>0</v>
      </c>
      <c r="H746" s="26" t="n">
        <f aca="false">IF(INDEX(Pengaturan!$B$8:$B$27,H$4)="",0,COUNTIF(Data!$B746:$U746,INDEX(Pengaturan!$B$8:$B$27,H$4)))</f>
        <v>0</v>
      </c>
      <c r="I746" s="26" t="n">
        <f aca="false">IF(INDEX(Pengaturan!$B$8:$B$27,I$4)="",0,COUNTIF(Data!$B746:$U746,INDEX(Pengaturan!$B$8:$B$27,I$4)))</f>
        <v>0</v>
      </c>
      <c r="J746" s="26" t="n">
        <f aca="false">IF(INDEX(Pengaturan!$B$8:$B$27,J$4)="",0,COUNTIF(Data!$B746:$U746,INDEX(Pengaturan!$B$8:$B$27,J$4)))</f>
        <v>0</v>
      </c>
      <c r="K746" s="26" t="n">
        <f aca="false">IF(INDEX(Pengaturan!$B$8:$B$27,K$4)="",0,COUNTIF(Data!$B746:$U746,INDEX(Pengaturan!$B$8:$B$27,K$4)))</f>
        <v>0</v>
      </c>
      <c r="L746" s="26" t="n">
        <f aca="false">IF(INDEX(Pengaturan!$B$8:$B$27,L$4)="",0,COUNTIF(Data!$B746:$U746,INDEX(Pengaturan!$B$8:$B$27,L$4)))</f>
        <v>0</v>
      </c>
      <c r="M746" s="26" t="n">
        <f aca="false">IF(INDEX(Pengaturan!$B$8:$B$27,M$4)="",0,COUNTIF(Data!$B746:$U746,INDEX(Pengaturan!$B$8:$B$27,M$4)))</f>
        <v>0</v>
      </c>
      <c r="N746" s="26" t="n">
        <f aca="false">IF(INDEX(Pengaturan!$B$8:$B$27,N$4)="",0,COUNTIF(Data!$B746:$U746,INDEX(Pengaturan!$B$8:$B$27,N$4)))</f>
        <v>0</v>
      </c>
      <c r="O746" s="26" t="n">
        <f aca="false">IF(INDEX(Pengaturan!$B$8:$B$27,O$4)="",0,COUNTIF(Data!$B746:$U746,INDEX(Pengaturan!$B$8:$B$27,O$4)))</f>
        <v>0</v>
      </c>
      <c r="P746" s="26" t="n">
        <f aca="false">IF(INDEX(Pengaturan!$B$8:$B$27,P$4)="",0,COUNTIF(Data!$B746:$U746,INDEX(Pengaturan!$B$8:$B$27,P$4)))</f>
        <v>0</v>
      </c>
      <c r="Q746" s="26" t="n">
        <f aca="false">IF(INDEX(Pengaturan!$B$8:$B$27,Q$4)="",0,COUNTIF(Data!$B746:$U746,INDEX(Pengaturan!$B$8:$B$27,Q$4)))</f>
        <v>0</v>
      </c>
      <c r="R746" s="26" t="n">
        <f aca="false">IF(INDEX(Pengaturan!$B$8:$B$27,R$4)="",0,COUNTIF(Data!$B746:$U746,INDEX(Pengaturan!$B$8:$B$27,R$4)))</f>
        <v>0</v>
      </c>
      <c r="S746" s="26" t="n">
        <f aca="false">IF(INDEX(Pengaturan!$B$8:$B$27,S$4)="",0,COUNTIF(Data!$B746:$U746,INDEX(Pengaturan!$B$8:$B$27,S$4)))</f>
        <v>0</v>
      </c>
      <c r="T746" s="26" t="n">
        <f aca="false">IF(INDEX(Pengaturan!$B$8:$B$27,T$4)="",0,COUNTIF(Data!$B746:$U746,INDEX(Pengaturan!$B$8:$B$27,T$4)))</f>
        <v>0</v>
      </c>
      <c r="U746" s="26" t="n">
        <f aca="false">IF(INDEX(Pengaturan!$B$8:$B$27,U$4)="",0,COUNTIF(Data!$B746:$U746,INDEX(Pengaturan!$B$8:$B$27,U$4)))</f>
        <v>0</v>
      </c>
      <c r="V746" s="26" t="n">
        <f aca="false">COUNTA(Data!$B746:$U746)</f>
        <v>0</v>
      </c>
      <c r="W746" s="27" t="str">
        <f aca="false">IF(V746=0,"",IF(V746&lt;&gt;Hasil!$C$4,"Data kosong/tidak lengkap",IF(SUM(B746:U746)&lt;&gt;V746,"Kategori tidak dikenal","OK")))</f>
        <v/>
      </c>
      <c r="X746" s="26" t="n">
        <f aca="false">IF(OR(W746="",W746="OK"),0,1)</f>
        <v>0</v>
      </c>
    </row>
    <row r="747" customFormat="false" ht="15" hidden="false" customHeight="false" outlineLevel="0" collapsed="false">
      <c r="A747" s="26" t="n">
        <f aca="false">Data!A747</f>
        <v>742</v>
      </c>
      <c r="B747" s="26" t="n">
        <f aca="false">IF(INDEX(Pengaturan!$B$8:$B$27,B$4)="",0,COUNTIF(Data!$B747:$U747,INDEX(Pengaturan!$B$8:$B$27,B$4)))</f>
        <v>0</v>
      </c>
      <c r="C747" s="26" t="n">
        <f aca="false">IF(INDEX(Pengaturan!$B$8:$B$27,C$4)="",0,COUNTIF(Data!$B747:$U747,INDEX(Pengaturan!$B$8:$B$27,C$4)))</f>
        <v>0</v>
      </c>
      <c r="D747" s="26" t="n">
        <f aca="false">IF(INDEX(Pengaturan!$B$8:$B$27,D$4)="",0,COUNTIF(Data!$B747:$U747,INDEX(Pengaturan!$B$8:$B$27,D$4)))</f>
        <v>0</v>
      </c>
      <c r="E747" s="26" t="n">
        <f aca="false">IF(INDEX(Pengaturan!$B$8:$B$27,E$4)="",0,COUNTIF(Data!$B747:$U747,INDEX(Pengaturan!$B$8:$B$27,E$4)))</f>
        <v>0</v>
      </c>
      <c r="F747" s="26" t="n">
        <f aca="false">IF(INDEX(Pengaturan!$B$8:$B$27,F$4)="",0,COUNTIF(Data!$B747:$U747,INDEX(Pengaturan!$B$8:$B$27,F$4)))</f>
        <v>0</v>
      </c>
      <c r="G747" s="26" t="n">
        <f aca="false">IF(INDEX(Pengaturan!$B$8:$B$27,G$4)="",0,COUNTIF(Data!$B747:$U747,INDEX(Pengaturan!$B$8:$B$27,G$4)))</f>
        <v>0</v>
      </c>
      <c r="H747" s="26" t="n">
        <f aca="false">IF(INDEX(Pengaturan!$B$8:$B$27,H$4)="",0,COUNTIF(Data!$B747:$U747,INDEX(Pengaturan!$B$8:$B$27,H$4)))</f>
        <v>0</v>
      </c>
      <c r="I747" s="26" t="n">
        <f aca="false">IF(INDEX(Pengaturan!$B$8:$B$27,I$4)="",0,COUNTIF(Data!$B747:$U747,INDEX(Pengaturan!$B$8:$B$27,I$4)))</f>
        <v>0</v>
      </c>
      <c r="J747" s="26" t="n">
        <f aca="false">IF(INDEX(Pengaturan!$B$8:$B$27,J$4)="",0,COUNTIF(Data!$B747:$U747,INDEX(Pengaturan!$B$8:$B$27,J$4)))</f>
        <v>0</v>
      </c>
      <c r="K747" s="26" t="n">
        <f aca="false">IF(INDEX(Pengaturan!$B$8:$B$27,K$4)="",0,COUNTIF(Data!$B747:$U747,INDEX(Pengaturan!$B$8:$B$27,K$4)))</f>
        <v>0</v>
      </c>
      <c r="L747" s="26" t="n">
        <f aca="false">IF(INDEX(Pengaturan!$B$8:$B$27,L$4)="",0,COUNTIF(Data!$B747:$U747,INDEX(Pengaturan!$B$8:$B$27,L$4)))</f>
        <v>0</v>
      </c>
      <c r="M747" s="26" t="n">
        <f aca="false">IF(INDEX(Pengaturan!$B$8:$B$27,M$4)="",0,COUNTIF(Data!$B747:$U747,INDEX(Pengaturan!$B$8:$B$27,M$4)))</f>
        <v>0</v>
      </c>
      <c r="N747" s="26" t="n">
        <f aca="false">IF(INDEX(Pengaturan!$B$8:$B$27,N$4)="",0,COUNTIF(Data!$B747:$U747,INDEX(Pengaturan!$B$8:$B$27,N$4)))</f>
        <v>0</v>
      </c>
      <c r="O747" s="26" t="n">
        <f aca="false">IF(INDEX(Pengaturan!$B$8:$B$27,O$4)="",0,COUNTIF(Data!$B747:$U747,INDEX(Pengaturan!$B$8:$B$27,O$4)))</f>
        <v>0</v>
      </c>
      <c r="P747" s="26" t="n">
        <f aca="false">IF(INDEX(Pengaturan!$B$8:$B$27,P$4)="",0,COUNTIF(Data!$B747:$U747,INDEX(Pengaturan!$B$8:$B$27,P$4)))</f>
        <v>0</v>
      </c>
      <c r="Q747" s="26" t="n">
        <f aca="false">IF(INDEX(Pengaturan!$B$8:$B$27,Q$4)="",0,COUNTIF(Data!$B747:$U747,INDEX(Pengaturan!$B$8:$B$27,Q$4)))</f>
        <v>0</v>
      </c>
      <c r="R747" s="26" t="n">
        <f aca="false">IF(INDEX(Pengaturan!$B$8:$B$27,R$4)="",0,COUNTIF(Data!$B747:$U747,INDEX(Pengaturan!$B$8:$B$27,R$4)))</f>
        <v>0</v>
      </c>
      <c r="S747" s="26" t="n">
        <f aca="false">IF(INDEX(Pengaturan!$B$8:$B$27,S$4)="",0,COUNTIF(Data!$B747:$U747,INDEX(Pengaturan!$B$8:$B$27,S$4)))</f>
        <v>0</v>
      </c>
      <c r="T747" s="26" t="n">
        <f aca="false">IF(INDEX(Pengaturan!$B$8:$B$27,T$4)="",0,COUNTIF(Data!$B747:$U747,INDEX(Pengaturan!$B$8:$B$27,T$4)))</f>
        <v>0</v>
      </c>
      <c r="U747" s="26" t="n">
        <f aca="false">IF(INDEX(Pengaturan!$B$8:$B$27,U$4)="",0,COUNTIF(Data!$B747:$U747,INDEX(Pengaturan!$B$8:$B$27,U$4)))</f>
        <v>0</v>
      </c>
      <c r="V747" s="26" t="n">
        <f aca="false">COUNTA(Data!$B747:$U747)</f>
        <v>0</v>
      </c>
      <c r="W747" s="27" t="str">
        <f aca="false">IF(V747=0,"",IF(V747&lt;&gt;Hasil!$C$4,"Data kosong/tidak lengkap",IF(SUM(B747:U747)&lt;&gt;V747,"Kategori tidak dikenal","OK")))</f>
        <v/>
      </c>
      <c r="X747" s="26" t="n">
        <f aca="false">IF(OR(W747="",W747="OK"),0,1)</f>
        <v>0</v>
      </c>
    </row>
    <row r="748" customFormat="false" ht="15" hidden="false" customHeight="false" outlineLevel="0" collapsed="false">
      <c r="A748" s="26" t="n">
        <f aca="false">Data!A748</f>
        <v>743</v>
      </c>
      <c r="B748" s="26" t="n">
        <f aca="false">IF(INDEX(Pengaturan!$B$8:$B$27,B$4)="",0,COUNTIF(Data!$B748:$U748,INDEX(Pengaturan!$B$8:$B$27,B$4)))</f>
        <v>0</v>
      </c>
      <c r="C748" s="26" t="n">
        <f aca="false">IF(INDEX(Pengaturan!$B$8:$B$27,C$4)="",0,COUNTIF(Data!$B748:$U748,INDEX(Pengaturan!$B$8:$B$27,C$4)))</f>
        <v>0</v>
      </c>
      <c r="D748" s="26" t="n">
        <f aca="false">IF(INDEX(Pengaturan!$B$8:$B$27,D$4)="",0,COUNTIF(Data!$B748:$U748,INDEX(Pengaturan!$B$8:$B$27,D$4)))</f>
        <v>0</v>
      </c>
      <c r="E748" s="26" t="n">
        <f aca="false">IF(INDEX(Pengaturan!$B$8:$B$27,E$4)="",0,COUNTIF(Data!$B748:$U748,INDEX(Pengaturan!$B$8:$B$27,E$4)))</f>
        <v>0</v>
      </c>
      <c r="F748" s="26" t="n">
        <f aca="false">IF(INDEX(Pengaturan!$B$8:$B$27,F$4)="",0,COUNTIF(Data!$B748:$U748,INDEX(Pengaturan!$B$8:$B$27,F$4)))</f>
        <v>0</v>
      </c>
      <c r="G748" s="26" t="n">
        <f aca="false">IF(INDEX(Pengaturan!$B$8:$B$27,G$4)="",0,COUNTIF(Data!$B748:$U748,INDEX(Pengaturan!$B$8:$B$27,G$4)))</f>
        <v>0</v>
      </c>
      <c r="H748" s="26" t="n">
        <f aca="false">IF(INDEX(Pengaturan!$B$8:$B$27,H$4)="",0,COUNTIF(Data!$B748:$U748,INDEX(Pengaturan!$B$8:$B$27,H$4)))</f>
        <v>0</v>
      </c>
      <c r="I748" s="26" t="n">
        <f aca="false">IF(INDEX(Pengaturan!$B$8:$B$27,I$4)="",0,COUNTIF(Data!$B748:$U748,INDEX(Pengaturan!$B$8:$B$27,I$4)))</f>
        <v>0</v>
      </c>
      <c r="J748" s="26" t="n">
        <f aca="false">IF(INDEX(Pengaturan!$B$8:$B$27,J$4)="",0,COUNTIF(Data!$B748:$U748,INDEX(Pengaturan!$B$8:$B$27,J$4)))</f>
        <v>0</v>
      </c>
      <c r="K748" s="26" t="n">
        <f aca="false">IF(INDEX(Pengaturan!$B$8:$B$27,K$4)="",0,COUNTIF(Data!$B748:$U748,INDEX(Pengaturan!$B$8:$B$27,K$4)))</f>
        <v>0</v>
      </c>
      <c r="L748" s="26" t="n">
        <f aca="false">IF(INDEX(Pengaturan!$B$8:$B$27,L$4)="",0,COUNTIF(Data!$B748:$U748,INDEX(Pengaturan!$B$8:$B$27,L$4)))</f>
        <v>0</v>
      </c>
      <c r="M748" s="26" t="n">
        <f aca="false">IF(INDEX(Pengaturan!$B$8:$B$27,M$4)="",0,COUNTIF(Data!$B748:$U748,INDEX(Pengaturan!$B$8:$B$27,M$4)))</f>
        <v>0</v>
      </c>
      <c r="N748" s="26" t="n">
        <f aca="false">IF(INDEX(Pengaturan!$B$8:$B$27,N$4)="",0,COUNTIF(Data!$B748:$U748,INDEX(Pengaturan!$B$8:$B$27,N$4)))</f>
        <v>0</v>
      </c>
      <c r="O748" s="26" t="n">
        <f aca="false">IF(INDEX(Pengaturan!$B$8:$B$27,O$4)="",0,COUNTIF(Data!$B748:$U748,INDEX(Pengaturan!$B$8:$B$27,O$4)))</f>
        <v>0</v>
      </c>
      <c r="P748" s="26" t="n">
        <f aca="false">IF(INDEX(Pengaturan!$B$8:$B$27,P$4)="",0,COUNTIF(Data!$B748:$U748,INDEX(Pengaturan!$B$8:$B$27,P$4)))</f>
        <v>0</v>
      </c>
      <c r="Q748" s="26" t="n">
        <f aca="false">IF(INDEX(Pengaturan!$B$8:$B$27,Q$4)="",0,COUNTIF(Data!$B748:$U748,INDEX(Pengaturan!$B$8:$B$27,Q$4)))</f>
        <v>0</v>
      </c>
      <c r="R748" s="26" t="n">
        <f aca="false">IF(INDEX(Pengaturan!$B$8:$B$27,R$4)="",0,COUNTIF(Data!$B748:$U748,INDEX(Pengaturan!$B$8:$B$27,R$4)))</f>
        <v>0</v>
      </c>
      <c r="S748" s="26" t="n">
        <f aca="false">IF(INDEX(Pengaturan!$B$8:$B$27,S$4)="",0,COUNTIF(Data!$B748:$U748,INDEX(Pengaturan!$B$8:$B$27,S$4)))</f>
        <v>0</v>
      </c>
      <c r="T748" s="26" t="n">
        <f aca="false">IF(INDEX(Pengaturan!$B$8:$B$27,T$4)="",0,COUNTIF(Data!$B748:$U748,INDEX(Pengaturan!$B$8:$B$27,T$4)))</f>
        <v>0</v>
      </c>
      <c r="U748" s="26" t="n">
        <f aca="false">IF(INDEX(Pengaturan!$B$8:$B$27,U$4)="",0,COUNTIF(Data!$B748:$U748,INDEX(Pengaturan!$B$8:$B$27,U$4)))</f>
        <v>0</v>
      </c>
      <c r="V748" s="26" t="n">
        <f aca="false">COUNTA(Data!$B748:$U748)</f>
        <v>0</v>
      </c>
      <c r="W748" s="27" t="str">
        <f aca="false">IF(V748=0,"",IF(V748&lt;&gt;Hasil!$C$4,"Data kosong/tidak lengkap",IF(SUM(B748:U748)&lt;&gt;V748,"Kategori tidak dikenal","OK")))</f>
        <v/>
      </c>
      <c r="X748" s="26" t="n">
        <f aca="false">IF(OR(W748="",W748="OK"),0,1)</f>
        <v>0</v>
      </c>
    </row>
    <row r="749" customFormat="false" ht="15" hidden="false" customHeight="false" outlineLevel="0" collapsed="false">
      <c r="A749" s="26" t="n">
        <f aca="false">Data!A749</f>
        <v>744</v>
      </c>
      <c r="B749" s="26" t="n">
        <f aca="false">IF(INDEX(Pengaturan!$B$8:$B$27,B$4)="",0,COUNTIF(Data!$B749:$U749,INDEX(Pengaturan!$B$8:$B$27,B$4)))</f>
        <v>0</v>
      </c>
      <c r="C749" s="26" t="n">
        <f aca="false">IF(INDEX(Pengaturan!$B$8:$B$27,C$4)="",0,COUNTIF(Data!$B749:$U749,INDEX(Pengaturan!$B$8:$B$27,C$4)))</f>
        <v>0</v>
      </c>
      <c r="D749" s="26" t="n">
        <f aca="false">IF(INDEX(Pengaturan!$B$8:$B$27,D$4)="",0,COUNTIF(Data!$B749:$U749,INDEX(Pengaturan!$B$8:$B$27,D$4)))</f>
        <v>0</v>
      </c>
      <c r="E749" s="26" t="n">
        <f aca="false">IF(INDEX(Pengaturan!$B$8:$B$27,E$4)="",0,COUNTIF(Data!$B749:$U749,INDEX(Pengaturan!$B$8:$B$27,E$4)))</f>
        <v>0</v>
      </c>
      <c r="F749" s="26" t="n">
        <f aca="false">IF(INDEX(Pengaturan!$B$8:$B$27,F$4)="",0,COUNTIF(Data!$B749:$U749,INDEX(Pengaturan!$B$8:$B$27,F$4)))</f>
        <v>0</v>
      </c>
      <c r="G749" s="26" t="n">
        <f aca="false">IF(INDEX(Pengaturan!$B$8:$B$27,G$4)="",0,COUNTIF(Data!$B749:$U749,INDEX(Pengaturan!$B$8:$B$27,G$4)))</f>
        <v>0</v>
      </c>
      <c r="H749" s="26" t="n">
        <f aca="false">IF(INDEX(Pengaturan!$B$8:$B$27,H$4)="",0,COUNTIF(Data!$B749:$U749,INDEX(Pengaturan!$B$8:$B$27,H$4)))</f>
        <v>0</v>
      </c>
      <c r="I749" s="26" t="n">
        <f aca="false">IF(INDEX(Pengaturan!$B$8:$B$27,I$4)="",0,COUNTIF(Data!$B749:$U749,INDEX(Pengaturan!$B$8:$B$27,I$4)))</f>
        <v>0</v>
      </c>
      <c r="J749" s="26" t="n">
        <f aca="false">IF(INDEX(Pengaturan!$B$8:$B$27,J$4)="",0,COUNTIF(Data!$B749:$U749,INDEX(Pengaturan!$B$8:$B$27,J$4)))</f>
        <v>0</v>
      </c>
      <c r="K749" s="26" t="n">
        <f aca="false">IF(INDEX(Pengaturan!$B$8:$B$27,K$4)="",0,COUNTIF(Data!$B749:$U749,INDEX(Pengaturan!$B$8:$B$27,K$4)))</f>
        <v>0</v>
      </c>
      <c r="L749" s="26" t="n">
        <f aca="false">IF(INDEX(Pengaturan!$B$8:$B$27,L$4)="",0,COUNTIF(Data!$B749:$U749,INDEX(Pengaturan!$B$8:$B$27,L$4)))</f>
        <v>0</v>
      </c>
      <c r="M749" s="26" t="n">
        <f aca="false">IF(INDEX(Pengaturan!$B$8:$B$27,M$4)="",0,COUNTIF(Data!$B749:$U749,INDEX(Pengaturan!$B$8:$B$27,M$4)))</f>
        <v>0</v>
      </c>
      <c r="N749" s="26" t="n">
        <f aca="false">IF(INDEX(Pengaturan!$B$8:$B$27,N$4)="",0,COUNTIF(Data!$B749:$U749,INDEX(Pengaturan!$B$8:$B$27,N$4)))</f>
        <v>0</v>
      </c>
      <c r="O749" s="26" t="n">
        <f aca="false">IF(INDEX(Pengaturan!$B$8:$B$27,O$4)="",0,COUNTIF(Data!$B749:$U749,INDEX(Pengaturan!$B$8:$B$27,O$4)))</f>
        <v>0</v>
      </c>
      <c r="P749" s="26" t="n">
        <f aca="false">IF(INDEX(Pengaturan!$B$8:$B$27,P$4)="",0,COUNTIF(Data!$B749:$U749,INDEX(Pengaturan!$B$8:$B$27,P$4)))</f>
        <v>0</v>
      </c>
      <c r="Q749" s="26" t="n">
        <f aca="false">IF(INDEX(Pengaturan!$B$8:$B$27,Q$4)="",0,COUNTIF(Data!$B749:$U749,INDEX(Pengaturan!$B$8:$B$27,Q$4)))</f>
        <v>0</v>
      </c>
      <c r="R749" s="26" t="n">
        <f aca="false">IF(INDEX(Pengaturan!$B$8:$B$27,R$4)="",0,COUNTIF(Data!$B749:$U749,INDEX(Pengaturan!$B$8:$B$27,R$4)))</f>
        <v>0</v>
      </c>
      <c r="S749" s="26" t="n">
        <f aca="false">IF(INDEX(Pengaturan!$B$8:$B$27,S$4)="",0,COUNTIF(Data!$B749:$U749,INDEX(Pengaturan!$B$8:$B$27,S$4)))</f>
        <v>0</v>
      </c>
      <c r="T749" s="26" t="n">
        <f aca="false">IF(INDEX(Pengaturan!$B$8:$B$27,T$4)="",0,COUNTIF(Data!$B749:$U749,INDEX(Pengaturan!$B$8:$B$27,T$4)))</f>
        <v>0</v>
      </c>
      <c r="U749" s="26" t="n">
        <f aca="false">IF(INDEX(Pengaturan!$B$8:$B$27,U$4)="",0,COUNTIF(Data!$B749:$U749,INDEX(Pengaturan!$B$8:$B$27,U$4)))</f>
        <v>0</v>
      </c>
      <c r="V749" s="26" t="n">
        <f aca="false">COUNTA(Data!$B749:$U749)</f>
        <v>0</v>
      </c>
      <c r="W749" s="27" t="str">
        <f aca="false">IF(V749=0,"",IF(V749&lt;&gt;Hasil!$C$4,"Data kosong/tidak lengkap",IF(SUM(B749:U749)&lt;&gt;V749,"Kategori tidak dikenal","OK")))</f>
        <v/>
      </c>
      <c r="X749" s="26" t="n">
        <f aca="false">IF(OR(W749="",W749="OK"),0,1)</f>
        <v>0</v>
      </c>
    </row>
    <row r="750" customFormat="false" ht="15" hidden="false" customHeight="false" outlineLevel="0" collapsed="false">
      <c r="A750" s="26" t="n">
        <f aca="false">Data!A750</f>
        <v>745</v>
      </c>
      <c r="B750" s="26" t="n">
        <f aca="false">IF(INDEX(Pengaturan!$B$8:$B$27,B$4)="",0,COUNTIF(Data!$B750:$U750,INDEX(Pengaturan!$B$8:$B$27,B$4)))</f>
        <v>0</v>
      </c>
      <c r="C750" s="26" t="n">
        <f aca="false">IF(INDEX(Pengaturan!$B$8:$B$27,C$4)="",0,COUNTIF(Data!$B750:$U750,INDEX(Pengaturan!$B$8:$B$27,C$4)))</f>
        <v>0</v>
      </c>
      <c r="D750" s="26" t="n">
        <f aca="false">IF(INDEX(Pengaturan!$B$8:$B$27,D$4)="",0,COUNTIF(Data!$B750:$U750,INDEX(Pengaturan!$B$8:$B$27,D$4)))</f>
        <v>0</v>
      </c>
      <c r="E750" s="26" t="n">
        <f aca="false">IF(INDEX(Pengaturan!$B$8:$B$27,E$4)="",0,COUNTIF(Data!$B750:$U750,INDEX(Pengaturan!$B$8:$B$27,E$4)))</f>
        <v>0</v>
      </c>
      <c r="F750" s="26" t="n">
        <f aca="false">IF(INDEX(Pengaturan!$B$8:$B$27,F$4)="",0,COUNTIF(Data!$B750:$U750,INDEX(Pengaturan!$B$8:$B$27,F$4)))</f>
        <v>0</v>
      </c>
      <c r="G750" s="26" t="n">
        <f aca="false">IF(INDEX(Pengaturan!$B$8:$B$27,G$4)="",0,COUNTIF(Data!$B750:$U750,INDEX(Pengaturan!$B$8:$B$27,G$4)))</f>
        <v>0</v>
      </c>
      <c r="H750" s="26" t="n">
        <f aca="false">IF(INDEX(Pengaturan!$B$8:$B$27,H$4)="",0,COUNTIF(Data!$B750:$U750,INDEX(Pengaturan!$B$8:$B$27,H$4)))</f>
        <v>0</v>
      </c>
      <c r="I750" s="26" t="n">
        <f aca="false">IF(INDEX(Pengaturan!$B$8:$B$27,I$4)="",0,COUNTIF(Data!$B750:$U750,INDEX(Pengaturan!$B$8:$B$27,I$4)))</f>
        <v>0</v>
      </c>
      <c r="J750" s="26" t="n">
        <f aca="false">IF(INDEX(Pengaturan!$B$8:$B$27,J$4)="",0,COUNTIF(Data!$B750:$U750,INDEX(Pengaturan!$B$8:$B$27,J$4)))</f>
        <v>0</v>
      </c>
      <c r="K750" s="26" t="n">
        <f aca="false">IF(INDEX(Pengaturan!$B$8:$B$27,K$4)="",0,COUNTIF(Data!$B750:$U750,INDEX(Pengaturan!$B$8:$B$27,K$4)))</f>
        <v>0</v>
      </c>
      <c r="L750" s="26" t="n">
        <f aca="false">IF(INDEX(Pengaturan!$B$8:$B$27,L$4)="",0,COUNTIF(Data!$B750:$U750,INDEX(Pengaturan!$B$8:$B$27,L$4)))</f>
        <v>0</v>
      </c>
      <c r="M750" s="26" t="n">
        <f aca="false">IF(INDEX(Pengaturan!$B$8:$B$27,M$4)="",0,COUNTIF(Data!$B750:$U750,INDEX(Pengaturan!$B$8:$B$27,M$4)))</f>
        <v>0</v>
      </c>
      <c r="N750" s="26" t="n">
        <f aca="false">IF(INDEX(Pengaturan!$B$8:$B$27,N$4)="",0,COUNTIF(Data!$B750:$U750,INDEX(Pengaturan!$B$8:$B$27,N$4)))</f>
        <v>0</v>
      </c>
      <c r="O750" s="26" t="n">
        <f aca="false">IF(INDEX(Pengaturan!$B$8:$B$27,O$4)="",0,COUNTIF(Data!$B750:$U750,INDEX(Pengaturan!$B$8:$B$27,O$4)))</f>
        <v>0</v>
      </c>
      <c r="P750" s="26" t="n">
        <f aca="false">IF(INDEX(Pengaturan!$B$8:$B$27,P$4)="",0,COUNTIF(Data!$B750:$U750,INDEX(Pengaturan!$B$8:$B$27,P$4)))</f>
        <v>0</v>
      </c>
      <c r="Q750" s="26" t="n">
        <f aca="false">IF(INDEX(Pengaturan!$B$8:$B$27,Q$4)="",0,COUNTIF(Data!$B750:$U750,INDEX(Pengaturan!$B$8:$B$27,Q$4)))</f>
        <v>0</v>
      </c>
      <c r="R750" s="26" t="n">
        <f aca="false">IF(INDEX(Pengaturan!$B$8:$B$27,R$4)="",0,COUNTIF(Data!$B750:$U750,INDEX(Pengaturan!$B$8:$B$27,R$4)))</f>
        <v>0</v>
      </c>
      <c r="S750" s="26" t="n">
        <f aca="false">IF(INDEX(Pengaturan!$B$8:$B$27,S$4)="",0,COUNTIF(Data!$B750:$U750,INDEX(Pengaturan!$B$8:$B$27,S$4)))</f>
        <v>0</v>
      </c>
      <c r="T750" s="26" t="n">
        <f aca="false">IF(INDEX(Pengaturan!$B$8:$B$27,T$4)="",0,COUNTIF(Data!$B750:$U750,INDEX(Pengaturan!$B$8:$B$27,T$4)))</f>
        <v>0</v>
      </c>
      <c r="U750" s="26" t="n">
        <f aca="false">IF(INDEX(Pengaturan!$B$8:$B$27,U$4)="",0,COUNTIF(Data!$B750:$U750,INDEX(Pengaturan!$B$8:$B$27,U$4)))</f>
        <v>0</v>
      </c>
      <c r="V750" s="26" t="n">
        <f aca="false">COUNTA(Data!$B750:$U750)</f>
        <v>0</v>
      </c>
      <c r="W750" s="27" t="str">
        <f aca="false">IF(V750=0,"",IF(V750&lt;&gt;Hasil!$C$4,"Data kosong/tidak lengkap",IF(SUM(B750:U750)&lt;&gt;V750,"Kategori tidak dikenal","OK")))</f>
        <v/>
      </c>
      <c r="X750" s="26" t="n">
        <f aca="false">IF(OR(W750="",W750="OK"),0,1)</f>
        <v>0</v>
      </c>
    </row>
    <row r="751" customFormat="false" ht="15" hidden="false" customHeight="false" outlineLevel="0" collapsed="false">
      <c r="A751" s="26" t="n">
        <f aca="false">Data!A751</f>
        <v>746</v>
      </c>
      <c r="B751" s="26" t="n">
        <f aca="false">IF(INDEX(Pengaturan!$B$8:$B$27,B$4)="",0,COUNTIF(Data!$B751:$U751,INDEX(Pengaturan!$B$8:$B$27,B$4)))</f>
        <v>0</v>
      </c>
      <c r="C751" s="26" t="n">
        <f aca="false">IF(INDEX(Pengaturan!$B$8:$B$27,C$4)="",0,COUNTIF(Data!$B751:$U751,INDEX(Pengaturan!$B$8:$B$27,C$4)))</f>
        <v>0</v>
      </c>
      <c r="D751" s="26" t="n">
        <f aca="false">IF(INDEX(Pengaturan!$B$8:$B$27,D$4)="",0,COUNTIF(Data!$B751:$U751,INDEX(Pengaturan!$B$8:$B$27,D$4)))</f>
        <v>0</v>
      </c>
      <c r="E751" s="26" t="n">
        <f aca="false">IF(INDEX(Pengaturan!$B$8:$B$27,E$4)="",0,COUNTIF(Data!$B751:$U751,INDEX(Pengaturan!$B$8:$B$27,E$4)))</f>
        <v>0</v>
      </c>
      <c r="F751" s="26" t="n">
        <f aca="false">IF(INDEX(Pengaturan!$B$8:$B$27,F$4)="",0,COUNTIF(Data!$B751:$U751,INDEX(Pengaturan!$B$8:$B$27,F$4)))</f>
        <v>0</v>
      </c>
      <c r="G751" s="26" t="n">
        <f aca="false">IF(INDEX(Pengaturan!$B$8:$B$27,G$4)="",0,COUNTIF(Data!$B751:$U751,INDEX(Pengaturan!$B$8:$B$27,G$4)))</f>
        <v>0</v>
      </c>
      <c r="H751" s="26" t="n">
        <f aca="false">IF(INDEX(Pengaturan!$B$8:$B$27,H$4)="",0,COUNTIF(Data!$B751:$U751,INDEX(Pengaturan!$B$8:$B$27,H$4)))</f>
        <v>0</v>
      </c>
      <c r="I751" s="26" t="n">
        <f aca="false">IF(INDEX(Pengaturan!$B$8:$B$27,I$4)="",0,COUNTIF(Data!$B751:$U751,INDEX(Pengaturan!$B$8:$B$27,I$4)))</f>
        <v>0</v>
      </c>
      <c r="J751" s="26" t="n">
        <f aca="false">IF(INDEX(Pengaturan!$B$8:$B$27,J$4)="",0,COUNTIF(Data!$B751:$U751,INDEX(Pengaturan!$B$8:$B$27,J$4)))</f>
        <v>0</v>
      </c>
      <c r="K751" s="26" t="n">
        <f aca="false">IF(INDEX(Pengaturan!$B$8:$B$27,K$4)="",0,COUNTIF(Data!$B751:$U751,INDEX(Pengaturan!$B$8:$B$27,K$4)))</f>
        <v>0</v>
      </c>
      <c r="L751" s="26" t="n">
        <f aca="false">IF(INDEX(Pengaturan!$B$8:$B$27,L$4)="",0,COUNTIF(Data!$B751:$U751,INDEX(Pengaturan!$B$8:$B$27,L$4)))</f>
        <v>0</v>
      </c>
      <c r="M751" s="26" t="n">
        <f aca="false">IF(INDEX(Pengaturan!$B$8:$B$27,M$4)="",0,COUNTIF(Data!$B751:$U751,INDEX(Pengaturan!$B$8:$B$27,M$4)))</f>
        <v>0</v>
      </c>
      <c r="N751" s="26" t="n">
        <f aca="false">IF(INDEX(Pengaturan!$B$8:$B$27,N$4)="",0,COUNTIF(Data!$B751:$U751,INDEX(Pengaturan!$B$8:$B$27,N$4)))</f>
        <v>0</v>
      </c>
      <c r="O751" s="26" t="n">
        <f aca="false">IF(INDEX(Pengaturan!$B$8:$B$27,O$4)="",0,COUNTIF(Data!$B751:$U751,INDEX(Pengaturan!$B$8:$B$27,O$4)))</f>
        <v>0</v>
      </c>
      <c r="P751" s="26" t="n">
        <f aca="false">IF(INDEX(Pengaturan!$B$8:$B$27,P$4)="",0,COUNTIF(Data!$B751:$U751,INDEX(Pengaturan!$B$8:$B$27,P$4)))</f>
        <v>0</v>
      </c>
      <c r="Q751" s="26" t="n">
        <f aca="false">IF(INDEX(Pengaturan!$B$8:$B$27,Q$4)="",0,COUNTIF(Data!$B751:$U751,INDEX(Pengaturan!$B$8:$B$27,Q$4)))</f>
        <v>0</v>
      </c>
      <c r="R751" s="26" t="n">
        <f aca="false">IF(INDEX(Pengaturan!$B$8:$B$27,R$4)="",0,COUNTIF(Data!$B751:$U751,INDEX(Pengaturan!$B$8:$B$27,R$4)))</f>
        <v>0</v>
      </c>
      <c r="S751" s="26" t="n">
        <f aca="false">IF(INDEX(Pengaturan!$B$8:$B$27,S$4)="",0,COUNTIF(Data!$B751:$U751,INDEX(Pengaturan!$B$8:$B$27,S$4)))</f>
        <v>0</v>
      </c>
      <c r="T751" s="26" t="n">
        <f aca="false">IF(INDEX(Pengaturan!$B$8:$B$27,T$4)="",0,COUNTIF(Data!$B751:$U751,INDEX(Pengaturan!$B$8:$B$27,T$4)))</f>
        <v>0</v>
      </c>
      <c r="U751" s="26" t="n">
        <f aca="false">IF(INDEX(Pengaturan!$B$8:$B$27,U$4)="",0,COUNTIF(Data!$B751:$U751,INDEX(Pengaturan!$B$8:$B$27,U$4)))</f>
        <v>0</v>
      </c>
      <c r="V751" s="26" t="n">
        <f aca="false">COUNTA(Data!$B751:$U751)</f>
        <v>0</v>
      </c>
      <c r="W751" s="27" t="str">
        <f aca="false">IF(V751=0,"",IF(V751&lt;&gt;Hasil!$C$4,"Data kosong/tidak lengkap",IF(SUM(B751:U751)&lt;&gt;V751,"Kategori tidak dikenal","OK")))</f>
        <v/>
      </c>
      <c r="X751" s="26" t="n">
        <f aca="false">IF(OR(W751="",W751="OK"),0,1)</f>
        <v>0</v>
      </c>
    </row>
    <row r="752" customFormat="false" ht="15" hidden="false" customHeight="false" outlineLevel="0" collapsed="false">
      <c r="A752" s="26" t="n">
        <f aca="false">Data!A752</f>
        <v>747</v>
      </c>
      <c r="B752" s="26" t="n">
        <f aca="false">IF(INDEX(Pengaturan!$B$8:$B$27,B$4)="",0,COUNTIF(Data!$B752:$U752,INDEX(Pengaturan!$B$8:$B$27,B$4)))</f>
        <v>0</v>
      </c>
      <c r="C752" s="26" t="n">
        <f aca="false">IF(INDEX(Pengaturan!$B$8:$B$27,C$4)="",0,COUNTIF(Data!$B752:$U752,INDEX(Pengaturan!$B$8:$B$27,C$4)))</f>
        <v>0</v>
      </c>
      <c r="D752" s="26" t="n">
        <f aca="false">IF(INDEX(Pengaturan!$B$8:$B$27,D$4)="",0,COUNTIF(Data!$B752:$U752,INDEX(Pengaturan!$B$8:$B$27,D$4)))</f>
        <v>0</v>
      </c>
      <c r="E752" s="26" t="n">
        <f aca="false">IF(INDEX(Pengaturan!$B$8:$B$27,E$4)="",0,COUNTIF(Data!$B752:$U752,INDEX(Pengaturan!$B$8:$B$27,E$4)))</f>
        <v>0</v>
      </c>
      <c r="F752" s="26" t="n">
        <f aca="false">IF(INDEX(Pengaturan!$B$8:$B$27,F$4)="",0,COUNTIF(Data!$B752:$U752,INDEX(Pengaturan!$B$8:$B$27,F$4)))</f>
        <v>0</v>
      </c>
      <c r="G752" s="26" t="n">
        <f aca="false">IF(INDEX(Pengaturan!$B$8:$B$27,G$4)="",0,COUNTIF(Data!$B752:$U752,INDEX(Pengaturan!$B$8:$B$27,G$4)))</f>
        <v>0</v>
      </c>
      <c r="H752" s="26" t="n">
        <f aca="false">IF(INDEX(Pengaturan!$B$8:$B$27,H$4)="",0,COUNTIF(Data!$B752:$U752,INDEX(Pengaturan!$B$8:$B$27,H$4)))</f>
        <v>0</v>
      </c>
      <c r="I752" s="26" t="n">
        <f aca="false">IF(INDEX(Pengaturan!$B$8:$B$27,I$4)="",0,COUNTIF(Data!$B752:$U752,INDEX(Pengaturan!$B$8:$B$27,I$4)))</f>
        <v>0</v>
      </c>
      <c r="J752" s="26" t="n">
        <f aca="false">IF(INDEX(Pengaturan!$B$8:$B$27,J$4)="",0,COUNTIF(Data!$B752:$U752,INDEX(Pengaturan!$B$8:$B$27,J$4)))</f>
        <v>0</v>
      </c>
      <c r="K752" s="26" t="n">
        <f aca="false">IF(INDEX(Pengaturan!$B$8:$B$27,K$4)="",0,COUNTIF(Data!$B752:$U752,INDEX(Pengaturan!$B$8:$B$27,K$4)))</f>
        <v>0</v>
      </c>
      <c r="L752" s="26" t="n">
        <f aca="false">IF(INDEX(Pengaturan!$B$8:$B$27,L$4)="",0,COUNTIF(Data!$B752:$U752,INDEX(Pengaturan!$B$8:$B$27,L$4)))</f>
        <v>0</v>
      </c>
      <c r="M752" s="26" t="n">
        <f aca="false">IF(INDEX(Pengaturan!$B$8:$B$27,M$4)="",0,COUNTIF(Data!$B752:$U752,INDEX(Pengaturan!$B$8:$B$27,M$4)))</f>
        <v>0</v>
      </c>
      <c r="N752" s="26" t="n">
        <f aca="false">IF(INDEX(Pengaturan!$B$8:$B$27,N$4)="",0,COUNTIF(Data!$B752:$U752,INDEX(Pengaturan!$B$8:$B$27,N$4)))</f>
        <v>0</v>
      </c>
      <c r="O752" s="26" t="n">
        <f aca="false">IF(INDEX(Pengaturan!$B$8:$B$27,O$4)="",0,COUNTIF(Data!$B752:$U752,INDEX(Pengaturan!$B$8:$B$27,O$4)))</f>
        <v>0</v>
      </c>
      <c r="P752" s="26" t="n">
        <f aca="false">IF(INDEX(Pengaturan!$B$8:$B$27,P$4)="",0,COUNTIF(Data!$B752:$U752,INDEX(Pengaturan!$B$8:$B$27,P$4)))</f>
        <v>0</v>
      </c>
      <c r="Q752" s="26" t="n">
        <f aca="false">IF(INDEX(Pengaturan!$B$8:$B$27,Q$4)="",0,COUNTIF(Data!$B752:$U752,INDEX(Pengaturan!$B$8:$B$27,Q$4)))</f>
        <v>0</v>
      </c>
      <c r="R752" s="26" t="n">
        <f aca="false">IF(INDEX(Pengaturan!$B$8:$B$27,R$4)="",0,COUNTIF(Data!$B752:$U752,INDEX(Pengaturan!$B$8:$B$27,R$4)))</f>
        <v>0</v>
      </c>
      <c r="S752" s="26" t="n">
        <f aca="false">IF(INDEX(Pengaturan!$B$8:$B$27,S$4)="",0,COUNTIF(Data!$B752:$U752,INDEX(Pengaturan!$B$8:$B$27,S$4)))</f>
        <v>0</v>
      </c>
      <c r="T752" s="26" t="n">
        <f aca="false">IF(INDEX(Pengaturan!$B$8:$B$27,T$4)="",0,COUNTIF(Data!$B752:$U752,INDEX(Pengaturan!$B$8:$B$27,T$4)))</f>
        <v>0</v>
      </c>
      <c r="U752" s="26" t="n">
        <f aca="false">IF(INDEX(Pengaturan!$B$8:$B$27,U$4)="",0,COUNTIF(Data!$B752:$U752,INDEX(Pengaturan!$B$8:$B$27,U$4)))</f>
        <v>0</v>
      </c>
      <c r="V752" s="26" t="n">
        <f aca="false">COUNTA(Data!$B752:$U752)</f>
        <v>0</v>
      </c>
      <c r="W752" s="27" t="str">
        <f aca="false">IF(V752=0,"",IF(V752&lt;&gt;Hasil!$C$4,"Data kosong/tidak lengkap",IF(SUM(B752:U752)&lt;&gt;V752,"Kategori tidak dikenal","OK")))</f>
        <v/>
      </c>
      <c r="X752" s="26" t="n">
        <f aca="false">IF(OR(W752="",W752="OK"),0,1)</f>
        <v>0</v>
      </c>
    </row>
    <row r="753" customFormat="false" ht="15" hidden="false" customHeight="false" outlineLevel="0" collapsed="false">
      <c r="A753" s="26" t="n">
        <f aca="false">Data!A753</f>
        <v>748</v>
      </c>
      <c r="B753" s="26" t="n">
        <f aca="false">IF(INDEX(Pengaturan!$B$8:$B$27,B$4)="",0,COUNTIF(Data!$B753:$U753,INDEX(Pengaturan!$B$8:$B$27,B$4)))</f>
        <v>0</v>
      </c>
      <c r="C753" s="26" t="n">
        <f aca="false">IF(INDEX(Pengaturan!$B$8:$B$27,C$4)="",0,COUNTIF(Data!$B753:$U753,INDEX(Pengaturan!$B$8:$B$27,C$4)))</f>
        <v>0</v>
      </c>
      <c r="D753" s="26" t="n">
        <f aca="false">IF(INDEX(Pengaturan!$B$8:$B$27,D$4)="",0,COUNTIF(Data!$B753:$U753,INDEX(Pengaturan!$B$8:$B$27,D$4)))</f>
        <v>0</v>
      </c>
      <c r="E753" s="26" t="n">
        <f aca="false">IF(INDEX(Pengaturan!$B$8:$B$27,E$4)="",0,COUNTIF(Data!$B753:$U753,INDEX(Pengaturan!$B$8:$B$27,E$4)))</f>
        <v>0</v>
      </c>
      <c r="F753" s="26" t="n">
        <f aca="false">IF(INDEX(Pengaturan!$B$8:$B$27,F$4)="",0,COUNTIF(Data!$B753:$U753,INDEX(Pengaturan!$B$8:$B$27,F$4)))</f>
        <v>0</v>
      </c>
      <c r="G753" s="26" t="n">
        <f aca="false">IF(INDEX(Pengaturan!$B$8:$B$27,G$4)="",0,COUNTIF(Data!$B753:$U753,INDEX(Pengaturan!$B$8:$B$27,G$4)))</f>
        <v>0</v>
      </c>
      <c r="H753" s="26" t="n">
        <f aca="false">IF(INDEX(Pengaturan!$B$8:$B$27,H$4)="",0,COUNTIF(Data!$B753:$U753,INDEX(Pengaturan!$B$8:$B$27,H$4)))</f>
        <v>0</v>
      </c>
      <c r="I753" s="26" t="n">
        <f aca="false">IF(INDEX(Pengaturan!$B$8:$B$27,I$4)="",0,COUNTIF(Data!$B753:$U753,INDEX(Pengaturan!$B$8:$B$27,I$4)))</f>
        <v>0</v>
      </c>
      <c r="J753" s="26" t="n">
        <f aca="false">IF(INDEX(Pengaturan!$B$8:$B$27,J$4)="",0,COUNTIF(Data!$B753:$U753,INDEX(Pengaturan!$B$8:$B$27,J$4)))</f>
        <v>0</v>
      </c>
      <c r="K753" s="26" t="n">
        <f aca="false">IF(INDEX(Pengaturan!$B$8:$B$27,K$4)="",0,COUNTIF(Data!$B753:$U753,INDEX(Pengaturan!$B$8:$B$27,K$4)))</f>
        <v>0</v>
      </c>
      <c r="L753" s="26" t="n">
        <f aca="false">IF(INDEX(Pengaturan!$B$8:$B$27,L$4)="",0,COUNTIF(Data!$B753:$U753,INDEX(Pengaturan!$B$8:$B$27,L$4)))</f>
        <v>0</v>
      </c>
      <c r="M753" s="26" t="n">
        <f aca="false">IF(INDEX(Pengaturan!$B$8:$B$27,M$4)="",0,COUNTIF(Data!$B753:$U753,INDEX(Pengaturan!$B$8:$B$27,M$4)))</f>
        <v>0</v>
      </c>
      <c r="N753" s="26" t="n">
        <f aca="false">IF(INDEX(Pengaturan!$B$8:$B$27,N$4)="",0,COUNTIF(Data!$B753:$U753,INDEX(Pengaturan!$B$8:$B$27,N$4)))</f>
        <v>0</v>
      </c>
      <c r="O753" s="26" t="n">
        <f aca="false">IF(INDEX(Pengaturan!$B$8:$B$27,O$4)="",0,COUNTIF(Data!$B753:$U753,INDEX(Pengaturan!$B$8:$B$27,O$4)))</f>
        <v>0</v>
      </c>
      <c r="P753" s="26" t="n">
        <f aca="false">IF(INDEX(Pengaturan!$B$8:$B$27,P$4)="",0,COUNTIF(Data!$B753:$U753,INDEX(Pengaturan!$B$8:$B$27,P$4)))</f>
        <v>0</v>
      </c>
      <c r="Q753" s="26" t="n">
        <f aca="false">IF(INDEX(Pengaturan!$B$8:$B$27,Q$4)="",0,COUNTIF(Data!$B753:$U753,INDEX(Pengaturan!$B$8:$B$27,Q$4)))</f>
        <v>0</v>
      </c>
      <c r="R753" s="26" t="n">
        <f aca="false">IF(INDEX(Pengaturan!$B$8:$B$27,R$4)="",0,COUNTIF(Data!$B753:$U753,INDEX(Pengaturan!$B$8:$B$27,R$4)))</f>
        <v>0</v>
      </c>
      <c r="S753" s="26" t="n">
        <f aca="false">IF(INDEX(Pengaturan!$B$8:$B$27,S$4)="",0,COUNTIF(Data!$B753:$U753,INDEX(Pengaturan!$B$8:$B$27,S$4)))</f>
        <v>0</v>
      </c>
      <c r="T753" s="26" t="n">
        <f aca="false">IF(INDEX(Pengaturan!$B$8:$B$27,T$4)="",0,COUNTIF(Data!$B753:$U753,INDEX(Pengaturan!$B$8:$B$27,T$4)))</f>
        <v>0</v>
      </c>
      <c r="U753" s="26" t="n">
        <f aca="false">IF(INDEX(Pengaturan!$B$8:$B$27,U$4)="",0,COUNTIF(Data!$B753:$U753,INDEX(Pengaturan!$B$8:$B$27,U$4)))</f>
        <v>0</v>
      </c>
      <c r="V753" s="26" t="n">
        <f aca="false">COUNTA(Data!$B753:$U753)</f>
        <v>0</v>
      </c>
      <c r="W753" s="27" t="str">
        <f aca="false">IF(V753=0,"",IF(V753&lt;&gt;Hasil!$C$4,"Data kosong/tidak lengkap",IF(SUM(B753:U753)&lt;&gt;V753,"Kategori tidak dikenal","OK")))</f>
        <v/>
      </c>
      <c r="X753" s="26" t="n">
        <f aca="false">IF(OR(W753="",W753="OK"),0,1)</f>
        <v>0</v>
      </c>
    </row>
    <row r="754" customFormat="false" ht="15" hidden="false" customHeight="false" outlineLevel="0" collapsed="false">
      <c r="A754" s="26" t="n">
        <f aca="false">Data!A754</f>
        <v>749</v>
      </c>
      <c r="B754" s="26" t="n">
        <f aca="false">IF(INDEX(Pengaturan!$B$8:$B$27,B$4)="",0,COUNTIF(Data!$B754:$U754,INDEX(Pengaturan!$B$8:$B$27,B$4)))</f>
        <v>0</v>
      </c>
      <c r="C754" s="26" t="n">
        <f aca="false">IF(INDEX(Pengaturan!$B$8:$B$27,C$4)="",0,COUNTIF(Data!$B754:$U754,INDEX(Pengaturan!$B$8:$B$27,C$4)))</f>
        <v>0</v>
      </c>
      <c r="D754" s="26" t="n">
        <f aca="false">IF(INDEX(Pengaturan!$B$8:$B$27,D$4)="",0,COUNTIF(Data!$B754:$U754,INDEX(Pengaturan!$B$8:$B$27,D$4)))</f>
        <v>0</v>
      </c>
      <c r="E754" s="26" t="n">
        <f aca="false">IF(INDEX(Pengaturan!$B$8:$B$27,E$4)="",0,COUNTIF(Data!$B754:$U754,INDEX(Pengaturan!$B$8:$B$27,E$4)))</f>
        <v>0</v>
      </c>
      <c r="F754" s="26" t="n">
        <f aca="false">IF(INDEX(Pengaturan!$B$8:$B$27,F$4)="",0,COUNTIF(Data!$B754:$U754,INDEX(Pengaturan!$B$8:$B$27,F$4)))</f>
        <v>0</v>
      </c>
      <c r="G754" s="26" t="n">
        <f aca="false">IF(INDEX(Pengaturan!$B$8:$B$27,G$4)="",0,COUNTIF(Data!$B754:$U754,INDEX(Pengaturan!$B$8:$B$27,G$4)))</f>
        <v>0</v>
      </c>
      <c r="H754" s="26" t="n">
        <f aca="false">IF(INDEX(Pengaturan!$B$8:$B$27,H$4)="",0,COUNTIF(Data!$B754:$U754,INDEX(Pengaturan!$B$8:$B$27,H$4)))</f>
        <v>0</v>
      </c>
      <c r="I754" s="26" t="n">
        <f aca="false">IF(INDEX(Pengaturan!$B$8:$B$27,I$4)="",0,COUNTIF(Data!$B754:$U754,INDEX(Pengaturan!$B$8:$B$27,I$4)))</f>
        <v>0</v>
      </c>
      <c r="J754" s="26" t="n">
        <f aca="false">IF(INDEX(Pengaturan!$B$8:$B$27,J$4)="",0,COUNTIF(Data!$B754:$U754,INDEX(Pengaturan!$B$8:$B$27,J$4)))</f>
        <v>0</v>
      </c>
      <c r="K754" s="26" t="n">
        <f aca="false">IF(INDEX(Pengaturan!$B$8:$B$27,K$4)="",0,COUNTIF(Data!$B754:$U754,INDEX(Pengaturan!$B$8:$B$27,K$4)))</f>
        <v>0</v>
      </c>
      <c r="L754" s="26" t="n">
        <f aca="false">IF(INDEX(Pengaturan!$B$8:$B$27,L$4)="",0,COUNTIF(Data!$B754:$U754,INDEX(Pengaturan!$B$8:$B$27,L$4)))</f>
        <v>0</v>
      </c>
      <c r="M754" s="26" t="n">
        <f aca="false">IF(INDEX(Pengaturan!$B$8:$B$27,M$4)="",0,COUNTIF(Data!$B754:$U754,INDEX(Pengaturan!$B$8:$B$27,M$4)))</f>
        <v>0</v>
      </c>
      <c r="N754" s="26" t="n">
        <f aca="false">IF(INDEX(Pengaturan!$B$8:$B$27,N$4)="",0,COUNTIF(Data!$B754:$U754,INDEX(Pengaturan!$B$8:$B$27,N$4)))</f>
        <v>0</v>
      </c>
      <c r="O754" s="26" t="n">
        <f aca="false">IF(INDEX(Pengaturan!$B$8:$B$27,O$4)="",0,COUNTIF(Data!$B754:$U754,INDEX(Pengaturan!$B$8:$B$27,O$4)))</f>
        <v>0</v>
      </c>
      <c r="P754" s="26" t="n">
        <f aca="false">IF(INDEX(Pengaturan!$B$8:$B$27,P$4)="",0,COUNTIF(Data!$B754:$U754,INDEX(Pengaturan!$B$8:$B$27,P$4)))</f>
        <v>0</v>
      </c>
      <c r="Q754" s="26" t="n">
        <f aca="false">IF(INDEX(Pengaturan!$B$8:$B$27,Q$4)="",0,COUNTIF(Data!$B754:$U754,INDEX(Pengaturan!$B$8:$B$27,Q$4)))</f>
        <v>0</v>
      </c>
      <c r="R754" s="26" t="n">
        <f aca="false">IF(INDEX(Pengaturan!$B$8:$B$27,R$4)="",0,COUNTIF(Data!$B754:$U754,INDEX(Pengaturan!$B$8:$B$27,R$4)))</f>
        <v>0</v>
      </c>
      <c r="S754" s="26" t="n">
        <f aca="false">IF(INDEX(Pengaturan!$B$8:$B$27,S$4)="",0,COUNTIF(Data!$B754:$U754,INDEX(Pengaturan!$B$8:$B$27,S$4)))</f>
        <v>0</v>
      </c>
      <c r="T754" s="26" t="n">
        <f aca="false">IF(INDEX(Pengaturan!$B$8:$B$27,T$4)="",0,COUNTIF(Data!$B754:$U754,INDEX(Pengaturan!$B$8:$B$27,T$4)))</f>
        <v>0</v>
      </c>
      <c r="U754" s="26" t="n">
        <f aca="false">IF(INDEX(Pengaturan!$B$8:$B$27,U$4)="",0,COUNTIF(Data!$B754:$U754,INDEX(Pengaturan!$B$8:$B$27,U$4)))</f>
        <v>0</v>
      </c>
      <c r="V754" s="26" t="n">
        <f aca="false">COUNTA(Data!$B754:$U754)</f>
        <v>0</v>
      </c>
      <c r="W754" s="27" t="str">
        <f aca="false">IF(V754=0,"",IF(V754&lt;&gt;Hasil!$C$4,"Data kosong/tidak lengkap",IF(SUM(B754:U754)&lt;&gt;V754,"Kategori tidak dikenal","OK")))</f>
        <v/>
      </c>
      <c r="X754" s="26" t="n">
        <f aca="false">IF(OR(W754="",W754="OK"),0,1)</f>
        <v>0</v>
      </c>
    </row>
    <row r="755" customFormat="false" ht="15" hidden="false" customHeight="false" outlineLevel="0" collapsed="false">
      <c r="A755" s="26" t="n">
        <f aca="false">Data!A755</f>
        <v>750</v>
      </c>
      <c r="B755" s="26" t="n">
        <f aca="false">IF(INDEX(Pengaturan!$B$8:$B$27,B$4)="",0,COUNTIF(Data!$B755:$U755,INDEX(Pengaturan!$B$8:$B$27,B$4)))</f>
        <v>0</v>
      </c>
      <c r="C755" s="26" t="n">
        <f aca="false">IF(INDEX(Pengaturan!$B$8:$B$27,C$4)="",0,COUNTIF(Data!$B755:$U755,INDEX(Pengaturan!$B$8:$B$27,C$4)))</f>
        <v>0</v>
      </c>
      <c r="D755" s="26" t="n">
        <f aca="false">IF(INDEX(Pengaturan!$B$8:$B$27,D$4)="",0,COUNTIF(Data!$B755:$U755,INDEX(Pengaturan!$B$8:$B$27,D$4)))</f>
        <v>0</v>
      </c>
      <c r="E755" s="26" t="n">
        <f aca="false">IF(INDEX(Pengaturan!$B$8:$B$27,E$4)="",0,COUNTIF(Data!$B755:$U755,INDEX(Pengaturan!$B$8:$B$27,E$4)))</f>
        <v>0</v>
      </c>
      <c r="F755" s="26" t="n">
        <f aca="false">IF(INDEX(Pengaturan!$B$8:$B$27,F$4)="",0,COUNTIF(Data!$B755:$U755,INDEX(Pengaturan!$B$8:$B$27,F$4)))</f>
        <v>0</v>
      </c>
      <c r="G755" s="26" t="n">
        <f aca="false">IF(INDEX(Pengaturan!$B$8:$B$27,G$4)="",0,COUNTIF(Data!$B755:$U755,INDEX(Pengaturan!$B$8:$B$27,G$4)))</f>
        <v>0</v>
      </c>
      <c r="H755" s="26" t="n">
        <f aca="false">IF(INDEX(Pengaturan!$B$8:$B$27,H$4)="",0,COUNTIF(Data!$B755:$U755,INDEX(Pengaturan!$B$8:$B$27,H$4)))</f>
        <v>0</v>
      </c>
      <c r="I755" s="26" t="n">
        <f aca="false">IF(INDEX(Pengaturan!$B$8:$B$27,I$4)="",0,COUNTIF(Data!$B755:$U755,INDEX(Pengaturan!$B$8:$B$27,I$4)))</f>
        <v>0</v>
      </c>
      <c r="J755" s="26" t="n">
        <f aca="false">IF(INDEX(Pengaturan!$B$8:$B$27,J$4)="",0,COUNTIF(Data!$B755:$U755,INDEX(Pengaturan!$B$8:$B$27,J$4)))</f>
        <v>0</v>
      </c>
      <c r="K755" s="26" t="n">
        <f aca="false">IF(INDEX(Pengaturan!$B$8:$B$27,K$4)="",0,COUNTIF(Data!$B755:$U755,INDEX(Pengaturan!$B$8:$B$27,K$4)))</f>
        <v>0</v>
      </c>
      <c r="L755" s="26" t="n">
        <f aca="false">IF(INDEX(Pengaturan!$B$8:$B$27,L$4)="",0,COUNTIF(Data!$B755:$U755,INDEX(Pengaturan!$B$8:$B$27,L$4)))</f>
        <v>0</v>
      </c>
      <c r="M755" s="26" t="n">
        <f aca="false">IF(INDEX(Pengaturan!$B$8:$B$27,M$4)="",0,COUNTIF(Data!$B755:$U755,INDEX(Pengaturan!$B$8:$B$27,M$4)))</f>
        <v>0</v>
      </c>
      <c r="N755" s="26" t="n">
        <f aca="false">IF(INDEX(Pengaturan!$B$8:$B$27,N$4)="",0,COUNTIF(Data!$B755:$U755,INDEX(Pengaturan!$B$8:$B$27,N$4)))</f>
        <v>0</v>
      </c>
      <c r="O755" s="26" t="n">
        <f aca="false">IF(INDEX(Pengaturan!$B$8:$B$27,O$4)="",0,COUNTIF(Data!$B755:$U755,INDEX(Pengaturan!$B$8:$B$27,O$4)))</f>
        <v>0</v>
      </c>
      <c r="P755" s="26" t="n">
        <f aca="false">IF(INDEX(Pengaturan!$B$8:$B$27,P$4)="",0,COUNTIF(Data!$B755:$U755,INDEX(Pengaturan!$B$8:$B$27,P$4)))</f>
        <v>0</v>
      </c>
      <c r="Q755" s="26" t="n">
        <f aca="false">IF(INDEX(Pengaturan!$B$8:$B$27,Q$4)="",0,COUNTIF(Data!$B755:$U755,INDEX(Pengaturan!$B$8:$B$27,Q$4)))</f>
        <v>0</v>
      </c>
      <c r="R755" s="26" t="n">
        <f aca="false">IF(INDEX(Pengaturan!$B$8:$B$27,R$4)="",0,COUNTIF(Data!$B755:$U755,INDEX(Pengaturan!$B$8:$B$27,R$4)))</f>
        <v>0</v>
      </c>
      <c r="S755" s="26" t="n">
        <f aca="false">IF(INDEX(Pengaturan!$B$8:$B$27,S$4)="",0,COUNTIF(Data!$B755:$U755,INDEX(Pengaturan!$B$8:$B$27,S$4)))</f>
        <v>0</v>
      </c>
      <c r="T755" s="26" t="n">
        <f aca="false">IF(INDEX(Pengaturan!$B$8:$B$27,T$4)="",0,COUNTIF(Data!$B755:$U755,INDEX(Pengaturan!$B$8:$B$27,T$4)))</f>
        <v>0</v>
      </c>
      <c r="U755" s="26" t="n">
        <f aca="false">IF(INDEX(Pengaturan!$B$8:$B$27,U$4)="",0,COUNTIF(Data!$B755:$U755,INDEX(Pengaturan!$B$8:$B$27,U$4)))</f>
        <v>0</v>
      </c>
      <c r="V755" s="26" t="n">
        <f aca="false">COUNTA(Data!$B755:$U755)</f>
        <v>0</v>
      </c>
      <c r="W755" s="27" t="str">
        <f aca="false">IF(V755=0,"",IF(V755&lt;&gt;Hasil!$C$4,"Data kosong/tidak lengkap",IF(SUM(B755:U755)&lt;&gt;V755,"Kategori tidak dikenal","OK")))</f>
        <v/>
      </c>
      <c r="X755" s="26" t="n">
        <f aca="false">IF(OR(W755="",W755="OK"),0,1)</f>
        <v>0</v>
      </c>
    </row>
    <row r="756" customFormat="false" ht="15" hidden="false" customHeight="false" outlineLevel="0" collapsed="false">
      <c r="A756" s="26" t="n">
        <f aca="false">Data!A756</f>
        <v>751</v>
      </c>
      <c r="B756" s="26" t="n">
        <f aca="false">IF(INDEX(Pengaturan!$B$8:$B$27,B$4)="",0,COUNTIF(Data!$B756:$U756,INDEX(Pengaturan!$B$8:$B$27,B$4)))</f>
        <v>0</v>
      </c>
      <c r="C756" s="26" t="n">
        <f aca="false">IF(INDEX(Pengaturan!$B$8:$B$27,C$4)="",0,COUNTIF(Data!$B756:$U756,INDEX(Pengaturan!$B$8:$B$27,C$4)))</f>
        <v>0</v>
      </c>
      <c r="D756" s="26" t="n">
        <f aca="false">IF(INDEX(Pengaturan!$B$8:$B$27,D$4)="",0,COUNTIF(Data!$B756:$U756,INDEX(Pengaturan!$B$8:$B$27,D$4)))</f>
        <v>0</v>
      </c>
      <c r="E756" s="26" t="n">
        <f aca="false">IF(INDEX(Pengaturan!$B$8:$B$27,E$4)="",0,COUNTIF(Data!$B756:$U756,INDEX(Pengaturan!$B$8:$B$27,E$4)))</f>
        <v>0</v>
      </c>
      <c r="F756" s="26" t="n">
        <f aca="false">IF(INDEX(Pengaturan!$B$8:$B$27,F$4)="",0,COUNTIF(Data!$B756:$U756,INDEX(Pengaturan!$B$8:$B$27,F$4)))</f>
        <v>0</v>
      </c>
      <c r="G756" s="26" t="n">
        <f aca="false">IF(INDEX(Pengaturan!$B$8:$B$27,G$4)="",0,COUNTIF(Data!$B756:$U756,INDEX(Pengaturan!$B$8:$B$27,G$4)))</f>
        <v>0</v>
      </c>
      <c r="H756" s="26" t="n">
        <f aca="false">IF(INDEX(Pengaturan!$B$8:$B$27,H$4)="",0,COUNTIF(Data!$B756:$U756,INDEX(Pengaturan!$B$8:$B$27,H$4)))</f>
        <v>0</v>
      </c>
      <c r="I756" s="26" t="n">
        <f aca="false">IF(INDEX(Pengaturan!$B$8:$B$27,I$4)="",0,COUNTIF(Data!$B756:$U756,INDEX(Pengaturan!$B$8:$B$27,I$4)))</f>
        <v>0</v>
      </c>
      <c r="J756" s="26" t="n">
        <f aca="false">IF(INDEX(Pengaturan!$B$8:$B$27,J$4)="",0,COUNTIF(Data!$B756:$U756,INDEX(Pengaturan!$B$8:$B$27,J$4)))</f>
        <v>0</v>
      </c>
      <c r="K756" s="26" t="n">
        <f aca="false">IF(INDEX(Pengaturan!$B$8:$B$27,K$4)="",0,COUNTIF(Data!$B756:$U756,INDEX(Pengaturan!$B$8:$B$27,K$4)))</f>
        <v>0</v>
      </c>
      <c r="L756" s="26" t="n">
        <f aca="false">IF(INDEX(Pengaturan!$B$8:$B$27,L$4)="",0,COUNTIF(Data!$B756:$U756,INDEX(Pengaturan!$B$8:$B$27,L$4)))</f>
        <v>0</v>
      </c>
      <c r="M756" s="26" t="n">
        <f aca="false">IF(INDEX(Pengaturan!$B$8:$B$27,M$4)="",0,COUNTIF(Data!$B756:$U756,INDEX(Pengaturan!$B$8:$B$27,M$4)))</f>
        <v>0</v>
      </c>
      <c r="N756" s="26" t="n">
        <f aca="false">IF(INDEX(Pengaturan!$B$8:$B$27,N$4)="",0,COUNTIF(Data!$B756:$U756,INDEX(Pengaturan!$B$8:$B$27,N$4)))</f>
        <v>0</v>
      </c>
      <c r="O756" s="26" t="n">
        <f aca="false">IF(INDEX(Pengaturan!$B$8:$B$27,O$4)="",0,COUNTIF(Data!$B756:$U756,INDEX(Pengaturan!$B$8:$B$27,O$4)))</f>
        <v>0</v>
      </c>
      <c r="P756" s="26" t="n">
        <f aca="false">IF(INDEX(Pengaturan!$B$8:$B$27,P$4)="",0,COUNTIF(Data!$B756:$U756,INDEX(Pengaturan!$B$8:$B$27,P$4)))</f>
        <v>0</v>
      </c>
      <c r="Q756" s="26" t="n">
        <f aca="false">IF(INDEX(Pengaturan!$B$8:$B$27,Q$4)="",0,COUNTIF(Data!$B756:$U756,INDEX(Pengaturan!$B$8:$B$27,Q$4)))</f>
        <v>0</v>
      </c>
      <c r="R756" s="26" t="n">
        <f aca="false">IF(INDEX(Pengaturan!$B$8:$B$27,R$4)="",0,COUNTIF(Data!$B756:$U756,INDEX(Pengaturan!$B$8:$B$27,R$4)))</f>
        <v>0</v>
      </c>
      <c r="S756" s="26" t="n">
        <f aca="false">IF(INDEX(Pengaturan!$B$8:$B$27,S$4)="",0,COUNTIF(Data!$B756:$U756,INDEX(Pengaturan!$B$8:$B$27,S$4)))</f>
        <v>0</v>
      </c>
      <c r="T756" s="26" t="n">
        <f aca="false">IF(INDEX(Pengaturan!$B$8:$B$27,T$4)="",0,COUNTIF(Data!$B756:$U756,INDEX(Pengaturan!$B$8:$B$27,T$4)))</f>
        <v>0</v>
      </c>
      <c r="U756" s="26" t="n">
        <f aca="false">IF(INDEX(Pengaturan!$B$8:$B$27,U$4)="",0,COUNTIF(Data!$B756:$U756,INDEX(Pengaturan!$B$8:$B$27,U$4)))</f>
        <v>0</v>
      </c>
      <c r="V756" s="26" t="n">
        <f aca="false">COUNTA(Data!$B756:$U756)</f>
        <v>0</v>
      </c>
      <c r="W756" s="27" t="str">
        <f aca="false">IF(V756=0,"",IF(V756&lt;&gt;Hasil!$C$4,"Data kosong/tidak lengkap",IF(SUM(B756:U756)&lt;&gt;V756,"Kategori tidak dikenal","OK")))</f>
        <v/>
      </c>
      <c r="X756" s="26" t="n">
        <f aca="false">IF(OR(W756="",W756="OK"),0,1)</f>
        <v>0</v>
      </c>
    </row>
    <row r="757" customFormat="false" ht="15" hidden="false" customHeight="false" outlineLevel="0" collapsed="false">
      <c r="A757" s="26" t="n">
        <f aca="false">Data!A757</f>
        <v>752</v>
      </c>
      <c r="B757" s="26" t="n">
        <f aca="false">IF(INDEX(Pengaturan!$B$8:$B$27,B$4)="",0,COUNTIF(Data!$B757:$U757,INDEX(Pengaturan!$B$8:$B$27,B$4)))</f>
        <v>0</v>
      </c>
      <c r="C757" s="26" t="n">
        <f aca="false">IF(INDEX(Pengaturan!$B$8:$B$27,C$4)="",0,COUNTIF(Data!$B757:$U757,INDEX(Pengaturan!$B$8:$B$27,C$4)))</f>
        <v>0</v>
      </c>
      <c r="D757" s="26" t="n">
        <f aca="false">IF(INDEX(Pengaturan!$B$8:$B$27,D$4)="",0,COUNTIF(Data!$B757:$U757,INDEX(Pengaturan!$B$8:$B$27,D$4)))</f>
        <v>0</v>
      </c>
      <c r="E757" s="26" t="n">
        <f aca="false">IF(INDEX(Pengaturan!$B$8:$B$27,E$4)="",0,COUNTIF(Data!$B757:$U757,INDEX(Pengaturan!$B$8:$B$27,E$4)))</f>
        <v>0</v>
      </c>
      <c r="F757" s="26" t="n">
        <f aca="false">IF(INDEX(Pengaturan!$B$8:$B$27,F$4)="",0,COUNTIF(Data!$B757:$U757,INDEX(Pengaturan!$B$8:$B$27,F$4)))</f>
        <v>0</v>
      </c>
      <c r="G757" s="26" t="n">
        <f aca="false">IF(INDEX(Pengaturan!$B$8:$B$27,G$4)="",0,COUNTIF(Data!$B757:$U757,INDEX(Pengaturan!$B$8:$B$27,G$4)))</f>
        <v>0</v>
      </c>
      <c r="H757" s="26" t="n">
        <f aca="false">IF(INDEX(Pengaturan!$B$8:$B$27,H$4)="",0,COUNTIF(Data!$B757:$U757,INDEX(Pengaturan!$B$8:$B$27,H$4)))</f>
        <v>0</v>
      </c>
      <c r="I757" s="26" t="n">
        <f aca="false">IF(INDEX(Pengaturan!$B$8:$B$27,I$4)="",0,COUNTIF(Data!$B757:$U757,INDEX(Pengaturan!$B$8:$B$27,I$4)))</f>
        <v>0</v>
      </c>
      <c r="J757" s="26" t="n">
        <f aca="false">IF(INDEX(Pengaturan!$B$8:$B$27,J$4)="",0,COUNTIF(Data!$B757:$U757,INDEX(Pengaturan!$B$8:$B$27,J$4)))</f>
        <v>0</v>
      </c>
      <c r="K757" s="26" t="n">
        <f aca="false">IF(INDEX(Pengaturan!$B$8:$B$27,K$4)="",0,COUNTIF(Data!$B757:$U757,INDEX(Pengaturan!$B$8:$B$27,K$4)))</f>
        <v>0</v>
      </c>
      <c r="L757" s="26" t="n">
        <f aca="false">IF(INDEX(Pengaturan!$B$8:$B$27,L$4)="",0,COUNTIF(Data!$B757:$U757,INDEX(Pengaturan!$B$8:$B$27,L$4)))</f>
        <v>0</v>
      </c>
      <c r="M757" s="26" t="n">
        <f aca="false">IF(INDEX(Pengaturan!$B$8:$B$27,M$4)="",0,COUNTIF(Data!$B757:$U757,INDEX(Pengaturan!$B$8:$B$27,M$4)))</f>
        <v>0</v>
      </c>
      <c r="N757" s="26" t="n">
        <f aca="false">IF(INDEX(Pengaturan!$B$8:$B$27,N$4)="",0,COUNTIF(Data!$B757:$U757,INDEX(Pengaturan!$B$8:$B$27,N$4)))</f>
        <v>0</v>
      </c>
      <c r="O757" s="26" t="n">
        <f aca="false">IF(INDEX(Pengaturan!$B$8:$B$27,O$4)="",0,COUNTIF(Data!$B757:$U757,INDEX(Pengaturan!$B$8:$B$27,O$4)))</f>
        <v>0</v>
      </c>
      <c r="P757" s="26" t="n">
        <f aca="false">IF(INDEX(Pengaturan!$B$8:$B$27,P$4)="",0,COUNTIF(Data!$B757:$U757,INDEX(Pengaturan!$B$8:$B$27,P$4)))</f>
        <v>0</v>
      </c>
      <c r="Q757" s="26" t="n">
        <f aca="false">IF(INDEX(Pengaturan!$B$8:$B$27,Q$4)="",0,COUNTIF(Data!$B757:$U757,INDEX(Pengaturan!$B$8:$B$27,Q$4)))</f>
        <v>0</v>
      </c>
      <c r="R757" s="26" t="n">
        <f aca="false">IF(INDEX(Pengaturan!$B$8:$B$27,R$4)="",0,COUNTIF(Data!$B757:$U757,INDEX(Pengaturan!$B$8:$B$27,R$4)))</f>
        <v>0</v>
      </c>
      <c r="S757" s="26" t="n">
        <f aca="false">IF(INDEX(Pengaturan!$B$8:$B$27,S$4)="",0,COUNTIF(Data!$B757:$U757,INDEX(Pengaturan!$B$8:$B$27,S$4)))</f>
        <v>0</v>
      </c>
      <c r="T757" s="26" t="n">
        <f aca="false">IF(INDEX(Pengaturan!$B$8:$B$27,T$4)="",0,COUNTIF(Data!$B757:$U757,INDEX(Pengaturan!$B$8:$B$27,T$4)))</f>
        <v>0</v>
      </c>
      <c r="U757" s="26" t="n">
        <f aca="false">IF(INDEX(Pengaturan!$B$8:$B$27,U$4)="",0,COUNTIF(Data!$B757:$U757,INDEX(Pengaturan!$B$8:$B$27,U$4)))</f>
        <v>0</v>
      </c>
      <c r="V757" s="26" t="n">
        <f aca="false">COUNTA(Data!$B757:$U757)</f>
        <v>0</v>
      </c>
      <c r="W757" s="27" t="str">
        <f aca="false">IF(V757=0,"",IF(V757&lt;&gt;Hasil!$C$4,"Data kosong/tidak lengkap",IF(SUM(B757:U757)&lt;&gt;V757,"Kategori tidak dikenal","OK")))</f>
        <v/>
      </c>
      <c r="X757" s="26" t="n">
        <f aca="false">IF(OR(W757="",W757="OK"),0,1)</f>
        <v>0</v>
      </c>
    </row>
    <row r="758" customFormat="false" ht="15" hidden="false" customHeight="false" outlineLevel="0" collapsed="false">
      <c r="A758" s="26" t="n">
        <f aca="false">Data!A758</f>
        <v>753</v>
      </c>
      <c r="B758" s="26" t="n">
        <f aca="false">IF(INDEX(Pengaturan!$B$8:$B$27,B$4)="",0,COUNTIF(Data!$B758:$U758,INDEX(Pengaturan!$B$8:$B$27,B$4)))</f>
        <v>0</v>
      </c>
      <c r="C758" s="26" t="n">
        <f aca="false">IF(INDEX(Pengaturan!$B$8:$B$27,C$4)="",0,COUNTIF(Data!$B758:$U758,INDEX(Pengaturan!$B$8:$B$27,C$4)))</f>
        <v>0</v>
      </c>
      <c r="D758" s="26" t="n">
        <f aca="false">IF(INDEX(Pengaturan!$B$8:$B$27,D$4)="",0,COUNTIF(Data!$B758:$U758,INDEX(Pengaturan!$B$8:$B$27,D$4)))</f>
        <v>0</v>
      </c>
      <c r="E758" s="26" t="n">
        <f aca="false">IF(INDEX(Pengaturan!$B$8:$B$27,E$4)="",0,COUNTIF(Data!$B758:$U758,INDEX(Pengaturan!$B$8:$B$27,E$4)))</f>
        <v>0</v>
      </c>
      <c r="F758" s="26" t="n">
        <f aca="false">IF(INDEX(Pengaturan!$B$8:$B$27,F$4)="",0,COUNTIF(Data!$B758:$U758,INDEX(Pengaturan!$B$8:$B$27,F$4)))</f>
        <v>0</v>
      </c>
      <c r="G758" s="26" t="n">
        <f aca="false">IF(INDEX(Pengaturan!$B$8:$B$27,G$4)="",0,COUNTIF(Data!$B758:$U758,INDEX(Pengaturan!$B$8:$B$27,G$4)))</f>
        <v>0</v>
      </c>
      <c r="H758" s="26" t="n">
        <f aca="false">IF(INDEX(Pengaturan!$B$8:$B$27,H$4)="",0,COUNTIF(Data!$B758:$U758,INDEX(Pengaturan!$B$8:$B$27,H$4)))</f>
        <v>0</v>
      </c>
      <c r="I758" s="26" t="n">
        <f aca="false">IF(INDEX(Pengaturan!$B$8:$B$27,I$4)="",0,COUNTIF(Data!$B758:$U758,INDEX(Pengaturan!$B$8:$B$27,I$4)))</f>
        <v>0</v>
      </c>
      <c r="J758" s="26" t="n">
        <f aca="false">IF(INDEX(Pengaturan!$B$8:$B$27,J$4)="",0,COUNTIF(Data!$B758:$U758,INDEX(Pengaturan!$B$8:$B$27,J$4)))</f>
        <v>0</v>
      </c>
      <c r="K758" s="26" t="n">
        <f aca="false">IF(INDEX(Pengaturan!$B$8:$B$27,K$4)="",0,COUNTIF(Data!$B758:$U758,INDEX(Pengaturan!$B$8:$B$27,K$4)))</f>
        <v>0</v>
      </c>
      <c r="L758" s="26" t="n">
        <f aca="false">IF(INDEX(Pengaturan!$B$8:$B$27,L$4)="",0,COUNTIF(Data!$B758:$U758,INDEX(Pengaturan!$B$8:$B$27,L$4)))</f>
        <v>0</v>
      </c>
      <c r="M758" s="26" t="n">
        <f aca="false">IF(INDEX(Pengaturan!$B$8:$B$27,M$4)="",0,COUNTIF(Data!$B758:$U758,INDEX(Pengaturan!$B$8:$B$27,M$4)))</f>
        <v>0</v>
      </c>
      <c r="N758" s="26" t="n">
        <f aca="false">IF(INDEX(Pengaturan!$B$8:$B$27,N$4)="",0,COUNTIF(Data!$B758:$U758,INDEX(Pengaturan!$B$8:$B$27,N$4)))</f>
        <v>0</v>
      </c>
      <c r="O758" s="26" t="n">
        <f aca="false">IF(INDEX(Pengaturan!$B$8:$B$27,O$4)="",0,COUNTIF(Data!$B758:$U758,INDEX(Pengaturan!$B$8:$B$27,O$4)))</f>
        <v>0</v>
      </c>
      <c r="P758" s="26" t="n">
        <f aca="false">IF(INDEX(Pengaturan!$B$8:$B$27,P$4)="",0,COUNTIF(Data!$B758:$U758,INDEX(Pengaturan!$B$8:$B$27,P$4)))</f>
        <v>0</v>
      </c>
      <c r="Q758" s="26" t="n">
        <f aca="false">IF(INDEX(Pengaturan!$B$8:$B$27,Q$4)="",0,COUNTIF(Data!$B758:$U758,INDEX(Pengaturan!$B$8:$B$27,Q$4)))</f>
        <v>0</v>
      </c>
      <c r="R758" s="26" t="n">
        <f aca="false">IF(INDEX(Pengaturan!$B$8:$B$27,R$4)="",0,COUNTIF(Data!$B758:$U758,INDEX(Pengaturan!$B$8:$B$27,R$4)))</f>
        <v>0</v>
      </c>
      <c r="S758" s="26" t="n">
        <f aca="false">IF(INDEX(Pengaturan!$B$8:$B$27,S$4)="",0,COUNTIF(Data!$B758:$U758,INDEX(Pengaturan!$B$8:$B$27,S$4)))</f>
        <v>0</v>
      </c>
      <c r="T758" s="26" t="n">
        <f aca="false">IF(INDEX(Pengaturan!$B$8:$B$27,T$4)="",0,COUNTIF(Data!$B758:$U758,INDEX(Pengaturan!$B$8:$B$27,T$4)))</f>
        <v>0</v>
      </c>
      <c r="U758" s="26" t="n">
        <f aca="false">IF(INDEX(Pengaturan!$B$8:$B$27,U$4)="",0,COUNTIF(Data!$B758:$U758,INDEX(Pengaturan!$B$8:$B$27,U$4)))</f>
        <v>0</v>
      </c>
      <c r="V758" s="26" t="n">
        <f aca="false">COUNTA(Data!$B758:$U758)</f>
        <v>0</v>
      </c>
      <c r="W758" s="27" t="str">
        <f aca="false">IF(V758=0,"",IF(V758&lt;&gt;Hasil!$C$4,"Data kosong/tidak lengkap",IF(SUM(B758:U758)&lt;&gt;V758,"Kategori tidak dikenal","OK")))</f>
        <v/>
      </c>
      <c r="X758" s="26" t="n">
        <f aca="false">IF(OR(W758="",W758="OK"),0,1)</f>
        <v>0</v>
      </c>
    </row>
    <row r="759" customFormat="false" ht="15" hidden="false" customHeight="false" outlineLevel="0" collapsed="false">
      <c r="A759" s="26" t="n">
        <f aca="false">Data!A759</f>
        <v>754</v>
      </c>
      <c r="B759" s="26" t="n">
        <f aca="false">IF(INDEX(Pengaturan!$B$8:$B$27,B$4)="",0,COUNTIF(Data!$B759:$U759,INDEX(Pengaturan!$B$8:$B$27,B$4)))</f>
        <v>0</v>
      </c>
      <c r="C759" s="26" t="n">
        <f aca="false">IF(INDEX(Pengaturan!$B$8:$B$27,C$4)="",0,COUNTIF(Data!$B759:$U759,INDEX(Pengaturan!$B$8:$B$27,C$4)))</f>
        <v>0</v>
      </c>
      <c r="D759" s="26" t="n">
        <f aca="false">IF(INDEX(Pengaturan!$B$8:$B$27,D$4)="",0,COUNTIF(Data!$B759:$U759,INDEX(Pengaturan!$B$8:$B$27,D$4)))</f>
        <v>0</v>
      </c>
      <c r="E759" s="26" t="n">
        <f aca="false">IF(INDEX(Pengaturan!$B$8:$B$27,E$4)="",0,COUNTIF(Data!$B759:$U759,INDEX(Pengaturan!$B$8:$B$27,E$4)))</f>
        <v>0</v>
      </c>
      <c r="F759" s="26" t="n">
        <f aca="false">IF(INDEX(Pengaturan!$B$8:$B$27,F$4)="",0,COUNTIF(Data!$B759:$U759,INDEX(Pengaturan!$B$8:$B$27,F$4)))</f>
        <v>0</v>
      </c>
      <c r="G759" s="26" t="n">
        <f aca="false">IF(INDEX(Pengaturan!$B$8:$B$27,G$4)="",0,COUNTIF(Data!$B759:$U759,INDEX(Pengaturan!$B$8:$B$27,G$4)))</f>
        <v>0</v>
      </c>
      <c r="H759" s="26" t="n">
        <f aca="false">IF(INDEX(Pengaturan!$B$8:$B$27,H$4)="",0,COUNTIF(Data!$B759:$U759,INDEX(Pengaturan!$B$8:$B$27,H$4)))</f>
        <v>0</v>
      </c>
      <c r="I759" s="26" t="n">
        <f aca="false">IF(INDEX(Pengaturan!$B$8:$B$27,I$4)="",0,COUNTIF(Data!$B759:$U759,INDEX(Pengaturan!$B$8:$B$27,I$4)))</f>
        <v>0</v>
      </c>
      <c r="J759" s="26" t="n">
        <f aca="false">IF(INDEX(Pengaturan!$B$8:$B$27,J$4)="",0,COUNTIF(Data!$B759:$U759,INDEX(Pengaturan!$B$8:$B$27,J$4)))</f>
        <v>0</v>
      </c>
      <c r="K759" s="26" t="n">
        <f aca="false">IF(INDEX(Pengaturan!$B$8:$B$27,K$4)="",0,COUNTIF(Data!$B759:$U759,INDEX(Pengaturan!$B$8:$B$27,K$4)))</f>
        <v>0</v>
      </c>
      <c r="L759" s="26" t="n">
        <f aca="false">IF(INDEX(Pengaturan!$B$8:$B$27,L$4)="",0,COUNTIF(Data!$B759:$U759,INDEX(Pengaturan!$B$8:$B$27,L$4)))</f>
        <v>0</v>
      </c>
      <c r="M759" s="26" t="n">
        <f aca="false">IF(INDEX(Pengaturan!$B$8:$B$27,M$4)="",0,COUNTIF(Data!$B759:$U759,INDEX(Pengaturan!$B$8:$B$27,M$4)))</f>
        <v>0</v>
      </c>
      <c r="N759" s="26" t="n">
        <f aca="false">IF(INDEX(Pengaturan!$B$8:$B$27,N$4)="",0,COUNTIF(Data!$B759:$U759,INDEX(Pengaturan!$B$8:$B$27,N$4)))</f>
        <v>0</v>
      </c>
      <c r="O759" s="26" t="n">
        <f aca="false">IF(INDEX(Pengaturan!$B$8:$B$27,O$4)="",0,COUNTIF(Data!$B759:$U759,INDEX(Pengaturan!$B$8:$B$27,O$4)))</f>
        <v>0</v>
      </c>
      <c r="P759" s="26" t="n">
        <f aca="false">IF(INDEX(Pengaturan!$B$8:$B$27,P$4)="",0,COUNTIF(Data!$B759:$U759,INDEX(Pengaturan!$B$8:$B$27,P$4)))</f>
        <v>0</v>
      </c>
      <c r="Q759" s="26" t="n">
        <f aca="false">IF(INDEX(Pengaturan!$B$8:$B$27,Q$4)="",0,COUNTIF(Data!$B759:$U759,INDEX(Pengaturan!$B$8:$B$27,Q$4)))</f>
        <v>0</v>
      </c>
      <c r="R759" s="26" t="n">
        <f aca="false">IF(INDEX(Pengaturan!$B$8:$B$27,R$4)="",0,COUNTIF(Data!$B759:$U759,INDEX(Pengaturan!$B$8:$B$27,R$4)))</f>
        <v>0</v>
      </c>
      <c r="S759" s="26" t="n">
        <f aca="false">IF(INDEX(Pengaturan!$B$8:$B$27,S$4)="",0,COUNTIF(Data!$B759:$U759,INDEX(Pengaturan!$B$8:$B$27,S$4)))</f>
        <v>0</v>
      </c>
      <c r="T759" s="26" t="n">
        <f aca="false">IF(INDEX(Pengaturan!$B$8:$B$27,T$4)="",0,COUNTIF(Data!$B759:$U759,INDEX(Pengaturan!$B$8:$B$27,T$4)))</f>
        <v>0</v>
      </c>
      <c r="U759" s="26" t="n">
        <f aca="false">IF(INDEX(Pengaturan!$B$8:$B$27,U$4)="",0,COUNTIF(Data!$B759:$U759,INDEX(Pengaturan!$B$8:$B$27,U$4)))</f>
        <v>0</v>
      </c>
      <c r="V759" s="26" t="n">
        <f aca="false">COUNTA(Data!$B759:$U759)</f>
        <v>0</v>
      </c>
      <c r="W759" s="27" t="str">
        <f aca="false">IF(V759=0,"",IF(V759&lt;&gt;Hasil!$C$4,"Data kosong/tidak lengkap",IF(SUM(B759:U759)&lt;&gt;V759,"Kategori tidak dikenal","OK")))</f>
        <v/>
      </c>
      <c r="X759" s="26" t="n">
        <f aca="false">IF(OR(W759="",W759="OK"),0,1)</f>
        <v>0</v>
      </c>
    </row>
    <row r="760" customFormat="false" ht="15" hidden="false" customHeight="false" outlineLevel="0" collapsed="false">
      <c r="A760" s="26" t="n">
        <f aca="false">Data!A760</f>
        <v>755</v>
      </c>
      <c r="B760" s="26" t="n">
        <f aca="false">IF(INDEX(Pengaturan!$B$8:$B$27,B$4)="",0,COUNTIF(Data!$B760:$U760,INDEX(Pengaturan!$B$8:$B$27,B$4)))</f>
        <v>0</v>
      </c>
      <c r="C760" s="26" t="n">
        <f aca="false">IF(INDEX(Pengaturan!$B$8:$B$27,C$4)="",0,COUNTIF(Data!$B760:$U760,INDEX(Pengaturan!$B$8:$B$27,C$4)))</f>
        <v>0</v>
      </c>
      <c r="D760" s="26" t="n">
        <f aca="false">IF(INDEX(Pengaturan!$B$8:$B$27,D$4)="",0,COUNTIF(Data!$B760:$U760,INDEX(Pengaturan!$B$8:$B$27,D$4)))</f>
        <v>0</v>
      </c>
      <c r="E760" s="26" t="n">
        <f aca="false">IF(INDEX(Pengaturan!$B$8:$B$27,E$4)="",0,COUNTIF(Data!$B760:$U760,INDEX(Pengaturan!$B$8:$B$27,E$4)))</f>
        <v>0</v>
      </c>
      <c r="F760" s="26" t="n">
        <f aca="false">IF(INDEX(Pengaturan!$B$8:$B$27,F$4)="",0,COUNTIF(Data!$B760:$U760,INDEX(Pengaturan!$B$8:$B$27,F$4)))</f>
        <v>0</v>
      </c>
      <c r="G760" s="26" t="n">
        <f aca="false">IF(INDEX(Pengaturan!$B$8:$B$27,G$4)="",0,COUNTIF(Data!$B760:$U760,INDEX(Pengaturan!$B$8:$B$27,G$4)))</f>
        <v>0</v>
      </c>
      <c r="H760" s="26" t="n">
        <f aca="false">IF(INDEX(Pengaturan!$B$8:$B$27,H$4)="",0,COUNTIF(Data!$B760:$U760,INDEX(Pengaturan!$B$8:$B$27,H$4)))</f>
        <v>0</v>
      </c>
      <c r="I760" s="26" t="n">
        <f aca="false">IF(INDEX(Pengaturan!$B$8:$B$27,I$4)="",0,COUNTIF(Data!$B760:$U760,INDEX(Pengaturan!$B$8:$B$27,I$4)))</f>
        <v>0</v>
      </c>
      <c r="J760" s="26" t="n">
        <f aca="false">IF(INDEX(Pengaturan!$B$8:$B$27,J$4)="",0,COUNTIF(Data!$B760:$U760,INDEX(Pengaturan!$B$8:$B$27,J$4)))</f>
        <v>0</v>
      </c>
      <c r="K760" s="26" t="n">
        <f aca="false">IF(INDEX(Pengaturan!$B$8:$B$27,K$4)="",0,COUNTIF(Data!$B760:$U760,INDEX(Pengaturan!$B$8:$B$27,K$4)))</f>
        <v>0</v>
      </c>
      <c r="L760" s="26" t="n">
        <f aca="false">IF(INDEX(Pengaturan!$B$8:$B$27,L$4)="",0,COUNTIF(Data!$B760:$U760,INDEX(Pengaturan!$B$8:$B$27,L$4)))</f>
        <v>0</v>
      </c>
      <c r="M760" s="26" t="n">
        <f aca="false">IF(INDEX(Pengaturan!$B$8:$B$27,M$4)="",0,COUNTIF(Data!$B760:$U760,INDEX(Pengaturan!$B$8:$B$27,M$4)))</f>
        <v>0</v>
      </c>
      <c r="N760" s="26" t="n">
        <f aca="false">IF(INDEX(Pengaturan!$B$8:$B$27,N$4)="",0,COUNTIF(Data!$B760:$U760,INDEX(Pengaturan!$B$8:$B$27,N$4)))</f>
        <v>0</v>
      </c>
      <c r="O760" s="26" t="n">
        <f aca="false">IF(INDEX(Pengaturan!$B$8:$B$27,O$4)="",0,COUNTIF(Data!$B760:$U760,INDEX(Pengaturan!$B$8:$B$27,O$4)))</f>
        <v>0</v>
      </c>
      <c r="P760" s="26" t="n">
        <f aca="false">IF(INDEX(Pengaturan!$B$8:$B$27,P$4)="",0,COUNTIF(Data!$B760:$U760,INDEX(Pengaturan!$B$8:$B$27,P$4)))</f>
        <v>0</v>
      </c>
      <c r="Q760" s="26" t="n">
        <f aca="false">IF(INDEX(Pengaturan!$B$8:$B$27,Q$4)="",0,COUNTIF(Data!$B760:$U760,INDEX(Pengaturan!$B$8:$B$27,Q$4)))</f>
        <v>0</v>
      </c>
      <c r="R760" s="26" t="n">
        <f aca="false">IF(INDEX(Pengaturan!$B$8:$B$27,R$4)="",0,COUNTIF(Data!$B760:$U760,INDEX(Pengaturan!$B$8:$B$27,R$4)))</f>
        <v>0</v>
      </c>
      <c r="S760" s="26" t="n">
        <f aca="false">IF(INDEX(Pengaturan!$B$8:$B$27,S$4)="",0,COUNTIF(Data!$B760:$U760,INDEX(Pengaturan!$B$8:$B$27,S$4)))</f>
        <v>0</v>
      </c>
      <c r="T760" s="26" t="n">
        <f aca="false">IF(INDEX(Pengaturan!$B$8:$B$27,T$4)="",0,COUNTIF(Data!$B760:$U760,INDEX(Pengaturan!$B$8:$B$27,T$4)))</f>
        <v>0</v>
      </c>
      <c r="U760" s="26" t="n">
        <f aca="false">IF(INDEX(Pengaturan!$B$8:$B$27,U$4)="",0,COUNTIF(Data!$B760:$U760,INDEX(Pengaturan!$B$8:$B$27,U$4)))</f>
        <v>0</v>
      </c>
      <c r="V760" s="26" t="n">
        <f aca="false">COUNTA(Data!$B760:$U760)</f>
        <v>0</v>
      </c>
      <c r="W760" s="27" t="str">
        <f aca="false">IF(V760=0,"",IF(V760&lt;&gt;Hasil!$C$4,"Data kosong/tidak lengkap",IF(SUM(B760:U760)&lt;&gt;V760,"Kategori tidak dikenal","OK")))</f>
        <v/>
      </c>
      <c r="X760" s="26" t="n">
        <f aca="false">IF(OR(W760="",W760="OK"),0,1)</f>
        <v>0</v>
      </c>
    </row>
    <row r="761" customFormat="false" ht="15" hidden="false" customHeight="false" outlineLevel="0" collapsed="false">
      <c r="A761" s="26" t="n">
        <f aca="false">Data!A761</f>
        <v>756</v>
      </c>
      <c r="B761" s="26" t="n">
        <f aca="false">IF(INDEX(Pengaturan!$B$8:$B$27,B$4)="",0,COUNTIF(Data!$B761:$U761,INDEX(Pengaturan!$B$8:$B$27,B$4)))</f>
        <v>0</v>
      </c>
      <c r="C761" s="26" t="n">
        <f aca="false">IF(INDEX(Pengaturan!$B$8:$B$27,C$4)="",0,COUNTIF(Data!$B761:$U761,INDEX(Pengaturan!$B$8:$B$27,C$4)))</f>
        <v>0</v>
      </c>
      <c r="D761" s="26" t="n">
        <f aca="false">IF(INDEX(Pengaturan!$B$8:$B$27,D$4)="",0,COUNTIF(Data!$B761:$U761,INDEX(Pengaturan!$B$8:$B$27,D$4)))</f>
        <v>0</v>
      </c>
      <c r="E761" s="26" t="n">
        <f aca="false">IF(INDEX(Pengaturan!$B$8:$B$27,E$4)="",0,COUNTIF(Data!$B761:$U761,INDEX(Pengaturan!$B$8:$B$27,E$4)))</f>
        <v>0</v>
      </c>
      <c r="F761" s="26" t="n">
        <f aca="false">IF(INDEX(Pengaturan!$B$8:$B$27,F$4)="",0,COUNTIF(Data!$B761:$U761,INDEX(Pengaturan!$B$8:$B$27,F$4)))</f>
        <v>0</v>
      </c>
      <c r="G761" s="26" t="n">
        <f aca="false">IF(INDEX(Pengaturan!$B$8:$B$27,G$4)="",0,COUNTIF(Data!$B761:$U761,INDEX(Pengaturan!$B$8:$B$27,G$4)))</f>
        <v>0</v>
      </c>
      <c r="H761" s="26" t="n">
        <f aca="false">IF(INDEX(Pengaturan!$B$8:$B$27,H$4)="",0,COUNTIF(Data!$B761:$U761,INDEX(Pengaturan!$B$8:$B$27,H$4)))</f>
        <v>0</v>
      </c>
      <c r="I761" s="26" t="n">
        <f aca="false">IF(INDEX(Pengaturan!$B$8:$B$27,I$4)="",0,COUNTIF(Data!$B761:$U761,INDEX(Pengaturan!$B$8:$B$27,I$4)))</f>
        <v>0</v>
      </c>
      <c r="J761" s="26" t="n">
        <f aca="false">IF(INDEX(Pengaturan!$B$8:$B$27,J$4)="",0,COUNTIF(Data!$B761:$U761,INDEX(Pengaturan!$B$8:$B$27,J$4)))</f>
        <v>0</v>
      </c>
      <c r="K761" s="26" t="n">
        <f aca="false">IF(INDEX(Pengaturan!$B$8:$B$27,K$4)="",0,COUNTIF(Data!$B761:$U761,INDEX(Pengaturan!$B$8:$B$27,K$4)))</f>
        <v>0</v>
      </c>
      <c r="L761" s="26" t="n">
        <f aca="false">IF(INDEX(Pengaturan!$B$8:$B$27,L$4)="",0,COUNTIF(Data!$B761:$U761,INDEX(Pengaturan!$B$8:$B$27,L$4)))</f>
        <v>0</v>
      </c>
      <c r="M761" s="26" t="n">
        <f aca="false">IF(INDEX(Pengaturan!$B$8:$B$27,M$4)="",0,COUNTIF(Data!$B761:$U761,INDEX(Pengaturan!$B$8:$B$27,M$4)))</f>
        <v>0</v>
      </c>
      <c r="N761" s="26" t="n">
        <f aca="false">IF(INDEX(Pengaturan!$B$8:$B$27,N$4)="",0,COUNTIF(Data!$B761:$U761,INDEX(Pengaturan!$B$8:$B$27,N$4)))</f>
        <v>0</v>
      </c>
      <c r="O761" s="26" t="n">
        <f aca="false">IF(INDEX(Pengaturan!$B$8:$B$27,O$4)="",0,COUNTIF(Data!$B761:$U761,INDEX(Pengaturan!$B$8:$B$27,O$4)))</f>
        <v>0</v>
      </c>
      <c r="P761" s="26" t="n">
        <f aca="false">IF(INDEX(Pengaturan!$B$8:$B$27,P$4)="",0,COUNTIF(Data!$B761:$U761,INDEX(Pengaturan!$B$8:$B$27,P$4)))</f>
        <v>0</v>
      </c>
      <c r="Q761" s="26" t="n">
        <f aca="false">IF(INDEX(Pengaturan!$B$8:$B$27,Q$4)="",0,COUNTIF(Data!$B761:$U761,INDEX(Pengaturan!$B$8:$B$27,Q$4)))</f>
        <v>0</v>
      </c>
      <c r="R761" s="26" t="n">
        <f aca="false">IF(INDEX(Pengaturan!$B$8:$B$27,R$4)="",0,COUNTIF(Data!$B761:$U761,INDEX(Pengaturan!$B$8:$B$27,R$4)))</f>
        <v>0</v>
      </c>
      <c r="S761" s="26" t="n">
        <f aca="false">IF(INDEX(Pengaturan!$B$8:$B$27,S$4)="",0,COUNTIF(Data!$B761:$U761,INDEX(Pengaturan!$B$8:$B$27,S$4)))</f>
        <v>0</v>
      </c>
      <c r="T761" s="26" t="n">
        <f aca="false">IF(INDEX(Pengaturan!$B$8:$B$27,T$4)="",0,COUNTIF(Data!$B761:$U761,INDEX(Pengaturan!$B$8:$B$27,T$4)))</f>
        <v>0</v>
      </c>
      <c r="U761" s="26" t="n">
        <f aca="false">IF(INDEX(Pengaturan!$B$8:$B$27,U$4)="",0,COUNTIF(Data!$B761:$U761,INDEX(Pengaturan!$B$8:$B$27,U$4)))</f>
        <v>0</v>
      </c>
      <c r="V761" s="26" t="n">
        <f aca="false">COUNTA(Data!$B761:$U761)</f>
        <v>0</v>
      </c>
      <c r="W761" s="27" t="str">
        <f aca="false">IF(V761=0,"",IF(V761&lt;&gt;Hasil!$C$4,"Data kosong/tidak lengkap",IF(SUM(B761:U761)&lt;&gt;V761,"Kategori tidak dikenal","OK")))</f>
        <v/>
      </c>
      <c r="X761" s="26" t="n">
        <f aca="false">IF(OR(W761="",W761="OK"),0,1)</f>
        <v>0</v>
      </c>
    </row>
    <row r="762" customFormat="false" ht="15" hidden="false" customHeight="false" outlineLevel="0" collapsed="false">
      <c r="A762" s="26" t="n">
        <f aca="false">Data!A762</f>
        <v>757</v>
      </c>
      <c r="B762" s="26" t="n">
        <f aca="false">IF(INDEX(Pengaturan!$B$8:$B$27,B$4)="",0,COUNTIF(Data!$B762:$U762,INDEX(Pengaturan!$B$8:$B$27,B$4)))</f>
        <v>0</v>
      </c>
      <c r="C762" s="26" t="n">
        <f aca="false">IF(INDEX(Pengaturan!$B$8:$B$27,C$4)="",0,COUNTIF(Data!$B762:$U762,INDEX(Pengaturan!$B$8:$B$27,C$4)))</f>
        <v>0</v>
      </c>
      <c r="D762" s="26" t="n">
        <f aca="false">IF(INDEX(Pengaturan!$B$8:$B$27,D$4)="",0,COUNTIF(Data!$B762:$U762,INDEX(Pengaturan!$B$8:$B$27,D$4)))</f>
        <v>0</v>
      </c>
      <c r="E762" s="26" t="n">
        <f aca="false">IF(INDEX(Pengaturan!$B$8:$B$27,E$4)="",0,COUNTIF(Data!$B762:$U762,INDEX(Pengaturan!$B$8:$B$27,E$4)))</f>
        <v>0</v>
      </c>
      <c r="F762" s="26" t="n">
        <f aca="false">IF(INDEX(Pengaturan!$B$8:$B$27,F$4)="",0,COUNTIF(Data!$B762:$U762,INDEX(Pengaturan!$B$8:$B$27,F$4)))</f>
        <v>0</v>
      </c>
      <c r="G762" s="26" t="n">
        <f aca="false">IF(INDEX(Pengaturan!$B$8:$B$27,G$4)="",0,COUNTIF(Data!$B762:$U762,INDEX(Pengaturan!$B$8:$B$27,G$4)))</f>
        <v>0</v>
      </c>
      <c r="H762" s="26" t="n">
        <f aca="false">IF(INDEX(Pengaturan!$B$8:$B$27,H$4)="",0,COUNTIF(Data!$B762:$U762,INDEX(Pengaturan!$B$8:$B$27,H$4)))</f>
        <v>0</v>
      </c>
      <c r="I762" s="26" t="n">
        <f aca="false">IF(INDEX(Pengaturan!$B$8:$B$27,I$4)="",0,COUNTIF(Data!$B762:$U762,INDEX(Pengaturan!$B$8:$B$27,I$4)))</f>
        <v>0</v>
      </c>
      <c r="J762" s="26" t="n">
        <f aca="false">IF(INDEX(Pengaturan!$B$8:$B$27,J$4)="",0,COUNTIF(Data!$B762:$U762,INDEX(Pengaturan!$B$8:$B$27,J$4)))</f>
        <v>0</v>
      </c>
      <c r="K762" s="26" t="n">
        <f aca="false">IF(INDEX(Pengaturan!$B$8:$B$27,K$4)="",0,COUNTIF(Data!$B762:$U762,INDEX(Pengaturan!$B$8:$B$27,K$4)))</f>
        <v>0</v>
      </c>
      <c r="L762" s="26" t="n">
        <f aca="false">IF(INDEX(Pengaturan!$B$8:$B$27,L$4)="",0,COUNTIF(Data!$B762:$U762,INDEX(Pengaturan!$B$8:$B$27,L$4)))</f>
        <v>0</v>
      </c>
      <c r="M762" s="26" t="n">
        <f aca="false">IF(INDEX(Pengaturan!$B$8:$B$27,M$4)="",0,COUNTIF(Data!$B762:$U762,INDEX(Pengaturan!$B$8:$B$27,M$4)))</f>
        <v>0</v>
      </c>
      <c r="N762" s="26" t="n">
        <f aca="false">IF(INDEX(Pengaturan!$B$8:$B$27,N$4)="",0,COUNTIF(Data!$B762:$U762,INDEX(Pengaturan!$B$8:$B$27,N$4)))</f>
        <v>0</v>
      </c>
      <c r="O762" s="26" t="n">
        <f aca="false">IF(INDEX(Pengaturan!$B$8:$B$27,O$4)="",0,COUNTIF(Data!$B762:$U762,INDEX(Pengaturan!$B$8:$B$27,O$4)))</f>
        <v>0</v>
      </c>
      <c r="P762" s="26" t="n">
        <f aca="false">IF(INDEX(Pengaturan!$B$8:$B$27,P$4)="",0,COUNTIF(Data!$B762:$U762,INDEX(Pengaturan!$B$8:$B$27,P$4)))</f>
        <v>0</v>
      </c>
      <c r="Q762" s="26" t="n">
        <f aca="false">IF(INDEX(Pengaturan!$B$8:$B$27,Q$4)="",0,COUNTIF(Data!$B762:$U762,INDEX(Pengaturan!$B$8:$B$27,Q$4)))</f>
        <v>0</v>
      </c>
      <c r="R762" s="26" t="n">
        <f aca="false">IF(INDEX(Pengaturan!$B$8:$B$27,R$4)="",0,COUNTIF(Data!$B762:$U762,INDEX(Pengaturan!$B$8:$B$27,R$4)))</f>
        <v>0</v>
      </c>
      <c r="S762" s="26" t="n">
        <f aca="false">IF(INDEX(Pengaturan!$B$8:$B$27,S$4)="",0,COUNTIF(Data!$B762:$U762,INDEX(Pengaturan!$B$8:$B$27,S$4)))</f>
        <v>0</v>
      </c>
      <c r="T762" s="26" t="n">
        <f aca="false">IF(INDEX(Pengaturan!$B$8:$B$27,T$4)="",0,COUNTIF(Data!$B762:$U762,INDEX(Pengaturan!$B$8:$B$27,T$4)))</f>
        <v>0</v>
      </c>
      <c r="U762" s="26" t="n">
        <f aca="false">IF(INDEX(Pengaturan!$B$8:$B$27,U$4)="",0,COUNTIF(Data!$B762:$U762,INDEX(Pengaturan!$B$8:$B$27,U$4)))</f>
        <v>0</v>
      </c>
      <c r="V762" s="26" t="n">
        <f aca="false">COUNTA(Data!$B762:$U762)</f>
        <v>0</v>
      </c>
      <c r="W762" s="27" t="str">
        <f aca="false">IF(V762=0,"",IF(V762&lt;&gt;Hasil!$C$4,"Data kosong/tidak lengkap",IF(SUM(B762:U762)&lt;&gt;V762,"Kategori tidak dikenal","OK")))</f>
        <v/>
      </c>
      <c r="X762" s="26" t="n">
        <f aca="false">IF(OR(W762="",W762="OK"),0,1)</f>
        <v>0</v>
      </c>
    </row>
    <row r="763" customFormat="false" ht="15" hidden="false" customHeight="false" outlineLevel="0" collapsed="false">
      <c r="A763" s="26" t="n">
        <f aca="false">Data!A763</f>
        <v>758</v>
      </c>
      <c r="B763" s="26" t="n">
        <f aca="false">IF(INDEX(Pengaturan!$B$8:$B$27,B$4)="",0,COUNTIF(Data!$B763:$U763,INDEX(Pengaturan!$B$8:$B$27,B$4)))</f>
        <v>0</v>
      </c>
      <c r="C763" s="26" t="n">
        <f aca="false">IF(INDEX(Pengaturan!$B$8:$B$27,C$4)="",0,COUNTIF(Data!$B763:$U763,INDEX(Pengaturan!$B$8:$B$27,C$4)))</f>
        <v>0</v>
      </c>
      <c r="D763" s="26" t="n">
        <f aca="false">IF(INDEX(Pengaturan!$B$8:$B$27,D$4)="",0,COUNTIF(Data!$B763:$U763,INDEX(Pengaturan!$B$8:$B$27,D$4)))</f>
        <v>0</v>
      </c>
      <c r="E763" s="26" t="n">
        <f aca="false">IF(INDEX(Pengaturan!$B$8:$B$27,E$4)="",0,COUNTIF(Data!$B763:$U763,INDEX(Pengaturan!$B$8:$B$27,E$4)))</f>
        <v>0</v>
      </c>
      <c r="F763" s="26" t="n">
        <f aca="false">IF(INDEX(Pengaturan!$B$8:$B$27,F$4)="",0,COUNTIF(Data!$B763:$U763,INDEX(Pengaturan!$B$8:$B$27,F$4)))</f>
        <v>0</v>
      </c>
      <c r="G763" s="26" t="n">
        <f aca="false">IF(INDEX(Pengaturan!$B$8:$B$27,G$4)="",0,COUNTIF(Data!$B763:$U763,INDEX(Pengaturan!$B$8:$B$27,G$4)))</f>
        <v>0</v>
      </c>
      <c r="H763" s="26" t="n">
        <f aca="false">IF(INDEX(Pengaturan!$B$8:$B$27,H$4)="",0,COUNTIF(Data!$B763:$U763,INDEX(Pengaturan!$B$8:$B$27,H$4)))</f>
        <v>0</v>
      </c>
      <c r="I763" s="26" t="n">
        <f aca="false">IF(INDEX(Pengaturan!$B$8:$B$27,I$4)="",0,COUNTIF(Data!$B763:$U763,INDEX(Pengaturan!$B$8:$B$27,I$4)))</f>
        <v>0</v>
      </c>
      <c r="J763" s="26" t="n">
        <f aca="false">IF(INDEX(Pengaturan!$B$8:$B$27,J$4)="",0,COUNTIF(Data!$B763:$U763,INDEX(Pengaturan!$B$8:$B$27,J$4)))</f>
        <v>0</v>
      </c>
      <c r="K763" s="26" t="n">
        <f aca="false">IF(INDEX(Pengaturan!$B$8:$B$27,K$4)="",0,COUNTIF(Data!$B763:$U763,INDEX(Pengaturan!$B$8:$B$27,K$4)))</f>
        <v>0</v>
      </c>
      <c r="L763" s="26" t="n">
        <f aca="false">IF(INDEX(Pengaturan!$B$8:$B$27,L$4)="",0,COUNTIF(Data!$B763:$U763,INDEX(Pengaturan!$B$8:$B$27,L$4)))</f>
        <v>0</v>
      </c>
      <c r="M763" s="26" t="n">
        <f aca="false">IF(INDEX(Pengaturan!$B$8:$B$27,M$4)="",0,COUNTIF(Data!$B763:$U763,INDEX(Pengaturan!$B$8:$B$27,M$4)))</f>
        <v>0</v>
      </c>
      <c r="N763" s="26" t="n">
        <f aca="false">IF(INDEX(Pengaturan!$B$8:$B$27,N$4)="",0,COUNTIF(Data!$B763:$U763,INDEX(Pengaturan!$B$8:$B$27,N$4)))</f>
        <v>0</v>
      </c>
      <c r="O763" s="26" t="n">
        <f aca="false">IF(INDEX(Pengaturan!$B$8:$B$27,O$4)="",0,COUNTIF(Data!$B763:$U763,INDEX(Pengaturan!$B$8:$B$27,O$4)))</f>
        <v>0</v>
      </c>
      <c r="P763" s="26" t="n">
        <f aca="false">IF(INDEX(Pengaturan!$B$8:$B$27,P$4)="",0,COUNTIF(Data!$B763:$U763,INDEX(Pengaturan!$B$8:$B$27,P$4)))</f>
        <v>0</v>
      </c>
      <c r="Q763" s="26" t="n">
        <f aca="false">IF(INDEX(Pengaturan!$B$8:$B$27,Q$4)="",0,COUNTIF(Data!$B763:$U763,INDEX(Pengaturan!$B$8:$B$27,Q$4)))</f>
        <v>0</v>
      </c>
      <c r="R763" s="26" t="n">
        <f aca="false">IF(INDEX(Pengaturan!$B$8:$B$27,R$4)="",0,COUNTIF(Data!$B763:$U763,INDEX(Pengaturan!$B$8:$B$27,R$4)))</f>
        <v>0</v>
      </c>
      <c r="S763" s="26" t="n">
        <f aca="false">IF(INDEX(Pengaturan!$B$8:$B$27,S$4)="",0,COUNTIF(Data!$B763:$U763,INDEX(Pengaturan!$B$8:$B$27,S$4)))</f>
        <v>0</v>
      </c>
      <c r="T763" s="26" t="n">
        <f aca="false">IF(INDEX(Pengaturan!$B$8:$B$27,T$4)="",0,COUNTIF(Data!$B763:$U763,INDEX(Pengaturan!$B$8:$B$27,T$4)))</f>
        <v>0</v>
      </c>
      <c r="U763" s="26" t="n">
        <f aca="false">IF(INDEX(Pengaturan!$B$8:$B$27,U$4)="",0,COUNTIF(Data!$B763:$U763,INDEX(Pengaturan!$B$8:$B$27,U$4)))</f>
        <v>0</v>
      </c>
      <c r="V763" s="26" t="n">
        <f aca="false">COUNTA(Data!$B763:$U763)</f>
        <v>0</v>
      </c>
      <c r="W763" s="27" t="str">
        <f aca="false">IF(V763=0,"",IF(V763&lt;&gt;Hasil!$C$4,"Data kosong/tidak lengkap",IF(SUM(B763:U763)&lt;&gt;V763,"Kategori tidak dikenal","OK")))</f>
        <v/>
      </c>
      <c r="X763" s="26" t="n">
        <f aca="false">IF(OR(W763="",W763="OK"),0,1)</f>
        <v>0</v>
      </c>
    </row>
    <row r="764" customFormat="false" ht="15" hidden="false" customHeight="false" outlineLevel="0" collapsed="false">
      <c r="A764" s="26" t="n">
        <f aca="false">Data!A764</f>
        <v>759</v>
      </c>
      <c r="B764" s="26" t="n">
        <f aca="false">IF(INDEX(Pengaturan!$B$8:$B$27,B$4)="",0,COUNTIF(Data!$B764:$U764,INDEX(Pengaturan!$B$8:$B$27,B$4)))</f>
        <v>0</v>
      </c>
      <c r="C764" s="26" t="n">
        <f aca="false">IF(INDEX(Pengaturan!$B$8:$B$27,C$4)="",0,COUNTIF(Data!$B764:$U764,INDEX(Pengaturan!$B$8:$B$27,C$4)))</f>
        <v>0</v>
      </c>
      <c r="D764" s="26" t="n">
        <f aca="false">IF(INDEX(Pengaturan!$B$8:$B$27,D$4)="",0,COUNTIF(Data!$B764:$U764,INDEX(Pengaturan!$B$8:$B$27,D$4)))</f>
        <v>0</v>
      </c>
      <c r="E764" s="26" t="n">
        <f aca="false">IF(INDEX(Pengaturan!$B$8:$B$27,E$4)="",0,COUNTIF(Data!$B764:$U764,INDEX(Pengaturan!$B$8:$B$27,E$4)))</f>
        <v>0</v>
      </c>
      <c r="F764" s="26" t="n">
        <f aca="false">IF(INDEX(Pengaturan!$B$8:$B$27,F$4)="",0,COUNTIF(Data!$B764:$U764,INDEX(Pengaturan!$B$8:$B$27,F$4)))</f>
        <v>0</v>
      </c>
      <c r="G764" s="26" t="n">
        <f aca="false">IF(INDEX(Pengaturan!$B$8:$B$27,G$4)="",0,COUNTIF(Data!$B764:$U764,INDEX(Pengaturan!$B$8:$B$27,G$4)))</f>
        <v>0</v>
      </c>
      <c r="H764" s="26" t="n">
        <f aca="false">IF(INDEX(Pengaturan!$B$8:$B$27,H$4)="",0,COUNTIF(Data!$B764:$U764,INDEX(Pengaturan!$B$8:$B$27,H$4)))</f>
        <v>0</v>
      </c>
      <c r="I764" s="26" t="n">
        <f aca="false">IF(INDEX(Pengaturan!$B$8:$B$27,I$4)="",0,COUNTIF(Data!$B764:$U764,INDEX(Pengaturan!$B$8:$B$27,I$4)))</f>
        <v>0</v>
      </c>
      <c r="J764" s="26" t="n">
        <f aca="false">IF(INDEX(Pengaturan!$B$8:$B$27,J$4)="",0,COUNTIF(Data!$B764:$U764,INDEX(Pengaturan!$B$8:$B$27,J$4)))</f>
        <v>0</v>
      </c>
      <c r="K764" s="26" t="n">
        <f aca="false">IF(INDEX(Pengaturan!$B$8:$B$27,K$4)="",0,COUNTIF(Data!$B764:$U764,INDEX(Pengaturan!$B$8:$B$27,K$4)))</f>
        <v>0</v>
      </c>
      <c r="L764" s="26" t="n">
        <f aca="false">IF(INDEX(Pengaturan!$B$8:$B$27,L$4)="",0,COUNTIF(Data!$B764:$U764,INDEX(Pengaturan!$B$8:$B$27,L$4)))</f>
        <v>0</v>
      </c>
      <c r="M764" s="26" t="n">
        <f aca="false">IF(INDEX(Pengaturan!$B$8:$B$27,M$4)="",0,COUNTIF(Data!$B764:$U764,INDEX(Pengaturan!$B$8:$B$27,M$4)))</f>
        <v>0</v>
      </c>
      <c r="N764" s="26" t="n">
        <f aca="false">IF(INDEX(Pengaturan!$B$8:$B$27,N$4)="",0,COUNTIF(Data!$B764:$U764,INDEX(Pengaturan!$B$8:$B$27,N$4)))</f>
        <v>0</v>
      </c>
      <c r="O764" s="26" t="n">
        <f aca="false">IF(INDEX(Pengaturan!$B$8:$B$27,O$4)="",0,COUNTIF(Data!$B764:$U764,INDEX(Pengaturan!$B$8:$B$27,O$4)))</f>
        <v>0</v>
      </c>
      <c r="P764" s="26" t="n">
        <f aca="false">IF(INDEX(Pengaturan!$B$8:$B$27,P$4)="",0,COUNTIF(Data!$B764:$U764,INDEX(Pengaturan!$B$8:$B$27,P$4)))</f>
        <v>0</v>
      </c>
      <c r="Q764" s="26" t="n">
        <f aca="false">IF(INDEX(Pengaturan!$B$8:$B$27,Q$4)="",0,COUNTIF(Data!$B764:$U764,INDEX(Pengaturan!$B$8:$B$27,Q$4)))</f>
        <v>0</v>
      </c>
      <c r="R764" s="26" t="n">
        <f aca="false">IF(INDEX(Pengaturan!$B$8:$B$27,R$4)="",0,COUNTIF(Data!$B764:$U764,INDEX(Pengaturan!$B$8:$B$27,R$4)))</f>
        <v>0</v>
      </c>
      <c r="S764" s="26" t="n">
        <f aca="false">IF(INDEX(Pengaturan!$B$8:$B$27,S$4)="",0,COUNTIF(Data!$B764:$U764,INDEX(Pengaturan!$B$8:$B$27,S$4)))</f>
        <v>0</v>
      </c>
      <c r="T764" s="26" t="n">
        <f aca="false">IF(INDEX(Pengaturan!$B$8:$B$27,T$4)="",0,COUNTIF(Data!$B764:$U764,INDEX(Pengaturan!$B$8:$B$27,T$4)))</f>
        <v>0</v>
      </c>
      <c r="U764" s="26" t="n">
        <f aca="false">IF(INDEX(Pengaturan!$B$8:$B$27,U$4)="",0,COUNTIF(Data!$B764:$U764,INDEX(Pengaturan!$B$8:$B$27,U$4)))</f>
        <v>0</v>
      </c>
      <c r="V764" s="26" t="n">
        <f aca="false">COUNTA(Data!$B764:$U764)</f>
        <v>0</v>
      </c>
      <c r="W764" s="27" t="str">
        <f aca="false">IF(V764=0,"",IF(V764&lt;&gt;Hasil!$C$4,"Data kosong/tidak lengkap",IF(SUM(B764:U764)&lt;&gt;V764,"Kategori tidak dikenal","OK")))</f>
        <v/>
      </c>
      <c r="X764" s="26" t="n">
        <f aca="false">IF(OR(W764="",W764="OK"),0,1)</f>
        <v>0</v>
      </c>
    </row>
    <row r="765" customFormat="false" ht="15" hidden="false" customHeight="false" outlineLevel="0" collapsed="false">
      <c r="A765" s="26" t="n">
        <f aca="false">Data!A765</f>
        <v>760</v>
      </c>
      <c r="B765" s="26" t="n">
        <f aca="false">IF(INDEX(Pengaturan!$B$8:$B$27,B$4)="",0,COUNTIF(Data!$B765:$U765,INDEX(Pengaturan!$B$8:$B$27,B$4)))</f>
        <v>0</v>
      </c>
      <c r="C765" s="26" t="n">
        <f aca="false">IF(INDEX(Pengaturan!$B$8:$B$27,C$4)="",0,COUNTIF(Data!$B765:$U765,INDEX(Pengaturan!$B$8:$B$27,C$4)))</f>
        <v>0</v>
      </c>
      <c r="D765" s="26" t="n">
        <f aca="false">IF(INDEX(Pengaturan!$B$8:$B$27,D$4)="",0,COUNTIF(Data!$B765:$U765,INDEX(Pengaturan!$B$8:$B$27,D$4)))</f>
        <v>0</v>
      </c>
      <c r="E765" s="26" t="n">
        <f aca="false">IF(INDEX(Pengaturan!$B$8:$B$27,E$4)="",0,COUNTIF(Data!$B765:$U765,INDEX(Pengaturan!$B$8:$B$27,E$4)))</f>
        <v>0</v>
      </c>
      <c r="F765" s="26" t="n">
        <f aca="false">IF(INDEX(Pengaturan!$B$8:$B$27,F$4)="",0,COUNTIF(Data!$B765:$U765,INDEX(Pengaturan!$B$8:$B$27,F$4)))</f>
        <v>0</v>
      </c>
      <c r="G765" s="26" t="n">
        <f aca="false">IF(INDEX(Pengaturan!$B$8:$B$27,G$4)="",0,COUNTIF(Data!$B765:$U765,INDEX(Pengaturan!$B$8:$B$27,G$4)))</f>
        <v>0</v>
      </c>
      <c r="H765" s="26" t="n">
        <f aca="false">IF(INDEX(Pengaturan!$B$8:$B$27,H$4)="",0,COUNTIF(Data!$B765:$U765,INDEX(Pengaturan!$B$8:$B$27,H$4)))</f>
        <v>0</v>
      </c>
      <c r="I765" s="26" t="n">
        <f aca="false">IF(INDEX(Pengaturan!$B$8:$B$27,I$4)="",0,COUNTIF(Data!$B765:$U765,INDEX(Pengaturan!$B$8:$B$27,I$4)))</f>
        <v>0</v>
      </c>
      <c r="J765" s="26" t="n">
        <f aca="false">IF(INDEX(Pengaturan!$B$8:$B$27,J$4)="",0,COUNTIF(Data!$B765:$U765,INDEX(Pengaturan!$B$8:$B$27,J$4)))</f>
        <v>0</v>
      </c>
      <c r="K765" s="26" t="n">
        <f aca="false">IF(INDEX(Pengaturan!$B$8:$B$27,K$4)="",0,COUNTIF(Data!$B765:$U765,INDEX(Pengaturan!$B$8:$B$27,K$4)))</f>
        <v>0</v>
      </c>
      <c r="L765" s="26" t="n">
        <f aca="false">IF(INDEX(Pengaturan!$B$8:$B$27,L$4)="",0,COUNTIF(Data!$B765:$U765,INDEX(Pengaturan!$B$8:$B$27,L$4)))</f>
        <v>0</v>
      </c>
      <c r="M765" s="26" t="n">
        <f aca="false">IF(INDEX(Pengaturan!$B$8:$B$27,M$4)="",0,COUNTIF(Data!$B765:$U765,INDEX(Pengaturan!$B$8:$B$27,M$4)))</f>
        <v>0</v>
      </c>
      <c r="N765" s="26" t="n">
        <f aca="false">IF(INDEX(Pengaturan!$B$8:$B$27,N$4)="",0,COUNTIF(Data!$B765:$U765,INDEX(Pengaturan!$B$8:$B$27,N$4)))</f>
        <v>0</v>
      </c>
      <c r="O765" s="26" t="n">
        <f aca="false">IF(INDEX(Pengaturan!$B$8:$B$27,O$4)="",0,COUNTIF(Data!$B765:$U765,INDEX(Pengaturan!$B$8:$B$27,O$4)))</f>
        <v>0</v>
      </c>
      <c r="P765" s="26" t="n">
        <f aca="false">IF(INDEX(Pengaturan!$B$8:$B$27,P$4)="",0,COUNTIF(Data!$B765:$U765,INDEX(Pengaturan!$B$8:$B$27,P$4)))</f>
        <v>0</v>
      </c>
      <c r="Q765" s="26" t="n">
        <f aca="false">IF(INDEX(Pengaturan!$B$8:$B$27,Q$4)="",0,COUNTIF(Data!$B765:$U765,INDEX(Pengaturan!$B$8:$B$27,Q$4)))</f>
        <v>0</v>
      </c>
      <c r="R765" s="26" t="n">
        <f aca="false">IF(INDEX(Pengaturan!$B$8:$B$27,R$4)="",0,COUNTIF(Data!$B765:$U765,INDEX(Pengaturan!$B$8:$B$27,R$4)))</f>
        <v>0</v>
      </c>
      <c r="S765" s="26" t="n">
        <f aca="false">IF(INDEX(Pengaturan!$B$8:$B$27,S$4)="",0,COUNTIF(Data!$B765:$U765,INDEX(Pengaturan!$B$8:$B$27,S$4)))</f>
        <v>0</v>
      </c>
      <c r="T765" s="26" t="n">
        <f aca="false">IF(INDEX(Pengaturan!$B$8:$B$27,T$4)="",0,COUNTIF(Data!$B765:$U765,INDEX(Pengaturan!$B$8:$B$27,T$4)))</f>
        <v>0</v>
      </c>
      <c r="U765" s="26" t="n">
        <f aca="false">IF(INDEX(Pengaturan!$B$8:$B$27,U$4)="",0,COUNTIF(Data!$B765:$U765,INDEX(Pengaturan!$B$8:$B$27,U$4)))</f>
        <v>0</v>
      </c>
      <c r="V765" s="26" t="n">
        <f aca="false">COUNTA(Data!$B765:$U765)</f>
        <v>0</v>
      </c>
      <c r="W765" s="27" t="str">
        <f aca="false">IF(V765=0,"",IF(V765&lt;&gt;Hasil!$C$4,"Data kosong/tidak lengkap",IF(SUM(B765:U765)&lt;&gt;V765,"Kategori tidak dikenal","OK")))</f>
        <v/>
      </c>
      <c r="X765" s="26" t="n">
        <f aca="false">IF(OR(W765="",W765="OK"),0,1)</f>
        <v>0</v>
      </c>
    </row>
    <row r="766" customFormat="false" ht="15" hidden="false" customHeight="false" outlineLevel="0" collapsed="false">
      <c r="A766" s="26" t="n">
        <f aca="false">Data!A766</f>
        <v>761</v>
      </c>
      <c r="B766" s="26" t="n">
        <f aca="false">IF(INDEX(Pengaturan!$B$8:$B$27,B$4)="",0,COUNTIF(Data!$B766:$U766,INDEX(Pengaturan!$B$8:$B$27,B$4)))</f>
        <v>0</v>
      </c>
      <c r="C766" s="26" t="n">
        <f aca="false">IF(INDEX(Pengaturan!$B$8:$B$27,C$4)="",0,COUNTIF(Data!$B766:$U766,INDEX(Pengaturan!$B$8:$B$27,C$4)))</f>
        <v>0</v>
      </c>
      <c r="D766" s="26" t="n">
        <f aca="false">IF(INDEX(Pengaturan!$B$8:$B$27,D$4)="",0,COUNTIF(Data!$B766:$U766,INDEX(Pengaturan!$B$8:$B$27,D$4)))</f>
        <v>0</v>
      </c>
      <c r="E766" s="26" t="n">
        <f aca="false">IF(INDEX(Pengaturan!$B$8:$B$27,E$4)="",0,COUNTIF(Data!$B766:$U766,INDEX(Pengaturan!$B$8:$B$27,E$4)))</f>
        <v>0</v>
      </c>
      <c r="F766" s="26" t="n">
        <f aca="false">IF(INDEX(Pengaturan!$B$8:$B$27,F$4)="",0,COUNTIF(Data!$B766:$U766,INDEX(Pengaturan!$B$8:$B$27,F$4)))</f>
        <v>0</v>
      </c>
      <c r="G766" s="26" t="n">
        <f aca="false">IF(INDEX(Pengaturan!$B$8:$B$27,G$4)="",0,COUNTIF(Data!$B766:$U766,INDEX(Pengaturan!$B$8:$B$27,G$4)))</f>
        <v>0</v>
      </c>
      <c r="H766" s="26" t="n">
        <f aca="false">IF(INDEX(Pengaturan!$B$8:$B$27,H$4)="",0,COUNTIF(Data!$B766:$U766,INDEX(Pengaturan!$B$8:$B$27,H$4)))</f>
        <v>0</v>
      </c>
      <c r="I766" s="26" t="n">
        <f aca="false">IF(INDEX(Pengaturan!$B$8:$B$27,I$4)="",0,COUNTIF(Data!$B766:$U766,INDEX(Pengaturan!$B$8:$B$27,I$4)))</f>
        <v>0</v>
      </c>
      <c r="J766" s="26" t="n">
        <f aca="false">IF(INDEX(Pengaturan!$B$8:$B$27,J$4)="",0,COUNTIF(Data!$B766:$U766,INDEX(Pengaturan!$B$8:$B$27,J$4)))</f>
        <v>0</v>
      </c>
      <c r="K766" s="26" t="n">
        <f aca="false">IF(INDEX(Pengaturan!$B$8:$B$27,K$4)="",0,COUNTIF(Data!$B766:$U766,INDEX(Pengaturan!$B$8:$B$27,K$4)))</f>
        <v>0</v>
      </c>
      <c r="L766" s="26" t="n">
        <f aca="false">IF(INDEX(Pengaturan!$B$8:$B$27,L$4)="",0,COUNTIF(Data!$B766:$U766,INDEX(Pengaturan!$B$8:$B$27,L$4)))</f>
        <v>0</v>
      </c>
      <c r="M766" s="26" t="n">
        <f aca="false">IF(INDEX(Pengaturan!$B$8:$B$27,M$4)="",0,COUNTIF(Data!$B766:$U766,INDEX(Pengaturan!$B$8:$B$27,M$4)))</f>
        <v>0</v>
      </c>
      <c r="N766" s="26" t="n">
        <f aca="false">IF(INDEX(Pengaturan!$B$8:$B$27,N$4)="",0,COUNTIF(Data!$B766:$U766,INDEX(Pengaturan!$B$8:$B$27,N$4)))</f>
        <v>0</v>
      </c>
      <c r="O766" s="26" t="n">
        <f aca="false">IF(INDEX(Pengaturan!$B$8:$B$27,O$4)="",0,COUNTIF(Data!$B766:$U766,INDEX(Pengaturan!$B$8:$B$27,O$4)))</f>
        <v>0</v>
      </c>
      <c r="P766" s="26" t="n">
        <f aca="false">IF(INDEX(Pengaturan!$B$8:$B$27,P$4)="",0,COUNTIF(Data!$B766:$U766,INDEX(Pengaturan!$B$8:$B$27,P$4)))</f>
        <v>0</v>
      </c>
      <c r="Q766" s="26" t="n">
        <f aca="false">IF(INDEX(Pengaturan!$B$8:$B$27,Q$4)="",0,COUNTIF(Data!$B766:$U766,INDEX(Pengaturan!$B$8:$B$27,Q$4)))</f>
        <v>0</v>
      </c>
      <c r="R766" s="26" t="n">
        <f aca="false">IF(INDEX(Pengaturan!$B$8:$B$27,R$4)="",0,COUNTIF(Data!$B766:$U766,INDEX(Pengaturan!$B$8:$B$27,R$4)))</f>
        <v>0</v>
      </c>
      <c r="S766" s="26" t="n">
        <f aca="false">IF(INDEX(Pengaturan!$B$8:$B$27,S$4)="",0,COUNTIF(Data!$B766:$U766,INDEX(Pengaturan!$B$8:$B$27,S$4)))</f>
        <v>0</v>
      </c>
      <c r="T766" s="26" t="n">
        <f aca="false">IF(INDEX(Pengaturan!$B$8:$B$27,T$4)="",0,COUNTIF(Data!$B766:$U766,INDEX(Pengaturan!$B$8:$B$27,T$4)))</f>
        <v>0</v>
      </c>
      <c r="U766" s="26" t="n">
        <f aca="false">IF(INDEX(Pengaturan!$B$8:$B$27,U$4)="",0,COUNTIF(Data!$B766:$U766,INDEX(Pengaturan!$B$8:$B$27,U$4)))</f>
        <v>0</v>
      </c>
      <c r="V766" s="26" t="n">
        <f aca="false">COUNTA(Data!$B766:$U766)</f>
        <v>0</v>
      </c>
      <c r="W766" s="27" t="str">
        <f aca="false">IF(V766=0,"",IF(V766&lt;&gt;Hasil!$C$4,"Data kosong/tidak lengkap",IF(SUM(B766:U766)&lt;&gt;V766,"Kategori tidak dikenal","OK")))</f>
        <v/>
      </c>
      <c r="X766" s="26" t="n">
        <f aca="false">IF(OR(W766="",W766="OK"),0,1)</f>
        <v>0</v>
      </c>
    </row>
    <row r="767" customFormat="false" ht="15" hidden="false" customHeight="false" outlineLevel="0" collapsed="false">
      <c r="A767" s="26" t="n">
        <f aca="false">Data!A767</f>
        <v>762</v>
      </c>
      <c r="B767" s="26" t="n">
        <f aca="false">IF(INDEX(Pengaturan!$B$8:$B$27,B$4)="",0,COUNTIF(Data!$B767:$U767,INDEX(Pengaturan!$B$8:$B$27,B$4)))</f>
        <v>0</v>
      </c>
      <c r="C767" s="26" t="n">
        <f aca="false">IF(INDEX(Pengaturan!$B$8:$B$27,C$4)="",0,COUNTIF(Data!$B767:$U767,INDEX(Pengaturan!$B$8:$B$27,C$4)))</f>
        <v>0</v>
      </c>
      <c r="D767" s="26" t="n">
        <f aca="false">IF(INDEX(Pengaturan!$B$8:$B$27,D$4)="",0,COUNTIF(Data!$B767:$U767,INDEX(Pengaturan!$B$8:$B$27,D$4)))</f>
        <v>0</v>
      </c>
      <c r="E767" s="26" t="n">
        <f aca="false">IF(INDEX(Pengaturan!$B$8:$B$27,E$4)="",0,COUNTIF(Data!$B767:$U767,INDEX(Pengaturan!$B$8:$B$27,E$4)))</f>
        <v>0</v>
      </c>
      <c r="F767" s="26" t="n">
        <f aca="false">IF(INDEX(Pengaturan!$B$8:$B$27,F$4)="",0,COUNTIF(Data!$B767:$U767,INDEX(Pengaturan!$B$8:$B$27,F$4)))</f>
        <v>0</v>
      </c>
      <c r="G767" s="26" t="n">
        <f aca="false">IF(INDEX(Pengaturan!$B$8:$B$27,G$4)="",0,COUNTIF(Data!$B767:$U767,INDEX(Pengaturan!$B$8:$B$27,G$4)))</f>
        <v>0</v>
      </c>
      <c r="H767" s="26" t="n">
        <f aca="false">IF(INDEX(Pengaturan!$B$8:$B$27,H$4)="",0,COUNTIF(Data!$B767:$U767,INDEX(Pengaturan!$B$8:$B$27,H$4)))</f>
        <v>0</v>
      </c>
      <c r="I767" s="26" t="n">
        <f aca="false">IF(INDEX(Pengaturan!$B$8:$B$27,I$4)="",0,COUNTIF(Data!$B767:$U767,INDEX(Pengaturan!$B$8:$B$27,I$4)))</f>
        <v>0</v>
      </c>
      <c r="J767" s="26" t="n">
        <f aca="false">IF(INDEX(Pengaturan!$B$8:$B$27,J$4)="",0,COUNTIF(Data!$B767:$U767,INDEX(Pengaturan!$B$8:$B$27,J$4)))</f>
        <v>0</v>
      </c>
      <c r="K767" s="26" t="n">
        <f aca="false">IF(INDEX(Pengaturan!$B$8:$B$27,K$4)="",0,COUNTIF(Data!$B767:$U767,INDEX(Pengaturan!$B$8:$B$27,K$4)))</f>
        <v>0</v>
      </c>
      <c r="L767" s="26" t="n">
        <f aca="false">IF(INDEX(Pengaturan!$B$8:$B$27,L$4)="",0,COUNTIF(Data!$B767:$U767,INDEX(Pengaturan!$B$8:$B$27,L$4)))</f>
        <v>0</v>
      </c>
      <c r="M767" s="26" t="n">
        <f aca="false">IF(INDEX(Pengaturan!$B$8:$B$27,M$4)="",0,COUNTIF(Data!$B767:$U767,INDEX(Pengaturan!$B$8:$B$27,M$4)))</f>
        <v>0</v>
      </c>
      <c r="N767" s="26" t="n">
        <f aca="false">IF(INDEX(Pengaturan!$B$8:$B$27,N$4)="",0,COUNTIF(Data!$B767:$U767,INDEX(Pengaturan!$B$8:$B$27,N$4)))</f>
        <v>0</v>
      </c>
      <c r="O767" s="26" t="n">
        <f aca="false">IF(INDEX(Pengaturan!$B$8:$B$27,O$4)="",0,COUNTIF(Data!$B767:$U767,INDEX(Pengaturan!$B$8:$B$27,O$4)))</f>
        <v>0</v>
      </c>
      <c r="P767" s="26" t="n">
        <f aca="false">IF(INDEX(Pengaturan!$B$8:$B$27,P$4)="",0,COUNTIF(Data!$B767:$U767,INDEX(Pengaturan!$B$8:$B$27,P$4)))</f>
        <v>0</v>
      </c>
      <c r="Q767" s="26" t="n">
        <f aca="false">IF(INDEX(Pengaturan!$B$8:$B$27,Q$4)="",0,COUNTIF(Data!$B767:$U767,INDEX(Pengaturan!$B$8:$B$27,Q$4)))</f>
        <v>0</v>
      </c>
      <c r="R767" s="26" t="n">
        <f aca="false">IF(INDEX(Pengaturan!$B$8:$B$27,R$4)="",0,COUNTIF(Data!$B767:$U767,INDEX(Pengaturan!$B$8:$B$27,R$4)))</f>
        <v>0</v>
      </c>
      <c r="S767" s="26" t="n">
        <f aca="false">IF(INDEX(Pengaturan!$B$8:$B$27,S$4)="",0,COUNTIF(Data!$B767:$U767,INDEX(Pengaturan!$B$8:$B$27,S$4)))</f>
        <v>0</v>
      </c>
      <c r="T767" s="26" t="n">
        <f aca="false">IF(INDEX(Pengaturan!$B$8:$B$27,T$4)="",0,COUNTIF(Data!$B767:$U767,INDEX(Pengaturan!$B$8:$B$27,T$4)))</f>
        <v>0</v>
      </c>
      <c r="U767" s="26" t="n">
        <f aca="false">IF(INDEX(Pengaturan!$B$8:$B$27,U$4)="",0,COUNTIF(Data!$B767:$U767,INDEX(Pengaturan!$B$8:$B$27,U$4)))</f>
        <v>0</v>
      </c>
      <c r="V767" s="26" t="n">
        <f aca="false">COUNTA(Data!$B767:$U767)</f>
        <v>0</v>
      </c>
      <c r="W767" s="27" t="str">
        <f aca="false">IF(V767=0,"",IF(V767&lt;&gt;Hasil!$C$4,"Data kosong/tidak lengkap",IF(SUM(B767:U767)&lt;&gt;V767,"Kategori tidak dikenal","OK")))</f>
        <v/>
      </c>
      <c r="X767" s="26" t="n">
        <f aca="false">IF(OR(W767="",W767="OK"),0,1)</f>
        <v>0</v>
      </c>
    </row>
    <row r="768" customFormat="false" ht="15" hidden="false" customHeight="false" outlineLevel="0" collapsed="false">
      <c r="A768" s="26" t="n">
        <f aca="false">Data!A768</f>
        <v>763</v>
      </c>
      <c r="B768" s="26" t="n">
        <f aca="false">IF(INDEX(Pengaturan!$B$8:$B$27,B$4)="",0,COUNTIF(Data!$B768:$U768,INDEX(Pengaturan!$B$8:$B$27,B$4)))</f>
        <v>0</v>
      </c>
      <c r="C768" s="26" t="n">
        <f aca="false">IF(INDEX(Pengaturan!$B$8:$B$27,C$4)="",0,COUNTIF(Data!$B768:$U768,INDEX(Pengaturan!$B$8:$B$27,C$4)))</f>
        <v>0</v>
      </c>
      <c r="D768" s="26" t="n">
        <f aca="false">IF(INDEX(Pengaturan!$B$8:$B$27,D$4)="",0,COUNTIF(Data!$B768:$U768,INDEX(Pengaturan!$B$8:$B$27,D$4)))</f>
        <v>0</v>
      </c>
      <c r="E768" s="26" t="n">
        <f aca="false">IF(INDEX(Pengaturan!$B$8:$B$27,E$4)="",0,COUNTIF(Data!$B768:$U768,INDEX(Pengaturan!$B$8:$B$27,E$4)))</f>
        <v>0</v>
      </c>
      <c r="F768" s="26" t="n">
        <f aca="false">IF(INDEX(Pengaturan!$B$8:$B$27,F$4)="",0,COUNTIF(Data!$B768:$U768,INDEX(Pengaturan!$B$8:$B$27,F$4)))</f>
        <v>0</v>
      </c>
      <c r="G768" s="26" t="n">
        <f aca="false">IF(INDEX(Pengaturan!$B$8:$B$27,G$4)="",0,COUNTIF(Data!$B768:$U768,INDEX(Pengaturan!$B$8:$B$27,G$4)))</f>
        <v>0</v>
      </c>
      <c r="H768" s="26" t="n">
        <f aca="false">IF(INDEX(Pengaturan!$B$8:$B$27,H$4)="",0,COUNTIF(Data!$B768:$U768,INDEX(Pengaturan!$B$8:$B$27,H$4)))</f>
        <v>0</v>
      </c>
      <c r="I768" s="26" t="n">
        <f aca="false">IF(INDEX(Pengaturan!$B$8:$B$27,I$4)="",0,COUNTIF(Data!$B768:$U768,INDEX(Pengaturan!$B$8:$B$27,I$4)))</f>
        <v>0</v>
      </c>
      <c r="J768" s="26" t="n">
        <f aca="false">IF(INDEX(Pengaturan!$B$8:$B$27,J$4)="",0,COUNTIF(Data!$B768:$U768,INDEX(Pengaturan!$B$8:$B$27,J$4)))</f>
        <v>0</v>
      </c>
      <c r="K768" s="26" t="n">
        <f aca="false">IF(INDEX(Pengaturan!$B$8:$B$27,K$4)="",0,COUNTIF(Data!$B768:$U768,INDEX(Pengaturan!$B$8:$B$27,K$4)))</f>
        <v>0</v>
      </c>
      <c r="L768" s="26" t="n">
        <f aca="false">IF(INDEX(Pengaturan!$B$8:$B$27,L$4)="",0,COUNTIF(Data!$B768:$U768,INDEX(Pengaturan!$B$8:$B$27,L$4)))</f>
        <v>0</v>
      </c>
      <c r="M768" s="26" t="n">
        <f aca="false">IF(INDEX(Pengaturan!$B$8:$B$27,M$4)="",0,COUNTIF(Data!$B768:$U768,INDEX(Pengaturan!$B$8:$B$27,M$4)))</f>
        <v>0</v>
      </c>
      <c r="N768" s="26" t="n">
        <f aca="false">IF(INDEX(Pengaturan!$B$8:$B$27,N$4)="",0,COUNTIF(Data!$B768:$U768,INDEX(Pengaturan!$B$8:$B$27,N$4)))</f>
        <v>0</v>
      </c>
      <c r="O768" s="26" t="n">
        <f aca="false">IF(INDEX(Pengaturan!$B$8:$B$27,O$4)="",0,COUNTIF(Data!$B768:$U768,INDEX(Pengaturan!$B$8:$B$27,O$4)))</f>
        <v>0</v>
      </c>
      <c r="P768" s="26" t="n">
        <f aca="false">IF(INDEX(Pengaturan!$B$8:$B$27,P$4)="",0,COUNTIF(Data!$B768:$U768,INDEX(Pengaturan!$B$8:$B$27,P$4)))</f>
        <v>0</v>
      </c>
      <c r="Q768" s="26" t="n">
        <f aca="false">IF(INDEX(Pengaturan!$B$8:$B$27,Q$4)="",0,COUNTIF(Data!$B768:$U768,INDEX(Pengaturan!$B$8:$B$27,Q$4)))</f>
        <v>0</v>
      </c>
      <c r="R768" s="26" t="n">
        <f aca="false">IF(INDEX(Pengaturan!$B$8:$B$27,R$4)="",0,COUNTIF(Data!$B768:$U768,INDEX(Pengaturan!$B$8:$B$27,R$4)))</f>
        <v>0</v>
      </c>
      <c r="S768" s="26" t="n">
        <f aca="false">IF(INDEX(Pengaturan!$B$8:$B$27,S$4)="",0,COUNTIF(Data!$B768:$U768,INDEX(Pengaturan!$B$8:$B$27,S$4)))</f>
        <v>0</v>
      </c>
      <c r="T768" s="26" t="n">
        <f aca="false">IF(INDEX(Pengaturan!$B$8:$B$27,T$4)="",0,COUNTIF(Data!$B768:$U768,INDEX(Pengaturan!$B$8:$B$27,T$4)))</f>
        <v>0</v>
      </c>
      <c r="U768" s="26" t="n">
        <f aca="false">IF(INDEX(Pengaturan!$B$8:$B$27,U$4)="",0,COUNTIF(Data!$B768:$U768,INDEX(Pengaturan!$B$8:$B$27,U$4)))</f>
        <v>0</v>
      </c>
      <c r="V768" s="26" t="n">
        <f aca="false">COUNTA(Data!$B768:$U768)</f>
        <v>0</v>
      </c>
      <c r="W768" s="27" t="str">
        <f aca="false">IF(V768=0,"",IF(V768&lt;&gt;Hasil!$C$4,"Data kosong/tidak lengkap",IF(SUM(B768:U768)&lt;&gt;V768,"Kategori tidak dikenal","OK")))</f>
        <v/>
      </c>
      <c r="X768" s="26" t="n">
        <f aca="false">IF(OR(W768="",W768="OK"),0,1)</f>
        <v>0</v>
      </c>
    </row>
    <row r="769" customFormat="false" ht="15" hidden="false" customHeight="false" outlineLevel="0" collapsed="false">
      <c r="A769" s="26" t="n">
        <f aca="false">Data!A769</f>
        <v>764</v>
      </c>
      <c r="B769" s="26" t="n">
        <f aca="false">IF(INDEX(Pengaturan!$B$8:$B$27,B$4)="",0,COUNTIF(Data!$B769:$U769,INDEX(Pengaturan!$B$8:$B$27,B$4)))</f>
        <v>0</v>
      </c>
      <c r="C769" s="26" t="n">
        <f aca="false">IF(INDEX(Pengaturan!$B$8:$B$27,C$4)="",0,COUNTIF(Data!$B769:$U769,INDEX(Pengaturan!$B$8:$B$27,C$4)))</f>
        <v>0</v>
      </c>
      <c r="D769" s="26" t="n">
        <f aca="false">IF(INDEX(Pengaturan!$B$8:$B$27,D$4)="",0,COUNTIF(Data!$B769:$U769,INDEX(Pengaturan!$B$8:$B$27,D$4)))</f>
        <v>0</v>
      </c>
      <c r="E769" s="26" t="n">
        <f aca="false">IF(INDEX(Pengaturan!$B$8:$B$27,E$4)="",0,COUNTIF(Data!$B769:$U769,INDEX(Pengaturan!$B$8:$B$27,E$4)))</f>
        <v>0</v>
      </c>
      <c r="F769" s="26" t="n">
        <f aca="false">IF(INDEX(Pengaturan!$B$8:$B$27,F$4)="",0,COUNTIF(Data!$B769:$U769,INDEX(Pengaturan!$B$8:$B$27,F$4)))</f>
        <v>0</v>
      </c>
      <c r="G769" s="26" t="n">
        <f aca="false">IF(INDEX(Pengaturan!$B$8:$B$27,G$4)="",0,COUNTIF(Data!$B769:$U769,INDEX(Pengaturan!$B$8:$B$27,G$4)))</f>
        <v>0</v>
      </c>
      <c r="H769" s="26" t="n">
        <f aca="false">IF(INDEX(Pengaturan!$B$8:$B$27,H$4)="",0,COUNTIF(Data!$B769:$U769,INDEX(Pengaturan!$B$8:$B$27,H$4)))</f>
        <v>0</v>
      </c>
      <c r="I769" s="26" t="n">
        <f aca="false">IF(INDEX(Pengaturan!$B$8:$B$27,I$4)="",0,COUNTIF(Data!$B769:$U769,INDEX(Pengaturan!$B$8:$B$27,I$4)))</f>
        <v>0</v>
      </c>
      <c r="J769" s="26" t="n">
        <f aca="false">IF(INDEX(Pengaturan!$B$8:$B$27,J$4)="",0,COUNTIF(Data!$B769:$U769,INDEX(Pengaturan!$B$8:$B$27,J$4)))</f>
        <v>0</v>
      </c>
      <c r="K769" s="26" t="n">
        <f aca="false">IF(INDEX(Pengaturan!$B$8:$B$27,K$4)="",0,COUNTIF(Data!$B769:$U769,INDEX(Pengaturan!$B$8:$B$27,K$4)))</f>
        <v>0</v>
      </c>
      <c r="L769" s="26" t="n">
        <f aca="false">IF(INDEX(Pengaturan!$B$8:$B$27,L$4)="",0,COUNTIF(Data!$B769:$U769,INDEX(Pengaturan!$B$8:$B$27,L$4)))</f>
        <v>0</v>
      </c>
      <c r="M769" s="26" t="n">
        <f aca="false">IF(INDEX(Pengaturan!$B$8:$B$27,M$4)="",0,COUNTIF(Data!$B769:$U769,INDEX(Pengaturan!$B$8:$B$27,M$4)))</f>
        <v>0</v>
      </c>
      <c r="N769" s="26" t="n">
        <f aca="false">IF(INDEX(Pengaturan!$B$8:$B$27,N$4)="",0,COUNTIF(Data!$B769:$U769,INDEX(Pengaturan!$B$8:$B$27,N$4)))</f>
        <v>0</v>
      </c>
      <c r="O769" s="26" t="n">
        <f aca="false">IF(INDEX(Pengaturan!$B$8:$B$27,O$4)="",0,COUNTIF(Data!$B769:$U769,INDEX(Pengaturan!$B$8:$B$27,O$4)))</f>
        <v>0</v>
      </c>
      <c r="P769" s="26" t="n">
        <f aca="false">IF(INDEX(Pengaturan!$B$8:$B$27,P$4)="",0,COUNTIF(Data!$B769:$U769,INDEX(Pengaturan!$B$8:$B$27,P$4)))</f>
        <v>0</v>
      </c>
      <c r="Q769" s="26" t="n">
        <f aca="false">IF(INDEX(Pengaturan!$B$8:$B$27,Q$4)="",0,COUNTIF(Data!$B769:$U769,INDEX(Pengaturan!$B$8:$B$27,Q$4)))</f>
        <v>0</v>
      </c>
      <c r="R769" s="26" t="n">
        <f aca="false">IF(INDEX(Pengaturan!$B$8:$B$27,R$4)="",0,COUNTIF(Data!$B769:$U769,INDEX(Pengaturan!$B$8:$B$27,R$4)))</f>
        <v>0</v>
      </c>
      <c r="S769" s="26" t="n">
        <f aca="false">IF(INDEX(Pengaturan!$B$8:$B$27,S$4)="",0,COUNTIF(Data!$B769:$U769,INDEX(Pengaturan!$B$8:$B$27,S$4)))</f>
        <v>0</v>
      </c>
      <c r="T769" s="26" t="n">
        <f aca="false">IF(INDEX(Pengaturan!$B$8:$B$27,T$4)="",0,COUNTIF(Data!$B769:$U769,INDEX(Pengaturan!$B$8:$B$27,T$4)))</f>
        <v>0</v>
      </c>
      <c r="U769" s="26" t="n">
        <f aca="false">IF(INDEX(Pengaturan!$B$8:$B$27,U$4)="",0,COUNTIF(Data!$B769:$U769,INDEX(Pengaturan!$B$8:$B$27,U$4)))</f>
        <v>0</v>
      </c>
      <c r="V769" s="26" t="n">
        <f aca="false">COUNTA(Data!$B769:$U769)</f>
        <v>0</v>
      </c>
      <c r="W769" s="27" t="str">
        <f aca="false">IF(V769=0,"",IF(V769&lt;&gt;Hasil!$C$4,"Data kosong/tidak lengkap",IF(SUM(B769:U769)&lt;&gt;V769,"Kategori tidak dikenal","OK")))</f>
        <v/>
      </c>
      <c r="X769" s="26" t="n">
        <f aca="false">IF(OR(W769="",W769="OK"),0,1)</f>
        <v>0</v>
      </c>
    </row>
    <row r="770" customFormat="false" ht="15" hidden="false" customHeight="false" outlineLevel="0" collapsed="false">
      <c r="A770" s="26" t="n">
        <f aca="false">Data!A770</f>
        <v>765</v>
      </c>
      <c r="B770" s="26" t="n">
        <f aca="false">IF(INDEX(Pengaturan!$B$8:$B$27,B$4)="",0,COUNTIF(Data!$B770:$U770,INDEX(Pengaturan!$B$8:$B$27,B$4)))</f>
        <v>0</v>
      </c>
      <c r="C770" s="26" t="n">
        <f aca="false">IF(INDEX(Pengaturan!$B$8:$B$27,C$4)="",0,COUNTIF(Data!$B770:$U770,INDEX(Pengaturan!$B$8:$B$27,C$4)))</f>
        <v>0</v>
      </c>
      <c r="D770" s="26" t="n">
        <f aca="false">IF(INDEX(Pengaturan!$B$8:$B$27,D$4)="",0,COUNTIF(Data!$B770:$U770,INDEX(Pengaturan!$B$8:$B$27,D$4)))</f>
        <v>0</v>
      </c>
      <c r="E770" s="26" t="n">
        <f aca="false">IF(INDEX(Pengaturan!$B$8:$B$27,E$4)="",0,COUNTIF(Data!$B770:$U770,INDEX(Pengaturan!$B$8:$B$27,E$4)))</f>
        <v>0</v>
      </c>
      <c r="F770" s="26" t="n">
        <f aca="false">IF(INDEX(Pengaturan!$B$8:$B$27,F$4)="",0,COUNTIF(Data!$B770:$U770,INDEX(Pengaturan!$B$8:$B$27,F$4)))</f>
        <v>0</v>
      </c>
      <c r="G770" s="26" t="n">
        <f aca="false">IF(INDEX(Pengaturan!$B$8:$B$27,G$4)="",0,COUNTIF(Data!$B770:$U770,INDEX(Pengaturan!$B$8:$B$27,G$4)))</f>
        <v>0</v>
      </c>
      <c r="H770" s="26" t="n">
        <f aca="false">IF(INDEX(Pengaturan!$B$8:$B$27,H$4)="",0,COUNTIF(Data!$B770:$U770,INDEX(Pengaturan!$B$8:$B$27,H$4)))</f>
        <v>0</v>
      </c>
      <c r="I770" s="26" t="n">
        <f aca="false">IF(INDEX(Pengaturan!$B$8:$B$27,I$4)="",0,COUNTIF(Data!$B770:$U770,INDEX(Pengaturan!$B$8:$B$27,I$4)))</f>
        <v>0</v>
      </c>
      <c r="J770" s="26" t="n">
        <f aca="false">IF(INDEX(Pengaturan!$B$8:$B$27,J$4)="",0,COUNTIF(Data!$B770:$U770,INDEX(Pengaturan!$B$8:$B$27,J$4)))</f>
        <v>0</v>
      </c>
      <c r="K770" s="26" t="n">
        <f aca="false">IF(INDEX(Pengaturan!$B$8:$B$27,K$4)="",0,COUNTIF(Data!$B770:$U770,INDEX(Pengaturan!$B$8:$B$27,K$4)))</f>
        <v>0</v>
      </c>
      <c r="L770" s="26" t="n">
        <f aca="false">IF(INDEX(Pengaturan!$B$8:$B$27,L$4)="",0,COUNTIF(Data!$B770:$U770,INDEX(Pengaturan!$B$8:$B$27,L$4)))</f>
        <v>0</v>
      </c>
      <c r="M770" s="26" t="n">
        <f aca="false">IF(INDEX(Pengaturan!$B$8:$B$27,M$4)="",0,COUNTIF(Data!$B770:$U770,INDEX(Pengaturan!$B$8:$B$27,M$4)))</f>
        <v>0</v>
      </c>
      <c r="N770" s="26" t="n">
        <f aca="false">IF(INDEX(Pengaturan!$B$8:$B$27,N$4)="",0,COUNTIF(Data!$B770:$U770,INDEX(Pengaturan!$B$8:$B$27,N$4)))</f>
        <v>0</v>
      </c>
      <c r="O770" s="26" t="n">
        <f aca="false">IF(INDEX(Pengaturan!$B$8:$B$27,O$4)="",0,COUNTIF(Data!$B770:$U770,INDEX(Pengaturan!$B$8:$B$27,O$4)))</f>
        <v>0</v>
      </c>
      <c r="P770" s="26" t="n">
        <f aca="false">IF(INDEX(Pengaturan!$B$8:$B$27,P$4)="",0,COUNTIF(Data!$B770:$U770,INDEX(Pengaturan!$B$8:$B$27,P$4)))</f>
        <v>0</v>
      </c>
      <c r="Q770" s="26" t="n">
        <f aca="false">IF(INDEX(Pengaturan!$B$8:$B$27,Q$4)="",0,COUNTIF(Data!$B770:$U770,INDEX(Pengaturan!$B$8:$B$27,Q$4)))</f>
        <v>0</v>
      </c>
      <c r="R770" s="26" t="n">
        <f aca="false">IF(INDEX(Pengaturan!$B$8:$B$27,R$4)="",0,COUNTIF(Data!$B770:$U770,INDEX(Pengaturan!$B$8:$B$27,R$4)))</f>
        <v>0</v>
      </c>
      <c r="S770" s="26" t="n">
        <f aca="false">IF(INDEX(Pengaturan!$B$8:$B$27,S$4)="",0,COUNTIF(Data!$B770:$U770,INDEX(Pengaturan!$B$8:$B$27,S$4)))</f>
        <v>0</v>
      </c>
      <c r="T770" s="26" t="n">
        <f aca="false">IF(INDEX(Pengaturan!$B$8:$B$27,T$4)="",0,COUNTIF(Data!$B770:$U770,INDEX(Pengaturan!$B$8:$B$27,T$4)))</f>
        <v>0</v>
      </c>
      <c r="U770" s="26" t="n">
        <f aca="false">IF(INDEX(Pengaturan!$B$8:$B$27,U$4)="",0,COUNTIF(Data!$B770:$U770,INDEX(Pengaturan!$B$8:$B$27,U$4)))</f>
        <v>0</v>
      </c>
      <c r="V770" s="26" t="n">
        <f aca="false">COUNTA(Data!$B770:$U770)</f>
        <v>0</v>
      </c>
      <c r="W770" s="27" t="str">
        <f aca="false">IF(V770=0,"",IF(V770&lt;&gt;Hasil!$C$4,"Data kosong/tidak lengkap",IF(SUM(B770:U770)&lt;&gt;V770,"Kategori tidak dikenal","OK")))</f>
        <v/>
      </c>
      <c r="X770" s="26" t="n">
        <f aca="false">IF(OR(W770="",W770="OK"),0,1)</f>
        <v>0</v>
      </c>
    </row>
    <row r="771" customFormat="false" ht="15" hidden="false" customHeight="false" outlineLevel="0" collapsed="false">
      <c r="A771" s="26" t="n">
        <f aca="false">Data!A771</f>
        <v>766</v>
      </c>
      <c r="B771" s="26" t="n">
        <f aca="false">IF(INDEX(Pengaturan!$B$8:$B$27,B$4)="",0,COUNTIF(Data!$B771:$U771,INDEX(Pengaturan!$B$8:$B$27,B$4)))</f>
        <v>0</v>
      </c>
      <c r="C771" s="26" t="n">
        <f aca="false">IF(INDEX(Pengaturan!$B$8:$B$27,C$4)="",0,COUNTIF(Data!$B771:$U771,INDEX(Pengaturan!$B$8:$B$27,C$4)))</f>
        <v>0</v>
      </c>
      <c r="D771" s="26" t="n">
        <f aca="false">IF(INDEX(Pengaturan!$B$8:$B$27,D$4)="",0,COUNTIF(Data!$B771:$U771,INDEX(Pengaturan!$B$8:$B$27,D$4)))</f>
        <v>0</v>
      </c>
      <c r="E771" s="26" t="n">
        <f aca="false">IF(INDEX(Pengaturan!$B$8:$B$27,E$4)="",0,COUNTIF(Data!$B771:$U771,INDEX(Pengaturan!$B$8:$B$27,E$4)))</f>
        <v>0</v>
      </c>
      <c r="F771" s="26" t="n">
        <f aca="false">IF(INDEX(Pengaturan!$B$8:$B$27,F$4)="",0,COUNTIF(Data!$B771:$U771,INDEX(Pengaturan!$B$8:$B$27,F$4)))</f>
        <v>0</v>
      </c>
      <c r="G771" s="26" t="n">
        <f aca="false">IF(INDEX(Pengaturan!$B$8:$B$27,G$4)="",0,COUNTIF(Data!$B771:$U771,INDEX(Pengaturan!$B$8:$B$27,G$4)))</f>
        <v>0</v>
      </c>
      <c r="H771" s="26" t="n">
        <f aca="false">IF(INDEX(Pengaturan!$B$8:$B$27,H$4)="",0,COUNTIF(Data!$B771:$U771,INDEX(Pengaturan!$B$8:$B$27,H$4)))</f>
        <v>0</v>
      </c>
      <c r="I771" s="26" t="n">
        <f aca="false">IF(INDEX(Pengaturan!$B$8:$B$27,I$4)="",0,COUNTIF(Data!$B771:$U771,INDEX(Pengaturan!$B$8:$B$27,I$4)))</f>
        <v>0</v>
      </c>
      <c r="J771" s="26" t="n">
        <f aca="false">IF(INDEX(Pengaturan!$B$8:$B$27,J$4)="",0,COUNTIF(Data!$B771:$U771,INDEX(Pengaturan!$B$8:$B$27,J$4)))</f>
        <v>0</v>
      </c>
      <c r="K771" s="26" t="n">
        <f aca="false">IF(INDEX(Pengaturan!$B$8:$B$27,K$4)="",0,COUNTIF(Data!$B771:$U771,INDEX(Pengaturan!$B$8:$B$27,K$4)))</f>
        <v>0</v>
      </c>
      <c r="L771" s="26" t="n">
        <f aca="false">IF(INDEX(Pengaturan!$B$8:$B$27,L$4)="",0,COUNTIF(Data!$B771:$U771,INDEX(Pengaturan!$B$8:$B$27,L$4)))</f>
        <v>0</v>
      </c>
      <c r="M771" s="26" t="n">
        <f aca="false">IF(INDEX(Pengaturan!$B$8:$B$27,M$4)="",0,COUNTIF(Data!$B771:$U771,INDEX(Pengaturan!$B$8:$B$27,M$4)))</f>
        <v>0</v>
      </c>
      <c r="N771" s="26" t="n">
        <f aca="false">IF(INDEX(Pengaturan!$B$8:$B$27,N$4)="",0,COUNTIF(Data!$B771:$U771,INDEX(Pengaturan!$B$8:$B$27,N$4)))</f>
        <v>0</v>
      </c>
      <c r="O771" s="26" t="n">
        <f aca="false">IF(INDEX(Pengaturan!$B$8:$B$27,O$4)="",0,COUNTIF(Data!$B771:$U771,INDEX(Pengaturan!$B$8:$B$27,O$4)))</f>
        <v>0</v>
      </c>
      <c r="P771" s="26" t="n">
        <f aca="false">IF(INDEX(Pengaturan!$B$8:$B$27,P$4)="",0,COUNTIF(Data!$B771:$U771,INDEX(Pengaturan!$B$8:$B$27,P$4)))</f>
        <v>0</v>
      </c>
      <c r="Q771" s="26" t="n">
        <f aca="false">IF(INDEX(Pengaturan!$B$8:$B$27,Q$4)="",0,COUNTIF(Data!$B771:$U771,INDEX(Pengaturan!$B$8:$B$27,Q$4)))</f>
        <v>0</v>
      </c>
      <c r="R771" s="26" t="n">
        <f aca="false">IF(INDEX(Pengaturan!$B$8:$B$27,R$4)="",0,COUNTIF(Data!$B771:$U771,INDEX(Pengaturan!$B$8:$B$27,R$4)))</f>
        <v>0</v>
      </c>
      <c r="S771" s="26" t="n">
        <f aca="false">IF(INDEX(Pengaturan!$B$8:$B$27,S$4)="",0,COUNTIF(Data!$B771:$U771,INDEX(Pengaturan!$B$8:$B$27,S$4)))</f>
        <v>0</v>
      </c>
      <c r="T771" s="26" t="n">
        <f aca="false">IF(INDEX(Pengaturan!$B$8:$B$27,T$4)="",0,COUNTIF(Data!$B771:$U771,INDEX(Pengaturan!$B$8:$B$27,T$4)))</f>
        <v>0</v>
      </c>
      <c r="U771" s="26" t="n">
        <f aca="false">IF(INDEX(Pengaturan!$B$8:$B$27,U$4)="",0,COUNTIF(Data!$B771:$U771,INDEX(Pengaturan!$B$8:$B$27,U$4)))</f>
        <v>0</v>
      </c>
      <c r="V771" s="26" t="n">
        <f aca="false">COUNTA(Data!$B771:$U771)</f>
        <v>0</v>
      </c>
      <c r="W771" s="27" t="str">
        <f aca="false">IF(V771=0,"",IF(V771&lt;&gt;Hasil!$C$4,"Data kosong/tidak lengkap",IF(SUM(B771:U771)&lt;&gt;V771,"Kategori tidak dikenal","OK")))</f>
        <v/>
      </c>
      <c r="X771" s="26" t="n">
        <f aca="false">IF(OR(W771="",W771="OK"),0,1)</f>
        <v>0</v>
      </c>
    </row>
    <row r="772" customFormat="false" ht="15" hidden="false" customHeight="false" outlineLevel="0" collapsed="false">
      <c r="A772" s="26" t="n">
        <f aca="false">Data!A772</f>
        <v>767</v>
      </c>
      <c r="B772" s="26" t="n">
        <f aca="false">IF(INDEX(Pengaturan!$B$8:$B$27,B$4)="",0,COUNTIF(Data!$B772:$U772,INDEX(Pengaturan!$B$8:$B$27,B$4)))</f>
        <v>0</v>
      </c>
      <c r="C772" s="26" t="n">
        <f aca="false">IF(INDEX(Pengaturan!$B$8:$B$27,C$4)="",0,COUNTIF(Data!$B772:$U772,INDEX(Pengaturan!$B$8:$B$27,C$4)))</f>
        <v>0</v>
      </c>
      <c r="D772" s="26" t="n">
        <f aca="false">IF(INDEX(Pengaturan!$B$8:$B$27,D$4)="",0,COUNTIF(Data!$B772:$U772,INDEX(Pengaturan!$B$8:$B$27,D$4)))</f>
        <v>0</v>
      </c>
      <c r="E772" s="26" t="n">
        <f aca="false">IF(INDEX(Pengaturan!$B$8:$B$27,E$4)="",0,COUNTIF(Data!$B772:$U772,INDEX(Pengaturan!$B$8:$B$27,E$4)))</f>
        <v>0</v>
      </c>
      <c r="F772" s="26" t="n">
        <f aca="false">IF(INDEX(Pengaturan!$B$8:$B$27,F$4)="",0,COUNTIF(Data!$B772:$U772,INDEX(Pengaturan!$B$8:$B$27,F$4)))</f>
        <v>0</v>
      </c>
      <c r="G772" s="26" t="n">
        <f aca="false">IF(INDEX(Pengaturan!$B$8:$B$27,G$4)="",0,COUNTIF(Data!$B772:$U772,INDEX(Pengaturan!$B$8:$B$27,G$4)))</f>
        <v>0</v>
      </c>
      <c r="H772" s="26" t="n">
        <f aca="false">IF(INDEX(Pengaturan!$B$8:$B$27,H$4)="",0,COUNTIF(Data!$B772:$U772,INDEX(Pengaturan!$B$8:$B$27,H$4)))</f>
        <v>0</v>
      </c>
      <c r="I772" s="26" t="n">
        <f aca="false">IF(INDEX(Pengaturan!$B$8:$B$27,I$4)="",0,COUNTIF(Data!$B772:$U772,INDEX(Pengaturan!$B$8:$B$27,I$4)))</f>
        <v>0</v>
      </c>
      <c r="J772" s="26" t="n">
        <f aca="false">IF(INDEX(Pengaturan!$B$8:$B$27,J$4)="",0,COUNTIF(Data!$B772:$U772,INDEX(Pengaturan!$B$8:$B$27,J$4)))</f>
        <v>0</v>
      </c>
      <c r="K772" s="26" t="n">
        <f aca="false">IF(INDEX(Pengaturan!$B$8:$B$27,K$4)="",0,COUNTIF(Data!$B772:$U772,INDEX(Pengaturan!$B$8:$B$27,K$4)))</f>
        <v>0</v>
      </c>
      <c r="L772" s="26" t="n">
        <f aca="false">IF(INDEX(Pengaturan!$B$8:$B$27,L$4)="",0,COUNTIF(Data!$B772:$U772,INDEX(Pengaturan!$B$8:$B$27,L$4)))</f>
        <v>0</v>
      </c>
      <c r="M772" s="26" t="n">
        <f aca="false">IF(INDEX(Pengaturan!$B$8:$B$27,M$4)="",0,COUNTIF(Data!$B772:$U772,INDEX(Pengaturan!$B$8:$B$27,M$4)))</f>
        <v>0</v>
      </c>
      <c r="N772" s="26" t="n">
        <f aca="false">IF(INDEX(Pengaturan!$B$8:$B$27,N$4)="",0,COUNTIF(Data!$B772:$U772,INDEX(Pengaturan!$B$8:$B$27,N$4)))</f>
        <v>0</v>
      </c>
      <c r="O772" s="26" t="n">
        <f aca="false">IF(INDEX(Pengaturan!$B$8:$B$27,O$4)="",0,COUNTIF(Data!$B772:$U772,INDEX(Pengaturan!$B$8:$B$27,O$4)))</f>
        <v>0</v>
      </c>
      <c r="P772" s="26" t="n">
        <f aca="false">IF(INDEX(Pengaturan!$B$8:$B$27,P$4)="",0,COUNTIF(Data!$B772:$U772,INDEX(Pengaturan!$B$8:$B$27,P$4)))</f>
        <v>0</v>
      </c>
      <c r="Q772" s="26" t="n">
        <f aca="false">IF(INDEX(Pengaturan!$B$8:$B$27,Q$4)="",0,COUNTIF(Data!$B772:$U772,INDEX(Pengaturan!$B$8:$B$27,Q$4)))</f>
        <v>0</v>
      </c>
      <c r="R772" s="26" t="n">
        <f aca="false">IF(INDEX(Pengaturan!$B$8:$B$27,R$4)="",0,COUNTIF(Data!$B772:$U772,INDEX(Pengaturan!$B$8:$B$27,R$4)))</f>
        <v>0</v>
      </c>
      <c r="S772" s="26" t="n">
        <f aca="false">IF(INDEX(Pengaturan!$B$8:$B$27,S$4)="",0,COUNTIF(Data!$B772:$U772,INDEX(Pengaturan!$B$8:$B$27,S$4)))</f>
        <v>0</v>
      </c>
      <c r="T772" s="26" t="n">
        <f aca="false">IF(INDEX(Pengaturan!$B$8:$B$27,T$4)="",0,COUNTIF(Data!$B772:$U772,INDEX(Pengaturan!$B$8:$B$27,T$4)))</f>
        <v>0</v>
      </c>
      <c r="U772" s="26" t="n">
        <f aca="false">IF(INDEX(Pengaturan!$B$8:$B$27,U$4)="",0,COUNTIF(Data!$B772:$U772,INDEX(Pengaturan!$B$8:$B$27,U$4)))</f>
        <v>0</v>
      </c>
      <c r="V772" s="26" t="n">
        <f aca="false">COUNTA(Data!$B772:$U772)</f>
        <v>0</v>
      </c>
      <c r="W772" s="27" t="str">
        <f aca="false">IF(V772=0,"",IF(V772&lt;&gt;Hasil!$C$4,"Data kosong/tidak lengkap",IF(SUM(B772:U772)&lt;&gt;V772,"Kategori tidak dikenal","OK")))</f>
        <v/>
      </c>
      <c r="X772" s="26" t="n">
        <f aca="false">IF(OR(W772="",W772="OK"),0,1)</f>
        <v>0</v>
      </c>
    </row>
    <row r="773" customFormat="false" ht="15" hidden="false" customHeight="false" outlineLevel="0" collapsed="false">
      <c r="A773" s="26" t="n">
        <f aca="false">Data!A773</f>
        <v>768</v>
      </c>
      <c r="B773" s="26" t="n">
        <f aca="false">IF(INDEX(Pengaturan!$B$8:$B$27,B$4)="",0,COUNTIF(Data!$B773:$U773,INDEX(Pengaturan!$B$8:$B$27,B$4)))</f>
        <v>0</v>
      </c>
      <c r="C773" s="26" t="n">
        <f aca="false">IF(INDEX(Pengaturan!$B$8:$B$27,C$4)="",0,COUNTIF(Data!$B773:$U773,INDEX(Pengaturan!$B$8:$B$27,C$4)))</f>
        <v>0</v>
      </c>
      <c r="D773" s="26" t="n">
        <f aca="false">IF(INDEX(Pengaturan!$B$8:$B$27,D$4)="",0,COUNTIF(Data!$B773:$U773,INDEX(Pengaturan!$B$8:$B$27,D$4)))</f>
        <v>0</v>
      </c>
      <c r="E773" s="26" t="n">
        <f aca="false">IF(INDEX(Pengaturan!$B$8:$B$27,E$4)="",0,COUNTIF(Data!$B773:$U773,INDEX(Pengaturan!$B$8:$B$27,E$4)))</f>
        <v>0</v>
      </c>
      <c r="F773" s="26" t="n">
        <f aca="false">IF(INDEX(Pengaturan!$B$8:$B$27,F$4)="",0,COUNTIF(Data!$B773:$U773,INDEX(Pengaturan!$B$8:$B$27,F$4)))</f>
        <v>0</v>
      </c>
      <c r="G773" s="26" t="n">
        <f aca="false">IF(INDEX(Pengaturan!$B$8:$B$27,G$4)="",0,COUNTIF(Data!$B773:$U773,INDEX(Pengaturan!$B$8:$B$27,G$4)))</f>
        <v>0</v>
      </c>
      <c r="H773" s="26" t="n">
        <f aca="false">IF(INDEX(Pengaturan!$B$8:$B$27,H$4)="",0,COUNTIF(Data!$B773:$U773,INDEX(Pengaturan!$B$8:$B$27,H$4)))</f>
        <v>0</v>
      </c>
      <c r="I773" s="26" t="n">
        <f aca="false">IF(INDEX(Pengaturan!$B$8:$B$27,I$4)="",0,COUNTIF(Data!$B773:$U773,INDEX(Pengaturan!$B$8:$B$27,I$4)))</f>
        <v>0</v>
      </c>
      <c r="J773" s="26" t="n">
        <f aca="false">IF(INDEX(Pengaturan!$B$8:$B$27,J$4)="",0,COUNTIF(Data!$B773:$U773,INDEX(Pengaturan!$B$8:$B$27,J$4)))</f>
        <v>0</v>
      </c>
      <c r="K773" s="26" t="n">
        <f aca="false">IF(INDEX(Pengaturan!$B$8:$B$27,K$4)="",0,COUNTIF(Data!$B773:$U773,INDEX(Pengaturan!$B$8:$B$27,K$4)))</f>
        <v>0</v>
      </c>
      <c r="L773" s="26" t="n">
        <f aca="false">IF(INDEX(Pengaturan!$B$8:$B$27,L$4)="",0,COUNTIF(Data!$B773:$U773,INDEX(Pengaturan!$B$8:$B$27,L$4)))</f>
        <v>0</v>
      </c>
      <c r="M773" s="26" t="n">
        <f aca="false">IF(INDEX(Pengaturan!$B$8:$B$27,M$4)="",0,COUNTIF(Data!$B773:$U773,INDEX(Pengaturan!$B$8:$B$27,M$4)))</f>
        <v>0</v>
      </c>
      <c r="N773" s="26" t="n">
        <f aca="false">IF(INDEX(Pengaturan!$B$8:$B$27,N$4)="",0,COUNTIF(Data!$B773:$U773,INDEX(Pengaturan!$B$8:$B$27,N$4)))</f>
        <v>0</v>
      </c>
      <c r="O773" s="26" t="n">
        <f aca="false">IF(INDEX(Pengaturan!$B$8:$B$27,O$4)="",0,COUNTIF(Data!$B773:$U773,INDEX(Pengaturan!$B$8:$B$27,O$4)))</f>
        <v>0</v>
      </c>
      <c r="P773" s="26" t="n">
        <f aca="false">IF(INDEX(Pengaturan!$B$8:$B$27,P$4)="",0,COUNTIF(Data!$B773:$U773,INDEX(Pengaturan!$B$8:$B$27,P$4)))</f>
        <v>0</v>
      </c>
      <c r="Q773" s="26" t="n">
        <f aca="false">IF(INDEX(Pengaturan!$B$8:$B$27,Q$4)="",0,COUNTIF(Data!$B773:$U773,INDEX(Pengaturan!$B$8:$B$27,Q$4)))</f>
        <v>0</v>
      </c>
      <c r="R773" s="26" t="n">
        <f aca="false">IF(INDEX(Pengaturan!$B$8:$B$27,R$4)="",0,COUNTIF(Data!$B773:$U773,INDEX(Pengaturan!$B$8:$B$27,R$4)))</f>
        <v>0</v>
      </c>
      <c r="S773" s="26" t="n">
        <f aca="false">IF(INDEX(Pengaturan!$B$8:$B$27,S$4)="",0,COUNTIF(Data!$B773:$U773,INDEX(Pengaturan!$B$8:$B$27,S$4)))</f>
        <v>0</v>
      </c>
      <c r="T773" s="26" t="n">
        <f aca="false">IF(INDEX(Pengaturan!$B$8:$B$27,T$4)="",0,COUNTIF(Data!$B773:$U773,INDEX(Pengaturan!$B$8:$B$27,T$4)))</f>
        <v>0</v>
      </c>
      <c r="U773" s="26" t="n">
        <f aca="false">IF(INDEX(Pengaturan!$B$8:$B$27,U$4)="",0,COUNTIF(Data!$B773:$U773,INDEX(Pengaturan!$B$8:$B$27,U$4)))</f>
        <v>0</v>
      </c>
      <c r="V773" s="26" t="n">
        <f aca="false">COUNTA(Data!$B773:$U773)</f>
        <v>0</v>
      </c>
      <c r="W773" s="27" t="str">
        <f aca="false">IF(V773=0,"",IF(V773&lt;&gt;Hasil!$C$4,"Data kosong/tidak lengkap",IF(SUM(B773:U773)&lt;&gt;V773,"Kategori tidak dikenal","OK")))</f>
        <v/>
      </c>
      <c r="X773" s="26" t="n">
        <f aca="false">IF(OR(W773="",W773="OK"),0,1)</f>
        <v>0</v>
      </c>
    </row>
    <row r="774" customFormat="false" ht="15" hidden="false" customHeight="false" outlineLevel="0" collapsed="false">
      <c r="A774" s="26" t="n">
        <f aca="false">Data!A774</f>
        <v>769</v>
      </c>
      <c r="B774" s="26" t="n">
        <f aca="false">IF(INDEX(Pengaturan!$B$8:$B$27,B$4)="",0,COUNTIF(Data!$B774:$U774,INDEX(Pengaturan!$B$8:$B$27,B$4)))</f>
        <v>0</v>
      </c>
      <c r="C774" s="26" t="n">
        <f aca="false">IF(INDEX(Pengaturan!$B$8:$B$27,C$4)="",0,COUNTIF(Data!$B774:$U774,INDEX(Pengaturan!$B$8:$B$27,C$4)))</f>
        <v>0</v>
      </c>
      <c r="D774" s="26" t="n">
        <f aca="false">IF(INDEX(Pengaturan!$B$8:$B$27,D$4)="",0,COUNTIF(Data!$B774:$U774,INDEX(Pengaturan!$B$8:$B$27,D$4)))</f>
        <v>0</v>
      </c>
      <c r="E774" s="26" t="n">
        <f aca="false">IF(INDEX(Pengaturan!$B$8:$B$27,E$4)="",0,COUNTIF(Data!$B774:$U774,INDEX(Pengaturan!$B$8:$B$27,E$4)))</f>
        <v>0</v>
      </c>
      <c r="F774" s="26" t="n">
        <f aca="false">IF(INDEX(Pengaturan!$B$8:$B$27,F$4)="",0,COUNTIF(Data!$B774:$U774,INDEX(Pengaturan!$B$8:$B$27,F$4)))</f>
        <v>0</v>
      </c>
      <c r="G774" s="26" t="n">
        <f aca="false">IF(INDEX(Pengaturan!$B$8:$B$27,G$4)="",0,COUNTIF(Data!$B774:$U774,INDEX(Pengaturan!$B$8:$B$27,G$4)))</f>
        <v>0</v>
      </c>
      <c r="H774" s="26" t="n">
        <f aca="false">IF(INDEX(Pengaturan!$B$8:$B$27,H$4)="",0,COUNTIF(Data!$B774:$U774,INDEX(Pengaturan!$B$8:$B$27,H$4)))</f>
        <v>0</v>
      </c>
      <c r="I774" s="26" t="n">
        <f aca="false">IF(INDEX(Pengaturan!$B$8:$B$27,I$4)="",0,COUNTIF(Data!$B774:$U774,INDEX(Pengaturan!$B$8:$B$27,I$4)))</f>
        <v>0</v>
      </c>
      <c r="J774" s="26" t="n">
        <f aca="false">IF(INDEX(Pengaturan!$B$8:$B$27,J$4)="",0,COUNTIF(Data!$B774:$U774,INDEX(Pengaturan!$B$8:$B$27,J$4)))</f>
        <v>0</v>
      </c>
      <c r="K774" s="26" t="n">
        <f aca="false">IF(INDEX(Pengaturan!$B$8:$B$27,K$4)="",0,COUNTIF(Data!$B774:$U774,INDEX(Pengaturan!$B$8:$B$27,K$4)))</f>
        <v>0</v>
      </c>
      <c r="L774" s="26" t="n">
        <f aca="false">IF(INDEX(Pengaturan!$B$8:$B$27,L$4)="",0,COUNTIF(Data!$B774:$U774,INDEX(Pengaturan!$B$8:$B$27,L$4)))</f>
        <v>0</v>
      </c>
      <c r="M774" s="26" t="n">
        <f aca="false">IF(INDEX(Pengaturan!$B$8:$B$27,M$4)="",0,COUNTIF(Data!$B774:$U774,INDEX(Pengaturan!$B$8:$B$27,M$4)))</f>
        <v>0</v>
      </c>
      <c r="N774" s="26" t="n">
        <f aca="false">IF(INDEX(Pengaturan!$B$8:$B$27,N$4)="",0,COUNTIF(Data!$B774:$U774,INDEX(Pengaturan!$B$8:$B$27,N$4)))</f>
        <v>0</v>
      </c>
      <c r="O774" s="26" t="n">
        <f aca="false">IF(INDEX(Pengaturan!$B$8:$B$27,O$4)="",0,COUNTIF(Data!$B774:$U774,INDEX(Pengaturan!$B$8:$B$27,O$4)))</f>
        <v>0</v>
      </c>
      <c r="P774" s="26" t="n">
        <f aca="false">IF(INDEX(Pengaturan!$B$8:$B$27,P$4)="",0,COUNTIF(Data!$B774:$U774,INDEX(Pengaturan!$B$8:$B$27,P$4)))</f>
        <v>0</v>
      </c>
      <c r="Q774" s="26" t="n">
        <f aca="false">IF(INDEX(Pengaturan!$B$8:$B$27,Q$4)="",0,COUNTIF(Data!$B774:$U774,INDEX(Pengaturan!$B$8:$B$27,Q$4)))</f>
        <v>0</v>
      </c>
      <c r="R774" s="26" t="n">
        <f aca="false">IF(INDEX(Pengaturan!$B$8:$B$27,R$4)="",0,COUNTIF(Data!$B774:$U774,INDEX(Pengaturan!$B$8:$B$27,R$4)))</f>
        <v>0</v>
      </c>
      <c r="S774" s="26" t="n">
        <f aca="false">IF(INDEX(Pengaturan!$B$8:$B$27,S$4)="",0,COUNTIF(Data!$B774:$U774,INDEX(Pengaturan!$B$8:$B$27,S$4)))</f>
        <v>0</v>
      </c>
      <c r="T774" s="26" t="n">
        <f aca="false">IF(INDEX(Pengaturan!$B$8:$B$27,T$4)="",0,COUNTIF(Data!$B774:$U774,INDEX(Pengaturan!$B$8:$B$27,T$4)))</f>
        <v>0</v>
      </c>
      <c r="U774" s="26" t="n">
        <f aca="false">IF(INDEX(Pengaturan!$B$8:$B$27,U$4)="",0,COUNTIF(Data!$B774:$U774,INDEX(Pengaturan!$B$8:$B$27,U$4)))</f>
        <v>0</v>
      </c>
      <c r="V774" s="26" t="n">
        <f aca="false">COUNTA(Data!$B774:$U774)</f>
        <v>0</v>
      </c>
      <c r="W774" s="27" t="str">
        <f aca="false">IF(V774=0,"",IF(V774&lt;&gt;Hasil!$C$4,"Data kosong/tidak lengkap",IF(SUM(B774:U774)&lt;&gt;V774,"Kategori tidak dikenal","OK")))</f>
        <v/>
      </c>
      <c r="X774" s="26" t="n">
        <f aca="false">IF(OR(W774="",W774="OK"),0,1)</f>
        <v>0</v>
      </c>
    </row>
    <row r="775" customFormat="false" ht="15" hidden="false" customHeight="false" outlineLevel="0" collapsed="false">
      <c r="A775" s="26" t="n">
        <f aca="false">Data!A775</f>
        <v>770</v>
      </c>
      <c r="B775" s="26" t="n">
        <f aca="false">IF(INDEX(Pengaturan!$B$8:$B$27,B$4)="",0,COUNTIF(Data!$B775:$U775,INDEX(Pengaturan!$B$8:$B$27,B$4)))</f>
        <v>0</v>
      </c>
      <c r="C775" s="26" t="n">
        <f aca="false">IF(INDEX(Pengaturan!$B$8:$B$27,C$4)="",0,COUNTIF(Data!$B775:$U775,INDEX(Pengaturan!$B$8:$B$27,C$4)))</f>
        <v>0</v>
      </c>
      <c r="D775" s="26" t="n">
        <f aca="false">IF(INDEX(Pengaturan!$B$8:$B$27,D$4)="",0,COUNTIF(Data!$B775:$U775,INDEX(Pengaturan!$B$8:$B$27,D$4)))</f>
        <v>0</v>
      </c>
      <c r="E775" s="26" t="n">
        <f aca="false">IF(INDEX(Pengaturan!$B$8:$B$27,E$4)="",0,COUNTIF(Data!$B775:$U775,INDEX(Pengaturan!$B$8:$B$27,E$4)))</f>
        <v>0</v>
      </c>
      <c r="F775" s="26" t="n">
        <f aca="false">IF(INDEX(Pengaturan!$B$8:$B$27,F$4)="",0,COUNTIF(Data!$B775:$U775,INDEX(Pengaturan!$B$8:$B$27,F$4)))</f>
        <v>0</v>
      </c>
      <c r="G775" s="26" t="n">
        <f aca="false">IF(INDEX(Pengaturan!$B$8:$B$27,G$4)="",0,COUNTIF(Data!$B775:$U775,INDEX(Pengaturan!$B$8:$B$27,G$4)))</f>
        <v>0</v>
      </c>
      <c r="H775" s="26" t="n">
        <f aca="false">IF(INDEX(Pengaturan!$B$8:$B$27,H$4)="",0,COUNTIF(Data!$B775:$U775,INDEX(Pengaturan!$B$8:$B$27,H$4)))</f>
        <v>0</v>
      </c>
      <c r="I775" s="26" t="n">
        <f aca="false">IF(INDEX(Pengaturan!$B$8:$B$27,I$4)="",0,COUNTIF(Data!$B775:$U775,INDEX(Pengaturan!$B$8:$B$27,I$4)))</f>
        <v>0</v>
      </c>
      <c r="J775" s="26" t="n">
        <f aca="false">IF(INDEX(Pengaturan!$B$8:$B$27,J$4)="",0,COUNTIF(Data!$B775:$U775,INDEX(Pengaturan!$B$8:$B$27,J$4)))</f>
        <v>0</v>
      </c>
      <c r="K775" s="26" t="n">
        <f aca="false">IF(INDEX(Pengaturan!$B$8:$B$27,K$4)="",0,COUNTIF(Data!$B775:$U775,INDEX(Pengaturan!$B$8:$B$27,K$4)))</f>
        <v>0</v>
      </c>
      <c r="L775" s="26" t="n">
        <f aca="false">IF(INDEX(Pengaturan!$B$8:$B$27,L$4)="",0,COUNTIF(Data!$B775:$U775,INDEX(Pengaturan!$B$8:$B$27,L$4)))</f>
        <v>0</v>
      </c>
      <c r="M775" s="26" t="n">
        <f aca="false">IF(INDEX(Pengaturan!$B$8:$B$27,M$4)="",0,COUNTIF(Data!$B775:$U775,INDEX(Pengaturan!$B$8:$B$27,M$4)))</f>
        <v>0</v>
      </c>
      <c r="N775" s="26" t="n">
        <f aca="false">IF(INDEX(Pengaturan!$B$8:$B$27,N$4)="",0,COUNTIF(Data!$B775:$U775,INDEX(Pengaturan!$B$8:$B$27,N$4)))</f>
        <v>0</v>
      </c>
      <c r="O775" s="26" t="n">
        <f aca="false">IF(INDEX(Pengaturan!$B$8:$B$27,O$4)="",0,COUNTIF(Data!$B775:$U775,INDEX(Pengaturan!$B$8:$B$27,O$4)))</f>
        <v>0</v>
      </c>
      <c r="P775" s="26" t="n">
        <f aca="false">IF(INDEX(Pengaturan!$B$8:$B$27,P$4)="",0,COUNTIF(Data!$B775:$U775,INDEX(Pengaturan!$B$8:$B$27,P$4)))</f>
        <v>0</v>
      </c>
      <c r="Q775" s="26" t="n">
        <f aca="false">IF(INDEX(Pengaturan!$B$8:$B$27,Q$4)="",0,COUNTIF(Data!$B775:$U775,INDEX(Pengaturan!$B$8:$B$27,Q$4)))</f>
        <v>0</v>
      </c>
      <c r="R775" s="26" t="n">
        <f aca="false">IF(INDEX(Pengaturan!$B$8:$B$27,R$4)="",0,COUNTIF(Data!$B775:$U775,INDEX(Pengaturan!$B$8:$B$27,R$4)))</f>
        <v>0</v>
      </c>
      <c r="S775" s="26" t="n">
        <f aca="false">IF(INDEX(Pengaturan!$B$8:$B$27,S$4)="",0,COUNTIF(Data!$B775:$U775,INDEX(Pengaturan!$B$8:$B$27,S$4)))</f>
        <v>0</v>
      </c>
      <c r="T775" s="26" t="n">
        <f aca="false">IF(INDEX(Pengaturan!$B$8:$B$27,T$4)="",0,COUNTIF(Data!$B775:$U775,INDEX(Pengaturan!$B$8:$B$27,T$4)))</f>
        <v>0</v>
      </c>
      <c r="U775" s="26" t="n">
        <f aca="false">IF(INDEX(Pengaturan!$B$8:$B$27,U$4)="",0,COUNTIF(Data!$B775:$U775,INDEX(Pengaturan!$B$8:$B$27,U$4)))</f>
        <v>0</v>
      </c>
      <c r="V775" s="26" t="n">
        <f aca="false">COUNTA(Data!$B775:$U775)</f>
        <v>0</v>
      </c>
      <c r="W775" s="27" t="str">
        <f aca="false">IF(V775=0,"",IF(V775&lt;&gt;Hasil!$C$4,"Data kosong/tidak lengkap",IF(SUM(B775:U775)&lt;&gt;V775,"Kategori tidak dikenal","OK")))</f>
        <v/>
      </c>
      <c r="X775" s="26" t="n">
        <f aca="false">IF(OR(W775="",W775="OK"),0,1)</f>
        <v>0</v>
      </c>
    </row>
    <row r="776" customFormat="false" ht="15" hidden="false" customHeight="false" outlineLevel="0" collapsed="false">
      <c r="A776" s="26" t="n">
        <f aca="false">Data!A776</f>
        <v>771</v>
      </c>
      <c r="B776" s="26" t="n">
        <f aca="false">IF(INDEX(Pengaturan!$B$8:$B$27,B$4)="",0,COUNTIF(Data!$B776:$U776,INDEX(Pengaturan!$B$8:$B$27,B$4)))</f>
        <v>0</v>
      </c>
      <c r="C776" s="26" t="n">
        <f aca="false">IF(INDEX(Pengaturan!$B$8:$B$27,C$4)="",0,COUNTIF(Data!$B776:$U776,INDEX(Pengaturan!$B$8:$B$27,C$4)))</f>
        <v>0</v>
      </c>
      <c r="D776" s="26" t="n">
        <f aca="false">IF(INDEX(Pengaturan!$B$8:$B$27,D$4)="",0,COUNTIF(Data!$B776:$U776,INDEX(Pengaturan!$B$8:$B$27,D$4)))</f>
        <v>0</v>
      </c>
      <c r="E776" s="26" t="n">
        <f aca="false">IF(INDEX(Pengaturan!$B$8:$B$27,E$4)="",0,COUNTIF(Data!$B776:$U776,INDEX(Pengaturan!$B$8:$B$27,E$4)))</f>
        <v>0</v>
      </c>
      <c r="F776" s="26" t="n">
        <f aca="false">IF(INDEX(Pengaturan!$B$8:$B$27,F$4)="",0,COUNTIF(Data!$B776:$U776,INDEX(Pengaturan!$B$8:$B$27,F$4)))</f>
        <v>0</v>
      </c>
      <c r="G776" s="26" t="n">
        <f aca="false">IF(INDEX(Pengaturan!$B$8:$B$27,G$4)="",0,COUNTIF(Data!$B776:$U776,INDEX(Pengaturan!$B$8:$B$27,G$4)))</f>
        <v>0</v>
      </c>
      <c r="H776" s="26" t="n">
        <f aca="false">IF(INDEX(Pengaturan!$B$8:$B$27,H$4)="",0,COUNTIF(Data!$B776:$U776,INDEX(Pengaturan!$B$8:$B$27,H$4)))</f>
        <v>0</v>
      </c>
      <c r="I776" s="26" t="n">
        <f aca="false">IF(INDEX(Pengaturan!$B$8:$B$27,I$4)="",0,COUNTIF(Data!$B776:$U776,INDEX(Pengaturan!$B$8:$B$27,I$4)))</f>
        <v>0</v>
      </c>
      <c r="J776" s="26" t="n">
        <f aca="false">IF(INDEX(Pengaturan!$B$8:$B$27,J$4)="",0,COUNTIF(Data!$B776:$U776,INDEX(Pengaturan!$B$8:$B$27,J$4)))</f>
        <v>0</v>
      </c>
      <c r="K776" s="26" t="n">
        <f aca="false">IF(INDEX(Pengaturan!$B$8:$B$27,K$4)="",0,COUNTIF(Data!$B776:$U776,INDEX(Pengaturan!$B$8:$B$27,K$4)))</f>
        <v>0</v>
      </c>
      <c r="L776" s="26" t="n">
        <f aca="false">IF(INDEX(Pengaturan!$B$8:$B$27,L$4)="",0,COUNTIF(Data!$B776:$U776,INDEX(Pengaturan!$B$8:$B$27,L$4)))</f>
        <v>0</v>
      </c>
      <c r="M776" s="26" t="n">
        <f aca="false">IF(INDEX(Pengaturan!$B$8:$B$27,M$4)="",0,COUNTIF(Data!$B776:$U776,INDEX(Pengaturan!$B$8:$B$27,M$4)))</f>
        <v>0</v>
      </c>
      <c r="N776" s="26" t="n">
        <f aca="false">IF(INDEX(Pengaturan!$B$8:$B$27,N$4)="",0,COUNTIF(Data!$B776:$U776,INDEX(Pengaturan!$B$8:$B$27,N$4)))</f>
        <v>0</v>
      </c>
      <c r="O776" s="26" t="n">
        <f aca="false">IF(INDEX(Pengaturan!$B$8:$B$27,O$4)="",0,COUNTIF(Data!$B776:$U776,INDEX(Pengaturan!$B$8:$B$27,O$4)))</f>
        <v>0</v>
      </c>
      <c r="P776" s="26" t="n">
        <f aca="false">IF(INDEX(Pengaturan!$B$8:$B$27,P$4)="",0,COUNTIF(Data!$B776:$U776,INDEX(Pengaturan!$B$8:$B$27,P$4)))</f>
        <v>0</v>
      </c>
      <c r="Q776" s="26" t="n">
        <f aca="false">IF(INDEX(Pengaturan!$B$8:$B$27,Q$4)="",0,COUNTIF(Data!$B776:$U776,INDEX(Pengaturan!$B$8:$B$27,Q$4)))</f>
        <v>0</v>
      </c>
      <c r="R776" s="26" t="n">
        <f aca="false">IF(INDEX(Pengaturan!$B$8:$B$27,R$4)="",0,COUNTIF(Data!$B776:$U776,INDEX(Pengaturan!$B$8:$B$27,R$4)))</f>
        <v>0</v>
      </c>
      <c r="S776" s="26" t="n">
        <f aca="false">IF(INDEX(Pengaturan!$B$8:$B$27,S$4)="",0,COUNTIF(Data!$B776:$U776,INDEX(Pengaturan!$B$8:$B$27,S$4)))</f>
        <v>0</v>
      </c>
      <c r="T776" s="26" t="n">
        <f aca="false">IF(INDEX(Pengaturan!$B$8:$B$27,T$4)="",0,COUNTIF(Data!$B776:$U776,INDEX(Pengaturan!$B$8:$B$27,T$4)))</f>
        <v>0</v>
      </c>
      <c r="U776" s="26" t="n">
        <f aca="false">IF(INDEX(Pengaturan!$B$8:$B$27,U$4)="",0,COUNTIF(Data!$B776:$U776,INDEX(Pengaturan!$B$8:$B$27,U$4)))</f>
        <v>0</v>
      </c>
      <c r="V776" s="26" t="n">
        <f aca="false">COUNTA(Data!$B776:$U776)</f>
        <v>0</v>
      </c>
      <c r="W776" s="27" t="str">
        <f aca="false">IF(V776=0,"",IF(V776&lt;&gt;Hasil!$C$4,"Data kosong/tidak lengkap",IF(SUM(B776:U776)&lt;&gt;V776,"Kategori tidak dikenal","OK")))</f>
        <v/>
      </c>
      <c r="X776" s="26" t="n">
        <f aca="false">IF(OR(W776="",W776="OK"),0,1)</f>
        <v>0</v>
      </c>
    </row>
    <row r="777" customFormat="false" ht="15" hidden="false" customHeight="false" outlineLevel="0" collapsed="false">
      <c r="A777" s="26" t="n">
        <f aca="false">Data!A777</f>
        <v>772</v>
      </c>
      <c r="B777" s="26" t="n">
        <f aca="false">IF(INDEX(Pengaturan!$B$8:$B$27,B$4)="",0,COUNTIF(Data!$B777:$U777,INDEX(Pengaturan!$B$8:$B$27,B$4)))</f>
        <v>0</v>
      </c>
      <c r="C777" s="26" t="n">
        <f aca="false">IF(INDEX(Pengaturan!$B$8:$B$27,C$4)="",0,COUNTIF(Data!$B777:$U777,INDEX(Pengaturan!$B$8:$B$27,C$4)))</f>
        <v>0</v>
      </c>
      <c r="D777" s="26" t="n">
        <f aca="false">IF(INDEX(Pengaturan!$B$8:$B$27,D$4)="",0,COUNTIF(Data!$B777:$U777,INDEX(Pengaturan!$B$8:$B$27,D$4)))</f>
        <v>0</v>
      </c>
      <c r="E777" s="26" t="n">
        <f aca="false">IF(INDEX(Pengaturan!$B$8:$B$27,E$4)="",0,COUNTIF(Data!$B777:$U777,INDEX(Pengaturan!$B$8:$B$27,E$4)))</f>
        <v>0</v>
      </c>
      <c r="F777" s="26" t="n">
        <f aca="false">IF(INDEX(Pengaturan!$B$8:$B$27,F$4)="",0,COUNTIF(Data!$B777:$U777,INDEX(Pengaturan!$B$8:$B$27,F$4)))</f>
        <v>0</v>
      </c>
      <c r="G777" s="26" t="n">
        <f aca="false">IF(INDEX(Pengaturan!$B$8:$B$27,G$4)="",0,COUNTIF(Data!$B777:$U777,INDEX(Pengaturan!$B$8:$B$27,G$4)))</f>
        <v>0</v>
      </c>
      <c r="H777" s="26" t="n">
        <f aca="false">IF(INDEX(Pengaturan!$B$8:$B$27,H$4)="",0,COUNTIF(Data!$B777:$U777,INDEX(Pengaturan!$B$8:$B$27,H$4)))</f>
        <v>0</v>
      </c>
      <c r="I777" s="26" t="n">
        <f aca="false">IF(INDEX(Pengaturan!$B$8:$B$27,I$4)="",0,COUNTIF(Data!$B777:$U777,INDEX(Pengaturan!$B$8:$B$27,I$4)))</f>
        <v>0</v>
      </c>
      <c r="J777" s="26" t="n">
        <f aca="false">IF(INDEX(Pengaturan!$B$8:$B$27,J$4)="",0,COUNTIF(Data!$B777:$U777,INDEX(Pengaturan!$B$8:$B$27,J$4)))</f>
        <v>0</v>
      </c>
      <c r="K777" s="26" t="n">
        <f aca="false">IF(INDEX(Pengaturan!$B$8:$B$27,K$4)="",0,COUNTIF(Data!$B777:$U777,INDEX(Pengaturan!$B$8:$B$27,K$4)))</f>
        <v>0</v>
      </c>
      <c r="L777" s="26" t="n">
        <f aca="false">IF(INDEX(Pengaturan!$B$8:$B$27,L$4)="",0,COUNTIF(Data!$B777:$U777,INDEX(Pengaturan!$B$8:$B$27,L$4)))</f>
        <v>0</v>
      </c>
      <c r="M777" s="26" t="n">
        <f aca="false">IF(INDEX(Pengaturan!$B$8:$B$27,M$4)="",0,COUNTIF(Data!$B777:$U777,INDEX(Pengaturan!$B$8:$B$27,M$4)))</f>
        <v>0</v>
      </c>
      <c r="N777" s="26" t="n">
        <f aca="false">IF(INDEX(Pengaturan!$B$8:$B$27,N$4)="",0,COUNTIF(Data!$B777:$U777,INDEX(Pengaturan!$B$8:$B$27,N$4)))</f>
        <v>0</v>
      </c>
      <c r="O777" s="26" t="n">
        <f aca="false">IF(INDEX(Pengaturan!$B$8:$B$27,O$4)="",0,COUNTIF(Data!$B777:$U777,INDEX(Pengaturan!$B$8:$B$27,O$4)))</f>
        <v>0</v>
      </c>
      <c r="P777" s="26" t="n">
        <f aca="false">IF(INDEX(Pengaturan!$B$8:$B$27,P$4)="",0,COUNTIF(Data!$B777:$U777,INDEX(Pengaturan!$B$8:$B$27,P$4)))</f>
        <v>0</v>
      </c>
      <c r="Q777" s="26" t="n">
        <f aca="false">IF(INDEX(Pengaturan!$B$8:$B$27,Q$4)="",0,COUNTIF(Data!$B777:$U777,INDEX(Pengaturan!$B$8:$B$27,Q$4)))</f>
        <v>0</v>
      </c>
      <c r="R777" s="26" t="n">
        <f aca="false">IF(INDEX(Pengaturan!$B$8:$B$27,R$4)="",0,COUNTIF(Data!$B777:$U777,INDEX(Pengaturan!$B$8:$B$27,R$4)))</f>
        <v>0</v>
      </c>
      <c r="S777" s="26" t="n">
        <f aca="false">IF(INDEX(Pengaturan!$B$8:$B$27,S$4)="",0,COUNTIF(Data!$B777:$U777,INDEX(Pengaturan!$B$8:$B$27,S$4)))</f>
        <v>0</v>
      </c>
      <c r="T777" s="26" t="n">
        <f aca="false">IF(INDEX(Pengaturan!$B$8:$B$27,T$4)="",0,COUNTIF(Data!$B777:$U777,INDEX(Pengaturan!$B$8:$B$27,T$4)))</f>
        <v>0</v>
      </c>
      <c r="U777" s="26" t="n">
        <f aca="false">IF(INDEX(Pengaturan!$B$8:$B$27,U$4)="",0,COUNTIF(Data!$B777:$U777,INDEX(Pengaturan!$B$8:$B$27,U$4)))</f>
        <v>0</v>
      </c>
      <c r="V777" s="26" t="n">
        <f aca="false">COUNTA(Data!$B777:$U777)</f>
        <v>0</v>
      </c>
      <c r="W777" s="27" t="str">
        <f aca="false">IF(V777=0,"",IF(V777&lt;&gt;Hasil!$C$4,"Data kosong/tidak lengkap",IF(SUM(B777:U777)&lt;&gt;V777,"Kategori tidak dikenal","OK")))</f>
        <v/>
      </c>
      <c r="X777" s="26" t="n">
        <f aca="false">IF(OR(W777="",W777="OK"),0,1)</f>
        <v>0</v>
      </c>
    </row>
    <row r="778" customFormat="false" ht="15" hidden="false" customHeight="false" outlineLevel="0" collapsed="false">
      <c r="A778" s="26" t="n">
        <f aca="false">Data!A778</f>
        <v>773</v>
      </c>
      <c r="B778" s="26" t="n">
        <f aca="false">IF(INDEX(Pengaturan!$B$8:$B$27,B$4)="",0,COUNTIF(Data!$B778:$U778,INDEX(Pengaturan!$B$8:$B$27,B$4)))</f>
        <v>0</v>
      </c>
      <c r="C778" s="26" t="n">
        <f aca="false">IF(INDEX(Pengaturan!$B$8:$B$27,C$4)="",0,COUNTIF(Data!$B778:$U778,INDEX(Pengaturan!$B$8:$B$27,C$4)))</f>
        <v>0</v>
      </c>
      <c r="D778" s="26" t="n">
        <f aca="false">IF(INDEX(Pengaturan!$B$8:$B$27,D$4)="",0,COUNTIF(Data!$B778:$U778,INDEX(Pengaturan!$B$8:$B$27,D$4)))</f>
        <v>0</v>
      </c>
      <c r="E778" s="26" t="n">
        <f aca="false">IF(INDEX(Pengaturan!$B$8:$B$27,E$4)="",0,COUNTIF(Data!$B778:$U778,INDEX(Pengaturan!$B$8:$B$27,E$4)))</f>
        <v>0</v>
      </c>
      <c r="F778" s="26" t="n">
        <f aca="false">IF(INDEX(Pengaturan!$B$8:$B$27,F$4)="",0,COUNTIF(Data!$B778:$U778,INDEX(Pengaturan!$B$8:$B$27,F$4)))</f>
        <v>0</v>
      </c>
      <c r="G778" s="26" t="n">
        <f aca="false">IF(INDEX(Pengaturan!$B$8:$B$27,G$4)="",0,COUNTIF(Data!$B778:$U778,INDEX(Pengaturan!$B$8:$B$27,G$4)))</f>
        <v>0</v>
      </c>
      <c r="H778" s="26" t="n">
        <f aca="false">IF(INDEX(Pengaturan!$B$8:$B$27,H$4)="",0,COUNTIF(Data!$B778:$U778,INDEX(Pengaturan!$B$8:$B$27,H$4)))</f>
        <v>0</v>
      </c>
      <c r="I778" s="26" t="n">
        <f aca="false">IF(INDEX(Pengaturan!$B$8:$B$27,I$4)="",0,COUNTIF(Data!$B778:$U778,INDEX(Pengaturan!$B$8:$B$27,I$4)))</f>
        <v>0</v>
      </c>
      <c r="J778" s="26" t="n">
        <f aca="false">IF(INDEX(Pengaturan!$B$8:$B$27,J$4)="",0,COUNTIF(Data!$B778:$U778,INDEX(Pengaturan!$B$8:$B$27,J$4)))</f>
        <v>0</v>
      </c>
      <c r="K778" s="26" t="n">
        <f aca="false">IF(INDEX(Pengaturan!$B$8:$B$27,K$4)="",0,COUNTIF(Data!$B778:$U778,INDEX(Pengaturan!$B$8:$B$27,K$4)))</f>
        <v>0</v>
      </c>
      <c r="L778" s="26" t="n">
        <f aca="false">IF(INDEX(Pengaturan!$B$8:$B$27,L$4)="",0,COUNTIF(Data!$B778:$U778,INDEX(Pengaturan!$B$8:$B$27,L$4)))</f>
        <v>0</v>
      </c>
      <c r="M778" s="26" t="n">
        <f aca="false">IF(INDEX(Pengaturan!$B$8:$B$27,M$4)="",0,COUNTIF(Data!$B778:$U778,INDEX(Pengaturan!$B$8:$B$27,M$4)))</f>
        <v>0</v>
      </c>
      <c r="N778" s="26" t="n">
        <f aca="false">IF(INDEX(Pengaturan!$B$8:$B$27,N$4)="",0,COUNTIF(Data!$B778:$U778,INDEX(Pengaturan!$B$8:$B$27,N$4)))</f>
        <v>0</v>
      </c>
      <c r="O778" s="26" t="n">
        <f aca="false">IF(INDEX(Pengaturan!$B$8:$B$27,O$4)="",0,COUNTIF(Data!$B778:$U778,INDEX(Pengaturan!$B$8:$B$27,O$4)))</f>
        <v>0</v>
      </c>
      <c r="P778" s="26" t="n">
        <f aca="false">IF(INDEX(Pengaturan!$B$8:$B$27,P$4)="",0,COUNTIF(Data!$B778:$U778,INDEX(Pengaturan!$B$8:$B$27,P$4)))</f>
        <v>0</v>
      </c>
      <c r="Q778" s="26" t="n">
        <f aca="false">IF(INDEX(Pengaturan!$B$8:$B$27,Q$4)="",0,COUNTIF(Data!$B778:$U778,INDEX(Pengaturan!$B$8:$B$27,Q$4)))</f>
        <v>0</v>
      </c>
      <c r="R778" s="26" t="n">
        <f aca="false">IF(INDEX(Pengaturan!$B$8:$B$27,R$4)="",0,COUNTIF(Data!$B778:$U778,INDEX(Pengaturan!$B$8:$B$27,R$4)))</f>
        <v>0</v>
      </c>
      <c r="S778" s="26" t="n">
        <f aca="false">IF(INDEX(Pengaturan!$B$8:$B$27,S$4)="",0,COUNTIF(Data!$B778:$U778,INDEX(Pengaturan!$B$8:$B$27,S$4)))</f>
        <v>0</v>
      </c>
      <c r="T778" s="26" t="n">
        <f aca="false">IF(INDEX(Pengaturan!$B$8:$B$27,T$4)="",0,COUNTIF(Data!$B778:$U778,INDEX(Pengaturan!$B$8:$B$27,T$4)))</f>
        <v>0</v>
      </c>
      <c r="U778" s="26" t="n">
        <f aca="false">IF(INDEX(Pengaturan!$B$8:$B$27,U$4)="",0,COUNTIF(Data!$B778:$U778,INDEX(Pengaturan!$B$8:$B$27,U$4)))</f>
        <v>0</v>
      </c>
      <c r="V778" s="26" t="n">
        <f aca="false">COUNTA(Data!$B778:$U778)</f>
        <v>0</v>
      </c>
      <c r="W778" s="27" t="str">
        <f aca="false">IF(V778=0,"",IF(V778&lt;&gt;Hasil!$C$4,"Data kosong/tidak lengkap",IF(SUM(B778:U778)&lt;&gt;V778,"Kategori tidak dikenal","OK")))</f>
        <v/>
      </c>
      <c r="X778" s="26" t="n">
        <f aca="false">IF(OR(W778="",W778="OK"),0,1)</f>
        <v>0</v>
      </c>
    </row>
    <row r="779" customFormat="false" ht="15" hidden="false" customHeight="false" outlineLevel="0" collapsed="false">
      <c r="A779" s="26" t="n">
        <f aca="false">Data!A779</f>
        <v>774</v>
      </c>
      <c r="B779" s="26" t="n">
        <f aca="false">IF(INDEX(Pengaturan!$B$8:$B$27,B$4)="",0,COUNTIF(Data!$B779:$U779,INDEX(Pengaturan!$B$8:$B$27,B$4)))</f>
        <v>0</v>
      </c>
      <c r="C779" s="26" t="n">
        <f aca="false">IF(INDEX(Pengaturan!$B$8:$B$27,C$4)="",0,COUNTIF(Data!$B779:$U779,INDEX(Pengaturan!$B$8:$B$27,C$4)))</f>
        <v>0</v>
      </c>
      <c r="D779" s="26" t="n">
        <f aca="false">IF(INDEX(Pengaturan!$B$8:$B$27,D$4)="",0,COUNTIF(Data!$B779:$U779,INDEX(Pengaturan!$B$8:$B$27,D$4)))</f>
        <v>0</v>
      </c>
      <c r="E779" s="26" t="n">
        <f aca="false">IF(INDEX(Pengaturan!$B$8:$B$27,E$4)="",0,COUNTIF(Data!$B779:$U779,INDEX(Pengaturan!$B$8:$B$27,E$4)))</f>
        <v>0</v>
      </c>
      <c r="F779" s="26" t="n">
        <f aca="false">IF(INDEX(Pengaturan!$B$8:$B$27,F$4)="",0,COUNTIF(Data!$B779:$U779,INDEX(Pengaturan!$B$8:$B$27,F$4)))</f>
        <v>0</v>
      </c>
      <c r="G779" s="26" t="n">
        <f aca="false">IF(INDEX(Pengaturan!$B$8:$B$27,G$4)="",0,COUNTIF(Data!$B779:$U779,INDEX(Pengaturan!$B$8:$B$27,G$4)))</f>
        <v>0</v>
      </c>
      <c r="H779" s="26" t="n">
        <f aca="false">IF(INDEX(Pengaturan!$B$8:$B$27,H$4)="",0,COUNTIF(Data!$B779:$U779,INDEX(Pengaturan!$B$8:$B$27,H$4)))</f>
        <v>0</v>
      </c>
      <c r="I779" s="26" t="n">
        <f aca="false">IF(INDEX(Pengaturan!$B$8:$B$27,I$4)="",0,COUNTIF(Data!$B779:$U779,INDEX(Pengaturan!$B$8:$B$27,I$4)))</f>
        <v>0</v>
      </c>
      <c r="J779" s="26" t="n">
        <f aca="false">IF(INDEX(Pengaturan!$B$8:$B$27,J$4)="",0,COUNTIF(Data!$B779:$U779,INDEX(Pengaturan!$B$8:$B$27,J$4)))</f>
        <v>0</v>
      </c>
      <c r="K779" s="26" t="n">
        <f aca="false">IF(INDEX(Pengaturan!$B$8:$B$27,K$4)="",0,COUNTIF(Data!$B779:$U779,INDEX(Pengaturan!$B$8:$B$27,K$4)))</f>
        <v>0</v>
      </c>
      <c r="L779" s="26" t="n">
        <f aca="false">IF(INDEX(Pengaturan!$B$8:$B$27,L$4)="",0,COUNTIF(Data!$B779:$U779,INDEX(Pengaturan!$B$8:$B$27,L$4)))</f>
        <v>0</v>
      </c>
      <c r="M779" s="26" t="n">
        <f aca="false">IF(INDEX(Pengaturan!$B$8:$B$27,M$4)="",0,COUNTIF(Data!$B779:$U779,INDEX(Pengaturan!$B$8:$B$27,M$4)))</f>
        <v>0</v>
      </c>
      <c r="N779" s="26" t="n">
        <f aca="false">IF(INDEX(Pengaturan!$B$8:$B$27,N$4)="",0,COUNTIF(Data!$B779:$U779,INDEX(Pengaturan!$B$8:$B$27,N$4)))</f>
        <v>0</v>
      </c>
      <c r="O779" s="26" t="n">
        <f aca="false">IF(INDEX(Pengaturan!$B$8:$B$27,O$4)="",0,COUNTIF(Data!$B779:$U779,INDEX(Pengaturan!$B$8:$B$27,O$4)))</f>
        <v>0</v>
      </c>
      <c r="P779" s="26" t="n">
        <f aca="false">IF(INDEX(Pengaturan!$B$8:$B$27,P$4)="",0,COUNTIF(Data!$B779:$U779,INDEX(Pengaturan!$B$8:$B$27,P$4)))</f>
        <v>0</v>
      </c>
      <c r="Q779" s="26" t="n">
        <f aca="false">IF(INDEX(Pengaturan!$B$8:$B$27,Q$4)="",0,COUNTIF(Data!$B779:$U779,INDEX(Pengaturan!$B$8:$B$27,Q$4)))</f>
        <v>0</v>
      </c>
      <c r="R779" s="26" t="n">
        <f aca="false">IF(INDEX(Pengaturan!$B$8:$B$27,R$4)="",0,COUNTIF(Data!$B779:$U779,INDEX(Pengaturan!$B$8:$B$27,R$4)))</f>
        <v>0</v>
      </c>
      <c r="S779" s="26" t="n">
        <f aca="false">IF(INDEX(Pengaturan!$B$8:$B$27,S$4)="",0,COUNTIF(Data!$B779:$U779,INDEX(Pengaturan!$B$8:$B$27,S$4)))</f>
        <v>0</v>
      </c>
      <c r="T779" s="26" t="n">
        <f aca="false">IF(INDEX(Pengaturan!$B$8:$B$27,T$4)="",0,COUNTIF(Data!$B779:$U779,INDEX(Pengaturan!$B$8:$B$27,T$4)))</f>
        <v>0</v>
      </c>
      <c r="U779" s="26" t="n">
        <f aca="false">IF(INDEX(Pengaturan!$B$8:$B$27,U$4)="",0,COUNTIF(Data!$B779:$U779,INDEX(Pengaturan!$B$8:$B$27,U$4)))</f>
        <v>0</v>
      </c>
      <c r="V779" s="26" t="n">
        <f aca="false">COUNTA(Data!$B779:$U779)</f>
        <v>0</v>
      </c>
      <c r="W779" s="27" t="str">
        <f aca="false">IF(V779=0,"",IF(V779&lt;&gt;Hasil!$C$4,"Data kosong/tidak lengkap",IF(SUM(B779:U779)&lt;&gt;V779,"Kategori tidak dikenal","OK")))</f>
        <v/>
      </c>
      <c r="X779" s="26" t="n">
        <f aca="false">IF(OR(W779="",W779="OK"),0,1)</f>
        <v>0</v>
      </c>
    </row>
    <row r="780" customFormat="false" ht="15" hidden="false" customHeight="false" outlineLevel="0" collapsed="false">
      <c r="A780" s="26" t="n">
        <f aca="false">Data!A780</f>
        <v>775</v>
      </c>
      <c r="B780" s="26" t="n">
        <f aca="false">IF(INDEX(Pengaturan!$B$8:$B$27,B$4)="",0,COUNTIF(Data!$B780:$U780,INDEX(Pengaturan!$B$8:$B$27,B$4)))</f>
        <v>0</v>
      </c>
      <c r="C780" s="26" t="n">
        <f aca="false">IF(INDEX(Pengaturan!$B$8:$B$27,C$4)="",0,COUNTIF(Data!$B780:$U780,INDEX(Pengaturan!$B$8:$B$27,C$4)))</f>
        <v>0</v>
      </c>
      <c r="D780" s="26" t="n">
        <f aca="false">IF(INDEX(Pengaturan!$B$8:$B$27,D$4)="",0,COUNTIF(Data!$B780:$U780,INDEX(Pengaturan!$B$8:$B$27,D$4)))</f>
        <v>0</v>
      </c>
      <c r="E780" s="26" t="n">
        <f aca="false">IF(INDEX(Pengaturan!$B$8:$B$27,E$4)="",0,COUNTIF(Data!$B780:$U780,INDEX(Pengaturan!$B$8:$B$27,E$4)))</f>
        <v>0</v>
      </c>
      <c r="F780" s="26" t="n">
        <f aca="false">IF(INDEX(Pengaturan!$B$8:$B$27,F$4)="",0,COUNTIF(Data!$B780:$U780,INDEX(Pengaturan!$B$8:$B$27,F$4)))</f>
        <v>0</v>
      </c>
      <c r="G780" s="26" t="n">
        <f aca="false">IF(INDEX(Pengaturan!$B$8:$B$27,G$4)="",0,COUNTIF(Data!$B780:$U780,INDEX(Pengaturan!$B$8:$B$27,G$4)))</f>
        <v>0</v>
      </c>
      <c r="H780" s="26" t="n">
        <f aca="false">IF(INDEX(Pengaturan!$B$8:$B$27,H$4)="",0,COUNTIF(Data!$B780:$U780,INDEX(Pengaturan!$B$8:$B$27,H$4)))</f>
        <v>0</v>
      </c>
      <c r="I780" s="26" t="n">
        <f aca="false">IF(INDEX(Pengaturan!$B$8:$B$27,I$4)="",0,COUNTIF(Data!$B780:$U780,INDEX(Pengaturan!$B$8:$B$27,I$4)))</f>
        <v>0</v>
      </c>
      <c r="J780" s="26" t="n">
        <f aca="false">IF(INDEX(Pengaturan!$B$8:$B$27,J$4)="",0,COUNTIF(Data!$B780:$U780,INDEX(Pengaturan!$B$8:$B$27,J$4)))</f>
        <v>0</v>
      </c>
      <c r="K780" s="26" t="n">
        <f aca="false">IF(INDEX(Pengaturan!$B$8:$B$27,K$4)="",0,COUNTIF(Data!$B780:$U780,INDEX(Pengaturan!$B$8:$B$27,K$4)))</f>
        <v>0</v>
      </c>
      <c r="L780" s="26" t="n">
        <f aca="false">IF(INDEX(Pengaturan!$B$8:$B$27,L$4)="",0,COUNTIF(Data!$B780:$U780,INDEX(Pengaturan!$B$8:$B$27,L$4)))</f>
        <v>0</v>
      </c>
      <c r="M780" s="26" t="n">
        <f aca="false">IF(INDEX(Pengaturan!$B$8:$B$27,M$4)="",0,COUNTIF(Data!$B780:$U780,INDEX(Pengaturan!$B$8:$B$27,M$4)))</f>
        <v>0</v>
      </c>
      <c r="N780" s="26" t="n">
        <f aca="false">IF(INDEX(Pengaturan!$B$8:$B$27,N$4)="",0,COUNTIF(Data!$B780:$U780,INDEX(Pengaturan!$B$8:$B$27,N$4)))</f>
        <v>0</v>
      </c>
      <c r="O780" s="26" t="n">
        <f aca="false">IF(INDEX(Pengaturan!$B$8:$B$27,O$4)="",0,COUNTIF(Data!$B780:$U780,INDEX(Pengaturan!$B$8:$B$27,O$4)))</f>
        <v>0</v>
      </c>
      <c r="P780" s="26" t="n">
        <f aca="false">IF(INDEX(Pengaturan!$B$8:$B$27,P$4)="",0,COUNTIF(Data!$B780:$U780,INDEX(Pengaturan!$B$8:$B$27,P$4)))</f>
        <v>0</v>
      </c>
      <c r="Q780" s="26" t="n">
        <f aca="false">IF(INDEX(Pengaturan!$B$8:$B$27,Q$4)="",0,COUNTIF(Data!$B780:$U780,INDEX(Pengaturan!$B$8:$B$27,Q$4)))</f>
        <v>0</v>
      </c>
      <c r="R780" s="26" t="n">
        <f aca="false">IF(INDEX(Pengaturan!$B$8:$B$27,R$4)="",0,COUNTIF(Data!$B780:$U780,INDEX(Pengaturan!$B$8:$B$27,R$4)))</f>
        <v>0</v>
      </c>
      <c r="S780" s="26" t="n">
        <f aca="false">IF(INDEX(Pengaturan!$B$8:$B$27,S$4)="",0,COUNTIF(Data!$B780:$U780,INDEX(Pengaturan!$B$8:$B$27,S$4)))</f>
        <v>0</v>
      </c>
      <c r="T780" s="26" t="n">
        <f aca="false">IF(INDEX(Pengaturan!$B$8:$B$27,T$4)="",0,COUNTIF(Data!$B780:$U780,INDEX(Pengaturan!$B$8:$B$27,T$4)))</f>
        <v>0</v>
      </c>
      <c r="U780" s="26" t="n">
        <f aca="false">IF(INDEX(Pengaturan!$B$8:$B$27,U$4)="",0,COUNTIF(Data!$B780:$U780,INDEX(Pengaturan!$B$8:$B$27,U$4)))</f>
        <v>0</v>
      </c>
      <c r="V780" s="26" t="n">
        <f aca="false">COUNTA(Data!$B780:$U780)</f>
        <v>0</v>
      </c>
      <c r="W780" s="27" t="str">
        <f aca="false">IF(V780=0,"",IF(V780&lt;&gt;Hasil!$C$4,"Data kosong/tidak lengkap",IF(SUM(B780:U780)&lt;&gt;V780,"Kategori tidak dikenal","OK")))</f>
        <v/>
      </c>
      <c r="X780" s="26" t="n">
        <f aca="false">IF(OR(W780="",W780="OK"),0,1)</f>
        <v>0</v>
      </c>
    </row>
    <row r="781" customFormat="false" ht="15" hidden="false" customHeight="false" outlineLevel="0" collapsed="false">
      <c r="A781" s="26" t="n">
        <f aca="false">Data!A781</f>
        <v>776</v>
      </c>
      <c r="B781" s="26" t="n">
        <f aca="false">IF(INDEX(Pengaturan!$B$8:$B$27,B$4)="",0,COUNTIF(Data!$B781:$U781,INDEX(Pengaturan!$B$8:$B$27,B$4)))</f>
        <v>0</v>
      </c>
      <c r="C781" s="26" t="n">
        <f aca="false">IF(INDEX(Pengaturan!$B$8:$B$27,C$4)="",0,COUNTIF(Data!$B781:$U781,INDEX(Pengaturan!$B$8:$B$27,C$4)))</f>
        <v>0</v>
      </c>
      <c r="D781" s="26" t="n">
        <f aca="false">IF(INDEX(Pengaturan!$B$8:$B$27,D$4)="",0,COUNTIF(Data!$B781:$U781,INDEX(Pengaturan!$B$8:$B$27,D$4)))</f>
        <v>0</v>
      </c>
      <c r="E781" s="26" t="n">
        <f aca="false">IF(INDEX(Pengaturan!$B$8:$B$27,E$4)="",0,COUNTIF(Data!$B781:$U781,INDEX(Pengaturan!$B$8:$B$27,E$4)))</f>
        <v>0</v>
      </c>
      <c r="F781" s="26" t="n">
        <f aca="false">IF(INDEX(Pengaturan!$B$8:$B$27,F$4)="",0,COUNTIF(Data!$B781:$U781,INDEX(Pengaturan!$B$8:$B$27,F$4)))</f>
        <v>0</v>
      </c>
      <c r="G781" s="26" t="n">
        <f aca="false">IF(INDEX(Pengaturan!$B$8:$B$27,G$4)="",0,COUNTIF(Data!$B781:$U781,INDEX(Pengaturan!$B$8:$B$27,G$4)))</f>
        <v>0</v>
      </c>
      <c r="H781" s="26" t="n">
        <f aca="false">IF(INDEX(Pengaturan!$B$8:$B$27,H$4)="",0,COUNTIF(Data!$B781:$U781,INDEX(Pengaturan!$B$8:$B$27,H$4)))</f>
        <v>0</v>
      </c>
      <c r="I781" s="26" t="n">
        <f aca="false">IF(INDEX(Pengaturan!$B$8:$B$27,I$4)="",0,COUNTIF(Data!$B781:$U781,INDEX(Pengaturan!$B$8:$B$27,I$4)))</f>
        <v>0</v>
      </c>
      <c r="J781" s="26" t="n">
        <f aca="false">IF(INDEX(Pengaturan!$B$8:$B$27,J$4)="",0,COUNTIF(Data!$B781:$U781,INDEX(Pengaturan!$B$8:$B$27,J$4)))</f>
        <v>0</v>
      </c>
      <c r="K781" s="26" t="n">
        <f aca="false">IF(INDEX(Pengaturan!$B$8:$B$27,K$4)="",0,COUNTIF(Data!$B781:$U781,INDEX(Pengaturan!$B$8:$B$27,K$4)))</f>
        <v>0</v>
      </c>
      <c r="L781" s="26" t="n">
        <f aca="false">IF(INDEX(Pengaturan!$B$8:$B$27,L$4)="",0,COUNTIF(Data!$B781:$U781,INDEX(Pengaturan!$B$8:$B$27,L$4)))</f>
        <v>0</v>
      </c>
      <c r="M781" s="26" t="n">
        <f aca="false">IF(INDEX(Pengaturan!$B$8:$B$27,M$4)="",0,COUNTIF(Data!$B781:$U781,INDEX(Pengaturan!$B$8:$B$27,M$4)))</f>
        <v>0</v>
      </c>
      <c r="N781" s="26" t="n">
        <f aca="false">IF(INDEX(Pengaturan!$B$8:$B$27,N$4)="",0,COUNTIF(Data!$B781:$U781,INDEX(Pengaturan!$B$8:$B$27,N$4)))</f>
        <v>0</v>
      </c>
      <c r="O781" s="26" t="n">
        <f aca="false">IF(INDEX(Pengaturan!$B$8:$B$27,O$4)="",0,COUNTIF(Data!$B781:$U781,INDEX(Pengaturan!$B$8:$B$27,O$4)))</f>
        <v>0</v>
      </c>
      <c r="P781" s="26" t="n">
        <f aca="false">IF(INDEX(Pengaturan!$B$8:$B$27,P$4)="",0,COUNTIF(Data!$B781:$U781,INDEX(Pengaturan!$B$8:$B$27,P$4)))</f>
        <v>0</v>
      </c>
      <c r="Q781" s="26" t="n">
        <f aca="false">IF(INDEX(Pengaturan!$B$8:$B$27,Q$4)="",0,COUNTIF(Data!$B781:$U781,INDEX(Pengaturan!$B$8:$B$27,Q$4)))</f>
        <v>0</v>
      </c>
      <c r="R781" s="26" t="n">
        <f aca="false">IF(INDEX(Pengaturan!$B$8:$B$27,R$4)="",0,COUNTIF(Data!$B781:$U781,INDEX(Pengaturan!$B$8:$B$27,R$4)))</f>
        <v>0</v>
      </c>
      <c r="S781" s="26" t="n">
        <f aca="false">IF(INDEX(Pengaturan!$B$8:$B$27,S$4)="",0,COUNTIF(Data!$B781:$U781,INDEX(Pengaturan!$B$8:$B$27,S$4)))</f>
        <v>0</v>
      </c>
      <c r="T781" s="26" t="n">
        <f aca="false">IF(INDEX(Pengaturan!$B$8:$B$27,T$4)="",0,COUNTIF(Data!$B781:$U781,INDEX(Pengaturan!$B$8:$B$27,T$4)))</f>
        <v>0</v>
      </c>
      <c r="U781" s="26" t="n">
        <f aca="false">IF(INDEX(Pengaturan!$B$8:$B$27,U$4)="",0,COUNTIF(Data!$B781:$U781,INDEX(Pengaturan!$B$8:$B$27,U$4)))</f>
        <v>0</v>
      </c>
      <c r="V781" s="26" t="n">
        <f aca="false">COUNTA(Data!$B781:$U781)</f>
        <v>0</v>
      </c>
      <c r="W781" s="27" t="str">
        <f aca="false">IF(V781=0,"",IF(V781&lt;&gt;Hasil!$C$4,"Data kosong/tidak lengkap",IF(SUM(B781:U781)&lt;&gt;V781,"Kategori tidak dikenal","OK")))</f>
        <v/>
      </c>
      <c r="X781" s="26" t="n">
        <f aca="false">IF(OR(W781="",W781="OK"),0,1)</f>
        <v>0</v>
      </c>
    </row>
    <row r="782" customFormat="false" ht="15" hidden="false" customHeight="false" outlineLevel="0" collapsed="false">
      <c r="A782" s="26" t="n">
        <f aca="false">Data!A782</f>
        <v>777</v>
      </c>
      <c r="B782" s="26" t="n">
        <f aca="false">IF(INDEX(Pengaturan!$B$8:$B$27,B$4)="",0,COUNTIF(Data!$B782:$U782,INDEX(Pengaturan!$B$8:$B$27,B$4)))</f>
        <v>0</v>
      </c>
      <c r="C782" s="26" t="n">
        <f aca="false">IF(INDEX(Pengaturan!$B$8:$B$27,C$4)="",0,COUNTIF(Data!$B782:$U782,INDEX(Pengaturan!$B$8:$B$27,C$4)))</f>
        <v>0</v>
      </c>
      <c r="D782" s="26" t="n">
        <f aca="false">IF(INDEX(Pengaturan!$B$8:$B$27,D$4)="",0,COUNTIF(Data!$B782:$U782,INDEX(Pengaturan!$B$8:$B$27,D$4)))</f>
        <v>0</v>
      </c>
      <c r="E782" s="26" t="n">
        <f aca="false">IF(INDEX(Pengaturan!$B$8:$B$27,E$4)="",0,COUNTIF(Data!$B782:$U782,INDEX(Pengaturan!$B$8:$B$27,E$4)))</f>
        <v>0</v>
      </c>
      <c r="F782" s="26" t="n">
        <f aca="false">IF(INDEX(Pengaturan!$B$8:$B$27,F$4)="",0,COUNTIF(Data!$B782:$U782,INDEX(Pengaturan!$B$8:$B$27,F$4)))</f>
        <v>0</v>
      </c>
      <c r="G782" s="26" t="n">
        <f aca="false">IF(INDEX(Pengaturan!$B$8:$B$27,G$4)="",0,COUNTIF(Data!$B782:$U782,INDEX(Pengaturan!$B$8:$B$27,G$4)))</f>
        <v>0</v>
      </c>
      <c r="H782" s="26" t="n">
        <f aca="false">IF(INDEX(Pengaturan!$B$8:$B$27,H$4)="",0,COUNTIF(Data!$B782:$U782,INDEX(Pengaturan!$B$8:$B$27,H$4)))</f>
        <v>0</v>
      </c>
      <c r="I782" s="26" t="n">
        <f aca="false">IF(INDEX(Pengaturan!$B$8:$B$27,I$4)="",0,COUNTIF(Data!$B782:$U782,INDEX(Pengaturan!$B$8:$B$27,I$4)))</f>
        <v>0</v>
      </c>
      <c r="J782" s="26" t="n">
        <f aca="false">IF(INDEX(Pengaturan!$B$8:$B$27,J$4)="",0,COUNTIF(Data!$B782:$U782,INDEX(Pengaturan!$B$8:$B$27,J$4)))</f>
        <v>0</v>
      </c>
      <c r="K782" s="26" t="n">
        <f aca="false">IF(INDEX(Pengaturan!$B$8:$B$27,K$4)="",0,COUNTIF(Data!$B782:$U782,INDEX(Pengaturan!$B$8:$B$27,K$4)))</f>
        <v>0</v>
      </c>
      <c r="L782" s="26" t="n">
        <f aca="false">IF(INDEX(Pengaturan!$B$8:$B$27,L$4)="",0,COUNTIF(Data!$B782:$U782,INDEX(Pengaturan!$B$8:$B$27,L$4)))</f>
        <v>0</v>
      </c>
      <c r="M782" s="26" t="n">
        <f aca="false">IF(INDEX(Pengaturan!$B$8:$B$27,M$4)="",0,COUNTIF(Data!$B782:$U782,INDEX(Pengaturan!$B$8:$B$27,M$4)))</f>
        <v>0</v>
      </c>
      <c r="N782" s="26" t="n">
        <f aca="false">IF(INDEX(Pengaturan!$B$8:$B$27,N$4)="",0,COUNTIF(Data!$B782:$U782,INDEX(Pengaturan!$B$8:$B$27,N$4)))</f>
        <v>0</v>
      </c>
      <c r="O782" s="26" t="n">
        <f aca="false">IF(INDEX(Pengaturan!$B$8:$B$27,O$4)="",0,COUNTIF(Data!$B782:$U782,INDEX(Pengaturan!$B$8:$B$27,O$4)))</f>
        <v>0</v>
      </c>
      <c r="P782" s="26" t="n">
        <f aca="false">IF(INDEX(Pengaturan!$B$8:$B$27,P$4)="",0,COUNTIF(Data!$B782:$U782,INDEX(Pengaturan!$B$8:$B$27,P$4)))</f>
        <v>0</v>
      </c>
      <c r="Q782" s="26" t="n">
        <f aca="false">IF(INDEX(Pengaturan!$B$8:$B$27,Q$4)="",0,COUNTIF(Data!$B782:$U782,INDEX(Pengaturan!$B$8:$B$27,Q$4)))</f>
        <v>0</v>
      </c>
      <c r="R782" s="26" t="n">
        <f aca="false">IF(INDEX(Pengaturan!$B$8:$B$27,R$4)="",0,COUNTIF(Data!$B782:$U782,INDEX(Pengaturan!$B$8:$B$27,R$4)))</f>
        <v>0</v>
      </c>
      <c r="S782" s="26" t="n">
        <f aca="false">IF(INDEX(Pengaturan!$B$8:$B$27,S$4)="",0,COUNTIF(Data!$B782:$U782,INDEX(Pengaturan!$B$8:$B$27,S$4)))</f>
        <v>0</v>
      </c>
      <c r="T782" s="26" t="n">
        <f aca="false">IF(INDEX(Pengaturan!$B$8:$B$27,T$4)="",0,COUNTIF(Data!$B782:$U782,INDEX(Pengaturan!$B$8:$B$27,T$4)))</f>
        <v>0</v>
      </c>
      <c r="U782" s="26" t="n">
        <f aca="false">IF(INDEX(Pengaturan!$B$8:$B$27,U$4)="",0,COUNTIF(Data!$B782:$U782,INDEX(Pengaturan!$B$8:$B$27,U$4)))</f>
        <v>0</v>
      </c>
      <c r="V782" s="26" t="n">
        <f aca="false">COUNTA(Data!$B782:$U782)</f>
        <v>0</v>
      </c>
      <c r="W782" s="27" t="str">
        <f aca="false">IF(V782=0,"",IF(V782&lt;&gt;Hasil!$C$4,"Data kosong/tidak lengkap",IF(SUM(B782:U782)&lt;&gt;V782,"Kategori tidak dikenal","OK")))</f>
        <v/>
      </c>
      <c r="X782" s="26" t="n">
        <f aca="false">IF(OR(W782="",W782="OK"),0,1)</f>
        <v>0</v>
      </c>
    </row>
    <row r="783" customFormat="false" ht="15" hidden="false" customHeight="false" outlineLevel="0" collapsed="false">
      <c r="A783" s="26" t="n">
        <f aca="false">Data!A783</f>
        <v>778</v>
      </c>
      <c r="B783" s="26" t="n">
        <f aca="false">IF(INDEX(Pengaturan!$B$8:$B$27,B$4)="",0,COUNTIF(Data!$B783:$U783,INDEX(Pengaturan!$B$8:$B$27,B$4)))</f>
        <v>0</v>
      </c>
      <c r="C783" s="26" t="n">
        <f aca="false">IF(INDEX(Pengaturan!$B$8:$B$27,C$4)="",0,COUNTIF(Data!$B783:$U783,INDEX(Pengaturan!$B$8:$B$27,C$4)))</f>
        <v>0</v>
      </c>
      <c r="D783" s="26" t="n">
        <f aca="false">IF(INDEX(Pengaturan!$B$8:$B$27,D$4)="",0,COUNTIF(Data!$B783:$U783,INDEX(Pengaturan!$B$8:$B$27,D$4)))</f>
        <v>0</v>
      </c>
      <c r="E783" s="26" t="n">
        <f aca="false">IF(INDEX(Pengaturan!$B$8:$B$27,E$4)="",0,COUNTIF(Data!$B783:$U783,INDEX(Pengaturan!$B$8:$B$27,E$4)))</f>
        <v>0</v>
      </c>
      <c r="F783" s="26" t="n">
        <f aca="false">IF(INDEX(Pengaturan!$B$8:$B$27,F$4)="",0,COUNTIF(Data!$B783:$U783,INDEX(Pengaturan!$B$8:$B$27,F$4)))</f>
        <v>0</v>
      </c>
      <c r="G783" s="26" t="n">
        <f aca="false">IF(INDEX(Pengaturan!$B$8:$B$27,G$4)="",0,COUNTIF(Data!$B783:$U783,INDEX(Pengaturan!$B$8:$B$27,G$4)))</f>
        <v>0</v>
      </c>
      <c r="H783" s="26" t="n">
        <f aca="false">IF(INDEX(Pengaturan!$B$8:$B$27,H$4)="",0,COUNTIF(Data!$B783:$U783,INDEX(Pengaturan!$B$8:$B$27,H$4)))</f>
        <v>0</v>
      </c>
      <c r="I783" s="26" t="n">
        <f aca="false">IF(INDEX(Pengaturan!$B$8:$B$27,I$4)="",0,COUNTIF(Data!$B783:$U783,INDEX(Pengaturan!$B$8:$B$27,I$4)))</f>
        <v>0</v>
      </c>
      <c r="J783" s="26" t="n">
        <f aca="false">IF(INDEX(Pengaturan!$B$8:$B$27,J$4)="",0,COUNTIF(Data!$B783:$U783,INDEX(Pengaturan!$B$8:$B$27,J$4)))</f>
        <v>0</v>
      </c>
      <c r="K783" s="26" t="n">
        <f aca="false">IF(INDEX(Pengaturan!$B$8:$B$27,K$4)="",0,COUNTIF(Data!$B783:$U783,INDEX(Pengaturan!$B$8:$B$27,K$4)))</f>
        <v>0</v>
      </c>
      <c r="L783" s="26" t="n">
        <f aca="false">IF(INDEX(Pengaturan!$B$8:$B$27,L$4)="",0,COUNTIF(Data!$B783:$U783,INDEX(Pengaturan!$B$8:$B$27,L$4)))</f>
        <v>0</v>
      </c>
      <c r="M783" s="26" t="n">
        <f aca="false">IF(INDEX(Pengaturan!$B$8:$B$27,M$4)="",0,COUNTIF(Data!$B783:$U783,INDEX(Pengaturan!$B$8:$B$27,M$4)))</f>
        <v>0</v>
      </c>
      <c r="N783" s="26" t="n">
        <f aca="false">IF(INDEX(Pengaturan!$B$8:$B$27,N$4)="",0,COUNTIF(Data!$B783:$U783,INDEX(Pengaturan!$B$8:$B$27,N$4)))</f>
        <v>0</v>
      </c>
      <c r="O783" s="26" t="n">
        <f aca="false">IF(INDEX(Pengaturan!$B$8:$B$27,O$4)="",0,COUNTIF(Data!$B783:$U783,INDEX(Pengaturan!$B$8:$B$27,O$4)))</f>
        <v>0</v>
      </c>
      <c r="P783" s="26" t="n">
        <f aca="false">IF(INDEX(Pengaturan!$B$8:$B$27,P$4)="",0,COUNTIF(Data!$B783:$U783,INDEX(Pengaturan!$B$8:$B$27,P$4)))</f>
        <v>0</v>
      </c>
      <c r="Q783" s="26" t="n">
        <f aca="false">IF(INDEX(Pengaturan!$B$8:$B$27,Q$4)="",0,COUNTIF(Data!$B783:$U783,INDEX(Pengaturan!$B$8:$B$27,Q$4)))</f>
        <v>0</v>
      </c>
      <c r="R783" s="26" t="n">
        <f aca="false">IF(INDEX(Pengaturan!$B$8:$B$27,R$4)="",0,COUNTIF(Data!$B783:$U783,INDEX(Pengaturan!$B$8:$B$27,R$4)))</f>
        <v>0</v>
      </c>
      <c r="S783" s="26" t="n">
        <f aca="false">IF(INDEX(Pengaturan!$B$8:$B$27,S$4)="",0,COUNTIF(Data!$B783:$U783,INDEX(Pengaturan!$B$8:$B$27,S$4)))</f>
        <v>0</v>
      </c>
      <c r="T783" s="26" t="n">
        <f aca="false">IF(INDEX(Pengaturan!$B$8:$B$27,T$4)="",0,COUNTIF(Data!$B783:$U783,INDEX(Pengaturan!$B$8:$B$27,T$4)))</f>
        <v>0</v>
      </c>
      <c r="U783" s="26" t="n">
        <f aca="false">IF(INDEX(Pengaturan!$B$8:$B$27,U$4)="",0,COUNTIF(Data!$B783:$U783,INDEX(Pengaturan!$B$8:$B$27,U$4)))</f>
        <v>0</v>
      </c>
      <c r="V783" s="26" t="n">
        <f aca="false">COUNTA(Data!$B783:$U783)</f>
        <v>0</v>
      </c>
      <c r="W783" s="27" t="str">
        <f aca="false">IF(V783=0,"",IF(V783&lt;&gt;Hasil!$C$4,"Data kosong/tidak lengkap",IF(SUM(B783:U783)&lt;&gt;V783,"Kategori tidak dikenal","OK")))</f>
        <v/>
      </c>
      <c r="X783" s="26" t="n">
        <f aca="false">IF(OR(W783="",W783="OK"),0,1)</f>
        <v>0</v>
      </c>
    </row>
    <row r="784" customFormat="false" ht="15" hidden="false" customHeight="false" outlineLevel="0" collapsed="false">
      <c r="A784" s="26" t="n">
        <f aca="false">Data!A784</f>
        <v>779</v>
      </c>
      <c r="B784" s="26" t="n">
        <f aca="false">IF(INDEX(Pengaturan!$B$8:$B$27,B$4)="",0,COUNTIF(Data!$B784:$U784,INDEX(Pengaturan!$B$8:$B$27,B$4)))</f>
        <v>0</v>
      </c>
      <c r="C784" s="26" t="n">
        <f aca="false">IF(INDEX(Pengaturan!$B$8:$B$27,C$4)="",0,COUNTIF(Data!$B784:$U784,INDEX(Pengaturan!$B$8:$B$27,C$4)))</f>
        <v>0</v>
      </c>
      <c r="D784" s="26" t="n">
        <f aca="false">IF(INDEX(Pengaturan!$B$8:$B$27,D$4)="",0,COUNTIF(Data!$B784:$U784,INDEX(Pengaturan!$B$8:$B$27,D$4)))</f>
        <v>0</v>
      </c>
      <c r="E784" s="26" t="n">
        <f aca="false">IF(INDEX(Pengaturan!$B$8:$B$27,E$4)="",0,COUNTIF(Data!$B784:$U784,INDEX(Pengaturan!$B$8:$B$27,E$4)))</f>
        <v>0</v>
      </c>
      <c r="F784" s="26" t="n">
        <f aca="false">IF(INDEX(Pengaturan!$B$8:$B$27,F$4)="",0,COUNTIF(Data!$B784:$U784,INDEX(Pengaturan!$B$8:$B$27,F$4)))</f>
        <v>0</v>
      </c>
      <c r="G784" s="26" t="n">
        <f aca="false">IF(INDEX(Pengaturan!$B$8:$B$27,G$4)="",0,COUNTIF(Data!$B784:$U784,INDEX(Pengaturan!$B$8:$B$27,G$4)))</f>
        <v>0</v>
      </c>
      <c r="H784" s="26" t="n">
        <f aca="false">IF(INDEX(Pengaturan!$B$8:$B$27,H$4)="",0,COUNTIF(Data!$B784:$U784,INDEX(Pengaturan!$B$8:$B$27,H$4)))</f>
        <v>0</v>
      </c>
      <c r="I784" s="26" t="n">
        <f aca="false">IF(INDEX(Pengaturan!$B$8:$B$27,I$4)="",0,COUNTIF(Data!$B784:$U784,INDEX(Pengaturan!$B$8:$B$27,I$4)))</f>
        <v>0</v>
      </c>
      <c r="J784" s="26" t="n">
        <f aca="false">IF(INDEX(Pengaturan!$B$8:$B$27,J$4)="",0,COUNTIF(Data!$B784:$U784,INDEX(Pengaturan!$B$8:$B$27,J$4)))</f>
        <v>0</v>
      </c>
      <c r="K784" s="26" t="n">
        <f aca="false">IF(INDEX(Pengaturan!$B$8:$B$27,K$4)="",0,COUNTIF(Data!$B784:$U784,INDEX(Pengaturan!$B$8:$B$27,K$4)))</f>
        <v>0</v>
      </c>
      <c r="L784" s="26" t="n">
        <f aca="false">IF(INDEX(Pengaturan!$B$8:$B$27,L$4)="",0,COUNTIF(Data!$B784:$U784,INDEX(Pengaturan!$B$8:$B$27,L$4)))</f>
        <v>0</v>
      </c>
      <c r="M784" s="26" t="n">
        <f aca="false">IF(INDEX(Pengaturan!$B$8:$B$27,M$4)="",0,COUNTIF(Data!$B784:$U784,INDEX(Pengaturan!$B$8:$B$27,M$4)))</f>
        <v>0</v>
      </c>
      <c r="N784" s="26" t="n">
        <f aca="false">IF(INDEX(Pengaturan!$B$8:$B$27,N$4)="",0,COUNTIF(Data!$B784:$U784,INDEX(Pengaturan!$B$8:$B$27,N$4)))</f>
        <v>0</v>
      </c>
      <c r="O784" s="26" t="n">
        <f aca="false">IF(INDEX(Pengaturan!$B$8:$B$27,O$4)="",0,COUNTIF(Data!$B784:$U784,INDEX(Pengaturan!$B$8:$B$27,O$4)))</f>
        <v>0</v>
      </c>
      <c r="P784" s="26" t="n">
        <f aca="false">IF(INDEX(Pengaturan!$B$8:$B$27,P$4)="",0,COUNTIF(Data!$B784:$U784,INDEX(Pengaturan!$B$8:$B$27,P$4)))</f>
        <v>0</v>
      </c>
      <c r="Q784" s="26" t="n">
        <f aca="false">IF(INDEX(Pengaturan!$B$8:$B$27,Q$4)="",0,COUNTIF(Data!$B784:$U784,INDEX(Pengaturan!$B$8:$B$27,Q$4)))</f>
        <v>0</v>
      </c>
      <c r="R784" s="26" t="n">
        <f aca="false">IF(INDEX(Pengaturan!$B$8:$B$27,R$4)="",0,COUNTIF(Data!$B784:$U784,INDEX(Pengaturan!$B$8:$B$27,R$4)))</f>
        <v>0</v>
      </c>
      <c r="S784" s="26" t="n">
        <f aca="false">IF(INDEX(Pengaturan!$B$8:$B$27,S$4)="",0,COUNTIF(Data!$B784:$U784,INDEX(Pengaturan!$B$8:$B$27,S$4)))</f>
        <v>0</v>
      </c>
      <c r="T784" s="26" t="n">
        <f aca="false">IF(INDEX(Pengaturan!$B$8:$B$27,T$4)="",0,COUNTIF(Data!$B784:$U784,INDEX(Pengaturan!$B$8:$B$27,T$4)))</f>
        <v>0</v>
      </c>
      <c r="U784" s="26" t="n">
        <f aca="false">IF(INDEX(Pengaturan!$B$8:$B$27,U$4)="",0,COUNTIF(Data!$B784:$U784,INDEX(Pengaturan!$B$8:$B$27,U$4)))</f>
        <v>0</v>
      </c>
      <c r="V784" s="26" t="n">
        <f aca="false">COUNTA(Data!$B784:$U784)</f>
        <v>0</v>
      </c>
      <c r="W784" s="27" t="str">
        <f aca="false">IF(V784=0,"",IF(V784&lt;&gt;Hasil!$C$4,"Data kosong/tidak lengkap",IF(SUM(B784:U784)&lt;&gt;V784,"Kategori tidak dikenal","OK")))</f>
        <v/>
      </c>
      <c r="X784" s="26" t="n">
        <f aca="false">IF(OR(W784="",W784="OK"),0,1)</f>
        <v>0</v>
      </c>
    </row>
    <row r="785" customFormat="false" ht="15" hidden="false" customHeight="false" outlineLevel="0" collapsed="false">
      <c r="A785" s="26" t="n">
        <f aca="false">Data!A785</f>
        <v>780</v>
      </c>
      <c r="B785" s="26" t="n">
        <f aca="false">IF(INDEX(Pengaturan!$B$8:$B$27,B$4)="",0,COUNTIF(Data!$B785:$U785,INDEX(Pengaturan!$B$8:$B$27,B$4)))</f>
        <v>0</v>
      </c>
      <c r="C785" s="26" t="n">
        <f aca="false">IF(INDEX(Pengaturan!$B$8:$B$27,C$4)="",0,COUNTIF(Data!$B785:$U785,INDEX(Pengaturan!$B$8:$B$27,C$4)))</f>
        <v>0</v>
      </c>
      <c r="D785" s="26" t="n">
        <f aca="false">IF(INDEX(Pengaturan!$B$8:$B$27,D$4)="",0,COUNTIF(Data!$B785:$U785,INDEX(Pengaturan!$B$8:$B$27,D$4)))</f>
        <v>0</v>
      </c>
      <c r="E785" s="26" t="n">
        <f aca="false">IF(INDEX(Pengaturan!$B$8:$B$27,E$4)="",0,COUNTIF(Data!$B785:$U785,INDEX(Pengaturan!$B$8:$B$27,E$4)))</f>
        <v>0</v>
      </c>
      <c r="F785" s="26" t="n">
        <f aca="false">IF(INDEX(Pengaturan!$B$8:$B$27,F$4)="",0,COUNTIF(Data!$B785:$U785,INDEX(Pengaturan!$B$8:$B$27,F$4)))</f>
        <v>0</v>
      </c>
      <c r="G785" s="26" t="n">
        <f aca="false">IF(INDEX(Pengaturan!$B$8:$B$27,G$4)="",0,COUNTIF(Data!$B785:$U785,INDEX(Pengaturan!$B$8:$B$27,G$4)))</f>
        <v>0</v>
      </c>
      <c r="H785" s="26" t="n">
        <f aca="false">IF(INDEX(Pengaturan!$B$8:$B$27,H$4)="",0,COUNTIF(Data!$B785:$U785,INDEX(Pengaturan!$B$8:$B$27,H$4)))</f>
        <v>0</v>
      </c>
      <c r="I785" s="26" t="n">
        <f aca="false">IF(INDEX(Pengaturan!$B$8:$B$27,I$4)="",0,COUNTIF(Data!$B785:$U785,INDEX(Pengaturan!$B$8:$B$27,I$4)))</f>
        <v>0</v>
      </c>
      <c r="J785" s="26" t="n">
        <f aca="false">IF(INDEX(Pengaturan!$B$8:$B$27,J$4)="",0,COUNTIF(Data!$B785:$U785,INDEX(Pengaturan!$B$8:$B$27,J$4)))</f>
        <v>0</v>
      </c>
      <c r="K785" s="26" t="n">
        <f aca="false">IF(INDEX(Pengaturan!$B$8:$B$27,K$4)="",0,COUNTIF(Data!$B785:$U785,INDEX(Pengaturan!$B$8:$B$27,K$4)))</f>
        <v>0</v>
      </c>
      <c r="L785" s="26" t="n">
        <f aca="false">IF(INDEX(Pengaturan!$B$8:$B$27,L$4)="",0,COUNTIF(Data!$B785:$U785,INDEX(Pengaturan!$B$8:$B$27,L$4)))</f>
        <v>0</v>
      </c>
      <c r="M785" s="26" t="n">
        <f aca="false">IF(INDEX(Pengaturan!$B$8:$B$27,M$4)="",0,COUNTIF(Data!$B785:$U785,INDEX(Pengaturan!$B$8:$B$27,M$4)))</f>
        <v>0</v>
      </c>
      <c r="N785" s="26" t="n">
        <f aca="false">IF(INDEX(Pengaturan!$B$8:$B$27,N$4)="",0,COUNTIF(Data!$B785:$U785,INDEX(Pengaturan!$B$8:$B$27,N$4)))</f>
        <v>0</v>
      </c>
      <c r="O785" s="26" t="n">
        <f aca="false">IF(INDEX(Pengaturan!$B$8:$B$27,O$4)="",0,COUNTIF(Data!$B785:$U785,INDEX(Pengaturan!$B$8:$B$27,O$4)))</f>
        <v>0</v>
      </c>
      <c r="P785" s="26" t="n">
        <f aca="false">IF(INDEX(Pengaturan!$B$8:$B$27,P$4)="",0,COUNTIF(Data!$B785:$U785,INDEX(Pengaturan!$B$8:$B$27,P$4)))</f>
        <v>0</v>
      </c>
      <c r="Q785" s="26" t="n">
        <f aca="false">IF(INDEX(Pengaturan!$B$8:$B$27,Q$4)="",0,COUNTIF(Data!$B785:$U785,INDEX(Pengaturan!$B$8:$B$27,Q$4)))</f>
        <v>0</v>
      </c>
      <c r="R785" s="26" t="n">
        <f aca="false">IF(INDEX(Pengaturan!$B$8:$B$27,R$4)="",0,COUNTIF(Data!$B785:$U785,INDEX(Pengaturan!$B$8:$B$27,R$4)))</f>
        <v>0</v>
      </c>
      <c r="S785" s="26" t="n">
        <f aca="false">IF(INDEX(Pengaturan!$B$8:$B$27,S$4)="",0,COUNTIF(Data!$B785:$U785,INDEX(Pengaturan!$B$8:$B$27,S$4)))</f>
        <v>0</v>
      </c>
      <c r="T785" s="26" t="n">
        <f aca="false">IF(INDEX(Pengaturan!$B$8:$B$27,T$4)="",0,COUNTIF(Data!$B785:$U785,INDEX(Pengaturan!$B$8:$B$27,T$4)))</f>
        <v>0</v>
      </c>
      <c r="U785" s="26" t="n">
        <f aca="false">IF(INDEX(Pengaturan!$B$8:$B$27,U$4)="",0,COUNTIF(Data!$B785:$U785,INDEX(Pengaturan!$B$8:$B$27,U$4)))</f>
        <v>0</v>
      </c>
      <c r="V785" s="26" t="n">
        <f aca="false">COUNTA(Data!$B785:$U785)</f>
        <v>0</v>
      </c>
      <c r="W785" s="27" t="str">
        <f aca="false">IF(V785=0,"",IF(V785&lt;&gt;Hasil!$C$4,"Data kosong/tidak lengkap",IF(SUM(B785:U785)&lt;&gt;V785,"Kategori tidak dikenal","OK")))</f>
        <v/>
      </c>
      <c r="X785" s="26" t="n">
        <f aca="false">IF(OR(W785="",W785="OK"),0,1)</f>
        <v>0</v>
      </c>
    </row>
    <row r="786" customFormat="false" ht="15" hidden="false" customHeight="false" outlineLevel="0" collapsed="false">
      <c r="A786" s="26" t="n">
        <f aca="false">Data!A786</f>
        <v>781</v>
      </c>
      <c r="B786" s="26" t="n">
        <f aca="false">IF(INDEX(Pengaturan!$B$8:$B$27,B$4)="",0,COUNTIF(Data!$B786:$U786,INDEX(Pengaturan!$B$8:$B$27,B$4)))</f>
        <v>0</v>
      </c>
      <c r="C786" s="26" t="n">
        <f aca="false">IF(INDEX(Pengaturan!$B$8:$B$27,C$4)="",0,COUNTIF(Data!$B786:$U786,INDEX(Pengaturan!$B$8:$B$27,C$4)))</f>
        <v>0</v>
      </c>
      <c r="D786" s="26" t="n">
        <f aca="false">IF(INDEX(Pengaturan!$B$8:$B$27,D$4)="",0,COUNTIF(Data!$B786:$U786,INDEX(Pengaturan!$B$8:$B$27,D$4)))</f>
        <v>0</v>
      </c>
      <c r="E786" s="26" t="n">
        <f aca="false">IF(INDEX(Pengaturan!$B$8:$B$27,E$4)="",0,COUNTIF(Data!$B786:$U786,INDEX(Pengaturan!$B$8:$B$27,E$4)))</f>
        <v>0</v>
      </c>
      <c r="F786" s="26" t="n">
        <f aca="false">IF(INDEX(Pengaturan!$B$8:$B$27,F$4)="",0,COUNTIF(Data!$B786:$U786,INDEX(Pengaturan!$B$8:$B$27,F$4)))</f>
        <v>0</v>
      </c>
      <c r="G786" s="26" t="n">
        <f aca="false">IF(INDEX(Pengaturan!$B$8:$B$27,G$4)="",0,COUNTIF(Data!$B786:$U786,INDEX(Pengaturan!$B$8:$B$27,G$4)))</f>
        <v>0</v>
      </c>
      <c r="H786" s="26" t="n">
        <f aca="false">IF(INDEX(Pengaturan!$B$8:$B$27,H$4)="",0,COUNTIF(Data!$B786:$U786,INDEX(Pengaturan!$B$8:$B$27,H$4)))</f>
        <v>0</v>
      </c>
      <c r="I786" s="26" t="n">
        <f aca="false">IF(INDEX(Pengaturan!$B$8:$B$27,I$4)="",0,COUNTIF(Data!$B786:$U786,INDEX(Pengaturan!$B$8:$B$27,I$4)))</f>
        <v>0</v>
      </c>
      <c r="J786" s="26" t="n">
        <f aca="false">IF(INDEX(Pengaturan!$B$8:$B$27,J$4)="",0,COUNTIF(Data!$B786:$U786,INDEX(Pengaturan!$B$8:$B$27,J$4)))</f>
        <v>0</v>
      </c>
      <c r="K786" s="26" t="n">
        <f aca="false">IF(INDEX(Pengaturan!$B$8:$B$27,K$4)="",0,COUNTIF(Data!$B786:$U786,INDEX(Pengaturan!$B$8:$B$27,K$4)))</f>
        <v>0</v>
      </c>
      <c r="L786" s="26" t="n">
        <f aca="false">IF(INDEX(Pengaturan!$B$8:$B$27,L$4)="",0,COUNTIF(Data!$B786:$U786,INDEX(Pengaturan!$B$8:$B$27,L$4)))</f>
        <v>0</v>
      </c>
      <c r="M786" s="26" t="n">
        <f aca="false">IF(INDEX(Pengaturan!$B$8:$B$27,M$4)="",0,COUNTIF(Data!$B786:$U786,INDEX(Pengaturan!$B$8:$B$27,M$4)))</f>
        <v>0</v>
      </c>
      <c r="N786" s="26" t="n">
        <f aca="false">IF(INDEX(Pengaturan!$B$8:$B$27,N$4)="",0,COUNTIF(Data!$B786:$U786,INDEX(Pengaturan!$B$8:$B$27,N$4)))</f>
        <v>0</v>
      </c>
      <c r="O786" s="26" t="n">
        <f aca="false">IF(INDEX(Pengaturan!$B$8:$B$27,O$4)="",0,COUNTIF(Data!$B786:$U786,INDEX(Pengaturan!$B$8:$B$27,O$4)))</f>
        <v>0</v>
      </c>
      <c r="P786" s="26" t="n">
        <f aca="false">IF(INDEX(Pengaturan!$B$8:$B$27,P$4)="",0,COUNTIF(Data!$B786:$U786,INDEX(Pengaturan!$B$8:$B$27,P$4)))</f>
        <v>0</v>
      </c>
      <c r="Q786" s="26" t="n">
        <f aca="false">IF(INDEX(Pengaturan!$B$8:$B$27,Q$4)="",0,COUNTIF(Data!$B786:$U786,INDEX(Pengaturan!$B$8:$B$27,Q$4)))</f>
        <v>0</v>
      </c>
      <c r="R786" s="26" t="n">
        <f aca="false">IF(INDEX(Pengaturan!$B$8:$B$27,R$4)="",0,COUNTIF(Data!$B786:$U786,INDEX(Pengaturan!$B$8:$B$27,R$4)))</f>
        <v>0</v>
      </c>
      <c r="S786" s="26" t="n">
        <f aca="false">IF(INDEX(Pengaturan!$B$8:$B$27,S$4)="",0,COUNTIF(Data!$B786:$U786,INDEX(Pengaturan!$B$8:$B$27,S$4)))</f>
        <v>0</v>
      </c>
      <c r="T786" s="26" t="n">
        <f aca="false">IF(INDEX(Pengaturan!$B$8:$B$27,T$4)="",0,COUNTIF(Data!$B786:$U786,INDEX(Pengaturan!$B$8:$B$27,T$4)))</f>
        <v>0</v>
      </c>
      <c r="U786" s="26" t="n">
        <f aca="false">IF(INDEX(Pengaturan!$B$8:$B$27,U$4)="",0,COUNTIF(Data!$B786:$U786,INDEX(Pengaturan!$B$8:$B$27,U$4)))</f>
        <v>0</v>
      </c>
      <c r="V786" s="26" t="n">
        <f aca="false">COUNTA(Data!$B786:$U786)</f>
        <v>0</v>
      </c>
      <c r="W786" s="27" t="str">
        <f aca="false">IF(V786=0,"",IF(V786&lt;&gt;Hasil!$C$4,"Data kosong/tidak lengkap",IF(SUM(B786:U786)&lt;&gt;V786,"Kategori tidak dikenal","OK")))</f>
        <v/>
      </c>
      <c r="X786" s="26" t="n">
        <f aca="false">IF(OR(W786="",W786="OK"),0,1)</f>
        <v>0</v>
      </c>
    </row>
    <row r="787" customFormat="false" ht="15" hidden="false" customHeight="false" outlineLevel="0" collapsed="false">
      <c r="A787" s="26" t="n">
        <f aca="false">Data!A787</f>
        <v>782</v>
      </c>
      <c r="B787" s="26" t="n">
        <f aca="false">IF(INDEX(Pengaturan!$B$8:$B$27,B$4)="",0,COUNTIF(Data!$B787:$U787,INDEX(Pengaturan!$B$8:$B$27,B$4)))</f>
        <v>0</v>
      </c>
      <c r="C787" s="26" t="n">
        <f aca="false">IF(INDEX(Pengaturan!$B$8:$B$27,C$4)="",0,COUNTIF(Data!$B787:$U787,INDEX(Pengaturan!$B$8:$B$27,C$4)))</f>
        <v>0</v>
      </c>
      <c r="D787" s="26" t="n">
        <f aca="false">IF(INDEX(Pengaturan!$B$8:$B$27,D$4)="",0,COUNTIF(Data!$B787:$U787,INDEX(Pengaturan!$B$8:$B$27,D$4)))</f>
        <v>0</v>
      </c>
      <c r="E787" s="26" t="n">
        <f aca="false">IF(INDEX(Pengaturan!$B$8:$B$27,E$4)="",0,COUNTIF(Data!$B787:$U787,INDEX(Pengaturan!$B$8:$B$27,E$4)))</f>
        <v>0</v>
      </c>
      <c r="F787" s="26" t="n">
        <f aca="false">IF(INDEX(Pengaturan!$B$8:$B$27,F$4)="",0,COUNTIF(Data!$B787:$U787,INDEX(Pengaturan!$B$8:$B$27,F$4)))</f>
        <v>0</v>
      </c>
      <c r="G787" s="26" t="n">
        <f aca="false">IF(INDEX(Pengaturan!$B$8:$B$27,G$4)="",0,COUNTIF(Data!$B787:$U787,INDEX(Pengaturan!$B$8:$B$27,G$4)))</f>
        <v>0</v>
      </c>
      <c r="H787" s="26" t="n">
        <f aca="false">IF(INDEX(Pengaturan!$B$8:$B$27,H$4)="",0,COUNTIF(Data!$B787:$U787,INDEX(Pengaturan!$B$8:$B$27,H$4)))</f>
        <v>0</v>
      </c>
      <c r="I787" s="26" t="n">
        <f aca="false">IF(INDEX(Pengaturan!$B$8:$B$27,I$4)="",0,COUNTIF(Data!$B787:$U787,INDEX(Pengaturan!$B$8:$B$27,I$4)))</f>
        <v>0</v>
      </c>
      <c r="J787" s="26" t="n">
        <f aca="false">IF(INDEX(Pengaturan!$B$8:$B$27,J$4)="",0,COUNTIF(Data!$B787:$U787,INDEX(Pengaturan!$B$8:$B$27,J$4)))</f>
        <v>0</v>
      </c>
      <c r="K787" s="26" t="n">
        <f aca="false">IF(INDEX(Pengaturan!$B$8:$B$27,K$4)="",0,COUNTIF(Data!$B787:$U787,INDEX(Pengaturan!$B$8:$B$27,K$4)))</f>
        <v>0</v>
      </c>
      <c r="L787" s="26" t="n">
        <f aca="false">IF(INDEX(Pengaturan!$B$8:$B$27,L$4)="",0,COUNTIF(Data!$B787:$U787,INDEX(Pengaturan!$B$8:$B$27,L$4)))</f>
        <v>0</v>
      </c>
      <c r="M787" s="26" t="n">
        <f aca="false">IF(INDEX(Pengaturan!$B$8:$B$27,M$4)="",0,COUNTIF(Data!$B787:$U787,INDEX(Pengaturan!$B$8:$B$27,M$4)))</f>
        <v>0</v>
      </c>
      <c r="N787" s="26" t="n">
        <f aca="false">IF(INDEX(Pengaturan!$B$8:$B$27,N$4)="",0,COUNTIF(Data!$B787:$U787,INDEX(Pengaturan!$B$8:$B$27,N$4)))</f>
        <v>0</v>
      </c>
      <c r="O787" s="26" t="n">
        <f aca="false">IF(INDEX(Pengaturan!$B$8:$B$27,O$4)="",0,COUNTIF(Data!$B787:$U787,INDEX(Pengaturan!$B$8:$B$27,O$4)))</f>
        <v>0</v>
      </c>
      <c r="P787" s="26" t="n">
        <f aca="false">IF(INDEX(Pengaturan!$B$8:$B$27,P$4)="",0,COUNTIF(Data!$B787:$U787,INDEX(Pengaturan!$B$8:$B$27,P$4)))</f>
        <v>0</v>
      </c>
      <c r="Q787" s="26" t="n">
        <f aca="false">IF(INDEX(Pengaturan!$B$8:$B$27,Q$4)="",0,COUNTIF(Data!$B787:$U787,INDEX(Pengaturan!$B$8:$B$27,Q$4)))</f>
        <v>0</v>
      </c>
      <c r="R787" s="26" t="n">
        <f aca="false">IF(INDEX(Pengaturan!$B$8:$B$27,R$4)="",0,COUNTIF(Data!$B787:$U787,INDEX(Pengaturan!$B$8:$B$27,R$4)))</f>
        <v>0</v>
      </c>
      <c r="S787" s="26" t="n">
        <f aca="false">IF(INDEX(Pengaturan!$B$8:$B$27,S$4)="",0,COUNTIF(Data!$B787:$U787,INDEX(Pengaturan!$B$8:$B$27,S$4)))</f>
        <v>0</v>
      </c>
      <c r="T787" s="26" t="n">
        <f aca="false">IF(INDEX(Pengaturan!$B$8:$B$27,T$4)="",0,COUNTIF(Data!$B787:$U787,INDEX(Pengaturan!$B$8:$B$27,T$4)))</f>
        <v>0</v>
      </c>
      <c r="U787" s="26" t="n">
        <f aca="false">IF(INDEX(Pengaturan!$B$8:$B$27,U$4)="",0,COUNTIF(Data!$B787:$U787,INDEX(Pengaturan!$B$8:$B$27,U$4)))</f>
        <v>0</v>
      </c>
      <c r="V787" s="26" t="n">
        <f aca="false">COUNTA(Data!$B787:$U787)</f>
        <v>0</v>
      </c>
      <c r="W787" s="27" t="str">
        <f aca="false">IF(V787=0,"",IF(V787&lt;&gt;Hasil!$C$4,"Data kosong/tidak lengkap",IF(SUM(B787:U787)&lt;&gt;V787,"Kategori tidak dikenal","OK")))</f>
        <v/>
      </c>
      <c r="X787" s="26" t="n">
        <f aca="false">IF(OR(W787="",W787="OK"),0,1)</f>
        <v>0</v>
      </c>
    </row>
    <row r="788" customFormat="false" ht="15" hidden="false" customHeight="false" outlineLevel="0" collapsed="false">
      <c r="A788" s="26" t="n">
        <f aca="false">Data!A788</f>
        <v>783</v>
      </c>
      <c r="B788" s="26" t="n">
        <f aca="false">IF(INDEX(Pengaturan!$B$8:$B$27,B$4)="",0,COUNTIF(Data!$B788:$U788,INDEX(Pengaturan!$B$8:$B$27,B$4)))</f>
        <v>0</v>
      </c>
      <c r="C788" s="26" t="n">
        <f aca="false">IF(INDEX(Pengaturan!$B$8:$B$27,C$4)="",0,COUNTIF(Data!$B788:$U788,INDEX(Pengaturan!$B$8:$B$27,C$4)))</f>
        <v>0</v>
      </c>
      <c r="D788" s="26" t="n">
        <f aca="false">IF(INDEX(Pengaturan!$B$8:$B$27,D$4)="",0,COUNTIF(Data!$B788:$U788,INDEX(Pengaturan!$B$8:$B$27,D$4)))</f>
        <v>0</v>
      </c>
      <c r="E788" s="26" t="n">
        <f aca="false">IF(INDEX(Pengaturan!$B$8:$B$27,E$4)="",0,COUNTIF(Data!$B788:$U788,INDEX(Pengaturan!$B$8:$B$27,E$4)))</f>
        <v>0</v>
      </c>
      <c r="F788" s="26" t="n">
        <f aca="false">IF(INDEX(Pengaturan!$B$8:$B$27,F$4)="",0,COUNTIF(Data!$B788:$U788,INDEX(Pengaturan!$B$8:$B$27,F$4)))</f>
        <v>0</v>
      </c>
      <c r="G788" s="26" t="n">
        <f aca="false">IF(INDEX(Pengaturan!$B$8:$B$27,G$4)="",0,COUNTIF(Data!$B788:$U788,INDEX(Pengaturan!$B$8:$B$27,G$4)))</f>
        <v>0</v>
      </c>
      <c r="H788" s="26" t="n">
        <f aca="false">IF(INDEX(Pengaturan!$B$8:$B$27,H$4)="",0,COUNTIF(Data!$B788:$U788,INDEX(Pengaturan!$B$8:$B$27,H$4)))</f>
        <v>0</v>
      </c>
      <c r="I788" s="26" t="n">
        <f aca="false">IF(INDEX(Pengaturan!$B$8:$B$27,I$4)="",0,COUNTIF(Data!$B788:$U788,INDEX(Pengaturan!$B$8:$B$27,I$4)))</f>
        <v>0</v>
      </c>
      <c r="J788" s="26" t="n">
        <f aca="false">IF(INDEX(Pengaturan!$B$8:$B$27,J$4)="",0,COUNTIF(Data!$B788:$U788,INDEX(Pengaturan!$B$8:$B$27,J$4)))</f>
        <v>0</v>
      </c>
      <c r="K788" s="26" t="n">
        <f aca="false">IF(INDEX(Pengaturan!$B$8:$B$27,K$4)="",0,COUNTIF(Data!$B788:$U788,INDEX(Pengaturan!$B$8:$B$27,K$4)))</f>
        <v>0</v>
      </c>
      <c r="L788" s="26" t="n">
        <f aca="false">IF(INDEX(Pengaturan!$B$8:$B$27,L$4)="",0,COUNTIF(Data!$B788:$U788,INDEX(Pengaturan!$B$8:$B$27,L$4)))</f>
        <v>0</v>
      </c>
      <c r="M788" s="26" t="n">
        <f aca="false">IF(INDEX(Pengaturan!$B$8:$B$27,M$4)="",0,COUNTIF(Data!$B788:$U788,INDEX(Pengaturan!$B$8:$B$27,M$4)))</f>
        <v>0</v>
      </c>
      <c r="N788" s="26" t="n">
        <f aca="false">IF(INDEX(Pengaturan!$B$8:$B$27,N$4)="",0,COUNTIF(Data!$B788:$U788,INDEX(Pengaturan!$B$8:$B$27,N$4)))</f>
        <v>0</v>
      </c>
      <c r="O788" s="26" t="n">
        <f aca="false">IF(INDEX(Pengaturan!$B$8:$B$27,O$4)="",0,COUNTIF(Data!$B788:$U788,INDEX(Pengaturan!$B$8:$B$27,O$4)))</f>
        <v>0</v>
      </c>
      <c r="P788" s="26" t="n">
        <f aca="false">IF(INDEX(Pengaturan!$B$8:$B$27,P$4)="",0,COUNTIF(Data!$B788:$U788,INDEX(Pengaturan!$B$8:$B$27,P$4)))</f>
        <v>0</v>
      </c>
      <c r="Q788" s="26" t="n">
        <f aca="false">IF(INDEX(Pengaturan!$B$8:$B$27,Q$4)="",0,COUNTIF(Data!$B788:$U788,INDEX(Pengaturan!$B$8:$B$27,Q$4)))</f>
        <v>0</v>
      </c>
      <c r="R788" s="26" t="n">
        <f aca="false">IF(INDEX(Pengaturan!$B$8:$B$27,R$4)="",0,COUNTIF(Data!$B788:$U788,INDEX(Pengaturan!$B$8:$B$27,R$4)))</f>
        <v>0</v>
      </c>
      <c r="S788" s="26" t="n">
        <f aca="false">IF(INDEX(Pengaturan!$B$8:$B$27,S$4)="",0,COUNTIF(Data!$B788:$U788,INDEX(Pengaturan!$B$8:$B$27,S$4)))</f>
        <v>0</v>
      </c>
      <c r="T788" s="26" t="n">
        <f aca="false">IF(INDEX(Pengaturan!$B$8:$B$27,T$4)="",0,COUNTIF(Data!$B788:$U788,INDEX(Pengaturan!$B$8:$B$27,T$4)))</f>
        <v>0</v>
      </c>
      <c r="U788" s="26" t="n">
        <f aca="false">IF(INDEX(Pengaturan!$B$8:$B$27,U$4)="",0,COUNTIF(Data!$B788:$U788,INDEX(Pengaturan!$B$8:$B$27,U$4)))</f>
        <v>0</v>
      </c>
      <c r="V788" s="26" t="n">
        <f aca="false">COUNTA(Data!$B788:$U788)</f>
        <v>0</v>
      </c>
      <c r="W788" s="27" t="str">
        <f aca="false">IF(V788=0,"",IF(V788&lt;&gt;Hasil!$C$4,"Data kosong/tidak lengkap",IF(SUM(B788:U788)&lt;&gt;V788,"Kategori tidak dikenal","OK")))</f>
        <v/>
      </c>
      <c r="X788" s="26" t="n">
        <f aca="false">IF(OR(W788="",W788="OK"),0,1)</f>
        <v>0</v>
      </c>
    </row>
    <row r="789" customFormat="false" ht="15" hidden="false" customHeight="false" outlineLevel="0" collapsed="false">
      <c r="A789" s="26" t="n">
        <f aca="false">Data!A789</f>
        <v>784</v>
      </c>
      <c r="B789" s="26" t="n">
        <f aca="false">IF(INDEX(Pengaturan!$B$8:$B$27,B$4)="",0,COUNTIF(Data!$B789:$U789,INDEX(Pengaturan!$B$8:$B$27,B$4)))</f>
        <v>0</v>
      </c>
      <c r="C789" s="26" t="n">
        <f aca="false">IF(INDEX(Pengaturan!$B$8:$B$27,C$4)="",0,COUNTIF(Data!$B789:$U789,INDEX(Pengaturan!$B$8:$B$27,C$4)))</f>
        <v>0</v>
      </c>
      <c r="D789" s="26" t="n">
        <f aca="false">IF(INDEX(Pengaturan!$B$8:$B$27,D$4)="",0,COUNTIF(Data!$B789:$U789,INDEX(Pengaturan!$B$8:$B$27,D$4)))</f>
        <v>0</v>
      </c>
      <c r="E789" s="26" t="n">
        <f aca="false">IF(INDEX(Pengaturan!$B$8:$B$27,E$4)="",0,COUNTIF(Data!$B789:$U789,INDEX(Pengaturan!$B$8:$B$27,E$4)))</f>
        <v>0</v>
      </c>
      <c r="F789" s="26" t="n">
        <f aca="false">IF(INDEX(Pengaturan!$B$8:$B$27,F$4)="",0,COUNTIF(Data!$B789:$U789,INDEX(Pengaturan!$B$8:$B$27,F$4)))</f>
        <v>0</v>
      </c>
      <c r="G789" s="26" t="n">
        <f aca="false">IF(INDEX(Pengaturan!$B$8:$B$27,G$4)="",0,COUNTIF(Data!$B789:$U789,INDEX(Pengaturan!$B$8:$B$27,G$4)))</f>
        <v>0</v>
      </c>
      <c r="H789" s="26" t="n">
        <f aca="false">IF(INDEX(Pengaturan!$B$8:$B$27,H$4)="",0,COUNTIF(Data!$B789:$U789,INDEX(Pengaturan!$B$8:$B$27,H$4)))</f>
        <v>0</v>
      </c>
      <c r="I789" s="26" t="n">
        <f aca="false">IF(INDEX(Pengaturan!$B$8:$B$27,I$4)="",0,COUNTIF(Data!$B789:$U789,INDEX(Pengaturan!$B$8:$B$27,I$4)))</f>
        <v>0</v>
      </c>
      <c r="J789" s="26" t="n">
        <f aca="false">IF(INDEX(Pengaturan!$B$8:$B$27,J$4)="",0,COUNTIF(Data!$B789:$U789,INDEX(Pengaturan!$B$8:$B$27,J$4)))</f>
        <v>0</v>
      </c>
      <c r="K789" s="26" t="n">
        <f aca="false">IF(INDEX(Pengaturan!$B$8:$B$27,K$4)="",0,COUNTIF(Data!$B789:$U789,INDEX(Pengaturan!$B$8:$B$27,K$4)))</f>
        <v>0</v>
      </c>
      <c r="L789" s="26" t="n">
        <f aca="false">IF(INDEX(Pengaturan!$B$8:$B$27,L$4)="",0,COUNTIF(Data!$B789:$U789,INDEX(Pengaturan!$B$8:$B$27,L$4)))</f>
        <v>0</v>
      </c>
      <c r="M789" s="26" t="n">
        <f aca="false">IF(INDEX(Pengaturan!$B$8:$B$27,M$4)="",0,COUNTIF(Data!$B789:$U789,INDEX(Pengaturan!$B$8:$B$27,M$4)))</f>
        <v>0</v>
      </c>
      <c r="N789" s="26" t="n">
        <f aca="false">IF(INDEX(Pengaturan!$B$8:$B$27,N$4)="",0,COUNTIF(Data!$B789:$U789,INDEX(Pengaturan!$B$8:$B$27,N$4)))</f>
        <v>0</v>
      </c>
      <c r="O789" s="26" t="n">
        <f aca="false">IF(INDEX(Pengaturan!$B$8:$B$27,O$4)="",0,COUNTIF(Data!$B789:$U789,INDEX(Pengaturan!$B$8:$B$27,O$4)))</f>
        <v>0</v>
      </c>
      <c r="P789" s="26" t="n">
        <f aca="false">IF(INDEX(Pengaturan!$B$8:$B$27,P$4)="",0,COUNTIF(Data!$B789:$U789,INDEX(Pengaturan!$B$8:$B$27,P$4)))</f>
        <v>0</v>
      </c>
      <c r="Q789" s="26" t="n">
        <f aca="false">IF(INDEX(Pengaturan!$B$8:$B$27,Q$4)="",0,COUNTIF(Data!$B789:$U789,INDEX(Pengaturan!$B$8:$B$27,Q$4)))</f>
        <v>0</v>
      </c>
      <c r="R789" s="26" t="n">
        <f aca="false">IF(INDEX(Pengaturan!$B$8:$B$27,R$4)="",0,COUNTIF(Data!$B789:$U789,INDEX(Pengaturan!$B$8:$B$27,R$4)))</f>
        <v>0</v>
      </c>
      <c r="S789" s="26" t="n">
        <f aca="false">IF(INDEX(Pengaturan!$B$8:$B$27,S$4)="",0,COUNTIF(Data!$B789:$U789,INDEX(Pengaturan!$B$8:$B$27,S$4)))</f>
        <v>0</v>
      </c>
      <c r="T789" s="26" t="n">
        <f aca="false">IF(INDEX(Pengaturan!$B$8:$B$27,T$4)="",0,COUNTIF(Data!$B789:$U789,INDEX(Pengaturan!$B$8:$B$27,T$4)))</f>
        <v>0</v>
      </c>
      <c r="U789" s="26" t="n">
        <f aca="false">IF(INDEX(Pengaturan!$B$8:$B$27,U$4)="",0,COUNTIF(Data!$B789:$U789,INDEX(Pengaturan!$B$8:$B$27,U$4)))</f>
        <v>0</v>
      </c>
      <c r="V789" s="26" t="n">
        <f aca="false">COUNTA(Data!$B789:$U789)</f>
        <v>0</v>
      </c>
      <c r="W789" s="27" t="str">
        <f aca="false">IF(V789=0,"",IF(V789&lt;&gt;Hasil!$C$4,"Data kosong/tidak lengkap",IF(SUM(B789:U789)&lt;&gt;V789,"Kategori tidak dikenal","OK")))</f>
        <v/>
      </c>
      <c r="X789" s="26" t="n">
        <f aca="false">IF(OR(W789="",W789="OK"),0,1)</f>
        <v>0</v>
      </c>
    </row>
    <row r="790" customFormat="false" ht="15" hidden="false" customHeight="false" outlineLevel="0" collapsed="false">
      <c r="A790" s="26" t="n">
        <f aca="false">Data!A790</f>
        <v>785</v>
      </c>
      <c r="B790" s="26" t="n">
        <f aca="false">IF(INDEX(Pengaturan!$B$8:$B$27,B$4)="",0,COUNTIF(Data!$B790:$U790,INDEX(Pengaturan!$B$8:$B$27,B$4)))</f>
        <v>0</v>
      </c>
      <c r="C790" s="26" t="n">
        <f aca="false">IF(INDEX(Pengaturan!$B$8:$B$27,C$4)="",0,COUNTIF(Data!$B790:$U790,INDEX(Pengaturan!$B$8:$B$27,C$4)))</f>
        <v>0</v>
      </c>
      <c r="D790" s="26" t="n">
        <f aca="false">IF(INDEX(Pengaturan!$B$8:$B$27,D$4)="",0,COUNTIF(Data!$B790:$U790,INDEX(Pengaturan!$B$8:$B$27,D$4)))</f>
        <v>0</v>
      </c>
      <c r="E790" s="26" t="n">
        <f aca="false">IF(INDEX(Pengaturan!$B$8:$B$27,E$4)="",0,COUNTIF(Data!$B790:$U790,INDEX(Pengaturan!$B$8:$B$27,E$4)))</f>
        <v>0</v>
      </c>
      <c r="F790" s="26" t="n">
        <f aca="false">IF(INDEX(Pengaturan!$B$8:$B$27,F$4)="",0,COUNTIF(Data!$B790:$U790,INDEX(Pengaturan!$B$8:$B$27,F$4)))</f>
        <v>0</v>
      </c>
      <c r="G790" s="26" t="n">
        <f aca="false">IF(INDEX(Pengaturan!$B$8:$B$27,G$4)="",0,COUNTIF(Data!$B790:$U790,INDEX(Pengaturan!$B$8:$B$27,G$4)))</f>
        <v>0</v>
      </c>
      <c r="H790" s="26" t="n">
        <f aca="false">IF(INDEX(Pengaturan!$B$8:$B$27,H$4)="",0,COUNTIF(Data!$B790:$U790,INDEX(Pengaturan!$B$8:$B$27,H$4)))</f>
        <v>0</v>
      </c>
      <c r="I790" s="26" t="n">
        <f aca="false">IF(INDEX(Pengaturan!$B$8:$B$27,I$4)="",0,COUNTIF(Data!$B790:$U790,INDEX(Pengaturan!$B$8:$B$27,I$4)))</f>
        <v>0</v>
      </c>
      <c r="J790" s="26" t="n">
        <f aca="false">IF(INDEX(Pengaturan!$B$8:$B$27,J$4)="",0,COUNTIF(Data!$B790:$U790,INDEX(Pengaturan!$B$8:$B$27,J$4)))</f>
        <v>0</v>
      </c>
      <c r="K790" s="26" t="n">
        <f aca="false">IF(INDEX(Pengaturan!$B$8:$B$27,K$4)="",0,COUNTIF(Data!$B790:$U790,INDEX(Pengaturan!$B$8:$B$27,K$4)))</f>
        <v>0</v>
      </c>
      <c r="L790" s="26" t="n">
        <f aca="false">IF(INDEX(Pengaturan!$B$8:$B$27,L$4)="",0,COUNTIF(Data!$B790:$U790,INDEX(Pengaturan!$B$8:$B$27,L$4)))</f>
        <v>0</v>
      </c>
      <c r="M790" s="26" t="n">
        <f aca="false">IF(INDEX(Pengaturan!$B$8:$B$27,M$4)="",0,COUNTIF(Data!$B790:$U790,INDEX(Pengaturan!$B$8:$B$27,M$4)))</f>
        <v>0</v>
      </c>
      <c r="N790" s="26" t="n">
        <f aca="false">IF(INDEX(Pengaturan!$B$8:$B$27,N$4)="",0,COUNTIF(Data!$B790:$U790,INDEX(Pengaturan!$B$8:$B$27,N$4)))</f>
        <v>0</v>
      </c>
      <c r="O790" s="26" t="n">
        <f aca="false">IF(INDEX(Pengaturan!$B$8:$B$27,O$4)="",0,COUNTIF(Data!$B790:$U790,INDEX(Pengaturan!$B$8:$B$27,O$4)))</f>
        <v>0</v>
      </c>
      <c r="P790" s="26" t="n">
        <f aca="false">IF(INDEX(Pengaturan!$B$8:$B$27,P$4)="",0,COUNTIF(Data!$B790:$U790,INDEX(Pengaturan!$B$8:$B$27,P$4)))</f>
        <v>0</v>
      </c>
      <c r="Q790" s="26" t="n">
        <f aca="false">IF(INDEX(Pengaturan!$B$8:$B$27,Q$4)="",0,COUNTIF(Data!$B790:$U790,INDEX(Pengaturan!$B$8:$B$27,Q$4)))</f>
        <v>0</v>
      </c>
      <c r="R790" s="26" t="n">
        <f aca="false">IF(INDEX(Pengaturan!$B$8:$B$27,R$4)="",0,COUNTIF(Data!$B790:$U790,INDEX(Pengaturan!$B$8:$B$27,R$4)))</f>
        <v>0</v>
      </c>
      <c r="S790" s="26" t="n">
        <f aca="false">IF(INDEX(Pengaturan!$B$8:$B$27,S$4)="",0,COUNTIF(Data!$B790:$U790,INDEX(Pengaturan!$B$8:$B$27,S$4)))</f>
        <v>0</v>
      </c>
      <c r="T790" s="26" t="n">
        <f aca="false">IF(INDEX(Pengaturan!$B$8:$B$27,T$4)="",0,COUNTIF(Data!$B790:$U790,INDEX(Pengaturan!$B$8:$B$27,T$4)))</f>
        <v>0</v>
      </c>
      <c r="U790" s="26" t="n">
        <f aca="false">IF(INDEX(Pengaturan!$B$8:$B$27,U$4)="",0,COUNTIF(Data!$B790:$U790,INDEX(Pengaturan!$B$8:$B$27,U$4)))</f>
        <v>0</v>
      </c>
      <c r="V790" s="26" t="n">
        <f aca="false">COUNTA(Data!$B790:$U790)</f>
        <v>0</v>
      </c>
      <c r="W790" s="27" t="str">
        <f aca="false">IF(V790=0,"",IF(V790&lt;&gt;Hasil!$C$4,"Data kosong/tidak lengkap",IF(SUM(B790:U790)&lt;&gt;V790,"Kategori tidak dikenal","OK")))</f>
        <v/>
      </c>
      <c r="X790" s="26" t="n">
        <f aca="false">IF(OR(W790="",W790="OK"),0,1)</f>
        <v>0</v>
      </c>
    </row>
    <row r="791" customFormat="false" ht="15" hidden="false" customHeight="false" outlineLevel="0" collapsed="false">
      <c r="A791" s="26" t="n">
        <f aca="false">Data!A791</f>
        <v>786</v>
      </c>
      <c r="B791" s="26" t="n">
        <f aca="false">IF(INDEX(Pengaturan!$B$8:$B$27,B$4)="",0,COUNTIF(Data!$B791:$U791,INDEX(Pengaturan!$B$8:$B$27,B$4)))</f>
        <v>0</v>
      </c>
      <c r="C791" s="26" t="n">
        <f aca="false">IF(INDEX(Pengaturan!$B$8:$B$27,C$4)="",0,COUNTIF(Data!$B791:$U791,INDEX(Pengaturan!$B$8:$B$27,C$4)))</f>
        <v>0</v>
      </c>
      <c r="D791" s="26" t="n">
        <f aca="false">IF(INDEX(Pengaturan!$B$8:$B$27,D$4)="",0,COUNTIF(Data!$B791:$U791,INDEX(Pengaturan!$B$8:$B$27,D$4)))</f>
        <v>0</v>
      </c>
      <c r="E791" s="26" t="n">
        <f aca="false">IF(INDEX(Pengaturan!$B$8:$B$27,E$4)="",0,COUNTIF(Data!$B791:$U791,INDEX(Pengaturan!$B$8:$B$27,E$4)))</f>
        <v>0</v>
      </c>
      <c r="F791" s="26" t="n">
        <f aca="false">IF(INDEX(Pengaturan!$B$8:$B$27,F$4)="",0,COUNTIF(Data!$B791:$U791,INDEX(Pengaturan!$B$8:$B$27,F$4)))</f>
        <v>0</v>
      </c>
      <c r="G791" s="26" t="n">
        <f aca="false">IF(INDEX(Pengaturan!$B$8:$B$27,G$4)="",0,COUNTIF(Data!$B791:$U791,INDEX(Pengaturan!$B$8:$B$27,G$4)))</f>
        <v>0</v>
      </c>
      <c r="H791" s="26" t="n">
        <f aca="false">IF(INDEX(Pengaturan!$B$8:$B$27,H$4)="",0,COUNTIF(Data!$B791:$U791,INDEX(Pengaturan!$B$8:$B$27,H$4)))</f>
        <v>0</v>
      </c>
      <c r="I791" s="26" t="n">
        <f aca="false">IF(INDEX(Pengaturan!$B$8:$B$27,I$4)="",0,COUNTIF(Data!$B791:$U791,INDEX(Pengaturan!$B$8:$B$27,I$4)))</f>
        <v>0</v>
      </c>
      <c r="J791" s="26" t="n">
        <f aca="false">IF(INDEX(Pengaturan!$B$8:$B$27,J$4)="",0,COUNTIF(Data!$B791:$U791,INDEX(Pengaturan!$B$8:$B$27,J$4)))</f>
        <v>0</v>
      </c>
      <c r="K791" s="26" t="n">
        <f aca="false">IF(INDEX(Pengaturan!$B$8:$B$27,K$4)="",0,COUNTIF(Data!$B791:$U791,INDEX(Pengaturan!$B$8:$B$27,K$4)))</f>
        <v>0</v>
      </c>
      <c r="L791" s="26" t="n">
        <f aca="false">IF(INDEX(Pengaturan!$B$8:$B$27,L$4)="",0,COUNTIF(Data!$B791:$U791,INDEX(Pengaturan!$B$8:$B$27,L$4)))</f>
        <v>0</v>
      </c>
      <c r="M791" s="26" t="n">
        <f aca="false">IF(INDEX(Pengaturan!$B$8:$B$27,M$4)="",0,COUNTIF(Data!$B791:$U791,INDEX(Pengaturan!$B$8:$B$27,M$4)))</f>
        <v>0</v>
      </c>
      <c r="N791" s="26" t="n">
        <f aca="false">IF(INDEX(Pengaturan!$B$8:$B$27,N$4)="",0,COUNTIF(Data!$B791:$U791,INDEX(Pengaturan!$B$8:$B$27,N$4)))</f>
        <v>0</v>
      </c>
      <c r="O791" s="26" t="n">
        <f aca="false">IF(INDEX(Pengaturan!$B$8:$B$27,O$4)="",0,COUNTIF(Data!$B791:$U791,INDEX(Pengaturan!$B$8:$B$27,O$4)))</f>
        <v>0</v>
      </c>
      <c r="P791" s="26" t="n">
        <f aca="false">IF(INDEX(Pengaturan!$B$8:$B$27,P$4)="",0,COUNTIF(Data!$B791:$U791,INDEX(Pengaturan!$B$8:$B$27,P$4)))</f>
        <v>0</v>
      </c>
      <c r="Q791" s="26" t="n">
        <f aca="false">IF(INDEX(Pengaturan!$B$8:$B$27,Q$4)="",0,COUNTIF(Data!$B791:$U791,INDEX(Pengaturan!$B$8:$B$27,Q$4)))</f>
        <v>0</v>
      </c>
      <c r="R791" s="26" t="n">
        <f aca="false">IF(INDEX(Pengaturan!$B$8:$B$27,R$4)="",0,COUNTIF(Data!$B791:$U791,INDEX(Pengaturan!$B$8:$B$27,R$4)))</f>
        <v>0</v>
      </c>
      <c r="S791" s="26" t="n">
        <f aca="false">IF(INDEX(Pengaturan!$B$8:$B$27,S$4)="",0,COUNTIF(Data!$B791:$U791,INDEX(Pengaturan!$B$8:$B$27,S$4)))</f>
        <v>0</v>
      </c>
      <c r="T791" s="26" t="n">
        <f aca="false">IF(INDEX(Pengaturan!$B$8:$B$27,T$4)="",0,COUNTIF(Data!$B791:$U791,INDEX(Pengaturan!$B$8:$B$27,T$4)))</f>
        <v>0</v>
      </c>
      <c r="U791" s="26" t="n">
        <f aca="false">IF(INDEX(Pengaturan!$B$8:$B$27,U$4)="",0,COUNTIF(Data!$B791:$U791,INDEX(Pengaturan!$B$8:$B$27,U$4)))</f>
        <v>0</v>
      </c>
      <c r="V791" s="26" t="n">
        <f aca="false">COUNTA(Data!$B791:$U791)</f>
        <v>0</v>
      </c>
      <c r="W791" s="27" t="str">
        <f aca="false">IF(V791=0,"",IF(V791&lt;&gt;Hasil!$C$4,"Data kosong/tidak lengkap",IF(SUM(B791:U791)&lt;&gt;V791,"Kategori tidak dikenal","OK")))</f>
        <v/>
      </c>
      <c r="X791" s="26" t="n">
        <f aca="false">IF(OR(W791="",W791="OK"),0,1)</f>
        <v>0</v>
      </c>
    </row>
    <row r="792" customFormat="false" ht="15" hidden="false" customHeight="false" outlineLevel="0" collapsed="false">
      <c r="A792" s="26" t="n">
        <f aca="false">Data!A792</f>
        <v>787</v>
      </c>
      <c r="B792" s="26" t="n">
        <f aca="false">IF(INDEX(Pengaturan!$B$8:$B$27,B$4)="",0,COUNTIF(Data!$B792:$U792,INDEX(Pengaturan!$B$8:$B$27,B$4)))</f>
        <v>0</v>
      </c>
      <c r="C792" s="26" t="n">
        <f aca="false">IF(INDEX(Pengaturan!$B$8:$B$27,C$4)="",0,COUNTIF(Data!$B792:$U792,INDEX(Pengaturan!$B$8:$B$27,C$4)))</f>
        <v>0</v>
      </c>
      <c r="D792" s="26" t="n">
        <f aca="false">IF(INDEX(Pengaturan!$B$8:$B$27,D$4)="",0,COUNTIF(Data!$B792:$U792,INDEX(Pengaturan!$B$8:$B$27,D$4)))</f>
        <v>0</v>
      </c>
      <c r="E792" s="26" t="n">
        <f aca="false">IF(INDEX(Pengaturan!$B$8:$B$27,E$4)="",0,COUNTIF(Data!$B792:$U792,INDEX(Pengaturan!$B$8:$B$27,E$4)))</f>
        <v>0</v>
      </c>
      <c r="F792" s="26" t="n">
        <f aca="false">IF(INDEX(Pengaturan!$B$8:$B$27,F$4)="",0,COUNTIF(Data!$B792:$U792,INDEX(Pengaturan!$B$8:$B$27,F$4)))</f>
        <v>0</v>
      </c>
      <c r="G792" s="26" t="n">
        <f aca="false">IF(INDEX(Pengaturan!$B$8:$B$27,G$4)="",0,COUNTIF(Data!$B792:$U792,INDEX(Pengaturan!$B$8:$B$27,G$4)))</f>
        <v>0</v>
      </c>
      <c r="H792" s="26" t="n">
        <f aca="false">IF(INDEX(Pengaturan!$B$8:$B$27,H$4)="",0,COUNTIF(Data!$B792:$U792,INDEX(Pengaturan!$B$8:$B$27,H$4)))</f>
        <v>0</v>
      </c>
      <c r="I792" s="26" t="n">
        <f aca="false">IF(INDEX(Pengaturan!$B$8:$B$27,I$4)="",0,COUNTIF(Data!$B792:$U792,INDEX(Pengaturan!$B$8:$B$27,I$4)))</f>
        <v>0</v>
      </c>
      <c r="J792" s="26" t="n">
        <f aca="false">IF(INDEX(Pengaturan!$B$8:$B$27,J$4)="",0,COUNTIF(Data!$B792:$U792,INDEX(Pengaturan!$B$8:$B$27,J$4)))</f>
        <v>0</v>
      </c>
      <c r="K792" s="26" t="n">
        <f aca="false">IF(INDEX(Pengaturan!$B$8:$B$27,K$4)="",0,COUNTIF(Data!$B792:$U792,INDEX(Pengaturan!$B$8:$B$27,K$4)))</f>
        <v>0</v>
      </c>
      <c r="L792" s="26" t="n">
        <f aca="false">IF(INDEX(Pengaturan!$B$8:$B$27,L$4)="",0,COUNTIF(Data!$B792:$U792,INDEX(Pengaturan!$B$8:$B$27,L$4)))</f>
        <v>0</v>
      </c>
      <c r="M792" s="26" t="n">
        <f aca="false">IF(INDEX(Pengaturan!$B$8:$B$27,M$4)="",0,COUNTIF(Data!$B792:$U792,INDEX(Pengaturan!$B$8:$B$27,M$4)))</f>
        <v>0</v>
      </c>
      <c r="N792" s="26" t="n">
        <f aca="false">IF(INDEX(Pengaturan!$B$8:$B$27,N$4)="",0,COUNTIF(Data!$B792:$U792,INDEX(Pengaturan!$B$8:$B$27,N$4)))</f>
        <v>0</v>
      </c>
      <c r="O792" s="26" t="n">
        <f aca="false">IF(INDEX(Pengaturan!$B$8:$B$27,O$4)="",0,COUNTIF(Data!$B792:$U792,INDEX(Pengaturan!$B$8:$B$27,O$4)))</f>
        <v>0</v>
      </c>
      <c r="P792" s="26" t="n">
        <f aca="false">IF(INDEX(Pengaturan!$B$8:$B$27,P$4)="",0,COUNTIF(Data!$B792:$U792,INDEX(Pengaturan!$B$8:$B$27,P$4)))</f>
        <v>0</v>
      </c>
      <c r="Q792" s="26" t="n">
        <f aca="false">IF(INDEX(Pengaturan!$B$8:$B$27,Q$4)="",0,COUNTIF(Data!$B792:$U792,INDEX(Pengaturan!$B$8:$B$27,Q$4)))</f>
        <v>0</v>
      </c>
      <c r="R792" s="26" t="n">
        <f aca="false">IF(INDEX(Pengaturan!$B$8:$B$27,R$4)="",0,COUNTIF(Data!$B792:$U792,INDEX(Pengaturan!$B$8:$B$27,R$4)))</f>
        <v>0</v>
      </c>
      <c r="S792" s="26" t="n">
        <f aca="false">IF(INDEX(Pengaturan!$B$8:$B$27,S$4)="",0,COUNTIF(Data!$B792:$U792,INDEX(Pengaturan!$B$8:$B$27,S$4)))</f>
        <v>0</v>
      </c>
      <c r="T792" s="26" t="n">
        <f aca="false">IF(INDEX(Pengaturan!$B$8:$B$27,T$4)="",0,COUNTIF(Data!$B792:$U792,INDEX(Pengaturan!$B$8:$B$27,T$4)))</f>
        <v>0</v>
      </c>
      <c r="U792" s="26" t="n">
        <f aca="false">IF(INDEX(Pengaturan!$B$8:$B$27,U$4)="",0,COUNTIF(Data!$B792:$U792,INDEX(Pengaturan!$B$8:$B$27,U$4)))</f>
        <v>0</v>
      </c>
      <c r="V792" s="26" t="n">
        <f aca="false">COUNTA(Data!$B792:$U792)</f>
        <v>0</v>
      </c>
      <c r="W792" s="27" t="str">
        <f aca="false">IF(V792=0,"",IF(V792&lt;&gt;Hasil!$C$4,"Data kosong/tidak lengkap",IF(SUM(B792:U792)&lt;&gt;V792,"Kategori tidak dikenal","OK")))</f>
        <v/>
      </c>
      <c r="X792" s="26" t="n">
        <f aca="false">IF(OR(W792="",W792="OK"),0,1)</f>
        <v>0</v>
      </c>
    </row>
    <row r="793" customFormat="false" ht="15" hidden="false" customHeight="false" outlineLevel="0" collapsed="false">
      <c r="A793" s="26" t="n">
        <f aca="false">Data!A793</f>
        <v>788</v>
      </c>
      <c r="B793" s="26" t="n">
        <f aca="false">IF(INDEX(Pengaturan!$B$8:$B$27,B$4)="",0,COUNTIF(Data!$B793:$U793,INDEX(Pengaturan!$B$8:$B$27,B$4)))</f>
        <v>0</v>
      </c>
      <c r="C793" s="26" t="n">
        <f aca="false">IF(INDEX(Pengaturan!$B$8:$B$27,C$4)="",0,COUNTIF(Data!$B793:$U793,INDEX(Pengaturan!$B$8:$B$27,C$4)))</f>
        <v>0</v>
      </c>
      <c r="D793" s="26" t="n">
        <f aca="false">IF(INDEX(Pengaturan!$B$8:$B$27,D$4)="",0,COUNTIF(Data!$B793:$U793,INDEX(Pengaturan!$B$8:$B$27,D$4)))</f>
        <v>0</v>
      </c>
      <c r="E793" s="26" t="n">
        <f aca="false">IF(INDEX(Pengaturan!$B$8:$B$27,E$4)="",0,COUNTIF(Data!$B793:$U793,INDEX(Pengaturan!$B$8:$B$27,E$4)))</f>
        <v>0</v>
      </c>
      <c r="F793" s="26" t="n">
        <f aca="false">IF(INDEX(Pengaturan!$B$8:$B$27,F$4)="",0,COUNTIF(Data!$B793:$U793,INDEX(Pengaturan!$B$8:$B$27,F$4)))</f>
        <v>0</v>
      </c>
      <c r="G793" s="26" t="n">
        <f aca="false">IF(INDEX(Pengaturan!$B$8:$B$27,G$4)="",0,COUNTIF(Data!$B793:$U793,INDEX(Pengaturan!$B$8:$B$27,G$4)))</f>
        <v>0</v>
      </c>
      <c r="H793" s="26" t="n">
        <f aca="false">IF(INDEX(Pengaturan!$B$8:$B$27,H$4)="",0,COUNTIF(Data!$B793:$U793,INDEX(Pengaturan!$B$8:$B$27,H$4)))</f>
        <v>0</v>
      </c>
      <c r="I793" s="26" t="n">
        <f aca="false">IF(INDEX(Pengaturan!$B$8:$B$27,I$4)="",0,COUNTIF(Data!$B793:$U793,INDEX(Pengaturan!$B$8:$B$27,I$4)))</f>
        <v>0</v>
      </c>
      <c r="J793" s="26" t="n">
        <f aca="false">IF(INDEX(Pengaturan!$B$8:$B$27,J$4)="",0,COUNTIF(Data!$B793:$U793,INDEX(Pengaturan!$B$8:$B$27,J$4)))</f>
        <v>0</v>
      </c>
      <c r="K793" s="26" t="n">
        <f aca="false">IF(INDEX(Pengaturan!$B$8:$B$27,K$4)="",0,COUNTIF(Data!$B793:$U793,INDEX(Pengaturan!$B$8:$B$27,K$4)))</f>
        <v>0</v>
      </c>
      <c r="L793" s="26" t="n">
        <f aca="false">IF(INDEX(Pengaturan!$B$8:$B$27,L$4)="",0,COUNTIF(Data!$B793:$U793,INDEX(Pengaturan!$B$8:$B$27,L$4)))</f>
        <v>0</v>
      </c>
      <c r="M793" s="26" t="n">
        <f aca="false">IF(INDEX(Pengaturan!$B$8:$B$27,M$4)="",0,COUNTIF(Data!$B793:$U793,INDEX(Pengaturan!$B$8:$B$27,M$4)))</f>
        <v>0</v>
      </c>
      <c r="N793" s="26" t="n">
        <f aca="false">IF(INDEX(Pengaturan!$B$8:$B$27,N$4)="",0,COUNTIF(Data!$B793:$U793,INDEX(Pengaturan!$B$8:$B$27,N$4)))</f>
        <v>0</v>
      </c>
      <c r="O793" s="26" t="n">
        <f aca="false">IF(INDEX(Pengaturan!$B$8:$B$27,O$4)="",0,COUNTIF(Data!$B793:$U793,INDEX(Pengaturan!$B$8:$B$27,O$4)))</f>
        <v>0</v>
      </c>
      <c r="P793" s="26" t="n">
        <f aca="false">IF(INDEX(Pengaturan!$B$8:$B$27,P$4)="",0,COUNTIF(Data!$B793:$U793,INDEX(Pengaturan!$B$8:$B$27,P$4)))</f>
        <v>0</v>
      </c>
      <c r="Q793" s="26" t="n">
        <f aca="false">IF(INDEX(Pengaturan!$B$8:$B$27,Q$4)="",0,COUNTIF(Data!$B793:$U793,INDEX(Pengaturan!$B$8:$B$27,Q$4)))</f>
        <v>0</v>
      </c>
      <c r="R793" s="26" t="n">
        <f aca="false">IF(INDEX(Pengaturan!$B$8:$B$27,R$4)="",0,COUNTIF(Data!$B793:$U793,INDEX(Pengaturan!$B$8:$B$27,R$4)))</f>
        <v>0</v>
      </c>
      <c r="S793" s="26" t="n">
        <f aca="false">IF(INDEX(Pengaturan!$B$8:$B$27,S$4)="",0,COUNTIF(Data!$B793:$U793,INDEX(Pengaturan!$B$8:$B$27,S$4)))</f>
        <v>0</v>
      </c>
      <c r="T793" s="26" t="n">
        <f aca="false">IF(INDEX(Pengaturan!$B$8:$B$27,T$4)="",0,COUNTIF(Data!$B793:$U793,INDEX(Pengaturan!$B$8:$B$27,T$4)))</f>
        <v>0</v>
      </c>
      <c r="U793" s="26" t="n">
        <f aca="false">IF(INDEX(Pengaturan!$B$8:$B$27,U$4)="",0,COUNTIF(Data!$B793:$U793,INDEX(Pengaturan!$B$8:$B$27,U$4)))</f>
        <v>0</v>
      </c>
      <c r="V793" s="26" t="n">
        <f aca="false">COUNTA(Data!$B793:$U793)</f>
        <v>0</v>
      </c>
      <c r="W793" s="27" t="str">
        <f aca="false">IF(V793=0,"",IF(V793&lt;&gt;Hasil!$C$4,"Data kosong/tidak lengkap",IF(SUM(B793:U793)&lt;&gt;V793,"Kategori tidak dikenal","OK")))</f>
        <v/>
      </c>
      <c r="X793" s="26" t="n">
        <f aca="false">IF(OR(W793="",W793="OK"),0,1)</f>
        <v>0</v>
      </c>
    </row>
    <row r="794" customFormat="false" ht="15" hidden="false" customHeight="false" outlineLevel="0" collapsed="false">
      <c r="A794" s="26" t="n">
        <f aca="false">Data!A794</f>
        <v>789</v>
      </c>
      <c r="B794" s="26" t="n">
        <f aca="false">IF(INDEX(Pengaturan!$B$8:$B$27,B$4)="",0,COUNTIF(Data!$B794:$U794,INDEX(Pengaturan!$B$8:$B$27,B$4)))</f>
        <v>0</v>
      </c>
      <c r="C794" s="26" t="n">
        <f aca="false">IF(INDEX(Pengaturan!$B$8:$B$27,C$4)="",0,COUNTIF(Data!$B794:$U794,INDEX(Pengaturan!$B$8:$B$27,C$4)))</f>
        <v>0</v>
      </c>
      <c r="D794" s="26" t="n">
        <f aca="false">IF(INDEX(Pengaturan!$B$8:$B$27,D$4)="",0,COUNTIF(Data!$B794:$U794,INDEX(Pengaturan!$B$8:$B$27,D$4)))</f>
        <v>0</v>
      </c>
      <c r="E794" s="26" t="n">
        <f aca="false">IF(INDEX(Pengaturan!$B$8:$B$27,E$4)="",0,COUNTIF(Data!$B794:$U794,INDEX(Pengaturan!$B$8:$B$27,E$4)))</f>
        <v>0</v>
      </c>
      <c r="F794" s="26" t="n">
        <f aca="false">IF(INDEX(Pengaturan!$B$8:$B$27,F$4)="",0,COUNTIF(Data!$B794:$U794,INDEX(Pengaturan!$B$8:$B$27,F$4)))</f>
        <v>0</v>
      </c>
      <c r="G794" s="26" t="n">
        <f aca="false">IF(INDEX(Pengaturan!$B$8:$B$27,G$4)="",0,COUNTIF(Data!$B794:$U794,INDEX(Pengaturan!$B$8:$B$27,G$4)))</f>
        <v>0</v>
      </c>
      <c r="H794" s="26" t="n">
        <f aca="false">IF(INDEX(Pengaturan!$B$8:$B$27,H$4)="",0,COUNTIF(Data!$B794:$U794,INDEX(Pengaturan!$B$8:$B$27,H$4)))</f>
        <v>0</v>
      </c>
      <c r="I794" s="26" t="n">
        <f aca="false">IF(INDEX(Pengaturan!$B$8:$B$27,I$4)="",0,COUNTIF(Data!$B794:$U794,INDEX(Pengaturan!$B$8:$B$27,I$4)))</f>
        <v>0</v>
      </c>
      <c r="J794" s="26" t="n">
        <f aca="false">IF(INDEX(Pengaturan!$B$8:$B$27,J$4)="",0,COUNTIF(Data!$B794:$U794,INDEX(Pengaturan!$B$8:$B$27,J$4)))</f>
        <v>0</v>
      </c>
      <c r="K794" s="26" t="n">
        <f aca="false">IF(INDEX(Pengaturan!$B$8:$B$27,K$4)="",0,COUNTIF(Data!$B794:$U794,INDEX(Pengaturan!$B$8:$B$27,K$4)))</f>
        <v>0</v>
      </c>
      <c r="L794" s="26" t="n">
        <f aca="false">IF(INDEX(Pengaturan!$B$8:$B$27,L$4)="",0,COUNTIF(Data!$B794:$U794,INDEX(Pengaturan!$B$8:$B$27,L$4)))</f>
        <v>0</v>
      </c>
      <c r="M794" s="26" t="n">
        <f aca="false">IF(INDEX(Pengaturan!$B$8:$B$27,M$4)="",0,COUNTIF(Data!$B794:$U794,INDEX(Pengaturan!$B$8:$B$27,M$4)))</f>
        <v>0</v>
      </c>
      <c r="N794" s="26" t="n">
        <f aca="false">IF(INDEX(Pengaturan!$B$8:$B$27,N$4)="",0,COUNTIF(Data!$B794:$U794,INDEX(Pengaturan!$B$8:$B$27,N$4)))</f>
        <v>0</v>
      </c>
      <c r="O794" s="26" t="n">
        <f aca="false">IF(INDEX(Pengaturan!$B$8:$B$27,O$4)="",0,COUNTIF(Data!$B794:$U794,INDEX(Pengaturan!$B$8:$B$27,O$4)))</f>
        <v>0</v>
      </c>
      <c r="P794" s="26" t="n">
        <f aca="false">IF(INDEX(Pengaturan!$B$8:$B$27,P$4)="",0,COUNTIF(Data!$B794:$U794,INDEX(Pengaturan!$B$8:$B$27,P$4)))</f>
        <v>0</v>
      </c>
      <c r="Q794" s="26" t="n">
        <f aca="false">IF(INDEX(Pengaturan!$B$8:$B$27,Q$4)="",0,COUNTIF(Data!$B794:$U794,INDEX(Pengaturan!$B$8:$B$27,Q$4)))</f>
        <v>0</v>
      </c>
      <c r="R794" s="26" t="n">
        <f aca="false">IF(INDEX(Pengaturan!$B$8:$B$27,R$4)="",0,COUNTIF(Data!$B794:$U794,INDEX(Pengaturan!$B$8:$B$27,R$4)))</f>
        <v>0</v>
      </c>
      <c r="S794" s="26" t="n">
        <f aca="false">IF(INDEX(Pengaturan!$B$8:$B$27,S$4)="",0,COUNTIF(Data!$B794:$U794,INDEX(Pengaturan!$B$8:$B$27,S$4)))</f>
        <v>0</v>
      </c>
      <c r="T794" s="26" t="n">
        <f aca="false">IF(INDEX(Pengaturan!$B$8:$B$27,T$4)="",0,COUNTIF(Data!$B794:$U794,INDEX(Pengaturan!$B$8:$B$27,T$4)))</f>
        <v>0</v>
      </c>
      <c r="U794" s="26" t="n">
        <f aca="false">IF(INDEX(Pengaturan!$B$8:$B$27,U$4)="",0,COUNTIF(Data!$B794:$U794,INDEX(Pengaturan!$B$8:$B$27,U$4)))</f>
        <v>0</v>
      </c>
      <c r="V794" s="26" t="n">
        <f aca="false">COUNTA(Data!$B794:$U794)</f>
        <v>0</v>
      </c>
      <c r="W794" s="27" t="str">
        <f aca="false">IF(V794=0,"",IF(V794&lt;&gt;Hasil!$C$4,"Data kosong/tidak lengkap",IF(SUM(B794:U794)&lt;&gt;V794,"Kategori tidak dikenal","OK")))</f>
        <v/>
      </c>
      <c r="X794" s="26" t="n">
        <f aca="false">IF(OR(W794="",W794="OK"),0,1)</f>
        <v>0</v>
      </c>
    </row>
    <row r="795" customFormat="false" ht="15" hidden="false" customHeight="false" outlineLevel="0" collapsed="false">
      <c r="A795" s="26" t="n">
        <f aca="false">Data!A795</f>
        <v>790</v>
      </c>
      <c r="B795" s="26" t="n">
        <f aca="false">IF(INDEX(Pengaturan!$B$8:$B$27,B$4)="",0,COUNTIF(Data!$B795:$U795,INDEX(Pengaturan!$B$8:$B$27,B$4)))</f>
        <v>0</v>
      </c>
      <c r="C795" s="26" t="n">
        <f aca="false">IF(INDEX(Pengaturan!$B$8:$B$27,C$4)="",0,COUNTIF(Data!$B795:$U795,INDEX(Pengaturan!$B$8:$B$27,C$4)))</f>
        <v>0</v>
      </c>
      <c r="D795" s="26" t="n">
        <f aca="false">IF(INDEX(Pengaturan!$B$8:$B$27,D$4)="",0,COUNTIF(Data!$B795:$U795,INDEX(Pengaturan!$B$8:$B$27,D$4)))</f>
        <v>0</v>
      </c>
      <c r="E795" s="26" t="n">
        <f aca="false">IF(INDEX(Pengaturan!$B$8:$B$27,E$4)="",0,COUNTIF(Data!$B795:$U795,INDEX(Pengaturan!$B$8:$B$27,E$4)))</f>
        <v>0</v>
      </c>
      <c r="F795" s="26" t="n">
        <f aca="false">IF(INDEX(Pengaturan!$B$8:$B$27,F$4)="",0,COUNTIF(Data!$B795:$U795,INDEX(Pengaturan!$B$8:$B$27,F$4)))</f>
        <v>0</v>
      </c>
      <c r="G795" s="26" t="n">
        <f aca="false">IF(INDEX(Pengaturan!$B$8:$B$27,G$4)="",0,COUNTIF(Data!$B795:$U795,INDEX(Pengaturan!$B$8:$B$27,G$4)))</f>
        <v>0</v>
      </c>
      <c r="H795" s="26" t="n">
        <f aca="false">IF(INDEX(Pengaturan!$B$8:$B$27,H$4)="",0,COUNTIF(Data!$B795:$U795,INDEX(Pengaturan!$B$8:$B$27,H$4)))</f>
        <v>0</v>
      </c>
      <c r="I795" s="26" t="n">
        <f aca="false">IF(INDEX(Pengaturan!$B$8:$B$27,I$4)="",0,COUNTIF(Data!$B795:$U795,INDEX(Pengaturan!$B$8:$B$27,I$4)))</f>
        <v>0</v>
      </c>
      <c r="J795" s="26" t="n">
        <f aca="false">IF(INDEX(Pengaturan!$B$8:$B$27,J$4)="",0,COUNTIF(Data!$B795:$U795,INDEX(Pengaturan!$B$8:$B$27,J$4)))</f>
        <v>0</v>
      </c>
      <c r="K795" s="26" t="n">
        <f aca="false">IF(INDEX(Pengaturan!$B$8:$B$27,K$4)="",0,COUNTIF(Data!$B795:$U795,INDEX(Pengaturan!$B$8:$B$27,K$4)))</f>
        <v>0</v>
      </c>
      <c r="L795" s="26" t="n">
        <f aca="false">IF(INDEX(Pengaturan!$B$8:$B$27,L$4)="",0,COUNTIF(Data!$B795:$U795,INDEX(Pengaturan!$B$8:$B$27,L$4)))</f>
        <v>0</v>
      </c>
      <c r="M795" s="26" t="n">
        <f aca="false">IF(INDEX(Pengaturan!$B$8:$B$27,M$4)="",0,COUNTIF(Data!$B795:$U795,INDEX(Pengaturan!$B$8:$B$27,M$4)))</f>
        <v>0</v>
      </c>
      <c r="N795" s="26" t="n">
        <f aca="false">IF(INDEX(Pengaturan!$B$8:$B$27,N$4)="",0,COUNTIF(Data!$B795:$U795,INDEX(Pengaturan!$B$8:$B$27,N$4)))</f>
        <v>0</v>
      </c>
      <c r="O795" s="26" t="n">
        <f aca="false">IF(INDEX(Pengaturan!$B$8:$B$27,O$4)="",0,COUNTIF(Data!$B795:$U795,INDEX(Pengaturan!$B$8:$B$27,O$4)))</f>
        <v>0</v>
      </c>
      <c r="P795" s="26" t="n">
        <f aca="false">IF(INDEX(Pengaturan!$B$8:$B$27,P$4)="",0,COUNTIF(Data!$B795:$U795,INDEX(Pengaturan!$B$8:$B$27,P$4)))</f>
        <v>0</v>
      </c>
      <c r="Q795" s="26" t="n">
        <f aca="false">IF(INDEX(Pengaturan!$B$8:$B$27,Q$4)="",0,COUNTIF(Data!$B795:$U795,INDEX(Pengaturan!$B$8:$B$27,Q$4)))</f>
        <v>0</v>
      </c>
      <c r="R795" s="26" t="n">
        <f aca="false">IF(INDEX(Pengaturan!$B$8:$B$27,R$4)="",0,COUNTIF(Data!$B795:$U795,INDEX(Pengaturan!$B$8:$B$27,R$4)))</f>
        <v>0</v>
      </c>
      <c r="S795" s="26" t="n">
        <f aca="false">IF(INDEX(Pengaturan!$B$8:$B$27,S$4)="",0,COUNTIF(Data!$B795:$U795,INDEX(Pengaturan!$B$8:$B$27,S$4)))</f>
        <v>0</v>
      </c>
      <c r="T795" s="26" t="n">
        <f aca="false">IF(INDEX(Pengaturan!$B$8:$B$27,T$4)="",0,COUNTIF(Data!$B795:$U795,INDEX(Pengaturan!$B$8:$B$27,T$4)))</f>
        <v>0</v>
      </c>
      <c r="U795" s="26" t="n">
        <f aca="false">IF(INDEX(Pengaturan!$B$8:$B$27,U$4)="",0,COUNTIF(Data!$B795:$U795,INDEX(Pengaturan!$B$8:$B$27,U$4)))</f>
        <v>0</v>
      </c>
      <c r="V795" s="26" t="n">
        <f aca="false">COUNTA(Data!$B795:$U795)</f>
        <v>0</v>
      </c>
      <c r="W795" s="27" t="str">
        <f aca="false">IF(V795=0,"",IF(V795&lt;&gt;Hasil!$C$4,"Data kosong/tidak lengkap",IF(SUM(B795:U795)&lt;&gt;V795,"Kategori tidak dikenal","OK")))</f>
        <v/>
      </c>
      <c r="X795" s="26" t="n">
        <f aca="false">IF(OR(W795="",W795="OK"),0,1)</f>
        <v>0</v>
      </c>
    </row>
    <row r="796" customFormat="false" ht="15" hidden="false" customHeight="false" outlineLevel="0" collapsed="false">
      <c r="A796" s="26" t="n">
        <f aca="false">Data!A796</f>
        <v>791</v>
      </c>
      <c r="B796" s="26" t="n">
        <f aca="false">IF(INDEX(Pengaturan!$B$8:$B$27,B$4)="",0,COUNTIF(Data!$B796:$U796,INDEX(Pengaturan!$B$8:$B$27,B$4)))</f>
        <v>0</v>
      </c>
      <c r="C796" s="26" t="n">
        <f aca="false">IF(INDEX(Pengaturan!$B$8:$B$27,C$4)="",0,COUNTIF(Data!$B796:$U796,INDEX(Pengaturan!$B$8:$B$27,C$4)))</f>
        <v>0</v>
      </c>
      <c r="D796" s="26" t="n">
        <f aca="false">IF(INDEX(Pengaturan!$B$8:$B$27,D$4)="",0,COUNTIF(Data!$B796:$U796,INDEX(Pengaturan!$B$8:$B$27,D$4)))</f>
        <v>0</v>
      </c>
      <c r="E796" s="26" t="n">
        <f aca="false">IF(INDEX(Pengaturan!$B$8:$B$27,E$4)="",0,COUNTIF(Data!$B796:$U796,INDEX(Pengaturan!$B$8:$B$27,E$4)))</f>
        <v>0</v>
      </c>
      <c r="F796" s="26" t="n">
        <f aca="false">IF(INDEX(Pengaturan!$B$8:$B$27,F$4)="",0,COUNTIF(Data!$B796:$U796,INDEX(Pengaturan!$B$8:$B$27,F$4)))</f>
        <v>0</v>
      </c>
      <c r="G796" s="26" t="n">
        <f aca="false">IF(INDEX(Pengaturan!$B$8:$B$27,G$4)="",0,COUNTIF(Data!$B796:$U796,INDEX(Pengaturan!$B$8:$B$27,G$4)))</f>
        <v>0</v>
      </c>
      <c r="H796" s="26" t="n">
        <f aca="false">IF(INDEX(Pengaturan!$B$8:$B$27,H$4)="",0,COUNTIF(Data!$B796:$U796,INDEX(Pengaturan!$B$8:$B$27,H$4)))</f>
        <v>0</v>
      </c>
      <c r="I796" s="26" t="n">
        <f aca="false">IF(INDEX(Pengaturan!$B$8:$B$27,I$4)="",0,COUNTIF(Data!$B796:$U796,INDEX(Pengaturan!$B$8:$B$27,I$4)))</f>
        <v>0</v>
      </c>
      <c r="J796" s="26" t="n">
        <f aca="false">IF(INDEX(Pengaturan!$B$8:$B$27,J$4)="",0,COUNTIF(Data!$B796:$U796,INDEX(Pengaturan!$B$8:$B$27,J$4)))</f>
        <v>0</v>
      </c>
      <c r="K796" s="26" t="n">
        <f aca="false">IF(INDEX(Pengaturan!$B$8:$B$27,K$4)="",0,COUNTIF(Data!$B796:$U796,INDEX(Pengaturan!$B$8:$B$27,K$4)))</f>
        <v>0</v>
      </c>
      <c r="L796" s="26" t="n">
        <f aca="false">IF(INDEX(Pengaturan!$B$8:$B$27,L$4)="",0,COUNTIF(Data!$B796:$U796,INDEX(Pengaturan!$B$8:$B$27,L$4)))</f>
        <v>0</v>
      </c>
      <c r="M796" s="26" t="n">
        <f aca="false">IF(INDEX(Pengaturan!$B$8:$B$27,M$4)="",0,COUNTIF(Data!$B796:$U796,INDEX(Pengaturan!$B$8:$B$27,M$4)))</f>
        <v>0</v>
      </c>
      <c r="N796" s="26" t="n">
        <f aca="false">IF(INDEX(Pengaturan!$B$8:$B$27,N$4)="",0,COUNTIF(Data!$B796:$U796,INDEX(Pengaturan!$B$8:$B$27,N$4)))</f>
        <v>0</v>
      </c>
      <c r="O796" s="26" t="n">
        <f aca="false">IF(INDEX(Pengaturan!$B$8:$B$27,O$4)="",0,COUNTIF(Data!$B796:$U796,INDEX(Pengaturan!$B$8:$B$27,O$4)))</f>
        <v>0</v>
      </c>
      <c r="P796" s="26" t="n">
        <f aca="false">IF(INDEX(Pengaturan!$B$8:$B$27,P$4)="",0,COUNTIF(Data!$B796:$U796,INDEX(Pengaturan!$B$8:$B$27,P$4)))</f>
        <v>0</v>
      </c>
      <c r="Q796" s="26" t="n">
        <f aca="false">IF(INDEX(Pengaturan!$B$8:$B$27,Q$4)="",0,COUNTIF(Data!$B796:$U796,INDEX(Pengaturan!$B$8:$B$27,Q$4)))</f>
        <v>0</v>
      </c>
      <c r="R796" s="26" t="n">
        <f aca="false">IF(INDEX(Pengaturan!$B$8:$B$27,R$4)="",0,COUNTIF(Data!$B796:$U796,INDEX(Pengaturan!$B$8:$B$27,R$4)))</f>
        <v>0</v>
      </c>
      <c r="S796" s="26" t="n">
        <f aca="false">IF(INDEX(Pengaturan!$B$8:$B$27,S$4)="",0,COUNTIF(Data!$B796:$U796,INDEX(Pengaturan!$B$8:$B$27,S$4)))</f>
        <v>0</v>
      </c>
      <c r="T796" s="26" t="n">
        <f aca="false">IF(INDEX(Pengaturan!$B$8:$B$27,T$4)="",0,COUNTIF(Data!$B796:$U796,INDEX(Pengaturan!$B$8:$B$27,T$4)))</f>
        <v>0</v>
      </c>
      <c r="U796" s="26" t="n">
        <f aca="false">IF(INDEX(Pengaturan!$B$8:$B$27,U$4)="",0,COUNTIF(Data!$B796:$U796,INDEX(Pengaturan!$B$8:$B$27,U$4)))</f>
        <v>0</v>
      </c>
      <c r="V796" s="26" t="n">
        <f aca="false">COUNTA(Data!$B796:$U796)</f>
        <v>0</v>
      </c>
      <c r="W796" s="27" t="str">
        <f aca="false">IF(V796=0,"",IF(V796&lt;&gt;Hasil!$C$4,"Data kosong/tidak lengkap",IF(SUM(B796:U796)&lt;&gt;V796,"Kategori tidak dikenal","OK")))</f>
        <v/>
      </c>
      <c r="X796" s="26" t="n">
        <f aca="false">IF(OR(W796="",W796="OK"),0,1)</f>
        <v>0</v>
      </c>
    </row>
    <row r="797" customFormat="false" ht="15" hidden="false" customHeight="false" outlineLevel="0" collapsed="false">
      <c r="A797" s="26" t="n">
        <f aca="false">Data!A797</f>
        <v>792</v>
      </c>
      <c r="B797" s="26" t="n">
        <f aca="false">IF(INDEX(Pengaturan!$B$8:$B$27,B$4)="",0,COUNTIF(Data!$B797:$U797,INDEX(Pengaturan!$B$8:$B$27,B$4)))</f>
        <v>0</v>
      </c>
      <c r="C797" s="26" t="n">
        <f aca="false">IF(INDEX(Pengaturan!$B$8:$B$27,C$4)="",0,COUNTIF(Data!$B797:$U797,INDEX(Pengaturan!$B$8:$B$27,C$4)))</f>
        <v>0</v>
      </c>
      <c r="D797" s="26" t="n">
        <f aca="false">IF(INDEX(Pengaturan!$B$8:$B$27,D$4)="",0,COUNTIF(Data!$B797:$U797,INDEX(Pengaturan!$B$8:$B$27,D$4)))</f>
        <v>0</v>
      </c>
      <c r="E797" s="26" t="n">
        <f aca="false">IF(INDEX(Pengaturan!$B$8:$B$27,E$4)="",0,COUNTIF(Data!$B797:$U797,INDEX(Pengaturan!$B$8:$B$27,E$4)))</f>
        <v>0</v>
      </c>
      <c r="F797" s="26" t="n">
        <f aca="false">IF(INDEX(Pengaturan!$B$8:$B$27,F$4)="",0,COUNTIF(Data!$B797:$U797,INDEX(Pengaturan!$B$8:$B$27,F$4)))</f>
        <v>0</v>
      </c>
      <c r="G797" s="26" t="n">
        <f aca="false">IF(INDEX(Pengaturan!$B$8:$B$27,G$4)="",0,COUNTIF(Data!$B797:$U797,INDEX(Pengaturan!$B$8:$B$27,G$4)))</f>
        <v>0</v>
      </c>
      <c r="H797" s="26" t="n">
        <f aca="false">IF(INDEX(Pengaturan!$B$8:$B$27,H$4)="",0,COUNTIF(Data!$B797:$U797,INDEX(Pengaturan!$B$8:$B$27,H$4)))</f>
        <v>0</v>
      </c>
      <c r="I797" s="26" t="n">
        <f aca="false">IF(INDEX(Pengaturan!$B$8:$B$27,I$4)="",0,COUNTIF(Data!$B797:$U797,INDEX(Pengaturan!$B$8:$B$27,I$4)))</f>
        <v>0</v>
      </c>
      <c r="J797" s="26" t="n">
        <f aca="false">IF(INDEX(Pengaturan!$B$8:$B$27,J$4)="",0,COUNTIF(Data!$B797:$U797,INDEX(Pengaturan!$B$8:$B$27,J$4)))</f>
        <v>0</v>
      </c>
      <c r="K797" s="26" t="n">
        <f aca="false">IF(INDEX(Pengaturan!$B$8:$B$27,K$4)="",0,COUNTIF(Data!$B797:$U797,INDEX(Pengaturan!$B$8:$B$27,K$4)))</f>
        <v>0</v>
      </c>
      <c r="L797" s="26" t="n">
        <f aca="false">IF(INDEX(Pengaturan!$B$8:$B$27,L$4)="",0,COUNTIF(Data!$B797:$U797,INDEX(Pengaturan!$B$8:$B$27,L$4)))</f>
        <v>0</v>
      </c>
      <c r="M797" s="26" t="n">
        <f aca="false">IF(INDEX(Pengaturan!$B$8:$B$27,M$4)="",0,COUNTIF(Data!$B797:$U797,INDEX(Pengaturan!$B$8:$B$27,M$4)))</f>
        <v>0</v>
      </c>
      <c r="N797" s="26" t="n">
        <f aca="false">IF(INDEX(Pengaturan!$B$8:$B$27,N$4)="",0,COUNTIF(Data!$B797:$U797,INDEX(Pengaturan!$B$8:$B$27,N$4)))</f>
        <v>0</v>
      </c>
      <c r="O797" s="26" t="n">
        <f aca="false">IF(INDEX(Pengaturan!$B$8:$B$27,O$4)="",0,COUNTIF(Data!$B797:$U797,INDEX(Pengaturan!$B$8:$B$27,O$4)))</f>
        <v>0</v>
      </c>
      <c r="P797" s="26" t="n">
        <f aca="false">IF(INDEX(Pengaturan!$B$8:$B$27,P$4)="",0,COUNTIF(Data!$B797:$U797,INDEX(Pengaturan!$B$8:$B$27,P$4)))</f>
        <v>0</v>
      </c>
      <c r="Q797" s="26" t="n">
        <f aca="false">IF(INDEX(Pengaturan!$B$8:$B$27,Q$4)="",0,COUNTIF(Data!$B797:$U797,INDEX(Pengaturan!$B$8:$B$27,Q$4)))</f>
        <v>0</v>
      </c>
      <c r="R797" s="26" t="n">
        <f aca="false">IF(INDEX(Pengaturan!$B$8:$B$27,R$4)="",0,COUNTIF(Data!$B797:$U797,INDEX(Pengaturan!$B$8:$B$27,R$4)))</f>
        <v>0</v>
      </c>
      <c r="S797" s="26" t="n">
        <f aca="false">IF(INDEX(Pengaturan!$B$8:$B$27,S$4)="",0,COUNTIF(Data!$B797:$U797,INDEX(Pengaturan!$B$8:$B$27,S$4)))</f>
        <v>0</v>
      </c>
      <c r="T797" s="26" t="n">
        <f aca="false">IF(INDEX(Pengaturan!$B$8:$B$27,T$4)="",0,COUNTIF(Data!$B797:$U797,INDEX(Pengaturan!$B$8:$B$27,T$4)))</f>
        <v>0</v>
      </c>
      <c r="U797" s="26" t="n">
        <f aca="false">IF(INDEX(Pengaturan!$B$8:$B$27,U$4)="",0,COUNTIF(Data!$B797:$U797,INDEX(Pengaturan!$B$8:$B$27,U$4)))</f>
        <v>0</v>
      </c>
      <c r="V797" s="26" t="n">
        <f aca="false">COUNTA(Data!$B797:$U797)</f>
        <v>0</v>
      </c>
      <c r="W797" s="27" t="str">
        <f aca="false">IF(V797=0,"",IF(V797&lt;&gt;Hasil!$C$4,"Data kosong/tidak lengkap",IF(SUM(B797:U797)&lt;&gt;V797,"Kategori tidak dikenal","OK")))</f>
        <v/>
      </c>
      <c r="X797" s="26" t="n">
        <f aca="false">IF(OR(W797="",W797="OK"),0,1)</f>
        <v>0</v>
      </c>
    </row>
    <row r="798" customFormat="false" ht="15" hidden="false" customHeight="false" outlineLevel="0" collapsed="false">
      <c r="A798" s="26" t="n">
        <f aca="false">Data!A798</f>
        <v>793</v>
      </c>
      <c r="B798" s="26" t="n">
        <f aca="false">IF(INDEX(Pengaturan!$B$8:$B$27,B$4)="",0,COUNTIF(Data!$B798:$U798,INDEX(Pengaturan!$B$8:$B$27,B$4)))</f>
        <v>0</v>
      </c>
      <c r="C798" s="26" t="n">
        <f aca="false">IF(INDEX(Pengaturan!$B$8:$B$27,C$4)="",0,COUNTIF(Data!$B798:$U798,INDEX(Pengaturan!$B$8:$B$27,C$4)))</f>
        <v>0</v>
      </c>
      <c r="D798" s="26" t="n">
        <f aca="false">IF(INDEX(Pengaturan!$B$8:$B$27,D$4)="",0,COUNTIF(Data!$B798:$U798,INDEX(Pengaturan!$B$8:$B$27,D$4)))</f>
        <v>0</v>
      </c>
      <c r="E798" s="26" t="n">
        <f aca="false">IF(INDEX(Pengaturan!$B$8:$B$27,E$4)="",0,COUNTIF(Data!$B798:$U798,INDEX(Pengaturan!$B$8:$B$27,E$4)))</f>
        <v>0</v>
      </c>
      <c r="F798" s="26" t="n">
        <f aca="false">IF(INDEX(Pengaturan!$B$8:$B$27,F$4)="",0,COUNTIF(Data!$B798:$U798,INDEX(Pengaturan!$B$8:$B$27,F$4)))</f>
        <v>0</v>
      </c>
      <c r="G798" s="26" t="n">
        <f aca="false">IF(INDEX(Pengaturan!$B$8:$B$27,G$4)="",0,COUNTIF(Data!$B798:$U798,INDEX(Pengaturan!$B$8:$B$27,G$4)))</f>
        <v>0</v>
      </c>
      <c r="H798" s="26" t="n">
        <f aca="false">IF(INDEX(Pengaturan!$B$8:$B$27,H$4)="",0,COUNTIF(Data!$B798:$U798,INDEX(Pengaturan!$B$8:$B$27,H$4)))</f>
        <v>0</v>
      </c>
      <c r="I798" s="26" t="n">
        <f aca="false">IF(INDEX(Pengaturan!$B$8:$B$27,I$4)="",0,COUNTIF(Data!$B798:$U798,INDEX(Pengaturan!$B$8:$B$27,I$4)))</f>
        <v>0</v>
      </c>
      <c r="J798" s="26" t="n">
        <f aca="false">IF(INDEX(Pengaturan!$B$8:$B$27,J$4)="",0,COUNTIF(Data!$B798:$U798,INDEX(Pengaturan!$B$8:$B$27,J$4)))</f>
        <v>0</v>
      </c>
      <c r="K798" s="26" t="n">
        <f aca="false">IF(INDEX(Pengaturan!$B$8:$B$27,K$4)="",0,COUNTIF(Data!$B798:$U798,INDEX(Pengaturan!$B$8:$B$27,K$4)))</f>
        <v>0</v>
      </c>
      <c r="L798" s="26" t="n">
        <f aca="false">IF(INDEX(Pengaturan!$B$8:$B$27,L$4)="",0,COUNTIF(Data!$B798:$U798,INDEX(Pengaturan!$B$8:$B$27,L$4)))</f>
        <v>0</v>
      </c>
      <c r="M798" s="26" t="n">
        <f aca="false">IF(INDEX(Pengaturan!$B$8:$B$27,M$4)="",0,COUNTIF(Data!$B798:$U798,INDEX(Pengaturan!$B$8:$B$27,M$4)))</f>
        <v>0</v>
      </c>
      <c r="N798" s="26" t="n">
        <f aca="false">IF(INDEX(Pengaturan!$B$8:$B$27,N$4)="",0,COUNTIF(Data!$B798:$U798,INDEX(Pengaturan!$B$8:$B$27,N$4)))</f>
        <v>0</v>
      </c>
      <c r="O798" s="26" t="n">
        <f aca="false">IF(INDEX(Pengaturan!$B$8:$B$27,O$4)="",0,COUNTIF(Data!$B798:$U798,INDEX(Pengaturan!$B$8:$B$27,O$4)))</f>
        <v>0</v>
      </c>
      <c r="P798" s="26" t="n">
        <f aca="false">IF(INDEX(Pengaturan!$B$8:$B$27,P$4)="",0,COUNTIF(Data!$B798:$U798,INDEX(Pengaturan!$B$8:$B$27,P$4)))</f>
        <v>0</v>
      </c>
      <c r="Q798" s="26" t="n">
        <f aca="false">IF(INDEX(Pengaturan!$B$8:$B$27,Q$4)="",0,COUNTIF(Data!$B798:$U798,INDEX(Pengaturan!$B$8:$B$27,Q$4)))</f>
        <v>0</v>
      </c>
      <c r="R798" s="26" t="n">
        <f aca="false">IF(INDEX(Pengaturan!$B$8:$B$27,R$4)="",0,COUNTIF(Data!$B798:$U798,INDEX(Pengaturan!$B$8:$B$27,R$4)))</f>
        <v>0</v>
      </c>
      <c r="S798" s="26" t="n">
        <f aca="false">IF(INDEX(Pengaturan!$B$8:$B$27,S$4)="",0,COUNTIF(Data!$B798:$U798,INDEX(Pengaturan!$B$8:$B$27,S$4)))</f>
        <v>0</v>
      </c>
      <c r="T798" s="26" t="n">
        <f aca="false">IF(INDEX(Pengaturan!$B$8:$B$27,T$4)="",0,COUNTIF(Data!$B798:$U798,INDEX(Pengaturan!$B$8:$B$27,T$4)))</f>
        <v>0</v>
      </c>
      <c r="U798" s="26" t="n">
        <f aca="false">IF(INDEX(Pengaturan!$B$8:$B$27,U$4)="",0,COUNTIF(Data!$B798:$U798,INDEX(Pengaturan!$B$8:$B$27,U$4)))</f>
        <v>0</v>
      </c>
      <c r="V798" s="26" t="n">
        <f aca="false">COUNTA(Data!$B798:$U798)</f>
        <v>0</v>
      </c>
      <c r="W798" s="27" t="str">
        <f aca="false">IF(V798=0,"",IF(V798&lt;&gt;Hasil!$C$4,"Data kosong/tidak lengkap",IF(SUM(B798:U798)&lt;&gt;V798,"Kategori tidak dikenal","OK")))</f>
        <v/>
      </c>
      <c r="X798" s="26" t="n">
        <f aca="false">IF(OR(W798="",W798="OK"),0,1)</f>
        <v>0</v>
      </c>
    </row>
    <row r="799" customFormat="false" ht="15" hidden="false" customHeight="false" outlineLevel="0" collapsed="false">
      <c r="A799" s="26" t="n">
        <f aca="false">Data!A799</f>
        <v>794</v>
      </c>
      <c r="B799" s="26" t="n">
        <f aca="false">IF(INDEX(Pengaturan!$B$8:$B$27,B$4)="",0,COUNTIF(Data!$B799:$U799,INDEX(Pengaturan!$B$8:$B$27,B$4)))</f>
        <v>0</v>
      </c>
      <c r="C799" s="26" t="n">
        <f aca="false">IF(INDEX(Pengaturan!$B$8:$B$27,C$4)="",0,COUNTIF(Data!$B799:$U799,INDEX(Pengaturan!$B$8:$B$27,C$4)))</f>
        <v>0</v>
      </c>
      <c r="D799" s="26" t="n">
        <f aca="false">IF(INDEX(Pengaturan!$B$8:$B$27,D$4)="",0,COUNTIF(Data!$B799:$U799,INDEX(Pengaturan!$B$8:$B$27,D$4)))</f>
        <v>0</v>
      </c>
      <c r="E799" s="26" t="n">
        <f aca="false">IF(INDEX(Pengaturan!$B$8:$B$27,E$4)="",0,COUNTIF(Data!$B799:$U799,INDEX(Pengaturan!$B$8:$B$27,E$4)))</f>
        <v>0</v>
      </c>
      <c r="F799" s="26" t="n">
        <f aca="false">IF(INDEX(Pengaturan!$B$8:$B$27,F$4)="",0,COUNTIF(Data!$B799:$U799,INDEX(Pengaturan!$B$8:$B$27,F$4)))</f>
        <v>0</v>
      </c>
      <c r="G799" s="26" t="n">
        <f aca="false">IF(INDEX(Pengaturan!$B$8:$B$27,G$4)="",0,COUNTIF(Data!$B799:$U799,INDEX(Pengaturan!$B$8:$B$27,G$4)))</f>
        <v>0</v>
      </c>
      <c r="H799" s="26" t="n">
        <f aca="false">IF(INDEX(Pengaturan!$B$8:$B$27,H$4)="",0,COUNTIF(Data!$B799:$U799,INDEX(Pengaturan!$B$8:$B$27,H$4)))</f>
        <v>0</v>
      </c>
      <c r="I799" s="26" t="n">
        <f aca="false">IF(INDEX(Pengaturan!$B$8:$B$27,I$4)="",0,COUNTIF(Data!$B799:$U799,INDEX(Pengaturan!$B$8:$B$27,I$4)))</f>
        <v>0</v>
      </c>
      <c r="J799" s="26" t="n">
        <f aca="false">IF(INDEX(Pengaturan!$B$8:$B$27,J$4)="",0,COUNTIF(Data!$B799:$U799,INDEX(Pengaturan!$B$8:$B$27,J$4)))</f>
        <v>0</v>
      </c>
      <c r="K799" s="26" t="n">
        <f aca="false">IF(INDEX(Pengaturan!$B$8:$B$27,K$4)="",0,COUNTIF(Data!$B799:$U799,INDEX(Pengaturan!$B$8:$B$27,K$4)))</f>
        <v>0</v>
      </c>
      <c r="L799" s="26" t="n">
        <f aca="false">IF(INDEX(Pengaturan!$B$8:$B$27,L$4)="",0,COUNTIF(Data!$B799:$U799,INDEX(Pengaturan!$B$8:$B$27,L$4)))</f>
        <v>0</v>
      </c>
      <c r="M799" s="26" t="n">
        <f aca="false">IF(INDEX(Pengaturan!$B$8:$B$27,M$4)="",0,COUNTIF(Data!$B799:$U799,INDEX(Pengaturan!$B$8:$B$27,M$4)))</f>
        <v>0</v>
      </c>
      <c r="N799" s="26" t="n">
        <f aca="false">IF(INDEX(Pengaturan!$B$8:$B$27,N$4)="",0,COUNTIF(Data!$B799:$U799,INDEX(Pengaturan!$B$8:$B$27,N$4)))</f>
        <v>0</v>
      </c>
      <c r="O799" s="26" t="n">
        <f aca="false">IF(INDEX(Pengaturan!$B$8:$B$27,O$4)="",0,COUNTIF(Data!$B799:$U799,INDEX(Pengaturan!$B$8:$B$27,O$4)))</f>
        <v>0</v>
      </c>
      <c r="P799" s="26" t="n">
        <f aca="false">IF(INDEX(Pengaturan!$B$8:$B$27,P$4)="",0,COUNTIF(Data!$B799:$U799,INDEX(Pengaturan!$B$8:$B$27,P$4)))</f>
        <v>0</v>
      </c>
      <c r="Q799" s="26" t="n">
        <f aca="false">IF(INDEX(Pengaturan!$B$8:$B$27,Q$4)="",0,COUNTIF(Data!$B799:$U799,INDEX(Pengaturan!$B$8:$B$27,Q$4)))</f>
        <v>0</v>
      </c>
      <c r="R799" s="26" t="n">
        <f aca="false">IF(INDEX(Pengaturan!$B$8:$B$27,R$4)="",0,COUNTIF(Data!$B799:$U799,INDEX(Pengaturan!$B$8:$B$27,R$4)))</f>
        <v>0</v>
      </c>
      <c r="S799" s="26" t="n">
        <f aca="false">IF(INDEX(Pengaturan!$B$8:$B$27,S$4)="",0,COUNTIF(Data!$B799:$U799,INDEX(Pengaturan!$B$8:$B$27,S$4)))</f>
        <v>0</v>
      </c>
      <c r="T799" s="26" t="n">
        <f aca="false">IF(INDEX(Pengaturan!$B$8:$B$27,T$4)="",0,COUNTIF(Data!$B799:$U799,INDEX(Pengaturan!$B$8:$B$27,T$4)))</f>
        <v>0</v>
      </c>
      <c r="U799" s="26" t="n">
        <f aca="false">IF(INDEX(Pengaturan!$B$8:$B$27,U$4)="",0,COUNTIF(Data!$B799:$U799,INDEX(Pengaturan!$B$8:$B$27,U$4)))</f>
        <v>0</v>
      </c>
      <c r="V799" s="26" t="n">
        <f aca="false">COUNTA(Data!$B799:$U799)</f>
        <v>0</v>
      </c>
      <c r="W799" s="27" t="str">
        <f aca="false">IF(V799=0,"",IF(V799&lt;&gt;Hasil!$C$4,"Data kosong/tidak lengkap",IF(SUM(B799:U799)&lt;&gt;V799,"Kategori tidak dikenal","OK")))</f>
        <v/>
      </c>
      <c r="X799" s="26" t="n">
        <f aca="false">IF(OR(W799="",W799="OK"),0,1)</f>
        <v>0</v>
      </c>
    </row>
    <row r="800" customFormat="false" ht="15" hidden="false" customHeight="false" outlineLevel="0" collapsed="false">
      <c r="A800" s="26" t="n">
        <f aca="false">Data!A800</f>
        <v>795</v>
      </c>
      <c r="B800" s="26" t="n">
        <f aca="false">IF(INDEX(Pengaturan!$B$8:$B$27,B$4)="",0,COUNTIF(Data!$B800:$U800,INDEX(Pengaturan!$B$8:$B$27,B$4)))</f>
        <v>0</v>
      </c>
      <c r="C800" s="26" t="n">
        <f aca="false">IF(INDEX(Pengaturan!$B$8:$B$27,C$4)="",0,COUNTIF(Data!$B800:$U800,INDEX(Pengaturan!$B$8:$B$27,C$4)))</f>
        <v>0</v>
      </c>
      <c r="D800" s="26" t="n">
        <f aca="false">IF(INDEX(Pengaturan!$B$8:$B$27,D$4)="",0,COUNTIF(Data!$B800:$U800,INDEX(Pengaturan!$B$8:$B$27,D$4)))</f>
        <v>0</v>
      </c>
      <c r="E800" s="26" t="n">
        <f aca="false">IF(INDEX(Pengaturan!$B$8:$B$27,E$4)="",0,COUNTIF(Data!$B800:$U800,INDEX(Pengaturan!$B$8:$B$27,E$4)))</f>
        <v>0</v>
      </c>
      <c r="F800" s="26" t="n">
        <f aca="false">IF(INDEX(Pengaturan!$B$8:$B$27,F$4)="",0,COUNTIF(Data!$B800:$U800,INDEX(Pengaturan!$B$8:$B$27,F$4)))</f>
        <v>0</v>
      </c>
      <c r="G800" s="26" t="n">
        <f aca="false">IF(INDEX(Pengaturan!$B$8:$B$27,G$4)="",0,COUNTIF(Data!$B800:$U800,INDEX(Pengaturan!$B$8:$B$27,G$4)))</f>
        <v>0</v>
      </c>
      <c r="H800" s="26" t="n">
        <f aca="false">IF(INDEX(Pengaturan!$B$8:$B$27,H$4)="",0,COUNTIF(Data!$B800:$U800,INDEX(Pengaturan!$B$8:$B$27,H$4)))</f>
        <v>0</v>
      </c>
      <c r="I800" s="26" t="n">
        <f aca="false">IF(INDEX(Pengaturan!$B$8:$B$27,I$4)="",0,COUNTIF(Data!$B800:$U800,INDEX(Pengaturan!$B$8:$B$27,I$4)))</f>
        <v>0</v>
      </c>
      <c r="J800" s="26" t="n">
        <f aca="false">IF(INDEX(Pengaturan!$B$8:$B$27,J$4)="",0,COUNTIF(Data!$B800:$U800,INDEX(Pengaturan!$B$8:$B$27,J$4)))</f>
        <v>0</v>
      </c>
      <c r="K800" s="26" t="n">
        <f aca="false">IF(INDEX(Pengaturan!$B$8:$B$27,K$4)="",0,COUNTIF(Data!$B800:$U800,INDEX(Pengaturan!$B$8:$B$27,K$4)))</f>
        <v>0</v>
      </c>
      <c r="L800" s="26" t="n">
        <f aca="false">IF(INDEX(Pengaturan!$B$8:$B$27,L$4)="",0,COUNTIF(Data!$B800:$U800,INDEX(Pengaturan!$B$8:$B$27,L$4)))</f>
        <v>0</v>
      </c>
      <c r="M800" s="26" t="n">
        <f aca="false">IF(INDEX(Pengaturan!$B$8:$B$27,M$4)="",0,COUNTIF(Data!$B800:$U800,INDEX(Pengaturan!$B$8:$B$27,M$4)))</f>
        <v>0</v>
      </c>
      <c r="N800" s="26" t="n">
        <f aca="false">IF(INDEX(Pengaturan!$B$8:$B$27,N$4)="",0,COUNTIF(Data!$B800:$U800,INDEX(Pengaturan!$B$8:$B$27,N$4)))</f>
        <v>0</v>
      </c>
      <c r="O800" s="26" t="n">
        <f aca="false">IF(INDEX(Pengaturan!$B$8:$B$27,O$4)="",0,COUNTIF(Data!$B800:$U800,INDEX(Pengaturan!$B$8:$B$27,O$4)))</f>
        <v>0</v>
      </c>
      <c r="P800" s="26" t="n">
        <f aca="false">IF(INDEX(Pengaturan!$B$8:$B$27,P$4)="",0,COUNTIF(Data!$B800:$U800,INDEX(Pengaturan!$B$8:$B$27,P$4)))</f>
        <v>0</v>
      </c>
      <c r="Q800" s="26" t="n">
        <f aca="false">IF(INDEX(Pengaturan!$B$8:$B$27,Q$4)="",0,COUNTIF(Data!$B800:$U800,INDEX(Pengaturan!$B$8:$B$27,Q$4)))</f>
        <v>0</v>
      </c>
      <c r="R800" s="26" t="n">
        <f aca="false">IF(INDEX(Pengaturan!$B$8:$B$27,R$4)="",0,COUNTIF(Data!$B800:$U800,INDEX(Pengaturan!$B$8:$B$27,R$4)))</f>
        <v>0</v>
      </c>
      <c r="S800" s="26" t="n">
        <f aca="false">IF(INDEX(Pengaturan!$B$8:$B$27,S$4)="",0,COUNTIF(Data!$B800:$U800,INDEX(Pengaturan!$B$8:$B$27,S$4)))</f>
        <v>0</v>
      </c>
      <c r="T800" s="26" t="n">
        <f aca="false">IF(INDEX(Pengaturan!$B$8:$B$27,T$4)="",0,COUNTIF(Data!$B800:$U800,INDEX(Pengaturan!$B$8:$B$27,T$4)))</f>
        <v>0</v>
      </c>
      <c r="U800" s="26" t="n">
        <f aca="false">IF(INDEX(Pengaturan!$B$8:$B$27,U$4)="",0,COUNTIF(Data!$B800:$U800,INDEX(Pengaturan!$B$8:$B$27,U$4)))</f>
        <v>0</v>
      </c>
      <c r="V800" s="26" t="n">
        <f aca="false">COUNTA(Data!$B800:$U800)</f>
        <v>0</v>
      </c>
      <c r="W800" s="27" t="str">
        <f aca="false">IF(V800=0,"",IF(V800&lt;&gt;Hasil!$C$4,"Data kosong/tidak lengkap",IF(SUM(B800:U800)&lt;&gt;V800,"Kategori tidak dikenal","OK")))</f>
        <v/>
      </c>
      <c r="X800" s="26" t="n">
        <f aca="false">IF(OR(W800="",W800="OK"),0,1)</f>
        <v>0</v>
      </c>
    </row>
    <row r="801" customFormat="false" ht="15" hidden="false" customHeight="false" outlineLevel="0" collapsed="false">
      <c r="A801" s="26" t="n">
        <f aca="false">Data!A801</f>
        <v>796</v>
      </c>
      <c r="B801" s="26" t="n">
        <f aca="false">IF(INDEX(Pengaturan!$B$8:$B$27,B$4)="",0,COUNTIF(Data!$B801:$U801,INDEX(Pengaturan!$B$8:$B$27,B$4)))</f>
        <v>0</v>
      </c>
      <c r="C801" s="26" t="n">
        <f aca="false">IF(INDEX(Pengaturan!$B$8:$B$27,C$4)="",0,COUNTIF(Data!$B801:$U801,INDEX(Pengaturan!$B$8:$B$27,C$4)))</f>
        <v>0</v>
      </c>
      <c r="D801" s="26" t="n">
        <f aca="false">IF(INDEX(Pengaturan!$B$8:$B$27,D$4)="",0,COUNTIF(Data!$B801:$U801,INDEX(Pengaturan!$B$8:$B$27,D$4)))</f>
        <v>0</v>
      </c>
      <c r="E801" s="26" t="n">
        <f aca="false">IF(INDEX(Pengaturan!$B$8:$B$27,E$4)="",0,COUNTIF(Data!$B801:$U801,INDEX(Pengaturan!$B$8:$B$27,E$4)))</f>
        <v>0</v>
      </c>
      <c r="F801" s="26" t="n">
        <f aca="false">IF(INDEX(Pengaturan!$B$8:$B$27,F$4)="",0,COUNTIF(Data!$B801:$U801,INDEX(Pengaturan!$B$8:$B$27,F$4)))</f>
        <v>0</v>
      </c>
      <c r="G801" s="26" t="n">
        <f aca="false">IF(INDEX(Pengaturan!$B$8:$B$27,G$4)="",0,COUNTIF(Data!$B801:$U801,INDEX(Pengaturan!$B$8:$B$27,G$4)))</f>
        <v>0</v>
      </c>
      <c r="H801" s="26" t="n">
        <f aca="false">IF(INDEX(Pengaturan!$B$8:$B$27,H$4)="",0,COUNTIF(Data!$B801:$U801,INDEX(Pengaturan!$B$8:$B$27,H$4)))</f>
        <v>0</v>
      </c>
      <c r="I801" s="26" t="n">
        <f aca="false">IF(INDEX(Pengaturan!$B$8:$B$27,I$4)="",0,COUNTIF(Data!$B801:$U801,INDEX(Pengaturan!$B$8:$B$27,I$4)))</f>
        <v>0</v>
      </c>
      <c r="J801" s="26" t="n">
        <f aca="false">IF(INDEX(Pengaturan!$B$8:$B$27,J$4)="",0,COUNTIF(Data!$B801:$U801,INDEX(Pengaturan!$B$8:$B$27,J$4)))</f>
        <v>0</v>
      </c>
      <c r="K801" s="26" t="n">
        <f aca="false">IF(INDEX(Pengaturan!$B$8:$B$27,K$4)="",0,COUNTIF(Data!$B801:$U801,INDEX(Pengaturan!$B$8:$B$27,K$4)))</f>
        <v>0</v>
      </c>
      <c r="L801" s="26" t="n">
        <f aca="false">IF(INDEX(Pengaturan!$B$8:$B$27,L$4)="",0,COUNTIF(Data!$B801:$U801,INDEX(Pengaturan!$B$8:$B$27,L$4)))</f>
        <v>0</v>
      </c>
      <c r="M801" s="26" t="n">
        <f aca="false">IF(INDEX(Pengaturan!$B$8:$B$27,M$4)="",0,COUNTIF(Data!$B801:$U801,INDEX(Pengaturan!$B$8:$B$27,M$4)))</f>
        <v>0</v>
      </c>
      <c r="N801" s="26" t="n">
        <f aca="false">IF(INDEX(Pengaturan!$B$8:$B$27,N$4)="",0,COUNTIF(Data!$B801:$U801,INDEX(Pengaturan!$B$8:$B$27,N$4)))</f>
        <v>0</v>
      </c>
      <c r="O801" s="26" t="n">
        <f aca="false">IF(INDEX(Pengaturan!$B$8:$B$27,O$4)="",0,COUNTIF(Data!$B801:$U801,INDEX(Pengaturan!$B$8:$B$27,O$4)))</f>
        <v>0</v>
      </c>
      <c r="P801" s="26" t="n">
        <f aca="false">IF(INDEX(Pengaturan!$B$8:$B$27,P$4)="",0,COUNTIF(Data!$B801:$U801,INDEX(Pengaturan!$B$8:$B$27,P$4)))</f>
        <v>0</v>
      </c>
      <c r="Q801" s="26" t="n">
        <f aca="false">IF(INDEX(Pengaturan!$B$8:$B$27,Q$4)="",0,COUNTIF(Data!$B801:$U801,INDEX(Pengaturan!$B$8:$B$27,Q$4)))</f>
        <v>0</v>
      </c>
      <c r="R801" s="26" t="n">
        <f aca="false">IF(INDEX(Pengaturan!$B$8:$B$27,R$4)="",0,COUNTIF(Data!$B801:$U801,INDEX(Pengaturan!$B$8:$B$27,R$4)))</f>
        <v>0</v>
      </c>
      <c r="S801" s="26" t="n">
        <f aca="false">IF(INDEX(Pengaturan!$B$8:$B$27,S$4)="",0,COUNTIF(Data!$B801:$U801,INDEX(Pengaturan!$B$8:$B$27,S$4)))</f>
        <v>0</v>
      </c>
      <c r="T801" s="26" t="n">
        <f aca="false">IF(INDEX(Pengaturan!$B$8:$B$27,T$4)="",0,COUNTIF(Data!$B801:$U801,INDEX(Pengaturan!$B$8:$B$27,T$4)))</f>
        <v>0</v>
      </c>
      <c r="U801" s="26" t="n">
        <f aca="false">IF(INDEX(Pengaturan!$B$8:$B$27,U$4)="",0,COUNTIF(Data!$B801:$U801,INDEX(Pengaturan!$B$8:$B$27,U$4)))</f>
        <v>0</v>
      </c>
      <c r="V801" s="26" t="n">
        <f aca="false">COUNTA(Data!$B801:$U801)</f>
        <v>0</v>
      </c>
      <c r="W801" s="27" t="str">
        <f aca="false">IF(V801=0,"",IF(V801&lt;&gt;Hasil!$C$4,"Data kosong/tidak lengkap",IF(SUM(B801:U801)&lt;&gt;V801,"Kategori tidak dikenal","OK")))</f>
        <v/>
      </c>
      <c r="X801" s="26" t="n">
        <f aca="false">IF(OR(W801="",W801="OK"),0,1)</f>
        <v>0</v>
      </c>
    </row>
    <row r="802" customFormat="false" ht="15" hidden="false" customHeight="false" outlineLevel="0" collapsed="false">
      <c r="A802" s="26" t="n">
        <f aca="false">Data!A802</f>
        <v>797</v>
      </c>
      <c r="B802" s="26" t="n">
        <f aca="false">IF(INDEX(Pengaturan!$B$8:$B$27,B$4)="",0,COUNTIF(Data!$B802:$U802,INDEX(Pengaturan!$B$8:$B$27,B$4)))</f>
        <v>0</v>
      </c>
      <c r="C802" s="26" t="n">
        <f aca="false">IF(INDEX(Pengaturan!$B$8:$B$27,C$4)="",0,COUNTIF(Data!$B802:$U802,INDEX(Pengaturan!$B$8:$B$27,C$4)))</f>
        <v>0</v>
      </c>
      <c r="D802" s="26" t="n">
        <f aca="false">IF(INDEX(Pengaturan!$B$8:$B$27,D$4)="",0,COUNTIF(Data!$B802:$U802,INDEX(Pengaturan!$B$8:$B$27,D$4)))</f>
        <v>0</v>
      </c>
      <c r="E802" s="26" t="n">
        <f aca="false">IF(INDEX(Pengaturan!$B$8:$B$27,E$4)="",0,COUNTIF(Data!$B802:$U802,INDEX(Pengaturan!$B$8:$B$27,E$4)))</f>
        <v>0</v>
      </c>
      <c r="F802" s="26" t="n">
        <f aca="false">IF(INDEX(Pengaturan!$B$8:$B$27,F$4)="",0,COUNTIF(Data!$B802:$U802,INDEX(Pengaturan!$B$8:$B$27,F$4)))</f>
        <v>0</v>
      </c>
      <c r="G802" s="26" t="n">
        <f aca="false">IF(INDEX(Pengaturan!$B$8:$B$27,G$4)="",0,COUNTIF(Data!$B802:$U802,INDEX(Pengaturan!$B$8:$B$27,G$4)))</f>
        <v>0</v>
      </c>
      <c r="H802" s="26" t="n">
        <f aca="false">IF(INDEX(Pengaturan!$B$8:$B$27,H$4)="",0,COUNTIF(Data!$B802:$U802,INDEX(Pengaturan!$B$8:$B$27,H$4)))</f>
        <v>0</v>
      </c>
      <c r="I802" s="26" t="n">
        <f aca="false">IF(INDEX(Pengaturan!$B$8:$B$27,I$4)="",0,COUNTIF(Data!$B802:$U802,INDEX(Pengaturan!$B$8:$B$27,I$4)))</f>
        <v>0</v>
      </c>
      <c r="J802" s="26" t="n">
        <f aca="false">IF(INDEX(Pengaturan!$B$8:$B$27,J$4)="",0,COUNTIF(Data!$B802:$U802,INDEX(Pengaturan!$B$8:$B$27,J$4)))</f>
        <v>0</v>
      </c>
      <c r="K802" s="26" t="n">
        <f aca="false">IF(INDEX(Pengaturan!$B$8:$B$27,K$4)="",0,COUNTIF(Data!$B802:$U802,INDEX(Pengaturan!$B$8:$B$27,K$4)))</f>
        <v>0</v>
      </c>
      <c r="L802" s="26" t="n">
        <f aca="false">IF(INDEX(Pengaturan!$B$8:$B$27,L$4)="",0,COUNTIF(Data!$B802:$U802,INDEX(Pengaturan!$B$8:$B$27,L$4)))</f>
        <v>0</v>
      </c>
      <c r="M802" s="26" t="n">
        <f aca="false">IF(INDEX(Pengaturan!$B$8:$B$27,M$4)="",0,COUNTIF(Data!$B802:$U802,INDEX(Pengaturan!$B$8:$B$27,M$4)))</f>
        <v>0</v>
      </c>
      <c r="N802" s="26" t="n">
        <f aca="false">IF(INDEX(Pengaturan!$B$8:$B$27,N$4)="",0,COUNTIF(Data!$B802:$U802,INDEX(Pengaturan!$B$8:$B$27,N$4)))</f>
        <v>0</v>
      </c>
      <c r="O802" s="26" t="n">
        <f aca="false">IF(INDEX(Pengaturan!$B$8:$B$27,O$4)="",0,COUNTIF(Data!$B802:$U802,INDEX(Pengaturan!$B$8:$B$27,O$4)))</f>
        <v>0</v>
      </c>
      <c r="P802" s="26" t="n">
        <f aca="false">IF(INDEX(Pengaturan!$B$8:$B$27,P$4)="",0,COUNTIF(Data!$B802:$U802,INDEX(Pengaturan!$B$8:$B$27,P$4)))</f>
        <v>0</v>
      </c>
      <c r="Q802" s="26" t="n">
        <f aca="false">IF(INDEX(Pengaturan!$B$8:$B$27,Q$4)="",0,COUNTIF(Data!$B802:$U802,INDEX(Pengaturan!$B$8:$B$27,Q$4)))</f>
        <v>0</v>
      </c>
      <c r="R802" s="26" t="n">
        <f aca="false">IF(INDEX(Pengaturan!$B$8:$B$27,R$4)="",0,COUNTIF(Data!$B802:$U802,INDEX(Pengaturan!$B$8:$B$27,R$4)))</f>
        <v>0</v>
      </c>
      <c r="S802" s="26" t="n">
        <f aca="false">IF(INDEX(Pengaturan!$B$8:$B$27,S$4)="",0,COUNTIF(Data!$B802:$U802,INDEX(Pengaturan!$B$8:$B$27,S$4)))</f>
        <v>0</v>
      </c>
      <c r="T802" s="26" t="n">
        <f aca="false">IF(INDEX(Pengaturan!$B$8:$B$27,T$4)="",0,COUNTIF(Data!$B802:$U802,INDEX(Pengaturan!$B$8:$B$27,T$4)))</f>
        <v>0</v>
      </c>
      <c r="U802" s="26" t="n">
        <f aca="false">IF(INDEX(Pengaturan!$B$8:$B$27,U$4)="",0,COUNTIF(Data!$B802:$U802,INDEX(Pengaturan!$B$8:$B$27,U$4)))</f>
        <v>0</v>
      </c>
      <c r="V802" s="26" t="n">
        <f aca="false">COUNTA(Data!$B802:$U802)</f>
        <v>0</v>
      </c>
      <c r="W802" s="27" t="str">
        <f aca="false">IF(V802=0,"",IF(V802&lt;&gt;Hasil!$C$4,"Data kosong/tidak lengkap",IF(SUM(B802:U802)&lt;&gt;V802,"Kategori tidak dikenal","OK")))</f>
        <v/>
      </c>
      <c r="X802" s="26" t="n">
        <f aca="false">IF(OR(W802="",W802="OK"),0,1)</f>
        <v>0</v>
      </c>
    </row>
    <row r="803" customFormat="false" ht="15" hidden="false" customHeight="false" outlineLevel="0" collapsed="false">
      <c r="A803" s="26" t="n">
        <f aca="false">Data!A803</f>
        <v>798</v>
      </c>
      <c r="B803" s="26" t="n">
        <f aca="false">IF(INDEX(Pengaturan!$B$8:$B$27,B$4)="",0,COUNTIF(Data!$B803:$U803,INDEX(Pengaturan!$B$8:$B$27,B$4)))</f>
        <v>0</v>
      </c>
      <c r="C803" s="26" t="n">
        <f aca="false">IF(INDEX(Pengaturan!$B$8:$B$27,C$4)="",0,COUNTIF(Data!$B803:$U803,INDEX(Pengaturan!$B$8:$B$27,C$4)))</f>
        <v>0</v>
      </c>
      <c r="D803" s="26" t="n">
        <f aca="false">IF(INDEX(Pengaturan!$B$8:$B$27,D$4)="",0,COUNTIF(Data!$B803:$U803,INDEX(Pengaturan!$B$8:$B$27,D$4)))</f>
        <v>0</v>
      </c>
      <c r="E803" s="26" t="n">
        <f aca="false">IF(INDEX(Pengaturan!$B$8:$B$27,E$4)="",0,COUNTIF(Data!$B803:$U803,INDEX(Pengaturan!$B$8:$B$27,E$4)))</f>
        <v>0</v>
      </c>
      <c r="F803" s="26" t="n">
        <f aca="false">IF(INDEX(Pengaturan!$B$8:$B$27,F$4)="",0,COUNTIF(Data!$B803:$U803,INDEX(Pengaturan!$B$8:$B$27,F$4)))</f>
        <v>0</v>
      </c>
      <c r="G803" s="26" t="n">
        <f aca="false">IF(INDEX(Pengaturan!$B$8:$B$27,G$4)="",0,COUNTIF(Data!$B803:$U803,INDEX(Pengaturan!$B$8:$B$27,G$4)))</f>
        <v>0</v>
      </c>
      <c r="H803" s="26" t="n">
        <f aca="false">IF(INDEX(Pengaturan!$B$8:$B$27,H$4)="",0,COUNTIF(Data!$B803:$U803,INDEX(Pengaturan!$B$8:$B$27,H$4)))</f>
        <v>0</v>
      </c>
      <c r="I803" s="26" t="n">
        <f aca="false">IF(INDEX(Pengaturan!$B$8:$B$27,I$4)="",0,COUNTIF(Data!$B803:$U803,INDEX(Pengaturan!$B$8:$B$27,I$4)))</f>
        <v>0</v>
      </c>
      <c r="J803" s="26" t="n">
        <f aca="false">IF(INDEX(Pengaturan!$B$8:$B$27,J$4)="",0,COUNTIF(Data!$B803:$U803,INDEX(Pengaturan!$B$8:$B$27,J$4)))</f>
        <v>0</v>
      </c>
      <c r="K803" s="26" t="n">
        <f aca="false">IF(INDEX(Pengaturan!$B$8:$B$27,K$4)="",0,COUNTIF(Data!$B803:$U803,INDEX(Pengaturan!$B$8:$B$27,K$4)))</f>
        <v>0</v>
      </c>
      <c r="L803" s="26" t="n">
        <f aca="false">IF(INDEX(Pengaturan!$B$8:$B$27,L$4)="",0,COUNTIF(Data!$B803:$U803,INDEX(Pengaturan!$B$8:$B$27,L$4)))</f>
        <v>0</v>
      </c>
      <c r="M803" s="26" t="n">
        <f aca="false">IF(INDEX(Pengaturan!$B$8:$B$27,M$4)="",0,COUNTIF(Data!$B803:$U803,INDEX(Pengaturan!$B$8:$B$27,M$4)))</f>
        <v>0</v>
      </c>
      <c r="N803" s="26" t="n">
        <f aca="false">IF(INDEX(Pengaturan!$B$8:$B$27,N$4)="",0,COUNTIF(Data!$B803:$U803,INDEX(Pengaturan!$B$8:$B$27,N$4)))</f>
        <v>0</v>
      </c>
      <c r="O803" s="26" t="n">
        <f aca="false">IF(INDEX(Pengaturan!$B$8:$B$27,O$4)="",0,COUNTIF(Data!$B803:$U803,INDEX(Pengaturan!$B$8:$B$27,O$4)))</f>
        <v>0</v>
      </c>
      <c r="P803" s="26" t="n">
        <f aca="false">IF(INDEX(Pengaturan!$B$8:$B$27,P$4)="",0,COUNTIF(Data!$B803:$U803,INDEX(Pengaturan!$B$8:$B$27,P$4)))</f>
        <v>0</v>
      </c>
      <c r="Q803" s="26" t="n">
        <f aca="false">IF(INDEX(Pengaturan!$B$8:$B$27,Q$4)="",0,COUNTIF(Data!$B803:$U803,INDEX(Pengaturan!$B$8:$B$27,Q$4)))</f>
        <v>0</v>
      </c>
      <c r="R803" s="26" t="n">
        <f aca="false">IF(INDEX(Pengaturan!$B$8:$B$27,R$4)="",0,COUNTIF(Data!$B803:$U803,INDEX(Pengaturan!$B$8:$B$27,R$4)))</f>
        <v>0</v>
      </c>
      <c r="S803" s="26" t="n">
        <f aca="false">IF(INDEX(Pengaturan!$B$8:$B$27,S$4)="",0,COUNTIF(Data!$B803:$U803,INDEX(Pengaturan!$B$8:$B$27,S$4)))</f>
        <v>0</v>
      </c>
      <c r="T803" s="26" t="n">
        <f aca="false">IF(INDEX(Pengaturan!$B$8:$B$27,T$4)="",0,COUNTIF(Data!$B803:$U803,INDEX(Pengaturan!$B$8:$B$27,T$4)))</f>
        <v>0</v>
      </c>
      <c r="U803" s="26" t="n">
        <f aca="false">IF(INDEX(Pengaturan!$B$8:$B$27,U$4)="",0,COUNTIF(Data!$B803:$U803,INDEX(Pengaturan!$B$8:$B$27,U$4)))</f>
        <v>0</v>
      </c>
      <c r="V803" s="26" t="n">
        <f aca="false">COUNTA(Data!$B803:$U803)</f>
        <v>0</v>
      </c>
      <c r="W803" s="27" t="str">
        <f aca="false">IF(V803=0,"",IF(V803&lt;&gt;Hasil!$C$4,"Data kosong/tidak lengkap",IF(SUM(B803:U803)&lt;&gt;V803,"Kategori tidak dikenal","OK")))</f>
        <v/>
      </c>
      <c r="X803" s="26" t="n">
        <f aca="false">IF(OR(W803="",W803="OK"),0,1)</f>
        <v>0</v>
      </c>
    </row>
    <row r="804" customFormat="false" ht="15" hidden="false" customHeight="false" outlineLevel="0" collapsed="false">
      <c r="A804" s="26" t="n">
        <f aca="false">Data!A804</f>
        <v>799</v>
      </c>
      <c r="B804" s="26" t="n">
        <f aca="false">IF(INDEX(Pengaturan!$B$8:$B$27,B$4)="",0,COUNTIF(Data!$B804:$U804,INDEX(Pengaturan!$B$8:$B$27,B$4)))</f>
        <v>0</v>
      </c>
      <c r="C804" s="26" t="n">
        <f aca="false">IF(INDEX(Pengaturan!$B$8:$B$27,C$4)="",0,COUNTIF(Data!$B804:$U804,INDEX(Pengaturan!$B$8:$B$27,C$4)))</f>
        <v>0</v>
      </c>
      <c r="D804" s="26" t="n">
        <f aca="false">IF(INDEX(Pengaturan!$B$8:$B$27,D$4)="",0,COUNTIF(Data!$B804:$U804,INDEX(Pengaturan!$B$8:$B$27,D$4)))</f>
        <v>0</v>
      </c>
      <c r="E804" s="26" t="n">
        <f aca="false">IF(INDEX(Pengaturan!$B$8:$B$27,E$4)="",0,COUNTIF(Data!$B804:$U804,INDEX(Pengaturan!$B$8:$B$27,E$4)))</f>
        <v>0</v>
      </c>
      <c r="F804" s="26" t="n">
        <f aca="false">IF(INDEX(Pengaturan!$B$8:$B$27,F$4)="",0,COUNTIF(Data!$B804:$U804,INDEX(Pengaturan!$B$8:$B$27,F$4)))</f>
        <v>0</v>
      </c>
      <c r="G804" s="26" t="n">
        <f aca="false">IF(INDEX(Pengaturan!$B$8:$B$27,G$4)="",0,COUNTIF(Data!$B804:$U804,INDEX(Pengaturan!$B$8:$B$27,G$4)))</f>
        <v>0</v>
      </c>
      <c r="H804" s="26" t="n">
        <f aca="false">IF(INDEX(Pengaturan!$B$8:$B$27,H$4)="",0,COUNTIF(Data!$B804:$U804,INDEX(Pengaturan!$B$8:$B$27,H$4)))</f>
        <v>0</v>
      </c>
      <c r="I804" s="26" t="n">
        <f aca="false">IF(INDEX(Pengaturan!$B$8:$B$27,I$4)="",0,COUNTIF(Data!$B804:$U804,INDEX(Pengaturan!$B$8:$B$27,I$4)))</f>
        <v>0</v>
      </c>
      <c r="J804" s="26" t="n">
        <f aca="false">IF(INDEX(Pengaturan!$B$8:$B$27,J$4)="",0,COUNTIF(Data!$B804:$U804,INDEX(Pengaturan!$B$8:$B$27,J$4)))</f>
        <v>0</v>
      </c>
      <c r="K804" s="26" t="n">
        <f aca="false">IF(INDEX(Pengaturan!$B$8:$B$27,K$4)="",0,COUNTIF(Data!$B804:$U804,INDEX(Pengaturan!$B$8:$B$27,K$4)))</f>
        <v>0</v>
      </c>
      <c r="L804" s="26" t="n">
        <f aca="false">IF(INDEX(Pengaturan!$B$8:$B$27,L$4)="",0,COUNTIF(Data!$B804:$U804,INDEX(Pengaturan!$B$8:$B$27,L$4)))</f>
        <v>0</v>
      </c>
      <c r="M804" s="26" t="n">
        <f aca="false">IF(INDEX(Pengaturan!$B$8:$B$27,M$4)="",0,COUNTIF(Data!$B804:$U804,INDEX(Pengaturan!$B$8:$B$27,M$4)))</f>
        <v>0</v>
      </c>
      <c r="N804" s="26" t="n">
        <f aca="false">IF(INDEX(Pengaturan!$B$8:$B$27,N$4)="",0,COUNTIF(Data!$B804:$U804,INDEX(Pengaturan!$B$8:$B$27,N$4)))</f>
        <v>0</v>
      </c>
      <c r="O804" s="26" t="n">
        <f aca="false">IF(INDEX(Pengaturan!$B$8:$B$27,O$4)="",0,COUNTIF(Data!$B804:$U804,INDEX(Pengaturan!$B$8:$B$27,O$4)))</f>
        <v>0</v>
      </c>
      <c r="P804" s="26" t="n">
        <f aca="false">IF(INDEX(Pengaturan!$B$8:$B$27,P$4)="",0,COUNTIF(Data!$B804:$U804,INDEX(Pengaturan!$B$8:$B$27,P$4)))</f>
        <v>0</v>
      </c>
      <c r="Q804" s="26" t="n">
        <f aca="false">IF(INDEX(Pengaturan!$B$8:$B$27,Q$4)="",0,COUNTIF(Data!$B804:$U804,INDEX(Pengaturan!$B$8:$B$27,Q$4)))</f>
        <v>0</v>
      </c>
      <c r="R804" s="26" t="n">
        <f aca="false">IF(INDEX(Pengaturan!$B$8:$B$27,R$4)="",0,COUNTIF(Data!$B804:$U804,INDEX(Pengaturan!$B$8:$B$27,R$4)))</f>
        <v>0</v>
      </c>
      <c r="S804" s="26" t="n">
        <f aca="false">IF(INDEX(Pengaturan!$B$8:$B$27,S$4)="",0,COUNTIF(Data!$B804:$U804,INDEX(Pengaturan!$B$8:$B$27,S$4)))</f>
        <v>0</v>
      </c>
      <c r="T804" s="26" t="n">
        <f aca="false">IF(INDEX(Pengaturan!$B$8:$B$27,T$4)="",0,COUNTIF(Data!$B804:$U804,INDEX(Pengaturan!$B$8:$B$27,T$4)))</f>
        <v>0</v>
      </c>
      <c r="U804" s="26" t="n">
        <f aca="false">IF(INDEX(Pengaturan!$B$8:$B$27,U$4)="",0,COUNTIF(Data!$B804:$U804,INDEX(Pengaturan!$B$8:$B$27,U$4)))</f>
        <v>0</v>
      </c>
      <c r="V804" s="26" t="n">
        <f aca="false">COUNTA(Data!$B804:$U804)</f>
        <v>0</v>
      </c>
      <c r="W804" s="27" t="str">
        <f aca="false">IF(V804=0,"",IF(V804&lt;&gt;Hasil!$C$4,"Data kosong/tidak lengkap",IF(SUM(B804:U804)&lt;&gt;V804,"Kategori tidak dikenal","OK")))</f>
        <v/>
      </c>
      <c r="X804" s="26" t="n">
        <f aca="false">IF(OR(W804="",W804="OK"),0,1)</f>
        <v>0</v>
      </c>
    </row>
    <row r="805" customFormat="false" ht="15" hidden="false" customHeight="false" outlineLevel="0" collapsed="false">
      <c r="A805" s="26" t="n">
        <f aca="false">Data!A805</f>
        <v>800</v>
      </c>
      <c r="B805" s="26" t="n">
        <f aca="false">IF(INDEX(Pengaturan!$B$8:$B$27,B$4)="",0,COUNTIF(Data!$B805:$U805,INDEX(Pengaturan!$B$8:$B$27,B$4)))</f>
        <v>0</v>
      </c>
      <c r="C805" s="26" t="n">
        <f aca="false">IF(INDEX(Pengaturan!$B$8:$B$27,C$4)="",0,COUNTIF(Data!$B805:$U805,INDEX(Pengaturan!$B$8:$B$27,C$4)))</f>
        <v>0</v>
      </c>
      <c r="D805" s="26" t="n">
        <f aca="false">IF(INDEX(Pengaturan!$B$8:$B$27,D$4)="",0,COUNTIF(Data!$B805:$U805,INDEX(Pengaturan!$B$8:$B$27,D$4)))</f>
        <v>0</v>
      </c>
      <c r="E805" s="26" t="n">
        <f aca="false">IF(INDEX(Pengaturan!$B$8:$B$27,E$4)="",0,COUNTIF(Data!$B805:$U805,INDEX(Pengaturan!$B$8:$B$27,E$4)))</f>
        <v>0</v>
      </c>
      <c r="F805" s="26" t="n">
        <f aca="false">IF(INDEX(Pengaturan!$B$8:$B$27,F$4)="",0,COUNTIF(Data!$B805:$U805,INDEX(Pengaturan!$B$8:$B$27,F$4)))</f>
        <v>0</v>
      </c>
      <c r="G805" s="26" t="n">
        <f aca="false">IF(INDEX(Pengaturan!$B$8:$B$27,G$4)="",0,COUNTIF(Data!$B805:$U805,INDEX(Pengaturan!$B$8:$B$27,G$4)))</f>
        <v>0</v>
      </c>
      <c r="H805" s="26" t="n">
        <f aca="false">IF(INDEX(Pengaturan!$B$8:$B$27,H$4)="",0,COUNTIF(Data!$B805:$U805,INDEX(Pengaturan!$B$8:$B$27,H$4)))</f>
        <v>0</v>
      </c>
      <c r="I805" s="26" t="n">
        <f aca="false">IF(INDEX(Pengaturan!$B$8:$B$27,I$4)="",0,COUNTIF(Data!$B805:$U805,INDEX(Pengaturan!$B$8:$B$27,I$4)))</f>
        <v>0</v>
      </c>
      <c r="J805" s="26" t="n">
        <f aca="false">IF(INDEX(Pengaturan!$B$8:$B$27,J$4)="",0,COUNTIF(Data!$B805:$U805,INDEX(Pengaturan!$B$8:$B$27,J$4)))</f>
        <v>0</v>
      </c>
      <c r="K805" s="26" t="n">
        <f aca="false">IF(INDEX(Pengaturan!$B$8:$B$27,K$4)="",0,COUNTIF(Data!$B805:$U805,INDEX(Pengaturan!$B$8:$B$27,K$4)))</f>
        <v>0</v>
      </c>
      <c r="L805" s="26" t="n">
        <f aca="false">IF(INDEX(Pengaturan!$B$8:$B$27,L$4)="",0,COUNTIF(Data!$B805:$U805,INDEX(Pengaturan!$B$8:$B$27,L$4)))</f>
        <v>0</v>
      </c>
      <c r="M805" s="26" t="n">
        <f aca="false">IF(INDEX(Pengaturan!$B$8:$B$27,M$4)="",0,COUNTIF(Data!$B805:$U805,INDEX(Pengaturan!$B$8:$B$27,M$4)))</f>
        <v>0</v>
      </c>
      <c r="N805" s="26" t="n">
        <f aca="false">IF(INDEX(Pengaturan!$B$8:$B$27,N$4)="",0,COUNTIF(Data!$B805:$U805,INDEX(Pengaturan!$B$8:$B$27,N$4)))</f>
        <v>0</v>
      </c>
      <c r="O805" s="26" t="n">
        <f aca="false">IF(INDEX(Pengaturan!$B$8:$B$27,O$4)="",0,COUNTIF(Data!$B805:$U805,INDEX(Pengaturan!$B$8:$B$27,O$4)))</f>
        <v>0</v>
      </c>
      <c r="P805" s="26" t="n">
        <f aca="false">IF(INDEX(Pengaturan!$B$8:$B$27,P$4)="",0,COUNTIF(Data!$B805:$U805,INDEX(Pengaturan!$B$8:$B$27,P$4)))</f>
        <v>0</v>
      </c>
      <c r="Q805" s="26" t="n">
        <f aca="false">IF(INDEX(Pengaturan!$B$8:$B$27,Q$4)="",0,COUNTIF(Data!$B805:$U805,INDEX(Pengaturan!$B$8:$B$27,Q$4)))</f>
        <v>0</v>
      </c>
      <c r="R805" s="26" t="n">
        <f aca="false">IF(INDEX(Pengaturan!$B$8:$B$27,R$4)="",0,COUNTIF(Data!$B805:$U805,INDEX(Pengaturan!$B$8:$B$27,R$4)))</f>
        <v>0</v>
      </c>
      <c r="S805" s="26" t="n">
        <f aca="false">IF(INDEX(Pengaturan!$B$8:$B$27,S$4)="",0,COUNTIF(Data!$B805:$U805,INDEX(Pengaturan!$B$8:$B$27,S$4)))</f>
        <v>0</v>
      </c>
      <c r="T805" s="26" t="n">
        <f aca="false">IF(INDEX(Pengaturan!$B$8:$B$27,T$4)="",0,COUNTIF(Data!$B805:$U805,INDEX(Pengaturan!$B$8:$B$27,T$4)))</f>
        <v>0</v>
      </c>
      <c r="U805" s="26" t="n">
        <f aca="false">IF(INDEX(Pengaturan!$B$8:$B$27,U$4)="",0,COUNTIF(Data!$B805:$U805,INDEX(Pengaturan!$B$8:$B$27,U$4)))</f>
        <v>0</v>
      </c>
      <c r="V805" s="26" t="n">
        <f aca="false">COUNTA(Data!$B805:$U805)</f>
        <v>0</v>
      </c>
      <c r="W805" s="27" t="str">
        <f aca="false">IF(V805=0,"",IF(V805&lt;&gt;Hasil!$C$4,"Data kosong/tidak lengkap",IF(SUM(B805:U805)&lt;&gt;V805,"Kategori tidak dikenal","OK")))</f>
        <v/>
      </c>
      <c r="X805" s="26" t="n">
        <f aca="false">IF(OR(W805="",W805="OK"),0,1)</f>
        <v>0</v>
      </c>
    </row>
    <row r="806" customFormat="false" ht="15" hidden="false" customHeight="false" outlineLevel="0" collapsed="false">
      <c r="A806" s="26" t="n">
        <f aca="false">Data!A806</f>
        <v>801</v>
      </c>
      <c r="B806" s="26" t="n">
        <f aca="false">IF(INDEX(Pengaturan!$B$8:$B$27,B$4)="",0,COUNTIF(Data!$B806:$U806,INDEX(Pengaturan!$B$8:$B$27,B$4)))</f>
        <v>0</v>
      </c>
      <c r="C806" s="26" t="n">
        <f aca="false">IF(INDEX(Pengaturan!$B$8:$B$27,C$4)="",0,COUNTIF(Data!$B806:$U806,INDEX(Pengaturan!$B$8:$B$27,C$4)))</f>
        <v>0</v>
      </c>
      <c r="D806" s="26" t="n">
        <f aca="false">IF(INDEX(Pengaturan!$B$8:$B$27,D$4)="",0,COUNTIF(Data!$B806:$U806,INDEX(Pengaturan!$B$8:$B$27,D$4)))</f>
        <v>0</v>
      </c>
      <c r="E806" s="26" t="n">
        <f aca="false">IF(INDEX(Pengaturan!$B$8:$B$27,E$4)="",0,COUNTIF(Data!$B806:$U806,INDEX(Pengaturan!$B$8:$B$27,E$4)))</f>
        <v>0</v>
      </c>
      <c r="F806" s="26" t="n">
        <f aca="false">IF(INDEX(Pengaturan!$B$8:$B$27,F$4)="",0,COUNTIF(Data!$B806:$U806,INDEX(Pengaturan!$B$8:$B$27,F$4)))</f>
        <v>0</v>
      </c>
      <c r="G806" s="26" t="n">
        <f aca="false">IF(INDEX(Pengaturan!$B$8:$B$27,G$4)="",0,COUNTIF(Data!$B806:$U806,INDEX(Pengaturan!$B$8:$B$27,G$4)))</f>
        <v>0</v>
      </c>
      <c r="H806" s="26" t="n">
        <f aca="false">IF(INDEX(Pengaturan!$B$8:$B$27,H$4)="",0,COUNTIF(Data!$B806:$U806,INDEX(Pengaturan!$B$8:$B$27,H$4)))</f>
        <v>0</v>
      </c>
      <c r="I806" s="26" t="n">
        <f aca="false">IF(INDEX(Pengaturan!$B$8:$B$27,I$4)="",0,COUNTIF(Data!$B806:$U806,INDEX(Pengaturan!$B$8:$B$27,I$4)))</f>
        <v>0</v>
      </c>
      <c r="J806" s="26" t="n">
        <f aca="false">IF(INDEX(Pengaturan!$B$8:$B$27,J$4)="",0,COUNTIF(Data!$B806:$U806,INDEX(Pengaturan!$B$8:$B$27,J$4)))</f>
        <v>0</v>
      </c>
      <c r="K806" s="26" t="n">
        <f aca="false">IF(INDEX(Pengaturan!$B$8:$B$27,K$4)="",0,COUNTIF(Data!$B806:$U806,INDEX(Pengaturan!$B$8:$B$27,K$4)))</f>
        <v>0</v>
      </c>
      <c r="L806" s="26" t="n">
        <f aca="false">IF(INDEX(Pengaturan!$B$8:$B$27,L$4)="",0,COUNTIF(Data!$B806:$U806,INDEX(Pengaturan!$B$8:$B$27,L$4)))</f>
        <v>0</v>
      </c>
      <c r="M806" s="26" t="n">
        <f aca="false">IF(INDEX(Pengaturan!$B$8:$B$27,M$4)="",0,COUNTIF(Data!$B806:$U806,INDEX(Pengaturan!$B$8:$B$27,M$4)))</f>
        <v>0</v>
      </c>
      <c r="N806" s="26" t="n">
        <f aca="false">IF(INDEX(Pengaturan!$B$8:$B$27,N$4)="",0,COUNTIF(Data!$B806:$U806,INDEX(Pengaturan!$B$8:$B$27,N$4)))</f>
        <v>0</v>
      </c>
      <c r="O806" s="26" t="n">
        <f aca="false">IF(INDEX(Pengaturan!$B$8:$B$27,O$4)="",0,COUNTIF(Data!$B806:$U806,INDEX(Pengaturan!$B$8:$B$27,O$4)))</f>
        <v>0</v>
      </c>
      <c r="P806" s="26" t="n">
        <f aca="false">IF(INDEX(Pengaturan!$B$8:$B$27,P$4)="",0,COUNTIF(Data!$B806:$U806,INDEX(Pengaturan!$B$8:$B$27,P$4)))</f>
        <v>0</v>
      </c>
      <c r="Q806" s="26" t="n">
        <f aca="false">IF(INDEX(Pengaturan!$B$8:$B$27,Q$4)="",0,COUNTIF(Data!$B806:$U806,INDEX(Pengaturan!$B$8:$B$27,Q$4)))</f>
        <v>0</v>
      </c>
      <c r="R806" s="26" t="n">
        <f aca="false">IF(INDEX(Pengaturan!$B$8:$B$27,R$4)="",0,COUNTIF(Data!$B806:$U806,INDEX(Pengaturan!$B$8:$B$27,R$4)))</f>
        <v>0</v>
      </c>
      <c r="S806" s="26" t="n">
        <f aca="false">IF(INDEX(Pengaturan!$B$8:$B$27,S$4)="",0,COUNTIF(Data!$B806:$U806,INDEX(Pengaturan!$B$8:$B$27,S$4)))</f>
        <v>0</v>
      </c>
      <c r="T806" s="26" t="n">
        <f aca="false">IF(INDEX(Pengaturan!$B$8:$B$27,T$4)="",0,COUNTIF(Data!$B806:$U806,INDEX(Pengaturan!$B$8:$B$27,T$4)))</f>
        <v>0</v>
      </c>
      <c r="U806" s="26" t="n">
        <f aca="false">IF(INDEX(Pengaturan!$B$8:$B$27,U$4)="",0,COUNTIF(Data!$B806:$U806,INDEX(Pengaturan!$B$8:$B$27,U$4)))</f>
        <v>0</v>
      </c>
      <c r="V806" s="26" t="n">
        <f aca="false">COUNTA(Data!$B806:$U806)</f>
        <v>0</v>
      </c>
      <c r="W806" s="27" t="str">
        <f aca="false">IF(V806=0,"",IF(V806&lt;&gt;Hasil!$C$4,"Data kosong/tidak lengkap",IF(SUM(B806:U806)&lt;&gt;V806,"Kategori tidak dikenal","OK")))</f>
        <v/>
      </c>
      <c r="X806" s="26" t="n">
        <f aca="false">IF(OR(W806="",W806="OK"),0,1)</f>
        <v>0</v>
      </c>
    </row>
    <row r="807" customFormat="false" ht="15" hidden="false" customHeight="false" outlineLevel="0" collapsed="false">
      <c r="A807" s="26" t="n">
        <f aca="false">Data!A807</f>
        <v>802</v>
      </c>
      <c r="B807" s="26" t="n">
        <f aca="false">IF(INDEX(Pengaturan!$B$8:$B$27,B$4)="",0,COUNTIF(Data!$B807:$U807,INDEX(Pengaturan!$B$8:$B$27,B$4)))</f>
        <v>0</v>
      </c>
      <c r="C807" s="26" t="n">
        <f aca="false">IF(INDEX(Pengaturan!$B$8:$B$27,C$4)="",0,COUNTIF(Data!$B807:$U807,INDEX(Pengaturan!$B$8:$B$27,C$4)))</f>
        <v>0</v>
      </c>
      <c r="D807" s="26" t="n">
        <f aca="false">IF(INDEX(Pengaturan!$B$8:$B$27,D$4)="",0,COUNTIF(Data!$B807:$U807,INDEX(Pengaturan!$B$8:$B$27,D$4)))</f>
        <v>0</v>
      </c>
      <c r="E807" s="26" t="n">
        <f aca="false">IF(INDEX(Pengaturan!$B$8:$B$27,E$4)="",0,COUNTIF(Data!$B807:$U807,INDEX(Pengaturan!$B$8:$B$27,E$4)))</f>
        <v>0</v>
      </c>
      <c r="F807" s="26" t="n">
        <f aca="false">IF(INDEX(Pengaturan!$B$8:$B$27,F$4)="",0,COUNTIF(Data!$B807:$U807,INDEX(Pengaturan!$B$8:$B$27,F$4)))</f>
        <v>0</v>
      </c>
      <c r="G807" s="26" t="n">
        <f aca="false">IF(INDEX(Pengaturan!$B$8:$B$27,G$4)="",0,COUNTIF(Data!$B807:$U807,INDEX(Pengaturan!$B$8:$B$27,G$4)))</f>
        <v>0</v>
      </c>
      <c r="H807" s="26" t="n">
        <f aca="false">IF(INDEX(Pengaturan!$B$8:$B$27,H$4)="",0,COUNTIF(Data!$B807:$U807,INDEX(Pengaturan!$B$8:$B$27,H$4)))</f>
        <v>0</v>
      </c>
      <c r="I807" s="26" t="n">
        <f aca="false">IF(INDEX(Pengaturan!$B$8:$B$27,I$4)="",0,COUNTIF(Data!$B807:$U807,INDEX(Pengaturan!$B$8:$B$27,I$4)))</f>
        <v>0</v>
      </c>
      <c r="J807" s="26" t="n">
        <f aca="false">IF(INDEX(Pengaturan!$B$8:$B$27,J$4)="",0,COUNTIF(Data!$B807:$U807,INDEX(Pengaturan!$B$8:$B$27,J$4)))</f>
        <v>0</v>
      </c>
      <c r="K807" s="26" t="n">
        <f aca="false">IF(INDEX(Pengaturan!$B$8:$B$27,K$4)="",0,COUNTIF(Data!$B807:$U807,INDEX(Pengaturan!$B$8:$B$27,K$4)))</f>
        <v>0</v>
      </c>
      <c r="L807" s="26" t="n">
        <f aca="false">IF(INDEX(Pengaturan!$B$8:$B$27,L$4)="",0,COUNTIF(Data!$B807:$U807,INDEX(Pengaturan!$B$8:$B$27,L$4)))</f>
        <v>0</v>
      </c>
      <c r="M807" s="26" t="n">
        <f aca="false">IF(INDEX(Pengaturan!$B$8:$B$27,M$4)="",0,COUNTIF(Data!$B807:$U807,INDEX(Pengaturan!$B$8:$B$27,M$4)))</f>
        <v>0</v>
      </c>
      <c r="N807" s="26" t="n">
        <f aca="false">IF(INDEX(Pengaturan!$B$8:$B$27,N$4)="",0,COUNTIF(Data!$B807:$U807,INDEX(Pengaturan!$B$8:$B$27,N$4)))</f>
        <v>0</v>
      </c>
      <c r="O807" s="26" t="n">
        <f aca="false">IF(INDEX(Pengaturan!$B$8:$B$27,O$4)="",0,COUNTIF(Data!$B807:$U807,INDEX(Pengaturan!$B$8:$B$27,O$4)))</f>
        <v>0</v>
      </c>
      <c r="P807" s="26" t="n">
        <f aca="false">IF(INDEX(Pengaturan!$B$8:$B$27,P$4)="",0,COUNTIF(Data!$B807:$U807,INDEX(Pengaturan!$B$8:$B$27,P$4)))</f>
        <v>0</v>
      </c>
      <c r="Q807" s="26" t="n">
        <f aca="false">IF(INDEX(Pengaturan!$B$8:$B$27,Q$4)="",0,COUNTIF(Data!$B807:$U807,INDEX(Pengaturan!$B$8:$B$27,Q$4)))</f>
        <v>0</v>
      </c>
      <c r="R807" s="26" t="n">
        <f aca="false">IF(INDEX(Pengaturan!$B$8:$B$27,R$4)="",0,COUNTIF(Data!$B807:$U807,INDEX(Pengaturan!$B$8:$B$27,R$4)))</f>
        <v>0</v>
      </c>
      <c r="S807" s="26" t="n">
        <f aca="false">IF(INDEX(Pengaturan!$B$8:$B$27,S$4)="",0,COUNTIF(Data!$B807:$U807,INDEX(Pengaturan!$B$8:$B$27,S$4)))</f>
        <v>0</v>
      </c>
      <c r="T807" s="26" t="n">
        <f aca="false">IF(INDEX(Pengaturan!$B$8:$B$27,T$4)="",0,COUNTIF(Data!$B807:$U807,INDEX(Pengaturan!$B$8:$B$27,T$4)))</f>
        <v>0</v>
      </c>
      <c r="U807" s="26" t="n">
        <f aca="false">IF(INDEX(Pengaturan!$B$8:$B$27,U$4)="",0,COUNTIF(Data!$B807:$U807,INDEX(Pengaturan!$B$8:$B$27,U$4)))</f>
        <v>0</v>
      </c>
      <c r="V807" s="26" t="n">
        <f aca="false">COUNTA(Data!$B807:$U807)</f>
        <v>0</v>
      </c>
      <c r="W807" s="27" t="str">
        <f aca="false">IF(V807=0,"",IF(V807&lt;&gt;Hasil!$C$4,"Data kosong/tidak lengkap",IF(SUM(B807:U807)&lt;&gt;V807,"Kategori tidak dikenal","OK")))</f>
        <v/>
      </c>
      <c r="X807" s="26" t="n">
        <f aca="false">IF(OR(W807="",W807="OK"),0,1)</f>
        <v>0</v>
      </c>
    </row>
    <row r="808" customFormat="false" ht="15" hidden="false" customHeight="false" outlineLevel="0" collapsed="false">
      <c r="A808" s="26" t="n">
        <f aca="false">Data!A808</f>
        <v>803</v>
      </c>
      <c r="B808" s="26" t="n">
        <f aca="false">IF(INDEX(Pengaturan!$B$8:$B$27,B$4)="",0,COUNTIF(Data!$B808:$U808,INDEX(Pengaturan!$B$8:$B$27,B$4)))</f>
        <v>0</v>
      </c>
      <c r="C808" s="26" t="n">
        <f aca="false">IF(INDEX(Pengaturan!$B$8:$B$27,C$4)="",0,COUNTIF(Data!$B808:$U808,INDEX(Pengaturan!$B$8:$B$27,C$4)))</f>
        <v>0</v>
      </c>
      <c r="D808" s="26" t="n">
        <f aca="false">IF(INDEX(Pengaturan!$B$8:$B$27,D$4)="",0,COUNTIF(Data!$B808:$U808,INDEX(Pengaturan!$B$8:$B$27,D$4)))</f>
        <v>0</v>
      </c>
      <c r="E808" s="26" t="n">
        <f aca="false">IF(INDEX(Pengaturan!$B$8:$B$27,E$4)="",0,COUNTIF(Data!$B808:$U808,INDEX(Pengaturan!$B$8:$B$27,E$4)))</f>
        <v>0</v>
      </c>
      <c r="F808" s="26" t="n">
        <f aca="false">IF(INDEX(Pengaturan!$B$8:$B$27,F$4)="",0,COUNTIF(Data!$B808:$U808,INDEX(Pengaturan!$B$8:$B$27,F$4)))</f>
        <v>0</v>
      </c>
      <c r="G808" s="26" t="n">
        <f aca="false">IF(INDEX(Pengaturan!$B$8:$B$27,G$4)="",0,COUNTIF(Data!$B808:$U808,INDEX(Pengaturan!$B$8:$B$27,G$4)))</f>
        <v>0</v>
      </c>
      <c r="H808" s="26" t="n">
        <f aca="false">IF(INDEX(Pengaturan!$B$8:$B$27,H$4)="",0,COUNTIF(Data!$B808:$U808,INDEX(Pengaturan!$B$8:$B$27,H$4)))</f>
        <v>0</v>
      </c>
      <c r="I808" s="26" t="n">
        <f aca="false">IF(INDEX(Pengaturan!$B$8:$B$27,I$4)="",0,COUNTIF(Data!$B808:$U808,INDEX(Pengaturan!$B$8:$B$27,I$4)))</f>
        <v>0</v>
      </c>
      <c r="J808" s="26" t="n">
        <f aca="false">IF(INDEX(Pengaturan!$B$8:$B$27,J$4)="",0,COUNTIF(Data!$B808:$U808,INDEX(Pengaturan!$B$8:$B$27,J$4)))</f>
        <v>0</v>
      </c>
      <c r="K808" s="26" t="n">
        <f aca="false">IF(INDEX(Pengaturan!$B$8:$B$27,K$4)="",0,COUNTIF(Data!$B808:$U808,INDEX(Pengaturan!$B$8:$B$27,K$4)))</f>
        <v>0</v>
      </c>
      <c r="L808" s="26" t="n">
        <f aca="false">IF(INDEX(Pengaturan!$B$8:$B$27,L$4)="",0,COUNTIF(Data!$B808:$U808,INDEX(Pengaturan!$B$8:$B$27,L$4)))</f>
        <v>0</v>
      </c>
      <c r="M808" s="26" t="n">
        <f aca="false">IF(INDEX(Pengaturan!$B$8:$B$27,M$4)="",0,COUNTIF(Data!$B808:$U808,INDEX(Pengaturan!$B$8:$B$27,M$4)))</f>
        <v>0</v>
      </c>
      <c r="N808" s="26" t="n">
        <f aca="false">IF(INDEX(Pengaturan!$B$8:$B$27,N$4)="",0,COUNTIF(Data!$B808:$U808,INDEX(Pengaturan!$B$8:$B$27,N$4)))</f>
        <v>0</v>
      </c>
      <c r="O808" s="26" t="n">
        <f aca="false">IF(INDEX(Pengaturan!$B$8:$B$27,O$4)="",0,COUNTIF(Data!$B808:$U808,INDEX(Pengaturan!$B$8:$B$27,O$4)))</f>
        <v>0</v>
      </c>
      <c r="P808" s="26" t="n">
        <f aca="false">IF(INDEX(Pengaturan!$B$8:$B$27,P$4)="",0,COUNTIF(Data!$B808:$U808,INDEX(Pengaturan!$B$8:$B$27,P$4)))</f>
        <v>0</v>
      </c>
      <c r="Q808" s="26" t="n">
        <f aca="false">IF(INDEX(Pengaturan!$B$8:$B$27,Q$4)="",0,COUNTIF(Data!$B808:$U808,INDEX(Pengaturan!$B$8:$B$27,Q$4)))</f>
        <v>0</v>
      </c>
      <c r="R808" s="26" t="n">
        <f aca="false">IF(INDEX(Pengaturan!$B$8:$B$27,R$4)="",0,COUNTIF(Data!$B808:$U808,INDEX(Pengaturan!$B$8:$B$27,R$4)))</f>
        <v>0</v>
      </c>
      <c r="S808" s="26" t="n">
        <f aca="false">IF(INDEX(Pengaturan!$B$8:$B$27,S$4)="",0,COUNTIF(Data!$B808:$U808,INDEX(Pengaturan!$B$8:$B$27,S$4)))</f>
        <v>0</v>
      </c>
      <c r="T808" s="26" t="n">
        <f aca="false">IF(INDEX(Pengaturan!$B$8:$B$27,T$4)="",0,COUNTIF(Data!$B808:$U808,INDEX(Pengaturan!$B$8:$B$27,T$4)))</f>
        <v>0</v>
      </c>
      <c r="U808" s="26" t="n">
        <f aca="false">IF(INDEX(Pengaturan!$B$8:$B$27,U$4)="",0,COUNTIF(Data!$B808:$U808,INDEX(Pengaturan!$B$8:$B$27,U$4)))</f>
        <v>0</v>
      </c>
      <c r="V808" s="26" t="n">
        <f aca="false">COUNTA(Data!$B808:$U808)</f>
        <v>0</v>
      </c>
      <c r="W808" s="27" t="str">
        <f aca="false">IF(V808=0,"",IF(V808&lt;&gt;Hasil!$C$4,"Data kosong/tidak lengkap",IF(SUM(B808:U808)&lt;&gt;V808,"Kategori tidak dikenal","OK")))</f>
        <v/>
      </c>
      <c r="X808" s="26" t="n">
        <f aca="false">IF(OR(W808="",W808="OK"),0,1)</f>
        <v>0</v>
      </c>
    </row>
    <row r="809" customFormat="false" ht="15" hidden="false" customHeight="false" outlineLevel="0" collapsed="false">
      <c r="A809" s="26" t="n">
        <f aca="false">Data!A809</f>
        <v>804</v>
      </c>
      <c r="B809" s="26" t="n">
        <f aca="false">IF(INDEX(Pengaturan!$B$8:$B$27,B$4)="",0,COUNTIF(Data!$B809:$U809,INDEX(Pengaturan!$B$8:$B$27,B$4)))</f>
        <v>0</v>
      </c>
      <c r="C809" s="26" t="n">
        <f aca="false">IF(INDEX(Pengaturan!$B$8:$B$27,C$4)="",0,COUNTIF(Data!$B809:$U809,INDEX(Pengaturan!$B$8:$B$27,C$4)))</f>
        <v>0</v>
      </c>
      <c r="D809" s="26" t="n">
        <f aca="false">IF(INDEX(Pengaturan!$B$8:$B$27,D$4)="",0,COUNTIF(Data!$B809:$U809,INDEX(Pengaturan!$B$8:$B$27,D$4)))</f>
        <v>0</v>
      </c>
      <c r="E809" s="26" t="n">
        <f aca="false">IF(INDEX(Pengaturan!$B$8:$B$27,E$4)="",0,COUNTIF(Data!$B809:$U809,INDEX(Pengaturan!$B$8:$B$27,E$4)))</f>
        <v>0</v>
      </c>
      <c r="F809" s="26" t="n">
        <f aca="false">IF(INDEX(Pengaturan!$B$8:$B$27,F$4)="",0,COUNTIF(Data!$B809:$U809,INDEX(Pengaturan!$B$8:$B$27,F$4)))</f>
        <v>0</v>
      </c>
      <c r="G809" s="26" t="n">
        <f aca="false">IF(INDEX(Pengaturan!$B$8:$B$27,G$4)="",0,COUNTIF(Data!$B809:$U809,INDEX(Pengaturan!$B$8:$B$27,G$4)))</f>
        <v>0</v>
      </c>
      <c r="H809" s="26" t="n">
        <f aca="false">IF(INDEX(Pengaturan!$B$8:$B$27,H$4)="",0,COUNTIF(Data!$B809:$U809,INDEX(Pengaturan!$B$8:$B$27,H$4)))</f>
        <v>0</v>
      </c>
      <c r="I809" s="26" t="n">
        <f aca="false">IF(INDEX(Pengaturan!$B$8:$B$27,I$4)="",0,COUNTIF(Data!$B809:$U809,INDEX(Pengaturan!$B$8:$B$27,I$4)))</f>
        <v>0</v>
      </c>
      <c r="J809" s="26" t="n">
        <f aca="false">IF(INDEX(Pengaturan!$B$8:$B$27,J$4)="",0,COUNTIF(Data!$B809:$U809,INDEX(Pengaturan!$B$8:$B$27,J$4)))</f>
        <v>0</v>
      </c>
      <c r="K809" s="26" t="n">
        <f aca="false">IF(INDEX(Pengaturan!$B$8:$B$27,K$4)="",0,COUNTIF(Data!$B809:$U809,INDEX(Pengaturan!$B$8:$B$27,K$4)))</f>
        <v>0</v>
      </c>
      <c r="L809" s="26" t="n">
        <f aca="false">IF(INDEX(Pengaturan!$B$8:$B$27,L$4)="",0,COUNTIF(Data!$B809:$U809,INDEX(Pengaturan!$B$8:$B$27,L$4)))</f>
        <v>0</v>
      </c>
      <c r="M809" s="26" t="n">
        <f aca="false">IF(INDEX(Pengaturan!$B$8:$B$27,M$4)="",0,COUNTIF(Data!$B809:$U809,INDEX(Pengaturan!$B$8:$B$27,M$4)))</f>
        <v>0</v>
      </c>
      <c r="N809" s="26" t="n">
        <f aca="false">IF(INDEX(Pengaturan!$B$8:$B$27,N$4)="",0,COUNTIF(Data!$B809:$U809,INDEX(Pengaturan!$B$8:$B$27,N$4)))</f>
        <v>0</v>
      </c>
      <c r="O809" s="26" t="n">
        <f aca="false">IF(INDEX(Pengaturan!$B$8:$B$27,O$4)="",0,COUNTIF(Data!$B809:$U809,INDEX(Pengaturan!$B$8:$B$27,O$4)))</f>
        <v>0</v>
      </c>
      <c r="P809" s="26" t="n">
        <f aca="false">IF(INDEX(Pengaturan!$B$8:$B$27,P$4)="",0,COUNTIF(Data!$B809:$U809,INDEX(Pengaturan!$B$8:$B$27,P$4)))</f>
        <v>0</v>
      </c>
      <c r="Q809" s="26" t="n">
        <f aca="false">IF(INDEX(Pengaturan!$B$8:$B$27,Q$4)="",0,COUNTIF(Data!$B809:$U809,INDEX(Pengaturan!$B$8:$B$27,Q$4)))</f>
        <v>0</v>
      </c>
      <c r="R809" s="26" t="n">
        <f aca="false">IF(INDEX(Pengaturan!$B$8:$B$27,R$4)="",0,COUNTIF(Data!$B809:$U809,INDEX(Pengaturan!$B$8:$B$27,R$4)))</f>
        <v>0</v>
      </c>
      <c r="S809" s="26" t="n">
        <f aca="false">IF(INDEX(Pengaturan!$B$8:$B$27,S$4)="",0,COUNTIF(Data!$B809:$U809,INDEX(Pengaturan!$B$8:$B$27,S$4)))</f>
        <v>0</v>
      </c>
      <c r="T809" s="26" t="n">
        <f aca="false">IF(INDEX(Pengaturan!$B$8:$B$27,T$4)="",0,COUNTIF(Data!$B809:$U809,INDEX(Pengaturan!$B$8:$B$27,T$4)))</f>
        <v>0</v>
      </c>
      <c r="U809" s="26" t="n">
        <f aca="false">IF(INDEX(Pengaturan!$B$8:$B$27,U$4)="",0,COUNTIF(Data!$B809:$U809,INDEX(Pengaturan!$B$8:$B$27,U$4)))</f>
        <v>0</v>
      </c>
      <c r="V809" s="26" t="n">
        <f aca="false">COUNTA(Data!$B809:$U809)</f>
        <v>0</v>
      </c>
      <c r="W809" s="27" t="str">
        <f aca="false">IF(V809=0,"",IF(V809&lt;&gt;Hasil!$C$4,"Data kosong/tidak lengkap",IF(SUM(B809:U809)&lt;&gt;V809,"Kategori tidak dikenal","OK")))</f>
        <v/>
      </c>
      <c r="X809" s="26" t="n">
        <f aca="false">IF(OR(W809="",W809="OK"),0,1)</f>
        <v>0</v>
      </c>
    </row>
    <row r="810" customFormat="false" ht="15" hidden="false" customHeight="false" outlineLevel="0" collapsed="false">
      <c r="A810" s="26" t="n">
        <f aca="false">Data!A810</f>
        <v>805</v>
      </c>
      <c r="B810" s="26" t="n">
        <f aca="false">IF(INDEX(Pengaturan!$B$8:$B$27,B$4)="",0,COUNTIF(Data!$B810:$U810,INDEX(Pengaturan!$B$8:$B$27,B$4)))</f>
        <v>0</v>
      </c>
      <c r="C810" s="26" t="n">
        <f aca="false">IF(INDEX(Pengaturan!$B$8:$B$27,C$4)="",0,COUNTIF(Data!$B810:$U810,INDEX(Pengaturan!$B$8:$B$27,C$4)))</f>
        <v>0</v>
      </c>
      <c r="D810" s="26" t="n">
        <f aca="false">IF(INDEX(Pengaturan!$B$8:$B$27,D$4)="",0,COUNTIF(Data!$B810:$U810,INDEX(Pengaturan!$B$8:$B$27,D$4)))</f>
        <v>0</v>
      </c>
      <c r="E810" s="26" t="n">
        <f aca="false">IF(INDEX(Pengaturan!$B$8:$B$27,E$4)="",0,COUNTIF(Data!$B810:$U810,INDEX(Pengaturan!$B$8:$B$27,E$4)))</f>
        <v>0</v>
      </c>
      <c r="F810" s="26" t="n">
        <f aca="false">IF(INDEX(Pengaturan!$B$8:$B$27,F$4)="",0,COUNTIF(Data!$B810:$U810,INDEX(Pengaturan!$B$8:$B$27,F$4)))</f>
        <v>0</v>
      </c>
      <c r="G810" s="26" t="n">
        <f aca="false">IF(INDEX(Pengaturan!$B$8:$B$27,G$4)="",0,COUNTIF(Data!$B810:$U810,INDEX(Pengaturan!$B$8:$B$27,G$4)))</f>
        <v>0</v>
      </c>
      <c r="H810" s="26" t="n">
        <f aca="false">IF(INDEX(Pengaturan!$B$8:$B$27,H$4)="",0,COUNTIF(Data!$B810:$U810,INDEX(Pengaturan!$B$8:$B$27,H$4)))</f>
        <v>0</v>
      </c>
      <c r="I810" s="26" t="n">
        <f aca="false">IF(INDEX(Pengaturan!$B$8:$B$27,I$4)="",0,COUNTIF(Data!$B810:$U810,INDEX(Pengaturan!$B$8:$B$27,I$4)))</f>
        <v>0</v>
      </c>
      <c r="J810" s="26" t="n">
        <f aca="false">IF(INDEX(Pengaturan!$B$8:$B$27,J$4)="",0,COUNTIF(Data!$B810:$U810,INDEX(Pengaturan!$B$8:$B$27,J$4)))</f>
        <v>0</v>
      </c>
      <c r="K810" s="26" t="n">
        <f aca="false">IF(INDEX(Pengaturan!$B$8:$B$27,K$4)="",0,COUNTIF(Data!$B810:$U810,INDEX(Pengaturan!$B$8:$B$27,K$4)))</f>
        <v>0</v>
      </c>
      <c r="L810" s="26" t="n">
        <f aca="false">IF(INDEX(Pengaturan!$B$8:$B$27,L$4)="",0,COUNTIF(Data!$B810:$U810,INDEX(Pengaturan!$B$8:$B$27,L$4)))</f>
        <v>0</v>
      </c>
      <c r="M810" s="26" t="n">
        <f aca="false">IF(INDEX(Pengaturan!$B$8:$B$27,M$4)="",0,COUNTIF(Data!$B810:$U810,INDEX(Pengaturan!$B$8:$B$27,M$4)))</f>
        <v>0</v>
      </c>
      <c r="N810" s="26" t="n">
        <f aca="false">IF(INDEX(Pengaturan!$B$8:$B$27,N$4)="",0,COUNTIF(Data!$B810:$U810,INDEX(Pengaturan!$B$8:$B$27,N$4)))</f>
        <v>0</v>
      </c>
      <c r="O810" s="26" t="n">
        <f aca="false">IF(INDEX(Pengaturan!$B$8:$B$27,O$4)="",0,COUNTIF(Data!$B810:$U810,INDEX(Pengaturan!$B$8:$B$27,O$4)))</f>
        <v>0</v>
      </c>
      <c r="P810" s="26" t="n">
        <f aca="false">IF(INDEX(Pengaturan!$B$8:$B$27,P$4)="",0,COUNTIF(Data!$B810:$U810,INDEX(Pengaturan!$B$8:$B$27,P$4)))</f>
        <v>0</v>
      </c>
      <c r="Q810" s="26" t="n">
        <f aca="false">IF(INDEX(Pengaturan!$B$8:$B$27,Q$4)="",0,COUNTIF(Data!$B810:$U810,INDEX(Pengaturan!$B$8:$B$27,Q$4)))</f>
        <v>0</v>
      </c>
      <c r="R810" s="26" t="n">
        <f aca="false">IF(INDEX(Pengaturan!$B$8:$B$27,R$4)="",0,COUNTIF(Data!$B810:$U810,INDEX(Pengaturan!$B$8:$B$27,R$4)))</f>
        <v>0</v>
      </c>
      <c r="S810" s="26" t="n">
        <f aca="false">IF(INDEX(Pengaturan!$B$8:$B$27,S$4)="",0,COUNTIF(Data!$B810:$U810,INDEX(Pengaturan!$B$8:$B$27,S$4)))</f>
        <v>0</v>
      </c>
      <c r="T810" s="26" t="n">
        <f aca="false">IF(INDEX(Pengaturan!$B$8:$B$27,T$4)="",0,COUNTIF(Data!$B810:$U810,INDEX(Pengaturan!$B$8:$B$27,T$4)))</f>
        <v>0</v>
      </c>
      <c r="U810" s="26" t="n">
        <f aca="false">IF(INDEX(Pengaturan!$B$8:$B$27,U$4)="",0,COUNTIF(Data!$B810:$U810,INDEX(Pengaturan!$B$8:$B$27,U$4)))</f>
        <v>0</v>
      </c>
      <c r="V810" s="26" t="n">
        <f aca="false">COUNTA(Data!$B810:$U810)</f>
        <v>0</v>
      </c>
      <c r="W810" s="27" t="str">
        <f aca="false">IF(V810=0,"",IF(V810&lt;&gt;Hasil!$C$4,"Data kosong/tidak lengkap",IF(SUM(B810:U810)&lt;&gt;V810,"Kategori tidak dikenal","OK")))</f>
        <v/>
      </c>
      <c r="X810" s="26" t="n">
        <f aca="false">IF(OR(W810="",W810="OK"),0,1)</f>
        <v>0</v>
      </c>
    </row>
    <row r="811" customFormat="false" ht="15" hidden="false" customHeight="false" outlineLevel="0" collapsed="false">
      <c r="A811" s="26" t="n">
        <f aca="false">Data!A811</f>
        <v>806</v>
      </c>
      <c r="B811" s="26" t="n">
        <f aca="false">IF(INDEX(Pengaturan!$B$8:$B$27,B$4)="",0,COUNTIF(Data!$B811:$U811,INDEX(Pengaturan!$B$8:$B$27,B$4)))</f>
        <v>0</v>
      </c>
      <c r="C811" s="26" t="n">
        <f aca="false">IF(INDEX(Pengaturan!$B$8:$B$27,C$4)="",0,COUNTIF(Data!$B811:$U811,INDEX(Pengaturan!$B$8:$B$27,C$4)))</f>
        <v>0</v>
      </c>
      <c r="D811" s="26" t="n">
        <f aca="false">IF(INDEX(Pengaturan!$B$8:$B$27,D$4)="",0,COUNTIF(Data!$B811:$U811,INDEX(Pengaturan!$B$8:$B$27,D$4)))</f>
        <v>0</v>
      </c>
      <c r="E811" s="26" t="n">
        <f aca="false">IF(INDEX(Pengaturan!$B$8:$B$27,E$4)="",0,COUNTIF(Data!$B811:$U811,INDEX(Pengaturan!$B$8:$B$27,E$4)))</f>
        <v>0</v>
      </c>
      <c r="F811" s="26" t="n">
        <f aca="false">IF(INDEX(Pengaturan!$B$8:$B$27,F$4)="",0,COUNTIF(Data!$B811:$U811,INDEX(Pengaturan!$B$8:$B$27,F$4)))</f>
        <v>0</v>
      </c>
      <c r="G811" s="26" t="n">
        <f aca="false">IF(INDEX(Pengaturan!$B$8:$B$27,G$4)="",0,COUNTIF(Data!$B811:$U811,INDEX(Pengaturan!$B$8:$B$27,G$4)))</f>
        <v>0</v>
      </c>
      <c r="H811" s="26" t="n">
        <f aca="false">IF(INDEX(Pengaturan!$B$8:$B$27,H$4)="",0,COUNTIF(Data!$B811:$U811,INDEX(Pengaturan!$B$8:$B$27,H$4)))</f>
        <v>0</v>
      </c>
      <c r="I811" s="26" t="n">
        <f aca="false">IF(INDEX(Pengaturan!$B$8:$B$27,I$4)="",0,COUNTIF(Data!$B811:$U811,INDEX(Pengaturan!$B$8:$B$27,I$4)))</f>
        <v>0</v>
      </c>
      <c r="J811" s="26" t="n">
        <f aca="false">IF(INDEX(Pengaturan!$B$8:$B$27,J$4)="",0,COUNTIF(Data!$B811:$U811,INDEX(Pengaturan!$B$8:$B$27,J$4)))</f>
        <v>0</v>
      </c>
      <c r="K811" s="26" t="n">
        <f aca="false">IF(INDEX(Pengaturan!$B$8:$B$27,K$4)="",0,COUNTIF(Data!$B811:$U811,INDEX(Pengaturan!$B$8:$B$27,K$4)))</f>
        <v>0</v>
      </c>
      <c r="L811" s="26" t="n">
        <f aca="false">IF(INDEX(Pengaturan!$B$8:$B$27,L$4)="",0,COUNTIF(Data!$B811:$U811,INDEX(Pengaturan!$B$8:$B$27,L$4)))</f>
        <v>0</v>
      </c>
      <c r="M811" s="26" t="n">
        <f aca="false">IF(INDEX(Pengaturan!$B$8:$B$27,M$4)="",0,COUNTIF(Data!$B811:$U811,INDEX(Pengaturan!$B$8:$B$27,M$4)))</f>
        <v>0</v>
      </c>
      <c r="N811" s="26" t="n">
        <f aca="false">IF(INDEX(Pengaturan!$B$8:$B$27,N$4)="",0,COUNTIF(Data!$B811:$U811,INDEX(Pengaturan!$B$8:$B$27,N$4)))</f>
        <v>0</v>
      </c>
      <c r="O811" s="26" t="n">
        <f aca="false">IF(INDEX(Pengaturan!$B$8:$B$27,O$4)="",0,COUNTIF(Data!$B811:$U811,INDEX(Pengaturan!$B$8:$B$27,O$4)))</f>
        <v>0</v>
      </c>
      <c r="P811" s="26" t="n">
        <f aca="false">IF(INDEX(Pengaturan!$B$8:$B$27,P$4)="",0,COUNTIF(Data!$B811:$U811,INDEX(Pengaturan!$B$8:$B$27,P$4)))</f>
        <v>0</v>
      </c>
      <c r="Q811" s="26" t="n">
        <f aca="false">IF(INDEX(Pengaturan!$B$8:$B$27,Q$4)="",0,COUNTIF(Data!$B811:$U811,INDEX(Pengaturan!$B$8:$B$27,Q$4)))</f>
        <v>0</v>
      </c>
      <c r="R811" s="26" t="n">
        <f aca="false">IF(INDEX(Pengaturan!$B$8:$B$27,R$4)="",0,COUNTIF(Data!$B811:$U811,INDEX(Pengaturan!$B$8:$B$27,R$4)))</f>
        <v>0</v>
      </c>
      <c r="S811" s="26" t="n">
        <f aca="false">IF(INDEX(Pengaturan!$B$8:$B$27,S$4)="",0,COUNTIF(Data!$B811:$U811,INDEX(Pengaturan!$B$8:$B$27,S$4)))</f>
        <v>0</v>
      </c>
      <c r="T811" s="26" t="n">
        <f aca="false">IF(INDEX(Pengaturan!$B$8:$B$27,T$4)="",0,COUNTIF(Data!$B811:$U811,INDEX(Pengaturan!$B$8:$B$27,T$4)))</f>
        <v>0</v>
      </c>
      <c r="U811" s="26" t="n">
        <f aca="false">IF(INDEX(Pengaturan!$B$8:$B$27,U$4)="",0,COUNTIF(Data!$B811:$U811,INDEX(Pengaturan!$B$8:$B$27,U$4)))</f>
        <v>0</v>
      </c>
      <c r="V811" s="26" t="n">
        <f aca="false">COUNTA(Data!$B811:$U811)</f>
        <v>0</v>
      </c>
      <c r="W811" s="27" t="str">
        <f aca="false">IF(V811=0,"",IF(V811&lt;&gt;Hasil!$C$4,"Data kosong/tidak lengkap",IF(SUM(B811:U811)&lt;&gt;V811,"Kategori tidak dikenal","OK")))</f>
        <v/>
      </c>
      <c r="X811" s="26" t="n">
        <f aca="false">IF(OR(W811="",W811="OK"),0,1)</f>
        <v>0</v>
      </c>
    </row>
    <row r="812" customFormat="false" ht="15" hidden="false" customHeight="false" outlineLevel="0" collapsed="false">
      <c r="A812" s="26" t="n">
        <f aca="false">Data!A812</f>
        <v>807</v>
      </c>
      <c r="B812" s="26" t="n">
        <f aca="false">IF(INDEX(Pengaturan!$B$8:$B$27,B$4)="",0,COUNTIF(Data!$B812:$U812,INDEX(Pengaturan!$B$8:$B$27,B$4)))</f>
        <v>0</v>
      </c>
      <c r="C812" s="26" t="n">
        <f aca="false">IF(INDEX(Pengaturan!$B$8:$B$27,C$4)="",0,COUNTIF(Data!$B812:$U812,INDEX(Pengaturan!$B$8:$B$27,C$4)))</f>
        <v>0</v>
      </c>
      <c r="D812" s="26" t="n">
        <f aca="false">IF(INDEX(Pengaturan!$B$8:$B$27,D$4)="",0,COUNTIF(Data!$B812:$U812,INDEX(Pengaturan!$B$8:$B$27,D$4)))</f>
        <v>0</v>
      </c>
      <c r="E812" s="26" t="n">
        <f aca="false">IF(INDEX(Pengaturan!$B$8:$B$27,E$4)="",0,COUNTIF(Data!$B812:$U812,INDEX(Pengaturan!$B$8:$B$27,E$4)))</f>
        <v>0</v>
      </c>
      <c r="F812" s="26" t="n">
        <f aca="false">IF(INDEX(Pengaturan!$B$8:$B$27,F$4)="",0,COUNTIF(Data!$B812:$U812,INDEX(Pengaturan!$B$8:$B$27,F$4)))</f>
        <v>0</v>
      </c>
      <c r="G812" s="26" t="n">
        <f aca="false">IF(INDEX(Pengaturan!$B$8:$B$27,G$4)="",0,COUNTIF(Data!$B812:$U812,INDEX(Pengaturan!$B$8:$B$27,G$4)))</f>
        <v>0</v>
      </c>
      <c r="H812" s="26" t="n">
        <f aca="false">IF(INDEX(Pengaturan!$B$8:$B$27,H$4)="",0,COUNTIF(Data!$B812:$U812,INDEX(Pengaturan!$B$8:$B$27,H$4)))</f>
        <v>0</v>
      </c>
      <c r="I812" s="26" t="n">
        <f aca="false">IF(INDEX(Pengaturan!$B$8:$B$27,I$4)="",0,COUNTIF(Data!$B812:$U812,INDEX(Pengaturan!$B$8:$B$27,I$4)))</f>
        <v>0</v>
      </c>
      <c r="J812" s="26" t="n">
        <f aca="false">IF(INDEX(Pengaturan!$B$8:$B$27,J$4)="",0,COUNTIF(Data!$B812:$U812,INDEX(Pengaturan!$B$8:$B$27,J$4)))</f>
        <v>0</v>
      </c>
      <c r="K812" s="26" t="n">
        <f aca="false">IF(INDEX(Pengaturan!$B$8:$B$27,K$4)="",0,COUNTIF(Data!$B812:$U812,INDEX(Pengaturan!$B$8:$B$27,K$4)))</f>
        <v>0</v>
      </c>
      <c r="L812" s="26" t="n">
        <f aca="false">IF(INDEX(Pengaturan!$B$8:$B$27,L$4)="",0,COUNTIF(Data!$B812:$U812,INDEX(Pengaturan!$B$8:$B$27,L$4)))</f>
        <v>0</v>
      </c>
      <c r="M812" s="26" t="n">
        <f aca="false">IF(INDEX(Pengaturan!$B$8:$B$27,M$4)="",0,COUNTIF(Data!$B812:$U812,INDEX(Pengaturan!$B$8:$B$27,M$4)))</f>
        <v>0</v>
      </c>
      <c r="N812" s="26" t="n">
        <f aca="false">IF(INDEX(Pengaturan!$B$8:$B$27,N$4)="",0,COUNTIF(Data!$B812:$U812,INDEX(Pengaturan!$B$8:$B$27,N$4)))</f>
        <v>0</v>
      </c>
      <c r="O812" s="26" t="n">
        <f aca="false">IF(INDEX(Pengaturan!$B$8:$B$27,O$4)="",0,COUNTIF(Data!$B812:$U812,INDEX(Pengaturan!$B$8:$B$27,O$4)))</f>
        <v>0</v>
      </c>
      <c r="P812" s="26" t="n">
        <f aca="false">IF(INDEX(Pengaturan!$B$8:$B$27,P$4)="",0,COUNTIF(Data!$B812:$U812,INDEX(Pengaturan!$B$8:$B$27,P$4)))</f>
        <v>0</v>
      </c>
      <c r="Q812" s="26" t="n">
        <f aca="false">IF(INDEX(Pengaturan!$B$8:$B$27,Q$4)="",0,COUNTIF(Data!$B812:$U812,INDEX(Pengaturan!$B$8:$B$27,Q$4)))</f>
        <v>0</v>
      </c>
      <c r="R812" s="26" t="n">
        <f aca="false">IF(INDEX(Pengaturan!$B$8:$B$27,R$4)="",0,COUNTIF(Data!$B812:$U812,INDEX(Pengaturan!$B$8:$B$27,R$4)))</f>
        <v>0</v>
      </c>
      <c r="S812" s="26" t="n">
        <f aca="false">IF(INDEX(Pengaturan!$B$8:$B$27,S$4)="",0,COUNTIF(Data!$B812:$U812,INDEX(Pengaturan!$B$8:$B$27,S$4)))</f>
        <v>0</v>
      </c>
      <c r="T812" s="26" t="n">
        <f aca="false">IF(INDEX(Pengaturan!$B$8:$B$27,T$4)="",0,COUNTIF(Data!$B812:$U812,INDEX(Pengaturan!$B$8:$B$27,T$4)))</f>
        <v>0</v>
      </c>
      <c r="U812" s="26" t="n">
        <f aca="false">IF(INDEX(Pengaturan!$B$8:$B$27,U$4)="",0,COUNTIF(Data!$B812:$U812,INDEX(Pengaturan!$B$8:$B$27,U$4)))</f>
        <v>0</v>
      </c>
      <c r="V812" s="26" t="n">
        <f aca="false">COUNTA(Data!$B812:$U812)</f>
        <v>0</v>
      </c>
      <c r="W812" s="27" t="str">
        <f aca="false">IF(V812=0,"",IF(V812&lt;&gt;Hasil!$C$4,"Data kosong/tidak lengkap",IF(SUM(B812:U812)&lt;&gt;V812,"Kategori tidak dikenal","OK")))</f>
        <v/>
      </c>
      <c r="X812" s="26" t="n">
        <f aca="false">IF(OR(W812="",W812="OK"),0,1)</f>
        <v>0</v>
      </c>
    </row>
    <row r="813" customFormat="false" ht="15" hidden="false" customHeight="false" outlineLevel="0" collapsed="false">
      <c r="A813" s="26" t="n">
        <f aca="false">Data!A813</f>
        <v>808</v>
      </c>
      <c r="B813" s="26" t="n">
        <f aca="false">IF(INDEX(Pengaturan!$B$8:$B$27,B$4)="",0,COUNTIF(Data!$B813:$U813,INDEX(Pengaturan!$B$8:$B$27,B$4)))</f>
        <v>0</v>
      </c>
      <c r="C813" s="26" t="n">
        <f aca="false">IF(INDEX(Pengaturan!$B$8:$B$27,C$4)="",0,COUNTIF(Data!$B813:$U813,INDEX(Pengaturan!$B$8:$B$27,C$4)))</f>
        <v>0</v>
      </c>
      <c r="D813" s="26" t="n">
        <f aca="false">IF(INDEX(Pengaturan!$B$8:$B$27,D$4)="",0,COUNTIF(Data!$B813:$U813,INDEX(Pengaturan!$B$8:$B$27,D$4)))</f>
        <v>0</v>
      </c>
      <c r="E813" s="26" t="n">
        <f aca="false">IF(INDEX(Pengaturan!$B$8:$B$27,E$4)="",0,COUNTIF(Data!$B813:$U813,INDEX(Pengaturan!$B$8:$B$27,E$4)))</f>
        <v>0</v>
      </c>
      <c r="F813" s="26" t="n">
        <f aca="false">IF(INDEX(Pengaturan!$B$8:$B$27,F$4)="",0,COUNTIF(Data!$B813:$U813,INDEX(Pengaturan!$B$8:$B$27,F$4)))</f>
        <v>0</v>
      </c>
      <c r="G813" s="26" t="n">
        <f aca="false">IF(INDEX(Pengaturan!$B$8:$B$27,G$4)="",0,COUNTIF(Data!$B813:$U813,INDEX(Pengaturan!$B$8:$B$27,G$4)))</f>
        <v>0</v>
      </c>
      <c r="H813" s="26" t="n">
        <f aca="false">IF(INDEX(Pengaturan!$B$8:$B$27,H$4)="",0,COUNTIF(Data!$B813:$U813,INDEX(Pengaturan!$B$8:$B$27,H$4)))</f>
        <v>0</v>
      </c>
      <c r="I813" s="26" t="n">
        <f aca="false">IF(INDEX(Pengaturan!$B$8:$B$27,I$4)="",0,COUNTIF(Data!$B813:$U813,INDEX(Pengaturan!$B$8:$B$27,I$4)))</f>
        <v>0</v>
      </c>
      <c r="J813" s="26" t="n">
        <f aca="false">IF(INDEX(Pengaturan!$B$8:$B$27,J$4)="",0,COUNTIF(Data!$B813:$U813,INDEX(Pengaturan!$B$8:$B$27,J$4)))</f>
        <v>0</v>
      </c>
      <c r="K813" s="26" t="n">
        <f aca="false">IF(INDEX(Pengaturan!$B$8:$B$27,K$4)="",0,COUNTIF(Data!$B813:$U813,INDEX(Pengaturan!$B$8:$B$27,K$4)))</f>
        <v>0</v>
      </c>
      <c r="L813" s="26" t="n">
        <f aca="false">IF(INDEX(Pengaturan!$B$8:$B$27,L$4)="",0,COUNTIF(Data!$B813:$U813,INDEX(Pengaturan!$B$8:$B$27,L$4)))</f>
        <v>0</v>
      </c>
      <c r="M813" s="26" t="n">
        <f aca="false">IF(INDEX(Pengaturan!$B$8:$B$27,M$4)="",0,COUNTIF(Data!$B813:$U813,INDEX(Pengaturan!$B$8:$B$27,M$4)))</f>
        <v>0</v>
      </c>
      <c r="N813" s="26" t="n">
        <f aca="false">IF(INDEX(Pengaturan!$B$8:$B$27,N$4)="",0,COUNTIF(Data!$B813:$U813,INDEX(Pengaturan!$B$8:$B$27,N$4)))</f>
        <v>0</v>
      </c>
      <c r="O813" s="26" t="n">
        <f aca="false">IF(INDEX(Pengaturan!$B$8:$B$27,O$4)="",0,COUNTIF(Data!$B813:$U813,INDEX(Pengaturan!$B$8:$B$27,O$4)))</f>
        <v>0</v>
      </c>
      <c r="P813" s="26" t="n">
        <f aca="false">IF(INDEX(Pengaturan!$B$8:$B$27,P$4)="",0,COUNTIF(Data!$B813:$U813,INDEX(Pengaturan!$B$8:$B$27,P$4)))</f>
        <v>0</v>
      </c>
      <c r="Q813" s="26" t="n">
        <f aca="false">IF(INDEX(Pengaturan!$B$8:$B$27,Q$4)="",0,COUNTIF(Data!$B813:$U813,INDEX(Pengaturan!$B$8:$B$27,Q$4)))</f>
        <v>0</v>
      </c>
      <c r="R813" s="26" t="n">
        <f aca="false">IF(INDEX(Pengaturan!$B$8:$B$27,R$4)="",0,COUNTIF(Data!$B813:$U813,INDEX(Pengaturan!$B$8:$B$27,R$4)))</f>
        <v>0</v>
      </c>
      <c r="S813" s="26" t="n">
        <f aca="false">IF(INDEX(Pengaturan!$B$8:$B$27,S$4)="",0,COUNTIF(Data!$B813:$U813,INDEX(Pengaturan!$B$8:$B$27,S$4)))</f>
        <v>0</v>
      </c>
      <c r="T813" s="26" t="n">
        <f aca="false">IF(INDEX(Pengaturan!$B$8:$B$27,T$4)="",0,COUNTIF(Data!$B813:$U813,INDEX(Pengaturan!$B$8:$B$27,T$4)))</f>
        <v>0</v>
      </c>
      <c r="U813" s="26" t="n">
        <f aca="false">IF(INDEX(Pengaturan!$B$8:$B$27,U$4)="",0,COUNTIF(Data!$B813:$U813,INDEX(Pengaturan!$B$8:$B$27,U$4)))</f>
        <v>0</v>
      </c>
      <c r="V813" s="26" t="n">
        <f aca="false">COUNTA(Data!$B813:$U813)</f>
        <v>0</v>
      </c>
      <c r="W813" s="27" t="str">
        <f aca="false">IF(V813=0,"",IF(V813&lt;&gt;Hasil!$C$4,"Data kosong/tidak lengkap",IF(SUM(B813:U813)&lt;&gt;V813,"Kategori tidak dikenal","OK")))</f>
        <v/>
      </c>
      <c r="X813" s="26" t="n">
        <f aca="false">IF(OR(W813="",W813="OK"),0,1)</f>
        <v>0</v>
      </c>
    </row>
    <row r="814" customFormat="false" ht="15" hidden="false" customHeight="false" outlineLevel="0" collapsed="false">
      <c r="A814" s="26" t="n">
        <f aca="false">Data!A814</f>
        <v>809</v>
      </c>
      <c r="B814" s="26" t="n">
        <f aca="false">IF(INDEX(Pengaturan!$B$8:$B$27,B$4)="",0,COUNTIF(Data!$B814:$U814,INDEX(Pengaturan!$B$8:$B$27,B$4)))</f>
        <v>0</v>
      </c>
      <c r="C814" s="26" t="n">
        <f aca="false">IF(INDEX(Pengaturan!$B$8:$B$27,C$4)="",0,COUNTIF(Data!$B814:$U814,INDEX(Pengaturan!$B$8:$B$27,C$4)))</f>
        <v>0</v>
      </c>
      <c r="D814" s="26" t="n">
        <f aca="false">IF(INDEX(Pengaturan!$B$8:$B$27,D$4)="",0,COUNTIF(Data!$B814:$U814,INDEX(Pengaturan!$B$8:$B$27,D$4)))</f>
        <v>0</v>
      </c>
      <c r="E814" s="26" t="n">
        <f aca="false">IF(INDEX(Pengaturan!$B$8:$B$27,E$4)="",0,COUNTIF(Data!$B814:$U814,INDEX(Pengaturan!$B$8:$B$27,E$4)))</f>
        <v>0</v>
      </c>
      <c r="F814" s="26" t="n">
        <f aca="false">IF(INDEX(Pengaturan!$B$8:$B$27,F$4)="",0,COUNTIF(Data!$B814:$U814,INDEX(Pengaturan!$B$8:$B$27,F$4)))</f>
        <v>0</v>
      </c>
      <c r="G814" s="26" t="n">
        <f aca="false">IF(INDEX(Pengaturan!$B$8:$B$27,G$4)="",0,COUNTIF(Data!$B814:$U814,INDEX(Pengaturan!$B$8:$B$27,G$4)))</f>
        <v>0</v>
      </c>
      <c r="H814" s="26" t="n">
        <f aca="false">IF(INDEX(Pengaturan!$B$8:$B$27,H$4)="",0,COUNTIF(Data!$B814:$U814,INDEX(Pengaturan!$B$8:$B$27,H$4)))</f>
        <v>0</v>
      </c>
      <c r="I814" s="26" t="n">
        <f aca="false">IF(INDEX(Pengaturan!$B$8:$B$27,I$4)="",0,COUNTIF(Data!$B814:$U814,INDEX(Pengaturan!$B$8:$B$27,I$4)))</f>
        <v>0</v>
      </c>
      <c r="J814" s="26" t="n">
        <f aca="false">IF(INDEX(Pengaturan!$B$8:$B$27,J$4)="",0,COUNTIF(Data!$B814:$U814,INDEX(Pengaturan!$B$8:$B$27,J$4)))</f>
        <v>0</v>
      </c>
      <c r="K814" s="26" t="n">
        <f aca="false">IF(INDEX(Pengaturan!$B$8:$B$27,K$4)="",0,COUNTIF(Data!$B814:$U814,INDEX(Pengaturan!$B$8:$B$27,K$4)))</f>
        <v>0</v>
      </c>
      <c r="L814" s="26" t="n">
        <f aca="false">IF(INDEX(Pengaturan!$B$8:$B$27,L$4)="",0,COUNTIF(Data!$B814:$U814,INDEX(Pengaturan!$B$8:$B$27,L$4)))</f>
        <v>0</v>
      </c>
      <c r="M814" s="26" t="n">
        <f aca="false">IF(INDEX(Pengaturan!$B$8:$B$27,M$4)="",0,COUNTIF(Data!$B814:$U814,INDEX(Pengaturan!$B$8:$B$27,M$4)))</f>
        <v>0</v>
      </c>
      <c r="N814" s="26" t="n">
        <f aca="false">IF(INDEX(Pengaturan!$B$8:$B$27,N$4)="",0,COUNTIF(Data!$B814:$U814,INDEX(Pengaturan!$B$8:$B$27,N$4)))</f>
        <v>0</v>
      </c>
      <c r="O814" s="26" t="n">
        <f aca="false">IF(INDEX(Pengaturan!$B$8:$B$27,O$4)="",0,COUNTIF(Data!$B814:$U814,INDEX(Pengaturan!$B$8:$B$27,O$4)))</f>
        <v>0</v>
      </c>
      <c r="P814" s="26" t="n">
        <f aca="false">IF(INDEX(Pengaturan!$B$8:$B$27,P$4)="",0,COUNTIF(Data!$B814:$U814,INDEX(Pengaturan!$B$8:$B$27,P$4)))</f>
        <v>0</v>
      </c>
      <c r="Q814" s="26" t="n">
        <f aca="false">IF(INDEX(Pengaturan!$B$8:$B$27,Q$4)="",0,COUNTIF(Data!$B814:$U814,INDEX(Pengaturan!$B$8:$B$27,Q$4)))</f>
        <v>0</v>
      </c>
      <c r="R814" s="26" t="n">
        <f aca="false">IF(INDEX(Pengaturan!$B$8:$B$27,R$4)="",0,COUNTIF(Data!$B814:$U814,INDEX(Pengaturan!$B$8:$B$27,R$4)))</f>
        <v>0</v>
      </c>
      <c r="S814" s="26" t="n">
        <f aca="false">IF(INDEX(Pengaturan!$B$8:$B$27,S$4)="",0,COUNTIF(Data!$B814:$U814,INDEX(Pengaturan!$B$8:$B$27,S$4)))</f>
        <v>0</v>
      </c>
      <c r="T814" s="26" t="n">
        <f aca="false">IF(INDEX(Pengaturan!$B$8:$B$27,T$4)="",0,COUNTIF(Data!$B814:$U814,INDEX(Pengaturan!$B$8:$B$27,T$4)))</f>
        <v>0</v>
      </c>
      <c r="U814" s="26" t="n">
        <f aca="false">IF(INDEX(Pengaturan!$B$8:$B$27,U$4)="",0,COUNTIF(Data!$B814:$U814,INDEX(Pengaturan!$B$8:$B$27,U$4)))</f>
        <v>0</v>
      </c>
      <c r="V814" s="26" t="n">
        <f aca="false">COUNTA(Data!$B814:$U814)</f>
        <v>0</v>
      </c>
      <c r="W814" s="27" t="str">
        <f aca="false">IF(V814=0,"",IF(V814&lt;&gt;Hasil!$C$4,"Data kosong/tidak lengkap",IF(SUM(B814:U814)&lt;&gt;V814,"Kategori tidak dikenal","OK")))</f>
        <v/>
      </c>
      <c r="X814" s="26" t="n">
        <f aca="false">IF(OR(W814="",W814="OK"),0,1)</f>
        <v>0</v>
      </c>
    </row>
    <row r="815" customFormat="false" ht="15" hidden="false" customHeight="false" outlineLevel="0" collapsed="false">
      <c r="A815" s="26" t="n">
        <f aca="false">Data!A815</f>
        <v>810</v>
      </c>
      <c r="B815" s="26" t="n">
        <f aca="false">IF(INDEX(Pengaturan!$B$8:$B$27,B$4)="",0,COUNTIF(Data!$B815:$U815,INDEX(Pengaturan!$B$8:$B$27,B$4)))</f>
        <v>0</v>
      </c>
      <c r="C815" s="26" t="n">
        <f aca="false">IF(INDEX(Pengaturan!$B$8:$B$27,C$4)="",0,COUNTIF(Data!$B815:$U815,INDEX(Pengaturan!$B$8:$B$27,C$4)))</f>
        <v>0</v>
      </c>
      <c r="D815" s="26" t="n">
        <f aca="false">IF(INDEX(Pengaturan!$B$8:$B$27,D$4)="",0,COUNTIF(Data!$B815:$U815,INDEX(Pengaturan!$B$8:$B$27,D$4)))</f>
        <v>0</v>
      </c>
      <c r="E815" s="26" t="n">
        <f aca="false">IF(INDEX(Pengaturan!$B$8:$B$27,E$4)="",0,COUNTIF(Data!$B815:$U815,INDEX(Pengaturan!$B$8:$B$27,E$4)))</f>
        <v>0</v>
      </c>
      <c r="F815" s="26" t="n">
        <f aca="false">IF(INDEX(Pengaturan!$B$8:$B$27,F$4)="",0,COUNTIF(Data!$B815:$U815,INDEX(Pengaturan!$B$8:$B$27,F$4)))</f>
        <v>0</v>
      </c>
      <c r="G815" s="26" t="n">
        <f aca="false">IF(INDEX(Pengaturan!$B$8:$B$27,G$4)="",0,COUNTIF(Data!$B815:$U815,INDEX(Pengaturan!$B$8:$B$27,G$4)))</f>
        <v>0</v>
      </c>
      <c r="H815" s="26" t="n">
        <f aca="false">IF(INDEX(Pengaturan!$B$8:$B$27,H$4)="",0,COUNTIF(Data!$B815:$U815,INDEX(Pengaturan!$B$8:$B$27,H$4)))</f>
        <v>0</v>
      </c>
      <c r="I815" s="26" t="n">
        <f aca="false">IF(INDEX(Pengaturan!$B$8:$B$27,I$4)="",0,COUNTIF(Data!$B815:$U815,INDEX(Pengaturan!$B$8:$B$27,I$4)))</f>
        <v>0</v>
      </c>
      <c r="J815" s="26" t="n">
        <f aca="false">IF(INDEX(Pengaturan!$B$8:$B$27,J$4)="",0,COUNTIF(Data!$B815:$U815,INDEX(Pengaturan!$B$8:$B$27,J$4)))</f>
        <v>0</v>
      </c>
      <c r="K815" s="26" t="n">
        <f aca="false">IF(INDEX(Pengaturan!$B$8:$B$27,K$4)="",0,COUNTIF(Data!$B815:$U815,INDEX(Pengaturan!$B$8:$B$27,K$4)))</f>
        <v>0</v>
      </c>
      <c r="L815" s="26" t="n">
        <f aca="false">IF(INDEX(Pengaturan!$B$8:$B$27,L$4)="",0,COUNTIF(Data!$B815:$U815,INDEX(Pengaturan!$B$8:$B$27,L$4)))</f>
        <v>0</v>
      </c>
      <c r="M815" s="26" t="n">
        <f aca="false">IF(INDEX(Pengaturan!$B$8:$B$27,M$4)="",0,COUNTIF(Data!$B815:$U815,INDEX(Pengaturan!$B$8:$B$27,M$4)))</f>
        <v>0</v>
      </c>
      <c r="N815" s="26" t="n">
        <f aca="false">IF(INDEX(Pengaturan!$B$8:$B$27,N$4)="",0,COUNTIF(Data!$B815:$U815,INDEX(Pengaturan!$B$8:$B$27,N$4)))</f>
        <v>0</v>
      </c>
      <c r="O815" s="26" t="n">
        <f aca="false">IF(INDEX(Pengaturan!$B$8:$B$27,O$4)="",0,COUNTIF(Data!$B815:$U815,INDEX(Pengaturan!$B$8:$B$27,O$4)))</f>
        <v>0</v>
      </c>
      <c r="P815" s="26" t="n">
        <f aca="false">IF(INDEX(Pengaturan!$B$8:$B$27,P$4)="",0,COUNTIF(Data!$B815:$U815,INDEX(Pengaturan!$B$8:$B$27,P$4)))</f>
        <v>0</v>
      </c>
      <c r="Q815" s="26" t="n">
        <f aca="false">IF(INDEX(Pengaturan!$B$8:$B$27,Q$4)="",0,COUNTIF(Data!$B815:$U815,INDEX(Pengaturan!$B$8:$B$27,Q$4)))</f>
        <v>0</v>
      </c>
      <c r="R815" s="26" t="n">
        <f aca="false">IF(INDEX(Pengaturan!$B$8:$B$27,R$4)="",0,COUNTIF(Data!$B815:$U815,INDEX(Pengaturan!$B$8:$B$27,R$4)))</f>
        <v>0</v>
      </c>
      <c r="S815" s="26" t="n">
        <f aca="false">IF(INDEX(Pengaturan!$B$8:$B$27,S$4)="",0,COUNTIF(Data!$B815:$U815,INDEX(Pengaturan!$B$8:$B$27,S$4)))</f>
        <v>0</v>
      </c>
      <c r="T815" s="26" t="n">
        <f aca="false">IF(INDEX(Pengaturan!$B$8:$B$27,T$4)="",0,COUNTIF(Data!$B815:$U815,INDEX(Pengaturan!$B$8:$B$27,T$4)))</f>
        <v>0</v>
      </c>
      <c r="U815" s="26" t="n">
        <f aca="false">IF(INDEX(Pengaturan!$B$8:$B$27,U$4)="",0,COUNTIF(Data!$B815:$U815,INDEX(Pengaturan!$B$8:$B$27,U$4)))</f>
        <v>0</v>
      </c>
      <c r="V815" s="26" t="n">
        <f aca="false">COUNTA(Data!$B815:$U815)</f>
        <v>0</v>
      </c>
      <c r="W815" s="27" t="str">
        <f aca="false">IF(V815=0,"",IF(V815&lt;&gt;Hasil!$C$4,"Data kosong/tidak lengkap",IF(SUM(B815:U815)&lt;&gt;V815,"Kategori tidak dikenal","OK")))</f>
        <v/>
      </c>
      <c r="X815" s="26" t="n">
        <f aca="false">IF(OR(W815="",W815="OK"),0,1)</f>
        <v>0</v>
      </c>
    </row>
    <row r="816" customFormat="false" ht="15" hidden="false" customHeight="false" outlineLevel="0" collapsed="false">
      <c r="A816" s="26" t="n">
        <f aca="false">Data!A816</f>
        <v>811</v>
      </c>
      <c r="B816" s="26" t="n">
        <f aca="false">IF(INDEX(Pengaturan!$B$8:$B$27,B$4)="",0,COUNTIF(Data!$B816:$U816,INDEX(Pengaturan!$B$8:$B$27,B$4)))</f>
        <v>0</v>
      </c>
      <c r="C816" s="26" t="n">
        <f aca="false">IF(INDEX(Pengaturan!$B$8:$B$27,C$4)="",0,COUNTIF(Data!$B816:$U816,INDEX(Pengaturan!$B$8:$B$27,C$4)))</f>
        <v>0</v>
      </c>
      <c r="D816" s="26" t="n">
        <f aca="false">IF(INDEX(Pengaturan!$B$8:$B$27,D$4)="",0,COUNTIF(Data!$B816:$U816,INDEX(Pengaturan!$B$8:$B$27,D$4)))</f>
        <v>0</v>
      </c>
      <c r="E816" s="26" t="n">
        <f aca="false">IF(INDEX(Pengaturan!$B$8:$B$27,E$4)="",0,COUNTIF(Data!$B816:$U816,INDEX(Pengaturan!$B$8:$B$27,E$4)))</f>
        <v>0</v>
      </c>
      <c r="F816" s="26" t="n">
        <f aca="false">IF(INDEX(Pengaturan!$B$8:$B$27,F$4)="",0,COUNTIF(Data!$B816:$U816,INDEX(Pengaturan!$B$8:$B$27,F$4)))</f>
        <v>0</v>
      </c>
      <c r="G816" s="26" t="n">
        <f aca="false">IF(INDEX(Pengaturan!$B$8:$B$27,G$4)="",0,COUNTIF(Data!$B816:$U816,INDEX(Pengaturan!$B$8:$B$27,G$4)))</f>
        <v>0</v>
      </c>
      <c r="H816" s="26" t="n">
        <f aca="false">IF(INDEX(Pengaturan!$B$8:$B$27,H$4)="",0,COUNTIF(Data!$B816:$U816,INDEX(Pengaturan!$B$8:$B$27,H$4)))</f>
        <v>0</v>
      </c>
      <c r="I816" s="26" t="n">
        <f aca="false">IF(INDEX(Pengaturan!$B$8:$B$27,I$4)="",0,COUNTIF(Data!$B816:$U816,INDEX(Pengaturan!$B$8:$B$27,I$4)))</f>
        <v>0</v>
      </c>
      <c r="J816" s="26" t="n">
        <f aca="false">IF(INDEX(Pengaturan!$B$8:$B$27,J$4)="",0,COUNTIF(Data!$B816:$U816,INDEX(Pengaturan!$B$8:$B$27,J$4)))</f>
        <v>0</v>
      </c>
      <c r="K816" s="26" t="n">
        <f aca="false">IF(INDEX(Pengaturan!$B$8:$B$27,K$4)="",0,COUNTIF(Data!$B816:$U816,INDEX(Pengaturan!$B$8:$B$27,K$4)))</f>
        <v>0</v>
      </c>
      <c r="L816" s="26" t="n">
        <f aca="false">IF(INDEX(Pengaturan!$B$8:$B$27,L$4)="",0,COUNTIF(Data!$B816:$U816,INDEX(Pengaturan!$B$8:$B$27,L$4)))</f>
        <v>0</v>
      </c>
      <c r="M816" s="26" t="n">
        <f aca="false">IF(INDEX(Pengaturan!$B$8:$B$27,M$4)="",0,COUNTIF(Data!$B816:$U816,INDEX(Pengaturan!$B$8:$B$27,M$4)))</f>
        <v>0</v>
      </c>
      <c r="N816" s="26" t="n">
        <f aca="false">IF(INDEX(Pengaturan!$B$8:$B$27,N$4)="",0,COUNTIF(Data!$B816:$U816,INDEX(Pengaturan!$B$8:$B$27,N$4)))</f>
        <v>0</v>
      </c>
      <c r="O816" s="26" t="n">
        <f aca="false">IF(INDEX(Pengaturan!$B$8:$B$27,O$4)="",0,COUNTIF(Data!$B816:$U816,INDEX(Pengaturan!$B$8:$B$27,O$4)))</f>
        <v>0</v>
      </c>
      <c r="P816" s="26" t="n">
        <f aca="false">IF(INDEX(Pengaturan!$B$8:$B$27,P$4)="",0,COUNTIF(Data!$B816:$U816,INDEX(Pengaturan!$B$8:$B$27,P$4)))</f>
        <v>0</v>
      </c>
      <c r="Q816" s="26" t="n">
        <f aca="false">IF(INDEX(Pengaturan!$B$8:$B$27,Q$4)="",0,COUNTIF(Data!$B816:$U816,INDEX(Pengaturan!$B$8:$B$27,Q$4)))</f>
        <v>0</v>
      </c>
      <c r="R816" s="26" t="n">
        <f aca="false">IF(INDEX(Pengaturan!$B$8:$B$27,R$4)="",0,COUNTIF(Data!$B816:$U816,INDEX(Pengaturan!$B$8:$B$27,R$4)))</f>
        <v>0</v>
      </c>
      <c r="S816" s="26" t="n">
        <f aca="false">IF(INDEX(Pengaturan!$B$8:$B$27,S$4)="",0,COUNTIF(Data!$B816:$U816,INDEX(Pengaturan!$B$8:$B$27,S$4)))</f>
        <v>0</v>
      </c>
      <c r="T816" s="26" t="n">
        <f aca="false">IF(INDEX(Pengaturan!$B$8:$B$27,T$4)="",0,COUNTIF(Data!$B816:$U816,INDEX(Pengaturan!$B$8:$B$27,T$4)))</f>
        <v>0</v>
      </c>
      <c r="U816" s="26" t="n">
        <f aca="false">IF(INDEX(Pengaturan!$B$8:$B$27,U$4)="",0,COUNTIF(Data!$B816:$U816,INDEX(Pengaturan!$B$8:$B$27,U$4)))</f>
        <v>0</v>
      </c>
      <c r="V816" s="26" t="n">
        <f aca="false">COUNTA(Data!$B816:$U816)</f>
        <v>0</v>
      </c>
      <c r="W816" s="27" t="str">
        <f aca="false">IF(V816=0,"",IF(V816&lt;&gt;Hasil!$C$4,"Data kosong/tidak lengkap",IF(SUM(B816:U816)&lt;&gt;V816,"Kategori tidak dikenal","OK")))</f>
        <v/>
      </c>
      <c r="X816" s="26" t="n">
        <f aca="false">IF(OR(W816="",W816="OK"),0,1)</f>
        <v>0</v>
      </c>
    </row>
    <row r="817" customFormat="false" ht="15" hidden="false" customHeight="false" outlineLevel="0" collapsed="false">
      <c r="A817" s="26" t="n">
        <f aca="false">Data!A817</f>
        <v>812</v>
      </c>
      <c r="B817" s="26" t="n">
        <f aca="false">IF(INDEX(Pengaturan!$B$8:$B$27,B$4)="",0,COUNTIF(Data!$B817:$U817,INDEX(Pengaturan!$B$8:$B$27,B$4)))</f>
        <v>0</v>
      </c>
      <c r="C817" s="26" t="n">
        <f aca="false">IF(INDEX(Pengaturan!$B$8:$B$27,C$4)="",0,COUNTIF(Data!$B817:$U817,INDEX(Pengaturan!$B$8:$B$27,C$4)))</f>
        <v>0</v>
      </c>
      <c r="D817" s="26" t="n">
        <f aca="false">IF(INDEX(Pengaturan!$B$8:$B$27,D$4)="",0,COUNTIF(Data!$B817:$U817,INDEX(Pengaturan!$B$8:$B$27,D$4)))</f>
        <v>0</v>
      </c>
      <c r="E817" s="26" t="n">
        <f aca="false">IF(INDEX(Pengaturan!$B$8:$B$27,E$4)="",0,COUNTIF(Data!$B817:$U817,INDEX(Pengaturan!$B$8:$B$27,E$4)))</f>
        <v>0</v>
      </c>
      <c r="F817" s="26" t="n">
        <f aca="false">IF(INDEX(Pengaturan!$B$8:$B$27,F$4)="",0,COUNTIF(Data!$B817:$U817,INDEX(Pengaturan!$B$8:$B$27,F$4)))</f>
        <v>0</v>
      </c>
      <c r="G817" s="26" t="n">
        <f aca="false">IF(INDEX(Pengaturan!$B$8:$B$27,G$4)="",0,COUNTIF(Data!$B817:$U817,INDEX(Pengaturan!$B$8:$B$27,G$4)))</f>
        <v>0</v>
      </c>
      <c r="H817" s="26" t="n">
        <f aca="false">IF(INDEX(Pengaturan!$B$8:$B$27,H$4)="",0,COUNTIF(Data!$B817:$U817,INDEX(Pengaturan!$B$8:$B$27,H$4)))</f>
        <v>0</v>
      </c>
      <c r="I817" s="26" t="n">
        <f aca="false">IF(INDEX(Pengaturan!$B$8:$B$27,I$4)="",0,COUNTIF(Data!$B817:$U817,INDEX(Pengaturan!$B$8:$B$27,I$4)))</f>
        <v>0</v>
      </c>
      <c r="J817" s="26" t="n">
        <f aca="false">IF(INDEX(Pengaturan!$B$8:$B$27,J$4)="",0,COUNTIF(Data!$B817:$U817,INDEX(Pengaturan!$B$8:$B$27,J$4)))</f>
        <v>0</v>
      </c>
      <c r="K817" s="26" t="n">
        <f aca="false">IF(INDEX(Pengaturan!$B$8:$B$27,K$4)="",0,COUNTIF(Data!$B817:$U817,INDEX(Pengaturan!$B$8:$B$27,K$4)))</f>
        <v>0</v>
      </c>
      <c r="L817" s="26" t="n">
        <f aca="false">IF(INDEX(Pengaturan!$B$8:$B$27,L$4)="",0,COUNTIF(Data!$B817:$U817,INDEX(Pengaturan!$B$8:$B$27,L$4)))</f>
        <v>0</v>
      </c>
      <c r="M817" s="26" t="n">
        <f aca="false">IF(INDEX(Pengaturan!$B$8:$B$27,M$4)="",0,COUNTIF(Data!$B817:$U817,INDEX(Pengaturan!$B$8:$B$27,M$4)))</f>
        <v>0</v>
      </c>
      <c r="N817" s="26" t="n">
        <f aca="false">IF(INDEX(Pengaturan!$B$8:$B$27,N$4)="",0,COUNTIF(Data!$B817:$U817,INDEX(Pengaturan!$B$8:$B$27,N$4)))</f>
        <v>0</v>
      </c>
      <c r="O817" s="26" t="n">
        <f aca="false">IF(INDEX(Pengaturan!$B$8:$B$27,O$4)="",0,COUNTIF(Data!$B817:$U817,INDEX(Pengaturan!$B$8:$B$27,O$4)))</f>
        <v>0</v>
      </c>
      <c r="P817" s="26" t="n">
        <f aca="false">IF(INDEX(Pengaturan!$B$8:$B$27,P$4)="",0,COUNTIF(Data!$B817:$U817,INDEX(Pengaturan!$B$8:$B$27,P$4)))</f>
        <v>0</v>
      </c>
      <c r="Q817" s="26" t="n">
        <f aca="false">IF(INDEX(Pengaturan!$B$8:$B$27,Q$4)="",0,COUNTIF(Data!$B817:$U817,INDEX(Pengaturan!$B$8:$B$27,Q$4)))</f>
        <v>0</v>
      </c>
      <c r="R817" s="26" t="n">
        <f aca="false">IF(INDEX(Pengaturan!$B$8:$B$27,R$4)="",0,COUNTIF(Data!$B817:$U817,INDEX(Pengaturan!$B$8:$B$27,R$4)))</f>
        <v>0</v>
      </c>
      <c r="S817" s="26" t="n">
        <f aca="false">IF(INDEX(Pengaturan!$B$8:$B$27,S$4)="",0,COUNTIF(Data!$B817:$U817,INDEX(Pengaturan!$B$8:$B$27,S$4)))</f>
        <v>0</v>
      </c>
      <c r="T817" s="26" t="n">
        <f aca="false">IF(INDEX(Pengaturan!$B$8:$B$27,T$4)="",0,COUNTIF(Data!$B817:$U817,INDEX(Pengaturan!$B$8:$B$27,T$4)))</f>
        <v>0</v>
      </c>
      <c r="U817" s="26" t="n">
        <f aca="false">IF(INDEX(Pengaturan!$B$8:$B$27,U$4)="",0,COUNTIF(Data!$B817:$U817,INDEX(Pengaturan!$B$8:$B$27,U$4)))</f>
        <v>0</v>
      </c>
      <c r="V817" s="26" t="n">
        <f aca="false">COUNTA(Data!$B817:$U817)</f>
        <v>0</v>
      </c>
      <c r="W817" s="27" t="str">
        <f aca="false">IF(V817=0,"",IF(V817&lt;&gt;Hasil!$C$4,"Data kosong/tidak lengkap",IF(SUM(B817:U817)&lt;&gt;V817,"Kategori tidak dikenal","OK")))</f>
        <v/>
      </c>
      <c r="X817" s="26" t="n">
        <f aca="false">IF(OR(W817="",W817="OK"),0,1)</f>
        <v>0</v>
      </c>
    </row>
    <row r="818" customFormat="false" ht="15" hidden="false" customHeight="false" outlineLevel="0" collapsed="false">
      <c r="A818" s="26" t="n">
        <f aca="false">Data!A818</f>
        <v>813</v>
      </c>
      <c r="B818" s="26" t="n">
        <f aca="false">IF(INDEX(Pengaturan!$B$8:$B$27,B$4)="",0,COUNTIF(Data!$B818:$U818,INDEX(Pengaturan!$B$8:$B$27,B$4)))</f>
        <v>0</v>
      </c>
      <c r="C818" s="26" t="n">
        <f aca="false">IF(INDEX(Pengaturan!$B$8:$B$27,C$4)="",0,COUNTIF(Data!$B818:$U818,INDEX(Pengaturan!$B$8:$B$27,C$4)))</f>
        <v>0</v>
      </c>
      <c r="D818" s="26" t="n">
        <f aca="false">IF(INDEX(Pengaturan!$B$8:$B$27,D$4)="",0,COUNTIF(Data!$B818:$U818,INDEX(Pengaturan!$B$8:$B$27,D$4)))</f>
        <v>0</v>
      </c>
      <c r="E818" s="26" t="n">
        <f aca="false">IF(INDEX(Pengaturan!$B$8:$B$27,E$4)="",0,COUNTIF(Data!$B818:$U818,INDEX(Pengaturan!$B$8:$B$27,E$4)))</f>
        <v>0</v>
      </c>
      <c r="F818" s="26" t="n">
        <f aca="false">IF(INDEX(Pengaturan!$B$8:$B$27,F$4)="",0,COUNTIF(Data!$B818:$U818,INDEX(Pengaturan!$B$8:$B$27,F$4)))</f>
        <v>0</v>
      </c>
      <c r="G818" s="26" t="n">
        <f aca="false">IF(INDEX(Pengaturan!$B$8:$B$27,G$4)="",0,COUNTIF(Data!$B818:$U818,INDEX(Pengaturan!$B$8:$B$27,G$4)))</f>
        <v>0</v>
      </c>
      <c r="H818" s="26" t="n">
        <f aca="false">IF(INDEX(Pengaturan!$B$8:$B$27,H$4)="",0,COUNTIF(Data!$B818:$U818,INDEX(Pengaturan!$B$8:$B$27,H$4)))</f>
        <v>0</v>
      </c>
      <c r="I818" s="26" t="n">
        <f aca="false">IF(INDEX(Pengaturan!$B$8:$B$27,I$4)="",0,COUNTIF(Data!$B818:$U818,INDEX(Pengaturan!$B$8:$B$27,I$4)))</f>
        <v>0</v>
      </c>
      <c r="J818" s="26" t="n">
        <f aca="false">IF(INDEX(Pengaturan!$B$8:$B$27,J$4)="",0,COUNTIF(Data!$B818:$U818,INDEX(Pengaturan!$B$8:$B$27,J$4)))</f>
        <v>0</v>
      </c>
      <c r="K818" s="26" t="n">
        <f aca="false">IF(INDEX(Pengaturan!$B$8:$B$27,K$4)="",0,COUNTIF(Data!$B818:$U818,INDEX(Pengaturan!$B$8:$B$27,K$4)))</f>
        <v>0</v>
      </c>
      <c r="L818" s="26" t="n">
        <f aca="false">IF(INDEX(Pengaturan!$B$8:$B$27,L$4)="",0,COUNTIF(Data!$B818:$U818,INDEX(Pengaturan!$B$8:$B$27,L$4)))</f>
        <v>0</v>
      </c>
      <c r="M818" s="26" t="n">
        <f aca="false">IF(INDEX(Pengaturan!$B$8:$B$27,M$4)="",0,COUNTIF(Data!$B818:$U818,INDEX(Pengaturan!$B$8:$B$27,M$4)))</f>
        <v>0</v>
      </c>
      <c r="N818" s="26" t="n">
        <f aca="false">IF(INDEX(Pengaturan!$B$8:$B$27,N$4)="",0,COUNTIF(Data!$B818:$U818,INDEX(Pengaturan!$B$8:$B$27,N$4)))</f>
        <v>0</v>
      </c>
      <c r="O818" s="26" t="n">
        <f aca="false">IF(INDEX(Pengaturan!$B$8:$B$27,O$4)="",0,COUNTIF(Data!$B818:$U818,INDEX(Pengaturan!$B$8:$B$27,O$4)))</f>
        <v>0</v>
      </c>
      <c r="P818" s="26" t="n">
        <f aca="false">IF(INDEX(Pengaturan!$B$8:$B$27,P$4)="",0,COUNTIF(Data!$B818:$U818,INDEX(Pengaturan!$B$8:$B$27,P$4)))</f>
        <v>0</v>
      </c>
      <c r="Q818" s="26" t="n">
        <f aca="false">IF(INDEX(Pengaturan!$B$8:$B$27,Q$4)="",0,COUNTIF(Data!$B818:$U818,INDEX(Pengaturan!$B$8:$B$27,Q$4)))</f>
        <v>0</v>
      </c>
      <c r="R818" s="26" t="n">
        <f aca="false">IF(INDEX(Pengaturan!$B$8:$B$27,R$4)="",0,COUNTIF(Data!$B818:$U818,INDEX(Pengaturan!$B$8:$B$27,R$4)))</f>
        <v>0</v>
      </c>
      <c r="S818" s="26" t="n">
        <f aca="false">IF(INDEX(Pengaturan!$B$8:$B$27,S$4)="",0,COUNTIF(Data!$B818:$U818,INDEX(Pengaturan!$B$8:$B$27,S$4)))</f>
        <v>0</v>
      </c>
      <c r="T818" s="26" t="n">
        <f aca="false">IF(INDEX(Pengaturan!$B$8:$B$27,T$4)="",0,COUNTIF(Data!$B818:$U818,INDEX(Pengaturan!$B$8:$B$27,T$4)))</f>
        <v>0</v>
      </c>
      <c r="U818" s="26" t="n">
        <f aca="false">IF(INDEX(Pengaturan!$B$8:$B$27,U$4)="",0,COUNTIF(Data!$B818:$U818,INDEX(Pengaturan!$B$8:$B$27,U$4)))</f>
        <v>0</v>
      </c>
      <c r="V818" s="26" t="n">
        <f aca="false">COUNTA(Data!$B818:$U818)</f>
        <v>0</v>
      </c>
      <c r="W818" s="27" t="str">
        <f aca="false">IF(V818=0,"",IF(V818&lt;&gt;Hasil!$C$4,"Data kosong/tidak lengkap",IF(SUM(B818:U818)&lt;&gt;V818,"Kategori tidak dikenal","OK")))</f>
        <v/>
      </c>
      <c r="X818" s="26" t="n">
        <f aca="false">IF(OR(W818="",W818="OK"),0,1)</f>
        <v>0</v>
      </c>
    </row>
    <row r="819" customFormat="false" ht="15" hidden="false" customHeight="false" outlineLevel="0" collapsed="false">
      <c r="A819" s="26" t="n">
        <f aca="false">Data!A819</f>
        <v>814</v>
      </c>
      <c r="B819" s="26" t="n">
        <f aca="false">IF(INDEX(Pengaturan!$B$8:$B$27,B$4)="",0,COUNTIF(Data!$B819:$U819,INDEX(Pengaturan!$B$8:$B$27,B$4)))</f>
        <v>0</v>
      </c>
      <c r="C819" s="26" t="n">
        <f aca="false">IF(INDEX(Pengaturan!$B$8:$B$27,C$4)="",0,COUNTIF(Data!$B819:$U819,INDEX(Pengaturan!$B$8:$B$27,C$4)))</f>
        <v>0</v>
      </c>
      <c r="D819" s="26" t="n">
        <f aca="false">IF(INDEX(Pengaturan!$B$8:$B$27,D$4)="",0,COUNTIF(Data!$B819:$U819,INDEX(Pengaturan!$B$8:$B$27,D$4)))</f>
        <v>0</v>
      </c>
      <c r="E819" s="26" t="n">
        <f aca="false">IF(INDEX(Pengaturan!$B$8:$B$27,E$4)="",0,COUNTIF(Data!$B819:$U819,INDEX(Pengaturan!$B$8:$B$27,E$4)))</f>
        <v>0</v>
      </c>
      <c r="F819" s="26" t="n">
        <f aca="false">IF(INDEX(Pengaturan!$B$8:$B$27,F$4)="",0,COUNTIF(Data!$B819:$U819,INDEX(Pengaturan!$B$8:$B$27,F$4)))</f>
        <v>0</v>
      </c>
      <c r="G819" s="26" t="n">
        <f aca="false">IF(INDEX(Pengaturan!$B$8:$B$27,G$4)="",0,COUNTIF(Data!$B819:$U819,INDEX(Pengaturan!$B$8:$B$27,G$4)))</f>
        <v>0</v>
      </c>
      <c r="H819" s="26" t="n">
        <f aca="false">IF(INDEX(Pengaturan!$B$8:$B$27,H$4)="",0,COUNTIF(Data!$B819:$U819,INDEX(Pengaturan!$B$8:$B$27,H$4)))</f>
        <v>0</v>
      </c>
      <c r="I819" s="26" t="n">
        <f aca="false">IF(INDEX(Pengaturan!$B$8:$B$27,I$4)="",0,COUNTIF(Data!$B819:$U819,INDEX(Pengaturan!$B$8:$B$27,I$4)))</f>
        <v>0</v>
      </c>
      <c r="J819" s="26" t="n">
        <f aca="false">IF(INDEX(Pengaturan!$B$8:$B$27,J$4)="",0,COUNTIF(Data!$B819:$U819,INDEX(Pengaturan!$B$8:$B$27,J$4)))</f>
        <v>0</v>
      </c>
      <c r="K819" s="26" t="n">
        <f aca="false">IF(INDEX(Pengaturan!$B$8:$B$27,K$4)="",0,COUNTIF(Data!$B819:$U819,INDEX(Pengaturan!$B$8:$B$27,K$4)))</f>
        <v>0</v>
      </c>
      <c r="L819" s="26" t="n">
        <f aca="false">IF(INDEX(Pengaturan!$B$8:$B$27,L$4)="",0,COUNTIF(Data!$B819:$U819,INDEX(Pengaturan!$B$8:$B$27,L$4)))</f>
        <v>0</v>
      </c>
      <c r="M819" s="26" t="n">
        <f aca="false">IF(INDEX(Pengaturan!$B$8:$B$27,M$4)="",0,COUNTIF(Data!$B819:$U819,INDEX(Pengaturan!$B$8:$B$27,M$4)))</f>
        <v>0</v>
      </c>
      <c r="N819" s="26" t="n">
        <f aca="false">IF(INDEX(Pengaturan!$B$8:$B$27,N$4)="",0,COUNTIF(Data!$B819:$U819,INDEX(Pengaturan!$B$8:$B$27,N$4)))</f>
        <v>0</v>
      </c>
      <c r="O819" s="26" t="n">
        <f aca="false">IF(INDEX(Pengaturan!$B$8:$B$27,O$4)="",0,COUNTIF(Data!$B819:$U819,INDEX(Pengaturan!$B$8:$B$27,O$4)))</f>
        <v>0</v>
      </c>
      <c r="P819" s="26" t="n">
        <f aca="false">IF(INDEX(Pengaturan!$B$8:$B$27,P$4)="",0,COUNTIF(Data!$B819:$U819,INDEX(Pengaturan!$B$8:$B$27,P$4)))</f>
        <v>0</v>
      </c>
      <c r="Q819" s="26" t="n">
        <f aca="false">IF(INDEX(Pengaturan!$B$8:$B$27,Q$4)="",0,COUNTIF(Data!$B819:$U819,INDEX(Pengaturan!$B$8:$B$27,Q$4)))</f>
        <v>0</v>
      </c>
      <c r="R819" s="26" t="n">
        <f aca="false">IF(INDEX(Pengaturan!$B$8:$B$27,R$4)="",0,COUNTIF(Data!$B819:$U819,INDEX(Pengaturan!$B$8:$B$27,R$4)))</f>
        <v>0</v>
      </c>
      <c r="S819" s="26" t="n">
        <f aca="false">IF(INDEX(Pengaturan!$B$8:$B$27,S$4)="",0,COUNTIF(Data!$B819:$U819,INDEX(Pengaturan!$B$8:$B$27,S$4)))</f>
        <v>0</v>
      </c>
      <c r="T819" s="26" t="n">
        <f aca="false">IF(INDEX(Pengaturan!$B$8:$B$27,T$4)="",0,COUNTIF(Data!$B819:$U819,INDEX(Pengaturan!$B$8:$B$27,T$4)))</f>
        <v>0</v>
      </c>
      <c r="U819" s="26" t="n">
        <f aca="false">IF(INDEX(Pengaturan!$B$8:$B$27,U$4)="",0,COUNTIF(Data!$B819:$U819,INDEX(Pengaturan!$B$8:$B$27,U$4)))</f>
        <v>0</v>
      </c>
      <c r="V819" s="26" t="n">
        <f aca="false">COUNTA(Data!$B819:$U819)</f>
        <v>0</v>
      </c>
      <c r="W819" s="27" t="str">
        <f aca="false">IF(V819=0,"",IF(V819&lt;&gt;Hasil!$C$4,"Data kosong/tidak lengkap",IF(SUM(B819:U819)&lt;&gt;V819,"Kategori tidak dikenal","OK")))</f>
        <v/>
      </c>
      <c r="X819" s="26" t="n">
        <f aca="false">IF(OR(W819="",W819="OK"),0,1)</f>
        <v>0</v>
      </c>
    </row>
    <row r="820" customFormat="false" ht="15" hidden="false" customHeight="false" outlineLevel="0" collapsed="false">
      <c r="A820" s="26" t="n">
        <f aca="false">Data!A820</f>
        <v>815</v>
      </c>
      <c r="B820" s="26" t="n">
        <f aca="false">IF(INDEX(Pengaturan!$B$8:$B$27,B$4)="",0,COUNTIF(Data!$B820:$U820,INDEX(Pengaturan!$B$8:$B$27,B$4)))</f>
        <v>0</v>
      </c>
      <c r="C820" s="26" t="n">
        <f aca="false">IF(INDEX(Pengaturan!$B$8:$B$27,C$4)="",0,COUNTIF(Data!$B820:$U820,INDEX(Pengaturan!$B$8:$B$27,C$4)))</f>
        <v>0</v>
      </c>
      <c r="D820" s="26" t="n">
        <f aca="false">IF(INDEX(Pengaturan!$B$8:$B$27,D$4)="",0,COUNTIF(Data!$B820:$U820,INDEX(Pengaturan!$B$8:$B$27,D$4)))</f>
        <v>0</v>
      </c>
      <c r="E820" s="26" t="n">
        <f aca="false">IF(INDEX(Pengaturan!$B$8:$B$27,E$4)="",0,COUNTIF(Data!$B820:$U820,INDEX(Pengaturan!$B$8:$B$27,E$4)))</f>
        <v>0</v>
      </c>
      <c r="F820" s="26" t="n">
        <f aca="false">IF(INDEX(Pengaturan!$B$8:$B$27,F$4)="",0,COUNTIF(Data!$B820:$U820,INDEX(Pengaturan!$B$8:$B$27,F$4)))</f>
        <v>0</v>
      </c>
      <c r="G820" s="26" t="n">
        <f aca="false">IF(INDEX(Pengaturan!$B$8:$B$27,G$4)="",0,COUNTIF(Data!$B820:$U820,INDEX(Pengaturan!$B$8:$B$27,G$4)))</f>
        <v>0</v>
      </c>
      <c r="H820" s="26" t="n">
        <f aca="false">IF(INDEX(Pengaturan!$B$8:$B$27,H$4)="",0,COUNTIF(Data!$B820:$U820,INDEX(Pengaturan!$B$8:$B$27,H$4)))</f>
        <v>0</v>
      </c>
      <c r="I820" s="26" t="n">
        <f aca="false">IF(INDEX(Pengaturan!$B$8:$B$27,I$4)="",0,COUNTIF(Data!$B820:$U820,INDEX(Pengaturan!$B$8:$B$27,I$4)))</f>
        <v>0</v>
      </c>
      <c r="J820" s="26" t="n">
        <f aca="false">IF(INDEX(Pengaturan!$B$8:$B$27,J$4)="",0,COUNTIF(Data!$B820:$U820,INDEX(Pengaturan!$B$8:$B$27,J$4)))</f>
        <v>0</v>
      </c>
      <c r="K820" s="26" t="n">
        <f aca="false">IF(INDEX(Pengaturan!$B$8:$B$27,K$4)="",0,COUNTIF(Data!$B820:$U820,INDEX(Pengaturan!$B$8:$B$27,K$4)))</f>
        <v>0</v>
      </c>
      <c r="L820" s="26" t="n">
        <f aca="false">IF(INDEX(Pengaturan!$B$8:$B$27,L$4)="",0,COUNTIF(Data!$B820:$U820,INDEX(Pengaturan!$B$8:$B$27,L$4)))</f>
        <v>0</v>
      </c>
      <c r="M820" s="26" t="n">
        <f aca="false">IF(INDEX(Pengaturan!$B$8:$B$27,M$4)="",0,COUNTIF(Data!$B820:$U820,INDEX(Pengaturan!$B$8:$B$27,M$4)))</f>
        <v>0</v>
      </c>
      <c r="N820" s="26" t="n">
        <f aca="false">IF(INDEX(Pengaturan!$B$8:$B$27,N$4)="",0,COUNTIF(Data!$B820:$U820,INDEX(Pengaturan!$B$8:$B$27,N$4)))</f>
        <v>0</v>
      </c>
      <c r="O820" s="26" t="n">
        <f aca="false">IF(INDEX(Pengaturan!$B$8:$B$27,O$4)="",0,COUNTIF(Data!$B820:$U820,INDEX(Pengaturan!$B$8:$B$27,O$4)))</f>
        <v>0</v>
      </c>
      <c r="P820" s="26" t="n">
        <f aca="false">IF(INDEX(Pengaturan!$B$8:$B$27,P$4)="",0,COUNTIF(Data!$B820:$U820,INDEX(Pengaturan!$B$8:$B$27,P$4)))</f>
        <v>0</v>
      </c>
      <c r="Q820" s="26" t="n">
        <f aca="false">IF(INDEX(Pengaturan!$B$8:$B$27,Q$4)="",0,COUNTIF(Data!$B820:$U820,INDEX(Pengaturan!$B$8:$B$27,Q$4)))</f>
        <v>0</v>
      </c>
      <c r="R820" s="26" t="n">
        <f aca="false">IF(INDEX(Pengaturan!$B$8:$B$27,R$4)="",0,COUNTIF(Data!$B820:$U820,INDEX(Pengaturan!$B$8:$B$27,R$4)))</f>
        <v>0</v>
      </c>
      <c r="S820" s="26" t="n">
        <f aca="false">IF(INDEX(Pengaturan!$B$8:$B$27,S$4)="",0,COUNTIF(Data!$B820:$U820,INDEX(Pengaturan!$B$8:$B$27,S$4)))</f>
        <v>0</v>
      </c>
      <c r="T820" s="26" t="n">
        <f aca="false">IF(INDEX(Pengaturan!$B$8:$B$27,T$4)="",0,COUNTIF(Data!$B820:$U820,INDEX(Pengaturan!$B$8:$B$27,T$4)))</f>
        <v>0</v>
      </c>
      <c r="U820" s="26" t="n">
        <f aca="false">IF(INDEX(Pengaturan!$B$8:$B$27,U$4)="",0,COUNTIF(Data!$B820:$U820,INDEX(Pengaturan!$B$8:$B$27,U$4)))</f>
        <v>0</v>
      </c>
      <c r="V820" s="26" t="n">
        <f aca="false">COUNTA(Data!$B820:$U820)</f>
        <v>0</v>
      </c>
      <c r="W820" s="27" t="str">
        <f aca="false">IF(V820=0,"",IF(V820&lt;&gt;Hasil!$C$4,"Data kosong/tidak lengkap",IF(SUM(B820:U820)&lt;&gt;V820,"Kategori tidak dikenal","OK")))</f>
        <v/>
      </c>
      <c r="X820" s="26" t="n">
        <f aca="false">IF(OR(W820="",W820="OK"),0,1)</f>
        <v>0</v>
      </c>
    </row>
    <row r="821" customFormat="false" ht="15" hidden="false" customHeight="false" outlineLevel="0" collapsed="false">
      <c r="A821" s="26" t="n">
        <f aca="false">Data!A821</f>
        <v>816</v>
      </c>
      <c r="B821" s="26" t="n">
        <f aca="false">IF(INDEX(Pengaturan!$B$8:$B$27,B$4)="",0,COUNTIF(Data!$B821:$U821,INDEX(Pengaturan!$B$8:$B$27,B$4)))</f>
        <v>0</v>
      </c>
      <c r="C821" s="26" t="n">
        <f aca="false">IF(INDEX(Pengaturan!$B$8:$B$27,C$4)="",0,COUNTIF(Data!$B821:$U821,INDEX(Pengaturan!$B$8:$B$27,C$4)))</f>
        <v>0</v>
      </c>
      <c r="D821" s="26" t="n">
        <f aca="false">IF(INDEX(Pengaturan!$B$8:$B$27,D$4)="",0,COUNTIF(Data!$B821:$U821,INDEX(Pengaturan!$B$8:$B$27,D$4)))</f>
        <v>0</v>
      </c>
      <c r="E821" s="26" t="n">
        <f aca="false">IF(INDEX(Pengaturan!$B$8:$B$27,E$4)="",0,COUNTIF(Data!$B821:$U821,INDEX(Pengaturan!$B$8:$B$27,E$4)))</f>
        <v>0</v>
      </c>
      <c r="F821" s="26" t="n">
        <f aca="false">IF(INDEX(Pengaturan!$B$8:$B$27,F$4)="",0,COUNTIF(Data!$B821:$U821,INDEX(Pengaturan!$B$8:$B$27,F$4)))</f>
        <v>0</v>
      </c>
      <c r="G821" s="26" t="n">
        <f aca="false">IF(INDEX(Pengaturan!$B$8:$B$27,G$4)="",0,COUNTIF(Data!$B821:$U821,INDEX(Pengaturan!$B$8:$B$27,G$4)))</f>
        <v>0</v>
      </c>
      <c r="H821" s="26" t="n">
        <f aca="false">IF(INDEX(Pengaturan!$B$8:$B$27,H$4)="",0,COUNTIF(Data!$B821:$U821,INDEX(Pengaturan!$B$8:$B$27,H$4)))</f>
        <v>0</v>
      </c>
      <c r="I821" s="26" t="n">
        <f aca="false">IF(INDEX(Pengaturan!$B$8:$B$27,I$4)="",0,COUNTIF(Data!$B821:$U821,INDEX(Pengaturan!$B$8:$B$27,I$4)))</f>
        <v>0</v>
      </c>
      <c r="J821" s="26" t="n">
        <f aca="false">IF(INDEX(Pengaturan!$B$8:$B$27,J$4)="",0,COUNTIF(Data!$B821:$U821,INDEX(Pengaturan!$B$8:$B$27,J$4)))</f>
        <v>0</v>
      </c>
      <c r="K821" s="26" t="n">
        <f aca="false">IF(INDEX(Pengaturan!$B$8:$B$27,K$4)="",0,COUNTIF(Data!$B821:$U821,INDEX(Pengaturan!$B$8:$B$27,K$4)))</f>
        <v>0</v>
      </c>
      <c r="L821" s="26" t="n">
        <f aca="false">IF(INDEX(Pengaturan!$B$8:$B$27,L$4)="",0,COUNTIF(Data!$B821:$U821,INDEX(Pengaturan!$B$8:$B$27,L$4)))</f>
        <v>0</v>
      </c>
      <c r="M821" s="26" t="n">
        <f aca="false">IF(INDEX(Pengaturan!$B$8:$B$27,M$4)="",0,COUNTIF(Data!$B821:$U821,INDEX(Pengaturan!$B$8:$B$27,M$4)))</f>
        <v>0</v>
      </c>
      <c r="N821" s="26" t="n">
        <f aca="false">IF(INDEX(Pengaturan!$B$8:$B$27,N$4)="",0,COUNTIF(Data!$B821:$U821,INDEX(Pengaturan!$B$8:$B$27,N$4)))</f>
        <v>0</v>
      </c>
      <c r="O821" s="26" t="n">
        <f aca="false">IF(INDEX(Pengaturan!$B$8:$B$27,O$4)="",0,COUNTIF(Data!$B821:$U821,INDEX(Pengaturan!$B$8:$B$27,O$4)))</f>
        <v>0</v>
      </c>
      <c r="P821" s="26" t="n">
        <f aca="false">IF(INDEX(Pengaturan!$B$8:$B$27,P$4)="",0,COUNTIF(Data!$B821:$U821,INDEX(Pengaturan!$B$8:$B$27,P$4)))</f>
        <v>0</v>
      </c>
      <c r="Q821" s="26" t="n">
        <f aca="false">IF(INDEX(Pengaturan!$B$8:$B$27,Q$4)="",0,COUNTIF(Data!$B821:$U821,INDEX(Pengaturan!$B$8:$B$27,Q$4)))</f>
        <v>0</v>
      </c>
      <c r="R821" s="26" t="n">
        <f aca="false">IF(INDEX(Pengaturan!$B$8:$B$27,R$4)="",0,COUNTIF(Data!$B821:$U821,INDEX(Pengaturan!$B$8:$B$27,R$4)))</f>
        <v>0</v>
      </c>
      <c r="S821" s="26" t="n">
        <f aca="false">IF(INDEX(Pengaturan!$B$8:$B$27,S$4)="",0,COUNTIF(Data!$B821:$U821,INDEX(Pengaturan!$B$8:$B$27,S$4)))</f>
        <v>0</v>
      </c>
      <c r="T821" s="26" t="n">
        <f aca="false">IF(INDEX(Pengaturan!$B$8:$B$27,T$4)="",0,COUNTIF(Data!$B821:$U821,INDEX(Pengaturan!$B$8:$B$27,T$4)))</f>
        <v>0</v>
      </c>
      <c r="U821" s="26" t="n">
        <f aca="false">IF(INDEX(Pengaturan!$B$8:$B$27,U$4)="",0,COUNTIF(Data!$B821:$U821,INDEX(Pengaturan!$B$8:$B$27,U$4)))</f>
        <v>0</v>
      </c>
      <c r="V821" s="26" t="n">
        <f aca="false">COUNTA(Data!$B821:$U821)</f>
        <v>0</v>
      </c>
      <c r="W821" s="27" t="str">
        <f aca="false">IF(V821=0,"",IF(V821&lt;&gt;Hasil!$C$4,"Data kosong/tidak lengkap",IF(SUM(B821:U821)&lt;&gt;V821,"Kategori tidak dikenal","OK")))</f>
        <v/>
      </c>
      <c r="X821" s="26" t="n">
        <f aca="false">IF(OR(W821="",W821="OK"),0,1)</f>
        <v>0</v>
      </c>
    </row>
    <row r="822" customFormat="false" ht="15" hidden="false" customHeight="false" outlineLevel="0" collapsed="false">
      <c r="A822" s="26" t="n">
        <f aca="false">Data!A822</f>
        <v>817</v>
      </c>
      <c r="B822" s="26" t="n">
        <f aca="false">IF(INDEX(Pengaturan!$B$8:$B$27,B$4)="",0,COUNTIF(Data!$B822:$U822,INDEX(Pengaturan!$B$8:$B$27,B$4)))</f>
        <v>0</v>
      </c>
      <c r="C822" s="26" t="n">
        <f aca="false">IF(INDEX(Pengaturan!$B$8:$B$27,C$4)="",0,COUNTIF(Data!$B822:$U822,INDEX(Pengaturan!$B$8:$B$27,C$4)))</f>
        <v>0</v>
      </c>
      <c r="D822" s="26" t="n">
        <f aca="false">IF(INDEX(Pengaturan!$B$8:$B$27,D$4)="",0,COUNTIF(Data!$B822:$U822,INDEX(Pengaturan!$B$8:$B$27,D$4)))</f>
        <v>0</v>
      </c>
      <c r="E822" s="26" t="n">
        <f aca="false">IF(INDEX(Pengaturan!$B$8:$B$27,E$4)="",0,COUNTIF(Data!$B822:$U822,INDEX(Pengaturan!$B$8:$B$27,E$4)))</f>
        <v>0</v>
      </c>
      <c r="F822" s="26" t="n">
        <f aca="false">IF(INDEX(Pengaturan!$B$8:$B$27,F$4)="",0,COUNTIF(Data!$B822:$U822,INDEX(Pengaturan!$B$8:$B$27,F$4)))</f>
        <v>0</v>
      </c>
      <c r="G822" s="26" t="n">
        <f aca="false">IF(INDEX(Pengaturan!$B$8:$B$27,G$4)="",0,COUNTIF(Data!$B822:$U822,INDEX(Pengaturan!$B$8:$B$27,G$4)))</f>
        <v>0</v>
      </c>
      <c r="H822" s="26" t="n">
        <f aca="false">IF(INDEX(Pengaturan!$B$8:$B$27,H$4)="",0,COUNTIF(Data!$B822:$U822,INDEX(Pengaturan!$B$8:$B$27,H$4)))</f>
        <v>0</v>
      </c>
      <c r="I822" s="26" t="n">
        <f aca="false">IF(INDEX(Pengaturan!$B$8:$B$27,I$4)="",0,COUNTIF(Data!$B822:$U822,INDEX(Pengaturan!$B$8:$B$27,I$4)))</f>
        <v>0</v>
      </c>
      <c r="J822" s="26" t="n">
        <f aca="false">IF(INDEX(Pengaturan!$B$8:$B$27,J$4)="",0,COUNTIF(Data!$B822:$U822,INDEX(Pengaturan!$B$8:$B$27,J$4)))</f>
        <v>0</v>
      </c>
      <c r="K822" s="26" t="n">
        <f aca="false">IF(INDEX(Pengaturan!$B$8:$B$27,K$4)="",0,COUNTIF(Data!$B822:$U822,INDEX(Pengaturan!$B$8:$B$27,K$4)))</f>
        <v>0</v>
      </c>
      <c r="L822" s="26" t="n">
        <f aca="false">IF(INDEX(Pengaturan!$B$8:$B$27,L$4)="",0,COUNTIF(Data!$B822:$U822,INDEX(Pengaturan!$B$8:$B$27,L$4)))</f>
        <v>0</v>
      </c>
      <c r="M822" s="26" t="n">
        <f aca="false">IF(INDEX(Pengaturan!$B$8:$B$27,M$4)="",0,COUNTIF(Data!$B822:$U822,INDEX(Pengaturan!$B$8:$B$27,M$4)))</f>
        <v>0</v>
      </c>
      <c r="N822" s="26" t="n">
        <f aca="false">IF(INDEX(Pengaturan!$B$8:$B$27,N$4)="",0,COUNTIF(Data!$B822:$U822,INDEX(Pengaturan!$B$8:$B$27,N$4)))</f>
        <v>0</v>
      </c>
      <c r="O822" s="26" t="n">
        <f aca="false">IF(INDEX(Pengaturan!$B$8:$B$27,O$4)="",0,COUNTIF(Data!$B822:$U822,INDEX(Pengaturan!$B$8:$B$27,O$4)))</f>
        <v>0</v>
      </c>
      <c r="P822" s="26" t="n">
        <f aca="false">IF(INDEX(Pengaturan!$B$8:$B$27,P$4)="",0,COUNTIF(Data!$B822:$U822,INDEX(Pengaturan!$B$8:$B$27,P$4)))</f>
        <v>0</v>
      </c>
      <c r="Q822" s="26" t="n">
        <f aca="false">IF(INDEX(Pengaturan!$B$8:$B$27,Q$4)="",0,COUNTIF(Data!$B822:$U822,INDEX(Pengaturan!$B$8:$B$27,Q$4)))</f>
        <v>0</v>
      </c>
      <c r="R822" s="26" t="n">
        <f aca="false">IF(INDEX(Pengaturan!$B$8:$B$27,R$4)="",0,COUNTIF(Data!$B822:$U822,INDEX(Pengaturan!$B$8:$B$27,R$4)))</f>
        <v>0</v>
      </c>
      <c r="S822" s="26" t="n">
        <f aca="false">IF(INDEX(Pengaturan!$B$8:$B$27,S$4)="",0,COUNTIF(Data!$B822:$U822,INDEX(Pengaturan!$B$8:$B$27,S$4)))</f>
        <v>0</v>
      </c>
      <c r="T822" s="26" t="n">
        <f aca="false">IF(INDEX(Pengaturan!$B$8:$B$27,T$4)="",0,COUNTIF(Data!$B822:$U822,INDEX(Pengaturan!$B$8:$B$27,T$4)))</f>
        <v>0</v>
      </c>
      <c r="U822" s="26" t="n">
        <f aca="false">IF(INDEX(Pengaturan!$B$8:$B$27,U$4)="",0,COUNTIF(Data!$B822:$U822,INDEX(Pengaturan!$B$8:$B$27,U$4)))</f>
        <v>0</v>
      </c>
      <c r="V822" s="26" t="n">
        <f aca="false">COUNTA(Data!$B822:$U822)</f>
        <v>0</v>
      </c>
      <c r="W822" s="27" t="str">
        <f aca="false">IF(V822=0,"",IF(V822&lt;&gt;Hasil!$C$4,"Data kosong/tidak lengkap",IF(SUM(B822:U822)&lt;&gt;V822,"Kategori tidak dikenal","OK")))</f>
        <v/>
      </c>
      <c r="X822" s="26" t="n">
        <f aca="false">IF(OR(W822="",W822="OK"),0,1)</f>
        <v>0</v>
      </c>
    </row>
    <row r="823" customFormat="false" ht="15" hidden="false" customHeight="false" outlineLevel="0" collapsed="false">
      <c r="A823" s="26" t="n">
        <f aca="false">Data!A823</f>
        <v>818</v>
      </c>
      <c r="B823" s="26" t="n">
        <f aca="false">IF(INDEX(Pengaturan!$B$8:$B$27,B$4)="",0,COUNTIF(Data!$B823:$U823,INDEX(Pengaturan!$B$8:$B$27,B$4)))</f>
        <v>0</v>
      </c>
      <c r="C823" s="26" t="n">
        <f aca="false">IF(INDEX(Pengaturan!$B$8:$B$27,C$4)="",0,COUNTIF(Data!$B823:$U823,INDEX(Pengaturan!$B$8:$B$27,C$4)))</f>
        <v>0</v>
      </c>
      <c r="D823" s="26" t="n">
        <f aca="false">IF(INDEX(Pengaturan!$B$8:$B$27,D$4)="",0,COUNTIF(Data!$B823:$U823,INDEX(Pengaturan!$B$8:$B$27,D$4)))</f>
        <v>0</v>
      </c>
      <c r="E823" s="26" t="n">
        <f aca="false">IF(INDEX(Pengaturan!$B$8:$B$27,E$4)="",0,COUNTIF(Data!$B823:$U823,INDEX(Pengaturan!$B$8:$B$27,E$4)))</f>
        <v>0</v>
      </c>
      <c r="F823" s="26" t="n">
        <f aca="false">IF(INDEX(Pengaturan!$B$8:$B$27,F$4)="",0,COUNTIF(Data!$B823:$U823,INDEX(Pengaturan!$B$8:$B$27,F$4)))</f>
        <v>0</v>
      </c>
      <c r="G823" s="26" t="n">
        <f aca="false">IF(INDEX(Pengaturan!$B$8:$B$27,G$4)="",0,COUNTIF(Data!$B823:$U823,INDEX(Pengaturan!$B$8:$B$27,G$4)))</f>
        <v>0</v>
      </c>
      <c r="H823" s="26" t="n">
        <f aca="false">IF(INDEX(Pengaturan!$B$8:$B$27,H$4)="",0,COUNTIF(Data!$B823:$U823,INDEX(Pengaturan!$B$8:$B$27,H$4)))</f>
        <v>0</v>
      </c>
      <c r="I823" s="26" t="n">
        <f aca="false">IF(INDEX(Pengaturan!$B$8:$B$27,I$4)="",0,COUNTIF(Data!$B823:$U823,INDEX(Pengaturan!$B$8:$B$27,I$4)))</f>
        <v>0</v>
      </c>
      <c r="J823" s="26" t="n">
        <f aca="false">IF(INDEX(Pengaturan!$B$8:$B$27,J$4)="",0,COUNTIF(Data!$B823:$U823,INDEX(Pengaturan!$B$8:$B$27,J$4)))</f>
        <v>0</v>
      </c>
      <c r="K823" s="26" t="n">
        <f aca="false">IF(INDEX(Pengaturan!$B$8:$B$27,K$4)="",0,COUNTIF(Data!$B823:$U823,INDEX(Pengaturan!$B$8:$B$27,K$4)))</f>
        <v>0</v>
      </c>
      <c r="L823" s="26" t="n">
        <f aca="false">IF(INDEX(Pengaturan!$B$8:$B$27,L$4)="",0,COUNTIF(Data!$B823:$U823,INDEX(Pengaturan!$B$8:$B$27,L$4)))</f>
        <v>0</v>
      </c>
      <c r="M823" s="26" t="n">
        <f aca="false">IF(INDEX(Pengaturan!$B$8:$B$27,M$4)="",0,COUNTIF(Data!$B823:$U823,INDEX(Pengaturan!$B$8:$B$27,M$4)))</f>
        <v>0</v>
      </c>
      <c r="N823" s="26" t="n">
        <f aca="false">IF(INDEX(Pengaturan!$B$8:$B$27,N$4)="",0,COUNTIF(Data!$B823:$U823,INDEX(Pengaturan!$B$8:$B$27,N$4)))</f>
        <v>0</v>
      </c>
      <c r="O823" s="26" t="n">
        <f aca="false">IF(INDEX(Pengaturan!$B$8:$B$27,O$4)="",0,COUNTIF(Data!$B823:$U823,INDEX(Pengaturan!$B$8:$B$27,O$4)))</f>
        <v>0</v>
      </c>
      <c r="P823" s="26" t="n">
        <f aca="false">IF(INDEX(Pengaturan!$B$8:$B$27,P$4)="",0,COUNTIF(Data!$B823:$U823,INDEX(Pengaturan!$B$8:$B$27,P$4)))</f>
        <v>0</v>
      </c>
      <c r="Q823" s="26" t="n">
        <f aca="false">IF(INDEX(Pengaturan!$B$8:$B$27,Q$4)="",0,COUNTIF(Data!$B823:$U823,INDEX(Pengaturan!$B$8:$B$27,Q$4)))</f>
        <v>0</v>
      </c>
      <c r="R823" s="26" t="n">
        <f aca="false">IF(INDEX(Pengaturan!$B$8:$B$27,R$4)="",0,COUNTIF(Data!$B823:$U823,INDEX(Pengaturan!$B$8:$B$27,R$4)))</f>
        <v>0</v>
      </c>
      <c r="S823" s="26" t="n">
        <f aca="false">IF(INDEX(Pengaturan!$B$8:$B$27,S$4)="",0,COUNTIF(Data!$B823:$U823,INDEX(Pengaturan!$B$8:$B$27,S$4)))</f>
        <v>0</v>
      </c>
      <c r="T823" s="26" t="n">
        <f aca="false">IF(INDEX(Pengaturan!$B$8:$B$27,T$4)="",0,COUNTIF(Data!$B823:$U823,INDEX(Pengaturan!$B$8:$B$27,T$4)))</f>
        <v>0</v>
      </c>
      <c r="U823" s="26" t="n">
        <f aca="false">IF(INDEX(Pengaturan!$B$8:$B$27,U$4)="",0,COUNTIF(Data!$B823:$U823,INDEX(Pengaturan!$B$8:$B$27,U$4)))</f>
        <v>0</v>
      </c>
      <c r="V823" s="26" t="n">
        <f aca="false">COUNTA(Data!$B823:$U823)</f>
        <v>0</v>
      </c>
      <c r="W823" s="27" t="str">
        <f aca="false">IF(V823=0,"",IF(V823&lt;&gt;Hasil!$C$4,"Data kosong/tidak lengkap",IF(SUM(B823:U823)&lt;&gt;V823,"Kategori tidak dikenal","OK")))</f>
        <v/>
      </c>
      <c r="X823" s="26" t="n">
        <f aca="false">IF(OR(W823="",W823="OK"),0,1)</f>
        <v>0</v>
      </c>
    </row>
    <row r="824" customFormat="false" ht="15" hidden="false" customHeight="false" outlineLevel="0" collapsed="false">
      <c r="A824" s="26" t="n">
        <f aca="false">Data!A824</f>
        <v>819</v>
      </c>
      <c r="B824" s="26" t="n">
        <f aca="false">IF(INDEX(Pengaturan!$B$8:$B$27,B$4)="",0,COUNTIF(Data!$B824:$U824,INDEX(Pengaturan!$B$8:$B$27,B$4)))</f>
        <v>0</v>
      </c>
      <c r="C824" s="26" t="n">
        <f aca="false">IF(INDEX(Pengaturan!$B$8:$B$27,C$4)="",0,COUNTIF(Data!$B824:$U824,INDEX(Pengaturan!$B$8:$B$27,C$4)))</f>
        <v>0</v>
      </c>
      <c r="D824" s="26" t="n">
        <f aca="false">IF(INDEX(Pengaturan!$B$8:$B$27,D$4)="",0,COUNTIF(Data!$B824:$U824,INDEX(Pengaturan!$B$8:$B$27,D$4)))</f>
        <v>0</v>
      </c>
      <c r="E824" s="26" t="n">
        <f aca="false">IF(INDEX(Pengaturan!$B$8:$B$27,E$4)="",0,COUNTIF(Data!$B824:$U824,INDEX(Pengaturan!$B$8:$B$27,E$4)))</f>
        <v>0</v>
      </c>
      <c r="F824" s="26" t="n">
        <f aca="false">IF(INDEX(Pengaturan!$B$8:$B$27,F$4)="",0,COUNTIF(Data!$B824:$U824,INDEX(Pengaturan!$B$8:$B$27,F$4)))</f>
        <v>0</v>
      </c>
      <c r="G824" s="26" t="n">
        <f aca="false">IF(INDEX(Pengaturan!$B$8:$B$27,G$4)="",0,COUNTIF(Data!$B824:$U824,INDEX(Pengaturan!$B$8:$B$27,G$4)))</f>
        <v>0</v>
      </c>
      <c r="H824" s="26" t="n">
        <f aca="false">IF(INDEX(Pengaturan!$B$8:$B$27,H$4)="",0,COUNTIF(Data!$B824:$U824,INDEX(Pengaturan!$B$8:$B$27,H$4)))</f>
        <v>0</v>
      </c>
      <c r="I824" s="26" t="n">
        <f aca="false">IF(INDEX(Pengaturan!$B$8:$B$27,I$4)="",0,COUNTIF(Data!$B824:$U824,INDEX(Pengaturan!$B$8:$B$27,I$4)))</f>
        <v>0</v>
      </c>
      <c r="J824" s="26" t="n">
        <f aca="false">IF(INDEX(Pengaturan!$B$8:$B$27,J$4)="",0,COUNTIF(Data!$B824:$U824,INDEX(Pengaturan!$B$8:$B$27,J$4)))</f>
        <v>0</v>
      </c>
      <c r="K824" s="26" t="n">
        <f aca="false">IF(INDEX(Pengaturan!$B$8:$B$27,K$4)="",0,COUNTIF(Data!$B824:$U824,INDEX(Pengaturan!$B$8:$B$27,K$4)))</f>
        <v>0</v>
      </c>
      <c r="L824" s="26" t="n">
        <f aca="false">IF(INDEX(Pengaturan!$B$8:$B$27,L$4)="",0,COUNTIF(Data!$B824:$U824,INDEX(Pengaturan!$B$8:$B$27,L$4)))</f>
        <v>0</v>
      </c>
      <c r="M824" s="26" t="n">
        <f aca="false">IF(INDEX(Pengaturan!$B$8:$B$27,M$4)="",0,COUNTIF(Data!$B824:$U824,INDEX(Pengaturan!$B$8:$B$27,M$4)))</f>
        <v>0</v>
      </c>
      <c r="N824" s="26" t="n">
        <f aca="false">IF(INDEX(Pengaturan!$B$8:$B$27,N$4)="",0,COUNTIF(Data!$B824:$U824,INDEX(Pengaturan!$B$8:$B$27,N$4)))</f>
        <v>0</v>
      </c>
      <c r="O824" s="26" t="n">
        <f aca="false">IF(INDEX(Pengaturan!$B$8:$B$27,O$4)="",0,COUNTIF(Data!$B824:$U824,INDEX(Pengaturan!$B$8:$B$27,O$4)))</f>
        <v>0</v>
      </c>
      <c r="P824" s="26" t="n">
        <f aca="false">IF(INDEX(Pengaturan!$B$8:$B$27,P$4)="",0,COUNTIF(Data!$B824:$U824,INDEX(Pengaturan!$B$8:$B$27,P$4)))</f>
        <v>0</v>
      </c>
      <c r="Q824" s="26" t="n">
        <f aca="false">IF(INDEX(Pengaturan!$B$8:$B$27,Q$4)="",0,COUNTIF(Data!$B824:$U824,INDEX(Pengaturan!$B$8:$B$27,Q$4)))</f>
        <v>0</v>
      </c>
      <c r="R824" s="26" t="n">
        <f aca="false">IF(INDEX(Pengaturan!$B$8:$B$27,R$4)="",0,COUNTIF(Data!$B824:$U824,INDEX(Pengaturan!$B$8:$B$27,R$4)))</f>
        <v>0</v>
      </c>
      <c r="S824" s="26" t="n">
        <f aca="false">IF(INDEX(Pengaturan!$B$8:$B$27,S$4)="",0,COUNTIF(Data!$B824:$U824,INDEX(Pengaturan!$B$8:$B$27,S$4)))</f>
        <v>0</v>
      </c>
      <c r="T824" s="26" t="n">
        <f aca="false">IF(INDEX(Pengaturan!$B$8:$B$27,T$4)="",0,COUNTIF(Data!$B824:$U824,INDEX(Pengaturan!$B$8:$B$27,T$4)))</f>
        <v>0</v>
      </c>
      <c r="U824" s="26" t="n">
        <f aca="false">IF(INDEX(Pengaturan!$B$8:$B$27,U$4)="",0,COUNTIF(Data!$B824:$U824,INDEX(Pengaturan!$B$8:$B$27,U$4)))</f>
        <v>0</v>
      </c>
      <c r="V824" s="26" t="n">
        <f aca="false">COUNTA(Data!$B824:$U824)</f>
        <v>0</v>
      </c>
      <c r="W824" s="27" t="str">
        <f aca="false">IF(V824=0,"",IF(V824&lt;&gt;Hasil!$C$4,"Data kosong/tidak lengkap",IF(SUM(B824:U824)&lt;&gt;V824,"Kategori tidak dikenal","OK")))</f>
        <v/>
      </c>
      <c r="X824" s="26" t="n">
        <f aca="false">IF(OR(W824="",W824="OK"),0,1)</f>
        <v>0</v>
      </c>
    </row>
    <row r="825" customFormat="false" ht="15" hidden="false" customHeight="false" outlineLevel="0" collapsed="false">
      <c r="A825" s="26" t="n">
        <f aca="false">Data!A825</f>
        <v>820</v>
      </c>
      <c r="B825" s="26" t="n">
        <f aca="false">IF(INDEX(Pengaturan!$B$8:$B$27,B$4)="",0,COUNTIF(Data!$B825:$U825,INDEX(Pengaturan!$B$8:$B$27,B$4)))</f>
        <v>0</v>
      </c>
      <c r="C825" s="26" t="n">
        <f aca="false">IF(INDEX(Pengaturan!$B$8:$B$27,C$4)="",0,COUNTIF(Data!$B825:$U825,INDEX(Pengaturan!$B$8:$B$27,C$4)))</f>
        <v>0</v>
      </c>
      <c r="D825" s="26" t="n">
        <f aca="false">IF(INDEX(Pengaturan!$B$8:$B$27,D$4)="",0,COUNTIF(Data!$B825:$U825,INDEX(Pengaturan!$B$8:$B$27,D$4)))</f>
        <v>0</v>
      </c>
      <c r="E825" s="26" t="n">
        <f aca="false">IF(INDEX(Pengaturan!$B$8:$B$27,E$4)="",0,COUNTIF(Data!$B825:$U825,INDEX(Pengaturan!$B$8:$B$27,E$4)))</f>
        <v>0</v>
      </c>
      <c r="F825" s="26" t="n">
        <f aca="false">IF(INDEX(Pengaturan!$B$8:$B$27,F$4)="",0,COUNTIF(Data!$B825:$U825,INDEX(Pengaturan!$B$8:$B$27,F$4)))</f>
        <v>0</v>
      </c>
      <c r="G825" s="26" t="n">
        <f aca="false">IF(INDEX(Pengaturan!$B$8:$B$27,G$4)="",0,COUNTIF(Data!$B825:$U825,INDEX(Pengaturan!$B$8:$B$27,G$4)))</f>
        <v>0</v>
      </c>
      <c r="H825" s="26" t="n">
        <f aca="false">IF(INDEX(Pengaturan!$B$8:$B$27,H$4)="",0,COUNTIF(Data!$B825:$U825,INDEX(Pengaturan!$B$8:$B$27,H$4)))</f>
        <v>0</v>
      </c>
      <c r="I825" s="26" t="n">
        <f aca="false">IF(INDEX(Pengaturan!$B$8:$B$27,I$4)="",0,COUNTIF(Data!$B825:$U825,INDEX(Pengaturan!$B$8:$B$27,I$4)))</f>
        <v>0</v>
      </c>
      <c r="J825" s="26" t="n">
        <f aca="false">IF(INDEX(Pengaturan!$B$8:$B$27,J$4)="",0,COUNTIF(Data!$B825:$U825,INDEX(Pengaturan!$B$8:$B$27,J$4)))</f>
        <v>0</v>
      </c>
      <c r="K825" s="26" t="n">
        <f aca="false">IF(INDEX(Pengaturan!$B$8:$B$27,K$4)="",0,COUNTIF(Data!$B825:$U825,INDEX(Pengaturan!$B$8:$B$27,K$4)))</f>
        <v>0</v>
      </c>
      <c r="L825" s="26" t="n">
        <f aca="false">IF(INDEX(Pengaturan!$B$8:$B$27,L$4)="",0,COUNTIF(Data!$B825:$U825,INDEX(Pengaturan!$B$8:$B$27,L$4)))</f>
        <v>0</v>
      </c>
      <c r="M825" s="26" t="n">
        <f aca="false">IF(INDEX(Pengaturan!$B$8:$B$27,M$4)="",0,COUNTIF(Data!$B825:$U825,INDEX(Pengaturan!$B$8:$B$27,M$4)))</f>
        <v>0</v>
      </c>
      <c r="N825" s="26" t="n">
        <f aca="false">IF(INDEX(Pengaturan!$B$8:$B$27,N$4)="",0,COUNTIF(Data!$B825:$U825,INDEX(Pengaturan!$B$8:$B$27,N$4)))</f>
        <v>0</v>
      </c>
      <c r="O825" s="26" t="n">
        <f aca="false">IF(INDEX(Pengaturan!$B$8:$B$27,O$4)="",0,COUNTIF(Data!$B825:$U825,INDEX(Pengaturan!$B$8:$B$27,O$4)))</f>
        <v>0</v>
      </c>
      <c r="P825" s="26" t="n">
        <f aca="false">IF(INDEX(Pengaturan!$B$8:$B$27,P$4)="",0,COUNTIF(Data!$B825:$U825,INDEX(Pengaturan!$B$8:$B$27,P$4)))</f>
        <v>0</v>
      </c>
      <c r="Q825" s="26" t="n">
        <f aca="false">IF(INDEX(Pengaturan!$B$8:$B$27,Q$4)="",0,COUNTIF(Data!$B825:$U825,INDEX(Pengaturan!$B$8:$B$27,Q$4)))</f>
        <v>0</v>
      </c>
      <c r="R825" s="26" t="n">
        <f aca="false">IF(INDEX(Pengaturan!$B$8:$B$27,R$4)="",0,COUNTIF(Data!$B825:$U825,INDEX(Pengaturan!$B$8:$B$27,R$4)))</f>
        <v>0</v>
      </c>
      <c r="S825" s="26" t="n">
        <f aca="false">IF(INDEX(Pengaturan!$B$8:$B$27,S$4)="",0,COUNTIF(Data!$B825:$U825,INDEX(Pengaturan!$B$8:$B$27,S$4)))</f>
        <v>0</v>
      </c>
      <c r="T825" s="26" t="n">
        <f aca="false">IF(INDEX(Pengaturan!$B$8:$B$27,T$4)="",0,COUNTIF(Data!$B825:$U825,INDEX(Pengaturan!$B$8:$B$27,T$4)))</f>
        <v>0</v>
      </c>
      <c r="U825" s="26" t="n">
        <f aca="false">IF(INDEX(Pengaturan!$B$8:$B$27,U$4)="",0,COUNTIF(Data!$B825:$U825,INDEX(Pengaturan!$B$8:$B$27,U$4)))</f>
        <v>0</v>
      </c>
      <c r="V825" s="26" t="n">
        <f aca="false">COUNTA(Data!$B825:$U825)</f>
        <v>0</v>
      </c>
      <c r="W825" s="27" t="str">
        <f aca="false">IF(V825=0,"",IF(V825&lt;&gt;Hasil!$C$4,"Data kosong/tidak lengkap",IF(SUM(B825:U825)&lt;&gt;V825,"Kategori tidak dikenal","OK")))</f>
        <v/>
      </c>
      <c r="X825" s="26" t="n">
        <f aca="false">IF(OR(W825="",W825="OK"),0,1)</f>
        <v>0</v>
      </c>
    </row>
    <row r="826" customFormat="false" ht="15" hidden="false" customHeight="false" outlineLevel="0" collapsed="false">
      <c r="A826" s="26" t="n">
        <f aca="false">Data!A826</f>
        <v>821</v>
      </c>
      <c r="B826" s="26" t="n">
        <f aca="false">IF(INDEX(Pengaturan!$B$8:$B$27,B$4)="",0,COUNTIF(Data!$B826:$U826,INDEX(Pengaturan!$B$8:$B$27,B$4)))</f>
        <v>0</v>
      </c>
      <c r="C826" s="26" t="n">
        <f aca="false">IF(INDEX(Pengaturan!$B$8:$B$27,C$4)="",0,COUNTIF(Data!$B826:$U826,INDEX(Pengaturan!$B$8:$B$27,C$4)))</f>
        <v>0</v>
      </c>
      <c r="D826" s="26" t="n">
        <f aca="false">IF(INDEX(Pengaturan!$B$8:$B$27,D$4)="",0,COUNTIF(Data!$B826:$U826,INDEX(Pengaturan!$B$8:$B$27,D$4)))</f>
        <v>0</v>
      </c>
      <c r="E826" s="26" t="n">
        <f aca="false">IF(INDEX(Pengaturan!$B$8:$B$27,E$4)="",0,COUNTIF(Data!$B826:$U826,INDEX(Pengaturan!$B$8:$B$27,E$4)))</f>
        <v>0</v>
      </c>
      <c r="F826" s="26" t="n">
        <f aca="false">IF(INDEX(Pengaturan!$B$8:$B$27,F$4)="",0,COUNTIF(Data!$B826:$U826,INDEX(Pengaturan!$B$8:$B$27,F$4)))</f>
        <v>0</v>
      </c>
      <c r="G826" s="26" t="n">
        <f aca="false">IF(INDEX(Pengaturan!$B$8:$B$27,G$4)="",0,COUNTIF(Data!$B826:$U826,INDEX(Pengaturan!$B$8:$B$27,G$4)))</f>
        <v>0</v>
      </c>
      <c r="H826" s="26" t="n">
        <f aca="false">IF(INDEX(Pengaturan!$B$8:$B$27,H$4)="",0,COUNTIF(Data!$B826:$U826,INDEX(Pengaturan!$B$8:$B$27,H$4)))</f>
        <v>0</v>
      </c>
      <c r="I826" s="26" t="n">
        <f aca="false">IF(INDEX(Pengaturan!$B$8:$B$27,I$4)="",0,COUNTIF(Data!$B826:$U826,INDEX(Pengaturan!$B$8:$B$27,I$4)))</f>
        <v>0</v>
      </c>
      <c r="J826" s="26" t="n">
        <f aca="false">IF(INDEX(Pengaturan!$B$8:$B$27,J$4)="",0,COUNTIF(Data!$B826:$U826,INDEX(Pengaturan!$B$8:$B$27,J$4)))</f>
        <v>0</v>
      </c>
      <c r="K826" s="26" t="n">
        <f aca="false">IF(INDEX(Pengaturan!$B$8:$B$27,K$4)="",0,COUNTIF(Data!$B826:$U826,INDEX(Pengaturan!$B$8:$B$27,K$4)))</f>
        <v>0</v>
      </c>
      <c r="L826" s="26" t="n">
        <f aca="false">IF(INDEX(Pengaturan!$B$8:$B$27,L$4)="",0,COUNTIF(Data!$B826:$U826,INDEX(Pengaturan!$B$8:$B$27,L$4)))</f>
        <v>0</v>
      </c>
      <c r="M826" s="26" t="n">
        <f aca="false">IF(INDEX(Pengaturan!$B$8:$B$27,M$4)="",0,COUNTIF(Data!$B826:$U826,INDEX(Pengaturan!$B$8:$B$27,M$4)))</f>
        <v>0</v>
      </c>
      <c r="N826" s="26" t="n">
        <f aca="false">IF(INDEX(Pengaturan!$B$8:$B$27,N$4)="",0,COUNTIF(Data!$B826:$U826,INDEX(Pengaturan!$B$8:$B$27,N$4)))</f>
        <v>0</v>
      </c>
      <c r="O826" s="26" t="n">
        <f aca="false">IF(INDEX(Pengaturan!$B$8:$B$27,O$4)="",0,COUNTIF(Data!$B826:$U826,INDEX(Pengaturan!$B$8:$B$27,O$4)))</f>
        <v>0</v>
      </c>
      <c r="P826" s="26" t="n">
        <f aca="false">IF(INDEX(Pengaturan!$B$8:$B$27,P$4)="",0,COUNTIF(Data!$B826:$U826,INDEX(Pengaturan!$B$8:$B$27,P$4)))</f>
        <v>0</v>
      </c>
      <c r="Q826" s="26" t="n">
        <f aca="false">IF(INDEX(Pengaturan!$B$8:$B$27,Q$4)="",0,COUNTIF(Data!$B826:$U826,INDEX(Pengaturan!$B$8:$B$27,Q$4)))</f>
        <v>0</v>
      </c>
      <c r="R826" s="26" t="n">
        <f aca="false">IF(INDEX(Pengaturan!$B$8:$B$27,R$4)="",0,COUNTIF(Data!$B826:$U826,INDEX(Pengaturan!$B$8:$B$27,R$4)))</f>
        <v>0</v>
      </c>
      <c r="S826" s="26" t="n">
        <f aca="false">IF(INDEX(Pengaturan!$B$8:$B$27,S$4)="",0,COUNTIF(Data!$B826:$U826,INDEX(Pengaturan!$B$8:$B$27,S$4)))</f>
        <v>0</v>
      </c>
      <c r="T826" s="26" t="n">
        <f aca="false">IF(INDEX(Pengaturan!$B$8:$B$27,T$4)="",0,COUNTIF(Data!$B826:$U826,INDEX(Pengaturan!$B$8:$B$27,T$4)))</f>
        <v>0</v>
      </c>
      <c r="U826" s="26" t="n">
        <f aca="false">IF(INDEX(Pengaturan!$B$8:$B$27,U$4)="",0,COUNTIF(Data!$B826:$U826,INDEX(Pengaturan!$B$8:$B$27,U$4)))</f>
        <v>0</v>
      </c>
      <c r="V826" s="26" t="n">
        <f aca="false">COUNTA(Data!$B826:$U826)</f>
        <v>0</v>
      </c>
      <c r="W826" s="27" t="str">
        <f aca="false">IF(V826=0,"",IF(V826&lt;&gt;Hasil!$C$4,"Data kosong/tidak lengkap",IF(SUM(B826:U826)&lt;&gt;V826,"Kategori tidak dikenal","OK")))</f>
        <v/>
      </c>
      <c r="X826" s="26" t="n">
        <f aca="false">IF(OR(W826="",W826="OK"),0,1)</f>
        <v>0</v>
      </c>
    </row>
    <row r="827" customFormat="false" ht="15" hidden="false" customHeight="false" outlineLevel="0" collapsed="false">
      <c r="A827" s="26" t="n">
        <f aca="false">Data!A827</f>
        <v>822</v>
      </c>
      <c r="B827" s="26" t="n">
        <f aca="false">IF(INDEX(Pengaturan!$B$8:$B$27,B$4)="",0,COUNTIF(Data!$B827:$U827,INDEX(Pengaturan!$B$8:$B$27,B$4)))</f>
        <v>0</v>
      </c>
      <c r="C827" s="26" t="n">
        <f aca="false">IF(INDEX(Pengaturan!$B$8:$B$27,C$4)="",0,COUNTIF(Data!$B827:$U827,INDEX(Pengaturan!$B$8:$B$27,C$4)))</f>
        <v>0</v>
      </c>
      <c r="D827" s="26" t="n">
        <f aca="false">IF(INDEX(Pengaturan!$B$8:$B$27,D$4)="",0,COUNTIF(Data!$B827:$U827,INDEX(Pengaturan!$B$8:$B$27,D$4)))</f>
        <v>0</v>
      </c>
      <c r="E827" s="26" t="n">
        <f aca="false">IF(INDEX(Pengaturan!$B$8:$B$27,E$4)="",0,COUNTIF(Data!$B827:$U827,INDEX(Pengaturan!$B$8:$B$27,E$4)))</f>
        <v>0</v>
      </c>
      <c r="F827" s="26" t="n">
        <f aca="false">IF(INDEX(Pengaturan!$B$8:$B$27,F$4)="",0,COUNTIF(Data!$B827:$U827,INDEX(Pengaturan!$B$8:$B$27,F$4)))</f>
        <v>0</v>
      </c>
      <c r="G827" s="26" t="n">
        <f aca="false">IF(INDEX(Pengaturan!$B$8:$B$27,G$4)="",0,COUNTIF(Data!$B827:$U827,INDEX(Pengaturan!$B$8:$B$27,G$4)))</f>
        <v>0</v>
      </c>
      <c r="H827" s="26" t="n">
        <f aca="false">IF(INDEX(Pengaturan!$B$8:$B$27,H$4)="",0,COUNTIF(Data!$B827:$U827,INDEX(Pengaturan!$B$8:$B$27,H$4)))</f>
        <v>0</v>
      </c>
      <c r="I827" s="26" t="n">
        <f aca="false">IF(INDEX(Pengaturan!$B$8:$B$27,I$4)="",0,COUNTIF(Data!$B827:$U827,INDEX(Pengaturan!$B$8:$B$27,I$4)))</f>
        <v>0</v>
      </c>
      <c r="J827" s="26" t="n">
        <f aca="false">IF(INDEX(Pengaturan!$B$8:$B$27,J$4)="",0,COUNTIF(Data!$B827:$U827,INDEX(Pengaturan!$B$8:$B$27,J$4)))</f>
        <v>0</v>
      </c>
      <c r="K827" s="26" t="n">
        <f aca="false">IF(INDEX(Pengaturan!$B$8:$B$27,K$4)="",0,COUNTIF(Data!$B827:$U827,INDEX(Pengaturan!$B$8:$B$27,K$4)))</f>
        <v>0</v>
      </c>
      <c r="L827" s="26" t="n">
        <f aca="false">IF(INDEX(Pengaturan!$B$8:$B$27,L$4)="",0,COUNTIF(Data!$B827:$U827,INDEX(Pengaturan!$B$8:$B$27,L$4)))</f>
        <v>0</v>
      </c>
      <c r="M827" s="26" t="n">
        <f aca="false">IF(INDEX(Pengaturan!$B$8:$B$27,M$4)="",0,COUNTIF(Data!$B827:$U827,INDEX(Pengaturan!$B$8:$B$27,M$4)))</f>
        <v>0</v>
      </c>
      <c r="N827" s="26" t="n">
        <f aca="false">IF(INDEX(Pengaturan!$B$8:$B$27,N$4)="",0,COUNTIF(Data!$B827:$U827,INDEX(Pengaturan!$B$8:$B$27,N$4)))</f>
        <v>0</v>
      </c>
      <c r="O827" s="26" t="n">
        <f aca="false">IF(INDEX(Pengaturan!$B$8:$B$27,O$4)="",0,COUNTIF(Data!$B827:$U827,INDEX(Pengaturan!$B$8:$B$27,O$4)))</f>
        <v>0</v>
      </c>
      <c r="P827" s="26" t="n">
        <f aca="false">IF(INDEX(Pengaturan!$B$8:$B$27,P$4)="",0,COUNTIF(Data!$B827:$U827,INDEX(Pengaturan!$B$8:$B$27,P$4)))</f>
        <v>0</v>
      </c>
      <c r="Q827" s="26" t="n">
        <f aca="false">IF(INDEX(Pengaturan!$B$8:$B$27,Q$4)="",0,COUNTIF(Data!$B827:$U827,INDEX(Pengaturan!$B$8:$B$27,Q$4)))</f>
        <v>0</v>
      </c>
      <c r="R827" s="26" t="n">
        <f aca="false">IF(INDEX(Pengaturan!$B$8:$B$27,R$4)="",0,COUNTIF(Data!$B827:$U827,INDEX(Pengaturan!$B$8:$B$27,R$4)))</f>
        <v>0</v>
      </c>
      <c r="S827" s="26" t="n">
        <f aca="false">IF(INDEX(Pengaturan!$B$8:$B$27,S$4)="",0,COUNTIF(Data!$B827:$U827,INDEX(Pengaturan!$B$8:$B$27,S$4)))</f>
        <v>0</v>
      </c>
      <c r="T827" s="26" t="n">
        <f aca="false">IF(INDEX(Pengaturan!$B$8:$B$27,T$4)="",0,COUNTIF(Data!$B827:$U827,INDEX(Pengaturan!$B$8:$B$27,T$4)))</f>
        <v>0</v>
      </c>
      <c r="U827" s="26" t="n">
        <f aca="false">IF(INDEX(Pengaturan!$B$8:$B$27,U$4)="",0,COUNTIF(Data!$B827:$U827,INDEX(Pengaturan!$B$8:$B$27,U$4)))</f>
        <v>0</v>
      </c>
      <c r="V827" s="26" t="n">
        <f aca="false">COUNTA(Data!$B827:$U827)</f>
        <v>0</v>
      </c>
      <c r="W827" s="27" t="str">
        <f aca="false">IF(V827=0,"",IF(V827&lt;&gt;Hasil!$C$4,"Data kosong/tidak lengkap",IF(SUM(B827:U827)&lt;&gt;V827,"Kategori tidak dikenal","OK")))</f>
        <v/>
      </c>
      <c r="X827" s="26" t="n">
        <f aca="false">IF(OR(W827="",W827="OK"),0,1)</f>
        <v>0</v>
      </c>
    </row>
    <row r="828" customFormat="false" ht="15" hidden="false" customHeight="false" outlineLevel="0" collapsed="false">
      <c r="A828" s="26" t="n">
        <f aca="false">Data!A828</f>
        <v>823</v>
      </c>
      <c r="B828" s="26" t="n">
        <f aca="false">IF(INDEX(Pengaturan!$B$8:$B$27,B$4)="",0,COUNTIF(Data!$B828:$U828,INDEX(Pengaturan!$B$8:$B$27,B$4)))</f>
        <v>0</v>
      </c>
      <c r="C828" s="26" t="n">
        <f aca="false">IF(INDEX(Pengaturan!$B$8:$B$27,C$4)="",0,COUNTIF(Data!$B828:$U828,INDEX(Pengaturan!$B$8:$B$27,C$4)))</f>
        <v>0</v>
      </c>
      <c r="D828" s="26" t="n">
        <f aca="false">IF(INDEX(Pengaturan!$B$8:$B$27,D$4)="",0,COUNTIF(Data!$B828:$U828,INDEX(Pengaturan!$B$8:$B$27,D$4)))</f>
        <v>0</v>
      </c>
      <c r="E828" s="26" t="n">
        <f aca="false">IF(INDEX(Pengaturan!$B$8:$B$27,E$4)="",0,COUNTIF(Data!$B828:$U828,INDEX(Pengaturan!$B$8:$B$27,E$4)))</f>
        <v>0</v>
      </c>
      <c r="F828" s="26" t="n">
        <f aca="false">IF(INDEX(Pengaturan!$B$8:$B$27,F$4)="",0,COUNTIF(Data!$B828:$U828,INDEX(Pengaturan!$B$8:$B$27,F$4)))</f>
        <v>0</v>
      </c>
      <c r="G828" s="26" t="n">
        <f aca="false">IF(INDEX(Pengaturan!$B$8:$B$27,G$4)="",0,COUNTIF(Data!$B828:$U828,INDEX(Pengaturan!$B$8:$B$27,G$4)))</f>
        <v>0</v>
      </c>
      <c r="H828" s="26" t="n">
        <f aca="false">IF(INDEX(Pengaturan!$B$8:$B$27,H$4)="",0,COUNTIF(Data!$B828:$U828,INDEX(Pengaturan!$B$8:$B$27,H$4)))</f>
        <v>0</v>
      </c>
      <c r="I828" s="26" t="n">
        <f aca="false">IF(INDEX(Pengaturan!$B$8:$B$27,I$4)="",0,COUNTIF(Data!$B828:$U828,INDEX(Pengaturan!$B$8:$B$27,I$4)))</f>
        <v>0</v>
      </c>
      <c r="J828" s="26" t="n">
        <f aca="false">IF(INDEX(Pengaturan!$B$8:$B$27,J$4)="",0,COUNTIF(Data!$B828:$U828,INDEX(Pengaturan!$B$8:$B$27,J$4)))</f>
        <v>0</v>
      </c>
      <c r="K828" s="26" t="n">
        <f aca="false">IF(INDEX(Pengaturan!$B$8:$B$27,K$4)="",0,COUNTIF(Data!$B828:$U828,INDEX(Pengaturan!$B$8:$B$27,K$4)))</f>
        <v>0</v>
      </c>
      <c r="L828" s="26" t="n">
        <f aca="false">IF(INDEX(Pengaturan!$B$8:$B$27,L$4)="",0,COUNTIF(Data!$B828:$U828,INDEX(Pengaturan!$B$8:$B$27,L$4)))</f>
        <v>0</v>
      </c>
      <c r="M828" s="26" t="n">
        <f aca="false">IF(INDEX(Pengaturan!$B$8:$B$27,M$4)="",0,COUNTIF(Data!$B828:$U828,INDEX(Pengaturan!$B$8:$B$27,M$4)))</f>
        <v>0</v>
      </c>
      <c r="N828" s="26" t="n">
        <f aca="false">IF(INDEX(Pengaturan!$B$8:$B$27,N$4)="",0,COUNTIF(Data!$B828:$U828,INDEX(Pengaturan!$B$8:$B$27,N$4)))</f>
        <v>0</v>
      </c>
      <c r="O828" s="26" t="n">
        <f aca="false">IF(INDEX(Pengaturan!$B$8:$B$27,O$4)="",0,COUNTIF(Data!$B828:$U828,INDEX(Pengaturan!$B$8:$B$27,O$4)))</f>
        <v>0</v>
      </c>
      <c r="P828" s="26" t="n">
        <f aca="false">IF(INDEX(Pengaturan!$B$8:$B$27,P$4)="",0,COUNTIF(Data!$B828:$U828,INDEX(Pengaturan!$B$8:$B$27,P$4)))</f>
        <v>0</v>
      </c>
      <c r="Q828" s="26" t="n">
        <f aca="false">IF(INDEX(Pengaturan!$B$8:$B$27,Q$4)="",0,COUNTIF(Data!$B828:$U828,INDEX(Pengaturan!$B$8:$B$27,Q$4)))</f>
        <v>0</v>
      </c>
      <c r="R828" s="26" t="n">
        <f aca="false">IF(INDEX(Pengaturan!$B$8:$B$27,R$4)="",0,COUNTIF(Data!$B828:$U828,INDEX(Pengaturan!$B$8:$B$27,R$4)))</f>
        <v>0</v>
      </c>
      <c r="S828" s="26" t="n">
        <f aca="false">IF(INDEX(Pengaturan!$B$8:$B$27,S$4)="",0,COUNTIF(Data!$B828:$U828,INDEX(Pengaturan!$B$8:$B$27,S$4)))</f>
        <v>0</v>
      </c>
      <c r="T828" s="26" t="n">
        <f aca="false">IF(INDEX(Pengaturan!$B$8:$B$27,T$4)="",0,COUNTIF(Data!$B828:$U828,INDEX(Pengaturan!$B$8:$B$27,T$4)))</f>
        <v>0</v>
      </c>
      <c r="U828" s="26" t="n">
        <f aca="false">IF(INDEX(Pengaturan!$B$8:$B$27,U$4)="",0,COUNTIF(Data!$B828:$U828,INDEX(Pengaturan!$B$8:$B$27,U$4)))</f>
        <v>0</v>
      </c>
      <c r="V828" s="26" t="n">
        <f aca="false">COUNTA(Data!$B828:$U828)</f>
        <v>0</v>
      </c>
      <c r="W828" s="27" t="str">
        <f aca="false">IF(V828=0,"",IF(V828&lt;&gt;Hasil!$C$4,"Data kosong/tidak lengkap",IF(SUM(B828:U828)&lt;&gt;V828,"Kategori tidak dikenal","OK")))</f>
        <v/>
      </c>
      <c r="X828" s="26" t="n">
        <f aca="false">IF(OR(W828="",W828="OK"),0,1)</f>
        <v>0</v>
      </c>
    </row>
    <row r="829" customFormat="false" ht="15" hidden="false" customHeight="false" outlineLevel="0" collapsed="false">
      <c r="A829" s="26" t="n">
        <f aca="false">Data!A829</f>
        <v>824</v>
      </c>
      <c r="B829" s="26" t="n">
        <f aca="false">IF(INDEX(Pengaturan!$B$8:$B$27,B$4)="",0,COUNTIF(Data!$B829:$U829,INDEX(Pengaturan!$B$8:$B$27,B$4)))</f>
        <v>0</v>
      </c>
      <c r="C829" s="26" t="n">
        <f aca="false">IF(INDEX(Pengaturan!$B$8:$B$27,C$4)="",0,COUNTIF(Data!$B829:$U829,INDEX(Pengaturan!$B$8:$B$27,C$4)))</f>
        <v>0</v>
      </c>
      <c r="D829" s="26" t="n">
        <f aca="false">IF(INDEX(Pengaturan!$B$8:$B$27,D$4)="",0,COUNTIF(Data!$B829:$U829,INDEX(Pengaturan!$B$8:$B$27,D$4)))</f>
        <v>0</v>
      </c>
      <c r="E829" s="26" t="n">
        <f aca="false">IF(INDEX(Pengaturan!$B$8:$B$27,E$4)="",0,COUNTIF(Data!$B829:$U829,INDEX(Pengaturan!$B$8:$B$27,E$4)))</f>
        <v>0</v>
      </c>
      <c r="F829" s="26" t="n">
        <f aca="false">IF(INDEX(Pengaturan!$B$8:$B$27,F$4)="",0,COUNTIF(Data!$B829:$U829,INDEX(Pengaturan!$B$8:$B$27,F$4)))</f>
        <v>0</v>
      </c>
      <c r="G829" s="26" t="n">
        <f aca="false">IF(INDEX(Pengaturan!$B$8:$B$27,G$4)="",0,COUNTIF(Data!$B829:$U829,INDEX(Pengaturan!$B$8:$B$27,G$4)))</f>
        <v>0</v>
      </c>
      <c r="H829" s="26" t="n">
        <f aca="false">IF(INDEX(Pengaturan!$B$8:$B$27,H$4)="",0,COUNTIF(Data!$B829:$U829,INDEX(Pengaturan!$B$8:$B$27,H$4)))</f>
        <v>0</v>
      </c>
      <c r="I829" s="26" t="n">
        <f aca="false">IF(INDEX(Pengaturan!$B$8:$B$27,I$4)="",0,COUNTIF(Data!$B829:$U829,INDEX(Pengaturan!$B$8:$B$27,I$4)))</f>
        <v>0</v>
      </c>
      <c r="J829" s="26" t="n">
        <f aca="false">IF(INDEX(Pengaturan!$B$8:$B$27,J$4)="",0,COUNTIF(Data!$B829:$U829,INDEX(Pengaturan!$B$8:$B$27,J$4)))</f>
        <v>0</v>
      </c>
      <c r="K829" s="26" t="n">
        <f aca="false">IF(INDEX(Pengaturan!$B$8:$B$27,K$4)="",0,COUNTIF(Data!$B829:$U829,INDEX(Pengaturan!$B$8:$B$27,K$4)))</f>
        <v>0</v>
      </c>
      <c r="L829" s="26" t="n">
        <f aca="false">IF(INDEX(Pengaturan!$B$8:$B$27,L$4)="",0,COUNTIF(Data!$B829:$U829,INDEX(Pengaturan!$B$8:$B$27,L$4)))</f>
        <v>0</v>
      </c>
      <c r="M829" s="26" t="n">
        <f aca="false">IF(INDEX(Pengaturan!$B$8:$B$27,M$4)="",0,COUNTIF(Data!$B829:$U829,INDEX(Pengaturan!$B$8:$B$27,M$4)))</f>
        <v>0</v>
      </c>
      <c r="N829" s="26" t="n">
        <f aca="false">IF(INDEX(Pengaturan!$B$8:$B$27,N$4)="",0,COUNTIF(Data!$B829:$U829,INDEX(Pengaturan!$B$8:$B$27,N$4)))</f>
        <v>0</v>
      </c>
      <c r="O829" s="26" t="n">
        <f aca="false">IF(INDEX(Pengaturan!$B$8:$B$27,O$4)="",0,COUNTIF(Data!$B829:$U829,INDEX(Pengaturan!$B$8:$B$27,O$4)))</f>
        <v>0</v>
      </c>
      <c r="P829" s="26" t="n">
        <f aca="false">IF(INDEX(Pengaturan!$B$8:$B$27,P$4)="",0,COUNTIF(Data!$B829:$U829,INDEX(Pengaturan!$B$8:$B$27,P$4)))</f>
        <v>0</v>
      </c>
      <c r="Q829" s="26" t="n">
        <f aca="false">IF(INDEX(Pengaturan!$B$8:$B$27,Q$4)="",0,COUNTIF(Data!$B829:$U829,INDEX(Pengaturan!$B$8:$B$27,Q$4)))</f>
        <v>0</v>
      </c>
      <c r="R829" s="26" t="n">
        <f aca="false">IF(INDEX(Pengaturan!$B$8:$B$27,R$4)="",0,COUNTIF(Data!$B829:$U829,INDEX(Pengaturan!$B$8:$B$27,R$4)))</f>
        <v>0</v>
      </c>
      <c r="S829" s="26" t="n">
        <f aca="false">IF(INDEX(Pengaturan!$B$8:$B$27,S$4)="",0,COUNTIF(Data!$B829:$U829,INDEX(Pengaturan!$B$8:$B$27,S$4)))</f>
        <v>0</v>
      </c>
      <c r="T829" s="26" t="n">
        <f aca="false">IF(INDEX(Pengaturan!$B$8:$B$27,T$4)="",0,COUNTIF(Data!$B829:$U829,INDEX(Pengaturan!$B$8:$B$27,T$4)))</f>
        <v>0</v>
      </c>
      <c r="U829" s="26" t="n">
        <f aca="false">IF(INDEX(Pengaturan!$B$8:$B$27,U$4)="",0,COUNTIF(Data!$B829:$U829,INDEX(Pengaturan!$B$8:$B$27,U$4)))</f>
        <v>0</v>
      </c>
      <c r="V829" s="26" t="n">
        <f aca="false">COUNTA(Data!$B829:$U829)</f>
        <v>0</v>
      </c>
      <c r="W829" s="27" t="str">
        <f aca="false">IF(V829=0,"",IF(V829&lt;&gt;Hasil!$C$4,"Data kosong/tidak lengkap",IF(SUM(B829:U829)&lt;&gt;V829,"Kategori tidak dikenal","OK")))</f>
        <v/>
      </c>
      <c r="X829" s="26" t="n">
        <f aca="false">IF(OR(W829="",W829="OK"),0,1)</f>
        <v>0</v>
      </c>
    </row>
    <row r="830" customFormat="false" ht="15" hidden="false" customHeight="false" outlineLevel="0" collapsed="false">
      <c r="A830" s="26" t="n">
        <f aca="false">Data!A830</f>
        <v>825</v>
      </c>
      <c r="B830" s="26" t="n">
        <f aca="false">IF(INDEX(Pengaturan!$B$8:$B$27,B$4)="",0,COUNTIF(Data!$B830:$U830,INDEX(Pengaturan!$B$8:$B$27,B$4)))</f>
        <v>0</v>
      </c>
      <c r="C830" s="26" t="n">
        <f aca="false">IF(INDEX(Pengaturan!$B$8:$B$27,C$4)="",0,COUNTIF(Data!$B830:$U830,INDEX(Pengaturan!$B$8:$B$27,C$4)))</f>
        <v>0</v>
      </c>
      <c r="D830" s="26" t="n">
        <f aca="false">IF(INDEX(Pengaturan!$B$8:$B$27,D$4)="",0,COUNTIF(Data!$B830:$U830,INDEX(Pengaturan!$B$8:$B$27,D$4)))</f>
        <v>0</v>
      </c>
      <c r="E830" s="26" t="n">
        <f aca="false">IF(INDEX(Pengaturan!$B$8:$B$27,E$4)="",0,COUNTIF(Data!$B830:$U830,INDEX(Pengaturan!$B$8:$B$27,E$4)))</f>
        <v>0</v>
      </c>
      <c r="F830" s="26" t="n">
        <f aca="false">IF(INDEX(Pengaturan!$B$8:$B$27,F$4)="",0,COUNTIF(Data!$B830:$U830,INDEX(Pengaturan!$B$8:$B$27,F$4)))</f>
        <v>0</v>
      </c>
      <c r="G830" s="26" t="n">
        <f aca="false">IF(INDEX(Pengaturan!$B$8:$B$27,G$4)="",0,COUNTIF(Data!$B830:$U830,INDEX(Pengaturan!$B$8:$B$27,G$4)))</f>
        <v>0</v>
      </c>
      <c r="H830" s="26" t="n">
        <f aca="false">IF(INDEX(Pengaturan!$B$8:$B$27,H$4)="",0,COUNTIF(Data!$B830:$U830,INDEX(Pengaturan!$B$8:$B$27,H$4)))</f>
        <v>0</v>
      </c>
      <c r="I830" s="26" t="n">
        <f aca="false">IF(INDEX(Pengaturan!$B$8:$B$27,I$4)="",0,COUNTIF(Data!$B830:$U830,INDEX(Pengaturan!$B$8:$B$27,I$4)))</f>
        <v>0</v>
      </c>
      <c r="J830" s="26" t="n">
        <f aca="false">IF(INDEX(Pengaturan!$B$8:$B$27,J$4)="",0,COUNTIF(Data!$B830:$U830,INDEX(Pengaturan!$B$8:$B$27,J$4)))</f>
        <v>0</v>
      </c>
      <c r="K830" s="26" t="n">
        <f aca="false">IF(INDEX(Pengaturan!$B$8:$B$27,K$4)="",0,COUNTIF(Data!$B830:$U830,INDEX(Pengaturan!$B$8:$B$27,K$4)))</f>
        <v>0</v>
      </c>
      <c r="L830" s="26" t="n">
        <f aca="false">IF(INDEX(Pengaturan!$B$8:$B$27,L$4)="",0,COUNTIF(Data!$B830:$U830,INDEX(Pengaturan!$B$8:$B$27,L$4)))</f>
        <v>0</v>
      </c>
      <c r="M830" s="26" t="n">
        <f aca="false">IF(INDEX(Pengaturan!$B$8:$B$27,M$4)="",0,COUNTIF(Data!$B830:$U830,INDEX(Pengaturan!$B$8:$B$27,M$4)))</f>
        <v>0</v>
      </c>
      <c r="N830" s="26" t="n">
        <f aca="false">IF(INDEX(Pengaturan!$B$8:$B$27,N$4)="",0,COUNTIF(Data!$B830:$U830,INDEX(Pengaturan!$B$8:$B$27,N$4)))</f>
        <v>0</v>
      </c>
      <c r="O830" s="26" t="n">
        <f aca="false">IF(INDEX(Pengaturan!$B$8:$B$27,O$4)="",0,COUNTIF(Data!$B830:$U830,INDEX(Pengaturan!$B$8:$B$27,O$4)))</f>
        <v>0</v>
      </c>
      <c r="P830" s="26" t="n">
        <f aca="false">IF(INDEX(Pengaturan!$B$8:$B$27,P$4)="",0,COUNTIF(Data!$B830:$U830,INDEX(Pengaturan!$B$8:$B$27,P$4)))</f>
        <v>0</v>
      </c>
      <c r="Q830" s="26" t="n">
        <f aca="false">IF(INDEX(Pengaturan!$B$8:$B$27,Q$4)="",0,COUNTIF(Data!$B830:$U830,INDEX(Pengaturan!$B$8:$B$27,Q$4)))</f>
        <v>0</v>
      </c>
      <c r="R830" s="26" t="n">
        <f aca="false">IF(INDEX(Pengaturan!$B$8:$B$27,R$4)="",0,COUNTIF(Data!$B830:$U830,INDEX(Pengaturan!$B$8:$B$27,R$4)))</f>
        <v>0</v>
      </c>
      <c r="S830" s="26" t="n">
        <f aca="false">IF(INDEX(Pengaturan!$B$8:$B$27,S$4)="",0,COUNTIF(Data!$B830:$U830,INDEX(Pengaturan!$B$8:$B$27,S$4)))</f>
        <v>0</v>
      </c>
      <c r="T830" s="26" t="n">
        <f aca="false">IF(INDEX(Pengaturan!$B$8:$B$27,T$4)="",0,COUNTIF(Data!$B830:$U830,INDEX(Pengaturan!$B$8:$B$27,T$4)))</f>
        <v>0</v>
      </c>
      <c r="U830" s="26" t="n">
        <f aca="false">IF(INDEX(Pengaturan!$B$8:$B$27,U$4)="",0,COUNTIF(Data!$B830:$U830,INDEX(Pengaturan!$B$8:$B$27,U$4)))</f>
        <v>0</v>
      </c>
      <c r="V830" s="26" t="n">
        <f aca="false">COUNTA(Data!$B830:$U830)</f>
        <v>0</v>
      </c>
      <c r="W830" s="27" t="str">
        <f aca="false">IF(V830=0,"",IF(V830&lt;&gt;Hasil!$C$4,"Data kosong/tidak lengkap",IF(SUM(B830:U830)&lt;&gt;V830,"Kategori tidak dikenal","OK")))</f>
        <v/>
      </c>
      <c r="X830" s="26" t="n">
        <f aca="false">IF(OR(W830="",W830="OK"),0,1)</f>
        <v>0</v>
      </c>
    </row>
    <row r="831" customFormat="false" ht="15" hidden="false" customHeight="false" outlineLevel="0" collapsed="false">
      <c r="A831" s="26" t="n">
        <f aca="false">Data!A831</f>
        <v>826</v>
      </c>
      <c r="B831" s="26" t="n">
        <f aca="false">IF(INDEX(Pengaturan!$B$8:$B$27,B$4)="",0,COUNTIF(Data!$B831:$U831,INDEX(Pengaturan!$B$8:$B$27,B$4)))</f>
        <v>0</v>
      </c>
      <c r="C831" s="26" t="n">
        <f aca="false">IF(INDEX(Pengaturan!$B$8:$B$27,C$4)="",0,COUNTIF(Data!$B831:$U831,INDEX(Pengaturan!$B$8:$B$27,C$4)))</f>
        <v>0</v>
      </c>
      <c r="D831" s="26" t="n">
        <f aca="false">IF(INDEX(Pengaturan!$B$8:$B$27,D$4)="",0,COUNTIF(Data!$B831:$U831,INDEX(Pengaturan!$B$8:$B$27,D$4)))</f>
        <v>0</v>
      </c>
      <c r="E831" s="26" t="n">
        <f aca="false">IF(INDEX(Pengaturan!$B$8:$B$27,E$4)="",0,COUNTIF(Data!$B831:$U831,INDEX(Pengaturan!$B$8:$B$27,E$4)))</f>
        <v>0</v>
      </c>
      <c r="F831" s="26" t="n">
        <f aca="false">IF(INDEX(Pengaturan!$B$8:$B$27,F$4)="",0,COUNTIF(Data!$B831:$U831,INDEX(Pengaturan!$B$8:$B$27,F$4)))</f>
        <v>0</v>
      </c>
      <c r="G831" s="26" t="n">
        <f aca="false">IF(INDEX(Pengaturan!$B$8:$B$27,G$4)="",0,COUNTIF(Data!$B831:$U831,INDEX(Pengaturan!$B$8:$B$27,G$4)))</f>
        <v>0</v>
      </c>
      <c r="H831" s="26" t="n">
        <f aca="false">IF(INDEX(Pengaturan!$B$8:$B$27,H$4)="",0,COUNTIF(Data!$B831:$U831,INDEX(Pengaturan!$B$8:$B$27,H$4)))</f>
        <v>0</v>
      </c>
      <c r="I831" s="26" t="n">
        <f aca="false">IF(INDEX(Pengaturan!$B$8:$B$27,I$4)="",0,COUNTIF(Data!$B831:$U831,INDEX(Pengaturan!$B$8:$B$27,I$4)))</f>
        <v>0</v>
      </c>
      <c r="J831" s="26" t="n">
        <f aca="false">IF(INDEX(Pengaturan!$B$8:$B$27,J$4)="",0,COUNTIF(Data!$B831:$U831,INDEX(Pengaturan!$B$8:$B$27,J$4)))</f>
        <v>0</v>
      </c>
      <c r="K831" s="26" t="n">
        <f aca="false">IF(INDEX(Pengaturan!$B$8:$B$27,K$4)="",0,COUNTIF(Data!$B831:$U831,INDEX(Pengaturan!$B$8:$B$27,K$4)))</f>
        <v>0</v>
      </c>
      <c r="L831" s="26" t="n">
        <f aca="false">IF(INDEX(Pengaturan!$B$8:$B$27,L$4)="",0,COUNTIF(Data!$B831:$U831,INDEX(Pengaturan!$B$8:$B$27,L$4)))</f>
        <v>0</v>
      </c>
      <c r="M831" s="26" t="n">
        <f aca="false">IF(INDEX(Pengaturan!$B$8:$B$27,M$4)="",0,COUNTIF(Data!$B831:$U831,INDEX(Pengaturan!$B$8:$B$27,M$4)))</f>
        <v>0</v>
      </c>
      <c r="N831" s="26" t="n">
        <f aca="false">IF(INDEX(Pengaturan!$B$8:$B$27,N$4)="",0,COUNTIF(Data!$B831:$U831,INDEX(Pengaturan!$B$8:$B$27,N$4)))</f>
        <v>0</v>
      </c>
      <c r="O831" s="26" t="n">
        <f aca="false">IF(INDEX(Pengaturan!$B$8:$B$27,O$4)="",0,COUNTIF(Data!$B831:$U831,INDEX(Pengaturan!$B$8:$B$27,O$4)))</f>
        <v>0</v>
      </c>
      <c r="P831" s="26" t="n">
        <f aca="false">IF(INDEX(Pengaturan!$B$8:$B$27,P$4)="",0,COUNTIF(Data!$B831:$U831,INDEX(Pengaturan!$B$8:$B$27,P$4)))</f>
        <v>0</v>
      </c>
      <c r="Q831" s="26" t="n">
        <f aca="false">IF(INDEX(Pengaturan!$B$8:$B$27,Q$4)="",0,COUNTIF(Data!$B831:$U831,INDEX(Pengaturan!$B$8:$B$27,Q$4)))</f>
        <v>0</v>
      </c>
      <c r="R831" s="26" t="n">
        <f aca="false">IF(INDEX(Pengaturan!$B$8:$B$27,R$4)="",0,COUNTIF(Data!$B831:$U831,INDEX(Pengaturan!$B$8:$B$27,R$4)))</f>
        <v>0</v>
      </c>
      <c r="S831" s="26" t="n">
        <f aca="false">IF(INDEX(Pengaturan!$B$8:$B$27,S$4)="",0,COUNTIF(Data!$B831:$U831,INDEX(Pengaturan!$B$8:$B$27,S$4)))</f>
        <v>0</v>
      </c>
      <c r="T831" s="26" t="n">
        <f aca="false">IF(INDEX(Pengaturan!$B$8:$B$27,T$4)="",0,COUNTIF(Data!$B831:$U831,INDEX(Pengaturan!$B$8:$B$27,T$4)))</f>
        <v>0</v>
      </c>
      <c r="U831" s="26" t="n">
        <f aca="false">IF(INDEX(Pengaturan!$B$8:$B$27,U$4)="",0,COUNTIF(Data!$B831:$U831,INDEX(Pengaturan!$B$8:$B$27,U$4)))</f>
        <v>0</v>
      </c>
      <c r="V831" s="26" t="n">
        <f aca="false">COUNTA(Data!$B831:$U831)</f>
        <v>0</v>
      </c>
      <c r="W831" s="27" t="str">
        <f aca="false">IF(V831=0,"",IF(V831&lt;&gt;Hasil!$C$4,"Data kosong/tidak lengkap",IF(SUM(B831:U831)&lt;&gt;V831,"Kategori tidak dikenal","OK")))</f>
        <v/>
      </c>
      <c r="X831" s="26" t="n">
        <f aca="false">IF(OR(W831="",W831="OK"),0,1)</f>
        <v>0</v>
      </c>
    </row>
    <row r="832" customFormat="false" ht="15" hidden="false" customHeight="false" outlineLevel="0" collapsed="false">
      <c r="A832" s="26" t="n">
        <f aca="false">Data!A832</f>
        <v>827</v>
      </c>
      <c r="B832" s="26" t="n">
        <f aca="false">IF(INDEX(Pengaturan!$B$8:$B$27,B$4)="",0,COUNTIF(Data!$B832:$U832,INDEX(Pengaturan!$B$8:$B$27,B$4)))</f>
        <v>0</v>
      </c>
      <c r="C832" s="26" t="n">
        <f aca="false">IF(INDEX(Pengaturan!$B$8:$B$27,C$4)="",0,COUNTIF(Data!$B832:$U832,INDEX(Pengaturan!$B$8:$B$27,C$4)))</f>
        <v>0</v>
      </c>
      <c r="D832" s="26" t="n">
        <f aca="false">IF(INDEX(Pengaturan!$B$8:$B$27,D$4)="",0,COUNTIF(Data!$B832:$U832,INDEX(Pengaturan!$B$8:$B$27,D$4)))</f>
        <v>0</v>
      </c>
      <c r="E832" s="26" t="n">
        <f aca="false">IF(INDEX(Pengaturan!$B$8:$B$27,E$4)="",0,COUNTIF(Data!$B832:$U832,INDEX(Pengaturan!$B$8:$B$27,E$4)))</f>
        <v>0</v>
      </c>
      <c r="F832" s="26" t="n">
        <f aca="false">IF(INDEX(Pengaturan!$B$8:$B$27,F$4)="",0,COUNTIF(Data!$B832:$U832,INDEX(Pengaturan!$B$8:$B$27,F$4)))</f>
        <v>0</v>
      </c>
      <c r="G832" s="26" t="n">
        <f aca="false">IF(INDEX(Pengaturan!$B$8:$B$27,G$4)="",0,COUNTIF(Data!$B832:$U832,INDEX(Pengaturan!$B$8:$B$27,G$4)))</f>
        <v>0</v>
      </c>
      <c r="H832" s="26" t="n">
        <f aca="false">IF(INDEX(Pengaturan!$B$8:$B$27,H$4)="",0,COUNTIF(Data!$B832:$U832,INDEX(Pengaturan!$B$8:$B$27,H$4)))</f>
        <v>0</v>
      </c>
      <c r="I832" s="26" t="n">
        <f aca="false">IF(INDEX(Pengaturan!$B$8:$B$27,I$4)="",0,COUNTIF(Data!$B832:$U832,INDEX(Pengaturan!$B$8:$B$27,I$4)))</f>
        <v>0</v>
      </c>
      <c r="J832" s="26" t="n">
        <f aca="false">IF(INDEX(Pengaturan!$B$8:$B$27,J$4)="",0,COUNTIF(Data!$B832:$U832,INDEX(Pengaturan!$B$8:$B$27,J$4)))</f>
        <v>0</v>
      </c>
      <c r="K832" s="26" t="n">
        <f aca="false">IF(INDEX(Pengaturan!$B$8:$B$27,K$4)="",0,COUNTIF(Data!$B832:$U832,INDEX(Pengaturan!$B$8:$B$27,K$4)))</f>
        <v>0</v>
      </c>
      <c r="L832" s="26" t="n">
        <f aca="false">IF(INDEX(Pengaturan!$B$8:$B$27,L$4)="",0,COUNTIF(Data!$B832:$U832,INDEX(Pengaturan!$B$8:$B$27,L$4)))</f>
        <v>0</v>
      </c>
      <c r="M832" s="26" t="n">
        <f aca="false">IF(INDEX(Pengaturan!$B$8:$B$27,M$4)="",0,COUNTIF(Data!$B832:$U832,INDEX(Pengaturan!$B$8:$B$27,M$4)))</f>
        <v>0</v>
      </c>
      <c r="N832" s="26" t="n">
        <f aca="false">IF(INDEX(Pengaturan!$B$8:$B$27,N$4)="",0,COUNTIF(Data!$B832:$U832,INDEX(Pengaturan!$B$8:$B$27,N$4)))</f>
        <v>0</v>
      </c>
      <c r="O832" s="26" t="n">
        <f aca="false">IF(INDEX(Pengaturan!$B$8:$B$27,O$4)="",0,COUNTIF(Data!$B832:$U832,INDEX(Pengaturan!$B$8:$B$27,O$4)))</f>
        <v>0</v>
      </c>
      <c r="P832" s="26" t="n">
        <f aca="false">IF(INDEX(Pengaturan!$B$8:$B$27,P$4)="",0,COUNTIF(Data!$B832:$U832,INDEX(Pengaturan!$B$8:$B$27,P$4)))</f>
        <v>0</v>
      </c>
      <c r="Q832" s="26" t="n">
        <f aca="false">IF(INDEX(Pengaturan!$B$8:$B$27,Q$4)="",0,COUNTIF(Data!$B832:$U832,INDEX(Pengaturan!$B$8:$B$27,Q$4)))</f>
        <v>0</v>
      </c>
      <c r="R832" s="26" t="n">
        <f aca="false">IF(INDEX(Pengaturan!$B$8:$B$27,R$4)="",0,COUNTIF(Data!$B832:$U832,INDEX(Pengaturan!$B$8:$B$27,R$4)))</f>
        <v>0</v>
      </c>
      <c r="S832" s="26" t="n">
        <f aca="false">IF(INDEX(Pengaturan!$B$8:$B$27,S$4)="",0,COUNTIF(Data!$B832:$U832,INDEX(Pengaturan!$B$8:$B$27,S$4)))</f>
        <v>0</v>
      </c>
      <c r="T832" s="26" t="n">
        <f aca="false">IF(INDEX(Pengaturan!$B$8:$B$27,T$4)="",0,COUNTIF(Data!$B832:$U832,INDEX(Pengaturan!$B$8:$B$27,T$4)))</f>
        <v>0</v>
      </c>
      <c r="U832" s="26" t="n">
        <f aca="false">IF(INDEX(Pengaturan!$B$8:$B$27,U$4)="",0,COUNTIF(Data!$B832:$U832,INDEX(Pengaturan!$B$8:$B$27,U$4)))</f>
        <v>0</v>
      </c>
      <c r="V832" s="26" t="n">
        <f aca="false">COUNTA(Data!$B832:$U832)</f>
        <v>0</v>
      </c>
      <c r="W832" s="27" t="str">
        <f aca="false">IF(V832=0,"",IF(V832&lt;&gt;Hasil!$C$4,"Data kosong/tidak lengkap",IF(SUM(B832:U832)&lt;&gt;V832,"Kategori tidak dikenal","OK")))</f>
        <v/>
      </c>
      <c r="X832" s="26" t="n">
        <f aca="false">IF(OR(W832="",W832="OK"),0,1)</f>
        <v>0</v>
      </c>
    </row>
    <row r="833" customFormat="false" ht="15" hidden="false" customHeight="false" outlineLevel="0" collapsed="false">
      <c r="A833" s="26" t="n">
        <f aca="false">Data!A833</f>
        <v>828</v>
      </c>
      <c r="B833" s="26" t="n">
        <f aca="false">IF(INDEX(Pengaturan!$B$8:$B$27,B$4)="",0,COUNTIF(Data!$B833:$U833,INDEX(Pengaturan!$B$8:$B$27,B$4)))</f>
        <v>0</v>
      </c>
      <c r="C833" s="26" t="n">
        <f aca="false">IF(INDEX(Pengaturan!$B$8:$B$27,C$4)="",0,COUNTIF(Data!$B833:$U833,INDEX(Pengaturan!$B$8:$B$27,C$4)))</f>
        <v>0</v>
      </c>
      <c r="D833" s="26" t="n">
        <f aca="false">IF(INDEX(Pengaturan!$B$8:$B$27,D$4)="",0,COUNTIF(Data!$B833:$U833,INDEX(Pengaturan!$B$8:$B$27,D$4)))</f>
        <v>0</v>
      </c>
      <c r="E833" s="26" t="n">
        <f aca="false">IF(INDEX(Pengaturan!$B$8:$B$27,E$4)="",0,COUNTIF(Data!$B833:$U833,INDEX(Pengaturan!$B$8:$B$27,E$4)))</f>
        <v>0</v>
      </c>
      <c r="F833" s="26" t="n">
        <f aca="false">IF(INDEX(Pengaturan!$B$8:$B$27,F$4)="",0,COUNTIF(Data!$B833:$U833,INDEX(Pengaturan!$B$8:$B$27,F$4)))</f>
        <v>0</v>
      </c>
      <c r="G833" s="26" t="n">
        <f aca="false">IF(INDEX(Pengaturan!$B$8:$B$27,G$4)="",0,COUNTIF(Data!$B833:$U833,INDEX(Pengaturan!$B$8:$B$27,G$4)))</f>
        <v>0</v>
      </c>
      <c r="H833" s="26" t="n">
        <f aca="false">IF(INDEX(Pengaturan!$B$8:$B$27,H$4)="",0,COUNTIF(Data!$B833:$U833,INDEX(Pengaturan!$B$8:$B$27,H$4)))</f>
        <v>0</v>
      </c>
      <c r="I833" s="26" t="n">
        <f aca="false">IF(INDEX(Pengaturan!$B$8:$B$27,I$4)="",0,COUNTIF(Data!$B833:$U833,INDEX(Pengaturan!$B$8:$B$27,I$4)))</f>
        <v>0</v>
      </c>
      <c r="J833" s="26" t="n">
        <f aca="false">IF(INDEX(Pengaturan!$B$8:$B$27,J$4)="",0,COUNTIF(Data!$B833:$U833,INDEX(Pengaturan!$B$8:$B$27,J$4)))</f>
        <v>0</v>
      </c>
      <c r="K833" s="26" t="n">
        <f aca="false">IF(INDEX(Pengaturan!$B$8:$B$27,K$4)="",0,COUNTIF(Data!$B833:$U833,INDEX(Pengaturan!$B$8:$B$27,K$4)))</f>
        <v>0</v>
      </c>
      <c r="L833" s="26" t="n">
        <f aca="false">IF(INDEX(Pengaturan!$B$8:$B$27,L$4)="",0,COUNTIF(Data!$B833:$U833,INDEX(Pengaturan!$B$8:$B$27,L$4)))</f>
        <v>0</v>
      </c>
      <c r="M833" s="26" t="n">
        <f aca="false">IF(INDEX(Pengaturan!$B$8:$B$27,M$4)="",0,COUNTIF(Data!$B833:$U833,INDEX(Pengaturan!$B$8:$B$27,M$4)))</f>
        <v>0</v>
      </c>
      <c r="N833" s="26" t="n">
        <f aca="false">IF(INDEX(Pengaturan!$B$8:$B$27,N$4)="",0,COUNTIF(Data!$B833:$U833,INDEX(Pengaturan!$B$8:$B$27,N$4)))</f>
        <v>0</v>
      </c>
      <c r="O833" s="26" t="n">
        <f aca="false">IF(INDEX(Pengaturan!$B$8:$B$27,O$4)="",0,COUNTIF(Data!$B833:$U833,INDEX(Pengaturan!$B$8:$B$27,O$4)))</f>
        <v>0</v>
      </c>
      <c r="P833" s="26" t="n">
        <f aca="false">IF(INDEX(Pengaturan!$B$8:$B$27,P$4)="",0,COUNTIF(Data!$B833:$U833,INDEX(Pengaturan!$B$8:$B$27,P$4)))</f>
        <v>0</v>
      </c>
      <c r="Q833" s="26" t="n">
        <f aca="false">IF(INDEX(Pengaturan!$B$8:$B$27,Q$4)="",0,COUNTIF(Data!$B833:$U833,INDEX(Pengaturan!$B$8:$B$27,Q$4)))</f>
        <v>0</v>
      </c>
      <c r="R833" s="26" t="n">
        <f aca="false">IF(INDEX(Pengaturan!$B$8:$B$27,R$4)="",0,COUNTIF(Data!$B833:$U833,INDEX(Pengaturan!$B$8:$B$27,R$4)))</f>
        <v>0</v>
      </c>
      <c r="S833" s="26" t="n">
        <f aca="false">IF(INDEX(Pengaturan!$B$8:$B$27,S$4)="",0,COUNTIF(Data!$B833:$U833,INDEX(Pengaturan!$B$8:$B$27,S$4)))</f>
        <v>0</v>
      </c>
      <c r="T833" s="26" t="n">
        <f aca="false">IF(INDEX(Pengaturan!$B$8:$B$27,T$4)="",0,COUNTIF(Data!$B833:$U833,INDEX(Pengaturan!$B$8:$B$27,T$4)))</f>
        <v>0</v>
      </c>
      <c r="U833" s="26" t="n">
        <f aca="false">IF(INDEX(Pengaturan!$B$8:$B$27,U$4)="",0,COUNTIF(Data!$B833:$U833,INDEX(Pengaturan!$B$8:$B$27,U$4)))</f>
        <v>0</v>
      </c>
      <c r="V833" s="26" t="n">
        <f aca="false">COUNTA(Data!$B833:$U833)</f>
        <v>0</v>
      </c>
      <c r="W833" s="27" t="str">
        <f aca="false">IF(V833=0,"",IF(V833&lt;&gt;Hasil!$C$4,"Data kosong/tidak lengkap",IF(SUM(B833:U833)&lt;&gt;V833,"Kategori tidak dikenal","OK")))</f>
        <v/>
      </c>
      <c r="X833" s="26" t="n">
        <f aca="false">IF(OR(W833="",W833="OK"),0,1)</f>
        <v>0</v>
      </c>
    </row>
    <row r="834" customFormat="false" ht="15" hidden="false" customHeight="false" outlineLevel="0" collapsed="false">
      <c r="A834" s="26" t="n">
        <f aca="false">Data!A834</f>
        <v>829</v>
      </c>
      <c r="B834" s="26" t="n">
        <f aca="false">IF(INDEX(Pengaturan!$B$8:$B$27,B$4)="",0,COUNTIF(Data!$B834:$U834,INDEX(Pengaturan!$B$8:$B$27,B$4)))</f>
        <v>0</v>
      </c>
      <c r="C834" s="26" t="n">
        <f aca="false">IF(INDEX(Pengaturan!$B$8:$B$27,C$4)="",0,COUNTIF(Data!$B834:$U834,INDEX(Pengaturan!$B$8:$B$27,C$4)))</f>
        <v>0</v>
      </c>
      <c r="D834" s="26" t="n">
        <f aca="false">IF(INDEX(Pengaturan!$B$8:$B$27,D$4)="",0,COUNTIF(Data!$B834:$U834,INDEX(Pengaturan!$B$8:$B$27,D$4)))</f>
        <v>0</v>
      </c>
      <c r="E834" s="26" t="n">
        <f aca="false">IF(INDEX(Pengaturan!$B$8:$B$27,E$4)="",0,COUNTIF(Data!$B834:$U834,INDEX(Pengaturan!$B$8:$B$27,E$4)))</f>
        <v>0</v>
      </c>
      <c r="F834" s="26" t="n">
        <f aca="false">IF(INDEX(Pengaturan!$B$8:$B$27,F$4)="",0,COUNTIF(Data!$B834:$U834,INDEX(Pengaturan!$B$8:$B$27,F$4)))</f>
        <v>0</v>
      </c>
      <c r="G834" s="26" t="n">
        <f aca="false">IF(INDEX(Pengaturan!$B$8:$B$27,G$4)="",0,COUNTIF(Data!$B834:$U834,INDEX(Pengaturan!$B$8:$B$27,G$4)))</f>
        <v>0</v>
      </c>
      <c r="H834" s="26" t="n">
        <f aca="false">IF(INDEX(Pengaturan!$B$8:$B$27,H$4)="",0,COUNTIF(Data!$B834:$U834,INDEX(Pengaturan!$B$8:$B$27,H$4)))</f>
        <v>0</v>
      </c>
      <c r="I834" s="26" t="n">
        <f aca="false">IF(INDEX(Pengaturan!$B$8:$B$27,I$4)="",0,COUNTIF(Data!$B834:$U834,INDEX(Pengaturan!$B$8:$B$27,I$4)))</f>
        <v>0</v>
      </c>
      <c r="J834" s="26" t="n">
        <f aca="false">IF(INDEX(Pengaturan!$B$8:$B$27,J$4)="",0,COUNTIF(Data!$B834:$U834,INDEX(Pengaturan!$B$8:$B$27,J$4)))</f>
        <v>0</v>
      </c>
      <c r="K834" s="26" t="n">
        <f aca="false">IF(INDEX(Pengaturan!$B$8:$B$27,K$4)="",0,COUNTIF(Data!$B834:$U834,INDEX(Pengaturan!$B$8:$B$27,K$4)))</f>
        <v>0</v>
      </c>
      <c r="L834" s="26" t="n">
        <f aca="false">IF(INDEX(Pengaturan!$B$8:$B$27,L$4)="",0,COUNTIF(Data!$B834:$U834,INDEX(Pengaturan!$B$8:$B$27,L$4)))</f>
        <v>0</v>
      </c>
      <c r="M834" s="26" t="n">
        <f aca="false">IF(INDEX(Pengaturan!$B$8:$B$27,M$4)="",0,COUNTIF(Data!$B834:$U834,INDEX(Pengaturan!$B$8:$B$27,M$4)))</f>
        <v>0</v>
      </c>
      <c r="N834" s="26" t="n">
        <f aca="false">IF(INDEX(Pengaturan!$B$8:$B$27,N$4)="",0,COUNTIF(Data!$B834:$U834,INDEX(Pengaturan!$B$8:$B$27,N$4)))</f>
        <v>0</v>
      </c>
      <c r="O834" s="26" t="n">
        <f aca="false">IF(INDEX(Pengaturan!$B$8:$B$27,O$4)="",0,COUNTIF(Data!$B834:$U834,INDEX(Pengaturan!$B$8:$B$27,O$4)))</f>
        <v>0</v>
      </c>
      <c r="P834" s="26" t="n">
        <f aca="false">IF(INDEX(Pengaturan!$B$8:$B$27,P$4)="",0,COUNTIF(Data!$B834:$U834,INDEX(Pengaturan!$B$8:$B$27,P$4)))</f>
        <v>0</v>
      </c>
      <c r="Q834" s="26" t="n">
        <f aca="false">IF(INDEX(Pengaturan!$B$8:$B$27,Q$4)="",0,COUNTIF(Data!$B834:$U834,INDEX(Pengaturan!$B$8:$B$27,Q$4)))</f>
        <v>0</v>
      </c>
      <c r="R834" s="26" t="n">
        <f aca="false">IF(INDEX(Pengaturan!$B$8:$B$27,R$4)="",0,COUNTIF(Data!$B834:$U834,INDEX(Pengaturan!$B$8:$B$27,R$4)))</f>
        <v>0</v>
      </c>
      <c r="S834" s="26" t="n">
        <f aca="false">IF(INDEX(Pengaturan!$B$8:$B$27,S$4)="",0,COUNTIF(Data!$B834:$U834,INDEX(Pengaturan!$B$8:$B$27,S$4)))</f>
        <v>0</v>
      </c>
      <c r="T834" s="26" t="n">
        <f aca="false">IF(INDEX(Pengaturan!$B$8:$B$27,T$4)="",0,COUNTIF(Data!$B834:$U834,INDEX(Pengaturan!$B$8:$B$27,T$4)))</f>
        <v>0</v>
      </c>
      <c r="U834" s="26" t="n">
        <f aca="false">IF(INDEX(Pengaturan!$B$8:$B$27,U$4)="",0,COUNTIF(Data!$B834:$U834,INDEX(Pengaturan!$B$8:$B$27,U$4)))</f>
        <v>0</v>
      </c>
      <c r="V834" s="26" t="n">
        <f aca="false">COUNTA(Data!$B834:$U834)</f>
        <v>0</v>
      </c>
      <c r="W834" s="27" t="str">
        <f aca="false">IF(V834=0,"",IF(V834&lt;&gt;Hasil!$C$4,"Data kosong/tidak lengkap",IF(SUM(B834:U834)&lt;&gt;V834,"Kategori tidak dikenal","OK")))</f>
        <v/>
      </c>
      <c r="X834" s="26" t="n">
        <f aca="false">IF(OR(W834="",W834="OK"),0,1)</f>
        <v>0</v>
      </c>
    </row>
    <row r="835" customFormat="false" ht="15" hidden="false" customHeight="false" outlineLevel="0" collapsed="false">
      <c r="A835" s="26" t="n">
        <f aca="false">Data!A835</f>
        <v>830</v>
      </c>
      <c r="B835" s="26" t="n">
        <f aca="false">IF(INDEX(Pengaturan!$B$8:$B$27,B$4)="",0,COUNTIF(Data!$B835:$U835,INDEX(Pengaturan!$B$8:$B$27,B$4)))</f>
        <v>0</v>
      </c>
      <c r="C835" s="26" t="n">
        <f aca="false">IF(INDEX(Pengaturan!$B$8:$B$27,C$4)="",0,COUNTIF(Data!$B835:$U835,INDEX(Pengaturan!$B$8:$B$27,C$4)))</f>
        <v>0</v>
      </c>
      <c r="D835" s="26" t="n">
        <f aca="false">IF(INDEX(Pengaturan!$B$8:$B$27,D$4)="",0,COUNTIF(Data!$B835:$U835,INDEX(Pengaturan!$B$8:$B$27,D$4)))</f>
        <v>0</v>
      </c>
      <c r="E835" s="26" t="n">
        <f aca="false">IF(INDEX(Pengaturan!$B$8:$B$27,E$4)="",0,COUNTIF(Data!$B835:$U835,INDEX(Pengaturan!$B$8:$B$27,E$4)))</f>
        <v>0</v>
      </c>
      <c r="F835" s="26" t="n">
        <f aca="false">IF(INDEX(Pengaturan!$B$8:$B$27,F$4)="",0,COUNTIF(Data!$B835:$U835,INDEX(Pengaturan!$B$8:$B$27,F$4)))</f>
        <v>0</v>
      </c>
      <c r="G835" s="26" t="n">
        <f aca="false">IF(INDEX(Pengaturan!$B$8:$B$27,G$4)="",0,COUNTIF(Data!$B835:$U835,INDEX(Pengaturan!$B$8:$B$27,G$4)))</f>
        <v>0</v>
      </c>
      <c r="H835" s="26" t="n">
        <f aca="false">IF(INDEX(Pengaturan!$B$8:$B$27,H$4)="",0,COUNTIF(Data!$B835:$U835,INDEX(Pengaturan!$B$8:$B$27,H$4)))</f>
        <v>0</v>
      </c>
      <c r="I835" s="26" t="n">
        <f aca="false">IF(INDEX(Pengaturan!$B$8:$B$27,I$4)="",0,COUNTIF(Data!$B835:$U835,INDEX(Pengaturan!$B$8:$B$27,I$4)))</f>
        <v>0</v>
      </c>
      <c r="J835" s="26" t="n">
        <f aca="false">IF(INDEX(Pengaturan!$B$8:$B$27,J$4)="",0,COUNTIF(Data!$B835:$U835,INDEX(Pengaturan!$B$8:$B$27,J$4)))</f>
        <v>0</v>
      </c>
      <c r="K835" s="26" t="n">
        <f aca="false">IF(INDEX(Pengaturan!$B$8:$B$27,K$4)="",0,COUNTIF(Data!$B835:$U835,INDEX(Pengaturan!$B$8:$B$27,K$4)))</f>
        <v>0</v>
      </c>
      <c r="L835" s="26" t="n">
        <f aca="false">IF(INDEX(Pengaturan!$B$8:$B$27,L$4)="",0,COUNTIF(Data!$B835:$U835,INDEX(Pengaturan!$B$8:$B$27,L$4)))</f>
        <v>0</v>
      </c>
      <c r="M835" s="26" t="n">
        <f aca="false">IF(INDEX(Pengaturan!$B$8:$B$27,M$4)="",0,COUNTIF(Data!$B835:$U835,INDEX(Pengaturan!$B$8:$B$27,M$4)))</f>
        <v>0</v>
      </c>
      <c r="N835" s="26" t="n">
        <f aca="false">IF(INDEX(Pengaturan!$B$8:$B$27,N$4)="",0,COUNTIF(Data!$B835:$U835,INDEX(Pengaturan!$B$8:$B$27,N$4)))</f>
        <v>0</v>
      </c>
      <c r="O835" s="26" t="n">
        <f aca="false">IF(INDEX(Pengaturan!$B$8:$B$27,O$4)="",0,COUNTIF(Data!$B835:$U835,INDEX(Pengaturan!$B$8:$B$27,O$4)))</f>
        <v>0</v>
      </c>
      <c r="P835" s="26" t="n">
        <f aca="false">IF(INDEX(Pengaturan!$B$8:$B$27,P$4)="",0,COUNTIF(Data!$B835:$U835,INDEX(Pengaturan!$B$8:$B$27,P$4)))</f>
        <v>0</v>
      </c>
      <c r="Q835" s="26" t="n">
        <f aca="false">IF(INDEX(Pengaturan!$B$8:$B$27,Q$4)="",0,COUNTIF(Data!$B835:$U835,INDEX(Pengaturan!$B$8:$B$27,Q$4)))</f>
        <v>0</v>
      </c>
      <c r="R835" s="26" t="n">
        <f aca="false">IF(INDEX(Pengaturan!$B$8:$B$27,R$4)="",0,COUNTIF(Data!$B835:$U835,INDEX(Pengaturan!$B$8:$B$27,R$4)))</f>
        <v>0</v>
      </c>
      <c r="S835" s="26" t="n">
        <f aca="false">IF(INDEX(Pengaturan!$B$8:$B$27,S$4)="",0,COUNTIF(Data!$B835:$U835,INDEX(Pengaturan!$B$8:$B$27,S$4)))</f>
        <v>0</v>
      </c>
      <c r="T835" s="26" t="n">
        <f aca="false">IF(INDEX(Pengaturan!$B$8:$B$27,T$4)="",0,COUNTIF(Data!$B835:$U835,INDEX(Pengaturan!$B$8:$B$27,T$4)))</f>
        <v>0</v>
      </c>
      <c r="U835" s="26" t="n">
        <f aca="false">IF(INDEX(Pengaturan!$B$8:$B$27,U$4)="",0,COUNTIF(Data!$B835:$U835,INDEX(Pengaturan!$B$8:$B$27,U$4)))</f>
        <v>0</v>
      </c>
      <c r="V835" s="26" t="n">
        <f aca="false">COUNTA(Data!$B835:$U835)</f>
        <v>0</v>
      </c>
      <c r="W835" s="27" t="str">
        <f aca="false">IF(V835=0,"",IF(V835&lt;&gt;Hasil!$C$4,"Data kosong/tidak lengkap",IF(SUM(B835:U835)&lt;&gt;V835,"Kategori tidak dikenal","OK")))</f>
        <v/>
      </c>
      <c r="X835" s="26" t="n">
        <f aca="false">IF(OR(W835="",W835="OK"),0,1)</f>
        <v>0</v>
      </c>
    </row>
    <row r="836" customFormat="false" ht="15" hidden="false" customHeight="false" outlineLevel="0" collapsed="false">
      <c r="A836" s="26" t="n">
        <f aca="false">Data!A836</f>
        <v>831</v>
      </c>
      <c r="B836" s="26" t="n">
        <f aca="false">IF(INDEX(Pengaturan!$B$8:$B$27,B$4)="",0,COUNTIF(Data!$B836:$U836,INDEX(Pengaturan!$B$8:$B$27,B$4)))</f>
        <v>0</v>
      </c>
      <c r="C836" s="26" t="n">
        <f aca="false">IF(INDEX(Pengaturan!$B$8:$B$27,C$4)="",0,COUNTIF(Data!$B836:$U836,INDEX(Pengaturan!$B$8:$B$27,C$4)))</f>
        <v>0</v>
      </c>
      <c r="D836" s="26" t="n">
        <f aca="false">IF(INDEX(Pengaturan!$B$8:$B$27,D$4)="",0,COUNTIF(Data!$B836:$U836,INDEX(Pengaturan!$B$8:$B$27,D$4)))</f>
        <v>0</v>
      </c>
      <c r="E836" s="26" t="n">
        <f aca="false">IF(INDEX(Pengaturan!$B$8:$B$27,E$4)="",0,COUNTIF(Data!$B836:$U836,INDEX(Pengaturan!$B$8:$B$27,E$4)))</f>
        <v>0</v>
      </c>
      <c r="F836" s="26" t="n">
        <f aca="false">IF(INDEX(Pengaturan!$B$8:$B$27,F$4)="",0,COUNTIF(Data!$B836:$U836,INDEX(Pengaturan!$B$8:$B$27,F$4)))</f>
        <v>0</v>
      </c>
      <c r="G836" s="26" t="n">
        <f aca="false">IF(INDEX(Pengaturan!$B$8:$B$27,G$4)="",0,COUNTIF(Data!$B836:$U836,INDEX(Pengaturan!$B$8:$B$27,G$4)))</f>
        <v>0</v>
      </c>
      <c r="H836" s="26" t="n">
        <f aca="false">IF(INDEX(Pengaturan!$B$8:$B$27,H$4)="",0,COUNTIF(Data!$B836:$U836,INDEX(Pengaturan!$B$8:$B$27,H$4)))</f>
        <v>0</v>
      </c>
      <c r="I836" s="26" t="n">
        <f aca="false">IF(INDEX(Pengaturan!$B$8:$B$27,I$4)="",0,COUNTIF(Data!$B836:$U836,INDEX(Pengaturan!$B$8:$B$27,I$4)))</f>
        <v>0</v>
      </c>
      <c r="J836" s="26" t="n">
        <f aca="false">IF(INDEX(Pengaturan!$B$8:$B$27,J$4)="",0,COUNTIF(Data!$B836:$U836,INDEX(Pengaturan!$B$8:$B$27,J$4)))</f>
        <v>0</v>
      </c>
      <c r="K836" s="26" t="n">
        <f aca="false">IF(INDEX(Pengaturan!$B$8:$B$27,K$4)="",0,COUNTIF(Data!$B836:$U836,INDEX(Pengaturan!$B$8:$B$27,K$4)))</f>
        <v>0</v>
      </c>
      <c r="L836" s="26" t="n">
        <f aca="false">IF(INDEX(Pengaturan!$B$8:$B$27,L$4)="",0,COUNTIF(Data!$B836:$U836,INDEX(Pengaturan!$B$8:$B$27,L$4)))</f>
        <v>0</v>
      </c>
      <c r="M836" s="26" t="n">
        <f aca="false">IF(INDEX(Pengaturan!$B$8:$B$27,M$4)="",0,COUNTIF(Data!$B836:$U836,INDEX(Pengaturan!$B$8:$B$27,M$4)))</f>
        <v>0</v>
      </c>
      <c r="N836" s="26" t="n">
        <f aca="false">IF(INDEX(Pengaturan!$B$8:$B$27,N$4)="",0,COUNTIF(Data!$B836:$U836,INDEX(Pengaturan!$B$8:$B$27,N$4)))</f>
        <v>0</v>
      </c>
      <c r="O836" s="26" t="n">
        <f aca="false">IF(INDEX(Pengaturan!$B$8:$B$27,O$4)="",0,COUNTIF(Data!$B836:$U836,INDEX(Pengaturan!$B$8:$B$27,O$4)))</f>
        <v>0</v>
      </c>
      <c r="P836" s="26" t="n">
        <f aca="false">IF(INDEX(Pengaturan!$B$8:$B$27,P$4)="",0,COUNTIF(Data!$B836:$U836,INDEX(Pengaturan!$B$8:$B$27,P$4)))</f>
        <v>0</v>
      </c>
      <c r="Q836" s="26" t="n">
        <f aca="false">IF(INDEX(Pengaturan!$B$8:$B$27,Q$4)="",0,COUNTIF(Data!$B836:$U836,INDEX(Pengaturan!$B$8:$B$27,Q$4)))</f>
        <v>0</v>
      </c>
      <c r="R836" s="26" t="n">
        <f aca="false">IF(INDEX(Pengaturan!$B$8:$B$27,R$4)="",0,COUNTIF(Data!$B836:$U836,INDEX(Pengaturan!$B$8:$B$27,R$4)))</f>
        <v>0</v>
      </c>
      <c r="S836" s="26" t="n">
        <f aca="false">IF(INDEX(Pengaturan!$B$8:$B$27,S$4)="",0,COUNTIF(Data!$B836:$U836,INDEX(Pengaturan!$B$8:$B$27,S$4)))</f>
        <v>0</v>
      </c>
      <c r="T836" s="26" t="n">
        <f aca="false">IF(INDEX(Pengaturan!$B$8:$B$27,T$4)="",0,COUNTIF(Data!$B836:$U836,INDEX(Pengaturan!$B$8:$B$27,T$4)))</f>
        <v>0</v>
      </c>
      <c r="U836" s="26" t="n">
        <f aca="false">IF(INDEX(Pengaturan!$B$8:$B$27,U$4)="",0,COUNTIF(Data!$B836:$U836,INDEX(Pengaturan!$B$8:$B$27,U$4)))</f>
        <v>0</v>
      </c>
      <c r="V836" s="26" t="n">
        <f aca="false">COUNTA(Data!$B836:$U836)</f>
        <v>0</v>
      </c>
      <c r="W836" s="27" t="str">
        <f aca="false">IF(V836=0,"",IF(V836&lt;&gt;Hasil!$C$4,"Data kosong/tidak lengkap",IF(SUM(B836:U836)&lt;&gt;V836,"Kategori tidak dikenal","OK")))</f>
        <v/>
      </c>
      <c r="X836" s="26" t="n">
        <f aca="false">IF(OR(W836="",W836="OK"),0,1)</f>
        <v>0</v>
      </c>
    </row>
    <row r="837" customFormat="false" ht="15" hidden="false" customHeight="false" outlineLevel="0" collapsed="false">
      <c r="A837" s="26" t="n">
        <f aca="false">Data!A837</f>
        <v>832</v>
      </c>
      <c r="B837" s="26" t="n">
        <f aca="false">IF(INDEX(Pengaturan!$B$8:$B$27,B$4)="",0,COUNTIF(Data!$B837:$U837,INDEX(Pengaturan!$B$8:$B$27,B$4)))</f>
        <v>0</v>
      </c>
      <c r="C837" s="26" t="n">
        <f aca="false">IF(INDEX(Pengaturan!$B$8:$B$27,C$4)="",0,COUNTIF(Data!$B837:$U837,INDEX(Pengaturan!$B$8:$B$27,C$4)))</f>
        <v>0</v>
      </c>
      <c r="D837" s="26" t="n">
        <f aca="false">IF(INDEX(Pengaturan!$B$8:$B$27,D$4)="",0,COUNTIF(Data!$B837:$U837,INDEX(Pengaturan!$B$8:$B$27,D$4)))</f>
        <v>0</v>
      </c>
      <c r="E837" s="26" t="n">
        <f aca="false">IF(INDEX(Pengaturan!$B$8:$B$27,E$4)="",0,COUNTIF(Data!$B837:$U837,INDEX(Pengaturan!$B$8:$B$27,E$4)))</f>
        <v>0</v>
      </c>
      <c r="F837" s="26" t="n">
        <f aca="false">IF(INDEX(Pengaturan!$B$8:$B$27,F$4)="",0,COUNTIF(Data!$B837:$U837,INDEX(Pengaturan!$B$8:$B$27,F$4)))</f>
        <v>0</v>
      </c>
      <c r="G837" s="26" t="n">
        <f aca="false">IF(INDEX(Pengaturan!$B$8:$B$27,G$4)="",0,COUNTIF(Data!$B837:$U837,INDEX(Pengaturan!$B$8:$B$27,G$4)))</f>
        <v>0</v>
      </c>
      <c r="H837" s="26" t="n">
        <f aca="false">IF(INDEX(Pengaturan!$B$8:$B$27,H$4)="",0,COUNTIF(Data!$B837:$U837,INDEX(Pengaturan!$B$8:$B$27,H$4)))</f>
        <v>0</v>
      </c>
      <c r="I837" s="26" t="n">
        <f aca="false">IF(INDEX(Pengaturan!$B$8:$B$27,I$4)="",0,COUNTIF(Data!$B837:$U837,INDEX(Pengaturan!$B$8:$B$27,I$4)))</f>
        <v>0</v>
      </c>
      <c r="J837" s="26" t="n">
        <f aca="false">IF(INDEX(Pengaturan!$B$8:$B$27,J$4)="",0,COUNTIF(Data!$B837:$U837,INDEX(Pengaturan!$B$8:$B$27,J$4)))</f>
        <v>0</v>
      </c>
      <c r="K837" s="26" t="n">
        <f aca="false">IF(INDEX(Pengaturan!$B$8:$B$27,K$4)="",0,COUNTIF(Data!$B837:$U837,INDEX(Pengaturan!$B$8:$B$27,K$4)))</f>
        <v>0</v>
      </c>
      <c r="L837" s="26" t="n">
        <f aca="false">IF(INDEX(Pengaturan!$B$8:$B$27,L$4)="",0,COUNTIF(Data!$B837:$U837,INDEX(Pengaturan!$B$8:$B$27,L$4)))</f>
        <v>0</v>
      </c>
      <c r="M837" s="26" t="n">
        <f aca="false">IF(INDEX(Pengaturan!$B$8:$B$27,M$4)="",0,COUNTIF(Data!$B837:$U837,INDEX(Pengaturan!$B$8:$B$27,M$4)))</f>
        <v>0</v>
      </c>
      <c r="N837" s="26" t="n">
        <f aca="false">IF(INDEX(Pengaturan!$B$8:$B$27,N$4)="",0,COUNTIF(Data!$B837:$U837,INDEX(Pengaturan!$B$8:$B$27,N$4)))</f>
        <v>0</v>
      </c>
      <c r="O837" s="26" t="n">
        <f aca="false">IF(INDEX(Pengaturan!$B$8:$B$27,O$4)="",0,COUNTIF(Data!$B837:$U837,INDEX(Pengaturan!$B$8:$B$27,O$4)))</f>
        <v>0</v>
      </c>
      <c r="P837" s="26" t="n">
        <f aca="false">IF(INDEX(Pengaturan!$B$8:$B$27,P$4)="",0,COUNTIF(Data!$B837:$U837,INDEX(Pengaturan!$B$8:$B$27,P$4)))</f>
        <v>0</v>
      </c>
      <c r="Q837" s="26" t="n">
        <f aca="false">IF(INDEX(Pengaturan!$B$8:$B$27,Q$4)="",0,COUNTIF(Data!$B837:$U837,INDEX(Pengaturan!$B$8:$B$27,Q$4)))</f>
        <v>0</v>
      </c>
      <c r="R837" s="26" t="n">
        <f aca="false">IF(INDEX(Pengaturan!$B$8:$B$27,R$4)="",0,COUNTIF(Data!$B837:$U837,INDEX(Pengaturan!$B$8:$B$27,R$4)))</f>
        <v>0</v>
      </c>
      <c r="S837" s="26" t="n">
        <f aca="false">IF(INDEX(Pengaturan!$B$8:$B$27,S$4)="",0,COUNTIF(Data!$B837:$U837,INDEX(Pengaturan!$B$8:$B$27,S$4)))</f>
        <v>0</v>
      </c>
      <c r="T837" s="26" t="n">
        <f aca="false">IF(INDEX(Pengaturan!$B$8:$B$27,T$4)="",0,COUNTIF(Data!$B837:$U837,INDEX(Pengaturan!$B$8:$B$27,T$4)))</f>
        <v>0</v>
      </c>
      <c r="U837" s="26" t="n">
        <f aca="false">IF(INDEX(Pengaturan!$B$8:$B$27,U$4)="",0,COUNTIF(Data!$B837:$U837,INDEX(Pengaturan!$B$8:$B$27,U$4)))</f>
        <v>0</v>
      </c>
      <c r="V837" s="26" t="n">
        <f aca="false">COUNTA(Data!$B837:$U837)</f>
        <v>0</v>
      </c>
      <c r="W837" s="27" t="str">
        <f aca="false">IF(V837=0,"",IF(V837&lt;&gt;Hasil!$C$4,"Data kosong/tidak lengkap",IF(SUM(B837:U837)&lt;&gt;V837,"Kategori tidak dikenal","OK")))</f>
        <v/>
      </c>
      <c r="X837" s="26" t="n">
        <f aca="false">IF(OR(W837="",W837="OK"),0,1)</f>
        <v>0</v>
      </c>
    </row>
    <row r="838" customFormat="false" ht="15" hidden="false" customHeight="false" outlineLevel="0" collapsed="false">
      <c r="A838" s="26" t="n">
        <f aca="false">Data!A838</f>
        <v>833</v>
      </c>
      <c r="B838" s="26" t="n">
        <f aca="false">IF(INDEX(Pengaturan!$B$8:$B$27,B$4)="",0,COUNTIF(Data!$B838:$U838,INDEX(Pengaturan!$B$8:$B$27,B$4)))</f>
        <v>0</v>
      </c>
      <c r="C838" s="26" t="n">
        <f aca="false">IF(INDEX(Pengaturan!$B$8:$B$27,C$4)="",0,COUNTIF(Data!$B838:$U838,INDEX(Pengaturan!$B$8:$B$27,C$4)))</f>
        <v>0</v>
      </c>
      <c r="D838" s="26" t="n">
        <f aca="false">IF(INDEX(Pengaturan!$B$8:$B$27,D$4)="",0,COUNTIF(Data!$B838:$U838,INDEX(Pengaturan!$B$8:$B$27,D$4)))</f>
        <v>0</v>
      </c>
      <c r="E838" s="26" t="n">
        <f aca="false">IF(INDEX(Pengaturan!$B$8:$B$27,E$4)="",0,COUNTIF(Data!$B838:$U838,INDEX(Pengaturan!$B$8:$B$27,E$4)))</f>
        <v>0</v>
      </c>
      <c r="F838" s="26" t="n">
        <f aca="false">IF(INDEX(Pengaturan!$B$8:$B$27,F$4)="",0,COUNTIF(Data!$B838:$U838,INDEX(Pengaturan!$B$8:$B$27,F$4)))</f>
        <v>0</v>
      </c>
      <c r="G838" s="26" t="n">
        <f aca="false">IF(INDEX(Pengaturan!$B$8:$B$27,G$4)="",0,COUNTIF(Data!$B838:$U838,INDEX(Pengaturan!$B$8:$B$27,G$4)))</f>
        <v>0</v>
      </c>
      <c r="H838" s="26" t="n">
        <f aca="false">IF(INDEX(Pengaturan!$B$8:$B$27,H$4)="",0,COUNTIF(Data!$B838:$U838,INDEX(Pengaturan!$B$8:$B$27,H$4)))</f>
        <v>0</v>
      </c>
      <c r="I838" s="26" t="n">
        <f aca="false">IF(INDEX(Pengaturan!$B$8:$B$27,I$4)="",0,COUNTIF(Data!$B838:$U838,INDEX(Pengaturan!$B$8:$B$27,I$4)))</f>
        <v>0</v>
      </c>
      <c r="J838" s="26" t="n">
        <f aca="false">IF(INDEX(Pengaturan!$B$8:$B$27,J$4)="",0,COUNTIF(Data!$B838:$U838,INDEX(Pengaturan!$B$8:$B$27,J$4)))</f>
        <v>0</v>
      </c>
      <c r="K838" s="26" t="n">
        <f aca="false">IF(INDEX(Pengaturan!$B$8:$B$27,K$4)="",0,COUNTIF(Data!$B838:$U838,INDEX(Pengaturan!$B$8:$B$27,K$4)))</f>
        <v>0</v>
      </c>
      <c r="L838" s="26" t="n">
        <f aca="false">IF(INDEX(Pengaturan!$B$8:$B$27,L$4)="",0,COUNTIF(Data!$B838:$U838,INDEX(Pengaturan!$B$8:$B$27,L$4)))</f>
        <v>0</v>
      </c>
      <c r="M838" s="26" t="n">
        <f aca="false">IF(INDEX(Pengaturan!$B$8:$B$27,M$4)="",0,COUNTIF(Data!$B838:$U838,INDEX(Pengaturan!$B$8:$B$27,M$4)))</f>
        <v>0</v>
      </c>
      <c r="N838" s="26" t="n">
        <f aca="false">IF(INDEX(Pengaturan!$B$8:$B$27,N$4)="",0,COUNTIF(Data!$B838:$U838,INDEX(Pengaturan!$B$8:$B$27,N$4)))</f>
        <v>0</v>
      </c>
      <c r="O838" s="26" t="n">
        <f aca="false">IF(INDEX(Pengaturan!$B$8:$B$27,O$4)="",0,COUNTIF(Data!$B838:$U838,INDEX(Pengaturan!$B$8:$B$27,O$4)))</f>
        <v>0</v>
      </c>
      <c r="P838" s="26" t="n">
        <f aca="false">IF(INDEX(Pengaturan!$B$8:$B$27,P$4)="",0,COUNTIF(Data!$B838:$U838,INDEX(Pengaturan!$B$8:$B$27,P$4)))</f>
        <v>0</v>
      </c>
      <c r="Q838" s="26" t="n">
        <f aca="false">IF(INDEX(Pengaturan!$B$8:$B$27,Q$4)="",0,COUNTIF(Data!$B838:$U838,INDEX(Pengaturan!$B$8:$B$27,Q$4)))</f>
        <v>0</v>
      </c>
      <c r="R838" s="26" t="n">
        <f aca="false">IF(INDEX(Pengaturan!$B$8:$B$27,R$4)="",0,COUNTIF(Data!$B838:$U838,INDEX(Pengaturan!$B$8:$B$27,R$4)))</f>
        <v>0</v>
      </c>
      <c r="S838" s="26" t="n">
        <f aca="false">IF(INDEX(Pengaturan!$B$8:$B$27,S$4)="",0,COUNTIF(Data!$B838:$U838,INDEX(Pengaturan!$B$8:$B$27,S$4)))</f>
        <v>0</v>
      </c>
      <c r="T838" s="26" t="n">
        <f aca="false">IF(INDEX(Pengaturan!$B$8:$B$27,T$4)="",0,COUNTIF(Data!$B838:$U838,INDEX(Pengaturan!$B$8:$B$27,T$4)))</f>
        <v>0</v>
      </c>
      <c r="U838" s="26" t="n">
        <f aca="false">IF(INDEX(Pengaturan!$B$8:$B$27,U$4)="",0,COUNTIF(Data!$B838:$U838,INDEX(Pengaturan!$B$8:$B$27,U$4)))</f>
        <v>0</v>
      </c>
      <c r="V838" s="26" t="n">
        <f aca="false">COUNTA(Data!$B838:$U838)</f>
        <v>0</v>
      </c>
      <c r="W838" s="27" t="str">
        <f aca="false">IF(V838=0,"",IF(V838&lt;&gt;Hasil!$C$4,"Data kosong/tidak lengkap",IF(SUM(B838:U838)&lt;&gt;V838,"Kategori tidak dikenal","OK")))</f>
        <v/>
      </c>
      <c r="X838" s="26" t="n">
        <f aca="false">IF(OR(W838="",W838="OK"),0,1)</f>
        <v>0</v>
      </c>
    </row>
    <row r="839" customFormat="false" ht="15" hidden="false" customHeight="false" outlineLevel="0" collapsed="false">
      <c r="A839" s="26" t="n">
        <f aca="false">Data!A839</f>
        <v>834</v>
      </c>
      <c r="B839" s="26" t="n">
        <f aca="false">IF(INDEX(Pengaturan!$B$8:$B$27,B$4)="",0,COUNTIF(Data!$B839:$U839,INDEX(Pengaturan!$B$8:$B$27,B$4)))</f>
        <v>0</v>
      </c>
      <c r="C839" s="26" t="n">
        <f aca="false">IF(INDEX(Pengaturan!$B$8:$B$27,C$4)="",0,COUNTIF(Data!$B839:$U839,INDEX(Pengaturan!$B$8:$B$27,C$4)))</f>
        <v>0</v>
      </c>
      <c r="D839" s="26" t="n">
        <f aca="false">IF(INDEX(Pengaturan!$B$8:$B$27,D$4)="",0,COUNTIF(Data!$B839:$U839,INDEX(Pengaturan!$B$8:$B$27,D$4)))</f>
        <v>0</v>
      </c>
      <c r="E839" s="26" t="n">
        <f aca="false">IF(INDEX(Pengaturan!$B$8:$B$27,E$4)="",0,COUNTIF(Data!$B839:$U839,INDEX(Pengaturan!$B$8:$B$27,E$4)))</f>
        <v>0</v>
      </c>
      <c r="F839" s="26" t="n">
        <f aca="false">IF(INDEX(Pengaturan!$B$8:$B$27,F$4)="",0,COUNTIF(Data!$B839:$U839,INDEX(Pengaturan!$B$8:$B$27,F$4)))</f>
        <v>0</v>
      </c>
      <c r="G839" s="26" t="n">
        <f aca="false">IF(INDEX(Pengaturan!$B$8:$B$27,G$4)="",0,COUNTIF(Data!$B839:$U839,INDEX(Pengaturan!$B$8:$B$27,G$4)))</f>
        <v>0</v>
      </c>
      <c r="H839" s="26" t="n">
        <f aca="false">IF(INDEX(Pengaturan!$B$8:$B$27,H$4)="",0,COUNTIF(Data!$B839:$U839,INDEX(Pengaturan!$B$8:$B$27,H$4)))</f>
        <v>0</v>
      </c>
      <c r="I839" s="26" t="n">
        <f aca="false">IF(INDEX(Pengaturan!$B$8:$B$27,I$4)="",0,COUNTIF(Data!$B839:$U839,INDEX(Pengaturan!$B$8:$B$27,I$4)))</f>
        <v>0</v>
      </c>
      <c r="J839" s="26" t="n">
        <f aca="false">IF(INDEX(Pengaturan!$B$8:$B$27,J$4)="",0,COUNTIF(Data!$B839:$U839,INDEX(Pengaturan!$B$8:$B$27,J$4)))</f>
        <v>0</v>
      </c>
      <c r="K839" s="26" t="n">
        <f aca="false">IF(INDEX(Pengaturan!$B$8:$B$27,K$4)="",0,COUNTIF(Data!$B839:$U839,INDEX(Pengaturan!$B$8:$B$27,K$4)))</f>
        <v>0</v>
      </c>
      <c r="L839" s="26" t="n">
        <f aca="false">IF(INDEX(Pengaturan!$B$8:$B$27,L$4)="",0,COUNTIF(Data!$B839:$U839,INDEX(Pengaturan!$B$8:$B$27,L$4)))</f>
        <v>0</v>
      </c>
      <c r="M839" s="26" t="n">
        <f aca="false">IF(INDEX(Pengaturan!$B$8:$B$27,M$4)="",0,COUNTIF(Data!$B839:$U839,INDEX(Pengaturan!$B$8:$B$27,M$4)))</f>
        <v>0</v>
      </c>
      <c r="N839" s="26" t="n">
        <f aca="false">IF(INDEX(Pengaturan!$B$8:$B$27,N$4)="",0,COUNTIF(Data!$B839:$U839,INDEX(Pengaturan!$B$8:$B$27,N$4)))</f>
        <v>0</v>
      </c>
      <c r="O839" s="26" t="n">
        <f aca="false">IF(INDEX(Pengaturan!$B$8:$B$27,O$4)="",0,COUNTIF(Data!$B839:$U839,INDEX(Pengaturan!$B$8:$B$27,O$4)))</f>
        <v>0</v>
      </c>
      <c r="P839" s="26" t="n">
        <f aca="false">IF(INDEX(Pengaturan!$B$8:$B$27,P$4)="",0,COUNTIF(Data!$B839:$U839,INDEX(Pengaturan!$B$8:$B$27,P$4)))</f>
        <v>0</v>
      </c>
      <c r="Q839" s="26" t="n">
        <f aca="false">IF(INDEX(Pengaturan!$B$8:$B$27,Q$4)="",0,COUNTIF(Data!$B839:$U839,INDEX(Pengaturan!$B$8:$B$27,Q$4)))</f>
        <v>0</v>
      </c>
      <c r="R839" s="26" t="n">
        <f aca="false">IF(INDEX(Pengaturan!$B$8:$B$27,R$4)="",0,COUNTIF(Data!$B839:$U839,INDEX(Pengaturan!$B$8:$B$27,R$4)))</f>
        <v>0</v>
      </c>
      <c r="S839" s="26" t="n">
        <f aca="false">IF(INDEX(Pengaturan!$B$8:$B$27,S$4)="",0,COUNTIF(Data!$B839:$U839,INDEX(Pengaturan!$B$8:$B$27,S$4)))</f>
        <v>0</v>
      </c>
      <c r="T839" s="26" t="n">
        <f aca="false">IF(INDEX(Pengaturan!$B$8:$B$27,T$4)="",0,COUNTIF(Data!$B839:$U839,INDEX(Pengaturan!$B$8:$B$27,T$4)))</f>
        <v>0</v>
      </c>
      <c r="U839" s="26" t="n">
        <f aca="false">IF(INDEX(Pengaturan!$B$8:$B$27,U$4)="",0,COUNTIF(Data!$B839:$U839,INDEX(Pengaturan!$B$8:$B$27,U$4)))</f>
        <v>0</v>
      </c>
      <c r="V839" s="26" t="n">
        <f aca="false">COUNTA(Data!$B839:$U839)</f>
        <v>0</v>
      </c>
      <c r="W839" s="27" t="str">
        <f aca="false">IF(V839=0,"",IF(V839&lt;&gt;Hasil!$C$4,"Data kosong/tidak lengkap",IF(SUM(B839:U839)&lt;&gt;V839,"Kategori tidak dikenal","OK")))</f>
        <v/>
      </c>
      <c r="X839" s="26" t="n">
        <f aca="false">IF(OR(W839="",W839="OK"),0,1)</f>
        <v>0</v>
      </c>
    </row>
    <row r="840" customFormat="false" ht="15" hidden="false" customHeight="false" outlineLevel="0" collapsed="false">
      <c r="A840" s="26" t="n">
        <f aca="false">Data!A840</f>
        <v>835</v>
      </c>
      <c r="B840" s="26" t="n">
        <f aca="false">IF(INDEX(Pengaturan!$B$8:$B$27,B$4)="",0,COUNTIF(Data!$B840:$U840,INDEX(Pengaturan!$B$8:$B$27,B$4)))</f>
        <v>0</v>
      </c>
      <c r="C840" s="26" t="n">
        <f aca="false">IF(INDEX(Pengaturan!$B$8:$B$27,C$4)="",0,COUNTIF(Data!$B840:$U840,INDEX(Pengaturan!$B$8:$B$27,C$4)))</f>
        <v>0</v>
      </c>
      <c r="D840" s="26" t="n">
        <f aca="false">IF(INDEX(Pengaturan!$B$8:$B$27,D$4)="",0,COUNTIF(Data!$B840:$U840,INDEX(Pengaturan!$B$8:$B$27,D$4)))</f>
        <v>0</v>
      </c>
      <c r="E840" s="26" t="n">
        <f aca="false">IF(INDEX(Pengaturan!$B$8:$B$27,E$4)="",0,COUNTIF(Data!$B840:$U840,INDEX(Pengaturan!$B$8:$B$27,E$4)))</f>
        <v>0</v>
      </c>
      <c r="F840" s="26" t="n">
        <f aca="false">IF(INDEX(Pengaturan!$B$8:$B$27,F$4)="",0,COUNTIF(Data!$B840:$U840,INDEX(Pengaturan!$B$8:$B$27,F$4)))</f>
        <v>0</v>
      </c>
      <c r="G840" s="26" t="n">
        <f aca="false">IF(INDEX(Pengaturan!$B$8:$B$27,G$4)="",0,COUNTIF(Data!$B840:$U840,INDEX(Pengaturan!$B$8:$B$27,G$4)))</f>
        <v>0</v>
      </c>
      <c r="H840" s="26" t="n">
        <f aca="false">IF(INDEX(Pengaturan!$B$8:$B$27,H$4)="",0,COUNTIF(Data!$B840:$U840,INDEX(Pengaturan!$B$8:$B$27,H$4)))</f>
        <v>0</v>
      </c>
      <c r="I840" s="26" t="n">
        <f aca="false">IF(INDEX(Pengaturan!$B$8:$B$27,I$4)="",0,COUNTIF(Data!$B840:$U840,INDEX(Pengaturan!$B$8:$B$27,I$4)))</f>
        <v>0</v>
      </c>
      <c r="J840" s="26" t="n">
        <f aca="false">IF(INDEX(Pengaturan!$B$8:$B$27,J$4)="",0,COUNTIF(Data!$B840:$U840,INDEX(Pengaturan!$B$8:$B$27,J$4)))</f>
        <v>0</v>
      </c>
      <c r="K840" s="26" t="n">
        <f aca="false">IF(INDEX(Pengaturan!$B$8:$B$27,K$4)="",0,COUNTIF(Data!$B840:$U840,INDEX(Pengaturan!$B$8:$B$27,K$4)))</f>
        <v>0</v>
      </c>
      <c r="L840" s="26" t="n">
        <f aca="false">IF(INDEX(Pengaturan!$B$8:$B$27,L$4)="",0,COUNTIF(Data!$B840:$U840,INDEX(Pengaturan!$B$8:$B$27,L$4)))</f>
        <v>0</v>
      </c>
      <c r="M840" s="26" t="n">
        <f aca="false">IF(INDEX(Pengaturan!$B$8:$B$27,M$4)="",0,COUNTIF(Data!$B840:$U840,INDEX(Pengaturan!$B$8:$B$27,M$4)))</f>
        <v>0</v>
      </c>
      <c r="N840" s="26" t="n">
        <f aca="false">IF(INDEX(Pengaturan!$B$8:$B$27,N$4)="",0,COUNTIF(Data!$B840:$U840,INDEX(Pengaturan!$B$8:$B$27,N$4)))</f>
        <v>0</v>
      </c>
      <c r="O840" s="26" t="n">
        <f aca="false">IF(INDEX(Pengaturan!$B$8:$B$27,O$4)="",0,COUNTIF(Data!$B840:$U840,INDEX(Pengaturan!$B$8:$B$27,O$4)))</f>
        <v>0</v>
      </c>
      <c r="P840" s="26" t="n">
        <f aca="false">IF(INDEX(Pengaturan!$B$8:$B$27,P$4)="",0,COUNTIF(Data!$B840:$U840,INDEX(Pengaturan!$B$8:$B$27,P$4)))</f>
        <v>0</v>
      </c>
      <c r="Q840" s="26" t="n">
        <f aca="false">IF(INDEX(Pengaturan!$B$8:$B$27,Q$4)="",0,COUNTIF(Data!$B840:$U840,INDEX(Pengaturan!$B$8:$B$27,Q$4)))</f>
        <v>0</v>
      </c>
      <c r="R840" s="26" t="n">
        <f aca="false">IF(INDEX(Pengaturan!$B$8:$B$27,R$4)="",0,COUNTIF(Data!$B840:$U840,INDEX(Pengaturan!$B$8:$B$27,R$4)))</f>
        <v>0</v>
      </c>
      <c r="S840" s="26" t="n">
        <f aca="false">IF(INDEX(Pengaturan!$B$8:$B$27,S$4)="",0,COUNTIF(Data!$B840:$U840,INDEX(Pengaturan!$B$8:$B$27,S$4)))</f>
        <v>0</v>
      </c>
      <c r="T840" s="26" t="n">
        <f aca="false">IF(INDEX(Pengaturan!$B$8:$B$27,T$4)="",0,COUNTIF(Data!$B840:$U840,INDEX(Pengaturan!$B$8:$B$27,T$4)))</f>
        <v>0</v>
      </c>
      <c r="U840" s="26" t="n">
        <f aca="false">IF(INDEX(Pengaturan!$B$8:$B$27,U$4)="",0,COUNTIF(Data!$B840:$U840,INDEX(Pengaturan!$B$8:$B$27,U$4)))</f>
        <v>0</v>
      </c>
      <c r="V840" s="26" t="n">
        <f aca="false">COUNTA(Data!$B840:$U840)</f>
        <v>0</v>
      </c>
      <c r="W840" s="27" t="str">
        <f aca="false">IF(V840=0,"",IF(V840&lt;&gt;Hasil!$C$4,"Data kosong/tidak lengkap",IF(SUM(B840:U840)&lt;&gt;V840,"Kategori tidak dikenal","OK")))</f>
        <v/>
      </c>
      <c r="X840" s="26" t="n">
        <f aca="false">IF(OR(W840="",W840="OK"),0,1)</f>
        <v>0</v>
      </c>
    </row>
    <row r="841" customFormat="false" ht="15" hidden="false" customHeight="false" outlineLevel="0" collapsed="false">
      <c r="A841" s="26" t="n">
        <f aca="false">Data!A841</f>
        <v>836</v>
      </c>
      <c r="B841" s="26" t="n">
        <f aca="false">IF(INDEX(Pengaturan!$B$8:$B$27,B$4)="",0,COUNTIF(Data!$B841:$U841,INDEX(Pengaturan!$B$8:$B$27,B$4)))</f>
        <v>0</v>
      </c>
      <c r="C841" s="26" t="n">
        <f aca="false">IF(INDEX(Pengaturan!$B$8:$B$27,C$4)="",0,COUNTIF(Data!$B841:$U841,INDEX(Pengaturan!$B$8:$B$27,C$4)))</f>
        <v>0</v>
      </c>
      <c r="D841" s="26" t="n">
        <f aca="false">IF(INDEX(Pengaturan!$B$8:$B$27,D$4)="",0,COUNTIF(Data!$B841:$U841,INDEX(Pengaturan!$B$8:$B$27,D$4)))</f>
        <v>0</v>
      </c>
      <c r="E841" s="26" t="n">
        <f aca="false">IF(INDEX(Pengaturan!$B$8:$B$27,E$4)="",0,COUNTIF(Data!$B841:$U841,INDEX(Pengaturan!$B$8:$B$27,E$4)))</f>
        <v>0</v>
      </c>
      <c r="F841" s="26" t="n">
        <f aca="false">IF(INDEX(Pengaturan!$B$8:$B$27,F$4)="",0,COUNTIF(Data!$B841:$U841,INDEX(Pengaturan!$B$8:$B$27,F$4)))</f>
        <v>0</v>
      </c>
      <c r="G841" s="26" t="n">
        <f aca="false">IF(INDEX(Pengaturan!$B$8:$B$27,G$4)="",0,COUNTIF(Data!$B841:$U841,INDEX(Pengaturan!$B$8:$B$27,G$4)))</f>
        <v>0</v>
      </c>
      <c r="H841" s="26" t="n">
        <f aca="false">IF(INDEX(Pengaturan!$B$8:$B$27,H$4)="",0,COUNTIF(Data!$B841:$U841,INDEX(Pengaturan!$B$8:$B$27,H$4)))</f>
        <v>0</v>
      </c>
      <c r="I841" s="26" t="n">
        <f aca="false">IF(INDEX(Pengaturan!$B$8:$B$27,I$4)="",0,COUNTIF(Data!$B841:$U841,INDEX(Pengaturan!$B$8:$B$27,I$4)))</f>
        <v>0</v>
      </c>
      <c r="J841" s="26" t="n">
        <f aca="false">IF(INDEX(Pengaturan!$B$8:$B$27,J$4)="",0,COUNTIF(Data!$B841:$U841,INDEX(Pengaturan!$B$8:$B$27,J$4)))</f>
        <v>0</v>
      </c>
      <c r="K841" s="26" t="n">
        <f aca="false">IF(INDEX(Pengaturan!$B$8:$B$27,K$4)="",0,COUNTIF(Data!$B841:$U841,INDEX(Pengaturan!$B$8:$B$27,K$4)))</f>
        <v>0</v>
      </c>
      <c r="L841" s="26" t="n">
        <f aca="false">IF(INDEX(Pengaturan!$B$8:$B$27,L$4)="",0,COUNTIF(Data!$B841:$U841,INDEX(Pengaturan!$B$8:$B$27,L$4)))</f>
        <v>0</v>
      </c>
      <c r="M841" s="26" t="n">
        <f aca="false">IF(INDEX(Pengaturan!$B$8:$B$27,M$4)="",0,COUNTIF(Data!$B841:$U841,INDEX(Pengaturan!$B$8:$B$27,M$4)))</f>
        <v>0</v>
      </c>
      <c r="N841" s="26" t="n">
        <f aca="false">IF(INDEX(Pengaturan!$B$8:$B$27,N$4)="",0,COUNTIF(Data!$B841:$U841,INDEX(Pengaturan!$B$8:$B$27,N$4)))</f>
        <v>0</v>
      </c>
      <c r="O841" s="26" t="n">
        <f aca="false">IF(INDEX(Pengaturan!$B$8:$B$27,O$4)="",0,COUNTIF(Data!$B841:$U841,INDEX(Pengaturan!$B$8:$B$27,O$4)))</f>
        <v>0</v>
      </c>
      <c r="P841" s="26" t="n">
        <f aca="false">IF(INDEX(Pengaturan!$B$8:$B$27,P$4)="",0,COUNTIF(Data!$B841:$U841,INDEX(Pengaturan!$B$8:$B$27,P$4)))</f>
        <v>0</v>
      </c>
      <c r="Q841" s="26" t="n">
        <f aca="false">IF(INDEX(Pengaturan!$B$8:$B$27,Q$4)="",0,COUNTIF(Data!$B841:$U841,INDEX(Pengaturan!$B$8:$B$27,Q$4)))</f>
        <v>0</v>
      </c>
      <c r="R841" s="26" t="n">
        <f aca="false">IF(INDEX(Pengaturan!$B$8:$B$27,R$4)="",0,COUNTIF(Data!$B841:$U841,INDEX(Pengaturan!$B$8:$B$27,R$4)))</f>
        <v>0</v>
      </c>
      <c r="S841" s="26" t="n">
        <f aca="false">IF(INDEX(Pengaturan!$B$8:$B$27,S$4)="",0,COUNTIF(Data!$B841:$U841,INDEX(Pengaturan!$B$8:$B$27,S$4)))</f>
        <v>0</v>
      </c>
      <c r="T841" s="26" t="n">
        <f aca="false">IF(INDEX(Pengaturan!$B$8:$B$27,T$4)="",0,COUNTIF(Data!$B841:$U841,INDEX(Pengaturan!$B$8:$B$27,T$4)))</f>
        <v>0</v>
      </c>
      <c r="U841" s="26" t="n">
        <f aca="false">IF(INDEX(Pengaturan!$B$8:$B$27,U$4)="",0,COUNTIF(Data!$B841:$U841,INDEX(Pengaturan!$B$8:$B$27,U$4)))</f>
        <v>0</v>
      </c>
      <c r="V841" s="26" t="n">
        <f aca="false">COUNTA(Data!$B841:$U841)</f>
        <v>0</v>
      </c>
      <c r="W841" s="27" t="str">
        <f aca="false">IF(V841=0,"",IF(V841&lt;&gt;Hasil!$C$4,"Data kosong/tidak lengkap",IF(SUM(B841:U841)&lt;&gt;V841,"Kategori tidak dikenal","OK")))</f>
        <v/>
      </c>
      <c r="X841" s="26" t="n">
        <f aca="false">IF(OR(W841="",W841="OK"),0,1)</f>
        <v>0</v>
      </c>
    </row>
    <row r="842" customFormat="false" ht="15" hidden="false" customHeight="false" outlineLevel="0" collapsed="false">
      <c r="A842" s="26" t="n">
        <f aca="false">Data!A842</f>
        <v>837</v>
      </c>
      <c r="B842" s="26" t="n">
        <f aca="false">IF(INDEX(Pengaturan!$B$8:$B$27,B$4)="",0,COUNTIF(Data!$B842:$U842,INDEX(Pengaturan!$B$8:$B$27,B$4)))</f>
        <v>0</v>
      </c>
      <c r="C842" s="26" t="n">
        <f aca="false">IF(INDEX(Pengaturan!$B$8:$B$27,C$4)="",0,COUNTIF(Data!$B842:$U842,INDEX(Pengaturan!$B$8:$B$27,C$4)))</f>
        <v>0</v>
      </c>
      <c r="D842" s="26" t="n">
        <f aca="false">IF(INDEX(Pengaturan!$B$8:$B$27,D$4)="",0,COUNTIF(Data!$B842:$U842,INDEX(Pengaturan!$B$8:$B$27,D$4)))</f>
        <v>0</v>
      </c>
      <c r="E842" s="26" t="n">
        <f aca="false">IF(INDEX(Pengaturan!$B$8:$B$27,E$4)="",0,COUNTIF(Data!$B842:$U842,INDEX(Pengaturan!$B$8:$B$27,E$4)))</f>
        <v>0</v>
      </c>
      <c r="F842" s="26" t="n">
        <f aca="false">IF(INDEX(Pengaturan!$B$8:$B$27,F$4)="",0,COUNTIF(Data!$B842:$U842,INDEX(Pengaturan!$B$8:$B$27,F$4)))</f>
        <v>0</v>
      </c>
      <c r="G842" s="26" t="n">
        <f aca="false">IF(INDEX(Pengaturan!$B$8:$B$27,G$4)="",0,COUNTIF(Data!$B842:$U842,INDEX(Pengaturan!$B$8:$B$27,G$4)))</f>
        <v>0</v>
      </c>
      <c r="H842" s="26" t="n">
        <f aca="false">IF(INDEX(Pengaturan!$B$8:$B$27,H$4)="",0,COUNTIF(Data!$B842:$U842,INDEX(Pengaturan!$B$8:$B$27,H$4)))</f>
        <v>0</v>
      </c>
      <c r="I842" s="26" t="n">
        <f aca="false">IF(INDEX(Pengaturan!$B$8:$B$27,I$4)="",0,COUNTIF(Data!$B842:$U842,INDEX(Pengaturan!$B$8:$B$27,I$4)))</f>
        <v>0</v>
      </c>
      <c r="J842" s="26" t="n">
        <f aca="false">IF(INDEX(Pengaturan!$B$8:$B$27,J$4)="",0,COUNTIF(Data!$B842:$U842,INDEX(Pengaturan!$B$8:$B$27,J$4)))</f>
        <v>0</v>
      </c>
      <c r="K842" s="26" t="n">
        <f aca="false">IF(INDEX(Pengaturan!$B$8:$B$27,K$4)="",0,COUNTIF(Data!$B842:$U842,INDEX(Pengaturan!$B$8:$B$27,K$4)))</f>
        <v>0</v>
      </c>
      <c r="L842" s="26" t="n">
        <f aca="false">IF(INDEX(Pengaturan!$B$8:$B$27,L$4)="",0,COUNTIF(Data!$B842:$U842,INDEX(Pengaturan!$B$8:$B$27,L$4)))</f>
        <v>0</v>
      </c>
      <c r="M842" s="26" t="n">
        <f aca="false">IF(INDEX(Pengaturan!$B$8:$B$27,M$4)="",0,COUNTIF(Data!$B842:$U842,INDEX(Pengaturan!$B$8:$B$27,M$4)))</f>
        <v>0</v>
      </c>
      <c r="N842" s="26" t="n">
        <f aca="false">IF(INDEX(Pengaturan!$B$8:$B$27,N$4)="",0,COUNTIF(Data!$B842:$U842,INDEX(Pengaturan!$B$8:$B$27,N$4)))</f>
        <v>0</v>
      </c>
      <c r="O842" s="26" t="n">
        <f aca="false">IF(INDEX(Pengaturan!$B$8:$B$27,O$4)="",0,COUNTIF(Data!$B842:$U842,INDEX(Pengaturan!$B$8:$B$27,O$4)))</f>
        <v>0</v>
      </c>
      <c r="P842" s="26" t="n">
        <f aca="false">IF(INDEX(Pengaturan!$B$8:$B$27,P$4)="",0,COUNTIF(Data!$B842:$U842,INDEX(Pengaturan!$B$8:$B$27,P$4)))</f>
        <v>0</v>
      </c>
      <c r="Q842" s="26" t="n">
        <f aca="false">IF(INDEX(Pengaturan!$B$8:$B$27,Q$4)="",0,COUNTIF(Data!$B842:$U842,INDEX(Pengaturan!$B$8:$B$27,Q$4)))</f>
        <v>0</v>
      </c>
      <c r="R842" s="26" t="n">
        <f aca="false">IF(INDEX(Pengaturan!$B$8:$B$27,R$4)="",0,COUNTIF(Data!$B842:$U842,INDEX(Pengaturan!$B$8:$B$27,R$4)))</f>
        <v>0</v>
      </c>
      <c r="S842" s="26" t="n">
        <f aca="false">IF(INDEX(Pengaturan!$B$8:$B$27,S$4)="",0,COUNTIF(Data!$B842:$U842,INDEX(Pengaturan!$B$8:$B$27,S$4)))</f>
        <v>0</v>
      </c>
      <c r="T842" s="26" t="n">
        <f aca="false">IF(INDEX(Pengaturan!$B$8:$B$27,T$4)="",0,COUNTIF(Data!$B842:$U842,INDEX(Pengaturan!$B$8:$B$27,T$4)))</f>
        <v>0</v>
      </c>
      <c r="U842" s="26" t="n">
        <f aca="false">IF(INDEX(Pengaturan!$B$8:$B$27,U$4)="",0,COUNTIF(Data!$B842:$U842,INDEX(Pengaturan!$B$8:$B$27,U$4)))</f>
        <v>0</v>
      </c>
      <c r="V842" s="26" t="n">
        <f aca="false">COUNTA(Data!$B842:$U842)</f>
        <v>0</v>
      </c>
      <c r="W842" s="27" t="str">
        <f aca="false">IF(V842=0,"",IF(V842&lt;&gt;Hasil!$C$4,"Data kosong/tidak lengkap",IF(SUM(B842:U842)&lt;&gt;V842,"Kategori tidak dikenal","OK")))</f>
        <v/>
      </c>
      <c r="X842" s="26" t="n">
        <f aca="false">IF(OR(W842="",W842="OK"),0,1)</f>
        <v>0</v>
      </c>
    </row>
    <row r="843" customFormat="false" ht="15" hidden="false" customHeight="false" outlineLevel="0" collapsed="false">
      <c r="A843" s="26" t="n">
        <f aca="false">Data!A843</f>
        <v>838</v>
      </c>
      <c r="B843" s="26" t="n">
        <f aca="false">IF(INDEX(Pengaturan!$B$8:$B$27,B$4)="",0,COUNTIF(Data!$B843:$U843,INDEX(Pengaturan!$B$8:$B$27,B$4)))</f>
        <v>0</v>
      </c>
      <c r="C843" s="26" t="n">
        <f aca="false">IF(INDEX(Pengaturan!$B$8:$B$27,C$4)="",0,COUNTIF(Data!$B843:$U843,INDEX(Pengaturan!$B$8:$B$27,C$4)))</f>
        <v>0</v>
      </c>
      <c r="D843" s="26" t="n">
        <f aca="false">IF(INDEX(Pengaturan!$B$8:$B$27,D$4)="",0,COUNTIF(Data!$B843:$U843,INDEX(Pengaturan!$B$8:$B$27,D$4)))</f>
        <v>0</v>
      </c>
      <c r="E843" s="26" t="n">
        <f aca="false">IF(INDEX(Pengaturan!$B$8:$B$27,E$4)="",0,COUNTIF(Data!$B843:$U843,INDEX(Pengaturan!$B$8:$B$27,E$4)))</f>
        <v>0</v>
      </c>
      <c r="F843" s="26" t="n">
        <f aca="false">IF(INDEX(Pengaturan!$B$8:$B$27,F$4)="",0,COUNTIF(Data!$B843:$U843,INDEX(Pengaturan!$B$8:$B$27,F$4)))</f>
        <v>0</v>
      </c>
      <c r="G843" s="26" t="n">
        <f aca="false">IF(INDEX(Pengaturan!$B$8:$B$27,G$4)="",0,COUNTIF(Data!$B843:$U843,INDEX(Pengaturan!$B$8:$B$27,G$4)))</f>
        <v>0</v>
      </c>
      <c r="H843" s="26" t="n">
        <f aca="false">IF(INDEX(Pengaturan!$B$8:$B$27,H$4)="",0,COUNTIF(Data!$B843:$U843,INDEX(Pengaturan!$B$8:$B$27,H$4)))</f>
        <v>0</v>
      </c>
      <c r="I843" s="26" t="n">
        <f aca="false">IF(INDEX(Pengaturan!$B$8:$B$27,I$4)="",0,COUNTIF(Data!$B843:$U843,INDEX(Pengaturan!$B$8:$B$27,I$4)))</f>
        <v>0</v>
      </c>
      <c r="J843" s="26" t="n">
        <f aca="false">IF(INDEX(Pengaturan!$B$8:$B$27,J$4)="",0,COUNTIF(Data!$B843:$U843,INDEX(Pengaturan!$B$8:$B$27,J$4)))</f>
        <v>0</v>
      </c>
      <c r="K843" s="26" t="n">
        <f aca="false">IF(INDEX(Pengaturan!$B$8:$B$27,K$4)="",0,COUNTIF(Data!$B843:$U843,INDEX(Pengaturan!$B$8:$B$27,K$4)))</f>
        <v>0</v>
      </c>
      <c r="L843" s="26" t="n">
        <f aca="false">IF(INDEX(Pengaturan!$B$8:$B$27,L$4)="",0,COUNTIF(Data!$B843:$U843,INDEX(Pengaturan!$B$8:$B$27,L$4)))</f>
        <v>0</v>
      </c>
      <c r="M843" s="26" t="n">
        <f aca="false">IF(INDEX(Pengaturan!$B$8:$B$27,M$4)="",0,COUNTIF(Data!$B843:$U843,INDEX(Pengaturan!$B$8:$B$27,M$4)))</f>
        <v>0</v>
      </c>
      <c r="N843" s="26" t="n">
        <f aca="false">IF(INDEX(Pengaturan!$B$8:$B$27,N$4)="",0,COUNTIF(Data!$B843:$U843,INDEX(Pengaturan!$B$8:$B$27,N$4)))</f>
        <v>0</v>
      </c>
      <c r="O843" s="26" t="n">
        <f aca="false">IF(INDEX(Pengaturan!$B$8:$B$27,O$4)="",0,COUNTIF(Data!$B843:$U843,INDEX(Pengaturan!$B$8:$B$27,O$4)))</f>
        <v>0</v>
      </c>
      <c r="P843" s="26" t="n">
        <f aca="false">IF(INDEX(Pengaturan!$B$8:$B$27,P$4)="",0,COUNTIF(Data!$B843:$U843,INDEX(Pengaturan!$B$8:$B$27,P$4)))</f>
        <v>0</v>
      </c>
      <c r="Q843" s="26" t="n">
        <f aca="false">IF(INDEX(Pengaturan!$B$8:$B$27,Q$4)="",0,COUNTIF(Data!$B843:$U843,INDEX(Pengaturan!$B$8:$B$27,Q$4)))</f>
        <v>0</v>
      </c>
      <c r="R843" s="26" t="n">
        <f aca="false">IF(INDEX(Pengaturan!$B$8:$B$27,R$4)="",0,COUNTIF(Data!$B843:$U843,INDEX(Pengaturan!$B$8:$B$27,R$4)))</f>
        <v>0</v>
      </c>
      <c r="S843" s="26" t="n">
        <f aca="false">IF(INDEX(Pengaturan!$B$8:$B$27,S$4)="",0,COUNTIF(Data!$B843:$U843,INDEX(Pengaturan!$B$8:$B$27,S$4)))</f>
        <v>0</v>
      </c>
      <c r="T843" s="26" t="n">
        <f aca="false">IF(INDEX(Pengaturan!$B$8:$B$27,T$4)="",0,COUNTIF(Data!$B843:$U843,INDEX(Pengaturan!$B$8:$B$27,T$4)))</f>
        <v>0</v>
      </c>
      <c r="U843" s="26" t="n">
        <f aca="false">IF(INDEX(Pengaturan!$B$8:$B$27,U$4)="",0,COUNTIF(Data!$B843:$U843,INDEX(Pengaturan!$B$8:$B$27,U$4)))</f>
        <v>0</v>
      </c>
      <c r="V843" s="26" t="n">
        <f aca="false">COUNTA(Data!$B843:$U843)</f>
        <v>0</v>
      </c>
      <c r="W843" s="27" t="str">
        <f aca="false">IF(V843=0,"",IF(V843&lt;&gt;Hasil!$C$4,"Data kosong/tidak lengkap",IF(SUM(B843:U843)&lt;&gt;V843,"Kategori tidak dikenal","OK")))</f>
        <v/>
      </c>
      <c r="X843" s="26" t="n">
        <f aca="false">IF(OR(W843="",W843="OK"),0,1)</f>
        <v>0</v>
      </c>
    </row>
    <row r="844" customFormat="false" ht="15" hidden="false" customHeight="false" outlineLevel="0" collapsed="false">
      <c r="A844" s="26" t="n">
        <f aca="false">Data!A844</f>
        <v>839</v>
      </c>
      <c r="B844" s="26" t="n">
        <f aca="false">IF(INDEX(Pengaturan!$B$8:$B$27,B$4)="",0,COUNTIF(Data!$B844:$U844,INDEX(Pengaturan!$B$8:$B$27,B$4)))</f>
        <v>0</v>
      </c>
      <c r="C844" s="26" t="n">
        <f aca="false">IF(INDEX(Pengaturan!$B$8:$B$27,C$4)="",0,COUNTIF(Data!$B844:$U844,INDEX(Pengaturan!$B$8:$B$27,C$4)))</f>
        <v>0</v>
      </c>
      <c r="D844" s="26" t="n">
        <f aca="false">IF(INDEX(Pengaturan!$B$8:$B$27,D$4)="",0,COUNTIF(Data!$B844:$U844,INDEX(Pengaturan!$B$8:$B$27,D$4)))</f>
        <v>0</v>
      </c>
      <c r="E844" s="26" t="n">
        <f aca="false">IF(INDEX(Pengaturan!$B$8:$B$27,E$4)="",0,COUNTIF(Data!$B844:$U844,INDEX(Pengaturan!$B$8:$B$27,E$4)))</f>
        <v>0</v>
      </c>
      <c r="F844" s="26" t="n">
        <f aca="false">IF(INDEX(Pengaturan!$B$8:$B$27,F$4)="",0,COUNTIF(Data!$B844:$U844,INDEX(Pengaturan!$B$8:$B$27,F$4)))</f>
        <v>0</v>
      </c>
      <c r="G844" s="26" t="n">
        <f aca="false">IF(INDEX(Pengaturan!$B$8:$B$27,G$4)="",0,COUNTIF(Data!$B844:$U844,INDEX(Pengaturan!$B$8:$B$27,G$4)))</f>
        <v>0</v>
      </c>
      <c r="H844" s="26" t="n">
        <f aca="false">IF(INDEX(Pengaturan!$B$8:$B$27,H$4)="",0,COUNTIF(Data!$B844:$U844,INDEX(Pengaturan!$B$8:$B$27,H$4)))</f>
        <v>0</v>
      </c>
      <c r="I844" s="26" t="n">
        <f aca="false">IF(INDEX(Pengaturan!$B$8:$B$27,I$4)="",0,COUNTIF(Data!$B844:$U844,INDEX(Pengaturan!$B$8:$B$27,I$4)))</f>
        <v>0</v>
      </c>
      <c r="J844" s="26" t="n">
        <f aca="false">IF(INDEX(Pengaturan!$B$8:$B$27,J$4)="",0,COUNTIF(Data!$B844:$U844,INDEX(Pengaturan!$B$8:$B$27,J$4)))</f>
        <v>0</v>
      </c>
      <c r="K844" s="26" t="n">
        <f aca="false">IF(INDEX(Pengaturan!$B$8:$B$27,K$4)="",0,COUNTIF(Data!$B844:$U844,INDEX(Pengaturan!$B$8:$B$27,K$4)))</f>
        <v>0</v>
      </c>
      <c r="L844" s="26" t="n">
        <f aca="false">IF(INDEX(Pengaturan!$B$8:$B$27,L$4)="",0,COUNTIF(Data!$B844:$U844,INDEX(Pengaturan!$B$8:$B$27,L$4)))</f>
        <v>0</v>
      </c>
      <c r="M844" s="26" t="n">
        <f aca="false">IF(INDEX(Pengaturan!$B$8:$B$27,M$4)="",0,COUNTIF(Data!$B844:$U844,INDEX(Pengaturan!$B$8:$B$27,M$4)))</f>
        <v>0</v>
      </c>
      <c r="N844" s="26" t="n">
        <f aca="false">IF(INDEX(Pengaturan!$B$8:$B$27,N$4)="",0,COUNTIF(Data!$B844:$U844,INDEX(Pengaturan!$B$8:$B$27,N$4)))</f>
        <v>0</v>
      </c>
      <c r="O844" s="26" t="n">
        <f aca="false">IF(INDEX(Pengaturan!$B$8:$B$27,O$4)="",0,COUNTIF(Data!$B844:$U844,INDEX(Pengaturan!$B$8:$B$27,O$4)))</f>
        <v>0</v>
      </c>
      <c r="P844" s="26" t="n">
        <f aca="false">IF(INDEX(Pengaturan!$B$8:$B$27,P$4)="",0,COUNTIF(Data!$B844:$U844,INDEX(Pengaturan!$B$8:$B$27,P$4)))</f>
        <v>0</v>
      </c>
      <c r="Q844" s="26" t="n">
        <f aca="false">IF(INDEX(Pengaturan!$B$8:$B$27,Q$4)="",0,COUNTIF(Data!$B844:$U844,INDEX(Pengaturan!$B$8:$B$27,Q$4)))</f>
        <v>0</v>
      </c>
      <c r="R844" s="26" t="n">
        <f aca="false">IF(INDEX(Pengaturan!$B$8:$B$27,R$4)="",0,COUNTIF(Data!$B844:$U844,INDEX(Pengaturan!$B$8:$B$27,R$4)))</f>
        <v>0</v>
      </c>
      <c r="S844" s="26" t="n">
        <f aca="false">IF(INDEX(Pengaturan!$B$8:$B$27,S$4)="",0,COUNTIF(Data!$B844:$U844,INDEX(Pengaturan!$B$8:$B$27,S$4)))</f>
        <v>0</v>
      </c>
      <c r="T844" s="26" t="n">
        <f aca="false">IF(INDEX(Pengaturan!$B$8:$B$27,T$4)="",0,COUNTIF(Data!$B844:$U844,INDEX(Pengaturan!$B$8:$B$27,T$4)))</f>
        <v>0</v>
      </c>
      <c r="U844" s="26" t="n">
        <f aca="false">IF(INDEX(Pengaturan!$B$8:$B$27,U$4)="",0,COUNTIF(Data!$B844:$U844,INDEX(Pengaturan!$B$8:$B$27,U$4)))</f>
        <v>0</v>
      </c>
      <c r="V844" s="26" t="n">
        <f aca="false">COUNTA(Data!$B844:$U844)</f>
        <v>0</v>
      </c>
      <c r="W844" s="27" t="str">
        <f aca="false">IF(V844=0,"",IF(V844&lt;&gt;Hasil!$C$4,"Data kosong/tidak lengkap",IF(SUM(B844:U844)&lt;&gt;V844,"Kategori tidak dikenal","OK")))</f>
        <v/>
      </c>
      <c r="X844" s="26" t="n">
        <f aca="false">IF(OR(W844="",W844="OK"),0,1)</f>
        <v>0</v>
      </c>
    </row>
    <row r="845" customFormat="false" ht="15" hidden="false" customHeight="false" outlineLevel="0" collapsed="false">
      <c r="A845" s="26" t="n">
        <f aca="false">Data!A845</f>
        <v>840</v>
      </c>
      <c r="B845" s="26" t="n">
        <f aca="false">IF(INDEX(Pengaturan!$B$8:$B$27,B$4)="",0,COUNTIF(Data!$B845:$U845,INDEX(Pengaturan!$B$8:$B$27,B$4)))</f>
        <v>0</v>
      </c>
      <c r="C845" s="26" t="n">
        <f aca="false">IF(INDEX(Pengaturan!$B$8:$B$27,C$4)="",0,COUNTIF(Data!$B845:$U845,INDEX(Pengaturan!$B$8:$B$27,C$4)))</f>
        <v>0</v>
      </c>
      <c r="D845" s="26" t="n">
        <f aca="false">IF(INDEX(Pengaturan!$B$8:$B$27,D$4)="",0,COUNTIF(Data!$B845:$U845,INDEX(Pengaturan!$B$8:$B$27,D$4)))</f>
        <v>0</v>
      </c>
      <c r="E845" s="26" t="n">
        <f aca="false">IF(INDEX(Pengaturan!$B$8:$B$27,E$4)="",0,COUNTIF(Data!$B845:$U845,INDEX(Pengaturan!$B$8:$B$27,E$4)))</f>
        <v>0</v>
      </c>
      <c r="F845" s="26" t="n">
        <f aca="false">IF(INDEX(Pengaturan!$B$8:$B$27,F$4)="",0,COUNTIF(Data!$B845:$U845,INDEX(Pengaturan!$B$8:$B$27,F$4)))</f>
        <v>0</v>
      </c>
      <c r="G845" s="26" t="n">
        <f aca="false">IF(INDEX(Pengaturan!$B$8:$B$27,G$4)="",0,COUNTIF(Data!$B845:$U845,INDEX(Pengaturan!$B$8:$B$27,G$4)))</f>
        <v>0</v>
      </c>
      <c r="H845" s="26" t="n">
        <f aca="false">IF(INDEX(Pengaturan!$B$8:$B$27,H$4)="",0,COUNTIF(Data!$B845:$U845,INDEX(Pengaturan!$B$8:$B$27,H$4)))</f>
        <v>0</v>
      </c>
      <c r="I845" s="26" t="n">
        <f aca="false">IF(INDEX(Pengaturan!$B$8:$B$27,I$4)="",0,COUNTIF(Data!$B845:$U845,INDEX(Pengaturan!$B$8:$B$27,I$4)))</f>
        <v>0</v>
      </c>
      <c r="J845" s="26" t="n">
        <f aca="false">IF(INDEX(Pengaturan!$B$8:$B$27,J$4)="",0,COUNTIF(Data!$B845:$U845,INDEX(Pengaturan!$B$8:$B$27,J$4)))</f>
        <v>0</v>
      </c>
      <c r="K845" s="26" t="n">
        <f aca="false">IF(INDEX(Pengaturan!$B$8:$B$27,K$4)="",0,COUNTIF(Data!$B845:$U845,INDEX(Pengaturan!$B$8:$B$27,K$4)))</f>
        <v>0</v>
      </c>
      <c r="L845" s="26" t="n">
        <f aca="false">IF(INDEX(Pengaturan!$B$8:$B$27,L$4)="",0,COUNTIF(Data!$B845:$U845,INDEX(Pengaturan!$B$8:$B$27,L$4)))</f>
        <v>0</v>
      </c>
      <c r="M845" s="26" t="n">
        <f aca="false">IF(INDEX(Pengaturan!$B$8:$B$27,M$4)="",0,COUNTIF(Data!$B845:$U845,INDEX(Pengaturan!$B$8:$B$27,M$4)))</f>
        <v>0</v>
      </c>
      <c r="N845" s="26" t="n">
        <f aca="false">IF(INDEX(Pengaturan!$B$8:$B$27,N$4)="",0,COUNTIF(Data!$B845:$U845,INDEX(Pengaturan!$B$8:$B$27,N$4)))</f>
        <v>0</v>
      </c>
      <c r="O845" s="26" t="n">
        <f aca="false">IF(INDEX(Pengaturan!$B$8:$B$27,O$4)="",0,COUNTIF(Data!$B845:$U845,INDEX(Pengaturan!$B$8:$B$27,O$4)))</f>
        <v>0</v>
      </c>
      <c r="P845" s="26" t="n">
        <f aca="false">IF(INDEX(Pengaturan!$B$8:$B$27,P$4)="",0,COUNTIF(Data!$B845:$U845,INDEX(Pengaturan!$B$8:$B$27,P$4)))</f>
        <v>0</v>
      </c>
      <c r="Q845" s="26" t="n">
        <f aca="false">IF(INDEX(Pengaturan!$B$8:$B$27,Q$4)="",0,COUNTIF(Data!$B845:$U845,INDEX(Pengaturan!$B$8:$B$27,Q$4)))</f>
        <v>0</v>
      </c>
      <c r="R845" s="26" t="n">
        <f aca="false">IF(INDEX(Pengaturan!$B$8:$B$27,R$4)="",0,COUNTIF(Data!$B845:$U845,INDEX(Pengaturan!$B$8:$B$27,R$4)))</f>
        <v>0</v>
      </c>
      <c r="S845" s="26" t="n">
        <f aca="false">IF(INDEX(Pengaturan!$B$8:$B$27,S$4)="",0,COUNTIF(Data!$B845:$U845,INDEX(Pengaturan!$B$8:$B$27,S$4)))</f>
        <v>0</v>
      </c>
      <c r="T845" s="26" t="n">
        <f aca="false">IF(INDEX(Pengaturan!$B$8:$B$27,T$4)="",0,COUNTIF(Data!$B845:$U845,INDEX(Pengaturan!$B$8:$B$27,T$4)))</f>
        <v>0</v>
      </c>
      <c r="U845" s="26" t="n">
        <f aca="false">IF(INDEX(Pengaturan!$B$8:$B$27,U$4)="",0,COUNTIF(Data!$B845:$U845,INDEX(Pengaturan!$B$8:$B$27,U$4)))</f>
        <v>0</v>
      </c>
      <c r="V845" s="26" t="n">
        <f aca="false">COUNTA(Data!$B845:$U845)</f>
        <v>0</v>
      </c>
      <c r="W845" s="27" t="str">
        <f aca="false">IF(V845=0,"",IF(V845&lt;&gt;Hasil!$C$4,"Data kosong/tidak lengkap",IF(SUM(B845:U845)&lt;&gt;V845,"Kategori tidak dikenal","OK")))</f>
        <v/>
      </c>
      <c r="X845" s="26" t="n">
        <f aca="false">IF(OR(W845="",W845="OK"),0,1)</f>
        <v>0</v>
      </c>
    </row>
    <row r="846" customFormat="false" ht="15" hidden="false" customHeight="false" outlineLevel="0" collapsed="false">
      <c r="A846" s="26" t="n">
        <f aca="false">Data!A846</f>
        <v>841</v>
      </c>
      <c r="B846" s="26" t="n">
        <f aca="false">IF(INDEX(Pengaturan!$B$8:$B$27,B$4)="",0,COUNTIF(Data!$B846:$U846,INDEX(Pengaturan!$B$8:$B$27,B$4)))</f>
        <v>0</v>
      </c>
      <c r="C846" s="26" t="n">
        <f aca="false">IF(INDEX(Pengaturan!$B$8:$B$27,C$4)="",0,COUNTIF(Data!$B846:$U846,INDEX(Pengaturan!$B$8:$B$27,C$4)))</f>
        <v>0</v>
      </c>
      <c r="D846" s="26" t="n">
        <f aca="false">IF(INDEX(Pengaturan!$B$8:$B$27,D$4)="",0,COUNTIF(Data!$B846:$U846,INDEX(Pengaturan!$B$8:$B$27,D$4)))</f>
        <v>0</v>
      </c>
      <c r="E846" s="26" t="n">
        <f aca="false">IF(INDEX(Pengaturan!$B$8:$B$27,E$4)="",0,COUNTIF(Data!$B846:$U846,INDEX(Pengaturan!$B$8:$B$27,E$4)))</f>
        <v>0</v>
      </c>
      <c r="F846" s="26" t="n">
        <f aca="false">IF(INDEX(Pengaturan!$B$8:$B$27,F$4)="",0,COUNTIF(Data!$B846:$U846,INDEX(Pengaturan!$B$8:$B$27,F$4)))</f>
        <v>0</v>
      </c>
      <c r="G846" s="26" t="n">
        <f aca="false">IF(INDEX(Pengaturan!$B$8:$B$27,G$4)="",0,COUNTIF(Data!$B846:$U846,INDEX(Pengaturan!$B$8:$B$27,G$4)))</f>
        <v>0</v>
      </c>
      <c r="H846" s="26" t="n">
        <f aca="false">IF(INDEX(Pengaturan!$B$8:$B$27,H$4)="",0,COUNTIF(Data!$B846:$U846,INDEX(Pengaturan!$B$8:$B$27,H$4)))</f>
        <v>0</v>
      </c>
      <c r="I846" s="26" t="n">
        <f aca="false">IF(INDEX(Pengaturan!$B$8:$B$27,I$4)="",0,COUNTIF(Data!$B846:$U846,INDEX(Pengaturan!$B$8:$B$27,I$4)))</f>
        <v>0</v>
      </c>
      <c r="J846" s="26" t="n">
        <f aca="false">IF(INDEX(Pengaturan!$B$8:$B$27,J$4)="",0,COUNTIF(Data!$B846:$U846,INDEX(Pengaturan!$B$8:$B$27,J$4)))</f>
        <v>0</v>
      </c>
      <c r="K846" s="26" t="n">
        <f aca="false">IF(INDEX(Pengaturan!$B$8:$B$27,K$4)="",0,COUNTIF(Data!$B846:$U846,INDEX(Pengaturan!$B$8:$B$27,K$4)))</f>
        <v>0</v>
      </c>
      <c r="L846" s="26" t="n">
        <f aca="false">IF(INDEX(Pengaturan!$B$8:$B$27,L$4)="",0,COUNTIF(Data!$B846:$U846,INDEX(Pengaturan!$B$8:$B$27,L$4)))</f>
        <v>0</v>
      </c>
      <c r="M846" s="26" t="n">
        <f aca="false">IF(INDEX(Pengaturan!$B$8:$B$27,M$4)="",0,COUNTIF(Data!$B846:$U846,INDEX(Pengaturan!$B$8:$B$27,M$4)))</f>
        <v>0</v>
      </c>
      <c r="N846" s="26" t="n">
        <f aca="false">IF(INDEX(Pengaturan!$B$8:$B$27,N$4)="",0,COUNTIF(Data!$B846:$U846,INDEX(Pengaturan!$B$8:$B$27,N$4)))</f>
        <v>0</v>
      </c>
      <c r="O846" s="26" t="n">
        <f aca="false">IF(INDEX(Pengaturan!$B$8:$B$27,O$4)="",0,COUNTIF(Data!$B846:$U846,INDEX(Pengaturan!$B$8:$B$27,O$4)))</f>
        <v>0</v>
      </c>
      <c r="P846" s="26" t="n">
        <f aca="false">IF(INDEX(Pengaturan!$B$8:$B$27,P$4)="",0,COUNTIF(Data!$B846:$U846,INDEX(Pengaturan!$B$8:$B$27,P$4)))</f>
        <v>0</v>
      </c>
      <c r="Q846" s="26" t="n">
        <f aca="false">IF(INDEX(Pengaturan!$B$8:$B$27,Q$4)="",0,COUNTIF(Data!$B846:$U846,INDEX(Pengaturan!$B$8:$B$27,Q$4)))</f>
        <v>0</v>
      </c>
      <c r="R846" s="26" t="n">
        <f aca="false">IF(INDEX(Pengaturan!$B$8:$B$27,R$4)="",0,COUNTIF(Data!$B846:$U846,INDEX(Pengaturan!$B$8:$B$27,R$4)))</f>
        <v>0</v>
      </c>
      <c r="S846" s="26" t="n">
        <f aca="false">IF(INDEX(Pengaturan!$B$8:$B$27,S$4)="",0,COUNTIF(Data!$B846:$U846,INDEX(Pengaturan!$B$8:$B$27,S$4)))</f>
        <v>0</v>
      </c>
      <c r="T846" s="26" t="n">
        <f aca="false">IF(INDEX(Pengaturan!$B$8:$B$27,T$4)="",0,COUNTIF(Data!$B846:$U846,INDEX(Pengaturan!$B$8:$B$27,T$4)))</f>
        <v>0</v>
      </c>
      <c r="U846" s="26" t="n">
        <f aca="false">IF(INDEX(Pengaturan!$B$8:$B$27,U$4)="",0,COUNTIF(Data!$B846:$U846,INDEX(Pengaturan!$B$8:$B$27,U$4)))</f>
        <v>0</v>
      </c>
      <c r="V846" s="26" t="n">
        <f aca="false">COUNTA(Data!$B846:$U846)</f>
        <v>0</v>
      </c>
      <c r="W846" s="27" t="str">
        <f aca="false">IF(V846=0,"",IF(V846&lt;&gt;Hasil!$C$4,"Data kosong/tidak lengkap",IF(SUM(B846:U846)&lt;&gt;V846,"Kategori tidak dikenal","OK")))</f>
        <v/>
      </c>
      <c r="X846" s="26" t="n">
        <f aca="false">IF(OR(W846="",W846="OK"),0,1)</f>
        <v>0</v>
      </c>
    </row>
    <row r="847" customFormat="false" ht="15" hidden="false" customHeight="false" outlineLevel="0" collapsed="false">
      <c r="A847" s="26" t="n">
        <f aca="false">Data!A847</f>
        <v>842</v>
      </c>
      <c r="B847" s="26" t="n">
        <f aca="false">IF(INDEX(Pengaturan!$B$8:$B$27,B$4)="",0,COUNTIF(Data!$B847:$U847,INDEX(Pengaturan!$B$8:$B$27,B$4)))</f>
        <v>0</v>
      </c>
      <c r="C847" s="26" t="n">
        <f aca="false">IF(INDEX(Pengaturan!$B$8:$B$27,C$4)="",0,COUNTIF(Data!$B847:$U847,INDEX(Pengaturan!$B$8:$B$27,C$4)))</f>
        <v>0</v>
      </c>
      <c r="D847" s="26" t="n">
        <f aca="false">IF(INDEX(Pengaturan!$B$8:$B$27,D$4)="",0,COUNTIF(Data!$B847:$U847,INDEX(Pengaturan!$B$8:$B$27,D$4)))</f>
        <v>0</v>
      </c>
      <c r="E847" s="26" t="n">
        <f aca="false">IF(INDEX(Pengaturan!$B$8:$B$27,E$4)="",0,COUNTIF(Data!$B847:$U847,INDEX(Pengaturan!$B$8:$B$27,E$4)))</f>
        <v>0</v>
      </c>
      <c r="F847" s="26" t="n">
        <f aca="false">IF(INDEX(Pengaturan!$B$8:$B$27,F$4)="",0,COUNTIF(Data!$B847:$U847,INDEX(Pengaturan!$B$8:$B$27,F$4)))</f>
        <v>0</v>
      </c>
      <c r="G847" s="26" t="n">
        <f aca="false">IF(INDEX(Pengaturan!$B$8:$B$27,G$4)="",0,COUNTIF(Data!$B847:$U847,INDEX(Pengaturan!$B$8:$B$27,G$4)))</f>
        <v>0</v>
      </c>
      <c r="H847" s="26" t="n">
        <f aca="false">IF(INDEX(Pengaturan!$B$8:$B$27,H$4)="",0,COUNTIF(Data!$B847:$U847,INDEX(Pengaturan!$B$8:$B$27,H$4)))</f>
        <v>0</v>
      </c>
      <c r="I847" s="26" t="n">
        <f aca="false">IF(INDEX(Pengaturan!$B$8:$B$27,I$4)="",0,COUNTIF(Data!$B847:$U847,INDEX(Pengaturan!$B$8:$B$27,I$4)))</f>
        <v>0</v>
      </c>
      <c r="J847" s="26" t="n">
        <f aca="false">IF(INDEX(Pengaturan!$B$8:$B$27,J$4)="",0,COUNTIF(Data!$B847:$U847,INDEX(Pengaturan!$B$8:$B$27,J$4)))</f>
        <v>0</v>
      </c>
      <c r="K847" s="26" t="n">
        <f aca="false">IF(INDEX(Pengaturan!$B$8:$B$27,K$4)="",0,COUNTIF(Data!$B847:$U847,INDEX(Pengaturan!$B$8:$B$27,K$4)))</f>
        <v>0</v>
      </c>
      <c r="L847" s="26" t="n">
        <f aca="false">IF(INDEX(Pengaturan!$B$8:$B$27,L$4)="",0,COUNTIF(Data!$B847:$U847,INDEX(Pengaturan!$B$8:$B$27,L$4)))</f>
        <v>0</v>
      </c>
      <c r="M847" s="26" t="n">
        <f aca="false">IF(INDEX(Pengaturan!$B$8:$B$27,M$4)="",0,COUNTIF(Data!$B847:$U847,INDEX(Pengaturan!$B$8:$B$27,M$4)))</f>
        <v>0</v>
      </c>
      <c r="N847" s="26" t="n">
        <f aca="false">IF(INDEX(Pengaturan!$B$8:$B$27,N$4)="",0,COUNTIF(Data!$B847:$U847,INDEX(Pengaturan!$B$8:$B$27,N$4)))</f>
        <v>0</v>
      </c>
      <c r="O847" s="26" t="n">
        <f aca="false">IF(INDEX(Pengaturan!$B$8:$B$27,O$4)="",0,COUNTIF(Data!$B847:$U847,INDEX(Pengaturan!$B$8:$B$27,O$4)))</f>
        <v>0</v>
      </c>
      <c r="P847" s="26" t="n">
        <f aca="false">IF(INDEX(Pengaturan!$B$8:$B$27,P$4)="",0,COUNTIF(Data!$B847:$U847,INDEX(Pengaturan!$B$8:$B$27,P$4)))</f>
        <v>0</v>
      </c>
      <c r="Q847" s="26" t="n">
        <f aca="false">IF(INDEX(Pengaturan!$B$8:$B$27,Q$4)="",0,COUNTIF(Data!$B847:$U847,INDEX(Pengaturan!$B$8:$B$27,Q$4)))</f>
        <v>0</v>
      </c>
      <c r="R847" s="26" t="n">
        <f aca="false">IF(INDEX(Pengaturan!$B$8:$B$27,R$4)="",0,COUNTIF(Data!$B847:$U847,INDEX(Pengaturan!$B$8:$B$27,R$4)))</f>
        <v>0</v>
      </c>
      <c r="S847" s="26" t="n">
        <f aca="false">IF(INDEX(Pengaturan!$B$8:$B$27,S$4)="",0,COUNTIF(Data!$B847:$U847,INDEX(Pengaturan!$B$8:$B$27,S$4)))</f>
        <v>0</v>
      </c>
      <c r="T847" s="26" t="n">
        <f aca="false">IF(INDEX(Pengaturan!$B$8:$B$27,T$4)="",0,COUNTIF(Data!$B847:$U847,INDEX(Pengaturan!$B$8:$B$27,T$4)))</f>
        <v>0</v>
      </c>
      <c r="U847" s="26" t="n">
        <f aca="false">IF(INDEX(Pengaturan!$B$8:$B$27,U$4)="",0,COUNTIF(Data!$B847:$U847,INDEX(Pengaturan!$B$8:$B$27,U$4)))</f>
        <v>0</v>
      </c>
      <c r="V847" s="26" t="n">
        <f aca="false">COUNTA(Data!$B847:$U847)</f>
        <v>0</v>
      </c>
      <c r="W847" s="27" t="str">
        <f aca="false">IF(V847=0,"",IF(V847&lt;&gt;Hasil!$C$4,"Data kosong/tidak lengkap",IF(SUM(B847:U847)&lt;&gt;V847,"Kategori tidak dikenal","OK")))</f>
        <v/>
      </c>
      <c r="X847" s="26" t="n">
        <f aca="false">IF(OR(W847="",W847="OK"),0,1)</f>
        <v>0</v>
      </c>
    </row>
    <row r="848" customFormat="false" ht="15" hidden="false" customHeight="false" outlineLevel="0" collapsed="false">
      <c r="A848" s="26" t="n">
        <f aca="false">Data!A848</f>
        <v>843</v>
      </c>
      <c r="B848" s="26" t="n">
        <f aca="false">IF(INDEX(Pengaturan!$B$8:$B$27,B$4)="",0,COUNTIF(Data!$B848:$U848,INDEX(Pengaturan!$B$8:$B$27,B$4)))</f>
        <v>0</v>
      </c>
      <c r="C848" s="26" t="n">
        <f aca="false">IF(INDEX(Pengaturan!$B$8:$B$27,C$4)="",0,COUNTIF(Data!$B848:$U848,INDEX(Pengaturan!$B$8:$B$27,C$4)))</f>
        <v>0</v>
      </c>
      <c r="D848" s="26" t="n">
        <f aca="false">IF(INDEX(Pengaturan!$B$8:$B$27,D$4)="",0,COUNTIF(Data!$B848:$U848,INDEX(Pengaturan!$B$8:$B$27,D$4)))</f>
        <v>0</v>
      </c>
      <c r="E848" s="26" t="n">
        <f aca="false">IF(INDEX(Pengaturan!$B$8:$B$27,E$4)="",0,COUNTIF(Data!$B848:$U848,INDEX(Pengaturan!$B$8:$B$27,E$4)))</f>
        <v>0</v>
      </c>
      <c r="F848" s="26" t="n">
        <f aca="false">IF(INDEX(Pengaturan!$B$8:$B$27,F$4)="",0,COUNTIF(Data!$B848:$U848,INDEX(Pengaturan!$B$8:$B$27,F$4)))</f>
        <v>0</v>
      </c>
      <c r="G848" s="26" t="n">
        <f aca="false">IF(INDEX(Pengaturan!$B$8:$B$27,G$4)="",0,COUNTIF(Data!$B848:$U848,INDEX(Pengaturan!$B$8:$B$27,G$4)))</f>
        <v>0</v>
      </c>
      <c r="H848" s="26" t="n">
        <f aca="false">IF(INDEX(Pengaturan!$B$8:$B$27,H$4)="",0,COUNTIF(Data!$B848:$U848,INDEX(Pengaturan!$B$8:$B$27,H$4)))</f>
        <v>0</v>
      </c>
      <c r="I848" s="26" t="n">
        <f aca="false">IF(INDEX(Pengaturan!$B$8:$B$27,I$4)="",0,COUNTIF(Data!$B848:$U848,INDEX(Pengaturan!$B$8:$B$27,I$4)))</f>
        <v>0</v>
      </c>
      <c r="J848" s="26" t="n">
        <f aca="false">IF(INDEX(Pengaturan!$B$8:$B$27,J$4)="",0,COUNTIF(Data!$B848:$U848,INDEX(Pengaturan!$B$8:$B$27,J$4)))</f>
        <v>0</v>
      </c>
      <c r="K848" s="26" t="n">
        <f aca="false">IF(INDEX(Pengaturan!$B$8:$B$27,K$4)="",0,COUNTIF(Data!$B848:$U848,INDEX(Pengaturan!$B$8:$B$27,K$4)))</f>
        <v>0</v>
      </c>
      <c r="L848" s="26" t="n">
        <f aca="false">IF(INDEX(Pengaturan!$B$8:$B$27,L$4)="",0,COUNTIF(Data!$B848:$U848,INDEX(Pengaturan!$B$8:$B$27,L$4)))</f>
        <v>0</v>
      </c>
      <c r="M848" s="26" t="n">
        <f aca="false">IF(INDEX(Pengaturan!$B$8:$B$27,M$4)="",0,COUNTIF(Data!$B848:$U848,INDEX(Pengaturan!$B$8:$B$27,M$4)))</f>
        <v>0</v>
      </c>
      <c r="N848" s="26" t="n">
        <f aca="false">IF(INDEX(Pengaturan!$B$8:$B$27,N$4)="",0,COUNTIF(Data!$B848:$U848,INDEX(Pengaturan!$B$8:$B$27,N$4)))</f>
        <v>0</v>
      </c>
      <c r="O848" s="26" t="n">
        <f aca="false">IF(INDEX(Pengaturan!$B$8:$B$27,O$4)="",0,COUNTIF(Data!$B848:$U848,INDEX(Pengaturan!$B$8:$B$27,O$4)))</f>
        <v>0</v>
      </c>
      <c r="P848" s="26" t="n">
        <f aca="false">IF(INDEX(Pengaturan!$B$8:$B$27,P$4)="",0,COUNTIF(Data!$B848:$U848,INDEX(Pengaturan!$B$8:$B$27,P$4)))</f>
        <v>0</v>
      </c>
      <c r="Q848" s="26" t="n">
        <f aca="false">IF(INDEX(Pengaturan!$B$8:$B$27,Q$4)="",0,COUNTIF(Data!$B848:$U848,INDEX(Pengaturan!$B$8:$B$27,Q$4)))</f>
        <v>0</v>
      </c>
      <c r="R848" s="26" t="n">
        <f aca="false">IF(INDEX(Pengaturan!$B$8:$B$27,R$4)="",0,COUNTIF(Data!$B848:$U848,INDEX(Pengaturan!$B$8:$B$27,R$4)))</f>
        <v>0</v>
      </c>
      <c r="S848" s="26" t="n">
        <f aca="false">IF(INDEX(Pengaturan!$B$8:$B$27,S$4)="",0,COUNTIF(Data!$B848:$U848,INDEX(Pengaturan!$B$8:$B$27,S$4)))</f>
        <v>0</v>
      </c>
      <c r="T848" s="26" t="n">
        <f aca="false">IF(INDEX(Pengaturan!$B$8:$B$27,T$4)="",0,COUNTIF(Data!$B848:$U848,INDEX(Pengaturan!$B$8:$B$27,T$4)))</f>
        <v>0</v>
      </c>
      <c r="U848" s="26" t="n">
        <f aca="false">IF(INDEX(Pengaturan!$B$8:$B$27,U$4)="",0,COUNTIF(Data!$B848:$U848,INDEX(Pengaturan!$B$8:$B$27,U$4)))</f>
        <v>0</v>
      </c>
      <c r="V848" s="26" t="n">
        <f aca="false">COUNTA(Data!$B848:$U848)</f>
        <v>0</v>
      </c>
      <c r="W848" s="27" t="str">
        <f aca="false">IF(V848=0,"",IF(V848&lt;&gt;Hasil!$C$4,"Data kosong/tidak lengkap",IF(SUM(B848:U848)&lt;&gt;V848,"Kategori tidak dikenal","OK")))</f>
        <v/>
      </c>
      <c r="X848" s="26" t="n">
        <f aca="false">IF(OR(W848="",W848="OK"),0,1)</f>
        <v>0</v>
      </c>
    </row>
    <row r="849" customFormat="false" ht="15" hidden="false" customHeight="false" outlineLevel="0" collapsed="false">
      <c r="A849" s="26" t="n">
        <f aca="false">Data!A849</f>
        <v>844</v>
      </c>
      <c r="B849" s="26" t="n">
        <f aca="false">IF(INDEX(Pengaturan!$B$8:$B$27,B$4)="",0,COUNTIF(Data!$B849:$U849,INDEX(Pengaturan!$B$8:$B$27,B$4)))</f>
        <v>0</v>
      </c>
      <c r="C849" s="26" t="n">
        <f aca="false">IF(INDEX(Pengaturan!$B$8:$B$27,C$4)="",0,COUNTIF(Data!$B849:$U849,INDEX(Pengaturan!$B$8:$B$27,C$4)))</f>
        <v>0</v>
      </c>
      <c r="D849" s="26" t="n">
        <f aca="false">IF(INDEX(Pengaturan!$B$8:$B$27,D$4)="",0,COUNTIF(Data!$B849:$U849,INDEX(Pengaturan!$B$8:$B$27,D$4)))</f>
        <v>0</v>
      </c>
      <c r="E849" s="26" t="n">
        <f aca="false">IF(INDEX(Pengaturan!$B$8:$B$27,E$4)="",0,COUNTIF(Data!$B849:$U849,INDEX(Pengaturan!$B$8:$B$27,E$4)))</f>
        <v>0</v>
      </c>
      <c r="F849" s="26" t="n">
        <f aca="false">IF(INDEX(Pengaturan!$B$8:$B$27,F$4)="",0,COUNTIF(Data!$B849:$U849,INDEX(Pengaturan!$B$8:$B$27,F$4)))</f>
        <v>0</v>
      </c>
      <c r="G849" s="26" t="n">
        <f aca="false">IF(INDEX(Pengaturan!$B$8:$B$27,G$4)="",0,COUNTIF(Data!$B849:$U849,INDEX(Pengaturan!$B$8:$B$27,G$4)))</f>
        <v>0</v>
      </c>
      <c r="H849" s="26" t="n">
        <f aca="false">IF(INDEX(Pengaturan!$B$8:$B$27,H$4)="",0,COUNTIF(Data!$B849:$U849,INDEX(Pengaturan!$B$8:$B$27,H$4)))</f>
        <v>0</v>
      </c>
      <c r="I849" s="26" t="n">
        <f aca="false">IF(INDEX(Pengaturan!$B$8:$B$27,I$4)="",0,COUNTIF(Data!$B849:$U849,INDEX(Pengaturan!$B$8:$B$27,I$4)))</f>
        <v>0</v>
      </c>
      <c r="J849" s="26" t="n">
        <f aca="false">IF(INDEX(Pengaturan!$B$8:$B$27,J$4)="",0,COUNTIF(Data!$B849:$U849,INDEX(Pengaturan!$B$8:$B$27,J$4)))</f>
        <v>0</v>
      </c>
      <c r="K849" s="26" t="n">
        <f aca="false">IF(INDEX(Pengaturan!$B$8:$B$27,K$4)="",0,COUNTIF(Data!$B849:$U849,INDEX(Pengaturan!$B$8:$B$27,K$4)))</f>
        <v>0</v>
      </c>
      <c r="L849" s="26" t="n">
        <f aca="false">IF(INDEX(Pengaturan!$B$8:$B$27,L$4)="",0,COUNTIF(Data!$B849:$U849,INDEX(Pengaturan!$B$8:$B$27,L$4)))</f>
        <v>0</v>
      </c>
      <c r="M849" s="26" t="n">
        <f aca="false">IF(INDEX(Pengaturan!$B$8:$B$27,M$4)="",0,COUNTIF(Data!$B849:$U849,INDEX(Pengaturan!$B$8:$B$27,M$4)))</f>
        <v>0</v>
      </c>
      <c r="N849" s="26" t="n">
        <f aca="false">IF(INDEX(Pengaturan!$B$8:$B$27,N$4)="",0,COUNTIF(Data!$B849:$U849,INDEX(Pengaturan!$B$8:$B$27,N$4)))</f>
        <v>0</v>
      </c>
      <c r="O849" s="26" t="n">
        <f aca="false">IF(INDEX(Pengaturan!$B$8:$B$27,O$4)="",0,COUNTIF(Data!$B849:$U849,INDEX(Pengaturan!$B$8:$B$27,O$4)))</f>
        <v>0</v>
      </c>
      <c r="P849" s="26" t="n">
        <f aca="false">IF(INDEX(Pengaturan!$B$8:$B$27,P$4)="",0,COUNTIF(Data!$B849:$U849,INDEX(Pengaturan!$B$8:$B$27,P$4)))</f>
        <v>0</v>
      </c>
      <c r="Q849" s="26" t="n">
        <f aca="false">IF(INDEX(Pengaturan!$B$8:$B$27,Q$4)="",0,COUNTIF(Data!$B849:$U849,INDEX(Pengaturan!$B$8:$B$27,Q$4)))</f>
        <v>0</v>
      </c>
      <c r="R849" s="26" t="n">
        <f aca="false">IF(INDEX(Pengaturan!$B$8:$B$27,R$4)="",0,COUNTIF(Data!$B849:$U849,INDEX(Pengaturan!$B$8:$B$27,R$4)))</f>
        <v>0</v>
      </c>
      <c r="S849" s="26" t="n">
        <f aca="false">IF(INDEX(Pengaturan!$B$8:$B$27,S$4)="",0,COUNTIF(Data!$B849:$U849,INDEX(Pengaturan!$B$8:$B$27,S$4)))</f>
        <v>0</v>
      </c>
      <c r="T849" s="26" t="n">
        <f aca="false">IF(INDEX(Pengaturan!$B$8:$B$27,T$4)="",0,COUNTIF(Data!$B849:$U849,INDEX(Pengaturan!$B$8:$B$27,T$4)))</f>
        <v>0</v>
      </c>
      <c r="U849" s="26" t="n">
        <f aca="false">IF(INDEX(Pengaturan!$B$8:$B$27,U$4)="",0,COUNTIF(Data!$B849:$U849,INDEX(Pengaturan!$B$8:$B$27,U$4)))</f>
        <v>0</v>
      </c>
      <c r="V849" s="26" t="n">
        <f aca="false">COUNTA(Data!$B849:$U849)</f>
        <v>0</v>
      </c>
      <c r="W849" s="27" t="str">
        <f aca="false">IF(V849=0,"",IF(V849&lt;&gt;Hasil!$C$4,"Data kosong/tidak lengkap",IF(SUM(B849:U849)&lt;&gt;V849,"Kategori tidak dikenal","OK")))</f>
        <v/>
      </c>
      <c r="X849" s="26" t="n">
        <f aca="false">IF(OR(W849="",W849="OK"),0,1)</f>
        <v>0</v>
      </c>
    </row>
    <row r="850" customFormat="false" ht="15" hidden="false" customHeight="false" outlineLevel="0" collapsed="false">
      <c r="A850" s="26" t="n">
        <f aca="false">Data!A850</f>
        <v>845</v>
      </c>
      <c r="B850" s="26" t="n">
        <f aca="false">IF(INDEX(Pengaturan!$B$8:$B$27,B$4)="",0,COUNTIF(Data!$B850:$U850,INDEX(Pengaturan!$B$8:$B$27,B$4)))</f>
        <v>0</v>
      </c>
      <c r="C850" s="26" t="n">
        <f aca="false">IF(INDEX(Pengaturan!$B$8:$B$27,C$4)="",0,COUNTIF(Data!$B850:$U850,INDEX(Pengaturan!$B$8:$B$27,C$4)))</f>
        <v>0</v>
      </c>
      <c r="D850" s="26" t="n">
        <f aca="false">IF(INDEX(Pengaturan!$B$8:$B$27,D$4)="",0,COUNTIF(Data!$B850:$U850,INDEX(Pengaturan!$B$8:$B$27,D$4)))</f>
        <v>0</v>
      </c>
      <c r="E850" s="26" t="n">
        <f aca="false">IF(INDEX(Pengaturan!$B$8:$B$27,E$4)="",0,COUNTIF(Data!$B850:$U850,INDEX(Pengaturan!$B$8:$B$27,E$4)))</f>
        <v>0</v>
      </c>
      <c r="F850" s="26" t="n">
        <f aca="false">IF(INDEX(Pengaturan!$B$8:$B$27,F$4)="",0,COUNTIF(Data!$B850:$U850,INDEX(Pengaturan!$B$8:$B$27,F$4)))</f>
        <v>0</v>
      </c>
      <c r="G850" s="26" t="n">
        <f aca="false">IF(INDEX(Pengaturan!$B$8:$B$27,G$4)="",0,COUNTIF(Data!$B850:$U850,INDEX(Pengaturan!$B$8:$B$27,G$4)))</f>
        <v>0</v>
      </c>
      <c r="H850" s="26" t="n">
        <f aca="false">IF(INDEX(Pengaturan!$B$8:$B$27,H$4)="",0,COUNTIF(Data!$B850:$U850,INDEX(Pengaturan!$B$8:$B$27,H$4)))</f>
        <v>0</v>
      </c>
      <c r="I850" s="26" t="n">
        <f aca="false">IF(INDEX(Pengaturan!$B$8:$B$27,I$4)="",0,COUNTIF(Data!$B850:$U850,INDEX(Pengaturan!$B$8:$B$27,I$4)))</f>
        <v>0</v>
      </c>
      <c r="J850" s="26" t="n">
        <f aca="false">IF(INDEX(Pengaturan!$B$8:$B$27,J$4)="",0,COUNTIF(Data!$B850:$U850,INDEX(Pengaturan!$B$8:$B$27,J$4)))</f>
        <v>0</v>
      </c>
      <c r="K850" s="26" t="n">
        <f aca="false">IF(INDEX(Pengaturan!$B$8:$B$27,K$4)="",0,COUNTIF(Data!$B850:$U850,INDEX(Pengaturan!$B$8:$B$27,K$4)))</f>
        <v>0</v>
      </c>
      <c r="L850" s="26" t="n">
        <f aca="false">IF(INDEX(Pengaturan!$B$8:$B$27,L$4)="",0,COUNTIF(Data!$B850:$U850,INDEX(Pengaturan!$B$8:$B$27,L$4)))</f>
        <v>0</v>
      </c>
      <c r="M850" s="26" t="n">
        <f aca="false">IF(INDEX(Pengaturan!$B$8:$B$27,M$4)="",0,COUNTIF(Data!$B850:$U850,INDEX(Pengaturan!$B$8:$B$27,M$4)))</f>
        <v>0</v>
      </c>
      <c r="N850" s="26" t="n">
        <f aca="false">IF(INDEX(Pengaturan!$B$8:$B$27,N$4)="",0,COUNTIF(Data!$B850:$U850,INDEX(Pengaturan!$B$8:$B$27,N$4)))</f>
        <v>0</v>
      </c>
      <c r="O850" s="26" t="n">
        <f aca="false">IF(INDEX(Pengaturan!$B$8:$B$27,O$4)="",0,COUNTIF(Data!$B850:$U850,INDEX(Pengaturan!$B$8:$B$27,O$4)))</f>
        <v>0</v>
      </c>
      <c r="P850" s="26" t="n">
        <f aca="false">IF(INDEX(Pengaturan!$B$8:$B$27,P$4)="",0,COUNTIF(Data!$B850:$U850,INDEX(Pengaturan!$B$8:$B$27,P$4)))</f>
        <v>0</v>
      </c>
      <c r="Q850" s="26" t="n">
        <f aca="false">IF(INDEX(Pengaturan!$B$8:$B$27,Q$4)="",0,COUNTIF(Data!$B850:$U850,INDEX(Pengaturan!$B$8:$B$27,Q$4)))</f>
        <v>0</v>
      </c>
      <c r="R850" s="26" t="n">
        <f aca="false">IF(INDEX(Pengaturan!$B$8:$B$27,R$4)="",0,COUNTIF(Data!$B850:$U850,INDEX(Pengaturan!$B$8:$B$27,R$4)))</f>
        <v>0</v>
      </c>
      <c r="S850" s="26" t="n">
        <f aca="false">IF(INDEX(Pengaturan!$B$8:$B$27,S$4)="",0,COUNTIF(Data!$B850:$U850,INDEX(Pengaturan!$B$8:$B$27,S$4)))</f>
        <v>0</v>
      </c>
      <c r="T850" s="26" t="n">
        <f aca="false">IF(INDEX(Pengaturan!$B$8:$B$27,T$4)="",0,COUNTIF(Data!$B850:$U850,INDEX(Pengaturan!$B$8:$B$27,T$4)))</f>
        <v>0</v>
      </c>
      <c r="U850" s="26" t="n">
        <f aca="false">IF(INDEX(Pengaturan!$B$8:$B$27,U$4)="",0,COUNTIF(Data!$B850:$U850,INDEX(Pengaturan!$B$8:$B$27,U$4)))</f>
        <v>0</v>
      </c>
      <c r="V850" s="26" t="n">
        <f aca="false">COUNTA(Data!$B850:$U850)</f>
        <v>0</v>
      </c>
      <c r="W850" s="27" t="str">
        <f aca="false">IF(V850=0,"",IF(V850&lt;&gt;Hasil!$C$4,"Data kosong/tidak lengkap",IF(SUM(B850:U850)&lt;&gt;V850,"Kategori tidak dikenal","OK")))</f>
        <v/>
      </c>
      <c r="X850" s="26" t="n">
        <f aca="false">IF(OR(W850="",W850="OK"),0,1)</f>
        <v>0</v>
      </c>
    </row>
    <row r="851" customFormat="false" ht="15" hidden="false" customHeight="false" outlineLevel="0" collapsed="false">
      <c r="A851" s="26" t="n">
        <f aca="false">Data!A851</f>
        <v>846</v>
      </c>
      <c r="B851" s="26" t="n">
        <f aca="false">IF(INDEX(Pengaturan!$B$8:$B$27,B$4)="",0,COUNTIF(Data!$B851:$U851,INDEX(Pengaturan!$B$8:$B$27,B$4)))</f>
        <v>0</v>
      </c>
      <c r="C851" s="26" t="n">
        <f aca="false">IF(INDEX(Pengaturan!$B$8:$B$27,C$4)="",0,COUNTIF(Data!$B851:$U851,INDEX(Pengaturan!$B$8:$B$27,C$4)))</f>
        <v>0</v>
      </c>
      <c r="D851" s="26" t="n">
        <f aca="false">IF(INDEX(Pengaturan!$B$8:$B$27,D$4)="",0,COUNTIF(Data!$B851:$U851,INDEX(Pengaturan!$B$8:$B$27,D$4)))</f>
        <v>0</v>
      </c>
      <c r="E851" s="26" t="n">
        <f aca="false">IF(INDEX(Pengaturan!$B$8:$B$27,E$4)="",0,COUNTIF(Data!$B851:$U851,INDEX(Pengaturan!$B$8:$B$27,E$4)))</f>
        <v>0</v>
      </c>
      <c r="F851" s="26" t="n">
        <f aca="false">IF(INDEX(Pengaturan!$B$8:$B$27,F$4)="",0,COUNTIF(Data!$B851:$U851,INDEX(Pengaturan!$B$8:$B$27,F$4)))</f>
        <v>0</v>
      </c>
      <c r="G851" s="26" t="n">
        <f aca="false">IF(INDEX(Pengaturan!$B$8:$B$27,G$4)="",0,COUNTIF(Data!$B851:$U851,INDEX(Pengaturan!$B$8:$B$27,G$4)))</f>
        <v>0</v>
      </c>
      <c r="H851" s="26" t="n">
        <f aca="false">IF(INDEX(Pengaturan!$B$8:$B$27,H$4)="",0,COUNTIF(Data!$B851:$U851,INDEX(Pengaturan!$B$8:$B$27,H$4)))</f>
        <v>0</v>
      </c>
      <c r="I851" s="26" t="n">
        <f aca="false">IF(INDEX(Pengaturan!$B$8:$B$27,I$4)="",0,COUNTIF(Data!$B851:$U851,INDEX(Pengaturan!$B$8:$B$27,I$4)))</f>
        <v>0</v>
      </c>
      <c r="J851" s="26" t="n">
        <f aca="false">IF(INDEX(Pengaturan!$B$8:$B$27,J$4)="",0,COUNTIF(Data!$B851:$U851,INDEX(Pengaturan!$B$8:$B$27,J$4)))</f>
        <v>0</v>
      </c>
      <c r="K851" s="26" t="n">
        <f aca="false">IF(INDEX(Pengaturan!$B$8:$B$27,K$4)="",0,COUNTIF(Data!$B851:$U851,INDEX(Pengaturan!$B$8:$B$27,K$4)))</f>
        <v>0</v>
      </c>
      <c r="L851" s="26" t="n">
        <f aca="false">IF(INDEX(Pengaturan!$B$8:$B$27,L$4)="",0,COUNTIF(Data!$B851:$U851,INDEX(Pengaturan!$B$8:$B$27,L$4)))</f>
        <v>0</v>
      </c>
      <c r="M851" s="26" t="n">
        <f aca="false">IF(INDEX(Pengaturan!$B$8:$B$27,M$4)="",0,COUNTIF(Data!$B851:$U851,INDEX(Pengaturan!$B$8:$B$27,M$4)))</f>
        <v>0</v>
      </c>
      <c r="N851" s="26" t="n">
        <f aca="false">IF(INDEX(Pengaturan!$B$8:$B$27,N$4)="",0,COUNTIF(Data!$B851:$U851,INDEX(Pengaturan!$B$8:$B$27,N$4)))</f>
        <v>0</v>
      </c>
      <c r="O851" s="26" t="n">
        <f aca="false">IF(INDEX(Pengaturan!$B$8:$B$27,O$4)="",0,COUNTIF(Data!$B851:$U851,INDEX(Pengaturan!$B$8:$B$27,O$4)))</f>
        <v>0</v>
      </c>
      <c r="P851" s="26" t="n">
        <f aca="false">IF(INDEX(Pengaturan!$B$8:$B$27,P$4)="",0,COUNTIF(Data!$B851:$U851,INDEX(Pengaturan!$B$8:$B$27,P$4)))</f>
        <v>0</v>
      </c>
      <c r="Q851" s="26" t="n">
        <f aca="false">IF(INDEX(Pengaturan!$B$8:$B$27,Q$4)="",0,COUNTIF(Data!$B851:$U851,INDEX(Pengaturan!$B$8:$B$27,Q$4)))</f>
        <v>0</v>
      </c>
      <c r="R851" s="26" t="n">
        <f aca="false">IF(INDEX(Pengaturan!$B$8:$B$27,R$4)="",0,COUNTIF(Data!$B851:$U851,INDEX(Pengaturan!$B$8:$B$27,R$4)))</f>
        <v>0</v>
      </c>
      <c r="S851" s="26" t="n">
        <f aca="false">IF(INDEX(Pengaturan!$B$8:$B$27,S$4)="",0,COUNTIF(Data!$B851:$U851,INDEX(Pengaturan!$B$8:$B$27,S$4)))</f>
        <v>0</v>
      </c>
      <c r="T851" s="26" t="n">
        <f aca="false">IF(INDEX(Pengaturan!$B$8:$B$27,T$4)="",0,COUNTIF(Data!$B851:$U851,INDEX(Pengaturan!$B$8:$B$27,T$4)))</f>
        <v>0</v>
      </c>
      <c r="U851" s="26" t="n">
        <f aca="false">IF(INDEX(Pengaturan!$B$8:$B$27,U$4)="",0,COUNTIF(Data!$B851:$U851,INDEX(Pengaturan!$B$8:$B$27,U$4)))</f>
        <v>0</v>
      </c>
      <c r="V851" s="26" t="n">
        <f aca="false">COUNTA(Data!$B851:$U851)</f>
        <v>0</v>
      </c>
      <c r="W851" s="27" t="str">
        <f aca="false">IF(V851=0,"",IF(V851&lt;&gt;Hasil!$C$4,"Data kosong/tidak lengkap",IF(SUM(B851:U851)&lt;&gt;V851,"Kategori tidak dikenal","OK")))</f>
        <v/>
      </c>
      <c r="X851" s="26" t="n">
        <f aca="false">IF(OR(W851="",W851="OK"),0,1)</f>
        <v>0</v>
      </c>
    </row>
    <row r="852" customFormat="false" ht="15" hidden="false" customHeight="false" outlineLevel="0" collapsed="false">
      <c r="A852" s="26" t="n">
        <f aca="false">Data!A852</f>
        <v>847</v>
      </c>
      <c r="B852" s="26" t="n">
        <f aca="false">IF(INDEX(Pengaturan!$B$8:$B$27,B$4)="",0,COUNTIF(Data!$B852:$U852,INDEX(Pengaturan!$B$8:$B$27,B$4)))</f>
        <v>0</v>
      </c>
      <c r="C852" s="26" t="n">
        <f aca="false">IF(INDEX(Pengaturan!$B$8:$B$27,C$4)="",0,COUNTIF(Data!$B852:$U852,INDEX(Pengaturan!$B$8:$B$27,C$4)))</f>
        <v>0</v>
      </c>
      <c r="D852" s="26" t="n">
        <f aca="false">IF(INDEX(Pengaturan!$B$8:$B$27,D$4)="",0,COUNTIF(Data!$B852:$U852,INDEX(Pengaturan!$B$8:$B$27,D$4)))</f>
        <v>0</v>
      </c>
      <c r="E852" s="26" t="n">
        <f aca="false">IF(INDEX(Pengaturan!$B$8:$B$27,E$4)="",0,COUNTIF(Data!$B852:$U852,INDEX(Pengaturan!$B$8:$B$27,E$4)))</f>
        <v>0</v>
      </c>
      <c r="F852" s="26" t="n">
        <f aca="false">IF(INDEX(Pengaturan!$B$8:$B$27,F$4)="",0,COUNTIF(Data!$B852:$U852,INDEX(Pengaturan!$B$8:$B$27,F$4)))</f>
        <v>0</v>
      </c>
      <c r="G852" s="26" t="n">
        <f aca="false">IF(INDEX(Pengaturan!$B$8:$B$27,G$4)="",0,COUNTIF(Data!$B852:$U852,INDEX(Pengaturan!$B$8:$B$27,G$4)))</f>
        <v>0</v>
      </c>
      <c r="H852" s="26" t="n">
        <f aca="false">IF(INDEX(Pengaturan!$B$8:$B$27,H$4)="",0,COUNTIF(Data!$B852:$U852,INDEX(Pengaturan!$B$8:$B$27,H$4)))</f>
        <v>0</v>
      </c>
      <c r="I852" s="26" t="n">
        <f aca="false">IF(INDEX(Pengaturan!$B$8:$B$27,I$4)="",0,COUNTIF(Data!$B852:$U852,INDEX(Pengaturan!$B$8:$B$27,I$4)))</f>
        <v>0</v>
      </c>
      <c r="J852" s="26" t="n">
        <f aca="false">IF(INDEX(Pengaturan!$B$8:$B$27,J$4)="",0,COUNTIF(Data!$B852:$U852,INDEX(Pengaturan!$B$8:$B$27,J$4)))</f>
        <v>0</v>
      </c>
      <c r="K852" s="26" t="n">
        <f aca="false">IF(INDEX(Pengaturan!$B$8:$B$27,K$4)="",0,COUNTIF(Data!$B852:$U852,INDEX(Pengaturan!$B$8:$B$27,K$4)))</f>
        <v>0</v>
      </c>
      <c r="L852" s="26" t="n">
        <f aca="false">IF(INDEX(Pengaturan!$B$8:$B$27,L$4)="",0,COUNTIF(Data!$B852:$U852,INDEX(Pengaturan!$B$8:$B$27,L$4)))</f>
        <v>0</v>
      </c>
      <c r="M852" s="26" t="n">
        <f aca="false">IF(INDEX(Pengaturan!$B$8:$B$27,M$4)="",0,COUNTIF(Data!$B852:$U852,INDEX(Pengaturan!$B$8:$B$27,M$4)))</f>
        <v>0</v>
      </c>
      <c r="N852" s="26" t="n">
        <f aca="false">IF(INDEX(Pengaturan!$B$8:$B$27,N$4)="",0,COUNTIF(Data!$B852:$U852,INDEX(Pengaturan!$B$8:$B$27,N$4)))</f>
        <v>0</v>
      </c>
      <c r="O852" s="26" t="n">
        <f aca="false">IF(INDEX(Pengaturan!$B$8:$B$27,O$4)="",0,COUNTIF(Data!$B852:$U852,INDEX(Pengaturan!$B$8:$B$27,O$4)))</f>
        <v>0</v>
      </c>
      <c r="P852" s="26" t="n">
        <f aca="false">IF(INDEX(Pengaturan!$B$8:$B$27,P$4)="",0,COUNTIF(Data!$B852:$U852,INDEX(Pengaturan!$B$8:$B$27,P$4)))</f>
        <v>0</v>
      </c>
      <c r="Q852" s="26" t="n">
        <f aca="false">IF(INDEX(Pengaturan!$B$8:$B$27,Q$4)="",0,COUNTIF(Data!$B852:$U852,INDEX(Pengaturan!$B$8:$B$27,Q$4)))</f>
        <v>0</v>
      </c>
      <c r="R852" s="26" t="n">
        <f aca="false">IF(INDEX(Pengaturan!$B$8:$B$27,R$4)="",0,COUNTIF(Data!$B852:$U852,INDEX(Pengaturan!$B$8:$B$27,R$4)))</f>
        <v>0</v>
      </c>
      <c r="S852" s="26" t="n">
        <f aca="false">IF(INDEX(Pengaturan!$B$8:$B$27,S$4)="",0,COUNTIF(Data!$B852:$U852,INDEX(Pengaturan!$B$8:$B$27,S$4)))</f>
        <v>0</v>
      </c>
      <c r="T852" s="26" t="n">
        <f aca="false">IF(INDEX(Pengaturan!$B$8:$B$27,T$4)="",0,COUNTIF(Data!$B852:$U852,INDEX(Pengaturan!$B$8:$B$27,T$4)))</f>
        <v>0</v>
      </c>
      <c r="U852" s="26" t="n">
        <f aca="false">IF(INDEX(Pengaturan!$B$8:$B$27,U$4)="",0,COUNTIF(Data!$B852:$U852,INDEX(Pengaturan!$B$8:$B$27,U$4)))</f>
        <v>0</v>
      </c>
      <c r="V852" s="26" t="n">
        <f aca="false">COUNTA(Data!$B852:$U852)</f>
        <v>0</v>
      </c>
      <c r="W852" s="27" t="str">
        <f aca="false">IF(V852=0,"",IF(V852&lt;&gt;Hasil!$C$4,"Data kosong/tidak lengkap",IF(SUM(B852:U852)&lt;&gt;V852,"Kategori tidak dikenal","OK")))</f>
        <v/>
      </c>
      <c r="X852" s="26" t="n">
        <f aca="false">IF(OR(W852="",W852="OK"),0,1)</f>
        <v>0</v>
      </c>
    </row>
    <row r="853" customFormat="false" ht="15" hidden="false" customHeight="false" outlineLevel="0" collapsed="false">
      <c r="A853" s="26" t="n">
        <f aca="false">Data!A853</f>
        <v>848</v>
      </c>
      <c r="B853" s="26" t="n">
        <f aca="false">IF(INDEX(Pengaturan!$B$8:$B$27,B$4)="",0,COUNTIF(Data!$B853:$U853,INDEX(Pengaturan!$B$8:$B$27,B$4)))</f>
        <v>0</v>
      </c>
      <c r="C853" s="26" t="n">
        <f aca="false">IF(INDEX(Pengaturan!$B$8:$B$27,C$4)="",0,COUNTIF(Data!$B853:$U853,INDEX(Pengaturan!$B$8:$B$27,C$4)))</f>
        <v>0</v>
      </c>
      <c r="D853" s="26" t="n">
        <f aca="false">IF(INDEX(Pengaturan!$B$8:$B$27,D$4)="",0,COUNTIF(Data!$B853:$U853,INDEX(Pengaturan!$B$8:$B$27,D$4)))</f>
        <v>0</v>
      </c>
      <c r="E853" s="26" t="n">
        <f aca="false">IF(INDEX(Pengaturan!$B$8:$B$27,E$4)="",0,COUNTIF(Data!$B853:$U853,INDEX(Pengaturan!$B$8:$B$27,E$4)))</f>
        <v>0</v>
      </c>
      <c r="F853" s="26" t="n">
        <f aca="false">IF(INDEX(Pengaturan!$B$8:$B$27,F$4)="",0,COUNTIF(Data!$B853:$U853,INDEX(Pengaturan!$B$8:$B$27,F$4)))</f>
        <v>0</v>
      </c>
      <c r="G853" s="26" t="n">
        <f aca="false">IF(INDEX(Pengaturan!$B$8:$B$27,G$4)="",0,COUNTIF(Data!$B853:$U853,INDEX(Pengaturan!$B$8:$B$27,G$4)))</f>
        <v>0</v>
      </c>
      <c r="H853" s="26" t="n">
        <f aca="false">IF(INDEX(Pengaturan!$B$8:$B$27,H$4)="",0,COUNTIF(Data!$B853:$U853,INDEX(Pengaturan!$B$8:$B$27,H$4)))</f>
        <v>0</v>
      </c>
      <c r="I853" s="26" t="n">
        <f aca="false">IF(INDEX(Pengaturan!$B$8:$B$27,I$4)="",0,COUNTIF(Data!$B853:$U853,INDEX(Pengaturan!$B$8:$B$27,I$4)))</f>
        <v>0</v>
      </c>
      <c r="J853" s="26" t="n">
        <f aca="false">IF(INDEX(Pengaturan!$B$8:$B$27,J$4)="",0,COUNTIF(Data!$B853:$U853,INDEX(Pengaturan!$B$8:$B$27,J$4)))</f>
        <v>0</v>
      </c>
      <c r="K853" s="26" t="n">
        <f aca="false">IF(INDEX(Pengaturan!$B$8:$B$27,K$4)="",0,COUNTIF(Data!$B853:$U853,INDEX(Pengaturan!$B$8:$B$27,K$4)))</f>
        <v>0</v>
      </c>
      <c r="L853" s="26" t="n">
        <f aca="false">IF(INDEX(Pengaturan!$B$8:$B$27,L$4)="",0,COUNTIF(Data!$B853:$U853,INDEX(Pengaturan!$B$8:$B$27,L$4)))</f>
        <v>0</v>
      </c>
      <c r="M853" s="26" t="n">
        <f aca="false">IF(INDEX(Pengaturan!$B$8:$B$27,M$4)="",0,COUNTIF(Data!$B853:$U853,INDEX(Pengaturan!$B$8:$B$27,M$4)))</f>
        <v>0</v>
      </c>
      <c r="N853" s="26" t="n">
        <f aca="false">IF(INDEX(Pengaturan!$B$8:$B$27,N$4)="",0,COUNTIF(Data!$B853:$U853,INDEX(Pengaturan!$B$8:$B$27,N$4)))</f>
        <v>0</v>
      </c>
      <c r="O853" s="26" t="n">
        <f aca="false">IF(INDEX(Pengaturan!$B$8:$B$27,O$4)="",0,COUNTIF(Data!$B853:$U853,INDEX(Pengaturan!$B$8:$B$27,O$4)))</f>
        <v>0</v>
      </c>
      <c r="P853" s="26" t="n">
        <f aca="false">IF(INDEX(Pengaturan!$B$8:$B$27,P$4)="",0,COUNTIF(Data!$B853:$U853,INDEX(Pengaturan!$B$8:$B$27,P$4)))</f>
        <v>0</v>
      </c>
      <c r="Q853" s="26" t="n">
        <f aca="false">IF(INDEX(Pengaturan!$B$8:$B$27,Q$4)="",0,COUNTIF(Data!$B853:$U853,INDEX(Pengaturan!$B$8:$B$27,Q$4)))</f>
        <v>0</v>
      </c>
      <c r="R853" s="26" t="n">
        <f aca="false">IF(INDEX(Pengaturan!$B$8:$B$27,R$4)="",0,COUNTIF(Data!$B853:$U853,INDEX(Pengaturan!$B$8:$B$27,R$4)))</f>
        <v>0</v>
      </c>
      <c r="S853" s="26" t="n">
        <f aca="false">IF(INDEX(Pengaturan!$B$8:$B$27,S$4)="",0,COUNTIF(Data!$B853:$U853,INDEX(Pengaturan!$B$8:$B$27,S$4)))</f>
        <v>0</v>
      </c>
      <c r="T853" s="26" t="n">
        <f aca="false">IF(INDEX(Pengaturan!$B$8:$B$27,T$4)="",0,COUNTIF(Data!$B853:$U853,INDEX(Pengaturan!$B$8:$B$27,T$4)))</f>
        <v>0</v>
      </c>
      <c r="U853" s="26" t="n">
        <f aca="false">IF(INDEX(Pengaturan!$B$8:$B$27,U$4)="",0,COUNTIF(Data!$B853:$U853,INDEX(Pengaturan!$B$8:$B$27,U$4)))</f>
        <v>0</v>
      </c>
      <c r="V853" s="26" t="n">
        <f aca="false">COUNTA(Data!$B853:$U853)</f>
        <v>0</v>
      </c>
      <c r="W853" s="27" t="str">
        <f aca="false">IF(V853=0,"",IF(V853&lt;&gt;Hasil!$C$4,"Data kosong/tidak lengkap",IF(SUM(B853:U853)&lt;&gt;V853,"Kategori tidak dikenal","OK")))</f>
        <v/>
      </c>
      <c r="X853" s="26" t="n">
        <f aca="false">IF(OR(W853="",W853="OK"),0,1)</f>
        <v>0</v>
      </c>
    </row>
    <row r="854" customFormat="false" ht="15" hidden="false" customHeight="false" outlineLevel="0" collapsed="false">
      <c r="A854" s="26" t="n">
        <f aca="false">Data!A854</f>
        <v>849</v>
      </c>
      <c r="B854" s="26" t="n">
        <f aca="false">IF(INDEX(Pengaturan!$B$8:$B$27,B$4)="",0,COUNTIF(Data!$B854:$U854,INDEX(Pengaturan!$B$8:$B$27,B$4)))</f>
        <v>0</v>
      </c>
      <c r="C854" s="26" t="n">
        <f aca="false">IF(INDEX(Pengaturan!$B$8:$B$27,C$4)="",0,COUNTIF(Data!$B854:$U854,INDEX(Pengaturan!$B$8:$B$27,C$4)))</f>
        <v>0</v>
      </c>
      <c r="D854" s="26" t="n">
        <f aca="false">IF(INDEX(Pengaturan!$B$8:$B$27,D$4)="",0,COUNTIF(Data!$B854:$U854,INDEX(Pengaturan!$B$8:$B$27,D$4)))</f>
        <v>0</v>
      </c>
      <c r="E854" s="26" t="n">
        <f aca="false">IF(INDEX(Pengaturan!$B$8:$B$27,E$4)="",0,COUNTIF(Data!$B854:$U854,INDEX(Pengaturan!$B$8:$B$27,E$4)))</f>
        <v>0</v>
      </c>
      <c r="F854" s="26" t="n">
        <f aca="false">IF(INDEX(Pengaturan!$B$8:$B$27,F$4)="",0,COUNTIF(Data!$B854:$U854,INDEX(Pengaturan!$B$8:$B$27,F$4)))</f>
        <v>0</v>
      </c>
      <c r="G854" s="26" t="n">
        <f aca="false">IF(INDEX(Pengaturan!$B$8:$B$27,G$4)="",0,COUNTIF(Data!$B854:$U854,INDEX(Pengaturan!$B$8:$B$27,G$4)))</f>
        <v>0</v>
      </c>
      <c r="H854" s="26" t="n">
        <f aca="false">IF(INDEX(Pengaturan!$B$8:$B$27,H$4)="",0,COUNTIF(Data!$B854:$U854,INDEX(Pengaturan!$B$8:$B$27,H$4)))</f>
        <v>0</v>
      </c>
      <c r="I854" s="26" t="n">
        <f aca="false">IF(INDEX(Pengaturan!$B$8:$B$27,I$4)="",0,COUNTIF(Data!$B854:$U854,INDEX(Pengaturan!$B$8:$B$27,I$4)))</f>
        <v>0</v>
      </c>
      <c r="J854" s="26" t="n">
        <f aca="false">IF(INDEX(Pengaturan!$B$8:$B$27,J$4)="",0,COUNTIF(Data!$B854:$U854,INDEX(Pengaturan!$B$8:$B$27,J$4)))</f>
        <v>0</v>
      </c>
      <c r="K854" s="26" t="n">
        <f aca="false">IF(INDEX(Pengaturan!$B$8:$B$27,K$4)="",0,COUNTIF(Data!$B854:$U854,INDEX(Pengaturan!$B$8:$B$27,K$4)))</f>
        <v>0</v>
      </c>
      <c r="L854" s="26" t="n">
        <f aca="false">IF(INDEX(Pengaturan!$B$8:$B$27,L$4)="",0,COUNTIF(Data!$B854:$U854,INDEX(Pengaturan!$B$8:$B$27,L$4)))</f>
        <v>0</v>
      </c>
      <c r="M854" s="26" t="n">
        <f aca="false">IF(INDEX(Pengaturan!$B$8:$B$27,M$4)="",0,COUNTIF(Data!$B854:$U854,INDEX(Pengaturan!$B$8:$B$27,M$4)))</f>
        <v>0</v>
      </c>
      <c r="N854" s="26" t="n">
        <f aca="false">IF(INDEX(Pengaturan!$B$8:$B$27,N$4)="",0,COUNTIF(Data!$B854:$U854,INDEX(Pengaturan!$B$8:$B$27,N$4)))</f>
        <v>0</v>
      </c>
      <c r="O854" s="26" t="n">
        <f aca="false">IF(INDEX(Pengaturan!$B$8:$B$27,O$4)="",0,COUNTIF(Data!$B854:$U854,INDEX(Pengaturan!$B$8:$B$27,O$4)))</f>
        <v>0</v>
      </c>
      <c r="P854" s="26" t="n">
        <f aca="false">IF(INDEX(Pengaturan!$B$8:$B$27,P$4)="",0,COUNTIF(Data!$B854:$U854,INDEX(Pengaturan!$B$8:$B$27,P$4)))</f>
        <v>0</v>
      </c>
      <c r="Q854" s="26" t="n">
        <f aca="false">IF(INDEX(Pengaturan!$B$8:$B$27,Q$4)="",0,COUNTIF(Data!$B854:$U854,INDEX(Pengaturan!$B$8:$B$27,Q$4)))</f>
        <v>0</v>
      </c>
      <c r="R854" s="26" t="n">
        <f aca="false">IF(INDEX(Pengaturan!$B$8:$B$27,R$4)="",0,COUNTIF(Data!$B854:$U854,INDEX(Pengaturan!$B$8:$B$27,R$4)))</f>
        <v>0</v>
      </c>
      <c r="S854" s="26" t="n">
        <f aca="false">IF(INDEX(Pengaturan!$B$8:$B$27,S$4)="",0,COUNTIF(Data!$B854:$U854,INDEX(Pengaturan!$B$8:$B$27,S$4)))</f>
        <v>0</v>
      </c>
      <c r="T854" s="26" t="n">
        <f aca="false">IF(INDEX(Pengaturan!$B$8:$B$27,T$4)="",0,COUNTIF(Data!$B854:$U854,INDEX(Pengaturan!$B$8:$B$27,T$4)))</f>
        <v>0</v>
      </c>
      <c r="U854" s="26" t="n">
        <f aca="false">IF(INDEX(Pengaturan!$B$8:$B$27,U$4)="",0,COUNTIF(Data!$B854:$U854,INDEX(Pengaturan!$B$8:$B$27,U$4)))</f>
        <v>0</v>
      </c>
      <c r="V854" s="26" t="n">
        <f aca="false">COUNTA(Data!$B854:$U854)</f>
        <v>0</v>
      </c>
      <c r="W854" s="27" t="str">
        <f aca="false">IF(V854=0,"",IF(V854&lt;&gt;Hasil!$C$4,"Data kosong/tidak lengkap",IF(SUM(B854:U854)&lt;&gt;V854,"Kategori tidak dikenal","OK")))</f>
        <v/>
      </c>
      <c r="X854" s="26" t="n">
        <f aca="false">IF(OR(W854="",W854="OK"),0,1)</f>
        <v>0</v>
      </c>
    </row>
    <row r="855" customFormat="false" ht="15" hidden="false" customHeight="false" outlineLevel="0" collapsed="false">
      <c r="A855" s="26" t="n">
        <f aca="false">Data!A855</f>
        <v>850</v>
      </c>
      <c r="B855" s="26" t="n">
        <f aca="false">IF(INDEX(Pengaturan!$B$8:$B$27,B$4)="",0,COUNTIF(Data!$B855:$U855,INDEX(Pengaturan!$B$8:$B$27,B$4)))</f>
        <v>0</v>
      </c>
      <c r="C855" s="26" t="n">
        <f aca="false">IF(INDEX(Pengaturan!$B$8:$B$27,C$4)="",0,COUNTIF(Data!$B855:$U855,INDEX(Pengaturan!$B$8:$B$27,C$4)))</f>
        <v>0</v>
      </c>
      <c r="D855" s="26" t="n">
        <f aca="false">IF(INDEX(Pengaturan!$B$8:$B$27,D$4)="",0,COUNTIF(Data!$B855:$U855,INDEX(Pengaturan!$B$8:$B$27,D$4)))</f>
        <v>0</v>
      </c>
      <c r="E855" s="26" t="n">
        <f aca="false">IF(INDEX(Pengaturan!$B$8:$B$27,E$4)="",0,COUNTIF(Data!$B855:$U855,INDEX(Pengaturan!$B$8:$B$27,E$4)))</f>
        <v>0</v>
      </c>
      <c r="F855" s="26" t="n">
        <f aca="false">IF(INDEX(Pengaturan!$B$8:$B$27,F$4)="",0,COUNTIF(Data!$B855:$U855,INDEX(Pengaturan!$B$8:$B$27,F$4)))</f>
        <v>0</v>
      </c>
      <c r="G855" s="26" t="n">
        <f aca="false">IF(INDEX(Pengaturan!$B$8:$B$27,G$4)="",0,COUNTIF(Data!$B855:$U855,INDEX(Pengaturan!$B$8:$B$27,G$4)))</f>
        <v>0</v>
      </c>
      <c r="H855" s="26" t="n">
        <f aca="false">IF(INDEX(Pengaturan!$B$8:$B$27,H$4)="",0,COUNTIF(Data!$B855:$U855,INDEX(Pengaturan!$B$8:$B$27,H$4)))</f>
        <v>0</v>
      </c>
      <c r="I855" s="26" t="n">
        <f aca="false">IF(INDEX(Pengaturan!$B$8:$B$27,I$4)="",0,COUNTIF(Data!$B855:$U855,INDEX(Pengaturan!$B$8:$B$27,I$4)))</f>
        <v>0</v>
      </c>
      <c r="J855" s="26" t="n">
        <f aca="false">IF(INDEX(Pengaturan!$B$8:$B$27,J$4)="",0,COUNTIF(Data!$B855:$U855,INDEX(Pengaturan!$B$8:$B$27,J$4)))</f>
        <v>0</v>
      </c>
      <c r="K855" s="26" t="n">
        <f aca="false">IF(INDEX(Pengaturan!$B$8:$B$27,K$4)="",0,COUNTIF(Data!$B855:$U855,INDEX(Pengaturan!$B$8:$B$27,K$4)))</f>
        <v>0</v>
      </c>
      <c r="L855" s="26" t="n">
        <f aca="false">IF(INDEX(Pengaturan!$B$8:$B$27,L$4)="",0,COUNTIF(Data!$B855:$U855,INDEX(Pengaturan!$B$8:$B$27,L$4)))</f>
        <v>0</v>
      </c>
      <c r="M855" s="26" t="n">
        <f aca="false">IF(INDEX(Pengaturan!$B$8:$B$27,M$4)="",0,COUNTIF(Data!$B855:$U855,INDEX(Pengaturan!$B$8:$B$27,M$4)))</f>
        <v>0</v>
      </c>
      <c r="N855" s="26" t="n">
        <f aca="false">IF(INDEX(Pengaturan!$B$8:$B$27,N$4)="",0,COUNTIF(Data!$B855:$U855,INDEX(Pengaturan!$B$8:$B$27,N$4)))</f>
        <v>0</v>
      </c>
      <c r="O855" s="26" t="n">
        <f aca="false">IF(INDEX(Pengaturan!$B$8:$B$27,O$4)="",0,COUNTIF(Data!$B855:$U855,INDEX(Pengaturan!$B$8:$B$27,O$4)))</f>
        <v>0</v>
      </c>
      <c r="P855" s="26" t="n">
        <f aca="false">IF(INDEX(Pengaturan!$B$8:$B$27,P$4)="",0,COUNTIF(Data!$B855:$U855,INDEX(Pengaturan!$B$8:$B$27,P$4)))</f>
        <v>0</v>
      </c>
      <c r="Q855" s="26" t="n">
        <f aca="false">IF(INDEX(Pengaturan!$B$8:$B$27,Q$4)="",0,COUNTIF(Data!$B855:$U855,INDEX(Pengaturan!$B$8:$B$27,Q$4)))</f>
        <v>0</v>
      </c>
      <c r="R855" s="26" t="n">
        <f aca="false">IF(INDEX(Pengaturan!$B$8:$B$27,R$4)="",0,COUNTIF(Data!$B855:$U855,INDEX(Pengaturan!$B$8:$B$27,R$4)))</f>
        <v>0</v>
      </c>
      <c r="S855" s="26" t="n">
        <f aca="false">IF(INDEX(Pengaturan!$B$8:$B$27,S$4)="",0,COUNTIF(Data!$B855:$U855,INDEX(Pengaturan!$B$8:$B$27,S$4)))</f>
        <v>0</v>
      </c>
      <c r="T855" s="26" t="n">
        <f aca="false">IF(INDEX(Pengaturan!$B$8:$B$27,T$4)="",0,COUNTIF(Data!$B855:$U855,INDEX(Pengaturan!$B$8:$B$27,T$4)))</f>
        <v>0</v>
      </c>
      <c r="U855" s="26" t="n">
        <f aca="false">IF(INDEX(Pengaturan!$B$8:$B$27,U$4)="",0,COUNTIF(Data!$B855:$U855,INDEX(Pengaturan!$B$8:$B$27,U$4)))</f>
        <v>0</v>
      </c>
      <c r="V855" s="26" t="n">
        <f aca="false">COUNTA(Data!$B855:$U855)</f>
        <v>0</v>
      </c>
      <c r="W855" s="27" t="str">
        <f aca="false">IF(V855=0,"",IF(V855&lt;&gt;Hasil!$C$4,"Data kosong/tidak lengkap",IF(SUM(B855:U855)&lt;&gt;V855,"Kategori tidak dikenal","OK")))</f>
        <v/>
      </c>
      <c r="X855" s="26" t="n">
        <f aca="false">IF(OR(W855="",W855="OK"),0,1)</f>
        <v>0</v>
      </c>
    </row>
    <row r="856" customFormat="false" ht="15" hidden="false" customHeight="false" outlineLevel="0" collapsed="false">
      <c r="A856" s="26" t="n">
        <f aca="false">Data!A856</f>
        <v>851</v>
      </c>
      <c r="B856" s="26" t="n">
        <f aca="false">IF(INDEX(Pengaturan!$B$8:$B$27,B$4)="",0,COUNTIF(Data!$B856:$U856,INDEX(Pengaturan!$B$8:$B$27,B$4)))</f>
        <v>0</v>
      </c>
      <c r="C856" s="26" t="n">
        <f aca="false">IF(INDEX(Pengaturan!$B$8:$B$27,C$4)="",0,COUNTIF(Data!$B856:$U856,INDEX(Pengaturan!$B$8:$B$27,C$4)))</f>
        <v>0</v>
      </c>
      <c r="D856" s="26" t="n">
        <f aca="false">IF(INDEX(Pengaturan!$B$8:$B$27,D$4)="",0,COUNTIF(Data!$B856:$U856,INDEX(Pengaturan!$B$8:$B$27,D$4)))</f>
        <v>0</v>
      </c>
      <c r="E856" s="26" t="n">
        <f aca="false">IF(INDEX(Pengaturan!$B$8:$B$27,E$4)="",0,COUNTIF(Data!$B856:$U856,INDEX(Pengaturan!$B$8:$B$27,E$4)))</f>
        <v>0</v>
      </c>
      <c r="F856" s="26" t="n">
        <f aca="false">IF(INDEX(Pengaturan!$B$8:$B$27,F$4)="",0,COUNTIF(Data!$B856:$U856,INDEX(Pengaturan!$B$8:$B$27,F$4)))</f>
        <v>0</v>
      </c>
      <c r="G856" s="26" t="n">
        <f aca="false">IF(INDEX(Pengaturan!$B$8:$B$27,G$4)="",0,COUNTIF(Data!$B856:$U856,INDEX(Pengaturan!$B$8:$B$27,G$4)))</f>
        <v>0</v>
      </c>
      <c r="H856" s="26" t="n">
        <f aca="false">IF(INDEX(Pengaturan!$B$8:$B$27,H$4)="",0,COUNTIF(Data!$B856:$U856,INDEX(Pengaturan!$B$8:$B$27,H$4)))</f>
        <v>0</v>
      </c>
      <c r="I856" s="26" t="n">
        <f aca="false">IF(INDEX(Pengaturan!$B$8:$B$27,I$4)="",0,COUNTIF(Data!$B856:$U856,INDEX(Pengaturan!$B$8:$B$27,I$4)))</f>
        <v>0</v>
      </c>
      <c r="J856" s="26" t="n">
        <f aca="false">IF(INDEX(Pengaturan!$B$8:$B$27,J$4)="",0,COUNTIF(Data!$B856:$U856,INDEX(Pengaturan!$B$8:$B$27,J$4)))</f>
        <v>0</v>
      </c>
      <c r="K856" s="26" t="n">
        <f aca="false">IF(INDEX(Pengaturan!$B$8:$B$27,K$4)="",0,COUNTIF(Data!$B856:$U856,INDEX(Pengaturan!$B$8:$B$27,K$4)))</f>
        <v>0</v>
      </c>
      <c r="L856" s="26" t="n">
        <f aca="false">IF(INDEX(Pengaturan!$B$8:$B$27,L$4)="",0,COUNTIF(Data!$B856:$U856,INDEX(Pengaturan!$B$8:$B$27,L$4)))</f>
        <v>0</v>
      </c>
      <c r="M856" s="26" t="n">
        <f aca="false">IF(INDEX(Pengaturan!$B$8:$B$27,M$4)="",0,COUNTIF(Data!$B856:$U856,INDEX(Pengaturan!$B$8:$B$27,M$4)))</f>
        <v>0</v>
      </c>
      <c r="N856" s="26" t="n">
        <f aca="false">IF(INDEX(Pengaturan!$B$8:$B$27,N$4)="",0,COUNTIF(Data!$B856:$U856,INDEX(Pengaturan!$B$8:$B$27,N$4)))</f>
        <v>0</v>
      </c>
      <c r="O856" s="26" t="n">
        <f aca="false">IF(INDEX(Pengaturan!$B$8:$B$27,O$4)="",0,COUNTIF(Data!$B856:$U856,INDEX(Pengaturan!$B$8:$B$27,O$4)))</f>
        <v>0</v>
      </c>
      <c r="P856" s="26" t="n">
        <f aca="false">IF(INDEX(Pengaturan!$B$8:$B$27,P$4)="",0,COUNTIF(Data!$B856:$U856,INDEX(Pengaturan!$B$8:$B$27,P$4)))</f>
        <v>0</v>
      </c>
      <c r="Q856" s="26" t="n">
        <f aca="false">IF(INDEX(Pengaturan!$B$8:$B$27,Q$4)="",0,COUNTIF(Data!$B856:$U856,INDEX(Pengaturan!$B$8:$B$27,Q$4)))</f>
        <v>0</v>
      </c>
      <c r="R856" s="26" t="n">
        <f aca="false">IF(INDEX(Pengaturan!$B$8:$B$27,R$4)="",0,COUNTIF(Data!$B856:$U856,INDEX(Pengaturan!$B$8:$B$27,R$4)))</f>
        <v>0</v>
      </c>
      <c r="S856" s="26" t="n">
        <f aca="false">IF(INDEX(Pengaturan!$B$8:$B$27,S$4)="",0,COUNTIF(Data!$B856:$U856,INDEX(Pengaturan!$B$8:$B$27,S$4)))</f>
        <v>0</v>
      </c>
      <c r="T856" s="26" t="n">
        <f aca="false">IF(INDEX(Pengaturan!$B$8:$B$27,T$4)="",0,COUNTIF(Data!$B856:$U856,INDEX(Pengaturan!$B$8:$B$27,T$4)))</f>
        <v>0</v>
      </c>
      <c r="U856" s="26" t="n">
        <f aca="false">IF(INDEX(Pengaturan!$B$8:$B$27,U$4)="",0,COUNTIF(Data!$B856:$U856,INDEX(Pengaturan!$B$8:$B$27,U$4)))</f>
        <v>0</v>
      </c>
      <c r="V856" s="26" t="n">
        <f aca="false">COUNTA(Data!$B856:$U856)</f>
        <v>0</v>
      </c>
      <c r="W856" s="27" t="str">
        <f aca="false">IF(V856=0,"",IF(V856&lt;&gt;Hasil!$C$4,"Data kosong/tidak lengkap",IF(SUM(B856:U856)&lt;&gt;V856,"Kategori tidak dikenal","OK")))</f>
        <v/>
      </c>
      <c r="X856" s="26" t="n">
        <f aca="false">IF(OR(W856="",W856="OK"),0,1)</f>
        <v>0</v>
      </c>
    </row>
    <row r="857" customFormat="false" ht="15" hidden="false" customHeight="false" outlineLevel="0" collapsed="false">
      <c r="A857" s="26" t="n">
        <f aca="false">Data!A857</f>
        <v>852</v>
      </c>
      <c r="B857" s="26" t="n">
        <f aca="false">IF(INDEX(Pengaturan!$B$8:$B$27,B$4)="",0,COUNTIF(Data!$B857:$U857,INDEX(Pengaturan!$B$8:$B$27,B$4)))</f>
        <v>0</v>
      </c>
      <c r="C857" s="26" t="n">
        <f aca="false">IF(INDEX(Pengaturan!$B$8:$B$27,C$4)="",0,COUNTIF(Data!$B857:$U857,INDEX(Pengaturan!$B$8:$B$27,C$4)))</f>
        <v>0</v>
      </c>
      <c r="D857" s="26" t="n">
        <f aca="false">IF(INDEX(Pengaturan!$B$8:$B$27,D$4)="",0,COUNTIF(Data!$B857:$U857,INDEX(Pengaturan!$B$8:$B$27,D$4)))</f>
        <v>0</v>
      </c>
      <c r="E857" s="26" t="n">
        <f aca="false">IF(INDEX(Pengaturan!$B$8:$B$27,E$4)="",0,COUNTIF(Data!$B857:$U857,INDEX(Pengaturan!$B$8:$B$27,E$4)))</f>
        <v>0</v>
      </c>
      <c r="F857" s="26" t="n">
        <f aca="false">IF(INDEX(Pengaturan!$B$8:$B$27,F$4)="",0,COUNTIF(Data!$B857:$U857,INDEX(Pengaturan!$B$8:$B$27,F$4)))</f>
        <v>0</v>
      </c>
      <c r="G857" s="26" t="n">
        <f aca="false">IF(INDEX(Pengaturan!$B$8:$B$27,G$4)="",0,COUNTIF(Data!$B857:$U857,INDEX(Pengaturan!$B$8:$B$27,G$4)))</f>
        <v>0</v>
      </c>
      <c r="H857" s="26" t="n">
        <f aca="false">IF(INDEX(Pengaturan!$B$8:$B$27,H$4)="",0,COUNTIF(Data!$B857:$U857,INDEX(Pengaturan!$B$8:$B$27,H$4)))</f>
        <v>0</v>
      </c>
      <c r="I857" s="26" t="n">
        <f aca="false">IF(INDEX(Pengaturan!$B$8:$B$27,I$4)="",0,COUNTIF(Data!$B857:$U857,INDEX(Pengaturan!$B$8:$B$27,I$4)))</f>
        <v>0</v>
      </c>
      <c r="J857" s="26" t="n">
        <f aca="false">IF(INDEX(Pengaturan!$B$8:$B$27,J$4)="",0,COUNTIF(Data!$B857:$U857,INDEX(Pengaturan!$B$8:$B$27,J$4)))</f>
        <v>0</v>
      </c>
      <c r="K857" s="26" t="n">
        <f aca="false">IF(INDEX(Pengaturan!$B$8:$B$27,K$4)="",0,COUNTIF(Data!$B857:$U857,INDEX(Pengaturan!$B$8:$B$27,K$4)))</f>
        <v>0</v>
      </c>
      <c r="L857" s="26" t="n">
        <f aca="false">IF(INDEX(Pengaturan!$B$8:$B$27,L$4)="",0,COUNTIF(Data!$B857:$U857,INDEX(Pengaturan!$B$8:$B$27,L$4)))</f>
        <v>0</v>
      </c>
      <c r="M857" s="26" t="n">
        <f aca="false">IF(INDEX(Pengaturan!$B$8:$B$27,M$4)="",0,COUNTIF(Data!$B857:$U857,INDEX(Pengaturan!$B$8:$B$27,M$4)))</f>
        <v>0</v>
      </c>
      <c r="N857" s="26" t="n">
        <f aca="false">IF(INDEX(Pengaturan!$B$8:$B$27,N$4)="",0,COUNTIF(Data!$B857:$U857,INDEX(Pengaturan!$B$8:$B$27,N$4)))</f>
        <v>0</v>
      </c>
      <c r="O857" s="26" t="n">
        <f aca="false">IF(INDEX(Pengaturan!$B$8:$B$27,O$4)="",0,COUNTIF(Data!$B857:$U857,INDEX(Pengaturan!$B$8:$B$27,O$4)))</f>
        <v>0</v>
      </c>
      <c r="P857" s="26" t="n">
        <f aca="false">IF(INDEX(Pengaturan!$B$8:$B$27,P$4)="",0,COUNTIF(Data!$B857:$U857,INDEX(Pengaturan!$B$8:$B$27,P$4)))</f>
        <v>0</v>
      </c>
      <c r="Q857" s="26" t="n">
        <f aca="false">IF(INDEX(Pengaturan!$B$8:$B$27,Q$4)="",0,COUNTIF(Data!$B857:$U857,INDEX(Pengaturan!$B$8:$B$27,Q$4)))</f>
        <v>0</v>
      </c>
      <c r="R857" s="26" t="n">
        <f aca="false">IF(INDEX(Pengaturan!$B$8:$B$27,R$4)="",0,COUNTIF(Data!$B857:$U857,INDEX(Pengaturan!$B$8:$B$27,R$4)))</f>
        <v>0</v>
      </c>
      <c r="S857" s="26" t="n">
        <f aca="false">IF(INDEX(Pengaturan!$B$8:$B$27,S$4)="",0,COUNTIF(Data!$B857:$U857,INDEX(Pengaturan!$B$8:$B$27,S$4)))</f>
        <v>0</v>
      </c>
      <c r="T857" s="26" t="n">
        <f aca="false">IF(INDEX(Pengaturan!$B$8:$B$27,T$4)="",0,COUNTIF(Data!$B857:$U857,INDEX(Pengaturan!$B$8:$B$27,T$4)))</f>
        <v>0</v>
      </c>
      <c r="U857" s="26" t="n">
        <f aca="false">IF(INDEX(Pengaturan!$B$8:$B$27,U$4)="",0,COUNTIF(Data!$B857:$U857,INDEX(Pengaturan!$B$8:$B$27,U$4)))</f>
        <v>0</v>
      </c>
      <c r="V857" s="26" t="n">
        <f aca="false">COUNTA(Data!$B857:$U857)</f>
        <v>0</v>
      </c>
      <c r="W857" s="27" t="str">
        <f aca="false">IF(V857=0,"",IF(V857&lt;&gt;Hasil!$C$4,"Data kosong/tidak lengkap",IF(SUM(B857:U857)&lt;&gt;V857,"Kategori tidak dikenal","OK")))</f>
        <v/>
      </c>
      <c r="X857" s="26" t="n">
        <f aca="false">IF(OR(W857="",W857="OK"),0,1)</f>
        <v>0</v>
      </c>
    </row>
    <row r="858" customFormat="false" ht="15" hidden="false" customHeight="false" outlineLevel="0" collapsed="false">
      <c r="A858" s="26" t="n">
        <f aca="false">Data!A858</f>
        <v>853</v>
      </c>
      <c r="B858" s="26" t="n">
        <f aca="false">IF(INDEX(Pengaturan!$B$8:$B$27,B$4)="",0,COUNTIF(Data!$B858:$U858,INDEX(Pengaturan!$B$8:$B$27,B$4)))</f>
        <v>0</v>
      </c>
      <c r="C858" s="26" t="n">
        <f aca="false">IF(INDEX(Pengaturan!$B$8:$B$27,C$4)="",0,COUNTIF(Data!$B858:$U858,INDEX(Pengaturan!$B$8:$B$27,C$4)))</f>
        <v>0</v>
      </c>
      <c r="D858" s="26" t="n">
        <f aca="false">IF(INDEX(Pengaturan!$B$8:$B$27,D$4)="",0,COUNTIF(Data!$B858:$U858,INDEX(Pengaturan!$B$8:$B$27,D$4)))</f>
        <v>0</v>
      </c>
      <c r="E858" s="26" t="n">
        <f aca="false">IF(INDEX(Pengaturan!$B$8:$B$27,E$4)="",0,COUNTIF(Data!$B858:$U858,INDEX(Pengaturan!$B$8:$B$27,E$4)))</f>
        <v>0</v>
      </c>
      <c r="F858" s="26" t="n">
        <f aca="false">IF(INDEX(Pengaturan!$B$8:$B$27,F$4)="",0,COUNTIF(Data!$B858:$U858,INDEX(Pengaturan!$B$8:$B$27,F$4)))</f>
        <v>0</v>
      </c>
      <c r="G858" s="26" t="n">
        <f aca="false">IF(INDEX(Pengaturan!$B$8:$B$27,G$4)="",0,COUNTIF(Data!$B858:$U858,INDEX(Pengaturan!$B$8:$B$27,G$4)))</f>
        <v>0</v>
      </c>
      <c r="H858" s="26" t="n">
        <f aca="false">IF(INDEX(Pengaturan!$B$8:$B$27,H$4)="",0,COUNTIF(Data!$B858:$U858,INDEX(Pengaturan!$B$8:$B$27,H$4)))</f>
        <v>0</v>
      </c>
      <c r="I858" s="26" t="n">
        <f aca="false">IF(INDEX(Pengaturan!$B$8:$B$27,I$4)="",0,COUNTIF(Data!$B858:$U858,INDEX(Pengaturan!$B$8:$B$27,I$4)))</f>
        <v>0</v>
      </c>
      <c r="J858" s="26" t="n">
        <f aca="false">IF(INDEX(Pengaturan!$B$8:$B$27,J$4)="",0,COUNTIF(Data!$B858:$U858,INDEX(Pengaturan!$B$8:$B$27,J$4)))</f>
        <v>0</v>
      </c>
      <c r="K858" s="26" t="n">
        <f aca="false">IF(INDEX(Pengaturan!$B$8:$B$27,K$4)="",0,COUNTIF(Data!$B858:$U858,INDEX(Pengaturan!$B$8:$B$27,K$4)))</f>
        <v>0</v>
      </c>
      <c r="L858" s="26" t="n">
        <f aca="false">IF(INDEX(Pengaturan!$B$8:$B$27,L$4)="",0,COUNTIF(Data!$B858:$U858,INDEX(Pengaturan!$B$8:$B$27,L$4)))</f>
        <v>0</v>
      </c>
      <c r="M858" s="26" t="n">
        <f aca="false">IF(INDEX(Pengaturan!$B$8:$B$27,M$4)="",0,COUNTIF(Data!$B858:$U858,INDEX(Pengaturan!$B$8:$B$27,M$4)))</f>
        <v>0</v>
      </c>
      <c r="N858" s="26" t="n">
        <f aca="false">IF(INDEX(Pengaturan!$B$8:$B$27,N$4)="",0,COUNTIF(Data!$B858:$U858,INDEX(Pengaturan!$B$8:$B$27,N$4)))</f>
        <v>0</v>
      </c>
      <c r="O858" s="26" t="n">
        <f aca="false">IF(INDEX(Pengaturan!$B$8:$B$27,O$4)="",0,COUNTIF(Data!$B858:$U858,INDEX(Pengaturan!$B$8:$B$27,O$4)))</f>
        <v>0</v>
      </c>
      <c r="P858" s="26" t="n">
        <f aca="false">IF(INDEX(Pengaturan!$B$8:$B$27,P$4)="",0,COUNTIF(Data!$B858:$U858,INDEX(Pengaturan!$B$8:$B$27,P$4)))</f>
        <v>0</v>
      </c>
      <c r="Q858" s="26" t="n">
        <f aca="false">IF(INDEX(Pengaturan!$B$8:$B$27,Q$4)="",0,COUNTIF(Data!$B858:$U858,INDEX(Pengaturan!$B$8:$B$27,Q$4)))</f>
        <v>0</v>
      </c>
      <c r="R858" s="26" t="n">
        <f aca="false">IF(INDEX(Pengaturan!$B$8:$B$27,R$4)="",0,COUNTIF(Data!$B858:$U858,INDEX(Pengaturan!$B$8:$B$27,R$4)))</f>
        <v>0</v>
      </c>
      <c r="S858" s="26" t="n">
        <f aca="false">IF(INDEX(Pengaturan!$B$8:$B$27,S$4)="",0,COUNTIF(Data!$B858:$U858,INDEX(Pengaturan!$B$8:$B$27,S$4)))</f>
        <v>0</v>
      </c>
      <c r="T858" s="26" t="n">
        <f aca="false">IF(INDEX(Pengaturan!$B$8:$B$27,T$4)="",0,COUNTIF(Data!$B858:$U858,INDEX(Pengaturan!$B$8:$B$27,T$4)))</f>
        <v>0</v>
      </c>
      <c r="U858" s="26" t="n">
        <f aca="false">IF(INDEX(Pengaturan!$B$8:$B$27,U$4)="",0,COUNTIF(Data!$B858:$U858,INDEX(Pengaturan!$B$8:$B$27,U$4)))</f>
        <v>0</v>
      </c>
      <c r="V858" s="26" t="n">
        <f aca="false">COUNTA(Data!$B858:$U858)</f>
        <v>0</v>
      </c>
      <c r="W858" s="27" t="str">
        <f aca="false">IF(V858=0,"",IF(V858&lt;&gt;Hasil!$C$4,"Data kosong/tidak lengkap",IF(SUM(B858:U858)&lt;&gt;V858,"Kategori tidak dikenal","OK")))</f>
        <v/>
      </c>
      <c r="X858" s="26" t="n">
        <f aca="false">IF(OR(W858="",W858="OK"),0,1)</f>
        <v>0</v>
      </c>
    </row>
    <row r="859" customFormat="false" ht="15" hidden="false" customHeight="false" outlineLevel="0" collapsed="false">
      <c r="A859" s="26" t="n">
        <f aca="false">Data!A859</f>
        <v>854</v>
      </c>
      <c r="B859" s="26" t="n">
        <f aca="false">IF(INDEX(Pengaturan!$B$8:$B$27,B$4)="",0,COUNTIF(Data!$B859:$U859,INDEX(Pengaturan!$B$8:$B$27,B$4)))</f>
        <v>0</v>
      </c>
      <c r="C859" s="26" t="n">
        <f aca="false">IF(INDEX(Pengaturan!$B$8:$B$27,C$4)="",0,COUNTIF(Data!$B859:$U859,INDEX(Pengaturan!$B$8:$B$27,C$4)))</f>
        <v>0</v>
      </c>
      <c r="D859" s="26" t="n">
        <f aca="false">IF(INDEX(Pengaturan!$B$8:$B$27,D$4)="",0,COUNTIF(Data!$B859:$U859,INDEX(Pengaturan!$B$8:$B$27,D$4)))</f>
        <v>0</v>
      </c>
      <c r="E859" s="26" t="n">
        <f aca="false">IF(INDEX(Pengaturan!$B$8:$B$27,E$4)="",0,COUNTIF(Data!$B859:$U859,INDEX(Pengaturan!$B$8:$B$27,E$4)))</f>
        <v>0</v>
      </c>
      <c r="F859" s="26" t="n">
        <f aca="false">IF(INDEX(Pengaturan!$B$8:$B$27,F$4)="",0,COUNTIF(Data!$B859:$U859,INDEX(Pengaturan!$B$8:$B$27,F$4)))</f>
        <v>0</v>
      </c>
      <c r="G859" s="26" t="n">
        <f aca="false">IF(INDEX(Pengaturan!$B$8:$B$27,G$4)="",0,COUNTIF(Data!$B859:$U859,INDEX(Pengaturan!$B$8:$B$27,G$4)))</f>
        <v>0</v>
      </c>
      <c r="H859" s="26" t="n">
        <f aca="false">IF(INDEX(Pengaturan!$B$8:$B$27,H$4)="",0,COUNTIF(Data!$B859:$U859,INDEX(Pengaturan!$B$8:$B$27,H$4)))</f>
        <v>0</v>
      </c>
      <c r="I859" s="26" t="n">
        <f aca="false">IF(INDEX(Pengaturan!$B$8:$B$27,I$4)="",0,COUNTIF(Data!$B859:$U859,INDEX(Pengaturan!$B$8:$B$27,I$4)))</f>
        <v>0</v>
      </c>
      <c r="J859" s="26" t="n">
        <f aca="false">IF(INDEX(Pengaturan!$B$8:$B$27,J$4)="",0,COUNTIF(Data!$B859:$U859,INDEX(Pengaturan!$B$8:$B$27,J$4)))</f>
        <v>0</v>
      </c>
      <c r="K859" s="26" t="n">
        <f aca="false">IF(INDEX(Pengaturan!$B$8:$B$27,K$4)="",0,COUNTIF(Data!$B859:$U859,INDEX(Pengaturan!$B$8:$B$27,K$4)))</f>
        <v>0</v>
      </c>
      <c r="L859" s="26" t="n">
        <f aca="false">IF(INDEX(Pengaturan!$B$8:$B$27,L$4)="",0,COUNTIF(Data!$B859:$U859,INDEX(Pengaturan!$B$8:$B$27,L$4)))</f>
        <v>0</v>
      </c>
      <c r="M859" s="26" t="n">
        <f aca="false">IF(INDEX(Pengaturan!$B$8:$B$27,M$4)="",0,COUNTIF(Data!$B859:$U859,INDEX(Pengaturan!$B$8:$B$27,M$4)))</f>
        <v>0</v>
      </c>
      <c r="N859" s="26" t="n">
        <f aca="false">IF(INDEX(Pengaturan!$B$8:$B$27,N$4)="",0,COUNTIF(Data!$B859:$U859,INDEX(Pengaturan!$B$8:$B$27,N$4)))</f>
        <v>0</v>
      </c>
      <c r="O859" s="26" t="n">
        <f aca="false">IF(INDEX(Pengaturan!$B$8:$B$27,O$4)="",0,COUNTIF(Data!$B859:$U859,INDEX(Pengaturan!$B$8:$B$27,O$4)))</f>
        <v>0</v>
      </c>
      <c r="P859" s="26" t="n">
        <f aca="false">IF(INDEX(Pengaturan!$B$8:$B$27,P$4)="",0,COUNTIF(Data!$B859:$U859,INDEX(Pengaturan!$B$8:$B$27,P$4)))</f>
        <v>0</v>
      </c>
      <c r="Q859" s="26" t="n">
        <f aca="false">IF(INDEX(Pengaturan!$B$8:$B$27,Q$4)="",0,COUNTIF(Data!$B859:$U859,INDEX(Pengaturan!$B$8:$B$27,Q$4)))</f>
        <v>0</v>
      </c>
      <c r="R859" s="26" t="n">
        <f aca="false">IF(INDEX(Pengaturan!$B$8:$B$27,R$4)="",0,COUNTIF(Data!$B859:$U859,INDEX(Pengaturan!$B$8:$B$27,R$4)))</f>
        <v>0</v>
      </c>
      <c r="S859" s="26" t="n">
        <f aca="false">IF(INDEX(Pengaturan!$B$8:$B$27,S$4)="",0,COUNTIF(Data!$B859:$U859,INDEX(Pengaturan!$B$8:$B$27,S$4)))</f>
        <v>0</v>
      </c>
      <c r="T859" s="26" t="n">
        <f aca="false">IF(INDEX(Pengaturan!$B$8:$B$27,T$4)="",0,COUNTIF(Data!$B859:$U859,INDEX(Pengaturan!$B$8:$B$27,T$4)))</f>
        <v>0</v>
      </c>
      <c r="U859" s="26" t="n">
        <f aca="false">IF(INDEX(Pengaturan!$B$8:$B$27,U$4)="",0,COUNTIF(Data!$B859:$U859,INDEX(Pengaturan!$B$8:$B$27,U$4)))</f>
        <v>0</v>
      </c>
      <c r="V859" s="26" t="n">
        <f aca="false">COUNTA(Data!$B859:$U859)</f>
        <v>0</v>
      </c>
      <c r="W859" s="27" t="str">
        <f aca="false">IF(V859=0,"",IF(V859&lt;&gt;Hasil!$C$4,"Data kosong/tidak lengkap",IF(SUM(B859:U859)&lt;&gt;V859,"Kategori tidak dikenal","OK")))</f>
        <v/>
      </c>
      <c r="X859" s="26" t="n">
        <f aca="false">IF(OR(W859="",W859="OK"),0,1)</f>
        <v>0</v>
      </c>
    </row>
    <row r="860" customFormat="false" ht="15" hidden="false" customHeight="false" outlineLevel="0" collapsed="false">
      <c r="A860" s="26" t="n">
        <f aca="false">Data!A860</f>
        <v>855</v>
      </c>
      <c r="B860" s="26" t="n">
        <f aca="false">IF(INDEX(Pengaturan!$B$8:$B$27,B$4)="",0,COUNTIF(Data!$B860:$U860,INDEX(Pengaturan!$B$8:$B$27,B$4)))</f>
        <v>0</v>
      </c>
      <c r="C860" s="26" t="n">
        <f aca="false">IF(INDEX(Pengaturan!$B$8:$B$27,C$4)="",0,COUNTIF(Data!$B860:$U860,INDEX(Pengaturan!$B$8:$B$27,C$4)))</f>
        <v>0</v>
      </c>
      <c r="D860" s="26" t="n">
        <f aca="false">IF(INDEX(Pengaturan!$B$8:$B$27,D$4)="",0,COUNTIF(Data!$B860:$U860,INDEX(Pengaturan!$B$8:$B$27,D$4)))</f>
        <v>0</v>
      </c>
      <c r="E860" s="26" t="n">
        <f aca="false">IF(INDEX(Pengaturan!$B$8:$B$27,E$4)="",0,COUNTIF(Data!$B860:$U860,INDEX(Pengaturan!$B$8:$B$27,E$4)))</f>
        <v>0</v>
      </c>
      <c r="F860" s="26" t="n">
        <f aca="false">IF(INDEX(Pengaturan!$B$8:$B$27,F$4)="",0,COUNTIF(Data!$B860:$U860,INDEX(Pengaturan!$B$8:$B$27,F$4)))</f>
        <v>0</v>
      </c>
      <c r="G860" s="26" t="n">
        <f aca="false">IF(INDEX(Pengaturan!$B$8:$B$27,G$4)="",0,COUNTIF(Data!$B860:$U860,INDEX(Pengaturan!$B$8:$B$27,G$4)))</f>
        <v>0</v>
      </c>
      <c r="H860" s="26" t="n">
        <f aca="false">IF(INDEX(Pengaturan!$B$8:$B$27,H$4)="",0,COUNTIF(Data!$B860:$U860,INDEX(Pengaturan!$B$8:$B$27,H$4)))</f>
        <v>0</v>
      </c>
      <c r="I860" s="26" t="n">
        <f aca="false">IF(INDEX(Pengaturan!$B$8:$B$27,I$4)="",0,COUNTIF(Data!$B860:$U860,INDEX(Pengaturan!$B$8:$B$27,I$4)))</f>
        <v>0</v>
      </c>
      <c r="J860" s="26" t="n">
        <f aca="false">IF(INDEX(Pengaturan!$B$8:$B$27,J$4)="",0,COUNTIF(Data!$B860:$U860,INDEX(Pengaturan!$B$8:$B$27,J$4)))</f>
        <v>0</v>
      </c>
      <c r="K860" s="26" t="n">
        <f aca="false">IF(INDEX(Pengaturan!$B$8:$B$27,K$4)="",0,COUNTIF(Data!$B860:$U860,INDEX(Pengaturan!$B$8:$B$27,K$4)))</f>
        <v>0</v>
      </c>
      <c r="L860" s="26" t="n">
        <f aca="false">IF(INDEX(Pengaturan!$B$8:$B$27,L$4)="",0,COUNTIF(Data!$B860:$U860,INDEX(Pengaturan!$B$8:$B$27,L$4)))</f>
        <v>0</v>
      </c>
      <c r="M860" s="26" t="n">
        <f aca="false">IF(INDEX(Pengaturan!$B$8:$B$27,M$4)="",0,COUNTIF(Data!$B860:$U860,INDEX(Pengaturan!$B$8:$B$27,M$4)))</f>
        <v>0</v>
      </c>
      <c r="N860" s="26" t="n">
        <f aca="false">IF(INDEX(Pengaturan!$B$8:$B$27,N$4)="",0,COUNTIF(Data!$B860:$U860,INDEX(Pengaturan!$B$8:$B$27,N$4)))</f>
        <v>0</v>
      </c>
      <c r="O860" s="26" t="n">
        <f aca="false">IF(INDEX(Pengaturan!$B$8:$B$27,O$4)="",0,COUNTIF(Data!$B860:$U860,INDEX(Pengaturan!$B$8:$B$27,O$4)))</f>
        <v>0</v>
      </c>
      <c r="P860" s="26" t="n">
        <f aca="false">IF(INDEX(Pengaturan!$B$8:$B$27,P$4)="",0,COUNTIF(Data!$B860:$U860,INDEX(Pengaturan!$B$8:$B$27,P$4)))</f>
        <v>0</v>
      </c>
      <c r="Q860" s="26" t="n">
        <f aca="false">IF(INDEX(Pengaturan!$B$8:$B$27,Q$4)="",0,COUNTIF(Data!$B860:$U860,INDEX(Pengaturan!$B$8:$B$27,Q$4)))</f>
        <v>0</v>
      </c>
      <c r="R860" s="26" t="n">
        <f aca="false">IF(INDEX(Pengaturan!$B$8:$B$27,R$4)="",0,COUNTIF(Data!$B860:$U860,INDEX(Pengaturan!$B$8:$B$27,R$4)))</f>
        <v>0</v>
      </c>
      <c r="S860" s="26" t="n">
        <f aca="false">IF(INDEX(Pengaturan!$B$8:$B$27,S$4)="",0,COUNTIF(Data!$B860:$U860,INDEX(Pengaturan!$B$8:$B$27,S$4)))</f>
        <v>0</v>
      </c>
      <c r="T860" s="26" t="n">
        <f aca="false">IF(INDEX(Pengaturan!$B$8:$B$27,T$4)="",0,COUNTIF(Data!$B860:$U860,INDEX(Pengaturan!$B$8:$B$27,T$4)))</f>
        <v>0</v>
      </c>
      <c r="U860" s="26" t="n">
        <f aca="false">IF(INDEX(Pengaturan!$B$8:$B$27,U$4)="",0,COUNTIF(Data!$B860:$U860,INDEX(Pengaturan!$B$8:$B$27,U$4)))</f>
        <v>0</v>
      </c>
      <c r="V860" s="26" t="n">
        <f aca="false">COUNTA(Data!$B860:$U860)</f>
        <v>0</v>
      </c>
      <c r="W860" s="27" t="str">
        <f aca="false">IF(V860=0,"",IF(V860&lt;&gt;Hasil!$C$4,"Data kosong/tidak lengkap",IF(SUM(B860:U860)&lt;&gt;V860,"Kategori tidak dikenal","OK")))</f>
        <v/>
      </c>
      <c r="X860" s="26" t="n">
        <f aca="false">IF(OR(W860="",W860="OK"),0,1)</f>
        <v>0</v>
      </c>
    </row>
    <row r="861" customFormat="false" ht="15" hidden="false" customHeight="false" outlineLevel="0" collapsed="false">
      <c r="A861" s="26" t="n">
        <f aca="false">Data!A861</f>
        <v>856</v>
      </c>
      <c r="B861" s="26" t="n">
        <f aca="false">IF(INDEX(Pengaturan!$B$8:$B$27,B$4)="",0,COUNTIF(Data!$B861:$U861,INDEX(Pengaturan!$B$8:$B$27,B$4)))</f>
        <v>0</v>
      </c>
      <c r="C861" s="26" t="n">
        <f aca="false">IF(INDEX(Pengaturan!$B$8:$B$27,C$4)="",0,COUNTIF(Data!$B861:$U861,INDEX(Pengaturan!$B$8:$B$27,C$4)))</f>
        <v>0</v>
      </c>
      <c r="D861" s="26" t="n">
        <f aca="false">IF(INDEX(Pengaturan!$B$8:$B$27,D$4)="",0,COUNTIF(Data!$B861:$U861,INDEX(Pengaturan!$B$8:$B$27,D$4)))</f>
        <v>0</v>
      </c>
      <c r="E861" s="26" t="n">
        <f aca="false">IF(INDEX(Pengaturan!$B$8:$B$27,E$4)="",0,COUNTIF(Data!$B861:$U861,INDEX(Pengaturan!$B$8:$B$27,E$4)))</f>
        <v>0</v>
      </c>
      <c r="F861" s="26" t="n">
        <f aca="false">IF(INDEX(Pengaturan!$B$8:$B$27,F$4)="",0,COUNTIF(Data!$B861:$U861,INDEX(Pengaturan!$B$8:$B$27,F$4)))</f>
        <v>0</v>
      </c>
      <c r="G861" s="26" t="n">
        <f aca="false">IF(INDEX(Pengaturan!$B$8:$B$27,G$4)="",0,COUNTIF(Data!$B861:$U861,INDEX(Pengaturan!$B$8:$B$27,G$4)))</f>
        <v>0</v>
      </c>
      <c r="H861" s="26" t="n">
        <f aca="false">IF(INDEX(Pengaturan!$B$8:$B$27,H$4)="",0,COUNTIF(Data!$B861:$U861,INDEX(Pengaturan!$B$8:$B$27,H$4)))</f>
        <v>0</v>
      </c>
      <c r="I861" s="26" t="n">
        <f aca="false">IF(INDEX(Pengaturan!$B$8:$B$27,I$4)="",0,COUNTIF(Data!$B861:$U861,INDEX(Pengaturan!$B$8:$B$27,I$4)))</f>
        <v>0</v>
      </c>
      <c r="J861" s="26" t="n">
        <f aca="false">IF(INDEX(Pengaturan!$B$8:$B$27,J$4)="",0,COUNTIF(Data!$B861:$U861,INDEX(Pengaturan!$B$8:$B$27,J$4)))</f>
        <v>0</v>
      </c>
      <c r="K861" s="26" t="n">
        <f aca="false">IF(INDEX(Pengaturan!$B$8:$B$27,K$4)="",0,COUNTIF(Data!$B861:$U861,INDEX(Pengaturan!$B$8:$B$27,K$4)))</f>
        <v>0</v>
      </c>
      <c r="L861" s="26" t="n">
        <f aca="false">IF(INDEX(Pengaturan!$B$8:$B$27,L$4)="",0,COUNTIF(Data!$B861:$U861,INDEX(Pengaturan!$B$8:$B$27,L$4)))</f>
        <v>0</v>
      </c>
      <c r="M861" s="26" t="n">
        <f aca="false">IF(INDEX(Pengaturan!$B$8:$B$27,M$4)="",0,COUNTIF(Data!$B861:$U861,INDEX(Pengaturan!$B$8:$B$27,M$4)))</f>
        <v>0</v>
      </c>
      <c r="N861" s="26" t="n">
        <f aca="false">IF(INDEX(Pengaturan!$B$8:$B$27,N$4)="",0,COUNTIF(Data!$B861:$U861,INDEX(Pengaturan!$B$8:$B$27,N$4)))</f>
        <v>0</v>
      </c>
      <c r="O861" s="26" t="n">
        <f aca="false">IF(INDEX(Pengaturan!$B$8:$B$27,O$4)="",0,COUNTIF(Data!$B861:$U861,INDEX(Pengaturan!$B$8:$B$27,O$4)))</f>
        <v>0</v>
      </c>
      <c r="P861" s="26" t="n">
        <f aca="false">IF(INDEX(Pengaturan!$B$8:$B$27,P$4)="",0,COUNTIF(Data!$B861:$U861,INDEX(Pengaturan!$B$8:$B$27,P$4)))</f>
        <v>0</v>
      </c>
      <c r="Q861" s="26" t="n">
        <f aca="false">IF(INDEX(Pengaturan!$B$8:$B$27,Q$4)="",0,COUNTIF(Data!$B861:$U861,INDEX(Pengaturan!$B$8:$B$27,Q$4)))</f>
        <v>0</v>
      </c>
      <c r="R861" s="26" t="n">
        <f aca="false">IF(INDEX(Pengaturan!$B$8:$B$27,R$4)="",0,COUNTIF(Data!$B861:$U861,INDEX(Pengaturan!$B$8:$B$27,R$4)))</f>
        <v>0</v>
      </c>
      <c r="S861" s="26" t="n">
        <f aca="false">IF(INDEX(Pengaturan!$B$8:$B$27,S$4)="",0,COUNTIF(Data!$B861:$U861,INDEX(Pengaturan!$B$8:$B$27,S$4)))</f>
        <v>0</v>
      </c>
      <c r="T861" s="26" t="n">
        <f aca="false">IF(INDEX(Pengaturan!$B$8:$B$27,T$4)="",0,COUNTIF(Data!$B861:$U861,INDEX(Pengaturan!$B$8:$B$27,T$4)))</f>
        <v>0</v>
      </c>
      <c r="U861" s="26" t="n">
        <f aca="false">IF(INDEX(Pengaturan!$B$8:$B$27,U$4)="",0,COUNTIF(Data!$B861:$U861,INDEX(Pengaturan!$B$8:$B$27,U$4)))</f>
        <v>0</v>
      </c>
      <c r="V861" s="26" t="n">
        <f aca="false">COUNTA(Data!$B861:$U861)</f>
        <v>0</v>
      </c>
      <c r="W861" s="27" t="str">
        <f aca="false">IF(V861=0,"",IF(V861&lt;&gt;Hasil!$C$4,"Data kosong/tidak lengkap",IF(SUM(B861:U861)&lt;&gt;V861,"Kategori tidak dikenal","OK")))</f>
        <v/>
      </c>
      <c r="X861" s="26" t="n">
        <f aca="false">IF(OR(W861="",W861="OK"),0,1)</f>
        <v>0</v>
      </c>
    </row>
    <row r="862" customFormat="false" ht="15" hidden="false" customHeight="false" outlineLevel="0" collapsed="false">
      <c r="A862" s="26" t="n">
        <f aca="false">Data!A862</f>
        <v>857</v>
      </c>
      <c r="B862" s="26" t="n">
        <f aca="false">IF(INDEX(Pengaturan!$B$8:$B$27,B$4)="",0,COUNTIF(Data!$B862:$U862,INDEX(Pengaturan!$B$8:$B$27,B$4)))</f>
        <v>0</v>
      </c>
      <c r="C862" s="26" t="n">
        <f aca="false">IF(INDEX(Pengaturan!$B$8:$B$27,C$4)="",0,COUNTIF(Data!$B862:$U862,INDEX(Pengaturan!$B$8:$B$27,C$4)))</f>
        <v>0</v>
      </c>
      <c r="D862" s="26" t="n">
        <f aca="false">IF(INDEX(Pengaturan!$B$8:$B$27,D$4)="",0,COUNTIF(Data!$B862:$U862,INDEX(Pengaturan!$B$8:$B$27,D$4)))</f>
        <v>0</v>
      </c>
      <c r="E862" s="26" t="n">
        <f aca="false">IF(INDEX(Pengaturan!$B$8:$B$27,E$4)="",0,COUNTIF(Data!$B862:$U862,INDEX(Pengaturan!$B$8:$B$27,E$4)))</f>
        <v>0</v>
      </c>
      <c r="F862" s="26" t="n">
        <f aca="false">IF(INDEX(Pengaturan!$B$8:$B$27,F$4)="",0,COUNTIF(Data!$B862:$U862,INDEX(Pengaturan!$B$8:$B$27,F$4)))</f>
        <v>0</v>
      </c>
      <c r="G862" s="26" t="n">
        <f aca="false">IF(INDEX(Pengaturan!$B$8:$B$27,G$4)="",0,COUNTIF(Data!$B862:$U862,INDEX(Pengaturan!$B$8:$B$27,G$4)))</f>
        <v>0</v>
      </c>
      <c r="H862" s="26" t="n">
        <f aca="false">IF(INDEX(Pengaturan!$B$8:$B$27,H$4)="",0,COUNTIF(Data!$B862:$U862,INDEX(Pengaturan!$B$8:$B$27,H$4)))</f>
        <v>0</v>
      </c>
      <c r="I862" s="26" t="n">
        <f aca="false">IF(INDEX(Pengaturan!$B$8:$B$27,I$4)="",0,COUNTIF(Data!$B862:$U862,INDEX(Pengaturan!$B$8:$B$27,I$4)))</f>
        <v>0</v>
      </c>
      <c r="J862" s="26" t="n">
        <f aca="false">IF(INDEX(Pengaturan!$B$8:$B$27,J$4)="",0,COUNTIF(Data!$B862:$U862,INDEX(Pengaturan!$B$8:$B$27,J$4)))</f>
        <v>0</v>
      </c>
      <c r="K862" s="26" t="n">
        <f aca="false">IF(INDEX(Pengaturan!$B$8:$B$27,K$4)="",0,COUNTIF(Data!$B862:$U862,INDEX(Pengaturan!$B$8:$B$27,K$4)))</f>
        <v>0</v>
      </c>
      <c r="L862" s="26" t="n">
        <f aca="false">IF(INDEX(Pengaturan!$B$8:$B$27,L$4)="",0,COUNTIF(Data!$B862:$U862,INDEX(Pengaturan!$B$8:$B$27,L$4)))</f>
        <v>0</v>
      </c>
      <c r="M862" s="26" t="n">
        <f aca="false">IF(INDEX(Pengaturan!$B$8:$B$27,M$4)="",0,COUNTIF(Data!$B862:$U862,INDEX(Pengaturan!$B$8:$B$27,M$4)))</f>
        <v>0</v>
      </c>
      <c r="N862" s="26" t="n">
        <f aca="false">IF(INDEX(Pengaturan!$B$8:$B$27,N$4)="",0,COUNTIF(Data!$B862:$U862,INDEX(Pengaturan!$B$8:$B$27,N$4)))</f>
        <v>0</v>
      </c>
      <c r="O862" s="26" t="n">
        <f aca="false">IF(INDEX(Pengaturan!$B$8:$B$27,O$4)="",0,COUNTIF(Data!$B862:$U862,INDEX(Pengaturan!$B$8:$B$27,O$4)))</f>
        <v>0</v>
      </c>
      <c r="P862" s="26" t="n">
        <f aca="false">IF(INDEX(Pengaturan!$B$8:$B$27,P$4)="",0,COUNTIF(Data!$B862:$U862,INDEX(Pengaturan!$B$8:$B$27,P$4)))</f>
        <v>0</v>
      </c>
      <c r="Q862" s="26" t="n">
        <f aca="false">IF(INDEX(Pengaturan!$B$8:$B$27,Q$4)="",0,COUNTIF(Data!$B862:$U862,INDEX(Pengaturan!$B$8:$B$27,Q$4)))</f>
        <v>0</v>
      </c>
      <c r="R862" s="26" t="n">
        <f aca="false">IF(INDEX(Pengaturan!$B$8:$B$27,R$4)="",0,COUNTIF(Data!$B862:$U862,INDEX(Pengaturan!$B$8:$B$27,R$4)))</f>
        <v>0</v>
      </c>
      <c r="S862" s="26" t="n">
        <f aca="false">IF(INDEX(Pengaturan!$B$8:$B$27,S$4)="",0,COUNTIF(Data!$B862:$U862,INDEX(Pengaturan!$B$8:$B$27,S$4)))</f>
        <v>0</v>
      </c>
      <c r="T862" s="26" t="n">
        <f aca="false">IF(INDEX(Pengaturan!$B$8:$B$27,T$4)="",0,COUNTIF(Data!$B862:$U862,INDEX(Pengaturan!$B$8:$B$27,T$4)))</f>
        <v>0</v>
      </c>
      <c r="U862" s="26" t="n">
        <f aca="false">IF(INDEX(Pengaturan!$B$8:$B$27,U$4)="",0,COUNTIF(Data!$B862:$U862,INDEX(Pengaturan!$B$8:$B$27,U$4)))</f>
        <v>0</v>
      </c>
      <c r="V862" s="26" t="n">
        <f aca="false">COUNTA(Data!$B862:$U862)</f>
        <v>0</v>
      </c>
      <c r="W862" s="27" t="str">
        <f aca="false">IF(V862=0,"",IF(V862&lt;&gt;Hasil!$C$4,"Data kosong/tidak lengkap",IF(SUM(B862:U862)&lt;&gt;V862,"Kategori tidak dikenal","OK")))</f>
        <v/>
      </c>
      <c r="X862" s="26" t="n">
        <f aca="false">IF(OR(W862="",W862="OK"),0,1)</f>
        <v>0</v>
      </c>
    </row>
    <row r="863" customFormat="false" ht="15" hidden="false" customHeight="false" outlineLevel="0" collapsed="false">
      <c r="A863" s="26" t="n">
        <f aca="false">Data!A863</f>
        <v>858</v>
      </c>
      <c r="B863" s="26" t="n">
        <f aca="false">IF(INDEX(Pengaturan!$B$8:$B$27,B$4)="",0,COUNTIF(Data!$B863:$U863,INDEX(Pengaturan!$B$8:$B$27,B$4)))</f>
        <v>0</v>
      </c>
      <c r="C863" s="26" t="n">
        <f aca="false">IF(INDEX(Pengaturan!$B$8:$B$27,C$4)="",0,COUNTIF(Data!$B863:$U863,INDEX(Pengaturan!$B$8:$B$27,C$4)))</f>
        <v>0</v>
      </c>
      <c r="D863" s="26" t="n">
        <f aca="false">IF(INDEX(Pengaturan!$B$8:$B$27,D$4)="",0,COUNTIF(Data!$B863:$U863,INDEX(Pengaturan!$B$8:$B$27,D$4)))</f>
        <v>0</v>
      </c>
      <c r="E863" s="26" t="n">
        <f aca="false">IF(INDEX(Pengaturan!$B$8:$B$27,E$4)="",0,COUNTIF(Data!$B863:$U863,INDEX(Pengaturan!$B$8:$B$27,E$4)))</f>
        <v>0</v>
      </c>
      <c r="F863" s="26" t="n">
        <f aca="false">IF(INDEX(Pengaturan!$B$8:$B$27,F$4)="",0,COUNTIF(Data!$B863:$U863,INDEX(Pengaturan!$B$8:$B$27,F$4)))</f>
        <v>0</v>
      </c>
      <c r="G863" s="26" t="n">
        <f aca="false">IF(INDEX(Pengaturan!$B$8:$B$27,G$4)="",0,COUNTIF(Data!$B863:$U863,INDEX(Pengaturan!$B$8:$B$27,G$4)))</f>
        <v>0</v>
      </c>
      <c r="H863" s="26" t="n">
        <f aca="false">IF(INDEX(Pengaturan!$B$8:$B$27,H$4)="",0,COUNTIF(Data!$B863:$U863,INDEX(Pengaturan!$B$8:$B$27,H$4)))</f>
        <v>0</v>
      </c>
      <c r="I863" s="26" t="n">
        <f aca="false">IF(INDEX(Pengaturan!$B$8:$B$27,I$4)="",0,COUNTIF(Data!$B863:$U863,INDEX(Pengaturan!$B$8:$B$27,I$4)))</f>
        <v>0</v>
      </c>
      <c r="J863" s="26" t="n">
        <f aca="false">IF(INDEX(Pengaturan!$B$8:$B$27,J$4)="",0,COUNTIF(Data!$B863:$U863,INDEX(Pengaturan!$B$8:$B$27,J$4)))</f>
        <v>0</v>
      </c>
      <c r="K863" s="26" t="n">
        <f aca="false">IF(INDEX(Pengaturan!$B$8:$B$27,K$4)="",0,COUNTIF(Data!$B863:$U863,INDEX(Pengaturan!$B$8:$B$27,K$4)))</f>
        <v>0</v>
      </c>
      <c r="L863" s="26" t="n">
        <f aca="false">IF(INDEX(Pengaturan!$B$8:$B$27,L$4)="",0,COUNTIF(Data!$B863:$U863,INDEX(Pengaturan!$B$8:$B$27,L$4)))</f>
        <v>0</v>
      </c>
      <c r="M863" s="26" t="n">
        <f aca="false">IF(INDEX(Pengaturan!$B$8:$B$27,M$4)="",0,COUNTIF(Data!$B863:$U863,INDEX(Pengaturan!$B$8:$B$27,M$4)))</f>
        <v>0</v>
      </c>
      <c r="N863" s="26" t="n">
        <f aca="false">IF(INDEX(Pengaturan!$B$8:$B$27,N$4)="",0,COUNTIF(Data!$B863:$U863,INDEX(Pengaturan!$B$8:$B$27,N$4)))</f>
        <v>0</v>
      </c>
      <c r="O863" s="26" t="n">
        <f aca="false">IF(INDEX(Pengaturan!$B$8:$B$27,O$4)="",0,COUNTIF(Data!$B863:$U863,INDEX(Pengaturan!$B$8:$B$27,O$4)))</f>
        <v>0</v>
      </c>
      <c r="P863" s="26" t="n">
        <f aca="false">IF(INDEX(Pengaturan!$B$8:$B$27,P$4)="",0,COUNTIF(Data!$B863:$U863,INDEX(Pengaturan!$B$8:$B$27,P$4)))</f>
        <v>0</v>
      </c>
      <c r="Q863" s="26" t="n">
        <f aca="false">IF(INDEX(Pengaturan!$B$8:$B$27,Q$4)="",0,COUNTIF(Data!$B863:$U863,INDEX(Pengaturan!$B$8:$B$27,Q$4)))</f>
        <v>0</v>
      </c>
      <c r="R863" s="26" t="n">
        <f aca="false">IF(INDEX(Pengaturan!$B$8:$B$27,R$4)="",0,COUNTIF(Data!$B863:$U863,INDEX(Pengaturan!$B$8:$B$27,R$4)))</f>
        <v>0</v>
      </c>
      <c r="S863" s="26" t="n">
        <f aca="false">IF(INDEX(Pengaturan!$B$8:$B$27,S$4)="",0,COUNTIF(Data!$B863:$U863,INDEX(Pengaturan!$B$8:$B$27,S$4)))</f>
        <v>0</v>
      </c>
      <c r="T863" s="26" t="n">
        <f aca="false">IF(INDEX(Pengaturan!$B$8:$B$27,T$4)="",0,COUNTIF(Data!$B863:$U863,INDEX(Pengaturan!$B$8:$B$27,T$4)))</f>
        <v>0</v>
      </c>
      <c r="U863" s="26" t="n">
        <f aca="false">IF(INDEX(Pengaturan!$B$8:$B$27,U$4)="",0,COUNTIF(Data!$B863:$U863,INDEX(Pengaturan!$B$8:$B$27,U$4)))</f>
        <v>0</v>
      </c>
      <c r="V863" s="26" t="n">
        <f aca="false">COUNTA(Data!$B863:$U863)</f>
        <v>0</v>
      </c>
      <c r="W863" s="27" t="str">
        <f aca="false">IF(V863=0,"",IF(V863&lt;&gt;Hasil!$C$4,"Data kosong/tidak lengkap",IF(SUM(B863:U863)&lt;&gt;V863,"Kategori tidak dikenal","OK")))</f>
        <v/>
      </c>
      <c r="X863" s="26" t="n">
        <f aca="false">IF(OR(W863="",W863="OK"),0,1)</f>
        <v>0</v>
      </c>
    </row>
    <row r="864" customFormat="false" ht="15" hidden="false" customHeight="false" outlineLevel="0" collapsed="false">
      <c r="A864" s="26" t="n">
        <f aca="false">Data!A864</f>
        <v>859</v>
      </c>
      <c r="B864" s="26" t="n">
        <f aca="false">IF(INDEX(Pengaturan!$B$8:$B$27,B$4)="",0,COUNTIF(Data!$B864:$U864,INDEX(Pengaturan!$B$8:$B$27,B$4)))</f>
        <v>0</v>
      </c>
      <c r="C864" s="26" t="n">
        <f aca="false">IF(INDEX(Pengaturan!$B$8:$B$27,C$4)="",0,COUNTIF(Data!$B864:$U864,INDEX(Pengaturan!$B$8:$B$27,C$4)))</f>
        <v>0</v>
      </c>
      <c r="D864" s="26" t="n">
        <f aca="false">IF(INDEX(Pengaturan!$B$8:$B$27,D$4)="",0,COUNTIF(Data!$B864:$U864,INDEX(Pengaturan!$B$8:$B$27,D$4)))</f>
        <v>0</v>
      </c>
      <c r="E864" s="26" t="n">
        <f aca="false">IF(INDEX(Pengaturan!$B$8:$B$27,E$4)="",0,COUNTIF(Data!$B864:$U864,INDEX(Pengaturan!$B$8:$B$27,E$4)))</f>
        <v>0</v>
      </c>
      <c r="F864" s="26" t="n">
        <f aca="false">IF(INDEX(Pengaturan!$B$8:$B$27,F$4)="",0,COUNTIF(Data!$B864:$U864,INDEX(Pengaturan!$B$8:$B$27,F$4)))</f>
        <v>0</v>
      </c>
      <c r="G864" s="26" t="n">
        <f aca="false">IF(INDEX(Pengaturan!$B$8:$B$27,G$4)="",0,COUNTIF(Data!$B864:$U864,INDEX(Pengaturan!$B$8:$B$27,G$4)))</f>
        <v>0</v>
      </c>
      <c r="H864" s="26" t="n">
        <f aca="false">IF(INDEX(Pengaturan!$B$8:$B$27,H$4)="",0,COUNTIF(Data!$B864:$U864,INDEX(Pengaturan!$B$8:$B$27,H$4)))</f>
        <v>0</v>
      </c>
      <c r="I864" s="26" t="n">
        <f aca="false">IF(INDEX(Pengaturan!$B$8:$B$27,I$4)="",0,COUNTIF(Data!$B864:$U864,INDEX(Pengaturan!$B$8:$B$27,I$4)))</f>
        <v>0</v>
      </c>
      <c r="J864" s="26" t="n">
        <f aca="false">IF(INDEX(Pengaturan!$B$8:$B$27,J$4)="",0,COUNTIF(Data!$B864:$U864,INDEX(Pengaturan!$B$8:$B$27,J$4)))</f>
        <v>0</v>
      </c>
      <c r="K864" s="26" t="n">
        <f aca="false">IF(INDEX(Pengaturan!$B$8:$B$27,K$4)="",0,COUNTIF(Data!$B864:$U864,INDEX(Pengaturan!$B$8:$B$27,K$4)))</f>
        <v>0</v>
      </c>
      <c r="L864" s="26" t="n">
        <f aca="false">IF(INDEX(Pengaturan!$B$8:$B$27,L$4)="",0,COUNTIF(Data!$B864:$U864,INDEX(Pengaturan!$B$8:$B$27,L$4)))</f>
        <v>0</v>
      </c>
      <c r="M864" s="26" t="n">
        <f aca="false">IF(INDEX(Pengaturan!$B$8:$B$27,M$4)="",0,COUNTIF(Data!$B864:$U864,INDEX(Pengaturan!$B$8:$B$27,M$4)))</f>
        <v>0</v>
      </c>
      <c r="N864" s="26" t="n">
        <f aca="false">IF(INDEX(Pengaturan!$B$8:$B$27,N$4)="",0,COUNTIF(Data!$B864:$U864,INDEX(Pengaturan!$B$8:$B$27,N$4)))</f>
        <v>0</v>
      </c>
      <c r="O864" s="26" t="n">
        <f aca="false">IF(INDEX(Pengaturan!$B$8:$B$27,O$4)="",0,COUNTIF(Data!$B864:$U864,INDEX(Pengaturan!$B$8:$B$27,O$4)))</f>
        <v>0</v>
      </c>
      <c r="P864" s="26" t="n">
        <f aca="false">IF(INDEX(Pengaturan!$B$8:$B$27,P$4)="",0,COUNTIF(Data!$B864:$U864,INDEX(Pengaturan!$B$8:$B$27,P$4)))</f>
        <v>0</v>
      </c>
      <c r="Q864" s="26" t="n">
        <f aca="false">IF(INDEX(Pengaturan!$B$8:$B$27,Q$4)="",0,COUNTIF(Data!$B864:$U864,INDEX(Pengaturan!$B$8:$B$27,Q$4)))</f>
        <v>0</v>
      </c>
      <c r="R864" s="26" t="n">
        <f aca="false">IF(INDEX(Pengaturan!$B$8:$B$27,R$4)="",0,COUNTIF(Data!$B864:$U864,INDEX(Pengaturan!$B$8:$B$27,R$4)))</f>
        <v>0</v>
      </c>
      <c r="S864" s="26" t="n">
        <f aca="false">IF(INDEX(Pengaturan!$B$8:$B$27,S$4)="",0,COUNTIF(Data!$B864:$U864,INDEX(Pengaturan!$B$8:$B$27,S$4)))</f>
        <v>0</v>
      </c>
      <c r="T864" s="26" t="n">
        <f aca="false">IF(INDEX(Pengaturan!$B$8:$B$27,T$4)="",0,COUNTIF(Data!$B864:$U864,INDEX(Pengaturan!$B$8:$B$27,T$4)))</f>
        <v>0</v>
      </c>
      <c r="U864" s="26" t="n">
        <f aca="false">IF(INDEX(Pengaturan!$B$8:$B$27,U$4)="",0,COUNTIF(Data!$B864:$U864,INDEX(Pengaturan!$B$8:$B$27,U$4)))</f>
        <v>0</v>
      </c>
      <c r="V864" s="26" t="n">
        <f aca="false">COUNTA(Data!$B864:$U864)</f>
        <v>0</v>
      </c>
      <c r="W864" s="27" t="str">
        <f aca="false">IF(V864=0,"",IF(V864&lt;&gt;Hasil!$C$4,"Data kosong/tidak lengkap",IF(SUM(B864:U864)&lt;&gt;V864,"Kategori tidak dikenal","OK")))</f>
        <v/>
      </c>
      <c r="X864" s="26" t="n">
        <f aca="false">IF(OR(W864="",W864="OK"),0,1)</f>
        <v>0</v>
      </c>
    </row>
    <row r="865" customFormat="false" ht="15" hidden="false" customHeight="false" outlineLevel="0" collapsed="false">
      <c r="A865" s="26" t="n">
        <f aca="false">Data!A865</f>
        <v>860</v>
      </c>
      <c r="B865" s="26" t="n">
        <f aca="false">IF(INDEX(Pengaturan!$B$8:$B$27,B$4)="",0,COUNTIF(Data!$B865:$U865,INDEX(Pengaturan!$B$8:$B$27,B$4)))</f>
        <v>0</v>
      </c>
      <c r="C865" s="26" t="n">
        <f aca="false">IF(INDEX(Pengaturan!$B$8:$B$27,C$4)="",0,COUNTIF(Data!$B865:$U865,INDEX(Pengaturan!$B$8:$B$27,C$4)))</f>
        <v>0</v>
      </c>
      <c r="D865" s="26" t="n">
        <f aca="false">IF(INDEX(Pengaturan!$B$8:$B$27,D$4)="",0,COUNTIF(Data!$B865:$U865,INDEX(Pengaturan!$B$8:$B$27,D$4)))</f>
        <v>0</v>
      </c>
      <c r="E865" s="26" t="n">
        <f aca="false">IF(INDEX(Pengaturan!$B$8:$B$27,E$4)="",0,COUNTIF(Data!$B865:$U865,INDEX(Pengaturan!$B$8:$B$27,E$4)))</f>
        <v>0</v>
      </c>
      <c r="F865" s="26" t="n">
        <f aca="false">IF(INDEX(Pengaturan!$B$8:$B$27,F$4)="",0,COUNTIF(Data!$B865:$U865,INDEX(Pengaturan!$B$8:$B$27,F$4)))</f>
        <v>0</v>
      </c>
      <c r="G865" s="26" t="n">
        <f aca="false">IF(INDEX(Pengaturan!$B$8:$B$27,G$4)="",0,COUNTIF(Data!$B865:$U865,INDEX(Pengaturan!$B$8:$B$27,G$4)))</f>
        <v>0</v>
      </c>
      <c r="H865" s="26" t="n">
        <f aca="false">IF(INDEX(Pengaturan!$B$8:$B$27,H$4)="",0,COUNTIF(Data!$B865:$U865,INDEX(Pengaturan!$B$8:$B$27,H$4)))</f>
        <v>0</v>
      </c>
      <c r="I865" s="26" t="n">
        <f aca="false">IF(INDEX(Pengaturan!$B$8:$B$27,I$4)="",0,COUNTIF(Data!$B865:$U865,INDEX(Pengaturan!$B$8:$B$27,I$4)))</f>
        <v>0</v>
      </c>
      <c r="J865" s="26" t="n">
        <f aca="false">IF(INDEX(Pengaturan!$B$8:$B$27,J$4)="",0,COUNTIF(Data!$B865:$U865,INDEX(Pengaturan!$B$8:$B$27,J$4)))</f>
        <v>0</v>
      </c>
      <c r="K865" s="26" t="n">
        <f aca="false">IF(INDEX(Pengaturan!$B$8:$B$27,K$4)="",0,COUNTIF(Data!$B865:$U865,INDEX(Pengaturan!$B$8:$B$27,K$4)))</f>
        <v>0</v>
      </c>
      <c r="L865" s="26" t="n">
        <f aca="false">IF(INDEX(Pengaturan!$B$8:$B$27,L$4)="",0,COUNTIF(Data!$B865:$U865,INDEX(Pengaturan!$B$8:$B$27,L$4)))</f>
        <v>0</v>
      </c>
      <c r="M865" s="26" t="n">
        <f aca="false">IF(INDEX(Pengaturan!$B$8:$B$27,M$4)="",0,COUNTIF(Data!$B865:$U865,INDEX(Pengaturan!$B$8:$B$27,M$4)))</f>
        <v>0</v>
      </c>
      <c r="N865" s="26" t="n">
        <f aca="false">IF(INDEX(Pengaturan!$B$8:$B$27,N$4)="",0,COUNTIF(Data!$B865:$U865,INDEX(Pengaturan!$B$8:$B$27,N$4)))</f>
        <v>0</v>
      </c>
      <c r="O865" s="26" t="n">
        <f aca="false">IF(INDEX(Pengaturan!$B$8:$B$27,O$4)="",0,COUNTIF(Data!$B865:$U865,INDEX(Pengaturan!$B$8:$B$27,O$4)))</f>
        <v>0</v>
      </c>
      <c r="P865" s="26" t="n">
        <f aca="false">IF(INDEX(Pengaturan!$B$8:$B$27,P$4)="",0,COUNTIF(Data!$B865:$U865,INDEX(Pengaturan!$B$8:$B$27,P$4)))</f>
        <v>0</v>
      </c>
      <c r="Q865" s="26" t="n">
        <f aca="false">IF(INDEX(Pengaturan!$B$8:$B$27,Q$4)="",0,COUNTIF(Data!$B865:$U865,INDEX(Pengaturan!$B$8:$B$27,Q$4)))</f>
        <v>0</v>
      </c>
      <c r="R865" s="26" t="n">
        <f aca="false">IF(INDEX(Pengaturan!$B$8:$B$27,R$4)="",0,COUNTIF(Data!$B865:$U865,INDEX(Pengaturan!$B$8:$B$27,R$4)))</f>
        <v>0</v>
      </c>
      <c r="S865" s="26" t="n">
        <f aca="false">IF(INDEX(Pengaturan!$B$8:$B$27,S$4)="",0,COUNTIF(Data!$B865:$U865,INDEX(Pengaturan!$B$8:$B$27,S$4)))</f>
        <v>0</v>
      </c>
      <c r="T865" s="26" t="n">
        <f aca="false">IF(INDEX(Pengaturan!$B$8:$B$27,T$4)="",0,COUNTIF(Data!$B865:$U865,INDEX(Pengaturan!$B$8:$B$27,T$4)))</f>
        <v>0</v>
      </c>
      <c r="U865" s="26" t="n">
        <f aca="false">IF(INDEX(Pengaturan!$B$8:$B$27,U$4)="",0,COUNTIF(Data!$B865:$U865,INDEX(Pengaturan!$B$8:$B$27,U$4)))</f>
        <v>0</v>
      </c>
      <c r="V865" s="26" t="n">
        <f aca="false">COUNTA(Data!$B865:$U865)</f>
        <v>0</v>
      </c>
      <c r="W865" s="27" t="str">
        <f aca="false">IF(V865=0,"",IF(V865&lt;&gt;Hasil!$C$4,"Data kosong/tidak lengkap",IF(SUM(B865:U865)&lt;&gt;V865,"Kategori tidak dikenal","OK")))</f>
        <v/>
      </c>
      <c r="X865" s="26" t="n">
        <f aca="false">IF(OR(W865="",W865="OK"),0,1)</f>
        <v>0</v>
      </c>
    </row>
    <row r="866" customFormat="false" ht="15" hidden="false" customHeight="false" outlineLevel="0" collapsed="false">
      <c r="A866" s="26" t="n">
        <f aca="false">Data!A866</f>
        <v>861</v>
      </c>
      <c r="B866" s="26" t="n">
        <f aca="false">IF(INDEX(Pengaturan!$B$8:$B$27,B$4)="",0,COUNTIF(Data!$B866:$U866,INDEX(Pengaturan!$B$8:$B$27,B$4)))</f>
        <v>0</v>
      </c>
      <c r="C866" s="26" t="n">
        <f aca="false">IF(INDEX(Pengaturan!$B$8:$B$27,C$4)="",0,COUNTIF(Data!$B866:$U866,INDEX(Pengaturan!$B$8:$B$27,C$4)))</f>
        <v>0</v>
      </c>
      <c r="D866" s="26" t="n">
        <f aca="false">IF(INDEX(Pengaturan!$B$8:$B$27,D$4)="",0,COUNTIF(Data!$B866:$U866,INDEX(Pengaturan!$B$8:$B$27,D$4)))</f>
        <v>0</v>
      </c>
      <c r="E866" s="26" t="n">
        <f aca="false">IF(INDEX(Pengaturan!$B$8:$B$27,E$4)="",0,COUNTIF(Data!$B866:$U866,INDEX(Pengaturan!$B$8:$B$27,E$4)))</f>
        <v>0</v>
      </c>
      <c r="F866" s="26" t="n">
        <f aca="false">IF(INDEX(Pengaturan!$B$8:$B$27,F$4)="",0,COUNTIF(Data!$B866:$U866,INDEX(Pengaturan!$B$8:$B$27,F$4)))</f>
        <v>0</v>
      </c>
      <c r="G866" s="26" t="n">
        <f aca="false">IF(INDEX(Pengaturan!$B$8:$B$27,G$4)="",0,COUNTIF(Data!$B866:$U866,INDEX(Pengaturan!$B$8:$B$27,G$4)))</f>
        <v>0</v>
      </c>
      <c r="H866" s="26" t="n">
        <f aca="false">IF(INDEX(Pengaturan!$B$8:$B$27,H$4)="",0,COUNTIF(Data!$B866:$U866,INDEX(Pengaturan!$B$8:$B$27,H$4)))</f>
        <v>0</v>
      </c>
      <c r="I866" s="26" t="n">
        <f aca="false">IF(INDEX(Pengaturan!$B$8:$B$27,I$4)="",0,COUNTIF(Data!$B866:$U866,INDEX(Pengaturan!$B$8:$B$27,I$4)))</f>
        <v>0</v>
      </c>
      <c r="J866" s="26" t="n">
        <f aca="false">IF(INDEX(Pengaturan!$B$8:$B$27,J$4)="",0,COUNTIF(Data!$B866:$U866,INDEX(Pengaturan!$B$8:$B$27,J$4)))</f>
        <v>0</v>
      </c>
      <c r="K866" s="26" t="n">
        <f aca="false">IF(INDEX(Pengaturan!$B$8:$B$27,K$4)="",0,COUNTIF(Data!$B866:$U866,INDEX(Pengaturan!$B$8:$B$27,K$4)))</f>
        <v>0</v>
      </c>
      <c r="L866" s="26" t="n">
        <f aca="false">IF(INDEX(Pengaturan!$B$8:$B$27,L$4)="",0,COUNTIF(Data!$B866:$U866,INDEX(Pengaturan!$B$8:$B$27,L$4)))</f>
        <v>0</v>
      </c>
      <c r="M866" s="26" t="n">
        <f aca="false">IF(INDEX(Pengaturan!$B$8:$B$27,M$4)="",0,COUNTIF(Data!$B866:$U866,INDEX(Pengaturan!$B$8:$B$27,M$4)))</f>
        <v>0</v>
      </c>
      <c r="N866" s="26" t="n">
        <f aca="false">IF(INDEX(Pengaturan!$B$8:$B$27,N$4)="",0,COUNTIF(Data!$B866:$U866,INDEX(Pengaturan!$B$8:$B$27,N$4)))</f>
        <v>0</v>
      </c>
      <c r="O866" s="26" t="n">
        <f aca="false">IF(INDEX(Pengaturan!$B$8:$B$27,O$4)="",0,COUNTIF(Data!$B866:$U866,INDEX(Pengaturan!$B$8:$B$27,O$4)))</f>
        <v>0</v>
      </c>
      <c r="P866" s="26" t="n">
        <f aca="false">IF(INDEX(Pengaturan!$B$8:$B$27,P$4)="",0,COUNTIF(Data!$B866:$U866,INDEX(Pengaturan!$B$8:$B$27,P$4)))</f>
        <v>0</v>
      </c>
      <c r="Q866" s="26" t="n">
        <f aca="false">IF(INDEX(Pengaturan!$B$8:$B$27,Q$4)="",0,COUNTIF(Data!$B866:$U866,INDEX(Pengaturan!$B$8:$B$27,Q$4)))</f>
        <v>0</v>
      </c>
      <c r="R866" s="26" t="n">
        <f aca="false">IF(INDEX(Pengaturan!$B$8:$B$27,R$4)="",0,COUNTIF(Data!$B866:$U866,INDEX(Pengaturan!$B$8:$B$27,R$4)))</f>
        <v>0</v>
      </c>
      <c r="S866" s="26" t="n">
        <f aca="false">IF(INDEX(Pengaturan!$B$8:$B$27,S$4)="",0,COUNTIF(Data!$B866:$U866,INDEX(Pengaturan!$B$8:$B$27,S$4)))</f>
        <v>0</v>
      </c>
      <c r="T866" s="26" t="n">
        <f aca="false">IF(INDEX(Pengaturan!$B$8:$B$27,T$4)="",0,COUNTIF(Data!$B866:$U866,INDEX(Pengaturan!$B$8:$B$27,T$4)))</f>
        <v>0</v>
      </c>
      <c r="U866" s="26" t="n">
        <f aca="false">IF(INDEX(Pengaturan!$B$8:$B$27,U$4)="",0,COUNTIF(Data!$B866:$U866,INDEX(Pengaturan!$B$8:$B$27,U$4)))</f>
        <v>0</v>
      </c>
      <c r="V866" s="26" t="n">
        <f aca="false">COUNTA(Data!$B866:$U866)</f>
        <v>0</v>
      </c>
      <c r="W866" s="27" t="str">
        <f aca="false">IF(V866=0,"",IF(V866&lt;&gt;Hasil!$C$4,"Data kosong/tidak lengkap",IF(SUM(B866:U866)&lt;&gt;V866,"Kategori tidak dikenal","OK")))</f>
        <v/>
      </c>
      <c r="X866" s="26" t="n">
        <f aca="false">IF(OR(W866="",W866="OK"),0,1)</f>
        <v>0</v>
      </c>
    </row>
    <row r="867" customFormat="false" ht="15" hidden="false" customHeight="false" outlineLevel="0" collapsed="false">
      <c r="A867" s="26" t="n">
        <f aca="false">Data!A867</f>
        <v>862</v>
      </c>
      <c r="B867" s="26" t="n">
        <f aca="false">IF(INDEX(Pengaturan!$B$8:$B$27,B$4)="",0,COUNTIF(Data!$B867:$U867,INDEX(Pengaturan!$B$8:$B$27,B$4)))</f>
        <v>0</v>
      </c>
      <c r="C867" s="26" t="n">
        <f aca="false">IF(INDEX(Pengaturan!$B$8:$B$27,C$4)="",0,COUNTIF(Data!$B867:$U867,INDEX(Pengaturan!$B$8:$B$27,C$4)))</f>
        <v>0</v>
      </c>
      <c r="D867" s="26" t="n">
        <f aca="false">IF(INDEX(Pengaturan!$B$8:$B$27,D$4)="",0,COUNTIF(Data!$B867:$U867,INDEX(Pengaturan!$B$8:$B$27,D$4)))</f>
        <v>0</v>
      </c>
      <c r="E867" s="26" t="n">
        <f aca="false">IF(INDEX(Pengaturan!$B$8:$B$27,E$4)="",0,COUNTIF(Data!$B867:$U867,INDEX(Pengaturan!$B$8:$B$27,E$4)))</f>
        <v>0</v>
      </c>
      <c r="F867" s="26" t="n">
        <f aca="false">IF(INDEX(Pengaturan!$B$8:$B$27,F$4)="",0,COUNTIF(Data!$B867:$U867,INDEX(Pengaturan!$B$8:$B$27,F$4)))</f>
        <v>0</v>
      </c>
      <c r="G867" s="26" t="n">
        <f aca="false">IF(INDEX(Pengaturan!$B$8:$B$27,G$4)="",0,COUNTIF(Data!$B867:$U867,INDEX(Pengaturan!$B$8:$B$27,G$4)))</f>
        <v>0</v>
      </c>
      <c r="H867" s="26" t="n">
        <f aca="false">IF(INDEX(Pengaturan!$B$8:$B$27,H$4)="",0,COUNTIF(Data!$B867:$U867,INDEX(Pengaturan!$B$8:$B$27,H$4)))</f>
        <v>0</v>
      </c>
      <c r="I867" s="26" t="n">
        <f aca="false">IF(INDEX(Pengaturan!$B$8:$B$27,I$4)="",0,COUNTIF(Data!$B867:$U867,INDEX(Pengaturan!$B$8:$B$27,I$4)))</f>
        <v>0</v>
      </c>
      <c r="J867" s="26" t="n">
        <f aca="false">IF(INDEX(Pengaturan!$B$8:$B$27,J$4)="",0,COUNTIF(Data!$B867:$U867,INDEX(Pengaturan!$B$8:$B$27,J$4)))</f>
        <v>0</v>
      </c>
      <c r="K867" s="26" t="n">
        <f aca="false">IF(INDEX(Pengaturan!$B$8:$B$27,K$4)="",0,COUNTIF(Data!$B867:$U867,INDEX(Pengaturan!$B$8:$B$27,K$4)))</f>
        <v>0</v>
      </c>
      <c r="L867" s="26" t="n">
        <f aca="false">IF(INDEX(Pengaturan!$B$8:$B$27,L$4)="",0,COUNTIF(Data!$B867:$U867,INDEX(Pengaturan!$B$8:$B$27,L$4)))</f>
        <v>0</v>
      </c>
      <c r="M867" s="26" t="n">
        <f aca="false">IF(INDEX(Pengaturan!$B$8:$B$27,M$4)="",0,COUNTIF(Data!$B867:$U867,INDEX(Pengaturan!$B$8:$B$27,M$4)))</f>
        <v>0</v>
      </c>
      <c r="N867" s="26" t="n">
        <f aca="false">IF(INDEX(Pengaturan!$B$8:$B$27,N$4)="",0,COUNTIF(Data!$B867:$U867,INDEX(Pengaturan!$B$8:$B$27,N$4)))</f>
        <v>0</v>
      </c>
      <c r="O867" s="26" t="n">
        <f aca="false">IF(INDEX(Pengaturan!$B$8:$B$27,O$4)="",0,COUNTIF(Data!$B867:$U867,INDEX(Pengaturan!$B$8:$B$27,O$4)))</f>
        <v>0</v>
      </c>
      <c r="P867" s="26" t="n">
        <f aca="false">IF(INDEX(Pengaturan!$B$8:$B$27,P$4)="",0,COUNTIF(Data!$B867:$U867,INDEX(Pengaturan!$B$8:$B$27,P$4)))</f>
        <v>0</v>
      </c>
      <c r="Q867" s="26" t="n">
        <f aca="false">IF(INDEX(Pengaturan!$B$8:$B$27,Q$4)="",0,COUNTIF(Data!$B867:$U867,INDEX(Pengaturan!$B$8:$B$27,Q$4)))</f>
        <v>0</v>
      </c>
      <c r="R867" s="26" t="n">
        <f aca="false">IF(INDEX(Pengaturan!$B$8:$B$27,R$4)="",0,COUNTIF(Data!$B867:$U867,INDEX(Pengaturan!$B$8:$B$27,R$4)))</f>
        <v>0</v>
      </c>
      <c r="S867" s="26" t="n">
        <f aca="false">IF(INDEX(Pengaturan!$B$8:$B$27,S$4)="",0,COUNTIF(Data!$B867:$U867,INDEX(Pengaturan!$B$8:$B$27,S$4)))</f>
        <v>0</v>
      </c>
      <c r="T867" s="26" t="n">
        <f aca="false">IF(INDEX(Pengaturan!$B$8:$B$27,T$4)="",0,COUNTIF(Data!$B867:$U867,INDEX(Pengaturan!$B$8:$B$27,T$4)))</f>
        <v>0</v>
      </c>
      <c r="U867" s="26" t="n">
        <f aca="false">IF(INDEX(Pengaturan!$B$8:$B$27,U$4)="",0,COUNTIF(Data!$B867:$U867,INDEX(Pengaturan!$B$8:$B$27,U$4)))</f>
        <v>0</v>
      </c>
      <c r="V867" s="26" t="n">
        <f aca="false">COUNTA(Data!$B867:$U867)</f>
        <v>0</v>
      </c>
      <c r="W867" s="27" t="str">
        <f aca="false">IF(V867=0,"",IF(V867&lt;&gt;Hasil!$C$4,"Data kosong/tidak lengkap",IF(SUM(B867:U867)&lt;&gt;V867,"Kategori tidak dikenal","OK")))</f>
        <v/>
      </c>
      <c r="X867" s="26" t="n">
        <f aca="false">IF(OR(W867="",W867="OK"),0,1)</f>
        <v>0</v>
      </c>
    </row>
    <row r="868" customFormat="false" ht="15" hidden="false" customHeight="false" outlineLevel="0" collapsed="false">
      <c r="A868" s="26" t="n">
        <f aca="false">Data!A868</f>
        <v>863</v>
      </c>
      <c r="B868" s="26" t="n">
        <f aca="false">IF(INDEX(Pengaturan!$B$8:$B$27,B$4)="",0,COUNTIF(Data!$B868:$U868,INDEX(Pengaturan!$B$8:$B$27,B$4)))</f>
        <v>0</v>
      </c>
      <c r="C868" s="26" t="n">
        <f aca="false">IF(INDEX(Pengaturan!$B$8:$B$27,C$4)="",0,COUNTIF(Data!$B868:$U868,INDEX(Pengaturan!$B$8:$B$27,C$4)))</f>
        <v>0</v>
      </c>
      <c r="D868" s="26" t="n">
        <f aca="false">IF(INDEX(Pengaturan!$B$8:$B$27,D$4)="",0,COUNTIF(Data!$B868:$U868,INDEX(Pengaturan!$B$8:$B$27,D$4)))</f>
        <v>0</v>
      </c>
      <c r="E868" s="26" t="n">
        <f aca="false">IF(INDEX(Pengaturan!$B$8:$B$27,E$4)="",0,COUNTIF(Data!$B868:$U868,INDEX(Pengaturan!$B$8:$B$27,E$4)))</f>
        <v>0</v>
      </c>
      <c r="F868" s="26" t="n">
        <f aca="false">IF(INDEX(Pengaturan!$B$8:$B$27,F$4)="",0,COUNTIF(Data!$B868:$U868,INDEX(Pengaturan!$B$8:$B$27,F$4)))</f>
        <v>0</v>
      </c>
      <c r="G868" s="26" t="n">
        <f aca="false">IF(INDEX(Pengaturan!$B$8:$B$27,G$4)="",0,COUNTIF(Data!$B868:$U868,INDEX(Pengaturan!$B$8:$B$27,G$4)))</f>
        <v>0</v>
      </c>
      <c r="H868" s="26" t="n">
        <f aca="false">IF(INDEX(Pengaturan!$B$8:$B$27,H$4)="",0,COUNTIF(Data!$B868:$U868,INDEX(Pengaturan!$B$8:$B$27,H$4)))</f>
        <v>0</v>
      </c>
      <c r="I868" s="26" t="n">
        <f aca="false">IF(INDEX(Pengaturan!$B$8:$B$27,I$4)="",0,COUNTIF(Data!$B868:$U868,INDEX(Pengaturan!$B$8:$B$27,I$4)))</f>
        <v>0</v>
      </c>
      <c r="J868" s="26" t="n">
        <f aca="false">IF(INDEX(Pengaturan!$B$8:$B$27,J$4)="",0,COUNTIF(Data!$B868:$U868,INDEX(Pengaturan!$B$8:$B$27,J$4)))</f>
        <v>0</v>
      </c>
      <c r="K868" s="26" t="n">
        <f aca="false">IF(INDEX(Pengaturan!$B$8:$B$27,K$4)="",0,COUNTIF(Data!$B868:$U868,INDEX(Pengaturan!$B$8:$B$27,K$4)))</f>
        <v>0</v>
      </c>
      <c r="L868" s="26" t="n">
        <f aca="false">IF(INDEX(Pengaturan!$B$8:$B$27,L$4)="",0,COUNTIF(Data!$B868:$U868,INDEX(Pengaturan!$B$8:$B$27,L$4)))</f>
        <v>0</v>
      </c>
      <c r="M868" s="26" t="n">
        <f aca="false">IF(INDEX(Pengaturan!$B$8:$B$27,M$4)="",0,COUNTIF(Data!$B868:$U868,INDEX(Pengaturan!$B$8:$B$27,M$4)))</f>
        <v>0</v>
      </c>
      <c r="N868" s="26" t="n">
        <f aca="false">IF(INDEX(Pengaturan!$B$8:$B$27,N$4)="",0,COUNTIF(Data!$B868:$U868,INDEX(Pengaturan!$B$8:$B$27,N$4)))</f>
        <v>0</v>
      </c>
      <c r="O868" s="26" t="n">
        <f aca="false">IF(INDEX(Pengaturan!$B$8:$B$27,O$4)="",0,COUNTIF(Data!$B868:$U868,INDEX(Pengaturan!$B$8:$B$27,O$4)))</f>
        <v>0</v>
      </c>
      <c r="P868" s="26" t="n">
        <f aca="false">IF(INDEX(Pengaturan!$B$8:$B$27,P$4)="",0,COUNTIF(Data!$B868:$U868,INDEX(Pengaturan!$B$8:$B$27,P$4)))</f>
        <v>0</v>
      </c>
      <c r="Q868" s="26" t="n">
        <f aca="false">IF(INDEX(Pengaturan!$B$8:$B$27,Q$4)="",0,COUNTIF(Data!$B868:$U868,INDEX(Pengaturan!$B$8:$B$27,Q$4)))</f>
        <v>0</v>
      </c>
      <c r="R868" s="26" t="n">
        <f aca="false">IF(INDEX(Pengaturan!$B$8:$B$27,R$4)="",0,COUNTIF(Data!$B868:$U868,INDEX(Pengaturan!$B$8:$B$27,R$4)))</f>
        <v>0</v>
      </c>
      <c r="S868" s="26" t="n">
        <f aca="false">IF(INDEX(Pengaturan!$B$8:$B$27,S$4)="",0,COUNTIF(Data!$B868:$U868,INDEX(Pengaturan!$B$8:$B$27,S$4)))</f>
        <v>0</v>
      </c>
      <c r="T868" s="26" t="n">
        <f aca="false">IF(INDEX(Pengaturan!$B$8:$B$27,T$4)="",0,COUNTIF(Data!$B868:$U868,INDEX(Pengaturan!$B$8:$B$27,T$4)))</f>
        <v>0</v>
      </c>
      <c r="U868" s="26" t="n">
        <f aca="false">IF(INDEX(Pengaturan!$B$8:$B$27,U$4)="",0,COUNTIF(Data!$B868:$U868,INDEX(Pengaturan!$B$8:$B$27,U$4)))</f>
        <v>0</v>
      </c>
      <c r="V868" s="26" t="n">
        <f aca="false">COUNTA(Data!$B868:$U868)</f>
        <v>0</v>
      </c>
      <c r="W868" s="27" t="str">
        <f aca="false">IF(V868=0,"",IF(V868&lt;&gt;Hasil!$C$4,"Data kosong/tidak lengkap",IF(SUM(B868:U868)&lt;&gt;V868,"Kategori tidak dikenal","OK")))</f>
        <v/>
      </c>
      <c r="X868" s="26" t="n">
        <f aca="false">IF(OR(W868="",W868="OK"),0,1)</f>
        <v>0</v>
      </c>
    </row>
    <row r="869" customFormat="false" ht="15" hidden="false" customHeight="false" outlineLevel="0" collapsed="false">
      <c r="A869" s="26" t="n">
        <f aca="false">Data!A869</f>
        <v>864</v>
      </c>
      <c r="B869" s="26" t="n">
        <f aca="false">IF(INDEX(Pengaturan!$B$8:$B$27,B$4)="",0,COUNTIF(Data!$B869:$U869,INDEX(Pengaturan!$B$8:$B$27,B$4)))</f>
        <v>0</v>
      </c>
      <c r="C869" s="26" t="n">
        <f aca="false">IF(INDEX(Pengaturan!$B$8:$B$27,C$4)="",0,COUNTIF(Data!$B869:$U869,INDEX(Pengaturan!$B$8:$B$27,C$4)))</f>
        <v>0</v>
      </c>
      <c r="D869" s="26" t="n">
        <f aca="false">IF(INDEX(Pengaturan!$B$8:$B$27,D$4)="",0,COUNTIF(Data!$B869:$U869,INDEX(Pengaturan!$B$8:$B$27,D$4)))</f>
        <v>0</v>
      </c>
      <c r="E869" s="26" t="n">
        <f aca="false">IF(INDEX(Pengaturan!$B$8:$B$27,E$4)="",0,COUNTIF(Data!$B869:$U869,INDEX(Pengaturan!$B$8:$B$27,E$4)))</f>
        <v>0</v>
      </c>
      <c r="F869" s="26" t="n">
        <f aca="false">IF(INDEX(Pengaturan!$B$8:$B$27,F$4)="",0,COUNTIF(Data!$B869:$U869,INDEX(Pengaturan!$B$8:$B$27,F$4)))</f>
        <v>0</v>
      </c>
      <c r="G869" s="26" t="n">
        <f aca="false">IF(INDEX(Pengaturan!$B$8:$B$27,G$4)="",0,COUNTIF(Data!$B869:$U869,INDEX(Pengaturan!$B$8:$B$27,G$4)))</f>
        <v>0</v>
      </c>
      <c r="H869" s="26" t="n">
        <f aca="false">IF(INDEX(Pengaturan!$B$8:$B$27,H$4)="",0,COUNTIF(Data!$B869:$U869,INDEX(Pengaturan!$B$8:$B$27,H$4)))</f>
        <v>0</v>
      </c>
      <c r="I869" s="26" t="n">
        <f aca="false">IF(INDEX(Pengaturan!$B$8:$B$27,I$4)="",0,COUNTIF(Data!$B869:$U869,INDEX(Pengaturan!$B$8:$B$27,I$4)))</f>
        <v>0</v>
      </c>
      <c r="J869" s="26" t="n">
        <f aca="false">IF(INDEX(Pengaturan!$B$8:$B$27,J$4)="",0,COUNTIF(Data!$B869:$U869,INDEX(Pengaturan!$B$8:$B$27,J$4)))</f>
        <v>0</v>
      </c>
      <c r="K869" s="26" t="n">
        <f aca="false">IF(INDEX(Pengaturan!$B$8:$B$27,K$4)="",0,COUNTIF(Data!$B869:$U869,INDEX(Pengaturan!$B$8:$B$27,K$4)))</f>
        <v>0</v>
      </c>
      <c r="L869" s="26" t="n">
        <f aca="false">IF(INDEX(Pengaturan!$B$8:$B$27,L$4)="",0,COUNTIF(Data!$B869:$U869,INDEX(Pengaturan!$B$8:$B$27,L$4)))</f>
        <v>0</v>
      </c>
      <c r="M869" s="26" t="n">
        <f aca="false">IF(INDEX(Pengaturan!$B$8:$B$27,M$4)="",0,COUNTIF(Data!$B869:$U869,INDEX(Pengaturan!$B$8:$B$27,M$4)))</f>
        <v>0</v>
      </c>
      <c r="N869" s="26" t="n">
        <f aca="false">IF(INDEX(Pengaturan!$B$8:$B$27,N$4)="",0,COUNTIF(Data!$B869:$U869,INDEX(Pengaturan!$B$8:$B$27,N$4)))</f>
        <v>0</v>
      </c>
      <c r="O869" s="26" t="n">
        <f aca="false">IF(INDEX(Pengaturan!$B$8:$B$27,O$4)="",0,COUNTIF(Data!$B869:$U869,INDEX(Pengaturan!$B$8:$B$27,O$4)))</f>
        <v>0</v>
      </c>
      <c r="P869" s="26" t="n">
        <f aca="false">IF(INDEX(Pengaturan!$B$8:$B$27,P$4)="",0,COUNTIF(Data!$B869:$U869,INDEX(Pengaturan!$B$8:$B$27,P$4)))</f>
        <v>0</v>
      </c>
      <c r="Q869" s="26" t="n">
        <f aca="false">IF(INDEX(Pengaturan!$B$8:$B$27,Q$4)="",0,COUNTIF(Data!$B869:$U869,INDEX(Pengaturan!$B$8:$B$27,Q$4)))</f>
        <v>0</v>
      </c>
      <c r="R869" s="26" t="n">
        <f aca="false">IF(INDEX(Pengaturan!$B$8:$B$27,R$4)="",0,COUNTIF(Data!$B869:$U869,INDEX(Pengaturan!$B$8:$B$27,R$4)))</f>
        <v>0</v>
      </c>
      <c r="S869" s="26" t="n">
        <f aca="false">IF(INDEX(Pengaturan!$B$8:$B$27,S$4)="",0,COUNTIF(Data!$B869:$U869,INDEX(Pengaturan!$B$8:$B$27,S$4)))</f>
        <v>0</v>
      </c>
      <c r="T869" s="26" t="n">
        <f aca="false">IF(INDEX(Pengaturan!$B$8:$B$27,T$4)="",0,COUNTIF(Data!$B869:$U869,INDEX(Pengaturan!$B$8:$B$27,T$4)))</f>
        <v>0</v>
      </c>
      <c r="U869" s="26" t="n">
        <f aca="false">IF(INDEX(Pengaturan!$B$8:$B$27,U$4)="",0,COUNTIF(Data!$B869:$U869,INDEX(Pengaturan!$B$8:$B$27,U$4)))</f>
        <v>0</v>
      </c>
      <c r="V869" s="26" t="n">
        <f aca="false">COUNTA(Data!$B869:$U869)</f>
        <v>0</v>
      </c>
      <c r="W869" s="27" t="str">
        <f aca="false">IF(V869=0,"",IF(V869&lt;&gt;Hasil!$C$4,"Data kosong/tidak lengkap",IF(SUM(B869:U869)&lt;&gt;V869,"Kategori tidak dikenal","OK")))</f>
        <v/>
      </c>
      <c r="X869" s="26" t="n">
        <f aca="false">IF(OR(W869="",W869="OK"),0,1)</f>
        <v>0</v>
      </c>
    </row>
    <row r="870" customFormat="false" ht="15" hidden="false" customHeight="false" outlineLevel="0" collapsed="false">
      <c r="A870" s="26" t="n">
        <f aca="false">Data!A870</f>
        <v>865</v>
      </c>
      <c r="B870" s="26" t="n">
        <f aca="false">IF(INDEX(Pengaturan!$B$8:$B$27,B$4)="",0,COUNTIF(Data!$B870:$U870,INDEX(Pengaturan!$B$8:$B$27,B$4)))</f>
        <v>0</v>
      </c>
      <c r="C870" s="26" t="n">
        <f aca="false">IF(INDEX(Pengaturan!$B$8:$B$27,C$4)="",0,COUNTIF(Data!$B870:$U870,INDEX(Pengaturan!$B$8:$B$27,C$4)))</f>
        <v>0</v>
      </c>
      <c r="D870" s="26" t="n">
        <f aca="false">IF(INDEX(Pengaturan!$B$8:$B$27,D$4)="",0,COUNTIF(Data!$B870:$U870,INDEX(Pengaturan!$B$8:$B$27,D$4)))</f>
        <v>0</v>
      </c>
      <c r="E870" s="26" t="n">
        <f aca="false">IF(INDEX(Pengaturan!$B$8:$B$27,E$4)="",0,COUNTIF(Data!$B870:$U870,INDEX(Pengaturan!$B$8:$B$27,E$4)))</f>
        <v>0</v>
      </c>
      <c r="F870" s="26" t="n">
        <f aca="false">IF(INDEX(Pengaturan!$B$8:$B$27,F$4)="",0,COUNTIF(Data!$B870:$U870,INDEX(Pengaturan!$B$8:$B$27,F$4)))</f>
        <v>0</v>
      </c>
      <c r="G870" s="26" t="n">
        <f aca="false">IF(INDEX(Pengaturan!$B$8:$B$27,G$4)="",0,COUNTIF(Data!$B870:$U870,INDEX(Pengaturan!$B$8:$B$27,G$4)))</f>
        <v>0</v>
      </c>
      <c r="H870" s="26" t="n">
        <f aca="false">IF(INDEX(Pengaturan!$B$8:$B$27,H$4)="",0,COUNTIF(Data!$B870:$U870,INDEX(Pengaturan!$B$8:$B$27,H$4)))</f>
        <v>0</v>
      </c>
      <c r="I870" s="26" t="n">
        <f aca="false">IF(INDEX(Pengaturan!$B$8:$B$27,I$4)="",0,COUNTIF(Data!$B870:$U870,INDEX(Pengaturan!$B$8:$B$27,I$4)))</f>
        <v>0</v>
      </c>
      <c r="J870" s="26" t="n">
        <f aca="false">IF(INDEX(Pengaturan!$B$8:$B$27,J$4)="",0,COUNTIF(Data!$B870:$U870,INDEX(Pengaturan!$B$8:$B$27,J$4)))</f>
        <v>0</v>
      </c>
      <c r="K870" s="26" t="n">
        <f aca="false">IF(INDEX(Pengaturan!$B$8:$B$27,K$4)="",0,COUNTIF(Data!$B870:$U870,INDEX(Pengaturan!$B$8:$B$27,K$4)))</f>
        <v>0</v>
      </c>
      <c r="L870" s="26" t="n">
        <f aca="false">IF(INDEX(Pengaturan!$B$8:$B$27,L$4)="",0,COUNTIF(Data!$B870:$U870,INDEX(Pengaturan!$B$8:$B$27,L$4)))</f>
        <v>0</v>
      </c>
      <c r="M870" s="26" t="n">
        <f aca="false">IF(INDEX(Pengaturan!$B$8:$B$27,M$4)="",0,COUNTIF(Data!$B870:$U870,INDEX(Pengaturan!$B$8:$B$27,M$4)))</f>
        <v>0</v>
      </c>
      <c r="N870" s="26" t="n">
        <f aca="false">IF(INDEX(Pengaturan!$B$8:$B$27,N$4)="",0,COUNTIF(Data!$B870:$U870,INDEX(Pengaturan!$B$8:$B$27,N$4)))</f>
        <v>0</v>
      </c>
      <c r="O870" s="26" t="n">
        <f aca="false">IF(INDEX(Pengaturan!$B$8:$B$27,O$4)="",0,COUNTIF(Data!$B870:$U870,INDEX(Pengaturan!$B$8:$B$27,O$4)))</f>
        <v>0</v>
      </c>
      <c r="P870" s="26" t="n">
        <f aca="false">IF(INDEX(Pengaturan!$B$8:$B$27,P$4)="",0,COUNTIF(Data!$B870:$U870,INDEX(Pengaturan!$B$8:$B$27,P$4)))</f>
        <v>0</v>
      </c>
      <c r="Q870" s="26" t="n">
        <f aca="false">IF(INDEX(Pengaturan!$B$8:$B$27,Q$4)="",0,COUNTIF(Data!$B870:$U870,INDEX(Pengaturan!$B$8:$B$27,Q$4)))</f>
        <v>0</v>
      </c>
      <c r="R870" s="26" t="n">
        <f aca="false">IF(INDEX(Pengaturan!$B$8:$B$27,R$4)="",0,COUNTIF(Data!$B870:$U870,INDEX(Pengaturan!$B$8:$B$27,R$4)))</f>
        <v>0</v>
      </c>
      <c r="S870" s="26" t="n">
        <f aca="false">IF(INDEX(Pengaturan!$B$8:$B$27,S$4)="",0,COUNTIF(Data!$B870:$U870,INDEX(Pengaturan!$B$8:$B$27,S$4)))</f>
        <v>0</v>
      </c>
      <c r="T870" s="26" t="n">
        <f aca="false">IF(INDEX(Pengaturan!$B$8:$B$27,T$4)="",0,COUNTIF(Data!$B870:$U870,INDEX(Pengaturan!$B$8:$B$27,T$4)))</f>
        <v>0</v>
      </c>
      <c r="U870" s="26" t="n">
        <f aca="false">IF(INDEX(Pengaturan!$B$8:$B$27,U$4)="",0,COUNTIF(Data!$B870:$U870,INDEX(Pengaturan!$B$8:$B$27,U$4)))</f>
        <v>0</v>
      </c>
      <c r="V870" s="26" t="n">
        <f aca="false">COUNTA(Data!$B870:$U870)</f>
        <v>0</v>
      </c>
      <c r="W870" s="27" t="str">
        <f aca="false">IF(V870=0,"",IF(V870&lt;&gt;Hasil!$C$4,"Data kosong/tidak lengkap",IF(SUM(B870:U870)&lt;&gt;V870,"Kategori tidak dikenal","OK")))</f>
        <v/>
      </c>
      <c r="X870" s="26" t="n">
        <f aca="false">IF(OR(W870="",W870="OK"),0,1)</f>
        <v>0</v>
      </c>
    </row>
    <row r="871" customFormat="false" ht="15" hidden="false" customHeight="false" outlineLevel="0" collapsed="false">
      <c r="A871" s="26" t="n">
        <f aca="false">Data!A871</f>
        <v>866</v>
      </c>
      <c r="B871" s="26" t="n">
        <f aca="false">IF(INDEX(Pengaturan!$B$8:$B$27,B$4)="",0,COUNTIF(Data!$B871:$U871,INDEX(Pengaturan!$B$8:$B$27,B$4)))</f>
        <v>0</v>
      </c>
      <c r="C871" s="26" t="n">
        <f aca="false">IF(INDEX(Pengaturan!$B$8:$B$27,C$4)="",0,COUNTIF(Data!$B871:$U871,INDEX(Pengaturan!$B$8:$B$27,C$4)))</f>
        <v>0</v>
      </c>
      <c r="D871" s="26" t="n">
        <f aca="false">IF(INDEX(Pengaturan!$B$8:$B$27,D$4)="",0,COUNTIF(Data!$B871:$U871,INDEX(Pengaturan!$B$8:$B$27,D$4)))</f>
        <v>0</v>
      </c>
      <c r="E871" s="26" t="n">
        <f aca="false">IF(INDEX(Pengaturan!$B$8:$B$27,E$4)="",0,COUNTIF(Data!$B871:$U871,INDEX(Pengaturan!$B$8:$B$27,E$4)))</f>
        <v>0</v>
      </c>
      <c r="F871" s="26" t="n">
        <f aca="false">IF(INDEX(Pengaturan!$B$8:$B$27,F$4)="",0,COUNTIF(Data!$B871:$U871,INDEX(Pengaturan!$B$8:$B$27,F$4)))</f>
        <v>0</v>
      </c>
      <c r="G871" s="26" t="n">
        <f aca="false">IF(INDEX(Pengaturan!$B$8:$B$27,G$4)="",0,COUNTIF(Data!$B871:$U871,INDEX(Pengaturan!$B$8:$B$27,G$4)))</f>
        <v>0</v>
      </c>
      <c r="H871" s="26" t="n">
        <f aca="false">IF(INDEX(Pengaturan!$B$8:$B$27,H$4)="",0,COUNTIF(Data!$B871:$U871,INDEX(Pengaturan!$B$8:$B$27,H$4)))</f>
        <v>0</v>
      </c>
      <c r="I871" s="26" t="n">
        <f aca="false">IF(INDEX(Pengaturan!$B$8:$B$27,I$4)="",0,COUNTIF(Data!$B871:$U871,INDEX(Pengaturan!$B$8:$B$27,I$4)))</f>
        <v>0</v>
      </c>
      <c r="J871" s="26" t="n">
        <f aca="false">IF(INDEX(Pengaturan!$B$8:$B$27,J$4)="",0,COUNTIF(Data!$B871:$U871,INDEX(Pengaturan!$B$8:$B$27,J$4)))</f>
        <v>0</v>
      </c>
      <c r="K871" s="26" t="n">
        <f aca="false">IF(INDEX(Pengaturan!$B$8:$B$27,K$4)="",0,COUNTIF(Data!$B871:$U871,INDEX(Pengaturan!$B$8:$B$27,K$4)))</f>
        <v>0</v>
      </c>
      <c r="L871" s="26" t="n">
        <f aca="false">IF(INDEX(Pengaturan!$B$8:$B$27,L$4)="",0,COUNTIF(Data!$B871:$U871,INDEX(Pengaturan!$B$8:$B$27,L$4)))</f>
        <v>0</v>
      </c>
      <c r="M871" s="26" t="n">
        <f aca="false">IF(INDEX(Pengaturan!$B$8:$B$27,M$4)="",0,COUNTIF(Data!$B871:$U871,INDEX(Pengaturan!$B$8:$B$27,M$4)))</f>
        <v>0</v>
      </c>
      <c r="N871" s="26" t="n">
        <f aca="false">IF(INDEX(Pengaturan!$B$8:$B$27,N$4)="",0,COUNTIF(Data!$B871:$U871,INDEX(Pengaturan!$B$8:$B$27,N$4)))</f>
        <v>0</v>
      </c>
      <c r="O871" s="26" t="n">
        <f aca="false">IF(INDEX(Pengaturan!$B$8:$B$27,O$4)="",0,COUNTIF(Data!$B871:$U871,INDEX(Pengaturan!$B$8:$B$27,O$4)))</f>
        <v>0</v>
      </c>
      <c r="P871" s="26" t="n">
        <f aca="false">IF(INDEX(Pengaturan!$B$8:$B$27,P$4)="",0,COUNTIF(Data!$B871:$U871,INDEX(Pengaturan!$B$8:$B$27,P$4)))</f>
        <v>0</v>
      </c>
      <c r="Q871" s="26" t="n">
        <f aca="false">IF(INDEX(Pengaturan!$B$8:$B$27,Q$4)="",0,COUNTIF(Data!$B871:$U871,INDEX(Pengaturan!$B$8:$B$27,Q$4)))</f>
        <v>0</v>
      </c>
      <c r="R871" s="26" t="n">
        <f aca="false">IF(INDEX(Pengaturan!$B$8:$B$27,R$4)="",0,COUNTIF(Data!$B871:$U871,INDEX(Pengaturan!$B$8:$B$27,R$4)))</f>
        <v>0</v>
      </c>
      <c r="S871" s="26" t="n">
        <f aca="false">IF(INDEX(Pengaturan!$B$8:$B$27,S$4)="",0,COUNTIF(Data!$B871:$U871,INDEX(Pengaturan!$B$8:$B$27,S$4)))</f>
        <v>0</v>
      </c>
      <c r="T871" s="26" t="n">
        <f aca="false">IF(INDEX(Pengaturan!$B$8:$B$27,T$4)="",0,COUNTIF(Data!$B871:$U871,INDEX(Pengaturan!$B$8:$B$27,T$4)))</f>
        <v>0</v>
      </c>
      <c r="U871" s="26" t="n">
        <f aca="false">IF(INDEX(Pengaturan!$B$8:$B$27,U$4)="",0,COUNTIF(Data!$B871:$U871,INDEX(Pengaturan!$B$8:$B$27,U$4)))</f>
        <v>0</v>
      </c>
      <c r="V871" s="26" t="n">
        <f aca="false">COUNTA(Data!$B871:$U871)</f>
        <v>0</v>
      </c>
      <c r="W871" s="27" t="str">
        <f aca="false">IF(V871=0,"",IF(V871&lt;&gt;Hasil!$C$4,"Data kosong/tidak lengkap",IF(SUM(B871:U871)&lt;&gt;V871,"Kategori tidak dikenal","OK")))</f>
        <v/>
      </c>
      <c r="X871" s="26" t="n">
        <f aca="false">IF(OR(W871="",W871="OK"),0,1)</f>
        <v>0</v>
      </c>
    </row>
    <row r="872" customFormat="false" ht="15" hidden="false" customHeight="false" outlineLevel="0" collapsed="false">
      <c r="A872" s="26" t="n">
        <f aca="false">Data!A872</f>
        <v>867</v>
      </c>
      <c r="B872" s="26" t="n">
        <f aca="false">IF(INDEX(Pengaturan!$B$8:$B$27,B$4)="",0,COUNTIF(Data!$B872:$U872,INDEX(Pengaturan!$B$8:$B$27,B$4)))</f>
        <v>0</v>
      </c>
      <c r="C872" s="26" t="n">
        <f aca="false">IF(INDEX(Pengaturan!$B$8:$B$27,C$4)="",0,COUNTIF(Data!$B872:$U872,INDEX(Pengaturan!$B$8:$B$27,C$4)))</f>
        <v>0</v>
      </c>
      <c r="D872" s="26" t="n">
        <f aca="false">IF(INDEX(Pengaturan!$B$8:$B$27,D$4)="",0,COUNTIF(Data!$B872:$U872,INDEX(Pengaturan!$B$8:$B$27,D$4)))</f>
        <v>0</v>
      </c>
      <c r="E872" s="26" t="n">
        <f aca="false">IF(INDEX(Pengaturan!$B$8:$B$27,E$4)="",0,COUNTIF(Data!$B872:$U872,INDEX(Pengaturan!$B$8:$B$27,E$4)))</f>
        <v>0</v>
      </c>
      <c r="F872" s="26" t="n">
        <f aca="false">IF(INDEX(Pengaturan!$B$8:$B$27,F$4)="",0,COUNTIF(Data!$B872:$U872,INDEX(Pengaturan!$B$8:$B$27,F$4)))</f>
        <v>0</v>
      </c>
      <c r="G872" s="26" t="n">
        <f aca="false">IF(INDEX(Pengaturan!$B$8:$B$27,G$4)="",0,COUNTIF(Data!$B872:$U872,INDEX(Pengaturan!$B$8:$B$27,G$4)))</f>
        <v>0</v>
      </c>
      <c r="H872" s="26" t="n">
        <f aca="false">IF(INDEX(Pengaturan!$B$8:$B$27,H$4)="",0,COUNTIF(Data!$B872:$U872,INDEX(Pengaturan!$B$8:$B$27,H$4)))</f>
        <v>0</v>
      </c>
      <c r="I872" s="26" t="n">
        <f aca="false">IF(INDEX(Pengaturan!$B$8:$B$27,I$4)="",0,COUNTIF(Data!$B872:$U872,INDEX(Pengaturan!$B$8:$B$27,I$4)))</f>
        <v>0</v>
      </c>
      <c r="J872" s="26" t="n">
        <f aca="false">IF(INDEX(Pengaturan!$B$8:$B$27,J$4)="",0,COUNTIF(Data!$B872:$U872,INDEX(Pengaturan!$B$8:$B$27,J$4)))</f>
        <v>0</v>
      </c>
      <c r="K872" s="26" t="n">
        <f aca="false">IF(INDEX(Pengaturan!$B$8:$B$27,K$4)="",0,COUNTIF(Data!$B872:$U872,INDEX(Pengaturan!$B$8:$B$27,K$4)))</f>
        <v>0</v>
      </c>
      <c r="L872" s="26" t="n">
        <f aca="false">IF(INDEX(Pengaturan!$B$8:$B$27,L$4)="",0,COUNTIF(Data!$B872:$U872,INDEX(Pengaturan!$B$8:$B$27,L$4)))</f>
        <v>0</v>
      </c>
      <c r="M872" s="26" t="n">
        <f aca="false">IF(INDEX(Pengaturan!$B$8:$B$27,M$4)="",0,COUNTIF(Data!$B872:$U872,INDEX(Pengaturan!$B$8:$B$27,M$4)))</f>
        <v>0</v>
      </c>
      <c r="N872" s="26" t="n">
        <f aca="false">IF(INDEX(Pengaturan!$B$8:$B$27,N$4)="",0,COUNTIF(Data!$B872:$U872,INDEX(Pengaturan!$B$8:$B$27,N$4)))</f>
        <v>0</v>
      </c>
      <c r="O872" s="26" t="n">
        <f aca="false">IF(INDEX(Pengaturan!$B$8:$B$27,O$4)="",0,COUNTIF(Data!$B872:$U872,INDEX(Pengaturan!$B$8:$B$27,O$4)))</f>
        <v>0</v>
      </c>
      <c r="P872" s="26" t="n">
        <f aca="false">IF(INDEX(Pengaturan!$B$8:$B$27,P$4)="",0,COUNTIF(Data!$B872:$U872,INDEX(Pengaturan!$B$8:$B$27,P$4)))</f>
        <v>0</v>
      </c>
      <c r="Q872" s="26" t="n">
        <f aca="false">IF(INDEX(Pengaturan!$B$8:$B$27,Q$4)="",0,COUNTIF(Data!$B872:$U872,INDEX(Pengaturan!$B$8:$B$27,Q$4)))</f>
        <v>0</v>
      </c>
      <c r="R872" s="26" t="n">
        <f aca="false">IF(INDEX(Pengaturan!$B$8:$B$27,R$4)="",0,COUNTIF(Data!$B872:$U872,INDEX(Pengaturan!$B$8:$B$27,R$4)))</f>
        <v>0</v>
      </c>
      <c r="S872" s="26" t="n">
        <f aca="false">IF(INDEX(Pengaturan!$B$8:$B$27,S$4)="",0,COUNTIF(Data!$B872:$U872,INDEX(Pengaturan!$B$8:$B$27,S$4)))</f>
        <v>0</v>
      </c>
      <c r="T872" s="26" t="n">
        <f aca="false">IF(INDEX(Pengaturan!$B$8:$B$27,T$4)="",0,COUNTIF(Data!$B872:$U872,INDEX(Pengaturan!$B$8:$B$27,T$4)))</f>
        <v>0</v>
      </c>
      <c r="U872" s="26" t="n">
        <f aca="false">IF(INDEX(Pengaturan!$B$8:$B$27,U$4)="",0,COUNTIF(Data!$B872:$U872,INDEX(Pengaturan!$B$8:$B$27,U$4)))</f>
        <v>0</v>
      </c>
      <c r="V872" s="26" t="n">
        <f aca="false">COUNTA(Data!$B872:$U872)</f>
        <v>0</v>
      </c>
      <c r="W872" s="27" t="str">
        <f aca="false">IF(V872=0,"",IF(V872&lt;&gt;Hasil!$C$4,"Data kosong/tidak lengkap",IF(SUM(B872:U872)&lt;&gt;V872,"Kategori tidak dikenal","OK")))</f>
        <v/>
      </c>
      <c r="X872" s="26" t="n">
        <f aca="false">IF(OR(W872="",W872="OK"),0,1)</f>
        <v>0</v>
      </c>
    </row>
    <row r="873" customFormat="false" ht="15" hidden="false" customHeight="false" outlineLevel="0" collapsed="false">
      <c r="A873" s="26" t="n">
        <f aca="false">Data!A873</f>
        <v>868</v>
      </c>
      <c r="B873" s="26" t="n">
        <f aca="false">IF(INDEX(Pengaturan!$B$8:$B$27,B$4)="",0,COUNTIF(Data!$B873:$U873,INDEX(Pengaturan!$B$8:$B$27,B$4)))</f>
        <v>0</v>
      </c>
      <c r="C873" s="26" t="n">
        <f aca="false">IF(INDEX(Pengaturan!$B$8:$B$27,C$4)="",0,COUNTIF(Data!$B873:$U873,INDEX(Pengaturan!$B$8:$B$27,C$4)))</f>
        <v>0</v>
      </c>
      <c r="D873" s="26" t="n">
        <f aca="false">IF(INDEX(Pengaturan!$B$8:$B$27,D$4)="",0,COUNTIF(Data!$B873:$U873,INDEX(Pengaturan!$B$8:$B$27,D$4)))</f>
        <v>0</v>
      </c>
      <c r="E873" s="26" t="n">
        <f aca="false">IF(INDEX(Pengaturan!$B$8:$B$27,E$4)="",0,COUNTIF(Data!$B873:$U873,INDEX(Pengaturan!$B$8:$B$27,E$4)))</f>
        <v>0</v>
      </c>
      <c r="F873" s="26" t="n">
        <f aca="false">IF(INDEX(Pengaturan!$B$8:$B$27,F$4)="",0,COUNTIF(Data!$B873:$U873,INDEX(Pengaturan!$B$8:$B$27,F$4)))</f>
        <v>0</v>
      </c>
      <c r="G873" s="26" t="n">
        <f aca="false">IF(INDEX(Pengaturan!$B$8:$B$27,G$4)="",0,COUNTIF(Data!$B873:$U873,INDEX(Pengaturan!$B$8:$B$27,G$4)))</f>
        <v>0</v>
      </c>
      <c r="H873" s="26" t="n">
        <f aca="false">IF(INDEX(Pengaturan!$B$8:$B$27,H$4)="",0,COUNTIF(Data!$B873:$U873,INDEX(Pengaturan!$B$8:$B$27,H$4)))</f>
        <v>0</v>
      </c>
      <c r="I873" s="26" t="n">
        <f aca="false">IF(INDEX(Pengaturan!$B$8:$B$27,I$4)="",0,COUNTIF(Data!$B873:$U873,INDEX(Pengaturan!$B$8:$B$27,I$4)))</f>
        <v>0</v>
      </c>
      <c r="J873" s="26" t="n">
        <f aca="false">IF(INDEX(Pengaturan!$B$8:$B$27,J$4)="",0,COUNTIF(Data!$B873:$U873,INDEX(Pengaturan!$B$8:$B$27,J$4)))</f>
        <v>0</v>
      </c>
      <c r="K873" s="26" t="n">
        <f aca="false">IF(INDEX(Pengaturan!$B$8:$B$27,K$4)="",0,COUNTIF(Data!$B873:$U873,INDEX(Pengaturan!$B$8:$B$27,K$4)))</f>
        <v>0</v>
      </c>
      <c r="L873" s="26" t="n">
        <f aca="false">IF(INDEX(Pengaturan!$B$8:$B$27,L$4)="",0,COUNTIF(Data!$B873:$U873,INDEX(Pengaturan!$B$8:$B$27,L$4)))</f>
        <v>0</v>
      </c>
      <c r="M873" s="26" t="n">
        <f aca="false">IF(INDEX(Pengaturan!$B$8:$B$27,M$4)="",0,COUNTIF(Data!$B873:$U873,INDEX(Pengaturan!$B$8:$B$27,M$4)))</f>
        <v>0</v>
      </c>
      <c r="N873" s="26" t="n">
        <f aca="false">IF(INDEX(Pengaturan!$B$8:$B$27,N$4)="",0,COUNTIF(Data!$B873:$U873,INDEX(Pengaturan!$B$8:$B$27,N$4)))</f>
        <v>0</v>
      </c>
      <c r="O873" s="26" t="n">
        <f aca="false">IF(INDEX(Pengaturan!$B$8:$B$27,O$4)="",0,COUNTIF(Data!$B873:$U873,INDEX(Pengaturan!$B$8:$B$27,O$4)))</f>
        <v>0</v>
      </c>
      <c r="P873" s="26" t="n">
        <f aca="false">IF(INDEX(Pengaturan!$B$8:$B$27,P$4)="",0,COUNTIF(Data!$B873:$U873,INDEX(Pengaturan!$B$8:$B$27,P$4)))</f>
        <v>0</v>
      </c>
      <c r="Q873" s="26" t="n">
        <f aca="false">IF(INDEX(Pengaturan!$B$8:$B$27,Q$4)="",0,COUNTIF(Data!$B873:$U873,INDEX(Pengaturan!$B$8:$B$27,Q$4)))</f>
        <v>0</v>
      </c>
      <c r="R873" s="26" t="n">
        <f aca="false">IF(INDEX(Pengaturan!$B$8:$B$27,R$4)="",0,COUNTIF(Data!$B873:$U873,INDEX(Pengaturan!$B$8:$B$27,R$4)))</f>
        <v>0</v>
      </c>
      <c r="S873" s="26" t="n">
        <f aca="false">IF(INDEX(Pengaturan!$B$8:$B$27,S$4)="",0,COUNTIF(Data!$B873:$U873,INDEX(Pengaturan!$B$8:$B$27,S$4)))</f>
        <v>0</v>
      </c>
      <c r="T873" s="26" t="n">
        <f aca="false">IF(INDEX(Pengaturan!$B$8:$B$27,T$4)="",0,COUNTIF(Data!$B873:$U873,INDEX(Pengaturan!$B$8:$B$27,T$4)))</f>
        <v>0</v>
      </c>
      <c r="U873" s="26" t="n">
        <f aca="false">IF(INDEX(Pengaturan!$B$8:$B$27,U$4)="",0,COUNTIF(Data!$B873:$U873,INDEX(Pengaturan!$B$8:$B$27,U$4)))</f>
        <v>0</v>
      </c>
      <c r="V873" s="26" t="n">
        <f aca="false">COUNTA(Data!$B873:$U873)</f>
        <v>0</v>
      </c>
      <c r="W873" s="27" t="str">
        <f aca="false">IF(V873=0,"",IF(V873&lt;&gt;Hasil!$C$4,"Data kosong/tidak lengkap",IF(SUM(B873:U873)&lt;&gt;V873,"Kategori tidak dikenal","OK")))</f>
        <v/>
      </c>
      <c r="X873" s="26" t="n">
        <f aca="false">IF(OR(W873="",W873="OK"),0,1)</f>
        <v>0</v>
      </c>
    </row>
    <row r="874" customFormat="false" ht="15" hidden="false" customHeight="false" outlineLevel="0" collapsed="false">
      <c r="A874" s="26" t="n">
        <f aca="false">Data!A874</f>
        <v>869</v>
      </c>
      <c r="B874" s="26" t="n">
        <f aca="false">IF(INDEX(Pengaturan!$B$8:$B$27,B$4)="",0,COUNTIF(Data!$B874:$U874,INDEX(Pengaturan!$B$8:$B$27,B$4)))</f>
        <v>0</v>
      </c>
      <c r="C874" s="26" t="n">
        <f aca="false">IF(INDEX(Pengaturan!$B$8:$B$27,C$4)="",0,COUNTIF(Data!$B874:$U874,INDEX(Pengaturan!$B$8:$B$27,C$4)))</f>
        <v>0</v>
      </c>
      <c r="D874" s="26" t="n">
        <f aca="false">IF(INDEX(Pengaturan!$B$8:$B$27,D$4)="",0,COUNTIF(Data!$B874:$U874,INDEX(Pengaturan!$B$8:$B$27,D$4)))</f>
        <v>0</v>
      </c>
      <c r="E874" s="26" t="n">
        <f aca="false">IF(INDEX(Pengaturan!$B$8:$B$27,E$4)="",0,COUNTIF(Data!$B874:$U874,INDEX(Pengaturan!$B$8:$B$27,E$4)))</f>
        <v>0</v>
      </c>
      <c r="F874" s="26" t="n">
        <f aca="false">IF(INDEX(Pengaturan!$B$8:$B$27,F$4)="",0,COUNTIF(Data!$B874:$U874,INDEX(Pengaturan!$B$8:$B$27,F$4)))</f>
        <v>0</v>
      </c>
      <c r="G874" s="26" t="n">
        <f aca="false">IF(INDEX(Pengaturan!$B$8:$B$27,G$4)="",0,COUNTIF(Data!$B874:$U874,INDEX(Pengaturan!$B$8:$B$27,G$4)))</f>
        <v>0</v>
      </c>
      <c r="H874" s="26" t="n">
        <f aca="false">IF(INDEX(Pengaturan!$B$8:$B$27,H$4)="",0,COUNTIF(Data!$B874:$U874,INDEX(Pengaturan!$B$8:$B$27,H$4)))</f>
        <v>0</v>
      </c>
      <c r="I874" s="26" t="n">
        <f aca="false">IF(INDEX(Pengaturan!$B$8:$B$27,I$4)="",0,COUNTIF(Data!$B874:$U874,INDEX(Pengaturan!$B$8:$B$27,I$4)))</f>
        <v>0</v>
      </c>
      <c r="J874" s="26" t="n">
        <f aca="false">IF(INDEX(Pengaturan!$B$8:$B$27,J$4)="",0,COUNTIF(Data!$B874:$U874,INDEX(Pengaturan!$B$8:$B$27,J$4)))</f>
        <v>0</v>
      </c>
      <c r="K874" s="26" t="n">
        <f aca="false">IF(INDEX(Pengaturan!$B$8:$B$27,K$4)="",0,COUNTIF(Data!$B874:$U874,INDEX(Pengaturan!$B$8:$B$27,K$4)))</f>
        <v>0</v>
      </c>
      <c r="L874" s="26" t="n">
        <f aca="false">IF(INDEX(Pengaturan!$B$8:$B$27,L$4)="",0,COUNTIF(Data!$B874:$U874,INDEX(Pengaturan!$B$8:$B$27,L$4)))</f>
        <v>0</v>
      </c>
      <c r="M874" s="26" t="n">
        <f aca="false">IF(INDEX(Pengaturan!$B$8:$B$27,M$4)="",0,COUNTIF(Data!$B874:$U874,INDEX(Pengaturan!$B$8:$B$27,M$4)))</f>
        <v>0</v>
      </c>
      <c r="N874" s="26" t="n">
        <f aca="false">IF(INDEX(Pengaturan!$B$8:$B$27,N$4)="",0,COUNTIF(Data!$B874:$U874,INDEX(Pengaturan!$B$8:$B$27,N$4)))</f>
        <v>0</v>
      </c>
      <c r="O874" s="26" t="n">
        <f aca="false">IF(INDEX(Pengaturan!$B$8:$B$27,O$4)="",0,COUNTIF(Data!$B874:$U874,INDEX(Pengaturan!$B$8:$B$27,O$4)))</f>
        <v>0</v>
      </c>
      <c r="P874" s="26" t="n">
        <f aca="false">IF(INDEX(Pengaturan!$B$8:$B$27,P$4)="",0,COUNTIF(Data!$B874:$U874,INDEX(Pengaturan!$B$8:$B$27,P$4)))</f>
        <v>0</v>
      </c>
      <c r="Q874" s="26" t="n">
        <f aca="false">IF(INDEX(Pengaturan!$B$8:$B$27,Q$4)="",0,COUNTIF(Data!$B874:$U874,INDEX(Pengaturan!$B$8:$B$27,Q$4)))</f>
        <v>0</v>
      </c>
      <c r="R874" s="26" t="n">
        <f aca="false">IF(INDEX(Pengaturan!$B$8:$B$27,R$4)="",0,COUNTIF(Data!$B874:$U874,INDEX(Pengaturan!$B$8:$B$27,R$4)))</f>
        <v>0</v>
      </c>
      <c r="S874" s="26" t="n">
        <f aca="false">IF(INDEX(Pengaturan!$B$8:$B$27,S$4)="",0,COUNTIF(Data!$B874:$U874,INDEX(Pengaturan!$B$8:$B$27,S$4)))</f>
        <v>0</v>
      </c>
      <c r="T874" s="26" t="n">
        <f aca="false">IF(INDEX(Pengaturan!$B$8:$B$27,T$4)="",0,COUNTIF(Data!$B874:$U874,INDEX(Pengaturan!$B$8:$B$27,T$4)))</f>
        <v>0</v>
      </c>
      <c r="U874" s="26" t="n">
        <f aca="false">IF(INDEX(Pengaturan!$B$8:$B$27,U$4)="",0,COUNTIF(Data!$B874:$U874,INDEX(Pengaturan!$B$8:$B$27,U$4)))</f>
        <v>0</v>
      </c>
      <c r="V874" s="26" t="n">
        <f aca="false">COUNTA(Data!$B874:$U874)</f>
        <v>0</v>
      </c>
      <c r="W874" s="27" t="str">
        <f aca="false">IF(V874=0,"",IF(V874&lt;&gt;Hasil!$C$4,"Data kosong/tidak lengkap",IF(SUM(B874:U874)&lt;&gt;V874,"Kategori tidak dikenal","OK")))</f>
        <v/>
      </c>
      <c r="X874" s="26" t="n">
        <f aca="false">IF(OR(W874="",W874="OK"),0,1)</f>
        <v>0</v>
      </c>
    </row>
    <row r="875" customFormat="false" ht="15" hidden="false" customHeight="false" outlineLevel="0" collapsed="false">
      <c r="A875" s="26" t="n">
        <f aca="false">Data!A875</f>
        <v>870</v>
      </c>
      <c r="B875" s="26" t="n">
        <f aca="false">IF(INDEX(Pengaturan!$B$8:$B$27,B$4)="",0,COUNTIF(Data!$B875:$U875,INDEX(Pengaturan!$B$8:$B$27,B$4)))</f>
        <v>0</v>
      </c>
      <c r="C875" s="26" t="n">
        <f aca="false">IF(INDEX(Pengaturan!$B$8:$B$27,C$4)="",0,COUNTIF(Data!$B875:$U875,INDEX(Pengaturan!$B$8:$B$27,C$4)))</f>
        <v>0</v>
      </c>
      <c r="D875" s="26" t="n">
        <f aca="false">IF(INDEX(Pengaturan!$B$8:$B$27,D$4)="",0,COUNTIF(Data!$B875:$U875,INDEX(Pengaturan!$B$8:$B$27,D$4)))</f>
        <v>0</v>
      </c>
      <c r="E875" s="26" t="n">
        <f aca="false">IF(INDEX(Pengaturan!$B$8:$B$27,E$4)="",0,COUNTIF(Data!$B875:$U875,INDEX(Pengaturan!$B$8:$B$27,E$4)))</f>
        <v>0</v>
      </c>
      <c r="F875" s="26" t="n">
        <f aca="false">IF(INDEX(Pengaturan!$B$8:$B$27,F$4)="",0,COUNTIF(Data!$B875:$U875,INDEX(Pengaturan!$B$8:$B$27,F$4)))</f>
        <v>0</v>
      </c>
      <c r="G875" s="26" t="n">
        <f aca="false">IF(INDEX(Pengaturan!$B$8:$B$27,G$4)="",0,COUNTIF(Data!$B875:$U875,INDEX(Pengaturan!$B$8:$B$27,G$4)))</f>
        <v>0</v>
      </c>
      <c r="H875" s="26" t="n">
        <f aca="false">IF(INDEX(Pengaturan!$B$8:$B$27,H$4)="",0,COUNTIF(Data!$B875:$U875,INDEX(Pengaturan!$B$8:$B$27,H$4)))</f>
        <v>0</v>
      </c>
      <c r="I875" s="26" t="n">
        <f aca="false">IF(INDEX(Pengaturan!$B$8:$B$27,I$4)="",0,COUNTIF(Data!$B875:$U875,INDEX(Pengaturan!$B$8:$B$27,I$4)))</f>
        <v>0</v>
      </c>
      <c r="J875" s="26" t="n">
        <f aca="false">IF(INDEX(Pengaturan!$B$8:$B$27,J$4)="",0,COUNTIF(Data!$B875:$U875,INDEX(Pengaturan!$B$8:$B$27,J$4)))</f>
        <v>0</v>
      </c>
      <c r="K875" s="26" t="n">
        <f aca="false">IF(INDEX(Pengaturan!$B$8:$B$27,K$4)="",0,COUNTIF(Data!$B875:$U875,INDEX(Pengaturan!$B$8:$B$27,K$4)))</f>
        <v>0</v>
      </c>
      <c r="L875" s="26" t="n">
        <f aca="false">IF(INDEX(Pengaturan!$B$8:$B$27,L$4)="",0,COUNTIF(Data!$B875:$U875,INDEX(Pengaturan!$B$8:$B$27,L$4)))</f>
        <v>0</v>
      </c>
      <c r="M875" s="26" t="n">
        <f aca="false">IF(INDEX(Pengaturan!$B$8:$B$27,M$4)="",0,COUNTIF(Data!$B875:$U875,INDEX(Pengaturan!$B$8:$B$27,M$4)))</f>
        <v>0</v>
      </c>
      <c r="N875" s="26" t="n">
        <f aca="false">IF(INDEX(Pengaturan!$B$8:$B$27,N$4)="",0,COUNTIF(Data!$B875:$U875,INDEX(Pengaturan!$B$8:$B$27,N$4)))</f>
        <v>0</v>
      </c>
      <c r="O875" s="26" t="n">
        <f aca="false">IF(INDEX(Pengaturan!$B$8:$B$27,O$4)="",0,COUNTIF(Data!$B875:$U875,INDEX(Pengaturan!$B$8:$B$27,O$4)))</f>
        <v>0</v>
      </c>
      <c r="P875" s="26" t="n">
        <f aca="false">IF(INDEX(Pengaturan!$B$8:$B$27,P$4)="",0,COUNTIF(Data!$B875:$U875,INDEX(Pengaturan!$B$8:$B$27,P$4)))</f>
        <v>0</v>
      </c>
      <c r="Q875" s="26" t="n">
        <f aca="false">IF(INDEX(Pengaturan!$B$8:$B$27,Q$4)="",0,COUNTIF(Data!$B875:$U875,INDEX(Pengaturan!$B$8:$B$27,Q$4)))</f>
        <v>0</v>
      </c>
      <c r="R875" s="26" t="n">
        <f aca="false">IF(INDEX(Pengaturan!$B$8:$B$27,R$4)="",0,COUNTIF(Data!$B875:$U875,INDEX(Pengaturan!$B$8:$B$27,R$4)))</f>
        <v>0</v>
      </c>
      <c r="S875" s="26" t="n">
        <f aca="false">IF(INDEX(Pengaturan!$B$8:$B$27,S$4)="",0,COUNTIF(Data!$B875:$U875,INDEX(Pengaturan!$B$8:$B$27,S$4)))</f>
        <v>0</v>
      </c>
      <c r="T875" s="26" t="n">
        <f aca="false">IF(INDEX(Pengaturan!$B$8:$B$27,T$4)="",0,COUNTIF(Data!$B875:$U875,INDEX(Pengaturan!$B$8:$B$27,T$4)))</f>
        <v>0</v>
      </c>
      <c r="U875" s="26" t="n">
        <f aca="false">IF(INDEX(Pengaturan!$B$8:$B$27,U$4)="",0,COUNTIF(Data!$B875:$U875,INDEX(Pengaturan!$B$8:$B$27,U$4)))</f>
        <v>0</v>
      </c>
      <c r="V875" s="26" t="n">
        <f aca="false">COUNTA(Data!$B875:$U875)</f>
        <v>0</v>
      </c>
      <c r="W875" s="27" t="str">
        <f aca="false">IF(V875=0,"",IF(V875&lt;&gt;Hasil!$C$4,"Data kosong/tidak lengkap",IF(SUM(B875:U875)&lt;&gt;V875,"Kategori tidak dikenal","OK")))</f>
        <v/>
      </c>
      <c r="X875" s="26" t="n">
        <f aca="false">IF(OR(W875="",W875="OK"),0,1)</f>
        <v>0</v>
      </c>
    </row>
    <row r="876" customFormat="false" ht="15" hidden="false" customHeight="false" outlineLevel="0" collapsed="false">
      <c r="A876" s="26" t="n">
        <f aca="false">Data!A876</f>
        <v>871</v>
      </c>
      <c r="B876" s="26" t="n">
        <f aca="false">IF(INDEX(Pengaturan!$B$8:$B$27,B$4)="",0,COUNTIF(Data!$B876:$U876,INDEX(Pengaturan!$B$8:$B$27,B$4)))</f>
        <v>0</v>
      </c>
      <c r="C876" s="26" t="n">
        <f aca="false">IF(INDEX(Pengaturan!$B$8:$B$27,C$4)="",0,COUNTIF(Data!$B876:$U876,INDEX(Pengaturan!$B$8:$B$27,C$4)))</f>
        <v>0</v>
      </c>
      <c r="D876" s="26" t="n">
        <f aca="false">IF(INDEX(Pengaturan!$B$8:$B$27,D$4)="",0,COUNTIF(Data!$B876:$U876,INDEX(Pengaturan!$B$8:$B$27,D$4)))</f>
        <v>0</v>
      </c>
      <c r="E876" s="26" t="n">
        <f aca="false">IF(INDEX(Pengaturan!$B$8:$B$27,E$4)="",0,COUNTIF(Data!$B876:$U876,INDEX(Pengaturan!$B$8:$B$27,E$4)))</f>
        <v>0</v>
      </c>
      <c r="F876" s="26" t="n">
        <f aca="false">IF(INDEX(Pengaturan!$B$8:$B$27,F$4)="",0,COUNTIF(Data!$B876:$U876,INDEX(Pengaturan!$B$8:$B$27,F$4)))</f>
        <v>0</v>
      </c>
      <c r="G876" s="26" t="n">
        <f aca="false">IF(INDEX(Pengaturan!$B$8:$B$27,G$4)="",0,COUNTIF(Data!$B876:$U876,INDEX(Pengaturan!$B$8:$B$27,G$4)))</f>
        <v>0</v>
      </c>
      <c r="H876" s="26" t="n">
        <f aca="false">IF(INDEX(Pengaturan!$B$8:$B$27,H$4)="",0,COUNTIF(Data!$B876:$U876,INDEX(Pengaturan!$B$8:$B$27,H$4)))</f>
        <v>0</v>
      </c>
      <c r="I876" s="26" t="n">
        <f aca="false">IF(INDEX(Pengaturan!$B$8:$B$27,I$4)="",0,COUNTIF(Data!$B876:$U876,INDEX(Pengaturan!$B$8:$B$27,I$4)))</f>
        <v>0</v>
      </c>
      <c r="J876" s="26" t="n">
        <f aca="false">IF(INDEX(Pengaturan!$B$8:$B$27,J$4)="",0,COUNTIF(Data!$B876:$U876,INDEX(Pengaturan!$B$8:$B$27,J$4)))</f>
        <v>0</v>
      </c>
      <c r="K876" s="26" t="n">
        <f aca="false">IF(INDEX(Pengaturan!$B$8:$B$27,K$4)="",0,COUNTIF(Data!$B876:$U876,INDEX(Pengaturan!$B$8:$B$27,K$4)))</f>
        <v>0</v>
      </c>
      <c r="L876" s="26" t="n">
        <f aca="false">IF(INDEX(Pengaturan!$B$8:$B$27,L$4)="",0,COUNTIF(Data!$B876:$U876,INDEX(Pengaturan!$B$8:$B$27,L$4)))</f>
        <v>0</v>
      </c>
      <c r="M876" s="26" t="n">
        <f aca="false">IF(INDEX(Pengaturan!$B$8:$B$27,M$4)="",0,COUNTIF(Data!$B876:$U876,INDEX(Pengaturan!$B$8:$B$27,M$4)))</f>
        <v>0</v>
      </c>
      <c r="N876" s="26" t="n">
        <f aca="false">IF(INDEX(Pengaturan!$B$8:$B$27,N$4)="",0,COUNTIF(Data!$B876:$U876,INDEX(Pengaturan!$B$8:$B$27,N$4)))</f>
        <v>0</v>
      </c>
      <c r="O876" s="26" t="n">
        <f aca="false">IF(INDEX(Pengaturan!$B$8:$B$27,O$4)="",0,COUNTIF(Data!$B876:$U876,INDEX(Pengaturan!$B$8:$B$27,O$4)))</f>
        <v>0</v>
      </c>
      <c r="P876" s="26" t="n">
        <f aca="false">IF(INDEX(Pengaturan!$B$8:$B$27,P$4)="",0,COUNTIF(Data!$B876:$U876,INDEX(Pengaturan!$B$8:$B$27,P$4)))</f>
        <v>0</v>
      </c>
      <c r="Q876" s="26" t="n">
        <f aca="false">IF(INDEX(Pengaturan!$B$8:$B$27,Q$4)="",0,COUNTIF(Data!$B876:$U876,INDEX(Pengaturan!$B$8:$B$27,Q$4)))</f>
        <v>0</v>
      </c>
      <c r="R876" s="26" t="n">
        <f aca="false">IF(INDEX(Pengaturan!$B$8:$B$27,R$4)="",0,COUNTIF(Data!$B876:$U876,INDEX(Pengaturan!$B$8:$B$27,R$4)))</f>
        <v>0</v>
      </c>
      <c r="S876" s="26" t="n">
        <f aca="false">IF(INDEX(Pengaturan!$B$8:$B$27,S$4)="",0,COUNTIF(Data!$B876:$U876,INDEX(Pengaturan!$B$8:$B$27,S$4)))</f>
        <v>0</v>
      </c>
      <c r="T876" s="26" t="n">
        <f aca="false">IF(INDEX(Pengaturan!$B$8:$B$27,T$4)="",0,COUNTIF(Data!$B876:$U876,INDEX(Pengaturan!$B$8:$B$27,T$4)))</f>
        <v>0</v>
      </c>
      <c r="U876" s="26" t="n">
        <f aca="false">IF(INDEX(Pengaturan!$B$8:$B$27,U$4)="",0,COUNTIF(Data!$B876:$U876,INDEX(Pengaturan!$B$8:$B$27,U$4)))</f>
        <v>0</v>
      </c>
      <c r="V876" s="26" t="n">
        <f aca="false">COUNTA(Data!$B876:$U876)</f>
        <v>0</v>
      </c>
      <c r="W876" s="27" t="str">
        <f aca="false">IF(V876=0,"",IF(V876&lt;&gt;Hasil!$C$4,"Data kosong/tidak lengkap",IF(SUM(B876:U876)&lt;&gt;V876,"Kategori tidak dikenal","OK")))</f>
        <v/>
      </c>
      <c r="X876" s="26" t="n">
        <f aca="false">IF(OR(W876="",W876="OK"),0,1)</f>
        <v>0</v>
      </c>
    </row>
    <row r="877" customFormat="false" ht="15" hidden="false" customHeight="false" outlineLevel="0" collapsed="false">
      <c r="A877" s="26" t="n">
        <f aca="false">Data!A877</f>
        <v>872</v>
      </c>
      <c r="B877" s="26" t="n">
        <f aca="false">IF(INDEX(Pengaturan!$B$8:$B$27,B$4)="",0,COUNTIF(Data!$B877:$U877,INDEX(Pengaturan!$B$8:$B$27,B$4)))</f>
        <v>0</v>
      </c>
      <c r="C877" s="26" t="n">
        <f aca="false">IF(INDEX(Pengaturan!$B$8:$B$27,C$4)="",0,COUNTIF(Data!$B877:$U877,INDEX(Pengaturan!$B$8:$B$27,C$4)))</f>
        <v>0</v>
      </c>
      <c r="D877" s="26" t="n">
        <f aca="false">IF(INDEX(Pengaturan!$B$8:$B$27,D$4)="",0,COUNTIF(Data!$B877:$U877,INDEX(Pengaturan!$B$8:$B$27,D$4)))</f>
        <v>0</v>
      </c>
      <c r="E877" s="26" t="n">
        <f aca="false">IF(INDEX(Pengaturan!$B$8:$B$27,E$4)="",0,COUNTIF(Data!$B877:$U877,INDEX(Pengaturan!$B$8:$B$27,E$4)))</f>
        <v>0</v>
      </c>
      <c r="F877" s="26" t="n">
        <f aca="false">IF(INDEX(Pengaturan!$B$8:$B$27,F$4)="",0,COUNTIF(Data!$B877:$U877,INDEX(Pengaturan!$B$8:$B$27,F$4)))</f>
        <v>0</v>
      </c>
      <c r="G877" s="26" t="n">
        <f aca="false">IF(INDEX(Pengaturan!$B$8:$B$27,G$4)="",0,COUNTIF(Data!$B877:$U877,INDEX(Pengaturan!$B$8:$B$27,G$4)))</f>
        <v>0</v>
      </c>
      <c r="H877" s="26" t="n">
        <f aca="false">IF(INDEX(Pengaturan!$B$8:$B$27,H$4)="",0,COUNTIF(Data!$B877:$U877,INDEX(Pengaturan!$B$8:$B$27,H$4)))</f>
        <v>0</v>
      </c>
      <c r="I877" s="26" t="n">
        <f aca="false">IF(INDEX(Pengaturan!$B$8:$B$27,I$4)="",0,COUNTIF(Data!$B877:$U877,INDEX(Pengaturan!$B$8:$B$27,I$4)))</f>
        <v>0</v>
      </c>
      <c r="J877" s="26" t="n">
        <f aca="false">IF(INDEX(Pengaturan!$B$8:$B$27,J$4)="",0,COUNTIF(Data!$B877:$U877,INDEX(Pengaturan!$B$8:$B$27,J$4)))</f>
        <v>0</v>
      </c>
      <c r="K877" s="26" t="n">
        <f aca="false">IF(INDEX(Pengaturan!$B$8:$B$27,K$4)="",0,COUNTIF(Data!$B877:$U877,INDEX(Pengaturan!$B$8:$B$27,K$4)))</f>
        <v>0</v>
      </c>
      <c r="L877" s="26" t="n">
        <f aca="false">IF(INDEX(Pengaturan!$B$8:$B$27,L$4)="",0,COUNTIF(Data!$B877:$U877,INDEX(Pengaturan!$B$8:$B$27,L$4)))</f>
        <v>0</v>
      </c>
      <c r="M877" s="26" t="n">
        <f aca="false">IF(INDEX(Pengaturan!$B$8:$B$27,M$4)="",0,COUNTIF(Data!$B877:$U877,INDEX(Pengaturan!$B$8:$B$27,M$4)))</f>
        <v>0</v>
      </c>
      <c r="N877" s="26" t="n">
        <f aca="false">IF(INDEX(Pengaturan!$B$8:$B$27,N$4)="",0,COUNTIF(Data!$B877:$U877,INDEX(Pengaturan!$B$8:$B$27,N$4)))</f>
        <v>0</v>
      </c>
      <c r="O877" s="26" t="n">
        <f aca="false">IF(INDEX(Pengaturan!$B$8:$B$27,O$4)="",0,COUNTIF(Data!$B877:$U877,INDEX(Pengaturan!$B$8:$B$27,O$4)))</f>
        <v>0</v>
      </c>
      <c r="P877" s="26" t="n">
        <f aca="false">IF(INDEX(Pengaturan!$B$8:$B$27,P$4)="",0,COUNTIF(Data!$B877:$U877,INDEX(Pengaturan!$B$8:$B$27,P$4)))</f>
        <v>0</v>
      </c>
      <c r="Q877" s="26" t="n">
        <f aca="false">IF(INDEX(Pengaturan!$B$8:$B$27,Q$4)="",0,COUNTIF(Data!$B877:$U877,INDEX(Pengaturan!$B$8:$B$27,Q$4)))</f>
        <v>0</v>
      </c>
      <c r="R877" s="26" t="n">
        <f aca="false">IF(INDEX(Pengaturan!$B$8:$B$27,R$4)="",0,COUNTIF(Data!$B877:$U877,INDEX(Pengaturan!$B$8:$B$27,R$4)))</f>
        <v>0</v>
      </c>
      <c r="S877" s="26" t="n">
        <f aca="false">IF(INDEX(Pengaturan!$B$8:$B$27,S$4)="",0,COUNTIF(Data!$B877:$U877,INDEX(Pengaturan!$B$8:$B$27,S$4)))</f>
        <v>0</v>
      </c>
      <c r="T877" s="26" t="n">
        <f aca="false">IF(INDEX(Pengaturan!$B$8:$B$27,T$4)="",0,COUNTIF(Data!$B877:$U877,INDEX(Pengaturan!$B$8:$B$27,T$4)))</f>
        <v>0</v>
      </c>
      <c r="U877" s="26" t="n">
        <f aca="false">IF(INDEX(Pengaturan!$B$8:$B$27,U$4)="",0,COUNTIF(Data!$B877:$U877,INDEX(Pengaturan!$B$8:$B$27,U$4)))</f>
        <v>0</v>
      </c>
      <c r="V877" s="26" t="n">
        <f aca="false">COUNTA(Data!$B877:$U877)</f>
        <v>0</v>
      </c>
      <c r="W877" s="27" t="str">
        <f aca="false">IF(V877=0,"",IF(V877&lt;&gt;Hasil!$C$4,"Data kosong/tidak lengkap",IF(SUM(B877:U877)&lt;&gt;V877,"Kategori tidak dikenal","OK")))</f>
        <v/>
      </c>
      <c r="X877" s="26" t="n">
        <f aca="false">IF(OR(W877="",W877="OK"),0,1)</f>
        <v>0</v>
      </c>
    </row>
    <row r="878" customFormat="false" ht="15" hidden="false" customHeight="false" outlineLevel="0" collapsed="false">
      <c r="A878" s="26" t="n">
        <f aca="false">Data!A878</f>
        <v>873</v>
      </c>
      <c r="B878" s="26" t="n">
        <f aca="false">IF(INDEX(Pengaturan!$B$8:$B$27,B$4)="",0,COUNTIF(Data!$B878:$U878,INDEX(Pengaturan!$B$8:$B$27,B$4)))</f>
        <v>0</v>
      </c>
      <c r="C878" s="26" t="n">
        <f aca="false">IF(INDEX(Pengaturan!$B$8:$B$27,C$4)="",0,COUNTIF(Data!$B878:$U878,INDEX(Pengaturan!$B$8:$B$27,C$4)))</f>
        <v>0</v>
      </c>
      <c r="D878" s="26" t="n">
        <f aca="false">IF(INDEX(Pengaturan!$B$8:$B$27,D$4)="",0,COUNTIF(Data!$B878:$U878,INDEX(Pengaturan!$B$8:$B$27,D$4)))</f>
        <v>0</v>
      </c>
      <c r="E878" s="26" t="n">
        <f aca="false">IF(INDEX(Pengaturan!$B$8:$B$27,E$4)="",0,COUNTIF(Data!$B878:$U878,INDEX(Pengaturan!$B$8:$B$27,E$4)))</f>
        <v>0</v>
      </c>
      <c r="F878" s="26" t="n">
        <f aca="false">IF(INDEX(Pengaturan!$B$8:$B$27,F$4)="",0,COUNTIF(Data!$B878:$U878,INDEX(Pengaturan!$B$8:$B$27,F$4)))</f>
        <v>0</v>
      </c>
      <c r="G878" s="26" t="n">
        <f aca="false">IF(INDEX(Pengaturan!$B$8:$B$27,G$4)="",0,COUNTIF(Data!$B878:$U878,INDEX(Pengaturan!$B$8:$B$27,G$4)))</f>
        <v>0</v>
      </c>
      <c r="H878" s="26" t="n">
        <f aca="false">IF(INDEX(Pengaturan!$B$8:$B$27,H$4)="",0,COUNTIF(Data!$B878:$U878,INDEX(Pengaturan!$B$8:$B$27,H$4)))</f>
        <v>0</v>
      </c>
      <c r="I878" s="26" t="n">
        <f aca="false">IF(INDEX(Pengaturan!$B$8:$B$27,I$4)="",0,COUNTIF(Data!$B878:$U878,INDEX(Pengaturan!$B$8:$B$27,I$4)))</f>
        <v>0</v>
      </c>
      <c r="J878" s="26" t="n">
        <f aca="false">IF(INDEX(Pengaturan!$B$8:$B$27,J$4)="",0,COUNTIF(Data!$B878:$U878,INDEX(Pengaturan!$B$8:$B$27,J$4)))</f>
        <v>0</v>
      </c>
      <c r="K878" s="26" t="n">
        <f aca="false">IF(INDEX(Pengaturan!$B$8:$B$27,K$4)="",0,COUNTIF(Data!$B878:$U878,INDEX(Pengaturan!$B$8:$B$27,K$4)))</f>
        <v>0</v>
      </c>
      <c r="L878" s="26" t="n">
        <f aca="false">IF(INDEX(Pengaturan!$B$8:$B$27,L$4)="",0,COUNTIF(Data!$B878:$U878,INDEX(Pengaturan!$B$8:$B$27,L$4)))</f>
        <v>0</v>
      </c>
      <c r="M878" s="26" t="n">
        <f aca="false">IF(INDEX(Pengaturan!$B$8:$B$27,M$4)="",0,COUNTIF(Data!$B878:$U878,INDEX(Pengaturan!$B$8:$B$27,M$4)))</f>
        <v>0</v>
      </c>
      <c r="N878" s="26" t="n">
        <f aca="false">IF(INDEX(Pengaturan!$B$8:$B$27,N$4)="",0,COUNTIF(Data!$B878:$U878,INDEX(Pengaturan!$B$8:$B$27,N$4)))</f>
        <v>0</v>
      </c>
      <c r="O878" s="26" t="n">
        <f aca="false">IF(INDEX(Pengaturan!$B$8:$B$27,O$4)="",0,COUNTIF(Data!$B878:$U878,INDEX(Pengaturan!$B$8:$B$27,O$4)))</f>
        <v>0</v>
      </c>
      <c r="P878" s="26" t="n">
        <f aca="false">IF(INDEX(Pengaturan!$B$8:$B$27,P$4)="",0,COUNTIF(Data!$B878:$U878,INDEX(Pengaturan!$B$8:$B$27,P$4)))</f>
        <v>0</v>
      </c>
      <c r="Q878" s="26" t="n">
        <f aca="false">IF(INDEX(Pengaturan!$B$8:$B$27,Q$4)="",0,COUNTIF(Data!$B878:$U878,INDEX(Pengaturan!$B$8:$B$27,Q$4)))</f>
        <v>0</v>
      </c>
      <c r="R878" s="26" t="n">
        <f aca="false">IF(INDEX(Pengaturan!$B$8:$B$27,R$4)="",0,COUNTIF(Data!$B878:$U878,INDEX(Pengaturan!$B$8:$B$27,R$4)))</f>
        <v>0</v>
      </c>
      <c r="S878" s="26" t="n">
        <f aca="false">IF(INDEX(Pengaturan!$B$8:$B$27,S$4)="",0,COUNTIF(Data!$B878:$U878,INDEX(Pengaturan!$B$8:$B$27,S$4)))</f>
        <v>0</v>
      </c>
      <c r="T878" s="26" t="n">
        <f aca="false">IF(INDEX(Pengaturan!$B$8:$B$27,T$4)="",0,COUNTIF(Data!$B878:$U878,INDEX(Pengaturan!$B$8:$B$27,T$4)))</f>
        <v>0</v>
      </c>
      <c r="U878" s="26" t="n">
        <f aca="false">IF(INDEX(Pengaturan!$B$8:$B$27,U$4)="",0,COUNTIF(Data!$B878:$U878,INDEX(Pengaturan!$B$8:$B$27,U$4)))</f>
        <v>0</v>
      </c>
      <c r="V878" s="26" t="n">
        <f aca="false">COUNTA(Data!$B878:$U878)</f>
        <v>0</v>
      </c>
      <c r="W878" s="27" t="str">
        <f aca="false">IF(V878=0,"",IF(V878&lt;&gt;Hasil!$C$4,"Data kosong/tidak lengkap",IF(SUM(B878:U878)&lt;&gt;V878,"Kategori tidak dikenal","OK")))</f>
        <v/>
      </c>
      <c r="X878" s="26" t="n">
        <f aca="false">IF(OR(W878="",W878="OK"),0,1)</f>
        <v>0</v>
      </c>
    </row>
    <row r="879" customFormat="false" ht="15" hidden="false" customHeight="false" outlineLevel="0" collapsed="false">
      <c r="A879" s="26" t="n">
        <f aca="false">Data!A879</f>
        <v>874</v>
      </c>
      <c r="B879" s="26" t="n">
        <f aca="false">IF(INDEX(Pengaturan!$B$8:$B$27,B$4)="",0,COUNTIF(Data!$B879:$U879,INDEX(Pengaturan!$B$8:$B$27,B$4)))</f>
        <v>0</v>
      </c>
      <c r="C879" s="26" t="n">
        <f aca="false">IF(INDEX(Pengaturan!$B$8:$B$27,C$4)="",0,COUNTIF(Data!$B879:$U879,INDEX(Pengaturan!$B$8:$B$27,C$4)))</f>
        <v>0</v>
      </c>
      <c r="D879" s="26" t="n">
        <f aca="false">IF(INDEX(Pengaturan!$B$8:$B$27,D$4)="",0,COUNTIF(Data!$B879:$U879,INDEX(Pengaturan!$B$8:$B$27,D$4)))</f>
        <v>0</v>
      </c>
      <c r="E879" s="26" t="n">
        <f aca="false">IF(INDEX(Pengaturan!$B$8:$B$27,E$4)="",0,COUNTIF(Data!$B879:$U879,INDEX(Pengaturan!$B$8:$B$27,E$4)))</f>
        <v>0</v>
      </c>
      <c r="F879" s="26" t="n">
        <f aca="false">IF(INDEX(Pengaturan!$B$8:$B$27,F$4)="",0,COUNTIF(Data!$B879:$U879,INDEX(Pengaturan!$B$8:$B$27,F$4)))</f>
        <v>0</v>
      </c>
      <c r="G879" s="26" t="n">
        <f aca="false">IF(INDEX(Pengaturan!$B$8:$B$27,G$4)="",0,COUNTIF(Data!$B879:$U879,INDEX(Pengaturan!$B$8:$B$27,G$4)))</f>
        <v>0</v>
      </c>
      <c r="H879" s="26" t="n">
        <f aca="false">IF(INDEX(Pengaturan!$B$8:$B$27,H$4)="",0,COUNTIF(Data!$B879:$U879,INDEX(Pengaturan!$B$8:$B$27,H$4)))</f>
        <v>0</v>
      </c>
      <c r="I879" s="26" t="n">
        <f aca="false">IF(INDEX(Pengaturan!$B$8:$B$27,I$4)="",0,COUNTIF(Data!$B879:$U879,INDEX(Pengaturan!$B$8:$B$27,I$4)))</f>
        <v>0</v>
      </c>
      <c r="J879" s="26" t="n">
        <f aca="false">IF(INDEX(Pengaturan!$B$8:$B$27,J$4)="",0,COUNTIF(Data!$B879:$U879,INDEX(Pengaturan!$B$8:$B$27,J$4)))</f>
        <v>0</v>
      </c>
      <c r="K879" s="26" t="n">
        <f aca="false">IF(INDEX(Pengaturan!$B$8:$B$27,K$4)="",0,COUNTIF(Data!$B879:$U879,INDEX(Pengaturan!$B$8:$B$27,K$4)))</f>
        <v>0</v>
      </c>
      <c r="L879" s="26" t="n">
        <f aca="false">IF(INDEX(Pengaturan!$B$8:$B$27,L$4)="",0,COUNTIF(Data!$B879:$U879,INDEX(Pengaturan!$B$8:$B$27,L$4)))</f>
        <v>0</v>
      </c>
      <c r="M879" s="26" t="n">
        <f aca="false">IF(INDEX(Pengaturan!$B$8:$B$27,M$4)="",0,COUNTIF(Data!$B879:$U879,INDEX(Pengaturan!$B$8:$B$27,M$4)))</f>
        <v>0</v>
      </c>
      <c r="N879" s="26" t="n">
        <f aca="false">IF(INDEX(Pengaturan!$B$8:$B$27,N$4)="",0,COUNTIF(Data!$B879:$U879,INDEX(Pengaturan!$B$8:$B$27,N$4)))</f>
        <v>0</v>
      </c>
      <c r="O879" s="26" t="n">
        <f aca="false">IF(INDEX(Pengaturan!$B$8:$B$27,O$4)="",0,COUNTIF(Data!$B879:$U879,INDEX(Pengaturan!$B$8:$B$27,O$4)))</f>
        <v>0</v>
      </c>
      <c r="P879" s="26" t="n">
        <f aca="false">IF(INDEX(Pengaturan!$B$8:$B$27,P$4)="",0,COUNTIF(Data!$B879:$U879,INDEX(Pengaturan!$B$8:$B$27,P$4)))</f>
        <v>0</v>
      </c>
      <c r="Q879" s="26" t="n">
        <f aca="false">IF(INDEX(Pengaturan!$B$8:$B$27,Q$4)="",0,COUNTIF(Data!$B879:$U879,INDEX(Pengaturan!$B$8:$B$27,Q$4)))</f>
        <v>0</v>
      </c>
      <c r="R879" s="26" t="n">
        <f aca="false">IF(INDEX(Pengaturan!$B$8:$B$27,R$4)="",0,COUNTIF(Data!$B879:$U879,INDEX(Pengaturan!$B$8:$B$27,R$4)))</f>
        <v>0</v>
      </c>
      <c r="S879" s="26" t="n">
        <f aca="false">IF(INDEX(Pengaturan!$B$8:$B$27,S$4)="",0,COUNTIF(Data!$B879:$U879,INDEX(Pengaturan!$B$8:$B$27,S$4)))</f>
        <v>0</v>
      </c>
      <c r="T879" s="26" t="n">
        <f aca="false">IF(INDEX(Pengaturan!$B$8:$B$27,T$4)="",0,COUNTIF(Data!$B879:$U879,INDEX(Pengaturan!$B$8:$B$27,T$4)))</f>
        <v>0</v>
      </c>
      <c r="U879" s="26" t="n">
        <f aca="false">IF(INDEX(Pengaturan!$B$8:$B$27,U$4)="",0,COUNTIF(Data!$B879:$U879,INDEX(Pengaturan!$B$8:$B$27,U$4)))</f>
        <v>0</v>
      </c>
      <c r="V879" s="26" t="n">
        <f aca="false">COUNTA(Data!$B879:$U879)</f>
        <v>0</v>
      </c>
      <c r="W879" s="27" t="str">
        <f aca="false">IF(V879=0,"",IF(V879&lt;&gt;Hasil!$C$4,"Data kosong/tidak lengkap",IF(SUM(B879:U879)&lt;&gt;V879,"Kategori tidak dikenal","OK")))</f>
        <v/>
      </c>
      <c r="X879" s="26" t="n">
        <f aca="false">IF(OR(W879="",W879="OK"),0,1)</f>
        <v>0</v>
      </c>
    </row>
    <row r="880" customFormat="false" ht="15" hidden="false" customHeight="false" outlineLevel="0" collapsed="false">
      <c r="A880" s="26" t="n">
        <f aca="false">Data!A880</f>
        <v>875</v>
      </c>
      <c r="B880" s="26" t="n">
        <f aca="false">IF(INDEX(Pengaturan!$B$8:$B$27,B$4)="",0,COUNTIF(Data!$B880:$U880,INDEX(Pengaturan!$B$8:$B$27,B$4)))</f>
        <v>0</v>
      </c>
      <c r="C880" s="26" t="n">
        <f aca="false">IF(INDEX(Pengaturan!$B$8:$B$27,C$4)="",0,COUNTIF(Data!$B880:$U880,INDEX(Pengaturan!$B$8:$B$27,C$4)))</f>
        <v>0</v>
      </c>
      <c r="D880" s="26" t="n">
        <f aca="false">IF(INDEX(Pengaturan!$B$8:$B$27,D$4)="",0,COUNTIF(Data!$B880:$U880,INDEX(Pengaturan!$B$8:$B$27,D$4)))</f>
        <v>0</v>
      </c>
      <c r="E880" s="26" t="n">
        <f aca="false">IF(INDEX(Pengaturan!$B$8:$B$27,E$4)="",0,COUNTIF(Data!$B880:$U880,INDEX(Pengaturan!$B$8:$B$27,E$4)))</f>
        <v>0</v>
      </c>
      <c r="F880" s="26" t="n">
        <f aca="false">IF(INDEX(Pengaturan!$B$8:$B$27,F$4)="",0,COUNTIF(Data!$B880:$U880,INDEX(Pengaturan!$B$8:$B$27,F$4)))</f>
        <v>0</v>
      </c>
      <c r="G880" s="26" t="n">
        <f aca="false">IF(INDEX(Pengaturan!$B$8:$B$27,G$4)="",0,COUNTIF(Data!$B880:$U880,INDEX(Pengaturan!$B$8:$B$27,G$4)))</f>
        <v>0</v>
      </c>
      <c r="H880" s="26" t="n">
        <f aca="false">IF(INDEX(Pengaturan!$B$8:$B$27,H$4)="",0,COUNTIF(Data!$B880:$U880,INDEX(Pengaturan!$B$8:$B$27,H$4)))</f>
        <v>0</v>
      </c>
      <c r="I880" s="26" t="n">
        <f aca="false">IF(INDEX(Pengaturan!$B$8:$B$27,I$4)="",0,COUNTIF(Data!$B880:$U880,INDEX(Pengaturan!$B$8:$B$27,I$4)))</f>
        <v>0</v>
      </c>
      <c r="J880" s="26" t="n">
        <f aca="false">IF(INDEX(Pengaturan!$B$8:$B$27,J$4)="",0,COUNTIF(Data!$B880:$U880,INDEX(Pengaturan!$B$8:$B$27,J$4)))</f>
        <v>0</v>
      </c>
      <c r="K880" s="26" t="n">
        <f aca="false">IF(INDEX(Pengaturan!$B$8:$B$27,K$4)="",0,COUNTIF(Data!$B880:$U880,INDEX(Pengaturan!$B$8:$B$27,K$4)))</f>
        <v>0</v>
      </c>
      <c r="L880" s="26" t="n">
        <f aca="false">IF(INDEX(Pengaturan!$B$8:$B$27,L$4)="",0,COUNTIF(Data!$B880:$U880,INDEX(Pengaturan!$B$8:$B$27,L$4)))</f>
        <v>0</v>
      </c>
      <c r="M880" s="26" t="n">
        <f aca="false">IF(INDEX(Pengaturan!$B$8:$B$27,M$4)="",0,COUNTIF(Data!$B880:$U880,INDEX(Pengaturan!$B$8:$B$27,M$4)))</f>
        <v>0</v>
      </c>
      <c r="N880" s="26" t="n">
        <f aca="false">IF(INDEX(Pengaturan!$B$8:$B$27,N$4)="",0,COUNTIF(Data!$B880:$U880,INDEX(Pengaturan!$B$8:$B$27,N$4)))</f>
        <v>0</v>
      </c>
      <c r="O880" s="26" t="n">
        <f aca="false">IF(INDEX(Pengaturan!$B$8:$B$27,O$4)="",0,COUNTIF(Data!$B880:$U880,INDEX(Pengaturan!$B$8:$B$27,O$4)))</f>
        <v>0</v>
      </c>
      <c r="P880" s="26" t="n">
        <f aca="false">IF(INDEX(Pengaturan!$B$8:$B$27,P$4)="",0,COUNTIF(Data!$B880:$U880,INDEX(Pengaturan!$B$8:$B$27,P$4)))</f>
        <v>0</v>
      </c>
      <c r="Q880" s="26" t="n">
        <f aca="false">IF(INDEX(Pengaturan!$B$8:$B$27,Q$4)="",0,COUNTIF(Data!$B880:$U880,INDEX(Pengaturan!$B$8:$B$27,Q$4)))</f>
        <v>0</v>
      </c>
      <c r="R880" s="26" t="n">
        <f aca="false">IF(INDEX(Pengaturan!$B$8:$B$27,R$4)="",0,COUNTIF(Data!$B880:$U880,INDEX(Pengaturan!$B$8:$B$27,R$4)))</f>
        <v>0</v>
      </c>
      <c r="S880" s="26" t="n">
        <f aca="false">IF(INDEX(Pengaturan!$B$8:$B$27,S$4)="",0,COUNTIF(Data!$B880:$U880,INDEX(Pengaturan!$B$8:$B$27,S$4)))</f>
        <v>0</v>
      </c>
      <c r="T880" s="26" t="n">
        <f aca="false">IF(INDEX(Pengaturan!$B$8:$B$27,T$4)="",0,COUNTIF(Data!$B880:$U880,INDEX(Pengaturan!$B$8:$B$27,T$4)))</f>
        <v>0</v>
      </c>
      <c r="U880" s="26" t="n">
        <f aca="false">IF(INDEX(Pengaturan!$B$8:$B$27,U$4)="",0,COUNTIF(Data!$B880:$U880,INDEX(Pengaturan!$B$8:$B$27,U$4)))</f>
        <v>0</v>
      </c>
      <c r="V880" s="26" t="n">
        <f aca="false">COUNTA(Data!$B880:$U880)</f>
        <v>0</v>
      </c>
      <c r="W880" s="27" t="str">
        <f aca="false">IF(V880=0,"",IF(V880&lt;&gt;Hasil!$C$4,"Data kosong/tidak lengkap",IF(SUM(B880:U880)&lt;&gt;V880,"Kategori tidak dikenal","OK")))</f>
        <v/>
      </c>
      <c r="X880" s="26" t="n">
        <f aca="false">IF(OR(W880="",W880="OK"),0,1)</f>
        <v>0</v>
      </c>
    </row>
    <row r="881" customFormat="false" ht="15" hidden="false" customHeight="false" outlineLevel="0" collapsed="false">
      <c r="A881" s="26" t="n">
        <f aca="false">Data!A881</f>
        <v>876</v>
      </c>
      <c r="B881" s="26" t="n">
        <f aca="false">IF(INDEX(Pengaturan!$B$8:$B$27,B$4)="",0,COUNTIF(Data!$B881:$U881,INDEX(Pengaturan!$B$8:$B$27,B$4)))</f>
        <v>0</v>
      </c>
      <c r="C881" s="26" t="n">
        <f aca="false">IF(INDEX(Pengaturan!$B$8:$B$27,C$4)="",0,COUNTIF(Data!$B881:$U881,INDEX(Pengaturan!$B$8:$B$27,C$4)))</f>
        <v>0</v>
      </c>
      <c r="D881" s="26" t="n">
        <f aca="false">IF(INDEX(Pengaturan!$B$8:$B$27,D$4)="",0,COUNTIF(Data!$B881:$U881,INDEX(Pengaturan!$B$8:$B$27,D$4)))</f>
        <v>0</v>
      </c>
      <c r="E881" s="26" t="n">
        <f aca="false">IF(INDEX(Pengaturan!$B$8:$B$27,E$4)="",0,COUNTIF(Data!$B881:$U881,INDEX(Pengaturan!$B$8:$B$27,E$4)))</f>
        <v>0</v>
      </c>
      <c r="F881" s="26" t="n">
        <f aca="false">IF(INDEX(Pengaturan!$B$8:$B$27,F$4)="",0,COUNTIF(Data!$B881:$U881,INDEX(Pengaturan!$B$8:$B$27,F$4)))</f>
        <v>0</v>
      </c>
      <c r="G881" s="26" t="n">
        <f aca="false">IF(INDEX(Pengaturan!$B$8:$B$27,G$4)="",0,COUNTIF(Data!$B881:$U881,INDEX(Pengaturan!$B$8:$B$27,G$4)))</f>
        <v>0</v>
      </c>
      <c r="H881" s="26" t="n">
        <f aca="false">IF(INDEX(Pengaturan!$B$8:$B$27,H$4)="",0,COUNTIF(Data!$B881:$U881,INDEX(Pengaturan!$B$8:$B$27,H$4)))</f>
        <v>0</v>
      </c>
      <c r="I881" s="26" t="n">
        <f aca="false">IF(INDEX(Pengaturan!$B$8:$B$27,I$4)="",0,COUNTIF(Data!$B881:$U881,INDEX(Pengaturan!$B$8:$B$27,I$4)))</f>
        <v>0</v>
      </c>
      <c r="J881" s="26" t="n">
        <f aca="false">IF(INDEX(Pengaturan!$B$8:$B$27,J$4)="",0,COUNTIF(Data!$B881:$U881,INDEX(Pengaturan!$B$8:$B$27,J$4)))</f>
        <v>0</v>
      </c>
      <c r="K881" s="26" t="n">
        <f aca="false">IF(INDEX(Pengaturan!$B$8:$B$27,K$4)="",0,COUNTIF(Data!$B881:$U881,INDEX(Pengaturan!$B$8:$B$27,K$4)))</f>
        <v>0</v>
      </c>
      <c r="L881" s="26" t="n">
        <f aca="false">IF(INDEX(Pengaturan!$B$8:$B$27,L$4)="",0,COUNTIF(Data!$B881:$U881,INDEX(Pengaturan!$B$8:$B$27,L$4)))</f>
        <v>0</v>
      </c>
      <c r="M881" s="26" t="n">
        <f aca="false">IF(INDEX(Pengaturan!$B$8:$B$27,M$4)="",0,COUNTIF(Data!$B881:$U881,INDEX(Pengaturan!$B$8:$B$27,M$4)))</f>
        <v>0</v>
      </c>
      <c r="N881" s="26" t="n">
        <f aca="false">IF(INDEX(Pengaturan!$B$8:$B$27,N$4)="",0,COUNTIF(Data!$B881:$U881,INDEX(Pengaturan!$B$8:$B$27,N$4)))</f>
        <v>0</v>
      </c>
      <c r="O881" s="26" t="n">
        <f aca="false">IF(INDEX(Pengaturan!$B$8:$B$27,O$4)="",0,COUNTIF(Data!$B881:$U881,INDEX(Pengaturan!$B$8:$B$27,O$4)))</f>
        <v>0</v>
      </c>
      <c r="P881" s="26" t="n">
        <f aca="false">IF(INDEX(Pengaturan!$B$8:$B$27,P$4)="",0,COUNTIF(Data!$B881:$U881,INDEX(Pengaturan!$B$8:$B$27,P$4)))</f>
        <v>0</v>
      </c>
      <c r="Q881" s="26" t="n">
        <f aca="false">IF(INDEX(Pengaturan!$B$8:$B$27,Q$4)="",0,COUNTIF(Data!$B881:$U881,INDEX(Pengaturan!$B$8:$B$27,Q$4)))</f>
        <v>0</v>
      </c>
      <c r="R881" s="26" t="n">
        <f aca="false">IF(INDEX(Pengaturan!$B$8:$B$27,R$4)="",0,COUNTIF(Data!$B881:$U881,INDEX(Pengaturan!$B$8:$B$27,R$4)))</f>
        <v>0</v>
      </c>
      <c r="S881" s="26" t="n">
        <f aca="false">IF(INDEX(Pengaturan!$B$8:$B$27,S$4)="",0,COUNTIF(Data!$B881:$U881,INDEX(Pengaturan!$B$8:$B$27,S$4)))</f>
        <v>0</v>
      </c>
      <c r="T881" s="26" t="n">
        <f aca="false">IF(INDEX(Pengaturan!$B$8:$B$27,T$4)="",0,COUNTIF(Data!$B881:$U881,INDEX(Pengaturan!$B$8:$B$27,T$4)))</f>
        <v>0</v>
      </c>
      <c r="U881" s="26" t="n">
        <f aca="false">IF(INDEX(Pengaturan!$B$8:$B$27,U$4)="",0,COUNTIF(Data!$B881:$U881,INDEX(Pengaturan!$B$8:$B$27,U$4)))</f>
        <v>0</v>
      </c>
      <c r="V881" s="26" t="n">
        <f aca="false">COUNTA(Data!$B881:$U881)</f>
        <v>0</v>
      </c>
      <c r="W881" s="27" t="str">
        <f aca="false">IF(V881=0,"",IF(V881&lt;&gt;Hasil!$C$4,"Data kosong/tidak lengkap",IF(SUM(B881:U881)&lt;&gt;V881,"Kategori tidak dikenal","OK")))</f>
        <v/>
      </c>
      <c r="X881" s="26" t="n">
        <f aca="false">IF(OR(W881="",W881="OK"),0,1)</f>
        <v>0</v>
      </c>
    </row>
    <row r="882" customFormat="false" ht="15" hidden="false" customHeight="false" outlineLevel="0" collapsed="false">
      <c r="A882" s="26" t="n">
        <f aca="false">Data!A882</f>
        <v>877</v>
      </c>
      <c r="B882" s="26" t="n">
        <f aca="false">IF(INDEX(Pengaturan!$B$8:$B$27,B$4)="",0,COUNTIF(Data!$B882:$U882,INDEX(Pengaturan!$B$8:$B$27,B$4)))</f>
        <v>0</v>
      </c>
      <c r="C882" s="26" t="n">
        <f aca="false">IF(INDEX(Pengaturan!$B$8:$B$27,C$4)="",0,COUNTIF(Data!$B882:$U882,INDEX(Pengaturan!$B$8:$B$27,C$4)))</f>
        <v>0</v>
      </c>
      <c r="D882" s="26" t="n">
        <f aca="false">IF(INDEX(Pengaturan!$B$8:$B$27,D$4)="",0,COUNTIF(Data!$B882:$U882,INDEX(Pengaturan!$B$8:$B$27,D$4)))</f>
        <v>0</v>
      </c>
      <c r="E882" s="26" t="n">
        <f aca="false">IF(INDEX(Pengaturan!$B$8:$B$27,E$4)="",0,COUNTIF(Data!$B882:$U882,INDEX(Pengaturan!$B$8:$B$27,E$4)))</f>
        <v>0</v>
      </c>
      <c r="F882" s="26" t="n">
        <f aca="false">IF(INDEX(Pengaturan!$B$8:$B$27,F$4)="",0,COUNTIF(Data!$B882:$U882,INDEX(Pengaturan!$B$8:$B$27,F$4)))</f>
        <v>0</v>
      </c>
      <c r="G882" s="26" t="n">
        <f aca="false">IF(INDEX(Pengaturan!$B$8:$B$27,G$4)="",0,COUNTIF(Data!$B882:$U882,INDEX(Pengaturan!$B$8:$B$27,G$4)))</f>
        <v>0</v>
      </c>
      <c r="H882" s="26" t="n">
        <f aca="false">IF(INDEX(Pengaturan!$B$8:$B$27,H$4)="",0,COUNTIF(Data!$B882:$U882,INDEX(Pengaturan!$B$8:$B$27,H$4)))</f>
        <v>0</v>
      </c>
      <c r="I882" s="26" t="n">
        <f aca="false">IF(INDEX(Pengaturan!$B$8:$B$27,I$4)="",0,COUNTIF(Data!$B882:$U882,INDEX(Pengaturan!$B$8:$B$27,I$4)))</f>
        <v>0</v>
      </c>
      <c r="J882" s="26" t="n">
        <f aca="false">IF(INDEX(Pengaturan!$B$8:$B$27,J$4)="",0,COUNTIF(Data!$B882:$U882,INDEX(Pengaturan!$B$8:$B$27,J$4)))</f>
        <v>0</v>
      </c>
      <c r="K882" s="26" t="n">
        <f aca="false">IF(INDEX(Pengaturan!$B$8:$B$27,K$4)="",0,COUNTIF(Data!$B882:$U882,INDEX(Pengaturan!$B$8:$B$27,K$4)))</f>
        <v>0</v>
      </c>
      <c r="L882" s="26" t="n">
        <f aca="false">IF(INDEX(Pengaturan!$B$8:$B$27,L$4)="",0,COUNTIF(Data!$B882:$U882,INDEX(Pengaturan!$B$8:$B$27,L$4)))</f>
        <v>0</v>
      </c>
      <c r="M882" s="26" t="n">
        <f aca="false">IF(INDEX(Pengaturan!$B$8:$B$27,M$4)="",0,COUNTIF(Data!$B882:$U882,INDEX(Pengaturan!$B$8:$B$27,M$4)))</f>
        <v>0</v>
      </c>
      <c r="N882" s="26" t="n">
        <f aca="false">IF(INDEX(Pengaturan!$B$8:$B$27,N$4)="",0,COUNTIF(Data!$B882:$U882,INDEX(Pengaturan!$B$8:$B$27,N$4)))</f>
        <v>0</v>
      </c>
      <c r="O882" s="26" t="n">
        <f aca="false">IF(INDEX(Pengaturan!$B$8:$B$27,O$4)="",0,COUNTIF(Data!$B882:$U882,INDEX(Pengaturan!$B$8:$B$27,O$4)))</f>
        <v>0</v>
      </c>
      <c r="P882" s="26" t="n">
        <f aca="false">IF(INDEX(Pengaturan!$B$8:$B$27,P$4)="",0,COUNTIF(Data!$B882:$U882,INDEX(Pengaturan!$B$8:$B$27,P$4)))</f>
        <v>0</v>
      </c>
      <c r="Q882" s="26" t="n">
        <f aca="false">IF(INDEX(Pengaturan!$B$8:$B$27,Q$4)="",0,COUNTIF(Data!$B882:$U882,INDEX(Pengaturan!$B$8:$B$27,Q$4)))</f>
        <v>0</v>
      </c>
      <c r="R882" s="26" t="n">
        <f aca="false">IF(INDEX(Pengaturan!$B$8:$B$27,R$4)="",0,COUNTIF(Data!$B882:$U882,INDEX(Pengaturan!$B$8:$B$27,R$4)))</f>
        <v>0</v>
      </c>
      <c r="S882" s="26" t="n">
        <f aca="false">IF(INDEX(Pengaturan!$B$8:$B$27,S$4)="",0,COUNTIF(Data!$B882:$U882,INDEX(Pengaturan!$B$8:$B$27,S$4)))</f>
        <v>0</v>
      </c>
      <c r="T882" s="26" t="n">
        <f aca="false">IF(INDEX(Pengaturan!$B$8:$B$27,T$4)="",0,COUNTIF(Data!$B882:$U882,INDEX(Pengaturan!$B$8:$B$27,T$4)))</f>
        <v>0</v>
      </c>
      <c r="U882" s="26" t="n">
        <f aca="false">IF(INDEX(Pengaturan!$B$8:$B$27,U$4)="",0,COUNTIF(Data!$B882:$U882,INDEX(Pengaturan!$B$8:$B$27,U$4)))</f>
        <v>0</v>
      </c>
      <c r="V882" s="26" t="n">
        <f aca="false">COUNTA(Data!$B882:$U882)</f>
        <v>0</v>
      </c>
      <c r="W882" s="27" t="str">
        <f aca="false">IF(V882=0,"",IF(V882&lt;&gt;Hasil!$C$4,"Data kosong/tidak lengkap",IF(SUM(B882:U882)&lt;&gt;V882,"Kategori tidak dikenal","OK")))</f>
        <v/>
      </c>
      <c r="X882" s="26" t="n">
        <f aca="false">IF(OR(W882="",W882="OK"),0,1)</f>
        <v>0</v>
      </c>
    </row>
    <row r="883" customFormat="false" ht="15" hidden="false" customHeight="false" outlineLevel="0" collapsed="false">
      <c r="A883" s="26" t="n">
        <f aca="false">Data!A883</f>
        <v>878</v>
      </c>
      <c r="B883" s="26" t="n">
        <f aca="false">IF(INDEX(Pengaturan!$B$8:$B$27,B$4)="",0,COUNTIF(Data!$B883:$U883,INDEX(Pengaturan!$B$8:$B$27,B$4)))</f>
        <v>0</v>
      </c>
      <c r="C883" s="26" t="n">
        <f aca="false">IF(INDEX(Pengaturan!$B$8:$B$27,C$4)="",0,COUNTIF(Data!$B883:$U883,INDEX(Pengaturan!$B$8:$B$27,C$4)))</f>
        <v>0</v>
      </c>
      <c r="D883" s="26" t="n">
        <f aca="false">IF(INDEX(Pengaturan!$B$8:$B$27,D$4)="",0,COUNTIF(Data!$B883:$U883,INDEX(Pengaturan!$B$8:$B$27,D$4)))</f>
        <v>0</v>
      </c>
      <c r="E883" s="26" t="n">
        <f aca="false">IF(INDEX(Pengaturan!$B$8:$B$27,E$4)="",0,COUNTIF(Data!$B883:$U883,INDEX(Pengaturan!$B$8:$B$27,E$4)))</f>
        <v>0</v>
      </c>
      <c r="F883" s="26" t="n">
        <f aca="false">IF(INDEX(Pengaturan!$B$8:$B$27,F$4)="",0,COUNTIF(Data!$B883:$U883,INDEX(Pengaturan!$B$8:$B$27,F$4)))</f>
        <v>0</v>
      </c>
      <c r="G883" s="26" t="n">
        <f aca="false">IF(INDEX(Pengaturan!$B$8:$B$27,G$4)="",0,COUNTIF(Data!$B883:$U883,INDEX(Pengaturan!$B$8:$B$27,G$4)))</f>
        <v>0</v>
      </c>
      <c r="H883" s="26" t="n">
        <f aca="false">IF(INDEX(Pengaturan!$B$8:$B$27,H$4)="",0,COUNTIF(Data!$B883:$U883,INDEX(Pengaturan!$B$8:$B$27,H$4)))</f>
        <v>0</v>
      </c>
      <c r="I883" s="26" t="n">
        <f aca="false">IF(INDEX(Pengaturan!$B$8:$B$27,I$4)="",0,COUNTIF(Data!$B883:$U883,INDEX(Pengaturan!$B$8:$B$27,I$4)))</f>
        <v>0</v>
      </c>
      <c r="J883" s="26" t="n">
        <f aca="false">IF(INDEX(Pengaturan!$B$8:$B$27,J$4)="",0,COUNTIF(Data!$B883:$U883,INDEX(Pengaturan!$B$8:$B$27,J$4)))</f>
        <v>0</v>
      </c>
      <c r="K883" s="26" t="n">
        <f aca="false">IF(INDEX(Pengaturan!$B$8:$B$27,K$4)="",0,COUNTIF(Data!$B883:$U883,INDEX(Pengaturan!$B$8:$B$27,K$4)))</f>
        <v>0</v>
      </c>
      <c r="L883" s="26" t="n">
        <f aca="false">IF(INDEX(Pengaturan!$B$8:$B$27,L$4)="",0,COUNTIF(Data!$B883:$U883,INDEX(Pengaturan!$B$8:$B$27,L$4)))</f>
        <v>0</v>
      </c>
      <c r="M883" s="26" t="n">
        <f aca="false">IF(INDEX(Pengaturan!$B$8:$B$27,M$4)="",0,COUNTIF(Data!$B883:$U883,INDEX(Pengaturan!$B$8:$B$27,M$4)))</f>
        <v>0</v>
      </c>
      <c r="N883" s="26" t="n">
        <f aca="false">IF(INDEX(Pengaturan!$B$8:$B$27,N$4)="",0,COUNTIF(Data!$B883:$U883,INDEX(Pengaturan!$B$8:$B$27,N$4)))</f>
        <v>0</v>
      </c>
      <c r="O883" s="26" t="n">
        <f aca="false">IF(INDEX(Pengaturan!$B$8:$B$27,O$4)="",0,COUNTIF(Data!$B883:$U883,INDEX(Pengaturan!$B$8:$B$27,O$4)))</f>
        <v>0</v>
      </c>
      <c r="P883" s="26" t="n">
        <f aca="false">IF(INDEX(Pengaturan!$B$8:$B$27,P$4)="",0,COUNTIF(Data!$B883:$U883,INDEX(Pengaturan!$B$8:$B$27,P$4)))</f>
        <v>0</v>
      </c>
      <c r="Q883" s="26" t="n">
        <f aca="false">IF(INDEX(Pengaturan!$B$8:$B$27,Q$4)="",0,COUNTIF(Data!$B883:$U883,INDEX(Pengaturan!$B$8:$B$27,Q$4)))</f>
        <v>0</v>
      </c>
      <c r="R883" s="26" t="n">
        <f aca="false">IF(INDEX(Pengaturan!$B$8:$B$27,R$4)="",0,COUNTIF(Data!$B883:$U883,INDEX(Pengaturan!$B$8:$B$27,R$4)))</f>
        <v>0</v>
      </c>
      <c r="S883" s="26" t="n">
        <f aca="false">IF(INDEX(Pengaturan!$B$8:$B$27,S$4)="",0,COUNTIF(Data!$B883:$U883,INDEX(Pengaturan!$B$8:$B$27,S$4)))</f>
        <v>0</v>
      </c>
      <c r="T883" s="26" t="n">
        <f aca="false">IF(INDEX(Pengaturan!$B$8:$B$27,T$4)="",0,COUNTIF(Data!$B883:$U883,INDEX(Pengaturan!$B$8:$B$27,T$4)))</f>
        <v>0</v>
      </c>
      <c r="U883" s="26" t="n">
        <f aca="false">IF(INDEX(Pengaturan!$B$8:$B$27,U$4)="",0,COUNTIF(Data!$B883:$U883,INDEX(Pengaturan!$B$8:$B$27,U$4)))</f>
        <v>0</v>
      </c>
      <c r="V883" s="26" t="n">
        <f aca="false">COUNTA(Data!$B883:$U883)</f>
        <v>0</v>
      </c>
      <c r="W883" s="27" t="str">
        <f aca="false">IF(V883=0,"",IF(V883&lt;&gt;Hasil!$C$4,"Data kosong/tidak lengkap",IF(SUM(B883:U883)&lt;&gt;V883,"Kategori tidak dikenal","OK")))</f>
        <v/>
      </c>
      <c r="X883" s="26" t="n">
        <f aca="false">IF(OR(W883="",W883="OK"),0,1)</f>
        <v>0</v>
      </c>
    </row>
    <row r="884" customFormat="false" ht="15" hidden="false" customHeight="false" outlineLevel="0" collapsed="false">
      <c r="A884" s="26" t="n">
        <f aca="false">Data!A884</f>
        <v>879</v>
      </c>
      <c r="B884" s="26" t="n">
        <f aca="false">IF(INDEX(Pengaturan!$B$8:$B$27,B$4)="",0,COUNTIF(Data!$B884:$U884,INDEX(Pengaturan!$B$8:$B$27,B$4)))</f>
        <v>0</v>
      </c>
      <c r="C884" s="26" t="n">
        <f aca="false">IF(INDEX(Pengaturan!$B$8:$B$27,C$4)="",0,COUNTIF(Data!$B884:$U884,INDEX(Pengaturan!$B$8:$B$27,C$4)))</f>
        <v>0</v>
      </c>
      <c r="D884" s="26" t="n">
        <f aca="false">IF(INDEX(Pengaturan!$B$8:$B$27,D$4)="",0,COUNTIF(Data!$B884:$U884,INDEX(Pengaturan!$B$8:$B$27,D$4)))</f>
        <v>0</v>
      </c>
      <c r="E884" s="26" t="n">
        <f aca="false">IF(INDEX(Pengaturan!$B$8:$B$27,E$4)="",0,COUNTIF(Data!$B884:$U884,INDEX(Pengaturan!$B$8:$B$27,E$4)))</f>
        <v>0</v>
      </c>
      <c r="F884" s="26" t="n">
        <f aca="false">IF(INDEX(Pengaturan!$B$8:$B$27,F$4)="",0,COUNTIF(Data!$B884:$U884,INDEX(Pengaturan!$B$8:$B$27,F$4)))</f>
        <v>0</v>
      </c>
      <c r="G884" s="26" t="n">
        <f aca="false">IF(INDEX(Pengaturan!$B$8:$B$27,G$4)="",0,COUNTIF(Data!$B884:$U884,INDEX(Pengaturan!$B$8:$B$27,G$4)))</f>
        <v>0</v>
      </c>
      <c r="H884" s="26" t="n">
        <f aca="false">IF(INDEX(Pengaturan!$B$8:$B$27,H$4)="",0,COUNTIF(Data!$B884:$U884,INDEX(Pengaturan!$B$8:$B$27,H$4)))</f>
        <v>0</v>
      </c>
      <c r="I884" s="26" t="n">
        <f aca="false">IF(INDEX(Pengaturan!$B$8:$B$27,I$4)="",0,COUNTIF(Data!$B884:$U884,INDEX(Pengaturan!$B$8:$B$27,I$4)))</f>
        <v>0</v>
      </c>
      <c r="J884" s="26" t="n">
        <f aca="false">IF(INDEX(Pengaturan!$B$8:$B$27,J$4)="",0,COUNTIF(Data!$B884:$U884,INDEX(Pengaturan!$B$8:$B$27,J$4)))</f>
        <v>0</v>
      </c>
      <c r="K884" s="26" t="n">
        <f aca="false">IF(INDEX(Pengaturan!$B$8:$B$27,K$4)="",0,COUNTIF(Data!$B884:$U884,INDEX(Pengaturan!$B$8:$B$27,K$4)))</f>
        <v>0</v>
      </c>
      <c r="L884" s="26" t="n">
        <f aca="false">IF(INDEX(Pengaturan!$B$8:$B$27,L$4)="",0,COUNTIF(Data!$B884:$U884,INDEX(Pengaturan!$B$8:$B$27,L$4)))</f>
        <v>0</v>
      </c>
      <c r="M884" s="26" t="n">
        <f aca="false">IF(INDEX(Pengaturan!$B$8:$B$27,M$4)="",0,COUNTIF(Data!$B884:$U884,INDEX(Pengaturan!$B$8:$B$27,M$4)))</f>
        <v>0</v>
      </c>
      <c r="N884" s="26" t="n">
        <f aca="false">IF(INDEX(Pengaturan!$B$8:$B$27,N$4)="",0,COUNTIF(Data!$B884:$U884,INDEX(Pengaturan!$B$8:$B$27,N$4)))</f>
        <v>0</v>
      </c>
      <c r="O884" s="26" t="n">
        <f aca="false">IF(INDEX(Pengaturan!$B$8:$B$27,O$4)="",0,COUNTIF(Data!$B884:$U884,INDEX(Pengaturan!$B$8:$B$27,O$4)))</f>
        <v>0</v>
      </c>
      <c r="P884" s="26" t="n">
        <f aca="false">IF(INDEX(Pengaturan!$B$8:$B$27,P$4)="",0,COUNTIF(Data!$B884:$U884,INDEX(Pengaturan!$B$8:$B$27,P$4)))</f>
        <v>0</v>
      </c>
      <c r="Q884" s="26" t="n">
        <f aca="false">IF(INDEX(Pengaturan!$B$8:$B$27,Q$4)="",0,COUNTIF(Data!$B884:$U884,INDEX(Pengaturan!$B$8:$B$27,Q$4)))</f>
        <v>0</v>
      </c>
      <c r="R884" s="26" t="n">
        <f aca="false">IF(INDEX(Pengaturan!$B$8:$B$27,R$4)="",0,COUNTIF(Data!$B884:$U884,INDEX(Pengaturan!$B$8:$B$27,R$4)))</f>
        <v>0</v>
      </c>
      <c r="S884" s="26" t="n">
        <f aca="false">IF(INDEX(Pengaturan!$B$8:$B$27,S$4)="",0,COUNTIF(Data!$B884:$U884,INDEX(Pengaturan!$B$8:$B$27,S$4)))</f>
        <v>0</v>
      </c>
      <c r="T884" s="26" t="n">
        <f aca="false">IF(INDEX(Pengaturan!$B$8:$B$27,T$4)="",0,COUNTIF(Data!$B884:$U884,INDEX(Pengaturan!$B$8:$B$27,T$4)))</f>
        <v>0</v>
      </c>
      <c r="U884" s="26" t="n">
        <f aca="false">IF(INDEX(Pengaturan!$B$8:$B$27,U$4)="",0,COUNTIF(Data!$B884:$U884,INDEX(Pengaturan!$B$8:$B$27,U$4)))</f>
        <v>0</v>
      </c>
      <c r="V884" s="26" t="n">
        <f aca="false">COUNTA(Data!$B884:$U884)</f>
        <v>0</v>
      </c>
      <c r="W884" s="27" t="str">
        <f aca="false">IF(V884=0,"",IF(V884&lt;&gt;Hasil!$C$4,"Data kosong/tidak lengkap",IF(SUM(B884:U884)&lt;&gt;V884,"Kategori tidak dikenal","OK")))</f>
        <v/>
      </c>
      <c r="X884" s="26" t="n">
        <f aca="false">IF(OR(W884="",W884="OK"),0,1)</f>
        <v>0</v>
      </c>
    </row>
    <row r="885" customFormat="false" ht="15" hidden="false" customHeight="false" outlineLevel="0" collapsed="false">
      <c r="A885" s="26" t="n">
        <f aca="false">Data!A885</f>
        <v>880</v>
      </c>
      <c r="B885" s="26" t="n">
        <f aca="false">IF(INDEX(Pengaturan!$B$8:$B$27,B$4)="",0,COUNTIF(Data!$B885:$U885,INDEX(Pengaturan!$B$8:$B$27,B$4)))</f>
        <v>0</v>
      </c>
      <c r="C885" s="26" t="n">
        <f aca="false">IF(INDEX(Pengaturan!$B$8:$B$27,C$4)="",0,COUNTIF(Data!$B885:$U885,INDEX(Pengaturan!$B$8:$B$27,C$4)))</f>
        <v>0</v>
      </c>
      <c r="D885" s="26" t="n">
        <f aca="false">IF(INDEX(Pengaturan!$B$8:$B$27,D$4)="",0,COUNTIF(Data!$B885:$U885,INDEX(Pengaturan!$B$8:$B$27,D$4)))</f>
        <v>0</v>
      </c>
      <c r="E885" s="26" t="n">
        <f aca="false">IF(INDEX(Pengaturan!$B$8:$B$27,E$4)="",0,COUNTIF(Data!$B885:$U885,INDEX(Pengaturan!$B$8:$B$27,E$4)))</f>
        <v>0</v>
      </c>
      <c r="F885" s="26" t="n">
        <f aca="false">IF(INDEX(Pengaturan!$B$8:$B$27,F$4)="",0,COUNTIF(Data!$B885:$U885,INDEX(Pengaturan!$B$8:$B$27,F$4)))</f>
        <v>0</v>
      </c>
      <c r="G885" s="26" t="n">
        <f aca="false">IF(INDEX(Pengaturan!$B$8:$B$27,G$4)="",0,COUNTIF(Data!$B885:$U885,INDEX(Pengaturan!$B$8:$B$27,G$4)))</f>
        <v>0</v>
      </c>
      <c r="H885" s="26" t="n">
        <f aca="false">IF(INDEX(Pengaturan!$B$8:$B$27,H$4)="",0,COUNTIF(Data!$B885:$U885,INDEX(Pengaturan!$B$8:$B$27,H$4)))</f>
        <v>0</v>
      </c>
      <c r="I885" s="26" t="n">
        <f aca="false">IF(INDEX(Pengaturan!$B$8:$B$27,I$4)="",0,COUNTIF(Data!$B885:$U885,INDEX(Pengaturan!$B$8:$B$27,I$4)))</f>
        <v>0</v>
      </c>
      <c r="J885" s="26" t="n">
        <f aca="false">IF(INDEX(Pengaturan!$B$8:$B$27,J$4)="",0,COUNTIF(Data!$B885:$U885,INDEX(Pengaturan!$B$8:$B$27,J$4)))</f>
        <v>0</v>
      </c>
      <c r="K885" s="26" t="n">
        <f aca="false">IF(INDEX(Pengaturan!$B$8:$B$27,K$4)="",0,COUNTIF(Data!$B885:$U885,INDEX(Pengaturan!$B$8:$B$27,K$4)))</f>
        <v>0</v>
      </c>
      <c r="L885" s="26" t="n">
        <f aca="false">IF(INDEX(Pengaturan!$B$8:$B$27,L$4)="",0,COUNTIF(Data!$B885:$U885,INDEX(Pengaturan!$B$8:$B$27,L$4)))</f>
        <v>0</v>
      </c>
      <c r="M885" s="26" t="n">
        <f aca="false">IF(INDEX(Pengaturan!$B$8:$B$27,M$4)="",0,COUNTIF(Data!$B885:$U885,INDEX(Pengaturan!$B$8:$B$27,M$4)))</f>
        <v>0</v>
      </c>
      <c r="N885" s="26" t="n">
        <f aca="false">IF(INDEX(Pengaturan!$B$8:$B$27,N$4)="",0,COUNTIF(Data!$B885:$U885,INDEX(Pengaturan!$B$8:$B$27,N$4)))</f>
        <v>0</v>
      </c>
      <c r="O885" s="26" t="n">
        <f aca="false">IF(INDEX(Pengaturan!$B$8:$B$27,O$4)="",0,COUNTIF(Data!$B885:$U885,INDEX(Pengaturan!$B$8:$B$27,O$4)))</f>
        <v>0</v>
      </c>
      <c r="P885" s="26" t="n">
        <f aca="false">IF(INDEX(Pengaturan!$B$8:$B$27,P$4)="",0,COUNTIF(Data!$B885:$U885,INDEX(Pengaturan!$B$8:$B$27,P$4)))</f>
        <v>0</v>
      </c>
      <c r="Q885" s="26" t="n">
        <f aca="false">IF(INDEX(Pengaturan!$B$8:$B$27,Q$4)="",0,COUNTIF(Data!$B885:$U885,INDEX(Pengaturan!$B$8:$B$27,Q$4)))</f>
        <v>0</v>
      </c>
      <c r="R885" s="26" t="n">
        <f aca="false">IF(INDEX(Pengaturan!$B$8:$B$27,R$4)="",0,COUNTIF(Data!$B885:$U885,INDEX(Pengaturan!$B$8:$B$27,R$4)))</f>
        <v>0</v>
      </c>
      <c r="S885" s="26" t="n">
        <f aca="false">IF(INDEX(Pengaturan!$B$8:$B$27,S$4)="",0,COUNTIF(Data!$B885:$U885,INDEX(Pengaturan!$B$8:$B$27,S$4)))</f>
        <v>0</v>
      </c>
      <c r="T885" s="26" t="n">
        <f aca="false">IF(INDEX(Pengaturan!$B$8:$B$27,T$4)="",0,COUNTIF(Data!$B885:$U885,INDEX(Pengaturan!$B$8:$B$27,T$4)))</f>
        <v>0</v>
      </c>
      <c r="U885" s="26" t="n">
        <f aca="false">IF(INDEX(Pengaturan!$B$8:$B$27,U$4)="",0,COUNTIF(Data!$B885:$U885,INDEX(Pengaturan!$B$8:$B$27,U$4)))</f>
        <v>0</v>
      </c>
      <c r="V885" s="26" t="n">
        <f aca="false">COUNTA(Data!$B885:$U885)</f>
        <v>0</v>
      </c>
      <c r="W885" s="27" t="str">
        <f aca="false">IF(V885=0,"",IF(V885&lt;&gt;Hasil!$C$4,"Data kosong/tidak lengkap",IF(SUM(B885:U885)&lt;&gt;V885,"Kategori tidak dikenal","OK")))</f>
        <v/>
      </c>
      <c r="X885" s="26" t="n">
        <f aca="false">IF(OR(W885="",W885="OK"),0,1)</f>
        <v>0</v>
      </c>
    </row>
    <row r="886" customFormat="false" ht="15" hidden="false" customHeight="false" outlineLevel="0" collapsed="false">
      <c r="A886" s="26" t="n">
        <f aca="false">Data!A886</f>
        <v>881</v>
      </c>
      <c r="B886" s="26" t="n">
        <f aca="false">IF(INDEX(Pengaturan!$B$8:$B$27,B$4)="",0,COUNTIF(Data!$B886:$U886,INDEX(Pengaturan!$B$8:$B$27,B$4)))</f>
        <v>0</v>
      </c>
      <c r="C886" s="26" t="n">
        <f aca="false">IF(INDEX(Pengaturan!$B$8:$B$27,C$4)="",0,COUNTIF(Data!$B886:$U886,INDEX(Pengaturan!$B$8:$B$27,C$4)))</f>
        <v>0</v>
      </c>
      <c r="D886" s="26" t="n">
        <f aca="false">IF(INDEX(Pengaturan!$B$8:$B$27,D$4)="",0,COUNTIF(Data!$B886:$U886,INDEX(Pengaturan!$B$8:$B$27,D$4)))</f>
        <v>0</v>
      </c>
      <c r="E886" s="26" t="n">
        <f aca="false">IF(INDEX(Pengaturan!$B$8:$B$27,E$4)="",0,COUNTIF(Data!$B886:$U886,INDEX(Pengaturan!$B$8:$B$27,E$4)))</f>
        <v>0</v>
      </c>
      <c r="F886" s="26" t="n">
        <f aca="false">IF(INDEX(Pengaturan!$B$8:$B$27,F$4)="",0,COUNTIF(Data!$B886:$U886,INDEX(Pengaturan!$B$8:$B$27,F$4)))</f>
        <v>0</v>
      </c>
      <c r="G886" s="26" t="n">
        <f aca="false">IF(INDEX(Pengaturan!$B$8:$B$27,G$4)="",0,COUNTIF(Data!$B886:$U886,INDEX(Pengaturan!$B$8:$B$27,G$4)))</f>
        <v>0</v>
      </c>
      <c r="H886" s="26" t="n">
        <f aca="false">IF(INDEX(Pengaturan!$B$8:$B$27,H$4)="",0,COUNTIF(Data!$B886:$U886,INDEX(Pengaturan!$B$8:$B$27,H$4)))</f>
        <v>0</v>
      </c>
      <c r="I886" s="26" t="n">
        <f aca="false">IF(INDEX(Pengaturan!$B$8:$B$27,I$4)="",0,COUNTIF(Data!$B886:$U886,INDEX(Pengaturan!$B$8:$B$27,I$4)))</f>
        <v>0</v>
      </c>
      <c r="J886" s="26" t="n">
        <f aca="false">IF(INDEX(Pengaturan!$B$8:$B$27,J$4)="",0,COUNTIF(Data!$B886:$U886,INDEX(Pengaturan!$B$8:$B$27,J$4)))</f>
        <v>0</v>
      </c>
      <c r="K886" s="26" t="n">
        <f aca="false">IF(INDEX(Pengaturan!$B$8:$B$27,K$4)="",0,COUNTIF(Data!$B886:$U886,INDEX(Pengaturan!$B$8:$B$27,K$4)))</f>
        <v>0</v>
      </c>
      <c r="L886" s="26" t="n">
        <f aca="false">IF(INDEX(Pengaturan!$B$8:$B$27,L$4)="",0,COUNTIF(Data!$B886:$U886,INDEX(Pengaturan!$B$8:$B$27,L$4)))</f>
        <v>0</v>
      </c>
      <c r="M886" s="26" t="n">
        <f aca="false">IF(INDEX(Pengaturan!$B$8:$B$27,M$4)="",0,COUNTIF(Data!$B886:$U886,INDEX(Pengaturan!$B$8:$B$27,M$4)))</f>
        <v>0</v>
      </c>
      <c r="N886" s="26" t="n">
        <f aca="false">IF(INDEX(Pengaturan!$B$8:$B$27,N$4)="",0,COUNTIF(Data!$B886:$U886,INDEX(Pengaturan!$B$8:$B$27,N$4)))</f>
        <v>0</v>
      </c>
      <c r="O886" s="26" t="n">
        <f aca="false">IF(INDEX(Pengaturan!$B$8:$B$27,O$4)="",0,COUNTIF(Data!$B886:$U886,INDEX(Pengaturan!$B$8:$B$27,O$4)))</f>
        <v>0</v>
      </c>
      <c r="P886" s="26" t="n">
        <f aca="false">IF(INDEX(Pengaturan!$B$8:$B$27,P$4)="",0,COUNTIF(Data!$B886:$U886,INDEX(Pengaturan!$B$8:$B$27,P$4)))</f>
        <v>0</v>
      </c>
      <c r="Q886" s="26" t="n">
        <f aca="false">IF(INDEX(Pengaturan!$B$8:$B$27,Q$4)="",0,COUNTIF(Data!$B886:$U886,INDEX(Pengaturan!$B$8:$B$27,Q$4)))</f>
        <v>0</v>
      </c>
      <c r="R886" s="26" t="n">
        <f aca="false">IF(INDEX(Pengaturan!$B$8:$B$27,R$4)="",0,COUNTIF(Data!$B886:$U886,INDEX(Pengaturan!$B$8:$B$27,R$4)))</f>
        <v>0</v>
      </c>
      <c r="S886" s="26" t="n">
        <f aca="false">IF(INDEX(Pengaturan!$B$8:$B$27,S$4)="",0,COUNTIF(Data!$B886:$U886,INDEX(Pengaturan!$B$8:$B$27,S$4)))</f>
        <v>0</v>
      </c>
      <c r="T886" s="26" t="n">
        <f aca="false">IF(INDEX(Pengaturan!$B$8:$B$27,T$4)="",0,COUNTIF(Data!$B886:$U886,INDEX(Pengaturan!$B$8:$B$27,T$4)))</f>
        <v>0</v>
      </c>
      <c r="U886" s="26" t="n">
        <f aca="false">IF(INDEX(Pengaturan!$B$8:$B$27,U$4)="",0,COUNTIF(Data!$B886:$U886,INDEX(Pengaturan!$B$8:$B$27,U$4)))</f>
        <v>0</v>
      </c>
      <c r="V886" s="26" t="n">
        <f aca="false">COUNTA(Data!$B886:$U886)</f>
        <v>0</v>
      </c>
      <c r="W886" s="27" t="str">
        <f aca="false">IF(V886=0,"",IF(V886&lt;&gt;Hasil!$C$4,"Data kosong/tidak lengkap",IF(SUM(B886:U886)&lt;&gt;V886,"Kategori tidak dikenal","OK")))</f>
        <v/>
      </c>
      <c r="X886" s="26" t="n">
        <f aca="false">IF(OR(W886="",W886="OK"),0,1)</f>
        <v>0</v>
      </c>
    </row>
    <row r="887" customFormat="false" ht="15" hidden="false" customHeight="false" outlineLevel="0" collapsed="false">
      <c r="A887" s="26" t="n">
        <f aca="false">Data!A887</f>
        <v>882</v>
      </c>
      <c r="B887" s="26" t="n">
        <f aca="false">IF(INDEX(Pengaturan!$B$8:$B$27,B$4)="",0,COUNTIF(Data!$B887:$U887,INDEX(Pengaturan!$B$8:$B$27,B$4)))</f>
        <v>0</v>
      </c>
      <c r="C887" s="26" t="n">
        <f aca="false">IF(INDEX(Pengaturan!$B$8:$B$27,C$4)="",0,COUNTIF(Data!$B887:$U887,INDEX(Pengaturan!$B$8:$B$27,C$4)))</f>
        <v>0</v>
      </c>
      <c r="D887" s="26" t="n">
        <f aca="false">IF(INDEX(Pengaturan!$B$8:$B$27,D$4)="",0,COUNTIF(Data!$B887:$U887,INDEX(Pengaturan!$B$8:$B$27,D$4)))</f>
        <v>0</v>
      </c>
      <c r="E887" s="26" t="n">
        <f aca="false">IF(INDEX(Pengaturan!$B$8:$B$27,E$4)="",0,COUNTIF(Data!$B887:$U887,INDEX(Pengaturan!$B$8:$B$27,E$4)))</f>
        <v>0</v>
      </c>
      <c r="F887" s="26" t="n">
        <f aca="false">IF(INDEX(Pengaturan!$B$8:$B$27,F$4)="",0,COUNTIF(Data!$B887:$U887,INDEX(Pengaturan!$B$8:$B$27,F$4)))</f>
        <v>0</v>
      </c>
      <c r="G887" s="26" t="n">
        <f aca="false">IF(INDEX(Pengaturan!$B$8:$B$27,G$4)="",0,COUNTIF(Data!$B887:$U887,INDEX(Pengaturan!$B$8:$B$27,G$4)))</f>
        <v>0</v>
      </c>
      <c r="H887" s="26" t="n">
        <f aca="false">IF(INDEX(Pengaturan!$B$8:$B$27,H$4)="",0,COUNTIF(Data!$B887:$U887,INDEX(Pengaturan!$B$8:$B$27,H$4)))</f>
        <v>0</v>
      </c>
      <c r="I887" s="26" t="n">
        <f aca="false">IF(INDEX(Pengaturan!$B$8:$B$27,I$4)="",0,COUNTIF(Data!$B887:$U887,INDEX(Pengaturan!$B$8:$B$27,I$4)))</f>
        <v>0</v>
      </c>
      <c r="J887" s="26" t="n">
        <f aca="false">IF(INDEX(Pengaturan!$B$8:$B$27,J$4)="",0,COUNTIF(Data!$B887:$U887,INDEX(Pengaturan!$B$8:$B$27,J$4)))</f>
        <v>0</v>
      </c>
      <c r="K887" s="26" t="n">
        <f aca="false">IF(INDEX(Pengaturan!$B$8:$B$27,K$4)="",0,COUNTIF(Data!$B887:$U887,INDEX(Pengaturan!$B$8:$B$27,K$4)))</f>
        <v>0</v>
      </c>
      <c r="L887" s="26" t="n">
        <f aca="false">IF(INDEX(Pengaturan!$B$8:$B$27,L$4)="",0,COUNTIF(Data!$B887:$U887,INDEX(Pengaturan!$B$8:$B$27,L$4)))</f>
        <v>0</v>
      </c>
      <c r="M887" s="26" t="n">
        <f aca="false">IF(INDEX(Pengaturan!$B$8:$B$27,M$4)="",0,COUNTIF(Data!$B887:$U887,INDEX(Pengaturan!$B$8:$B$27,M$4)))</f>
        <v>0</v>
      </c>
      <c r="N887" s="26" t="n">
        <f aca="false">IF(INDEX(Pengaturan!$B$8:$B$27,N$4)="",0,COUNTIF(Data!$B887:$U887,INDEX(Pengaturan!$B$8:$B$27,N$4)))</f>
        <v>0</v>
      </c>
      <c r="O887" s="26" t="n">
        <f aca="false">IF(INDEX(Pengaturan!$B$8:$B$27,O$4)="",0,COUNTIF(Data!$B887:$U887,INDEX(Pengaturan!$B$8:$B$27,O$4)))</f>
        <v>0</v>
      </c>
      <c r="P887" s="26" t="n">
        <f aca="false">IF(INDEX(Pengaturan!$B$8:$B$27,P$4)="",0,COUNTIF(Data!$B887:$U887,INDEX(Pengaturan!$B$8:$B$27,P$4)))</f>
        <v>0</v>
      </c>
      <c r="Q887" s="26" t="n">
        <f aca="false">IF(INDEX(Pengaturan!$B$8:$B$27,Q$4)="",0,COUNTIF(Data!$B887:$U887,INDEX(Pengaturan!$B$8:$B$27,Q$4)))</f>
        <v>0</v>
      </c>
      <c r="R887" s="26" t="n">
        <f aca="false">IF(INDEX(Pengaturan!$B$8:$B$27,R$4)="",0,COUNTIF(Data!$B887:$U887,INDEX(Pengaturan!$B$8:$B$27,R$4)))</f>
        <v>0</v>
      </c>
      <c r="S887" s="26" t="n">
        <f aca="false">IF(INDEX(Pengaturan!$B$8:$B$27,S$4)="",0,COUNTIF(Data!$B887:$U887,INDEX(Pengaturan!$B$8:$B$27,S$4)))</f>
        <v>0</v>
      </c>
      <c r="T887" s="26" t="n">
        <f aca="false">IF(INDEX(Pengaturan!$B$8:$B$27,T$4)="",0,COUNTIF(Data!$B887:$U887,INDEX(Pengaturan!$B$8:$B$27,T$4)))</f>
        <v>0</v>
      </c>
      <c r="U887" s="26" t="n">
        <f aca="false">IF(INDEX(Pengaturan!$B$8:$B$27,U$4)="",0,COUNTIF(Data!$B887:$U887,INDEX(Pengaturan!$B$8:$B$27,U$4)))</f>
        <v>0</v>
      </c>
      <c r="V887" s="26" t="n">
        <f aca="false">COUNTA(Data!$B887:$U887)</f>
        <v>0</v>
      </c>
      <c r="W887" s="27" t="str">
        <f aca="false">IF(V887=0,"",IF(V887&lt;&gt;Hasil!$C$4,"Data kosong/tidak lengkap",IF(SUM(B887:U887)&lt;&gt;V887,"Kategori tidak dikenal","OK")))</f>
        <v/>
      </c>
      <c r="X887" s="26" t="n">
        <f aca="false">IF(OR(W887="",W887="OK"),0,1)</f>
        <v>0</v>
      </c>
    </row>
    <row r="888" customFormat="false" ht="15" hidden="false" customHeight="false" outlineLevel="0" collapsed="false">
      <c r="A888" s="26" t="n">
        <f aca="false">Data!A888</f>
        <v>883</v>
      </c>
      <c r="B888" s="26" t="n">
        <f aca="false">IF(INDEX(Pengaturan!$B$8:$B$27,B$4)="",0,COUNTIF(Data!$B888:$U888,INDEX(Pengaturan!$B$8:$B$27,B$4)))</f>
        <v>0</v>
      </c>
      <c r="C888" s="26" t="n">
        <f aca="false">IF(INDEX(Pengaturan!$B$8:$B$27,C$4)="",0,COUNTIF(Data!$B888:$U888,INDEX(Pengaturan!$B$8:$B$27,C$4)))</f>
        <v>0</v>
      </c>
      <c r="D888" s="26" t="n">
        <f aca="false">IF(INDEX(Pengaturan!$B$8:$B$27,D$4)="",0,COUNTIF(Data!$B888:$U888,INDEX(Pengaturan!$B$8:$B$27,D$4)))</f>
        <v>0</v>
      </c>
      <c r="E888" s="26" t="n">
        <f aca="false">IF(INDEX(Pengaturan!$B$8:$B$27,E$4)="",0,COUNTIF(Data!$B888:$U888,INDEX(Pengaturan!$B$8:$B$27,E$4)))</f>
        <v>0</v>
      </c>
      <c r="F888" s="26" t="n">
        <f aca="false">IF(INDEX(Pengaturan!$B$8:$B$27,F$4)="",0,COUNTIF(Data!$B888:$U888,INDEX(Pengaturan!$B$8:$B$27,F$4)))</f>
        <v>0</v>
      </c>
      <c r="G888" s="26" t="n">
        <f aca="false">IF(INDEX(Pengaturan!$B$8:$B$27,G$4)="",0,COUNTIF(Data!$B888:$U888,INDEX(Pengaturan!$B$8:$B$27,G$4)))</f>
        <v>0</v>
      </c>
      <c r="H888" s="26" t="n">
        <f aca="false">IF(INDEX(Pengaturan!$B$8:$B$27,H$4)="",0,COUNTIF(Data!$B888:$U888,INDEX(Pengaturan!$B$8:$B$27,H$4)))</f>
        <v>0</v>
      </c>
      <c r="I888" s="26" t="n">
        <f aca="false">IF(INDEX(Pengaturan!$B$8:$B$27,I$4)="",0,COUNTIF(Data!$B888:$U888,INDEX(Pengaturan!$B$8:$B$27,I$4)))</f>
        <v>0</v>
      </c>
      <c r="J888" s="26" t="n">
        <f aca="false">IF(INDEX(Pengaturan!$B$8:$B$27,J$4)="",0,COUNTIF(Data!$B888:$U888,INDEX(Pengaturan!$B$8:$B$27,J$4)))</f>
        <v>0</v>
      </c>
      <c r="K888" s="26" t="n">
        <f aca="false">IF(INDEX(Pengaturan!$B$8:$B$27,K$4)="",0,COUNTIF(Data!$B888:$U888,INDEX(Pengaturan!$B$8:$B$27,K$4)))</f>
        <v>0</v>
      </c>
      <c r="L888" s="26" t="n">
        <f aca="false">IF(INDEX(Pengaturan!$B$8:$B$27,L$4)="",0,COUNTIF(Data!$B888:$U888,INDEX(Pengaturan!$B$8:$B$27,L$4)))</f>
        <v>0</v>
      </c>
      <c r="M888" s="26" t="n">
        <f aca="false">IF(INDEX(Pengaturan!$B$8:$B$27,M$4)="",0,COUNTIF(Data!$B888:$U888,INDEX(Pengaturan!$B$8:$B$27,M$4)))</f>
        <v>0</v>
      </c>
      <c r="N888" s="26" t="n">
        <f aca="false">IF(INDEX(Pengaturan!$B$8:$B$27,N$4)="",0,COUNTIF(Data!$B888:$U888,INDEX(Pengaturan!$B$8:$B$27,N$4)))</f>
        <v>0</v>
      </c>
      <c r="O888" s="26" t="n">
        <f aca="false">IF(INDEX(Pengaturan!$B$8:$B$27,O$4)="",0,COUNTIF(Data!$B888:$U888,INDEX(Pengaturan!$B$8:$B$27,O$4)))</f>
        <v>0</v>
      </c>
      <c r="P888" s="26" t="n">
        <f aca="false">IF(INDEX(Pengaturan!$B$8:$B$27,P$4)="",0,COUNTIF(Data!$B888:$U888,INDEX(Pengaturan!$B$8:$B$27,P$4)))</f>
        <v>0</v>
      </c>
      <c r="Q888" s="26" t="n">
        <f aca="false">IF(INDEX(Pengaturan!$B$8:$B$27,Q$4)="",0,COUNTIF(Data!$B888:$U888,INDEX(Pengaturan!$B$8:$B$27,Q$4)))</f>
        <v>0</v>
      </c>
      <c r="R888" s="26" t="n">
        <f aca="false">IF(INDEX(Pengaturan!$B$8:$B$27,R$4)="",0,COUNTIF(Data!$B888:$U888,INDEX(Pengaturan!$B$8:$B$27,R$4)))</f>
        <v>0</v>
      </c>
      <c r="S888" s="26" t="n">
        <f aca="false">IF(INDEX(Pengaturan!$B$8:$B$27,S$4)="",0,COUNTIF(Data!$B888:$U888,INDEX(Pengaturan!$B$8:$B$27,S$4)))</f>
        <v>0</v>
      </c>
      <c r="T888" s="26" t="n">
        <f aca="false">IF(INDEX(Pengaturan!$B$8:$B$27,T$4)="",0,COUNTIF(Data!$B888:$U888,INDEX(Pengaturan!$B$8:$B$27,T$4)))</f>
        <v>0</v>
      </c>
      <c r="U888" s="26" t="n">
        <f aca="false">IF(INDEX(Pengaturan!$B$8:$B$27,U$4)="",0,COUNTIF(Data!$B888:$U888,INDEX(Pengaturan!$B$8:$B$27,U$4)))</f>
        <v>0</v>
      </c>
      <c r="V888" s="26" t="n">
        <f aca="false">COUNTA(Data!$B888:$U888)</f>
        <v>0</v>
      </c>
      <c r="W888" s="27" t="str">
        <f aca="false">IF(V888=0,"",IF(V888&lt;&gt;Hasil!$C$4,"Data kosong/tidak lengkap",IF(SUM(B888:U888)&lt;&gt;V888,"Kategori tidak dikenal","OK")))</f>
        <v/>
      </c>
      <c r="X888" s="26" t="n">
        <f aca="false">IF(OR(W888="",W888="OK"),0,1)</f>
        <v>0</v>
      </c>
    </row>
    <row r="889" customFormat="false" ht="15" hidden="false" customHeight="false" outlineLevel="0" collapsed="false">
      <c r="A889" s="26" t="n">
        <f aca="false">Data!A889</f>
        <v>884</v>
      </c>
      <c r="B889" s="26" t="n">
        <f aca="false">IF(INDEX(Pengaturan!$B$8:$B$27,B$4)="",0,COUNTIF(Data!$B889:$U889,INDEX(Pengaturan!$B$8:$B$27,B$4)))</f>
        <v>0</v>
      </c>
      <c r="C889" s="26" t="n">
        <f aca="false">IF(INDEX(Pengaturan!$B$8:$B$27,C$4)="",0,COUNTIF(Data!$B889:$U889,INDEX(Pengaturan!$B$8:$B$27,C$4)))</f>
        <v>0</v>
      </c>
      <c r="D889" s="26" t="n">
        <f aca="false">IF(INDEX(Pengaturan!$B$8:$B$27,D$4)="",0,COUNTIF(Data!$B889:$U889,INDEX(Pengaturan!$B$8:$B$27,D$4)))</f>
        <v>0</v>
      </c>
      <c r="E889" s="26" t="n">
        <f aca="false">IF(INDEX(Pengaturan!$B$8:$B$27,E$4)="",0,COUNTIF(Data!$B889:$U889,INDEX(Pengaturan!$B$8:$B$27,E$4)))</f>
        <v>0</v>
      </c>
      <c r="F889" s="26" t="n">
        <f aca="false">IF(INDEX(Pengaturan!$B$8:$B$27,F$4)="",0,COUNTIF(Data!$B889:$U889,INDEX(Pengaturan!$B$8:$B$27,F$4)))</f>
        <v>0</v>
      </c>
      <c r="G889" s="26" t="n">
        <f aca="false">IF(INDEX(Pengaturan!$B$8:$B$27,G$4)="",0,COUNTIF(Data!$B889:$U889,INDEX(Pengaturan!$B$8:$B$27,G$4)))</f>
        <v>0</v>
      </c>
      <c r="H889" s="26" t="n">
        <f aca="false">IF(INDEX(Pengaturan!$B$8:$B$27,H$4)="",0,COUNTIF(Data!$B889:$U889,INDEX(Pengaturan!$B$8:$B$27,H$4)))</f>
        <v>0</v>
      </c>
      <c r="I889" s="26" t="n">
        <f aca="false">IF(INDEX(Pengaturan!$B$8:$B$27,I$4)="",0,COUNTIF(Data!$B889:$U889,INDEX(Pengaturan!$B$8:$B$27,I$4)))</f>
        <v>0</v>
      </c>
      <c r="J889" s="26" t="n">
        <f aca="false">IF(INDEX(Pengaturan!$B$8:$B$27,J$4)="",0,COUNTIF(Data!$B889:$U889,INDEX(Pengaturan!$B$8:$B$27,J$4)))</f>
        <v>0</v>
      </c>
      <c r="K889" s="26" t="n">
        <f aca="false">IF(INDEX(Pengaturan!$B$8:$B$27,K$4)="",0,COUNTIF(Data!$B889:$U889,INDEX(Pengaturan!$B$8:$B$27,K$4)))</f>
        <v>0</v>
      </c>
      <c r="L889" s="26" t="n">
        <f aca="false">IF(INDEX(Pengaturan!$B$8:$B$27,L$4)="",0,COUNTIF(Data!$B889:$U889,INDEX(Pengaturan!$B$8:$B$27,L$4)))</f>
        <v>0</v>
      </c>
      <c r="M889" s="26" t="n">
        <f aca="false">IF(INDEX(Pengaturan!$B$8:$B$27,M$4)="",0,COUNTIF(Data!$B889:$U889,INDEX(Pengaturan!$B$8:$B$27,M$4)))</f>
        <v>0</v>
      </c>
      <c r="N889" s="26" t="n">
        <f aca="false">IF(INDEX(Pengaturan!$B$8:$B$27,N$4)="",0,COUNTIF(Data!$B889:$U889,INDEX(Pengaturan!$B$8:$B$27,N$4)))</f>
        <v>0</v>
      </c>
      <c r="O889" s="26" t="n">
        <f aca="false">IF(INDEX(Pengaturan!$B$8:$B$27,O$4)="",0,COUNTIF(Data!$B889:$U889,INDEX(Pengaturan!$B$8:$B$27,O$4)))</f>
        <v>0</v>
      </c>
      <c r="P889" s="26" t="n">
        <f aca="false">IF(INDEX(Pengaturan!$B$8:$B$27,P$4)="",0,COUNTIF(Data!$B889:$U889,INDEX(Pengaturan!$B$8:$B$27,P$4)))</f>
        <v>0</v>
      </c>
      <c r="Q889" s="26" t="n">
        <f aca="false">IF(INDEX(Pengaturan!$B$8:$B$27,Q$4)="",0,COUNTIF(Data!$B889:$U889,INDEX(Pengaturan!$B$8:$B$27,Q$4)))</f>
        <v>0</v>
      </c>
      <c r="R889" s="26" t="n">
        <f aca="false">IF(INDEX(Pengaturan!$B$8:$B$27,R$4)="",0,COUNTIF(Data!$B889:$U889,INDEX(Pengaturan!$B$8:$B$27,R$4)))</f>
        <v>0</v>
      </c>
      <c r="S889" s="26" t="n">
        <f aca="false">IF(INDEX(Pengaturan!$B$8:$B$27,S$4)="",0,COUNTIF(Data!$B889:$U889,INDEX(Pengaturan!$B$8:$B$27,S$4)))</f>
        <v>0</v>
      </c>
      <c r="T889" s="26" t="n">
        <f aca="false">IF(INDEX(Pengaturan!$B$8:$B$27,T$4)="",0,COUNTIF(Data!$B889:$U889,INDEX(Pengaturan!$B$8:$B$27,T$4)))</f>
        <v>0</v>
      </c>
      <c r="U889" s="26" t="n">
        <f aca="false">IF(INDEX(Pengaturan!$B$8:$B$27,U$4)="",0,COUNTIF(Data!$B889:$U889,INDEX(Pengaturan!$B$8:$B$27,U$4)))</f>
        <v>0</v>
      </c>
      <c r="V889" s="26" t="n">
        <f aca="false">COUNTA(Data!$B889:$U889)</f>
        <v>0</v>
      </c>
      <c r="W889" s="27" t="str">
        <f aca="false">IF(V889=0,"",IF(V889&lt;&gt;Hasil!$C$4,"Data kosong/tidak lengkap",IF(SUM(B889:U889)&lt;&gt;V889,"Kategori tidak dikenal","OK")))</f>
        <v/>
      </c>
      <c r="X889" s="26" t="n">
        <f aca="false">IF(OR(W889="",W889="OK"),0,1)</f>
        <v>0</v>
      </c>
    </row>
    <row r="890" customFormat="false" ht="15" hidden="false" customHeight="false" outlineLevel="0" collapsed="false">
      <c r="A890" s="26" t="n">
        <f aca="false">Data!A890</f>
        <v>885</v>
      </c>
      <c r="B890" s="26" t="n">
        <f aca="false">IF(INDEX(Pengaturan!$B$8:$B$27,B$4)="",0,COUNTIF(Data!$B890:$U890,INDEX(Pengaturan!$B$8:$B$27,B$4)))</f>
        <v>0</v>
      </c>
      <c r="C890" s="26" t="n">
        <f aca="false">IF(INDEX(Pengaturan!$B$8:$B$27,C$4)="",0,COUNTIF(Data!$B890:$U890,INDEX(Pengaturan!$B$8:$B$27,C$4)))</f>
        <v>0</v>
      </c>
      <c r="D890" s="26" t="n">
        <f aca="false">IF(INDEX(Pengaturan!$B$8:$B$27,D$4)="",0,COUNTIF(Data!$B890:$U890,INDEX(Pengaturan!$B$8:$B$27,D$4)))</f>
        <v>0</v>
      </c>
      <c r="E890" s="26" t="n">
        <f aca="false">IF(INDEX(Pengaturan!$B$8:$B$27,E$4)="",0,COUNTIF(Data!$B890:$U890,INDEX(Pengaturan!$B$8:$B$27,E$4)))</f>
        <v>0</v>
      </c>
      <c r="F890" s="26" t="n">
        <f aca="false">IF(INDEX(Pengaturan!$B$8:$B$27,F$4)="",0,COUNTIF(Data!$B890:$U890,INDEX(Pengaturan!$B$8:$B$27,F$4)))</f>
        <v>0</v>
      </c>
      <c r="G890" s="26" t="n">
        <f aca="false">IF(INDEX(Pengaturan!$B$8:$B$27,G$4)="",0,COUNTIF(Data!$B890:$U890,INDEX(Pengaturan!$B$8:$B$27,G$4)))</f>
        <v>0</v>
      </c>
      <c r="H890" s="26" t="n">
        <f aca="false">IF(INDEX(Pengaturan!$B$8:$B$27,H$4)="",0,COUNTIF(Data!$B890:$U890,INDEX(Pengaturan!$B$8:$B$27,H$4)))</f>
        <v>0</v>
      </c>
      <c r="I890" s="26" t="n">
        <f aca="false">IF(INDEX(Pengaturan!$B$8:$B$27,I$4)="",0,COUNTIF(Data!$B890:$U890,INDEX(Pengaturan!$B$8:$B$27,I$4)))</f>
        <v>0</v>
      </c>
      <c r="J890" s="26" t="n">
        <f aca="false">IF(INDEX(Pengaturan!$B$8:$B$27,J$4)="",0,COUNTIF(Data!$B890:$U890,INDEX(Pengaturan!$B$8:$B$27,J$4)))</f>
        <v>0</v>
      </c>
      <c r="K890" s="26" t="n">
        <f aca="false">IF(INDEX(Pengaturan!$B$8:$B$27,K$4)="",0,COUNTIF(Data!$B890:$U890,INDEX(Pengaturan!$B$8:$B$27,K$4)))</f>
        <v>0</v>
      </c>
      <c r="L890" s="26" t="n">
        <f aca="false">IF(INDEX(Pengaturan!$B$8:$B$27,L$4)="",0,COUNTIF(Data!$B890:$U890,INDEX(Pengaturan!$B$8:$B$27,L$4)))</f>
        <v>0</v>
      </c>
      <c r="M890" s="26" t="n">
        <f aca="false">IF(INDEX(Pengaturan!$B$8:$B$27,M$4)="",0,COUNTIF(Data!$B890:$U890,INDEX(Pengaturan!$B$8:$B$27,M$4)))</f>
        <v>0</v>
      </c>
      <c r="N890" s="26" t="n">
        <f aca="false">IF(INDEX(Pengaturan!$B$8:$B$27,N$4)="",0,COUNTIF(Data!$B890:$U890,INDEX(Pengaturan!$B$8:$B$27,N$4)))</f>
        <v>0</v>
      </c>
      <c r="O890" s="26" t="n">
        <f aca="false">IF(INDEX(Pengaturan!$B$8:$B$27,O$4)="",0,COUNTIF(Data!$B890:$U890,INDEX(Pengaturan!$B$8:$B$27,O$4)))</f>
        <v>0</v>
      </c>
      <c r="P890" s="26" t="n">
        <f aca="false">IF(INDEX(Pengaturan!$B$8:$B$27,P$4)="",0,COUNTIF(Data!$B890:$U890,INDEX(Pengaturan!$B$8:$B$27,P$4)))</f>
        <v>0</v>
      </c>
      <c r="Q890" s="26" t="n">
        <f aca="false">IF(INDEX(Pengaturan!$B$8:$B$27,Q$4)="",0,COUNTIF(Data!$B890:$U890,INDEX(Pengaturan!$B$8:$B$27,Q$4)))</f>
        <v>0</v>
      </c>
      <c r="R890" s="26" t="n">
        <f aca="false">IF(INDEX(Pengaturan!$B$8:$B$27,R$4)="",0,COUNTIF(Data!$B890:$U890,INDEX(Pengaturan!$B$8:$B$27,R$4)))</f>
        <v>0</v>
      </c>
      <c r="S890" s="26" t="n">
        <f aca="false">IF(INDEX(Pengaturan!$B$8:$B$27,S$4)="",0,COUNTIF(Data!$B890:$U890,INDEX(Pengaturan!$B$8:$B$27,S$4)))</f>
        <v>0</v>
      </c>
      <c r="T890" s="26" t="n">
        <f aca="false">IF(INDEX(Pengaturan!$B$8:$B$27,T$4)="",0,COUNTIF(Data!$B890:$U890,INDEX(Pengaturan!$B$8:$B$27,T$4)))</f>
        <v>0</v>
      </c>
      <c r="U890" s="26" t="n">
        <f aca="false">IF(INDEX(Pengaturan!$B$8:$B$27,U$4)="",0,COUNTIF(Data!$B890:$U890,INDEX(Pengaturan!$B$8:$B$27,U$4)))</f>
        <v>0</v>
      </c>
      <c r="V890" s="26" t="n">
        <f aca="false">COUNTA(Data!$B890:$U890)</f>
        <v>0</v>
      </c>
      <c r="W890" s="27" t="str">
        <f aca="false">IF(V890=0,"",IF(V890&lt;&gt;Hasil!$C$4,"Data kosong/tidak lengkap",IF(SUM(B890:U890)&lt;&gt;V890,"Kategori tidak dikenal","OK")))</f>
        <v/>
      </c>
      <c r="X890" s="26" t="n">
        <f aca="false">IF(OR(W890="",W890="OK"),0,1)</f>
        <v>0</v>
      </c>
    </row>
    <row r="891" customFormat="false" ht="15" hidden="false" customHeight="false" outlineLevel="0" collapsed="false">
      <c r="A891" s="26" t="n">
        <f aca="false">Data!A891</f>
        <v>886</v>
      </c>
      <c r="B891" s="26" t="n">
        <f aca="false">IF(INDEX(Pengaturan!$B$8:$B$27,B$4)="",0,COUNTIF(Data!$B891:$U891,INDEX(Pengaturan!$B$8:$B$27,B$4)))</f>
        <v>0</v>
      </c>
      <c r="C891" s="26" t="n">
        <f aca="false">IF(INDEX(Pengaturan!$B$8:$B$27,C$4)="",0,COUNTIF(Data!$B891:$U891,INDEX(Pengaturan!$B$8:$B$27,C$4)))</f>
        <v>0</v>
      </c>
      <c r="D891" s="26" t="n">
        <f aca="false">IF(INDEX(Pengaturan!$B$8:$B$27,D$4)="",0,COUNTIF(Data!$B891:$U891,INDEX(Pengaturan!$B$8:$B$27,D$4)))</f>
        <v>0</v>
      </c>
      <c r="E891" s="26" t="n">
        <f aca="false">IF(INDEX(Pengaturan!$B$8:$B$27,E$4)="",0,COUNTIF(Data!$B891:$U891,INDEX(Pengaturan!$B$8:$B$27,E$4)))</f>
        <v>0</v>
      </c>
      <c r="F891" s="26" t="n">
        <f aca="false">IF(INDEX(Pengaturan!$B$8:$B$27,F$4)="",0,COUNTIF(Data!$B891:$U891,INDEX(Pengaturan!$B$8:$B$27,F$4)))</f>
        <v>0</v>
      </c>
      <c r="G891" s="26" t="n">
        <f aca="false">IF(INDEX(Pengaturan!$B$8:$B$27,G$4)="",0,COUNTIF(Data!$B891:$U891,INDEX(Pengaturan!$B$8:$B$27,G$4)))</f>
        <v>0</v>
      </c>
      <c r="H891" s="26" t="n">
        <f aca="false">IF(INDEX(Pengaturan!$B$8:$B$27,H$4)="",0,COUNTIF(Data!$B891:$U891,INDEX(Pengaturan!$B$8:$B$27,H$4)))</f>
        <v>0</v>
      </c>
      <c r="I891" s="26" t="n">
        <f aca="false">IF(INDEX(Pengaturan!$B$8:$B$27,I$4)="",0,COUNTIF(Data!$B891:$U891,INDEX(Pengaturan!$B$8:$B$27,I$4)))</f>
        <v>0</v>
      </c>
      <c r="J891" s="26" t="n">
        <f aca="false">IF(INDEX(Pengaturan!$B$8:$B$27,J$4)="",0,COUNTIF(Data!$B891:$U891,INDEX(Pengaturan!$B$8:$B$27,J$4)))</f>
        <v>0</v>
      </c>
      <c r="K891" s="26" t="n">
        <f aca="false">IF(INDEX(Pengaturan!$B$8:$B$27,K$4)="",0,COUNTIF(Data!$B891:$U891,INDEX(Pengaturan!$B$8:$B$27,K$4)))</f>
        <v>0</v>
      </c>
      <c r="L891" s="26" t="n">
        <f aca="false">IF(INDEX(Pengaturan!$B$8:$B$27,L$4)="",0,COUNTIF(Data!$B891:$U891,INDEX(Pengaturan!$B$8:$B$27,L$4)))</f>
        <v>0</v>
      </c>
      <c r="M891" s="26" t="n">
        <f aca="false">IF(INDEX(Pengaturan!$B$8:$B$27,M$4)="",0,COUNTIF(Data!$B891:$U891,INDEX(Pengaturan!$B$8:$B$27,M$4)))</f>
        <v>0</v>
      </c>
      <c r="N891" s="26" t="n">
        <f aca="false">IF(INDEX(Pengaturan!$B$8:$B$27,N$4)="",0,COUNTIF(Data!$B891:$U891,INDEX(Pengaturan!$B$8:$B$27,N$4)))</f>
        <v>0</v>
      </c>
      <c r="O891" s="26" t="n">
        <f aca="false">IF(INDEX(Pengaturan!$B$8:$B$27,O$4)="",0,COUNTIF(Data!$B891:$U891,INDEX(Pengaturan!$B$8:$B$27,O$4)))</f>
        <v>0</v>
      </c>
      <c r="P891" s="26" t="n">
        <f aca="false">IF(INDEX(Pengaturan!$B$8:$B$27,P$4)="",0,COUNTIF(Data!$B891:$U891,INDEX(Pengaturan!$B$8:$B$27,P$4)))</f>
        <v>0</v>
      </c>
      <c r="Q891" s="26" t="n">
        <f aca="false">IF(INDEX(Pengaturan!$B$8:$B$27,Q$4)="",0,COUNTIF(Data!$B891:$U891,INDEX(Pengaturan!$B$8:$B$27,Q$4)))</f>
        <v>0</v>
      </c>
      <c r="R891" s="26" t="n">
        <f aca="false">IF(INDEX(Pengaturan!$B$8:$B$27,R$4)="",0,COUNTIF(Data!$B891:$U891,INDEX(Pengaturan!$B$8:$B$27,R$4)))</f>
        <v>0</v>
      </c>
      <c r="S891" s="26" t="n">
        <f aca="false">IF(INDEX(Pengaturan!$B$8:$B$27,S$4)="",0,COUNTIF(Data!$B891:$U891,INDEX(Pengaturan!$B$8:$B$27,S$4)))</f>
        <v>0</v>
      </c>
      <c r="T891" s="26" t="n">
        <f aca="false">IF(INDEX(Pengaturan!$B$8:$B$27,T$4)="",0,COUNTIF(Data!$B891:$U891,INDEX(Pengaturan!$B$8:$B$27,T$4)))</f>
        <v>0</v>
      </c>
      <c r="U891" s="26" t="n">
        <f aca="false">IF(INDEX(Pengaturan!$B$8:$B$27,U$4)="",0,COUNTIF(Data!$B891:$U891,INDEX(Pengaturan!$B$8:$B$27,U$4)))</f>
        <v>0</v>
      </c>
      <c r="V891" s="26" t="n">
        <f aca="false">COUNTA(Data!$B891:$U891)</f>
        <v>0</v>
      </c>
      <c r="W891" s="27" t="str">
        <f aca="false">IF(V891=0,"",IF(V891&lt;&gt;Hasil!$C$4,"Data kosong/tidak lengkap",IF(SUM(B891:U891)&lt;&gt;V891,"Kategori tidak dikenal","OK")))</f>
        <v/>
      </c>
      <c r="X891" s="26" t="n">
        <f aca="false">IF(OR(W891="",W891="OK"),0,1)</f>
        <v>0</v>
      </c>
    </row>
    <row r="892" customFormat="false" ht="15" hidden="false" customHeight="false" outlineLevel="0" collapsed="false">
      <c r="A892" s="26" t="n">
        <f aca="false">Data!A892</f>
        <v>887</v>
      </c>
      <c r="B892" s="26" t="n">
        <f aca="false">IF(INDEX(Pengaturan!$B$8:$B$27,B$4)="",0,COUNTIF(Data!$B892:$U892,INDEX(Pengaturan!$B$8:$B$27,B$4)))</f>
        <v>0</v>
      </c>
      <c r="C892" s="26" t="n">
        <f aca="false">IF(INDEX(Pengaturan!$B$8:$B$27,C$4)="",0,COUNTIF(Data!$B892:$U892,INDEX(Pengaturan!$B$8:$B$27,C$4)))</f>
        <v>0</v>
      </c>
      <c r="D892" s="26" t="n">
        <f aca="false">IF(INDEX(Pengaturan!$B$8:$B$27,D$4)="",0,COUNTIF(Data!$B892:$U892,INDEX(Pengaturan!$B$8:$B$27,D$4)))</f>
        <v>0</v>
      </c>
      <c r="E892" s="26" t="n">
        <f aca="false">IF(INDEX(Pengaturan!$B$8:$B$27,E$4)="",0,COUNTIF(Data!$B892:$U892,INDEX(Pengaturan!$B$8:$B$27,E$4)))</f>
        <v>0</v>
      </c>
      <c r="F892" s="26" t="n">
        <f aca="false">IF(INDEX(Pengaturan!$B$8:$B$27,F$4)="",0,COUNTIF(Data!$B892:$U892,INDEX(Pengaturan!$B$8:$B$27,F$4)))</f>
        <v>0</v>
      </c>
      <c r="G892" s="26" t="n">
        <f aca="false">IF(INDEX(Pengaturan!$B$8:$B$27,G$4)="",0,COUNTIF(Data!$B892:$U892,INDEX(Pengaturan!$B$8:$B$27,G$4)))</f>
        <v>0</v>
      </c>
      <c r="H892" s="26" t="n">
        <f aca="false">IF(INDEX(Pengaturan!$B$8:$B$27,H$4)="",0,COUNTIF(Data!$B892:$U892,INDEX(Pengaturan!$B$8:$B$27,H$4)))</f>
        <v>0</v>
      </c>
      <c r="I892" s="26" t="n">
        <f aca="false">IF(INDEX(Pengaturan!$B$8:$B$27,I$4)="",0,COUNTIF(Data!$B892:$U892,INDEX(Pengaturan!$B$8:$B$27,I$4)))</f>
        <v>0</v>
      </c>
      <c r="J892" s="26" t="n">
        <f aca="false">IF(INDEX(Pengaturan!$B$8:$B$27,J$4)="",0,COUNTIF(Data!$B892:$U892,INDEX(Pengaturan!$B$8:$B$27,J$4)))</f>
        <v>0</v>
      </c>
      <c r="K892" s="26" t="n">
        <f aca="false">IF(INDEX(Pengaturan!$B$8:$B$27,K$4)="",0,COUNTIF(Data!$B892:$U892,INDEX(Pengaturan!$B$8:$B$27,K$4)))</f>
        <v>0</v>
      </c>
      <c r="L892" s="26" t="n">
        <f aca="false">IF(INDEX(Pengaturan!$B$8:$B$27,L$4)="",0,COUNTIF(Data!$B892:$U892,INDEX(Pengaturan!$B$8:$B$27,L$4)))</f>
        <v>0</v>
      </c>
      <c r="M892" s="26" t="n">
        <f aca="false">IF(INDEX(Pengaturan!$B$8:$B$27,M$4)="",0,COUNTIF(Data!$B892:$U892,INDEX(Pengaturan!$B$8:$B$27,M$4)))</f>
        <v>0</v>
      </c>
      <c r="N892" s="26" t="n">
        <f aca="false">IF(INDEX(Pengaturan!$B$8:$B$27,N$4)="",0,COUNTIF(Data!$B892:$U892,INDEX(Pengaturan!$B$8:$B$27,N$4)))</f>
        <v>0</v>
      </c>
      <c r="O892" s="26" t="n">
        <f aca="false">IF(INDEX(Pengaturan!$B$8:$B$27,O$4)="",0,COUNTIF(Data!$B892:$U892,INDEX(Pengaturan!$B$8:$B$27,O$4)))</f>
        <v>0</v>
      </c>
      <c r="P892" s="26" t="n">
        <f aca="false">IF(INDEX(Pengaturan!$B$8:$B$27,P$4)="",0,COUNTIF(Data!$B892:$U892,INDEX(Pengaturan!$B$8:$B$27,P$4)))</f>
        <v>0</v>
      </c>
      <c r="Q892" s="26" t="n">
        <f aca="false">IF(INDEX(Pengaturan!$B$8:$B$27,Q$4)="",0,COUNTIF(Data!$B892:$U892,INDEX(Pengaturan!$B$8:$B$27,Q$4)))</f>
        <v>0</v>
      </c>
      <c r="R892" s="26" t="n">
        <f aca="false">IF(INDEX(Pengaturan!$B$8:$B$27,R$4)="",0,COUNTIF(Data!$B892:$U892,INDEX(Pengaturan!$B$8:$B$27,R$4)))</f>
        <v>0</v>
      </c>
      <c r="S892" s="26" t="n">
        <f aca="false">IF(INDEX(Pengaturan!$B$8:$B$27,S$4)="",0,COUNTIF(Data!$B892:$U892,INDEX(Pengaturan!$B$8:$B$27,S$4)))</f>
        <v>0</v>
      </c>
      <c r="T892" s="26" t="n">
        <f aca="false">IF(INDEX(Pengaturan!$B$8:$B$27,T$4)="",0,COUNTIF(Data!$B892:$U892,INDEX(Pengaturan!$B$8:$B$27,T$4)))</f>
        <v>0</v>
      </c>
      <c r="U892" s="26" t="n">
        <f aca="false">IF(INDEX(Pengaturan!$B$8:$B$27,U$4)="",0,COUNTIF(Data!$B892:$U892,INDEX(Pengaturan!$B$8:$B$27,U$4)))</f>
        <v>0</v>
      </c>
      <c r="V892" s="26" t="n">
        <f aca="false">COUNTA(Data!$B892:$U892)</f>
        <v>0</v>
      </c>
      <c r="W892" s="27" t="str">
        <f aca="false">IF(V892=0,"",IF(V892&lt;&gt;Hasil!$C$4,"Data kosong/tidak lengkap",IF(SUM(B892:U892)&lt;&gt;V892,"Kategori tidak dikenal","OK")))</f>
        <v/>
      </c>
      <c r="X892" s="26" t="n">
        <f aca="false">IF(OR(W892="",W892="OK"),0,1)</f>
        <v>0</v>
      </c>
    </row>
    <row r="893" customFormat="false" ht="15" hidden="false" customHeight="false" outlineLevel="0" collapsed="false">
      <c r="A893" s="26" t="n">
        <f aca="false">Data!A893</f>
        <v>888</v>
      </c>
      <c r="B893" s="26" t="n">
        <f aca="false">IF(INDEX(Pengaturan!$B$8:$B$27,B$4)="",0,COUNTIF(Data!$B893:$U893,INDEX(Pengaturan!$B$8:$B$27,B$4)))</f>
        <v>0</v>
      </c>
      <c r="C893" s="26" t="n">
        <f aca="false">IF(INDEX(Pengaturan!$B$8:$B$27,C$4)="",0,COUNTIF(Data!$B893:$U893,INDEX(Pengaturan!$B$8:$B$27,C$4)))</f>
        <v>0</v>
      </c>
      <c r="D893" s="26" t="n">
        <f aca="false">IF(INDEX(Pengaturan!$B$8:$B$27,D$4)="",0,COUNTIF(Data!$B893:$U893,INDEX(Pengaturan!$B$8:$B$27,D$4)))</f>
        <v>0</v>
      </c>
      <c r="E893" s="26" t="n">
        <f aca="false">IF(INDEX(Pengaturan!$B$8:$B$27,E$4)="",0,COUNTIF(Data!$B893:$U893,INDEX(Pengaturan!$B$8:$B$27,E$4)))</f>
        <v>0</v>
      </c>
      <c r="F893" s="26" t="n">
        <f aca="false">IF(INDEX(Pengaturan!$B$8:$B$27,F$4)="",0,COUNTIF(Data!$B893:$U893,INDEX(Pengaturan!$B$8:$B$27,F$4)))</f>
        <v>0</v>
      </c>
      <c r="G893" s="26" t="n">
        <f aca="false">IF(INDEX(Pengaturan!$B$8:$B$27,G$4)="",0,COUNTIF(Data!$B893:$U893,INDEX(Pengaturan!$B$8:$B$27,G$4)))</f>
        <v>0</v>
      </c>
      <c r="H893" s="26" t="n">
        <f aca="false">IF(INDEX(Pengaturan!$B$8:$B$27,H$4)="",0,COUNTIF(Data!$B893:$U893,INDEX(Pengaturan!$B$8:$B$27,H$4)))</f>
        <v>0</v>
      </c>
      <c r="I893" s="26" t="n">
        <f aca="false">IF(INDEX(Pengaturan!$B$8:$B$27,I$4)="",0,COUNTIF(Data!$B893:$U893,INDEX(Pengaturan!$B$8:$B$27,I$4)))</f>
        <v>0</v>
      </c>
      <c r="J893" s="26" t="n">
        <f aca="false">IF(INDEX(Pengaturan!$B$8:$B$27,J$4)="",0,COUNTIF(Data!$B893:$U893,INDEX(Pengaturan!$B$8:$B$27,J$4)))</f>
        <v>0</v>
      </c>
      <c r="K893" s="26" t="n">
        <f aca="false">IF(INDEX(Pengaturan!$B$8:$B$27,K$4)="",0,COUNTIF(Data!$B893:$U893,INDEX(Pengaturan!$B$8:$B$27,K$4)))</f>
        <v>0</v>
      </c>
      <c r="L893" s="26" t="n">
        <f aca="false">IF(INDEX(Pengaturan!$B$8:$B$27,L$4)="",0,COUNTIF(Data!$B893:$U893,INDEX(Pengaturan!$B$8:$B$27,L$4)))</f>
        <v>0</v>
      </c>
      <c r="M893" s="26" t="n">
        <f aca="false">IF(INDEX(Pengaturan!$B$8:$B$27,M$4)="",0,COUNTIF(Data!$B893:$U893,INDEX(Pengaturan!$B$8:$B$27,M$4)))</f>
        <v>0</v>
      </c>
      <c r="N893" s="26" t="n">
        <f aca="false">IF(INDEX(Pengaturan!$B$8:$B$27,N$4)="",0,COUNTIF(Data!$B893:$U893,INDEX(Pengaturan!$B$8:$B$27,N$4)))</f>
        <v>0</v>
      </c>
      <c r="O893" s="26" t="n">
        <f aca="false">IF(INDEX(Pengaturan!$B$8:$B$27,O$4)="",0,COUNTIF(Data!$B893:$U893,INDEX(Pengaturan!$B$8:$B$27,O$4)))</f>
        <v>0</v>
      </c>
      <c r="P893" s="26" t="n">
        <f aca="false">IF(INDEX(Pengaturan!$B$8:$B$27,P$4)="",0,COUNTIF(Data!$B893:$U893,INDEX(Pengaturan!$B$8:$B$27,P$4)))</f>
        <v>0</v>
      </c>
      <c r="Q893" s="26" t="n">
        <f aca="false">IF(INDEX(Pengaturan!$B$8:$B$27,Q$4)="",0,COUNTIF(Data!$B893:$U893,INDEX(Pengaturan!$B$8:$B$27,Q$4)))</f>
        <v>0</v>
      </c>
      <c r="R893" s="26" t="n">
        <f aca="false">IF(INDEX(Pengaturan!$B$8:$B$27,R$4)="",0,COUNTIF(Data!$B893:$U893,INDEX(Pengaturan!$B$8:$B$27,R$4)))</f>
        <v>0</v>
      </c>
      <c r="S893" s="26" t="n">
        <f aca="false">IF(INDEX(Pengaturan!$B$8:$B$27,S$4)="",0,COUNTIF(Data!$B893:$U893,INDEX(Pengaturan!$B$8:$B$27,S$4)))</f>
        <v>0</v>
      </c>
      <c r="T893" s="26" t="n">
        <f aca="false">IF(INDEX(Pengaturan!$B$8:$B$27,T$4)="",0,COUNTIF(Data!$B893:$U893,INDEX(Pengaturan!$B$8:$B$27,T$4)))</f>
        <v>0</v>
      </c>
      <c r="U893" s="26" t="n">
        <f aca="false">IF(INDEX(Pengaturan!$B$8:$B$27,U$4)="",0,COUNTIF(Data!$B893:$U893,INDEX(Pengaturan!$B$8:$B$27,U$4)))</f>
        <v>0</v>
      </c>
      <c r="V893" s="26" t="n">
        <f aca="false">COUNTA(Data!$B893:$U893)</f>
        <v>0</v>
      </c>
      <c r="W893" s="27" t="str">
        <f aca="false">IF(V893=0,"",IF(V893&lt;&gt;Hasil!$C$4,"Data kosong/tidak lengkap",IF(SUM(B893:U893)&lt;&gt;V893,"Kategori tidak dikenal","OK")))</f>
        <v/>
      </c>
      <c r="X893" s="26" t="n">
        <f aca="false">IF(OR(W893="",W893="OK"),0,1)</f>
        <v>0</v>
      </c>
    </row>
    <row r="894" customFormat="false" ht="15" hidden="false" customHeight="false" outlineLevel="0" collapsed="false">
      <c r="A894" s="26" t="n">
        <f aca="false">Data!A894</f>
        <v>889</v>
      </c>
      <c r="B894" s="26" t="n">
        <f aca="false">IF(INDEX(Pengaturan!$B$8:$B$27,B$4)="",0,COUNTIF(Data!$B894:$U894,INDEX(Pengaturan!$B$8:$B$27,B$4)))</f>
        <v>0</v>
      </c>
      <c r="C894" s="26" t="n">
        <f aca="false">IF(INDEX(Pengaturan!$B$8:$B$27,C$4)="",0,COUNTIF(Data!$B894:$U894,INDEX(Pengaturan!$B$8:$B$27,C$4)))</f>
        <v>0</v>
      </c>
      <c r="D894" s="26" t="n">
        <f aca="false">IF(INDEX(Pengaturan!$B$8:$B$27,D$4)="",0,COUNTIF(Data!$B894:$U894,INDEX(Pengaturan!$B$8:$B$27,D$4)))</f>
        <v>0</v>
      </c>
      <c r="E894" s="26" t="n">
        <f aca="false">IF(INDEX(Pengaturan!$B$8:$B$27,E$4)="",0,COUNTIF(Data!$B894:$U894,INDEX(Pengaturan!$B$8:$B$27,E$4)))</f>
        <v>0</v>
      </c>
      <c r="F894" s="26" t="n">
        <f aca="false">IF(INDEX(Pengaturan!$B$8:$B$27,F$4)="",0,COUNTIF(Data!$B894:$U894,INDEX(Pengaturan!$B$8:$B$27,F$4)))</f>
        <v>0</v>
      </c>
      <c r="G894" s="26" t="n">
        <f aca="false">IF(INDEX(Pengaturan!$B$8:$B$27,G$4)="",0,COUNTIF(Data!$B894:$U894,INDEX(Pengaturan!$B$8:$B$27,G$4)))</f>
        <v>0</v>
      </c>
      <c r="H894" s="26" t="n">
        <f aca="false">IF(INDEX(Pengaturan!$B$8:$B$27,H$4)="",0,COUNTIF(Data!$B894:$U894,INDEX(Pengaturan!$B$8:$B$27,H$4)))</f>
        <v>0</v>
      </c>
      <c r="I894" s="26" t="n">
        <f aca="false">IF(INDEX(Pengaturan!$B$8:$B$27,I$4)="",0,COUNTIF(Data!$B894:$U894,INDEX(Pengaturan!$B$8:$B$27,I$4)))</f>
        <v>0</v>
      </c>
      <c r="J894" s="26" t="n">
        <f aca="false">IF(INDEX(Pengaturan!$B$8:$B$27,J$4)="",0,COUNTIF(Data!$B894:$U894,INDEX(Pengaturan!$B$8:$B$27,J$4)))</f>
        <v>0</v>
      </c>
      <c r="K894" s="26" t="n">
        <f aca="false">IF(INDEX(Pengaturan!$B$8:$B$27,K$4)="",0,COUNTIF(Data!$B894:$U894,INDEX(Pengaturan!$B$8:$B$27,K$4)))</f>
        <v>0</v>
      </c>
      <c r="L894" s="26" t="n">
        <f aca="false">IF(INDEX(Pengaturan!$B$8:$B$27,L$4)="",0,COUNTIF(Data!$B894:$U894,INDEX(Pengaturan!$B$8:$B$27,L$4)))</f>
        <v>0</v>
      </c>
      <c r="M894" s="26" t="n">
        <f aca="false">IF(INDEX(Pengaturan!$B$8:$B$27,M$4)="",0,COUNTIF(Data!$B894:$U894,INDEX(Pengaturan!$B$8:$B$27,M$4)))</f>
        <v>0</v>
      </c>
      <c r="N894" s="26" t="n">
        <f aca="false">IF(INDEX(Pengaturan!$B$8:$B$27,N$4)="",0,COUNTIF(Data!$B894:$U894,INDEX(Pengaturan!$B$8:$B$27,N$4)))</f>
        <v>0</v>
      </c>
      <c r="O894" s="26" t="n">
        <f aca="false">IF(INDEX(Pengaturan!$B$8:$B$27,O$4)="",0,COUNTIF(Data!$B894:$U894,INDEX(Pengaturan!$B$8:$B$27,O$4)))</f>
        <v>0</v>
      </c>
      <c r="P894" s="26" t="n">
        <f aca="false">IF(INDEX(Pengaturan!$B$8:$B$27,P$4)="",0,COUNTIF(Data!$B894:$U894,INDEX(Pengaturan!$B$8:$B$27,P$4)))</f>
        <v>0</v>
      </c>
      <c r="Q894" s="26" t="n">
        <f aca="false">IF(INDEX(Pengaturan!$B$8:$B$27,Q$4)="",0,COUNTIF(Data!$B894:$U894,INDEX(Pengaturan!$B$8:$B$27,Q$4)))</f>
        <v>0</v>
      </c>
      <c r="R894" s="26" t="n">
        <f aca="false">IF(INDEX(Pengaturan!$B$8:$B$27,R$4)="",0,COUNTIF(Data!$B894:$U894,INDEX(Pengaturan!$B$8:$B$27,R$4)))</f>
        <v>0</v>
      </c>
      <c r="S894" s="26" t="n">
        <f aca="false">IF(INDEX(Pengaturan!$B$8:$B$27,S$4)="",0,COUNTIF(Data!$B894:$U894,INDEX(Pengaturan!$B$8:$B$27,S$4)))</f>
        <v>0</v>
      </c>
      <c r="T894" s="26" t="n">
        <f aca="false">IF(INDEX(Pengaturan!$B$8:$B$27,T$4)="",0,COUNTIF(Data!$B894:$U894,INDEX(Pengaturan!$B$8:$B$27,T$4)))</f>
        <v>0</v>
      </c>
      <c r="U894" s="26" t="n">
        <f aca="false">IF(INDEX(Pengaturan!$B$8:$B$27,U$4)="",0,COUNTIF(Data!$B894:$U894,INDEX(Pengaturan!$B$8:$B$27,U$4)))</f>
        <v>0</v>
      </c>
      <c r="V894" s="26" t="n">
        <f aca="false">COUNTA(Data!$B894:$U894)</f>
        <v>0</v>
      </c>
      <c r="W894" s="27" t="str">
        <f aca="false">IF(V894=0,"",IF(V894&lt;&gt;Hasil!$C$4,"Data kosong/tidak lengkap",IF(SUM(B894:U894)&lt;&gt;V894,"Kategori tidak dikenal","OK")))</f>
        <v/>
      </c>
      <c r="X894" s="26" t="n">
        <f aca="false">IF(OR(W894="",W894="OK"),0,1)</f>
        <v>0</v>
      </c>
    </row>
    <row r="895" customFormat="false" ht="15" hidden="false" customHeight="false" outlineLevel="0" collapsed="false">
      <c r="A895" s="26" t="n">
        <f aca="false">Data!A895</f>
        <v>890</v>
      </c>
      <c r="B895" s="26" t="n">
        <f aca="false">IF(INDEX(Pengaturan!$B$8:$B$27,B$4)="",0,COUNTIF(Data!$B895:$U895,INDEX(Pengaturan!$B$8:$B$27,B$4)))</f>
        <v>0</v>
      </c>
      <c r="C895" s="26" t="n">
        <f aca="false">IF(INDEX(Pengaturan!$B$8:$B$27,C$4)="",0,COUNTIF(Data!$B895:$U895,INDEX(Pengaturan!$B$8:$B$27,C$4)))</f>
        <v>0</v>
      </c>
      <c r="D895" s="26" t="n">
        <f aca="false">IF(INDEX(Pengaturan!$B$8:$B$27,D$4)="",0,COUNTIF(Data!$B895:$U895,INDEX(Pengaturan!$B$8:$B$27,D$4)))</f>
        <v>0</v>
      </c>
      <c r="E895" s="26" t="n">
        <f aca="false">IF(INDEX(Pengaturan!$B$8:$B$27,E$4)="",0,COUNTIF(Data!$B895:$U895,INDEX(Pengaturan!$B$8:$B$27,E$4)))</f>
        <v>0</v>
      </c>
      <c r="F895" s="26" t="n">
        <f aca="false">IF(INDEX(Pengaturan!$B$8:$B$27,F$4)="",0,COUNTIF(Data!$B895:$U895,INDEX(Pengaturan!$B$8:$B$27,F$4)))</f>
        <v>0</v>
      </c>
      <c r="G895" s="26" t="n">
        <f aca="false">IF(INDEX(Pengaturan!$B$8:$B$27,G$4)="",0,COUNTIF(Data!$B895:$U895,INDEX(Pengaturan!$B$8:$B$27,G$4)))</f>
        <v>0</v>
      </c>
      <c r="H895" s="26" t="n">
        <f aca="false">IF(INDEX(Pengaturan!$B$8:$B$27,H$4)="",0,COUNTIF(Data!$B895:$U895,INDEX(Pengaturan!$B$8:$B$27,H$4)))</f>
        <v>0</v>
      </c>
      <c r="I895" s="26" t="n">
        <f aca="false">IF(INDEX(Pengaturan!$B$8:$B$27,I$4)="",0,COUNTIF(Data!$B895:$U895,INDEX(Pengaturan!$B$8:$B$27,I$4)))</f>
        <v>0</v>
      </c>
      <c r="J895" s="26" t="n">
        <f aca="false">IF(INDEX(Pengaturan!$B$8:$B$27,J$4)="",0,COUNTIF(Data!$B895:$U895,INDEX(Pengaturan!$B$8:$B$27,J$4)))</f>
        <v>0</v>
      </c>
      <c r="K895" s="26" t="n">
        <f aca="false">IF(INDEX(Pengaturan!$B$8:$B$27,K$4)="",0,COUNTIF(Data!$B895:$U895,INDEX(Pengaturan!$B$8:$B$27,K$4)))</f>
        <v>0</v>
      </c>
      <c r="L895" s="26" t="n">
        <f aca="false">IF(INDEX(Pengaturan!$B$8:$B$27,L$4)="",0,COUNTIF(Data!$B895:$U895,INDEX(Pengaturan!$B$8:$B$27,L$4)))</f>
        <v>0</v>
      </c>
      <c r="M895" s="26" t="n">
        <f aca="false">IF(INDEX(Pengaturan!$B$8:$B$27,M$4)="",0,COUNTIF(Data!$B895:$U895,INDEX(Pengaturan!$B$8:$B$27,M$4)))</f>
        <v>0</v>
      </c>
      <c r="N895" s="26" t="n">
        <f aca="false">IF(INDEX(Pengaturan!$B$8:$B$27,N$4)="",0,COUNTIF(Data!$B895:$U895,INDEX(Pengaturan!$B$8:$B$27,N$4)))</f>
        <v>0</v>
      </c>
      <c r="O895" s="26" t="n">
        <f aca="false">IF(INDEX(Pengaturan!$B$8:$B$27,O$4)="",0,COUNTIF(Data!$B895:$U895,INDEX(Pengaturan!$B$8:$B$27,O$4)))</f>
        <v>0</v>
      </c>
      <c r="P895" s="26" t="n">
        <f aca="false">IF(INDEX(Pengaturan!$B$8:$B$27,P$4)="",0,COUNTIF(Data!$B895:$U895,INDEX(Pengaturan!$B$8:$B$27,P$4)))</f>
        <v>0</v>
      </c>
      <c r="Q895" s="26" t="n">
        <f aca="false">IF(INDEX(Pengaturan!$B$8:$B$27,Q$4)="",0,COUNTIF(Data!$B895:$U895,INDEX(Pengaturan!$B$8:$B$27,Q$4)))</f>
        <v>0</v>
      </c>
      <c r="R895" s="26" t="n">
        <f aca="false">IF(INDEX(Pengaturan!$B$8:$B$27,R$4)="",0,COUNTIF(Data!$B895:$U895,INDEX(Pengaturan!$B$8:$B$27,R$4)))</f>
        <v>0</v>
      </c>
      <c r="S895" s="26" t="n">
        <f aca="false">IF(INDEX(Pengaturan!$B$8:$B$27,S$4)="",0,COUNTIF(Data!$B895:$U895,INDEX(Pengaturan!$B$8:$B$27,S$4)))</f>
        <v>0</v>
      </c>
      <c r="T895" s="26" t="n">
        <f aca="false">IF(INDEX(Pengaturan!$B$8:$B$27,T$4)="",0,COUNTIF(Data!$B895:$U895,INDEX(Pengaturan!$B$8:$B$27,T$4)))</f>
        <v>0</v>
      </c>
      <c r="U895" s="26" t="n">
        <f aca="false">IF(INDEX(Pengaturan!$B$8:$B$27,U$4)="",0,COUNTIF(Data!$B895:$U895,INDEX(Pengaturan!$B$8:$B$27,U$4)))</f>
        <v>0</v>
      </c>
      <c r="V895" s="26" t="n">
        <f aca="false">COUNTA(Data!$B895:$U895)</f>
        <v>0</v>
      </c>
      <c r="W895" s="27" t="str">
        <f aca="false">IF(V895=0,"",IF(V895&lt;&gt;Hasil!$C$4,"Data kosong/tidak lengkap",IF(SUM(B895:U895)&lt;&gt;V895,"Kategori tidak dikenal","OK")))</f>
        <v/>
      </c>
      <c r="X895" s="26" t="n">
        <f aca="false">IF(OR(W895="",W895="OK"),0,1)</f>
        <v>0</v>
      </c>
    </row>
    <row r="896" customFormat="false" ht="15" hidden="false" customHeight="false" outlineLevel="0" collapsed="false">
      <c r="A896" s="26" t="n">
        <f aca="false">Data!A896</f>
        <v>891</v>
      </c>
      <c r="B896" s="26" t="n">
        <f aca="false">IF(INDEX(Pengaturan!$B$8:$B$27,B$4)="",0,COUNTIF(Data!$B896:$U896,INDEX(Pengaturan!$B$8:$B$27,B$4)))</f>
        <v>0</v>
      </c>
      <c r="C896" s="26" t="n">
        <f aca="false">IF(INDEX(Pengaturan!$B$8:$B$27,C$4)="",0,COUNTIF(Data!$B896:$U896,INDEX(Pengaturan!$B$8:$B$27,C$4)))</f>
        <v>0</v>
      </c>
      <c r="D896" s="26" t="n">
        <f aca="false">IF(INDEX(Pengaturan!$B$8:$B$27,D$4)="",0,COUNTIF(Data!$B896:$U896,INDEX(Pengaturan!$B$8:$B$27,D$4)))</f>
        <v>0</v>
      </c>
      <c r="E896" s="26" t="n">
        <f aca="false">IF(INDEX(Pengaturan!$B$8:$B$27,E$4)="",0,COUNTIF(Data!$B896:$U896,INDEX(Pengaturan!$B$8:$B$27,E$4)))</f>
        <v>0</v>
      </c>
      <c r="F896" s="26" t="n">
        <f aca="false">IF(INDEX(Pengaturan!$B$8:$B$27,F$4)="",0,COUNTIF(Data!$B896:$U896,INDEX(Pengaturan!$B$8:$B$27,F$4)))</f>
        <v>0</v>
      </c>
      <c r="G896" s="26" t="n">
        <f aca="false">IF(INDEX(Pengaturan!$B$8:$B$27,G$4)="",0,COUNTIF(Data!$B896:$U896,INDEX(Pengaturan!$B$8:$B$27,G$4)))</f>
        <v>0</v>
      </c>
      <c r="H896" s="26" t="n">
        <f aca="false">IF(INDEX(Pengaturan!$B$8:$B$27,H$4)="",0,COUNTIF(Data!$B896:$U896,INDEX(Pengaturan!$B$8:$B$27,H$4)))</f>
        <v>0</v>
      </c>
      <c r="I896" s="26" t="n">
        <f aca="false">IF(INDEX(Pengaturan!$B$8:$B$27,I$4)="",0,COUNTIF(Data!$B896:$U896,INDEX(Pengaturan!$B$8:$B$27,I$4)))</f>
        <v>0</v>
      </c>
      <c r="J896" s="26" t="n">
        <f aca="false">IF(INDEX(Pengaturan!$B$8:$B$27,J$4)="",0,COUNTIF(Data!$B896:$U896,INDEX(Pengaturan!$B$8:$B$27,J$4)))</f>
        <v>0</v>
      </c>
      <c r="K896" s="26" t="n">
        <f aca="false">IF(INDEX(Pengaturan!$B$8:$B$27,K$4)="",0,COUNTIF(Data!$B896:$U896,INDEX(Pengaturan!$B$8:$B$27,K$4)))</f>
        <v>0</v>
      </c>
      <c r="L896" s="26" t="n">
        <f aca="false">IF(INDEX(Pengaturan!$B$8:$B$27,L$4)="",0,COUNTIF(Data!$B896:$U896,INDEX(Pengaturan!$B$8:$B$27,L$4)))</f>
        <v>0</v>
      </c>
      <c r="M896" s="26" t="n">
        <f aca="false">IF(INDEX(Pengaturan!$B$8:$B$27,M$4)="",0,COUNTIF(Data!$B896:$U896,INDEX(Pengaturan!$B$8:$B$27,M$4)))</f>
        <v>0</v>
      </c>
      <c r="N896" s="26" t="n">
        <f aca="false">IF(INDEX(Pengaturan!$B$8:$B$27,N$4)="",0,COUNTIF(Data!$B896:$U896,INDEX(Pengaturan!$B$8:$B$27,N$4)))</f>
        <v>0</v>
      </c>
      <c r="O896" s="26" t="n">
        <f aca="false">IF(INDEX(Pengaturan!$B$8:$B$27,O$4)="",0,COUNTIF(Data!$B896:$U896,INDEX(Pengaturan!$B$8:$B$27,O$4)))</f>
        <v>0</v>
      </c>
      <c r="P896" s="26" t="n">
        <f aca="false">IF(INDEX(Pengaturan!$B$8:$B$27,P$4)="",0,COUNTIF(Data!$B896:$U896,INDEX(Pengaturan!$B$8:$B$27,P$4)))</f>
        <v>0</v>
      </c>
      <c r="Q896" s="26" t="n">
        <f aca="false">IF(INDEX(Pengaturan!$B$8:$B$27,Q$4)="",0,COUNTIF(Data!$B896:$U896,INDEX(Pengaturan!$B$8:$B$27,Q$4)))</f>
        <v>0</v>
      </c>
      <c r="R896" s="26" t="n">
        <f aca="false">IF(INDEX(Pengaturan!$B$8:$B$27,R$4)="",0,COUNTIF(Data!$B896:$U896,INDEX(Pengaturan!$B$8:$B$27,R$4)))</f>
        <v>0</v>
      </c>
      <c r="S896" s="26" t="n">
        <f aca="false">IF(INDEX(Pengaturan!$B$8:$B$27,S$4)="",0,COUNTIF(Data!$B896:$U896,INDEX(Pengaturan!$B$8:$B$27,S$4)))</f>
        <v>0</v>
      </c>
      <c r="T896" s="26" t="n">
        <f aca="false">IF(INDEX(Pengaturan!$B$8:$B$27,T$4)="",0,COUNTIF(Data!$B896:$U896,INDEX(Pengaturan!$B$8:$B$27,T$4)))</f>
        <v>0</v>
      </c>
      <c r="U896" s="26" t="n">
        <f aca="false">IF(INDEX(Pengaturan!$B$8:$B$27,U$4)="",0,COUNTIF(Data!$B896:$U896,INDEX(Pengaturan!$B$8:$B$27,U$4)))</f>
        <v>0</v>
      </c>
      <c r="V896" s="26" t="n">
        <f aca="false">COUNTA(Data!$B896:$U896)</f>
        <v>0</v>
      </c>
      <c r="W896" s="27" t="str">
        <f aca="false">IF(V896=0,"",IF(V896&lt;&gt;Hasil!$C$4,"Data kosong/tidak lengkap",IF(SUM(B896:U896)&lt;&gt;V896,"Kategori tidak dikenal","OK")))</f>
        <v/>
      </c>
      <c r="X896" s="26" t="n">
        <f aca="false">IF(OR(W896="",W896="OK"),0,1)</f>
        <v>0</v>
      </c>
    </row>
    <row r="897" customFormat="false" ht="15" hidden="false" customHeight="false" outlineLevel="0" collapsed="false">
      <c r="A897" s="26" t="n">
        <f aca="false">Data!A897</f>
        <v>892</v>
      </c>
      <c r="B897" s="26" t="n">
        <f aca="false">IF(INDEX(Pengaturan!$B$8:$B$27,B$4)="",0,COUNTIF(Data!$B897:$U897,INDEX(Pengaturan!$B$8:$B$27,B$4)))</f>
        <v>0</v>
      </c>
      <c r="C897" s="26" t="n">
        <f aca="false">IF(INDEX(Pengaturan!$B$8:$B$27,C$4)="",0,COUNTIF(Data!$B897:$U897,INDEX(Pengaturan!$B$8:$B$27,C$4)))</f>
        <v>0</v>
      </c>
      <c r="D897" s="26" t="n">
        <f aca="false">IF(INDEX(Pengaturan!$B$8:$B$27,D$4)="",0,COUNTIF(Data!$B897:$U897,INDEX(Pengaturan!$B$8:$B$27,D$4)))</f>
        <v>0</v>
      </c>
      <c r="E897" s="26" t="n">
        <f aca="false">IF(INDEX(Pengaturan!$B$8:$B$27,E$4)="",0,COUNTIF(Data!$B897:$U897,INDEX(Pengaturan!$B$8:$B$27,E$4)))</f>
        <v>0</v>
      </c>
      <c r="F897" s="26" t="n">
        <f aca="false">IF(INDEX(Pengaturan!$B$8:$B$27,F$4)="",0,COUNTIF(Data!$B897:$U897,INDEX(Pengaturan!$B$8:$B$27,F$4)))</f>
        <v>0</v>
      </c>
      <c r="G897" s="26" t="n">
        <f aca="false">IF(INDEX(Pengaturan!$B$8:$B$27,G$4)="",0,COUNTIF(Data!$B897:$U897,INDEX(Pengaturan!$B$8:$B$27,G$4)))</f>
        <v>0</v>
      </c>
      <c r="H897" s="26" t="n">
        <f aca="false">IF(INDEX(Pengaturan!$B$8:$B$27,H$4)="",0,COUNTIF(Data!$B897:$U897,INDEX(Pengaturan!$B$8:$B$27,H$4)))</f>
        <v>0</v>
      </c>
      <c r="I897" s="26" t="n">
        <f aca="false">IF(INDEX(Pengaturan!$B$8:$B$27,I$4)="",0,COUNTIF(Data!$B897:$U897,INDEX(Pengaturan!$B$8:$B$27,I$4)))</f>
        <v>0</v>
      </c>
      <c r="J897" s="26" t="n">
        <f aca="false">IF(INDEX(Pengaturan!$B$8:$B$27,J$4)="",0,COUNTIF(Data!$B897:$U897,INDEX(Pengaturan!$B$8:$B$27,J$4)))</f>
        <v>0</v>
      </c>
      <c r="K897" s="26" t="n">
        <f aca="false">IF(INDEX(Pengaturan!$B$8:$B$27,K$4)="",0,COUNTIF(Data!$B897:$U897,INDEX(Pengaturan!$B$8:$B$27,K$4)))</f>
        <v>0</v>
      </c>
      <c r="L897" s="26" t="n">
        <f aca="false">IF(INDEX(Pengaturan!$B$8:$B$27,L$4)="",0,COUNTIF(Data!$B897:$U897,INDEX(Pengaturan!$B$8:$B$27,L$4)))</f>
        <v>0</v>
      </c>
      <c r="M897" s="26" t="n">
        <f aca="false">IF(INDEX(Pengaturan!$B$8:$B$27,M$4)="",0,COUNTIF(Data!$B897:$U897,INDEX(Pengaturan!$B$8:$B$27,M$4)))</f>
        <v>0</v>
      </c>
      <c r="N897" s="26" t="n">
        <f aca="false">IF(INDEX(Pengaturan!$B$8:$B$27,N$4)="",0,COUNTIF(Data!$B897:$U897,INDEX(Pengaturan!$B$8:$B$27,N$4)))</f>
        <v>0</v>
      </c>
      <c r="O897" s="26" t="n">
        <f aca="false">IF(INDEX(Pengaturan!$B$8:$B$27,O$4)="",0,COUNTIF(Data!$B897:$U897,INDEX(Pengaturan!$B$8:$B$27,O$4)))</f>
        <v>0</v>
      </c>
      <c r="P897" s="26" t="n">
        <f aca="false">IF(INDEX(Pengaturan!$B$8:$B$27,P$4)="",0,COUNTIF(Data!$B897:$U897,INDEX(Pengaturan!$B$8:$B$27,P$4)))</f>
        <v>0</v>
      </c>
      <c r="Q897" s="26" t="n">
        <f aca="false">IF(INDEX(Pengaturan!$B$8:$B$27,Q$4)="",0,COUNTIF(Data!$B897:$U897,INDEX(Pengaturan!$B$8:$B$27,Q$4)))</f>
        <v>0</v>
      </c>
      <c r="R897" s="26" t="n">
        <f aca="false">IF(INDEX(Pengaturan!$B$8:$B$27,R$4)="",0,COUNTIF(Data!$B897:$U897,INDEX(Pengaturan!$B$8:$B$27,R$4)))</f>
        <v>0</v>
      </c>
      <c r="S897" s="26" t="n">
        <f aca="false">IF(INDEX(Pengaturan!$B$8:$B$27,S$4)="",0,COUNTIF(Data!$B897:$U897,INDEX(Pengaturan!$B$8:$B$27,S$4)))</f>
        <v>0</v>
      </c>
      <c r="T897" s="26" t="n">
        <f aca="false">IF(INDEX(Pengaturan!$B$8:$B$27,T$4)="",0,COUNTIF(Data!$B897:$U897,INDEX(Pengaturan!$B$8:$B$27,T$4)))</f>
        <v>0</v>
      </c>
      <c r="U897" s="26" t="n">
        <f aca="false">IF(INDEX(Pengaturan!$B$8:$B$27,U$4)="",0,COUNTIF(Data!$B897:$U897,INDEX(Pengaturan!$B$8:$B$27,U$4)))</f>
        <v>0</v>
      </c>
      <c r="V897" s="26" t="n">
        <f aca="false">COUNTA(Data!$B897:$U897)</f>
        <v>0</v>
      </c>
      <c r="W897" s="27" t="str">
        <f aca="false">IF(V897=0,"",IF(V897&lt;&gt;Hasil!$C$4,"Data kosong/tidak lengkap",IF(SUM(B897:U897)&lt;&gt;V897,"Kategori tidak dikenal","OK")))</f>
        <v/>
      </c>
      <c r="X897" s="26" t="n">
        <f aca="false">IF(OR(W897="",W897="OK"),0,1)</f>
        <v>0</v>
      </c>
    </row>
    <row r="898" customFormat="false" ht="15" hidden="false" customHeight="false" outlineLevel="0" collapsed="false">
      <c r="A898" s="26" t="n">
        <f aca="false">Data!A898</f>
        <v>893</v>
      </c>
      <c r="B898" s="26" t="n">
        <f aca="false">IF(INDEX(Pengaturan!$B$8:$B$27,B$4)="",0,COUNTIF(Data!$B898:$U898,INDEX(Pengaturan!$B$8:$B$27,B$4)))</f>
        <v>0</v>
      </c>
      <c r="C898" s="26" t="n">
        <f aca="false">IF(INDEX(Pengaturan!$B$8:$B$27,C$4)="",0,COUNTIF(Data!$B898:$U898,INDEX(Pengaturan!$B$8:$B$27,C$4)))</f>
        <v>0</v>
      </c>
      <c r="D898" s="26" t="n">
        <f aca="false">IF(INDEX(Pengaturan!$B$8:$B$27,D$4)="",0,COUNTIF(Data!$B898:$U898,INDEX(Pengaturan!$B$8:$B$27,D$4)))</f>
        <v>0</v>
      </c>
      <c r="E898" s="26" t="n">
        <f aca="false">IF(INDEX(Pengaturan!$B$8:$B$27,E$4)="",0,COUNTIF(Data!$B898:$U898,INDEX(Pengaturan!$B$8:$B$27,E$4)))</f>
        <v>0</v>
      </c>
      <c r="F898" s="26" t="n">
        <f aca="false">IF(INDEX(Pengaturan!$B$8:$B$27,F$4)="",0,COUNTIF(Data!$B898:$U898,INDEX(Pengaturan!$B$8:$B$27,F$4)))</f>
        <v>0</v>
      </c>
      <c r="G898" s="26" t="n">
        <f aca="false">IF(INDEX(Pengaturan!$B$8:$B$27,G$4)="",0,COUNTIF(Data!$B898:$U898,INDEX(Pengaturan!$B$8:$B$27,G$4)))</f>
        <v>0</v>
      </c>
      <c r="H898" s="26" t="n">
        <f aca="false">IF(INDEX(Pengaturan!$B$8:$B$27,H$4)="",0,COUNTIF(Data!$B898:$U898,INDEX(Pengaturan!$B$8:$B$27,H$4)))</f>
        <v>0</v>
      </c>
      <c r="I898" s="26" t="n">
        <f aca="false">IF(INDEX(Pengaturan!$B$8:$B$27,I$4)="",0,COUNTIF(Data!$B898:$U898,INDEX(Pengaturan!$B$8:$B$27,I$4)))</f>
        <v>0</v>
      </c>
      <c r="J898" s="26" t="n">
        <f aca="false">IF(INDEX(Pengaturan!$B$8:$B$27,J$4)="",0,COUNTIF(Data!$B898:$U898,INDEX(Pengaturan!$B$8:$B$27,J$4)))</f>
        <v>0</v>
      </c>
      <c r="K898" s="26" t="n">
        <f aca="false">IF(INDEX(Pengaturan!$B$8:$B$27,K$4)="",0,COUNTIF(Data!$B898:$U898,INDEX(Pengaturan!$B$8:$B$27,K$4)))</f>
        <v>0</v>
      </c>
      <c r="L898" s="26" t="n">
        <f aca="false">IF(INDEX(Pengaturan!$B$8:$B$27,L$4)="",0,COUNTIF(Data!$B898:$U898,INDEX(Pengaturan!$B$8:$B$27,L$4)))</f>
        <v>0</v>
      </c>
      <c r="M898" s="26" t="n">
        <f aca="false">IF(INDEX(Pengaturan!$B$8:$B$27,M$4)="",0,COUNTIF(Data!$B898:$U898,INDEX(Pengaturan!$B$8:$B$27,M$4)))</f>
        <v>0</v>
      </c>
      <c r="N898" s="26" t="n">
        <f aca="false">IF(INDEX(Pengaturan!$B$8:$B$27,N$4)="",0,COUNTIF(Data!$B898:$U898,INDEX(Pengaturan!$B$8:$B$27,N$4)))</f>
        <v>0</v>
      </c>
      <c r="O898" s="26" t="n">
        <f aca="false">IF(INDEX(Pengaturan!$B$8:$B$27,O$4)="",0,COUNTIF(Data!$B898:$U898,INDEX(Pengaturan!$B$8:$B$27,O$4)))</f>
        <v>0</v>
      </c>
      <c r="P898" s="26" t="n">
        <f aca="false">IF(INDEX(Pengaturan!$B$8:$B$27,P$4)="",0,COUNTIF(Data!$B898:$U898,INDEX(Pengaturan!$B$8:$B$27,P$4)))</f>
        <v>0</v>
      </c>
      <c r="Q898" s="26" t="n">
        <f aca="false">IF(INDEX(Pengaturan!$B$8:$B$27,Q$4)="",0,COUNTIF(Data!$B898:$U898,INDEX(Pengaturan!$B$8:$B$27,Q$4)))</f>
        <v>0</v>
      </c>
      <c r="R898" s="26" t="n">
        <f aca="false">IF(INDEX(Pengaturan!$B$8:$B$27,R$4)="",0,COUNTIF(Data!$B898:$U898,INDEX(Pengaturan!$B$8:$B$27,R$4)))</f>
        <v>0</v>
      </c>
      <c r="S898" s="26" t="n">
        <f aca="false">IF(INDEX(Pengaturan!$B$8:$B$27,S$4)="",0,COUNTIF(Data!$B898:$U898,INDEX(Pengaturan!$B$8:$B$27,S$4)))</f>
        <v>0</v>
      </c>
      <c r="T898" s="26" t="n">
        <f aca="false">IF(INDEX(Pengaturan!$B$8:$B$27,T$4)="",0,COUNTIF(Data!$B898:$U898,INDEX(Pengaturan!$B$8:$B$27,T$4)))</f>
        <v>0</v>
      </c>
      <c r="U898" s="26" t="n">
        <f aca="false">IF(INDEX(Pengaturan!$B$8:$B$27,U$4)="",0,COUNTIF(Data!$B898:$U898,INDEX(Pengaturan!$B$8:$B$27,U$4)))</f>
        <v>0</v>
      </c>
      <c r="V898" s="26" t="n">
        <f aca="false">COUNTA(Data!$B898:$U898)</f>
        <v>0</v>
      </c>
      <c r="W898" s="27" t="str">
        <f aca="false">IF(V898=0,"",IF(V898&lt;&gt;Hasil!$C$4,"Data kosong/tidak lengkap",IF(SUM(B898:U898)&lt;&gt;V898,"Kategori tidak dikenal","OK")))</f>
        <v/>
      </c>
      <c r="X898" s="26" t="n">
        <f aca="false">IF(OR(W898="",W898="OK"),0,1)</f>
        <v>0</v>
      </c>
    </row>
    <row r="899" customFormat="false" ht="15" hidden="false" customHeight="false" outlineLevel="0" collapsed="false">
      <c r="A899" s="26" t="n">
        <f aca="false">Data!A899</f>
        <v>894</v>
      </c>
      <c r="B899" s="26" t="n">
        <f aca="false">IF(INDEX(Pengaturan!$B$8:$B$27,B$4)="",0,COUNTIF(Data!$B899:$U899,INDEX(Pengaturan!$B$8:$B$27,B$4)))</f>
        <v>0</v>
      </c>
      <c r="C899" s="26" t="n">
        <f aca="false">IF(INDEX(Pengaturan!$B$8:$B$27,C$4)="",0,COUNTIF(Data!$B899:$U899,INDEX(Pengaturan!$B$8:$B$27,C$4)))</f>
        <v>0</v>
      </c>
      <c r="D899" s="26" t="n">
        <f aca="false">IF(INDEX(Pengaturan!$B$8:$B$27,D$4)="",0,COUNTIF(Data!$B899:$U899,INDEX(Pengaturan!$B$8:$B$27,D$4)))</f>
        <v>0</v>
      </c>
      <c r="E899" s="26" t="n">
        <f aca="false">IF(INDEX(Pengaturan!$B$8:$B$27,E$4)="",0,COUNTIF(Data!$B899:$U899,INDEX(Pengaturan!$B$8:$B$27,E$4)))</f>
        <v>0</v>
      </c>
      <c r="F899" s="26" t="n">
        <f aca="false">IF(INDEX(Pengaturan!$B$8:$B$27,F$4)="",0,COUNTIF(Data!$B899:$U899,INDEX(Pengaturan!$B$8:$B$27,F$4)))</f>
        <v>0</v>
      </c>
      <c r="G899" s="26" t="n">
        <f aca="false">IF(INDEX(Pengaturan!$B$8:$B$27,G$4)="",0,COUNTIF(Data!$B899:$U899,INDEX(Pengaturan!$B$8:$B$27,G$4)))</f>
        <v>0</v>
      </c>
      <c r="H899" s="26" t="n">
        <f aca="false">IF(INDEX(Pengaturan!$B$8:$B$27,H$4)="",0,COUNTIF(Data!$B899:$U899,INDEX(Pengaturan!$B$8:$B$27,H$4)))</f>
        <v>0</v>
      </c>
      <c r="I899" s="26" t="n">
        <f aca="false">IF(INDEX(Pengaturan!$B$8:$B$27,I$4)="",0,COUNTIF(Data!$B899:$U899,INDEX(Pengaturan!$B$8:$B$27,I$4)))</f>
        <v>0</v>
      </c>
      <c r="J899" s="26" t="n">
        <f aca="false">IF(INDEX(Pengaturan!$B$8:$B$27,J$4)="",0,COUNTIF(Data!$B899:$U899,INDEX(Pengaturan!$B$8:$B$27,J$4)))</f>
        <v>0</v>
      </c>
      <c r="K899" s="26" t="n">
        <f aca="false">IF(INDEX(Pengaturan!$B$8:$B$27,K$4)="",0,COUNTIF(Data!$B899:$U899,INDEX(Pengaturan!$B$8:$B$27,K$4)))</f>
        <v>0</v>
      </c>
      <c r="L899" s="26" t="n">
        <f aca="false">IF(INDEX(Pengaturan!$B$8:$B$27,L$4)="",0,COUNTIF(Data!$B899:$U899,INDEX(Pengaturan!$B$8:$B$27,L$4)))</f>
        <v>0</v>
      </c>
      <c r="M899" s="26" t="n">
        <f aca="false">IF(INDEX(Pengaturan!$B$8:$B$27,M$4)="",0,COUNTIF(Data!$B899:$U899,INDEX(Pengaturan!$B$8:$B$27,M$4)))</f>
        <v>0</v>
      </c>
      <c r="N899" s="26" t="n">
        <f aca="false">IF(INDEX(Pengaturan!$B$8:$B$27,N$4)="",0,COUNTIF(Data!$B899:$U899,INDEX(Pengaturan!$B$8:$B$27,N$4)))</f>
        <v>0</v>
      </c>
      <c r="O899" s="26" t="n">
        <f aca="false">IF(INDEX(Pengaturan!$B$8:$B$27,O$4)="",0,COUNTIF(Data!$B899:$U899,INDEX(Pengaturan!$B$8:$B$27,O$4)))</f>
        <v>0</v>
      </c>
      <c r="P899" s="26" t="n">
        <f aca="false">IF(INDEX(Pengaturan!$B$8:$B$27,P$4)="",0,COUNTIF(Data!$B899:$U899,INDEX(Pengaturan!$B$8:$B$27,P$4)))</f>
        <v>0</v>
      </c>
      <c r="Q899" s="26" t="n">
        <f aca="false">IF(INDEX(Pengaturan!$B$8:$B$27,Q$4)="",0,COUNTIF(Data!$B899:$U899,INDEX(Pengaturan!$B$8:$B$27,Q$4)))</f>
        <v>0</v>
      </c>
      <c r="R899" s="26" t="n">
        <f aca="false">IF(INDEX(Pengaturan!$B$8:$B$27,R$4)="",0,COUNTIF(Data!$B899:$U899,INDEX(Pengaturan!$B$8:$B$27,R$4)))</f>
        <v>0</v>
      </c>
      <c r="S899" s="26" t="n">
        <f aca="false">IF(INDEX(Pengaturan!$B$8:$B$27,S$4)="",0,COUNTIF(Data!$B899:$U899,INDEX(Pengaturan!$B$8:$B$27,S$4)))</f>
        <v>0</v>
      </c>
      <c r="T899" s="26" t="n">
        <f aca="false">IF(INDEX(Pengaturan!$B$8:$B$27,T$4)="",0,COUNTIF(Data!$B899:$U899,INDEX(Pengaturan!$B$8:$B$27,T$4)))</f>
        <v>0</v>
      </c>
      <c r="U899" s="26" t="n">
        <f aca="false">IF(INDEX(Pengaturan!$B$8:$B$27,U$4)="",0,COUNTIF(Data!$B899:$U899,INDEX(Pengaturan!$B$8:$B$27,U$4)))</f>
        <v>0</v>
      </c>
      <c r="V899" s="26" t="n">
        <f aca="false">COUNTA(Data!$B899:$U899)</f>
        <v>0</v>
      </c>
      <c r="W899" s="27" t="str">
        <f aca="false">IF(V899=0,"",IF(V899&lt;&gt;Hasil!$C$4,"Data kosong/tidak lengkap",IF(SUM(B899:U899)&lt;&gt;V899,"Kategori tidak dikenal","OK")))</f>
        <v/>
      </c>
      <c r="X899" s="26" t="n">
        <f aca="false">IF(OR(W899="",W899="OK"),0,1)</f>
        <v>0</v>
      </c>
    </row>
    <row r="900" customFormat="false" ht="15" hidden="false" customHeight="false" outlineLevel="0" collapsed="false">
      <c r="A900" s="26" t="n">
        <f aca="false">Data!A900</f>
        <v>895</v>
      </c>
      <c r="B900" s="26" t="n">
        <f aca="false">IF(INDEX(Pengaturan!$B$8:$B$27,B$4)="",0,COUNTIF(Data!$B900:$U900,INDEX(Pengaturan!$B$8:$B$27,B$4)))</f>
        <v>0</v>
      </c>
      <c r="C900" s="26" t="n">
        <f aca="false">IF(INDEX(Pengaturan!$B$8:$B$27,C$4)="",0,COUNTIF(Data!$B900:$U900,INDEX(Pengaturan!$B$8:$B$27,C$4)))</f>
        <v>0</v>
      </c>
      <c r="D900" s="26" t="n">
        <f aca="false">IF(INDEX(Pengaturan!$B$8:$B$27,D$4)="",0,COUNTIF(Data!$B900:$U900,INDEX(Pengaturan!$B$8:$B$27,D$4)))</f>
        <v>0</v>
      </c>
      <c r="E900" s="26" t="n">
        <f aca="false">IF(INDEX(Pengaturan!$B$8:$B$27,E$4)="",0,COUNTIF(Data!$B900:$U900,INDEX(Pengaturan!$B$8:$B$27,E$4)))</f>
        <v>0</v>
      </c>
      <c r="F900" s="26" t="n">
        <f aca="false">IF(INDEX(Pengaturan!$B$8:$B$27,F$4)="",0,COUNTIF(Data!$B900:$U900,INDEX(Pengaturan!$B$8:$B$27,F$4)))</f>
        <v>0</v>
      </c>
      <c r="G900" s="26" t="n">
        <f aca="false">IF(INDEX(Pengaturan!$B$8:$B$27,G$4)="",0,COUNTIF(Data!$B900:$U900,INDEX(Pengaturan!$B$8:$B$27,G$4)))</f>
        <v>0</v>
      </c>
      <c r="H900" s="26" t="n">
        <f aca="false">IF(INDEX(Pengaturan!$B$8:$B$27,H$4)="",0,COUNTIF(Data!$B900:$U900,INDEX(Pengaturan!$B$8:$B$27,H$4)))</f>
        <v>0</v>
      </c>
      <c r="I900" s="26" t="n">
        <f aca="false">IF(INDEX(Pengaturan!$B$8:$B$27,I$4)="",0,COUNTIF(Data!$B900:$U900,INDEX(Pengaturan!$B$8:$B$27,I$4)))</f>
        <v>0</v>
      </c>
      <c r="J900" s="26" t="n">
        <f aca="false">IF(INDEX(Pengaturan!$B$8:$B$27,J$4)="",0,COUNTIF(Data!$B900:$U900,INDEX(Pengaturan!$B$8:$B$27,J$4)))</f>
        <v>0</v>
      </c>
      <c r="K900" s="26" t="n">
        <f aca="false">IF(INDEX(Pengaturan!$B$8:$B$27,K$4)="",0,COUNTIF(Data!$B900:$U900,INDEX(Pengaturan!$B$8:$B$27,K$4)))</f>
        <v>0</v>
      </c>
      <c r="L900" s="26" t="n">
        <f aca="false">IF(INDEX(Pengaturan!$B$8:$B$27,L$4)="",0,COUNTIF(Data!$B900:$U900,INDEX(Pengaturan!$B$8:$B$27,L$4)))</f>
        <v>0</v>
      </c>
      <c r="M900" s="26" t="n">
        <f aca="false">IF(INDEX(Pengaturan!$B$8:$B$27,M$4)="",0,COUNTIF(Data!$B900:$U900,INDEX(Pengaturan!$B$8:$B$27,M$4)))</f>
        <v>0</v>
      </c>
      <c r="N900" s="26" t="n">
        <f aca="false">IF(INDEX(Pengaturan!$B$8:$B$27,N$4)="",0,COUNTIF(Data!$B900:$U900,INDEX(Pengaturan!$B$8:$B$27,N$4)))</f>
        <v>0</v>
      </c>
      <c r="O900" s="26" t="n">
        <f aca="false">IF(INDEX(Pengaturan!$B$8:$B$27,O$4)="",0,COUNTIF(Data!$B900:$U900,INDEX(Pengaturan!$B$8:$B$27,O$4)))</f>
        <v>0</v>
      </c>
      <c r="P900" s="26" t="n">
        <f aca="false">IF(INDEX(Pengaturan!$B$8:$B$27,P$4)="",0,COUNTIF(Data!$B900:$U900,INDEX(Pengaturan!$B$8:$B$27,P$4)))</f>
        <v>0</v>
      </c>
      <c r="Q900" s="26" t="n">
        <f aca="false">IF(INDEX(Pengaturan!$B$8:$B$27,Q$4)="",0,COUNTIF(Data!$B900:$U900,INDEX(Pengaturan!$B$8:$B$27,Q$4)))</f>
        <v>0</v>
      </c>
      <c r="R900" s="26" t="n">
        <f aca="false">IF(INDEX(Pengaturan!$B$8:$B$27,R$4)="",0,COUNTIF(Data!$B900:$U900,INDEX(Pengaturan!$B$8:$B$27,R$4)))</f>
        <v>0</v>
      </c>
      <c r="S900" s="26" t="n">
        <f aca="false">IF(INDEX(Pengaturan!$B$8:$B$27,S$4)="",0,COUNTIF(Data!$B900:$U900,INDEX(Pengaturan!$B$8:$B$27,S$4)))</f>
        <v>0</v>
      </c>
      <c r="T900" s="26" t="n">
        <f aca="false">IF(INDEX(Pengaturan!$B$8:$B$27,T$4)="",0,COUNTIF(Data!$B900:$U900,INDEX(Pengaturan!$B$8:$B$27,T$4)))</f>
        <v>0</v>
      </c>
      <c r="U900" s="26" t="n">
        <f aca="false">IF(INDEX(Pengaturan!$B$8:$B$27,U$4)="",0,COUNTIF(Data!$B900:$U900,INDEX(Pengaturan!$B$8:$B$27,U$4)))</f>
        <v>0</v>
      </c>
      <c r="V900" s="26" t="n">
        <f aca="false">COUNTA(Data!$B900:$U900)</f>
        <v>0</v>
      </c>
      <c r="W900" s="27" t="str">
        <f aca="false">IF(V900=0,"",IF(V900&lt;&gt;Hasil!$C$4,"Data kosong/tidak lengkap",IF(SUM(B900:U900)&lt;&gt;V900,"Kategori tidak dikenal","OK")))</f>
        <v/>
      </c>
      <c r="X900" s="26" t="n">
        <f aca="false">IF(OR(W900="",W900="OK"),0,1)</f>
        <v>0</v>
      </c>
    </row>
    <row r="901" customFormat="false" ht="15" hidden="false" customHeight="false" outlineLevel="0" collapsed="false">
      <c r="A901" s="26" t="n">
        <f aca="false">Data!A901</f>
        <v>896</v>
      </c>
      <c r="B901" s="26" t="n">
        <f aca="false">IF(INDEX(Pengaturan!$B$8:$B$27,B$4)="",0,COUNTIF(Data!$B901:$U901,INDEX(Pengaturan!$B$8:$B$27,B$4)))</f>
        <v>0</v>
      </c>
      <c r="C901" s="26" t="n">
        <f aca="false">IF(INDEX(Pengaturan!$B$8:$B$27,C$4)="",0,COUNTIF(Data!$B901:$U901,INDEX(Pengaturan!$B$8:$B$27,C$4)))</f>
        <v>0</v>
      </c>
      <c r="D901" s="26" t="n">
        <f aca="false">IF(INDEX(Pengaturan!$B$8:$B$27,D$4)="",0,COUNTIF(Data!$B901:$U901,INDEX(Pengaturan!$B$8:$B$27,D$4)))</f>
        <v>0</v>
      </c>
      <c r="E901" s="26" t="n">
        <f aca="false">IF(INDEX(Pengaturan!$B$8:$B$27,E$4)="",0,COUNTIF(Data!$B901:$U901,INDEX(Pengaturan!$B$8:$B$27,E$4)))</f>
        <v>0</v>
      </c>
      <c r="F901" s="26" t="n">
        <f aca="false">IF(INDEX(Pengaturan!$B$8:$B$27,F$4)="",0,COUNTIF(Data!$B901:$U901,INDEX(Pengaturan!$B$8:$B$27,F$4)))</f>
        <v>0</v>
      </c>
      <c r="G901" s="26" t="n">
        <f aca="false">IF(INDEX(Pengaturan!$B$8:$B$27,G$4)="",0,COUNTIF(Data!$B901:$U901,INDEX(Pengaturan!$B$8:$B$27,G$4)))</f>
        <v>0</v>
      </c>
      <c r="H901" s="26" t="n">
        <f aca="false">IF(INDEX(Pengaturan!$B$8:$B$27,H$4)="",0,COUNTIF(Data!$B901:$U901,INDEX(Pengaturan!$B$8:$B$27,H$4)))</f>
        <v>0</v>
      </c>
      <c r="I901" s="26" t="n">
        <f aca="false">IF(INDEX(Pengaturan!$B$8:$B$27,I$4)="",0,COUNTIF(Data!$B901:$U901,INDEX(Pengaturan!$B$8:$B$27,I$4)))</f>
        <v>0</v>
      </c>
      <c r="J901" s="26" t="n">
        <f aca="false">IF(INDEX(Pengaturan!$B$8:$B$27,J$4)="",0,COUNTIF(Data!$B901:$U901,INDEX(Pengaturan!$B$8:$B$27,J$4)))</f>
        <v>0</v>
      </c>
      <c r="K901" s="26" t="n">
        <f aca="false">IF(INDEX(Pengaturan!$B$8:$B$27,K$4)="",0,COUNTIF(Data!$B901:$U901,INDEX(Pengaturan!$B$8:$B$27,K$4)))</f>
        <v>0</v>
      </c>
      <c r="L901" s="26" t="n">
        <f aca="false">IF(INDEX(Pengaturan!$B$8:$B$27,L$4)="",0,COUNTIF(Data!$B901:$U901,INDEX(Pengaturan!$B$8:$B$27,L$4)))</f>
        <v>0</v>
      </c>
      <c r="M901" s="26" t="n">
        <f aca="false">IF(INDEX(Pengaturan!$B$8:$B$27,M$4)="",0,COUNTIF(Data!$B901:$U901,INDEX(Pengaturan!$B$8:$B$27,M$4)))</f>
        <v>0</v>
      </c>
      <c r="N901" s="26" t="n">
        <f aca="false">IF(INDEX(Pengaturan!$B$8:$B$27,N$4)="",0,COUNTIF(Data!$B901:$U901,INDEX(Pengaturan!$B$8:$B$27,N$4)))</f>
        <v>0</v>
      </c>
      <c r="O901" s="26" t="n">
        <f aca="false">IF(INDEX(Pengaturan!$B$8:$B$27,O$4)="",0,COUNTIF(Data!$B901:$U901,INDEX(Pengaturan!$B$8:$B$27,O$4)))</f>
        <v>0</v>
      </c>
      <c r="P901" s="26" t="n">
        <f aca="false">IF(INDEX(Pengaturan!$B$8:$B$27,P$4)="",0,COUNTIF(Data!$B901:$U901,INDEX(Pengaturan!$B$8:$B$27,P$4)))</f>
        <v>0</v>
      </c>
      <c r="Q901" s="26" t="n">
        <f aca="false">IF(INDEX(Pengaturan!$B$8:$B$27,Q$4)="",0,COUNTIF(Data!$B901:$U901,INDEX(Pengaturan!$B$8:$B$27,Q$4)))</f>
        <v>0</v>
      </c>
      <c r="R901" s="26" t="n">
        <f aca="false">IF(INDEX(Pengaturan!$B$8:$B$27,R$4)="",0,COUNTIF(Data!$B901:$U901,INDEX(Pengaturan!$B$8:$B$27,R$4)))</f>
        <v>0</v>
      </c>
      <c r="S901" s="26" t="n">
        <f aca="false">IF(INDEX(Pengaturan!$B$8:$B$27,S$4)="",0,COUNTIF(Data!$B901:$U901,INDEX(Pengaturan!$B$8:$B$27,S$4)))</f>
        <v>0</v>
      </c>
      <c r="T901" s="26" t="n">
        <f aca="false">IF(INDEX(Pengaturan!$B$8:$B$27,T$4)="",0,COUNTIF(Data!$B901:$U901,INDEX(Pengaturan!$B$8:$B$27,T$4)))</f>
        <v>0</v>
      </c>
      <c r="U901" s="26" t="n">
        <f aca="false">IF(INDEX(Pengaturan!$B$8:$B$27,U$4)="",0,COUNTIF(Data!$B901:$U901,INDEX(Pengaturan!$B$8:$B$27,U$4)))</f>
        <v>0</v>
      </c>
      <c r="V901" s="26" t="n">
        <f aca="false">COUNTA(Data!$B901:$U901)</f>
        <v>0</v>
      </c>
      <c r="W901" s="27" t="str">
        <f aca="false">IF(V901=0,"",IF(V901&lt;&gt;Hasil!$C$4,"Data kosong/tidak lengkap",IF(SUM(B901:U901)&lt;&gt;V901,"Kategori tidak dikenal","OK")))</f>
        <v/>
      </c>
      <c r="X901" s="26" t="n">
        <f aca="false">IF(OR(W901="",W901="OK"),0,1)</f>
        <v>0</v>
      </c>
    </row>
    <row r="902" customFormat="false" ht="15" hidden="false" customHeight="false" outlineLevel="0" collapsed="false">
      <c r="A902" s="26" t="n">
        <f aca="false">Data!A902</f>
        <v>897</v>
      </c>
      <c r="B902" s="26" t="n">
        <f aca="false">IF(INDEX(Pengaturan!$B$8:$B$27,B$4)="",0,COUNTIF(Data!$B902:$U902,INDEX(Pengaturan!$B$8:$B$27,B$4)))</f>
        <v>0</v>
      </c>
      <c r="C902" s="26" t="n">
        <f aca="false">IF(INDEX(Pengaturan!$B$8:$B$27,C$4)="",0,COUNTIF(Data!$B902:$U902,INDEX(Pengaturan!$B$8:$B$27,C$4)))</f>
        <v>0</v>
      </c>
      <c r="D902" s="26" t="n">
        <f aca="false">IF(INDEX(Pengaturan!$B$8:$B$27,D$4)="",0,COUNTIF(Data!$B902:$U902,INDEX(Pengaturan!$B$8:$B$27,D$4)))</f>
        <v>0</v>
      </c>
      <c r="E902" s="26" t="n">
        <f aca="false">IF(INDEX(Pengaturan!$B$8:$B$27,E$4)="",0,COUNTIF(Data!$B902:$U902,INDEX(Pengaturan!$B$8:$B$27,E$4)))</f>
        <v>0</v>
      </c>
      <c r="F902" s="26" t="n">
        <f aca="false">IF(INDEX(Pengaturan!$B$8:$B$27,F$4)="",0,COUNTIF(Data!$B902:$U902,INDEX(Pengaturan!$B$8:$B$27,F$4)))</f>
        <v>0</v>
      </c>
      <c r="G902" s="26" t="n">
        <f aca="false">IF(INDEX(Pengaturan!$B$8:$B$27,G$4)="",0,COUNTIF(Data!$B902:$U902,INDEX(Pengaturan!$B$8:$B$27,G$4)))</f>
        <v>0</v>
      </c>
      <c r="H902" s="26" t="n">
        <f aca="false">IF(INDEX(Pengaturan!$B$8:$B$27,H$4)="",0,COUNTIF(Data!$B902:$U902,INDEX(Pengaturan!$B$8:$B$27,H$4)))</f>
        <v>0</v>
      </c>
      <c r="I902" s="26" t="n">
        <f aca="false">IF(INDEX(Pengaturan!$B$8:$B$27,I$4)="",0,COUNTIF(Data!$B902:$U902,INDEX(Pengaturan!$B$8:$B$27,I$4)))</f>
        <v>0</v>
      </c>
      <c r="J902" s="26" t="n">
        <f aca="false">IF(INDEX(Pengaturan!$B$8:$B$27,J$4)="",0,COUNTIF(Data!$B902:$U902,INDEX(Pengaturan!$B$8:$B$27,J$4)))</f>
        <v>0</v>
      </c>
      <c r="K902" s="26" t="n">
        <f aca="false">IF(INDEX(Pengaturan!$B$8:$B$27,K$4)="",0,COUNTIF(Data!$B902:$U902,INDEX(Pengaturan!$B$8:$B$27,K$4)))</f>
        <v>0</v>
      </c>
      <c r="L902" s="26" t="n">
        <f aca="false">IF(INDEX(Pengaturan!$B$8:$B$27,L$4)="",0,COUNTIF(Data!$B902:$U902,INDEX(Pengaturan!$B$8:$B$27,L$4)))</f>
        <v>0</v>
      </c>
      <c r="M902" s="26" t="n">
        <f aca="false">IF(INDEX(Pengaturan!$B$8:$B$27,M$4)="",0,COUNTIF(Data!$B902:$U902,INDEX(Pengaturan!$B$8:$B$27,M$4)))</f>
        <v>0</v>
      </c>
      <c r="N902" s="26" t="n">
        <f aca="false">IF(INDEX(Pengaturan!$B$8:$B$27,N$4)="",0,COUNTIF(Data!$B902:$U902,INDEX(Pengaturan!$B$8:$B$27,N$4)))</f>
        <v>0</v>
      </c>
      <c r="O902" s="26" t="n">
        <f aca="false">IF(INDEX(Pengaturan!$B$8:$B$27,O$4)="",0,COUNTIF(Data!$B902:$U902,INDEX(Pengaturan!$B$8:$B$27,O$4)))</f>
        <v>0</v>
      </c>
      <c r="P902" s="26" t="n">
        <f aca="false">IF(INDEX(Pengaturan!$B$8:$B$27,P$4)="",0,COUNTIF(Data!$B902:$U902,INDEX(Pengaturan!$B$8:$B$27,P$4)))</f>
        <v>0</v>
      </c>
      <c r="Q902" s="26" t="n">
        <f aca="false">IF(INDEX(Pengaturan!$B$8:$B$27,Q$4)="",0,COUNTIF(Data!$B902:$U902,INDEX(Pengaturan!$B$8:$B$27,Q$4)))</f>
        <v>0</v>
      </c>
      <c r="R902" s="26" t="n">
        <f aca="false">IF(INDEX(Pengaturan!$B$8:$B$27,R$4)="",0,COUNTIF(Data!$B902:$U902,INDEX(Pengaturan!$B$8:$B$27,R$4)))</f>
        <v>0</v>
      </c>
      <c r="S902" s="26" t="n">
        <f aca="false">IF(INDEX(Pengaturan!$B$8:$B$27,S$4)="",0,COUNTIF(Data!$B902:$U902,INDEX(Pengaturan!$B$8:$B$27,S$4)))</f>
        <v>0</v>
      </c>
      <c r="T902" s="26" t="n">
        <f aca="false">IF(INDEX(Pengaturan!$B$8:$B$27,T$4)="",0,COUNTIF(Data!$B902:$U902,INDEX(Pengaturan!$B$8:$B$27,T$4)))</f>
        <v>0</v>
      </c>
      <c r="U902" s="26" t="n">
        <f aca="false">IF(INDEX(Pengaturan!$B$8:$B$27,U$4)="",0,COUNTIF(Data!$B902:$U902,INDEX(Pengaturan!$B$8:$B$27,U$4)))</f>
        <v>0</v>
      </c>
      <c r="V902" s="26" t="n">
        <f aca="false">COUNTA(Data!$B902:$U902)</f>
        <v>0</v>
      </c>
      <c r="W902" s="27" t="str">
        <f aca="false">IF(V902=0,"",IF(V902&lt;&gt;Hasil!$C$4,"Data kosong/tidak lengkap",IF(SUM(B902:U902)&lt;&gt;V902,"Kategori tidak dikenal","OK")))</f>
        <v/>
      </c>
      <c r="X902" s="26" t="n">
        <f aca="false">IF(OR(W902="",W902="OK"),0,1)</f>
        <v>0</v>
      </c>
    </row>
    <row r="903" customFormat="false" ht="15" hidden="false" customHeight="false" outlineLevel="0" collapsed="false">
      <c r="A903" s="26" t="n">
        <f aca="false">Data!A903</f>
        <v>898</v>
      </c>
      <c r="B903" s="26" t="n">
        <f aca="false">IF(INDEX(Pengaturan!$B$8:$B$27,B$4)="",0,COUNTIF(Data!$B903:$U903,INDEX(Pengaturan!$B$8:$B$27,B$4)))</f>
        <v>0</v>
      </c>
      <c r="C903" s="26" t="n">
        <f aca="false">IF(INDEX(Pengaturan!$B$8:$B$27,C$4)="",0,COUNTIF(Data!$B903:$U903,INDEX(Pengaturan!$B$8:$B$27,C$4)))</f>
        <v>0</v>
      </c>
      <c r="D903" s="26" t="n">
        <f aca="false">IF(INDEX(Pengaturan!$B$8:$B$27,D$4)="",0,COUNTIF(Data!$B903:$U903,INDEX(Pengaturan!$B$8:$B$27,D$4)))</f>
        <v>0</v>
      </c>
      <c r="E903" s="26" t="n">
        <f aca="false">IF(INDEX(Pengaturan!$B$8:$B$27,E$4)="",0,COUNTIF(Data!$B903:$U903,INDEX(Pengaturan!$B$8:$B$27,E$4)))</f>
        <v>0</v>
      </c>
      <c r="F903" s="26" t="n">
        <f aca="false">IF(INDEX(Pengaturan!$B$8:$B$27,F$4)="",0,COUNTIF(Data!$B903:$U903,INDEX(Pengaturan!$B$8:$B$27,F$4)))</f>
        <v>0</v>
      </c>
      <c r="G903" s="26" t="n">
        <f aca="false">IF(INDEX(Pengaturan!$B$8:$B$27,G$4)="",0,COUNTIF(Data!$B903:$U903,INDEX(Pengaturan!$B$8:$B$27,G$4)))</f>
        <v>0</v>
      </c>
      <c r="H903" s="26" t="n">
        <f aca="false">IF(INDEX(Pengaturan!$B$8:$B$27,H$4)="",0,COUNTIF(Data!$B903:$U903,INDEX(Pengaturan!$B$8:$B$27,H$4)))</f>
        <v>0</v>
      </c>
      <c r="I903" s="26" t="n">
        <f aca="false">IF(INDEX(Pengaturan!$B$8:$B$27,I$4)="",0,COUNTIF(Data!$B903:$U903,INDEX(Pengaturan!$B$8:$B$27,I$4)))</f>
        <v>0</v>
      </c>
      <c r="J903" s="26" t="n">
        <f aca="false">IF(INDEX(Pengaturan!$B$8:$B$27,J$4)="",0,COUNTIF(Data!$B903:$U903,INDEX(Pengaturan!$B$8:$B$27,J$4)))</f>
        <v>0</v>
      </c>
      <c r="K903" s="26" t="n">
        <f aca="false">IF(INDEX(Pengaturan!$B$8:$B$27,K$4)="",0,COUNTIF(Data!$B903:$U903,INDEX(Pengaturan!$B$8:$B$27,K$4)))</f>
        <v>0</v>
      </c>
      <c r="L903" s="26" t="n">
        <f aca="false">IF(INDEX(Pengaturan!$B$8:$B$27,L$4)="",0,COUNTIF(Data!$B903:$U903,INDEX(Pengaturan!$B$8:$B$27,L$4)))</f>
        <v>0</v>
      </c>
      <c r="M903" s="26" t="n">
        <f aca="false">IF(INDEX(Pengaturan!$B$8:$B$27,M$4)="",0,COUNTIF(Data!$B903:$U903,INDEX(Pengaturan!$B$8:$B$27,M$4)))</f>
        <v>0</v>
      </c>
      <c r="N903" s="26" t="n">
        <f aca="false">IF(INDEX(Pengaturan!$B$8:$B$27,N$4)="",0,COUNTIF(Data!$B903:$U903,INDEX(Pengaturan!$B$8:$B$27,N$4)))</f>
        <v>0</v>
      </c>
      <c r="O903" s="26" t="n">
        <f aca="false">IF(INDEX(Pengaturan!$B$8:$B$27,O$4)="",0,COUNTIF(Data!$B903:$U903,INDEX(Pengaturan!$B$8:$B$27,O$4)))</f>
        <v>0</v>
      </c>
      <c r="P903" s="26" t="n">
        <f aca="false">IF(INDEX(Pengaturan!$B$8:$B$27,P$4)="",0,COUNTIF(Data!$B903:$U903,INDEX(Pengaturan!$B$8:$B$27,P$4)))</f>
        <v>0</v>
      </c>
      <c r="Q903" s="26" t="n">
        <f aca="false">IF(INDEX(Pengaturan!$B$8:$B$27,Q$4)="",0,COUNTIF(Data!$B903:$U903,INDEX(Pengaturan!$B$8:$B$27,Q$4)))</f>
        <v>0</v>
      </c>
      <c r="R903" s="26" t="n">
        <f aca="false">IF(INDEX(Pengaturan!$B$8:$B$27,R$4)="",0,COUNTIF(Data!$B903:$U903,INDEX(Pengaturan!$B$8:$B$27,R$4)))</f>
        <v>0</v>
      </c>
      <c r="S903" s="26" t="n">
        <f aca="false">IF(INDEX(Pengaturan!$B$8:$B$27,S$4)="",0,COUNTIF(Data!$B903:$U903,INDEX(Pengaturan!$B$8:$B$27,S$4)))</f>
        <v>0</v>
      </c>
      <c r="T903" s="26" t="n">
        <f aca="false">IF(INDEX(Pengaturan!$B$8:$B$27,T$4)="",0,COUNTIF(Data!$B903:$U903,INDEX(Pengaturan!$B$8:$B$27,T$4)))</f>
        <v>0</v>
      </c>
      <c r="U903" s="26" t="n">
        <f aca="false">IF(INDEX(Pengaturan!$B$8:$B$27,U$4)="",0,COUNTIF(Data!$B903:$U903,INDEX(Pengaturan!$B$8:$B$27,U$4)))</f>
        <v>0</v>
      </c>
      <c r="V903" s="26" t="n">
        <f aca="false">COUNTA(Data!$B903:$U903)</f>
        <v>0</v>
      </c>
      <c r="W903" s="27" t="str">
        <f aca="false">IF(V903=0,"",IF(V903&lt;&gt;Hasil!$C$4,"Data kosong/tidak lengkap",IF(SUM(B903:U903)&lt;&gt;V903,"Kategori tidak dikenal","OK")))</f>
        <v/>
      </c>
      <c r="X903" s="26" t="n">
        <f aca="false">IF(OR(W903="",W903="OK"),0,1)</f>
        <v>0</v>
      </c>
    </row>
    <row r="904" customFormat="false" ht="15" hidden="false" customHeight="false" outlineLevel="0" collapsed="false">
      <c r="A904" s="26" t="n">
        <f aca="false">Data!A904</f>
        <v>899</v>
      </c>
      <c r="B904" s="26" t="n">
        <f aca="false">IF(INDEX(Pengaturan!$B$8:$B$27,B$4)="",0,COUNTIF(Data!$B904:$U904,INDEX(Pengaturan!$B$8:$B$27,B$4)))</f>
        <v>0</v>
      </c>
      <c r="C904" s="26" t="n">
        <f aca="false">IF(INDEX(Pengaturan!$B$8:$B$27,C$4)="",0,COUNTIF(Data!$B904:$U904,INDEX(Pengaturan!$B$8:$B$27,C$4)))</f>
        <v>0</v>
      </c>
      <c r="D904" s="26" t="n">
        <f aca="false">IF(INDEX(Pengaturan!$B$8:$B$27,D$4)="",0,COUNTIF(Data!$B904:$U904,INDEX(Pengaturan!$B$8:$B$27,D$4)))</f>
        <v>0</v>
      </c>
      <c r="E904" s="26" t="n">
        <f aca="false">IF(INDEX(Pengaturan!$B$8:$B$27,E$4)="",0,COUNTIF(Data!$B904:$U904,INDEX(Pengaturan!$B$8:$B$27,E$4)))</f>
        <v>0</v>
      </c>
      <c r="F904" s="26" t="n">
        <f aca="false">IF(INDEX(Pengaturan!$B$8:$B$27,F$4)="",0,COUNTIF(Data!$B904:$U904,INDEX(Pengaturan!$B$8:$B$27,F$4)))</f>
        <v>0</v>
      </c>
      <c r="G904" s="26" t="n">
        <f aca="false">IF(INDEX(Pengaturan!$B$8:$B$27,G$4)="",0,COUNTIF(Data!$B904:$U904,INDEX(Pengaturan!$B$8:$B$27,G$4)))</f>
        <v>0</v>
      </c>
      <c r="H904" s="26" t="n">
        <f aca="false">IF(INDEX(Pengaturan!$B$8:$B$27,H$4)="",0,COUNTIF(Data!$B904:$U904,INDEX(Pengaturan!$B$8:$B$27,H$4)))</f>
        <v>0</v>
      </c>
      <c r="I904" s="26" t="n">
        <f aca="false">IF(INDEX(Pengaturan!$B$8:$B$27,I$4)="",0,COUNTIF(Data!$B904:$U904,INDEX(Pengaturan!$B$8:$B$27,I$4)))</f>
        <v>0</v>
      </c>
      <c r="J904" s="26" t="n">
        <f aca="false">IF(INDEX(Pengaturan!$B$8:$B$27,J$4)="",0,COUNTIF(Data!$B904:$U904,INDEX(Pengaturan!$B$8:$B$27,J$4)))</f>
        <v>0</v>
      </c>
      <c r="K904" s="26" t="n">
        <f aca="false">IF(INDEX(Pengaturan!$B$8:$B$27,K$4)="",0,COUNTIF(Data!$B904:$U904,INDEX(Pengaturan!$B$8:$B$27,K$4)))</f>
        <v>0</v>
      </c>
      <c r="L904" s="26" t="n">
        <f aca="false">IF(INDEX(Pengaturan!$B$8:$B$27,L$4)="",0,COUNTIF(Data!$B904:$U904,INDEX(Pengaturan!$B$8:$B$27,L$4)))</f>
        <v>0</v>
      </c>
      <c r="M904" s="26" t="n">
        <f aca="false">IF(INDEX(Pengaturan!$B$8:$B$27,M$4)="",0,COUNTIF(Data!$B904:$U904,INDEX(Pengaturan!$B$8:$B$27,M$4)))</f>
        <v>0</v>
      </c>
      <c r="N904" s="26" t="n">
        <f aca="false">IF(INDEX(Pengaturan!$B$8:$B$27,N$4)="",0,COUNTIF(Data!$B904:$U904,INDEX(Pengaturan!$B$8:$B$27,N$4)))</f>
        <v>0</v>
      </c>
      <c r="O904" s="26" t="n">
        <f aca="false">IF(INDEX(Pengaturan!$B$8:$B$27,O$4)="",0,COUNTIF(Data!$B904:$U904,INDEX(Pengaturan!$B$8:$B$27,O$4)))</f>
        <v>0</v>
      </c>
      <c r="P904" s="26" t="n">
        <f aca="false">IF(INDEX(Pengaturan!$B$8:$B$27,P$4)="",0,COUNTIF(Data!$B904:$U904,INDEX(Pengaturan!$B$8:$B$27,P$4)))</f>
        <v>0</v>
      </c>
      <c r="Q904" s="26" t="n">
        <f aca="false">IF(INDEX(Pengaturan!$B$8:$B$27,Q$4)="",0,COUNTIF(Data!$B904:$U904,INDEX(Pengaturan!$B$8:$B$27,Q$4)))</f>
        <v>0</v>
      </c>
      <c r="R904" s="26" t="n">
        <f aca="false">IF(INDEX(Pengaturan!$B$8:$B$27,R$4)="",0,COUNTIF(Data!$B904:$U904,INDEX(Pengaturan!$B$8:$B$27,R$4)))</f>
        <v>0</v>
      </c>
      <c r="S904" s="26" t="n">
        <f aca="false">IF(INDEX(Pengaturan!$B$8:$B$27,S$4)="",0,COUNTIF(Data!$B904:$U904,INDEX(Pengaturan!$B$8:$B$27,S$4)))</f>
        <v>0</v>
      </c>
      <c r="T904" s="26" t="n">
        <f aca="false">IF(INDEX(Pengaturan!$B$8:$B$27,T$4)="",0,COUNTIF(Data!$B904:$U904,INDEX(Pengaturan!$B$8:$B$27,T$4)))</f>
        <v>0</v>
      </c>
      <c r="U904" s="26" t="n">
        <f aca="false">IF(INDEX(Pengaturan!$B$8:$B$27,U$4)="",0,COUNTIF(Data!$B904:$U904,INDEX(Pengaturan!$B$8:$B$27,U$4)))</f>
        <v>0</v>
      </c>
      <c r="V904" s="26" t="n">
        <f aca="false">COUNTA(Data!$B904:$U904)</f>
        <v>0</v>
      </c>
      <c r="W904" s="27" t="str">
        <f aca="false">IF(V904=0,"",IF(V904&lt;&gt;Hasil!$C$4,"Data kosong/tidak lengkap",IF(SUM(B904:U904)&lt;&gt;V904,"Kategori tidak dikenal","OK")))</f>
        <v/>
      </c>
      <c r="X904" s="26" t="n">
        <f aca="false">IF(OR(W904="",W904="OK"),0,1)</f>
        <v>0</v>
      </c>
    </row>
    <row r="905" customFormat="false" ht="15" hidden="false" customHeight="false" outlineLevel="0" collapsed="false">
      <c r="A905" s="26" t="n">
        <f aca="false">Data!A905</f>
        <v>900</v>
      </c>
      <c r="B905" s="26" t="n">
        <f aca="false">IF(INDEX(Pengaturan!$B$8:$B$27,B$4)="",0,COUNTIF(Data!$B905:$U905,INDEX(Pengaturan!$B$8:$B$27,B$4)))</f>
        <v>0</v>
      </c>
      <c r="C905" s="26" t="n">
        <f aca="false">IF(INDEX(Pengaturan!$B$8:$B$27,C$4)="",0,COUNTIF(Data!$B905:$U905,INDEX(Pengaturan!$B$8:$B$27,C$4)))</f>
        <v>0</v>
      </c>
      <c r="D905" s="26" t="n">
        <f aca="false">IF(INDEX(Pengaturan!$B$8:$B$27,D$4)="",0,COUNTIF(Data!$B905:$U905,INDEX(Pengaturan!$B$8:$B$27,D$4)))</f>
        <v>0</v>
      </c>
      <c r="E905" s="26" t="n">
        <f aca="false">IF(INDEX(Pengaturan!$B$8:$B$27,E$4)="",0,COUNTIF(Data!$B905:$U905,INDEX(Pengaturan!$B$8:$B$27,E$4)))</f>
        <v>0</v>
      </c>
      <c r="F905" s="26" t="n">
        <f aca="false">IF(INDEX(Pengaturan!$B$8:$B$27,F$4)="",0,COUNTIF(Data!$B905:$U905,INDEX(Pengaturan!$B$8:$B$27,F$4)))</f>
        <v>0</v>
      </c>
      <c r="G905" s="26" t="n">
        <f aca="false">IF(INDEX(Pengaturan!$B$8:$B$27,G$4)="",0,COUNTIF(Data!$B905:$U905,INDEX(Pengaturan!$B$8:$B$27,G$4)))</f>
        <v>0</v>
      </c>
      <c r="H905" s="26" t="n">
        <f aca="false">IF(INDEX(Pengaturan!$B$8:$B$27,H$4)="",0,COUNTIF(Data!$B905:$U905,INDEX(Pengaturan!$B$8:$B$27,H$4)))</f>
        <v>0</v>
      </c>
      <c r="I905" s="26" t="n">
        <f aca="false">IF(INDEX(Pengaturan!$B$8:$B$27,I$4)="",0,COUNTIF(Data!$B905:$U905,INDEX(Pengaturan!$B$8:$B$27,I$4)))</f>
        <v>0</v>
      </c>
      <c r="J905" s="26" t="n">
        <f aca="false">IF(INDEX(Pengaturan!$B$8:$B$27,J$4)="",0,COUNTIF(Data!$B905:$U905,INDEX(Pengaturan!$B$8:$B$27,J$4)))</f>
        <v>0</v>
      </c>
      <c r="K905" s="26" t="n">
        <f aca="false">IF(INDEX(Pengaturan!$B$8:$B$27,K$4)="",0,COUNTIF(Data!$B905:$U905,INDEX(Pengaturan!$B$8:$B$27,K$4)))</f>
        <v>0</v>
      </c>
      <c r="L905" s="26" t="n">
        <f aca="false">IF(INDEX(Pengaturan!$B$8:$B$27,L$4)="",0,COUNTIF(Data!$B905:$U905,INDEX(Pengaturan!$B$8:$B$27,L$4)))</f>
        <v>0</v>
      </c>
      <c r="M905" s="26" t="n">
        <f aca="false">IF(INDEX(Pengaturan!$B$8:$B$27,M$4)="",0,COUNTIF(Data!$B905:$U905,INDEX(Pengaturan!$B$8:$B$27,M$4)))</f>
        <v>0</v>
      </c>
      <c r="N905" s="26" t="n">
        <f aca="false">IF(INDEX(Pengaturan!$B$8:$B$27,N$4)="",0,COUNTIF(Data!$B905:$U905,INDEX(Pengaturan!$B$8:$B$27,N$4)))</f>
        <v>0</v>
      </c>
      <c r="O905" s="26" t="n">
        <f aca="false">IF(INDEX(Pengaturan!$B$8:$B$27,O$4)="",0,COUNTIF(Data!$B905:$U905,INDEX(Pengaturan!$B$8:$B$27,O$4)))</f>
        <v>0</v>
      </c>
      <c r="P905" s="26" t="n">
        <f aca="false">IF(INDEX(Pengaturan!$B$8:$B$27,P$4)="",0,COUNTIF(Data!$B905:$U905,INDEX(Pengaturan!$B$8:$B$27,P$4)))</f>
        <v>0</v>
      </c>
      <c r="Q905" s="26" t="n">
        <f aca="false">IF(INDEX(Pengaturan!$B$8:$B$27,Q$4)="",0,COUNTIF(Data!$B905:$U905,INDEX(Pengaturan!$B$8:$B$27,Q$4)))</f>
        <v>0</v>
      </c>
      <c r="R905" s="26" t="n">
        <f aca="false">IF(INDEX(Pengaturan!$B$8:$B$27,R$4)="",0,COUNTIF(Data!$B905:$U905,INDEX(Pengaturan!$B$8:$B$27,R$4)))</f>
        <v>0</v>
      </c>
      <c r="S905" s="26" t="n">
        <f aca="false">IF(INDEX(Pengaturan!$B$8:$B$27,S$4)="",0,COUNTIF(Data!$B905:$U905,INDEX(Pengaturan!$B$8:$B$27,S$4)))</f>
        <v>0</v>
      </c>
      <c r="T905" s="26" t="n">
        <f aca="false">IF(INDEX(Pengaturan!$B$8:$B$27,T$4)="",0,COUNTIF(Data!$B905:$U905,INDEX(Pengaturan!$B$8:$B$27,T$4)))</f>
        <v>0</v>
      </c>
      <c r="U905" s="26" t="n">
        <f aca="false">IF(INDEX(Pengaturan!$B$8:$B$27,U$4)="",0,COUNTIF(Data!$B905:$U905,INDEX(Pengaturan!$B$8:$B$27,U$4)))</f>
        <v>0</v>
      </c>
      <c r="V905" s="26" t="n">
        <f aca="false">COUNTA(Data!$B905:$U905)</f>
        <v>0</v>
      </c>
      <c r="W905" s="27" t="str">
        <f aca="false">IF(V905=0,"",IF(V905&lt;&gt;Hasil!$C$4,"Data kosong/tidak lengkap",IF(SUM(B905:U905)&lt;&gt;V905,"Kategori tidak dikenal","OK")))</f>
        <v/>
      </c>
      <c r="X905" s="26" t="n">
        <f aca="false">IF(OR(W905="",W905="OK"),0,1)</f>
        <v>0</v>
      </c>
    </row>
    <row r="906" customFormat="false" ht="15" hidden="false" customHeight="false" outlineLevel="0" collapsed="false">
      <c r="A906" s="26" t="n">
        <f aca="false">Data!A906</f>
        <v>901</v>
      </c>
      <c r="B906" s="26" t="n">
        <f aca="false">IF(INDEX(Pengaturan!$B$8:$B$27,B$4)="",0,COUNTIF(Data!$B906:$U906,INDEX(Pengaturan!$B$8:$B$27,B$4)))</f>
        <v>0</v>
      </c>
      <c r="C906" s="26" t="n">
        <f aca="false">IF(INDEX(Pengaturan!$B$8:$B$27,C$4)="",0,COUNTIF(Data!$B906:$U906,INDEX(Pengaturan!$B$8:$B$27,C$4)))</f>
        <v>0</v>
      </c>
      <c r="D906" s="26" t="n">
        <f aca="false">IF(INDEX(Pengaturan!$B$8:$B$27,D$4)="",0,COUNTIF(Data!$B906:$U906,INDEX(Pengaturan!$B$8:$B$27,D$4)))</f>
        <v>0</v>
      </c>
      <c r="E906" s="26" t="n">
        <f aca="false">IF(INDEX(Pengaturan!$B$8:$B$27,E$4)="",0,COUNTIF(Data!$B906:$U906,INDEX(Pengaturan!$B$8:$B$27,E$4)))</f>
        <v>0</v>
      </c>
      <c r="F906" s="26" t="n">
        <f aca="false">IF(INDEX(Pengaturan!$B$8:$B$27,F$4)="",0,COUNTIF(Data!$B906:$U906,INDEX(Pengaturan!$B$8:$B$27,F$4)))</f>
        <v>0</v>
      </c>
      <c r="G906" s="26" t="n">
        <f aca="false">IF(INDEX(Pengaturan!$B$8:$B$27,G$4)="",0,COUNTIF(Data!$B906:$U906,INDEX(Pengaturan!$B$8:$B$27,G$4)))</f>
        <v>0</v>
      </c>
      <c r="H906" s="26" t="n">
        <f aca="false">IF(INDEX(Pengaturan!$B$8:$B$27,H$4)="",0,COUNTIF(Data!$B906:$U906,INDEX(Pengaturan!$B$8:$B$27,H$4)))</f>
        <v>0</v>
      </c>
      <c r="I906" s="26" t="n">
        <f aca="false">IF(INDEX(Pengaturan!$B$8:$B$27,I$4)="",0,COUNTIF(Data!$B906:$U906,INDEX(Pengaturan!$B$8:$B$27,I$4)))</f>
        <v>0</v>
      </c>
      <c r="J906" s="26" t="n">
        <f aca="false">IF(INDEX(Pengaturan!$B$8:$B$27,J$4)="",0,COUNTIF(Data!$B906:$U906,INDEX(Pengaturan!$B$8:$B$27,J$4)))</f>
        <v>0</v>
      </c>
      <c r="K906" s="26" t="n">
        <f aca="false">IF(INDEX(Pengaturan!$B$8:$B$27,K$4)="",0,COUNTIF(Data!$B906:$U906,INDEX(Pengaturan!$B$8:$B$27,K$4)))</f>
        <v>0</v>
      </c>
      <c r="L906" s="26" t="n">
        <f aca="false">IF(INDEX(Pengaturan!$B$8:$B$27,L$4)="",0,COUNTIF(Data!$B906:$U906,INDEX(Pengaturan!$B$8:$B$27,L$4)))</f>
        <v>0</v>
      </c>
      <c r="M906" s="26" t="n">
        <f aca="false">IF(INDEX(Pengaturan!$B$8:$B$27,M$4)="",0,COUNTIF(Data!$B906:$U906,INDEX(Pengaturan!$B$8:$B$27,M$4)))</f>
        <v>0</v>
      </c>
      <c r="N906" s="26" t="n">
        <f aca="false">IF(INDEX(Pengaturan!$B$8:$B$27,N$4)="",0,COUNTIF(Data!$B906:$U906,INDEX(Pengaturan!$B$8:$B$27,N$4)))</f>
        <v>0</v>
      </c>
      <c r="O906" s="26" t="n">
        <f aca="false">IF(INDEX(Pengaturan!$B$8:$B$27,O$4)="",0,COUNTIF(Data!$B906:$U906,INDEX(Pengaturan!$B$8:$B$27,O$4)))</f>
        <v>0</v>
      </c>
      <c r="P906" s="26" t="n">
        <f aca="false">IF(INDEX(Pengaturan!$B$8:$B$27,P$4)="",0,COUNTIF(Data!$B906:$U906,INDEX(Pengaturan!$B$8:$B$27,P$4)))</f>
        <v>0</v>
      </c>
      <c r="Q906" s="26" t="n">
        <f aca="false">IF(INDEX(Pengaturan!$B$8:$B$27,Q$4)="",0,COUNTIF(Data!$B906:$U906,INDEX(Pengaturan!$B$8:$B$27,Q$4)))</f>
        <v>0</v>
      </c>
      <c r="R906" s="26" t="n">
        <f aca="false">IF(INDEX(Pengaturan!$B$8:$B$27,R$4)="",0,COUNTIF(Data!$B906:$U906,INDEX(Pengaturan!$B$8:$B$27,R$4)))</f>
        <v>0</v>
      </c>
      <c r="S906" s="26" t="n">
        <f aca="false">IF(INDEX(Pengaturan!$B$8:$B$27,S$4)="",0,COUNTIF(Data!$B906:$U906,INDEX(Pengaturan!$B$8:$B$27,S$4)))</f>
        <v>0</v>
      </c>
      <c r="T906" s="26" t="n">
        <f aca="false">IF(INDEX(Pengaturan!$B$8:$B$27,T$4)="",0,COUNTIF(Data!$B906:$U906,INDEX(Pengaturan!$B$8:$B$27,T$4)))</f>
        <v>0</v>
      </c>
      <c r="U906" s="26" t="n">
        <f aca="false">IF(INDEX(Pengaturan!$B$8:$B$27,U$4)="",0,COUNTIF(Data!$B906:$U906,INDEX(Pengaturan!$B$8:$B$27,U$4)))</f>
        <v>0</v>
      </c>
      <c r="V906" s="26" t="n">
        <f aca="false">COUNTA(Data!$B906:$U906)</f>
        <v>0</v>
      </c>
      <c r="W906" s="27" t="str">
        <f aca="false">IF(V906=0,"",IF(V906&lt;&gt;Hasil!$C$4,"Data kosong/tidak lengkap",IF(SUM(B906:U906)&lt;&gt;V906,"Kategori tidak dikenal","OK")))</f>
        <v/>
      </c>
      <c r="X906" s="26" t="n">
        <f aca="false">IF(OR(W906="",W906="OK"),0,1)</f>
        <v>0</v>
      </c>
    </row>
    <row r="907" customFormat="false" ht="15" hidden="false" customHeight="false" outlineLevel="0" collapsed="false">
      <c r="A907" s="26" t="n">
        <f aca="false">Data!A907</f>
        <v>902</v>
      </c>
      <c r="B907" s="26" t="n">
        <f aca="false">IF(INDEX(Pengaturan!$B$8:$B$27,B$4)="",0,COUNTIF(Data!$B907:$U907,INDEX(Pengaturan!$B$8:$B$27,B$4)))</f>
        <v>0</v>
      </c>
      <c r="C907" s="26" t="n">
        <f aca="false">IF(INDEX(Pengaturan!$B$8:$B$27,C$4)="",0,COUNTIF(Data!$B907:$U907,INDEX(Pengaturan!$B$8:$B$27,C$4)))</f>
        <v>0</v>
      </c>
      <c r="D907" s="26" t="n">
        <f aca="false">IF(INDEX(Pengaturan!$B$8:$B$27,D$4)="",0,COUNTIF(Data!$B907:$U907,INDEX(Pengaturan!$B$8:$B$27,D$4)))</f>
        <v>0</v>
      </c>
      <c r="E907" s="26" t="n">
        <f aca="false">IF(INDEX(Pengaturan!$B$8:$B$27,E$4)="",0,COUNTIF(Data!$B907:$U907,INDEX(Pengaturan!$B$8:$B$27,E$4)))</f>
        <v>0</v>
      </c>
      <c r="F907" s="26" t="n">
        <f aca="false">IF(INDEX(Pengaturan!$B$8:$B$27,F$4)="",0,COUNTIF(Data!$B907:$U907,INDEX(Pengaturan!$B$8:$B$27,F$4)))</f>
        <v>0</v>
      </c>
      <c r="G907" s="26" t="n">
        <f aca="false">IF(INDEX(Pengaturan!$B$8:$B$27,G$4)="",0,COUNTIF(Data!$B907:$U907,INDEX(Pengaturan!$B$8:$B$27,G$4)))</f>
        <v>0</v>
      </c>
      <c r="H907" s="26" t="n">
        <f aca="false">IF(INDEX(Pengaturan!$B$8:$B$27,H$4)="",0,COUNTIF(Data!$B907:$U907,INDEX(Pengaturan!$B$8:$B$27,H$4)))</f>
        <v>0</v>
      </c>
      <c r="I907" s="26" t="n">
        <f aca="false">IF(INDEX(Pengaturan!$B$8:$B$27,I$4)="",0,COUNTIF(Data!$B907:$U907,INDEX(Pengaturan!$B$8:$B$27,I$4)))</f>
        <v>0</v>
      </c>
      <c r="J907" s="26" t="n">
        <f aca="false">IF(INDEX(Pengaturan!$B$8:$B$27,J$4)="",0,COUNTIF(Data!$B907:$U907,INDEX(Pengaturan!$B$8:$B$27,J$4)))</f>
        <v>0</v>
      </c>
      <c r="K907" s="26" t="n">
        <f aca="false">IF(INDEX(Pengaturan!$B$8:$B$27,K$4)="",0,COUNTIF(Data!$B907:$U907,INDEX(Pengaturan!$B$8:$B$27,K$4)))</f>
        <v>0</v>
      </c>
      <c r="L907" s="26" t="n">
        <f aca="false">IF(INDEX(Pengaturan!$B$8:$B$27,L$4)="",0,COUNTIF(Data!$B907:$U907,INDEX(Pengaturan!$B$8:$B$27,L$4)))</f>
        <v>0</v>
      </c>
      <c r="M907" s="26" t="n">
        <f aca="false">IF(INDEX(Pengaturan!$B$8:$B$27,M$4)="",0,COUNTIF(Data!$B907:$U907,INDEX(Pengaturan!$B$8:$B$27,M$4)))</f>
        <v>0</v>
      </c>
      <c r="N907" s="26" t="n">
        <f aca="false">IF(INDEX(Pengaturan!$B$8:$B$27,N$4)="",0,COUNTIF(Data!$B907:$U907,INDEX(Pengaturan!$B$8:$B$27,N$4)))</f>
        <v>0</v>
      </c>
      <c r="O907" s="26" t="n">
        <f aca="false">IF(INDEX(Pengaturan!$B$8:$B$27,O$4)="",0,COUNTIF(Data!$B907:$U907,INDEX(Pengaturan!$B$8:$B$27,O$4)))</f>
        <v>0</v>
      </c>
      <c r="P907" s="26" t="n">
        <f aca="false">IF(INDEX(Pengaturan!$B$8:$B$27,P$4)="",0,COUNTIF(Data!$B907:$U907,INDEX(Pengaturan!$B$8:$B$27,P$4)))</f>
        <v>0</v>
      </c>
      <c r="Q907" s="26" t="n">
        <f aca="false">IF(INDEX(Pengaturan!$B$8:$B$27,Q$4)="",0,COUNTIF(Data!$B907:$U907,INDEX(Pengaturan!$B$8:$B$27,Q$4)))</f>
        <v>0</v>
      </c>
      <c r="R907" s="26" t="n">
        <f aca="false">IF(INDEX(Pengaturan!$B$8:$B$27,R$4)="",0,COUNTIF(Data!$B907:$U907,INDEX(Pengaturan!$B$8:$B$27,R$4)))</f>
        <v>0</v>
      </c>
      <c r="S907" s="26" t="n">
        <f aca="false">IF(INDEX(Pengaturan!$B$8:$B$27,S$4)="",0,COUNTIF(Data!$B907:$U907,INDEX(Pengaturan!$B$8:$B$27,S$4)))</f>
        <v>0</v>
      </c>
      <c r="T907" s="26" t="n">
        <f aca="false">IF(INDEX(Pengaturan!$B$8:$B$27,T$4)="",0,COUNTIF(Data!$B907:$U907,INDEX(Pengaturan!$B$8:$B$27,T$4)))</f>
        <v>0</v>
      </c>
      <c r="U907" s="26" t="n">
        <f aca="false">IF(INDEX(Pengaturan!$B$8:$B$27,U$4)="",0,COUNTIF(Data!$B907:$U907,INDEX(Pengaturan!$B$8:$B$27,U$4)))</f>
        <v>0</v>
      </c>
      <c r="V907" s="26" t="n">
        <f aca="false">COUNTA(Data!$B907:$U907)</f>
        <v>0</v>
      </c>
      <c r="W907" s="27" t="str">
        <f aca="false">IF(V907=0,"",IF(V907&lt;&gt;Hasil!$C$4,"Data kosong/tidak lengkap",IF(SUM(B907:U907)&lt;&gt;V907,"Kategori tidak dikenal","OK")))</f>
        <v/>
      </c>
      <c r="X907" s="26" t="n">
        <f aca="false">IF(OR(W907="",W907="OK"),0,1)</f>
        <v>0</v>
      </c>
    </row>
    <row r="908" customFormat="false" ht="15" hidden="false" customHeight="false" outlineLevel="0" collapsed="false">
      <c r="A908" s="26" t="n">
        <f aca="false">Data!A908</f>
        <v>903</v>
      </c>
      <c r="B908" s="26" t="n">
        <f aca="false">IF(INDEX(Pengaturan!$B$8:$B$27,B$4)="",0,COUNTIF(Data!$B908:$U908,INDEX(Pengaturan!$B$8:$B$27,B$4)))</f>
        <v>0</v>
      </c>
      <c r="C908" s="26" t="n">
        <f aca="false">IF(INDEX(Pengaturan!$B$8:$B$27,C$4)="",0,COUNTIF(Data!$B908:$U908,INDEX(Pengaturan!$B$8:$B$27,C$4)))</f>
        <v>0</v>
      </c>
      <c r="D908" s="26" t="n">
        <f aca="false">IF(INDEX(Pengaturan!$B$8:$B$27,D$4)="",0,COUNTIF(Data!$B908:$U908,INDEX(Pengaturan!$B$8:$B$27,D$4)))</f>
        <v>0</v>
      </c>
      <c r="E908" s="26" t="n">
        <f aca="false">IF(INDEX(Pengaturan!$B$8:$B$27,E$4)="",0,COUNTIF(Data!$B908:$U908,INDEX(Pengaturan!$B$8:$B$27,E$4)))</f>
        <v>0</v>
      </c>
      <c r="F908" s="26" t="n">
        <f aca="false">IF(INDEX(Pengaturan!$B$8:$B$27,F$4)="",0,COUNTIF(Data!$B908:$U908,INDEX(Pengaturan!$B$8:$B$27,F$4)))</f>
        <v>0</v>
      </c>
      <c r="G908" s="26" t="n">
        <f aca="false">IF(INDEX(Pengaturan!$B$8:$B$27,G$4)="",0,COUNTIF(Data!$B908:$U908,INDEX(Pengaturan!$B$8:$B$27,G$4)))</f>
        <v>0</v>
      </c>
      <c r="H908" s="26" t="n">
        <f aca="false">IF(INDEX(Pengaturan!$B$8:$B$27,H$4)="",0,COUNTIF(Data!$B908:$U908,INDEX(Pengaturan!$B$8:$B$27,H$4)))</f>
        <v>0</v>
      </c>
      <c r="I908" s="26" t="n">
        <f aca="false">IF(INDEX(Pengaturan!$B$8:$B$27,I$4)="",0,COUNTIF(Data!$B908:$U908,INDEX(Pengaturan!$B$8:$B$27,I$4)))</f>
        <v>0</v>
      </c>
      <c r="J908" s="26" t="n">
        <f aca="false">IF(INDEX(Pengaturan!$B$8:$B$27,J$4)="",0,COUNTIF(Data!$B908:$U908,INDEX(Pengaturan!$B$8:$B$27,J$4)))</f>
        <v>0</v>
      </c>
      <c r="K908" s="26" t="n">
        <f aca="false">IF(INDEX(Pengaturan!$B$8:$B$27,K$4)="",0,COUNTIF(Data!$B908:$U908,INDEX(Pengaturan!$B$8:$B$27,K$4)))</f>
        <v>0</v>
      </c>
      <c r="L908" s="26" t="n">
        <f aca="false">IF(INDEX(Pengaturan!$B$8:$B$27,L$4)="",0,COUNTIF(Data!$B908:$U908,INDEX(Pengaturan!$B$8:$B$27,L$4)))</f>
        <v>0</v>
      </c>
      <c r="M908" s="26" t="n">
        <f aca="false">IF(INDEX(Pengaturan!$B$8:$B$27,M$4)="",0,COUNTIF(Data!$B908:$U908,INDEX(Pengaturan!$B$8:$B$27,M$4)))</f>
        <v>0</v>
      </c>
      <c r="N908" s="26" t="n">
        <f aca="false">IF(INDEX(Pengaturan!$B$8:$B$27,N$4)="",0,COUNTIF(Data!$B908:$U908,INDEX(Pengaturan!$B$8:$B$27,N$4)))</f>
        <v>0</v>
      </c>
      <c r="O908" s="26" t="n">
        <f aca="false">IF(INDEX(Pengaturan!$B$8:$B$27,O$4)="",0,COUNTIF(Data!$B908:$U908,INDEX(Pengaturan!$B$8:$B$27,O$4)))</f>
        <v>0</v>
      </c>
      <c r="P908" s="26" t="n">
        <f aca="false">IF(INDEX(Pengaturan!$B$8:$B$27,P$4)="",0,COUNTIF(Data!$B908:$U908,INDEX(Pengaturan!$B$8:$B$27,P$4)))</f>
        <v>0</v>
      </c>
      <c r="Q908" s="26" t="n">
        <f aca="false">IF(INDEX(Pengaturan!$B$8:$B$27,Q$4)="",0,COUNTIF(Data!$B908:$U908,INDEX(Pengaturan!$B$8:$B$27,Q$4)))</f>
        <v>0</v>
      </c>
      <c r="R908" s="26" t="n">
        <f aca="false">IF(INDEX(Pengaturan!$B$8:$B$27,R$4)="",0,COUNTIF(Data!$B908:$U908,INDEX(Pengaturan!$B$8:$B$27,R$4)))</f>
        <v>0</v>
      </c>
      <c r="S908" s="26" t="n">
        <f aca="false">IF(INDEX(Pengaturan!$B$8:$B$27,S$4)="",0,COUNTIF(Data!$B908:$U908,INDEX(Pengaturan!$B$8:$B$27,S$4)))</f>
        <v>0</v>
      </c>
      <c r="T908" s="26" t="n">
        <f aca="false">IF(INDEX(Pengaturan!$B$8:$B$27,T$4)="",0,COUNTIF(Data!$B908:$U908,INDEX(Pengaturan!$B$8:$B$27,T$4)))</f>
        <v>0</v>
      </c>
      <c r="U908" s="26" t="n">
        <f aca="false">IF(INDEX(Pengaturan!$B$8:$B$27,U$4)="",0,COUNTIF(Data!$B908:$U908,INDEX(Pengaturan!$B$8:$B$27,U$4)))</f>
        <v>0</v>
      </c>
      <c r="V908" s="26" t="n">
        <f aca="false">COUNTA(Data!$B908:$U908)</f>
        <v>0</v>
      </c>
      <c r="W908" s="27" t="str">
        <f aca="false">IF(V908=0,"",IF(V908&lt;&gt;Hasil!$C$4,"Data kosong/tidak lengkap",IF(SUM(B908:U908)&lt;&gt;V908,"Kategori tidak dikenal","OK")))</f>
        <v/>
      </c>
      <c r="X908" s="26" t="n">
        <f aca="false">IF(OR(W908="",W908="OK"),0,1)</f>
        <v>0</v>
      </c>
    </row>
    <row r="909" customFormat="false" ht="15" hidden="false" customHeight="false" outlineLevel="0" collapsed="false">
      <c r="A909" s="26" t="n">
        <f aca="false">Data!A909</f>
        <v>904</v>
      </c>
      <c r="B909" s="26" t="n">
        <f aca="false">IF(INDEX(Pengaturan!$B$8:$B$27,B$4)="",0,COUNTIF(Data!$B909:$U909,INDEX(Pengaturan!$B$8:$B$27,B$4)))</f>
        <v>0</v>
      </c>
      <c r="C909" s="26" t="n">
        <f aca="false">IF(INDEX(Pengaturan!$B$8:$B$27,C$4)="",0,COUNTIF(Data!$B909:$U909,INDEX(Pengaturan!$B$8:$B$27,C$4)))</f>
        <v>0</v>
      </c>
      <c r="D909" s="26" t="n">
        <f aca="false">IF(INDEX(Pengaturan!$B$8:$B$27,D$4)="",0,COUNTIF(Data!$B909:$U909,INDEX(Pengaturan!$B$8:$B$27,D$4)))</f>
        <v>0</v>
      </c>
      <c r="E909" s="26" t="n">
        <f aca="false">IF(INDEX(Pengaturan!$B$8:$B$27,E$4)="",0,COUNTIF(Data!$B909:$U909,INDEX(Pengaturan!$B$8:$B$27,E$4)))</f>
        <v>0</v>
      </c>
      <c r="F909" s="26" t="n">
        <f aca="false">IF(INDEX(Pengaturan!$B$8:$B$27,F$4)="",0,COUNTIF(Data!$B909:$U909,INDEX(Pengaturan!$B$8:$B$27,F$4)))</f>
        <v>0</v>
      </c>
      <c r="G909" s="26" t="n">
        <f aca="false">IF(INDEX(Pengaturan!$B$8:$B$27,G$4)="",0,COUNTIF(Data!$B909:$U909,INDEX(Pengaturan!$B$8:$B$27,G$4)))</f>
        <v>0</v>
      </c>
      <c r="H909" s="26" t="n">
        <f aca="false">IF(INDEX(Pengaturan!$B$8:$B$27,H$4)="",0,COUNTIF(Data!$B909:$U909,INDEX(Pengaturan!$B$8:$B$27,H$4)))</f>
        <v>0</v>
      </c>
      <c r="I909" s="26" t="n">
        <f aca="false">IF(INDEX(Pengaturan!$B$8:$B$27,I$4)="",0,COUNTIF(Data!$B909:$U909,INDEX(Pengaturan!$B$8:$B$27,I$4)))</f>
        <v>0</v>
      </c>
      <c r="J909" s="26" t="n">
        <f aca="false">IF(INDEX(Pengaturan!$B$8:$B$27,J$4)="",0,COUNTIF(Data!$B909:$U909,INDEX(Pengaturan!$B$8:$B$27,J$4)))</f>
        <v>0</v>
      </c>
      <c r="K909" s="26" t="n">
        <f aca="false">IF(INDEX(Pengaturan!$B$8:$B$27,K$4)="",0,COUNTIF(Data!$B909:$U909,INDEX(Pengaturan!$B$8:$B$27,K$4)))</f>
        <v>0</v>
      </c>
      <c r="L909" s="26" t="n">
        <f aca="false">IF(INDEX(Pengaturan!$B$8:$B$27,L$4)="",0,COUNTIF(Data!$B909:$U909,INDEX(Pengaturan!$B$8:$B$27,L$4)))</f>
        <v>0</v>
      </c>
      <c r="M909" s="26" t="n">
        <f aca="false">IF(INDEX(Pengaturan!$B$8:$B$27,M$4)="",0,COUNTIF(Data!$B909:$U909,INDEX(Pengaturan!$B$8:$B$27,M$4)))</f>
        <v>0</v>
      </c>
      <c r="N909" s="26" t="n">
        <f aca="false">IF(INDEX(Pengaturan!$B$8:$B$27,N$4)="",0,COUNTIF(Data!$B909:$U909,INDEX(Pengaturan!$B$8:$B$27,N$4)))</f>
        <v>0</v>
      </c>
      <c r="O909" s="26" t="n">
        <f aca="false">IF(INDEX(Pengaturan!$B$8:$B$27,O$4)="",0,COUNTIF(Data!$B909:$U909,INDEX(Pengaturan!$B$8:$B$27,O$4)))</f>
        <v>0</v>
      </c>
      <c r="P909" s="26" t="n">
        <f aca="false">IF(INDEX(Pengaturan!$B$8:$B$27,P$4)="",0,COUNTIF(Data!$B909:$U909,INDEX(Pengaturan!$B$8:$B$27,P$4)))</f>
        <v>0</v>
      </c>
      <c r="Q909" s="26" t="n">
        <f aca="false">IF(INDEX(Pengaturan!$B$8:$B$27,Q$4)="",0,COUNTIF(Data!$B909:$U909,INDEX(Pengaturan!$B$8:$B$27,Q$4)))</f>
        <v>0</v>
      </c>
      <c r="R909" s="26" t="n">
        <f aca="false">IF(INDEX(Pengaturan!$B$8:$B$27,R$4)="",0,COUNTIF(Data!$B909:$U909,INDEX(Pengaturan!$B$8:$B$27,R$4)))</f>
        <v>0</v>
      </c>
      <c r="S909" s="26" t="n">
        <f aca="false">IF(INDEX(Pengaturan!$B$8:$B$27,S$4)="",0,COUNTIF(Data!$B909:$U909,INDEX(Pengaturan!$B$8:$B$27,S$4)))</f>
        <v>0</v>
      </c>
      <c r="T909" s="26" t="n">
        <f aca="false">IF(INDEX(Pengaturan!$B$8:$B$27,T$4)="",0,COUNTIF(Data!$B909:$U909,INDEX(Pengaturan!$B$8:$B$27,T$4)))</f>
        <v>0</v>
      </c>
      <c r="U909" s="26" t="n">
        <f aca="false">IF(INDEX(Pengaturan!$B$8:$B$27,U$4)="",0,COUNTIF(Data!$B909:$U909,INDEX(Pengaturan!$B$8:$B$27,U$4)))</f>
        <v>0</v>
      </c>
      <c r="V909" s="26" t="n">
        <f aca="false">COUNTA(Data!$B909:$U909)</f>
        <v>0</v>
      </c>
      <c r="W909" s="27" t="str">
        <f aca="false">IF(V909=0,"",IF(V909&lt;&gt;Hasil!$C$4,"Data kosong/tidak lengkap",IF(SUM(B909:U909)&lt;&gt;V909,"Kategori tidak dikenal","OK")))</f>
        <v/>
      </c>
      <c r="X909" s="26" t="n">
        <f aca="false">IF(OR(W909="",W909="OK"),0,1)</f>
        <v>0</v>
      </c>
    </row>
    <row r="910" customFormat="false" ht="15" hidden="false" customHeight="false" outlineLevel="0" collapsed="false">
      <c r="A910" s="26" t="n">
        <f aca="false">Data!A910</f>
        <v>905</v>
      </c>
      <c r="B910" s="26" t="n">
        <f aca="false">IF(INDEX(Pengaturan!$B$8:$B$27,B$4)="",0,COUNTIF(Data!$B910:$U910,INDEX(Pengaturan!$B$8:$B$27,B$4)))</f>
        <v>0</v>
      </c>
      <c r="C910" s="26" t="n">
        <f aca="false">IF(INDEX(Pengaturan!$B$8:$B$27,C$4)="",0,COUNTIF(Data!$B910:$U910,INDEX(Pengaturan!$B$8:$B$27,C$4)))</f>
        <v>0</v>
      </c>
      <c r="D910" s="26" t="n">
        <f aca="false">IF(INDEX(Pengaturan!$B$8:$B$27,D$4)="",0,COUNTIF(Data!$B910:$U910,INDEX(Pengaturan!$B$8:$B$27,D$4)))</f>
        <v>0</v>
      </c>
      <c r="E910" s="26" t="n">
        <f aca="false">IF(INDEX(Pengaturan!$B$8:$B$27,E$4)="",0,COUNTIF(Data!$B910:$U910,INDEX(Pengaturan!$B$8:$B$27,E$4)))</f>
        <v>0</v>
      </c>
      <c r="F910" s="26" t="n">
        <f aca="false">IF(INDEX(Pengaturan!$B$8:$B$27,F$4)="",0,COUNTIF(Data!$B910:$U910,INDEX(Pengaturan!$B$8:$B$27,F$4)))</f>
        <v>0</v>
      </c>
      <c r="G910" s="26" t="n">
        <f aca="false">IF(INDEX(Pengaturan!$B$8:$B$27,G$4)="",0,COUNTIF(Data!$B910:$U910,INDEX(Pengaturan!$B$8:$B$27,G$4)))</f>
        <v>0</v>
      </c>
      <c r="H910" s="26" t="n">
        <f aca="false">IF(INDEX(Pengaturan!$B$8:$B$27,H$4)="",0,COUNTIF(Data!$B910:$U910,INDEX(Pengaturan!$B$8:$B$27,H$4)))</f>
        <v>0</v>
      </c>
      <c r="I910" s="26" t="n">
        <f aca="false">IF(INDEX(Pengaturan!$B$8:$B$27,I$4)="",0,COUNTIF(Data!$B910:$U910,INDEX(Pengaturan!$B$8:$B$27,I$4)))</f>
        <v>0</v>
      </c>
      <c r="J910" s="26" t="n">
        <f aca="false">IF(INDEX(Pengaturan!$B$8:$B$27,J$4)="",0,COUNTIF(Data!$B910:$U910,INDEX(Pengaturan!$B$8:$B$27,J$4)))</f>
        <v>0</v>
      </c>
      <c r="K910" s="26" t="n">
        <f aca="false">IF(INDEX(Pengaturan!$B$8:$B$27,K$4)="",0,COUNTIF(Data!$B910:$U910,INDEX(Pengaturan!$B$8:$B$27,K$4)))</f>
        <v>0</v>
      </c>
      <c r="L910" s="26" t="n">
        <f aca="false">IF(INDEX(Pengaturan!$B$8:$B$27,L$4)="",0,COUNTIF(Data!$B910:$U910,INDEX(Pengaturan!$B$8:$B$27,L$4)))</f>
        <v>0</v>
      </c>
      <c r="M910" s="26" t="n">
        <f aca="false">IF(INDEX(Pengaturan!$B$8:$B$27,M$4)="",0,COUNTIF(Data!$B910:$U910,INDEX(Pengaturan!$B$8:$B$27,M$4)))</f>
        <v>0</v>
      </c>
      <c r="N910" s="26" t="n">
        <f aca="false">IF(INDEX(Pengaturan!$B$8:$B$27,N$4)="",0,COUNTIF(Data!$B910:$U910,INDEX(Pengaturan!$B$8:$B$27,N$4)))</f>
        <v>0</v>
      </c>
      <c r="O910" s="26" t="n">
        <f aca="false">IF(INDEX(Pengaturan!$B$8:$B$27,O$4)="",0,COUNTIF(Data!$B910:$U910,INDEX(Pengaturan!$B$8:$B$27,O$4)))</f>
        <v>0</v>
      </c>
      <c r="P910" s="26" t="n">
        <f aca="false">IF(INDEX(Pengaturan!$B$8:$B$27,P$4)="",0,COUNTIF(Data!$B910:$U910,INDEX(Pengaturan!$B$8:$B$27,P$4)))</f>
        <v>0</v>
      </c>
      <c r="Q910" s="26" t="n">
        <f aca="false">IF(INDEX(Pengaturan!$B$8:$B$27,Q$4)="",0,COUNTIF(Data!$B910:$U910,INDEX(Pengaturan!$B$8:$B$27,Q$4)))</f>
        <v>0</v>
      </c>
      <c r="R910" s="26" t="n">
        <f aca="false">IF(INDEX(Pengaturan!$B$8:$B$27,R$4)="",0,COUNTIF(Data!$B910:$U910,INDEX(Pengaturan!$B$8:$B$27,R$4)))</f>
        <v>0</v>
      </c>
      <c r="S910" s="26" t="n">
        <f aca="false">IF(INDEX(Pengaturan!$B$8:$B$27,S$4)="",0,COUNTIF(Data!$B910:$U910,INDEX(Pengaturan!$B$8:$B$27,S$4)))</f>
        <v>0</v>
      </c>
      <c r="T910" s="26" t="n">
        <f aca="false">IF(INDEX(Pengaturan!$B$8:$B$27,T$4)="",0,COUNTIF(Data!$B910:$U910,INDEX(Pengaturan!$B$8:$B$27,T$4)))</f>
        <v>0</v>
      </c>
      <c r="U910" s="26" t="n">
        <f aca="false">IF(INDEX(Pengaturan!$B$8:$B$27,U$4)="",0,COUNTIF(Data!$B910:$U910,INDEX(Pengaturan!$B$8:$B$27,U$4)))</f>
        <v>0</v>
      </c>
      <c r="V910" s="26" t="n">
        <f aca="false">COUNTA(Data!$B910:$U910)</f>
        <v>0</v>
      </c>
      <c r="W910" s="27" t="str">
        <f aca="false">IF(V910=0,"",IF(V910&lt;&gt;Hasil!$C$4,"Data kosong/tidak lengkap",IF(SUM(B910:U910)&lt;&gt;V910,"Kategori tidak dikenal","OK")))</f>
        <v/>
      </c>
      <c r="X910" s="26" t="n">
        <f aca="false">IF(OR(W910="",W910="OK"),0,1)</f>
        <v>0</v>
      </c>
    </row>
    <row r="911" customFormat="false" ht="15" hidden="false" customHeight="false" outlineLevel="0" collapsed="false">
      <c r="A911" s="26" t="n">
        <f aca="false">Data!A911</f>
        <v>906</v>
      </c>
      <c r="B911" s="26" t="n">
        <f aca="false">IF(INDEX(Pengaturan!$B$8:$B$27,B$4)="",0,COUNTIF(Data!$B911:$U911,INDEX(Pengaturan!$B$8:$B$27,B$4)))</f>
        <v>0</v>
      </c>
      <c r="C911" s="26" t="n">
        <f aca="false">IF(INDEX(Pengaturan!$B$8:$B$27,C$4)="",0,COUNTIF(Data!$B911:$U911,INDEX(Pengaturan!$B$8:$B$27,C$4)))</f>
        <v>0</v>
      </c>
      <c r="D911" s="26" t="n">
        <f aca="false">IF(INDEX(Pengaturan!$B$8:$B$27,D$4)="",0,COUNTIF(Data!$B911:$U911,INDEX(Pengaturan!$B$8:$B$27,D$4)))</f>
        <v>0</v>
      </c>
      <c r="E911" s="26" t="n">
        <f aca="false">IF(INDEX(Pengaturan!$B$8:$B$27,E$4)="",0,COUNTIF(Data!$B911:$U911,INDEX(Pengaturan!$B$8:$B$27,E$4)))</f>
        <v>0</v>
      </c>
      <c r="F911" s="26" t="n">
        <f aca="false">IF(INDEX(Pengaturan!$B$8:$B$27,F$4)="",0,COUNTIF(Data!$B911:$U911,INDEX(Pengaturan!$B$8:$B$27,F$4)))</f>
        <v>0</v>
      </c>
      <c r="G911" s="26" t="n">
        <f aca="false">IF(INDEX(Pengaturan!$B$8:$B$27,G$4)="",0,COUNTIF(Data!$B911:$U911,INDEX(Pengaturan!$B$8:$B$27,G$4)))</f>
        <v>0</v>
      </c>
      <c r="H911" s="26" t="n">
        <f aca="false">IF(INDEX(Pengaturan!$B$8:$B$27,H$4)="",0,COUNTIF(Data!$B911:$U911,INDEX(Pengaturan!$B$8:$B$27,H$4)))</f>
        <v>0</v>
      </c>
      <c r="I911" s="26" t="n">
        <f aca="false">IF(INDEX(Pengaturan!$B$8:$B$27,I$4)="",0,COUNTIF(Data!$B911:$U911,INDEX(Pengaturan!$B$8:$B$27,I$4)))</f>
        <v>0</v>
      </c>
      <c r="J911" s="26" t="n">
        <f aca="false">IF(INDEX(Pengaturan!$B$8:$B$27,J$4)="",0,COUNTIF(Data!$B911:$U911,INDEX(Pengaturan!$B$8:$B$27,J$4)))</f>
        <v>0</v>
      </c>
      <c r="K911" s="26" t="n">
        <f aca="false">IF(INDEX(Pengaturan!$B$8:$B$27,K$4)="",0,COUNTIF(Data!$B911:$U911,INDEX(Pengaturan!$B$8:$B$27,K$4)))</f>
        <v>0</v>
      </c>
      <c r="L911" s="26" t="n">
        <f aca="false">IF(INDEX(Pengaturan!$B$8:$B$27,L$4)="",0,COUNTIF(Data!$B911:$U911,INDEX(Pengaturan!$B$8:$B$27,L$4)))</f>
        <v>0</v>
      </c>
      <c r="M911" s="26" t="n">
        <f aca="false">IF(INDEX(Pengaturan!$B$8:$B$27,M$4)="",0,COUNTIF(Data!$B911:$U911,INDEX(Pengaturan!$B$8:$B$27,M$4)))</f>
        <v>0</v>
      </c>
      <c r="N911" s="26" t="n">
        <f aca="false">IF(INDEX(Pengaturan!$B$8:$B$27,N$4)="",0,COUNTIF(Data!$B911:$U911,INDEX(Pengaturan!$B$8:$B$27,N$4)))</f>
        <v>0</v>
      </c>
      <c r="O911" s="26" t="n">
        <f aca="false">IF(INDEX(Pengaturan!$B$8:$B$27,O$4)="",0,COUNTIF(Data!$B911:$U911,INDEX(Pengaturan!$B$8:$B$27,O$4)))</f>
        <v>0</v>
      </c>
      <c r="P911" s="26" t="n">
        <f aca="false">IF(INDEX(Pengaturan!$B$8:$B$27,P$4)="",0,COUNTIF(Data!$B911:$U911,INDEX(Pengaturan!$B$8:$B$27,P$4)))</f>
        <v>0</v>
      </c>
      <c r="Q911" s="26" t="n">
        <f aca="false">IF(INDEX(Pengaturan!$B$8:$B$27,Q$4)="",0,COUNTIF(Data!$B911:$U911,INDEX(Pengaturan!$B$8:$B$27,Q$4)))</f>
        <v>0</v>
      </c>
      <c r="R911" s="26" t="n">
        <f aca="false">IF(INDEX(Pengaturan!$B$8:$B$27,R$4)="",0,COUNTIF(Data!$B911:$U911,INDEX(Pengaturan!$B$8:$B$27,R$4)))</f>
        <v>0</v>
      </c>
      <c r="S911" s="26" t="n">
        <f aca="false">IF(INDEX(Pengaturan!$B$8:$B$27,S$4)="",0,COUNTIF(Data!$B911:$U911,INDEX(Pengaturan!$B$8:$B$27,S$4)))</f>
        <v>0</v>
      </c>
      <c r="T911" s="26" t="n">
        <f aca="false">IF(INDEX(Pengaturan!$B$8:$B$27,T$4)="",0,COUNTIF(Data!$B911:$U911,INDEX(Pengaturan!$B$8:$B$27,T$4)))</f>
        <v>0</v>
      </c>
      <c r="U911" s="26" t="n">
        <f aca="false">IF(INDEX(Pengaturan!$B$8:$B$27,U$4)="",0,COUNTIF(Data!$B911:$U911,INDEX(Pengaturan!$B$8:$B$27,U$4)))</f>
        <v>0</v>
      </c>
      <c r="V911" s="26" t="n">
        <f aca="false">COUNTA(Data!$B911:$U911)</f>
        <v>0</v>
      </c>
      <c r="W911" s="27" t="str">
        <f aca="false">IF(V911=0,"",IF(V911&lt;&gt;Hasil!$C$4,"Data kosong/tidak lengkap",IF(SUM(B911:U911)&lt;&gt;V911,"Kategori tidak dikenal","OK")))</f>
        <v/>
      </c>
      <c r="X911" s="26" t="n">
        <f aca="false">IF(OR(W911="",W911="OK"),0,1)</f>
        <v>0</v>
      </c>
    </row>
    <row r="912" customFormat="false" ht="15" hidden="false" customHeight="false" outlineLevel="0" collapsed="false">
      <c r="A912" s="26" t="n">
        <f aca="false">Data!A912</f>
        <v>907</v>
      </c>
      <c r="B912" s="26" t="n">
        <f aca="false">IF(INDEX(Pengaturan!$B$8:$B$27,B$4)="",0,COUNTIF(Data!$B912:$U912,INDEX(Pengaturan!$B$8:$B$27,B$4)))</f>
        <v>0</v>
      </c>
      <c r="C912" s="26" t="n">
        <f aca="false">IF(INDEX(Pengaturan!$B$8:$B$27,C$4)="",0,COUNTIF(Data!$B912:$U912,INDEX(Pengaturan!$B$8:$B$27,C$4)))</f>
        <v>0</v>
      </c>
      <c r="D912" s="26" t="n">
        <f aca="false">IF(INDEX(Pengaturan!$B$8:$B$27,D$4)="",0,COUNTIF(Data!$B912:$U912,INDEX(Pengaturan!$B$8:$B$27,D$4)))</f>
        <v>0</v>
      </c>
      <c r="E912" s="26" t="n">
        <f aca="false">IF(INDEX(Pengaturan!$B$8:$B$27,E$4)="",0,COUNTIF(Data!$B912:$U912,INDEX(Pengaturan!$B$8:$B$27,E$4)))</f>
        <v>0</v>
      </c>
      <c r="F912" s="26" t="n">
        <f aca="false">IF(INDEX(Pengaturan!$B$8:$B$27,F$4)="",0,COUNTIF(Data!$B912:$U912,INDEX(Pengaturan!$B$8:$B$27,F$4)))</f>
        <v>0</v>
      </c>
      <c r="G912" s="26" t="n">
        <f aca="false">IF(INDEX(Pengaturan!$B$8:$B$27,G$4)="",0,COUNTIF(Data!$B912:$U912,INDEX(Pengaturan!$B$8:$B$27,G$4)))</f>
        <v>0</v>
      </c>
      <c r="H912" s="26" t="n">
        <f aca="false">IF(INDEX(Pengaturan!$B$8:$B$27,H$4)="",0,COUNTIF(Data!$B912:$U912,INDEX(Pengaturan!$B$8:$B$27,H$4)))</f>
        <v>0</v>
      </c>
      <c r="I912" s="26" t="n">
        <f aca="false">IF(INDEX(Pengaturan!$B$8:$B$27,I$4)="",0,COUNTIF(Data!$B912:$U912,INDEX(Pengaturan!$B$8:$B$27,I$4)))</f>
        <v>0</v>
      </c>
      <c r="J912" s="26" t="n">
        <f aca="false">IF(INDEX(Pengaturan!$B$8:$B$27,J$4)="",0,COUNTIF(Data!$B912:$U912,INDEX(Pengaturan!$B$8:$B$27,J$4)))</f>
        <v>0</v>
      </c>
      <c r="K912" s="26" t="n">
        <f aca="false">IF(INDEX(Pengaturan!$B$8:$B$27,K$4)="",0,COUNTIF(Data!$B912:$U912,INDEX(Pengaturan!$B$8:$B$27,K$4)))</f>
        <v>0</v>
      </c>
      <c r="L912" s="26" t="n">
        <f aca="false">IF(INDEX(Pengaturan!$B$8:$B$27,L$4)="",0,COUNTIF(Data!$B912:$U912,INDEX(Pengaturan!$B$8:$B$27,L$4)))</f>
        <v>0</v>
      </c>
      <c r="M912" s="26" t="n">
        <f aca="false">IF(INDEX(Pengaturan!$B$8:$B$27,M$4)="",0,COUNTIF(Data!$B912:$U912,INDEX(Pengaturan!$B$8:$B$27,M$4)))</f>
        <v>0</v>
      </c>
      <c r="N912" s="26" t="n">
        <f aca="false">IF(INDEX(Pengaturan!$B$8:$B$27,N$4)="",0,COUNTIF(Data!$B912:$U912,INDEX(Pengaturan!$B$8:$B$27,N$4)))</f>
        <v>0</v>
      </c>
      <c r="O912" s="26" t="n">
        <f aca="false">IF(INDEX(Pengaturan!$B$8:$B$27,O$4)="",0,COUNTIF(Data!$B912:$U912,INDEX(Pengaturan!$B$8:$B$27,O$4)))</f>
        <v>0</v>
      </c>
      <c r="P912" s="26" t="n">
        <f aca="false">IF(INDEX(Pengaturan!$B$8:$B$27,P$4)="",0,COUNTIF(Data!$B912:$U912,INDEX(Pengaturan!$B$8:$B$27,P$4)))</f>
        <v>0</v>
      </c>
      <c r="Q912" s="26" t="n">
        <f aca="false">IF(INDEX(Pengaturan!$B$8:$B$27,Q$4)="",0,COUNTIF(Data!$B912:$U912,INDEX(Pengaturan!$B$8:$B$27,Q$4)))</f>
        <v>0</v>
      </c>
      <c r="R912" s="26" t="n">
        <f aca="false">IF(INDEX(Pengaturan!$B$8:$B$27,R$4)="",0,COUNTIF(Data!$B912:$U912,INDEX(Pengaturan!$B$8:$B$27,R$4)))</f>
        <v>0</v>
      </c>
      <c r="S912" s="26" t="n">
        <f aca="false">IF(INDEX(Pengaturan!$B$8:$B$27,S$4)="",0,COUNTIF(Data!$B912:$U912,INDEX(Pengaturan!$B$8:$B$27,S$4)))</f>
        <v>0</v>
      </c>
      <c r="T912" s="26" t="n">
        <f aca="false">IF(INDEX(Pengaturan!$B$8:$B$27,T$4)="",0,COUNTIF(Data!$B912:$U912,INDEX(Pengaturan!$B$8:$B$27,T$4)))</f>
        <v>0</v>
      </c>
      <c r="U912" s="26" t="n">
        <f aca="false">IF(INDEX(Pengaturan!$B$8:$B$27,U$4)="",0,COUNTIF(Data!$B912:$U912,INDEX(Pengaturan!$B$8:$B$27,U$4)))</f>
        <v>0</v>
      </c>
      <c r="V912" s="26" t="n">
        <f aca="false">COUNTA(Data!$B912:$U912)</f>
        <v>0</v>
      </c>
      <c r="W912" s="27" t="str">
        <f aca="false">IF(V912=0,"",IF(V912&lt;&gt;Hasil!$C$4,"Data kosong/tidak lengkap",IF(SUM(B912:U912)&lt;&gt;V912,"Kategori tidak dikenal","OK")))</f>
        <v/>
      </c>
      <c r="X912" s="26" t="n">
        <f aca="false">IF(OR(W912="",W912="OK"),0,1)</f>
        <v>0</v>
      </c>
    </row>
    <row r="913" customFormat="false" ht="15" hidden="false" customHeight="false" outlineLevel="0" collapsed="false">
      <c r="A913" s="26" t="n">
        <f aca="false">Data!A913</f>
        <v>908</v>
      </c>
      <c r="B913" s="26" t="n">
        <f aca="false">IF(INDEX(Pengaturan!$B$8:$B$27,B$4)="",0,COUNTIF(Data!$B913:$U913,INDEX(Pengaturan!$B$8:$B$27,B$4)))</f>
        <v>0</v>
      </c>
      <c r="C913" s="26" t="n">
        <f aca="false">IF(INDEX(Pengaturan!$B$8:$B$27,C$4)="",0,COUNTIF(Data!$B913:$U913,INDEX(Pengaturan!$B$8:$B$27,C$4)))</f>
        <v>0</v>
      </c>
      <c r="D913" s="26" t="n">
        <f aca="false">IF(INDEX(Pengaturan!$B$8:$B$27,D$4)="",0,COUNTIF(Data!$B913:$U913,INDEX(Pengaturan!$B$8:$B$27,D$4)))</f>
        <v>0</v>
      </c>
      <c r="E913" s="26" t="n">
        <f aca="false">IF(INDEX(Pengaturan!$B$8:$B$27,E$4)="",0,COUNTIF(Data!$B913:$U913,INDEX(Pengaturan!$B$8:$B$27,E$4)))</f>
        <v>0</v>
      </c>
      <c r="F913" s="26" t="n">
        <f aca="false">IF(INDEX(Pengaturan!$B$8:$B$27,F$4)="",0,COUNTIF(Data!$B913:$U913,INDEX(Pengaturan!$B$8:$B$27,F$4)))</f>
        <v>0</v>
      </c>
      <c r="G913" s="26" t="n">
        <f aca="false">IF(INDEX(Pengaturan!$B$8:$B$27,G$4)="",0,COUNTIF(Data!$B913:$U913,INDEX(Pengaturan!$B$8:$B$27,G$4)))</f>
        <v>0</v>
      </c>
      <c r="H913" s="26" t="n">
        <f aca="false">IF(INDEX(Pengaturan!$B$8:$B$27,H$4)="",0,COUNTIF(Data!$B913:$U913,INDEX(Pengaturan!$B$8:$B$27,H$4)))</f>
        <v>0</v>
      </c>
      <c r="I913" s="26" t="n">
        <f aca="false">IF(INDEX(Pengaturan!$B$8:$B$27,I$4)="",0,COUNTIF(Data!$B913:$U913,INDEX(Pengaturan!$B$8:$B$27,I$4)))</f>
        <v>0</v>
      </c>
      <c r="J913" s="26" t="n">
        <f aca="false">IF(INDEX(Pengaturan!$B$8:$B$27,J$4)="",0,COUNTIF(Data!$B913:$U913,INDEX(Pengaturan!$B$8:$B$27,J$4)))</f>
        <v>0</v>
      </c>
      <c r="K913" s="26" t="n">
        <f aca="false">IF(INDEX(Pengaturan!$B$8:$B$27,K$4)="",0,COUNTIF(Data!$B913:$U913,INDEX(Pengaturan!$B$8:$B$27,K$4)))</f>
        <v>0</v>
      </c>
      <c r="L913" s="26" t="n">
        <f aca="false">IF(INDEX(Pengaturan!$B$8:$B$27,L$4)="",0,COUNTIF(Data!$B913:$U913,INDEX(Pengaturan!$B$8:$B$27,L$4)))</f>
        <v>0</v>
      </c>
      <c r="M913" s="26" t="n">
        <f aca="false">IF(INDEX(Pengaturan!$B$8:$B$27,M$4)="",0,COUNTIF(Data!$B913:$U913,INDEX(Pengaturan!$B$8:$B$27,M$4)))</f>
        <v>0</v>
      </c>
      <c r="N913" s="26" t="n">
        <f aca="false">IF(INDEX(Pengaturan!$B$8:$B$27,N$4)="",0,COUNTIF(Data!$B913:$U913,INDEX(Pengaturan!$B$8:$B$27,N$4)))</f>
        <v>0</v>
      </c>
      <c r="O913" s="26" t="n">
        <f aca="false">IF(INDEX(Pengaturan!$B$8:$B$27,O$4)="",0,COUNTIF(Data!$B913:$U913,INDEX(Pengaturan!$B$8:$B$27,O$4)))</f>
        <v>0</v>
      </c>
      <c r="P913" s="26" t="n">
        <f aca="false">IF(INDEX(Pengaturan!$B$8:$B$27,P$4)="",0,COUNTIF(Data!$B913:$U913,INDEX(Pengaturan!$B$8:$B$27,P$4)))</f>
        <v>0</v>
      </c>
      <c r="Q913" s="26" t="n">
        <f aca="false">IF(INDEX(Pengaturan!$B$8:$B$27,Q$4)="",0,COUNTIF(Data!$B913:$U913,INDEX(Pengaturan!$B$8:$B$27,Q$4)))</f>
        <v>0</v>
      </c>
      <c r="R913" s="26" t="n">
        <f aca="false">IF(INDEX(Pengaturan!$B$8:$B$27,R$4)="",0,COUNTIF(Data!$B913:$U913,INDEX(Pengaturan!$B$8:$B$27,R$4)))</f>
        <v>0</v>
      </c>
      <c r="S913" s="26" t="n">
        <f aca="false">IF(INDEX(Pengaturan!$B$8:$B$27,S$4)="",0,COUNTIF(Data!$B913:$U913,INDEX(Pengaturan!$B$8:$B$27,S$4)))</f>
        <v>0</v>
      </c>
      <c r="T913" s="26" t="n">
        <f aca="false">IF(INDEX(Pengaturan!$B$8:$B$27,T$4)="",0,COUNTIF(Data!$B913:$U913,INDEX(Pengaturan!$B$8:$B$27,T$4)))</f>
        <v>0</v>
      </c>
      <c r="U913" s="26" t="n">
        <f aca="false">IF(INDEX(Pengaturan!$B$8:$B$27,U$4)="",0,COUNTIF(Data!$B913:$U913,INDEX(Pengaturan!$B$8:$B$27,U$4)))</f>
        <v>0</v>
      </c>
      <c r="V913" s="26" t="n">
        <f aca="false">COUNTA(Data!$B913:$U913)</f>
        <v>0</v>
      </c>
      <c r="W913" s="27" t="str">
        <f aca="false">IF(V913=0,"",IF(V913&lt;&gt;Hasil!$C$4,"Data kosong/tidak lengkap",IF(SUM(B913:U913)&lt;&gt;V913,"Kategori tidak dikenal","OK")))</f>
        <v/>
      </c>
      <c r="X913" s="26" t="n">
        <f aca="false">IF(OR(W913="",W913="OK"),0,1)</f>
        <v>0</v>
      </c>
    </row>
    <row r="914" customFormat="false" ht="15" hidden="false" customHeight="false" outlineLevel="0" collapsed="false">
      <c r="A914" s="26" t="n">
        <f aca="false">Data!A914</f>
        <v>909</v>
      </c>
      <c r="B914" s="26" t="n">
        <f aca="false">IF(INDEX(Pengaturan!$B$8:$B$27,B$4)="",0,COUNTIF(Data!$B914:$U914,INDEX(Pengaturan!$B$8:$B$27,B$4)))</f>
        <v>0</v>
      </c>
      <c r="C914" s="26" t="n">
        <f aca="false">IF(INDEX(Pengaturan!$B$8:$B$27,C$4)="",0,COUNTIF(Data!$B914:$U914,INDEX(Pengaturan!$B$8:$B$27,C$4)))</f>
        <v>0</v>
      </c>
      <c r="D914" s="26" t="n">
        <f aca="false">IF(INDEX(Pengaturan!$B$8:$B$27,D$4)="",0,COUNTIF(Data!$B914:$U914,INDEX(Pengaturan!$B$8:$B$27,D$4)))</f>
        <v>0</v>
      </c>
      <c r="E914" s="26" t="n">
        <f aca="false">IF(INDEX(Pengaturan!$B$8:$B$27,E$4)="",0,COUNTIF(Data!$B914:$U914,INDEX(Pengaturan!$B$8:$B$27,E$4)))</f>
        <v>0</v>
      </c>
      <c r="F914" s="26" t="n">
        <f aca="false">IF(INDEX(Pengaturan!$B$8:$B$27,F$4)="",0,COUNTIF(Data!$B914:$U914,INDEX(Pengaturan!$B$8:$B$27,F$4)))</f>
        <v>0</v>
      </c>
      <c r="G914" s="26" t="n">
        <f aca="false">IF(INDEX(Pengaturan!$B$8:$B$27,G$4)="",0,COUNTIF(Data!$B914:$U914,INDEX(Pengaturan!$B$8:$B$27,G$4)))</f>
        <v>0</v>
      </c>
      <c r="H914" s="26" t="n">
        <f aca="false">IF(INDEX(Pengaturan!$B$8:$B$27,H$4)="",0,COUNTIF(Data!$B914:$U914,INDEX(Pengaturan!$B$8:$B$27,H$4)))</f>
        <v>0</v>
      </c>
      <c r="I914" s="26" t="n">
        <f aca="false">IF(INDEX(Pengaturan!$B$8:$B$27,I$4)="",0,COUNTIF(Data!$B914:$U914,INDEX(Pengaturan!$B$8:$B$27,I$4)))</f>
        <v>0</v>
      </c>
      <c r="J914" s="26" t="n">
        <f aca="false">IF(INDEX(Pengaturan!$B$8:$B$27,J$4)="",0,COUNTIF(Data!$B914:$U914,INDEX(Pengaturan!$B$8:$B$27,J$4)))</f>
        <v>0</v>
      </c>
      <c r="K914" s="26" t="n">
        <f aca="false">IF(INDEX(Pengaturan!$B$8:$B$27,K$4)="",0,COUNTIF(Data!$B914:$U914,INDEX(Pengaturan!$B$8:$B$27,K$4)))</f>
        <v>0</v>
      </c>
      <c r="L914" s="26" t="n">
        <f aca="false">IF(INDEX(Pengaturan!$B$8:$B$27,L$4)="",0,COUNTIF(Data!$B914:$U914,INDEX(Pengaturan!$B$8:$B$27,L$4)))</f>
        <v>0</v>
      </c>
      <c r="M914" s="26" t="n">
        <f aca="false">IF(INDEX(Pengaturan!$B$8:$B$27,M$4)="",0,COUNTIF(Data!$B914:$U914,INDEX(Pengaturan!$B$8:$B$27,M$4)))</f>
        <v>0</v>
      </c>
      <c r="N914" s="26" t="n">
        <f aca="false">IF(INDEX(Pengaturan!$B$8:$B$27,N$4)="",0,COUNTIF(Data!$B914:$U914,INDEX(Pengaturan!$B$8:$B$27,N$4)))</f>
        <v>0</v>
      </c>
      <c r="O914" s="26" t="n">
        <f aca="false">IF(INDEX(Pengaturan!$B$8:$B$27,O$4)="",0,COUNTIF(Data!$B914:$U914,INDEX(Pengaturan!$B$8:$B$27,O$4)))</f>
        <v>0</v>
      </c>
      <c r="P914" s="26" t="n">
        <f aca="false">IF(INDEX(Pengaturan!$B$8:$B$27,P$4)="",0,COUNTIF(Data!$B914:$U914,INDEX(Pengaturan!$B$8:$B$27,P$4)))</f>
        <v>0</v>
      </c>
      <c r="Q914" s="26" t="n">
        <f aca="false">IF(INDEX(Pengaturan!$B$8:$B$27,Q$4)="",0,COUNTIF(Data!$B914:$U914,INDEX(Pengaturan!$B$8:$B$27,Q$4)))</f>
        <v>0</v>
      </c>
      <c r="R914" s="26" t="n">
        <f aca="false">IF(INDEX(Pengaturan!$B$8:$B$27,R$4)="",0,COUNTIF(Data!$B914:$U914,INDEX(Pengaturan!$B$8:$B$27,R$4)))</f>
        <v>0</v>
      </c>
      <c r="S914" s="26" t="n">
        <f aca="false">IF(INDEX(Pengaturan!$B$8:$B$27,S$4)="",0,COUNTIF(Data!$B914:$U914,INDEX(Pengaturan!$B$8:$B$27,S$4)))</f>
        <v>0</v>
      </c>
      <c r="T914" s="26" t="n">
        <f aca="false">IF(INDEX(Pengaturan!$B$8:$B$27,T$4)="",0,COUNTIF(Data!$B914:$U914,INDEX(Pengaturan!$B$8:$B$27,T$4)))</f>
        <v>0</v>
      </c>
      <c r="U914" s="26" t="n">
        <f aca="false">IF(INDEX(Pengaturan!$B$8:$B$27,U$4)="",0,COUNTIF(Data!$B914:$U914,INDEX(Pengaturan!$B$8:$B$27,U$4)))</f>
        <v>0</v>
      </c>
      <c r="V914" s="26" t="n">
        <f aca="false">COUNTA(Data!$B914:$U914)</f>
        <v>0</v>
      </c>
      <c r="W914" s="27" t="str">
        <f aca="false">IF(V914=0,"",IF(V914&lt;&gt;Hasil!$C$4,"Data kosong/tidak lengkap",IF(SUM(B914:U914)&lt;&gt;V914,"Kategori tidak dikenal","OK")))</f>
        <v/>
      </c>
      <c r="X914" s="26" t="n">
        <f aca="false">IF(OR(W914="",W914="OK"),0,1)</f>
        <v>0</v>
      </c>
    </row>
    <row r="915" customFormat="false" ht="15" hidden="false" customHeight="false" outlineLevel="0" collapsed="false">
      <c r="A915" s="26" t="n">
        <f aca="false">Data!A915</f>
        <v>910</v>
      </c>
      <c r="B915" s="26" t="n">
        <f aca="false">IF(INDEX(Pengaturan!$B$8:$B$27,B$4)="",0,COUNTIF(Data!$B915:$U915,INDEX(Pengaturan!$B$8:$B$27,B$4)))</f>
        <v>0</v>
      </c>
      <c r="C915" s="26" t="n">
        <f aca="false">IF(INDEX(Pengaturan!$B$8:$B$27,C$4)="",0,COUNTIF(Data!$B915:$U915,INDEX(Pengaturan!$B$8:$B$27,C$4)))</f>
        <v>0</v>
      </c>
      <c r="D915" s="26" t="n">
        <f aca="false">IF(INDEX(Pengaturan!$B$8:$B$27,D$4)="",0,COUNTIF(Data!$B915:$U915,INDEX(Pengaturan!$B$8:$B$27,D$4)))</f>
        <v>0</v>
      </c>
      <c r="E915" s="26" t="n">
        <f aca="false">IF(INDEX(Pengaturan!$B$8:$B$27,E$4)="",0,COUNTIF(Data!$B915:$U915,INDEX(Pengaturan!$B$8:$B$27,E$4)))</f>
        <v>0</v>
      </c>
      <c r="F915" s="26" t="n">
        <f aca="false">IF(INDEX(Pengaturan!$B$8:$B$27,F$4)="",0,COUNTIF(Data!$B915:$U915,INDEX(Pengaturan!$B$8:$B$27,F$4)))</f>
        <v>0</v>
      </c>
      <c r="G915" s="26" t="n">
        <f aca="false">IF(INDEX(Pengaturan!$B$8:$B$27,G$4)="",0,COUNTIF(Data!$B915:$U915,INDEX(Pengaturan!$B$8:$B$27,G$4)))</f>
        <v>0</v>
      </c>
      <c r="H915" s="26" t="n">
        <f aca="false">IF(INDEX(Pengaturan!$B$8:$B$27,H$4)="",0,COUNTIF(Data!$B915:$U915,INDEX(Pengaturan!$B$8:$B$27,H$4)))</f>
        <v>0</v>
      </c>
      <c r="I915" s="26" t="n">
        <f aca="false">IF(INDEX(Pengaturan!$B$8:$B$27,I$4)="",0,COUNTIF(Data!$B915:$U915,INDEX(Pengaturan!$B$8:$B$27,I$4)))</f>
        <v>0</v>
      </c>
      <c r="J915" s="26" t="n">
        <f aca="false">IF(INDEX(Pengaturan!$B$8:$B$27,J$4)="",0,COUNTIF(Data!$B915:$U915,INDEX(Pengaturan!$B$8:$B$27,J$4)))</f>
        <v>0</v>
      </c>
      <c r="K915" s="26" t="n">
        <f aca="false">IF(INDEX(Pengaturan!$B$8:$B$27,K$4)="",0,COUNTIF(Data!$B915:$U915,INDEX(Pengaturan!$B$8:$B$27,K$4)))</f>
        <v>0</v>
      </c>
      <c r="L915" s="26" t="n">
        <f aca="false">IF(INDEX(Pengaturan!$B$8:$B$27,L$4)="",0,COUNTIF(Data!$B915:$U915,INDEX(Pengaturan!$B$8:$B$27,L$4)))</f>
        <v>0</v>
      </c>
      <c r="M915" s="26" t="n">
        <f aca="false">IF(INDEX(Pengaturan!$B$8:$B$27,M$4)="",0,COUNTIF(Data!$B915:$U915,INDEX(Pengaturan!$B$8:$B$27,M$4)))</f>
        <v>0</v>
      </c>
      <c r="N915" s="26" t="n">
        <f aca="false">IF(INDEX(Pengaturan!$B$8:$B$27,N$4)="",0,COUNTIF(Data!$B915:$U915,INDEX(Pengaturan!$B$8:$B$27,N$4)))</f>
        <v>0</v>
      </c>
      <c r="O915" s="26" t="n">
        <f aca="false">IF(INDEX(Pengaturan!$B$8:$B$27,O$4)="",0,COUNTIF(Data!$B915:$U915,INDEX(Pengaturan!$B$8:$B$27,O$4)))</f>
        <v>0</v>
      </c>
      <c r="P915" s="26" t="n">
        <f aca="false">IF(INDEX(Pengaturan!$B$8:$B$27,P$4)="",0,COUNTIF(Data!$B915:$U915,INDEX(Pengaturan!$B$8:$B$27,P$4)))</f>
        <v>0</v>
      </c>
      <c r="Q915" s="26" t="n">
        <f aca="false">IF(INDEX(Pengaturan!$B$8:$B$27,Q$4)="",0,COUNTIF(Data!$B915:$U915,INDEX(Pengaturan!$B$8:$B$27,Q$4)))</f>
        <v>0</v>
      </c>
      <c r="R915" s="26" t="n">
        <f aca="false">IF(INDEX(Pengaturan!$B$8:$B$27,R$4)="",0,COUNTIF(Data!$B915:$U915,INDEX(Pengaturan!$B$8:$B$27,R$4)))</f>
        <v>0</v>
      </c>
      <c r="S915" s="26" t="n">
        <f aca="false">IF(INDEX(Pengaturan!$B$8:$B$27,S$4)="",0,COUNTIF(Data!$B915:$U915,INDEX(Pengaturan!$B$8:$B$27,S$4)))</f>
        <v>0</v>
      </c>
      <c r="T915" s="26" t="n">
        <f aca="false">IF(INDEX(Pengaturan!$B$8:$B$27,T$4)="",0,COUNTIF(Data!$B915:$U915,INDEX(Pengaturan!$B$8:$B$27,T$4)))</f>
        <v>0</v>
      </c>
      <c r="U915" s="26" t="n">
        <f aca="false">IF(INDEX(Pengaturan!$B$8:$B$27,U$4)="",0,COUNTIF(Data!$B915:$U915,INDEX(Pengaturan!$B$8:$B$27,U$4)))</f>
        <v>0</v>
      </c>
      <c r="V915" s="26" t="n">
        <f aca="false">COUNTA(Data!$B915:$U915)</f>
        <v>0</v>
      </c>
      <c r="W915" s="27" t="str">
        <f aca="false">IF(V915=0,"",IF(V915&lt;&gt;Hasil!$C$4,"Data kosong/tidak lengkap",IF(SUM(B915:U915)&lt;&gt;V915,"Kategori tidak dikenal","OK")))</f>
        <v/>
      </c>
      <c r="X915" s="26" t="n">
        <f aca="false">IF(OR(W915="",W915="OK"),0,1)</f>
        <v>0</v>
      </c>
    </row>
    <row r="916" customFormat="false" ht="15" hidden="false" customHeight="false" outlineLevel="0" collapsed="false">
      <c r="A916" s="26" t="n">
        <f aca="false">Data!A916</f>
        <v>911</v>
      </c>
      <c r="B916" s="26" t="n">
        <f aca="false">IF(INDEX(Pengaturan!$B$8:$B$27,B$4)="",0,COUNTIF(Data!$B916:$U916,INDEX(Pengaturan!$B$8:$B$27,B$4)))</f>
        <v>0</v>
      </c>
      <c r="C916" s="26" t="n">
        <f aca="false">IF(INDEX(Pengaturan!$B$8:$B$27,C$4)="",0,COUNTIF(Data!$B916:$U916,INDEX(Pengaturan!$B$8:$B$27,C$4)))</f>
        <v>0</v>
      </c>
      <c r="D916" s="26" t="n">
        <f aca="false">IF(INDEX(Pengaturan!$B$8:$B$27,D$4)="",0,COUNTIF(Data!$B916:$U916,INDEX(Pengaturan!$B$8:$B$27,D$4)))</f>
        <v>0</v>
      </c>
      <c r="E916" s="26" t="n">
        <f aca="false">IF(INDEX(Pengaturan!$B$8:$B$27,E$4)="",0,COUNTIF(Data!$B916:$U916,INDEX(Pengaturan!$B$8:$B$27,E$4)))</f>
        <v>0</v>
      </c>
      <c r="F916" s="26" t="n">
        <f aca="false">IF(INDEX(Pengaturan!$B$8:$B$27,F$4)="",0,COUNTIF(Data!$B916:$U916,INDEX(Pengaturan!$B$8:$B$27,F$4)))</f>
        <v>0</v>
      </c>
      <c r="G916" s="26" t="n">
        <f aca="false">IF(INDEX(Pengaturan!$B$8:$B$27,G$4)="",0,COUNTIF(Data!$B916:$U916,INDEX(Pengaturan!$B$8:$B$27,G$4)))</f>
        <v>0</v>
      </c>
      <c r="H916" s="26" t="n">
        <f aca="false">IF(INDEX(Pengaturan!$B$8:$B$27,H$4)="",0,COUNTIF(Data!$B916:$U916,INDEX(Pengaturan!$B$8:$B$27,H$4)))</f>
        <v>0</v>
      </c>
      <c r="I916" s="26" t="n">
        <f aca="false">IF(INDEX(Pengaturan!$B$8:$B$27,I$4)="",0,COUNTIF(Data!$B916:$U916,INDEX(Pengaturan!$B$8:$B$27,I$4)))</f>
        <v>0</v>
      </c>
      <c r="J916" s="26" t="n">
        <f aca="false">IF(INDEX(Pengaturan!$B$8:$B$27,J$4)="",0,COUNTIF(Data!$B916:$U916,INDEX(Pengaturan!$B$8:$B$27,J$4)))</f>
        <v>0</v>
      </c>
      <c r="K916" s="26" t="n">
        <f aca="false">IF(INDEX(Pengaturan!$B$8:$B$27,K$4)="",0,COUNTIF(Data!$B916:$U916,INDEX(Pengaturan!$B$8:$B$27,K$4)))</f>
        <v>0</v>
      </c>
      <c r="L916" s="26" t="n">
        <f aca="false">IF(INDEX(Pengaturan!$B$8:$B$27,L$4)="",0,COUNTIF(Data!$B916:$U916,INDEX(Pengaturan!$B$8:$B$27,L$4)))</f>
        <v>0</v>
      </c>
      <c r="M916" s="26" t="n">
        <f aca="false">IF(INDEX(Pengaturan!$B$8:$B$27,M$4)="",0,COUNTIF(Data!$B916:$U916,INDEX(Pengaturan!$B$8:$B$27,M$4)))</f>
        <v>0</v>
      </c>
      <c r="N916" s="26" t="n">
        <f aca="false">IF(INDEX(Pengaturan!$B$8:$B$27,N$4)="",0,COUNTIF(Data!$B916:$U916,INDEX(Pengaturan!$B$8:$B$27,N$4)))</f>
        <v>0</v>
      </c>
      <c r="O916" s="26" t="n">
        <f aca="false">IF(INDEX(Pengaturan!$B$8:$B$27,O$4)="",0,COUNTIF(Data!$B916:$U916,INDEX(Pengaturan!$B$8:$B$27,O$4)))</f>
        <v>0</v>
      </c>
      <c r="P916" s="26" t="n">
        <f aca="false">IF(INDEX(Pengaturan!$B$8:$B$27,P$4)="",0,COUNTIF(Data!$B916:$U916,INDEX(Pengaturan!$B$8:$B$27,P$4)))</f>
        <v>0</v>
      </c>
      <c r="Q916" s="26" t="n">
        <f aca="false">IF(INDEX(Pengaturan!$B$8:$B$27,Q$4)="",0,COUNTIF(Data!$B916:$U916,INDEX(Pengaturan!$B$8:$B$27,Q$4)))</f>
        <v>0</v>
      </c>
      <c r="R916" s="26" t="n">
        <f aca="false">IF(INDEX(Pengaturan!$B$8:$B$27,R$4)="",0,COUNTIF(Data!$B916:$U916,INDEX(Pengaturan!$B$8:$B$27,R$4)))</f>
        <v>0</v>
      </c>
      <c r="S916" s="26" t="n">
        <f aca="false">IF(INDEX(Pengaturan!$B$8:$B$27,S$4)="",0,COUNTIF(Data!$B916:$U916,INDEX(Pengaturan!$B$8:$B$27,S$4)))</f>
        <v>0</v>
      </c>
      <c r="T916" s="26" t="n">
        <f aca="false">IF(INDEX(Pengaturan!$B$8:$B$27,T$4)="",0,COUNTIF(Data!$B916:$U916,INDEX(Pengaturan!$B$8:$B$27,T$4)))</f>
        <v>0</v>
      </c>
      <c r="U916" s="26" t="n">
        <f aca="false">IF(INDEX(Pengaturan!$B$8:$B$27,U$4)="",0,COUNTIF(Data!$B916:$U916,INDEX(Pengaturan!$B$8:$B$27,U$4)))</f>
        <v>0</v>
      </c>
      <c r="V916" s="26" t="n">
        <f aca="false">COUNTA(Data!$B916:$U916)</f>
        <v>0</v>
      </c>
      <c r="W916" s="27" t="str">
        <f aca="false">IF(V916=0,"",IF(V916&lt;&gt;Hasil!$C$4,"Data kosong/tidak lengkap",IF(SUM(B916:U916)&lt;&gt;V916,"Kategori tidak dikenal","OK")))</f>
        <v/>
      </c>
      <c r="X916" s="26" t="n">
        <f aca="false">IF(OR(W916="",W916="OK"),0,1)</f>
        <v>0</v>
      </c>
    </row>
    <row r="917" customFormat="false" ht="15" hidden="false" customHeight="false" outlineLevel="0" collapsed="false">
      <c r="A917" s="26" t="n">
        <f aca="false">Data!A917</f>
        <v>912</v>
      </c>
      <c r="B917" s="26" t="n">
        <f aca="false">IF(INDEX(Pengaturan!$B$8:$B$27,B$4)="",0,COUNTIF(Data!$B917:$U917,INDEX(Pengaturan!$B$8:$B$27,B$4)))</f>
        <v>0</v>
      </c>
      <c r="C917" s="26" t="n">
        <f aca="false">IF(INDEX(Pengaturan!$B$8:$B$27,C$4)="",0,COUNTIF(Data!$B917:$U917,INDEX(Pengaturan!$B$8:$B$27,C$4)))</f>
        <v>0</v>
      </c>
      <c r="D917" s="26" t="n">
        <f aca="false">IF(INDEX(Pengaturan!$B$8:$B$27,D$4)="",0,COUNTIF(Data!$B917:$U917,INDEX(Pengaturan!$B$8:$B$27,D$4)))</f>
        <v>0</v>
      </c>
      <c r="E917" s="26" t="n">
        <f aca="false">IF(INDEX(Pengaturan!$B$8:$B$27,E$4)="",0,COUNTIF(Data!$B917:$U917,INDEX(Pengaturan!$B$8:$B$27,E$4)))</f>
        <v>0</v>
      </c>
      <c r="F917" s="26" t="n">
        <f aca="false">IF(INDEX(Pengaturan!$B$8:$B$27,F$4)="",0,COUNTIF(Data!$B917:$U917,INDEX(Pengaturan!$B$8:$B$27,F$4)))</f>
        <v>0</v>
      </c>
      <c r="G917" s="26" t="n">
        <f aca="false">IF(INDEX(Pengaturan!$B$8:$B$27,G$4)="",0,COUNTIF(Data!$B917:$U917,INDEX(Pengaturan!$B$8:$B$27,G$4)))</f>
        <v>0</v>
      </c>
      <c r="H917" s="26" t="n">
        <f aca="false">IF(INDEX(Pengaturan!$B$8:$B$27,H$4)="",0,COUNTIF(Data!$B917:$U917,INDEX(Pengaturan!$B$8:$B$27,H$4)))</f>
        <v>0</v>
      </c>
      <c r="I917" s="26" t="n">
        <f aca="false">IF(INDEX(Pengaturan!$B$8:$B$27,I$4)="",0,COUNTIF(Data!$B917:$U917,INDEX(Pengaturan!$B$8:$B$27,I$4)))</f>
        <v>0</v>
      </c>
      <c r="J917" s="26" t="n">
        <f aca="false">IF(INDEX(Pengaturan!$B$8:$B$27,J$4)="",0,COUNTIF(Data!$B917:$U917,INDEX(Pengaturan!$B$8:$B$27,J$4)))</f>
        <v>0</v>
      </c>
      <c r="K917" s="26" t="n">
        <f aca="false">IF(INDEX(Pengaturan!$B$8:$B$27,K$4)="",0,COUNTIF(Data!$B917:$U917,INDEX(Pengaturan!$B$8:$B$27,K$4)))</f>
        <v>0</v>
      </c>
      <c r="L917" s="26" t="n">
        <f aca="false">IF(INDEX(Pengaturan!$B$8:$B$27,L$4)="",0,COUNTIF(Data!$B917:$U917,INDEX(Pengaturan!$B$8:$B$27,L$4)))</f>
        <v>0</v>
      </c>
      <c r="M917" s="26" t="n">
        <f aca="false">IF(INDEX(Pengaturan!$B$8:$B$27,M$4)="",0,COUNTIF(Data!$B917:$U917,INDEX(Pengaturan!$B$8:$B$27,M$4)))</f>
        <v>0</v>
      </c>
      <c r="N917" s="26" t="n">
        <f aca="false">IF(INDEX(Pengaturan!$B$8:$B$27,N$4)="",0,COUNTIF(Data!$B917:$U917,INDEX(Pengaturan!$B$8:$B$27,N$4)))</f>
        <v>0</v>
      </c>
      <c r="O917" s="26" t="n">
        <f aca="false">IF(INDEX(Pengaturan!$B$8:$B$27,O$4)="",0,COUNTIF(Data!$B917:$U917,INDEX(Pengaturan!$B$8:$B$27,O$4)))</f>
        <v>0</v>
      </c>
      <c r="P917" s="26" t="n">
        <f aca="false">IF(INDEX(Pengaturan!$B$8:$B$27,P$4)="",0,COUNTIF(Data!$B917:$U917,INDEX(Pengaturan!$B$8:$B$27,P$4)))</f>
        <v>0</v>
      </c>
      <c r="Q917" s="26" t="n">
        <f aca="false">IF(INDEX(Pengaturan!$B$8:$B$27,Q$4)="",0,COUNTIF(Data!$B917:$U917,INDEX(Pengaturan!$B$8:$B$27,Q$4)))</f>
        <v>0</v>
      </c>
      <c r="R917" s="26" t="n">
        <f aca="false">IF(INDEX(Pengaturan!$B$8:$B$27,R$4)="",0,COUNTIF(Data!$B917:$U917,INDEX(Pengaturan!$B$8:$B$27,R$4)))</f>
        <v>0</v>
      </c>
      <c r="S917" s="26" t="n">
        <f aca="false">IF(INDEX(Pengaturan!$B$8:$B$27,S$4)="",0,COUNTIF(Data!$B917:$U917,INDEX(Pengaturan!$B$8:$B$27,S$4)))</f>
        <v>0</v>
      </c>
      <c r="T917" s="26" t="n">
        <f aca="false">IF(INDEX(Pengaturan!$B$8:$B$27,T$4)="",0,COUNTIF(Data!$B917:$U917,INDEX(Pengaturan!$B$8:$B$27,T$4)))</f>
        <v>0</v>
      </c>
      <c r="U917" s="26" t="n">
        <f aca="false">IF(INDEX(Pengaturan!$B$8:$B$27,U$4)="",0,COUNTIF(Data!$B917:$U917,INDEX(Pengaturan!$B$8:$B$27,U$4)))</f>
        <v>0</v>
      </c>
      <c r="V917" s="26" t="n">
        <f aca="false">COUNTA(Data!$B917:$U917)</f>
        <v>0</v>
      </c>
      <c r="W917" s="27" t="str">
        <f aca="false">IF(V917=0,"",IF(V917&lt;&gt;Hasil!$C$4,"Data kosong/tidak lengkap",IF(SUM(B917:U917)&lt;&gt;V917,"Kategori tidak dikenal","OK")))</f>
        <v/>
      </c>
      <c r="X917" s="26" t="n">
        <f aca="false">IF(OR(W917="",W917="OK"),0,1)</f>
        <v>0</v>
      </c>
    </row>
    <row r="918" customFormat="false" ht="15" hidden="false" customHeight="false" outlineLevel="0" collapsed="false">
      <c r="A918" s="26" t="n">
        <f aca="false">Data!A918</f>
        <v>913</v>
      </c>
      <c r="B918" s="26" t="n">
        <f aca="false">IF(INDEX(Pengaturan!$B$8:$B$27,B$4)="",0,COUNTIF(Data!$B918:$U918,INDEX(Pengaturan!$B$8:$B$27,B$4)))</f>
        <v>0</v>
      </c>
      <c r="C918" s="26" t="n">
        <f aca="false">IF(INDEX(Pengaturan!$B$8:$B$27,C$4)="",0,COUNTIF(Data!$B918:$U918,INDEX(Pengaturan!$B$8:$B$27,C$4)))</f>
        <v>0</v>
      </c>
      <c r="D918" s="26" t="n">
        <f aca="false">IF(INDEX(Pengaturan!$B$8:$B$27,D$4)="",0,COUNTIF(Data!$B918:$U918,INDEX(Pengaturan!$B$8:$B$27,D$4)))</f>
        <v>0</v>
      </c>
      <c r="E918" s="26" t="n">
        <f aca="false">IF(INDEX(Pengaturan!$B$8:$B$27,E$4)="",0,COUNTIF(Data!$B918:$U918,INDEX(Pengaturan!$B$8:$B$27,E$4)))</f>
        <v>0</v>
      </c>
      <c r="F918" s="26" t="n">
        <f aca="false">IF(INDEX(Pengaturan!$B$8:$B$27,F$4)="",0,COUNTIF(Data!$B918:$U918,INDEX(Pengaturan!$B$8:$B$27,F$4)))</f>
        <v>0</v>
      </c>
      <c r="G918" s="26" t="n">
        <f aca="false">IF(INDEX(Pengaturan!$B$8:$B$27,G$4)="",0,COUNTIF(Data!$B918:$U918,INDEX(Pengaturan!$B$8:$B$27,G$4)))</f>
        <v>0</v>
      </c>
      <c r="H918" s="26" t="n">
        <f aca="false">IF(INDEX(Pengaturan!$B$8:$B$27,H$4)="",0,COUNTIF(Data!$B918:$U918,INDEX(Pengaturan!$B$8:$B$27,H$4)))</f>
        <v>0</v>
      </c>
      <c r="I918" s="26" t="n">
        <f aca="false">IF(INDEX(Pengaturan!$B$8:$B$27,I$4)="",0,COUNTIF(Data!$B918:$U918,INDEX(Pengaturan!$B$8:$B$27,I$4)))</f>
        <v>0</v>
      </c>
      <c r="J918" s="26" t="n">
        <f aca="false">IF(INDEX(Pengaturan!$B$8:$B$27,J$4)="",0,COUNTIF(Data!$B918:$U918,INDEX(Pengaturan!$B$8:$B$27,J$4)))</f>
        <v>0</v>
      </c>
      <c r="K918" s="26" t="n">
        <f aca="false">IF(INDEX(Pengaturan!$B$8:$B$27,K$4)="",0,COUNTIF(Data!$B918:$U918,INDEX(Pengaturan!$B$8:$B$27,K$4)))</f>
        <v>0</v>
      </c>
      <c r="L918" s="26" t="n">
        <f aca="false">IF(INDEX(Pengaturan!$B$8:$B$27,L$4)="",0,COUNTIF(Data!$B918:$U918,INDEX(Pengaturan!$B$8:$B$27,L$4)))</f>
        <v>0</v>
      </c>
      <c r="M918" s="26" t="n">
        <f aca="false">IF(INDEX(Pengaturan!$B$8:$B$27,M$4)="",0,COUNTIF(Data!$B918:$U918,INDEX(Pengaturan!$B$8:$B$27,M$4)))</f>
        <v>0</v>
      </c>
      <c r="N918" s="26" t="n">
        <f aca="false">IF(INDEX(Pengaturan!$B$8:$B$27,N$4)="",0,COUNTIF(Data!$B918:$U918,INDEX(Pengaturan!$B$8:$B$27,N$4)))</f>
        <v>0</v>
      </c>
      <c r="O918" s="26" t="n">
        <f aca="false">IF(INDEX(Pengaturan!$B$8:$B$27,O$4)="",0,COUNTIF(Data!$B918:$U918,INDEX(Pengaturan!$B$8:$B$27,O$4)))</f>
        <v>0</v>
      </c>
      <c r="P918" s="26" t="n">
        <f aca="false">IF(INDEX(Pengaturan!$B$8:$B$27,P$4)="",0,COUNTIF(Data!$B918:$U918,INDEX(Pengaturan!$B$8:$B$27,P$4)))</f>
        <v>0</v>
      </c>
      <c r="Q918" s="26" t="n">
        <f aca="false">IF(INDEX(Pengaturan!$B$8:$B$27,Q$4)="",0,COUNTIF(Data!$B918:$U918,INDEX(Pengaturan!$B$8:$B$27,Q$4)))</f>
        <v>0</v>
      </c>
      <c r="R918" s="26" t="n">
        <f aca="false">IF(INDEX(Pengaturan!$B$8:$B$27,R$4)="",0,COUNTIF(Data!$B918:$U918,INDEX(Pengaturan!$B$8:$B$27,R$4)))</f>
        <v>0</v>
      </c>
      <c r="S918" s="26" t="n">
        <f aca="false">IF(INDEX(Pengaturan!$B$8:$B$27,S$4)="",0,COUNTIF(Data!$B918:$U918,INDEX(Pengaturan!$B$8:$B$27,S$4)))</f>
        <v>0</v>
      </c>
      <c r="T918" s="26" t="n">
        <f aca="false">IF(INDEX(Pengaturan!$B$8:$B$27,T$4)="",0,COUNTIF(Data!$B918:$U918,INDEX(Pengaturan!$B$8:$B$27,T$4)))</f>
        <v>0</v>
      </c>
      <c r="U918" s="26" t="n">
        <f aca="false">IF(INDEX(Pengaturan!$B$8:$B$27,U$4)="",0,COUNTIF(Data!$B918:$U918,INDEX(Pengaturan!$B$8:$B$27,U$4)))</f>
        <v>0</v>
      </c>
      <c r="V918" s="26" t="n">
        <f aca="false">COUNTA(Data!$B918:$U918)</f>
        <v>0</v>
      </c>
      <c r="W918" s="27" t="str">
        <f aca="false">IF(V918=0,"",IF(V918&lt;&gt;Hasil!$C$4,"Data kosong/tidak lengkap",IF(SUM(B918:U918)&lt;&gt;V918,"Kategori tidak dikenal","OK")))</f>
        <v/>
      </c>
      <c r="X918" s="26" t="n">
        <f aca="false">IF(OR(W918="",W918="OK"),0,1)</f>
        <v>0</v>
      </c>
    </row>
    <row r="919" customFormat="false" ht="15" hidden="false" customHeight="false" outlineLevel="0" collapsed="false">
      <c r="A919" s="26" t="n">
        <f aca="false">Data!A919</f>
        <v>914</v>
      </c>
      <c r="B919" s="26" t="n">
        <f aca="false">IF(INDEX(Pengaturan!$B$8:$B$27,B$4)="",0,COUNTIF(Data!$B919:$U919,INDEX(Pengaturan!$B$8:$B$27,B$4)))</f>
        <v>0</v>
      </c>
      <c r="C919" s="26" t="n">
        <f aca="false">IF(INDEX(Pengaturan!$B$8:$B$27,C$4)="",0,COUNTIF(Data!$B919:$U919,INDEX(Pengaturan!$B$8:$B$27,C$4)))</f>
        <v>0</v>
      </c>
      <c r="D919" s="26" t="n">
        <f aca="false">IF(INDEX(Pengaturan!$B$8:$B$27,D$4)="",0,COUNTIF(Data!$B919:$U919,INDEX(Pengaturan!$B$8:$B$27,D$4)))</f>
        <v>0</v>
      </c>
      <c r="E919" s="26" t="n">
        <f aca="false">IF(INDEX(Pengaturan!$B$8:$B$27,E$4)="",0,COUNTIF(Data!$B919:$U919,INDEX(Pengaturan!$B$8:$B$27,E$4)))</f>
        <v>0</v>
      </c>
      <c r="F919" s="26" t="n">
        <f aca="false">IF(INDEX(Pengaturan!$B$8:$B$27,F$4)="",0,COUNTIF(Data!$B919:$U919,INDEX(Pengaturan!$B$8:$B$27,F$4)))</f>
        <v>0</v>
      </c>
      <c r="G919" s="26" t="n">
        <f aca="false">IF(INDEX(Pengaturan!$B$8:$B$27,G$4)="",0,COUNTIF(Data!$B919:$U919,INDEX(Pengaturan!$B$8:$B$27,G$4)))</f>
        <v>0</v>
      </c>
      <c r="H919" s="26" t="n">
        <f aca="false">IF(INDEX(Pengaturan!$B$8:$B$27,H$4)="",0,COUNTIF(Data!$B919:$U919,INDEX(Pengaturan!$B$8:$B$27,H$4)))</f>
        <v>0</v>
      </c>
      <c r="I919" s="26" t="n">
        <f aca="false">IF(INDEX(Pengaturan!$B$8:$B$27,I$4)="",0,COUNTIF(Data!$B919:$U919,INDEX(Pengaturan!$B$8:$B$27,I$4)))</f>
        <v>0</v>
      </c>
      <c r="J919" s="26" t="n">
        <f aca="false">IF(INDEX(Pengaturan!$B$8:$B$27,J$4)="",0,COUNTIF(Data!$B919:$U919,INDEX(Pengaturan!$B$8:$B$27,J$4)))</f>
        <v>0</v>
      </c>
      <c r="K919" s="26" t="n">
        <f aca="false">IF(INDEX(Pengaturan!$B$8:$B$27,K$4)="",0,COUNTIF(Data!$B919:$U919,INDEX(Pengaturan!$B$8:$B$27,K$4)))</f>
        <v>0</v>
      </c>
      <c r="L919" s="26" t="n">
        <f aca="false">IF(INDEX(Pengaturan!$B$8:$B$27,L$4)="",0,COUNTIF(Data!$B919:$U919,INDEX(Pengaturan!$B$8:$B$27,L$4)))</f>
        <v>0</v>
      </c>
      <c r="M919" s="26" t="n">
        <f aca="false">IF(INDEX(Pengaturan!$B$8:$B$27,M$4)="",0,COUNTIF(Data!$B919:$U919,INDEX(Pengaturan!$B$8:$B$27,M$4)))</f>
        <v>0</v>
      </c>
      <c r="N919" s="26" t="n">
        <f aca="false">IF(INDEX(Pengaturan!$B$8:$B$27,N$4)="",0,COUNTIF(Data!$B919:$U919,INDEX(Pengaturan!$B$8:$B$27,N$4)))</f>
        <v>0</v>
      </c>
      <c r="O919" s="26" t="n">
        <f aca="false">IF(INDEX(Pengaturan!$B$8:$B$27,O$4)="",0,COUNTIF(Data!$B919:$U919,INDEX(Pengaturan!$B$8:$B$27,O$4)))</f>
        <v>0</v>
      </c>
      <c r="P919" s="26" t="n">
        <f aca="false">IF(INDEX(Pengaturan!$B$8:$B$27,P$4)="",0,COUNTIF(Data!$B919:$U919,INDEX(Pengaturan!$B$8:$B$27,P$4)))</f>
        <v>0</v>
      </c>
      <c r="Q919" s="26" t="n">
        <f aca="false">IF(INDEX(Pengaturan!$B$8:$B$27,Q$4)="",0,COUNTIF(Data!$B919:$U919,INDEX(Pengaturan!$B$8:$B$27,Q$4)))</f>
        <v>0</v>
      </c>
      <c r="R919" s="26" t="n">
        <f aca="false">IF(INDEX(Pengaturan!$B$8:$B$27,R$4)="",0,COUNTIF(Data!$B919:$U919,INDEX(Pengaturan!$B$8:$B$27,R$4)))</f>
        <v>0</v>
      </c>
      <c r="S919" s="26" t="n">
        <f aca="false">IF(INDEX(Pengaturan!$B$8:$B$27,S$4)="",0,COUNTIF(Data!$B919:$U919,INDEX(Pengaturan!$B$8:$B$27,S$4)))</f>
        <v>0</v>
      </c>
      <c r="T919" s="26" t="n">
        <f aca="false">IF(INDEX(Pengaturan!$B$8:$B$27,T$4)="",0,COUNTIF(Data!$B919:$U919,INDEX(Pengaturan!$B$8:$B$27,T$4)))</f>
        <v>0</v>
      </c>
      <c r="U919" s="26" t="n">
        <f aca="false">IF(INDEX(Pengaturan!$B$8:$B$27,U$4)="",0,COUNTIF(Data!$B919:$U919,INDEX(Pengaturan!$B$8:$B$27,U$4)))</f>
        <v>0</v>
      </c>
      <c r="V919" s="26" t="n">
        <f aca="false">COUNTA(Data!$B919:$U919)</f>
        <v>0</v>
      </c>
      <c r="W919" s="27" t="str">
        <f aca="false">IF(V919=0,"",IF(V919&lt;&gt;Hasil!$C$4,"Data kosong/tidak lengkap",IF(SUM(B919:U919)&lt;&gt;V919,"Kategori tidak dikenal","OK")))</f>
        <v/>
      </c>
      <c r="X919" s="26" t="n">
        <f aca="false">IF(OR(W919="",W919="OK"),0,1)</f>
        <v>0</v>
      </c>
    </row>
    <row r="920" customFormat="false" ht="15" hidden="false" customHeight="false" outlineLevel="0" collapsed="false">
      <c r="A920" s="26" t="n">
        <f aca="false">Data!A920</f>
        <v>915</v>
      </c>
      <c r="B920" s="26" t="n">
        <f aca="false">IF(INDEX(Pengaturan!$B$8:$B$27,B$4)="",0,COUNTIF(Data!$B920:$U920,INDEX(Pengaturan!$B$8:$B$27,B$4)))</f>
        <v>0</v>
      </c>
      <c r="C920" s="26" t="n">
        <f aca="false">IF(INDEX(Pengaturan!$B$8:$B$27,C$4)="",0,COUNTIF(Data!$B920:$U920,INDEX(Pengaturan!$B$8:$B$27,C$4)))</f>
        <v>0</v>
      </c>
      <c r="D920" s="26" t="n">
        <f aca="false">IF(INDEX(Pengaturan!$B$8:$B$27,D$4)="",0,COUNTIF(Data!$B920:$U920,INDEX(Pengaturan!$B$8:$B$27,D$4)))</f>
        <v>0</v>
      </c>
      <c r="E920" s="26" t="n">
        <f aca="false">IF(INDEX(Pengaturan!$B$8:$B$27,E$4)="",0,COUNTIF(Data!$B920:$U920,INDEX(Pengaturan!$B$8:$B$27,E$4)))</f>
        <v>0</v>
      </c>
      <c r="F920" s="26" t="n">
        <f aca="false">IF(INDEX(Pengaturan!$B$8:$B$27,F$4)="",0,COUNTIF(Data!$B920:$U920,INDEX(Pengaturan!$B$8:$B$27,F$4)))</f>
        <v>0</v>
      </c>
      <c r="G920" s="26" t="n">
        <f aca="false">IF(INDEX(Pengaturan!$B$8:$B$27,G$4)="",0,COUNTIF(Data!$B920:$U920,INDEX(Pengaturan!$B$8:$B$27,G$4)))</f>
        <v>0</v>
      </c>
      <c r="H920" s="26" t="n">
        <f aca="false">IF(INDEX(Pengaturan!$B$8:$B$27,H$4)="",0,COUNTIF(Data!$B920:$U920,INDEX(Pengaturan!$B$8:$B$27,H$4)))</f>
        <v>0</v>
      </c>
      <c r="I920" s="26" t="n">
        <f aca="false">IF(INDEX(Pengaturan!$B$8:$B$27,I$4)="",0,COUNTIF(Data!$B920:$U920,INDEX(Pengaturan!$B$8:$B$27,I$4)))</f>
        <v>0</v>
      </c>
      <c r="J920" s="26" t="n">
        <f aca="false">IF(INDEX(Pengaturan!$B$8:$B$27,J$4)="",0,COUNTIF(Data!$B920:$U920,INDEX(Pengaturan!$B$8:$B$27,J$4)))</f>
        <v>0</v>
      </c>
      <c r="K920" s="26" t="n">
        <f aca="false">IF(INDEX(Pengaturan!$B$8:$B$27,K$4)="",0,COUNTIF(Data!$B920:$U920,INDEX(Pengaturan!$B$8:$B$27,K$4)))</f>
        <v>0</v>
      </c>
      <c r="L920" s="26" t="n">
        <f aca="false">IF(INDEX(Pengaturan!$B$8:$B$27,L$4)="",0,COUNTIF(Data!$B920:$U920,INDEX(Pengaturan!$B$8:$B$27,L$4)))</f>
        <v>0</v>
      </c>
      <c r="M920" s="26" t="n">
        <f aca="false">IF(INDEX(Pengaturan!$B$8:$B$27,M$4)="",0,COUNTIF(Data!$B920:$U920,INDEX(Pengaturan!$B$8:$B$27,M$4)))</f>
        <v>0</v>
      </c>
      <c r="N920" s="26" t="n">
        <f aca="false">IF(INDEX(Pengaturan!$B$8:$B$27,N$4)="",0,COUNTIF(Data!$B920:$U920,INDEX(Pengaturan!$B$8:$B$27,N$4)))</f>
        <v>0</v>
      </c>
      <c r="O920" s="26" t="n">
        <f aca="false">IF(INDEX(Pengaturan!$B$8:$B$27,O$4)="",0,COUNTIF(Data!$B920:$U920,INDEX(Pengaturan!$B$8:$B$27,O$4)))</f>
        <v>0</v>
      </c>
      <c r="P920" s="26" t="n">
        <f aca="false">IF(INDEX(Pengaturan!$B$8:$B$27,P$4)="",0,COUNTIF(Data!$B920:$U920,INDEX(Pengaturan!$B$8:$B$27,P$4)))</f>
        <v>0</v>
      </c>
      <c r="Q920" s="26" t="n">
        <f aca="false">IF(INDEX(Pengaturan!$B$8:$B$27,Q$4)="",0,COUNTIF(Data!$B920:$U920,INDEX(Pengaturan!$B$8:$B$27,Q$4)))</f>
        <v>0</v>
      </c>
      <c r="R920" s="26" t="n">
        <f aca="false">IF(INDEX(Pengaturan!$B$8:$B$27,R$4)="",0,COUNTIF(Data!$B920:$U920,INDEX(Pengaturan!$B$8:$B$27,R$4)))</f>
        <v>0</v>
      </c>
      <c r="S920" s="26" t="n">
        <f aca="false">IF(INDEX(Pengaturan!$B$8:$B$27,S$4)="",0,COUNTIF(Data!$B920:$U920,INDEX(Pengaturan!$B$8:$B$27,S$4)))</f>
        <v>0</v>
      </c>
      <c r="T920" s="26" t="n">
        <f aca="false">IF(INDEX(Pengaturan!$B$8:$B$27,T$4)="",0,COUNTIF(Data!$B920:$U920,INDEX(Pengaturan!$B$8:$B$27,T$4)))</f>
        <v>0</v>
      </c>
      <c r="U920" s="26" t="n">
        <f aca="false">IF(INDEX(Pengaturan!$B$8:$B$27,U$4)="",0,COUNTIF(Data!$B920:$U920,INDEX(Pengaturan!$B$8:$B$27,U$4)))</f>
        <v>0</v>
      </c>
      <c r="V920" s="26" t="n">
        <f aca="false">COUNTA(Data!$B920:$U920)</f>
        <v>0</v>
      </c>
      <c r="W920" s="27" t="str">
        <f aca="false">IF(V920=0,"",IF(V920&lt;&gt;Hasil!$C$4,"Data kosong/tidak lengkap",IF(SUM(B920:U920)&lt;&gt;V920,"Kategori tidak dikenal","OK")))</f>
        <v/>
      </c>
      <c r="X920" s="26" t="n">
        <f aca="false">IF(OR(W920="",W920="OK"),0,1)</f>
        <v>0</v>
      </c>
    </row>
    <row r="921" customFormat="false" ht="15" hidden="false" customHeight="false" outlineLevel="0" collapsed="false">
      <c r="A921" s="26" t="n">
        <f aca="false">Data!A921</f>
        <v>916</v>
      </c>
      <c r="B921" s="26" t="n">
        <f aca="false">IF(INDEX(Pengaturan!$B$8:$B$27,B$4)="",0,COUNTIF(Data!$B921:$U921,INDEX(Pengaturan!$B$8:$B$27,B$4)))</f>
        <v>0</v>
      </c>
      <c r="C921" s="26" t="n">
        <f aca="false">IF(INDEX(Pengaturan!$B$8:$B$27,C$4)="",0,COUNTIF(Data!$B921:$U921,INDEX(Pengaturan!$B$8:$B$27,C$4)))</f>
        <v>0</v>
      </c>
      <c r="D921" s="26" t="n">
        <f aca="false">IF(INDEX(Pengaturan!$B$8:$B$27,D$4)="",0,COUNTIF(Data!$B921:$U921,INDEX(Pengaturan!$B$8:$B$27,D$4)))</f>
        <v>0</v>
      </c>
      <c r="E921" s="26" t="n">
        <f aca="false">IF(INDEX(Pengaturan!$B$8:$B$27,E$4)="",0,COUNTIF(Data!$B921:$U921,INDEX(Pengaturan!$B$8:$B$27,E$4)))</f>
        <v>0</v>
      </c>
      <c r="F921" s="26" t="n">
        <f aca="false">IF(INDEX(Pengaturan!$B$8:$B$27,F$4)="",0,COUNTIF(Data!$B921:$U921,INDEX(Pengaturan!$B$8:$B$27,F$4)))</f>
        <v>0</v>
      </c>
      <c r="G921" s="26" t="n">
        <f aca="false">IF(INDEX(Pengaturan!$B$8:$B$27,G$4)="",0,COUNTIF(Data!$B921:$U921,INDEX(Pengaturan!$B$8:$B$27,G$4)))</f>
        <v>0</v>
      </c>
      <c r="H921" s="26" t="n">
        <f aca="false">IF(INDEX(Pengaturan!$B$8:$B$27,H$4)="",0,COUNTIF(Data!$B921:$U921,INDEX(Pengaturan!$B$8:$B$27,H$4)))</f>
        <v>0</v>
      </c>
      <c r="I921" s="26" t="n">
        <f aca="false">IF(INDEX(Pengaturan!$B$8:$B$27,I$4)="",0,COUNTIF(Data!$B921:$U921,INDEX(Pengaturan!$B$8:$B$27,I$4)))</f>
        <v>0</v>
      </c>
      <c r="J921" s="26" t="n">
        <f aca="false">IF(INDEX(Pengaturan!$B$8:$B$27,J$4)="",0,COUNTIF(Data!$B921:$U921,INDEX(Pengaturan!$B$8:$B$27,J$4)))</f>
        <v>0</v>
      </c>
      <c r="K921" s="26" t="n">
        <f aca="false">IF(INDEX(Pengaturan!$B$8:$B$27,K$4)="",0,COUNTIF(Data!$B921:$U921,INDEX(Pengaturan!$B$8:$B$27,K$4)))</f>
        <v>0</v>
      </c>
      <c r="L921" s="26" t="n">
        <f aca="false">IF(INDEX(Pengaturan!$B$8:$B$27,L$4)="",0,COUNTIF(Data!$B921:$U921,INDEX(Pengaturan!$B$8:$B$27,L$4)))</f>
        <v>0</v>
      </c>
      <c r="M921" s="26" t="n">
        <f aca="false">IF(INDEX(Pengaturan!$B$8:$B$27,M$4)="",0,COUNTIF(Data!$B921:$U921,INDEX(Pengaturan!$B$8:$B$27,M$4)))</f>
        <v>0</v>
      </c>
      <c r="N921" s="26" t="n">
        <f aca="false">IF(INDEX(Pengaturan!$B$8:$B$27,N$4)="",0,COUNTIF(Data!$B921:$U921,INDEX(Pengaturan!$B$8:$B$27,N$4)))</f>
        <v>0</v>
      </c>
      <c r="O921" s="26" t="n">
        <f aca="false">IF(INDEX(Pengaturan!$B$8:$B$27,O$4)="",0,COUNTIF(Data!$B921:$U921,INDEX(Pengaturan!$B$8:$B$27,O$4)))</f>
        <v>0</v>
      </c>
      <c r="P921" s="26" t="n">
        <f aca="false">IF(INDEX(Pengaturan!$B$8:$B$27,P$4)="",0,COUNTIF(Data!$B921:$U921,INDEX(Pengaturan!$B$8:$B$27,P$4)))</f>
        <v>0</v>
      </c>
      <c r="Q921" s="26" t="n">
        <f aca="false">IF(INDEX(Pengaturan!$B$8:$B$27,Q$4)="",0,COUNTIF(Data!$B921:$U921,INDEX(Pengaturan!$B$8:$B$27,Q$4)))</f>
        <v>0</v>
      </c>
      <c r="R921" s="26" t="n">
        <f aca="false">IF(INDEX(Pengaturan!$B$8:$B$27,R$4)="",0,COUNTIF(Data!$B921:$U921,INDEX(Pengaturan!$B$8:$B$27,R$4)))</f>
        <v>0</v>
      </c>
      <c r="S921" s="26" t="n">
        <f aca="false">IF(INDEX(Pengaturan!$B$8:$B$27,S$4)="",0,COUNTIF(Data!$B921:$U921,INDEX(Pengaturan!$B$8:$B$27,S$4)))</f>
        <v>0</v>
      </c>
      <c r="T921" s="26" t="n">
        <f aca="false">IF(INDEX(Pengaturan!$B$8:$B$27,T$4)="",0,COUNTIF(Data!$B921:$U921,INDEX(Pengaturan!$B$8:$B$27,T$4)))</f>
        <v>0</v>
      </c>
      <c r="U921" s="26" t="n">
        <f aca="false">IF(INDEX(Pengaturan!$B$8:$B$27,U$4)="",0,COUNTIF(Data!$B921:$U921,INDEX(Pengaturan!$B$8:$B$27,U$4)))</f>
        <v>0</v>
      </c>
      <c r="V921" s="26" t="n">
        <f aca="false">COUNTA(Data!$B921:$U921)</f>
        <v>0</v>
      </c>
      <c r="W921" s="27" t="str">
        <f aca="false">IF(V921=0,"",IF(V921&lt;&gt;Hasil!$C$4,"Data kosong/tidak lengkap",IF(SUM(B921:U921)&lt;&gt;V921,"Kategori tidak dikenal","OK")))</f>
        <v/>
      </c>
      <c r="X921" s="26" t="n">
        <f aca="false">IF(OR(W921="",W921="OK"),0,1)</f>
        <v>0</v>
      </c>
    </row>
    <row r="922" customFormat="false" ht="15" hidden="false" customHeight="false" outlineLevel="0" collapsed="false">
      <c r="A922" s="26" t="n">
        <f aca="false">Data!A922</f>
        <v>917</v>
      </c>
      <c r="B922" s="26" t="n">
        <f aca="false">IF(INDEX(Pengaturan!$B$8:$B$27,B$4)="",0,COUNTIF(Data!$B922:$U922,INDEX(Pengaturan!$B$8:$B$27,B$4)))</f>
        <v>0</v>
      </c>
      <c r="C922" s="26" t="n">
        <f aca="false">IF(INDEX(Pengaturan!$B$8:$B$27,C$4)="",0,COUNTIF(Data!$B922:$U922,INDEX(Pengaturan!$B$8:$B$27,C$4)))</f>
        <v>0</v>
      </c>
      <c r="D922" s="26" t="n">
        <f aca="false">IF(INDEX(Pengaturan!$B$8:$B$27,D$4)="",0,COUNTIF(Data!$B922:$U922,INDEX(Pengaturan!$B$8:$B$27,D$4)))</f>
        <v>0</v>
      </c>
      <c r="E922" s="26" t="n">
        <f aca="false">IF(INDEX(Pengaturan!$B$8:$B$27,E$4)="",0,COUNTIF(Data!$B922:$U922,INDEX(Pengaturan!$B$8:$B$27,E$4)))</f>
        <v>0</v>
      </c>
      <c r="F922" s="26" t="n">
        <f aca="false">IF(INDEX(Pengaturan!$B$8:$B$27,F$4)="",0,COUNTIF(Data!$B922:$U922,INDEX(Pengaturan!$B$8:$B$27,F$4)))</f>
        <v>0</v>
      </c>
      <c r="G922" s="26" t="n">
        <f aca="false">IF(INDEX(Pengaturan!$B$8:$B$27,G$4)="",0,COUNTIF(Data!$B922:$U922,INDEX(Pengaturan!$B$8:$B$27,G$4)))</f>
        <v>0</v>
      </c>
      <c r="H922" s="26" t="n">
        <f aca="false">IF(INDEX(Pengaturan!$B$8:$B$27,H$4)="",0,COUNTIF(Data!$B922:$U922,INDEX(Pengaturan!$B$8:$B$27,H$4)))</f>
        <v>0</v>
      </c>
      <c r="I922" s="26" t="n">
        <f aca="false">IF(INDEX(Pengaturan!$B$8:$B$27,I$4)="",0,COUNTIF(Data!$B922:$U922,INDEX(Pengaturan!$B$8:$B$27,I$4)))</f>
        <v>0</v>
      </c>
      <c r="J922" s="26" t="n">
        <f aca="false">IF(INDEX(Pengaturan!$B$8:$B$27,J$4)="",0,COUNTIF(Data!$B922:$U922,INDEX(Pengaturan!$B$8:$B$27,J$4)))</f>
        <v>0</v>
      </c>
      <c r="K922" s="26" t="n">
        <f aca="false">IF(INDEX(Pengaturan!$B$8:$B$27,K$4)="",0,COUNTIF(Data!$B922:$U922,INDEX(Pengaturan!$B$8:$B$27,K$4)))</f>
        <v>0</v>
      </c>
      <c r="L922" s="26" t="n">
        <f aca="false">IF(INDEX(Pengaturan!$B$8:$B$27,L$4)="",0,COUNTIF(Data!$B922:$U922,INDEX(Pengaturan!$B$8:$B$27,L$4)))</f>
        <v>0</v>
      </c>
      <c r="M922" s="26" t="n">
        <f aca="false">IF(INDEX(Pengaturan!$B$8:$B$27,M$4)="",0,COUNTIF(Data!$B922:$U922,INDEX(Pengaturan!$B$8:$B$27,M$4)))</f>
        <v>0</v>
      </c>
      <c r="N922" s="26" t="n">
        <f aca="false">IF(INDEX(Pengaturan!$B$8:$B$27,N$4)="",0,COUNTIF(Data!$B922:$U922,INDEX(Pengaturan!$B$8:$B$27,N$4)))</f>
        <v>0</v>
      </c>
      <c r="O922" s="26" t="n">
        <f aca="false">IF(INDEX(Pengaturan!$B$8:$B$27,O$4)="",0,COUNTIF(Data!$B922:$U922,INDEX(Pengaturan!$B$8:$B$27,O$4)))</f>
        <v>0</v>
      </c>
      <c r="P922" s="26" t="n">
        <f aca="false">IF(INDEX(Pengaturan!$B$8:$B$27,P$4)="",0,COUNTIF(Data!$B922:$U922,INDEX(Pengaturan!$B$8:$B$27,P$4)))</f>
        <v>0</v>
      </c>
      <c r="Q922" s="26" t="n">
        <f aca="false">IF(INDEX(Pengaturan!$B$8:$B$27,Q$4)="",0,COUNTIF(Data!$B922:$U922,INDEX(Pengaturan!$B$8:$B$27,Q$4)))</f>
        <v>0</v>
      </c>
      <c r="R922" s="26" t="n">
        <f aca="false">IF(INDEX(Pengaturan!$B$8:$B$27,R$4)="",0,COUNTIF(Data!$B922:$U922,INDEX(Pengaturan!$B$8:$B$27,R$4)))</f>
        <v>0</v>
      </c>
      <c r="S922" s="26" t="n">
        <f aca="false">IF(INDEX(Pengaturan!$B$8:$B$27,S$4)="",0,COUNTIF(Data!$B922:$U922,INDEX(Pengaturan!$B$8:$B$27,S$4)))</f>
        <v>0</v>
      </c>
      <c r="T922" s="26" t="n">
        <f aca="false">IF(INDEX(Pengaturan!$B$8:$B$27,T$4)="",0,COUNTIF(Data!$B922:$U922,INDEX(Pengaturan!$B$8:$B$27,T$4)))</f>
        <v>0</v>
      </c>
      <c r="U922" s="26" t="n">
        <f aca="false">IF(INDEX(Pengaturan!$B$8:$B$27,U$4)="",0,COUNTIF(Data!$B922:$U922,INDEX(Pengaturan!$B$8:$B$27,U$4)))</f>
        <v>0</v>
      </c>
      <c r="V922" s="26" t="n">
        <f aca="false">COUNTA(Data!$B922:$U922)</f>
        <v>0</v>
      </c>
      <c r="W922" s="27" t="str">
        <f aca="false">IF(V922=0,"",IF(V922&lt;&gt;Hasil!$C$4,"Data kosong/tidak lengkap",IF(SUM(B922:U922)&lt;&gt;V922,"Kategori tidak dikenal","OK")))</f>
        <v/>
      </c>
      <c r="X922" s="26" t="n">
        <f aca="false">IF(OR(W922="",W922="OK"),0,1)</f>
        <v>0</v>
      </c>
    </row>
    <row r="923" customFormat="false" ht="15" hidden="false" customHeight="false" outlineLevel="0" collapsed="false">
      <c r="A923" s="26" t="n">
        <f aca="false">Data!A923</f>
        <v>918</v>
      </c>
      <c r="B923" s="26" t="n">
        <f aca="false">IF(INDEX(Pengaturan!$B$8:$B$27,B$4)="",0,COUNTIF(Data!$B923:$U923,INDEX(Pengaturan!$B$8:$B$27,B$4)))</f>
        <v>0</v>
      </c>
      <c r="C923" s="26" t="n">
        <f aca="false">IF(INDEX(Pengaturan!$B$8:$B$27,C$4)="",0,COUNTIF(Data!$B923:$U923,INDEX(Pengaturan!$B$8:$B$27,C$4)))</f>
        <v>0</v>
      </c>
      <c r="D923" s="26" t="n">
        <f aca="false">IF(INDEX(Pengaturan!$B$8:$B$27,D$4)="",0,COUNTIF(Data!$B923:$U923,INDEX(Pengaturan!$B$8:$B$27,D$4)))</f>
        <v>0</v>
      </c>
      <c r="E923" s="26" t="n">
        <f aca="false">IF(INDEX(Pengaturan!$B$8:$B$27,E$4)="",0,COUNTIF(Data!$B923:$U923,INDEX(Pengaturan!$B$8:$B$27,E$4)))</f>
        <v>0</v>
      </c>
      <c r="F923" s="26" t="n">
        <f aca="false">IF(INDEX(Pengaturan!$B$8:$B$27,F$4)="",0,COUNTIF(Data!$B923:$U923,INDEX(Pengaturan!$B$8:$B$27,F$4)))</f>
        <v>0</v>
      </c>
      <c r="G923" s="26" t="n">
        <f aca="false">IF(INDEX(Pengaturan!$B$8:$B$27,G$4)="",0,COUNTIF(Data!$B923:$U923,INDEX(Pengaturan!$B$8:$B$27,G$4)))</f>
        <v>0</v>
      </c>
      <c r="H923" s="26" t="n">
        <f aca="false">IF(INDEX(Pengaturan!$B$8:$B$27,H$4)="",0,COUNTIF(Data!$B923:$U923,INDEX(Pengaturan!$B$8:$B$27,H$4)))</f>
        <v>0</v>
      </c>
      <c r="I923" s="26" t="n">
        <f aca="false">IF(INDEX(Pengaturan!$B$8:$B$27,I$4)="",0,COUNTIF(Data!$B923:$U923,INDEX(Pengaturan!$B$8:$B$27,I$4)))</f>
        <v>0</v>
      </c>
      <c r="J923" s="26" t="n">
        <f aca="false">IF(INDEX(Pengaturan!$B$8:$B$27,J$4)="",0,COUNTIF(Data!$B923:$U923,INDEX(Pengaturan!$B$8:$B$27,J$4)))</f>
        <v>0</v>
      </c>
      <c r="K923" s="26" t="n">
        <f aca="false">IF(INDEX(Pengaturan!$B$8:$B$27,K$4)="",0,COUNTIF(Data!$B923:$U923,INDEX(Pengaturan!$B$8:$B$27,K$4)))</f>
        <v>0</v>
      </c>
      <c r="L923" s="26" t="n">
        <f aca="false">IF(INDEX(Pengaturan!$B$8:$B$27,L$4)="",0,COUNTIF(Data!$B923:$U923,INDEX(Pengaturan!$B$8:$B$27,L$4)))</f>
        <v>0</v>
      </c>
      <c r="M923" s="26" t="n">
        <f aca="false">IF(INDEX(Pengaturan!$B$8:$B$27,M$4)="",0,COUNTIF(Data!$B923:$U923,INDEX(Pengaturan!$B$8:$B$27,M$4)))</f>
        <v>0</v>
      </c>
      <c r="N923" s="26" t="n">
        <f aca="false">IF(INDEX(Pengaturan!$B$8:$B$27,N$4)="",0,COUNTIF(Data!$B923:$U923,INDEX(Pengaturan!$B$8:$B$27,N$4)))</f>
        <v>0</v>
      </c>
      <c r="O923" s="26" t="n">
        <f aca="false">IF(INDEX(Pengaturan!$B$8:$B$27,O$4)="",0,COUNTIF(Data!$B923:$U923,INDEX(Pengaturan!$B$8:$B$27,O$4)))</f>
        <v>0</v>
      </c>
      <c r="P923" s="26" t="n">
        <f aca="false">IF(INDEX(Pengaturan!$B$8:$B$27,P$4)="",0,COUNTIF(Data!$B923:$U923,INDEX(Pengaturan!$B$8:$B$27,P$4)))</f>
        <v>0</v>
      </c>
      <c r="Q923" s="26" t="n">
        <f aca="false">IF(INDEX(Pengaturan!$B$8:$B$27,Q$4)="",0,COUNTIF(Data!$B923:$U923,INDEX(Pengaturan!$B$8:$B$27,Q$4)))</f>
        <v>0</v>
      </c>
      <c r="R923" s="26" t="n">
        <f aca="false">IF(INDEX(Pengaturan!$B$8:$B$27,R$4)="",0,COUNTIF(Data!$B923:$U923,INDEX(Pengaturan!$B$8:$B$27,R$4)))</f>
        <v>0</v>
      </c>
      <c r="S923" s="26" t="n">
        <f aca="false">IF(INDEX(Pengaturan!$B$8:$B$27,S$4)="",0,COUNTIF(Data!$B923:$U923,INDEX(Pengaturan!$B$8:$B$27,S$4)))</f>
        <v>0</v>
      </c>
      <c r="T923" s="26" t="n">
        <f aca="false">IF(INDEX(Pengaturan!$B$8:$B$27,T$4)="",0,COUNTIF(Data!$B923:$U923,INDEX(Pengaturan!$B$8:$B$27,T$4)))</f>
        <v>0</v>
      </c>
      <c r="U923" s="26" t="n">
        <f aca="false">IF(INDEX(Pengaturan!$B$8:$B$27,U$4)="",0,COUNTIF(Data!$B923:$U923,INDEX(Pengaturan!$B$8:$B$27,U$4)))</f>
        <v>0</v>
      </c>
      <c r="V923" s="26" t="n">
        <f aca="false">COUNTA(Data!$B923:$U923)</f>
        <v>0</v>
      </c>
      <c r="W923" s="27" t="str">
        <f aca="false">IF(V923=0,"",IF(V923&lt;&gt;Hasil!$C$4,"Data kosong/tidak lengkap",IF(SUM(B923:U923)&lt;&gt;V923,"Kategori tidak dikenal","OK")))</f>
        <v/>
      </c>
      <c r="X923" s="26" t="n">
        <f aca="false">IF(OR(W923="",W923="OK"),0,1)</f>
        <v>0</v>
      </c>
    </row>
    <row r="924" customFormat="false" ht="15" hidden="false" customHeight="false" outlineLevel="0" collapsed="false">
      <c r="A924" s="26" t="n">
        <f aca="false">Data!A924</f>
        <v>919</v>
      </c>
      <c r="B924" s="26" t="n">
        <f aca="false">IF(INDEX(Pengaturan!$B$8:$B$27,B$4)="",0,COUNTIF(Data!$B924:$U924,INDEX(Pengaturan!$B$8:$B$27,B$4)))</f>
        <v>0</v>
      </c>
      <c r="C924" s="26" t="n">
        <f aca="false">IF(INDEX(Pengaturan!$B$8:$B$27,C$4)="",0,COUNTIF(Data!$B924:$U924,INDEX(Pengaturan!$B$8:$B$27,C$4)))</f>
        <v>0</v>
      </c>
      <c r="D924" s="26" t="n">
        <f aca="false">IF(INDEX(Pengaturan!$B$8:$B$27,D$4)="",0,COUNTIF(Data!$B924:$U924,INDEX(Pengaturan!$B$8:$B$27,D$4)))</f>
        <v>0</v>
      </c>
      <c r="E924" s="26" t="n">
        <f aca="false">IF(INDEX(Pengaturan!$B$8:$B$27,E$4)="",0,COUNTIF(Data!$B924:$U924,INDEX(Pengaturan!$B$8:$B$27,E$4)))</f>
        <v>0</v>
      </c>
      <c r="F924" s="26" t="n">
        <f aca="false">IF(INDEX(Pengaturan!$B$8:$B$27,F$4)="",0,COUNTIF(Data!$B924:$U924,INDEX(Pengaturan!$B$8:$B$27,F$4)))</f>
        <v>0</v>
      </c>
      <c r="G924" s="26" t="n">
        <f aca="false">IF(INDEX(Pengaturan!$B$8:$B$27,G$4)="",0,COUNTIF(Data!$B924:$U924,INDEX(Pengaturan!$B$8:$B$27,G$4)))</f>
        <v>0</v>
      </c>
      <c r="H924" s="26" t="n">
        <f aca="false">IF(INDEX(Pengaturan!$B$8:$B$27,H$4)="",0,COUNTIF(Data!$B924:$U924,INDEX(Pengaturan!$B$8:$B$27,H$4)))</f>
        <v>0</v>
      </c>
      <c r="I924" s="26" t="n">
        <f aca="false">IF(INDEX(Pengaturan!$B$8:$B$27,I$4)="",0,COUNTIF(Data!$B924:$U924,INDEX(Pengaturan!$B$8:$B$27,I$4)))</f>
        <v>0</v>
      </c>
      <c r="J924" s="26" t="n">
        <f aca="false">IF(INDEX(Pengaturan!$B$8:$B$27,J$4)="",0,COUNTIF(Data!$B924:$U924,INDEX(Pengaturan!$B$8:$B$27,J$4)))</f>
        <v>0</v>
      </c>
      <c r="K924" s="26" t="n">
        <f aca="false">IF(INDEX(Pengaturan!$B$8:$B$27,K$4)="",0,COUNTIF(Data!$B924:$U924,INDEX(Pengaturan!$B$8:$B$27,K$4)))</f>
        <v>0</v>
      </c>
      <c r="L924" s="26" t="n">
        <f aca="false">IF(INDEX(Pengaturan!$B$8:$B$27,L$4)="",0,COUNTIF(Data!$B924:$U924,INDEX(Pengaturan!$B$8:$B$27,L$4)))</f>
        <v>0</v>
      </c>
      <c r="M924" s="26" t="n">
        <f aca="false">IF(INDEX(Pengaturan!$B$8:$B$27,M$4)="",0,COUNTIF(Data!$B924:$U924,INDEX(Pengaturan!$B$8:$B$27,M$4)))</f>
        <v>0</v>
      </c>
      <c r="N924" s="26" t="n">
        <f aca="false">IF(INDEX(Pengaturan!$B$8:$B$27,N$4)="",0,COUNTIF(Data!$B924:$U924,INDEX(Pengaturan!$B$8:$B$27,N$4)))</f>
        <v>0</v>
      </c>
      <c r="O924" s="26" t="n">
        <f aca="false">IF(INDEX(Pengaturan!$B$8:$B$27,O$4)="",0,COUNTIF(Data!$B924:$U924,INDEX(Pengaturan!$B$8:$B$27,O$4)))</f>
        <v>0</v>
      </c>
      <c r="P924" s="26" t="n">
        <f aca="false">IF(INDEX(Pengaturan!$B$8:$B$27,P$4)="",0,COUNTIF(Data!$B924:$U924,INDEX(Pengaturan!$B$8:$B$27,P$4)))</f>
        <v>0</v>
      </c>
      <c r="Q924" s="26" t="n">
        <f aca="false">IF(INDEX(Pengaturan!$B$8:$B$27,Q$4)="",0,COUNTIF(Data!$B924:$U924,INDEX(Pengaturan!$B$8:$B$27,Q$4)))</f>
        <v>0</v>
      </c>
      <c r="R924" s="26" t="n">
        <f aca="false">IF(INDEX(Pengaturan!$B$8:$B$27,R$4)="",0,COUNTIF(Data!$B924:$U924,INDEX(Pengaturan!$B$8:$B$27,R$4)))</f>
        <v>0</v>
      </c>
      <c r="S924" s="26" t="n">
        <f aca="false">IF(INDEX(Pengaturan!$B$8:$B$27,S$4)="",0,COUNTIF(Data!$B924:$U924,INDEX(Pengaturan!$B$8:$B$27,S$4)))</f>
        <v>0</v>
      </c>
      <c r="T924" s="26" t="n">
        <f aca="false">IF(INDEX(Pengaturan!$B$8:$B$27,T$4)="",0,COUNTIF(Data!$B924:$U924,INDEX(Pengaturan!$B$8:$B$27,T$4)))</f>
        <v>0</v>
      </c>
      <c r="U924" s="26" t="n">
        <f aca="false">IF(INDEX(Pengaturan!$B$8:$B$27,U$4)="",0,COUNTIF(Data!$B924:$U924,INDEX(Pengaturan!$B$8:$B$27,U$4)))</f>
        <v>0</v>
      </c>
      <c r="V924" s="26" t="n">
        <f aca="false">COUNTA(Data!$B924:$U924)</f>
        <v>0</v>
      </c>
      <c r="W924" s="27" t="str">
        <f aca="false">IF(V924=0,"",IF(V924&lt;&gt;Hasil!$C$4,"Data kosong/tidak lengkap",IF(SUM(B924:U924)&lt;&gt;V924,"Kategori tidak dikenal","OK")))</f>
        <v/>
      </c>
      <c r="X924" s="26" t="n">
        <f aca="false">IF(OR(W924="",W924="OK"),0,1)</f>
        <v>0</v>
      </c>
    </row>
    <row r="925" customFormat="false" ht="15" hidden="false" customHeight="false" outlineLevel="0" collapsed="false">
      <c r="A925" s="26" t="n">
        <f aca="false">Data!A925</f>
        <v>920</v>
      </c>
      <c r="B925" s="26" t="n">
        <f aca="false">IF(INDEX(Pengaturan!$B$8:$B$27,B$4)="",0,COUNTIF(Data!$B925:$U925,INDEX(Pengaturan!$B$8:$B$27,B$4)))</f>
        <v>0</v>
      </c>
      <c r="C925" s="26" t="n">
        <f aca="false">IF(INDEX(Pengaturan!$B$8:$B$27,C$4)="",0,COUNTIF(Data!$B925:$U925,INDEX(Pengaturan!$B$8:$B$27,C$4)))</f>
        <v>0</v>
      </c>
      <c r="D925" s="26" t="n">
        <f aca="false">IF(INDEX(Pengaturan!$B$8:$B$27,D$4)="",0,COUNTIF(Data!$B925:$U925,INDEX(Pengaturan!$B$8:$B$27,D$4)))</f>
        <v>0</v>
      </c>
      <c r="E925" s="26" t="n">
        <f aca="false">IF(INDEX(Pengaturan!$B$8:$B$27,E$4)="",0,COUNTIF(Data!$B925:$U925,INDEX(Pengaturan!$B$8:$B$27,E$4)))</f>
        <v>0</v>
      </c>
      <c r="F925" s="26" t="n">
        <f aca="false">IF(INDEX(Pengaturan!$B$8:$B$27,F$4)="",0,COUNTIF(Data!$B925:$U925,INDEX(Pengaturan!$B$8:$B$27,F$4)))</f>
        <v>0</v>
      </c>
      <c r="G925" s="26" t="n">
        <f aca="false">IF(INDEX(Pengaturan!$B$8:$B$27,G$4)="",0,COUNTIF(Data!$B925:$U925,INDEX(Pengaturan!$B$8:$B$27,G$4)))</f>
        <v>0</v>
      </c>
      <c r="H925" s="26" t="n">
        <f aca="false">IF(INDEX(Pengaturan!$B$8:$B$27,H$4)="",0,COUNTIF(Data!$B925:$U925,INDEX(Pengaturan!$B$8:$B$27,H$4)))</f>
        <v>0</v>
      </c>
      <c r="I925" s="26" t="n">
        <f aca="false">IF(INDEX(Pengaturan!$B$8:$B$27,I$4)="",0,COUNTIF(Data!$B925:$U925,INDEX(Pengaturan!$B$8:$B$27,I$4)))</f>
        <v>0</v>
      </c>
      <c r="J925" s="26" t="n">
        <f aca="false">IF(INDEX(Pengaturan!$B$8:$B$27,J$4)="",0,COUNTIF(Data!$B925:$U925,INDEX(Pengaturan!$B$8:$B$27,J$4)))</f>
        <v>0</v>
      </c>
      <c r="K925" s="26" t="n">
        <f aca="false">IF(INDEX(Pengaturan!$B$8:$B$27,K$4)="",0,COUNTIF(Data!$B925:$U925,INDEX(Pengaturan!$B$8:$B$27,K$4)))</f>
        <v>0</v>
      </c>
      <c r="L925" s="26" t="n">
        <f aca="false">IF(INDEX(Pengaturan!$B$8:$B$27,L$4)="",0,COUNTIF(Data!$B925:$U925,INDEX(Pengaturan!$B$8:$B$27,L$4)))</f>
        <v>0</v>
      </c>
      <c r="M925" s="26" t="n">
        <f aca="false">IF(INDEX(Pengaturan!$B$8:$B$27,M$4)="",0,COUNTIF(Data!$B925:$U925,INDEX(Pengaturan!$B$8:$B$27,M$4)))</f>
        <v>0</v>
      </c>
      <c r="N925" s="26" t="n">
        <f aca="false">IF(INDEX(Pengaturan!$B$8:$B$27,N$4)="",0,COUNTIF(Data!$B925:$U925,INDEX(Pengaturan!$B$8:$B$27,N$4)))</f>
        <v>0</v>
      </c>
      <c r="O925" s="26" t="n">
        <f aca="false">IF(INDEX(Pengaturan!$B$8:$B$27,O$4)="",0,COUNTIF(Data!$B925:$U925,INDEX(Pengaturan!$B$8:$B$27,O$4)))</f>
        <v>0</v>
      </c>
      <c r="P925" s="26" t="n">
        <f aca="false">IF(INDEX(Pengaturan!$B$8:$B$27,P$4)="",0,COUNTIF(Data!$B925:$U925,INDEX(Pengaturan!$B$8:$B$27,P$4)))</f>
        <v>0</v>
      </c>
      <c r="Q925" s="26" t="n">
        <f aca="false">IF(INDEX(Pengaturan!$B$8:$B$27,Q$4)="",0,COUNTIF(Data!$B925:$U925,INDEX(Pengaturan!$B$8:$B$27,Q$4)))</f>
        <v>0</v>
      </c>
      <c r="R925" s="26" t="n">
        <f aca="false">IF(INDEX(Pengaturan!$B$8:$B$27,R$4)="",0,COUNTIF(Data!$B925:$U925,INDEX(Pengaturan!$B$8:$B$27,R$4)))</f>
        <v>0</v>
      </c>
      <c r="S925" s="26" t="n">
        <f aca="false">IF(INDEX(Pengaturan!$B$8:$B$27,S$4)="",0,COUNTIF(Data!$B925:$U925,INDEX(Pengaturan!$B$8:$B$27,S$4)))</f>
        <v>0</v>
      </c>
      <c r="T925" s="26" t="n">
        <f aca="false">IF(INDEX(Pengaturan!$B$8:$B$27,T$4)="",0,COUNTIF(Data!$B925:$U925,INDEX(Pengaturan!$B$8:$B$27,T$4)))</f>
        <v>0</v>
      </c>
      <c r="U925" s="26" t="n">
        <f aca="false">IF(INDEX(Pengaturan!$B$8:$B$27,U$4)="",0,COUNTIF(Data!$B925:$U925,INDEX(Pengaturan!$B$8:$B$27,U$4)))</f>
        <v>0</v>
      </c>
      <c r="V925" s="26" t="n">
        <f aca="false">COUNTA(Data!$B925:$U925)</f>
        <v>0</v>
      </c>
      <c r="W925" s="27" t="str">
        <f aca="false">IF(V925=0,"",IF(V925&lt;&gt;Hasil!$C$4,"Data kosong/tidak lengkap",IF(SUM(B925:U925)&lt;&gt;V925,"Kategori tidak dikenal","OK")))</f>
        <v/>
      </c>
      <c r="X925" s="26" t="n">
        <f aca="false">IF(OR(W925="",W925="OK"),0,1)</f>
        <v>0</v>
      </c>
    </row>
    <row r="926" customFormat="false" ht="15" hidden="false" customHeight="false" outlineLevel="0" collapsed="false">
      <c r="A926" s="26" t="n">
        <f aca="false">Data!A926</f>
        <v>921</v>
      </c>
      <c r="B926" s="26" t="n">
        <f aca="false">IF(INDEX(Pengaturan!$B$8:$B$27,B$4)="",0,COUNTIF(Data!$B926:$U926,INDEX(Pengaturan!$B$8:$B$27,B$4)))</f>
        <v>0</v>
      </c>
      <c r="C926" s="26" t="n">
        <f aca="false">IF(INDEX(Pengaturan!$B$8:$B$27,C$4)="",0,COUNTIF(Data!$B926:$U926,INDEX(Pengaturan!$B$8:$B$27,C$4)))</f>
        <v>0</v>
      </c>
      <c r="D926" s="26" t="n">
        <f aca="false">IF(INDEX(Pengaturan!$B$8:$B$27,D$4)="",0,COUNTIF(Data!$B926:$U926,INDEX(Pengaturan!$B$8:$B$27,D$4)))</f>
        <v>0</v>
      </c>
      <c r="E926" s="26" t="n">
        <f aca="false">IF(INDEX(Pengaturan!$B$8:$B$27,E$4)="",0,COUNTIF(Data!$B926:$U926,INDEX(Pengaturan!$B$8:$B$27,E$4)))</f>
        <v>0</v>
      </c>
      <c r="F926" s="26" t="n">
        <f aca="false">IF(INDEX(Pengaturan!$B$8:$B$27,F$4)="",0,COUNTIF(Data!$B926:$U926,INDEX(Pengaturan!$B$8:$B$27,F$4)))</f>
        <v>0</v>
      </c>
      <c r="G926" s="26" t="n">
        <f aca="false">IF(INDEX(Pengaturan!$B$8:$B$27,G$4)="",0,COUNTIF(Data!$B926:$U926,INDEX(Pengaturan!$B$8:$B$27,G$4)))</f>
        <v>0</v>
      </c>
      <c r="H926" s="26" t="n">
        <f aca="false">IF(INDEX(Pengaturan!$B$8:$B$27,H$4)="",0,COUNTIF(Data!$B926:$U926,INDEX(Pengaturan!$B$8:$B$27,H$4)))</f>
        <v>0</v>
      </c>
      <c r="I926" s="26" t="n">
        <f aca="false">IF(INDEX(Pengaturan!$B$8:$B$27,I$4)="",0,COUNTIF(Data!$B926:$U926,INDEX(Pengaturan!$B$8:$B$27,I$4)))</f>
        <v>0</v>
      </c>
      <c r="J926" s="26" t="n">
        <f aca="false">IF(INDEX(Pengaturan!$B$8:$B$27,J$4)="",0,COUNTIF(Data!$B926:$U926,INDEX(Pengaturan!$B$8:$B$27,J$4)))</f>
        <v>0</v>
      </c>
      <c r="K926" s="26" t="n">
        <f aca="false">IF(INDEX(Pengaturan!$B$8:$B$27,K$4)="",0,COUNTIF(Data!$B926:$U926,INDEX(Pengaturan!$B$8:$B$27,K$4)))</f>
        <v>0</v>
      </c>
      <c r="L926" s="26" t="n">
        <f aca="false">IF(INDEX(Pengaturan!$B$8:$B$27,L$4)="",0,COUNTIF(Data!$B926:$U926,INDEX(Pengaturan!$B$8:$B$27,L$4)))</f>
        <v>0</v>
      </c>
      <c r="M926" s="26" t="n">
        <f aca="false">IF(INDEX(Pengaturan!$B$8:$B$27,M$4)="",0,COUNTIF(Data!$B926:$U926,INDEX(Pengaturan!$B$8:$B$27,M$4)))</f>
        <v>0</v>
      </c>
      <c r="N926" s="26" t="n">
        <f aca="false">IF(INDEX(Pengaturan!$B$8:$B$27,N$4)="",0,COUNTIF(Data!$B926:$U926,INDEX(Pengaturan!$B$8:$B$27,N$4)))</f>
        <v>0</v>
      </c>
      <c r="O926" s="26" t="n">
        <f aca="false">IF(INDEX(Pengaturan!$B$8:$B$27,O$4)="",0,COUNTIF(Data!$B926:$U926,INDEX(Pengaturan!$B$8:$B$27,O$4)))</f>
        <v>0</v>
      </c>
      <c r="P926" s="26" t="n">
        <f aca="false">IF(INDEX(Pengaturan!$B$8:$B$27,P$4)="",0,COUNTIF(Data!$B926:$U926,INDEX(Pengaturan!$B$8:$B$27,P$4)))</f>
        <v>0</v>
      </c>
      <c r="Q926" s="26" t="n">
        <f aca="false">IF(INDEX(Pengaturan!$B$8:$B$27,Q$4)="",0,COUNTIF(Data!$B926:$U926,INDEX(Pengaturan!$B$8:$B$27,Q$4)))</f>
        <v>0</v>
      </c>
      <c r="R926" s="26" t="n">
        <f aca="false">IF(INDEX(Pengaturan!$B$8:$B$27,R$4)="",0,COUNTIF(Data!$B926:$U926,INDEX(Pengaturan!$B$8:$B$27,R$4)))</f>
        <v>0</v>
      </c>
      <c r="S926" s="26" t="n">
        <f aca="false">IF(INDEX(Pengaturan!$B$8:$B$27,S$4)="",0,COUNTIF(Data!$B926:$U926,INDEX(Pengaturan!$B$8:$B$27,S$4)))</f>
        <v>0</v>
      </c>
      <c r="T926" s="26" t="n">
        <f aca="false">IF(INDEX(Pengaturan!$B$8:$B$27,T$4)="",0,COUNTIF(Data!$B926:$U926,INDEX(Pengaturan!$B$8:$B$27,T$4)))</f>
        <v>0</v>
      </c>
      <c r="U926" s="26" t="n">
        <f aca="false">IF(INDEX(Pengaturan!$B$8:$B$27,U$4)="",0,COUNTIF(Data!$B926:$U926,INDEX(Pengaturan!$B$8:$B$27,U$4)))</f>
        <v>0</v>
      </c>
      <c r="V926" s="26" t="n">
        <f aca="false">COUNTA(Data!$B926:$U926)</f>
        <v>0</v>
      </c>
      <c r="W926" s="27" t="str">
        <f aca="false">IF(V926=0,"",IF(V926&lt;&gt;Hasil!$C$4,"Data kosong/tidak lengkap",IF(SUM(B926:U926)&lt;&gt;V926,"Kategori tidak dikenal","OK")))</f>
        <v/>
      </c>
      <c r="X926" s="26" t="n">
        <f aca="false">IF(OR(W926="",W926="OK"),0,1)</f>
        <v>0</v>
      </c>
    </row>
    <row r="927" customFormat="false" ht="15" hidden="false" customHeight="false" outlineLevel="0" collapsed="false">
      <c r="A927" s="26" t="n">
        <f aca="false">Data!A927</f>
        <v>922</v>
      </c>
      <c r="B927" s="26" t="n">
        <f aca="false">IF(INDEX(Pengaturan!$B$8:$B$27,B$4)="",0,COUNTIF(Data!$B927:$U927,INDEX(Pengaturan!$B$8:$B$27,B$4)))</f>
        <v>0</v>
      </c>
      <c r="C927" s="26" t="n">
        <f aca="false">IF(INDEX(Pengaturan!$B$8:$B$27,C$4)="",0,COUNTIF(Data!$B927:$U927,INDEX(Pengaturan!$B$8:$B$27,C$4)))</f>
        <v>0</v>
      </c>
      <c r="D927" s="26" t="n">
        <f aca="false">IF(INDEX(Pengaturan!$B$8:$B$27,D$4)="",0,COUNTIF(Data!$B927:$U927,INDEX(Pengaturan!$B$8:$B$27,D$4)))</f>
        <v>0</v>
      </c>
      <c r="E927" s="26" t="n">
        <f aca="false">IF(INDEX(Pengaturan!$B$8:$B$27,E$4)="",0,COUNTIF(Data!$B927:$U927,INDEX(Pengaturan!$B$8:$B$27,E$4)))</f>
        <v>0</v>
      </c>
      <c r="F927" s="26" t="n">
        <f aca="false">IF(INDEX(Pengaturan!$B$8:$B$27,F$4)="",0,COUNTIF(Data!$B927:$U927,INDEX(Pengaturan!$B$8:$B$27,F$4)))</f>
        <v>0</v>
      </c>
      <c r="G927" s="26" t="n">
        <f aca="false">IF(INDEX(Pengaturan!$B$8:$B$27,G$4)="",0,COUNTIF(Data!$B927:$U927,INDEX(Pengaturan!$B$8:$B$27,G$4)))</f>
        <v>0</v>
      </c>
      <c r="H927" s="26" t="n">
        <f aca="false">IF(INDEX(Pengaturan!$B$8:$B$27,H$4)="",0,COUNTIF(Data!$B927:$U927,INDEX(Pengaturan!$B$8:$B$27,H$4)))</f>
        <v>0</v>
      </c>
      <c r="I927" s="26" t="n">
        <f aca="false">IF(INDEX(Pengaturan!$B$8:$B$27,I$4)="",0,COUNTIF(Data!$B927:$U927,INDEX(Pengaturan!$B$8:$B$27,I$4)))</f>
        <v>0</v>
      </c>
      <c r="J927" s="26" t="n">
        <f aca="false">IF(INDEX(Pengaturan!$B$8:$B$27,J$4)="",0,COUNTIF(Data!$B927:$U927,INDEX(Pengaturan!$B$8:$B$27,J$4)))</f>
        <v>0</v>
      </c>
      <c r="K927" s="26" t="n">
        <f aca="false">IF(INDEX(Pengaturan!$B$8:$B$27,K$4)="",0,COUNTIF(Data!$B927:$U927,INDEX(Pengaturan!$B$8:$B$27,K$4)))</f>
        <v>0</v>
      </c>
      <c r="L927" s="26" t="n">
        <f aca="false">IF(INDEX(Pengaturan!$B$8:$B$27,L$4)="",0,COUNTIF(Data!$B927:$U927,INDEX(Pengaturan!$B$8:$B$27,L$4)))</f>
        <v>0</v>
      </c>
      <c r="M927" s="26" t="n">
        <f aca="false">IF(INDEX(Pengaturan!$B$8:$B$27,M$4)="",0,COUNTIF(Data!$B927:$U927,INDEX(Pengaturan!$B$8:$B$27,M$4)))</f>
        <v>0</v>
      </c>
      <c r="N927" s="26" t="n">
        <f aca="false">IF(INDEX(Pengaturan!$B$8:$B$27,N$4)="",0,COUNTIF(Data!$B927:$U927,INDEX(Pengaturan!$B$8:$B$27,N$4)))</f>
        <v>0</v>
      </c>
      <c r="O927" s="26" t="n">
        <f aca="false">IF(INDEX(Pengaturan!$B$8:$B$27,O$4)="",0,COUNTIF(Data!$B927:$U927,INDEX(Pengaturan!$B$8:$B$27,O$4)))</f>
        <v>0</v>
      </c>
      <c r="P927" s="26" t="n">
        <f aca="false">IF(INDEX(Pengaturan!$B$8:$B$27,P$4)="",0,COUNTIF(Data!$B927:$U927,INDEX(Pengaturan!$B$8:$B$27,P$4)))</f>
        <v>0</v>
      </c>
      <c r="Q927" s="26" t="n">
        <f aca="false">IF(INDEX(Pengaturan!$B$8:$B$27,Q$4)="",0,COUNTIF(Data!$B927:$U927,INDEX(Pengaturan!$B$8:$B$27,Q$4)))</f>
        <v>0</v>
      </c>
      <c r="R927" s="26" t="n">
        <f aca="false">IF(INDEX(Pengaturan!$B$8:$B$27,R$4)="",0,COUNTIF(Data!$B927:$U927,INDEX(Pengaturan!$B$8:$B$27,R$4)))</f>
        <v>0</v>
      </c>
      <c r="S927" s="26" t="n">
        <f aca="false">IF(INDEX(Pengaturan!$B$8:$B$27,S$4)="",0,COUNTIF(Data!$B927:$U927,INDEX(Pengaturan!$B$8:$B$27,S$4)))</f>
        <v>0</v>
      </c>
      <c r="T927" s="26" t="n">
        <f aca="false">IF(INDEX(Pengaturan!$B$8:$B$27,T$4)="",0,COUNTIF(Data!$B927:$U927,INDEX(Pengaturan!$B$8:$B$27,T$4)))</f>
        <v>0</v>
      </c>
      <c r="U927" s="26" t="n">
        <f aca="false">IF(INDEX(Pengaturan!$B$8:$B$27,U$4)="",0,COUNTIF(Data!$B927:$U927,INDEX(Pengaturan!$B$8:$B$27,U$4)))</f>
        <v>0</v>
      </c>
      <c r="V927" s="26" t="n">
        <f aca="false">COUNTA(Data!$B927:$U927)</f>
        <v>0</v>
      </c>
      <c r="W927" s="27" t="str">
        <f aca="false">IF(V927=0,"",IF(V927&lt;&gt;Hasil!$C$4,"Data kosong/tidak lengkap",IF(SUM(B927:U927)&lt;&gt;V927,"Kategori tidak dikenal","OK")))</f>
        <v/>
      </c>
      <c r="X927" s="26" t="n">
        <f aca="false">IF(OR(W927="",W927="OK"),0,1)</f>
        <v>0</v>
      </c>
    </row>
    <row r="928" customFormat="false" ht="15" hidden="false" customHeight="false" outlineLevel="0" collapsed="false">
      <c r="A928" s="26" t="n">
        <f aca="false">Data!A928</f>
        <v>923</v>
      </c>
      <c r="B928" s="26" t="n">
        <f aca="false">IF(INDEX(Pengaturan!$B$8:$B$27,B$4)="",0,COUNTIF(Data!$B928:$U928,INDEX(Pengaturan!$B$8:$B$27,B$4)))</f>
        <v>0</v>
      </c>
      <c r="C928" s="26" t="n">
        <f aca="false">IF(INDEX(Pengaturan!$B$8:$B$27,C$4)="",0,COUNTIF(Data!$B928:$U928,INDEX(Pengaturan!$B$8:$B$27,C$4)))</f>
        <v>0</v>
      </c>
      <c r="D928" s="26" t="n">
        <f aca="false">IF(INDEX(Pengaturan!$B$8:$B$27,D$4)="",0,COUNTIF(Data!$B928:$U928,INDEX(Pengaturan!$B$8:$B$27,D$4)))</f>
        <v>0</v>
      </c>
      <c r="E928" s="26" t="n">
        <f aca="false">IF(INDEX(Pengaturan!$B$8:$B$27,E$4)="",0,COUNTIF(Data!$B928:$U928,INDEX(Pengaturan!$B$8:$B$27,E$4)))</f>
        <v>0</v>
      </c>
      <c r="F928" s="26" t="n">
        <f aca="false">IF(INDEX(Pengaturan!$B$8:$B$27,F$4)="",0,COUNTIF(Data!$B928:$U928,INDEX(Pengaturan!$B$8:$B$27,F$4)))</f>
        <v>0</v>
      </c>
      <c r="G928" s="26" t="n">
        <f aca="false">IF(INDEX(Pengaturan!$B$8:$B$27,G$4)="",0,COUNTIF(Data!$B928:$U928,INDEX(Pengaturan!$B$8:$B$27,G$4)))</f>
        <v>0</v>
      </c>
      <c r="H928" s="26" t="n">
        <f aca="false">IF(INDEX(Pengaturan!$B$8:$B$27,H$4)="",0,COUNTIF(Data!$B928:$U928,INDEX(Pengaturan!$B$8:$B$27,H$4)))</f>
        <v>0</v>
      </c>
      <c r="I928" s="26" t="n">
        <f aca="false">IF(INDEX(Pengaturan!$B$8:$B$27,I$4)="",0,COUNTIF(Data!$B928:$U928,INDEX(Pengaturan!$B$8:$B$27,I$4)))</f>
        <v>0</v>
      </c>
      <c r="J928" s="26" t="n">
        <f aca="false">IF(INDEX(Pengaturan!$B$8:$B$27,J$4)="",0,COUNTIF(Data!$B928:$U928,INDEX(Pengaturan!$B$8:$B$27,J$4)))</f>
        <v>0</v>
      </c>
      <c r="K928" s="26" t="n">
        <f aca="false">IF(INDEX(Pengaturan!$B$8:$B$27,K$4)="",0,COUNTIF(Data!$B928:$U928,INDEX(Pengaturan!$B$8:$B$27,K$4)))</f>
        <v>0</v>
      </c>
      <c r="L928" s="26" t="n">
        <f aca="false">IF(INDEX(Pengaturan!$B$8:$B$27,L$4)="",0,COUNTIF(Data!$B928:$U928,INDEX(Pengaturan!$B$8:$B$27,L$4)))</f>
        <v>0</v>
      </c>
      <c r="M928" s="26" t="n">
        <f aca="false">IF(INDEX(Pengaturan!$B$8:$B$27,M$4)="",0,COUNTIF(Data!$B928:$U928,INDEX(Pengaturan!$B$8:$B$27,M$4)))</f>
        <v>0</v>
      </c>
      <c r="N928" s="26" t="n">
        <f aca="false">IF(INDEX(Pengaturan!$B$8:$B$27,N$4)="",0,COUNTIF(Data!$B928:$U928,INDEX(Pengaturan!$B$8:$B$27,N$4)))</f>
        <v>0</v>
      </c>
      <c r="O928" s="26" t="n">
        <f aca="false">IF(INDEX(Pengaturan!$B$8:$B$27,O$4)="",0,COUNTIF(Data!$B928:$U928,INDEX(Pengaturan!$B$8:$B$27,O$4)))</f>
        <v>0</v>
      </c>
      <c r="P928" s="26" t="n">
        <f aca="false">IF(INDEX(Pengaturan!$B$8:$B$27,P$4)="",0,COUNTIF(Data!$B928:$U928,INDEX(Pengaturan!$B$8:$B$27,P$4)))</f>
        <v>0</v>
      </c>
      <c r="Q928" s="26" t="n">
        <f aca="false">IF(INDEX(Pengaturan!$B$8:$B$27,Q$4)="",0,COUNTIF(Data!$B928:$U928,INDEX(Pengaturan!$B$8:$B$27,Q$4)))</f>
        <v>0</v>
      </c>
      <c r="R928" s="26" t="n">
        <f aca="false">IF(INDEX(Pengaturan!$B$8:$B$27,R$4)="",0,COUNTIF(Data!$B928:$U928,INDEX(Pengaturan!$B$8:$B$27,R$4)))</f>
        <v>0</v>
      </c>
      <c r="S928" s="26" t="n">
        <f aca="false">IF(INDEX(Pengaturan!$B$8:$B$27,S$4)="",0,COUNTIF(Data!$B928:$U928,INDEX(Pengaturan!$B$8:$B$27,S$4)))</f>
        <v>0</v>
      </c>
      <c r="T928" s="26" t="n">
        <f aca="false">IF(INDEX(Pengaturan!$B$8:$B$27,T$4)="",0,COUNTIF(Data!$B928:$U928,INDEX(Pengaturan!$B$8:$B$27,T$4)))</f>
        <v>0</v>
      </c>
      <c r="U928" s="26" t="n">
        <f aca="false">IF(INDEX(Pengaturan!$B$8:$B$27,U$4)="",0,COUNTIF(Data!$B928:$U928,INDEX(Pengaturan!$B$8:$B$27,U$4)))</f>
        <v>0</v>
      </c>
      <c r="V928" s="26" t="n">
        <f aca="false">COUNTA(Data!$B928:$U928)</f>
        <v>0</v>
      </c>
      <c r="W928" s="27" t="str">
        <f aca="false">IF(V928=0,"",IF(V928&lt;&gt;Hasil!$C$4,"Data kosong/tidak lengkap",IF(SUM(B928:U928)&lt;&gt;V928,"Kategori tidak dikenal","OK")))</f>
        <v/>
      </c>
      <c r="X928" s="26" t="n">
        <f aca="false">IF(OR(W928="",W928="OK"),0,1)</f>
        <v>0</v>
      </c>
    </row>
    <row r="929" customFormat="false" ht="15" hidden="false" customHeight="false" outlineLevel="0" collapsed="false">
      <c r="A929" s="26" t="n">
        <f aca="false">Data!A929</f>
        <v>924</v>
      </c>
      <c r="B929" s="26" t="n">
        <f aca="false">IF(INDEX(Pengaturan!$B$8:$B$27,B$4)="",0,COUNTIF(Data!$B929:$U929,INDEX(Pengaturan!$B$8:$B$27,B$4)))</f>
        <v>0</v>
      </c>
      <c r="C929" s="26" t="n">
        <f aca="false">IF(INDEX(Pengaturan!$B$8:$B$27,C$4)="",0,COUNTIF(Data!$B929:$U929,INDEX(Pengaturan!$B$8:$B$27,C$4)))</f>
        <v>0</v>
      </c>
      <c r="D929" s="26" t="n">
        <f aca="false">IF(INDEX(Pengaturan!$B$8:$B$27,D$4)="",0,COUNTIF(Data!$B929:$U929,INDEX(Pengaturan!$B$8:$B$27,D$4)))</f>
        <v>0</v>
      </c>
      <c r="E929" s="26" t="n">
        <f aca="false">IF(INDEX(Pengaturan!$B$8:$B$27,E$4)="",0,COUNTIF(Data!$B929:$U929,INDEX(Pengaturan!$B$8:$B$27,E$4)))</f>
        <v>0</v>
      </c>
      <c r="F929" s="26" t="n">
        <f aca="false">IF(INDEX(Pengaturan!$B$8:$B$27,F$4)="",0,COUNTIF(Data!$B929:$U929,INDEX(Pengaturan!$B$8:$B$27,F$4)))</f>
        <v>0</v>
      </c>
      <c r="G929" s="26" t="n">
        <f aca="false">IF(INDEX(Pengaturan!$B$8:$B$27,G$4)="",0,COUNTIF(Data!$B929:$U929,INDEX(Pengaturan!$B$8:$B$27,G$4)))</f>
        <v>0</v>
      </c>
      <c r="H929" s="26" t="n">
        <f aca="false">IF(INDEX(Pengaturan!$B$8:$B$27,H$4)="",0,COUNTIF(Data!$B929:$U929,INDEX(Pengaturan!$B$8:$B$27,H$4)))</f>
        <v>0</v>
      </c>
      <c r="I929" s="26" t="n">
        <f aca="false">IF(INDEX(Pengaturan!$B$8:$B$27,I$4)="",0,COUNTIF(Data!$B929:$U929,INDEX(Pengaturan!$B$8:$B$27,I$4)))</f>
        <v>0</v>
      </c>
      <c r="J929" s="26" t="n">
        <f aca="false">IF(INDEX(Pengaturan!$B$8:$B$27,J$4)="",0,COUNTIF(Data!$B929:$U929,INDEX(Pengaturan!$B$8:$B$27,J$4)))</f>
        <v>0</v>
      </c>
      <c r="K929" s="26" t="n">
        <f aca="false">IF(INDEX(Pengaturan!$B$8:$B$27,K$4)="",0,COUNTIF(Data!$B929:$U929,INDEX(Pengaturan!$B$8:$B$27,K$4)))</f>
        <v>0</v>
      </c>
      <c r="L929" s="26" t="n">
        <f aca="false">IF(INDEX(Pengaturan!$B$8:$B$27,L$4)="",0,COUNTIF(Data!$B929:$U929,INDEX(Pengaturan!$B$8:$B$27,L$4)))</f>
        <v>0</v>
      </c>
      <c r="M929" s="26" t="n">
        <f aca="false">IF(INDEX(Pengaturan!$B$8:$B$27,M$4)="",0,COUNTIF(Data!$B929:$U929,INDEX(Pengaturan!$B$8:$B$27,M$4)))</f>
        <v>0</v>
      </c>
      <c r="N929" s="26" t="n">
        <f aca="false">IF(INDEX(Pengaturan!$B$8:$B$27,N$4)="",0,COUNTIF(Data!$B929:$U929,INDEX(Pengaturan!$B$8:$B$27,N$4)))</f>
        <v>0</v>
      </c>
      <c r="O929" s="26" t="n">
        <f aca="false">IF(INDEX(Pengaturan!$B$8:$B$27,O$4)="",0,COUNTIF(Data!$B929:$U929,INDEX(Pengaturan!$B$8:$B$27,O$4)))</f>
        <v>0</v>
      </c>
      <c r="P929" s="26" t="n">
        <f aca="false">IF(INDEX(Pengaturan!$B$8:$B$27,P$4)="",0,COUNTIF(Data!$B929:$U929,INDEX(Pengaturan!$B$8:$B$27,P$4)))</f>
        <v>0</v>
      </c>
      <c r="Q929" s="26" t="n">
        <f aca="false">IF(INDEX(Pengaturan!$B$8:$B$27,Q$4)="",0,COUNTIF(Data!$B929:$U929,INDEX(Pengaturan!$B$8:$B$27,Q$4)))</f>
        <v>0</v>
      </c>
      <c r="R929" s="26" t="n">
        <f aca="false">IF(INDEX(Pengaturan!$B$8:$B$27,R$4)="",0,COUNTIF(Data!$B929:$U929,INDEX(Pengaturan!$B$8:$B$27,R$4)))</f>
        <v>0</v>
      </c>
      <c r="S929" s="26" t="n">
        <f aca="false">IF(INDEX(Pengaturan!$B$8:$B$27,S$4)="",0,COUNTIF(Data!$B929:$U929,INDEX(Pengaturan!$B$8:$B$27,S$4)))</f>
        <v>0</v>
      </c>
      <c r="T929" s="26" t="n">
        <f aca="false">IF(INDEX(Pengaturan!$B$8:$B$27,T$4)="",0,COUNTIF(Data!$B929:$U929,INDEX(Pengaturan!$B$8:$B$27,T$4)))</f>
        <v>0</v>
      </c>
      <c r="U929" s="26" t="n">
        <f aca="false">IF(INDEX(Pengaturan!$B$8:$B$27,U$4)="",0,COUNTIF(Data!$B929:$U929,INDEX(Pengaturan!$B$8:$B$27,U$4)))</f>
        <v>0</v>
      </c>
      <c r="V929" s="26" t="n">
        <f aca="false">COUNTA(Data!$B929:$U929)</f>
        <v>0</v>
      </c>
      <c r="W929" s="27" t="str">
        <f aca="false">IF(V929=0,"",IF(V929&lt;&gt;Hasil!$C$4,"Data kosong/tidak lengkap",IF(SUM(B929:U929)&lt;&gt;V929,"Kategori tidak dikenal","OK")))</f>
        <v/>
      </c>
      <c r="X929" s="26" t="n">
        <f aca="false">IF(OR(W929="",W929="OK"),0,1)</f>
        <v>0</v>
      </c>
    </row>
    <row r="930" customFormat="false" ht="15" hidden="false" customHeight="false" outlineLevel="0" collapsed="false">
      <c r="A930" s="26" t="n">
        <f aca="false">Data!A930</f>
        <v>925</v>
      </c>
      <c r="B930" s="26" t="n">
        <f aca="false">IF(INDEX(Pengaturan!$B$8:$B$27,B$4)="",0,COUNTIF(Data!$B930:$U930,INDEX(Pengaturan!$B$8:$B$27,B$4)))</f>
        <v>0</v>
      </c>
      <c r="C930" s="26" t="n">
        <f aca="false">IF(INDEX(Pengaturan!$B$8:$B$27,C$4)="",0,COUNTIF(Data!$B930:$U930,INDEX(Pengaturan!$B$8:$B$27,C$4)))</f>
        <v>0</v>
      </c>
      <c r="D930" s="26" t="n">
        <f aca="false">IF(INDEX(Pengaturan!$B$8:$B$27,D$4)="",0,COUNTIF(Data!$B930:$U930,INDEX(Pengaturan!$B$8:$B$27,D$4)))</f>
        <v>0</v>
      </c>
      <c r="E930" s="26" t="n">
        <f aca="false">IF(INDEX(Pengaturan!$B$8:$B$27,E$4)="",0,COUNTIF(Data!$B930:$U930,INDEX(Pengaturan!$B$8:$B$27,E$4)))</f>
        <v>0</v>
      </c>
      <c r="F930" s="26" t="n">
        <f aca="false">IF(INDEX(Pengaturan!$B$8:$B$27,F$4)="",0,COUNTIF(Data!$B930:$U930,INDEX(Pengaturan!$B$8:$B$27,F$4)))</f>
        <v>0</v>
      </c>
      <c r="G930" s="26" t="n">
        <f aca="false">IF(INDEX(Pengaturan!$B$8:$B$27,G$4)="",0,COUNTIF(Data!$B930:$U930,INDEX(Pengaturan!$B$8:$B$27,G$4)))</f>
        <v>0</v>
      </c>
      <c r="H930" s="26" t="n">
        <f aca="false">IF(INDEX(Pengaturan!$B$8:$B$27,H$4)="",0,COUNTIF(Data!$B930:$U930,INDEX(Pengaturan!$B$8:$B$27,H$4)))</f>
        <v>0</v>
      </c>
      <c r="I930" s="26" t="n">
        <f aca="false">IF(INDEX(Pengaturan!$B$8:$B$27,I$4)="",0,COUNTIF(Data!$B930:$U930,INDEX(Pengaturan!$B$8:$B$27,I$4)))</f>
        <v>0</v>
      </c>
      <c r="J930" s="26" t="n">
        <f aca="false">IF(INDEX(Pengaturan!$B$8:$B$27,J$4)="",0,COUNTIF(Data!$B930:$U930,INDEX(Pengaturan!$B$8:$B$27,J$4)))</f>
        <v>0</v>
      </c>
      <c r="K930" s="26" t="n">
        <f aca="false">IF(INDEX(Pengaturan!$B$8:$B$27,K$4)="",0,COUNTIF(Data!$B930:$U930,INDEX(Pengaturan!$B$8:$B$27,K$4)))</f>
        <v>0</v>
      </c>
      <c r="L930" s="26" t="n">
        <f aca="false">IF(INDEX(Pengaturan!$B$8:$B$27,L$4)="",0,COUNTIF(Data!$B930:$U930,INDEX(Pengaturan!$B$8:$B$27,L$4)))</f>
        <v>0</v>
      </c>
      <c r="M930" s="26" t="n">
        <f aca="false">IF(INDEX(Pengaturan!$B$8:$B$27,M$4)="",0,COUNTIF(Data!$B930:$U930,INDEX(Pengaturan!$B$8:$B$27,M$4)))</f>
        <v>0</v>
      </c>
      <c r="N930" s="26" t="n">
        <f aca="false">IF(INDEX(Pengaturan!$B$8:$B$27,N$4)="",0,COUNTIF(Data!$B930:$U930,INDEX(Pengaturan!$B$8:$B$27,N$4)))</f>
        <v>0</v>
      </c>
      <c r="O930" s="26" t="n">
        <f aca="false">IF(INDEX(Pengaturan!$B$8:$B$27,O$4)="",0,COUNTIF(Data!$B930:$U930,INDEX(Pengaturan!$B$8:$B$27,O$4)))</f>
        <v>0</v>
      </c>
      <c r="P930" s="26" t="n">
        <f aca="false">IF(INDEX(Pengaturan!$B$8:$B$27,P$4)="",0,COUNTIF(Data!$B930:$U930,INDEX(Pengaturan!$B$8:$B$27,P$4)))</f>
        <v>0</v>
      </c>
      <c r="Q930" s="26" t="n">
        <f aca="false">IF(INDEX(Pengaturan!$B$8:$B$27,Q$4)="",0,COUNTIF(Data!$B930:$U930,INDEX(Pengaturan!$B$8:$B$27,Q$4)))</f>
        <v>0</v>
      </c>
      <c r="R930" s="26" t="n">
        <f aca="false">IF(INDEX(Pengaturan!$B$8:$B$27,R$4)="",0,COUNTIF(Data!$B930:$U930,INDEX(Pengaturan!$B$8:$B$27,R$4)))</f>
        <v>0</v>
      </c>
      <c r="S930" s="26" t="n">
        <f aca="false">IF(INDEX(Pengaturan!$B$8:$B$27,S$4)="",0,COUNTIF(Data!$B930:$U930,INDEX(Pengaturan!$B$8:$B$27,S$4)))</f>
        <v>0</v>
      </c>
      <c r="T930" s="26" t="n">
        <f aca="false">IF(INDEX(Pengaturan!$B$8:$B$27,T$4)="",0,COUNTIF(Data!$B930:$U930,INDEX(Pengaturan!$B$8:$B$27,T$4)))</f>
        <v>0</v>
      </c>
      <c r="U930" s="26" t="n">
        <f aca="false">IF(INDEX(Pengaturan!$B$8:$B$27,U$4)="",0,COUNTIF(Data!$B930:$U930,INDEX(Pengaturan!$B$8:$B$27,U$4)))</f>
        <v>0</v>
      </c>
      <c r="V930" s="26" t="n">
        <f aca="false">COUNTA(Data!$B930:$U930)</f>
        <v>0</v>
      </c>
      <c r="W930" s="27" t="str">
        <f aca="false">IF(V930=0,"",IF(V930&lt;&gt;Hasil!$C$4,"Data kosong/tidak lengkap",IF(SUM(B930:U930)&lt;&gt;V930,"Kategori tidak dikenal","OK")))</f>
        <v/>
      </c>
      <c r="X930" s="26" t="n">
        <f aca="false">IF(OR(W930="",W930="OK"),0,1)</f>
        <v>0</v>
      </c>
    </row>
    <row r="931" customFormat="false" ht="15" hidden="false" customHeight="false" outlineLevel="0" collapsed="false">
      <c r="A931" s="26" t="n">
        <f aca="false">Data!A931</f>
        <v>926</v>
      </c>
      <c r="B931" s="26" t="n">
        <f aca="false">IF(INDEX(Pengaturan!$B$8:$B$27,B$4)="",0,COUNTIF(Data!$B931:$U931,INDEX(Pengaturan!$B$8:$B$27,B$4)))</f>
        <v>0</v>
      </c>
      <c r="C931" s="26" t="n">
        <f aca="false">IF(INDEX(Pengaturan!$B$8:$B$27,C$4)="",0,COUNTIF(Data!$B931:$U931,INDEX(Pengaturan!$B$8:$B$27,C$4)))</f>
        <v>0</v>
      </c>
      <c r="D931" s="26" t="n">
        <f aca="false">IF(INDEX(Pengaturan!$B$8:$B$27,D$4)="",0,COUNTIF(Data!$B931:$U931,INDEX(Pengaturan!$B$8:$B$27,D$4)))</f>
        <v>0</v>
      </c>
      <c r="E931" s="26" t="n">
        <f aca="false">IF(INDEX(Pengaturan!$B$8:$B$27,E$4)="",0,COUNTIF(Data!$B931:$U931,INDEX(Pengaturan!$B$8:$B$27,E$4)))</f>
        <v>0</v>
      </c>
      <c r="F931" s="26" t="n">
        <f aca="false">IF(INDEX(Pengaturan!$B$8:$B$27,F$4)="",0,COUNTIF(Data!$B931:$U931,INDEX(Pengaturan!$B$8:$B$27,F$4)))</f>
        <v>0</v>
      </c>
      <c r="G931" s="26" t="n">
        <f aca="false">IF(INDEX(Pengaturan!$B$8:$B$27,G$4)="",0,COUNTIF(Data!$B931:$U931,INDEX(Pengaturan!$B$8:$B$27,G$4)))</f>
        <v>0</v>
      </c>
      <c r="H931" s="26" t="n">
        <f aca="false">IF(INDEX(Pengaturan!$B$8:$B$27,H$4)="",0,COUNTIF(Data!$B931:$U931,INDEX(Pengaturan!$B$8:$B$27,H$4)))</f>
        <v>0</v>
      </c>
      <c r="I931" s="26" t="n">
        <f aca="false">IF(INDEX(Pengaturan!$B$8:$B$27,I$4)="",0,COUNTIF(Data!$B931:$U931,INDEX(Pengaturan!$B$8:$B$27,I$4)))</f>
        <v>0</v>
      </c>
      <c r="J931" s="26" t="n">
        <f aca="false">IF(INDEX(Pengaturan!$B$8:$B$27,J$4)="",0,COUNTIF(Data!$B931:$U931,INDEX(Pengaturan!$B$8:$B$27,J$4)))</f>
        <v>0</v>
      </c>
      <c r="K931" s="26" t="n">
        <f aca="false">IF(INDEX(Pengaturan!$B$8:$B$27,K$4)="",0,COUNTIF(Data!$B931:$U931,INDEX(Pengaturan!$B$8:$B$27,K$4)))</f>
        <v>0</v>
      </c>
      <c r="L931" s="26" t="n">
        <f aca="false">IF(INDEX(Pengaturan!$B$8:$B$27,L$4)="",0,COUNTIF(Data!$B931:$U931,INDEX(Pengaturan!$B$8:$B$27,L$4)))</f>
        <v>0</v>
      </c>
      <c r="M931" s="26" t="n">
        <f aca="false">IF(INDEX(Pengaturan!$B$8:$B$27,M$4)="",0,COUNTIF(Data!$B931:$U931,INDEX(Pengaturan!$B$8:$B$27,M$4)))</f>
        <v>0</v>
      </c>
      <c r="N931" s="26" t="n">
        <f aca="false">IF(INDEX(Pengaturan!$B$8:$B$27,N$4)="",0,COUNTIF(Data!$B931:$U931,INDEX(Pengaturan!$B$8:$B$27,N$4)))</f>
        <v>0</v>
      </c>
      <c r="O931" s="26" t="n">
        <f aca="false">IF(INDEX(Pengaturan!$B$8:$B$27,O$4)="",0,COUNTIF(Data!$B931:$U931,INDEX(Pengaturan!$B$8:$B$27,O$4)))</f>
        <v>0</v>
      </c>
      <c r="P931" s="26" t="n">
        <f aca="false">IF(INDEX(Pengaturan!$B$8:$B$27,P$4)="",0,COUNTIF(Data!$B931:$U931,INDEX(Pengaturan!$B$8:$B$27,P$4)))</f>
        <v>0</v>
      </c>
      <c r="Q931" s="26" t="n">
        <f aca="false">IF(INDEX(Pengaturan!$B$8:$B$27,Q$4)="",0,COUNTIF(Data!$B931:$U931,INDEX(Pengaturan!$B$8:$B$27,Q$4)))</f>
        <v>0</v>
      </c>
      <c r="R931" s="26" t="n">
        <f aca="false">IF(INDEX(Pengaturan!$B$8:$B$27,R$4)="",0,COUNTIF(Data!$B931:$U931,INDEX(Pengaturan!$B$8:$B$27,R$4)))</f>
        <v>0</v>
      </c>
      <c r="S931" s="26" t="n">
        <f aca="false">IF(INDEX(Pengaturan!$B$8:$B$27,S$4)="",0,COUNTIF(Data!$B931:$U931,INDEX(Pengaturan!$B$8:$B$27,S$4)))</f>
        <v>0</v>
      </c>
      <c r="T931" s="26" t="n">
        <f aca="false">IF(INDEX(Pengaturan!$B$8:$B$27,T$4)="",0,COUNTIF(Data!$B931:$U931,INDEX(Pengaturan!$B$8:$B$27,T$4)))</f>
        <v>0</v>
      </c>
      <c r="U931" s="26" t="n">
        <f aca="false">IF(INDEX(Pengaturan!$B$8:$B$27,U$4)="",0,COUNTIF(Data!$B931:$U931,INDEX(Pengaturan!$B$8:$B$27,U$4)))</f>
        <v>0</v>
      </c>
      <c r="V931" s="26" t="n">
        <f aca="false">COUNTA(Data!$B931:$U931)</f>
        <v>0</v>
      </c>
      <c r="W931" s="27" t="str">
        <f aca="false">IF(V931=0,"",IF(V931&lt;&gt;Hasil!$C$4,"Data kosong/tidak lengkap",IF(SUM(B931:U931)&lt;&gt;V931,"Kategori tidak dikenal","OK")))</f>
        <v/>
      </c>
      <c r="X931" s="26" t="n">
        <f aca="false">IF(OR(W931="",W931="OK"),0,1)</f>
        <v>0</v>
      </c>
    </row>
    <row r="932" customFormat="false" ht="15" hidden="false" customHeight="false" outlineLevel="0" collapsed="false">
      <c r="A932" s="26" t="n">
        <f aca="false">Data!A932</f>
        <v>927</v>
      </c>
      <c r="B932" s="26" t="n">
        <f aca="false">IF(INDEX(Pengaturan!$B$8:$B$27,B$4)="",0,COUNTIF(Data!$B932:$U932,INDEX(Pengaturan!$B$8:$B$27,B$4)))</f>
        <v>0</v>
      </c>
      <c r="C932" s="26" t="n">
        <f aca="false">IF(INDEX(Pengaturan!$B$8:$B$27,C$4)="",0,COUNTIF(Data!$B932:$U932,INDEX(Pengaturan!$B$8:$B$27,C$4)))</f>
        <v>0</v>
      </c>
      <c r="D932" s="26" t="n">
        <f aca="false">IF(INDEX(Pengaturan!$B$8:$B$27,D$4)="",0,COUNTIF(Data!$B932:$U932,INDEX(Pengaturan!$B$8:$B$27,D$4)))</f>
        <v>0</v>
      </c>
      <c r="E932" s="26" t="n">
        <f aca="false">IF(INDEX(Pengaturan!$B$8:$B$27,E$4)="",0,COUNTIF(Data!$B932:$U932,INDEX(Pengaturan!$B$8:$B$27,E$4)))</f>
        <v>0</v>
      </c>
      <c r="F932" s="26" t="n">
        <f aca="false">IF(INDEX(Pengaturan!$B$8:$B$27,F$4)="",0,COUNTIF(Data!$B932:$U932,INDEX(Pengaturan!$B$8:$B$27,F$4)))</f>
        <v>0</v>
      </c>
      <c r="G932" s="26" t="n">
        <f aca="false">IF(INDEX(Pengaturan!$B$8:$B$27,G$4)="",0,COUNTIF(Data!$B932:$U932,INDEX(Pengaturan!$B$8:$B$27,G$4)))</f>
        <v>0</v>
      </c>
      <c r="H932" s="26" t="n">
        <f aca="false">IF(INDEX(Pengaturan!$B$8:$B$27,H$4)="",0,COUNTIF(Data!$B932:$U932,INDEX(Pengaturan!$B$8:$B$27,H$4)))</f>
        <v>0</v>
      </c>
      <c r="I932" s="26" t="n">
        <f aca="false">IF(INDEX(Pengaturan!$B$8:$B$27,I$4)="",0,COUNTIF(Data!$B932:$U932,INDEX(Pengaturan!$B$8:$B$27,I$4)))</f>
        <v>0</v>
      </c>
      <c r="J932" s="26" t="n">
        <f aca="false">IF(INDEX(Pengaturan!$B$8:$B$27,J$4)="",0,COUNTIF(Data!$B932:$U932,INDEX(Pengaturan!$B$8:$B$27,J$4)))</f>
        <v>0</v>
      </c>
      <c r="K932" s="26" t="n">
        <f aca="false">IF(INDEX(Pengaturan!$B$8:$B$27,K$4)="",0,COUNTIF(Data!$B932:$U932,INDEX(Pengaturan!$B$8:$B$27,K$4)))</f>
        <v>0</v>
      </c>
      <c r="L932" s="26" t="n">
        <f aca="false">IF(INDEX(Pengaturan!$B$8:$B$27,L$4)="",0,COUNTIF(Data!$B932:$U932,INDEX(Pengaturan!$B$8:$B$27,L$4)))</f>
        <v>0</v>
      </c>
      <c r="M932" s="26" t="n">
        <f aca="false">IF(INDEX(Pengaturan!$B$8:$B$27,M$4)="",0,COUNTIF(Data!$B932:$U932,INDEX(Pengaturan!$B$8:$B$27,M$4)))</f>
        <v>0</v>
      </c>
      <c r="N932" s="26" t="n">
        <f aca="false">IF(INDEX(Pengaturan!$B$8:$B$27,N$4)="",0,COUNTIF(Data!$B932:$U932,INDEX(Pengaturan!$B$8:$B$27,N$4)))</f>
        <v>0</v>
      </c>
      <c r="O932" s="26" t="n">
        <f aca="false">IF(INDEX(Pengaturan!$B$8:$B$27,O$4)="",0,COUNTIF(Data!$B932:$U932,INDEX(Pengaturan!$B$8:$B$27,O$4)))</f>
        <v>0</v>
      </c>
      <c r="P932" s="26" t="n">
        <f aca="false">IF(INDEX(Pengaturan!$B$8:$B$27,P$4)="",0,COUNTIF(Data!$B932:$U932,INDEX(Pengaturan!$B$8:$B$27,P$4)))</f>
        <v>0</v>
      </c>
      <c r="Q932" s="26" t="n">
        <f aca="false">IF(INDEX(Pengaturan!$B$8:$B$27,Q$4)="",0,COUNTIF(Data!$B932:$U932,INDEX(Pengaturan!$B$8:$B$27,Q$4)))</f>
        <v>0</v>
      </c>
      <c r="R932" s="26" t="n">
        <f aca="false">IF(INDEX(Pengaturan!$B$8:$B$27,R$4)="",0,COUNTIF(Data!$B932:$U932,INDEX(Pengaturan!$B$8:$B$27,R$4)))</f>
        <v>0</v>
      </c>
      <c r="S932" s="26" t="n">
        <f aca="false">IF(INDEX(Pengaturan!$B$8:$B$27,S$4)="",0,COUNTIF(Data!$B932:$U932,INDEX(Pengaturan!$B$8:$B$27,S$4)))</f>
        <v>0</v>
      </c>
      <c r="T932" s="26" t="n">
        <f aca="false">IF(INDEX(Pengaturan!$B$8:$B$27,T$4)="",0,COUNTIF(Data!$B932:$U932,INDEX(Pengaturan!$B$8:$B$27,T$4)))</f>
        <v>0</v>
      </c>
      <c r="U932" s="26" t="n">
        <f aca="false">IF(INDEX(Pengaturan!$B$8:$B$27,U$4)="",0,COUNTIF(Data!$B932:$U932,INDEX(Pengaturan!$B$8:$B$27,U$4)))</f>
        <v>0</v>
      </c>
      <c r="V932" s="26" t="n">
        <f aca="false">COUNTA(Data!$B932:$U932)</f>
        <v>0</v>
      </c>
      <c r="W932" s="27" t="str">
        <f aca="false">IF(V932=0,"",IF(V932&lt;&gt;Hasil!$C$4,"Data kosong/tidak lengkap",IF(SUM(B932:U932)&lt;&gt;V932,"Kategori tidak dikenal","OK")))</f>
        <v/>
      </c>
      <c r="X932" s="26" t="n">
        <f aca="false">IF(OR(W932="",W932="OK"),0,1)</f>
        <v>0</v>
      </c>
    </row>
    <row r="933" customFormat="false" ht="15" hidden="false" customHeight="false" outlineLevel="0" collapsed="false">
      <c r="A933" s="26" t="n">
        <f aca="false">Data!A933</f>
        <v>928</v>
      </c>
      <c r="B933" s="26" t="n">
        <f aca="false">IF(INDEX(Pengaturan!$B$8:$B$27,B$4)="",0,COUNTIF(Data!$B933:$U933,INDEX(Pengaturan!$B$8:$B$27,B$4)))</f>
        <v>0</v>
      </c>
      <c r="C933" s="26" t="n">
        <f aca="false">IF(INDEX(Pengaturan!$B$8:$B$27,C$4)="",0,COUNTIF(Data!$B933:$U933,INDEX(Pengaturan!$B$8:$B$27,C$4)))</f>
        <v>0</v>
      </c>
      <c r="D933" s="26" t="n">
        <f aca="false">IF(INDEX(Pengaturan!$B$8:$B$27,D$4)="",0,COUNTIF(Data!$B933:$U933,INDEX(Pengaturan!$B$8:$B$27,D$4)))</f>
        <v>0</v>
      </c>
      <c r="E933" s="26" t="n">
        <f aca="false">IF(INDEX(Pengaturan!$B$8:$B$27,E$4)="",0,COUNTIF(Data!$B933:$U933,INDEX(Pengaturan!$B$8:$B$27,E$4)))</f>
        <v>0</v>
      </c>
      <c r="F933" s="26" t="n">
        <f aca="false">IF(INDEX(Pengaturan!$B$8:$B$27,F$4)="",0,COUNTIF(Data!$B933:$U933,INDEX(Pengaturan!$B$8:$B$27,F$4)))</f>
        <v>0</v>
      </c>
      <c r="G933" s="26" t="n">
        <f aca="false">IF(INDEX(Pengaturan!$B$8:$B$27,G$4)="",0,COUNTIF(Data!$B933:$U933,INDEX(Pengaturan!$B$8:$B$27,G$4)))</f>
        <v>0</v>
      </c>
      <c r="H933" s="26" t="n">
        <f aca="false">IF(INDEX(Pengaturan!$B$8:$B$27,H$4)="",0,COUNTIF(Data!$B933:$U933,INDEX(Pengaturan!$B$8:$B$27,H$4)))</f>
        <v>0</v>
      </c>
      <c r="I933" s="26" t="n">
        <f aca="false">IF(INDEX(Pengaturan!$B$8:$B$27,I$4)="",0,COUNTIF(Data!$B933:$U933,INDEX(Pengaturan!$B$8:$B$27,I$4)))</f>
        <v>0</v>
      </c>
      <c r="J933" s="26" t="n">
        <f aca="false">IF(INDEX(Pengaturan!$B$8:$B$27,J$4)="",0,COUNTIF(Data!$B933:$U933,INDEX(Pengaturan!$B$8:$B$27,J$4)))</f>
        <v>0</v>
      </c>
      <c r="K933" s="26" t="n">
        <f aca="false">IF(INDEX(Pengaturan!$B$8:$B$27,K$4)="",0,COUNTIF(Data!$B933:$U933,INDEX(Pengaturan!$B$8:$B$27,K$4)))</f>
        <v>0</v>
      </c>
      <c r="L933" s="26" t="n">
        <f aca="false">IF(INDEX(Pengaturan!$B$8:$B$27,L$4)="",0,COUNTIF(Data!$B933:$U933,INDEX(Pengaturan!$B$8:$B$27,L$4)))</f>
        <v>0</v>
      </c>
      <c r="M933" s="26" t="n">
        <f aca="false">IF(INDEX(Pengaturan!$B$8:$B$27,M$4)="",0,COUNTIF(Data!$B933:$U933,INDEX(Pengaturan!$B$8:$B$27,M$4)))</f>
        <v>0</v>
      </c>
      <c r="N933" s="26" t="n">
        <f aca="false">IF(INDEX(Pengaturan!$B$8:$B$27,N$4)="",0,COUNTIF(Data!$B933:$U933,INDEX(Pengaturan!$B$8:$B$27,N$4)))</f>
        <v>0</v>
      </c>
      <c r="O933" s="26" t="n">
        <f aca="false">IF(INDEX(Pengaturan!$B$8:$B$27,O$4)="",0,COUNTIF(Data!$B933:$U933,INDEX(Pengaturan!$B$8:$B$27,O$4)))</f>
        <v>0</v>
      </c>
      <c r="P933" s="26" t="n">
        <f aca="false">IF(INDEX(Pengaturan!$B$8:$B$27,P$4)="",0,COUNTIF(Data!$B933:$U933,INDEX(Pengaturan!$B$8:$B$27,P$4)))</f>
        <v>0</v>
      </c>
      <c r="Q933" s="26" t="n">
        <f aca="false">IF(INDEX(Pengaturan!$B$8:$B$27,Q$4)="",0,COUNTIF(Data!$B933:$U933,INDEX(Pengaturan!$B$8:$B$27,Q$4)))</f>
        <v>0</v>
      </c>
      <c r="R933" s="26" t="n">
        <f aca="false">IF(INDEX(Pengaturan!$B$8:$B$27,R$4)="",0,COUNTIF(Data!$B933:$U933,INDEX(Pengaturan!$B$8:$B$27,R$4)))</f>
        <v>0</v>
      </c>
      <c r="S933" s="26" t="n">
        <f aca="false">IF(INDEX(Pengaturan!$B$8:$B$27,S$4)="",0,COUNTIF(Data!$B933:$U933,INDEX(Pengaturan!$B$8:$B$27,S$4)))</f>
        <v>0</v>
      </c>
      <c r="T933" s="26" t="n">
        <f aca="false">IF(INDEX(Pengaturan!$B$8:$B$27,T$4)="",0,COUNTIF(Data!$B933:$U933,INDEX(Pengaturan!$B$8:$B$27,T$4)))</f>
        <v>0</v>
      </c>
      <c r="U933" s="26" t="n">
        <f aca="false">IF(INDEX(Pengaturan!$B$8:$B$27,U$4)="",0,COUNTIF(Data!$B933:$U933,INDEX(Pengaturan!$B$8:$B$27,U$4)))</f>
        <v>0</v>
      </c>
      <c r="V933" s="26" t="n">
        <f aca="false">COUNTA(Data!$B933:$U933)</f>
        <v>0</v>
      </c>
      <c r="W933" s="27" t="str">
        <f aca="false">IF(V933=0,"",IF(V933&lt;&gt;Hasil!$C$4,"Data kosong/tidak lengkap",IF(SUM(B933:U933)&lt;&gt;V933,"Kategori tidak dikenal","OK")))</f>
        <v/>
      </c>
      <c r="X933" s="26" t="n">
        <f aca="false">IF(OR(W933="",W933="OK"),0,1)</f>
        <v>0</v>
      </c>
    </row>
    <row r="934" customFormat="false" ht="15" hidden="false" customHeight="false" outlineLevel="0" collapsed="false">
      <c r="A934" s="26" t="n">
        <f aca="false">Data!A934</f>
        <v>929</v>
      </c>
      <c r="B934" s="26" t="n">
        <f aca="false">IF(INDEX(Pengaturan!$B$8:$B$27,B$4)="",0,COUNTIF(Data!$B934:$U934,INDEX(Pengaturan!$B$8:$B$27,B$4)))</f>
        <v>0</v>
      </c>
      <c r="C934" s="26" t="n">
        <f aca="false">IF(INDEX(Pengaturan!$B$8:$B$27,C$4)="",0,COUNTIF(Data!$B934:$U934,INDEX(Pengaturan!$B$8:$B$27,C$4)))</f>
        <v>0</v>
      </c>
      <c r="D934" s="26" t="n">
        <f aca="false">IF(INDEX(Pengaturan!$B$8:$B$27,D$4)="",0,COUNTIF(Data!$B934:$U934,INDEX(Pengaturan!$B$8:$B$27,D$4)))</f>
        <v>0</v>
      </c>
      <c r="E934" s="26" t="n">
        <f aca="false">IF(INDEX(Pengaturan!$B$8:$B$27,E$4)="",0,COUNTIF(Data!$B934:$U934,INDEX(Pengaturan!$B$8:$B$27,E$4)))</f>
        <v>0</v>
      </c>
      <c r="F934" s="26" t="n">
        <f aca="false">IF(INDEX(Pengaturan!$B$8:$B$27,F$4)="",0,COUNTIF(Data!$B934:$U934,INDEX(Pengaturan!$B$8:$B$27,F$4)))</f>
        <v>0</v>
      </c>
      <c r="G934" s="26" t="n">
        <f aca="false">IF(INDEX(Pengaturan!$B$8:$B$27,G$4)="",0,COUNTIF(Data!$B934:$U934,INDEX(Pengaturan!$B$8:$B$27,G$4)))</f>
        <v>0</v>
      </c>
      <c r="H934" s="26" t="n">
        <f aca="false">IF(INDEX(Pengaturan!$B$8:$B$27,H$4)="",0,COUNTIF(Data!$B934:$U934,INDEX(Pengaturan!$B$8:$B$27,H$4)))</f>
        <v>0</v>
      </c>
      <c r="I934" s="26" t="n">
        <f aca="false">IF(INDEX(Pengaturan!$B$8:$B$27,I$4)="",0,COUNTIF(Data!$B934:$U934,INDEX(Pengaturan!$B$8:$B$27,I$4)))</f>
        <v>0</v>
      </c>
      <c r="J934" s="26" t="n">
        <f aca="false">IF(INDEX(Pengaturan!$B$8:$B$27,J$4)="",0,COUNTIF(Data!$B934:$U934,INDEX(Pengaturan!$B$8:$B$27,J$4)))</f>
        <v>0</v>
      </c>
      <c r="K934" s="26" t="n">
        <f aca="false">IF(INDEX(Pengaturan!$B$8:$B$27,K$4)="",0,COUNTIF(Data!$B934:$U934,INDEX(Pengaturan!$B$8:$B$27,K$4)))</f>
        <v>0</v>
      </c>
      <c r="L934" s="26" t="n">
        <f aca="false">IF(INDEX(Pengaturan!$B$8:$B$27,L$4)="",0,COUNTIF(Data!$B934:$U934,INDEX(Pengaturan!$B$8:$B$27,L$4)))</f>
        <v>0</v>
      </c>
      <c r="M934" s="26" t="n">
        <f aca="false">IF(INDEX(Pengaturan!$B$8:$B$27,M$4)="",0,COUNTIF(Data!$B934:$U934,INDEX(Pengaturan!$B$8:$B$27,M$4)))</f>
        <v>0</v>
      </c>
      <c r="N934" s="26" t="n">
        <f aca="false">IF(INDEX(Pengaturan!$B$8:$B$27,N$4)="",0,COUNTIF(Data!$B934:$U934,INDEX(Pengaturan!$B$8:$B$27,N$4)))</f>
        <v>0</v>
      </c>
      <c r="O934" s="26" t="n">
        <f aca="false">IF(INDEX(Pengaturan!$B$8:$B$27,O$4)="",0,COUNTIF(Data!$B934:$U934,INDEX(Pengaturan!$B$8:$B$27,O$4)))</f>
        <v>0</v>
      </c>
      <c r="P934" s="26" t="n">
        <f aca="false">IF(INDEX(Pengaturan!$B$8:$B$27,P$4)="",0,COUNTIF(Data!$B934:$U934,INDEX(Pengaturan!$B$8:$B$27,P$4)))</f>
        <v>0</v>
      </c>
      <c r="Q934" s="26" t="n">
        <f aca="false">IF(INDEX(Pengaturan!$B$8:$B$27,Q$4)="",0,COUNTIF(Data!$B934:$U934,INDEX(Pengaturan!$B$8:$B$27,Q$4)))</f>
        <v>0</v>
      </c>
      <c r="R934" s="26" t="n">
        <f aca="false">IF(INDEX(Pengaturan!$B$8:$B$27,R$4)="",0,COUNTIF(Data!$B934:$U934,INDEX(Pengaturan!$B$8:$B$27,R$4)))</f>
        <v>0</v>
      </c>
      <c r="S934" s="26" t="n">
        <f aca="false">IF(INDEX(Pengaturan!$B$8:$B$27,S$4)="",0,COUNTIF(Data!$B934:$U934,INDEX(Pengaturan!$B$8:$B$27,S$4)))</f>
        <v>0</v>
      </c>
      <c r="T934" s="26" t="n">
        <f aca="false">IF(INDEX(Pengaturan!$B$8:$B$27,T$4)="",0,COUNTIF(Data!$B934:$U934,INDEX(Pengaturan!$B$8:$B$27,T$4)))</f>
        <v>0</v>
      </c>
      <c r="U934" s="26" t="n">
        <f aca="false">IF(INDEX(Pengaturan!$B$8:$B$27,U$4)="",0,COUNTIF(Data!$B934:$U934,INDEX(Pengaturan!$B$8:$B$27,U$4)))</f>
        <v>0</v>
      </c>
      <c r="V934" s="26" t="n">
        <f aca="false">COUNTA(Data!$B934:$U934)</f>
        <v>0</v>
      </c>
      <c r="W934" s="27" t="str">
        <f aca="false">IF(V934=0,"",IF(V934&lt;&gt;Hasil!$C$4,"Data kosong/tidak lengkap",IF(SUM(B934:U934)&lt;&gt;V934,"Kategori tidak dikenal","OK")))</f>
        <v/>
      </c>
      <c r="X934" s="26" t="n">
        <f aca="false">IF(OR(W934="",W934="OK"),0,1)</f>
        <v>0</v>
      </c>
    </row>
    <row r="935" customFormat="false" ht="15" hidden="false" customHeight="false" outlineLevel="0" collapsed="false">
      <c r="A935" s="26" t="n">
        <f aca="false">Data!A935</f>
        <v>930</v>
      </c>
      <c r="B935" s="26" t="n">
        <f aca="false">IF(INDEX(Pengaturan!$B$8:$B$27,B$4)="",0,COUNTIF(Data!$B935:$U935,INDEX(Pengaturan!$B$8:$B$27,B$4)))</f>
        <v>0</v>
      </c>
      <c r="C935" s="26" t="n">
        <f aca="false">IF(INDEX(Pengaturan!$B$8:$B$27,C$4)="",0,COUNTIF(Data!$B935:$U935,INDEX(Pengaturan!$B$8:$B$27,C$4)))</f>
        <v>0</v>
      </c>
      <c r="D935" s="26" t="n">
        <f aca="false">IF(INDEX(Pengaturan!$B$8:$B$27,D$4)="",0,COUNTIF(Data!$B935:$U935,INDEX(Pengaturan!$B$8:$B$27,D$4)))</f>
        <v>0</v>
      </c>
      <c r="E935" s="26" t="n">
        <f aca="false">IF(INDEX(Pengaturan!$B$8:$B$27,E$4)="",0,COUNTIF(Data!$B935:$U935,INDEX(Pengaturan!$B$8:$B$27,E$4)))</f>
        <v>0</v>
      </c>
      <c r="F935" s="26" t="n">
        <f aca="false">IF(INDEX(Pengaturan!$B$8:$B$27,F$4)="",0,COUNTIF(Data!$B935:$U935,INDEX(Pengaturan!$B$8:$B$27,F$4)))</f>
        <v>0</v>
      </c>
      <c r="G935" s="26" t="n">
        <f aca="false">IF(INDEX(Pengaturan!$B$8:$B$27,G$4)="",0,COUNTIF(Data!$B935:$U935,INDEX(Pengaturan!$B$8:$B$27,G$4)))</f>
        <v>0</v>
      </c>
      <c r="H935" s="26" t="n">
        <f aca="false">IF(INDEX(Pengaturan!$B$8:$B$27,H$4)="",0,COUNTIF(Data!$B935:$U935,INDEX(Pengaturan!$B$8:$B$27,H$4)))</f>
        <v>0</v>
      </c>
      <c r="I935" s="26" t="n">
        <f aca="false">IF(INDEX(Pengaturan!$B$8:$B$27,I$4)="",0,COUNTIF(Data!$B935:$U935,INDEX(Pengaturan!$B$8:$B$27,I$4)))</f>
        <v>0</v>
      </c>
      <c r="J935" s="26" t="n">
        <f aca="false">IF(INDEX(Pengaturan!$B$8:$B$27,J$4)="",0,COUNTIF(Data!$B935:$U935,INDEX(Pengaturan!$B$8:$B$27,J$4)))</f>
        <v>0</v>
      </c>
      <c r="K935" s="26" t="n">
        <f aca="false">IF(INDEX(Pengaturan!$B$8:$B$27,K$4)="",0,COUNTIF(Data!$B935:$U935,INDEX(Pengaturan!$B$8:$B$27,K$4)))</f>
        <v>0</v>
      </c>
      <c r="L935" s="26" t="n">
        <f aca="false">IF(INDEX(Pengaturan!$B$8:$B$27,L$4)="",0,COUNTIF(Data!$B935:$U935,INDEX(Pengaturan!$B$8:$B$27,L$4)))</f>
        <v>0</v>
      </c>
      <c r="M935" s="26" t="n">
        <f aca="false">IF(INDEX(Pengaturan!$B$8:$B$27,M$4)="",0,COUNTIF(Data!$B935:$U935,INDEX(Pengaturan!$B$8:$B$27,M$4)))</f>
        <v>0</v>
      </c>
      <c r="N935" s="26" t="n">
        <f aca="false">IF(INDEX(Pengaturan!$B$8:$B$27,N$4)="",0,COUNTIF(Data!$B935:$U935,INDEX(Pengaturan!$B$8:$B$27,N$4)))</f>
        <v>0</v>
      </c>
      <c r="O935" s="26" t="n">
        <f aca="false">IF(INDEX(Pengaturan!$B$8:$B$27,O$4)="",0,COUNTIF(Data!$B935:$U935,INDEX(Pengaturan!$B$8:$B$27,O$4)))</f>
        <v>0</v>
      </c>
      <c r="P935" s="26" t="n">
        <f aca="false">IF(INDEX(Pengaturan!$B$8:$B$27,P$4)="",0,COUNTIF(Data!$B935:$U935,INDEX(Pengaturan!$B$8:$B$27,P$4)))</f>
        <v>0</v>
      </c>
      <c r="Q935" s="26" t="n">
        <f aca="false">IF(INDEX(Pengaturan!$B$8:$B$27,Q$4)="",0,COUNTIF(Data!$B935:$U935,INDEX(Pengaturan!$B$8:$B$27,Q$4)))</f>
        <v>0</v>
      </c>
      <c r="R935" s="26" t="n">
        <f aca="false">IF(INDEX(Pengaturan!$B$8:$B$27,R$4)="",0,COUNTIF(Data!$B935:$U935,INDEX(Pengaturan!$B$8:$B$27,R$4)))</f>
        <v>0</v>
      </c>
      <c r="S935" s="26" t="n">
        <f aca="false">IF(INDEX(Pengaturan!$B$8:$B$27,S$4)="",0,COUNTIF(Data!$B935:$U935,INDEX(Pengaturan!$B$8:$B$27,S$4)))</f>
        <v>0</v>
      </c>
      <c r="T935" s="26" t="n">
        <f aca="false">IF(INDEX(Pengaturan!$B$8:$B$27,T$4)="",0,COUNTIF(Data!$B935:$U935,INDEX(Pengaturan!$B$8:$B$27,T$4)))</f>
        <v>0</v>
      </c>
      <c r="U935" s="26" t="n">
        <f aca="false">IF(INDEX(Pengaturan!$B$8:$B$27,U$4)="",0,COUNTIF(Data!$B935:$U935,INDEX(Pengaturan!$B$8:$B$27,U$4)))</f>
        <v>0</v>
      </c>
      <c r="V935" s="26" t="n">
        <f aca="false">COUNTA(Data!$B935:$U935)</f>
        <v>0</v>
      </c>
      <c r="W935" s="27" t="str">
        <f aca="false">IF(V935=0,"",IF(V935&lt;&gt;Hasil!$C$4,"Data kosong/tidak lengkap",IF(SUM(B935:U935)&lt;&gt;V935,"Kategori tidak dikenal","OK")))</f>
        <v/>
      </c>
      <c r="X935" s="26" t="n">
        <f aca="false">IF(OR(W935="",W935="OK"),0,1)</f>
        <v>0</v>
      </c>
    </row>
    <row r="936" customFormat="false" ht="15" hidden="false" customHeight="false" outlineLevel="0" collapsed="false">
      <c r="A936" s="26" t="n">
        <f aca="false">Data!A936</f>
        <v>931</v>
      </c>
      <c r="B936" s="26" t="n">
        <f aca="false">IF(INDEX(Pengaturan!$B$8:$B$27,B$4)="",0,COUNTIF(Data!$B936:$U936,INDEX(Pengaturan!$B$8:$B$27,B$4)))</f>
        <v>0</v>
      </c>
      <c r="C936" s="26" t="n">
        <f aca="false">IF(INDEX(Pengaturan!$B$8:$B$27,C$4)="",0,COUNTIF(Data!$B936:$U936,INDEX(Pengaturan!$B$8:$B$27,C$4)))</f>
        <v>0</v>
      </c>
      <c r="D936" s="26" t="n">
        <f aca="false">IF(INDEX(Pengaturan!$B$8:$B$27,D$4)="",0,COUNTIF(Data!$B936:$U936,INDEX(Pengaturan!$B$8:$B$27,D$4)))</f>
        <v>0</v>
      </c>
      <c r="E936" s="26" t="n">
        <f aca="false">IF(INDEX(Pengaturan!$B$8:$B$27,E$4)="",0,COUNTIF(Data!$B936:$U936,INDEX(Pengaturan!$B$8:$B$27,E$4)))</f>
        <v>0</v>
      </c>
      <c r="F936" s="26" t="n">
        <f aca="false">IF(INDEX(Pengaturan!$B$8:$B$27,F$4)="",0,COUNTIF(Data!$B936:$U936,INDEX(Pengaturan!$B$8:$B$27,F$4)))</f>
        <v>0</v>
      </c>
      <c r="G936" s="26" t="n">
        <f aca="false">IF(INDEX(Pengaturan!$B$8:$B$27,G$4)="",0,COUNTIF(Data!$B936:$U936,INDEX(Pengaturan!$B$8:$B$27,G$4)))</f>
        <v>0</v>
      </c>
      <c r="H936" s="26" t="n">
        <f aca="false">IF(INDEX(Pengaturan!$B$8:$B$27,H$4)="",0,COUNTIF(Data!$B936:$U936,INDEX(Pengaturan!$B$8:$B$27,H$4)))</f>
        <v>0</v>
      </c>
      <c r="I936" s="26" t="n">
        <f aca="false">IF(INDEX(Pengaturan!$B$8:$B$27,I$4)="",0,COUNTIF(Data!$B936:$U936,INDEX(Pengaturan!$B$8:$B$27,I$4)))</f>
        <v>0</v>
      </c>
      <c r="J936" s="26" t="n">
        <f aca="false">IF(INDEX(Pengaturan!$B$8:$B$27,J$4)="",0,COUNTIF(Data!$B936:$U936,INDEX(Pengaturan!$B$8:$B$27,J$4)))</f>
        <v>0</v>
      </c>
      <c r="K936" s="26" t="n">
        <f aca="false">IF(INDEX(Pengaturan!$B$8:$B$27,K$4)="",0,COUNTIF(Data!$B936:$U936,INDEX(Pengaturan!$B$8:$B$27,K$4)))</f>
        <v>0</v>
      </c>
      <c r="L936" s="26" t="n">
        <f aca="false">IF(INDEX(Pengaturan!$B$8:$B$27,L$4)="",0,COUNTIF(Data!$B936:$U936,INDEX(Pengaturan!$B$8:$B$27,L$4)))</f>
        <v>0</v>
      </c>
      <c r="M936" s="26" t="n">
        <f aca="false">IF(INDEX(Pengaturan!$B$8:$B$27,M$4)="",0,COUNTIF(Data!$B936:$U936,INDEX(Pengaturan!$B$8:$B$27,M$4)))</f>
        <v>0</v>
      </c>
      <c r="N936" s="26" t="n">
        <f aca="false">IF(INDEX(Pengaturan!$B$8:$B$27,N$4)="",0,COUNTIF(Data!$B936:$U936,INDEX(Pengaturan!$B$8:$B$27,N$4)))</f>
        <v>0</v>
      </c>
      <c r="O936" s="26" t="n">
        <f aca="false">IF(INDEX(Pengaturan!$B$8:$B$27,O$4)="",0,COUNTIF(Data!$B936:$U936,INDEX(Pengaturan!$B$8:$B$27,O$4)))</f>
        <v>0</v>
      </c>
      <c r="P936" s="26" t="n">
        <f aca="false">IF(INDEX(Pengaturan!$B$8:$B$27,P$4)="",0,COUNTIF(Data!$B936:$U936,INDEX(Pengaturan!$B$8:$B$27,P$4)))</f>
        <v>0</v>
      </c>
      <c r="Q936" s="26" t="n">
        <f aca="false">IF(INDEX(Pengaturan!$B$8:$B$27,Q$4)="",0,COUNTIF(Data!$B936:$U936,INDEX(Pengaturan!$B$8:$B$27,Q$4)))</f>
        <v>0</v>
      </c>
      <c r="R936" s="26" t="n">
        <f aca="false">IF(INDEX(Pengaturan!$B$8:$B$27,R$4)="",0,COUNTIF(Data!$B936:$U936,INDEX(Pengaturan!$B$8:$B$27,R$4)))</f>
        <v>0</v>
      </c>
      <c r="S936" s="26" t="n">
        <f aca="false">IF(INDEX(Pengaturan!$B$8:$B$27,S$4)="",0,COUNTIF(Data!$B936:$U936,INDEX(Pengaturan!$B$8:$B$27,S$4)))</f>
        <v>0</v>
      </c>
      <c r="T936" s="26" t="n">
        <f aca="false">IF(INDEX(Pengaturan!$B$8:$B$27,T$4)="",0,COUNTIF(Data!$B936:$U936,INDEX(Pengaturan!$B$8:$B$27,T$4)))</f>
        <v>0</v>
      </c>
      <c r="U936" s="26" t="n">
        <f aca="false">IF(INDEX(Pengaturan!$B$8:$B$27,U$4)="",0,COUNTIF(Data!$B936:$U936,INDEX(Pengaturan!$B$8:$B$27,U$4)))</f>
        <v>0</v>
      </c>
      <c r="V936" s="26" t="n">
        <f aca="false">COUNTA(Data!$B936:$U936)</f>
        <v>0</v>
      </c>
      <c r="W936" s="27" t="str">
        <f aca="false">IF(V936=0,"",IF(V936&lt;&gt;Hasil!$C$4,"Data kosong/tidak lengkap",IF(SUM(B936:U936)&lt;&gt;V936,"Kategori tidak dikenal","OK")))</f>
        <v/>
      </c>
      <c r="X936" s="26" t="n">
        <f aca="false">IF(OR(W936="",W936="OK"),0,1)</f>
        <v>0</v>
      </c>
    </row>
    <row r="937" customFormat="false" ht="15" hidden="false" customHeight="false" outlineLevel="0" collapsed="false">
      <c r="A937" s="26" t="n">
        <f aca="false">Data!A937</f>
        <v>932</v>
      </c>
      <c r="B937" s="26" t="n">
        <f aca="false">IF(INDEX(Pengaturan!$B$8:$B$27,B$4)="",0,COUNTIF(Data!$B937:$U937,INDEX(Pengaturan!$B$8:$B$27,B$4)))</f>
        <v>0</v>
      </c>
      <c r="C937" s="26" t="n">
        <f aca="false">IF(INDEX(Pengaturan!$B$8:$B$27,C$4)="",0,COUNTIF(Data!$B937:$U937,INDEX(Pengaturan!$B$8:$B$27,C$4)))</f>
        <v>0</v>
      </c>
      <c r="D937" s="26" t="n">
        <f aca="false">IF(INDEX(Pengaturan!$B$8:$B$27,D$4)="",0,COUNTIF(Data!$B937:$U937,INDEX(Pengaturan!$B$8:$B$27,D$4)))</f>
        <v>0</v>
      </c>
      <c r="E937" s="26" t="n">
        <f aca="false">IF(INDEX(Pengaturan!$B$8:$B$27,E$4)="",0,COUNTIF(Data!$B937:$U937,INDEX(Pengaturan!$B$8:$B$27,E$4)))</f>
        <v>0</v>
      </c>
      <c r="F937" s="26" t="n">
        <f aca="false">IF(INDEX(Pengaturan!$B$8:$B$27,F$4)="",0,COUNTIF(Data!$B937:$U937,INDEX(Pengaturan!$B$8:$B$27,F$4)))</f>
        <v>0</v>
      </c>
      <c r="G937" s="26" t="n">
        <f aca="false">IF(INDEX(Pengaturan!$B$8:$B$27,G$4)="",0,COUNTIF(Data!$B937:$U937,INDEX(Pengaturan!$B$8:$B$27,G$4)))</f>
        <v>0</v>
      </c>
      <c r="H937" s="26" t="n">
        <f aca="false">IF(INDEX(Pengaturan!$B$8:$B$27,H$4)="",0,COUNTIF(Data!$B937:$U937,INDEX(Pengaturan!$B$8:$B$27,H$4)))</f>
        <v>0</v>
      </c>
      <c r="I937" s="26" t="n">
        <f aca="false">IF(INDEX(Pengaturan!$B$8:$B$27,I$4)="",0,COUNTIF(Data!$B937:$U937,INDEX(Pengaturan!$B$8:$B$27,I$4)))</f>
        <v>0</v>
      </c>
      <c r="J937" s="26" t="n">
        <f aca="false">IF(INDEX(Pengaturan!$B$8:$B$27,J$4)="",0,COUNTIF(Data!$B937:$U937,INDEX(Pengaturan!$B$8:$B$27,J$4)))</f>
        <v>0</v>
      </c>
      <c r="K937" s="26" t="n">
        <f aca="false">IF(INDEX(Pengaturan!$B$8:$B$27,K$4)="",0,COUNTIF(Data!$B937:$U937,INDEX(Pengaturan!$B$8:$B$27,K$4)))</f>
        <v>0</v>
      </c>
      <c r="L937" s="26" t="n">
        <f aca="false">IF(INDEX(Pengaturan!$B$8:$B$27,L$4)="",0,COUNTIF(Data!$B937:$U937,INDEX(Pengaturan!$B$8:$B$27,L$4)))</f>
        <v>0</v>
      </c>
      <c r="M937" s="26" t="n">
        <f aca="false">IF(INDEX(Pengaturan!$B$8:$B$27,M$4)="",0,COUNTIF(Data!$B937:$U937,INDEX(Pengaturan!$B$8:$B$27,M$4)))</f>
        <v>0</v>
      </c>
      <c r="N937" s="26" t="n">
        <f aca="false">IF(INDEX(Pengaturan!$B$8:$B$27,N$4)="",0,COUNTIF(Data!$B937:$U937,INDEX(Pengaturan!$B$8:$B$27,N$4)))</f>
        <v>0</v>
      </c>
      <c r="O937" s="26" t="n">
        <f aca="false">IF(INDEX(Pengaturan!$B$8:$B$27,O$4)="",0,COUNTIF(Data!$B937:$U937,INDEX(Pengaturan!$B$8:$B$27,O$4)))</f>
        <v>0</v>
      </c>
      <c r="P937" s="26" t="n">
        <f aca="false">IF(INDEX(Pengaturan!$B$8:$B$27,P$4)="",0,COUNTIF(Data!$B937:$U937,INDEX(Pengaturan!$B$8:$B$27,P$4)))</f>
        <v>0</v>
      </c>
      <c r="Q937" s="26" t="n">
        <f aca="false">IF(INDEX(Pengaturan!$B$8:$B$27,Q$4)="",0,COUNTIF(Data!$B937:$U937,INDEX(Pengaturan!$B$8:$B$27,Q$4)))</f>
        <v>0</v>
      </c>
      <c r="R937" s="26" t="n">
        <f aca="false">IF(INDEX(Pengaturan!$B$8:$B$27,R$4)="",0,COUNTIF(Data!$B937:$U937,INDEX(Pengaturan!$B$8:$B$27,R$4)))</f>
        <v>0</v>
      </c>
      <c r="S937" s="26" t="n">
        <f aca="false">IF(INDEX(Pengaturan!$B$8:$B$27,S$4)="",0,COUNTIF(Data!$B937:$U937,INDEX(Pengaturan!$B$8:$B$27,S$4)))</f>
        <v>0</v>
      </c>
      <c r="T937" s="26" t="n">
        <f aca="false">IF(INDEX(Pengaturan!$B$8:$B$27,T$4)="",0,COUNTIF(Data!$B937:$U937,INDEX(Pengaturan!$B$8:$B$27,T$4)))</f>
        <v>0</v>
      </c>
      <c r="U937" s="26" t="n">
        <f aca="false">IF(INDEX(Pengaturan!$B$8:$B$27,U$4)="",0,COUNTIF(Data!$B937:$U937,INDEX(Pengaturan!$B$8:$B$27,U$4)))</f>
        <v>0</v>
      </c>
      <c r="V937" s="26" t="n">
        <f aca="false">COUNTA(Data!$B937:$U937)</f>
        <v>0</v>
      </c>
      <c r="W937" s="27" t="str">
        <f aca="false">IF(V937=0,"",IF(V937&lt;&gt;Hasil!$C$4,"Data kosong/tidak lengkap",IF(SUM(B937:U937)&lt;&gt;V937,"Kategori tidak dikenal","OK")))</f>
        <v/>
      </c>
      <c r="X937" s="26" t="n">
        <f aca="false">IF(OR(W937="",W937="OK"),0,1)</f>
        <v>0</v>
      </c>
    </row>
    <row r="938" customFormat="false" ht="15" hidden="false" customHeight="false" outlineLevel="0" collapsed="false">
      <c r="A938" s="26" t="n">
        <f aca="false">Data!A938</f>
        <v>933</v>
      </c>
      <c r="B938" s="26" t="n">
        <f aca="false">IF(INDEX(Pengaturan!$B$8:$B$27,B$4)="",0,COUNTIF(Data!$B938:$U938,INDEX(Pengaturan!$B$8:$B$27,B$4)))</f>
        <v>0</v>
      </c>
      <c r="C938" s="26" t="n">
        <f aca="false">IF(INDEX(Pengaturan!$B$8:$B$27,C$4)="",0,COUNTIF(Data!$B938:$U938,INDEX(Pengaturan!$B$8:$B$27,C$4)))</f>
        <v>0</v>
      </c>
      <c r="D938" s="26" t="n">
        <f aca="false">IF(INDEX(Pengaturan!$B$8:$B$27,D$4)="",0,COUNTIF(Data!$B938:$U938,INDEX(Pengaturan!$B$8:$B$27,D$4)))</f>
        <v>0</v>
      </c>
      <c r="E938" s="26" t="n">
        <f aca="false">IF(INDEX(Pengaturan!$B$8:$B$27,E$4)="",0,COUNTIF(Data!$B938:$U938,INDEX(Pengaturan!$B$8:$B$27,E$4)))</f>
        <v>0</v>
      </c>
      <c r="F938" s="26" t="n">
        <f aca="false">IF(INDEX(Pengaturan!$B$8:$B$27,F$4)="",0,COUNTIF(Data!$B938:$U938,INDEX(Pengaturan!$B$8:$B$27,F$4)))</f>
        <v>0</v>
      </c>
      <c r="G938" s="26" t="n">
        <f aca="false">IF(INDEX(Pengaturan!$B$8:$B$27,G$4)="",0,COUNTIF(Data!$B938:$U938,INDEX(Pengaturan!$B$8:$B$27,G$4)))</f>
        <v>0</v>
      </c>
      <c r="H938" s="26" t="n">
        <f aca="false">IF(INDEX(Pengaturan!$B$8:$B$27,H$4)="",0,COUNTIF(Data!$B938:$U938,INDEX(Pengaturan!$B$8:$B$27,H$4)))</f>
        <v>0</v>
      </c>
      <c r="I938" s="26" t="n">
        <f aca="false">IF(INDEX(Pengaturan!$B$8:$B$27,I$4)="",0,COUNTIF(Data!$B938:$U938,INDEX(Pengaturan!$B$8:$B$27,I$4)))</f>
        <v>0</v>
      </c>
      <c r="J938" s="26" t="n">
        <f aca="false">IF(INDEX(Pengaturan!$B$8:$B$27,J$4)="",0,COUNTIF(Data!$B938:$U938,INDEX(Pengaturan!$B$8:$B$27,J$4)))</f>
        <v>0</v>
      </c>
      <c r="K938" s="26" t="n">
        <f aca="false">IF(INDEX(Pengaturan!$B$8:$B$27,K$4)="",0,COUNTIF(Data!$B938:$U938,INDEX(Pengaturan!$B$8:$B$27,K$4)))</f>
        <v>0</v>
      </c>
      <c r="L938" s="26" t="n">
        <f aca="false">IF(INDEX(Pengaturan!$B$8:$B$27,L$4)="",0,COUNTIF(Data!$B938:$U938,INDEX(Pengaturan!$B$8:$B$27,L$4)))</f>
        <v>0</v>
      </c>
      <c r="M938" s="26" t="n">
        <f aca="false">IF(INDEX(Pengaturan!$B$8:$B$27,M$4)="",0,COUNTIF(Data!$B938:$U938,INDEX(Pengaturan!$B$8:$B$27,M$4)))</f>
        <v>0</v>
      </c>
      <c r="N938" s="26" t="n">
        <f aca="false">IF(INDEX(Pengaturan!$B$8:$B$27,N$4)="",0,COUNTIF(Data!$B938:$U938,INDEX(Pengaturan!$B$8:$B$27,N$4)))</f>
        <v>0</v>
      </c>
      <c r="O938" s="26" t="n">
        <f aca="false">IF(INDEX(Pengaturan!$B$8:$B$27,O$4)="",0,COUNTIF(Data!$B938:$U938,INDEX(Pengaturan!$B$8:$B$27,O$4)))</f>
        <v>0</v>
      </c>
      <c r="P938" s="26" t="n">
        <f aca="false">IF(INDEX(Pengaturan!$B$8:$B$27,P$4)="",0,COUNTIF(Data!$B938:$U938,INDEX(Pengaturan!$B$8:$B$27,P$4)))</f>
        <v>0</v>
      </c>
      <c r="Q938" s="26" t="n">
        <f aca="false">IF(INDEX(Pengaturan!$B$8:$B$27,Q$4)="",0,COUNTIF(Data!$B938:$U938,INDEX(Pengaturan!$B$8:$B$27,Q$4)))</f>
        <v>0</v>
      </c>
      <c r="R938" s="26" t="n">
        <f aca="false">IF(INDEX(Pengaturan!$B$8:$B$27,R$4)="",0,COUNTIF(Data!$B938:$U938,INDEX(Pengaturan!$B$8:$B$27,R$4)))</f>
        <v>0</v>
      </c>
      <c r="S938" s="26" t="n">
        <f aca="false">IF(INDEX(Pengaturan!$B$8:$B$27,S$4)="",0,COUNTIF(Data!$B938:$U938,INDEX(Pengaturan!$B$8:$B$27,S$4)))</f>
        <v>0</v>
      </c>
      <c r="T938" s="26" t="n">
        <f aca="false">IF(INDEX(Pengaturan!$B$8:$B$27,T$4)="",0,COUNTIF(Data!$B938:$U938,INDEX(Pengaturan!$B$8:$B$27,T$4)))</f>
        <v>0</v>
      </c>
      <c r="U938" s="26" t="n">
        <f aca="false">IF(INDEX(Pengaturan!$B$8:$B$27,U$4)="",0,COUNTIF(Data!$B938:$U938,INDEX(Pengaturan!$B$8:$B$27,U$4)))</f>
        <v>0</v>
      </c>
      <c r="V938" s="26" t="n">
        <f aca="false">COUNTA(Data!$B938:$U938)</f>
        <v>0</v>
      </c>
      <c r="W938" s="27" t="str">
        <f aca="false">IF(V938=0,"",IF(V938&lt;&gt;Hasil!$C$4,"Data kosong/tidak lengkap",IF(SUM(B938:U938)&lt;&gt;V938,"Kategori tidak dikenal","OK")))</f>
        <v/>
      </c>
      <c r="X938" s="26" t="n">
        <f aca="false">IF(OR(W938="",W938="OK"),0,1)</f>
        <v>0</v>
      </c>
    </row>
    <row r="939" customFormat="false" ht="15" hidden="false" customHeight="false" outlineLevel="0" collapsed="false">
      <c r="A939" s="26" t="n">
        <f aca="false">Data!A939</f>
        <v>934</v>
      </c>
      <c r="B939" s="26" t="n">
        <f aca="false">IF(INDEX(Pengaturan!$B$8:$B$27,B$4)="",0,COUNTIF(Data!$B939:$U939,INDEX(Pengaturan!$B$8:$B$27,B$4)))</f>
        <v>0</v>
      </c>
      <c r="C939" s="26" t="n">
        <f aca="false">IF(INDEX(Pengaturan!$B$8:$B$27,C$4)="",0,COUNTIF(Data!$B939:$U939,INDEX(Pengaturan!$B$8:$B$27,C$4)))</f>
        <v>0</v>
      </c>
      <c r="D939" s="26" t="n">
        <f aca="false">IF(INDEX(Pengaturan!$B$8:$B$27,D$4)="",0,COUNTIF(Data!$B939:$U939,INDEX(Pengaturan!$B$8:$B$27,D$4)))</f>
        <v>0</v>
      </c>
      <c r="E939" s="26" t="n">
        <f aca="false">IF(INDEX(Pengaturan!$B$8:$B$27,E$4)="",0,COUNTIF(Data!$B939:$U939,INDEX(Pengaturan!$B$8:$B$27,E$4)))</f>
        <v>0</v>
      </c>
      <c r="F939" s="26" t="n">
        <f aca="false">IF(INDEX(Pengaturan!$B$8:$B$27,F$4)="",0,COUNTIF(Data!$B939:$U939,INDEX(Pengaturan!$B$8:$B$27,F$4)))</f>
        <v>0</v>
      </c>
      <c r="G939" s="26" t="n">
        <f aca="false">IF(INDEX(Pengaturan!$B$8:$B$27,G$4)="",0,COUNTIF(Data!$B939:$U939,INDEX(Pengaturan!$B$8:$B$27,G$4)))</f>
        <v>0</v>
      </c>
      <c r="H939" s="26" t="n">
        <f aca="false">IF(INDEX(Pengaturan!$B$8:$B$27,H$4)="",0,COUNTIF(Data!$B939:$U939,INDEX(Pengaturan!$B$8:$B$27,H$4)))</f>
        <v>0</v>
      </c>
      <c r="I939" s="26" t="n">
        <f aca="false">IF(INDEX(Pengaturan!$B$8:$B$27,I$4)="",0,COUNTIF(Data!$B939:$U939,INDEX(Pengaturan!$B$8:$B$27,I$4)))</f>
        <v>0</v>
      </c>
      <c r="J939" s="26" t="n">
        <f aca="false">IF(INDEX(Pengaturan!$B$8:$B$27,J$4)="",0,COUNTIF(Data!$B939:$U939,INDEX(Pengaturan!$B$8:$B$27,J$4)))</f>
        <v>0</v>
      </c>
      <c r="K939" s="26" t="n">
        <f aca="false">IF(INDEX(Pengaturan!$B$8:$B$27,K$4)="",0,COUNTIF(Data!$B939:$U939,INDEX(Pengaturan!$B$8:$B$27,K$4)))</f>
        <v>0</v>
      </c>
      <c r="L939" s="26" t="n">
        <f aca="false">IF(INDEX(Pengaturan!$B$8:$B$27,L$4)="",0,COUNTIF(Data!$B939:$U939,INDEX(Pengaturan!$B$8:$B$27,L$4)))</f>
        <v>0</v>
      </c>
      <c r="M939" s="26" t="n">
        <f aca="false">IF(INDEX(Pengaturan!$B$8:$B$27,M$4)="",0,COUNTIF(Data!$B939:$U939,INDEX(Pengaturan!$B$8:$B$27,M$4)))</f>
        <v>0</v>
      </c>
      <c r="N939" s="26" t="n">
        <f aca="false">IF(INDEX(Pengaturan!$B$8:$B$27,N$4)="",0,COUNTIF(Data!$B939:$U939,INDEX(Pengaturan!$B$8:$B$27,N$4)))</f>
        <v>0</v>
      </c>
      <c r="O939" s="26" t="n">
        <f aca="false">IF(INDEX(Pengaturan!$B$8:$B$27,O$4)="",0,COUNTIF(Data!$B939:$U939,INDEX(Pengaturan!$B$8:$B$27,O$4)))</f>
        <v>0</v>
      </c>
      <c r="P939" s="26" t="n">
        <f aca="false">IF(INDEX(Pengaturan!$B$8:$B$27,P$4)="",0,COUNTIF(Data!$B939:$U939,INDEX(Pengaturan!$B$8:$B$27,P$4)))</f>
        <v>0</v>
      </c>
      <c r="Q939" s="26" t="n">
        <f aca="false">IF(INDEX(Pengaturan!$B$8:$B$27,Q$4)="",0,COUNTIF(Data!$B939:$U939,INDEX(Pengaturan!$B$8:$B$27,Q$4)))</f>
        <v>0</v>
      </c>
      <c r="R939" s="26" t="n">
        <f aca="false">IF(INDEX(Pengaturan!$B$8:$B$27,R$4)="",0,COUNTIF(Data!$B939:$U939,INDEX(Pengaturan!$B$8:$B$27,R$4)))</f>
        <v>0</v>
      </c>
      <c r="S939" s="26" t="n">
        <f aca="false">IF(INDEX(Pengaturan!$B$8:$B$27,S$4)="",0,COUNTIF(Data!$B939:$U939,INDEX(Pengaturan!$B$8:$B$27,S$4)))</f>
        <v>0</v>
      </c>
      <c r="T939" s="26" t="n">
        <f aca="false">IF(INDEX(Pengaturan!$B$8:$B$27,T$4)="",0,COUNTIF(Data!$B939:$U939,INDEX(Pengaturan!$B$8:$B$27,T$4)))</f>
        <v>0</v>
      </c>
      <c r="U939" s="26" t="n">
        <f aca="false">IF(INDEX(Pengaturan!$B$8:$B$27,U$4)="",0,COUNTIF(Data!$B939:$U939,INDEX(Pengaturan!$B$8:$B$27,U$4)))</f>
        <v>0</v>
      </c>
      <c r="V939" s="26" t="n">
        <f aca="false">COUNTA(Data!$B939:$U939)</f>
        <v>0</v>
      </c>
      <c r="W939" s="27" t="str">
        <f aca="false">IF(V939=0,"",IF(V939&lt;&gt;Hasil!$C$4,"Data kosong/tidak lengkap",IF(SUM(B939:U939)&lt;&gt;V939,"Kategori tidak dikenal","OK")))</f>
        <v/>
      </c>
      <c r="X939" s="26" t="n">
        <f aca="false">IF(OR(W939="",W939="OK"),0,1)</f>
        <v>0</v>
      </c>
    </row>
    <row r="940" customFormat="false" ht="15" hidden="false" customHeight="false" outlineLevel="0" collapsed="false">
      <c r="A940" s="26" t="n">
        <f aca="false">Data!A940</f>
        <v>935</v>
      </c>
      <c r="B940" s="26" t="n">
        <f aca="false">IF(INDEX(Pengaturan!$B$8:$B$27,B$4)="",0,COUNTIF(Data!$B940:$U940,INDEX(Pengaturan!$B$8:$B$27,B$4)))</f>
        <v>0</v>
      </c>
      <c r="C940" s="26" t="n">
        <f aca="false">IF(INDEX(Pengaturan!$B$8:$B$27,C$4)="",0,COUNTIF(Data!$B940:$U940,INDEX(Pengaturan!$B$8:$B$27,C$4)))</f>
        <v>0</v>
      </c>
      <c r="D940" s="26" t="n">
        <f aca="false">IF(INDEX(Pengaturan!$B$8:$B$27,D$4)="",0,COUNTIF(Data!$B940:$U940,INDEX(Pengaturan!$B$8:$B$27,D$4)))</f>
        <v>0</v>
      </c>
      <c r="E940" s="26" t="n">
        <f aca="false">IF(INDEX(Pengaturan!$B$8:$B$27,E$4)="",0,COUNTIF(Data!$B940:$U940,INDEX(Pengaturan!$B$8:$B$27,E$4)))</f>
        <v>0</v>
      </c>
      <c r="F940" s="26" t="n">
        <f aca="false">IF(INDEX(Pengaturan!$B$8:$B$27,F$4)="",0,COUNTIF(Data!$B940:$U940,INDEX(Pengaturan!$B$8:$B$27,F$4)))</f>
        <v>0</v>
      </c>
      <c r="G940" s="26" t="n">
        <f aca="false">IF(INDEX(Pengaturan!$B$8:$B$27,G$4)="",0,COUNTIF(Data!$B940:$U940,INDEX(Pengaturan!$B$8:$B$27,G$4)))</f>
        <v>0</v>
      </c>
      <c r="H940" s="26" t="n">
        <f aca="false">IF(INDEX(Pengaturan!$B$8:$B$27,H$4)="",0,COUNTIF(Data!$B940:$U940,INDEX(Pengaturan!$B$8:$B$27,H$4)))</f>
        <v>0</v>
      </c>
      <c r="I940" s="26" t="n">
        <f aca="false">IF(INDEX(Pengaturan!$B$8:$B$27,I$4)="",0,COUNTIF(Data!$B940:$U940,INDEX(Pengaturan!$B$8:$B$27,I$4)))</f>
        <v>0</v>
      </c>
      <c r="J940" s="26" t="n">
        <f aca="false">IF(INDEX(Pengaturan!$B$8:$B$27,J$4)="",0,COUNTIF(Data!$B940:$U940,INDEX(Pengaturan!$B$8:$B$27,J$4)))</f>
        <v>0</v>
      </c>
      <c r="K940" s="26" t="n">
        <f aca="false">IF(INDEX(Pengaturan!$B$8:$B$27,K$4)="",0,COUNTIF(Data!$B940:$U940,INDEX(Pengaturan!$B$8:$B$27,K$4)))</f>
        <v>0</v>
      </c>
      <c r="L940" s="26" t="n">
        <f aca="false">IF(INDEX(Pengaturan!$B$8:$B$27,L$4)="",0,COUNTIF(Data!$B940:$U940,INDEX(Pengaturan!$B$8:$B$27,L$4)))</f>
        <v>0</v>
      </c>
      <c r="M940" s="26" t="n">
        <f aca="false">IF(INDEX(Pengaturan!$B$8:$B$27,M$4)="",0,COUNTIF(Data!$B940:$U940,INDEX(Pengaturan!$B$8:$B$27,M$4)))</f>
        <v>0</v>
      </c>
      <c r="N940" s="26" t="n">
        <f aca="false">IF(INDEX(Pengaturan!$B$8:$B$27,N$4)="",0,COUNTIF(Data!$B940:$U940,INDEX(Pengaturan!$B$8:$B$27,N$4)))</f>
        <v>0</v>
      </c>
      <c r="O940" s="26" t="n">
        <f aca="false">IF(INDEX(Pengaturan!$B$8:$B$27,O$4)="",0,COUNTIF(Data!$B940:$U940,INDEX(Pengaturan!$B$8:$B$27,O$4)))</f>
        <v>0</v>
      </c>
      <c r="P940" s="26" t="n">
        <f aca="false">IF(INDEX(Pengaturan!$B$8:$B$27,P$4)="",0,COUNTIF(Data!$B940:$U940,INDEX(Pengaturan!$B$8:$B$27,P$4)))</f>
        <v>0</v>
      </c>
      <c r="Q940" s="26" t="n">
        <f aca="false">IF(INDEX(Pengaturan!$B$8:$B$27,Q$4)="",0,COUNTIF(Data!$B940:$U940,INDEX(Pengaturan!$B$8:$B$27,Q$4)))</f>
        <v>0</v>
      </c>
      <c r="R940" s="26" t="n">
        <f aca="false">IF(INDEX(Pengaturan!$B$8:$B$27,R$4)="",0,COUNTIF(Data!$B940:$U940,INDEX(Pengaturan!$B$8:$B$27,R$4)))</f>
        <v>0</v>
      </c>
      <c r="S940" s="26" t="n">
        <f aca="false">IF(INDEX(Pengaturan!$B$8:$B$27,S$4)="",0,COUNTIF(Data!$B940:$U940,INDEX(Pengaturan!$B$8:$B$27,S$4)))</f>
        <v>0</v>
      </c>
      <c r="T940" s="26" t="n">
        <f aca="false">IF(INDEX(Pengaturan!$B$8:$B$27,T$4)="",0,COUNTIF(Data!$B940:$U940,INDEX(Pengaturan!$B$8:$B$27,T$4)))</f>
        <v>0</v>
      </c>
      <c r="U940" s="26" t="n">
        <f aca="false">IF(INDEX(Pengaturan!$B$8:$B$27,U$4)="",0,COUNTIF(Data!$B940:$U940,INDEX(Pengaturan!$B$8:$B$27,U$4)))</f>
        <v>0</v>
      </c>
      <c r="V940" s="26" t="n">
        <f aca="false">COUNTA(Data!$B940:$U940)</f>
        <v>0</v>
      </c>
      <c r="W940" s="27" t="str">
        <f aca="false">IF(V940=0,"",IF(V940&lt;&gt;Hasil!$C$4,"Data kosong/tidak lengkap",IF(SUM(B940:U940)&lt;&gt;V940,"Kategori tidak dikenal","OK")))</f>
        <v/>
      </c>
      <c r="X940" s="26" t="n">
        <f aca="false">IF(OR(W940="",W940="OK"),0,1)</f>
        <v>0</v>
      </c>
    </row>
    <row r="941" customFormat="false" ht="15" hidden="false" customHeight="false" outlineLevel="0" collapsed="false">
      <c r="A941" s="26" t="n">
        <f aca="false">Data!A941</f>
        <v>936</v>
      </c>
      <c r="B941" s="26" t="n">
        <f aca="false">IF(INDEX(Pengaturan!$B$8:$B$27,B$4)="",0,COUNTIF(Data!$B941:$U941,INDEX(Pengaturan!$B$8:$B$27,B$4)))</f>
        <v>0</v>
      </c>
      <c r="C941" s="26" t="n">
        <f aca="false">IF(INDEX(Pengaturan!$B$8:$B$27,C$4)="",0,COUNTIF(Data!$B941:$U941,INDEX(Pengaturan!$B$8:$B$27,C$4)))</f>
        <v>0</v>
      </c>
      <c r="D941" s="26" t="n">
        <f aca="false">IF(INDEX(Pengaturan!$B$8:$B$27,D$4)="",0,COUNTIF(Data!$B941:$U941,INDEX(Pengaturan!$B$8:$B$27,D$4)))</f>
        <v>0</v>
      </c>
      <c r="E941" s="26" t="n">
        <f aca="false">IF(INDEX(Pengaturan!$B$8:$B$27,E$4)="",0,COUNTIF(Data!$B941:$U941,INDEX(Pengaturan!$B$8:$B$27,E$4)))</f>
        <v>0</v>
      </c>
      <c r="F941" s="26" t="n">
        <f aca="false">IF(INDEX(Pengaturan!$B$8:$B$27,F$4)="",0,COUNTIF(Data!$B941:$U941,INDEX(Pengaturan!$B$8:$B$27,F$4)))</f>
        <v>0</v>
      </c>
      <c r="G941" s="26" t="n">
        <f aca="false">IF(INDEX(Pengaturan!$B$8:$B$27,G$4)="",0,COUNTIF(Data!$B941:$U941,INDEX(Pengaturan!$B$8:$B$27,G$4)))</f>
        <v>0</v>
      </c>
      <c r="H941" s="26" t="n">
        <f aca="false">IF(INDEX(Pengaturan!$B$8:$B$27,H$4)="",0,COUNTIF(Data!$B941:$U941,INDEX(Pengaturan!$B$8:$B$27,H$4)))</f>
        <v>0</v>
      </c>
      <c r="I941" s="26" t="n">
        <f aca="false">IF(INDEX(Pengaturan!$B$8:$B$27,I$4)="",0,COUNTIF(Data!$B941:$U941,INDEX(Pengaturan!$B$8:$B$27,I$4)))</f>
        <v>0</v>
      </c>
      <c r="J941" s="26" t="n">
        <f aca="false">IF(INDEX(Pengaturan!$B$8:$B$27,J$4)="",0,COUNTIF(Data!$B941:$U941,INDEX(Pengaturan!$B$8:$B$27,J$4)))</f>
        <v>0</v>
      </c>
      <c r="K941" s="26" t="n">
        <f aca="false">IF(INDEX(Pengaturan!$B$8:$B$27,K$4)="",0,COUNTIF(Data!$B941:$U941,INDEX(Pengaturan!$B$8:$B$27,K$4)))</f>
        <v>0</v>
      </c>
      <c r="L941" s="26" t="n">
        <f aca="false">IF(INDEX(Pengaturan!$B$8:$B$27,L$4)="",0,COUNTIF(Data!$B941:$U941,INDEX(Pengaturan!$B$8:$B$27,L$4)))</f>
        <v>0</v>
      </c>
      <c r="M941" s="26" t="n">
        <f aca="false">IF(INDEX(Pengaturan!$B$8:$B$27,M$4)="",0,COUNTIF(Data!$B941:$U941,INDEX(Pengaturan!$B$8:$B$27,M$4)))</f>
        <v>0</v>
      </c>
      <c r="N941" s="26" t="n">
        <f aca="false">IF(INDEX(Pengaturan!$B$8:$B$27,N$4)="",0,COUNTIF(Data!$B941:$U941,INDEX(Pengaturan!$B$8:$B$27,N$4)))</f>
        <v>0</v>
      </c>
      <c r="O941" s="26" t="n">
        <f aca="false">IF(INDEX(Pengaturan!$B$8:$B$27,O$4)="",0,COUNTIF(Data!$B941:$U941,INDEX(Pengaturan!$B$8:$B$27,O$4)))</f>
        <v>0</v>
      </c>
      <c r="P941" s="26" t="n">
        <f aca="false">IF(INDEX(Pengaturan!$B$8:$B$27,P$4)="",0,COUNTIF(Data!$B941:$U941,INDEX(Pengaturan!$B$8:$B$27,P$4)))</f>
        <v>0</v>
      </c>
      <c r="Q941" s="26" t="n">
        <f aca="false">IF(INDEX(Pengaturan!$B$8:$B$27,Q$4)="",0,COUNTIF(Data!$B941:$U941,INDEX(Pengaturan!$B$8:$B$27,Q$4)))</f>
        <v>0</v>
      </c>
      <c r="R941" s="26" t="n">
        <f aca="false">IF(INDEX(Pengaturan!$B$8:$B$27,R$4)="",0,COUNTIF(Data!$B941:$U941,INDEX(Pengaturan!$B$8:$B$27,R$4)))</f>
        <v>0</v>
      </c>
      <c r="S941" s="26" t="n">
        <f aca="false">IF(INDEX(Pengaturan!$B$8:$B$27,S$4)="",0,COUNTIF(Data!$B941:$U941,INDEX(Pengaturan!$B$8:$B$27,S$4)))</f>
        <v>0</v>
      </c>
      <c r="T941" s="26" t="n">
        <f aca="false">IF(INDEX(Pengaturan!$B$8:$B$27,T$4)="",0,COUNTIF(Data!$B941:$U941,INDEX(Pengaturan!$B$8:$B$27,T$4)))</f>
        <v>0</v>
      </c>
      <c r="U941" s="26" t="n">
        <f aca="false">IF(INDEX(Pengaturan!$B$8:$B$27,U$4)="",0,COUNTIF(Data!$B941:$U941,INDEX(Pengaturan!$B$8:$B$27,U$4)))</f>
        <v>0</v>
      </c>
      <c r="V941" s="26" t="n">
        <f aca="false">COUNTA(Data!$B941:$U941)</f>
        <v>0</v>
      </c>
      <c r="W941" s="27" t="str">
        <f aca="false">IF(V941=0,"",IF(V941&lt;&gt;Hasil!$C$4,"Data kosong/tidak lengkap",IF(SUM(B941:U941)&lt;&gt;V941,"Kategori tidak dikenal","OK")))</f>
        <v/>
      </c>
      <c r="X941" s="26" t="n">
        <f aca="false">IF(OR(W941="",W941="OK"),0,1)</f>
        <v>0</v>
      </c>
    </row>
    <row r="942" customFormat="false" ht="15" hidden="false" customHeight="false" outlineLevel="0" collapsed="false">
      <c r="A942" s="26" t="n">
        <f aca="false">Data!A942</f>
        <v>937</v>
      </c>
      <c r="B942" s="26" t="n">
        <f aca="false">IF(INDEX(Pengaturan!$B$8:$B$27,B$4)="",0,COUNTIF(Data!$B942:$U942,INDEX(Pengaturan!$B$8:$B$27,B$4)))</f>
        <v>0</v>
      </c>
      <c r="C942" s="26" t="n">
        <f aca="false">IF(INDEX(Pengaturan!$B$8:$B$27,C$4)="",0,COUNTIF(Data!$B942:$U942,INDEX(Pengaturan!$B$8:$B$27,C$4)))</f>
        <v>0</v>
      </c>
      <c r="D942" s="26" t="n">
        <f aca="false">IF(INDEX(Pengaturan!$B$8:$B$27,D$4)="",0,COUNTIF(Data!$B942:$U942,INDEX(Pengaturan!$B$8:$B$27,D$4)))</f>
        <v>0</v>
      </c>
      <c r="E942" s="26" t="n">
        <f aca="false">IF(INDEX(Pengaturan!$B$8:$B$27,E$4)="",0,COUNTIF(Data!$B942:$U942,INDEX(Pengaturan!$B$8:$B$27,E$4)))</f>
        <v>0</v>
      </c>
      <c r="F942" s="26" t="n">
        <f aca="false">IF(INDEX(Pengaturan!$B$8:$B$27,F$4)="",0,COUNTIF(Data!$B942:$U942,INDEX(Pengaturan!$B$8:$B$27,F$4)))</f>
        <v>0</v>
      </c>
      <c r="G942" s="26" t="n">
        <f aca="false">IF(INDEX(Pengaturan!$B$8:$B$27,G$4)="",0,COUNTIF(Data!$B942:$U942,INDEX(Pengaturan!$B$8:$B$27,G$4)))</f>
        <v>0</v>
      </c>
      <c r="H942" s="26" t="n">
        <f aca="false">IF(INDEX(Pengaturan!$B$8:$B$27,H$4)="",0,COUNTIF(Data!$B942:$U942,INDEX(Pengaturan!$B$8:$B$27,H$4)))</f>
        <v>0</v>
      </c>
      <c r="I942" s="26" t="n">
        <f aca="false">IF(INDEX(Pengaturan!$B$8:$B$27,I$4)="",0,COUNTIF(Data!$B942:$U942,INDEX(Pengaturan!$B$8:$B$27,I$4)))</f>
        <v>0</v>
      </c>
      <c r="J942" s="26" t="n">
        <f aca="false">IF(INDEX(Pengaturan!$B$8:$B$27,J$4)="",0,COUNTIF(Data!$B942:$U942,INDEX(Pengaturan!$B$8:$B$27,J$4)))</f>
        <v>0</v>
      </c>
      <c r="K942" s="26" t="n">
        <f aca="false">IF(INDEX(Pengaturan!$B$8:$B$27,K$4)="",0,COUNTIF(Data!$B942:$U942,INDEX(Pengaturan!$B$8:$B$27,K$4)))</f>
        <v>0</v>
      </c>
      <c r="L942" s="26" t="n">
        <f aca="false">IF(INDEX(Pengaturan!$B$8:$B$27,L$4)="",0,COUNTIF(Data!$B942:$U942,INDEX(Pengaturan!$B$8:$B$27,L$4)))</f>
        <v>0</v>
      </c>
      <c r="M942" s="26" t="n">
        <f aca="false">IF(INDEX(Pengaturan!$B$8:$B$27,M$4)="",0,COUNTIF(Data!$B942:$U942,INDEX(Pengaturan!$B$8:$B$27,M$4)))</f>
        <v>0</v>
      </c>
      <c r="N942" s="26" t="n">
        <f aca="false">IF(INDEX(Pengaturan!$B$8:$B$27,N$4)="",0,COUNTIF(Data!$B942:$U942,INDEX(Pengaturan!$B$8:$B$27,N$4)))</f>
        <v>0</v>
      </c>
      <c r="O942" s="26" t="n">
        <f aca="false">IF(INDEX(Pengaturan!$B$8:$B$27,O$4)="",0,COUNTIF(Data!$B942:$U942,INDEX(Pengaturan!$B$8:$B$27,O$4)))</f>
        <v>0</v>
      </c>
      <c r="P942" s="26" t="n">
        <f aca="false">IF(INDEX(Pengaturan!$B$8:$B$27,P$4)="",0,COUNTIF(Data!$B942:$U942,INDEX(Pengaturan!$B$8:$B$27,P$4)))</f>
        <v>0</v>
      </c>
      <c r="Q942" s="26" t="n">
        <f aca="false">IF(INDEX(Pengaturan!$B$8:$B$27,Q$4)="",0,COUNTIF(Data!$B942:$U942,INDEX(Pengaturan!$B$8:$B$27,Q$4)))</f>
        <v>0</v>
      </c>
      <c r="R942" s="26" t="n">
        <f aca="false">IF(INDEX(Pengaturan!$B$8:$B$27,R$4)="",0,COUNTIF(Data!$B942:$U942,INDEX(Pengaturan!$B$8:$B$27,R$4)))</f>
        <v>0</v>
      </c>
      <c r="S942" s="26" t="n">
        <f aca="false">IF(INDEX(Pengaturan!$B$8:$B$27,S$4)="",0,COUNTIF(Data!$B942:$U942,INDEX(Pengaturan!$B$8:$B$27,S$4)))</f>
        <v>0</v>
      </c>
      <c r="T942" s="26" t="n">
        <f aca="false">IF(INDEX(Pengaturan!$B$8:$B$27,T$4)="",0,COUNTIF(Data!$B942:$U942,INDEX(Pengaturan!$B$8:$B$27,T$4)))</f>
        <v>0</v>
      </c>
      <c r="U942" s="26" t="n">
        <f aca="false">IF(INDEX(Pengaturan!$B$8:$B$27,U$4)="",0,COUNTIF(Data!$B942:$U942,INDEX(Pengaturan!$B$8:$B$27,U$4)))</f>
        <v>0</v>
      </c>
      <c r="V942" s="26" t="n">
        <f aca="false">COUNTA(Data!$B942:$U942)</f>
        <v>0</v>
      </c>
      <c r="W942" s="27" t="str">
        <f aca="false">IF(V942=0,"",IF(V942&lt;&gt;Hasil!$C$4,"Data kosong/tidak lengkap",IF(SUM(B942:U942)&lt;&gt;V942,"Kategori tidak dikenal","OK")))</f>
        <v/>
      </c>
      <c r="X942" s="26" t="n">
        <f aca="false">IF(OR(W942="",W942="OK"),0,1)</f>
        <v>0</v>
      </c>
    </row>
    <row r="943" customFormat="false" ht="15" hidden="false" customHeight="false" outlineLevel="0" collapsed="false">
      <c r="A943" s="26" t="n">
        <f aca="false">Data!A943</f>
        <v>938</v>
      </c>
      <c r="B943" s="26" t="n">
        <f aca="false">IF(INDEX(Pengaturan!$B$8:$B$27,B$4)="",0,COUNTIF(Data!$B943:$U943,INDEX(Pengaturan!$B$8:$B$27,B$4)))</f>
        <v>0</v>
      </c>
      <c r="C943" s="26" t="n">
        <f aca="false">IF(INDEX(Pengaturan!$B$8:$B$27,C$4)="",0,COUNTIF(Data!$B943:$U943,INDEX(Pengaturan!$B$8:$B$27,C$4)))</f>
        <v>0</v>
      </c>
      <c r="D943" s="26" t="n">
        <f aca="false">IF(INDEX(Pengaturan!$B$8:$B$27,D$4)="",0,COUNTIF(Data!$B943:$U943,INDEX(Pengaturan!$B$8:$B$27,D$4)))</f>
        <v>0</v>
      </c>
      <c r="E943" s="26" t="n">
        <f aca="false">IF(INDEX(Pengaturan!$B$8:$B$27,E$4)="",0,COUNTIF(Data!$B943:$U943,INDEX(Pengaturan!$B$8:$B$27,E$4)))</f>
        <v>0</v>
      </c>
      <c r="F943" s="26" t="n">
        <f aca="false">IF(INDEX(Pengaturan!$B$8:$B$27,F$4)="",0,COUNTIF(Data!$B943:$U943,INDEX(Pengaturan!$B$8:$B$27,F$4)))</f>
        <v>0</v>
      </c>
      <c r="G943" s="26" t="n">
        <f aca="false">IF(INDEX(Pengaturan!$B$8:$B$27,G$4)="",0,COUNTIF(Data!$B943:$U943,INDEX(Pengaturan!$B$8:$B$27,G$4)))</f>
        <v>0</v>
      </c>
      <c r="H943" s="26" t="n">
        <f aca="false">IF(INDEX(Pengaturan!$B$8:$B$27,H$4)="",0,COUNTIF(Data!$B943:$U943,INDEX(Pengaturan!$B$8:$B$27,H$4)))</f>
        <v>0</v>
      </c>
      <c r="I943" s="26" t="n">
        <f aca="false">IF(INDEX(Pengaturan!$B$8:$B$27,I$4)="",0,COUNTIF(Data!$B943:$U943,INDEX(Pengaturan!$B$8:$B$27,I$4)))</f>
        <v>0</v>
      </c>
      <c r="J943" s="26" t="n">
        <f aca="false">IF(INDEX(Pengaturan!$B$8:$B$27,J$4)="",0,COUNTIF(Data!$B943:$U943,INDEX(Pengaturan!$B$8:$B$27,J$4)))</f>
        <v>0</v>
      </c>
      <c r="K943" s="26" t="n">
        <f aca="false">IF(INDEX(Pengaturan!$B$8:$B$27,K$4)="",0,COUNTIF(Data!$B943:$U943,INDEX(Pengaturan!$B$8:$B$27,K$4)))</f>
        <v>0</v>
      </c>
      <c r="L943" s="26" t="n">
        <f aca="false">IF(INDEX(Pengaturan!$B$8:$B$27,L$4)="",0,COUNTIF(Data!$B943:$U943,INDEX(Pengaturan!$B$8:$B$27,L$4)))</f>
        <v>0</v>
      </c>
      <c r="M943" s="26" t="n">
        <f aca="false">IF(INDEX(Pengaturan!$B$8:$B$27,M$4)="",0,COUNTIF(Data!$B943:$U943,INDEX(Pengaturan!$B$8:$B$27,M$4)))</f>
        <v>0</v>
      </c>
      <c r="N943" s="26" t="n">
        <f aca="false">IF(INDEX(Pengaturan!$B$8:$B$27,N$4)="",0,COUNTIF(Data!$B943:$U943,INDEX(Pengaturan!$B$8:$B$27,N$4)))</f>
        <v>0</v>
      </c>
      <c r="O943" s="26" t="n">
        <f aca="false">IF(INDEX(Pengaturan!$B$8:$B$27,O$4)="",0,COUNTIF(Data!$B943:$U943,INDEX(Pengaturan!$B$8:$B$27,O$4)))</f>
        <v>0</v>
      </c>
      <c r="P943" s="26" t="n">
        <f aca="false">IF(INDEX(Pengaturan!$B$8:$B$27,P$4)="",0,COUNTIF(Data!$B943:$U943,INDEX(Pengaturan!$B$8:$B$27,P$4)))</f>
        <v>0</v>
      </c>
      <c r="Q943" s="26" t="n">
        <f aca="false">IF(INDEX(Pengaturan!$B$8:$B$27,Q$4)="",0,COUNTIF(Data!$B943:$U943,INDEX(Pengaturan!$B$8:$B$27,Q$4)))</f>
        <v>0</v>
      </c>
      <c r="R943" s="26" t="n">
        <f aca="false">IF(INDEX(Pengaturan!$B$8:$B$27,R$4)="",0,COUNTIF(Data!$B943:$U943,INDEX(Pengaturan!$B$8:$B$27,R$4)))</f>
        <v>0</v>
      </c>
      <c r="S943" s="26" t="n">
        <f aca="false">IF(INDEX(Pengaturan!$B$8:$B$27,S$4)="",0,COUNTIF(Data!$B943:$U943,INDEX(Pengaturan!$B$8:$B$27,S$4)))</f>
        <v>0</v>
      </c>
      <c r="T943" s="26" t="n">
        <f aca="false">IF(INDEX(Pengaturan!$B$8:$B$27,T$4)="",0,COUNTIF(Data!$B943:$U943,INDEX(Pengaturan!$B$8:$B$27,T$4)))</f>
        <v>0</v>
      </c>
      <c r="U943" s="26" t="n">
        <f aca="false">IF(INDEX(Pengaturan!$B$8:$B$27,U$4)="",0,COUNTIF(Data!$B943:$U943,INDEX(Pengaturan!$B$8:$B$27,U$4)))</f>
        <v>0</v>
      </c>
      <c r="V943" s="26" t="n">
        <f aca="false">COUNTA(Data!$B943:$U943)</f>
        <v>0</v>
      </c>
      <c r="W943" s="27" t="str">
        <f aca="false">IF(V943=0,"",IF(V943&lt;&gt;Hasil!$C$4,"Data kosong/tidak lengkap",IF(SUM(B943:U943)&lt;&gt;V943,"Kategori tidak dikenal","OK")))</f>
        <v/>
      </c>
      <c r="X943" s="26" t="n">
        <f aca="false">IF(OR(W943="",W943="OK"),0,1)</f>
        <v>0</v>
      </c>
    </row>
    <row r="944" customFormat="false" ht="15" hidden="false" customHeight="false" outlineLevel="0" collapsed="false">
      <c r="A944" s="26" t="n">
        <f aca="false">Data!A944</f>
        <v>939</v>
      </c>
      <c r="B944" s="26" t="n">
        <f aca="false">IF(INDEX(Pengaturan!$B$8:$B$27,B$4)="",0,COUNTIF(Data!$B944:$U944,INDEX(Pengaturan!$B$8:$B$27,B$4)))</f>
        <v>0</v>
      </c>
      <c r="C944" s="26" t="n">
        <f aca="false">IF(INDEX(Pengaturan!$B$8:$B$27,C$4)="",0,COUNTIF(Data!$B944:$U944,INDEX(Pengaturan!$B$8:$B$27,C$4)))</f>
        <v>0</v>
      </c>
      <c r="D944" s="26" t="n">
        <f aca="false">IF(INDEX(Pengaturan!$B$8:$B$27,D$4)="",0,COUNTIF(Data!$B944:$U944,INDEX(Pengaturan!$B$8:$B$27,D$4)))</f>
        <v>0</v>
      </c>
      <c r="E944" s="26" t="n">
        <f aca="false">IF(INDEX(Pengaturan!$B$8:$B$27,E$4)="",0,COUNTIF(Data!$B944:$U944,INDEX(Pengaturan!$B$8:$B$27,E$4)))</f>
        <v>0</v>
      </c>
      <c r="F944" s="26" t="n">
        <f aca="false">IF(INDEX(Pengaturan!$B$8:$B$27,F$4)="",0,COUNTIF(Data!$B944:$U944,INDEX(Pengaturan!$B$8:$B$27,F$4)))</f>
        <v>0</v>
      </c>
      <c r="G944" s="26" t="n">
        <f aca="false">IF(INDEX(Pengaturan!$B$8:$B$27,G$4)="",0,COUNTIF(Data!$B944:$U944,INDEX(Pengaturan!$B$8:$B$27,G$4)))</f>
        <v>0</v>
      </c>
      <c r="H944" s="26" t="n">
        <f aca="false">IF(INDEX(Pengaturan!$B$8:$B$27,H$4)="",0,COUNTIF(Data!$B944:$U944,INDEX(Pengaturan!$B$8:$B$27,H$4)))</f>
        <v>0</v>
      </c>
      <c r="I944" s="26" t="n">
        <f aca="false">IF(INDEX(Pengaturan!$B$8:$B$27,I$4)="",0,COUNTIF(Data!$B944:$U944,INDEX(Pengaturan!$B$8:$B$27,I$4)))</f>
        <v>0</v>
      </c>
      <c r="J944" s="26" t="n">
        <f aca="false">IF(INDEX(Pengaturan!$B$8:$B$27,J$4)="",0,COUNTIF(Data!$B944:$U944,INDEX(Pengaturan!$B$8:$B$27,J$4)))</f>
        <v>0</v>
      </c>
      <c r="K944" s="26" t="n">
        <f aca="false">IF(INDEX(Pengaturan!$B$8:$B$27,K$4)="",0,COUNTIF(Data!$B944:$U944,INDEX(Pengaturan!$B$8:$B$27,K$4)))</f>
        <v>0</v>
      </c>
      <c r="L944" s="26" t="n">
        <f aca="false">IF(INDEX(Pengaturan!$B$8:$B$27,L$4)="",0,COUNTIF(Data!$B944:$U944,INDEX(Pengaturan!$B$8:$B$27,L$4)))</f>
        <v>0</v>
      </c>
      <c r="M944" s="26" t="n">
        <f aca="false">IF(INDEX(Pengaturan!$B$8:$B$27,M$4)="",0,COUNTIF(Data!$B944:$U944,INDEX(Pengaturan!$B$8:$B$27,M$4)))</f>
        <v>0</v>
      </c>
      <c r="N944" s="26" t="n">
        <f aca="false">IF(INDEX(Pengaturan!$B$8:$B$27,N$4)="",0,COUNTIF(Data!$B944:$U944,INDEX(Pengaturan!$B$8:$B$27,N$4)))</f>
        <v>0</v>
      </c>
      <c r="O944" s="26" t="n">
        <f aca="false">IF(INDEX(Pengaturan!$B$8:$B$27,O$4)="",0,COUNTIF(Data!$B944:$U944,INDEX(Pengaturan!$B$8:$B$27,O$4)))</f>
        <v>0</v>
      </c>
      <c r="P944" s="26" t="n">
        <f aca="false">IF(INDEX(Pengaturan!$B$8:$B$27,P$4)="",0,COUNTIF(Data!$B944:$U944,INDEX(Pengaturan!$B$8:$B$27,P$4)))</f>
        <v>0</v>
      </c>
      <c r="Q944" s="26" t="n">
        <f aca="false">IF(INDEX(Pengaturan!$B$8:$B$27,Q$4)="",0,COUNTIF(Data!$B944:$U944,INDEX(Pengaturan!$B$8:$B$27,Q$4)))</f>
        <v>0</v>
      </c>
      <c r="R944" s="26" t="n">
        <f aca="false">IF(INDEX(Pengaturan!$B$8:$B$27,R$4)="",0,COUNTIF(Data!$B944:$U944,INDEX(Pengaturan!$B$8:$B$27,R$4)))</f>
        <v>0</v>
      </c>
      <c r="S944" s="26" t="n">
        <f aca="false">IF(INDEX(Pengaturan!$B$8:$B$27,S$4)="",0,COUNTIF(Data!$B944:$U944,INDEX(Pengaturan!$B$8:$B$27,S$4)))</f>
        <v>0</v>
      </c>
      <c r="T944" s="26" t="n">
        <f aca="false">IF(INDEX(Pengaturan!$B$8:$B$27,T$4)="",0,COUNTIF(Data!$B944:$U944,INDEX(Pengaturan!$B$8:$B$27,T$4)))</f>
        <v>0</v>
      </c>
      <c r="U944" s="26" t="n">
        <f aca="false">IF(INDEX(Pengaturan!$B$8:$B$27,U$4)="",0,COUNTIF(Data!$B944:$U944,INDEX(Pengaturan!$B$8:$B$27,U$4)))</f>
        <v>0</v>
      </c>
      <c r="V944" s="26" t="n">
        <f aca="false">COUNTA(Data!$B944:$U944)</f>
        <v>0</v>
      </c>
      <c r="W944" s="27" t="str">
        <f aca="false">IF(V944=0,"",IF(V944&lt;&gt;Hasil!$C$4,"Data kosong/tidak lengkap",IF(SUM(B944:U944)&lt;&gt;V944,"Kategori tidak dikenal","OK")))</f>
        <v/>
      </c>
      <c r="X944" s="26" t="n">
        <f aca="false">IF(OR(W944="",W944="OK"),0,1)</f>
        <v>0</v>
      </c>
    </row>
    <row r="945" customFormat="false" ht="15" hidden="false" customHeight="false" outlineLevel="0" collapsed="false">
      <c r="A945" s="26" t="n">
        <f aca="false">Data!A945</f>
        <v>940</v>
      </c>
      <c r="B945" s="26" t="n">
        <f aca="false">IF(INDEX(Pengaturan!$B$8:$B$27,B$4)="",0,COUNTIF(Data!$B945:$U945,INDEX(Pengaturan!$B$8:$B$27,B$4)))</f>
        <v>0</v>
      </c>
      <c r="C945" s="26" t="n">
        <f aca="false">IF(INDEX(Pengaturan!$B$8:$B$27,C$4)="",0,COUNTIF(Data!$B945:$U945,INDEX(Pengaturan!$B$8:$B$27,C$4)))</f>
        <v>0</v>
      </c>
      <c r="D945" s="26" t="n">
        <f aca="false">IF(INDEX(Pengaturan!$B$8:$B$27,D$4)="",0,COUNTIF(Data!$B945:$U945,INDEX(Pengaturan!$B$8:$B$27,D$4)))</f>
        <v>0</v>
      </c>
      <c r="E945" s="26" t="n">
        <f aca="false">IF(INDEX(Pengaturan!$B$8:$B$27,E$4)="",0,COUNTIF(Data!$B945:$U945,INDEX(Pengaturan!$B$8:$B$27,E$4)))</f>
        <v>0</v>
      </c>
      <c r="F945" s="26" t="n">
        <f aca="false">IF(INDEX(Pengaturan!$B$8:$B$27,F$4)="",0,COUNTIF(Data!$B945:$U945,INDEX(Pengaturan!$B$8:$B$27,F$4)))</f>
        <v>0</v>
      </c>
      <c r="G945" s="26" t="n">
        <f aca="false">IF(INDEX(Pengaturan!$B$8:$B$27,G$4)="",0,COUNTIF(Data!$B945:$U945,INDEX(Pengaturan!$B$8:$B$27,G$4)))</f>
        <v>0</v>
      </c>
      <c r="H945" s="26" t="n">
        <f aca="false">IF(INDEX(Pengaturan!$B$8:$B$27,H$4)="",0,COUNTIF(Data!$B945:$U945,INDEX(Pengaturan!$B$8:$B$27,H$4)))</f>
        <v>0</v>
      </c>
      <c r="I945" s="26" t="n">
        <f aca="false">IF(INDEX(Pengaturan!$B$8:$B$27,I$4)="",0,COUNTIF(Data!$B945:$U945,INDEX(Pengaturan!$B$8:$B$27,I$4)))</f>
        <v>0</v>
      </c>
      <c r="J945" s="26" t="n">
        <f aca="false">IF(INDEX(Pengaturan!$B$8:$B$27,J$4)="",0,COUNTIF(Data!$B945:$U945,INDEX(Pengaturan!$B$8:$B$27,J$4)))</f>
        <v>0</v>
      </c>
      <c r="K945" s="26" t="n">
        <f aca="false">IF(INDEX(Pengaturan!$B$8:$B$27,K$4)="",0,COUNTIF(Data!$B945:$U945,INDEX(Pengaturan!$B$8:$B$27,K$4)))</f>
        <v>0</v>
      </c>
      <c r="L945" s="26" t="n">
        <f aca="false">IF(INDEX(Pengaturan!$B$8:$B$27,L$4)="",0,COUNTIF(Data!$B945:$U945,INDEX(Pengaturan!$B$8:$B$27,L$4)))</f>
        <v>0</v>
      </c>
      <c r="M945" s="26" t="n">
        <f aca="false">IF(INDEX(Pengaturan!$B$8:$B$27,M$4)="",0,COUNTIF(Data!$B945:$U945,INDEX(Pengaturan!$B$8:$B$27,M$4)))</f>
        <v>0</v>
      </c>
      <c r="N945" s="26" t="n">
        <f aca="false">IF(INDEX(Pengaturan!$B$8:$B$27,N$4)="",0,COUNTIF(Data!$B945:$U945,INDEX(Pengaturan!$B$8:$B$27,N$4)))</f>
        <v>0</v>
      </c>
      <c r="O945" s="26" t="n">
        <f aca="false">IF(INDEX(Pengaturan!$B$8:$B$27,O$4)="",0,COUNTIF(Data!$B945:$U945,INDEX(Pengaturan!$B$8:$B$27,O$4)))</f>
        <v>0</v>
      </c>
      <c r="P945" s="26" t="n">
        <f aca="false">IF(INDEX(Pengaturan!$B$8:$B$27,P$4)="",0,COUNTIF(Data!$B945:$U945,INDEX(Pengaturan!$B$8:$B$27,P$4)))</f>
        <v>0</v>
      </c>
      <c r="Q945" s="26" t="n">
        <f aca="false">IF(INDEX(Pengaturan!$B$8:$B$27,Q$4)="",0,COUNTIF(Data!$B945:$U945,INDEX(Pengaturan!$B$8:$B$27,Q$4)))</f>
        <v>0</v>
      </c>
      <c r="R945" s="26" t="n">
        <f aca="false">IF(INDEX(Pengaturan!$B$8:$B$27,R$4)="",0,COUNTIF(Data!$B945:$U945,INDEX(Pengaturan!$B$8:$B$27,R$4)))</f>
        <v>0</v>
      </c>
      <c r="S945" s="26" t="n">
        <f aca="false">IF(INDEX(Pengaturan!$B$8:$B$27,S$4)="",0,COUNTIF(Data!$B945:$U945,INDEX(Pengaturan!$B$8:$B$27,S$4)))</f>
        <v>0</v>
      </c>
      <c r="T945" s="26" t="n">
        <f aca="false">IF(INDEX(Pengaturan!$B$8:$B$27,T$4)="",0,COUNTIF(Data!$B945:$U945,INDEX(Pengaturan!$B$8:$B$27,T$4)))</f>
        <v>0</v>
      </c>
      <c r="U945" s="26" t="n">
        <f aca="false">IF(INDEX(Pengaturan!$B$8:$B$27,U$4)="",0,COUNTIF(Data!$B945:$U945,INDEX(Pengaturan!$B$8:$B$27,U$4)))</f>
        <v>0</v>
      </c>
      <c r="V945" s="26" t="n">
        <f aca="false">COUNTA(Data!$B945:$U945)</f>
        <v>0</v>
      </c>
      <c r="W945" s="27" t="str">
        <f aca="false">IF(V945=0,"",IF(V945&lt;&gt;Hasil!$C$4,"Data kosong/tidak lengkap",IF(SUM(B945:U945)&lt;&gt;V945,"Kategori tidak dikenal","OK")))</f>
        <v/>
      </c>
      <c r="X945" s="26" t="n">
        <f aca="false">IF(OR(W945="",W945="OK"),0,1)</f>
        <v>0</v>
      </c>
    </row>
    <row r="946" customFormat="false" ht="15" hidden="false" customHeight="false" outlineLevel="0" collapsed="false">
      <c r="A946" s="26" t="n">
        <f aca="false">Data!A946</f>
        <v>941</v>
      </c>
      <c r="B946" s="26" t="n">
        <f aca="false">IF(INDEX(Pengaturan!$B$8:$B$27,B$4)="",0,COUNTIF(Data!$B946:$U946,INDEX(Pengaturan!$B$8:$B$27,B$4)))</f>
        <v>0</v>
      </c>
      <c r="C946" s="26" t="n">
        <f aca="false">IF(INDEX(Pengaturan!$B$8:$B$27,C$4)="",0,COUNTIF(Data!$B946:$U946,INDEX(Pengaturan!$B$8:$B$27,C$4)))</f>
        <v>0</v>
      </c>
      <c r="D946" s="26" t="n">
        <f aca="false">IF(INDEX(Pengaturan!$B$8:$B$27,D$4)="",0,COUNTIF(Data!$B946:$U946,INDEX(Pengaturan!$B$8:$B$27,D$4)))</f>
        <v>0</v>
      </c>
      <c r="E946" s="26" t="n">
        <f aca="false">IF(INDEX(Pengaturan!$B$8:$B$27,E$4)="",0,COUNTIF(Data!$B946:$U946,INDEX(Pengaturan!$B$8:$B$27,E$4)))</f>
        <v>0</v>
      </c>
      <c r="F946" s="26" t="n">
        <f aca="false">IF(INDEX(Pengaturan!$B$8:$B$27,F$4)="",0,COUNTIF(Data!$B946:$U946,INDEX(Pengaturan!$B$8:$B$27,F$4)))</f>
        <v>0</v>
      </c>
      <c r="G946" s="26" t="n">
        <f aca="false">IF(INDEX(Pengaturan!$B$8:$B$27,G$4)="",0,COUNTIF(Data!$B946:$U946,INDEX(Pengaturan!$B$8:$B$27,G$4)))</f>
        <v>0</v>
      </c>
      <c r="H946" s="26" t="n">
        <f aca="false">IF(INDEX(Pengaturan!$B$8:$B$27,H$4)="",0,COUNTIF(Data!$B946:$U946,INDEX(Pengaturan!$B$8:$B$27,H$4)))</f>
        <v>0</v>
      </c>
      <c r="I946" s="26" t="n">
        <f aca="false">IF(INDEX(Pengaturan!$B$8:$B$27,I$4)="",0,COUNTIF(Data!$B946:$U946,INDEX(Pengaturan!$B$8:$B$27,I$4)))</f>
        <v>0</v>
      </c>
      <c r="J946" s="26" t="n">
        <f aca="false">IF(INDEX(Pengaturan!$B$8:$B$27,J$4)="",0,COUNTIF(Data!$B946:$U946,INDEX(Pengaturan!$B$8:$B$27,J$4)))</f>
        <v>0</v>
      </c>
      <c r="K946" s="26" t="n">
        <f aca="false">IF(INDEX(Pengaturan!$B$8:$B$27,K$4)="",0,COUNTIF(Data!$B946:$U946,INDEX(Pengaturan!$B$8:$B$27,K$4)))</f>
        <v>0</v>
      </c>
      <c r="L946" s="26" t="n">
        <f aca="false">IF(INDEX(Pengaturan!$B$8:$B$27,L$4)="",0,COUNTIF(Data!$B946:$U946,INDEX(Pengaturan!$B$8:$B$27,L$4)))</f>
        <v>0</v>
      </c>
      <c r="M946" s="26" t="n">
        <f aca="false">IF(INDEX(Pengaturan!$B$8:$B$27,M$4)="",0,COUNTIF(Data!$B946:$U946,INDEX(Pengaturan!$B$8:$B$27,M$4)))</f>
        <v>0</v>
      </c>
      <c r="N946" s="26" t="n">
        <f aca="false">IF(INDEX(Pengaturan!$B$8:$B$27,N$4)="",0,COUNTIF(Data!$B946:$U946,INDEX(Pengaturan!$B$8:$B$27,N$4)))</f>
        <v>0</v>
      </c>
      <c r="O946" s="26" t="n">
        <f aca="false">IF(INDEX(Pengaturan!$B$8:$B$27,O$4)="",0,COUNTIF(Data!$B946:$U946,INDEX(Pengaturan!$B$8:$B$27,O$4)))</f>
        <v>0</v>
      </c>
      <c r="P946" s="26" t="n">
        <f aca="false">IF(INDEX(Pengaturan!$B$8:$B$27,P$4)="",0,COUNTIF(Data!$B946:$U946,INDEX(Pengaturan!$B$8:$B$27,P$4)))</f>
        <v>0</v>
      </c>
      <c r="Q946" s="26" t="n">
        <f aca="false">IF(INDEX(Pengaturan!$B$8:$B$27,Q$4)="",0,COUNTIF(Data!$B946:$U946,INDEX(Pengaturan!$B$8:$B$27,Q$4)))</f>
        <v>0</v>
      </c>
      <c r="R946" s="26" t="n">
        <f aca="false">IF(INDEX(Pengaturan!$B$8:$B$27,R$4)="",0,COUNTIF(Data!$B946:$U946,INDEX(Pengaturan!$B$8:$B$27,R$4)))</f>
        <v>0</v>
      </c>
      <c r="S946" s="26" t="n">
        <f aca="false">IF(INDEX(Pengaturan!$B$8:$B$27,S$4)="",0,COUNTIF(Data!$B946:$U946,INDEX(Pengaturan!$B$8:$B$27,S$4)))</f>
        <v>0</v>
      </c>
      <c r="T946" s="26" t="n">
        <f aca="false">IF(INDEX(Pengaturan!$B$8:$B$27,T$4)="",0,COUNTIF(Data!$B946:$U946,INDEX(Pengaturan!$B$8:$B$27,T$4)))</f>
        <v>0</v>
      </c>
      <c r="U946" s="26" t="n">
        <f aca="false">IF(INDEX(Pengaturan!$B$8:$B$27,U$4)="",0,COUNTIF(Data!$B946:$U946,INDEX(Pengaturan!$B$8:$B$27,U$4)))</f>
        <v>0</v>
      </c>
      <c r="V946" s="26" t="n">
        <f aca="false">COUNTA(Data!$B946:$U946)</f>
        <v>0</v>
      </c>
      <c r="W946" s="27" t="str">
        <f aca="false">IF(V946=0,"",IF(V946&lt;&gt;Hasil!$C$4,"Data kosong/tidak lengkap",IF(SUM(B946:U946)&lt;&gt;V946,"Kategori tidak dikenal","OK")))</f>
        <v/>
      </c>
      <c r="X946" s="26" t="n">
        <f aca="false">IF(OR(W946="",W946="OK"),0,1)</f>
        <v>0</v>
      </c>
    </row>
    <row r="947" customFormat="false" ht="15" hidden="false" customHeight="false" outlineLevel="0" collapsed="false">
      <c r="A947" s="26" t="n">
        <f aca="false">Data!A947</f>
        <v>942</v>
      </c>
      <c r="B947" s="26" t="n">
        <f aca="false">IF(INDEX(Pengaturan!$B$8:$B$27,B$4)="",0,COUNTIF(Data!$B947:$U947,INDEX(Pengaturan!$B$8:$B$27,B$4)))</f>
        <v>0</v>
      </c>
      <c r="C947" s="26" t="n">
        <f aca="false">IF(INDEX(Pengaturan!$B$8:$B$27,C$4)="",0,COUNTIF(Data!$B947:$U947,INDEX(Pengaturan!$B$8:$B$27,C$4)))</f>
        <v>0</v>
      </c>
      <c r="D947" s="26" t="n">
        <f aca="false">IF(INDEX(Pengaturan!$B$8:$B$27,D$4)="",0,COUNTIF(Data!$B947:$U947,INDEX(Pengaturan!$B$8:$B$27,D$4)))</f>
        <v>0</v>
      </c>
      <c r="E947" s="26" t="n">
        <f aca="false">IF(INDEX(Pengaturan!$B$8:$B$27,E$4)="",0,COUNTIF(Data!$B947:$U947,INDEX(Pengaturan!$B$8:$B$27,E$4)))</f>
        <v>0</v>
      </c>
      <c r="F947" s="26" t="n">
        <f aca="false">IF(INDEX(Pengaturan!$B$8:$B$27,F$4)="",0,COUNTIF(Data!$B947:$U947,INDEX(Pengaturan!$B$8:$B$27,F$4)))</f>
        <v>0</v>
      </c>
      <c r="G947" s="26" t="n">
        <f aca="false">IF(INDEX(Pengaturan!$B$8:$B$27,G$4)="",0,COUNTIF(Data!$B947:$U947,INDEX(Pengaturan!$B$8:$B$27,G$4)))</f>
        <v>0</v>
      </c>
      <c r="H947" s="26" t="n">
        <f aca="false">IF(INDEX(Pengaturan!$B$8:$B$27,H$4)="",0,COUNTIF(Data!$B947:$U947,INDEX(Pengaturan!$B$8:$B$27,H$4)))</f>
        <v>0</v>
      </c>
      <c r="I947" s="26" t="n">
        <f aca="false">IF(INDEX(Pengaturan!$B$8:$B$27,I$4)="",0,COUNTIF(Data!$B947:$U947,INDEX(Pengaturan!$B$8:$B$27,I$4)))</f>
        <v>0</v>
      </c>
      <c r="J947" s="26" t="n">
        <f aca="false">IF(INDEX(Pengaturan!$B$8:$B$27,J$4)="",0,COUNTIF(Data!$B947:$U947,INDEX(Pengaturan!$B$8:$B$27,J$4)))</f>
        <v>0</v>
      </c>
      <c r="K947" s="26" t="n">
        <f aca="false">IF(INDEX(Pengaturan!$B$8:$B$27,K$4)="",0,COUNTIF(Data!$B947:$U947,INDEX(Pengaturan!$B$8:$B$27,K$4)))</f>
        <v>0</v>
      </c>
      <c r="L947" s="26" t="n">
        <f aca="false">IF(INDEX(Pengaturan!$B$8:$B$27,L$4)="",0,COUNTIF(Data!$B947:$U947,INDEX(Pengaturan!$B$8:$B$27,L$4)))</f>
        <v>0</v>
      </c>
      <c r="M947" s="26" t="n">
        <f aca="false">IF(INDEX(Pengaturan!$B$8:$B$27,M$4)="",0,COUNTIF(Data!$B947:$U947,INDEX(Pengaturan!$B$8:$B$27,M$4)))</f>
        <v>0</v>
      </c>
      <c r="N947" s="26" t="n">
        <f aca="false">IF(INDEX(Pengaturan!$B$8:$B$27,N$4)="",0,COUNTIF(Data!$B947:$U947,INDEX(Pengaturan!$B$8:$B$27,N$4)))</f>
        <v>0</v>
      </c>
      <c r="O947" s="26" t="n">
        <f aca="false">IF(INDEX(Pengaturan!$B$8:$B$27,O$4)="",0,COUNTIF(Data!$B947:$U947,INDEX(Pengaturan!$B$8:$B$27,O$4)))</f>
        <v>0</v>
      </c>
      <c r="P947" s="26" t="n">
        <f aca="false">IF(INDEX(Pengaturan!$B$8:$B$27,P$4)="",0,COUNTIF(Data!$B947:$U947,INDEX(Pengaturan!$B$8:$B$27,P$4)))</f>
        <v>0</v>
      </c>
      <c r="Q947" s="26" t="n">
        <f aca="false">IF(INDEX(Pengaturan!$B$8:$B$27,Q$4)="",0,COUNTIF(Data!$B947:$U947,INDEX(Pengaturan!$B$8:$B$27,Q$4)))</f>
        <v>0</v>
      </c>
      <c r="R947" s="26" t="n">
        <f aca="false">IF(INDEX(Pengaturan!$B$8:$B$27,R$4)="",0,COUNTIF(Data!$B947:$U947,INDEX(Pengaturan!$B$8:$B$27,R$4)))</f>
        <v>0</v>
      </c>
      <c r="S947" s="26" t="n">
        <f aca="false">IF(INDEX(Pengaturan!$B$8:$B$27,S$4)="",0,COUNTIF(Data!$B947:$U947,INDEX(Pengaturan!$B$8:$B$27,S$4)))</f>
        <v>0</v>
      </c>
      <c r="T947" s="26" t="n">
        <f aca="false">IF(INDEX(Pengaturan!$B$8:$B$27,T$4)="",0,COUNTIF(Data!$B947:$U947,INDEX(Pengaturan!$B$8:$B$27,T$4)))</f>
        <v>0</v>
      </c>
      <c r="U947" s="26" t="n">
        <f aca="false">IF(INDEX(Pengaturan!$B$8:$B$27,U$4)="",0,COUNTIF(Data!$B947:$U947,INDEX(Pengaturan!$B$8:$B$27,U$4)))</f>
        <v>0</v>
      </c>
      <c r="V947" s="26" t="n">
        <f aca="false">COUNTA(Data!$B947:$U947)</f>
        <v>0</v>
      </c>
      <c r="W947" s="27" t="str">
        <f aca="false">IF(V947=0,"",IF(V947&lt;&gt;Hasil!$C$4,"Data kosong/tidak lengkap",IF(SUM(B947:U947)&lt;&gt;V947,"Kategori tidak dikenal","OK")))</f>
        <v/>
      </c>
      <c r="X947" s="26" t="n">
        <f aca="false">IF(OR(W947="",W947="OK"),0,1)</f>
        <v>0</v>
      </c>
    </row>
    <row r="948" customFormat="false" ht="15" hidden="false" customHeight="false" outlineLevel="0" collapsed="false">
      <c r="A948" s="26" t="n">
        <f aca="false">Data!A948</f>
        <v>943</v>
      </c>
      <c r="B948" s="26" t="n">
        <f aca="false">IF(INDEX(Pengaturan!$B$8:$B$27,B$4)="",0,COUNTIF(Data!$B948:$U948,INDEX(Pengaturan!$B$8:$B$27,B$4)))</f>
        <v>0</v>
      </c>
      <c r="C948" s="26" t="n">
        <f aca="false">IF(INDEX(Pengaturan!$B$8:$B$27,C$4)="",0,COUNTIF(Data!$B948:$U948,INDEX(Pengaturan!$B$8:$B$27,C$4)))</f>
        <v>0</v>
      </c>
      <c r="D948" s="26" t="n">
        <f aca="false">IF(INDEX(Pengaturan!$B$8:$B$27,D$4)="",0,COUNTIF(Data!$B948:$U948,INDEX(Pengaturan!$B$8:$B$27,D$4)))</f>
        <v>0</v>
      </c>
      <c r="E948" s="26" t="n">
        <f aca="false">IF(INDEX(Pengaturan!$B$8:$B$27,E$4)="",0,COUNTIF(Data!$B948:$U948,INDEX(Pengaturan!$B$8:$B$27,E$4)))</f>
        <v>0</v>
      </c>
      <c r="F948" s="26" t="n">
        <f aca="false">IF(INDEX(Pengaturan!$B$8:$B$27,F$4)="",0,COUNTIF(Data!$B948:$U948,INDEX(Pengaturan!$B$8:$B$27,F$4)))</f>
        <v>0</v>
      </c>
      <c r="G948" s="26" t="n">
        <f aca="false">IF(INDEX(Pengaturan!$B$8:$B$27,G$4)="",0,COUNTIF(Data!$B948:$U948,INDEX(Pengaturan!$B$8:$B$27,G$4)))</f>
        <v>0</v>
      </c>
      <c r="H948" s="26" t="n">
        <f aca="false">IF(INDEX(Pengaturan!$B$8:$B$27,H$4)="",0,COUNTIF(Data!$B948:$U948,INDEX(Pengaturan!$B$8:$B$27,H$4)))</f>
        <v>0</v>
      </c>
      <c r="I948" s="26" t="n">
        <f aca="false">IF(INDEX(Pengaturan!$B$8:$B$27,I$4)="",0,COUNTIF(Data!$B948:$U948,INDEX(Pengaturan!$B$8:$B$27,I$4)))</f>
        <v>0</v>
      </c>
      <c r="J948" s="26" t="n">
        <f aca="false">IF(INDEX(Pengaturan!$B$8:$B$27,J$4)="",0,COUNTIF(Data!$B948:$U948,INDEX(Pengaturan!$B$8:$B$27,J$4)))</f>
        <v>0</v>
      </c>
      <c r="K948" s="26" t="n">
        <f aca="false">IF(INDEX(Pengaturan!$B$8:$B$27,K$4)="",0,COUNTIF(Data!$B948:$U948,INDEX(Pengaturan!$B$8:$B$27,K$4)))</f>
        <v>0</v>
      </c>
      <c r="L948" s="26" t="n">
        <f aca="false">IF(INDEX(Pengaturan!$B$8:$B$27,L$4)="",0,COUNTIF(Data!$B948:$U948,INDEX(Pengaturan!$B$8:$B$27,L$4)))</f>
        <v>0</v>
      </c>
      <c r="M948" s="26" t="n">
        <f aca="false">IF(INDEX(Pengaturan!$B$8:$B$27,M$4)="",0,COUNTIF(Data!$B948:$U948,INDEX(Pengaturan!$B$8:$B$27,M$4)))</f>
        <v>0</v>
      </c>
      <c r="N948" s="26" t="n">
        <f aca="false">IF(INDEX(Pengaturan!$B$8:$B$27,N$4)="",0,COUNTIF(Data!$B948:$U948,INDEX(Pengaturan!$B$8:$B$27,N$4)))</f>
        <v>0</v>
      </c>
      <c r="O948" s="26" t="n">
        <f aca="false">IF(INDEX(Pengaturan!$B$8:$B$27,O$4)="",0,COUNTIF(Data!$B948:$U948,INDEX(Pengaturan!$B$8:$B$27,O$4)))</f>
        <v>0</v>
      </c>
      <c r="P948" s="26" t="n">
        <f aca="false">IF(INDEX(Pengaturan!$B$8:$B$27,P$4)="",0,COUNTIF(Data!$B948:$U948,INDEX(Pengaturan!$B$8:$B$27,P$4)))</f>
        <v>0</v>
      </c>
      <c r="Q948" s="26" t="n">
        <f aca="false">IF(INDEX(Pengaturan!$B$8:$B$27,Q$4)="",0,COUNTIF(Data!$B948:$U948,INDEX(Pengaturan!$B$8:$B$27,Q$4)))</f>
        <v>0</v>
      </c>
      <c r="R948" s="26" t="n">
        <f aca="false">IF(INDEX(Pengaturan!$B$8:$B$27,R$4)="",0,COUNTIF(Data!$B948:$U948,INDEX(Pengaturan!$B$8:$B$27,R$4)))</f>
        <v>0</v>
      </c>
      <c r="S948" s="26" t="n">
        <f aca="false">IF(INDEX(Pengaturan!$B$8:$B$27,S$4)="",0,COUNTIF(Data!$B948:$U948,INDEX(Pengaturan!$B$8:$B$27,S$4)))</f>
        <v>0</v>
      </c>
      <c r="T948" s="26" t="n">
        <f aca="false">IF(INDEX(Pengaturan!$B$8:$B$27,T$4)="",0,COUNTIF(Data!$B948:$U948,INDEX(Pengaturan!$B$8:$B$27,T$4)))</f>
        <v>0</v>
      </c>
      <c r="U948" s="26" t="n">
        <f aca="false">IF(INDEX(Pengaturan!$B$8:$B$27,U$4)="",0,COUNTIF(Data!$B948:$U948,INDEX(Pengaturan!$B$8:$B$27,U$4)))</f>
        <v>0</v>
      </c>
      <c r="V948" s="26" t="n">
        <f aca="false">COUNTA(Data!$B948:$U948)</f>
        <v>0</v>
      </c>
      <c r="W948" s="27" t="str">
        <f aca="false">IF(V948=0,"",IF(V948&lt;&gt;Hasil!$C$4,"Data kosong/tidak lengkap",IF(SUM(B948:U948)&lt;&gt;V948,"Kategori tidak dikenal","OK")))</f>
        <v/>
      </c>
      <c r="X948" s="26" t="n">
        <f aca="false">IF(OR(W948="",W948="OK"),0,1)</f>
        <v>0</v>
      </c>
    </row>
    <row r="949" customFormat="false" ht="15" hidden="false" customHeight="false" outlineLevel="0" collapsed="false">
      <c r="A949" s="26" t="n">
        <f aca="false">Data!A949</f>
        <v>944</v>
      </c>
      <c r="B949" s="26" t="n">
        <f aca="false">IF(INDEX(Pengaturan!$B$8:$B$27,B$4)="",0,COUNTIF(Data!$B949:$U949,INDEX(Pengaturan!$B$8:$B$27,B$4)))</f>
        <v>0</v>
      </c>
      <c r="C949" s="26" t="n">
        <f aca="false">IF(INDEX(Pengaturan!$B$8:$B$27,C$4)="",0,COUNTIF(Data!$B949:$U949,INDEX(Pengaturan!$B$8:$B$27,C$4)))</f>
        <v>0</v>
      </c>
      <c r="D949" s="26" t="n">
        <f aca="false">IF(INDEX(Pengaturan!$B$8:$B$27,D$4)="",0,COUNTIF(Data!$B949:$U949,INDEX(Pengaturan!$B$8:$B$27,D$4)))</f>
        <v>0</v>
      </c>
      <c r="E949" s="26" t="n">
        <f aca="false">IF(INDEX(Pengaturan!$B$8:$B$27,E$4)="",0,COUNTIF(Data!$B949:$U949,INDEX(Pengaturan!$B$8:$B$27,E$4)))</f>
        <v>0</v>
      </c>
      <c r="F949" s="26" t="n">
        <f aca="false">IF(INDEX(Pengaturan!$B$8:$B$27,F$4)="",0,COUNTIF(Data!$B949:$U949,INDEX(Pengaturan!$B$8:$B$27,F$4)))</f>
        <v>0</v>
      </c>
      <c r="G949" s="26" t="n">
        <f aca="false">IF(INDEX(Pengaturan!$B$8:$B$27,G$4)="",0,COUNTIF(Data!$B949:$U949,INDEX(Pengaturan!$B$8:$B$27,G$4)))</f>
        <v>0</v>
      </c>
      <c r="H949" s="26" t="n">
        <f aca="false">IF(INDEX(Pengaturan!$B$8:$B$27,H$4)="",0,COUNTIF(Data!$B949:$U949,INDEX(Pengaturan!$B$8:$B$27,H$4)))</f>
        <v>0</v>
      </c>
      <c r="I949" s="26" t="n">
        <f aca="false">IF(INDEX(Pengaturan!$B$8:$B$27,I$4)="",0,COUNTIF(Data!$B949:$U949,INDEX(Pengaturan!$B$8:$B$27,I$4)))</f>
        <v>0</v>
      </c>
      <c r="J949" s="26" t="n">
        <f aca="false">IF(INDEX(Pengaturan!$B$8:$B$27,J$4)="",0,COUNTIF(Data!$B949:$U949,INDEX(Pengaturan!$B$8:$B$27,J$4)))</f>
        <v>0</v>
      </c>
      <c r="K949" s="26" t="n">
        <f aca="false">IF(INDEX(Pengaturan!$B$8:$B$27,K$4)="",0,COUNTIF(Data!$B949:$U949,INDEX(Pengaturan!$B$8:$B$27,K$4)))</f>
        <v>0</v>
      </c>
      <c r="L949" s="26" t="n">
        <f aca="false">IF(INDEX(Pengaturan!$B$8:$B$27,L$4)="",0,COUNTIF(Data!$B949:$U949,INDEX(Pengaturan!$B$8:$B$27,L$4)))</f>
        <v>0</v>
      </c>
      <c r="M949" s="26" t="n">
        <f aca="false">IF(INDEX(Pengaturan!$B$8:$B$27,M$4)="",0,COUNTIF(Data!$B949:$U949,INDEX(Pengaturan!$B$8:$B$27,M$4)))</f>
        <v>0</v>
      </c>
      <c r="N949" s="26" t="n">
        <f aca="false">IF(INDEX(Pengaturan!$B$8:$B$27,N$4)="",0,COUNTIF(Data!$B949:$U949,INDEX(Pengaturan!$B$8:$B$27,N$4)))</f>
        <v>0</v>
      </c>
      <c r="O949" s="26" t="n">
        <f aca="false">IF(INDEX(Pengaturan!$B$8:$B$27,O$4)="",0,COUNTIF(Data!$B949:$U949,INDEX(Pengaturan!$B$8:$B$27,O$4)))</f>
        <v>0</v>
      </c>
      <c r="P949" s="26" t="n">
        <f aca="false">IF(INDEX(Pengaturan!$B$8:$B$27,P$4)="",0,COUNTIF(Data!$B949:$U949,INDEX(Pengaturan!$B$8:$B$27,P$4)))</f>
        <v>0</v>
      </c>
      <c r="Q949" s="26" t="n">
        <f aca="false">IF(INDEX(Pengaturan!$B$8:$B$27,Q$4)="",0,COUNTIF(Data!$B949:$U949,INDEX(Pengaturan!$B$8:$B$27,Q$4)))</f>
        <v>0</v>
      </c>
      <c r="R949" s="26" t="n">
        <f aca="false">IF(INDEX(Pengaturan!$B$8:$B$27,R$4)="",0,COUNTIF(Data!$B949:$U949,INDEX(Pengaturan!$B$8:$B$27,R$4)))</f>
        <v>0</v>
      </c>
      <c r="S949" s="26" t="n">
        <f aca="false">IF(INDEX(Pengaturan!$B$8:$B$27,S$4)="",0,COUNTIF(Data!$B949:$U949,INDEX(Pengaturan!$B$8:$B$27,S$4)))</f>
        <v>0</v>
      </c>
      <c r="T949" s="26" t="n">
        <f aca="false">IF(INDEX(Pengaturan!$B$8:$B$27,T$4)="",0,COUNTIF(Data!$B949:$U949,INDEX(Pengaturan!$B$8:$B$27,T$4)))</f>
        <v>0</v>
      </c>
      <c r="U949" s="26" t="n">
        <f aca="false">IF(INDEX(Pengaturan!$B$8:$B$27,U$4)="",0,COUNTIF(Data!$B949:$U949,INDEX(Pengaturan!$B$8:$B$27,U$4)))</f>
        <v>0</v>
      </c>
      <c r="V949" s="26" t="n">
        <f aca="false">COUNTA(Data!$B949:$U949)</f>
        <v>0</v>
      </c>
      <c r="W949" s="27" t="str">
        <f aca="false">IF(V949=0,"",IF(V949&lt;&gt;Hasil!$C$4,"Data kosong/tidak lengkap",IF(SUM(B949:U949)&lt;&gt;V949,"Kategori tidak dikenal","OK")))</f>
        <v/>
      </c>
      <c r="X949" s="26" t="n">
        <f aca="false">IF(OR(W949="",W949="OK"),0,1)</f>
        <v>0</v>
      </c>
    </row>
    <row r="950" customFormat="false" ht="15" hidden="false" customHeight="false" outlineLevel="0" collapsed="false">
      <c r="A950" s="26" t="n">
        <f aca="false">Data!A950</f>
        <v>945</v>
      </c>
      <c r="B950" s="26" t="n">
        <f aca="false">IF(INDEX(Pengaturan!$B$8:$B$27,B$4)="",0,COUNTIF(Data!$B950:$U950,INDEX(Pengaturan!$B$8:$B$27,B$4)))</f>
        <v>0</v>
      </c>
      <c r="C950" s="26" t="n">
        <f aca="false">IF(INDEX(Pengaturan!$B$8:$B$27,C$4)="",0,COUNTIF(Data!$B950:$U950,INDEX(Pengaturan!$B$8:$B$27,C$4)))</f>
        <v>0</v>
      </c>
      <c r="D950" s="26" t="n">
        <f aca="false">IF(INDEX(Pengaturan!$B$8:$B$27,D$4)="",0,COUNTIF(Data!$B950:$U950,INDEX(Pengaturan!$B$8:$B$27,D$4)))</f>
        <v>0</v>
      </c>
      <c r="E950" s="26" t="n">
        <f aca="false">IF(INDEX(Pengaturan!$B$8:$B$27,E$4)="",0,COUNTIF(Data!$B950:$U950,INDEX(Pengaturan!$B$8:$B$27,E$4)))</f>
        <v>0</v>
      </c>
      <c r="F950" s="26" t="n">
        <f aca="false">IF(INDEX(Pengaturan!$B$8:$B$27,F$4)="",0,COUNTIF(Data!$B950:$U950,INDEX(Pengaturan!$B$8:$B$27,F$4)))</f>
        <v>0</v>
      </c>
      <c r="G950" s="26" t="n">
        <f aca="false">IF(INDEX(Pengaturan!$B$8:$B$27,G$4)="",0,COUNTIF(Data!$B950:$U950,INDEX(Pengaturan!$B$8:$B$27,G$4)))</f>
        <v>0</v>
      </c>
      <c r="H950" s="26" t="n">
        <f aca="false">IF(INDEX(Pengaturan!$B$8:$B$27,H$4)="",0,COUNTIF(Data!$B950:$U950,INDEX(Pengaturan!$B$8:$B$27,H$4)))</f>
        <v>0</v>
      </c>
      <c r="I950" s="26" t="n">
        <f aca="false">IF(INDEX(Pengaturan!$B$8:$B$27,I$4)="",0,COUNTIF(Data!$B950:$U950,INDEX(Pengaturan!$B$8:$B$27,I$4)))</f>
        <v>0</v>
      </c>
      <c r="J950" s="26" t="n">
        <f aca="false">IF(INDEX(Pengaturan!$B$8:$B$27,J$4)="",0,COUNTIF(Data!$B950:$U950,INDEX(Pengaturan!$B$8:$B$27,J$4)))</f>
        <v>0</v>
      </c>
      <c r="K950" s="26" t="n">
        <f aca="false">IF(INDEX(Pengaturan!$B$8:$B$27,K$4)="",0,COUNTIF(Data!$B950:$U950,INDEX(Pengaturan!$B$8:$B$27,K$4)))</f>
        <v>0</v>
      </c>
      <c r="L950" s="26" t="n">
        <f aca="false">IF(INDEX(Pengaturan!$B$8:$B$27,L$4)="",0,COUNTIF(Data!$B950:$U950,INDEX(Pengaturan!$B$8:$B$27,L$4)))</f>
        <v>0</v>
      </c>
      <c r="M950" s="26" t="n">
        <f aca="false">IF(INDEX(Pengaturan!$B$8:$B$27,M$4)="",0,COUNTIF(Data!$B950:$U950,INDEX(Pengaturan!$B$8:$B$27,M$4)))</f>
        <v>0</v>
      </c>
      <c r="N950" s="26" t="n">
        <f aca="false">IF(INDEX(Pengaturan!$B$8:$B$27,N$4)="",0,COUNTIF(Data!$B950:$U950,INDEX(Pengaturan!$B$8:$B$27,N$4)))</f>
        <v>0</v>
      </c>
      <c r="O950" s="26" t="n">
        <f aca="false">IF(INDEX(Pengaturan!$B$8:$B$27,O$4)="",0,COUNTIF(Data!$B950:$U950,INDEX(Pengaturan!$B$8:$B$27,O$4)))</f>
        <v>0</v>
      </c>
      <c r="P950" s="26" t="n">
        <f aca="false">IF(INDEX(Pengaturan!$B$8:$B$27,P$4)="",0,COUNTIF(Data!$B950:$U950,INDEX(Pengaturan!$B$8:$B$27,P$4)))</f>
        <v>0</v>
      </c>
      <c r="Q950" s="26" t="n">
        <f aca="false">IF(INDEX(Pengaturan!$B$8:$B$27,Q$4)="",0,COUNTIF(Data!$B950:$U950,INDEX(Pengaturan!$B$8:$B$27,Q$4)))</f>
        <v>0</v>
      </c>
      <c r="R950" s="26" t="n">
        <f aca="false">IF(INDEX(Pengaturan!$B$8:$B$27,R$4)="",0,COUNTIF(Data!$B950:$U950,INDEX(Pengaturan!$B$8:$B$27,R$4)))</f>
        <v>0</v>
      </c>
      <c r="S950" s="26" t="n">
        <f aca="false">IF(INDEX(Pengaturan!$B$8:$B$27,S$4)="",0,COUNTIF(Data!$B950:$U950,INDEX(Pengaturan!$B$8:$B$27,S$4)))</f>
        <v>0</v>
      </c>
      <c r="T950" s="26" t="n">
        <f aca="false">IF(INDEX(Pengaturan!$B$8:$B$27,T$4)="",0,COUNTIF(Data!$B950:$U950,INDEX(Pengaturan!$B$8:$B$27,T$4)))</f>
        <v>0</v>
      </c>
      <c r="U950" s="26" t="n">
        <f aca="false">IF(INDEX(Pengaturan!$B$8:$B$27,U$4)="",0,COUNTIF(Data!$B950:$U950,INDEX(Pengaturan!$B$8:$B$27,U$4)))</f>
        <v>0</v>
      </c>
      <c r="V950" s="26" t="n">
        <f aca="false">COUNTA(Data!$B950:$U950)</f>
        <v>0</v>
      </c>
      <c r="W950" s="27" t="str">
        <f aca="false">IF(V950=0,"",IF(V950&lt;&gt;Hasil!$C$4,"Data kosong/tidak lengkap",IF(SUM(B950:U950)&lt;&gt;V950,"Kategori tidak dikenal","OK")))</f>
        <v/>
      </c>
      <c r="X950" s="26" t="n">
        <f aca="false">IF(OR(W950="",W950="OK"),0,1)</f>
        <v>0</v>
      </c>
    </row>
    <row r="951" customFormat="false" ht="15" hidden="false" customHeight="false" outlineLevel="0" collapsed="false">
      <c r="A951" s="26" t="n">
        <f aca="false">Data!A951</f>
        <v>946</v>
      </c>
      <c r="B951" s="26" t="n">
        <f aca="false">IF(INDEX(Pengaturan!$B$8:$B$27,B$4)="",0,COUNTIF(Data!$B951:$U951,INDEX(Pengaturan!$B$8:$B$27,B$4)))</f>
        <v>0</v>
      </c>
      <c r="C951" s="26" t="n">
        <f aca="false">IF(INDEX(Pengaturan!$B$8:$B$27,C$4)="",0,COUNTIF(Data!$B951:$U951,INDEX(Pengaturan!$B$8:$B$27,C$4)))</f>
        <v>0</v>
      </c>
      <c r="D951" s="26" t="n">
        <f aca="false">IF(INDEX(Pengaturan!$B$8:$B$27,D$4)="",0,COUNTIF(Data!$B951:$U951,INDEX(Pengaturan!$B$8:$B$27,D$4)))</f>
        <v>0</v>
      </c>
      <c r="E951" s="26" t="n">
        <f aca="false">IF(INDEX(Pengaturan!$B$8:$B$27,E$4)="",0,COUNTIF(Data!$B951:$U951,INDEX(Pengaturan!$B$8:$B$27,E$4)))</f>
        <v>0</v>
      </c>
      <c r="F951" s="26" t="n">
        <f aca="false">IF(INDEX(Pengaturan!$B$8:$B$27,F$4)="",0,COUNTIF(Data!$B951:$U951,INDEX(Pengaturan!$B$8:$B$27,F$4)))</f>
        <v>0</v>
      </c>
      <c r="G951" s="26" t="n">
        <f aca="false">IF(INDEX(Pengaturan!$B$8:$B$27,G$4)="",0,COUNTIF(Data!$B951:$U951,INDEX(Pengaturan!$B$8:$B$27,G$4)))</f>
        <v>0</v>
      </c>
      <c r="H951" s="26" t="n">
        <f aca="false">IF(INDEX(Pengaturan!$B$8:$B$27,H$4)="",0,COUNTIF(Data!$B951:$U951,INDEX(Pengaturan!$B$8:$B$27,H$4)))</f>
        <v>0</v>
      </c>
      <c r="I951" s="26" t="n">
        <f aca="false">IF(INDEX(Pengaturan!$B$8:$B$27,I$4)="",0,COUNTIF(Data!$B951:$U951,INDEX(Pengaturan!$B$8:$B$27,I$4)))</f>
        <v>0</v>
      </c>
      <c r="J951" s="26" t="n">
        <f aca="false">IF(INDEX(Pengaturan!$B$8:$B$27,J$4)="",0,COUNTIF(Data!$B951:$U951,INDEX(Pengaturan!$B$8:$B$27,J$4)))</f>
        <v>0</v>
      </c>
      <c r="K951" s="26" t="n">
        <f aca="false">IF(INDEX(Pengaturan!$B$8:$B$27,K$4)="",0,COUNTIF(Data!$B951:$U951,INDEX(Pengaturan!$B$8:$B$27,K$4)))</f>
        <v>0</v>
      </c>
      <c r="L951" s="26" t="n">
        <f aca="false">IF(INDEX(Pengaturan!$B$8:$B$27,L$4)="",0,COUNTIF(Data!$B951:$U951,INDEX(Pengaturan!$B$8:$B$27,L$4)))</f>
        <v>0</v>
      </c>
      <c r="M951" s="26" t="n">
        <f aca="false">IF(INDEX(Pengaturan!$B$8:$B$27,M$4)="",0,COUNTIF(Data!$B951:$U951,INDEX(Pengaturan!$B$8:$B$27,M$4)))</f>
        <v>0</v>
      </c>
      <c r="N951" s="26" t="n">
        <f aca="false">IF(INDEX(Pengaturan!$B$8:$B$27,N$4)="",0,COUNTIF(Data!$B951:$U951,INDEX(Pengaturan!$B$8:$B$27,N$4)))</f>
        <v>0</v>
      </c>
      <c r="O951" s="26" t="n">
        <f aca="false">IF(INDEX(Pengaturan!$B$8:$B$27,O$4)="",0,COUNTIF(Data!$B951:$U951,INDEX(Pengaturan!$B$8:$B$27,O$4)))</f>
        <v>0</v>
      </c>
      <c r="P951" s="26" t="n">
        <f aca="false">IF(INDEX(Pengaturan!$B$8:$B$27,P$4)="",0,COUNTIF(Data!$B951:$U951,INDEX(Pengaturan!$B$8:$B$27,P$4)))</f>
        <v>0</v>
      </c>
      <c r="Q951" s="26" t="n">
        <f aca="false">IF(INDEX(Pengaturan!$B$8:$B$27,Q$4)="",0,COUNTIF(Data!$B951:$U951,INDEX(Pengaturan!$B$8:$B$27,Q$4)))</f>
        <v>0</v>
      </c>
      <c r="R951" s="26" t="n">
        <f aca="false">IF(INDEX(Pengaturan!$B$8:$B$27,R$4)="",0,COUNTIF(Data!$B951:$U951,INDEX(Pengaturan!$B$8:$B$27,R$4)))</f>
        <v>0</v>
      </c>
      <c r="S951" s="26" t="n">
        <f aca="false">IF(INDEX(Pengaturan!$B$8:$B$27,S$4)="",0,COUNTIF(Data!$B951:$U951,INDEX(Pengaturan!$B$8:$B$27,S$4)))</f>
        <v>0</v>
      </c>
      <c r="T951" s="26" t="n">
        <f aca="false">IF(INDEX(Pengaturan!$B$8:$B$27,T$4)="",0,COUNTIF(Data!$B951:$U951,INDEX(Pengaturan!$B$8:$B$27,T$4)))</f>
        <v>0</v>
      </c>
      <c r="U951" s="26" t="n">
        <f aca="false">IF(INDEX(Pengaturan!$B$8:$B$27,U$4)="",0,COUNTIF(Data!$B951:$U951,INDEX(Pengaturan!$B$8:$B$27,U$4)))</f>
        <v>0</v>
      </c>
      <c r="V951" s="26" t="n">
        <f aca="false">COUNTA(Data!$B951:$U951)</f>
        <v>0</v>
      </c>
      <c r="W951" s="27" t="str">
        <f aca="false">IF(V951=0,"",IF(V951&lt;&gt;Hasil!$C$4,"Data kosong/tidak lengkap",IF(SUM(B951:U951)&lt;&gt;V951,"Kategori tidak dikenal","OK")))</f>
        <v/>
      </c>
      <c r="X951" s="26" t="n">
        <f aca="false">IF(OR(W951="",W951="OK"),0,1)</f>
        <v>0</v>
      </c>
    </row>
    <row r="952" customFormat="false" ht="15" hidden="false" customHeight="false" outlineLevel="0" collapsed="false">
      <c r="A952" s="26" t="n">
        <f aca="false">Data!A952</f>
        <v>947</v>
      </c>
      <c r="B952" s="26" t="n">
        <f aca="false">IF(INDEX(Pengaturan!$B$8:$B$27,B$4)="",0,COUNTIF(Data!$B952:$U952,INDEX(Pengaturan!$B$8:$B$27,B$4)))</f>
        <v>0</v>
      </c>
      <c r="C952" s="26" t="n">
        <f aca="false">IF(INDEX(Pengaturan!$B$8:$B$27,C$4)="",0,COUNTIF(Data!$B952:$U952,INDEX(Pengaturan!$B$8:$B$27,C$4)))</f>
        <v>0</v>
      </c>
      <c r="D952" s="26" t="n">
        <f aca="false">IF(INDEX(Pengaturan!$B$8:$B$27,D$4)="",0,COUNTIF(Data!$B952:$U952,INDEX(Pengaturan!$B$8:$B$27,D$4)))</f>
        <v>0</v>
      </c>
      <c r="E952" s="26" t="n">
        <f aca="false">IF(INDEX(Pengaturan!$B$8:$B$27,E$4)="",0,COUNTIF(Data!$B952:$U952,INDEX(Pengaturan!$B$8:$B$27,E$4)))</f>
        <v>0</v>
      </c>
      <c r="F952" s="26" t="n">
        <f aca="false">IF(INDEX(Pengaturan!$B$8:$B$27,F$4)="",0,COUNTIF(Data!$B952:$U952,INDEX(Pengaturan!$B$8:$B$27,F$4)))</f>
        <v>0</v>
      </c>
      <c r="G952" s="26" t="n">
        <f aca="false">IF(INDEX(Pengaturan!$B$8:$B$27,G$4)="",0,COUNTIF(Data!$B952:$U952,INDEX(Pengaturan!$B$8:$B$27,G$4)))</f>
        <v>0</v>
      </c>
      <c r="H952" s="26" t="n">
        <f aca="false">IF(INDEX(Pengaturan!$B$8:$B$27,H$4)="",0,COUNTIF(Data!$B952:$U952,INDEX(Pengaturan!$B$8:$B$27,H$4)))</f>
        <v>0</v>
      </c>
      <c r="I952" s="26" t="n">
        <f aca="false">IF(INDEX(Pengaturan!$B$8:$B$27,I$4)="",0,COUNTIF(Data!$B952:$U952,INDEX(Pengaturan!$B$8:$B$27,I$4)))</f>
        <v>0</v>
      </c>
      <c r="J952" s="26" t="n">
        <f aca="false">IF(INDEX(Pengaturan!$B$8:$B$27,J$4)="",0,COUNTIF(Data!$B952:$U952,INDEX(Pengaturan!$B$8:$B$27,J$4)))</f>
        <v>0</v>
      </c>
      <c r="K952" s="26" t="n">
        <f aca="false">IF(INDEX(Pengaturan!$B$8:$B$27,K$4)="",0,COUNTIF(Data!$B952:$U952,INDEX(Pengaturan!$B$8:$B$27,K$4)))</f>
        <v>0</v>
      </c>
      <c r="L952" s="26" t="n">
        <f aca="false">IF(INDEX(Pengaturan!$B$8:$B$27,L$4)="",0,COUNTIF(Data!$B952:$U952,INDEX(Pengaturan!$B$8:$B$27,L$4)))</f>
        <v>0</v>
      </c>
      <c r="M952" s="26" t="n">
        <f aca="false">IF(INDEX(Pengaturan!$B$8:$B$27,M$4)="",0,COUNTIF(Data!$B952:$U952,INDEX(Pengaturan!$B$8:$B$27,M$4)))</f>
        <v>0</v>
      </c>
      <c r="N952" s="26" t="n">
        <f aca="false">IF(INDEX(Pengaturan!$B$8:$B$27,N$4)="",0,COUNTIF(Data!$B952:$U952,INDEX(Pengaturan!$B$8:$B$27,N$4)))</f>
        <v>0</v>
      </c>
      <c r="O952" s="26" t="n">
        <f aca="false">IF(INDEX(Pengaturan!$B$8:$B$27,O$4)="",0,COUNTIF(Data!$B952:$U952,INDEX(Pengaturan!$B$8:$B$27,O$4)))</f>
        <v>0</v>
      </c>
      <c r="P952" s="26" t="n">
        <f aca="false">IF(INDEX(Pengaturan!$B$8:$B$27,P$4)="",0,COUNTIF(Data!$B952:$U952,INDEX(Pengaturan!$B$8:$B$27,P$4)))</f>
        <v>0</v>
      </c>
      <c r="Q952" s="26" t="n">
        <f aca="false">IF(INDEX(Pengaturan!$B$8:$B$27,Q$4)="",0,COUNTIF(Data!$B952:$U952,INDEX(Pengaturan!$B$8:$B$27,Q$4)))</f>
        <v>0</v>
      </c>
      <c r="R952" s="26" t="n">
        <f aca="false">IF(INDEX(Pengaturan!$B$8:$B$27,R$4)="",0,COUNTIF(Data!$B952:$U952,INDEX(Pengaturan!$B$8:$B$27,R$4)))</f>
        <v>0</v>
      </c>
      <c r="S952" s="26" t="n">
        <f aca="false">IF(INDEX(Pengaturan!$B$8:$B$27,S$4)="",0,COUNTIF(Data!$B952:$U952,INDEX(Pengaturan!$B$8:$B$27,S$4)))</f>
        <v>0</v>
      </c>
      <c r="T952" s="26" t="n">
        <f aca="false">IF(INDEX(Pengaturan!$B$8:$B$27,T$4)="",0,COUNTIF(Data!$B952:$U952,INDEX(Pengaturan!$B$8:$B$27,T$4)))</f>
        <v>0</v>
      </c>
      <c r="U952" s="26" t="n">
        <f aca="false">IF(INDEX(Pengaturan!$B$8:$B$27,U$4)="",0,COUNTIF(Data!$B952:$U952,INDEX(Pengaturan!$B$8:$B$27,U$4)))</f>
        <v>0</v>
      </c>
      <c r="V952" s="26" t="n">
        <f aca="false">COUNTA(Data!$B952:$U952)</f>
        <v>0</v>
      </c>
      <c r="W952" s="27" t="str">
        <f aca="false">IF(V952=0,"",IF(V952&lt;&gt;Hasil!$C$4,"Data kosong/tidak lengkap",IF(SUM(B952:U952)&lt;&gt;V952,"Kategori tidak dikenal","OK")))</f>
        <v/>
      </c>
      <c r="X952" s="26" t="n">
        <f aca="false">IF(OR(W952="",W952="OK"),0,1)</f>
        <v>0</v>
      </c>
    </row>
    <row r="953" customFormat="false" ht="15" hidden="false" customHeight="false" outlineLevel="0" collapsed="false">
      <c r="A953" s="26" t="n">
        <f aca="false">Data!A953</f>
        <v>948</v>
      </c>
      <c r="B953" s="26" t="n">
        <f aca="false">IF(INDEX(Pengaturan!$B$8:$B$27,B$4)="",0,COUNTIF(Data!$B953:$U953,INDEX(Pengaturan!$B$8:$B$27,B$4)))</f>
        <v>0</v>
      </c>
      <c r="C953" s="26" t="n">
        <f aca="false">IF(INDEX(Pengaturan!$B$8:$B$27,C$4)="",0,COUNTIF(Data!$B953:$U953,INDEX(Pengaturan!$B$8:$B$27,C$4)))</f>
        <v>0</v>
      </c>
      <c r="D953" s="26" t="n">
        <f aca="false">IF(INDEX(Pengaturan!$B$8:$B$27,D$4)="",0,COUNTIF(Data!$B953:$U953,INDEX(Pengaturan!$B$8:$B$27,D$4)))</f>
        <v>0</v>
      </c>
      <c r="E953" s="26" t="n">
        <f aca="false">IF(INDEX(Pengaturan!$B$8:$B$27,E$4)="",0,COUNTIF(Data!$B953:$U953,INDEX(Pengaturan!$B$8:$B$27,E$4)))</f>
        <v>0</v>
      </c>
      <c r="F953" s="26" t="n">
        <f aca="false">IF(INDEX(Pengaturan!$B$8:$B$27,F$4)="",0,COUNTIF(Data!$B953:$U953,INDEX(Pengaturan!$B$8:$B$27,F$4)))</f>
        <v>0</v>
      </c>
      <c r="G953" s="26" t="n">
        <f aca="false">IF(INDEX(Pengaturan!$B$8:$B$27,G$4)="",0,COUNTIF(Data!$B953:$U953,INDEX(Pengaturan!$B$8:$B$27,G$4)))</f>
        <v>0</v>
      </c>
      <c r="H953" s="26" t="n">
        <f aca="false">IF(INDEX(Pengaturan!$B$8:$B$27,H$4)="",0,COUNTIF(Data!$B953:$U953,INDEX(Pengaturan!$B$8:$B$27,H$4)))</f>
        <v>0</v>
      </c>
      <c r="I953" s="26" t="n">
        <f aca="false">IF(INDEX(Pengaturan!$B$8:$B$27,I$4)="",0,COUNTIF(Data!$B953:$U953,INDEX(Pengaturan!$B$8:$B$27,I$4)))</f>
        <v>0</v>
      </c>
      <c r="J953" s="26" t="n">
        <f aca="false">IF(INDEX(Pengaturan!$B$8:$B$27,J$4)="",0,COUNTIF(Data!$B953:$U953,INDEX(Pengaturan!$B$8:$B$27,J$4)))</f>
        <v>0</v>
      </c>
      <c r="K953" s="26" t="n">
        <f aca="false">IF(INDEX(Pengaturan!$B$8:$B$27,K$4)="",0,COUNTIF(Data!$B953:$U953,INDEX(Pengaturan!$B$8:$B$27,K$4)))</f>
        <v>0</v>
      </c>
      <c r="L953" s="26" t="n">
        <f aca="false">IF(INDEX(Pengaturan!$B$8:$B$27,L$4)="",0,COUNTIF(Data!$B953:$U953,INDEX(Pengaturan!$B$8:$B$27,L$4)))</f>
        <v>0</v>
      </c>
      <c r="M953" s="26" t="n">
        <f aca="false">IF(INDEX(Pengaturan!$B$8:$B$27,M$4)="",0,COUNTIF(Data!$B953:$U953,INDEX(Pengaturan!$B$8:$B$27,M$4)))</f>
        <v>0</v>
      </c>
      <c r="N953" s="26" t="n">
        <f aca="false">IF(INDEX(Pengaturan!$B$8:$B$27,N$4)="",0,COUNTIF(Data!$B953:$U953,INDEX(Pengaturan!$B$8:$B$27,N$4)))</f>
        <v>0</v>
      </c>
      <c r="O953" s="26" t="n">
        <f aca="false">IF(INDEX(Pengaturan!$B$8:$B$27,O$4)="",0,COUNTIF(Data!$B953:$U953,INDEX(Pengaturan!$B$8:$B$27,O$4)))</f>
        <v>0</v>
      </c>
      <c r="P953" s="26" t="n">
        <f aca="false">IF(INDEX(Pengaturan!$B$8:$B$27,P$4)="",0,COUNTIF(Data!$B953:$U953,INDEX(Pengaturan!$B$8:$B$27,P$4)))</f>
        <v>0</v>
      </c>
      <c r="Q953" s="26" t="n">
        <f aca="false">IF(INDEX(Pengaturan!$B$8:$B$27,Q$4)="",0,COUNTIF(Data!$B953:$U953,INDEX(Pengaturan!$B$8:$B$27,Q$4)))</f>
        <v>0</v>
      </c>
      <c r="R953" s="26" t="n">
        <f aca="false">IF(INDEX(Pengaturan!$B$8:$B$27,R$4)="",0,COUNTIF(Data!$B953:$U953,INDEX(Pengaturan!$B$8:$B$27,R$4)))</f>
        <v>0</v>
      </c>
      <c r="S953" s="26" t="n">
        <f aca="false">IF(INDEX(Pengaturan!$B$8:$B$27,S$4)="",0,COUNTIF(Data!$B953:$U953,INDEX(Pengaturan!$B$8:$B$27,S$4)))</f>
        <v>0</v>
      </c>
      <c r="T953" s="26" t="n">
        <f aca="false">IF(INDEX(Pengaturan!$B$8:$B$27,T$4)="",0,COUNTIF(Data!$B953:$U953,INDEX(Pengaturan!$B$8:$B$27,T$4)))</f>
        <v>0</v>
      </c>
      <c r="U953" s="26" t="n">
        <f aca="false">IF(INDEX(Pengaturan!$B$8:$B$27,U$4)="",0,COUNTIF(Data!$B953:$U953,INDEX(Pengaturan!$B$8:$B$27,U$4)))</f>
        <v>0</v>
      </c>
      <c r="V953" s="26" t="n">
        <f aca="false">COUNTA(Data!$B953:$U953)</f>
        <v>0</v>
      </c>
      <c r="W953" s="27" t="str">
        <f aca="false">IF(V953=0,"",IF(V953&lt;&gt;Hasil!$C$4,"Data kosong/tidak lengkap",IF(SUM(B953:U953)&lt;&gt;V953,"Kategori tidak dikenal","OK")))</f>
        <v/>
      </c>
      <c r="X953" s="26" t="n">
        <f aca="false">IF(OR(W953="",W953="OK"),0,1)</f>
        <v>0</v>
      </c>
    </row>
    <row r="954" customFormat="false" ht="15" hidden="false" customHeight="false" outlineLevel="0" collapsed="false">
      <c r="A954" s="26" t="n">
        <f aca="false">Data!A954</f>
        <v>949</v>
      </c>
      <c r="B954" s="26" t="n">
        <f aca="false">IF(INDEX(Pengaturan!$B$8:$B$27,B$4)="",0,COUNTIF(Data!$B954:$U954,INDEX(Pengaturan!$B$8:$B$27,B$4)))</f>
        <v>0</v>
      </c>
      <c r="C954" s="26" t="n">
        <f aca="false">IF(INDEX(Pengaturan!$B$8:$B$27,C$4)="",0,COUNTIF(Data!$B954:$U954,INDEX(Pengaturan!$B$8:$B$27,C$4)))</f>
        <v>0</v>
      </c>
      <c r="D954" s="26" t="n">
        <f aca="false">IF(INDEX(Pengaturan!$B$8:$B$27,D$4)="",0,COUNTIF(Data!$B954:$U954,INDEX(Pengaturan!$B$8:$B$27,D$4)))</f>
        <v>0</v>
      </c>
      <c r="E954" s="26" t="n">
        <f aca="false">IF(INDEX(Pengaturan!$B$8:$B$27,E$4)="",0,COUNTIF(Data!$B954:$U954,INDEX(Pengaturan!$B$8:$B$27,E$4)))</f>
        <v>0</v>
      </c>
      <c r="F954" s="26" t="n">
        <f aca="false">IF(INDEX(Pengaturan!$B$8:$B$27,F$4)="",0,COUNTIF(Data!$B954:$U954,INDEX(Pengaturan!$B$8:$B$27,F$4)))</f>
        <v>0</v>
      </c>
      <c r="G954" s="26" t="n">
        <f aca="false">IF(INDEX(Pengaturan!$B$8:$B$27,G$4)="",0,COUNTIF(Data!$B954:$U954,INDEX(Pengaturan!$B$8:$B$27,G$4)))</f>
        <v>0</v>
      </c>
      <c r="H954" s="26" t="n">
        <f aca="false">IF(INDEX(Pengaturan!$B$8:$B$27,H$4)="",0,COUNTIF(Data!$B954:$U954,INDEX(Pengaturan!$B$8:$B$27,H$4)))</f>
        <v>0</v>
      </c>
      <c r="I954" s="26" t="n">
        <f aca="false">IF(INDEX(Pengaturan!$B$8:$B$27,I$4)="",0,COUNTIF(Data!$B954:$U954,INDEX(Pengaturan!$B$8:$B$27,I$4)))</f>
        <v>0</v>
      </c>
      <c r="J954" s="26" t="n">
        <f aca="false">IF(INDEX(Pengaturan!$B$8:$B$27,J$4)="",0,COUNTIF(Data!$B954:$U954,INDEX(Pengaturan!$B$8:$B$27,J$4)))</f>
        <v>0</v>
      </c>
      <c r="K954" s="26" t="n">
        <f aca="false">IF(INDEX(Pengaturan!$B$8:$B$27,K$4)="",0,COUNTIF(Data!$B954:$U954,INDEX(Pengaturan!$B$8:$B$27,K$4)))</f>
        <v>0</v>
      </c>
      <c r="L954" s="26" t="n">
        <f aca="false">IF(INDEX(Pengaturan!$B$8:$B$27,L$4)="",0,COUNTIF(Data!$B954:$U954,INDEX(Pengaturan!$B$8:$B$27,L$4)))</f>
        <v>0</v>
      </c>
      <c r="M954" s="26" t="n">
        <f aca="false">IF(INDEX(Pengaturan!$B$8:$B$27,M$4)="",0,COUNTIF(Data!$B954:$U954,INDEX(Pengaturan!$B$8:$B$27,M$4)))</f>
        <v>0</v>
      </c>
      <c r="N954" s="26" t="n">
        <f aca="false">IF(INDEX(Pengaturan!$B$8:$B$27,N$4)="",0,COUNTIF(Data!$B954:$U954,INDEX(Pengaturan!$B$8:$B$27,N$4)))</f>
        <v>0</v>
      </c>
      <c r="O954" s="26" t="n">
        <f aca="false">IF(INDEX(Pengaturan!$B$8:$B$27,O$4)="",0,COUNTIF(Data!$B954:$U954,INDEX(Pengaturan!$B$8:$B$27,O$4)))</f>
        <v>0</v>
      </c>
      <c r="P954" s="26" t="n">
        <f aca="false">IF(INDEX(Pengaturan!$B$8:$B$27,P$4)="",0,COUNTIF(Data!$B954:$U954,INDEX(Pengaturan!$B$8:$B$27,P$4)))</f>
        <v>0</v>
      </c>
      <c r="Q954" s="26" t="n">
        <f aca="false">IF(INDEX(Pengaturan!$B$8:$B$27,Q$4)="",0,COUNTIF(Data!$B954:$U954,INDEX(Pengaturan!$B$8:$B$27,Q$4)))</f>
        <v>0</v>
      </c>
      <c r="R954" s="26" t="n">
        <f aca="false">IF(INDEX(Pengaturan!$B$8:$B$27,R$4)="",0,COUNTIF(Data!$B954:$U954,INDEX(Pengaturan!$B$8:$B$27,R$4)))</f>
        <v>0</v>
      </c>
      <c r="S954" s="26" t="n">
        <f aca="false">IF(INDEX(Pengaturan!$B$8:$B$27,S$4)="",0,COUNTIF(Data!$B954:$U954,INDEX(Pengaturan!$B$8:$B$27,S$4)))</f>
        <v>0</v>
      </c>
      <c r="T954" s="26" t="n">
        <f aca="false">IF(INDEX(Pengaturan!$B$8:$B$27,T$4)="",0,COUNTIF(Data!$B954:$U954,INDEX(Pengaturan!$B$8:$B$27,T$4)))</f>
        <v>0</v>
      </c>
      <c r="U954" s="26" t="n">
        <f aca="false">IF(INDEX(Pengaturan!$B$8:$B$27,U$4)="",0,COUNTIF(Data!$B954:$U954,INDEX(Pengaturan!$B$8:$B$27,U$4)))</f>
        <v>0</v>
      </c>
      <c r="V954" s="26" t="n">
        <f aca="false">COUNTA(Data!$B954:$U954)</f>
        <v>0</v>
      </c>
      <c r="W954" s="27" t="str">
        <f aca="false">IF(V954=0,"",IF(V954&lt;&gt;Hasil!$C$4,"Data kosong/tidak lengkap",IF(SUM(B954:U954)&lt;&gt;V954,"Kategori tidak dikenal","OK")))</f>
        <v/>
      </c>
      <c r="X954" s="26" t="n">
        <f aca="false">IF(OR(W954="",W954="OK"),0,1)</f>
        <v>0</v>
      </c>
    </row>
    <row r="955" customFormat="false" ht="15" hidden="false" customHeight="false" outlineLevel="0" collapsed="false">
      <c r="A955" s="26" t="n">
        <f aca="false">Data!A955</f>
        <v>950</v>
      </c>
      <c r="B955" s="26" t="n">
        <f aca="false">IF(INDEX(Pengaturan!$B$8:$B$27,B$4)="",0,COUNTIF(Data!$B955:$U955,INDEX(Pengaturan!$B$8:$B$27,B$4)))</f>
        <v>0</v>
      </c>
      <c r="C955" s="26" t="n">
        <f aca="false">IF(INDEX(Pengaturan!$B$8:$B$27,C$4)="",0,COUNTIF(Data!$B955:$U955,INDEX(Pengaturan!$B$8:$B$27,C$4)))</f>
        <v>0</v>
      </c>
      <c r="D955" s="26" t="n">
        <f aca="false">IF(INDEX(Pengaturan!$B$8:$B$27,D$4)="",0,COUNTIF(Data!$B955:$U955,INDEX(Pengaturan!$B$8:$B$27,D$4)))</f>
        <v>0</v>
      </c>
      <c r="E955" s="26" t="n">
        <f aca="false">IF(INDEX(Pengaturan!$B$8:$B$27,E$4)="",0,COUNTIF(Data!$B955:$U955,INDEX(Pengaturan!$B$8:$B$27,E$4)))</f>
        <v>0</v>
      </c>
      <c r="F955" s="26" t="n">
        <f aca="false">IF(INDEX(Pengaturan!$B$8:$B$27,F$4)="",0,COUNTIF(Data!$B955:$U955,INDEX(Pengaturan!$B$8:$B$27,F$4)))</f>
        <v>0</v>
      </c>
      <c r="G955" s="26" t="n">
        <f aca="false">IF(INDEX(Pengaturan!$B$8:$B$27,G$4)="",0,COUNTIF(Data!$B955:$U955,INDEX(Pengaturan!$B$8:$B$27,G$4)))</f>
        <v>0</v>
      </c>
      <c r="H955" s="26" t="n">
        <f aca="false">IF(INDEX(Pengaturan!$B$8:$B$27,H$4)="",0,COUNTIF(Data!$B955:$U955,INDEX(Pengaturan!$B$8:$B$27,H$4)))</f>
        <v>0</v>
      </c>
      <c r="I955" s="26" t="n">
        <f aca="false">IF(INDEX(Pengaturan!$B$8:$B$27,I$4)="",0,COUNTIF(Data!$B955:$U955,INDEX(Pengaturan!$B$8:$B$27,I$4)))</f>
        <v>0</v>
      </c>
      <c r="J955" s="26" t="n">
        <f aca="false">IF(INDEX(Pengaturan!$B$8:$B$27,J$4)="",0,COUNTIF(Data!$B955:$U955,INDEX(Pengaturan!$B$8:$B$27,J$4)))</f>
        <v>0</v>
      </c>
      <c r="K955" s="26" t="n">
        <f aca="false">IF(INDEX(Pengaturan!$B$8:$B$27,K$4)="",0,COUNTIF(Data!$B955:$U955,INDEX(Pengaturan!$B$8:$B$27,K$4)))</f>
        <v>0</v>
      </c>
      <c r="L955" s="26" t="n">
        <f aca="false">IF(INDEX(Pengaturan!$B$8:$B$27,L$4)="",0,COUNTIF(Data!$B955:$U955,INDEX(Pengaturan!$B$8:$B$27,L$4)))</f>
        <v>0</v>
      </c>
      <c r="M955" s="26" t="n">
        <f aca="false">IF(INDEX(Pengaturan!$B$8:$B$27,M$4)="",0,COUNTIF(Data!$B955:$U955,INDEX(Pengaturan!$B$8:$B$27,M$4)))</f>
        <v>0</v>
      </c>
      <c r="N955" s="26" t="n">
        <f aca="false">IF(INDEX(Pengaturan!$B$8:$B$27,N$4)="",0,COUNTIF(Data!$B955:$U955,INDEX(Pengaturan!$B$8:$B$27,N$4)))</f>
        <v>0</v>
      </c>
      <c r="O955" s="26" t="n">
        <f aca="false">IF(INDEX(Pengaturan!$B$8:$B$27,O$4)="",0,COUNTIF(Data!$B955:$U955,INDEX(Pengaturan!$B$8:$B$27,O$4)))</f>
        <v>0</v>
      </c>
      <c r="P955" s="26" t="n">
        <f aca="false">IF(INDEX(Pengaturan!$B$8:$B$27,P$4)="",0,COUNTIF(Data!$B955:$U955,INDEX(Pengaturan!$B$8:$B$27,P$4)))</f>
        <v>0</v>
      </c>
      <c r="Q955" s="26" t="n">
        <f aca="false">IF(INDEX(Pengaturan!$B$8:$B$27,Q$4)="",0,COUNTIF(Data!$B955:$U955,INDEX(Pengaturan!$B$8:$B$27,Q$4)))</f>
        <v>0</v>
      </c>
      <c r="R955" s="26" t="n">
        <f aca="false">IF(INDEX(Pengaturan!$B$8:$B$27,R$4)="",0,COUNTIF(Data!$B955:$U955,INDEX(Pengaturan!$B$8:$B$27,R$4)))</f>
        <v>0</v>
      </c>
      <c r="S955" s="26" t="n">
        <f aca="false">IF(INDEX(Pengaturan!$B$8:$B$27,S$4)="",0,COUNTIF(Data!$B955:$U955,INDEX(Pengaturan!$B$8:$B$27,S$4)))</f>
        <v>0</v>
      </c>
      <c r="T955" s="26" t="n">
        <f aca="false">IF(INDEX(Pengaturan!$B$8:$B$27,T$4)="",0,COUNTIF(Data!$B955:$U955,INDEX(Pengaturan!$B$8:$B$27,T$4)))</f>
        <v>0</v>
      </c>
      <c r="U955" s="26" t="n">
        <f aca="false">IF(INDEX(Pengaturan!$B$8:$B$27,U$4)="",0,COUNTIF(Data!$B955:$U955,INDEX(Pengaturan!$B$8:$B$27,U$4)))</f>
        <v>0</v>
      </c>
      <c r="V955" s="26" t="n">
        <f aca="false">COUNTA(Data!$B955:$U955)</f>
        <v>0</v>
      </c>
      <c r="W955" s="27" t="str">
        <f aca="false">IF(V955=0,"",IF(V955&lt;&gt;Hasil!$C$4,"Data kosong/tidak lengkap",IF(SUM(B955:U955)&lt;&gt;V955,"Kategori tidak dikenal","OK")))</f>
        <v/>
      </c>
      <c r="X955" s="26" t="n">
        <f aca="false">IF(OR(W955="",W955="OK"),0,1)</f>
        <v>0</v>
      </c>
    </row>
    <row r="956" customFormat="false" ht="15" hidden="false" customHeight="false" outlineLevel="0" collapsed="false">
      <c r="A956" s="26" t="n">
        <f aca="false">Data!A956</f>
        <v>951</v>
      </c>
      <c r="B956" s="26" t="n">
        <f aca="false">IF(INDEX(Pengaturan!$B$8:$B$27,B$4)="",0,COUNTIF(Data!$B956:$U956,INDEX(Pengaturan!$B$8:$B$27,B$4)))</f>
        <v>0</v>
      </c>
      <c r="C956" s="26" t="n">
        <f aca="false">IF(INDEX(Pengaturan!$B$8:$B$27,C$4)="",0,COUNTIF(Data!$B956:$U956,INDEX(Pengaturan!$B$8:$B$27,C$4)))</f>
        <v>0</v>
      </c>
      <c r="D956" s="26" t="n">
        <f aca="false">IF(INDEX(Pengaturan!$B$8:$B$27,D$4)="",0,COUNTIF(Data!$B956:$U956,INDEX(Pengaturan!$B$8:$B$27,D$4)))</f>
        <v>0</v>
      </c>
      <c r="E956" s="26" t="n">
        <f aca="false">IF(INDEX(Pengaturan!$B$8:$B$27,E$4)="",0,COUNTIF(Data!$B956:$U956,INDEX(Pengaturan!$B$8:$B$27,E$4)))</f>
        <v>0</v>
      </c>
      <c r="F956" s="26" t="n">
        <f aca="false">IF(INDEX(Pengaturan!$B$8:$B$27,F$4)="",0,COUNTIF(Data!$B956:$U956,INDEX(Pengaturan!$B$8:$B$27,F$4)))</f>
        <v>0</v>
      </c>
      <c r="G956" s="26" t="n">
        <f aca="false">IF(INDEX(Pengaturan!$B$8:$B$27,G$4)="",0,COUNTIF(Data!$B956:$U956,INDEX(Pengaturan!$B$8:$B$27,G$4)))</f>
        <v>0</v>
      </c>
      <c r="H956" s="26" t="n">
        <f aca="false">IF(INDEX(Pengaturan!$B$8:$B$27,H$4)="",0,COUNTIF(Data!$B956:$U956,INDEX(Pengaturan!$B$8:$B$27,H$4)))</f>
        <v>0</v>
      </c>
      <c r="I956" s="26" t="n">
        <f aca="false">IF(INDEX(Pengaturan!$B$8:$B$27,I$4)="",0,COUNTIF(Data!$B956:$U956,INDEX(Pengaturan!$B$8:$B$27,I$4)))</f>
        <v>0</v>
      </c>
      <c r="J956" s="26" t="n">
        <f aca="false">IF(INDEX(Pengaturan!$B$8:$B$27,J$4)="",0,COUNTIF(Data!$B956:$U956,INDEX(Pengaturan!$B$8:$B$27,J$4)))</f>
        <v>0</v>
      </c>
      <c r="K956" s="26" t="n">
        <f aca="false">IF(INDEX(Pengaturan!$B$8:$B$27,K$4)="",0,COUNTIF(Data!$B956:$U956,INDEX(Pengaturan!$B$8:$B$27,K$4)))</f>
        <v>0</v>
      </c>
      <c r="L956" s="26" t="n">
        <f aca="false">IF(INDEX(Pengaturan!$B$8:$B$27,L$4)="",0,COUNTIF(Data!$B956:$U956,INDEX(Pengaturan!$B$8:$B$27,L$4)))</f>
        <v>0</v>
      </c>
      <c r="M956" s="26" t="n">
        <f aca="false">IF(INDEX(Pengaturan!$B$8:$B$27,M$4)="",0,COUNTIF(Data!$B956:$U956,INDEX(Pengaturan!$B$8:$B$27,M$4)))</f>
        <v>0</v>
      </c>
      <c r="N956" s="26" t="n">
        <f aca="false">IF(INDEX(Pengaturan!$B$8:$B$27,N$4)="",0,COUNTIF(Data!$B956:$U956,INDEX(Pengaturan!$B$8:$B$27,N$4)))</f>
        <v>0</v>
      </c>
      <c r="O956" s="26" t="n">
        <f aca="false">IF(INDEX(Pengaturan!$B$8:$B$27,O$4)="",0,COUNTIF(Data!$B956:$U956,INDEX(Pengaturan!$B$8:$B$27,O$4)))</f>
        <v>0</v>
      </c>
      <c r="P956" s="26" t="n">
        <f aca="false">IF(INDEX(Pengaturan!$B$8:$B$27,P$4)="",0,COUNTIF(Data!$B956:$U956,INDEX(Pengaturan!$B$8:$B$27,P$4)))</f>
        <v>0</v>
      </c>
      <c r="Q956" s="26" t="n">
        <f aca="false">IF(INDEX(Pengaturan!$B$8:$B$27,Q$4)="",0,COUNTIF(Data!$B956:$U956,INDEX(Pengaturan!$B$8:$B$27,Q$4)))</f>
        <v>0</v>
      </c>
      <c r="R956" s="26" t="n">
        <f aca="false">IF(INDEX(Pengaturan!$B$8:$B$27,R$4)="",0,COUNTIF(Data!$B956:$U956,INDEX(Pengaturan!$B$8:$B$27,R$4)))</f>
        <v>0</v>
      </c>
      <c r="S956" s="26" t="n">
        <f aca="false">IF(INDEX(Pengaturan!$B$8:$B$27,S$4)="",0,COUNTIF(Data!$B956:$U956,INDEX(Pengaturan!$B$8:$B$27,S$4)))</f>
        <v>0</v>
      </c>
      <c r="T956" s="26" t="n">
        <f aca="false">IF(INDEX(Pengaturan!$B$8:$B$27,T$4)="",0,COUNTIF(Data!$B956:$U956,INDEX(Pengaturan!$B$8:$B$27,T$4)))</f>
        <v>0</v>
      </c>
      <c r="U956" s="26" t="n">
        <f aca="false">IF(INDEX(Pengaturan!$B$8:$B$27,U$4)="",0,COUNTIF(Data!$B956:$U956,INDEX(Pengaturan!$B$8:$B$27,U$4)))</f>
        <v>0</v>
      </c>
      <c r="V956" s="26" t="n">
        <f aca="false">COUNTA(Data!$B956:$U956)</f>
        <v>0</v>
      </c>
      <c r="W956" s="27" t="str">
        <f aca="false">IF(V956=0,"",IF(V956&lt;&gt;Hasil!$C$4,"Data kosong/tidak lengkap",IF(SUM(B956:U956)&lt;&gt;V956,"Kategori tidak dikenal","OK")))</f>
        <v/>
      </c>
      <c r="X956" s="26" t="n">
        <f aca="false">IF(OR(W956="",W956="OK"),0,1)</f>
        <v>0</v>
      </c>
    </row>
    <row r="957" customFormat="false" ht="15" hidden="false" customHeight="false" outlineLevel="0" collapsed="false">
      <c r="A957" s="26" t="n">
        <f aca="false">Data!A957</f>
        <v>952</v>
      </c>
      <c r="B957" s="26" t="n">
        <f aca="false">IF(INDEX(Pengaturan!$B$8:$B$27,B$4)="",0,COUNTIF(Data!$B957:$U957,INDEX(Pengaturan!$B$8:$B$27,B$4)))</f>
        <v>0</v>
      </c>
      <c r="C957" s="26" t="n">
        <f aca="false">IF(INDEX(Pengaturan!$B$8:$B$27,C$4)="",0,COUNTIF(Data!$B957:$U957,INDEX(Pengaturan!$B$8:$B$27,C$4)))</f>
        <v>0</v>
      </c>
      <c r="D957" s="26" t="n">
        <f aca="false">IF(INDEX(Pengaturan!$B$8:$B$27,D$4)="",0,COUNTIF(Data!$B957:$U957,INDEX(Pengaturan!$B$8:$B$27,D$4)))</f>
        <v>0</v>
      </c>
      <c r="E957" s="26" t="n">
        <f aca="false">IF(INDEX(Pengaturan!$B$8:$B$27,E$4)="",0,COUNTIF(Data!$B957:$U957,INDEX(Pengaturan!$B$8:$B$27,E$4)))</f>
        <v>0</v>
      </c>
      <c r="F957" s="26" t="n">
        <f aca="false">IF(INDEX(Pengaturan!$B$8:$B$27,F$4)="",0,COUNTIF(Data!$B957:$U957,INDEX(Pengaturan!$B$8:$B$27,F$4)))</f>
        <v>0</v>
      </c>
      <c r="G957" s="26" t="n">
        <f aca="false">IF(INDEX(Pengaturan!$B$8:$B$27,G$4)="",0,COUNTIF(Data!$B957:$U957,INDEX(Pengaturan!$B$8:$B$27,G$4)))</f>
        <v>0</v>
      </c>
      <c r="H957" s="26" t="n">
        <f aca="false">IF(INDEX(Pengaturan!$B$8:$B$27,H$4)="",0,COUNTIF(Data!$B957:$U957,INDEX(Pengaturan!$B$8:$B$27,H$4)))</f>
        <v>0</v>
      </c>
      <c r="I957" s="26" t="n">
        <f aca="false">IF(INDEX(Pengaturan!$B$8:$B$27,I$4)="",0,COUNTIF(Data!$B957:$U957,INDEX(Pengaturan!$B$8:$B$27,I$4)))</f>
        <v>0</v>
      </c>
      <c r="J957" s="26" t="n">
        <f aca="false">IF(INDEX(Pengaturan!$B$8:$B$27,J$4)="",0,COUNTIF(Data!$B957:$U957,INDEX(Pengaturan!$B$8:$B$27,J$4)))</f>
        <v>0</v>
      </c>
      <c r="K957" s="26" t="n">
        <f aca="false">IF(INDEX(Pengaturan!$B$8:$B$27,K$4)="",0,COUNTIF(Data!$B957:$U957,INDEX(Pengaturan!$B$8:$B$27,K$4)))</f>
        <v>0</v>
      </c>
      <c r="L957" s="26" t="n">
        <f aca="false">IF(INDEX(Pengaturan!$B$8:$B$27,L$4)="",0,COUNTIF(Data!$B957:$U957,INDEX(Pengaturan!$B$8:$B$27,L$4)))</f>
        <v>0</v>
      </c>
      <c r="M957" s="26" t="n">
        <f aca="false">IF(INDEX(Pengaturan!$B$8:$B$27,M$4)="",0,COUNTIF(Data!$B957:$U957,INDEX(Pengaturan!$B$8:$B$27,M$4)))</f>
        <v>0</v>
      </c>
      <c r="N957" s="26" t="n">
        <f aca="false">IF(INDEX(Pengaturan!$B$8:$B$27,N$4)="",0,COUNTIF(Data!$B957:$U957,INDEX(Pengaturan!$B$8:$B$27,N$4)))</f>
        <v>0</v>
      </c>
      <c r="O957" s="26" t="n">
        <f aca="false">IF(INDEX(Pengaturan!$B$8:$B$27,O$4)="",0,COUNTIF(Data!$B957:$U957,INDEX(Pengaturan!$B$8:$B$27,O$4)))</f>
        <v>0</v>
      </c>
      <c r="P957" s="26" t="n">
        <f aca="false">IF(INDEX(Pengaturan!$B$8:$B$27,P$4)="",0,COUNTIF(Data!$B957:$U957,INDEX(Pengaturan!$B$8:$B$27,P$4)))</f>
        <v>0</v>
      </c>
      <c r="Q957" s="26" t="n">
        <f aca="false">IF(INDEX(Pengaturan!$B$8:$B$27,Q$4)="",0,COUNTIF(Data!$B957:$U957,INDEX(Pengaturan!$B$8:$B$27,Q$4)))</f>
        <v>0</v>
      </c>
      <c r="R957" s="26" t="n">
        <f aca="false">IF(INDEX(Pengaturan!$B$8:$B$27,R$4)="",0,COUNTIF(Data!$B957:$U957,INDEX(Pengaturan!$B$8:$B$27,R$4)))</f>
        <v>0</v>
      </c>
      <c r="S957" s="26" t="n">
        <f aca="false">IF(INDEX(Pengaturan!$B$8:$B$27,S$4)="",0,COUNTIF(Data!$B957:$U957,INDEX(Pengaturan!$B$8:$B$27,S$4)))</f>
        <v>0</v>
      </c>
      <c r="T957" s="26" t="n">
        <f aca="false">IF(INDEX(Pengaturan!$B$8:$B$27,T$4)="",0,COUNTIF(Data!$B957:$U957,INDEX(Pengaturan!$B$8:$B$27,T$4)))</f>
        <v>0</v>
      </c>
      <c r="U957" s="26" t="n">
        <f aca="false">IF(INDEX(Pengaturan!$B$8:$B$27,U$4)="",0,COUNTIF(Data!$B957:$U957,INDEX(Pengaturan!$B$8:$B$27,U$4)))</f>
        <v>0</v>
      </c>
      <c r="V957" s="26" t="n">
        <f aca="false">COUNTA(Data!$B957:$U957)</f>
        <v>0</v>
      </c>
      <c r="W957" s="27" t="str">
        <f aca="false">IF(V957=0,"",IF(V957&lt;&gt;Hasil!$C$4,"Data kosong/tidak lengkap",IF(SUM(B957:U957)&lt;&gt;V957,"Kategori tidak dikenal","OK")))</f>
        <v/>
      </c>
      <c r="X957" s="26" t="n">
        <f aca="false">IF(OR(W957="",W957="OK"),0,1)</f>
        <v>0</v>
      </c>
    </row>
    <row r="958" customFormat="false" ht="15" hidden="false" customHeight="false" outlineLevel="0" collapsed="false">
      <c r="A958" s="26" t="n">
        <f aca="false">Data!A958</f>
        <v>953</v>
      </c>
      <c r="B958" s="26" t="n">
        <f aca="false">IF(INDEX(Pengaturan!$B$8:$B$27,B$4)="",0,COUNTIF(Data!$B958:$U958,INDEX(Pengaturan!$B$8:$B$27,B$4)))</f>
        <v>0</v>
      </c>
      <c r="C958" s="26" t="n">
        <f aca="false">IF(INDEX(Pengaturan!$B$8:$B$27,C$4)="",0,COUNTIF(Data!$B958:$U958,INDEX(Pengaturan!$B$8:$B$27,C$4)))</f>
        <v>0</v>
      </c>
      <c r="D958" s="26" t="n">
        <f aca="false">IF(INDEX(Pengaturan!$B$8:$B$27,D$4)="",0,COUNTIF(Data!$B958:$U958,INDEX(Pengaturan!$B$8:$B$27,D$4)))</f>
        <v>0</v>
      </c>
      <c r="E958" s="26" t="n">
        <f aca="false">IF(INDEX(Pengaturan!$B$8:$B$27,E$4)="",0,COUNTIF(Data!$B958:$U958,INDEX(Pengaturan!$B$8:$B$27,E$4)))</f>
        <v>0</v>
      </c>
      <c r="F958" s="26" t="n">
        <f aca="false">IF(INDEX(Pengaturan!$B$8:$B$27,F$4)="",0,COUNTIF(Data!$B958:$U958,INDEX(Pengaturan!$B$8:$B$27,F$4)))</f>
        <v>0</v>
      </c>
      <c r="G958" s="26" t="n">
        <f aca="false">IF(INDEX(Pengaturan!$B$8:$B$27,G$4)="",0,COUNTIF(Data!$B958:$U958,INDEX(Pengaturan!$B$8:$B$27,G$4)))</f>
        <v>0</v>
      </c>
      <c r="H958" s="26" t="n">
        <f aca="false">IF(INDEX(Pengaturan!$B$8:$B$27,H$4)="",0,COUNTIF(Data!$B958:$U958,INDEX(Pengaturan!$B$8:$B$27,H$4)))</f>
        <v>0</v>
      </c>
      <c r="I958" s="26" t="n">
        <f aca="false">IF(INDEX(Pengaturan!$B$8:$B$27,I$4)="",0,COUNTIF(Data!$B958:$U958,INDEX(Pengaturan!$B$8:$B$27,I$4)))</f>
        <v>0</v>
      </c>
      <c r="J958" s="26" t="n">
        <f aca="false">IF(INDEX(Pengaturan!$B$8:$B$27,J$4)="",0,COUNTIF(Data!$B958:$U958,INDEX(Pengaturan!$B$8:$B$27,J$4)))</f>
        <v>0</v>
      </c>
      <c r="K958" s="26" t="n">
        <f aca="false">IF(INDEX(Pengaturan!$B$8:$B$27,K$4)="",0,COUNTIF(Data!$B958:$U958,INDEX(Pengaturan!$B$8:$B$27,K$4)))</f>
        <v>0</v>
      </c>
      <c r="L958" s="26" t="n">
        <f aca="false">IF(INDEX(Pengaturan!$B$8:$B$27,L$4)="",0,COUNTIF(Data!$B958:$U958,INDEX(Pengaturan!$B$8:$B$27,L$4)))</f>
        <v>0</v>
      </c>
      <c r="M958" s="26" t="n">
        <f aca="false">IF(INDEX(Pengaturan!$B$8:$B$27,M$4)="",0,COUNTIF(Data!$B958:$U958,INDEX(Pengaturan!$B$8:$B$27,M$4)))</f>
        <v>0</v>
      </c>
      <c r="N958" s="26" t="n">
        <f aca="false">IF(INDEX(Pengaturan!$B$8:$B$27,N$4)="",0,COUNTIF(Data!$B958:$U958,INDEX(Pengaturan!$B$8:$B$27,N$4)))</f>
        <v>0</v>
      </c>
      <c r="O958" s="26" t="n">
        <f aca="false">IF(INDEX(Pengaturan!$B$8:$B$27,O$4)="",0,COUNTIF(Data!$B958:$U958,INDEX(Pengaturan!$B$8:$B$27,O$4)))</f>
        <v>0</v>
      </c>
      <c r="P958" s="26" t="n">
        <f aca="false">IF(INDEX(Pengaturan!$B$8:$B$27,P$4)="",0,COUNTIF(Data!$B958:$U958,INDEX(Pengaturan!$B$8:$B$27,P$4)))</f>
        <v>0</v>
      </c>
      <c r="Q958" s="26" t="n">
        <f aca="false">IF(INDEX(Pengaturan!$B$8:$B$27,Q$4)="",0,COUNTIF(Data!$B958:$U958,INDEX(Pengaturan!$B$8:$B$27,Q$4)))</f>
        <v>0</v>
      </c>
      <c r="R958" s="26" t="n">
        <f aca="false">IF(INDEX(Pengaturan!$B$8:$B$27,R$4)="",0,COUNTIF(Data!$B958:$U958,INDEX(Pengaturan!$B$8:$B$27,R$4)))</f>
        <v>0</v>
      </c>
      <c r="S958" s="26" t="n">
        <f aca="false">IF(INDEX(Pengaturan!$B$8:$B$27,S$4)="",0,COUNTIF(Data!$B958:$U958,INDEX(Pengaturan!$B$8:$B$27,S$4)))</f>
        <v>0</v>
      </c>
      <c r="T958" s="26" t="n">
        <f aca="false">IF(INDEX(Pengaturan!$B$8:$B$27,T$4)="",0,COUNTIF(Data!$B958:$U958,INDEX(Pengaturan!$B$8:$B$27,T$4)))</f>
        <v>0</v>
      </c>
      <c r="U958" s="26" t="n">
        <f aca="false">IF(INDEX(Pengaturan!$B$8:$B$27,U$4)="",0,COUNTIF(Data!$B958:$U958,INDEX(Pengaturan!$B$8:$B$27,U$4)))</f>
        <v>0</v>
      </c>
      <c r="V958" s="26" t="n">
        <f aca="false">COUNTA(Data!$B958:$U958)</f>
        <v>0</v>
      </c>
      <c r="W958" s="27" t="str">
        <f aca="false">IF(V958=0,"",IF(V958&lt;&gt;Hasil!$C$4,"Data kosong/tidak lengkap",IF(SUM(B958:U958)&lt;&gt;V958,"Kategori tidak dikenal","OK")))</f>
        <v/>
      </c>
      <c r="X958" s="26" t="n">
        <f aca="false">IF(OR(W958="",W958="OK"),0,1)</f>
        <v>0</v>
      </c>
    </row>
    <row r="959" customFormat="false" ht="15" hidden="false" customHeight="false" outlineLevel="0" collapsed="false">
      <c r="A959" s="26" t="n">
        <f aca="false">Data!A959</f>
        <v>954</v>
      </c>
      <c r="B959" s="26" t="n">
        <f aca="false">IF(INDEX(Pengaturan!$B$8:$B$27,B$4)="",0,COUNTIF(Data!$B959:$U959,INDEX(Pengaturan!$B$8:$B$27,B$4)))</f>
        <v>0</v>
      </c>
      <c r="C959" s="26" t="n">
        <f aca="false">IF(INDEX(Pengaturan!$B$8:$B$27,C$4)="",0,COUNTIF(Data!$B959:$U959,INDEX(Pengaturan!$B$8:$B$27,C$4)))</f>
        <v>0</v>
      </c>
      <c r="D959" s="26" t="n">
        <f aca="false">IF(INDEX(Pengaturan!$B$8:$B$27,D$4)="",0,COUNTIF(Data!$B959:$U959,INDEX(Pengaturan!$B$8:$B$27,D$4)))</f>
        <v>0</v>
      </c>
      <c r="E959" s="26" t="n">
        <f aca="false">IF(INDEX(Pengaturan!$B$8:$B$27,E$4)="",0,COUNTIF(Data!$B959:$U959,INDEX(Pengaturan!$B$8:$B$27,E$4)))</f>
        <v>0</v>
      </c>
      <c r="F959" s="26" t="n">
        <f aca="false">IF(INDEX(Pengaturan!$B$8:$B$27,F$4)="",0,COUNTIF(Data!$B959:$U959,INDEX(Pengaturan!$B$8:$B$27,F$4)))</f>
        <v>0</v>
      </c>
      <c r="G959" s="26" t="n">
        <f aca="false">IF(INDEX(Pengaturan!$B$8:$B$27,G$4)="",0,COUNTIF(Data!$B959:$U959,INDEX(Pengaturan!$B$8:$B$27,G$4)))</f>
        <v>0</v>
      </c>
      <c r="H959" s="26" t="n">
        <f aca="false">IF(INDEX(Pengaturan!$B$8:$B$27,H$4)="",0,COUNTIF(Data!$B959:$U959,INDEX(Pengaturan!$B$8:$B$27,H$4)))</f>
        <v>0</v>
      </c>
      <c r="I959" s="26" t="n">
        <f aca="false">IF(INDEX(Pengaturan!$B$8:$B$27,I$4)="",0,COUNTIF(Data!$B959:$U959,INDEX(Pengaturan!$B$8:$B$27,I$4)))</f>
        <v>0</v>
      </c>
      <c r="J959" s="26" t="n">
        <f aca="false">IF(INDEX(Pengaturan!$B$8:$B$27,J$4)="",0,COUNTIF(Data!$B959:$U959,INDEX(Pengaturan!$B$8:$B$27,J$4)))</f>
        <v>0</v>
      </c>
      <c r="K959" s="26" t="n">
        <f aca="false">IF(INDEX(Pengaturan!$B$8:$B$27,K$4)="",0,COUNTIF(Data!$B959:$U959,INDEX(Pengaturan!$B$8:$B$27,K$4)))</f>
        <v>0</v>
      </c>
      <c r="L959" s="26" t="n">
        <f aca="false">IF(INDEX(Pengaturan!$B$8:$B$27,L$4)="",0,COUNTIF(Data!$B959:$U959,INDEX(Pengaturan!$B$8:$B$27,L$4)))</f>
        <v>0</v>
      </c>
      <c r="M959" s="26" t="n">
        <f aca="false">IF(INDEX(Pengaturan!$B$8:$B$27,M$4)="",0,COUNTIF(Data!$B959:$U959,INDEX(Pengaturan!$B$8:$B$27,M$4)))</f>
        <v>0</v>
      </c>
      <c r="N959" s="26" t="n">
        <f aca="false">IF(INDEX(Pengaturan!$B$8:$B$27,N$4)="",0,COUNTIF(Data!$B959:$U959,INDEX(Pengaturan!$B$8:$B$27,N$4)))</f>
        <v>0</v>
      </c>
      <c r="O959" s="26" t="n">
        <f aca="false">IF(INDEX(Pengaturan!$B$8:$B$27,O$4)="",0,COUNTIF(Data!$B959:$U959,INDEX(Pengaturan!$B$8:$B$27,O$4)))</f>
        <v>0</v>
      </c>
      <c r="P959" s="26" t="n">
        <f aca="false">IF(INDEX(Pengaturan!$B$8:$B$27,P$4)="",0,COUNTIF(Data!$B959:$U959,INDEX(Pengaturan!$B$8:$B$27,P$4)))</f>
        <v>0</v>
      </c>
      <c r="Q959" s="26" t="n">
        <f aca="false">IF(INDEX(Pengaturan!$B$8:$B$27,Q$4)="",0,COUNTIF(Data!$B959:$U959,INDEX(Pengaturan!$B$8:$B$27,Q$4)))</f>
        <v>0</v>
      </c>
      <c r="R959" s="26" t="n">
        <f aca="false">IF(INDEX(Pengaturan!$B$8:$B$27,R$4)="",0,COUNTIF(Data!$B959:$U959,INDEX(Pengaturan!$B$8:$B$27,R$4)))</f>
        <v>0</v>
      </c>
      <c r="S959" s="26" t="n">
        <f aca="false">IF(INDEX(Pengaturan!$B$8:$B$27,S$4)="",0,COUNTIF(Data!$B959:$U959,INDEX(Pengaturan!$B$8:$B$27,S$4)))</f>
        <v>0</v>
      </c>
      <c r="T959" s="26" t="n">
        <f aca="false">IF(INDEX(Pengaturan!$B$8:$B$27,T$4)="",0,COUNTIF(Data!$B959:$U959,INDEX(Pengaturan!$B$8:$B$27,T$4)))</f>
        <v>0</v>
      </c>
      <c r="U959" s="26" t="n">
        <f aca="false">IF(INDEX(Pengaturan!$B$8:$B$27,U$4)="",0,COUNTIF(Data!$B959:$U959,INDEX(Pengaturan!$B$8:$B$27,U$4)))</f>
        <v>0</v>
      </c>
      <c r="V959" s="26" t="n">
        <f aca="false">COUNTA(Data!$B959:$U959)</f>
        <v>0</v>
      </c>
      <c r="W959" s="27" t="str">
        <f aca="false">IF(V959=0,"",IF(V959&lt;&gt;Hasil!$C$4,"Data kosong/tidak lengkap",IF(SUM(B959:U959)&lt;&gt;V959,"Kategori tidak dikenal","OK")))</f>
        <v/>
      </c>
      <c r="X959" s="26" t="n">
        <f aca="false">IF(OR(W959="",W959="OK"),0,1)</f>
        <v>0</v>
      </c>
    </row>
    <row r="960" customFormat="false" ht="15" hidden="false" customHeight="false" outlineLevel="0" collapsed="false">
      <c r="A960" s="26" t="n">
        <f aca="false">Data!A960</f>
        <v>955</v>
      </c>
      <c r="B960" s="26" t="n">
        <f aca="false">IF(INDEX(Pengaturan!$B$8:$B$27,B$4)="",0,COUNTIF(Data!$B960:$U960,INDEX(Pengaturan!$B$8:$B$27,B$4)))</f>
        <v>0</v>
      </c>
      <c r="C960" s="26" t="n">
        <f aca="false">IF(INDEX(Pengaturan!$B$8:$B$27,C$4)="",0,COUNTIF(Data!$B960:$U960,INDEX(Pengaturan!$B$8:$B$27,C$4)))</f>
        <v>0</v>
      </c>
      <c r="D960" s="26" t="n">
        <f aca="false">IF(INDEX(Pengaturan!$B$8:$B$27,D$4)="",0,COUNTIF(Data!$B960:$U960,INDEX(Pengaturan!$B$8:$B$27,D$4)))</f>
        <v>0</v>
      </c>
      <c r="E960" s="26" t="n">
        <f aca="false">IF(INDEX(Pengaturan!$B$8:$B$27,E$4)="",0,COUNTIF(Data!$B960:$U960,INDEX(Pengaturan!$B$8:$B$27,E$4)))</f>
        <v>0</v>
      </c>
      <c r="F960" s="26" t="n">
        <f aca="false">IF(INDEX(Pengaturan!$B$8:$B$27,F$4)="",0,COUNTIF(Data!$B960:$U960,INDEX(Pengaturan!$B$8:$B$27,F$4)))</f>
        <v>0</v>
      </c>
      <c r="G960" s="26" t="n">
        <f aca="false">IF(INDEX(Pengaturan!$B$8:$B$27,G$4)="",0,COUNTIF(Data!$B960:$U960,INDEX(Pengaturan!$B$8:$B$27,G$4)))</f>
        <v>0</v>
      </c>
      <c r="H960" s="26" t="n">
        <f aca="false">IF(INDEX(Pengaturan!$B$8:$B$27,H$4)="",0,COUNTIF(Data!$B960:$U960,INDEX(Pengaturan!$B$8:$B$27,H$4)))</f>
        <v>0</v>
      </c>
      <c r="I960" s="26" t="n">
        <f aca="false">IF(INDEX(Pengaturan!$B$8:$B$27,I$4)="",0,COUNTIF(Data!$B960:$U960,INDEX(Pengaturan!$B$8:$B$27,I$4)))</f>
        <v>0</v>
      </c>
      <c r="J960" s="26" t="n">
        <f aca="false">IF(INDEX(Pengaturan!$B$8:$B$27,J$4)="",0,COUNTIF(Data!$B960:$U960,INDEX(Pengaturan!$B$8:$B$27,J$4)))</f>
        <v>0</v>
      </c>
      <c r="K960" s="26" t="n">
        <f aca="false">IF(INDEX(Pengaturan!$B$8:$B$27,K$4)="",0,COUNTIF(Data!$B960:$U960,INDEX(Pengaturan!$B$8:$B$27,K$4)))</f>
        <v>0</v>
      </c>
      <c r="L960" s="26" t="n">
        <f aca="false">IF(INDEX(Pengaturan!$B$8:$B$27,L$4)="",0,COUNTIF(Data!$B960:$U960,INDEX(Pengaturan!$B$8:$B$27,L$4)))</f>
        <v>0</v>
      </c>
      <c r="M960" s="26" t="n">
        <f aca="false">IF(INDEX(Pengaturan!$B$8:$B$27,M$4)="",0,COUNTIF(Data!$B960:$U960,INDEX(Pengaturan!$B$8:$B$27,M$4)))</f>
        <v>0</v>
      </c>
      <c r="N960" s="26" t="n">
        <f aca="false">IF(INDEX(Pengaturan!$B$8:$B$27,N$4)="",0,COUNTIF(Data!$B960:$U960,INDEX(Pengaturan!$B$8:$B$27,N$4)))</f>
        <v>0</v>
      </c>
      <c r="O960" s="26" t="n">
        <f aca="false">IF(INDEX(Pengaturan!$B$8:$B$27,O$4)="",0,COUNTIF(Data!$B960:$U960,INDEX(Pengaturan!$B$8:$B$27,O$4)))</f>
        <v>0</v>
      </c>
      <c r="P960" s="26" t="n">
        <f aca="false">IF(INDEX(Pengaturan!$B$8:$B$27,P$4)="",0,COUNTIF(Data!$B960:$U960,INDEX(Pengaturan!$B$8:$B$27,P$4)))</f>
        <v>0</v>
      </c>
      <c r="Q960" s="26" t="n">
        <f aca="false">IF(INDEX(Pengaturan!$B$8:$B$27,Q$4)="",0,COUNTIF(Data!$B960:$U960,INDEX(Pengaturan!$B$8:$B$27,Q$4)))</f>
        <v>0</v>
      </c>
      <c r="R960" s="26" t="n">
        <f aca="false">IF(INDEX(Pengaturan!$B$8:$B$27,R$4)="",0,COUNTIF(Data!$B960:$U960,INDEX(Pengaturan!$B$8:$B$27,R$4)))</f>
        <v>0</v>
      </c>
      <c r="S960" s="26" t="n">
        <f aca="false">IF(INDEX(Pengaturan!$B$8:$B$27,S$4)="",0,COUNTIF(Data!$B960:$U960,INDEX(Pengaturan!$B$8:$B$27,S$4)))</f>
        <v>0</v>
      </c>
      <c r="T960" s="26" t="n">
        <f aca="false">IF(INDEX(Pengaturan!$B$8:$B$27,T$4)="",0,COUNTIF(Data!$B960:$U960,INDEX(Pengaturan!$B$8:$B$27,T$4)))</f>
        <v>0</v>
      </c>
      <c r="U960" s="26" t="n">
        <f aca="false">IF(INDEX(Pengaturan!$B$8:$B$27,U$4)="",0,COUNTIF(Data!$B960:$U960,INDEX(Pengaturan!$B$8:$B$27,U$4)))</f>
        <v>0</v>
      </c>
      <c r="V960" s="26" t="n">
        <f aca="false">COUNTA(Data!$B960:$U960)</f>
        <v>0</v>
      </c>
      <c r="W960" s="27" t="str">
        <f aca="false">IF(V960=0,"",IF(V960&lt;&gt;Hasil!$C$4,"Data kosong/tidak lengkap",IF(SUM(B960:U960)&lt;&gt;V960,"Kategori tidak dikenal","OK")))</f>
        <v/>
      </c>
      <c r="X960" s="26" t="n">
        <f aca="false">IF(OR(W960="",W960="OK"),0,1)</f>
        <v>0</v>
      </c>
    </row>
    <row r="961" customFormat="false" ht="15" hidden="false" customHeight="false" outlineLevel="0" collapsed="false">
      <c r="A961" s="26" t="n">
        <f aca="false">Data!A961</f>
        <v>956</v>
      </c>
      <c r="B961" s="26" t="n">
        <f aca="false">IF(INDEX(Pengaturan!$B$8:$B$27,B$4)="",0,COUNTIF(Data!$B961:$U961,INDEX(Pengaturan!$B$8:$B$27,B$4)))</f>
        <v>0</v>
      </c>
      <c r="C961" s="26" t="n">
        <f aca="false">IF(INDEX(Pengaturan!$B$8:$B$27,C$4)="",0,COUNTIF(Data!$B961:$U961,INDEX(Pengaturan!$B$8:$B$27,C$4)))</f>
        <v>0</v>
      </c>
      <c r="D961" s="26" t="n">
        <f aca="false">IF(INDEX(Pengaturan!$B$8:$B$27,D$4)="",0,COUNTIF(Data!$B961:$U961,INDEX(Pengaturan!$B$8:$B$27,D$4)))</f>
        <v>0</v>
      </c>
      <c r="E961" s="26" t="n">
        <f aca="false">IF(INDEX(Pengaturan!$B$8:$B$27,E$4)="",0,COUNTIF(Data!$B961:$U961,INDEX(Pengaturan!$B$8:$B$27,E$4)))</f>
        <v>0</v>
      </c>
      <c r="F961" s="26" t="n">
        <f aca="false">IF(INDEX(Pengaturan!$B$8:$B$27,F$4)="",0,COUNTIF(Data!$B961:$U961,INDEX(Pengaturan!$B$8:$B$27,F$4)))</f>
        <v>0</v>
      </c>
      <c r="G961" s="26" t="n">
        <f aca="false">IF(INDEX(Pengaturan!$B$8:$B$27,G$4)="",0,COUNTIF(Data!$B961:$U961,INDEX(Pengaturan!$B$8:$B$27,G$4)))</f>
        <v>0</v>
      </c>
      <c r="H961" s="26" t="n">
        <f aca="false">IF(INDEX(Pengaturan!$B$8:$B$27,H$4)="",0,COUNTIF(Data!$B961:$U961,INDEX(Pengaturan!$B$8:$B$27,H$4)))</f>
        <v>0</v>
      </c>
      <c r="I961" s="26" t="n">
        <f aca="false">IF(INDEX(Pengaturan!$B$8:$B$27,I$4)="",0,COUNTIF(Data!$B961:$U961,INDEX(Pengaturan!$B$8:$B$27,I$4)))</f>
        <v>0</v>
      </c>
      <c r="J961" s="26" t="n">
        <f aca="false">IF(INDEX(Pengaturan!$B$8:$B$27,J$4)="",0,COUNTIF(Data!$B961:$U961,INDEX(Pengaturan!$B$8:$B$27,J$4)))</f>
        <v>0</v>
      </c>
      <c r="K961" s="26" t="n">
        <f aca="false">IF(INDEX(Pengaturan!$B$8:$B$27,K$4)="",0,COUNTIF(Data!$B961:$U961,INDEX(Pengaturan!$B$8:$B$27,K$4)))</f>
        <v>0</v>
      </c>
      <c r="L961" s="26" t="n">
        <f aca="false">IF(INDEX(Pengaturan!$B$8:$B$27,L$4)="",0,COUNTIF(Data!$B961:$U961,INDEX(Pengaturan!$B$8:$B$27,L$4)))</f>
        <v>0</v>
      </c>
      <c r="M961" s="26" t="n">
        <f aca="false">IF(INDEX(Pengaturan!$B$8:$B$27,M$4)="",0,COUNTIF(Data!$B961:$U961,INDEX(Pengaturan!$B$8:$B$27,M$4)))</f>
        <v>0</v>
      </c>
      <c r="N961" s="26" t="n">
        <f aca="false">IF(INDEX(Pengaturan!$B$8:$B$27,N$4)="",0,COUNTIF(Data!$B961:$U961,INDEX(Pengaturan!$B$8:$B$27,N$4)))</f>
        <v>0</v>
      </c>
      <c r="O961" s="26" t="n">
        <f aca="false">IF(INDEX(Pengaturan!$B$8:$B$27,O$4)="",0,COUNTIF(Data!$B961:$U961,INDEX(Pengaturan!$B$8:$B$27,O$4)))</f>
        <v>0</v>
      </c>
      <c r="P961" s="26" t="n">
        <f aca="false">IF(INDEX(Pengaturan!$B$8:$B$27,P$4)="",0,COUNTIF(Data!$B961:$U961,INDEX(Pengaturan!$B$8:$B$27,P$4)))</f>
        <v>0</v>
      </c>
      <c r="Q961" s="26" t="n">
        <f aca="false">IF(INDEX(Pengaturan!$B$8:$B$27,Q$4)="",0,COUNTIF(Data!$B961:$U961,INDEX(Pengaturan!$B$8:$B$27,Q$4)))</f>
        <v>0</v>
      </c>
      <c r="R961" s="26" t="n">
        <f aca="false">IF(INDEX(Pengaturan!$B$8:$B$27,R$4)="",0,COUNTIF(Data!$B961:$U961,INDEX(Pengaturan!$B$8:$B$27,R$4)))</f>
        <v>0</v>
      </c>
      <c r="S961" s="26" t="n">
        <f aca="false">IF(INDEX(Pengaturan!$B$8:$B$27,S$4)="",0,COUNTIF(Data!$B961:$U961,INDEX(Pengaturan!$B$8:$B$27,S$4)))</f>
        <v>0</v>
      </c>
      <c r="T961" s="26" t="n">
        <f aca="false">IF(INDEX(Pengaturan!$B$8:$B$27,T$4)="",0,COUNTIF(Data!$B961:$U961,INDEX(Pengaturan!$B$8:$B$27,T$4)))</f>
        <v>0</v>
      </c>
      <c r="U961" s="26" t="n">
        <f aca="false">IF(INDEX(Pengaturan!$B$8:$B$27,U$4)="",0,COUNTIF(Data!$B961:$U961,INDEX(Pengaturan!$B$8:$B$27,U$4)))</f>
        <v>0</v>
      </c>
      <c r="V961" s="26" t="n">
        <f aca="false">COUNTA(Data!$B961:$U961)</f>
        <v>0</v>
      </c>
      <c r="W961" s="27" t="str">
        <f aca="false">IF(V961=0,"",IF(V961&lt;&gt;Hasil!$C$4,"Data kosong/tidak lengkap",IF(SUM(B961:U961)&lt;&gt;V961,"Kategori tidak dikenal","OK")))</f>
        <v/>
      </c>
      <c r="X961" s="26" t="n">
        <f aca="false">IF(OR(W961="",W961="OK"),0,1)</f>
        <v>0</v>
      </c>
    </row>
    <row r="962" customFormat="false" ht="15" hidden="false" customHeight="false" outlineLevel="0" collapsed="false">
      <c r="A962" s="26" t="n">
        <f aca="false">Data!A962</f>
        <v>957</v>
      </c>
      <c r="B962" s="26" t="n">
        <f aca="false">IF(INDEX(Pengaturan!$B$8:$B$27,B$4)="",0,COUNTIF(Data!$B962:$U962,INDEX(Pengaturan!$B$8:$B$27,B$4)))</f>
        <v>0</v>
      </c>
      <c r="C962" s="26" t="n">
        <f aca="false">IF(INDEX(Pengaturan!$B$8:$B$27,C$4)="",0,COUNTIF(Data!$B962:$U962,INDEX(Pengaturan!$B$8:$B$27,C$4)))</f>
        <v>0</v>
      </c>
      <c r="D962" s="26" t="n">
        <f aca="false">IF(INDEX(Pengaturan!$B$8:$B$27,D$4)="",0,COUNTIF(Data!$B962:$U962,INDEX(Pengaturan!$B$8:$B$27,D$4)))</f>
        <v>0</v>
      </c>
      <c r="E962" s="26" t="n">
        <f aca="false">IF(INDEX(Pengaturan!$B$8:$B$27,E$4)="",0,COUNTIF(Data!$B962:$U962,INDEX(Pengaturan!$B$8:$B$27,E$4)))</f>
        <v>0</v>
      </c>
      <c r="F962" s="26" t="n">
        <f aca="false">IF(INDEX(Pengaturan!$B$8:$B$27,F$4)="",0,COUNTIF(Data!$B962:$U962,INDEX(Pengaturan!$B$8:$B$27,F$4)))</f>
        <v>0</v>
      </c>
      <c r="G962" s="26" t="n">
        <f aca="false">IF(INDEX(Pengaturan!$B$8:$B$27,G$4)="",0,COUNTIF(Data!$B962:$U962,INDEX(Pengaturan!$B$8:$B$27,G$4)))</f>
        <v>0</v>
      </c>
      <c r="H962" s="26" t="n">
        <f aca="false">IF(INDEX(Pengaturan!$B$8:$B$27,H$4)="",0,COUNTIF(Data!$B962:$U962,INDEX(Pengaturan!$B$8:$B$27,H$4)))</f>
        <v>0</v>
      </c>
      <c r="I962" s="26" t="n">
        <f aca="false">IF(INDEX(Pengaturan!$B$8:$B$27,I$4)="",0,COUNTIF(Data!$B962:$U962,INDEX(Pengaturan!$B$8:$B$27,I$4)))</f>
        <v>0</v>
      </c>
      <c r="J962" s="26" t="n">
        <f aca="false">IF(INDEX(Pengaturan!$B$8:$B$27,J$4)="",0,COUNTIF(Data!$B962:$U962,INDEX(Pengaturan!$B$8:$B$27,J$4)))</f>
        <v>0</v>
      </c>
      <c r="K962" s="26" t="n">
        <f aca="false">IF(INDEX(Pengaturan!$B$8:$B$27,K$4)="",0,COUNTIF(Data!$B962:$U962,INDEX(Pengaturan!$B$8:$B$27,K$4)))</f>
        <v>0</v>
      </c>
      <c r="L962" s="26" t="n">
        <f aca="false">IF(INDEX(Pengaturan!$B$8:$B$27,L$4)="",0,COUNTIF(Data!$B962:$U962,INDEX(Pengaturan!$B$8:$B$27,L$4)))</f>
        <v>0</v>
      </c>
      <c r="M962" s="26" t="n">
        <f aca="false">IF(INDEX(Pengaturan!$B$8:$B$27,M$4)="",0,COUNTIF(Data!$B962:$U962,INDEX(Pengaturan!$B$8:$B$27,M$4)))</f>
        <v>0</v>
      </c>
      <c r="N962" s="26" t="n">
        <f aca="false">IF(INDEX(Pengaturan!$B$8:$B$27,N$4)="",0,COUNTIF(Data!$B962:$U962,INDEX(Pengaturan!$B$8:$B$27,N$4)))</f>
        <v>0</v>
      </c>
      <c r="O962" s="26" t="n">
        <f aca="false">IF(INDEX(Pengaturan!$B$8:$B$27,O$4)="",0,COUNTIF(Data!$B962:$U962,INDEX(Pengaturan!$B$8:$B$27,O$4)))</f>
        <v>0</v>
      </c>
      <c r="P962" s="26" t="n">
        <f aca="false">IF(INDEX(Pengaturan!$B$8:$B$27,P$4)="",0,COUNTIF(Data!$B962:$U962,INDEX(Pengaturan!$B$8:$B$27,P$4)))</f>
        <v>0</v>
      </c>
      <c r="Q962" s="26" t="n">
        <f aca="false">IF(INDEX(Pengaturan!$B$8:$B$27,Q$4)="",0,COUNTIF(Data!$B962:$U962,INDEX(Pengaturan!$B$8:$B$27,Q$4)))</f>
        <v>0</v>
      </c>
      <c r="R962" s="26" t="n">
        <f aca="false">IF(INDEX(Pengaturan!$B$8:$B$27,R$4)="",0,COUNTIF(Data!$B962:$U962,INDEX(Pengaturan!$B$8:$B$27,R$4)))</f>
        <v>0</v>
      </c>
      <c r="S962" s="26" t="n">
        <f aca="false">IF(INDEX(Pengaturan!$B$8:$B$27,S$4)="",0,COUNTIF(Data!$B962:$U962,INDEX(Pengaturan!$B$8:$B$27,S$4)))</f>
        <v>0</v>
      </c>
      <c r="T962" s="26" t="n">
        <f aca="false">IF(INDEX(Pengaturan!$B$8:$B$27,T$4)="",0,COUNTIF(Data!$B962:$U962,INDEX(Pengaturan!$B$8:$B$27,T$4)))</f>
        <v>0</v>
      </c>
      <c r="U962" s="26" t="n">
        <f aca="false">IF(INDEX(Pengaturan!$B$8:$B$27,U$4)="",0,COUNTIF(Data!$B962:$U962,INDEX(Pengaturan!$B$8:$B$27,U$4)))</f>
        <v>0</v>
      </c>
      <c r="V962" s="26" t="n">
        <f aca="false">COUNTA(Data!$B962:$U962)</f>
        <v>0</v>
      </c>
      <c r="W962" s="27" t="str">
        <f aca="false">IF(V962=0,"",IF(V962&lt;&gt;Hasil!$C$4,"Data kosong/tidak lengkap",IF(SUM(B962:U962)&lt;&gt;V962,"Kategori tidak dikenal","OK")))</f>
        <v/>
      </c>
      <c r="X962" s="26" t="n">
        <f aca="false">IF(OR(W962="",W962="OK"),0,1)</f>
        <v>0</v>
      </c>
    </row>
    <row r="963" customFormat="false" ht="15" hidden="false" customHeight="false" outlineLevel="0" collapsed="false">
      <c r="A963" s="26" t="n">
        <f aca="false">Data!A963</f>
        <v>958</v>
      </c>
      <c r="B963" s="26" t="n">
        <f aca="false">IF(INDEX(Pengaturan!$B$8:$B$27,B$4)="",0,COUNTIF(Data!$B963:$U963,INDEX(Pengaturan!$B$8:$B$27,B$4)))</f>
        <v>0</v>
      </c>
      <c r="C963" s="26" t="n">
        <f aca="false">IF(INDEX(Pengaturan!$B$8:$B$27,C$4)="",0,COUNTIF(Data!$B963:$U963,INDEX(Pengaturan!$B$8:$B$27,C$4)))</f>
        <v>0</v>
      </c>
      <c r="D963" s="26" t="n">
        <f aca="false">IF(INDEX(Pengaturan!$B$8:$B$27,D$4)="",0,COUNTIF(Data!$B963:$U963,INDEX(Pengaturan!$B$8:$B$27,D$4)))</f>
        <v>0</v>
      </c>
      <c r="E963" s="26" t="n">
        <f aca="false">IF(INDEX(Pengaturan!$B$8:$B$27,E$4)="",0,COUNTIF(Data!$B963:$U963,INDEX(Pengaturan!$B$8:$B$27,E$4)))</f>
        <v>0</v>
      </c>
      <c r="F963" s="26" t="n">
        <f aca="false">IF(INDEX(Pengaturan!$B$8:$B$27,F$4)="",0,COUNTIF(Data!$B963:$U963,INDEX(Pengaturan!$B$8:$B$27,F$4)))</f>
        <v>0</v>
      </c>
      <c r="G963" s="26" t="n">
        <f aca="false">IF(INDEX(Pengaturan!$B$8:$B$27,G$4)="",0,COUNTIF(Data!$B963:$U963,INDEX(Pengaturan!$B$8:$B$27,G$4)))</f>
        <v>0</v>
      </c>
      <c r="H963" s="26" t="n">
        <f aca="false">IF(INDEX(Pengaturan!$B$8:$B$27,H$4)="",0,COUNTIF(Data!$B963:$U963,INDEX(Pengaturan!$B$8:$B$27,H$4)))</f>
        <v>0</v>
      </c>
      <c r="I963" s="26" t="n">
        <f aca="false">IF(INDEX(Pengaturan!$B$8:$B$27,I$4)="",0,COUNTIF(Data!$B963:$U963,INDEX(Pengaturan!$B$8:$B$27,I$4)))</f>
        <v>0</v>
      </c>
      <c r="J963" s="26" t="n">
        <f aca="false">IF(INDEX(Pengaturan!$B$8:$B$27,J$4)="",0,COUNTIF(Data!$B963:$U963,INDEX(Pengaturan!$B$8:$B$27,J$4)))</f>
        <v>0</v>
      </c>
      <c r="K963" s="26" t="n">
        <f aca="false">IF(INDEX(Pengaturan!$B$8:$B$27,K$4)="",0,COUNTIF(Data!$B963:$U963,INDEX(Pengaturan!$B$8:$B$27,K$4)))</f>
        <v>0</v>
      </c>
      <c r="L963" s="26" t="n">
        <f aca="false">IF(INDEX(Pengaturan!$B$8:$B$27,L$4)="",0,COUNTIF(Data!$B963:$U963,INDEX(Pengaturan!$B$8:$B$27,L$4)))</f>
        <v>0</v>
      </c>
      <c r="M963" s="26" t="n">
        <f aca="false">IF(INDEX(Pengaturan!$B$8:$B$27,M$4)="",0,COUNTIF(Data!$B963:$U963,INDEX(Pengaturan!$B$8:$B$27,M$4)))</f>
        <v>0</v>
      </c>
      <c r="N963" s="26" t="n">
        <f aca="false">IF(INDEX(Pengaturan!$B$8:$B$27,N$4)="",0,COUNTIF(Data!$B963:$U963,INDEX(Pengaturan!$B$8:$B$27,N$4)))</f>
        <v>0</v>
      </c>
      <c r="O963" s="26" t="n">
        <f aca="false">IF(INDEX(Pengaturan!$B$8:$B$27,O$4)="",0,COUNTIF(Data!$B963:$U963,INDEX(Pengaturan!$B$8:$B$27,O$4)))</f>
        <v>0</v>
      </c>
      <c r="P963" s="26" t="n">
        <f aca="false">IF(INDEX(Pengaturan!$B$8:$B$27,P$4)="",0,COUNTIF(Data!$B963:$U963,INDEX(Pengaturan!$B$8:$B$27,P$4)))</f>
        <v>0</v>
      </c>
      <c r="Q963" s="26" t="n">
        <f aca="false">IF(INDEX(Pengaturan!$B$8:$B$27,Q$4)="",0,COUNTIF(Data!$B963:$U963,INDEX(Pengaturan!$B$8:$B$27,Q$4)))</f>
        <v>0</v>
      </c>
      <c r="R963" s="26" t="n">
        <f aca="false">IF(INDEX(Pengaturan!$B$8:$B$27,R$4)="",0,COUNTIF(Data!$B963:$U963,INDEX(Pengaturan!$B$8:$B$27,R$4)))</f>
        <v>0</v>
      </c>
      <c r="S963" s="26" t="n">
        <f aca="false">IF(INDEX(Pengaturan!$B$8:$B$27,S$4)="",0,COUNTIF(Data!$B963:$U963,INDEX(Pengaturan!$B$8:$B$27,S$4)))</f>
        <v>0</v>
      </c>
      <c r="T963" s="26" t="n">
        <f aca="false">IF(INDEX(Pengaturan!$B$8:$B$27,T$4)="",0,COUNTIF(Data!$B963:$U963,INDEX(Pengaturan!$B$8:$B$27,T$4)))</f>
        <v>0</v>
      </c>
      <c r="U963" s="26" t="n">
        <f aca="false">IF(INDEX(Pengaturan!$B$8:$B$27,U$4)="",0,COUNTIF(Data!$B963:$U963,INDEX(Pengaturan!$B$8:$B$27,U$4)))</f>
        <v>0</v>
      </c>
      <c r="V963" s="26" t="n">
        <f aca="false">COUNTA(Data!$B963:$U963)</f>
        <v>0</v>
      </c>
      <c r="W963" s="27" t="str">
        <f aca="false">IF(V963=0,"",IF(V963&lt;&gt;Hasil!$C$4,"Data kosong/tidak lengkap",IF(SUM(B963:U963)&lt;&gt;V963,"Kategori tidak dikenal","OK")))</f>
        <v/>
      </c>
      <c r="X963" s="26" t="n">
        <f aca="false">IF(OR(W963="",W963="OK"),0,1)</f>
        <v>0</v>
      </c>
    </row>
    <row r="964" customFormat="false" ht="15" hidden="false" customHeight="false" outlineLevel="0" collapsed="false">
      <c r="A964" s="26" t="n">
        <f aca="false">Data!A964</f>
        <v>959</v>
      </c>
      <c r="B964" s="26" t="n">
        <f aca="false">IF(INDEX(Pengaturan!$B$8:$B$27,B$4)="",0,COUNTIF(Data!$B964:$U964,INDEX(Pengaturan!$B$8:$B$27,B$4)))</f>
        <v>0</v>
      </c>
      <c r="C964" s="26" t="n">
        <f aca="false">IF(INDEX(Pengaturan!$B$8:$B$27,C$4)="",0,COUNTIF(Data!$B964:$U964,INDEX(Pengaturan!$B$8:$B$27,C$4)))</f>
        <v>0</v>
      </c>
      <c r="D964" s="26" t="n">
        <f aca="false">IF(INDEX(Pengaturan!$B$8:$B$27,D$4)="",0,COUNTIF(Data!$B964:$U964,INDEX(Pengaturan!$B$8:$B$27,D$4)))</f>
        <v>0</v>
      </c>
      <c r="E964" s="26" t="n">
        <f aca="false">IF(INDEX(Pengaturan!$B$8:$B$27,E$4)="",0,COUNTIF(Data!$B964:$U964,INDEX(Pengaturan!$B$8:$B$27,E$4)))</f>
        <v>0</v>
      </c>
      <c r="F964" s="26" t="n">
        <f aca="false">IF(INDEX(Pengaturan!$B$8:$B$27,F$4)="",0,COUNTIF(Data!$B964:$U964,INDEX(Pengaturan!$B$8:$B$27,F$4)))</f>
        <v>0</v>
      </c>
      <c r="G964" s="26" t="n">
        <f aca="false">IF(INDEX(Pengaturan!$B$8:$B$27,G$4)="",0,COUNTIF(Data!$B964:$U964,INDEX(Pengaturan!$B$8:$B$27,G$4)))</f>
        <v>0</v>
      </c>
      <c r="H964" s="26" t="n">
        <f aca="false">IF(INDEX(Pengaturan!$B$8:$B$27,H$4)="",0,COUNTIF(Data!$B964:$U964,INDEX(Pengaturan!$B$8:$B$27,H$4)))</f>
        <v>0</v>
      </c>
      <c r="I964" s="26" t="n">
        <f aca="false">IF(INDEX(Pengaturan!$B$8:$B$27,I$4)="",0,COUNTIF(Data!$B964:$U964,INDEX(Pengaturan!$B$8:$B$27,I$4)))</f>
        <v>0</v>
      </c>
      <c r="J964" s="26" t="n">
        <f aca="false">IF(INDEX(Pengaturan!$B$8:$B$27,J$4)="",0,COUNTIF(Data!$B964:$U964,INDEX(Pengaturan!$B$8:$B$27,J$4)))</f>
        <v>0</v>
      </c>
      <c r="K964" s="26" t="n">
        <f aca="false">IF(INDEX(Pengaturan!$B$8:$B$27,K$4)="",0,COUNTIF(Data!$B964:$U964,INDEX(Pengaturan!$B$8:$B$27,K$4)))</f>
        <v>0</v>
      </c>
      <c r="L964" s="26" t="n">
        <f aca="false">IF(INDEX(Pengaturan!$B$8:$B$27,L$4)="",0,COUNTIF(Data!$B964:$U964,INDEX(Pengaturan!$B$8:$B$27,L$4)))</f>
        <v>0</v>
      </c>
      <c r="M964" s="26" t="n">
        <f aca="false">IF(INDEX(Pengaturan!$B$8:$B$27,M$4)="",0,COUNTIF(Data!$B964:$U964,INDEX(Pengaturan!$B$8:$B$27,M$4)))</f>
        <v>0</v>
      </c>
      <c r="N964" s="26" t="n">
        <f aca="false">IF(INDEX(Pengaturan!$B$8:$B$27,N$4)="",0,COUNTIF(Data!$B964:$U964,INDEX(Pengaturan!$B$8:$B$27,N$4)))</f>
        <v>0</v>
      </c>
      <c r="O964" s="26" t="n">
        <f aca="false">IF(INDEX(Pengaturan!$B$8:$B$27,O$4)="",0,COUNTIF(Data!$B964:$U964,INDEX(Pengaturan!$B$8:$B$27,O$4)))</f>
        <v>0</v>
      </c>
      <c r="P964" s="26" t="n">
        <f aca="false">IF(INDEX(Pengaturan!$B$8:$B$27,P$4)="",0,COUNTIF(Data!$B964:$U964,INDEX(Pengaturan!$B$8:$B$27,P$4)))</f>
        <v>0</v>
      </c>
      <c r="Q964" s="26" t="n">
        <f aca="false">IF(INDEX(Pengaturan!$B$8:$B$27,Q$4)="",0,COUNTIF(Data!$B964:$U964,INDEX(Pengaturan!$B$8:$B$27,Q$4)))</f>
        <v>0</v>
      </c>
      <c r="R964" s="26" t="n">
        <f aca="false">IF(INDEX(Pengaturan!$B$8:$B$27,R$4)="",0,COUNTIF(Data!$B964:$U964,INDEX(Pengaturan!$B$8:$B$27,R$4)))</f>
        <v>0</v>
      </c>
      <c r="S964" s="26" t="n">
        <f aca="false">IF(INDEX(Pengaturan!$B$8:$B$27,S$4)="",0,COUNTIF(Data!$B964:$U964,INDEX(Pengaturan!$B$8:$B$27,S$4)))</f>
        <v>0</v>
      </c>
      <c r="T964" s="26" t="n">
        <f aca="false">IF(INDEX(Pengaturan!$B$8:$B$27,T$4)="",0,COUNTIF(Data!$B964:$U964,INDEX(Pengaturan!$B$8:$B$27,T$4)))</f>
        <v>0</v>
      </c>
      <c r="U964" s="26" t="n">
        <f aca="false">IF(INDEX(Pengaturan!$B$8:$B$27,U$4)="",0,COUNTIF(Data!$B964:$U964,INDEX(Pengaturan!$B$8:$B$27,U$4)))</f>
        <v>0</v>
      </c>
      <c r="V964" s="26" t="n">
        <f aca="false">COUNTA(Data!$B964:$U964)</f>
        <v>0</v>
      </c>
      <c r="W964" s="27" t="str">
        <f aca="false">IF(V964=0,"",IF(V964&lt;&gt;Hasil!$C$4,"Data kosong/tidak lengkap",IF(SUM(B964:U964)&lt;&gt;V964,"Kategori tidak dikenal","OK")))</f>
        <v/>
      </c>
      <c r="X964" s="26" t="n">
        <f aca="false">IF(OR(W964="",W964="OK"),0,1)</f>
        <v>0</v>
      </c>
    </row>
    <row r="965" customFormat="false" ht="15" hidden="false" customHeight="false" outlineLevel="0" collapsed="false">
      <c r="A965" s="26" t="n">
        <f aca="false">Data!A965</f>
        <v>960</v>
      </c>
      <c r="B965" s="26" t="n">
        <f aca="false">IF(INDEX(Pengaturan!$B$8:$B$27,B$4)="",0,COUNTIF(Data!$B965:$U965,INDEX(Pengaturan!$B$8:$B$27,B$4)))</f>
        <v>0</v>
      </c>
      <c r="C965" s="26" t="n">
        <f aca="false">IF(INDEX(Pengaturan!$B$8:$B$27,C$4)="",0,COUNTIF(Data!$B965:$U965,INDEX(Pengaturan!$B$8:$B$27,C$4)))</f>
        <v>0</v>
      </c>
      <c r="D965" s="26" t="n">
        <f aca="false">IF(INDEX(Pengaturan!$B$8:$B$27,D$4)="",0,COUNTIF(Data!$B965:$U965,INDEX(Pengaturan!$B$8:$B$27,D$4)))</f>
        <v>0</v>
      </c>
      <c r="E965" s="26" t="n">
        <f aca="false">IF(INDEX(Pengaturan!$B$8:$B$27,E$4)="",0,COUNTIF(Data!$B965:$U965,INDEX(Pengaturan!$B$8:$B$27,E$4)))</f>
        <v>0</v>
      </c>
      <c r="F965" s="26" t="n">
        <f aca="false">IF(INDEX(Pengaturan!$B$8:$B$27,F$4)="",0,COUNTIF(Data!$B965:$U965,INDEX(Pengaturan!$B$8:$B$27,F$4)))</f>
        <v>0</v>
      </c>
      <c r="G965" s="26" t="n">
        <f aca="false">IF(INDEX(Pengaturan!$B$8:$B$27,G$4)="",0,COUNTIF(Data!$B965:$U965,INDEX(Pengaturan!$B$8:$B$27,G$4)))</f>
        <v>0</v>
      </c>
      <c r="H965" s="26" t="n">
        <f aca="false">IF(INDEX(Pengaturan!$B$8:$B$27,H$4)="",0,COUNTIF(Data!$B965:$U965,INDEX(Pengaturan!$B$8:$B$27,H$4)))</f>
        <v>0</v>
      </c>
      <c r="I965" s="26" t="n">
        <f aca="false">IF(INDEX(Pengaturan!$B$8:$B$27,I$4)="",0,COUNTIF(Data!$B965:$U965,INDEX(Pengaturan!$B$8:$B$27,I$4)))</f>
        <v>0</v>
      </c>
      <c r="J965" s="26" t="n">
        <f aca="false">IF(INDEX(Pengaturan!$B$8:$B$27,J$4)="",0,COUNTIF(Data!$B965:$U965,INDEX(Pengaturan!$B$8:$B$27,J$4)))</f>
        <v>0</v>
      </c>
      <c r="K965" s="26" t="n">
        <f aca="false">IF(INDEX(Pengaturan!$B$8:$B$27,K$4)="",0,COUNTIF(Data!$B965:$U965,INDEX(Pengaturan!$B$8:$B$27,K$4)))</f>
        <v>0</v>
      </c>
      <c r="L965" s="26" t="n">
        <f aca="false">IF(INDEX(Pengaturan!$B$8:$B$27,L$4)="",0,COUNTIF(Data!$B965:$U965,INDEX(Pengaturan!$B$8:$B$27,L$4)))</f>
        <v>0</v>
      </c>
      <c r="M965" s="26" t="n">
        <f aca="false">IF(INDEX(Pengaturan!$B$8:$B$27,M$4)="",0,COUNTIF(Data!$B965:$U965,INDEX(Pengaturan!$B$8:$B$27,M$4)))</f>
        <v>0</v>
      </c>
      <c r="N965" s="26" t="n">
        <f aca="false">IF(INDEX(Pengaturan!$B$8:$B$27,N$4)="",0,COUNTIF(Data!$B965:$U965,INDEX(Pengaturan!$B$8:$B$27,N$4)))</f>
        <v>0</v>
      </c>
      <c r="O965" s="26" t="n">
        <f aca="false">IF(INDEX(Pengaturan!$B$8:$B$27,O$4)="",0,COUNTIF(Data!$B965:$U965,INDEX(Pengaturan!$B$8:$B$27,O$4)))</f>
        <v>0</v>
      </c>
      <c r="P965" s="26" t="n">
        <f aca="false">IF(INDEX(Pengaturan!$B$8:$B$27,P$4)="",0,COUNTIF(Data!$B965:$U965,INDEX(Pengaturan!$B$8:$B$27,P$4)))</f>
        <v>0</v>
      </c>
      <c r="Q965" s="26" t="n">
        <f aca="false">IF(INDEX(Pengaturan!$B$8:$B$27,Q$4)="",0,COUNTIF(Data!$B965:$U965,INDEX(Pengaturan!$B$8:$B$27,Q$4)))</f>
        <v>0</v>
      </c>
      <c r="R965" s="26" t="n">
        <f aca="false">IF(INDEX(Pengaturan!$B$8:$B$27,R$4)="",0,COUNTIF(Data!$B965:$U965,INDEX(Pengaturan!$B$8:$B$27,R$4)))</f>
        <v>0</v>
      </c>
      <c r="S965" s="26" t="n">
        <f aca="false">IF(INDEX(Pengaturan!$B$8:$B$27,S$4)="",0,COUNTIF(Data!$B965:$U965,INDEX(Pengaturan!$B$8:$B$27,S$4)))</f>
        <v>0</v>
      </c>
      <c r="T965" s="26" t="n">
        <f aca="false">IF(INDEX(Pengaturan!$B$8:$B$27,T$4)="",0,COUNTIF(Data!$B965:$U965,INDEX(Pengaturan!$B$8:$B$27,T$4)))</f>
        <v>0</v>
      </c>
      <c r="U965" s="26" t="n">
        <f aca="false">IF(INDEX(Pengaturan!$B$8:$B$27,U$4)="",0,COUNTIF(Data!$B965:$U965,INDEX(Pengaturan!$B$8:$B$27,U$4)))</f>
        <v>0</v>
      </c>
      <c r="V965" s="26" t="n">
        <f aca="false">COUNTA(Data!$B965:$U965)</f>
        <v>0</v>
      </c>
      <c r="W965" s="27" t="str">
        <f aca="false">IF(V965=0,"",IF(V965&lt;&gt;Hasil!$C$4,"Data kosong/tidak lengkap",IF(SUM(B965:U965)&lt;&gt;V965,"Kategori tidak dikenal","OK")))</f>
        <v/>
      </c>
      <c r="X965" s="26" t="n">
        <f aca="false">IF(OR(W965="",W965="OK"),0,1)</f>
        <v>0</v>
      </c>
    </row>
    <row r="966" customFormat="false" ht="15" hidden="false" customHeight="false" outlineLevel="0" collapsed="false">
      <c r="A966" s="26" t="n">
        <f aca="false">Data!A966</f>
        <v>961</v>
      </c>
      <c r="B966" s="26" t="n">
        <f aca="false">IF(INDEX(Pengaturan!$B$8:$B$27,B$4)="",0,COUNTIF(Data!$B966:$U966,INDEX(Pengaturan!$B$8:$B$27,B$4)))</f>
        <v>0</v>
      </c>
      <c r="C966" s="26" t="n">
        <f aca="false">IF(INDEX(Pengaturan!$B$8:$B$27,C$4)="",0,COUNTIF(Data!$B966:$U966,INDEX(Pengaturan!$B$8:$B$27,C$4)))</f>
        <v>0</v>
      </c>
      <c r="D966" s="26" t="n">
        <f aca="false">IF(INDEX(Pengaturan!$B$8:$B$27,D$4)="",0,COUNTIF(Data!$B966:$U966,INDEX(Pengaturan!$B$8:$B$27,D$4)))</f>
        <v>0</v>
      </c>
      <c r="E966" s="26" t="n">
        <f aca="false">IF(INDEX(Pengaturan!$B$8:$B$27,E$4)="",0,COUNTIF(Data!$B966:$U966,INDEX(Pengaturan!$B$8:$B$27,E$4)))</f>
        <v>0</v>
      </c>
      <c r="F966" s="26" t="n">
        <f aca="false">IF(INDEX(Pengaturan!$B$8:$B$27,F$4)="",0,COUNTIF(Data!$B966:$U966,INDEX(Pengaturan!$B$8:$B$27,F$4)))</f>
        <v>0</v>
      </c>
      <c r="G966" s="26" t="n">
        <f aca="false">IF(INDEX(Pengaturan!$B$8:$B$27,G$4)="",0,COUNTIF(Data!$B966:$U966,INDEX(Pengaturan!$B$8:$B$27,G$4)))</f>
        <v>0</v>
      </c>
      <c r="H966" s="26" t="n">
        <f aca="false">IF(INDEX(Pengaturan!$B$8:$B$27,H$4)="",0,COUNTIF(Data!$B966:$U966,INDEX(Pengaturan!$B$8:$B$27,H$4)))</f>
        <v>0</v>
      </c>
      <c r="I966" s="26" t="n">
        <f aca="false">IF(INDEX(Pengaturan!$B$8:$B$27,I$4)="",0,COUNTIF(Data!$B966:$U966,INDEX(Pengaturan!$B$8:$B$27,I$4)))</f>
        <v>0</v>
      </c>
      <c r="J966" s="26" t="n">
        <f aca="false">IF(INDEX(Pengaturan!$B$8:$B$27,J$4)="",0,COUNTIF(Data!$B966:$U966,INDEX(Pengaturan!$B$8:$B$27,J$4)))</f>
        <v>0</v>
      </c>
      <c r="K966" s="26" t="n">
        <f aca="false">IF(INDEX(Pengaturan!$B$8:$B$27,K$4)="",0,COUNTIF(Data!$B966:$U966,INDEX(Pengaturan!$B$8:$B$27,K$4)))</f>
        <v>0</v>
      </c>
      <c r="L966" s="26" t="n">
        <f aca="false">IF(INDEX(Pengaturan!$B$8:$B$27,L$4)="",0,COUNTIF(Data!$B966:$U966,INDEX(Pengaturan!$B$8:$B$27,L$4)))</f>
        <v>0</v>
      </c>
      <c r="M966" s="26" t="n">
        <f aca="false">IF(INDEX(Pengaturan!$B$8:$B$27,M$4)="",0,COUNTIF(Data!$B966:$U966,INDEX(Pengaturan!$B$8:$B$27,M$4)))</f>
        <v>0</v>
      </c>
      <c r="N966" s="26" t="n">
        <f aca="false">IF(INDEX(Pengaturan!$B$8:$B$27,N$4)="",0,COUNTIF(Data!$B966:$U966,INDEX(Pengaturan!$B$8:$B$27,N$4)))</f>
        <v>0</v>
      </c>
      <c r="O966" s="26" t="n">
        <f aca="false">IF(INDEX(Pengaturan!$B$8:$B$27,O$4)="",0,COUNTIF(Data!$B966:$U966,INDEX(Pengaturan!$B$8:$B$27,O$4)))</f>
        <v>0</v>
      </c>
      <c r="P966" s="26" t="n">
        <f aca="false">IF(INDEX(Pengaturan!$B$8:$B$27,P$4)="",0,COUNTIF(Data!$B966:$U966,INDEX(Pengaturan!$B$8:$B$27,P$4)))</f>
        <v>0</v>
      </c>
      <c r="Q966" s="26" t="n">
        <f aca="false">IF(INDEX(Pengaturan!$B$8:$B$27,Q$4)="",0,COUNTIF(Data!$B966:$U966,INDEX(Pengaturan!$B$8:$B$27,Q$4)))</f>
        <v>0</v>
      </c>
      <c r="R966" s="26" t="n">
        <f aca="false">IF(INDEX(Pengaturan!$B$8:$B$27,R$4)="",0,COUNTIF(Data!$B966:$U966,INDEX(Pengaturan!$B$8:$B$27,R$4)))</f>
        <v>0</v>
      </c>
      <c r="S966" s="26" t="n">
        <f aca="false">IF(INDEX(Pengaturan!$B$8:$B$27,S$4)="",0,COUNTIF(Data!$B966:$U966,INDEX(Pengaturan!$B$8:$B$27,S$4)))</f>
        <v>0</v>
      </c>
      <c r="T966" s="26" t="n">
        <f aca="false">IF(INDEX(Pengaturan!$B$8:$B$27,T$4)="",0,COUNTIF(Data!$B966:$U966,INDEX(Pengaturan!$B$8:$B$27,T$4)))</f>
        <v>0</v>
      </c>
      <c r="U966" s="26" t="n">
        <f aca="false">IF(INDEX(Pengaturan!$B$8:$B$27,U$4)="",0,COUNTIF(Data!$B966:$U966,INDEX(Pengaturan!$B$8:$B$27,U$4)))</f>
        <v>0</v>
      </c>
      <c r="V966" s="26" t="n">
        <f aca="false">COUNTA(Data!$B966:$U966)</f>
        <v>0</v>
      </c>
      <c r="W966" s="27" t="str">
        <f aca="false">IF(V966=0,"",IF(V966&lt;&gt;Hasil!$C$4,"Data kosong/tidak lengkap",IF(SUM(B966:U966)&lt;&gt;V966,"Kategori tidak dikenal","OK")))</f>
        <v/>
      </c>
      <c r="X966" s="26" t="n">
        <f aca="false">IF(OR(W966="",W966="OK"),0,1)</f>
        <v>0</v>
      </c>
    </row>
    <row r="967" customFormat="false" ht="15" hidden="false" customHeight="false" outlineLevel="0" collapsed="false">
      <c r="A967" s="26" t="n">
        <f aca="false">Data!A967</f>
        <v>962</v>
      </c>
      <c r="B967" s="26" t="n">
        <f aca="false">IF(INDEX(Pengaturan!$B$8:$B$27,B$4)="",0,COUNTIF(Data!$B967:$U967,INDEX(Pengaturan!$B$8:$B$27,B$4)))</f>
        <v>0</v>
      </c>
      <c r="C967" s="26" t="n">
        <f aca="false">IF(INDEX(Pengaturan!$B$8:$B$27,C$4)="",0,COUNTIF(Data!$B967:$U967,INDEX(Pengaturan!$B$8:$B$27,C$4)))</f>
        <v>0</v>
      </c>
      <c r="D967" s="26" t="n">
        <f aca="false">IF(INDEX(Pengaturan!$B$8:$B$27,D$4)="",0,COUNTIF(Data!$B967:$U967,INDEX(Pengaturan!$B$8:$B$27,D$4)))</f>
        <v>0</v>
      </c>
      <c r="E967" s="26" t="n">
        <f aca="false">IF(INDEX(Pengaturan!$B$8:$B$27,E$4)="",0,COUNTIF(Data!$B967:$U967,INDEX(Pengaturan!$B$8:$B$27,E$4)))</f>
        <v>0</v>
      </c>
      <c r="F967" s="26" t="n">
        <f aca="false">IF(INDEX(Pengaturan!$B$8:$B$27,F$4)="",0,COUNTIF(Data!$B967:$U967,INDEX(Pengaturan!$B$8:$B$27,F$4)))</f>
        <v>0</v>
      </c>
      <c r="G967" s="26" t="n">
        <f aca="false">IF(INDEX(Pengaturan!$B$8:$B$27,G$4)="",0,COUNTIF(Data!$B967:$U967,INDEX(Pengaturan!$B$8:$B$27,G$4)))</f>
        <v>0</v>
      </c>
      <c r="H967" s="26" t="n">
        <f aca="false">IF(INDEX(Pengaturan!$B$8:$B$27,H$4)="",0,COUNTIF(Data!$B967:$U967,INDEX(Pengaturan!$B$8:$B$27,H$4)))</f>
        <v>0</v>
      </c>
      <c r="I967" s="26" t="n">
        <f aca="false">IF(INDEX(Pengaturan!$B$8:$B$27,I$4)="",0,COUNTIF(Data!$B967:$U967,INDEX(Pengaturan!$B$8:$B$27,I$4)))</f>
        <v>0</v>
      </c>
      <c r="J967" s="26" t="n">
        <f aca="false">IF(INDEX(Pengaturan!$B$8:$B$27,J$4)="",0,COUNTIF(Data!$B967:$U967,INDEX(Pengaturan!$B$8:$B$27,J$4)))</f>
        <v>0</v>
      </c>
      <c r="K967" s="26" t="n">
        <f aca="false">IF(INDEX(Pengaturan!$B$8:$B$27,K$4)="",0,COUNTIF(Data!$B967:$U967,INDEX(Pengaturan!$B$8:$B$27,K$4)))</f>
        <v>0</v>
      </c>
      <c r="L967" s="26" t="n">
        <f aca="false">IF(INDEX(Pengaturan!$B$8:$B$27,L$4)="",0,COUNTIF(Data!$B967:$U967,INDEX(Pengaturan!$B$8:$B$27,L$4)))</f>
        <v>0</v>
      </c>
      <c r="M967" s="26" t="n">
        <f aca="false">IF(INDEX(Pengaturan!$B$8:$B$27,M$4)="",0,COUNTIF(Data!$B967:$U967,INDEX(Pengaturan!$B$8:$B$27,M$4)))</f>
        <v>0</v>
      </c>
      <c r="N967" s="26" t="n">
        <f aca="false">IF(INDEX(Pengaturan!$B$8:$B$27,N$4)="",0,COUNTIF(Data!$B967:$U967,INDEX(Pengaturan!$B$8:$B$27,N$4)))</f>
        <v>0</v>
      </c>
      <c r="O967" s="26" t="n">
        <f aca="false">IF(INDEX(Pengaturan!$B$8:$B$27,O$4)="",0,COUNTIF(Data!$B967:$U967,INDEX(Pengaturan!$B$8:$B$27,O$4)))</f>
        <v>0</v>
      </c>
      <c r="P967" s="26" t="n">
        <f aca="false">IF(INDEX(Pengaturan!$B$8:$B$27,P$4)="",0,COUNTIF(Data!$B967:$U967,INDEX(Pengaturan!$B$8:$B$27,P$4)))</f>
        <v>0</v>
      </c>
      <c r="Q967" s="26" t="n">
        <f aca="false">IF(INDEX(Pengaturan!$B$8:$B$27,Q$4)="",0,COUNTIF(Data!$B967:$U967,INDEX(Pengaturan!$B$8:$B$27,Q$4)))</f>
        <v>0</v>
      </c>
      <c r="R967" s="26" t="n">
        <f aca="false">IF(INDEX(Pengaturan!$B$8:$B$27,R$4)="",0,COUNTIF(Data!$B967:$U967,INDEX(Pengaturan!$B$8:$B$27,R$4)))</f>
        <v>0</v>
      </c>
      <c r="S967" s="26" t="n">
        <f aca="false">IF(INDEX(Pengaturan!$B$8:$B$27,S$4)="",0,COUNTIF(Data!$B967:$U967,INDEX(Pengaturan!$B$8:$B$27,S$4)))</f>
        <v>0</v>
      </c>
      <c r="T967" s="26" t="n">
        <f aca="false">IF(INDEX(Pengaturan!$B$8:$B$27,T$4)="",0,COUNTIF(Data!$B967:$U967,INDEX(Pengaturan!$B$8:$B$27,T$4)))</f>
        <v>0</v>
      </c>
      <c r="U967" s="26" t="n">
        <f aca="false">IF(INDEX(Pengaturan!$B$8:$B$27,U$4)="",0,COUNTIF(Data!$B967:$U967,INDEX(Pengaturan!$B$8:$B$27,U$4)))</f>
        <v>0</v>
      </c>
      <c r="V967" s="26" t="n">
        <f aca="false">COUNTA(Data!$B967:$U967)</f>
        <v>0</v>
      </c>
      <c r="W967" s="27" t="str">
        <f aca="false">IF(V967=0,"",IF(V967&lt;&gt;Hasil!$C$4,"Data kosong/tidak lengkap",IF(SUM(B967:U967)&lt;&gt;V967,"Kategori tidak dikenal","OK")))</f>
        <v/>
      </c>
      <c r="X967" s="26" t="n">
        <f aca="false">IF(OR(W967="",W967="OK"),0,1)</f>
        <v>0</v>
      </c>
    </row>
    <row r="968" customFormat="false" ht="15" hidden="false" customHeight="false" outlineLevel="0" collapsed="false">
      <c r="A968" s="26" t="n">
        <f aca="false">Data!A968</f>
        <v>963</v>
      </c>
      <c r="B968" s="26" t="n">
        <f aca="false">IF(INDEX(Pengaturan!$B$8:$B$27,B$4)="",0,COUNTIF(Data!$B968:$U968,INDEX(Pengaturan!$B$8:$B$27,B$4)))</f>
        <v>0</v>
      </c>
      <c r="C968" s="26" t="n">
        <f aca="false">IF(INDEX(Pengaturan!$B$8:$B$27,C$4)="",0,COUNTIF(Data!$B968:$U968,INDEX(Pengaturan!$B$8:$B$27,C$4)))</f>
        <v>0</v>
      </c>
      <c r="D968" s="26" t="n">
        <f aca="false">IF(INDEX(Pengaturan!$B$8:$B$27,D$4)="",0,COUNTIF(Data!$B968:$U968,INDEX(Pengaturan!$B$8:$B$27,D$4)))</f>
        <v>0</v>
      </c>
      <c r="E968" s="26" t="n">
        <f aca="false">IF(INDEX(Pengaturan!$B$8:$B$27,E$4)="",0,COUNTIF(Data!$B968:$U968,INDEX(Pengaturan!$B$8:$B$27,E$4)))</f>
        <v>0</v>
      </c>
      <c r="F968" s="26" t="n">
        <f aca="false">IF(INDEX(Pengaturan!$B$8:$B$27,F$4)="",0,COUNTIF(Data!$B968:$U968,INDEX(Pengaturan!$B$8:$B$27,F$4)))</f>
        <v>0</v>
      </c>
      <c r="G968" s="26" t="n">
        <f aca="false">IF(INDEX(Pengaturan!$B$8:$B$27,G$4)="",0,COUNTIF(Data!$B968:$U968,INDEX(Pengaturan!$B$8:$B$27,G$4)))</f>
        <v>0</v>
      </c>
      <c r="H968" s="26" t="n">
        <f aca="false">IF(INDEX(Pengaturan!$B$8:$B$27,H$4)="",0,COUNTIF(Data!$B968:$U968,INDEX(Pengaturan!$B$8:$B$27,H$4)))</f>
        <v>0</v>
      </c>
      <c r="I968" s="26" t="n">
        <f aca="false">IF(INDEX(Pengaturan!$B$8:$B$27,I$4)="",0,COUNTIF(Data!$B968:$U968,INDEX(Pengaturan!$B$8:$B$27,I$4)))</f>
        <v>0</v>
      </c>
      <c r="J968" s="26" t="n">
        <f aca="false">IF(INDEX(Pengaturan!$B$8:$B$27,J$4)="",0,COUNTIF(Data!$B968:$U968,INDEX(Pengaturan!$B$8:$B$27,J$4)))</f>
        <v>0</v>
      </c>
      <c r="K968" s="26" t="n">
        <f aca="false">IF(INDEX(Pengaturan!$B$8:$B$27,K$4)="",0,COUNTIF(Data!$B968:$U968,INDEX(Pengaturan!$B$8:$B$27,K$4)))</f>
        <v>0</v>
      </c>
      <c r="L968" s="26" t="n">
        <f aca="false">IF(INDEX(Pengaturan!$B$8:$B$27,L$4)="",0,COUNTIF(Data!$B968:$U968,INDEX(Pengaturan!$B$8:$B$27,L$4)))</f>
        <v>0</v>
      </c>
      <c r="M968" s="26" t="n">
        <f aca="false">IF(INDEX(Pengaturan!$B$8:$B$27,M$4)="",0,COUNTIF(Data!$B968:$U968,INDEX(Pengaturan!$B$8:$B$27,M$4)))</f>
        <v>0</v>
      </c>
      <c r="N968" s="26" t="n">
        <f aca="false">IF(INDEX(Pengaturan!$B$8:$B$27,N$4)="",0,COUNTIF(Data!$B968:$U968,INDEX(Pengaturan!$B$8:$B$27,N$4)))</f>
        <v>0</v>
      </c>
      <c r="O968" s="26" t="n">
        <f aca="false">IF(INDEX(Pengaturan!$B$8:$B$27,O$4)="",0,COUNTIF(Data!$B968:$U968,INDEX(Pengaturan!$B$8:$B$27,O$4)))</f>
        <v>0</v>
      </c>
      <c r="P968" s="26" t="n">
        <f aca="false">IF(INDEX(Pengaturan!$B$8:$B$27,P$4)="",0,COUNTIF(Data!$B968:$U968,INDEX(Pengaturan!$B$8:$B$27,P$4)))</f>
        <v>0</v>
      </c>
      <c r="Q968" s="26" t="n">
        <f aca="false">IF(INDEX(Pengaturan!$B$8:$B$27,Q$4)="",0,COUNTIF(Data!$B968:$U968,INDEX(Pengaturan!$B$8:$B$27,Q$4)))</f>
        <v>0</v>
      </c>
      <c r="R968" s="26" t="n">
        <f aca="false">IF(INDEX(Pengaturan!$B$8:$B$27,R$4)="",0,COUNTIF(Data!$B968:$U968,INDEX(Pengaturan!$B$8:$B$27,R$4)))</f>
        <v>0</v>
      </c>
      <c r="S968" s="26" t="n">
        <f aca="false">IF(INDEX(Pengaturan!$B$8:$B$27,S$4)="",0,COUNTIF(Data!$B968:$U968,INDEX(Pengaturan!$B$8:$B$27,S$4)))</f>
        <v>0</v>
      </c>
      <c r="T968" s="26" t="n">
        <f aca="false">IF(INDEX(Pengaturan!$B$8:$B$27,T$4)="",0,COUNTIF(Data!$B968:$U968,INDEX(Pengaturan!$B$8:$B$27,T$4)))</f>
        <v>0</v>
      </c>
      <c r="U968" s="26" t="n">
        <f aca="false">IF(INDEX(Pengaturan!$B$8:$B$27,U$4)="",0,COUNTIF(Data!$B968:$U968,INDEX(Pengaturan!$B$8:$B$27,U$4)))</f>
        <v>0</v>
      </c>
      <c r="V968" s="26" t="n">
        <f aca="false">COUNTA(Data!$B968:$U968)</f>
        <v>0</v>
      </c>
      <c r="W968" s="27" t="str">
        <f aca="false">IF(V968=0,"",IF(V968&lt;&gt;Hasil!$C$4,"Data kosong/tidak lengkap",IF(SUM(B968:U968)&lt;&gt;V968,"Kategori tidak dikenal","OK")))</f>
        <v/>
      </c>
      <c r="X968" s="26" t="n">
        <f aca="false">IF(OR(W968="",W968="OK"),0,1)</f>
        <v>0</v>
      </c>
    </row>
    <row r="969" customFormat="false" ht="15" hidden="false" customHeight="false" outlineLevel="0" collapsed="false">
      <c r="A969" s="26" t="n">
        <f aca="false">Data!A969</f>
        <v>964</v>
      </c>
      <c r="B969" s="26" t="n">
        <f aca="false">IF(INDEX(Pengaturan!$B$8:$B$27,B$4)="",0,COUNTIF(Data!$B969:$U969,INDEX(Pengaturan!$B$8:$B$27,B$4)))</f>
        <v>0</v>
      </c>
      <c r="C969" s="26" t="n">
        <f aca="false">IF(INDEX(Pengaturan!$B$8:$B$27,C$4)="",0,COUNTIF(Data!$B969:$U969,INDEX(Pengaturan!$B$8:$B$27,C$4)))</f>
        <v>0</v>
      </c>
      <c r="D969" s="26" t="n">
        <f aca="false">IF(INDEX(Pengaturan!$B$8:$B$27,D$4)="",0,COUNTIF(Data!$B969:$U969,INDEX(Pengaturan!$B$8:$B$27,D$4)))</f>
        <v>0</v>
      </c>
      <c r="E969" s="26" t="n">
        <f aca="false">IF(INDEX(Pengaturan!$B$8:$B$27,E$4)="",0,COUNTIF(Data!$B969:$U969,INDEX(Pengaturan!$B$8:$B$27,E$4)))</f>
        <v>0</v>
      </c>
      <c r="F969" s="26" t="n">
        <f aca="false">IF(INDEX(Pengaturan!$B$8:$B$27,F$4)="",0,COUNTIF(Data!$B969:$U969,INDEX(Pengaturan!$B$8:$B$27,F$4)))</f>
        <v>0</v>
      </c>
      <c r="G969" s="26" t="n">
        <f aca="false">IF(INDEX(Pengaturan!$B$8:$B$27,G$4)="",0,COUNTIF(Data!$B969:$U969,INDEX(Pengaturan!$B$8:$B$27,G$4)))</f>
        <v>0</v>
      </c>
      <c r="H969" s="26" t="n">
        <f aca="false">IF(INDEX(Pengaturan!$B$8:$B$27,H$4)="",0,COUNTIF(Data!$B969:$U969,INDEX(Pengaturan!$B$8:$B$27,H$4)))</f>
        <v>0</v>
      </c>
      <c r="I969" s="26" t="n">
        <f aca="false">IF(INDEX(Pengaturan!$B$8:$B$27,I$4)="",0,COUNTIF(Data!$B969:$U969,INDEX(Pengaturan!$B$8:$B$27,I$4)))</f>
        <v>0</v>
      </c>
      <c r="J969" s="26" t="n">
        <f aca="false">IF(INDEX(Pengaturan!$B$8:$B$27,J$4)="",0,COUNTIF(Data!$B969:$U969,INDEX(Pengaturan!$B$8:$B$27,J$4)))</f>
        <v>0</v>
      </c>
      <c r="K969" s="26" t="n">
        <f aca="false">IF(INDEX(Pengaturan!$B$8:$B$27,K$4)="",0,COUNTIF(Data!$B969:$U969,INDEX(Pengaturan!$B$8:$B$27,K$4)))</f>
        <v>0</v>
      </c>
      <c r="L969" s="26" t="n">
        <f aca="false">IF(INDEX(Pengaturan!$B$8:$B$27,L$4)="",0,COUNTIF(Data!$B969:$U969,INDEX(Pengaturan!$B$8:$B$27,L$4)))</f>
        <v>0</v>
      </c>
      <c r="M969" s="26" t="n">
        <f aca="false">IF(INDEX(Pengaturan!$B$8:$B$27,M$4)="",0,COUNTIF(Data!$B969:$U969,INDEX(Pengaturan!$B$8:$B$27,M$4)))</f>
        <v>0</v>
      </c>
      <c r="N969" s="26" t="n">
        <f aca="false">IF(INDEX(Pengaturan!$B$8:$B$27,N$4)="",0,COUNTIF(Data!$B969:$U969,INDEX(Pengaturan!$B$8:$B$27,N$4)))</f>
        <v>0</v>
      </c>
      <c r="O969" s="26" t="n">
        <f aca="false">IF(INDEX(Pengaturan!$B$8:$B$27,O$4)="",0,COUNTIF(Data!$B969:$U969,INDEX(Pengaturan!$B$8:$B$27,O$4)))</f>
        <v>0</v>
      </c>
      <c r="P969" s="26" t="n">
        <f aca="false">IF(INDEX(Pengaturan!$B$8:$B$27,P$4)="",0,COUNTIF(Data!$B969:$U969,INDEX(Pengaturan!$B$8:$B$27,P$4)))</f>
        <v>0</v>
      </c>
      <c r="Q969" s="26" t="n">
        <f aca="false">IF(INDEX(Pengaturan!$B$8:$B$27,Q$4)="",0,COUNTIF(Data!$B969:$U969,INDEX(Pengaturan!$B$8:$B$27,Q$4)))</f>
        <v>0</v>
      </c>
      <c r="R969" s="26" t="n">
        <f aca="false">IF(INDEX(Pengaturan!$B$8:$B$27,R$4)="",0,COUNTIF(Data!$B969:$U969,INDEX(Pengaturan!$B$8:$B$27,R$4)))</f>
        <v>0</v>
      </c>
      <c r="S969" s="26" t="n">
        <f aca="false">IF(INDEX(Pengaturan!$B$8:$B$27,S$4)="",0,COUNTIF(Data!$B969:$U969,INDEX(Pengaturan!$B$8:$B$27,S$4)))</f>
        <v>0</v>
      </c>
      <c r="T969" s="26" t="n">
        <f aca="false">IF(INDEX(Pengaturan!$B$8:$B$27,T$4)="",0,COUNTIF(Data!$B969:$U969,INDEX(Pengaturan!$B$8:$B$27,T$4)))</f>
        <v>0</v>
      </c>
      <c r="U969" s="26" t="n">
        <f aca="false">IF(INDEX(Pengaturan!$B$8:$B$27,U$4)="",0,COUNTIF(Data!$B969:$U969,INDEX(Pengaturan!$B$8:$B$27,U$4)))</f>
        <v>0</v>
      </c>
      <c r="V969" s="26" t="n">
        <f aca="false">COUNTA(Data!$B969:$U969)</f>
        <v>0</v>
      </c>
      <c r="W969" s="27" t="str">
        <f aca="false">IF(V969=0,"",IF(V969&lt;&gt;Hasil!$C$4,"Data kosong/tidak lengkap",IF(SUM(B969:U969)&lt;&gt;V969,"Kategori tidak dikenal","OK")))</f>
        <v/>
      </c>
      <c r="X969" s="26" t="n">
        <f aca="false">IF(OR(W969="",W969="OK"),0,1)</f>
        <v>0</v>
      </c>
    </row>
    <row r="970" customFormat="false" ht="15" hidden="false" customHeight="false" outlineLevel="0" collapsed="false">
      <c r="A970" s="26" t="n">
        <f aca="false">Data!A970</f>
        <v>965</v>
      </c>
      <c r="B970" s="26" t="n">
        <f aca="false">IF(INDEX(Pengaturan!$B$8:$B$27,B$4)="",0,COUNTIF(Data!$B970:$U970,INDEX(Pengaturan!$B$8:$B$27,B$4)))</f>
        <v>0</v>
      </c>
      <c r="C970" s="26" t="n">
        <f aca="false">IF(INDEX(Pengaturan!$B$8:$B$27,C$4)="",0,COUNTIF(Data!$B970:$U970,INDEX(Pengaturan!$B$8:$B$27,C$4)))</f>
        <v>0</v>
      </c>
      <c r="D970" s="26" t="n">
        <f aca="false">IF(INDEX(Pengaturan!$B$8:$B$27,D$4)="",0,COUNTIF(Data!$B970:$U970,INDEX(Pengaturan!$B$8:$B$27,D$4)))</f>
        <v>0</v>
      </c>
      <c r="E970" s="26" t="n">
        <f aca="false">IF(INDEX(Pengaturan!$B$8:$B$27,E$4)="",0,COUNTIF(Data!$B970:$U970,INDEX(Pengaturan!$B$8:$B$27,E$4)))</f>
        <v>0</v>
      </c>
      <c r="F970" s="26" t="n">
        <f aca="false">IF(INDEX(Pengaturan!$B$8:$B$27,F$4)="",0,COUNTIF(Data!$B970:$U970,INDEX(Pengaturan!$B$8:$B$27,F$4)))</f>
        <v>0</v>
      </c>
      <c r="G970" s="26" t="n">
        <f aca="false">IF(INDEX(Pengaturan!$B$8:$B$27,G$4)="",0,COUNTIF(Data!$B970:$U970,INDEX(Pengaturan!$B$8:$B$27,G$4)))</f>
        <v>0</v>
      </c>
      <c r="H970" s="26" t="n">
        <f aca="false">IF(INDEX(Pengaturan!$B$8:$B$27,H$4)="",0,COUNTIF(Data!$B970:$U970,INDEX(Pengaturan!$B$8:$B$27,H$4)))</f>
        <v>0</v>
      </c>
      <c r="I970" s="26" t="n">
        <f aca="false">IF(INDEX(Pengaturan!$B$8:$B$27,I$4)="",0,COUNTIF(Data!$B970:$U970,INDEX(Pengaturan!$B$8:$B$27,I$4)))</f>
        <v>0</v>
      </c>
      <c r="J970" s="26" t="n">
        <f aca="false">IF(INDEX(Pengaturan!$B$8:$B$27,J$4)="",0,COUNTIF(Data!$B970:$U970,INDEX(Pengaturan!$B$8:$B$27,J$4)))</f>
        <v>0</v>
      </c>
      <c r="K970" s="26" t="n">
        <f aca="false">IF(INDEX(Pengaturan!$B$8:$B$27,K$4)="",0,COUNTIF(Data!$B970:$U970,INDEX(Pengaturan!$B$8:$B$27,K$4)))</f>
        <v>0</v>
      </c>
      <c r="L970" s="26" t="n">
        <f aca="false">IF(INDEX(Pengaturan!$B$8:$B$27,L$4)="",0,COUNTIF(Data!$B970:$U970,INDEX(Pengaturan!$B$8:$B$27,L$4)))</f>
        <v>0</v>
      </c>
      <c r="M970" s="26" t="n">
        <f aca="false">IF(INDEX(Pengaturan!$B$8:$B$27,M$4)="",0,COUNTIF(Data!$B970:$U970,INDEX(Pengaturan!$B$8:$B$27,M$4)))</f>
        <v>0</v>
      </c>
      <c r="N970" s="26" t="n">
        <f aca="false">IF(INDEX(Pengaturan!$B$8:$B$27,N$4)="",0,COUNTIF(Data!$B970:$U970,INDEX(Pengaturan!$B$8:$B$27,N$4)))</f>
        <v>0</v>
      </c>
      <c r="O970" s="26" t="n">
        <f aca="false">IF(INDEX(Pengaturan!$B$8:$B$27,O$4)="",0,COUNTIF(Data!$B970:$U970,INDEX(Pengaturan!$B$8:$B$27,O$4)))</f>
        <v>0</v>
      </c>
      <c r="P970" s="26" t="n">
        <f aca="false">IF(INDEX(Pengaturan!$B$8:$B$27,P$4)="",0,COUNTIF(Data!$B970:$U970,INDEX(Pengaturan!$B$8:$B$27,P$4)))</f>
        <v>0</v>
      </c>
      <c r="Q970" s="26" t="n">
        <f aca="false">IF(INDEX(Pengaturan!$B$8:$B$27,Q$4)="",0,COUNTIF(Data!$B970:$U970,INDEX(Pengaturan!$B$8:$B$27,Q$4)))</f>
        <v>0</v>
      </c>
      <c r="R970" s="26" t="n">
        <f aca="false">IF(INDEX(Pengaturan!$B$8:$B$27,R$4)="",0,COUNTIF(Data!$B970:$U970,INDEX(Pengaturan!$B$8:$B$27,R$4)))</f>
        <v>0</v>
      </c>
      <c r="S970" s="26" t="n">
        <f aca="false">IF(INDEX(Pengaturan!$B$8:$B$27,S$4)="",0,COUNTIF(Data!$B970:$U970,INDEX(Pengaturan!$B$8:$B$27,S$4)))</f>
        <v>0</v>
      </c>
      <c r="T970" s="26" t="n">
        <f aca="false">IF(INDEX(Pengaturan!$B$8:$B$27,T$4)="",0,COUNTIF(Data!$B970:$U970,INDEX(Pengaturan!$B$8:$B$27,T$4)))</f>
        <v>0</v>
      </c>
      <c r="U970" s="26" t="n">
        <f aca="false">IF(INDEX(Pengaturan!$B$8:$B$27,U$4)="",0,COUNTIF(Data!$B970:$U970,INDEX(Pengaturan!$B$8:$B$27,U$4)))</f>
        <v>0</v>
      </c>
      <c r="V970" s="26" t="n">
        <f aca="false">COUNTA(Data!$B970:$U970)</f>
        <v>0</v>
      </c>
      <c r="W970" s="27" t="str">
        <f aca="false">IF(V970=0,"",IF(V970&lt;&gt;Hasil!$C$4,"Data kosong/tidak lengkap",IF(SUM(B970:U970)&lt;&gt;V970,"Kategori tidak dikenal","OK")))</f>
        <v/>
      </c>
      <c r="X970" s="26" t="n">
        <f aca="false">IF(OR(W970="",W970="OK"),0,1)</f>
        <v>0</v>
      </c>
    </row>
    <row r="971" customFormat="false" ht="15" hidden="false" customHeight="false" outlineLevel="0" collapsed="false">
      <c r="A971" s="26" t="n">
        <f aca="false">Data!A971</f>
        <v>966</v>
      </c>
      <c r="B971" s="26" t="n">
        <f aca="false">IF(INDEX(Pengaturan!$B$8:$B$27,B$4)="",0,COUNTIF(Data!$B971:$U971,INDEX(Pengaturan!$B$8:$B$27,B$4)))</f>
        <v>0</v>
      </c>
      <c r="C971" s="26" t="n">
        <f aca="false">IF(INDEX(Pengaturan!$B$8:$B$27,C$4)="",0,COUNTIF(Data!$B971:$U971,INDEX(Pengaturan!$B$8:$B$27,C$4)))</f>
        <v>0</v>
      </c>
      <c r="D971" s="26" t="n">
        <f aca="false">IF(INDEX(Pengaturan!$B$8:$B$27,D$4)="",0,COUNTIF(Data!$B971:$U971,INDEX(Pengaturan!$B$8:$B$27,D$4)))</f>
        <v>0</v>
      </c>
      <c r="E971" s="26" t="n">
        <f aca="false">IF(INDEX(Pengaturan!$B$8:$B$27,E$4)="",0,COUNTIF(Data!$B971:$U971,INDEX(Pengaturan!$B$8:$B$27,E$4)))</f>
        <v>0</v>
      </c>
      <c r="F971" s="26" t="n">
        <f aca="false">IF(INDEX(Pengaturan!$B$8:$B$27,F$4)="",0,COUNTIF(Data!$B971:$U971,INDEX(Pengaturan!$B$8:$B$27,F$4)))</f>
        <v>0</v>
      </c>
      <c r="G971" s="26" t="n">
        <f aca="false">IF(INDEX(Pengaturan!$B$8:$B$27,G$4)="",0,COUNTIF(Data!$B971:$U971,INDEX(Pengaturan!$B$8:$B$27,G$4)))</f>
        <v>0</v>
      </c>
      <c r="H971" s="26" t="n">
        <f aca="false">IF(INDEX(Pengaturan!$B$8:$B$27,H$4)="",0,COUNTIF(Data!$B971:$U971,INDEX(Pengaturan!$B$8:$B$27,H$4)))</f>
        <v>0</v>
      </c>
      <c r="I971" s="26" t="n">
        <f aca="false">IF(INDEX(Pengaturan!$B$8:$B$27,I$4)="",0,COUNTIF(Data!$B971:$U971,INDEX(Pengaturan!$B$8:$B$27,I$4)))</f>
        <v>0</v>
      </c>
      <c r="J971" s="26" t="n">
        <f aca="false">IF(INDEX(Pengaturan!$B$8:$B$27,J$4)="",0,COUNTIF(Data!$B971:$U971,INDEX(Pengaturan!$B$8:$B$27,J$4)))</f>
        <v>0</v>
      </c>
      <c r="K971" s="26" t="n">
        <f aca="false">IF(INDEX(Pengaturan!$B$8:$B$27,K$4)="",0,COUNTIF(Data!$B971:$U971,INDEX(Pengaturan!$B$8:$B$27,K$4)))</f>
        <v>0</v>
      </c>
      <c r="L971" s="26" t="n">
        <f aca="false">IF(INDEX(Pengaturan!$B$8:$B$27,L$4)="",0,COUNTIF(Data!$B971:$U971,INDEX(Pengaturan!$B$8:$B$27,L$4)))</f>
        <v>0</v>
      </c>
      <c r="M971" s="26" t="n">
        <f aca="false">IF(INDEX(Pengaturan!$B$8:$B$27,M$4)="",0,COUNTIF(Data!$B971:$U971,INDEX(Pengaturan!$B$8:$B$27,M$4)))</f>
        <v>0</v>
      </c>
      <c r="N971" s="26" t="n">
        <f aca="false">IF(INDEX(Pengaturan!$B$8:$B$27,N$4)="",0,COUNTIF(Data!$B971:$U971,INDEX(Pengaturan!$B$8:$B$27,N$4)))</f>
        <v>0</v>
      </c>
      <c r="O971" s="26" t="n">
        <f aca="false">IF(INDEX(Pengaturan!$B$8:$B$27,O$4)="",0,COUNTIF(Data!$B971:$U971,INDEX(Pengaturan!$B$8:$B$27,O$4)))</f>
        <v>0</v>
      </c>
      <c r="P971" s="26" t="n">
        <f aca="false">IF(INDEX(Pengaturan!$B$8:$B$27,P$4)="",0,COUNTIF(Data!$B971:$U971,INDEX(Pengaturan!$B$8:$B$27,P$4)))</f>
        <v>0</v>
      </c>
      <c r="Q971" s="26" t="n">
        <f aca="false">IF(INDEX(Pengaturan!$B$8:$B$27,Q$4)="",0,COUNTIF(Data!$B971:$U971,INDEX(Pengaturan!$B$8:$B$27,Q$4)))</f>
        <v>0</v>
      </c>
      <c r="R971" s="26" t="n">
        <f aca="false">IF(INDEX(Pengaturan!$B$8:$B$27,R$4)="",0,COUNTIF(Data!$B971:$U971,INDEX(Pengaturan!$B$8:$B$27,R$4)))</f>
        <v>0</v>
      </c>
      <c r="S971" s="26" t="n">
        <f aca="false">IF(INDEX(Pengaturan!$B$8:$B$27,S$4)="",0,COUNTIF(Data!$B971:$U971,INDEX(Pengaturan!$B$8:$B$27,S$4)))</f>
        <v>0</v>
      </c>
      <c r="T971" s="26" t="n">
        <f aca="false">IF(INDEX(Pengaturan!$B$8:$B$27,T$4)="",0,COUNTIF(Data!$B971:$U971,INDEX(Pengaturan!$B$8:$B$27,T$4)))</f>
        <v>0</v>
      </c>
      <c r="U971" s="26" t="n">
        <f aca="false">IF(INDEX(Pengaturan!$B$8:$B$27,U$4)="",0,COUNTIF(Data!$B971:$U971,INDEX(Pengaturan!$B$8:$B$27,U$4)))</f>
        <v>0</v>
      </c>
      <c r="V971" s="26" t="n">
        <f aca="false">COUNTA(Data!$B971:$U971)</f>
        <v>0</v>
      </c>
      <c r="W971" s="27" t="str">
        <f aca="false">IF(V971=0,"",IF(V971&lt;&gt;Hasil!$C$4,"Data kosong/tidak lengkap",IF(SUM(B971:U971)&lt;&gt;V971,"Kategori tidak dikenal","OK")))</f>
        <v/>
      </c>
      <c r="X971" s="26" t="n">
        <f aca="false">IF(OR(W971="",W971="OK"),0,1)</f>
        <v>0</v>
      </c>
    </row>
    <row r="972" customFormat="false" ht="15" hidden="false" customHeight="false" outlineLevel="0" collapsed="false">
      <c r="A972" s="26" t="n">
        <f aca="false">Data!A972</f>
        <v>967</v>
      </c>
      <c r="B972" s="26" t="n">
        <f aca="false">IF(INDEX(Pengaturan!$B$8:$B$27,B$4)="",0,COUNTIF(Data!$B972:$U972,INDEX(Pengaturan!$B$8:$B$27,B$4)))</f>
        <v>0</v>
      </c>
      <c r="C972" s="26" t="n">
        <f aca="false">IF(INDEX(Pengaturan!$B$8:$B$27,C$4)="",0,COUNTIF(Data!$B972:$U972,INDEX(Pengaturan!$B$8:$B$27,C$4)))</f>
        <v>0</v>
      </c>
      <c r="D972" s="26" t="n">
        <f aca="false">IF(INDEX(Pengaturan!$B$8:$B$27,D$4)="",0,COUNTIF(Data!$B972:$U972,INDEX(Pengaturan!$B$8:$B$27,D$4)))</f>
        <v>0</v>
      </c>
      <c r="E972" s="26" t="n">
        <f aca="false">IF(INDEX(Pengaturan!$B$8:$B$27,E$4)="",0,COUNTIF(Data!$B972:$U972,INDEX(Pengaturan!$B$8:$B$27,E$4)))</f>
        <v>0</v>
      </c>
      <c r="F972" s="26" t="n">
        <f aca="false">IF(INDEX(Pengaturan!$B$8:$B$27,F$4)="",0,COUNTIF(Data!$B972:$U972,INDEX(Pengaturan!$B$8:$B$27,F$4)))</f>
        <v>0</v>
      </c>
      <c r="G972" s="26" t="n">
        <f aca="false">IF(INDEX(Pengaturan!$B$8:$B$27,G$4)="",0,COUNTIF(Data!$B972:$U972,INDEX(Pengaturan!$B$8:$B$27,G$4)))</f>
        <v>0</v>
      </c>
      <c r="H972" s="26" t="n">
        <f aca="false">IF(INDEX(Pengaturan!$B$8:$B$27,H$4)="",0,COUNTIF(Data!$B972:$U972,INDEX(Pengaturan!$B$8:$B$27,H$4)))</f>
        <v>0</v>
      </c>
      <c r="I972" s="26" t="n">
        <f aca="false">IF(INDEX(Pengaturan!$B$8:$B$27,I$4)="",0,COUNTIF(Data!$B972:$U972,INDEX(Pengaturan!$B$8:$B$27,I$4)))</f>
        <v>0</v>
      </c>
      <c r="J972" s="26" t="n">
        <f aca="false">IF(INDEX(Pengaturan!$B$8:$B$27,J$4)="",0,COUNTIF(Data!$B972:$U972,INDEX(Pengaturan!$B$8:$B$27,J$4)))</f>
        <v>0</v>
      </c>
      <c r="K972" s="26" t="n">
        <f aca="false">IF(INDEX(Pengaturan!$B$8:$B$27,K$4)="",0,COUNTIF(Data!$B972:$U972,INDEX(Pengaturan!$B$8:$B$27,K$4)))</f>
        <v>0</v>
      </c>
      <c r="L972" s="26" t="n">
        <f aca="false">IF(INDEX(Pengaturan!$B$8:$B$27,L$4)="",0,COUNTIF(Data!$B972:$U972,INDEX(Pengaturan!$B$8:$B$27,L$4)))</f>
        <v>0</v>
      </c>
      <c r="M972" s="26" t="n">
        <f aca="false">IF(INDEX(Pengaturan!$B$8:$B$27,M$4)="",0,COUNTIF(Data!$B972:$U972,INDEX(Pengaturan!$B$8:$B$27,M$4)))</f>
        <v>0</v>
      </c>
      <c r="N972" s="26" t="n">
        <f aca="false">IF(INDEX(Pengaturan!$B$8:$B$27,N$4)="",0,COUNTIF(Data!$B972:$U972,INDEX(Pengaturan!$B$8:$B$27,N$4)))</f>
        <v>0</v>
      </c>
      <c r="O972" s="26" t="n">
        <f aca="false">IF(INDEX(Pengaturan!$B$8:$B$27,O$4)="",0,COUNTIF(Data!$B972:$U972,INDEX(Pengaturan!$B$8:$B$27,O$4)))</f>
        <v>0</v>
      </c>
      <c r="P972" s="26" t="n">
        <f aca="false">IF(INDEX(Pengaturan!$B$8:$B$27,P$4)="",0,COUNTIF(Data!$B972:$U972,INDEX(Pengaturan!$B$8:$B$27,P$4)))</f>
        <v>0</v>
      </c>
      <c r="Q972" s="26" t="n">
        <f aca="false">IF(INDEX(Pengaturan!$B$8:$B$27,Q$4)="",0,COUNTIF(Data!$B972:$U972,INDEX(Pengaturan!$B$8:$B$27,Q$4)))</f>
        <v>0</v>
      </c>
      <c r="R972" s="26" t="n">
        <f aca="false">IF(INDEX(Pengaturan!$B$8:$B$27,R$4)="",0,COUNTIF(Data!$B972:$U972,INDEX(Pengaturan!$B$8:$B$27,R$4)))</f>
        <v>0</v>
      </c>
      <c r="S972" s="26" t="n">
        <f aca="false">IF(INDEX(Pengaturan!$B$8:$B$27,S$4)="",0,COUNTIF(Data!$B972:$U972,INDEX(Pengaturan!$B$8:$B$27,S$4)))</f>
        <v>0</v>
      </c>
      <c r="T972" s="26" t="n">
        <f aca="false">IF(INDEX(Pengaturan!$B$8:$B$27,T$4)="",0,COUNTIF(Data!$B972:$U972,INDEX(Pengaturan!$B$8:$B$27,T$4)))</f>
        <v>0</v>
      </c>
      <c r="U972" s="26" t="n">
        <f aca="false">IF(INDEX(Pengaturan!$B$8:$B$27,U$4)="",0,COUNTIF(Data!$B972:$U972,INDEX(Pengaturan!$B$8:$B$27,U$4)))</f>
        <v>0</v>
      </c>
      <c r="V972" s="26" t="n">
        <f aca="false">COUNTA(Data!$B972:$U972)</f>
        <v>0</v>
      </c>
      <c r="W972" s="27" t="str">
        <f aca="false">IF(V972=0,"",IF(V972&lt;&gt;Hasil!$C$4,"Data kosong/tidak lengkap",IF(SUM(B972:U972)&lt;&gt;V972,"Kategori tidak dikenal","OK")))</f>
        <v/>
      </c>
      <c r="X972" s="26" t="n">
        <f aca="false">IF(OR(W972="",W972="OK"),0,1)</f>
        <v>0</v>
      </c>
    </row>
    <row r="973" customFormat="false" ht="15" hidden="false" customHeight="false" outlineLevel="0" collapsed="false">
      <c r="A973" s="26" t="n">
        <f aca="false">Data!A973</f>
        <v>968</v>
      </c>
      <c r="B973" s="26" t="n">
        <f aca="false">IF(INDEX(Pengaturan!$B$8:$B$27,B$4)="",0,COUNTIF(Data!$B973:$U973,INDEX(Pengaturan!$B$8:$B$27,B$4)))</f>
        <v>0</v>
      </c>
      <c r="C973" s="26" t="n">
        <f aca="false">IF(INDEX(Pengaturan!$B$8:$B$27,C$4)="",0,COUNTIF(Data!$B973:$U973,INDEX(Pengaturan!$B$8:$B$27,C$4)))</f>
        <v>0</v>
      </c>
      <c r="D973" s="26" t="n">
        <f aca="false">IF(INDEX(Pengaturan!$B$8:$B$27,D$4)="",0,COUNTIF(Data!$B973:$U973,INDEX(Pengaturan!$B$8:$B$27,D$4)))</f>
        <v>0</v>
      </c>
      <c r="E973" s="26" t="n">
        <f aca="false">IF(INDEX(Pengaturan!$B$8:$B$27,E$4)="",0,COUNTIF(Data!$B973:$U973,INDEX(Pengaturan!$B$8:$B$27,E$4)))</f>
        <v>0</v>
      </c>
      <c r="F973" s="26" t="n">
        <f aca="false">IF(INDEX(Pengaturan!$B$8:$B$27,F$4)="",0,COUNTIF(Data!$B973:$U973,INDEX(Pengaturan!$B$8:$B$27,F$4)))</f>
        <v>0</v>
      </c>
      <c r="G973" s="26" t="n">
        <f aca="false">IF(INDEX(Pengaturan!$B$8:$B$27,G$4)="",0,COUNTIF(Data!$B973:$U973,INDEX(Pengaturan!$B$8:$B$27,G$4)))</f>
        <v>0</v>
      </c>
      <c r="H973" s="26" t="n">
        <f aca="false">IF(INDEX(Pengaturan!$B$8:$B$27,H$4)="",0,COUNTIF(Data!$B973:$U973,INDEX(Pengaturan!$B$8:$B$27,H$4)))</f>
        <v>0</v>
      </c>
      <c r="I973" s="26" t="n">
        <f aca="false">IF(INDEX(Pengaturan!$B$8:$B$27,I$4)="",0,COUNTIF(Data!$B973:$U973,INDEX(Pengaturan!$B$8:$B$27,I$4)))</f>
        <v>0</v>
      </c>
      <c r="J973" s="26" t="n">
        <f aca="false">IF(INDEX(Pengaturan!$B$8:$B$27,J$4)="",0,COUNTIF(Data!$B973:$U973,INDEX(Pengaturan!$B$8:$B$27,J$4)))</f>
        <v>0</v>
      </c>
      <c r="K973" s="26" t="n">
        <f aca="false">IF(INDEX(Pengaturan!$B$8:$B$27,K$4)="",0,COUNTIF(Data!$B973:$U973,INDEX(Pengaturan!$B$8:$B$27,K$4)))</f>
        <v>0</v>
      </c>
      <c r="L973" s="26" t="n">
        <f aca="false">IF(INDEX(Pengaturan!$B$8:$B$27,L$4)="",0,COUNTIF(Data!$B973:$U973,INDEX(Pengaturan!$B$8:$B$27,L$4)))</f>
        <v>0</v>
      </c>
      <c r="M973" s="26" t="n">
        <f aca="false">IF(INDEX(Pengaturan!$B$8:$B$27,M$4)="",0,COUNTIF(Data!$B973:$U973,INDEX(Pengaturan!$B$8:$B$27,M$4)))</f>
        <v>0</v>
      </c>
      <c r="N973" s="26" t="n">
        <f aca="false">IF(INDEX(Pengaturan!$B$8:$B$27,N$4)="",0,COUNTIF(Data!$B973:$U973,INDEX(Pengaturan!$B$8:$B$27,N$4)))</f>
        <v>0</v>
      </c>
      <c r="O973" s="26" t="n">
        <f aca="false">IF(INDEX(Pengaturan!$B$8:$B$27,O$4)="",0,COUNTIF(Data!$B973:$U973,INDEX(Pengaturan!$B$8:$B$27,O$4)))</f>
        <v>0</v>
      </c>
      <c r="P973" s="26" t="n">
        <f aca="false">IF(INDEX(Pengaturan!$B$8:$B$27,P$4)="",0,COUNTIF(Data!$B973:$U973,INDEX(Pengaturan!$B$8:$B$27,P$4)))</f>
        <v>0</v>
      </c>
      <c r="Q973" s="26" t="n">
        <f aca="false">IF(INDEX(Pengaturan!$B$8:$B$27,Q$4)="",0,COUNTIF(Data!$B973:$U973,INDEX(Pengaturan!$B$8:$B$27,Q$4)))</f>
        <v>0</v>
      </c>
      <c r="R973" s="26" t="n">
        <f aca="false">IF(INDEX(Pengaturan!$B$8:$B$27,R$4)="",0,COUNTIF(Data!$B973:$U973,INDEX(Pengaturan!$B$8:$B$27,R$4)))</f>
        <v>0</v>
      </c>
      <c r="S973" s="26" t="n">
        <f aca="false">IF(INDEX(Pengaturan!$B$8:$B$27,S$4)="",0,COUNTIF(Data!$B973:$U973,INDEX(Pengaturan!$B$8:$B$27,S$4)))</f>
        <v>0</v>
      </c>
      <c r="T973" s="26" t="n">
        <f aca="false">IF(INDEX(Pengaturan!$B$8:$B$27,T$4)="",0,COUNTIF(Data!$B973:$U973,INDEX(Pengaturan!$B$8:$B$27,T$4)))</f>
        <v>0</v>
      </c>
      <c r="U973" s="26" t="n">
        <f aca="false">IF(INDEX(Pengaturan!$B$8:$B$27,U$4)="",0,COUNTIF(Data!$B973:$U973,INDEX(Pengaturan!$B$8:$B$27,U$4)))</f>
        <v>0</v>
      </c>
      <c r="V973" s="26" t="n">
        <f aca="false">COUNTA(Data!$B973:$U973)</f>
        <v>0</v>
      </c>
      <c r="W973" s="27" t="str">
        <f aca="false">IF(V973=0,"",IF(V973&lt;&gt;Hasil!$C$4,"Data kosong/tidak lengkap",IF(SUM(B973:U973)&lt;&gt;V973,"Kategori tidak dikenal","OK")))</f>
        <v/>
      </c>
      <c r="X973" s="26" t="n">
        <f aca="false">IF(OR(W973="",W973="OK"),0,1)</f>
        <v>0</v>
      </c>
    </row>
    <row r="974" customFormat="false" ht="15" hidden="false" customHeight="false" outlineLevel="0" collapsed="false">
      <c r="A974" s="26" t="n">
        <f aca="false">Data!A974</f>
        <v>969</v>
      </c>
      <c r="B974" s="26" t="n">
        <f aca="false">IF(INDEX(Pengaturan!$B$8:$B$27,B$4)="",0,COUNTIF(Data!$B974:$U974,INDEX(Pengaturan!$B$8:$B$27,B$4)))</f>
        <v>0</v>
      </c>
      <c r="C974" s="26" t="n">
        <f aca="false">IF(INDEX(Pengaturan!$B$8:$B$27,C$4)="",0,COUNTIF(Data!$B974:$U974,INDEX(Pengaturan!$B$8:$B$27,C$4)))</f>
        <v>0</v>
      </c>
      <c r="D974" s="26" t="n">
        <f aca="false">IF(INDEX(Pengaturan!$B$8:$B$27,D$4)="",0,COUNTIF(Data!$B974:$U974,INDEX(Pengaturan!$B$8:$B$27,D$4)))</f>
        <v>0</v>
      </c>
      <c r="E974" s="26" t="n">
        <f aca="false">IF(INDEX(Pengaturan!$B$8:$B$27,E$4)="",0,COUNTIF(Data!$B974:$U974,INDEX(Pengaturan!$B$8:$B$27,E$4)))</f>
        <v>0</v>
      </c>
      <c r="F974" s="26" t="n">
        <f aca="false">IF(INDEX(Pengaturan!$B$8:$B$27,F$4)="",0,COUNTIF(Data!$B974:$U974,INDEX(Pengaturan!$B$8:$B$27,F$4)))</f>
        <v>0</v>
      </c>
      <c r="G974" s="26" t="n">
        <f aca="false">IF(INDEX(Pengaturan!$B$8:$B$27,G$4)="",0,COUNTIF(Data!$B974:$U974,INDEX(Pengaturan!$B$8:$B$27,G$4)))</f>
        <v>0</v>
      </c>
      <c r="H974" s="26" t="n">
        <f aca="false">IF(INDEX(Pengaturan!$B$8:$B$27,H$4)="",0,COUNTIF(Data!$B974:$U974,INDEX(Pengaturan!$B$8:$B$27,H$4)))</f>
        <v>0</v>
      </c>
      <c r="I974" s="26" t="n">
        <f aca="false">IF(INDEX(Pengaturan!$B$8:$B$27,I$4)="",0,COUNTIF(Data!$B974:$U974,INDEX(Pengaturan!$B$8:$B$27,I$4)))</f>
        <v>0</v>
      </c>
      <c r="J974" s="26" t="n">
        <f aca="false">IF(INDEX(Pengaturan!$B$8:$B$27,J$4)="",0,COUNTIF(Data!$B974:$U974,INDEX(Pengaturan!$B$8:$B$27,J$4)))</f>
        <v>0</v>
      </c>
      <c r="K974" s="26" t="n">
        <f aca="false">IF(INDEX(Pengaturan!$B$8:$B$27,K$4)="",0,COUNTIF(Data!$B974:$U974,INDEX(Pengaturan!$B$8:$B$27,K$4)))</f>
        <v>0</v>
      </c>
      <c r="L974" s="26" t="n">
        <f aca="false">IF(INDEX(Pengaturan!$B$8:$B$27,L$4)="",0,COUNTIF(Data!$B974:$U974,INDEX(Pengaturan!$B$8:$B$27,L$4)))</f>
        <v>0</v>
      </c>
      <c r="M974" s="26" t="n">
        <f aca="false">IF(INDEX(Pengaturan!$B$8:$B$27,M$4)="",0,COUNTIF(Data!$B974:$U974,INDEX(Pengaturan!$B$8:$B$27,M$4)))</f>
        <v>0</v>
      </c>
      <c r="N974" s="26" t="n">
        <f aca="false">IF(INDEX(Pengaturan!$B$8:$B$27,N$4)="",0,COUNTIF(Data!$B974:$U974,INDEX(Pengaturan!$B$8:$B$27,N$4)))</f>
        <v>0</v>
      </c>
      <c r="O974" s="26" t="n">
        <f aca="false">IF(INDEX(Pengaturan!$B$8:$B$27,O$4)="",0,COUNTIF(Data!$B974:$U974,INDEX(Pengaturan!$B$8:$B$27,O$4)))</f>
        <v>0</v>
      </c>
      <c r="P974" s="26" t="n">
        <f aca="false">IF(INDEX(Pengaturan!$B$8:$B$27,P$4)="",0,COUNTIF(Data!$B974:$U974,INDEX(Pengaturan!$B$8:$B$27,P$4)))</f>
        <v>0</v>
      </c>
      <c r="Q974" s="26" t="n">
        <f aca="false">IF(INDEX(Pengaturan!$B$8:$B$27,Q$4)="",0,COUNTIF(Data!$B974:$U974,INDEX(Pengaturan!$B$8:$B$27,Q$4)))</f>
        <v>0</v>
      </c>
      <c r="R974" s="26" t="n">
        <f aca="false">IF(INDEX(Pengaturan!$B$8:$B$27,R$4)="",0,COUNTIF(Data!$B974:$U974,INDEX(Pengaturan!$B$8:$B$27,R$4)))</f>
        <v>0</v>
      </c>
      <c r="S974" s="26" t="n">
        <f aca="false">IF(INDEX(Pengaturan!$B$8:$B$27,S$4)="",0,COUNTIF(Data!$B974:$U974,INDEX(Pengaturan!$B$8:$B$27,S$4)))</f>
        <v>0</v>
      </c>
      <c r="T974" s="26" t="n">
        <f aca="false">IF(INDEX(Pengaturan!$B$8:$B$27,T$4)="",0,COUNTIF(Data!$B974:$U974,INDEX(Pengaturan!$B$8:$B$27,T$4)))</f>
        <v>0</v>
      </c>
      <c r="U974" s="26" t="n">
        <f aca="false">IF(INDEX(Pengaturan!$B$8:$B$27,U$4)="",0,COUNTIF(Data!$B974:$U974,INDEX(Pengaturan!$B$8:$B$27,U$4)))</f>
        <v>0</v>
      </c>
      <c r="V974" s="26" t="n">
        <f aca="false">COUNTA(Data!$B974:$U974)</f>
        <v>0</v>
      </c>
      <c r="W974" s="27" t="str">
        <f aca="false">IF(V974=0,"",IF(V974&lt;&gt;Hasil!$C$4,"Data kosong/tidak lengkap",IF(SUM(B974:U974)&lt;&gt;V974,"Kategori tidak dikenal","OK")))</f>
        <v/>
      </c>
      <c r="X974" s="26" t="n">
        <f aca="false">IF(OR(W974="",W974="OK"),0,1)</f>
        <v>0</v>
      </c>
    </row>
    <row r="975" customFormat="false" ht="15" hidden="false" customHeight="false" outlineLevel="0" collapsed="false">
      <c r="A975" s="26" t="n">
        <f aca="false">Data!A975</f>
        <v>970</v>
      </c>
      <c r="B975" s="26" t="n">
        <f aca="false">IF(INDEX(Pengaturan!$B$8:$B$27,B$4)="",0,COUNTIF(Data!$B975:$U975,INDEX(Pengaturan!$B$8:$B$27,B$4)))</f>
        <v>0</v>
      </c>
      <c r="C975" s="26" t="n">
        <f aca="false">IF(INDEX(Pengaturan!$B$8:$B$27,C$4)="",0,COUNTIF(Data!$B975:$U975,INDEX(Pengaturan!$B$8:$B$27,C$4)))</f>
        <v>0</v>
      </c>
      <c r="D975" s="26" t="n">
        <f aca="false">IF(INDEX(Pengaturan!$B$8:$B$27,D$4)="",0,COUNTIF(Data!$B975:$U975,INDEX(Pengaturan!$B$8:$B$27,D$4)))</f>
        <v>0</v>
      </c>
      <c r="E975" s="26" t="n">
        <f aca="false">IF(INDEX(Pengaturan!$B$8:$B$27,E$4)="",0,COUNTIF(Data!$B975:$U975,INDEX(Pengaturan!$B$8:$B$27,E$4)))</f>
        <v>0</v>
      </c>
      <c r="F975" s="26" t="n">
        <f aca="false">IF(INDEX(Pengaturan!$B$8:$B$27,F$4)="",0,COUNTIF(Data!$B975:$U975,INDEX(Pengaturan!$B$8:$B$27,F$4)))</f>
        <v>0</v>
      </c>
      <c r="G975" s="26" t="n">
        <f aca="false">IF(INDEX(Pengaturan!$B$8:$B$27,G$4)="",0,COUNTIF(Data!$B975:$U975,INDEX(Pengaturan!$B$8:$B$27,G$4)))</f>
        <v>0</v>
      </c>
      <c r="H975" s="26" t="n">
        <f aca="false">IF(INDEX(Pengaturan!$B$8:$B$27,H$4)="",0,COUNTIF(Data!$B975:$U975,INDEX(Pengaturan!$B$8:$B$27,H$4)))</f>
        <v>0</v>
      </c>
      <c r="I975" s="26" t="n">
        <f aca="false">IF(INDEX(Pengaturan!$B$8:$B$27,I$4)="",0,COUNTIF(Data!$B975:$U975,INDEX(Pengaturan!$B$8:$B$27,I$4)))</f>
        <v>0</v>
      </c>
      <c r="J975" s="26" t="n">
        <f aca="false">IF(INDEX(Pengaturan!$B$8:$B$27,J$4)="",0,COUNTIF(Data!$B975:$U975,INDEX(Pengaturan!$B$8:$B$27,J$4)))</f>
        <v>0</v>
      </c>
      <c r="K975" s="26" t="n">
        <f aca="false">IF(INDEX(Pengaturan!$B$8:$B$27,K$4)="",0,COUNTIF(Data!$B975:$U975,INDEX(Pengaturan!$B$8:$B$27,K$4)))</f>
        <v>0</v>
      </c>
      <c r="L975" s="26" t="n">
        <f aca="false">IF(INDEX(Pengaturan!$B$8:$B$27,L$4)="",0,COUNTIF(Data!$B975:$U975,INDEX(Pengaturan!$B$8:$B$27,L$4)))</f>
        <v>0</v>
      </c>
      <c r="M975" s="26" t="n">
        <f aca="false">IF(INDEX(Pengaturan!$B$8:$B$27,M$4)="",0,COUNTIF(Data!$B975:$U975,INDEX(Pengaturan!$B$8:$B$27,M$4)))</f>
        <v>0</v>
      </c>
      <c r="N975" s="26" t="n">
        <f aca="false">IF(INDEX(Pengaturan!$B$8:$B$27,N$4)="",0,COUNTIF(Data!$B975:$U975,INDEX(Pengaturan!$B$8:$B$27,N$4)))</f>
        <v>0</v>
      </c>
      <c r="O975" s="26" t="n">
        <f aca="false">IF(INDEX(Pengaturan!$B$8:$B$27,O$4)="",0,COUNTIF(Data!$B975:$U975,INDEX(Pengaturan!$B$8:$B$27,O$4)))</f>
        <v>0</v>
      </c>
      <c r="P975" s="26" t="n">
        <f aca="false">IF(INDEX(Pengaturan!$B$8:$B$27,P$4)="",0,COUNTIF(Data!$B975:$U975,INDEX(Pengaturan!$B$8:$B$27,P$4)))</f>
        <v>0</v>
      </c>
      <c r="Q975" s="26" t="n">
        <f aca="false">IF(INDEX(Pengaturan!$B$8:$B$27,Q$4)="",0,COUNTIF(Data!$B975:$U975,INDEX(Pengaturan!$B$8:$B$27,Q$4)))</f>
        <v>0</v>
      </c>
      <c r="R975" s="26" t="n">
        <f aca="false">IF(INDEX(Pengaturan!$B$8:$B$27,R$4)="",0,COUNTIF(Data!$B975:$U975,INDEX(Pengaturan!$B$8:$B$27,R$4)))</f>
        <v>0</v>
      </c>
      <c r="S975" s="26" t="n">
        <f aca="false">IF(INDEX(Pengaturan!$B$8:$B$27,S$4)="",0,COUNTIF(Data!$B975:$U975,INDEX(Pengaturan!$B$8:$B$27,S$4)))</f>
        <v>0</v>
      </c>
      <c r="T975" s="26" t="n">
        <f aca="false">IF(INDEX(Pengaturan!$B$8:$B$27,T$4)="",0,COUNTIF(Data!$B975:$U975,INDEX(Pengaturan!$B$8:$B$27,T$4)))</f>
        <v>0</v>
      </c>
      <c r="U975" s="26" t="n">
        <f aca="false">IF(INDEX(Pengaturan!$B$8:$B$27,U$4)="",0,COUNTIF(Data!$B975:$U975,INDEX(Pengaturan!$B$8:$B$27,U$4)))</f>
        <v>0</v>
      </c>
      <c r="V975" s="26" t="n">
        <f aca="false">COUNTA(Data!$B975:$U975)</f>
        <v>0</v>
      </c>
      <c r="W975" s="27" t="str">
        <f aca="false">IF(V975=0,"",IF(V975&lt;&gt;Hasil!$C$4,"Data kosong/tidak lengkap",IF(SUM(B975:U975)&lt;&gt;V975,"Kategori tidak dikenal","OK")))</f>
        <v/>
      </c>
      <c r="X975" s="26" t="n">
        <f aca="false">IF(OR(W975="",W975="OK"),0,1)</f>
        <v>0</v>
      </c>
    </row>
    <row r="976" customFormat="false" ht="15" hidden="false" customHeight="false" outlineLevel="0" collapsed="false">
      <c r="A976" s="26" t="n">
        <f aca="false">Data!A976</f>
        <v>971</v>
      </c>
      <c r="B976" s="26" t="n">
        <f aca="false">IF(INDEX(Pengaturan!$B$8:$B$27,B$4)="",0,COUNTIF(Data!$B976:$U976,INDEX(Pengaturan!$B$8:$B$27,B$4)))</f>
        <v>0</v>
      </c>
      <c r="C976" s="26" t="n">
        <f aca="false">IF(INDEX(Pengaturan!$B$8:$B$27,C$4)="",0,COUNTIF(Data!$B976:$U976,INDEX(Pengaturan!$B$8:$B$27,C$4)))</f>
        <v>0</v>
      </c>
      <c r="D976" s="26" t="n">
        <f aca="false">IF(INDEX(Pengaturan!$B$8:$B$27,D$4)="",0,COUNTIF(Data!$B976:$U976,INDEX(Pengaturan!$B$8:$B$27,D$4)))</f>
        <v>0</v>
      </c>
      <c r="E976" s="26" t="n">
        <f aca="false">IF(INDEX(Pengaturan!$B$8:$B$27,E$4)="",0,COUNTIF(Data!$B976:$U976,INDEX(Pengaturan!$B$8:$B$27,E$4)))</f>
        <v>0</v>
      </c>
      <c r="F976" s="26" t="n">
        <f aca="false">IF(INDEX(Pengaturan!$B$8:$B$27,F$4)="",0,COUNTIF(Data!$B976:$U976,INDEX(Pengaturan!$B$8:$B$27,F$4)))</f>
        <v>0</v>
      </c>
      <c r="G976" s="26" t="n">
        <f aca="false">IF(INDEX(Pengaturan!$B$8:$B$27,G$4)="",0,COUNTIF(Data!$B976:$U976,INDEX(Pengaturan!$B$8:$B$27,G$4)))</f>
        <v>0</v>
      </c>
      <c r="H976" s="26" t="n">
        <f aca="false">IF(INDEX(Pengaturan!$B$8:$B$27,H$4)="",0,COUNTIF(Data!$B976:$U976,INDEX(Pengaturan!$B$8:$B$27,H$4)))</f>
        <v>0</v>
      </c>
      <c r="I976" s="26" t="n">
        <f aca="false">IF(INDEX(Pengaturan!$B$8:$B$27,I$4)="",0,COUNTIF(Data!$B976:$U976,INDEX(Pengaturan!$B$8:$B$27,I$4)))</f>
        <v>0</v>
      </c>
      <c r="J976" s="26" t="n">
        <f aca="false">IF(INDEX(Pengaturan!$B$8:$B$27,J$4)="",0,COUNTIF(Data!$B976:$U976,INDEX(Pengaturan!$B$8:$B$27,J$4)))</f>
        <v>0</v>
      </c>
      <c r="K976" s="26" t="n">
        <f aca="false">IF(INDEX(Pengaturan!$B$8:$B$27,K$4)="",0,COUNTIF(Data!$B976:$U976,INDEX(Pengaturan!$B$8:$B$27,K$4)))</f>
        <v>0</v>
      </c>
      <c r="L976" s="26" t="n">
        <f aca="false">IF(INDEX(Pengaturan!$B$8:$B$27,L$4)="",0,COUNTIF(Data!$B976:$U976,INDEX(Pengaturan!$B$8:$B$27,L$4)))</f>
        <v>0</v>
      </c>
      <c r="M976" s="26" t="n">
        <f aca="false">IF(INDEX(Pengaturan!$B$8:$B$27,M$4)="",0,COUNTIF(Data!$B976:$U976,INDEX(Pengaturan!$B$8:$B$27,M$4)))</f>
        <v>0</v>
      </c>
      <c r="N976" s="26" t="n">
        <f aca="false">IF(INDEX(Pengaturan!$B$8:$B$27,N$4)="",0,COUNTIF(Data!$B976:$U976,INDEX(Pengaturan!$B$8:$B$27,N$4)))</f>
        <v>0</v>
      </c>
      <c r="O976" s="26" t="n">
        <f aca="false">IF(INDEX(Pengaturan!$B$8:$B$27,O$4)="",0,COUNTIF(Data!$B976:$U976,INDEX(Pengaturan!$B$8:$B$27,O$4)))</f>
        <v>0</v>
      </c>
      <c r="P976" s="26" t="n">
        <f aca="false">IF(INDEX(Pengaturan!$B$8:$B$27,P$4)="",0,COUNTIF(Data!$B976:$U976,INDEX(Pengaturan!$B$8:$B$27,P$4)))</f>
        <v>0</v>
      </c>
      <c r="Q976" s="26" t="n">
        <f aca="false">IF(INDEX(Pengaturan!$B$8:$B$27,Q$4)="",0,COUNTIF(Data!$B976:$U976,INDEX(Pengaturan!$B$8:$B$27,Q$4)))</f>
        <v>0</v>
      </c>
      <c r="R976" s="26" t="n">
        <f aca="false">IF(INDEX(Pengaturan!$B$8:$B$27,R$4)="",0,COUNTIF(Data!$B976:$U976,INDEX(Pengaturan!$B$8:$B$27,R$4)))</f>
        <v>0</v>
      </c>
      <c r="S976" s="26" t="n">
        <f aca="false">IF(INDEX(Pengaturan!$B$8:$B$27,S$4)="",0,COUNTIF(Data!$B976:$U976,INDEX(Pengaturan!$B$8:$B$27,S$4)))</f>
        <v>0</v>
      </c>
      <c r="T976" s="26" t="n">
        <f aca="false">IF(INDEX(Pengaturan!$B$8:$B$27,T$4)="",0,COUNTIF(Data!$B976:$U976,INDEX(Pengaturan!$B$8:$B$27,T$4)))</f>
        <v>0</v>
      </c>
      <c r="U976" s="26" t="n">
        <f aca="false">IF(INDEX(Pengaturan!$B$8:$B$27,U$4)="",0,COUNTIF(Data!$B976:$U976,INDEX(Pengaturan!$B$8:$B$27,U$4)))</f>
        <v>0</v>
      </c>
      <c r="V976" s="26" t="n">
        <f aca="false">COUNTA(Data!$B976:$U976)</f>
        <v>0</v>
      </c>
      <c r="W976" s="27" t="str">
        <f aca="false">IF(V976=0,"",IF(V976&lt;&gt;Hasil!$C$4,"Data kosong/tidak lengkap",IF(SUM(B976:U976)&lt;&gt;V976,"Kategori tidak dikenal","OK")))</f>
        <v/>
      </c>
      <c r="X976" s="26" t="n">
        <f aca="false">IF(OR(W976="",W976="OK"),0,1)</f>
        <v>0</v>
      </c>
    </row>
    <row r="977" customFormat="false" ht="15" hidden="false" customHeight="false" outlineLevel="0" collapsed="false">
      <c r="A977" s="26" t="n">
        <f aca="false">Data!A977</f>
        <v>972</v>
      </c>
      <c r="B977" s="26" t="n">
        <f aca="false">IF(INDEX(Pengaturan!$B$8:$B$27,B$4)="",0,COUNTIF(Data!$B977:$U977,INDEX(Pengaturan!$B$8:$B$27,B$4)))</f>
        <v>0</v>
      </c>
      <c r="C977" s="26" t="n">
        <f aca="false">IF(INDEX(Pengaturan!$B$8:$B$27,C$4)="",0,COUNTIF(Data!$B977:$U977,INDEX(Pengaturan!$B$8:$B$27,C$4)))</f>
        <v>0</v>
      </c>
      <c r="D977" s="26" t="n">
        <f aca="false">IF(INDEX(Pengaturan!$B$8:$B$27,D$4)="",0,COUNTIF(Data!$B977:$U977,INDEX(Pengaturan!$B$8:$B$27,D$4)))</f>
        <v>0</v>
      </c>
      <c r="E977" s="26" t="n">
        <f aca="false">IF(INDEX(Pengaturan!$B$8:$B$27,E$4)="",0,COUNTIF(Data!$B977:$U977,INDEX(Pengaturan!$B$8:$B$27,E$4)))</f>
        <v>0</v>
      </c>
      <c r="F977" s="26" t="n">
        <f aca="false">IF(INDEX(Pengaturan!$B$8:$B$27,F$4)="",0,COUNTIF(Data!$B977:$U977,INDEX(Pengaturan!$B$8:$B$27,F$4)))</f>
        <v>0</v>
      </c>
      <c r="G977" s="26" t="n">
        <f aca="false">IF(INDEX(Pengaturan!$B$8:$B$27,G$4)="",0,COUNTIF(Data!$B977:$U977,INDEX(Pengaturan!$B$8:$B$27,G$4)))</f>
        <v>0</v>
      </c>
      <c r="H977" s="26" t="n">
        <f aca="false">IF(INDEX(Pengaturan!$B$8:$B$27,H$4)="",0,COUNTIF(Data!$B977:$U977,INDEX(Pengaturan!$B$8:$B$27,H$4)))</f>
        <v>0</v>
      </c>
      <c r="I977" s="26" t="n">
        <f aca="false">IF(INDEX(Pengaturan!$B$8:$B$27,I$4)="",0,COUNTIF(Data!$B977:$U977,INDEX(Pengaturan!$B$8:$B$27,I$4)))</f>
        <v>0</v>
      </c>
      <c r="J977" s="26" t="n">
        <f aca="false">IF(INDEX(Pengaturan!$B$8:$B$27,J$4)="",0,COUNTIF(Data!$B977:$U977,INDEX(Pengaturan!$B$8:$B$27,J$4)))</f>
        <v>0</v>
      </c>
      <c r="K977" s="26" t="n">
        <f aca="false">IF(INDEX(Pengaturan!$B$8:$B$27,K$4)="",0,COUNTIF(Data!$B977:$U977,INDEX(Pengaturan!$B$8:$B$27,K$4)))</f>
        <v>0</v>
      </c>
      <c r="L977" s="26" t="n">
        <f aca="false">IF(INDEX(Pengaturan!$B$8:$B$27,L$4)="",0,COUNTIF(Data!$B977:$U977,INDEX(Pengaturan!$B$8:$B$27,L$4)))</f>
        <v>0</v>
      </c>
      <c r="M977" s="26" t="n">
        <f aca="false">IF(INDEX(Pengaturan!$B$8:$B$27,M$4)="",0,COUNTIF(Data!$B977:$U977,INDEX(Pengaturan!$B$8:$B$27,M$4)))</f>
        <v>0</v>
      </c>
      <c r="N977" s="26" t="n">
        <f aca="false">IF(INDEX(Pengaturan!$B$8:$B$27,N$4)="",0,COUNTIF(Data!$B977:$U977,INDEX(Pengaturan!$B$8:$B$27,N$4)))</f>
        <v>0</v>
      </c>
      <c r="O977" s="26" t="n">
        <f aca="false">IF(INDEX(Pengaturan!$B$8:$B$27,O$4)="",0,COUNTIF(Data!$B977:$U977,INDEX(Pengaturan!$B$8:$B$27,O$4)))</f>
        <v>0</v>
      </c>
      <c r="P977" s="26" t="n">
        <f aca="false">IF(INDEX(Pengaturan!$B$8:$B$27,P$4)="",0,COUNTIF(Data!$B977:$U977,INDEX(Pengaturan!$B$8:$B$27,P$4)))</f>
        <v>0</v>
      </c>
      <c r="Q977" s="26" t="n">
        <f aca="false">IF(INDEX(Pengaturan!$B$8:$B$27,Q$4)="",0,COUNTIF(Data!$B977:$U977,INDEX(Pengaturan!$B$8:$B$27,Q$4)))</f>
        <v>0</v>
      </c>
      <c r="R977" s="26" t="n">
        <f aca="false">IF(INDEX(Pengaturan!$B$8:$B$27,R$4)="",0,COUNTIF(Data!$B977:$U977,INDEX(Pengaturan!$B$8:$B$27,R$4)))</f>
        <v>0</v>
      </c>
      <c r="S977" s="26" t="n">
        <f aca="false">IF(INDEX(Pengaturan!$B$8:$B$27,S$4)="",0,COUNTIF(Data!$B977:$U977,INDEX(Pengaturan!$B$8:$B$27,S$4)))</f>
        <v>0</v>
      </c>
      <c r="T977" s="26" t="n">
        <f aca="false">IF(INDEX(Pengaturan!$B$8:$B$27,T$4)="",0,COUNTIF(Data!$B977:$U977,INDEX(Pengaturan!$B$8:$B$27,T$4)))</f>
        <v>0</v>
      </c>
      <c r="U977" s="26" t="n">
        <f aca="false">IF(INDEX(Pengaturan!$B$8:$B$27,U$4)="",0,COUNTIF(Data!$B977:$U977,INDEX(Pengaturan!$B$8:$B$27,U$4)))</f>
        <v>0</v>
      </c>
      <c r="V977" s="26" t="n">
        <f aca="false">COUNTA(Data!$B977:$U977)</f>
        <v>0</v>
      </c>
      <c r="W977" s="27" t="str">
        <f aca="false">IF(V977=0,"",IF(V977&lt;&gt;Hasil!$C$4,"Data kosong/tidak lengkap",IF(SUM(B977:U977)&lt;&gt;V977,"Kategori tidak dikenal","OK")))</f>
        <v/>
      </c>
      <c r="X977" s="26" t="n">
        <f aca="false">IF(OR(W977="",W977="OK"),0,1)</f>
        <v>0</v>
      </c>
    </row>
    <row r="978" customFormat="false" ht="15" hidden="false" customHeight="false" outlineLevel="0" collapsed="false">
      <c r="A978" s="26" t="n">
        <f aca="false">Data!A978</f>
        <v>973</v>
      </c>
      <c r="B978" s="26" t="n">
        <f aca="false">IF(INDEX(Pengaturan!$B$8:$B$27,B$4)="",0,COUNTIF(Data!$B978:$U978,INDEX(Pengaturan!$B$8:$B$27,B$4)))</f>
        <v>0</v>
      </c>
      <c r="C978" s="26" t="n">
        <f aca="false">IF(INDEX(Pengaturan!$B$8:$B$27,C$4)="",0,COUNTIF(Data!$B978:$U978,INDEX(Pengaturan!$B$8:$B$27,C$4)))</f>
        <v>0</v>
      </c>
      <c r="D978" s="26" t="n">
        <f aca="false">IF(INDEX(Pengaturan!$B$8:$B$27,D$4)="",0,COUNTIF(Data!$B978:$U978,INDEX(Pengaturan!$B$8:$B$27,D$4)))</f>
        <v>0</v>
      </c>
      <c r="E978" s="26" t="n">
        <f aca="false">IF(INDEX(Pengaturan!$B$8:$B$27,E$4)="",0,COUNTIF(Data!$B978:$U978,INDEX(Pengaturan!$B$8:$B$27,E$4)))</f>
        <v>0</v>
      </c>
      <c r="F978" s="26" t="n">
        <f aca="false">IF(INDEX(Pengaturan!$B$8:$B$27,F$4)="",0,COUNTIF(Data!$B978:$U978,INDEX(Pengaturan!$B$8:$B$27,F$4)))</f>
        <v>0</v>
      </c>
      <c r="G978" s="26" t="n">
        <f aca="false">IF(INDEX(Pengaturan!$B$8:$B$27,G$4)="",0,COUNTIF(Data!$B978:$U978,INDEX(Pengaturan!$B$8:$B$27,G$4)))</f>
        <v>0</v>
      </c>
      <c r="H978" s="26" t="n">
        <f aca="false">IF(INDEX(Pengaturan!$B$8:$B$27,H$4)="",0,COUNTIF(Data!$B978:$U978,INDEX(Pengaturan!$B$8:$B$27,H$4)))</f>
        <v>0</v>
      </c>
      <c r="I978" s="26" t="n">
        <f aca="false">IF(INDEX(Pengaturan!$B$8:$B$27,I$4)="",0,COUNTIF(Data!$B978:$U978,INDEX(Pengaturan!$B$8:$B$27,I$4)))</f>
        <v>0</v>
      </c>
      <c r="J978" s="26" t="n">
        <f aca="false">IF(INDEX(Pengaturan!$B$8:$B$27,J$4)="",0,COUNTIF(Data!$B978:$U978,INDEX(Pengaturan!$B$8:$B$27,J$4)))</f>
        <v>0</v>
      </c>
      <c r="K978" s="26" t="n">
        <f aca="false">IF(INDEX(Pengaturan!$B$8:$B$27,K$4)="",0,COUNTIF(Data!$B978:$U978,INDEX(Pengaturan!$B$8:$B$27,K$4)))</f>
        <v>0</v>
      </c>
      <c r="L978" s="26" t="n">
        <f aca="false">IF(INDEX(Pengaturan!$B$8:$B$27,L$4)="",0,COUNTIF(Data!$B978:$U978,INDEX(Pengaturan!$B$8:$B$27,L$4)))</f>
        <v>0</v>
      </c>
      <c r="M978" s="26" t="n">
        <f aca="false">IF(INDEX(Pengaturan!$B$8:$B$27,M$4)="",0,COUNTIF(Data!$B978:$U978,INDEX(Pengaturan!$B$8:$B$27,M$4)))</f>
        <v>0</v>
      </c>
      <c r="N978" s="26" t="n">
        <f aca="false">IF(INDEX(Pengaturan!$B$8:$B$27,N$4)="",0,COUNTIF(Data!$B978:$U978,INDEX(Pengaturan!$B$8:$B$27,N$4)))</f>
        <v>0</v>
      </c>
      <c r="O978" s="26" t="n">
        <f aca="false">IF(INDEX(Pengaturan!$B$8:$B$27,O$4)="",0,COUNTIF(Data!$B978:$U978,INDEX(Pengaturan!$B$8:$B$27,O$4)))</f>
        <v>0</v>
      </c>
      <c r="P978" s="26" t="n">
        <f aca="false">IF(INDEX(Pengaturan!$B$8:$B$27,P$4)="",0,COUNTIF(Data!$B978:$U978,INDEX(Pengaturan!$B$8:$B$27,P$4)))</f>
        <v>0</v>
      </c>
      <c r="Q978" s="26" t="n">
        <f aca="false">IF(INDEX(Pengaturan!$B$8:$B$27,Q$4)="",0,COUNTIF(Data!$B978:$U978,INDEX(Pengaturan!$B$8:$B$27,Q$4)))</f>
        <v>0</v>
      </c>
      <c r="R978" s="26" t="n">
        <f aca="false">IF(INDEX(Pengaturan!$B$8:$B$27,R$4)="",0,COUNTIF(Data!$B978:$U978,INDEX(Pengaturan!$B$8:$B$27,R$4)))</f>
        <v>0</v>
      </c>
      <c r="S978" s="26" t="n">
        <f aca="false">IF(INDEX(Pengaturan!$B$8:$B$27,S$4)="",0,COUNTIF(Data!$B978:$U978,INDEX(Pengaturan!$B$8:$B$27,S$4)))</f>
        <v>0</v>
      </c>
      <c r="T978" s="26" t="n">
        <f aca="false">IF(INDEX(Pengaturan!$B$8:$B$27,T$4)="",0,COUNTIF(Data!$B978:$U978,INDEX(Pengaturan!$B$8:$B$27,T$4)))</f>
        <v>0</v>
      </c>
      <c r="U978" s="26" t="n">
        <f aca="false">IF(INDEX(Pengaturan!$B$8:$B$27,U$4)="",0,COUNTIF(Data!$B978:$U978,INDEX(Pengaturan!$B$8:$B$27,U$4)))</f>
        <v>0</v>
      </c>
      <c r="V978" s="26" t="n">
        <f aca="false">COUNTA(Data!$B978:$U978)</f>
        <v>0</v>
      </c>
      <c r="W978" s="27" t="str">
        <f aca="false">IF(V978=0,"",IF(V978&lt;&gt;Hasil!$C$4,"Data kosong/tidak lengkap",IF(SUM(B978:U978)&lt;&gt;V978,"Kategori tidak dikenal","OK")))</f>
        <v/>
      </c>
      <c r="X978" s="26" t="n">
        <f aca="false">IF(OR(W978="",W978="OK"),0,1)</f>
        <v>0</v>
      </c>
    </row>
    <row r="979" customFormat="false" ht="15" hidden="false" customHeight="false" outlineLevel="0" collapsed="false">
      <c r="A979" s="26" t="n">
        <f aca="false">Data!A979</f>
        <v>974</v>
      </c>
      <c r="B979" s="26" t="n">
        <f aca="false">IF(INDEX(Pengaturan!$B$8:$B$27,B$4)="",0,COUNTIF(Data!$B979:$U979,INDEX(Pengaturan!$B$8:$B$27,B$4)))</f>
        <v>0</v>
      </c>
      <c r="C979" s="26" t="n">
        <f aca="false">IF(INDEX(Pengaturan!$B$8:$B$27,C$4)="",0,COUNTIF(Data!$B979:$U979,INDEX(Pengaturan!$B$8:$B$27,C$4)))</f>
        <v>0</v>
      </c>
      <c r="D979" s="26" t="n">
        <f aca="false">IF(INDEX(Pengaturan!$B$8:$B$27,D$4)="",0,COUNTIF(Data!$B979:$U979,INDEX(Pengaturan!$B$8:$B$27,D$4)))</f>
        <v>0</v>
      </c>
      <c r="E979" s="26" t="n">
        <f aca="false">IF(INDEX(Pengaturan!$B$8:$B$27,E$4)="",0,COUNTIF(Data!$B979:$U979,INDEX(Pengaturan!$B$8:$B$27,E$4)))</f>
        <v>0</v>
      </c>
      <c r="F979" s="26" t="n">
        <f aca="false">IF(INDEX(Pengaturan!$B$8:$B$27,F$4)="",0,COUNTIF(Data!$B979:$U979,INDEX(Pengaturan!$B$8:$B$27,F$4)))</f>
        <v>0</v>
      </c>
      <c r="G979" s="26" t="n">
        <f aca="false">IF(INDEX(Pengaturan!$B$8:$B$27,G$4)="",0,COUNTIF(Data!$B979:$U979,INDEX(Pengaturan!$B$8:$B$27,G$4)))</f>
        <v>0</v>
      </c>
      <c r="H979" s="26" t="n">
        <f aca="false">IF(INDEX(Pengaturan!$B$8:$B$27,H$4)="",0,COUNTIF(Data!$B979:$U979,INDEX(Pengaturan!$B$8:$B$27,H$4)))</f>
        <v>0</v>
      </c>
      <c r="I979" s="26" t="n">
        <f aca="false">IF(INDEX(Pengaturan!$B$8:$B$27,I$4)="",0,COUNTIF(Data!$B979:$U979,INDEX(Pengaturan!$B$8:$B$27,I$4)))</f>
        <v>0</v>
      </c>
      <c r="J979" s="26" t="n">
        <f aca="false">IF(INDEX(Pengaturan!$B$8:$B$27,J$4)="",0,COUNTIF(Data!$B979:$U979,INDEX(Pengaturan!$B$8:$B$27,J$4)))</f>
        <v>0</v>
      </c>
      <c r="K979" s="26" t="n">
        <f aca="false">IF(INDEX(Pengaturan!$B$8:$B$27,K$4)="",0,COUNTIF(Data!$B979:$U979,INDEX(Pengaturan!$B$8:$B$27,K$4)))</f>
        <v>0</v>
      </c>
      <c r="L979" s="26" t="n">
        <f aca="false">IF(INDEX(Pengaturan!$B$8:$B$27,L$4)="",0,COUNTIF(Data!$B979:$U979,INDEX(Pengaturan!$B$8:$B$27,L$4)))</f>
        <v>0</v>
      </c>
      <c r="M979" s="26" t="n">
        <f aca="false">IF(INDEX(Pengaturan!$B$8:$B$27,M$4)="",0,COUNTIF(Data!$B979:$U979,INDEX(Pengaturan!$B$8:$B$27,M$4)))</f>
        <v>0</v>
      </c>
      <c r="N979" s="26" t="n">
        <f aca="false">IF(INDEX(Pengaturan!$B$8:$B$27,N$4)="",0,COUNTIF(Data!$B979:$U979,INDEX(Pengaturan!$B$8:$B$27,N$4)))</f>
        <v>0</v>
      </c>
      <c r="O979" s="26" t="n">
        <f aca="false">IF(INDEX(Pengaturan!$B$8:$B$27,O$4)="",0,COUNTIF(Data!$B979:$U979,INDEX(Pengaturan!$B$8:$B$27,O$4)))</f>
        <v>0</v>
      </c>
      <c r="P979" s="26" t="n">
        <f aca="false">IF(INDEX(Pengaturan!$B$8:$B$27,P$4)="",0,COUNTIF(Data!$B979:$U979,INDEX(Pengaturan!$B$8:$B$27,P$4)))</f>
        <v>0</v>
      </c>
      <c r="Q979" s="26" t="n">
        <f aca="false">IF(INDEX(Pengaturan!$B$8:$B$27,Q$4)="",0,COUNTIF(Data!$B979:$U979,INDEX(Pengaturan!$B$8:$B$27,Q$4)))</f>
        <v>0</v>
      </c>
      <c r="R979" s="26" t="n">
        <f aca="false">IF(INDEX(Pengaturan!$B$8:$B$27,R$4)="",0,COUNTIF(Data!$B979:$U979,INDEX(Pengaturan!$B$8:$B$27,R$4)))</f>
        <v>0</v>
      </c>
      <c r="S979" s="26" t="n">
        <f aca="false">IF(INDEX(Pengaturan!$B$8:$B$27,S$4)="",0,COUNTIF(Data!$B979:$U979,INDEX(Pengaturan!$B$8:$B$27,S$4)))</f>
        <v>0</v>
      </c>
      <c r="T979" s="26" t="n">
        <f aca="false">IF(INDEX(Pengaturan!$B$8:$B$27,T$4)="",0,COUNTIF(Data!$B979:$U979,INDEX(Pengaturan!$B$8:$B$27,T$4)))</f>
        <v>0</v>
      </c>
      <c r="U979" s="26" t="n">
        <f aca="false">IF(INDEX(Pengaturan!$B$8:$B$27,U$4)="",0,COUNTIF(Data!$B979:$U979,INDEX(Pengaturan!$B$8:$B$27,U$4)))</f>
        <v>0</v>
      </c>
      <c r="V979" s="26" t="n">
        <f aca="false">COUNTA(Data!$B979:$U979)</f>
        <v>0</v>
      </c>
      <c r="W979" s="27" t="str">
        <f aca="false">IF(V979=0,"",IF(V979&lt;&gt;Hasil!$C$4,"Data kosong/tidak lengkap",IF(SUM(B979:U979)&lt;&gt;V979,"Kategori tidak dikenal","OK")))</f>
        <v/>
      </c>
      <c r="X979" s="26" t="n">
        <f aca="false">IF(OR(W979="",W979="OK"),0,1)</f>
        <v>0</v>
      </c>
    </row>
    <row r="980" customFormat="false" ht="15" hidden="false" customHeight="false" outlineLevel="0" collapsed="false">
      <c r="A980" s="26" t="n">
        <f aca="false">Data!A980</f>
        <v>975</v>
      </c>
      <c r="B980" s="26" t="n">
        <f aca="false">IF(INDEX(Pengaturan!$B$8:$B$27,B$4)="",0,COUNTIF(Data!$B980:$U980,INDEX(Pengaturan!$B$8:$B$27,B$4)))</f>
        <v>0</v>
      </c>
      <c r="C980" s="26" t="n">
        <f aca="false">IF(INDEX(Pengaturan!$B$8:$B$27,C$4)="",0,COUNTIF(Data!$B980:$U980,INDEX(Pengaturan!$B$8:$B$27,C$4)))</f>
        <v>0</v>
      </c>
      <c r="D980" s="26" t="n">
        <f aca="false">IF(INDEX(Pengaturan!$B$8:$B$27,D$4)="",0,COUNTIF(Data!$B980:$U980,INDEX(Pengaturan!$B$8:$B$27,D$4)))</f>
        <v>0</v>
      </c>
      <c r="E980" s="26" t="n">
        <f aca="false">IF(INDEX(Pengaturan!$B$8:$B$27,E$4)="",0,COUNTIF(Data!$B980:$U980,INDEX(Pengaturan!$B$8:$B$27,E$4)))</f>
        <v>0</v>
      </c>
      <c r="F980" s="26" t="n">
        <f aca="false">IF(INDEX(Pengaturan!$B$8:$B$27,F$4)="",0,COUNTIF(Data!$B980:$U980,INDEX(Pengaturan!$B$8:$B$27,F$4)))</f>
        <v>0</v>
      </c>
      <c r="G980" s="26" t="n">
        <f aca="false">IF(INDEX(Pengaturan!$B$8:$B$27,G$4)="",0,COUNTIF(Data!$B980:$U980,INDEX(Pengaturan!$B$8:$B$27,G$4)))</f>
        <v>0</v>
      </c>
      <c r="H980" s="26" t="n">
        <f aca="false">IF(INDEX(Pengaturan!$B$8:$B$27,H$4)="",0,COUNTIF(Data!$B980:$U980,INDEX(Pengaturan!$B$8:$B$27,H$4)))</f>
        <v>0</v>
      </c>
      <c r="I980" s="26" t="n">
        <f aca="false">IF(INDEX(Pengaturan!$B$8:$B$27,I$4)="",0,COUNTIF(Data!$B980:$U980,INDEX(Pengaturan!$B$8:$B$27,I$4)))</f>
        <v>0</v>
      </c>
      <c r="J980" s="26" t="n">
        <f aca="false">IF(INDEX(Pengaturan!$B$8:$B$27,J$4)="",0,COUNTIF(Data!$B980:$U980,INDEX(Pengaturan!$B$8:$B$27,J$4)))</f>
        <v>0</v>
      </c>
      <c r="K980" s="26" t="n">
        <f aca="false">IF(INDEX(Pengaturan!$B$8:$B$27,K$4)="",0,COUNTIF(Data!$B980:$U980,INDEX(Pengaturan!$B$8:$B$27,K$4)))</f>
        <v>0</v>
      </c>
      <c r="L980" s="26" t="n">
        <f aca="false">IF(INDEX(Pengaturan!$B$8:$B$27,L$4)="",0,COUNTIF(Data!$B980:$U980,INDEX(Pengaturan!$B$8:$B$27,L$4)))</f>
        <v>0</v>
      </c>
      <c r="M980" s="26" t="n">
        <f aca="false">IF(INDEX(Pengaturan!$B$8:$B$27,M$4)="",0,COUNTIF(Data!$B980:$U980,INDEX(Pengaturan!$B$8:$B$27,M$4)))</f>
        <v>0</v>
      </c>
      <c r="N980" s="26" t="n">
        <f aca="false">IF(INDEX(Pengaturan!$B$8:$B$27,N$4)="",0,COUNTIF(Data!$B980:$U980,INDEX(Pengaturan!$B$8:$B$27,N$4)))</f>
        <v>0</v>
      </c>
      <c r="O980" s="26" t="n">
        <f aca="false">IF(INDEX(Pengaturan!$B$8:$B$27,O$4)="",0,COUNTIF(Data!$B980:$U980,INDEX(Pengaturan!$B$8:$B$27,O$4)))</f>
        <v>0</v>
      </c>
      <c r="P980" s="26" t="n">
        <f aca="false">IF(INDEX(Pengaturan!$B$8:$B$27,P$4)="",0,COUNTIF(Data!$B980:$U980,INDEX(Pengaturan!$B$8:$B$27,P$4)))</f>
        <v>0</v>
      </c>
      <c r="Q980" s="26" t="n">
        <f aca="false">IF(INDEX(Pengaturan!$B$8:$B$27,Q$4)="",0,COUNTIF(Data!$B980:$U980,INDEX(Pengaturan!$B$8:$B$27,Q$4)))</f>
        <v>0</v>
      </c>
      <c r="R980" s="26" t="n">
        <f aca="false">IF(INDEX(Pengaturan!$B$8:$B$27,R$4)="",0,COUNTIF(Data!$B980:$U980,INDEX(Pengaturan!$B$8:$B$27,R$4)))</f>
        <v>0</v>
      </c>
      <c r="S980" s="26" t="n">
        <f aca="false">IF(INDEX(Pengaturan!$B$8:$B$27,S$4)="",0,COUNTIF(Data!$B980:$U980,INDEX(Pengaturan!$B$8:$B$27,S$4)))</f>
        <v>0</v>
      </c>
      <c r="T980" s="26" t="n">
        <f aca="false">IF(INDEX(Pengaturan!$B$8:$B$27,T$4)="",0,COUNTIF(Data!$B980:$U980,INDEX(Pengaturan!$B$8:$B$27,T$4)))</f>
        <v>0</v>
      </c>
      <c r="U980" s="26" t="n">
        <f aca="false">IF(INDEX(Pengaturan!$B$8:$B$27,U$4)="",0,COUNTIF(Data!$B980:$U980,INDEX(Pengaturan!$B$8:$B$27,U$4)))</f>
        <v>0</v>
      </c>
      <c r="V980" s="26" t="n">
        <f aca="false">COUNTA(Data!$B980:$U980)</f>
        <v>0</v>
      </c>
      <c r="W980" s="27" t="str">
        <f aca="false">IF(V980=0,"",IF(V980&lt;&gt;Hasil!$C$4,"Data kosong/tidak lengkap",IF(SUM(B980:U980)&lt;&gt;V980,"Kategori tidak dikenal","OK")))</f>
        <v/>
      </c>
      <c r="X980" s="26" t="n">
        <f aca="false">IF(OR(W980="",W980="OK"),0,1)</f>
        <v>0</v>
      </c>
    </row>
    <row r="981" customFormat="false" ht="15" hidden="false" customHeight="false" outlineLevel="0" collapsed="false">
      <c r="A981" s="26" t="n">
        <f aca="false">Data!A981</f>
        <v>976</v>
      </c>
      <c r="B981" s="26" t="n">
        <f aca="false">IF(INDEX(Pengaturan!$B$8:$B$27,B$4)="",0,COUNTIF(Data!$B981:$U981,INDEX(Pengaturan!$B$8:$B$27,B$4)))</f>
        <v>0</v>
      </c>
      <c r="C981" s="26" t="n">
        <f aca="false">IF(INDEX(Pengaturan!$B$8:$B$27,C$4)="",0,COUNTIF(Data!$B981:$U981,INDEX(Pengaturan!$B$8:$B$27,C$4)))</f>
        <v>0</v>
      </c>
      <c r="D981" s="26" t="n">
        <f aca="false">IF(INDEX(Pengaturan!$B$8:$B$27,D$4)="",0,COUNTIF(Data!$B981:$U981,INDEX(Pengaturan!$B$8:$B$27,D$4)))</f>
        <v>0</v>
      </c>
      <c r="E981" s="26" t="n">
        <f aca="false">IF(INDEX(Pengaturan!$B$8:$B$27,E$4)="",0,COUNTIF(Data!$B981:$U981,INDEX(Pengaturan!$B$8:$B$27,E$4)))</f>
        <v>0</v>
      </c>
      <c r="F981" s="26" t="n">
        <f aca="false">IF(INDEX(Pengaturan!$B$8:$B$27,F$4)="",0,COUNTIF(Data!$B981:$U981,INDEX(Pengaturan!$B$8:$B$27,F$4)))</f>
        <v>0</v>
      </c>
      <c r="G981" s="26" t="n">
        <f aca="false">IF(INDEX(Pengaturan!$B$8:$B$27,G$4)="",0,COUNTIF(Data!$B981:$U981,INDEX(Pengaturan!$B$8:$B$27,G$4)))</f>
        <v>0</v>
      </c>
      <c r="H981" s="26" t="n">
        <f aca="false">IF(INDEX(Pengaturan!$B$8:$B$27,H$4)="",0,COUNTIF(Data!$B981:$U981,INDEX(Pengaturan!$B$8:$B$27,H$4)))</f>
        <v>0</v>
      </c>
      <c r="I981" s="26" t="n">
        <f aca="false">IF(INDEX(Pengaturan!$B$8:$B$27,I$4)="",0,COUNTIF(Data!$B981:$U981,INDEX(Pengaturan!$B$8:$B$27,I$4)))</f>
        <v>0</v>
      </c>
      <c r="J981" s="26" t="n">
        <f aca="false">IF(INDEX(Pengaturan!$B$8:$B$27,J$4)="",0,COUNTIF(Data!$B981:$U981,INDEX(Pengaturan!$B$8:$B$27,J$4)))</f>
        <v>0</v>
      </c>
      <c r="K981" s="26" t="n">
        <f aca="false">IF(INDEX(Pengaturan!$B$8:$B$27,K$4)="",0,COUNTIF(Data!$B981:$U981,INDEX(Pengaturan!$B$8:$B$27,K$4)))</f>
        <v>0</v>
      </c>
      <c r="L981" s="26" t="n">
        <f aca="false">IF(INDEX(Pengaturan!$B$8:$B$27,L$4)="",0,COUNTIF(Data!$B981:$U981,INDEX(Pengaturan!$B$8:$B$27,L$4)))</f>
        <v>0</v>
      </c>
      <c r="M981" s="26" t="n">
        <f aca="false">IF(INDEX(Pengaturan!$B$8:$B$27,M$4)="",0,COUNTIF(Data!$B981:$U981,INDEX(Pengaturan!$B$8:$B$27,M$4)))</f>
        <v>0</v>
      </c>
      <c r="N981" s="26" t="n">
        <f aca="false">IF(INDEX(Pengaturan!$B$8:$B$27,N$4)="",0,COUNTIF(Data!$B981:$U981,INDEX(Pengaturan!$B$8:$B$27,N$4)))</f>
        <v>0</v>
      </c>
      <c r="O981" s="26" t="n">
        <f aca="false">IF(INDEX(Pengaturan!$B$8:$B$27,O$4)="",0,COUNTIF(Data!$B981:$U981,INDEX(Pengaturan!$B$8:$B$27,O$4)))</f>
        <v>0</v>
      </c>
      <c r="P981" s="26" t="n">
        <f aca="false">IF(INDEX(Pengaturan!$B$8:$B$27,P$4)="",0,COUNTIF(Data!$B981:$U981,INDEX(Pengaturan!$B$8:$B$27,P$4)))</f>
        <v>0</v>
      </c>
      <c r="Q981" s="26" t="n">
        <f aca="false">IF(INDEX(Pengaturan!$B$8:$B$27,Q$4)="",0,COUNTIF(Data!$B981:$U981,INDEX(Pengaturan!$B$8:$B$27,Q$4)))</f>
        <v>0</v>
      </c>
      <c r="R981" s="26" t="n">
        <f aca="false">IF(INDEX(Pengaturan!$B$8:$B$27,R$4)="",0,COUNTIF(Data!$B981:$U981,INDEX(Pengaturan!$B$8:$B$27,R$4)))</f>
        <v>0</v>
      </c>
      <c r="S981" s="26" t="n">
        <f aca="false">IF(INDEX(Pengaturan!$B$8:$B$27,S$4)="",0,COUNTIF(Data!$B981:$U981,INDEX(Pengaturan!$B$8:$B$27,S$4)))</f>
        <v>0</v>
      </c>
      <c r="T981" s="26" t="n">
        <f aca="false">IF(INDEX(Pengaturan!$B$8:$B$27,T$4)="",0,COUNTIF(Data!$B981:$U981,INDEX(Pengaturan!$B$8:$B$27,T$4)))</f>
        <v>0</v>
      </c>
      <c r="U981" s="26" t="n">
        <f aca="false">IF(INDEX(Pengaturan!$B$8:$B$27,U$4)="",0,COUNTIF(Data!$B981:$U981,INDEX(Pengaturan!$B$8:$B$27,U$4)))</f>
        <v>0</v>
      </c>
      <c r="V981" s="26" t="n">
        <f aca="false">COUNTA(Data!$B981:$U981)</f>
        <v>0</v>
      </c>
      <c r="W981" s="27" t="str">
        <f aca="false">IF(V981=0,"",IF(V981&lt;&gt;Hasil!$C$4,"Data kosong/tidak lengkap",IF(SUM(B981:U981)&lt;&gt;V981,"Kategori tidak dikenal","OK")))</f>
        <v/>
      </c>
      <c r="X981" s="26" t="n">
        <f aca="false">IF(OR(W981="",W981="OK"),0,1)</f>
        <v>0</v>
      </c>
    </row>
    <row r="982" customFormat="false" ht="15" hidden="false" customHeight="false" outlineLevel="0" collapsed="false">
      <c r="A982" s="26" t="n">
        <f aca="false">Data!A982</f>
        <v>977</v>
      </c>
      <c r="B982" s="26" t="n">
        <f aca="false">IF(INDEX(Pengaturan!$B$8:$B$27,B$4)="",0,COUNTIF(Data!$B982:$U982,INDEX(Pengaturan!$B$8:$B$27,B$4)))</f>
        <v>0</v>
      </c>
      <c r="C982" s="26" t="n">
        <f aca="false">IF(INDEX(Pengaturan!$B$8:$B$27,C$4)="",0,COUNTIF(Data!$B982:$U982,INDEX(Pengaturan!$B$8:$B$27,C$4)))</f>
        <v>0</v>
      </c>
      <c r="D982" s="26" t="n">
        <f aca="false">IF(INDEX(Pengaturan!$B$8:$B$27,D$4)="",0,COUNTIF(Data!$B982:$U982,INDEX(Pengaturan!$B$8:$B$27,D$4)))</f>
        <v>0</v>
      </c>
      <c r="E982" s="26" t="n">
        <f aca="false">IF(INDEX(Pengaturan!$B$8:$B$27,E$4)="",0,COUNTIF(Data!$B982:$U982,INDEX(Pengaturan!$B$8:$B$27,E$4)))</f>
        <v>0</v>
      </c>
      <c r="F982" s="26" t="n">
        <f aca="false">IF(INDEX(Pengaturan!$B$8:$B$27,F$4)="",0,COUNTIF(Data!$B982:$U982,INDEX(Pengaturan!$B$8:$B$27,F$4)))</f>
        <v>0</v>
      </c>
      <c r="G982" s="26" t="n">
        <f aca="false">IF(INDEX(Pengaturan!$B$8:$B$27,G$4)="",0,COUNTIF(Data!$B982:$U982,INDEX(Pengaturan!$B$8:$B$27,G$4)))</f>
        <v>0</v>
      </c>
      <c r="H982" s="26" t="n">
        <f aca="false">IF(INDEX(Pengaturan!$B$8:$B$27,H$4)="",0,COUNTIF(Data!$B982:$U982,INDEX(Pengaturan!$B$8:$B$27,H$4)))</f>
        <v>0</v>
      </c>
      <c r="I982" s="26" t="n">
        <f aca="false">IF(INDEX(Pengaturan!$B$8:$B$27,I$4)="",0,COUNTIF(Data!$B982:$U982,INDEX(Pengaturan!$B$8:$B$27,I$4)))</f>
        <v>0</v>
      </c>
      <c r="J982" s="26" t="n">
        <f aca="false">IF(INDEX(Pengaturan!$B$8:$B$27,J$4)="",0,COUNTIF(Data!$B982:$U982,INDEX(Pengaturan!$B$8:$B$27,J$4)))</f>
        <v>0</v>
      </c>
      <c r="K982" s="26" t="n">
        <f aca="false">IF(INDEX(Pengaturan!$B$8:$B$27,K$4)="",0,COUNTIF(Data!$B982:$U982,INDEX(Pengaturan!$B$8:$B$27,K$4)))</f>
        <v>0</v>
      </c>
      <c r="L982" s="26" t="n">
        <f aca="false">IF(INDEX(Pengaturan!$B$8:$B$27,L$4)="",0,COUNTIF(Data!$B982:$U982,INDEX(Pengaturan!$B$8:$B$27,L$4)))</f>
        <v>0</v>
      </c>
      <c r="M982" s="26" t="n">
        <f aca="false">IF(INDEX(Pengaturan!$B$8:$B$27,M$4)="",0,COUNTIF(Data!$B982:$U982,INDEX(Pengaturan!$B$8:$B$27,M$4)))</f>
        <v>0</v>
      </c>
      <c r="N982" s="26" t="n">
        <f aca="false">IF(INDEX(Pengaturan!$B$8:$B$27,N$4)="",0,COUNTIF(Data!$B982:$U982,INDEX(Pengaturan!$B$8:$B$27,N$4)))</f>
        <v>0</v>
      </c>
      <c r="O982" s="26" t="n">
        <f aca="false">IF(INDEX(Pengaturan!$B$8:$B$27,O$4)="",0,COUNTIF(Data!$B982:$U982,INDEX(Pengaturan!$B$8:$B$27,O$4)))</f>
        <v>0</v>
      </c>
      <c r="P982" s="26" t="n">
        <f aca="false">IF(INDEX(Pengaturan!$B$8:$B$27,P$4)="",0,COUNTIF(Data!$B982:$U982,INDEX(Pengaturan!$B$8:$B$27,P$4)))</f>
        <v>0</v>
      </c>
      <c r="Q982" s="26" t="n">
        <f aca="false">IF(INDEX(Pengaturan!$B$8:$B$27,Q$4)="",0,COUNTIF(Data!$B982:$U982,INDEX(Pengaturan!$B$8:$B$27,Q$4)))</f>
        <v>0</v>
      </c>
      <c r="R982" s="26" t="n">
        <f aca="false">IF(INDEX(Pengaturan!$B$8:$B$27,R$4)="",0,COUNTIF(Data!$B982:$U982,INDEX(Pengaturan!$B$8:$B$27,R$4)))</f>
        <v>0</v>
      </c>
      <c r="S982" s="26" t="n">
        <f aca="false">IF(INDEX(Pengaturan!$B$8:$B$27,S$4)="",0,COUNTIF(Data!$B982:$U982,INDEX(Pengaturan!$B$8:$B$27,S$4)))</f>
        <v>0</v>
      </c>
      <c r="T982" s="26" t="n">
        <f aca="false">IF(INDEX(Pengaturan!$B$8:$B$27,T$4)="",0,COUNTIF(Data!$B982:$U982,INDEX(Pengaturan!$B$8:$B$27,T$4)))</f>
        <v>0</v>
      </c>
      <c r="U982" s="26" t="n">
        <f aca="false">IF(INDEX(Pengaturan!$B$8:$B$27,U$4)="",0,COUNTIF(Data!$B982:$U982,INDEX(Pengaturan!$B$8:$B$27,U$4)))</f>
        <v>0</v>
      </c>
      <c r="V982" s="26" t="n">
        <f aca="false">COUNTA(Data!$B982:$U982)</f>
        <v>0</v>
      </c>
      <c r="W982" s="27" t="str">
        <f aca="false">IF(V982=0,"",IF(V982&lt;&gt;Hasil!$C$4,"Data kosong/tidak lengkap",IF(SUM(B982:U982)&lt;&gt;V982,"Kategori tidak dikenal","OK")))</f>
        <v/>
      </c>
      <c r="X982" s="26" t="n">
        <f aca="false">IF(OR(W982="",W982="OK"),0,1)</f>
        <v>0</v>
      </c>
    </row>
    <row r="983" customFormat="false" ht="15" hidden="false" customHeight="false" outlineLevel="0" collapsed="false">
      <c r="A983" s="26" t="n">
        <f aca="false">Data!A983</f>
        <v>978</v>
      </c>
      <c r="B983" s="26" t="n">
        <f aca="false">IF(INDEX(Pengaturan!$B$8:$B$27,B$4)="",0,COUNTIF(Data!$B983:$U983,INDEX(Pengaturan!$B$8:$B$27,B$4)))</f>
        <v>0</v>
      </c>
      <c r="C983" s="26" t="n">
        <f aca="false">IF(INDEX(Pengaturan!$B$8:$B$27,C$4)="",0,COUNTIF(Data!$B983:$U983,INDEX(Pengaturan!$B$8:$B$27,C$4)))</f>
        <v>0</v>
      </c>
      <c r="D983" s="26" t="n">
        <f aca="false">IF(INDEX(Pengaturan!$B$8:$B$27,D$4)="",0,COUNTIF(Data!$B983:$U983,INDEX(Pengaturan!$B$8:$B$27,D$4)))</f>
        <v>0</v>
      </c>
      <c r="E983" s="26" t="n">
        <f aca="false">IF(INDEX(Pengaturan!$B$8:$B$27,E$4)="",0,COUNTIF(Data!$B983:$U983,INDEX(Pengaturan!$B$8:$B$27,E$4)))</f>
        <v>0</v>
      </c>
      <c r="F983" s="26" t="n">
        <f aca="false">IF(INDEX(Pengaturan!$B$8:$B$27,F$4)="",0,COUNTIF(Data!$B983:$U983,INDEX(Pengaturan!$B$8:$B$27,F$4)))</f>
        <v>0</v>
      </c>
      <c r="G983" s="26" t="n">
        <f aca="false">IF(INDEX(Pengaturan!$B$8:$B$27,G$4)="",0,COUNTIF(Data!$B983:$U983,INDEX(Pengaturan!$B$8:$B$27,G$4)))</f>
        <v>0</v>
      </c>
      <c r="H983" s="26" t="n">
        <f aca="false">IF(INDEX(Pengaturan!$B$8:$B$27,H$4)="",0,COUNTIF(Data!$B983:$U983,INDEX(Pengaturan!$B$8:$B$27,H$4)))</f>
        <v>0</v>
      </c>
      <c r="I983" s="26" t="n">
        <f aca="false">IF(INDEX(Pengaturan!$B$8:$B$27,I$4)="",0,COUNTIF(Data!$B983:$U983,INDEX(Pengaturan!$B$8:$B$27,I$4)))</f>
        <v>0</v>
      </c>
      <c r="J983" s="26" t="n">
        <f aca="false">IF(INDEX(Pengaturan!$B$8:$B$27,J$4)="",0,COUNTIF(Data!$B983:$U983,INDEX(Pengaturan!$B$8:$B$27,J$4)))</f>
        <v>0</v>
      </c>
      <c r="K983" s="26" t="n">
        <f aca="false">IF(INDEX(Pengaturan!$B$8:$B$27,K$4)="",0,COUNTIF(Data!$B983:$U983,INDEX(Pengaturan!$B$8:$B$27,K$4)))</f>
        <v>0</v>
      </c>
      <c r="L983" s="26" t="n">
        <f aca="false">IF(INDEX(Pengaturan!$B$8:$B$27,L$4)="",0,COUNTIF(Data!$B983:$U983,INDEX(Pengaturan!$B$8:$B$27,L$4)))</f>
        <v>0</v>
      </c>
      <c r="M983" s="26" t="n">
        <f aca="false">IF(INDEX(Pengaturan!$B$8:$B$27,M$4)="",0,COUNTIF(Data!$B983:$U983,INDEX(Pengaturan!$B$8:$B$27,M$4)))</f>
        <v>0</v>
      </c>
      <c r="N983" s="26" t="n">
        <f aca="false">IF(INDEX(Pengaturan!$B$8:$B$27,N$4)="",0,COUNTIF(Data!$B983:$U983,INDEX(Pengaturan!$B$8:$B$27,N$4)))</f>
        <v>0</v>
      </c>
      <c r="O983" s="26" t="n">
        <f aca="false">IF(INDEX(Pengaturan!$B$8:$B$27,O$4)="",0,COUNTIF(Data!$B983:$U983,INDEX(Pengaturan!$B$8:$B$27,O$4)))</f>
        <v>0</v>
      </c>
      <c r="P983" s="26" t="n">
        <f aca="false">IF(INDEX(Pengaturan!$B$8:$B$27,P$4)="",0,COUNTIF(Data!$B983:$U983,INDEX(Pengaturan!$B$8:$B$27,P$4)))</f>
        <v>0</v>
      </c>
      <c r="Q983" s="26" t="n">
        <f aca="false">IF(INDEX(Pengaturan!$B$8:$B$27,Q$4)="",0,COUNTIF(Data!$B983:$U983,INDEX(Pengaturan!$B$8:$B$27,Q$4)))</f>
        <v>0</v>
      </c>
      <c r="R983" s="26" t="n">
        <f aca="false">IF(INDEX(Pengaturan!$B$8:$B$27,R$4)="",0,COUNTIF(Data!$B983:$U983,INDEX(Pengaturan!$B$8:$B$27,R$4)))</f>
        <v>0</v>
      </c>
      <c r="S983" s="26" t="n">
        <f aca="false">IF(INDEX(Pengaturan!$B$8:$B$27,S$4)="",0,COUNTIF(Data!$B983:$U983,INDEX(Pengaturan!$B$8:$B$27,S$4)))</f>
        <v>0</v>
      </c>
      <c r="T983" s="26" t="n">
        <f aca="false">IF(INDEX(Pengaturan!$B$8:$B$27,T$4)="",0,COUNTIF(Data!$B983:$U983,INDEX(Pengaturan!$B$8:$B$27,T$4)))</f>
        <v>0</v>
      </c>
      <c r="U983" s="26" t="n">
        <f aca="false">IF(INDEX(Pengaturan!$B$8:$B$27,U$4)="",0,COUNTIF(Data!$B983:$U983,INDEX(Pengaturan!$B$8:$B$27,U$4)))</f>
        <v>0</v>
      </c>
      <c r="V983" s="26" t="n">
        <f aca="false">COUNTA(Data!$B983:$U983)</f>
        <v>0</v>
      </c>
      <c r="W983" s="27" t="str">
        <f aca="false">IF(V983=0,"",IF(V983&lt;&gt;Hasil!$C$4,"Data kosong/tidak lengkap",IF(SUM(B983:U983)&lt;&gt;V983,"Kategori tidak dikenal","OK")))</f>
        <v/>
      </c>
      <c r="X983" s="26" t="n">
        <f aca="false">IF(OR(W983="",W983="OK"),0,1)</f>
        <v>0</v>
      </c>
    </row>
    <row r="984" customFormat="false" ht="15" hidden="false" customHeight="false" outlineLevel="0" collapsed="false">
      <c r="A984" s="26" t="n">
        <f aca="false">Data!A984</f>
        <v>979</v>
      </c>
      <c r="B984" s="26" t="n">
        <f aca="false">IF(INDEX(Pengaturan!$B$8:$B$27,B$4)="",0,COUNTIF(Data!$B984:$U984,INDEX(Pengaturan!$B$8:$B$27,B$4)))</f>
        <v>0</v>
      </c>
      <c r="C984" s="26" t="n">
        <f aca="false">IF(INDEX(Pengaturan!$B$8:$B$27,C$4)="",0,COUNTIF(Data!$B984:$U984,INDEX(Pengaturan!$B$8:$B$27,C$4)))</f>
        <v>0</v>
      </c>
      <c r="D984" s="26" t="n">
        <f aca="false">IF(INDEX(Pengaturan!$B$8:$B$27,D$4)="",0,COUNTIF(Data!$B984:$U984,INDEX(Pengaturan!$B$8:$B$27,D$4)))</f>
        <v>0</v>
      </c>
      <c r="E984" s="26" t="n">
        <f aca="false">IF(INDEX(Pengaturan!$B$8:$B$27,E$4)="",0,COUNTIF(Data!$B984:$U984,INDEX(Pengaturan!$B$8:$B$27,E$4)))</f>
        <v>0</v>
      </c>
      <c r="F984" s="26" t="n">
        <f aca="false">IF(INDEX(Pengaturan!$B$8:$B$27,F$4)="",0,COUNTIF(Data!$B984:$U984,INDEX(Pengaturan!$B$8:$B$27,F$4)))</f>
        <v>0</v>
      </c>
      <c r="G984" s="26" t="n">
        <f aca="false">IF(INDEX(Pengaturan!$B$8:$B$27,G$4)="",0,COUNTIF(Data!$B984:$U984,INDEX(Pengaturan!$B$8:$B$27,G$4)))</f>
        <v>0</v>
      </c>
      <c r="H984" s="26" t="n">
        <f aca="false">IF(INDEX(Pengaturan!$B$8:$B$27,H$4)="",0,COUNTIF(Data!$B984:$U984,INDEX(Pengaturan!$B$8:$B$27,H$4)))</f>
        <v>0</v>
      </c>
      <c r="I984" s="26" t="n">
        <f aca="false">IF(INDEX(Pengaturan!$B$8:$B$27,I$4)="",0,COUNTIF(Data!$B984:$U984,INDEX(Pengaturan!$B$8:$B$27,I$4)))</f>
        <v>0</v>
      </c>
      <c r="J984" s="26" t="n">
        <f aca="false">IF(INDEX(Pengaturan!$B$8:$B$27,J$4)="",0,COUNTIF(Data!$B984:$U984,INDEX(Pengaturan!$B$8:$B$27,J$4)))</f>
        <v>0</v>
      </c>
      <c r="K984" s="26" t="n">
        <f aca="false">IF(INDEX(Pengaturan!$B$8:$B$27,K$4)="",0,COUNTIF(Data!$B984:$U984,INDEX(Pengaturan!$B$8:$B$27,K$4)))</f>
        <v>0</v>
      </c>
      <c r="L984" s="26" t="n">
        <f aca="false">IF(INDEX(Pengaturan!$B$8:$B$27,L$4)="",0,COUNTIF(Data!$B984:$U984,INDEX(Pengaturan!$B$8:$B$27,L$4)))</f>
        <v>0</v>
      </c>
      <c r="M984" s="26" t="n">
        <f aca="false">IF(INDEX(Pengaturan!$B$8:$B$27,M$4)="",0,COUNTIF(Data!$B984:$U984,INDEX(Pengaturan!$B$8:$B$27,M$4)))</f>
        <v>0</v>
      </c>
      <c r="N984" s="26" t="n">
        <f aca="false">IF(INDEX(Pengaturan!$B$8:$B$27,N$4)="",0,COUNTIF(Data!$B984:$U984,INDEX(Pengaturan!$B$8:$B$27,N$4)))</f>
        <v>0</v>
      </c>
      <c r="O984" s="26" t="n">
        <f aca="false">IF(INDEX(Pengaturan!$B$8:$B$27,O$4)="",0,COUNTIF(Data!$B984:$U984,INDEX(Pengaturan!$B$8:$B$27,O$4)))</f>
        <v>0</v>
      </c>
      <c r="P984" s="26" t="n">
        <f aca="false">IF(INDEX(Pengaturan!$B$8:$B$27,P$4)="",0,COUNTIF(Data!$B984:$U984,INDEX(Pengaturan!$B$8:$B$27,P$4)))</f>
        <v>0</v>
      </c>
      <c r="Q984" s="26" t="n">
        <f aca="false">IF(INDEX(Pengaturan!$B$8:$B$27,Q$4)="",0,COUNTIF(Data!$B984:$U984,INDEX(Pengaturan!$B$8:$B$27,Q$4)))</f>
        <v>0</v>
      </c>
      <c r="R984" s="26" t="n">
        <f aca="false">IF(INDEX(Pengaturan!$B$8:$B$27,R$4)="",0,COUNTIF(Data!$B984:$U984,INDEX(Pengaturan!$B$8:$B$27,R$4)))</f>
        <v>0</v>
      </c>
      <c r="S984" s="26" t="n">
        <f aca="false">IF(INDEX(Pengaturan!$B$8:$B$27,S$4)="",0,COUNTIF(Data!$B984:$U984,INDEX(Pengaturan!$B$8:$B$27,S$4)))</f>
        <v>0</v>
      </c>
      <c r="T984" s="26" t="n">
        <f aca="false">IF(INDEX(Pengaturan!$B$8:$B$27,T$4)="",0,COUNTIF(Data!$B984:$U984,INDEX(Pengaturan!$B$8:$B$27,T$4)))</f>
        <v>0</v>
      </c>
      <c r="U984" s="26" t="n">
        <f aca="false">IF(INDEX(Pengaturan!$B$8:$B$27,U$4)="",0,COUNTIF(Data!$B984:$U984,INDEX(Pengaturan!$B$8:$B$27,U$4)))</f>
        <v>0</v>
      </c>
      <c r="V984" s="26" t="n">
        <f aca="false">COUNTA(Data!$B984:$U984)</f>
        <v>0</v>
      </c>
      <c r="W984" s="27" t="str">
        <f aca="false">IF(V984=0,"",IF(V984&lt;&gt;Hasil!$C$4,"Data kosong/tidak lengkap",IF(SUM(B984:U984)&lt;&gt;V984,"Kategori tidak dikenal","OK")))</f>
        <v/>
      </c>
      <c r="X984" s="26" t="n">
        <f aca="false">IF(OR(W984="",W984="OK"),0,1)</f>
        <v>0</v>
      </c>
    </row>
    <row r="985" customFormat="false" ht="15" hidden="false" customHeight="false" outlineLevel="0" collapsed="false">
      <c r="A985" s="26" t="n">
        <f aca="false">Data!A985</f>
        <v>980</v>
      </c>
      <c r="B985" s="26" t="n">
        <f aca="false">IF(INDEX(Pengaturan!$B$8:$B$27,B$4)="",0,COUNTIF(Data!$B985:$U985,INDEX(Pengaturan!$B$8:$B$27,B$4)))</f>
        <v>0</v>
      </c>
      <c r="C985" s="26" t="n">
        <f aca="false">IF(INDEX(Pengaturan!$B$8:$B$27,C$4)="",0,COUNTIF(Data!$B985:$U985,INDEX(Pengaturan!$B$8:$B$27,C$4)))</f>
        <v>0</v>
      </c>
      <c r="D985" s="26" t="n">
        <f aca="false">IF(INDEX(Pengaturan!$B$8:$B$27,D$4)="",0,COUNTIF(Data!$B985:$U985,INDEX(Pengaturan!$B$8:$B$27,D$4)))</f>
        <v>0</v>
      </c>
      <c r="E985" s="26" t="n">
        <f aca="false">IF(INDEX(Pengaturan!$B$8:$B$27,E$4)="",0,COUNTIF(Data!$B985:$U985,INDEX(Pengaturan!$B$8:$B$27,E$4)))</f>
        <v>0</v>
      </c>
      <c r="F985" s="26" t="n">
        <f aca="false">IF(INDEX(Pengaturan!$B$8:$B$27,F$4)="",0,COUNTIF(Data!$B985:$U985,INDEX(Pengaturan!$B$8:$B$27,F$4)))</f>
        <v>0</v>
      </c>
      <c r="G985" s="26" t="n">
        <f aca="false">IF(INDEX(Pengaturan!$B$8:$B$27,G$4)="",0,COUNTIF(Data!$B985:$U985,INDEX(Pengaturan!$B$8:$B$27,G$4)))</f>
        <v>0</v>
      </c>
      <c r="H985" s="26" t="n">
        <f aca="false">IF(INDEX(Pengaturan!$B$8:$B$27,H$4)="",0,COUNTIF(Data!$B985:$U985,INDEX(Pengaturan!$B$8:$B$27,H$4)))</f>
        <v>0</v>
      </c>
      <c r="I985" s="26" t="n">
        <f aca="false">IF(INDEX(Pengaturan!$B$8:$B$27,I$4)="",0,COUNTIF(Data!$B985:$U985,INDEX(Pengaturan!$B$8:$B$27,I$4)))</f>
        <v>0</v>
      </c>
      <c r="J985" s="26" t="n">
        <f aca="false">IF(INDEX(Pengaturan!$B$8:$B$27,J$4)="",0,COUNTIF(Data!$B985:$U985,INDEX(Pengaturan!$B$8:$B$27,J$4)))</f>
        <v>0</v>
      </c>
      <c r="K985" s="26" t="n">
        <f aca="false">IF(INDEX(Pengaturan!$B$8:$B$27,K$4)="",0,COUNTIF(Data!$B985:$U985,INDEX(Pengaturan!$B$8:$B$27,K$4)))</f>
        <v>0</v>
      </c>
      <c r="L985" s="26" t="n">
        <f aca="false">IF(INDEX(Pengaturan!$B$8:$B$27,L$4)="",0,COUNTIF(Data!$B985:$U985,INDEX(Pengaturan!$B$8:$B$27,L$4)))</f>
        <v>0</v>
      </c>
      <c r="M985" s="26" t="n">
        <f aca="false">IF(INDEX(Pengaturan!$B$8:$B$27,M$4)="",0,COUNTIF(Data!$B985:$U985,INDEX(Pengaturan!$B$8:$B$27,M$4)))</f>
        <v>0</v>
      </c>
      <c r="N985" s="26" t="n">
        <f aca="false">IF(INDEX(Pengaturan!$B$8:$B$27,N$4)="",0,COUNTIF(Data!$B985:$U985,INDEX(Pengaturan!$B$8:$B$27,N$4)))</f>
        <v>0</v>
      </c>
      <c r="O985" s="26" t="n">
        <f aca="false">IF(INDEX(Pengaturan!$B$8:$B$27,O$4)="",0,COUNTIF(Data!$B985:$U985,INDEX(Pengaturan!$B$8:$B$27,O$4)))</f>
        <v>0</v>
      </c>
      <c r="P985" s="26" t="n">
        <f aca="false">IF(INDEX(Pengaturan!$B$8:$B$27,P$4)="",0,COUNTIF(Data!$B985:$U985,INDEX(Pengaturan!$B$8:$B$27,P$4)))</f>
        <v>0</v>
      </c>
      <c r="Q985" s="26" t="n">
        <f aca="false">IF(INDEX(Pengaturan!$B$8:$B$27,Q$4)="",0,COUNTIF(Data!$B985:$U985,INDEX(Pengaturan!$B$8:$B$27,Q$4)))</f>
        <v>0</v>
      </c>
      <c r="R985" s="26" t="n">
        <f aca="false">IF(INDEX(Pengaturan!$B$8:$B$27,R$4)="",0,COUNTIF(Data!$B985:$U985,INDEX(Pengaturan!$B$8:$B$27,R$4)))</f>
        <v>0</v>
      </c>
      <c r="S985" s="26" t="n">
        <f aca="false">IF(INDEX(Pengaturan!$B$8:$B$27,S$4)="",0,COUNTIF(Data!$B985:$U985,INDEX(Pengaturan!$B$8:$B$27,S$4)))</f>
        <v>0</v>
      </c>
      <c r="T985" s="26" t="n">
        <f aca="false">IF(INDEX(Pengaturan!$B$8:$B$27,T$4)="",0,COUNTIF(Data!$B985:$U985,INDEX(Pengaturan!$B$8:$B$27,T$4)))</f>
        <v>0</v>
      </c>
      <c r="U985" s="26" t="n">
        <f aca="false">IF(INDEX(Pengaturan!$B$8:$B$27,U$4)="",0,COUNTIF(Data!$B985:$U985,INDEX(Pengaturan!$B$8:$B$27,U$4)))</f>
        <v>0</v>
      </c>
      <c r="V985" s="26" t="n">
        <f aca="false">COUNTA(Data!$B985:$U985)</f>
        <v>0</v>
      </c>
      <c r="W985" s="27" t="str">
        <f aca="false">IF(V985=0,"",IF(V985&lt;&gt;Hasil!$C$4,"Data kosong/tidak lengkap",IF(SUM(B985:U985)&lt;&gt;V985,"Kategori tidak dikenal","OK")))</f>
        <v/>
      </c>
      <c r="X985" s="26" t="n">
        <f aca="false">IF(OR(W985="",W985="OK"),0,1)</f>
        <v>0</v>
      </c>
    </row>
    <row r="986" customFormat="false" ht="15" hidden="false" customHeight="false" outlineLevel="0" collapsed="false">
      <c r="A986" s="26" t="n">
        <f aca="false">Data!A986</f>
        <v>981</v>
      </c>
      <c r="B986" s="26" t="n">
        <f aca="false">IF(INDEX(Pengaturan!$B$8:$B$27,B$4)="",0,COUNTIF(Data!$B986:$U986,INDEX(Pengaturan!$B$8:$B$27,B$4)))</f>
        <v>0</v>
      </c>
      <c r="C986" s="26" t="n">
        <f aca="false">IF(INDEX(Pengaturan!$B$8:$B$27,C$4)="",0,COUNTIF(Data!$B986:$U986,INDEX(Pengaturan!$B$8:$B$27,C$4)))</f>
        <v>0</v>
      </c>
      <c r="D986" s="26" t="n">
        <f aca="false">IF(INDEX(Pengaturan!$B$8:$B$27,D$4)="",0,COUNTIF(Data!$B986:$U986,INDEX(Pengaturan!$B$8:$B$27,D$4)))</f>
        <v>0</v>
      </c>
      <c r="E986" s="26" t="n">
        <f aca="false">IF(INDEX(Pengaturan!$B$8:$B$27,E$4)="",0,COUNTIF(Data!$B986:$U986,INDEX(Pengaturan!$B$8:$B$27,E$4)))</f>
        <v>0</v>
      </c>
      <c r="F986" s="26" t="n">
        <f aca="false">IF(INDEX(Pengaturan!$B$8:$B$27,F$4)="",0,COUNTIF(Data!$B986:$U986,INDEX(Pengaturan!$B$8:$B$27,F$4)))</f>
        <v>0</v>
      </c>
      <c r="G986" s="26" t="n">
        <f aca="false">IF(INDEX(Pengaturan!$B$8:$B$27,G$4)="",0,COUNTIF(Data!$B986:$U986,INDEX(Pengaturan!$B$8:$B$27,G$4)))</f>
        <v>0</v>
      </c>
      <c r="H986" s="26" t="n">
        <f aca="false">IF(INDEX(Pengaturan!$B$8:$B$27,H$4)="",0,COUNTIF(Data!$B986:$U986,INDEX(Pengaturan!$B$8:$B$27,H$4)))</f>
        <v>0</v>
      </c>
      <c r="I986" s="26" t="n">
        <f aca="false">IF(INDEX(Pengaturan!$B$8:$B$27,I$4)="",0,COUNTIF(Data!$B986:$U986,INDEX(Pengaturan!$B$8:$B$27,I$4)))</f>
        <v>0</v>
      </c>
      <c r="J986" s="26" t="n">
        <f aca="false">IF(INDEX(Pengaturan!$B$8:$B$27,J$4)="",0,COUNTIF(Data!$B986:$U986,INDEX(Pengaturan!$B$8:$B$27,J$4)))</f>
        <v>0</v>
      </c>
      <c r="K986" s="26" t="n">
        <f aca="false">IF(INDEX(Pengaturan!$B$8:$B$27,K$4)="",0,COUNTIF(Data!$B986:$U986,INDEX(Pengaturan!$B$8:$B$27,K$4)))</f>
        <v>0</v>
      </c>
      <c r="L986" s="26" t="n">
        <f aca="false">IF(INDEX(Pengaturan!$B$8:$B$27,L$4)="",0,COUNTIF(Data!$B986:$U986,INDEX(Pengaturan!$B$8:$B$27,L$4)))</f>
        <v>0</v>
      </c>
      <c r="M986" s="26" t="n">
        <f aca="false">IF(INDEX(Pengaturan!$B$8:$B$27,M$4)="",0,COUNTIF(Data!$B986:$U986,INDEX(Pengaturan!$B$8:$B$27,M$4)))</f>
        <v>0</v>
      </c>
      <c r="N986" s="26" t="n">
        <f aca="false">IF(INDEX(Pengaturan!$B$8:$B$27,N$4)="",0,COUNTIF(Data!$B986:$U986,INDEX(Pengaturan!$B$8:$B$27,N$4)))</f>
        <v>0</v>
      </c>
      <c r="O986" s="26" t="n">
        <f aca="false">IF(INDEX(Pengaturan!$B$8:$B$27,O$4)="",0,COUNTIF(Data!$B986:$U986,INDEX(Pengaturan!$B$8:$B$27,O$4)))</f>
        <v>0</v>
      </c>
      <c r="P986" s="26" t="n">
        <f aca="false">IF(INDEX(Pengaturan!$B$8:$B$27,P$4)="",0,COUNTIF(Data!$B986:$U986,INDEX(Pengaturan!$B$8:$B$27,P$4)))</f>
        <v>0</v>
      </c>
      <c r="Q986" s="26" t="n">
        <f aca="false">IF(INDEX(Pengaturan!$B$8:$B$27,Q$4)="",0,COUNTIF(Data!$B986:$U986,INDEX(Pengaturan!$B$8:$B$27,Q$4)))</f>
        <v>0</v>
      </c>
      <c r="R986" s="26" t="n">
        <f aca="false">IF(INDEX(Pengaturan!$B$8:$B$27,R$4)="",0,COUNTIF(Data!$B986:$U986,INDEX(Pengaturan!$B$8:$B$27,R$4)))</f>
        <v>0</v>
      </c>
      <c r="S986" s="26" t="n">
        <f aca="false">IF(INDEX(Pengaturan!$B$8:$B$27,S$4)="",0,COUNTIF(Data!$B986:$U986,INDEX(Pengaturan!$B$8:$B$27,S$4)))</f>
        <v>0</v>
      </c>
      <c r="T986" s="26" t="n">
        <f aca="false">IF(INDEX(Pengaturan!$B$8:$B$27,T$4)="",0,COUNTIF(Data!$B986:$U986,INDEX(Pengaturan!$B$8:$B$27,T$4)))</f>
        <v>0</v>
      </c>
      <c r="U986" s="26" t="n">
        <f aca="false">IF(INDEX(Pengaturan!$B$8:$B$27,U$4)="",0,COUNTIF(Data!$B986:$U986,INDEX(Pengaturan!$B$8:$B$27,U$4)))</f>
        <v>0</v>
      </c>
      <c r="V986" s="26" t="n">
        <f aca="false">COUNTA(Data!$B986:$U986)</f>
        <v>0</v>
      </c>
      <c r="W986" s="27" t="str">
        <f aca="false">IF(V986=0,"",IF(V986&lt;&gt;Hasil!$C$4,"Data kosong/tidak lengkap",IF(SUM(B986:U986)&lt;&gt;V986,"Kategori tidak dikenal","OK")))</f>
        <v/>
      </c>
      <c r="X986" s="26" t="n">
        <f aca="false">IF(OR(W986="",W986="OK"),0,1)</f>
        <v>0</v>
      </c>
    </row>
    <row r="987" customFormat="false" ht="15" hidden="false" customHeight="false" outlineLevel="0" collapsed="false">
      <c r="A987" s="26" t="n">
        <f aca="false">Data!A987</f>
        <v>982</v>
      </c>
      <c r="B987" s="26" t="n">
        <f aca="false">IF(INDEX(Pengaturan!$B$8:$B$27,B$4)="",0,COUNTIF(Data!$B987:$U987,INDEX(Pengaturan!$B$8:$B$27,B$4)))</f>
        <v>0</v>
      </c>
      <c r="C987" s="26" t="n">
        <f aca="false">IF(INDEX(Pengaturan!$B$8:$B$27,C$4)="",0,COUNTIF(Data!$B987:$U987,INDEX(Pengaturan!$B$8:$B$27,C$4)))</f>
        <v>0</v>
      </c>
      <c r="D987" s="26" t="n">
        <f aca="false">IF(INDEX(Pengaturan!$B$8:$B$27,D$4)="",0,COUNTIF(Data!$B987:$U987,INDEX(Pengaturan!$B$8:$B$27,D$4)))</f>
        <v>0</v>
      </c>
      <c r="E987" s="26" t="n">
        <f aca="false">IF(INDEX(Pengaturan!$B$8:$B$27,E$4)="",0,COUNTIF(Data!$B987:$U987,INDEX(Pengaturan!$B$8:$B$27,E$4)))</f>
        <v>0</v>
      </c>
      <c r="F987" s="26" t="n">
        <f aca="false">IF(INDEX(Pengaturan!$B$8:$B$27,F$4)="",0,COUNTIF(Data!$B987:$U987,INDEX(Pengaturan!$B$8:$B$27,F$4)))</f>
        <v>0</v>
      </c>
      <c r="G987" s="26" t="n">
        <f aca="false">IF(INDEX(Pengaturan!$B$8:$B$27,G$4)="",0,COUNTIF(Data!$B987:$U987,INDEX(Pengaturan!$B$8:$B$27,G$4)))</f>
        <v>0</v>
      </c>
      <c r="H987" s="26" t="n">
        <f aca="false">IF(INDEX(Pengaturan!$B$8:$B$27,H$4)="",0,COUNTIF(Data!$B987:$U987,INDEX(Pengaturan!$B$8:$B$27,H$4)))</f>
        <v>0</v>
      </c>
      <c r="I987" s="26" t="n">
        <f aca="false">IF(INDEX(Pengaturan!$B$8:$B$27,I$4)="",0,COUNTIF(Data!$B987:$U987,INDEX(Pengaturan!$B$8:$B$27,I$4)))</f>
        <v>0</v>
      </c>
      <c r="J987" s="26" t="n">
        <f aca="false">IF(INDEX(Pengaturan!$B$8:$B$27,J$4)="",0,COUNTIF(Data!$B987:$U987,INDEX(Pengaturan!$B$8:$B$27,J$4)))</f>
        <v>0</v>
      </c>
      <c r="K987" s="26" t="n">
        <f aca="false">IF(INDEX(Pengaturan!$B$8:$B$27,K$4)="",0,COUNTIF(Data!$B987:$U987,INDEX(Pengaturan!$B$8:$B$27,K$4)))</f>
        <v>0</v>
      </c>
      <c r="L987" s="26" t="n">
        <f aca="false">IF(INDEX(Pengaturan!$B$8:$B$27,L$4)="",0,COUNTIF(Data!$B987:$U987,INDEX(Pengaturan!$B$8:$B$27,L$4)))</f>
        <v>0</v>
      </c>
      <c r="M987" s="26" t="n">
        <f aca="false">IF(INDEX(Pengaturan!$B$8:$B$27,M$4)="",0,COUNTIF(Data!$B987:$U987,INDEX(Pengaturan!$B$8:$B$27,M$4)))</f>
        <v>0</v>
      </c>
      <c r="N987" s="26" t="n">
        <f aca="false">IF(INDEX(Pengaturan!$B$8:$B$27,N$4)="",0,COUNTIF(Data!$B987:$U987,INDEX(Pengaturan!$B$8:$B$27,N$4)))</f>
        <v>0</v>
      </c>
      <c r="O987" s="26" t="n">
        <f aca="false">IF(INDEX(Pengaturan!$B$8:$B$27,O$4)="",0,COUNTIF(Data!$B987:$U987,INDEX(Pengaturan!$B$8:$B$27,O$4)))</f>
        <v>0</v>
      </c>
      <c r="P987" s="26" t="n">
        <f aca="false">IF(INDEX(Pengaturan!$B$8:$B$27,P$4)="",0,COUNTIF(Data!$B987:$U987,INDEX(Pengaturan!$B$8:$B$27,P$4)))</f>
        <v>0</v>
      </c>
      <c r="Q987" s="26" t="n">
        <f aca="false">IF(INDEX(Pengaturan!$B$8:$B$27,Q$4)="",0,COUNTIF(Data!$B987:$U987,INDEX(Pengaturan!$B$8:$B$27,Q$4)))</f>
        <v>0</v>
      </c>
      <c r="R987" s="26" t="n">
        <f aca="false">IF(INDEX(Pengaturan!$B$8:$B$27,R$4)="",0,COUNTIF(Data!$B987:$U987,INDEX(Pengaturan!$B$8:$B$27,R$4)))</f>
        <v>0</v>
      </c>
      <c r="S987" s="26" t="n">
        <f aca="false">IF(INDEX(Pengaturan!$B$8:$B$27,S$4)="",0,COUNTIF(Data!$B987:$U987,INDEX(Pengaturan!$B$8:$B$27,S$4)))</f>
        <v>0</v>
      </c>
      <c r="T987" s="26" t="n">
        <f aca="false">IF(INDEX(Pengaturan!$B$8:$B$27,T$4)="",0,COUNTIF(Data!$B987:$U987,INDEX(Pengaturan!$B$8:$B$27,T$4)))</f>
        <v>0</v>
      </c>
      <c r="U987" s="26" t="n">
        <f aca="false">IF(INDEX(Pengaturan!$B$8:$B$27,U$4)="",0,COUNTIF(Data!$B987:$U987,INDEX(Pengaturan!$B$8:$B$27,U$4)))</f>
        <v>0</v>
      </c>
      <c r="V987" s="26" t="n">
        <f aca="false">COUNTA(Data!$B987:$U987)</f>
        <v>0</v>
      </c>
      <c r="W987" s="27" t="str">
        <f aca="false">IF(V987=0,"",IF(V987&lt;&gt;Hasil!$C$4,"Data kosong/tidak lengkap",IF(SUM(B987:U987)&lt;&gt;V987,"Kategori tidak dikenal","OK")))</f>
        <v/>
      </c>
      <c r="X987" s="26" t="n">
        <f aca="false">IF(OR(W987="",W987="OK"),0,1)</f>
        <v>0</v>
      </c>
    </row>
    <row r="988" customFormat="false" ht="15" hidden="false" customHeight="false" outlineLevel="0" collapsed="false">
      <c r="A988" s="26" t="n">
        <f aca="false">Data!A988</f>
        <v>983</v>
      </c>
      <c r="B988" s="26" t="n">
        <f aca="false">IF(INDEX(Pengaturan!$B$8:$B$27,B$4)="",0,COUNTIF(Data!$B988:$U988,INDEX(Pengaturan!$B$8:$B$27,B$4)))</f>
        <v>0</v>
      </c>
      <c r="C988" s="26" t="n">
        <f aca="false">IF(INDEX(Pengaturan!$B$8:$B$27,C$4)="",0,COUNTIF(Data!$B988:$U988,INDEX(Pengaturan!$B$8:$B$27,C$4)))</f>
        <v>0</v>
      </c>
      <c r="D988" s="26" t="n">
        <f aca="false">IF(INDEX(Pengaturan!$B$8:$B$27,D$4)="",0,COUNTIF(Data!$B988:$U988,INDEX(Pengaturan!$B$8:$B$27,D$4)))</f>
        <v>0</v>
      </c>
      <c r="E988" s="26" t="n">
        <f aca="false">IF(INDEX(Pengaturan!$B$8:$B$27,E$4)="",0,COUNTIF(Data!$B988:$U988,INDEX(Pengaturan!$B$8:$B$27,E$4)))</f>
        <v>0</v>
      </c>
      <c r="F988" s="26" t="n">
        <f aca="false">IF(INDEX(Pengaturan!$B$8:$B$27,F$4)="",0,COUNTIF(Data!$B988:$U988,INDEX(Pengaturan!$B$8:$B$27,F$4)))</f>
        <v>0</v>
      </c>
      <c r="G988" s="26" t="n">
        <f aca="false">IF(INDEX(Pengaturan!$B$8:$B$27,G$4)="",0,COUNTIF(Data!$B988:$U988,INDEX(Pengaturan!$B$8:$B$27,G$4)))</f>
        <v>0</v>
      </c>
      <c r="H988" s="26" t="n">
        <f aca="false">IF(INDEX(Pengaturan!$B$8:$B$27,H$4)="",0,COUNTIF(Data!$B988:$U988,INDEX(Pengaturan!$B$8:$B$27,H$4)))</f>
        <v>0</v>
      </c>
      <c r="I988" s="26" t="n">
        <f aca="false">IF(INDEX(Pengaturan!$B$8:$B$27,I$4)="",0,COUNTIF(Data!$B988:$U988,INDEX(Pengaturan!$B$8:$B$27,I$4)))</f>
        <v>0</v>
      </c>
      <c r="J988" s="26" t="n">
        <f aca="false">IF(INDEX(Pengaturan!$B$8:$B$27,J$4)="",0,COUNTIF(Data!$B988:$U988,INDEX(Pengaturan!$B$8:$B$27,J$4)))</f>
        <v>0</v>
      </c>
      <c r="K988" s="26" t="n">
        <f aca="false">IF(INDEX(Pengaturan!$B$8:$B$27,K$4)="",0,COUNTIF(Data!$B988:$U988,INDEX(Pengaturan!$B$8:$B$27,K$4)))</f>
        <v>0</v>
      </c>
      <c r="L988" s="26" t="n">
        <f aca="false">IF(INDEX(Pengaturan!$B$8:$B$27,L$4)="",0,COUNTIF(Data!$B988:$U988,INDEX(Pengaturan!$B$8:$B$27,L$4)))</f>
        <v>0</v>
      </c>
      <c r="M988" s="26" t="n">
        <f aca="false">IF(INDEX(Pengaturan!$B$8:$B$27,M$4)="",0,COUNTIF(Data!$B988:$U988,INDEX(Pengaturan!$B$8:$B$27,M$4)))</f>
        <v>0</v>
      </c>
      <c r="N988" s="26" t="n">
        <f aca="false">IF(INDEX(Pengaturan!$B$8:$B$27,N$4)="",0,COUNTIF(Data!$B988:$U988,INDEX(Pengaturan!$B$8:$B$27,N$4)))</f>
        <v>0</v>
      </c>
      <c r="O988" s="26" t="n">
        <f aca="false">IF(INDEX(Pengaturan!$B$8:$B$27,O$4)="",0,COUNTIF(Data!$B988:$U988,INDEX(Pengaturan!$B$8:$B$27,O$4)))</f>
        <v>0</v>
      </c>
      <c r="P988" s="26" t="n">
        <f aca="false">IF(INDEX(Pengaturan!$B$8:$B$27,P$4)="",0,COUNTIF(Data!$B988:$U988,INDEX(Pengaturan!$B$8:$B$27,P$4)))</f>
        <v>0</v>
      </c>
      <c r="Q988" s="26" t="n">
        <f aca="false">IF(INDEX(Pengaturan!$B$8:$B$27,Q$4)="",0,COUNTIF(Data!$B988:$U988,INDEX(Pengaturan!$B$8:$B$27,Q$4)))</f>
        <v>0</v>
      </c>
      <c r="R988" s="26" t="n">
        <f aca="false">IF(INDEX(Pengaturan!$B$8:$B$27,R$4)="",0,COUNTIF(Data!$B988:$U988,INDEX(Pengaturan!$B$8:$B$27,R$4)))</f>
        <v>0</v>
      </c>
      <c r="S988" s="26" t="n">
        <f aca="false">IF(INDEX(Pengaturan!$B$8:$B$27,S$4)="",0,COUNTIF(Data!$B988:$U988,INDEX(Pengaturan!$B$8:$B$27,S$4)))</f>
        <v>0</v>
      </c>
      <c r="T988" s="26" t="n">
        <f aca="false">IF(INDEX(Pengaturan!$B$8:$B$27,T$4)="",0,COUNTIF(Data!$B988:$U988,INDEX(Pengaturan!$B$8:$B$27,T$4)))</f>
        <v>0</v>
      </c>
      <c r="U988" s="26" t="n">
        <f aca="false">IF(INDEX(Pengaturan!$B$8:$B$27,U$4)="",0,COUNTIF(Data!$B988:$U988,INDEX(Pengaturan!$B$8:$B$27,U$4)))</f>
        <v>0</v>
      </c>
      <c r="V988" s="26" t="n">
        <f aca="false">COUNTA(Data!$B988:$U988)</f>
        <v>0</v>
      </c>
      <c r="W988" s="27" t="str">
        <f aca="false">IF(V988=0,"",IF(V988&lt;&gt;Hasil!$C$4,"Data kosong/tidak lengkap",IF(SUM(B988:U988)&lt;&gt;V988,"Kategori tidak dikenal","OK")))</f>
        <v/>
      </c>
      <c r="X988" s="26" t="n">
        <f aca="false">IF(OR(W988="",W988="OK"),0,1)</f>
        <v>0</v>
      </c>
    </row>
    <row r="989" customFormat="false" ht="15" hidden="false" customHeight="false" outlineLevel="0" collapsed="false">
      <c r="A989" s="26" t="n">
        <f aca="false">Data!A989</f>
        <v>984</v>
      </c>
      <c r="B989" s="26" t="n">
        <f aca="false">IF(INDEX(Pengaturan!$B$8:$B$27,B$4)="",0,COUNTIF(Data!$B989:$U989,INDEX(Pengaturan!$B$8:$B$27,B$4)))</f>
        <v>0</v>
      </c>
      <c r="C989" s="26" t="n">
        <f aca="false">IF(INDEX(Pengaturan!$B$8:$B$27,C$4)="",0,COUNTIF(Data!$B989:$U989,INDEX(Pengaturan!$B$8:$B$27,C$4)))</f>
        <v>0</v>
      </c>
      <c r="D989" s="26" t="n">
        <f aca="false">IF(INDEX(Pengaturan!$B$8:$B$27,D$4)="",0,COUNTIF(Data!$B989:$U989,INDEX(Pengaturan!$B$8:$B$27,D$4)))</f>
        <v>0</v>
      </c>
      <c r="E989" s="26" t="n">
        <f aca="false">IF(INDEX(Pengaturan!$B$8:$B$27,E$4)="",0,COUNTIF(Data!$B989:$U989,INDEX(Pengaturan!$B$8:$B$27,E$4)))</f>
        <v>0</v>
      </c>
      <c r="F989" s="26" t="n">
        <f aca="false">IF(INDEX(Pengaturan!$B$8:$B$27,F$4)="",0,COUNTIF(Data!$B989:$U989,INDEX(Pengaturan!$B$8:$B$27,F$4)))</f>
        <v>0</v>
      </c>
      <c r="G989" s="26" t="n">
        <f aca="false">IF(INDEX(Pengaturan!$B$8:$B$27,G$4)="",0,COUNTIF(Data!$B989:$U989,INDEX(Pengaturan!$B$8:$B$27,G$4)))</f>
        <v>0</v>
      </c>
      <c r="H989" s="26" t="n">
        <f aca="false">IF(INDEX(Pengaturan!$B$8:$B$27,H$4)="",0,COUNTIF(Data!$B989:$U989,INDEX(Pengaturan!$B$8:$B$27,H$4)))</f>
        <v>0</v>
      </c>
      <c r="I989" s="26" t="n">
        <f aca="false">IF(INDEX(Pengaturan!$B$8:$B$27,I$4)="",0,COUNTIF(Data!$B989:$U989,INDEX(Pengaturan!$B$8:$B$27,I$4)))</f>
        <v>0</v>
      </c>
      <c r="J989" s="26" t="n">
        <f aca="false">IF(INDEX(Pengaturan!$B$8:$B$27,J$4)="",0,COUNTIF(Data!$B989:$U989,INDEX(Pengaturan!$B$8:$B$27,J$4)))</f>
        <v>0</v>
      </c>
      <c r="K989" s="26" t="n">
        <f aca="false">IF(INDEX(Pengaturan!$B$8:$B$27,K$4)="",0,COUNTIF(Data!$B989:$U989,INDEX(Pengaturan!$B$8:$B$27,K$4)))</f>
        <v>0</v>
      </c>
      <c r="L989" s="26" t="n">
        <f aca="false">IF(INDEX(Pengaturan!$B$8:$B$27,L$4)="",0,COUNTIF(Data!$B989:$U989,INDEX(Pengaturan!$B$8:$B$27,L$4)))</f>
        <v>0</v>
      </c>
      <c r="M989" s="26" t="n">
        <f aca="false">IF(INDEX(Pengaturan!$B$8:$B$27,M$4)="",0,COUNTIF(Data!$B989:$U989,INDEX(Pengaturan!$B$8:$B$27,M$4)))</f>
        <v>0</v>
      </c>
      <c r="N989" s="26" t="n">
        <f aca="false">IF(INDEX(Pengaturan!$B$8:$B$27,N$4)="",0,COUNTIF(Data!$B989:$U989,INDEX(Pengaturan!$B$8:$B$27,N$4)))</f>
        <v>0</v>
      </c>
      <c r="O989" s="26" t="n">
        <f aca="false">IF(INDEX(Pengaturan!$B$8:$B$27,O$4)="",0,COUNTIF(Data!$B989:$U989,INDEX(Pengaturan!$B$8:$B$27,O$4)))</f>
        <v>0</v>
      </c>
      <c r="P989" s="26" t="n">
        <f aca="false">IF(INDEX(Pengaturan!$B$8:$B$27,P$4)="",0,COUNTIF(Data!$B989:$U989,INDEX(Pengaturan!$B$8:$B$27,P$4)))</f>
        <v>0</v>
      </c>
      <c r="Q989" s="26" t="n">
        <f aca="false">IF(INDEX(Pengaturan!$B$8:$B$27,Q$4)="",0,COUNTIF(Data!$B989:$U989,INDEX(Pengaturan!$B$8:$B$27,Q$4)))</f>
        <v>0</v>
      </c>
      <c r="R989" s="26" t="n">
        <f aca="false">IF(INDEX(Pengaturan!$B$8:$B$27,R$4)="",0,COUNTIF(Data!$B989:$U989,INDEX(Pengaturan!$B$8:$B$27,R$4)))</f>
        <v>0</v>
      </c>
      <c r="S989" s="26" t="n">
        <f aca="false">IF(INDEX(Pengaturan!$B$8:$B$27,S$4)="",0,COUNTIF(Data!$B989:$U989,INDEX(Pengaturan!$B$8:$B$27,S$4)))</f>
        <v>0</v>
      </c>
      <c r="T989" s="26" t="n">
        <f aca="false">IF(INDEX(Pengaturan!$B$8:$B$27,T$4)="",0,COUNTIF(Data!$B989:$U989,INDEX(Pengaturan!$B$8:$B$27,T$4)))</f>
        <v>0</v>
      </c>
      <c r="U989" s="26" t="n">
        <f aca="false">IF(INDEX(Pengaturan!$B$8:$B$27,U$4)="",0,COUNTIF(Data!$B989:$U989,INDEX(Pengaturan!$B$8:$B$27,U$4)))</f>
        <v>0</v>
      </c>
      <c r="V989" s="26" t="n">
        <f aca="false">COUNTA(Data!$B989:$U989)</f>
        <v>0</v>
      </c>
      <c r="W989" s="27" t="str">
        <f aca="false">IF(V989=0,"",IF(V989&lt;&gt;Hasil!$C$4,"Data kosong/tidak lengkap",IF(SUM(B989:U989)&lt;&gt;V989,"Kategori tidak dikenal","OK")))</f>
        <v/>
      </c>
      <c r="X989" s="26" t="n">
        <f aca="false">IF(OR(W989="",W989="OK"),0,1)</f>
        <v>0</v>
      </c>
    </row>
    <row r="990" customFormat="false" ht="15" hidden="false" customHeight="false" outlineLevel="0" collapsed="false">
      <c r="A990" s="26" t="n">
        <f aca="false">Data!A990</f>
        <v>985</v>
      </c>
      <c r="B990" s="26" t="n">
        <f aca="false">IF(INDEX(Pengaturan!$B$8:$B$27,B$4)="",0,COUNTIF(Data!$B990:$U990,INDEX(Pengaturan!$B$8:$B$27,B$4)))</f>
        <v>0</v>
      </c>
      <c r="C990" s="26" t="n">
        <f aca="false">IF(INDEX(Pengaturan!$B$8:$B$27,C$4)="",0,COUNTIF(Data!$B990:$U990,INDEX(Pengaturan!$B$8:$B$27,C$4)))</f>
        <v>0</v>
      </c>
      <c r="D990" s="26" t="n">
        <f aca="false">IF(INDEX(Pengaturan!$B$8:$B$27,D$4)="",0,COUNTIF(Data!$B990:$U990,INDEX(Pengaturan!$B$8:$B$27,D$4)))</f>
        <v>0</v>
      </c>
      <c r="E990" s="26" t="n">
        <f aca="false">IF(INDEX(Pengaturan!$B$8:$B$27,E$4)="",0,COUNTIF(Data!$B990:$U990,INDEX(Pengaturan!$B$8:$B$27,E$4)))</f>
        <v>0</v>
      </c>
      <c r="F990" s="26" t="n">
        <f aca="false">IF(INDEX(Pengaturan!$B$8:$B$27,F$4)="",0,COUNTIF(Data!$B990:$U990,INDEX(Pengaturan!$B$8:$B$27,F$4)))</f>
        <v>0</v>
      </c>
      <c r="G990" s="26" t="n">
        <f aca="false">IF(INDEX(Pengaturan!$B$8:$B$27,G$4)="",0,COUNTIF(Data!$B990:$U990,INDEX(Pengaturan!$B$8:$B$27,G$4)))</f>
        <v>0</v>
      </c>
      <c r="H990" s="26" t="n">
        <f aca="false">IF(INDEX(Pengaturan!$B$8:$B$27,H$4)="",0,COUNTIF(Data!$B990:$U990,INDEX(Pengaturan!$B$8:$B$27,H$4)))</f>
        <v>0</v>
      </c>
      <c r="I990" s="26" t="n">
        <f aca="false">IF(INDEX(Pengaturan!$B$8:$B$27,I$4)="",0,COUNTIF(Data!$B990:$U990,INDEX(Pengaturan!$B$8:$B$27,I$4)))</f>
        <v>0</v>
      </c>
      <c r="J990" s="26" t="n">
        <f aca="false">IF(INDEX(Pengaturan!$B$8:$B$27,J$4)="",0,COUNTIF(Data!$B990:$U990,INDEX(Pengaturan!$B$8:$B$27,J$4)))</f>
        <v>0</v>
      </c>
      <c r="K990" s="26" t="n">
        <f aca="false">IF(INDEX(Pengaturan!$B$8:$B$27,K$4)="",0,COUNTIF(Data!$B990:$U990,INDEX(Pengaturan!$B$8:$B$27,K$4)))</f>
        <v>0</v>
      </c>
      <c r="L990" s="26" t="n">
        <f aca="false">IF(INDEX(Pengaturan!$B$8:$B$27,L$4)="",0,COUNTIF(Data!$B990:$U990,INDEX(Pengaturan!$B$8:$B$27,L$4)))</f>
        <v>0</v>
      </c>
      <c r="M990" s="26" t="n">
        <f aca="false">IF(INDEX(Pengaturan!$B$8:$B$27,M$4)="",0,COUNTIF(Data!$B990:$U990,INDEX(Pengaturan!$B$8:$B$27,M$4)))</f>
        <v>0</v>
      </c>
      <c r="N990" s="26" t="n">
        <f aca="false">IF(INDEX(Pengaturan!$B$8:$B$27,N$4)="",0,COUNTIF(Data!$B990:$U990,INDEX(Pengaturan!$B$8:$B$27,N$4)))</f>
        <v>0</v>
      </c>
      <c r="O990" s="26" t="n">
        <f aca="false">IF(INDEX(Pengaturan!$B$8:$B$27,O$4)="",0,COUNTIF(Data!$B990:$U990,INDEX(Pengaturan!$B$8:$B$27,O$4)))</f>
        <v>0</v>
      </c>
      <c r="P990" s="26" t="n">
        <f aca="false">IF(INDEX(Pengaturan!$B$8:$B$27,P$4)="",0,COUNTIF(Data!$B990:$U990,INDEX(Pengaturan!$B$8:$B$27,P$4)))</f>
        <v>0</v>
      </c>
      <c r="Q990" s="26" t="n">
        <f aca="false">IF(INDEX(Pengaturan!$B$8:$B$27,Q$4)="",0,COUNTIF(Data!$B990:$U990,INDEX(Pengaturan!$B$8:$B$27,Q$4)))</f>
        <v>0</v>
      </c>
      <c r="R990" s="26" t="n">
        <f aca="false">IF(INDEX(Pengaturan!$B$8:$B$27,R$4)="",0,COUNTIF(Data!$B990:$U990,INDEX(Pengaturan!$B$8:$B$27,R$4)))</f>
        <v>0</v>
      </c>
      <c r="S990" s="26" t="n">
        <f aca="false">IF(INDEX(Pengaturan!$B$8:$B$27,S$4)="",0,COUNTIF(Data!$B990:$U990,INDEX(Pengaturan!$B$8:$B$27,S$4)))</f>
        <v>0</v>
      </c>
      <c r="T990" s="26" t="n">
        <f aca="false">IF(INDEX(Pengaturan!$B$8:$B$27,T$4)="",0,COUNTIF(Data!$B990:$U990,INDEX(Pengaturan!$B$8:$B$27,T$4)))</f>
        <v>0</v>
      </c>
      <c r="U990" s="26" t="n">
        <f aca="false">IF(INDEX(Pengaturan!$B$8:$B$27,U$4)="",0,COUNTIF(Data!$B990:$U990,INDEX(Pengaturan!$B$8:$B$27,U$4)))</f>
        <v>0</v>
      </c>
      <c r="V990" s="26" t="n">
        <f aca="false">COUNTA(Data!$B990:$U990)</f>
        <v>0</v>
      </c>
      <c r="W990" s="27" t="str">
        <f aca="false">IF(V990=0,"",IF(V990&lt;&gt;Hasil!$C$4,"Data kosong/tidak lengkap",IF(SUM(B990:U990)&lt;&gt;V990,"Kategori tidak dikenal","OK")))</f>
        <v/>
      </c>
      <c r="X990" s="26" t="n">
        <f aca="false">IF(OR(W990="",W990="OK"),0,1)</f>
        <v>0</v>
      </c>
    </row>
    <row r="991" customFormat="false" ht="15" hidden="false" customHeight="false" outlineLevel="0" collapsed="false">
      <c r="A991" s="26" t="n">
        <f aca="false">Data!A991</f>
        <v>986</v>
      </c>
      <c r="B991" s="26" t="n">
        <f aca="false">IF(INDEX(Pengaturan!$B$8:$B$27,B$4)="",0,COUNTIF(Data!$B991:$U991,INDEX(Pengaturan!$B$8:$B$27,B$4)))</f>
        <v>0</v>
      </c>
      <c r="C991" s="26" t="n">
        <f aca="false">IF(INDEX(Pengaturan!$B$8:$B$27,C$4)="",0,COUNTIF(Data!$B991:$U991,INDEX(Pengaturan!$B$8:$B$27,C$4)))</f>
        <v>0</v>
      </c>
      <c r="D991" s="26" t="n">
        <f aca="false">IF(INDEX(Pengaturan!$B$8:$B$27,D$4)="",0,COUNTIF(Data!$B991:$U991,INDEX(Pengaturan!$B$8:$B$27,D$4)))</f>
        <v>0</v>
      </c>
      <c r="E991" s="26" t="n">
        <f aca="false">IF(INDEX(Pengaturan!$B$8:$B$27,E$4)="",0,COUNTIF(Data!$B991:$U991,INDEX(Pengaturan!$B$8:$B$27,E$4)))</f>
        <v>0</v>
      </c>
      <c r="F991" s="26" t="n">
        <f aca="false">IF(INDEX(Pengaturan!$B$8:$B$27,F$4)="",0,COUNTIF(Data!$B991:$U991,INDEX(Pengaturan!$B$8:$B$27,F$4)))</f>
        <v>0</v>
      </c>
      <c r="G991" s="26" t="n">
        <f aca="false">IF(INDEX(Pengaturan!$B$8:$B$27,G$4)="",0,COUNTIF(Data!$B991:$U991,INDEX(Pengaturan!$B$8:$B$27,G$4)))</f>
        <v>0</v>
      </c>
      <c r="H991" s="26" t="n">
        <f aca="false">IF(INDEX(Pengaturan!$B$8:$B$27,H$4)="",0,COUNTIF(Data!$B991:$U991,INDEX(Pengaturan!$B$8:$B$27,H$4)))</f>
        <v>0</v>
      </c>
      <c r="I991" s="26" t="n">
        <f aca="false">IF(INDEX(Pengaturan!$B$8:$B$27,I$4)="",0,COUNTIF(Data!$B991:$U991,INDEX(Pengaturan!$B$8:$B$27,I$4)))</f>
        <v>0</v>
      </c>
      <c r="J991" s="26" t="n">
        <f aca="false">IF(INDEX(Pengaturan!$B$8:$B$27,J$4)="",0,COUNTIF(Data!$B991:$U991,INDEX(Pengaturan!$B$8:$B$27,J$4)))</f>
        <v>0</v>
      </c>
      <c r="K991" s="26" t="n">
        <f aca="false">IF(INDEX(Pengaturan!$B$8:$B$27,K$4)="",0,COUNTIF(Data!$B991:$U991,INDEX(Pengaturan!$B$8:$B$27,K$4)))</f>
        <v>0</v>
      </c>
      <c r="L991" s="26" t="n">
        <f aca="false">IF(INDEX(Pengaturan!$B$8:$B$27,L$4)="",0,COUNTIF(Data!$B991:$U991,INDEX(Pengaturan!$B$8:$B$27,L$4)))</f>
        <v>0</v>
      </c>
      <c r="M991" s="26" t="n">
        <f aca="false">IF(INDEX(Pengaturan!$B$8:$B$27,M$4)="",0,COUNTIF(Data!$B991:$U991,INDEX(Pengaturan!$B$8:$B$27,M$4)))</f>
        <v>0</v>
      </c>
      <c r="N991" s="26" t="n">
        <f aca="false">IF(INDEX(Pengaturan!$B$8:$B$27,N$4)="",0,COUNTIF(Data!$B991:$U991,INDEX(Pengaturan!$B$8:$B$27,N$4)))</f>
        <v>0</v>
      </c>
      <c r="O991" s="26" t="n">
        <f aca="false">IF(INDEX(Pengaturan!$B$8:$B$27,O$4)="",0,COUNTIF(Data!$B991:$U991,INDEX(Pengaturan!$B$8:$B$27,O$4)))</f>
        <v>0</v>
      </c>
      <c r="P991" s="26" t="n">
        <f aca="false">IF(INDEX(Pengaturan!$B$8:$B$27,P$4)="",0,COUNTIF(Data!$B991:$U991,INDEX(Pengaturan!$B$8:$B$27,P$4)))</f>
        <v>0</v>
      </c>
      <c r="Q991" s="26" t="n">
        <f aca="false">IF(INDEX(Pengaturan!$B$8:$B$27,Q$4)="",0,COUNTIF(Data!$B991:$U991,INDEX(Pengaturan!$B$8:$B$27,Q$4)))</f>
        <v>0</v>
      </c>
      <c r="R991" s="26" t="n">
        <f aca="false">IF(INDEX(Pengaturan!$B$8:$B$27,R$4)="",0,COUNTIF(Data!$B991:$U991,INDEX(Pengaturan!$B$8:$B$27,R$4)))</f>
        <v>0</v>
      </c>
      <c r="S991" s="26" t="n">
        <f aca="false">IF(INDEX(Pengaturan!$B$8:$B$27,S$4)="",0,COUNTIF(Data!$B991:$U991,INDEX(Pengaturan!$B$8:$B$27,S$4)))</f>
        <v>0</v>
      </c>
      <c r="T991" s="26" t="n">
        <f aca="false">IF(INDEX(Pengaturan!$B$8:$B$27,T$4)="",0,COUNTIF(Data!$B991:$U991,INDEX(Pengaturan!$B$8:$B$27,T$4)))</f>
        <v>0</v>
      </c>
      <c r="U991" s="26" t="n">
        <f aca="false">IF(INDEX(Pengaturan!$B$8:$B$27,U$4)="",0,COUNTIF(Data!$B991:$U991,INDEX(Pengaturan!$B$8:$B$27,U$4)))</f>
        <v>0</v>
      </c>
      <c r="V991" s="26" t="n">
        <f aca="false">COUNTA(Data!$B991:$U991)</f>
        <v>0</v>
      </c>
      <c r="W991" s="27" t="str">
        <f aca="false">IF(V991=0,"",IF(V991&lt;&gt;Hasil!$C$4,"Data kosong/tidak lengkap",IF(SUM(B991:U991)&lt;&gt;V991,"Kategori tidak dikenal","OK")))</f>
        <v/>
      </c>
      <c r="X991" s="26" t="n">
        <f aca="false">IF(OR(W991="",W991="OK"),0,1)</f>
        <v>0</v>
      </c>
    </row>
    <row r="992" customFormat="false" ht="15" hidden="false" customHeight="false" outlineLevel="0" collapsed="false">
      <c r="A992" s="26" t="n">
        <f aca="false">Data!A992</f>
        <v>987</v>
      </c>
      <c r="B992" s="26" t="n">
        <f aca="false">IF(INDEX(Pengaturan!$B$8:$B$27,B$4)="",0,COUNTIF(Data!$B992:$U992,INDEX(Pengaturan!$B$8:$B$27,B$4)))</f>
        <v>0</v>
      </c>
      <c r="C992" s="26" t="n">
        <f aca="false">IF(INDEX(Pengaturan!$B$8:$B$27,C$4)="",0,COUNTIF(Data!$B992:$U992,INDEX(Pengaturan!$B$8:$B$27,C$4)))</f>
        <v>0</v>
      </c>
      <c r="D992" s="26" t="n">
        <f aca="false">IF(INDEX(Pengaturan!$B$8:$B$27,D$4)="",0,COUNTIF(Data!$B992:$U992,INDEX(Pengaturan!$B$8:$B$27,D$4)))</f>
        <v>0</v>
      </c>
      <c r="E992" s="26" t="n">
        <f aca="false">IF(INDEX(Pengaturan!$B$8:$B$27,E$4)="",0,COUNTIF(Data!$B992:$U992,INDEX(Pengaturan!$B$8:$B$27,E$4)))</f>
        <v>0</v>
      </c>
      <c r="F992" s="26" t="n">
        <f aca="false">IF(INDEX(Pengaturan!$B$8:$B$27,F$4)="",0,COUNTIF(Data!$B992:$U992,INDEX(Pengaturan!$B$8:$B$27,F$4)))</f>
        <v>0</v>
      </c>
      <c r="G992" s="26" t="n">
        <f aca="false">IF(INDEX(Pengaturan!$B$8:$B$27,G$4)="",0,COUNTIF(Data!$B992:$U992,INDEX(Pengaturan!$B$8:$B$27,G$4)))</f>
        <v>0</v>
      </c>
      <c r="H992" s="26" t="n">
        <f aca="false">IF(INDEX(Pengaturan!$B$8:$B$27,H$4)="",0,COUNTIF(Data!$B992:$U992,INDEX(Pengaturan!$B$8:$B$27,H$4)))</f>
        <v>0</v>
      </c>
      <c r="I992" s="26" t="n">
        <f aca="false">IF(INDEX(Pengaturan!$B$8:$B$27,I$4)="",0,COUNTIF(Data!$B992:$U992,INDEX(Pengaturan!$B$8:$B$27,I$4)))</f>
        <v>0</v>
      </c>
      <c r="J992" s="26" t="n">
        <f aca="false">IF(INDEX(Pengaturan!$B$8:$B$27,J$4)="",0,COUNTIF(Data!$B992:$U992,INDEX(Pengaturan!$B$8:$B$27,J$4)))</f>
        <v>0</v>
      </c>
      <c r="K992" s="26" t="n">
        <f aca="false">IF(INDEX(Pengaturan!$B$8:$B$27,K$4)="",0,COUNTIF(Data!$B992:$U992,INDEX(Pengaturan!$B$8:$B$27,K$4)))</f>
        <v>0</v>
      </c>
      <c r="L992" s="26" t="n">
        <f aca="false">IF(INDEX(Pengaturan!$B$8:$B$27,L$4)="",0,COUNTIF(Data!$B992:$U992,INDEX(Pengaturan!$B$8:$B$27,L$4)))</f>
        <v>0</v>
      </c>
      <c r="M992" s="26" t="n">
        <f aca="false">IF(INDEX(Pengaturan!$B$8:$B$27,M$4)="",0,COUNTIF(Data!$B992:$U992,INDEX(Pengaturan!$B$8:$B$27,M$4)))</f>
        <v>0</v>
      </c>
      <c r="N992" s="26" t="n">
        <f aca="false">IF(INDEX(Pengaturan!$B$8:$B$27,N$4)="",0,COUNTIF(Data!$B992:$U992,INDEX(Pengaturan!$B$8:$B$27,N$4)))</f>
        <v>0</v>
      </c>
      <c r="O992" s="26" t="n">
        <f aca="false">IF(INDEX(Pengaturan!$B$8:$B$27,O$4)="",0,COUNTIF(Data!$B992:$U992,INDEX(Pengaturan!$B$8:$B$27,O$4)))</f>
        <v>0</v>
      </c>
      <c r="P992" s="26" t="n">
        <f aca="false">IF(INDEX(Pengaturan!$B$8:$B$27,P$4)="",0,COUNTIF(Data!$B992:$U992,INDEX(Pengaturan!$B$8:$B$27,P$4)))</f>
        <v>0</v>
      </c>
      <c r="Q992" s="26" t="n">
        <f aca="false">IF(INDEX(Pengaturan!$B$8:$B$27,Q$4)="",0,COUNTIF(Data!$B992:$U992,INDEX(Pengaturan!$B$8:$B$27,Q$4)))</f>
        <v>0</v>
      </c>
      <c r="R992" s="26" t="n">
        <f aca="false">IF(INDEX(Pengaturan!$B$8:$B$27,R$4)="",0,COUNTIF(Data!$B992:$U992,INDEX(Pengaturan!$B$8:$B$27,R$4)))</f>
        <v>0</v>
      </c>
      <c r="S992" s="26" t="n">
        <f aca="false">IF(INDEX(Pengaturan!$B$8:$B$27,S$4)="",0,COUNTIF(Data!$B992:$U992,INDEX(Pengaturan!$B$8:$B$27,S$4)))</f>
        <v>0</v>
      </c>
      <c r="T992" s="26" t="n">
        <f aca="false">IF(INDEX(Pengaturan!$B$8:$B$27,T$4)="",0,COUNTIF(Data!$B992:$U992,INDEX(Pengaturan!$B$8:$B$27,T$4)))</f>
        <v>0</v>
      </c>
      <c r="U992" s="26" t="n">
        <f aca="false">IF(INDEX(Pengaturan!$B$8:$B$27,U$4)="",0,COUNTIF(Data!$B992:$U992,INDEX(Pengaturan!$B$8:$B$27,U$4)))</f>
        <v>0</v>
      </c>
      <c r="V992" s="26" t="n">
        <f aca="false">COUNTA(Data!$B992:$U992)</f>
        <v>0</v>
      </c>
      <c r="W992" s="27" t="str">
        <f aca="false">IF(V992=0,"",IF(V992&lt;&gt;Hasil!$C$4,"Data kosong/tidak lengkap",IF(SUM(B992:U992)&lt;&gt;V992,"Kategori tidak dikenal","OK")))</f>
        <v/>
      </c>
      <c r="X992" s="26" t="n">
        <f aca="false">IF(OR(W992="",W992="OK"),0,1)</f>
        <v>0</v>
      </c>
    </row>
    <row r="993" customFormat="false" ht="15" hidden="false" customHeight="false" outlineLevel="0" collapsed="false">
      <c r="A993" s="26" t="n">
        <f aca="false">Data!A993</f>
        <v>988</v>
      </c>
      <c r="B993" s="26" t="n">
        <f aca="false">IF(INDEX(Pengaturan!$B$8:$B$27,B$4)="",0,COUNTIF(Data!$B993:$U993,INDEX(Pengaturan!$B$8:$B$27,B$4)))</f>
        <v>0</v>
      </c>
      <c r="C993" s="26" t="n">
        <f aca="false">IF(INDEX(Pengaturan!$B$8:$B$27,C$4)="",0,COUNTIF(Data!$B993:$U993,INDEX(Pengaturan!$B$8:$B$27,C$4)))</f>
        <v>0</v>
      </c>
      <c r="D993" s="26" t="n">
        <f aca="false">IF(INDEX(Pengaturan!$B$8:$B$27,D$4)="",0,COUNTIF(Data!$B993:$U993,INDEX(Pengaturan!$B$8:$B$27,D$4)))</f>
        <v>0</v>
      </c>
      <c r="E993" s="26" t="n">
        <f aca="false">IF(INDEX(Pengaturan!$B$8:$B$27,E$4)="",0,COUNTIF(Data!$B993:$U993,INDEX(Pengaturan!$B$8:$B$27,E$4)))</f>
        <v>0</v>
      </c>
      <c r="F993" s="26" t="n">
        <f aca="false">IF(INDEX(Pengaturan!$B$8:$B$27,F$4)="",0,COUNTIF(Data!$B993:$U993,INDEX(Pengaturan!$B$8:$B$27,F$4)))</f>
        <v>0</v>
      </c>
      <c r="G993" s="26" t="n">
        <f aca="false">IF(INDEX(Pengaturan!$B$8:$B$27,G$4)="",0,COUNTIF(Data!$B993:$U993,INDEX(Pengaturan!$B$8:$B$27,G$4)))</f>
        <v>0</v>
      </c>
      <c r="H993" s="26" t="n">
        <f aca="false">IF(INDEX(Pengaturan!$B$8:$B$27,H$4)="",0,COUNTIF(Data!$B993:$U993,INDEX(Pengaturan!$B$8:$B$27,H$4)))</f>
        <v>0</v>
      </c>
      <c r="I993" s="26" t="n">
        <f aca="false">IF(INDEX(Pengaturan!$B$8:$B$27,I$4)="",0,COUNTIF(Data!$B993:$U993,INDEX(Pengaturan!$B$8:$B$27,I$4)))</f>
        <v>0</v>
      </c>
      <c r="J993" s="26" t="n">
        <f aca="false">IF(INDEX(Pengaturan!$B$8:$B$27,J$4)="",0,COUNTIF(Data!$B993:$U993,INDEX(Pengaturan!$B$8:$B$27,J$4)))</f>
        <v>0</v>
      </c>
      <c r="K993" s="26" t="n">
        <f aca="false">IF(INDEX(Pengaturan!$B$8:$B$27,K$4)="",0,COUNTIF(Data!$B993:$U993,INDEX(Pengaturan!$B$8:$B$27,K$4)))</f>
        <v>0</v>
      </c>
      <c r="L993" s="26" t="n">
        <f aca="false">IF(INDEX(Pengaturan!$B$8:$B$27,L$4)="",0,COUNTIF(Data!$B993:$U993,INDEX(Pengaturan!$B$8:$B$27,L$4)))</f>
        <v>0</v>
      </c>
      <c r="M993" s="26" t="n">
        <f aca="false">IF(INDEX(Pengaturan!$B$8:$B$27,M$4)="",0,COUNTIF(Data!$B993:$U993,INDEX(Pengaturan!$B$8:$B$27,M$4)))</f>
        <v>0</v>
      </c>
      <c r="N993" s="26" t="n">
        <f aca="false">IF(INDEX(Pengaturan!$B$8:$B$27,N$4)="",0,COUNTIF(Data!$B993:$U993,INDEX(Pengaturan!$B$8:$B$27,N$4)))</f>
        <v>0</v>
      </c>
      <c r="O993" s="26" t="n">
        <f aca="false">IF(INDEX(Pengaturan!$B$8:$B$27,O$4)="",0,COUNTIF(Data!$B993:$U993,INDEX(Pengaturan!$B$8:$B$27,O$4)))</f>
        <v>0</v>
      </c>
      <c r="P993" s="26" t="n">
        <f aca="false">IF(INDEX(Pengaturan!$B$8:$B$27,P$4)="",0,COUNTIF(Data!$B993:$U993,INDEX(Pengaturan!$B$8:$B$27,P$4)))</f>
        <v>0</v>
      </c>
      <c r="Q993" s="26" t="n">
        <f aca="false">IF(INDEX(Pengaturan!$B$8:$B$27,Q$4)="",0,COUNTIF(Data!$B993:$U993,INDEX(Pengaturan!$B$8:$B$27,Q$4)))</f>
        <v>0</v>
      </c>
      <c r="R993" s="26" t="n">
        <f aca="false">IF(INDEX(Pengaturan!$B$8:$B$27,R$4)="",0,COUNTIF(Data!$B993:$U993,INDEX(Pengaturan!$B$8:$B$27,R$4)))</f>
        <v>0</v>
      </c>
      <c r="S993" s="26" t="n">
        <f aca="false">IF(INDEX(Pengaturan!$B$8:$B$27,S$4)="",0,COUNTIF(Data!$B993:$U993,INDEX(Pengaturan!$B$8:$B$27,S$4)))</f>
        <v>0</v>
      </c>
      <c r="T993" s="26" t="n">
        <f aca="false">IF(INDEX(Pengaturan!$B$8:$B$27,T$4)="",0,COUNTIF(Data!$B993:$U993,INDEX(Pengaturan!$B$8:$B$27,T$4)))</f>
        <v>0</v>
      </c>
      <c r="U993" s="26" t="n">
        <f aca="false">IF(INDEX(Pengaturan!$B$8:$B$27,U$4)="",0,COUNTIF(Data!$B993:$U993,INDEX(Pengaturan!$B$8:$B$27,U$4)))</f>
        <v>0</v>
      </c>
      <c r="V993" s="26" t="n">
        <f aca="false">COUNTA(Data!$B993:$U993)</f>
        <v>0</v>
      </c>
      <c r="W993" s="27" t="str">
        <f aca="false">IF(V993=0,"",IF(V993&lt;&gt;Hasil!$C$4,"Data kosong/tidak lengkap",IF(SUM(B993:U993)&lt;&gt;V993,"Kategori tidak dikenal","OK")))</f>
        <v/>
      </c>
      <c r="X993" s="26" t="n">
        <f aca="false">IF(OR(W993="",W993="OK"),0,1)</f>
        <v>0</v>
      </c>
    </row>
    <row r="994" customFormat="false" ht="15" hidden="false" customHeight="false" outlineLevel="0" collapsed="false">
      <c r="A994" s="26" t="n">
        <f aca="false">Data!A994</f>
        <v>989</v>
      </c>
      <c r="B994" s="26" t="n">
        <f aca="false">IF(INDEX(Pengaturan!$B$8:$B$27,B$4)="",0,COUNTIF(Data!$B994:$U994,INDEX(Pengaturan!$B$8:$B$27,B$4)))</f>
        <v>0</v>
      </c>
      <c r="C994" s="26" t="n">
        <f aca="false">IF(INDEX(Pengaturan!$B$8:$B$27,C$4)="",0,COUNTIF(Data!$B994:$U994,INDEX(Pengaturan!$B$8:$B$27,C$4)))</f>
        <v>0</v>
      </c>
      <c r="D994" s="26" t="n">
        <f aca="false">IF(INDEX(Pengaturan!$B$8:$B$27,D$4)="",0,COUNTIF(Data!$B994:$U994,INDEX(Pengaturan!$B$8:$B$27,D$4)))</f>
        <v>0</v>
      </c>
      <c r="E994" s="26" t="n">
        <f aca="false">IF(INDEX(Pengaturan!$B$8:$B$27,E$4)="",0,COUNTIF(Data!$B994:$U994,INDEX(Pengaturan!$B$8:$B$27,E$4)))</f>
        <v>0</v>
      </c>
      <c r="F994" s="26" t="n">
        <f aca="false">IF(INDEX(Pengaturan!$B$8:$B$27,F$4)="",0,COUNTIF(Data!$B994:$U994,INDEX(Pengaturan!$B$8:$B$27,F$4)))</f>
        <v>0</v>
      </c>
      <c r="G994" s="26" t="n">
        <f aca="false">IF(INDEX(Pengaturan!$B$8:$B$27,G$4)="",0,COUNTIF(Data!$B994:$U994,INDEX(Pengaturan!$B$8:$B$27,G$4)))</f>
        <v>0</v>
      </c>
      <c r="H994" s="26" t="n">
        <f aca="false">IF(INDEX(Pengaturan!$B$8:$B$27,H$4)="",0,COUNTIF(Data!$B994:$U994,INDEX(Pengaturan!$B$8:$B$27,H$4)))</f>
        <v>0</v>
      </c>
      <c r="I994" s="26" t="n">
        <f aca="false">IF(INDEX(Pengaturan!$B$8:$B$27,I$4)="",0,COUNTIF(Data!$B994:$U994,INDEX(Pengaturan!$B$8:$B$27,I$4)))</f>
        <v>0</v>
      </c>
      <c r="J994" s="26" t="n">
        <f aca="false">IF(INDEX(Pengaturan!$B$8:$B$27,J$4)="",0,COUNTIF(Data!$B994:$U994,INDEX(Pengaturan!$B$8:$B$27,J$4)))</f>
        <v>0</v>
      </c>
      <c r="K994" s="26" t="n">
        <f aca="false">IF(INDEX(Pengaturan!$B$8:$B$27,K$4)="",0,COUNTIF(Data!$B994:$U994,INDEX(Pengaturan!$B$8:$B$27,K$4)))</f>
        <v>0</v>
      </c>
      <c r="L994" s="26" t="n">
        <f aca="false">IF(INDEX(Pengaturan!$B$8:$B$27,L$4)="",0,COUNTIF(Data!$B994:$U994,INDEX(Pengaturan!$B$8:$B$27,L$4)))</f>
        <v>0</v>
      </c>
      <c r="M994" s="26" t="n">
        <f aca="false">IF(INDEX(Pengaturan!$B$8:$B$27,M$4)="",0,COUNTIF(Data!$B994:$U994,INDEX(Pengaturan!$B$8:$B$27,M$4)))</f>
        <v>0</v>
      </c>
      <c r="N994" s="26" t="n">
        <f aca="false">IF(INDEX(Pengaturan!$B$8:$B$27,N$4)="",0,COUNTIF(Data!$B994:$U994,INDEX(Pengaturan!$B$8:$B$27,N$4)))</f>
        <v>0</v>
      </c>
      <c r="O994" s="26" t="n">
        <f aca="false">IF(INDEX(Pengaturan!$B$8:$B$27,O$4)="",0,COUNTIF(Data!$B994:$U994,INDEX(Pengaturan!$B$8:$B$27,O$4)))</f>
        <v>0</v>
      </c>
      <c r="P994" s="26" t="n">
        <f aca="false">IF(INDEX(Pengaturan!$B$8:$B$27,P$4)="",0,COUNTIF(Data!$B994:$U994,INDEX(Pengaturan!$B$8:$B$27,P$4)))</f>
        <v>0</v>
      </c>
      <c r="Q994" s="26" t="n">
        <f aca="false">IF(INDEX(Pengaturan!$B$8:$B$27,Q$4)="",0,COUNTIF(Data!$B994:$U994,INDEX(Pengaturan!$B$8:$B$27,Q$4)))</f>
        <v>0</v>
      </c>
      <c r="R994" s="26" t="n">
        <f aca="false">IF(INDEX(Pengaturan!$B$8:$B$27,R$4)="",0,COUNTIF(Data!$B994:$U994,INDEX(Pengaturan!$B$8:$B$27,R$4)))</f>
        <v>0</v>
      </c>
      <c r="S994" s="26" t="n">
        <f aca="false">IF(INDEX(Pengaturan!$B$8:$B$27,S$4)="",0,COUNTIF(Data!$B994:$U994,INDEX(Pengaturan!$B$8:$B$27,S$4)))</f>
        <v>0</v>
      </c>
      <c r="T994" s="26" t="n">
        <f aca="false">IF(INDEX(Pengaturan!$B$8:$B$27,T$4)="",0,COUNTIF(Data!$B994:$U994,INDEX(Pengaturan!$B$8:$B$27,T$4)))</f>
        <v>0</v>
      </c>
      <c r="U994" s="26" t="n">
        <f aca="false">IF(INDEX(Pengaturan!$B$8:$B$27,U$4)="",0,COUNTIF(Data!$B994:$U994,INDEX(Pengaturan!$B$8:$B$27,U$4)))</f>
        <v>0</v>
      </c>
      <c r="V994" s="26" t="n">
        <f aca="false">COUNTA(Data!$B994:$U994)</f>
        <v>0</v>
      </c>
      <c r="W994" s="27" t="str">
        <f aca="false">IF(V994=0,"",IF(V994&lt;&gt;Hasil!$C$4,"Data kosong/tidak lengkap",IF(SUM(B994:U994)&lt;&gt;V994,"Kategori tidak dikenal","OK")))</f>
        <v/>
      </c>
      <c r="X994" s="26" t="n">
        <f aca="false">IF(OR(W994="",W994="OK"),0,1)</f>
        <v>0</v>
      </c>
    </row>
    <row r="995" customFormat="false" ht="15" hidden="false" customHeight="false" outlineLevel="0" collapsed="false">
      <c r="A995" s="26" t="n">
        <f aca="false">Data!A995</f>
        <v>990</v>
      </c>
      <c r="B995" s="26" t="n">
        <f aca="false">IF(INDEX(Pengaturan!$B$8:$B$27,B$4)="",0,COUNTIF(Data!$B995:$U995,INDEX(Pengaturan!$B$8:$B$27,B$4)))</f>
        <v>0</v>
      </c>
      <c r="C995" s="26" t="n">
        <f aca="false">IF(INDEX(Pengaturan!$B$8:$B$27,C$4)="",0,COUNTIF(Data!$B995:$U995,INDEX(Pengaturan!$B$8:$B$27,C$4)))</f>
        <v>0</v>
      </c>
      <c r="D995" s="26" t="n">
        <f aca="false">IF(INDEX(Pengaturan!$B$8:$B$27,D$4)="",0,COUNTIF(Data!$B995:$U995,INDEX(Pengaturan!$B$8:$B$27,D$4)))</f>
        <v>0</v>
      </c>
      <c r="E995" s="26" t="n">
        <f aca="false">IF(INDEX(Pengaturan!$B$8:$B$27,E$4)="",0,COUNTIF(Data!$B995:$U995,INDEX(Pengaturan!$B$8:$B$27,E$4)))</f>
        <v>0</v>
      </c>
      <c r="F995" s="26" t="n">
        <f aca="false">IF(INDEX(Pengaturan!$B$8:$B$27,F$4)="",0,COUNTIF(Data!$B995:$U995,INDEX(Pengaturan!$B$8:$B$27,F$4)))</f>
        <v>0</v>
      </c>
      <c r="G995" s="26" t="n">
        <f aca="false">IF(INDEX(Pengaturan!$B$8:$B$27,G$4)="",0,COUNTIF(Data!$B995:$U995,INDEX(Pengaturan!$B$8:$B$27,G$4)))</f>
        <v>0</v>
      </c>
      <c r="H995" s="26" t="n">
        <f aca="false">IF(INDEX(Pengaturan!$B$8:$B$27,H$4)="",0,COUNTIF(Data!$B995:$U995,INDEX(Pengaturan!$B$8:$B$27,H$4)))</f>
        <v>0</v>
      </c>
      <c r="I995" s="26" t="n">
        <f aca="false">IF(INDEX(Pengaturan!$B$8:$B$27,I$4)="",0,COUNTIF(Data!$B995:$U995,INDEX(Pengaturan!$B$8:$B$27,I$4)))</f>
        <v>0</v>
      </c>
      <c r="J995" s="26" t="n">
        <f aca="false">IF(INDEX(Pengaturan!$B$8:$B$27,J$4)="",0,COUNTIF(Data!$B995:$U995,INDEX(Pengaturan!$B$8:$B$27,J$4)))</f>
        <v>0</v>
      </c>
      <c r="K995" s="26" t="n">
        <f aca="false">IF(INDEX(Pengaturan!$B$8:$B$27,K$4)="",0,COUNTIF(Data!$B995:$U995,INDEX(Pengaturan!$B$8:$B$27,K$4)))</f>
        <v>0</v>
      </c>
      <c r="L995" s="26" t="n">
        <f aca="false">IF(INDEX(Pengaturan!$B$8:$B$27,L$4)="",0,COUNTIF(Data!$B995:$U995,INDEX(Pengaturan!$B$8:$B$27,L$4)))</f>
        <v>0</v>
      </c>
      <c r="M995" s="26" t="n">
        <f aca="false">IF(INDEX(Pengaturan!$B$8:$B$27,M$4)="",0,COUNTIF(Data!$B995:$U995,INDEX(Pengaturan!$B$8:$B$27,M$4)))</f>
        <v>0</v>
      </c>
      <c r="N995" s="26" t="n">
        <f aca="false">IF(INDEX(Pengaturan!$B$8:$B$27,N$4)="",0,COUNTIF(Data!$B995:$U995,INDEX(Pengaturan!$B$8:$B$27,N$4)))</f>
        <v>0</v>
      </c>
      <c r="O995" s="26" t="n">
        <f aca="false">IF(INDEX(Pengaturan!$B$8:$B$27,O$4)="",0,COUNTIF(Data!$B995:$U995,INDEX(Pengaturan!$B$8:$B$27,O$4)))</f>
        <v>0</v>
      </c>
      <c r="P995" s="26" t="n">
        <f aca="false">IF(INDEX(Pengaturan!$B$8:$B$27,P$4)="",0,COUNTIF(Data!$B995:$U995,INDEX(Pengaturan!$B$8:$B$27,P$4)))</f>
        <v>0</v>
      </c>
      <c r="Q995" s="26" t="n">
        <f aca="false">IF(INDEX(Pengaturan!$B$8:$B$27,Q$4)="",0,COUNTIF(Data!$B995:$U995,INDEX(Pengaturan!$B$8:$B$27,Q$4)))</f>
        <v>0</v>
      </c>
      <c r="R995" s="26" t="n">
        <f aca="false">IF(INDEX(Pengaturan!$B$8:$B$27,R$4)="",0,COUNTIF(Data!$B995:$U995,INDEX(Pengaturan!$B$8:$B$27,R$4)))</f>
        <v>0</v>
      </c>
      <c r="S995" s="26" t="n">
        <f aca="false">IF(INDEX(Pengaturan!$B$8:$B$27,S$4)="",0,COUNTIF(Data!$B995:$U995,INDEX(Pengaturan!$B$8:$B$27,S$4)))</f>
        <v>0</v>
      </c>
      <c r="T995" s="26" t="n">
        <f aca="false">IF(INDEX(Pengaturan!$B$8:$B$27,T$4)="",0,COUNTIF(Data!$B995:$U995,INDEX(Pengaturan!$B$8:$B$27,T$4)))</f>
        <v>0</v>
      </c>
      <c r="U995" s="26" t="n">
        <f aca="false">IF(INDEX(Pengaturan!$B$8:$B$27,U$4)="",0,COUNTIF(Data!$B995:$U995,INDEX(Pengaturan!$B$8:$B$27,U$4)))</f>
        <v>0</v>
      </c>
      <c r="V995" s="26" t="n">
        <f aca="false">COUNTA(Data!$B995:$U995)</f>
        <v>0</v>
      </c>
      <c r="W995" s="27" t="str">
        <f aca="false">IF(V995=0,"",IF(V995&lt;&gt;Hasil!$C$4,"Data kosong/tidak lengkap",IF(SUM(B995:U995)&lt;&gt;V995,"Kategori tidak dikenal","OK")))</f>
        <v/>
      </c>
      <c r="X995" s="26" t="n">
        <f aca="false">IF(OR(W995="",W995="OK"),0,1)</f>
        <v>0</v>
      </c>
    </row>
    <row r="996" customFormat="false" ht="15" hidden="false" customHeight="false" outlineLevel="0" collapsed="false">
      <c r="A996" s="26" t="n">
        <f aca="false">Data!A996</f>
        <v>991</v>
      </c>
      <c r="B996" s="26" t="n">
        <f aca="false">IF(INDEX(Pengaturan!$B$8:$B$27,B$4)="",0,COUNTIF(Data!$B996:$U996,INDEX(Pengaturan!$B$8:$B$27,B$4)))</f>
        <v>0</v>
      </c>
      <c r="C996" s="26" t="n">
        <f aca="false">IF(INDEX(Pengaturan!$B$8:$B$27,C$4)="",0,COUNTIF(Data!$B996:$U996,INDEX(Pengaturan!$B$8:$B$27,C$4)))</f>
        <v>0</v>
      </c>
      <c r="D996" s="26" t="n">
        <f aca="false">IF(INDEX(Pengaturan!$B$8:$B$27,D$4)="",0,COUNTIF(Data!$B996:$U996,INDEX(Pengaturan!$B$8:$B$27,D$4)))</f>
        <v>0</v>
      </c>
      <c r="E996" s="26" t="n">
        <f aca="false">IF(INDEX(Pengaturan!$B$8:$B$27,E$4)="",0,COUNTIF(Data!$B996:$U996,INDEX(Pengaturan!$B$8:$B$27,E$4)))</f>
        <v>0</v>
      </c>
      <c r="F996" s="26" t="n">
        <f aca="false">IF(INDEX(Pengaturan!$B$8:$B$27,F$4)="",0,COUNTIF(Data!$B996:$U996,INDEX(Pengaturan!$B$8:$B$27,F$4)))</f>
        <v>0</v>
      </c>
      <c r="G996" s="26" t="n">
        <f aca="false">IF(INDEX(Pengaturan!$B$8:$B$27,G$4)="",0,COUNTIF(Data!$B996:$U996,INDEX(Pengaturan!$B$8:$B$27,G$4)))</f>
        <v>0</v>
      </c>
      <c r="H996" s="26" t="n">
        <f aca="false">IF(INDEX(Pengaturan!$B$8:$B$27,H$4)="",0,COUNTIF(Data!$B996:$U996,INDEX(Pengaturan!$B$8:$B$27,H$4)))</f>
        <v>0</v>
      </c>
      <c r="I996" s="26" t="n">
        <f aca="false">IF(INDEX(Pengaturan!$B$8:$B$27,I$4)="",0,COUNTIF(Data!$B996:$U996,INDEX(Pengaturan!$B$8:$B$27,I$4)))</f>
        <v>0</v>
      </c>
      <c r="J996" s="26" t="n">
        <f aca="false">IF(INDEX(Pengaturan!$B$8:$B$27,J$4)="",0,COUNTIF(Data!$B996:$U996,INDEX(Pengaturan!$B$8:$B$27,J$4)))</f>
        <v>0</v>
      </c>
      <c r="K996" s="26" t="n">
        <f aca="false">IF(INDEX(Pengaturan!$B$8:$B$27,K$4)="",0,COUNTIF(Data!$B996:$U996,INDEX(Pengaturan!$B$8:$B$27,K$4)))</f>
        <v>0</v>
      </c>
      <c r="L996" s="26" t="n">
        <f aca="false">IF(INDEX(Pengaturan!$B$8:$B$27,L$4)="",0,COUNTIF(Data!$B996:$U996,INDEX(Pengaturan!$B$8:$B$27,L$4)))</f>
        <v>0</v>
      </c>
      <c r="M996" s="26" t="n">
        <f aca="false">IF(INDEX(Pengaturan!$B$8:$B$27,M$4)="",0,COUNTIF(Data!$B996:$U996,INDEX(Pengaturan!$B$8:$B$27,M$4)))</f>
        <v>0</v>
      </c>
      <c r="N996" s="26" t="n">
        <f aca="false">IF(INDEX(Pengaturan!$B$8:$B$27,N$4)="",0,COUNTIF(Data!$B996:$U996,INDEX(Pengaturan!$B$8:$B$27,N$4)))</f>
        <v>0</v>
      </c>
      <c r="O996" s="26" t="n">
        <f aca="false">IF(INDEX(Pengaturan!$B$8:$B$27,O$4)="",0,COUNTIF(Data!$B996:$U996,INDEX(Pengaturan!$B$8:$B$27,O$4)))</f>
        <v>0</v>
      </c>
      <c r="P996" s="26" t="n">
        <f aca="false">IF(INDEX(Pengaturan!$B$8:$B$27,P$4)="",0,COUNTIF(Data!$B996:$U996,INDEX(Pengaturan!$B$8:$B$27,P$4)))</f>
        <v>0</v>
      </c>
      <c r="Q996" s="26" t="n">
        <f aca="false">IF(INDEX(Pengaturan!$B$8:$B$27,Q$4)="",0,COUNTIF(Data!$B996:$U996,INDEX(Pengaturan!$B$8:$B$27,Q$4)))</f>
        <v>0</v>
      </c>
      <c r="R996" s="26" t="n">
        <f aca="false">IF(INDEX(Pengaturan!$B$8:$B$27,R$4)="",0,COUNTIF(Data!$B996:$U996,INDEX(Pengaturan!$B$8:$B$27,R$4)))</f>
        <v>0</v>
      </c>
      <c r="S996" s="26" t="n">
        <f aca="false">IF(INDEX(Pengaturan!$B$8:$B$27,S$4)="",0,COUNTIF(Data!$B996:$U996,INDEX(Pengaturan!$B$8:$B$27,S$4)))</f>
        <v>0</v>
      </c>
      <c r="T996" s="26" t="n">
        <f aca="false">IF(INDEX(Pengaturan!$B$8:$B$27,T$4)="",0,COUNTIF(Data!$B996:$U996,INDEX(Pengaturan!$B$8:$B$27,T$4)))</f>
        <v>0</v>
      </c>
      <c r="U996" s="26" t="n">
        <f aca="false">IF(INDEX(Pengaturan!$B$8:$B$27,U$4)="",0,COUNTIF(Data!$B996:$U996,INDEX(Pengaturan!$B$8:$B$27,U$4)))</f>
        <v>0</v>
      </c>
      <c r="V996" s="26" t="n">
        <f aca="false">COUNTA(Data!$B996:$U996)</f>
        <v>0</v>
      </c>
      <c r="W996" s="27" t="str">
        <f aca="false">IF(V996=0,"",IF(V996&lt;&gt;Hasil!$C$4,"Data kosong/tidak lengkap",IF(SUM(B996:U996)&lt;&gt;V996,"Kategori tidak dikenal","OK")))</f>
        <v/>
      </c>
      <c r="X996" s="26" t="n">
        <f aca="false">IF(OR(W996="",W996="OK"),0,1)</f>
        <v>0</v>
      </c>
    </row>
    <row r="997" customFormat="false" ht="15" hidden="false" customHeight="false" outlineLevel="0" collapsed="false">
      <c r="A997" s="26" t="n">
        <f aca="false">Data!A997</f>
        <v>992</v>
      </c>
      <c r="B997" s="26" t="n">
        <f aca="false">IF(INDEX(Pengaturan!$B$8:$B$27,B$4)="",0,COUNTIF(Data!$B997:$U997,INDEX(Pengaturan!$B$8:$B$27,B$4)))</f>
        <v>0</v>
      </c>
      <c r="C997" s="26" t="n">
        <f aca="false">IF(INDEX(Pengaturan!$B$8:$B$27,C$4)="",0,COUNTIF(Data!$B997:$U997,INDEX(Pengaturan!$B$8:$B$27,C$4)))</f>
        <v>0</v>
      </c>
      <c r="D997" s="26" t="n">
        <f aca="false">IF(INDEX(Pengaturan!$B$8:$B$27,D$4)="",0,COUNTIF(Data!$B997:$U997,INDEX(Pengaturan!$B$8:$B$27,D$4)))</f>
        <v>0</v>
      </c>
      <c r="E997" s="26" t="n">
        <f aca="false">IF(INDEX(Pengaturan!$B$8:$B$27,E$4)="",0,COUNTIF(Data!$B997:$U997,INDEX(Pengaturan!$B$8:$B$27,E$4)))</f>
        <v>0</v>
      </c>
      <c r="F997" s="26" t="n">
        <f aca="false">IF(INDEX(Pengaturan!$B$8:$B$27,F$4)="",0,COUNTIF(Data!$B997:$U997,INDEX(Pengaturan!$B$8:$B$27,F$4)))</f>
        <v>0</v>
      </c>
      <c r="G997" s="26" t="n">
        <f aca="false">IF(INDEX(Pengaturan!$B$8:$B$27,G$4)="",0,COUNTIF(Data!$B997:$U997,INDEX(Pengaturan!$B$8:$B$27,G$4)))</f>
        <v>0</v>
      </c>
      <c r="H997" s="26" t="n">
        <f aca="false">IF(INDEX(Pengaturan!$B$8:$B$27,H$4)="",0,COUNTIF(Data!$B997:$U997,INDEX(Pengaturan!$B$8:$B$27,H$4)))</f>
        <v>0</v>
      </c>
      <c r="I997" s="26" t="n">
        <f aca="false">IF(INDEX(Pengaturan!$B$8:$B$27,I$4)="",0,COUNTIF(Data!$B997:$U997,INDEX(Pengaturan!$B$8:$B$27,I$4)))</f>
        <v>0</v>
      </c>
      <c r="J997" s="26" t="n">
        <f aca="false">IF(INDEX(Pengaturan!$B$8:$B$27,J$4)="",0,COUNTIF(Data!$B997:$U997,INDEX(Pengaturan!$B$8:$B$27,J$4)))</f>
        <v>0</v>
      </c>
      <c r="K997" s="26" t="n">
        <f aca="false">IF(INDEX(Pengaturan!$B$8:$B$27,K$4)="",0,COUNTIF(Data!$B997:$U997,INDEX(Pengaturan!$B$8:$B$27,K$4)))</f>
        <v>0</v>
      </c>
      <c r="L997" s="26" t="n">
        <f aca="false">IF(INDEX(Pengaturan!$B$8:$B$27,L$4)="",0,COUNTIF(Data!$B997:$U997,INDEX(Pengaturan!$B$8:$B$27,L$4)))</f>
        <v>0</v>
      </c>
      <c r="M997" s="26" t="n">
        <f aca="false">IF(INDEX(Pengaturan!$B$8:$B$27,M$4)="",0,COUNTIF(Data!$B997:$U997,INDEX(Pengaturan!$B$8:$B$27,M$4)))</f>
        <v>0</v>
      </c>
      <c r="N997" s="26" t="n">
        <f aca="false">IF(INDEX(Pengaturan!$B$8:$B$27,N$4)="",0,COUNTIF(Data!$B997:$U997,INDEX(Pengaturan!$B$8:$B$27,N$4)))</f>
        <v>0</v>
      </c>
      <c r="O997" s="26" t="n">
        <f aca="false">IF(INDEX(Pengaturan!$B$8:$B$27,O$4)="",0,COUNTIF(Data!$B997:$U997,INDEX(Pengaturan!$B$8:$B$27,O$4)))</f>
        <v>0</v>
      </c>
      <c r="P997" s="26" t="n">
        <f aca="false">IF(INDEX(Pengaturan!$B$8:$B$27,P$4)="",0,COUNTIF(Data!$B997:$U997,INDEX(Pengaturan!$B$8:$B$27,P$4)))</f>
        <v>0</v>
      </c>
      <c r="Q997" s="26" t="n">
        <f aca="false">IF(INDEX(Pengaturan!$B$8:$B$27,Q$4)="",0,COUNTIF(Data!$B997:$U997,INDEX(Pengaturan!$B$8:$B$27,Q$4)))</f>
        <v>0</v>
      </c>
      <c r="R997" s="26" t="n">
        <f aca="false">IF(INDEX(Pengaturan!$B$8:$B$27,R$4)="",0,COUNTIF(Data!$B997:$U997,INDEX(Pengaturan!$B$8:$B$27,R$4)))</f>
        <v>0</v>
      </c>
      <c r="S997" s="26" t="n">
        <f aca="false">IF(INDEX(Pengaturan!$B$8:$B$27,S$4)="",0,COUNTIF(Data!$B997:$U997,INDEX(Pengaturan!$B$8:$B$27,S$4)))</f>
        <v>0</v>
      </c>
      <c r="T997" s="26" t="n">
        <f aca="false">IF(INDEX(Pengaturan!$B$8:$B$27,T$4)="",0,COUNTIF(Data!$B997:$U997,INDEX(Pengaturan!$B$8:$B$27,T$4)))</f>
        <v>0</v>
      </c>
      <c r="U997" s="26" t="n">
        <f aca="false">IF(INDEX(Pengaturan!$B$8:$B$27,U$4)="",0,COUNTIF(Data!$B997:$U997,INDEX(Pengaturan!$B$8:$B$27,U$4)))</f>
        <v>0</v>
      </c>
      <c r="V997" s="26" t="n">
        <f aca="false">COUNTA(Data!$B997:$U997)</f>
        <v>0</v>
      </c>
      <c r="W997" s="27" t="str">
        <f aca="false">IF(V997=0,"",IF(V997&lt;&gt;Hasil!$C$4,"Data kosong/tidak lengkap",IF(SUM(B997:U997)&lt;&gt;V997,"Kategori tidak dikenal","OK")))</f>
        <v/>
      </c>
      <c r="X997" s="26" t="n">
        <f aca="false">IF(OR(W997="",W997="OK"),0,1)</f>
        <v>0</v>
      </c>
    </row>
    <row r="998" customFormat="false" ht="15" hidden="false" customHeight="false" outlineLevel="0" collapsed="false">
      <c r="A998" s="26" t="n">
        <f aca="false">Data!A998</f>
        <v>993</v>
      </c>
      <c r="B998" s="26" t="n">
        <f aca="false">IF(INDEX(Pengaturan!$B$8:$B$27,B$4)="",0,COUNTIF(Data!$B998:$U998,INDEX(Pengaturan!$B$8:$B$27,B$4)))</f>
        <v>0</v>
      </c>
      <c r="C998" s="26" t="n">
        <f aca="false">IF(INDEX(Pengaturan!$B$8:$B$27,C$4)="",0,COUNTIF(Data!$B998:$U998,INDEX(Pengaturan!$B$8:$B$27,C$4)))</f>
        <v>0</v>
      </c>
      <c r="D998" s="26" t="n">
        <f aca="false">IF(INDEX(Pengaturan!$B$8:$B$27,D$4)="",0,COUNTIF(Data!$B998:$U998,INDEX(Pengaturan!$B$8:$B$27,D$4)))</f>
        <v>0</v>
      </c>
      <c r="E998" s="26" t="n">
        <f aca="false">IF(INDEX(Pengaturan!$B$8:$B$27,E$4)="",0,COUNTIF(Data!$B998:$U998,INDEX(Pengaturan!$B$8:$B$27,E$4)))</f>
        <v>0</v>
      </c>
      <c r="F998" s="26" t="n">
        <f aca="false">IF(INDEX(Pengaturan!$B$8:$B$27,F$4)="",0,COUNTIF(Data!$B998:$U998,INDEX(Pengaturan!$B$8:$B$27,F$4)))</f>
        <v>0</v>
      </c>
      <c r="G998" s="26" t="n">
        <f aca="false">IF(INDEX(Pengaturan!$B$8:$B$27,G$4)="",0,COUNTIF(Data!$B998:$U998,INDEX(Pengaturan!$B$8:$B$27,G$4)))</f>
        <v>0</v>
      </c>
      <c r="H998" s="26" t="n">
        <f aca="false">IF(INDEX(Pengaturan!$B$8:$B$27,H$4)="",0,COUNTIF(Data!$B998:$U998,INDEX(Pengaturan!$B$8:$B$27,H$4)))</f>
        <v>0</v>
      </c>
      <c r="I998" s="26" t="n">
        <f aca="false">IF(INDEX(Pengaturan!$B$8:$B$27,I$4)="",0,COUNTIF(Data!$B998:$U998,INDEX(Pengaturan!$B$8:$B$27,I$4)))</f>
        <v>0</v>
      </c>
      <c r="J998" s="26" t="n">
        <f aca="false">IF(INDEX(Pengaturan!$B$8:$B$27,J$4)="",0,COUNTIF(Data!$B998:$U998,INDEX(Pengaturan!$B$8:$B$27,J$4)))</f>
        <v>0</v>
      </c>
      <c r="K998" s="26" t="n">
        <f aca="false">IF(INDEX(Pengaturan!$B$8:$B$27,K$4)="",0,COUNTIF(Data!$B998:$U998,INDEX(Pengaturan!$B$8:$B$27,K$4)))</f>
        <v>0</v>
      </c>
      <c r="L998" s="26" t="n">
        <f aca="false">IF(INDEX(Pengaturan!$B$8:$B$27,L$4)="",0,COUNTIF(Data!$B998:$U998,INDEX(Pengaturan!$B$8:$B$27,L$4)))</f>
        <v>0</v>
      </c>
      <c r="M998" s="26" t="n">
        <f aca="false">IF(INDEX(Pengaturan!$B$8:$B$27,M$4)="",0,COUNTIF(Data!$B998:$U998,INDEX(Pengaturan!$B$8:$B$27,M$4)))</f>
        <v>0</v>
      </c>
      <c r="N998" s="26" t="n">
        <f aca="false">IF(INDEX(Pengaturan!$B$8:$B$27,N$4)="",0,COUNTIF(Data!$B998:$U998,INDEX(Pengaturan!$B$8:$B$27,N$4)))</f>
        <v>0</v>
      </c>
      <c r="O998" s="26" t="n">
        <f aca="false">IF(INDEX(Pengaturan!$B$8:$B$27,O$4)="",0,COUNTIF(Data!$B998:$U998,INDEX(Pengaturan!$B$8:$B$27,O$4)))</f>
        <v>0</v>
      </c>
      <c r="P998" s="26" t="n">
        <f aca="false">IF(INDEX(Pengaturan!$B$8:$B$27,P$4)="",0,COUNTIF(Data!$B998:$U998,INDEX(Pengaturan!$B$8:$B$27,P$4)))</f>
        <v>0</v>
      </c>
      <c r="Q998" s="26" t="n">
        <f aca="false">IF(INDEX(Pengaturan!$B$8:$B$27,Q$4)="",0,COUNTIF(Data!$B998:$U998,INDEX(Pengaturan!$B$8:$B$27,Q$4)))</f>
        <v>0</v>
      </c>
      <c r="R998" s="26" t="n">
        <f aca="false">IF(INDEX(Pengaturan!$B$8:$B$27,R$4)="",0,COUNTIF(Data!$B998:$U998,INDEX(Pengaturan!$B$8:$B$27,R$4)))</f>
        <v>0</v>
      </c>
      <c r="S998" s="26" t="n">
        <f aca="false">IF(INDEX(Pengaturan!$B$8:$B$27,S$4)="",0,COUNTIF(Data!$B998:$U998,INDEX(Pengaturan!$B$8:$B$27,S$4)))</f>
        <v>0</v>
      </c>
      <c r="T998" s="26" t="n">
        <f aca="false">IF(INDEX(Pengaturan!$B$8:$B$27,T$4)="",0,COUNTIF(Data!$B998:$U998,INDEX(Pengaturan!$B$8:$B$27,T$4)))</f>
        <v>0</v>
      </c>
      <c r="U998" s="26" t="n">
        <f aca="false">IF(INDEX(Pengaturan!$B$8:$B$27,U$4)="",0,COUNTIF(Data!$B998:$U998,INDEX(Pengaturan!$B$8:$B$27,U$4)))</f>
        <v>0</v>
      </c>
      <c r="V998" s="26" t="n">
        <f aca="false">COUNTA(Data!$B998:$U998)</f>
        <v>0</v>
      </c>
      <c r="W998" s="27" t="str">
        <f aca="false">IF(V998=0,"",IF(V998&lt;&gt;Hasil!$C$4,"Data kosong/tidak lengkap",IF(SUM(B998:U998)&lt;&gt;V998,"Kategori tidak dikenal","OK")))</f>
        <v/>
      </c>
      <c r="X998" s="26" t="n">
        <f aca="false">IF(OR(W998="",W998="OK"),0,1)</f>
        <v>0</v>
      </c>
    </row>
    <row r="999" customFormat="false" ht="15" hidden="false" customHeight="false" outlineLevel="0" collapsed="false">
      <c r="A999" s="26" t="n">
        <f aca="false">Data!A999</f>
        <v>994</v>
      </c>
      <c r="B999" s="26" t="n">
        <f aca="false">IF(INDEX(Pengaturan!$B$8:$B$27,B$4)="",0,COUNTIF(Data!$B999:$U999,INDEX(Pengaturan!$B$8:$B$27,B$4)))</f>
        <v>0</v>
      </c>
      <c r="C999" s="26" t="n">
        <f aca="false">IF(INDEX(Pengaturan!$B$8:$B$27,C$4)="",0,COUNTIF(Data!$B999:$U999,INDEX(Pengaturan!$B$8:$B$27,C$4)))</f>
        <v>0</v>
      </c>
      <c r="D999" s="26" t="n">
        <f aca="false">IF(INDEX(Pengaturan!$B$8:$B$27,D$4)="",0,COUNTIF(Data!$B999:$U999,INDEX(Pengaturan!$B$8:$B$27,D$4)))</f>
        <v>0</v>
      </c>
      <c r="E999" s="26" t="n">
        <f aca="false">IF(INDEX(Pengaturan!$B$8:$B$27,E$4)="",0,COUNTIF(Data!$B999:$U999,INDEX(Pengaturan!$B$8:$B$27,E$4)))</f>
        <v>0</v>
      </c>
      <c r="F999" s="26" t="n">
        <f aca="false">IF(INDEX(Pengaturan!$B$8:$B$27,F$4)="",0,COUNTIF(Data!$B999:$U999,INDEX(Pengaturan!$B$8:$B$27,F$4)))</f>
        <v>0</v>
      </c>
      <c r="G999" s="26" t="n">
        <f aca="false">IF(INDEX(Pengaturan!$B$8:$B$27,G$4)="",0,COUNTIF(Data!$B999:$U999,INDEX(Pengaturan!$B$8:$B$27,G$4)))</f>
        <v>0</v>
      </c>
      <c r="H999" s="26" t="n">
        <f aca="false">IF(INDEX(Pengaturan!$B$8:$B$27,H$4)="",0,COUNTIF(Data!$B999:$U999,INDEX(Pengaturan!$B$8:$B$27,H$4)))</f>
        <v>0</v>
      </c>
      <c r="I999" s="26" t="n">
        <f aca="false">IF(INDEX(Pengaturan!$B$8:$B$27,I$4)="",0,COUNTIF(Data!$B999:$U999,INDEX(Pengaturan!$B$8:$B$27,I$4)))</f>
        <v>0</v>
      </c>
      <c r="J999" s="26" t="n">
        <f aca="false">IF(INDEX(Pengaturan!$B$8:$B$27,J$4)="",0,COUNTIF(Data!$B999:$U999,INDEX(Pengaturan!$B$8:$B$27,J$4)))</f>
        <v>0</v>
      </c>
      <c r="K999" s="26" t="n">
        <f aca="false">IF(INDEX(Pengaturan!$B$8:$B$27,K$4)="",0,COUNTIF(Data!$B999:$U999,INDEX(Pengaturan!$B$8:$B$27,K$4)))</f>
        <v>0</v>
      </c>
      <c r="L999" s="26" t="n">
        <f aca="false">IF(INDEX(Pengaturan!$B$8:$B$27,L$4)="",0,COUNTIF(Data!$B999:$U999,INDEX(Pengaturan!$B$8:$B$27,L$4)))</f>
        <v>0</v>
      </c>
      <c r="M999" s="26" t="n">
        <f aca="false">IF(INDEX(Pengaturan!$B$8:$B$27,M$4)="",0,COUNTIF(Data!$B999:$U999,INDEX(Pengaturan!$B$8:$B$27,M$4)))</f>
        <v>0</v>
      </c>
      <c r="N999" s="26" t="n">
        <f aca="false">IF(INDEX(Pengaturan!$B$8:$B$27,N$4)="",0,COUNTIF(Data!$B999:$U999,INDEX(Pengaturan!$B$8:$B$27,N$4)))</f>
        <v>0</v>
      </c>
      <c r="O999" s="26" t="n">
        <f aca="false">IF(INDEX(Pengaturan!$B$8:$B$27,O$4)="",0,COUNTIF(Data!$B999:$U999,INDEX(Pengaturan!$B$8:$B$27,O$4)))</f>
        <v>0</v>
      </c>
      <c r="P999" s="26" t="n">
        <f aca="false">IF(INDEX(Pengaturan!$B$8:$B$27,P$4)="",0,COUNTIF(Data!$B999:$U999,INDEX(Pengaturan!$B$8:$B$27,P$4)))</f>
        <v>0</v>
      </c>
      <c r="Q999" s="26" t="n">
        <f aca="false">IF(INDEX(Pengaturan!$B$8:$B$27,Q$4)="",0,COUNTIF(Data!$B999:$U999,INDEX(Pengaturan!$B$8:$B$27,Q$4)))</f>
        <v>0</v>
      </c>
      <c r="R999" s="26" t="n">
        <f aca="false">IF(INDEX(Pengaturan!$B$8:$B$27,R$4)="",0,COUNTIF(Data!$B999:$U999,INDEX(Pengaturan!$B$8:$B$27,R$4)))</f>
        <v>0</v>
      </c>
      <c r="S999" s="26" t="n">
        <f aca="false">IF(INDEX(Pengaturan!$B$8:$B$27,S$4)="",0,COUNTIF(Data!$B999:$U999,INDEX(Pengaturan!$B$8:$B$27,S$4)))</f>
        <v>0</v>
      </c>
      <c r="T999" s="26" t="n">
        <f aca="false">IF(INDEX(Pengaturan!$B$8:$B$27,T$4)="",0,COUNTIF(Data!$B999:$U999,INDEX(Pengaturan!$B$8:$B$27,T$4)))</f>
        <v>0</v>
      </c>
      <c r="U999" s="26" t="n">
        <f aca="false">IF(INDEX(Pengaturan!$B$8:$B$27,U$4)="",0,COUNTIF(Data!$B999:$U999,INDEX(Pengaturan!$B$8:$B$27,U$4)))</f>
        <v>0</v>
      </c>
      <c r="V999" s="26" t="n">
        <f aca="false">COUNTA(Data!$B999:$U999)</f>
        <v>0</v>
      </c>
      <c r="W999" s="27" t="str">
        <f aca="false">IF(V999=0,"",IF(V999&lt;&gt;Hasil!$C$4,"Data kosong/tidak lengkap",IF(SUM(B999:U999)&lt;&gt;V999,"Kategori tidak dikenal","OK")))</f>
        <v/>
      </c>
      <c r="X999" s="26" t="n">
        <f aca="false">IF(OR(W999="",W999="OK"),0,1)</f>
        <v>0</v>
      </c>
    </row>
    <row r="1000" customFormat="false" ht="15" hidden="false" customHeight="false" outlineLevel="0" collapsed="false">
      <c r="A1000" s="26" t="n">
        <f aca="false">Data!A1000</f>
        <v>995</v>
      </c>
      <c r="B1000" s="26" t="n">
        <f aca="false">IF(INDEX(Pengaturan!$B$8:$B$27,B$4)="",0,COUNTIF(Data!$B1000:$U1000,INDEX(Pengaturan!$B$8:$B$27,B$4)))</f>
        <v>0</v>
      </c>
      <c r="C1000" s="26" t="n">
        <f aca="false">IF(INDEX(Pengaturan!$B$8:$B$27,C$4)="",0,COUNTIF(Data!$B1000:$U1000,INDEX(Pengaturan!$B$8:$B$27,C$4)))</f>
        <v>0</v>
      </c>
      <c r="D1000" s="26" t="n">
        <f aca="false">IF(INDEX(Pengaturan!$B$8:$B$27,D$4)="",0,COUNTIF(Data!$B1000:$U1000,INDEX(Pengaturan!$B$8:$B$27,D$4)))</f>
        <v>0</v>
      </c>
      <c r="E1000" s="26" t="n">
        <f aca="false">IF(INDEX(Pengaturan!$B$8:$B$27,E$4)="",0,COUNTIF(Data!$B1000:$U1000,INDEX(Pengaturan!$B$8:$B$27,E$4)))</f>
        <v>0</v>
      </c>
      <c r="F1000" s="26" t="n">
        <f aca="false">IF(INDEX(Pengaturan!$B$8:$B$27,F$4)="",0,COUNTIF(Data!$B1000:$U1000,INDEX(Pengaturan!$B$8:$B$27,F$4)))</f>
        <v>0</v>
      </c>
      <c r="G1000" s="26" t="n">
        <f aca="false">IF(INDEX(Pengaturan!$B$8:$B$27,G$4)="",0,COUNTIF(Data!$B1000:$U1000,INDEX(Pengaturan!$B$8:$B$27,G$4)))</f>
        <v>0</v>
      </c>
      <c r="H1000" s="26" t="n">
        <f aca="false">IF(INDEX(Pengaturan!$B$8:$B$27,H$4)="",0,COUNTIF(Data!$B1000:$U1000,INDEX(Pengaturan!$B$8:$B$27,H$4)))</f>
        <v>0</v>
      </c>
      <c r="I1000" s="26" t="n">
        <f aca="false">IF(INDEX(Pengaturan!$B$8:$B$27,I$4)="",0,COUNTIF(Data!$B1000:$U1000,INDEX(Pengaturan!$B$8:$B$27,I$4)))</f>
        <v>0</v>
      </c>
      <c r="J1000" s="26" t="n">
        <f aca="false">IF(INDEX(Pengaturan!$B$8:$B$27,J$4)="",0,COUNTIF(Data!$B1000:$U1000,INDEX(Pengaturan!$B$8:$B$27,J$4)))</f>
        <v>0</v>
      </c>
      <c r="K1000" s="26" t="n">
        <f aca="false">IF(INDEX(Pengaturan!$B$8:$B$27,K$4)="",0,COUNTIF(Data!$B1000:$U1000,INDEX(Pengaturan!$B$8:$B$27,K$4)))</f>
        <v>0</v>
      </c>
      <c r="L1000" s="26" t="n">
        <f aca="false">IF(INDEX(Pengaturan!$B$8:$B$27,L$4)="",0,COUNTIF(Data!$B1000:$U1000,INDEX(Pengaturan!$B$8:$B$27,L$4)))</f>
        <v>0</v>
      </c>
      <c r="M1000" s="26" t="n">
        <f aca="false">IF(INDEX(Pengaturan!$B$8:$B$27,M$4)="",0,COUNTIF(Data!$B1000:$U1000,INDEX(Pengaturan!$B$8:$B$27,M$4)))</f>
        <v>0</v>
      </c>
      <c r="N1000" s="26" t="n">
        <f aca="false">IF(INDEX(Pengaturan!$B$8:$B$27,N$4)="",0,COUNTIF(Data!$B1000:$U1000,INDEX(Pengaturan!$B$8:$B$27,N$4)))</f>
        <v>0</v>
      </c>
      <c r="O1000" s="26" t="n">
        <f aca="false">IF(INDEX(Pengaturan!$B$8:$B$27,O$4)="",0,COUNTIF(Data!$B1000:$U1000,INDEX(Pengaturan!$B$8:$B$27,O$4)))</f>
        <v>0</v>
      </c>
      <c r="P1000" s="26" t="n">
        <f aca="false">IF(INDEX(Pengaturan!$B$8:$B$27,P$4)="",0,COUNTIF(Data!$B1000:$U1000,INDEX(Pengaturan!$B$8:$B$27,P$4)))</f>
        <v>0</v>
      </c>
      <c r="Q1000" s="26" t="n">
        <f aca="false">IF(INDEX(Pengaturan!$B$8:$B$27,Q$4)="",0,COUNTIF(Data!$B1000:$U1000,INDEX(Pengaturan!$B$8:$B$27,Q$4)))</f>
        <v>0</v>
      </c>
      <c r="R1000" s="26" t="n">
        <f aca="false">IF(INDEX(Pengaturan!$B$8:$B$27,R$4)="",0,COUNTIF(Data!$B1000:$U1000,INDEX(Pengaturan!$B$8:$B$27,R$4)))</f>
        <v>0</v>
      </c>
      <c r="S1000" s="26" t="n">
        <f aca="false">IF(INDEX(Pengaturan!$B$8:$B$27,S$4)="",0,COUNTIF(Data!$B1000:$U1000,INDEX(Pengaturan!$B$8:$B$27,S$4)))</f>
        <v>0</v>
      </c>
      <c r="T1000" s="26" t="n">
        <f aca="false">IF(INDEX(Pengaturan!$B$8:$B$27,T$4)="",0,COUNTIF(Data!$B1000:$U1000,INDEX(Pengaturan!$B$8:$B$27,T$4)))</f>
        <v>0</v>
      </c>
      <c r="U1000" s="26" t="n">
        <f aca="false">IF(INDEX(Pengaturan!$B$8:$B$27,U$4)="",0,COUNTIF(Data!$B1000:$U1000,INDEX(Pengaturan!$B$8:$B$27,U$4)))</f>
        <v>0</v>
      </c>
      <c r="V1000" s="26" t="n">
        <f aca="false">COUNTA(Data!$B1000:$U1000)</f>
        <v>0</v>
      </c>
      <c r="W1000" s="27" t="str">
        <f aca="false">IF(V1000=0,"",IF(V1000&lt;&gt;Hasil!$C$4,"Data kosong/tidak lengkap",IF(SUM(B1000:U1000)&lt;&gt;V1000,"Kategori tidak dikenal","OK")))</f>
        <v/>
      </c>
      <c r="X1000" s="26" t="n">
        <f aca="false">IF(OR(W1000="",W1000="OK"),0,1)</f>
        <v>0</v>
      </c>
    </row>
    <row r="1001" customFormat="false" ht="15" hidden="false" customHeight="false" outlineLevel="0" collapsed="false">
      <c r="A1001" s="26" t="n">
        <f aca="false">Data!A1001</f>
        <v>996</v>
      </c>
      <c r="B1001" s="26" t="n">
        <f aca="false">IF(INDEX(Pengaturan!$B$8:$B$27,B$4)="",0,COUNTIF(Data!$B1001:$U1001,INDEX(Pengaturan!$B$8:$B$27,B$4)))</f>
        <v>0</v>
      </c>
      <c r="C1001" s="26" t="n">
        <f aca="false">IF(INDEX(Pengaturan!$B$8:$B$27,C$4)="",0,COUNTIF(Data!$B1001:$U1001,INDEX(Pengaturan!$B$8:$B$27,C$4)))</f>
        <v>0</v>
      </c>
      <c r="D1001" s="26" t="n">
        <f aca="false">IF(INDEX(Pengaturan!$B$8:$B$27,D$4)="",0,COUNTIF(Data!$B1001:$U1001,INDEX(Pengaturan!$B$8:$B$27,D$4)))</f>
        <v>0</v>
      </c>
      <c r="E1001" s="26" t="n">
        <f aca="false">IF(INDEX(Pengaturan!$B$8:$B$27,E$4)="",0,COUNTIF(Data!$B1001:$U1001,INDEX(Pengaturan!$B$8:$B$27,E$4)))</f>
        <v>0</v>
      </c>
      <c r="F1001" s="26" t="n">
        <f aca="false">IF(INDEX(Pengaturan!$B$8:$B$27,F$4)="",0,COUNTIF(Data!$B1001:$U1001,INDEX(Pengaturan!$B$8:$B$27,F$4)))</f>
        <v>0</v>
      </c>
      <c r="G1001" s="26" t="n">
        <f aca="false">IF(INDEX(Pengaturan!$B$8:$B$27,G$4)="",0,COUNTIF(Data!$B1001:$U1001,INDEX(Pengaturan!$B$8:$B$27,G$4)))</f>
        <v>0</v>
      </c>
      <c r="H1001" s="26" t="n">
        <f aca="false">IF(INDEX(Pengaturan!$B$8:$B$27,H$4)="",0,COUNTIF(Data!$B1001:$U1001,INDEX(Pengaturan!$B$8:$B$27,H$4)))</f>
        <v>0</v>
      </c>
      <c r="I1001" s="26" t="n">
        <f aca="false">IF(INDEX(Pengaturan!$B$8:$B$27,I$4)="",0,COUNTIF(Data!$B1001:$U1001,INDEX(Pengaturan!$B$8:$B$27,I$4)))</f>
        <v>0</v>
      </c>
      <c r="J1001" s="26" t="n">
        <f aca="false">IF(INDEX(Pengaturan!$B$8:$B$27,J$4)="",0,COUNTIF(Data!$B1001:$U1001,INDEX(Pengaturan!$B$8:$B$27,J$4)))</f>
        <v>0</v>
      </c>
      <c r="K1001" s="26" t="n">
        <f aca="false">IF(INDEX(Pengaturan!$B$8:$B$27,K$4)="",0,COUNTIF(Data!$B1001:$U1001,INDEX(Pengaturan!$B$8:$B$27,K$4)))</f>
        <v>0</v>
      </c>
      <c r="L1001" s="26" t="n">
        <f aca="false">IF(INDEX(Pengaturan!$B$8:$B$27,L$4)="",0,COUNTIF(Data!$B1001:$U1001,INDEX(Pengaturan!$B$8:$B$27,L$4)))</f>
        <v>0</v>
      </c>
      <c r="M1001" s="26" t="n">
        <f aca="false">IF(INDEX(Pengaturan!$B$8:$B$27,M$4)="",0,COUNTIF(Data!$B1001:$U1001,INDEX(Pengaturan!$B$8:$B$27,M$4)))</f>
        <v>0</v>
      </c>
      <c r="N1001" s="26" t="n">
        <f aca="false">IF(INDEX(Pengaturan!$B$8:$B$27,N$4)="",0,COUNTIF(Data!$B1001:$U1001,INDEX(Pengaturan!$B$8:$B$27,N$4)))</f>
        <v>0</v>
      </c>
      <c r="O1001" s="26" t="n">
        <f aca="false">IF(INDEX(Pengaturan!$B$8:$B$27,O$4)="",0,COUNTIF(Data!$B1001:$U1001,INDEX(Pengaturan!$B$8:$B$27,O$4)))</f>
        <v>0</v>
      </c>
      <c r="P1001" s="26" t="n">
        <f aca="false">IF(INDEX(Pengaturan!$B$8:$B$27,P$4)="",0,COUNTIF(Data!$B1001:$U1001,INDEX(Pengaturan!$B$8:$B$27,P$4)))</f>
        <v>0</v>
      </c>
      <c r="Q1001" s="26" t="n">
        <f aca="false">IF(INDEX(Pengaturan!$B$8:$B$27,Q$4)="",0,COUNTIF(Data!$B1001:$U1001,INDEX(Pengaturan!$B$8:$B$27,Q$4)))</f>
        <v>0</v>
      </c>
      <c r="R1001" s="26" t="n">
        <f aca="false">IF(INDEX(Pengaturan!$B$8:$B$27,R$4)="",0,COUNTIF(Data!$B1001:$U1001,INDEX(Pengaturan!$B$8:$B$27,R$4)))</f>
        <v>0</v>
      </c>
      <c r="S1001" s="26" t="n">
        <f aca="false">IF(INDEX(Pengaturan!$B$8:$B$27,S$4)="",0,COUNTIF(Data!$B1001:$U1001,INDEX(Pengaturan!$B$8:$B$27,S$4)))</f>
        <v>0</v>
      </c>
      <c r="T1001" s="26" t="n">
        <f aca="false">IF(INDEX(Pengaturan!$B$8:$B$27,T$4)="",0,COUNTIF(Data!$B1001:$U1001,INDEX(Pengaturan!$B$8:$B$27,T$4)))</f>
        <v>0</v>
      </c>
      <c r="U1001" s="26" t="n">
        <f aca="false">IF(INDEX(Pengaturan!$B$8:$B$27,U$4)="",0,COUNTIF(Data!$B1001:$U1001,INDEX(Pengaturan!$B$8:$B$27,U$4)))</f>
        <v>0</v>
      </c>
      <c r="V1001" s="26" t="n">
        <f aca="false">COUNTA(Data!$B1001:$U1001)</f>
        <v>0</v>
      </c>
      <c r="W1001" s="27" t="str">
        <f aca="false">IF(V1001=0,"",IF(V1001&lt;&gt;Hasil!$C$4,"Data kosong/tidak lengkap",IF(SUM(B1001:U1001)&lt;&gt;V1001,"Kategori tidak dikenal","OK")))</f>
        <v/>
      </c>
      <c r="X1001" s="26" t="n">
        <f aca="false">IF(OR(W1001="",W1001="OK"),0,1)</f>
        <v>0</v>
      </c>
    </row>
    <row r="1002" customFormat="false" ht="15" hidden="false" customHeight="false" outlineLevel="0" collapsed="false">
      <c r="A1002" s="26" t="n">
        <f aca="false">Data!A1002</f>
        <v>997</v>
      </c>
      <c r="B1002" s="26" t="n">
        <f aca="false">IF(INDEX(Pengaturan!$B$8:$B$27,B$4)="",0,COUNTIF(Data!$B1002:$U1002,INDEX(Pengaturan!$B$8:$B$27,B$4)))</f>
        <v>0</v>
      </c>
      <c r="C1002" s="26" t="n">
        <f aca="false">IF(INDEX(Pengaturan!$B$8:$B$27,C$4)="",0,COUNTIF(Data!$B1002:$U1002,INDEX(Pengaturan!$B$8:$B$27,C$4)))</f>
        <v>0</v>
      </c>
      <c r="D1002" s="26" t="n">
        <f aca="false">IF(INDEX(Pengaturan!$B$8:$B$27,D$4)="",0,COUNTIF(Data!$B1002:$U1002,INDEX(Pengaturan!$B$8:$B$27,D$4)))</f>
        <v>0</v>
      </c>
      <c r="E1002" s="26" t="n">
        <f aca="false">IF(INDEX(Pengaturan!$B$8:$B$27,E$4)="",0,COUNTIF(Data!$B1002:$U1002,INDEX(Pengaturan!$B$8:$B$27,E$4)))</f>
        <v>0</v>
      </c>
      <c r="F1002" s="26" t="n">
        <f aca="false">IF(INDEX(Pengaturan!$B$8:$B$27,F$4)="",0,COUNTIF(Data!$B1002:$U1002,INDEX(Pengaturan!$B$8:$B$27,F$4)))</f>
        <v>0</v>
      </c>
      <c r="G1002" s="26" t="n">
        <f aca="false">IF(INDEX(Pengaturan!$B$8:$B$27,G$4)="",0,COUNTIF(Data!$B1002:$U1002,INDEX(Pengaturan!$B$8:$B$27,G$4)))</f>
        <v>0</v>
      </c>
      <c r="H1002" s="26" t="n">
        <f aca="false">IF(INDEX(Pengaturan!$B$8:$B$27,H$4)="",0,COUNTIF(Data!$B1002:$U1002,INDEX(Pengaturan!$B$8:$B$27,H$4)))</f>
        <v>0</v>
      </c>
      <c r="I1002" s="26" t="n">
        <f aca="false">IF(INDEX(Pengaturan!$B$8:$B$27,I$4)="",0,COUNTIF(Data!$B1002:$U1002,INDEX(Pengaturan!$B$8:$B$27,I$4)))</f>
        <v>0</v>
      </c>
      <c r="J1002" s="26" t="n">
        <f aca="false">IF(INDEX(Pengaturan!$B$8:$B$27,J$4)="",0,COUNTIF(Data!$B1002:$U1002,INDEX(Pengaturan!$B$8:$B$27,J$4)))</f>
        <v>0</v>
      </c>
      <c r="K1002" s="26" t="n">
        <f aca="false">IF(INDEX(Pengaturan!$B$8:$B$27,K$4)="",0,COUNTIF(Data!$B1002:$U1002,INDEX(Pengaturan!$B$8:$B$27,K$4)))</f>
        <v>0</v>
      </c>
      <c r="L1002" s="26" t="n">
        <f aca="false">IF(INDEX(Pengaturan!$B$8:$B$27,L$4)="",0,COUNTIF(Data!$B1002:$U1002,INDEX(Pengaturan!$B$8:$B$27,L$4)))</f>
        <v>0</v>
      </c>
      <c r="M1002" s="26" t="n">
        <f aca="false">IF(INDEX(Pengaturan!$B$8:$B$27,M$4)="",0,COUNTIF(Data!$B1002:$U1002,INDEX(Pengaturan!$B$8:$B$27,M$4)))</f>
        <v>0</v>
      </c>
      <c r="N1002" s="26" t="n">
        <f aca="false">IF(INDEX(Pengaturan!$B$8:$B$27,N$4)="",0,COUNTIF(Data!$B1002:$U1002,INDEX(Pengaturan!$B$8:$B$27,N$4)))</f>
        <v>0</v>
      </c>
      <c r="O1002" s="26" t="n">
        <f aca="false">IF(INDEX(Pengaturan!$B$8:$B$27,O$4)="",0,COUNTIF(Data!$B1002:$U1002,INDEX(Pengaturan!$B$8:$B$27,O$4)))</f>
        <v>0</v>
      </c>
      <c r="P1002" s="26" t="n">
        <f aca="false">IF(INDEX(Pengaturan!$B$8:$B$27,P$4)="",0,COUNTIF(Data!$B1002:$U1002,INDEX(Pengaturan!$B$8:$B$27,P$4)))</f>
        <v>0</v>
      </c>
      <c r="Q1002" s="26" t="n">
        <f aca="false">IF(INDEX(Pengaturan!$B$8:$B$27,Q$4)="",0,COUNTIF(Data!$B1002:$U1002,INDEX(Pengaturan!$B$8:$B$27,Q$4)))</f>
        <v>0</v>
      </c>
      <c r="R1002" s="26" t="n">
        <f aca="false">IF(INDEX(Pengaturan!$B$8:$B$27,R$4)="",0,COUNTIF(Data!$B1002:$U1002,INDEX(Pengaturan!$B$8:$B$27,R$4)))</f>
        <v>0</v>
      </c>
      <c r="S1002" s="26" t="n">
        <f aca="false">IF(INDEX(Pengaturan!$B$8:$B$27,S$4)="",0,COUNTIF(Data!$B1002:$U1002,INDEX(Pengaturan!$B$8:$B$27,S$4)))</f>
        <v>0</v>
      </c>
      <c r="T1002" s="26" t="n">
        <f aca="false">IF(INDEX(Pengaturan!$B$8:$B$27,T$4)="",0,COUNTIF(Data!$B1002:$U1002,INDEX(Pengaturan!$B$8:$B$27,T$4)))</f>
        <v>0</v>
      </c>
      <c r="U1002" s="26" t="n">
        <f aca="false">IF(INDEX(Pengaturan!$B$8:$B$27,U$4)="",0,COUNTIF(Data!$B1002:$U1002,INDEX(Pengaturan!$B$8:$B$27,U$4)))</f>
        <v>0</v>
      </c>
      <c r="V1002" s="26" t="n">
        <f aca="false">COUNTA(Data!$B1002:$U1002)</f>
        <v>0</v>
      </c>
      <c r="W1002" s="27" t="str">
        <f aca="false">IF(V1002=0,"",IF(V1002&lt;&gt;Hasil!$C$4,"Data kosong/tidak lengkap",IF(SUM(B1002:U1002)&lt;&gt;V1002,"Kategori tidak dikenal","OK")))</f>
        <v/>
      </c>
      <c r="X1002" s="26" t="n">
        <f aca="false">IF(OR(W1002="",W1002="OK"),0,1)</f>
        <v>0</v>
      </c>
    </row>
    <row r="1003" customFormat="false" ht="15" hidden="false" customHeight="false" outlineLevel="0" collapsed="false">
      <c r="A1003" s="26" t="n">
        <f aca="false">Data!A1003</f>
        <v>998</v>
      </c>
      <c r="B1003" s="26" t="n">
        <f aca="false">IF(INDEX(Pengaturan!$B$8:$B$27,B$4)="",0,COUNTIF(Data!$B1003:$U1003,INDEX(Pengaturan!$B$8:$B$27,B$4)))</f>
        <v>0</v>
      </c>
      <c r="C1003" s="26" t="n">
        <f aca="false">IF(INDEX(Pengaturan!$B$8:$B$27,C$4)="",0,COUNTIF(Data!$B1003:$U1003,INDEX(Pengaturan!$B$8:$B$27,C$4)))</f>
        <v>0</v>
      </c>
      <c r="D1003" s="26" t="n">
        <f aca="false">IF(INDEX(Pengaturan!$B$8:$B$27,D$4)="",0,COUNTIF(Data!$B1003:$U1003,INDEX(Pengaturan!$B$8:$B$27,D$4)))</f>
        <v>0</v>
      </c>
      <c r="E1003" s="26" t="n">
        <f aca="false">IF(INDEX(Pengaturan!$B$8:$B$27,E$4)="",0,COUNTIF(Data!$B1003:$U1003,INDEX(Pengaturan!$B$8:$B$27,E$4)))</f>
        <v>0</v>
      </c>
      <c r="F1003" s="26" t="n">
        <f aca="false">IF(INDEX(Pengaturan!$B$8:$B$27,F$4)="",0,COUNTIF(Data!$B1003:$U1003,INDEX(Pengaturan!$B$8:$B$27,F$4)))</f>
        <v>0</v>
      </c>
      <c r="G1003" s="26" t="n">
        <f aca="false">IF(INDEX(Pengaturan!$B$8:$B$27,G$4)="",0,COUNTIF(Data!$B1003:$U1003,INDEX(Pengaturan!$B$8:$B$27,G$4)))</f>
        <v>0</v>
      </c>
      <c r="H1003" s="26" t="n">
        <f aca="false">IF(INDEX(Pengaturan!$B$8:$B$27,H$4)="",0,COUNTIF(Data!$B1003:$U1003,INDEX(Pengaturan!$B$8:$B$27,H$4)))</f>
        <v>0</v>
      </c>
      <c r="I1003" s="26" t="n">
        <f aca="false">IF(INDEX(Pengaturan!$B$8:$B$27,I$4)="",0,COUNTIF(Data!$B1003:$U1003,INDEX(Pengaturan!$B$8:$B$27,I$4)))</f>
        <v>0</v>
      </c>
      <c r="J1003" s="26" t="n">
        <f aca="false">IF(INDEX(Pengaturan!$B$8:$B$27,J$4)="",0,COUNTIF(Data!$B1003:$U1003,INDEX(Pengaturan!$B$8:$B$27,J$4)))</f>
        <v>0</v>
      </c>
      <c r="K1003" s="26" t="n">
        <f aca="false">IF(INDEX(Pengaturan!$B$8:$B$27,K$4)="",0,COUNTIF(Data!$B1003:$U1003,INDEX(Pengaturan!$B$8:$B$27,K$4)))</f>
        <v>0</v>
      </c>
      <c r="L1003" s="26" t="n">
        <f aca="false">IF(INDEX(Pengaturan!$B$8:$B$27,L$4)="",0,COUNTIF(Data!$B1003:$U1003,INDEX(Pengaturan!$B$8:$B$27,L$4)))</f>
        <v>0</v>
      </c>
      <c r="M1003" s="26" t="n">
        <f aca="false">IF(INDEX(Pengaturan!$B$8:$B$27,M$4)="",0,COUNTIF(Data!$B1003:$U1003,INDEX(Pengaturan!$B$8:$B$27,M$4)))</f>
        <v>0</v>
      </c>
      <c r="N1003" s="26" t="n">
        <f aca="false">IF(INDEX(Pengaturan!$B$8:$B$27,N$4)="",0,COUNTIF(Data!$B1003:$U1003,INDEX(Pengaturan!$B$8:$B$27,N$4)))</f>
        <v>0</v>
      </c>
      <c r="O1003" s="26" t="n">
        <f aca="false">IF(INDEX(Pengaturan!$B$8:$B$27,O$4)="",0,COUNTIF(Data!$B1003:$U1003,INDEX(Pengaturan!$B$8:$B$27,O$4)))</f>
        <v>0</v>
      </c>
      <c r="P1003" s="26" t="n">
        <f aca="false">IF(INDEX(Pengaturan!$B$8:$B$27,P$4)="",0,COUNTIF(Data!$B1003:$U1003,INDEX(Pengaturan!$B$8:$B$27,P$4)))</f>
        <v>0</v>
      </c>
      <c r="Q1003" s="26" t="n">
        <f aca="false">IF(INDEX(Pengaturan!$B$8:$B$27,Q$4)="",0,COUNTIF(Data!$B1003:$U1003,INDEX(Pengaturan!$B$8:$B$27,Q$4)))</f>
        <v>0</v>
      </c>
      <c r="R1003" s="26" t="n">
        <f aca="false">IF(INDEX(Pengaturan!$B$8:$B$27,R$4)="",0,COUNTIF(Data!$B1003:$U1003,INDEX(Pengaturan!$B$8:$B$27,R$4)))</f>
        <v>0</v>
      </c>
      <c r="S1003" s="26" t="n">
        <f aca="false">IF(INDEX(Pengaturan!$B$8:$B$27,S$4)="",0,COUNTIF(Data!$B1003:$U1003,INDEX(Pengaturan!$B$8:$B$27,S$4)))</f>
        <v>0</v>
      </c>
      <c r="T1003" s="26" t="n">
        <f aca="false">IF(INDEX(Pengaturan!$B$8:$B$27,T$4)="",0,COUNTIF(Data!$B1003:$U1003,INDEX(Pengaturan!$B$8:$B$27,T$4)))</f>
        <v>0</v>
      </c>
      <c r="U1003" s="26" t="n">
        <f aca="false">IF(INDEX(Pengaturan!$B$8:$B$27,U$4)="",0,COUNTIF(Data!$B1003:$U1003,INDEX(Pengaturan!$B$8:$B$27,U$4)))</f>
        <v>0</v>
      </c>
      <c r="V1003" s="26" t="n">
        <f aca="false">COUNTA(Data!$B1003:$U1003)</f>
        <v>0</v>
      </c>
      <c r="W1003" s="27" t="str">
        <f aca="false">IF(V1003=0,"",IF(V1003&lt;&gt;Hasil!$C$4,"Data kosong/tidak lengkap",IF(SUM(B1003:U1003)&lt;&gt;V1003,"Kategori tidak dikenal","OK")))</f>
        <v/>
      </c>
      <c r="X1003" s="26" t="n">
        <f aca="false">IF(OR(W1003="",W1003="OK"),0,1)</f>
        <v>0</v>
      </c>
    </row>
    <row r="1004" customFormat="false" ht="15" hidden="false" customHeight="false" outlineLevel="0" collapsed="false">
      <c r="A1004" s="26" t="n">
        <f aca="false">Data!A1004</f>
        <v>999</v>
      </c>
      <c r="B1004" s="26" t="n">
        <f aca="false">IF(INDEX(Pengaturan!$B$8:$B$27,B$4)="",0,COUNTIF(Data!$B1004:$U1004,INDEX(Pengaturan!$B$8:$B$27,B$4)))</f>
        <v>0</v>
      </c>
      <c r="C1004" s="26" t="n">
        <f aca="false">IF(INDEX(Pengaturan!$B$8:$B$27,C$4)="",0,COUNTIF(Data!$B1004:$U1004,INDEX(Pengaturan!$B$8:$B$27,C$4)))</f>
        <v>0</v>
      </c>
      <c r="D1004" s="26" t="n">
        <f aca="false">IF(INDEX(Pengaturan!$B$8:$B$27,D$4)="",0,COUNTIF(Data!$B1004:$U1004,INDEX(Pengaturan!$B$8:$B$27,D$4)))</f>
        <v>0</v>
      </c>
      <c r="E1004" s="26" t="n">
        <f aca="false">IF(INDEX(Pengaturan!$B$8:$B$27,E$4)="",0,COUNTIF(Data!$B1004:$U1004,INDEX(Pengaturan!$B$8:$B$27,E$4)))</f>
        <v>0</v>
      </c>
      <c r="F1004" s="26" t="n">
        <f aca="false">IF(INDEX(Pengaturan!$B$8:$B$27,F$4)="",0,COUNTIF(Data!$B1004:$U1004,INDEX(Pengaturan!$B$8:$B$27,F$4)))</f>
        <v>0</v>
      </c>
      <c r="G1004" s="26" t="n">
        <f aca="false">IF(INDEX(Pengaturan!$B$8:$B$27,G$4)="",0,COUNTIF(Data!$B1004:$U1004,INDEX(Pengaturan!$B$8:$B$27,G$4)))</f>
        <v>0</v>
      </c>
      <c r="H1004" s="26" t="n">
        <f aca="false">IF(INDEX(Pengaturan!$B$8:$B$27,H$4)="",0,COUNTIF(Data!$B1004:$U1004,INDEX(Pengaturan!$B$8:$B$27,H$4)))</f>
        <v>0</v>
      </c>
      <c r="I1004" s="26" t="n">
        <f aca="false">IF(INDEX(Pengaturan!$B$8:$B$27,I$4)="",0,COUNTIF(Data!$B1004:$U1004,INDEX(Pengaturan!$B$8:$B$27,I$4)))</f>
        <v>0</v>
      </c>
      <c r="J1004" s="26" t="n">
        <f aca="false">IF(INDEX(Pengaturan!$B$8:$B$27,J$4)="",0,COUNTIF(Data!$B1004:$U1004,INDEX(Pengaturan!$B$8:$B$27,J$4)))</f>
        <v>0</v>
      </c>
      <c r="K1004" s="26" t="n">
        <f aca="false">IF(INDEX(Pengaturan!$B$8:$B$27,K$4)="",0,COUNTIF(Data!$B1004:$U1004,INDEX(Pengaturan!$B$8:$B$27,K$4)))</f>
        <v>0</v>
      </c>
      <c r="L1004" s="26" t="n">
        <f aca="false">IF(INDEX(Pengaturan!$B$8:$B$27,L$4)="",0,COUNTIF(Data!$B1004:$U1004,INDEX(Pengaturan!$B$8:$B$27,L$4)))</f>
        <v>0</v>
      </c>
      <c r="M1004" s="26" t="n">
        <f aca="false">IF(INDEX(Pengaturan!$B$8:$B$27,M$4)="",0,COUNTIF(Data!$B1004:$U1004,INDEX(Pengaturan!$B$8:$B$27,M$4)))</f>
        <v>0</v>
      </c>
      <c r="N1004" s="26" t="n">
        <f aca="false">IF(INDEX(Pengaturan!$B$8:$B$27,N$4)="",0,COUNTIF(Data!$B1004:$U1004,INDEX(Pengaturan!$B$8:$B$27,N$4)))</f>
        <v>0</v>
      </c>
      <c r="O1004" s="26" t="n">
        <f aca="false">IF(INDEX(Pengaturan!$B$8:$B$27,O$4)="",0,COUNTIF(Data!$B1004:$U1004,INDEX(Pengaturan!$B$8:$B$27,O$4)))</f>
        <v>0</v>
      </c>
      <c r="P1004" s="26" t="n">
        <f aca="false">IF(INDEX(Pengaturan!$B$8:$B$27,P$4)="",0,COUNTIF(Data!$B1004:$U1004,INDEX(Pengaturan!$B$8:$B$27,P$4)))</f>
        <v>0</v>
      </c>
      <c r="Q1004" s="26" t="n">
        <f aca="false">IF(INDEX(Pengaturan!$B$8:$B$27,Q$4)="",0,COUNTIF(Data!$B1004:$U1004,INDEX(Pengaturan!$B$8:$B$27,Q$4)))</f>
        <v>0</v>
      </c>
      <c r="R1004" s="26" t="n">
        <f aca="false">IF(INDEX(Pengaturan!$B$8:$B$27,R$4)="",0,COUNTIF(Data!$B1004:$U1004,INDEX(Pengaturan!$B$8:$B$27,R$4)))</f>
        <v>0</v>
      </c>
      <c r="S1004" s="26" t="n">
        <f aca="false">IF(INDEX(Pengaturan!$B$8:$B$27,S$4)="",0,COUNTIF(Data!$B1004:$U1004,INDEX(Pengaturan!$B$8:$B$27,S$4)))</f>
        <v>0</v>
      </c>
      <c r="T1004" s="26" t="n">
        <f aca="false">IF(INDEX(Pengaturan!$B$8:$B$27,T$4)="",0,COUNTIF(Data!$B1004:$U1004,INDEX(Pengaturan!$B$8:$B$27,T$4)))</f>
        <v>0</v>
      </c>
      <c r="U1004" s="26" t="n">
        <f aca="false">IF(INDEX(Pengaturan!$B$8:$B$27,U$4)="",0,COUNTIF(Data!$B1004:$U1004,INDEX(Pengaturan!$B$8:$B$27,U$4)))</f>
        <v>0</v>
      </c>
      <c r="V1004" s="26" t="n">
        <f aca="false">COUNTA(Data!$B1004:$U1004)</f>
        <v>0</v>
      </c>
      <c r="W1004" s="27" t="str">
        <f aca="false">IF(V1004=0,"",IF(V1004&lt;&gt;Hasil!$C$4,"Data kosong/tidak lengkap",IF(SUM(B1004:U1004)&lt;&gt;V1004,"Kategori tidak dikenal","OK")))</f>
        <v/>
      </c>
      <c r="X1004" s="26" t="n">
        <f aca="false">IF(OR(W1004="",W1004="OK"),0,1)</f>
        <v>0</v>
      </c>
    </row>
    <row r="1005" customFormat="false" ht="15" hidden="false" customHeight="false" outlineLevel="0" collapsed="false">
      <c r="A1005" s="26" t="n">
        <f aca="false">Data!A1005</f>
        <v>1000</v>
      </c>
      <c r="B1005" s="26" t="n">
        <f aca="false">IF(INDEX(Pengaturan!$B$8:$B$27,B$4)="",0,COUNTIF(Data!$B1005:$U1005,INDEX(Pengaturan!$B$8:$B$27,B$4)))</f>
        <v>0</v>
      </c>
      <c r="C1005" s="26" t="n">
        <f aca="false">IF(INDEX(Pengaturan!$B$8:$B$27,C$4)="",0,COUNTIF(Data!$B1005:$U1005,INDEX(Pengaturan!$B$8:$B$27,C$4)))</f>
        <v>0</v>
      </c>
      <c r="D1005" s="26" t="n">
        <f aca="false">IF(INDEX(Pengaturan!$B$8:$B$27,D$4)="",0,COUNTIF(Data!$B1005:$U1005,INDEX(Pengaturan!$B$8:$B$27,D$4)))</f>
        <v>0</v>
      </c>
      <c r="E1005" s="26" t="n">
        <f aca="false">IF(INDEX(Pengaturan!$B$8:$B$27,E$4)="",0,COUNTIF(Data!$B1005:$U1005,INDEX(Pengaturan!$B$8:$B$27,E$4)))</f>
        <v>0</v>
      </c>
      <c r="F1005" s="26" t="n">
        <f aca="false">IF(INDEX(Pengaturan!$B$8:$B$27,F$4)="",0,COUNTIF(Data!$B1005:$U1005,INDEX(Pengaturan!$B$8:$B$27,F$4)))</f>
        <v>0</v>
      </c>
      <c r="G1005" s="26" t="n">
        <f aca="false">IF(INDEX(Pengaturan!$B$8:$B$27,G$4)="",0,COUNTIF(Data!$B1005:$U1005,INDEX(Pengaturan!$B$8:$B$27,G$4)))</f>
        <v>0</v>
      </c>
      <c r="H1005" s="26" t="n">
        <f aca="false">IF(INDEX(Pengaturan!$B$8:$B$27,H$4)="",0,COUNTIF(Data!$B1005:$U1005,INDEX(Pengaturan!$B$8:$B$27,H$4)))</f>
        <v>0</v>
      </c>
      <c r="I1005" s="26" t="n">
        <f aca="false">IF(INDEX(Pengaturan!$B$8:$B$27,I$4)="",0,COUNTIF(Data!$B1005:$U1005,INDEX(Pengaturan!$B$8:$B$27,I$4)))</f>
        <v>0</v>
      </c>
      <c r="J1005" s="26" t="n">
        <f aca="false">IF(INDEX(Pengaturan!$B$8:$B$27,J$4)="",0,COUNTIF(Data!$B1005:$U1005,INDEX(Pengaturan!$B$8:$B$27,J$4)))</f>
        <v>0</v>
      </c>
      <c r="K1005" s="26" t="n">
        <f aca="false">IF(INDEX(Pengaturan!$B$8:$B$27,K$4)="",0,COUNTIF(Data!$B1005:$U1005,INDEX(Pengaturan!$B$8:$B$27,K$4)))</f>
        <v>0</v>
      </c>
      <c r="L1005" s="26" t="n">
        <f aca="false">IF(INDEX(Pengaturan!$B$8:$B$27,L$4)="",0,COUNTIF(Data!$B1005:$U1005,INDEX(Pengaturan!$B$8:$B$27,L$4)))</f>
        <v>0</v>
      </c>
      <c r="M1005" s="26" t="n">
        <f aca="false">IF(INDEX(Pengaturan!$B$8:$B$27,M$4)="",0,COUNTIF(Data!$B1005:$U1005,INDEX(Pengaturan!$B$8:$B$27,M$4)))</f>
        <v>0</v>
      </c>
      <c r="N1005" s="26" t="n">
        <f aca="false">IF(INDEX(Pengaturan!$B$8:$B$27,N$4)="",0,COUNTIF(Data!$B1005:$U1005,INDEX(Pengaturan!$B$8:$B$27,N$4)))</f>
        <v>0</v>
      </c>
      <c r="O1005" s="26" t="n">
        <f aca="false">IF(INDEX(Pengaturan!$B$8:$B$27,O$4)="",0,COUNTIF(Data!$B1005:$U1005,INDEX(Pengaturan!$B$8:$B$27,O$4)))</f>
        <v>0</v>
      </c>
      <c r="P1005" s="26" t="n">
        <f aca="false">IF(INDEX(Pengaturan!$B$8:$B$27,P$4)="",0,COUNTIF(Data!$B1005:$U1005,INDEX(Pengaturan!$B$8:$B$27,P$4)))</f>
        <v>0</v>
      </c>
      <c r="Q1005" s="26" t="n">
        <f aca="false">IF(INDEX(Pengaturan!$B$8:$B$27,Q$4)="",0,COUNTIF(Data!$B1005:$U1005,INDEX(Pengaturan!$B$8:$B$27,Q$4)))</f>
        <v>0</v>
      </c>
      <c r="R1005" s="26" t="n">
        <f aca="false">IF(INDEX(Pengaturan!$B$8:$B$27,R$4)="",0,COUNTIF(Data!$B1005:$U1005,INDEX(Pengaturan!$B$8:$B$27,R$4)))</f>
        <v>0</v>
      </c>
      <c r="S1005" s="26" t="n">
        <f aca="false">IF(INDEX(Pengaturan!$B$8:$B$27,S$4)="",0,COUNTIF(Data!$B1005:$U1005,INDEX(Pengaturan!$B$8:$B$27,S$4)))</f>
        <v>0</v>
      </c>
      <c r="T1005" s="26" t="n">
        <f aca="false">IF(INDEX(Pengaturan!$B$8:$B$27,T$4)="",0,COUNTIF(Data!$B1005:$U1005,INDEX(Pengaturan!$B$8:$B$27,T$4)))</f>
        <v>0</v>
      </c>
      <c r="U1005" s="26" t="n">
        <f aca="false">IF(INDEX(Pengaturan!$B$8:$B$27,U$4)="",0,COUNTIF(Data!$B1005:$U1005,INDEX(Pengaturan!$B$8:$B$27,U$4)))</f>
        <v>0</v>
      </c>
      <c r="V1005" s="26" t="n">
        <f aca="false">COUNTA(Data!$B1005:$U1005)</f>
        <v>0</v>
      </c>
      <c r="W1005" s="27" t="str">
        <f aca="false">IF(V1005=0,"",IF(V1005&lt;&gt;Hasil!$C$4,"Data kosong/tidak lengkap",IF(SUM(B1005:U1005)&lt;&gt;V1005,"Kategori tidak dikenal","OK")))</f>
        <v/>
      </c>
      <c r="X1005" s="26" t="n">
        <f aca="false">IF(OR(W1005="",W1005="OK"),0,1)</f>
        <v>0</v>
      </c>
    </row>
  </sheetData>
  <conditionalFormatting sqref="W6:W1005">
    <cfRule type="expression" priority="2" aboveAverage="0" equalAverage="0" bottom="0" percent="0" rank="0" text="" dxfId="2">
      <formula>AND(W6&lt;&gt;"",W6&lt;&gt;"OK")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23" min="3" style="0" width="8"/>
  </cols>
  <sheetData>
    <row r="1" customFormat="false" ht="17.35" hidden="false" customHeight="false" outlineLevel="0" collapsed="false">
      <c r="A1" s="6" t="s">
        <v>96</v>
      </c>
    </row>
    <row r="2" customFormat="false" ht="15" hidden="false" customHeight="false" outlineLevel="0" collapsed="false">
      <c r="A2" s="7" t="s">
        <v>97</v>
      </c>
    </row>
    <row r="3" customFormat="false" ht="15" hidden="false" customHeight="false" outlineLevel="0" collapsed="false">
      <c r="A3" s="8" t="s">
        <v>98</v>
      </c>
    </row>
    <row r="4" customFormat="false" ht="15" hidden="false" customHeight="false" outlineLevel="0" collapsed="false">
      <c r="B4" s="7" t="s">
        <v>99</v>
      </c>
      <c r="C4" s="25" t="n">
        <v>1</v>
      </c>
      <c r="D4" s="25" t="n">
        <v>2</v>
      </c>
      <c r="E4" s="25" t="n">
        <v>3</v>
      </c>
      <c r="F4" s="25" t="n">
        <v>4</v>
      </c>
      <c r="G4" s="25" t="n">
        <v>5</v>
      </c>
      <c r="H4" s="25" t="n">
        <v>6</v>
      </c>
      <c r="I4" s="25" t="n">
        <v>7</v>
      </c>
      <c r="J4" s="25" t="n">
        <v>8</v>
      </c>
      <c r="K4" s="25" t="n">
        <v>9</v>
      </c>
      <c r="L4" s="25" t="n">
        <v>10</v>
      </c>
      <c r="M4" s="25" t="n">
        <v>11</v>
      </c>
      <c r="N4" s="25" t="n">
        <v>12</v>
      </c>
      <c r="O4" s="25" t="n">
        <v>13</v>
      </c>
      <c r="P4" s="25" t="n">
        <v>14</v>
      </c>
      <c r="Q4" s="25" t="n">
        <v>15</v>
      </c>
      <c r="R4" s="25" t="n">
        <v>16</v>
      </c>
      <c r="S4" s="25" t="n">
        <v>17</v>
      </c>
      <c r="T4" s="25" t="n">
        <v>18</v>
      </c>
      <c r="U4" s="25" t="n">
        <v>19</v>
      </c>
      <c r="V4" s="25" t="n">
        <v>20</v>
      </c>
    </row>
    <row r="5" customFormat="false" ht="15" hidden="false" customHeight="false" outlineLevel="0" collapsed="false">
      <c r="A5" s="11" t="s">
        <v>100</v>
      </c>
      <c r="B5" s="11" t="s">
        <v>101</v>
      </c>
      <c r="C5" s="11" t="n">
        <f aca="false">IF(INDEX(Pengaturan!$B$8:$B$27,C$4)="","",INDEX(Pengaturan!$B$8:$B$27,C$4))</f>
        <v>1</v>
      </c>
      <c r="D5" s="11" t="n">
        <f aca="false">IF(INDEX(Pengaturan!$B$8:$B$27,D$4)="","",INDEX(Pengaturan!$B$8:$B$27,D$4))</f>
        <v>2</v>
      </c>
      <c r="E5" s="11" t="n">
        <f aca="false">IF(INDEX(Pengaturan!$B$8:$B$27,E$4)="","",INDEX(Pengaturan!$B$8:$B$27,E$4))</f>
        <v>3</v>
      </c>
      <c r="F5" s="11" t="n">
        <f aca="false">IF(INDEX(Pengaturan!$B$8:$B$27,F$4)="","",INDEX(Pengaturan!$B$8:$B$27,F$4))</f>
        <v>4</v>
      </c>
      <c r="G5" s="11" t="n">
        <f aca="false">IF(INDEX(Pengaturan!$B$8:$B$27,G$4)="","",INDEX(Pengaturan!$B$8:$B$27,G$4))</f>
        <v>5</v>
      </c>
      <c r="H5" s="11" t="str">
        <f aca="false">IF(INDEX(Pengaturan!$B$8:$B$27,H$4)="","",INDEX(Pengaturan!$B$8:$B$27,H$4))</f>
        <v/>
      </c>
      <c r="I5" s="11" t="str">
        <f aca="false">IF(INDEX(Pengaturan!$B$8:$B$27,I$4)="","",INDEX(Pengaturan!$B$8:$B$27,I$4))</f>
        <v/>
      </c>
      <c r="J5" s="11" t="str">
        <f aca="false">IF(INDEX(Pengaturan!$B$8:$B$27,J$4)="","",INDEX(Pengaturan!$B$8:$B$27,J$4))</f>
        <v/>
      </c>
      <c r="K5" s="11" t="str">
        <f aca="false">IF(INDEX(Pengaturan!$B$8:$B$27,K$4)="","",INDEX(Pengaturan!$B$8:$B$27,K$4))</f>
        <v/>
      </c>
      <c r="L5" s="11" t="str">
        <f aca="false">IF(INDEX(Pengaturan!$B$8:$B$27,L$4)="","",INDEX(Pengaturan!$B$8:$B$27,L$4))</f>
        <v/>
      </c>
      <c r="M5" s="11" t="str">
        <f aca="false">IF(INDEX(Pengaturan!$B$8:$B$27,M$4)="","",INDEX(Pengaturan!$B$8:$B$27,M$4))</f>
        <v/>
      </c>
      <c r="N5" s="11" t="str">
        <f aca="false">IF(INDEX(Pengaturan!$B$8:$B$27,N$4)="","",INDEX(Pengaturan!$B$8:$B$27,N$4))</f>
        <v/>
      </c>
      <c r="O5" s="11" t="str">
        <f aca="false">IF(INDEX(Pengaturan!$B$8:$B$27,O$4)="","",INDEX(Pengaturan!$B$8:$B$27,O$4))</f>
        <v/>
      </c>
      <c r="P5" s="11" t="str">
        <f aca="false">IF(INDEX(Pengaturan!$B$8:$B$27,P$4)="","",INDEX(Pengaturan!$B$8:$B$27,P$4))</f>
        <v/>
      </c>
      <c r="Q5" s="11" t="str">
        <f aca="false">IF(INDEX(Pengaturan!$B$8:$B$27,Q$4)="","",INDEX(Pengaturan!$B$8:$B$27,Q$4))</f>
        <v/>
      </c>
      <c r="R5" s="11" t="str">
        <f aca="false">IF(INDEX(Pengaturan!$B$8:$B$27,R$4)="","",INDEX(Pengaturan!$B$8:$B$27,R$4))</f>
        <v/>
      </c>
      <c r="S5" s="11" t="str">
        <f aca="false">IF(INDEX(Pengaturan!$B$8:$B$27,S$4)="","",INDEX(Pengaturan!$B$8:$B$27,S$4))</f>
        <v/>
      </c>
      <c r="T5" s="11" t="str">
        <f aca="false">IF(INDEX(Pengaturan!$B$8:$B$27,T$4)="","",INDEX(Pengaturan!$B$8:$B$27,T$4))</f>
        <v/>
      </c>
      <c r="U5" s="11" t="str">
        <f aca="false">IF(INDEX(Pengaturan!$B$8:$B$27,U$4)="","",INDEX(Pengaturan!$B$8:$B$27,U$4))</f>
        <v/>
      </c>
      <c r="V5" s="11" t="str">
        <f aca="false">IF(INDEX(Pengaturan!$B$8:$B$27,V$4)="","",INDEX(Pengaturan!$B$8:$B$27,V$4))</f>
        <v/>
      </c>
      <c r="W5" s="28" t="s">
        <v>102</v>
      </c>
    </row>
    <row r="6" customFormat="false" ht="15" hidden="false" customHeight="false" outlineLevel="0" collapsed="false">
      <c r="A6" s="29" t="n">
        <v>1</v>
      </c>
      <c r="B6" s="29" t="n">
        <f aca="false">IF(INDEX(Pengaturan!$B$8:$B$27,$A6)="","",INDEX(Pengaturan!$B$8:$B$27,$A6))</f>
        <v>1</v>
      </c>
      <c r="C6" s="30" t="n">
        <f aca="false">IF(Hasil!$C$4&lt;2,0,(SUMPRODUCT(INDEX(Hitung!$B$6:$U$1005,0,$A6),INDEX(Hitung!$B$6:$U$1005,0,C$4))-IF($A6=C$4,SUM(INDEX(Hitung!$B$6:$U$1005,0,$A6)),0))/(Hasil!$C$4-1))</f>
        <v>14.6666666666667</v>
      </c>
      <c r="D6" s="30" t="n">
        <f aca="false">IF(Hasil!$C$4&lt;2,0,(SUMPRODUCT(INDEX(Hitung!$B$6:$U$1005,0,$A6),INDEX(Hitung!$B$6:$U$1005,0,D$4))-IF($A6=D$4,SUM(INDEX(Hitung!$B$6:$U$1005,0,$A6)),0))/(Hasil!$C$4-1))</f>
        <v>5</v>
      </c>
      <c r="E6" s="30" t="n">
        <f aca="false">IF(Hasil!$C$4&lt;2,0,(SUMPRODUCT(INDEX(Hitung!$B$6:$U$1005,0,$A6),INDEX(Hitung!$B$6:$U$1005,0,E$4))-IF($A6=E$4,SUM(INDEX(Hitung!$B$6:$U$1005,0,$A6)),0))/(Hasil!$C$4-1))</f>
        <v>1.33333333333333</v>
      </c>
      <c r="F6" s="30" t="n">
        <f aca="false">IF(Hasil!$C$4&lt;2,0,(SUMPRODUCT(INDEX(Hitung!$B$6:$U$1005,0,$A6),INDEX(Hitung!$B$6:$U$1005,0,F$4))-IF($A6=F$4,SUM(INDEX(Hitung!$B$6:$U$1005,0,$A6)),0))/(Hasil!$C$4-1))</f>
        <v>1</v>
      </c>
      <c r="G6" s="30" t="n">
        <f aca="false">IF(Hasil!$C$4&lt;2,0,(SUMPRODUCT(INDEX(Hitung!$B$6:$U$1005,0,$A6),INDEX(Hitung!$B$6:$U$1005,0,G$4))-IF($A6=G$4,SUM(INDEX(Hitung!$B$6:$U$1005,0,$A6)),0))/(Hasil!$C$4-1))</f>
        <v>0</v>
      </c>
      <c r="H6" s="30" t="n">
        <f aca="false">IF(Hasil!$C$4&lt;2,0,(SUMPRODUCT(INDEX(Hitung!$B$6:$U$1005,0,$A6),INDEX(Hitung!$B$6:$U$1005,0,H$4))-IF($A6=H$4,SUM(INDEX(Hitung!$B$6:$U$1005,0,$A6)),0))/(Hasil!$C$4-1))</f>
        <v>0</v>
      </c>
      <c r="I6" s="30" t="n">
        <f aca="false">IF(Hasil!$C$4&lt;2,0,(SUMPRODUCT(INDEX(Hitung!$B$6:$U$1005,0,$A6),INDEX(Hitung!$B$6:$U$1005,0,I$4))-IF($A6=I$4,SUM(INDEX(Hitung!$B$6:$U$1005,0,$A6)),0))/(Hasil!$C$4-1))</f>
        <v>0</v>
      </c>
      <c r="J6" s="30" t="n">
        <f aca="false">IF(Hasil!$C$4&lt;2,0,(SUMPRODUCT(INDEX(Hitung!$B$6:$U$1005,0,$A6),INDEX(Hitung!$B$6:$U$1005,0,J$4))-IF($A6=J$4,SUM(INDEX(Hitung!$B$6:$U$1005,0,$A6)),0))/(Hasil!$C$4-1))</f>
        <v>0</v>
      </c>
      <c r="K6" s="30" t="n">
        <f aca="false">IF(Hasil!$C$4&lt;2,0,(SUMPRODUCT(INDEX(Hitung!$B$6:$U$1005,0,$A6),INDEX(Hitung!$B$6:$U$1005,0,K$4))-IF($A6=K$4,SUM(INDEX(Hitung!$B$6:$U$1005,0,$A6)),0))/(Hasil!$C$4-1))</f>
        <v>0</v>
      </c>
      <c r="L6" s="30" t="n">
        <f aca="false">IF(Hasil!$C$4&lt;2,0,(SUMPRODUCT(INDEX(Hitung!$B$6:$U$1005,0,$A6),INDEX(Hitung!$B$6:$U$1005,0,L$4))-IF($A6=L$4,SUM(INDEX(Hitung!$B$6:$U$1005,0,$A6)),0))/(Hasil!$C$4-1))</f>
        <v>0</v>
      </c>
      <c r="M6" s="30" t="n">
        <f aca="false">IF(Hasil!$C$4&lt;2,0,(SUMPRODUCT(INDEX(Hitung!$B$6:$U$1005,0,$A6),INDEX(Hitung!$B$6:$U$1005,0,M$4))-IF($A6=M$4,SUM(INDEX(Hitung!$B$6:$U$1005,0,$A6)),0))/(Hasil!$C$4-1))</f>
        <v>0</v>
      </c>
      <c r="N6" s="30" t="n">
        <f aca="false">IF(Hasil!$C$4&lt;2,0,(SUMPRODUCT(INDEX(Hitung!$B$6:$U$1005,0,$A6),INDEX(Hitung!$B$6:$U$1005,0,N$4))-IF($A6=N$4,SUM(INDEX(Hitung!$B$6:$U$1005,0,$A6)),0))/(Hasil!$C$4-1))</f>
        <v>0</v>
      </c>
      <c r="O6" s="30" t="n">
        <f aca="false">IF(Hasil!$C$4&lt;2,0,(SUMPRODUCT(INDEX(Hitung!$B$6:$U$1005,0,$A6),INDEX(Hitung!$B$6:$U$1005,0,O$4))-IF($A6=O$4,SUM(INDEX(Hitung!$B$6:$U$1005,0,$A6)),0))/(Hasil!$C$4-1))</f>
        <v>0</v>
      </c>
      <c r="P6" s="30" t="n">
        <f aca="false">IF(Hasil!$C$4&lt;2,0,(SUMPRODUCT(INDEX(Hitung!$B$6:$U$1005,0,$A6),INDEX(Hitung!$B$6:$U$1005,0,P$4))-IF($A6=P$4,SUM(INDEX(Hitung!$B$6:$U$1005,0,$A6)),0))/(Hasil!$C$4-1))</f>
        <v>0</v>
      </c>
      <c r="Q6" s="30" t="n">
        <f aca="false">IF(Hasil!$C$4&lt;2,0,(SUMPRODUCT(INDEX(Hitung!$B$6:$U$1005,0,$A6),INDEX(Hitung!$B$6:$U$1005,0,Q$4))-IF($A6=Q$4,SUM(INDEX(Hitung!$B$6:$U$1005,0,$A6)),0))/(Hasil!$C$4-1))</f>
        <v>0</v>
      </c>
      <c r="R6" s="30" t="n">
        <f aca="false">IF(Hasil!$C$4&lt;2,0,(SUMPRODUCT(INDEX(Hitung!$B$6:$U$1005,0,$A6),INDEX(Hitung!$B$6:$U$1005,0,R$4))-IF($A6=R$4,SUM(INDEX(Hitung!$B$6:$U$1005,0,$A6)),0))/(Hasil!$C$4-1))</f>
        <v>0</v>
      </c>
      <c r="S6" s="30" t="n">
        <f aca="false">IF(Hasil!$C$4&lt;2,0,(SUMPRODUCT(INDEX(Hitung!$B$6:$U$1005,0,$A6),INDEX(Hitung!$B$6:$U$1005,0,S$4))-IF($A6=S$4,SUM(INDEX(Hitung!$B$6:$U$1005,0,$A6)),0))/(Hasil!$C$4-1))</f>
        <v>0</v>
      </c>
      <c r="T6" s="30" t="n">
        <f aca="false">IF(Hasil!$C$4&lt;2,0,(SUMPRODUCT(INDEX(Hitung!$B$6:$U$1005,0,$A6),INDEX(Hitung!$B$6:$U$1005,0,T$4))-IF($A6=T$4,SUM(INDEX(Hitung!$B$6:$U$1005,0,$A6)),0))/(Hasil!$C$4-1))</f>
        <v>0</v>
      </c>
      <c r="U6" s="30" t="n">
        <f aca="false">IF(Hasil!$C$4&lt;2,0,(SUMPRODUCT(INDEX(Hitung!$B$6:$U$1005,0,$A6),INDEX(Hitung!$B$6:$U$1005,0,U$4))-IF($A6=U$4,SUM(INDEX(Hitung!$B$6:$U$1005,0,$A6)),0))/(Hasil!$C$4-1))</f>
        <v>0</v>
      </c>
      <c r="V6" s="30" t="n">
        <f aca="false">IF(Hasil!$C$4&lt;2,0,(SUMPRODUCT(INDEX(Hitung!$B$6:$U$1005,0,$A6),INDEX(Hitung!$B$6:$U$1005,0,V$4))-IF($A6=V$4,SUM(INDEX(Hitung!$B$6:$U$1005,0,$A6)),0))/(Hasil!$C$4-1))</f>
        <v>0</v>
      </c>
      <c r="W6" s="31" t="n">
        <f aca="false">SUM(C6:V6)</f>
        <v>22</v>
      </c>
    </row>
    <row r="7" customFormat="false" ht="15" hidden="false" customHeight="false" outlineLevel="0" collapsed="false">
      <c r="A7" s="29" t="n">
        <v>2</v>
      </c>
      <c r="B7" s="29" t="n">
        <f aca="false">IF(INDEX(Pengaturan!$B$8:$B$27,$A7)="","",INDEX(Pengaturan!$B$8:$B$27,$A7))</f>
        <v>2</v>
      </c>
      <c r="C7" s="30" t="n">
        <f aca="false">IF(Hasil!$C$4&lt;2,0,(SUMPRODUCT(INDEX(Hitung!$B$6:$U$1005,0,$A7),INDEX(Hitung!$B$6:$U$1005,0,C$4))-IF($A7=C$4,SUM(INDEX(Hitung!$B$6:$U$1005,0,$A7)),0))/(Hasil!$C$4-1))</f>
        <v>5</v>
      </c>
      <c r="D7" s="30" t="n">
        <f aca="false">IF(Hasil!$C$4&lt;2,0,(SUMPRODUCT(INDEX(Hitung!$B$6:$U$1005,0,$A7),INDEX(Hitung!$B$6:$U$1005,0,D$4))-IF($A7=D$4,SUM(INDEX(Hitung!$B$6:$U$1005,0,$A7)),0))/(Hasil!$C$4-1))</f>
        <v>3.33333333333333</v>
      </c>
      <c r="E7" s="30" t="n">
        <f aca="false">IF(Hasil!$C$4&lt;2,0,(SUMPRODUCT(INDEX(Hitung!$B$6:$U$1005,0,$A7),INDEX(Hitung!$B$6:$U$1005,0,E$4))-IF($A7=E$4,SUM(INDEX(Hitung!$B$6:$U$1005,0,$A7)),0))/(Hasil!$C$4-1))</f>
        <v>2</v>
      </c>
      <c r="F7" s="30" t="n">
        <f aca="false">IF(Hasil!$C$4&lt;2,0,(SUMPRODUCT(INDEX(Hitung!$B$6:$U$1005,0,$A7),INDEX(Hitung!$B$6:$U$1005,0,F$4))-IF($A7=F$4,SUM(INDEX(Hitung!$B$6:$U$1005,0,$A7)),0))/(Hasil!$C$4-1))</f>
        <v>3</v>
      </c>
      <c r="G7" s="30" t="n">
        <f aca="false">IF(Hasil!$C$4&lt;2,0,(SUMPRODUCT(INDEX(Hitung!$B$6:$U$1005,0,$A7),INDEX(Hitung!$B$6:$U$1005,0,G$4))-IF($A7=G$4,SUM(INDEX(Hitung!$B$6:$U$1005,0,$A7)),0))/(Hasil!$C$4-1))</f>
        <v>0.666666666666667</v>
      </c>
      <c r="H7" s="30" t="n">
        <f aca="false">IF(Hasil!$C$4&lt;2,0,(SUMPRODUCT(INDEX(Hitung!$B$6:$U$1005,0,$A7),INDEX(Hitung!$B$6:$U$1005,0,H$4))-IF($A7=H$4,SUM(INDEX(Hitung!$B$6:$U$1005,0,$A7)),0))/(Hasil!$C$4-1))</f>
        <v>0</v>
      </c>
      <c r="I7" s="30" t="n">
        <f aca="false">IF(Hasil!$C$4&lt;2,0,(SUMPRODUCT(INDEX(Hitung!$B$6:$U$1005,0,$A7),INDEX(Hitung!$B$6:$U$1005,0,I$4))-IF($A7=I$4,SUM(INDEX(Hitung!$B$6:$U$1005,0,$A7)),0))/(Hasil!$C$4-1))</f>
        <v>0</v>
      </c>
      <c r="J7" s="30" t="n">
        <f aca="false">IF(Hasil!$C$4&lt;2,0,(SUMPRODUCT(INDEX(Hitung!$B$6:$U$1005,0,$A7),INDEX(Hitung!$B$6:$U$1005,0,J$4))-IF($A7=J$4,SUM(INDEX(Hitung!$B$6:$U$1005,0,$A7)),0))/(Hasil!$C$4-1))</f>
        <v>0</v>
      </c>
      <c r="K7" s="30" t="n">
        <f aca="false">IF(Hasil!$C$4&lt;2,0,(SUMPRODUCT(INDEX(Hitung!$B$6:$U$1005,0,$A7),INDEX(Hitung!$B$6:$U$1005,0,K$4))-IF($A7=K$4,SUM(INDEX(Hitung!$B$6:$U$1005,0,$A7)),0))/(Hasil!$C$4-1))</f>
        <v>0</v>
      </c>
      <c r="L7" s="30" t="n">
        <f aca="false">IF(Hasil!$C$4&lt;2,0,(SUMPRODUCT(INDEX(Hitung!$B$6:$U$1005,0,$A7),INDEX(Hitung!$B$6:$U$1005,0,L$4))-IF($A7=L$4,SUM(INDEX(Hitung!$B$6:$U$1005,0,$A7)),0))/(Hasil!$C$4-1))</f>
        <v>0</v>
      </c>
      <c r="M7" s="30" t="n">
        <f aca="false">IF(Hasil!$C$4&lt;2,0,(SUMPRODUCT(INDEX(Hitung!$B$6:$U$1005,0,$A7),INDEX(Hitung!$B$6:$U$1005,0,M$4))-IF($A7=M$4,SUM(INDEX(Hitung!$B$6:$U$1005,0,$A7)),0))/(Hasil!$C$4-1))</f>
        <v>0</v>
      </c>
      <c r="N7" s="30" t="n">
        <f aca="false">IF(Hasil!$C$4&lt;2,0,(SUMPRODUCT(INDEX(Hitung!$B$6:$U$1005,0,$A7),INDEX(Hitung!$B$6:$U$1005,0,N$4))-IF($A7=N$4,SUM(INDEX(Hitung!$B$6:$U$1005,0,$A7)),0))/(Hasil!$C$4-1))</f>
        <v>0</v>
      </c>
      <c r="O7" s="30" t="n">
        <f aca="false">IF(Hasil!$C$4&lt;2,0,(SUMPRODUCT(INDEX(Hitung!$B$6:$U$1005,0,$A7),INDEX(Hitung!$B$6:$U$1005,0,O$4))-IF($A7=O$4,SUM(INDEX(Hitung!$B$6:$U$1005,0,$A7)),0))/(Hasil!$C$4-1))</f>
        <v>0</v>
      </c>
      <c r="P7" s="30" t="n">
        <f aca="false">IF(Hasil!$C$4&lt;2,0,(SUMPRODUCT(INDEX(Hitung!$B$6:$U$1005,0,$A7),INDEX(Hitung!$B$6:$U$1005,0,P$4))-IF($A7=P$4,SUM(INDEX(Hitung!$B$6:$U$1005,0,$A7)),0))/(Hasil!$C$4-1))</f>
        <v>0</v>
      </c>
      <c r="Q7" s="30" t="n">
        <f aca="false">IF(Hasil!$C$4&lt;2,0,(SUMPRODUCT(INDEX(Hitung!$B$6:$U$1005,0,$A7),INDEX(Hitung!$B$6:$U$1005,0,Q$4))-IF($A7=Q$4,SUM(INDEX(Hitung!$B$6:$U$1005,0,$A7)),0))/(Hasil!$C$4-1))</f>
        <v>0</v>
      </c>
      <c r="R7" s="30" t="n">
        <f aca="false">IF(Hasil!$C$4&lt;2,0,(SUMPRODUCT(INDEX(Hitung!$B$6:$U$1005,0,$A7),INDEX(Hitung!$B$6:$U$1005,0,R$4))-IF($A7=R$4,SUM(INDEX(Hitung!$B$6:$U$1005,0,$A7)),0))/(Hasil!$C$4-1))</f>
        <v>0</v>
      </c>
      <c r="S7" s="30" t="n">
        <f aca="false">IF(Hasil!$C$4&lt;2,0,(SUMPRODUCT(INDEX(Hitung!$B$6:$U$1005,0,$A7),INDEX(Hitung!$B$6:$U$1005,0,S$4))-IF($A7=S$4,SUM(INDEX(Hitung!$B$6:$U$1005,0,$A7)),0))/(Hasil!$C$4-1))</f>
        <v>0</v>
      </c>
      <c r="T7" s="30" t="n">
        <f aca="false">IF(Hasil!$C$4&lt;2,0,(SUMPRODUCT(INDEX(Hitung!$B$6:$U$1005,0,$A7),INDEX(Hitung!$B$6:$U$1005,0,T$4))-IF($A7=T$4,SUM(INDEX(Hitung!$B$6:$U$1005,0,$A7)),0))/(Hasil!$C$4-1))</f>
        <v>0</v>
      </c>
      <c r="U7" s="30" t="n">
        <f aca="false">IF(Hasil!$C$4&lt;2,0,(SUMPRODUCT(INDEX(Hitung!$B$6:$U$1005,0,$A7),INDEX(Hitung!$B$6:$U$1005,0,U$4))-IF($A7=U$4,SUM(INDEX(Hitung!$B$6:$U$1005,0,$A7)),0))/(Hasil!$C$4-1))</f>
        <v>0</v>
      </c>
      <c r="V7" s="30" t="n">
        <f aca="false">IF(Hasil!$C$4&lt;2,0,(SUMPRODUCT(INDEX(Hitung!$B$6:$U$1005,0,$A7),INDEX(Hitung!$B$6:$U$1005,0,V$4))-IF($A7=V$4,SUM(INDEX(Hitung!$B$6:$U$1005,0,$A7)),0))/(Hasil!$C$4-1))</f>
        <v>0</v>
      </c>
      <c r="W7" s="31" t="n">
        <f aca="false">SUM(C7:V7)</f>
        <v>14</v>
      </c>
    </row>
    <row r="8" customFormat="false" ht="15" hidden="false" customHeight="false" outlineLevel="0" collapsed="false">
      <c r="A8" s="29" t="n">
        <v>3</v>
      </c>
      <c r="B8" s="29" t="n">
        <f aca="false">IF(INDEX(Pengaturan!$B$8:$B$27,$A8)="","",INDEX(Pengaturan!$B$8:$B$27,$A8))</f>
        <v>3</v>
      </c>
      <c r="C8" s="30" t="n">
        <f aca="false">IF(Hasil!$C$4&lt;2,0,(SUMPRODUCT(INDEX(Hitung!$B$6:$U$1005,0,$A8),INDEX(Hitung!$B$6:$U$1005,0,C$4))-IF($A8=C$4,SUM(INDEX(Hitung!$B$6:$U$1005,0,$A8)),0))/(Hasil!$C$4-1))</f>
        <v>1.33333333333333</v>
      </c>
      <c r="D8" s="30" t="n">
        <f aca="false">IF(Hasil!$C$4&lt;2,0,(SUMPRODUCT(INDEX(Hitung!$B$6:$U$1005,0,$A8),INDEX(Hitung!$B$6:$U$1005,0,D$4))-IF($A8=D$4,SUM(INDEX(Hitung!$B$6:$U$1005,0,$A8)),0))/(Hasil!$C$4-1))</f>
        <v>2</v>
      </c>
      <c r="E8" s="30" t="n">
        <f aca="false">IF(Hasil!$C$4&lt;2,0,(SUMPRODUCT(INDEX(Hitung!$B$6:$U$1005,0,$A8),INDEX(Hitung!$B$6:$U$1005,0,E$4))-IF($A8=E$4,SUM(INDEX(Hitung!$B$6:$U$1005,0,$A8)),0))/(Hasil!$C$4-1))</f>
        <v>3.33333333333333</v>
      </c>
      <c r="F8" s="30" t="n">
        <f aca="false">IF(Hasil!$C$4&lt;2,0,(SUMPRODUCT(INDEX(Hitung!$B$6:$U$1005,0,$A8),INDEX(Hitung!$B$6:$U$1005,0,F$4))-IF($A8=F$4,SUM(INDEX(Hitung!$B$6:$U$1005,0,$A8)),0))/(Hasil!$C$4-1))</f>
        <v>4</v>
      </c>
      <c r="G8" s="30" t="n">
        <f aca="false">IF(Hasil!$C$4&lt;2,0,(SUMPRODUCT(INDEX(Hitung!$B$6:$U$1005,0,$A8),INDEX(Hitung!$B$6:$U$1005,0,G$4))-IF($A8=G$4,SUM(INDEX(Hitung!$B$6:$U$1005,0,$A8)),0))/(Hasil!$C$4-1))</f>
        <v>1.33333333333333</v>
      </c>
      <c r="H8" s="30" t="n">
        <f aca="false">IF(Hasil!$C$4&lt;2,0,(SUMPRODUCT(INDEX(Hitung!$B$6:$U$1005,0,$A8),INDEX(Hitung!$B$6:$U$1005,0,H$4))-IF($A8=H$4,SUM(INDEX(Hitung!$B$6:$U$1005,0,$A8)),0))/(Hasil!$C$4-1))</f>
        <v>0</v>
      </c>
      <c r="I8" s="30" t="n">
        <f aca="false">IF(Hasil!$C$4&lt;2,0,(SUMPRODUCT(INDEX(Hitung!$B$6:$U$1005,0,$A8),INDEX(Hitung!$B$6:$U$1005,0,I$4))-IF($A8=I$4,SUM(INDEX(Hitung!$B$6:$U$1005,0,$A8)),0))/(Hasil!$C$4-1))</f>
        <v>0</v>
      </c>
      <c r="J8" s="30" t="n">
        <f aca="false">IF(Hasil!$C$4&lt;2,0,(SUMPRODUCT(INDEX(Hitung!$B$6:$U$1005,0,$A8),INDEX(Hitung!$B$6:$U$1005,0,J$4))-IF($A8=J$4,SUM(INDEX(Hitung!$B$6:$U$1005,0,$A8)),0))/(Hasil!$C$4-1))</f>
        <v>0</v>
      </c>
      <c r="K8" s="30" t="n">
        <f aca="false">IF(Hasil!$C$4&lt;2,0,(SUMPRODUCT(INDEX(Hitung!$B$6:$U$1005,0,$A8),INDEX(Hitung!$B$6:$U$1005,0,K$4))-IF($A8=K$4,SUM(INDEX(Hitung!$B$6:$U$1005,0,$A8)),0))/(Hasil!$C$4-1))</f>
        <v>0</v>
      </c>
      <c r="L8" s="30" t="n">
        <f aca="false">IF(Hasil!$C$4&lt;2,0,(SUMPRODUCT(INDEX(Hitung!$B$6:$U$1005,0,$A8),INDEX(Hitung!$B$6:$U$1005,0,L$4))-IF($A8=L$4,SUM(INDEX(Hitung!$B$6:$U$1005,0,$A8)),0))/(Hasil!$C$4-1))</f>
        <v>0</v>
      </c>
      <c r="M8" s="30" t="n">
        <f aca="false">IF(Hasil!$C$4&lt;2,0,(SUMPRODUCT(INDEX(Hitung!$B$6:$U$1005,0,$A8),INDEX(Hitung!$B$6:$U$1005,0,M$4))-IF($A8=M$4,SUM(INDEX(Hitung!$B$6:$U$1005,0,$A8)),0))/(Hasil!$C$4-1))</f>
        <v>0</v>
      </c>
      <c r="N8" s="30" t="n">
        <f aca="false">IF(Hasil!$C$4&lt;2,0,(SUMPRODUCT(INDEX(Hitung!$B$6:$U$1005,0,$A8),INDEX(Hitung!$B$6:$U$1005,0,N$4))-IF($A8=N$4,SUM(INDEX(Hitung!$B$6:$U$1005,0,$A8)),0))/(Hasil!$C$4-1))</f>
        <v>0</v>
      </c>
      <c r="O8" s="30" t="n">
        <f aca="false">IF(Hasil!$C$4&lt;2,0,(SUMPRODUCT(INDEX(Hitung!$B$6:$U$1005,0,$A8),INDEX(Hitung!$B$6:$U$1005,0,O$4))-IF($A8=O$4,SUM(INDEX(Hitung!$B$6:$U$1005,0,$A8)),0))/(Hasil!$C$4-1))</f>
        <v>0</v>
      </c>
      <c r="P8" s="30" t="n">
        <f aca="false">IF(Hasil!$C$4&lt;2,0,(SUMPRODUCT(INDEX(Hitung!$B$6:$U$1005,0,$A8),INDEX(Hitung!$B$6:$U$1005,0,P$4))-IF($A8=P$4,SUM(INDEX(Hitung!$B$6:$U$1005,0,$A8)),0))/(Hasil!$C$4-1))</f>
        <v>0</v>
      </c>
      <c r="Q8" s="30" t="n">
        <f aca="false">IF(Hasil!$C$4&lt;2,0,(SUMPRODUCT(INDEX(Hitung!$B$6:$U$1005,0,$A8),INDEX(Hitung!$B$6:$U$1005,0,Q$4))-IF($A8=Q$4,SUM(INDEX(Hitung!$B$6:$U$1005,0,$A8)),0))/(Hasil!$C$4-1))</f>
        <v>0</v>
      </c>
      <c r="R8" s="30" t="n">
        <f aca="false">IF(Hasil!$C$4&lt;2,0,(SUMPRODUCT(INDEX(Hitung!$B$6:$U$1005,0,$A8),INDEX(Hitung!$B$6:$U$1005,0,R$4))-IF($A8=R$4,SUM(INDEX(Hitung!$B$6:$U$1005,0,$A8)),0))/(Hasil!$C$4-1))</f>
        <v>0</v>
      </c>
      <c r="S8" s="30" t="n">
        <f aca="false">IF(Hasil!$C$4&lt;2,0,(SUMPRODUCT(INDEX(Hitung!$B$6:$U$1005,0,$A8),INDEX(Hitung!$B$6:$U$1005,0,S$4))-IF($A8=S$4,SUM(INDEX(Hitung!$B$6:$U$1005,0,$A8)),0))/(Hasil!$C$4-1))</f>
        <v>0</v>
      </c>
      <c r="T8" s="30" t="n">
        <f aca="false">IF(Hasil!$C$4&lt;2,0,(SUMPRODUCT(INDEX(Hitung!$B$6:$U$1005,0,$A8),INDEX(Hitung!$B$6:$U$1005,0,T$4))-IF($A8=T$4,SUM(INDEX(Hitung!$B$6:$U$1005,0,$A8)),0))/(Hasil!$C$4-1))</f>
        <v>0</v>
      </c>
      <c r="U8" s="30" t="n">
        <f aca="false">IF(Hasil!$C$4&lt;2,0,(SUMPRODUCT(INDEX(Hitung!$B$6:$U$1005,0,$A8),INDEX(Hitung!$B$6:$U$1005,0,U$4))-IF($A8=U$4,SUM(INDEX(Hitung!$B$6:$U$1005,0,$A8)),0))/(Hasil!$C$4-1))</f>
        <v>0</v>
      </c>
      <c r="V8" s="30" t="n">
        <f aca="false">IF(Hasil!$C$4&lt;2,0,(SUMPRODUCT(INDEX(Hitung!$B$6:$U$1005,0,$A8),INDEX(Hitung!$B$6:$U$1005,0,V$4))-IF($A8=V$4,SUM(INDEX(Hitung!$B$6:$U$1005,0,$A8)),0))/(Hasil!$C$4-1))</f>
        <v>0</v>
      </c>
      <c r="W8" s="31" t="n">
        <f aca="false">SUM(C8:V8)</f>
        <v>12</v>
      </c>
    </row>
    <row r="9" customFormat="false" ht="15" hidden="false" customHeight="false" outlineLevel="0" collapsed="false">
      <c r="A9" s="29" t="n">
        <v>4</v>
      </c>
      <c r="B9" s="29" t="n">
        <f aca="false">IF(INDEX(Pengaturan!$B$8:$B$27,$A9)="","",INDEX(Pengaturan!$B$8:$B$27,$A9))</f>
        <v>4</v>
      </c>
      <c r="C9" s="30" t="n">
        <f aca="false">IF(Hasil!$C$4&lt;2,0,(SUMPRODUCT(INDEX(Hitung!$B$6:$U$1005,0,$A9),INDEX(Hitung!$B$6:$U$1005,0,C$4))-IF($A9=C$4,SUM(INDEX(Hitung!$B$6:$U$1005,0,$A9)),0))/(Hasil!$C$4-1))</f>
        <v>1</v>
      </c>
      <c r="D9" s="30" t="n">
        <f aca="false">IF(Hasil!$C$4&lt;2,0,(SUMPRODUCT(INDEX(Hitung!$B$6:$U$1005,0,$A9),INDEX(Hitung!$B$6:$U$1005,0,D$4))-IF($A9=D$4,SUM(INDEX(Hitung!$B$6:$U$1005,0,$A9)),0))/(Hasil!$C$4-1))</f>
        <v>3</v>
      </c>
      <c r="E9" s="30" t="n">
        <f aca="false">IF(Hasil!$C$4&lt;2,0,(SUMPRODUCT(INDEX(Hitung!$B$6:$U$1005,0,$A9),INDEX(Hitung!$B$6:$U$1005,0,E$4))-IF($A9=E$4,SUM(INDEX(Hitung!$B$6:$U$1005,0,$A9)),0))/(Hasil!$C$4-1))</f>
        <v>4</v>
      </c>
      <c r="F9" s="30" t="n">
        <f aca="false">IF(Hasil!$C$4&lt;2,0,(SUMPRODUCT(INDEX(Hitung!$B$6:$U$1005,0,$A9),INDEX(Hitung!$B$6:$U$1005,0,F$4))-IF($A9=F$4,SUM(INDEX(Hitung!$B$6:$U$1005,0,$A9)),0))/(Hasil!$C$4-1))</f>
        <v>10</v>
      </c>
      <c r="G9" s="30" t="n">
        <f aca="false">IF(Hasil!$C$4&lt;2,0,(SUMPRODUCT(INDEX(Hitung!$B$6:$U$1005,0,$A9),INDEX(Hitung!$B$6:$U$1005,0,G$4))-IF($A9=G$4,SUM(INDEX(Hitung!$B$6:$U$1005,0,$A9)),0))/(Hasil!$C$4-1))</f>
        <v>7</v>
      </c>
      <c r="H9" s="30" t="n">
        <f aca="false">IF(Hasil!$C$4&lt;2,0,(SUMPRODUCT(INDEX(Hitung!$B$6:$U$1005,0,$A9),INDEX(Hitung!$B$6:$U$1005,0,H$4))-IF($A9=H$4,SUM(INDEX(Hitung!$B$6:$U$1005,0,$A9)),0))/(Hasil!$C$4-1))</f>
        <v>0</v>
      </c>
      <c r="I9" s="30" t="n">
        <f aca="false">IF(Hasil!$C$4&lt;2,0,(SUMPRODUCT(INDEX(Hitung!$B$6:$U$1005,0,$A9),INDEX(Hitung!$B$6:$U$1005,0,I$4))-IF($A9=I$4,SUM(INDEX(Hitung!$B$6:$U$1005,0,$A9)),0))/(Hasil!$C$4-1))</f>
        <v>0</v>
      </c>
      <c r="J9" s="30" t="n">
        <f aca="false">IF(Hasil!$C$4&lt;2,0,(SUMPRODUCT(INDEX(Hitung!$B$6:$U$1005,0,$A9),INDEX(Hitung!$B$6:$U$1005,0,J$4))-IF($A9=J$4,SUM(INDEX(Hitung!$B$6:$U$1005,0,$A9)),0))/(Hasil!$C$4-1))</f>
        <v>0</v>
      </c>
      <c r="K9" s="30" t="n">
        <f aca="false">IF(Hasil!$C$4&lt;2,0,(SUMPRODUCT(INDEX(Hitung!$B$6:$U$1005,0,$A9),INDEX(Hitung!$B$6:$U$1005,0,K$4))-IF($A9=K$4,SUM(INDEX(Hitung!$B$6:$U$1005,0,$A9)),0))/(Hasil!$C$4-1))</f>
        <v>0</v>
      </c>
      <c r="L9" s="30" t="n">
        <f aca="false">IF(Hasil!$C$4&lt;2,0,(SUMPRODUCT(INDEX(Hitung!$B$6:$U$1005,0,$A9),INDEX(Hitung!$B$6:$U$1005,0,L$4))-IF($A9=L$4,SUM(INDEX(Hitung!$B$6:$U$1005,0,$A9)),0))/(Hasil!$C$4-1))</f>
        <v>0</v>
      </c>
      <c r="M9" s="30" t="n">
        <f aca="false">IF(Hasil!$C$4&lt;2,0,(SUMPRODUCT(INDEX(Hitung!$B$6:$U$1005,0,$A9),INDEX(Hitung!$B$6:$U$1005,0,M$4))-IF($A9=M$4,SUM(INDEX(Hitung!$B$6:$U$1005,0,$A9)),0))/(Hasil!$C$4-1))</f>
        <v>0</v>
      </c>
      <c r="N9" s="30" t="n">
        <f aca="false">IF(Hasil!$C$4&lt;2,0,(SUMPRODUCT(INDEX(Hitung!$B$6:$U$1005,0,$A9),INDEX(Hitung!$B$6:$U$1005,0,N$4))-IF($A9=N$4,SUM(INDEX(Hitung!$B$6:$U$1005,0,$A9)),0))/(Hasil!$C$4-1))</f>
        <v>0</v>
      </c>
      <c r="O9" s="30" t="n">
        <f aca="false">IF(Hasil!$C$4&lt;2,0,(SUMPRODUCT(INDEX(Hitung!$B$6:$U$1005,0,$A9),INDEX(Hitung!$B$6:$U$1005,0,O$4))-IF($A9=O$4,SUM(INDEX(Hitung!$B$6:$U$1005,0,$A9)),0))/(Hasil!$C$4-1))</f>
        <v>0</v>
      </c>
      <c r="P9" s="30" t="n">
        <f aca="false">IF(Hasil!$C$4&lt;2,0,(SUMPRODUCT(INDEX(Hitung!$B$6:$U$1005,0,$A9),INDEX(Hitung!$B$6:$U$1005,0,P$4))-IF($A9=P$4,SUM(INDEX(Hitung!$B$6:$U$1005,0,$A9)),0))/(Hasil!$C$4-1))</f>
        <v>0</v>
      </c>
      <c r="Q9" s="30" t="n">
        <f aca="false">IF(Hasil!$C$4&lt;2,0,(SUMPRODUCT(INDEX(Hitung!$B$6:$U$1005,0,$A9),INDEX(Hitung!$B$6:$U$1005,0,Q$4))-IF($A9=Q$4,SUM(INDEX(Hitung!$B$6:$U$1005,0,$A9)),0))/(Hasil!$C$4-1))</f>
        <v>0</v>
      </c>
      <c r="R9" s="30" t="n">
        <f aca="false">IF(Hasil!$C$4&lt;2,0,(SUMPRODUCT(INDEX(Hitung!$B$6:$U$1005,0,$A9),INDEX(Hitung!$B$6:$U$1005,0,R$4))-IF($A9=R$4,SUM(INDEX(Hitung!$B$6:$U$1005,0,$A9)),0))/(Hasil!$C$4-1))</f>
        <v>0</v>
      </c>
      <c r="S9" s="30" t="n">
        <f aca="false">IF(Hasil!$C$4&lt;2,0,(SUMPRODUCT(INDEX(Hitung!$B$6:$U$1005,0,$A9),INDEX(Hitung!$B$6:$U$1005,0,S$4))-IF($A9=S$4,SUM(INDEX(Hitung!$B$6:$U$1005,0,$A9)),0))/(Hasil!$C$4-1))</f>
        <v>0</v>
      </c>
      <c r="T9" s="30" t="n">
        <f aca="false">IF(Hasil!$C$4&lt;2,0,(SUMPRODUCT(INDEX(Hitung!$B$6:$U$1005,0,$A9),INDEX(Hitung!$B$6:$U$1005,0,T$4))-IF($A9=T$4,SUM(INDEX(Hitung!$B$6:$U$1005,0,$A9)),0))/(Hasil!$C$4-1))</f>
        <v>0</v>
      </c>
      <c r="U9" s="30" t="n">
        <f aca="false">IF(Hasil!$C$4&lt;2,0,(SUMPRODUCT(INDEX(Hitung!$B$6:$U$1005,0,$A9),INDEX(Hitung!$B$6:$U$1005,0,U$4))-IF($A9=U$4,SUM(INDEX(Hitung!$B$6:$U$1005,0,$A9)),0))/(Hasil!$C$4-1))</f>
        <v>0</v>
      </c>
      <c r="V9" s="30" t="n">
        <f aca="false">IF(Hasil!$C$4&lt;2,0,(SUMPRODUCT(INDEX(Hitung!$B$6:$U$1005,0,$A9),INDEX(Hitung!$B$6:$U$1005,0,V$4))-IF($A9=V$4,SUM(INDEX(Hitung!$B$6:$U$1005,0,$A9)),0))/(Hasil!$C$4-1))</f>
        <v>0</v>
      </c>
      <c r="W9" s="31" t="n">
        <f aca="false">SUM(C9:V9)</f>
        <v>25</v>
      </c>
    </row>
    <row r="10" customFormat="false" ht="15" hidden="false" customHeight="false" outlineLevel="0" collapsed="false">
      <c r="A10" s="29" t="n">
        <v>5</v>
      </c>
      <c r="B10" s="29" t="n">
        <f aca="false">IF(INDEX(Pengaturan!$B$8:$B$27,$A10)="","",INDEX(Pengaturan!$B$8:$B$27,$A10))</f>
        <v>5</v>
      </c>
      <c r="C10" s="30" t="n">
        <f aca="false">IF(Hasil!$C$4&lt;2,0,(SUMPRODUCT(INDEX(Hitung!$B$6:$U$1005,0,$A10),INDEX(Hitung!$B$6:$U$1005,0,C$4))-IF($A10=C$4,SUM(INDEX(Hitung!$B$6:$U$1005,0,$A10)),0))/(Hasil!$C$4-1))</f>
        <v>0</v>
      </c>
      <c r="D10" s="30" t="n">
        <f aca="false">IF(Hasil!$C$4&lt;2,0,(SUMPRODUCT(INDEX(Hitung!$B$6:$U$1005,0,$A10),INDEX(Hitung!$B$6:$U$1005,0,D$4))-IF($A10=D$4,SUM(INDEX(Hitung!$B$6:$U$1005,0,$A10)),0))/(Hasil!$C$4-1))</f>
        <v>0.666666666666667</v>
      </c>
      <c r="E10" s="30" t="n">
        <f aca="false">IF(Hasil!$C$4&lt;2,0,(SUMPRODUCT(INDEX(Hitung!$B$6:$U$1005,0,$A10),INDEX(Hitung!$B$6:$U$1005,0,E$4))-IF($A10=E$4,SUM(INDEX(Hitung!$B$6:$U$1005,0,$A10)),0))/(Hasil!$C$4-1))</f>
        <v>1.33333333333333</v>
      </c>
      <c r="F10" s="30" t="n">
        <f aca="false">IF(Hasil!$C$4&lt;2,0,(SUMPRODUCT(INDEX(Hitung!$B$6:$U$1005,0,$A10),INDEX(Hitung!$B$6:$U$1005,0,F$4))-IF($A10=F$4,SUM(INDEX(Hitung!$B$6:$U$1005,0,$A10)),0))/(Hasil!$C$4-1))</f>
        <v>7</v>
      </c>
      <c r="G10" s="30" t="n">
        <f aca="false">IF(Hasil!$C$4&lt;2,0,(SUMPRODUCT(INDEX(Hitung!$B$6:$U$1005,0,$A10),INDEX(Hitung!$B$6:$U$1005,0,G$4))-IF($A10=G$4,SUM(INDEX(Hitung!$B$6:$U$1005,0,$A10)),0))/(Hasil!$C$4-1))</f>
        <v>18</v>
      </c>
      <c r="H10" s="30" t="n">
        <f aca="false">IF(Hasil!$C$4&lt;2,0,(SUMPRODUCT(INDEX(Hitung!$B$6:$U$1005,0,$A10),INDEX(Hitung!$B$6:$U$1005,0,H$4))-IF($A10=H$4,SUM(INDEX(Hitung!$B$6:$U$1005,0,$A10)),0))/(Hasil!$C$4-1))</f>
        <v>0</v>
      </c>
      <c r="I10" s="30" t="n">
        <f aca="false">IF(Hasil!$C$4&lt;2,0,(SUMPRODUCT(INDEX(Hitung!$B$6:$U$1005,0,$A10),INDEX(Hitung!$B$6:$U$1005,0,I$4))-IF($A10=I$4,SUM(INDEX(Hitung!$B$6:$U$1005,0,$A10)),0))/(Hasil!$C$4-1))</f>
        <v>0</v>
      </c>
      <c r="J10" s="30" t="n">
        <f aca="false">IF(Hasil!$C$4&lt;2,0,(SUMPRODUCT(INDEX(Hitung!$B$6:$U$1005,0,$A10),INDEX(Hitung!$B$6:$U$1005,0,J$4))-IF($A10=J$4,SUM(INDEX(Hitung!$B$6:$U$1005,0,$A10)),0))/(Hasil!$C$4-1))</f>
        <v>0</v>
      </c>
      <c r="K10" s="30" t="n">
        <f aca="false">IF(Hasil!$C$4&lt;2,0,(SUMPRODUCT(INDEX(Hitung!$B$6:$U$1005,0,$A10),INDEX(Hitung!$B$6:$U$1005,0,K$4))-IF($A10=K$4,SUM(INDEX(Hitung!$B$6:$U$1005,0,$A10)),0))/(Hasil!$C$4-1))</f>
        <v>0</v>
      </c>
      <c r="L10" s="30" t="n">
        <f aca="false">IF(Hasil!$C$4&lt;2,0,(SUMPRODUCT(INDEX(Hitung!$B$6:$U$1005,0,$A10),INDEX(Hitung!$B$6:$U$1005,0,L$4))-IF($A10=L$4,SUM(INDEX(Hitung!$B$6:$U$1005,0,$A10)),0))/(Hasil!$C$4-1))</f>
        <v>0</v>
      </c>
      <c r="M10" s="30" t="n">
        <f aca="false">IF(Hasil!$C$4&lt;2,0,(SUMPRODUCT(INDEX(Hitung!$B$6:$U$1005,0,$A10),INDEX(Hitung!$B$6:$U$1005,0,M$4))-IF($A10=M$4,SUM(INDEX(Hitung!$B$6:$U$1005,0,$A10)),0))/(Hasil!$C$4-1))</f>
        <v>0</v>
      </c>
      <c r="N10" s="30" t="n">
        <f aca="false">IF(Hasil!$C$4&lt;2,0,(SUMPRODUCT(INDEX(Hitung!$B$6:$U$1005,0,$A10),INDEX(Hitung!$B$6:$U$1005,0,N$4))-IF($A10=N$4,SUM(INDEX(Hitung!$B$6:$U$1005,0,$A10)),0))/(Hasil!$C$4-1))</f>
        <v>0</v>
      </c>
      <c r="O10" s="30" t="n">
        <f aca="false">IF(Hasil!$C$4&lt;2,0,(SUMPRODUCT(INDEX(Hitung!$B$6:$U$1005,0,$A10),INDEX(Hitung!$B$6:$U$1005,0,O$4))-IF($A10=O$4,SUM(INDEX(Hitung!$B$6:$U$1005,0,$A10)),0))/(Hasil!$C$4-1))</f>
        <v>0</v>
      </c>
      <c r="P10" s="30" t="n">
        <f aca="false">IF(Hasil!$C$4&lt;2,0,(SUMPRODUCT(INDEX(Hitung!$B$6:$U$1005,0,$A10),INDEX(Hitung!$B$6:$U$1005,0,P$4))-IF($A10=P$4,SUM(INDEX(Hitung!$B$6:$U$1005,0,$A10)),0))/(Hasil!$C$4-1))</f>
        <v>0</v>
      </c>
      <c r="Q10" s="30" t="n">
        <f aca="false">IF(Hasil!$C$4&lt;2,0,(SUMPRODUCT(INDEX(Hitung!$B$6:$U$1005,0,$A10),INDEX(Hitung!$B$6:$U$1005,0,Q$4))-IF($A10=Q$4,SUM(INDEX(Hitung!$B$6:$U$1005,0,$A10)),0))/(Hasil!$C$4-1))</f>
        <v>0</v>
      </c>
      <c r="R10" s="30" t="n">
        <f aca="false">IF(Hasil!$C$4&lt;2,0,(SUMPRODUCT(INDEX(Hitung!$B$6:$U$1005,0,$A10),INDEX(Hitung!$B$6:$U$1005,0,R$4))-IF($A10=R$4,SUM(INDEX(Hitung!$B$6:$U$1005,0,$A10)),0))/(Hasil!$C$4-1))</f>
        <v>0</v>
      </c>
      <c r="S10" s="30" t="n">
        <f aca="false">IF(Hasil!$C$4&lt;2,0,(SUMPRODUCT(INDEX(Hitung!$B$6:$U$1005,0,$A10),INDEX(Hitung!$B$6:$U$1005,0,S$4))-IF($A10=S$4,SUM(INDEX(Hitung!$B$6:$U$1005,0,$A10)),0))/(Hasil!$C$4-1))</f>
        <v>0</v>
      </c>
      <c r="T10" s="30" t="n">
        <f aca="false">IF(Hasil!$C$4&lt;2,0,(SUMPRODUCT(INDEX(Hitung!$B$6:$U$1005,0,$A10),INDEX(Hitung!$B$6:$U$1005,0,T$4))-IF($A10=T$4,SUM(INDEX(Hitung!$B$6:$U$1005,0,$A10)),0))/(Hasil!$C$4-1))</f>
        <v>0</v>
      </c>
      <c r="U10" s="30" t="n">
        <f aca="false">IF(Hasil!$C$4&lt;2,0,(SUMPRODUCT(INDEX(Hitung!$B$6:$U$1005,0,$A10),INDEX(Hitung!$B$6:$U$1005,0,U$4))-IF($A10=U$4,SUM(INDEX(Hitung!$B$6:$U$1005,0,$A10)),0))/(Hasil!$C$4-1))</f>
        <v>0</v>
      </c>
      <c r="V10" s="30" t="n">
        <f aca="false">IF(Hasil!$C$4&lt;2,0,(SUMPRODUCT(INDEX(Hitung!$B$6:$U$1005,0,$A10),INDEX(Hitung!$B$6:$U$1005,0,V$4))-IF($A10=V$4,SUM(INDEX(Hitung!$B$6:$U$1005,0,$A10)),0))/(Hasil!$C$4-1))</f>
        <v>0</v>
      </c>
      <c r="W10" s="31" t="n">
        <f aca="false">SUM(C10:V10)</f>
        <v>27</v>
      </c>
    </row>
    <row r="11" customFormat="false" ht="15" hidden="false" customHeight="false" outlineLevel="0" collapsed="false">
      <c r="A11" s="29" t="n">
        <v>6</v>
      </c>
      <c r="B11" s="29" t="str">
        <f aca="false">IF(INDEX(Pengaturan!$B$8:$B$27,$A11)="","",INDEX(Pengaturan!$B$8:$B$27,$A11))</f>
        <v/>
      </c>
      <c r="C11" s="30" t="n">
        <f aca="false">IF(Hasil!$C$4&lt;2,0,(SUMPRODUCT(INDEX(Hitung!$B$6:$U$1005,0,$A11),INDEX(Hitung!$B$6:$U$1005,0,C$4))-IF($A11=C$4,SUM(INDEX(Hitung!$B$6:$U$1005,0,$A11)),0))/(Hasil!$C$4-1))</f>
        <v>0</v>
      </c>
      <c r="D11" s="30" t="n">
        <f aca="false">IF(Hasil!$C$4&lt;2,0,(SUMPRODUCT(INDEX(Hitung!$B$6:$U$1005,0,$A11),INDEX(Hitung!$B$6:$U$1005,0,D$4))-IF($A11=D$4,SUM(INDEX(Hitung!$B$6:$U$1005,0,$A11)),0))/(Hasil!$C$4-1))</f>
        <v>0</v>
      </c>
      <c r="E11" s="30" t="n">
        <f aca="false">IF(Hasil!$C$4&lt;2,0,(SUMPRODUCT(INDEX(Hitung!$B$6:$U$1005,0,$A11),INDEX(Hitung!$B$6:$U$1005,0,E$4))-IF($A11=E$4,SUM(INDEX(Hitung!$B$6:$U$1005,0,$A11)),0))/(Hasil!$C$4-1))</f>
        <v>0</v>
      </c>
      <c r="F11" s="30" t="n">
        <f aca="false">IF(Hasil!$C$4&lt;2,0,(SUMPRODUCT(INDEX(Hitung!$B$6:$U$1005,0,$A11),INDEX(Hitung!$B$6:$U$1005,0,F$4))-IF($A11=F$4,SUM(INDEX(Hitung!$B$6:$U$1005,0,$A11)),0))/(Hasil!$C$4-1))</f>
        <v>0</v>
      </c>
      <c r="G11" s="30" t="n">
        <f aca="false">IF(Hasil!$C$4&lt;2,0,(SUMPRODUCT(INDEX(Hitung!$B$6:$U$1005,0,$A11),INDEX(Hitung!$B$6:$U$1005,0,G$4))-IF($A11=G$4,SUM(INDEX(Hitung!$B$6:$U$1005,0,$A11)),0))/(Hasil!$C$4-1))</f>
        <v>0</v>
      </c>
      <c r="H11" s="30" t="n">
        <f aca="false">IF(Hasil!$C$4&lt;2,0,(SUMPRODUCT(INDEX(Hitung!$B$6:$U$1005,0,$A11),INDEX(Hitung!$B$6:$U$1005,0,H$4))-IF($A11=H$4,SUM(INDEX(Hitung!$B$6:$U$1005,0,$A11)),0))/(Hasil!$C$4-1))</f>
        <v>0</v>
      </c>
      <c r="I11" s="30" t="n">
        <f aca="false">IF(Hasil!$C$4&lt;2,0,(SUMPRODUCT(INDEX(Hitung!$B$6:$U$1005,0,$A11),INDEX(Hitung!$B$6:$U$1005,0,I$4))-IF($A11=I$4,SUM(INDEX(Hitung!$B$6:$U$1005,0,$A11)),0))/(Hasil!$C$4-1))</f>
        <v>0</v>
      </c>
      <c r="J11" s="30" t="n">
        <f aca="false">IF(Hasil!$C$4&lt;2,0,(SUMPRODUCT(INDEX(Hitung!$B$6:$U$1005,0,$A11),INDEX(Hitung!$B$6:$U$1005,0,J$4))-IF($A11=J$4,SUM(INDEX(Hitung!$B$6:$U$1005,0,$A11)),0))/(Hasil!$C$4-1))</f>
        <v>0</v>
      </c>
      <c r="K11" s="30" t="n">
        <f aca="false">IF(Hasil!$C$4&lt;2,0,(SUMPRODUCT(INDEX(Hitung!$B$6:$U$1005,0,$A11),INDEX(Hitung!$B$6:$U$1005,0,K$4))-IF($A11=K$4,SUM(INDEX(Hitung!$B$6:$U$1005,0,$A11)),0))/(Hasil!$C$4-1))</f>
        <v>0</v>
      </c>
      <c r="L11" s="30" t="n">
        <f aca="false">IF(Hasil!$C$4&lt;2,0,(SUMPRODUCT(INDEX(Hitung!$B$6:$U$1005,0,$A11),INDEX(Hitung!$B$6:$U$1005,0,L$4))-IF($A11=L$4,SUM(INDEX(Hitung!$B$6:$U$1005,0,$A11)),0))/(Hasil!$C$4-1))</f>
        <v>0</v>
      </c>
      <c r="M11" s="30" t="n">
        <f aca="false">IF(Hasil!$C$4&lt;2,0,(SUMPRODUCT(INDEX(Hitung!$B$6:$U$1005,0,$A11),INDEX(Hitung!$B$6:$U$1005,0,M$4))-IF($A11=M$4,SUM(INDEX(Hitung!$B$6:$U$1005,0,$A11)),0))/(Hasil!$C$4-1))</f>
        <v>0</v>
      </c>
      <c r="N11" s="30" t="n">
        <f aca="false">IF(Hasil!$C$4&lt;2,0,(SUMPRODUCT(INDEX(Hitung!$B$6:$U$1005,0,$A11),INDEX(Hitung!$B$6:$U$1005,0,N$4))-IF($A11=N$4,SUM(INDEX(Hitung!$B$6:$U$1005,0,$A11)),0))/(Hasil!$C$4-1))</f>
        <v>0</v>
      </c>
      <c r="O11" s="30" t="n">
        <f aca="false">IF(Hasil!$C$4&lt;2,0,(SUMPRODUCT(INDEX(Hitung!$B$6:$U$1005,0,$A11),INDEX(Hitung!$B$6:$U$1005,0,O$4))-IF($A11=O$4,SUM(INDEX(Hitung!$B$6:$U$1005,0,$A11)),0))/(Hasil!$C$4-1))</f>
        <v>0</v>
      </c>
      <c r="P11" s="30" t="n">
        <f aca="false">IF(Hasil!$C$4&lt;2,0,(SUMPRODUCT(INDEX(Hitung!$B$6:$U$1005,0,$A11),INDEX(Hitung!$B$6:$U$1005,0,P$4))-IF($A11=P$4,SUM(INDEX(Hitung!$B$6:$U$1005,0,$A11)),0))/(Hasil!$C$4-1))</f>
        <v>0</v>
      </c>
      <c r="Q11" s="30" t="n">
        <f aca="false">IF(Hasil!$C$4&lt;2,0,(SUMPRODUCT(INDEX(Hitung!$B$6:$U$1005,0,$A11),INDEX(Hitung!$B$6:$U$1005,0,Q$4))-IF($A11=Q$4,SUM(INDEX(Hitung!$B$6:$U$1005,0,$A11)),0))/(Hasil!$C$4-1))</f>
        <v>0</v>
      </c>
      <c r="R11" s="30" t="n">
        <f aca="false">IF(Hasil!$C$4&lt;2,0,(SUMPRODUCT(INDEX(Hitung!$B$6:$U$1005,0,$A11),INDEX(Hitung!$B$6:$U$1005,0,R$4))-IF($A11=R$4,SUM(INDEX(Hitung!$B$6:$U$1005,0,$A11)),0))/(Hasil!$C$4-1))</f>
        <v>0</v>
      </c>
      <c r="S11" s="30" t="n">
        <f aca="false">IF(Hasil!$C$4&lt;2,0,(SUMPRODUCT(INDEX(Hitung!$B$6:$U$1005,0,$A11),INDEX(Hitung!$B$6:$U$1005,0,S$4))-IF($A11=S$4,SUM(INDEX(Hitung!$B$6:$U$1005,0,$A11)),0))/(Hasil!$C$4-1))</f>
        <v>0</v>
      </c>
      <c r="T11" s="30" t="n">
        <f aca="false">IF(Hasil!$C$4&lt;2,0,(SUMPRODUCT(INDEX(Hitung!$B$6:$U$1005,0,$A11),INDEX(Hitung!$B$6:$U$1005,0,T$4))-IF($A11=T$4,SUM(INDEX(Hitung!$B$6:$U$1005,0,$A11)),0))/(Hasil!$C$4-1))</f>
        <v>0</v>
      </c>
      <c r="U11" s="30" t="n">
        <f aca="false">IF(Hasil!$C$4&lt;2,0,(SUMPRODUCT(INDEX(Hitung!$B$6:$U$1005,0,$A11),INDEX(Hitung!$B$6:$U$1005,0,U$4))-IF($A11=U$4,SUM(INDEX(Hitung!$B$6:$U$1005,0,$A11)),0))/(Hasil!$C$4-1))</f>
        <v>0</v>
      </c>
      <c r="V11" s="30" t="n">
        <f aca="false">IF(Hasil!$C$4&lt;2,0,(SUMPRODUCT(INDEX(Hitung!$B$6:$U$1005,0,$A11),INDEX(Hitung!$B$6:$U$1005,0,V$4))-IF($A11=V$4,SUM(INDEX(Hitung!$B$6:$U$1005,0,$A11)),0))/(Hasil!$C$4-1))</f>
        <v>0</v>
      </c>
      <c r="W11" s="31" t="n">
        <f aca="false">SUM(C11:V11)</f>
        <v>0</v>
      </c>
    </row>
    <row r="12" customFormat="false" ht="15" hidden="false" customHeight="false" outlineLevel="0" collapsed="false">
      <c r="A12" s="29" t="n">
        <v>7</v>
      </c>
      <c r="B12" s="29" t="str">
        <f aca="false">IF(INDEX(Pengaturan!$B$8:$B$27,$A12)="","",INDEX(Pengaturan!$B$8:$B$27,$A12))</f>
        <v/>
      </c>
      <c r="C12" s="30" t="n">
        <f aca="false">IF(Hasil!$C$4&lt;2,0,(SUMPRODUCT(INDEX(Hitung!$B$6:$U$1005,0,$A12),INDEX(Hitung!$B$6:$U$1005,0,C$4))-IF($A12=C$4,SUM(INDEX(Hitung!$B$6:$U$1005,0,$A12)),0))/(Hasil!$C$4-1))</f>
        <v>0</v>
      </c>
      <c r="D12" s="30" t="n">
        <f aca="false">IF(Hasil!$C$4&lt;2,0,(SUMPRODUCT(INDEX(Hitung!$B$6:$U$1005,0,$A12),INDEX(Hitung!$B$6:$U$1005,0,D$4))-IF($A12=D$4,SUM(INDEX(Hitung!$B$6:$U$1005,0,$A12)),0))/(Hasil!$C$4-1))</f>
        <v>0</v>
      </c>
      <c r="E12" s="30" t="n">
        <f aca="false">IF(Hasil!$C$4&lt;2,0,(SUMPRODUCT(INDEX(Hitung!$B$6:$U$1005,0,$A12),INDEX(Hitung!$B$6:$U$1005,0,E$4))-IF($A12=E$4,SUM(INDEX(Hitung!$B$6:$U$1005,0,$A12)),0))/(Hasil!$C$4-1))</f>
        <v>0</v>
      </c>
      <c r="F12" s="30" t="n">
        <f aca="false">IF(Hasil!$C$4&lt;2,0,(SUMPRODUCT(INDEX(Hitung!$B$6:$U$1005,0,$A12),INDEX(Hitung!$B$6:$U$1005,0,F$4))-IF($A12=F$4,SUM(INDEX(Hitung!$B$6:$U$1005,0,$A12)),0))/(Hasil!$C$4-1))</f>
        <v>0</v>
      </c>
      <c r="G12" s="30" t="n">
        <f aca="false">IF(Hasil!$C$4&lt;2,0,(SUMPRODUCT(INDEX(Hitung!$B$6:$U$1005,0,$A12),INDEX(Hitung!$B$6:$U$1005,0,G$4))-IF($A12=G$4,SUM(INDEX(Hitung!$B$6:$U$1005,0,$A12)),0))/(Hasil!$C$4-1))</f>
        <v>0</v>
      </c>
      <c r="H12" s="30" t="n">
        <f aca="false">IF(Hasil!$C$4&lt;2,0,(SUMPRODUCT(INDEX(Hitung!$B$6:$U$1005,0,$A12),INDEX(Hitung!$B$6:$U$1005,0,H$4))-IF($A12=H$4,SUM(INDEX(Hitung!$B$6:$U$1005,0,$A12)),0))/(Hasil!$C$4-1))</f>
        <v>0</v>
      </c>
      <c r="I12" s="30" t="n">
        <f aca="false">IF(Hasil!$C$4&lt;2,0,(SUMPRODUCT(INDEX(Hitung!$B$6:$U$1005,0,$A12),INDEX(Hitung!$B$6:$U$1005,0,I$4))-IF($A12=I$4,SUM(INDEX(Hitung!$B$6:$U$1005,0,$A12)),0))/(Hasil!$C$4-1))</f>
        <v>0</v>
      </c>
      <c r="J12" s="30" t="n">
        <f aca="false">IF(Hasil!$C$4&lt;2,0,(SUMPRODUCT(INDEX(Hitung!$B$6:$U$1005,0,$A12),INDEX(Hitung!$B$6:$U$1005,0,J$4))-IF($A12=J$4,SUM(INDEX(Hitung!$B$6:$U$1005,0,$A12)),0))/(Hasil!$C$4-1))</f>
        <v>0</v>
      </c>
      <c r="K12" s="30" t="n">
        <f aca="false">IF(Hasil!$C$4&lt;2,0,(SUMPRODUCT(INDEX(Hitung!$B$6:$U$1005,0,$A12),INDEX(Hitung!$B$6:$U$1005,0,K$4))-IF($A12=K$4,SUM(INDEX(Hitung!$B$6:$U$1005,0,$A12)),0))/(Hasil!$C$4-1))</f>
        <v>0</v>
      </c>
      <c r="L12" s="30" t="n">
        <f aca="false">IF(Hasil!$C$4&lt;2,0,(SUMPRODUCT(INDEX(Hitung!$B$6:$U$1005,0,$A12),INDEX(Hitung!$B$6:$U$1005,0,L$4))-IF($A12=L$4,SUM(INDEX(Hitung!$B$6:$U$1005,0,$A12)),0))/(Hasil!$C$4-1))</f>
        <v>0</v>
      </c>
      <c r="M12" s="30" t="n">
        <f aca="false">IF(Hasil!$C$4&lt;2,0,(SUMPRODUCT(INDEX(Hitung!$B$6:$U$1005,0,$A12),INDEX(Hitung!$B$6:$U$1005,0,M$4))-IF($A12=M$4,SUM(INDEX(Hitung!$B$6:$U$1005,0,$A12)),0))/(Hasil!$C$4-1))</f>
        <v>0</v>
      </c>
      <c r="N12" s="30" t="n">
        <f aca="false">IF(Hasil!$C$4&lt;2,0,(SUMPRODUCT(INDEX(Hitung!$B$6:$U$1005,0,$A12),INDEX(Hitung!$B$6:$U$1005,0,N$4))-IF($A12=N$4,SUM(INDEX(Hitung!$B$6:$U$1005,0,$A12)),0))/(Hasil!$C$4-1))</f>
        <v>0</v>
      </c>
      <c r="O12" s="30" t="n">
        <f aca="false">IF(Hasil!$C$4&lt;2,0,(SUMPRODUCT(INDEX(Hitung!$B$6:$U$1005,0,$A12),INDEX(Hitung!$B$6:$U$1005,0,O$4))-IF($A12=O$4,SUM(INDEX(Hitung!$B$6:$U$1005,0,$A12)),0))/(Hasil!$C$4-1))</f>
        <v>0</v>
      </c>
      <c r="P12" s="30" t="n">
        <f aca="false">IF(Hasil!$C$4&lt;2,0,(SUMPRODUCT(INDEX(Hitung!$B$6:$U$1005,0,$A12),INDEX(Hitung!$B$6:$U$1005,0,P$4))-IF($A12=P$4,SUM(INDEX(Hitung!$B$6:$U$1005,0,$A12)),0))/(Hasil!$C$4-1))</f>
        <v>0</v>
      </c>
      <c r="Q12" s="30" t="n">
        <f aca="false">IF(Hasil!$C$4&lt;2,0,(SUMPRODUCT(INDEX(Hitung!$B$6:$U$1005,0,$A12),INDEX(Hitung!$B$6:$U$1005,0,Q$4))-IF($A12=Q$4,SUM(INDEX(Hitung!$B$6:$U$1005,0,$A12)),0))/(Hasil!$C$4-1))</f>
        <v>0</v>
      </c>
      <c r="R12" s="30" t="n">
        <f aca="false">IF(Hasil!$C$4&lt;2,0,(SUMPRODUCT(INDEX(Hitung!$B$6:$U$1005,0,$A12),INDEX(Hitung!$B$6:$U$1005,0,R$4))-IF($A12=R$4,SUM(INDEX(Hitung!$B$6:$U$1005,0,$A12)),0))/(Hasil!$C$4-1))</f>
        <v>0</v>
      </c>
      <c r="S12" s="30" t="n">
        <f aca="false">IF(Hasil!$C$4&lt;2,0,(SUMPRODUCT(INDEX(Hitung!$B$6:$U$1005,0,$A12),INDEX(Hitung!$B$6:$U$1005,0,S$4))-IF($A12=S$4,SUM(INDEX(Hitung!$B$6:$U$1005,0,$A12)),0))/(Hasil!$C$4-1))</f>
        <v>0</v>
      </c>
      <c r="T12" s="30" t="n">
        <f aca="false">IF(Hasil!$C$4&lt;2,0,(SUMPRODUCT(INDEX(Hitung!$B$6:$U$1005,0,$A12),INDEX(Hitung!$B$6:$U$1005,0,T$4))-IF($A12=T$4,SUM(INDEX(Hitung!$B$6:$U$1005,0,$A12)),0))/(Hasil!$C$4-1))</f>
        <v>0</v>
      </c>
      <c r="U12" s="30" t="n">
        <f aca="false">IF(Hasil!$C$4&lt;2,0,(SUMPRODUCT(INDEX(Hitung!$B$6:$U$1005,0,$A12),INDEX(Hitung!$B$6:$U$1005,0,U$4))-IF($A12=U$4,SUM(INDEX(Hitung!$B$6:$U$1005,0,$A12)),0))/(Hasil!$C$4-1))</f>
        <v>0</v>
      </c>
      <c r="V12" s="30" t="n">
        <f aca="false">IF(Hasil!$C$4&lt;2,0,(SUMPRODUCT(INDEX(Hitung!$B$6:$U$1005,0,$A12),INDEX(Hitung!$B$6:$U$1005,0,V$4))-IF($A12=V$4,SUM(INDEX(Hitung!$B$6:$U$1005,0,$A12)),0))/(Hasil!$C$4-1))</f>
        <v>0</v>
      </c>
      <c r="W12" s="31" t="n">
        <f aca="false">SUM(C12:V12)</f>
        <v>0</v>
      </c>
    </row>
    <row r="13" customFormat="false" ht="15" hidden="false" customHeight="false" outlineLevel="0" collapsed="false">
      <c r="A13" s="29" t="n">
        <v>8</v>
      </c>
      <c r="B13" s="29" t="str">
        <f aca="false">IF(INDEX(Pengaturan!$B$8:$B$27,$A13)="","",INDEX(Pengaturan!$B$8:$B$27,$A13))</f>
        <v/>
      </c>
      <c r="C13" s="30" t="n">
        <f aca="false">IF(Hasil!$C$4&lt;2,0,(SUMPRODUCT(INDEX(Hitung!$B$6:$U$1005,0,$A13),INDEX(Hitung!$B$6:$U$1005,0,C$4))-IF($A13=C$4,SUM(INDEX(Hitung!$B$6:$U$1005,0,$A13)),0))/(Hasil!$C$4-1))</f>
        <v>0</v>
      </c>
      <c r="D13" s="30" t="n">
        <f aca="false">IF(Hasil!$C$4&lt;2,0,(SUMPRODUCT(INDEX(Hitung!$B$6:$U$1005,0,$A13),INDEX(Hitung!$B$6:$U$1005,0,D$4))-IF($A13=D$4,SUM(INDEX(Hitung!$B$6:$U$1005,0,$A13)),0))/(Hasil!$C$4-1))</f>
        <v>0</v>
      </c>
      <c r="E13" s="30" t="n">
        <f aca="false">IF(Hasil!$C$4&lt;2,0,(SUMPRODUCT(INDEX(Hitung!$B$6:$U$1005,0,$A13),INDEX(Hitung!$B$6:$U$1005,0,E$4))-IF($A13=E$4,SUM(INDEX(Hitung!$B$6:$U$1005,0,$A13)),0))/(Hasil!$C$4-1))</f>
        <v>0</v>
      </c>
      <c r="F13" s="30" t="n">
        <f aca="false">IF(Hasil!$C$4&lt;2,0,(SUMPRODUCT(INDEX(Hitung!$B$6:$U$1005,0,$A13),INDEX(Hitung!$B$6:$U$1005,0,F$4))-IF($A13=F$4,SUM(INDEX(Hitung!$B$6:$U$1005,0,$A13)),0))/(Hasil!$C$4-1))</f>
        <v>0</v>
      </c>
      <c r="G13" s="30" t="n">
        <f aca="false">IF(Hasil!$C$4&lt;2,0,(SUMPRODUCT(INDEX(Hitung!$B$6:$U$1005,0,$A13),INDEX(Hitung!$B$6:$U$1005,0,G$4))-IF($A13=G$4,SUM(INDEX(Hitung!$B$6:$U$1005,0,$A13)),0))/(Hasil!$C$4-1))</f>
        <v>0</v>
      </c>
      <c r="H13" s="30" t="n">
        <f aca="false">IF(Hasil!$C$4&lt;2,0,(SUMPRODUCT(INDEX(Hitung!$B$6:$U$1005,0,$A13),INDEX(Hitung!$B$6:$U$1005,0,H$4))-IF($A13=H$4,SUM(INDEX(Hitung!$B$6:$U$1005,0,$A13)),0))/(Hasil!$C$4-1))</f>
        <v>0</v>
      </c>
      <c r="I13" s="30" t="n">
        <f aca="false">IF(Hasil!$C$4&lt;2,0,(SUMPRODUCT(INDEX(Hitung!$B$6:$U$1005,0,$A13),INDEX(Hitung!$B$6:$U$1005,0,I$4))-IF($A13=I$4,SUM(INDEX(Hitung!$B$6:$U$1005,0,$A13)),0))/(Hasil!$C$4-1))</f>
        <v>0</v>
      </c>
      <c r="J13" s="30" t="n">
        <f aca="false">IF(Hasil!$C$4&lt;2,0,(SUMPRODUCT(INDEX(Hitung!$B$6:$U$1005,0,$A13),INDEX(Hitung!$B$6:$U$1005,0,J$4))-IF($A13=J$4,SUM(INDEX(Hitung!$B$6:$U$1005,0,$A13)),0))/(Hasil!$C$4-1))</f>
        <v>0</v>
      </c>
      <c r="K13" s="30" t="n">
        <f aca="false">IF(Hasil!$C$4&lt;2,0,(SUMPRODUCT(INDEX(Hitung!$B$6:$U$1005,0,$A13),INDEX(Hitung!$B$6:$U$1005,0,K$4))-IF($A13=K$4,SUM(INDEX(Hitung!$B$6:$U$1005,0,$A13)),0))/(Hasil!$C$4-1))</f>
        <v>0</v>
      </c>
      <c r="L13" s="30" t="n">
        <f aca="false">IF(Hasil!$C$4&lt;2,0,(SUMPRODUCT(INDEX(Hitung!$B$6:$U$1005,0,$A13),INDEX(Hitung!$B$6:$U$1005,0,L$4))-IF($A13=L$4,SUM(INDEX(Hitung!$B$6:$U$1005,0,$A13)),0))/(Hasil!$C$4-1))</f>
        <v>0</v>
      </c>
      <c r="M13" s="30" t="n">
        <f aca="false">IF(Hasil!$C$4&lt;2,0,(SUMPRODUCT(INDEX(Hitung!$B$6:$U$1005,0,$A13),INDEX(Hitung!$B$6:$U$1005,0,M$4))-IF($A13=M$4,SUM(INDEX(Hitung!$B$6:$U$1005,0,$A13)),0))/(Hasil!$C$4-1))</f>
        <v>0</v>
      </c>
      <c r="N13" s="30" t="n">
        <f aca="false">IF(Hasil!$C$4&lt;2,0,(SUMPRODUCT(INDEX(Hitung!$B$6:$U$1005,0,$A13),INDEX(Hitung!$B$6:$U$1005,0,N$4))-IF($A13=N$4,SUM(INDEX(Hitung!$B$6:$U$1005,0,$A13)),0))/(Hasil!$C$4-1))</f>
        <v>0</v>
      </c>
      <c r="O13" s="30" t="n">
        <f aca="false">IF(Hasil!$C$4&lt;2,0,(SUMPRODUCT(INDEX(Hitung!$B$6:$U$1005,0,$A13),INDEX(Hitung!$B$6:$U$1005,0,O$4))-IF($A13=O$4,SUM(INDEX(Hitung!$B$6:$U$1005,0,$A13)),0))/(Hasil!$C$4-1))</f>
        <v>0</v>
      </c>
      <c r="P13" s="30" t="n">
        <f aca="false">IF(Hasil!$C$4&lt;2,0,(SUMPRODUCT(INDEX(Hitung!$B$6:$U$1005,0,$A13),INDEX(Hitung!$B$6:$U$1005,0,P$4))-IF($A13=P$4,SUM(INDEX(Hitung!$B$6:$U$1005,0,$A13)),0))/(Hasil!$C$4-1))</f>
        <v>0</v>
      </c>
      <c r="Q13" s="30" t="n">
        <f aca="false">IF(Hasil!$C$4&lt;2,0,(SUMPRODUCT(INDEX(Hitung!$B$6:$U$1005,0,$A13),INDEX(Hitung!$B$6:$U$1005,0,Q$4))-IF($A13=Q$4,SUM(INDEX(Hitung!$B$6:$U$1005,0,$A13)),0))/(Hasil!$C$4-1))</f>
        <v>0</v>
      </c>
      <c r="R13" s="30" t="n">
        <f aca="false">IF(Hasil!$C$4&lt;2,0,(SUMPRODUCT(INDEX(Hitung!$B$6:$U$1005,0,$A13),INDEX(Hitung!$B$6:$U$1005,0,R$4))-IF($A13=R$4,SUM(INDEX(Hitung!$B$6:$U$1005,0,$A13)),0))/(Hasil!$C$4-1))</f>
        <v>0</v>
      </c>
      <c r="S13" s="30" t="n">
        <f aca="false">IF(Hasil!$C$4&lt;2,0,(SUMPRODUCT(INDEX(Hitung!$B$6:$U$1005,0,$A13),INDEX(Hitung!$B$6:$U$1005,0,S$4))-IF($A13=S$4,SUM(INDEX(Hitung!$B$6:$U$1005,0,$A13)),0))/(Hasil!$C$4-1))</f>
        <v>0</v>
      </c>
      <c r="T13" s="30" t="n">
        <f aca="false">IF(Hasil!$C$4&lt;2,0,(SUMPRODUCT(INDEX(Hitung!$B$6:$U$1005,0,$A13),INDEX(Hitung!$B$6:$U$1005,0,T$4))-IF($A13=T$4,SUM(INDEX(Hitung!$B$6:$U$1005,0,$A13)),0))/(Hasil!$C$4-1))</f>
        <v>0</v>
      </c>
      <c r="U13" s="30" t="n">
        <f aca="false">IF(Hasil!$C$4&lt;2,0,(SUMPRODUCT(INDEX(Hitung!$B$6:$U$1005,0,$A13),INDEX(Hitung!$B$6:$U$1005,0,U$4))-IF($A13=U$4,SUM(INDEX(Hitung!$B$6:$U$1005,0,$A13)),0))/(Hasil!$C$4-1))</f>
        <v>0</v>
      </c>
      <c r="V13" s="30" t="n">
        <f aca="false">IF(Hasil!$C$4&lt;2,0,(SUMPRODUCT(INDEX(Hitung!$B$6:$U$1005,0,$A13),INDEX(Hitung!$B$6:$U$1005,0,V$4))-IF($A13=V$4,SUM(INDEX(Hitung!$B$6:$U$1005,0,$A13)),0))/(Hasil!$C$4-1))</f>
        <v>0</v>
      </c>
      <c r="W13" s="31" t="n">
        <f aca="false">SUM(C13:V13)</f>
        <v>0</v>
      </c>
    </row>
    <row r="14" customFormat="false" ht="15" hidden="false" customHeight="false" outlineLevel="0" collapsed="false">
      <c r="A14" s="29" t="n">
        <v>9</v>
      </c>
      <c r="B14" s="29" t="str">
        <f aca="false">IF(INDEX(Pengaturan!$B$8:$B$27,$A14)="","",INDEX(Pengaturan!$B$8:$B$27,$A14))</f>
        <v/>
      </c>
      <c r="C14" s="30" t="n">
        <f aca="false">IF(Hasil!$C$4&lt;2,0,(SUMPRODUCT(INDEX(Hitung!$B$6:$U$1005,0,$A14),INDEX(Hitung!$B$6:$U$1005,0,C$4))-IF($A14=C$4,SUM(INDEX(Hitung!$B$6:$U$1005,0,$A14)),0))/(Hasil!$C$4-1))</f>
        <v>0</v>
      </c>
      <c r="D14" s="30" t="n">
        <f aca="false">IF(Hasil!$C$4&lt;2,0,(SUMPRODUCT(INDEX(Hitung!$B$6:$U$1005,0,$A14),INDEX(Hitung!$B$6:$U$1005,0,D$4))-IF($A14=D$4,SUM(INDEX(Hitung!$B$6:$U$1005,0,$A14)),0))/(Hasil!$C$4-1))</f>
        <v>0</v>
      </c>
      <c r="E14" s="30" t="n">
        <f aca="false">IF(Hasil!$C$4&lt;2,0,(SUMPRODUCT(INDEX(Hitung!$B$6:$U$1005,0,$A14),INDEX(Hitung!$B$6:$U$1005,0,E$4))-IF($A14=E$4,SUM(INDEX(Hitung!$B$6:$U$1005,0,$A14)),0))/(Hasil!$C$4-1))</f>
        <v>0</v>
      </c>
      <c r="F14" s="30" t="n">
        <f aca="false">IF(Hasil!$C$4&lt;2,0,(SUMPRODUCT(INDEX(Hitung!$B$6:$U$1005,0,$A14),INDEX(Hitung!$B$6:$U$1005,0,F$4))-IF($A14=F$4,SUM(INDEX(Hitung!$B$6:$U$1005,0,$A14)),0))/(Hasil!$C$4-1))</f>
        <v>0</v>
      </c>
      <c r="G14" s="30" t="n">
        <f aca="false">IF(Hasil!$C$4&lt;2,0,(SUMPRODUCT(INDEX(Hitung!$B$6:$U$1005,0,$A14),INDEX(Hitung!$B$6:$U$1005,0,G$4))-IF($A14=G$4,SUM(INDEX(Hitung!$B$6:$U$1005,0,$A14)),0))/(Hasil!$C$4-1))</f>
        <v>0</v>
      </c>
      <c r="H14" s="30" t="n">
        <f aca="false">IF(Hasil!$C$4&lt;2,0,(SUMPRODUCT(INDEX(Hitung!$B$6:$U$1005,0,$A14),INDEX(Hitung!$B$6:$U$1005,0,H$4))-IF($A14=H$4,SUM(INDEX(Hitung!$B$6:$U$1005,0,$A14)),0))/(Hasil!$C$4-1))</f>
        <v>0</v>
      </c>
      <c r="I14" s="30" t="n">
        <f aca="false">IF(Hasil!$C$4&lt;2,0,(SUMPRODUCT(INDEX(Hitung!$B$6:$U$1005,0,$A14),INDEX(Hitung!$B$6:$U$1005,0,I$4))-IF($A14=I$4,SUM(INDEX(Hitung!$B$6:$U$1005,0,$A14)),0))/(Hasil!$C$4-1))</f>
        <v>0</v>
      </c>
      <c r="J14" s="30" t="n">
        <f aca="false">IF(Hasil!$C$4&lt;2,0,(SUMPRODUCT(INDEX(Hitung!$B$6:$U$1005,0,$A14),INDEX(Hitung!$B$6:$U$1005,0,J$4))-IF($A14=J$4,SUM(INDEX(Hitung!$B$6:$U$1005,0,$A14)),0))/(Hasil!$C$4-1))</f>
        <v>0</v>
      </c>
      <c r="K14" s="30" t="n">
        <f aca="false">IF(Hasil!$C$4&lt;2,0,(SUMPRODUCT(INDEX(Hitung!$B$6:$U$1005,0,$A14),INDEX(Hitung!$B$6:$U$1005,0,K$4))-IF($A14=K$4,SUM(INDEX(Hitung!$B$6:$U$1005,0,$A14)),0))/(Hasil!$C$4-1))</f>
        <v>0</v>
      </c>
      <c r="L14" s="30" t="n">
        <f aca="false">IF(Hasil!$C$4&lt;2,0,(SUMPRODUCT(INDEX(Hitung!$B$6:$U$1005,0,$A14),INDEX(Hitung!$B$6:$U$1005,0,L$4))-IF($A14=L$4,SUM(INDEX(Hitung!$B$6:$U$1005,0,$A14)),0))/(Hasil!$C$4-1))</f>
        <v>0</v>
      </c>
      <c r="M14" s="30" t="n">
        <f aca="false">IF(Hasil!$C$4&lt;2,0,(SUMPRODUCT(INDEX(Hitung!$B$6:$U$1005,0,$A14),INDEX(Hitung!$B$6:$U$1005,0,M$4))-IF($A14=M$4,SUM(INDEX(Hitung!$B$6:$U$1005,0,$A14)),0))/(Hasil!$C$4-1))</f>
        <v>0</v>
      </c>
      <c r="N14" s="30" t="n">
        <f aca="false">IF(Hasil!$C$4&lt;2,0,(SUMPRODUCT(INDEX(Hitung!$B$6:$U$1005,0,$A14),INDEX(Hitung!$B$6:$U$1005,0,N$4))-IF($A14=N$4,SUM(INDEX(Hitung!$B$6:$U$1005,0,$A14)),0))/(Hasil!$C$4-1))</f>
        <v>0</v>
      </c>
      <c r="O14" s="30" t="n">
        <f aca="false">IF(Hasil!$C$4&lt;2,0,(SUMPRODUCT(INDEX(Hitung!$B$6:$U$1005,0,$A14),INDEX(Hitung!$B$6:$U$1005,0,O$4))-IF($A14=O$4,SUM(INDEX(Hitung!$B$6:$U$1005,0,$A14)),0))/(Hasil!$C$4-1))</f>
        <v>0</v>
      </c>
      <c r="P14" s="30" t="n">
        <f aca="false">IF(Hasil!$C$4&lt;2,0,(SUMPRODUCT(INDEX(Hitung!$B$6:$U$1005,0,$A14),INDEX(Hitung!$B$6:$U$1005,0,P$4))-IF($A14=P$4,SUM(INDEX(Hitung!$B$6:$U$1005,0,$A14)),0))/(Hasil!$C$4-1))</f>
        <v>0</v>
      </c>
      <c r="Q14" s="30" t="n">
        <f aca="false">IF(Hasil!$C$4&lt;2,0,(SUMPRODUCT(INDEX(Hitung!$B$6:$U$1005,0,$A14),INDEX(Hitung!$B$6:$U$1005,0,Q$4))-IF($A14=Q$4,SUM(INDEX(Hitung!$B$6:$U$1005,0,$A14)),0))/(Hasil!$C$4-1))</f>
        <v>0</v>
      </c>
      <c r="R14" s="30" t="n">
        <f aca="false">IF(Hasil!$C$4&lt;2,0,(SUMPRODUCT(INDEX(Hitung!$B$6:$U$1005,0,$A14),INDEX(Hitung!$B$6:$U$1005,0,R$4))-IF($A14=R$4,SUM(INDEX(Hitung!$B$6:$U$1005,0,$A14)),0))/(Hasil!$C$4-1))</f>
        <v>0</v>
      </c>
      <c r="S14" s="30" t="n">
        <f aca="false">IF(Hasil!$C$4&lt;2,0,(SUMPRODUCT(INDEX(Hitung!$B$6:$U$1005,0,$A14),INDEX(Hitung!$B$6:$U$1005,0,S$4))-IF($A14=S$4,SUM(INDEX(Hitung!$B$6:$U$1005,0,$A14)),0))/(Hasil!$C$4-1))</f>
        <v>0</v>
      </c>
      <c r="T14" s="30" t="n">
        <f aca="false">IF(Hasil!$C$4&lt;2,0,(SUMPRODUCT(INDEX(Hitung!$B$6:$U$1005,0,$A14),INDEX(Hitung!$B$6:$U$1005,0,T$4))-IF($A14=T$4,SUM(INDEX(Hitung!$B$6:$U$1005,0,$A14)),0))/(Hasil!$C$4-1))</f>
        <v>0</v>
      </c>
      <c r="U14" s="30" t="n">
        <f aca="false">IF(Hasil!$C$4&lt;2,0,(SUMPRODUCT(INDEX(Hitung!$B$6:$U$1005,0,$A14),INDEX(Hitung!$B$6:$U$1005,0,U$4))-IF($A14=U$4,SUM(INDEX(Hitung!$B$6:$U$1005,0,$A14)),0))/(Hasil!$C$4-1))</f>
        <v>0</v>
      </c>
      <c r="V14" s="30" t="n">
        <f aca="false">IF(Hasil!$C$4&lt;2,0,(SUMPRODUCT(INDEX(Hitung!$B$6:$U$1005,0,$A14),INDEX(Hitung!$B$6:$U$1005,0,V$4))-IF($A14=V$4,SUM(INDEX(Hitung!$B$6:$U$1005,0,$A14)),0))/(Hasil!$C$4-1))</f>
        <v>0</v>
      </c>
      <c r="W14" s="31" t="n">
        <f aca="false">SUM(C14:V14)</f>
        <v>0</v>
      </c>
    </row>
    <row r="15" customFormat="false" ht="15" hidden="false" customHeight="false" outlineLevel="0" collapsed="false">
      <c r="A15" s="29" t="n">
        <v>10</v>
      </c>
      <c r="B15" s="29" t="str">
        <f aca="false">IF(INDEX(Pengaturan!$B$8:$B$27,$A15)="","",INDEX(Pengaturan!$B$8:$B$27,$A15))</f>
        <v/>
      </c>
      <c r="C15" s="30" t="n">
        <f aca="false">IF(Hasil!$C$4&lt;2,0,(SUMPRODUCT(INDEX(Hitung!$B$6:$U$1005,0,$A15),INDEX(Hitung!$B$6:$U$1005,0,C$4))-IF($A15=C$4,SUM(INDEX(Hitung!$B$6:$U$1005,0,$A15)),0))/(Hasil!$C$4-1))</f>
        <v>0</v>
      </c>
      <c r="D15" s="30" t="n">
        <f aca="false">IF(Hasil!$C$4&lt;2,0,(SUMPRODUCT(INDEX(Hitung!$B$6:$U$1005,0,$A15),INDEX(Hitung!$B$6:$U$1005,0,D$4))-IF($A15=D$4,SUM(INDEX(Hitung!$B$6:$U$1005,0,$A15)),0))/(Hasil!$C$4-1))</f>
        <v>0</v>
      </c>
      <c r="E15" s="30" t="n">
        <f aca="false">IF(Hasil!$C$4&lt;2,0,(SUMPRODUCT(INDEX(Hitung!$B$6:$U$1005,0,$A15),INDEX(Hitung!$B$6:$U$1005,0,E$4))-IF($A15=E$4,SUM(INDEX(Hitung!$B$6:$U$1005,0,$A15)),0))/(Hasil!$C$4-1))</f>
        <v>0</v>
      </c>
      <c r="F15" s="30" t="n">
        <f aca="false">IF(Hasil!$C$4&lt;2,0,(SUMPRODUCT(INDEX(Hitung!$B$6:$U$1005,0,$A15),INDEX(Hitung!$B$6:$U$1005,0,F$4))-IF($A15=F$4,SUM(INDEX(Hitung!$B$6:$U$1005,0,$A15)),0))/(Hasil!$C$4-1))</f>
        <v>0</v>
      </c>
      <c r="G15" s="30" t="n">
        <f aca="false">IF(Hasil!$C$4&lt;2,0,(SUMPRODUCT(INDEX(Hitung!$B$6:$U$1005,0,$A15),INDEX(Hitung!$B$6:$U$1005,0,G$4))-IF($A15=G$4,SUM(INDEX(Hitung!$B$6:$U$1005,0,$A15)),0))/(Hasil!$C$4-1))</f>
        <v>0</v>
      </c>
      <c r="H15" s="30" t="n">
        <f aca="false">IF(Hasil!$C$4&lt;2,0,(SUMPRODUCT(INDEX(Hitung!$B$6:$U$1005,0,$A15),INDEX(Hitung!$B$6:$U$1005,0,H$4))-IF($A15=H$4,SUM(INDEX(Hitung!$B$6:$U$1005,0,$A15)),0))/(Hasil!$C$4-1))</f>
        <v>0</v>
      </c>
      <c r="I15" s="30" t="n">
        <f aca="false">IF(Hasil!$C$4&lt;2,0,(SUMPRODUCT(INDEX(Hitung!$B$6:$U$1005,0,$A15),INDEX(Hitung!$B$6:$U$1005,0,I$4))-IF($A15=I$4,SUM(INDEX(Hitung!$B$6:$U$1005,0,$A15)),0))/(Hasil!$C$4-1))</f>
        <v>0</v>
      </c>
      <c r="J15" s="30" t="n">
        <f aca="false">IF(Hasil!$C$4&lt;2,0,(SUMPRODUCT(INDEX(Hitung!$B$6:$U$1005,0,$A15),INDEX(Hitung!$B$6:$U$1005,0,J$4))-IF($A15=J$4,SUM(INDEX(Hitung!$B$6:$U$1005,0,$A15)),0))/(Hasil!$C$4-1))</f>
        <v>0</v>
      </c>
      <c r="K15" s="30" t="n">
        <f aca="false">IF(Hasil!$C$4&lt;2,0,(SUMPRODUCT(INDEX(Hitung!$B$6:$U$1005,0,$A15),INDEX(Hitung!$B$6:$U$1005,0,K$4))-IF($A15=K$4,SUM(INDEX(Hitung!$B$6:$U$1005,0,$A15)),0))/(Hasil!$C$4-1))</f>
        <v>0</v>
      </c>
      <c r="L15" s="30" t="n">
        <f aca="false">IF(Hasil!$C$4&lt;2,0,(SUMPRODUCT(INDEX(Hitung!$B$6:$U$1005,0,$A15),INDEX(Hitung!$B$6:$U$1005,0,L$4))-IF($A15=L$4,SUM(INDEX(Hitung!$B$6:$U$1005,0,$A15)),0))/(Hasil!$C$4-1))</f>
        <v>0</v>
      </c>
      <c r="M15" s="30" t="n">
        <f aca="false">IF(Hasil!$C$4&lt;2,0,(SUMPRODUCT(INDEX(Hitung!$B$6:$U$1005,0,$A15),INDEX(Hitung!$B$6:$U$1005,0,M$4))-IF($A15=M$4,SUM(INDEX(Hitung!$B$6:$U$1005,0,$A15)),0))/(Hasil!$C$4-1))</f>
        <v>0</v>
      </c>
      <c r="N15" s="30" t="n">
        <f aca="false">IF(Hasil!$C$4&lt;2,0,(SUMPRODUCT(INDEX(Hitung!$B$6:$U$1005,0,$A15),INDEX(Hitung!$B$6:$U$1005,0,N$4))-IF($A15=N$4,SUM(INDEX(Hitung!$B$6:$U$1005,0,$A15)),0))/(Hasil!$C$4-1))</f>
        <v>0</v>
      </c>
      <c r="O15" s="30" t="n">
        <f aca="false">IF(Hasil!$C$4&lt;2,0,(SUMPRODUCT(INDEX(Hitung!$B$6:$U$1005,0,$A15),INDEX(Hitung!$B$6:$U$1005,0,O$4))-IF($A15=O$4,SUM(INDEX(Hitung!$B$6:$U$1005,0,$A15)),0))/(Hasil!$C$4-1))</f>
        <v>0</v>
      </c>
      <c r="P15" s="30" t="n">
        <f aca="false">IF(Hasil!$C$4&lt;2,0,(SUMPRODUCT(INDEX(Hitung!$B$6:$U$1005,0,$A15),INDEX(Hitung!$B$6:$U$1005,0,P$4))-IF($A15=P$4,SUM(INDEX(Hitung!$B$6:$U$1005,0,$A15)),0))/(Hasil!$C$4-1))</f>
        <v>0</v>
      </c>
      <c r="Q15" s="30" t="n">
        <f aca="false">IF(Hasil!$C$4&lt;2,0,(SUMPRODUCT(INDEX(Hitung!$B$6:$U$1005,0,$A15),INDEX(Hitung!$B$6:$U$1005,0,Q$4))-IF($A15=Q$4,SUM(INDEX(Hitung!$B$6:$U$1005,0,$A15)),0))/(Hasil!$C$4-1))</f>
        <v>0</v>
      </c>
      <c r="R15" s="30" t="n">
        <f aca="false">IF(Hasil!$C$4&lt;2,0,(SUMPRODUCT(INDEX(Hitung!$B$6:$U$1005,0,$A15),INDEX(Hitung!$B$6:$U$1005,0,R$4))-IF($A15=R$4,SUM(INDEX(Hitung!$B$6:$U$1005,0,$A15)),0))/(Hasil!$C$4-1))</f>
        <v>0</v>
      </c>
      <c r="S15" s="30" t="n">
        <f aca="false">IF(Hasil!$C$4&lt;2,0,(SUMPRODUCT(INDEX(Hitung!$B$6:$U$1005,0,$A15),INDEX(Hitung!$B$6:$U$1005,0,S$4))-IF($A15=S$4,SUM(INDEX(Hitung!$B$6:$U$1005,0,$A15)),0))/(Hasil!$C$4-1))</f>
        <v>0</v>
      </c>
      <c r="T15" s="30" t="n">
        <f aca="false">IF(Hasil!$C$4&lt;2,0,(SUMPRODUCT(INDEX(Hitung!$B$6:$U$1005,0,$A15),INDEX(Hitung!$B$6:$U$1005,0,T$4))-IF($A15=T$4,SUM(INDEX(Hitung!$B$6:$U$1005,0,$A15)),0))/(Hasil!$C$4-1))</f>
        <v>0</v>
      </c>
      <c r="U15" s="30" t="n">
        <f aca="false">IF(Hasil!$C$4&lt;2,0,(SUMPRODUCT(INDEX(Hitung!$B$6:$U$1005,0,$A15),INDEX(Hitung!$B$6:$U$1005,0,U$4))-IF($A15=U$4,SUM(INDEX(Hitung!$B$6:$U$1005,0,$A15)),0))/(Hasil!$C$4-1))</f>
        <v>0</v>
      </c>
      <c r="V15" s="30" t="n">
        <f aca="false">IF(Hasil!$C$4&lt;2,0,(SUMPRODUCT(INDEX(Hitung!$B$6:$U$1005,0,$A15),INDEX(Hitung!$B$6:$U$1005,0,V$4))-IF($A15=V$4,SUM(INDEX(Hitung!$B$6:$U$1005,0,$A15)),0))/(Hasil!$C$4-1))</f>
        <v>0</v>
      </c>
      <c r="W15" s="31" t="n">
        <f aca="false">SUM(C15:V15)</f>
        <v>0</v>
      </c>
    </row>
    <row r="16" customFormat="false" ht="15" hidden="false" customHeight="false" outlineLevel="0" collapsed="false">
      <c r="A16" s="29" t="n">
        <v>11</v>
      </c>
      <c r="B16" s="29" t="str">
        <f aca="false">IF(INDEX(Pengaturan!$B$8:$B$27,$A16)="","",INDEX(Pengaturan!$B$8:$B$27,$A16))</f>
        <v/>
      </c>
      <c r="C16" s="30" t="n">
        <f aca="false">IF(Hasil!$C$4&lt;2,0,(SUMPRODUCT(INDEX(Hitung!$B$6:$U$1005,0,$A16),INDEX(Hitung!$B$6:$U$1005,0,C$4))-IF($A16=C$4,SUM(INDEX(Hitung!$B$6:$U$1005,0,$A16)),0))/(Hasil!$C$4-1))</f>
        <v>0</v>
      </c>
      <c r="D16" s="30" t="n">
        <f aca="false">IF(Hasil!$C$4&lt;2,0,(SUMPRODUCT(INDEX(Hitung!$B$6:$U$1005,0,$A16),INDEX(Hitung!$B$6:$U$1005,0,D$4))-IF($A16=D$4,SUM(INDEX(Hitung!$B$6:$U$1005,0,$A16)),0))/(Hasil!$C$4-1))</f>
        <v>0</v>
      </c>
      <c r="E16" s="30" t="n">
        <f aca="false">IF(Hasil!$C$4&lt;2,0,(SUMPRODUCT(INDEX(Hitung!$B$6:$U$1005,0,$A16),INDEX(Hitung!$B$6:$U$1005,0,E$4))-IF($A16=E$4,SUM(INDEX(Hitung!$B$6:$U$1005,0,$A16)),0))/(Hasil!$C$4-1))</f>
        <v>0</v>
      </c>
      <c r="F16" s="30" t="n">
        <f aca="false">IF(Hasil!$C$4&lt;2,0,(SUMPRODUCT(INDEX(Hitung!$B$6:$U$1005,0,$A16),INDEX(Hitung!$B$6:$U$1005,0,F$4))-IF($A16=F$4,SUM(INDEX(Hitung!$B$6:$U$1005,0,$A16)),0))/(Hasil!$C$4-1))</f>
        <v>0</v>
      </c>
      <c r="G16" s="30" t="n">
        <f aca="false">IF(Hasil!$C$4&lt;2,0,(SUMPRODUCT(INDEX(Hitung!$B$6:$U$1005,0,$A16),INDEX(Hitung!$B$6:$U$1005,0,G$4))-IF($A16=G$4,SUM(INDEX(Hitung!$B$6:$U$1005,0,$A16)),0))/(Hasil!$C$4-1))</f>
        <v>0</v>
      </c>
      <c r="H16" s="30" t="n">
        <f aca="false">IF(Hasil!$C$4&lt;2,0,(SUMPRODUCT(INDEX(Hitung!$B$6:$U$1005,0,$A16),INDEX(Hitung!$B$6:$U$1005,0,H$4))-IF($A16=H$4,SUM(INDEX(Hitung!$B$6:$U$1005,0,$A16)),0))/(Hasil!$C$4-1))</f>
        <v>0</v>
      </c>
      <c r="I16" s="30" t="n">
        <f aca="false">IF(Hasil!$C$4&lt;2,0,(SUMPRODUCT(INDEX(Hitung!$B$6:$U$1005,0,$A16),INDEX(Hitung!$B$6:$U$1005,0,I$4))-IF($A16=I$4,SUM(INDEX(Hitung!$B$6:$U$1005,0,$A16)),0))/(Hasil!$C$4-1))</f>
        <v>0</v>
      </c>
      <c r="J16" s="30" t="n">
        <f aca="false">IF(Hasil!$C$4&lt;2,0,(SUMPRODUCT(INDEX(Hitung!$B$6:$U$1005,0,$A16),INDEX(Hitung!$B$6:$U$1005,0,J$4))-IF($A16=J$4,SUM(INDEX(Hitung!$B$6:$U$1005,0,$A16)),0))/(Hasil!$C$4-1))</f>
        <v>0</v>
      </c>
      <c r="K16" s="30" t="n">
        <f aca="false">IF(Hasil!$C$4&lt;2,0,(SUMPRODUCT(INDEX(Hitung!$B$6:$U$1005,0,$A16),INDEX(Hitung!$B$6:$U$1005,0,K$4))-IF($A16=K$4,SUM(INDEX(Hitung!$B$6:$U$1005,0,$A16)),0))/(Hasil!$C$4-1))</f>
        <v>0</v>
      </c>
      <c r="L16" s="30" t="n">
        <f aca="false">IF(Hasil!$C$4&lt;2,0,(SUMPRODUCT(INDEX(Hitung!$B$6:$U$1005,0,$A16),INDEX(Hitung!$B$6:$U$1005,0,L$4))-IF($A16=L$4,SUM(INDEX(Hitung!$B$6:$U$1005,0,$A16)),0))/(Hasil!$C$4-1))</f>
        <v>0</v>
      </c>
      <c r="M16" s="30" t="n">
        <f aca="false">IF(Hasil!$C$4&lt;2,0,(SUMPRODUCT(INDEX(Hitung!$B$6:$U$1005,0,$A16),INDEX(Hitung!$B$6:$U$1005,0,M$4))-IF($A16=M$4,SUM(INDEX(Hitung!$B$6:$U$1005,0,$A16)),0))/(Hasil!$C$4-1))</f>
        <v>0</v>
      </c>
      <c r="N16" s="30" t="n">
        <f aca="false">IF(Hasil!$C$4&lt;2,0,(SUMPRODUCT(INDEX(Hitung!$B$6:$U$1005,0,$A16),INDEX(Hitung!$B$6:$U$1005,0,N$4))-IF($A16=N$4,SUM(INDEX(Hitung!$B$6:$U$1005,0,$A16)),0))/(Hasil!$C$4-1))</f>
        <v>0</v>
      </c>
      <c r="O16" s="30" t="n">
        <f aca="false">IF(Hasil!$C$4&lt;2,0,(SUMPRODUCT(INDEX(Hitung!$B$6:$U$1005,0,$A16),INDEX(Hitung!$B$6:$U$1005,0,O$4))-IF($A16=O$4,SUM(INDEX(Hitung!$B$6:$U$1005,0,$A16)),0))/(Hasil!$C$4-1))</f>
        <v>0</v>
      </c>
      <c r="P16" s="30" t="n">
        <f aca="false">IF(Hasil!$C$4&lt;2,0,(SUMPRODUCT(INDEX(Hitung!$B$6:$U$1005,0,$A16),INDEX(Hitung!$B$6:$U$1005,0,P$4))-IF($A16=P$4,SUM(INDEX(Hitung!$B$6:$U$1005,0,$A16)),0))/(Hasil!$C$4-1))</f>
        <v>0</v>
      </c>
      <c r="Q16" s="30" t="n">
        <f aca="false">IF(Hasil!$C$4&lt;2,0,(SUMPRODUCT(INDEX(Hitung!$B$6:$U$1005,0,$A16),INDEX(Hitung!$B$6:$U$1005,0,Q$4))-IF($A16=Q$4,SUM(INDEX(Hitung!$B$6:$U$1005,0,$A16)),0))/(Hasil!$C$4-1))</f>
        <v>0</v>
      </c>
      <c r="R16" s="30" t="n">
        <f aca="false">IF(Hasil!$C$4&lt;2,0,(SUMPRODUCT(INDEX(Hitung!$B$6:$U$1005,0,$A16),INDEX(Hitung!$B$6:$U$1005,0,R$4))-IF($A16=R$4,SUM(INDEX(Hitung!$B$6:$U$1005,0,$A16)),0))/(Hasil!$C$4-1))</f>
        <v>0</v>
      </c>
      <c r="S16" s="30" t="n">
        <f aca="false">IF(Hasil!$C$4&lt;2,0,(SUMPRODUCT(INDEX(Hitung!$B$6:$U$1005,0,$A16),INDEX(Hitung!$B$6:$U$1005,0,S$4))-IF($A16=S$4,SUM(INDEX(Hitung!$B$6:$U$1005,0,$A16)),0))/(Hasil!$C$4-1))</f>
        <v>0</v>
      </c>
      <c r="T16" s="30" t="n">
        <f aca="false">IF(Hasil!$C$4&lt;2,0,(SUMPRODUCT(INDEX(Hitung!$B$6:$U$1005,0,$A16),INDEX(Hitung!$B$6:$U$1005,0,T$4))-IF($A16=T$4,SUM(INDEX(Hitung!$B$6:$U$1005,0,$A16)),0))/(Hasil!$C$4-1))</f>
        <v>0</v>
      </c>
      <c r="U16" s="30" t="n">
        <f aca="false">IF(Hasil!$C$4&lt;2,0,(SUMPRODUCT(INDEX(Hitung!$B$6:$U$1005,0,$A16),INDEX(Hitung!$B$6:$U$1005,0,U$4))-IF($A16=U$4,SUM(INDEX(Hitung!$B$6:$U$1005,0,$A16)),0))/(Hasil!$C$4-1))</f>
        <v>0</v>
      </c>
      <c r="V16" s="30" t="n">
        <f aca="false">IF(Hasil!$C$4&lt;2,0,(SUMPRODUCT(INDEX(Hitung!$B$6:$U$1005,0,$A16),INDEX(Hitung!$B$6:$U$1005,0,V$4))-IF($A16=V$4,SUM(INDEX(Hitung!$B$6:$U$1005,0,$A16)),0))/(Hasil!$C$4-1))</f>
        <v>0</v>
      </c>
      <c r="W16" s="31" t="n">
        <f aca="false">SUM(C16:V16)</f>
        <v>0</v>
      </c>
    </row>
    <row r="17" customFormat="false" ht="15" hidden="false" customHeight="false" outlineLevel="0" collapsed="false">
      <c r="A17" s="29" t="n">
        <v>12</v>
      </c>
      <c r="B17" s="29" t="str">
        <f aca="false">IF(INDEX(Pengaturan!$B$8:$B$27,$A17)="","",INDEX(Pengaturan!$B$8:$B$27,$A17))</f>
        <v/>
      </c>
      <c r="C17" s="30" t="n">
        <f aca="false">IF(Hasil!$C$4&lt;2,0,(SUMPRODUCT(INDEX(Hitung!$B$6:$U$1005,0,$A17),INDEX(Hitung!$B$6:$U$1005,0,C$4))-IF($A17=C$4,SUM(INDEX(Hitung!$B$6:$U$1005,0,$A17)),0))/(Hasil!$C$4-1))</f>
        <v>0</v>
      </c>
      <c r="D17" s="30" t="n">
        <f aca="false">IF(Hasil!$C$4&lt;2,0,(SUMPRODUCT(INDEX(Hitung!$B$6:$U$1005,0,$A17),INDEX(Hitung!$B$6:$U$1005,0,D$4))-IF($A17=D$4,SUM(INDEX(Hitung!$B$6:$U$1005,0,$A17)),0))/(Hasil!$C$4-1))</f>
        <v>0</v>
      </c>
      <c r="E17" s="30" t="n">
        <f aca="false">IF(Hasil!$C$4&lt;2,0,(SUMPRODUCT(INDEX(Hitung!$B$6:$U$1005,0,$A17),INDEX(Hitung!$B$6:$U$1005,0,E$4))-IF($A17=E$4,SUM(INDEX(Hitung!$B$6:$U$1005,0,$A17)),0))/(Hasil!$C$4-1))</f>
        <v>0</v>
      </c>
      <c r="F17" s="30" t="n">
        <f aca="false">IF(Hasil!$C$4&lt;2,0,(SUMPRODUCT(INDEX(Hitung!$B$6:$U$1005,0,$A17),INDEX(Hitung!$B$6:$U$1005,0,F$4))-IF($A17=F$4,SUM(INDEX(Hitung!$B$6:$U$1005,0,$A17)),0))/(Hasil!$C$4-1))</f>
        <v>0</v>
      </c>
      <c r="G17" s="30" t="n">
        <f aca="false">IF(Hasil!$C$4&lt;2,0,(SUMPRODUCT(INDEX(Hitung!$B$6:$U$1005,0,$A17),INDEX(Hitung!$B$6:$U$1005,0,G$4))-IF($A17=G$4,SUM(INDEX(Hitung!$B$6:$U$1005,0,$A17)),0))/(Hasil!$C$4-1))</f>
        <v>0</v>
      </c>
      <c r="H17" s="30" t="n">
        <f aca="false">IF(Hasil!$C$4&lt;2,0,(SUMPRODUCT(INDEX(Hitung!$B$6:$U$1005,0,$A17),INDEX(Hitung!$B$6:$U$1005,0,H$4))-IF($A17=H$4,SUM(INDEX(Hitung!$B$6:$U$1005,0,$A17)),0))/(Hasil!$C$4-1))</f>
        <v>0</v>
      </c>
      <c r="I17" s="30" t="n">
        <f aca="false">IF(Hasil!$C$4&lt;2,0,(SUMPRODUCT(INDEX(Hitung!$B$6:$U$1005,0,$A17),INDEX(Hitung!$B$6:$U$1005,0,I$4))-IF($A17=I$4,SUM(INDEX(Hitung!$B$6:$U$1005,0,$A17)),0))/(Hasil!$C$4-1))</f>
        <v>0</v>
      </c>
      <c r="J17" s="30" t="n">
        <f aca="false">IF(Hasil!$C$4&lt;2,0,(SUMPRODUCT(INDEX(Hitung!$B$6:$U$1005,0,$A17),INDEX(Hitung!$B$6:$U$1005,0,J$4))-IF($A17=J$4,SUM(INDEX(Hitung!$B$6:$U$1005,0,$A17)),0))/(Hasil!$C$4-1))</f>
        <v>0</v>
      </c>
      <c r="K17" s="30" t="n">
        <f aca="false">IF(Hasil!$C$4&lt;2,0,(SUMPRODUCT(INDEX(Hitung!$B$6:$U$1005,0,$A17),INDEX(Hitung!$B$6:$U$1005,0,K$4))-IF($A17=K$4,SUM(INDEX(Hitung!$B$6:$U$1005,0,$A17)),0))/(Hasil!$C$4-1))</f>
        <v>0</v>
      </c>
      <c r="L17" s="30" t="n">
        <f aca="false">IF(Hasil!$C$4&lt;2,0,(SUMPRODUCT(INDEX(Hitung!$B$6:$U$1005,0,$A17),INDEX(Hitung!$B$6:$U$1005,0,L$4))-IF($A17=L$4,SUM(INDEX(Hitung!$B$6:$U$1005,0,$A17)),0))/(Hasil!$C$4-1))</f>
        <v>0</v>
      </c>
      <c r="M17" s="30" t="n">
        <f aca="false">IF(Hasil!$C$4&lt;2,0,(SUMPRODUCT(INDEX(Hitung!$B$6:$U$1005,0,$A17),INDEX(Hitung!$B$6:$U$1005,0,M$4))-IF($A17=M$4,SUM(INDEX(Hitung!$B$6:$U$1005,0,$A17)),0))/(Hasil!$C$4-1))</f>
        <v>0</v>
      </c>
      <c r="N17" s="30" t="n">
        <f aca="false">IF(Hasil!$C$4&lt;2,0,(SUMPRODUCT(INDEX(Hitung!$B$6:$U$1005,0,$A17),INDEX(Hitung!$B$6:$U$1005,0,N$4))-IF($A17=N$4,SUM(INDEX(Hitung!$B$6:$U$1005,0,$A17)),0))/(Hasil!$C$4-1))</f>
        <v>0</v>
      </c>
      <c r="O17" s="30" t="n">
        <f aca="false">IF(Hasil!$C$4&lt;2,0,(SUMPRODUCT(INDEX(Hitung!$B$6:$U$1005,0,$A17),INDEX(Hitung!$B$6:$U$1005,0,O$4))-IF($A17=O$4,SUM(INDEX(Hitung!$B$6:$U$1005,0,$A17)),0))/(Hasil!$C$4-1))</f>
        <v>0</v>
      </c>
      <c r="P17" s="30" t="n">
        <f aca="false">IF(Hasil!$C$4&lt;2,0,(SUMPRODUCT(INDEX(Hitung!$B$6:$U$1005,0,$A17),INDEX(Hitung!$B$6:$U$1005,0,P$4))-IF($A17=P$4,SUM(INDEX(Hitung!$B$6:$U$1005,0,$A17)),0))/(Hasil!$C$4-1))</f>
        <v>0</v>
      </c>
      <c r="Q17" s="30" t="n">
        <f aca="false">IF(Hasil!$C$4&lt;2,0,(SUMPRODUCT(INDEX(Hitung!$B$6:$U$1005,0,$A17),INDEX(Hitung!$B$6:$U$1005,0,Q$4))-IF($A17=Q$4,SUM(INDEX(Hitung!$B$6:$U$1005,0,$A17)),0))/(Hasil!$C$4-1))</f>
        <v>0</v>
      </c>
      <c r="R17" s="30" t="n">
        <f aca="false">IF(Hasil!$C$4&lt;2,0,(SUMPRODUCT(INDEX(Hitung!$B$6:$U$1005,0,$A17),INDEX(Hitung!$B$6:$U$1005,0,R$4))-IF($A17=R$4,SUM(INDEX(Hitung!$B$6:$U$1005,0,$A17)),0))/(Hasil!$C$4-1))</f>
        <v>0</v>
      </c>
      <c r="S17" s="30" t="n">
        <f aca="false">IF(Hasil!$C$4&lt;2,0,(SUMPRODUCT(INDEX(Hitung!$B$6:$U$1005,0,$A17),INDEX(Hitung!$B$6:$U$1005,0,S$4))-IF($A17=S$4,SUM(INDEX(Hitung!$B$6:$U$1005,0,$A17)),0))/(Hasil!$C$4-1))</f>
        <v>0</v>
      </c>
      <c r="T17" s="30" t="n">
        <f aca="false">IF(Hasil!$C$4&lt;2,0,(SUMPRODUCT(INDEX(Hitung!$B$6:$U$1005,0,$A17),INDEX(Hitung!$B$6:$U$1005,0,T$4))-IF($A17=T$4,SUM(INDEX(Hitung!$B$6:$U$1005,0,$A17)),0))/(Hasil!$C$4-1))</f>
        <v>0</v>
      </c>
      <c r="U17" s="30" t="n">
        <f aca="false">IF(Hasil!$C$4&lt;2,0,(SUMPRODUCT(INDEX(Hitung!$B$6:$U$1005,0,$A17),INDEX(Hitung!$B$6:$U$1005,0,U$4))-IF($A17=U$4,SUM(INDEX(Hitung!$B$6:$U$1005,0,$A17)),0))/(Hasil!$C$4-1))</f>
        <v>0</v>
      </c>
      <c r="V17" s="30" t="n">
        <f aca="false">IF(Hasil!$C$4&lt;2,0,(SUMPRODUCT(INDEX(Hitung!$B$6:$U$1005,0,$A17),INDEX(Hitung!$B$6:$U$1005,0,V$4))-IF($A17=V$4,SUM(INDEX(Hitung!$B$6:$U$1005,0,$A17)),0))/(Hasil!$C$4-1))</f>
        <v>0</v>
      </c>
      <c r="W17" s="31" t="n">
        <f aca="false">SUM(C17:V17)</f>
        <v>0</v>
      </c>
    </row>
    <row r="18" customFormat="false" ht="15" hidden="false" customHeight="false" outlineLevel="0" collapsed="false">
      <c r="A18" s="29" t="n">
        <v>13</v>
      </c>
      <c r="B18" s="29" t="str">
        <f aca="false">IF(INDEX(Pengaturan!$B$8:$B$27,$A18)="","",INDEX(Pengaturan!$B$8:$B$27,$A18))</f>
        <v/>
      </c>
      <c r="C18" s="30" t="n">
        <f aca="false">IF(Hasil!$C$4&lt;2,0,(SUMPRODUCT(INDEX(Hitung!$B$6:$U$1005,0,$A18),INDEX(Hitung!$B$6:$U$1005,0,C$4))-IF($A18=C$4,SUM(INDEX(Hitung!$B$6:$U$1005,0,$A18)),0))/(Hasil!$C$4-1))</f>
        <v>0</v>
      </c>
      <c r="D18" s="30" t="n">
        <f aca="false">IF(Hasil!$C$4&lt;2,0,(SUMPRODUCT(INDEX(Hitung!$B$6:$U$1005,0,$A18),INDEX(Hitung!$B$6:$U$1005,0,D$4))-IF($A18=D$4,SUM(INDEX(Hitung!$B$6:$U$1005,0,$A18)),0))/(Hasil!$C$4-1))</f>
        <v>0</v>
      </c>
      <c r="E18" s="30" t="n">
        <f aca="false">IF(Hasil!$C$4&lt;2,0,(SUMPRODUCT(INDEX(Hitung!$B$6:$U$1005,0,$A18),INDEX(Hitung!$B$6:$U$1005,0,E$4))-IF($A18=E$4,SUM(INDEX(Hitung!$B$6:$U$1005,0,$A18)),0))/(Hasil!$C$4-1))</f>
        <v>0</v>
      </c>
      <c r="F18" s="30" t="n">
        <f aca="false">IF(Hasil!$C$4&lt;2,0,(SUMPRODUCT(INDEX(Hitung!$B$6:$U$1005,0,$A18),INDEX(Hitung!$B$6:$U$1005,0,F$4))-IF($A18=F$4,SUM(INDEX(Hitung!$B$6:$U$1005,0,$A18)),0))/(Hasil!$C$4-1))</f>
        <v>0</v>
      </c>
      <c r="G18" s="30" t="n">
        <f aca="false">IF(Hasil!$C$4&lt;2,0,(SUMPRODUCT(INDEX(Hitung!$B$6:$U$1005,0,$A18),INDEX(Hitung!$B$6:$U$1005,0,G$4))-IF($A18=G$4,SUM(INDEX(Hitung!$B$6:$U$1005,0,$A18)),0))/(Hasil!$C$4-1))</f>
        <v>0</v>
      </c>
      <c r="H18" s="30" t="n">
        <f aca="false">IF(Hasil!$C$4&lt;2,0,(SUMPRODUCT(INDEX(Hitung!$B$6:$U$1005,0,$A18),INDEX(Hitung!$B$6:$U$1005,0,H$4))-IF($A18=H$4,SUM(INDEX(Hitung!$B$6:$U$1005,0,$A18)),0))/(Hasil!$C$4-1))</f>
        <v>0</v>
      </c>
      <c r="I18" s="30" t="n">
        <f aca="false">IF(Hasil!$C$4&lt;2,0,(SUMPRODUCT(INDEX(Hitung!$B$6:$U$1005,0,$A18),INDEX(Hitung!$B$6:$U$1005,0,I$4))-IF($A18=I$4,SUM(INDEX(Hitung!$B$6:$U$1005,0,$A18)),0))/(Hasil!$C$4-1))</f>
        <v>0</v>
      </c>
      <c r="J18" s="30" t="n">
        <f aca="false">IF(Hasil!$C$4&lt;2,0,(SUMPRODUCT(INDEX(Hitung!$B$6:$U$1005,0,$A18),INDEX(Hitung!$B$6:$U$1005,0,J$4))-IF($A18=J$4,SUM(INDEX(Hitung!$B$6:$U$1005,0,$A18)),0))/(Hasil!$C$4-1))</f>
        <v>0</v>
      </c>
      <c r="K18" s="30" t="n">
        <f aca="false">IF(Hasil!$C$4&lt;2,0,(SUMPRODUCT(INDEX(Hitung!$B$6:$U$1005,0,$A18),INDEX(Hitung!$B$6:$U$1005,0,K$4))-IF($A18=K$4,SUM(INDEX(Hitung!$B$6:$U$1005,0,$A18)),0))/(Hasil!$C$4-1))</f>
        <v>0</v>
      </c>
      <c r="L18" s="30" t="n">
        <f aca="false">IF(Hasil!$C$4&lt;2,0,(SUMPRODUCT(INDEX(Hitung!$B$6:$U$1005,0,$A18),INDEX(Hitung!$B$6:$U$1005,0,L$4))-IF($A18=L$4,SUM(INDEX(Hitung!$B$6:$U$1005,0,$A18)),0))/(Hasil!$C$4-1))</f>
        <v>0</v>
      </c>
      <c r="M18" s="30" t="n">
        <f aca="false">IF(Hasil!$C$4&lt;2,0,(SUMPRODUCT(INDEX(Hitung!$B$6:$U$1005,0,$A18),INDEX(Hitung!$B$6:$U$1005,0,M$4))-IF($A18=M$4,SUM(INDEX(Hitung!$B$6:$U$1005,0,$A18)),0))/(Hasil!$C$4-1))</f>
        <v>0</v>
      </c>
      <c r="N18" s="30" t="n">
        <f aca="false">IF(Hasil!$C$4&lt;2,0,(SUMPRODUCT(INDEX(Hitung!$B$6:$U$1005,0,$A18),INDEX(Hitung!$B$6:$U$1005,0,N$4))-IF($A18=N$4,SUM(INDEX(Hitung!$B$6:$U$1005,0,$A18)),0))/(Hasil!$C$4-1))</f>
        <v>0</v>
      </c>
      <c r="O18" s="30" t="n">
        <f aca="false">IF(Hasil!$C$4&lt;2,0,(SUMPRODUCT(INDEX(Hitung!$B$6:$U$1005,0,$A18),INDEX(Hitung!$B$6:$U$1005,0,O$4))-IF($A18=O$4,SUM(INDEX(Hitung!$B$6:$U$1005,0,$A18)),0))/(Hasil!$C$4-1))</f>
        <v>0</v>
      </c>
      <c r="P18" s="30" t="n">
        <f aca="false">IF(Hasil!$C$4&lt;2,0,(SUMPRODUCT(INDEX(Hitung!$B$6:$U$1005,0,$A18),INDEX(Hitung!$B$6:$U$1005,0,P$4))-IF($A18=P$4,SUM(INDEX(Hitung!$B$6:$U$1005,0,$A18)),0))/(Hasil!$C$4-1))</f>
        <v>0</v>
      </c>
      <c r="Q18" s="30" t="n">
        <f aca="false">IF(Hasil!$C$4&lt;2,0,(SUMPRODUCT(INDEX(Hitung!$B$6:$U$1005,0,$A18),INDEX(Hitung!$B$6:$U$1005,0,Q$4))-IF($A18=Q$4,SUM(INDEX(Hitung!$B$6:$U$1005,0,$A18)),0))/(Hasil!$C$4-1))</f>
        <v>0</v>
      </c>
      <c r="R18" s="30" t="n">
        <f aca="false">IF(Hasil!$C$4&lt;2,0,(SUMPRODUCT(INDEX(Hitung!$B$6:$U$1005,0,$A18),INDEX(Hitung!$B$6:$U$1005,0,R$4))-IF($A18=R$4,SUM(INDEX(Hitung!$B$6:$U$1005,0,$A18)),0))/(Hasil!$C$4-1))</f>
        <v>0</v>
      </c>
      <c r="S18" s="30" t="n">
        <f aca="false">IF(Hasil!$C$4&lt;2,0,(SUMPRODUCT(INDEX(Hitung!$B$6:$U$1005,0,$A18),INDEX(Hitung!$B$6:$U$1005,0,S$4))-IF($A18=S$4,SUM(INDEX(Hitung!$B$6:$U$1005,0,$A18)),0))/(Hasil!$C$4-1))</f>
        <v>0</v>
      </c>
      <c r="T18" s="30" t="n">
        <f aca="false">IF(Hasil!$C$4&lt;2,0,(SUMPRODUCT(INDEX(Hitung!$B$6:$U$1005,0,$A18),INDEX(Hitung!$B$6:$U$1005,0,T$4))-IF($A18=T$4,SUM(INDEX(Hitung!$B$6:$U$1005,0,$A18)),0))/(Hasil!$C$4-1))</f>
        <v>0</v>
      </c>
      <c r="U18" s="30" t="n">
        <f aca="false">IF(Hasil!$C$4&lt;2,0,(SUMPRODUCT(INDEX(Hitung!$B$6:$U$1005,0,$A18),INDEX(Hitung!$B$6:$U$1005,0,U$4))-IF($A18=U$4,SUM(INDEX(Hitung!$B$6:$U$1005,0,$A18)),0))/(Hasil!$C$4-1))</f>
        <v>0</v>
      </c>
      <c r="V18" s="30" t="n">
        <f aca="false">IF(Hasil!$C$4&lt;2,0,(SUMPRODUCT(INDEX(Hitung!$B$6:$U$1005,0,$A18),INDEX(Hitung!$B$6:$U$1005,0,V$4))-IF($A18=V$4,SUM(INDEX(Hitung!$B$6:$U$1005,0,$A18)),0))/(Hasil!$C$4-1))</f>
        <v>0</v>
      </c>
      <c r="W18" s="31" t="n">
        <f aca="false">SUM(C18:V18)</f>
        <v>0</v>
      </c>
    </row>
    <row r="19" customFormat="false" ht="15" hidden="false" customHeight="false" outlineLevel="0" collapsed="false">
      <c r="A19" s="29" t="n">
        <v>14</v>
      </c>
      <c r="B19" s="29" t="str">
        <f aca="false">IF(INDEX(Pengaturan!$B$8:$B$27,$A19)="","",INDEX(Pengaturan!$B$8:$B$27,$A19))</f>
        <v/>
      </c>
      <c r="C19" s="30" t="n">
        <f aca="false">IF(Hasil!$C$4&lt;2,0,(SUMPRODUCT(INDEX(Hitung!$B$6:$U$1005,0,$A19),INDEX(Hitung!$B$6:$U$1005,0,C$4))-IF($A19=C$4,SUM(INDEX(Hitung!$B$6:$U$1005,0,$A19)),0))/(Hasil!$C$4-1))</f>
        <v>0</v>
      </c>
      <c r="D19" s="30" t="n">
        <f aca="false">IF(Hasil!$C$4&lt;2,0,(SUMPRODUCT(INDEX(Hitung!$B$6:$U$1005,0,$A19),INDEX(Hitung!$B$6:$U$1005,0,D$4))-IF($A19=D$4,SUM(INDEX(Hitung!$B$6:$U$1005,0,$A19)),0))/(Hasil!$C$4-1))</f>
        <v>0</v>
      </c>
      <c r="E19" s="30" t="n">
        <f aca="false">IF(Hasil!$C$4&lt;2,0,(SUMPRODUCT(INDEX(Hitung!$B$6:$U$1005,0,$A19),INDEX(Hitung!$B$6:$U$1005,0,E$4))-IF($A19=E$4,SUM(INDEX(Hitung!$B$6:$U$1005,0,$A19)),0))/(Hasil!$C$4-1))</f>
        <v>0</v>
      </c>
      <c r="F19" s="30" t="n">
        <f aca="false">IF(Hasil!$C$4&lt;2,0,(SUMPRODUCT(INDEX(Hitung!$B$6:$U$1005,0,$A19),INDEX(Hitung!$B$6:$U$1005,0,F$4))-IF($A19=F$4,SUM(INDEX(Hitung!$B$6:$U$1005,0,$A19)),0))/(Hasil!$C$4-1))</f>
        <v>0</v>
      </c>
      <c r="G19" s="30" t="n">
        <f aca="false">IF(Hasil!$C$4&lt;2,0,(SUMPRODUCT(INDEX(Hitung!$B$6:$U$1005,0,$A19),INDEX(Hitung!$B$6:$U$1005,0,G$4))-IF($A19=G$4,SUM(INDEX(Hitung!$B$6:$U$1005,0,$A19)),0))/(Hasil!$C$4-1))</f>
        <v>0</v>
      </c>
      <c r="H19" s="30" t="n">
        <f aca="false">IF(Hasil!$C$4&lt;2,0,(SUMPRODUCT(INDEX(Hitung!$B$6:$U$1005,0,$A19),INDEX(Hitung!$B$6:$U$1005,0,H$4))-IF($A19=H$4,SUM(INDEX(Hitung!$B$6:$U$1005,0,$A19)),0))/(Hasil!$C$4-1))</f>
        <v>0</v>
      </c>
      <c r="I19" s="30" t="n">
        <f aca="false">IF(Hasil!$C$4&lt;2,0,(SUMPRODUCT(INDEX(Hitung!$B$6:$U$1005,0,$A19),INDEX(Hitung!$B$6:$U$1005,0,I$4))-IF($A19=I$4,SUM(INDEX(Hitung!$B$6:$U$1005,0,$A19)),0))/(Hasil!$C$4-1))</f>
        <v>0</v>
      </c>
      <c r="J19" s="30" t="n">
        <f aca="false">IF(Hasil!$C$4&lt;2,0,(SUMPRODUCT(INDEX(Hitung!$B$6:$U$1005,0,$A19),INDEX(Hitung!$B$6:$U$1005,0,J$4))-IF($A19=J$4,SUM(INDEX(Hitung!$B$6:$U$1005,0,$A19)),0))/(Hasil!$C$4-1))</f>
        <v>0</v>
      </c>
      <c r="K19" s="30" t="n">
        <f aca="false">IF(Hasil!$C$4&lt;2,0,(SUMPRODUCT(INDEX(Hitung!$B$6:$U$1005,0,$A19),INDEX(Hitung!$B$6:$U$1005,0,K$4))-IF($A19=K$4,SUM(INDEX(Hitung!$B$6:$U$1005,0,$A19)),0))/(Hasil!$C$4-1))</f>
        <v>0</v>
      </c>
      <c r="L19" s="30" t="n">
        <f aca="false">IF(Hasil!$C$4&lt;2,0,(SUMPRODUCT(INDEX(Hitung!$B$6:$U$1005,0,$A19),INDEX(Hitung!$B$6:$U$1005,0,L$4))-IF($A19=L$4,SUM(INDEX(Hitung!$B$6:$U$1005,0,$A19)),0))/(Hasil!$C$4-1))</f>
        <v>0</v>
      </c>
      <c r="M19" s="30" t="n">
        <f aca="false">IF(Hasil!$C$4&lt;2,0,(SUMPRODUCT(INDEX(Hitung!$B$6:$U$1005,0,$A19),INDEX(Hitung!$B$6:$U$1005,0,M$4))-IF($A19=M$4,SUM(INDEX(Hitung!$B$6:$U$1005,0,$A19)),0))/(Hasil!$C$4-1))</f>
        <v>0</v>
      </c>
      <c r="N19" s="30" t="n">
        <f aca="false">IF(Hasil!$C$4&lt;2,0,(SUMPRODUCT(INDEX(Hitung!$B$6:$U$1005,0,$A19),INDEX(Hitung!$B$6:$U$1005,0,N$4))-IF($A19=N$4,SUM(INDEX(Hitung!$B$6:$U$1005,0,$A19)),0))/(Hasil!$C$4-1))</f>
        <v>0</v>
      </c>
      <c r="O19" s="30" t="n">
        <f aca="false">IF(Hasil!$C$4&lt;2,0,(SUMPRODUCT(INDEX(Hitung!$B$6:$U$1005,0,$A19),INDEX(Hitung!$B$6:$U$1005,0,O$4))-IF($A19=O$4,SUM(INDEX(Hitung!$B$6:$U$1005,0,$A19)),0))/(Hasil!$C$4-1))</f>
        <v>0</v>
      </c>
      <c r="P19" s="30" t="n">
        <f aca="false">IF(Hasil!$C$4&lt;2,0,(SUMPRODUCT(INDEX(Hitung!$B$6:$U$1005,0,$A19),INDEX(Hitung!$B$6:$U$1005,0,P$4))-IF($A19=P$4,SUM(INDEX(Hitung!$B$6:$U$1005,0,$A19)),0))/(Hasil!$C$4-1))</f>
        <v>0</v>
      </c>
      <c r="Q19" s="30" t="n">
        <f aca="false">IF(Hasil!$C$4&lt;2,0,(SUMPRODUCT(INDEX(Hitung!$B$6:$U$1005,0,$A19),INDEX(Hitung!$B$6:$U$1005,0,Q$4))-IF($A19=Q$4,SUM(INDEX(Hitung!$B$6:$U$1005,0,$A19)),0))/(Hasil!$C$4-1))</f>
        <v>0</v>
      </c>
      <c r="R19" s="30" t="n">
        <f aca="false">IF(Hasil!$C$4&lt;2,0,(SUMPRODUCT(INDEX(Hitung!$B$6:$U$1005,0,$A19),INDEX(Hitung!$B$6:$U$1005,0,R$4))-IF($A19=R$4,SUM(INDEX(Hitung!$B$6:$U$1005,0,$A19)),0))/(Hasil!$C$4-1))</f>
        <v>0</v>
      </c>
      <c r="S19" s="30" t="n">
        <f aca="false">IF(Hasil!$C$4&lt;2,0,(SUMPRODUCT(INDEX(Hitung!$B$6:$U$1005,0,$A19),INDEX(Hitung!$B$6:$U$1005,0,S$4))-IF($A19=S$4,SUM(INDEX(Hitung!$B$6:$U$1005,0,$A19)),0))/(Hasil!$C$4-1))</f>
        <v>0</v>
      </c>
      <c r="T19" s="30" t="n">
        <f aca="false">IF(Hasil!$C$4&lt;2,0,(SUMPRODUCT(INDEX(Hitung!$B$6:$U$1005,0,$A19),INDEX(Hitung!$B$6:$U$1005,0,T$4))-IF($A19=T$4,SUM(INDEX(Hitung!$B$6:$U$1005,0,$A19)),0))/(Hasil!$C$4-1))</f>
        <v>0</v>
      </c>
      <c r="U19" s="30" t="n">
        <f aca="false">IF(Hasil!$C$4&lt;2,0,(SUMPRODUCT(INDEX(Hitung!$B$6:$U$1005,0,$A19),INDEX(Hitung!$B$6:$U$1005,0,U$4))-IF($A19=U$4,SUM(INDEX(Hitung!$B$6:$U$1005,0,$A19)),0))/(Hasil!$C$4-1))</f>
        <v>0</v>
      </c>
      <c r="V19" s="30" t="n">
        <f aca="false">IF(Hasil!$C$4&lt;2,0,(SUMPRODUCT(INDEX(Hitung!$B$6:$U$1005,0,$A19),INDEX(Hitung!$B$6:$U$1005,0,V$4))-IF($A19=V$4,SUM(INDEX(Hitung!$B$6:$U$1005,0,$A19)),0))/(Hasil!$C$4-1))</f>
        <v>0</v>
      </c>
      <c r="W19" s="31" t="n">
        <f aca="false">SUM(C19:V19)</f>
        <v>0</v>
      </c>
    </row>
    <row r="20" customFormat="false" ht="15" hidden="false" customHeight="false" outlineLevel="0" collapsed="false">
      <c r="A20" s="29" t="n">
        <v>15</v>
      </c>
      <c r="B20" s="29" t="str">
        <f aca="false">IF(INDEX(Pengaturan!$B$8:$B$27,$A20)="","",INDEX(Pengaturan!$B$8:$B$27,$A20))</f>
        <v/>
      </c>
      <c r="C20" s="30" t="n">
        <f aca="false">IF(Hasil!$C$4&lt;2,0,(SUMPRODUCT(INDEX(Hitung!$B$6:$U$1005,0,$A20),INDEX(Hitung!$B$6:$U$1005,0,C$4))-IF($A20=C$4,SUM(INDEX(Hitung!$B$6:$U$1005,0,$A20)),0))/(Hasil!$C$4-1))</f>
        <v>0</v>
      </c>
      <c r="D20" s="30" t="n">
        <f aca="false">IF(Hasil!$C$4&lt;2,0,(SUMPRODUCT(INDEX(Hitung!$B$6:$U$1005,0,$A20),INDEX(Hitung!$B$6:$U$1005,0,D$4))-IF($A20=D$4,SUM(INDEX(Hitung!$B$6:$U$1005,0,$A20)),0))/(Hasil!$C$4-1))</f>
        <v>0</v>
      </c>
      <c r="E20" s="30" t="n">
        <f aca="false">IF(Hasil!$C$4&lt;2,0,(SUMPRODUCT(INDEX(Hitung!$B$6:$U$1005,0,$A20),INDEX(Hitung!$B$6:$U$1005,0,E$4))-IF($A20=E$4,SUM(INDEX(Hitung!$B$6:$U$1005,0,$A20)),0))/(Hasil!$C$4-1))</f>
        <v>0</v>
      </c>
      <c r="F20" s="30" t="n">
        <f aca="false">IF(Hasil!$C$4&lt;2,0,(SUMPRODUCT(INDEX(Hitung!$B$6:$U$1005,0,$A20),INDEX(Hitung!$B$6:$U$1005,0,F$4))-IF($A20=F$4,SUM(INDEX(Hitung!$B$6:$U$1005,0,$A20)),0))/(Hasil!$C$4-1))</f>
        <v>0</v>
      </c>
      <c r="G20" s="30" t="n">
        <f aca="false">IF(Hasil!$C$4&lt;2,0,(SUMPRODUCT(INDEX(Hitung!$B$6:$U$1005,0,$A20),INDEX(Hitung!$B$6:$U$1005,0,G$4))-IF($A20=G$4,SUM(INDEX(Hitung!$B$6:$U$1005,0,$A20)),0))/(Hasil!$C$4-1))</f>
        <v>0</v>
      </c>
      <c r="H20" s="30" t="n">
        <f aca="false">IF(Hasil!$C$4&lt;2,0,(SUMPRODUCT(INDEX(Hitung!$B$6:$U$1005,0,$A20),INDEX(Hitung!$B$6:$U$1005,0,H$4))-IF($A20=H$4,SUM(INDEX(Hitung!$B$6:$U$1005,0,$A20)),0))/(Hasil!$C$4-1))</f>
        <v>0</v>
      </c>
      <c r="I20" s="30" t="n">
        <f aca="false">IF(Hasil!$C$4&lt;2,0,(SUMPRODUCT(INDEX(Hitung!$B$6:$U$1005,0,$A20),INDEX(Hitung!$B$6:$U$1005,0,I$4))-IF($A20=I$4,SUM(INDEX(Hitung!$B$6:$U$1005,0,$A20)),0))/(Hasil!$C$4-1))</f>
        <v>0</v>
      </c>
      <c r="J20" s="30" t="n">
        <f aca="false">IF(Hasil!$C$4&lt;2,0,(SUMPRODUCT(INDEX(Hitung!$B$6:$U$1005,0,$A20),INDEX(Hitung!$B$6:$U$1005,0,J$4))-IF($A20=J$4,SUM(INDEX(Hitung!$B$6:$U$1005,0,$A20)),0))/(Hasil!$C$4-1))</f>
        <v>0</v>
      </c>
      <c r="K20" s="30" t="n">
        <f aca="false">IF(Hasil!$C$4&lt;2,0,(SUMPRODUCT(INDEX(Hitung!$B$6:$U$1005,0,$A20),INDEX(Hitung!$B$6:$U$1005,0,K$4))-IF($A20=K$4,SUM(INDEX(Hitung!$B$6:$U$1005,0,$A20)),0))/(Hasil!$C$4-1))</f>
        <v>0</v>
      </c>
      <c r="L20" s="30" t="n">
        <f aca="false">IF(Hasil!$C$4&lt;2,0,(SUMPRODUCT(INDEX(Hitung!$B$6:$U$1005,0,$A20),INDEX(Hitung!$B$6:$U$1005,0,L$4))-IF($A20=L$4,SUM(INDEX(Hitung!$B$6:$U$1005,0,$A20)),0))/(Hasil!$C$4-1))</f>
        <v>0</v>
      </c>
      <c r="M20" s="30" t="n">
        <f aca="false">IF(Hasil!$C$4&lt;2,0,(SUMPRODUCT(INDEX(Hitung!$B$6:$U$1005,0,$A20),INDEX(Hitung!$B$6:$U$1005,0,M$4))-IF($A20=M$4,SUM(INDEX(Hitung!$B$6:$U$1005,0,$A20)),0))/(Hasil!$C$4-1))</f>
        <v>0</v>
      </c>
      <c r="N20" s="30" t="n">
        <f aca="false">IF(Hasil!$C$4&lt;2,0,(SUMPRODUCT(INDEX(Hitung!$B$6:$U$1005,0,$A20),INDEX(Hitung!$B$6:$U$1005,0,N$4))-IF($A20=N$4,SUM(INDEX(Hitung!$B$6:$U$1005,0,$A20)),0))/(Hasil!$C$4-1))</f>
        <v>0</v>
      </c>
      <c r="O20" s="30" t="n">
        <f aca="false">IF(Hasil!$C$4&lt;2,0,(SUMPRODUCT(INDEX(Hitung!$B$6:$U$1005,0,$A20),INDEX(Hitung!$B$6:$U$1005,0,O$4))-IF($A20=O$4,SUM(INDEX(Hitung!$B$6:$U$1005,0,$A20)),0))/(Hasil!$C$4-1))</f>
        <v>0</v>
      </c>
      <c r="P20" s="30" t="n">
        <f aca="false">IF(Hasil!$C$4&lt;2,0,(SUMPRODUCT(INDEX(Hitung!$B$6:$U$1005,0,$A20),INDEX(Hitung!$B$6:$U$1005,0,P$4))-IF($A20=P$4,SUM(INDEX(Hitung!$B$6:$U$1005,0,$A20)),0))/(Hasil!$C$4-1))</f>
        <v>0</v>
      </c>
      <c r="Q20" s="30" t="n">
        <f aca="false">IF(Hasil!$C$4&lt;2,0,(SUMPRODUCT(INDEX(Hitung!$B$6:$U$1005,0,$A20),INDEX(Hitung!$B$6:$U$1005,0,Q$4))-IF($A20=Q$4,SUM(INDEX(Hitung!$B$6:$U$1005,0,$A20)),0))/(Hasil!$C$4-1))</f>
        <v>0</v>
      </c>
      <c r="R20" s="30" t="n">
        <f aca="false">IF(Hasil!$C$4&lt;2,0,(SUMPRODUCT(INDEX(Hitung!$B$6:$U$1005,0,$A20),INDEX(Hitung!$B$6:$U$1005,0,R$4))-IF($A20=R$4,SUM(INDEX(Hitung!$B$6:$U$1005,0,$A20)),0))/(Hasil!$C$4-1))</f>
        <v>0</v>
      </c>
      <c r="S20" s="30" t="n">
        <f aca="false">IF(Hasil!$C$4&lt;2,0,(SUMPRODUCT(INDEX(Hitung!$B$6:$U$1005,0,$A20),INDEX(Hitung!$B$6:$U$1005,0,S$4))-IF($A20=S$4,SUM(INDEX(Hitung!$B$6:$U$1005,0,$A20)),0))/(Hasil!$C$4-1))</f>
        <v>0</v>
      </c>
      <c r="T20" s="30" t="n">
        <f aca="false">IF(Hasil!$C$4&lt;2,0,(SUMPRODUCT(INDEX(Hitung!$B$6:$U$1005,0,$A20),INDEX(Hitung!$B$6:$U$1005,0,T$4))-IF($A20=T$4,SUM(INDEX(Hitung!$B$6:$U$1005,0,$A20)),0))/(Hasil!$C$4-1))</f>
        <v>0</v>
      </c>
      <c r="U20" s="30" t="n">
        <f aca="false">IF(Hasil!$C$4&lt;2,0,(SUMPRODUCT(INDEX(Hitung!$B$6:$U$1005,0,$A20),INDEX(Hitung!$B$6:$U$1005,0,U$4))-IF($A20=U$4,SUM(INDEX(Hitung!$B$6:$U$1005,0,$A20)),0))/(Hasil!$C$4-1))</f>
        <v>0</v>
      </c>
      <c r="V20" s="30" t="n">
        <f aca="false">IF(Hasil!$C$4&lt;2,0,(SUMPRODUCT(INDEX(Hitung!$B$6:$U$1005,0,$A20),INDEX(Hitung!$B$6:$U$1005,0,V$4))-IF($A20=V$4,SUM(INDEX(Hitung!$B$6:$U$1005,0,$A20)),0))/(Hasil!$C$4-1))</f>
        <v>0</v>
      </c>
      <c r="W20" s="31" t="n">
        <f aca="false">SUM(C20:V20)</f>
        <v>0</v>
      </c>
    </row>
    <row r="21" customFormat="false" ht="15" hidden="false" customHeight="false" outlineLevel="0" collapsed="false">
      <c r="A21" s="29" t="n">
        <v>16</v>
      </c>
      <c r="B21" s="29" t="str">
        <f aca="false">IF(INDEX(Pengaturan!$B$8:$B$27,$A21)="","",INDEX(Pengaturan!$B$8:$B$27,$A21))</f>
        <v/>
      </c>
      <c r="C21" s="30" t="n">
        <f aca="false">IF(Hasil!$C$4&lt;2,0,(SUMPRODUCT(INDEX(Hitung!$B$6:$U$1005,0,$A21),INDEX(Hitung!$B$6:$U$1005,0,C$4))-IF($A21=C$4,SUM(INDEX(Hitung!$B$6:$U$1005,0,$A21)),0))/(Hasil!$C$4-1))</f>
        <v>0</v>
      </c>
      <c r="D21" s="30" t="n">
        <f aca="false">IF(Hasil!$C$4&lt;2,0,(SUMPRODUCT(INDEX(Hitung!$B$6:$U$1005,0,$A21),INDEX(Hitung!$B$6:$U$1005,0,D$4))-IF($A21=D$4,SUM(INDEX(Hitung!$B$6:$U$1005,0,$A21)),0))/(Hasil!$C$4-1))</f>
        <v>0</v>
      </c>
      <c r="E21" s="30" t="n">
        <f aca="false">IF(Hasil!$C$4&lt;2,0,(SUMPRODUCT(INDEX(Hitung!$B$6:$U$1005,0,$A21),INDEX(Hitung!$B$6:$U$1005,0,E$4))-IF($A21=E$4,SUM(INDEX(Hitung!$B$6:$U$1005,0,$A21)),0))/(Hasil!$C$4-1))</f>
        <v>0</v>
      </c>
      <c r="F21" s="30" t="n">
        <f aca="false">IF(Hasil!$C$4&lt;2,0,(SUMPRODUCT(INDEX(Hitung!$B$6:$U$1005,0,$A21),INDEX(Hitung!$B$6:$U$1005,0,F$4))-IF($A21=F$4,SUM(INDEX(Hitung!$B$6:$U$1005,0,$A21)),0))/(Hasil!$C$4-1))</f>
        <v>0</v>
      </c>
      <c r="G21" s="30" t="n">
        <f aca="false">IF(Hasil!$C$4&lt;2,0,(SUMPRODUCT(INDEX(Hitung!$B$6:$U$1005,0,$A21),INDEX(Hitung!$B$6:$U$1005,0,G$4))-IF($A21=G$4,SUM(INDEX(Hitung!$B$6:$U$1005,0,$A21)),0))/(Hasil!$C$4-1))</f>
        <v>0</v>
      </c>
      <c r="H21" s="30" t="n">
        <f aca="false">IF(Hasil!$C$4&lt;2,0,(SUMPRODUCT(INDEX(Hitung!$B$6:$U$1005,0,$A21),INDEX(Hitung!$B$6:$U$1005,0,H$4))-IF($A21=H$4,SUM(INDEX(Hitung!$B$6:$U$1005,0,$A21)),0))/(Hasil!$C$4-1))</f>
        <v>0</v>
      </c>
      <c r="I21" s="30" t="n">
        <f aca="false">IF(Hasil!$C$4&lt;2,0,(SUMPRODUCT(INDEX(Hitung!$B$6:$U$1005,0,$A21),INDEX(Hitung!$B$6:$U$1005,0,I$4))-IF($A21=I$4,SUM(INDEX(Hitung!$B$6:$U$1005,0,$A21)),0))/(Hasil!$C$4-1))</f>
        <v>0</v>
      </c>
      <c r="J21" s="30" t="n">
        <f aca="false">IF(Hasil!$C$4&lt;2,0,(SUMPRODUCT(INDEX(Hitung!$B$6:$U$1005,0,$A21),INDEX(Hitung!$B$6:$U$1005,0,J$4))-IF($A21=J$4,SUM(INDEX(Hitung!$B$6:$U$1005,0,$A21)),0))/(Hasil!$C$4-1))</f>
        <v>0</v>
      </c>
      <c r="K21" s="30" t="n">
        <f aca="false">IF(Hasil!$C$4&lt;2,0,(SUMPRODUCT(INDEX(Hitung!$B$6:$U$1005,0,$A21),INDEX(Hitung!$B$6:$U$1005,0,K$4))-IF($A21=K$4,SUM(INDEX(Hitung!$B$6:$U$1005,0,$A21)),0))/(Hasil!$C$4-1))</f>
        <v>0</v>
      </c>
      <c r="L21" s="30" t="n">
        <f aca="false">IF(Hasil!$C$4&lt;2,0,(SUMPRODUCT(INDEX(Hitung!$B$6:$U$1005,0,$A21),INDEX(Hitung!$B$6:$U$1005,0,L$4))-IF($A21=L$4,SUM(INDEX(Hitung!$B$6:$U$1005,0,$A21)),0))/(Hasil!$C$4-1))</f>
        <v>0</v>
      </c>
      <c r="M21" s="30" t="n">
        <f aca="false">IF(Hasil!$C$4&lt;2,0,(SUMPRODUCT(INDEX(Hitung!$B$6:$U$1005,0,$A21),INDEX(Hitung!$B$6:$U$1005,0,M$4))-IF($A21=M$4,SUM(INDEX(Hitung!$B$6:$U$1005,0,$A21)),0))/(Hasil!$C$4-1))</f>
        <v>0</v>
      </c>
      <c r="N21" s="30" t="n">
        <f aca="false">IF(Hasil!$C$4&lt;2,0,(SUMPRODUCT(INDEX(Hitung!$B$6:$U$1005,0,$A21),INDEX(Hitung!$B$6:$U$1005,0,N$4))-IF($A21=N$4,SUM(INDEX(Hitung!$B$6:$U$1005,0,$A21)),0))/(Hasil!$C$4-1))</f>
        <v>0</v>
      </c>
      <c r="O21" s="30" t="n">
        <f aca="false">IF(Hasil!$C$4&lt;2,0,(SUMPRODUCT(INDEX(Hitung!$B$6:$U$1005,0,$A21),INDEX(Hitung!$B$6:$U$1005,0,O$4))-IF($A21=O$4,SUM(INDEX(Hitung!$B$6:$U$1005,0,$A21)),0))/(Hasil!$C$4-1))</f>
        <v>0</v>
      </c>
      <c r="P21" s="30" t="n">
        <f aca="false">IF(Hasil!$C$4&lt;2,0,(SUMPRODUCT(INDEX(Hitung!$B$6:$U$1005,0,$A21),INDEX(Hitung!$B$6:$U$1005,0,P$4))-IF($A21=P$4,SUM(INDEX(Hitung!$B$6:$U$1005,0,$A21)),0))/(Hasil!$C$4-1))</f>
        <v>0</v>
      </c>
      <c r="Q21" s="30" t="n">
        <f aca="false">IF(Hasil!$C$4&lt;2,0,(SUMPRODUCT(INDEX(Hitung!$B$6:$U$1005,0,$A21),INDEX(Hitung!$B$6:$U$1005,0,Q$4))-IF($A21=Q$4,SUM(INDEX(Hitung!$B$6:$U$1005,0,$A21)),0))/(Hasil!$C$4-1))</f>
        <v>0</v>
      </c>
      <c r="R21" s="30" t="n">
        <f aca="false">IF(Hasil!$C$4&lt;2,0,(SUMPRODUCT(INDEX(Hitung!$B$6:$U$1005,0,$A21),INDEX(Hitung!$B$6:$U$1005,0,R$4))-IF($A21=R$4,SUM(INDEX(Hitung!$B$6:$U$1005,0,$A21)),0))/(Hasil!$C$4-1))</f>
        <v>0</v>
      </c>
      <c r="S21" s="30" t="n">
        <f aca="false">IF(Hasil!$C$4&lt;2,0,(SUMPRODUCT(INDEX(Hitung!$B$6:$U$1005,0,$A21),INDEX(Hitung!$B$6:$U$1005,0,S$4))-IF($A21=S$4,SUM(INDEX(Hitung!$B$6:$U$1005,0,$A21)),0))/(Hasil!$C$4-1))</f>
        <v>0</v>
      </c>
      <c r="T21" s="30" t="n">
        <f aca="false">IF(Hasil!$C$4&lt;2,0,(SUMPRODUCT(INDEX(Hitung!$B$6:$U$1005,0,$A21),INDEX(Hitung!$B$6:$U$1005,0,T$4))-IF($A21=T$4,SUM(INDEX(Hitung!$B$6:$U$1005,0,$A21)),0))/(Hasil!$C$4-1))</f>
        <v>0</v>
      </c>
      <c r="U21" s="30" t="n">
        <f aca="false">IF(Hasil!$C$4&lt;2,0,(SUMPRODUCT(INDEX(Hitung!$B$6:$U$1005,0,$A21),INDEX(Hitung!$B$6:$U$1005,0,U$4))-IF($A21=U$4,SUM(INDEX(Hitung!$B$6:$U$1005,0,$A21)),0))/(Hasil!$C$4-1))</f>
        <v>0</v>
      </c>
      <c r="V21" s="30" t="n">
        <f aca="false">IF(Hasil!$C$4&lt;2,0,(SUMPRODUCT(INDEX(Hitung!$B$6:$U$1005,0,$A21),INDEX(Hitung!$B$6:$U$1005,0,V$4))-IF($A21=V$4,SUM(INDEX(Hitung!$B$6:$U$1005,0,$A21)),0))/(Hasil!$C$4-1))</f>
        <v>0</v>
      </c>
      <c r="W21" s="31" t="n">
        <f aca="false">SUM(C21:V21)</f>
        <v>0</v>
      </c>
    </row>
    <row r="22" customFormat="false" ht="15" hidden="false" customHeight="false" outlineLevel="0" collapsed="false">
      <c r="A22" s="29" t="n">
        <v>17</v>
      </c>
      <c r="B22" s="29" t="str">
        <f aca="false">IF(INDEX(Pengaturan!$B$8:$B$27,$A22)="","",INDEX(Pengaturan!$B$8:$B$27,$A22))</f>
        <v/>
      </c>
      <c r="C22" s="30" t="n">
        <f aca="false">IF(Hasil!$C$4&lt;2,0,(SUMPRODUCT(INDEX(Hitung!$B$6:$U$1005,0,$A22),INDEX(Hitung!$B$6:$U$1005,0,C$4))-IF($A22=C$4,SUM(INDEX(Hitung!$B$6:$U$1005,0,$A22)),0))/(Hasil!$C$4-1))</f>
        <v>0</v>
      </c>
      <c r="D22" s="30" t="n">
        <f aca="false">IF(Hasil!$C$4&lt;2,0,(SUMPRODUCT(INDEX(Hitung!$B$6:$U$1005,0,$A22),INDEX(Hitung!$B$6:$U$1005,0,D$4))-IF($A22=D$4,SUM(INDEX(Hitung!$B$6:$U$1005,0,$A22)),0))/(Hasil!$C$4-1))</f>
        <v>0</v>
      </c>
      <c r="E22" s="30" t="n">
        <f aca="false">IF(Hasil!$C$4&lt;2,0,(SUMPRODUCT(INDEX(Hitung!$B$6:$U$1005,0,$A22),INDEX(Hitung!$B$6:$U$1005,0,E$4))-IF($A22=E$4,SUM(INDEX(Hitung!$B$6:$U$1005,0,$A22)),0))/(Hasil!$C$4-1))</f>
        <v>0</v>
      </c>
      <c r="F22" s="30" t="n">
        <f aca="false">IF(Hasil!$C$4&lt;2,0,(SUMPRODUCT(INDEX(Hitung!$B$6:$U$1005,0,$A22),INDEX(Hitung!$B$6:$U$1005,0,F$4))-IF($A22=F$4,SUM(INDEX(Hitung!$B$6:$U$1005,0,$A22)),0))/(Hasil!$C$4-1))</f>
        <v>0</v>
      </c>
      <c r="G22" s="30" t="n">
        <f aca="false">IF(Hasil!$C$4&lt;2,0,(SUMPRODUCT(INDEX(Hitung!$B$6:$U$1005,0,$A22),INDEX(Hitung!$B$6:$U$1005,0,G$4))-IF($A22=G$4,SUM(INDEX(Hitung!$B$6:$U$1005,0,$A22)),0))/(Hasil!$C$4-1))</f>
        <v>0</v>
      </c>
      <c r="H22" s="30" t="n">
        <f aca="false">IF(Hasil!$C$4&lt;2,0,(SUMPRODUCT(INDEX(Hitung!$B$6:$U$1005,0,$A22),INDEX(Hitung!$B$6:$U$1005,0,H$4))-IF($A22=H$4,SUM(INDEX(Hitung!$B$6:$U$1005,0,$A22)),0))/(Hasil!$C$4-1))</f>
        <v>0</v>
      </c>
      <c r="I22" s="30" t="n">
        <f aca="false">IF(Hasil!$C$4&lt;2,0,(SUMPRODUCT(INDEX(Hitung!$B$6:$U$1005,0,$A22),INDEX(Hitung!$B$6:$U$1005,0,I$4))-IF($A22=I$4,SUM(INDEX(Hitung!$B$6:$U$1005,0,$A22)),0))/(Hasil!$C$4-1))</f>
        <v>0</v>
      </c>
      <c r="J22" s="30" t="n">
        <f aca="false">IF(Hasil!$C$4&lt;2,0,(SUMPRODUCT(INDEX(Hitung!$B$6:$U$1005,0,$A22),INDEX(Hitung!$B$6:$U$1005,0,J$4))-IF($A22=J$4,SUM(INDEX(Hitung!$B$6:$U$1005,0,$A22)),0))/(Hasil!$C$4-1))</f>
        <v>0</v>
      </c>
      <c r="K22" s="30" t="n">
        <f aca="false">IF(Hasil!$C$4&lt;2,0,(SUMPRODUCT(INDEX(Hitung!$B$6:$U$1005,0,$A22),INDEX(Hitung!$B$6:$U$1005,0,K$4))-IF($A22=K$4,SUM(INDEX(Hitung!$B$6:$U$1005,0,$A22)),0))/(Hasil!$C$4-1))</f>
        <v>0</v>
      </c>
      <c r="L22" s="30" t="n">
        <f aca="false">IF(Hasil!$C$4&lt;2,0,(SUMPRODUCT(INDEX(Hitung!$B$6:$U$1005,0,$A22),INDEX(Hitung!$B$6:$U$1005,0,L$4))-IF($A22=L$4,SUM(INDEX(Hitung!$B$6:$U$1005,0,$A22)),0))/(Hasil!$C$4-1))</f>
        <v>0</v>
      </c>
      <c r="M22" s="30" t="n">
        <f aca="false">IF(Hasil!$C$4&lt;2,0,(SUMPRODUCT(INDEX(Hitung!$B$6:$U$1005,0,$A22),INDEX(Hitung!$B$6:$U$1005,0,M$4))-IF($A22=M$4,SUM(INDEX(Hitung!$B$6:$U$1005,0,$A22)),0))/(Hasil!$C$4-1))</f>
        <v>0</v>
      </c>
      <c r="N22" s="30" t="n">
        <f aca="false">IF(Hasil!$C$4&lt;2,0,(SUMPRODUCT(INDEX(Hitung!$B$6:$U$1005,0,$A22),INDEX(Hitung!$B$6:$U$1005,0,N$4))-IF($A22=N$4,SUM(INDEX(Hitung!$B$6:$U$1005,0,$A22)),0))/(Hasil!$C$4-1))</f>
        <v>0</v>
      </c>
      <c r="O22" s="30" t="n">
        <f aca="false">IF(Hasil!$C$4&lt;2,0,(SUMPRODUCT(INDEX(Hitung!$B$6:$U$1005,0,$A22),INDEX(Hitung!$B$6:$U$1005,0,O$4))-IF($A22=O$4,SUM(INDEX(Hitung!$B$6:$U$1005,0,$A22)),0))/(Hasil!$C$4-1))</f>
        <v>0</v>
      </c>
      <c r="P22" s="30" t="n">
        <f aca="false">IF(Hasil!$C$4&lt;2,0,(SUMPRODUCT(INDEX(Hitung!$B$6:$U$1005,0,$A22),INDEX(Hitung!$B$6:$U$1005,0,P$4))-IF($A22=P$4,SUM(INDEX(Hitung!$B$6:$U$1005,0,$A22)),0))/(Hasil!$C$4-1))</f>
        <v>0</v>
      </c>
      <c r="Q22" s="30" t="n">
        <f aca="false">IF(Hasil!$C$4&lt;2,0,(SUMPRODUCT(INDEX(Hitung!$B$6:$U$1005,0,$A22),INDEX(Hitung!$B$6:$U$1005,0,Q$4))-IF($A22=Q$4,SUM(INDEX(Hitung!$B$6:$U$1005,0,$A22)),0))/(Hasil!$C$4-1))</f>
        <v>0</v>
      </c>
      <c r="R22" s="30" t="n">
        <f aca="false">IF(Hasil!$C$4&lt;2,0,(SUMPRODUCT(INDEX(Hitung!$B$6:$U$1005,0,$A22),INDEX(Hitung!$B$6:$U$1005,0,R$4))-IF($A22=R$4,SUM(INDEX(Hitung!$B$6:$U$1005,0,$A22)),0))/(Hasil!$C$4-1))</f>
        <v>0</v>
      </c>
      <c r="S22" s="30" t="n">
        <f aca="false">IF(Hasil!$C$4&lt;2,0,(SUMPRODUCT(INDEX(Hitung!$B$6:$U$1005,0,$A22),INDEX(Hitung!$B$6:$U$1005,0,S$4))-IF($A22=S$4,SUM(INDEX(Hitung!$B$6:$U$1005,0,$A22)),0))/(Hasil!$C$4-1))</f>
        <v>0</v>
      </c>
      <c r="T22" s="30" t="n">
        <f aca="false">IF(Hasil!$C$4&lt;2,0,(SUMPRODUCT(INDEX(Hitung!$B$6:$U$1005,0,$A22),INDEX(Hitung!$B$6:$U$1005,0,T$4))-IF($A22=T$4,SUM(INDEX(Hitung!$B$6:$U$1005,0,$A22)),0))/(Hasil!$C$4-1))</f>
        <v>0</v>
      </c>
      <c r="U22" s="30" t="n">
        <f aca="false">IF(Hasil!$C$4&lt;2,0,(SUMPRODUCT(INDEX(Hitung!$B$6:$U$1005,0,$A22),INDEX(Hitung!$B$6:$U$1005,0,U$4))-IF($A22=U$4,SUM(INDEX(Hitung!$B$6:$U$1005,0,$A22)),0))/(Hasil!$C$4-1))</f>
        <v>0</v>
      </c>
      <c r="V22" s="30" t="n">
        <f aca="false">IF(Hasil!$C$4&lt;2,0,(SUMPRODUCT(INDEX(Hitung!$B$6:$U$1005,0,$A22),INDEX(Hitung!$B$6:$U$1005,0,V$4))-IF($A22=V$4,SUM(INDEX(Hitung!$B$6:$U$1005,0,$A22)),0))/(Hasil!$C$4-1))</f>
        <v>0</v>
      </c>
      <c r="W22" s="31" t="n">
        <f aca="false">SUM(C22:V22)</f>
        <v>0</v>
      </c>
    </row>
    <row r="23" customFormat="false" ht="15" hidden="false" customHeight="false" outlineLevel="0" collapsed="false">
      <c r="A23" s="29" t="n">
        <v>18</v>
      </c>
      <c r="B23" s="29" t="str">
        <f aca="false">IF(INDEX(Pengaturan!$B$8:$B$27,$A23)="","",INDEX(Pengaturan!$B$8:$B$27,$A23))</f>
        <v/>
      </c>
      <c r="C23" s="30" t="n">
        <f aca="false">IF(Hasil!$C$4&lt;2,0,(SUMPRODUCT(INDEX(Hitung!$B$6:$U$1005,0,$A23),INDEX(Hitung!$B$6:$U$1005,0,C$4))-IF($A23=C$4,SUM(INDEX(Hitung!$B$6:$U$1005,0,$A23)),0))/(Hasil!$C$4-1))</f>
        <v>0</v>
      </c>
      <c r="D23" s="30" t="n">
        <f aca="false">IF(Hasil!$C$4&lt;2,0,(SUMPRODUCT(INDEX(Hitung!$B$6:$U$1005,0,$A23),INDEX(Hitung!$B$6:$U$1005,0,D$4))-IF($A23=D$4,SUM(INDEX(Hitung!$B$6:$U$1005,0,$A23)),0))/(Hasil!$C$4-1))</f>
        <v>0</v>
      </c>
      <c r="E23" s="30" t="n">
        <f aca="false">IF(Hasil!$C$4&lt;2,0,(SUMPRODUCT(INDEX(Hitung!$B$6:$U$1005,0,$A23),INDEX(Hitung!$B$6:$U$1005,0,E$4))-IF($A23=E$4,SUM(INDEX(Hitung!$B$6:$U$1005,0,$A23)),0))/(Hasil!$C$4-1))</f>
        <v>0</v>
      </c>
      <c r="F23" s="30" t="n">
        <f aca="false">IF(Hasil!$C$4&lt;2,0,(SUMPRODUCT(INDEX(Hitung!$B$6:$U$1005,0,$A23),INDEX(Hitung!$B$6:$U$1005,0,F$4))-IF($A23=F$4,SUM(INDEX(Hitung!$B$6:$U$1005,0,$A23)),0))/(Hasil!$C$4-1))</f>
        <v>0</v>
      </c>
      <c r="G23" s="30" t="n">
        <f aca="false">IF(Hasil!$C$4&lt;2,0,(SUMPRODUCT(INDEX(Hitung!$B$6:$U$1005,0,$A23),INDEX(Hitung!$B$6:$U$1005,0,G$4))-IF($A23=G$4,SUM(INDEX(Hitung!$B$6:$U$1005,0,$A23)),0))/(Hasil!$C$4-1))</f>
        <v>0</v>
      </c>
      <c r="H23" s="30" t="n">
        <f aca="false">IF(Hasil!$C$4&lt;2,0,(SUMPRODUCT(INDEX(Hitung!$B$6:$U$1005,0,$A23),INDEX(Hitung!$B$6:$U$1005,0,H$4))-IF($A23=H$4,SUM(INDEX(Hitung!$B$6:$U$1005,0,$A23)),0))/(Hasil!$C$4-1))</f>
        <v>0</v>
      </c>
      <c r="I23" s="30" t="n">
        <f aca="false">IF(Hasil!$C$4&lt;2,0,(SUMPRODUCT(INDEX(Hitung!$B$6:$U$1005,0,$A23),INDEX(Hitung!$B$6:$U$1005,0,I$4))-IF($A23=I$4,SUM(INDEX(Hitung!$B$6:$U$1005,0,$A23)),0))/(Hasil!$C$4-1))</f>
        <v>0</v>
      </c>
      <c r="J23" s="30" t="n">
        <f aca="false">IF(Hasil!$C$4&lt;2,0,(SUMPRODUCT(INDEX(Hitung!$B$6:$U$1005,0,$A23),INDEX(Hitung!$B$6:$U$1005,0,J$4))-IF($A23=J$4,SUM(INDEX(Hitung!$B$6:$U$1005,0,$A23)),0))/(Hasil!$C$4-1))</f>
        <v>0</v>
      </c>
      <c r="K23" s="30" t="n">
        <f aca="false">IF(Hasil!$C$4&lt;2,0,(SUMPRODUCT(INDEX(Hitung!$B$6:$U$1005,0,$A23),INDEX(Hitung!$B$6:$U$1005,0,K$4))-IF($A23=K$4,SUM(INDEX(Hitung!$B$6:$U$1005,0,$A23)),0))/(Hasil!$C$4-1))</f>
        <v>0</v>
      </c>
      <c r="L23" s="30" t="n">
        <f aca="false">IF(Hasil!$C$4&lt;2,0,(SUMPRODUCT(INDEX(Hitung!$B$6:$U$1005,0,$A23),INDEX(Hitung!$B$6:$U$1005,0,L$4))-IF($A23=L$4,SUM(INDEX(Hitung!$B$6:$U$1005,0,$A23)),0))/(Hasil!$C$4-1))</f>
        <v>0</v>
      </c>
      <c r="M23" s="30" t="n">
        <f aca="false">IF(Hasil!$C$4&lt;2,0,(SUMPRODUCT(INDEX(Hitung!$B$6:$U$1005,0,$A23),INDEX(Hitung!$B$6:$U$1005,0,M$4))-IF($A23=M$4,SUM(INDEX(Hitung!$B$6:$U$1005,0,$A23)),0))/(Hasil!$C$4-1))</f>
        <v>0</v>
      </c>
      <c r="N23" s="30" t="n">
        <f aca="false">IF(Hasil!$C$4&lt;2,0,(SUMPRODUCT(INDEX(Hitung!$B$6:$U$1005,0,$A23),INDEX(Hitung!$B$6:$U$1005,0,N$4))-IF($A23=N$4,SUM(INDEX(Hitung!$B$6:$U$1005,0,$A23)),0))/(Hasil!$C$4-1))</f>
        <v>0</v>
      </c>
      <c r="O23" s="30" t="n">
        <f aca="false">IF(Hasil!$C$4&lt;2,0,(SUMPRODUCT(INDEX(Hitung!$B$6:$U$1005,0,$A23),INDEX(Hitung!$B$6:$U$1005,0,O$4))-IF($A23=O$4,SUM(INDEX(Hitung!$B$6:$U$1005,0,$A23)),0))/(Hasil!$C$4-1))</f>
        <v>0</v>
      </c>
      <c r="P23" s="30" t="n">
        <f aca="false">IF(Hasil!$C$4&lt;2,0,(SUMPRODUCT(INDEX(Hitung!$B$6:$U$1005,0,$A23),INDEX(Hitung!$B$6:$U$1005,0,P$4))-IF($A23=P$4,SUM(INDEX(Hitung!$B$6:$U$1005,0,$A23)),0))/(Hasil!$C$4-1))</f>
        <v>0</v>
      </c>
      <c r="Q23" s="30" t="n">
        <f aca="false">IF(Hasil!$C$4&lt;2,0,(SUMPRODUCT(INDEX(Hitung!$B$6:$U$1005,0,$A23),INDEX(Hitung!$B$6:$U$1005,0,Q$4))-IF($A23=Q$4,SUM(INDEX(Hitung!$B$6:$U$1005,0,$A23)),0))/(Hasil!$C$4-1))</f>
        <v>0</v>
      </c>
      <c r="R23" s="30" t="n">
        <f aca="false">IF(Hasil!$C$4&lt;2,0,(SUMPRODUCT(INDEX(Hitung!$B$6:$U$1005,0,$A23),INDEX(Hitung!$B$6:$U$1005,0,R$4))-IF($A23=R$4,SUM(INDEX(Hitung!$B$6:$U$1005,0,$A23)),0))/(Hasil!$C$4-1))</f>
        <v>0</v>
      </c>
      <c r="S23" s="30" t="n">
        <f aca="false">IF(Hasil!$C$4&lt;2,0,(SUMPRODUCT(INDEX(Hitung!$B$6:$U$1005,0,$A23),INDEX(Hitung!$B$6:$U$1005,0,S$4))-IF($A23=S$4,SUM(INDEX(Hitung!$B$6:$U$1005,0,$A23)),0))/(Hasil!$C$4-1))</f>
        <v>0</v>
      </c>
      <c r="T23" s="30" t="n">
        <f aca="false">IF(Hasil!$C$4&lt;2,0,(SUMPRODUCT(INDEX(Hitung!$B$6:$U$1005,0,$A23),INDEX(Hitung!$B$6:$U$1005,0,T$4))-IF($A23=T$4,SUM(INDEX(Hitung!$B$6:$U$1005,0,$A23)),0))/(Hasil!$C$4-1))</f>
        <v>0</v>
      </c>
      <c r="U23" s="30" t="n">
        <f aca="false">IF(Hasil!$C$4&lt;2,0,(SUMPRODUCT(INDEX(Hitung!$B$6:$U$1005,0,$A23),INDEX(Hitung!$B$6:$U$1005,0,U$4))-IF($A23=U$4,SUM(INDEX(Hitung!$B$6:$U$1005,0,$A23)),0))/(Hasil!$C$4-1))</f>
        <v>0</v>
      </c>
      <c r="V23" s="30" t="n">
        <f aca="false">IF(Hasil!$C$4&lt;2,0,(SUMPRODUCT(INDEX(Hitung!$B$6:$U$1005,0,$A23),INDEX(Hitung!$B$6:$U$1005,0,V$4))-IF($A23=V$4,SUM(INDEX(Hitung!$B$6:$U$1005,0,$A23)),0))/(Hasil!$C$4-1))</f>
        <v>0</v>
      </c>
      <c r="W23" s="31" t="n">
        <f aca="false">SUM(C23:V23)</f>
        <v>0</v>
      </c>
    </row>
    <row r="24" customFormat="false" ht="15" hidden="false" customHeight="false" outlineLevel="0" collapsed="false">
      <c r="A24" s="29" t="n">
        <v>19</v>
      </c>
      <c r="B24" s="29" t="str">
        <f aca="false">IF(INDEX(Pengaturan!$B$8:$B$27,$A24)="","",INDEX(Pengaturan!$B$8:$B$27,$A24))</f>
        <v/>
      </c>
      <c r="C24" s="30" t="n">
        <f aca="false">IF(Hasil!$C$4&lt;2,0,(SUMPRODUCT(INDEX(Hitung!$B$6:$U$1005,0,$A24),INDEX(Hitung!$B$6:$U$1005,0,C$4))-IF($A24=C$4,SUM(INDEX(Hitung!$B$6:$U$1005,0,$A24)),0))/(Hasil!$C$4-1))</f>
        <v>0</v>
      </c>
      <c r="D24" s="30" t="n">
        <f aca="false">IF(Hasil!$C$4&lt;2,0,(SUMPRODUCT(INDEX(Hitung!$B$6:$U$1005,0,$A24),INDEX(Hitung!$B$6:$U$1005,0,D$4))-IF($A24=D$4,SUM(INDEX(Hitung!$B$6:$U$1005,0,$A24)),0))/(Hasil!$C$4-1))</f>
        <v>0</v>
      </c>
      <c r="E24" s="30" t="n">
        <f aca="false">IF(Hasil!$C$4&lt;2,0,(SUMPRODUCT(INDEX(Hitung!$B$6:$U$1005,0,$A24),INDEX(Hitung!$B$6:$U$1005,0,E$4))-IF($A24=E$4,SUM(INDEX(Hitung!$B$6:$U$1005,0,$A24)),0))/(Hasil!$C$4-1))</f>
        <v>0</v>
      </c>
      <c r="F24" s="30" t="n">
        <f aca="false">IF(Hasil!$C$4&lt;2,0,(SUMPRODUCT(INDEX(Hitung!$B$6:$U$1005,0,$A24),INDEX(Hitung!$B$6:$U$1005,0,F$4))-IF($A24=F$4,SUM(INDEX(Hitung!$B$6:$U$1005,0,$A24)),0))/(Hasil!$C$4-1))</f>
        <v>0</v>
      </c>
      <c r="G24" s="30" t="n">
        <f aca="false">IF(Hasil!$C$4&lt;2,0,(SUMPRODUCT(INDEX(Hitung!$B$6:$U$1005,0,$A24),INDEX(Hitung!$B$6:$U$1005,0,G$4))-IF($A24=G$4,SUM(INDEX(Hitung!$B$6:$U$1005,0,$A24)),0))/(Hasil!$C$4-1))</f>
        <v>0</v>
      </c>
      <c r="H24" s="30" t="n">
        <f aca="false">IF(Hasil!$C$4&lt;2,0,(SUMPRODUCT(INDEX(Hitung!$B$6:$U$1005,0,$A24),INDEX(Hitung!$B$6:$U$1005,0,H$4))-IF($A24=H$4,SUM(INDEX(Hitung!$B$6:$U$1005,0,$A24)),0))/(Hasil!$C$4-1))</f>
        <v>0</v>
      </c>
      <c r="I24" s="30" t="n">
        <f aca="false">IF(Hasil!$C$4&lt;2,0,(SUMPRODUCT(INDEX(Hitung!$B$6:$U$1005,0,$A24),INDEX(Hitung!$B$6:$U$1005,0,I$4))-IF($A24=I$4,SUM(INDEX(Hitung!$B$6:$U$1005,0,$A24)),0))/(Hasil!$C$4-1))</f>
        <v>0</v>
      </c>
      <c r="J24" s="30" t="n">
        <f aca="false">IF(Hasil!$C$4&lt;2,0,(SUMPRODUCT(INDEX(Hitung!$B$6:$U$1005,0,$A24),INDEX(Hitung!$B$6:$U$1005,0,J$4))-IF($A24=J$4,SUM(INDEX(Hitung!$B$6:$U$1005,0,$A24)),0))/(Hasil!$C$4-1))</f>
        <v>0</v>
      </c>
      <c r="K24" s="30" t="n">
        <f aca="false">IF(Hasil!$C$4&lt;2,0,(SUMPRODUCT(INDEX(Hitung!$B$6:$U$1005,0,$A24),INDEX(Hitung!$B$6:$U$1005,0,K$4))-IF($A24=K$4,SUM(INDEX(Hitung!$B$6:$U$1005,0,$A24)),0))/(Hasil!$C$4-1))</f>
        <v>0</v>
      </c>
      <c r="L24" s="30" t="n">
        <f aca="false">IF(Hasil!$C$4&lt;2,0,(SUMPRODUCT(INDEX(Hitung!$B$6:$U$1005,0,$A24),INDEX(Hitung!$B$6:$U$1005,0,L$4))-IF($A24=L$4,SUM(INDEX(Hitung!$B$6:$U$1005,0,$A24)),0))/(Hasil!$C$4-1))</f>
        <v>0</v>
      </c>
      <c r="M24" s="30" t="n">
        <f aca="false">IF(Hasil!$C$4&lt;2,0,(SUMPRODUCT(INDEX(Hitung!$B$6:$U$1005,0,$A24),INDEX(Hitung!$B$6:$U$1005,0,M$4))-IF($A24=M$4,SUM(INDEX(Hitung!$B$6:$U$1005,0,$A24)),0))/(Hasil!$C$4-1))</f>
        <v>0</v>
      </c>
      <c r="N24" s="30" t="n">
        <f aca="false">IF(Hasil!$C$4&lt;2,0,(SUMPRODUCT(INDEX(Hitung!$B$6:$U$1005,0,$A24),INDEX(Hitung!$B$6:$U$1005,0,N$4))-IF($A24=N$4,SUM(INDEX(Hitung!$B$6:$U$1005,0,$A24)),0))/(Hasil!$C$4-1))</f>
        <v>0</v>
      </c>
      <c r="O24" s="30" t="n">
        <f aca="false">IF(Hasil!$C$4&lt;2,0,(SUMPRODUCT(INDEX(Hitung!$B$6:$U$1005,0,$A24),INDEX(Hitung!$B$6:$U$1005,0,O$4))-IF($A24=O$4,SUM(INDEX(Hitung!$B$6:$U$1005,0,$A24)),0))/(Hasil!$C$4-1))</f>
        <v>0</v>
      </c>
      <c r="P24" s="30" t="n">
        <f aca="false">IF(Hasil!$C$4&lt;2,0,(SUMPRODUCT(INDEX(Hitung!$B$6:$U$1005,0,$A24),INDEX(Hitung!$B$6:$U$1005,0,P$4))-IF($A24=P$4,SUM(INDEX(Hitung!$B$6:$U$1005,0,$A24)),0))/(Hasil!$C$4-1))</f>
        <v>0</v>
      </c>
      <c r="Q24" s="30" t="n">
        <f aca="false">IF(Hasil!$C$4&lt;2,0,(SUMPRODUCT(INDEX(Hitung!$B$6:$U$1005,0,$A24),INDEX(Hitung!$B$6:$U$1005,0,Q$4))-IF($A24=Q$4,SUM(INDEX(Hitung!$B$6:$U$1005,0,$A24)),0))/(Hasil!$C$4-1))</f>
        <v>0</v>
      </c>
      <c r="R24" s="30" t="n">
        <f aca="false">IF(Hasil!$C$4&lt;2,0,(SUMPRODUCT(INDEX(Hitung!$B$6:$U$1005,0,$A24),INDEX(Hitung!$B$6:$U$1005,0,R$4))-IF($A24=R$4,SUM(INDEX(Hitung!$B$6:$U$1005,0,$A24)),0))/(Hasil!$C$4-1))</f>
        <v>0</v>
      </c>
      <c r="S24" s="30" t="n">
        <f aca="false">IF(Hasil!$C$4&lt;2,0,(SUMPRODUCT(INDEX(Hitung!$B$6:$U$1005,0,$A24),INDEX(Hitung!$B$6:$U$1005,0,S$4))-IF($A24=S$4,SUM(INDEX(Hitung!$B$6:$U$1005,0,$A24)),0))/(Hasil!$C$4-1))</f>
        <v>0</v>
      </c>
      <c r="T24" s="30" t="n">
        <f aca="false">IF(Hasil!$C$4&lt;2,0,(SUMPRODUCT(INDEX(Hitung!$B$6:$U$1005,0,$A24),INDEX(Hitung!$B$6:$U$1005,0,T$4))-IF($A24=T$4,SUM(INDEX(Hitung!$B$6:$U$1005,0,$A24)),0))/(Hasil!$C$4-1))</f>
        <v>0</v>
      </c>
      <c r="U24" s="30" t="n">
        <f aca="false">IF(Hasil!$C$4&lt;2,0,(SUMPRODUCT(INDEX(Hitung!$B$6:$U$1005,0,$A24),INDEX(Hitung!$B$6:$U$1005,0,U$4))-IF($A24=U$4,SUM(INDEX(Hitung!$B$6:$U$1005,0,$A24)),0))/(Hasil!$C$4-1))</f>
        <v>0</v>
      </c>
      <c r="V24" s="30" t="n">
        <f aca="false">IF(Hasil!$C$4&lt;2,0,(SUMPRODUCT(INDEX(Hitung!$B$6:$U$1005,0,$A24),INDEX(Hitung!$B$6:$U$1005,0,V$4))-IF($A24=V$4,SUM(INDEX(Hitung!$B$6:$U$1005,0,$A24)),0))/(Hasil!$C$4-1))</f>
        <v>0</v>
      </c>
      <c r="W24" s="31" t="n">
        <f aca="false">SUM(C24:V24)</f>
        <v>0</v>
      </c>
    </row>
    <row r="25" customFormat="false" ht="15" hidden="false" customHeight="false" outlineLevel="0" collapsed="false">
      <c r="A25" s="29" t="n">
        <v>20</v>
      </c>
      <c r="B25" s="29" t="str">
        <f aca="false">IF(INDEX(Pengaturan!$B$8:$B$27,$A25)="","",INDEX(Pengaturan!$B$8:$B$27,$A25))</f>
        <v/>
      </c>
      <c r="C25" s="30" t="n">
        <f aca="false">IF(Hasil!$C$4&lt;2,0,(SUMPRODUCT(INDEX(Hitung!$B$6:$U$1005,0,$A25),INDEX(Hitung!$B$6:$U$1005,0,C$4))-IF($A25=C$4,SUM(INDEX(Hitung!$B$6:$U$1005,0,$A25)),0))/(Hasil!$C$4-1))</f>
        <v>0</v>
      </c>
      <c r="D25" s="30" t="n">
        <f aca="false">IF(Hasil!$C$4&lt;2,0,(SUMPRODUCT(INDEX(Hitung!$B$6:$U$1005,0,$A25),INDEX(Hitung!$B$6:$U$1005,0,D$4))-IF($A25=D$4,SUM(INDEX(Hitung!$B$6:$U$1005,0,$A25)),0))/(Hasil!$C$4-1))</f>
        <v>0</v>
      </c>
      <c r="E25" s="30" t="n">
        <f aca="false">IF(Hasil!$C$4&lt;2,0,(SUMPRODUCT(INDEX(Hitung!$B$6:$U$1005,0,$A25),INDEX(Hitung!$B$6:$U$1005,0,E$4))-IF($A25=E$4,SUM(INDEX(Hitung!$B$6:$U$1005,0,$A25)),0))/(Hasil!$C$4-1))</f>
        <v>0</v>
      </c>
      <c r="F25" s="30" t="n">
        <f aca="false">IF(Hasil!$C$4&lt;2,0,(SUMPRODUCT(INDEX(Hitung!$B$6:$U$1005,0,$A25),INDEX(Hitung!$B$6:$U$1005,0,F$4))-IF($A25=F$4,SUM(INDEX(Hitung!$B$6:$U$1005,0,$A25)),0))/(Hasil!$C$4-1))</f>
        <v>0</v>
      </c>
      <c r="G25" s="30" t="n">
        <f aca="false">IF(Hasil!$C$4&lt;2,0,(SUMPRODUCT(INDEX(Hitung!$B$6:$U$1005,0,$A25),INDEX(Hitung!$B$6:$U$1005,0,G$4))-IF($A25=G$4,SUM(INDEX(Hitung!$B$6:$U$1005,0,$A25)),0))/(Hasil!$C$4-1))</f>
        <v>0</v>
      </c>
      <c r="H25" s="30" t="n">
        <f aca="false">IF(Hasil!$C$4&lt;2,0,(SUMPRODUCT(INDEX(Hitung!$B$6:$U$1005,0,$A25),INDEX(Hitung!$B$6:$U$1005,0,H$4))-IF($A25=H$4,SUM(INDEX(Hitung!$B$6:$U$1005,0,$A25)),0))/(Hasil!$C$4-1))</f>
        <v>0</v>
      </c>
      <c r="I25" s="30" t="n">
        <f aca="false">IF(Hasil!$C$4&lt;2,0,(SUMPRODUCT(INDEX(Hitung!$B$6:$U$1005,0,$A25),INDEX(Hitung!$B$6:$U$1005,0,I$4))-IF($A25=I$4,SUM(INDEX(Hitung!$B$6:$U$1005,0,$A25)),0))/(Hasil!$C$4-1))</f>
        <v>0</v>
      </c>
      <c r="J25" s="30" t="n">
        <f aca="false">IF(Hasil!$C$4&lt;2,0,(SUMPRODUCT(INDEX(Hitung!$B$6:$U$1005,0,$A25),INDEX(Hitung!$B$6:$U$1005,0,J$4))-IF($A25=J$4,SUM(INDEX(Hitung!$B$6:$U$1005,0,$A25)),0))/(Hasil!$C$4-1))</f>
        <v>0</v>
      </c>
      <c r="K25" s="30" t="n">
        <f aca="false">IF(Hasil!$C$4&lt;2,0,(SUMPRODUCT(INDEX(Hitung!$B$6:$U$1005,0,$A25),INDEX(Hitung!$B$6:$U$1005,0,K$4))-IF($A25=K$4,SUM(INDEX(Hitung!$B$6:$U$1005,0,$A25)),0))/(Hasil!$C$4-1))</f>
        <v>0</v>
      </c>
      <c r="L25" s="30" t="n">
        <f aca="false">IF(Hasil!$C$4&lt;2,0,(SUMPRODUCT(INDEX(Hitung!$B$6:$U$1005,0,$A25),INDEX(Hitung!$B$6:$U$1005,0,L$4))-IF($A25=L$4,SUM(INDEX(Hitung!$B$6:$U$1005,0,$A25)),0))/(Hasil!$C$4-1))</f>
        <v>0</v>
      </c>
      <c r="M25" s="30" t="n">
        <f aca="false">IF(Hasil!$C$4&lt;2,0,(SUMPRODUCT(INDEX(Hitung!$B$6:$U$1005,0,$A25),INDEX(Hitung!$B$6:$U$1005,0,M$4))-IF($A25=M$4,SUM(INDEX(Hitung!$B$6:$U$1005,0,$A25)),0))/(Hasil!$C$4-1))</f>
        <v>0</v>
      </c>
      <c r="N25" s="30" t="n">
        <f aca="false">IF(Hasil!$C$4&lt;2,0,(SUMPRODUCT(INDEX(Hitung!$B$6:$U$1005,0,$A25),INDEX(Hitung!$B$6:$U$1005,0,N$4))-IF($A25=N$4,SUM(INDEX(Hitung!$B$6:$U$1005,0,$A25)),0))/(Hasil!$C$4-1))</f>
        <v>0</v>
      </c>
      <c r="O25" s="30" t="n">
        <f aca="false">IF(Hasil!$C$4&lt;2,0,(SUMPRODUCT(INDEX(Hitung!$B$6:$U$1005,0,$A25),INDEX(Hitung!$B$6:$U$1005,0,O$4))-IF($A25=O$4,SUM(INDEX(Hitung!$B$6:$U$1005,0,$A25)),0))/(Hasil!$C$4-1))</f>
        <v>0</v>
      </c>
      <c r="P25" s="30" t="n">
        <f aca="false">IF(Hasil!$C$4&lt;2,0,(SUMPRODUCT(INDEX(Hitung!$B$6:$U$1005,0,$A25),INDEX(Hitung!$B$6:$U$1005,0,P$4))-IF($A25=P$4,SUM(INDEX(Hitung!$B$6:$U$1005,0,$A25)),0))/(Hasil!$C$4-1))</f>
        <v>0</v>
      </c>
      <c r="Q25" s="30" t="n">
        <f aca="false">IF(Hasil!$C$4&lt;2,0,(SUMPRODUCT(INDEX(Hitung!$B$6:$U$1005,0,$A25),INDEX(Hitung!$B$6:$U$1005,0,Q$4))-IF($A25=Q$4,SUM(INDEX(Hitung!$B$6:$U$1005,0,$A25)),0))/(Hasil!$C$4-1))</f>
        <v>0</v>
      </c>
      <c r="R25" s="30" t="n">
        <f aca="false">IF(Hasil!$C$4&lt;2,0,(SUMPRODUCT(INDEX(Hitung!$B$6:$U$1005,0,$A25),INDEX(Hitung!$B$6:$U$1005,0,R$4))-IF($A25=R$4,SUM(INDEX(Hitung!$B$6:$U$1005,0,$A25)),0))/(Hasil!$C$4-1))</f>
        <v>0</v>
      </c>
      <c r="S25" s="30" t="n">
        <f aca="false">IF(Hasil!$C$4&lt;2,0,(SUMPRODUCT(INDEX(Hitung!$B$6:$U$1005,0,$A25),INDEX(Hitung!$B$6:$U$1005,0,S$4))-IF($A25=S$4,SUM(INDEX(Hitung!$B$6:$U$1005,0,$A25)),0))/(Hasil!$C$4-1))</f>
        <v>0</v>
      </c>
      <c r="T25" s="30" t="n">
        <f aca="false">IF(Hasil!$C$4&lt;2,0,(SUMPRODUCT(INDEX(Hitung!$B$6:$U$1005,0,$A25),INDEX(Hitung!$B$6:$U$1005,0,T$4))-IF($A25=T$4,SUM(INDEX(Hitung!$B$6:$U$1005,0,$A25)),0))/(Hasil!$C$4-1))</f>
        <v>0</v>
      </c>
      <c r="U25" s="30" t="n">
        <f aca="false">IF(Hasil!$C$4&lt;2,0,(SUMPRODUCT(INDEX(Hitung!$B$6:$U$1005,0,$A25),INDEX(Hitung!$B$6:$U$1005,0,U$4))-IF($A25=U$4,SUM(INDEX(Hitung!$B$6:$U$1005,0,$A25)),0))/(Hasil!$C$4-1))</f>
        <v>0</v>
      </c>
      <c r="V25" s="30" t="n">
        <f aca="false">IF(Hasil!$C$4&lt;2,0,(SUMPRODUCT(INDEX(Hitung!$B$6:$U$1005,0,$A25),INDEX(Hitung!$B$6:$U$1005,0,V$4))-IF($A25=V$4,SUM(INDEX(Hitung!$B$6:$U$1005,0,$A25)),0))/(Hasil!$C$4-1))</f>
        <v>0</v>
      </c>
      <c r="W25" s="31" t="n">
        <f aca="false">SUM(C25:V25)</f>
        <v>0</v>
      </c>
    </row>
    <row r="26" customFormat="false" ht="15" hidden="false" customHeight="false" outlineLevel="0" collapsed="false">
      <c r="B26" s="8" t="s">
        <v>103</v>
      </c>
      <c r="W26" s="32" t="n">
        <f aca="false">SUM(W6:W25)</f>
        <v>100</v>
      </c>
    </row>
    <row r="28" customFormat="false" ht="15" hidden="false" customHeight="false" outlineLevel="0" collapsed="false">
      <c r="A28" s="8" t="s">
        <v>104</v>
      </c>
    </row>
    <row r="29" customFormat="false" ht="15" hidden="false" customHeight="false" outlineLevel="0" collapsed="false">
      <c r="B29" s="7" t="s">
        <v>99</v>
      </c>
      <c r="C29" s="25" t="n">
        <v>1</v>
      </c>
      <c r="D29" s="25" t="n">
        <v>2</v>
      </c>
      <c r="E29" s="25" t="n">
        <v>3</v>
      </c>
      <c r="F29" s="25" t="n">
        <v>4</v>
      </c>
      <c r="G29" s="25" t="n">
        <v>5</v>
      </c>
      <c r="H29" s="25" t="n">
        <v>6</v>
      </c>
      <c r="I29" s="25" t="n">
        <v>7</v>
      </c>
      <c r="J29" s="25" t="n">
        <v>8</v>
      </c>
      <c r="K29" s="25" t="n">
        <v>9</v>
      </c>
      <c r="L29" s="25" t="n">
        <v>10</v>
      </c>
      <c r="M29" s="25" t="n">
        <v>11</v>
      </c>
      <c r="N29" s="25" t="n">
        <v>12</v>
      </c>
      <c r="O29" s="25" t="n">
        <v>13</v>
      </c>
      <c r="P29" s="25" t="n">
        <v>14</v>
      </c>
      <c r="Q29" s="25" t="n">
        <v>15</v>
      </c>
      <c r="R29" s="25" t="n">
        <v>16</v>
      </c>
      <c r="S29" s="25" t="n">
        <v>17</v>
      </c>
      <c r="T29" s="25" t="n">
        <v>18</v>
      </c>
      <c r="U29" s="25" t="n">
        <v>19</v>
      </c>
      <c r="V29" s="25" t="n">
        <v>20</v>
      </c>
    </row>
    <row r="30" customFormat="false" ht="15" hidden="false" customHeight="false" outlineLevel="0" collapsed="false">
      <c r="A30" s="11" t="s">
        <v>100</v>
      </c>
      <c r="B30" s="11" t="s">
        <v>101</v>
      </c>
      <c r="C30" s="11" t="n">
        <f aca="false">IF(INDEX(Pengaturan!$B$8:$B$27,C$29)="","",INDEX(Pengaturan!$B$8:$B$27,C$29))</f>
        <v>1</v>
      </c>
      <c r="D30" s="11" t="n">
        <f aca="false">IF(INDEX(Pengaturan!$B$8:$B$27,D$29)="","",INDEX(Pengaturan!$B$8:$B$27,D$29))</f>
        <v>2</v>
      </c>
      <c r="E30" s="11" t="n">
        <f aca="false">IF(INDEX(Pengaturan!$B$8:$B$27,E$29)="","",INDEX(Pengaturan!$B$8:$B$27,E$29))</f>
        <v>3</v>
      </c>
      <c r="F30" s="11" t="n">
        <f aca="false">IF(INDEX(Pengaturan!$B$8:$B$27,F$29)="","",INDEX(Pengaturan!$B$8:$B$27,F$29))</f>
        <v>4</v>
      </c>
      <c r="G30" s="11" t="n">
        <f aca="false">IF(INDEX(Pengaturan!$B$8:$B$27,G$29)="","",INDEX(Pengaturan!$B$8:$B$27,G$29))</f>
        <v>5</v>
      </c>
      <c r="H30" s="11" t="str">
        <f aca="false">IF(INDEX(Pengaturan!$B$8:$B$27,H$29)="","",INDEX(Pengaturan!$B$8:$B$27,H$29))</f>
        <v/>
      </c>
      <c r="I30" s="11" t="str">
        <f aca="false">IF(INDEX(Pengaturan!$B$8:$B$27,I$29)="","",INDEX(Pengaturan!$B$8:$B$27,I$29))</f>
        <v/>
      </c>
      <c r="J30" s="11" t="str">
        <f aca="false">IF(INDEX(Pengaturan!$B$8:$B$27,J$29)="","",INDEX(Pengaturan!$B$8:$B$27,J$29))</f>
        <v/>
      </c>
      <c r="K30" s="11" t="str">
        <f aca="false">IF(INDEX(Pengaturan!$B$8:$B$27,K$29)="","",INDEX(Pengaturan!$B$8:$B$27,K$29))</f>
        <v/>
      </c>
      <c r="L30" s="11" t="str">
        <f aca="false">IF(INDEX(Pengaturan!$B$8:$B$27,L$29)="","",INDEX(Pengaturan!$B$8:$B$27,L$29))</f>
        <v/>
      </c>
      <c r="M30" s="11" t="str">
        <f aca="false">IF(INDEX(Pengaturan!$B$8:$B$27,M$29)="","",INDEX(Pengaturan!$B$8:$B$27,M$29))</f>
        <v/>
      </c>
      <c r="N30" s="11" t="str">
        <f aca="false">IF(INDEX(Pengaturan!$B$8:$B$27,N$29)="","",INDEX(Pengaturan!$B$8:$B$27,N$29))</f>
        <v/>
      </c>
      <c r="O30" s="11" t="str">
        <f aca="false">IF(INDEX(Pengaturan!$B$8:$B$27,O$29)="","",INDEX(Pengaturan!$B$8:$B$27,O$29))</f>
        <v/>
      </c>
      <c r="P30" s="11" t="str">
        <f aca="false">IF(INDEX(Pengaturan!$B$8:$B$27,P$29)="","",INDEX(Pengaturan!$B$8:$B$27,P$29))</f>
        <v/>
      </c>
      <c r="Q30" s="11" t="str">
        <f aca="false">IF(INDEX(Pengaturan!$B$8:$B$27,Q$29)="","",INDEX(Pengaturan!$B$8:$B$27,Q$29))</f>
        <v/>
      </c>
      <c r="R30" s="11" t="str">
        <f aca="false">IF(INDEX(Pengaturan!$B$8:$B$27,R$29)="","",INDEX(Pengaturan!$B$8:$B$27,R$29))</f>
        <v/>
      </c>
      <c r="S30" s="11" t="str">
        <f aca="false">IF(INDEX(Pengaturan!$B$8:$B$27,S$29)="","",INDEX(Pengaturan!$B$8:$B$27,S$29))</f>
        <v/>
      </c>
      <c r="T30" s="11" t="str">
        <f aca="false">IF(INDEX(Pengaturan!$B$8:$B$27,T$29)="","",INDEX(Pengaturan!$B$8:$B$27,T$29))</f>
        <v/>
      </c>
      <c r="U30" s="11" t="str">
        <f aca="false">IF(INDEX(Pengaturan!$B$8:$B$27,U$29)="","",INDEX(Pengaturan!$B$8:$B$27,U$29))</f>
        <v/>
      </c>
      <c r="V30" s="11" t="str">
        <f aca="false">IF(INDEX(Pengaturan!$B$8:$B$27,V$29)="","",INDEX(Pengaturan!$B$8:$B$27,V$29))</f>
        <v/>
      </c>
    </row>
    <row r="31" customFormat="false" ht="15" hidden="false" customHeight="false" outlineLevel="0" collapsed="false">
      <c r="A31" s="29" t="n">
        <v>1</v>
      </c>
      <c r="B31" s="29" t="n">
        <f aca="false">IF(INDEX(Pengaturan!$B$8:$B$27,$A31)="","",INDEX(Pengaturan!$B$8:$B$27,$A31))</f>
        <v>1</v>
      </c>
      <c r="C31" s="30" t="n">
        <f aca="false">IF(Hasil!$C$6&lt;2,0,IF($A31=C$29,INDEX($W$6:$W$25,$A31)*(INDEX($W$6:$W$25,$A31)-1),INDEX($W$6:$W$25,$A31)*INDEX($W$6:$W$25,C$29))/(Hasil!$C$6-1))</f>
        <v>4.66666666666667</v>
      </c>
      <c r="D31" s="30" t="n">
        <f aca="false">IF(Hasil!$C$6&lt;2,0,IF($A31=D$29,INDEX($W$6:$W$25,$A31)*(INDEX($W$6:$W$25,$A31)-1),INDEX($W$6:$W$25,$A31)*INDEX($W$6:$W$25,D$29))/(Hasil!$C$6-1))</f>
        <v>3.11111111111111</v>
      </c>
      <c r="E31" s="30" t="n">
        <f aca="false">IF(Hasil!$C$6&lt;2,0,IF($A31=E$29,INDEX($W$6:$W$25,$A31)*(INDEX($W$6:$W$25,$A31)-1),INDEX($W$6:$W$25,$A31)*INDEX($W$6:$W$25,E$29))/(Hasil!$C$6-1))</f>
        <v>2.66666666666667</v>
      </c>
      <c r="F31" s="30" t="n">
        <f aca="false">IF(Hasil!$C$6&lt;2,0,IF($A31=F$29,INDEX($W$6:$W$25,$A31)*(INDEX($W$6:$W$25,$A31)-1),INDEX($W$6:$W$25,$A31)*INDEX($W$6:$W$25,F$29))/(Hasil!$C$6-1))</f>
        <v>5.55555555555556</v>
      </c>
      <c r="G31" s="30" t="n">
        <f aca="false">IF(Hasil!$C$6&lt;2,0,IF($A31=G$29,INDEX($W$6:$W$25,$A31)*(INDEX($W$6:$W$25,$A31)-1),INDEX($W$6:$W$25,$A31)*INDEX($W$6:$W$25,G$29))/(Hasil!$C$6-1))</f>
        <v>6</v>
      </c>
      <c r="H31" s="30" t="n">
        <f aca="false">IF(Hasil!$C$6&lt;2,0,IF($A31=H$29,INDEX($W$6:$W$25,$A31)*(INDEX($W$6:$W$25,$A31)-1),INDEX($W$6:$W$25,$A31)*INDEX($W$6:$W$25,H$29))/(Hasil!$C$6-1))</f>
        <v>0</v>
      </c>
      <c r="I31" s="30" t="n">
        <f aca="false">IF(Hasil!$C$6&lt;2,0,IF($A31=I$29,INDEX($W$6:$W$25,$A31)*(INDEX($W$6:$W$25,$A31)-1),INDEX($W$6:$W$25,$A31)*INDEX($W$6:$W$25,I$29))/(Hasil!$C$6-1))</f>
        <v>0</v>
      </c>
      <c r="J31" s="30" t="n">
        <f aca="false">IF(Hasil!$C$6&lt;2,0,IF($A31=J$29,INDEX($W$6:$W$25,$A31)*(INDEX($W$6:$W$25,$A31)-1),INDEX($W$6:$W$25,$A31)*INDEX($W$6:$W$25,J$29))/(Hasil!$C$6-1))</f>
        <v>0</v>
      </c>
      <c r="K31" s="30" t="n">
        <f aca="false">IF(Hasil!$C$6&lt;2,0,IF($A31=K$29,INDEX($W$6:$W$25,$A31)*(INDEX($W$6:$W$25,$A31)-1),INDEX($W$6:$W$25,$A31)*INDEX($W$6:$W$25,K$29))/(Hasil!$C$6-1))</f>
        <v>0</v>
      </c>
      <c r="L31" s="30" t="n">
        <f aca="false">IF(Hasil!$C$6&lt;2,0,IF($A31=L$29,INDEX($W$6:$W$25,$A31)*(INDEX($W$6:$W$25,$A31)-1),INDEX($W$6:$W$25,$A31)*INDEX($W$6:$W$25,L$29))/(Hasil!$C$6-1))</f>
        <v>0</v>
      </c>
      <c r="M31" s="30" t="n">
        <f aca="false">IF(Hasil!$C$6&lt;2,0,IF($A31=M$29,INDEX($W$6:$W$25,$A31)*(INDEX($W$6:$W$25,$A31)-1),INDEX($W$6:$W$25,$A31)*INDEX($W$6:$W$25,M$29))/(Hasil!$C$6-1))</f>
        <v>0</v>
      </c>
      <c r="N31" s="30" t="n">
        <f aca="false">IF(Hasil!$C$6&lt;2,0,IF($A31=N$29,INDEX($W$6:$W$25,$A31)*(INDEX($W$6:$W$25,$A31)-1),INDEX($W$6:$W$25,$A31)*INDEX($W$6:$W$25,N$29))/(Hasil!$C$6-1))</f>
        <v>0</v>
      </c>
      <c r="O31" s="30" t="n">
        <f aca="false">IF(Hasil!$C$6&lt;2,0,IF($A31=O$29,INDEX($W$6:$W$25,$A31)*(INDEX($W$6:$W$25,$A31)-1),INDEX($W$6:$W$25,$A31)*INDEX($W$6:$W$25,O$29))/(Hasil!$C$6-1))</f>
        <v>0</v>
      </c>
      <c r="P31" s="30" t="n">
        <f aca="false">IF(Hasil!$C$6&lt;2,0,IF($A31=P$29,INDEX($W$6:$W$25,$A31)*(INDEX($W$6:$W$25,$A31)-1),INDEX($W$6:$W$25,$A31)*INDEX($W$6:$W$25,P$29))/(Hasil!$C$6-1))</f>
        <v>0</v>
      </c>
      <c r="Q31" s="30" t="n">
        <f aca="false">IF(Hasil!$C$6&lt;2,0,IF($A31=Q$29,INDEX($W$6:$W$25,$A31)*(INDEX($W$6:$W$25,$A31)-1),INDEX($W$6:$W$25,$A31)*INDEX($W$6:$W$25,Q$29))/(Hasil!$C$6-1))</f>
        <v>0</v>
      </c>
      <c r="R31" s="30" t="n">
        <f aca="false">IF(Hasil!$C$6&lt;2,0,IF($A31=R$29,INDEX($W$6:$W$25,$A31)*(INDEX($W$6:$W$25,$A31)-1),INDEX($W$6:$W$25,$A31)*INDEX($W$6:$W$25,R$29))/(Hasil!$C$6-1))</f>
        <v>0</v>
      </c>
      <c r="S31" s="30" t="n">
        <f aca="false">IF(Hasil!$C$6&lt;2,0,IF($A31=S$29,INDEX($W$6:$W$25,$A31)*(INDEX($W$6:$W$25,$A31)-1),INDEX($W$6:$W$25,$A31)*INDEX($W$6:$W$25,S$29))/(Hasil!$C$6-1))</f>
        <v>0</v>
      </c>
      <c r="T31" s="30" t="n">
        <f aca="false">IF(Hasil!$C$6&lt;2,0,IF($A31=T$29,INDEX($W$6:$W$25,$A31)*(INDEX($W$6:$W$25,$A31)-1),INDEX($W$6:$W$25,$A31)*INDEX($W$6:$W$25,T$29))/(Hasil!$C$6-1))</f>
        <v>0</v>
      </c>
      <c r="U31" s="30" t="n">
        <f aca="false">IF(Hasil!$C$6&lt;2,0,IF($A31=U$29,INDEX($W$6:$W$25,$A31)*(INDEX($W$6:$W$25,$A31)-1),INDEX($W$6:$W$25,$A31)*INDEX($W$6:$W$25,U$29))/(Hasil!$C$6-1))</f>
        <v>0</v>
      </c>
      <c r="V31" s="30" t="n">
        <f aca="false">IF(Hasil!$C$6&lt;2,0,IF($A31=V$29,INDEX($W$6:$W$25,$A31)*(INDEX($W$6:$W$25,$A31)-1),INDEX($W$6:$W$25,$A31)*INDEX($W$6:$W$25,V$29))/(Hasil!$C$6-1))</f>
        <v>0</v>
      </c>
    </row>
    <row r="32" customFormat="false" ht="15" hidden="false" customHeight="false" outlineLevel="0" collapsed="false">
      <c r="A32" s="29" t="n">
        <v>2</v>
      </c>
      <c r="B32" s="29" t="n">
        <f aca="false">IF(INDEX(Pengaturan!$B$8:$B$27,$A32)="","",INDEX(Pengaturan!$B$8:$B$27,$A32))</f>
        <v>2</v>
      </c>
      <c r="C32" s="30" t="n">
        <f aca="false">IF(Hasil!$C$6&lt;2,0,IF($A32=C$29,INDEX($W$6:$W$25,$A32)*(INDEX($W$6:$W$25,$A32)-1),INDEX($W$6:$W$25,$A32)*INDEX($W$6:$W$25,C$29))/(Hasil!$C$6-1))</f>
        <v>3.11111111111111</v>
      </c>
      <c r="D32" s="30" t="n">
        <f aca="false">IF(Hasil!$C$6&lt;2,0,IF($A32=D$29,INDEX($W$6:$W$25,$A32)*(INDEX($W$6:$W$25,$A32)-1),INDEX($W$6:$W$25,$A32)*INDEX($W$6:$W$25,D$29))/(Hasil!$C$6-1))</f>
        <v>1.83838383838384</v>
      </c>
      <c r="E32" s="30" t="n">
        <f aca="false">IF(Hasil!$C$6&lt;2,0,IF($A32=E$29,INDEX($W$6:$W$25,$A32)*(INDEX($W$6:$W$25,$A32)-1),INDEX($W$6:$W$25,$A32)*INDEX($W$6:$W$25,E$29))/(Hasil!$C$6-1))</f>
        <v>1.6969696969697</v>
      </c>
      <c r="F32" s="30" t="n">
        <f aca="false">IF(Hasil!$C$6&lt;2,0,IF($A32=F$29,INDEX($W$6:$W$25,$A32)*(INDEX($W$6:$W$25,$A32)-1),INDEX($W$6:$W$25,$A32)*INDEX($W$6:$W$25,F$29))/(Hasil!$C$6-1))</f>
        <v>3.53535353535354</v>
      </c>
      <c r="G32" s="30" t="n">
        <f aca="false">IF(Hasil!$C$6&lt;2,0,IF($A32=G$29,INDEX($W$6:$W$25,$A32)*(INDEX($W$6:$W$25,$A32)-1),INDEX($W$6:$W$25,$A32)*INDEX($W$6:$W$25,G$29))/(Hasil!$C$6-1))</f>
        <v>3.81818181818182</v>
      </c>
      <c r="H32" s="30" t="n">
        <f aca="false">IF(Hasil!$C$6&lt;2,0,IF($A32=H$29,INDEX($W$6:$W$25,$A32)*(INDEX($W$6:$W$25,$A32)-1),INDEX($W$6:$W$25,$A32)*INDEX($W$6:$W$25,H$29))/(Hasil!$C$6-1))</f>
        <v>0</v>
      </c>
      <c r="I32" s="30" t="n">
        <f aca="false">IF(Hasil!$C$6&lt;2,0,IF($A32=I$29,INDEX($W$6:$W$25,$A32)*(INDEX($W$6:$W$25,$A32)-1),INDEX($W$6:$W$25,$A32)*INDEX($W$6:$W$25,I$29))/(Hasil!$C$6-1))</f>
        <v>0</v>
      </c>
      <c r="J32" s="30" t="n">
        <f aca="false">IF(Hasil!$C$6&lt;2,0,IF($A32=J$29,INDEX($W$6:$W$25,$A32)*(INDEX($W$6:$W$25,$A32)-1),INDEX($W$6:$W$25,$A32)*INDEX($W$6:$W$25,J$29))/(Hasil!$C$6-1))</f>
        <v>0</v>
      </c>
      <c r="K32" s="30" t="n">
        <f aca="false">IF(Hasil!$C$6&lt;2,0,IF($A32=K$29,INDEX($W$6:$W$25,$A32)*(INDEX($W$6:$W$25,$A32)-1),INDEX($W$6:$W$25,$A32)*INDEX($W$6:$W$25,K$29))/(Hasil!$C$6-1))</f>
        <v>0</v>
      </c>
      <c r="L32" s="30" t="n">
        <f aca="false">IF(Hasil!$C$6&lt;2,0,IF($A32=L$29,INDEX($W$6:$W$25,$A32)*(INDEX($W$6:$W$25,$A32)-1),INDEX($W$6:$W$25,$A32)*INDEX($W$6:$W$25,L$29))/(Hasil!$C$6-1))</f>
        <v>0</v>
      </c>
      <c r="M32" s="30" t="n">
        <f aca="false">IF(Hasil!$C$6&lt;2,0,IF($A32=M$29,INDEX($W$6:$W$25,$A32)*(INDEX($W$6:$W$25,$A32)-1),INDEX($W$6:$W$25,$A32)*INDEX($W$6:$W$25,M$29))/(Hasil!$C$6-1))</f>
        <v>0</v>
      </c>
      <c r="N32" s="30" t="n">
        <f aca="false">IF(Hasil!$C$6&lt;2,0,IF($A32=N$29,INDEX($W$6:$W$25,$A32)*(INDEX($W$6:$W$25,$A32)-1),INDEX($W$6:$W$25,$A32)*INDEX($W$6:$W$25,N$29))/(Hasil!$C$6-1))</f>
        <v>0</v>
      </c>
      <c r="O32" s="30" t="n">
        <f aca="false">IF(Hasil!$C$6&lt;2,0,IF($A32=O$29,INDEX($W$6:$W$25,$A32)*(INDEX($W$6:$W$25,$A32)-1),INDEX($W$6:$W$25,$A32)*INDEX($W$6:$W$25,O$29))/(Hasil!$C$6-1))</f>
        <v>0</v>
      </c>
      <c r="P32" s="30" t="n">
        <f aca="false">IF(Hasil!$C$6&lt;2,0,IF($A32=P$29,INDEX($W$6:$W$25,$A32)*(INDEX($W$6:$W$25,$A32)-1),INDEX($W$6:$W$25,$A32)*INDEX($W$6:$W$25,P$29))/(Hasil!$C$6-1))</f>
        <v>0</v>
      </c>
      <c r="Q32" s="30" t="n">
        <f aca="false">IF(Hasil!$C$6&lt;2,0,IF($A32=Q$29,INDEX($W$6:$W$25,$A32)*(INDEX($W$6:$W$25,$A32)-1),INDEX($W$6:$W$25,$A32)*INDEX($W$6:$W$25,Q$29))/(Hasil!$C$6-1))</f>
        <v>0</v>
      </c>
      <c r="R32" s="30" t="n">
        <f aca="false">IF(Hasil!$C$6&lt;2,0,IF($A32=R$29,INDEX($W$6:$W$25,$A32)*(INDEX($W$6:$W$25,$A32)-1),INDEX($W$6:$W$25,$A32)*INDEX($W$6:$W$25,R$29))/(Hasil!$C$6-1))</f>
        <v>0</v>
      </c>
      <c r="S32" s="30" t="n">
        <f aca="false">IF(Hasil!$C$6&lt;2,0,IF($A32=S$29,INDEX($W$6:$W$25,$A32)*(INDEX($W$6:$W$25,$A32)-1),INDEX($W$6:$W$25,$A32)*INDEX($W$6:$W$25,S$29))/(Hasil!$C$6-1))</f>
        <v>0</v>
      </c>
      <c r="T32" s="30" t="n">
        <f aca="false">IF(Hasil!$C$6&lt;2,0,IF($A32=T$29,INDEX($W$6:$W$25,$A32)*(INDEX($W$6:$W$25,$A32)-1),INDEX($W$6:$W$25,$A32)*INDEX($W$6:$W$25,T$29))/(Hasil!$C$6-1))</f>
        <v>0</v>
      </c>
      <c r="U32" s="30" t="n">
        <f aca="false">IF(Hasil!$C$6&lt;2,0,IF($A32=U$29,INDEX($W$6:$W$25,$A32)*(INDEX($W$6:$W$25,$A32)-1),INDEX($W$6:$W$25,$A32)*INDEX($W$6:$W$25,U$29))/(Hasil!$C$6-1))</f>
        <v>0</v>
      </c>
      <c r="V32" s="30" t="n">
        <f aca="false">IF(Hasil!$C$6&lt;2,0,IF($A32=V$29,INDEX($W$6:$W$25,$A32)*(INDEX($W$6:$W$25,$A32)-1),INDEX($W$6:$W$25,$A32)*INDEX($W$6:$W$25,V$29))/(Hasil!$C$6-1))</f>
        <v>0</v>
      </c>
    </row>
    <row r="33" customFormat="false" ht="15" hidden="false" customHeight="false" outlineLevel="0" collapsed="false">
      <c r="A33" s="29" t="n">
        <v>3</v>
      </c>
      <c r="B33" s="29" t="n">
        <f aca="false">IF(INDEX(Pengaturan!$B$8:$B$27,$A33)="","",INDEX(Pengaturan!$B$8:$B$27,$A33))</f>
        <v>3</v>
      </c>
      <c r="C33" s="30" t="n">
        <f aca="false">IF(Hasil!$C$6&lt;2,0,IF($A33=C$29,INDEX($W$6:$W$25,$A33)*(INDEX($W$6:$W$25,$A33)-1),INDEX($W$6:$W$25,$A33)*INDEX($W$6:$W$25,C$29))/(Hasil!$C$6-1))</f>
        <v>2.66666666666667</v>
      </c>
      <c r="D33" s="30" t="n">
        <f aca="false">IF(Hasil!$C$6&lt;2,0,IF($A33=D$29,INDEX($W$6:$W$25,$A33)*(INDEX($W$6:$W$25,$A33)-1),INDEX($W$6:$W$25,$A33)*INDEX($W$6:$W$25,D$29))/(Hasil!$C$6-1))</f>
        <v>1.6969696969697</v>
      </c>
      <c r="E33" s="30" t="n">
        <f aca="false">IF(Hasil!$C$6&lt;2,0,IF($A33=E$29,INDEX($W$6:$W$25,$A33)*(INDEX($W$6:$W$25,$A33)-1),INDEX($W$6:$W$25,$A33)*INDEX($W$6:$W$25,E$29))/(Hasil!$C$6-1))</f>
        <v>1.33333333333333</v>
      </c>
      <c r="F33" s="30" t="n">
        <f aca="false">IF(Hasil!$C$6&lt;2,0,IF($A33=F$29,INDEX($W$6:$W$25,$A33)*(INDEX($W$6:$W$25,$A33)-1),INDEX($W$6:$W$25,$A33)*INDEX($W$6:$W$25,F$29))/(Hasil!$C$6-1))</f>
        <v>3.03030303030303</v>
      </c>
      <c r="G33" s="30" t="n">
        <f aca="false">IF(Hasil!$C$6&lt;2,0,IF($A33=G$29,INDEX($W$6:$W$25,$A33)*(INDEX($W$6:$W$25,$A33)-1),INDEX($W$6:$W$25,$A33)*INDEX($W$6:$W$25,G$29))/(Hasil!$C$6-1))</f>
        <v>3.27272727272727</v>
      </c>
      <c r="H33" s="30" t="n">
        <f aca="false">IF(Hasil!$C$6&lt;2,0,IF($A33=H$29,INDEX($W$6:$W$25,$A33)*(INDEX($W$6:$W$25,$A33)-1),INDEX($W$6:$W$25,$A33)*INDEX($W$6:$W$25,H$29))/(Hasil!$C$6-1))</f>
        <v>0</v>
      </c>
      <c r="I33" s="30" t="n">
        <f aca="false">IF(Hasil!$C$6&lt;2,0,IF($A33=I$29,INDEX($W$6:$W$25,$A33)*(INDEX($W$6:$W$25,$A33)-1),INDEX($W$6:$W$25,$A33)*INDEX($W$6:$W$25,I$29))/(Hasil!$C$6-1))</f>
        <v>0</v>
      </c>
      <c r="J33" s="30" t="n">
        <f aca="false">IF(Hasil!$C$6&lt;2,0,IF($A33=J$29,INDEX($W$6:$W$25,$A33)*(INDEX($W$6:$W$25,$A33)-1),INDEX($W$6:$W$25,$A33)*INDEX($W$6:$W$25,J$29))/(Hasil!$C$6-1))</f>
        <v>0</v>
      </c>
      <c r="K33" s="30" t="n">
        <f aca="false">IF(Hasil!$C$6&lt;2,0,IF($A33=K$29,INDEX($W$6:$W$25,$A33)*(INDEX($W$6:$W$25,$A33)-1),INDEX($W$6:$W$25,$A33)*INDEX($W$6:$W$25,K$29))/(Hasil!$C$6-1))</f>
        <v>0</v>
      </c>
      <c r="L33" s="30" t="n">
        <f aca="false">IF(Hasil!$C$6&lt;2,0,IF($A33=L$29,INDEX($W$6:$W$25,$A33)*(INDEX($W$6:$W$25,$A33)-1),INDEX($W$6:$W$25,$A33)*INDEX($W$6:$W$25,L$29))/(Hasil!$C$6-1))</f>
        <v>0</v>
      </c>
      <c r="M33" s="30" t="n">
        <f aca="false">IF(Hasil!$C$6&lt;2,0,IF($A33=M$29,INDEX($W$6:$W$25,$A33)*(INDEX($W$6:$W$25,$A33)-1),INDEX($W$6:$W$25,$A33)*INDEX($W$6:$W$25,M$29))/(Hasil!$C$6-1))</f>
        <v>0</v>
      </c>
      <c r="N33" s="30" t="n">
        <f aca="false">IF(Hasil!$C$6&lt;2,0,IF($A33=N$29,INDEX($W$6:$W$25,$A33)*(INDEX($W$6:$W$25,$A33)-1),INDEX($W$6:$W$25,$A33)*INDEX($W$6:$W$25,N$29))/(Hasil!$C$6-1))</f>
        <v>0</v>
      </c>
      <c r="O33" s="30" t="n">
        <f aca="false">IF(Hasil!$C$6&lt;2,0,IF($A33=O$29,INDEX($W$6:$W$25,$A33)*(INDEX($W$6:$W$25,$A33)-1),INDEX($W$6:$W$25,$A33)*INDEX($W$6:$W$25,O$29))/(Hasil!$C$6-1))</f>
        <v>0</v>
      </c>
      <c r="P33" s="30" t="n">
        <f aca="false">IF(Hasil!$C$6&lt;2,0,IF($A33=P$29,INDEX($W$6:$W$25,$A33)*(INDEX($W$6:$W$25,$A33)-1),INDEX($W$6:$W$25,$A33)*INDEX($W$6:$W$25,P$29))/(Hasil!$C$6-1))</f>
        <v>0</v>
      </c>
      <c r="Q33" s="30" t="n">
        <f aca="false">IF(Hasil!$C$6&lt;2,0,IF($A33=Q$29,INDEX($W$6:$W$25,$A33)*(INDEX($W$6:$W$25,$A33)-1),INDEX($W$6:$W$25,$A33)*INDEX($W$6:$W$25,Q$29))/(Hasil!$C$6-1))</f>
        <v>0</v>
      </c>
      <c r="R33" s="30" t="n">
        <f aca="false">IF(Hasil!$C$6&lt;2,0,IF($A33=R$29,INDEX($W$6:$W$25,$A33)*(INDEX($W$6:$W$25,$A33)-1),INDEX($W$6:$W$25,$A33)*INDEX($W$6:$W$25,R$29))/(Hasil!$C$6-1))</f>
        <v>0</v>
      </c>
      <c r="S33" s="30" t="n">
        <f aca="false">IF(Hasil!$C$6&lt;2,0,IF($A33=S$29,INDEX($W$6:$W$25,$A33)*(INDEX($W$6:$W$25,$A33)-1),INDEX($W$6:$W$25,$A33)*INDEX($W$6:$W$25,S$29))/(Hasil!$C$6-1))</f>
        <v>0</v>
      </c>
      <c r="T33" s="30" t="n">
        <f aca="false">IF(Hasil!$C$6&lt;2,0,IF($A33=T$29,INDEX($W$6:$W$25,$A33)*(INDEX($W$6:$W$25,$A33)-1),INDEX($W$6:$W$25,$A33)*INDEX($W$6:$W$25,T$29))/(Hasil!$C$6-1))</f>
        <v>0</v>
      </c>
      <c r="U33" s="30" t="n">
        <f aca="false">IF(Hasil!$C$6&lt;2,0,IF($A33=U$29,INDEX($W$6:$W$25,$A33)*(INDEX($W$6:$W$25,$A33)-1),INDEX($W$6:$W$25,$A33)*INDEX($W$6:$W$25,U$29))/(Hasil!$C$6-1))</f>
        <v>0</v>
      </c>
      <c r="V33" s="30" t="n">
        <f aca="false">IF(Hasil!$C$6&lt;2,0,IF($A33=V$29,INDEX($W$6:$W$25,$A33)*(INDEX($W$6:$W$25,$A33)-1),INDEX($W$6:$W$25,$A33)*INDEX($W$6:$W$25,V$29))/(Hasil!$C$6-1))</f>
        <v>0</v>
      </c>
    </row>
    <row r="34" customFormat="false" ht="15" hidden="false" customHeight="false" outlineLevel="0" collapsed="false">
      <c r="A34" s="29" t="n">
        <v>4</v>
      </c>
      <c r="B34" s="29" t="n">
        <f aca="false">IF(INDEX(Pengaturan!$B$8:$B$27,$A34)="","",INDEX(Pengaturan!$B$8:$B$27,$A34))</f>
        <v>4</v>
      </c>
      <c r="C34" s="30" t="n">
        <f aca="false">IF(Hasil!$C$6&lt;2,0,IF($A34=C$29,INDEX($W$6:$W$25,$A34)*(INDEX($W$6:$W$25,$A34)-1),INDEX($W$6:$W$25,$A34)*INDEX($W$6:$W$25,C$29))/(Hasil!$C$6-1))</f>
        <v>5.55555555555556</v>
      </c>
      <c r="D34" s="30" t="n">
        <f aca="false">IF(Hasil!$C$6&lt;2,0,IF($A34=D$29,INDEX($W$6:$W$25,$A34)*(INDEX($W$6:$W$25,$A34)-1),INDEX($W$6:$W$25,$A34)*INDEX($W$6:$W$25,D$29))/(Hasil!$C$6-1))</f>
        <v>3.53535353535354</v>
      </c>
      <c r="E34" s="30" t="n">
        <f aca="false">IF(Hasil!$C$6&lt;2,0,IF($A34=E$29,INDEX($W$6:$W$25,$A34)*(INDEX($W$6:$W$25,$A34)-1),INDEX($W$6:$W$25,$A34)*INDEX($W$6:$W$25,E$29))/(Hasil!$C$6-1))</f>
        <v>3.03030303030303</v>
      </c>
      <c r="F34" s="30" t="n">
        <f aca="false">IF(Hasil!$C$6&lt;2,0,IF($A34=F$29,INDEX($W$6:$W$25,$A34)*(INDEX($W$6:$W$25,$A34)-1),INDEX($W$6:$W$25,$A34)*INDEX($W$6:$W$25,F$29))/(Hasil!$C$6-1))</f>
        <v>6.06060606060606</v>
      </c>
      <c r="G34" s="30" t="n">
        <f aca="false">IF(Hasil!$C$6&lt;2,0,IF($A34=G$29,INDEX($W$6:$W$25,$A34)*(INDEX($W$6:$W$25,$A34)-1),INDEX($W$6:$W$25,$A34)*INDEX($W$6:$W$25,G$29))/(Hasil!$C$6-1))</f>
        <v>6.81818181818182</v>
      </c>
      <c r="H34" s="30" t="n">
        <f aca="false">IF(Hasil!$C$6&lt;2,0,IF($A34=H$29,INDEX($W$6:$W$25,$A34)*(INDEX($W$6:$W$25,$A34)-1),INDEX($W$6:$W$25,$A34)*INDEX($W$6:$W$25,H$29))/(Hasil!$C$6-1))</f>
        <v>0</v>
      </c>
      <c r="I34" s="30" t="n">
        <f aca="false">IF(Hasil!$C$6&lt;2,0,IF($A34=I$29,INDEX($W$6:$W$25,$A34)*(INDEX($W$6:$W$25,$A34)-1),INDEX($W$6:$W$25,$A34)*INDEX($W$6:$W$25,I$29))/(Hasil!$C$6-1))</f>
        <v>0</v>
      </c>
      <c r="J34" s="30" t="n">
        <f aca="false">IF(Hasil!$C$6&lt;2,0,IF($A34=J$29,INDEX($W$6:$W$25,$A34)*(INDEX($W$6:$W$25,$A34)-1),INDEX($W$6:$W$25,$A34)*INDEX($W$6:$W$25,J$29))/(Hasil!$C$6-1))</f>
        <v>0</v>
      </c>
      <c r="K34" s="30" t="n">
        <f aca="false">IF(Hasil!$C$6&lt;2,0,IF($A34=K$29,INDEX($W$6:$W$25,$A34)*(INDEX($W$6:$W$25,$A34)-1),INDEX($W$6:$W$25,$A34)*INDEX($W$6:$W$25,K$29))/(Hasil!$C$6-1))</f>
        <v>0</v>
      </c>
      <c r="L34" s="30" t="n">
        <f aca="false">IF(Hasil!$C$6&lt;2,0,IF($A34=L$29,INDEX($W$6:$W$25,$A34)*(INDEX($W$6:$W$25,$A34)-1),INDEX($W$6:$W$25,$A34)*INDEX($W$6:$W$25,L$29))/(Hasil!$C$6-1))</f>
        <v>0</v>
      </c>
      <c r="M34" s="30" t="n">
        <f aca="false">IF(Hasil!$C$6&lt;2,0,IF($A34=M$29,INDEX($W$6:$W$25,$A34)*(INDEX($W$6:$W$25,$A34)-1),INDEX($W$6:$W$25,$A34)*INDEX($W$6:$W$25,M$29))/(Hasil!$C$6-1))</f>
        <v>0</v>
      </c>
      <c r="N34" s="30" t="n">
        <f aca="false">IF(Hasil!$C$6&lt;2,0,IF($A34=N$29,INDEX($W$6:$W$25,$A34)*(INDEX($W$6:$W$25,$A34)-1),INDEX($W$6:$W$25,$A34)*INDEX($W$6:$W$25,N$29))/(Hasil!$C$6-1))</f>
        <v>0</v>
      </c>
      <c r="O34" s="30" t="n">
        <f aca="false">IF(Hasil!$C$6&lt;2,0,IF($A34=O$29,INDEX($W$6:$W$25,$A34)*(INDEX($W$6:$W$25,$A34)-1),INDEX($W$6:$W$25,$A34)*INDEX($W$6:$W$25,O$29))/(Hasil!$C$6-1))</f>
        <v>0</v>
      </c>
      <c r="P34" s="30" t="n">
        <f aca="false">IF(Hasil!$C$6&lt;2,0,IF($A34=P$29,INDEX($W$6:$W$25,$A34)*(INDEX($W$6:$W$25,$A34)-1),INDEX($W$6:$W$25,$A34)*INDEX($W$6:$W$25,P$29))/(Hasil!$C$6-1))</f>
        <v>0</v>
      </c>
      <c r="Q34" s="30" t="n">
        <f aca="false">IF(Hasil!$C$6&lt;2,0,IF($A34=Q$29,INDEX($W$6:$W$25,$A34)*(INDEX($W$6:$W$25,$A34)-1),INDEX($W$6:$W$25,$A34)*INDEX($W$6:$W$25,Q$29))/(Hasil!$C$6-1))</f>
        <v>0</v>
      </c>
      <c r="R34" s="30" t="n">
        <f aca="false">IF(Hasil!$C$6&lt;2,0,IF($A34=R$29,INDEX($W$6:$W$25,$A34)*(INDEX($W$6:$W$25,$A34)-1),INDEX($W$6:$W$25,$A34)*INDEX($W$6:$W$25,R$29))/(Hasil!$C$6-1))</f>
        <v>0</v>
      </c>
      <c r="S34" s="30" t="n">
        <f aca="false">IF(Hasil!$C$6&lt;2,0,IF($A34=S$29,INDEX($W$6:$W$25,$A34)*(INDEX($W$6:$W$25,$A34)-1),INDEX($W$6:$W$25,$A34)*INDEX($W$6:$W$25,S$29))/(Hasil!$C$6-1))</f>
        <v>0</v>
      </c>
      <c r="T34" s="30" t="n">
        <f aca="false">IF(Hasil!$C$6&lt;2,0,IF($A34=T$29,INDEX($W$6:$W$25,$A34)*(INDEX($W$6:$W$25,$A34)-1),INDEX($W$6:$W$25,$A34)*INDEX($W$6:$W$25,T$29))/(Hasil!$C$6-1))</f>
        <v>0</v>
      </c>
      <c r="U34" s="30" t="n">
        <f aca="false">IF(Hasil!$C$6&lt;2,0,IF($A34=U$29,INDEX($W$6:$W$25,$A34)*(INDEX($W$6:$W$25,$A34)-1),INDEX($W$6:$W$25,$A34)*INDEX($W$6:$W$25,U$29))/(Hasil!$C$6-1))</f>
        <v>0</v>
      </c>
      <c r="V34" s="30" t="n">
        <f aca="false">IF(Hasil!$C$6&lt;2,0,IF($A34=V$29,INDEX($W$6:$W$25,$A34)*(INDEX($W$6:$W$25,$A34)-1),INDEX($W$6:$W$25,$A34)*INDEX($W$6:$W$25,V$29))/(Hasil!$C$6-1))</f>
        <v>0</v>
      </c>
    </row>
    <row r="35" customFormat="false" ht="15" hidden="false" customHeight="false" outlineLevel="0" collapsed="false">
      <c r="A35" s="29" t="n">
        <v>5</v>
      </c>
      <c r="B35" s="29" t="n">
        <f aca="false">IF(INDEX(Pengaturan!$B$8:$B$27,$A35)="","",INDEX(Pengaturan!$B$8:$B$27,$A35))</f>
        <v>5</v>
      </c>
      <c r="C35" s="30" t="n">
        <f aca="false">IF(Hasil!$C$6&lt;2,0,IF($A35=C$29,INDEX($W$6:$W$25,$A35)*(INDEX($W$6:$W$25,$A35)-1),INDEX($W$6:$W$25,$A35)*INDEX($W$6:$W$25,C$29))/(Hasil!$C$6-1))</f>
        <v>6</v>
      </c>
      <c r="D35" s="30" t="n">
        <f aca="false">IF(Hasil!$C$6&lt;2,0,IF($A35=D$29,INDEX($W$6:$W$25,$A35)*(INDEX($W$6:$W$25,$A35)-1),INDEX($W$6:$W$25,$A35)*INDEX($W$6:$W$25,D$29))/(Hasil!$C$6-1))</f>
        <v>3.81818181818182</v>
      </c>
      <c r="E35" s="30" t="n">
        <f aca="false">IF(Hasil!$C$6&lt;2,0,IF($A35=E$29,INDEX($W$6:$W$25,$A35)*(INDEX($W$6:$W$25,$A35)-1),INDEX($W$6:$W$25,$A35)*INDEX($W$6:$W$25,E$29))/(Hasil!$C$6-1))</f>
        <v>3.27272727272727</v>
      </c>
      <c r="F35" s="30" t="n">
        <f aca="false">IF(Hasil!$C$6&lt;2,0,IF($A35=F$29,INDEX($W$6:$W$25,$A35)*(INDEX($W$6:$W$25,$A35)-1),INDEX($W$6:$W$25,$A35)*INDEX($W$6:$W$25,F$29))/(Hasil!$C$6-1))</f>
        <v>6.81818181818182</v>
      </c>
      <c r="G35" s="30" t="n">
        <f aca="false">IF(Hasil!$C$6&lt;2,0,IF($A35=G$29,INDEX($W$6:$W$25,$A35)*(INDEX($W$6:$W$25,$A35)-1),INDEX($W$6:$W$25,$A35)*INDEX($W$6:$W$25,G$29))/(Hasil!$C$6-1))</f>
        <v>7.09090909090909</v>
      </c>
      <c r="H35" s="30" t="n">
        <f aca="false">IF(Hasil!$C$6&lt;2,0,IF($A35=H$29,INDEX($W$6:$W$25,$A35)*(INDEX($W$6:$W$25,$A35)-1),INDEX($W$6:$W$25,$A35)*INDEX($W$6:$W$25,H$29))/(Hasil!$C$6-1))</f>
        <v>0</v>
      </c>
      <c r="I35" s="30" t="n">
        <f aca="false">IF(Hasil!$C$6&lt;2,0,IF($A35=I$29,INDEX($W$6:$W$25,$A35)*(INDEX($W$6:$W$25,$A35)-1),INDEX($W$6:$W$25,$A35)*INDEX($W$6:$W$25,I$29))/(Hasil!$C$6-1))</f>
        <v>0</v>
      </c>
      <c r="J35" s="30" t="n">
        <f aca="false">IF(Hasil!$C$6&lt;2,0,IF($A35=J$29,INDEX($W$6:$W$25,$A35)*(INDEX($W$6:$W$25,$A35)-1),INDEX($W$6:$W$25,$A35)*INDEX($W$6:$W$25,J$29))/(Hasil!$C$6-1))</f>
        <v>0</v>
      </c>
      <c r="K35" s="30" t="n">
        <f aca="false">IF(Hasil!$C$6&lt;2,0,IF($A35=K$29,INDEX($W$6:$W$25,$A35)*(INDEX($W$6:$W$25,$A35)-1),INDEX($W$6:$W$25,$A35)*INDEX($W$6:$W$25,K$29))/(Hasil!$C$6-1))</f>
        <v>0</v>
      </c>
      <c r="L35" s="30" t="n">
        <f aca="false">IF(Hasil!$C$6&lt;2,0,IF($A35=L$29,INDEX($W$6:$W$25,$A35)*(INDEX($W$6:$W$25,$A35)-1),INDEX($W$6:$W$25,$A35)*INDEX($W$6:$W$25,L$29))/(Hasil!$C$6-1))</f>
        <v>0</v>
      </c>
      <c r="M35" s="30" t="n">
        <f aca="false">IF(Hasil!$C$6&lt;2,0,IF($A35=M$29,INDEX($W$6:$W$25,$A35)*(INDEX($W$6:$W$25,$A35)-1),INDEX($W$6:$W$25,$A35)*INDEX($W$6:$W$25,M$29))/(Hasil!$C$6-1))</f>
        <v>0</v>
      </c>
      <c r="N35" s="30" t="n">
        <f aca="false">IF(Hasil!$C$6&lt;2,0,IF($A35=N$29,INDEX($W$6:$W$25,$A35)*(INDEX($W$6:$W$25,$A35)-1),INDEX($W$6:$W$25,$A35)*INDEX($W$6:$W$25,N$29))/(Hasil!$C$6-1))</f>
        <v>0</v>
      </c>
      <c r="O35" s="30" t="n">
        <f aca="false">IF(Hasil!$C$6&lt;2,0,IF($A35=O$29,INDEX($W$6:$W$25,$A35)*(INDEX($W$6:$W$25,$A35)-1),INDEX($W$6:$W$25,$A35)*INDEX($W$6:$W$25,O$29))/(Hasil!$C$6-1))</f>
        <v>0</v>
      </c>
      <c r="P35" s="30" t="n">
        <f aca="false">IF(Hasil!$C$6&lt;2,0,IF($A35=P$29,INDEX($W$6:$W$25,$A35)*(INDEX($W$6:$W$25,$A35)-1),INDEX($W$6:$W$25,$A35)*INDEX($W$6:$W$25,P$29))/(Hasil!$C$6-1))</f>
        <v>0</v>
      </c>
      <c r="Q35" s="30" t="n">
        <f aca="false">IF(Hasil!$C$6&lt;2,0,IF($A35=Q$29,INDEX($W$6:$W$25,$A35)*(INDEX($W$6:$W$25,$A35)-1),INDEX($W$6:$W$25,$A35)*INDEX($W$6:$W$25,Q$29))/(Hasil!$C$6-1))</f>
        <v>0</v>
      </c>
      <c r="R35" s="30" t="n">
        <f aca="false">IF(Hasil!$C$6&lt;2,0,IF($A35=R$29,INDEX($W$6:$W$25,$A35)*(INDEX($W$6:$W$25,$A35)-1),INDEX($W$6:$W$25,$A35)*INDEX($W$6:$W$25,R$29))/(Hasil!$C$6-1))</f>
        <v>0</v>
      </c>
      <c r="S35" s="30" t="n">
        <f aca="false">IF(Hasil!$C$6&lt;2,0,IF($A35=S$29,INDEX($W$6:$W$25,$A35)*(INDEX($W$6:$W$25,$A35)-1),INDEX($W$6:$W$25,$A35)*INDEX($W$6:$W$25,S$29))/(Hasil!$C$6-1))</f>
        <v>0</v>
      </c>
      <c r="T35" s="30" t="n">
        <f aca="false">IF(Hasil!$C$6&lt;2,0,IF($A35=T$29,INDEX($W$6:$W$25,$A35)*(INDEX($W$6:$W$25,$A35)-1),INDEX($W$6:$W$25,$A35)*INDEX($W$6:$W$25,T$29))/(Hasil!$C$6-1))</f>
        <v>0</v>
      </c>
      <c r="U35" s="30" t="n">
        <f aca="false">IF(Hasil!$C$6&lt;2,0,IF($A35=U$29,INDEX($W$6:$W$25,$A35)*(INDEX($W$6:$W$25,$A35)-1),INDEX($W$6:$W$25,$A35)*INDEX($W$6:$W$25,U$29))/(Hasil!$C$6-1))</f>
        <v>0</v>
      </c>
      <c r="V35" s="30" t="n">
        <f aca="false">IF(Hasil!$C$6&lt;2,0,IF($A35=V$29,INDEX($W$6:$W$25,$A35)*(INDEX($W$6:$W$25,$A35)-1),INDEX($W$6:$W$25,$A35)*INDEX($W$6:$W$25,V$29))/(Hasil!$C$6-1))</f>
        <v>0</v>
      </c>
    </row>
    <row r="36" customFormat="false" ht="15" hidden="false" customHeight="false" outlineLevel="0" collapsed="false">
      <c r="A36" s="29" t="n">
        <v>6</v>
      </c>
      <c r="B36" s="29" t="str">
        <f aca="false">IF(INDEX(Pengaturan!$B$8:$B$27,$A36)="","",INDEX(Pengaturan!$B$8:$B$27,$A36))</f>
        <v/>
      </c>
      <c r="C36" s="30" t="n">
        <f aca="false">IF(Hasil!$C$6&lt;2,0,IF($A36=C$29,INDEX($W$6:$W$25,$A36)*(INDEX($W$6:$W$25,$A36)-1),INDEX($W$6:$W$25,$A36)*INDEX($W$6:$W$25,C$29))/(Hasil!$C$6-1))</f>
        <v>0</v>
      </c>
      <c r="D36" s="30" t="n">
        <f aca="false">IF(Hasil!$C$6&lt;2,0,IF($A36=D$29,INDEX($W$6:$W$25,$A36)*(INDEX($W$6:$W$25,$A36)-1),INDEX($W$6:$W$25,$A36)*INDEX($W$6:$W$25,D$29))/(Hasil!$C$6-1))</f>
        <v>0</v>
      </c>
      <c r="E36" s="30" t="n">
        <f aca="false">IF(Hasil!$C$6&lt;2,0,IF($A36=E$29,INDEX($W$6:$W$25,$A36)*(INDEX($W$6:$W$25,$A36)-1),INDEX($W$6:$W$25,$A36)*INDEX($W$6:$W$25,E$29))/(Hasil!$C$6-1))</f>
        <v>0</v>
      </c>
      <c r="F36" s="30" t="n">
        <f aca="false">IF(Hasil!$C$6&lt;2,0,IF($A36=F$29,INDEX($W$6:$W$25,$A36)*(INDEX($W$6:$W$25,$A36)-1),INDEX($W$6:$W$25,$A36)*INDEX($W$6:$W$25,F$29))/(Hasil!$C$6-1))</f>
        <v>0</v>
      </c>
      <c r="G36" s="30" t="n">
        <f aca="false">IF(Hasil!$C$6&lt;2,0,IF($A36=G$29,INDEX($W$6:$W$25,$A36)*(INDEX($W$6:$W$25,$A36)-1),INDEX($W$6:$W$25,$A36)*INDEX($W$6:$W$25,G$29))/(Hasil!$C$6-1))</f>
        <v>0</v>
      </c>
      <c r="H36" s="30" t="n">
        <f aca="false">IF(Hasil!$C$6&lt;2,0,IF($A36=H$29,INDEX($W$6:$W$25,$A36)*(INDEX($W$6:$W$25,$A36)-1),INDEX($W$6:$W$25,$A36)*INDEX($W$6:$W$25,H$29))/(Hasil!$C$6-1))</f>
        <v>-0</v>
      </c>
      <c r="I36" s="30" t="n">
        <f aca="false">IF(Hasil!$C$6&lt;2,0,IF($A36=I$29,INDEX($W$6:$W$25,$A36)*(INDEX($W$6:$W$25,$A36)-1),INDEX($W$6:$W$25,$A36)*INDEX($W$6:$W$25,I$29))/(Hasil!$C$6-1))</f>
        <v>0</v>
      </c>
      <c r="J36" s="30" t="n">
        <f aca="false">IF(Hasil!$C$6&lt;2,0,IF($A36=J$29,INDEX($W$6:$W$25,$A36)*(INDEX($W$6:$W$25,$A36)-1),INDEX($W$6:$W$25,$A36)*INDEX($W$6:$W$25,J$29))/(Hasil!$C$6-1))</f>
        <v>0</v>
      </c>
      <c r="K36" s="30" t="n">
        <f aca="false">IF(Hasil!$C$6&lt;2,0,IF($A36=K$29,INDEX($W$6:$W$25,$A36)*(INDEX($W$6:$W$25,$A36)-1),INDEX($W$6:$W$25,$A36)*INDEX($W$6:$W$25,K$29))/(Hasil!$C$6-1))</f>
        <v>0</v>
      </c>
      <c r="L36" s="30" t="n">
        <f aca="false">IF(Hasil!$C$6&lt;2,0,IF($A36=L$29,INDEX($W$6:$W$25,$A36)*(INDEX($W$6:$W$25,$A36)-1),INDEX($W$6:$W$25,$A36)*INDEX($W$6:$W$25,L$29))/(Hasil!$C$6-1))</f>
        <v>0</v>
      </c>
      <c r="M36" s="30" t="n">
        <f aca="false">IF(Hasil!$C$6&lt;2,0,IF($A36=M$29,INDEX($W$6:$W$25,$A36)*(INDEX($W$6:$W$25,$A36)-1),INDEX($W$6:$W$25,$A36)*INDEX($W$6:$W$25,M$29))/(Hasil!$C$6-1))</f>
        <v>0</v>
      </c>
      <c r="N36" s="30" t="n">
        <f aca="false">IF(Hasil!$C$6&lt;2,0,IF($A36=N$29,INDEX($W$6:$W$25,$A36)*(INDEX($W$6:$W$25,$A36)-1),INDEX($W$6:$W$25,$A36)*INDEX($W$6:$W$25,N$29))/(Hasil!$C$6-1))</f>
        <v>0</v>
      </c>
      <c r="O36" s="30" t="n">
        <f aca="false">IF(Hasil!$C$6&lt;2,0,IF($A36=O$29,INDEX($W$6:$W$25,$A36)*(INDEX($W$6:$W$25,$A36)-1),INDEX($W$6:$W$25,$A36)*INDEX($W$6:$W$25,O$29))/(Hasil!$C$6-1))</f>
        <v>0</v>
      </c>
      <c r="P36" s="30" t="n">
        <f aca="false">IF(Hasil!$C$6&lt;2,0,IF($A36=P$29,INDEX($W$6:$W$25,$A36)*(INDEX($W$6:$W$25,$A36)-1),INDEX($W$6:$W$25,$A36)*INDEX($W$6:$W$25,P$29))/(Hasil!$C$6-1))</f>
        <v>0</v>
      </c>
      <c r="Q36" s="30" t="n">
        <f aca="false">IF(Hasil!$C$6&lt;2,0,IF($A36=Q$29,INDEX($W$6:$W$25,$A36)*(INDEX($W$6:$W$25,$A36)-1),INDEX($W$6:$W$25,$A36)*INDEX($W$6:$W$25,Q$29))/(Hasil!$C$6-1))</f>
        <v>0</v>
      </c>
      <c r="R36" s="30" t="n">
        <f aca="false">IF(Hasil!$C$6&lt;2,0,IF($A36=R$29,INDEX($W$6:$W$25,$A36)*(INDEX($W$6:$W$25,$A36)-1),INDEX($W$6:$W$25,$A36)*INDEX($W$6:$W$25,R$29))/(Hasil!$C$6-1))</f>
        <v>0</v>
      </c>
      <c r="S36" s="30" t="n">
        <f aca="false">IF(Hasil!$C$6&lt;2,0,IF($A36=S$29,INDEX($W$6:$W$25,$A36)*(INDEX($W$6:$W$25,$A36)-1),INDEX($W$6:$W$25,$A36)*INDEX($W$6:$W$25,S$29))/(Hasil!$C$6-1))</f>
        <v>0</v>
      </c>
      <c r="T36" s="30" t="n">
        <f aca="false">IF(Hasil!$C$6&lt;2,0,IF($A36=T$29,INDEX($W$6:$W$25,$A36)*(INDEX($W$6:$W$25,$A36)-1),INDEX($W$6:$W$25,$A36)*INDEX($W$6:$W$25,T$29))/(Hasil!$C$6-1))</f>
        <v>0</v>
      </c>
      <c r="U36" s="30" t="n">
        <f aca="false">IF(Hasil!$C$6&lt;2,0,IF($A36=U$29,INDEX($W$6:$W$25,$A36)*(INDEX($W$6:$W$25,$A36)-1),INDEX($W$6:$W$25,$A36)*INDEX($W$6:$W$25,U$29))/(Hasil!$C$6-1))</f>
        <v>0</v>
      </c>
      <c r="V36" s="30" t="n">
        <f aca="false">IF(Hasil!$C$6&lt;2,0,IF($A36=V$29,INDEX($W$6:$W$25,$A36)*(INDEX($W$6:$W$25,$A36)-1),INDEX($W$6:$W$25,$A36)*INDEX($W$6:$W$25,V$29))/(Hasil!$C$6-1))</f>
        <v>0</v>
      </c>
    </row>
    <row r="37" customFormat="false" ht="15" hidden="false" customHeight="false" outlineLevel="0" collapsed="false">
      <c r="A37" s="29" t="n">
        <v>7</v>
      </c>
      <c r="B37" s="29" t="str">
        <f aca="false">IF(INDEX(Pengaturan!$B$8:$B$27,$A37)="","",INDEX(Pengaturan!$B$8:$B$27,$A37))</f>
        <v/>
      </c>
      <c r="C37" s="30" t="n">
        <f aca="false">IF(Hasil!$C$6&lt;2,0,IF($A37=C$29,INDEX($W$6:$W$25,$A37)*(INDEX($W$6:$W$25,$A37)-1),INDEX($W$6:$W$25,$A37)*INDEX($W$6:$W$25,C$29))/(Hasil!$C$6-1))</f>
        <v>0</v>
      </c>
      <c r="D37" s="30" t="n">
        <f aca="false">IF(Hasil!$C$6&lt;2,0,IF($A37=D$29,INDEX($W$6:$W$25,$A37)*(INDEX($W$6:$W$25,$A37)-1),INDEX($W$6:$W$25,$A37)*INDEX($W$6:$W$25,D$29))/(Hasil!$C$6-1))</f>
        <v>0</v>
      </c>
      <c r="E37" s="30" t="n">
        <f aca="false">IF(Hasil!$C$6&lt;2,0,IF($A37=E$29,INDEX($W$6:$W$25,$A37)*(INDEX($W$6:$W$25,$A37)-1),INDEX($W$6:$W$25,$A37)*INDEX($W$6:$W$25,E$29))/(Hasil!$C$6-1))</f>
        <v>0</v>
      </c>
      <c r="F37" s="30" t="n">
        <f aca="false">IF(Hasil!$C$6&lt;2,0,IF($A37=F$29,INDEX($W$6:$W$25,$A37)*(INDEX($W$6:$W$25,$A37)-1),INDEX($W$6:$W$25,$A37)*INDEX($W$6:$W$25,F$29))/(Hasil!$C$6-1))</f>
        <v>0</v>
      </c>
      <c r="G37" s="30" t="n">
        <f aca="false">IF(Hasil!$C$6&lt;2,0,IF($A37=G$29,INDEX($W$6:$W$25,$A37)*(INDEX($W$6:$W$25,$A37)-1),INDEX($W$6:$W$25,$A37)*INDEX($W$6:$W$25,G$29))/(Hasil!$C$6-1))</f>
        <v>0</v>
      </c>
      <c r="H37" s="30" t="n">
        <f aca="false">IF(Hasil!$C$6&lt;2,0,IF($A37=H$29,INDEX($W$6:$W$25,$A37)*(INDEX($W$6:$W$25,$A37)-1),INDEX($W$6:$W$25,$A37)*INDEX($W$6:$W$25,H$29))/(Hasil!$C$6-1))</f>
        <v>0</v>
      </c>
      <c r="I37" s="30" t="n">
        <f aca="false">IF(Hasil!$C$6&lt;2,0,IF($A37=I$29,INDEX($W$6:$W$25,$A37)*(INDEX($W$6:$W$25,$A37)-1),INDEX($W$6:$W$25,$A37)*INDEX($W$6:$W$25,I$29))/(Hasil!$C$6-1))</f>
        <v>-0</v>
      </c>
      <c r="J37" s="30" t="n">
        <f aca="false">IF(Hasil!$C$6&lt;2,0,IF($A37=J$29,INDEX($W$6:$W$25,$A37)*(INDEX($W$6:$W$25,$A37)-1),INDEX($W$6:$W$25,$A37)*INDEX($W$6:$W$25,J$29))/(Hasil!$C$6-1))</f>
        <v>0</v>
      </c>
      <c r="K37" s="30" t="n">
        <f aca="false">IF(Hasil!$C$6&lt;2,0,IF($A37=K$29,INDEX($W$6:$W$25,$A37)*(INDEX($W$6:$W$25,$A37)-1),INDEX($W$6:$W$25,$A37)*INDEX($W$6:$W$25,K$29))/(Hasil!$C$6-1))</f>
        <v>0</v>
      </c>
      <c r="L37" s="30" t="n">
        <f aca="false">IF(Hasil!$C$6&lt;2,0,IF($A37=L$29,INDEX($W$6:$W$25,$A37)*(INDEX($W$6:$W$25,$A37)-1),INDEX($W$6:$W$25,$A37)*INDEX($W$6:$W$25,L$29))/(Hasil!$C$6-1))</f>
        <v>0</v>
      </c>
      <c r="M37" s="30" t="n">
        <f aca="false">IF(Hasil!$C$6&lt;2,0,IF($A37=M$29,INDEX($W$6:$W$25,$A37)*(INDEX($W$6:$W$25,$A37)-1),INDEX($W$6:$W$25,$A37)*INDEX($W$6:$W$25,M$29))/(Hasil!$C$6-1))</f>
        <v>0</v>
      </c>
      <c r="N37" s="30" t="n">
        <f aca="false">IF(Hasil!$C$6&lt;2,0,IF($A37=N$29,INDEX($W$6:$W$25,$A37)*(INDEX($W$6:$W$25,$A37)-1),INDEX($W$6:$W$25,$A37)*INDEX($W$6:$W$25,N$29))/(Hasil!$C$6-1))</f>
        <v>0</v>
      </c>
      <c r="O37" s="30" t="n">
        <f aca="false">IF(Hasil!$C$6&lt;2,0,IF($A37=O$29,INDEX($W$6:$W$25,$A37)*(INDEX($W$6:$W$25,$A37)-1),INDEX($W$6:$W$25,$A37)*INDEX($W$6:$W$25,O$29))/(Hasil!$C$6-1))</f>
        <v>0</v>
      </c>
      <c r="P37" s="30" t="n">
        <f aca="false">IF(Hasil!$C$6&lt;2,0,IF($A37=P$29,INDEX($W$6:$W$25,$A37)*(INDEX($W$6:$W$25,$A37)-1),INDEX($W$6:$W$25,$A37)*INDEX($W$6:$W$25,P$29))/(Hasil!$C$6-1))</f>
        <v>0</v>
      </c>
      <c r="Q37" s="30" t="n">
        <f aca="false">IF(Hasil!$C$6&lt;2,0,IF($A37=Q$29,INDEX($W$6:$W$25,$A37)*(INDEX($W$6:$W$25,$A37)-1),INDEX($W$6:$W$25,$A37)*INDEX($W$6:$W$25,Q$29))/(Hasil!$C$6-1))</f>
        <v>0</v>
      </c>
      <c r="R37" s="30" t="n">
        <f aca="false">IF(Hasil!$C$6&lt;2,0,IF($A37=R$29,INDEX($W$6:$W$25,$A37)*(INDEX($W$6:$W$25,$A37)-1),INDEX($W$6:$W$25,$A37)*INDEX($W$6:$W$25,R$29))/(Hasil!$C$6-1))</f>
        <v>0</v>
      </c>
      <c r="S37" s="30" t="n">
        <f aca="false">IF(Hasil!$C$6&lt;2,0,IF($A37=S$29,INDEX($W$6:$W$25,$A37)*(INDEX($W$6:$W$25,$A37)-1),INDEX($W$6:$W$25,$A37)*INDEX($W$6:$W$25,S$29))/(Hasil!$C$6-1))</f>
        <v>0</v>
      </c>
      <c r="T37" s="30" t="n">
        <f aca="false">IF(Hasil!$C$6&lt;2,0,IF($A37=T$29,INDEX($W$6:$W$25,$A37)*(INDEX($W$6:$W$25,$A37)-1),INDEX($W$6:$W$25,$A37)*INDEX($W$6:$W$25,T$29))/(Hasil!$C$6-1))</f>
        <v>0</v>
      </c>
      <c r="U37" s="30" t="n">
        <f aca="false">IF(Hasil!$C$6&lt;2,0,IF($A37=U$29,INDEX($W$6:$W$25,$A37)*(INDEX($W$6:$W$25,$A37)-1),INDEX($W$6:$W$25,$A37)*INDEX($W$6:$W$25,U$29))/(Hasil!$C$6-1))</f>
        <v>0</v>
      </c>
      <c r="V37" s="30" t="n">
        <f aca="false">IF(Hasil!$C$6&lt;2,0,IF($A37=V$29,INDEX($W$6:$W$25,$A37)*(INDEX($W$6:$W$25,$A37)-1),INDEX($W$6:$W$25,$A37)*INDEX($W$6:$W$25,V$29))/(Hasil!$C$6-1))</f>
        <v>0</v>
      </c>
    </row>
    <row r="38" customFormat="false" ht="15" hidden="false" customHeight="false" outlineLevel="0" collapsed="false">
      <c r="A38" s="29" t="n">
        <v>8</v>
      </c>
      <c r="B38" s="29" t="str">
        <f aca="false">IF(INDEX(Pengaturan!$B$8:$B$27,$A38)="","",INDEX(Pengaturan!$B$8:$B$27,$A38))</f>
        <v/>
      </c>
      <c r="C38" s="30" t="n">
        <f aca="false">IF(Hasil!$C$6&lt;2,0,IF($A38=C$29,INDEX($W$6:$W$25,$A38)*(INDEX($W$6:$W$25,$A38)-1),INDEX($W$6:$W$25,$A38)*INDEX($W$6:$W$25,C$29))/(Hasil!$C$6-1))</f>
        <v>0</v>
      </c>
      <c r="D38" s="30" t="n">
        <f aca="false">IF(Hasil!$C$6&lt;2,0,IF($A38=D$29,INDEX($W$6:$W$25,$A38)*(INDEX($W$6:$W$25,$A38)-1),INDEX($W$6:$W$25,$A38)*INDEX($W$6:$W$25,D$29))/(Hasil!$C$6-1))</f>
        <v>0</v>
      </c>
      <c r="E38" s="30" t="n">
        <f aca="false">IF(Hasil!$C$6&lt;2,0,IF($A38=E$29,INDEX($W$6:$W$25,$A38)*(INDEX($W$6:$W$25,$A38)-1),INDEX($W$6:$W$25,$A38)*INDEX($W$6:$W$25,E$29))/(Hasil!$C$6-1))</f>
        <v>0</v>
      </c>
      <c r="F38" s="30" t="n">
        <f aca="false">IF(Hasil!$C$6&lt;2,0,IF($A38=F$29,INDEX($W$6:$W$25,$A38)*(INDEX($W$6:$W$25,$A38)-1),INDEX($W$6:$W$25,$A38)*INDEX($W$6:$W$25,F$29))/(Hasil!$C$6-1))</f>
        <v>0</v>
      </c>
      <c r="G38" s="30" t="n">
        <f aca="false">IF(Hasil!$C$6&lt;2,0,IF($A38=G$29,INDEX($W$6:$W$25,$A38)*(INDEX($W$6:$W$25,$A38)-1),INDEX($W$6:$W$25,$A38)*INDEX($W$6:$W$25,G$29))/(Hasil!$C$6-1))</f>
        <v>0</v>
      </c>
      <c r="H38" s="30" t="n">
        <f aca="false">IF(Hasil!$C$6&lt;2,0,IF($A38=H$29,INDEX($W$6:$W$25,$A38)*(INDEX($W$6:$W$25,$A38)-1),INDEX($W$6:$W$25,$A38)*INDEX($W$6:$W$25,H$29))/(Hasil!$C$6-1))</f>
        <v>0</v>
      </c>
      <c r="I38" s="30" t="n">
        <f aca="false">IF(Hasil!$C$6&lt;2,0,IF($A38=I$29,INDEX($W$6:$W$25,$A38)*(INDEX($W$6:$W$25,$A38)-1),INDEX($W$6:$W$25,$A38)*INDEX($W$6:$W$25,I$29))/(Hasil!$C$6-1))</f>
        <v>0</v>
      </c>
      <c r="J38" s="30" t="n">
        <f aca="false">IF(Hasil!$C$6&lt;2,0,IF($A38=J$29,INDEX($W$6:$W$25,$A38)*(INDEX($W$6:$W$25,$A38)-1),INDEX($W$6:$W$25,$A38)*INDEX($W$6:$W$25,J$29))/(Hasil!$C$6-1))</f>
        <v>-0</v>
      </c>
      <c r="K38" s="30" t="n">
        <f aca="false">IF(Hasil!$C$6&lt;2,0,IF($A38=K$29,INDEX($W$6:$W$25,$A38)*(INDEX($W$6:$W$25,$A38)-1),INDEX($W$6:$W$25,$A38)*INDEX($W$6:$W$25,K$29))/(Hasil!$C$6-1))</f>
        <v>0</v>
      </c>
      <c r="L38" s="30" t="n">
        <f aca="false">IF(Hasil!$C$6&lt;2,0,IF($A38=L$29,INDEX($W$6:$W$25,$A38)*(INDEX($W$6:$W$25,$A38)-1),INDEX($W$6:$W$25,$A38)*INDEX($W$6:$W$25,L$29))/(Hasil!$C$6-1))</f>
        <v>0</v>
      </c>
      <c r="M38" s="30" t="n">
        <f aca="false">IF(Hasil!$C$6&lt;2,0,IF($A38=M$29,INDEX($W$6:$W$25,$A38)*(INDEX($W$6:$W$25,$A38)-1),INDEX($W$6:$W$25,$A38)*INDEX($W$6:$W$25,M$29))/(Hasil!$C$6-1))</f>
        <v>0</v>
      </c>
      <c r="N38" s="30" t="n">
        <f aca="false">IF(Hasil!$C$6&lt;2,0,IF($A38=N$29,INDEX($W$6:$W$25,$A38)*(INDEX($W$6:$W$25,$A38)-1),INDEX($W$6:$W$25,$A38)*INDEX($W$6:$W$25,N$29))/(Hasil!$C$6-1))</f>
        <v>0</v>
      </c>
      <c r="O38" s="30" t="n">
        <f aca="false">IF(Hasil!$C$6&lt;2,0,IF($A38=O$29,INDEX($W$6:$W$25,$A38)*(INDEX($W$6:$W$25,$A38)-1),INDEX($W$6:$W$25,$A38)*INDEX($W$6:$W$25,O$29))/(Hasil!$C$6-1))</f>
        <v>0</v>
      </c>
      <c r="P38" s="30" t="n">
        <f aca="false">IF(Hasil!$C$6&lt;2,0,IF($A38=P$29,INDEX($W$6:$W$25,$A38)*(INDEX($W$6:$W$25,$A38)-1),INDEX($W$6:$W$25,$A38)*INDEX($W$6:$W$25,P$29))/(Hasil!$C$6-1))</f>
        <v>0</v>
      </c>
      <c r="Q38" s="30" t="n">
        <f aca="false">IF(Hasil!$C$6&lt;2,0,IF($A38=Q$29,INDEX($W$6:$W$25,$A38)*(INDEX($W$6:$W$25,$A38)-1),INDEX($W$6:$W$25,$A38)*INDEX($W$6:$W$25,Q$29))/(Hasil!$C$6-1))</f>
        <v>0</v>
      </c>
      <c r="R38" s="30" t="n">
        <f aca="false">IF(Hasil!$C$6&lt;2,0,IF($A38=R$29,INDEX($W$6:$W$25,$A38)*(INDEX($W$6:$W$25,$A38)-1),INDEX($W$6:$W$25,$A38)*INDEX($W$6:$W$25,R$29))/(Hasil!$C$6-1))</f>
        <v>0</v>
      </c>
      <c r="S38" s="30" t="n">
        <f aca="false">IF(Hasil!$C$6&lt;2,0,IF($A38=S$29,INDEX($W$6:$W$25,$A38)*(INDEX($W$6:$W$25,$A38)-1),INDEX($W$6:$W$25,$A38)*INDEX($W$6:$W$25,S$29))/(Hasil!$C$6-1))</f>
        <v>0</v>
      </c>
      <c r="T38" s="30" t="n">
        <f aca="false">IF(Hasil!$C$6&lt;2,0,IF($A38=T$29,INDEX($W$6:$W$25,$A38)*(INDEX($W$6:$W$25,$A38)-1),INDEX($W$6:$W$25,$A38)*INDEX($W$6:$W$25,T$29))/(Hasil!$C$6-1))</f>
        <v>0</v>
      </c>
      <c r="U38" s="30" t="n">
        <f aca="false">IF(Hasil!$C$6&lt;2,0,IF($A38=U$29,INDEX($W$6:$W$25,$A38)*(INDEX($W$6:$W$25,$A38)-1),INDEX($W$6:$W$25,$A38)*INDEX($W$6:$W$25,U$29))/(Hasil!$C$6-1))</f>
        <v>0</v>
      </c>
      <c r="V38" s="30" t="n">
        <f aca="false">IF(Hasil!$C$6&lt;2,0,IF($A38=V$29,INDEX($W$6:$W$25,$A38)*(INDEX($W$6:$W$25,$A38)-1),INDEX($W$6:$W$25,$A38)*INDEX($W$6:$W$25,V$29))/(Hasil!$C$6-1))</f>
        <v>0</v>
      </c>
    </row>
    <row r="39" customFormat="false" ht="15" hidden="false" customHeight="false" outlineLevel="0" collapsed="false">
      <c r="A39" s="29" t="n">
        <v>9</v>
      </c>
      <c r="B39" s="29" t="str">
        <f aca="false">IF(INDEX(Pengaturan!$B$8:$B$27,$A39)="","",INDEX(Pengaturan!$B$8:$B$27,$A39))</f>
        <v/>
      </c>
      <c r="C39" s="30" t="n">
        <f aca="false">IF(Hasil!$C$6&lt;2,0,IF($A39=C$29,INDEX($W$6:$W$25,$A39)*(INDEX($W$6:$W$25,$A39)-1),INDEX($W$6:$W$25,$A39)*INDEX($W$6:$W$25,C$29))/(Hasil!$C$6-1))</f>
        <v>0</v>
      </c>
      <c r="D39" s="30" t="n">
        <f aca="false">IF(Hasil!$C$6&lt;2,0,IF($A39=D$29,INDEX($W$6:$W$25,$A39)*(INDEX($W$6:$W$25,$A39)-1),INDEX($W$6:$W$25,$A39)*INDEX($W$6:$W$25,D$29))/(Hasil!$C$6-1))</f>
        <v>0</v>
      </c>
      <c r="E39" s="30" t="n">
        <f aca="false">IF(Hasil!$C$6&lt;2,0,IF($A39=E$29,INDEX($W$6:$W$25,$A39)*(INDEX($W$6:$W$25,$A39)-1),INDEX($W$6:$W$25,$A39)*INDEX($W$6:$W$25,E$29))/(Hasil!$C$6-1))</f>
        <v>0</v>
      </c>
      <c r="F39" s="30" t="n">
        <f aca="false">IF(Hasil!$C$6&lt;2,0,IF($A39=F$29,INDEX($W$6:$W$25,$A39)*(INDEX($W$6:$W$25,$A39)-1),INDEX($W$6:$W$25,$A39)*INDEX($W$6:$W$25,F$29))/(Hasil!$C$6-1))</f>
        <v>0</v>
      </c>
      <c r="G39" s="30" t="n">
        <f aca="false">IF(Hasil!$C$6&lt;2,0,IF($A39=G$29,INDEX($W$6:$W$25,$A39)*(INDEX($W$6:$W$25,$A39)-1),INDEX($W$6:$W$25,$A39)*INDEX($W$6:$W$25,G$29))/(Hasil!$C$6-1))</f>
        <v>0</v>
      </c>
      <c r="H39" s="30" t="n">
        <f aca="false">IF(Hasil!$C$6&lt;2,0,IF($A39=H$29,INDEX($W$6:$W$25,$A39)*(INDEX($W$6:$W$25,$A39)-1),INDEX($W$6:$W$25,$A39)*INDEX($W$6:$W$25,H$29))/(Hasil!$C$6-1))</f>
        <v>0</v>
      </c>
      <c r="I39" s="30" t="n">
        <f aca="false">IF(Hasil!$C$6&lt;2,0,IF($A39=I$29,INDEX($W$6:$W$25,$A39)*(INDEX($W$6:$W$25,$A39)-1),INDEX($W$6:$W$25,$A39)*INDEX($W$6:$W$25,I$29))/(Hasil!$C$6-1))</f>
        <v>0</v>
      </c>
      <c r="J39" s="30" t="n">
        <f aca="false">IF(Hasil!$C$6&lt;2,0,IF($A39=J$29,INDEX($W$6:$W$25,$A39)*(INDEX($W$6:$W$25,$A39)-1),INDEX($W$6:$W$25,$A39)*INDEX($W$6:$W$25,J$29))/(Hasil!$C$6-1))</f>
        <v>0</v>
      </c>
      <c r="K39" s="30" t="n">
        <f aca="false">IF(Hasil!$C$6&lt;2,0,IF($A39=K$29,INDEX($W$6:$W$25,$A39)*(INDEX($W$6:$W$25,$A39)-1),INDEX($W$6:$W$25,$A39)*INDEX($W$6:$W$25,K$29))/(Hasil!$C$6-1))</f>
        <v>-0</v>
      </c>
      <c r="L39" s="30" t="n">
        <f aca="false">IF(Hasil!$C$6&lt;2,0,IF($A39=L$29,INDEX($W$6:$W$25,$A39)*(INDEX($W$6:$W$25,$A39)-1),INDEX($W$6:$W$25,$A39)*INDEX($W$6:$W$25,L$29))/(Hasil!$C$6-1))</f>
        <v>0</v>
      </c>
      <c r="M39" s="30" t="n">
        <f aca="false">IF(Hasil!$C$6&lt;2,0,IF($A39=M$29,INDEX($W$6:$W$25,$A39)*(INDEX($W$6:$W$25,$A39)-1),INDEX($W$6:$W$25,$A39)*INDEX($W$6:$W$25,M$29))/(Hasil!$C$6-1))</f>
        <v>0</v>
      </c>
      <c r="N39" s="30" t="n">
        <f aca="false">IF(Hasil!$C$6&lt;2,0,IF($A39=N$29,INDEX($W$6:$W$25,$A39)*(INDEX($W$6:$W$25,$A39)-1),INDEX($W$6:$W$25,$A39)*INDEX($W$6:$W$25,N$29))/(Hasil!$C$6-1))</f>
        <v>0</v>
      </c>
      <c r="O39" s="30" t="n">
        <f aca="false">IF(Hasil!$C$6&lt;2,0,IF($A39=O$29,INDEX($W$6:$W$25,$A39)*(INDEX($W$6:$W$25,$A39)-1),INDEX($W$6:$W$25,$A39)*INDEX($W$6:$W$25,O$29))/(Hasil!$C$6-1))</f>
        <v>0</v>
      </c>
      <c r="P39" s="30" t="n">
        <f aca="false">IF(Hasil!$C$6&lt;2,0,IF($A39=P$29,INDEX($W$6:$W$25,$A39)*(INDEX($W$6:$W$25,$A39)-1),INDEX($W$6:$W$25,$A39)*INDEX($W$6:$W$25,P$29))/(Hasil!$C$6-1))</f>
        <v>0</v>
      </c>
      <c r="Q39" s="30" t="n">
        <f aca="false">IF(Hasil!$C$6&lt;2,0,IF($A39=Q$29,INDEX($W$6:$W$25,$A39)*(INDEX($W$6:$W$25,$A39)-1),INDEX($W$6:$W$25,$A39)*INDEX($W$6:$W$25,Q$29))/(Hasil!$C$6-1))</f>
        <v>0</v>
      </c>
      <c r="R39" s="30" t="n">
        <f aca="false">IF(Hasil!$C$6&lt;2,0,IF($A39=R$29,INDEX($W$6:$W$25,$A39)*(INDEX($W$6:$W$25,$A39)-1),INDEX($W$6:$W$25,$A39)*INDEX($W$6:$W$25,R$29))/(Hasil!$C$6-1))</f>
        <v>0</v>
      </c>
      <c r="S39" s="30" t="n">
        <f aca="false">IF(Hasil!$C$6&lt;2,0,IF($A39=S$29,INDEX($W$6:$W$25,$A39)*(INDEX($W$6:$W$25,$A39)-1),INDEX($W$6:$W$25,$A39)*INDEX($W$6:$W$25,S$29))/(Hasil!$C$6-1))</f>
        <v>0</v>
      </c>
      <c r="T39" s="30" t="n">
        <f aca="false">IF(Hasil!$C$6&lt;2,0,IF($A39=T$29,INDEX($W$6:$W$25,$A39)*(INDEX($W$6:$W$25,$A39)-1),INDEX($W$6:$W$25,$A39)*INDEX($W$6:$W$25,T$29))/(Hasil!$C$6-1))</f>
        <v>0</v>
      </c>
      <c r="U39" s="30" t="n">
        <f aca="false">IF(Hasil!$C$6&lt;2,0,IF($A39=U$29,INDEX($W$6:$W$25,$A39)*(INDEX($W$6:$W$25,$A39)-1),INDEX($W$6:$W$25,$A39)*INDEX($W$6:$W$25,U$29))/(Hasil!$C$6-1))</f>
        <v>0</v>
      </c>
      <c r="V39" s="30" t="n">
        <f aca="false">IF(Hasil!$C$6&lt;2,0,IF($A39=V$29,INDEX($W$6:$W$25,$A39)*(INDEX($W$6:$W$25,$A39)-1),INDEX($W$6:$W$25,$A39)*INDEX($W$6:$W$25,V$29))/(Hasil!$C$6-1))</f>
        <v>0</v>
      </c>
    </row>
    <row r="40" customFormat="false" ht="15" hidden="false" customHeight="false" outlineLevel="0" collapsed="false">
      <c r="A40" s="29" t="n">
        <v>10</v>
      </c>
      <c r="B40" s="29" t="str">
        <f aca="false">IF(INDEX(Pengaturan!$B$8:$B$27,$A40)="","",INDEX(Pengaturan!$B$8:$B$27,$A40))</f>
        <v/>
      </c>
      <c r="C40" s="30" t="n">
        <f aca="false">IF(Hasil!$C$6&lt;2,0,IF($A40=C$29,INDEX($W$6:$W$25,$A40)*(INDEX($W$6:$W$25,$A40)-1),INDEX($W$6:$W$25,$A40)*INDEX($W$6:$W$25,C$29))/(Hasil!$C$6-1))</f>
        <v>0</v>
      </c>
      <c r="D40" s="30" t="n">
        <f aca="false">IF(Hasil!$C$6&lt;2,0,IF($A40=D$29,INDEX($W$6:$W$25,$A40)*(INDEX($W$6:$W$25,$A40)-1),INDEX($W$6:$W$25,$A40)*INDEX($W$6:$W$25,D$29))/(Hasil!$C$6-1))</f>
        <v>0</v>
      </c>
      <c r="E40" s="30" t="n">
        <f aca="false">IF(Hasil!$C$6&lt;2,0,IF($A40=E$29,INDEX($W$6:$W$25,$A40)*(INDEX($W$6:$W$25,$A40)-1),INDEX($W$6:$W$25,$A40)*INDEX($W$6:$W$25,E$29))/(Hasil!$C$6-1))</f>
        <v>0</v>
      </c>
      <c r="F40" s="30" t="n">
        <f aca="false">IF(Hasil!$C$6&lt;2,0,IF($A40=F$29,INDEX($W$6:$W$25,$A40)*(INDEX($W$6:$W$25,$A40)-1),INDEX($W$6:$W$25,$A40)*INDEX($W$6:$W$25,F$29))/(Hasil!$C$6-1))</f>
        <v>0</v>
      </c>
      <c r="G40" s="30" t="n">
        <f aca="false">IF(Hasil!$C$6&lt;2,0,IF($A40=G$29,INDEX($W$6:$W$25,$A40)*(INDEX($W$6:$W$25,$A40)-1),INDEX($W$6:$W$25,$A40)*INDEX($W$6:$W$25,G$29))/(Hasil!$C$6-1))</f>
        <v>0</v>
      </c>
      <c r="H40" s="30" t="n">
        <f aca="false">IF(Hasil!$C$6&lt;2,0,IF($A40=H$29,INDEX($W$6:$W$25,$A40)*(INDEX($W$6:$W$25,$A40)-1),INDEX($W$6:$W$25,$A40)*INDEX($W$6:$W$25,H$29))/(Hasil!$C$6-1))</f>
        <v>0</v>
      </c>
      <c r="I40" s="30" t="n">
        <f aca="false">IF(Hasil!$C$6&lt;2,0,IF($A40=I$29,INDEX($W$6:$W$25,$A40)*(INDEX($W$6:$W$25,$A40)-1),INDEX($W$6:$W$25,$A40)*INDEX($W$6:$W$25,I$29))/(Hasil!$C$6-1))</f>
        <v>0</v>
      </c>
      <c r="J40" s="30" t="n">
        <f aca="false">IF(Hasil!$C$6&lt;2,0,IF($A40=J$29,INDEX($W$6:$W$25,$A40)*(INDEX($W$6:$W$25,$A40)-1),INDEX($W$6:$W$25,$A40)*INDEX($W$6:$W$25,J$29))/(Hasil!$C$6-1))</f>
        <v>0</v>
      </c>
      <c r="K40" s="30" t="n">
        <f aca="false">IF(Hasil!$C$6&lt;2,0,IF($A40=K$29,INDEX($W$6:$W$25,$A40)*(INDEX($W$6:$W$25,$A40)-1),INDEX($W$6:$W$25,$A40)*INDEX($W$6:$W$25,K$29))/(Hasil!$C$6-1))</f>
        <v>0</v>
      </c>
      <c r="L40" s="30" t="n">
        <f aca="false">IF(Hasil!$C$6&lt;2,0,IF($A40=L$29,INDEX($W$6:$W$25,$A40)*(INDEX($W$6:$W$25,$A40)-1),INDEX($W$6:$W$25,$A40)*INDEX($W$6:$W$25,L$29))/(Hasil!$C$6-1))</f>
        <v>-0</v>
      </c>
      <c r="M40" s="30" t="n">
        <f aca="false">IF(Hasil!$C$6&lt;2,0,IF($A40=M$29,INDEX($W$6:$W$25,$A40)*(INDEX($W$6:$W$25,$A40)-1),INDEX($W$6:$W$25,$A40)*INDEX($W$6:$W$25,M$29))/(Hasil!$C$6-1))</f>
        <v>0</v>
      </c>
      <c r="N40" s="30" t="n">
        <f aca="false">IF(Hasil!$C$6&lt;2,0,IF($A40=N$29,INDEX($W$6:$W$25,$A40)*(INDEX($W$6:$W$25,$A40)-1),INDEX($W$6:$W$25,$A40)*INDEX($W$6:$W$25,N$29))/(Hasil!$C$6-1))</f>
        <v>0</v>
      </c>
      <c r="O40" s="30" t="n">
        <f aca="false">IF(Hasil!$C$6&lt;2,0,IF($A40=O$29,INDEX($W$6:$W$25,$A40)*(INDEX($W$6:$W$25,$A40)-1),INDEX($W$6:$W$25,$A40)*INDEX($W$6:$W$25,O$29))/(Hasil!$C$6-1))</f>
        <v>0</v>
      </c>
      <c r="P40" s="30" t="n">
        <f aca="false">IF(Hasil!$C$6&lt;2,0,IF($A40=P$29,INDEX($W$6:$W$25,$A40)*(INDEX($W$6:$W$25,$A40)-1),INDEX($W$6:$W$25,$A40)*INDEX($W$6:$W$25,P$29))/(Hasil!$C$6-1))</f>
        <v>0</v>
      </c>
      <c r="Q40" s="30" t="n">
        <f aca="false">IF(Hasil!$C$6&lt;2,0,IF($A40=Q$29,INDEX($W$6:$W$25,$A40)*(INDEX($W$6:$W$25,$A40)-1),INDEX($W$6:$W$25,$A40)*INDEX($W$6:$W$25,Q$29))/(Hasil!$C$6-1))</f>
        <v>0</v>
      </c>
      <c r="R40" s="30" t="n">
        <f aca="false">IF(Hasil!$C$6&lt;2,0,IF($A40=R$29,INDEX($W$6:$W$25,$A40)*(INDEX($W$6:$W$25,$A40)-1),INDEX($W$6:$W$25,$A40)*INDEX($W$6:$W$25,R$29))/(Hasil!$C$6-1))</f>
        <v>0</v>
      </c>
      <c r="S40" s="30" t="n">
        <f aca="false">IF(Hasil!$C$6&lt;2,0,IF($A40=S$29,INDEX($W$6:$W$25,$A40)*(INDEX($W$6:$W$25,$A40)-1),INDEX($W$6:$W$25,$A40)*INDEX($W$6:$W$25,S$29))/(Hasil!$C$6-1))</f>
        <v>0</v>
      </c>
      <c r="T40" s="30" t="n">
        <f aca="false">IF(Hasil!$C$6&lt;2,0,IF($A40=T$29,INDEX($W$6:$W$25,$A40)*(INDEX($W$6:$W$25,$A40)-1),INDEX($W$6:$W$25,$A40)*INDEX($W$6:$W$25,T$29))/(Hasil!$C$6-1))</f>
        <v>0</v>
      </c>
      <c r="U40" s="30" t="n">
        <f aca="false">IF(Hasil!$C$6&lt;2,0,IF($A40=U$29,INDEX($W$6:$W$25,$A40)*(INDEX($W$6:$W$25,$A40)-1),INDEX($W$6:$W$25,$A40)*INDEX($W$6:$W$25,U$29))/(Hasil!$C$6-1))</f>
        <v>0</v>
      </c>
      <c r="V40" s="30" t="n">
        <f aca="false">IF(Hasil!$C$6&lt;2,0,IF($A40=V$29,INDEX($W$6:$W$25,$A40)*(INDEX($W$6:$W$25,$A40)-1),INDEX($W$6:$W$25,$A40)*INDEX($W$6:$W$25,V$29))/(Hasil!$C$6-1))</f>
        <v>0</v>
      </c>
    </row>
    <row r="41" customFormat="false" ht="15" hidden="false" customHeight="false" outlineLevel="0" collapsed="false">
      <c r="A41" s="29" t="n">
        <v>11</v>
      </c>
      <c r="B41" s="29" t="str">
        <f aca="false">IF(INDEX(Pengaturan!$B$8:$B$27,$A41)="","",INDEX(Pengaturan!$B$8:$B$27,$A41))</f>
        <v/>
      </c>
      <c r="C41" s="30" t="n">
        <f aca="false">IF(Hasil!$C$6&lt;2,0,IF($A41=C$29,INDEX($W$6:$W$25,$A41)*(INDEX($W$6:$W$25,$A41)-1),INDEX($W$6:$W$25,$A41)*INDEX($W$6:$W$25,C$29))/(Hasil!$C$6-1))</f>
        <v>0</v>
      </c>
      <c r="D41" s="30" t="n">
        <f aca="false">IF(Hasil!$C$6&lt;2,0,IF($A41=D$29,INDEX($W$6:$W$25,$A41)*(INDEX($W$6:$W$25,$A41)-1),INDEX($W$6:$W$25,$A41)*INDEX($W$6:$W$25,D$29))/(Hasil!$C$6-1))</f>
        <v>0</v>
      </c>
      <c r="E41" s="30" t="n">
        <f aca="false">IF(Hasil!$C$6&lt;2,0,IF($A41=E$29,INDEX($W$6:$W$25,$A41)*(INDEX($W$6:$W$25,$A41)-1),INDEX($W$6:$W$25,$A41)*INDEX($W$6:$W$25,E$29))/(Hasil!$C$6-1))</f>
        <v>0</v>
      </c>
      <c r="F41" s="30" t="n">
        <f aca="false">IF(Hasil!$C$6&lt;2,0,IF($A41=F$29,INDEX($W$6:$W$25,$A41)*(INDEX($W$6:$W$25,$A41)-1),INDEX($W$6:$W$25,$A41)*INDEX($W$6:$W$25,F$29))/(Hasil!$C$6-1))</f>
        <v>0</v>
      </c>
      <c r="G41" s="30" t="n">
        <f aca="false">IF(Hasil!$C$6&lt;2,0,IF($A41=G$29,INDEX($W$6:$W$25,$A41)*(INDEX($W$6:$W$25,$A41)-1),INDEX($W$6:$W$25,$A41)*INDEX($W$6:$W$25,G$29))/(Hasil!$C$6-1))</f>
        <v>0</v>
      </c>
      <c r="H41" s="30" t="n">
        <f aca="false">IF(Hasil!$C$6&lt;2,0,IF($A41=H$29,INDEX($W$6:$W$25,$A41)*(INDEX($W$6:$W$25,$A41)-1),INDEX($W$6:$W$25,$A41)*INDEX($W$6:$W$25,H$29))/(Hasil!$C$6-1))</f>
        <v>0</v>
      </c>
      <c r="I41" s="30" t="n">
        <f aca="false">IF(Hasil!$C$6&lt;2,0,IF($A41=I$29,INDEX($W$6:$W$25,$A41)*(INDEX($W$6:$W$25,$A41)-1),INDEX($W$6:$W$25,$A41)*INDEX($W$6:$W$25,I$29))/(Hasil!$C$6-1))</f>
        <v>0</v>
      </c>
      <c r="J41" s="30" t="n">
        <f aca="false">IF(Hasil!$C$6&lt;2,0,IF($A41=J$29,INDEX($W$6:$W$25,$A41)*(INDEX($W$6:$W$25,$A41)-1),INDEX($W$6:$W$25,$A41)*INDEX($W$6:$W$25,J$29))/(Hasil!$C$6-1))</f>
        <v>0</v>
      </c>
      <c r="K41" s="30" t="n">
        <f aca="false">IF(Hasil!$C$6&lt;2,0,IF($A41=K$29,INDEX($W$6:$W$25,$A41)*(INDEX($W$6:$W$25,$A41)-1),INDEX($W$6:$W$25,$A41)*INDEX($W$6:$W$25,K$29))/(Hasil!$C$6-1))</f>
        <v>0</v>
      </c>
      <c r="L41" s="30" t="n">
        <f aca="false">IF(Hasil!$C$6&lt;2,0,IF($A41=L$29,INDEX($W$6:$W$25,$A41)*(INDEX($W$6:$W$25,$A41)-1),INDEX($W$6:$W$25,$A41)*INDEX($W$6:$W$25,L$29))/(Hasil!$C$6-1))</f>
        <v>0</v>
      </c>
      <c r="M41" s="30" t="n">
        <f aca="false">IF(Hasil!$C$6&lt;2,0,IF($A41=M$29,INDEX($W$6:$W$25,$A41)*(INDEX($W$6:$W$25,$A41)-1),INDEX($W$6:$W$25,$A41)*INDEX($W$6:$W$25,M$29))/(Hasil!$C$6-1))</f>
        <v>-0</v>
      </c>
      <c r="N41" s="30" t="n">
        <f aca="false">IF(Hasil!$C$6&lt;2,0,IF($A41=N$29,INDEX($W$6:$W$25,$A41)*(INDEX($W$6:$W$25,$A41)-1),INDEX($W$6:$W$25,$A41)*INDEX($W$6:$W$25,N$29))/(Hasil!$C$6-1))</f>
        <v>0</v>
      </c>
      <c r="O41" s="30" t="n">
        <f aca="false">IF(Hasil!$C$6&lt;2,0,IF($A41=O$29,INDEX($W$6:$W$25,$A41)*(INDEX($W$6:$W$25,$A41)-1),INDEX($W$6:$W$25,$A41)*INDEX($W$6:$W$25,O$29))/(Hasil!$C$6-1))</f>
        <v>0</v>
      </c>
      <c r="P41" s="30" t="n">
        <f aca="false">IF(Hasil!$C$6&lt;2,0,IF($A41=P$29,INDEX($W$6:$W$25,$A41)*(INDEX($W$6:$W$25,$A41)-1),INDEX($W$6:$W$25,$A41)*INDEX($W$6:$W$25,P$29))/(Hasil!$C$6-1))</f>
        <v>0</v>
      </c>
      <c r="Q41" s="30" t="n">
        <f aca="false">IF(Hasil!$C$6&lt;2,0,IF($A41=Q$29,INDEX($W$6:$W$25,$A41)*(INDEX($W$6:$W$25,$A41)-1),INDEX($W$6:$W$25,$A41)*INDEX($W$6:$W$25,Q$29))/(Hasil!$C$6-1))</f>
        <v>0</v>
      </c>
      <c r="R41" s="30" t="n">
        <f aca="false">IF(Hasil!$C$6&lt;2,0,IF($A41=R$29,INDEX($W$6:$W$25,$A41)*(INDEX($W$6:$W$25,$A41)-1),INDEX($W$6:$W$25,$A41)*INDEX($W$6:$W$25,R$29))/(Hasil!$C$6-1))</f>
        <v>0</v>
      </c>
      <c r="S41" s="30" t="n">
        <f aca="false">IF(Hasil!$C$6&lt;2,0,IF($A41=S$29,INDEX($W$6:$W$25,$A41)*(INDEX($W$6:$W$25,$A41)-1),INDEX($W$6:$W$25,$A41)*INDEX($W$6:$W$25,S$29))/(Hasil!$C$6-1))</f>
        <v>0</v>
      </c>
      <c r="T41" s="30" t="n">
        <f aca="false">IF(Hasil!$C$6&lt;2,0,IF($A41=T$29,INDEX($W$6:$W$25,$A41)*(INDEX($W$6:$W$25,$A41)-1),INDEX($W$6:$W$25,$A41)*INDEX($W$6:$W$25,T$29))/(Hasil!$C$6-1))</f>
        <v>0</v>
      </c>
      <c r="U41" s="30" t="n">
        <f aca="false">IF(Hasil!$C$6&lt;2,0,IF($A41=U$29,INDEX($W$6:$W$25,$A41)*(INDEX($W$6:$W$25,$A41)-1),INDEX($W$6:$W$25,$A41)*INDEX($W$6:$W$25,U$29))/(Hasil!$C$6-1))</f>
        <v>0</v>
      </c>
      <c r="V41" s="30" t="n">
        <f aca="false">IF(Hasil!$C$6&lt;2,0,IF($A41=V$29,INDEX($W$6:$W$25,$A41)*(INDEX($W$6:$W$25,$A41)-1),INDEX($W$6:$W$25,$A41)*INDEX($W$6:$W$25,V$29))/(Hasil!$C$6-1))</f>
        <v>0</v>
      </c>
    </row>
    <row r="42" customFormat="false" ht="15" hidden="false" customHeight="false" outlineLevel="0" collapsed="false">
      <c r="A42" s="29" t="n">
        <v>12</v>
      </c>
      <c r="B42" s="29" t="str">
        <f aca="false">IF(INDEX(Pengaturan!$B$8:$B$27,$A42)="","",INDEX(Pengaturan!$B$8:$B$27,$A42))</f>
        <v/>
      </c>
      <c r="C42" s="30" t="n">
        <f aca="false">IF(Hasil!$C$6&lt;2,0,IF($A42=C$29,INDEX($W$6:$W$25,$A42)*(INDEX($W$6:$W$25,$A42)-1),INDEX($W$6:$W$25,$A42)*INDEX($W$6:$W$25,C$29))/(Hasil!$C$6-1))</f>
        <v>0</v>
      </c>
      <c r="D42" s="30" t="n">
        <f aca="false">IF(Hasil!$C$6&lt;2,0,IF($A42=D$29,INDEX($W$6:$W$25,$A42)*(INDEX($W$6:$W$25,$A42)-1),INDEX($W$6:$W$25,$A42)*INDEX($W$6:$W$25,D$29))/(Hasil!$C$6-1))</f>
        <v>0</v>
      </c>
      <c r="E42" s="30" t="n">
        <f aca="false">IF(Hasil!$C$6&lt;2,0,IF($A42=E$29,INDEX($W$6:$W$25,$A42)*(INDEX($W$6:$W$25,$A42)-1),INDEX($W$6:$W$25,$A42)*INDEX($W$6:$W$25,E$29))/(Hasil!$C$6-1))</f>
        <v>0</v>
      </c>
      <c r="F42" s="30" t="n">
        <f aca="false">IF(Hasil!$C$6&lt;2,0,IF($A42=F$29,INDEX($W$6:$W$25,$A42)*(INDEX($W$6:$W$25,$A42)-1),INDEX($W$6:$W$25,$A42)*INDEX($W$6:$W$25,F$29))/(Hasil!$C$6-1))</f>
        <v>0</v>
      </c>
      <c r="G42" s="30" t="n">
        <f aca="false">IF(Hasil!$C$6&lt;2,0,IF($A42=G$29,INDEX($W$6:$W$25,$A42)*(INDEX($W$6:$W$25,$A42)-1),INDEX($W$6:$W$25,$A42)*INDEX($W$6:$W$25,G$29))/(Hasil!$C$6-1))</f>
        <v>0</v>
      </c>
      <c r="H42" s="30" t="n">
        <f aca="false">IF(Hasil!$C$6&lt;2,0,IF($A42=H$29,INDEX($W$6:$W$25,$A42)*(INDEX($W$6:$W$25,$A42)-1),INDEX($W$6:$W$25,$A42)*INDEX($W$6:$W$25,H$29))/(Hasil!$C$6-1))</f>
        <v>0</v>
      </c>
      <c r="I42" s="30" t="n">
        <f aca="false">IF(Hasil!$C$6&lt;2,0,IF($A42=I$29,INDEX($W$6:$W$25,$A42)*(INDEX($W$6:$W$25,$A42)-1),INDEX($W$6:$W$25,$A42)*INDEX($W$6:$W$25,I$29))/(Hasil!$C$6-1))</f>
        <v>0</v>
      </c>
      <c r="J42" s="30" t="n">
        <f aca="false">IF(Hasil!$C$6&lt;2,0,IF($A42=J$29,INDEX($W$6:$W$25,$A42)*(INDEX($W$6:$W$25,$A42)-1),INDEX($W$6:$W$25,$A42)*INDEX($W$6:$W$25,J$29))/(Hasil!$C$6-1))</f>
        <v>0</v>
      </c>
      <c r="K42" s="30" t="n">
        <f aca="false">IF(Hasil!$C$6&lt;2,0,IF($A42=K$29,INDEX($W$6:$W$25,$A42)*(INDEX($W$6:$W$25,$A42)-1),INDEX($W$6:$W$25,$A42)*INDEX($W$6:$W$25,K$29))/(Hasil!$C$6-1))</f>
        <v>0</v>
      </c>
      <c r="L42" s="30" t="n">
        <f aca="false">IF(Hasil!$C$6&lt;2,0,IF($A42=L$29,INDEX($W$6:$W$25,$A42)*(INDEX($W$6:$W$25,$A42)-1),INDEX($W$6:$W$25,$A42)*INDEX($W$6:$W$25,L$29))/(Hasil!$C$6-1))</f>
        <v>0</v>
      </c>
      <c r="M42" s="30" t="n">
        <f aca="false">IF(Hasil!$C$6&lt;2,0,IF($A42=M$29,INDEX($W$6:$W$25,$A42)*(INDEX($W$6:$W$25,$A42)-1),INDEX($W$6:$W$25,$A42)*INDEX($W$6:$W$25,M$29))/(Hasil!$C$6-1))</f>
        <v>0</v>
      </c>
      <c r="N42" s="30" t="n">
        <f aca="false">IF(Hasil!$C$6&lt;2,0,IF($A42=N$29,INDEX($W$6:$W$25,$A42)*(INDEX($W$6:$W$25,$A42)-1),INDEX($W$6:$W$25,$A42)*INDEX($W$6:$W$25,N$29))/(Hasil!$C$6-1))</f>
        <v>-0</v>
      </c>
      <c r="O42" s="30" t="n">
        <f aca="false">IF(Hasil!$C$6&lt;2,0,IF($A42=O$29,INDEX($W$6:$W$25,$A42)*(INDEX($W$6:$W$25,$A42)-1),INDEX($W$6:$W$25,$A42)*INDEX($W$6:$W$25,O$29))/(Hasil!$C$6-1))</f>
        <v>0</v>
      </c>
      <c r="P42" s="30" t="n">
        <f aca="false">IF(Hasil!$C$6&lt;2,0,IF($A42=P$29,INDEX($W$6:$W$25,$A42)*(INDEX($W$6:$W$25,$A42)-1),INDEX($W$6:$W$25,$A42)*INDEX($W$6:$W$25,P$29))/(Hasil!$C$6-1))</f>
        <v>0</v>
      </c>
      <c r="Q42" s="30" t="n">
        <f aca="false">IF(Hasil!$C$6&lt;2,0,IF($A42=Q$29,INDEX($W$6:$W$25,$A42)*(INDEX($W$6:$W$25,$A42)-1),INDEX($W$6:$W$25,$A42)*INDEX($W$6:$W$25,Q$29))/(Hasil!$C$6-1))</f>
        <v>0</v>
      </c>
      <c r="R42" s="30" t="n">
        <f aca="false">IF(Hasil!$C$6&lt;2,0,IF($A42=R$29,INDEX($W$6:$W$25,$A42)*(INDEX($W$6:$W$25,$A42)-1),INDEX($W$6:$W$25,$A42)*INDEX($W$6:$W$25,R$29))/(Hasil!$C$6-1))</f>
        <v>0</v>
      </c>
      <c r="S42" s="30" t="n">
        <f aca="false">IF(Hasil!$C$6&lt;2,0,IF($A42=S$29,INDEX($W$6:$W$25,$A42)*(INDEX($W$6:$W$25,$A42)-1),INDEX($W$6:$W$25,$A42)*INDEX($W$6:$W$25,S$29))/(Hasil!$C$6-1))</f>
        <v>0</v>
      </c>
      <c r="T42" s="30" t="n">
        <f aca="false">IF(Hasil!$C$6&lt;2,0,IF($A42=T$29,INDEX($W$6:$W$25,$A42)*(INDEX($W$6:$W$25,$A42)-1),INDEX($W$6:$W$25,$A42)*INDEX($W$6:$W$25,T$29))/(Hasil!$C$6-1))</f>
        <v>0</v>
      </c>
      <c r="U42" s="30" t="n">
        <f aca="false">IF(Hasil!$C$6&lt;2,0,IF($A42=U$29,INDEX($W$6:$W$25,$A42)*(INDEX($W$6:$W$25,$A42)-1),INDEX($W$6:$W$25,$A42)*INDEX($W$6:$W$25,U$29))/(Hasil!$C$6-1))</f>
        <v>0</v>
      </c>
      <c r="V42" s="30" t="n">
        <f aca="false">IF(Hasil!$C$6&lt;2,0,IF($A42=V$29,INDEX($W$6:$W$25,$A42)*(INDEX($W$6:$W$25,$A42)-1),INDEX($W$6:$W$25,$A42)*INDEX($W$6:$W$25,V$29))/(Hasil!$C$6-1))</f>
        <v>0</v>
      </c>
    </row>
    <row r="43" customFormat="false" ht="15" hidden="false" customHeight="false" outlineLevel="0" collapsed="false">
      <c r="A43" s="29" t="n">
        <v>13</v>
      </c>
      <c r="B43" s="29" t="str">
        <f aca="false">IF(INDEX(Pengaturan!$B$8:$B$27,$A43)="","",INDEX(Pengaturan!$B$8:$B$27,$A43))</f>
        <v/>
      </c>
      <c r="C43" s="30" t="n">
        <f aca="false">IF(Hasil!$C$6&lt;2,0,IF($A43=C$29,INDEX($W$6:$W$25,$A43)*(INDEX($W$6:$W$25,$A43)-1),INDEX($W$6:$W$25,$A43)*INDEX($W$6:$W$25,C$29))/(Hasil!$C$6-1))</f>
        <v>0</v>
      </c>
      <c r="D43" s="30" t="n">
        <f aca="false">IF(Hasil!$C$6&lt;2,0,IF($A43=D$29,INDEX($W$6:$W$25,$A43)*(INDEX($W$6:$W$25,$A43)-1),INDEX($W$6:$W$25,$A43)*INDEX($W$6:$W$25,D$29))/(Hasil!$C$6-1))</f>
        <v>0</v>
      </c>
      <c r="E43" s="30" t="n">
        <f aca="false">IF(Hasil!$C$6&lt;2,0,IF($A43=E$29,INDEX($W$6:$W$25,$A43)*(INDEX($W$6:$W$25,$A43)-1),INDEX($W$6:$W$25,$A43)*INDEX($W$6:$W$25,E$29))/(Hasil!$C$6-1))</f>
        <v>0</v>
      </c>
      <c r="F43" s="30" t="n">
        <f aca="false">IF(Hasil!$C$6&lt;2,0,IF($A43=F$29,INDEX($W$6:$W$25,$A43)*(INDEX($W$6:$W$25,$A43)-1),INDEX($W$6:$W$25,$A43)*INDEX($W$6:$W$25,F$29))/(Hasil!$C$6-1))</f>
        <v>0</v>
      </c>
      <c r="G43" s="30" t="n">
        <f aca="false">IF(Hasil!$C$6&lt;2,0,IF($A43=G$29,INDEX($W$6:$W$25,$A43)*(INDEX($W$6:$W$25,$A43)-1),INDEX($W$6:$W$25,$A43)*INDEX($W$6:$W$25,G$29))/(Hasil!$C$6-1))</f>
        <v>0</v>
      </c>
      <c r="H43" s="30" t="n">
        <f aca="false">IF(Hasil!$C$6&lt;2,0,IF($A43=H$29,INDEX($W$6:$W$25,$A43)*(INDEX($W$6:$W$25,$A43)-1),INDEX($W$6:$W$25,$A43)*INDEX($W$6:$W$25,H$29))/(Hasil!$C$6-1))</f>
        <v>0</v>
      </c>
      <c r="I43" s="30" t="n">
        <f aca="false">IF(Hasil!$C$6&lt;2,0,IF($A43=I$29,INDEX($W$6:$W$25,$A43)*(INDEX($W$6:$W$25,$A43)-1),INDEX($W$6:$W$25,$A43)*INDEX($W$6:$W$25,I$29))/(Hasil!$C$6-1))</f>
        <v>0</v>
      </c>
      <c r="J43" s="30" t="n">
        <f aca="false">IF(Hasil!$C$6&lt;2,0,IF($A43=J$29,INDEX($W$6:$W$25,$A43)*(INDEX($W$6:$W$25,$A43)-1),INDEX($W$6:$W$25,$A43)*INDEX($W$6:$W$25,J$29))/(Hasil!$C$6-1))</f>
        <v>0</v>
      </c>
      <c r="K43" s="30" t="n">
        <f aca="false">IF(Hasil!$C$6&lt;2,0,IF($A43=K$29,INDEX($W$6:$W$25,$A43)*(INDEX($W$6:$W$25,$A43)-1),INDEX($W$6:$W$25,$A43)*INDEX($W$6:$W$25,K$29))/(Hasil!$C$6-1))</f>
        <v>0</v>
      </c>
      <c r="L43" s="30" t="n">
        <f aca="false">IF(Hasil!$C$6&lt;2,0,IF($A43=L$29,INDEX($W$6:$W$25,$A43)*(INDEX($W$6:$W$25,$A43)-1),INDEX($W$6:$W$25,$A43)*INDEX($W$6:$W$25,L$29))/(Hasil!$C$6-1))</f>
        <v>0</v>
      </c>
      <c r="M43" s="30" t="n">
        <f aca="false">IF(Hasil!$C$6&lt;2,0,IF($A43=M$29,INDEX($W$6:$W$25,$A43)*(INDEX($W$6:$W$25,$A43)-1),INDEX($W$6:$W$25,$A43)*INDEX($W$6:$W$25,M$29))/(Hasil!$C$6-1))</f>
        <v>0</v>
      </c>
      <c r="N43" s="30" t="n">
        <f aca="false">IF(Hasil!$C$6&lt;2,0,IF($A43=N$29,INDEX($W$6:$W$25,$A43)*(INDEX($W$6:$W$25,$A43)-1),INDEX($W$6:$W$25,$A43)*INDEX($W$6:$W$25,N$29))/(Hasil!$C$6-1))</f>
        <v>0</v>
      </c>
      <c r="O43" s="30" t="n">
        <f aca="false">IF(Hasil!$C$6&lt;2,0,IF($A43=O$29,INDEX($W$6:$W$25,$A43)*(INDEX($W$6:$W$25,$A43)-1),INDEX($W$6:$W$25,$A43)*INDEX($W$6:$W$25,O$29))/(Hasil!$C$6-1))</f>
        <v>-0</v>
      </c>
      <c r="P43" s="30" t="n">
        <f aca="false">IF(Hasil!$C$6&lt;2,0,IF($A43=P$29,INDEX($W$6:$W$25,$A43)*(INDEX($W$6:$W$25,$A43)-1),INDEX($W$6:$W$25,$A43)*INDEX($W$6:$W$25,P$29))/(Hasil!$C$6-1))</f>
        <v>0</v>
      </c>
      <c r="Q43" s="30" t="n">
        <f aca="false">IF(Hasil!$C$6&lt;2,0,IF($A43=Q$29,INDEX($W$6:$W$25,$A43)*(INDEX($W$6:$W$25,$A43)-1),INDEX($W$6:$W$25,$A43)*INDEX($W$6:$W$25,Q$29))/(Hasil!$C$6-1))</f>
        <v>0</v>
      </c>
      <c r="R43" s="30" t="n">
        <f aca="false">IF(Hasil!$C$6&lt;2,0,IF($A43=R$29,INDEX($W$6:$W$25,$A43)*(INDEX($W$6:$W$25,$A43)-1),INDEX($W$6:$W$25,$A43)*INDEX($W$6:$W$25,R$29))/(Hasil!$C$6-1))</f>
        <v>0</v>
      </c>
      <c r="S43" s="30" t="n">
        <f aca="false">IF(Hasil!$C$6&lt;2,0,IF($A43=S$29,INDEX($W$6:$W$25,$A43)*(INDEX($W$6:$W$25,$A43)-1),INDEX($W$6:$W$25,$A43)*INDEX($W$6:$W$25,S$29))/(Hasil!$C$6-1))</f>
        <v>0</v>
      </c>
      <c r="T43" s="30" t="n">
        <f aca="false">IF(Hasil!$C$6&lt;2,0,IF($A43=T$29,INDEX($W$6:$W$25,$A43)*(INDEX($W$6:$W$25,$A43)-1),INDEX($W$6:$W$25,$A43)*INDEX($W$6:$W$25,T$29))/(Hasil!$C$6-1))</f>
        <v>0</v>
      </c>
      <c r="U43" s="30" t="n">
        <f aca="false">IF(Hasil!$C$6&lt;2,0,IF($A43=U$29,INDEX($W$6:$W$25,$A43)*(INDEX($W$6:$W$25,$A43)-1),INDEX($W$6:$W$25,$A43)*INDEX($W$6:$W$25,U$29))/(Hasil!$C$6-1))</f>
        <v>0</v>
      </c>
      <c r="V43" s="30" t="n">
        <f aca="false">IF(Hasil!$C$6&lt;2,0,IF($A43=V$29,INDEX($W$6:$W$25,$A43)*(INDEX($W$6:$W$25,$A43)-1),INDEX($W$6:$W$25,$A43)*INDEX($W$6:$W$25,V$29))/(Hasil!$C$6-1))</f>
        <v>0</v>
      </c>
    </row>
    <row r="44" customFormat="false" ht="15" hidden="false" customHeight="false" outlineLevel="0" collapsed="false">
      <c r="A44" s="29" t="n">
        <v>14</v>
      </c>
      <c r="B44" s="29" t="str">
        <f aca="false">IF(INDEX(Pengaturan!$B$8:$B$27,$A44)="","",INDEX(Pengaturan!$B$8:$B$27,$A44))</f>
        <v/>
      </c>
      <c r="C44" s="30" t="n">
        <f aca="false">IF(Hasil!$C$6&lt;2,0,IF($A44=C$29,INDEX($W$6:$W$25,$A44)*(INDEX($W$6:$W$25,$A44)-1),INDEX($W$6:$W$25,$A44)*INDEX($W$6:$W$25,C$29))/(Hasil!$C$6-1))</f>
        <v>0</v>
      </c>
      <c r="D44" s="30" t="n">
        <f aca="false">IF(Hasil!$C$6&lt;2,0,IF($A44=D$29,INDEX($W$6:$W$25,$A44)*(INDEX($W$6:$W$25,$A44)-1),INDEX($W$6:$W$25,$A44)*INDEX($W$6:$W$25,D$29))/(Hasil!$C$6-1))</f>
        <v>0</v>
      </c>
      <c r="E44" s="30" t="n">
        <f aca="false">IF(Hasil!$C$6&lt;2,0,IF($A44=E$29,INDEX($W$6:$W$25,$A44)*(INDEX($W$6:$W$25,$A44)-1),INDEX($W$6:$W$25,$A44)*INDEX($W$6:$W$25,E$29))/(Hasil!$C$6-1))</f>
        <v>0</v>
      </c>
      <c r="F44" s="30" t="n">
        <f aca="false">IF(Hasil!$C$6&lt;2,0,IF($A44=F$29,INDEX($W$6:$W$25,$A44)*(INDEX($W$6:$W$25,$A44)-1),INDEX($W$6:$W$25,$A44)*INDEX($W$6:$W$25,F$29))/(Hasil!$C$6-1))</f>
        <v>0</v>
      </c>
      <c r="G44" s="30" t="n">
        <f aca="false">IF(Hasil!$C$6&lt;2,0,IF($A44=G$29,INDEX($W$6:$W$25,$A44)*(INDEX($W$6:$W$25,$A44)-1),INDEX($W$6:$W$25,$A44)*INDEX($W$6:$W$25,G$29))/(Hasil!$C$6-1))</f>
        <v>0</v>
      </c>
      <c r="H44" s="30" t="n">
        <f aca="false">IF(Hasil!$C$6&lt;2,0,IF($A44=H$29,INDEX($W$6:$W$25,$A44)*(INDEX($W$6:$W$25,$A44)-1),INDEX($W$6:$W$25,$A44)*INDEX($W$6:$W$25,H$29))/(Hasil!$C$6-1))</f>
        <v>0</v>
      </c>
      <c r="I44" s="30" t="n">
        <f aca="false">IF(Hasil!$C$6&lt;2,0,IF($A44=I$29,INDEX($W$6:$W$25,$A44)*(INDEX($W$6:$W$25,$A44)-1),INDEX($W$6:$W$25,$A44)*INDEX($W$6:$W$25,I$29))/(Hasil!$C$6-1))</f>
        <v>0</v>
      </c>
      <c r="J44" s="30" t="n">
        <f aca="false">IF(Hasil!$C$6&lt;2,0,IF($A44=J$29,INDEX($W$6:$W$25,$A44)*(INDEX($W$6:$W$25,$A44)-1),INDEX($W$6:$W$25,$A44)*INDEX($W$6:$W$25,J$29))/(Hasil!$C$6-1))</f>
        <v>0</v>
      </c>
      <c r="K44" s="30" t="n">
        <f aca="false">IF(Hasil!$C$6&lt;2,0,IF($A44=K$29,INDEX($W$6:$W$25,$A44)*(INDEX($W$6:$W$25,$A44)-1),INDEX($W$6:$W$25,$A44)*INDEX($W$6:$W$25,K$29))/(Hasil!$C$6-1))</f>
        <v>0</v>
      </c>
      <c r="L44" s="30" t="n">
        <f aca="false">IF(Hasil!$C$6&lt;2,0,IF($A44=L$29,INDEX($W$6:$W$25,$A44)*(INDEX($W$6:$W$25,$A44)-1),INDEX($W$6:$W$25,$A44)*INDEX($W$6:$W$25,L$29))/(Hasil!$C$6-1))</f>
        <v>0</v>
      </c>
      <c r="M44" s="30" t="n">
        <f aca="false">IF(Hasil!$C$6&lt;2,0,IF($A44=M$29,INDEX($W$6:$W$25,$A44)*(INDEX($W$6:$W$25,$A44)-1),INDEX($W$6:$W$25,$A44)*INDEX($W$6:$W$25,M$29))/(Hasil!$C$6-1))</f>
        <v>0</v>
      </c>
      <c r="N44" s="30" t="n">
        <f aca="false">IF(Hasil!$C$6&lt;2,0,IF($A44=N$29,INDEX($W$6:$W$25,$A44)*(INDEX($W$6:$W$25,$A44)-1),INDEX($W$6:$W$25,$A44)*INDEX($W$6:$W$25,N$29))/(Hasil!$C$6-1))</f>
        <v>0</v>
      </c>
      <c r="O44" s="30" t="n">
        <f aca="false">IF(Hasil!$C$6&lt;2,0,IF($A44=O$29,INDEX($W$6:$W$25,$A44)*(INDEX($W$6:$W$25,$A44)-1),INDEX($W$6:$W$25,$A44)*INDEX($W$6:$W$25,O$29))/(Hasil!$C$6-1))</f>
        <v>0</v>
      </c>
      <c r="P44" s="30" t="n">
        <f aca="false">IF(Hasil!$C$6&lt;2,0,IF($A44=P$29,INDEX($W$6:$W$25,$A44)*(INDEX($W$6:$W$25,$A44)-1),INDEX($W$6:$W$25,$A44)*INDEX($W$6:$W$25,P$29))/(Hasil!$C$6-1))</f>
        <v>-0</v>
      </c>
      <c r="Q44" s="30" t="n">
        <f aca="false">IF(Hasil!$C$6&lt;2,0,IF($A44=Q$29,INDEX($W$6:$W$25,$A44)*(INDEX($W$6:$W$25,$A44)-1),INDEX($W$6:$W$25,$A44)*INDEX($W$6:$W$25,Q$29))/(Hasil!$C$6-1))</f>
        <v>0</v>
      </c>
      <c r="R44" s="30" t="n">
        <f aca="false">IF(Hasil!$C$6&lt;2,0,IF($A44=R$29,INDEX($W$6:$W$25,$A44)*(INDEX($W$6:$W$25,$A44)-1),INDEX($W$6:$W$25,$A44)*INDEX($W$6:$W$25,R$29))/(Hasil!$C$6-1))</f>
        <v>0</v>
      </c>
      <c r="S44" s="30" t="n">
        <f aca="false">IF(Hasil!$C$6&lt;2,0,IF($A44=S$29,INDEX($W$6:$W$25,$A44)*(INDEX($W$6:$W$25,$A44)-1),INDEX($W$6:$W$25,$A44)*INDEX($W$6:$W$25,S$29))/(Hasil!$C$6-1))</f>
        <v>0</v>
      </c>
      <c r="T44" s="30" t="n">
        <f aca="false">IF(Hasil!$C$6&lt;2,0,IF($A44=T$29,INDEX($W$6:$W$25,$A44)*(INDEX($W$6:$W$25,$A44)-1),INDEX($W$6:$W$25,$A44)*INDEX($W$6:$W$25,T$29))/(Hasil!$C$6-1))</f>
        <v>0</v>
      </c>
      <c r="U44" s="30" t="n">
        <f aca="false">IF(Hasil!$C$6&lt;2,0,IF($A44=U$29,INDEX($W$6:$W$25,$A44)*(INDEX($W$6:$W$25,$A44)-1),INDEX($W$6:$W$25,$A44)*INDEX($W$6:$W$25,U$29))/(Hasil!$C$6-1))</f>
        <v>0</v>
      </c>
      <c r="V44" s="30" t="n">
        <f aca="false">IF(Hasil!$C$6&lt;2,0,IF($A44=V$29,INDEX($W$6:$W$25,$A44)*(INDEX($W$6:$W$25,$A44)-1),INDEX($W$6:$W$25,$A44)*INDEX($W$6:$W$25,V$29))/(Hasil!$C$6-1))</f>
        <v>0</v>
      </c>
    </row>
    <row r="45" customFormat="false" ht="15" hidden="false" customHeight="false" outlineLevel="0" collapsed="false">
      <c r="A45" s="29" t="n">
        <v>15</v>
      </c>
      <c r="B45" s="29" t="str">
        <f aca="false">IF(INDEX(Pengaturan!$B$8:$B$27,$A45)="","",INDEX(Pengaturan!$B$8:$B$27,$A45))</f>
        <v/>
      </c>
      <c r="C45" s="30" t="n">
        <f aca="false">IF(Hasil!$C$6&lt;2,0,IF($A45=C$29,INDEX($W$6:$W$25,$A45)*(INDEX($W$6:$W$25,$A45)-1),INDEX($W$6:$W$25,$A45)*INDEX($W$6:$W$25,C$29))/(Hasil!$C$6-1))</f>
        <v>0</v>
      </c>
      <c r="D45" s="30" t="n">
        <f aca="false">IF(Hasil!$C$6&lt;2,0,IF($A45=D$29,INDEX($W$6:$W$25,$A45)*(INDEX($W$6:$W$25,$A45)-1),INDEX($W$6:$W$25,$A45)*INDEX($W$6:$W$25,D$29))/(Hasil!$C$6-1))</f>
        <v>0</v>
      </c>
      <c r="E45" s="30" t="n">
        <f aca="false">IF(Hasil!$C$6&lt;2,0,IF($A45=E$29,INDEX($W$6:$W$25,$A45)*(INDEX($W$6:$W$25,$A45)-1),INDEX($W$6:$W$25,$A45)*INDEX($W$6:$W$25,E$29))/(Hasil!$C$6-1))</f>
        <v>0</v>
      </c>
      <c r="F45" s="30" t="n">
        <f aca="false">IF(Hasil!$C$6&lt;2,0,IF($A45=F$29,INDEX($W$6:$W$25,$A45)*(INDEX($W$6:$W$25,$A45)-1),INDEX($W$6:$W$25,$A45)*INDEX($W$6:$W$25,F$29))/(Hasil!$C$6-1))</f>
        <v>0</v>
      </c>
      <c r="G45" s="30" t="n">
        <f aca="false">IF(Hasil!$C$6&lt;2,0,IF($A45=G$29,INDEX($W$6:$W$25,$A45)*(INDEX($W$6:$W$25,$A45)-1),INDEX($W$6:$W$25,$A45)*INDEX($W$6:$W$25,G$29))/(Hasil!$C$6-1))</f>
        <v>0</v>
      </c>
      <c r="H45" s="30" t="n">
        <f aca="false">IF(Hasil!$C$6&lt;2,0,IF($A45=H$29,INDEX($W$6:$W$25,$A45)*(INDEX($W$6:$W$25,$A45)-1),INDEX($W$6:$W$25,$A45)*INDEX($W$6:$W$25,H$29))/(Hasil!$C$6-1))</f>
        <v>0</v>
      </c>
      <c r="I45" s="30" t="n">
        <f aca="false">IF(Hasil!$C$6&lt;2,0,IF($A45=I$29,INDEX($W$6:$W$25,$A45)*(INDEX($W$6:$W$25,$A45)-1),INDEX($W$6:$W$25,$A45)*INDEX($W$6:$W$25,I$29))/(Hasil!$C$6-1))</f>
        <v>0</v>
      </c>
      <c r="J45" s="30" t="n">
        <f aca="false">IF(Hasil!$C$6&lt;2,0,IF($A45=J$29,INDEX($W$6:$W$25,$A45)*(INDEX($W$6:$W$25,$A45)-1),INDEX($W$6:$W$25,$A45)*INDEX($W$6:$W$25,J$29))/(Hasil!$C$6-1))</f>
        <v>0</v>
      </c>
      <c r="K45" s="30" t="n">
        <f aca="false">IF(Hasil!$C$6&lt;2,0,IF($A45=K$29,INDEX($W$6:$W$25,$A45)*(INDEX($W$6:$W$25,$A45)-1),INDEX($W$6:$W$25,$A45)*INDEX($W$6:$W$25,K$29))/(Hasil!$C$6-1))</f>
        <v>0</v>
      </c>
      <c r="L45" s="30" t="n">
        <f aca="false">IF(Hasil!$C$6&lt;2,0,IF($A45=L$29,INDEX($W$6:$W$25,$A45)*(INDEX($W$6:$W$25,$A45)-1),INDEX($W$6:$W$25,$A45)*INDEX($W$6:$W$25,L$29))/(Hasil!$C$6-1))</f>
        <v>0</v>
      </c>
      <c r="M45" s="30" t="n">
        <f aca="false">IF(Hasil!$C$6&lt;2,0,IF($A45=M$29,INDEX($W$6:$W$25,$A45)*(INDEX($W$6:$W$25,$A45)-1),INDEX($W$6:$W$25,$A45)*INDEX($W$6:$W$25,M$29))/(Hasil!$C$6-1))</f>
        <v>0</v>
      </c>
      <c r="N45" s="30" t="n">
        <f aca="false">IF(Hasil!$C$6&lt;2,0,IF($A45=N$29,INDEX($W$6:$W$25,$A45)*(INDEX($W$6:$W$25,$A45)-1),INDEX($W$6:$W$25,$A45)*INDEX($W$6:$W$25,N$29))/(Hasil!$C$6-1))</f>
        <v>0</v>
      </c>
      <c r="O45" s="30" t="n">
        <f aca="false">IF(Hasil!$C$6&lt;2,0,IF($A45=O$29,INDEX($W$6:$W$25,$A45)*(INDEX($W$6:$W$25,$A45)-1),INDEX($W$6:$W$25,$A45)*INDEX($W$6:$W$25,O$29))/(Hasil!$C$6-1))</f>
        <v>0</v>
      </c>
      <c r="P45" s="30" t="n">
        <f aca="false">IF(Hasil!$C$6&lt;2,0,IF($A45=P$29,INDEX($W$6:$W$25,$A45)*(INDEX($W$6:$W$25,$A45)-1),INDEX($W$6:$W$25,$A45)*INDEX($W$6:$W$25,P$29))/(Hasil!$C$6-1))</f>
        <v>0</v>
      </c>
      <c r="Q45" s="30" t="n">
        <f aca="false">IF(Hasil!$C$6&lt;2,0,IF($A45=Q$29,INDEX($W$6:$W$25,$A45)*(INDEX($W$6:$W$25,$A45)-1),INDEX($W$6:$W$25,$A45)*INDEX($W$6:$W$25,Q$29))/(Hasil!$C$6-1))</f>
        <v>-0</v>
      </c>
      <c r="R45" s="30" t="n">
        <f aca="false">IF(Hasil!$C$6&lt;2,0,IF($A45=R$29,INDEX($W$6:$W$25,$A45)*(INDEX($W$6:$W$25,$A45)-1),INDEX($W$6:$W$25,$A45)*INDEX($W$6:$W$25,R$29))/(Hasil!$C$6-1))</f>
        <v>0</v>
      </c>
      <c r="S45" s="30" t="n">
        <f aca="false">IF(Hasil!$C$6&lt;2,0,IF($A45=S$29,INDEX($W$6:$W$25,$A45)*(INDEX($W$6:$W$25,$A45)-1),INDEX($W$6:$W$25,$A45)*INDEX($W$6:$W$25,S$29))/(Hasil!$C$6-1))</f>
        <v>0</v>
      </c>
      <c r="T45" s="30" t="n">
        <f aca="false">IF(Hasil!$C$6&lt;2,0,IF($A45=T$29,INDEX($W$6:$W$25,$A45)*(INDEX($W$6:$W$25,$A45)-1),INDEX($W$6:$W$25,$A45)*INDEX($W$6:$W$25,T$29))/(Hasil!$C$6-1))</f>
        <v>0</v>
      </c>
      <c r="U45" s="30" t="n">
        <f aca="false">IF(Hasil!$C$6&lt;2,0,IF($A45=U$29,INDEX($W$6:$W$25,$A45)*(INDEX($W$6:$W$25,$A45)-1),INDEX($W$6:$W$25,$A45)*INDEX($W$6:$W$25,U$29))/(Hasil!$C$6-1))</f>
        <v>0</v>
      </c>
      <c r="V45" s="30" t="n">
        <f aca="false">IF(Hasil!$C$6&lt;2,0,IF($A45=V$29,INDEX($W$6:$W$25,$A45)*(INDEX($W$6:$W$25,$A45)-1),INDEX($W$6:$W$25,$A45)*INDEX($W$6:$W$25,V$29))/(Hasil!$C$6-1))</f>
        <v>0</v>
      </c>
    </row>
    <row r="46" customFormat="false" ht="15" hidden="false" customHeight="false" outlineLevel="0" collapsed="false">
      <c r="A46" s="29" t="n">
        <v>16</v>
      </c>
      <c r="B46" s="29" t="str">
        <f aca="false">IF(INDEX(Pengaturan!$B$8:$B$27,$A46)="","",INDEX(Pengaturan!$B$8:$B$27,$A46))</f>
        <v/>
      </c>
      <c r="C46" s="30" t="n">
        <f aca="false">IF(Hasil!$C$6&lt;2,0,IF($A46=C$29,INDEX($W$6:$W$25,$A46)*(INDEX($W$6:$W$25,$A46)-1),INDEX($W$6:$W$25,$A46)*INDEX($W$6:$W$25,C$29))/(Hasil!$C$6-1))</f>
        <v>0</v>
      </c>
      <c r="D46" s="30" t="n">
        <f aca="false">IF(Hasil!$C$6&lt;2,0,IF($A46=D$29,INDEX($W$6:$W$25,$A46)*(INDEX($W$6:$W$25,$A46)-1),INDEX($W$6:$W$25,$A46)*INDEX($W$6:$W$25,D$29))/(Hasil!$C$6-1))</f>
        <v>0</v>
      </c>
      <c r="E46" s="30" t="n">
        <f aca="false">IF(Hasil!$C$6&lt;2,0,IF($A46=E$29,INDEX($W$6:$W$25,$A46)*(INDEX($W$6:$W$25,$A46)-1),INDEX($W$6:$W$25,$A46)*INDEX($W$6:$W$25,E$29))/(Hasil!$C$6-1))</f>
        <v>0</v>
      </c>
      <c r="F46" s="30" t="n">
        <f aca="false">IF(Hasil!$C$6&lt;2,0,IF($A46=F$29,INDEX($W$6:$W$25,$A46)*(INDEX($W$6:$W$25,$A46)-1),INDEX($W$6:$W$25,$A46)*INDEX($W$6:$W$25,F$29))/(Hasil!$C$6-1))</f>
        <v>0</v>
      </c>
      <c r="G46" s="30" t="n">
        <f aca="false">IF(Hasil!$C$6&lt;2,0,IF($A46=G$29,INDEX($W$6:$W$25,$A46)*(INDEX($W$6:$W$25,$A46)-1),INDEX($W$6:$W$25,$A46)*INDEX($W$6:$W$25,G$29))/(Hasil!$C$6-1))</f>
        <v>0</v>
      </c>
      <c r="H46" s="30" t="n">
        <f aca="false">IF(Hasil!$C$6&lt;2,0,IF($A46=H$29,INDEX($W$6:$W$25,$A46)*(INDEX($W$6:$W$25,$A46)-1),INDEX($W$6:$W$25,$A46)*INDEX($W$6:$W$25,H$29))/(Hasil!$C$6-1))</f>
        <v>0</v>
      </c>
      <c r="I46" s="30" t="n">
        <f aca="false">IF(Hasil!$C$6&lt;2,0,IF($A46=I$29,INDEX($W$6:$W$25,$A46)*(INDEX($W$6:$W$25,$A46)-1),INDEX($W$6:$W$25,$A46)*INDEX($W$6:$W$25,I$29))/(Hasil!$C$6-1))</f>
        <v>0</v>
      </c>
      <c r="J46" s="30" t="n">
        <f aca="false">IF(Hasil!$C$6&lt;2,0,IF($A46=J$29,INDEX($W$6:$W$25,$A46)*(INDEX($W$6:$W$25,$A46)-1),INDEX($W$6:$W$25,$A46)*INDEX($W$6:$W$25,J$29))/(Hasil!$C$6-1))</f>
        <v>0</v>
      </c>
      <c r="K46" s="30" t="n">
        <f aca="false">IF(Hasil!$C$6&lt;2,0,IF($A46=K$29,INDEX($W$6:$W$25,$A46)*(INDEX($W$6:$W$25,$A46)-1),INDEX($W$6:$W$25,$A46)*INDEX($W$6:$W$25,K$29))/(Hasil!$C$6-1))</f>
        <v>0</v>
      </c>
      <c r="L46" s="30" t="n">
        <f aca="false">IF(Hasil!$C$6&lt;2,0,IF($A46=L$29,INDEX($W$6:$W$25,$A46)*(INDEX($W$6:$W$25,$A46)-1),INDEX($W$6:$W$25,$A46)*INDEX($W$6:$W$25,L$29))/(Hasil!$C$6-1))</f>
        <v>0</v>
      </c>
      <c r="M46" s="30" t="n">
        <f aca="false">IF(Hasil!$C$6&lt;2,0,IF($A46=M$29,INDEX($W$6:$W$25,$A46)*(INDEX($W$6:$W$25,$A46)-1),INDEX($W$6:$W$25,$A46)*INDEX($W$6:$W$25,M$29))/(Hasil!$C$6-1))</f>
        <v>0</v>
      </c>
      <c r="N46" s="30" t="n">
        <f aca="false">IF(Hasil!$C$6&lt;2,0,IF($A46=N$29,INDEX($W$6:$W$25,$A46)*(INDEX($W$6:$W$25,$A46)-1),INDEX($W$6:$W$25,$A46)*INDEX($W$6:$W$25,N$29))/(Hasil!$C$6-1))</f>
        <v>0</v>
      </c>
      <c r="O46" s="30" t="n">
        <f aca="false">IF(Hasil!$C$6&lt;2,0,IF($A46=O$29,INDEX($W$6:$W$25,$A46)*(INDEX($W$6:$W$25,$A46)-1),INDEX($W$6:$W$25,$A46)*INDEX($W$6:$W$25,O$29))/(Hasil!$C$6-1))</f>
        <v>0</v>
      </c>
      <c r="P46" s="30" t="n">
        <f aca="false">IF(Hasil!$C$6&lt;2,0,IF($A46=P$29,INDEX($W$6:$W$25,$A46)*(INDEX($W$6:$W$25,$A46)-1),INDEX($W$6:$W$25,$A46)*INDEX($W$6:$W$25,P$29))/(Hasil!$C$6-1))</f>
        <v>0</v>
      </c>
      <c r="Q46" s="30" t="n">
        <f aca="false">IF(Hasil!$C$6&lt;2,0,IF($A46=Q$29,INDEX($W$6:$W$25,$A46)*(INDEX($W$6:$W$25,$A46)-1),INDEX($W$6:$W$25,$A46)*INDEX($W$6:$W$25,Q$29))/(Hasil!$C$6-1))</f>
        <v>0</v>
      </c>
      <c r="R46" s="30" t="n">
        <f aca="false">IF(Hasil!$C$6&lt;2,0,IF($A46=R$29,INDEX($W$6:$W$25,$A46)*(INDEX($W$6:$W$25,$A46)-1),INDEX($W$6:$W$25,$A46)*INDEX($W$6:$W$25,R$29))/(Hasil!$C$6-1))</f>
        <v>-0</v>
      </c>
      <c r="S46" s="30" t="n">
        <f aca="false">IF(Hasil!$C$6&lt;2,0,IF($A46=S$29,INDEX($W$6:$W$25,$A46)*(INDEX($W$6:$W$25,$A46)-1),INDEX($W$6:$W$25,$A46)*INDEX($W$6:$W$25,S$29))/(Hasil!$C$6-1))</f>
        <v>0</v>
      </c>
      <c r="T46" s="30" t="n">
        <f aca="false">IF(Hasil!$C$6&lt;2,0,IF($A46=T$29,INDEX($W$6:$W$25,$A46)*(INDEX($W$6:$W$25,$A46)-1),INDEX($W$6:$W$25,$A46)*INDEX($W$6:$W$25,T$29))/(Hasil!$C$6-1))</f>
        <v>0</v>
      </c>
      <c r="U46" s="30" t="n">
        <f aca="false">IF(Hasil!$C$6&lt;2,0,IF($A46=U$29,INDEX($W$6:$W$25,$A46)*(INDEX($W$6:$W$25,$A46)-1),INDEX($W$6:$W$25,$A46)*INDEX($W$6:$W$25,U$29))/(Hasil!$C$6-1))</f>
        <v>0</v>
      </c>
      <c r="V46" s="30" t="n">
        <f aca="false">IF(Hasil!$C$6&lt;2,0,IF($A46=V$29,INDEX($W$6:$W$25,$A46)*(INDEX($W$6:$W$25,$A46)-1),INDEX($W$6:$W$25,$A46)*INDEX($W$6:$W$25,V$29))/(Hasil!$C$6-1))</f>
        <v>0</v>
      </c>
    </row>
    <row r="47" customFormat="false" ht="15" hidden="false" customHeight="false" outlineLevel="0" collapsed="false">
      <c r="A47" s="29" t="n">
        <v>17</v>
      </c>
      <c r="B47" s="29" t="str">
        <f aca="false">IF(INDEX(Pengaturan!$B$8:$B$27,$A47)="","",INDEX(Pengaturan!$B$8:$B$27,$A47))</f>
        <v/>
      </c>
      <c r="C47" s="30" t="n">
        <f aca="false">IF(Hasil!$C$6&lt;2,0,IF($A47=C$29,INDEX($W$6:$W$25,$A47)*(INDEX($W$6:$W$25,$A47)-1),INDEX($W$6:$W$25,$A47)*INDEX($W$6:$W$25,C$29))/(Hasil!$C$6-1))</f>
        <v>0</v>
      </c>
      <c r="D47" s="30" t="n">
        <f aca="false">IF(Hasil!$C$6&lt;2,0,IF($A47=D$29,INDEX($W$6:$W$25,$A47)*(INDEX($W$6:$W$25,$A47)-1),INDEX($W$6:$W$25,$A47)*INDEX($W$6:$W$25,D$29))/(Hasil!$C$6-1))</f>
        <v>0</v>
      </c>
      <c r="E47" s="30" t="n">
        <f aca="false">IF(Hasil!$C$6&lt;2,0,IF($A47=E$29,INDEX($W$6:$W$25,$A47)*(INDEX($W$6:$W$25,$A47)-1),INDEX($W$6:$W$25,$A47)*INDEX($W$6:$W$25,E$29))/(Hasil!$C$6-1))</f>
        <v>0</v>
      </c>
      <c r="F47" s="30" t="n">
        <f aca="false">IF(Hasil!$C$6&lt;2,0,IF($A47=F$29,INDEX($W$6:$W$25,$A47)*(INDEX($W$6:$W$25,$A47)-1),INDEX($W$6:$W$25,$A47)*INDEX($W$6:$W$25,F$29))/(Hasil!$C$6-1))</f>
        <v>0</v>
      </c>
      <c r="G47" s="30" t="n">
        <f aca="false">IF(Hasil!$C$6&lt;2,0,IF($A47=G$29,INDEX($W$6:$W$25,$A47)*(INDEX($W$6:$W$25,$A47)-1),INDEX($W$6:$W$25,$A47)*INDEX($W$6:$W$25,G$29))/(Hasil!$C$6-1))</f>
        <v>0</v>
      </c>
      <c r="H47" s="30" t="n">
        <f aca="false">IF(Hasil!$C$6&lt;2,0,IF($A47=H$29,INDEX($W$6:$W$25,$A47)*(INDEX($W$6:$W$25,$A47)-1),INDEX($W$6:$W$25,$A47)*INDEX($W$6:$W$25,H$29))/(Hasil!$C$6-1))</f>
        <v>0</v>
      </c>
      <c r="I47" s="30" t="n">
        <f aca="false">IF(Hasil!$C$6&lt;2,0,IF($A47=I$29,INDEX($W$6:$W$25,$A47)*(INDEX($W$6:$W$25,$A47)-1),INDEX($W$6:$W$25,$A47)*INDEX($W$6:$W$25,I$29))/(Hasil!$C$6-1))</f>
        <v>0</v>
      </c>
      <c r="J47" s="30" t="n">
        <f aca="false">IF(Hasil!$C$6&lt;2,0,IF($A47=J$29,INDEX($W$6:$W$25,$A47)*(INDEX($W$6:$W$25,$A47)-1),INDEX($W$6:$W$25,$A47)*INDEX($W$6:$W$25,J$29))/(Hasil!$C$6-1))</f>
        <v>0</v>
      </c>
      <c r="K47" s="30" t="n">
        <f aca="false">IF(Hasil!$C$6&lt;2,0,IF($A47=K$29,INDEX($W$6:$W$25,$A47)*(INDEX($W$6:$W$25,$A47)-1),INDEX($W$6:$W$25,$A47)*INDEX($W$6:$W$25,K$29))/(Hasil!$C$6-1))</f>
        <v>0</v>
      </c>
      <c r="L47" s="30" t="n">
        <f aca="false">IF(Hasil!$C$6&lt;2,0,IF($A47=L$29,INDEX($W$6:$W$25,$A47)*(INDEX($W$6:$W$25,$A47)-1),INDEX($W$6:$W$25,$A47)*INDEX($W$6:$W$25,L$29))/(Hasil!$C$6-1))</f>
        <v>0</v>
      </c>
      <c r="M47" s="30" t="n">
        <f aca="false">IF(Hasil!$C$6&lt;2,0,IF($A47=M$29,INDEX($W$6:$W$25,$A47)*(INDEX($W$6:$W$25,$A47)-1),INDEX($W$6:$W$25,$A47)*INDEX($W$6:$W$25,M$29))/(Hasil!$C$6-1))</f>
        <v>0</v>
      </c>
      <c r="N47" s="30" t="n">
        <f aca="false">IF(Hasil!$C$6&lt;2,0,IF($A47=N$29,INDEX($W$6:$W$25,$A47)*(INDEX($W$6:$W$25,$A47)-1),INDEX($W$6:$W$25,$A47)*INDEX($W$6:$W$25,N$29))/(Hasil!$C$6-1))</f>
        <v>0</v>
      </c>
      <c r="O47" s="30" t="n">
        <f aca="false">IF(Hasil!$C$6&lt;2,0,IF($A47=O$29,INDEX($W$6:$W$25,$A47)*(INDEX($W$6:$W$25,$A47)-1),INDEX($W$6:$W$25,$A47)*INDEX($W$6:$W$25,O$29))/(Hasil!$C$6-1))</f>
        <v>0</v>
      </c>
      <c r="P47" s="30" t="n">
        <f aca="false">IF(Hasil!$C$6&lt;2,0,IF($A47=P$29,INDEX($W$6:$W$25,$A47)*(INDEX($W$6:$W$25,$A47)-1),INDEX($W$6:$W$25,$A47)*INDEX($W$6:$W$25,P$29))/(Hasil!$C$6-1))</f>
        <v>0</v>
      </c>
      <c r="Q47" s="30" t="n">
        <f aca="false">IF(Hasil!$C$6&lt;2,0,IF($A47=Q$29,INDEX($W$6:$W$25,$A47)*(INDEX($W$6:$W$25,$A47)-1),INDEX($W$6:$W$25,$A47)*INDEX($W$6:$W$25,Q$29))/(Hasil!$C$6-1))</f>
        <v>0</v>
      </c>
      <c r="R47" s="30" t="n">
        <f aca="false">IF(Hasil!$C$6&lt;2,0,IF($A47=R$29,INDEX($W$6:$W$25,$A47)*(INDEX($W$6:$W$25,$A47)-1),INDEX($W$6:$W$25,$A47)*INDEX($W$6:$W$25,R$29))/(Hasil!$C$6-1))</f>
        <v>0</v>
      </c>
      <c r="S47" s="30" t="n">
        <f aca="false">IF(Hasil!$C$6&lt;2,0,IF($A47=S$29,INDEX($W$6:$W$25,$A47)*(INDEX($W$6:$W$25,$A47)-1),INDEX($W$6:$W$25,$A47)*INDEX($W$6:$W$25,S$29))/(Hasil!$C$6-1))</f>
        <v>-0</v>
      </c>
      <c r="T47" s="30" t="n">
        <f aca="false">IF(Hasil!$C$6&lt;2,0,IF($A47=T$29,INDEX($W$6:$W$25,$A47)*(INDEX($W$6:$W$25,$A47)-1),INDEX($W$6:$W$25,$A47)*INDEX($W$6:$W$25,T$29))/(Hasil!$C$6-1))</f>
        <v>0</v>
      </c>
      <c r="U47" s="30" t="n">
        <f aca="false">IF(Hasil!$C$6&lt;2,0,IF($A47=U$29,INDEX($W$6:$W$25,$A47)*(INDEX($W$6:$W$25,$A47)-1),INDEX($W$6:$W$25,$A47)*INDEX($W$6:$W$25,U$29))/(Hasil!$C$6-1))</f>
        <v>0</v>
      </c>
      <c r="V47" s="30" t="n">
        <f aca="false">IF(Hasil!$C$6&lt;2,0,IF($A47=V$29,INDEX($W$6:$W$25,$A47)*(INDEX($W$6:$W$25,$A47)-1),INDEX($W$6:$W$25,$A47)*INDEX($W$6:$W$25,V$29))/(Hasil!$C$6-1))</f>
        <v>0</v>
      </c>
    </row>
    <row r="48" customFormat="false" ht="15" hidden="false" customHeight="false" outlineLevel="0" collapsed="false">
      <c r="A48" s="29" t="n">
        <v>18</v>
      </c>
      <c r="B48" s="29" t="str">
        <f aca="false">IF(INDEX(Pengaturan!$B$8:$B$27,$A48)="","",INDEX(Pengaturan!$B$8:$B$27,$A48))</f>
        <v/>
      </c>
      <c r="C48" s="30" t="n">
        <f aca="false">IF(Hasil!$C$6&lt;2,0,IF($A48=C$29,INDEX($W$6:$W$25,$A48)*(INDEX($W$6:$W$25,$A48)-1),INDEX($W$6:$W$25,$A48)*INDEX($W$6:$W$25,C$29))/(Hasil!$C$6-1))</f>
        <v>0</v>
      </c>
      <c r="D48" s="30" t="n">
        <f aca="false">IF(Hasil!$C$6&lt;2,0,IF($A48=D$29,INDEX($W$6:$W$25,$A48)*(INDEX($W$6:$W$25,$A48)-1),INDEX($W$6:$W$25,$A48)*INDEX($W$6:$W$25,D$29))/(Hasil!$C$6-1))</f>
        <v>0</v>
      </c>
      <c r="E48" s="30" t="n">
        <f aca="false">IF(Hasil!$C$6&lt;2,0,IF($A48=E$29,INDEX($W$6:$W$25,$A48)*(INDEX($W$6:$W$25,$A48)-1),INDEX($W$6:$W$25,$A48)*INDEX($W$6:$W$25,E$29))/(Hasil!$C$6-1))</f>
        <v>0</v>
      </c>
      <c r="F48" s="30" t="n">
        <f aca="false">IF(Hasil!$C$6&lt;2,0,IF($A48=F$29,INDEX($W$6:$W$25,$A48)*(INDEX($W$6:$W$25,$A48)-1),INDEX($W$6:$W$25,$A48)*INDEX($W$6:$W$25,F$29))/(Hasil!$C$6-1))</f>
        <v>0</v>
      </c>
      <c r="G48" s="30" t="n">
        <f aca="false">IF(Hasil!$C$6&lt;2,0,IF($A48=G$29,INDEX($W$6:$W$25,$A48)*(INDEX($W$6:$W$25,$A48)-1),INDEX($W$6:$W$25,$A48)*INDEX($W$6:$W$25,G$29))/(Hasil!$C$6-1))</f>
        <v>0</v>
      </c>
      <c r="H48" s="30" t="n">
        <f aca="false">IF(Hasil!$C$6&lt;2,0,IF($A48=H$29,INDEX($W$6:$W$25,$A48)*(INDEX($W$6:$W$25,$A48)-1),INDEX($W$6:$W$25,$A48)*INDEX($W$6:$W$25,H$29))/(Hasil!$C$6-1))</f>
        <v>0</v>
      </c>
      <c r="I48" s="30" t="n">
        <f aca="false">IF(Hasil!$C$6&lt;2,0,IF($A48=I$29,INDEX($W$6:$W$25,$A48)*(INDEX($W$6:$W$25,$A48)-1),INDEX($W$6:$W$25,$A48)*INDEX($W$6:$W$25,I$29))/(Hasil!$C$6-1))</f>
        <v>0</v>
      </c>
      <c r="J48" s="30" t="n">
        <f aca="false">IF(Hasil!$C$6&lt;2,0,IF($A48=J$29,INDEX($W$6:$W$25,$A48)*(INDEX($W$6:$W$25,$A48)-1),INDEX($W$6:$W$25,$A48)*INDEX($W$6:$W$25,J$29))/(Hasil!$C$6-1))</f>
        <v>0</v>
      </c>
      <c r="K48" s="30" t="n">
        <f aca="false">IF(Hasil!$C$6&lt;2,0,IF($A48=K$29,INDEX($W$6:$W$25,$A48)*(INDEX($W$6:$W$25,$A48)-1),INDEX($W$6:$W$25,$A48)*INDEX($W$6:$W$25,K$29))/(Hasil!$C$6-1))</f>
        <v>0</v>
      </c>
      <c r="L48" s="30" t="n">
        <f aca="false">IF(Hasil!$C$6&lt;2,0,IF($A48=L$29,INDEX($W$6:$W$25,$A48)*(INDEX($W$6:$W$25,$A48)-1),INDEX($W$6:$W$25,$A48)*INDEX($W$6:$W$25,L$29))/(Hasil!$C$6-1))</f>
        <v>0</v>
      </c>
      <c r="M48" s="30" t="n">
        <f aca="false">IF(Hasil!$C$6&lt;2,0,IF($A48=M$29,INDEX($W$6:$W$25,$A48)*(INDEX($W$6:$W$25,$A48)-1),INDEX($W$6:$W$25,$A48)*INDEX($W$6:$W$25,M$29))/(Hasil!$C$6-1))</f>
        <v>0</v>
      </c>
      <c r="N48" s="30" t="n">
        <f aca="false">IF(Hasil!$C$6&lt;2,0,IF($A48=N$29,INDEX($W$6:$W$25,$A48)*(INDEX($W$6:$W$25,$A48)-1),INDEX($W$6:$W$25,$A48)*INDEX($W$6:$W$25,N$29))/(Hasil!$C$6-1))</f>
        <v>0</v>
      </c>
      <c r="O48" s="30" t="n">
        <f aca="false">IF(Hasil!$C$6&lt;2,0,IF($A48=O$29,INDEX($W$6:$W$25,$A48)*(INDEX($W$6:$W$25,$A48)-1),INDEX($W$6:$W$25,$A48)*INDEX($W$6:$W$25,O$29))/(Hasil!$C$6-1))</f>
        <v>0</v>
      </c>
      <c r="P48" s="30" t="n">
        <f aca="false">IF(Hasil!$C$6&lt;2,0,IF($A48=P$29,INDEX($W$6:$W$25,$A48)*(INDEX($W$6:$W$25,$A48)-1),INDEX($W$6:$W$25,$A48)*INDEX($W$6:$W$25,P$29))/(Hasil!$C$6-1))</f>
        <v>0</v>
      </c>
      <c r="Q48" s="30" t="n">
        <f aca="false">IF(Hasil!$C$6&lt;2,0,IF($A48=Q$29,INDEX($W$6:$W$25,$A48)*(INDEX($W$6:$W$25,$A48)-1),INDEX($W$6:$W$25,$A48)*INDEX($W$6:$W$25,Q$29))/(Hasil!$C$6-1))</f>
        <v>0</v>
      </c>
      <c r="R48" s="30" t="n">
        <f aca="false">IF(Hasil!$C$6&lt;2,0,IF($A48=R$29,INDEX($W$6:$W$25,$A48)*(INDEX($W$6:$W$25,$A48)-1),INDEX($W$6:$W$25,$A48)*INDEX($W$6:$W$25,R$29))/(Hasil!$C$6-1))</f>
        <v>0</v>
      </c>
      <c r="S48" s="30" t="n">
        <f aca="false">IF(Hasil!$C$6&lt;2,0,IF($A48=S$29,INDEX($W$6:$W$25,$A48)*(INDEX($W$6:$W$25,$A48)-1),INDEX($W$6:$W$25,$A48)*INDEX($W$6:$W$25,S$29))/(Hasil!$C$6-1))</f>
        <v>0</v>
      </c>
      <c r="T48" s="30" t="n">
        <f aca="false">IF(Hasil!$C$6&lt;2,0,IF($A48=T$29,INDEX($W$6:$W$25,$A48)*(INDEX($W$6:$W$25,$A48)-1),INDEX($W$6:$W$25,$A48)*INDEX($W$6:$W$25,T$29))/(Hasil!$C$6-1))</f>
        <v>-0</v>
      </c>
      <c r="U48" s="30" t="n">
        <f aca="false">IF(Hasil!$C$6&lt;2,0,IF($A48=U$29,INDEX($W$6:$W$25,$A48)*(INDEX($W$6:$W$25,$A48)-1),INDEX($W$6:$W$25,$A48)*INDEX($W$6:$W$25,U$29))/(Hasil!$C$6-1))</f>
        <v>0</v>
      </c>
      <c r="V48" s="30" t="n">
        <f aca="false">IF(Hasil!$C$6&lt;2,0,IF($A48=V$29,INDEX($W$6:$W$25,$A48)*(INDEX($W$6:$W$25,$A48)-1),INDEX($W$6:$W$25,$A48)*INDEX($W$6:$W$25,V$29))/(Hasil!$C$6-1))</f>
        <v>0</v>
      </c>
    </row>
    <row r="49" customFormat="false" ht="15" hidden="false" customHeight="false" outlineLevel="0" collapsed="false">
      <c r="A49" s="29" t="n">
        <v>19</v>
      </c>
      <c r="B49" s="29" t="str">
        <f aca="false">IF(INDEX(Pengaturan!$B$8:$B$27,$A49)="","",INDEX(Pengaturan!$B$8:$B$27,$A49))</f>
        <v/>
      </c>
      <c r="C49" s="30" t="n">
        <f aca="false">IF(Hasil!$C$6&lt;2,0,IF($A49=C$29,INDEX($W$6:$W$25,$A49)*(INDEX($W$6:$W$25,$A49)-1),INDEX($W$6:$W$25,$A49)*INDEX($W$6:$W$25,C$29))/(Hasil!$C$6-1))</f>
        <v>0</v>
      </c>
      <c r="D49" s="30" t="n">
        <f aca="false">IF(Hasil!$C$6&lt;2,0,IF($A49=D$29,INDEX($W$6:$W$25,$A49)*(INDEX($W$6:$W$25,$A49)-1),INDEX($W$6:$W$25,$A49)*INDEX($W$6:$W$25,D$29))/(Hasil!$C$6-1))</f>
        <v>0</v>
      </c>
      <c r="E49" s="30" t="n">
        <f aca="false">IF(Hasil!$C$6&lt;2,0,IF($A49=E$29,INDEX($W$6:$W$25,$A49)*(INDEX($W$6:$W$25,$A49)-1),INDEX($W$6:$W$25,$A49)*INDEX($W$6:$W$25,E$29))/(Hasil!$C$6-1))</f>
        <v>0</v>
      </c>
      <c r="F49" s="30" t="n">
        <f aca="false">IF(Hasil!$C$6&lt;2,0,IF($A49=F$29,INDEX($W$6:$W$25,$A49)*(INDEX($W$6:$W$25,$A49)-1),INDEX($W$6:$W$25,$A49)*INDEX($W$6:$W$25,F$29))/(Hasil!$C$6-1))</f>
        <v>0</v>
      </c>
      <c r="G49" s="30" t="n">
        <f aca="false">IF(Hasil!$C$6&lt;2,0,IF($A49=G$29,INDEX($W$6:$W$25,$A49)*(INDEX($W$6:$W$25,$A49)-1),INDEX($W$6:$W$25,$A49)*INDEX($W$6:$W$25,G$29))/(Hasil!$C$6-1))</f>
        <v>0</v>
      </c>
      <c r="H49" s="30" t="n">
        <f aca="false">IF(Hasil!$C$6&lt;2,0,IF($A49=H$29,INDEX($W$6:$W$25,$A49)*(INDEX($W$6:$W$25,$A49)-1),INDEX($W$6:$W$25,$A49)*INDEX($W$6:$W$25,H$29))/(Hasil!$C$6-1))</f>
        <v>0</v>
      </c>
      <c r="I49" s="30" t="n">
        <f aca="false">IF(Hasil!$C$6&lt;2,0,IF($A49=I$29,INDEX($W$6:$W$25,$A49)*(INDEX($W$6:$W$25,$A49)-1),INDEX($W$6:$W$25,$A49)*INDEX($W$6:$W$25,I$29))/(Hasil!$C$6-1))</f>
        <v>0</v>
      </c>
      <c r="J49" s="30" t="n">
        <f aca="false">IF(Hasil!$C$6&lt;2,0,IF($A49=J$29,INDEX($W$6:$W$25,$A49)*(INDEX($W$6:$W$25,$A49)-1),INDEX($W$6:$W$25,$A49)*INDEX($W$6:$W$25,J$29))/(Hasil!$C$6-1))</f>
        <v>0</v>
      </c>
      <c r="K49" s="30" t="n">
        <f aca="false">IF(Hasil!$C$6&lt;2,0,IF($A49=K$29,INDEX($W$6:$W$25,$A49)*(INDEX($W$6:$W$25,$A49)-1),INDEX($W$6:$W$25,$A49)*INDEX($W$6:$W$25,K$29))/(Hasil!$C$6-1))</f>
        <v>0</v>
      </c>
      <c r="L49" s="30" t="n">
        <f aca="false">IF(Hasil!$C$6&lt;2,0,IF($A49=L$29,INDEX($W$6:$W$25,$A49)*(INDEX($W$6:$W$25,$A49)-1),INDEX($W$6:$W$25,$A49)*INDEX($W$6:$W$25,L$29))/(Hasil!$C$6-1))</f>
        <v>0</v>
      </c>
      <c r="M49" s="30" t="n">
        <f aca="false">IF(Hasil!$C$6&lt;2,0,IF($A49=M$29,INDEX($W$6:$W$25,$A49)*(INDEX($W$6:$W$25,$A49)-1),INDEX($W$6:$W$25,$A49)*INDEX($W$6:$W$25,M$29))/(Hasil!$C$6-1))</f>
        <v>0</v>
      </c>
      <c r="N49" s="30" t="n">
        <f aca="false">IF(Hasil!$C$6&lt;2,0,IF($A49=N$29,INDEX($W$6:$W$25,$A49)*(INDEX($W$6:$W$25,$A49)-1),INDEX($W$6:$W$25,$A49)*INDEX($W$6:$W$25,N$29))/(Hasil!$C$6-1))</f>
        <v>0</v>
      </c>
      <c r="O49" s="30" t="n">
        <f aca="false">IF(Hasil!$C$6&lt;2,0,IF($A49=O$29,INDEX($W$6:$W$25,$A49)*(INDEX($W$6:$W$25,$A49)-1),INDEX($W$6:$W$25,$A49)*INDEX($W$6:$W$25,O$29))/(Hasil!$C$6-1))</f>
        <v>0</v>
      </c>
      <c r="P49" s="30" t="n">
        <f aca="false">IF(Hasil!$C$6&lt;2,0,IF($A49=P$29,INDEX($W$6:$W$25,$A49)*(INDEX($W$6:$W$25,$A49)-1),INDEX($W$6:$W$25,$A49)*INDEX($W$6:$W$25,P$29))/(Hasil!$C$6-1))</f>
        <v>0</v>
      </c>
      <c r="Q49" s="30" t="n">
        <f aca="false">IF(Hasil!$C$6&lt;2,0,IF($A49=Q$29,INDEX($W$6:$W$25,$A49)*(INDEX($W$6:$W$25,$A49)-1),INDEX($W$6:$W$25,$A49)*INDEX($W$6:$W$25,Q$29))/(Hasil!$C$6-1))</f>
        <v>0</v>
      </c>
      <c r="R49" s="30" t="n">
        <f aca="false">IF(Hasil!$C$6&lt;2,0,IF($A49=R$29,INDEX($W$6:$W$25,$A49)*(INDEX($W$6:$W$25,$A49)-1),INDEX($W$6:$W$25,$A49)*INDEX($W$6:$W$25,R$29))/(Hasil!$C$6-1))</f>
        <v>0</v>
      </c>
      <c r="S49" s="30" t="n">
        <f aca="false">IF(Hasil!$C$6&lt;2,0,IF($A49=S$29,INDEX($W$6:$W$25,$A49)*(INDEX($W$6:$W$25,$A49)-1),INDEX($W$6:$W$25,$A49)*INDEX($W$6:$W$25,S$29))/(Hasil!$C$6-1))</f>
        <v>0</v>
      </c>
      <c r="T49" s="30" t="n">
        <f aca="false">IF(Hasil!$C$6&lt;2,0,IF($A49=T$29,INDEX($W$6:$W$25,$A49)*(INDEX($W$6:$W$25,$A49)-1),INDEX($W$6:$W$25,$A49)*INDEX($W$6:$W$25,T$29))/(Hasil!$C$6-1))</f>
        <v>0</v>
      </c>
      <c r="U49" s="30" t="n">
        <f aca="false">IF(Hasil!$C$6&lt;2,0,IF($A49=U$29,INDEX($W$6:$W$25,$A49)*(INDEX($W$6:$W$25,$A49)-1),INDEX($W$6:$W$25,$A49)*INDEX($W$6:$W$25,U$29))/(Hasil!$C$6-1))</f>
        <v>-0</v>
      </c>
      <c r="V49" s="30" t="n">
        <f aca="false">IF(Hasil!$C$6&lt;2,0,IF($A49=V$29,INDEX($W$6:$W$25,$A49)*(INDEX($W$6:$W$25,$A49)-1),INDEX($W$6:$W$25,$A49)*INDEX($W$6:$W$25,V$29))/(Hasil!$C$6-1))</f>
        <v>0</v>
      </c>
    </row>
    <row r="50" customFormat="false" ht="15" hidden="false" customHeight="false" outlineLevel="0" collapsed="false">
      <c r="A50" s="29" t="n">
        <v>20</v>
      </c>
      <c r="B50" s="29" t="str">
        <f aca="false">IF(INDEX(Pengaturan!$B$8:$B$27,$A50)="","",INDEX(Pengaturan!$B$8:$B$27,$A50))</f>
        <v/>
      </c>
      <c r="C50" s="30" t="n">
        <f aca="false">IF(Hasil!$C$6&lt;2,0,IF($A50=C$29,INDEX($W$6:$W$25,$A50)*(INDEX($W$6:$W$25,$A50)-1),INDEX($W$6:$W$25,$A50)*INDEX($W$6:$W$25,C$29))/(Hasil!$C$6-1))</f>
        <v>0</v>
      </c>
      <c r="D50" s="30" t="n">
        <f aca="false">IF(Hasil!$C$6&lt;2,0,IF($A50=D$29,INDEX($W$6:$W$25,$A50)*(INDEX($W$6:$W$25,$A50)-1),INDEX($W$6:$W$25,$A50)*INDEX($W$6:$W$25,D$29))/(Hasil!$C$6-1))</f>
        <v>0</v>
      </c>
      <c r="E50" s="30" t="n">
        <f aca="false">IF(Hasil!$C$6&lt;2,0,IF($A50=E$29,INDEX($W$6:$W$25,$A50)*(INDEX($W$6:$W$25,$A50)-1),INDEX($W$6:$W$25,$A50)*INDEX($W$6:$W$25,E$29))/(Hasil!$C$6-1))</f>
        <v>0</v>
      </c>
      <c r="F50" s="30" t="n">
        <f aca="false">IF(Hasil!$C$6&lt;2,0,IF($A50=F$29,INDEX($W$6:$W$25,$A50)*(INDEX($W$6:$W$25,$A50)-1),INDEX($W$6:$W$25,$A50)*INDEX($W$6:$W$25,F$29))/(Hasil!$C$6-1))</f>
        <v>0</v>
      </c>
      <c r="G50" s="30" t="n">
        <f aca="false">IF(Hasil!$C$6&lt;2,0,IF($A50=G$29,INDEX($W$6:$W$25,$A50)*(INDEX($W$6:$W$25,$A50)-1),INDEX($W$6:$W$25,$A50)*INDEX($W$6:$W$25,G$29))/(Hasil!$C$6-1))</f>
        <v>0</v>
      </c>
      <c r="H50" s="30" t="n">
        <f aca="false">IF(Hasil!$C$6&lt;2,0,IF($A50=H$29,INDEX($W$6:$W$25,$A50)*(INDEX($W$6:$W$25,$A50)-1),INDEX($W$6:$W$25,$A50)*INDEX($W$6:$W$25,H$29))/(Hasil!$C$6-1))</f>
        <v>0</v>
      </c>
      <c r="I50" s="30" t="n">
        <f aca="false">IF(Hasil!$C$6&lt;2,0,IF($A50=I$29,INDEX($W$6:$W$25,$A50)*(INDEX($W$6:$W$25,$A50)-1),INDEX($W$6:$W$25,$A50)*INDEX($W$6:$W$25,I$29))/(Hasil!$C$6-1))</f>
        <v>0</v>
      </c>
      <c r="J50" s="30" t="n">
        <f aca="false">IF(Hasil!$C$6&lt;2,0,IF($A50=J$29,INDEX($W$6:$W$25,$A50)*(INDEX($W$6:$W$25,$A50)-1),INDEX($W$6:$W$25,$A50)*INDEX($W$6:$W$25,J$29))/(Hasil!$C$6-1))</f>
        <v>0</v>
      </c>
      <c r="K50" s="30" t="n">
        <f aca="false">IF(Hasil!$C$6&lt;2,0,IF($A50=K$29,INDEX($W$6:$W$25,$A50)*(INDEX($W$6:$W$25,$A50)-1),INDEX($W$6:$W$25,$A50)*INDEX($W$6:$W$25,K$29))/(Hasil!$C$6-1))</f>
        <v>0</v>
      </c>
      <c r="L50" s="30" t="n">
        <f aca="false">IF(Hasil!$C$6&lt;2,0,IF($A50=L$29,INDEX($W$6:$W$25,$A50)*(INDEX($W$6:$W$25,$A50)-1),INDEX($W$6:$W$25,$A50)*INDEX($W$6:$W$25,L$29))/(Hasil!$C$6-1))</f>
        <v>0</v>
      </c>
      <c r="M50" s="30" t="n">
        <f aca="false">IF(Hasil!$C$6&lt;2,0,IF($A50=M$29,INDEX($W$6:$W$25,$A50)*(INDEX($W$6:$W$25,$A50)-1),INDEX($W$6:$W$25,$A50)*INDEX($W$6:$W$25,M$29))/(Hasil!$C$6-1))</f>
        <v>0</v>
      </c>
      <c r="N50" s="30" t="n">
        <f aca="false">IF(Hasil!$C$6&lt;2,0,IF($A50=N$29,INDEX($W$6:$W$25,$A50)*(INDEX($W$6:$W$25,$A50)-1),INDEX($W$6:$W$25,$A50)*INDEX($W$6:$W$25,N$29))/(Hasil!$C$6-1))</f>
        <v>0</v>
      </c>
      <c r="O50" s="30" t="n">
        <f aca="false">IF(Hasil!$C$6&lt;2,0,IF($A50=O$29,INDEX($W$6:$W$25,$A50)*(INDEX($W$6:$W$25,$A50)-1),INDEX($W$6:$W$25,$A50)*INDEX($W$6:$W$25,O$29))/(Hasil!$C$6-1))</f>
        <v>0</v>
      </c>
      <c r="P50" s="30" t="n">
        <f aca="false">IF(Hasil!$C$6&lt;2,0,IF($A50=P$29,INDEX($W$6:$W$25,$A50)*(INDEX($W$6:$W$25,$A50)-1),INDEX($W$6:$W$25,$A50)*INDEX($W$6:$W$25,P$29))/(Hasil!$C$6-1))</f>
        <v>0</v>
      </c>
      <c r="Q50" s="30" t="n">
        <f aca="false">IF(Hasil!$C$6&lt;2,0,IF($A50=Q$29,INDEX($W$6:$W$25,$A50)*(INDEX($W$6:$W$25,$A50)-1),INDEX($W$6:$W$25,$A50)*INDEX($W$6:$W$25,Q$29))/(Hasil!$C$6-1))</f>
        <v>0</v>
      </c>
      <c r="R50" s="30" t="n">
        <f aca="false">IF(Hasil!$C$6&lt;2,0,IF($A50=R$29,INDEX($W$6:$W$25,$A50)*(INDEX($W$6:$W$25,$A50)-1),INDEX($W$6:$W$25,$A50)*INDEX($W$6:$W$25,R$29))/(Hasil!$C$6-1))</f>
        <v>0</v>
      </c>
      <c r="S50" s="30" t="n">
        <f aca="false">IF(Hasil!$C$6&lt;2,0,IF($A50=S$29,INDEX($W$6:$W$25,$A50)*(INDEX($W$6:$W$25,$A50)-1),INDEX($W$6:$W$25,$A50)*INDEX($W$6:$W$25,S$29))/(Hasil!$C$6-1))</f>
        <v>0</v>
      </c>
      <c r="T50" s="30" t="n">
        <f aca="false">IF(Hasil!$C$6&lt;2,0,IF($A50=T$29,INDEX($W$6:$W$25,$A50)*(INDEX($W$6:$W$25,$A50)-1),INDEX($W$6:$W$25,$A50)*INDEX($W$6:$W$25,T$29))/(Hasil!$C$6-1))</f>
        <v>0</v>
      </c>
      <c r="U50" s="30" t="n">
        <f aca="false">IF(Hasil!$C$6&lt;2,0,IF($A50=U$29,INDEX($W$6:$W$25,$A50)*(INDEX($W$6:$W$25,$A50)-1),INDEX($W$6:$W$25,$A50)*INDEX($W$6:$W$25,U$29))/(Hasil!$C$6-1))</f>
        <v>0</v>
      </c>
      <c r="V50" s="30" t="n">
        <f aca="false">IF(Hasil!$C$6&lt;2,0,IF($A50=V$29,INDEX($W$6:$W$25,$A50)*(INDEX($W$6:$W$25,$A50)-1),INDEX($W$6:$W$25,$A50)*INDEX($W$6:$W$25,V$29))/(Hasil!$C$6-1))</f>
        <v>-0</v>
      </c>
    </row>
    <row r="53" customFormat="false" ht="15" hidden="false" customHeight="false" outlineLevel="0" collapsed="false">
      <c r="A53" s="8" t="s">
        <v>105</v>
      </c>
    </row>
    <row r="54" customFormat="false" ht="15" hidden="false" customHeight="false" outlineLevel="0" collapsed="false">
      <c r="B54" s="7" t="s">
        <v>99</v>
      </c>
      <c r="C54" s="25" t="n">
        <v>1</v>
      </c>
      <c r="D54" s="25" t="n">
        <v>2</v>
      </c>
      <c r="E54" s="25" t="n">
        <v>3</v>
      </c>
      <c r="F54" s="25" t="n">
        <v>4</v>
      </c>
      <c r="G54" s="25" t="n">
        <v>5</v>
      </c>
      <c r="H54" s="25" t="n">
        <v>6</v>
      </c>
      <c r="I54" s="25" t="n">
        <v>7</v>
      </c>
      <c r="J54" s="25" t="n">
        <v>8</v>
      </c>
      <c r="K54" s="25" t="n">
        <v>9</v>
      </c>
      <c r="L54" s="25" t="n">
        <v>10</v>
      </c>
      <c r="M54" s="25" t="n">
        <v>11</v>
      </c>
      <c r="N54" s="25" t="n">
        <v>12</v>
      </c>
      <c r="O54" s="25" t="n">
        <v>13</v>
      </c>
      <c r="P54" s="25" t="n">
        <v>14</v>
      </c>
      <c r="Q54" s="25" t="n">
        <v>15</v>
      </c>
      <c r="R54" s="25" t="n">
        <v>16</v>
      </c>
      <c r="S54" s="25" t="n">
        <v>17</v>
      </c>
      <c r="T54" s="25" t="n">
        <v>18</v>
      </c>
      <c r="U54" s="25" t="n">
        <v>19</v>
      </c>
      <c r="V54" s="25" t="n">
        <v>20</v>
      </c>
    </row>
    <row r="55" customFormat="false" ht="15" hidden="false" customHeight="false" outlineLevel="0" collapsed="false">
      <c r="A55" s="11" t="s">
        <v>100</v>
      </c>
      <c r="B55" s="11" t="s">
        <v>101</v>
      </c>
      <c r="C55" s="11" t="n">
        <f aca="false">IF(INDEX(Pengaturan!$B$8:$B$27,C$54)="","",INDEX(Pengaturan!$B$8:$B$27,C$54))</f>
        <v>1</v>
      </c>
      <c r="D55" s="11" t="n">
        <f aca="false">IF(INDEX(Pengaturan!$B$8:$B$27,D$54)="","",INDEX(Pengaturan!$B$8:$B$27,D$54))</f>
        <v>2</v>
      </c>
      <c r="E55" s="11" t="n">
        <f aca="false">IF(INDEX(Pengaturan!$B$8:$B$27,E$54)="","",INDEX(Pengaturan!$B$8:$B$27,E$54))</f>
        <v>3</v>
      </c>
      <c r="F55" s="11" t="n">
        <f aca="false">IF(INDEX(Pengaturan!$B$8:$B$27,F$54)="","",INDEX(Pengaturan!$B$8:$B$27,F$54))</f>
        <v>4</v>
      </c>
      <c r="G55" s="11" t="n">
        <f aca="false">IF(INDEX(Pengaturan!$B$8:$B$27,G$54)="","",INDEX(Pengaturan!$B$8:$B$27,G$54))</f>
        <v>5</v>
      </c>
      <c r="H55" s="11" t="str">
        <f aca="false">IF(INDEX(Pengaturan!$B$8:$B$27,H$54)="","",INDEX(Pengaturan!$B$8:$B$27,H$54))</f>
        <v/>
      </c>
      <c r="I55" s="11" t="str">
        <f aca="false">IF(INDEX(Pengaturan!$B$8:$B$27,I$54)="","",INDEX(Pengaturan!$B$8:$B$27,I$54))</f>
        <v/>
      </c>
      <c r="J55" s="11" t="str">
        <f aca="false">IF(INDEX(Pengaturan!$B$8:$B$27,J$54)="","",INDEX(Pengaturan!$B$8:$B$27,J$54))</f>
        <v/>
      </c>
      <c r="K55" s="11" t="str">
        <f aca="false">IF(INDEX(Pengaturan!$B$8:$B$27,K$54)="","",INDEX(Pengaturan!$B$8:$B$27,K$54))</f>
        <v/>
      </c>
      <c r="L55" s="11" t="str">
        <f aca="false">IF(INDEX(Pengaturan!$B$8:$B$27,L$54)="","",INDEX(Pengaturan!$B$8:$B$27,L$54))</f>
        <v/>
      </c>
      <c r="M55" s="11" t="str">
        <f aca="false">IF(INDEX(Pengaturan!$B$8:$B$27,M$54)="","",INDEX(Pengaturan!$B$8:$B$27,M$54))</f>
        <v/>
      </c>
      <c r="N55" s="11" t="str">
        <f aca="false">IF(INDEX(Pengaturan!$B$8:$B$27,N$54)="","",INDEX(Pengaturan!$B$8:$B$27,N$54))</f>
        <v/>
      </c>
      <c r="O55" s="11" t="str">
        <f aca="false">IF(INDEX(Pengaturan!$B$8:$B$27,O$54)="","",INDEX(Pengaturan!$B$8:$B$27,O$54))</f>
        <v/>
      </c>
      <c r="P55" s="11" t="str">
        <f aca="false">IF(INDEX(Pengaturan!$B$8:$B$27,P$54)="","",INDEX(Pengaturan!$B$8:$B$27,P$54))</f>
        <v/>
      </c>
      <c r="Q55" s="11" t="str">
        <f aca="false">IF(INDEX(Pengaturan!$B$8:$B$27,Q$54)="","",INDEX(Pengaturan!$B$8:$B$27,Q$54))</f>
        <v/>
      </c>
      <c r="R55" s="11" t="str">
        <f aca="false">IF(INDEX(Pengaturan!$B$8:$B$27,R$54)="","",INDEX(Pengaturan!$B$8:$B$27,R$54))</f>
        <v/>
      </c>
      <c r="S55" s="11" t="str">
        <f aca="false">IF(INDEX(Pengaturan!$B$8:$B$27,S$54)="","",INDEX(Pengaturan!$B$8:$B$27,S$54))</f>
        <v/>
      </c>
      <c r="T55" s="11" t="str">
        <f aca="false">IF(INDEX(Pengaturan!$B$8:$B$27,T$54)="","",INDEX(Pengaturan!$B$8:$B$27,T$54))</f>
        <v/>
      </c>
      <c r="U55" s="11" t="str">
        <f aca="false">IF(INDEX(Pengaturan!$B$8:$B$27,U$54)="","",INDEX(Pengaturan!$B$8:$B$27,U$54))</f>
        <v/>
      </c>
      <c r="V55" s="11" t="str">
        <f aca="false">IF(INDEX(Pengaturan!$B$8:$B$27,V$54)="","",INDEX(Pengaturan!$B$8:$B$27,V$54))</f>
        <v/>
      </c>
    </row>
    <row r="56" customFormat="false" ht="15" hidden="false" customHeight="false" outlineLevel="0" collapsed="false">
      <c r="A56" s="29" t="n">
        <v>1</v>
      </c>
      <c r="B56" s="29" t="n">
        <f aca="false">IF(INDEX(Pengaturan!$B$8:$B$27,$A56)="","",INDEX(Pengaturan!$B$8:$B$27,$A56))</f>
        <v>1</v>
      </c>
      <c r="C56" s="23" t="n">
        <f aca="false">IF($A56=C$54,0,1)</f>
        <v>0</v>
      </c>
      <c r="D56" s="23" t="n">
        <f aca="false">IF($A56=D$54,0,1)</f>
        <v>1</v>
      </c>
      <c r="E56" s="23" t="n">
        <f aca="false">IF($A56=E$54,0,1)</f>
        <v>1</v>
      </c>
      <c r="F56" s="23" t="n">
        <f aca="false">IF($A56=F$54,0,1)</f>
        <v>1</v>
      </c>
      <c r="G56" s="23" t="n">
        <f aca="false">IF($A56=G$54,0,1)</f>
        <v>1</v>
      </c>
      <c r="H56" s="23" t="n">
        <f aca="false">IF($A56=H$54,0,1)</f>
        <v>1</v>
      </c>
      <c r="I56" s="23" t="n">
        <f aca="false">IF($A56=I$54,0,1)</f>
        <v>1</v>
      </c>
      <c r="J56" s="23" t="n">
        <f aca="false">IF($A56=J$54,0,1)</f>
        <v>1</v>
      </c>
      <c r="K56" s="23" t="n">
        <f aca="false">IF($A56=K$54,0,1)</f>
        <v>1</v>
      </c>
      <c r="L56" s="23" t="n">
        <f aca="false">IF($A56=L$54,0,1)</f>
        <v>1</v>
      </c>
      <c r="M56" s="23" t="n">
        <f aca="false">IF($A56=M$54,0,1)</f>
        <v>1</v>
      </c>
      <c r="N56" s="23" t="n">
        <f aca="false">IF($A56=N$54,0,1)</f>
        <v>1</v>
      </c>
      <c r="O56" s="23" t="n">
        <f aca="false">IF($A56=O$54,0,1)</f>
        <v>1</v>
      </c>
      <c r="P56" s="23" t="n">
        <f aca="false">IF($A56=P$54,0,1)</f>
        <v>1</v>
      </c>
      <c r="Q56" s="23" t="n">
        <f aca="false">IF($A56=Q$54,0,1)</f>
        <v>1</v>
      </c>
      <c r="R56" s="23" t="n">
        <f aca="false">IF($A56=R$54,0,1)</f>
        <v>1</v>
      </c>
      <c r="S56" s="23" t="n">
        <f aca="false">IF($A56=S$54,0,1)</f>
        <v>1</v>
      </c>
      <c r="T56" s="23" t="n">
        <f aca="false">IF($A56=T$54,0,1)</f>
        <v>1</v>
      </c>
      <c r="U56" s="23" t="n">
        <f aca="false">IF($A56=U$54,0,1)</f>
        <v>1</v>
      </c>
      <c r="V56" s="23" t="n">
        <f aca="false">IF($A56=V$54,0,1)</f>
        <v>1</v>
      </c>
    </row>
    <row r="57" customFormat="false" ht="15" hidden="false" customHeight="false" outlineLevel="0" collapsed="false">
      <c r="A57" s="29" t="n">
        <v>2</v>
      </c>
      <c r="B57" s="29" t="n">
        <f aca="false">IF(INDEX(Pengaturan!$B$8:$B$27,$A57)="","",INDEX(Pengaturan!$B$8:$B$27,$A57))</f>
        <v>2</v>
      </c>
      <c r="C57" s="23" t="n">
        <f aca="false">IF($A57=C$54,0,1)</f>
        <v>1</v>
      </c>
      <c r="D57" s="23" t="n">
        <f aca="false">IF($A57=D$54,0,1)</f>
        <v>0</v>
      </c>
      <c r="E57" s="23" t="n">
        <f aca="false">IF($A57=E$54,0,1)</f>
        <v>1</v>
      </c>
      <c r="F57" s="23" t="n">
        <f aca="false">IF($A57=F$54,0,1)</f>
        <v>1</v>
      </c>
      <c r="G57" s="23" t="n">
        <f aca="false">IF($A57=G$54,0,1)</f>
        <v>1</v>
      </c>
      <c r="H57" s="23" t="n">
        <f aca="false">IF($A57=H$54,0,1)</f>
        <v>1</v>
      </c>
      <c r="I57" s="23" t="n">
        <f aca="false">IF($A57=I$54,0,1)</f>
        <v>1</v>
      </c>
      <c r="J57" s="23" t="n">
        <f aca="false">IF($A57=J$54,0,1)</f>
        <v>1</v>
      </c>
      <c r="K57" s="23" t="n">
        <f aca="false">IF($A57=K$54,0,1)</f>
        <v>1</v>
      </c>
      <c r="L57" s="23" t="n">
        <f aca="false">IF($A57=L$54,0,1)</f>
        <v>1</v>
      </c>
      <c r="M57" s="23" t="n">
        <f aca="false">IF($A57=M$54,0,1)</f>
        <v>1</v>
      </c>
      <c r="N57" s="23" t="n">
        <f aca="false">IF($A57=N$54,0,1)</f>
        <v>1</v>
      </c>
      <c r="O57" s="23" t="n">
        <f aca="false">IF($A57=O$54,0,1)</f>
        <v>1</v>
      </c>
      <c r="P57" s="23" t="n">
        <f aca="false">IF($A57=P$54,0,1)</f>
        <v>1</v>
      </c>
      <c r="Q57" s="23" t="n">
        <f aca="false">IF($A57=Q$54,0,1)</f>
        <v>1</v>
      </c>
      <c r="R57" s="23" t="n">
        <f aca="false">IF($A57=R$54,0,1)</f>
        <v>1</v>
      </c>
      <c r="S57" s="23" t="n">
        <f aca="false">IF($A57=S$54,0,1)</f>
        <v>1</v>
      </c>
      <c r="T57" s="23" t="n">
        <f aca="false">IF($A57=T$54,0,1)</f>
        <v>1</v>
      </c>
      <c r="U57" s="23" t="n">
        <f aca="false">IF($A57=U$54,0,1)</f>
        <v>1</v>
      </c>
      <c r="V57" s="23" t="n">
        <f aca="false">IF($A57=V$54,0,1)</f>
        <v>1</v>
      </c>
    </row>
    <row r="58" customFormat="false" ht="15" hidden="false" customHeight="false" outlineLevel="0" collapsed="false">
      <c r="A58" s="29" t="n">
        <v>3</v>
      </c>
      <c r="B58" s="29" t="n">
        <f aca="false">IF(INDEX(Pengaturan!$B$8:$B$27,$A58)="","",INDEX(Pengaturan!$B$8:$B$27,$A58))</f>
        <v>3</v>
      </c>
      <c r="C58" s="23" t="n">
        <f aca="false">IF($A58=C$54,0,1)</f>
        <v>1</v>
      </c>
      <c r="D58" s="23" t="n">
        <f aca="false">IF($A58=D$54,0,1)</f>
        <v>1</v>
      </c>
      <c r="E58" s="23" t="n">
        <f aca="false">IF($A58=E$54,0,1)</f>
        <v>0</v>
      </c>
      <c r="F58" s="23" t="n">
        <f aca="false">IF($A58=F$54,0,1)</f>
        <v>1</v>
      </c>
      <c r="G58" s="23" t="n">
        <f aca="false">IF($A58=G$54,0,1)</f>
        <v>1</v>
      </c>
      <c r="H58" s="23" t="n">
        <f aca="false">IF($A58=H$54,0,1)</f>
        <v>1</v>
      </c>
      <c r="I58" s="23" t="n">
        <f aca="false">IF($A58=I$54,0,1)</f>
        <v>1</v>
      </c>
      <c r="J58" s="23" t="n">
        <f aca="false">IF($A58=J$54,0,1)</f>
        <v>1</v>
      </c>
      <c r="K58" s="23" t="n">
        <f aca="false">IF($A58=K$54,0,1)</f>
        <v>1</v>
      </c>
      <c r="L58" s="23" t="n">
        <f aca="false">IF($A58=L$54,0,1)</f>
        <v>1</v>
      </c>
      <c r="M58" s="23" t="n">
        <f aca="false">IF($A58=M$54,0,1)</f>
        <v>1</v>
      </c>
      <c r="N58" s="23" t="n">
        <f aca="false">IF($A58=N$54,0,1)</f>
        <v>1</v>
      </c>
      <c r="O58" s="23" t="n">
        <f aca="false">IF($A58=O$54,0,1)</f>
        <v>1</v>
      </c>
      <c r="P58" s="23" t="n">
        <f aca="false">IF($A58=P$54,0,1)</f>
        <v>1</v>
      </c>
      <c r="Q58" s="23" t="n">
        <f aca="false">IF($A58=Q$54,0,1)</f>
        <v>1</v>
      </c>
      <c r="R58" s="23" t="n">
        <f aca="false">IF($A58=R$54,0,1)</f>
        <v>1</v>
      </c>
      <c r="S58" s="23" t="n">
        <f aca="false">IF($A58=S$54,0,1)</f>
        <v>1</v>
      </c>
      <c r="T58" s="23" t="n">
        <f aca="false">IF($A58=T$54,0,1)</f>
        <v>1</v>
      </c>
      <c r="U58" s="23" t="n">
        <f aca="false">IF($A58=U$54,0,1)</f>
        <v>1</v>
      </c>
      <c r="V58" s="23" t="n">
        <f aca="false">IF($A58=V$54,0,1)</f>
        <v>1</v>
      </c>
    </row>
    <row r="59" customFormat="false" ht="15" hidden="false" customHeight="false" outlineLevel="0" collapsed="false">
      <c r="A59" s="29" t="n">
        <v>4</v>
      </c>
      <c r="B59" s="29" t="n">
        <f aca="false">IF(INDEX(Pengaturan!$B$8:$B$27,$A59)="","",INDEX(Pengaturan!$B$8:$B$27,$A59))</f>
        <v>4</v>
      </c>
      <c r="C59" s="23" t="n">
        <f aca="false">IF($A59=C$54,0,1)</f>
        <v>1</v>
      </c>
      <c r="D59" s="23" t="n">
        <f aca="false">IF($A59=D$54,0,1)</f>
        <v>1</v>
      </c>
      <c r="E59" s="23" t="n">
        <f aca="false">IF($A59=E$54,0,1)</f>
        <v>1</v>
      </c>
      <c r="F59" s="23" t="n">
        <f aca="false">IF($A59=F$54,0,1)</f>
        <v>0</v>
      </c>
      <c r="G59" s="23" t="n">
        <f aca="false">IF($A59=G$54,0,1)</f>
        <v>1</v>
      </c>
      <c r="H59" s="23" t="n">
        <f aca="false">IF($A59=H$54,0,1)</f>
        <v>1</v>
      </c>
      <c r="I59" s="23" t="n">
        <f aca="false">IF($A59=I$54,0,1)</f>
        <v>1</v>
      </c>
      <c r="J59" s="23" t="n">
        <f aca="false">IF($A59=J$54,0,1)</f>
        <v>1</v>
      </c>
      <c r="K59" s="23" t="n">
        <f aca="false">IF($A59=K$54,0,1)</f>
        <v>1</v>
      </c>
      <c r="L59" s="23" t="n">
        <f aca="false">IF($A59=L$54,0,1)</f>
        <v>1</v>
      </c>
      <c r="M59" s="23" t="n">
        <f aca="false">IF($A59=M$54,0,1)</f>
        <v>1</v>
      </c>
      <c r="N59" s="23" t="n">
        <f aca="false">IF($A59=N$54,0,1)</f>
        <v>1</v>
      </c>
      <c r="O59" s="23" t="n">
        <f aca="false">IF($A59=O$54,0,1)</f>
        <v>1</v>
      </c>
      <c r="P59" s="23" t="n">
        <f aca="false">IF($A59=P$54,0,1)</f>
        <v>1</v>
      </c>
      <c r="Q59" s="23" t="n">
        <f aca="false">IF($A59=Q$54,0,1)</f>
        <v>1</v>
      </c>
      <c r="R59" s="23" t="n">
        <f aca="false">IF($A59=R$54,0,1)</f>
        <v>1</v>
      </c>
      <c r="S59" s="23" t="n">
        <f aca="false">IF($A59=S$54,0,1)</f>
        <v>1</v>
      </c>
      <c r="T59" s="23" t="n">
        <f aca="false">IF($A59=T$54,0,1)</f>
        <v>1</v>
      </c>
      <c r="U59" s="23" t="n">
        <f aca="false">IF($A59=U$54,0,1)</f>
        <v>1</v>
      </c>
      <c r="V59" s="23" t="n">
        <f aca="false">IF($A59=V$54,0,1)</f>
        <v>1</v>
      </c>
    </row>
    <row r="60" customFormat="false" ht="15" hidden="false" customHeight="false" outlineLevel="0" collapsed="false">
      <c r="A60" s="29" t="n">
        <v>5</v>
      </c>
      <c r="B60" s="29" t="n">
        <f aca="false">IF(INDEX(Pengaturan!$B$8:$B$27,$A60)="","",INDEX(Pengaturan!$B$8:$B$27,$A60))</f>
        <v>5</v>
      </c>
      <c r="C60" s="23" t="n">
        <f aca="false">IF($A60=C$54,0,1)</f>
        <v>1</v>
      </c>
      <c r="D60" s="23" t="n">
        <f aca="false">IF($A60=D$54,0,1)</f>
        <v>1</v>
      </c>
      <c r="E60" s="23" t="n">
        <f aca="false">IF($A60=E$54,0,1)</f>
        <v>1</v>
      </c>
      <c r="F60" s="23" t="n">
        <f aca="false">IF($A60=F$54,0,1)</f>
        <v>1</v>
      </c>
      <c r="G60" s="23" t="n">
        <f aca="false">IF($A60=G$54,0,1)</f>
        <v>0</v>
      </c>
      <c r="H60" s="23" t="n">
        <f aca="false">IF($A60=H$54,0,1)</f>
        <v>1</v>
      </c>
      <c r="I60" s="23" t="n">
        <f aca="false">IF($A60=I$54,0,1)</f>
        <v>1</v>
      </c>
      <c r="J60" s="23" t="n">
        <f aca="false">IF($A60=J$54,0,1)</f>
        <v>1</v>
      </c>
      <c r="K60" s="23" t="n">
        <f aca="false">IF($A60=K$54,0,1)</f>
        <v>1</v>
      </c>
      <c r="L60" s="23" t="n">
        <f aca="false">IF($A60=L$54,0,1)</f>
        <v>1</v>
      </c>
      <c r="M60" s="23" t="n">
        <f aca="false">IF($A60=M$54,0,1)</f>
        <v>1</v>
      </c>
      <c r="N60" s="23" t="n">
        <f aca="false">IF($A60=N$54,0,1)</f>
        <v>1</v>
      </c>
      <c r="O60" s="23" t="n">
        <f aca="false">IF($A60=O$54,0,1)</f>
        <v>1</v>
      </c>
      <c r="P60" s="23" t="n">
        <f aca="false">IF($A60=P$54,0,1)</f>
        <v>1</v>
      </c>
      <c r="Q60" s="23" t="n">
        <f aca="false">IF($A60=Q$54,0,1)</f>
        <v>1</v>
      </c>
      <c r="R60" s="23" t="n">
        <f aca="false">IF($A60=R$54,0,1)</f>
        <v>1</v>
      </c>
      <c r="S60" s="23" t="n">
        <f aca="false">IF($A60=S$54,0,1)</f>
        <v>1</v>
      </c>
      <c r="T60" s="23" t="n">
        <f aca="false">IF($A60=T$54,0,1)</f>
        <v>1</v>
      </c>
      <c r="U60" s="23" t="n">
        <f aca="false">IF($A60=U$54,0,1)</f>
        <v>1</v>
      </c>
      <c r="V60" s="23" t="n">
        <f aca="false">IF($A60=V$54,0,1)</f>
        <v>1</v>
      </c>
    </row>
    <row r="61" customFormat="false" ht="15" hidden="false" customHeight="false" outlineLevel="0" collapsed="false">
      <c r="A61" s="29" t="n">
        <v>6</v>
      </c>
      <c r="B61" s="29" t="str">
        <f aca="false">IF(INDEX(Pengaturan!$B$8:$B$27,$A61)="","",INDEX(Pengaturan!$B$8:$B$27,$A61))</f>
        <v/>
      </c>
      <c r="C61" s="23" t="n">
        <f aca="false">IF($A61=C$54,0,1)</f>
        <v>1</v>
      </c>
      <c r="D61" s="23" t="n">
        <f aca="false">IF($A61=D$54,0,1)</f>
        <v>1</v>
      </c>
      <c r="E61" s="23" t="n">
        <f aca="false">IF($A61=E$54,0,1)</f>
        <v>1</v>
      </c>
      <c r="F61" s="23" t="n">
        <f aca="false">IF($A61=F$54,0,1)</f>
        <v>1</v>
      </c>
      <c r="G61" s="23" t="n">
        <f aca="false">IF($A61=G$54,0,1)</f>
        <v>1</v>
      </c>
      <c r="H61" s="23" t="n">
        <f aca="false">IF($A61=H$54,0,1)</f>
        <v>0</v>
      </c>
      <c r="I61" s="23" t="n">
        <f aca="false">IF($A61=I$54,0,1)</f>
        <v>1</v>
      </c>
      <c r="J61" s="23" t="n">
        <f aca="false">IF($A61=J$54,0,1)</f>
        <v>1</v>
      </c>
      <c r="K61" s="23" t="n">
        <f aca="false">IF($A61=K$54,0,1)</f>
        <v>1</v>
      </c>
      <c r="L61" s="23" t="n">
        <f aca="false">IF($A61=L$54,0,1)</f>
        <v>1</v>
      </c>
      <c r="M61" s="23" t="n">
        <f aca="false">IF($A61=M$54,0,1)</f>
        <v>1</v>
      </c>
      <c r="N61" s="23" t="n">
        <f aca="false">IF($A61=N$54,0,1)</f>
        <v>1</v>
      </c>
      <c r="O61" s="23" t="n">
        <f aca="false">IF($A61=O$54,0,1)</f>
        <v>1</v>
      </c>
      <c r="P61" s="23" t="n">
        <f aca="false">IF($A61=P$54,0,1)</f>
        <v>1</v>
      </c>
      <c r="Q61" s="23" t="n">
        <f aca="false">IF($A61=Q$54,0,1)</f>
        <v>1</v>
      </c>
      <c r="R61" s="23" t="n">
        <f aca="false">IF($A61=R$54,0,1)</f>
        <v>1</v>
      </c>
      <c r="S61" s="23" t="n">
        <f aca="false">IF($A61=S$54,0,1)</f>
        <v>1</v>
      </c>
      <c r="T61" s="23" t="n">
        <f aca="false">IF($A61=T$54,0,1)</f>
        <v>1</v>
      </c>
      <c r="U61" s="23" t="n">
        <f aca="false">IF($A61=U$54,0,1)</f>
        <v>1</v>
      </c>
      <c r="V61" s="23" t="n">
        <f aca="false">IF($A61=V$54,0,1)</f>
        <v>1</v>
      </c>
    </row>
    <row r="62" customFormat="false" ht="15" hidden="false" customHeight="false" outlineLevel="0" collapsed="false">
      <c r="A62" s="29" t="n">
        <v>7</v>
      </c>
      <c r="B62" s="29" t="str">
        <f aca="false">IF(INDEX(Pengaturan!$B$8:$B$27,$A62)="","",INDEX(Pengaturan!$B$8:$B$27,$A62))</f>
        <v/>
      </c>
      <c r="C62" s="23" t="n">
        <f aca="false">IF($A62=C$54,0,1)</f>
        <v>1</v>
      </c>
      <c r="D62" s="23" t="n">
        <f aca="false">IF($A62=D$54,0,1)</f>
        <v>1</v>
      </c>
      <c r="E62" s="23" t="n">
        <f aca="false">IF($A62=E$54,0,1)</f>
        <v>1</v>
      </c>
      <c r="F62" s="23" t="n">
        <f aca="false">IF($A62=F$54,0,1)</f>
        <v>1</v>
      </c>
      <c r="G62" s="23" t="n">
        <f aca="false">IF($A62=G$54,0,1)</f>
        <v>1</v>
      </c>
      <c r="H62" s="23" t="n">
        <f aca="false">IF($A62=H$54,0,1)</f>
        <v>1</v>
      </c>
      <c r="I62" s="23" t="n">
        <f aca="false">IF($A62=I$54,0,1)</f>
        <v>0</v>
      </c>
      <c r="J62" s="23" t="n">
        <f aca="false">IF($A62=J$54,0,1)</f>
        <v>1</v>
      </c>
      <c r="K62" s="23" t="n">
        <f aca="false">IF($A62=K$54,0,1)</f>
        <v>1</v>
      </c>
      <c r="L62" s="23" t="n">
        <f aca="false">IF($A62=L$54,0,1)</f>
        <v>1</v>
      </c>
      <c r="M62" s="23" t="n">
        <f aca="false">IF($A62=M$54,0,1)</f>
        <v>1</v>
      </c>
      <c r="N62" s="23" t="n">
        <f aca="false">IF($A62=N$54,0,1)</f>
        <v>1</v>
      </c>
      <c r="O62" s="23" t="n">
        <f aca="false">IF($A62=O$54,0,1)</f>
        <v>1</v>
      </c>
      <c r="P62" s="23" t="n">
        <f aca="false">IF($A62=P$54,0,1)</f>
        <v>1</v>
      </c>
      <c r="Q62" s="23" t="n">
        <f aca="false">IF($A62=Q$54,0,1)</f>
        <v>1</v>
      </c>
      <c r="R62" s="23" t="n">
        <f aca="false">IF($A62=R$54,0,1)</f>
        <v>1</v>
      </c>
      <c r="S62" s="23" t="n">
        <f aca="false">IF($A62=S$54,0,1)</f>
        <v>1</v>
      </c>
      <c r="T62" s="23" t="n">
        <f aca="false">IF($A62=T$54,0,1)</f>
        <v>1</v>
      </c>
      <c r="U62" s="23" t="n">
        <f aca="false">IF($A62=U$54,0,1)</f>
        <v>1</v>
      </c>
      <c r="V62" s="23" t="n">
        <f aca="false">IF($A62=V$54,0,1)</f>
        <v>1</v>
      </c>
    </row>
    <row r="63" customFormat="false" ht="15" hidden="false" customHeight="false" outlineLevel="0" collapsed="false">
      <c r="A63" s="29" t="n">
        <v>8</v>
      </c>
      <c r="B63" s="29" t="str">
        <f aca="false">IF(INDEX(Pengaturan!$B$8:$B$27,$A63)="","",INDEX(Pengaturan!$B$8:$B$27,$A63))</f>
        <v/>
      </c>
      <c r="C63" s="23" t="n">
        <f aca="false">IF($A63=C$54,0,1)</f>
        <v>1</v>
      </c>
      <c r="D63" s="23" t="n">
        <f aca="false">IF($A63=D$54,0,1)</f>
        <v>1</v>
      </c>
      <c r="E63" s="23" t="n">
        <f aca="false">IF($A63=E$54,0,1)</f>
        <v>1</v>
      </c>
      <c r="F63" s="23" t="n">
        <f aca="false">IF($A63=F$54,0,1)</f>
        <v>1</v>
      </c>
      <c r="G63" s="23" t="n">
        <f aca="false">IF($A63=G$54,0,1)</f>
        <v>1</v>
      </c>
      <c r="H63" s="23" t="n">
        <f aca="false">IF($A63=H$54,0,1)</f>
        <v>1</v>
      </c>
      <c r="I63" s="23" t="n">
        <f aca="false">IF($A63=I$54,0,1)</f>
        <v>1</v>
      </c>
      <c r="J63" s="23" t="n">
        <f aca="false">IF($A63=J$54,0,1)</f>
        <v>0</v>
      </c>
      <c r="K63" s="23" t="n">
        <f aca="false">IF($A63=K$54,0,1)</f>
        <v>1</v>
      </c>
      <c r="L63" s="23" t="n">
        <f aca="false">IF($A63=L$54,0,1)</f>
        <v>1</v>
      </c>
      <c r="M63" s="23" t="n">
        <f aca="false">IF($A63=M$54,0,1)</f>
        <v>1</v>
      </c>
      <c r="N63" s="23" t="n">
        <f aca="false">IF($A63=N$54,0,1)</f>
        <v>1</v>
      </c>
      <c r="O63" s="23" t="n">
        <f aca="false">IF($A63=O$54,0,1)</f>
        <v>1</v>
      </c>
      <c r="P63" s="23" t="n">
        <f aca="false">IF($A63=P$54,0,1)</f>
        <v>1</v>
      </c>
      <c r="Q63" s="23" t="n">
        <f aca="false">IF($A63=Q$54,0,1)</f>
        <v>1</v>
      </c>
      <c r="R63" s="23" t="n">
        <f aca="false">IF($A63=R$54,0,1)</f>
        <v>1</v>
      </c>
      <c r="S63" s="23" t="n">
        <f aca="false">IF($A63=S$54,0,1)</f>
        <v>1</v>
      </c>
      <c r="T63" s="23" t="n">
        <f aca="false">IF($A63=T$54,0,1)</f>
        <v>1</v>
      </c>
      <c r="U63" s="23" t="n">
        <f aca="false">IF($A63=U$54,0,1)</f>
        <v>1</v>
      </c>
      <c r="V63" s="23" t="n">
        <f aca="false">IF($A63=V$54,0,1)</f>
        <v>1</v>
      </c>
    </row>
    <row r="64" customFormat="false" ht="15" hidden="false" customHeight="false" outlineLevel="0" collapsed="false">
      <c r="A64" s="29" t="n">
        <v>9</v>
      </c>
      <c r="B64" s="29" t="str">
        <f aca="false">IF(INDEX(Pengaturan!$B$8:$B$27,$A64)="","",INDEX(Pengaturan!$B$8:$B$27,$A64))</f>
        <v/>
      </c>
      <c r="C64" s="23" t="n">
        <f aca="false">IF($A64=C$54,0,1)</f>
        <v>1</v>
      </c>
      <c r="D64" s="23" t="n">
        <f aca="false">IF($A64=D$54,0,1)</f>
        <v>1</v>
      </c>
      <c r="E64" s="23" t="n">
        <f aca="false">IF($A64=E$54,0,1)</f>
        <v>1</v>
      </c>
      <c r="F64" s="23" t="n">
        <f aca="false">IF($A64=F$54,0,1)</f>
        <v>1</v>
      </c>
      <c r="G64" s="23" t="n">
        <f aca="false">IF($A64=G$54,0,1)</f>
        <v>1</v>
      </c>
      <c r="H64" s="23" t="n">
        <f aca="false">IF($A64=H$54,0,1)</f>
        <v>1</v>
      </c>
      <c r="I64" s="23" t="n">
        <f aca="false">IF($A64=I$54,0,1)</f>
        <v>1</v>
      </c>
      <c r="J64" s="23" t="n">
        <f aca="false">IF($A64=J$54,0,1)</f>
        <v>1</v>
      </c>
      <c r="K64" s="23" t="n">
        <f aca="false">IF($A64=K$54,0,1)</f>
        <v>0</v>
      </c>
      <c r="L64" s="23" t="n">
        <f aca="false">IF($A64=L$54,0,1)</f>
        <v>1</v>
      </c>
      <c r="M64" s="23" t="n">
        <f aca="false">IF($A64=M$54,0,1)</f>
        <v>1</v>
      </c>
      <c r="N64" s="23" t="n">
        <f aca="false">IF($A64=N$54,0,1)</f>
        <v>1</v>
      </c>
      <c r="O64" s="23" t="n">
        <f aca="false">IF($A64=O$54,0,1)</f>
        <v>1</v>
      </c>
      <c r="P64" s="23" t="n">
        <f aca="false">IF($A64=P$54,0,1)</f>
        <v>1</v>
      </c>
      <c r="Q64" s="23" t="n">
        <f aca="false">IF($A64=Q$54,0,1)</f>
        <v>1</v>
      </c>
      <c r="R64" s="23" t="n">
        <f aca="false">IF($A64=R$54,0,1)</f>
        <v>1</v>
      </c>
      <c r="S64" s="23" t="n">
        <f aca="false">IF($A64=S$54,0,1)</f>
        <v>1</v>
      </c>
      <c r="T64" s="23" t="n">
        <f aca="false">IF($A64=T$54,0,1)</f>
        <v>1</v>
      </c>
      <c r="U64" s="23" t="n">
        <f aca="false">IF($A64=U$54,0,1)</f>
        <v>1</v>
      </c>
      <c r="V64" s="23" t="n">
        <f aca="false">IF($A64=V$54,0,1)</f>
        <v>1</v>
      </c>
    </row>
    <row r="65" customFormat="false" ht="15" hidden="false" customHeight="false" outlineLevel="0" collapsed="false">
      <c r="A65" s="29" t="n">
        <v>10</v>
      </c>
      <c r="B65" s="29" t="str">
        <f aca="false">IF(INDEX(Pengaturan!$B$8:$B$27,$A65)="","",INDEX(Pengaturan!$B$8:$B$27,$A65))</f>
        <v/>
      </c>
      <c r="C65" s="23" t="n">
        <f aca="false">IF($A65=C$54,0,1)</f>
        <v>1</v>
      </c>
      <c r="D65" s="23" t="n">
        <f aca="false">IF($A65=D$54,0,1)</f>
        <v>1</v>
      </c>
      <c r="E65" s="23" t="n">
        <f aca="false">IF($A65=E$54,0,1)</f>
        <v>1</v>
      </c>
      <c r="F65" s="23" t="n">
        <f aca="false">IF($A65=F$54,0,1)</f>
        <v>1</v>
      </c>
      <c r="G65" s="23" t="n">
        <f aca="false">IF($A65=G$54,0,1)</f>
        <v>1</v>
      </c>
      <c r="H65" s="23" t="n">
        <f aca="false">IF($A65=H$54,0,1)</f>
        <v>1</v>
      </c>
      <c r="I65" s="23" t="n">
        <f aca="false">IF($A65=I$54,0,1)</f>
        <v>1</v>
      </c>
      <c r="J65" s="23" t="n">
        <f aca="false">IF($A65=J$54,0,1)</f>
        <v>1</v>
      </c>
      <c r="K65" s="23" t="n">
        <f aca="false">IF($A65=K$54,0,1)</f>
        <v>1</v>
      </c>
      <c r="L65" s="23" t="n">
        <f aca="false">IF($A65=L$54,0,1)</f>
        <v>0</v>
      </c>
      <c r="M65" s="23" t="n">
        <f aca="false">IF($A65=M$54,0,1)</f>
        <v>1</v>
      </c>
      <c r="N65" s="23" t="n">
        <f aca="false">IF($A65=N$54,0,1)</f>
        <v>1</v>
      </c>
      <c r="O65" s="23" t="n">
        <f aca="false">IF($A65=O$54,0,1)</f>
        <v>1</v>
      </c>
      <c r="P65" s="23" t="n">
        <f aca="false">IF($A65=P$54,0,1)</f>
        <v>1</v>
      </c>
      <c r="Q65" s="23" t="n">
        <f aca="false">IF($A65=Q$54,0,1)</f>
        <v>1</v>
      </c>
      <c r="R65" s="23" t="n">
        <f aca="false">IF($A65=R$54,0,1)</f>
        <v>1</v>
      </c>
      <c r="S65" s="23" t="n">
        <f aca="false">IF($A65=S$54,0,1)</f>
        <v>1</v>
      </c>
      <c r="T65" s="23" t="n">
        <f aca="false">IF($A65=T$54,0,1)</f>
        <v>1</v>
      </c>
      <c r="U65" s="23" t="n">
        <f aca="false">IF($A65=U$54,0,1)</f>
        <v>1</v>
      </c>
      <c r="V65" s="23" t="n">
        <f aca="false">IF($A65=V$54,0,1)</f>
        <v>1</v>
      </c>
    </row>
    <row r="66" customFormat="false" ht="15" hidden="false" customHeight="false" outlineLevel="0" collapsed="false">
      <c r="A66" s="29" t="n">
        <v>11</v>
      </c>
      <c r="B66" s="29" t="str">
        <f aca="false">IF(INDEX(Pengaturan!$B$8:$B$27,$A66)="","",INDEX(Pengaturan!$B$8:$B$27,$A66))</f>
        <v/>
      </c>
      <c r="C66" s="23" t="n">
        <f aca="false">IF($A66=C$54,0,1)</f>
        <v>1</v>
      </c>
      <c r="D66" s="23" t="n">
        <f aca="false">IF($A66=D$54,0,1)</f>
        <v>1</v>
      </c>
      <c r="E66" s="23" t="n">
        <f aca="false">IF($A66=E$54,0,1)</f>
        <v>1</v>
      </c>
      <c r="F66" s="23" t="n">
        <f aca="false">IF($A66=F$54,0,1)</f>
        <v>1</v>
      </c>
      <c r="G66" s="23" t="n">
        <f aca="false">IF($A66=G$54,0,1)</f>
        <v>1</v>
      </c>
      <c r="H66" s="23" t="n">
        <f aca="false">IF($A66=H$54,0,1)</f>
        <v>1</v>
      </c>
      <c r="I66" s="23" t="n">
        <f aca="false">IF($A66=I$54,0,1)</f>
        <v>1</v>
      </c>
      <c r="J66" s="23" t="n">
        <f aca="false">IF($A66=J$54,0,1)</f>
        <v>1</v>
      </c>
      <c r="K66" s="23" t="n">
        <f aca="false">IF($A66=K$54,0,1)</f>
        <v>1</v>
      </c>
      <c r="L66" s="23" t="n">
        <f aca="false">IF($A66=L$54,0,1)</f>
        <v>1</v>
      </c>
      <c r="M66" s="23" t="n">
        <f aca="false">IF($A66=M$54,0,1)</f>
        <v>0</v>
      </c>
      <c r="N66" s="23" t="n">
        <f aca="false">IF($A66=N$54,0,1)</f>
        <v>1</v>
      </c>
      <c r="O66" s="23" t="n">
        <f aca="false">IF($A66=O$54,0,1)</f>
        <v>1</v>
      </c>
      <c r="P66" s="23" t="n">
        <f aca="false">IF($A66=P$54,0,1)</f>
        <v>1</v>
      </c>
      <c r="Q66" s="23" t="n">
        <f aca="false">IF($A66=Q$54,0,1)</f>
        <v>1</v>
      </c>
      <c r="R66" s="23" t="n">
        <f aca="false">IF($A66=R$54,0,1)</f>
        <v>1</v>
      </c>
      <c r="S66" s="23" t="n">
        <f aca="false">IF($A66=S$54,0,1)</f>
        <v>1</v>
      </c>
      <c r="T66" s="23" t="n">
        <f aca="false">IF($A66=T$54,0,1)</f>
        <v>1</v>
      </c>
      <c r="U66" s="23" t="n">
        <f aca="false">IF($A66=U$54,0,1)</f>
        <v>1</v>
      </c>
      <c r="V66" s="23" t="n">
        <f aca="false">IF($A66=V$54,0,1)</f>
        <v>1</v>
      </c>
    </row>
    <row r="67" customFormat="false" ht="15" hidden="false" customHeight="false" outlineLevel="0" collapsed="false">
      <c r="A67" s="29" t="n">
        <v>12</v>
      </c>
      <c r="B67" s="29" t="str">
        <f aca="false">IF(INDEX(Pengaturan!$B$8:$B$27,$A67)="","",INDEX(Pengaturan!$B$8:$B$27,$A67))</f>
        <v/>
      </c>
      <c r="C67" s="23" t="n">
        <f aca="false">IF($A67=C$54,0,1)</f>
        <v>1</v>
      </c>
      <c r="D67" s="23" t="n">
        <f aca="false">IF($A67=D$54,0,1)</f>
        <v>1</v>
      </c>
      <c r="E67" s="23" t="n">
        <f aca="false">IF($A67=E$54,0,1)</f>
        <v>1</v>
      </c>
      <c r="F67" s="23" t="n">
        <f aca="false">IF($A67=F$54,0,1)</f>
        <v>1</v>
      </c>
      <c r="G67" s="23" t="n">
        <f aca="false">IF($A67=G$54,0,1)</f>
        <v>1</v>
      </c>
      <c r="H67" s="23" t="n">
        <f aca="false">IF($A67=H$54,0,1)</f>
        <v>1</v>
      </c>
      <c r="I67" s="23" t="n">
        <f aca="false">IF($A67=I$54,0,1)</f>
        <v>1</v>
      </c>
      <c r="J67" s="23" t="n">
        <f aca="false">IF($A67=J$54,0,1)</f>
        <v>1</v>
      </c>
      <c r="K67" s="23" t="n">
        <f aca="false">IF($A67=K$54,0,1)</f>
        <v>1</v>
      </c>
      <c r="L67" s="23" t="n">
        <f aca="false">IF($A67=L$54,0,1)</f>
        <v>1</v>
      </c>
      <c r="M67" s="23" t="n">
        <f aca="false">IF($A67=M$54,0,1)</f>
        <v>1</v>
      </c>
      <c r="N67" s="23" t="n">
        <f aca="false">IF($A67=N$54,0,1)</f>
        <v>0</v>
      </c>
      <c r="O67" s="23" t="n">
        <f aca="false">IF($A67=O$54,0,1)</f>
        <v>1</v>
      </c>
      <c r="P67" s="23" t="n">
        <f aca="false">IF($A67=P$54,0,1)</f>
        <v>1</v>
      </c>
      <c r="Q67" s="23" t="n">
        <f aca="false">IF($A67=Q$54,0,1)</f>
        <v>1</v>
      </c>
      <c r="R67" s="23" t="n">
        <f aca="false">IF($A67=R$54,0,1)</f>
        <v>1</v>
      </c>
      <c r="S67" s="23" t="n">
        <f aca="false">IF($A67=S$54,0,1)</f>
        <v>1</v>
      </c>
      <c r="T67" s="23" t="n">
        <f aca="false">IF($A67=T$54,0,1)</f>
        <v>1</v>
      </c>
      <c r="U67" s="23" t="n">
        <f aca="false">IF($A67=U$54,0,1)</f>
        <v>1</v>
      </c>
      <c r="V67" s="23" t="n">
        <f aca="false">IF($A67=V$54,0,1)</f>
        <v>1</v>
      </c>
    </row>
    <row r="68" customFormat="false" ht="15" hidden="false" customHeight="false" outlineLevel="0" collapsed="false">
      <c r="A68" s="29" t="n">
        <v>13</v>
      </c>
      <c r="B68" s="29" t="str">
        <f aca="false">IF(INDEX(Pengaturan!$B$8:$B$27,$A68)="","",INDEX(Pengaturan!$B$8:$B$27,$A68))</f>
        <v/>
      </c>
      <c r="C68" s="23" t="n">
        <f aca="false">IF($A68=C$54,0,1)</f>
        <v>1</v>
      </c>
      <c r="D68" s="23" t="n">
        <f aca="false">IF($A68=D$54,0,1)</f>
        <v>1</v>
      </c>
      <c r="E68" s="23" t="n">
        <f aca="false">IF($A68=E$54,0,1)</f>
        <v>1</v>
      </c>
      <c r="F68" s="23" t="n">
        <f aca="false">IF($A68=F$54,0,1)</f>
        <v>1</v>
      </c>
      <c r="G68" s="23" t="n">
        <f aca="false">IF($A68=G$54,0,1)</f>
        <v>1</v>
      </c>
      <c r="H68" s="23" t="n">
        <f aca="false">IF($A68=H$54,0,1)</f>
        <v>1</v>
      </c>
      <c r="I68" s="23" t="n">
        <f aca="false">IF($A68=I$54,0,1)</f>
        <v>1</v>
      </c>
      <c r="J68" s="23" t="n">
        <f aca="false">IF($A68=J$54,0,1)</f>
        <v>1</v>
      </c>
      <c r="K68" s="23" t="n">
        <f aca="false">IF($A68=K$54,0,1)</f>
        <v>1</v>
      </c>
      <c r="L68" s="23" t="n">
        <f aca="false">IF($A68=L$54,0,1)</f>
        <v>1</v>
      </c>
      <c r="M68" s="23" t="n">
        <f aca="false">IF($A68=M$54,0,1)</f>
        <v>1</v>
      </c>
      <c r="N68" s="23" t="n">
        <f aca="false">IF($A68=N$54,0,1)</f>
        <v>1</v>
      </c>
      <c r="O68" s="23" t="n">
        <f aca="false">IF($A68=O$54,0,1)</f>
        <v>0</v>
      </c>
      <c r="P68" s="23" t="n">
        <f aca="false">IF($A68=P$54,0,1)</f>
        <v>1</v>
      </c>
      <c r="Q68" s="23" t="n">
        <f aca="false">IF($A68=Q$54,0,1)</f>
        <v>1</v>
      </c>
      <c r="R68" s="23" t="n">
        <f aca="false">IF($A68=R$54,0,1)</f>
        <v>1</v>
      </c>
      <c r="S68" s="23" t="n">
        <f aca="false">IF($A68=S$54,0,1)</f>
        <v>1</v>
      </c>
      <c r="T68" s="23" t="n">
        <f aca="false">IF($A68=T$54,0,1)</f>
        <v>1</v>
      </c>
      <c r="U68" s="23" t="n">
        <f aca="false">IF($A68=U$54,0,1)</f>
        <v>1</v>
      </c>
      <c r="V68" s="23" t="n">
        <f aca="false">IF($A68=V$54,0,1)</f>
        <v>1</v>
      </c>
    </row>
    <row r="69" customFormat="false" ht="15" hidden="false" customHeight="false" outlineLevel="0" collapsed="false">
      <c r="A69" s="29" t="n">
        <v>14</v>
      </c>
      <c r="B69" s="29" t="str">
        <f aca="false">IF(INDEX(Pengaturan!$B$8:$B$27,$A69)="","",INDEX(Pengaturan!$B$8:$B$27,$A69))</f>
        <v/>
      </c>
      <c r="C69" s="23" t="n">
        <f aca="false">IF($A69=C$54,0,1)</f>
        <v>1</v>
      </c>
      <c r="D69" s="23" t="n">
        <f aca="false">IF($A69=D$54,0,1)</f>
        <v>1</v>
      </c>
      <c r="E69" s="23" t="n">
        <f aca="false">IF($A69=E$54,0,1)</f>
        <v>1</v>
      </c>
      <c r="F69" s="23" t="n">
        <f aca="false">IF($A69=F$54,0,1)</f>
        <v>1</v>
      </c>
      <c r="G69" s="23" t="n">
        <f aca="false">IF($A69=G$54,0,1)</f>
        <v>1</v>
      </c>
      <c r="H69" s="23" t="n">
        <f aca="false">IF($A69=H$54,0,1)</f>
        <v>1</v>
      </c>
      <c r="I69" s="23" t="n">
        <f aca="false">IF($A69=I$54,0,1)</f>
        <v>1</v>
      </c>
      <c r="J69" s="23" t="n">
        <f aca="false">IF($A69=J$54,0,1)</f>
        <v>1</v>
      </c>
      <c r="K69" s="23" t="n">
        <f aca="false">IF($A69=K$54,0,1)</f>
        <v>1</v>
      </c>
      <c r="L69" s="23" t="n">
        <f aca="false">IF($A69=L$54,0,1)</f>
        <v>1</v>
      </c>
      <c r="M69" s="23" t="n">
        <f aca="false">IF($A69=M$54,0,1)</f>
        <v>1</v>
      </c>
      <c r="N69" s="23" t="n">
        <f aca="false">IF($A69=N$54,0,1)</f>
        <v>1</v>
      </c>
      <c r="O69" s="23" t="n">
        <f aca="false">IF($A69=O$54,0,1)</f>
        <v>1</v>
      </c>
      <c r="P69" s="23" t="n">
        <f aca="false">IF($A69=P$54,0,1)</f>
        <v>0</v>
      </c>
      <c r="Q69" s="23" t="n">
        <f aca="false">IF($A69=Q$54,0,1)</f>
        <v>1</v>
      </c>
      <c r="R69" s="23" t="n">
        <f aca="false">IF($A69=R$54,0,1)</f>
        <v>1</v>
      </c>
      <c r="S69" s="23" t="n">
        <f aca="false">IF($A69=S$54,0,1)</f>
        <v>1</v>
      </c>
      <c r="T69" s="23" t="n">
        <f aca="false">IF($A69=T$54,0,1)</f>
        <v>1</v>
      </c>
      <c r="U69" s="23" t="n">
        <f aca="false">IF($A69=U$54,0,1)</f>
        <v>1</v>
      </c>
      <c r="V69" s="23" t="n">
        <f aca="false">IF($A69=V$54,0,1)</f>
        <v>1</v>
      </c>
    </row>
    <row r="70" customFormat="false" ht="15" hidden="false" customHeight="false" outlineLevel="0" collapsed="false">
      <c r="A70" s="29" t="n">
        <v>15</v>
      </c>
      <c r="B70" s="29" t="str">
        <f aca="false">IF(INDEX(Pengaturan!$B$8:$B$27,$A70)="","",INDEX(Pengaturan!$B$8:$B$27,$A70))</f>
        <v/>
      </c>
      <c r="C70" s="23" t="n">
        <f aca="false">IF($A70=C$54,0,1)</f>
        <v>1</v>
      </c>
      <c r="D70" s="23" t="n">
        <f aca="false">IF($A70=D$54,0,1)</f>
        <v>1</v>
      </c>
      <c r="E70" s="23" t="n">
        <f aca="false">IF($A70=E$54,0,1)</f>
        <v>1</v>
      </c>
      <c r="F70" s="23" t="n">
        <f aca="false">IF($A70=F$54,0,1)</f>
        <v>1</v>
      </c>
      <c r="G70" s="23" t="n">
        <f aca="false">IF($A70=G$54,0,1)</f>
        <v>1</v>
      </c>
      <c r="H70" s="23" t="n">
        <f aca="false">IF($A70=H$54,0,1)</f>
        <v>1</v>
      </c>
      <c r="I70" s="23" t="n">
        <f aca="false">IF($A70=I$54,0,1)</f>
        <v>1</v>
      </c>
      <c r="J70" s="23" t="n">
        <f aca="false">IF($A70=J$54,0,1)</f>
        <v>1</v>
      </c>
      <c r="K70" s="23" t="n">
        <f aca="false">IF($A70=K$54,0,1)</f>
        <v>1</v>
      </c>
      <c r="L70" s="23" t="n">
        <f aca="false">IF($A70=L$54,0,1)</f>
        <v>1</v>
      </c>
      <c r="M70" s="23" t="n">
        <f aca="false">IF($A70=M$54,0,1)</f>
        <v>1</v>
      </c>
      <c r="N70" s="23" t="n">
        <f aca="false">IF($A70=N$54,0,1)</f>
        <v>1</v>
      </c>
      <c r="O70" s="23" t="n">
        <f aca="false">IF($A70=O$54,0,1)</f>
        <v>1</v>
      </c>
      <c r="P70" s="23" t="n">
        <f aca="false">IF($A70=P$54,0,1)</f>
        <v>1</v>
      </c>
      <c r="Q70" s="23" t="n">
        <f aca="false">IF($A70=Q$54,0,1)</f>
        <v>0</v>
      </c>
      <c r="R70" s="23" t="n">
        <f aca="false">IF($A70=R$54,0,1)</f>
        <v>1</v>
      </c>
      <c r="S70" s="23" t="n">
        <f aca="false">IF($A70=S$54,0,1)</f>
        <v>1</v>
      </c>
      <c r="T70" s="23" t="n">
        <f aca="false">IF($A70=T$54,0,1)</f>
        <v>1</v>
      </c>
      <c r="U70" s="23" t="n">
        <f aca="false">IF($A70=U$54,0,1)</f>
        <v>1</v>
      </c>
      <c r="V70" s="23" t="n">
        <f aca="false">IF($A70=V$54,0,1)</f>
        <v>1</v>
      </c>
    </row>
    <row r="71" customFormat="false" ht="15" hidden="false" customHeight="false" outlineLevel="0" collapsed="false">
      <c r="A71" s="29" t="n">
        <v>16</v>
      </c>
      <c r="B71" s="29" t="str">
        <f aca="false">IF(INDEX(Pengaturan!$B$8:$B$27,$A71)="","",INDEX(Pengaturan!$B$8:$B$27,$A71))</f>
        <v/>
      </c>
      <c r="C71" s="23" t="n">
        <f aca="false">IF($A71=C$54,0,1)</f>
        <v>1</v>
      </c>
      <c r="D71" s="23" t="n">
        <f aca="false">IF($A71=D$54,0,1)</f>
        <v>1</v>
      </c>
      <c r="E71" s="23" t="n">
        <f aca="false">IF($A71=E$54,0,1)</f>
        <v>1</v>
      </c>
      <c r="F71" s="23" t="n">
        <f aca="false">IF($A71=F$54,0,1)</f>
        <v>1</v>
      </c>
      <c r="G71" s="23" t="n">
        <f aca="false">IF($A71=G$54,0,1)</f>
        <v>1</v>
      </c>
      <c r="H71" s="23" t="n">
        <f aca="false">IF($A71=H$54,0,1)</f>
        <v>1</v>
      </c>
      <c r="I71" s="23" t="n">
        <f aca="false">IF($A71=I$54,0,1)</f>
        <v>1</v>
      </c>
      <c r="J71" s="23" t="n">
        <f aca="false">IF($A71=J$54,0,1)</f>
        <v>1</v>
      </c>
      <c r="K71" s="23" t="n">
        <f aca="false">IF($A71=K$54,0,1)</f>
        <v>1</v>
      </c>
      <c r="L71" s="23" t="n">
        <f aca="false">IF($A71=L$54,0,1)</f>
        <v>1</v>
      </c>
      <c r="M71" s="23" t="n">
        <f aca="false">IF($A71=M$54,0,1)</f>
        <v>1</v>
      </c>
      <c r="N71" s="23" t="n">
        <f aca="false">IF($A71=N$54,0,1)</f>
        <v>1</v>
      </c>
      <c r="O71" s="23" t="n">
        <f aca="false">IF($A71=O$54,0,1)</f>
        <v>1</v>
      </c>
      <c r="P71" s="23" t="n">
        <f aca="false">IF($A71=P$54,0,1)</f>
        <v>1</v>
      </c>
      <c r="Q71" s="23" t="n">
        <f aca="false">IF($A71=Q$54,0,1)</f>
        <v>1</v>
      </c>
      <c r="R71" s="23" t="n">
        <f aca="false">IF($A71=R$54,0,1)</f>
        <v>0</v>
      </c>
      <c r="S71" s="23" t="n">
        <f aca="false">IF($A71=S$54,0,1)</f>
        <v>1</v>
      </c>
      <c r="T71" s="23" t="n">
        <f aca="false">IF($A71=T$54,0,1)</f>
        <v>1</v>
      </c>
      <c r="U71" s="23" t="n">
        <f aca="false">IF($A71=U$54,0,1)</f>
        <v>1</v>
      </c>
      <c r="V71" s="23" t="n">
        <f aca="false">IF($A71=V$54,0,1)</f>
        <v>1</v>
      </c>
    </row>
    <row r="72" customFormat="false" ht="15" hidden="false" customHeight="false" outlineLevel="0" collapsed="false">
      <c r="A72" s="29" t="n">
        <v>17</v>
      </c>
      <c r="B72" s="29" t="str">
        <f aca="false">IF(INDEX(Pengaturan!$B$8:$B$27,$A72)="","",INDEX(Pengaturan!$B$8:$B$27,$A72))</f>
        <v/>
      </c>
      <c r="C72" s="23" t="n">
        <f aca="false">IF($A72=C$54,0,1)</f>
        <v>1</v>
      </c>
      <c r="D72" s="23" t="n">
        <f aca="false">IF($A72=D$54,0,1)</f>
        <v>1</v>
      </c>
      <c r="E72" s="23" t="n">
        <f aca="false">IF($A72=E$54,0,1)</f>
        <v>1</v>
      </c>
      <c r="F72" s="23" t="n">
        <f aca="false">IF($A72=F$54,0,1)</f>
        <v>1</v>
      </c>
      <c r="G72" s="23" t="n">
        <f aca="false">IF($A72=G$54,0,1)</f>
        <v>1</v>
      </c>
      <c r="H72" s="23" t="n">
        <f aca="false">IF($A72=H$54,0,1)</f>
        <v>1</v>
      </c>
      <c r="I72" s="23" t="n">
        <f aca="false">IF($A72=I$54,0,1)</f>
        <v>1</v>
      </c>
      <c r="J72" s="23" t="n">
        <f aca="false">IF($A72=J$54,0,1)</f>
        <v>1</v>
      </c>
      <c r="K72" s="23" t="n">
        <f aca="false">IF($A72=K$54,0,1)</f>
        <v>1</v>
      </c>
      <c r="L72" s="23" t="n">
        <f aca="false">IF($A72=L$54,0,1)</f>
        <v>1</v>
      </c>
      <c r="M72" s="23" t="n">
        <f aca="false">IF($A72=M$54,0,1)</f>
        <v>1</v>
      </c>
      <c r="N72" s="23" t="n">
        <f aca="false">IF($A72=N$54,0,1)</f>
        <v>1</v>
      </c>
      <c r="O72" s="23" t="n">
        <f aca="false">IF($A72=O$54,0,1)</f>
        <v>1</v>
      </c>
      <c r="P72" s="23" t="n">
        <f aca="false">IF($A72=P$54,0,1)</f>
        <v>1</v>
      </c>
      <c r="Q72" s="23" t="n">
        <f aca="false">IF($A72=Q$54,0,1)</f>
        <v>1</v>
      </c>
      <c r="R72" s="23" t="n">
        <f aca="false">IF($A72=R$54,0,1)</f>
        <v>1</v>
      </c>
      <c r="S72" s="23" t="n">
        <f aca="false">IF($A72=S$54,0,1)</f>
        <v>0</v>
      </c>
      <c r="T72" s="23" t="n">
        <f aca="false">IF($A72=T$54,0,1)</f>
        <v>1</v>
      </c>
      <c r="U72" s="23" t="n">
        <f aca="false">IF($A72=U$54,0,1)</f>
        <v>1</v>
      </c>
      <c r="V72" s="23" t="n">
        <f aca="false">IF($A72=V$54,0,1)</f>
        <v>1</v>
      </c>
    </row>
    <row r="73" customFormat="false" ht="15" hidden="false" customHeight="false" outlineLevel="0" collapsed="false">
      <c r="A73" s="29" t="n">
        <v>18</v>
      </c>
      <c r="B73" s="29" t="str">
        <f aca="false">IF(INDEX(Pengaturan!$B$8:$B$27,$A73)="","",INDEX(Pengaturan!$B$8:$B$27,$A73))</f>
        <v/>
      </c>
      <c r="C73" s="23" t="n">
        <f aca="false">IF($A73=C$54,0,1)</f>
        <v>1</v>
      </c>
      <c r="D73" s="23" t="n">
        <f aca="false">IF($A73=D$54,0,1)</f>
        <v>1</v>
      </c>
      <c r="E73" s="23" t="n">
        <f aca="false">IF($A73=E$54,0,1)</f>
        <v>1</v>
      </c>
      <c r="F73" s="23" t="n">
        <f aca="false">IF($A73=F$54,0,1)</f>
        <v>1</v>
      </c>
      <c r="G73" s="23" t="n">
        <f aca="false">IF($A73=G$54,0,1)</f>
        <v>1</v>
      </c>
      <c r="H73" s="23" t="n">
        <f aca="false">IF($A73=H$54,0,1)</f>
        <v>1</v>
      </c>
      <c r="I73" s="23" t="n">
        <f aca="false">IF($A73=I$54,0,1)</f>
        <v>1</v>
      </c>
      <c r="J73" s="23" t="n">
        <f aca="false">IF($A73=J$54,0,1)</f>
        <v>1</v>
      </c>
      <c r="K73" s="23" t="n">
        <f aca="false">IF($A73=K$54,0,1)</f>
        <v>1</v>
      </c>
      <c r="L73" s="23" t="n">
        <f aca="false">IF($A73=L$54,0,1)</f>
        <v>1</v>
      </c>
      <c r="M73" s="23" t="n">
        <f aca="false">IF($A73=M$54,0,1)</f>
        <v>1</v>
      </c>
      <c r="N73" s="23" t="n">
        <f aca="false">IF($A73=N$54,0,1)</f>
        <v>1</v>
      </c>
      <c r="O73" s="23" t="n">
        <f aca="false">IF($A73=O$54,0,1)</f>
        <v>1</v>
      </c>
      <c r="P73" s="23" t="n">
        <f aca="false">IF($A73=P$54,0,1)</f>
        <v>1</v>
      </c>
      <c r="Q73" s="23" t="n">
        <f aca="false">IF($A73=Q$54,0,1)</f>
        <v>1</v>
      </c>
      <c r="R73" s="23" t="n">
        <f aca="false">IF($A73=R$54,0,1)</f>
        <v>1</v>
      </c>
      <c r="S73" s="23" t="n">
        <f aca="false">IF($A73=S$54,0,1)</f>
        <v>1</v>
      </c>
      <c r="T73" s="23" t="n">
        <f aca="false">IF($A73=T$54,0,1)</f>
        <v>0</v>
      </c>
      <c r="U73" s="23" t="n">
        <f aca="false">IF($A73=U$54,0,1)</f>
        <v>1</v>
      </c>
      <c r="V73" s="23" t="n">
        <f aca="false">IF($A73=V$54,0,1)</f>
        <v>1</v>
      </c>
    </row>
    <row r="74" customFormat="false" ht="15" hidden="false" customHeight="false" outlineLevel="0" collapsed="false">
      <c r="A74" s="29" t="n">
        <v>19</v>
      </c>
      <c r="B74" s="29" t="str">
        <f aca="false">IF(INDEX(Pengaturan!$B$8:$B$27,$A74)="","",INDEX(Pengaturan!$B$8:$B$27,$A74))</f>
        <v/>
      </c>
      <c r="C74" s="23" t="n">
        <f aca="false">IF($A74=C$54,0,1)</f>
        <v>1</v>
      </c>
      <c r="D74" s="23" t="n">
        <f aca="false">IF($A74=D$54,0,1)</f>
        <v>1</v>
      </c>
      <c r="E74" s="23" t="n">
        <f aca="false">IF($A74=E$54,0,1)</f>
        <v>1</v>
      </c>
      <c r="F74" s="23" t="n">
        <f aca="false">IF($A74=F$54,0,1)</f>
        <v>1</v>
      </c>
      <c r="G74" s="23" t="n">
        <f aca="false">IF($A74=G$54,0,1)</f>
        <v>1</v>
      </c>
      <c r="H74" s="23" t="n">
        <f aca="false">IF($A74=H$54,0,1)</f>
        <v>1</v>
      </c>
      <c r="I74" s="23" t="n">
        <f aca="false">IF($A74=I$54,0,1)</f>
        <v>1</v>
      </c>
      <c r="J74" s="23" t="n">
        <f aca="false">IF($A74=J$54,0,1)</f>
        <v>1</v>
      </c>
      <c r="K74" s="23" t="n">
        <f aca="false">IF($A74=K$54,0,1)</f>
        <v>1</v>
      </c>
      <c r="L74" s="23" t="n">
        <f aca="false">IF($A74=L$54,0,1)</f>
        <v>1</v>
      </c>
      <c r="M74" s="23" t="n">
        <f aca="false">IF($A74=M$54,0,1)</f>
        <v>1</v>
      </c>
      <c r="N74" s="23" t="n">
        <f aca="false">IF($A74=N$54,0,1)</f>
        <v>1</v>
      </c>
      <c r="O74" s="23" t="n">
        <f aca="false">IF($A74=O$54,0,1)</f>
        <v>1</v>
      </c>
      <c r="P74" s="23" t="n">
        <f aca="false">IF($A74=P$54,0,1)</f>
        <v>1</v>
      </c>
      <c r="Q74" s="23" t="n">
        <f aca="false">IF($A74=Q$54,0,1)</f>
        <v>1</v>
      </c>
      <c r="R74" s="23" t="n">
        <f aca="false">IF($A74=R$54,0,1)</f>
        <v>1</v>
      </c>
      <c r="S74" s="23" t="n">
        <f aca="false">IF($A74=S$54,0,1)</f>
        <v>1</v>
      </c>
      <c r="T74" s="23" t="n">
        <f aca="false">IF($A74=T$54,0,1)</f>
        <v>1</v>
      </c>
      <c r="U74" s="23" t="n">
        <f aca="false">IF($A74=U$54,0,1)</f>
        <v>0</v>
      </c>
      <c r="V74" s="23" t="n">
        <f aca="false">IF($A74=V$54,0,1)</f>
        <v>1</v>
      </c>
    </row>
    <row r="75" customFormat="false" ht="15" hidden="false" customHeight="false" outlineLevel="0" collapsed="false">
      <c r="A75" s="29" t="n">
        <v>20</v>
      </c>
      <c r="B75" s="29" t="str">
        <f aca="false">IF(INDEX(Pengaturan!$B$8:$B$27,$A75)="","",INDEX(Pengaturan!$B$8:$B$27,$A75))</f>
        <v/>
      </c>
      <c r="C75" s="23" t="n">
        <f aca="false">IF($A75=C$54,0,1)</f>
        <v>1</v>
      </c>
      <c r="D75" s="23" t="n">
        <f aca="false">IF($A75=D$54,0,1)</f>
        <v>1</v>
      </c>
      <c r="E75" s="23" t="n">
        <f aca="false">IF($A75=E$54,0,1)</f>
        <v>1</v>
      </c>
      <c r="F75" s="23" t="n">
        <f aca="false">IF($A75=F$54,0,1)</f>
        <v>1</v>
      </c>
      <c r="G75" s="23" t="n">
        <f aca="false">IF($A75=G$54,0,1)</f>
        <v>1</v>
      </c>
      <c r="H75" s="23" t="n">
        <f aca="false">IF($A75=H$54,0,1)</f>
        <v>1</v>
      </c>
      <c r="I75" s="23" t="n">
        <f aca="false">IF($A75=I$54,0,1)</f>
        <v>1</v>
      </c>
      <c r="J75" s="23" t="n">
        <f aca="false">IF($A75=J$54,0,1)</f>
        <v>1</v>
      </c>
      <c r="K75" s="23" t="n">
        <f aca="false">IF($A75=K$54,0,1)</f>
        <v>1</v>
      </c>
      <c r="L75" s="23" t="n">
        <f aca="false">IF($A75=L$54,0,1)</f>
        <v>1</v>
      </c>
      <c r="M75" s="23" t="n">
        <f aca="false">IF($A75=M$54,0,1)</f>
        <v>1</v>
      </c>
      <c r="N75" s="23" t="n">
        <f aca="false">IF($A75=N$54,0,1)</f>
        <v>1</v>
      </c>
      <c r="O75" s="23" t="n">
        <f aca="false">IF($A75=O$54,0,1)</f>
        <v>1</v>
      </c>
      <c r="P75" s="23" t="n">
        <f aca="false">IF($A75=P$54,0,1)</f>
        <v>1</v>
      </c>
      <c r="Q75" s="23" t="n">
        <f aca="false">IF($A75=Q$54,0,1)</f>
        <v>1</v>
      </c>
      <c r="R75" s="23" t="n">
        <f aca="false">IF($A75=R$54,0,1)</f>
        <v>1</v>
      </c>
      <c r="S75" s="23" t="n">
        <f aca="false">IF($A75=S$54,0,1)</f>
        <v>1</v>
      </c>
      <c r="T75" s="23" t="n">
        <f aca="false">IF($A75=T$54,0,1)</f>
        <v>1</v>
      </c>
      <c r="U75" s="23" t="n">
        <f aca="false">IF($A75=U$54,0,1)</f>
        <v>1</v>
      </c>
      <c r="V75" s="23" t="n">
        <f aca="false">IF($A75=V$54,0,1)</f>
        <v>0</v>
      </c>
    </row>
    <row r="78" customFormat="false" ht="15" hidden="false" customHeight="false" outlineLevel="0" collapsed="false">
      <c r="A78" s="8" t="s">
        <v>106</v>
      </c>
    </row>
    <row r="79" customFormat="false" ht="15" hidden="false" customHeight="false" outlineLevel="0" collapsed="false">
      <c r="B79" s="7" t="s">
        <v>99</v>
      </c>
      <c r="C79" s="25" t="n">
        <v>1</v>
      </c>
      <c r="D79" s="25" t="n">
        <v>2</v>
      </c>
      <c r="E79" s="25" t="n">
        <v>3</v>
      </c>
      <c r="F79" s="25" t="n">
        <v>4</v>
      </c>
      <c r="G79" s="25" t="n">
        <v>5</v>
      </c>
      <c r="H79" s="25" t="n">
        <v>6</v>
      </c>
      <c r="I79" s="25" t="n">
        <v>7</v>
      </c>
      <c r="J79" s="25" t="n">
        <v>8</v>
      </c>
      <c r="K79" s="25" t="n">
        <v>9</v>
      </c>
      <c r="L79" s="25" t="n">
        <v>10</v>
      </c>
      <c r="M79" s="25" t="n">
        <v>11</v>
      </c>
      <c r="N79" s="25" t="n">
        <v>12</v>
      </c>
      <c r="O79" s="25" t="n">
        <v>13</v>
      </c>
      <c r="P79" s="25" t="n">
        <v>14</v>
      </c>
      <c r="Q79" s="25" t="n">
        <v>15</v>
      </c>
      <c r="R79" s="25" t="n">
        <v>16</v>
      </c>
      <c r="S79" s="25" t="n">
        <v>17</v>
      </c>
      <c r="T79" s="25" t="n">
        <v>18</v>
      </c>
      <c r="U79" s="25" t="n">
        <v>19</v>
      </c>
      <c r="V79" s="25" t="n">
        <v>20</v>
      </c>
    </row>
    <row r="80" customFormat="false" ht="15" hidden="false" customHeight="false" outlineLevel="0" collapsed="false">
      <c r="A80" s="11" t="s">
        <v>100</v>
      </c>
      <c r="B80" s="11" t="s">
        <v>101</v>
      </c>
      <c r="C80" s="11" t="n">
        <f aca="false">IF(INDEX(Pengaturan!$B$8:$B$27,C$79)="","",INDEX(Pengaturan!$B$8:$B$27,C$79))</f>
        <v>1</v>
      </c>
      <c r="D80" s="11" t="n">
        <f aca="false">IF(INDEX(Pengaturan!$B$8:$B$27,D$79)="","",INDEX(Pengaturan!$B$8:$B$27,D$79))</f>
        <v>2</v>
      </c>
      <c r="E80" s="11" t="n">
        <f aca="false">IF(INDEX(Pengaturan!$B$8:$B$27,E$79)="","",INDEX(Pengaturan!$B$8:$B$27,E$79))</f>
        <v>3</v>
      </c>
      <c r="F80" s="11" t="n">
        <f aca="false">IF(INDEX(Pengaturan!$B$8:$B$27,F$79)="","",INDEX(Pengaturan!$B$8:$B$27,F$79))</f>
        <v>4</v>
      </c>
      <c r="G80" s="11" t="n">
        <f aca="false">IF(INDEX(Pengaturan!$B$8:$B$27,G$79)="","",INDEX(Pengaturan!$B$8:$B$27,G$79))</f>
        <v>5</v>
      </c>
      <c r="H80" s="11" t="str">
        <f aca="false">IF(INDEX(Pengaturan!$B$8:$B$27,H$79)="","",INDEX(Pengaturan!$B$8:$B$27,H$79))</f>
        <v/>
      </c>
      <c r="I80" s="11" t="str">
        <f aca="false">IF(INDEX(Pengaturan!$B$8:$B$27,I$79)="","",INDEX(Pengaturan!$B$8:$B$27,I$79))</f>
        <v/>
      </c>
      <c r="J80" s="11" t="str">
        <f aca="false">IF(INDEX(Pengaturan!$B$8:$B$27,J$79)="","",INDEX(Pengaturan!$B$8:$B$27,J$79))</f>
        <v/>
      </c>
      <c r="K80" s="11" t="str">
        <f aca="false">IF(INDEX(Pengaturan!$B$8:$B$27,K$79)="","",INDEX(Pengaturan!$B$8:$B$27,K$79))</f>
        <v/>
      </c>
      <c r="L80" s="11" t="str">
        <f aca="false">IF(INDEX(Pengaturan!$B$8:$B$27,L$79)="","",INDEX(Pengaturan!$B$8:$B$27,L$79))</f>
        <v/>
      </c>
      <c r="M80" s="11" t="str">
        <f aca="false">IF(INDEX(Pengaturan!$B$8:$B$27,M$79)="","",INDEX(Pengaturan!$B$8:$B$27,M$79))</f>
        <v/>
      </c>
      <c r="N80" s="11" t="str">
        <f aca="false">IF(INDEX(Pengaturan!$B$8:$B$27,N$79)="","",INDEX(Pengaturan!$B$8:$B$27,N$79))</f>
        <v/>
      </c>
      <c r="O80" s="11" t="str">
        <f aca="false">IF(INDEX(Pengaturan!$B$8:$B$27,O$79)="","",INDEX(Pengaturan!$B$8:$B$27,O$79))</f>
        <v/>
      </c>
      <c r="P80" s="11" t="str">
        <f aca="false">IF(INDEX(Pengaturan!$B$8:$B$27,P$79)="","",INDEX(Pengaturan!$B$8:$B$27,P$79))</f>
        <v/>
      </c>
      <c r="Q80" s="11" t="str">
        <f aca="false">IF(INDEX(Pengaturan!$B$8:$B$27,Q$79)="","",INDEX(Pengaturan!$B$8:$B$27,Q$79))</f>
        <v/>
      </c>
      <c r="R80" s="11" t="str">
        <f aca="false">IF(INDEX(Pengaturan!$B$8:$B$27,R$79)="","",INDEX(Pengaturan!$B$8:$B$27,R$79))</f>
        <v/>
      </c>
      <c r="S80" s="11" t="str">
        <f aca="false">IF(INDEX(Pengaturan!$B$8:$B$27,S$79)="","",INDEX(Pengaturan!$B$8:$B$27,S$79))</f>
        <v/>
      </c>
      <c r="T80" s="11" t="str">
        <f aca="false">IF(INDEX(Pengaturan!$B$8:$B$27,T$79)="","",INDEX(Pengaturan!$B$8:$B$27,T$79))</f>
        <v/>
      </c>
      <c r="U80" s="11" t="str">
        <f aca="false">IF(INDEX(Pengaturan!$B$8:$B$27,U$79)="","",INDEX(Pengaturan!$B$8:$B$27,U$79))</f>
        <v/>
      </c>
      <c r="V80" s="11" t="str">
        <f aca="false">IF(INDEX(Pengaturan!$B$8:$B$27,V$79)="","",INDEX(Pengaturan!$B$8:$B$27,V$79))</f>
        <v/>
      </c>
    </row>
    <row r="81" customFormat="false" ht="15" hidden="false" customHeight="false" outlineLevel="0" collapsed="false">
      <c r="A81" s="29" t="n">
        <v>1</v>
      </c>
      <c r="B81" s="29" t="n">
        <f aca="false">IF(INDEX(Pengaturan!$B$8:$B$27,$A81)="","",INDEX(Pengaturan!$B$8:$B$27,$A81))</f>
        <v>1</v>
      </c>
      <c r="C81" s="33" t="n">
        <f aca="false">IF($A81=C$79,0,(SUMPRODUCT(($A$6:$A$25&gt;=MIN($A81,C$79))*($A$6:$A$25&lt;=MAX($A81,C$79))*$W$6:$W$25)-(INDEX($W$6:$W$25,$A81)+INDEX($W$6:$W$25,C$79))/2)^2)</f>
        <v>0</v>
      </c>
      <c r="D81" s="33" t="n">
        <f aca="false">IF($A81=D$79,0,(SUMPRODUCT(($A$6:$A$25&gt;=MIN($A81,D$79))*($A$6:$A$25&lt;=MAX($A81,D$79))*$W$6:$W$25)-(INDEX($W$6:$W$25,$A81)+INDEX($W$6:$W$25,D$79))/2)^2)</f>
        <v>324</v>
      </c>
      <c r="E81" s="33" t="n">
        <f aca="false">IF($A81=E$79,0,(SUMPRODUCT(($A$6:$A$25&gt;=MIN($A81,E$79))*($A$6:$A$25&lt;=MAX($A81,E$79))*$W$6:$W$25)-(INDEX($W$6:$W$25,$A81)+INDEX($W$6:$W$25,E$79))/2)^2)</f>
        <v>961</v>
      </c>
      <c r="F81" s="33" t="n">
        <f aca="false">IF($A81=F$79,0,(SUMPRODUCT(($A$6:$A$25&gt;=MIN($A81,F$79))*($A$6:$A$25&lt;=MAX($A81,F$79))*$W$6:$W$25)-(INDEX($W$6:$W$25,$A81)+INDEX($W$6:$W$25,F$79))/2)^2)</f>
        <v>2450.25</v>
      </c>
      <c r="G81" s="33" t="n">
        <f aca="false">IF($A81=G$79,0,(SUMPRODUCT(($A$6:$A$25&gt;=MIN($A81,G$79))*($A$6:$A$25&lt;=MAX($A81,G$79))*$W$6:$W$25)-(INDEX($W$6:$W$25,$A81)+INDEX($W$6:$W$25,G$79))/2)^2)</f>
        <v>5700.25</v>
      </c>
      <c r="H81" s="33" t="n">
        <f aca="false">IF($A81=H$79,0,(SUMPRODUCT(($A$6:$A$25&gt;=MIN($A81,H$79))*($A$6:$A$25&lt;=MAX($A81,H$79))*$W$6:$W$25)-(INDEX($W$6:$W$25,$A81)+INDEX($W$6:$W$25,H$79))/2)^2)</f>
        <v>7921</v>
      </c>
      <c r="I81" s="33" t="n">
        <f aca="false">IF($A81=I$79,0,(SUMPRODUCT(($A$6:$A$25&gt;=MIN($A81,I$79))*($A$6:$A$25&lt;=MAX($A81,I$79))*$W$6:$W$25)-(INDEX($W$6:$W$25,$A81)+INDEX($W$6:$W$25,I$79))/2)^2)</f>
        <v>7921</v>
      </c>
      <c r="J81" s="33" t="n">
        <f aca="false">IF($A81=J$79,0,(SUMPRODUCT(($A$6:$A$25&gt;=MIN($A81,J$79))*($A$6:$A$25&lt;=MAX($A81,J$79))*$W$6:$W$25)-(INDEX($W$6:$W$25,$A81)+INDEX($W$6:$W$25,J$79))/2)^2)</f>
        <v>7921</v>
      </c>
      <c r="K81" s="33" t="n">
        <f aca="false">IF($A81=K$79,0,(SUMPRODUCT(($A$6:$A$25&gt;=MIN($A81,K$79))*($A$6:$A$25&lt;=MAX($A81,K$79))*$W$6:$W$25)-(INDEX($W$6:$W$25,$A81)+INDEX($W$6:$W$25,K$79))/2)^2)</f>
        <v>7921</v>
      </c>
      <c r="L81" s="33" t="n">
        <f aca="false">IF($A81=L$79,0,(SUMPRODUCT(($A$6:$A$25&gt;=MIN($A81,L$79))*($A$6:$A$25&lt;=MAX($A81,L$79))*$W$6:$W$25)-(INDEX($W$6:$W$25,$A81)+INDEX($W$6:$W$25,L$79))/2)^2)</f>
        <v>7921</v>
      </c>
      <c r="M81" s="33" t="n">
        <f aca="false">IF($A81=M$79,0,(SUMPRODUCT(($A$6:$A$25&gt;=MIN($A81,M$79))*($A$6:$A$25&lt;=MAX($A81,M$79))*$W$6:$W$25)-(INDEX($W$6:$W$25,$A81)+INDEX($W$6:$W$25,M$79))/2)^2)</f>
        <v>7921</v>
      </c>
      <c r="N81" s="33" t="n">
        <f aca="false">IF($A81=N$79,0,(SUMPRODUCT(($A$6:$A$25&gt;=MIN($A81,N$79))*($A$6:$A$25&lt;=MAX($A81,N$79))*$W$6:$W$25)-(INDEX($W$6:$W$25,$A81)+INDEX($W$6:$W$25,N$79))/2)^2)</f>
        <v>7921</v>
      </c>
      <c r="O81" s="33" t="n">
        <f aca="false">IF($A81=O$79,0,(SUMPRODUCT(($A$6:$A$25&gt;=MIN($A81,O$79))*($A$6:$A$25&lt;=MAX($A81,O$79))*$W$6:$W$25)-(INDEX($W$6:$W$25,$A81)+INDEX($W$6:$W$25,O$79))/2)^2)</f>
        <v>7921</v>
      </c>
      <c r="P81" s="33" t="n">
        <f aca="false">IF($A81=P$79,0,(SUMPRODUCT(($A$6:$A$25&gt;=MIN($A81,P$79))*($A$6:$A$25&lt;=MAX($A81,P$79))*$W$6:$W$25)-(INDEX($W$6:$W$25,$A81)+INDEX($W$6:$W$25,P$79))/2)^2)</f>
        <v>7921</v>
      </c>
      <c r="Q81" s="33" t="n">
        <f aca="false">IF($A81=Q$79,0,(SUMPRODUCT(($A$6:$A$25&gt;=MIN($A81,Q$79))*($A$6:$A$25&lt;=MAX($A81,Q$79))*$W$6:$W$25)-(INDEX($W$6:$W$25,$A81)+INDEX($W$6:$W$25,Q$79))/2)^2)</f>
        <v>7921</v>
      </c>
      <c r="R81" s="33" t="n">
        <f aca="false">IF($A81=R$79,0,(SUMPRODUCT(($A$6:$A$25&gt;=MIN($A81,R$79))*($A$6:$A$25&lt;=MAX($A81,R$79))*$W$6:$W$25)-(INDEX($W$6:$W$25,$A81)+INDEX($W$6:$W$25,R$79))/2)^2)</f>
        <v>7921</v>
      </c>
      <c r="S81" s="33" t="n">
        <f aca="false">IF($A81=S$79,0,(SUMPRODUCT(($A$6:$A$25&gt;=MIN($A81,S$79))*($A$6:$A$25&lt;=MAX($A81,S$79))*$W$6:$W$25)-(INDEX($W$6:$W$25,$A81)+INDEX($W$6:$W$25,S$79))/2)^2)</f>
        <v>7921</v>
      </c>
      <c r="T81" s="33" t="n">
        <f aca="false">IF($A81=T$79,0,(SUMPRODUCT(($A$6:$A$25&gt;=MIN($A81,T$79))*($A$6:$A$25&lt;=MAX($A81,T$79))*$W$6:$W$25)-(INDEX($W$6:$W$25,$A81)+INDEX($W$6:$W$25,T$79))/2)^2)</f>
        <v>7921</v>
      </c>
      <c r="U81" s="33" t="n">
        <f aca="false">IF($A81=U$79,0,(SUMPRODUCT(($A$6:$A$25&gt;=MIN($A81,U$79))*($A$6:$A$25&lt;=MAX($A81,U$79))*$W$6:$W$25)-(INDEX($W$6:$W$25,$A81)+INDEX($W$6:$W$25,U$79))/2)^2)</f>
        <v>7921</v>
      </c>
      <c r="V81" s="33" t="n">
        <f aca="false">IF($A81=V$79,0,(SUMPRODUCT(($A$6:$A$25&gt;=MIN($A81,V$79))*($A$6:$A$25&lt;=MAX($A81,V$79))*$W$6:$W$25)-(INDEX($W$6:$W$25,$A81)+INDEX($W$6:$W$25,V$79))/2)^2)</f>
        <v>7921</v>
      </c>
    </row>
    <row r="82" customFormat="false" ht="15" hidden="false" customHeight="false" outlineLevel="0" collapsed="false">
      <c r="A82" s="29" t="n">
        <v>2</v>
      </c>
      <c r="B82" s="29" t="n">
        <f aca="false">IF(INDEX(Pengaturan!$B$8:$B$27,$A82)="","",INDEX(Pengaturan!$B$8:$B$27,$A82))</f>
        <v>2</v>
      </c>
      <c r="C82" s="33" t="n">
        <f aca="false">IF($A82=C$79,0,(SUMPRODUCT(($A$6:$A$25&gt;=MIN($A82,C$79))*($A$6:$A$25&lt;=MAX($A82,C$79))*$W$6:$W$25)-(INDEX($W$6:$W$25,$A82)+INDEX($W$6:$W$25,C$79))/2)^2)</f>
        <v>324</v>
      </c>
      <c r="D82" s="33" t="n">
        <f aca="false">IF($A82=D$79,0,(SUMPRODUCT(($A$6:$A$25&gt;=MIN($A82,D$79))*($A$6:$A$25&lt;=MAX($A82,D$79))*$W$6:$W$25)-(INDEX($W$6:$W$25,$A82)+INDEX($W$6:$W$25,D$79))/2)^2)</f>
        <v>0</v>
      </c>
      <c r="E82" s="33" t="n">
        <f aca="false">IF($A82=E$79,0,(SUMPRODUCT(($A$6:$A$25&gt;=MIN($A82,E$79))*($A$6:$A$25&lt;=MAX($A82,E$79))*$W$6:$W$25)-(INDEX($W$6:$W$25,$A82)+INDEX($W$6:$W$25,E$79))/2)^2)</f>
        <v>169</v>
      </c>
      <c r="F82" s="33" t="n">
        <f aca="false">IF($A82=F$79,0,(SUMPRODUCT(($A$6:$A$25&gt;=MIN($A82,F$79))*($A$6:$A$25&lt;=MAX($A82,F$79))*$W$6:$W$25)-(INDEX($W$6:$W$25,$A82)+INDEX($W$6:$W$25,F$79))/2)^2)</f>
        <v>992.25</v>
      </c>
      <c r="G82" s="33" t="n">
        <f aca="false">IF($A82=G$79,0,(SUMPRODUCT(($A$6:$A$25&gt;=MIN($A82,G$79))*($A$6:$A$25&lt;=MAX($A82,G$79))*$W$6:$W$25)-(INDEX($W$6:$W$25,$A82)+INDEX($W$6:$W$25,G$79))/2)^2)</f>
        <v>3306.25</v>
      </c>
      <c r="H82" s="33" t="n">
        <f aca="false">IF($A82=H$79,0,(SUMPRODUCT(($A$6:$A$25&gt;=MIN($A82,H$79))*($A$6:$A$25&lt;=MAX($A82,H$79))*$W$6:$W$25)-(INDEX($W$6:$W$25,$A82)+INDEX($W$6:$W$25,H$79))/2)^2)</f>
        <v>5041</v>
      </c>
      <c r="I82" s="33" t="n">
        <f aca="false">IF($A82=I$79,0,(SUMPRODUCT(($A$6:$A$25&gt;=MIN($A82,I$79))*($A$6:$A$25&lt;=MAX($A82,I$79))*$W$6:$W$25)-(INDEX($W$6:$W$25,$A82)+INDEX($W$6:$W$25,I$79))/2)^2)</f>
        <v>5041</v>
      </c>
      <c r="J82" s="33" t="n">
        <f aca="false">IF($A82=J$79,0,(SUMPRODUCT(($A$6:$A$25&gt;=MIN($A82,J$79))*($A$6:$A$25&lt;=MAX($A82,J$79))*$W$6:$W$25)-(INDEX($W$6:$W$25,$A82)+INDEX($W$6:$W$25,J$79))/2)^2)</f>
        <v>5041</v>
      </c>
      <c r="K82" s="33" t="n">
        <f aca="false">IF($A82=K$79,0,(SUMPRODUCT(($A$6:$A$25&gt;=MIN($A82,K$79))*($A$6:$A$25&lt;=MAX($A82,K$79))*$W$6:$W$25)-(INDEX($W$6:$W$25,$A82)+INDEX($W$6:$W$25,K$79))/2)^2)</f>
        <v>5041</v>
      </c>
      <c r="L82" s="33" t="n">
        <f aca="false">IF($A82=L$79,0,(SUMPRODUCT(($A$6:$A$25&gt;=MIN($A82,L$79))*($A$6:$A$25&lt;=MAX($A82,L$79))*$W$6:$W$25)-(INDEX($W$6:$W$25,$A82)+INDEX($W$6:$W$25,L$79))/2)^2)</f>
        <v>5041</v>
      </c>
      <c r="M82" s="33" t="n">
        <f aca="false">IF($A82=M$79,0,(SUMPRODUCT(($A$6:$A$25&gt;=MIN($A82,M$79))*($A$6:$A$25&lt;=MAX($A82,M$79))*$W$6:$W$25)-(INDEX($W$6:$W$25,$A82)+INDEX($W$6:$W$25,M$79))/2)^2)</f>
        <v>5041</v>
      </c>
      <c r="N82" s="33" t="n">
        <f aca="false">IF($A82=N$79,0,(SUMPRODUCT(($A$6:$A$25&gt;=MIN($A82,N$79))*($A$6:$A$25&lt;=MAX($A82,N$79))*$W$6:$W$25)-(INDEX($W$6:$W$25,$A82)+INDEX($W$6:$W$25,N$79))/2)^2)</f>
        <v>5041</v>
      </c>
      <c r="O82" s="33" t="n">
        <f aca="false">IF($A82=O$79,0,(SUMPRODUCT(($A$6:$A$25&gt;=MIN($A82,O$79))*($A$6:$A$25&lt;=MAX($A82,O$79))*$W$6:$W$25)-(INDEX($W$6:$W$25,$A82)+INDEX($W$6:$W$25,O$79))/2)^2)</f>
        <v>5041</v>
      </c>
      <c r="P82" s="33" t="n">
        <f aca="false">IF($A82=P$79,0,(SUMPRODUCT(($A$6:$A$25&gt;=MIN($A82,P$79))*($A$6:$A$25&lt;=MAX($A82,P$79))*$W$6:$W$25)-(INDEX($W$6:$W$25,$A82)+INDEX($W$6:$W$25,P$79))/2)^2)</f>
        <v>5041</v>
      </c>
      <c r="Q82" s="33" t="n">
        <f aca="false">IF($A82=Q$79,0,(SUMPRODUCT(($A$6:$A$25&gt;=MIN($A82,Q$79))*($A$6:$A$25&lt;=MAX($A82,Q$79))*$W$6:$W$25)-(INDEX($W$6:$W$25,$A82)+INDEX($W$6:$W$25,Q$79))/2)^2)</f>
        <v>5041</v>
      </c>
      <c r="R82" s="33" t="n">
        <f aca="false">IF($A82=R$79,0,(SUMPRODUCT(($A$6:$A$25&gt;=MIN($A82,R$79))*($A$6:$A$25&lt;=MAX($A82,R$79))*$W$6:$W$25)-(INDEX($W$6:$W$25,$A82)+INDEX($W$6:$W$25,R$79))/2)^2)</f>
        <v>5041</v>
      </c>
      <c r="S82" s="33" t="n">
        <f aca="false">IF($A82=S$79,0,(SUMPRODUCT(($A$6:$A$25&gt;=MIN($A82,S$79))*($A$6:$A$25&lt;=MAX($A82,S$79))*$W$6:$W$25)-(INDEX($W$6:$W$25,$A82)+INDEX($W$6:$W$25,S$79))/2)^2)</f>
        <v>5041</v>
      </c>
      <c r="T82" s="33" t="n">
        <f aca="false">IF($A82=T$79,0,(SUMPRODUCT(($A$6:$A$25&gt;=MIN($A82,T$79))*($A$6:$A$25&lt;=MAX($A82,T$79))*$W$6:$W$25)-(INDEX($W$6:$W$25,$A82)+INDEX($W$6:$W$25,T$79))/2)^2)</f>
        <v>5041</v>
      </c>
      <c r="U82" s="33" t="n">
        <f aca="false">IF($A82=U$79,0,(SUMPRODUCT(($A$6:$A$25&gt;=MIN($A82,U$79))*($A$6:$A$25&lt;=MAX($A82,U$79))*$W$6:$W$25)-(INDEX($W$6:$W$25,$A82)+INDEX($W$6:$W$25,U$79))/2)^2)</f>
        <v>5041</v>
      </c>
      <c r="V82" s="33" t="n">
        <f aca="false">IF($A82=V$79,0,(SUMPRODUCT(($A$6:$A$25&gt;=MIN($A82,V$79))*($A$6:$A$25&lt;=MAX($A82,V$79))*$W$6:$W$25)-(INDEX($W$6:$W$25,$A82)+INDEX($W$6:$W$25,V$79))/2)^2)</f>
        <v>5041</v>
      </c>
    </row>
    <row r="83" customFormat="false" ht="15" hidden="false" customHeight="false" outlineLevel="0" collapsed="false">
      <c r="A83" s="29" t="n">
        <v>3</v>
      </c>
      <c r="B83" s="29" t="n">
        <f aca="false">IF(INDEX(Pengaturan!$B$8:$B$27,$A83)="","",INDEX(Pengaturan!$B$8:$B$27,$A83))</f>
        <v>3</v>
      </c>
      <c r="C83" s="33" t="n">
        <f aca="false">IF($A83=C$79,0,(SUMPRODUCT(($A$6:$A$25&gt;=MIN($A83,C$79))*($A$6:$A$25&lt;=MAX($A83,C$79))*$W$6:$W$25)-(INDEX($W$6:$W$25,$A83)+INDEX($W$6:$W$25,C$79))/2)^2)</f>
        <v>961</v>
      </c>
      <c r="D83" s="33" t="n">
        <f aca="false">IF($A83=D$79,0,(SUMPRODUCT(($A$6:$A$25&gt;=MIN($A83,D$79))*($A$6:$A$25&lt;=MAX($A83,D$79))*$W$6:$W$25)-(INDEX($W$6:$W$25,$A83)+INDEX($W$6:$W$25,D$79))/2)^2)</f>
        <v>169</v>
      </c>
      <c r="E83" s="33" t="n">
        <f aca="false">IF($A83=E$79,0,(SUMPRODUCT(($A$6:$A$25&gt;=MIN($A83,E$79))*($A$6:$A$25&lt;=MAX($A83,E$79))*$W$6:$W$25)-(INDEX($W$6:$W$25,$A83)+INDEX($W$6:$W$25,E$79))/2)^2)</f>
        <v>0</v>
      </c>
      <c r="F83" s="33" t="n">
        <f aca="false">IF($A83=F$79,0,(SUMPRODUCT(($A$6:$A$25&gt;=MIN($A83,F$79))*($A$6:$A$25&lt;=MAX($A83,F$79))*$W$6:$W$25)-(INDEX($W$6:$W$25,$A83)+INDEX($W$6:$W$25,F$79))/2)^2)</f>
        <v>342.25</v>
      </c>
      <c r="G83" s="33" t="n">
        <f aca="false">IF($A83=G$79,0,(SUMPRODUCT(($A$6:$A$25&gt;=MIN($A83,G$79))*($A$6:$A$25&lt;=MAX($A83,G$79))*$W$6:$W$25)-(INDEX($W$6:$W$25,$A83)+INDEX($W$6:$W$25,G$79))/2)^2)</f>
        <v>1980.25</v>
      </c>
      <c r="H83" s="33" t="n">
        <f aca="false">IF($A83=H$79,0,(SUMPRODUCT(($A$6:$A$25&gt;=MIN($A83,H$79))*($A$6:$A$25&lt;=MAX($A83,H$79))*$W$6:$W$25)-(INDEX($W$6:$W$25,$A83)+INDEX($W$6:$W$25,H$79))/2)^2)</f>
        <v>3364</v>
      </c>
      <c r="I83" s="33" t="n">
        <f aca="false">IF($A83=I$79,0,(SUMPRODUCT(($A$6:$A$25&gt;=MIN($A83,I$79))*($A$6:$A$25&lt;=MAX($A83,I$79))*$W$6:$W$25)-(INDEX($W$6:$W$25,$A83)+INDEX($W$6:$W$25,I$79))/2)^2)</f>
        <v>3364</v>
      </c>
      <c r="J83" s="33" t="n">
        <f aca="false">IF($A83=J$79,0,(SUMPRODUCT(($A$6:$A$25&gt;=MIN($A83,J$79))*($A$6:$A$25&lt;=MAX($A83,J$79))*$W$6:$W$25)-(INDEX($W$6:$W$25,$A83)+INDEX($W$6:$W$25,J$79))/2)^2)</f>
        <v>3364</v>
      </c>
      <c r="K83" s="33" t="n">
        <f aca="false">IF($A83=K$79,0,(SUMPRODUCT(($A$6:$A$25&gt;=MIN($A83,K$79))*($A$6:$A$25&lt;=MAX($A83,K$79))*$W$6:$W$25)-(INDEX($W$6:$W$25,$A83)+INDEX($W$6:$W$25,K$79))/2)^2)</f>
        <v>3364</v>
      </c>
      <c r="L83" s="33" t="n">
        <f aca="false">IF($A83=L$79,0,(SUMPRODUCT(($A$6:$A$25&gt;=MIN($A83,L$79))*($A$6:$A$25&lt;=MAX($A83,L$79))*$W$6:$W$25)-(INDEX($W$6:$W$25,$A83)+INDEX($W$6:$W$25,L$79))/2)^2)</f>
        <v>3364</v>
      </c>
      <c r="M83" s="33" t="n">
        <f aca="false">IF($A83=M$79,0,(SUMPRODUCT(($A$6:$A$25&gt;=MIN($A83,M$79))*($A$6:$A$25&lt;=MAX($A83,M$79))*$W$6:$W$25)-(INDEX($W$6:$W$25,$A83)+INDEX($W$6:$W$25,M$79))/2)^2)</f>
        <v>3364</v>
      </c>
      <c r="N83" s="33" t="n">
        <f aca="false">IF($A83=N$79,0,(SUMPRODUCT(($A$6:$A$25&gt;=MIN($A83,N$79))*($A$6:$A$25&lt;=MAX($A83,N$79))*$W$6:$W$25)-(INDEX($W$6:$W$25,$A83)+INDEX($W$6:$W$25,N$79))/2)^2)</f>
        <v>3364</v>
      </c>
      <c r="O83" s="33" t="n">
        <f aca="false">IF($A83=O$79,0,(SUMPRODUCT(($A$6:$A$25&gt;=MIN($A83,O$79))*($A$6:$A$25&lt;=MAX($A83,O$79))*$W$6:$W$25)-(INDEX($W$6:$W$25,$A83)+INDEX($W$6:$W$25,O$79))/2)^2)</f>
        <v>3364</v>
      </c>
      <c r="P83" s="33" t="n">
        <f aca="false">IF($A83=P$79,0,(SUMPRODUCT(($A$6:$A$25&gt;=MIN($A83,P$79))*($A$6:$A$25&lt;=MAX($A83,P$79))*$W$6:$W$25)-(INDEX($W$6:$W$25,$A83)+INDEX($W$6:$W$25,P$79))/2)^2)</f>
        <v>3364</v>
      </c>
      <c r="Q83" s="33" t="n">
        <f aca="false">IF($A83=Q$79,0,(SUMPRODUCT(($A$6:$A$25&gt;=MIN($A83,Q$79))*($A$6:$A$25&lt;=MAX($A83,Q$79))*$W$6:$W$25)-(INDEX($W$6:$W$25,$A83)+INDEX($W$6:$W$25,Q$79))/2)^2)</f>
        <v>3364</v>
      </c>
      <c r="R83" s="33" t="n">
        <f aca="false">IF($A83=R$79,0,(SUMPRODUCT(($A$6:$A$25&gt;=MIN($A83,R$79))*($A$6:$A$25&lt;=MAX($A83,R$79))*$W$6:$W$25)-(INDEX($W$6:$W$25,$A83)+INDEX($W$6:$W$25,R$79))/2)^2)</f>
        <v>3364</v>
      </c>
      <c r="S83" s="33" t="n">
        <f aca="false">IF($A83=S$79,0,(SUMPRODUCT(($A$6:$A$25&gt;=MIN($A83,S$79))*($A$6:$A$25&lt;=MAX($A83,S$79))*$W$6:$W$25)-(INDEX($W$6:$W$25,$A83)+INDEX($W$6:$W$25,S$79))/2)^2)</f>
        <v>3364</v>
      </c>
      <c r="T83" s="33" t="n">
        <f aca="false">IF($A83=T$79,0,(SUMPRODUCT(($A$6:$A$25&gt;=MIN($A83,T$79))*($A$6:$A$25&lt;=MAX($A83,T$79))*$W$6:$W$25)-(INDEX($W$6:$W$25,$A83)+INDEX($W$6:$W$25,T$79))/2)^2)</f>
        <v>3364</v>
      </c>
      <c r="U83" s="33" t="n">
        <f aca="false">IF($A83=U$79,0,(SUMPRODUCT(($A$6:$A$25&gt;=MIN($A83,U$79))*($A$6:$A$25&lt;=MAX($A83,U$79))*$W$6:$W$25)-(INDEX($W$6:$W$25,$A83)+INDEX($W$6:$W$25,U$79))/2)^2)</f>
        <v>3364</v>
      </c>
      <c r="V83" s="33" t="n">
        <f aca="false">IF($A83=V$79,0,(SUMPRODUCT(($A$6:$A$25&gt;=MIN($A83,V$79))*($A$6:$A$25&lt;=MAX($A83,V$79))*$W$6:$W$25)-(INDEX($W$6:$W$25,$A83)+INDEX($W$6:$W$25,V$79))/2)^2)</f>
        <v>3364</v>
      </c>
    </row>
    <row r="84" customFormat="false" ht="15" hidden="false" customHeight="false" outlineLevel="0" collapsed="false">
      <c r="A84" s="29" t="n">
        <v>4</v>
      </c>
      <c r="B84" s="29" t="n">
        <f aca="false">IF(INDEX(Pengaturan!$B$8:$B$27,$A84)="","",INDEX(Pengaturan!$B$8:$B$27,$A84))</f>
        <v>4</v>
      </c>
      <c r="C84" s="33" t="n">
        <f aca="false">IF($A84=C$79,0,(SUMPRODUCT(($A$6:$A$25&gt;=MIN($A84,C$79))*($A$6:$A$25&lt;=MAX($A84,C$79))*$W$6:$W$25)-(INDEX($W$6:$W$25,$A84)+INDEX($W$6:$W$25,C$79))/2)^2)</f>
        <v>2450.25</v>
      </c>
      <c r="D84" s="33" t="n">
        <f aca="false">IF($A84=D$79,0,(SUMPRODUCT(($A$6:$A$25&gt;=MIN($A84,D$79))*($A$6:$A$25&lt;=MAX($A84,D$79))*$W$6:$W$25)-(INDEX($W$6:$W$25,$A84)+INDEX($W$6:$W$25,D$79))/2)^2)</f>
        <v>992.25</v>
      </c>
      <c r="E84" s="33" t="n">
        <f aca="false">IF($A84=E$79,0,(SUMPRODUCT(($A$6:$A$25&gt;=MIN($A84,E$79))*($A$6:$A$25&lt;=MAX($A84,E$79))*$W$6:$W$25)-(INDEX($W$6:$W$25,$A84)+INDEX($W$6:$W$25,E$79))/2)^2)</f>
        <v>342.25</v>
      </c>
      <c r="F84" s="33" t="n">
        <f aca="false">IF($A84=F$79,0,(SUMPRODUCT(($A$6:$A$25&gt;=MIN($A84,F$79))*($A$6:$A$25&lt;=MAX($A84,F$79))*$W$6:$W$25)-(INDEX($W$6:$W$25,$A84)+INDEX($W$6:$W$25,F$79))/2)^2)</f>
        <v>0</v>
      </c>
      <c r="G84" s="33" t="n">
        <f aca="false">IF($A84=G$79,0,(SUMPRODUCT(($A$6:$A$25&gt;=MIN($A84,G$79))*($A$6:$A$25&lt;=MAX($A84,G$79))*$W$6:$W$25)-(INDEX($W$6:$W$25,$A84)+INDEX($W$6:$W$25,G$79))/2)^2)</f>
        <v>676</v>
      </c>
      <c r="H84" s="33" t="n">
        <f aca="false">IF($A84=H$79,0,(SUMPRODUCT(($A$6:$A$25&gt;=MIN($A84,H$79))*($A$6:$A$25&lt;=MAX($A84,H$79))*$W$6:$W$25)-(INDEX($W$6:$W$25,$A84)+INDEX($W$6:$W$25,H$79))/2)^2)</f>
        <v>1560.25</v>
      </c>
      <c r="I84" s="33" t="n">
        <f aca="false">IF($A84=I$79,0,(SUMPRODUCT(($A$6:$A$25&gt;=MIN($A84,I$79))*($A$6:$A$25&lt;=MAX($A84,I$79))*$W$6:$W$25)-(INDEX($W$6:$W$25,$A84)+INDEX($W$6:$W$25,I$79))/2)^2)</f>
        <v>1560.25</v>
      </c>
      <c r="J84" s="33" t="n">
        <f aca="false">IF($A84=J$79,0,(SUMPRODUCT(($A$6:$A$25&gt;=MIN($A84,J$79))*($A$6:$A$25&lt;=MAX($A84,J$79))*$W$6:$W$25)-(INDEX($W$6:$W$25,$A84)+INDEX($W$6:$W$25,J$79))/2)^2)</f>
        <v>1560.25</v>
      </c>
      <c r="K84" s="33" t="n">
        <f aca="false">IF($A84=K$79,0,(SUMPRODUCT(($A$6:$A$25&gt;=MIN($A84,K$79))*($A$6:$A$25&lt;=MAX($A84,K$79))*$W$6:$W$25)-(INDEX($W$6:$W$25,$A84)+INDEX($W$6:$W$25,K$79))/2)^2)</f>
        <v>1560.25</v>
      </c>
      <c r="L84" s="33" t="n">
        <f aca="false">IF($A84=L$79,0,(SUMPRODUCT(($A$6:$A$25&gt;=MIN($A84,L$79))*($A$6:$A$25&lt;=MAX($A84,L$79))*$W$6:$W$25)-(INDEX($W$6:$W$25,$A84)+INDEX($W$6:$W$25,L$79))/2)^2)</f>
        <v>1560.25</v>
      </c>
      <c r="M84" s="33" t="n">
        <f aca="false">IF($A84=M$79,0,(SUMPRODUCT(($A$6:$A$25&gt;=MIN($A84,M$79))*($A$6:$A$25&lt;=MAX($A84,M$79))*$W$6:$W$25)-(INDEX($W$6:$W$25,$A84)+INDEX($W$6:$W$25,M$79))/2)^2)</f>
        <v>1560.25</v>
      </c>
      <c r="N84" s="33" t="n">
        <f aca="false">IF($A84=N$79,0,(SUMPRODUCT(($A$6:$A$25&gt;=MIN($A84,N$79))*($A$6:$A$25&lt;=MAX($A84,N$79))*$W$6:$W$25)-(INDEX($W$6:$W$25,$A84)+INDEX($W$6:$W$25,N$79))/2)^2)</f>
        <v>1560.25</v>
      </c>
      <c r="O84" s="33" t="n">
        <f aca="false">IF($A84=O$79,0,(SUMPRODUCT(($A$6:$A$25&gt;=MIN($A84,O$79))*($A$6:$A$25&lt;=MAX($A84,O$79))*$W$6:$W$25)-(INDEX($W$6:$W$25,$A84)+INDEX($W$6:$W$25,O$79))/2)^2)</f>
        <v>1560.25</v>
      </c>
      <c r="P84" s="33" t="n">
        <f aca="false">IF($A84=P$79,0,(SUMPRODUCT(($A$6:$A$25&gt;=MIN($A84,P$79))*($A$6:$A$25&lt;=MAX($A84,P$79))*$W$6:$W$25)-(INDEX($W$6:$W$25,$A84)+INDEX($W$6:$W$25,P$79))/2)^2)</f>
        <v>1560.25</v>
      </c>
      <c r="Q84" s="33" t="n">
        <f aca="false">IF($A84=Q$79,0,(SUMPRODUCT(($A$6:$A$25&gt;=MIN($A84,Q$79))*($A$6:$A$25&lt;=MAX($A84,Q$79))*$W$6:$W$25)-(INDEX($W$6:$W$25,$A84)+INDEX($W$6:$W$25,Q$79))/2)^2)</f>
        <v>1560.25</v>
      </c>
      <c r="R84" s="33" t="n">
        <f aca="false">IF($A84=R$79,0,(SUMPRODUCT(($A$6:$A$25&gt;=MIN($A84,R$79))*($A$6:$A$25&lt;=MAX($A84,R$79))*$W$6:$W$25)-(INDEX($W$6:$W$25,$A84)+INDEX($W$6:$W$25,R$79))/2)^2)</f>
        <v>1560.25</v>
      </c>
      <c r="S84" s="33" t="n">
        <f aca="false">IF($A84=S$79,0,(SUMPRODUCT(($A$6:$A$25&gt;=MIN($A84,S$79))*($A$6:$A$25&lt;=MAX($A84,S$79))*$W$6:$W$25)-(INDEX($W$6:$W$25,$A84)+INDEX($W$6:$W$25,S$79))/2)^2)</f>
        <v>1560.25</v>
      </c>
      <c r="T84" s="33" t="n">
        <f aca="false">IF($A84=T$79,0,(SUMPRODUCT(($A$6:$A$25&gt;=MIN($A84,T$79))*($A$6:$A$25&lt;=MAX($A84,T$79))*$W$6:$W$25)-(INDEX($W$6:$W$25,$A84)+INDEX($W$6:$W$25,T$79))/2)^2)</f>
        <v>1560.25</v>
      </c>
      <c r="U84" s="33" t="n">
        <f aca="false">IF($A84=U$79,0,(SUMPRODUCT(($A$6:$A$25&gt;=MIN($A84,U$79))*($A$6:$A$25&lt;=MAX($A84,U$79))*$W$6:$W$25)-(INDEX($W$6:$W$25,$A84)+INDEX($W$6:$W$25,U$79))/2)^2)</f>
        <v>1560.25</v>
      </c>
      <c r="V84" s="33" t="n">
        <f aca="false">IF($A84=V$79,0,(SUMPRODUCT(($A$6:$A$25&gt;=MIN($A84,V$79))*($A$6:$A$25&lt;=MAX($A84,V$79))*$W$6:$W$25)-(INDEX($W$6:$W$25,$A84)+INDEX($W$6:$W$25,V$79))/2)^2)</f>
        <v>1560.25</v>
      </c>
    </row>
    <row r="85" customFormat="false" ht="15" hidden="false" customHeight="false" outlineLevel="0" collapsed="false">
      <c r="A85" s="29" t="n">
        <v>5</v>
      </c>
      <c r="B85" s="29" t="n">
        <f aca="false">IF(INDEX(Pengaturan!$B$8:$B$27,$A85)="","",INDEX(Pengaturan!$B$8:$B$27,$A85))</f>
        <v>5</v>
      </c>
      <c r="C85" s="33" t="n">
        <f aca="false">IF($A85=C$79,0,(SUMPRODUCT(($A$6:$A$25&gt;=MIN($A85,C$79))*($A$6:$A$25&lt;=MAX($A85,C$79))*$W$6:$W$25)-(INDEX($W$6:$W$25,$A85)+INDEX($W$6:$W$25,C$79))/2)^2)</f>
        <v>5700.25</v>
      </c>
      <c r="D85" s="33" t="n">
        <f aca="false">IF($A85=D$79,0,(SUMPRODUCT(($A$6:$A$25&gt;=MIN($A85,D$79))*($A$6:$A$25&lt;=MAX($A85,D$79))*$W$6:$W$25)-(INDEX($W$6:$W$25,$A85)+INDEX($W$6:$W$25,D$79))/2)^2)</f>
        <v>3306.25</v>
      </c>
      <c r="E85" s="33" t="n">
        <f aca="false">IF($A85=E$79,0,(SUMPRODUCT(($A$6:$A$25&gt;=MIN($A85,E$79))*($A$6:$A$25&lt;=MAX($A85,E$79))*$W$6:$W$25)-(INDEX($W$6:$W$25,$A85)+INDEX($W$6:$W$25,E$79))/2)^2)</f>
        <v>1980.25</v>
      </c>
      <c r="F85" s="33" t="n">
        <f aca="false">IF($A85=F$79,0,(SUMPRODUCT(($A$6:$A$25&gt;=MIN($A85,F$79))*($A$6:$A$25&lt;=MAX($A85,F$79))*$W$6:$W$25)-(INDEX($W$6:$W$25,$A85)+INDEX($W$6:$W$25,F$79))/2)^2)</f>
        <v>676</v>
      </c>
      <c r="G85" s="33" t="n">
        <f aca="false">IF($A85=G$79,0,(SUMPRODUCT(($A$6:$A$25&gt;=MIN($A85,G$79))*($A$6:$A$25&lt;=MAX($A85,G$79))*$W$6:$W$25)-(INDEX($W$6:$W$25,$A85)+INDEX($W$6:$W$25,G$79))/2)^2)</f>
        <v>0</v>
      </c>
      <c r="H85" s="33" t="n">
        <f aca="false">IF($A85=H$79,0,(SUMPRODUCT(($A$6:$A$25&gt;=MIN($A85,H$79))*($A$6:$A$25&lt;=MAX($A85,H$79))*$W$6:$W$25)-(INDEX($W$6:$W$25,$A85)+INDEX($W$6:$W$25,H$79))/2)^2)</f>
        <v>182.25</v>
      </c>
      <c r="I85" s="33" t="n">
        <f aca="false">IF($A85=I$79,0,(SUMPRODUCT(($A$6:$A$25&gt;=MIN($A85,I$79))*($A$6:$A$25&lt;=MAX($A85,I$79))*$W$6:$W$25)-(INDEX($W$6:$W$25,$A85)+INDEX($W$6:$W$25,I$79))/2)^2)</f>
        <v>182.25</v>
      </c>
      <c r="J85" s="33" t="n">
        <f aca="false">IF($A85=J$79,0,(SUMPRODUCT(($A$6:$A$25&gt;=MIN($A85,J$79))*($A$6:$A$25&lt;=MAX($A85,J$79))*$W$6:$W$25)-(INDEX($W$6:$W$25,$A85)+INDEX($W$6:$W$25,J$79))/2)^2)</f>
        <v>182.25</v>
      </c>
      <c r="K85" s="33" t="n">
        <f aca="false">IF($A85=K$79,0,(SUMPRODUCT(($A$6:$A$25&gt;=MIN($A85,K$79))*($A$6:$A$25&lt;=MAX($A85,K$79))*$W$6:$W$25)-(INDEX($W$6:$W$25,$A85)+INDEX($W$6:$W$25,K$79))/2)^2)</f>
        <v>182.25</v>
      </c>
      <c r="L85" s="33" t="n">
        <f aca="false">IF($A85=L$79,0,(SUMPRODUCT(($A$6:$A$25&gt;=MIN($A85,L$79))*($A$6:$A$25&lt;=MAX($A85,L$79))*$W$6:$W$25)-(INDEX($W$6:$W$25,$A85)+INDEX($W$6:$W$25,L$79))/2)^2)</f>
        <v>182.25</v>
      </c>
      <c r="M85" s="33" t="n">
        <f aca="false">IF($A85=M$79,0,(SUMPRODUCT(($A$6:$A$25&gt;=MIN($A85,M$79))*($A$6:$A$25&lt;=MAX($A85,M$79))*$W$6:$W$25)-(INDEX($W$6:$W$25,$A85)+INDEX($W$6:$W$25,M$79))/2)^2)</f>
        <v>182.25</v>
      </c>
      <c r="N85" s="33" t="n">
        <f aca="false">IF($A85=N$79,0,(SUMPRODUCT(($A$6:$A$25&gt;=MIN($A85,N$79))*($A$6:$A$25&lt;=MAX($A85,N$79))*$W$6:$W$25)-(INDEX($W$6:$W$25,$A85)+INDEX($W$6:$W$25,N$79))/2)^2)</f>
        <v>182.25</v>
      </c>
      <c r="O85" s="33" t="n">
        <f aca="false">IF($A85=O$79,0,(SUMPRODUCT(($A$6:$A$25&gt;=MIN($A85,O$79))*($A$6:$A$25&lt;=MAX($A85,O$79))*$W$6:$W$25)-(INDEX($W$6:$W$25,$A85)+INDEX($W$6:$W$25,O$79))/2)^2)</f>
        <v>182.25</v>
      </c>
      <c r="P85" s="33" t="n">
        <f aca="false">IF($A85=P$79,0,(SUMPRODUCT(($A$6:$A$25&gt;=MIN($A85,P$79))*($A$6:$A$25&lt;=MAX($A85,P$79))*$W$6:$W$25)-(INDEX($W$6:$W$25,$A85)+INDEX($W$6:$W$25,P$79))/2)^2)</f>
        <v>182.25</v>
      </c>
      <c r="Q85" s="33" t="n">
        <f aca="false">IF($A85=Q$79,0,(SUMPRODUCT(($A$6:$A$25&gt;=MIN($A85,Q$79))*($A$6:$A$25&lt;=MAX($A85,Q$79))*$W$6:$W$25)-(INDEX($W$6:$W$25,$A85)+INDEX($W$6:$W$25,Q$79))/2)^2)</f>
        <v>182.25</v>
      </c>
      <c r="R85" s="33" t="n">
        <f aca="false">IF($A85=R$79,0,(SUMPRODUCT(($A$6:$A$25&gt;=MIN($A85,R$79))*($A$6:$A$25&lt;=MAX($A85,R$79))*$W$6:$W$25)-(INDEX($W$6:$W$25,$A85)+INDEX($W$6:$W$25,R$79))/2)^2)</f>
        <v>182.25</v>
      </c>
      <c r="S85" s="33" t="n">
        <f aca="false">IF($A85=S$79,0,(SUMPRODUCT(($A$6:$A$25&gt;=MIN($A85,S$79))*($A$6:$A$25&lt;=MAX($A85,S$79))*$W$6:$W$25)-(INDEX($W$6:$W$25,$A85)+INDEX($W$6:$W$25,S$79))/2)^2)</f>
        <v>182.25</v>
      </c>
      <c r="T85" s="33" t="n">
        <f aca="false">IF($A85=T$79,0,(SUMPRODUCT(($A$6:$A$25&gt;=MIN($A85,T$79))*($A$6:$A$25&lt;=MAX($A85,T$79))*$W$6:$W$25)-(INDEX($W$6:$W$25,$A85)+INDEX($W$6:$W$25,T$79))/2)^2)</f>
        <v>182.25</v>
      </c>
      <c r="U85" s="33" t="n">
        <f aca="false">IF($A85=U$79,0,(SUMPRODUCT(($A$6:$A$25&gt;=MIN($A85,U$79))*($A$6:$A$25&lt;=MAX($A85,U$79))*$W$6:$W$25)-(INDEX($W$6:$W$25,$A85)+INDEX($W$6:$W$25,U$79))/2)^2)</f>
        <v>182.25</v>
      </c>
      <c r="V85" s="33" t="n">
        <f aca="false">IF($A85=V$79,0,(SUMPRODUCT(($A$6:$A$25&gt;=MIN($A85,V$79))*($A$6:$A$25&lt;=MAX($A85,V$79))*$W$6:$W$25)-(INDEX($W$6:$W$25,$A85)+INDEX($W$6:$W$25,V$79))/2)^2)</f>
        <v>182.25</v>
      </c>
    </row>
    <row r="86" customFormat="false" ht="15" hidden="false" customHeight="false" outlineLevel="0" collapsed="false">
      <c r="A86" s="29" t="n">
        <v>6</v>
      </c>
      <c r="B86" s="29" t="str">
        <f aca="false">IF(INDEX(Pengaturan!$B$8:$B$27,$A86)="","",INDEX(Pengaturan!$B$8:$B$27,$A86))</f>
        <v/>
      </c>
      <c r="C86" s="33" t="n">
        <f aca="false">IF($A86=C$79,0,(SUMPRODUCT(($A$6:$A$25&gt;=MIN($A86,C$79))*($A$6:$A$25&lt;=MAX($A86,C$79))*$W$6:$W$25)-(INDEX($W$6:$W$25,$A86)+INDEX($W$6:$W$25,C$79))/2)^2)</f>
        <v>7921</v>
      </c>
      <c r="D86" s="33" t="n">
        <f aca="false">IF($A86=D$79,0,(SUMPRODUCT(($A$6:$A$25&gt;=MIN($A86,D$79))*($A$6:$A$25&lt;=MAX($A86,D$79))*$W$6:$W$25)-(INDEX($W$6:$W$25,$A86)+INDEX($W$6:$W$25,D$79))/2)^2)</f>
        <v>5041</v>
      </c>
      <c r="E86" s="33" t="n">
        <f aca="false">IF($A86=E$79,0,(SUMPRODUCT(($A$6:$A$25&gt;=MIN($A86,E$79))*($A$6:$A$25&lt;=MAX($A86,E$79))*$W$6:$W$25)-(INDEX($W$6:$W$25,$A86)+INDEX($W$6:$W$25,E$79))/2)^2)</f>
        <v>3364</v>
      </c>
      <c r="F86" s="33" t="n">
        <f aca="false">IF($A86=F$79,0,(SUMPRODUCT(($A$6:$A$25&gt;=MIN($A86,F$79))*($A$6:$A$25&lt;=MAX($A86,F$79))*$W$6:$W$25)-(INDEX($W$6:$W$25,$A86)+INDEX($W$6:$W$25,F$79))/2)^2)</f>
        <v>1560.25</v>
      </c>
      <c r="G86" s="33" t="n">
        <f aca="false">IF($A86=G$79,0,(SUMPRODUCT(($A$6:$A$25&gt;=MIN($A86,G$79))*($A$6:$A$25&lt;=MAX($A86,G$79))*$W$6:$W$25)-(INDEX($W$6:$W$25,$A86)+INDEX($W$6:$W$25,G$79))/2)^2)</f>
        <v>182.25</v>
      </c>
      <c r="H86" s="33" t="n">
        <f aca="false">IF($A86=H$79,0,(SUMPRODUCT(($A$6:$A$25&gt;=MIN($A86,H$79))*($A$6:$A$25&lt;=MAX($A86,H$79))*$W$6:$W$25)-(INDEX($W$6:$W$25,$A86)+INDEX($W$6:$W$25,H$79))/2)^2)</f>
        <v>0</v>
      </c>
      <c r="I86" s="33" t="n">
        <f aca="false">IF($A86=I$79,0,(SUMPRODUCT(($A$6:$A$25&gt;=MIN($A86,I$79))*($A$6:$A$25&lt;=MAX($A86,I$79))*$W$6:$W$25)-(INDEX($W$6:$W$25,$A86)+INDEX($W$6:$W$25,I$79))/2)^2)</f>
        <v>0</v>
      </c>
      <c r="J86" s="33" t="n">
        <f aca="false">IF($A86=J$79,0,(SUMPRODUCT(($A$6:$A$25&gt;=MIN($A86,J$79))*($A$6:$A$25&lt;=MAX($A86,J$79))*$W$6:$W$25)-(INDEX($W$6:$W$25,$A86)+INDEX($W$6:$W$25,J$79))/2)^2)</f>
        <v>0</v>
      </c>
      <c r="K86" s="33" t="n">
        <f aca="false">IF($A86=K$79,0,(SUMPRODUCT(($A$6:$A$25&gt;=MIN($A86,K$79))*($A$6:$A$25&lt;=MAX($A86,K$79))*$W$6:$W$25)-(INDEX($W$6:$W$25,$A86)+INDEX($W$6:$W$25,K$79))/2)^2)</f>
        <v>0</v>
      </c>
      <c r="L86" s="33" t="n">
        <f aca="false">IF($A86=L$79,0,(SUMPRODUCT(($A$6:$A$25&gt;=MIN($A86,L$79))*($A$6:$A$25&lt;=MAX($A86,L$79))*$W$6:$W$25)-(INDEX($W$6:$W$25,$A86)+INDEX($W$6:$W$25,L$79))/2)^2)</f>
        <v>0</v>
      </c>
      <c r="M86" s="33" t="n">
        <f aca="false">IF($A86=M$79,0,(SUMPRODUCT(($A$6:$A$25&gt;=MIN($A86,M$79))*($A$6:$A$25&lt;=MAX($A86,M$79))*$W$6:$W$25)-(INDEX($W$6:$W$25,$A86)+INDEX($W$6:$W$25,M$79))/2)^2)</f>
        <v>0</v>
      </c>
      <c r="N86" s="33" t="n">
        <f aca="false">IF($A86=N$79,0,(SUMPRODUCT(($A$6:$A$25&gt;=MIN($A86,N$79))*($A$6:$A$25&lt;=MAX($A86,N$79))*$W$6:$W$25)-(INDEX($W$6:$W$25,$A86)+INDEX($W$6:$W$25,N$79))/2)^2)</f>
        <v>0</v>
      </c>
      <c r="O86" s="33" t="n">
        <f aca="false">IF($A86=O$79,0,(SUMPRODUCT(($A$6:$A$25&gt;=MIN($A86,O$79))*($A$6:$A$25&lt;=MAX($A86,O$79))*$W$6:$W$25)-(INDEX($W$6:$W$25,$A86)+INDEX($W$6:$W$25,O$79))/2)^2)</f>
        <v>0</v>
      </c>
      <c r="P86" s="33" t="n">
        <f aca="false">IF($A86=P$79,0,(SUMPRODUCT(($A$6:$A$25&gt;=MIN($A86,P$79))*($A$6:$A$25&lt;=MAX($A86,P$79))*$W$6:$W$25)-(INDEX($W$6:$W$25,$A86)+INDEX($W$6:$W$25,P$79))/2)^2)</f>
        <v>0</v>
      </c>
      <c r="Q86" s="33" t="n">
        <f aca="false">IF($A86=Q$79,0,(SUMPRODUCT(($A$6:$A$25&gt;=MIN($A86,Q$79))*($A$6:$A$25&lt;=MAX($A86,Q$79))*$W$6:$W$25)-(INDEX($W$6:$W$25,$A86)+INDEX($W$6:$W$25,Q$79))/2)^2)</f>
        <v>0</v>
      </c>
      <c r="R86" s="33" t="n">
        <f aca="false">IF($A86=R$79,0,(SUMPRODUCT(($A$6:$A$25&gt;=MIN($A86,R$79))*($A$6:$A$25&lt;=MAX($A86,R$79))*$W$6:$W$25)-(INDEX($W$6:$W$25,$A86)+INDEX($W$6:$W$25,R$79))/2)^2)</f>
        <v>0</v>
      </c>
      <c r="S86" s="33" t="n">
        <f aca="false">IF($A86=S$79,0,(SUMPRODUCT(($A$6:$A$25&gt;=MIN($A86,S$79))*($A$6:$A$25&lt;=MAX($A86,S$79))*$W$6:$W$25)-(INDEX($W$6:$W$25,$A86)+INDEX($W$6:$W$25,S$79))/2)^2)</f>
        <v>0</v>
      </c>
      <c r="T86" s="33" t="n">
        <f aca="false">IF($A86=T$79,0,(SUMPRODUCT(($A$6:$A$25&gt;=MIN($A86,T$79))*($A$6:$A$25&lt;=MAX($A86,T$79))*$W$6:$W$25)-(INDEX($W$6:$W$25,$A86)+INDEX($W$6:$W$25,T$79))/2)^2)</f>
        <v>0</v>
      </c>
      <c r="U86" s="33" t="n">
        <f aca="false">IF($A86=U$79,0,(SUMPRODUCT(($A$6:$A$25&gt;=MIN($A86,U$79))*($A$6:$A$25&lt;=MAX($A86,U$79))*$W$6:$W$25)-(INDEX($W$6:$W$25,$A86)+INDEX($W$6:$W$25,U$79))/2)^2)</f>
        <v>0</v>
      </c>
      <c r="V86" s="33" t="n">
        <f aca="false">IF($A86=V$79,0,(SUMPRODUCT(($A$6:$A$25&gt;=MIN($A86,V$79))*($A$6:$A$25&lt;=MAX($A86,V$79))*$W$6:$W$25)-(INDEX($W$6:$W$25,$A86)+INDEX($W$6:$W$25,V$79))/2)^2)</f>
        <v>0</v>
      </c>
    </row>
    <row r="87" customFormat="false" ht="15" hidden="false" customHeight="false" outlineLevel="0" collapsed="false">
      <c r="A87" s="29" t="n">
        <v>7</v>
      </c>
      <c r="B87" s="29" t="str">
        <f aca="false">IF(INDEX(Pengaturan!$B$8:$B$27,$A87)="","",INDEX(Pengaturan!$B$8:$B$27,$A87))</f>
        <v/>
      </c>
      <c r="C87" s="33" t="n">
        <f aca="false">IF($A87=C$79,0,(SUMPRODUCT(($A$6:$A$25&gt;=MIN($A87,C$79))*($A$6:$A$25&lt;=MAX($A87,C$79))*$W$6:$W$25)-(INDEX($W$6:$W$25,$A87)+INDEX($W$6:$W$25,C$79))/2)^2)</f>
        <v>7921</v>
      </c>
      <c r="D87" s="33" t="n">
        <f aca="false">IF($A87=D$79,0,(SUMPRODUCT(($A$6:$A$25&gt;=MIN($A87,D$79))*($A$6:$A$25&lt;=MAX($A87,D$79))*$W$6:$W$25)-(INDEX($W$6:$W$25,$A87)+INDEX($W$6:$W$25,D$79))/2)^2)</f>
        <v>5041</v>
      </c>
      <c r="E87" s="33" t="n">
        <f aca="false">IF($A87=E$79,0,(SUMPRODUCT(($A$6:$A$25&gt;=MIN($A87,E$79))*($A$6:$A$25&lt;=MAX($A87,E$79))*$W$6:$W$25)-(INDEX($W$6:$W$25,$A87)+INDEX($W$6:$W$25,E$79))/2)^2)</f>
        <v>3364</v>
      </c>
      <c r="F87" s="33" t="n">
        <f aca="false">IF($A87=F$79,0,(SUMPRODUCT(($A$6:$A$25&gt;=MIN($A87,F$79))*($A$6:$A$25&lt;=MAX($A87,F$79))*$W$6:$W$25)-(INDEX($W$6:$W$25,$A87)+INDEX($W$6:$W$25,F$79))/2)^2)</f>
        <v>1560.25</v>
      </c>
      <c r="G87" s="33" t="n">
        <f aca="false">IF($A87=G$79,0,(SUMPRODUCT(($A$6:$A$25&gt;=MIN($A87,G$79))*($A$6:$A$25&lt;=MAX($A87,G$79))*$W$6:$W$25)-(INDEX($W$6:$W$25,$A87)+INDEX($W$6:$W$25,G$79))/2)^2)</f>
        <v>182.25</v>
      </c>
      <c r="H87" s="33" t="n">
        <f aca="false">IF($A87=H$79,0,(SUMPRODUCT(($A$6:$A$25&gt;=MIN($A87,H$79))*($A$6:$A$25&lt;=MAX($A87,H$79))*$W$6:$W$25)-(INDEX($W$6:$W$25,$A87)+INDEX($W$6:$W$25,H$79))/2)^2)</f>
        <v>0</v>
      </c>
      <c r="I87" s="33" t="n">
        <f aca="false">IF($A87=I$79,0,(SUMPRODUCT(($A$6:$A$25&gt;=MIN($A87,I$79))*($A$6:$A$25&lt;=MAX($A87,I$79))*$W$6:$W$25)-(INDEX($W$6:$W$25,$A87)+INDEX($W$6:$W$25,I$79))/2)^2)</f>
        <v>0</v>
      </c>
      <c r="J87" s="33" t="n">
        <f aca="false">IF($A87=J$79,0,(SUMPRODUCT(($A$6:$A$25&gt;=MIN($A87,J$79))*($A$6:$A$25&lt;=MAX($A87,J$79))*$W$6:$W$25)-(INDEX($W$6:$W$25,$A87)+INDEX($W$6:$W$25,J$79))/2)^2)</f>
        <v>0</v>
      </c>
      <c r="K87" s="33" t="n">
        <f aca="false">IF($A87=K$79,0,(SUMPRODUCT(($A$6:$A$25&gt;=MIN($A87,K$79))*($A$6:$A$25&lt;=MAX($A87,K$79))*$W$6:$W$25)-(INDEX($W$6:$W$25,$A87)+INDEX($W$6:$W$25,K$79))/2)^2)</f>
        <v>0</v>
      </c>
      <c r="L87" s="33" t="n">
        <f aca="false">IF($A87=L$79,0,(SUMPRODUCT(($A$6:$A$25&gt;=MIN($A87,L$79))*($A$6:$A$25&lt;=MAX($A87,L$79))*$W$6:$W$25)-(INDEX($W$6:$W$25,$A87)+INDEX($W$6:$W$25,L$79))/2)^2)</f>
        <v>0</v>
      </c>
      <c r="M87" s="33" t="n">
        <f aca="false">IF($A87=M$79,0,(SUMPRODUCT(($A$6:$A$25&gt;=MIN($A87,M$79))*($A$6:$A$25&lt;=MAX($A87,M$79))*$W$6:$W$25)-(INDEX($W$6:$W$25,$A87)+INDEX($W$6:$W$25,M$79))/2)^2)</f>
        <v>0</v>
      </c>
      <c r="N87" s="33" t="n">
        <f aca="false">IF($A87=N$79,0,(SUMPRODUCT(($A$6:$A$25&gt;=MIN($A87,N$79))*($A$6:$A$25&lt;=MAX($A87,N$79))*$W$6:$W$25)-(INDEX($W$6:$W$25,$A87)+INDEX($W$6:$W$25,N$79))/2)^2)</f>
        <v>0</v>
      </c>
      <c r="O87" s="33" t="n">
        <f aca="false">IF($A87=O$79,0,(SUMPRODUCT(($A$6:$A$25&gt;=MIN($A87,O$79))*($A$6:$A$25&lt;=MAX($A87,O$79))*$W$6:$W$25)-(INDEX($W$6:$W$25,$A87)+INDEX($W$6:$W$25,O$79))/2)^2)</f>
        <v>0</v>
      </c>
      <c r="P87" s="33" t="n">
        <f aca="false">IF($A87=P$79,0,(SUMPRODUCT(($A$6:$A$25&gt;=MIN($A87,P$79))*($A$6:$A$25&lt;=MAX($A87,P$79))*$W$6:$W$25)-(INDEX($W$6:$W$25,$A87)+INDEX($W$6:$W$25,P$79))/2)^2)</f>
        <v>0</v>
      </c>
      <c r="Q87" s="33" t="n">
        <f aca="false">IF($A87=Q$79,0,(SUMPRODUCT(($A$6:$A$25&gt;=MIN($A87,Q$79))*($A$6:$A$25&lt;=MAX($A87,Q$79))*$W$6:$W$25)-(INDEX($W$6:$W$25,$A87)+INDEX($W$6:$W$25,Q$79))/2)^2)</f>
        <v>0</v>
      </c>
      <c r="R87" s="33" t="n">
        <f aca="false">IF($A87=R$79,0,(SUMPRODUCT(($A$6:$A$25&gt;=MIN($A87,R$79))*($A$6:$A$25&lt;=MAX($A87,R$79))*$W$6:$W$25)-(INDEX($W$6:$W$25,$A87)+INDEX($W$6:$W$25,R$79))/2)^2)</f>
        <v>0</v>
      </c>
      <c r="S87" s="33" t="n">
        <f aca="false">IF($A87=S$79,0,(SUMPRODUCT(($A$6:$A$25&gt;=MIN($A87,S$79))*($A$6:$A$25&lt;=MAX($A87,S$79))*$W$6:$W$25)-(INDEX($W$6:$W$25,$A87)+INDEX($W$6:$W$25,S$79))/2)^2)</f>
        <v>0</v>
      </c>
      <c r="T87" s="33" t="n">
        <f aca="false">IF($A87=T$79,0,(SUMPRODUCT(($A$6:$A$25&gt;=MIN($A87,T$79))*($A$6:$A$25&lt;=MAX($A87,T$79))*$W$6:$W$25)-(INDEX($W$6:$W$25,$A87)+INDEX($W$6:$W$25,T$79))/2)^2)</f>
        <v>0</v>
      </c>
      <c r="U87" s="33" t="n">
        <f aca="false">IF($A87=U$79,0,(SUMPRODUCT(($A$6:$A$25&gt;=MIN($A87,U$79))*($A$6:$A$25&lt;=MAX($A87,U$79))*$W$6:$W$25)-(INDEX($W$6:$W$25,$A87)+INDEX($W$6:$W$25,U$79))/2)^2)</f>
        <v>0</v>
      </c>
      <c r="V87" s="33" t="n">
        <f aca="false">IF($A87=V$79,0,(SUMPRODUCT(($A$6:$A$25&gt;=MIN($A87,V$79))*($A$6:$A$25&lt;=MAX($A87,V$79))*$W$6:$W$25)-(INDEX($W$6:$W$25,$A87)+INDEX($W$6:$W$25,V$79))/2)^2)</f>
        <v>0</v>
      </c>
    </row>
    <row r="88" customFormat="false" ht="15" hidden="false" customHeight="false" outlineLevel="0" collapsed="false">
      <c r="A88" s="29" t="n">
        <v>8</v>
      </c>
      <c r="B88" s="29" t="str">
        <f aca="false">IF(INDEX(Pengaturan!$B$8:$B$27,$A88)="","",INDEX(Pengaturan!$B$8:$B$27,$A88))</f>
        <v/>
      </c>
      <c r="C88" s="33" t="n">
        <f aca="false">IF($A88=C$79,0,(SUMPRODUCT(($A$6:$A$25&gt;=MIN($A88,C$79))*($A$6:$A$25&lt;=MAX($A88,C$79))*$W$6:$W$25)-(INDEX($W$6:$W$25,$A88)+INDEX($W$6:$W$25,C$79))/2)^2)</f>
        <v>7921</v>
      </c>
      <c r="D88" s="33" t="n">
        <f aca="false">IF($A88=D$79,0,(SUMPRODUCT(($A$6:$A$25&gt;=MIN($A88,D$79))*($A$6:$A$25&lt;=MAX($A88,D$79))*$W$6:$W$25)-(INDEX($W$6:$W$25,$A88)+INDEX($W$6:$W$25,D$79))/2)^2)</f>
        <v>5041</v>
      </c>
      <c r="E88" s="33" t="n">
        <f aca="false">IF($A88=E$79,0,(SUMPRODUCT(($A$6:$A$25&gt;=MIN($A88,E$79))*($A$6:$A$25&lt;=MAX($A88,E$79))*$W$6:$W$25)-(INDEX($W$6:$W$25,$A88)+INDEX($W$6:$W$25,E$79))/2)^2)</f>
        <v>3364</v>
      </c>
      <c r="F88" s="33" t="n">
        <f aca="false">IF($A88=F$79,0,(SUMPRODUCT(($A$6:$A$25&gt;=MIN($A88,F$79))*($A$6:$A$25&lt;=MAX($A88,F$79))*$W$6:$W$25)-(INDEX($W$6:$W$25,$A88)+INDEX($W$6:$W$25,F$79))/2)^2)</f>
        <v>1560.25</v>
      </c>
      <c r="G88" s="33" t="n">
        <f aca="false">IF($A88=G$79,0,(SUMPRODUCT(($A$6:$A$25&gt;=MIN($A88,G$79))*($A$6:$A$25&lt;=MAX($A88,G$79))*$W$6:$W$25)-(INDEX($W$6:$W$25,$A88)+INDEX($W$6:$W$25,G$79))/2)^2)</f>
        <v>182.25</v>
      </c>
      <c r="H88" s="33" t="n">
        <f aca="false">IF($A88=H$79,0,(SUMPRODUCT(($A$6:$A$25&gt;=MIN($A88,H$79))*($A$6:$A$25&lt;=MAX($A88,H$79))*$W$6:$W$25)-(INDEX($W$6:$W$25,$A88)+INDEX($W$6:$W$25,H$79))/2)^2)</f>
        <v>0</v>
      </c>
      <c r="I88" s="33" t="n">
        <f aca="false">IF($A88=I$79,0,(SUMPRODUCT(($A$6:$A$25&gt;=MIN($A88,I$79))*($A$6:$A$25&lt;=MAX($A88,I$79))*$W$6:$W$25)-(INDEX($W$6:$W$25,$A88)+INDEX($W$6:$W$25,I$79))/2)^2)</f>
        <v>0</v>
      </c>
      <c r="J88" s="33" t="n">
        <f aca="false">IF($A88=J$79,0,(SUMPRODUCT(($A$6:$A$25&gt;=MIN($A88,J$79))*($A$6:$A$25&lt;=MAX($A88,J$79))*$W$6:$W$25)-(INDEX($W$6:$W$25,$A88)+INDEX($W$6:$W$25,J$79))/2)^2)</f>
        <v>0</v>
      </c>
      <c r="K88" s="33" t="n">
        <f aca="false">IF($A88=K$79,0,(SUMPRODUCT(($A$6:$A$25&gt;=MIN($A88,K$79))*($A$6:$A$25&lt;=MAX($A88,K$79))*$W$6:$W$25)-(INDEX($W$6:$W$25,$A88)+INDEX($W$6:$W$25,K$79))/2)^2)</f>
        <v>0</v>
      </c>
      <c r="L88" s="33" t="n">
        <f aca="false">IF($A88=L$79,0,(SUMPRODUCT(($A$6:$A$25&gt;=MIN($A88,L$79))*($A$6:$A$25&lt;=MAX($A88,L$79))*$W$6:$W$25)-(INDEX($W$6:$W$25,$A88)+INDEX($W$6:$W$25,L$79))/2)^2)</f>
        <v>0</v>
      </c>
      <c r="M88" s="33" t="n">
        <f aca="false">IF($A88=M$79,0,(SUMPRODUCT(($A$6:$A$25&gt;=MIN($A88,M$79))*($A$6:$A$25&lt;=MAX($A88,M$79))*$W$6:$W$25)-(INDEX($W$6:$W$25,$A88)+INDEX($W$6:$W$25,M$79))/2)^2)</f>
        <v>0</v>
      </c>
      <c r="N88" s="33" t="n">
        <f aca="false">IF($A88=N$79,0,(SUMPRODUCT(($A$6:$A$25&gt;=MIN($A88,N$79))*($A$6:$A$25&lt;=MAX($A88,N$79))*$W$6:$W$25)-(INDEX($W$6:$W$25,$A88)+INDEX($W$6:$W$25,N$79))/2)^2)</f>
        <v>0</v>
      </c>
      <c r="O88" s="33" t="n">
        <f aca="false">IF($A88=O$79,0,(SUMPRODUCT(($A$6:$A$25&gt;=MIN($A88,O$79))*($A$6:$A$25&lt;=MAX($A88,O$79))*$W$6:$W$25)-(INDEX($W$6:$W$25,$A88)+INDEX($W$6:$W$25,O$79))/2)^2)</f>
        <v>0</v>
      </c>
      <c r="P88" s="33" t="n">
        <f aca="false">IF($A88=P$79,0,(SUMPRODUCT(($A$6:$A$25&gt;=MIN($A88,P$79))*($A$6:$A$25&lt;=MAX($A88,P$79))*$W$6:$W$25)-(INDEX($W$6:$W$25,$A88)+INDEX($W$6:$W$25,P$79))/2)^2)</f>
        <v>0</v>
      </c>
      <c r="Q88" s="33" t="n">
        <f aca="false">IF($A88=Q$79,0,(SUMPRODUCT(($A$6:$A$25&gt;=MIN($A88,Q$79))*($A$6:$A$25&lt;=MAX($A88,Q$79))*$W$6:$W$25)-(INDEX($W$6:$W$25,$A88)+INDEX($W$6:$W$25,Q$79))/2)^2)</f>
        <v>0</v>
      </c>
      <c r="R88" s="33" t="n">
        <f aca="false">IF($A88=R$79,0,(SUMPRODUCT(($A$6:$A$25&gt;=MIN($A88,R$79))*($A$6:$A$25&lt;=MAX($A88,R$79))*$W$6:$W$25)-(INDEX($W$6:$W$25,$A88)+INDEX($W$6:$W$25,R$79))/2)^2)</f>
        <v>0</v>
      </c>
      <c r="S88" s="33" t="n">
        <f aca="false">IF($A88=S$79,0,(SUMPRODUCT(($A$6:$A$25&gt;=MIN($A88,S$79))*($A$6:$A$25&lt;=MAX($A88,S$79))*$W$6:$W$25)-(INDEX($W$6:$W$25,$A88)+INDEX($W$6:$W$25,S$79))/2)^2)</f>
        <v>0</v>
      </c>
      <c r="T88" s="33" t="n">
        <f aca="false">IF($A88=T$79,0,(SUMPRODUCT(($A$6:$A$25&gt;=MIN($A88,T$79))*($A$6:$A$25&lt;=MAX($A88,T$79))*$W$6:$W$25)-(INDEX($W$6:$W$25,$A88)+INDEX($W$6:$W$25,T$79))/2)^2)</f>
        <v>0</v>
      </c>
      <c r="U88" s="33" t="n">
        <f aca="false">IF($A88=U$79,0,(SUMPRODUCT(($A$6:$A$25&gt;=MIN($A88,U$79))*($A$6:$A$25&lt;=MAX($A88,U$79))*$W$6:$W$25)-(INDEX($W$6:$W$25,$A88)+INDEX($W$6:$W$25,U$79))/2)^2)</f>
        <v>0</v>
      </c>
      <c r="V88" s="33" t="n">
        <f aca="false">IF($A88=V$79,0,(SUMPRODUCT(($A$6:$A$25&gt;=MIN($A88,V$79))*($A$6:$A$25&lt;=MAX($A88,V$79))*$W$6:$W$25)-(INDEX($W$6:$W$25,$A88)+INDEX($W$6:$W$25,V$79))/2)^2)</f>
        <v>0</v>
      </c>
    </row>
    <row r="89" customFormat="false" ht="15" hidden="false" customHeight="false" outlineLevel="0" collapsed="false">
      <c r="A89" s="29" t="n">
        <v>9</v>
      </c>
      <c r="B89" s="29" t="str">
        <f aca="false">IF(INDEX(Pengaturan!$B$8:$B$27,$A89)="","",INDEX(Pengaturan!$B$8:$B$27,$A89))</f>
        <v/>
      </c>
      <c r="C89" s="33" t="n">
        <f aca="false">IF($A89=C$79,0,(SUMPRODUCT(($A$6:$A$25&gt;=MIN($A89,C$79))*($A$6:$A$25&lt;=MAX($A89,C$79))*$W$6:$W$25)-(INDEX($W$6:$W$25,$A89)+INDEX($W$6:$W$25,C$79))/2)^2)</f>
        <v>7921</v>
      </c>
      <c r="D89" s="33" t="n">
        <f aca="false">IF($A89=D$79,0,(SUMPRODUCT(($A$6:$A$25&gt;=MIN($A89,D$79))*($A$6:$A$25&lt;=MAX($A89,D$79))*$W$6:$W$25)-(INDEX($W$6:$W$25,$A89)+INDEX($W$6:$W$25,D$79))/2)^2)</f>
        <v>5041</v>
      </c>
      <c r="E89" s="33" t="n">
        <f aca="false">IF($A89=E$79,0,(SUMPRODUCT(($A$6:$A$25&gt;=MIN($A89,E$79))*($A$6:$A$25&lt;=MAX($A89,E$79))*$W$6:$W$25)-(INDEX($W$6:$W$25,$A89)+INDEX($W$6:$W$25,E$79))/2)^2)</f>
        <v>3364</v>
      </c>
      <c r="F89" s="33" t="n">
        <f aca="false">IF($A89=F$79,0,(SUMPRODUCT(($A$6:$A$25&gt;=MIN($A89,F$79))*($A$6:$A$25&lt;=MAX($A89,F$79))*$W$6:$W$25)-(INDEX($W$6:$W$25,$A89)+INDEX($W$6:$W$25,F$79))/2)^2)</f>
        <v>1560.25</v>
      </c>
      <c r="G89" s="33" t="n">
        <f aca="false">IF($A89=G$79,0,(SUMPRODUCT(($A$6:$A$25&gt;=MIN($A89,G$79))*($A$6:$A$25&lt;=MAX($A89,G$79))*$W$6:$W$25)-(INDEX($W$6:$W$25,$A89)+INDEX($W$6:$W$25,G$79))/2)^2)</f>
        <v>182.25</v>
      </c>
      <c r="H89" s="33" t="n">
        <f aca="false">IF($A89=H$79,0,(SUMPRODUCT(($A$6:$A$25&gt;=MIN($A89,H$79))*($A$6:$A$25&lt;=MAX($A89,H$79))*$W$6:$W$25)-(INDEX($W$6:$W$25,$A89)+INDEX($W$6:$W$25,H$79))/2)^2)</f>
        <v>0</v>
      </c>
      <c r="I89" s="33" t="n">
        <f aca="false">IF($A89=I$79,0,(SUMPRODUCT(($A$6:$A$25&gt;=MIN($A89,I$79))*($A$6:$A$25&lt;=MAX($A89,I$79))*$W$6:$W$25)-(INDEX($W$6:$W$25,$A89)+INDEX($W$6:$W$25,I$79))/2)^2)</f>
        <v>0</v>
      </c>
      <c r="J89" s="33" t="n">
        <f aca="false">IF($A89=J$79,0,(SUMPRODUCT(($A$6:$A$25&gt;=MIN($A89,J$79))*($A$6:$A$25&lt;=MAX($A89,J$79))*$W$6:$W$25)-(INDEX($W$6:$W$25,$A89)+INDEX($W$6:$W$25,J$79))/2)^2)</f>
        <v>0</v>
      </c>
      <c r="K89" s="33" t="n">
        <f aca="false">IF($A89=K$79,0,(SUMPRODUCT(($A$6:$A$25&gt;=MIN($A89,K$79))*($A$6:$A$25&lt;=MAX($A89,K$79))*$W$6:$W$25)-(INDEX($W$6:$W$25,$A89)+INDEX($W$6:$W$25,K$79))/2)^2)</f>
        <v>0</v>
      </c>
      <c r="L89" s="33" t="n">
        <f aca="false">IF($A89=L$79,0,(SUMPRODUCT(($A$6:$A$25&gt;=MIN($A89,L$79))*($A$6:$A$25&lt;=MAX($A89,L$79))*$W$6:$W$25)-(INDEX($W$6:$W$25,$A89)+INDEX($W$6:$W$25,L$79))/2)^2)</f>
        <v>0</v>
      </c>
      <c r="M89" s="33" t="n">
        <f aca="false">IF($A89=M$79,0,(SUMPRODUCT(($A$6:$A$25&gt;=MIN($A89,M$79))*($A$6:$A$25&lt;=MAX($A89,M$79))*$W$6:$W$25)-(INDEX($W$6:$W$25,$A89)+INDEX($W$6:$W$25,M$79))/2)^2)</f>
        <v>0</v>
      </c>
      <c r="N89" s="33" t="n">
        <f aca="false">IF($A89=N$79,0,(SUMPRODUCT(($A$6:$A$25&gt;=MIN($A89,N$79))*($A$6:$A$25&lt;=MAX($A89,N$79))*$W$6:$W$25)-(INDEX($W$6:$W$25,$A89)+INDEX($W$6:$W$25,N$79))/2)^2)</f>
        <v>0</v>
      </c>
      <c r="O89" s="33" t="n">
        <f aca="false">IF($A89=O$79,0,(SUMPRODUCT(($A$6:$A$25&gt;=MIN($A89,O$79))*($A$6:$A$25&lt;=MAX($A89,O$79))*$W$6:$W$25)-(INDEX($W$6:$W$25,$A89)+INDEX($W$6:$W$25,O$79))/2)^2)</f>
        <v>0</v>
      </c>
      <c r="P89" s="33" t="n">
        <f aca="false">IF($A89=P$79,0,(SUMPRODUCT(($A$6:$A$25&gt;=MIN($A89,P$79))*($A$6:$A$25&lt;=MAX($A89,P$79))*$W$6:$W$25)-(INDEX($W$6:$W$25,$A89)+INDEX($W$6:$W$25,P$79))/2)^2)</f>
        <v>0</v>
      </c>
      <c r="Q89" s="33" t="n">
        <f aca="false">IF($A89=Q$79,0,(SUMPRODUCT(($A$6:$A$25&gt;=MIN($A89,Q$79))*($A$6:$A$25&lt;=MAX($A89,Q$79))*$W$6:$W$25)-(INDEX($W$6:$W$25,$A89)+INDEX($W$6:$W$25,Q$79))/2)^2)</f>
        <v>0</v>
      </c>
      <c r="R89" s="33" t="n">
        <f aca="false">IF($A89=R$79,0,(SUMPRODUCT(($A$6:$A$25&gt;=MIN($A89,R$79))*($A$6:$A$25&lt;=MAX($A89,R$79))*$W$6:$W$25)-(INDEX($W$6:$W$25,$A89)+INDEX($W$6:$W$25,R$79))/2)^2)</f>
        <v>0</v>
      </c>
      <c r="S89" s="33" t="n">
        <f aca="false">IF($A89=S$79,0,(SUMPRODUCT(($A$6:$A$25&gt;=MIN($A89,S$79))*($A$6:$A$25&lt;=MAX($A89,S$79))*$W$6:$W$25)-(INDEX($W$6:$W$25,$A89)+INDEX($W$6:$W$25,S$79))/2)^2)</f>
        <v>0</v>
      </c>
      <c r="T89" s="33" t="n">
        <f aca="false">IF($A89=T$79,0,(SUMPRODUCT(($A$6:$A$25&gt;=MIN($A89,T$79))*($A$6:$A$25&lt;=MAX($A89,T$79))*$W$6:$W$25)-(INDEX($W$6:$W$25,$A89)+INDEX($W$6:$W$25,T$79))/2)^2)</f>
        <v>0</v>
      </c>
      <c r="U89" s="33" t="n">
        <f aca="false">IF($A89=U$79,0,(SUMPRODUCT(($A$6:$A$25&gt;=MIN($A89,U$79))*($A$6:$A$25&lt;=MAX($A89,U$79))*$W$6:$W$25)-(INDEX($W$6:$W$25,$A89)+INDEX($W$6:$W$25,U$79))/2)^2)</f>
        <v>0</v>
      </c>
      <c r="V89" s="33" t="n">
        <f aca="false">IF($A89=V$79,0,(SUMPRODUCT(($A$6:$A$25&gt;=MIN($A89,V$79))*($A$6:$A$25&lt;=MAX($A89,V$79))*$W$6:$W$25)-(INDEX($W$6:$W$25,$A89)+INDEX($W$6:$W$25,V$79))/2)^2)</f>
        <v>0</v>
      </c>
    </row>
    <row r="90" customFormat="false" ht="15" hidden="false" customHeight="false" outlineLevel="0" collapsed="false">
      <c r="A90" s="29" t="n">
        <v>10</v>
      </c>
      <c r="B90" s="29" t="str">
        <f aca="false">IF(INDEX(Pengaturan!$B$8:$B$27,$A90)="","",INDEX(Pengaturan!$B$8:$B$27,$A90))</f>
        <v/>
      </c>
      <c r="C90" s="33" t="n">
        <f aca="false">IF($A90=C$79,0,(SUMPRODUCT(($A$6:$A$25&gt;=MIN($A90,C$79))*($A$6:$A$25&lt;=MAX($A90,C$79))*$W$6:$W$25)-(INDEX($W$6:$W$25,$A90)+INDEX($W$6:$W$25,C$79))/2)^2)</f>
        <v>7921</v>
      </c>
      <c r="D90" s="33" t="n">
        <f aca="false">IF($A90=D$79,0,(SUMPRODUCT(($A$6:$A$25&gt;=MIN($A90,D$79))*($A$6:$A$25&lt;=MAX($A90,D$79))*$W$6:$W$25)-(INDEX($W$6:$W$25,$A90)+INDEX($W$6:$W$25,D$79))/2)^2)</f>
        <v>5041</v>
      </c>
      <c r="E90" s="33" t="n">
        <f aca="false">IF($A90=E$79,0,(SUMPRODUCT(($A$6:$A$25&gt;=MIN($A90,E$79))*($A$6:$A$25&lt;=MAX($A90,E$79))*$W$6:$W$25)-(INDEX($W$6:$W$25,$A90)+INDEX($W$6:$W$25,E$79))/2)^2)</f>
        <v>3364</v>
      </c>
      <c r="F90" s="33" t="n">
        <f aca="false">IF($A90=F$79,0,(SUMPRODUCT(($A$6:$A$25&gt;=MIN($A90,F$79))*($A$6:$A$25&lt;=MAX($A90,F$79))*$W$6:$W$25)-(INDEX($W$6:$W$25,$A90)+INDEX($W$6:$W$25,F$79))/2)^2)</f>
        <v>1560.25</v>
      </c>
      <c r="G90" s="33" t="n">
        <f aca="false">IF($A90=G$79,0,(SUMPRODUCT(($A$6:$A$25&gt;=MIN($A90,G$79))*($A$6:$A$25&lt;=MAX($A90,G$79))*$W$6:$W$25)-(INDEX($W$6:$W$25,$A90)+INDEX($W$6:$W$25,G$79))/2)^2)</f>
        <v>182.25</v>
      </c>
      <c r="H90" s="33" t="n">
        <f aca="false">IF($A90=H$79,0,(SUMPRODUCT(($A$6:$A$25&gt;=MIN($A90,H$79))*($A$6:$A$25&lt;=MAX($A90,H$79))*$W$6:$W$25)-(INDEX($W$6:$W$25,$A90)+INDEX($W$6:$W$25,H$79))/2)^2)</f>
        <v>0</v>
      </c>
      <c r="I90" s="33" t="n">
        <f aca="false">IF($A90=I$79,0,(SUMPRODUCT(($A$6:$A$25&gt;=MIN($A90,I$79))*($A$6:$A$25&lt;=MAX($A90,I$79))*$W$6:$W$25)-(INDEX($W$6:$W$25,$A90)+INDEX($W$6:$W$25,I$79))/2)^2)</f>
        <v>0</v>
      </c>
      <c r="J90" s="33" t="n">
        <f aca="false">IF($A90=J$79,0,(SUMPRODUCT(($A$6:$A$25&gt;=MIN($A90,J$79))*($A$6:$A$25&lt;=MAX($A90,J$79))*$W$6:$W$25)-(INDEX($W$6:$W$25,$A90)+INDEX($W$6:$W$25,J$79))/2)^2)</f>
        <v>0</v>
      </c>
      <c r="K90" s="33" t="n">
        <f aca="false">IF($A90=K$79,0,(SUMPRODUCT(($A$6:$A$25&gt;=MIN($A90,K$79))*($A$6:$A$25&lt;=MAX($A90,K$79))*$W$6:$W$25)-(INDEX($W$6:$W$25,$A90)+INDEX($W$6:$W$25,K$79))/2)^2)</f>
        <v>0</v>
      </c>
      <c r="L90" s="33" t="n">
        <f aca="false">IF($A90=L$79,0,(SUMPRODUCT(($A$6:$A$25&gt;=MIN($A90,L$79))*($A$6:$A$25&lt;=MAX($A90,L$79))*$W$6:$W$25)-(INDEX($W$6:$W$25,$A90)+INDEX($W$6:$W$25,L$79))/2)^2)</f>
        <v>0</v>
      </c>
      <c r="M90" s="33" t="n">
        <f aca="false">IF($A90=M$79,0,(SUMPRODUCT(($A$6:$A$25&gt;=MIN($A90,M$79))*($A$6:$A$25&lt;=MAX($A90,M$79))*$W$6:$W$25)-(INDEX($W$6:$W$25,$A90)+INDEX($W$6:$W$25,M$79))/2)^2)</f>
        <v>0</v>
      </c>
      <c r="N90" s="33" t="n">
        <f aca="false">IF($A90=N$79,0,(SUMPRODUCT(($A$6:$A$25&gt;=MIN($A90,N$79))*($A$6:$A$25&lt;=MAX($A90,N$79))*$W$6:$W$25)-(INDEX($W$6:$W$25,$A90)+INDEX($W$6:$W$25,N$79))/2)^2)</f>
        <v>0</v>
      </c>
      <c r="O90" s="33" t="n">
        <f aca="false">IF($A90=O$79,0,(SUMPRODUCT(($A$6:$A$25&gt;=MIN($A90,O$79))*($A$6:$A$25&lt;=MAX($A90,O$79))*$W$6:$W$25)-(INDEX($W$6:$W$25,$A90)+INDEX($W$6:$W$25,O$79))/2)^2)</f>
        <v>0</v>
      </c>
      <c r="P90" s="33" t="n">
        <f aca="false">IF($A90=P$79,0,(SUMPRODUCT(($A$6:$A$25&gt;=MIN($A90,P$79))*($A$6:$A$25&lt;=MAX($A90,P$79))*$W$6:$W$25)-(INDEX($W$6:$W$25,$A90)+INDEX($W$6:$W$25,P$79))/2)^2)</f>
        <v>0</v>
      </c>
      <c r="Q90" s="33" t="n">
        <f aca="false">IF($A90=Q$79,0,(SUMPRODUCT(($A$6:$A$25&gt;=MIN($A90,Q$79))*($A$6:$A$25&lt;=MAX($A90,Q$79))*$W$6:$W$25)-(INDEX($W$6:$W$25,$A90)+INDEX($W$6:$W$25,Q$79))/2)^2)</f>
        <v>0</v>
      </c>
      <c r="R90" s="33" t="n">
        <f aca="false">IF($A90=R$79,0,(SUMPRODUCT(($A$6:$A$25&gt;=MIN($A90,R$79))*($A$6:$A$25&lt;=MAX($A90,R$79))*$W$6:$W$25)-(INDEX($W$6:$W$25,$A90)+INDEX($W$6:$W$25,R$79))/2)^2)</f>
        <v>0</v>
      </c>
      <c r="S90" s="33" t="n">
        <f aca="false">IF($A90=S$79,0,(SUMPRODUCT(($A$6:$A$25&gt;=MIN($A90,S$79))*($A$6:$A$25&lt;=MAX($A90,S$79))*$W$6:$W$25)-(INDEX($W$6:$W$25,$A90)+INDEX($W$6:$W$25,S$79))/2)^2)</f>
        <v>0</v>
      </c>
      <c r="T90" s="33" t="n">
        <f aca="false">IF($A90=T$79,0,(SUMPRODUCT(($A$6:$A$25&gt;=MIN($A90,T$79))*($A$6:$A$25&lt;=MAX($A90,T$79))*$W$6:$W$25)-(INDEX($W$6:$W$25,$A90)+INDEX($W$6:$W$25,T$79))/2)^2)</f>
        <v>0</v>
      </c>
      <c r="U90" s="33" t="n">
        <f aca="false">IF($A90=U$79,0,(SUMPRODUCT(($A$6:$A$25&gt;=MIN($A90,U$79))*($A$6:$A$25&lt;=MAX($A90,U$79))*$W$6:$W$25)-(INDEX($W$6:$W$25,$A90)+INDEX($W$6:$W$25,U$79))/2)^2)</f>
        <v>0</v>
      </c>
      <c r="V90" s="33" t="n">
        <f aca="false">IF($A90=V$79,0,(SUMPRODUCT(($A$6:$A$25&gt;=MIN($A90,V$79))*($A$6:$A$25&lt;=MAX($A90,V$79))*$W$6:$W$25)-(INDEX($W$6:$W$25,$A90)+INDEX($W$6:$W$25,V$79))/2)^2)</f>
        <v>0</v>
      </c>
    </row>
    <row r="91" customFormat="false" ht="15" hidden="false" customHeight="false" outlineLevel="0" collapsed="false">
      <c r="A91" s="29" t="n">
        <v>11</v>
      </c>
      <c r="B91" s="29" t="str">
        <f aca="false">IF(INDEX(Pengaturan!$B$8:$B$27,$A91)="","",INDEX(Pengaturan!$B$8:$B$27,$A91))</f>
        <v/>
      </c>
      <c r="C91" s="33" t="n">
        <f aca="false">IF($A91=C$79,0,(SUMPRODUCT(($A$6:$A$25&gt;=MIN($A91,C$79))*($A$6:$A$25&lt;=MAX($A91,C$79))*$W$6:$W$25)-(INDEX($W$6:$W$25,$A91)+INDEX($W$6:$W$25,C$79))/2)^2)</f>
        <v>7921</v>
      </c>
      <c r="D91" s="33" t="n">
        <f aca="false">IF($A91=D$79,0,(SUMPRODUCT(($A$6:$A$25&gt;=MIN($A91,D$79))*($A$6:$A$25&lt;=MAX($A91,D$79))*$W$6:$W$25)-(INDEX($W$6:$W$25,$A91)+INDEX($W$6:$W$25,D$79))/2)^2)</f>
        <v>5041</v>
      </c>
      <c r="E91" s="33" t="n">
        <f aca="false">IF($A91=E$79,0,(SUMPRODUCT(($A$6:$A$25&gt;=MIN($A91,E$79))*($A$6:$A$25&lt;=MAX($A91,E$79))*$W$6:$W$25)-(INDEX($W$6:$W$25,$A91)+INDEX($W$6:$W$25,E$79))/2)^2)</f>
        <v>3364</v>
      </c>
      <c r="F91" s="33" t="n">
        <f aca="false">IF($A91=F$79,0,(SUMPRODUCT(($A$6:$A$25&gt;=MIN($A91,F$79))*($A$6:$A$25&lt;=MAX($A91,F$79))*$W$6:$W$25)-(INDEX($W$6:$W$25,$A91)+INDEX($W$6:$W$25,F$79))/2)^2)</f>
        <v>1560.25</v>
      </c>
      <c r="G91" s="33" t="n">
        <f aca="false">IF($A91=G$79,0,(SUMPRODUCT(($A$6:$A$25&gt;=MIN($A91,G$79))*($A$6:$A$25&lt;=MAX($A91,G$79))*$W$6:$W$25)-(INDEX($W$6:$W$25,$A91)+INDEX($W$6:$W$25,G$79))/2)^2)</f>
        <v>182.25</v>
      </c>
      <c r="H91" s="33" t="n">
        <f aca="false">IF($A91=H$79,0,(SUMPRODUCT(($A$6:$A$25&gt;=MIN($A91,H$79))*($A$6:$A$25&lt;=MAX($A91,H$79))*$W$6:$W$25)-(INDEX($W$6:$W$25,$A91)+INDEX($W$6:$W$25,H$79))/2)^2)</f>
        <v>0</v>
      </c>
      <c r="I91" s="33" t="n">
        <f aca="false">IF($A91=I$79,0,(SUMPRODUCT(($A$6:$A$25&gt;=MIN($A91,I$79))*($A$6:$A$25&lt;=MAX($A91,I$79))*$W$6:$W$25)-(INDEX($W$6:$W$25,$A91)+INDEX($W$6:$W$25,I$79))/2)^2)</f>
        <v>0</v>
      </c>
      <c r="J91" s="33" t="n">
        <f aca="false">IF($A91=J$79,0,(SUMPRODUCT(($A$6:$A$25&gt;=MIN($A91,J$79))*($A$6:$A$25&lt;=MAX($A91,J$79))*$W$6:$W$25)-(INDEX($W$6:$W$25,$A91)+INDEX($W$6:$W$25,J$79))/2)^2)</f>
        <v>0</v>
      </c>
      <c r="K91" s="33" t="n">
        <f aca="false">IF($A91=K$79,0,(SUMPRODUCT(($A$6:$A$25&gt;=MIN($A91,K$79))*($A$6:$A$25&lt;=MAX($A91,K$79))*$W$6:$W$25)-(INDEX($W$6:$W$25,$A91)+INDEX($W$6:$W$25,K$79))/2)^2)</f>
        <v>0</v>
      </c>
      <c r="L91" s="33" t="n">
        <f aca="false">IF($A91=L$79,0,(SUMPRODUCT(($A$6:$A$25&gt;=MIN($A91,L$79))*($A$6:$A$25&lt;=MAX($A91,L$79))*$W$6:$W$25)-(INDEX($W$6:$W$25,$A91)+INDEX($W$6:$W$25,L$79))/2)^2)</f>
        <v>0</v>
      </c>
      <c r="M91" s="33" t="n">
        <f aca="false">IF($A91=M$79,0,(SUMPRODUCT(($A$6:$A$25&gt;=MIN($A91,M$79))*($A$6:$A$25&lt;=MAX($A91,M$79))*$W$6:$W$25)-(INDEX($W$6:$W$25,$A91)+INDEX($W$6:$W$25,M$79))/2)^2)</f>
        <v>0</v>
      </c>
      <c r="N91" s="33" t="n">
        <f aca="false">IF($A91=N$79,0,(SUMPRODUCT(($A$6:$A$25&gt;=MIN($A91,N$79))*($A$6:$A$25&lt;=MAX($A91,N$79))*$W$6:$W$25)-(INDEX($W$6:$W$25,$A91)+INDEX($W$6:$W$25,N$79))/2)^2)</f>
        <v>0</v>
      </c>
      <c r="O91" s="33" t="n">
        <f aca="false">IF($A91=O$79,0,(SUMPRODUCT(($A$6:$A$25&gt;=MIN($A91,O$79))*($A$6:$A$25&lt;=MAX($A91,O$79))*$W$6:$W$25)-(INDEX($W$6:$W$25,$A91)+INDEX($W$6:$W$25,O$79))/2)^2)</f>
        <v>0</v>
      </c>
      <c r="P91" s="33" t="n">
        <f aca="false">IF($A91=P$79,0,(SUMPRODUCT(($A$6:$A$25&gt;=MIN($A91,P$79))*($A$6:$A$25&lt;=MAX($A91,P$79))*$W$6:$W$25)-(INDEX($W$6:$W$25,$A91)+INDEX($W$6:$W$25,P$79))/2)^2)</f>
        <v>0</v>
      </c>
      <c r="Q91" s="33" t="n">
        <f aca="false">IF($A91=Q$79,0,(SUMPRODUCT(($A$6:$A$25&gt;=MIN($A91,Q$79))*($A$6:$A$25&lt;=MAX($A91,Q$79))*$W$6:$W$25)-(INDEX($W$6:$W$25,$A91)+INDEX($W$6:$W$25,Q$79))/2)^2)</f>
        <v>0</v>
      </c>
      <c r="R91" s="33" t="n">
        <f aca="false">IF($A91=R$79,0,(SUMPRODUCT(($A$6:$A$25&gt;=MIN($A91,R$79))*($A$6:$A$25&lt;=MAX($A91,R$79))*$W$6:$W$25)-(INDEX($W$6:$W$25,$A91)+INDEX($W$6:$W$25,R$79))/2)^2)</f>
        <v>0</v>
      </c>
      <c r="S91" s="33" t="n">
        <f aca="false">IF($A91=S$79,0,(SUMPRODUCT(($A$6:$A$25&gt;=MIN($A91,S$79))*($A$6:$A$25&lt;=MAX($A91,S$79))*$W$6:$W$25)-(INDEX($W$6:$W$25,$A91)+INDEX($W$6:$W$25,S$79))/2)^2)</f>
        <v>0</v>
      </c>
      <c r="T91" s="33" t="n">
        <f aca="false">IF($A91=T$79,0,(SUMPRODUCT(($A$6:$A$25&gt;=MIN($A91,T$79))*($A$6:$A$25&lt;=MAX($A91,T$79))*$W$6:$W$25)-(INDEX($W$6:$W$25,$A91)+INDEX($W$6:$W$25,T$79))/2)^2)</f>
        <v>0</v>
      </c>
      <c r="U91" s="33" t="n">
        <f aca="false">IF($A91=U$79,0,(SUMPRODUCT(($A$6:$A$25&gt;=MIN($A91,U$79))*($A$6:$A$25&lt;=MAX($A91,U$79))*$W$6:$W$25)-(INDEX($W$6:$W$25,$A91)+INDEX($W$6:$W$25,U$79))/2)^2)</f>
        <v>0</v>
      </c>
      <c r="V91" s="33" t="n">
        <f aca="false">IF($A91=V$79,0,(SUMPRODUCT(($A$6:$A$25&gt;=MIN($A91,V$79))*($A$6:$A$25&lt;=MAX($A91,V$79))*$W$6:$W$25)-(INDEX($W$6:$W$25,$A91)+INDEX($W$6:$W$25,V$79))/2)^2)</f>
        <v>0</v>
      </c>
    </row>
    <row r="92" customFormat="false" ht="15" hidden="false" customHeight="false" outlineLevel="0" collapsed="false">
      <c r="A92" s="29" t="n">
        <v>12</v>
      </c>
      <c r="B92" s="29" t="str">
        <f aca="false">IF(INDEX(Pengaturan!$B$8:$B$27,$A92)="","",INDEX(Pengaturan!$B$8:$B$27,$A92))</f>
        <v/>
      </c>
      <c r="C92" s="33" t="n">
        <f aca="false">IF($A92=C$79,0,(SUMPRODUCT(($A$6:$A$25&gt;=MIN($A92,C$79))*($A$6:$A$25&lt;=MAX($A92,C$79))*$W$6:$W$25)-(INDEX($W$6:$W$25,$A92)+INDEX($W$6:$W$25,C$79))/2)^2)</f>
        <v>7921</v>
      </c>
      <c r="D92" s="33" t="n">
        <f aca="false">IF($A92=D$79,0,(SUMPRODUCT(($A$6:$A$25&gt;=MIN($A92,D$79))*($A$6:$A$25&lt;=MAX($A92,D$79))*$W$6:$W$25)-(INDEX($W$6:$W$25,$A92)+INDEX($W$6:$W$25,D$79))/2)^2)</f>
        <v>5041</v>
      </c>
      <c r="E92" s="33" t="n">
        <f aca="false">IF($A92=E$79,0,(SUMPRODUCT(($A$6:$A$25&gt;=MIN($A92,E$79))*($A$6:$A$25&lt;=MAX($A92,E$79))*$W$6:$W$25)-(INDEX($W$6:$W$25,$A92)+INDEX($W$6:$W$25,E$79))/2)^2)</f>
        <v>3364</v>
      </c>
      <c r="F92" s="33" t="n">
        <f aca="false">IF($A92=F$79,0,(SUMPRODUCT(($A$6:$A$25&gt;=MIN($A92,F$79))*($A$6:$A$25&lt;=MAX($A92,F$79))*$W$6:$W$25)-(INDEX($W$6:$W$25,$A92)+INDEX($W$6:$W$25,F$79))/2)^2)</f>
        <v>1560.25</v>
      </c>
      <c r="G92" s="33" t="n">
        <f aca="false">IF($A92=G$79,0,(SUMPRODUCT(($A$6:$A$25&gt;=MIN($A92,G$79))*($A$6:$A$25&lt;=MAX($A92,G$79))*$W$6:$W$25)-(INDEX($W$6:$W$25,$A92)+INDEX($W$6:$W$25,G$79))/2)^2)</f>
        <v>182.25</v>
      </c>
      <c r="H92" s="33" t="n">
        <f aca="false">IF($A92=H$79,0,(SUMPRODUCT(($A$6:$A$25&gt;=MIN($A92,H$79))*($A$6:$A$25&lt;=MAX($A92,H$79))*$W$6:$W$25)-(INDEX($W$6:$W$25,$A92)+INDEX($W$6:$W$25,H$79))/2)^2)</f>
        <v>0</v>
      </c>
      <c r="I92" s="33" t="n">
        <f aca="false">IF($A92=I$79,0,(SUMPRODUCT(($A$6:$A$25&gt;=MIN($A92,I$79))*($A$6:$A$25&lt;=MAX($A92,I$79))*$W$6:$W$25)-(INDEX($W$6:$W$25,$A92)+INDEX($W$6:$W$25,I$79))/2)^2)</f>
        <v>0</v>
      </c>
      <c r="J92" s="33" t="n">
        <f aca="false">IF($A92=J$79,0,(SUMPRODUCT(($A$6:$A$25&gt;=MIN($A92,J$79))*($A$6:$A$25&lt;=MAX($A92,J$79))*$W$6:$W$25)-(INDEX($W$6:$W$25,$A92)+INDEX($W$6:$W$25,J$79))/2)^2)</f>
        <v>0</v>
      </c>
      <c r="K92" s="33" t="n">
        <f aca="false">IF($A92=K$79,0,(SUMPRODUCT(($A$6:$A$25&gt;=MIN($A92,K$79))*($A$6:$A$25&lt;=MAX($A92,K$79))*$W$6:$W$25)-(INDEX($W$6:$W$25,$A92)+INDEX($W$6:$W$25,K$79))/2)^2)</f>
        <v>0</v>
      </c>
      <c r="L92" s="33" t="n">
        <f aca="false">IF($A92=L$79,0,(SUMPRODUCT(($A$6:$A$25&gt;=MIN($A92,L$79))*($A$6:$A$25&lt;=MAX($A92,L$79))*$W$6:$W$25)-(INDEX($W$6:$W$25,$A92)+INDEX($W$6:$W$25,L$79))/2)^2)</f>
        <v>0</v>
      </c>
      <c r="M92" s="33" t="n">
        <f aca="false">IF($A92=M$79,0,(SUMPRODUCT(($A$6:$A$25&gt;=MIN($A92,M$79))*($A$6:$A$25&lt;=MAX($A92,M$79))*$W$6:$W$25)-(INDEX($W$6:$W$25,$A92)+INDEX($W$6:$W$25,M$79))/2)^2)</f>
        <v>0</v>
      </c>
      <c r="N92" s="33" t="n">
        <f aca="false">IF($A92=N$79,0,(SUMPRODUCT(($A$6:$A$25&gt;=MIN($A92,N$79))*($A$6:$A$25&lt;=MAX($A92,N$79))*$W$6:$W$25)-(INDEX($W$6:$W$25,$A92)+INDEX($W$6:$W$25,N$79))/2)^2)</f>
        <v>0</v>
      </c>
      <c r="O92" s="33" t="n">
        <f aca="false">IF($A92=O$79,0,(SUMPRODUCT(($A$6:$A$25&gt;=MIN($A92,O$79))*($A$6:$A$25&lt;=MAX($A92,O$79))*$W$6:$W$25)-(INDEX($W$6:$W$25,$A92)+INDEX($W$6:$W$25,O$79))/2)^2)</f>
        <v>0</v>
      </c>
      <c r="P92" s="33" t="n">
        <f aca="false">IF($A92=P$79,0,(SUMPRODUCT(($A$6:$A$25&gt;=MIN($A92,P$79))*($A$6:$A$25&lt;=MAX($A92,P$79))*$W$6:$W$25)-(INDEX($W$6:$W$25,$A92)+INDEX($W$6:$W$25,P$79))/2)^2)</f>
        <v>0</v>
      </c>
      <c r="Q92" s="33" t="n">
        <f aca="false">IF($A92=Q$79,0,(SUMPRODUCT(($A$6:$A$25&gt;=MIN($A92,Q$79))*($A$6:$A$25&lt;=MAX($A92,Q$79))*$W$6:$W$25)-(INDEX($W$6:$W$25,$A92)+INDEX($W$6:$W$25,Q$79))/2)^2)</f>
        <v>0</v>
      </c>
      <c r="R92" s="33" t="n">
        <f aca="false">IF($A92=R$79,0,(SUMPRODUCT(($A$6:$A$25&gt;=MIN($A92,R$79))*($A$6:$A$25&lt;=MAX($A92,R$79))*$W$6:$W$25)-(INDEX($W$6:$W$25,$A92)+INDEX($W$6:$W$25,R$79))/2)^2)</f>
        <v>0</v>
      </c>
      <c r="S92" s="33" t="n">
        <f aca="false">IF($A92=S$79,0,(SUMPRODUCT(($A$6:$A$25&gt;=MIN($A92,S$79))*($A$6:$A$25&lt;=MAX($A92,S$79))*$W$6:$W$25)-(INDEX($W$6:$W$25,$A92)+INDEX($W$6:$W$25,S$79))/2)^2)</f>
        <v>0</v>
      </c>
      <c r="T92" s="33" t="n">
        <f aca="false">IF($A92=T$79,0,(SUMPRODUCT(($A$6:$A$25&gt;=MIN($A92,T$79))*($A$6:$A$25&lt;=MAX($A92,T$79))*$W$6:$W$25)-(INDEX($W$6:$W$25,$A92)+INDEX($W$6:$W$25,T$79))/2)^2)</f>
        <v>0</v>
      </c>
      <c r="U92" s="33" t="n">
        <f aca="false">IF($A92=U$79,0,(SUMPRODUCT(($A$6:$A$25&gt;=MIN($A92,U$79))*($A$6:$A$25&lt;=MAX($A92,U$79))*$W$6:$W$25)-(INDEX($W$6:$W$25,$A92)+INDEX($W$6:$W$25,U$79))/2)^2)</f>
        <v>0</v>
      </c>
      <c r="V92" s="33" t="n">
        <f aca="false">IF($A92=V$79,0,(SUMPRODUCT(($A$6:$A$25&gt;=MIN($A92,V$79))*($A$6:$A$25&lt;=MAX($A92,V$79))*$W$6:$W$25)-(INDEX($W$6:$W$25,$A92)+INDEX($W$6:$W$25,V$79))/2)^2)</f>
        <v>0</v>
      </c>
    </row>
    <row r="93" customFormat="false" ht="15" hidden="false" customHeight="false" outlineLevel="0" collapsed="false">
      <c r="A93" s="29" t="n">
        <v>13</v>
      </c>
      <c r="B93" s="29" t="str">
        <f aca="false">IF(INDEX(Pengaturan!$B$8:$B$27,$A93)="","",INDEX(Pengaturan!$B$8:$B$27,$A93))</f>
        <v/>
      </c>
      <c r="C93" s="33" t="n">
        <f aca="false">IF($A93=C$79,0,(SUMPRODUCT(($A$6:$A$25&gt;=MIN($A93,C$79))*($A$6:$A$25&lt;=MAX($A93,C$79))*$W$6:$W$25)-(INDEX($W$6:$W$25,$A93)+INDEX($W$6:$W$25,C$79))/2)^2)</f>
        <v>7921</v>
      </c>
      <c r="D93" s="33" t="n">
        <f aca="false">IF($A93=D$79,0,(SUMPRODUCT(($A$6:$A$25&gt;=MIN($A93,D$79))*($A$6:$A$25&lt;=MAX($A93,D$79))*$W$6:$W$25)-(INDEX($W$6:$W$25,$A93)+INDEX($W$6:$W$25,D$79))/2)^2)</f>
        <v>5041</v>
      </c>
      <c r="E93" s="33" t="n">
        <f aca="false">IF($A93=E$79,0,(SUMPRODUCT(($A$6:$A$25&gt;=MIN($A93,E$79))*($A$6:$A$25&lt;=MAX($A93,E$79))*$W$6:$W$25)-(INDEX($W$6:$W$25,$A93)+INDEX($W$6:$W$25,E$79))/2)^2)</f>
        <v>3364</v>
      </c>
      <c r="F93" s="33" t="n">
        <f aca="false">IF($A93=F$79,0,(SUMPRODUCT(($A$6:$A$25&gt;=MIN($A93,F$79))*($A$6:$A$25&lt;=MAX($A93,F$79))*$W$6:$W$25)-(INDEX($W$6:$W$25,$A93)+INDEX($W$6:$W$25,F$79))/2)^2)</f>
        <v>1560.25</v>
      </c>
      <c r="G93" s="33" t="n">
        <f aca="false">IF($A93=G$79,0,(SUMPRODUCT(($A$6:$A$25&gt;=MIN($A93,G$79))*($A$6:$A$25&lt;=MAX($A93,G$79))*$W$6:$W$25)-(INDEX($W$6:$W$25,$A93)+INDEX($W$6:$W$25,G$79))/2)^2)</f>
        <v>182.25</v>
      </c>
      <c r="H93" s="33" t="n">
        <f aca="false">IF($A93=H$79,0,(SUMPRODUCT(($A$6:$A$25&gt;=MIN($A93,H$79))*($A$6:$A$25&lt;=MAX($A93,H$79))*$W$6:$W$25)-(INDEX($W$6:$W$25,$A93)+INDEX($W$6:$W$25,H$79))/2)^2)</f>
        <v>0</v>
      </c>
      <c r="I93" s="33" t="n">
        <f aca="false">IF($A93=I$79,0,(SUMPRODUCT(($A$6:$A$25&gt;=MIN($A93,I$79))*($A$6:$A$25&lt;=MAX($A93,I$79))*$W$6:$W$25)-(INDEX($W$6:$W$25,$A93)+INDEX($W$6:$W$25,I$79))/2)^2)</f>
        <v>0</v>
      </c>
      <c r="J93" s="33" t="n">
        <f aca="false">IF($A93=J$79,0,(SUMPRODUCT(($A$6:$A$25&gt;=MIN($A93,J$79))*($A$6:$A$25&lt;=MAX($A93,J$79))*$W$6:$W$25)-(INDEX($W$6:$W$25,$A93)+INDEX($W$6:$W$25,J$79))/2)^2)</f>
        <v>0</v>
      </c>
      <c r="K93" s="33" t="n">
        <f aca="false">IF($A93=K$79,0,(SUMPRODUCT(($A$6:$A$25&gt;=MIN($A93,K$79))*($A$6:$A$25&lt;=MAX($A93,K$79))*$W$6:$W$25)-(INDEX($W$6:$W$25,$A93)+INDEX($W$6:$W$25,K$79))/2)^2)</f>
        <v>0</v>
      </c>
      <c r="L93" s="33" t="n">
        <f aca="false">IF($A93=L$79,0,(SUMPRODUCT(($A$6:$A$25&gt;=MIN($A93,L$79))*($A$6:$A$25&lt;=MAX($A93,L$79))*$W$6:$W$25)-(INDEX($W$6:$W$25,$A93)+INDEX($W$6:$W$25,L$79))/2)^2)</f>
        <v>0</v>
      </c>
      <c r="M93" s="33" t="n">
        <f aca="false">IF($A93=M$79,0,(SUMPRODUCT(($A$6:$A$25&gt;=MIN($A93,M$79))*($A$6:$A$25&lt;=MAX($A93,M$79))*$W$6:$W$25)-(INDEX($W$6:$W$25,$A93)+INDEX($W$6:$W$25,M$79))/2)^2)</f>
        <v>0</v>
      </c>
      <c r="N93" s="33" t="n">
        <f aca="false">IF($A93=N$79,0,(SUMPRODUCT(($A$6:$A$25&gt;=MIN($A93,N$79))*($A$6:$A$25&lt;=MAX($A93,N$79))*$W$6:$W$25)-(INDEX($W$6:$W$25,$A93)+INDEX($W$6:$W$25,N$79))/2)^2)</f>
        <v>0</v>
      </c>
      <c r="O93" s="33" t="n">
        <f aca="false">IF($A93=O$79,0,(SUMPRODUCT(($A$6:$A$25&gt;=MIN($A93,O$79))*($A$6:$A$25&lt;=MAX($A93,O$79))*$W$6:$W$25)-(INDEX($W$6:$W$25,$A93)+INDEX($W$6:$W$25,O$79))/2)^2)</f>
        <v>0</v>
      </c>
      <c r="P93" s="33" t="n">
        <f aca="false">IF($A93=P$79,0,(SUMPRODUCT(($A$6:$A$25&gt;=MIN($A93,P$79))*($A$6:$A$25&lt;=MAX($A93,P$79))*$W$6:$W$25)-(INDEX($W$6:$W$25,$A93)+INDEX($W$6:$W$25,P$79))/2)^2)</f>
        <v>0</v>
      </c>
      <c r="Q93" s="33" t="n">
        <f aca="false">IF($A93=Q$79,0,(SUMPRODUCT(($A$6:$A$25&gt;=MIN($A93,Q$79))*($A$6:$A$25&lt;=MAX($A93,Q$79))*$W$6:$W$25)-(INDEX($W$6:$W$25,$A93)+INDEX($W$6:$W$25,Q$79))/2)^2)</f>
        <v>0</v>
      </c>
      <c r="R93" s="33" t="n">
        <f aca="false">IF($A93=R$79,0,(SUMPRODUCT(($A$6:$A$25&gt;=MIN($A93,R$79))*($A$6:$A$25&lt;=MAX($A93,R$79))*$W$6:$W$25)-(INDEX($W$6:$W$25,$A93)+INDEX($W$6:$W$25,R$79))/2)^2)</f>
        <v>0</v>
      </c>
      <c r="S93" s="33" t="n">
        <f aca="false">IF($A93=S$79,0,(SUMPRODUCT(($A$6:$A$25&gt;=MIN($A93,S$79))*($A$6:$A$25&lt;=MAX($A93,S$79))*$W$6:$W$25)-(INDEX($W$6:$W$25,$A93)+INDEX($W$6:$W$25,S$79))/2)^2)</f>
        <v>0</v>
      </c>
      <c r="T93" s="33" t="n">
        <f aca="false">IF($A93=T$79,0,(SUMPRODUCT(($A$6:$A$25&gt;=MIN($A93,T$79))*($A$6:$A$25&lt;=MAX($A93,T$79))*$W$6:$W$25)-(INDEX($W$6:$W$25,$A93)+INDEX($W$6:$W$25,T$79))/2)^2)</f>
        <v>0</v>
      </c>
      <c r="U93" s="33" t="n">
        <f aca="false">IF($A93=U$79,0,(SUMPRODUCT(($A$6:$A$25&gt;=MIN($A93,U$79))*($A$6:$A$25&lt;=MAX($A93,U$79))*$W$6:$W$25)-(INDEX($W$6:$W$25,$A93)+INDEX($W$6:$W$25,U$79))/2)^2)</f>
        <v>0</v>
      </c>
      <c r="V93" s="33" t="n">
        <f aca="false">IF($A93=V$79,0,(SUMPRODUCT(($A$6:$A$25&gt;=MIN($A93,V$79))*($A$6:$A$25&lt;=MAX($A93,V$79))*$W$6:$W$25)-(INDEX($W$6:$W$25,$A93)+INDEX($W$6:$W$25,V$79))/2)^2)</f>
        <v>0</v>
      </c>
    </row>
    <row r="94" customFormat="false" ht="15" hidden="false" customHeight="false" outlineLevel="0" collapsed="false">
      <c r="A94" s="29" t="n">
        <v>14</v>
      </c>
      <c r="B94" s="29" t="str">
        <f aca="false">IF(INDEX(Pengaturan!$B$8:$B$27,$A94)="","",INDEX(Pengaturan!$B$8:$B$27,$A94))</f>
        <v/>
      </c>
      <c r="C94" s="33" t="n">
        <f aca="false">IF($A94=C$79,0,(SUMPRODUCT(($A$6:$A$25&gt;=MIN($A94,C$79))*($A$6:$A$25&lt;=MAX($A94,C$79))*$W$6:$W$25)-(INDEX($W$6:$W$25,$A94)+INDEX($W$6:$W$25,C$79))/2)^2)</f>
        <v>7921</v>
      </c>
      <c r="D94" s="33" t="n">
        <f aca="false">IF($A94=D$79,0,(SUMPRODUCT(($A$6:$A$25&gt;=MIN($A94,D$79))*($A$6:$A$25&lt;=MAX($A94,D$79))*$W$6:$W$25)-(INDEX($W$6:$W$25,$A94)+INDEX($W$6:$W$25,D$79))/2)^2)</f>
        <v>5041</v>
      </c>
      <c r="E94" s="33" t="n">
        <f aca="false">IF($A94=E$79,0,(SUMPRODUCT(($A$6:$A$25&gt;=MIN($A94,E$79))*($A$6:$A$25&lt;=MAX($A94,E$79))*$W$6:$W$25)-(INDEX($W$6:$W$25,$A94)+INDEX($W$6:$W$25,E$79))/2)^2)</f>
        <v>3364</v>
      </c>
      <c r="F94" s="33" t="n">
        <f aca="false">IF($A94=F$79,0,(SUMPRODUCT(($A$6:$A$25&gt;=MIN($A94,F$79))*($A$6:$A$25&lt;=MAX($A94,F$79))*$W$6:$W$25)-(INDEX($W$6:$W$25,$A94)+INDEX($W$6:$W$25,F$79))/2)^2)</f>
        <v>1560.25</v>
      </c>
      <c r="G94" s="33" t="n">
        <f aca="false">IF($A94=G$79,0,(SUMPRODUCT(($A$6:$A$25&gt;=MIN($A94,G$79))*($A$6:$A$25&lt;=MAX($A94,G$79))*$W$6:$W$25)-(INDEX($W$6:$W$25,$A94)+INDEX($W$6:$W$25,G$79))/2)^2)</f>
        <v>182.25</v>
      </c>
      <c r="H94" s="33" t="n">
        <f aca="false">IF($A94=H$79,0,(SUMPRODUCT(($A$6:$A$25&gt;=MIN($A94,H$79))*($A$6:$A$25&lt;=MAX($A94,H$79))*$W$6:$W$25)-(INDEX($W$6:$W$25,$A94)+INDEX($W$6:$W$25,H$79))/2)^2)</f>
        <v>0</v>
      </c>
      <c r="I94" s="33" t="n">
        <f aca="false">IF($A94=I$79,0,(SUMPRODUCT(($A$6:$A$25&gt;=MIN($A94,I$79))*($A$6:$A$25&lt;=MAX($A94,I$79))*$W$6:$W$25)-(INDEX($W$6:$W$25,$A94)+INDEX($W$6:$W$25,I$79))/2)^2)</f>
        <v>0</v>
      </c>
      <c r="J94" s="33" t="n">
        <f aca="false">IF($A94=J$79,0,(SUMPRODUCT(($A$6:$A$25&gt;=MIN($A94,J$79))*($A$6:$A$25&lt;=MAX($A94,J$79))*$W$6:$W$25)-(INDEX($W$6:$W$25,$A94)+INDEX($W$6:$W$25,J$79))/2)^2)</f>
        <v>0</v>
      </c>
      <c r="K94" s="33" t="n">
        <f aca="false">IF($A94=K$79,0,(SUMPRODUCT(($A$6:$A$25&gt;=MIN($A94,K$79))*($A$6:$A$25&lt;=MAX($A94,K$79))*$W$6:$W$25)-(INDEX($W$6:$W$25,$A94)+INDEX($W$6:$W$25,K$79))/2)^2)</f>
        <v>0</v>
      </c>
      <c r="L94" s="33" t="n">
        <f aca="false">IF($A94=L$79,0,(SUMPRODUCT(($A$6:$A$25&gt;=MIN($A94,L$79))*($A$6:$A$25&lt;=MAX($A94,L$79))*$W$6:$W$25)-(INDEX($W$6:$W$25,$A94)+INDEX($W$6:$W$25,L$79))/2)^2)</f>
        <v>0</v>
      </c>
      <c r="M94" s="33" t="n">
        <f aca="false">IF($A94=M$79,0,(SUMPRODUCT(($A$6:$A$25&gt;=MIN($A94,M$79))*($A$6:$A$25&lt;=MAX($A94,M$79))*$W$6:$W$25)-(INDEX($W$6:$W$25,$A94)+INDEX($W$6:$W$25,M$79))/2)^2)</f>
        <v>0</v>
      </c>
      <c r="N94" s="33" t="n">
        <f aca="false">IF($A94=N$79,0,(SUMPRODUCT(($A$6:$A$25&gt;=MIN($A94,N$79))*($A$6:$A$25&lt;=MAX($A94,N$79))*$W$6:$W$25)-(INDEX($W$6:$W$25,$A94)+INDEX($W$6:$W$25,N$79))/2)^2)</f>
        <v>0</v>
      </c>
      <c r="O94" s="33" t="n">
        <f aca="false">IF($A94=O$79,0,(SUMPRODUCT(($A$6:$A$25&gt;=MIN($A94,O$79))*($A$6:$A$25&lt;=MAX($A94,O$79))*$W$6:$W$25)-(INDEX($W$6:$W$25,$A94)+INDEX($W$6:$W$25,O$79))/2)^2)</f>
        <v>0</v>
      </c>
      <c r="P94" s="33" t="n">
        <f aca="false">IF($A94=P$79,0,(SUMPRODUCT(($A$6:$A$25&gt;=MIN($A94,P$79))*($A$6:$A$25&lt;=MAX($A94,P$79))*$W$6:$W$25)-(INDEX($W$6:$W$25,$A94)+INDEX($W$6:$W$25,P$79))/2)^2)</f>
        <v>0</v>
      </c>
      <c r="Q94" s="33" t="n">
        <f aca="false">IF($A94=Q$79,0,(SUMPRODUCT(($A$6:$A$25&gt;=MIN($A94,Q$79))*($A$6:$A$25&lt;=MAX($A94,Q$79))*$W$6:$W$25)-(INDEX($W$6:$W$25,$A94)+INDEX($W$6:$W$25,Q$79))/2)^2)</f>
        <v>0</v>
      </c>
      <c r="R94" s="33" t="n">
        <f aca="false">IF($A94=R$79,0,(SUMPRODUCT(($A$6:$A$25&gt;=MIN($A94,R$79))*($A$6:$A$25&lt;=MAX($A94,R$79))*$W$6:$W$25)-(INDEX($W$6:$W$25,$A94)+INDEX($W$6:$W$25,R$79))/2)^2)</f>
        <v>0</v>
      </c>
      <c r="S94" s="33" t="n">
        <f aca="false">IF($A94=S$79,0,(SUMPRODUCT(($A$6:$A$25&gt;=MIN($A94,S$79))*($A$6:$A$25&lt;=MAX($A94,S$79))*$W$6:$W$25)-(INDEX($W$6:$W$25,$A94)+INDEX($W$6:$W$25,S$79))/2)^2)</f>
        <v>0</v>
      </c>
      <c r="T94" s="33" t="n">
        <f aca="false">IF($A94=T$79,0,(SUMPRODUCT(($A$6:$A$25&gt;=MIN($A94,T$79))*($A$6:$A$25&lt;=MAX($A94,T$79))*$W$6:$W$25)-(INDEX($W$6:$W$25,$A94)+INDEX($W$6:$W$25,T$79))/2)^2)</f>
        <v>0</v>
      </c>
      <c r="U94" s="33" t="n">
        <f aca="false">IF($A94=U$79,0,(SUMPRODUCT(($A$6:$A$25&gt;=MIN($A94,U$79))*($A$6:$A$25&lt;=MAX($A94,U$79))*$W$6:$W$25)-(INDEX($W$6:$W$25,$A94)+INDEX($W$6:$W$25,U$79))/2)^2)</f>
        <v>0</v>
      </c>
      <c r="V94" s="33" t="n">
        <f aca="false">IF($A94=V$79,0,(SUMPRODUCT(($A$6:$A$25&gt;=MIN($A94,V$79))*($A$6:$A$25&lt;=MAX($A94,V$79))*$W$6:$W$25)-(INDEX($W$6:$W$25,$A94)+INDEX($W$6:$W$25,V$79))/2)^2)</f>
        <v>0</v>
      </c>
    </row>
    <row r="95" customFormat="false" ht="15" hidden="false" customHeight="false" outlineLevel="0" collapsed="false">
      <c r="A95" s="29" t="n">
        <v>15</v>
      </c>
      <c r="B95" s="29" t="str">
        <f aca="false">IF(INDEX(Pengaturan!$B$8:$B$27,$A95)="","",INDEX(Pengaturan!$B$8:$B$27,$A95))</f>
        <v/>
      </c>
      <c r="C95" s="33" t="n">
        <f aca="false">IF($A95=C$79,0,(SUMPRODUCT(($A$6:$A$25&gt;=MIN($A95,C$79))*($A$6:$A$25&lt;=MAX($A95,C$79))*$W$6:$W$25)-(INDEX($W$6:$W$25,$A95)+INDEX($W$6:$W$25,C$79))/2)^2)</f>
        <v>7921</v>
      </c>
      <c r="D95" s="33" t="n">
        <f aca="false">IF($A95=D$79,0,(SUMPRODUCT(($A$6:$A$25&gt;=MIN($A95,D$79))*($A$6:$A$25&lt;=MAX($A95,D$79))*$W$6:$W$25)-(INDEX($W$6:$W$25,$A95)+INDEX($W$6:$W$25,D$79))/2)^2)</f>
        <v>5041</v>
      </c>
      <c r="E95" s="33" t="n">
        <f aca="false">IF($A95=E$79,0,(SUMPRODUCT(($A$6:$A$25&gt;=MIN($A95,E$79))*($A$6:$A$25&lt;=MAX($A95,E$79))*$W$6:$W$25)-(INDEX($W$6:$W$25,$A95)+INDEX($W$6:$W$25,E$79))/2)^2)</f>
        <v>3364</v>
      </c>
      <c r="F95" s="33" t="n">
        <f aca="false">IF($A95=F$79,0,(SUMPRODUCT(($A$6:$A$25&gt;=MIN($A95,F$79))*($A$6:$A$25&lt;=MAX($A95,F$79))*$W$6:$W$25)-(INDEX($W$6:$W$25,$A95)+INDEX($W$6:$W$25,F$79))/2)^2)</f>
        <v>1560.25</v>
      </c>
      <c r="G95" s="33" t="n">
        <f aca="false">IF($A95=G$79,0,(SUMPRODUCT(($A$6:$A$25&gt;=MIN($A95,G$79))*($A$6:$A$25&lt;=MAX($A95,G$79))*$W$6:$W$25)-(INDEX($W$6:$W$25,$A95)+INDEX($W$6:$W$25,G$79))/2)^2)</f>
        <v>182.25</v>
      </c>
      <c r="H95" s="33" t="n">
        <f aca="false">IF($A95=H$79,0,(SUMPRODUCT(($A$6:$A$25&gt;=MIN($A95,H$79))*($A$6:$A$25&lt;=MAX($A95,H$79))*$W$6:$W$25)-(INDEX($W$6:$W$25,$A95)+INDEX($W$6:$W$25,H$79))/2)^2)</f>
        <v>0</v>
      </c>
      <c r="I95" s="33" t="n">
        <f aca="false">IF($A95=I$79,0,(SUMPRODUCT(($A$6:$A$25&gt;=MIN($A95,I$79))*($A$6:$A$25&lt;=MAX($A95,I$79))*$W$6:$W$25)-(INDEX($W$6:$W$25,$A95)+INDEX($W$6:$W$25,I$79))/2)^2)</f>
        <v>0</v>
      </c>
      <c r="J95" s="33" t="n">
        <f aca="false">IF($A95=J$79,0,(SUMPRODUCT(($A$6:$A$25&gt;=MIN($A95,J$79))*($A$6:$A$25&lt;=MAX($A95,J$79))*$W$6:$W$25)-(INDEX($W$6:$W$25,$A95)+INDEX($W$6:$W$25,J$79))/2)^2)</f>
        <v>0</v>
      </c>
      <c r="K95" s="33" t="n">
        <f aca="false">IF($A95=K$79,0,(SUMPRODUCT(($A$6:$A$25&gt;=MIN($A95,K$79))*($A$6:$A$25&lt;=MAX($A95,K$79))*$W$6:$W$25)-(INDEX($W$6:$W$25,$A95)+INDEX($W$6:$W$25,K$79))/2)^2)</f>
        <v>0</v>
      </c>
      <c r="L95" s="33" t="n">
        <f aca="false">IF($A95=L$79,0,(SUMPRODUCT(($A$6:$A$25&gt;=MIN($A95,L$79))*($A$6:$A$25&lt;=MAX($A95,L$79))*$W$6:$W$25)-(INDEX($W$6:$W$25,$A95)+INDEX($W$6:$W$25,L$79))/2)^2)</f>
        <v>0</v>
      </c>
      <c r="M95" s="33" t="n">
        <f aca="false">IF($A95=M$79,0,(SUMPRODUCT(($A$6:$A$25&gt;=MIN($A95,M$79))*($A$6:$A$25&lt;=MAX($A95,M$79))*$W$6:$W$25)-(INDEX($W$6:$W$25,$A95)+INDEX($W$6:$W$25,M$79))/2)^2)</f>
        <v>0</v>
      </c>
      <c r="N95" s="33" t="n">
        <f aca="false">IF($A95=N$79,0,(SUMPRODUCT(($A$6:$A$25&gt;=MIN($A95,N$79))*($A$6:$A$25&lt;=MAX($A95,N$79))*$W$6:$W$25)-(INDEX($W$6:$W$25,$A95)+INDEX($W$6:$W$25,N$79))/2)^2)</f>
        <v>0</v>
      </c>
      <c r="O95" s="33" t="n">
        <f aca="false">IF($A95=O$79,0,(SUMPRODUCT(($A$6:$A$25&gt;=MIN($A95,O$79))*($A$6:$A$25&lt;=MAX($A95,O$79))*$W$6:$W$25)-(INDEX($W$6:$W$25,$A95)+INDEX($W$6:$W$25,O$79))/2)^2)</f>
        <v>0</v>
      </c>
      <c r="P95" s="33" t="n">
        <f aca="false">IF($A95=P$79,0,(SUMPRODUCT(($A$6:$A$25&gt;=MIN($A95,P$79))*($A$6:$A$25&lt;=MAX($A95,P$79))*$W$6:$W$25)-(INDEX($W$6:$W$25,$A95)+INDEX($W$6:$W$25,P$79))/2)^2)</f>
        <v>0</v>
      </c>
      <c r="Q95" s="33" t="n">
        <f aca="false">IF($A95=Q$79,0,(SUMPRODUCT(($A$6:$A$25&gt;=MIN($A95,Q$79))*($A$6:$A$25&lt;=MAX($A95,Q$79))*$W$6:$W$25)-(INDEX($W$6:$W$25,$A95)+INDEX($W$6:$W$25,Q$79))/2)^2)</f>
        <v>0</v>
      </c>
      <c r="R95" s="33" t="n">
        <f aca="false">IF($A95=R$79,0,(SUMPRODUCT(($A$6:$A$25&gt;=MIN($A95,R$79))*($A$6:$A$25&lt;=MAX($A95,R$79))*$W$6:$W$25)-(INDEX($W$6:$W$25,$A95)+INDEX($W$6:$W$25,R$79))/2)^2)</f>
        <v>0</v>
      </c>
      <c r="S95" s="33" t="n">
        <f aca="false">IF($A95=S$79,0,(SUMPRODUCT(($A$6:$A$25&gt;=MIN($A95,S$79))*($A$6:$A$25&lt;=MAX($A95,S$79))*$W$6:$W$25)-(INDEX($W$6:$W$25,$A95)+INDEX($W$6:$W$25,S$79))/2)^2)</f>
        <v>0</v>
      </c>
      <c r="T95" s="33" t="n">
        <f aca="false">IF($A95=T$79,0,(SUMPRODUCT(($A$6:$A$25&gt;=MIN($A95,T$79))*($A$6:$A$25&lt;=MAX($A95,T$79))*$W$6:$W$25)-(INDEX($W$6:$W$25,$A95)+INDEX($W$6:$W$25,T$79))/2)^2)</f>
        <v>0</v>
      </c>
      <c r="U95" s="33" t="n">
        <f aca="false">IF($A95=U$79,0,(SUMPRODUCT(($A$6:$A$25&gt;=MIN($A95,U$79))*($A$6:$A$25&lt;=MAX($A95,U$79))*$W$6:$W$25)-(INDEX($W$6:$W$25,$A95)+INDEX($W$6:$W$25,U$79))/2)^2)</f>
        <v>0</v>
      </c>
      <c r="V95" s="33" t="n">
        <f aca="false">IF($A95=V$79,0,(SUMPRODUCT(($A$6:$A$25&gt;=MIN($A95,V$79))*($A$6:$A$25&lt;=MAX($A95,V$79))*$W$6:$W$25)-(INDEX($W$6:$W$25,$A95)+INDEX($W$6:$W$25,V$79))/2)^2)</f>
        <v>0</v>
      </c>
    </row>
    <row r="96" customFormat="false" ht="15" hidden="false" customHeight="false" outlineLevel="0" collapsed="false">
      <c r="A96" s="29" t="n">
        <v>16</v>
      </c>
      <c r="B96" s="29" t="str">
        <f aca="false">IF(INDEX(Pengaturan!$B$8:$B$27,$A96)="","",INDEX(Pengaturan!$B$8:$B$27,$A96))</f>
        <v/>
      </c>
      <c r="C96" s="33" t="n">
        <f aca="false">IF($A96=C$79,0,(SUMPRODUCT(($A$6:$A$25&gt;=MIN($A96,C$79))*($A$6:$A$25&lt;=MAX($A96,C$79))*$W$6:$W$25)-(INDEX($W$6:$W$25,$A96)+INDEX($W$6:$W$25,C$79))/2)^2)</f>
        <v>7921</v>
      </c>
      <c r="D96" s="33" t="n">
        <f aca="false">IF($A96=D$79,0,(SUMPRODUCT(($A$6:$A$25&gt;=MIN($A96,D$79))*($A$6:$A$25&lt;=MAX($A96,D$79))*$W$6:$W$25)-(INDEX($W$6:$W$25,$A96)+INDEX($W$6:$W$25,D$79))/2)^2)</f>
        <v>5041</v>
      </c>
      <c r="E96" s="33" t="n">
        <f aca="false">IF($A96=E$79,0,(SUMPRODUCT(($A$6:$A$25&gt;=MIN($A96,E$79))*($A$6:$A$25&lt;=MAX($A96,E$79))*$W$6:$W$25)-(INDEX($W$6:$W$25,$A96)+INDEX($W$6:$W$25,E$79))/2)^2)</f>
        <v>3364</v>
      </c>
      <c r="F96" s="33" t="n">
        <f aca="false">IF($A96=F$79,0,(SUMPRODUCT(($A$6:$A$25&gt;=MIN($A96,F$79))*($A$6:$A$25&lt;=MAX($A96,F$79))*$W$6:$W$25)-(INDEX($W$6:$W$25,$A96)+INDEX($W$6:$W$25,F$79))/2)^2)</f>
        <v>1560.25</v>
      </c>
      <c r="G96" s="33" t="n">
        <f aca="false">IF($A96=G$79,0,(SUMPRODUCT(($A$6:$A$25&gt;=MIN($A96,G$79))*($A$6:$A$25&lt;=MAX($A96,G$79))*$W$6:$W$25)-(INDEX($W$6:$W$25,$A96)+INDEX($W$6:$W$25,G$79))/2)^2)</f>
        <v>182.25</v>
      </c>
      <c r="H96" s="33" t="n">
        <f aca="false">IF($A96=H$79,0,(SUMPRODUCT(($A$6:$A$25&gt;=MIN($A96,H$79))*($A$6:$A$25&lt;=MAX($A96,H$79))*$W$6:$W$25)-(INDEX($W$6:$W$25,$A96)+INDEX($W$6:$W$25,H$79))/2)^2)</f>
        <v>0</v>
      </c>
      <c r="I96" s="33" t="n">
        <f aca="false">IF($A96=I$79,0,(SUMPRODUCT(($A$6:$A$25&gt;=MIN($A96,I$79))*($A$6:$A$25&lt;=MAX($A96,I$79))*$W$6:$W$25)-(INDEX($W$6:$W$25,$A96)+INDEX($W$6:$W$25,I$79))/2)^2)</f>
        <v>0</v>
      </c>
      <c r="J96" s="33" t="n">
        <f aca="false">IF($A96=J$79,0,(SUMPRODUCT(($A$6:$A$25&gt;=MIN($A96,J$79))*($A$6:$A$25&lt;=MAX($A96,J$79))*$W$6:$W$25)-(INDEX($W$6:$W$25,$A96)+INDEX($W$6:$W$25,J$79))/2)^2)</f>
        <v>0</v>
      </c>
      <c r="K96" s="33" t="n">
        <f aca="false">IF($A96=K$79,0,(SUMPRODUCT(($A$6:$A$25&gt;=MIN($A96,K$79))*($A$6:$A$25&lt;=MAX($A96,K$79))*$W$6:$W$25)-(INDEX($W$6:$W$25,$A96)+INDEX($W$6:$W$25,K$79))/2)^2)</f>
        <v>0</v>
      </c>
      <c r="L96" s="33" t="n">
        <f aca="false">IF($A96=L$79,0,(SUMPRODUCT(($A$6:$A$25&gt;=MIN($A96,L$79))*($A$6:$A$25&lt;=MAX($A96,L$79))*$W$6:$W$25)-(INDEX($W$6:$W$25,$A96)+INDEX($W$6:$W$25,L$79))/2)^2)</f>
        <v>0</v>
      </c>
      <c r="M96" s="33" t="n">
        <f aca="false">IF($A96=M$79,0,(SUMPRODUCT(($A$6:$A$25&gt;=MIN($A96,M$79))*($A$6:$A$25&lt;=MAX($A96,M$79))*$W$6:$W$25)-(INDEX($W$6:$W$25,$A96)+INDEX($W$6:$W$25,M$79))/2)^2)</f>
        <v>0</v>
      </c>
      <c r="N96" s="33" t="n">
        <f aca="false">IF($A96=N$79,0,(SUMPRODUCT(($A$6:$A$25&gt;=MIN($A96,N$79))*($A$6:$A$25&lt;=MAX($A96,N$79))*$W$6:$W$25)-(INDEX($W$6:$W$25,$A96)+INDEX($W$6:$W$25,N$79))/2)^2)</f>
        <v>0</v>
      </c>
      <c r="O96" s="33" t="n">
        <f aca="false">IF($A96=O$79,0,(SUMPRODUCT(($A$6:$A$25&gt;=MIN($A96,O$79))*($A$6:$A$25&lt;=MAX($A96,O$79))*$W$6:$W$25)-(INDEX($W$6:$W$25,$A96)+INDEX($W$6:$W$25,O$79))/2)^2)</f>
        <v>0</v>
      </c>
      <c r="P96" s="33" t="n">
        <f aca="false">IF($A96=P$79,0,(SUMPRODUCT(($A$6:$A$25&gt;=MIN($A96,P$79))*($A$6:$A$25&lt;=MAX($A96,P$79))*$W$6:$W$25)-(INDEX($W$6:$W$25,$A96)+INDEX($W$6:$W$25,P$79))/2)^2)</f>
        <v>0</v>
      </c>
      <c r="Q96" s="33" t="n">
        <f aca="false">IF($A96=Q$79,0,(SUMPRODUCT(($A$6:$A$25&gt;=MIN($A96,Q$79))*($A$6:$A$25&lt;=MAX($A96,Q$79))*$W$6:$W$25)-(INDEX($W$6:$W$25,$A96)+INDEX($W$6:$W$25,Q$79))/2)^2)</f>
        <v>0</v>
      </c>
      <c r="R96" s="33" t="n">
        <f aca="false">IF($A96=R$79,0,(SUMPRODUCT(($A$6:$A$25&gt;=MIN($A96,R$79))*($A$6:$A$25&lt;=MAX($A96,R$79))*$W$6:$W$25)-(INDEX($W$6:$W$25,$A96)+INDEX($W$6:$W$25,R$79))/2)^2)</f>
        <v>0</v>
      </c>
      <c r="S96" s="33" t="n">
        <f aca="false">IF($A96=S$79,0,(SUMPRODUCT(($A$6:$A$25&gt;=MIN($A96,S$79))*($A$6:$A$25&lt;=MAX($A96,S$79))*$W$6:$W$25)-(INDEX($W$6:$W$25,$A96)+INDEX($W$6:$W$25,S$79))/2)^2)</f>
        <v>0</v>
      </c>
      <c r="T96" s="33" t="n">
        <f aca="false">IF($A96=T$79,0,(SUMPRODUCT(($A$6:$A$25&gt;=MIN($A96,T$79))*($A$6:$A$25&lt;=MAX($A96,T$79))*$W$6:$W$25)-(INDEX($W$6:$W$25,$A96)+INDEX($W$6:$W$25,T$79))/2)^2)</f>
        <v>0</v>
      </c>
      <c r="U96" s="33" t="n">
        <f aca="false">IF($A96=U$79,0,(SUMPRODUCT(($A$6:$A$25&gt;=MIN($A96,U$79))*($A$6:$A$25&lt;=MAX($A96,U$79))*$W$6:$W$25)-(INDEX($W$6:$W$25,$A96)+INDEX($W$6:$W$25,U$79))/2)^2)</f>
        <v>0</v>
      </c>
      <c r="V96" s="33" t="n">
        <f aca="false">IF($A96=V$79,0,(SUMPRODUCT(($A$6:$A$25&gt;=MIN($A96,V$79))*($A$6:$A$25&lt;=MAX($A96,V$79))*$W$6:$W$25)-(INDEX($W$6:$W$25,$A96)+INDEX($W$6:$W$25,V$79))/2)^2)</f>
        <v>0</v>
      </c>
    </row>
    <row r="97" customFormat="false" ht="15" hidden="false" customHeight="false" outlineLevel="0" collapsed="false">
      <c r="A97" s="29" t="n">
        <v>17</v>
      </c>
      <c r="B97" s="29" t="str">
        <f aca="false">IF(INDEX(Pengaturan!$B$8:$B$27,$A97)="","",INDEX(Pengaturan!$B$8:$B$27,$A97))</f>
        <v/>
      </c>
      <c r="C97" s="33" t="n">
        <f aca="false">IF($A97=C$79,0,(SUMPRODUCT(($A$6:$A$25&gt;=MIN($A97,C$79))*($A$6:$A$25&lt;=MAX($A97,C$79))*$W$6:$W$25)-(INDEX($W$6:$W$25,$A97)+INDEX($W$6:$W$25,C$79))/2)^2)</f>
        <v>7921</v>
      </c>
      <c r="D97" s="33" t="n">
        <f aca="false">IF($A97=D$79,0,(SUMPRODUCT(($A$6:$A$25&gt;=MIN($A97,D$79))*($A$6:$A$25&lt;=MAX($A97,D$79))*$W$6:$W$25)-(INDEX($W$6:$W$25,$A97)+INDEX($W$6:$W$25,D$79))/2)^2)</f>
        <v>5041</v>
      </c>
      <c r="E97" s="33" t="n">
        <f aca="false">IF($A97=E$79,0,(SUMPRODUCT(($A$6:$A$25&gt;=MIN($A97,E$79))*($A$6:$A$25&lt;=MAX($A97,E$79))*$W$6:$W$25)-(INDEX($W$6:$W$25,$A97)+INDEX($W$6:$W$25,E$79))/2)^2)</f>
        <v>3364</v>
      </c>
      <c r="F97" s="33" t="n">
        <f aca="false">IF($A97=F$79,0,(SUMPRODUCT(($A$6:$A$25&gt;=MIN($A97,F$79))*($A$6:$A$25&lt;=MAX($A97,F$79))*$W$6:$W$25)-(INDEX($W$6:$W$25,$A97)+INDEX($W$6:$W$25,F$79))/2)^2)</f>
        <v>1560.25</v>
      </c>
      <c r="G97" s="33" t="n">
        <f aca="false">IF($A97=G$79,0,(SUMPRODUCT(($A$6:$A$25&gt;=MIN($A97,G$79))*($A$6:$A$25&lt;=MAX($A97,G$79))*$W$6:$W$25)-(INDEX($W$6:$W$25,$A97)+INDEX($W$6:$W$25,G$79))/2)^2)</f>
        <v>182.25</v>
      </c>
      <c r="H97" s="33" t="n">
        <f aca="false">IF($A97=H$79,0,(SUMPRODUCT(($A$6:$A$25&gt;=MIN($A97,H$79))*($A$6:$A$25&lt;=MAX($A97,H$79))*$W$6:$W$25)-(INDEX($W$6:$W$25,$A97)+INDEX($W$6:$W$25,H$79))/2)^2)</f>
        <v>0</v>
      </c>
      <c r="I97" s="33" t="n">
        <f aca="false">IF($A97=I$79,0,(SUMPRODUCT(($A$6:$A$25&gt;=MIN($A97,I$79))*($A$6:$A$25&lt;=MAX($A97,I$79))*$W$6:$W$25)-(INDEX($W$6:$W$25,$A97)+INDEX($W$6:$W$25,I$79))/2)^2)</f>
        <v>0</v>
      </c>
      <c r="J97" s="33" t="n">
        <f aca="false">IF($A97=J$79,0,(SUMPRODUCT(($A$6:$A$25&gt;=MIN($A97,J$79))*($A$6:$A$25&lt;=MAX($A97,J$79))*$W$6:$W$25)-(INDEX($W$6:$W$25,$A97)+INDEX($W$6:$W$25,J$79))/2)^2)</f>
        <v>0</v>
      </c>
      <c r="K97" s="33" t="n">
        <f aca="false">IF($A97=K$79,0,(SUMPRODUCT(($A$6:$A$25&gt;=MIN($A97,K$79))*($A$6:$A$25&lt;=MAX($A97,K$79))*$W$6:$W$25)-(INDEX($W$6:$W$25,$A97)+INDEX($W$6:$W$25,K$79))/2)^2)</f>
        <v>0</v>
      </c>
      <c r="L97" s="33" t="n">
        <f aca="false">IF($A97=L$79,0,(SUMPRODUCT(($A$6:$A$25&gt;=MIN($A97,L$79))*($A$6:$A$25&lt;=MAX($A97,L$79))*$W$6:$W$25)-(INDEX($W$6:$W$25,$A97)+INDEX($W$6:$W$25,L$79))/2)^2)</f>
        <v>0</v>
      </c>
      <c r="M97" s="33" t="n">
        <f aca="false">IF($A97=M$79,0,(SUMPRODUCT(($A$6:$A$25&gt;=MIN($A97,M$79))*($A$6:$A$25&lt;=MAX($A97,M$79))*$W$6:$W$25)-(INDEX($W$6:$W$25,$A97)+INDEX($W$6:$W$25,M$79))/2)^2)</f>
        <v>0</v>
      </c>
      <c r="N97" s="33" t="n">
        <f aca="false">IF($A97=N$79,0,(SUMPRODUCT(($A$6:$A$25&gt;=MIN($A97,N$79))*($A$6:$A$25&lt;=MAX($A97,N$79))*$W$6:$W$25)-(INDEX($W$6:$W$25,$A97)+INDEX($W$6:$W$25,N$79))/2)^2)</f>
        <v>0</v>
      </c>
      <c r="O97" s="33" t="n">
        <f aca="false">IF($A97=O$79,0,(SUMPRODUCT(($A$6:$A$25&gt;=MIN($A97,O$79))*($A$6:$A$25&lt;=MAX($A97,O$79))*$W$6:$W$25)-(INDEX($W$6:$W$25,$A97)+INDEX($W$6:$W$25,O$79))/2)^2)</f>
        <v>0</v>
      </c>
      <c r="P97" s="33" t="n">
        <f aca="false">IF($A97=P$79,0,(SUMPRODUCT(($A$6:$A$25&gt;=MIN($A97,P$79))*($A$6:$A$25&lt;=MAX($A97,P$79))*$W$6:$W$25)-(INDEX($W$6:$W$25,$A97)+INDEX($W$6:$W$25,P$79))/2)^2)</f>
        <v>0</v>
      </c>
      <c r="Q97" s="33" t="n">
        <f aca="false">IF($A97=Q$79,0,(SUMPRODUCT(($A$6:$A$25&gt;=MIN($A97,Q$79))*($A$6:$A$25&lt;=MAX($A97,Q$79))*$W$6:$W$25)-(INDEX($W$6:$W$25,$A97)+INDEX($W$6:$W$25,Q$79))/2)^2)</f>
        <v>0</v>
      </c>
      <c r="R97" s="33" t="n">
        <f aca="false">IF($A97=R$79,0,(SUMPRODUCT(($A$6:$A$25&gt;=MIN($A97,R$79))*($A$6:$A$25&lt;=MAX($A97,R$79))*$W$6:$W$25)-(INDEX($W$6:$W$25,$A97)+INDEX($W$6:$W$25,R$79))/2)^2)</f>
        <v>0</v>
      </c>
      <c r="S97" s="33" t="n">
        <f aca="false">IF($A97=S$79,0,(SUMPRODUCT(($A$6:$A$25&gt;=MIN($A97,S$79))*($A$6:$A$25&lt;=MAX($A97,S$79))*$W$6:$W$25)-(INDEX($W$6:$W$25,$A97)+INDEX($W$6:$W$25,S$79))/2)^2)</f>
        <v>0</v>
      </c>
      <c r="T97" s="33" t="n">
        <f aca="false">IF($A97=T$79,0,(SUMPRODUCT(($A$6:$A$25&gt;=MIN($A97,T$79))*($A$6:$A$25&lt;=MAX($A97,T$79))*$W$6:$W$25)-(INDEX($W$6:$W$25,$A97)+INDEX($W$6:$W$25,T$79))/2)^2)</f>
        <v>0</v>
      </c>
      <c r="U97" s="33" t="n">
        <f aca="false">IF($A97=U$79,0,(SUMPRODUCT(($A$6:$A$25&gt;=MIN($A97,U$79))*($A$6:$A$25&lt;=MAX($A97,U$79))*$W$6:$W$25)-(INDEX($W$6:$W$25,$A97)+INDEX($W$6:$W$25,U$79))/2)^2)</f>
        <v>0</v>
      </c>
      <c r="V97" s="33" t="n">
        <f aca="false">IF($A97=V$79,0,(SUMPRODUCT(($A$6:$A$25&gt;=MIN($A97,V$79))*($A$6:$A$25&lt;=MAX($A97,V$79))*$W$6:$W$25)-(INDEX($W$6:$W$25,$A97)+INDEX($W$6:$W$25,V$79))/2)^2)</f>
        <v>0</v>
      </c>
    </row>
    <row r="98" customFormat="false" ht="15" hidden="false" customHeight="false" outlineLevel="0" collapsed="false">
      <c r="A98" s="29" t="n">
        <v>18</v>
      </c>
      <c r="B98" s="29" t="str">
        <f aca="false">IF(INDEX(Pengaturan!$B$8:$B$27,$A98)="","",INDEX(Pengaturan!$B$8:$B$27,$A98))</f>
        <v/>
      </c>
      <c r="C98" s="33" t="n">
        <f aca="false">IF($A98=C$79,0,(SUMPRODUCT(($A$6:$A$25&gt;=MIN($A98,C$79))*($A$6:$A$25&lt;=MAX($A98,C$79))*$W$6:$W$25)-(INDEX($W$6:$W$25,$A98)+INDEX($W$6:$W$25,C$79))/2)^2)</f>
        <v>7921</v>
      </c>
      <c r="D98" s="33" t="n">
        <f aca="false">IF($A98=D$79,0,(SUMPRODUCT(($A$6:$A$25&gt;=MIN($A98,D$79))*($A$6:$A$25&lt;=MAX($A98,D$79))*$W$6:$W$25)-(INDEX($W$6:$W$25,$A98)+INDEX($W$6:$W$25,D$79))/2)^2)</f>
        <v>5041</v>
      </c>
      <c r="E98" s="33" t="n">
        <f aca="false">IF($A98=E$79,0,(SUMPRODUCT(($A$6:$A$25&gt;=MIN($A98,E$79))*($A$6:$A$25&lt;=MAX($A98,E$79))*$W$6:$W$25)-(INDEX($W$6:$W$25,$A98)+INDEX($W$6:$W$25,E$79))/2)^2)</f>
        <v>3364</v>
      </c>
      <c r="F98" s="33" t="n">
        <f aca="false">IF($A98=F$79,0,(SUMPRODUCT(($A$6:$A$25&gt;=MIN($A98,F$79))*($A$6:$A$25&lt;=MAX($A98,F$79))*$W$6:$W$25)-(INDEX($W$6:$W$25,$A98)+INDEX($W$6:$W$25,F$79))/2)^2)</f>
        <v>1560.25</v>
      </c>
      <c r="G98" s="33" t="n">
        <f aca="false">IF($A98=G$79,0,(SUMPRODUCT(($A$6:$A$25&gt;=MIN($A98,G$79))*($A$6:$A$25&lt;=MAX($A98,G$79))*$W$6:$W$25)-(INDEX($W$6:$W$25,$A98)+INDEX($W$6:$W$25,G$79))/2)^2)</f>
        <v>182.25</v>
      </c>
      <c r="H98" s="33" t="n">
        <f aca="false">IF($A98=H$79,0,(SUMPRODUCT(($A$6:$A$25&gt;=MIN($A98,H$79))*($A$6:$A$25&lt;=MAX($A98,H$79))*$W$6:$W$25)-(INDEX($W$6:$W$25,$A98)+INDEX($W$6:$W$25,H$79))/2)^2)</f>
        <v>0</v>
      </c>
      <c r="I98" s="33" t="n">
        <f aca="false">IF($A98=I$79,0,(SUMPRODUCT(($A$6:$A$25&gt;=MIN($A98,I$79))*($A$6:$A$25&lt;=MAX($A98,I$79))*$W$6:$W$25)-(INDEX($W$6:$W$25,$A98)+INDEX($W$6:$W$25,I$79))/2)^2)</f>
        <v>0</v>
      </c>
      <c r="J98" s="33" t="n">
        <f aca="false">IF($A98=J$79,0,(SUMPRODUCT(($A$6:$A$25&gt;=MIN($A98,J$79))*($A$6:$A$25&lt;=MAX($A98,J$79))*$W$6:$W$25)-(INDEX($W$6:$W$25,$A98)+INDEX($W$6:$W$25,J$79))/2)^2)</f>
        <v>0</v>
      </c>
      <c r="K98" s="33" t="n">
        <f aca="false">IF($A98=K$79,0,(SUMPRODUCT(($A$6:$A$25&gt;=MIN($A98,K$79))*($A$6:$A$25&lt;=MAX($A98,K$79))*$W$6:$W$25)-(INDEX($W$6:$W$25,$A98)+INDEX($W$6:$W$25,K$79))/2)^2)</f>
        <v>0</v>
      </c>
      <c r="L98" s="33" t="n">
        <f aca="false">IF($A98=L$79,0,(SUMPRODUCT(($A$6:$A$25&gt;=MIN($A98,L$79))*($A$6:$A$25&lt;=MAX($A98,L$79))*$W$6:$W$25)-(INDEX($W$6:$W$25,$A98)+INDEX($W$6:$W$25,L$79))/2)^2)</f>
        <v>0</v>
      </c>
      <c r="M98" s="33" t="n">
        <f aca="false">IF($A98=M$79,0,(SUMPRODUCT(($A$6:$A$25&gt;=MIN($A98,M$79))*($A$6:$A$25&lt;=MAX($A98,M$79))*$W$6:$W$25)-(INDEX($W$6:$W$25,$A98)+INDEX($W$6:$W$25,M$79))/2)^2)</f>
        <v>0</v>
      </c>
      <c r="N98" s="33" t="n">
        <f aca="false">IF($A98=N$79,0,(SUMPRODUCT(($A$6:$A$25&gt;=MIN($A98,N$79))*($A$6:$A$25&lt;=MAX($A98,N$79))*$W$6:$W$25)-(INDEX($W$6:$W$25,$A98)+INDEX($W$6:$W$25,N$79))/2)^2)</f>
        <v>0</v>
      </c>
      <c r="O98" s="33" t="n">
        <f aca="false">IF($A98=O$79,0,(SUMPRODUCT(($A$6:$A$25&gt;=MIN($A98,O$79))*($A$6:$A$25&lt;=MAX($A98,O$79))*$W$6:$W$25)-(INDEX($W$6:$W$25,$A98)+INDEX($W$6:$W$25,O$79))/2)^2)</f>
        <v>0</v>
      </c>
      <c r="P98" s="33" t="n">
        <f aca="false">IF($A98=P$79,0,(SUMPRODUCT(($A$6:$A$25&gt;=MIN($A98,P$79))*($A$6:$A$25&lt;=MAX($A98,P$79))*$W$6:$W$25)-(INDEX($W$6:$W$25,$A98)+INDEX($W$6:$W$25,P$79))/2)^2)</f>
        <v>0</v>
      </c>
      <c r="Q98" s="33" t="n">
        <f aca="false">IF($A98=Q$79,0,(SUMPRODUCT(($A$6:$A$25&gt;=MIN($A98,Q$79))*($A$6:$A$25&lt;=MAX($A98,Q$79))*$W$6:$W$25)-(INDEX($W$6:$W$25,$A98)+INDEX($W$6:$W$25,Q$79))/2)^2)</f>
        <v>0</v>
      </c>
      <c r="R98" s="33" t="n">
        <f aca="false">IF($A98=R$79,0,(SUMPRODUCT(($A$6:$A$25&gt;=MIN($A98,R$79))*($A$6:$A$25&lt;=MAX($A98,R$79))*$W$6:$W$25)-(INDEX($W$6:$W$25,$A98)+INDEX($W$6:$W$25,R$79))/2)^2)</f>
        <v>0</v>
      </c>
      <c r="S98" s="33" t="n">
        <f aca="false">IF($A98=S$79,0,(SUMPRODUCT(($A$6:$A$25&gt;=MIN($A98,S$79))*($A$6:$A$25&lt;=MAX($A98,S$79))*$W$6:$W$25)-(INDEX($W$6:$W$25,$A98)+INDEX($W$6:$W$25,S$79))/2)^2)</f>
        <v>0</v>
      </c>
      <c r="T98" s="33" t="n">
        <f aca="false">IF($A98=T$79,0,(SUMPRODUCT(($A$6:$A$25&gt;=MIN($A98,T$79))*($A$6:$A$25&lt;=MAX($A98,T$79))*$W$6:$W$25)-(INDEX($W$6:$W$25,$A98)+INDEX($W$6:$W$25,T$79))/2)^2)</f>
        <v>0</v>
      </c>
      <c r="U98" s="33" t="n">
        <f aca="false">IF($A98=U$79,0,(SUMPRODUCT(($A$6:$A$25&gt;=MIN($A98,U$79))*($A$6:$A$25&lt;=MAX($A98,U$79))*$W$6:$W$25)-(INDEX($W$6:$W$25,$A98)+INDEX($W$6:$W$25,U$79))/2)^2)</f>
        <v>0</v>
      </c>
      <c r="V98" s="33" t="n">
        <f aca="false">IF($A98=V$79,0,(SUMPRODUCT(($A$6:$A$25&gt;=MIN($A98,V$79))*($A$6:$A$25&lt;=MAX($A98,V$79))*$W$6:$W$25)-(INDEX($W$6:$W$25,$A98)+INDEX($W$6:$W$25,V$79))/2)^2)</f>
        <v>0</v>
      </c>
    </row>
    <row r="99" customFormat="false" ht="15" hidden="false" customHeight="false" outlineLevel="0" collapsed="false">
      <c r="A99" s="29" t="n">
        <v>19</v>
      </c>
      <c r="B99" s="29" t="str">
        <f aca="false">IF(INDEX(Pengaturan!$B$8:$B$27,$A99)="","",INDEX(Pengaturan!$B$8:$B$27,$A99))</f>
        <v/>
      </c>
      <c r="C99" s="33" t="n">
        <f aca="false">IF($A99=C$79,0,(SUMPRODUCT(($A$6:$A$25&gt;=MIN($A99,C$79))*($A$6:$A$25&lt;=MAX($A99,C$79))*$W$6:$W$25)-(INDEX($W$6:$W$25,$A99)+INDEX($W$6:$W$25,C$79))/2)^2)</f>
        <v>7921</v>
      </c>
      <c r="D99" s="33" t="n">
        <f aca="false">IF($A99=D$79,0,(SUMPRODUCT(($A$6:$A$25&gt;=MIN($A99,D$79))*($A$6:$A$25&lt;=MAX($A99,D$79))*$W$6:$W$25)-(INDEX($W$6:$W$25,$A99)+INDEX($W$6:$W$25,D$79))/2)^2)</f>
        <v>5041</v>
      </c>
      <c r="E99" s="33" t="n">
        <f aca="false">IF($A99=E$79,0,(SUMPRODUCT(($A$6:$A$25&gt;=MIN($A99,E$79))*($A$6:$A$25&lt;=MAX($A99,E$79))*$W$6:$W$25)-(INDEX($W$6:$W$25,$A99)+INDEX($W$6:$W$25,E$79))/2)^2)</f>
        <v>3364</v>
      </c>
      <c r="F99" s="33" t="n">
        <f aca="false">IF($A99=F$79,0,(SUMPRODUCT(($A$6:$A$25&gt;=MIN($A99,F$79))*($A$6:$A$25&lt;=MAX($A99,F$79))*$W$6:$W$25)-(INDEX($W$6:$W$25,$A99)+INDEX($W$6:$W$25,F$79))/2)^2)</f>
        <v>1560.25</v>
      </c>
      <c r="G99" s="33" t="n">
        <f aca="false">IF($A99=G$79,0,(SUMPRODUCT(($A$6:$A$25&gt;=MIN($A99,G$79))*($A$6:$A$25&lt;=MAX($A99,G$79))*$W$6:$W$25)-(INDEX($W$6:$W$25,$A99)+INDEX($W$6:$W$25,G$79))/2)^2)</f>
        <v>182.25</v>
      </c>
      <c r="H99" s="33" t="n">
        <f aca="false">IF($A99=H$79,0,(SUMPRODUCT(($A$6:$A$25&gt;=MIN($A99,H$79))*($A$6:$A$25&lt;=MAX($A99,H$79))*$W$6:$W$25)-(INDEX($W$6:$W$25,$A99)+INDEX($W$6:$W$25,H$79))/2)^2)</f>
        <v>0</v>
      </c>
      <c r="I99" s="33" t="n">
        <f aca="false">IF($A99=I$79,0,(SUMPRODUCT(($A$6:$A$25&gt;=MIN($A99,I$79))*($A$6:$A$25&lt;=MAX($A99,I$79))*$W$6:$W$25)-(INDEX($W$6:$W$25,$A99)+INDEX($W$6:$W$25,I$79))/2)^2)</f>
        <v>0</v>
      </c>
      <c r="J99" s="33" t="n">
        <f aca="false">IF($A99=J$79,0,(SUMPRODUCT(($A$6:$A$25&gt;=MIN($A99,J$79))*($A$6:$A$25&lt;=MAX($A99,J$79))*$W$6:$W$25)-(INDEX($W$6:$W$25,$A99)+INDEX($W$6:$W$25,J$79))/2)^2)</f>
        <v>0</v>
      </c>
      <c r="K99" s="33" t="n">
        <f aca="false">IF($A99=K$79,0,(SUMPRODUCT(($A$6:$A$25&gt;=MIN($A99,K$79))*($A$6:$A$25&lt;=MAX($A99,K$79))*$W$6:$W$25)-(INDEX($W$6:$W$25,$A99)+INDEX($W$6:$W$25,K$79))/2)^2)</f>
        <v>0</v>
      </c>
      <c r="L99" s="33" t="n">
        <f aca="false">IF($A99=L$79,0,(SUMPRODUCT(($A$6:$A$25&gt;=MIN($A99,L$79))*($A$6:$A$25&lt;=MAX($A99,L$79))*$W$6:$W$25)-(INDEX($W$6:$W$25,$A99)+INDEX($W$6:$W$25,L$79))/2)^2)</f>
        <v>0</v>
      </c>
      <c r="M99" s="33" t="n">
        <f aca="false">IF($A99=M$79,0,(SUMPRODUCT(($A$6:$A$25&gt;=MIN($A99,M$79))*($A$6:$A$25&lt;=MAX($A99,M$79))*$W$6:$W$25)-(INDEX($W$6:$W$25,$A99)+INDEX($W$6:$W$25,M$79))/2)^2)</f>
        <v>0</v>
      </c>
      <c r="N99" s="33" t="n">
        <f aca="false">IF($A99=N$79,0,(SUMPRODUCT(($A$6:$A$25&gt;=MIN($A99,N$79))*($A$6:$A$25&lt;=MAX($A99,N$79))*$W$6:$W$25)-(INDEX($W$6:$W$25,$A99)+INDEX($W$6:$W$25,N$79))/2)^2)</f>
        <v>0</v>
      </c>
      <c r="O99" s="33" t="n">
        <f aca="false">IF($A99=O$79,0,(SUMPRODUCT(($A$6:$A$25&gt;=MIN($A99,O$79))*($A$6:$A$25&lt;=MAX($A99,O$79))*$W$6:$W$25)-(INDEX($W$6:$W$25,$A99)+INDEX($W$6:$W$25,O$79))/2)^2)</f>
        <v>0</v>
      </c>
      <c r="P99" s="33" t="n">
        <f aca="false">IF($A99=P$79,0,(SUMPRODUCT(($A$6:$A$25&gt;=MIN($A99,P$79))*($A$6:$A$25&lt;=MAX($A99,P$79))*$W$6:$W$25)-(INDEX($W$6:$W$25,$A99)+INDEX($W$6:$W$25,P$79))/2)^2)</f>
        <v>0</v>
      </c>
      <c r="Q99" s="33" t="n">
        <f aca="false">IF($A99=Q$79,0,(SUMPRODUCT(($A$6:$A$25&gt;=MIN($A99,Q$79))*($A$6:$A$25&lt;=MAX($A99,Q$79))*$W$6:$W$25)-(INDEX($W$6:$W$25,$A99)+INDEX($W$6:$W$25,Q$79))/2)^2)</f>
        <v>0</v>
      </c>
      <c r="R99" s="33" t="n">
        <f aca="false">IF($A99=R$79,0,(SUMPRODUCT(($A$6:$A$25&gt;=MIN($A99,R$79))*($A$6:$A$25&lt;=MAX($A99,R$79))*$W$6:$W$25)-(INDEX($W$6:$W$25,$A99)+INDEX($W$6:$W$25,R$79))/2)^2)</f>
        <v>0</v>
      </c>
      <c r="S99" s="33" t="n">
        <f aca="false">IF($A99=S$79,0,(SUMPRODUCT(($A$6:$A$25&gt;=MIN($A99,S$79))*($A$6:$A$25&lt;=MAX($A99,S$79))*$W$6:$W$25)-(INDEX($W$6:$W$25,$A99)+INDEX($W$6:$W$25,S$79))/2)^2)</f>
        <v>0</v>
      </c>
      <c r="T99" s="33" t="n">
        <f aca="false">IF($A99=T$79,0,(SUMPRODUCT(($A$6:$A$25&gt;=MIN($A99,T$79))*($A$6:$A$25&lt;=MAX($A99,T$79))*$W$6:$W$25)-(INDEX($W$6:$W$25,$A99)+INDEX($W$6:$W$25,T$79))/2)^2)</f>
        <v>0</v>
      </c>
      <c r="U99" s="33" t="n">
        <f aca="false">IF($A99=U$79,0,(SUMPRODUCT(($A$6:$A$25&gt;=MIN($A99,U$79))*($A$6:$A$25&lt;=MAX($A99,U$79))*$W$6:$W$25)-(INDEX($W$6:$W$25,$A99)+INDEX($W$6:$W$25,U$79))/2)^2)</f>
        <v>0</v>
      </c>
      <c r="V99" s="33" t="n">
        <f aca="false">IF($A99=V$79,0,(SUMPRODUCT(($A$6:$A$25&gt;=MIN($A99,V$79))*($A$6:$A$25&lt;=MAX($A99,V$79))*$W$6:$W$25)-(INDEX($W$6:$W$25,$A99)+INDEX($W$6:$W$25,V$79))/2)^2)</f>
        <v>0</v>
      </c>
    </row>
    <row r="100" customFormat="false" ht="15" hidden="false" customHeight="false" outlineLevel="0" collapsed="false">
      <c r="A100" s="29" t="n">
        <v>20</v>
      </c>
      <c r="B100" s="29" t="str">
        <f aca="false">IF(INDEX(Pengaturan!$B$8:$B$27,$A100)="","",INDEX(Pengaturan!$B$8:$B$27,$A100))</f>
        <v/>
      </c>
      <c r="C100" s="33" t="n">
        <f aca="false">IF($A100=C$79,0,(SUMPRODUCT(($A$6:$A$25&gt;=MIN($A100,C$79))*($A$6:$A$25&lt;=MAX($A100,C$79))*$W$6:$W$25)-(INDEX($W$6:$W$25,$A100)+INDEX($W$6:$W$25,C$79))/2)^2)</f>
        <v>7921</v>
      </c>
      <c r="D100" s="33" t="n">
        <f aca="false">IF($A100=D$79,0,(SUMPRODUCT(($A$6:$A$25&gt;=MIN($A100,D$79))*($A$6:$A$25&lt;=MAX($A100,D$79))*$W$6:$W$25)-(INDEX($W$6:$W$25,$A100)+INDEX($W$6:$W$25,D$79))/2)^2)</f>
        <v>5041</v>
      </c>
      <c r="E100" s="33" t="n">
        <f aca="false">IF($A100=E$79,0,(SUMPRODUCT(($A$6:$A$25&gt;=MIN($A100,E$79))*($A$6:$A$25&lt;=MAX($A100,E$79))*$W$6:$W$25)-(INDEX($W$6:$W$25,$A100)+INDEX($W$6:$W$25,E$79))/2)^2)</f>
        <v>3364</v>
      </c>
      <c r="F100" s="33" t="n">
        <f aca="false">IF($A100=F$79,0,(SUMPRODUCT(($A$6:$A$25&gt;=MIN($A100,F$79))*($A$6:$A$25&lt;=MAX($A100,F$79))*$W$6:$W$25)-(INDEX($W$6:$W$25,$A100)+INDEX($W$6:$W$25,F$79))/2)^2)</f>
        <v>1560.25</v>
      </c>
      <c r="G100" s="33" t="n">
        <f aca="false">IF($A100=G$79,0,(SUMPRODUCT(($A$6:$A$25&gt;=MIN($A100,G$79))*($A$6:$A$25&lt;=MAX($A100,G$79))*$W$6:$W$25)-(INDEX($W$6:$W$25,$A100)+INDEX($W$6:$W$25,G$79))/2)^2)</f>
        <v>182.25</v>
      </c>
      <c r="H100" s="33" t="n">
        <f aca="false">IF($A100=H$79,0,(SUMPRODUCT(($A$6:$A$25&gt;=MIN($A100,H$79))*($A$6:$A$25&lt;=MAX($A100,H$79))*$W$6:$W$25)-(INDEX($W$6:$W$25,$A100)+INDEX($W$6:$W$25,H$79))/2)^2)</f>
        <v>0</v>
      </c>
      <c r="I100" s="33" t="n">
        <f aca="false">IF($A100=I$79,0,(SUMPRODUCT(($A$6:$A$25&gt;=MIN($A100,I$79))*($A$6:$A$25&lt;=MAX($A100,I$79))*$W$6:$W$25)-(INDEX($W$6:$W$25,$A100)+INDEX($W$6:$W$25,I$79))/2)^2)</f>
        <v>0</v>
      </c>
      <c r="J100" s="33" t="n">
        <f aca="false">IF($A100=J$79,0,(SUMPRODUCT(($A$6:$A$25&gt;=MIN($A100,J$79))*($A$6:$A$25&lt;=MAX($A100,J$79))*$W$6:$W$25)-(INDEX($W$6:$W$25,$A100)+INDEX($W$6:$W$25,J$79))/2)^2)</f>
        <v>0</v>
      </c>
      <c r="K100" s="33" t="n">
        <f aca="false">IF($A100=K$79,0,(SUMPRODUCT(($A$6:$A$25&gt;=MIN($A100,K$79))*($A$6:$A$25&lt;=MAX($A100,K$79))*$W$6:$W$25)-(INDEX($W$6:$W$25,$A100)+INDEX($W$6:$W$25,K$79))/2)^2)</f>
        <v>0</v>
      </c>
      <c r="L100" s="33" t="n">
        <f aca="false">IF($A100=L$79,0,(SUMPRODUCT(($A$6:$A$25&gt;=MIN($A100,L$79))*($A$6:$A$25&lt;=MAX($A100,L$79))*$W$6:$W$25)-(INDEX($W$6:$W$25,$A100)+INDEX($W$6:$W$25,L$79))/2)^2)</f>
        <v>0</v>
      </c>
      <c r="M100" s="33" t="n">
        <f aca="false">IF($A100=M$79,0,(SUMPRODUCT(($A$6:$A$25&gt;=MIN($A100,M$79))*($A$6:$A$25&lt;=MAX($A100,M$79))*$W$6:$W$25)-(INDEX($W$6:$W$25,$A100)+INDEX($W$6:$W$25,M$79))/2)^2)</f>
        <v>0</v>
      </c>
      <c r="N100" s="33" t="n">
        <f aca="false">IF($A100=N$79,0,(SUMPRODUCT(($A$6:$A$25&gt;=MIN($A100,N$79))*($A$6:$A$25&lt;=MAX($A100,N$79))*$W$6:$W$25)-(INDEX($W$6:$W$25,$A100)+INDEX($W$6:$W$25,N$79))/2)^2)</f>
        <v>0</v>
      </c>
      <c r="O100" s="33" t="n">
        <f aca="false">IF($A100=O$79,0,(SUMPRODUCT(($A$6:$A$25&gt;=MIN($A100,O$79))*($A$6:$A$25&lt;=MAX($A100,O$79))*$W$6:$W$25)-(INDEX($W$6:$W$25,$A100)+INDEX($W$6:$W$25,O$79))/2)^2)</f>
        <v>0</v>
      </c>
      <c r="P100" s="33" t="n">
        <f aca="false">IF($A100=P$79,0,(SUMPRODUCT(($A$6:$A$25&gt;=MIN($A100,P$79))*($A$6:$A$25&lt;=MAX($A100,P$79))*$W$6:$W$25)-(INDEX($W$6:$W$25,$A100)+INDEX($W$6:$W$25,P$79))/2)^2)</f>
        <v>0</v>
      </c>
      <c r="Q100" s="33" t="n">
        <f aca="false">IF($A100=Q$79,0,(SUMPRODUCT(($A$6:$A$25&gt;=MIN($A100,Q$79))*($A$6:$A$25&lt;=MAX($A100,Q$79))*$W$6:$W$25)-(INDEX($W$6:$W$25,$A100)+INDEX($W$6:$W$25,Q$79))/2)^2)</f>
        <v>0</v>
      </c>
      <c r="R100" s="33" t="n">
        <f aca="false">IF($A100=R$79,0,(SUMPRODUCT(($A$6:$A$25&gt;=MIN($A100,R$79))*($A$6:$A$25&lt;=MAX($A100,R$79))*$W$6:$W$25)-(INDEX($W$6:$W$25,$A100)+INDEX($W$6:$W$25,R$79))/2)^2)</f>
        <v>0</v>
      </c>
      <c r="S100" s="33" t="n">
        <f aca="false">IF($A100=S$79,0,(SUMPRODUCT(($A$6:$A$25&gt;=MIN($A100,S$79))*($A$6:$A$25&lt;=MAX($A100,S$79))*$W$6:$W$25)-(INDEX($W$6:$W$25,$A100)+INDEX($W$6:$W$25,S$79))/2)^2)</f>
        <v>0</v>
      </c>
      <c r="T100" s="33" t="n">
        <f aca="false">IF($A100=T$79,0,(SUMPRODUCT(($A$6:$A$25&gt;=MIN($A100,T$79))*($A$6:$A$25&lt;=MAX($A100,T$79))*$W$6:$W$25)-(INDEX($W$6:$W$25,$A100)+INDEX($W$6:$W$25,T$79))/2)^2)</f>
        <v>0</v>
      </c>
      <c r="U100" s="33" t="n">
        <f aca="false">IF($A100=U$79,0,(SUMPRODUCT(($A$6:$A$25&gt;=MIN($A100,U$79))*($A$6:$A$25&lt;=MAX($A100,U$79))*$W$6:$W$25)-(INDEX($W$6:$W$25,$A100)+INDEX($W$6:$W$25,U$79))/2)^2)</f>
        <v>0</v>
      </c>
      <c r="V100" s="33" t="n">
        <f aca="false">IF($A100=V$79,0,(SUMPRODUCT(($A$6:$A$25&gt;=MIN($A100,V$79))*($A$6:$A$25&lt;=MAX($A100,V$79))*$W$6:$W$25)-(INDEX($W$6:$W$25,$A100)+INDEX($W$6:$W$25,V$79))/2)^2)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2026-10-21T08:56:25Z</dcterms:created>
  <dc:creator>openpyxl</dc:creator>
  <dc:description/>
  <dc:language>en-US</dc:language>
  <cp:lastModifiedBy/>
  <dcterms:modified xsi:type="dcterms:W3CDTF">2026-10-21T08:56:26Z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