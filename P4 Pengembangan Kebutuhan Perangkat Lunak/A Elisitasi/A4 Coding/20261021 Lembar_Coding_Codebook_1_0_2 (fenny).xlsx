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etunjuk" sheetId="1" state="visible" r:id="rId3"/>
    <sheet name="Lembar Coding" sheetId="2" state="visible" r:id="rId4"/>
    <sheet name="Daftar Kode" sheetId="3" state="visible" r:id="rId5"/>
    <sheet name="Korpus" sheetId="4" state="hidden" r:id="rId6"/>
  </sheets>
  <definedNames>
    <definedName function="false" hidden="true" localSheetId="1" name="_xlnm._FilterDatabase" vbProcedure="false">'Lembar Coding'!$A$1:$S$86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<sst xmlns="http://schemas.openxmlformats.org/spreadsheetml/2006/main" count="774" uniqueCount="364">
  <si>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</si>
  <si>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</si>
  <si>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</si>
  <si>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fenny</t>
  </si>
  <si>
    <t xml:space="preserve">V2 pada Lembar Coding terisi otomatis dari sel ini.</t>
  </si>
  <si>
    <t xml:space="preserve">Prosedur singkat (Bagian 4 codebook)</t>
  </si>
  <si>
    <t xml:space="preserve">1</t>
  </si>
  <si>
    <t xml:space="preserve">Baca kolom Isi secara utuh, lalu kolom Rujukan. Buka BAB dan Bagian (kolom R dan S, tersembunyi) hanya bila perlu memahami rujukan antarunit.</t>
  </si>
  <si>
    <t xml:space="preserve">2</t>
  </si>
  <si>
    <t xml:space="preserve">Tentukan V4 Subjek Norma terlebih dahulu, lalu V5 Relevansi dengan Uji Implikasi (Bagian 3 dan 6.2).</t>
  </si>
  <si>
    <t xml:space="preserve">3</t>
  </si>
  <si>
    <t xml:space="preserve">Tentukan V6 Tema Utama dengan pohon keputusan (Bagian 6.3), lalu V7 dan V8 (Bagian 7), lalu V9 (Bagian 7.3).</t>
  </si>
  <si>
    <t xml:space="preserve">4</t>
  </si>
  <si>
    <t xml:space="preserve">Untuk unit R2, tulis V11 Draf Kebutuhan satu kalimat (opsional). Catat keraguan di V12. Kode residual T99 hanya bila tidak ada tema yang cocok.</t>
  </si>
  <si>
    <t xml:space="preserve">5</t>
  </si>
  <si>
    <t xml:space="preserve">Periksa kolom Cek Konsistensi (Q) setiap selesai satu baris. Bila tidak OK, ulangi coding atau jelaskan di V12.</t>
  </si>
  <si>
    <t xml:space="preserve">6</t>
  </si>
  <si>
    <t xml:space="preserve">Kodekan setiap unit secara independen. Jangan berdiskusi dengan coder lain sebelum seluruh unit selesai.</t>
  </si>
  <si>
    <t xml:space="preserve">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</si>
  <si>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</si>
  <si>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</si>
  <si>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</si>
  <si>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</si>
  <si>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</si>
  <si>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</si>
  <si>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</si>
  <si>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</si>
  <si>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</si>
  <si>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</si>
  <si>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</si>
  <si>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</si>
  <si>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</si>
  <si>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</si>
  <si>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</si>
  <si>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</si>
  <si>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</si>
  <si>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</si>
  <si>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</si>
  <si>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</si>
  <si>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</si>
  <si>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</si>
  <si>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</si>
  <si>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</si>
  <si>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</si>
  <si>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</si>
  <si>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</si>
  <si>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</si>
  <si>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</si>
  <si>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</si>
  <si>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</si>
  <si>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</si>
  <si>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</si>
  <si>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</si>
  <si>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 xml:space="preserve">Kode</t>
  </si>
  <si>
    <t xml:space="preserve">V4 S1 | V5 R2 | V6 T11 | V7 P2 | V8 F6 | V9 K3. Alasan: kewajiban dengan batas waktu yang dapat diuji.</t>
  </si>
  <si>
    <t xml:space="preserve">Rujukan (Pasal atau Paragraf dan Kalimat)</t>
  </si>
  <si>
    <t xml:space="preserve">Isi</t>
  </si>
  <si>
    <t xml:space="preserve">Pilot</t>
  </si>
  <si>
    <t xml:space="preserve">Kelengkapan V4 sampai V9</t>
  </si>
  <si>
    <t xml:space="preserve">Cek Konsistensi (Bagian 9)</t>
  </si>
  <si>
    <t xml:space="preserve">BAB</t>
  </si>
  <si>
    <t xml:space="preserve">Bagian</t>
  </si>
  <si>
    <t xml:space="preserve">S4</t>
  </si>
  <si>
    <t xml:space="preserve">R2</t>
  </si>
  <si>
    <t xml:space="preserve">T10</t>
  </si>
  <si>
    <t xml:space="preserve">P3</t>
  </si>
  <si>
    <t xml:space="preserve">F4</t>
  </si>
  <si>
    <t xml:space="preserve">K2</t>
  </si>
  <si>
    <t xml:space="preserve">T14</t>
  </si>
  <si>
    <t xml:space="preserve">Ya</t>
  </si>
  <si>
    <t xml:space="preserve">T09</t>
  </si>
  <si>
    <t xml:space="preserve">P2</t>
  </si>
  <si>
    <t xml:space="preserve">S3</t>
  </si>
  <si>
    <t xml:space="preserve">R1</t>
  </si>
  <si>
    <t xml:space="preserve">T06</t>
  </si>
  <si>
    <t xml:space="preserve">P4</t>
  </si>
  <si>
    <t xml:space="preserve">F2</t>
  </si>
  <si>
    <t xml:space="preserve">K5</t>
  </si>
  <si>
    <t xml:space="preserve">S5</t>
  </si>
  <si>
    <t xml:space="preserve">T11</t>
  </si>
  <si>
    <t xml:space="preserve">F6</t>
  </si>
  <si>
    <t xml:space="preserve">K4</t>
  </si>
  <si>
    <t xml:space="preserve">T02</t>
  </si>
  <si>
    <t xml:space="preserve">P7</t>
  </si>
  <si>
    <t xml:space="preserve">F1</t>
  </si>
  <si>
    <t xml:space="preserve">K3</t>
  </si>
  <si>
    <t xml:space="preserve">S9</t>
  </si>
  <si>
    <t xml:space="preserve">R0</t>
  </si>
  <si>
    <t xml:space="preserve">T16</t>
  </si>
  <si>
    <t xml:space="preserve">S1</t>
  </si>
  <si>
    <t xml:space="preserve">T07</t>
  </si>
  <si>
    <t xml:space="preserve">F7</t>
  </si>
  <si>
    <t xml:space="preserve">T13</t>
  </si>
  <si>
    <t xml:space="preserve">P5</t>
  </si>
  <si>
    <t xml:space="preserve">F3</t>
  </si>
  <si>
    <t xml:space="preserve">T17</t>
  </si>
  <si>
    <t xml:space="preserve">P9</t>
  </si>
  <si>
    <t xml:space="preserve">F8</t>
  </si>
  <si>
    <t xml:space="preserve">T01</t>
  </si>
  <si>
    <t xml:space="preserve">P6</t>
  </si>
  <si>
    <t xml:space="preserve">Daftar kode sah (Codebook versi 1.0.2)</t>
  </si>
  <si>
    <t xml:space="preserve">Sumber: Bagian 6 sampai 7 codebook. Sheet ini dipakai oleh daftar pilihan (validasi data) pada lembar coding.</t>
  </si>
  <si>
    <t xml:space="preserve">Variabel</t>
  </si>
  <si>
    <t xml:space="preserve">Label</t>
  </si>
  <si>
    <t xml:space="preserve">Pengendali Data Pribadi</t>
  </si>
  <si>
    <t xml:space="preserve">S2</t>
  </si>
  <si>
    <t xml:space="preserve">Prosesor Data Pribadi</t>
  </si>
  <si>
    <t xml:space="preserve">Pengendali dan Prosesor</t>
  </si>
  <si>
    <t xml:space="preserve">Subjek Data Pribadi</t>
  </si>
  <si>
    <t xml:space="preserve">Setiap Orang atau pihak umum</t>
  </si>
  <si>
    <t xml:space="preserve">S6</t>
  </si>
  <si>
    <t xml:space="preserve">Instansi atau Badan Publik</t>
  </si>
  <si>
    <t xml:space="preserve">S7</t>
  </si>
  <si>
    <t xml:space="preserve">Lembaga atau Pemerintah (otoritas)</t>
  </si>
  <si>
    <t xml:space="preserve">S8</t>
  </si>
  <si>
    <t xml:space="preserve">Penyelenggara sektor atau pihak lain</t>
  </si>
  <si>
    <t xml:space="preserve">Tidak ada subjek eksplisit</t>
  </si>
  <si>
    <t xml:space="preserve">Tidak relevan</t>
  </si>
  <si>
    <t xml:space="preserve">Relevan tidak langsung</t>
  </si>
  <si>
    <t xml:space="preserve">Relevan langsung</t>
  </si>
  <si>
    <t xml:space="preserve">Definisi, Istilah, dan Ruang Lingkup</t>
  </si>
  <si>
    <t xml:space="preserve">Asas dan Prinsip Pemrosesan</t>
  </si>
  <si>
    <t xml:space="preserve">T03</t>
  </si>
  <si>
    <t xml:space="preserve">Jenis dan Klasifikasi Data Pribadi</t>
  </si>
  <si>
    <t xml:space="preserve">T04</t>
  </si>
  <si>
    <t xml:space="preserve">Hak Subjek Data Pribadi</t>
  </si>
  <si>
    <t xml:space="preserve">T05</t>
  </si>
  <si>
    <t xml:space="preserve">Dasar Pemrosesan dan Persetujuan</t>
  </si>
  <si>
    <t xml:space="preserve">Aktivitas Pemrosesan dan Pengumpulan</t>
  </si>
  <si>
    <t xml:space="preserve">Data Pribadi Anak dan Kelompok Rentan</t>
  </si>
  <si>
    <t xml:space="preserve">T08</t>
  </si>
  <si>
    <t xml:space="preserve">Kualitas, Akurasi, dan Pembaruan Data</t>
  </si>
  <si>
    <t xml:space="preserve">Akuntabilitas, Pencatatan, dan Tata Kelola Kepatuhan</t>
  </si>
  <si>
    <t xml:space="preserve">Keamanan, Kerahasiaan, dan Penanganan Insiden</t>
  </si>
  <si>
    <t xml:space="preserve">Retensi, Penghentian, Penghapusan, dan Pemusnahan</t>
  </si>
  <si>
    <t xml:space="preserve">T12</t>
  </si>
  <si>
    <t xml:space="preserve">Pengecualian dan Pembatasan</t>
  </si>
  <si>
    <t xml:space="preserve">Transfer dan Pengalihan Data</t>
  </si>
  <si>
    <t xml:space="preserve">Larangan dan Perbuatan Melawan Hukum</t>
  </si>
  <si>
    <t xml:space="preserve">T15</t>
  </si>
  <si>
    <t xml:space="preserve">Akses dan Pemanfaatan Data Pemerintah</t>
  </si>
  <si>
    <t xml:space="preserve">Urgensi, Konsep, dan Landasan Pelindungan Data</t>
  </si>
  <si>
    <t xml:space="preserve">Rujukan Regulasi Lain</t>
  </si>
  <si>
    <t xml:space="preserve">T99</t>
  </si>
  <si>
    <t xml:space="preserve">Lainnya (wajib jelaskan di V12)</t>
  </si>
  <si>
    <t xml:space="preserve">P1</t>
  </si>
  <si>
    <t xml:space="preserve">Larangan</t>
  </si>
  <si>
    <t xml:space="preserve">Kewajiban</t>
  </si>
  <si>
    <t xml:space="preserve">Hak</t>
  </si>
  <si>
    <t xml:space="preserve">Pengecualian atau pembatasan</t>
  </si>
  <si>
    <t xml:space="preserve">Kebolehan atau kewenangan</t>
  </si>
  <si>
    <t xml:space="preserve">Definisi, klasifikasi, atau ruang lingkup</t>
  </si>
  <si>
    <t xml:space="preserve">Asas, prinsip, atau tujuan umum</t>
  </si>
  <si>
    <t xml:space="preserve">P8</t>
  </si>
  <si>
    <t xml:space="preserve">Deskriptif, argumentatif, atau rekomendasi</t>
  </si>
  <si>
    <t xml:space="preserve">Rujukan atau daftar</t>
  </si>
  <si>
    <t xml:space="preserve">Perencanaan dan dasar pemrosesan</t>
  </si>
  <si>
    <t xml:space="preserve">Pengumpulan atau akuisisi</t>
  </si>
  <si>
    <t xml:space="preserve">Pengolahan dan analisis</t>
  </si>
  <si>
    <t xml:space="preserve">Penyimpanan dan pengamanan</t>
  </si>
  <si>
    <t xml:space="preserve">F5</t>
  </si>
  <si>
    <t xml:space="preserve">Penyebarluasan dan transfer</t>
  </si>
  <si>
    <t xml:space="preserve">Retensi dan penghapusan</t>
  </si>
  <si>
    <t xml:space="preserve">Tata kelola dan hak subjek</t>
  </si>
  <si>
    <t xml:space="preserve">Lintas tahap atau tidak spesifik</t>
  </si>
  <si>
    <t xml:space="preserve">K1</t>
  </si>
  <si>
    <t xml:space="preserve">Non-fungsional: keamanan dan kerahasiaan</t>
  </si>
  <si>
    <t xml:space="preserve">Non-fungsional: mutu data, kepatuhan, dan akuntabilitas</t>
  </si>
  <si>
    <t xml:space="preserve">Fungsional</t>
  </si>
  <si>
    <t xml:space="preserve">Batasan atau aturan bisnis hukum</t>
  </si>
  <si>
    <t xml:space="preserve">Tidak menghasilkan kebutuhan</t>
  </si>
  <si>
    <t xml:space="preserve">Dokumen</t>
  </si>
  <si>
    <t xml:space="preserve">Paragraf</t>
  </si>
  <si>
    <t xml:space="preserve">Pasal</t>
  </si>
  <si>
    <t xml:space="preserve">CATATAN</t>
  </si>
  <si>
    <t xml:space="preserve">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</si>
  <si>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</si>
  <si>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</si>
  <si>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</si>
  <si>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</si>
  <si>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</si>
  <si>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</si>
  <si>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</si>
  <si>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</si>
  <si>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</si>
  <si>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</si>
  <si>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</si>
  <si>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</si>
  <si>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</si>
  <si>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</si>
  <si>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</si>
  <si>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</si>
  <si>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</si>
  <si>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</si>
  <si>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</si>
  <si>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</si>
  <si>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</si>
  <si>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</si>
  <si>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</si>
  <si>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</si>
  <si>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</si>
  <si>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</si>
  <si>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</si>
  <si>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</si>
  <si>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</si>
  <si>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</si>
  <si>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</si>
  <si>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</si>
  <si>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</si>
  <si>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</si>
  <si>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</si>
  <si>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</si>
  <si>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</si>
  <si>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</si>
  <si>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</si>
  <si>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</si>
  <si>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</si>
  <si>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</si>
  <si>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</si>
  <si>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</si>
  <si>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</si>
  <si>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</si>
  <si>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</si>
  <si>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</si>
  <si>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</si>
  <si>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</si>
  <si>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</si>
  <si>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</si>
  <si>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</si>
  <si>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</si>
  <si>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</si>
  <si>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</si>
  <si>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</si>
  <si>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</si>
  <si>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</si>
  <si>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</si>
  <si>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</si>
  <si>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</si>
  <si>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</si>
  <si>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</si>
  <si>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</si>
  <si>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</si>
  <si>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</si>
  <si>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</si>
  <si>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</si>
  <si>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</si>
  <si>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</si>
  <si>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</si>
  <si>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</si>
  <si>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</si>
  <si>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</si>
  <si>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</si>
  <si>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</si>
  <si>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</si>
  <si>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</si>
  <si>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</si>
  <si>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</si>
  <si>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</si>
  <si>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</si>
  <si>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</si>
  <si>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</si>
  <si>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</si>
  <si>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</si>
  <si>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</si>
  <si>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</si>
  <si>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</si>
  <si>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</si>
  <si>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</si>
  <si>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</si>
  <si>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</si>
  <si>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</si>
  <si>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</si>
  <si>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</si>
  <si>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</si>
  <si>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</si>
  <si>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</si>
  <si>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</si>
  <si>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</si>
  <si>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</si>
  <si>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</si>
  <si>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</si>
  <si>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</si>
  <si>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</si>
  <si>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</si>
  <si>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</si>
  <si>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</si>
  <si>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</si>
  <si>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</si>
  <si>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</si>
  <si>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</si>
  <si>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</si>
  <si>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</si>
  <si>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</si>
  <si>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</si>
  <si>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</si>
  <si>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</si>
  <si>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</si>
  <si>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</si>
  <si>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</si>
  <si>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</si>
  <si>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</si>
  <si>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</si>
  <si>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</si>
  <si>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</si>
  <si>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</si>
  <si>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</si>
  <si>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</si>
  <si>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</si>
  <si>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</si>
  <si>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</si>
  <si>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</si>
  <si>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</si>
  <si>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</si>
  <si>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</si>
  <si>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</si>
  <si>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</si>
  <si>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</si>
  <si>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</si>
  <si>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</si>
  <si>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</si>
  <si>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</si>
  <si>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</si>
  <si>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</si>
  <si>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</si>
  <si>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</si>
  <si>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</si>
  <si>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</si>
  <si>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</si>
  <si>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</si>
  <si>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</si>
  <si>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</si>
  <si>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</si>
  <si>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</si>
  <si>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</si>
  <si>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</si>
  <si>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</si>
  <si>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</si>
  <si>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</si>
  <si>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</si>
  <si>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rgb="FF000000"/>
        <rFont val="FiraCode Nerd Font"/>
        <family val="0"/>
        <charset val="1"/>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rgb="FF000000"/>
        <rFont val="Linux Libertine G"/>
        <family val="0"/>
        <charset val="1"/>
      </rPr>
      <t xml:space="preserve">ُ</t>
    </r>
    <r>
      <rPr>
        <sz val="10"/>
        <color rgb="FF000000"/>
        <rFont val="FiraCode Nerd Font"/>
        <family val="0"/>
        <charset val="1"/>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</si>
  <si>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</si>
  <si>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</si>
  <si>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</si>
  <si>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</si>
  <si>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</si>
  <si>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</si>
  <si>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</si>
  <si>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</si>
  <si>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</si>
  <si>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</si>
  <si>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</si>
  <si>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</si>
  <si>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</si>
  <si>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</si>
  <si>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</si>
  <si>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</si>
  <si>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</si>
  <si>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</si>
  <si>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</si>
  <si>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</si>
  <si>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</si>
  <si>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</si>
  <si>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</si>
  <si>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 xml:space="preser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</si>
</sst>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0"/>
      <color rgb="FFFFFFFF"/>
      <name val="Arial"/>
      <family val="0"/>
      <charset val="1"/>
    </font>
    <font>
      <sz val="10"/>
      <name val="Arial"/>
      <family val="0"/>
      <charset val="1"/>
    </font>
    <font>
      <sz val="10"/>
      <color rgb="FF000000"/>
      <name val="FiraCode Nerd Font"/>
      <family val="0"/>
      <charset val="1"/>
    </font>
    <font>
      <sz val="10"/>
      <color rgb="FF000000"/>
      <name val="Linux Libertine G"/>
      <family val="0"/>
      <charset val="1"/>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6"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4"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F549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6100"/>
          <bgColor rgb="FF000000"/>
        </patternFill>
      </fill>
    </dxf>
    <dxf>
      <fill>
        <patternFill patternType="solid">
          <fgColor rgb="FFC6EFCE"/>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006100"/>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C1" colorId="64" zoomScale="65" zoomScaleNormal="65" zoomScalePageLayoutView="100" workbookViewId="0">
      <selection pane="topLeft" activeCell="C5" activeCellId="0" sqref="C5"/>
    </sheetView>
  </sheetViews>
  <sheetFormatPr defaultColWidth="8.71484375" defaultRowHeight="15" customHeight="fals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B4" s="4" t="s">
        <v>2</v>
      </c>
      <c r="C4" s="5" t="s">
        <v>3</v>
      </c>
      <c r="D4" s="3" t="s">
        <v>4</v>
      </c>
    </row>
    <row r="6" customFormat="false" ht="15" hidden="false" customHeight="false" outlineLevel="0" collapsed="false">
      <c r="B6" s="6" t="s">
        <v>5</v>
      </c>
      <c r="C6" s="7"/>
    </row>
    <row r="7" customFormat="false" ht="23.85" hidden="false" customHeight="false" outlineLevel="0" collapsed="false">
      <c r="B7" s="8" t="s">
        <v>6</v>
      </c>
      <c r="C7" s="9" t="s">
        <v>7</v>
      </c>
    </row>
    <row r="8" customFormat="false" ht="15" hidden="false" customHeight="false" outlineLevel="0" collapsed="false">
      <c r="B8" s="8" t="s">
        <v>8</v>
      </c>
      <c r="C8" s="9" t="s">
        <v>9</v>
      </c>
    </row>
    <row r="9" customFormat="false" ht="15" hidden="false" customHeight="false" outlineLevel="0" collapsed="false">
      <c r="B9" s="8" t="s">
        <v>10</v>
      </c>
      <c r="C9" s="9" t="s">
        <v>11</v>
      </c>
    </row>
    <row r="10" customFormat="false" ht="23.85" hidden="false" customHeight="false" outlineLevel="0" collapsed="false">
      <c r="B10" s="8" t="s">
        <v>12</v>
      </c>
      <c r="C10" s="9" t="s">
        <v>13</v>
      </c>
    </row>
    <row r="11" customFormat="false" ht="15" hidden="false" customHeight="false" outlineLevel="0" collapsed="false">
      <c r="B11" s="8" t="s">
        <v>14</v>
      </c>
      <c r="C11" s="9" t="s">
        <v>15</v>
      </c>
    </row>
    <row r="12" customFormat="false" ht="15" hidden="false" customHeight="false" outlineLevel="0" collapsed="false">
      <c r="B12" s="8" t="s">
        <v>16</v>
      </c>
      <c r="C12" s="9" t="s">
        <v>17</v>
      </c>
    </row>
    <row r="13" customFormat="false" ht="15" hidden="false" customHeight="false" outlineLevel="0" collapsed="false">
      <c r="B13" s="6" t="s">
        <v>18</v>
      </c>
      <c r="C13" s="7"/>
    </row>
    <row r="14" customFormat="false" ht="15" hidden="false" customHeight="false" outlineLevel="0" collapsed="false">
      <c r="B14" s="10" t="s">
        <v>19</v>
      </c>
      <c r="C14" s="9" t="s">
        <v>20</v>
      </c>
    </row>
    <row r="15" customFormat="false" ht="15" hidden="false" customHeight="false" outlineLevel="0" collapsed="false">
      <c r="B15" s="8" t="s">
        <v>21</v>
      </c>
      <c r="C15" s="9" t="s">
        <v>22</v>
      </c>
    </row>
    <row r="16" customFormat="false" ht="15" hidden="false" customHeight="false" outlineLevel="0" collapsed="false">
      <c r="B16" s="8" t="s">
        <v>23</v>
      </c>
      <c r="C16" s="9" t="s">
        <v>24</v>
      </c>
    </row>
    <row r="18" customFormat="false" ht="15" hidden="false" customHeight="false" outlineLevel="0" collapsed="false">
      <c r="B18" s="6" t="s">
        <v>25</v>
      </c>
      <c r="C18" s="7"/>
    </row>
    <row r="19" customFormat="false" ht="15" hidden="false" customHeight="false" outlineLevel="0" collapsed="false">
      <c r="B19" s="4" t="s">
        <v>26</v>
      </c>
      <c r="C19" s="9" t="s">
        <v>27</v>
      </c>
    </row>
    <row r="20" customFormat="false" ht="15" hidden="false" customHeight="false" outlineLevel="0" collapsed="false">
      <c r="B20" s="4" t="s">
        <v>28</v>
      </c>
      <c r="C20" s="9" t="s">
        <v>29</v>
      </c>
    </row>
    <row r="21" customFormat="false" ht="15" hidden="false" customHeight="false" outlineLevel="0" collapsed="false">
      <c r="B21" s="4" t="s">
        <v>30</v>
      </c>
      <c r="C21" s="9" t="s">
        <v>31</v>
      </c>
    </row>
    <row r="22" customFormat="false" ht="15" hidden="false" customHeight="false" outlineLevel="0" collapsed="false">
      <c r="B22" s="4" t="s">
        <v>32</v>
      </c>
      <c r="C22" s="9" t="s">
        <v>33</v>
      </c>
    </row>
    <row r="23" customFormat="false" ht="15" hidden="false" customHeight="false" outlineLevel="0" collapsed="false">
      <c r="B23" s="4" t="s">
        <v>34</v>
      </c>
      <c r="C23" s="9" t="s">
        <v>35</v>
      </c>
    </row>
    <row r="24" customFormat="false" ht="15" hidden="false" customHeight="false" outlineLevel="0" collapsed="false">
      <c r="B24" s="4" t="s">
        <v>36</v>
      </c>
      <c r="C24" s="9" t="s">
        <v>37</v>
      </c>
    </row>
    <row r="25" customFormat="false" ht="15" hidden="false" customHeight="false" outlineLevel="0" collapsed="false">
      <c r="B25" s="4" t="s">
        <v>38</v>
      </c>
      <c r="C25" s="9" t="s">
        <v>39</v>
      </c>
    </row>
    <row r="26" customFormat="false" ht="15" hidden="false" customHeight="false" outlineLevel="0" collapsed="false">
      <c r="B26" s="4" t="s">
        <v>40</v>
      </c>
      <c r="C26" s="9" t="s">
        <v>41</v>
      </c>
    </row>
    <row r="27" customFormat="false" ht="15" hidden="false" customHeight="false" outlineLevel="0" collapsed="false">
      <c r="B27" s="4" t="s">
        <v>42</v>
      </c>
      <c r="C27" s="9" t="s">
        <v>43</v>
      </c>
    </row>
    <row r="28" customFormat="false" ht="15" hidden="false" customHeight="false" outlineLevel="0" collapsed="false">
      <c r="B28" s="4" t="s">
        <v>44</v>
      </c>
      <c r="C28" s="9" t="s">
        <v>45</v>
      </c>
    </row>
    <row r="29" customFormat="false" ht="15" hidden="false" customHeight="false" outlineLevel="0" collapsed="false">
      <c r="B29" s="4" t="s">
        <v>46</v>
      </c>
      <c r="C29" s="9" t="s">
        <v>47</v>
      </c>
    </row>
    <row r="30" customFormat="false" ht="15" hidden="false" customHeight="false" outlineLevel="0" collapsed="false">
      <c r="B30" s="4" t="s">
        <v>48</v>
      </c>
      <c r="C30" s="9" t="s">
        <v>49</v>
      </c>
    </row>
    <row r="32" customFormat="false" ht="15" hidden="false" customHeight="false" outlineLevel="0" collapsed="false">
      <c r="B32" s="6" t="s">
        <v>50</v>
      </c>
      <c r="C32" s="7"/>
    </row>
    <row r="33" customFormat="false" ht="15" hidden="false" customHeight="false" outlineLevel="0" collapsed="false">
      <c r="B33" s="4" t="s">
        <v>51</v>
      </c>
      <c r="C33" s="9" t="s">
        <v>52</v>
      </c>
    </row>
    <row r="34" customFormat="false" ht="15" hidden="false" customHeight="false" outlineLevel="0" collapsed="false">
      <c r="B34" s="4" t="s">
        <v>53</v>
      </c>
      <c r="C34"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S86"/>
  <sheetViews>
    <sheetView showFormulas="false" showGridLines="true" showRowColHeaders="true" showZeros="true" rightToLeft="false" tabSelected="true" showOutlineSymbols="true" defaultGridColor="true" view="normal" topLeftCell="A1" colorId="64" zoomScale="65" zoomScaleNormal="65" zoomScalePageLayoutView="100" workbookViewId="0">
      <pane xSplit="0" ySplit="1" topLeftCell="A2" activePane="bottomLeft" state="frozen"/>
      <selection pane="topLeft" activeCell="A1" activeCellId="0" sqref="A1"/>
      <selection pane="bottomLeft" activeCell="J76" activeCellId="0" sqref="J76"/>
    </sheetView>
  </sheetViews>
  <sheetFormatPr defaultColWidth="8.71484375" defaultRowHeight="15" customHeight="false" zeroHeight="false" outlineLevelRow="0" outlineLevelCol="0"/>
  <cols>
    <col collapsed="false" customWidth="true" hidden="false" outlineLevel="0" max="1" min="1" style="1" width="10.14"/>
    <col collapsed="false" customWidth="true" hidden="false" outlineLevel="0" max="2" min="2" style="11" width="11.29"/>
    <col collapsed="false" customWidth="true" hidden="false" outlineLevel="0" max="4" min="3" style="1" width="17.86"/>
    <col collapsed="false" customWidth="true" hidden="false" outlineLevel="0" max="5" min="5" style="1" width="66.42"/>
    <col collapsed="false" customWidth="true" hidden="false" outlineLevel="0" max="12" min="6" style="1" width="11.71"/>
    <col collapsed="false" customWidth="true" hidden="false" outlineLevel="0" max="14" min="13" style="1" width="25.57"/>
    <col collapsed="false" customWidth="true" hidden="false" outlineLevel="0" max="15" min="15" style="1" width="7"/>
    <col collapsed="false" customWidth="true" hidden="false" outlineLevel="0" max="16" min="16" style="1" width="16"/>
    <col collapsed="false" customWidth="true" hidden="false" outlineLevel="0" max="17" min="17" style="1" width="25.57"/>
    <col collapsed="false" customWidth="true" hidden="true" outlineLevel="0" max="19" min="18" style="1" width="18"/>
  </cols>
  <sheetData>
    <row r="1" s="14" customFormat="true" ht="42" hidden="false" customHeight="true" outlineLevel="0" collapsed="false">
      <c r="A1" s="12" t="s">
        <v>26</v>
      </c>
      <c r="B1" s="12" t="s">
        <v>28</v>
      </c>
      <c r="C1" s="12" t="s">
        <v>30</v>
      </c>
      <c r="D1" s="12" t="s">
        <v>55</v>
      </c>
      <c r="E1" s="12" t="s">
        <v>56</v>
      </c>
      <c r="F1" s="13" t="s">
        <v>32</v>
      </c>
      <c r="G1" s="13" t="s">
        <v>34</v>
      </c>
      <c r="H1" s="13" t="s">
        <v>36</v>
      </c>
      <c r="I1" s="13" t="s">
        <v>38</v>
      </c>
      <c r="J1" s="13" t="s">
        <v>40</v>
      </c>
      <c r="K1" s="13" t="s">
        <v>42</v>
      </c>
      <c r="L1" s="13" t="s">
        <v>44</v>
      </c>
      <c r="M1" s="13" t="s">
        <v>46</v>
      </c>
      <c r="N1" s="13" t="s">
        <v>48</v>
      </c>
      <c r="O1" s="12" t="s">
        <v>57</v>
      </c>
      <c r="P1" s="12" t="s">
        <v>58</v>
      </c>
      <c r="Q1" s="12" t="s">
        <v>59</v>
      </c>
      <c r="R1" s="12" t="s">
        <v>60</v>
      </c>
      <c r="S1" s="12" t="s">
        <v>61</v>
      </c>
    </row>
    <row r="2" customFormat="false" ht="60" hidden="true" customHeight="true" outlineLevel="0" collapsed="false">
      <c r="A2" s="15" t="n">
        <v>2</v>
      </c>
      <c r="B2" s="16" t="str">
        <f aca="false">IF(Petunjuk!$C$4="","",Petunjuk!$C$4)</f>
        <v>fenny</v>
      </c>
      <c r="C2" s="17" t="str">
        <f aca="false">IF(INDEX(Korpus!$A:$A,$A2)="","",INDEX(Korpus!$A:$A,$A2))</f>
        <v>2019MHN201</v>
      </c>
      <c r="D2" s="17" t="str">
        <f aca="false">TRIM(INDEX(Korpus!$D:$D,$A2)&amp;" "&amp;INDEX(Korpus!$E:$E,$A2))</f>
        <v>Paragraf 3 Kalimat 1</v>
      </c>
      <c r="E2" s="17" t="str">
        <f aca="false">IF(INDEX(Korpus!$F:$F,$A2)="","",INDEX(Korpus!$F:$F,$A2))</f>
        <v>Melihat banyaknya kasus penyalahgunaan data pribadi, sangat penting untuk memberikan perlindungan data pribadi.</v>
      </c>
      <c r="F2" s="18"/>
      <c r="G2" s="18"/>
      <c r="H2" s="18"/>
      <c r="I2" s="18"/>
      <c r="J2" s="18"/>
      <c r="K2" s="18"/>
      <c r="L2" s="18"/>
      <c r="M2" s="19"/>
      <c r="N2" s="19"/>
      <c r="O2" s="15"/>
      <c r="P2" s="17" t="str">
        <f aca="false">IF(COUNTA(F2:K2)=6,"Lengkap","Belum lengkap ("&amp;(6-COUNTA(F2:K2))&amp;")")</f>
        <v>Belum lengkap (6)</v>
      </c>
      <c r="Q2" s="17" t="str">
        <f aca="false">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7" t="str">
        <f aca="false">IF(INDEX(Korpus!$B:$B,$A2)="","",INDEX(Korpus!$B:$B,$A2))</f>
        <v>C. Pembahasan</v>
      </c>
      <c r="S2" s="17" t="str">
        <f aca="false">IF(INDEX(Korpus!$C:$C,$A2)="","",INDEX(Korpus!$C:$C,$A2))</f>
        <v>5. Pentingnya Perlindungan Data Pribadi</v>
      </c>
    </row>
    <row r="3" customFormat="false" ht="60" hidden="true" customHeight="true" outlineLevel="0" collapsed="false">
      <c r="A3" s="15" t="n">
        <v>3</v>
      </c>
      <c r="B3" s="16" t="str">
        <f aca="false">IF(Petunjuk!$C$4="","",Petunjuk!$C$4)</f>
        <v>fenny</v>
      </c>
      <c r="C3" s="17" t="str">
        <f aca="false">IF(INDEX(Korpus!$A:$A,$A3)="","",INDEX(Korpus!$A:$A,$A3))</f>
        <v>2019MHN201</v>
      </c>
      <c r="D3" s="17" t="str">
        <f aca="false">TRIM(INDEX(Korpus!$D:$D,$A3)&amp;" "&amp;INDEX(Korpus!$E:$E,$A3))</f>
        <v>Paragraf 3 Kalimat 2</v>
      </c>
      <c r="E3" s="17" t="str">
        <f aca="false">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aca="false">IF(COUNTA(F3:K3)=6,"Lengkap","Belum lengkap ("&amp;(6-COUNTA(F3:K3))&amp;")")</f>
        <v>Belum lengkap (6)</v>
      </c>
      <c r="Q3" s="17" t="str">
        <f aca="false">IF(COUNTA(F3:K3)&lt;6,"",IF(IF(AND(G3="R0",K3&lt;&gt;"K5"),"R0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","")="","OK",IF(AND(G3="R0",K3&lt;&gt;"K5"),"R0 harus K5; ","")&amp;IF(AND(G3="R1",K3="K3"),"R1 tidak boleh K3 (fungsional); ","")&amp;IF(AND(G3="R2",K3="K5"),"R2 tidak boleh K5; ","")&amp;IF(AND(G3="R2",OR(F3="S6",F3="S7",F3="S8")),"R2 tidak boleh S6/S7/S8; ","")&amp;IF(AND(I3="P9",H3&lt;&gt;"T17"),"P9 hanya dengan T17; ","")&amp;IF(AND(OR(H3="T17",I3="P9"),G3&lt;&gt;"R0"),"T17/P9 harus R0; ","")&amp;IF(AND(H3="T01",I3&lt;&gt;"P6",N3=""),"T01 biasanya P6; jelaskan di V12; ","")&amp;IF(AND(I3="P1",K3&lt;&gt;"K4",N3=""),"P1 biasanya K4; jelaskan di V12; ","")))</f>
        <v/>
      </c>
      <c r="R3" s="17" t="str">
        <f aca="false">IF(INDEX(Korpus!$B:$B,$A3)="","",INDEX(Korpus!$B:$B,$A3))</f>
        <v>C. Pembahasan</v>
      </c>
      <c r="S3" s="17" t="str">
        <f aca="false">IF(INDEX(Korpus!$C:$C,$A3)="","",INDEX(Korpus!$C:$C,$A3))</f>
        <v>5. Pentingnya Perlindungan Data Pribadi</v>
      </c>
    </row>
    <row r="4" customFormat="false" ht="60" hidden="true" customHeight="true" outlineLevel="0" collapsed="false">
      <c r="A4" s="15" t="n">
        <v>4</v>
      </c>
      <c r="B4" s="16" t="str">
        <f aca="false">IF(Petunjuk!$C$4="","",Petunjuk!$C$4)</f>
        <v>fenny</v>
      </c>
      <c r="C4" s="17" t="str">
        <f aca="false">IF(INDEX(Korpus!$A:$A,$A4)="","",INDEX(Korpus!$A:$A,$A4))</f>
        <v>2019MHN201</v>
      </c>
      <c r="D4" s="17" t="str">
        <f aca="false">TRIM(INDEX(Korpus!$D:$D,$A4)&amp;" "&amp;INDEX(Korpus!$E:$E,$A4))</f>
        <v>Paragraf 3 Kalimat 3</v>
      </c>
      <c r="E4" s="17" t="str">
        <f aca="false">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aca="false">IF(COUNTA(F4:K4)=6,"Lengkap","Belum lengkap ("&amp;(6-COUNTA(F4:K4))&amp;")")</f>
        <v>Belum lengkap (6)</v>
      </c>
      <c r="Q4" s="17" t="str">
        <f aca="false">IF(COUNTA(F4:K4)&lt;6,"",IF(IF(AND(G4="R0",K4&lt;&gt;"K5"),"R0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","")="","OK",IF(AND(G4="R0",K4&lt;&gt;"K5"),"R0 harus K5; ","")&amp;IF(AND(G4="R1",K4="K3"),"R1 tidak boleh K3 (fungsional); ","")&amp;IF(AND(G4="R2",K4="K5"),"R2 tidak boleh K5; ","")&amp;IF(AND(G4="R2",OR(F4="S6",F4="S7",F4="S8")),"R2 tidak boleh S6/S7/S8; ","")&amp;IF(AND(I4="P9",H4&lt;&gt;"T17"),"P9 hanya dengan T17; ","")&amp;IF(AND(OR(H4="T17",I4="P9"),G4&lt;&gt;"R0"),"T17/P9 harus R0; ","")&amp;IF(AND(H4="T01",I4&lt;&gt;"P6",N4=""),"T01 biasanya P6; jelaskan di V12; ","")&amp;IF(AND(I4="P1",K4&lt;&gt;"K4",N4=""),"P1 biasanya K4; jelaskan di V12; ","")))</f>
        <v/>
      </c>
      <c r="R4" s="17" t="str">
        <f aca="false">IF(INDEX(Korpus!$B:$B,$A4)="","",INDEX(Korpus!$B:$B,$A4))</f>
        <v>C. Pembahasan</v>
      </c>
      <c r="S4" s="17" t="str">
        <f aca="false">IF(INDEX(Korpus!$C:$C,$A4)="","",INDEX(Korpus!$C:$C,$A4))</f>
        <v>5. Pentingnya Perlindungan Data Pribadi</v>
      </c>
    </row>
    <row r="5" customFormat="false" ht="60" hidden="true" customHeight="true" outlineLevel="0" collapsed="false">
      <c r="A5" s="15" t="n">
        <v>5</v>
      </c>
      <c r="B5" s="16" t="str">
        <f aca="false">IF(Petunjuk!$C$4="","",Petunjuk!$C$4)</f>
        <v>fenny</v>
      </c>
      <c r="C5" s="17" t="str">
        <f aca="false">IF(INDEX(Korpus!$A:$A,$A5)="","",INDEX(Korpus!$A:$A,$A5))</f>
        <v>2019MHN201</v>
      </c>
      <c r="D5" s="17" t="str">
        <f aca="false">TRIM(INDEX(Korpus!$D:$D,$A5)&amp;" "&amp;INDEX(Korpus!$E:$E,$A5))</f>
        <v>Paragraf 3 Kalimat 4</v>
      </c>
      <c r="E5" s="17" t="str">
        <f aca="false">IF(INDEX(Korpus!$F:$F,$A5)="","",INDEX(Korpus!$F:$F,$A5))</f>
        <v>Perlindungan data pribadi berhubungan dengan konsep privasi.</v>
      </c>
      <c r="F5" s="18"/>
      <c r="G5" s="18"/>
      <c r="H5" s="18"/>
      <c r="I5" s="18"/>
      <c r="J5" s="18"/>
      <c r="K5" s="18"/>
      <c r="L5" s="18"/>
      <c r="M5" s="19"/>
      <c r="N5" s="19"/>
      <c r="O5" s="15"/>
      <c r="P5" s="17" t="str">
        <f aca="false">IF(COUNTA(F5:K5)=6,"Lengkap","Belum lengkap ("&amp;(6-COUNTA(F5:K5))&amp;")")</f>
        <v>Belum lengkap (6)</v>
      </c>
      <c r="Q5" s="17" t="str">
        <f aca="false">IF(COUNTA(F5:K5)&lt;6,"",IF(IF(AND(G5="R0",K5&lt;&gt;"K5"),"R0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","")="","OK",IF(AND(G5="R0",K5&lt;&gt;"K5"),"R0 harus K5; ","")&amp;IF(AND(G5="R1",K5="K3"),"R1 tidak boleh K3 (fungsional); ","")&amp;IF(AND(G5="R2",K5="K5"),"R2 tidak boleh K5; ","")&amp;IF(AND(G5="R2",OR(F5="S6",F5="S7",F5="S8")),"R2 tidak boleh S6/S7/S8; ","")&amp;IF(AND(I5="P9",H5&lt;&gt;"T17"),"P9 hanya dengan T17; ","")&amp;IF(AND(OR(H5="T17",I5="P9"),G5&lt;&gt;"R0"),"T17/P9 harus R0; ","")&amp;IF(AND(H5="T01",I5&lt;&gt;"P6",N5=""),"T01 biasanya P6; jelaskan di V12; ","")&amp;IF(AND(I5="P1",K5&lt;&gt;"K4",N5=""),"P1 biasanya K4; jelaskan di V12; ","")))</f>
        <v/>
      </c>
      <c r="R5" s="17" t="str">
        <f aca="false">IF(INDEX(Korpus!$B:$B,$A5)="","",INDEX(Korpus!$B:$B,$A5))</f>
        <v>C. Pembahasan</v>
      </c>
      <c r="S5" s="17" t="str">
        <f aca="false">IF(INDEX(Korpus!$C:$C,$A5)="","",INDEX(Korpus!$C:$C,$A5))</f>
        <v>5. Pentingnya Perlindungan Data Pribadi</v>
      </c>
    </row>
    <row r="6" customFormat="false" ht="60" hidden="true" customHeight="true" outlineLevel="0" collapsed="false">
      <c r="A6" s="15" t="n">
        <v>6</v>
      </c>
      <c r="B6" s="16" t="str">
        <f aca="false">IF(Petunjuk!$C$4="","",Petunjuk!$C$4)</f>
        <v>fenny</v>
      </c>
      <c r="C6" s="17" t="str">
        <f aca="false">IF(INDEX(Korpus!$A:$A,$A6)="","",INDEX(Korpus!$A:$A,$A6))</f>
        <v>2019MHN201</v>
      </c>
      <c r="D6" s="17" t="str">
        <f aca="false">TRIM(INDEX(Korpus!$D:$D,$A6)&amp;" "&amp;INDEX(Korpus!$E:$E,$A6))</f>
        <v>Paragraf 3 Kalimat 5</v>
      </c>
      <c r="E6" s="17" t="str">
        <f aca="false">IF(INDEX(Korpus!$F:$F,$A6)="","",INDEX(Korpus!$F:$F,$A6))</f>
        <v>Konsep privasi sendiri adalah gagasan untuk menjaga integritas dan martabat pribadi.</v>
      </c>
      <c r="F6" s="18"/>
      <c r="G6" s="18"/>
      <c r="H6" s="18"/>
      <c r="I6" s="18"/>
      <c r="J6" s="18"/>
      <c r="K6" s="18"/>
      <c r="L6" s="18"/>
      <c r="M6" s="19"/>
      <c r="N6" s="19"/>
      <c r="O6" s="15"/>
      <c r="P6" s="17" t="str">
        <f aca="false">IF(COUNTA(F6:K6)=6,"Lengkap","Belum lengkap ("&amp;(6-COUNTA(F6:K6))&amp;")")</f>
        <v>Belum lengkap (6)</v>
      </c>
      <c r="Q6" s="17" t="str">
        <f aca="false">IF(COUNTA(F6:K6)&lt;6,"",IF(IF(AND(G6="R0",K6&lt;&gt;"K5"),"R0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","")="","OK",IF(AND(G6="R0",K6&lt;&gt;"K5"),"R0 harus K5; ","")&amp;IF(AND(G6="R1",K6="K3"),"R1 tidak boleh K3 (fungsional); ","")&amp;IF(AND(G6="R2",K6="K5"),"R2 tidak boleh K5; ","")&amp;IF(AND(G6="R2",OR(F6="S6",F6="S7",F6="S8")),"R2 tidak boleh S6/S7/S8; ","")&amp;IF(AND(I6="P9",H6&lt;&gt;"T17"),"P9 hanya dengan T17; ","")&amp;IF(AND(OR(H6="T17",I6="P9"),G6&lt;&gt;"R0"),"T17/P9 harus R0; ","")&amp;IF(AND(H6="T01",I6&lt;&gt;"P6",N6=""),"T01 biasanya P6; jelaskan di V12; ","")&amp;IF(AND(I6="P1",K6&lt;&gt;"K4",N6=""),"P1 biasanya K4; jelaskan di V12; ","")))</f>
        <v/>
      </c>
      <c r="R6" s="17" t="str">
        <f aca="false">IF(INDEX(Korpus!$B:$B,$A6)="","",INDEX(Korpus!$B:$B,$A6))</f>
        <v>C. Pembahasan</v>
      </c>
      <c r="S6" s="17" t="str">
        <f aca="false">IF(INDEX(Korpus!$C:$C,$A6)="","",INDEX(Korpus!$C:$C,$A6))</f>
        <v>5. Pentingnya Perlindungan Data Pribadi</v>
      </c>
    </row>
    <row r="7" customFormat="false" ht="60" hidden="true" customHeight="true" outlineLevel="0" collapsed="false">
      <c r="A7" s="15" t="n">
        <v>7</v>
      </c>
      <c r="B7" s="16" t="str">
        <f aca="false">IF(Petunjuk!$C$4="","",Petunjuk!$C$4)</f>
        <v>fenny</v>
      </c>
      <c r="C7" s="17" t="str">
        <f aca="false">IF(INDEX(Korpus!$A:$A,$A7)="","",INDEX(Korpus!$A:$A,$A7))</f>
        <v>2019MHN201</v>
      </c>
      <c r="D7" s="17" t="str">
        <f aca="false">TRIM(INDEX(Korpus!$D:$D,$A7)&amp;" "&amp;INDEX(Korpus!$E:$E,$A7))</f>
        <v>Paragraf 3 Kalimat 6</v>
      </c>
      <c r="E7" s="17" t="str">
        <f aca="false">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aca="false">IF(COUNTA(F7:K7)=6,"Lengkap","Belum lengkap ("&amp;(6-COUNTA(F7:K7))&amp;")")</f>
        <v>Belum lengkap (6)</v>
      </c>
      <c r="Q7" s="17" t="str">
        <f aca="false">IF(COUNTA(F7:K7)&lt;6,"",IF(IF(AND(G7="R0",K7&lt;&gt;"K5"),"R0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","")="","OK",IF(AND(G7="R0",K7&lt;&gt;"K5"),"R0 harus K5; ","")&amp;IF(AND(G7="R1",K7="K3"),"R1 tidak boleh K3 (fungsional); ","")&amp;IF(AND(G7="R2",K7="K5"),"R2 tidak boleh K5; ","")&amp;IF(AND(G7="R2",OR(F7="S6",F7="S7",F7="S8")),"R2 tidak boleh S6/S7/S8; ","")&amp;IF(AND(I7="P9",H7&lt;&gt;"T17"),"P9 hanya dengan T17; ","")&amp;IF(AND(OR(H7="T17",I7="P9"),G7&lt;&gt;"R0"),"T17/P9 harus R0; ","")&amp;IF(AND(H7="T01",I7&lt;&gt;"P6",N7=""),"T01 biasanya P6; jelaskan di V12; ","")&amp;IF(AND(I7="P1",K7&lt;&gt;"K4",N7=""),"P1 biasanya K4; jelaskan di V12; ","")))</f>
        <v/>
      </c>
      <c r="R7" s="17" t="str">
        <f aca="false">IF(INDEX(Korpus!$B:$B,$A7)="","",INDEX(Korpus!$B:$B,$A7))</f>
        <v>C. Pembahasan</v>
      </c>
      <c r="S7" s="17" t="str">
        <f aca="false">IF(INDEX(Korpus!$C:$C,$A7)="","",INDEX(Korpus!$C:$C,$A7))</f>
        <v>5. Pentingnya Perlindungan Data Pribadi</v>
      </c>
    </row>
    <row r="8" customFormat="false" ht="60" hidden="true" customHeight="true" outlineLevel="0" collapsed="false">
      <c r="A8" s="15" t="n">
        <v>8</v>
      </c>
      <c r="B8" s="16" t="str">
        <f aca="false">IF(Petunjuk!$C$4="","",Petunjuk!$C$4)</f>
        <v>fenny</v>
      </c>
      <c r="C8" s="17" t="str">
        <f aca="false">IF(INDEX(Korpus!$A:$A,$A8)="","",INDEX(Korpus!$A:$A,$A8))</f>
        <v>2019MHN201</v>
      </c>
      <c r="D8" s="17" t="str">
        <f aca="false">TRIM(INDEX(Korpus!$D:$D,$A8)&amp;" "&amp;INDEX(Korpus!$E:$E,$A8))</f>
        <v>Paragraf 4 Kalimat 1</v>
      </c>
      <c r="E8" s="17" t="str">
        <f aca="false">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aca="false">IF(COUNTA(F8:K8)=6,"Lengkap","Belum lengkap ("&amp;(6-COUNTA(F8:K8))&amp;")")</f>
        <v>Belum lengkap (6)</v>
      </c>
      <c r="Q8" s="17" t="str">
        <f aca="false">IF(COUNTA(F8:K8)&lt;6,"",IF(IF(AND(G8="R0",K8&lt;&gt;"K5"),"R0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","")="","OK",IF(AND(G8="R0",K8&lt;&gt;"K5"),"R0 harus K5; ","")&amp;IF(AND(G8="R1",K8="K3"),"R1 tidak boleh K3 (fungsional); ","")&amp;IF(AND(G8="R2",K8="K5"),"R2 tidak boleh K5; ","")&amp;IF(AND(G8="R2",OR(F8="S6",F8="S7",F8="S8")),"R2 tidak boleh S6/S7/S8; ","")&amp;IF(AND(I8="P9",H8&lt;&gt;"T17"),"P9 hanya dengan T17; ","")&amp;IF(AND(OR(H8="T17",I8="P9"),G8&lt;&gt;"R0"),"T17/P9 harus R0; ","")&amp;IF(AND(H8="T01",I8&lt;&gt;"P6",N8=""),"T01 biasanya P6; jelaskan di V12; ","")&amp;IF(AND(I8="P1",K8&lt;&gt;"K4",N8=""),"P1 biasanya K4; jelaskan di V12; ","")))</f>
        <v/>
      </c>
      <c r="R8" s="17" t="str">
        <f aca="false">IF(INDEX(Korpus!$B:$B,$A8)="","",INDEX(Korpus!$B:$B,$A8))</f>
        <v>C. Pembahasan</v>
      </c>
      <c r="S8" s="17" t="str">
        <f aca="false">IF(INDEX(Korpus!$C:$C,$A8)="","",INDEX(Korpus!$C:$C,$A8))</f>
        <v>5. Pentingnya Perlindungan Data Pribadi</v>
      </c>
    </row>
    <row r="9" customFormat="false" ht="60" hidden="true" customHeight="true" outlineLevel="0" collapsed="false">
      <c r="A9" s="15" t="n">
        <v>9</v>
      </c>
      <c r="B9" s="16" t="str">
        <f aca="false">IF(Petunjuk!$C$4="","",Petunjuk!$C$4)</f>
        <v>fenny</v>
      </c>
      <c r="C9" s="17" t="str">
        <f aca="false">IF(INDEX(Korpus!$A:$A,$A9)="","",INDEX(Korpus!$A:$A,$A9))</f>
        <v>2019MHN201</v>
      </c>
      <c r="D9" s="17" t="str">
        <f aca="false">TRIM(INDEX(Korpus!$D:$D,$A9)&amp;" "&amp;INDEX(Korpus!$E:$E,$A9))</f>
        <v>Paragraf 4 Kalimat 2</v>
      </c>
      <c r="E9" s="17" t="str">
        <f aca="false">IF(INDEX(Korpus!$F:$F,$A9)="","",INDEX(Korpus!$F:$F,$A9))</f>
        <v>Selain itu, individu juga memiliki hak untuk menentukan syarat-syarat pelaksanaan pemindahan data pribadi tersebut.</v>
      </c>
      <c r="F9" s="18"/>
      <c r="G9" s="18"/>
      <c r="H9" s="18"/>
      <c r="I9" s="18"/>
      <c r="J9" s="18"/>
      <c r="K9" s="18"/>
      <c r="L9" s="18"/>
      <c r="M9" s="19"/>
      <c r="N9" s="19"/>
      <c r="O9" s="15"/>
      <c r="P9" s="17" t="str">
        <f aca="false">IF(COUNTA(F9:K9)=6,"Lengkap","Belum lengkap ("&amp;(6-COUNTA(F9:K9))&amp;")")</f>
        <v>Belum lengkap (6)</v>
      </c>
      <c r="Q9" s="17" t="str">
        <f aca="false">IF(COUNTA(F9:K9)&lt;6,"",IF(IF(AND(G9="R0",K9&lt;&gt;"K5"),"R0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","")="","OK",IF(AND(G9="R0",K9&lt;&gt;"K5"),"R0 harus K5; ","")&amp;IF(AND(G9="R1",K9="K3"),"R1 tidak boleh K3 (fungsional); ","")&amp;IF(AND(G9="R2",K9="K5"),"R2 tidak boleh K5; ","")&amp;IF(AND(G9="R2",OR(F9="S6",F9="S7",F9="S8")),"R2 tidak boleh S6/S7/S8; ","")&amp;IF(AND(I9="P9",H9&lt;&gt;"T17"),"P9 hanya dengan T17; ","")&amp;IF(AND(OR(H9="T17",I9="P9"),G9&lt;&gt;"R0"),"T17/P9 harus R0; ","")&amp;IF(AND(H9="T01",I9&lt;&gt;"P6",N9=""),"T01 biasanya P6; jelaskan di V12; ","")&amp;IF(AND(I9="P1",K9&lt;&gt;"K4",N9=""),"P1 biasanya K4; jelaskan di V12; ","")))</f>
        <v/>
      </c>
      <c r="R9" s="17" t="str">
        <f aca="false">IF(INDEX(Korpus!$B:$B,$A9)="","",INDEX(Korpus!$B:$B,$A9))</f>
        <v>C. Pembahasan</v>
      </c>
      <c r="S9" s="17" t="str">
        <f aca="false">IF(INDEX(Korpus!$C:$C,$A9)="","",INDEX(Korpus!$C:$C,$A9))</f>
        <v>5. Pentingnya Perlindungan Data Pribadi</v>
      </c>
    </row>
    <row r="10" customFormat="false" ht="60" hidden="true" customHeight="true" outlineLevel="0" collapsed="false">
      <c r="A10" s="15" t="n">
        <v>10</v>
      </c>
      <c r="B10" s="16" t="str">
        <f aca="false">IF(Petunjuk!$C$4="","",Petunjuk!$C$4)</f>
        <v>fenny</v>
      </c>
      <c r="C10" s="17" t="str">
        <f aca="false">IF(INDEX(Korpus!$A:$A,$A10)="","",INDEX(Korpus!$A:$A,$A10))</f>
        <v>2019MHN201</v>
      </c>
      <c r="D10" s="17" t="str">
        <f aca="false">TRIM(INDEX(Korpus!$D:$D,$A10)&amp;" "&amp;INDEX(Korpus!$E:$E,$A10))</f>
        <v>Paragraf 4 Kalimat 3</v>
      </c>
      <c r="E10" s="17" t="str">
        <f aca="false">IF(INDEX(Korpus!$F:$F,$A10)="","",INDEX(Korpus!$F:$F,$A10))</f>
        <v>Lebih jauh, perlindungan privasi.</v>
      </c>
      <c r="F10" s="18"/>
      <c r="G10" s="18"/>
      <c r="H10" s="18"/>
      <c r="I10" s="18"/>
      <c r="J10" s="18"/>
      <c r="K10" s="18"/>
      <c r="L10" s="18"/>
      <c r="M10" s="19"/>
      <c r="N10" s="19"/>
      <c r="O10" s="15"/>
      <c r="P10" s="17" t="str">
        <f aca="false">IF(COUNTA(F10:K10)=6,"Lengkap","Belum lengkap ("&amp;(6-COUNTA(F10:K10))&amp;")")</f>
        <v>Belum lengkap (6)</v>
      </c>
      <c r="Q10" s="17" t="str">
        <f aca="false">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7" t="str">
        <f aca="false">IF(INDEX(Korpus!$B:$B,$A10)="","",INDEX(Korpus!$B:$B,$A10))</f>
        <v>C. Pembahasan</v>
      </c>
      <c r="S10" s="17" t="str">
        <f aca="false">IF(INDEX(Korpus!$C:$C,$A10)="","",INDEX(Korpus!$C:$C,$A10))</f>
        <v>5. Pentingnya Perlindungan Data Pribadi</v>
      </c>
    </row>
    <row r="11" customFormat="false" ht="60" hidden="true" customHeight="true" outlineLevel="0" collapsed="false">
      <c r="A11" s="15" t="n">
        <v>11</v>
      </c>
      <c r="B11" s="16" t="str">
        <f aca="false">IF(Petunjuk!$C$4="","",Petunjuk!$C$4)</f>
        <v>fenny</v>
      </c>
      <c r="C11" s="17" t="str">
        <f aca="false">IF(INDEX(Korpus!$A:$A,$A11)="","",INDEX(Korpus!$A:$A,$A11))</f>
        <v>2019MHN201</v>
      </c>
      <c r="D11" s="17" t="str">
        <f aca="false">TRIM(INDEX(Korpus!$D:$D,$A11)&amp;" "&amp;INDEX(Korpus!$E:$E,$A11))</f>
        <v>Paragraf 4 Kalimat 4</v>
      </c>
      <c r="E11" s="17" t="str">
        <f aca="false">IF(INDEX(Korpus!$F:$F,$A11)="","",INDEX(Korpus!$F:$F,$A11))</f>
        <v>Hak privasi telah berkembang sehingga dapat digunakan untuk merumuskan hak untuk melindungi data pribadi.</v>
      </c>
      <c r="F11" s="18"/>
      <c r="G11" s="18"/>
      <c r="H11" s="18"/>
      <c r="I11" s="18"/>
      <c r="J11" s="18"/>
      <c r="K11" s="18"/>
      <c r="L11" s="18"/>
      <c r="M11" s="19"/>
      <c r="N11" s="19"/>
      <c r="O11" s="15"/>
      <c r="P11" s="17" t="str">
        <f aca="false">IF(COUNTA(F11:K11)=6,"Lengkap","Belum lengkap ("&amp;(6-COUNTA(F11:K11))&amp;")")</f>
        <v>Belum lengkap (6)</v>
      </c>
      <c r="Q11" s="17" t="str">
        <f aca="false">IF(COUNTA(F11:K11)&lt;6,"",IF(IF(AND(G11="R0",K11&lt;&gt;"K5"),"R0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","")="","OK",IF(AND(G11="R0",K11&lt;&gt;"K5"),"R0 harus K5; ","")&amp;IF(AND(G11="R1",K11="K3"),"R1 tidak boleh K3 (fungsional); ","")&amp;IF(AND(G11="R2",K11="K5"),"R2 tidak boleh K5; ","")&amp;IF(AND(G11="R2",OR(F11="S6",F11="S7",F11="S8")),"R2 tidak boleh S6/S7/S8; ","")&amp;IF(AND(I11="P9",H11&lt;&gt;"T17"),"P9 hanya dengan T17; ","")&amp;IF(AND(OR(H11="T17",I11="P9"),G11&lt;&gt;"R0"),"T17/P9 harus R0; ","")&amp;IF(AND(H11="T01",I11&lt;&gt;"P6",N11=""),"T01 biasanya P6; jelaskan di V12; ","")&amp;IF(AND(I11="P1",K11&lt;&gt;"K4",N11=""),"P1 biasanya K4; jelaskan di V12; ","")))</f>
        <v/>
      </c>
      <c r="R11" s="17" t="str">
        <f aca="false">IF(INDEX(Korpus!$B:$B,$A11)="","",INDEX(Korpus!$B:$B,$A11))</f>
        <v>C. Pembahasan</v>
      </c>
      <c r="S11" s="17" t="str">
        <f aca="false">IF(INDEX(Korpus!$C:$C,$A11)="","",INDEX(Korpus!$C:$C,$A11))</f>
        <v>5. Pentingnya Perlindungan Data Pribadi</v>
      </c>
    </row>
    <row r="12" customFormat="false" ht="60" hidden="true" customHeight="true" outlineLevel="0" collapsed="false">
      <c r="A12" s="15" t="n">
        <v>12</v>
      </c>
      <c r="B12" s="16" t="str">
        <f aca="false">IF(Petunjuk!$C$4="","",Petunjuk!$C$4)</f>
        <v>fenny</v>
      </c>
      <c r="C12" s="17" t="str">
        <f aca="false">IF(INDEX(Korpus!$A:$A,$A12)="","",INDEX(Korpus!$A:$A,$A12))</f>
        <v>2019MHN201</v>
      </c>
      <c r="D12" s="17" t="str">
        <f aca="false">TRIM(INDEX(Korpus!$D:$D,$A12)&amp;" "&amp;INDEX(Korpus!$E:$E,$A12))</f>
        <v>Paragraf 5 Kalimat 1</v>
      </c>
      <c r="E12" s="17" t="str">
        <f aca="false">IF(INDEX(Korpus!$F:$F,$A12)="","",INDEX(Korpus!$F:$F,$A12))</f>
        <v>Perlindungan data pribadi telah diatur di dalam UUD NKRI Tahun 1945.</v>
      </c>
      <c r="F12" s="18"/>
      <c r="G12" s="18"/>
      <c r="H12" s="18"/>
      <c r="I12" s="18"/>
      <c r="J12" s="18"/>
      <c r="K12" s="18"/>
      <c r="L12" s="18"/>
      <c r="M12" s="19"/>
      <c r="N12" s="19"/>
      <c r="O12" s="15"/>
      <c r="P12" s="17" t="str">
        <f aca="false">IF(COUNTA(F12:K12)=6,"Lengkap","Belum lengkap ("&amp;(6-COUNTA(F12:K12))&amp;")")</f>
        <v>Belum lengkap (6)</v>
      </c>
      <c r="Q12" s="17" t="str">
        <f aca="false">IF(COUNTA(F12:K12)&lt;6,"",IF(IF(AND(G12="R0",K12&lt;&gt;"K5"),"R0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","")="","OK",IF(AND(G12="R0",K12&lt;&gt;"K5"),"R0 harus K5; ","")&amp;IF(AND(G12="R1",K12="K3"),"R1 tidak boleh K3 (fungsional); ","")&amp;IF(AND(G12="R2",K12="K5"),"R2 tidak boleh K5; ","")&amp;IF(AND(G12="R2",OR(F12="S6",F12="S7",F12="S8")),"R2 tidak boleh S6/S7/S8; ","")&amp;IF(AND(I12="P9",H12&lt;&gt;"T17"),"P9 hanya dengan T17; ","")&amp;IF(AND(OR(H12="T17",I12="P9"),G12&lt;&gt;"R0"),"T17/P9 harus R0; ","")&amp;IF(AND(H12="T01",I12&lt;&gt;"P6",N12=""),"T01 biasanya P6; jelaskan di V12; ","")&amp;IF(AND(I12="P1",K12&lt;&gt;"K4",N12=""),"P1 biasanya K4; jelaskan di V12; ","")))</f>
        <v/>
      </c>
      <c r="R12" s="17" t="str">
        <f aca="false">IF(INDEX(Korpus!$B:$B,$A12)="","",INDEX(Korpus!$B:$B,$A12))</f>
        <v>C. Pembahasan</v>
      </c>
      <c r="S12" s="17" t="str">
        <f aca="false">IF(INDEX(Korpus!$C:$C,$A12)="","",INDEX(Korpus!$C:$C,$A12))</f>
        <v>5. Pentingnya Perlindungan Data Pribadi</v>
      </c>
    </row>
    <row r="13" customFormat="false" ht="60" hidden="false" customHeight="true" outlineLevel="0" collapsed="false">
      <c r="A13" s="15" t="n">
        <v>13</v>
      </c>
      <c r="B13" s="16" t="str">
        <f aca="false">IF(Petunjuk!$C$4="","",Petunjuk!$C$4)</f>
        <v>fenny</v>
      </c>
      <c r="C13" s="17" t="str">
        <f aca="false">IF(INDEX(Korpus!$A:$A,$A13)="","",INDEX(Korpus!$A:$A,$A13))</f>
        <v>2019MHN201</v>
      </c>
      <c r="D13" s="17" t="str">
        <f aca="false">TRIM(INDEX(Korpus!$D:$D,$A13)&amp;" "&amp;INDEX(Korpus!$E:$E,$A13))</f>
        <v>Paragraf 5 Kalimat 2</v>
      </c>
      <c r="E13" s="17" t="str">
        <f aca="false">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62</v>
      </c>
      <c r="G13" s="18" t="s">
        <v>63</v>
      </c>
      <c r="H13" s="18" t="s">
        <v>64</v>
      </c>
      <c r="I13" s="18" t="s">
        <v>65</v>
      </c>
      <c r="J13" s="18" t="s">
        <v>66</v>
      </c>
      <c r="K13" s="18" t="s">
        <v>67</v>
      </c>
      <c r="L13" s="18" t="s">
        <v>68</v>
      </c>
      <c r="M13" s="19"/>
      <c r="N13" s="19"/>
      <c r="O13" s="15" t="s">
        <v>69</v>
      </c>
      <c r="P13" s="17" t="str">
        <f aca="false">IF(COUNTA(F13:K13)=6,"Lengkap","Belum lengkap ("&amp;(6-COUNTA(F13:K13))&amp;")")</f>
        <v>Lengkap</v>
      </c>
      <c r="Q13" s="17" t="str">
        <f aca="false">IF(COUNTA(F13:K13)&lt;6,"",IF(IF(AND(G13="R0",K13&lt;&gt;"K5"),"R0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","")="","OK",IF(AND(G13="R0",K13&lt;&gt;"K5"),"R0 harus K5; ","")&amp;IF(AND(G13="R1",K13="K3"),"R1 tidak boleh K3 (fungsional); ","")&amp;IF(AND(G13="R2",K13="K5"),"R2 tidak boleh K5; ","")&amp;IF(AND(G13="R2",OR(F13="S6",F13="S7",F13="S8")),"R2 tidak boleh S6/S7/S8; ","")&amp;IF(AND(I13="P9",H13&lt;&gt;"T17"),"P9 hanya dengan T17; ","")&amp;IF(AND(OR(H13="T17",I13="P9"),G13&lt;&gt;"R0"),"T17/P9 harus R0; ","")&amp;IF(AND(H13="T01",I13&lt;&gt;"P6",N13=""),"T01 biasanya P6; jelaskan di V12; ","")&amp;IF(AND(I13="P1",K13&lt;&gt;"K4",N13=""),"P1 biasanya K4; jelaskan di V12; ","")))</f>
        <v>OK</v>
      </c>
      <c r="R13" s="17" t="str">
        <f aca="false">IF(INDEX(Korpus!$B:$B,$A13)="","",INDEX(Korpus!$B:$B,$A13))</f>
        <v>C. Pembahasan</v>
      </c>
      <c r="S13" s="17" t="str">
        <f aca="false">IF(INDEX(Korpus!$C:$C,$A13)="","",INDEX(Korpus!$C:$C,$A13))</f>
        <v>5. Pentingnya Perlindungan Data Pribadi</v>
      </c>
    </row>
    <row r="14" customFormat="false" ht="60" hidden="true" customHeight="true" outlineLevel="0" collapsed="false">
      <c r="A14" s="15" t="n">
        <v>14</v>
      </c>
      <c r="B14" s="16" t="str">
        <f aca="false">IF(Petunjuk!$C$4="","",Petunjuk!$C$4)</f>
        <v>fenny</v>
      </c>
      <c r="C14" s="17" t="str">
        <f aca="false">IF(INDEX(Korpus!$A:$A,$A14)="","",INDEX(Korpus!$A:$A,$A14))</f>
        <v>2019MHN201</v>
      </c>
      <c r="D14" s="17" t="str">
        <f aca="false">TRIM(INDEX(Korpus!$D:$D,$A14)&amp;" "&amp;INDEX(Korpus!$E:$E,$A14))</f>
        <v>Paragraf 6 Kalimat 1</v>
      </c>
      <c r="E14" s="17" t="str">
        <f aca="false">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aca="false">IF(COUNTA(F14:K14)=6,"Lengkap","Belum lengkap ("&amp;(6-COUNTA(F14:K14))&amp;")")</f>
        <v>Belum lengkap (6)</v>
      </c>
      <c r="Q14" s="17" t="str">
        <f aca="false">IF(COUNTA(F14:K14)&lt;6,"",IF(IF(AND(G14="R0",K14&lt;&gt;"K5"),"R0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","")="","OK",IF(AND(G14="R0",K14&lt;&gt;"K5"),"R0 harus K5; ","")&amp;IF(AND(G14="R1",K14="K3"),"R1 tidak boleh K3 (fungsional); ","")&amp;IF(AND(G14="R2",K14="K5"),"R2 tidak boleh K5; ","")&amp;IF(AND(G14="R2",OR(F14="S6",F14="S7",F14="S8")),"R2 tidak boleh S6/S7/S8; ","")&amp;IF(AND(I14="P9",H14&lt;&gt;"T17"),"P9 hanya dengan T17; ","")&amp;IF(AND(OR(H14="T17",I14="P9"),G14&lt;&gt;"R0"),"T17/P9 harus R0; ","")&amp;IF(AND(H14="T01",I14&lt;&gt;"P6",N14=""),"T01 biasanya P6; jelaskan di V12; ","")&amp;IF(AND(I14="P1",K14&lt;&gt;"K4",N14=""),"P1 biasanya K4; jelaskan di V12; ","")))</f>
        <v/>
      </c>
      <c r="R14" s="17" t="str">
        <f aca="false">IF(INDEX(Korpus!$B:$B,$A14)="","",INDEX(Korpus!$B:$B,$A14))</f>
        <v>C. Pembahasan</v>
      </c>
      <c r="S14" s="17" t="str">
        <f aca="false">IF(INDEX(Korpus!$C:$C,$A14)="","",INDEX(Korpus!$C:$C,$A14))</f>
        <v>5. Pentingnya Perlindungan Data Pribadi</v>
      </c>
    </row>
    <row r="15" customFormat="false" ht="60" hidden="true" customHeight="true" outlineLevel="0" collapsed="false">
      <c r="A15" s="15" t="n">
        <v>15</v>
      </c>
      <c r="B15" s="16" t="str">
        <f aca="false">IF(Petunjuk!$C$4="","",Petunjuk!$C$4)</f>
        <v>fenny</v>
      </c>
      <c r="C15" s="17" t="str">
        <f aca="false">IF(INDEX(Korpus!$A:$A,$A15)="","",INDEX(Korpus!$A:$A,$A15))</f>
        <v>2019MHN201</v>
      </c>
      <c r="D15" s="17" t="str">
        <f aca="false">TRIM(INDEX(Korpus!$D:$D,$A15)&amp;" "&amp;INDEX(Korpus!$E:$E,$A15))</f>
        <v>Paragraf 6 Kalimat 2</v>
      </c>
      <c r="E15" s="17" t="str">
        <f aca="false">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aca="false">IF(COUNTA(F15:K15)=6,"Lengkap","Belum lengkap ("&amp;(6-COUNTA(F15:K15))&amp;")")</f>
        <v>Belum lengkap (6)</v>
      </c>
      <c r="Q15" s="17" t="str">
        <f aca="false">IF(COUNTA(F15:K15)&lt;6,"",IF(IF(AND(G15="R0",K15&lt;&gt;"K5"),"R0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","")="","OK",IF(AND(G15="R0",K15&lt;&gt;"K5"),"R0 harus K5; ","")&amp;IF(AND(G15="R1",K15="K3"),"R1 tidak boleh K3 (fungsional); ","")&amp;IF(AND(G15="R2",K15="K5"),"R2 tidak boleh K5; ","")&amp;IF(AND(G15="R2",OR(F15="S6",F15="S7",F15="S8")),"R2 tidak boleh S6/S7/S8; ","")&amp;IF(AND(I15="P9",H15&lt;&gt;"T17"),"P9 hanya dengan T17; ","")&amp;IF(AND(OR(H15="T17",I15="P9"),G15&lt;&gt;"R0"),"T17/P9 harus R0; ","")&amp;IF(AND(H15="T01",I15&lt;&gt;"P6",N15=""),"T01 biasanya P6; jelaskan di V12; ","")&amp;IF(AND(I15="P1",K15&lt;&gt;"K4",N15=""),"P1 biasanya K4; jelaskan di V12; ","")))</f>
        <v/>
      </c>
      <c r="R15" s="17" t="str">
        <f aca="false">IF(INDEX(Korpus!$B:$B,$A15)="","",INDEX(Korpus!$B:$B,$A15))</f>
        <v>C. Pembahasan</v>
      </c>
      <c r="S15" s="17" t="str">
        <f aca="false">IF(INDEX(Korpus!$C:$C,$A15)="","",INDEX(Korpus!$C:$C,$A15))</f>
        <v>5. Pentingnya Perlindungan Data Pribadi</v>
      </c>
    </row>
    <row r="16" customFormat="false" ht="60" hidden="true" customHeight="true" outlineLevel="0" collapsed="false">
      <c r="A16" s="15" t="n">
        <v>16</v>
      </c>
      <c r="B16" s="16" t="str">
        <f aca="false">IF(Petunjuk!$C$4="","",Petunjuk!$C$4)</f>
        <v>fenny</v>
      </c>
      <c r="C16" s="17" t="str">
        <f aca="false">IF(INDEX(Korpus!$A:$A,$A16)="","",INDEX(Korpus!$A:$A,$A16))</f>
        <v>2019MHN201</v>
      </c>
      <c r="D16" s="17" t="str">
        <f aca="false">TRIM(INDEX(Korpus!$D:$D,$A16)&amp;" "&amp;INDEX(Korpus!$E:$E,$A16))</f>
        <v>Paragraf 6 Kalimat 3</v>
      </c>
      <c r="E16" s="17" t="str">
        <f aca="false">IF(INDEX(Korpus!$F:$F,$A16)="","",INDEX(Korpus!$F:$F,$A16))</f>
        <v>2) Undang-Undang Nomor 11 Tahun 2008 Tentang Informasi dan Transaksi Elektronik</v>
      </c>
      <c r="F16" s="18"/>
      <c r="G16" s="18"/>
      <c r="H16" s="18"/>
      <c r="I16" s="18"/>
      <c r="J16" s="18"/>
      <c r="K16" s="18"/>
      <c r="L16" s="18"/>
      <c r="M16" s="19"/>
      <c r="N16" s="19"/>
      <c r="O16" s="15"/>
      <c r="P16" s="17" t="str">
        <f aca="false">IF(COUNTA(F16:K16)=6,"Lengkap","Belum lengkap ("&amp;(6-COUNTA(F16:K16))&amp;")")</f>
        <v>Belum lengkap (6)</v>
      </c>
      <c r="Q16" s="17" t="str">
        <f aca="false">IF(COUNTA(F16:K16)&lt;6,"",IF(IF(AND(G16="R0",K16&lt;&gt;"K5"),"R0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","")="","OK",IF(AND(G16="R0",K16&lt;&gt;"K5"),"R0 harus K5; ","")&amp;IF(AND(G16="R1",K16="K3"),"R1 tidak boleh K3 (fungsional); ","")&amp;IF(AND(G16="R2",K16="K5"),"R2 tidak boleh K5; ","")&amp;IF(AND(G16="R2",OR(F16="S6",F16="S7",F16="S8")),"R2 tidak boleh S6/S7/S8; ","")&amp;IF(AND(I16="P9",H16&lt;&gt;"T17"),"P9 hanya dengan T17; ","")&amp;IF(AND(OR(H16="T17",I16="P9"),G16&lt;&gt;"R0"),"T17/P9 harus R0; ","")&amp;IF(AND(H16="T01",I16&lt;&gt;"P6",N16=""),"T01 biasanya P6; jelaskan di V12; ","")&amp;IF(AND(I16="P1",K16&lt;&gt;"K4",N16=""),"P1 biasanya K4; jelaskan di V12; ","")))</f>
        <v/>
      </c>
      <c r="R16" s="17" t="str">
        <f aca="false">IF(INDEX(Korpus!$B:$B,$A16)="","",INDEX(Korpus!$B:$B,$A16))</f>
        <v>C. Pembahasan</v>
      </c>
      <c r="S16" s="17" t="str">
        <f aca="false">IF(INDEX(Korpus!$C:$C,$A16)="","",INDEX(Korpus!$C:$C,$A16))</f>
        <v>5. Pentingnya Perlindungan Data Pribadi</v>
      </c>
    </row>
    <row r="17" customFormat="false" ht="60" hidden="true" customHeight="true" outlineLevel="0" collapsed="false">
      <c r="A17" s="15" t="n">
        <v>17</v>
      </c>
      <c r="B17" s="16" t="str">
        <f aca="false">IF(Petunjuk!$C$4="","",Petunjuk!$C$4)</f>
        <v>fenny</v>
      </c>
      <c r="C17" s="17" t="str">
        <f aca="false">IF(INDEX(Korpus!$A:$A,$A17)="","",INDEX(Korpus!$A:$A,$A17))</f>
        <v>2019MHN201</v>
      </c>
      <c r="D17" s="17" t="str">
        <f aca="false">TRIM(INDEX(Korpus!$D:$D,$A17)&amp;" "&amp;INDEX(Korpus!$E:$E,$A17))</f>
        <v>Paragraf 6 Kalimat 13</v>
      </c>
      <c r="E17" s="17" t="str">
        <f aca="false">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aca="false">IF(COUNTA(F17:K17)=6,"Lengkap","Belum lengkap ("&amp;(6-COUNTA(F17:K17))&amp;")")</f>
        <v>Belum lengkap (6)</v>
      </c>
      <c r="Q17" s="17" t="str">
        <f aca="false">IF(COUNTA(F17:K17)&lt;6,"",IF(IF(AND(G17="R0",K17&lt;&gt;"K5"),"R0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","")="","OK",IF(AND(G17="R0",K17&lt;&gt;"K5"),"R0 harus K5; ","")&amp;IF(AND(G17="R1",K17="K3"),"R1 tidak boleh K3 (fungsional); ","")&amp;IF(AND(G17="R2",K17="K5"),"R2 tidak boleh K5; ","")&amp;IF(AND(G17="R2",OR(F17="S6",F17="S7",F17="S8")),"R2 tidak boleh S6/S7/S8; ","")&amp;IF(AND(I17="P9",H17&lt;&gt;"T17"),"P9 hanya dengan T17; ","")&amp;IF(AND(OR(H17="T17",I17="P9"),G17&lt;&gt;"R0"),"T17/P9 harus R0; ","")&amp;IF(AND(H17="T01",I17&lt;&gt;"P6",N17=""),"T01 biasanya P6; jelaskan di V12; ","")&amp;IF(AND(I17="P1",K17&lt;&gt;"K4",N17=""),"P1 biasanya K4; jelaskan di V12; ","")))</f>
        <v/>
      </c>
      <c r="R17" s="17" t="str">
        <f aca="false">IF(INDEX(Korpus!$B:$B,$A17)="","",INDEX(Korpus!$B:$B,$A17))</f>
        <v>C. Pembahasan</v>
      </c>
      <c r="S17" s="17" t="str">
        <f aca="false">IF(INDEX(Korpus!$C:$C,$A17)="","",INDEX(Korpus!$C:$C,$A17))</f>
        <v>5. Pentingnya Perlindungan Data Pribadi</v>
      </c>
    </row>
    <row r="18" customFormat="false" ht="60" hidden="true" customHeight="true" outlineLevel="0" collapsed="false">
      <c r="A18" s="15" t="n">
        <v>18</v>
      </c>
      <c r="B18" s="16" t="str">
        <f aca="false">IF(Petunjuk!$C$4="","",Petunjuk!$C$4)</f>
        <v>fenny</v>
      </c>
      <c r="C18" s="17" t="str">
        <f aca="false">IF(INDEX(Korpus!$A:$A,$A18)="","",INDEX(Korpus!$A:$A,$A18))</f>
        <v>2019MHN201</v>
      </c>
      <c r="D18" s="17" t="str">
        <f aca="false">TRIM(INDEX(Korpus!$D:$D,$A18)&amp;" "&amp;INDEX(Korpus!$E:$E,$A18))</f>
        <v>Paragraf 6 Kalimat 14</v>
      </c>
      <c r="E18" s="17" t="str">
        <f aca="false">IF(INDEX(Korpus!$F:$F,$A18)="","",INDEX(Korpus!$F:$F,$A18))</f>
        <v>13) Peraturan Pemerintah Nomor 82 Tahun 2012 Tentang Penyelenggaraan Sistem dan Transaksi Elektronik</v>
      </c>
      <c r="F18" s="18"/>
      <c r="G18" s="18"/>
      <c r="H18" s="18"/>
      <c r="I18" s="18"/>
      <c r="J18" s="18"/>
      <c r="K18" s="18"/>
      <c r="L18" s="18"/>
      <c r="M18" s="19"/>
      <c r="N18" s="19"/>
      <c r="O18" s="15"/>
      <c r="P18" s="17" t="str">
        <f aca="false">IF(COUNTA(F18:K18)=6,"Lengkap","Belum lengkap ("&amp;(6-COUNTA(F18:K18))&amp;")")</f>
        <v>Belum lengkap (6)</v>
      </c>
      <c r="Q18" s="17" t="str">
        <f aca="false">IF(COUNTA(F18:K18)&lt;6,"",IF(IF(AND(G18="R0",K18&lt;&gt;"K5"),"R0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","")="","OK",IF(AND(G18="R0",K18&lt;&gt;"K5"),"R0 harus K5; ","")&amp;IF(AND(G18="R1",K18="K3"),"R1 tidak boleh K3 (fungsional); ","")&amp;IF(AND(G18="R2",K18="K5"),"R2 tidak boleh K5; ","")&amp;IF(AND(G18="R2",OR(F18="S6",F18="S7",F18="S8")),"R2 tidak boleh S6/S7/S8; ","")&amp;IF(AND(I18="P9",H18&lt;&gt;"T17"),"P9 hanya dengan T17; ","")&amp;IF(AND(OR(H18="T17",I18="P9"),G18&lt;&gt;"R0"),"T17/P9 harus R0; ","")&amp;IF(AND(H18="T01",I18&lt;&gt;"P6",N18=""),"T01 biasanya P6; jelaskan di V12; ","")&amp;IF(AND(I18="P1",K18&lt;&gt;"K4",N18=""),"P1 biasanya K4; jelaskan di V12; ","")))</f>
        <v/>
      </c>
      <c r="R18" s="17" t="str">
        <f aca="false">IF(INDEX(Korpus!$B:$B,$A18)="","",INDEX(Korpus!$B:$B,$A18))</f>
        <v>C. Pembahasan</v>
      </c>
      <c r="S18" s="17" t="str">
        <f aca="false">IF(INDEX(Korpus!$C:$C,$A18)="","",INDEX(Korpus!$C:$C,$A18))</f>
        <v>5. Pentingnya Perlindungan Data Pribadi</v>
      </c>
    </row>
    <row r="19" customFormat="false" ht="60" hidden="true" customHeight="true" outlineLevel="0" collapsed="false">
      <c r="A19" s="15" t="n">
        <v>19</v>
      </c>
      <c r="B19" s="16" t="str">
        <f aca="false">IF(Petunjuk!$C$4="","",Petunjuk!$C$4)</f>
        <v>fenny</v>
      </c>
      <c r="C19" s="17" t="str">
        <f aca="false">IF(INDEX(Korpus!$A:$A,$A19)="","",INDEX(Korpus!$A:$A,$A19))</f>
        <v>2019MHN201</v>
      </c>
      <c r="D19" s="17" t="str">
        <f aca="false">TRIM(INDEX(Korpus!$D:$D,$A19)&amp;" "&amp;INDEX(Korpus!$E:$E,$A19))</f>
        <v>Paragraf 6 Kalimat 16</v>
      </c>
      <c r="E19" s="17" t="str">
        <f aca="false">IF(INDEX(Korpus!$F:$F,$A19)="","",INDEX(Korpus!$F:$F,$A19))</f>
        <v>15) Peraturan Menteri Komunikasi dan Informasi Nomor 4 Tahun 2016 Tentang Sistem Manajemen Pengaman Informasi</v>
      </c>
      <c r="F19" s="18"/>
      <c r="G19" s="18"/>
      <c r="H19" s="18"/>
      <c r="I19" s="18"/>
      <c r="J19" s="18"/>
      <c r="K19" s="18"/>
      <c r="L19" s="18"/>
      <c r="M19" s="19"/>
      <c r="N19" s="19"/>
      <c r="O19" s="15"/>
      <c r="P19" s="17" t="str">
        <f aca="false">IF(COUNTA(F19:K19)=6,"Lengkap","Belum lengkap ("&amp;(6-COUNTA(F19:K19))&amp;")")</f>
        <v>Belum lengkap (6)</v>
      </c>
      <c r="Q19" s="17" t="str">
        <f aca="false">IF(COUNTA(F19:K19)&lt;6,"",IF(IF(AND(G19="R0",K19&lt;&gt;"K5"),"R0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","")="","OK",IF(AND(G19="R0",K19&lt;&gt;"K5"),"R0 harus K5; ","")&amp;IF(AND(G19="R1",K19="K3"),"R1 tidak boleh K3 (fungsional); ","")&amp;IF(AND(G19="R2",K19="K5"),"R2 tidak boleh K5; ","")&amp;IF(AND(G19="R2",OR(F19="S6",F19="S7",F19="S8")),"R2 tidak boleh S6/S7/S8; ","")&amp;IF(AND(I19="P9",H19&lt;&gt;"T17"),"P9 hanya dengan T17; ","")&amp;IF(AND(OR(H19="T17",I19="P9"),G19&lt;&gt;"R0"),"T17/P9 harus R0; ","")&amp;IF(AND(H19="T01",I19&lt;&gt;"P6",N19=""),"T01 biasanya P6; jelaskan di V12; ","")&amp;IF(AND(I19="P1",K19&lt;&gt;"K4",N19=""),"P1 biasanya K4; jelaskan di V12; ","")))</f>
        <v/>
      </c>
      <c r="R19" s="17" t="str">
        <f aca="false">IF(INDEX(Korpus!$B:$B,$A19)="","",INDEX(Korpus!$B:$B,$A19))</f>
        <v>C. Pembahasan</v>
      </c>
      <c r="S19" s="17" t="str">
        <f aca="false">IF(INDEX(Korpus!$C:$C,$A19)="","",INDEX(Korpus!$C:$C,$A19))</f>
        <v>5. Pentingnya Perlindungan Data Pribadi</v>
      </c>
    </row>
    <row r="20" customFormat="false" ht="60" hidden="true" customHeight="true" outlineLevel="0" collapsed="false">
      <c r="A20" s="15" t="n">
        <v>20</v>
      </c>
      <c r="B20" s="16" t="str">
        <f aca="false">IF(Petunjuk!$C$4="","",Petunjuk!$C$4)</f>
        <v>fenny</v>
      </c>
      <c r="C20" s="17" t="str">
        <f aca="false">IF(INDEX(Korpus!$A:$A,$A20)="","",INDEX(Korpus!$A:$A,$A20))</f>
        <v>2019MHN201</v>
      </c>
      <c r="D20" s="17" t="str">
        <f aca="false">TRIM(INDEX(Korpus!$D:$D,$A20)&amp;" "&amp;INDEX(Korpus!$E:$E,$A20))</f>
        <v>Paragraf 7 Kalimat 2</v>
      </c>
      <c r="E20" s="17" t="str">
        <f aca="false">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aca="false">IF(COUNTA(F20:K20)=6,"Lengkap","Belum lengkap ("&amp;(6-COUNTA(F20:K20))&amp;")")</f>
        <v>Belum lengkap (6)</v>
      </c>
      <c r="Q20" s="17" t="str">
        <f aca="false">IF(COUNTA(F20:K20)&lt;6,"",IF(IF(AND(G20="R0",K20&lt;&gt;"K5"),"R0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","")="","OK",IF(AND(G20="R0",K20&lt;&gt;"K5"),"R0 harus K5; ","")&amp;IF(AND(G20="R1",K20="K3"),"R1 tidak boleh K3 (fungsional); ","")&amp;IF(AND(G20="R2",K20="K5"),"R2 tidak boleh K5; ","")&amp;IF(AND(G20="R2",OR(F20="S6",F20="S7",F20="S8")),"R2 tidak boleh S6/S7/S8; ","")&amp;IF(AND(I20="P9",H20&lt;&gt;"T17"),"P9 hanya dengan T17; ","")&amp;IF(AND(OR(H20="T17",I20="P9"),G20&lt;&gt;"R0"),"T17/P9 harus R0; ","")&amp;IF(AND(H20="T01",I20&lt;&gt;"P6",N20=""),"T01 biasanya P6; jelaskan di V12; ","")&amp;IF(AND(I20="P1",K20&lt;&gt;"K4",N20=""),"P1 biasanya K4; jelaskan di V12; ","")))</f>
        <v/>
      </c>
      <c r="R20" s="17" t="str">
        <f aca="false">IF(INDEX(Korpus!$B:$B,$A20)="","",INDEX(Korpus!$B:$B,$A20))</f>
        <v>C. Pembahasan</v>
      </c>
      <c r="S20" s="17" t="str">
        <f aca="false">IF(INDEX(Korpus!$C:$C,$A20)="","",INDEX(Korpus!$C:$C,$A20))</f>
        <v>5. Pentingnya Perlindungan Data Pribadi</v>
      </c>
    </row>
    <row r="21" customFormat="false" ht="60" hidden="false" customHeight="true" outlineLevel="0" collapsed="false">
      <c r="A21" s="15" t="n">
        <v>21</v>
      </c>
      <c r="B21" s="16" t="str">
        <f aca="false">IF(Petunjuk!$C$4="","",Petunjuk!$C$4)</f>
        <v>fenny</v>
      </c>
      <c r="C21" s="17" t="str">
        <f aca="false">IF(INDEX(Korpus!$A:$A,$A21)="","",INDEX(Korpus!$A:$A,$A21))</f>
        <v>2019MHN201</v>
      </c>
      <c r="D21" s="17" t="str">
        <f aca="false">TRIM(INDEX(Korpus!$D:$D,$A21)&amp;" "&amp;INDEX(Korpus!$E:$E,$A21))</f>
        <v>Paragraf 7 Kalimat 3</v>
      </c>
      <c r="E21" s="17" t="str">
        <f aca="false">IF(INDEX(Korpus!$F:$F,$A21)="","",INDEX(Korpus!$F:$F,$A21))</f>
        <v>Selain itu Peraturan OJK Nomor 13 Tahun 2018 Tentang Inovasi Keuangan Digital di Sektor Keuangan, telah memasukkan poin terkait perlindungan dan kerahasiaan data.</v>
      </c>
      <c r="F21" s="18" t="s">
        <v>62</v>
      </c>
      <c r="G21" s="18" t="s">
        <v>63</v>
      </c>
      <c r="H21" s="18" t="s">
        <v>70</v>
      </c>
      <c r="I21" s="18" t="s">
        <v>71</v>
      </c>
      <c r="J21" s="18" t="s">
        <v>66</v>
      </c>
      <c r="K21" s="18" t="s">
        <v>67</v>
      </c>
      <c r="L21" s="18"/>
      <c r="M21" s="19"/>
      <c r="N21" s="19"/>
      <c r="O21" s="15" t="s">
        <v>69</v>
      </c>
      <c r="P21" s="17" t="str">
        <f aca="false">IF(COUNTA(F21:K21)=6,"Lengkap","Belum lengkap ("&amp;(6-COUNTA(F21:K21))&amp;")")</f>
        <v>Lengkap</v>
      </c>
      <c r="Q21" s="17" t="str">
        <f aca="false">IF(COUNTA(F21:K21)&lt;6,"",IF(IF(AND(G21="R0",K21&lt;&gt;"K5"),"R0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","")="","OK",IF(AND(G21="R0",K21&lt;&gt;"K5"),"R0 harus K5; ","")&amp;IF(AND(G21="R1",K21="K3"),"R1 tidak boleh K3 (fungsional); ","")&amp;IF(AND(G21="R2",K21="K5"),"R2 tidak boleh K5; ","")&amp;IF(AND(G21="R2",OR(F21="S6",F21="S7",F21="S8")),"R2 tidak boleh S6/S7/S8; ","")&amp;IF(AND(I21="P9",H21&lt;&gt;"T17"),"P9 hanya dengan T17; ","")&amp;IF(AND(OR(H21="T17",I21="P9"),G21&lt;&gt;"R0"),"T17/P9 harus R0; ","")&amp;IF(AND(H21="T01",I21&lt;&gt;"P6",N21=""),"T01 biasanya P6; jelaskan di V12; ","")&amp;IF(AND(I21="P1",K21&lt;&gt;"K4",N21=""),"P1 biasanya K4; jelaskan di V12; ","")))</f>
        <v>OK</v>
      </c>
      <c r="R21" s="17" t="str">
        <f aca="false">IF(INDEX(Korpus!$B:$B,$A21)="","",INDEX(Korpus!$B:$B,$A21))</f>
        <v>C. Pembahasan</v>
      </c>
      <c r="S21" s="17" t="str">
        <f aca="false">IF(INDEX(Korpus!$C:$C,$A21)="","",INDEX(Korpus!$C:$C,$A21))</f>
        <v>5. Pentingnya Perlindungan Data Pribadi</v>
      </c>
    </row>
    <row r="22" customFormat="false" ht="60" hidden="true" customHeight="true" outlineLevel="0" collapsed="false">
      <c r="A22" s="15" t="n">
        <v>22</v>
      </c>
      <c r="B22" s="16" t="str">
        <f aca="false">IF(Petunjuk!$C$4="","",Petunjuk!$C$4)</f>
        <v>fenny</v>
      </c>
      <c r="C22" s="17" t="str">
        <f aca="false">IF(INDEX(Korpus!$A:$A,$A22)="","",INDEX(Korpus!$A:$A,$A22))</f>
        <v>2019MHN201</v>
      </c>
      <c r="D22" s="17" t="str">
        <f aca="false">TRIM(INDEX(Korpus!$D:$D,$A22)&amp;" "&amp;INDEX(Korpus!$E:$E,$A22))</f>
        <v>Paragraf 7 Kalimat 4</v>
      </c>
      <c r="E22" s="17" t="str">
        <f aca="false">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aca="false">IF(COUNTA(F22:K22)=6,"Lengkap","Belum lengkap ("&amp;(6-COUNTA(F22:K22))&amp;")")</f>
        <v>Belum lengkap (6)</v>
      </c>
      <c r="Q22" s="17" t="str">
        <f aca="false">IF(COUNTA(F22:K22)&lt;6,"",IF(IF(AND(G22="R0",K22&lt;&gt;"K5"),"R0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","")="","OK",IF(AND(G22="R0",K22&lt;&gt;"K5"),"R0 harus K5; ","")&amp;IF(AND(G22="R1",K22="K3"),"R1 tidak boleh K3 (fungsional); ","")&amp;IF(AND(G22="R2",K22="K5"),"R2 tidak boleh K5; ","")&amp;IF(AND(G22="R2",OR(F22="S6",F22="S7",F22="S8")),"R2 tidak boleh S6/S7/S8; ","")&amp;IF(AND(I22="P9",H22&lt;&gt;"T17"),"P9 hanya dengan T17; ","")&amp;IF(AND(OR(H22="T17",I22="P9"),G22&lt;&gt;"R0"),"T17/P9 harus R0; ","")&amp;IF(AND(H22="T01",I22&lt;&gt;"P6",N22=""),"T01 biasanya P6; jelaskan di V12; ","")&amp;IF(AND(I22="P1",K22&lt;&gt;"K4",N22=""),"P1 biasanya K4; jelaskan di V12; ","")))</f>
        <v/>
      </c>
      <c r="R22" s="17" t="str">
        <f aca="false">IF(INDEX(Korpus!$B:$B,$A22)="","",INDEX(Korpus!$B:$B,$A22))</f>
        <v>C. Pembahasan</v>
      </c>
      <c r="S22" s="17" t="str">
        <f aca="false">IF(INDEX(Korpus!$C:$C,$A22)="","",INDEX(Korpus!$C:$C,$A22))</f>
        <v>5. Pentingnya Perlindungan Data Pribadi</v>
      </c>
    </row>
    <row r="23" customFormat="false" ht="60" hidden="true" customHeight="true" outlineLevel="0" collapsed="false">
      <c r="A23" s="15" t="n">
        <v>23</v>
      </c>
      <c r="B23" s="16" t="str">
        <f aca="false">IF(Petunjuk!$C$4="","",Petunjuk!$C$4)</f>
        <v>fenny</v>
      </c>
      <c r="C23" s="17" t="str">
        <f aca="false">IF(INDEX(Korpus!$A:$A,$A23)="","",INDEX(Korpus!$A:$A,$A23))</f>
        <v>2019MHN201</v>
      </c>
      <c r="D23" s="17" t="str">
        <f aca="false">TRIM(INDEX(Korpus!$D:$D,$A23)&amp;" "&amp;INDEX(Korpus!$E:$E,$A23))</f>
        <v>Paragraf 8 Kalimat 1</v>
      </c>
      <c r="E23" s="17" t="str">
        <f aca="false">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aca="false">IF(COUNTA(F23:K23)=6,"Lengkap","Belum lengkap ("&amp;(6-COUNTA(F23:K23))&amp;")")</f>
        <v>Belum lengkap (6)</v>
      </c>
      <c r="Q23" s="17" t="str">
        <f aca="false">IF(COUNTA(F23:K23)&lt;6,"",IF(IF(AND(G23="R0",K23&lt;&gt;"K5"),"R0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","")="","OK",IF(AND(G23="R0",K23&lt;&gt;"K5"),"R0 harus K5; ","")&amp;IF(AND(G23="R1",K23="K3"),"R1 tidak boleh K3 (fungsional); ","")&amp;IF(AND(G23="R2",K23="K5"),"R2 tidak boleh K5; ","")&amp;IF(AND(G23="R2",OR(F23="S6",F23="S7",F23="S8")),"R2 tidak boleh S6/S7/S8; ","")&amp;IF(AND(I23="P9",H23&lt;&gt;"T17"),"P9 hanya dengan T17; ","")&amp;IF(AND(OR(H23="T17",I23="P9"),G23&lt;&gt;"R0"),"T17/P9 harus R0; ","")&amp;IF(AND(H23="T01",I23&lt;&gt;"P6",N23=""),"T01 biasanya P6; jelaskan di V12; ","")&amp;IF(AND(I23="P1",K23&lt;&gt;"K4",N23=""),"P1 biasanya K4; jelaskan di V12; ","")))</f>
        <v/>
      </c>
      <c r="R23" s="17" t="str">
        <f aca="false">IF(INDEX(Korpus!$B:$B,$A23)="","",INDEX(Korpus!$B:$B,$A23))</f>
        <v>C. Pembahasan</v>
      </c>
      <c r="S23" s="17" t="str">
        <f aca="false">IF(INDEX(Korpus!$C:$C,$A23)="","",INDEX(Korpus!$C:$C,$A23))</f>
        <v>5. Pentingnya Perlindungan Data Pribadi</v>
      </c>
    </row>
    <row r="24" customFormat="false" ht="60" hidden="true" customHeight="true" outlineLevel="0" collapsed="false">
      <c r="A24" s="15" t="n">
        <v>24</v>
      </c>
      <c r="B24" s="16" t="str">
        <f aca="false">IF(Petunjuk!$C$4="","",Petunjuk!$C$4)</f>
        <v>fenny</v>
      </c>
      <c r="C24" s="17" t="str">
        <f aca="false">IF(INDEX(Korpus!$A:$A,$A24)="","",INDEX(Korpus!$A:$A,$A24))</f>
        <v>2019MHN201</v>
      </c>
      <c r="D24" s="17" t="str">
        <f aca="false">TRIM(INDEX(Korpus!$D:$D,$A24)&amp;" "&amp;INDEX(Korpus!$E:$E,$A24))</f>
        <v>Paragraf 8 Kalimat 3</v>
      </c>
      <c r="E24" s="17" t="str">
        <f aca="false">IF(INDEX(Korpus!$F:$F,$A24)="","",INDEX(Korpus!$F:$F,$A24))</f>
        <v>Oleh karena itu perlu disusun suatu undang-undang yang secara khusus dapat memberikan perlindungan data pribadi.</v>
      </c>
      <c r="F24" s="18"/>
      <c r="G24" s="18"/>
      <c r="H24" s="18"/>
      <c r="I24" s="18"/>
      <c r="J24" s="18"/>
      <c r="K24" s="18"/>
      <c r="L24" s="18"/>
      <c r="M24" s="19"/>
      <c r="N24" s="19"/>
      <c r="O24" s="15"/>
      <c r="P24" s="17" t="str">
        <f aca="false">IF(COUNTA(F24:K24)=6,"Lengkap","Belum lengkap ("&amp;(6-COUNTA(F24:K24))&amp;")")</f>
        <v>Belum lengkap (6)</v>
      </c>
      <c r="Q24" s="17" t="str">
        <f aca="false">IF(COUNTA(F24:K24)&lt;6,"",IF(IF(AND(G24="R0",K24&lt;&gt;"K5"),"R0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","")="","OK",IF(AND(G24="R0",K24&lt;&gt;"K5"),"R0 harus K5; ","")&amp;IF(AND(G24="R1",K24="K3"),"R1 tidak boleh K3 (fungsional); ","")&amp;IF(AND(G24="R2",K24="K5"),"R2 tidak boleh K5; ","")&amp;IF(AND(G24="R2",OR(F24="S6",F24="S7",F24="S8")),"R2 tidak boleh S6/S7/S8; ","")&amp;IF(AND(I24="P9",H24&lt;&gt;"T17"),"P9 hanya dengan T17; ","")&amp;IF(AND(OR(H24="T17",I24="P9"),G24&lt;&gt;"R0"),"T17/P9 harus R0; ","")&amp;IF(AND(H24="T01",I24&lt;&gt;"P6",N24=""),"T01 biasanya P6; jelaskan di V12; ","")&amp;IF(AND(I24="P1",K24&lt;&gt;"K4",N24=""),"P1 biasanya K4; jelaskan di V12; ","")))</f>
        <v/>
      </c>
      <c r="R24" s="17" t="str">
        <f aca="false">IF(INDEX(Korpus!$B:$B,$A24)="","",INDEX(Korpus!$B:$B,$A24))</f>
        <v>C. Pembahasan</v>
      </c>
      <c r="S24" s="17" t="str">
        <f aca="false">IF(INDEX(Korpus!$C:$C,$A24)="","",INDEX(Korpus!$C:$C,$A24))</f>
        <v>5. Pentingnya Perlindungan Data Pribadi</v>
      </c>
    </row>
    <row r="25" customFormat="false" ht="60" hidden="false" customHeight="true" outlineLevel="0" collapsed="false">
      <c r="A25" s="15" t="n">
        <v>25</v>
      </c>
      <c r="B25" s="16" t="str">
        <f aca="false">IF(Petunjuk!$C$4="","",Petunjuk!$C$4)</f>
        <v>fenny</v>
      </c>
      <c r="C25" s="17" t="str">
        <f aca="false">IF(INDEX(Korpus!$A:$A,$A25)="","",INDEX(Korpus!$A:$A,$A25))</f>
        <v>2019MHN201</v>
      </c>
      <c r="D25" s="17" t="str">
        <f aca="false">TRIM(INDEX(Korpus!$D:$D,$A25)&amp;" "&amp;INDEX(Korpus!$E:$E,$A25))</f>
        <v>Paragraf 1 Kalimat 3</v>
      </c>
      <c r="E25" s="17" t="str">
        <f aca="false">IF(INDEX(Korpus!$F:$F,$A25)="","",INDEX(Korpus!$F:$F,$A25))</f>
        <v>Selain itu juga sudah ada Peraturan Menteri Nomor 20 Tahun 2016 tentang Perlindungan Data Pribadi namun belum cukup memberikan perlindungan kepada konsumen.</v>
      </c>
      <c r="F25" s="18" t="s">
        <v>72</v>
      </c>
      <c r="G25" s="18" t="s">
        <v>73</v>
      </c>
      <c r="H25" s="18" t="s">
        <v>74</v>
      </c>
      <c r="I25" s="18" t="s">
        <v>75</v>
      </c>
      <c r="J25" s="18" t="s">
        <v>76</v>
      </c>
      <c r="K25" s="18" t="s">
        <v>77</v>
      </c>
      <c r="L25" s="18"/>
      <c r="M25" s="19"/>
      <c r="N25" s="19"/>
      <c r="O25" s="15" t="s">
        <v>69</v>
      </c>
      <c r="P25" s="17" t="str">
        <f aca="false">IF(COUNTA(F25:K25)=6,"Lengkap","Belum lengkap ("&amp;(6-COUNTA(F25:K25))&amp;")")</f>
        <v>Lengkap</v>
      </c>
      <c r="Q25" s="17" t="str">
        <f aca="false">IF(COUNTA(F25:K25)&lt;6,"",IF(IF(AND(G25="R0",K25&lt;&gt;"K5"),"R0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","")="","OK",IF(AND(G25="R0",K25&lt;&gt;"K5"),"R0 harus K5; ","")&amp;IF(AND(G25="R1",K25="K3"),"R1 tidak boleh K3 (fungsional); ","")&amp;IF(AND(G25="R2",K25="K5"),"R2 tidak boleh K5; ","")&amp;IF(AND(G25="R2",OR(F25="S6",F25="S7",F25="S8")),"R2 tidak boleh S6/S7/S8; ","")&amp;IF(AND(I25="P9",H25&lt;&gt;"T17"),"P9 hanya dengan T17; ","")&amp;IF(AND(OR(H25="T17",I25="P9"),G25&lt;&gt;"R0"),"T17/P9 harus R0; ","")&amp;IF(AND(H25="T01",I25&lt;&gt;"P6",N25=""),"T01 biasanya P6; jelaskan di V12; ","")&amp;IF(AND(I25="P1",K25&lt;&gt;"K4",N25=""),"P1 biasanya K4; jelaskan di V12; ","")))</f>
        <v>OK</v>
      </c>
      <c r="R25" s="17" t="str">
        <f aca="false">IF(INDEX(Korpus!$B:$B,$A25)="","",INDEX(Korpus!$B:$B,$A25))</f>
        <v>D. Penutup</v>
      </c>
      <c r="S25" s="17" t="str">
        <f aca="false">IF(INDEX(Korpus!$C:$C,$A25)="","",INDEX(Korpus!$C:$C,$A25))</f>
        <v/>
      </c>
    </row>
    <row r="26" customFormat="false" ht="60" hidden="true" customHeight="true" outlineLevel="0" collapsed="false">
      <c r="A26" s="15" t="n">
        <v>26</v>
      </c>
      <c r="B26" s="16" t="str">
        <f aca="false">IF(Petunjuk!$C$4="","",Petunjuk!$C$4)</f>
        <v>fenny</v>
      </c>
      <c r="C26" s="17" t="str">
        <f aca="false">IF(INDEX(Korpus!$A:$A,$A26)="","",INDEX(Korpus!$A:$A,$A26))</f>
        <v>2019MHN201</v>
      </c>
      <c r="D26" s="17" t="str">
        <f aca="false">TRIM(INDEX(Korpus!$D:$D,$A26)&amp;" "&amp;INDEX(Korpus!$E:$E,$A26))</f>
        <v>Paragraf 1 Kalimat 4</v>
      </c>
      <c r="E26" s="17" t="str">
        <f aca="false">IF(INDEX(Korpus!$F:$F,$A26)="","",INDEX(Korpus!$F:$F,$A26))</f>
        <v>Oleh karenanya Pemerintah perlu segera memberikan perlindungan data pribadi nasabah agar tidak disalahgunakan.</v>
      </c>
      <c r="F26" s="18"/>
      <c r="G26" s="18"/>
      <c r="H26" s="18"/>
      <c r="I26" s="18"/>
      <c r="J26" s="18"/>
      <c r="K26" s="18"/>
      <c r="L26" s="18"/>
      <c r="M26" s="19"/>
      <c r="N26" s="19"/>
      <c r="O26" s="15"/>
      <c r="P26" s="17" t="str">
        <f aca="false">IF(COUNTA(F26:K26)=6,"Lengkap","Belum lengkap ("&amp;(6-COUNTA(F26:K26))&amp;")")</f>
        <v>Belum lengkap (6)</v>
      </c>
      <c r="Q26" s="17" t="str">
        <f aca="false">IF(COUNTA(F26:K26)&lt;6,"",IF(IF(AND(G26="R0",K26&lt;&gt;"K5"),"R0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","")="","OK",IF(AND(G26="R0",K26&lt;&gt;"K5"),"R0 harus K5; ","")&amp;IF(AND(G26="R1",K26="K3"),"R1 tidak boleh K3 (fungsional); ","")&amp;IF(AND(G26="R2",K26="K5"),"R2 tidak boleh K5; ","")&amp;IF(AND(G26="R2",OR(F26="S6",F26="S7",F26="S8")),"R2 tidak boleh S6/S7/S8; ","")&amp;IF(AND(I26="P9",H26&lt;&gt;"T17"),"P9 hanya dengan T17; ","")&amp;IF(AND(OR(H26="T17",I26="P9"),G26&lt;&gt;"R0"),"T17/P9 harus R0; ","")&amp;IF(AND(H26="T01",I26&lt;&gt;"P6",N26=""),"T01 biasanya P6; jelaskan di V12; ","")&amp;IF(AND(I26="P1",K26&lt;&gt;"K4",N26=""),"P1 biasanya K4; jelaskan di V12; ","")))</f>
        <v/>
      </c>
      <c r="R26" s="17" t="str">
        <f aca="false">IF(INDEX(Korpus!$B:$B,$A26)="","",INDEX(Korpus!$B:$B,$A26))</f>
        <v>D. Penutup</v>
      </c>
      <c r="S26" s="17" t="str">
        <f aca="false">IF(INDEX(Korpus!$C:$C,$A26)="","",INDEX(Korpus!$C:$C,$A26))</f>
        <v/>
      </c>
    </row>
    <row r="27" customFormat="false" ht="60" hidden="true" customHeight="true" outlineLevel="0" collapsed="false">
      <c r="A27" s="15" t="n">
        <v>27</v>
      </c>
      <c r="B27" s="16" t="str">
        <f aca="false">IF(Petunjuk!$C$4="","",Petunjuk!$C$4)</f>
        <v>fenny</v>
      </c>
      <c r="C27" s="17" t="str">
        <f aca="false">IF(INDEX(Korpus!$A:$A,$A27)="","",INDEX(Korpus!$A:$A,$A27))</f>
        <v>UU 23 Thn 2002 (Perlindungan Anak)</v>
      </c>
      <c r="D27" s="17" t="str">
        <f aca="false">TRIM(INDEX(Korpus!$D:$D,$A27)&amp;" "&amp;INDEX(Korpus!$E:$E,$A27))</f>
        <v>Pasal 27</v>
      </c>
      <c r="E27" s="17" t="str">
        <f aca="false">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aca="false">IF(COUNTA(F27:K27)=6,"Lengkap","Belum lengkap ("&amp;(6-COUNTA(F27:K27))&amp;")")</f>
        <v>Belum lengkap (6)</v>
      </c>
      <c r="Q27" s="17" t="str">
        <f aca="false">IF(COUNTA(F27:K27)&lt;6,"",IF(IF(AND(G27="R0",K27&lt;&gt;"K5"),"R0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","")="","OK",IF(AND(G27="R0",K27&lt;&gt;"K5"),"R0 harus K5; ","")&amp;IF(AND(G27="R1",K27="K3"),"R1 tidak boleh K3 (fungsional); ","")&amp;IF(AND(G27="R2",K27="K5"),"R2 tidak boleh K5; ","")&amp;IF(AND(G27="R2",OR(F27="S6",F27="S7",F27="S8")),"R2 tidak boleh S6/S7/S8; ","")&amp;IF(AND(I27="P9",H27&lt;&gt;"T17"),"P9 hanya dengan T17; ","")&amp;IF(AND(OR(H27="T17",I27="P9"),G27&lt;&gt;"R0"),"T17/P9 harus R0; ","")&amp;IF(AND(H27="T01",I27&lt;&gt;"P6",N27=""),"T01 biasanya P6; jelaskan di V12; ","")&amp;IF(AND(I27="P1",K27&lt;&gt;"K4",N27=""),"P1 biasanya K4; jelaskan di V12; ","")))</f>
        <v/>
      </c>
      <c r="R27" s="17" t="str">
        <f aca="false">IF(INDEX(Korpus!$B:$B,$A27)="","",INDEX(Korpus!$B:$B,$A27))</f>
        <v>BAB VKEDUDUKAN ANAK</v>
      </c>
      <c r="S27" s="17" t="str">
        <f aca="false">IF(INDEX(Korpus!$C:$C,$A27)="","",INDEX(Korpus!$C:$C,$A27))</f>
        <v>Bagian KesatuIdentitas Anak</v>
      </c>
    </row>
    <row r="28" customFormat="false" ht="60" hidden="true" customHeight="true" outlineLevel="0" collapsed="false">
      <c r="A28" s="15" t="n">
        <v>28</v>
      </c>
      <c r="B28" s="16" t="str">
        <f aca="false">IF(Petunjuk!$C$4="","",Petunjuk!$C$4)</f>
        <v>fenny</v>
      </c>
      <c r="C28" s="17" t="str">
        <f aca="false">IF(INDEX(Korpus!$A:$A,$A28)="","",INDEX(Korpus!$A:$A,$A28))</f>
        <v>UU 27 Thn 2022 (PDP)</v>
      </c>
      <c r="D28" s="17" t="str">
        <f aca="false">TRIM(INDEX(Korpus!$D:$D,$A28)&amp;" "&amp;INDEX(Korpus!$E:$E,$A28))</f>
        <v>Pasal 1</v>
      </c>
      <c r="E28" s="17" t="str">
        <f aca="false">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aca="false">IF(COUNTA(F28:K28)=6,"Lengkap","Belum lengkap ("&amp;(6-COUNTA(F28:K28))&amp;")")</f>
        <v>Belum lengkap (6)</v>
      </c>
      <c r="Q28" s="17" t="str">
        <f aca="false">IF(COUNTA(F28:K28)&lt;6,"",IF(IF(AND(G28="R0",K28&lt;&gt;"K5"),"R0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","")="","OK",IF(AND(G28="R0",K28&lt;&gt;"K5"),"R0 harus K5; ","")&amp;IF(AND(G28="R1",K28="K3"),"R1 tidak boleh K3 (fungsional); ","")&amp;IF(AND(G28="R2",K28="K5"),"R2 tidak boleh K5; ","")&amp;IF(AND(G28="R2",OR(F28="S6",F28="S7",F28="S8")),"R2 tidak boleh S6/S7/S8; ","")&amp;IF(AND(I28="P9",H28&lt;&gt;"T17"),"P9 hanya dengan T17; ","")&amp;IF(AND(OR(H28="T17",I28="P9"),G28&lt;&gt;"R0"),"T17/P9 harus R0; ","")&amp;IF(AND(H28="T01",I28&lt;&gt;"P6",N28=""),"T01 biasanya P6; jelaskan di V12; ","")&amp;IF(AND(I28="P1",K28&lt;&gt;"K4",N28=""),"P1 biasanya K4; jelaskan di V12; ","")))</f>
        <v/>
      </c>
      <c r="R28" s="17" t="str">
        <f aca="false">IF(INDEX(Korpus!$B:$B,$A28)="","",INDEX(Korpus!$B:$B,$A28))</f>
        <v>BAB IKETENTUAN UMUM</v>
      </c>
      <c r="S28" s="17" t="str">
        <f aca="false">IF(INDEX(Korpus!$C:$C,$A28)="","",INDEX(Korpus!$C:$C,$A28))</f>
        <v/>
      </c>
    </row>
    <row r="29" customFormat="false" ht="60" hidden="true" customHeight="true" outlineLevel="0" collapsed="false">
      <c r="A29" s="15" t="n">
        <v>29</v>
      </c>
      <c r="B29" s="16" t="str">
        <f aca="false">IF(Petunjuk!$C$4="","",Petunjuk!$C$4)</f>
        <v>fenny</v>
      </c>
      <c r="C29" s="17" t="str">
        <f aca="false">IF(INDEX(Korpus!$A:$A,$A29)="","",INDEX(Korpus!$A:$A,$A29))</f>
        <v>UU 27 Thn 2022 (PDP)</v>
      </c>
      <c r="D29" s="17" t="str">
        <f aca="false">TRIM(INDEX(Korpus!$D:$D,$A29)&amp;" "&amp;INDEX(Korpus!$E:$E,$A29))</f>
        <v>Pasal 2</v>
      </c>
      <c r="E29" s="17" t="str">
        <f aca="false">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aca="false">IF(COUNTA(F29:K29)=6,"Lengkap","Belum lengkap ("&amp;(6-COUNTA(F29:K29))&amp;")")</f>
        <v>Belum lengkap (6)</v>
      </c>
      <c r="Q29" s="17" t="str">
        <f aca="false">IF(COUNTA(F29:K29)&lt;6,"",IF(IF(AND(G29="R0",K29&lt;&gt;"K5"),"R0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","")="","OK",IF(AND(G29="R0",K29&lt;&gt;"K5"),"R0 harus K5; ","")&amp;IF(AND(G29="R1",K29="K3"),"R1 tidak boleh K3 (fungsional); ","")&amp;IF(AND(G29="R2",K29="K5"),"R2 tidak boleh K5; ","")&amp;IF(AND(G29="R2",OR(F29="S6",F29="S7",F29="S8")),"R2 tidak boleh S6/S7/S8; ","")&amp;IF(AND(I29="P9",H29&lt;&gt;"T17"),"P9 hanya dengan T17; ","")&amp;IF(AND(OR(H29="T17",I29="P9"),G29&lt;&gt;"R0"),"T17/P9 harus R0; ","")&amp;IF(AND(H29="T01",I29&lt;&gt;"P6",N29=""),"T01 biasanya P6; jelaskan di V12; ","")&amp;IF(AND(I29="P1",K29&lt;&gt;"K4",N29=""),"P1 biasanya K4; jelaskan di V12; ","")))</f>
        <v/>
      </c>
      <c r="R29" s="17" t="str">
        <f aca="false">IF(INDEX(Korpus!$B:$B,$A29)="","",INDEX(Korpus!$B:$B,$A29))</f>
        <v>BAB IKETENTUAN UMUM</v>
      </c>
      <c r="S29" s="17" t="str">
        <f aca="false">IF(INDEX(Korpus!$C:$C,$A29)="","",INDEX(Korpus!$C:$C,$A29))</f>
        <v/>
      </c>
    </row>
    <row r="30" customFormat="false" ht="60" hidden="true" customHeight="true" outlineLevel="0" collapsed="false">
      <c r="A30" s="15" t="n">
        <v>30</v>
      </c>
      <c r="B30" s="16" t="str">
        <f aca="false">IF(Petunjuk!$C$4="","",Petunjuk!$C$4)</f>
        <v>fenny</v>
      </c>
      <c r="C30" s="17" t="str">
        <f aca="false">IF(INDEX(Korpus!$A:$A,$A30)="","",INDEX(Korpus!$A:$A,$A30))</f>
        <v>UU 27 Thn 2022 (PDP)</v>
      </c>
      <c r="D30" s="17" t="str">
        <f aca="false">TRIM(INDEX(Korpus!$D:$D,$A30)&amp;" "&amp;INDEX(Korpus!$E:$E,$A30))</f>
        <v>Pasal 3</v>
      </c>
      <c r="E30" s="17" t="str">
        <f aca="false">IF(INDEX(Korpus!$F:$F,$A30)="","",INDEX(Korpus!$F:$F,$A30))</f>
        <v>a. perlindungan; b. kepastian hukum; c. kepentingan umum; d. Kemanfaatan; e. Kehati-hatian; f. Keseimbangan; g. Pertanggungjawaban; dan h. kerahasiaan.</v>
      </c>
      <c r="F30" s="18"/>
      <c r="G30" s="18"/>
      <c r="H30" s="18"/>
      <c r="I30" s="18"/>
      <c r="J30" s="18"/>
      <c r="K30" s="18"/>
      <c r="L30" s="18"/>
      <c r="M30" s="19"/>
      <c r="N30" s="19"/>
      <c r="O30" s="15"/>
      <c r="P30" s="17" t="str">
        <f aca="false">IF(COUNTA(F30:K30)=6,"Lengkap","Belum lengkap ("&amp;(6-COUNTA(F30:K30))&amp;")")</f>
        <v>Belum lengkap (6)</v>
      </c>
      <c r="Q30" s="17" t="str">
        <f aca="false">IF(COUNTA(F30:K30)&lt;6,"",IF(IF(AND(G30="R0",K30&lt;&gt;"K5"),"R0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","")="","OK",IF(AND(G30="R0",K30&lt;&gt;"K5"),"R0 harus K5; ","")&amp;IF(AND(G30="R1",K30="K3"),"R1 tidak boleh K3 (fungsional); ","")&amp;IF(AND(G30="R2",K30="K5"),"R2 tidak boleh K5; ","")&amp;IF(AND(G30="R2",OR(F30="S6",F30="S7",F30="S8")),"R2 tidak boleh S6/S7/S8; ","")&amp;IF(AND(I30="P9",H30&lt;&gt;"T17"),"P9 hanya dengan T17; ","")&amp;IF(AND(OR(H30="T17",I30="P9"),G30&lt;&gt;"R0"),"T17/P9 harus R0; ","")&amp;IF(AND(H30="T01",I30&lt;&gt;"P6",N30=""),"T01 biasanya P6; jelaskan di V12; ","")&amp;IF(AND(I30="P1",K30&lt;&gt;"K4",N30=""),"P1 biasanya K4; jelaskan di V12; ","")))</f>
        <v/>
      </c>
      <c r="R30" s="17" t="str">
        <f aca="false">IF(INDEX(Korpus!$B:$B,$A30)="","",INDEX(Korpus!$B:$B,$A30))</f>
        <v>BAB IIASAS</v>
      </c>
      <c r="S30" s="17" t="str">
        <f aca="false">IF(INDEX(Korpus!$C:$C,$A30)="","",INDEX(Korpus!$C:$C,$A30))</f>
        <v/>
      </c>
    </row>
    <row r="31" customFormat="false" ht="60" hidden="true" customHeight="true" outlineLevel="0" collapsed="false">
      <c r="A31" s="15" t="n">
        <v>31</v>
      </c>
      <c r="B31" s="16" t="str">
        <f aca="false">IF(Petunjuk!$C$4="","",Petunjuk!$C$4)</f>
        <v>fenny</v>
      </c>
      <c r="C31" s="17" t="str">
        <f aca="false">IF(INDEX(Korpus!$A:$A,$A31)="","",INDEX(Korpus!$A:$A,$A31))</f>
        <v>UU 27 Thn 2022 (PDP)</v>
      </c>
      <c r="D31" s="17" t="str">
        <f aca="false">TRIM(INDEX(Korpus!$D:$D,$A31)&amp;" "&amp;INDEX(Korpus!$E:$E,$A31))</f>
        <v>Pasal 4</v>
      </c>
      <c r="E31" s="17" t="str">
        <f aca="false">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aca="false">IF(COUNTA(F31:K31)=6,"Lengkap","Belum lengkap ("&amp;(6-COUNTA(F31:K31))&amp;")")</f>
        <v>Belum lengkap (6)</v>
      </c>
      <c r="Q31" s="17" t="str">
        <f aca="false">IF(COUNTA(F31:K31)&lt;6,"",IF(IF(AND(G31="R0",K31&lt;&gt;"K5"),"R0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","")="","OK",IF(AND(G31="R0",K31&lt;&gt;"K5"),"R0 harus K5; ","")&amp;IF(AND(G31="R1",K31="K3"),"R1 tidak boleh K3 (fungsional); ","")&amp;IF(AND(G31="R2",K31="K5"),"R2 tidak boleh K5; ","")&amp;IF(AND(G31="R2",OR(F31="S6",F31="S7",F31="S8")),"R2 tidak boleh S6/S7/S8; ","")&amp;IF(AND(I31="P9",H31&lt;&gt;"T17"),"P9 hanya dengan T17; ","")&amp;IF(AND(OR(H31="T17",I31="P9"),G31&lt;&gt;"R0"),"T17/P9 harus R0; ","")&amp;IF(AND(H31="T01",I31&lt;&gt;"P6",N31=""),"T01 biasanya P6; jelaskan di V12; ","")&amp;IF(AND(I31="P1",K31&lt;&gt;"K4",N31=""),"P1 biasanya K4; jelaskan di V12; ","")))</f>
        <v/>
      </c>
      <c r="R31" s="17" t="str">
        <f aca="false">IF(INDEX(Korpus!$B:$B,$A31)="","",INDEX(Korpus!$B:$B,$A31))</f>
        <v>BAB IIIJENIS DATA PRIBADI</v>
      </c>
      <c r="S31" s="17" t="str">
        <f aca="false">IF(INDEX(Korpus!$C:$C,$A31)="","",INDEX(Korpus!$C:$C,$A31))</f>
        <v/>
      </c>
    </row>
    <row r="32" customFormat="false" ht="60" hidden="true" customHeight="true" outlineLevel="0" collapsed="false">
      <c r="A32" s="15" t="n">
        <v>32</v>
      </c>
      <c r="B32" s="16" t="str">
        <f aca="false">IF(Petunjuk!$C$4="","",Petunjuk!$C$4)</f>
        <v>fenny</v>
      </c>
      <c r="C32" s="17" t="str">
        <f aca="false">IF(INDEX(Korpus!$A:$A,$A32)="","",INDEX(Korpus!$A:$A,$A32))</f>
        <v>UU 27 Thn 2022 (PDP)</v>
      </c>
      <c r="D32" s="17" t="str">
        <f aca="false">TRIM(INDEX(Korpus!$D:$D,$A32)&amp;" "&amp;INDEX(Korpus!$E:$E,$A32))</f>
        <v>Pasal 5</v>
      </c>
      <c r="E32" s="17" t="str">
        <f aca="false">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aca="false">IF(COUNTA(F32:K32)=6,"Lengkap","Belum lengkap ("&amp;(6-COUNTA(F32:K32))&amp;")")</f>
        <v>Belum lengkap (6)</v>
      </c>
      <c r="Q32" s="17" t="str">
        <f aca="false">IF(COUNTA(F32:K32)&lt;6,"",IF(IF(AND(G32="R0",K32&lt;&gt;"K5"),"R0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","")="","OK",IF(AND(G32="R0",K32&lt;&gt;"K5"),"R0 harus K5; ","")&amp;IF(AND(G32="R1",K32="K3"),"R1 tidak boleh K3 (fungsional); ","")&amp;IF(AND(G32="R2",K32="K5"),"R2 tidak boleh K5; ","")&amp;IF(AND(G32="R2",OR(F32="S6",F32="S7",F32="S8")),"R2 tidak boleh S6/S7/S8; ","")&amp;IF(AND(I32="P9",H32&lt;&gt;"T17"),"P9 hanya dengan T17; ","")&amp;IF(AND(OR(H32="T17",I32="P9"),G32&lt;&gt;"R0"),"T17/P9 harus R0; ","")&amp;IF(AND(H32="T01",I32&lt;&gt;"P6",N32=""),"T01 biasanya P6; jelaskan di V12; ","")&amp;IF(AND(I32="P1",K32&lt;&gt;"K4",N32=""),"P1 biasanya K4; jelaskan di V12; ","")))</f>
        <v/>
      </c>
      <c r="R32" s="17" t="str">
        <f aca="false">IF(INDEX(Korpus!$B:$B,$A32)="","",INDEX(Korpus!$B:$B,$A32))</f>
        <v>BAB IVHAK SUBJEK DATA PRIBADI</v>
      </c>
      <c r="S32" s="17" t="str">
        <f aca="false">IF(INDEX(Korpus!$C:$C,$A32)="","",INDEX(Korpus!$C:$C,$A32))</f>
        <v/>
      </c>
    </row>
    <row r="33" customFormat="false" ht="60" hidden="true" customHeight="true" outlineLevel="0" collapsed="false">
      <c r="A33" s="15" t="n">
        <v>33</v>
      </c>
      <c r="B33" s="16" t="str">
        <f aca="false">IF(Petunjuk!$C$4="","",Petunjuk!$C$4)</f>
        <v>fenny</v>
      </c>
      <c r="C33" s="17" t="str">
        <f aca="false">IF(INDEX(Korpus!$A:$A,$A33)="","",INDEX(Korpus!$A:$A,$A33))</f>
        <v>UU 27 Thn 2022 (PDP)</v>
      </c>
      <c r="D33" s="17" t="str">
        <f aca="false">TRIM(INDEX(Korpus!$D:$D,$A33)&amp;" "&amp;INDEX(Korpus!$E:$E,$A33))</f>
        <v>Pasal 6</v>
      </c>
      <c r="E33" s="17" t="str">
        <f aca="false">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aca="false">IF(COUNTA(F33:K33)=6,"Lengkap","Belum lengkap ("&amp;(6-COUNTA(F33:K33))&amp;")")</f>
        <v>Belum lengkap (6)</v>
      </c>
      <c r="Q33" s="17" t="str">
        <f aca="false">IF(COUNTA(F33:K33)&lt;6,"",IF(IF(AND(G33="R0",K33&lt;&gt;"K5"),"R0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","")="","OK",IF(AND(G33="R0",K33&lt;&gt;"K5"),"R0 harus K5; ","")&amp;IF(AND(G33="R1",K33="K3"),"R1 tidak boleh K3 (fungsional); ","")&amp;IF(AND(G33="R2",K33="K5"),"R2 tidak boleh K5; ","")&amp;IF(AND(G33="R2",OR(F33="S6",F33="S7",F33="S8")),"R2 tidak boleh S6/S7/S8; ","")&amp;IF(AND(I33="P9",H33&lt;&gt;"T17"),"P9 hanya dengan T17; ","")&amp;IF(AND(OR(H33="T17",I33="P9"),G33&lt;&gt;"R0"),"T17/P9 harus R0; ","")&amp;IF(AND(H33="T01",I33&lt;&gt;"P6",N33=""),"T01 biasanya P6; jelaskan di V12; ","")&amp;IF(AND(I33="P1",K33&lt;&gt;"K4",N33=""),"P1 biasanya K4; jelaskan di V12; ","")))</f>
        <v/>
      </c>
      <c r="R33" s="17" t="str">
        <f aca="false">IF(INDEX(Korpus!$B:$B,$A33)="","",INDEX(Korpus!$B:$B,$A33))</f>
        <v>BAB IVHAK SUBJEK DATA PRIBADI</v>
      </c>
      <c r="S33" s="17" t="str">
        <f aca="false">IF(INDEX(Korpus!$C:$C,$A33)="","",INDEX(Korpus!$C:$C,$A33))</f>
        <v/>
      </c>
    </row>
    <row r="34" customFormat="false" ht="60" hidden="true" customHeight="true" outlineLevel="0" collapsed="false">
      <c r="A34" s="15" t="n">
        <v>34</v>
      </c>
      <c r="B34" s="16" t="str">
        <f aca="false">IF(Petunjuk!$C$4="","",Petunjuk!$C$4)</f>
        <v>fenny</v>
      </c>
      <c r="C34" s="17" t="str">
        <f aca="false">IF(INDEX(Korpus!$A:$A,$A34)="","",INDEX(Korpus!$A:$A,$A34))</f>
        <v>UU 27 Thn 2022 (PDP)</v>
      </c>
      <c r="D34" s="17" t="str">
        <f aca="false">TRIM(INDEX(Korpus!$D:$D,$A34)&amp;" "&amp;INDEX(Korpus!$E:$E,$A34))</f>
        <v>Pasal 7</v>
      </c>
      <c r="E34" s="17" t="str">
        <f aca="false">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aca="false">IF(COUNTA(F34:K34)=6,"Lengkap","Belum lengkap ("&amp;(6-COUNTA(F34:K34))&amp;")")</f>
        <v>Belum lengkap (6)</v>
      </c>
      <c r="Q34" s="17" t="str">
        <f aca="false">IF(COUNTA(F34:K34)&lt;6,"",IF(IF(AND(G34="R0",K34&lt;&gt;"K5"),"R0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","")="","OK",IF(AND(G34="R0",K34&lt;&gt;"K5"),"R0 harus K5; ","")&amp;IF(AND(G34="R1",K34="K3"),"R1 tidak boleh K3 (fungsional); ","")&amp;IF(AND(G34="R2",K34="K5"),"R2 tidak boleh K5; ","")&amp;IF(AND(G34="R2",OR(F34="S6",F34="S7",F34="S8")),"R2 tidak boleh S6/S7/S8; ","")&amp;IF(AND(I34="P9",H34&lt;&gt;"T17"),"P9 hanya dengan T17; ","")&amp;IF(AND(OR(H34="T17",I34="P9"),G34&lt;&gt;"R0"),"T17/P9 harus R0; ","")&amp;IF(AND(H34="T01",I34&lt;&gt;"P6",N34=""),"T01 biasanya P6; jelaskan di V12; ","")&amp;IF(AND(I34="P1",K34&lt;&gt;"K4",N34=""),"P1 biasanya K4; jelaskan di V12; ","")))</f>
        <v/>
      </c>
      <c r="R34" s="17" t="str">
        <f aca="false">IF(INDEX(Korpus!$B:$B,$A34)="","",INDEX(Korpus!$B:$B,$A34))</f>
        <v>BAB IVHAK SUBJEK DATA PRIBADI</v>
      </c>
      <c r="S34" s="17" t="str">
        <f aca="false">IF(INDEX(Korpus!$C:$C,$A34)="","",INDEX(Korpus!$C:$C,$A34))</f>
        <v/>
      </c>
    </row>
    <row r="35" customFormat="false" ht="60" hidden="false" customHeight="true" outlineLevel="0" collapsed="false">
      <c r="A35" s="15" t="n">
        <v>35</v>
      </c>
      <c r="B35" s="16" t="str">
        <f aca="false">IF(Petunjuk!$C$4="","",Petunjuk!$C$4)</f>
        <v>fenny</v>
      </c>
      <c r="C35" s="17" t="str">
        <f aca="false">IF(INDEX(Korpus!$A:$A,$A35)="","",INDEX(Korpus!$A:$A,$A35))</f>
        <v>UU 27 Thn 2022 (PDP)</v>
      </c>
      <c r="D35" s="17" t="str">
        <f aca="false">TRIM(INDEX(Korpus!$D:$D,$A35)&amp;" "&amp;INDEX(Korpus!$E:$E,$A35))</f>
        <v>Pasal 8</v>
      </c>
      <c r="E35" s="17" t="str">
        <f aca="false">IF(INDEX(Korpus!$F:$F,$A35)="","",INDEX(Korpus!$F:$F,$A35))</f>
        <v>Subjek Data Pribadi berhak untuk mengakhiri pemrosesan, menghapus, dan/ atau memusnahkan Data Pribadi tentang dirinya sesuai dengan ketentuan peraturan perundang-undangan.</v>
      </c>
      <c r="F35" s="18" t="s">
        <v>78</v>
      </c>
      <c r="G35" s="18" t="s">
        <v>63</v>
      </c>
      <c r="H35" s="18" t="s">
        <v>79</v>
      </c>
      <c r="I35" s="18" t="s">
        <v>65</v>
      </c>
      <c r="J35" s="18" t="s">
        <v>80</v>
      </c>
      <c r="K35" s="18" t="s">
        <v>81</v>
      </c>
      <c r="L35" s="18"/>
      <c r="M35" s="19"/>
      <c r="N35" s="19"/>
      <c r="O35" s="15" t="s">
        <v>69</v>
      </c>
      <c r="P35" s="17" t="str">
        <f aca="false">IF(COUNTA(F35:K35)=6,"Lengkap","Belum lengkap ("&amp;(6-COUNTA(F35:K35))&amp;")")</f>
        <v>Lengkap</v>
      </c>
      <c r="Q35" s="17" t="str">
        <f aca="false">IF(COUNTA(F35:K35)&lt;6,"",IF(IF(AND(G35="R0",K35&lt;&gt;"K5"),"R0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","")="","OK",IF(AND(G35="R0",K35&lt;&gt;"K5"),"R0 harus K5; ","")&amp;IF(AND(G35="R1",K35="K3"),"R1 tidak boleh K3 (fungsional); ","")&amp;IF(AND(G35="R2",K35="K5"),"R2 tidak boleh K5; ","")&amp;IF(AND(G35="R2",OR(F35="S6",F35="S7",F35="S8")),"R2 tidak boleh S6/S7/S8; ","")&amp;IF(AND(I35="P9",H35&lt;&gt;"T17"),"P9 hanya dengan T17; ","")&amp;IF(AND(OR(H35="T17",I35="P9"),G35&lt;&gt;"R0"),"T17/P9 harus R0; ","")&amp;IF(AND(H35="T01",I35&lt;&gt;"P6",N35=""),"T01 biasanya P6; jelaskan di V12; ","")&amp;IF(AND(I35="P1",K35&lt;&gt;"K4",N35=""),"P1 biasanya K4; jelaskan di V12; ","")))</f>
        <v>OK</v>
      </c>
      <c r="R35" s="17" t="str">
        <f aca="false">IF(INDEX(Korpus!$B:$B,$A35)="","",INDEX(Korpus!$B:$B,$A35))</f>
        <v>BAB IVHAK SUBJEK DATA PRIBADI</v>
      </c>
      <c r="S35" s="17" t="str">
        <f aca="false">IF(INDEX(Korpus!$C:$C,$A35)="","",INDEX(Korpus!$C:$C,$A35))</f>
        <v/>
      </c>
    </row>
    <row r="36" customFormat="false" ht="60" hidden="true" customHeight="true" outlineLevel="0" collapsed="false">
      <c r="A36" s="15" t="n">
        <v>36</v>
      </c>
      <c r="B36" s="16" t="str">
        <f aca="false">IF(Petunjuk!$C$4="","",Petunjuk!$C$4)</f>
        <v>fenny</v>
      </c>
      <c r="C36" s="17" t="str">
        <f aca="false">IF(INDEX(Korpus!$A:$A,$A36)="","",INDEX(Korpus!$A:$A,$A36))</f>
        <v>UU 27 Thn 2022 (PDP)</v>
      </c>
      <c r="D36" s="17" t="str">
        <f aca="false">TRIM(INDEX(Korpus!$D:$D,$A36)&amp;" "&amp;INDEX(Korpus!$E:$E,$A36))</f>
        <v>Pasal 9</v>
      </c>
      <c r="E36" s="17" t="str">
        <f aca="false">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aca="false">IF(COUNTA(F36:K36)=6,"Lengkap","Belum lengkap ("&amp;(6-COUNTA(F36:K36))&amp;")")</f>
        <v>Belum lengkap (6)</v>
      </c>
      <c r="Q36" s="17" t="str">
        <f aca="false">IF(COUNTA(F36:K36)&lt;6,"",IF(IF(AND(G36="R0",K36&lt;&gt;"K5"),"R0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","")="","OK",IF(AND(G36="R0",K36&lt;&gt;"K5"),"R0 harus K5; ","")&amp;IF(AND(G36="R1",K36="K3"),"R1 tidak boleh K3 (fungsional); ","")&amp;IF(AND(G36="R2",K36="K5"),"R2 tidak boleh K5; ","")&amp;IF(AND(G36="R2",OR(F36="S6",F36="S7",F36="S8")),"R2 tidak boleh S6/S7/S8; ","")&amp;IF(AND(I36="P9",H36&lt;&gt;"T17"),"P9 hanya dengan T17; ","")&amp;IF(AND(OR(H36="T17",I36="P9"),G36&lt;&gt;"R0"),"T17/P9 harus R0; ","")&amp;IF(AND(H36="T01",I36&lt;&gt;"P6",N36=""),"T01 biasanya P6; jelaskan di V12; ","")&amp;IF(AND(I36="P1",K36&lt;&gt;"K4",N36=""),"P1 biasanya K4; jelaskan di V12; ","")))</f>
        <v/>
      </c>
      <c r="R36" s="17" t="str">
        <f aca="false">IF(INDEX(Korpus!$B:$B,$A36)="","",INDEX(Korpus!$B:$B,$A36))</f>
        <v>BAB IVHAK SUBJEK DATA PRIBADI</v>
      </c>
      <c r="S36" s="17" t="str">
        <f aca="false">IF(INDEX(Korpus!$C:$C,$A36)="","",INDEX(Korpus!$C:$C,$A36))</f>
        <v/>
      </c>
    </row>
    <row r="37" customFormat="false" ht="60" hidden="true" customHeight="true" outlineLevel="0" collapsed="false">
      <c r="A37" s="15" t="n">
        <v>37</v>
      </c>
      <c r="B37" s="16" t="str">
        <f aca="false">IF(Petunjuk!$C$4="","",Petunjuk!$C$4)</f>
        <v>fenny</v>
      </c>
      <c r="C37" s="17" t="str">
        <f aca="false">IF(INDEX(Korpus!$A:$A,$A37)="","",INDEX(Korpus!$A:$A,$A37))</f>
        <v>UU 27 Thn 2022 (PDP)</v>
      </c>
      <c r="D37" s="17" t="str">
        <f aca="false">TRIM(INDEX(Korpus!$D:$D,$A37)&amp;" "&amp;INDEX(Korpus!$E:$E,$A37))</f>
        <v>Pasal 10</v>
      </c>
      <c r="E37" s="17" t="str">
        <f aca="false">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aca="false">IF(COUNTA(F37:K37)=6,"Lengkap","Belum lengkap ("&amp;(6-COUNTA(F37:K37))&amp;")")</f>
        <v>Belum lengkap (6)</v>
      </c>
      <c r="Q37" s="17" t="str">
        <f aca="false">IF(COUNTA(F37:K37)&lt;6,"",IF(IF(AND(G37="R0",K37&lt;&gt;"K5"),"R0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","")="","OK",IF(AND(G37="R0",K37&lt;&gt;"K5"),"R0 harus K5; ","")&amp;IF(AND(G37="R1",K37="K3"),"R1 tidak boleh K3 (fungsional); ","")&amp;IF(AND(G37="R2",K37="K5"),"R2 tidak boleh K5; ","")&amp;IF(AND(G37="R2",OR(F37="S6",F37="S7",F37="S8")),"R2 tidak boleh S6/S7/S8; ","")&amp;IF(AND(I37="P9",H37&lt;&gt;"T17"),"P9 hanya dengan T17; ","")&amp;IF(AND(OR(H37="T17",I37="P9"),G37&lt;&gt;"R0"),"T17/P9 harus R0; ","")&amp;IF(AND(H37="T01",I37&lt;&gt;"P6",N37=""),"T01 biasanya P6; jelaskan di V12; ","")&amp;IF(AND(I37="P1",K37&lt;&gt;"K4",N37=""),"P1 biasanya K4; jelaskan di V12; ","")))</f>
        <v/>
      </c>
      <c r="R37" s="17" t="str">
        <f aca="false">IF(INDEX(Korpus!$B:$B,$A37)="","",INDEX(Korpus!$B:$B,$A37))</f>
        <v>BAB IVHAK SUBJEK DATA PRIBADI</v>
      </c>
      <c r="S37" s="17" t="str">
        <f aca="false">IF(INDEX(Korpus!$C:$C,$A37)="","",INDEX(Korpus!$C:$C,$A37))</f>
        <v/>
      </c>
    </row>
    <row r="38" customFormat="false" ht="60" hidden="true" customHeight="true" outlineLevel="0" collapsed="false">
      <c r="A38" s="15" t="n">
        <v>38</v>
      </c>
      <c r="B38" s="16" t="str">
        <f aca="false">IF(Petunjuk!$C$4="","",Petunjuk!$C$4)</f>
        <v>fenny</v>
      </c>
      <c r="C38" s="17" t="str">
        <f aca="false">IF(INDEX(Korpus!$A:$A,$A38)="","",INDEX(Korpus!$A:$A,$A38))</f>
        <v>UU 27 Thn 2022 (PDP)</v>
      </c>
      <c r="D38" s="17" t="str">
        <f aca="false">TRIM(INDEX(Korpus!$D:$D,$A38)&amp;" "&amp;INDEX(Korpus!$E:$E,$A38))</f>
        <v>Pasal 11</v>
      </c>
      <c r="E38" s="17" t="str">
        <f aca="false">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aca="false">IF(COUNTA(F38:K38)=6,"Lengkap","Belum lengkap ("&amp;(6-COUNTA(F38:K38))&amp;")")</f>
        <v>Belum lengkap (6)</v>
      </c>
      <c r="Q38" s="17" t="str">
        <f aca="false">IF(COUNTA(F38:K38)&lt;6,"",IF(IF(AND(G38="R0",K38&lt;&gt;"K5"),"R0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","")="","OK",IF(AND(G38="R0",K38&lt;&gt;"K5"),"R0 harus K5; ","")&amp;IF(AND(G38="R1",K38="K3"),"R1 tidak boleh K3 (fungsional); ","")&amp;IF(AND(G38="R2",K38="K5"),"R2 tidak boleh K5; ","")&amp;IF(AND(G38="R2",OR(F38="S6",F38="S7",F38="S8")),"R2 tidak boleh S6/S7/S8; ","")&amp;IF(AND(I38="P9",H38&lt;&gt;"T17"),"P9 hanya dengan T17; ","")&amp;IF(AND(OR(H38="T17",I38="P9"),G38&lt;&gt;"R0"),"T17/P9 harus R0; ","")&amp;IF(AND(H38="T01",I38&lt;&gt;"P6",N38=""),"T01 biasanya P6; jelaskan di V12; ","")&amp;IF(AND(I38="P1",K38&lt;&gt;"K4",N38=""),"P1 biasanya K4; jelaskan di V12; ","")))</f>
        <v/>
      </c>
      <c r="R38" s="17" t="str">
        <f aca="false">IF(INDEX(Korpus!$B:$B,$A38)="","",INDEX(Korpus!$B:$B,$A38))</f>
        <v>BAB IVHAK SUBJEK DATA PRIBADI</v>
      </c>
      <c r="S38" s="17" t="str">
        <f aca="false">IF(INDEX(Korpus!$C:$C,$A38)="","",INDEX(Korpus!$C:$C,$A38))</f>
        <v/>
      </c>
    </row>
    <row r="39" customFormat="false" ht="60" hidden="true" customHeight="true" outlineLevel="0" collapsed="false">
      <c r="A39" s="15" t="n">
        <v>39</v>
      </c>
      <c r="B39" s="16" t="str">
        <f aca="false">IF(Petunjuk!$C$4="","",Petunjuk!$C$4)</f>
        <v>fenny</v>
      </c>
      <c r="C39" s="17" t="str">
        <f aca="false">IF(INDEX(Korpus!$A:$A,$A39)="","",INDEX(Korpus!$A:$A,$A39))</f>
        <v>UU 27 Thn 2022 (PDP)</v>
      </c>
      <c r="D39" s="17" t="str">
        <f aca="false">TRIM(INDEX(Korpus!$D:$D,$A39)&amp;" "&amp;INDEX(Korpus!$E:$E,$A39))</f>
        <v>Pasal 12</v>
      </c>
      <c r="E39" s="17" t="str">
        <f aca="false">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aca="false">IF(COUNTA(F39:K39)=6,"Lengkap","Belum lengkap ("&amp;(6-COUNTA(F39:K39))&amp;")")</f>
        <v>Belum lengkap (6)</v>
      </c>
      <c r="Q39" s="17" t="str">
        <f aca="false">IF(COUNTA(F39:K39)&lt;6,"",IF(IF(AND(G39="R0",K39&lt;&gt;"K5"),"R0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","")="","OK",IF(AND(G39="R0",K39&lt;&gt;"K5"),"R0 harus K5; ","")&amp;IF(AND(G39="R1",K39="K3"),"R1 tidak boleh K3 (fungsional); ","")&amp;IF(AND(G39="R2",K39="K5"),"R2 tidak boleh K5; ","")&amp;IF(AND(G39="R2",OR(F39="S6",F39="S7",F39="S8")),"R2 tidak boleh S6/S7/S8; ","")&amp;IF(AND(I39="P9",H39&lt;&gt;"T17"),"P9 hanya dengan T17; ","")&amp;IF(AND(OR(H39="T17",I39="P9"),G39&lt;&gt;"R0"),"T17/P9 harus R0; ","")&amp;IF(AND(H39="T01",I39&lt;&gt;"P6",N39=""),"T01 biasanya P6; jelaskan di V12; ","")&amp;IF(AND(I39="P1",K39&lt;&gt;"K4",N39=""),"P1 biasanya K4; jelaskan di V12; ","")))</f>
        <v/>
      </c>
      <c r="R39" s="17" t="str">
        <f aca="false">IF(INDEX(Korpus!$B:$B,$A39)="","",INDEX(Korpus!$B:$B,$A39))</f>
        <v>BAB IVHAK SUBJEK DATA PRIBADI</v>
      </c>
      <c r="S39" s="17" t="str">
        <f aca="false">IF(INDEX(Korpus!$C:$C,$A39)="","",INDEX(Korpus!$C:$C,$A39))</f>
        <v/>
      </c>
    </row>
    <row r="40" customFormat="false" ht="60" hidden="true" customHeight="true" outlineLevel="0" collapsed="false">
      <c r="A40" s="15" t="n">
        <v>40</v>
      </c>
      <c r="B40" s="16" t="str">
        <f aca="false">IF(Petunjuk!$C$4="","",Petunjuk!$C$4)</f>
        <v>fenny</v>
      </c>
      <c r="C40" s="17" t="str">
        <f aca="false">IF(INDEX(Korpus!$A:$A,$A40)="","",INDEX(Korpus!$A:$A,$A40))</f>
        <v>UU 27 Thn 2022 (PDP)</v>
      </c>
      <c r="D40" s="17" t="str">
        <f aca="false">TRIM(INDEX(Korpus!$D:$D,$A40)&amp;" "&amp;INDEX(Korpus!$E:$E,$A40))</f>
        <v>Pasal 13</v>
      </c>
      <c r="E40" s="17" t="str">
        <f aca="false">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aca="false">IF(COUNTA(F40:K40)=6,"Lengkap","Belum lengkap ("&amp;(6-COUNTA(F40:K40))&amp;")")</f>
        <v>Belum lengkap (6)</v>
      </c>
      <c r="Q40" s="17" t="str">
        <f aca="false">IF(COUNTA(F40:K40)&lt;6,"",IF(IF(AND(G40="R0",K40&lt;&gt;"K5"),"R0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","")="","OK",IF(AND(G40="R0",K40&lt;&gt;"K5"),"R0 harus K5; ","")&amp;IF(AND(G40="R1",K40="K3"),"R1 tidak boleh K3 (fungsional); ","")&amp;IF(AND(G40="R2",K40="K5"),"R2 tidak boleh K5; ","")&amp;IF(AND(G40="R2",OR(F40="S6",F40="S7",F40="S8")),"R2 tidak boleh S6/S7/S8; ","")&amp;IF(AND(I40="P9",H40&lt;&gt;"T17"),"P9 hanya dengan T17; ","")&amp;IF(AND(OR(H40="T17",I40="P9"),G40&lt;&gt;"R0"),"T17/P9 harus R0; ","")&amp;IF(AND(H40="T01",I40&lt;&gt;"P6",N40=""),"T01 biasanya P6; jelaskan di V12; ","")&amp;IF(AND(I40="P1",K40&lt;&gt;"K4",N40=""),"P1 biasanya K4; jelaskan di V12; ","")))</f>
        <v/>
      </c>
      <c r="R40" s="17" t="str">
        <f aca="false">IF(INDEX(Korpus!$B:$B,$A40)="","",INDEX(Korpus!$B:$B,$A40))</f>
        <v>BAB IVHAK SUBJEK DATA PRIBADI</v>
      </c>
      <c r="S40" s="17" t="str">
        <f aca="false">IF(INDEX(Korpus!$C:$C,$A40)="","",INDEX(Korpus!$C:$C,$A40))</f>
        <v/>
      </c>
    </row>
    <row r="41" customFormat="false" ht="60" hidden="true" customHeight="true" outlineLevel="0" collapsed="false">
      <c r="A41" s="15" t="n">
        <v>41</v>
      </c>
      <c r="B41" s="16" t="str">
        <f aca="false">IF(Petunjuk!$C$4="","",Petunjuk!$C$4)</f>
        <v>fenny</v>
      </c>
      <c r="C41" s="17" t="str">
        <f aca="false">IF(INDEX(Korpus!$A:$A,$A41)="","",INDEX(Korpus!$A:$A,$A41))</f>
        <v>UU 27 Thn 2022 (PDP)</v>
      </c>
      <c r="D41" s="17" t="str">
        <f aca="false">TRIM(INDEX(Korpus!$D:$D,$A41)&amp;" "&amp;INDEX(Korpus!$E:$E,$A41))</f>
        <v>Pasal 14</v>
      </c>
      <c r="E41" s="17" t="str">
        <f aca="false">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aca="false">IF(COUNTA(F41:K41)=6,"Lengkap","Belum lengkap ("&amp;(6-COUNTA(F41:K41))&amp;")")</f>
        <v>Belum lengkap (6)</v>
      </c>
      <c r="Q41" s="17" t="str">
        <f aca="false">IF(COUNTA(F41:K41)&lt;6,"",IF(IF(AND(G41="R0",K41&lt;&gt;"K5"),"R0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","")="","OK",IF(AND(G41="R0",K41&lt;&gt;"K5"),"R0 harus K5; ","")&amp;IF(AND(G41="R1",K41="K3"),"R1 tidak boleh K3 (fungsional); ","")&amp;IF(AND(G41="R2",K41="K5"),"R2 tidak boleh K5; ","")&amp;IF(AND(G41="R2",OR(F41="S6",F41="S7",F41="S8")),"R2 tidak boleh S6/S7/S8; ","")&amp;IF(AND(I41="P9",H41&lt;&gt;"T17"),"P9 hanya dengan T17; ","")&amp;IF(AND(OR(H41="T17",I41="P9"),G41&lt;&gt;"R0"),"T17/P9 harus R0; ","")&amp;IF(AND(H41="T01",I41&lt;&gt;"P6",N41=""),"T01 biasanya P6; jelaskan di V12; ","")&amp;IF(AND(I41="P1",K41&lt;&gt;"K4",N41=""),"P1 biasanya K4; jelaskan di V12; ","")))</f>
        <v/>
      </c>
      <c r="R41" s="17" t="str">
        <f aca="false">IF(INDEX(Korpus!$B:$B,$A41)="","",INDEX(Korpus!$B:$B,$A41))</f>
        <v>BAB IVHAK SUBJEK DATA PRIBADI</v>
      </c>
      <c r="S41" s="17" t="str">
        <f aca="false">IF(INDEX(Korpus!$C:$C,$A41)="","",INDEX(Korpus!$C:$C,$A41))</f>
        <v/>
      </c>
    </row>
    <row r="42" customFormat="false" ht="60" hidden="false" customHeight="true" outlineLevel="0" collapsed="false">
      <c r="A42" s="15" t="n">
        <v>42</v>
      </c>
      <c r="B42" s="16" t="str">
        <f aca="false">IF(Petunjuk!$C$4="","",Petunjuk!$C$4)</f>
        <v>fenny</v>
      </c>
      <c r="C42" s="17" t="str">
        <f aca="false">IF(INDEX(Korpus!$A:$A,$A42)="","",INDEX(Korpus!$A:$A,$A42))</f>
        <v>UU 27 Thn 2022 (PDP)</v>
      </c>
      <c r="D42" s="17" t="str">
        <f aca="false">TRIM(INDEX(Korpus!$D:$D,$A42)&amp;" "&amp;INDEX(Korpus!$E:$E,$A42))</f>
        <v>Pasal 15</v>
      </c>
      <c r="E42" s="17" t="str">
        <f aca="false">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62</v>
      </c>
      <c r="G42" s="18" t="s">
        <v>63</v>
      </c>
      <c r="H42" s="18" t="s">
        <v>82</v>
      </c>
      <c r="I42" s="18" t="s">
        <v>83</v>
      </c>
      <c r="J42" s="18" t="s">
        <v>84</v>
      </c>
      <c r="K42" s="18" t="s">
        <v>85</v>
      </c>
      <c r="L42" s="18"/>
      <c r="M42" s="19"/>
      <c r="N42" s="19"/>
      <c r="O42" s="15" t="s">
        <v>69</v>
      </c>
      <c r="P42" s="17" t="str">
        <f aca="false">IF(COUNTA(F42:K42)=6,"Lengkap","Belum lengkap ("&amp;(6-COUNTA(F42:K42))&amp;")")</f>
        <v>Lengkap</v>
      </c>
      <c r="Q42" s="17" t="str">
        <f aca="false">IF(COUNTA(F42:K42)&lt;6,"",IF(IF(AND(G42="R0",K42&lt;&gt;"K5"),"R0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","")="","OK",IF(AND(G42="R0",K42&lt;&gt;"K5"),"R0 harus K5; ","")&amp;IF(AND(G42="R1",K42="K3"),"R1 tidak boleh K3 (fungsional); ","")&amp;IF(AND(G42="R2",K42="K5"),"R2 tidak boleh K5; ","")&amp;IF(AND(G42="R2",OR(F42="S6",F42="S7",F42="S8")),"R2 tidak boleh S6/S7/S8; ","")&amp;IF(AND(I42="P9",H42&lt;&gt;"T17"),"P9 hanya dengan T17; ","")&amp;IF(AND(OR(H42="T17",I42="P9"),G42&lt;&gt;"R0"),"T17/P9 harus R0; ","")&amp;IF(AND(H42="T01",I42&lt;&gt;"P6",N42=""),"T01 biasanya P6; jelaskan di V12; ","")&amp;IF(AND(I42="P1",K42&lt;&gt;"K4",N42=""),"P1 biasanya K4; jelaskan di V12; ","")))</f>
        <v>OK</v>
      </c>
      <c r="R42" s="17" t="str">
        <f aca="false">IF(INDEX(Korpus!$B:$B,$A42)="","",INDEX(Korpus!$B:$B,$A42))</f>
        <v>BAB IVHAK SUBJEK DATA PRIBADI</v>
      </c>
      <c r="S42" s="17" t="str">
        <f aca="false">IF(INDEX(Korpus!$C:$C,$A42)="","",INDEX(Korpus!$C:$C,$A42))</f>
        <v/>
      </c>
    </row>
    <row r="43" customFormat="false" ht="60" hidden="true" customHeight="true" outlineLevel="0" collapsed="false">
      <c r="A43" s="15" t="n">
        <v>43</v>
      </c>
      <c r="B43" s="16" t="str">
        <f aca="false">IF(Petunjuk!$C$4="","",Petunjuk!$C$4)</f>
        <v>fenny</v>
      </c>
      <c r="C43" s="17" t="str">
        <f aca="false">IF(INDEX(Korpus!$A:$A,$A43)="","",INDEX(Korpus!$A:$A,$A43))</f>
        <v>UU 27 Thn 2022 (PDP)</v>
      </c>
      <c r="D43" s="17" t="str">
        <f aca="false">TRIM(INDEX(Korpus!$D:$D,$A43)&amp;" "&amp;INDEX(Korpus!$E:$E,$A43))</f>
        <v>Pasal 16</v>
      </c>
      <c r="E43" s="17" t="str">
        <f aca="false">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aca="false">IF(COUNTA(F43:K43)=6,"Lengkap","Belum lengkap ("&amp;(6-COUNTA(F43:K43))&amp;")")</f>
        <v>Belum lengkap (6)</v>
      </c>
      <c r="Q43" s="17" t="str">
        <f aca="false">IF(COUNTA(F43:K43)&lt;6,"",IF(IF(AND(G43="R0",K43&lt;&gt;"K5"),"R0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","")="","OK",IF(AND(G43="R0",K43&lt;&gt;"K5"),"R0 harus K5; ","")&amp;IF(AND(G43="R1",K43="K3"),"R1 tidak boleh K3 (fungsional); ","")&amp;IF(AND(G43="R2",K43="K5"),"R2 tidak boleh K5; ","")&amp;IF(AND(G43="R2",OR(F43="S6",F43="S7",F43="S8")),"R2 tidak boleh S6/S7/S8; ","")&amp;IF(AND(I43="P9",H43&lt;&gt;"T17"),"P9 hanya dengan T17; ","")&amp;IF(AND(OR(H43="T17",I43="P9"),G43&lt;&gt;"R0"),"T17/P9 harus R0; ","")&amp;IF(AND(H43="T01",I43&lt;&gt;"P6",N43=""),"T01 biasanya P6; jelaskan di V12; ","")&amp;IF(AND(I43="P1",K43&lt;&gt;"K4",N43=""),"P1 biasanya K4; jelaskan di V12; ","")))</f>
        <v/>
      </c>
      <c r="R43" s="17" t="str">
        <f aca="false">IF(INDEX(Korpus!$B:$B,$A43)="","",INDEX(Korpus!$B:$B,$A43))</f>
        <v>BAB VPEMROSESAN DATA PRIBADI</v>
      </c>
      <c r="S43" s="17" t="str">
        <f aca="false">IF(INDEX(Korpus!$C:$C,$A43)="","",INDEX(Korpus!$C:$C,$A43))</f>
        <v/>
      </c>
    </row>
    <row r="44" customFormat="false" ht="60" hidden="false" customHeight="true" outlineLevel="0" collapsed="false">
      <c r="A44" s="15" t="n">
        <v>44</v>
      </c>
      <c r="B44" s="16" t="str">
        <f aca="false">IF(Petunjuk!$C$4="","",Petunjuk!$C$4)</f>
        <v>fenny</v>
      </c>
      <c r="C44" s="17" t="str">
        <f aca="false">IF(INDEX(Korpus!$A:$A,$A44)="","",INDEX(Korpus!$A:$A,$A44))</f>
        <v>UU 27 Thn 2022 (PDP)</v>
      </c>
      <c r="D44" s="17" t="str">
        <f aca="false">TRIM(INDEX(Korpus!$D:$D,$A44)&amp;" "&amp;INDEX(Korpus!$E:$E,$A44))</f>
        <v>Pasal 17</v>
      </c>
      <c r="E44" s="17" t="str">
        <f aca="false">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86</v>
      </c>
      <c r="G44" s="18" t="s">
        <v>87</v>
      </c>
      <c r="H44" s="18" t="s">
        <v>88</v>
      </c>
      <c r="I44" s="18" t="s">
        <v>75</v>
      </c>
      <c r="J44" s="18" t="s">
        <v>84</v>
      </c>
      <c r="K44" s="18" t="s">
        <v>77</v>
      </c>
      <c r="L44" s="18"/>
      <c r="M44" s="19"/>
      <c r="N44" s="19"/>
      <c r="O44" s="15" t="s">
        <v>69</v>
      </c>
      <c r="P44" s="17" t="str">
        <f aca="false">IF(COUNTA(F44:K44)=6,"Lengkap","Belum lengkap ("&amp;(6-COUNTA(F44:K44))&amp;")")</f>
        <v>Lengkap</v>
      </c>
      <c r="Q44" s="17" t="str">
        <f aca="false">IF(COUNTA(F44:K44)&lt;6,"",IF(IF(AND(G44="R0",K44&lt;&gt;"K5"),"R0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","")="","OK",IF(AND(G44="R0",K44&lt;&gt;"K5"),"R0 harus K5; ","")&amp;IF(AND(G44="R1",K44="K3"),"R1 tidak boleh K3 (fungsional); ","")&amp;IF(AND(G44="R2",K44="K5"),"R2 tidak boleh K5; ","")&amp;IF(AND(G44="R2",OR(F44="S6",F44="S7",F44="S8")),"R2 tidak boleh S6/S7/S8; ","")&amp;IF(AND(I44="P9",H44&lt;&gt;"T17"),"P9 hanya dengan T17; ","")&amp;IF(AND(OR(H44="T17",I44="P9"),G44&lt;&gt;"R0"),"T17/P9 harus R0; ","")&amp;IF(AND(H44="T01",I44&lt;&gt;"P6",N44=""),"T01 biasanya P6; jelaskan di V12; ","")&amp;IF(AND(I44="P1",K44&lt;&gt;"K4",N44=""),"P1 biasanya K4; jelaskan di V12; ","")))</f>
        <v>OK</v>
      </c>
      <c r="R44" s="17" t="str">
        <f aca="false">IF(INDEX(Korpus!$B:$B,$A44)="","",INDEX(Korpus!$B:$B,$A44))</f>
        <v>BAB VPEMROSESAN DATA PRIBADI</v>
      </c>
      <c r="S44" s="17" t="str">
        <f aca="false">IF(INDEX(Korpus!$C:$C,$A44)="","",INDEX(Korpus!$C:$C,$A44))</f>
        <v/>
      </c>
    </row>
    <row r="45" customFormat="false" ht="60" hidden="true" customHeight="true" outlineLevel="0" collapsed="false">
      <c r="A45" s="15" t="n">
        <v>45</v>
      </c>
      <c r="B45" s="16" t="str">
        <f aca="false">IF(Petunjuk!$C$4="","",Petunjuk!$C$4)</f>
        <v>fenny</v>
      </c>
      <c r="C45" s="17" t="str">
        <f aca="false">IF(INDEX(Korpus!$A:$A,$A45)="","",INDEX(Korpus!$A:$A,$A45))</f>
        <v>UU 27 Thn 2022 (PDP)</v>
      </c>
      <c r="D45" s="17" t="str">
        <f aca="false">TRIM(INDEX(Korpus!$D:$D,$A45)&amp;" "&amp;INDEX(Korpus!$E:$E,$A45))</f>
        <v>Pasal 18</v>
      </c>
      <c r="E45" s="17" t="str">
        <f aca="false">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aca="false">IF(COUNTA(F45:K45)=6,"Lengkap","Belum lengkap ("&amp;(6-COUNTA(F45:K45))&amp;")")</f>
        <v>Belum lengkap (6)</v>
      </c>
      <c r="Q45" s="17" t="str">
        <f aca="false">IF(COUNTA(F45:K45)&lt;6,"",IF(IF(AND(G45="R0",K45&lt;&gt;"K5"),"R0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","")="","OK",IF(AND(G45="R0",K45&lt;&gt;"K5"),"R0 harus K5; ","")&amp;IF(AND(G45="R1",K45="K3"),"R1 tidak boleh K3 (fungsional); ","")&amp;IF(AND(G45="R2",K45="K5"),"R2 tidak boleh K5; ","")&amp;IF(AND(G45="R2",OR(F45="S6",F45="S7",F45="S8")),"R2 tidak boleh S6/S7/S8; ","")&amp;IF(AND(I45="P9",H45&lt;&gt;"T17"),"P9 hanya dengan T17; ","")&amp;IF(AND(OR(H45="T17",I45="P9"),G45&lt;&gt;"R0"),"T17/P9 harus R0; ","")&amp;IF(AND(H45="T01",I45&lt;&gt;"P6",N45=""),"T01 biasanya P6; jelaskan di V12; ","")&amp;IF(AND(I45="P1",K45&lt;&gt;"K4",N45=""),"P1 biasanya K4; jelaskan di V12; ","")))</f>
        <v/>
      </c>
      <c r="R45" s="17" t="str">
        <f aca="false">IF(INDEX(Korpus!$B:$B,$A45)="","",INDEX(Korpus!$B:$B,$A45))</f>
        <v>BAB VPEMROSESAN DATA PRIBADI</v>
      </c>
      <c r="S45" s="17" t="str">
        <f aca="false">IF(INDEX(Korpus!$C:$C,$A45)="","",INDEX(Korpus!$C:$C,$A45))</f>
        <v/>
      </c>
    </row>
    <row r="46" customFormat="false" ht="60" hidden="true" customHeight="true" outlineLevel="0" collapsed="false">
      <c r="A46" s="15" t="n">
        <v>46</v>
      </c>
      <c r="B46" s="16" t="str">
        <f aca="false">IF(Petunjuk!$C$4="","",Petunjuk!$C$4)</f>
        <v>fenny</v>
      </c>
      <c r="C46" s="17" t="str">
        <f aca="false">IF(INDEX(Korpus!$A:$A,$A46)="","",INDEX(Korpus!$A:$A,$A46))</f>
        <v>UU 27 Thn 2022 (PDP)</v>
      </c>
      <c r="D46" s="17" t="str">
        <f aca="false">TRIM(INDEX(Korpus!$D:$D,$A46)&amp;" "&amp;INDEX(Korpus!$E:$E,$A46))</f>
        <v>Pasal 19</v>
      </c>
      <c r="E46" s="17" t="str">
        <f aca="false">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aca="false">IF(COUNTA(F46:K46)=6,"Lengkap","Belum lengkap ("&amp;(6-COUNTA(F46:K46))&amp;")")</f>
        <v>Belum lengkap (6)</v>
      </c>
      <c r="Q46" s="17" t="str">
        <f aca="false">IF(COUNTA(F46:K46)&lt;6,"",IF(IF(AND(G46="R0",K46&lt;&gt;"K5"),"R0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","")="","OK",IF(AND(G46="R0",K46&lt;&gt;"K5"),"R0 harus K5; ","")&amp;IF(AND(G46="R1",K46="K3"),"R1 tidak boleh K3 (fungsional); ","")&amp;IF(AND(G46="R2",K46="K5"),"R2 tidak boleh K5; ","")&amp;IF(AND(G46="R2",OR(F46="S6",F46="S7",F46="S8")),"R2 tidak boleh S6/S7/S8; ","")&amp;IF(AND(I46="P9",H46&lt;&gt;"T17"),"P9 hanya dengan T17; ","")&amp;IF(AND(OR(H46="T17",I46="P9"),G46&lt;&gt;"R0"),"T17/P9 harus R0; ","")&amp;IF(AND(H46="T01",I46&lt;&gt;"P6",N46=""),"T01 biasanya P6; jelaskan di V12; ","")&amp;IF(AND(I46="P1",K46&lt;&gt;"K4",N46=""),"P1 biasanya K4; jelaskan di V12; ","")))</f>
        <v/>
      </c>
      <c r="R46" s="17" t="str">
        <f aca="false">IF(INDEX(Korpus!$B:$B,$A46)="","",INDEX(Korpus!$B:$B,$A46))</f>
        <v>BAB VIKEWAJIBAN PENGENDALI DATA PRIBADI DAN PROSESOR DATA PRIBADI DALAM PEMROSESAN DATA PRIBADI</v>
      </c>
      <c r="S46" s="17" t="str">
        <f aca="false">IF(INDEX(Korpus!$C:$C,$A46)="","",INDEX(Korpus!$C:$C,$A46))</f>
        <v>Bagian KesatuUmum</v>
      </c>
    </row>
    <row r="47" customFormat="false" ht="60" hidden="true" customHeight="true" outlineLevel="0" collapsed="false">
      <c r="A47" s="15" t="n">
        <v>47</v>
      </c>
      <c r="B47" s="16" t="str">
        <f aca="false">IF(Petunjuk!$C$4="","",Petunjuk!$C$4)</f>
        <v>fenny</v>
      </c>
      <c r="C47" s="17" t="str">
        <f aca="false">IF(INDEX(Korpus!$A:$A,$A47)="","",INDEX(Korpus!$A:$A,$A47))</f>
        <v>UU 27 Thn 2022 (PDP)</v>
      </c>
      <c r="D47" s="17" t="str">
        <f aca="false">TRIM(INDEX(Korpus!$D:$D,$A47)&amp;" "&amp;INDEX(Korpus!$E:$E,$A47))</f>
        <v>Pasal 20</v>
      </c>
      <c r="E47" s="17" t="str">
        <f aca="false">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aca="false">IF(COUNTA(F47:K47)=6,"Lengkap","Belum lengkap ("&amp;(6-COUNTA(F47:K47))&amp;")")</f>
        <v>Belum lengkap (6)</v>
      </c>
      <c r="Q47" s="17" t="str">
        <f aca="false">IF(COUNTA(F47:K47)&lt;6,"",IF(IF(AND(G47="R0",K47&lt;&gt;"K5"),"R0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","")="","OK",IF(AND(G47="R0",K47&lt;&gt;"K5"),"R0 harus K5; ","")&amp;IF(AND(G47="R1",K47="K3"),"R1 tidak boleh K3 (fungsional); ","")&amp;IF(AND(G47="R2",K47="K5"),"R2 tidak boleh K5; ","")&amp;IF(AND(G47="R2",OR(F47="S6",F47="S7",F47="S8")),"R2 tidak boleh S6/S7/S8; ","")&amp;IF(AND(I47="P9",H47&lt;&gt;"T17"),"P9 hanya dengan T17; ","")&amp;IF(AND(OR(H47="T17",I47="P9"),G47&lt;&gt;"R0"),"T17/P9 harus R0; ","")&amp;IF(AND(H47="T01",I47&lt;&gt;"P6",N47=""),"T01 biasanya P6; jelaskan di V12; ","")&amp;IF(AND(I47="P1",K47&lt;&gt;"K4",N47=""),"P1 biasanya K4; jelaskan di V12; ","")))</f>
        <v/>
      </c>
      <c r="R47" s="17" t="str">
        <f aca="false">IF(INDEX(Korpus!$B:$B,$A47)="","",INDEX(Korpus!$B:$B,$A47))</f>
        <v>BAB VIKEWAJIBAN PENGENDALI DATA PRIBADI DAN PROSESOR DATA PRIBADI DALAM PEMROSESAN DATA PRIBADI</v>
      </c>
      <c r="S47" s="17" t="str">
        <f aca="false">IF(INDEX(Korpus!$C:$C,$A47)="","",INDEX(Korpus!$C:$C,$A47))</f>
        <v>Bagian Kedua Kewajiban Pengendali Data Pribadi</v>
      </c>
    </row>
    <row r="48" customFormat="false" ht="60" hidden="true" customHeight="true" outlineLevel="0" collapsed="false">
      <c r="A48" s="15" t="n">
        <v>48</v>
      </c>
      <c r="B48" s="16" t="str">
        <f aca="false">IF(Petunjuk!$C$4="","",Petunjuk!$C$4)</f>
        <v>fenny</v>
      </c>
      <c r="C48" s="17" t="str">
        <f aca="false">IF(INDEX(Korpus!$A:$A,$A48)="","",INDEX(Korpus!$A:$A,$A48))</f>
        <v>UU 27 Thn 2022 (PDP)</v>
      </c>
      <c r="D48" s="17" t="str">
        <f aca="false">TRIM(INDEX(Korpus!$D:$D,$A48)&amp;" "&amp;INDEX(Korpus!$E:$E,$A48))</f>
        <v>Pasal 21</v>
      </c>
      <c r="E48" s="17" t="str">
        <f aca="false">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aca="false">IF(COUNTA(F48:K48)=6,"Lengkap","Belum lengkap ("&amp;(6-COUNTA(F48:K48))&amp;")")</f>
        <v>Belum lengkap (6)</v>
      </c>
      <c r="Q48" s="17" t="str">
        <f aca="false">IF(COUNTA(F48:K48)&lt;6,"",IF(IF(AND(G48="R0",K48&lt;&gt;"K5"),"R0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","")="","OK",IF(AND(G48="R0",K48&lt;&gt;"K5"),"R0 harus K5; ","")&amp;IF(AND(G48="R1",K48="K3"),"R1 tidak boleh K3 (fungsional); ","")&amp;IF(AND(G48="R2",K48="K5"),"R2 tidak boleh K5; ","")&amp;IF(AND(G48="R2",OR(F48="S6",F48="S7",F48="S8")),"R2 tidak boleh S6/S7/S8; ","")&amp;IF(AND(I48="P9",H48&lt;&gt;"T17"),"P9 hanya dengan T17; ","")&amp;IF(AND(OR(H48="T17",I48="P9"),G48&lt;&gt;"R0"),"T17/P9 harus R0; ","")&amp;IF(AND(H48="T01",I48&lt;&gt;"P6",N48=""),"T01 biasanya P6; jelaskan di V12; ","")&amp;IF(AND(I48="P1",K48&lt;&gt;"K4",N48=""),"P1 biasanya K4; jelaskan di V12; ","")))</f>
        <v/>
      </c>
      <c r="R48" s="17" t="str">
        <f aca="false">IF(INDEX(Korpus!$B:$B,$A48)="","",INDEX(Korpus!$B:$B,$A48))</f>
        <v>BAB VIKEWAJIBAN PENGENDALI DATA PRIBADI DAN PROSESOR DATA PRIBADI DALAM PEMROSESAN DATA PRIBADI</v>
      </c>
      <c r="S48" s="17" t="str">
        <f aca="false">IF(INDEX(Korpus!$C:$C,$A48)="","",INDEX(Korpus!$C:$C,$A48))</f>
        <v>Bagian Kedua Kewajiban Pengendali Data Pribadi</v>
      </c>
    </row>
    <row r="49" customFormat="false" ht="60" hidden="true" customHeight="true" outlineLevel="0" collapsed="false">
      <c r="A49" s="15" t="n">
        <v>49</v>
      </c>
      <c r="B49" s="16" t="str">
        <f aca="false">IF(Petunjuk!$C$4="","",Petunjuk!$C$4)</f>
        <v>fenny</v>
      </c>
      <c r="C49" s="17" t="str">
        <f aca="false">IF(INDEX(Korpus!$A:$A,$A49)="","",INDEX(Korpus!$A:$A,$A49))</f>
        <v>UU 27 Thn 2022 (PDP)</v>
      </c>
      <c r="D49" s="17" t="str">
        <f aca="false">TRIM(INDEX(Korpus!$D:$D,$A49)&amp;" "&amp;INDEX(Korpus!$E:$E,$A49))</f>
        <v>Pasal 22</v>
      </c>
      <c r="E49" s="17" t="str">
        <f aca="false">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aca="false">IF(COUNTA(F49:K49)=6,"Lengkap","Belum lengkap ("&amp;(6-COUNTA(F49:K49))&amp;")")</f>
        <v>Belum lengkap (6)</v>
      </c>
      <c r="Q49" s="17" t="str">
        <f aca="false">IF(COUNTA(F49:K49)&lt;6,"",IF(IF(AND(G49="R0",K49&lt;&gt;"K5"),"R0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","")="","OK",IF(AND(G49="R0",K49&lt;&gt;"K5"),"R0 harus K5; ","")&amp;IF(AND(G49="R1",K49="K3"),"R1 tidak boleh K3 (fungsional); ","")&amp;IF(AND(G49="R2",K49="K5"),"R2 tidak boleh K5; ","")&amp;IF(AND(G49="R2",OR(F49="S6",F49="S7",F49="S8")),"R2 tidak boleh S6/S7/S8; ","")&amp;IF(AND(I49="P9",H49&lt;&gt;"T17"),"P9 hanya dengan T17; ","")&amp;IF(AND(OR(H49="T17",I49="P9"),G49&lt;&gt;"R0"),"T17/P9 harus R0; ","")&amp;IF(AND(H49="T01",I49&lt;&gt;"P6",N49=""),"T01 biasanya P6; jelaskan di V12; ","")&amp;IF(AND(I49="P1",K49&lt;&gt;"K4",N49=""),"P1 biasanya K4; jelaskan di V12; ","")))</f>
        <v/>
      </c>
      <c r="R49" s="17" t="str">
        <f aca="false">IF(INDEX(Korpus!$B:$B,$A49)="","",INDEX(Korpus!$B:$B,$A49))</f>
        <v>BAB VIKEWAJIBAN PENGENDALI DATA PRIBADI DAN PROSESOR DATA PRIBADI DALAM PEMROSESAN DATA PRIBADI</v>
      </c>
      <c r="S49" s="17" t="str">
        <f aca="false">IF(INDEX(Korpus!$C:$C,$A49)="","",INDEX(Korpus!$C:$C,$A49))</f>
        <v>Bagian Kedua Kewajiban Pengendali Data Pribadi</v>
      </c>
    </row>
    <row r="50" customFormat="false" ht="60" hidden="true" customHeight="true" outlineLevel="0" collapsed="false">
      <c r="A50" s="15" t="n">
        <v>50</v>
      </c>
      <c r="B50" s="16" t="str">
        <f aca="false">IF(Petunjuk!$C$4="","",Petunjuk!$C$4)</f>
        <v>fenny</v>
      </c>
      <c r="C50" s="17" t="str">
        <f aca="false">IF(INDEX(Korpus!$A:$A,$A50)="","",INDEX(Korpus!$A:$A,$A50))</f>
        <v>UU 27 Thn 2022 (PDP)</v>
      </c>
      <c r="D50" s="17" t="str">
        <f aca="false">TRIM(INDEX(Korpus!$D:$D,$A50)&amp;" "&amp;INDEX(Korpus!$E:$E,$A50))</f>
        <v>Pasal 23</v>
      </c>
      <c r="E50" s="17" t="str">
        <f aca="false">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aca="false">IF(COUNTA(F50:K50)=6,"Lengkap","Belum lengkap ("&amp;(6-COUNTA(F50:K50))&amp;")")</f>
        <v>Belum lengkap (6)</v>
      </c>
      <c r="Q50" s="17" t="str">
        <f aca="false">IF(COUNTA(F50:K50)&lt;6,"",IF(IF(AND(G50="R0",K50&lt;&gt;"K5"),"R0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","")="","OK",IF(AND(G50="R0",K50&lt;&gt;"K5"),"R0 harus K5; ","")&amp;IF(AND(G50="R1",K50="K3"),"R1 tidak boleh K3 (fungsional); ","")&amp;IF(AND(G50="R2",K50="K5"),"R2 tidak boleh K5; ","")&amp;IF(AND(G50="R2",OR(F50="S6",F50="S7",F50="S8")),"R2 tidak boleh S6/S7/S8; ","")&amp;IF(AND(I50="P9",H50&lt;&gt;"T17"),"P9 hanya dengan T17; ","")&amp;IF(AND(OR(H50="T17",I50="P9"),G50&lt;&gt;"R0"),"T17/P9 harus R0; ","")&amp;IF(AND(H50="T01",I50&lt;&gt;"P6",N50=""),"T01 biasanya P6; jelaskan di V12; ","")&amp;IF(AND(I50="P1",K50&lt;&gt;"K4",N50=""),"P1 biasanya K4; jelaskan di V12; ","")))</f>
        <v/>
      </c>
      <c r="R50" s="17" t="str">
        <f aca="false">IF(INDEX(Korpus!$B:$B,$A50)="","",INDEX(Korpus!$B:$B,$A50))</f>
        <v>BAB VIKEWAJIBAN PENGENDALI DATA PRIBADI DAN PROSESOR DATA PRIBADI DALAM PEMROSESAN DATA PRIBADI</v>
      </c>
      <c r="S50" s="17" t="str">
        <f aca="false">IF(INDEX(Korpus!$C:$C,$A50)="","",INDEX(Korpus!$C:$C,$A50))</f>
        <v>Bagian Kedua Kewajiban Pengendali Data Pribadi</v>
      </c>
    </row>
    <row r="51" customFormat="false" ht="60" hidden="true" customHeight="true" outlineLevel="0" collapsed="false">
      <c r="A51" s="15" t="n">
        <v>51</v>
      </c>
      <c r="B51" s="16" t="str">
        <f aca="false">IF(Petunjuk!$C$4="","",Petunjuk!$C$4)</f>
        <v>fenny</v>
      </c>
      <c r="C51" s="17" t="str">
        <f aca="false">IF(INDEX(Korpus!$A:$A,$A51)="","",INDEX(Korpus!$A:$A,$A51))</f>
        <v>UU 27 Thn 2022 (PDP)</v>
      </c>
      <c r="D51" s="17" t="str">
        <f aca="false">TRIM(INDEX(Korpus!$D:$D,$A51)&amp;" "&amp;INDEX(Korpus!$E:$E,$A51))</f>
        <v>Pasal 24</v>
      </c>
      <c r="E51" s="17" t="str">
        <f aca="false">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aca="false">IF(COUNTA(F51:K51)=6,"Lengkap","Belum lengkap ("&amp;(6-COUNTA(F51:K51))&amp;")")</f>
        <v>Belum lengkap (6)</v>
      </c>
      <c r="Q51" s="17" t="str">
        <f aca="false">IF(COUNTA(F51:K51)&lt;6,"",IF(IF(AND(G51="R0",K51&lt;&gt;"K5"),"R0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","")="","OK",IF(AND(G51="R0",K51&lt;&gt;"K5"),"R0 harus K5; ","")&amp;IF(AND(G51="R1",K51="K3"),"R1 tidak boleh K3 (fungsional); ","")&amp;IF(AND(G51="R2",K51="K5"),"R2 tidak boleh K5; ","")&amp;IF(AND(G51="R2",OR(F51="S6",F51="S7",F51="S8")),"R2 tidak boleh S6/S7/S8; ","")&amp;IF(AND(I51="P9",H51&lt;&gt;"T17"),"P9 hanya dengan T17; ","")&amp;IF(AND(OR(H51="T17",I51="P9"),G51&lt;&gt;"R0"),"T17/P9 harus R0; ","")&amp;IF(AND(H51="T01",I51&lt;&gt;"P6",N51=""),"T01 biasanya P6; jelaskan di V12; ","")&amp;IF(AND(I51="P1",K51&lt;&gt;"K4",N51=""),"P1 biasanya K4; jelaskan di V12; ","")))</f>
        <v/>
      </c>
      <c r="R51" s="17" t="str">
        <f aca="false">IF(INDEX(Korpus!$B:$B,$A51)="","",INDEX(Korpus!$B:$B,$A51))</f>
        <v>BAB VIKEWAJIBAN PENGENDALI DATA PRIBADI DAN PROSESOR DATA PRIBADI DALAM PEMROSESAN DATA PRIBADI</v>
      </c>
      <c r="S51" s="17" t="str">
        <f aca="false">IF(INDEX(Korpus!$C:$C,$A51)="","",INDEX(Korpus!$C:$C,$A51))</f>
        <v>Bagian Kedua Kewajiban Pengendali Data Pribadi</v>
      </c>
    </row>
    <row r="52" customFormat="false" ht="60" hidden="false" customHeight="true" outlineLevel="0" collapsed="false">
      <c r="A52" s="15" t="n">
        <v>52</v>
      </c>
      <c r="B52" s="16" t="str">
        <f aca="false">IF(Petunjuk!$C$4="","",Petunjuk!$C$4)</f>
        <v>fenny</v>
      </c>
      <c r="C52" s="17" t="str">
        <f aca="false">IF(INDEX(Korpus!$A:$A,$A52)="","",INDEX(Korpus!$A:$A,$A52))</f>
        <v>UU 27 Thn 2022 (PDP)</v>
      </c>
      <c r="D52" s="17" t="str">
        <f aca="false">TRIM(INDEX(Korpus!$D:$D,$A52)&amp;" "&amp;INDEX(Korpus!$E:$E,$A52))</f>
        <v>Pasal 25</v>
      </c>
      <c r="E52" s="17" t="str">
        <f aca="false">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89</v>
      </c>
      <c r="G52" s="18" t="s">
        <v>63</v>
      </c>
      <c r="H52" s="18" t="s">
        <v>90</v>
      </c>
      <c r="I52" s="18" t="s">
        <v>71</v>
      </c>
      <c r="J52" s="18" t="s">
        <v>76</v>
      </c>
      <c r="K52" s="18" t="s">
        <v>67</v>
      </c>
      <c r="L52" s="18"/>
      <c r="M52" s="19"/>
      <c r="N52" s="19"/>
      <c r="O52" s="15" t="s">
        <v>69</v>
      </c>
      <c r="P52" s="17" t="str">
        <f aca="false">IF(COUNTA(F52:K52)=6,"Lengkap","Belum lengkap ("&amp;(6-COUNTA(F52:K52))&amp;")")</f>
        <v>Lengkap</v>
      </c>
      <c r="Q52" s="17" t="str">
        <f aca="false">IF(COUNTA(F52:K52)&lt;6,"",IF(IF(AND(G52="R0",K52&lt;&gt;"K5"),"R0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","")="","OK",IF(AND(G52="R0",K52&lt;&gt;"K5"),"R0 harus K5; ","")&amp;IF(AND(G52="R1",K52="K3"),"R1 tidak boleh K3 (fungsional); ","")&amp;IF(AND(G52="R2",K52="K5"),"R2 tidak boleh K5; ","")&amp;IF(AND(G52="R2",OR(F52="S6",F52="S7",F52="S8")),"R2 tidak boleh S6/S7/S8; ","")&amp;IF(AND(I52="P9",H52&lt;&gt;"T17"),"P9 hanya dengan T17; ","")&amp;IF(AND(OR(H52="T17",I52="P9"),G52&lt;&gt;"R0"),"T17/P9 harus R0; ","")&amp;IF(AND(H52="T01",I52&lt;&gt;"P6",N52=""),"T01 biasanya P6; jelaskan di V12; ","")&amp;IF(AND(I52="P1",K52&lt;&gt;"K4",N52=""),"P1 biasanya K4; jelaskan di V12; ","")))</f>
        <v>OK</v>
      </c>
      <c r="R52" s="17" t="str">
        <f aca="false">IF(INDEX(Korpus!$B:$B,$A52)="","",INDEX(Korpus!$B:$B,$A52))</f>
        <v>BAB VIKEWAJIBAN PENGENDALI DATA PRIBADI DAN PROSESOR DATA PRIBADI DALAM PEMROSESAN DATA PRIBADI</v>
      </c>
      <c r="S52" s="17" t="str">
        <f aca="false">IF(INDEX(Korpus!$C:$C,$A52)="","",INDEX(Korpus!$C:$C,$A52))</f>
        <v>Bagian Kedua Kewajiban Pengendali Data Pribadi</v>
      </c>
    </row>
    <row r="53" customFormat="false" ht="60" hidden="true" customHeight="true" outlineLevel="0" collapsed="false">
      <c r="A53" s="15" t="n">
        <v>53</v>
      </c>
      <c r="B53" s="16" t="str">
        <f aca="false">IF(Petunjuk!$C$4="","",Petunjuk!$C$4)</f>
        <v>fenny</v>
      </c>
      <c r="C53" s="17" t="str">
        <f aca="false">IF(INDEX(Korpus!$A:$A,$A53)="","",INDEX(Korpus!$A:$A,$A53))</f>
        <v>UU 27 Thn 2022 (PDP)</v>
      </c>
      <c r="D53" s="17" t="str">
        <f aca="false">TRIM(INDEX(Korpus!$D:$D,$A53)&amp;" "&amp;INDEX(Korpus!$E:$E,$A53))</f>
        <v>Pasal 26</v>
      </c>
      <c r="E53" s="17" t="str">
        <f aca="false">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aca="false">IF(COUNTA(F53:K53)=6,"Lengkap","Belum lengkap ("&amp;(6-COUNTA(F53:K53))&amp;")")</f>
        <v>Belum lengkap (6)</v>
      </c>
      <c r="Q53" s="17" t="str">
        <f aca="false">IF(COUNTA(F53:K53)&lt;6,"",IF(IF(AND(G53="R0",K53&lt;&gt;"K5"),"R0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","")="","OK",IF(AND(G53="R0",K53&lt;&gt;"K5"),"R0 harus K5; ","")&amp;IF(AND(G53="R1",K53="K3"),"R1 tidak boleh K3 (fungsional); ","")&amp;IF(AND(G53="R2",K53="K5"),"R2 tidak boleh K5; ","")&amp;IF(AND(G53="R2",OR(F53="S6",F53="S7",F53="S8")),"R2 tidak boleh S6/S7/S8; ","")&amp;IF(AND(I53="P9",H53&lt;&gt;"T17"),"P9 hanya dengan T17; ","")&amp;IF(AND(OR(H53="T17",I53="P9"),G53&lt;&gt;"R0"),"T17/P9 harus R0; ","")&amp;IF(AND(H53="T01",I53&lt;&gt;"P6",N53=""),"T01 biasanya P6; jelaskan di V12; ","")&amp;IF(AND(I53="P1",K53&lt;&gt;"K4",N53=""),"P1 biasanya K4; jelaskan di V12; ","")))</f>
        <v/>
      </c>
      <c r="R53" s="17" t="str">
        <f aca="false">IF(INDEX(Korpus!$B:$B,$A53)="","",INDEX(Korpus!$B:$B,$A53))</f>
        <v>BAB VIKEWAJIBAN PENGENDALI DATA PRIBADI DAN PROSESOR DATA PRIBADI DALAM PEMROSESAN DATA PRIBADI</v>
      </c>
      <c r="S53" s="17" t="str">
        <f aca="false">IF(INDEX(Korpus!$C:$C,$A53)="","",INDEX(Korpus!$C:$C,$A53))</f>
        <v>Bagian Kedua Kewajiban Pengendali Data Pribadi</v>
      </c>
    </row>
    <row r="54" customFormat="false" ht="60" hidden="false" customHeight="true" outlineLevel="0" collapsed="false">
      <c r="A54" s="15" t="n">
        <v>54</v>
      </c>
      <c r="B54" s="16" t="str">
        <f aca="false">IF(Petunjuk!$C$4="","",Petunjuk!$C$4)</f>
        <v>fenny</v>
      </c>
      <c r="C54" s="17" t="str">
        <f aca="false">IF(INDEX(Korpus!$A:$A,$A54)="","",INDEX(Korpus!$A:$A,$A54))</f>
        <v>UU 27 Thn 2022 (PDP)</v>
      </c>
      <c r="D54" s="17" t="str">
        <f aca="false">TRIM(INDEX(Korpus!$D:$D,$A54)&amp;" "&amp;INDEX(Korpus!$E:$E,$A54))</f>
        <v>Pasal 27</v>
      </c>
      <c r="E54" s="17" t="str">
        <f aca="false">IF(INDEX(Korpus!$F:$F,$A54)="","",INDEX(Korpus!$F:$F,$A54))</f>
        <v>Pengendali Data Pribadi wajib melakukan pemrosesan Data Pribadi secara terbatas dan spesifik, sah secara hukum, dan transparan.</v>
      </c>
      <c r="F54" s="18" t="s">
        <v>89</v>
      </c>
      <c r="G54" s="18" t="s">
        <v>63</v>
      </c>
      <c r="H54" s="18" t="s">
        <v>70</v>
      </c>
      <c r="I54" s="18" t="s">
        <v>71</v>
      </c>
      <c r="J54" s="18" t="s">
        <v>91</v>
      </c>
      <c r="K54" s="18" t="s">
        <v>67</v>
      </c>
      <c r="L54" s="18"/>
      <c r="M54" s="19"/>
      <c r="N54" s="19"/>
      <c r="O54" s="15" t="s">
        <v>69</v>
      </c>
      <c r="P54" s="17" t="str">
        <f aca="false">IF(COUNTA(F54:K54)=6,"Lengkap","Belum lengkap ("&amp;(6-COUNTA(F54:K54))&amp;")")</f>
        <v>Lengkap</v>
      </c>
      <c r="Q54" s="17" t="str">
        <f aca="false">IF(COUNTA(F54:K54)&lt;6,"",IF(IF(AND(G54="R0",K54&lt;&gt;"K5"),"R0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","")="","OK",IF(AND(G54="R0",K54&lt;&gt;"K5"),"R0 harus K5; ","")&amp;IF(AND(G54="R1",K54="K3"),"R1 tidak boleh K3 (fungsional); ","")&amp;IF(AND(G54="R2",K54="K5"),"R2 tidak boleh K5; ","")&amp;IF(AND(G54="R2",OR(F54="S6",F54="S7",F54="S8")),"R2 tidak boleh S6/S7/S8; ","")&amp;IF(AND(I54="P9",H54&lt;&gt;"T17"),"P9 hanya dengan T17; ","")&amp;IF(AND(OR(H54="T17",I54="P9"),G54&lt;&gt;"R0"),"T17/P9 harus R0; ","")&amp;IF(AND(H54="T01",I54&lt;&gt;"P6",N54=""),"T01 biasanya P6; jelaskan di V12; ","")&amp;IF(AND(I54="P1",K54&lt;&gt;"K4",N54=""),"P1 biasanya K4; jelaskan di V12; ","")))</f>
        <v>OK</v>
      </c>
      <c r="R54" s="17" t="str">
        <f aca="false">IF(INDEX(Korpus!$B:$B,$A54)="","",INDEX(Korpus!$B:$B,$A54))</f>
        <v>BAB VIKEWAJIBAN PENGENDALI DATA PRIBADI DAN PROSESOR DATA PRIBADI DALAM PEMROSESAN DATA PRIBADI</v>
      </c>
      <c r="S54" s="17" t="str">
        <f aca="false">IF(INDEX(Korpus!$C:$C,$A54)="","",INDEX(Korpus!$C:$C,$A54))</f>
        <v>Bagian Kedua Kewajiban Pengendali Data Pribadi</v>
      </c>
    </row>
    <row r="55" customFormat="false" ht="60" hidden="true" customHeight="true" outlineLevel="0" collapsed="false">
      <c r="A55" s="15" t="n">
        <v>55</v>
      </c>
      <c r="B55" s="16" t="str">
        <f aca="false">IF(Petunjuk!$C$4="","",Petunjuk!$C$4)</f>
        <v>fenny</v>
      </c>
      <c r="C55" s="17" t="str">
        <f aca="false">IF(INDEX(Korpus!$A:$A,$A55)="","",INDEX(Korpus!$A:$A,$A55))</f>
        <v>UU 27 Thn 2022 (PDP)</v>
      </c>
      <c r="D55" s="17" t="str">
        <f aca="false">TRIM(INDEX(Korpus!$D:$D,$A55)&amp;" "&amp;INDEX(Korpus!$E:$E,$A55))</f>
        <v>Pasal 28</v>
      </c>
      <c r="E55" s="17" t="str">
        <f aca="false">IF(INDEX(Korpus!$F:$F,$A55)="","",INDEX(Korpus!$F:$F,$A55))</f>
        <v>Pengendali Data Pribadi wajib melakukan pemrosesan Data Pribadi sesuai dengan tujuan pemrosesan Data Pribadi.</v>
      </c>
      <c r="F55" s="18"/>
      <c r="G55" s="18"/>
      <c r="H55" s="18"/>
      <c r="I55" s="18"/>
      <c r="J55" s="18"/>
      <c r="K55" s="18"/>
      <c r="L55" s="18"/>
      <c r="M55" s="19"/>
      <c r="N55" s="19"/>
      <c r="O55" s="15"/>
      <c r="P55" s="17" t="str">
        <f aca="false">IF(COUNTA(F55:K55)=6,"Lengkap","Belum lengkap ("&amp;(6-COUNTA(F55:K55))&amp;")")</f>
        <v>Belum lengkap (6)</v>
      </c>
      <c r="Q55" s="17" t="str">
        <f aca="false">IF(COUNTA(F55:K55)&lt;6,"",IF(IF(AND(G55="R0",K55&lt;&gt;"K5"),"R0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","")="","OK",IF(AND(G55="R0",K55&lt;&gt;"K5"),"R0 harus K5; ","")&amp;IF(AND(G55="R1",K55="K3"),"R1 tidak boleh K3 (fungsional); ","")&amp;IF(AND(G55="R2",K55="K5"),"R2 tidak boleh K5; ","")&amp;IF(AND(G55="R2",OR(F55="S6",F55="S7",F55="S8")),"R2 tidak boleh S6/S7/S8; ","")&amp;IF(AND(I55="P9",H55&lt;&gt;"T17"),"P9 hanya dengan T17; ","")&amp;IF(AND(OR(H55="T17",I55="P9"),G55&lt;&gt;"R0"),"T17/P9 harus R0; ","")&amp;IF(AND(H55="T01",I55&lt;&gt;"P6",N55=""),"T01 biasanya P6; jelaskan di V12; ","")&amp;IF(AND(I55="P1",K55&lt;&gt;"K4",N55=""),"P1 biasanya K4; jelaskan di V12; ","")))</f>
        <v/>
      </c>
      <c r="R55" s="17" t="str">
        <f aca="false">IF(INDEX(Korpus!$B:$B,$A55)="","",INDEX(Korpus!$B:$B,$A55))</f>
        <v>BAB VIKEWAJIBAN PENGENDALI DATA PRIBADI DAN PROSESOR DATA PRIBADI DALAM PEMROSESAN DATA PRIBADI</v>
      </c>
      <c r="S55" s="17" t="str">
        <f aca="false">IF(INDEX(Korpus!$C:$C,$A55)="","",INDEX(Korpus!$C:$C,$A55))</f>
        <v>Bagian Kedua Kewajiban Pengendali Data Pribadi</v>
      </c>
    </row>
    <row r="56" customFormat="false" ht="60" hidden="false" customHeight="true" outlineLevel="0" collapsed="false">
      <c r="A56" s="15" t="n">
        <v>56</v>
      </c>
      <c r="B56" s="16" t="str">
        <f aca="false">IF(Petunjuk!$C$4="","",Petunjuk!$C$4)</f>
        <v>fenny</v>
      </c>
      <c r="C56" s="17" t="str">
        <f aca="false">IF(INDEX(Korpus!$A:$A,$A56)="","",INDEX(Korpus!$A:$A,$A56))</f>
        <v>UU 27 Thn 2022 (PDP)</v>
      </c>
      <c r="D56" s="17" t="str">
        <f aca="false">TRIM(INDEX(Korpus!$D:$D,$A56)&amp;" "&amp;INDEX(Korpus!$E:$E,$A56))</f>
        <v>Pasal 29</v>
      </c>
      <c r="E56" s="17" t="str">
        <f aca="false">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62</v>
      </c>
      <c r="G56" s="18" t="s">
        <v>63</v>
      </c>
      <c r="H56" s="18" t="s">
        <v>92</v>
      </c>
      <c r="I56" s="18" t="s">
        <v>93</v>
      </c>
      <c r="J56" s="18" t="s">
        <v>94</v>
      </c>
      <c r="K56" s="18" t="s">
        <v>81</v>
      </c>
      <c r="L56" s="18"/>
      <c r="M56" s="19"/>
      <c r="N56" s="19"/>
      <c r="O56" s="15" t="s">
        <v>69</v>
      </c>
      <c r="P56" s="17" t="str">
        <f aca="false">IF(COUNTA(F56:K56)=6,"Lengkap","Belum lengkap ("&amp;(6-COUNTA(F56:K56))&amp;")")</f>
        <v>Lengkap</v>
      </c>
      <c r="Q56" s="17" t="str">
        <f aca="false">IF(COUNTA(F56:K56)&lt;6,"",IF(IF(AND(G56="R0",K56&lt;&gt;"K5"),"R0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","")="","OK",IF(AND(G56="R0",K56&lt;&gt;"K5"),"R0 harus K5; ","")&amp;IF(AND(G56="R1",K56="K3"),"R1 tidak boleh K3 (fungsional); ","")&amp;IF(AND(G56="R2",K56="K5"),"R2 tidak boleh K5; ","")&amp;IF(AND(G56="R2",OR(F56="S6",F56="S7",F56="S8")),"R2 tidak boleh S6/S7/S8; ","")&amp;IF(AND(I56="P9",H56&lt;&gt;"T17"),"P9 hanya dengan T17; ","")&amp;IF(AND(OR(H56="T17",I56="P9"),G56&lt;&gt;"R0"),"T17/P9 harus R0; ","")&amp;IF(AND(H56="T01",I56&lt;&gt;"P6",N56=""),"T01 biasanya P6; jelaskan di V12; ","")&amp;IF(AND(I56="P1",K56&lt;&gt;"K4",N56=""),"P1 biasanya K4; jelaskan di V12; ","")))</f>
        <v>OK</v>
      </c>
      <c r="R56" s="17" t="str">
        <f aca="false">IF(INDEX(Korpus!$B:$B,$A56)="","",INDEX(Korpus!$B:$B,$A56))</f>
        <v>BAB VIKEWAJIBAN PENGENDALI DATA PRIBADI DAN PROSESOR DATA PRIBADI DALAM PEMROSESAN DATA PRIBADI</v>
      </c>
      <c r="S56" s="17" t="str">
        <f aca="false">IF(INDEX(Korpus!$C:$C,$A56)="","",INDEX(Korpus!$C:$C,$A56))</f>
        <v>Bagian Kedua Kewajiban Pengendali Data Pribadi</v>
      </c>
    </row>
    <row r="57" customFormat="false" ht="90" hidden="true" customHeight="true" outlineLevel="0" collapsed="false">
      <c r="A57" s="15" t="n">
        <v>57</v>
      </c>
      <c r="B57" s="16" t="str">
        <f aca="false">IF(Petunjuk!$C$4="","",Petunjuk!$C$4)</f>
        <v>fenny</v>
      </c>
      <c r="C57" s="17" t="str">
        <f aca="false">IF(INDEX(Korpus!$A:$A,$A57)="","",INDEX(Korpus!$A:$A,$A57))</f>
        <v>UU 27 Thn 2022 (PDP)</v>
      </c>
      <c r="D57" s="17" t="str">
        <f aca="false">TRIM(INDEX(Korpus!$D:$D,$A57)&amp;" "&amp;INDEX(Korpus!$E:$E,$A57))</f>
        <v>Pasal 30</v>
      </c>
      <c r="E57" s="17" t="str">
        <f aca="false">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aca="false">IF(COUNTA(F57:K57)=6,"Lengkap","Belum lengkap ("&amp;(6-COUNTA(F57:K57))&amp;")")</f>
        <v>Belum lengkap (6)</v>
      </c>
      <c r="Q57" s="17" t="str">
        <f aca="false">IF(COUNTA(F57:K57)&lt;6,"",IF(IF(AND(G57="R0",K57&lt;&gt;"K5"),"R0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","")="","OK",IF(AND(G57="R0",K57&lt;&gt;"K5"),"R0 harus K5; ","")&amp;IF(AND(G57="R1",K57="K3"),"R1 tidak boleh K3 (fungsional); ","")&amp;IF(AND(G57="R2",K57="K5"),"R2 tidak boleh K5; ","")&amp;IF(AND(G57="R2",OR(F57="S6",F57="S7",F57="S8")),"R2 tidak boleh S6/S7/S8; ","")&amp;IF(AND(I57="P9",H57&lt;&gt;"T17"),"P9 hanya dengan T17; ","")&amp;IF(AND(OR(H57="T17",I57="P9"),G57&lt;&gt;"R0"),"T17/P9 harus R0; ","")&amp;IF(AND(H57="T01",I57&lt;&gt;"P6",N57=""),"T01 biasanya P6; jelaskan di V12; ","")&amp;IF(AND(I57="P1",K57&lt;&gt;"K4",N57=""),"P1 biasanya K4; jelaskan di V12; ","")))</f>
        <v/>
      </c>
      <c r="R57" s="17" t="str">
        <f aca="false">IF(INDEX(Korpus!$B:$B,$A57)="","",INDEX(Korpus!$B:$B,$A57))</f>
        <v>BAB VIKEWAJIBAN PENGENDALI DATA PRIBADI DAN PROSESOR DATA PRIBADI DALAM PEMROSESAN DATA PRIBADI</v>
      </c>
      <c r="S57" s="17" t="str">
        <f aca="false">IF(INDEX(Korpus!$C:$C,$A57)="","",INDEX(Korpus!$C:$C,$A57))</f>
        <v>Bagian Kedua Kewajiban Pengendali Data Pribadi</v>
      </c>
    </row>
    <row r="58" customFormat="false" ht="60" hidden="true" customHeight="true" outlineLevel="0" collapsed="false">
      <c r="A58" s="15" t="n">
        <v>58</v>
      </c>
      <c r="B58" s="16" t="str">
        <f aca="false">IF(Petunjuk!$C$4="","",Petunjuk!$C$4)</f>
        <v>fenny</v>
      </c>
      <c r="C58" s="17" t="str">
        <f aca="false">IF(INDEX(Korpus!$A:$A,$A58)="","",INDEX(Korpus!$A:$A,$A58))</f>
        <v>UU 27 Thn 2022 (PDP)</v>
      </c>
      <c r="D58" s="17" t="str">
        <f aca="false">TRIM(INDEX(Korpus!$D:$D,$A58)&amp;" "&amp;INDEX(Korpus!$E:$E,$A58))</f>
        <v>Pasal 31</v>
      </c>
      <c r="E58" s="17" t="str">
        <f aca="false">IF(INDEX(Korpus!$F:$F,$A58)="","",INDEX(Korpus!$F:$F,$A58))</f>
        <v>Pengendali Data Pribadi wajib melakukan perekaman terhadap seluruh kegiatan pemrosesan Data Pribadi.</v>
      </c>
      <c r="F58" s="18"/>
      <c r="G58" s="18"/>
      <c r="H58" s="18"/>
      <c r="I58" s="18"/>
      <c r="J58" s="18"/>
      <c r="K58" s="18"/>
      <c r="L58" s="18"/>
      <c r="M58" s="19"/>
      <c r="N58" s="19"/>
      <c r="O58" s="15"/>
      <c r="P58" s="17" t="str">
        <f aca="false">IF(COUNTA(F58:K58)=6,"Lengkap","Belum lengkap ("&amp;(6-COUNTA(F58:K58))&amp;")")</f>
        <v>Belum lengkap (6)</v>
      </c>
      <c r="Q58" s="17" t="str">
        <f aca="false">IF(COUNTA(F58:K58)&lt;6,"",IF(IF(AND(G58="R0",K58&lt;&gt;"K5"),"R0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","")="","OK",IF(AND(G58="R0",K58&lt;&gt;"K5"),"R0 harus K5; ","")&amp;IF(AND(G58="R1",K58="K3"),"R1 tidak boleh K3 (fungsional); ","")&amp;IF(AND(G58="R2",K58="K5"),"R2 tidak boleh K5; ","")&amp;IF(AND(G58="R2",OR(F58="S6",F58="S7",F58="S8")),"R2 tidak boleh S6/S7/S8; ","")&amp;IF(AND(I58="P9",H58&lt;&gt;"T17"),"P9 hanya dengan T17; ","")&amp;IF(AND(OR(H58="T17",I58="P9"),G58&lt;&gt;"R0"),"T17/P9 harus R0; ","")&amp;IF(AND(H58="T01",I58&lt;&gt;"P6",N58=""),"T01 biasanya P6; jelaskan di V12; ","")&amp;IF(AND(I58="P1",K58&lt;&gt;"K4",N58=""),"P1 biasanya K4; jelaskan di V12; ","")))</f>
        <v/>
      </c>
      <c r="R58" s="17" t="str">
        <f aca="false">IF(INDEX(Korpus!$B:$B,$A58)="","",INDEX(Korpus!$B:$B,$A58))</f>
        <v>BAB VIKEWAJIBAN PENGENDALI DATA PRIBADI DAN PROSESOR DATA PRIBADI DALAM PEMROSESAN DATA PRIBADI</v>
      </c>
      <c r="S58" s="17" t="str">
        <f aca="false">IF(INDEX(Korpus!$C:$C,$A58)="","",INDEX(Korpus!$C:$C,$A58))</f>
        <v>Bagian Kedua Kewajiban Pengendali Data Pribadi</v>
      </c>
    </row>
    <row r="59" customFormat="false" ht="60" hidden="true" customHeight="true" outlineLevel="0" collapsed="false">
      <c r="A59" s="15" t="n">
        <v>59</v>
      </c>
      <c r="B59" s="16" t="str">
        <f aca="false">IF(Petunjuk!$C$4="","",Petunjuk!$C$4)</f>
        <v>fenny</v>
      </c>
      <c r="C59" s="17" t="str">
        <f aca="false">IF(INDEX(Korpus!$A:$A,$A59)="","",INDEX(Korpus!$A:$A,$A59))</f>
        <v>UU 27 Thn 2022 (PDP)</v>
      </c>
      <c r="D59" s="17" t="str">
        <f aca="false">TRIM(INDEX(Korpus!$D:$D,$A59)&amp;" "&amp;INDEX(Korpus!$E:$E,$A59))</f>
        <v>Pasal 32</v>
      </c>
      <c r="E59" s="17" t="str">
        <f aca="false">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aca="false">IF(COUNTA(F59:K59)=6,"Lengkap","Belum lengkap ("&amp;(6-COUNTA(F59:K59))&amp;")")</f>
        <v>Belum lengkap (6)</v>
      </c>
      <c r="Q59" s="17" t="str">
        <f aca="false">IF(COUNTA(F59:K59)&lt;6,"",IF(IF(AND(G59="R0",K59&lt;&gt;"K5"),"R0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","")="","OK",IF(AND(G59="R0",K59&lt;&gt;"K5"),"R0 harus K5; ","")&amp;IF(AND(G59="R1",K59="K3"),"R1 tidak boleh K3 (fungsional); ","")&amp;IF(AND(G59="R2",K59="K5"),"R2 tidak boleh K5; ","")&amp;IF(AND(G59="R2",OR(F59="S6",F59="S7",F59="S8")),"R2 tidak boleh S6/S7/S8; ","")&amp;IF(AND(I59="P9",H59&lt;&gt;"T17"),"P9 hanya dengan T17; ","")&amp;IF(AND(OR(H59="T17",I59="P9"),G59&lt;&gt;"R0"),"T17/P9 harus R0; ","")&amp;IF(AND(H59="T01",I59&lt;&gt;"P6",N59=""),"T01 biasanya P6; jelaskan di V12; ","")&amp;IF(AND(I59="P1",K59&lt;&gt;"K4",N59=""),"P1 biasanya K4; jelaskan di V12; ","")))</f>
        <v/>
      </c>
      <c r="R59" s="17" t="str">
        <f aca="false">IF(INDEX(Korpus!$B:$B,$A59)="","",INDEX(Korpus!$B:$B,$A59))</f>
        <v>BAB VIKEWAJIBAN PENGENDALI DATA PRIBADI DAN PROSESOR DATA PRIBADI DALAM PEMROSESAN DATA PRIBADI</v>
      </c>
      <c r="S59" s="17" t="str">
        <f aca="false">IF(INDEX(Korpus!$C:$C,$A59)="","",INDEX(Korpus!$C:$C,$A59))</f>
        <v>Bagian Kedua Kewajiban Pengendali Data Pribadi</v>
      </c>
    </row>
    <row r="60" customFormat="false" ht="60" hidden="true" customHeight="true" outlineLevel="0" collapsed="false">
      <c r="A60" s="15" t="n">
        <v>60</v>
      </c>
      <c r="B60" s="16" t="str">
        <f aca="false">IF(Petunjuk!$C$4="","",Petunjuk!$C$4)</f>
        <v>fenny</v>
      </c>
      <c r="C60" s="17" t="str">
        <f aca="false">IF(INDEX(Korpus!$A:$A,$A60)="","",INDEX(Korpus!$A:$A,$A60))</f>
        <v>UU 27 Thn 2022 (PDP)</v>
      </c>
      <c r="D60" s="17" t="str">
        <f aca="false">TRIM(INDEX(Korpus!$D:$D,$A60)&amp;" "&amp;INDEX(Korpus!$E:$E,$A60))</f>
        <v>Pasal 33</v>
      </c>
      <c r="E60" s="17" t="str">
        <f aca="false">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aca="false">IF(COUNTA(F60:K60)=6,"Lengkap","Belum lengkap ("&amp;(6-COUNTA(F60:K60))&amp;")")</f>
        <v>Belum lengkap (6)</v>
      </c>
      <c r="Q60" s="17" t="str">
        <f aca="false">IF(COUNTA(F60:K60)&lt;6,"",IF(IF(AND(G60="R0",K60&lt;&gt;"K5"),"R0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","")="","OK",IF(AND(G60="R0",K60&lt;&gt;"K5"),"R0 harus K5; ","")&amp;IF(AND(G60="R1",K60="K3"),"R1 tidak boleh K3 (fungsional); ","")&amp;IF(AND(G60="R2",K60="K5"),"R2 tidak boleh K5; ","")&amp;IF(AND(G60="R2",OR(F60="S6",F60="S7",F60="S8")),"R2 tidak boleh S6/S7/S8; ","")&amp;IF(AND(I60="P9",H60&lt;&gt;"T17"),"P9 hanya dengan T17; ","")&amp;IF(AND(OR(H60="T17",I60="P9"),G60&lt;&gt;"R0"),"T17/P9 harus R0; ","")&amp;IF(AND(H60="T01",I60&lt;&gt;"P6",N60=""),"T01 biasanya P6; jelaskan di V12; ","")&amp;IF(AND(I60="P1",K60&lt;&gt;"K4",N60=""),"P1 biasanya K4; jelaskan di V12; ","")))</f>
        <v/>
      </c>
      <c r="R60" s="17" t="str">
        <f aca="false">IF(INDEX(Korpus!$B:$B,$A60)="","",INDEX(Korpus!$B:$B,$A60))</f>
        <v>BAB VIKEWAJIBAN PENGENDALI DATA PRIBADI DAN PROSESOR DATA PRIBADI DALAM PEMROSESAN DATA PRIBADI</v>
      </c>
      <c r="S60" s="17" t="str">
        <f aca="false">IF(INDEX(Korpus!$C:$C,$A60)="","",INDEX(Korpus!$C:$C,$A60))</f>
        <v>Bagian Kedua Kewajiban Pengendali Data Pribadi</v>
      </c>
    </row>
    <row r="61" customFormat="false" ht="60" hidden="true" customHeight="true" outlineLevel="0" collapsed="false">
      <c r="A61" s="15" t="n">
        <v>61</v>
      </c>
      <c r="B61" s="16" t="str">
        <f aca="false">IF(Petunjuk!$C$4="","",Petunjuk!$C$4)</f>
        <v>fenny</v>
      </c>
      <c r="C61" s="17" t="str">
        <f aca="false">IF(INDEX(Korpus!$A:$A,$A61)="","",INDEX(Korpus!$A:$A,$A61))</f>
        <v>UU 27 Thn 2022 (PDP)</v>
      </c>
      <c r="D61" s="17" t="str">
        <f aca="false">TRIM(INDEX(Korpus!$D:$D,$A61)&amp;" "&amp;INDEX(Korpus!$E:$E,$A61))</f>
        <v>Pasal 34</v>
      </c>
      <c r="E61" s="17" t="str">
        <f aca="false">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aca="false">IF(COUNTA(F61:K61)=6,"Lengkap","Belum lengkap ("&amp;(6-COUNTA(F61:K61))&amp;")")</f>
        <v>Belum lengkap (6)</v>
      </c>
      <c r="Q61" s="17" t="str">
        <f aca="false">IF(COUNTA(F61:K61)&lt;6,"",IF(IF(AND(G61="R0",K61&lt;&gt;"K5"),"R0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","")="","OK",IF(AND(G61="R0",K61&lt;&gt;"K5"),"R0 harus K5; ","")&amp;IF(AND(G61="R1",K61="K3"),"R1 tidak boleh K3 (fungsional); ","")&amp;IF(AND(G61="R2",K61="K5"),"R2 tidak boleh K5; ","")&amp;IF(AND(G61="R2",OR(F61="S6",F61="S7",F61="S8")),"R2 tidak boleh S6/S7/S8; ","")&amp;IF(AND(I61="P9",H61&lt;&gt;"T17"),"P9 hanya dengan T17; ","")&amp;IF(AND(OR(H61="T17",I61="P9"),G61&lt;&gt;"R0"),"T17/P9 harus R0; ","")&amp;IF(AND(H61="T01",I61&lt;&gt;"P6",N61=""),"T01 biasanya P6; jelaskan di V12; ","")&amp;IF(AND(I61="P1",K61&lt;&gt;"K4",N61=""),"P1 biasanya K4; jelaskan di V12; ","")))</f>
        <v/>
      </c>
      <c r="R61" s="17" t="str">
        <f aca="false">IF(INDEX(Korpus!$B:$B,$A61)="","",INDEX(Korpus!$B:$B,$A61))</f>
        <v>BAB VIKEWAJIBAN PENGENDALI DATA PRIBADI DAN PROSESOR DATA PRIBADI DALAM PEMROSESAN DATA PRIBADI</v>
      </c>
      <c r="S61" s="17" t="str">
        <f aca="false">IF(INDEX(Korpus!$C:$C,$A61)="","",INDEX(Korpus!$C:$C,$A61))</f>
        <v>Bagian KeduaKewajiban Pengendali Data Pribadi</v>
      </c>
    </row>
    <row r="62" customFormat="false" ht="60" hidden="true" customHeight="true" outlineLevel="0" collapsed="false">
      <c r="A62" s="15" t="n">
        <v>62</v>
      </c>
      <c r="B62" s="16" t="str">
        <f aca="false">IF(Petunjuk!$C$4="","",Petunjuk!$C$4)</f>
        <v>fenny</v>
      </c>
      <c r="C62" s="17" t="str">
        <f aca="false">IF(INDEX(Korpus!$A:$A,$A62)="","",INDEX(Korpus!$A:$A,$A62))</f>
        <v>UU 27 Thn 2022 (PDP)</v>
      </c>
      <c r="D62" s="17" t="str">
        <f aca="false">TRIM(INDEX(Korpus!$D:$D,$A62)&amp;" "&amp;INDEX(Korpus!$E:$E,$A62))</f>
        <v>Pasal 35</v>
      </c>
      <c r="E62" s="17" t="str">
        <f aca="false">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aca="false">IF(COUNTA(F62:K62)=6,"Lengkap","Belum lengkap ("&amp;(6-COUNTA(F62:K62))&amp;")")</f>
        <v>Belum lengkap (6)</v>
      </c>
      <c r="Q62" s="17" t="str">
        <f aca="false">IF(COUNTA(F62:K62)&lt;6,"",IF(IF(AND(G62="R0",K62&lt;&gt;"K5"),"R0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","")="","OK",IF(AND(G62="R0",K62&lt;&gt;"K5"),"R0 harus K5; ","")&amp;IF(AND(G62="R1",K62="K3"),"R1 tidak boleh K3 (fungsional); ","")&amp;IF(AND(G62="R2",K62="K5"),"R2 tidak boleh K5; ","")&amp;IF(AND(G62="R2",OR(F62="S6",F62="S7",F62="S8")),"R2 tidak boleh S6/S7/S8; ","")&amp;IF(AND(I62="P9",H62&lt;&gt;"T17"),"P9 hanya dengan T17; ","")&amp;IF(AND(OR(H62="T17",I62="P9"),G62&lt;&gt;"R0"),"T17/P9 harus R0; ","")&amp;IF(AND(H62="T01",I62&lt;&gt;"P6",N62=""),"T01 biasanya P6; jelaskan di V12; ","")&amp;IF(AND(I62="P1",K62&lt;&gt;"K4",N62=""),"P1 biasanya K4; jelaskan di V12; ","")))</f>
        <v/>
      </c>
      <c r="R62" s="17" t="str">
        <f aca="false">IF(INDEX(Korpus!$B:$B,$A62)="","",INDEX(Korpus!$B:$B,$A62))</f>
        <v>BAB VIKEWAJIBAN PENGENDALI DATA PRIBADI DAN PROSESOR DATA PRIBADI DALAM PEMROSESAN DATA PRIBADI</v>
      </c>
      <c r="S62" s="17" t="str">
        <f aca="false">IF(INDEX(Korpus!$C:$C,$A62)="","",INDEX(Korpus!$C:$C,$A62))</f>
        <v>Bagian KeduaKewajiban Pengendali Data Pribadi</v>
      </c>
    </row>
    <row r="63" customFormat="false" ht="60" hidden="true" customHeight="true" outlineLevel="0" collapsed="false">
      <c r="A63" s="15" t="n">
        <v>63</v>
      </c>
      <c r="B63" s="16" t="str">
        <f aca="false">IF(Petunjuk!$C$4="","",Petunjuk!$C$4)</f>
        <v>fenny</v>
      </c>
      <c r="C63" s="17" t="str">
        <f aca="false">IF(INDEX(Korpus!$A:$A,$A63)="","",INDEX(Korpus!$A:$A,$A63))</f>
        <v>UU 27 Thn 2022 (PDP)</v>
      </c>
      <c r="D63" s="17" t="str">
        <f aca="false">TRIM(INDEX(Korpus!$D:$D,$A63)&amp;" "&amp;INDEX(Korpus!$E:$E,$A63))</f>
        <v>Pasal 36</v>
      </c>
      <c r="E63" s="17" t="str">
        <f aca="false">IF(INDEX(Korpus!$F:$F,$A63)="","",INDEX(Korpus!$F:$F,$A63))</f>
        <v>Dalam melakukan pemrosesan Data Pribadi, Pengendali Data Pribadi wajib menjaga kerahasiaan Data Pribadi.</v>
      </c>
      <c r="F63" s="18"/>
      <c r="G63" s="18"/>
      <c r="H63" s="18"/>
      <c r="I63" s="18"/>
      <c r="J63" s="18"/>
      <c r="K63" s="18"/>
      <c r="L63" s="18"/>
      <c r="M63" s="19"/>
      <c r="N63" s="19"/>
      <c r="O63" s="15"/>
      <c r="P63" s="17" t="str">
        <f aca="false">IF(COUNTA(F63:K63)=6,"Lengkap","Belum lengkap ("&amp;(6-COUNTA(F63:K63))&amp;")")</f>
        <v>Belum lengkap (6)</v>
      </c>
      <c r="Q63" s="17" t="str">
        <f aca="false">IF(COUNTA(F63:K63)&lt;6,"",IF(IF(AND(G63="R0",K63&lt;&gt;"K5"),"R0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","")="","OK",IF(AND(G63="R0",K63&lt;&gt;"K5"),"R0 harus K5; ","")&amp;IF(AND(G63="R1",K63="K3"),"R1 tidak boleh K3 (fungsional); ","")&amp;IF(AND(G63="R2",K63="K5"),"R2 tidak boleh K5; ","")&amp;IF(AND(G63="R2",OR(F63="S6",F63="S7",F63="S8")),"R2 tidak boleh S6/S7/S8; ","")&amp;IF(AND(I63="P9",H63&lt;&gt;"T17"),"P9 hanya dengan T17; ","")&amp;IF(AND(OR(H63="T17",I63="P9"),G63&lt;&gt;"R0"),"T17/P9 harus R0; ","")&amp;IF(AND(H63="T01",I63&lt;&gt;"P6",N63=""),"T01 biasanya P6; jelaskan di V12; ","")&amp;IF(AND(I63="P1",K63&lt;&gt;"K4",N63=""),"P1 biasanya K4; jelaskan di V12; ","")))</f>
        <v/>
      </c>
      <c r="R63" s="17" t="str">
        <f aca="false">IF(INDEX(Korpus!$B:$B,$A63)="","",INDEX(Korpus!$B:$B,$A63))</f>
        <v>BAB VIKEWAJIBAN PENGENDALI DATA PRIBADI DAN PROSESOR DATA PRIBADI DALAM PEMROSESAN DATA PRIBADI</v>
      </c>
      <c r="S63" s="17" t="str">
        <f aca="false">IF(INDEX(Korpus!$C:$C,$A63)="","",INDEX(Korpus!$C:$C,$A63))</f>
        <v>Bagian KeduaKewajiban Pengendali Data Pribadi</v>
      </c>
    </row>
    <row r="64" customFormat="false" ht="60" hidden="true" customHeight="true" outlineLevel="0" collapsed="false">
      <c r="A64" s="15" t="n">
        <v>64</v>
      </c>
      <c r="B64" s="16" t="str">
        <f aca="false">IF(Petunjuk!$C$4="","",Petunjuk!$C$4)</f>
        <v>fenny</v>
      </c>
      <c r="C64" s="17" t="str">
        <f aca="false">IF(INDEX(Korpus!$A:$A,$A64)="","",INDEX(Korpus!$A:$A,$A64))</f>
        <v>UU 27 Thn 2022 (PDP)</v>
      </c>
      <c r="D64" s="17" t="str">
        <f aca="false">TRIM(INDEX(Korpus!$D:$D,$A64)&amp;" "&amp;INDEX(Korpus!$E:$E,$A64))</f>
        <v>Pasal 37</v>
      </c>
      <c r="E64" s="17" t="str">
        <f aca="false">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aca="false">IF(COUNTA(F64:K64)=6,"Lengkap","Belum lengkap ("&amp;(6-COUNTA(F64:K64))&amp;")")</f>
        <v>Belum lengkap (6)</v>
      </c>
      <c r="Q64" s="17" t="str">
        <f aca="false">IF(COUNTA(F64:K64)&lt;6,"",IF(IF(AND(G64="R0",K64&lt;&gt;"K5"),"R0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","")="","OK",IF(AND(G64="R0",K64&lt;&gt;"K5"),"R0 harus K5; ","")&amp;IF(AND(G64="R1",K64="K3"),"R1 tidak boleh K3 (fungsional); ","")&amp;IF(AND(G64="R2",K64="K5"),"R2 tidak boleh K5; ","")&amp;IF(AND(G64="R2",OR(F64="S6",F64="S7",F64="S8")),"R2 tidak boleh S6/S7/S8; ","")&amp;IF(AND(I64="P9",H64&lt;&gt;"T17"),"P9 hanya dengan T17; ","")&amp;IF(AND(OR(H64="T17",I64="P9"),G64&lt;&gt;"R0"),"T17/P9 harus R0; ","")&amp;IF(AND(H64="T01",I64&lt;&gt;"P6",N64=""),"T01 biasanya P6; jelaskan di V12; ","")&amp;IF(AND(I64="P1",K64&lt;&gt;"K4",N64=""),"P1 biasanya K4; jelaskan di V12; ","")))</f>
        <v/>
      </c>
      <c r="R64" s="17" t="str">
        <f aca="false">IF(INDEX(Korpus!$B:$B,$A64)="","",INDEX(Korpus!$B:$B,$A64))</f>
        <v>BAB VIKEWAJIBAN PENGENDALI DATA PRIBADI DAN PROSESOR DATA PRIBADI DALAM PEMROSESAN DATA PRIBADI</v>
      </c>
      <c r="S64" s="17" t="str">
        <f aca="false">IF(INDEX(Korpus!$C:$C,$A64)="","",INDEX(Korpus!$C:$C,$A64))</f>
        <v>Bagian KeduaKewajiban Pengendali Data Pribadi</v>
      </c>
    </row>
    <row r="65" customFormat="false" ht="60" hidden="true" customHeight="true" outlineLevel="0" collapsed="false">
      <c r="A65" s="15" t="n">
        <v>65</v>
      </c>
      <c r="B65" s="16" t="str">
        <f aca="false">IF(Petunjuk!$C$4="","",Petunjuk!$C$4)</f>
        <v>fenny</v>
      </c>
      <c r="C65" s="17" t="str">
        <f aca="false">IF(INDEX(Korpus!$A:$A,$A65)="","",INDEX(Korpus!$A:$A,$A65))</f>
        <v>UU 27 Thn 2022 (PDP)</v>
      </c>
      <c r="D65" s="17" t="str">
        <f aca="false">TRIM(INDEX(Korpus!$D:$D,$A65)&amp;" "&amp;INDEX(Korpus!$E:$E,$A65))</f>
        <v>Pasal 38</v>
      </c>
      <c r="E65" s="17" t="str">
        <f aca="false">IF(INDEX(Korpus!$F:$F,$A65)="","",INDEX(Korpus!$F:$F,$A65))</f>
        <v>Pengendali Data Pribadi wajib melindungi Data Pribadi dari pemrosesan yang tidak sah.</v>
      </c>
      <c r="F65" s="18"/>
      <c r="G65" s="18"/>
      <c r="H65" s="18"/>
      <c r="I65" s="18"/>
      <c r="J65" s="18"/>
      <c r="K65" s="18"/>
      <c r="L65" s="18"/>
      <c r="M65" s="19"/>
      <c r="N65" s="19"/>
      <c r="O65" s="15"/>
      <c r="P65" s="17" t="str">
        <f aca="false">IF(COUNTA(F65:K65)=6,"Lengkap","Belum lengkap ("&amp;(6-COUNTA(F65:K65))&amp;")")</f>
        <v>Belum lengkap (6)</v>
      </c>
      <c r="Q65" s="17" t="str">
        <f aca="false">IF(COUNTA(F65:K65)&lt;6,"",IF(IF(AND(G65="R0",K65&lt;&gt;"K5"),"R0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","")="","OK",IF(AND(G65="R0",K65&lt;&gt;"K5"),"R0 harus K5; ","")&amp;IF(AND(G65="R1",K65="K3"),"R1 tidak boleh K3 (fungsional); ","")&amp;IF(AND(G65="R2",K65="K5"),"R2 tidak boleh K5; ","")&amp;IF(AND(G65="R2",OR(F65="S6",F65="S7",F65="S8")),"R2 tidak boleh S6/S7/S8; ","")&amp;IF(AND(I65="P9",H65&lt;&gt;"T17"),"P9 hanya dengan T17; ","")&amp;IF(AND(OR(H65="T17",I65="P9"),G65&lt;&gt;"R0"),"T17/P9 harus R0; ","")&amp;IF(AND(H65="T01",I65&lt;&gt;"P6",N65=""),"T01 biasanya P6; jelaskan di V12; ","")&amp;IF(AND(I65="P1",K65&lt;&gt;"K4",N65=""),"P1 biasanya K4; jelaskan di V12; ","")))</f>
        <v/>
      </c>
      <c r="R65" s="17" t="str">
        <f aca="false">IF(INDEX(Korpus!$B:$B,$A65)="","",INDEX(Korpus!$B:$B,$A65))</f>
        <v>BAB VIKEWAJIBAN PENGENDALI DATA PRIBADI DAN PROSESOR DATA PRIBADI DALAM PEMROSESAN DATA PRIBADI</v>
      </c>
      <c r="S65" s="17" t="str">
        <f aca="false">IF(INDEX(Korpus!$C:$C,$A65)="","",INDEX(Korpus!$C:$C,$A65))</f>
        <v>Bagian KeduaKewajiban Pengendali Data Pribadi</v>
      </c>
    </row>
    <row r="66" customFormat="false" ht="60" hidden="true" customHeight="true" outlineLevel="0" collapsed="false">
      <c r="A66" s="15" t="n">
        <v>66</v>
      </c>
      <c r="B66" s="16" t="str">
        <f aca="false">IF(Petunjuk!$C$4="","",Petunjuk!$C$4)</f>
        <v>fenny</v>
      </c>
      <c r="C66" s="17" t="str">
        <f aca="false">IF(INDEX(Korpus!$A:$A,$A66)="","",INDEX(Korpus!$A:$A,$A66))</f>
        <v>UU 27 Thn 2022 (PDP)</v>
      </c>
      <c r="D66" s="17" t="str">
        <f aca="false">TRIM(INDEX(Korpus!$D:$D,$A66)&amp;" "&amp;INDEX(Korpus!$E:$E,$A66))</f>
        <v>Pasal 39</v>
      </c>
      <c r="E66" s="17" t="str">
        <f aca="false">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aca="false">IF(COUNTA(F66:K66)=6,"Lengkap","Belum lengkap ("&amp;(6-COUNTA(F66:K66))&amp;")")</f>
        <v>Belum lengkap (6)</v>
      </c>
      <c r="Q66" s="17" t="str">
        <f aca="false">IF(COUNTA(F66:K66)&lt;6,"",IF(IF(AND(G66="R0",K66&lt;&gt;"K5"),"R0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","")="","OK",IF(AND(G66="R0",K66&lt;&gt;"K5"),"R0 harus K5; ","")&amp;IF(AND(G66="R1",K66="K3"),"R1 tidak boleh K3 (fungsional); ","")&amp;IF(AND(G66="R2",K66="K5"),"R2 tidak boleh K5; ","")&amp;IF(AND(G66="R2",OR(F66="S6",F66="S7",F66="S8")),"R2 tidak boleh S6/S7/S8; ","")&amp;IF(AND(I66="P9",H66&lt;&gt;"T17"),"P9 hanya dengan T17; ","")&amp;IF(AND(OR(H66="T17",I66="P9"),G66&lt;&gt;"R0"),"T17/P9 harus R0; ","")&amp;IF(AND(H66="T01",I66&lt;&gt;"P6",N66=""),"T01 biasanya P6; jelaskan di V12; ","")&amp;IF(AND(I66="P1",K66&lt;&gt;"K4",N66=""),"P1 biasanya K4; jelaskan di V12; ","")))</f>
        <v/>
      </c>
      <c r="R66" s="17" t="str">
        <f aca="false">IF(INDEX(Korpus!$B:$B,$A66)="","",INDEX(Korpus!$B:$B,$A66))</f>
        <v>BAB VIKEWAJIBAN PENGENDALI DATA PRIBADI DAN PROSESOR DATA PRIBADI DALAM PEMROSESAN DATA PRIBADI</v>
      </c>
      <c r="S66" s="17" t="str">
        <f aca="false">IF(INDEX(Korpus!$C:$C,$A66)="","",INDEX(Korpus!$C:$C,$A66))</f>
        <v>Bagian KeduaKewajiban Pengendali Data Pribadi</v>
      </c>
    </row>
    <row r="67" customFormat="false" ht="60" hidden="true" customHeight="true" outlineLevel="0" collapsed="false">
      <c r="A67" s="15" t="n">
        <v>67</v>
      </c>
      <c r="B67" s="16" t="str">
        <f aca="false">IF(Petunjuk!$C$4="","",Petunjuk!$C$4)</f>
        <v>fenny</v>
      </c>
      <c r="C67" s="17" t="str">
        <f aca="false">IF(INDEX(Korpus!$A:$A,$A67)="","",INDEX(Korpus!$A:$A,$A67))</f>
        <v>UU 27 Thn 2022 (PDP)</v>
      </c>
      <c r="D67" s="17" t="str">
        <f aca="false">TRIM(INDEX(Korpus!$D:$D,$A67)&amp;" "&amp;INDEX(Korpus!$E:$E,$A67))</f>
        <v>Pasal 40</v>
      </c>
      <c r="E67" s="17" t="str">
        <f aca="false">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aca="false">IF(COUNTA(F67:K67)=6,"Lengkap","Belum lengkap ("&amp;(6-COUNTA(F67:K67))&amp;")")</f>
        <v>Belum lengkap (6)</v>
      </c>
      <c r="Q67" s="17" t="str">
        <f aca="false">IF(COUNTA(F67:K67)&lt;6,"",IF(IF(AND(G67="R0",K67&lt;&gt;"K5"),"R0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","")="","OK",IF(AND(G67="R0",K67&lt;&gt;"K5"),"R0 harus K5; ","")&amp;IF(AND(G67="R1",K67="K3"),"R1 tidak boleh K3 (fungsional); ","")&amp;IF(AND(G67="R2",K67="K5"),"R2 tidak boleh K5; ","")&amp;IF(AND(G67="R2",OR(F67="S6",F67="S7",F67="S8")),"R2 tidak boleh S6/S7/S8; ","")&amp;IF(AND(I67="P9",H67&lt;&gt;"T17"),"P9 hanya dengan T17; ","")&amp;IF(AND(OR(H67="T17",I67="P9"),G67&lt;&gt;"R0"),"T17/P9 harus R0; ","")&amp;IF(AND(H67="T01",I67&lt;&gt;"P6",N67=""),"T01 biasanya P6; jelaskan di V12; ","")&amp;IF(AND(I67="P1",K67&lt;&gt;"K4",N67=""),"P1 biasanya K4; jelaskan di V12; ","")))</f>
        <v/>
      </c>
      <c r="R67" s="17" t="str">
        <f aca="false">IF(INDEX(Korpus!$B:$B,$A67)="","",INDEX(Korpus!$B:$B,$A67))</f>
        <v>BAB VIKEWAJIBAN PENGENDALI DATA PRIBADI DAN PROSESOR DATA PRIBADI DALAM PEMROSESAN DATA PRIBADI</v>
      </c>
      <c r="S67" s="17" t="str">
        <f aca="false">IF(INDEX(Korpus!$C:$C,$A67)="","",INDEX(Korpus!$C:$C,$A67))</f>
        <v>Bagian KeduaKewajiban Pengendali Data Pribadi</v>
      </c>
    </row>
    <row r="68" customFormat="false" ht="60" hidden="true" customHeight="true" outlineLevel="0" collapsed="false">
      <c r="A68" s="15" t="n">
        <v>68</v>
      </c>
      <c r="B68" s="16" t="str">
        <f aca="false">IF(Petunjuk!$C$4="","",Petunjuk!$C$4)</f>
        <v>fenny</v>
      </c>
      <c r="C68" s="17" t="str">
        <f aca="false">IF(INDEX(Korpus!$A:$A,$A68)="","",INDEX(Korpus!$A:$A,$A68))</f>
        <v>UU 27 Thn 2022 (PDP)</v>
      </c>
      <c r="D68" s="17" t="str">
        <f aca="false">TRIM(INDEX(Korpus!$D:$D,$A68)&amp;" "&amp;INDEX(Korpus!$E:$E,$A68))</f>
        <v>Pasal 41</v>
      </c>
      <c r="E68" s="17" t="str">
        <f aca="false">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aca="false">IF(COUNTA(F68:K68)=6,"Lengkap","Belum lengkap ("&amp;(6-COUNTA(F68:K68))&amp;")")</f>
        <v>Belum lengkap (6)</v>
      </c>
      <c r="Q68" s="17" t="str">
        <f aca="false">IF(COUNTA(F68:K68)&lt;6,"",IF(IF(AND(G68="R0",K68&lt;&gt;"K5"),"R0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","")="","OK",IF(AND(G68="R0",K68&lt;&gt;"K5"),"R0 harus K5; ","")&amp;IF(AND(G68="R1",K68="K3"),"R1 tidak boleh K3 (fungsional); ","")&amp;IF(AND(G68="R2",K68="K5"),"R2 tidak boleh K5; ","")&amp;IF(AND(G68="R2",OR(F68="S6",F68="S7",F68="S8")),"R2 tidak boleh S6/S7/S8; ","")&amp;IF(AND(I68="P9",H68&lt;&gt;"T17"),"P9 hanya dengan T17; ","")&amp;IF(AND(OR(H68="T17",I68="P9"),G68&lt;&gt;"R0"),"T17/P9 harus R0; ","")&amp;IF(AND(H68="T01",I68&lt;&gt;"P6",N68=""),"T01 biasanya P6; jelaskan di V12; ","")&amp;IF(AND(I68="P1",K68&lt;&gt;"K4",N68=""),"P1 biasanya K4; jelaskan di V12; ","")))</f>
        <v/>
      </c>
      <c r="R68" s="17" t="str">
        <f aca="false">IF(INDEX(Korpus!$B:$B,$A68)="","",INDEX(Korpus!$B:$B,$A68))</f>
        <v>BAB VIKEWAJIBAN PENGENDALI DATA PRIBADI DAN PROSESOR DATA PRIBADI DALAM PEMROSESAN DATA PRIBADI</v>
      </c>
      <c r="S68" s="17" t="str">
        <f aca="false">IF(INDEX(Korpus!$C:$C,$A68)="","",INDEX(Korpus!$C:$C,$A68))</f>
        <v>Bagian KeduaKewajiban Pengendali Data Pribadi</v>
      </c>
    </row>
    <row r="69" customFormat="false" ht="60" hidden="true" customHeight="true" outlineLevel="0" collapsed="false">
      <c r="A69" s="15" t="n">
        <v>69</v>
      </c>
      <c r="B69" s="16" t="str">
        <f aca="false">IF(Petunjuk!$C$4="","",Petunjuk!$C$4)</f>
        <v>fenny</v>
      </c>
      <c r="C69" s="17" t="str">
        <f aca="false">IF(INDEX(Korpus!$A:$A,$A69)="","",INDEX(Korpus!$A:$A,$A69))</f>
        <v>UU 27 Thn 2022 (PDP)</v>
      </c>
      <c r="D69" s="17" t="str">
        <f aca="false">TRIM(INDEX(Korpus!$D:$D,$A69)&amp;" "&amp;INDEX(Korpus!$E:$E,$A69))</f>
        <v>Pasal 42</v>
      </c>
      <c r="E69" s="17" t="str">
        <f aca="false">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aca="false">IF(COUNTA(F69:K69)=6,"Lengkap","Belum lengkap ("&amp;(6-COUNTA(F69:K69))&amp;")")</f>
        <v>Belum lengkap (6)</v>
      </c>
      <c r="Q69" s="17" t="str">
        <f aca="false">IF(COUNTA(F69:K69)&lt;6,"",IF(IF(AND(G69="R0",K69&lt;&gt;"K5"),"R0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","")="","OK",IF(AND(G69="R0",K69&lt;&gt;"K5"),"R0 harus K5; ","")&amp;IF(AND(G69="R1",K69="K3"),"R1 tidak boleh K3 (fungsional); ","")&amp;IF(AND(G69="R2",K69="K5"),"R2 tidak boleh K5; ","")&amp;IF(AND(G69="R2",OR(F69="S6",F69="S7",F69="S8")),"R2 tidak boleh S6/S7/S8; ","")&amp;IF(AND(I69="P9",H69&lt;&gt;"T17"),"P9 hanya dengan T17; ","")&amp;IF(AND(OR(H69="T17",I69="P9"),G69&lt;&gt;"R0"),"T17/P9 harus R0; ","")&amp;IF(AND(H69="T01",I69&lt;&gt;"P6",N69=""),"T01 biasanya P6; jelaskan di V12; ","")&amp;IF(AND(I69="P1",K69&lt;&gt;"K4",N69=""),"P1 biasanya K4; jelaskan di V12; ","")))</f>
        <v/>
      </c>
      <c r="R69" s="17" t="str">
        <f aca="false">IF(INDEX(Korpus!$B:$B,$A69)="","",INDEX(Korpus!$B:$B,$A69))</f>
        <v>BAB VIKEWAJIBAN PENGENDALI DATA PRIBADI DAN PROSESOR DATA PRIBADI DALAM PEMROSESAN DATA PRIBADI</v>
      </c>
      <c r="S69" s="17" t="str">
        <f aca="false">IF(INDEX(Korpus!$C:$C,$A69)="","",INDEX(Korpus!$C:$C,$A69))</f>
        <v>Bagian KeduaKewajiban Pengendali Data Pribadi</v>
      </c>
    </row>
    <row r="70" customFormat="false" ht="60" hidden="false" customHeight="true" outlineLevel="0" collapsed="false">
      <c r="A70" s="15" t="n">
        <v>70</v>
      </c>
      <c r="B70" s="16" t="str">
        <f aca="false">IF(Petunjuk!$C$4="","",Petunjuk!$C$4)</f>
        <v>fenny</v>
      </c>
      <c r="C70" s="17" t="str">
        <f aca="false">IF(INDEX(Korpus!$A:$A,$A70)="","",INDEX(Korpus!$A:$A,$A70))</f>
        <v>UU 27 Thn 2022 (PDP)</v>
      </c>
      <c r="D70" s="17" t="str">
        <f aca="false">TRIM(INDEX(Korpus!$D:$D,$A70)&amp;" "&amp;INDEX(Korpus!$E:$E,$A70))</f>
        <v>Pasal 43</v>
      </c>
      <c r="E70" s="17" t="str">
        <f aca="false">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62</v>
      </c>
      <c r="G70" s="18" t="s">
        <v>63</v>
      </c>
      <c r="H70" s="18" t="s">
        <v>64</v>
      </c>
      <c r="I70" s="18" t="s">
        <v>93</v>
      </c>
      <c r="J70" s="18" t="s">
        <v>84</v>
      </c>
      <c r="K70" s="18" t="s">
        <v>81</v>
      </c>
      <c r="L70" s="18"/>
      <c r="M70" s="19"/>
      <c r="N70" s="19"/>
      <c r="O70" s="15" t="s">
        <v>69</v>
      </c>
      <c r="P70" s="17" t="str">
        <f aca="false">IF(COUNTA(F70:K70)=6,"Lengkap","Belum lengkap ("&amp;(6-COUNTA(F70:K70))&amp;")")</f>
        <v>Lengkap</v>
      </c>
      <c r="Q70" s="17" t="str">
        <f aca="false">IF(COUNTA(F70:K70)&lt;6,"",IF(IF(AND(G70="R0",K70&lt;&gt;"K5"),"R0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","")="","OK",IF(AND(G70="R0",K70&lt;&gt;"K5"),"R0 harus K5; ","")&amp;IF(AND(G70="R1",K70="K3"),"R1 tidak boleh K3 (fungsional); ","")&amp;IF(AND(G70="R2",K70="K5"),"R2 tidak boleh K5; ","")&amp;IF(AND(G70="R2",OR(F70="S6",F70="S7",F70="S8")),"R2 tidak boleh S6/S7/S8; ","")&amp;IF(AND(I70="P9",H70&lt;&gt;"T17"),"P9 hanya dengan T17; ","")&amp;IF(AND(OR(H70="T17",I70="P9"),G70&lt;&gt;"R0"),"T17/P9 harus R0; ","")&amp;IF(AND(H70="T01",I70&lt;&gt;"P6",N70=""),"T01 biasanya P6; jelaskan di V12; ","")&amp;IF(AND(I70="P1",K70&lt;&gt;"K4",N70=""),"P1 biasanya K4; jelaskan di V12; ","")))</f>
        <v>OK</v>
      </c>
      <c r="R70" s="17" t="str">
        <f aca="false">IF(INDEX(Korpus!$B:$B,$A70)="","",INDEX(Korpus!$B:$B,$A70))</f>
        <v>BAB VIKEWAJIBAN PENGENDALI DATA PRIBADI DAN PROSESOR DATA PRIBADI DALAM PEMROSESAN DATA PRIBADI</v>
      </c>
      <c r="S70" s="17" t="str">
        <f aca="false">IF(INDEX(Korpus!$C:$C,$A70)="","",INDEX(Korpus!$C:$C,$A70))</f>
        <v>Bagian KeduaKewajiban Pengendali Data Pribadi</v>
      </c>
    </row>
    <row r="71" customFormat="false" ht="60" hidden="true" customHeight="true" outlineLevel="0" collapsed="false">
      <c r="A71" s="15" t="n">
        <v>71</v>
      </c>
      <c r="B71" s="16" t="str">
        <f aca="false">IF(Petunjuk!$C$4="","",Petunjuk!$C$4)</f>
        <v>fenny</v>
      </c>
      <c r="C71" s="17" t="str">
        <f aca="false">IF(INDEX(Korpus!$A:$A,$A71)="","",INDEX(Korpus!$A:$A,$A71))</f>
        <v>UU 27 Thn 2022 (PDP)</v>
      </c>
      <c r="D71" s="17" t="str">
        <f aca="false">TRIM(INDEX(Korpus!$D:$D,$A71)&amp;" "&amp;INDEX(Korpus!$E:$E,$A71))</f>
        <v>Pasal 44</v>
      </c>
      <c r="E71" s="17" t="str">
        <f aca="false">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aca="false">IF(COUNTA(F71:K71)=6,"Lengkap","Belum lengkap ("&amp;(6-COUNTA(F71:K71))&amp;")")</f>
        <v>Belum lengkap (6)</v>
      </c>
      <c r="Q71" s="17" t="str">
        <f aca="false">IF(COUNTA(F71:K71)&lt;6,"",IF(IF(AND(G71="R0",K71&lt;&gt;"K5"),"R0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","")="","OK",IF(AND(G71="R0",K71&lt;&gt;"K5"),"R0 harus K5; ","")&amp;IF(AND(G71="R1",K71="K3"),"R1 tidak boleh K3 (fungsional); ","")&amp;IF(AND(G71="R2",K71="K5"),"R2 tidak boleh K5; ","")&amp;IF(AND(G71="R2",OR(F71="S6",F71="S7",F71="S8")),"R2 tidak boleh S6/S7/S8; ","")&amp;IF(AND(I71="P9",H71&lt;&gt;"T17"),"P9 hanya dengan T17; ","")&amp;IF(AND(OR(H71="T17",I71="P9"),G71&lt;&gt;"R0"),"T17/P9 harus R0; ","")&amp;IF(AND(H71="T01",I71&lt;&gt;"P6",N71=""),"T01 biasanya P6; jelaskan di V12; ","")&amp;IF(AND(I71="P1",K71&lt;&gt;"K4",N71=""),"P1 biasanya K4; jelaskan di V12; ","")))</f>
        <v/>
      </c>
      <c r="R71" s="17" t="str">
        <f aca="false">IF(INDEX(Korpus!$B:$B,$A71)="","",INDEX(Korpus!$B:$B,$A71))</f>
        <v>BAB VIKEWAJIBAN PENGENDALI DATA PRIBADI DAN PROSESOR DATA PRIBADI DALAM PEMROSESAN DATA PRIBADI</v>
      </c>
      <c r="S71" s="17" t="str">
        <f aca="false">IF(INDEX(Korpus!$C:$C,$A71)="","",INDEX(Korpus!$C:$C,$A71))</f>
        <v>Bagian KeduaKewajiban Pengendali Data Pribadi</v>
      </c>
    </row>
    <row r="72" customFormat="false" ht="60" hidden="true" customHeight="true" outlineLevel="0" collapsed="false">
      <c r="A72" s="15" t="n">
        <v>72</v>
      </c>
      <c r="B72" s="16" t="str">
        <f aca="false">IF(Petunjuk!$C$4="","",Petunjuk!$C$4)</f>
        <v>fenny</v>
      </c>
      <c r="C72" s="17" t="str">
        <f aca="false">IF(INDEX(Korpus!$A:$A,$A72)="","",INDEX(Korpus!$A:$A,$A72))</f>
        <v>UU 27 Thn 2022 (PDP)</v>
      </c>
      <c r="D72" s="17" t="str">
        <f aca="false">TRIM(INDEX(Korpus!$D:$D,$A72)&amp;" "&amp;INDEX(Korpus!$E:$E,$A72))</f>
        <v>Pasal 45</v>
      </c>
      <c r="E72" s="17" t="str">
        <f aca="false">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aca="false">IF(COUNTA(F72:K72)=6,"Lengkap","Belum lengkap ("&amp;(6-COUNTA(F72:K72))&amp;")")</f>
        <v>Belum lengkap (6)</v>
      </c>
      <c r="Q72" s="17" t="str">
        <f aca="false">IF(COUNTA(F72:K72)&lt;6,"",IF(IF(AND(G72="R0",K72&lt;&gt;"K5"),"R0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","")="","OK",IF(AND(G72="R0",K72&lt;&gt;"K5"),"R0 harus K5; ","")&amp;IF(AND(G72="R1",K72="K3"),"R1 tidak boleh K3 (fungsional); ","")&amp;IF(AND(G72="R2",K72="K5"),"R2 tidak boleh K5; ","")&amp;IF(AND(G72="R2",OR(F72="S6",F72="S7",F72="S8")),"R2 tidak boleh S6/S7/S8; ","")&amp;IF(AND(I72="P9",H72&lt;&gt;"T17"),"P9 hanya dengan T17; ","")&amp;IF(AND(OR(H72="T17",I72="P9"),G72&lt;&gt;"R0"),"T17/P9 harus R0; ","")&amp;IF(AND(H72="T01",I72&lt;&gt;"P6",N72=""),"T01 biasanya P6; jelaskan di V12; ","")&amp;IF(AND(I72="P1",K72&lt;&gt;"K4",N72=""),"P1 biasanya K4; jelaskan di V12; ","")))</f>
        <v/>
      </c>
      <c r="R72" s="17" t="str">
        <f aca="false">IF(INDEX(Korpus!$B:$B,$A72)="","",INDEX(Korpus!$B:$B,$A72))</f>
        <v>BAB VIKEWAJIBAN PENGENDALI DATA PRIBADI DAN PROSESOR DATA PRIBADI DALAM PEMROSESAN DATA PRIBADI</v>
      </c>
      <c r="S72" s="17" t="str">
        <f aca="false">IF(INDEX(Korpus!$C:$C,$A72)="","",INDEX(Korpus!$C:$C,$A72))</f>
        <v>Bagian KeduaKewajiban Pengendali Data Pribadi</v>
      </c>
    </row>
    <row r="73" customFormat="false" ht="60" hidden="true" customHeight="true" outlineLevel="0" collapsed="false">
      <c r="A73" s="15" t="n">
        <v>73</v>
      </c>
      <c r="B73" s="16" t="str">
        <f aca="false">IF(Petunjuk!$C$4="","",Petunjuk!$C$4)</f>
        <v>fenny</v>
      </c>
      <c r="C73" s="17" t="str">
        <f aca="false">IF(INDEX(Korpus!$A:$A,$A73)="","",INDEX(Korpus!$A:$A,$A73))</f>
        <v>UU 27 Thn 2022 (PDP)</v>
      </c>
      <c r="D73" s="17" t="str">
        <f aca="false">TRIM(INDEX(Korpus!$D:$D,$A73)&amp;" "&amp;INDEX(Korpus!$E:$E,$A73))</f>
        <v>Pasal 46</v>
      </c>
      <c r="E73" s="17" t="str">
        <f aca="false">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aca="false">IF(COUNTA(F73:K73)=6,"Lengkap","Belum lengkap ("&amp;(6-COUNTA(F73:K73))&amp;")")</f>
        <v>Belum lengkap (6)</v>
      </c>
      <c r="Q73" s="17" t="str">
        <f aca="false">IF(COUNTA(F73:K73)&lt;6,"",IF(IF(AND(G73="R0",K73&lt;&gt;"K5"),"R0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","")="","OK",IF(AND(G73="R0",K73&lt;&gt;"K5"),"R0 harus K5; ","")&amp;IF(AND(G73="R1",K73="K3"),"R1 tidak boleh K3 (fungsional); ","")&amp;IF(AND(G73="R2",K73="K5"),"R2 tidak boleh K5; ","")&amp;IF(AND(G73="R2",OR(F73="S6",F73="S7",F73="S8")),"R2 tidak boleh S6/S7/S8; ","")&amp;IF(AND(I73="P9",H73&lt;&gt;"T17"),"P9 hanya dengan T17; ","")&amp;IF(AND(OR(H73="T17",I73="P9"),G73&lt;&gt;"R0"),"T17/P9 harus R0; ","")&amp;IF(AND(H73="T01",I73&lt;&gt;"P6",N73=""),"T01 biasanya P6; jelaskan di V12; ","")&amp;IF(AND(I73="P1",K73&lt;&gt;"K4",N73=""),"P1 biasanya K4; jelaskan di V12; ","")))</f>
        <v/>
      </c>
      <c r="R73" s="17" t="str">
        <f aca="false">IF(INDEX(Korpus!$B:$B,$A73)="","",INDEX(Korpus!$B:$B,$A73))</f>
        <v>BAB VIKEWAJIBAN PENGENDALI DATA PRIBADI DAN PROSESOR DATA PRIBADI DALAM PEMROSESAN DATA PRIBADI</v>
      </c>
      <c r="S73" s="17" t="str">
        <f aca="false">IF(INDEX(Korpus!$C:$C,$A73)="","",INDEX(Korpus!$C:$C,$A73))</f>
        <v>Bagian KeduaKewajiban Pengendali Data Pribadi</v>
      </c>
    </row>
    <row r="74" customFormat="false" ht="60" hidden="true" customHeight="true" outlineLevel="0" collapsed="false">
      <c r="A74" s="15" t="n">
        <v>74</v>
      </c>
      <c r="B74" s="16" t="str">
        <f aca="false">IF(Petunjuk!$C$4="","",Petunjuk!$C$4)</f>
        <v>fenny</v>
      </c>
      <c r="C74" s="17" t="str">
        <f aca="false">IF(INDEX(Korpus!$A:$A,$A74)="","",INDEX(Korpus!$A:$A,$A74))</f>
        <v>UU 27 Thn 2022 (PDP)</v>
      </c>
      <c r="D74" s="17" t="str">
        <f aca="false">TRIM(INDEX(Korpus!$D:$D,$A74)&amp;" "&amp;INDEX(Korpus!$E:$E,$A74))</f>
        <v>Pasal 47</v>
      </c>
      <c r="E74" s="17" t="str">
        <f aca="false">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aca="false">IF(COUNTA(F74:K74)=6,"Lengkap","Belum lengkap ("&amp;(6-COUNTA(F74:K74))&amp;")")</f>
        <v>Belum lengkap (6)</v>
      </c>
      <c r="Q74" s="17" t="str">
        <f aca="false">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7" t="str">
        <f aca="false">IF(INDEX(Korpus!$B:$B,$A74)="","",INDEX(Korpus!$B:$B,$A74))</f>
        <v>BAB VIKEWAJIBAN PENGENDALI DATA PRIBADI DAN PROSESOR DATA PRIBADI DALAM PEMROSESAN DATA PRIBADI</v>
      </c>
      <c r="S74" s="17" t="str">
        <f aca="false">IF(INDEX(Korpus!$C:$C,$A74)="","",INDEX(Korpus!$C:$C,$A74))</f>
        <v>Bagian KeduaKewajiban Pengendali Data Pribadi</v>
      </c>
    </row>
    <row r="75" customFormat="false" ht="60" hidden="true" customHeight="true" outlineLevel="0" collapsed="false">
      <c r="A75" s="15" t="n">
        <v>75</v>
      </c>
      <c r="B75" s="16" t="str">
        <f aca="false">IF(Petunjuk!$C$4="","",Petunjuk!$C$4)</f>
        <v>fenny</v>
      </c>
      <c r="C75" s="17" t="str">
        <f aca="false">IF(INDEX(Korpus!$A:$A,$A75)="","",INDEX(Korpus!$A:$A,$A75))</f>
        <v>UU 27 Thn 2022 (PDP)</v>
      </c>
      <c r="D75" s="17" t="str">
        <f aca="false">TRIM(INDEX(Korpus!$D:$D,$A75)&amp;" "&amp;INDEX(Korpus!$E:$E,$A75))</f>
        <v>Pasal 48</v>
      </c>
      <c r="E75" s="17" t="str">
        <f aca="false">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aca="false">IF(COUNTA(F75:K75)=6,"Lengkap","Belum lengkap ("&amp;(6-COUNTA(F75:K75))&amp;")")</f>
        <v>Belum lengkap (6)</v>
      </c>
      <c r="Q75" s="17" t="str">
        <f aca="false">IF(COUNTA(F75:K75)&lt;6,"",IF(IF(AND(G75="R0",K75&lt;&gt;"K5"),"R0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","")="","OK",IF(AND(G75="R0",K75&lt;&gt;"K5"),"R0 harus K5; ","")&amp;IF(AND(G75="R1",K75="K3"),"R1 tidak boleh K3 (fungsional); ","")&amp;IF(AND(G75="R2",K75="K5"),"R2 tidak boleh K5; ","")&amp;IF(AND(G75="R2",OR(F75="S6",F75="S7",F75="S8")),"R2 tidak boleh S6/S7/S8; ","")&amp;IF(AND(I75="P9",H75&lt;&gt;"T17"),"P9 hanya dengan T17; ","")&amp;IF(AND(OR(H75="T17",I75="P9"),G75&lt;&gt;"R0"),"T17/P9 harus R0; ","")&amp;IF(AND(H75="T01",I75&lt;&gt;"P6",N75=""),"T01 biasanya P6; jelaskan di V12; ","")&amp;IF(AND(I75="P1",K75&lt;&gt;"K4",N75=""),"P1 biasanya K4; jelaskan di V12; ","")))</f>
        <v/>
      </c>
      <c r="R75" s="17" t="str">
        <f aca="false">IF(INDEX(Korpus!$B:$B,$A75)="","",INDEX(Korpus!$B:$B,$A75))</f>
        <v>BAB VIKEWAJIBAN PENGENDALI DATA PRIBADI DAN PROSESOR DATA PRIBADI DALAM PEMROSESAN DATA PRIBADI</v>
      </c>
      <c r="S75" s="17" t="str">
        <f aca="false">IF(INDEX(Korpus!$C:$C,$A75)="","",INDEX(Korpus!$C:$C,$A75))</f>
        <v>Bagian KeduaKewajiban Pengendali Data Pribadi</v>
      </c>
    </row>
    <row r="76" customFormat="false" ht="60" hidden="true" customHeight="true" outlineLevel="0" collapsed="false">
      <c r="A76" s="15" t="n">
        <v>76</v>
      </c>
      <c r="B76" s="16" t="str">
        <f aca="false">IF(Petunjuk!$C$4="","",Petunjuk!$C$4)</f>
        <v>fenny</v>
      </c>
      <c r="C76" s="17" t="str">
        <f aca="false">IF(INDEX(Korpus!$A:$A,$A76)="","",INDEX(Korpus!$A:$A,$A76))</f>
        <v>UU 27 Thn 2022 (PDP)</v>
      </c>
      <c r="D76" s="17" t="str">
        <f aca="false">TRIM(INDEX(Korpus!$D:$D,$A76)&amp;" "&amp;INDEX(Korpus!$E:$E,$A76))</f>
        <v>Pasal 49</v>
      </c>
      <c r="E76" s="17" t="str">
        <f aca="false">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aca="false">IF(COUNTA(F76:K76)=6,"Lengkap","Belum lengkap ("&amp;(6-COUNTA(F76:K76))&amp;")")</f>
        <v>Belum lengkap (6)</v>
      </c>
      <c r="Q76" s="17" t="str">
        <f aca="false">IF(COUNTA(F76:K76)&lt;6,"",IF(IF(AND(G76="R0",K76&lt;&gt;"K5"),"R0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","")="","OK",IF(AND(G76="R0",K76&lt;&gt;"K5"),"R0 harus K5; ","")&amp;IF(AND(G76="R1",K76="K3"),"R1 tidak boleh K3 (fungsional); ","")&amp;IF(AND(G76="R2",K76="K5"),"R2 tidak boleh K5; ","")&amp;IF(AND(G76="R2",OR(F76="S6",F76="S7",F76="S8")),"R2 tidak boleh S6/S7/S8; ","")&amp;IF(AND(I76="P9",H76&lt;&gt;"T17"),"P9 hanya dengan T17; ","")&amp;IF(AND(OR(H76="T17",I76="P9"),G76&lt;&gt;"R0"),"T17/P9 harus R0; ","")&amp;IF(AND(H76="T01",I76&lt;&gt;"P6",N76=""),"T01 biasanya P6; jelaskan di V12; ","")&amp;IF(AND(I76="P1",K76&lt;&gt;"K4",N76=""),"P1 biasanya K4; jelaskan di V12; ","")))</f>
        <v/>
      </c>
      <c r="R76" s="17" t="str">
        <f aca="false">IF(INDEX(Korpus!$B:$B,$A76)="","",INDEX(Korpus!$B:$B,$A76))</f>
        <v>BAB VIKEWAJIBAN PENGENDALI DATA PRIBADI DAN PROSESOR DATA PRIBADI DALAM PEMROSESAN DATA PRIBADI</v>
      </c>
      <c r="S76" s="17" t="str">
        <f aca="false">IF(INDEX(Korpus!$C:$C,$A76)="","",INDEX(Korpus!$C:$C,$A76))</f>
        <v>Bagian KeduaKewajiban Pengendali Data Pribadi</v>
      </c>
    </row>
    <row r="77" customFormat="false" ht="60" hidden="true" customHeight="true" outlineLevel="0" collapsed="false">
      <c r="A77" s="15" t="n">
        <v>77</v>
      </c>
      <c r="B77" s="16" t="str">
        <f aca="false">IF(Petunjuk!$C$4="","",Petunjuk!$C$4)</f>
        <v>fenny</v>
      </c>
      <c r="C77" s="17" t="str">
        <f aca="false">IF(INDEX(Korpus!$A:$A,$A77)="","",INDEX(Korpus!$A:$A,$A77))</f>
        <v>UU 27 Thn 2022 (PDP)</v>
      </c>
      <c r="D77" s="17" t="str">
        <f aca="false">TRIM(INDEX(Korpus!$D:$D,$A77)&amp;" "&amp;INDEX(Korpus!$E:$E,$A77))</f>
        <v>Pasal 50</v>
      </c>
      <c r="E77" s="17" t="str">
        <f aca="false">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aca="false">IF(COUNTA(F77:K77)=6,"Lengkap","Belum lengkap ("&amp;(6-COUNTA(F77:K77))&amp;")")</f>
        <v>Belum lengkap (6)</v>
      </c>
      <c r="Q77" s="17" t="str">
        <f aca="false">IF(COUNTA(F77:K77)&lt;6,"",IF(IF(AND(G77="R0",K77&lt;&gt;"K5"),"R0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","")="","OK",IF(AND(G77="R0",K77&lt;&gt;"K5"),"R0 harus K5; ","")&amp;IF(AND(G77="R1",K77="K3"),"R1 tidak boleh K3 (fungsional); ","")&amp;IF(AND(G77="R2",K77="K5"),"R2 tidak boleh K5; ","")&amp;IF(AND(G77="R2",OR(F77="S6",F77="S7",F77="S8")),"R2 tidak boleh S6/S7/S8; ","")&amp;IF(AND(I77="P9",H77&lt;&gt;"T17"),"P9 hanya dengan T17; ","")&amp;IF(AND(OR(H77="T17",I77="P9"),G77&lt;&gt;"R0"),"T17/P9 harus R0; ","")&amp;IF(AND(H77="T01",I77&lt;&gt;"P6",N77=""),"T01 biasanya P6; jelaskan di V12; ","")&amp;IF(AND(I77="P1",K77&lt;&gt;"K4",N77=""),"P1 biasanya K4; jelaskan di V12; ","")))</f>
        <v/>
      </c>
      <c r="R77" s="17" t="str">
        <f aca="false">IF(INDEX(Korpus!$B:$B,$A77)="","",INDEX(Korpus!$B:$B,$A77))</f>
        <v>BAB VIKEWAJIBAN PENGENDALI DATA PRIBADI DAN PROSESOR DATA PRIBADI DALAM PEMROSESAN DATA PRIBADI</v>
      </c>
      <c r="S77" s="17" t="str">
        <f aca="false">IF(INDEX(Korpus!$C:$C,$A77)="","",INDEX(Korpus!$C:$C,$A77))</f>
        <v>Bagian KeduaKewajiban Pengendali Data Pribadi</v>
      </c>
    </row>
    <row r="78" customFormat="false" ht="60" hidden="true" customHeight="true" outlineLevel="0" collapsed="false">
      <c r="A78" s="15" t="n">
        <v>78</v>
      </c>
      <c r="B78" s="16" t="str">
        <f aca="false">IF(Petunjuk!$C$4="","",Petunjuk!$C$4)</f>
        <v>fenny</v>
      </c>
      <c r="C78" s="17" t="str">
        <f aca="false">IF(INDEX(Korpus!$A:$A,$A78)="","",INDEX(Korpus!$A:$A,$A78))</f>
        <v>UU 27 Thn 2022 (PDP)</v>
      </c>
      <c r="D78" s="17" t="str">
        <f aca="false">TRIM(INDEX(Korpus!$D:$D,$A78)&amp;" "&amp;INDEX(Korpus!$E:$E,$A78))</f>
        <v>Pasal 51</v>
      </c>
      <c r="E78" s="17" t="str">
        <f aca="false">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aca="false">IF(COUNTA(F78:K78)=6,"Lengkap","Belum lengkap ("&amp;(6-COUNTA(F78:K78))&amp;")")</f>
        <v>Belum lengkap (6)</v>
      </c>
      <c r="Q78" s="17" t="str">
        <f aca="false">IF(COUNTA(F78:K78)&lt;6,"",IF(IF(AND(G78="R0",K78&lt;&gt;"K5"),"R0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","")="","OK",IF(AND(G78="R0",K78&lt;&gt;"K5"),"R0 harus K5; ","")&amp;IF(AND(G78="R1",K78="K3"),"R1 tidak boleh K3 (fungsional); ","")&amp;IF(AND(G78="R2",K78="K5"),"R2 tidak boleh K5; ","")&amp;IF(AND(G78="R2",OR(F78="S6",F78="S7",F78="S8")),"R2 tidak boleh S6/S7/S8; ","")&amp;IF(AND(I78="P9",H78&lt;&gt;"T17"),"P9 hanya dengan T17; ","")&amp;IF(AND(OR(H78="T17",I78="P9"),G78&lt;&gt;"R0"),"T17/P9 harus R0; ","")&amp;IF(AND(H78="T01",I78&lt;&gt;"P6",N78=""),"T01 biasanya P6; jelaskan di V12; ","")&amp;IF(AND(I78="P1",K78&lt;&gt;"K4",N78=""),"P1 biasanya K4; jelaskan di V12; ","")))</f>
        <v/>
      </c>
      <c r="R78" s="17" t="str">
        <f aca="false">IF(INDEX(Korpus!$B:$B,$A78)="","",INDEX(Korpus!$B:$B,$A78))</f>
        <v>BAB VIKEWAJIBAN PENGENDALI DATA PRIBADI DAN PROSESOR DATA PRIBADI DALAM PEMROSESAN DATA PRIBADI</v>
      </c>
      <c r="S78" s="17" t="str">
        <f aca="false">IF(INDEX(Korpus!$C:$C,$A78)="","",INDEX(Korpus!$C:$C,$A78))</f>
        <v>Bagian KetigaKewajiban Prosesor Data Pribadi</v>
      </c>
    </row>
    <row r="79" customFormat="false" ht="60" hidden="false" customHeight="true" outlineLevel="0" collapsed="false">
      <c r="A79" s="15" t="n">
        <v>79</v>
      </c>
      <c r="B79" s="16" t="str">
        <f aca="false">IF(Petunjuk!$C$4="","",Petunjuk!$C$4)</f>
        <v>fenny</v>
      </c>
      <c r="C79" s="17" t="str">
        <f aca="false">IF(INDEX(Korpus!$A:$A,$A79)="","",INDEX(Korpus!$A:$A,$A79))</f>
        <v>UU 27 Thn 2022 (PDP)</v>
      </c>
      <c r="D79" s="17" t="str">
        <f aca="false">TRIM(INDEX(Korpus!$D:$D,$A79)&amp;" "&amp;INDEX(Korpus!$E:$E,$A79))</f>
        <v>Pasal 52</v>
      </c>
      <c r="E79" s="17" t="str">
        <f aca="false">IF(INDEX(Korpus!$F:$F,$A79)="","",INDEX(Korpus!$F:$F,$A79))</f>
        <v>Ketentuan mengenai kewajiban Pengendali Data Pribadi sebagaimana dimaksud dalam Pasal 29, Pasal 31, Pasal 35, Pasal 36, Pasal 37, Pasal 38, dan Pasal 39 berlaku juga terhadap Prosesor Data Pribadi.</v>
      </c>
      <c r="F79" s="18" t="s">
        <v>86</v>
      </c>
      <c r="G79" s="18" t="s">
        <v>87</v>
      </c>
      <c r="H79" s="18" t="s">
        <v>95</v>
      </c>
      <c r="I79" s="18" t="s">
        <v>96</v>
      </c>
      <c r="J79" s="18" t="s">
        <v>97</v>
      </c>
      <c r="K79" s="18" t="s">
        <v>77</v>
      </c>
      <c r="L79" s="18"/>
      <c r="M79" s="19"/>
      <c r="N79" s="19"/>
      <c r="O79" s="15" t="s">
        <v>69</v>
      </c>
      <c r="P79" s="17" t="str">
        <f aca="false">IF(COUNTA(F79:K79)=6,"Lengkap","Belum lengkap ("&amp;(6-COUNTA(F79:K79))&amp;")")</f>
        <v>Lengkap</v>
      </c>
      <c r="Q79" s="17" t="str">
        <f aca="false">IF(COUNTA(F79:K79)&lt;6,"",IF(IF(AND(G79="R0",K79&lt;&gt;"K5"),"R0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","")="","OK",IF(AND(G79="R0",K79&lt;&gt;"K5"),"R0 harus K5; ","")&amp;IF(AND(G79="R1",K79="K3"),"R1 tidak boleh K3 (fungsional); ","")&amp;IF(AND(G79="R2",K79="K5"),"R2 tidak boleh K5; ","")&amp;IF(AND(G79="R2",OR(F79="S6",F79="S7",F79="S8")),"R2 tidak boleh S6/S7/S8; ","")&amp;IF(AND(I79="P9",H79&lt;&gt;"T17"),"P9 hanya dengan T17; ","")&amp;IF(AND(OR(H79="T17",I79="P9"),G79&lt;&gt;"R0"),"T17/P9 harus R0; ","")&amp;IF(AND(H79="T01",I79&lt;&gt;"P6",N79=""),"T01 biasanya P6; jelaskan di V12; ","")&amp;IF(AND(I79="P1",K79&lt;&gt;"K4",N79=""),"P1 biasanya K4; jelaskan di V12; ","")))</f>
        <v>OK</v>
      </c>
      <c r="R79" s="17" t="str">
        <f aca="false">IF(INDEX(Korpus!$B:$B,$A79)="","",INDEX(Korpus!$B:$B,$A79))</f>
        <v>BAB VIKEWAJIBAN PENGENDALI DATA PRIBADI DAN PROSESOR DATA PRIBADI DALAM PEMROSESAN DATA PRIBADI</v>
      </c>
      <c r="S79" s="17" t="str">
        <f aca="false">IF(INDEX(Korpus!$C:$C,$A79)="","",INDEX(Korpus!$C:$C,$A79))</f>
        <v>Bagian KetigaKewajiban Prosesor Data Pribadi</v>
      </c>
    </row>
    <row r="80" customFormat="false" ht="60" hidden="true" customHeight="true" outlineLevel="0" collapsed="false">
      <c r="A80" s="15" t="n">
        <v>80</v>
      </c>
      <c r="B80" s="16" t="str">
        <f aca="false">IF(Petunjuk!$C$4="","",Petunjuk!$C$4)</f>
        <v>fenny</v>
      </c>
      <c r="C80" s="17" t="str">
        <f aca="false">IF(INDEX(Korpus!$A:$A,$A80)="","",INDEX(Korpus!$A:$A,$A80))</f>
        <v>UU 27 Thn 2022 (PDP)</v>
      </c>
      <c r="D80" s="17" t="str">
        <f aca="false">TRIM(INDEX(Korpus!$D:$D,$A80)&amp;" "&amp;INDEX(Korpus!$E:$E,$A80))</f>
        <v>Pasal 53</v>
      </c>
      <c r="E80" s="17" t="str">
        <f aca="false">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aca="false">IF(COUNTA(F80:K80)=6,"Lengkap","Belum lengkap ("&amp;(6-COUNTA(F80:K80))&amp;")")</f>
        <v>Belum lengkap (6)</v>
      </c>
      <c r="Q80" s="17" t="str">
        <f aca="false">IF(COUNTA(F80:K80)&lt;6,"",IF(IF(AND(G80="R0",K80&lt;&gt;"K5"),"R0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","")="","OK",IF(AND(G80="R0",K80&lt;&gt;"K5"),"R0 harus K5; ","")&amp;IF(AND(G80="R1",K80="K3"),"R1 tidak boleh K3 (fungsional); ","")&amp;IF(AND(G80="R2",K80="K5"),"R2 tidak boleh K5; ","")&amp;IF(AND(G80="R2",OR(F80="S6",F80="S7",F80="S8")),"R2 tidak boleh S6/S7/S8; ","")&amp;IF(AND(I80="P9",H80&lt;&gt;"T17"),"P9 hanya dengan T17; ","")&amp;IF(AND(OR(H80="T17",I80="P9"),G80&lt;&gt;"R0"),"T17/P9 harus R0; ","")&amp;IF(AND(H80="T01",I80&lt;&gt;"P6",N80=""),"T01 biasanya P6; jelaskan di V12; ","")&amp;IF(AND(I80="P1",K80&lt;&gt;"K4",N80=""),"P1 biasanya K4; jelaskan di V12; ","")))</f>
        <v/>
      </c>
      <c r="R80" s="17" t="str">
        <f aca="false">IF(INDEX(Korpus!$B:$B,$A80)="","",INDEX(Korpus!$B:$B,$A80))</f>
        <v>BAB VIKEWAJIBAN PENGENDALI DATA PRIBADI DAN PROSESOR DATA PRIBADI DALAM PEMROSESAN DATA PRIBADI</v>
      </c>
      <c r="S80" s="17" t="str">
        <f aca="false">IF(INDEX(Korpus!$C:$C,$A80)="","",INDEX(Korpus!$C:$C,$A80))</f>
        <v>Bagian KeempatPejabat atau Petugas yang Melaksanakan Fungsi Pelindungan Data Pribadi</v>
      </c>
    </row>
    <row r="81" customFormat="false" ht="60" hidden="false" customHeight="true" outlineLevel="0" collapsed="false">
      <c r="A81" s="15" t="n">
        <v>81</v>
      </c>
      <c r="B81" s="16" t="str">
        <f aca="false">IF(Petunjuk!$C$4="","",Petunjuk!$C$4)</f>
        <v>fenny</v>
      </c>
      <c r="C81" s="17" t="str">
        <f aca="false">IF(INDEX(Korpus!$A:$A,$A81)="","",INDEX(Korpus!$A:$A,$A81))</f>
        <v>UU 27 Thn 2022 (PDP)</v>
      </c>
      <c r="D81" s="17" t="str">
        <f aca="false">TRIM(INDEX(Korpus!$D:$D,$A81)&amp;" "&amp;INDEX(Korpus!$E:$E,$A81))</f>
        <v>Pasal 55</v>
      </c>
      <c r="E81" s="17" t="str">
        <f aca="false">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89</v>
      </c>
      <c r="G81" s="18" t="s">
        <v>63</v>
      </c>
      <c r="H81" s="18" t="s">
        <v>98</v>
      </c>
      <c r="I81" s="18" t="s">
        <v>99</v>
      </c>
      <c r="J81" s="18" t="s">
        <v>84</v>
      </c>
      <c r="K81" s="18" t="s">
        <v>67</v>
      </c>
      <c r="L81" s="18"/>
      <c r="M81" s="19"/>
      <c r="N81" s="19"/>
      <c r="O81" s="15" t="s">
        <v>69</v>
      </c>
      <c r="P81" s="17" t="str">
        <f aca="false">IF(COUNTA(F81:K81)=6,"Lengkap","Belum lengkap ("&amp;(6-COUNTA(F81:K81))&amp;")")</f>
        <v>Lengkap</v>
      </c>
      <c r="Q81" s="17" t="str">
        <f aca="false">IF(COUNTA(F81:K81)&lt;6,"",IF(IF(AND(G81="R0",K81&lt;&gt;"K5"),"R0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","")="","OK",IF(AND(G81="R0",K81&lt;&gt;"K5"),"R0 harus K5; ","")&amp;IF(AND(G81="R1",K81="K3"),"R1 tidak boleh K3 (fungsional); ","")&amp;IF(AND(G81="R2",K81="K5"),"R2 tidak boleh K5; ","")&amp;IF(AND(G81="R2",OR(F81="S6",F81="S7",F81="S8")),"R2 tidak boleh S6/S7/S8; ","")&amp;IF(AND(I81="P9",H81&lt;&gt;"T17"),"P9 hanya dengan T17; ","")&amp;IF(AND(OR(H81="T17",I81="P9"),G81&lt;&gt;"R0"),"T17/P9 harus R0; ","")&amp;IF(AND(H81="T01",I81&lt;&gt;"P6",N81=""),"T01 biasanya P6; jelaskan di V12; ","")&amp;IF(AND(I81="P1",K81&lt;&gt;"K4",N81=""),"P1 biasanya K4; jelaskan di V12; ","")))</f>
        <v>OK</v>
      </c>
      <c r="R81" s="17" t="str">
        <f aca="false">IF(INDEX(Korpus!$B:$B,$A81)="","",INDEX(Korpus!$B:$B,$A81))</f>
        <v>BAB VII TRANSFER DATA PRIBADI</v>
      </c>
      <c r="S81" s="17" t="str">
        <f aca="false">IF(INDEX(Korpus!$C:$C,$A81)="","",INDEX(Korpus!$C:$C,$A81))</f>
        <v>Bagian KesatuTransfer Data Pribadi Dalam Wilayah Hukum Negara Republik Indonesia</v>
      </c>
    </row>
    <row r="82" customFormat="false" ht="60" hidden="true" customHeight="true" outlineLevel="0" collapsed="false">
      <c r="A82" s="15" t="n">
        <v>82</v>
      </c>
      <c r="B82" s="16" t="str">
        <f aca="false">IF(Petunjuk!$C$4="","",Petunjuk!$C$4)</f>
        <v>fenny</v>
      </c>
      <c r="C82" s="17" t="str">
        <f aca="false">IF(INDEX(Korpus!$A:$A,$A82)="","",INDEX(Korpus!$A:$A,$A82))</f>
        <v>UU 27 Thn 2022 (PDP)</v>
      </c>
      <c r="D82" s="17" t="str">
        <f aca="false">TRIM(INDEX(Korpus!$D:$D,$A82)&amp;" "&amp;INDEX(Korpus!$E:$E,$A82))</f>
        <v>Pasal 56</v>
      </c>
      <c r="E82" s="17" t="str">
        <f aca="false">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aca="false">IF(COUNTA(F82:K82)=6,"Lengkap","Belum lengkap ("&amp;(6-COUNTA(F82:K82))&amp;")")</f>
        <v>Belum lengkap (6)</v>
      </c>
      <c r="Q82" s="17" t="str">
        <f aca="false">IF(COUNTA(F82:K82)&lt;6,"",IF(IF(AND(G82="R0",K82&lt;&gt;"K5"),"R0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","")="","OK",IF(AND(G82="R0",K82&lt;&gt;"K5"),"R0 harus K5; ","")&amp;IF(AND(G82="R1",K82="K3"),"R1 tidak boleh K3 (fungsional); ","")&amp;IF(AND(G82="R2",K82="K5"),"R2 tidak boleh K5; ","")&amp;IF(AND(G82="R2",OR(F82="S6",F82="S7",F82="S8")),"R2 tidak boleh S6/S7/S8; ","")&amp;IF(AND(I82="P9",H82&lt;&gt;"T17"),"P9 hanya dengan T17; ","")&amp;IF(AND(OR(H82="T17",I82="P9"),G82&lt;&gt;"R0"),"T17/P9 harus R0; ","")&amp;IF(AND(H82="T01",I82&lt;&gt;"P6",N82=""),"T01 biasanya P6; jelaskan di V12; ","")&amp;IF(AND(I82="P1",K82&lt;&gt;"K4",N82=""),"P1 biasanya K4; jelaskan di V12; ","")))</f>
        <v/>
      </c>
      <c r="R82" s="17" t="str">
        <f aca="false">IF(INDEX(Korpus!$B:$B,$A82)="","",INDEX(Korpus!$B:$B,$A82))</f>
        <v>BAB VII TRANSFER DATA PRIBADI</v>
      </c>
      <c r="S82" s="17" t="str">
        <f aca="false">IF(INDEX(Korpus!$C:$C,$A82)="","",INDEX(Korpus!$C:$C,$A82))</f>
        <v>Bagian Kedua</v>
      </c>
    </row>
    <row r="83" customFormat="false" ht="60" hidden="true" customHeight="true" outlineLevel="0" collapsed="false">
      <c r="A83" s="15" t="n">
        <v>83</v>
      </c>
      <c r="B83" s="16" t="str">
        <f aca="false">IF(Petunjuk!$C$4="","",Petunjuk!$C$4)</f>
        <v>fenny</v>
      </c>
      <c r="C83" s="17" t="str">
        <f aca="false">IF(INDEX(Korpus!$A:$A,$A83)="","",INDEX(Korpus!$A:$A,$A83))</f>
        <v>UU 27 Thn 2022 (PDP)</v>
      </c>
      <c r="D83" s="17" t="str">
        <f aca="false">TRIM(INDEX(Korpus!$D:$D,$A83)&amp;" "&amp;INDEX(Korpus!$E:$E,$A83))</f>
        <v>Pasal 65</v>
      </c>
      <c r="E83" s="17" t="str">
        <f aca="false">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aca="false">IF(COUNTA(F83:K83)=6,"Lengkap","Belum lengkap ("&amp;(6-COUNTA(F83:K83))&amp;")")</f>
        <v>Belum lengkap (6)</v>
      </c>
      <c r="Q83" s="17" t="str">
        <f aca="false">IF(COUNTA(F83:K83)&lt;6,"",IF(IF(AND(G83="R0",K83&lt;&gt;"K5"),"R0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","")="","OK",IF(AND(G83="R0",K83&lt;&gt;"K5"),"R0 harus K5; ","")&amp;IF(AND(G83="R1",K83="K3"),"R1 tidak boleh K3 (fungsional); ","")&amp;IF(AND(G83="R2",K83="K5"),"R2 tidak boleh K5; ","")&amp;IF(AND(G83="R2",OR(F83="S6",F83="S7",F83="S8")),"R2 tidak boleh S6/S7/S8; ","")&amp;IF(AND(I83="P9",H83&lt;&gt;"T17"),"P9 hanya dengan T17; ","")&amp;IF(AND(OR(H83="T17",I83="P9"),G83&lt;&gt;"R0"),"T17/P9 harus R0; ","")&amp;IF(AND(H83="T01",I83&lt;&gt;"P6",N83=""),"T01 biasanya P6; jelaskan di V12; ","")&amp;IF(AND(I83="P1",K83&lt;&gt;"K4",N83=""),"P1 biasanya K4; jelaskan di V12; ","")))</f>
        <v/>
      </c>
      <c r="R83" s="17" t="str">
        <f aca="false">IF(INDEX(Korpus!$B:$B,$A83)="","",INDEX(Korpus!$B:$B,$A83))</f>
        <v>BAB XIIILARANGAN DALAM PENGGUNAAN DATA PRIBADI</v>
      </c>
      <c r="S83" s="17" t="str">
        <f aca="false">IF(INDEX(Korpus!$C:$C,$A83)="","",INDEX(Korpus!$C:$C,$A83))</f>
        <v/>
      </c>
    </row>
    <row r="84" customFormat="false" ht="60" hidden="true" customHeight="true" outlineLevel="0" collapsed="false">
      <c r="A84" s="15" t="n">
        <v>84</v>
      </c>
      <c r="B84" s="16" t="str">
        <f aca="false">IF(Petunjuk!$C$4="","",Petunjuk!$C$4)</f>
        <v>fenny</v>
      </c>
      <c r="C84" s="17" t="str">
        <f aca="false">IF(INDEX(Korpus!$A:$A,$A84)="","",INDEX(Korpus!$A:$A,$A84))</f>
        <v>UU 27 Thn 2022 (PDP)</v>
      </c>
      <c r="D84" s="17" t="str">
        <f aca="false">TRIM(INDEX(Korpus!$D:$D,$A84)&amp;" "&amp;INDEX(Korpus!$E:$E,$A84))</f>
        <v>Pasal 66</v>
      </c>
      <c r="E84" s="17" t="str">
        <f aca="false">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aca="false">IF(COUNTA(F84:K84)=6,"Lengkap","Belum lengkap ("&amp;(6-COUNTA(F84:K84))&amp;")")</f>
        <v>Belum lengkap (6)</v>
      </c>
      <c r="Q84" s="17" t="str">
        <f aca="false">IF(COUNTA(F84:K84)&lt;6,"",IF(IF(AND(G84="R0",K84&lt;&gt;"K5"),"R0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","")="","OK",IF(AND(G84="R0",K84&lt;&gt;"K5"),"R0 harus K5; ","")&amp;IF(AND(G84="R1",K84="K3"),"R1 tidak boleh K3 (fungsional); ","")&amp;IF(AND(G84="R2",K84="K5"),"R2 tidak boleh K5; ","")&amp;IF(AND(G84="R2",OR(F84="S6",F84="S7",F84="S8")),"R2 tidak boleh S6/S7/S8; ","")&amp;IF(AND(I84="P9",H84&lt;&gt;"T17"),"P9 hanya dengan T17; ","")&amp;IF(AND(OR(H84="T17",I84="P9"),G84&lt;&gt;"R0"),"T17/P9 harus R0; ","")&amp;IF(AND(H84="T01",I84&lt;&gt;"P6",N84=""),"T01 biasanya P6; jelaskan di V12; ","")&amp;IF(AND(I84="P1",K84&lt;&gt;"K4",N84=""),"P1 biasanya K4; jelaskan di V12; ","")))</f>
        <v/>
      </c>
      <c r="R84" s="17" t="str">
        <f aca="false">IF(INDEX(Korpus!$B:$B,$A84)="","",INDEX(Korpus!$B:$B,$A84))</f>
        <v>BAB XIIILARANGAN DALAM PENGGUNAAN DATA PRIBADI</v>
      </c>
      <c r="S84" s="17" t="str">
        <f aca="false">IF(INDEX(Korpus!$C:$C,$A84)="","",INDEX(Korpus!$C:$C,$A84))</f>
        <v/>
      </c>
    </row>
    <row r="85" customFormat="false" ht="60" hidden="true" customHeight="true" outlineLevel="0" collapsed="false">
      <c r="A85" s="15" t="n">
        <v>85</v>
      </c>
      <c r="B85" s="16" t="str">
        <f aca="false">IF(Petunjuk!$C$4="","",Petunjuk!$C$4)</f>
        <v>fenny</v>
      </c>
      <c r="C85" s="17" t="str">
        <f aca="false">IF(INDEX(Korpus!$A:$A,$A85)="","",INDEX(Korpus!$A:$A,$A85))</f>
        <v>Perpres 39 Thn 2019 (Satu Data)</v>
      </c>
      <c r="D85" s="17" t="str">
        <f aca="false">TRIM(INDEX(Korpus!$D:$D,$A85)&amp;" "&amp;INDEX(Korpus!$E:$E,$A85))</f>
        <v>Pasal 1</v>
      </c>
      <c r="E85" s="17" t="str">
        <f aca="false">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aca="false">IF(COUNTA(F85:K85)=6,"Lengkap","Belum lengkap ("&amp;(6-COUNTA(F85:K85))&amp;")")</f>
        <v>Belum lengkap (6)</v>
      </c>
      <c r="Q85" s="17" t="str">
        <f aca="false">IF(COUNTA(F85:K85)&lt;6,"",IF(IF(AND(G85="R0",K85&lt;&gt;"K5"),"R0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","")="","OK",IF(AND(G85="R0",K85&lt;&gt;"K5"),"R0 harus K5; ","")&amp;IF(AND(G85="R1",K85="K3"),"R1 tidak boleh K3 (fungsional); ","")&amp;IF(AND(G85="R2",K85="K5"),"R2 tidak boleh K5; ","")&amp;IF(AND(G85="R2",OR(F85="S6",F85="S7",F85="S8")),"R2 tidak boleh S6/S7/S8; ","")&amp;IF(AND(I85="P9",H85&lt;&gt;"T17"),"P9 hanya dengan T17; ","")&amp;IF(AND(OR(H85="T17",I85="P9"),G85&lt;&gt;"R0"),"T17/P9 harus R0; ","")&amp;IF(AND(H85="T01",I85&lt;&gt;"P6",N85=""),"T01 biasanya P6; jelaskan di V12; ","")&amp;IF(AND(I85="P1",K85&lt;&gt;"K4",N85=""),"P1 biasanya K4; jelaskan di V12; ","")))</f>
        <v/>
      </c>
      <c r="R85" s="17" t="str">
        <f aca="false">IF(INDEX(Korpus!$B:$B,$A85)="","",INDEX(Korpus!$B:$B,$A85))</f>
        <v>BAB IKETENTUAN UMUM</v>
      </c>
      <c r="S85" s="17" t="str">
        <f aca="false">IF(INDEX(Korpus!$C:$C,$A85)="","",INDEX(Korpus!$C:$C,$A85))</f>
        <v/>
      </c>
    </row>
    <row r="86" customFormat="false" ht="60" hidden="true" customHeight="true" outlineLevel="0" collapsed="false">
      <c r="A86" s="15" t="n">
        <v>86</v>
      </c>
      <c r="B86" s="16" t="str">
        <f aca="false">IF(Petunjuk!$C$4="","",Petunjuk!$C$4)</f>
        <v>fenny</v>
      </c>
      <c r="C86" s="17" t="str">
        <f aca="false">IF(INDEX(Korpus!$A:$A,$A86)="","",INDEX(Korpus!$A:$A,$A86))</f>
        <v>Perpres 39 Thn 2019 (Satu Data)</v>
      </c>
      <c r="D86" s="17" t="str">
        <f aca="false">TRIM(INDEX(Korpus!$D:$D,$A86)&amp;" "&amp;INDEX(Korpus!$E:$E,$A86))</f>
        <v>Pasal 39</v>
      </c>
      <c r="E86" s="17" t="str">
        <f aca="false">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aca="false">IF(COUNTA(F86:K86)=6,"Lengkap","Belum lengkap ("&amp;(6-COUNTA(F86:K86))&amp;")")</f>
        <v>Belum lengkap (6)</v>
      </c>
      <c r="Q86" s="17" t="str">
        <f aca="false">IF(COUNTA(F86:K86)&lt;6,"",IF(IF(AND(G86="R0",K86&lt;&gt;"K5"),"R0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","")="","OK",IF(AND(G86="R0",K86&lt;&gt;"K5"),"R0 harus K5; ","")&amp;IF(AND(G86="R1",K86="K3"),"R1 tidak boleh K3 (fungsional); ","")&amp;IF(AND(G86="R2",K86="K5"),"R2 tidak boleh K5; ","")&amp;IF(AND(G86="R2",OR(F86="S6",F86="S7",F86="S8")),"R2 tidak boleh S6/S7/S8; ","")&amp;IF(AND(I86="P9",H86&lt;&gt;"T17"),"P9 hanya dengan T17; ","")&amp;IF(AND(OR(H86="T17",I86="P9"),G86&lt;&gt;"R0"),"T17/P9 harus R0; ","")&amp;IF(AND(H86="T01",I86&lt;&gt;"P6",N86=""),"T01 biasanya P6; jelaskan di V12; ","")&amp;IF(AND(I86="P1",K86&lt;&gt;"K4",N86=""),"P1 biasanya K4; jelaskan di V12; ","")))</f>
        <v/>
      </c>
      <c r="R86" s="17" t="str">
        <f aca="false">IF(INDEX(Korpus!$B:$B,$A86)="","",INDEX(Korpus!$B:$B,$A86))</f>
        <v>BAB IVPENYELENGGARAAN SATU DATA INDONESIA</v>
      </c>
      <c r="S86" s="17" t="str">
        <f aca="false">IF(INDEX(Korpus!$C:$C,$A86)="","",INDEX(Korpus!$C:$C,$A86))</f>
        <v>Bagian KelimaPenyebarluasan Data</v>
      </c>
    </row>
  </sheetData>
  <autoFilter ref="A1:S86">
    <filterColumn colId="14">
      <filters>
        <filter val="Ya"/>
      </filters>
    </filterColumn>
  </autoFilter>
  <conditionalFormatting sqref="Q2:Q86">
    <cfRule type="expression" priority="2" aboveAverage="0" equalAverage="0" bottom="0" percent="0" rank="0" text="" dxfId="8">
      <formula>Q2="OK"</formula>
    </cfRule>
    <cfRule type="expression" priority="3" aboveAverage="0" equalAverage="0" bottom="0" percent="0" rank="0" text="" dxfId="9">
      <formula>AND(Q2&lt;&gt;"",Q2&lt;&gt;"OK",LEFT(Q2,7)&lt;&gt;"Belum l")</formula>
    </cfRule>
  </conditionalFormatting>
  <conditionalFormatting sqref="P2:P86">
    <cfRule type="expression" priority="4" aboveAverage="0" equalAverage="0" bottom="0" percent="0" rank="0" text="" dxfId="10">
      <formula>P2="Lengkap"</formula>
    </cfRule>
  </conditionalFormatting>
  <dataValidations count="7">
    <dataValidation allowBlank="true" error="Pilih kode dari daftar (lihat sheet Daftar Kode)." errorStyle="stop" errorTitle="Kode tidak sah" operator="between" showDropDown="false" showErrorMessage="true" showInputMessage="false" sqref="F2:F86" type="list">
      <formula1>'Daftar Kode'!$B$5:$B$13</formula1>
      <formula2>0</formula2>
    </dataValidation>
    <dataValidation allowBlank="true" error="Pilih kode dari daftar (lihat sheet Daftar Kode)." errorStyle="stop" errorTitle="Kode tidak sah" operator="between" showDropDown="false" showErrorMessage="true" showInputMessage="false" sqref="G2:G86" type="list">
      <formula1>'Daftar Kode'!$B$16:$B$18</formula1>
      <formula2>0</formula2>
    </dataValidation>
    <dataValidation allowBlank="true" error="Pilih kode dari daftar (lihat sheet Daftar Kode)." errorStyle="stop" errorTitle="Kode tidak sah" operator="between" showDropDown="false" showErrorMessage="true" showInputMessage="false" sqref="H2:H86" type="list">
      <formula1>'Daftar Kode'!$B$21:$B$38</formula1>
      <formula2>0</formula2>
    </dataValidation>
    <dataValidation allowBlank="true" error="Pilih kode dari daftar (lihat sheet Daftar Kode)." errorStyle="stop" errorTitle="Kode tidak sah" operator="between" showDropDown="false" showErrorMessage="true" showInputMessage="false" sqref="I2:I86" type="list">
      <formula1>'Daftar Kode'!$B$41:$B$49</formula1>
      <formula2>0</formula2>
    </dataValidation>
    <dataValidation allowBlank="true" error="Pilih kode dari daftar (lihat sheet Daftar Kode)." errorStyle="stop" errorTitle="Kode tidak sah" operator="between" showDropDown="false" showErrorMessage="true" showInputMessage="false" sqref="J2:J86" type="list">
      <formula1>'Daftar Kode'!$B$52:$B$59</formula1>
      <formula2>0</formula2>
    </dataValidation>
    <dataValidation allowBlank="true" error="Pilih kode dari daftar (lihat sheet Daftar Kode)." errorStyle="stop" errorTitle="Kode tidak sah" operator="between" showDropDown="false" showErrorMessage="true" showInputMessage="false" sqref="K2:K86" type="list">
      <formula1>'Daftar Kode'!$B$62:$B$66</formula1>
      <formula2>0</formula2>
    </dataValidation>
    <dataValidation allowBlank="true" error="Pilih kode dari daftar (lihat sheet Daftar Kode)." errorStyle="stop" errorTitle="Kode tidak sah" operator="between" showDropDown="false" showErrorMessage="true" showInputMessage="false" sqref="L2:L86" type="list">
      <formula1>'Daftar Kode'!$B$21:$B$37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pane xSplit="0" ySplit="3" topLeftCell="A37" activePane="bottomLeft" state="frozen"/>
      <selection pane="topLeft" activeCell="A1" activeCellId="0" sqref="A1"/>
      <selection pane="bottomLeft" activeCell="A1" activeCellId="0" sqref="A1"/>
    </sheetView>
  </sheetViews>
  <sheetFormatPr defaultColWidth="8.71484375" defaultRowHeight="15" customHeight="false" zeroHeight="false" outlineLevelRow="0" outlineLevelCol="0"/>
  <cols>
    <col collapsed="false" customWidth="true" hidden="false" outlineLevel="0" max="1" min="1" style="1" width="22"/>
    <col collapsed="false" customWidth="true" hidden="false" outlineLevel="0" max="2" min="2" style="1" width="8"/>
    <col collapsed="false" customWidth="true" hidden="false" outlineLevel="0" max="3" min="3" style="1" width="58"/>
  </cols>
  <sheetData>
    <row r="1" customFormat="false" ht="17.35" hidden="false" customHeight="false" outlineLevel="0" collapsed="false">
      <c r="A1" s="2" t="s">
        <v>100</v>
      </c>
    </row>
    <row r="2" customFormat="false" ht="15" hidden="false" customHeight="false" outlineLevel="0" collapsed="false">
      <c r="A2" s="3" t="s">
        <v>101</v>
      </c>
    </row>
    <row r="4" customFormat="false" ht="15" hidden="false" customHeight="false" outlineLevel="0" collapsed="false">
      <c r="A4" s="12" t="s">
        <v>102</v>
      </c>
      <c r="B4" s="12" t="s">
        <v>53</v>
      </c>
      <c r="C4" s="12" t="s">
        <v>103</v>
      </c>
    </row>
    <row r="5" customFormat="false" ht="15" hidden="false" customHeight="false" outlineLevel="0" collapsed="false">
      <c r="A5" s="20" t="s">
        <v>32</v>
      </c>
      <c r="B5" s="21" t="s">
        <v>89</v>
      </c>
      <c r="C5" s="20" t="s">
        <v>104</v>
      </c>
    </row>
    <row r="6" customFormat="false" ht="15" hidden="false" customHeight="false" outlineLevel="0" collapsed="false">
      <c r="A6" s="20" t="s">
        <v>32</v>
      </c>
      <c r="B6" s="21" t="s">
        <v>105</v>
      </c>
      <c r="C6" s="20" t="s">
        <v>106</v>
      </c>
    </row>
    <row r="7" customFormat="false" ht="15" hidden="false" customHeight="false" outlineLevel="0" collapsed="false">
      <c r="A7" s="20" t="s">
        <v>32</v>
      </c>
      <c r="B7" s="21" t="s">
        <v>72</v>
      </c>
      <c r="C7" s="20" t="s">
        <v>107</v>
      </c>
    </row>
    <row r="8" customFormat="false" ht="15" hidden="false" customHeight="false" outlineLevel="0" collapsed="false">
      <c r="A8" s="20" t="s">
        <v>32</v>
      </c>
      <c r="B8" s="21" t="s">
        <v>62</v>
      </c>
      <c r="C8" s="20" t="s">
        <v>108</v>
      </c>
    </row>
    <row r="9" customFormat="false" ht="15" hidden="false" customHeight="false" outlineLevel="0" collapsed="false">
      <c r="A9" s="20" t="s">
        <v>32</v>
      </c>
      <c r="B9" s="21" t="s">
        <v>78</v>
      </c>
      <c r="C9" s="20" t="s">
        <v>109</v>
      </c>
    </row>
    <row r="10" customFormat="false" ht="15" hidden="false" customHeight="false" outlineLevel="0" collapsed="false">
      <c r="A10" s="20" t="s">
        <v>32</v>
      </c>
      <c r="B10" s="21" t="s">
        <v>110</v>
      </c>
      <c r="C10" s="20" t="s">
        <v>111</v>
      </c>
    </row>
    <row r="11" customFormat="false" ht="15" hidden="false" customHeight="false" outlineLevel="0" collapsed="false">
      <c r="A11" s="20" t="s">
        <v>32</v>
      </c>
      <c r="B11" s="21" t="s">
        <v>112</v>
      </c>
      <c r="C11" s="20" t="s">
        <v>113</v>
      </c>
    </row>
    <row r="12" customFormat="false" ht="15" hidden="false" customHeight="false" outlineLevel="0" collapsed="false">
      <c r="A12" s="20" t="s">
        <v>32</v>
      </c>
      <c r="B12" s="21" t="s">
        <v>114</v>
      </c>
      <c r="C12" s="20" t="s">
        <v>115</v>
      </c>
    </row>
    <row r="13" customFormat="false" ht="15" hidden="false" customHeight="false" outlineLevel="0" collapsed="false">
      <c r="A13" s="20" t="s">
        <v>32</v>
      </c>
      <c r="B13" s="21" t="s">
        <v>86</v>
      </c>
      <c r="C13" s="20" t="s">
        <v>116</v>
      </c>
    </row>
    <row r="15" customFormat="false" ht="15" hidden="false" customHeight="false" outlineLevel="0" collapsed="false">
      <c r="A15" s="12" t="s">
        <v>102</v>
      </c>
      <c r="B15" s="12" t="s">
        <v>53</v>
      </c>
      <c r="C15" s="12" t="s">
        <v>103</v>
      </c>
    </row>
    <row r="16" customFormat="false" ht="15" hidden="false" customHeight="false" outlineLevel="0" collapsed="false">
      <c r="A16" s="20" t="s">
        <v>34</v>
      </c>
      <c r="B16" s="21" t="s">
        <v>87</v>
      </c>
      <c r="C16" s="20" t="s">
        <v>117</v>
      </c>
    </row>
    <row r="17" customFormat="false" ht="15" hidden="false" customHeight="false" outlineLevel="0" collapsed="false">
      <c r="A17" s="20" t="s">
        <v>34</v>
      </c>
      <c r="B17" s="21" t="s">
        <v>73</v>
      </c>
      <c r="C17" s="20" t="s">
        <v>118</v>
      </c>
    </row>
    <row r="18" customFormat="false" ht="15" hidden="false" customHeight="false" outlineLevel="0" collapsed="false">
      <c r="A18" s="20" t="s">
        <v>34</v>
      </c>
      <c r="B18" s="21" t="s">
        <v>63</v>
      </c>
      <c r="C18" s="20" t="s">
        <v>119</v>
      </c>
    </row>
    <row r="20" customFormat="false" ht="15" hidden="false" customHeight="false" outlineLevel="0" collapsed="false">
      <c r="A20" s="12" t="s">
        <v>102</v>
      </c>
      <c r="B20" s="12" t="s">
        <v>53</v>
      </c>
      <c r="C20" s="12" t="s">
        <v>103</v>
      </c>
    </row>
    <row r="21" customFormat="false" ht="15" hidden="false" customHeight="false" outlineLevel="0" collapsed="false">
      <c r="A21" s="20" t="s">
        <v>36</v>
      </c>
      <c r="B21" s="21" t="s">
        <v>98</v>
      </c>
      <c r="C21" s="20" t="s">
        <v>120</v>
      </c>
    </row>
    <row r="22" customFormat="false" ht="15" hidden="false" customHeight="false" outlineLevel="0" collapsed="false">
      <c r="A22" s="20" t="s">
        <v>36</v>
      </c>
      <c r="B22" s="21" t="s">
        <v>82</v>
      </c>
      <c r="C22" s="20" t="s">
        <v>121</v>
      </c>
    </row>
    <row r="23" customFormat="false" ht="15" hidden="false" customHeight="false" outlineLevel="0" collapsed="false">
      <c r="A23" s="20" t="s">
        <v>36</v>
      </c>
      <c r="B23" s="21" t="s">
        <v>122</v>
      </c>
      <c r="C23" s="20" t="s">
        <v>123</v>
      </c>
    </row>
    <row r="24" customFormat="false" ht="15" hidden="false" customHeight="false" outlineLevel="0" collapsed="false">
      <c r="A24" s="20" t="s">
        <v>36</v>
      </c>
      <c r="B24" s="21" t="s">
        <v>124</v>
      </c>
      <c r="C24" s="20" t="s">
        <v>125</v>
      </c>
    </row>
    <row r="25" customFormat="false" ht="15" hidden="false" customHeight="false" outlineLevel="0" collapsed="false">
      <c r="A25" s="20" t="s">
        <v>36</v>
      </c>
      <c r="B25" s="21" t="s">
        <v>126</v>
      </c>
      <c r="C25" s="20" t="s">
        <v>127</v>
      </c>
    </row>
    <row r="26" customFormat="false" ht="15" hidden="false" customHeight="false" outlineLevel="0" collapsed="false">
      <c r="A26" s="20" t="s">
        <v>36</v>
      </c>
      <c r="B26" s="21" t="s">
        <v>74</v>
      </c>
      <c r="C26" s="20" t="s">
        <v>128</v>
      </c>
    </row>
    <row r="27" customFormat="false" ht="15" hidden="false" customHeight="false" outlineLevel="0" collapsed="false">
      <c r="A27" s="20" t="s">
        <v>36</v>
      </c>
      <c r="B27" s="21" t="s">
        <v>90</v>
      </c>
      <c r="C27" s="20" t="s">
        <v>129</v>
      </c>
    </row>
    <row r="28" customFormat="false" ht="15" hidden="false" customHeight="false" outlineLevel="0" collapsed="false">
      <c r="A28" s="20" t="s">
        <v>36</v>
      </c>
      <c r="B28" s="21" t="s">
        <v>130</v>
      </c>
      <c r="C28" s="20" t="s">
        <v>131</v>
      </c>
    </row>
    <row r="29" customFormat="false" ht="15" hidden="false" customHeight="false" outlineLevel="0" collapsed="false">
      <c r="A29" s="20" t="s">
        <v>36</v>
      </c>
      <c r="B29" s="21" t="s">
        <v>70</v>
      </c>
      <c r="C29" s="20" t="s">
        <v>132</v>
      </c>
    </row>
    <row r="30" customFormat="false" ht="15" hidden="false" customHeight="false" outlineLevel="0" collapsed="false">
      <c r="A30" s="20" t="s">
        <v>36</v>
      </c>
      <c r="B30" s="21" t="s">
        <v>64</v>
      </c>
      <c r="C30" s="20" t="s">
        <v>133</v>
      </c>
    </row>
    <row r="31" customFormat="false" ht="15" hidden="false" customHeight="false" outlineLevel="0" collapsed="false">
      <c r="A31" s="20" t="s">
        <v>36</v>
      </c>
      <c r="B31" s="21" t="s">
        <v>79</v>
      </c>
      <c r="C31" s="20" t="s">
        <v>134</v>
      </c>
    </row>
    <row r="32" customFormat="false" ht="15" hidden="false" customHeight="false" outlineLevel="0" collapsed="false">
      <c r="A32" s="20" t="s">
        <v>36</v>
      </c>
      <c r="B32" s="21" t="s">
        <v>135</v>
      </c>
      <c r="C32" s="20" t="s">
        <v>136</v>
      </c>
    </row>
    <row r="33" customFormat="false" ht="15" hidden="false" customHeight="false" outlineLevel="0" collapsed="false">
      <c r="A33" s="20" t="s">
        <v>36</v>
      </c>
      <c r="B33" s="21" t="s">
        <v>92</v>
      </c>
      <c r="C33" s="20" t="s">
        <v>137</v>
      </c>
    </row>
    <row r="34" customFormat="false" ht="15" hidden="false" customHeight="false" outlineLevel="0" collapsed="false">
      <c r="A34" s="20" t="s">
        <v>36</v>
      </c>
      <c r="B34" s="21" t="s">
        <v>68</v>
      </c>
      <c r="C34" s="20" t="s">
        <v>138</v>
      </c>
    </row>
    <row r="35" customFormat="false" ht="15" hidden="false" customHeight="false" outlineLevel="0" collapsed="false">
      <c r="A35" s="20" t="s">
        <v>36</v>
      </c>
      <c r="B35" s="21" t="s">
        <v>139</v>
      </c>
      <c r="C35" s="20" t="s">
        <v>140</v>
      </c>
    </row>
    <row r="36" customFormat="false" ht="15" hidden="false" customHeight="false" outlineLevel="0" collapsed="false">
      <c r="A36" s="20" t="s">
        <v>36</v>
      </c>
      <c r="B36" s="21" t="s">
        <v>88</v>
      </c>
      <c r="C36" s="20" t="s">
        <v>141</v>
      </c>
    </row>
    <row r="37" customFormat="false" ht="15" hidden="false" customHeight="false" outlineLevel="0" collapsed="false">
      <c r="A37" s="20" t="s">
        <v>36</v>
      </c>
      <c r="B37" s="21" t="s">
        <v>95</v>
      </c>
      <c r="C37" s="20" t="s">
        <v>142</v>
      </c>
    </row>
    <row r="38" customFormat="false" ht="15" hidden="false" customHeight="false" outlineLevel="0" collapsed="false">
      <c r="A38" s="20" t="s">
        <v>36</v>
      </c>
      <c r="B38" s="21" t="s">
        <v>143</v>
      </c>
      <c r="C38" s="20" t="s">
        <v>144</v>
      </c>
    </row>
    <row r="40" customFormat="false" ht="15" hidden="false" customHeight="false" outlineLevel="0" collapsed="false">
      <c r="A40" s="12" t="s">
        <v>102</v>
      </c>
      <c r="B40" s="12" t="s">
        <v>53</v>
      </c>
      <c r="C40" s="12" t="s">
        <v>103</v>
      </c>
    </row>
    <row r="41" customFormat="false" ht="15" hidden="false" customHeight="false" outlineLevel="0" collapsed="false">
      <c r="A41" s="20" t="s">
        <v>38</v>
      </c>
      <c r="B41" s="21" t="s">
        <v>145</v>
      </c>
      <c r="C41" s="20" t="s">
        <v>146</v>
      </c>
    </row>
    <row r="42" customFormat="false" ht="15" hidden="false" customHeight="false" outlineLevel="0" collapsed="false">
      <c r="A42" s="20" t="s">
        <v>38</v>
      </c>
      <c r="B42" s="21" t="s">
        <v>71</v>
      </c>
      <c r="C42" s="20" t="s">
        <v>147</v>
      </c>
    </row>
    <row r="43" customFormat="false" ht="15" hidden="false" customHeight="false" outlineLevel="0" collapsed="false">
      <c r="A43" s="20" t="s">
        <v>38</v>
      </c>
      <c r="B43" s="21" t="s">
        <v>65</v>
      </c>
      <c r="C43" s="20" t="s">
        <v>148</v>
      </c>
    </row>
    <row r="44" customFormat="false" ht="15" hidden="false" customHeight="false" outlineLevel="0" collapsed="false">
      <c r="A44" s="20" t="s">
        <v>38</v>
      </c>
      <c r="B44" s="21" t="s">
        <v>75</v>
      </c>
      <c r="C44" s="20" t="s">
        <v>149</v>
      </c>
    </row>
    <row r="45" customFormat="false" ht="15" hidden="false" customHeight="false" outlineLevel="0" collapsed="false">
      <c r="A45" s="20" t="s">
        <v>38</v>
      </c>
      <c r="B45" s="21" t="s">
        <v>93</v>
      </c>
      <c r="C45" s="20" t="s">
        <v>150</v>
      </c>
    </row>
    <row r="46" customFormat="false" ht="15" hidden="false" customHeight="false" outlineLevel="0" collapsed="false">
      <c r="A46" s="20" t="s">
        <v>38</v>
      </c>
      <c r="B46" s="21" t="s">
        <v>99</v>
      </c>
      <c r="C46" s="20" t="s">
        <v>151</v>
      </c>
    </row>
    <row r="47" customFormat="false" ht="15" hidden="false" customHeight="false" outlineLevel="0" collapsed="false">
      <c r="A47" s="20" t="s">
        <v>38</v>
      </c>
      <c r="B47" s="21" t="s">
        <v>83</v>
      </c>
      <c r="C47" s="20" t="s">
        <v>152</v>
      </c>
    </row>
    <row r="48" customFormat="false" ht="15" hidden="false" customHeight="false" outlineLevel="0" collapsed="false">
      <c r="A48" s="20" t="s">
        <v>38</v>
      </c>
      <c r="B48" s="21" t="s">
        <v>153</v>
      </c>
      <c r="C48" s="20" t="s">
        <v>154</v>
      </c>
    </row>
    <row r="49" customFormat="false" ht="15" hidden="false" customHeight="false" outlineLevel="0" collapsed="false">
      <c r="A49" s="20" t="s">
        <v>38</v>
      </c>
      <c r="B49" s="21" t="s">
        <v>96</v>
      </c>
      <c r="C49" s="20" t="s">
        <v>155</v>
      </c>
    </row>
    <row r="51" customFormat="false" ht="15" hidden="false" customHeight="false" outlineLevel="0" collapsed="false">
      <c r="A51" s="12" t="s">
        <v>102</v>
      </c>
      <c r="B51" s="12" t="s">
        <v>53</v>
      </c>
      <c r="C51" s="12" t="s">
        <v>103</v>
      </c>
    </row>
    <row r="52" customFormat="false" ht="15" hidden="false" customHeight="false" outlineLevel="0" collapsed="false">
      <c r="A52" s="20" t="s">
        <v>40</v>
      </c>
      <c r="B52" s="21" t="s">
        <v>84</v>
      </c>
      <c r="C52" s="20" t="s">
        <v>156</v>
      </c>
    </row>
    <row r="53" customFormat="false" ht="15" hidden="false" customHeight="false" outlineLevel="0" collapsed="false">
      <c r="A53" s="20" t="s">
        <v>40</v>
      </c>
      <c r="B53" s="21" t="s">
        <v>76</v>
      </c>
      <c r="C53" s="20" t="s">
        <v>157</v>
      </c>
    </row>
    <row r="54" customFormat="false" ht="15" hidden="false" customHeight="false" outlineLevel="0" collapsed="false">
      <c r="A54" s="20" t="s">
        <v>40</v>
      </c>
      <c r="B54" s="21" t="s">
        <v>94</v>
      </c>
      <c r="C54" s="20" t="s">
        <v>158</v>
      </c>
    </row>
    <row r="55" customFormat="false" ht="15" hidden="false" customHeight="false" outlineLevel="0" collapsed="false">
      <c r="A55" s="20" t="s">
        <v>40</v>
      </c>
      <c r="B55" s="21" t="s">
        <v>66</v>
      </c>
      <c r="C55" s="20" t="s">
        <v>159</v>
      </c>
    </row>
    <row r="56" customFormat="false" ht="15" hidden="false" customHeight="false" outlineLevel="0" collapsed="false">
      <c r="A56" s="20" t="s">
        <v>40</v>
      </c>
      <c r="B56" s="21" t="s">
        <v>160</v>
      </c>
      <c r="C56" s="20" t="s">
        <v>161</v>
      </c>
    </row>
    <row r="57" customFormat="false" ht="15" hidden="false" customHeight="false" outlineLevel="0" collapsed="false">
      <c r="A57" s="20" t="s">
        <v>40</v>
      </c>
      <c r="B57" s="21" t="s">
        <v>80</v>
      </c>
      <c r="C57" s="20" t="s">
        <v>162</v>
      </c>
    </row>
    <row r="58" customFormat="false" ht="15" hidden="false" customHeight="false" outlineLevel="0" collapsed="false">
      <c r="A58" s="20" t="s">
        <v>40</v>
      </c>
      <c r="B58" s="21" t="s">
        <v>91</v>
      </c>
      <c r="C58" s="20" t="s">
        <v>163</v>
      </c>
    </row>
    <row r="59" customFormat="false" ht="15" hidden="false" customHeight="false" outlineLevel="0" collapsed="false">
      <c r="A59" s="20" t="s">
        <v>40</v>
      </c>
      <c r="B59" s="21" t="s">
        <v>97</v>
      </c>
      <c r="C59" s="20" t="s">
        <v>164</v>
      </c>
    </row>
    <row r="61" customFormat="false" ht="15" hidden="false" customHeight="false" outlineLevel="0" collapsed="false">
      <c r="A61" s="12" t="s">
        <v>102</v>
      </c>
      <c r="B61" s="12" t="s">
        <v>53</v>
      </c>
      <c r="C61" s="12" t="s">
        <v>103</v>
      </c>
    </row>
    <row r="62" customFormat="false" ht="15" hidden="false" customHeight="false" outlineLevel="0" collapsed="false">
      <c r="A62" s="20" t="s">
        <v>42</v>
      </c>
      <c r="B62" s="21" t="s">
        <v>165</v>
      </c>
      <c r="C62" s="20" t="s">
        <v>166</v>
      </c>
    </row>
    <row r="63" customFormat="false" ht="15" hidden="false" customHeight="false" outlineLevel="0" collapsed="false">
      <c r="A63" s="20" t="s">
        <v>42</v>
      </c>
      <c r="B63" s="21" t="s">
        <v>67</v>
      </c>
      <c r="C63" s="20" t="s">
        <v>167</v>
      </c>
    </row>
    <row r="64" customFormat="false" ht="15" hidden="false" customHeight="false" outlineLevel="0" collapsed="false">
      <c r="A64" s="20" t="s">
        <v>42</v>
      </c>
      <c r="B64" s="21" t="s">
        <v>85</v>
      </c>
      <c r="C64" s="20" t="s">
        <v>168</v>
      </c>
    </row>
    <row r="65" customFormat="false" ht="15" hidden="false" customHeight="false" outlineLevel="0" collapsed="false">
      <c r="A65" s="20" t="s">
        <v>42</v>
      </c>
      <c r="B65" s="21" t="s">
        <v>81</v>
      </c>
      <c r="C65" s="20" t="s">
        <v>169</v>
      </c>
    </row>
    <row r="66" customFormat="false" ht="15" hidden="false" customHeight="false" outlineLevel="0" collapsed="false">
      <c r="A66" s="20" t="s">
        <v>42</v>
      </c>
      <c r="B66" s="21" t="s">
        <v>77</v>
      </c>
      <c r="C66" s="20"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H87"/>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F11" activeCellId="0" sqref="F11"/>
    </sheetView>
  </sheetViews>
  <sheetFormatPr defaultColWidth="8.71484375" defaultRowHeight="15" customHeight="false" zeroHeight="false" outlineLevelRow="0" outlineLevelCol="0"/>
  <cols>
    <col collapsed="false" customWidth="true" hidden="false" outlineLevel="0" max="6" min="6" style="1" width="60"/>
    <col collapsed="false" customWidth="true" hidden="false" outlineLevel="0" max="8" min="8" style="1" width="90"/>
  </cols>
  <sheetData>
    <row r="1" customFormat="false" ht="15" hidden="false" customHeight="false" outlineLevel="0" collapsed="false">
      <c r="A1" s="22" t="s">
        <v>171</v>
      </c>
      <c r="B1" s="22" t="s">
        <v>60</v>
      </c>
      <c r="C1" s="22" t="s">
        <v>61</v>
      </c>
      <c r="D1" s="22" t="s">
        <v>172</v>
      </c>
      <c r="E1" s="22" t="s">
        <v>173</v>
      </c>
      <c r="F1" s="22" t="s">
        <v>56</v>
      </c>
      <c r="H1" s="4" t="s">
        <v>174</v>
      </c>
    </row>
    <row r="2" customFormat="false" ht="15" hidden="false" customHeight="false" outlineLevel="0" collapsed="false">
      <c r="A2" s="1" t="s">
        <v>175</v>
      </c>
      <c r="B2" s="1" t="s">
        <v>176</v>
      </c>
      <c r="C2" s="1" t="s">
        <v>177</v>
      </c>
      <c r="D2" s="1" t="s">
        <v>178</v>
      </c>
      <c r="E2" s="1" t="s">
        <v>179</v>
      </c>
      <c r="F2" s="1" t="s">
        <v>180</v>
      </c>
      <c r="H2" s="3" t="s">
        <v>181</v>
      </c>
    </row>
    <row r="3" customFormat="false" ht="15" hidden="false" customHeight="false" outlineLevel="0" collapsed="false">
      <c r="A3" s="1" t="s">
        <v>175</v>
      </c>
      <c r="B3" s="1" t="s">
        <v>176</v>
      </c>
      <c r="C3" s="1" t="s">
        <v>177</v>
      </c>
      <c r="D3" s="1" t="s">
        <v>178</v>
      </c>
      <c r="E3" s="1" t="s">
        <v>182</v>
      </c>
      <c r="F3" s="1" t="s">
        <v>183</v>
      </c>
      <c r="H3" s="3" t="s">
        <v>184</v>
      </c>
    </row>
    <row r="4" customFormat="false" ht="15" hidden="false" customHeight="false" outlineLevel="0" collapsed="false">
      <c r="A4" s="1" t="s">
        <v>175</v>
      </c>
      <c r="B4" s="1" t="s">
        <v>176</v>
      </c>
      <c r="C4" s="1" t="s">
        <v>177</v>
      </c>
      <c r="D4" s="1" t="s">
        <v>178</v>
      </c>
      <c r="E4" s="1" t="s">
        <v>185</v>
      </c>
      <c r="F4" s="1" t="s">
        <v>186</v>
      </c>
      <c r="H4" s="3" t="s">
        <v>187</v>
      </c>
    </row>
    <row r="5" customFormat="false" ht="15" hidden="false" customHeight="false" outlineLevel="0" collapsed="false">
      <c r="A5" s="1" t="s">
        <v>175</v>
      </c>
      <c r="B5" s="1" t="s">
        <v>176</v>
      </c>
      <c r="C5" s="1" t="s">
        <v>177</v>
      </c>
      <c r="D5" s="1" t="s">
        <v>178</v>
      </c>
      <c r="E5" s="1" t="s">
        <v>188</v>
      </c>
      <c r="F5" s="1" t="s">
        <v>189</v>
      </c>
    </row>
    <row r="6" customFormat="false" ht="15" hidden="false" customHeight="false" outlineLevel="0" collapsed="false">
      <c r="A6" s="1" t="s">
        <v>175</v>
      </c>
      <c r="B6" s="1" t="s">
        <v>176</v>
      </c>
      <c r="C6" s="1" t="s">
        <v>177</v>
      </c>
      <c r="D6" s="1" t="s">
        <v>178</v>
      </c>
      <c r="E6" s="1" t="s">
        <v>190</v>
      </c>
      <c r="F6" s="1" t="s">
        <v>191</v>
      </c>
    </row>
    <row r="7" customFormat="false" ht="15" hidden="false" customHeight="false" outlineLevel="0" collapsed="false">
      <c r="A7" s="1" t="s">
        <v>175</v>
      </c>
      <c r="B7" s="1" t="s">
        <v>176</v>
      </c>
      <c r="C7" s="1" t="s">
        <v>177</v>
      </c>
      <c r="D7" s="1" t="s">
        <v>178</v>
      </c>
      <c r="E7" s="1" t="s">
        <v>192</v>
      </c>
      <c r="F7" s="1" t="s">
        <v>193</v>
      </c>
    </row>
    <row r="8" customFormat="false" ht="15" hidden="false" customHeight="false" outlineLevel="0" collapsed="false">
      <c r="A8" s="1" t="s">
        <v>175</v>
      </c>
      <c r="B8" s="1" t="s">
        <v>176</v>
      </c>
      <c r="C8" s="1" t="s">
        <v>177</v>
      </c>
      <c r="D8" s="1" t="s">
        <v>194</v>
      </c>
      <c r="E8" s="1" t="s">
        <v>179</v>
      </c>
      <c r="F8" s="1" t="s">
        <v>195</v>
      </c>
    </row>
    <row r="9" customFormat="false" ht="15" hidden="false" customHeight="false" outlineLevel="0" collapsed="false">
      <c r="A9" s="1" t="s">
        <v>175</v>
      </c>
      <c r="B9" s="1" t="s">
        <v>176</v>
      </c>
      <c r="C9" s="1" t="s">
        <v>177</v>
      </c>
      <c r="D9" s="1" t="s">
        <v>194</v>
      </c>
      <c r="E9" s="1" t="s">
        <v>182</v>
      </c>
      <c r="F9" s="1" t="s">
        <v>196</v>
      </c>
    </row>
    <row r="10" customFormat="false" ht="15" hidden="false" customHeight="false" outlineLevel="0" collapsed="false">
      <c r="A10" s="1" t="s">
        <v>175</v>
      </c>
      <c r="B10" s="1" t="s">
        <v>176</v>
      </c>
      <c r="C10" s="1" t="s">
        <v>177</v>
      </c>
      <c r="D10" s="1" t="s">
        <v>194</v>
      </c>
      <c r="E10" s="1" t="s">
        <v>185</v>
      </c>
      <c r="F10" s="1" t="s">
        <v>197</v>
      </c>
    </row>
    <row r="11" customFormat="false" ht="15" hidden="false" customHeight="false" outlineLevel="0" collapsed="false">
      <c r="A11" s="1" t="s">
        <v>175</v>
      </c>
      <c r="B11" s="1" t="s">
        <v>176</v>
      </c>
      <c r="C11" s="1" t="s">
        <v>177</v>
      </c>
      <c r="D11" s="1" t="s">
        <v>194</v>
      </c>
      <c r="E11" s="1" t="s">
        <v>188</v>
      </c>
      <c r="F11" s="1" t="s">
        <v>198</v>
      </c>
    </row>
    <row r="12" customFormat="false" ht="15" hidden="false" customHeight="false" outlineLevel="0" collapsed="false">
      <c r="A12" s="1" t="s">
        <v>175</v>
      </c>
      <c r="B12" s="1" t="s">
        <v>176</v>
      </c>
      <c r="C12" s="1" t="s">
        <v>177</v>
      </c>
      <c r="D12" s="1" t="s">
        <v>199</v>
      </c>
      <c r="E12" s="1" t="s">
        <v>179</v>
      </c>
      <c r="F12" s="1" t="s">
        <v>200</v>
      </c>
    </row>
    <row r="13" customFormat="false" ht="15" hidden="false" customHeight="false" outlineLevel="0" collapsed="false">
      <c r="A13" s="1" t="s">
        <v>175</v>
      </c>
      <c r="B13" s="1" t="s">
        <v>176</v>
      </c>
      <c r="C13" s="1" t="s">
        <v>177</v>
      </c>
      <c r="D13" s="1" t="s">
        <v>199</v>
      </c>
      <c r="E13" s="1" t="s">
        <v>182</v>
      </c>
      <c r="F13" s="1" t="s">
        <v>201</v>
      </c>
    </row>
    <row r="14" customFormat="false" ht="15" hidden="false" customHeight="false" outlineLevel="0" collapsed="false">
      <c r="A14" s="1" t="s">
        <v>175</v>
      </c>
      <c r="B14" s="1" t="s">
        <v>176</v>
      </c>
      <c r="C14" s="1" t="s">
        <v>177</v>
      </c>
      <c r="D14" s="1" t="s">
        <v>202</v>
      </c>
      <c r="E14" s="1" t="s">
        <v>179</v>
      </c>
      <c r="F14" s="1" t="s">
        <v>203</v>
      </c>
    </row>
    <row r="15" customFormat="false" ht="15" hidden="false" customHeight="false" outlineLevel="0" collapsed="false">
      <c r="A15" s="1" t="s">
        <v>175</v>
      </c>
      <c r="B15" s="1" t="s">
        <v>176</v>
      </c>
      <c r="C15" s="1" t="s">
        <v>177</v>
      </c>
      <c r="D15" s="1" t="s">
        <v>202</v>
      </c>
      <c r="E15" s="1" t="s">
        <v>182</v>
      </c>
      <c r="F15" s="1" t="s">
        <v>204</v>
      </c>
    </row>
    <row r="16" customFormat="false" ht="15" hidden="false" customHeight="false" outlineLevel="0" collapsed="false">
      <c r="A16" s="1" t="s">
        <v>175</v>
      </c>
      <c r="B16" s="1" t="s">
        <v>176</v>
      </c>
      <c r="C16" s="1" t="s">
        <v>177</v>
      </c>
      <c r="D16" s="1" t="s">
        <v>202</v>
      </c>
      <c r="E16" s="1" t="s">
        <v>185</v>
      </c>
      <c r="F16" s="1" t="s">
        <v>205</v>
      </c>
    </row>
    <row r="17" customFormat="false" ht="15" hidden="false" customHeight="false" outlineLevel="0" collapsed="false">
      <c r="A17" s="1" t="s">
        <v>175</v>
      </c>
      <c r="B17" s="1" t="s">
        <v>176</v>
      </c>
      <c r="C17" s="1" t="s">
        <v>177</v>
      </c>
      <c r="D17" s="1" t="s">
        <v>202</v>
      </c>
      <c r="E17" s="1" t="s">
        <v>206</v>
      </c>
      <c r="F17" s="1" t="s">
        <v>207</v>
      </c>
    </row>
    <row r="18" customFormat="false" ht="15" hidden="false" customHeight="false" outlineLevel="0" collapsed="false">
      <c r="A18" s="1" t="s">
        <v>175</v>
      </c>
      <c r="B18" s="1" t="s">
        <v>176</v>
      </c>
      <c r="C18" s="1" t="s">
        <v>177</v>
      </c>
      <c r="D18" s="1" t="s">
        <v>202</v>
      </c>
      <c r="E18" s="1" t="s">
        <v>208</v>
      </c>
      <c r="F18" s="1" t="s">
        <v>209</v>
      </c>
    </row>
    <row r="19" customFormat="false" ht="15" hidden="false" customHeight="false" outlineLevel="0" collapsed="false">
      <c r="A19" s="1" t="s">
        <v>175</v>
      </c>
      <c r="B19" s="1" t="s">
        <v>176</v>
      </c>
      <c r="C19" s="1" t="s">
        <v>177</v>
      </c>
      <c r="D19" s="1" t="s">
        <v>202</v>
      </c>
      <c r="E19" s="1" t="s">
        <v>210</v>
      </c>
      <c r="F19" s="1" t="s">
        <v>211</v>
      </c>
    </row>
    <row r="20" customFormat="false" ht="15" hidden="false" customHeight="false" outlineLevel="0" collapsed="false">
      <c r="A20" s="1" t="s">
        <v>175</v>
      </c>
      <c r="B20" s="1" t="s">
        <v>176</v>
      </c>
      <c r="C20" s="1" t="s">
        <v>177</v>
      </c>
      <c r="D20" s="1" t="s">
        <v>212</v>
      </c>
      <c r="E20" s="1" t="s">
        <v>182</v>
      </c>
      <c r="F20" s="1" t="s">
        <v>213</v>
      </c>
    </row>
    <row r="21" customFormat="false" ht="15" hidden="false" customHeight="false" outlineLevel="0" collapsed="false">
      <c r="A21" s="1" t="s">
        <v>175</v>
      </c>
      <c r="B21" s="1" t="s">
        <v>176</v>
      </c>
      <c r="C21" s="1" t="s">
        <v>177</v>
      </c>
      <c r="D21" s="1" t="s">
        <v>212</v>
      </c>
      <c r="E21" s="1" t="s">
        <v>185</v>
      </c>
      <c r="F21" s="1" t="s">
        <v>214</v>
      </c>
    </row>
    <row r="22" customFormat="false" ht="15" hidden="false" customHeight="false" outlineLevel="0" collapsed="false">
      <c r="A22" s="1" t="s">
        <v>175</v>
      </c>
      <c r="B22" s="1" t="s">
        <v>176</v>
      </c>
      <c r="C22" s="1" t="s">
        <v>177</v>
      </c>
      <c r="D22" s="1" t="s">
        <v>212</v>
      </c>
      <c r="E22" s="1" t="s">
        <v>188</v>
      </c>
      <c r="F22" s="1" t="s">
        <v>215</v>
      </c>
    </row>
    <row r="23" customFormat="false" ht="15" hidden="false" customHeight="false" outlineLevel="0" collapsed="false">
      <c r="A23" s="1" t="s">
        <v>175</v>
      </c>
      <c r="B23" s="1" t="s">
        <v>176</v>
      </c>
      <c r="C23" s="1" t="s">
        <v>177</v>
      </c>
      <c r="D23" s="1" t="s">
        <v>216</v>
      </c>
      <c r="E23" s="1" t="s">
        <v>179</v>
      </c>
      <c r="F23" s="1" t="s">
        <v>217</v>
      </c>
    </row>
    <row r="24" customFormat="false" ht="15" hidden="false" customHeight="false" outlineLevel="0" collapsed="false">
      <c r="A24" s="1" t="s">
        <v>175</v>
      </c>
      <c r="B24" s="1" t="s">
        <v>176</v>
      </c>
      <c r="C24" s="1" t="s">
        <v>177</v>
      </c>
      <c r="D24" s="1" t="s">
        <v>216</v>
      </c>
      <c r="E24" s="1" t="s">
        <v>185</v>
      </c>
      <c r="F24" s="1" t="s">
        <v>218</v>
      </c>
    </row>
    <row r="25" customFormat="false" ht="15" hidden="false" customHeight="false" outlineLevel="0" collapsed="false">
      <c r="A25" s="1" t="s">
        <v>175</v>
      </c>
      <c r="B25" s="1" t="s">
        <v>219</v>
      </c>
      <c r="D25" s="1" t="s">
        <v>220</v>
      </c>
      <c r="E25" s="1" t="s">
        <v>185</v>
      </c>
      <c r="F25" s="1" t="s">
        <v>221</v>
      </c>
    </row>
    <row r="26" customFormat="false" ht="15" hidden="false" customHeight="false" outlineLevel="0" collapsed="false">
      <c r="A26" s="1" t="s">
        <v>175</v>
      </c>
      <c r="B26" s="1" t="s">
        <v>219</v>
      </c>
      <c r="D26" s="1" t="s">
        <v>220</v>
      </c>
      <c r="E26" s="1" t="s">
        <v>188</v>
      </c>
      <c r="F26" s="1" t="s">
        <v>222</v>
      </c>
    </row>
    <row r="27" customFormat="false" ht="55.2" hidden="false" customHeight="false" outlineLevel="0" collapsed="false">
      <c r="A27" s="1" t="s">
        <v>223</v>
      </c>
      <c r="B27" s="11" t="s">
        <v>224</v>
      </c>
      <c r="C27" s="11" t="s">
        <v>225</v>
      </c>
      <c r="E27" s="1" t="s">
        <v>226</v>
      </c>
      <c r="F27" s="1" t="s">
        <v>227</v>
      </c>
    </row>
    <row r="28" customFormat="false" ht="55.2" hidden="false" customHeight="false" outlineLevel="0" collapsed="false">
      <c r="A28" s="1" t="s">
        <v>228</v>
      </c>
      <c r="B28" s="11" t="s">
        <v>229</v>
      </c>
      <c r="E28" s="1" t="s">
        <v>230</v>
      </c>
      <c r="F28" s="1" t="s">
        <v>231</v>
      </c>
    </row>
    <row r="29" customFormat="false" ht="55.2" hidden="false" customHeight="false" outlineLevel="0" collapsed="false">
      <c r="A29" s="1" t="s">
        <v>228</v>
      </c>
      <c r="B29" s="11" t="s">
        <v>229</v>
      </c>
      <c r="E29" s="1" t="s">
        <v>232</v>
      </c>
      <c r="F29" s="1" t="s">
        <v>233</v>
      </c>
    </row>
    <row r="30" customFormat="false" ht="28.35" hidden="false" customHeight="false" outlineLevel="0" collapsed="false">
      <c r="A30" s="1" t="s">
        <v>228</v>
      </c>
      <c r="B30" s="11" t="s">
        <v>234</v>
      </c>
      <c r="E30" s="1" t="s">
        <v>235</v>
      </c>
      <c r="F30" s="1" t="s">
        <v>236</v>
      </c>
    </row>
    <row r="31" customFormat="false" ht="55.2" hidden="false" customHeight="false" outlineLevel="0" collapsed="false">
      <c r="A31" s="1" t="s">
        <v>228</v>
      </c>
      <c r="B31" s="11" t="s">
        <v>237</v>
      </c>
      <c r="E31" s="1" t="s">
        <v>238</v>
      </c>
      <c r="F31" s="1" t="s">
        <v>239</v>
      </c>
    </row>
    <row r="32" customFormat="false" ht="68.65" hidden="false" customHeight="false" outlineLevel="0" collapsed="false">
      <c r="A32" s="1" t="s">
        <v>228</v>
      </c>
      <c r="B32" s="11" t="s">
        <v>240</v>
      </c>
      <c r="E32" s="1" t="s">
        <v>241</v>
      </c>
      <c r="F32" s="1" t="s">
        <v>242</v>
      </c>
    </row>
    <row r="33" customFormat="false" ht="68.65" hidden="false" customHeight="false" outlineLevel="0" collapsed="false">
      <c r="A33" s="1" t="s">
        <v>228</v>
      </c>
      <c r="B33" s="11" t="s">
        <v>240</v>
      </c>
      <c r="E33" s="1" t="s">
        <v>243</v>
      </c>
      <c r="F33" s="1" t="s">
        <v>244</v>
      </c>
    </row>
    <row r="34" customFormat="false" ht="68.65" hidden="false" customHeight="false" outlineLevel="0" collapsed="false">
      <c r="A34" s="1" t="s">
        <v>228</v>
      </c>
      <c r="B34" s="11" t="s">
        <v>240</v>
      </c>
      <c r="E34" s="1" t="s">
        <v>245</v>
      </c>
      <c r="F34" s="1" t="s">
        <v>246</v>
      </c>
    </row>
    <row r="35" customFormat="false" ht="68.65" hidden="false" customHeight="false" outlineLevel="0" collapsed="false">
      <c r="A35" s="1" t="s">
        <v>228</v>
      </c>
      <c r="B35" s="11" t="s">
        <v>240</v>
      </c>
      <c r="E35" s="1" t="s">
        <v>247</v>
      </c>
      <c r="F35" s="1" t="s">
        <v>248</v>
      </c>
    </row>
    <row r="36" customFormat="false" ht="68.65" hidden="false" customHeight="false" outlineLevel="0" collapsed="false">
      <c r="A36" s="1" t="s">
        <v>228</v>
      </c>
      <c r="B36" s="11" t="s">
        <v>240</v>
      </c>
      <c r="E36" s="1" t="s">
        <v>249</v>
      </c>
      <c r="F36" s="1" t="s">
        <v>250</v>
      </c>
    </row>
    <row r="37" customFormat="false" ht="68.65" hidden="false" customHeight="false" outlineLevel="0" collapsed="false">
      <c r="A37" s="1" t="s">
        <v>228</v>
      </c>
      <c r="B37" s="11" t="s">
        <v>240</v>
      </c>
      <c r="E37" s="1" t="s">
        <v>251</v>
      </c>
      <c r="F37" s="1" t="s">
        <v>252</v>
      </c>
    </row>
    <row r="38" customFormat="false" ht="68.65" hidden="false" customHeight="false" outlineLevel="0" collapsed="false">
      <c r="A38" s="1" t="s">
        <v>228</v>
      </c>
      <c r="B38" s="11" t="s">
        <v>240</v>
      </c>
      <c r="E38" s="1" t="s">
        <v>253</v>
      </c>
      <c r="F38" s="1" t="s">
        <v>254</v>
      </c>
    </row>
    <row r="39" customFormat="false" ht="68.65" hidden="false" customHeight="false" outlineLevel="0" collapsed="false">
      <c r="A39" s="1" t="s">
        <v>228</v>
      </c>
      <c r="B39" s="11" t="s">
        <v>240</v>
      </c>
      <c r="E39" s="1" t="s">
        <v>255</v>
      </c>
      <c r="F39" s="1" t="s">
        <v>256</v>
      </c>
    </row>
    <row r="40" customFormat="false" ht="68.65" hidden="false" customHeight="false" outlineLevel="0" collapsed="false">
      <c r="A40" s="1" t="s">
        <v>228</v>
      </c>
      <c r="B40" s="11" t="s">
        <v>240</v>
      </c>
      <c r="E40" s="1" t="s">
        <v>257</v>
      </c>
      <c r="F40" s="1" t="s">
        <v>258</v>
      </c>
    </row>
    <row r="41" customFormat="false" ht="68.65" hidden="false" customHeight="false" outlineLevel="0" collapsed="false">
      <c r="A41" s="1" t="s">
        <v>228</v>
      </c>
      <c r="B41" s="11" t="s">
        <v>240</v>
      </c>
      <c r="E41" s="1" t="s">
        <v>259</v>
      </c>
      <c r="F41" s="1" t="s">
        <v>260</v>
      </c>
    </row>
    <row r="42" customFormat="false" ht="68.65" hidden="false" customHeight="false" outlineLevel="0" collapsed="false">
      <c r="A42" s="1" t="s">
        <v>228</v>
      </c>
      <c r="B42" s="11" t="s">
        <v>240</v>
      </c>
      <c r="E42" s="1" t="s">
        <v>261</v>
      </c>
      <c r="F42" s="1" t="s">
        <v>262</v>
      </c>
    </row>
    <row r="43" customFormat="false" ht="68.65" hidden="false" customHeight="false" outlineLevel="0" collapsed="false">
      <c r="A43" s="1" t="s">
        <v>228</v>
      </c>
      <c r="B43" s="11" t="s">
        <v>263</v>
      </c>
      <c r="E43" s="1" t="s">
        <v>264</v>
      </c>
      <c r="F43" s="1" t="s">
        <v>265</v>
      </c>
    </row>
    <row r="44" customFormat="false" ht="68.65" hidden="false" customHeight="false" outlineLevel="0" collapsed="false">
      <c r="A44" s="1" t="s">
        <v>228</v>
      </c>
      <c r="B44" s="11" t="s">
        <v>263</v>
      </c>
      <c r="E44" s="1" t="s">
        <v>266</v>
      </c>
      <c r="F44" s="1" t="s">
        <v>267</v>
      </c>
    </row>
    <row r="45" customFormat="false" ht="68.65" hidden="false" customHeight="false" outlineLevel="0" collapsed="false">
      <c r="A45" s="1" t="s">
        <v>228</v>
      </c>
      <c r="B45" s="11" t="s">
        <v>263</v>
      </c>
      <c r="E45" s="1" t="s">
        <v>268</v>
      </c>
      <c r="F45" s="1" t="s">
        <v>269</v>
      </c>
    </row>
    <row r="46" customFormat="false" ht="216.4" hidden="false" customHeight="false" outlineLevel="0" collapsed="false">
      <c r="A46" s="1" t="s">
        <v>228</v>
      </c>
      <c r="B46" s="11" t="s">
        <v>270</v>
      </c>
      <c r="C46" s="11" t="s">
        <v>271</v>
      </c>
      <c r="E46" s="1" t="s">
        <v>272</v>
      </c>
      <c r="F46" s="1" t="s">
        <v>273</v>
      </c>
    </row>
    <row r="47" customFormat="false" ht="216.4" hidden="false" customHeight="false" outlineLevel="0" collapsed="false">
      <c r="A47" s="1" t="s">
        <v>228</v>
      </c>
      <c r="B47" s="11" t="s">
        <v>270</v>
      </c>
      <c r="C47" s="1" t="s">
        <v>274</v>
      </c>
      <c r="E47" s="1" t="s">
        <v>275</v>
      </c>
      <c r="F47" s="1" t="s">
        <v>276</v>
      </c>
    </row>
    <row r="48" customFormat="false" ht="216.4" hidden="false" customHeight="false" outlineLevel="0" collapsed="false">
      <c r="A48" s="1" t="s">
        <v>228</v>
      </c>
      <c r="B48" s="11" t="s">
        <v>270</v>
      </c>
      <c r="C48" s="1" t="s">
        <v>274</v>
      </c>
      <c r="E48" s="1" t="s">
        <v>277</v>
      </c>
      <c r="F48" s="1" t="s">
        <v>278</v>
      </c>
    </row>
    <row r="49" customFormat="false" ht="216.4" hidden="false" customHeight="false" outlineLevel="0" collapsed="false">
      <c r="A49" s="1" t="s">
        <v>228</v>
      </c>
      <c r="B49" s="11" t="s">
        <v>270</v>
      </c>
      <c r="C49" s="1" t="s">
        <v>274</v>
      </c>
      <c r="E49" s="1" t="s">
        <v>279</v>
      </c>
      <c r="F49" s="1" t="s">
        <v>280</v>
      </c>
    </row>
    <row r="50" customFormat="false" ht="216.4" hidden="false" customHeight="false" outlineLevel="0" collapsed="false">
      <c r="A50" s="1" t="s">
        <v>228</v>
      </c>
      <c r="B50" s="11" t="s">
        <v>270</v>
      </c>
      <c r="C50" s="1" t="s">
        <v>274</v>
      </c>
      <c r="E50" s="1" t="s">
        <v>281</v>
      </c>
      <c r="F50" s="1" t="s">
        <v>282</v>
      </c>
    </row>
    <row r="51" customFormat="false" ht="216.4" hidden="false" customHeight="false" outlineLevel="0" collapsed="false">
      <c r="A51" s="1" t="s">
        <v>228</v>
      </c>
      <c r="B51" s="11" t="s">
        <v>270</v>
      </c>
      <c r="C51" s="1" t="s">
        <v>274</v>
      </c>
      <c r="E51" s="1" t="s">
        <v>283</v>
      </c>
      <c r="F51" s="1" t="s">
        <v>284</v>
      </c>
    </row>
    <row r="52" customFormat="false" ht="216.4" hidden="false" customHeight="false" outlineLevel="0" collapsed="false">
      <c r="A52" s="1" t="s">
        <v>228</v>
      </c>
      <c r="B52" s="11" t="s">
        <v>270</v>
      </c>
      <c r="C52" s="1" t="s">
        <v>274</v>
      </c>
      <c r="E52" s="1" t="s">
        <v>285</v>
      </c>
      <c r="F52" s="1" t="s">
        <v>286</v>
      </c>
    </row>
    <row r="53" customFormat="false" ht="216.4" hidden="false" customHeight="false" outlineLevel="0" collapsed="false">
      <c r="A53" s="1" t="s">
        <v>228</v>
      </c>
      <c r="B53" s="11" t="s">
        <v>270</v>
      </c>
      <c r="C53" s="1" t="s">
        <v>274</v>
      </c>
      <c r="E53" s="1" t="s">
        <v>287</v>
      </c>
      <c r="F53" s="1" t="s">
        <v>288</v>
      </c>
    </row>
    <row r="54" customFormat="false" ht="216.4" hidden="false" customHeight="false" outlineLevel="0" collapsed="false">
      <c r="A54" s="1" t="s">
        <v>228</v>
      </c>
      <c r="B54" s="11" t="s">
        <v>270</v>
      </c>
      <c r="C54" s="1" t="s">
        <v>274</v>
      </c>
      <c r="E54" s="1" t="s">
        <v>226</v>
      </c>
      <c r="F54" s="1" t="s">
        <v>289</v>
      </c>
    </row>
    <row r="55" customFormat="false" ht="216.4" hidden="false" customHeight="false" outlineLevel="0" collapsed="false">
      <c r="A55" s="1" t="s">
        <v>228</v>
      </c>
      <c r="B55" s="11" t="s">
        <v>270</v>
      </c>
      <c r="C55" s="1" t="s">
        <v>274</v>
      </c>
      <c r="E55" s="1" t="s">
        <v>290</v>
      </c>
      <c r="F55" s="1" t="s">
        <v>291</v>
      </c>
    </row>
    <row r="56" customFormat="false" ht="216.4" hidden="false" customHeight="false" outlineLevel="0" collapsed="false">
      <c r="A56" s="1" t="s">
        <v>228</v>
      </c>
      <c r="B56" s="11" t="s">
        <v>270</v>
      </c>
      <c r="C56" s="1" t="s">
        <v>274</v>
      </c>
      <c r="E56" s="1" t="s">
        <v>292</v>
      </c>
      <c r="F56" s="1" t="s">
        <v>293</v>
      </c>
    </row>
    <row r="57" customFormat="false" ht="216.4" hidden="false" customHeight="false" outlineLevel="0" collapsed="false">
      <c r="A57" s="1" t="s">
        <v>228</v>
      </c>
      <c r="B57" s="11" t="s">
        <v>270</v>
      </c>
      <c r="C57" s="1" t="s">
        <v>274</v>
      </c>
      <c r="E57" s="1" t="s">
        <v>294</v>
      </c>
      <c r="F57" s="1" t="s">
        <v>295</v>
      </c>
    </row>
    <row r="58" customFormat="false" ht="216.4" hidden="false" customHeight="false" outlineLevel="0" collapsed="false">
      <c r="A58" s="1" t="s">
        <v>228</v>
      </c>
      <c r="B58" s="11" t="s">
        <v>270</v>
      </c>
      <c r="C58" s="1" t="s">
        <v>274</v>
      </c>
      <c r="E58" s="1" t="s">
        <v>296</v>
      </c>
      <c r="F58" s="1" t="s">
        <v>297</v>
      </c>
    </row>
    <row r="59" customFormat="false" ht="216.4" hidden="false" customHeight="false" outlineLevel="0" collapsed="false">
      <c r="A59" s="1" t="s">
        <v>228</v>
      </c>
      <c r="B59" s="11" t="s">
        <v>270</v>
      </c>
      <c r="C59" s="1" t="s">
        <v>274</v>
      </c>
      <c r="E59" s="1" t="s">
        <v>298</v>
      </c>
      <c r="F59" s="1" t="s">
        <v>299</v>
      </c>
    </row>
    <row r="60" customFormat="false" ht="216.4" hidden="false" customHeight="false" outlineLevel="0" collapsed="false">
      <c r="A60" s="1" t="s">
        <v>228</v>
      </c>
      <c r="B60" s="11" t="s">
        <v>270</v>
      </c>
      <c r="C60" s="1" t="s">
        <v>274</v>
      </c>
      <c r="E60" s="1" t="s">
        <v>300</v>
      </c>
      <c r="F60" s="1" t="s">
        <v>301</v>
      </c>
    </row>
    <row r="61" customFormat="false" ht="216.4" hidden="false" customHeight="false" outlineLevel="0" collapsed="false">
      <c r="A61" s="1" t="s">
        <v>228</v>
      </c>
      <c r="B61" s="11" t="s">
        <v>270</v>
      </c>
      <c r="C61" s="11" t="s">
        <v>302</v>
      </c>
      <c r="E61" s="1" t="s">
        <v>303</v>
      </c>
      <c r="F61" s="1" t="s">
        <v>304</v>
      </c>
    </row>
    <row r="62" customFormat="false" ht="216.4" hidden="false" customHeight="false" outlineLevel="0" collapsed="false">
      <c r="A62" s="1" t="s">
        <v>228</v>
      </c>
      <c r="B62" s="11" t="s">
        <v>270</v>
      </c>
      <c r="C62" s="11" t="s">
        <v>302</v>
      </c>
      <c r="E62" s="1" t="s">
        <v>305</v>
      </c>
      <c r="F62" s="1" t="s">
        <v>306</v>
      </c>
    </row>
    <row r="63" customFormat="false" ht="216.4" hidden="false" customHeight="false" outlineLevel="0" collapsed="false">
      <c r="A63" s="1" t="s">
        <v>228</v>
      </c>
      <c r="B63" s="11" t="s">
        <v>270</v>
      </c>
      <c r="C63" s="11" t="s">
        <v>302</v>
      </c>
      <c r="E63" s="1" t="s">
        <v>307</v>
      </c>
      <c r="F63" s="1" t="s">
        <v>308</v>
      </c>
    </row>
    <row r="64" customFormat="false" ht="216.4" hidden="false" customHeight="false" outlineLevel="0" collapsed="false">
      <c r="A64" s="1" t="s">
        <v>228</v>
      </c>
      <c r="B64" s="11" t="s">
        <v>270</v>
      </c>
      <c r="C64" s="11" t="s">
        <v>302</v>
      </c>
      <c r="E64" s="1" t="s">
        <v>309</v>
      </c>
      <c r="F64" s="1" t="s">
        <v>310</v>
      </c>
    </row>
    <row r="65" customFormat="false" ht="216.4" hidden="false" customHeight="false" outlineLevel="0" collapsed="false">
      <c r="A65" s="1" t="s">
        <v>228</v>
      </c>
      <c r="B65" s="11" t="s">
        <v>270</v>
      </c>
      <c r="C65" s="11" t="s">
        <v>302</v>
      </c>
      <c r="E65" s="1" t="s">
        <v>311</v>
      </c>
      <c r="F65" s="1" t="s">
        <v>312</v>
      </c>
    </row>
    <row r="66" customFormat="false" ht="216.4" hidden="false" customHeight="false" outlineLevel="0" collapsed="false">
      <c r="A66" s="1" t="s">
        <v>228</v>
      </c>
      <c r="B66" s="11" t="s">
        <v>270</v>
      </c>
      <c r="C66" s="11" t="s">
        <v>302</v>
      </c>
      <c r="E66" s="1" t="s">
        <v>313</v>
      </c>
      <c r="F66" s="1" t="s">
        <v>314</v>
      </c>
    </row>
    <row r="67" customFormat="false" ht="216.4" hidden="false" customHeight="false" outlineLevel="0" collapsed="false">
      <c r="A67" s="1" t="s">
        <v>228</v>
      </c>
      <c r="B67" s="11" t="s">
        <v>270</v>
      </c>
      <c r="C67" s="11" t="s">
        <v>302</v>
      </c>
      <c r="E67" s="1" t="s">
        <v>315</v>
      </c>
      <c r="F67" s="1" t="s">
        <v>316</v>
      </c>
    </row>
    <row r="68" customFormat="false" ht="216.4" hidden="false" customHeight="false" outlineLevel="0" collapsed="false">
      <c r="A68" s="1" t="s">
        <v>228</v>
      </c>
      <c r="B68" s="11" t="s">
        <v>270</v>
      </c>
      <c r="C68" s="11" t="s">
        <v>302</v>
      </c>
      <c r="E68" s="1" t="s">
        <v>317</v>
      </c>
      <c r="F68" s="1" t="s">
        <v>318</v>
      </c>
    </row>
    <row r="69" customFormat="false" ht="216.4" hidden="false" customHeight="false" outlineLevel="0" collapsed="false">
      <c r="A69" s="1" t="s">
        <v>228</v>
      </c>
      <c r="B69" s="11" t="s">
        <v>270</v>
      </c>
      <c r="C69" s="11" t="s">
        <v>302</v>
      </c>
      <c r="E69" s="1" t="s">
        <v>319</v>
      </c>
      <c r="F69" s="1" t="s">
        <v>320</v>
      </c>
    </row>
    <row r="70" customFormat="false" ht="216.4" hidden="false" customHeight="false" outlineLevel="0" collapsed="false">
      <c r="A70" s="1" t="s">
        <v>228</v>
      </c>
      <c r="B70" s="11" t="s">
        <v>270</v>
      </c>
      <c r="C70" s="11" t="s">
        <v>302</v>
      </c>
      <c r="E70" s="1" t="s">
        <v>321</v>
      </c>
      <c r="F70" s="1" t="s">
        <v>322</v>
      </c>
    </row>
    <row r="71" customFormat="false" ht="216.4" hidden="false" customHeight="false" outlineLevel="0" collapsed="false">
      <c r="A71" s="1" t="s">
        <v>228</v>
      </c>
      <c r="B71" s="11" t="s">
        <v>270</v>
      </c>
      <c r="C71" s="11" t="s">
        <v>302</v>
      </c>
      <c r="E71" s="1" t="s">
        <v>323</v>
      </c>
      <c r="F71" s="1" t="s">
        <v>324</v>
      </c>
    </row>
    <row r="72" customFormat="false" ht="216.4" hidden="false" customHeight="false" outlineLevel="0" collapsed="false">
      <c r="A72" s="1" t="s">
        <v>228</v>
      </c>
      <c r="B72" s="11" t="s">
        <v>270</v>
      </c>
      <c r="C72" s="11" t="s">
        <v>302</v>
      </c>
      <c r="E72" s="1" t="s">
        <v>325</v>
      </c>
      <c r="F72" s="1" t="s">
        <v>326</v>
      </c>
    </row>
    <row r="73" customFormat="false" ht="216.4" hidden="false" customHeight="false" outlineLevel="0" collapsed="false">
      <c r="A73" s="1" t="s">
        <v>228</v>
      </c>
      <c r="B73" s="11" t="s">
        <v>270</v>
      </c>
      <c r="C73" s="11" t="s">
        <v>302</v>
      </c>
      <c r="E73" s="1" t="s">
        <v>327</v>
      </c>
      <c r="F73" s="1" t="s">
        <v>328</v>
      </c>
    </row>
    <row r="74" customFormat="false" ht="216.4" hidden="false" customHeight="false" outlineLevel="0" collapsed="false">
      <c r="A74" s="1" t="s">
        <v>228</v>
      </c>
      <c r="B74" s="11" t="s">
        <v>270</v>
      </c>
      <c r="C74" s="11" t="s">
        <v>302</v>
      </c>
      <c r="E74" s="1" t="s">
        <v>329</v>
      </c>
      <c r="F74" s="1" t="s">
        <v>330</v>
      </c>
    </row>
    <row r="75" customFormat="false" ht="216.4" hidden="false" customHeight="false" outlineLevel="0" collapsed="false">
      <c r="A75" s="1" t="s">
        <v>228</v>
      </c>
      <c r="B75" s="11" t="s">
        <v>270</v>
      </c>
      <c r="C75" s="11" t="s">
        <v>302</v>
      </c>
      <c r="E75" s="1" t="s">
        <v>331</v>
      </c>
      <c r="F75" s="1" t="s">
        <v>332</v>
      </c>
    </row>
    <row r="76" customFormat="false" ht="216.4" hidden="false" customHeight="false" outlineLevel="0" collapsed="false">
      <c r="A76" s="1" t="s">
        <v>228</v>
      </c>
      <c r="B76" s="11" t="s">
        <v>270</v>
      </c>
      <c r="C76" s="11" t="s">
        <v>302</v>
      </c>
      <c r="E76" s="1" t="s">
        <v>333</v>
      </c>
      <c r="F76" s="1" t="s">
        <v>334</v>
      </c>
    </row>
    <row r="77" customFormat="false" ht="216.4" hidden="false" customHeight="false" outlineLevel="0" collapsed="false">
      <c r="A77" s="1" t="s">
        <v>228</v>
      </c>
      <c r="B77" s="11" t="s">
        <v>270</v>
      </c>
      <c r="C77" s="11" t="s">
        <v>302</v>
      </c>
      <c r="E77" s="1" t="s">
        <v>335</v>
      </c>
      <c r="F77" s="1" t="s">
        <v>336</v>
      </c>
    </row>
    <row r="78" customFormat="false" ht="216.4" hidden="false" customHeight="false" outlineLevel="0" collapsed="false">
      <c r="A78" s="1" t="s">
        <v>228</v>
      </c>
      <c r="B78" s="11" t="s">
        <v>270</v>
      </c>
      <c r="C78" s="11" t="s">
        <v>337</v>
      </c>
      <c r="E78" s="1" t="s">
        <v>338</v>
      </c>
      <c r="F78" s="23" t="s">
        <v>339</v>
      </c>
    </row>
    <row r="79" customFormat="false" ht="216.4" hidden="false" customHeight="false" outlineLevel="0" collapsed="false">
      <c r="A79" s="1" t="s">
        <v>228</v>
      </c>
      <c r="B79" s="11" t="s">
        <v>270</v>
      </c>
      <c r="C79" s="11" t="s">
        <v>337</v>
      </c>
      <c r="E79" s="1" t="s">
        <v>340</v>
      </c>
      <c r="F79" s="1" t="s">
        <v>341</v>
      </c>
    </row>
    <row r="80" customFormat="false" ht="216.4" hidden="false" customHeight="false" outlineLevel="0" collapsed="false">
      <c r="A80" s="1" t="s">
        <v>228</v>
      </c>
      <c r="B80" s="11" t="s">
        <v>270</v>
      </c>
      <c r="C80" s="11" t="s">
        <v>342</v>
      </c>
      <c r="E80" s="1" t="s">
        <v>343</v>
      </c>
      <c r="F80" s="1" t="s">
        <v>344</v>
      </c>
    </row>
    <row r="81" customFormat="false" ht="162.65" hidden="false" customHeight="false" outlineLevel="0" collapsed="false">
      <c r="A81" s="1" t="s">
        <v>228</v>
      </c>
      <c r="B81" s="1" t="s">
        <v>345</v>
      </c>
      <c r="C81" s="11" t="s">
        <v>346</v>
      </c>
      <c r="E81" s="1" t="s">
        <v>347</v>
      </c>
      <c r="F81" s="1" t="s">
        <v>348</v>
      </c>
    </row>
    <row r="82" customFormat="false" ht="15" hidden="false" customHeight="false" outlineLevel="0" collapsed="false">
      <c r="A82" s="1" t="s">
        <v>228</v>
      </c>
      <c r="B82" s="1" t="s">
        <v>345</v>
      </c>
      <c r="C82" s="1" t="s">
        <v>349</v>
      </c>
      <c r="E82" s="1" t="s">
        <v>350</v>
      </c>
      <c r="F82" s="1" t="s">
        <v>351</v>
      </c>
    </row>
    <row r="83" customFormat="false" ht="108.95" hidden="false" customHeight="false" outlineLevel="0" collapsed="false">
      <c r="A83" s="1" t="s">
        <v>228</v>
      </c>
      <c r="B83" s="11" t="s">
        <v>352</v>
      </c>
      <c r="E83" s="1" t="s">
        <v>353</v>
      </c>
      <c r="F83" s="1" t="s">
        <v>354</v>
      </c>
    </row>
    <row r="84" customFormat="false" ht="108.95" hidden="false" customHeight="false" outlineLevel="0" collapsed="false">
      <c r="A84" s="1" t="s">
        <v>228</v>
      </c>
      <c r="B84" s="11" t="s">
        <v>352</v>
      </c>
      <c r="E84" s="1" t="s">
        <v>355</v>
      </c>
      <c r="F84" s="1" t="s">
        <v>356</v>
      </c>
    </row>
    <row r="85" customFormat="false" ht="55.2" hidden="false" customHeight="false" outlineLevel="0" collapsed="false">
      <c r="A85" s="1" t="s">
        <v>357</v>
      </c>
      <c r="B85" s="11" t="s">
        <v>229</v>
      </c>
      <c r="E85" s="1" t="s">
        <v>230</v>
      </c>
      <c r="F85" s="1" t="s">
        <v>358</v>
      </c>
    </row>
    <row r="86" customFormat="false" ht="95.5" hidden="false" customHeight="false" outlineLevel="0" collapsed="false">
      <c r="A86" s="1" t="s">
        <v>357</v>
      </c>
      <c r="B86" s="11" t="s">
        <v>359</v>
      </c>
      <c r="C86" s="11" t="s">
        <v>360</v>
      </c>
      <c r="E86" s="1" t="s">
        <v>313</v>
      </c>
      <c r="F86" s="1" t="s">
        <v>361</v>
      </c>
    </row>
    <row r="87" customFormat="false" ht="15" hidden="false" customHeight="false" outlineLevel="0" collapsed="false">
      <c r="A87" s="1" t="s">
        <v>362</v>
      </c>
      <c r="B87" s="1"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60</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2026-10-20T02:06:18Z</dcterms:created>
  <dc:creator>openpyxl</dc:creator>
  <dc:description/>
  <dc:language>en-US</dc:language>
  <cp:lastModifiedBy/>
  <dcterms:modified xsi:type="dcterms:W3CDTF">2026-10-21T15:10:12Z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