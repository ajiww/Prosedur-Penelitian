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<sst xmlns="http://schemas.openxmlformats.org/spreadsheetml/2006/main" count="380" uniqueCount="380">
  <si>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</si>
  <si>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</si>
  <si>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</si>
  <si>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 xml:space="preserve">Ubah Coder ini di Sheet “Petunjuk”</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</si>
  <si>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</si>
  <si>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</si>
  <si>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</si>
  <si>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</si>
  <si>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</si>
  <si>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</si>
  <si>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</si>
  <si>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</si>
  <si>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</si>
  <si>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</si>
  <si>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</si>
  <si>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</si>
  <si>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</si>
  <si>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</si>
  <si>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</si>
  <si>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</si>
  <si>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</si>
  <si>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</si>
  <si>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</si>
  <si>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</si>
  <si>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</si>
  <si>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</si>
  <si>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</si>
  <si>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</si>
  <si>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</si>
  <si>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</si>
  <si>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</si>
  <si>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</si>
  <si>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</si>
  <si>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</si>
  <si>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</si>
  <si>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</si>
  <si>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</si>
  <si>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</si>
  <si>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</si>
  <si>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</si>
  <si>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</si>
  <si>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</si>
  <si>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</si>
  <si>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</si>
  <si>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</si>
  <si>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</si>
  <si>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</si>
  <si>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</si>
  <si>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</si>
  <si>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</si>
  <si>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</si>
  <si>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</si>
  <si>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</si>
  <si>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</si>
  <si>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S1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</si>
  <si>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</si>
  <si>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</si>
  <si>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</si>
  <si>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</si>
  <si>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</si>
  <si>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</si>
  <si>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</si>
  <si>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S5 - Setiap Orang atau pihak umum</t>
  </si>
  <si>
    <t xml:space="preserve">P3 - Hak</t>
  </si>
  <si>
    <t xml:space="preserve">F1 - Perencanaan dan dasar pemrosesan</t>
  </si>
  <si>
    <t>Ya</t>
  </si>
  <si>
    <t xml:space="preserve">S7 - Otoritas Penetap atau Pengawas Kebijakan</t>
  </si>
  <si>
    <t xml:space="preserve">P7 - Asas, prinsip, atau tujuan umum</t>
  </si>
  <si>
    <t xml:space="preserve">F4 - Penyimpanan dan pengamanan</t>
  </si>
  <si>
    <t xml:space="preserve">K4 - Batasan atau aturan bisnis hukum. Apakah teks membatasi apa yang boleh dilakukan sistem, atau apa dan siapa yang tercakup?</t>
  </si>
  <si>
    <t xml:space="preserve">S4 - Subjek Data Pribadi</t>
  </si>
  <si>
    <t xml:space="preserve">F7 - Tata kelola dan hak subjek</t>
  </si>
  <si>
    <t xml:space="preserve">P4 - Pengecualian atau pembatasan</t>
  </si>
  <si>
    <t xml:space="preserve">F3 - Pengolahan dan analisis</t>
  </si>
  <si>
    <t xml:space="preserve">T01 - Definisi, Istilah, dan Ruang Lingkup</t>
  </si>
  <si>
    <t xml:space="preserve">P6 - Definisi, klasifikasi, atau ruang lingkup</t>
  </si>
  <si>
    <t xml:space="preserve">T06 - Data Pribadi Anak dan Kelompok Rentan</t>
  </si>
  <si>
    <t xml:space="preserve">P2 - Kewajiban</t>
  </si>
  <si>
    <t xml:space="preserve">S1 - Pengendali Data Pribadi</t>
  </si>
  <si>
    <t xml:space="preserve">F2 - Pengumpulan atau akuisisi</t>
  </si>
  <si>
    <t xml:space="preserve">F6 - Retensi dan penghapusan</t>
  </si>
  <si>
    <t xml:space="preserve">S3 - Pengendali dan Prosesor</t>
  </si>
  <si>
    <t xml:space="preserve">F5 - Penyebarluasan dan transfer</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</si>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</sst>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16" activeCellId="0" sqref="C16"/>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1" zoomScale="85" workbookViewId="0">
      <pane ySplit="1" topLeftCell="A2" activePane="bottomLeft" state="frozen"/>
      <selection activeCell="J2" activeCellId="0" sqref="J2:J86"/>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hidden="1" customHeight="1">
      <c r="A2" s="16">
        <v>2</v>
      </c>
      <c r="B2" s="17" t="str">
        <f>IF(Petunjuk!$C$4="","",Petunjuk!$C$4)</f>
        <v xml:space="preserve">Ubah Coder ini di Sheet “Petunjuk”</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 xml:space="preserve">Ubah Coder ini di Sheet “Petunjuk”</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 xml:space="preserve">Ubah Coder ini di Sheet “Petunjuk”</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 xml:space="preserve">Ubah Coder ini di Sheet “Petunjuk”</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 xml:space="preserve">Ubah Coder ini di Sheet “Petunjuk”</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 xml:space="preserve">Ubah Coder ini di Sheet “Petunjuk”</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 xml:space="preserve">Ubah Coder ini di Sheet “Petunjuk”</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 xml:space="preserve">Ubah Coder ini di Sheet “Petunjuk”</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 xml:space="preserve">Ubah Coder ini di Sheet “Petunjuk”</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 xml:space="preserve">Ubah Coder ini di Sheet “Petunjuk”</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 xml:space="preserve">Ubah Coder ini di Sheet “Petunjuk”</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 xml:space="preserve">Ubah Coder ini di Sheet “Petunjuk”</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t="s">
        <v>62</v>
      </c>
      <c r="G13" s="19"/>
      <c r="H13" s="19"/>
      <c r="I13" s="19" t="s">
        <v>63</v>
      </c>
      <c r="J13" s="19" t="s">
        <v>64</v>
      </c>
      <c r="K13" s="19"/>
      <c r="L13" s="19"/>
      <c r="M13" s="20"/>
      <c r="N13" s="20"/>
      <c r="O13" s="16" t="s">
        <v>65</v>
      </c>
      <c r="P13" s="18" t="str">
        <f t="shared" si="2"/>
        <v xml:space="preserve">Belum lengkap (3)</v>
      </c>
      <c r="Q13" s="18" t="str">
        <f t="shared" si="3"/>
        <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 xml:space="preserve">Ubah Coder ini di Sheet “Petunjuk”</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hidden="1" customHeight="1">
      <c r="A15" s="16">
        <v>15</v>
      </c>
      <c r="B15" s="17" t="str">
        <f>IF(Petunjuk!$C$4="","",Petunjuk!$C$4)</f>
        <v xml:space="preserve">Ubah Coder ini di Sheet “Petunjuk”</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 xml:space="preserve">Ubah Coder ini di Sheet “Petunjuk”</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 xml:space="preserve">Ubah Coder ini di Sheet “Petunjuk”</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 xml:space="preserve">Ubah Coder ini di Sheet “Petunjuk”</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 xml:space="preserve">Ubah Coder ini di Sheet “Petunjuk”</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 xml:space="preserve">Ubah Coder ini di Sheet “Petunjuk”</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 xml:space="preserve">Ubah Coder ini di Sheet “Petunjuk”</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t="s">
        <v>66</v>
      </c>
      <c r="G21" s="19"/>
      <c r="H21" s="19"/>
      <c r="I21" s="19" t="s">
        <v>67</v>
      </c>
      <c r="J21" s="19" t="s">
        <v>68</v>
      </c>
      <c r="K21" s="19" t="s">
        <v>69</v>
      </c>
      <c r="L21" s="19"/>
      <c r="M21" s="20"/>
      <c r="N21" s="20"/>
      <c r="O21" s="16" t="s">
        <v>65</v>
      </c>
      <c r="P21" s="18" t="str">
        <f t="shared" si="2"/>
        <v xml:space="preserve">Belum lengkap (2)</v>
      </c>
      <c r="Q21" s="18" t="str">
        <f t="shared" si="3"/>
        <v/>
      </c>
      <c r="R21" s="18" t="str">
        <f>IF(INDEX(Korpus!$B:$B,$A21)="","",INDEX(Korpus!$B:$B,$A21))</f>
        <v xml:space="preserve">C. Pembahasan</v>
      </c>
      <c r="S21" s="18" t="str">
        <f>IF(INDEX(Korpus!$C:$C,$A21)="","",INDEX(Korpus!$C:$C,$A21))</f>
        <v xml:space="preserve">5. Pentingnya Perlindungan Data Pribadi</v>
      </c>
    </row>
    <row r="22" ht="60" hidden="1" customHeight="1">
      <c r="A22" s="16">
        <v>22</v>
      </c>
      <c r="B22" s="17" t="str">
        <f>IF(Petunjuk!$C$4="","",Petunjuk!$C$4)</f>
        <v xml:space="preserve">Ubah Coder ini di Sheet “Petunjuk”</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 xml:space="preserve">Ubah Coder ini di Sheet “Petunjuk”</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 xml:space="preserve">Ubah Coder ini di Sheet “Petunjuk”</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 xml:space="preserve">Ubah Coder ini di Sheet “Petunjuk”</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t="s">
        <v>66</v>
      </c>
      <c r="G25" s="19"/>
      <c r="H25" s="19"/>
      <c r="I25" s="19" t="s">
        <v>67</v>
      </c>
      <c r="J25" s="19" t="s">
        <v>64</v>
      </c>
      <c r="K25" s="19" t="s">
        <v>69</v>
      </c>
      <c r="L25" s="19"/>
      <c r="M25" s="20"/>
      <c r="N25" s="20"/>
      <c r="O25" s="16" t="s">
        <v>65</v>
      </c>
      <c r="P25" s="18" t="str">
        <f t="shared" si="2"/>
        <v xml:space="preserve">Belum lengkap (2)</v>
      </c>
      <c r="Q25" s="18" t="str">
        <f t="shared" si="3"/>
        <v/>
      </c>
      <c r="R25" s="18" t="str">
        <f>IF(INDEX(Korpus!$B:$B,$A25)="","",INDEX(Korpus!$B:$B,$A25))</f>
        <v xml:space="preserve">D. Penutup</v>
      </c>
      <c r="S25" s="18" t="str">
        <f>IF(INDEX(Korpus!$C:$C,$A25)="","",INDEX(Korpus!$C:$C,$A25))</f>
        <v/>
      </c>
    </row>
    <row r="26" ht="60" hidden="1" customHeight="1">
      <c r="A26" s="16">
        <v>26</v>
      </c>
      <c r="B26" s="17" t="str">
        <f>IF(Petunjuk!$C$4="","",Petunjuk!$C$4)</f>
        <v xml:space="preserve">Ubah Coder ini di Sheet “Petunjuk”</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 xml:space="preserve">Ubah Coder ini di Sheet “Petunjuk”</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hidden="1" customHeight="1">
      <c r="A28" s="16">
        <v>28</v>
      </c>
      <c r="B28" s="17" t="str">
        <f>IF(Petunjuk!$C$4="","",Petunjuk!$C$4)</f>
        <v xml:space="preserve">Ubah Coder ini di Sheet “Petunjuk”</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 xml:space="preserve">Ubah Coder ini di Sheet “Petunjuk”</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customHeight="1">
      <c r="A30" s="16">
        <v>30</v>
      </c>
      <c r="B30" s="17" t="str">
        <f>IF(Petunjuk!$C$4="","",Petunjuk!$C$4)</f>
        <v xml:space="preserve">Ubah Coder ini di Sheet “Petunjuk”</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t="s">
        <v>65</v>
      </c>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 xml:space="preserve">Ubah Coder ini di Sheet “Petunjuk”</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hidden="1" customHeight="1">
      <c r="A32" s="16">
        <v>32</v>
      </c>
      <c r="B32" s="17" t="str">
        <f>IF(Petunjuk!$C$4="","",Petunjuk!$C$4)</f>
        <v xml:space="preserve">Ubah Coder ini di Sheet “Petunjuk”</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 xml:space="preserve">Ubah Coder ini di Sheet “Petunjuk”</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 xml:space="preserve">Ubah Coder ini di Sheet “Petunjuk”</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customHeight="1">
      <c r="A35" s="16">
        <v>35</v>
      </c>
      <c r="B35" s="17" t="str">
        <f>IF(Petunjuk!$C$4="","",Petunjuk!$C$4)</f>
        <v xml:space="preserve">Ubah Coder ini di Sheet “Petunjuk”</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t="s">
        <v>70</v>
      </c>
      <c r="G35" s="19"/>
      <c r="H35" s="19"/>
      <c r="I35" s="19" t="s">
        <v>63</v>
      </c>
      <c r="J35" s="19" t="s">
        <v>71</v>
      </c>
      <c r="K35" s="19"/>
      <c r="L35" s="19"/>
      <c r="M35" s="20"/>
      <c r="N35" s="20"/>
      <c r="O35" s="16" t="s">
        <v>65</v>
      </c>
      <c r="P35" s="18" t="str">
        <f t="shared" si="2"/>
        <v xml:space="preserve">Belum lengkap (3)</v>
      </c>
      <c r="Q35" s="18" t="str">
        <f t="shared" si="3"/>
        <v/>
      </c>
      <c r="R35" s="18" t="str">
        <f>IF(INDEX(Korpus!$B:$B,$A35)="","",INDEX(Korpus!$B:$B,$A35))</f>
        <v xml:space="preserve">BAB IV
HAK SUBJEK DATA PRIBADI</v>
      </c>
      <c r="S35" s="18" t="str">
        <f>IF(INDEX(Korpus!$C:$C,$A35)="","",INDEX(Korpus!$C:$C,$A35))</f>
        <v/>
      </c>
    </row>
    <row r="36" ht="60" hidden="1" customHeight="1">
      <c r="A36" s="16">
        <v>36</v>
      </c>
      <c r="B36" s="17" t="str">
        <f>IF(Petunjuk!$C$4="","",Petunjuk!$C$4)</f>
        <v xml:space="preserve">Ubah Coder ini di Sheet “Petunjuk”</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 xml:space="preserve">Ubah Coder ini di Sheet “Petunjuk”</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 xml:space="preserve">Ubah Coder ini di Sheet “Petunjuk”</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 xml:space="preserve">Ubah Coder ini di Sheet “Petunjuk”</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 xml:space="preserve">Ubah Coder ini di Sheet “Petunjuk”</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 xml:space="preserve">Ubah Coder ini di Sheet “Petunjuk”</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customHeight="1">
      <c r="A42" s="16">
        <v>42</v>
      </c>
      <c r="B42" s="17" t="str">
        <f>IF(Petunjuk!$C$4="","",Petunjuk!$C$4)</f>
        <v xml:space="preserve">Ubah Coder ini di Sheet “Petunjuk”</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t="s">
        <v>66</v>
      </c>
      <c r="G42" s="19"/>
      <c r="H42" s="19"/>
      <c r="I42" s="19" t="s">
        <v>72</v>
      </c>
      <c r="J42" s="19" t="s">
        <v>73</v>
      </c>
      <c r="K42" s="19" t="s">
        <v>69</v>
      </c>
      <c r="L42" s="19"/>
      <c r="M42" s="20"/>
      <c r="N42" s="20"/>
      <c r="O42" s="16" t="s">
        <v>65</v>
      </c>
      <c r="P42" s="18" t="str">
        <f t="shared" si="2"/>
        <v xml:space="preserve">Belum lengkap (2)</v>
      </c>
      <c r="Q42" s="18" t="str">
        <f t="shared" si="3"/>
        <v/>
      </c>
      <c r="R42" s="18" t="str">
        <f>IF(INDEX(Korpus!$B:$B,$A42)="","",INDEX(Korpus!$B:$B,$A42))</f>
        <v xml:space="preserve">BAB IV
HAK SUBJEK DATA PRIBADI</v>
      </c>
      <c r="S42" s="18" t="str">
        <f>IF(INDEX(Korpus!$C:$C,$A42)="","",INDEX(Korpus!$C:$C,$A42))</f>
        <v/>
      </c>
    </row>
    <row r="43" ht="60" hidden="1" customHeight="1">
      <c r="A43" s="16">
        <v>43</v>
      </c>
      <c r="B43" s="17" t="str">
        <f>IF(Petunjuk!$C$4="","",Petunjuk!$C$4)</f>
        <v xml:space="preserve">Ubah Coder ini di Sheet “Petunjuk”</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customHeight="1">
      <c r="A44" s="16">
        <v>44</v>
      </c>
      <c r="B44" s="17" t="str">
        <f>IF(Petunjuk!$C$4="","",Petunjuk!$C$4)</f>
        <v xml:space="preserve">Ubah Coder ini di Sheet “Petunjuk”</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t="s">
        <v>66</v>
      </c>
      <c r="G44" s="19"/>
      <c r="H44" s="19" t="s">
        <v>74</v>
      </c>
      <c r="I44" s="19" t="s">
        <v>75</v>
      </c>
      <c r="J44" s="19" t="s">
        <v>73</v>
      </c>
      <c r="K44" s="19" t="s">
        <v>69</v>
      </c>
      <c r="L44" s="19"/>
      <c r="M44" s="20"/>
      <c r="N44" s="20"/>
      <c r="O44" s="16" t="s">
        <v>65</v>
      </c>
      <c r="P44" s="18" t="str">
        <f t="shared" si="2"/>
        <v xml:space="preserve">Belum lengkap (1)</v>
      </c>
      <c r="Q44" s="18" t="str">
        <f t="shared" si="3"/>
        <v/>
      </c>
      <c r="R44" s="18" t="str">
        <f>IF(INDEX(Korpus!$B:$B,$A44)="","",INDEX(Korpus!$B:$B,$A44))</f>
        <v xml:space="preserve">BAB V
PEMROSESAN DATA PRIBADI</v>
      </c>
      <c r="S44" s="18" t="str">
        <f>IF(INDEX(Korpus!$C:$C,$A44)="","",INDEX(Korpus!$C:$C,$A44))</f>
        <v/>
      </c>
    </row>
    <row r="45" ht="60" hidden="1" customHeight="1">
      <c r="A45" s="16">
        <v>45</v>
      </c>
      <c r="B45" s="17" t="str">
        <f>IF(Petunjuk!$C$4="","",Petunjuk!$C$4)</f>
        <v xml:space="preserve">Ubah Coder ini di Sheet “Petunjuk”</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 xml:space="preserve">Ubah Coder ini di Sheet “Petunjuk”</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 xml:space="preserve">Ubah Coder ini di Sheet “Petunjuk”</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 xml:space="preserve">Ubah Coder ini di Sheet “Petunjuk”</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hidden="1" customHeight="1">
      <c r="A49" s="16">
        <v>49</v>
      </c>
      <c r="B49" s="17" t="str">
        <f>IF(Petunjuk!$C$4="","",Petunjuk!$C$4)</f>
        <v xml:space="preserve">Ubah Coder ini di Sheet “Petunjuk”</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 xml:space="preserve">Ubah Coder ini di Sheet “Petunjuk”</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 xml:space="preserve">Ubah Coder ini di Sheet “Petunjuk”</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 xml:space="preserve">Ubah Coder ini di Sheet “Petunjuk”</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t="s">
        <v>70</v>
      </c>
      <c r="G52" s="19"/>
      <c r="H52" s="19" t="s">
        <v>76</v>
      </c>
      <c r="I52" s="19" t="s">
        <v>77</v>
      </c>
      <c r="J52" s="19" t="s">
        <v>71</v>
      </c>
      <c r="K52" s="19"/>
      <c r="L52" s="19"/>
      <c r="M52" s="20"/>
      <c r="N52" s="20"/>
      <c r="O52" s="16" t="s">
        <v>65</v>
      </c>
      <c r="P52" s="18" t="str">
        <f t="shared" si="2"/>
        <v xml:space="preserve">Belum lengkap (2)</v>
      </c>
      <c r="Q52" s="18" t="str">
        <f t="shared" si="3"/>
        <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 xml:space="preserve">Ubah Coder ini di Sheet “Petunjuk”</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 xml:space="preserve">Ubah Coder ini di Sheet “Petunjuk”</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t="s">
        <v>78</v>
      </c>
      <c r="G54" s="19"/>
      <c r="H54" s="19"/>
      <c r="I54" s="19" t="s">
        <v>77</v>
      </c>
      <c r="J54" s="19" t="s">
        <v>73</v>
      </c>
      <c r="K54" s="19"/>
      <c r="L54" s="19"/>
      <c r="M54" s="20"/>
      <c r="N54" s="20"/>
      <c r="O54" s="16" t="s">
        <v>65</v>
      </c>
      <c r="P54" s="18" t="str">
        <f t="shared" si="2"/>
        <v xml:space="preserve">Belum lengkap (3)</v>
      </c>
      <c r="Q54" s="18" t="str">
        <f t="shared" si="3"/>
        <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hidden="1" customHeight="1">
      <c r="A55" s="16">
        <v>55</v>
      </c>
      <c r="B55" s="17" t="str">
        <f>IF(Petunjuk!$C$4="","",Petunjuk!$C$4)</f>
        <v xml:space="preserve">Ubah Coder ini di Sheet “Petunjuk”</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 xml:space="preserve">Ubah Coder ini di Sheet “Petunjuk”</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t="s">
        <v>78</v>
      </c>
      <c r="G56" s="19"/>
      <c r="H56" s="19"/>
      <c r="I56" s="19" t="s">
        <v>77</v>
      </c>
      <c r="J56" s="19" t="s">
        <v>79</v>
      </c>
      <c r="K56" s="19"/>
      <c r="L56" s="19"/>
      <c r="M56" s="20"/>
      <c r="N56" s="20"/>
      <c r="O56" s="16" t="s">
        <v>65</v>
      </c>
      <c r="P56" s="18" t="str">
        <f t="shared" si="2"/>
        <v xml:space="preserve">Belum lengkap (3)</v>
      </c>
      <c r="Q56" s="18" t="str">
        <f t="shared" si="3"/>
        <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 xml:space="preserve">Ubah Coder ini di Sheet “Petunjuk”</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 xml:space="preserve">Ubah Coder ini di Sheet “Petunjuk”</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 xml:space="preserve">Ubah Coder ini di Sheet “Petunjuk”</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 xml:space="preserve">Ubah Coder ini di Sheet “Petunjuk”</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 xml:space="preserve">Ubah Coder ini di Sheet “Petunjuk”</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hidden="1" customHeight="1">
      <c r="A62" s="16">
        <v>62</v>
      </c>
      <c r="B62" s="17" t="str">
        <f>IF(Petunjuk!$C$4="","",Petunjuk!$C$4)</f>
        <v xml:space="preserve">Ubah Coder ini di Sheet “Petunjuk”</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 xml:space="preserve">Ubah Coder ini di Sheet “Petunjuk”</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 xml:space="preserve">Ubah Coder ini di Sheet “Petunjuk”</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 xml:space="preserve">Ubah Coder ini di Sheet “Petunjuk”</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 xml:space="preserve">Ubah Coder ini di Sheet “Petunjuk”</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hidden="1" customHeight="1">
      <c r="A67" s="16">
        <v>67</v>
      </c>
      <c r="B67" s="17" t="str">
        <f>IF(Petunjuk!$C$4="","",Petunjuk!$C$4)</f>
        <v xml:space="preserve">Ubah Coder ini di Sheet “Petunjuk”</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 xml:space="preserve">Ubah Coder ini di Sheet “Petunjuk”</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 xml:space="preserve">Ubah Coder ini di Sheet “Petunjuk”</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customHeight="1">
      <c r="A70" s="16">
        <v>70</v>
      </c>
      <c r="B70" s="17" t="str">
        <f>IF(Petunjuk!$C$4="","",Petunjuk!$C$4)</f>
        <v xml:space="preserve">Ubah Coder ini di Sheet “Petunjuk”</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t="s">
        <v>78</v>
      </c>
      <c r="G70" s="19"/>
      <c r="H70" s="19"/>
      <c r="I70" s="19" t="s">
        <v>77</v>
      </c>
      <c r="J70" s="19" t="s">
        <v>80</v>
      </c>
      <c r="K70" s="19"/>
      <c r="L70" s="19"/>
      <c r="M70" s="20"/>
      <c r="N70" s="20"/>
      <c r="O70" s="16" t="s">
        <v>65</v>
      </c>
      <c r="P70" s="18" t="str">
        <f t="shared" si="2"/>
        <v xml:space="preserve">Belum lengkap (3)</v>
      </c>
      <c r="Q70" s="18" t="str">
        <f t="shared" si="3"/>
        <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 xml:space="preserve">Ubah Coder ini di Sheet “Petunjuk”</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 xml:space="preserve">Ubah Coder ini di Sheet “Petunjuk”</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 xml:space="preserve">Ubah Coder ini di Sheet “Petunjuk”</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 xml:space="preserve">Ubah Coder ini di Sheet “Petunjuk”</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 xml:space="preserve">Ubah Coder ini di Sheet “Petunjuk”</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 xml:space="preserve">Ubah Coder ini di Sheet “Petunjuk”</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 xml:space="preserve">Ubah Coder ini di Sheet “Petunjuk”</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 xml:space="preserve">Ubah Coder ini di Sheet “Petunjuk”</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customHeight="1">
      <c r="A79" s="16">
        <v>79</v>
      </c>
      <c r="B79" s="17" t="str">
        <f>IF(Petunjuk!$C$4="","",Petunjuk!$C$4)</f>
        <v xml:space="preserve">Ubah Coder ini di Sheet “Petunjuk”</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t="s">
        <v>81</v>
      </c>
      <c r="G79" s="19"/>
      <c r="H79" s="19"/>
      <c r="I79" s="19" t="s">
        <v>77</v>
      </c>
      <c r="J79" s="19" t="s">
        <v>73</v>
      </c>
      <c r="K79" s="19"/>
      <c r="L79" s="19"/>
      <c r="M79" s="20"/>
      <c r="N79" s="20"/>
      <c r="O79" s="16" t="s">
        <v>65</v>
      </c>
      <c r="P79" s="18" t="str">
        <f t="shared" si="4"/>
        <v xml:space="preserve">Belum lengkap (3)</v>
      </c>
      <c r="Q79" s="18" t="str">
        <f t="shared" si="5"/>
        <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 xml:space="preserve">Ubah Coder ini di Sheet “Petunjuk”</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customHeight="1">
      <c r="A81" s="16">
        <v>81</v>
      </c>
      <c r="B81" s="17" t="str">
        <f>IF(Petunjuk!$C$4="","",Petunjuk!$C$4)</f>
        <v xml:space="preserve">Ubah Coder ini di Sheet “Petunjuk”</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t="s">
        <v>78</v>
      </c>
      <c r="G81" s="19"/>
      <c r="H81" s="19"/>
      <c r="I81" s="19" t="s">
        <v>72</v>
      </c>
      <c r="J81" s="19" t="s">
        <v>82</v>
      </c>
      <c r="K81" s="19"/>
      <c r="L81" s="19"/>
      <c r="M81" s="20"/>
      <c r="N81" s="20"/>
      <c r="O81" s="16" t="s">
        <v>65</v>
      </c>
      <c r="P81" s="18" t="str">
        <f t="shared" si="4"/>
        <v xml:space="preserve">Belum lengkap (3)</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 xml:space="preserve">Ubah Coder ini di Sheet “Petunjuk”</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hidden="1" customHeight="1">
      <c r="A83" s="16">
        <v>83</v>
      </c>
      <c r="B83" s="17" t="str">
        <f>IF(Petunjuk!$C$4="","",Petunjuk!$C$4)</f>
        <v xml:space="preserve">Ubah Coder ini di Sheet “Petunjuk”</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 xml:space="preserve">Ubah Coder ini di Sheet “Petunjuk”</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 xml:space="preserve">Ubah Coder ini di Sheet “Petunjuk”</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hidden="1" customHeight="1">
      <c r="A86" s="16">
        <v>86</v>
      </c>
      <c r="B86" s="17" t="str">
        <f>IF(Petunjuk!$C$4="","",Petunjuk!$C$4)</f>
        <v xml:space="preserve">Ubah Coder ini di Sheet “Petunjuk”</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customFilters and="1">
        <customFilter operator="notEqual" val=" "/>
      </customFilters>
    </filterColumn>
  </autoFilter>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9" disablePrompts="0">
        <x14:dataValidation xr:uid="{2C12D510-F333-42A0-A65F-F101EFEB6C2D}"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10;Detail lihat Bagian 7.1" promptTitle="" showDropDown="0" showErrorMessage="1" showInputMessage="1">
          <x14:formula1>
            <xm:f>'Daftar Kode'!$D$5:$D$13</xm:f>
          </x14:formula1>
          <x14:formula2>
            <xm:f>"""0"""</xm:f>
          </x14:formula2>
          <xm:sqref>F3:F86</xm:sqref>
        </x14:dataValidation>
        <x14:dataValidation xr:uid="{104A0345-3DA5-4567-9F82-5C0DA5DC4BE0}" type="list" allowBlank="1" error="Pilih kode dari daftar (lihat sheet Daftar Kode)." errorStyle="stop" errorTitle="Kode tidak sah" imeMode="noControl" operator="between" prompt="Tentukan dengan Uji Implikasi Bagian 6.&#10;Detail lainnya lihat Bagian 7.2" promptTitle="" showDropDown="0" showErrorMessage="1" showInputMessage="1">
          <x14:formula1>
            <xm:f>'Daftar Kode'!$D$16:$D$18</xm:f>
          </x14:formula1>
          <x14:formula2>
            <xm:f>"""0"""</xm:f>
          </x14:formula2>
          <xm:sqref>G2:G20 G22:G86</xm:sqref>
        </x14:dataValidation>
        <x14:dataValidation xr:uid="{67B25E2F-91B3-4E9F-8DAE-87B0074D45E4}"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1A755312-4155-4117-85B2-B509B3A4F41F}" type="list" allowBlank="1" error="Pilih kode dari daftar (lihat sheet Daftar Kode)." errorStyle="stop" errorTitle="Kode tidak sah" imeMode="noControl" operator="between" prompt="Detail lihat Bagian 7.4" promptTitle="" showDropDown="0" showErrorMessage="1" showInputMessage="1">
          <x14:formula1>
            <xm:f>'Daftar Kode'!$D$40:$D$47</xm:f>
          </x14:formula1>
          <x14:formula2>
            <xm:f>"""0"""</xm:f>
          </x14:formula2>
          <xm:sqref>I2:I86</xm:sqref>
        </x14:dataValidation>
        <x14:dataValidation xr:uid="{061700D1-6D39-4AC5-9638-BB214661FD91}" type="list" allowBlank="1" error="Pilih kode dari daftar (lihat sheet Daftar Kode)." errorStyle="stop" errorTitle="Kode tidak sah" imeMode="noControl" operator="between" prompt="Tahap siklus data yang terkait dari awal hingga akhir.&#10;Detail lihat Bagian 7.5" promptTitle="" showDropDown="0" showErrorMessage="1" showInputMessage="1">
          <x14:formula1>
            <xm:f>'Daftar Kode'!$D$50:$D$57</xm:f>
          </x14:formula1>
          <x14:formula2>
            <xm:f>"""0"""</xm:f>
          </x14:formula2>
          <xm:sqref>J2:J86</xm:sqref>
        </x14:dataValidation>
        <x14:dataValidation xr:uid="{6FCE5C41-932D-4A44-8AE0-DBCC91E219D6}" type="list" allowBlank="1" error="Pilih kode dari daftar (lihat sheet Daftar Kode)." errorStyle="stop" errorTitle="Kode tidak sah" imeMode="noControl" operator="between" prompt="Kandidat jenis kebutuhan SRS diperiksa berurutan K1 -&gt; K2 -&gt; K3 -&gt; K4 -&gt; K5.&#10;Detail lihat Bagian 7.6" promptTitle="" showDropDown="0" showErrorMessage="1" showInputMessage="1">
          <x14:formula1>
            <xm:f>'Daftar Kode'!$D$60:$D$64</xm:f>
          </x14:formula1>
          <x14:formula2>
            <xm:f>"""0"""</xm:f>
          </x14:formula2>
          <xm:sqref>K2:K86</xm:sqref>
        </x14:dataValidation>
        <x14:dataValidation xr:uid="{78CEC7C6-A62B-4E2C-98DE-DDE1E79085DB}"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78F1C1B0-1957-4014-9C75-8FD096D53194}"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promptTitle="" showDropDown="0" showErrorMessage="1" showInputMessage="1">
          <x14:formula1>
            <xm:f>'Daftar Kode'!$D$5:$D$13</xm:f>
          </x14:formula1>
          <x14:formula2>
            <xm:f>"""0"""</xm:f>
          </x14:formula2>
          <xm:sqref>F2</xm:sqref>
        </x14:dataValidation>
        <x14:dataValidation xr:uid="{06824767-2672-45C1-81AB-529C77E37E91}" type="list" allowBlank="1" error="Pilih kode dari daftar (lihat sheet Daftar Kode)." errorStyle="stop" errorTitle="Kode tidak sah" imeMode="noControl" operator="between" prompt="Tentukan dengan Uji Implikasi Bagian 6.&#10;Detail lainnya lihat Bagian 7.2" promptTitle="" showDropDown="0" showErrorMessage="1" showInputMessage="1">
          <x14:formula1>
            <xm:f>'Daftar Kode'!$D$16:$D$18</xm:f>
          </x14:formula1>
          <x14:formula2>
            <xm:f>"""0"""</xm:f>
          </x14:formula2>
          <xm:sqref>G21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83</v>
      </c>
    </row>
    <row r="2" ht="15">
      <c r="A2" s="3" t="s">
        <v>84</v>
      </c>
    </row>
    <row r="4" ht="15">
      <c r="A4" s="14" t="s">
        <v>85</v>
      </c>
      <c r="B4" s="14" t="s">
        <v>53</v>
      </c>
      <c r="C4" s="14" t="s">
        <v>86</v>
      </c>
      <c r="D4" s="22" t="str">
        <f t="shared" ref="D4:D9" si="6">$B4 &amp; " - " &amp; $C4</f>
        <v xml:space="preserve">Kode - Label</v>
      </c>
    </row>
    <row r="5" ht="15">
      <c r="A5" s="23" t="s">
        <v>32</v>
      </c>
      <c r="B5" s="24" t="s">
        <v>87</v>
      </c>
      <c r="C5" s="23" t="s">
        <v>88</v>
      </c>
      <c r="D5" s="21" t="str">
        <f t="shared" si="6"/>
        <v xml:space="preserve">S1 - Pengendali Data Pribadi</v>
      </c>
    </row>
    <row r="6" ht="15">
      <c r="A6" s="23" t="s">
        <v>32</v>
      </c>
      <c r="B6" s="24" t="s">
        <v>89</v>
      </c>
      <c r="C6" s="23" t="s">
        <v>90</v>
      </c>
      <c r="D6" s="21" t="str">
        <f t="shared" si="6"/>
        <v xml:space="preserve">S2 - Prosesor Data Pribadi</v>
      </c>
    </row>
    <row r="7" ht="15">
      <c r="A7" s="23" t="s">
        <v>32</v>
      </c>
      <c r="B7" s="24" t="s">
        <v>91</v>
      </c>
      <c r="C7" s="23" t="s">
        <v>92</v>
      </c>
      <c r="D7" s="21" t="str">
        <f t="shared" si="6"/>
        <v xml:space="preserve">S3 - Pengendali dan Prosesor</v>
      </c>
    </row>
    <row r="8" ht="15">
      <c r="A8" s="23" t="s">
        <v>32</v>
      </c>
      <c r="B8" s="24" t="s">
        <v>93</v>
      </c>
      <c r="C8" s="23" t="s">
        <v>94</v>
      </c>
      <c r="D8" s="21" t="str">
        <f t="shared" si="6"/>
        <v xml:space="preserve">S4 - Subjek Data Pribadi</v>
      </c>
    </row>
    <row r="9" ht="15">
      <c r="A9" s="23" t="s">
        <v>32</v>
      </c>
      <c r="B9" s="24" t="s">
        <v>95</v>
      </c>
      <c r="C9" s="23" t="s">
        <v>96</v>
      </c>
      <c r="D9" s="21" t="str">
        <f t="shared" si="6"/>
        <v xml:space="preserve">S5 - Setiap Orang atau pihak umum</v>
      </c>
    </row>
    <row r="10" ht="15">
      <c r="A10" s="23" t="s">
        <v>32</v>
      </c>
      <c r="B10" s="24" t="s">
        <v>97</v>
      </c>
      <c r="C10" s="23" t="s">
        <v>98</v>
      </c>
      <c r="D10" s="21" t="str">
        <f t="shared" ref="D10:D64" si="7">$B10 &amp; " - " &amp; $C10</f>
        <v xml:space="preserve">S6 - Instansi atau Badan Publik</v>
      </c>
    </row>
    <row r="11" ht="15">
      <c r="A11" s="23" t="s">
        <v>32</v>
      </c>
      <c r="B11" s="24" t="s">
        <v>99</v>
      </c>
      <c r="C11" s="23" t="s">
        <v>100</v>
      </c>
      <c r="D11" s="21" t="str">
        <f t="shared" si="7"/>
        <v xml:space="preserve">S7 - Otoritas Penetap atau Pengawas Kebijakan</v>
      </c>
    </row>
    <row r="12" ht="15">
      <c r="A12" s="23" t="s">
        <v>32</v>
      </c>
      <c r="B12" s="24" t="s">
        <v>101</v>
      </c>
      <c r="C12" s="23" t="s">
        <v>102</v>
      </c>
      <c r="D12" s="21" t="str">
        <f t="shared" si="7"/>
        <v xml:space="preserve">S8 - Penyelenggara sektor atau pihak lain</v>
      </c>
    </row>
    <row r="13" ht="15">
      <c r="A13" s="23" t="s">
        <v>32</v>
      </c>
      <c r="B13" s="24" t="s">
        <v>103</v>
      </c>
      <c r="C13" s="23" t="s">
        <v>104</v>
      </c>
      <c r="D13" s="21" t="str">
        <f t="shared" si="7"/>
        <v xml:space="preserve">S9 - Tidak ada subjek perorangan atau organisasi eksplisit</v>
      </c>
    </row>
    <row r="15" ht="15">
      <c r="A15" s="14" t="s">
        <v>85</v>
      </c>
      <c r="B15" s="14" t="s">
        <v>53</v>
      </c>
      <c r="C15" s="14" t="s">
        <v>86</v>
      </c>
      <c r="D15" s="22" t="str">
        <f t="shared" si="7"/>
        <v xml:space="preserve">Kode - Label</v>
      </c>
    </row>
    <row r="16" ht="15">
      <c r="A16" s="23" t="s">
        <v>34</v>
      </c>
      <c r="B16" s="24" t="s">
        <v>105</v>
      </c>
      <c r="C16" s="23" t="s">
        <v>106</v>
      </c>
      <c r="D16" s="21" t="str">
        <f t="shared" si="7"/>
        <v xml:space="preserve">R0 - Tidak relevan</v>
      </c>
    </row>
    <row r="17" ht="15">
      <c r="A17" s="23" t="s">
        <v>34</v>
      </c>
      <c r="B17" s="24" t="s">
        <v>107</v>
      </c>
      <c r="C17" s="23" t="s">
        <v>108</v>
      </c>
      <c r="D17" s="21" t="str">
        <f t="shared" si="7"/>
        <v xml:space="preserve">R1 - Relevan tidak langsung</v>
      </c>
    </row>
    <row r="18" ht="15">
      <c r="A18" s="23" t="s">
        <v>34</v>
      </c>
      <c r="B18" s="24" t="s">
        <v>109</v>
      </c>
      <c r="C18" s="23" t="s">
        <v>110</v>
      </c>
      <c r="D18" s="21" t="str">
        <f t="shared" si="7"/>
        <v xml:space="preserve">R2 - Relevan langsung</v>
      </c>
    </row>
    <row r="20" ht="15">
      <c r="A20" s="14" t="s">
        <v>85</v>
      </c>
      <c r="B20" s="14" t="s">
        <v>53</v>
      </c>
      <c r="C20" s="14" t="s">
        <v>86</v>
      </c>
      <c r="D20" s="22" t="str">
        <f t="shared" si="7"/>
        <v xml:space="preserve">Kode - Label</v>
      </c>
    </row>
    <row r="21" ht="15">
      <c r="A21" s="23" t="s">
        <v>36</v>
      </c>
      <c r="B21" s="24" t="s">
        <v>111</v>
      </c>
      <c r="C21" s="23" t="s">
        <v>112</v>
      </c>
      <c r="D21" s="21" t="str">
        <f t="shared" si="7"/>
        <v xml:space="preserve">T01 - Definisi, Istilah, dan Ruang Lingkup</v>
      </c>
    </row>
    <row r="22" ht="15">
      <c r="A22" s="23" t="s">
        <v>36</v>
      </c>
      <c r="B22" s="24" t="s">
        <v>113</v>
      </c>
      <c r="C22" s="23" t="s">
        <v>114</v>
      </c>
      <c r="D22" s="21" t="str">
        <f t="shared" si="7"/>
        <v xml:space="preserve">T02 - Latar Normatif dan Rujukan Non-operasional</v>
      </c>
    </row>
    <row r="23" ht="15">
      <c r="A23" s="23" t="s">
        <v>36</v>
      </c>
      <c r="B23" s="24" t="s">
        <v>115</v>
      </c>
      <c r="C23" s="23" t="s">
        <v>116</v>
      </c>
      <c r="D23" s="21" t="str">
        <f t="shared" si="7"/>
        <v xml:space="preserve">T03 - Larangan dan Perbuatan Melawan Hukum</v>
      </c>
    </row>
    <row r="24" ht="15">
      <c r="A24" s="23" t="s">
        <v>36</v>
      </c>
      <c r="B24" s="24" t="s">
        <v>117</v>
      </c>
      <c r="C24" s="23" t="s">
        <v>118</v>
      </c>
      <c r="D24" s="21" t="str">
        <f t="shared" si="7"/>
        <v xml:space="preserve">T04 - Pengecualian dan Pembatasan</v>
      </c>
    </row>
    <row r="25" ht="15">
      <c r="A25" s="23" t="s">
        <v>36</v>
      </c>
      <c r="B25" s="24" t="s">
        <v>119</v>
      </c>
      <c r="C25" s="23" t="s">
        <v>120</v>
      </c>
      <c r="D25" s="21" t="str">
        <f t="shared" si="7"/>
        <v xml:space="preserve">T05 - Jenis dan Klasifikasi Data Pribadi</v>
      </c>
    </row>
    <row r="26" ht="15">
      <c r="A26" s="23" t="s">
        <v>36</v>
      </c>
      <c r="B26" s="24" t="s">
        <v>121</v>
      </c>
      <c r="C26" s="23" t="s">
        <v>122</v>
      </c>
      <c r="D26" s="21" t="str">
        <f t="shared" si="7"/>
        <v xml:space="preserve">T06 - Data Pribadi Anak dan Kelompok Rentan</v>
      </c>
    </row>
    <row r="27" ht="15">
      <c r="A27" s="23" t="s">
        <v>36</v>
      </c>
      <c r="B27" s="24" t="s">
        <v>123</v>
      </c>
      <c r="C27" s="23" t="s">
        <v>124</v>
      </c>
      <c r="D27" s="21" t="str">
        <f t="shared" si="7"/>
        <v xml:space="preserve">T07 - Hak Subjek Data Pribadi</v>
      </c>
    </row>
    <row r="28" ht="15">
      <c r="A28" s="23" t="s">
        <v>36</v>
      </c>
      <c r="B28" s="24" t="s">
        <v>125</v>
      </c>
      <c r="C28" s="23" t="s">
        <v>126</v>
      </c>
      <c r="D28" s="21" t="str">
        <f t="shared" si="7"/>
        <v xml:space="preserve">T08 - Retensi, Penghentian, Penghapusan, dan Pemusnahan</v>
      </c>
    </row>
    <row r="29" ht="15">
      <c r="A29" s="23" t="s">
        <v>36</v>
      </c>
      <c r="B29" s="24" t="s">
        <v>127</v>
      </c>
      <c r="C29" s="23" t="s">
        <v>128</v>
      </c>
      <c r="D29" s="21" t="str">
        <f t="shared" si="7"/>
        <v xml:space="preserve">T09 - Dasar Pemrosesan dan Persetujuan</v>
      </c>
    </row>
    <row r="30" ht="15">
      <c r="A30" s="23" t="s">
        <v>36</v>
      </c>
      <c r="B30" s="24" t="s">
        <v>129</v>
      </c>
      <c r="C30" s="23" t="s">
        <v>130</v>
      </c>
      <c r="D30" s="21" t="str">
        <f t="shared" si="7"/>
        <v xml:space="preserve">T10 - Transfer dan Pengalihan Data</v>
      </c>
    </row>
    <row r="31" ht="15">
      <c r="A31" s="23" t="s">
        <v>36</v>
      </c>
      <c r="B31" s="24" t="s">
        <v>131</v>
      </c>
      <c r="C31" s="23" t="s">
        <v>132</v>
      </c>
      <c r="D31" s="21" t="str">
        <f t="shared" si="7"/>
        <v xml:space="preserve">T11 - Keamanan, Kerahasiaan, dan Penanganan Insiden</v>
      </c>
    </row>
    <row r="32" ht="15">
      <c r="A32" s="23" t="s">
        <v>36</v>
      </c>
      <c r="B32" s="24" t="s">
        <v>133</v>
      </c>
      <c r="C32" s="23" t="s">
        <v>134</v>
      </c>
      <c r="D32" s="21" t="str">
        <f t="shared" si="7"/>
        <v xml:space="preserve">T12 - Kualitas, Akurasi, dan Pembaruan Data</v>
      </c>
    </row>
    <row r="33" ht="15">
      <c r="A33" s="23" t="s">
        <v>36</v>
      </c>
      <c r="B33" s="24" t="s">
        <v>135</v>
      </c>
      <c r="C33" s="23" t="s">
        <v>136</v>
      </c>
      <c r="D33" s="21" t="str">
        <f t="shared" si="7"/>
        <v xml:space="preserve">T13 - Akuntabilitas, Pencatatan, dan Tata Kelola Kepatuhan</v>
      </c>
    </row>
    <row r="34" ht="15">
      <c r="A34" s="23" t="s">
        <v>36</v>
      </c>
      <c r="B34" s="24" t="s">
        <v>137</v>
      </c>
      <c r="C34" s="23" t="s">
        <v>138</v>
      </c>
      <c r="D34" s="21" t="str">
        <f t="shared" si="7"/>
        <v xml:space="preserve">T14 - Akses dan Pemanfaatan Data Pemerintah</v>
      </c>
    </row>
    <row r="35" ht="15">
      <c r="A35" s="23" t="s">
        <v>36</v>
      </c>
      <c r="B35" s="24" t="s">
        <v>139</v>
      </c>
      <c r="C35" s="23" t="s">
        <v>140</v>
      </c>
      <c r="D35" s="21" t="str">
        <f t="shared" si="7"/>
        <v xml:space="preserve">T15 - Asas dan Prinsip Pemrosesan</v>
      </c>
    </row>
    <row r="36" ht="15">
      <c r="A36" s="23" t="s">
        <v>36</v>
      </c>
      <c r="B36" s="24" t="s">
        <v>141</v>
      </c>
      <c r="C36" s="23" t="s">
        <v>142</v>
      </c>
      <c r="D36" s="21" t="str">
        <f t="shared" si="7"/>
        <v xml:space="preserve">T16 - Aktivitas Pemrosesan dan Pengumpulan</v>
      </c>
    </row>
    <row r="37" ht="15">
      <c r="A37" s="23" t="s">
        <v>36</v>
      </c>
      <c r="B37" s="24" t="s">
        <v>143</v>
      </c>
      <c r="C37" s="23" t="s">
        <v>144</v>
      </c>
      <c r="D37" s="21" t="str">
        <f t="shared" si="7"/>
        <v xml:space="preserve">T99 - Lainnya (wajib jelaskan di V12)</v>
      </c>
    </row>
    <row r="39" ht="15">
      <c r="A39" s="14" t="s">
        <v>85</v>
      </c>
      <c r="B39" s="14" t="s">
        <v>53</v>
      </c>
      <c r="C39" s="14" t="s">
        <v>86</v>
      </c>
      <c r="D39" s="22" t="str">
        <f t="shared" si="7"/>
        <v xml:space="preserve">Kode - Label</v>
      </c>
    </row>
    <row r="40" ht="15">
      <c r="A40" s="23" t="s">
        <v>38</v>
      </c>
      <c r="B40" s="24" t="s">
        <v>145</v>
      </c>
      <c r="C40" s="23" t="s">
        <v>146</v>
      </c>
      <c r="D40" s="21" t="str">
        <f t="shared" si="7"/>
        <v xml:space="preserve">P1 - Larangan</v>
      </c>
    </row>
    <row r="41" ht="15">
      <c r="A41" s="23" t="s">
        <v>38</v>
      </c>
      <c r="B41" s="24" t="s">
        <v>147</v>
      </c>
      <c r="C41" s="23" t="s">
        <v>148</v>
      </c>
      <c r="D41" s="21" t="str">
        <f t="shared" si="7"/>
        <v xml:space="preserve">P2 - Kewajiban</v>
      </c>
    </row>
    <row r="42" ht="15">
      <c r="A42" s="23" t="s">
        <v>38</v>
      </c>
      <c r="B42" s="24" t="s">
        <v>149</v>
      </c>
      <c r="C42" s="23" t="s">
        <v>150</v>
      </c>
      <c r="D42" s="21" t="str">
        <f t="shared" si="7"/>
        <v xml:space="preserve">P3 - Hak</v>
      </c>
    </row>
    <row r="43" ht="15">
      <c r="A43" s="23" t="s">
        <v>38</v>
      </c>
      <c r="B43" s="24" t="s">
        <v>151</v>
      </c>
      <c r="C43" s="23" t="s">
        <v>152</v>
      </c>
      <c r="D43" s="21" t="str">
        <f t="shared" si="7"/>
        <v xml:space="preserve">P4 - Pengecualian atau pembatasan</v>
      </c>
    </row>
    <row r="44" ht="15">
      <c r="A44" s="23" t="s">
        <v>38</v>
      </c>
      <c r="B44" s="24" t="s">
        <v>153</v>
      </c>
      <c r="C44" s="23" t="s">
        <v>154</v>
      </c>
      <c r="D44" s="21" t="str">
        <f t="shared" si="7"/>
        <v xml:space="preserve">P5 - Kebolehan atau kewenangan</v>
      </c>
    </row>
    <row r="45" ht="15">
      <c r="A45" s="23" t="s">
        <v>38</v>
      </c>
      <c r="B45" s="24" t="s">
        <v>155</v>
      </c>
      <c r="C45" s="23" t="s">
        <v>156</v>
      </c>
      <c r="D45" s="21" t="str">
        <f t="shared" si="7"/>
        <v xml:space="preserve">P6 - Definisi, klasifikasi, atau ruang lingkup</v>
      </c>
    </row>
    <row r="46" ht="15">
      <c r="A46" s="23" t="s">
        <v>38</v>
      </c>
      <c r="B46" s="24" t="s">
        <v>157</v>
      </c>
      <c r="C46" s="23" t="s">
        <v>158</v>
      </c>
      <c r="D46" s="21" t="str">
        <f t="shared" si="7"/>
        <v xml:space="preserve">P7 - Asas, prinsip, atau tujuan umum</v>
      </c>
    </row>
    <row r="47" ht="15">
      <c r="A47" s="23" t="s">
        <v>38</v>
      </c>
      <c r="B47" s="24" t="s">
        <v>159</v>
      </c>
      <c r="C47" s="23" t="s">
        <v>160</v>
      </c>
      <c r="D47" s="21" t="str">
        <f t="shared" si="7"/>
        <v xml:space="preserve">P8 - Deskriptif, argumentatif, dan rujukan</v>
      </c>
    </row>
    <row r="49" ht="15">
      <c r="A49" s="14" t="s">
        <v>85</v>
      </c>
      <c r="B49" s="14" t="s">
        <v>53</v>
      </c>
      <c r="C49" s="14" t="s">
        <v>86</v>
      </c>
      <c r="D49" s="22" t="str">
        <f t="shared" si="7"/>
        <v xml:space="preserve">Kode - Label</v>
      </c>
    </row>
    <row r="50" ht="15">
      <c r="A50" s="23" t="s">
        <v>40</v>
      </c>
      <c r="B50" s="24" t="s">
        <v>161</v>
      </c>
      <c r="C50" s="23" t="s">
        <v>162</v>
      </c>
      <c r="D50" s="21" t="str">
        <f t="shared" si="7"/>
        <v xml:space="preserve">F1 - Perencanaan dan dasar pemrosesan</v>
      </c>
    </row>
    <row r="51" ht="15">
      <c r="A51" s="23" t="s">
        <v>40</v>
      </c>
      <c r="B51" s="24" t="s">
        <v>163</v>
      </c>
      <c r="C51" s="23" t="s">
        <v>164</v>
      </c>
      <c r="D51" s="21" t="str">
        <f t="shared" si="7"/>
        <v xml:space="preserve">F2 - Pengumpulan atau akuisisi</v>
      </c>
    </row>
    <row r="52" ht="15">
      <c r="A52" s="23" t="s">
        <v>40</v>
      </c>
      <c r="B52" s="24" t="s">
        <v>165</v>
      </c>
      <c r="C52" s="23" t="s">
        <v>166</v>
      </c>
      <c r="D52" s="21" t="str">
        <f t="shared" si="7"/>
        <v xml:space="preserve">F3 - Pengolahan dan analisis</v>
      </c>
    </row>
    <row r="53" ht="15">
      <c r="A53" s="23" t="s">
        <v>40</v>
      </c>
      <c r="B53" s="24" t="s">
        <v>167</v>
      </c>
      <c r="C53" s="23" t="s">
        <v>168</v>
      </c>
      <c r="D53" s="21" t="str">
        <f t="shared" si="7"/>
        <v xml:space="preserve">F4 - Penyimpanan dan pengamanan</v>
      </c>
    </row>
    <row r="54" ht="15">
      <c r="A54" s="23" t="s">
        <v>40</v>
      </c>
      <c r="B54" s="24" t="s">
        <v>169</v>
      </c>
      <c r="C54" s="23" t="s">
        <v>170</v>
      </c>
      <c r="D54" s="21" t="str">
        <f t="shared" si="7"/>
        <v xml:space="preserve">F5 - Penyebarluasan dan transfer</v>
      </c>
    </row>
    <row r="55" ht="15">
      <c r="A55" s="23" t="s">
        <v>40</v>
      </c>
      <c r="B55" s="24" t="s">
        <v>171</v>
      </c>
      <c r="C55" s="23" t="s">
        <v>172</v>
      </c>
      <c r="D55" s="21" t="str">
        <f t="shared" si="7"/>
        <v xml:space="preserve">F6 - Retensi dan penghapusan</v>
      </c>
    </row>
    <row r="56" ht="15">
      <c r="A56" s="23" t="s">
        <v>40</v>
      </c>
      <c r="B56" s="24" t="s">
        <v>173</v>
      </c>
      <c r="C56" s="23" t="s">
        <v>174</v>
      </c>
      <c r="D56" s="21" t="str">
        <f t="shared" si="7"/>
        <v xml:space="preserve">F7 - Tata kelola dan hak subjek</v>
      </c>
    </row>
    <row r="57" ht="15">
      <c r="A57" s="23" t="s">
        <v>40</v>
      </c>
      <c r="B57" s="24" t="s">
        <v>175</v>
      </c>
      <c r="C57" s="23" t="s">
        <v>176</v>
      </c>
      <c r="D57" s="21" t="str">
        <f t="shared" si="7"/>
        <v xml:space="preserve">F8 - Lintas tahap atau tidak spesifik</v>
      </c>
    </row>
    <row r="59" ht="15">
      <c r="A59" s="14" t="s">
        <v>85</v>
      </c>
      <c r="B59" s="14" t="s">
        <v>53</v>
      </c>
      <c r="C59" s="14" t="s">
        <v>86</v>
      </c>
      <c r="D59" s="22" t="str">
        <f t="shared" si="7"/>
        <v xml:space="preserve">Kode - Label</v>
      </c>
    </row>
    <row r="60" ht="15">
      <c r="A60" s="23" t="s">
        <v>42</v>
      </c>
      <c r="B60" s="24" t="s">
        <v>177</v>
      </c>
      <c r="C60" s="23" t="s">
        <v>178</v>
      </c>
      <c r="D60" s="21" t="str">
        <f t="shared" si="7"/>
        <v xml:space="preserve">K1 - Non-fungsional: keamanan dan kerahasiaan. Apakah inti teks melindungi data dari akses atau gangguan tidak sah?</v>
      </c>
    </row>
    <row r="61" ht="15">
      <c r="A61" s="23" t="s">
        <v>42</v>
      </c>
      <c r="B61" s="24" t="s">
        <v>179</v>
      </c>
      <c r="C61" s="23" t="s">
        <v>180</v>
      </c>
      <c r="D61" s="21" t="str">
        <f t="shared" si="7"/>
        <v xml:space="preserve">K2 - Non-fungsional: mutu data, kepatuhan, dan akuntabilitas. Apakah ini mutu atau bukti yang berlaku untuk seluruh sistem, bukan hanya satu operasi?</v>
      </c>
    </row>
    <row r="62" ht="15">
      <c r="A62" s="23" t="s">
        <v>42</v>
      </c>
      <c r="B62" s="24" t="s">
        <v>181</v>
      </c>
      <c r="C62" s="23" t="s">
        <v>182</v>
      </c>
      <c r="D62" s="21" t="str">
        <f t="shared" si="7"/>
        <v xml:space="preserve">K3 - Fungsional. Dapatkah ditulis "Sistem harus [melakukan X]" dengan hasil hanya lulus atau gagal?</v>
      </c>
    </row>
    <row r="63" ht="15">
      <c r="A63" s="23" t="s">
        <v>42</v>
      </c>
      <c r="B63" s="24" t="s">
        <v>183</v>
      </c>
      <c r="C63" s="23" t="s">
        <v>184</v>
      </c>
      <c r="D63" s="21" t="str">
        <f t="shared" si="7"/>
        <v xml:space="preserve">K4 - Batasan atau aturan bisnis hukum. Apakah teks membatasi apa yang boleh dilakukan sistem, atau apa dan siapa yang tercakup?</v>
      </c>
    </row>
    <row r="64" ht="15">
      <c r="A64" s="23" t="s">
        <v>42</v>
      </c>
      <c r="B64" s="24" t="s">
        <v>185</v>
      </c>
      <c r="C64" s="23" t="s">
        <v>186</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187</v>
      </c>
      <c r="B1" s="25" t="s">
        <v>60</v>
      </c>
      <c r="C1" s="25" t="s">
        <v>61</v>
      </c>
      <c r="D1" s="25" t="s">
        <v>188</v>
      </c>
      <c r="E1" s="25" t="s">
        <v>189</v>
      </c>
      <c r="F1" s="25" t="s">
        <v>56</v>
      </c>
      <c r="H1" s="4" t="s">
        <v>190</v>
      </c>
    </row>
    <row r="2" ht="15">
      <c r="A2" s="11" t="s">
        <v>191</v>
      </c>
      <c r="B2" s="11" t="s">
        <v>192</v>
      </c>
      <c r="C2" s="11" t="s">
        <v>193</v>
      </c>
      <c r="D2" s="11" t="s">
        <v>194</v>
      </c>
      <c r="E2" s="11" t="s">
        <v>195</v>
      </c>
      <c r="F2" s="11" t="s">
        <v>196</v>
      </c>
      <c r="H2" s="3" t="s">
        <v>197</v>
      </c>
    </row>
    <row r="3" ht="15">
      <c r="A3" s="11" t="s">
        <v>191</v>
      </c>
      <c r="B3" s="11" t="s">
        <v>192</v>
      </c>
      <c r="C3" s="11" t="s">
        <v>193</v>
      </c>
      <c r="D3" s="11" t="s">
        <v>194</v>
      </c>
      <c r="E3" s="11" t="s">
        <v>198</v>
      </c>
      <c r="F3" s="11" t="s">
        <v>199</v>
      </c>
      <c r="H3" s="3" t="s">
        <v>200</v>
      </c>
    </row>
    <row r="4" ht="15">
      <c r="A4" s="11" t="s">
        <v>191</v>
      </c>
      <c r="B4" s="11" t="s">
        <v>192</v>
      </c>
      <c r="C4" s="11" t="s">
        <v>193</v>
      </c>
      <c r="D4" s="11" t="s">
        <v>194</v>
      </c>
      <c r="E4" s="11" t="s">
        <v>201</v>
      </c>
      <c r="F4" s="11" t="s">
        <v>202</v>
      </c>
      <c r="H4" s="3" t="s">
        <v>203</v>
      </c>
    </row>
    <row r="5" ht="15">
      <c r="A5" s="11" t="s">
        <v>191</v>
      </c>
      <c r="B5" s="11" t="s">
        <v>192</v>
      </c>
      <c r="C5" s="11" t="s">
        <v>193</v>
      </c>
      <c r="D5" s="11" t="s">
        <v>194</v>
      </c>
      <c r="E5" s="11" t="s">
        <v>204</v>
      </c>
      <c r="F5" s="11" t="s">
        <v>205</v>
      </c>
    </row>
    <row r="6" ht="15">
      <c r="A6" s="11" t="s">
        <v>191</v>
      </c>
      <c r="B6" s="11" t="s">
        <v>192</v>
      </c>
      <c r="C6" s="11" t="s">
        <v>193</v>
      </c>
      <c r="D6" s="11" t="s">
        <v>194</v>
      </c>
      <c r="E6" s="11" t="s">
        <v>206</v>
      </c>
      <c r="F6" s="11" t="s">
        <v>207</v>
      </c>
    </row>
    <row r="7" ht="15">
      <c r="A7" s="11" t="s">
        <v>191</v>
      </c>
      <c r="B7" s="11" t="s">
        <v>192</v>
      </c>
      <c r="C7" s="11" t="s">
        <v>193</v>
      </c>
      <c r="D7" s="11" t="s">
        <v>194</v>
      </c>
      <c r="E7" s="11" t="s">
        <v>208</v>
      </c>
      <c r="F7" s="11" t="s">
        <v>209</v>
      </c>
    </row>
    <row r="8" ht="15">
      <c r="A8" s="11" t="s">
        <v>191</v>
      </c>
      <c r="B8" s="11" t="s">
        <v>192</v>
      </c>
      <c r="C8" s="11" t="s">
        <v>193</v>
      </c>
      <c r="D8" s="11" t="s">
        <v>210</v>
      </c>
      <c r="E8" s="11" t="s">
        <v>195</v>
      </c>
      <c r="F8" s="11" t="s">
        <v>211</v>
      </c>
    </row>
    <row r="9" ht="15">
      <c r="A9" s="11" t="s">
        <v>191</v>
      </c>
      <c r="B9" s="11" t="s">
        <v>192</v>
      </c>
      <c r="C9" s="11" t="s">
        <v>193</v>
      </c>
      <c r="D9" s="11" t="s">
        <v>210</v>
      </c>
      <c r="E9" s="11" t="s">
        <v>198</v>
      </c>
      <c r="F9" s="11" t="s">
        <v>212</v>
      </c>
    </row>
    <row r="10" ht="15">
      <c r="A10" s="11" t="s">
        <v>191</v>
      </c>
      <c r="B10" s="11" t="s">
        <v>192</v>
      </c>
      <c r="C10" s="11" t="s">
        <v>193</v>
      </c>
      <c r="D10" s="11" t="s">
        <v>210</v>
      </c>
      <c r="E10" s="11" t="s">
        <v>201</v>
      </c>
      <c r="F10" s="11" t="s">
        <v>213</v>
      </c>
    </row>
    <row r="11" ht="15">
      <c r="A11" s="11" t="s">
        <v>191</v>
      </c>
      <c r="B11" s="11" t="s">
        <v>192</v>
      </c>
      <c r="C11" s="11" t="s">
        <v>193</v>
      </c>
      <c r="D11" s="11" t="s">
        <v>210</v>
      </c>
      <c r="E11" s="11" t="s">
        <v>204</v>
      </c>
      <c r="F11" s="11" t="s">
        <v>214</v>
      </c>
    </row>
    <row r="12" ht="15">
      <c r="A12" s="11" t="s">
        <v>191</v>
      </c>
      <c r="B12" s="11" t="s">
        <v>192</v>
      </c>
      <c r="C12" s="11" t="s">
        <v>193</v>
      </c>
      <c r="D12" s="11" t="s">
        <v>215</v>
      </c>
      <c r="E12" s="11" t="s">
        <v>195</v>
      </c>
      <c r="F12" s="11" t="s">
        <v>216</v>
      </c>
    </row>
    <row r="13" ht="15">
      <c r="A13" s="11" t="s">
        <v>191</v>
      </c>
      <c r="B13" s="11" t="s">
        <v>192</v>
      </c>
      <c r="C13" s="11" t="s">
        <v>193</v>
      </c>
      <c r="D13" s="11" t="s">
        <v>215</v>
      </c>
      <c r="E13" s="11" t="s">
        <v>198</v>
      </c>
      <c r="F13" s="11" t="s">
        <v>217</v>
      </c>
    </row>
    <row r="14" ht="15">
      <c r="A14" s="11" t="s">
        <v>191</v>
      </c>
      <c r="B14" s="11" t="s">
        <v>192</v>
      </c>
      <c r="C14" s="11" t="s">
        <v>193</v>
      </c>
      <c r="D14" s="11" t="s">
        <v>218</v>
      </c>
      <c r="E14" s="11" t="s">
        <v>195</v>
      </c>
      <c r="F14" s="11" t="s">
        <v>219</v>
      </c>
    </row>
    <row r="15" ht="15">
      <c r="A15" s="11" t="s">
        <v>191</v>
      </c>
      <c r="B15" s="11" t="s">
        <v>192</v>
      </c>
      <c r="C15" s="11" t="s">
        <v>193</v>
      </c>
      <c r="D15" s="11" t="s">
        <v>218</v>
      </c>
      <c r="E15" s="11" t="s">
        <v>198</v>
      </c>
      <c r="F15" s="11" t="s">
        <v>220</v>
      </c>
    </row>
    <row r="16" ht="15">
      <c r="A16" s="11" t="s">
        <v>191</v>
      </c>
      <c r="B16" s="11" t="s">
        <v>192</v>
      </c>
      <c r="C16" s="11" t="s">
        <v>193</v>
      </c>
      <c r="D16" s="11" t="s">
        <v>218</v>
      </c>
      <c r="E16" s="11" t="s">
        <v>201</v>
      </c>
      <c r="F16" s="11" t="s">
        <v>221</v>
      </c>
    </row>
    <row r="17" ht="15">
      <c r="A17" s="11" t="s">
        <v>191</v>
      </c>
      <c r="B17" s="11" t="s">
        <v>192</v>
      </c>
      <c r="C17" s="11" t="s">
        <v>193</v>
      </c>
      <c r="D17" s="11" t="s">
        <v>218</v>
      </c>
      <c r="E17" s="11" t="s">
        <v>222</v>
      </c>
      <c r="F17" s="11" t="s">
        <v>223</v>
      </c>
    </row>
    <row r="18" ht="15">
      <c r="A18" s="11" t="s">
        <v>191</v>
      </c>
      <c r="B18" s="11" t="s">
        <v>192</v>
      </c>
      <c r="C18" s="11" t="s">
        <v>193</v>
      </c>
      <c r="D18" s="11" t="s">
        <v>218</v>
      </c>
      <c r="E18" s="11" t="s">
        <v>224</v>
      </c>
      <c r="F18" s="11" t="s">
        <v>225</v>
      </c>
    </row>
    <row r="19" ht="15">
      <c r="A19" s="11" t="s">
        <v>191</v>
      </c>
      <c r="B19" s="11" t="s">
        <v>192</v>
      </c>
      <c r="C19" s="11" t="s">
        <v>193</v>
      </c>
      <c r="D19" s="11" t="s">
        <v>218</v>
      </c>
      <c r="E19" s="11" t="s">
        <v>226</v>
      </c>
      <c r="F19" s="11" t="s">
        <v>227</v>
      </c>
    </row>
    <row r="20" ht="15">
      <c r="A20" s="11" t="s">
        <v>191</v>
      </c>
      <c r="B20" s="11" t="s">
        <v>192</v>
      </c>
      <c r="C20" s="11" t="s">
        <v>193</v>
      </c>
      <c r="D20" s="11" t="s">
        <v>228</v>
      </c>
      <c r="E20" s="11" t="s">
        <v>198</v>
      </c>
      <c r="F20" s="11" t="s">
        <v>229</v>
      </c>
    </row>
    <row r="21" ht="15">
      <c r="A21" s="11" t="s">
        <v>191</v>
      </c>
      <c r="B21" s="11" t="s">
        <v>192</v>
      </c>
      <c r="C21" s="11" t="s">
        <v>193</v>
      </c>
      <c r="D21" s="11" t="s">
        <v>228</v>
      </c>
      <c r="E21" s="11" t="s">
        <v>201</v>
      </c>
      <c r="F21" s="11" t="s">
        <v>230</v>
      </c>
    </row>
    <row r="22" ht="15">
      <c r="A22" s="11" t="s">
        <v>191</v>
      </c>
      <c r="B22" s="11" t="s">
        <v>192</v>
      </c>
      <c r="C22" s="11" t="s">
        <v>193</v>
      </c>
      <c r="D22" s="11" t="s">
        <v>228</v>
      </c>
      <c r="E22" s="11" t="s">
        <v>204</v>
      </c>
      <c r="F22" s="11" t="s">
        <v>231</v>
      </c>
    </row>
    <row r="23" ht="15">
      <c r="A23" s="11" t="s">
        <v>191</v>
      </c>
      <c r="B23" s="11" t="s">
        <v>192</v>
      </c>
      <c r="C23" s="11" t="s">
        <v>193</v>
      </c>
      <c r="D23" s="11" t="s">
        <v>232</v>
      </c>
      <c r="E23" s="11" t="s">
        <v>195</v>
      </c>
      <c r="F23" s="11" t="s">
        <v>233</v>
      </c>
    </row>
    <row r="24" ht="15">
      <c r="A24" s="11" t="s">
        <v>191</v>
      </c>
      <c r="B24" s="11" t="s">
        <v>192</v>
      </c>
      <c r="C24" s="11" t="s">
        <v>193</v>
      </c>
      <c r="D24" s="11" t="s">
        <v>232</v>
      </c>
      <c r="E24" s="11" t="s">
        <v>201</v>
      </c>
      <c r="F24" s="11" t="s">
        <v>234</v>
      </c>
    </row>
    <row r="25" ht="15">
      <c r="A25" s="11" t="s">
        <v>191</v>
      </c>
      <c r="B25" s="11" t="s">
        <v>235</v>
      </c>
      <c r="D25" s="11" t="s">
        <v>236</v>
      </c>
      <c r="E25" s="11" t="s">
        <v>201</v>
      </c>
      <c r="F25" s="11" t="s">
        <v>237</v>
      </c>
    </row>
    <row r="26" ht="15">
      <c r="A26" s="11" t="s">
        <v>191</v>
      </c>
      <c r="B26" s="11" t="s">
        <v>235</v>
      </c>
      <c r="D26" s="11" t="s">
        <v>236</v>
      </c>
      <c r="E26" s="11" t="s">
        <v>204</v>
      </c>
      <c r="F26" s="11" t="s">
        <v>238</v>
      </c>
    </row>
    <row r="27" ht="55.200000000000003">
      <c r="A27" s="11" t="s">
        <v>239</v>
      </c>
      <c r="B27" s="12" t="s">
        <v>240</v>
      </c>
      <c r="C27" s="12" t="s">
        <v>241</v>
      </c>
      <c r="E27" s="11" t="s">
        <v>242</v>
      </c>
      <c r="F27" s="11" t="s">
        <v>243</v>
      </c>
    </row>
    <row r="28" ht="55.200000000000003">
      <c r="A28" s="11" t="s">
        <v>244</v>
      </c>
      <c r="B28" s="12" t="s">
        <v>245</v>
      </c>
      <c r="E28" s="11" t="s">
        <v>246</v>
      </c>
      <c r="F28" s="11" t="s">
        <v>247</v>
      </c>
    </row>
    <row r="29" ht="55.200000000000003">
      <c r="A29" s="11" t="s">
        <v>244</v>
      </c>
      <c r="B29" s="12" t="s">
        <v>245</v>
      </c>
      <c r="E29" s="11" t="s">
        <v>248</v>
      </c>
      <c r="F29" s="11" t="s">
        <v>249</v>
      </c>
    </row>
    <row r="30" ht="28.350000000000001">
      <c r="A30" s="11" t="s">
        <v>244</v>
      </c>
      <c r="B30" s="12" t="s">
        <v>250</v>
      </c>
      <c r="E30" s="11" t="s">
        <v>251</v>
      </c>
      <c r="F30" s="11" t="s">
        <v>252</v>
      </c>
    </row>
    <row r="31" ht="55.200000000000003">
      <c r="A31" s="11" t="s">
        <v>244</v>
      </c>
      <c r="B31" s="12" t="s">
        <v>253</v>
      </c>
      <c r="E31" s="11" t="s">
        <v>254</v>
      </c>
      <c r="F31" s="11" t="s">
        <v>255</v>
      </c>
    </row>
    <row r="32" ht="68.650000000000006">
      <c r="A32" s="11" t="s">
        <v>244</v>
      </c>
      <c r="B32" s="12" t="s">
        <v>256</v>
      </c>
      <c r="E32" s="11" t="s">
        <v>257</v>
      </c>
      <c r="F32" s="11" t="s">
        <v>258</v>
      </c>
    </row>
    <row r="33" ht="68.650000000000006">
      <c r="A33" s="11" t="s">
        <v>244</v>
      </c>
      <c r="B33" s="12" t="s">
        <v>256</v>
      </c>
      <c r="E33" s="11" t="s">
        <v>259</v>
      </c>
      <c r="F33" s="11" t="s">
        <v>260</v>
      </c>
    </row>
    <row r="34" ht="68.650000000000006">
      <c r="A34" s="11" t="s">
        <v>244</v>
      </c>
      <c r="B34" s="12" t="s">
        <v>256</v>
      </c>
      <c r="E34" s="11" t="s">
        <v>261</v>
      </c>
      <c r="F34" s="11" t="s">
        <v>262</v>
      </c>
    </row>
    <row r="35" ht="68.650000000000006">
      <c r="A35" s="11" t="s">
        <v>244</v>
      </c>
      <c r="B35" s="12" t="s">
        <v>256</v>
      </c>
      <c r="E35" s="11" t="s">
        <v>263</v>
      </c>
      <c r="F35" s="11" t="s">
        <v>264</v>
      </c>
    </row>
    <row r="36" ht="68.650000000000006">
      <c r="A36" s="11" t="s">
        <v>244</v>
      </c>
      <c r="B36" s="12" t="s">
        <v>256</v>
      </c>
      <c r="E36" s="11" t="s">
        <v>265</v>
      </c>
      <c r="F36" s="11" t="s">
        <v>266</v>
      </c>
    </row>
    <row r="37" ht="68.650000000000006">
      <c r="A37" s="11" t="s">
        <v>244</v>
      </c>
      <c r="B37" s="12" t="s">
        <v>256</v>
      </c>
      <c r="E37" s="11" t="s">
        <v>267</v>
      </c>
      <c r="F37" s="11" t="s">
        <v>268</v>
      </c>
    </row>
    <row r="38" ht="68.650000000000006">
      <c r="A38" s="11" t="s">
        <v>244</v>
      </c>
      <c r="B38" s="12" t="s">
        <v>256</v>
      </c>
      <c r="E38" s="11" t="s">
        <v>269</v>
      </c>
      <c r="F38" s="11" t="s">
        <v>270</v>
      </c>
    </row>
    <row r="39" ht="68.650000000000006">
      <c r="A39" s="11" t="s">
        <v>244</v>
      </c>
      <c r="B39" s="12" t="s">
        <v>256</v>
      </c>
      <c r="E39" s="11" t="s">
        <v>271</v>
      </c>
      <c r="F39" s="11" t="s">
        <v>272</v>
      </c>
    </row>
    <row r="40" ht="68.650000000000006">
      <c r="A40" s="11" t="s">
        <v>244</v>
      </c>
      <c r="B40" s="12" t="s">
        <v>256</v>
      </c>
      <c r="E40" s="11" t="s">
        <v>273</v>
      </c>
      <c r="F40" s="11" t="s">
        <v>274</v>
      </c>
    </row>
    <row r="41" ht="68.650000000000006">
      <c r="A41" s="11" t="s">
        <v>244</v>
      </c>
      <c r="B41" s="12" t="s">
        <v>256</v>
      </c>
      <c r="E41" s="11" t="s">
        <v>275</v>
      </c>
      <c r="F41" s="11" t="s">
        <v>276</v>
      </c>
    </row>
    <row r="42" ht="68.650000000000006">
      <c r="A42" s="11" t="s">
        <v>244</v>
      </c>
      <c r="B42" s="12" t="s">
        <v>256</v>
      </c>
      <c r="E42" s="11" t="s">
        <v>277</v>
      </c>
      <c r="F42" s="11" t="s">
        <v>278</v>
      </c>
    </row>
    <row r="43" ht="68.650000000000006">
      <c r="A43" s="11" t="s">
        <v>244</v>
      </c>
      <c r="B43" s="12" t="s">
        <v>279</v>
      </c>
      <c r="E43" s="11" t="s">
        <v>280</v>
      </c>
      <c r="F43" s="11" t="s">
        <v>281</v>
      </c>
    </row>
    <row r="44" ht="68.650000000000006">
      <c r="A44" s="11" t="s">
        <v>244</v>
      </c>
      <c r="B44" s="12" t="s">
        <v>279</v>
      </c>
      <c r="E44" s="11" t="s">
        <v>282</v>
      </c>
      <c r="F44" s="11" t="s">
        <v>283</v>
      </c>
    </row>
    <row r="45" ht="68.650000000000006">
      <c r="A45" s="11" t="s">
        <v>244</v>
      </c>
      <c r="B45" s="12" t="s">
        <v>279</v>
      </c>
      <c r="E45" s="11" t="s">
        <v>284</v>
      </c>
      <c r="F45" s="11" t="s">
        <v>285</v>
      </c>
    </row>
    <row r="46" ht="216.40000000000001">
      <c r="A46" s="11" t="s">
        <v>244</v>
      </c>
      <c r="B46" s="12" t="s">
        <v>286</v>
      </c>
      <c r="C46" s="12" t="s">
        <v>287</v>
      </c>
      <c r="E46" s="11" t="s">
        <v>288</v>
      </c>
      <c r="F46" s="11" t="s">
        <v>289</v>
      </c>
    </row>
    <row r="47" ht="216.40000000000001">
      <c r="A47" s="11" t="s">
        <v>244</v>
      </c>
      <c r="B47" s="12" t="s">
        <v>286</v>
      </c>
      <c r="C47" s="11" t="s">
        <v>290</v>
      </c>
      <c r="E47" s="11" t="s">
        <v>291</v>
      </c>
      <c r="F47" s="11" t="s">
        <v>292</v>
      </c>
    </row>
    <row r="48" ht="216.40000000000001">
      <c r="A48" s="11" t="s">
        <v>244</v>
      </c>
      <c r="B48" s="12" t="s">
        <v>286</v>
      </c>
      <c r="C48" s="11" t="s">
        <v>290</v>
      </c>
      <c r="E48" s="11" t="s">
        <v>293</v>
      </c>
      <c r="F48" s="11" t="s">
        <v>294</v>
      </c>
    </row>
    <row r="49" ht="216.40000000000001">
      <c r="A49" s="11" t="s">
        <v>244</v>
      </c>
      <c r="B49" s="12" t="s">
        <v>286</v>
      </c>
      <c r="C49" s="11" t="s">
        <v>290</v>
      </c>
      <c r="E49" s="11" t="s">
        <v>295</v>
      </c>
      <c r="F49" s="11" t="s">
        <v>296</v>
      </c>
    </row>
    <row r="50" ht="216.40000000000001">
      <c r="A50" s="11" t="s">
        <v>244</v>
      </c>
      <c r="B50" s="12" t="s">
        <v>286</v>
      </c>
      <c r="C50" s="11" t="s">
        <v>290</v>
      </c>
      <c r="E50" s="11" t="s">
        <v>297</v>
      </c>
      <c r="F50" s="11" t="s">
        <v>298</v>
      </c>
    </row>
    <row r="51" ht="216.40000000000001">
      <c r="A51" s="11" t="s">
        <v>244</v>
      </c>
      <c r="B51" s="12" t="s">
        <v>286</v>
      </c>
      <c r="C51" s="11" t="s">
        <v>290</v>
      </c>
      <c r="E51" s="11" t="s">
        <v>299</v>
      </c>
      <c r="F51" s="11" t="s">
        <v>300</v>
      </c>
    </row>
    <row r="52" ht="216.40000000000001">
      <c r="A52" s="11" t="s">
        <v>244</v>
      </c>
      <c r="B52" s="12" t="s">
        <v>286</v>
      </c>
      <c r="C52" s="11" t="s">
        <v>290</v>
      </c>
      <c r="E52" s="11" t="s">
        <v>301</v>
      </c>
      <c r="F52" s="11" t="s">
        <v>302</v>
      </c>
    </row>
    <row r="53" ht="216.40000000000001">
      <c r="A53" s="11" t="s">
        <v>244</v>
      </c>
      <c r="B53" s="12" t="s">
        <v>286</v>
      </c>
      <c r="C53" s="11" t="s">
        <v>290</v>
      </c>
      <c r="E53" s="11" t="s">
        <v>303</v>
      </c>
      <c r="F53" s="11" t="s">
        <v>304</v>
      </c>
    </row>
    <row r="54" ht="216.40000000000001">
      <c r="A54" s="11" t="s">
        <v>244</v>
      </c>
      <c r="B54" s="12" t="s">
        <v>286</v>
      </c>
      <c r="C54" s="11" t="s">
        <v>290</v>
      </c>
      <c r="E54" s="11" t="s">
        <v>242</v>
      </c>
      <c r="F54" s="11" t="s">
        <v>305</v>
      </c>
    </row>
    <row r="55" ht="216.40000000000001">
      <c r="A55" s="11" t="s">
        <v>244</v>
      </c>
      <c r="B55" s="12" t="s">
        <v>286</v>
      </c>
      <c r="C55" s="11" t="s">
        <v>290</v>
      </c>
      <c r="E55" s="11" t="s">
        <v>306</v>
      </c>
      <c r="F55" s="11" t="s">
        <v>307</v>
      </c>
    </row>
    <row r="56" ht="216.40000000000001">
      <c r="A56" s="11" t="s">
        <v>244</v>
      </c>
      <c r="B56" s="12" t="s">
        <v>286</v>
      </c>
      <c r="C56" s="11" t="s">
        <v>290</v>
      </c>
      <c r="E56" s="11" t="s">
        <v>308</v>
      </c>
      <c r="F56" s="11" t="s">
        <v>309</v>
      </c>
    </row>
    <row r="57" ht="216.40000000000001">
      <c r="A57" s="11" t="s">
        <v>244</v>
      </c>
      <c r="B57" s="12" t="s">
        <v>286</v>
      </c>
      <c r="C57" s="11" t="s">
        <v>290</v>
      </c>
      <c r="E57" s="11" t="s">
        <v>310</v>
      </c>
      <c r="F57" s="11" t="s">
        <v>311</v>
      </c>
    </row>
    <row r="58" ht="216.40000000000001">
      <c r="A58" s="11" t="s">
        <v>244</v>
      </c>
      <c r="B58" s="12" t="s">
        <v>286</v>
      </c>
      <c r="C58" s="11" t="s">
        <v>290</v>
      </c>
      <c r="E58" s="11" t="s">
        <v>312</v>
      </c>
      <c r="F58" s="11" t="s">
        <v>313</v>
      </c>
    </row>
    <row r="59" ht="216.40000000000001">
      <c r="A59" s="11" t="s">
        <v>244</v>
      </c>
      <c r="B59" s="12" t="s">
        <v>286</v>
      </c>
      <c r="C59" s="11" t="s">
        <v>290</v>
      </c>
      <c r="E59" s="11" t="s">
        <v>314</v>
      </c>
      <c r="F59" s="11" t="s">
        <v>315</v>
      </c>
    </row>
    <row r="60" ht="216.40000000000001">
      <c r="A60" s="11" t="s">
        <v>244</v>
      </c>
      <c r="B60" s="12" t="s">
        <v>286</v>
      </c>
      <c r="C60" s="11" t="s">
        <v>290</v>
      </c>
      <c r="E60" s="11" t="s">
        <v>316</v>
      </c>
      <c r="F60" s="11" t="s">
        <v>317</v>
      </c>
    </row>
    <row r="61" ht="216.40000000000001">
      <c r="A61" s="11" t="s">
        <v>244</v>
      </c>
      <c r="B61" s="12" t="s">
        <v>286</v>
      </c>
      <c r="C61" s="12" t="s">
        <v>318</v>
      </c>
      <c r="E61" s="11" t="s">
        <v>319</v>
      </c>
      <c r="F61" s="11" t="s">
        <v>320</v>
      </c>
    </row>
    <row r="62" ht="216.40000000000001">
      <c r="A62" s="11" t="s">
        <v>244</v>
      </c>
      <c r="B62" s="12" t="s">
        <v>286</v>
      </c>
      <c r="C62" s="12" t="s">
        <v>318</v>
      </c>
      <c r="E62" s="11" t="s">
        <v>321</v>
      </c>
      <c r="F62" s="11" t="s">
        <v>322</v>
      </c>
    </row>
    <row r="63" ht="216.40000000000001">
      <c r="A63" s="11" t="s">
        <v>244</v>
      </c>
      <c r="B63" s="12" t="s">
        <v>286</v>
      </c>
      <c r="C63" s="12" t="s">
        <v>318</v>
      </c>
      <c r="E63" s="11" t="s">
        <v>323</v>
      </c>
      <c r="F63" s="11" t="s">
        <v>324</v>
      </c>
    </row>
    <row r="64" ht="216.40000000000001">
      <c r="A64" s="11" t="s">
        <v>244</v>
      </c>
      <c r="B64" s="12" t="s">
        <v>286</v>
      </c>
      <c r="C64" s="12" t="s">
        <v>318</v>
      </c>
      <c r="E64" s="11" t="s">
        <v>325</v>
      </c>
      <c r="F64" s="11" t="s">
        <v>326</v>
      </c>
    </row>
    <row r="65" ht="216.40000000000001">
      <c r="A65" s="11" t="s">
        <v>244</v>
      </c>
      <c r="B65" s="12" t="s">
        <v>286</v>
      </c>
      <c r="C65" s="12" t="s">
        <v>318</v>
      </c>
      <c r="E65" s="11" t="s">
        <v>327</v>
      </c>
      <c r="F65" s="11" t="s">
        <v>328</v>
      </c>
    </row>
    <row r="66" ht="216.40000000000001">
      <c r="A66" s="11" t="s">
        <v>244</v>
      </c>
      <c r="B66" s="12" t="s">
        <v>286</v>
      </c>
      <c r="C66" s="12" t="s">
        <v>318</v>
      </c>
      <c r="E66" s="11" t="s">
        <v>329</v>
      </c>
      <c r="F66" s="11" t="s">
        <v>330</v>
      </c>
    </row>
    <row r="67" ht="216.40000000000001">
      <c r="A67" s="11" t="s">
        <v>244</v>
      </c>
      <c r="B67" s="12" t="s">
        <v>286</v>
      </c>
      <c r="C67" s="12" t="s">
        <v>318</v>
      </c>
      <c r="E67" s="11" t="s">
        <v>331</v>
      </c>
      <c r="F67" s="11" t="s">
        <v>332</v>
      </c>
    </row>
    <row r="68" ht="216.40000000000001">
      <c r="A68" s="11" t="s">
        <v>244</v>
      </c>
      <c r="B68" s="12" t="s">
        <v>286</v>
      </c>
      <c r="C68" s="12" t="s">
        <v>318</v>
      </c>
      <c r="E68" s="11" t="s">
        <v>333</v>
      </c>
      <c r="F68" s="11" t="s">
        <v>334</v>
      </c>
    </row>
    <row r="69" ht="216.40000000000001">
      <c r="A69" s="11" t="s">
        <v>244</v>
      </c>
      <c r="B69" s="12" t="s">
        <v>286</v>
      </c>
      <c r="C69" s="12" t="s">
        <v>318</v>
      </c>
      <c r="E69" s="11" t="s">
        <v>335</v>
      </c>
      <c r="F69" s="11" t="s">
        <v>336</v>
      </c>
    </row>
    <row r="70" ht="216.40000000000001">
      <c r="A70" s="11" t="s">
        <v>244</v>
      </c>
      <c r="B70" s="12" t="s">
        <v>286</v>
      </c>
      <c r="C70" s="12" t="s">
        <v>318</v>
      </c>
      <c r="E70" s="11" t="s">
        <v>337</v>
      </c>
      <c r="F70" s="11" t="s">
        <v>338</v>
      </c>
    </row>
    <row r="71" ht="216.40000000000001">
      <c r="A71" s="11" t="s">
        <v>244</v>
      </c>
      <c r="B71" s="12" t="s">
        <v>286</v>
      </c>
      <c r="C71" s="12" t="s">
        <v>318</v>
      </c>
      <c r="E71" s="11" t="s">
        <v>339</v>
      </c>
      <c r="F71" s="11" t="s">
        <v>340</v>
      </c>
    </row>
    <row r="72" ht="216.40000000000001">
      <c r="A72" s="11" t="s">
        <v>244</v>
      </c>
      <c r="B72" s="12" t="s">
        <v>286</v>
      </c>
      <c r="C72" s="12" t="s">
        <v>318</v>
      </c>
      <c r="E72" s="11" t="s">
        <v>341</v>
      </c>
      <c r="F72" s="11" t="s">
        <v>342</v>
      </c>
    </row>
    <row r="73" ht="216.40000000000001">
      <c r="A73" s="11" t="s">
        <v>244</v>
      </c>
      <c r="B73" s="12" t="s">
        <v>286</v>
      </c>
      <c r="C73" s="12" t="s">
        <v>318</v>
      </c>
      <c r="E73" s="11" t="s">
        <v>343</v>
      </c>
      <c r="F73" s="11" t="s">
        <v>344</v>
      </c>
    </row>
    <row r="74" ht="216.40000000000001">
      <c r="A74" s="11" t="s">
        <v>244</v>
      </c>
      <c r="B74" s="12" t="s">
        <v>286</v>
      </c>
      <c r="C74" s="12" t="s">
        <v>318</v>
      </c>
      <c r="E74" s="11" t="s">
        <v>345</v>
      </c>
      <c r="F74" s="11" t="s">
        <v>346</v>
      </c>
    </row>
    <row r="75" ht="216.40000000000001">
      <c r="A75" s="11" t="s">
        <v>244</v>
      </c>
      <c r="B75" s="12" t="s">
        <v>286</v>
      </c>
      <c r="C75" s="12" t="s">
        <v>318</v>
      </c>
      <c r="E75" s="11" t="s">
        <v>347</v>
      </c>
      <c r="F75" s="11" t="s">
        <v>348</v>
      </c>
    </row>
    <row r="76" ht="216.40000000000001">
      <c r="A76" s="11" t="s">
        <v>244</v>
      </c>
      <c r="B76" s="12" t="s">
        <v>286</v>
      </c>
      <c r="C76" s="12" t="s">
        <v>318</v>
      </c>
      <c r="E76" s="11" t="s">
        <v>349</v>
      </c>
      <c r="F76" s="11" t="s">
        <v>350</v>
      </c>
    </row>
    <row r="77" ht="216.40000000000001">
      <c r="A77" s="11" t="s">
        <v>244</v>
      </c>
      <c r="B77" s="12" t="s">
        <v>286</v>
      </c>
      <c r="C77" s="12" t="s">
        <v>318</v>
      </c>
      <c r="E77" s="11" t="s">
        <v>351</v>
      </c>
      <c r="F77" s="11" t="s">
        <v>352</v>
      </c>
    </row>
    <row r="78" ht="216.40000000000001">
      <c r="A78" s="11" t="s">
        <v>244</v>
      </c>
      <c r="B78" s="12" t="s">
        <v>286</v>
      </c>
      <c r="C78" s="12" t="s">
        <v>353</v>
      </c>
      <c r="E78" s="11" t="s">
        <v>354</v>
      </c>
      <c r="F78" s="26" t="s">
        <v>355</v>
      </c>
    </row>
    <row r="79" ht="216.40000000000001">
      <c r="A79" s="11" t="s">
        <v>244</v>
      </c>
      <c r="B79" s="12" t="s">
        <v>286</v>
      </c>
      <c r="C79" s="12" t="s">
        <v>353</v>
      </c>
      <c r="E79" s="11" t="s">
        <v>356</v>
      </c>
      <c r="F79" s="11" t="s">
        <v>357</v>
      </c>
    </row>
    <row r="80" ht="216.40000000000001">
      <c r="A80" s="11" t="s">
        <v>244</v>
      </c>
      <c r="B80" s="12" t="s">
        <v>286</v>
      </c>
      <c r="C80" s="12" t="s">
        <v>358</v>
      </c>
      <c r="E80" s="11" t="s">
        <v>359</v>
      </c>
      <c r="F80" s="11" t="s">
        <v>360</v>
      </c>
    </row>
    <row r="81" ht="162.65000000000001">
      <c r="A81" s="11" t="s">
        <v>244</v>
      </c>
      <c r="B81" s="11" t="s">
        <v>361</v>
      </c>
      <c r="C81" s="12" t="s">
        <v>362</v>
      </c>
      <c r="E81" s="11" t="s">
        <v>363</v>
      </c>
      <c r="F81" s="11" t="s">
        <v>364</v>
      </c>
    </row>
    <row r="82" ht="15">
      <c r="A82" s="11" t="s">
        <v>244</v>
      </c>
      <c r="B82" s="11" t="s">
        <v>361</v>
      </c>
      <c r="C82" s="11" t="s">
        <v>365</v>
      </c>
      <c r="E82" s="11" t="s">
        <v>366</v>
      </c>
      <c r="F82" s="11" t="s">
        <v>367</v>
      </c>
    </row>
    <row r="83" ht="108.95">
      <c r="A83" s="11" t="s">
        <v>244</v>
      </c>
      <c r="B83" s="12" t="s">
        <v>368</v>
      </c>
      <c r="E83" s="11" t="s">
        <v>369</v>
      </c>
      <c r="F83" s="11" t="s">
        <v>370</v>
      </c>
    </row>
    <row r="84" ht="108.95">
      <c r="A84" s="11" t="s">
        <v>244</v>
      </c>
      <c r="B84" s="12" t="s">
        <v>368</v>
      </c>
      <c r="E84" s="11" t="s">
        <v>371</v>
      </c>
      <c r="F84" s="11" t="s">
        <v>372</v>
      </c>
    </row>
    <row r="85" ht="55.200000000000003">
      <c r="A85" s="11" t="s">
        <v>373</v>
      </c>
      <c r="B85" s="12" t="s">
        <v>245</v>
      </c>
      <c r="E85" s="11" t="s">
        <v>246</v>
      </c>
      <c r="F85" s="11" t="s">
        <v>374</v>
      </c>
    </row>
    <row r="86" ht="95.5">
      <c r="A86" s="11" t="s">
        <v>373</v>
      </c>
      <c r="B86" s="12" t="s">
        <v>375</v>
      </c>
      <c r="C86" s="12" t="s">
        <v>376</v>
      </c>
      <c r="E86" s="11" t="s">
        <v>329</v>
      </c>
      <c r="F86" s="11" t="s">
        <v>377</v>
      </c>
    </row>
    <row r="87" ht="15">
      <c r="A87" s="11" t="s">
        <v>378</v>
      </c>
      <c r="B87" s="11" t="s">
        <v>379</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22</cp:revision>
  <dcterms:created xsi:type="dcterms:W3CDTF">2026-10-20T02:06:18Z</dcterms:created>
  <dcterms:modified xsi:type="dcterms:W3CDTF">2026-10-26T08:24:42Z</dcterms:modified>
</cp:coreProperties>
</file>