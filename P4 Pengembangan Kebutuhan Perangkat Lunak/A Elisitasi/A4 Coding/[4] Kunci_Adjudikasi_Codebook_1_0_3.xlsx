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4" showHorizontalScroll="1" showVerticalScroll="1"/>
  </bookViews>
  <sheets>
    <sheet name="Petunjuk" sheetId="1" state="visible" r:id="rId1"/>
    <sheet name="Kunci Adjudikasi" sheetId="2" state="visible" r:id="rId2"/>
    <sheet name="Reliabilitas" sheetId="3" state="visible" r:id="rId3"/>
    <sheet name="Daftar Kode" sheetId="4" state="visible" r:id="rId4"/>
    <sheet name="Korpus" sheetId="5" state="visible" r:id="rId5"/>
  </sheets>
  <definedNames>
    <definedName name="_xlnm._FilterDatabase" localSheetId="1" hidden="1">'Kunci Adjudikasi'!$A$4:$AT$89</definedName>
    <definedName name="_xlnm._FilterDatabase" localSheetId="1" hidden="1">'Kunci Adjudikasi'!$A$4:$AT$89</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<sst xmlns="http://schemas.openxmlformats.org/spreadsheetml/2006/main" count="445" uniqueCount="445">
  <si>
    <t xml:space="preserve">File Kunci Adjudikasi: Analisis Isi Krippendorff</t>
  </si>
  <si>
    <t xml:space="preserve">Codebook versi 1.0.3 (25 Oktober 2026). Hanya untuk peneliti utama (adjudikator). Jangan dibagikan kepada coder.</t>
  </si>
  <si>
    <t xml:space="preserve">Alur kerja</t>
  </si>
  <si>
    <t>1</t>
  </si>
  <si>
    <t xml:space="preserve">Korpus sudah terisi di sheet Korpus (A1:F87) dari Korpus_Codebook_1.xlsx; tempel ulang bila korpus berubah. Kolom Dokumen, Rujukan, BAB, Bagian, dan Isi pada Kunci Adjudikasi terisi otomatis.</t>
  </si>
  <si>
    <t>2</t>
  </si>
  <si>
    <t xml:space="preserve">Setelah coder A dan B selesai, salin nilai V4 sampai V9 dari kolom F sampai K lembar coding masing-masing (baris 2 sampai 86) ke blok Coder A (M sampai R) dan Coder B (S sampai X) mulai baris 5. Tempel sebagai nilai (Paste Values); nilai berformat Kode - Label ditempel apa adanya. Urutan baris sama, ID_Unit 2 sampai 86.</t>
  </si>
  <si>
    <t>3</t>
  </si>
  <si>
    <t xml:space="preserve">Kolom Y sampai AD menandai Sama atau Beda per variabel. Sheet Reliabilitas menghitung Krippendorff alpha dari data sebelum rekonsiliasi.</t>
  </si>
  <si>
    <t>4</t>
  </si>
  <si>
    <t xml:space="preserve">Setelah α dilaporkan, selesaikan setiap perbedaan melalui diskusi, isi Keputusan Adjudikator (AF sampai AK) hanya pada variabel yang berbeda, dan tulis alasannya di AR.</t>
  </si>
  <si>
    <t>5</t>
  </si>
  <si>
    <t xml:space="preserve">Kode Final (AL sampai AQ) = keputusan adjudikator bila ada, selain itu kode yang disepakati kedua coder. Kolom AT memeriksa aturan konsistensi (Bagian 9) pada kode final.</t>
  </si>
  <si>
    <t>6</t>
  </si>
  <si>
    <t xml:space="preserve">Kode Acuan Peneliti (G sampai L) terisi untuk 11 contoh pada Bagian 10 codebook (baris 2, 15, 22, 28, 32, 49, 55, 62, 67, 83, 86). Isi baris lain bila peneliti ingin menyimpan kunci sendiri; kolom ini tidak dihitung dalam α.</t>
  </si>
  <si>
    <t xml:space="preserve">Catatan metode</t>
  </si>
  <si>
    <t>α</t>
  </si>
  <si>
    <t xml:space="preserve">Dihitung langsung dari data pasangan coder yang lengkap: V4, V6, V7, V8, V9 nominal dan V5 ordinal (Bagian 12.1). Hanya unit yang diisi kedua coder yang dihitung.</t>
  </si>
  <si>
    <t xml:space="preserve">Selang kepercayaan</t>
  </si>
  <si>
    <t xml:space="preserve">Selang kepercayaan bootstrap belum dihitung di Excel. Hitung dengan paket krippendorff (Python) atau kripp.alpha pada paket irr (R) dari data yang sama.</t>
  </si>
  <si>
    <t>Kriteria</t>
  </si>
  <si>
    <t xml:space="preserve">α ≥ 0,800 dapat diterima; 0,667 ≤ α &lt; 0,800 hanya untuk kesimpulan tentatif; α &lt; 0,667 revisi variabel dan kodekan ulang.</t>
  </si>
  <si>
    <t>Warna</t>
  </si>
  <si>
    <t xml:space="preserve">Kuning: sel input. Biru muda: Coder A. Oranye muda: Coder B. Hijau muda: kunci peneliti dan kode final.</t>
  </si>
  <si>
    <t xml:space="preserve">Kunci Adjudikasi</t>
  </si>
  <si>
    <t xml:space="preserve">Isi V4 sampai V9 coder A dan B (tempel nilai), lalu isi keputusan adjudikator hanya untuk variabel yang berbeda.</t>
  </si>
  <si>
    <t xml:space="preserve">Identitas dan teks (dari Korpus)</t>
  </si>
  <si>
    <t xml:space="preserve">Kode Acuan Peneliti (Bagian 10)</t>
  </si>
  <si>
    <t xml:space="preserve">Coder A</t>
  </si>
  <si>
    <t xml:space="preserve">Coder B</t>
  </si>
  <si>
    <t xml:space="preserve">Sama / Beda</t>
  </si>
  <si>
    <t>Beda</t>
  </si>
  <si>
    <t xml:space="preserve">Keputusan Adjudikator</t>
  </si>
  <si>
    <t xml:space="preserve">Kode Final</t>
  </si>
  <si>
    <t>Catatan</t>
  </si>
  <si>
    <t>Status</t>
  </si>
  <si>
    <t>Cek</t>
  </si>
  <si>
    <t xml:space="preserve">V1 ID_Unit</t>
  </si>
  <si>
    <t>Dokumen</t>
  </si>
  <si>
    <t>Rujukan</t>
  </si>
  <si>
    <t>BAB</t>
  </si>
  <si>
    <t>Bagian</t>
  </si>
  <si>
    <t>Isi</t>
  </si>
  <si>
    <t xml:space="preserve">V4 Acuan</t>
  </si>
  <si>
    <t xml:space="preserve">V5 Acuan</t>
  </si>
  <si>
    <t xml:space="preserve">V6 Acuan</t>
  </si>
  <si>
    <t xml:space="preserve">V7 Acuan</t>
  </si>
  <si>
    <t xml:space="preserve">V8 Acuan</t>
  </si>
  <si>
    <t xml:space="preserve">V9 Acuan</t>
  </si>
  <si>
    <t xml:space="preserve">V4 A</t>
  </si>
  <si>
    <t xml:space="preserve">V5 A</t>
  </si>
  <si>
    <t xml:space="preserve">V6 A</t>
  </si>
  <si>
    <t xml:space="preserve">V7 A</t>
  </si>
  <si>
    <t xml:space="preserve">V8 A</t>
  </si>
  <si>
    <t xml:space="preserve">V9 A</t>
  </si>
  <si>
    <t xml:space="preserve">V4 B</t>
  </si>
  <si>
    <t xml:space="preserve">V5 B</t>
  </si>
  <si>
    <t xml:space="preserve">V6 B</t>
  </si>
  <si>
    <t xml:space="preserve">V7 B</t>
  </si>
  <si>
    <t xml:space="preserve">V8 B</t>
  </si>
  <si>
    <t xml:space="preserve">V9 B</t>
  </si>
  <si>
    <t>V4</t>
  </si>
  <si>
    <t>V5</t>
  </si>
  <si>
    <t>V6</t>
  </si>
  <si>
    <t>V7</t>
  </si>
  <si>
    <t>V8</t>
  </si>
  <si>
    <t>V9</t>
  </si>
  <si>
    <t xml:space="preserve">Jumlah Beda</t>
  </si>
  <si>
    <t xml:space="preserve">V4 Keputusan</t>
  </si>
  <si>
    <t xml:space="preserve">V5 Keputusan</t>
  </si>
  <si>
    <t xml:space="preserve">V6 Keputusan</t>
  </si>
  <si>
    <t xml:space="preserve">V7 Keputusan</t>
  </si>
  <si>
    <t xml:space="preserve">V8 Keputusan</t>
  </si>
  <si>
    <t xml:space="preserve">V9 Keputusan</t>
  </si>
  <si>
    <t xml:space="preserve">V4 Final</t>
  </si>
  <si>
    <t xml:space="preserve">V5 Final</t>
  </si>
  <si>
    <t xml:space="preserve">V6 Final</t>
  </si>
  <si>
    <t xml:space="preserve">V7 Final</t>
  </si>
  <si>
    <t xml:space="preserve">V8 Final</t>
  </si>
  <si>
    <t xml:space="preserve">V9 Final</t>
  </si>
  <si>
    <t xml:space="preserve">Alasan Adjudikasi</t>
  </si>
  <si>
    <t xml:space="preserve">Cek Konsistensi Final</t>
  </si>
  <si>
    <t xml:space="preserve">S9 - Tidak ada subjek perorangan atau organisasi eksplisit</t>
  </si>
  <si>
    <t xml:space="preserve">R1 - Relevan tidak langsung</t>
  </si>
  <si>
    <t xml:space="preserve">T02 - Latar Normatif dan Rujukan Non-operasional</t>
  </si>
  <si>
    <t xml:space="preserve">P8 - Deskriptif, argumentatif, dan rujukan</t>
  </si>
  <si>
    <t xml:space="preserve">F8 - Lintas tahap atau tidak spesifik</t>
  </si>
  <si>
    <t xml:space="preserve">K5 - Tidak menghasilkan kebutuhan. Apakah teks benar-benar tidak dapat diterjemahkan menjadi kalimat "Sistem harus/tidak boleh …"?</t>
  </si>
  <si>
    <t xml:space="preserve">R0 - Tidak relevan</t>
  </si>
  <si>
    <t xml:space="preserve">S8 - Penyelenggara sektor atau pihak lain</t>
  </si>
  <si>
    <t xml:space="preserve">T11 - Keamanan, Kerahasiaan, dan Penanganan Insiden</t>
  </si>
  <si>
    <t xml:space="preserve">P2 - Kewajiban</t>
  </si>
  <si>
    <t xml:space="preserve">K1 - Non-fungsional: keamanan dan kerahasiaan. Apakah inti teks melindungi data dari akses atau gangguan tidak sah?</t>
  </si>
  <si>
    <t xml:space="preserve">T01 - Definisi, Istilah, dan Ruang Lingkup</t>
  </si>
  <si>
    <t xml:space="preserve">P6 - Definisi, klasifikasi, atau ruang lingkup</t>
  </si>
  <si>
    <t xml:space="preserve">K4 - Batasan atau aturan bisnis hukum. Apakah teks membatasi apa yang boleh dilakukan sistem, atau apa dan siapa yang tercakup?</t>
  </si>
  <si>
    <t xml:space="preserve">S4 - Subjek Data Pribadi</t>
  </si>
  <si>
    <t xml:space="preserve">R2 - Relevan langsung</t>
  </si>
  <si>
    <t xml:space="preserve">T07 - Hak Subjek Data Pribadi</t>
  </si>
  <si>
    <t xml:space="preserve">P3 - Hak</t>
  </si>
  <si>
    <t xml:space="preserve">F7 - Tata kelola dan hak subjek</t>
  </si>
  <si>
    <t xml:space="preserve">K3 - Fungsional. Dapatkah ditulis "Sistem harus [melakukan X]" dengan hasil hanya lulus atau gagal?</t>
  </si>
  <si>
    <t xml:space="preserve">T09 - Dasar Pemrosesan dan Persetujuan</t>
  </si>
  <si>
    <t xml:space="preserve">F1 - Perencanaan dan dasar pemrosesan</t>
  </si>
  <si>
    <t xml:space="preserve">S2 - Pengendali Data Pribadi</t>
  </si>
  <si>
    <t xml:space="preserve">T15 - Asas dan Prinsip Pemrosesan</t>
  </si>
  <si>
    <t xml:space="preserve">F4 - Penyimpanan dan pengamanan</t>
  </si>
  <si>
    <t xml:space="preserve">T08 - Retensi, Penghentian, Penghapusan, dan Pemusnahan</t>
  </si>
  <si>
    <t xml:space="preserve">F6 - Retensi dan penghapusan</t>
  </si>
  <si>
    <t xml:space="preserve">S5 - Setiap Orang atau pihak umum</t>
  </si>
  <si>
    <t xml:space="preserve">T03 - Larangan dan Perbuatan Melawan Hukum</t>
  </si>
  <si>
    <t xml:space="preserve">P1 - Larangan</t>
  </si>
  <si>
    <t xml:space="preserve">F2 - Pengumpulan atau akuisisi</t>
  </si>
  <si>
    <t xml:space="preserve">S6 - Instansi atau Badan Publik</t>
  </si>
  <si>
    <t xml:space="preserve">T14 - Akses dan Pemanfaatan Data Pemerintah</t>
  </si>
  <si>
    <t xml:space="preserve">P5 - Kebolehan atau kewenangan</t>
  </si>
  <si>
    <t xml:space="preserve">Reliabilitas: Krippendorff alpha (sebelum rekonsiliasi)</t>
  </si>
  <si>
    <t xml:space="preserve">Dihitung dari blok Coder A dan Coder B pada sheet Kunci Adjudikasi. Hanya unit yang diisi kedua coder yang dihitung.</t>
  </si>
  <si>
    <t>Variabel</t>
  </si>
  <si>
    <t>Tipe</t>
  </si>
  <si>
    <t xml:space="preserve">Unit berpasangan (N)</t>
  </si>
  <si>
    <t xml:space="preserve">Unit berbeda</t>
  </si>
  <si>
    <t xml:space="preserve">Nilai total (n = 2N)</t>
  </si>
  <si>
    <t xml:space="preserve">Interpretasi (Bagian 12.1)</t>
  </si>
  <si>
    <t xml:space="preserve">V4 Subjek_Norma</t>
  </si>
  <si>
    <t>Nominal</t>
  </si>
  <si>
    <t xml:space="preserve">V5 Relevansi</t>
  </si>
  <si>
    <t>Ordinal</t>
  </si>
  <si>
    <t xml:space="preserve">V6 Tema_Utama</t>
  </si>
  <si>
    <t xml:space="preserve">V7 Jenis_Pernyataan</t>
  </si>
  <si>
    <t xml:space="preserve">V8 Tahap_Scraping</t>
  </si>
  <si>
    <t xml:space="preserve">V9 Kebutuhan_SRS</t>
  </si>
  <si>
    <t xml:space="preserve">Catatan: α dihitung ulang otomatis setiap data coder ditempel. Jika semua nilai satu variabel identik di kedua coder dan hanya satu kategori terpakai, α tidak terdefinisi (n/a).</t>
  </si>
  <si>
    <t xml:space="preserve">Rincian V4 Subjek_Norma</t>
  </si>
  <si>
    <t>Kategori</t>
  </si>
  <si>
    <t xml:space="preserve">n kode (kedua coder)</t>
  </si>
  <si>
    <t>n²</t>
  </si>
  <si>
    <t>S1</t>
  </si>
  <si>
    <t>S2</t>
  </si>
  <si>
    <t>S3</t>
  </si>
  <si>
    <t>S4</t>
  </si>
  <si>
    <t>S5</t>
  </si>
  <si>
    <t>S6</t>
  </si>
  <si>
    <t>S7</t>
  </si>
  <si>
    <t>S8</t>
  </si>
  <si>
    <t>S9</t>
  </si>
  <si>
    <t xml:space="preserve">Rincian V5 Relevansi</t>
  </si>
  <si>
    <t xml:space="preserve">Nilai kumulatif</t>
  </si>
  <si>
    <t>R0</t>
  </si>
  <si>
    <t>R1</t>
  </si>
  <si>
    <t>R2</t>
  </si>
  <si>
    <t>Pasangan</t>
  </si>
  <si>
    <t xml:space="preserve">Unit berbeda (D)</t>
  </si>
  <si>
    <t>δ²</t>
  </si>
  <si>
    <t>n_c·n_k·δ²</t>
  </si>
  <si>
    <t>R0-R1</t>
  </si>
  <si>
    <t>R1-R2</t>
  </si>
  <si>
    <t>R0-R2</t>
  </si>
  <si>
    <t xml:space="preserve">Rincian V6 Tema_Utama</t>
  </si>
  <si>
    <t>T01</t>
  </si>
  <si>
    <t>T02</t>
  </si>
  <si>
    <t>T03</t>
  </si>
  <si>
    <t>T04</t>
  </si>
  <si>
    <t>T05</t>
  </si>
  <si>
    <t>T06</t>
  </si>
  <si>
    <t>T07</t>
  </si>
  <si>
    <t>T08</t>
  </si>
  <si>
    <t>T09</t>
  </si>
  <si>
    <t>T10</t>
  </si>
  <si>
    <t>T11</t>
  </si>
  <si>
    <t>T12</t>
  </si>
  <si>
    <t>T13</t>
  </si>
  <si>
    <t>T14</t>
  </si>
  <si>
    <t>T15</t>
  </si>
  <si>
    <t>T16</t>
  </si>
  <si>
    <t>T99</t>
  </si>
  <si>
    <t xml:space="preserve">Rincian V7 Jenis_Pernyataan</t>
  </si>
  <si>
    <t>P1</t>
  </si>
  <si>
    <t>P2</t>
  </si>
  <si>
    <t>P3</t>
  </si>
  <si>
    <t>P4</t>
  </si>
  <si>
    <t>P5</t>
  </si>
  <si>
    <t>P6</t>
  </si>
  <si>
    <t>P7</t>
  </si>
  <si>
    <t>P8</t>
  </si>
  <si>
    <t xml:space="preserve">Rincian V8 Tahap_Scraping</t>
  </si>
  <si>
    <t>F1</t>
  </si>
  <si>
    <t>F2</t>
  </si>
  <si>
    <t>F3</t>
  </si>
  <si>
    <t>F4</t>
  </si>
  <si>
    <t>F5</t>
  </si>
  <si>
    <t>F6</t>
  </si>
  <si>
    <t>F7</t>
  </si>
  <si>
    <t>F8</t>
  </si>
  <si>
    <t xml:space="preserve">Rincian V9 Kebutuhan_SRS</t>
  </si>
  <si>
    <t>K1</t>
  </si>
  <si>
    <t>K2</t>
  </si>
  <si>
    <t>K3</t>
  </si>
  <si>
    <t>K4</t>
  </si>
  <si>
    <t>K5</t>
  </si>
  <si>
    <t xml:space="preserve">Daftar kode sah (Codebook versi 1.0.3)</t>
  </si>
  <si>
    <t xml:space="preserve">Sumber: Bagian 7 codebook (7.1 sampai 7.6). Sheet ini dipakai oleh daftar pilihan (validasi data) pada Kunci Adjudikasi dan lembar coding.</t>
  </si>
  <si>
    <t>Kode</t>
  </si>
  <si>
    <t>Label</t>
  </si>
  <si>
    <t xml:space="preserve">Pengendali dan Prosesor</t>
  </si>
  <si>
    <t xml:space="preserve">Pengendali Data Pribadi</t>
  </si>
  <si>
    <t xml:space="preserve">Prosesor Data Pribadi</t>
  </si>
  <si>
    <t xml:space="preserve">Subjek Data Pribadi</t>
  </si>
  <si>
    <t xml:space="preserve">Setiap Orang atau pihak umum</t>
  </si>
  <si>
    <t xml:space="preserve">Instansi atau Badan Publik</t>
  </si>
  <si>
    <t xml:space="preserve">Otoritas Penetap atau Pengawas Kebijakan</t>
  </si>
  <si>
    <t xml:space="preserve">Penyelenggara sektor atau pihak lain</t>
  </si>
  <si>
    <t xml:space="preserve">Tidak ada subjek perorangan atau organisasi eksplisit</t>
  </si>
  <si>
    <t xml:space="preserve">Tidak relevan</t>
  </si>
  <si>
    <t xml:space="preserve">Relevan tidak langsung</t>
  </si>
  <si>
    <t xml:space="preserve">Relevan langsung</t>
  </si>
  <si>
    <t xml:space="preserve">Definisi, Istilah, dan Ruang Lingkup</t>
  </si>
  <si>
    <t xml:space="preserve">Latar Normatif dan Rujukan Non-operasional</t>
  </si>
  <si>
    <t xml:space="preserve">Larangan dan Perbuatan Melawan Hukum</t>
  </si>
  <si>
    <t xml:space="preserve">Pengecualian dan Pembatasan</t>
  </si>
  <si>
    <t xml:space="preserve">Jenis dan Klasifikasi Data Pribadi</t>
  </si>
  <si>
    <t xml:space="preserve">Data Pribadi Anak dan Kelompok Rentan</t>
  </si>
  <si>
    <t xml:space="preserve">Hak Subjek Data Pribadi</t>
  </si>
  <si>
    <t xml:space="preserve">Retensi, Penghentian, Penghapusan, dan Pemusnahan</t>
  </si>
  <si>
    <t xml:space="preserve">Dasar Pemrosesan dan Persetujuan</t>
  </si>
  <si>
    <t xml:space="preserve">Transfer dan Pengalihan Data</t>
  </si>
  <si>
    <t xml:space="preserve">Keamanan, Kerahasiaan, dan Penanganan Insiden</t>
  </si>
  <si>
    <t xml:space="preserve">Kualitas, Akurasi, dan Pembaruan Data</t>
  </si>
  <si>
    <t xml:space="preserve">Akuntabilitas, Pencatatan, dan Tata Kelola Kepatuhan</t>
  </si>
  <si>
    <t xml:space="preserve">Akses dan Pemanfaatan Data Pemerintah</t>
  </si>
  <si>
    <t xml:space="preserve">Asas dan Prinsip Pemrosesan</t>
  </si>
  <si>
    <t xml:space="preserve">Aktivitas Pemrosesan dan Pengumpulan</t>
  </si>
  <si>
    <t xml:space="preserve">Lainnya (wajib jelaskan di V12)</t>
  </si>
  <si>
    <t>Larangan</t>
  </si>
  <si>
    <t>Kewajiban</t>
  </si>
  <si>
    <t>Hak</t>
  </si>
  <si>
    <t xml:space="preserve">Pengecualian atau pembatasan</t>
  </si>
  <si>
    <t xml:space="preserve">Kebolehan atau kewenangan</t>
  </si>
  <si>
    <t xml:space="preserve">Definisi, klasifikasi, atau ruang lingkup</t>
  </si>
  <si>
    <t xml:space="preserve">Asas, prinsip, atau tujuan umum</t>
  </si>
  <si>
    <t xml:space="preserve">Deskriptif, argumentatif, dan rujukan</t>
  </si>
  <si>
    <t xml:space="preserve">Perencanaan dan dasar pemrosesan</t>
  </si>
  <si>
    <t xml:space="preserve">Pengumpulan atau akuisisi</t>
  </si>
  <si>
    <t xml:space="preserve">Pengolahan dan analisis</t>
  </si>
  <si>
    <t xml:space="preserve">Penyimpanan dan pengamanan</t>
  </si>
  <si>
    <t xml:space="preserve">Penyebarluasan dan transfer</t>
  </si>
  <si>
    <t xml:space="preserve">Retensi dan penghapusan</t>
  </si>
  <si>
    <t xml:space="preserve">Tata kelola dan hak subjek</t>
  </si>
  <si>
    <t xml:space="preserve">Lintas tahap atau tidak spesifik</t>
  </si>
  <si>
    <t xml:space="preserve">Non-fungsional: keamanan dan kerahasiaan. Apakah inti teks melindungi data dari akses atau gangguan tidak sah?</t>
  </si>
  <si>
    <t xml:space="preserve">Non-fungsional: mutu data, kepatuhan, dan akuntabilitas. Apakah ini mutu atau bukti yang berlaku untuk seluruh sistem, bukan hanya satu operasi?</t>
  </si>
  <si>
    <t xml:space="preserve">Fungsional. Dapatkah ditulis "Sistem harus [melakukan X]" dengan hasil hanya lulus atau gagal?</t>
  </si>
  <si>
    <t xml:space="preserve">Batasan atau aturan bisnis hukum. Apakah teks membatasi apa yang boleh dilakukan sistem, atau apa dan siapa yang tercakup?</t>
  </si>
  <si>
    <t xml:space="preserve">Tidak menghasilkan kebutuhan. Apakah teks benar-benar tidak dapat diterjemahkan menjadi kalimat "Sistem harus/tidak boleh …"?</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</si>
  <si>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</si>
  <si>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</si>
  <si>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</si>
  <si>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</si>
  <si>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</si>
  <si>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</si>
  <si>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</si>
  <si>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</si>
  <si>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</si>
  <si>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</si>
  <si>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</si>
  <si>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</si>
  <si>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Dokumen, BAB, Bagian, Paragraf, Pasal, Isi. File ini TIDAK dibagikan kepada coder (Bagian 2.2 dan 12.2 codebook).</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</si>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</sst>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00"/>
  </numFmts>
  <fonts count="10">
    <font>
      <sz val="11.000000"/>
      <color theme="1"/>
      <name val="Calibri"/>
    </font>
    <font>
      <sz val="10.000000"/>
      <name val="Arial"/>
    </font>
    <font>
      <b/>
      <sz val="14.000000"/>
      <name val="Arial"/>
    </font>
    <font>
      <i/>
      <sz val="9.000000"/>
      <color rgb="FF595959"/>
      <name val="Arial"/>
    </font>
    <font>
      <b/>
      <sz val="10.000000"/>
      <color indexed="65"/>
      <name val="Arial"/>
    </font>
    <font>
      <b/>
      <sz val="10.000000"/>
      <name val="Arial"/>
    </font>
    <font>
      <sz val="10.000000"/>
      <color indexed="4"/>
      <name val="Arial"/>
    </font>
    <font>
      <sz val="11.000000"/>
      <color theme="1"/>
      <name val="Arial"/>
    </font>
    <font>
      <b/>
      <sz val="11.000000"/>
      <color indexed="65"/>
      <name val="Arial"/>
    </font>
    <font>
      <sz val="10.000000"/>
      <name val="Fira Code"/>
    </font>
  </fonts>
  <fills count="8">
    <fill>
      <patternFill patternType="none"/>
    </fill>
    <fill>
      <patternFill patternType="gray125"/>
    </fill>
    <fill>
      <patternFill patternType="solid">
        <fgColor rgb="FF1F3864"/>
        <bgColor indexed="63"/>
      </patternFill>
    </fill>
    <fill>
      <patternFill patternType="solid">
        <fgColor rgb="FF2F5496"/>
        <bgColor rgb="FF1F3864"/>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
      <patternFill patternType="solid">
        <fgColor rgb="FFFFF2CC"/>
        <bgColor rgb="FFFCE4D6"/>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30">
    <xf fontId="0" fillId="0" borderId="0" numFmtId="0" xfId="0" applyProtection="0">
      <protection hidden="0" locked="1"/>
    </xf>
    <xf fontId="0" fillId="0" borderId="0" numFmtId="0" xfId="0" applyProtection="1">
      <protection hidden="0" locked="1"/>
    </xf>
    <xf fontId="2" fillId="0" borderId="0" numFmtId="0" xfId="0" applyFont="1" applyProtection="1">
      <protection hidden="0" locked="1"/>
    </xf>
    <xf fontId="3" fillId="0" borderId="0" numFmtId="0" xfId="0" applyFont="1" applyProtection="1">
      <protection hidden="0" locked="1"/>
    </xf>
    <xf fontId="4" fillId="2" borderId="0" numFmtId="0" xfId="0" applyFont="1" applyFill="1" applyProtection="1">
      <protection hidden="0" locked="1"/>
    </xf>
    <xf fontId="0" fillId="2" borderId="0" numFmtId="0" xfId="0"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4" fillId="2" borderId="1" numFmtId="0" xfId="0" applyFont="1" applyFill="1" applyBorder="1" applyAlignment="1" applyProtection="1">
      <alignment horizontal="center" vertical="center" wrapText="1"/>
      <protection hidden="0" locked="1"/>
    </xf>
    <xf fontId="4" fillId="3"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4" borderId="1" numFmtId="0" xfId="0" applyFont="1" applyFill="1" applyBorder="1" applyAlignment="1" applyProtection="1">
      <alignment horizontal="center" vertical="top" wrapText="1"/>
      <protection hidden="0" locked="1"/>
    </xf>
    <xf fontId="6" fillId="5" borderId="1" numFmtId="0" xfId="0" applyFont="1" applyFill="1" applyBorder="1" applyAlignment="1" applyProtection="1">
      <alignment horizontal="center" vertical="top" wrapText="1"/>
      <protection hidden="0" locked="1"/>
    </xf>
    <xf fontId="6" fillId="6" borderId="1" numFmtId="0" xfId="0" applyFont="1" applyFill="1" applyBorder="1" applyAlignment="1" applyProtection="1">
      <alignment horizontal="center" vertical="top" wrapText="1"/>
      <protection hidden="0" locked="1"/>
    </xf>
    <xf fontId="6" fillId="7" borderId="1" numFmtId="0" xfId="0" applyFont="1" applyFill="1" applyBorder="1" applyAlignment="1" applyProtection="1">
      <alignment horizontal="center" vertical="top" wrapText="1"/>
      <protection hidden="0" locked="1"/>
    </xf>
    <xf fontId="5" fillId="4" borderId="1" numFmtId="0" xfId="0" applyFont="1" applyFill="1" applyBorder="1" applyAlignment="1" applyProtection="1">
      <alignment horizontal="center" vertical="top" wrapText="1"/>
      <protection hidden="0" locked="1"/>
    </xf>
    <xf fontId="6" fillId="7" borderId="1" numFmtId="0" xfId="0" applyFont="1" applyFill="1" applyBorder="1" applyAlignment="1" applyProtection="1">
      <alignment vertical="top" wrapText="1"/>
      <protection hidden="0" locked="1"/>
    </xf>
    <xf fontId="1" fillId="0" borderId="1" numFmtId="0" xfId="0" applyFont="1" applyBorder="1" applyProtection="1">
      <protection hidden="0" locked="1"/>
    </xf>
    <xf fontId="1" fillId="0" borderId="1" numFmtId="0" xfId="0" applyFont="1" applyBorder="1" applyAlignment="1" applyProtection="1">
      <alignment horizontal="center"/>
      <protection hidden="0" locked="1"/>
    </xf>
    <xf fontId="1" fillId="0" borderId="1" numFmtId="164" xfId="0" applyNumberFormat="1" applyFont="1" applyBorder="1" applyAlignment="1" applyProtection="1">
      <alignment horizontal="center"/>
      <protection hidden="0" locked="1"/>
    </xf>
    <xf fontId="5" fillId="0" borderId="0" numFmtId="0" xfId="0" applyFont="1" applyProtection="1">
      <protection hidden="0" locked="1"/>
    </xf>
    <xf fontId="5" fillId="0" borderId="1" numFmtId="0" xfId="0" applyFont="1" applyBorder="1" applyProtection="1">
      <protection hidden="0" locked="1"/>
    </xf>
    <xf fontId="7" fillId="0" borderId="0" numFmtId="0" xfId="0" applyFont="1" applyProtection="0">
      <protection hidden="0" locked="1"/>
    </xf>
    <xf fontId="7" fillId="0" borderId="0" numFmtId="0" xfId="0" applyFont="1" applyProtection="1">
      <protection hidden="0" locked="1"/>
    </xf>
    <xf fontId="8" fillId="2" borderId="0" numFmtId="0" xfId="0" applyFont="1" applyFill="1" applyAlignment="1" applyProtection="1">
      <alignment horizontal="center"/>
      <protection hidden="0" locked="1"/>
    </xf>
    <xf fontId="5" fillId="7" borderId="1" numFmtId="0" xfId="0" applyFont="1" applyFill="1" applyBorder="1" applyProtection="1">
      <protection hidden="0" locked="1"/>
    </xf>
    <xf fontId="9" fillId="0" borderId="0" numFmtId="0" xfId="0" applyFont="1" applyProtection="0"/>
    <xf fontId="9" fillId="0" borderId="0" numFmtId="0" xfId="0" applyFont="1" applyAlignment="1" applyProtection="0">
      <alignment wrapText="1"/>
    </xf>
    <xf fontId="9" fillId="0" borderId="0" numFmtId="0" xfId="0" applyFont="1" applyAlignment="1" applyProtection="1">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5" workbookViewId="0">
      <selection activeCell="A1" activeCellId="0" sqref="A1"/>
    </sheetView>
  </sheetViews>
  <sheetFormatPr defaultColWidth="8.6796875" defaultRowHeight="15"/>
  <cols>
    <col customWidth="1" min="1" max="1" style="1" width="3"/>
    <col customWidth="1" min="2" max="2" style="1" width="20"/>
    <col customWidth="1" min="3" max="3" style="1" width="120"/>
  </cols>
  <sheetData>
    <row r="1" ht="17.350000000000001">
      <c r="A1" s="2" t="s">
        <v>0</v>
      </c>
    </row>
    <row r="2" ht="15">
      <c r="A2" s="3" t="s">
        <v>1</v>
      </c>
    </row>
    <row r="4" ht="15">
      <c r="B4" s="4" t="s">
        <v>2</v>
      </c>
      <c r="C4" s="5"/>
    </row>
    <row r="5" ht="15">
      <c r="B5" s="6" t="s">
        <v>3</v>
      </c>
      <c r="C5" s="7" t="s">
        <v>4</v>
      </c>
    </row>
    <row r="6" ht="23.850000000000001">
      <c r="B6" s="6" t="s">
        <v>5</v>
      </c>
      <c r="C6" s="7" t="s">
        <v>6</v>
      </c>
    </row>
    <row r="7" ht="15">
      <c r="B7" s="6" t="s">
        <v>7</v>
      </c>
      <c r="C7" s="7" t="s">
        <v>8</v>
      </c>
    </row>
    <row r="8" ht="23.850000000000001">
      <c r="B8" s="6" t="s">
        <v>9</v>
      </c>
      <c r="C8" s="7" t="s">
        <v>10</v>
      </c>
    </row>
    <row r="9" ht="23.850000000000001">
      <c r="B9" s="6" t="s">
        <v>11</v>
      </c>
      <c r="C9" s="7" t="s">
        <v>12</v>
      </c>
    </row>
    <row r="10" ht="23.850000000000001">
      <c r="B10" s="6" t="s">
        <v>13</v>
      </c>
      <c r="C10" s="7" t="s">
        <v>14</v>
      </c>
    </row>
    <row r="11" ht="15">
      <c r="B11" s="4" t="s">
        <v>15</v>
      </c>
      <c r="C11" s="5"/>
    </row>
    <row r="12" ht="23.850000000000001">
      <c r="B12" s="6" t="s">
        <v>16</v>
      </c>
      <c r="C12" s="7" t="s">
        <v>17</v>
      </c>
    </row>
    <row r="13" ht="23.850000000000001">
      <c r="B13" s="6" t="s">
        <v>18</v>
      </c>
      <c r="C13" s="7" t="s">
        <v>19</v>
      </c>
    </row>
    <row r="14" ht="15">
      <c r="B14" s="6" t="s">
        <v>20</v>
      </c>
      <c r="C14" s="7" t="s">
        <v>21</v>
      </c>
    </row>
    <row r="15" ht="15">
      <c r="B15" s="6" t="s">
        <v>22</v>
      </c>
      <c r="C15" s="7" t="s">
        <v>23</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65" workbookViewId="0">
      <pane xSplit="2" ySplit="4" topLeftCell="C5" activePane="bottomRight" state="frozen"/>
      <selection activeCell="G86" activeCellId="0" sqref="G86:L89"/>
    </sheetView>
  </sheetViews>
  <sheetFormatPr defaultColWidth="8.6796875" defaultRowHeight="14.25"/>
  <cols>
    <col customWidth="1" min="1" max="1" style="1" width="9"/>
    <col customWidth="1" min="2" max="2" style="1" width="24"/>
    <col customWidth="1" min="3" max="3" style="1" width="20"/>
    <col customWidth="1" min="4" max="5" style="1" width="16"/>
    <col customWidth="1" min="6" max="6" style="1" width="70"/>
    <col customWidth="1" min="7" max="43" style="1" width="10"/>
    <col customWidth="1" min="44" max="44" style="1" width="40"/>
    <col customWidth="1" min="45" max="45" style="1" width="18"/>
    <col customWidth="1" min="46" max="46" style="1" width="46"/>
  </cols>
  <sheetData>
    <row r="1" ht="16.5">
      <c r="A1" s="2" t="s">
        <v>24</v>
      </c>
    </row>
    <row r="2" ht="15">
      <c r="A2" s="3" t="s">
        <v>25</v>
      </c>
    </row>
    <row r="3" ht="15" customHeight="1">
      <c r="A3" s="8" t="s">
        <v>26</v>
      </c>
      <c r="B3" s="8"/>
      <c r="C3" s="8"/>
      <c r="D3" s="8"/>
      <c r="E3" s="8"/>
      <c r="F3" s="8"/>
      <c r="G3" s="9" t="s">
        <v>27</v>
      </c>
      <c r="H3" s="9"/>
      <c r="I3" s="9"/>
      <c r="J3" s="9"/>
      <c r="K3" s="9"/>
      <c r="L3" s="9"/>
      <c r="M3" s="9" t="s">
        <v>28</v>
      </c>
      <c r="N3" s="9"/>
      <c r="O3" s="9"/>
      <c r="P3" s="9"/>
      <c r="Q3" s="9"/>
      <c r="R3" s="9"/>
      <c r="S3" s="9" t="s">
        <v>29</v>
      </c>
      <c r="T3" s="9"/>
      <c r="U3" s="9"/>
      <c r="V3" s="9"/>
      <c r="W3" s="9"/>
      <c r="X3" s="9"/>
      <c r="Y3" s="8" t="s">
        <v>30</v>
      </c>
      <c r="Z3" s="8"/>
      <c r="AA3" s="8"/>
      <c r="AB3" s="8"/>
      <c r="AC3" s="8"/>
      <c r="AD3" s="8"/>
      <c r="AE3" s="8" t="s">
        <v>31</v>
      </c>
      <c r="AF3" s="9" t="s">
        <v>32</v>
      </c>
      <c r="AG3" s="9"/>
      <c r="AH3" s="9"/>
      <c r="AI3" s="9"/>
      <c r="AJ3" s="9"/>
      <c r="AK3" s="9"/>
      <c r="AL3" s="9" t="s">
        <v>33</v>
      </c>
      <c r="AM3" s="9"/>
      <c r="AN3" s="9"/>
      <c r="AO3" s="9"/>
      <c r="AP3" s="9"/>
      <c r="AQ3" s="9"/>
      <c r="AR3" s="8" t="s">
        <v>34</v>
      </c>
      <c r="AS3" s="8" t="s">
        <v>35</v>
      </c>
      <c r="AT3" s="8" t="s">
        <v>36</v>
      </c>
    </row>
    <row r="4" ht="31.5" customHeight="1">
      <c r="A4" s="8" t="s">
        <v>37</v>
      </c>
      <c r="B4" s="8" t="s">
        <v>38</v>
      </c>
      <c r="C4" s="8" t="s">
        <v>39</v>
      </c>
      <c r="D4" s="8" t="s">
        <v>40</v>
      </c>
      <c r="E4" s="8" t="s">
        <v>41</v>
      </c>
      <c r="F4" s="8" t="s">
        <v>42</v>
      </c>
      <c r="G4" s="8" t="s">
        <v>43</v>
      </c>
      <c r="H4" s="8" t="s">
        <v>44</v>
      </c>
      <c r="I4" s="8" t="s">
        <v>45</v>
      </c>
      <c r="J4" s="8" t="s">
        <v>46</v>
      </c>
      <c r="K4" s="8" t="s">
        <v>47</v>
      </c>
      <c r="L4" s="8" t="s">
        <v>48</v>
      </c>
      <c r="M4" s="8" t="s">
        <v>49</v>
      </c>
      <c r="N4" s="8" t="s">
        <v>50</v>
      </c>
      <c r="O4" s="8" t="s">
        <v>51</v>
      </c>
      <c r="P4" s="8" t="s">
        <v>52</v>
      </c>
      <c r="Q4" s="8" t="s">
        <v>53</v>
      </c>
      <c r="R4" s="8" t="s">
        <v>54</v>
      </c>
      <c r="S4" s="8" t="s">
        <v>55</v>
      </c>
      <c r="T4" s="8" t="s">
        <v>56</v>
      </c>
      <c r="U4" s="8" t="s">
        <v>57</v>
      </c>
      <c r="V4" s="8" t="s">
        <v>58</v>
      </c>
      <c r="W4" s="8" t="s">
        <v>59</v>
      </c>
      <c r="X4" s="8" t="s">
        <v>60</v>
      </c>
      <c r="Y4" s="8" t="s">
        <v>61</v>
      </c>
      <c r="Z4" s="8" t="s">
        <v>62</v>
      </c>
      <c r="AA4" s="8" t="s">
        <v>63</v>
      </c>
      <c r="AB4" s="8" t="s">
        <v>64</v>
      </c>
      <c r="AC4" s="8" t="s">
        <v>65</v>
      </c>
      <c r="AD4" s="8" t="s">
        <v>66</v>
      </c>
      <c r="AE4" s="8" t="s">
        <v>67</v>
      </c>
      <c r="AF4" s="8" t="s">
        <v>68</v>
      </c>
      <c r="AG4" s="8" t="s">
        <v>69</v>
      </c>
      <c r="AH4" s="8" t="s">
        <v>70</v>
      </c>
      <c r="AI4" s="8" t="s">
        <v>71</v>
      </c>
      <c r="AJ4" s="8" t="s">
        <v>72</v>
      </c>
      <c r="AK4" s="8" t="s">
        <v>73</v>
      </c>
      <c r="AL4" s="8" t="s">
        <v>74</v>
      </c>
      <c r="AM4" s="8" t="s">
        <v>75</v>
      </c>
      <c r="AN4" s="8" t="s">
        <v>76</v>
      </c>
      <c r="AO4" s="8" t="s">
        <v>77</v>
      </c>
      <c r="AP4" s="8" t="s">
        <v>78</v>
      </c>
      <c r="AQ4" s="8" t="s">
        <v>79</v>
      </c>
      <c r="AR4" s="8" t="s">
        <v>80</v>
      </c>
      <c r="AS4" s="8" t="s">
        <v>35</v>
      </c>
      <c r="AT4" s="8" t="s">
        <v>81</v>
      </c>
    </row>
    <row r="5" ht="48" customHeight="1">
      <c r="A5" s="10">
        <v>2</v>
      </c>
      <c r="B5" s="11" t="str">
        <f>IF(INDEX(Korpus!$A:$A,$A5)="","",INDEX(Korpus!$A:$A,$A5))</f>
        <v>2019MHN201</v>
      </c>
      <c r="C5" s="11" t="str">
        <f>TRIM(INDEX(Korpus!$D:$D,$A5)&amp;" "&amp;INDEX(Korpus!$E:$E,$A5))</f>
        <v xml:space="preserve">Paragraf 3 Kalimat 1</v>
      </c>
      <c r="D5" s="11" t="str">
        <f>IF(INDEX(Korpus!$B:$B,$A5)="","",INDEX(Korpus!$B:$B,$A5))</f>
        <v xml:space="preserve">C. Pembahasan</v>
      </c>
      <c r="E5" s="11" t="str">
        <f>IF(INDEX(Korpus!$C:$C,$A5)="","",INDEX(Korpus!$C:$C,$A5))</f>
        <v xml:space="preserve">5. Pentingnya Perlindungan Data Pribadi</v>
      </c>
      <c r="F5" s="11" t="str">
        <f>IF(INDEX(Korpus!$F:$F,$A5)="","",INDEX(Korpus!$F:$F,$A5))</f>
        <v xml:space="preserve">Melihat banyaknya kasus penyalahgunaan data pribadi, sangat penting untuk memberikan perlindungan data pribadi.</v>
      </c>
      <c r="G5" s="12" t="s">
        <v>82</v>
      </c>
      <c r="H5" s="12" t="s">
        <v>83</v>
      </c>
      <c r="I5" s="12" t="s">
        <v>84</v>
      </c>
      <c r="J5" s="12" t="s">
        <v>85</v>
      </c>
      <c r="K5" s="12" t="s">
        <v>86</v>
      </c>
      <c r="L5" s="12" t="s">
        <v>87</v>
      </c>
      <c r="M5" s="13"/>
      <c r="N5" s="13"/>
      <c r="O5" s="13"/>
      <c r="P5" s="13"/>
      <c r="Q5" s="13"/>
      <c r="R5" s="13"/>
      <c r="S5" s="14"/>
      <c r="T5" s="14"/>
      <c r="U5" s="14"/>
      <c r="V5" s="14"/>
      <c r="W5" s="14"/>
      <c r="X5" s="14"/>
      <c r="Y5" s="10" t="str">
        <f t="shared" ref="Y5:Y9" si="0">IF(OR(M5="",S5=""),"",IF(M5=S5,"Sama","Beda"))</f>
        <v/>
      </c>
      <c r="Z5" s="10" t="str">
        <f t="shared" ref="Z5:Z9" si="1">IF(OR(N5="",T5=""),"",IF(N5=T5,"Sama","Beda"))</f>
        <v/>
      </c>
      <c r="AA5" s="10" t="str">
        <f t="shared" ref="AA5:AA9" si="2">IF(OR(O5="",U5=""),"",IF(O5=U5,"Sama","Beda"))</f>
        <v/>
      </c>
      <c r="AB5" s="10" t="str">
        <f t="shared" ref="AB5:AB9" si="3">IF(OR(P5="",V5=""),"",IF(P5=V5,"Sama","Beda"))</f>
        <v/>
      </c>
      <c r="AC5" s="10" t="str">
        <f t="shared" ref="AC5:AC9" si="4">IF(OR(Q5="",W5=""),"",IF(Q5=W5,"Sama","Beda"))</f>
        <v/>
      </c>
      <c r="AD5" s="10" t="str">
        <f t="shared" ref="AD5:AD9" si="5">IF(OR(R5="",X5=""),"",IF(R5=X5,"Sama","Beda"))</f>
        <v/>
      </c>
      <c r="AE5" s="10">
        <f t="shared" ref="AE5:AE9" si="6">COUNTIF(Y5:AD5,"Beda")</f>
        <v>0</v>
      </c>
      <c r="AF5" s="15"/>
      <c r="AG5" s="15"/>
      <c r="AH5" s="15"/>
      <c r="AI5" s="15"/>
      <c r="AJ5" s="15"/>
      <c r="AK5" s="15"/>
      <c r="AL5" s="16" t="str">
        <f t="shared" ref="AL5:AL9" si="7">IF(AF5&lt;&gt;"",AF5,IF(AND(M5&lt;&gt;"",M5=S5),M5,""))</f>
        <v/>
      </c>
      <c r="AM5" s="16" t="str">
        <f t="shared" ref="AM5:AM9" si="8">IF(AG5&lt;&gt;"",AG5,IF(AND(N5&lt;&gt;"",N5=T5),N5,""))</f>
        <v/>
      </c>
      <c r="AN5" s="16" t="str">
        <f t="shared" ref="AN5:AN9" si="9">IF(AH5&lt;&gt;"",AH5,IF(AND(O5&lt;&gt;"",O5=U5),O5,""))</f>
        <v/>
      </c>
      <c r="AO5" s="16" t="str">
        <f t="shared" ref="AO5:AO9" si="10">IF(AI5&lt;&gt;"",AI5,IF(AND(P5&lt;&gt;"",P5=V5),P5,""))</f>
        <v/>
      </c>
      <c r="AP5" s="16" t="str">
        <f t="shared" ref="AP5:AP9" si="11">IF(AJ5&lt;&gt;"",AJ5,IF(AND(Q5&lt;&gt;"",Q5=W5),Q5,""))</f>
        <v/>
      </c>
      <c r="AQ5" s="16" t="str">
        <f t="shared" ref="AQ5:AQ9" si="12">IF(AK5&lt;&gt;"",AK5,IF(AND(R5&lt;&gt;"",R5=X5),R5,""))</f>
        <v/>
      </c>
      <c r="AR5" s="17"/>
      <c r="AS5" s="10" t="str">
        <f t="shared" ref="AS5:AS9" si="13">IF(COUNTA(M5:R5)+COUNTA(S5:X5)&lt;12,"Menunggu coder",IF(AE5=0,"Sepakat",IF(SUMPRODUCT((Y5:AD5="Beda")*(AF5:AK5=""))=0,"Selesai adjudikasi","Perlu adjudikasi")))</f>
        <v xml:space="preserve">Menunggu coder</v>
      </c>
      <c r="AT5" s="11" t="str">
        <f t="shared" ref="AT5:AT9" si="14">IF(COUNTIF(AL5:AQ5,"?*")&lt;6,"",IF(IF(AND(LEFT(AM5,2)="R0",LEFT(AQ5,2)&lt;&gt;"K5"),"R0 harus K5; ","")&amp;IF(AND(LEFT(AM5,2)="R1",LEFT(AQ5,2)="K3"),"R1 tidak boleh K3 (fungsional); ","")&amp;IF(AND(LEFT(AM5,2)="R2",LEFT(AQ5,2)="K5"),"R2 tidak boleh K5; ","")&amp;IF(AND(LEFT(AM5,2)="R2",OR(LEFT(AL5,2)="S6",LEFT(AL5,2)="S7",LEFT(AL5,2)="S8")),"R2 tidak boleh S6/S7/S8; ","")&amp;IF(AND(LEFT(AM5,2)="R2",OR(LEFT(AN5,3)="T02",LEFT(AO5,2)="P8")),"T02 atau P8 tidak boleh R2; ","")&amp;IF(AND(LEFT(AN5,3)="T01",LEFT(AO5,2)&lt;&gt;"P6"),"T01 biasanya P6 (periksa); ","")&amp;IF(AND(LEFT(AO5,2)="P1",LEFT(AQ5,2)&lt;&gt;"K4"),"P1 biasanya K4 (periksa); ","")="","OK",IF(AND(LEFT(AM5,2)="R0",LEFT(AQ5,2)&lt;&gt;"K5"),"R0 harus K5; ","")&amp;IF(AND(LEFT(AM5,2)="R1",LEFT(AQ5,2)="K3"),"R1 tidak boleh K3 (fungsional); ","")&amp;IF(AND(LEFT(AM5,2)="R2",LEFT(AQ5,2)="K5"),"R2 tidak boleh K5; ","")&amp;IF(AND(LEFT(AM5,2)="R2",OR(LEFT(AL5,2)="S6",LEFT(AL5,2)="S7",LEFT(AL5,2)="S8")),"R2 tidak boleh S6/S7/S8; ","")&amp;IF(AND(LEFT(AM5,2)="R2",OR(LEFT(AN5,3)="T02",LEFT(AO5,2)="P8")),"T02 atau P8 tidak boleh R2; ","")&amp;IF(AND(LEFT(AN5,3)="T01",LEFT(AO5,2)&lt;&gt;"P6"),"T01 biasanya P6 (periksa); ","")&amp;IF(AND(LEFT(AO5,2)="P1",LEFT(AQ5,2)&lt;&gt;"K4"),"P1 biasanya K4 (periksa); ","")))</f>
        <v/>
      </c>
    </row>
    <row r="6" ht="48" customHeight="1">
      <c r="A6" s="10">
        <v>3</v>
      </c>
      <c r="B6" s="11" t="str">
        <f>IF(INDEX(Korpus!$A:$A,$A6)="","",INDEX(Korpus!$A:$A,$A6))</f>
        <v>2019MHN201</v>
      </c>
      <c r="C6" s="11" t="str">
        <f>TRIM(INDEX(Korpus!$D:$D,$A6)&amp;" "&amp;INDEX(Korpus!$E:$E,$A6))</f>
        <v xml:space="preserve">Paragraf 3 Kalimat 2</v>
      </c>
      <c r="D6" s="11" t="str">
        <f>IF(INDEX(Korpus!$B:$B,$A6)="","",INDEX(Korpus!$B:$B,$A6))</f>
        <v xml:space="preserve">C. Pembahasan</v>
      </c>
      <c r="E6" s="11" t="str">
        <f>IF(INDEX(Korpus!$C:$C,$A6)="","",INDEX(Korpus!$C:$C,$A6))</f>
        <v xml:space="preserve">5. Pentingnya Perlindungan Data Pribadi</v>
      </c>
      <c r="F6" s="11" t="str">
        <f>IF(INDEX(Korpus!$F:$F,$A6)="","",INDEX(Korpus!$F:$F,$A6))</f>
        <v xml:space="preserve">Pentingnya memberikan perlindungan data pribadi mulai menguat seiring dengan meningkatnya jumlah pengguna telepon seluler dan internet.</v>
      </c>
      <c r="G6" s="12"/>
      <c r="H6" s="12"/>
      <c r="I6" s="12"/>
      <c r="J6" s="12"/>
      <c r="K6" s="12"/>
      <c r="L6" s="12"/>
      <c r="M6" s="13"/>
      <c r="N6" s="13"/>
      <c r="O6" s="13"/>
      <c r="P6" s="13"/>
      <c r="Q6" s="13"/>
      <c r="R6" s="13"/>
      <c r="S6" s="14"/>
      <c r="T6" s="14"/>
      <c r="U6" s="14"/>
      <c r="V6" s="14"/>
      <c r="W6" s="14"/>
      <c r="X6" s="14"/>
      <c r="Y6" s="10" t="str">
        <f t="shared" si="0"/>
        <v/>
      </c>
      <c r="Z6" s="10" t="str">
        <f t="shared" si="1"/>
        <v/>
      </c>
      <c r="AA6" s="10" t="str">
        <f t="shared" si="2"/>
        <v/>
      </c>
      <c r="AB6" s="10" t="str">
        <f t="shared" si="3"/>
        <v/>
      </c>
      <c r="AC6" s="10" t="str">
        <f t="shared" si="4"/>
        <v/>
      </c>
      <c r="AD6" s="10" t="str">
        <f t="shared" si="5"/>
        <v/>
      </c>
      <c r="AE6" s="10">
        <f t="shared" si="6"/>
        <v>0</v>
      </c>
      <c r="AF6" s="15"/>
      <c r="AG6" s="15"/>
      <c r="AH6" s="15"/>
      <c r="AI6" s="15"/>
      <c r="AJ6" s="15"/>
      <c r="AK6" s="15"/>
      <c r="AL6" s="16" t="str">
        <f t="shared" si="7"/>
        <v/>
      </c>
      <c r="AM6" s="16" t="str">
        <f t="shared" si="8"/>
        <v/>
      </c>
      <c r="AN6" s="16" t="str">
        <f t="shared" si="9"/>
        <v/>
      </c>
      <c r="AO6" s="16" t="str">
        <f t="shared" si="10"/>
        <v/>
      </c>
      <c r="AP6" s="16" t="str">
        <f t="shared" si="11"/>
        <v/>
      </c>
      <c r="AQ6" s="16" t="str">
        <f t="shared" si="12"/>
        <v/>
      </c>
      <c r="AR6" s="17"/>
      <c r="AS6" s="10" t="str">
        <f t="shared" si="13"/>
        <v xml:space="preserve">Menunggu coder</v>
      </c>
      <c r="AT6" s="11" t="str">
        <f t="shared" si="14"/>
        <v/>
      </c>
    </row>
    <row r="7" ht="48" customHeight="1">
      <c r="A7" s="10">
        <v>4</v>
      </c>
      <c r="B7" s="11" t="str">
        <f>IF(INDEX(Korpus!$A:$A,$A7)="","",INDEX(Korpus!$A:$A,$A7))</f>
        <v>2019MHN201</v>
      </c>
      <c r="C7" s="11" t="str">
        <f>TRIM(INDEX(Korpus!$D:$D,$A7)&amp;" "&amp;INDEX(Korpus!$E:$E,$A7))</f>
        <v xml:space="preserve">Paragraf 3 Kalimat 3</v>
      </c>
      <c r="D7" s="11" t="str">
        <f>IF(INDEX(Korpus!$B:$B,$A7)="","",INDEX(Korpus!$B:$B,$A7))</f>
        <v xml:space="preserve">C. Pembahasan</v>
      </c>
      <c r="E7" s="11" t="str">
        <f>IF(INDEX(Korpus!$C:$C,$A7)="","",INDEX(Korpus!$C:$C,$A7))</f>
        <v xml:space="preserve">5. Pentingnya Perlindungan Data Pribadi</v>
      </c>
      <c r="F7" s="11" t="str">
        <f>IF(INDEX(Korpus!$F:$F,$A7)="","",INDEX(Korpus!$F:$F,$A7))</f>
        <v xml:space="preserve">Sejumlah kasus yang mencuat, terutama yang memiliki keterkaitan dengan kebocoran data pribadi seseorang dan bermuara kepada aksi penipuan atau tindak kriminal pornografi, menguatkan wacana pentingnya pembuatan aturan hukum untuk melindungi data pribadi.</v>
      </c>
      <c r="G7" s="12"/>
      <c r="H7" s="12"/>
      <c r="I7" s="12"/>
      <c r="J7" s="12"/>
      <c r="K7" s="12"/>
      <c r="L7" s="12"/>
      <c r="M7" s="13"/>
      <c r="N7" s="13"/>
      <c r="O7" s="13"/>
      <c r="P7" s="13"/>
      <c r="Q7" s="13"/>
      <c r="R7" s="13"/>
      <c r="S7" s="14"/>
      <c r="T7" s="14"/>
      <c r="U7" s="14"/>
      <c r="V7" s="14"/>
      <c r="W7" s="14"/>
      <c r="X7" s="14"/>
      <c r="Y7" s="10" t="str">
        <f t="shared" si="0"/>
        <v/>
      </c>
      <c r="Z7" s="10" t="str">
        <f t="shared" si="1"/>
        <v/>
      </c>
      <c r="AA7" s="10" t="str">
        <f t="shared" si="2"/>
        <v/>
      </c>
      <c r="AB7" s="10" t="str">
        <f t="shared" si="3"/>
        <v/>
      </c>
      <c r="AC7" s="10" t="str">
        <f t="shared" si="4"/>
        <v/>
      </c>
      <c r="AD7" s="10" t="str">
        <f t="shared" si="5"/>
        <v/>
      </c>
      <c r="AE7" s="10">
        <f t="shared" si="6"/>
        <v>0</v>
      </c>
      <c r="AF7" s="15"/>
      <c r="AG7" s="15"/>
      <c r="AH7" s="15"/>
      <c r="AI7" s="15"/>
      <c r="AJ7" s="15"/>
      <c r="AK7" s="15"/>
      <c r="AL7" s="16" t="str">
        <f t="shared" si="7"/>
        <v/>
      </c>
      <c r="AM7" s="16" t="str">
        <f t="shared" si="8"/>
        <v/>
      </c>
      <c r="AN7" s="16" t="str">
        <f t="shared" si="9"/>
        <v/>
      </c>
      <c r="AO7" s="16" t="str">
        <f t="shared" si="10"/>
        <v/>
      </c>
      <c r="AP7" s="16" t="str">
        <f t="shared" si="11"/>
        <v/>
      </c>
      <c r="AQ7" s="16" t="str">
        <f t="shared" si="12"/>
        <v/>
      </c>
      <c r="AR7" s="17"/>
      <c r="AS7" s="10" t="str">
        <f t="shared" si="13"/>
        <v xml:space="preserve">Menunggu coder</v>
      </c>
      <c r="AT7" s="11" t="str">
        <f t="shared" si="14"/>
        <v/>
      </c>
    </row>
    <row r="8" ht="48" customHeight="1">
      <c r="A8" s="10">
        <v>5</v>
      </c>
      <c r="B8" s="11" t="str">
        <f>IF(INDEX(Korpus!$A:$A,$A8)="","",INDEX(Korpus!$A:$A,$A8))</f>
        <v>2019MHN201</v>
      </c>
      <c r="C8" s="11" t="str">
        <f>TRIM(INDEX(Korpus!$D:$D,$A8)&amp;" "&amp;INDEX(Korpus!$E:$E,$A8))</f>
        <v xml:space="preserve">Paragraf 3 Kalimat 4</v>
      </c>
      <c r="D8" s="11" t="str">
        <f>IF(INDEX(Korpus!$B:$B,$A8)="","",INDEX(Korpus!$B:$B,$A8))</f>
        <v xml:space="preserve">C. Pembahasan</v>
      </c>
      <c r="E8" s="11" t="str">
        <f>IF(INDEX(Korpus!$C:$C,$A8)="","",INDEX(Korpus!$C:$C,$A8))</f>
        <v xml:space="preserve">5. Pentingnya Perlindungan Data Pribadi</v>
      </c>
      <c r="F8" s="11" t="str">
        <f>IF(INDEX(Korpus!$F:$F,$A8)="","",INDEX(Korpus!$F:$F,$A8))</f>
        <v xml:space="preserve">Perlindungan data pribadi berhubungan dengan konsep privasi.</v>
      </c>
      <c r="G8" s="12"/>
      <c r="H8" s="12"/>
      <c r="I8" s="12"/>
      <c r="J8" s="12"/>
      <c r="K8" s="12"/>
      <c r="L8" s="12"/>
      <c r="M8" s="13"/>
      <c r="N8" s="13"/>
      <c r="O8" s="13"/>
      <c r="P8" s="13"/>
      <c r="Q8" s="13"/>
      <c r="R8" s="13"/>
      <c r="S8" s="14"/>
      <c r="T8" s="14"/>
      <c r="U8" s="14"/>
      <c r="V8" s="14"/>
      <c r="W8" s="14"/>
      <c r="X8" s="14"/>
      <c r="Y8" s="10" t="str">
        <f t="shared" si="0"/>
        <v/>
      </c>
      <c r="Z8" s="10" t="str">
        <f t="shared" si="1"/>
        <v/>
      </c>
      <c r="AA8" s="10" t="str">
        <f t="shared" si="2"/>
        <v/>
      </c>
      <c r="AB8" s="10" t="str">
        <f t="shared" si="3"/>
        <v/>
      </c>
      <c r="AC8" s="10" t="str">
        <f t="shared" si="4"/>
        <v/>
      </c>
      <c r="AD8" s="10" t="str">
        <f t="shared" si="5"/>
        <v/>
      </c>
      <c r="AE8" s="10">
        <f t="shared" si="6"/>
        <v>0</v>
      </c>
      <c r="AF8" s="15"/>
      <c r="AG8" s="15"/>
      <c r="AH8" s="15"/>
      <c r="AI8" s="15"/>
      <c r="AJ8" s="15"/>
      <c r="AK8" s="15"/>
      <c r="AL8" s="16" t="str">
        <f t="shared" si="7"/>
        <v/>
      </c>
      <c r="AM8" s="16" t="str">
        <f t="shared" si="8"/>
        <v/>
      </c>
      <c r="AN8" s="16" t="str">
        <f t="shared" si="9"/>
        <v/>
      </c>
      <c r="AO8" s="16" t="str">
        <f t="shared" si="10"/>
        <v/>
      </c>
      <c r="AP8" s="16" t="str">
        <f t="shared" si="11"/>
        <v/>
      </c>
      <c r="AQ8" s="16" t="str">
        <f t="shared" si="12"/>
        <v/>
      </c>
      <c r="AR8" s="17"/>
      <c r="AS8" s="10" t="str">
        <f t="shared" si="13"/>
        <v xml:space="preserve">Menunggu coder</v>
      </c>
      <c r="AT8" s="11" t="str">
        <f t="shared" si="14"/>
        <v/>
      </c>
    </row>
    <row r="9" ht="48" customHeight="1">
      <c r="A9" s="10">
        <v>6</v>
      </c>
      <c r="B9" s="11" t="str">
        <f>IF(INDEX(Korpus!$A:$A,$A9)="","",INDEX(Korpus!$A:$A,$A9))</f>
        <v>2019MHN201</v>
      </c>
      <c r="C9" s="11" t="str">
        <f>TRIM(INDEX(Korpus!$D:$D,$A9)&amp;" "&amp;INDEX(Korpus!$E:$E,$A9))</f>
        <v xml:space="preserve">Paragraf 3 Kalimat 5</v>
      </c>
      <c r="D9" s="11" t="str">
        <f>IF(INDEX(Korpus!$B:$B,$A9)="","",INDEX(Korpus!$B:$B,$A9))</f>
        <v xml:space="preserve">C. Pembahasan</v>
      </c>
      <c r="E9" s="11" t="str">
        <f>IF(INDEX(Korpus!$C:$C,$A9)="","",INDEX(Korpus!$C:$C,$A9))</f>
        <v xml:space="preserve">5. Pentingnya Perlindungan Data Pribadi</v>
      </c>
      <c r="F9" s="11" t="str">
        <f>IF(INDEX(Korpus!$F:$F,$A9)="","",INDEX(Korpus!$F:$F,$A9))</f>
        <v xml:space="preserve">Konsep privasi sendiri adalah gagasan untuk menjaga integritas dan martabat pribadi.</v>
      </c>
      <c r="G9" s="12"/>
      <c r="H9" s="12"/>
      <c r="I9" s="12"/>
      <c r="J9" s="12"/>
      <c r="K9" s="12"/>
      <c r="L9" s="12"/>
      <c r="M9" s="13"/>
      <c r="N9" s="13"/>
      <c r="O9" s="13"/>
      <c r="P9" s="13"/>
      <c r="Q9" s="13"/>
      <c r="R9" s="13"/>
      <c r="S9" s="14"/>
      <c r="T9" s="14"/>
      <c r="U9" s="14"/>
      <c r="V9" s="14"/>
      <c r="W9" s="14"/>
      <c r="X9" s="14"/>
      <c r="Y9" s="10" t="str">
        <f t="shared" si="0"/>
        <v/>
      </c>
      <c r="Z9" s="10" t="str">
        <f t="shared" si="1"/>
        <v/>
      </c>
      <c r="AA9" s="10" t="str">
        <f t="shared" si="2"/>
        <v/>
      </c>
      <c r="AB9" s="10" t="str">
        <f t="shared" si="3"/>
        <v/>
      </c>
      <c r="AC9" s="10" t="str">
        <f t="shared" si="4"/>
        <v/>
      </c>
      <c r="AD9" s="10" t="str">
        <f t="shared" si="5"/>
        <v/>
      </c>
      <c r="AE9" s="10">
        <f t="shared" si="6"/>
        <v>0</v>
      </c>
      <c r="AF9" s="15"/>
      <c r="AG9" s="15"/>
      <c r="AH9" s="15"/>
      <c r="AI9" s="15"/>
      <c r="AJ9" s="15"/>
      <c r="AK9" s="15"/>
      <c r="AL9" s="16" t="str">
        <f t="shared" si="7"/>
        <v/>
      </c>
      <c r="AM9" s="16" t="str">
        <f t="shared" si="8"/>
        <v/>
      </c>
      <c r="AN9" s="16" t="str">
        <f t="shared" si="9"/>
        <v/>
      </c>
      <c r="AO9" s="16" t="str">
        <f t="shared" si="10"/>
        <v/>
      </c>
      <c r="AP9" s="16" t="str">
        <f t="shared" si="11"/>
        <v/>
      </c>
      <c r="AQ9" s="16" t="str">
        <f t="shared" si="12"/>
        <v/>
      </c>
      <c r="AR9" s="17"/>
      <c r="AS9" s="10" t="str">
        <f t="shared" si="13"/>
        <v xml:space="preserve">Menunggu coder</v>
      </c>
      <c r="AT9" s="11" t="str">
        <f t="shared" si="14"/>
        <v/>
      </c>
    </row>
    <row r="10" ht="48" customHeight="1">
      <c r="A10" s="10">
        <v>7</v>
      </c>
      <c r="B10" s="11" t="str">
        <f>IF(INDEX(Korpus!$A:$A,$A10)="","",INDEX(Korpus!$A:$A,$A10))</f>
        <v>2019MHN201</v>
      </c>
      <c r="C10" s="11" t="str">
        <f>TRIM(INDEX(Korpus!$D:$D,$A10)&amp;" "&amp;INDEX(Korpus!$E:$E,$A10))</f>
        <v xml:space="preserve">Paragraf 3 Kalimat 6</v>
      </c>
      <c r="D10" s="11" t="str">
        <f>IF(INDEX(Korpus!$B:$B,$A10)="","",INDEX(Korpus!$B:$B,$A10))</f>
        <v xml:space="preserve">C. Pembahasan</v>
      </c>
      <c r="E10" s="11" t="str">
        <f>IF(INDEX(Korpus!$C:$C,$A10)="","",INDEX(Korpus!$C:$C,$A10))</f>
        <v xml:space="preserve">5. Pentingnya Perlindungan Data Pribadi</v>
      </c>
      <c r="F10" s="11" t="str">
        <f>IF(INDEX(Korpus!$F:$F,$A10)="","",INDEX(Korpus!$F:$F,$A10))</f>
        <v xml:space="preserve">Hak privasi juga merupakan kemampuan individu untuk menentukan siapa yang memegang informasi tentang mereka dan bagaimana informasi tersebut digunakan.</v>
      </c>
      <c r="G10" s="12"/>
      <c r="H10" s="12"/>
      <c r="I10" s="12"/>
      <c r="J10" s="12"/>
      <c r="K10" s="12"/>
      <c r="L10" s="12"/>
      <c r="M10" s="13"/>
      <c r="N10" s="13"/>
      <c r="O10" s="13"/>
      <c r="P10" s="13"/>
      <c r="Q10" s="13"/>
      <c r="R10" s="13"/>
      <c r="S10" s="14"/>
      <c r="T10" s="14"/>
      <c r="U10" s="14"/>
      <c r="V10" s="14"/>
      <c r="W10" s="14"/>
      <c r="X10" s="14"/>
      <c r="Y10" s="10" t="str">
        <f t="shared" ref="Y10:Y73" si="15">IF(OR(M10="",S10=""),"",IF(M10=S10,"Sama","Beda"))</f>
        <v/>
      </c>
      <c r="Z10" s="10" t="str">
        <f t="shared" ref="Z10:Z73" si="16">IF(OR(N10="",T10=""),"",IF(N10=T10,"Sama","Beda"))</f>
        <v/>
      </c>
      <c r="AA10" s="10" t="str">
        <f t="shared" ref="AA10:AA73" si="17">IF(OR(O10="",U10=""),"",IF(O10=U10,"Sama","Beda"))</f>
        <v/>
      </c>
      <c r="AB10" s="10" t="str">
        <f t="shared" ref="AB10:AB73" si="18">IF(OR(P10="",V10=""),"",IF(P10=V10,"Sama","Beda"))</f>
        <v/>
      </c>
      <c r="AC10" s="10" t="str">
        <f t="shared" ref="AC10:AC73" si="19">IF(OR(Q10="",W10=""),"",IF(Q10=W10,"Sama","Beda"))</f>
        <v/>
      </c>
      <c r="AD10" s="10" t="str">
        <f t="shared" ref="AD10:AD73" si="20">IF(OR(R10="",X10=""),"",IF(R10=X10,"Sama","Beda"))</f>
        <v/>
      </c>
      <c r="AE10" s="10">
        <f t="shared" ref="AE10:AE73" si="21">COUNTIF(Y10:AD10,"Beda")</f>
        <v>0</v>
      </c>
      <c r="AF10" s="15"/>
      <c r="AG10" s="15"/>
      <c r="AH10" s="15"/>
      <c r="AI10" s="15"/>
      <c r="AJ10" s="15"/>
      <c r="AK10" s="15"/>
      <c r="AL10" s="16" t="str">
        <f t="shared" ref="AL10:AL73" si="22">IF(AF10&lt;&gt;"",AF10,IF(AND(M10&lt;&gt;"",M10=S10),M10,""))</f>
        <v/>
      </c>
      <c r="AM10" s="16" t="str">
        <f t="shared" ref="AM10:AM73" si="23">IF(AG10&lt;&gt;"",AG10,IF(AND(N10&lt;&gt;"",N10=T10),N10,""))</f>
        <v/>
      </c>
      <c r="AN10" s="16" t="str">
        <f t="shared" ref="AN10:AN73" si="24">IF(AH10&lt;&gt;"",AH10,IF(AND(O10&lt;&gt;"",O10=U10),O10,""))</f>
        <v/>
      </c>
      <c r="AO10" s="16" t="str">
        <f t="shared" ref="AO10:AO73" si="25">IF(AI10&lt;&gt;"",AI10,IF(AND(P10&lt;&gt;"",P10=V10),P10,""))</f>
        <v/>
      </c>
      <c r="AP10" s="16" t="str">
        <f t="shared" ref="AP10:AP73" si="26">IF(AJ10&lt;&gt;"",AJ10,IF(AND(Q10&lt;&gt;"",Q10=W10),Q10,""))</f>
        <v/>
      </c>
      <c r="AQ10" s="16" t="str">
        <f t="shared" ref="AQ10:AQ73" si="27">IF(AK10&lt;&gt;"",AK10,IF(AND(R10&lt;&gt;"",R10=X10),R10,""))</f>
        <v/>
      </c>
      <c r="AR10" s="17"/>
      <c r="AS10" s="10" t="str">
        <f t="shared" ref="AS10:AS73" si="28">IF(COUNTA(M10:R10)+COUNTA(S10:X10)&lt;12,"Menunggu coder",IF(AE10=0,"Sepakat",IF(SUMPRODUCT((Y10:AD10="Beda")*(AF10:AK10=""))=0,"Selesai adjudikasi","Perlu adjudikasi")))</f>
        <v xml:space="preserve">Menunggu coder</v>
      </c>
      <c r="AT10" s="11" t="str">
        <f t="shared" ref="AT10:AT73" si="29">IF(COUNTIF(AL10:AQ10,"?*")&lt;6,"",IF(IF(AND(LEFT(AM10,2)="R0",LEFT(AQ10,2)&lt;&gt;"K5"),"R0 harus K5; ","")&amp;IF(AND(LEFT(AM10,2)="R1",LEFT(AQ10,2)="K3"),"R1 tidak boleh K3 (fungsional); ","")&amp;IF(AND(LEFT(AM10,2)="R2",LEFT(AQ10,2)="K5"),"R2 tidak boleh K5; ","")&amp;IF(AND(LEFT(AM10,2)="R2",OR(LEFT(AL10,2)="S6",LEFT(AL10,2)="S7",LEFT(AL10,2)="S8")),"R2 tidak boleh S6/S7/S8; ","")&amp;IF(AND(LEFT(AM10,2)="R2",OR(LEFT(AN10,3)="T02",LEFT(AO10,2)="P8")),"T02 atau P8 tidak boleh R2; ","")&amp;IF(AND(LEFT(AN10,3)="T01",LEFT(AO10,2)&lt;&gt;"P6"),"T01 biasanya P6 (periksa); ","")&amp;IF(AND(LEFT(AO10,2)="P1",LEFT(AQ10,2)&lt;&gt;"K4"),"P1 biasanya K4 (periksa); ","")="","OK",IF(AND(LEFT(AM10,2)="R0",LEFT(AQ10,2)&lt;&gt;"K5"),"R0 harus K5; ","")&amp;IF(AND(LEFT(AM10,2)="R1",LEFT(AQ10,2)="K3"),"R1 tidak boleh K3 (fungsional); ","")&amp;IF(AND(LEFT(AM10,2)="R2",LEFT(AQ10,2)="K5"),"R2 tidak boleh K5; ","")&amp;IF(AND(LEFT(AM10,2)="R2",OR(LEFT(AL10,2)="S6",LEFT(AL10,2)="S7",LEFT(AL10,2)="S8")),"R2 tidak boleh S6/S7/S8; ","")&amp;IF(AND(LEFT(AM10,2)="R2",OR(LEFT(AN10,3)="T02",LEFT(AO10,2)="P8")),"T02 atau P8 tidak boleh R2; ","")&amp;IF(AND(LEFT(AN10,3)="T01",LEFT(AO10,2)&lt;&gt;"P6"),"T01 biasanya P6 (periksa); ","")&amp;IF(AND(LEFT(AO10,2)="P1",LEFT(AQ10,2)&lt;&gt;"K4"),"P1 biasanya K4 (periksa); ","")))</f>
        <v/>
      </c>
    </row>
    <row r="11" ht="48" customHeight="1">
      <c r="A11" s="10">
        <v>8</v>
      </c>
      <c r="B11" s="11" t="str">
        <f>IF(INDEX(Korpus!$A:$A,$A11)="","",INDEX(Korpus!$A:$A,$A11))</f>
        <v>2019MHN201</v>
      </c>
      <c r="C11" s="11" t="str">
        <f>TRIM(INDEX(Korpus!$D:$D,$A11)&amp;" "&amp;INDEX(Korpus!$E:$E,$A11))</f>
        <v xml:space="preserve">Paragraf 4 Kalimat 1</v>
      </c>
      <c r="D11" s="11" t="str">
        <f>IF(INDEX(Korpus!$B:$B,$A11)="","",INDEX(Korpus!$B:$B,$A11))</f>
        <v xml:space="preserve">C. Pembahasan</v>
      </c>
      <c r="E11" s="11" t="str">
        <f>IF(INDEX(Korpus!$C:$C,$A11)="","",INDEX(Korpus!$C:$C,$A11))</f>
        <v xml:space="preserve">5. Pentingnya Perlindungan Data Pribadi</v>
      </c>
      <c r="F11" s="11" t="str">
        <f>IF(INDEX(Korpus!$F:$F,$A11)="","",INDEX(Korpus!$F:$F,$A11))</f>
        <v xml:space="preserve">Konsep perlindungan data mengisyaratkan bahwa individu memiliki hak untuk menentukan apakah mereka akan membagi atau bertukar data pribadi mereka atau tidak.</v>
      </c>
      <c r="G11" s="12"/>
      <c r="H11" s="12"/>
      <c r="I11" s="12"/>
      <c r="J11" s="12"/>
      <c r="K11" s="12"/>
      <c r="L11" s="12"/>
      <c r="M11" s="13"/>
      <c r="N11" s="13"/>
      <c r="O11" s="13"/>
      <c r="P11" s="13"/>
      <c r="Q11" s="13"/>
      <c r="R11" s="13"/>
      <c r="S11" s="14"/>
      <c r="T11" s="14"/>
      <c r="U11" s="14"/>
      <c r="V11" s="14"/>
      <c r="W11" s="14"/>
      <c r="X11" s="14"/>
      <c r="Y11" s="10" t="str">
        <f t="shared" si="15"/>
        <v/>
      </c>
      <c r="Z11" s="10" t="str">
        <f t="shared" si="16"/>
        <v/>
      </c>
      <c r="AA11" s="10" t="str">
        <f t="shared" si="17"/>
        <v/>
      </c>
      <c r="AB11" s="10" t="str">
        <f t="shared" si="18"/>
        <v/>
      </c>
      <c r="AC11" s="10" t="str">
        <f t="shared" si="19"/>
        <v/>
      </c>
      <c r="AD11" s="10" t="str">
        <f t="shared" si="20"/>
        <v/>
      </c>
      <c r="AE11" s="10">
        <f t="shared" si="21"/>
        <v>0</v>
      </c>
      <c r="AF11" s="15"/>
      <c r="AG11" s="15"/>
      <c r="AH11" s="15"/>
      <c r="AI11" s="15"/>
      <c r="AJ11" s="15"/>
      <c r="AK11" s="15"/>
      <c r="AL11" s="16" t="str">
        <f t="shared" si="22"/>
        <v/>
      </c>
      <c r="AM11" s="16" t="str">
        <f t="shared" si="23"/>
        <v/>
      </c>
      <c r="AN11" s="16" t="str">
        <f t="shared" si="24"/>
        <v/>
      </c>
      <c r="AO11" s="16" t="str">
        <f t="shared" si="25"/>
        <v/>
      </c>
      <c r="AP11" s="16" t="str">
        <f t="shared" si="26"/>
        <v/>
      </c>
      <c r="AQ11" s="16" t="str">
        <f t="shared" si="27"/>
        <v/>
      </c>
      <c r="AR11" s="17"/>
      <c r="AS11" s="10" t="str">
        <f t="shared" si="28"/>
        <v xml:space="preserve">Menunggu coder</v>
      </c>
      <c r="AT11" s="11" t="str">
        <f t="shared" si="29"/>
        <v/>
      </c>
    </row>
    <row r="12" ht="48" customHeight="1">
      <c r="A12" s="10">
        <v>9</v>
      </c>
      <c r="B12" s="11" t="str">
        <f>IF(INDEX(Korpus!$A:$A,$A12)="","",INDEX(Korpus!$A:$A,$A12))</f>
        <v>2019MHN201</v>
      </c>
      <c r="C12" s="11" t="str">
        <f>TRIM(INDEX(Korpus!$D:$D,$A12)&amp;" "&amp;INDEX(Korpus!$E:$E,$A12))</f>
        <v xml:space="preserve">Paragraf 4 Kalimat 2</v>
      </c>
      <c r="D12" s="11" t="str">
        <f>IF(INDEX(Korpus!$B:$B,$A12)="","",INDEX(Korpus!$B:$B,$A12))</f>
        <v xml:space="preserve">C. Pembahasan</v>
      </c>
      <c r="E12" s="11" t="str">
        <f>IF(INDEX(Korpus!$C:$C,$A12)="","",INDEX(Korpus!$C:$C,$A12))</f>
        <v xml:space="preserve">5. Pentingnya Perlindungan Data Pribadi</v>
      </c>
      <c r="F12" s="11" t="str">
        <f>IF(INDEX(Korpus!$F:$F,$A12)="","",INDEX(Korpus!$F:$F,$A12))</f>
        <v xml:space="preserve">Selain itu, individu juga memiliki hak untuk menentukan syarat-syarat pelaksanaan pemindahan data pribadi tersebut.</v>
      </c>
      <c r="G12" s="12"/>
      <c r="H12" s="12"/>
      <c r="I12" s="12"/>
      <c r="J12" s="12"/>
      <c r="K12" s="12"/>
      <c r="L12" s="12"/>
      <c r="M12" s="13"/>
      <c r="N12" s="13"/>
      <c r="O12" s="13"/>
      <c r="P12" s="13"/>
      <c r="Q12" s="13"/>
      <c r="R12" s="13"/>
      <c r="S12" s="14"/>
      <c r="T12" s="14"/>
      <c r="U12" s="14"/>
      <c r="V12" s="14"/>
      <c r="W12" s="14"/>
      <c r="X12" s="14"/>
      <c r="Y12" s="10" t="str">
        <f t="shared" si="15"/>
        <v/>
      </c>
      <c r="Z12" s="10" t="str">
        <f t="shared" si="16"/>
        <v/>
      </c>
      <c r="AA12" s="10" t="str">
        <f t="shared" si="17"/>
        <v/>
      </c>
      <c r="AB12" s="10" t="str">
        <f t="shared" si="18"/>
        <v/>
      </c>
      <c r="AC12" s="10" t="str">
        <f t="shared" si="19"/>
        <v/>
      </c>
      <c r="AD12" s="10" t="str">
        <f t="shared" si="20"/>
        <v/>
      </c>
      <c r="AE12" s="10">
        <f t="shared" si="21"/>
        <v>0</v>
      </c>
      <c r="AF12" s="15"/>
      <c r="AG12" s="15"/>
      <c r="AH12" s="15"/>
      <c r="AI12" s="15"/>
      <c r="AJ12" s="15"/>
      <c r="AK12" s="15"/>
      <c r="AL12" s="16" t="str">
        <f t="shared" si="22"/>
        <v/>
      </c>
      <c r="AM12" s="16" t="str">
        <f t="shared" si="23"/>
        <v/>
      </c>
      <c r="AN12" s="16" t="str">
        <f t="shared" si="24"/>
        <v/>
      </c>
      <c r="AO12" s="16" t="str">
        <f t="shared" si="25"/>
        <v/>
      </c>
      <c r="AP12" s="16" t="str">
        <f t="shared" si="26"/>
        <v/>
      </c>
      <c r="AQ12" s="16" t="str">
        <f t="shared" si="27"/>
        <v/>
      </c>
      <c r="AR12" s="17"/>
      <c r="AS12" s="10" t="str">
        <f t="shared" si="28"/>
        <v xml:space="preserve">Menunggu coder</v>
      </c>
      <c r="AT12" s="11" t="str">
        <f t="shared" si="29"/>
        <v/>
      </c>
    </row>
    <row r="13" ht="48" customHeight="1">
      <c r="A13" s="10">
        <v>10</v>
      </c>
      <c r="B13" s="11" t="str">
        <f>IF(INDEX(Korpus!$A:$A,$A13)="","",INDEX(Korpus!$A:$A,$A13))</f>
        <v>2019MHN201</v>
      </c>
      <c r="C13" s="11" t="str">
        <f>TRIM(INDEX(Korpus!$D:$D,$A13)&amp;" "&amp;INDEX(Korpus!$E:$E,$A13))</f>
        <v xml:space="preserve">Paragraf 4 Kalimat 3</v>
      </c>
      <c r="D13" s="11" t="str">
        <f>IF(INDEX(Korpus!$B:$B,$A13)="","",INDEX(Korpus!$B:$B,$A13))</f>
        <v xml:space="preserve">C. Pembahasan</v>
      </c>
      <c r="E13" s="11" t="str">
        <f>IF(INDEX(Korpus!$C:$C,$A13)="","",INDEX(Korpus!$C:$C,$A13))</f>
        <v xml:space="preserve">5. Pentingnya Perlindungan Data Pribadi</v>
      </c>
      <c r="F13" s="11" t="str">
        <f>IF(INDEX(Korpus!$F:$F,$A13)="","",INDEX(Korpus!$F:$F,$A13))</f>
        <v xml:space="preserve">Lebih jauh, perlindungan privasi.</v>
      </c>
      <c r="G13" s="12"/>
      <c r="H13" s="12"/>
      <c r="I13" s="12"/>
      <c r="J13" s="12"/>
      <c r="K13" s="12"/>
      <c r="L13" s="12"/>
      <c r="M13" s="13"/>
      <c r="N13" s="13"/>
      <c r="O13" s="13"/>
      <c r="P13" s="13"/>
      <c r="Q13" s="13"/>
      <c r="R13" s="13"/>
      <c r="S13" s="14"/>
      <c r="T13" s="14"/>
      <c r="U13" s="14"/>
      <c r="V13" s="14"/>
      <c r="W13" s="14"/>
      <c r="X13" s="14"/>
      <c r="Y13" s="10" t="str">
        <f t="shared" si="15"/>
        <v/>
      </c>
      <c r="Z13" s="10" t="str">
        <f t="shared" si="16"/>
        <v/>
      </c>
      <c r="AA13" s="10" t="str">
        <f t="shared" si="17"/>
        <v/>
      </c>
      <c r="AB13" s="10" t="str">
        <f t="shared" si="18"/>
        <v/>
      </c>
      <c r="AC13" s="10" t="str">
        <f t="shared" si="19"/>
        <v/>
      </c>
      <c r="AD13" s="10" t="str">
        <f t="shared" si="20"/>
        <v/>
      </c>
      <c r="AE13" s="10">
        <f t="shared" si="21"/>
        <v>0</v>
      </c>
      <c r="AF13" s="15"/>
      <c r="AG13" s="15"/>
      <c r="AH13" s="15"/>
      <c r="AI13" s="15"/>
      <c r="AJ13" s="15"/>
      <c r="AK13" s="15"/>
      <c r="AL13" s="16" t="str">
        <f t="shared" si="22"/>
        <v/>
      </c>
      <c r="AM13" s="16" t="str">
        <f t="shared" si="23"/>
        <v/>
      </c>
      <c r="AN13" s="16" t="str">
        <f t="shared" si="24"/>
        <v/>
      </c>
      <c r="AO13" s="16" t="str">
        <f t="shared" si="25"/>
        <v/>
      </c>
      <c r="AP13" s="16" t="str">
        <f t="shared" si="26"/>
        <v/>
      </c>
      <c r="AQ13" s="16" t="str">
        <f t="shared" si="27"/>
        <v/>
      </c>
      <c r="AR13" s="17"/>
      <c r="AS13" s="10" t="str">
        <f t="shared" si="28"/>
        <v xml:space="preserve">Menunggu coder</v>
      </c>
      <c r="AT13" s="11" t="str">
        <f t="shared" si="29"/>
        <v/>
      </c>
    </row>
    <row r="14" ht="48" customHeight="1">
      <c r="A14" s="10">
        <v>11</v>
      </c>
      <c r="B14" s="11" t="str">
        <f>IF(INDEX(Korpus!$A:$A,$A14)="","",INDEX(Korpus!$A:$A,$A14))</f>
        <v>2019MHN201</v>
      </c>
      <c r="C14" s="11" t="str">
        <f>TRIM(INDEX(Korpus!$D:$D,$A14)&amp;" "&amp;INDEX(Korpus!$E:$E,$A14))</f>
        <v xml:space="preserve">Paragraf 4 Kalimat 4</v>
      </c>
      <c r="D14" s="11" t="str">
        <f>IF(INDEX(Korpus!$B:$B,$A14)="","",INDEX(Korpus!$B:$B,$A14))</f>
        <v xml:space="preserve">C. Pembahasan</v>
      </c>
      <c r="E14" s="11" t="str">
        <f>IF(INDEX(Korpus!$C:$C,$A14)="","",INDEX(Korpus!$C:$C,$A14))</f>
        <v xml:space="preserve">5. Pentingnya Perlindungan Data Pribadi</v>
      </c>
      <c r="F14" s="11" t="str">
        <f>IF(INDEX(Korpus!$F:$F,$A14)="","",INDEX(Korpus!$F:$F,$A14))</f>
        <v xml:space="preserve">Hak privasi telah berkembang sehingga dapat digunakan untuk merumuskan hak untuk melindungi data pribadi.</v>
      </c>
      <c r="G14" s="12"/>
      <c r="H14" s="12"/>
      <c r="I14" s="12"/>
      <c r="J14" s="12"/>
      <c r="K14" s="12"/>
      <c r="L14" s="12"/>
      <c r="M14" s="13"/>
      <c r="N14" s="13"/>
      <c r="O14" s="13"/>
      <c r="P14" s="13"/>
      <c r="Q14" s="13"/>
      <c r="R14" s="13"/>
      <c r="S14" s="14"/>
      <c r="T14" s="14"/>
      <c r="U14" s="14"/>
      <c r="V14" s="14"/>
      <c r="W14" s="14"/>
      <c r="X14" s="14"/>
      <c r="Y14" s="10" t="str">
        <f t="shared" si="15"/>
        <v/>
      </c>
      <c r="Z14" s="10" t="str">
        <f t="shared" si="16"/>
        <v/>
      </c>
      <c r="AA14" s="10" t="str">
        <f t="shared" si="17"/>
        <v/>
      </c>
      <c r="AB14" s="10" t="str">
        <f t="shared" si="18"/>
        <v/>
      </c>
      <c r="AC14" s="10" t="str">
        <f t="shared" si="19"/>
        <v/>
      </c>
      <c r="AD14" s="10" t="str">
        <f t="shared" si="20"/>
        <v/>
      </c>
      <c r="AE14" s="10">
        <f t="shared" si="21"/>
        <v>0</v>
      </c>
      <c r="AF14" s="15"/>
      <c r="AG14" s="15"/>
      <c r="AH14" s="15"/>
      <c r="AI14" s="15"/>
      <c r="AJ14" s="15"/>
      <c r="AK14" s="15"/>
      <c r="AL14" s="16" t="str">
        <f t="shared" si="22"/>
        <v/>
      </c>
      <c r="AM14" s="16" t="str">
        <f t="shared" si="23"/>
        <v/>
      </c>
      <c r="AN14" s="16" t="str">
        <f t="shared" si="24"/>
        <v/>
      </c>
      <c r="AO14" s="16" t="str">
        <f t="shared" si="25"/>
        <v/>
      </c>
      <c r="AP14" s="16" t="str">
        <f t="shared" si="26"/>
        <v/>
      </c>
      <c r="AQ14" s="16" t="str">
        <f t="shared" si="27"/>
        <v/>
      </c>
      <c r="AR14" s="17"/>
      <c r="AS14" s="10" t="str">
        <f t="shared" si="28"/>
        <v xml:space="preserve">Menunggu coder</v>
      </c>
      <c r="AT14" s="11" t="str">
        <f t="shared" si="29"/>
        <v/>
      </c>
    </row>
    <row r="15" ht="48" customHeight="1">
      <c r="A15" s="10">
        <v>12</v>
      </c>
      <c r="B15" s="11" t="str">
        <f>IF(INDEX(Korpus!$A:$A,$A15)="","",INDEX(Korpus!$A:$A,$A15))</f>
        <v>2019MHN201</v>
      </c>
      <c r="C15" s="11" t="str">
        <f>TRIM(INDEX(Korpus!$D:$D,$A15)&amp;" "&amp;INDEX(Korpus!$E:$E,$A15))</f>
        <v xml:space="preserve">Paragraf 5 Kalimat 1</v>
      </c>
      <c r="D15" s="11" t="str">
        <f>IF(INDEX(Korpus!$B:$B,$A15)="","",INDEX(Korpus!$B:$B,$A15))</f>
        <v xml:space="preserve">C. Pembahasan</v>
      </c>
      <c r="E15" s="11" t="str">
        <f>IF(INDEX(Korpus!$C:$C,$A15)="","",INDEX(Korpus!$C:$C,$A15))</f>
        <v xml:space="preserve">5. Pentingnya Perlindungan Data Pribadi</v>
      </c>
      <c r="F15" s="11" t="str">
        <f>IF(INDEX(Korpus!$F:$F,$A15)="","",INDEX(Korpus!$F:$F,$A15))</f>
        <v xml:space="preserve">Perlindungan data pribadi telah diatur di dalam UUD NKRI Tahun 1945.</v>
      </c>
      <c r="G15" s="12"/>
      <c r="H15" s="12"/>
      <c r="I15" s="12"/>
      <c r="J15" s="12"/>
      <c r="K15" s="12"/>
      <c r="L15" s="12"/>
      <c r="M15" s="13"/>
      <c r="N15" s="13"/>
      <c r="O15" s="13"/>
      <c r="P15" s="13"/>
      <c r="Q15" s="13"/>
      <c r="R15" s="13"/>
      <c r="S15" s="14"/>
      <c r="T15" s="14"/>
      <c r="U15" s="14"/>
      <c r="V15" s="14"/>
      <c r="W15" s="14"/>
      <c r="X15" s="14"/>
      <c r="Y15" s="10" t="str">
        <f t="shared" si="15"/>
        <v/>
      </c>
      <c r="Z15" s="10" t="str">
        <f t="shared" si="16"/>
        <v/>
      </c>
      <c r="AA15" s="10" t="str">
        <f t="shared" si="17"/>
        <v/>
      </c>
      <c r="AB15" s="10" t="str">
        <f t="shared" si="18"/>
        <v/>
      </c>
      <c r="AC15" s="10" t="str">
        <f t="shared" si="19"/>
        <v/>
      </c>
      <c r="AD15" s="10" t="str">
        <f t="shared" si="20"/>
        <v/>
      </c>
      <c r="AE15" s="10">
        <f t="shared" si="21"/>
        <v>0</v>
      </c>
      <c r="AF15" s="15"/>
      <c r="AG15" s="15"/>
      <c r="AH15" s="15"/>
      <c r="AI15" s="15"/>
      <c r="AJ15" s="15"/>
      <c r="AK15" s="15"/>
      <c r="AL15" s="16" t="str">
        <f t="shared" si="22"/>
        <v/>
      </c>
      <c r="AM15" s="16" t="str">
        <f t="shared" si="23"/>
        <v/>
      </c>
      <c r="AN15" s="16" t="str">
        <f t="shared" si="24"/>
        <v/>
      </c>
      <c r="AO15" s="16" t="str">
        <f t="shared" si="25"/>
        <v/>
      </c>
      <c r="AP15" s="16" t="str">
        <f t="shared" si="26"/>
        <v/>
      </c>
      <c r="AQ15" s="16" t="str">
        <f t="shared" si="27"/>
        <v/>
      </c>
      <c r="AR15" s="17"/>
      <c r="AS15" s="10" t="str">
        <f t="shared" si="28"/>
        <v xml:space="preserve">Menunggu coder</v>
      </c>
      <c r="AT15" s="11" t="str">
        <f t="shared" si="29"/>
        <v/>
      </c>
    </row>
    <row r="16" ht="48" customHeight="1">
      <c r="A16" s="10">
        <v>13</v>
      </c>
      <c r="B16" s="11" t="str">
        <f>IF(INDEX(Korpus!$A:$A,$A16)="","",INDEX(Korpus!$A:$A,$A16))</f>
        <v>2019MHN201</v>
      </c>
      <c r="C16" s="11" t="str">
        <f>TRIM(INDEX(Korpus!$D:$D,$A16)&amp;" "&amp;INDEX(Korpus!$E:$E,$A16))</f>
        <v xml:space="preserve">Paragraf 5 Kalimat 2</v>
      </c>
      <c r="D16" s="11" t="str">
        <f>IF(INDEX(Korpus!$B:$B,$A16)="","",INDEX(Korpus!$B:$B,$A16))</f>
        <v xml:space="preserve">C. Pembahasan</v>
      </c>
      <c r="E16" s="11" t="str">
        <f>IF(INDEX(Korpus!$C:$C,$A16)="","",INDEX(Korpus!$C:$C,$A16))</f>
        <v xml:space="preserve">5. Pentingnya Perlindungan Data Pribadi</v>
      </c>
      <c r="F16" s="11" t="str">
        <f>IF(INDEX(Korpus!$F:$F,$A16)="","",INDEX(Korpus!$F:$F,$A16))</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G16" s="12"/>
      <c r="H16" s="12"/>
      <c r="I16" s="12"/>
      <c r="J16" s="12"/>
      <c r="K16" s="12"/>
      <c r="L16" s="12"/>
      <c r="M16" s="13"/>
      <c r="N16" s="13"/>
      <c r="O16" s="13"/>
      <c r="P16" s="13"/>
      <c r="Q16" s="13"/>
      <c r="R16" s="13"/>
      <c r="S16" s="14"/>
      <c r="T16" s="14"/>
      <c r="U16" s="14"/>
      <c r="V16" s="14"/>
      <c r="W16" s="14"/>
      <c r="X16" s="14"/>
      <c r="Y16" s="10" t="str">
        <f t="shared" si="15"/>
        <v/>
      </c>
      <c r="Z16" s="10" t="str">
        <f t="shared" si="16"/>
        <v/>
      </c>
      <c r="AA16" s="10" t="str">
        <f t="shared" si="17"/>
        <v/>
      </c>
      <c r="AB16" s="10" t="str">
        <f t="shared" si="18"/>
        <v/>
      </c>
      <c r="AC16" s="10" t="str">
        <f t="shared" si="19"/>
        <v/>
      </c>
      <c r="AD16" s="10" t="str">
        <f t="shared" si="20"/>
        <v/>
      </c>
      <c r="AE16" s="10">
        <f t="shared" si="21"/>
        <v>0</v>
      </c>
      <c r="AF16" s="15"/>
      <c r="AG16" s="15"/>
      <c r="AH16" s="15"/>
      <c r="AI16" s="15"/>
      <c r="AJ16" s="15"/>
      <c r="AK16" s="15"/>
      <c r="AL16" s="16" t="str">
        <f t="shared" si="22"/>
        <v/>
      </c>
      <c r="AM16" s="16" t="str">
        <f t="shared" si="23"/>
        <v/>
      </c>
      <c r="AN16" s="16" t="str">
        <f t="shared" si="24"/>
        <v/>
      </c>
      <c r="AO16" s="16" t="str">
        <f t="shared" si="25"/>
        <v/>
      </c>
      <c r="AP16" s="16" t="str">
        <f t="shared" si="26"/>
        <v/>
      </c>
      <c r="AQ16" s="16" t="str">
        <f t="shared" si="27"/>
        <v/>
      </c>
      <c r="AR16" s="17"/>
      <c r="AS16" s="10" t="str">
        <f t="shared" si="28"/>
        <v xml:space="preserve">Menunggu coder</v>
      </c>
      <c r="AT16" s="11" t="str">
        <f t="shared" si="29"/>
        <v/>
      </c>
    </row>
    <row r="17" ht="48" customHeight="1">
      <c r="A17" s="10">
        <v>14</v>
      </c>
      <c r="B17" s="11" t="str">
        <f>IF(INDEX(Korpus!$A:$A,$A17)="","",INDEX(Korpus!$A:$A,$A17))</f>
        <v>2019MHN201</v>
      </c>
      <c r="C17" s="11" t="str">
        <f>TRIM(INDEX(Korpus!$D:$D,$A17)&amp;" "&amp;INDEX(Korpus!$E:$E,$A17))</f>
        <v xml:space="preserve">Paragraf 6 Kalimat 1</v>
      </c>
      <c r="D17" s="11" t="str">
        <f>IF(INDEX(Korpus!$B:$B,$A17)="","",INDEX(Korpus!$B:$B,$A17))</f>
        <v xml:space="preserve">C. Pembahasan</v>
      </c>
      <c r="E17" s="11" t="str">
        <f>IF(INDEX(Korpus!$C:$C,$A17)="","",INDEX(Korpus!$C:$C,$A17))</f>
        <v xml:space="preserve">5. Pentingnya Perlindungan Data Pribadi</v>
      </c>
      <c r="F17" s="11" t="str">
        <f>IF(INDEX(Korpus!$F:$F,$A17)="","",INDEX(Korpus!$F:$F,$A17))</f>
        <v xml:space="preserve">Selain itu beberapa peraturan nasional secara umum telah mengatur untuk memberikan perlindungan data pribadi antara lain:</v>
      </c>
      <c r="G17" s="12"/>
      <c r="H17" s="12"/>
      <c r="I17" s="12"/>
      <c r="J17" s="12"/>
      <c r="K17" s="12"/>
      <c r="L17" s="12"/>
      <c r="M17" s="13"/>
      <c r="N17" s="13"/>
      <c r="O17" s="13"/>
      <c r="P17" s="13"/>
      <c r="Q17" s="13"/>
      <c r="R17" s="13"/>
      <c r="S17" s="14"/>
      <c r="T17" s="14"/>
      <c r="U17" s="14"/>
      <c r="V17" s="14"/>
      <c r="W17" s="14"/>
      <c r="X17" s="14"/>
      <c r="Y17" s="10" t="str">
        <f t="shared" si="15"/>
        <v/>
      </c>
      <c r="Z17" s="10" t="str">
        <f t="shared" si="16"/>
        <v/>
      </c>
      <c r="AA17" s="10" t="str">
        <f t="shared" si="17"/>
        <v/>
      </c>
      <c r="AB17" s="10" t="str">
        <f t="shared" si="18"/>
        <v/>
      </c>
      <c r="AC17" s="10" t="str">
        <f t="shared" si="19"/>
        <v/>
      </c>
      <c r="AD17" s="10" t="str">
        <f t="shared" si="20"/>
        <v/>
      </c>
      <c r="AE17" s="10">
        <f t="shared" si="21"/>
        <v>0</v>
      </c>
      <c r="AF17" s="15"/>
      <c r="AG17" s="15"/>
      <c r="AH17" s="15"/>
      <c r="AI17" s="15"/>
      <c r="AJ17" s="15"/>
      <c r="AK17" s="15"/>
      <c r="AL17" s="16" t="str">
        <f t="shared" si="22"/>
        <v/>
      </c>
      <c r="AM17" s="16" t="str">
        <f t="shared" si="23"/>
        <v/>
      </c>
      <c r="AN17" s="16" t="str">
        <f t="shared" si="24"/>
        <v/>
      </c>
      <c r="AO17" s="16" t="str">
        <f t="shared" si="25"/>
        <v/>
      </c>
      <c r="AP17" s="16" t="str">
        <f t="shared" si="26"/>
        <v/>
      </c>
      <c r="AQ17" s="16" t="str">
        <f t="shared" si="27"/>
        <v/>
      </c>
      <c r="AR17" s="17"/>
      <c r="AS17" s="10" t="str">
        <f t="shared" si="28"/>
        <v xml:space="preserve">Menunggu coder</v>
      </c>
      <c r="AT17" s="11" t="str">
        <f t="shared" si="29"/>
        <v/>
      </c>
    </row>
    <row r="18" ht="48" customHeight="1">
      <c r="A18" s="10">
        <v>15</v>
      </c>
      <c r="B18" s="11" t="str">
        <f>IF(INDEX(Korpus!$A:$A,$A18)="","",INDEX(Korpus!$A:$A,$A18))</f>
        <v>2019MHN201</v>
      </c>
      <c r="C18" s="11" t="str">
        <f>TRIM(INDEX(Korpus!$D:$D,$A18)&amp;" "&amp;INDEX(Korpus!$E:$E,$A18))</f>
        <v xml:space="preserve">Paragraf 6 Kalimat 2</v>
      </c>
      <c r="D18" s="11" t="str">
        <f>IF(INDEX(Korpus!$B:$B,$A18)="","",INDEX(Korpus!$B:$B,$A18))</f>
        <v xml:space="preserve">C. Pembahasan</v>
      </c>
      <c r="E18" s="11" t="str">
        <f>IF(INDEX(Korpus!$C:$C,$A18)="","",INDEX(Korpus!$C:$C,$A18))</f>
        <v xml:space="preserve">5. Pentingnya Perlindungan Data Pribadi</v>
      </c>
      <c r="F18" s="11" t="str">
        <f>IF(INDEX(Korpus!$F:$F,$A18)="","",INDEX(Korpus!$F:$F,$A18))</f>
        <v xml:space="preserve">1) Undang-Undang Nomor 19 Tahun 2016 Tentang Perubahan Atas Undang-Undang Nomor 11 Tahun 2008 Tentang Informasi dan Transaksi Elektronik</v>
      </c>
      <c r="G18" s="12" t="s">
        <v>82</v>
      </c>
      <c r="H18" s="12" t="s">
        <v>88</v>
      </c>
      <c r="I18" s="12" t="s">
        <v>84</v>
      </c>
      <c r="J18" s="12" t="s">
        <v>85</v>
      </c>
      <c r="K18" s="12" t="s">
        <v>86</v>
      </c>
      <c r="L18" s="12" t="s">
        <v>87</v>
      </c>
      <c r="M18" s="13"/>
      <c r="N18" s="13"/>
      <c r="O18" s="13"/>
      <c r="P18" s="13"/>
      <c r="Q18" s="13"/>
      <c r="R18" s="13"/>
      <c r="S18" s="14"/>
      <c r="T18" s="14"/>
      <c r="U18" s="14"/>
      <c r="V18" s="14"/>
      <c r="W18" s="14"/>
      <c r="X18" s="14"/>
      <c r="Y18" s="10" t="str">
        <f t="shared" si="15"/>
        <v/>
      </c>
      <c r="Z18" s="10" t="str">
        <f t="shared" si="16"/>
        <v/>
      </c>
      <c r="AA18" s="10" t="str">
        <f t="shared" si="17"/>
        <v/>
      </c>
      <c r="AB18" s="10" t="str">
        <f t="shared" si="18"/>
        <v/>
      </c>
      <c r="AC18" s="10" t="str">
        <f t="shared" si="19"/>
        <v/>
      </c>
      <c r="AD18" s="10" t="str">
        <f t="shared" si="20"/>
        <v/>
      </c>
      <c r="AE18" s="10">
        <f t="shared" si="21"/>
        <v>0</v>
      </c>
      <c r="AF18" s="15"/>
      <c r="AG18" s="15"/>
      <c r="AH18" s="15"/>
      <c r="AI18" s="15"/>
      <c r="AJ18" s="15"/>
      <c r="AK18" s="15"/>
      <c r="AL18" s="16" t="str">
        <f t="shared" si="22"/>
        <v/>
      </c>
      <c r="AM18" s="16" t="str">
        <f t="shared" si="23"/>
        <v/>
      </c>
      <c r="AN18" s="16" t="str">
        <f t="shared" si="24"/>
        <v/>
      </c>
      <c r="AO18" s="16" t="str">
        <f t="shared" si="25"/>
        <v/>
      </c>
      <c r="AP18" s="16" t="str">
        <f t="shared" si="26"/>
        <v/>
      </c>
      <c r="AQ18" s="16" t="str">
        <f t="shared" si="27"/>
        <v/>
      </c>
      <c r="AR18" s="17"/>
      <c r="AS18" s="10" t="str">
        <f t="shared" si="28"/>
        <v xml:space="preserve">Menunggu coder</v>
      </c>
      <c r="AT18" s="11" t="str">
        <f t="shared" si="29"/>
        <v/>
      </c>
    </row>
    <row r="19" ht="48" customHeight="1">
      <c r="A19" s="10">
        <v>16</v>
      </c>
      <c r="B19" s="11" t="str">
        <f>IF(INDEX(Korpus!$A:$A,$A19)="","",INDEX(Korpus!$A:$A,$A19))</f>
        <v>2019MHN201</v>
      </c>
      <c r="C19" s="11" t="str">
        <f>TRIM(INDEX(Korpus!$D:$D,$A19)&amp;" "&amp;INDEX(Korpus!$E:$E,$A19))</f>
        <v xml:space="preserve">Paragraf 6 Kalimat 3</v>
      </c>
      <c r="D19" s="11" t="str">
        <f>IF(INDEX(Korpus!$B:$B,$A19)="","",INDEX(Korpus!$B:$B,$A19))</f>
        <v xml:space="preserve">C. Pembahasan</v>
      </c>
      <c r="E19" s="11" t="str">
        <f>IF(INDEX(Korpus!$C:$C,$A19)="","",INDEX(Korpus!$C:$C,$A19))</f>
        <v xml:space="preserve">5. Pentingnya Perlindungan Data Pribadi</v>
      </c>
      <c r="F19" s="11" t="str">
        <f>IF(INDEX(Korpus!$F:$F,$A19)="","",INDEX(Korpus!$F:$F,$A19))</f>
        <v xml:space="preserve">2) Undang-Undang Nomor 11 Tahun 2008 Tentang Informasi dan Transaksi Elektronik</v>
      </c>
      <c r="G19" s="12"/>
      <c r="H19" s="12"/>
      <c r="I19" s="12"/>
      <c r="J19" s="12"/>
      <c r="K19" s="12"/>
      <c r="L19" s="12"/>
      <c r="M19" s="13"/>
      <c r="N19" s="13"/>
      <c r="O19" s="13"/>
      <c r="P19" s="13"/>
      <c r="Q19" s="13"/>
      <c r="R19" s="13"/>
      <c r="S19" s="14"/>
      <c r="T19" s="14"/>
      <c r="U19" s="14"/>
      <c r="V19" s="14"/>
      <c r="W19" s="14"/>
      <c r="X19" s="14"/>
      <c r="Y19" s="10" t="str">
        <f t="shared" si="15"/>
        <v/>
      </c>
      <c r="Z19" s="10" t="str">
        <f t="shared" si="16"/>
        <v/>
      </c>
      <c r="AA19" s="10" t="str">
        <f t="shared" si="17"/>
        <v/>
      </c>
      <c r="AB19" s="10" t="str">
        <f t="shared" si="18"/>
        <v/>
      </c>
      <c r="AC19" s="10" t="str">
        <f t="shared" si="19"/>
        <v/>
      </c>
      <c r="AD19" s="10" t="str">
        <f t="shared" si="20"/>
        <v/>
      </c>
      <c r="AE19" s="10">
        <f t="shared" si="21"/>
        <v>0</v>
      </c>
      <c r="AF19" s="15"/>
      <c r="AG19" s="15"/>
      <c r="AH19" s="15"/>
      <c r="AI19" s="15"/>
      <c r="AJ19" s="15"/>
      <c r="AK19" s="15"/>
      <c r="AL19" s="16" t="str">
        <f t="shared" si="22"/>
        <v/>
      </c>
      <c r="AM19" s="16" t="str">
        <f t="shared" si="23"/>
        <v/>
      </c>
      <c r="AN19" s="16" t="str">
        <f t="shared" si="24"/>
        <v/>
      </c>
      <c r="AO19" s="16" t="str">
        <f t="shared" si="25"/>
        <v/>
      </c>
      <c r="AP19" s="16" t="str">
        <f t="shared" si="26"/>
        <v/>
      </c>
      <c r="AQ19" s="16" t="str">
        <f t="shared" si="27"/>
        <v/>
      </c>
      <c r="AR19" s="17"/>
      <c r="AS19" s="10" t="str">
        <f t="shared" si="28"/>
        <v xml:space="preserve">Menunggu coder</v>
      </c>
      <c r="AT19" s="11" t="str">
        <f t="shared" si="29"/>
        <v/>
      </c>
    </row>
    <row r="20" ht="48" customHeight="1">
      <c r="A20" s="10">
        <v>17</v>
      </c>
      <c r="B20" s="11" t="str">
        <f>IF(INDEX(Korpus!$A:$A,$A20)="","",INDEX(Korpus!$A:$A,$A20))</f>
        <v>2019MHN201</v>
      </c>
      <c r="C20" s="11" t="str">
        <f>TRIM(INDEX(Korpus!$D:$D,$A20)&amp;" "&amp;INDEX(Korpus!$E:$E,$A20))</f>
        <v xml:space="preserve">Paragraf 6 Kalimat 13</v>
      </c>
      <c r="D20" s="11" t="str">
        <f>IF(INDEX(Korpus!$B:$B,$A20)="","",INDEX(Korpus!$B:$B,$A20))</f>
        <v xml:space="preserve">C. Pembahasan</v>
      </c>
      <c r="E20" s="11" t="str">
        <f>IF(INDEX(Korpus!$C:$C,$A20)="","",INDEX(Korpus!$C:$C,$A20))</f>
        <v xml:space="preserve">5. Pentingnya Perlindungan Data Pribadi</v>
      </c>
      <c r="F20" s="11" t="str">
        <f>IF(INDEX(Korpus!$F:$F,$A20)="","",INDEX(Korpus!$F:$F,$A20))</f>
        <v xml:space="preserve">12) Peraturan Menteri Komunikasi dan Informasi Nomor 20 Tahun 2016 Tentang Perlindungan Data Pribadi Dalam Sistem Elektronik</v>
      </c>
      <c r="G20" s="12"/>
      <c r="H20" s="12"/>
      <c r="I20" s="12"/>
      <c r="J20" s="12"/>
      <c r="K20" s="12"/>
      <c r="L20" s="12"/>
      <c r="M20" s="13"/>
      <c r="N20" s="13"/>
      <c r="O20" s="13"/>
      <c r="P20" s="13"/>
      <c r="Q20" s="13"/>
      <c r="R20" s="13"/>
      <c r="S20" s="14"/>
      <c r="T20" s="14"/>
      <c r="U20" s="14"/>
      <c r="V20" s="14"/>
      <c r="W20" s="14"/>
      <c r="X20" s="14"/>
      <c r="Y20" s="10" t="str">
        <f t="shared" si="15"/>
        <v/>
      </c>
      <c r="Z20" s="10" t="str">
        <f t="shared" si="16"/>
        <v/>
      </c>
      <c r="AA20" s="10" t="str">
        <f t="shared" si="17"/>
        <v/>
      </c>
      <c r="AB20" s="10" t="str">
        <f t="shared" si="18"/>
        <v/>
      </c>
      <c r="AC20" s="10" t="str">
        <f t="shared" si="19"/>
        <v/>
      </c>
      <c r="AD20" s="10" t="str">
        <f t="shared" si="20"/>
        <v/>
      </c>
      <c r="AE20" s="10">
        <f t="shared" si="21"/>
        <v>0</v>
      </c>
      <c r="AF20" s="15"/>
      <c r="AG20" s="15"/>
      <c r="AH20" s="15"/>
      <c r="AI20" s="15"/>
      <c r="AJ20" s="15"/>
      <c r="AK20" s="15"/>
      <c r="AL20" s="16" t="str">
        <f t="shared" si="22"/>
        <v/>
      </c>
      <c r="AM20" s="16" t="str">
        <f t="shared" si="23"/>
        <v/>
      </c>
      <c r="AN20" s="16" t="str">
        <f t="shared" si="24"/>
        <v/>
      </c>
      <c r="AO20" s="16" t="str">
        <f t="shared" si="25"/>
        <v/>
      </c>
      <c r="AP20" s="16" t="str">
        <f t="shared" si="26"/>
        <v/>
      </c>
      <c r="AQ20" s="16" t="str">
        <f t="shared" si="27"/>
        <v/>
      </c>
      <c r="AR20" s="17"/>
      <c r="AS20" s="10" t="str">
        <f t="shared" si="28"/>
        <v xml:space="preserve">Menunggu coder</v>
      </c>
      <c r="AT20" s="11" t="str">
        <f t="shared" si="29"/>
        <v/>
      </c>
    </row>
    <row r="21" ht="48" customHeight="1">
      <c r="A21" s="10">
        <v>18</v>
      </c>
      <c r="B21" s="11" t="str">
        <f>IF(INDEX(Korpus!$A:$A,$A21)="","",INDEX(Korpus!$A:$A,$A21))</f>
        <v>2019MHN201</v>
      </c>
      <c r="C21" s="11" t="str">
        <f>TRIM(INDEX(Korpus!$D:$D,$A21)&amp;" "&amp;INDEX(Korpus!$E:$E,$A21))</f>
        <v xml:space="preserve">Paragraf 6 Kalimat 14</v>
      </c>
      <c r="D21" s="11" t="str">
        <f>IF(INDEX(Korpus!$B:$B,$A21)="","",INDEX(Korpus!$B:$B,$A21))</f>
        <v xml:space="preserve">C. Pembahasan</v>
      </c>
      <c r="E21" s="11" t="str">
        <f>IF(INDEX(Korpus!$C:$C,$A21)="","",INDEX(Korpus!$C:$C,$A21))</f>
        <v xml:space="preserve">5. Pentingnya Perlindungan Data Pribadi</v>
      </c>
      <c r="F21" s="11" t="str">
        <f>IF(INDEX(Korpus!$F:$F,$A21)="","",INDEX(Korpus!$F:$F,$A21))</f>
        <v xml:space="preserve">13) Peraturan Pemerintah Nomor 82 Tahun 2012 Tentang Penyelenggaraan Sistem dan Transaksi Elektronik</v>
      </c>
      <c r="G21" s="12"/>
      <c r="H21" s="12"/>
      <c r="I21" s="12"/>
      <c r="J21" s="12"/>
      <c r="K21" s="12"/>
      <c r="L21" s="12"/>
      <c r="M21" s="13"/>
      <c r="N21" s="13"/>
      <c r="O21" s="13"/>
      <c r="P21" s="13"/>
      <c r="Q21" s="13"/>
      <c r="R21" s="13"/>
      <c r="S21" s="14"/>
      <c r="T21" s="14"/>
      <c r="U21" s="14"/>
      <c r="V21" s="14"/>
      <c r="W21" s="14"/>
      <c r="X21" s="14"/>
      <c r="Y21" s="10" t="str">
        <f t="shared" si="15"/>
        <v/>
      </c>
      <c r="Z21" s="10" t="str">
        <f t="shared" si="16"/>
        <v/>
      </c>
      <c r="AA21" s="10" t="str">
        <f t="shared" si="17"/>
        <v/>
      </c>
      <c r="AB21" s="10" t="str">
        <f t="shared" si="18"/>
        <v/>
      </c>
      <c r="AC21" s="10" t="str">
        <f t="shared" si="19"/>
        <v/>
      </c>
      <c r="AD21" s="10" t="str">
        <f t="shared" si="20"/>
        <v/>
      </c>
      <c r="AE21" s="10">
        <f t="shared" si="21"/>
        <v>0</v>
      </c>
      <c r="AF21" s="15"/>
      <c r="AG21" s="15"/>
      <c r="AH21" s="15"/>
      <c r="AI21" s="15"/>
      <c r="AJ21" s="15"/>
      <c r="AK21" s="15"/>
      <c r="AL21" s="16" t="str">
        <f t="shared" si="22"/>
        <v/>
      </c>
      <c r="AM21" s="16" t="str">
        <f t="shared" si="23"/>
        <v/>
      </c>
      <c r="AN21" s="16" t="str">
        <f t="shared" si="24"/>
        <v/>
      </c>
      <c r="AO21" s="16" t="str">
        <f t="shared" si="25"/>
        <v/>
      </c>
      <c r="AP21" s="16" t="str">
        <f t="shared" si="26"/>
        <v/>
      </c>
      <c r="AQ21" s="16" t="str">
        <f t="shared" si="27"/>
        <v/>
      </c>
      <c r="AR21" s="17"/>
      <c r="AS21" s="10" t="str">
        <f t="shared" si="28"/>
        <v xml:space="preserve">Menunggu coder</v>
      </c>
      <c r="AT21" s="11" t="str">
        <f t="shared" si="29"/>
        <v/>
      </c>
    </row>
    <row r="22" ht="48" customHeight="1">
      <c r="A22" s="10">
        <v>19</v>
      </c>
      <c r="B22" s="11" t="str">
        <f>IF(INDEX(Korpus!$A:$A,$A22)="","",INDEX(Korpus!$A:$A,$A22))</f>
        <v>2019MHN201</v>
      </c>
      <c r="C22" s="11" t="str">
        <f>TRIM(INDEX(Korpus!$D:$D,$A22)&amp;" "&amp;INDEX(Korpus!$E:$E,$A22))</f>
        <v xml:space="preserve">Paragraf 6 Kalimat 16</v>
      </c>
      <c r="D22" s="11" t="str">
        <f>IF(INDEX(Korpus!$B:$B,$A22)="","",INDEX(Korpus!$B:$B,$A22))</f>
        <v xml:space="preserve">C. Pembahasan</v>
      </c>
      <c r="E22" s="11" t="str">
        <f>IF(INDEX(Korpus!$C:$C,$A22)="","",INDEX(Korpus!$C:$C,$A22))</f>
        <v xml:space="preserve">5. Pentingnya Perlindungan Data Pribadi</v>
      </c>
      <c r="F22" s="11" t="str">
        <f>IF(INDEX(Korpus!$F:$F,$A22)="","",INDEX(Korpus!$F:$F,$A22))</f>
        <v xml:space="preserve">15) Peraturan Menteri Komunikasi dan Informasi Nomor 4 Tahun 2016 Tentang Sistem Manajemen Pengaman Informasi</v>
      </c>
      <c r="G22" s="12"/>
      <c r="H22" s="12"/>
      <c r="I22" s="12"/>
      <c r="J22" s="12"/>
      <c r="K22" s="12"/>
      <c r="L22" s="12"/>
      <c r="M22" s="13"/>
      <c r="N22" s="13"/>
      <c r="O22" s="13"/>
      <c r="P22" s="13"/>
      <c r="Q22" s="13"/>
      <c r="R22" s="13"/>
      <c r="S22" s="14"/>
      <c r="T22" s="14"/>
      <c r="U22" s="14"/>
      <c r="V22" s="14"/>
      <c r="W22" s="14"/>
      <c r="X22" s="14"/>
      <c r="Y22" s="10" t="str">
        <f t="shared" si="15"/>
        <v/>
      </c>
      <c r="Z22" s="10" t="str">
        <f t="shared" si="16"/>
        <v/>
      </c>
      <c r="AA22" s="10" t="str">
        <f t="shared" si="17"/>
        <v/>
      </c>
      <c r="AB22" s="10" t="str">
        <f t="shared" si="18"/>
        <v/>
      </c>
      <c r="AC22" s="10" t="str">
        <f t="shared" si="19"/>
        <v/>
      </c>
      <c r="AD22" s="10" t="str">
        <f t="shared" si="20"/>
        <v/>
      </c>
      <c r="AE22" s="10">
        <f t="shared" si="21"/>
        <v>0</v>
      </c>
      <c r="AF22" s="15"/>
      <c r="AG22" s="15"/>
      <c r="AH22" s="15"/>
      <c r="AI22" s="15"/>
      <c r="AJ22" s="15"/>
      <c r="AK22" s="15"/>
      <c r="AL22" s="16" t="str">
        <f t="shared" si="22"/>
        <v/>
      </c>
      <c r="AM22" s="16" t="str">
        <f t="shared" si="23"/>
        <v/>
      </c>
      <c r="AN22" s="16" t="str">
        <f t="shared" si="24"/>
        <v/>
      </c>
      <c r="AO22" s="16" t="str">
        <f t="shared" si="25"/>
        <v/>
      </c>
      <c r="AP22" s="16" t="str">
        <f t="shared" si="26"/>
        <v/>
      </c>
      <c r="AQ22" s="16" t="str">
        <f t="shared" si="27"/>
        <v/>
      </c>
      <c r="AR22" s="17"/>
      <c r="AS22" s="10" t="str">
        <f t="shared" si="28"/>
        <v xml:space="preserve">Menunggu coder</v>
      </c>
      <c r="AT22" s="11" t="str">
        <f t="shared" si="29"/>
        <v/>
      </c>
    </row>
    <row r="23" ht="48" customHeight="1">
      <c r="A23" s="10">
        <v>20</v>
      </c>
      <c r="B23" s="11" t="str">
        <f>IF(INDEX(Korpus!$A:$A,$A23)="","",INDEX(Korpus!$A:$A,$A23))</f>
        <v>2019MHN201</v>
      </c>
      <c r="C23" s="11" t="str">
        <f>TRIM(INDEX(Korpus!$D:$D,$A23)&amp;" "&amp;INDEX(Korpus!$E:$E,$A23))</f>
        <v xml:space="preserve">Paragraf 7 Kalimat 2</v>
      </c>
      <c r="D23" s="11" t="str">
        <f>IF(INDEX(Korpus!$B:$B,$A23)="","",INDEX(Korpus!$B:$B,$A23))</f>
        <v xml:space="preserve">C. Pembahasan</v>
      </c>
      <c r="E23" s="11" t="str">
        <f>IF(INDEX(Korpus!$C:$C,$A23)="","",INDEX(Korpus!$C:$C,$A23))</f>
        <v xml:space="preserve">5. Pentingnya Perlindungan Data Pribadi</v>
      </c>
      <c r="F23" s="11" t="str">
        <f>IF(INDEX(Korpus!$F:$F,$A23)="","",INDEX(Korpus!$F:$F,$A23))</f>
        <v xml:space="preserve">Dalam Pasal 26 huruf a disebutkan bahwa menjaga kerahasiaan, keutuhan, dan ketersediaan data pribadi, data transaksi, dan data keuangan yang dikelolanya sejak data diperoleh hingga data tersebut dimusnahkan.</v>
      </c>
      <c r="G23" s="12"/>
      <c r="H23" s="12"/>
      <c r="I23" s="12"/>
      <c r="J23" s="12"/>
      <c r="K23" s="12"/>
      <c r="L23" s="12"/>
      <c r="M23" s="13"/>
      <c r="N23" s="13"/>
      <c r="O23" s="13"/>
      <c r="P23" s="13"/>
      <c r="Q23" s="13"/>
      <c r="R23" s="13"/>
      <c r="S23" s="14"/>
      <c r="T23" s="14"/>
      <c r="U23" s="14"/>
      <c r="V23" s="14"/>
      <c r="W23" s="14"/>
      <c r="X23" s="14"/>
      <c r="Y23" s="10" t="str">
        <f t="shared" si="15"/>
        <v/>
      </c>
      <c r="Z23" s="10" t="str">
        <f t="shared" si="16"/>
        <v/>
      </c>
      <c r="AA23" s="10" t="str">
        <f t="shared" si="17"/>
        <v/>
      </c>
      <c r="AB23" s="10" t="str">
        <f t="shared" si="18"/>
        <v/>
      </c>
      <c r="AC23" s="10" t="str">
        <f t="shared" si="19"/>
        <v/>
      </c>
      <c r="AD23" s="10" t="str">
        <f t="shared" si="20"/>
        <v/>
      </c>
      <c r="AE23" s="10">
        <f t="shared" si="21"/>
        <v>0</v>
      </c>
      <c r="AF23" s="15"/>
      <c r="AG23" s="15"/>
      <c r="AH23" s="15"/>
      <c r="AI23" s="15"/>
      <c r="AJ23" s="15"/>
      <c r="AK23" s="15"/>
      <c r="AL23" s="16" t="str">
        <f t="shared" si="22"/>
        <v/>
      </c>
      <c r="AM23" s="16" t="str">
        <f t="shared" si="23"/>
        <v/>
      </c>
      <c r="AN23" s="16" t="str">
        <f t="shared" si="24"/>
        <v/>
      </c>
      <c r="AO23" s="16" t="str">
        <f t="shared" si="25"/>
        <v/>
      </c>
      <c r="AP23" s="16" t="str">
        <f t="shared" si="26"/>
        <v/>
      </c>
      <c r="AQ23" s="16" t="str">
        <f t="shared" si="27"/>
        <v/>
      </c>
      <c r="AR23" s="17"/>
      <c r="AS23" s="10" t="str">
        <f t="shared" si="28"/>
        <v xml:space="preserve">Menunggu coder</v>
      </c>
      <c r="AT23" s="11" t="str">
        <f t="shared" si="29"/>
        <v/>
      </c>
    </row>
    <row r="24" ht="48" customHeight="1">
      <c r="A24" s="10">
        <v>21</v>
      </c>
      <c r="B24" s="11" t="str">
        <f>IF(INDEX(Korpus!$A:$A,$A24)="","",INDEX(Korpus!$A:$A,$A24))</f>
        <v>2019MHN201</v>
      </c>
      <c r="C24" s="11" t="str">
        <f>TRIM(INDEX(Korpus!$D:$D,$A24)&amp;" "&amp;INDEX(Korpus!$E:$E,$A24))</f>
        <v xml:space="preserve">Paragraf 7 Kalimat 3</v>
      </c>
      <c r="D24" s="11" t="str">
        <f>IF(INDEX(Korpus!$B:$B,$A24)="","",INDEX(Korpus!$B:$B,$A24))</f>
        <v xml:space="preserve">C. Pembahasan</v>
      </c>
      <c r="E24" s="11" t="str">
        <f>IF(INDEX(Korpus!$C:$C,$A24)="","",INDEX(Korpus!$C:$C,$A24))</f>
        <v xml:space="preserve">5. Pentingnya Perlindungan Data Pribadi</v>
      </c>
      <c r="F24" s="11" t="str">
        <f>IF(INDEX(Korpus!$F:$F,$A24)="","",INDEX(Korpus!$F:$F,$A24))</f>
        <v xml:space="preserve">Selain itu Peraturan OJK Nomor 13 Tahun 2018 Tentang Inovasi Keuangan Digital di Sektor Keuangan, telah memasukkan poin terkait perlindungan dan kerahasiaan data.</v>
      </c>
      <c r="G24" s="12"/>
      <c r="H24" s="12"/>
      <c r="I24" s="12"/>
      <c r="J24" s="12"/>
      <c r="K24" s="12"/>
      <c r="L24" s="12"/>
      <c r="M24" s="13"/>
      <c r="N24" s="13"/>
      <c r="O24" s="13"/>
      <c r="P24" s="13"/>
      <c r="Q24" s="13"/>
      <c r="R24" s="13"/>
      <c r="S24" s="14"/>
      <c r="T24" s="14"/>
      <c r="U24" s="14"/>
      <c r="V24" s="14"/>
      <c r="W24" s="14"/>
      <c r="X24" s="14"/>
      <c r="Y24" s="10" t="str">
        <f t="shared" si="15"/>
        <v/>
      </c>
      <c r="Z24" s="10" t="str">
        <f t="shared" si="16"/>
        <v/>
      </c>
      <c r="AA24" s="10" t="str">
        <f t="shared" si="17"/>
        <v/>
      </c>
      <c r="AB24" s="10" t="str">
        <f t="shared" si="18"/>
        <v/>
      </c>
      <c r="AC24" s="10" t="str">
        <f t="shared" si="19"/>
        <v/>
      </c>
      <c r="AD24" s="10" t="str">
        <f t="shared" si="20"/>
        <v/>
      </c>
      <c r="AE24" s="10">
        <f t="shared" si="21"/>
        <v>0</v>
      </c>
      <c r="AF24" s="15"/>
      <c r="AG24" s="15"/>
      <c r="AH24" s="15"/>
      <c r="AI24" s="15"/>
      <c r="AJ24" s="15"/>
      <c r="AK24" s="15"/>
      <c r="AL24" s="16" t="str">
        <f t="shared" si="22"/>
        <v/>
      </c>
      <c r="AM24" s="16" t="str">
        <f t="shared" si="23"/>
        <v/>
      </c>
      <c r="AN24" s="16" t="str">
        <f t="shared" si="24"/>
        <v/>
      </c>
      <c r="AO24" s="16" t="str">
        <f t="shared" si="25"/>
        <v/>
      </c>
      <c r="AP24" s="16" t="str">
        <f t="shared" si="26"/>
        <v/>
      </c>
      <c r="AQ24" s="16" t="str">
        <f t="shared" si="27"/>
        <v/>
      </c>
      <c r="AR24" s="17"/>
      <c r="AS24" s="10" t="str">
        <f t="shared" si="28"/>
        <v xml:space="preserve">Menunggu coder</v>
      </c>
      <c r="AT24" s="11" t="str">
        <f t="shared" si="29"/>
        <v/>
      </c>
    </row>
    <row r="25" ht="48" customHeight="1">
      <c r="A25" s="10">
        <v>22</v>
      </c>
      <c r="B25" s="11" t="str">
        <f>IF(INDEX(Korpus!$A:$A,$A25)="","",INDEX(Korpus!$A:$A,$A25))</f>
        <v>2019MHN201</v>
      </c>
      <c r="C25" s="11" t="str">
        <f>TRIM(INDEX(Korpus!$D:$D,$A25)&amp;" "&amp;INDEX(Korpus!$E:$E,$A25))</f>
        <v xml:space="preserve">Paragraf 7 Kalimat 4</v>
      </c>
      <c r="D25" s="11" t="str">
        <f>IF(INDEX(Korpus!$B:$B,$A25)="","",INDEX(Korpus!$B:$B,$A25))</f>
        <v xml:space="preserve">C. Pembahasan</v>
      </c>
      <c r="E25" s="11" t="str">
        <f>IF(INDEX(Korpus!$C:$C,$A25)="","",INDEX(Korpus!$C:$C,$A25))</f>
        <v xml:space="preserve">5. Pentingnya Perlindungan Data Pribadi</v>
      </c>
      <c r="F25" s="11" t="str">
        <f>IF(INDEX(Korpus!$F:$F,$A25)="","",INDEX(Korpus!$F:$F,$A25))</f>
        <v xml:space="preserve">Pasal 30 ayat (1) menyebutkan bahwa Penyelenggara wajib menjaga kerahasiaan data pribadi, data transaksi, dan data keuangan yang dikelolanya sejak diperoleh hingga data tersebut dimusnahkan.</v>
      </c>
      <c r="G25" s="12" t="s">
        <v>89</v>
      </c>
      <c r="H25" s="12" t="s">
        <v>83</v>
      </c>
      <c r="I25" s="12" t="s">
        <v>90</v>
      </c>
      <c r="J25" s="12" t="s">
        <v>91</v>
      </c>
      <c r="K25" s="12" t="s">
        <v>86</v>
      </c>
      <c r="L25" s="12" t="s">
        <v>92</v>
      </c>
      <c r="M25" s="13"/>
      <c r="N25" s="13"/>
      <c r="O25" s="13"/>
      <c r="P25" s="13"/>
      <c r="Q25" s="13"/>
      <c r="R25" s="13"/>
      <c r="S25" s="14"/>
      <c r="T25" s="14"/>
      <c r="U25" s="14"/>
      <c r="V25" s="14"/>
      <c r="W25" s="14"/>
      <c r="X25" s="14"/>
      <c r="Y25" s="10" t="str">
        <f t="shared" si="15"/>
        <v/>
      </c>
      <c r="Z25" s="10" t="str">
        <f t="shared" si="16"/>
        <v/>
      </c>
      <c r="AA25" s="10" t="str">
        <f t="shared" si="17"/>
        <v/>
      </c>
      <c r="AB25" s="10" t="str">
        <f t="shared" si="18"/>
        <v/>
      </c>
      <c r="AC25" s="10" t="str">
        <f t="shared" si="19"/>
        <v/>
      </c>
      <c r="AD25" s="10" t="str">
        <f t="shared" si="20"/>
        <v/>
      </c>
      <c r="AE25" s="10">
        <f t="shared" si="21"/>
        <v>0</v>
      </c>
      <c r="AF25" s="15"/>
      <c r="AG25" s="15"/>
      <c r="AH25" s="15"/>
      <c r="AI25" s="15"/>
      <c r="AJ25" s="15"/>
      <c r="AK25" s="15"/>
      <c r="AL25" s="16" t="str">
        <f t="shared" si="22"/>
        <v/>
      </c>
      <c r="AM25" s="16" t="str">
        <f t="shared" si="23"/>
        <v/>
      </c>
      <c r="AN25" s="16" t="str">
        <f t="shared" si="24"/>
        <v/>
      </c>
      <c r="AO25" s="16" t="str">
        <f t="shared" si="25"/>
        <v/>
      </c>
      <c r="AP25" s="16" t="str">
        <f t="shared" si="26"/>
        <v/>
      </c>
      <c r="AQ25" s="16" t="str">
        <f t="shared" si="27"/>
        <v/>
      </c>
      <c r="AR25" s="17"/>
      <c r="AS25" s="10" t="str">
        <f t="shared" si="28"/>
        <v xml:space="preserve">Menunggu coder</v>
      </c>
      <c r="AT25" s="11" t="str">
        <f t="shared" si="29"/>
        <v/>
      </c>
    </row>
    <row r="26" ht="48" customHeight="1">
      <c r="A26" s="10">
        <v>23</v>
      </c>
      <c r="B26" s="11" t="str">
        <f>IF(INDEX(Korpus!$A:$A,$A26)="","",INDEX(Korpus!$A:$A,$A26))</f>
        <v>2019MHN201</v>
      </c>
      <c r="C26" s="11" t="str">
        <f>TRIM(INDEX(Korpus!$D:$D,$A26)&amp;" "&amp;INDEX(Korpus!$E:$E,$A26))</f>
        <v xml:space="preserve">Paragraf 8 Kalimat 1</v>
      </c>
      <c r="D26" s="11" t="str">
        <f>IF(INDEX(Korpus!$B:$B,$A26)="","",INDEX(Korpus!$B:$B,$A26))</f>
        <v xml:space="preserve">C. Pembahasan</v>
      </c>
      <c r="E26" s="11" t="str">
        <f>IF(INDEX(Korpus!$C:$C,$A26)="","",INDEX(Korpus!$C:$C,$A26))</f>
        <v xml:space="preserve">5. Pentingnya Perlindungan Data Pribadi</v>
      </c>
      <c r="F26" s="11" t="str">
        <f>IF(INDEX(Korpus!$F:$F,$A26)="","",INDEX(Korpus!$F:$F,$A26))</f>
        <v xml:space="preserve">Banyaknya peraturan yang mengatur tentang perlindungan data pribadi menunjukkan pentingnya data pribadi untuk dilindungi.</v>
      </c>
      <c r="G26" s="12"/>
      <c r="H26" s="12"/>
      <c r="I26" s="12"/>
      <c r="J26" s="12"/>
      <c r="K26" s="12"/>
      <c r="L26" s="12"/>
      <c r="M26" s="13"/>
      <c r="N26" s="13"/>
      <c r="O26" s="13"/>
      <c r="P26" s="13"/>
      <c r="Q26" s="13"/>
      <c r="R26" s="13"/>
      <c r="S26" s="14"/>
      <c r="T26" s="14"/>
      <c r="U26" s="14"/>
      <c r="V26" s="14"/>
      <c r="W26" s="14"/>
      <c r="X26" s="14"/>
      <c r="Y26" s="10" t="str">
        <f t="shared" si="15"/>
        <v/>
      </c>
      <c r="Z26" s="10" t="str">
        <f t="shared" si="16"/>
        <v/>
      </c>
      <c r="AA26" s="10" t="str">
        <f t="shared" si="17"/>
        <v/>
      </c>
      <c r="AB26" s="10" t="str">
        <f t="shared" si="18"/>
        <v/>
      </c>
      <c r="AC26" s="10" t="str">
        <f t="shared" si="19"/>
        <v/>
      </c>
      <c r="AD26" s="10" t="str">
        <f t="shared" si="20"/>
        <v/>
      </c>
      <c r="AE26" s="10">
        <f t="shared" si="21"/>
        <v>0</v>
      </c>
      <c r="AF26" s="15"/>
      <c r="AG26" s="15"/>
      <c r="AH26" s="15"/>
      <c r="AI26" s="15"/>
      <c r="AJ26" s="15"/>
      <c r="AK26" s="15"/>
      <c r="AL26" s="16" t="str">
        <f t="shared" si="22"/>
        <v/>
      </c>
      <c r="AM26" s="16" t="str">
        <f t="shared" si="23"/>
        <v/>
      </c>
      <c r="AN26" s="16" t="str">
        <f t="shared" si="24"/>
        <v/>
      </c>
      <c r="AO26" s="16" t="str">
        <f t="shared" si="25"/>
        <v/>
      </c>
      <c r="AP26" s="16" t="str">
        <f t="shared" si="26"/>
        <v/>
      </c>
      <c r="AQ26" s="16" t="str">
        <f t="shared" si="27"/>
        <v/>
      </c>
      <c r="AR26" s="17"/>
      <c r="AS26" s="10" t="str">
        <f t="shared" si="28"/>
        <v xml:space="preserve">Menunggu coder</v>
      </c>
      <c r="AT26" s="11" t="str">
        <f t="shared" si="29"/>
        <v/>
      </c>
    </row>
    <row r="27" ht="48" customHeight="1">
      <c r="A27" s="10">
        <v>24</v>
      </c>
      <c r="B27" s="11" t="str">
        <f>IF(INDEX(Korpus!$A:$A,$A27)="","",INDEX(Korpus!$A:$A,$A27))</f>
        <v>2019MHN201</v>
      </c>
      <c r="C27" s="11" t="str">
        <f>TRIM(INDEX(Korpus!$D:$D,$A27)&amp;" "&amp;INDEX(Korpus!$E:$E,$A27))</f>
        <v xml:space="preserve">Paragraf 8 Kalimat 3</v>
      </c>
      <c r="D27" s="11" t="str">
        <f>IF(INDEX(Korpus!$B:$B,$A27)="","",INDEX(Korpus!$B:$B,$A27))</f>
        <v xml:space="preserve">C. Pembahasan</v>
      </c>
      <c r="E27" s="11" t="str">
        <f>IF(INDEX(Korpus!$C:$C,$A27)="","",INDEX(Korpus!$C:$C,$A27))</f>
        <v xml:space="preserve">5. Pentingnya Perlindungan Data Pribadi</v>
      </c>
      <c r="F27" s="11" t="str">
        <f>IF(INDEX(Korpus!$F:$F,$A27)="","",INDEX(Korpus!$F:$F,$A27))</f>
        <v xml:space="preserve">Oleh karena itu perlu disusun suatu undang-undang yang secara khusus dapat memberikan perlindungan data pribadi.</v>
      </c>
      <c r="G27" s="12"/>
      <c r="H27" s="12"/>
      <c r="I27" s="12"/>
      <c r="J27" s="12"/>
      <c r="K27" s="12"/>
      <c r="L27" s="12"/>
      <c r="M27" s="13"/>
      <c r="N27" s="13"/>
      <c r="O27" s="13"/>
      <c r="P27" s="13"/>
      <c r="Q27" s="13"/>
      <c r="R27" s="13"/>
      <c r="S27" s="14"/>
      <c r="T27" s="14"/>
      <c r="U27" s="14"/>
      <c r="V27" s="14"/>
      <c r="W27" s="14"/>
      <c r="X27" s="14"/>
      <c r="Y27" s="10" t="str">
        <f t="shared" si="15"/>
        <v/>
      </c>
      <c r="Z27" s="10" t="str">
        <f t="shared" si="16"/>
        <v/>
      </c>
      <c r="AA27" s="10" t="str">
        <f t="shared" si="17"/>
        <v/>
      </c>
      <c r="AB27" s="10" t="str">
        <f t="shared" si="18"/>
        <v/>
      </c>
      <c r="AC27" s="10" t="str">
        <f t="shared" si="19"/>
        <v/>
      </c>
      <c r="AD27" s="10" t="str">
        <f t="shared" si="20"/>
        <v/>
      </c>
      <c r="AE27" s="10">
        <f t="shared" si="21"/>
        <v>0</v>
      </c>
      <c r="AF27" s="15"/>
      <c r="AG27" s="15"/>
      <c r="AH27" s="15"/>
      <c r="AI27" s="15"/>
      <c r="AJ27" s="15"/>
      <c r="AK27" s="15"/>
      <c r="AL27" s="16" t="str">
        <f t="shared" si="22"/>
        <v/>
      </c>
      <c r="AM27" s="16" t="str">
        <f t="shared" si="23"/>
        <v/>
      </c>
      <c r="AN27" s="16" t="str">
        <f t="shared" si="24"/>
        <v/>
      </c>
      <c r="AO27" s="16" t="str">
        <f t="shared" si="25"/>
        <v/>
      </c>
      <c r="AP27" s="16" t="str">
        <f t="shared" si="26"/>
        <v/>
      </c>
      <c r="AQ27" s="16" t="str">
        <f t="shared" si="27"/>
        <v/>
      </c>
      <c r="AR27" s="17"/>
      <c r="AS27" s="10" t="str">
        <f t="shared" si="28"/>
        <v xml:space="preserve">Menunggu coder</v>
      </c>
      <c r="AT27" s="11" t="str">
        <f t="shared" si="29"/>
        <v/>
      </c>
    </row>
    <row r="28" ht="48" customHeight="1">
      <c r="A28" s="10">
        <v>25</v>
      </c>
      <c r="B28" s="11" t="str">
        <f>IF(INDEX(Korpus!$A:$A,$A28)="","",INDEX(Korpus!$A:$A,$A28))</f>
        <v>2019MHN201</v>
      </c>
      <c r="C28" s="11" t="str">
        <f>TRIM(INDEX(Korpus!$D:$D,$A28)&amp;" "&amp;INDEX(Korpus!$E:$E,$A28))</f>
        <v xml:space="preserve">Paragraf 1 Kalimat 3</v>
      </c>
      <c r="D28" s="11" t="str">
        <f>IF(INDEX(Korpus!$B:$B,$A28)="","",INDEX(Korpus!$B:$B,$A28))</f>
        <v xml:space="preserve">D. Penutup</v>
      </c>
      <c r="E28" s="11" t="str">
        <f>IF(INDEX(Korpus!$C:$C,$A28)="","",INDEX(Korpus!$C:$C,$A28))</f>
        <v/>
      </c>
      <c r="F28" s="11" t="str">
        <f>IF(INDEX(Korpus!$F:$F,$A28)="","",INDEX(Korpus!$F:$F,$A28))</f>
        <v xml:space="preserve">Selain itu juga sudah ada Peraturan Menteri Nomor 20 Tahun 2016 tentang Perlindungan Data Pribadi namun belum cukup memberikan perlindungan kepada konsumen.</v>
      </c>
      <c r="G28" s="12"/>
      <c r="H28" s="12"/>
      <c r="I28" s="12"/>
      <c r="J28" s="12"/>
      <c r="K28" s="12"/>
      <c r="L28" s="12"/>
      <c r="M28" s="13"/>
      <c r="N28" s="13"/>
      <c r="O28" s="13"/>
      <c r="P28" s="13"/>
      <c r="Q28" s="13"/>
      <c r="R28" s="13"/>
      <c r="S28" s="14"/>
      <c r="T28" s="14"/>
      <c r="U28" s="14"/>
      <c r="V28" s="14"/>
      <c r="W28" s="14"/>
      <c r="X28" s="14"/>
      <c r="Y28" s="10" t="str">
        <f t="shared" si="15"/>
        <v/>
      </c>
      <c r="Z28" s="10" t="str">
        <f t="shared" si="16"/>
        <v/>
      </c>
      <c r="AA28" s="10" t="str">
        <f t="shared" si="17"/>
        <v/>
      </c>
      <c r="AB28" s="10" t="str">
        <f t="shared" si="18"/>
        <v/>
      </c>
      <c r="AC28" s="10" t="str">
        <f t="shared" si="19"/>
        <v/>
      </c>
      <c r="AD28" s="10" t="str">
        <f t="shared" si="20"/>
        <v/>
      </c>
      <c r="AE28" s="10">
        <f t="shared" si="21"/>
        <v>0</v>
      </c>
      <c r="AF28" s="15"/>
      <c r="AG28" s="15"/>
      <c r="AH28" s="15"/>
      <c r="AI28" s="15"/>
      <c r="AJ28" s="15"/>
      <c r="AK28" s="15"/>
      <c r="AL28" s="16" t="str">
        <f t="shared" si="22"/>
        <v/>
      </c>
      <c r="AM28" s="16" t="str">
        <f t="shared" si="23"/>
        <v/>
      </c>
      <c r="AN28" s="16" t="str">
        <f t="shared" si="24"/>
        <v/>
      </c>
      <c r="AO28" s="16" t="str">
        <f t="shared" si="25"/>
        <v/>
      </c>
      <c r="AP28" s="16" t="str">
        <f t="shared" si="26"/>
        <v/>
      </c>
      <c r="AQ28" s="16" t="str">
        <f t="shared" si="27"/>
        <v/>
      </c>
      <c r="AR28" s="17"/>
      <c r="AS28" s="10" t="str">
        <f t="shared" si="28"/>
        <v xml:space="preserve">Menunggu coder</v>
      </c>
      <c r="AT28" s="11" t="str">
        <f t="shared" si="29"/>
        <v/>
      </c>
    </row>
    <row r="29" ht="48" customHeight="1">
      <c r="A29" s="10">
        <v>26</v>
      </c>
      <c r="B29" s="11" t="str">
        <f>IF(INDEX(Korpus!$A:$A,$A29)="","",INDEX(Korpus!$A:$A,$A29))</f>
        <v>2019MHN201</v>
      </c>
      <c r="C29" s="11" t="str">
        <f>TRIM(INDEX(Korpus!$D:$D,$A29)&amp;" "&amp;INDEX(Korpus!$E:$E,$A29))</f>
        <v xml:space="preserve">Paragraf 1 Kalimat 4</v>
      </c>
      <c r="D29" s="11" t="str">
        <f>IF(INDEX(Korpus!$B:$B,$A29)="","",INDEX(Korpus!$B:$B,$A29))</f>
        <v xml:space="preserve">D. Penutup</v>
      </c>
      <c r="E29" s="11" t="str">
        <f>IF(INDEX(Korpus!$C:$C,$A29)="","",INDEX(Korpus!$C:$C,$A29))</f>
        <v/>
      </c>
      <c r="F29" s="11" t="str">
        <f>IF(INDEX(Korpus!$F:$F,$A29)="","",INDEX(Korpus!$F:$F,$A29))</f>
        <v xml:space="preserve">Oleh karenanya Pemerintah perlu segera memberikan perlindungan data pribadi nasabah agar tidak disalahgunakan.</v>
      </c>
      <c r="G29" s="12"/>
      <c r="H29" s="12"/>
      <c r="I29" s="12"/>
      <c r="J29" s="12"/>
      <c r="K29" s="12"/>
      <c r="L29" s="12"/>
      <c r="M29" s="13"/>
      <c r="N29" s="13"/>
      <c r="O29" s="13"/>
      <c r="P29" s="13"/>
      <c r="Q29" s="13"/>
      <c r="R29" s="13"/>
      <c r="S29" s="14"/>
      <c r="T29" s="14"/>
      <c r="U29" s="14"/>
      <c r="V29" s="14"/>
      <c r="W29" s="14"/>
      <c r="X29" s="14"/>
      <c r="Y29" s="10" t="str">
        <f t="shared" si="15"/>
        <v/>
      </c>
      <c r="Z29" s="10" t="str">
        <f t="shared" si="16"/>
        <v/>
      </c>
      <c r="AA29" s="10" t="str">
        <f t="shared" si="17"/>
        <v/>
      </c>
      <c r="AB29" s="10" t="str">
        <f t="shared" si="18"/>
        <v/>
      </c>
      <c r="AC29" s="10" t="str">
        <f t="shared" si="19"/>
        <v/>
      </c>
      <c r="AD29" s="10" t="str">
        <f t="shared" si="20"/>
        <v/>
      </c>
      <c r="AE29" s="10">
        <f t="shared" si="21"/>
        <v>0</v>
      </c>
      <c r="AF29" s="15"/>
      <c r="AG29" s="15"/>
      <c r="AH29" s="15"/>
      <c r="AI29" s="15"/>
      <c r="AJ29" s="15"/>
      <c r="AK29" s="15"/>
      <c r="AL29" s="16" t="str">
        <f t="shared" si="22"/>
        <v/>
      </c>
      <c r="AM29" s="16" t="str">
        <f t="shared" si="23"/>
        <v/>
      </c>
      <c r="AN29" s="16" t="str">
        <f t="shared" si="24"/>
        <v/>
      </c>
      <c r="AO29" s="16" t="str">
        <f t="shared" si="25"/>
        <v/>
      </c>
      <c r="AP29" s="16" t="str">
        <f t="shared" si="26"/>
        <v/>
      </c>
      <c r="AQ29" s="16" t="str">
        <f t="shared" si="27"/>
        <v/>
      </c>
      <c r="AR29" s="17"/>
      <c r="AS29" s="10" t="str">
        <f t="shared" si="28"/>
        <v xml:space="preserve">Menunggu coder</v>
      </c>
      <c r="AT29" s="11" t="str">
        <f t="shared" si="29"/>
        <v/>
      </c>
    </row>
    <row r="30" ht="48" customHeight="1">
      <c r="A30" s="10">
        <v>27</v>
      </c>
      <c r="B30" s="11" t="str">
        <f>IF(INDEX(Korpus!$A:$A,$A30)="","",INDEX(Korpus!$A:$A,$A30))</f>
        <v xml:space="preserve">UU 23 Thn 2002 (Perlindungan Anak)</v>
      </c>
      <c r="C30" s="11" t="str">
        <f>TRIM(INDEX(Korpus!$D:$D,$A30)&amp;" "&amp;INDEX(Korpus!$E:$E,$A30))</f>
        <v xml:space="preserve">Pasal 27</v>
      </c>
      <c r="D30" s="11" t="str">
        <f>IF(INDEX(Korpus!$B:$B,$A30)="","",INDEX(Korpus!$B:$B,$A30))</f>
        <v xml:space="preserve">BAB V
KEDUDUKAN ANAK</v>
      </c>
      <c r="E30" s="11" t="str">
        <f>IF(INDEX(Korpus!$C:$C,$A30)="","",INDEX(Korpus!$C:$C,$A30))</f>
        <v xml:space="preserve">Bagian Kesatu
Identitas Anak</v>
      </c>
      <c r="F30" s="11" t="str">
        <f>IF(INDEX(Korpus!$F:$F,$A30)="","",INDEX(Korpus!$F:$F,$A30))</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G30" s="12"/>
      <c r="H30" s="12"/>
      <c r="I30" s="12"/>
      <c r="J30" s="12"/>
      <c r="K30" s="12"/>
      <c r="L30" s="12"/>
      <c r="M30" s="13"/>
      <c r="N30" s="13"/>
      <c r="O30" s="13"/>
      <c r="P30" s="13"/>
      <c r="Q30" s="13"/>
      <c r="R30" s="13"/>
      <c r="S30" s="14"/>
      <c r="T30" s="14"/>
      <c r="U30" s="14"/>
      <c r="V30" s="14"/>
      <c r="W30" s="14"/>
      <c r="X30" s="14"/>
      <c r="Y30" s="10" t="str">
        <f t="shared" si="15"/>
        <v/>
      </c>
      <c r="Z30" s="10" t="str">
        <f t="shared" si="16"/>
        <v/>
      </c>
      <c r="AA30" s="10" t="str">
        <f t="shared" si="17"/>
        <v/>
      </c>
      <c r="AB30" s="10" t="str">
        <f t="shared" si="18"/>
        <v/>
      </c>
      <c r="AC30" s="10" t="str">
        <f t="shared" si="19"/>
        <v/>
      </c>
      <c r="AD30" s="10" t="str">
        <f t="shared" si="20"/>
        <v/>
      </c>
      <c r="AE30" s="10">
        <f t="shared" si="21"/>
        <v>0</v>
      </c>
      <c r="AF30" s="15"/>
      <c r="AG30" s="15"/>
      <c r="AH30" s="15"/>
      <c r="AI30" s="15"/>
      <c r="AJ30" s="15"/>
      <c r="AK30" s="15"/>
      <c r="AL30" s="16" t="str">
        <f t="shared" si="22"/>
        <v/>
      </c>
      <c r="AM30" s="16" t="str">
        <f t="shared" si="23"/>
        <v/>
      </c>
      <c r="AN30" s="16" t="str">
        <f t="shared" si="24"/>
        <v/>
      </c>
      <c r="AO30" s="16" t="str">
        <f t="shared" si="25"/>
        <v/>
      </c>
      <c r="AP30" s="16" t="str">
        <f t="shared" si="26"/>
        <v/>
      </c>
      <c r="AQ30" s="16" t="str">
        <f t="shared" si="27"/>
        <v/>
      </c>
      <c r="AR30" s="17"/>
      <c r="AS30" s="10" t="str">
        <f t="shared" si="28"/>
        <v xml:space="preserve">Menunggu coder</v>
      </c>
      <c r="AT30" s="11" t="str">
        <f t="shared" si="29"/>
        <v/>
      </c>
    </row>
    <row r="31" ht="48" customHeight="1">
      <c r="A31" s="10">
        <v>28</v>
      </c>
      <c r="B31" s="11" t="str">
        <f>IF(INDEX(Korpus!$A:$A,$A31)="","",INDEX(Korpus!$A:$A,$A31))</f>
        <v xml:space="preserve">UU 27 Thn 2022 (PDP)</v>
      </c>
      <c r="C31" s="11" t="str">
        <f>TRIM(INDEX(Korpus!$D:$D,$A31)&amp;" "&amp;INDEX(Korpus!$E:$E,$A31))</f>
        <v xml:space="preserve">Pasal 1</v>
      </c>
      <c r="D31" s="11" t="str">
        <f>IF(INDEX(Korpus!$B:$B,$A31)="","",INDEX(Korpus!$B:$B,$A31))</f>
        <v xml:space="preserve">BAB I
KETENTUAN UMUM</v>
      </c>
      <c r="E31" s="11" t="str">
        <f>IF(INDEX(Korpus!$C:$C,$A31)="","",INDEX(Korpus!$C:$C,$A31))</f>
        <v/>
      </c>
      <c r="F31" s="11" t="str">
        <f>IF(INDEX(Korpus!$F:$F,$A31)="","",INDEX(Korpus!$F:$F,$A31))</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G31" s="12" t="s">
        <v>82</v>
      </c>
      <c r="H31" s="12" t="s">
        <v>83</v>
      </c>
      <c r="I31" s="12" t="s">
        <v>93</v>
      </c>
      <c r="J31" s="12" t="s">
        <v>94</v>
      </c>
      <c r="K31" s="12" t="s">
        <v>86</v>
      </c>
      <c r="L31" s="12" t="s">
        <v>95</v>
      </c>
      <c r="M31" s="13"/>
      <c r="N31" s="13"/>
      <c r="O31" s="13"/>
      <c r="P31" s="13"/>
      <c r="Q31" s="13"/>
      <c r="R31" s="13"/>
      <c r="S31" s="14"/>
      <c r="T31" s="14"/>
      <c r="U31" s="14"/>
      <c r="V31" s="14"/>
      <c r="W31" s="14"/>
      <c r="X31" s="14"/>
      <c r="Y31" s="10" t="str">
        <f t="shared" si="15"/>
        <v/>
      </c>
      <c r="Z31" s="10" t="str">
        <f t="shared" si="16"/>
        <v/>
      </c>
      <c r="AA31" s="10" t="str">
        <f t="shared" si="17"/>
        <v/>
      </c>
      <c r="AB31" s="10" t="str">
        <f t="shared" si="18"/>
        <v/>
      </c>
      <c r="AC31" s="10" t="str">
        <f t="shared" si="19"/>
        <v/>
      </c>
      <c r="AD31" s="10" t="str">
        <f t="shared" si="20"/>
        <v/>
      </c>
      <c r="AE31" s="10">
        <f t="shared" si="21"/>
        <v>0</v>
      </c>
      <c r="AF31" s="15"/>
      <c r="AG31" s="15"/>
      <c r="AH31" s="15"/>
      <c r="AI31" s="15"/>
      <c r="AJ31" s="15"/>
      <c r="AK31" s="15"/>
      <c r="AL31" s="16" t="str">
        <f t="shared" si="22"/>
        <v/>
      </c>
      <c r="AM31" s="16" t="str">
        <f t="shared" si="23"/>
        <v/>
      </c>
      <c r="AN31" s="16" t="str">
        <f t="shared" si="24"/>
        <v/>
      </c>
      <c r="AO31" s="16" t="str">
        <f t="shared" si="25"/>
        <v/>
      </c>
      <c r="AP31" s="16" t="str">
        <f t="shared" si="26"/>
        <v/>
      </c>
      <c r="AQ31" s="16" t="str">
        <f t="shared" si="27"/>
        <v/>
      </c>
      <c r="AR31" s="17"/>
      <c r="AS31" s="10" t="str">
        <f t="shared" si="28"/>
        <v xml:space="preserve">Menunggu coder</v>
      </c>
      <c r="AT31" s="11" t="str">
        <f t="shared" si="29"/>
        <v/>
      </c>
    </row>
    <row r="32" ht="48" customHeight="1">
      <c r="A32" s="10">
        <v>29</v>
      </c>
      <c r="B32" s="11" t="str">
        <f>IF(INDEX(Korpus!$A:$A,$A32)="","",INDEX(Korpus!$A:$A,$A32))</f>
        <v xml:space="preserve">UU 27 Thn 2022 (PDP)</v>
      </c>
      <c r="C32" s="11" t="str">
        <f>TRIM(INDEX(Korpus!$D:$D,$A32)&amp;" "&amp;INDEX(Korpus!$E:$E,$A32))</f>
        <v xml:space="preserve">Pasal 2</v>
      </c>
      <c r="D32" s="11" t="str">
        <f>IF(INDEX(Korpus!$B:$B,$A32)="","",INDEX(Korpus!$B:$B,$A32))</f>
        <v xml:space="preserve">BAB I
KETENTUAN UMUM</v>
      </c>
      <c r="E32" s="11" t="str">
        <f>IF(INDEX(Korpus!$C:$C,$A32)="","",INDEX(Korpus!$C:$C,$A32))</f>
        <v/>
      </c>
      <c r="F32" s="11" t="str">
        <f>IF(INDEX(Korpus!$F:$F,$A32)="","",INDEX(Korpus!$F:$F,$A32))</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G32" s="12"/>
      <c r="H32" s="12"/>
      <c r="I32" s="12"/>
      <c r="J32" s="12"/>
      <c r="K32" s="12"/>
      <c r="L32" s="12"/>
      <c r="M32" s="13"/>
      <c r="N32" s="13"/>
      <c r="O32" s="13"/>
      <c r="P32" s="13"/>
      <c r="Q32" s="13"/>
      <c r="R32" s="13"/>
      <c r="S32" s="14"/>
      <c r="T32" s="14"/>
      <c r="U32" s="14"/>
      <c r="V32" s="14"/>
      <c r="W32" s="14"/>
      <c r="X32" s="14"/>
      <c r="Y32" s="10" t="str">
        <f t="shared" si="15"/>
        <v/>
      </c>
      <c r="Z32" s="10" t="str">
        <f t="shared" si="16"/>
        <v/>
      </c>
      <c r="AA32" s="10" t="str">
        <f t="shared" si="17"/>
        <v/>
      </c>
      <c r="AB32" s="10" t="str">
        <f t="shared" si="18"/>
        <v/>
      </c>
      <c r="AC32" s="10" t="str">
        <f t="shared" si="19"/>
        <v/>
      </c>
      <c r="AD32" s="10" t="str">
        <f t="shared" si="20"/>
        <v/>
      </c>
      <c r="AE32" s="10">
        <f t="shared" si="21"/>
        <v>0</v>
      </c>
      <c r="AF32" s="15"/>
      <c r="AG32" s="15"/>
      <c r="AH32" s="15"/>
      <c r="AI32" s="15"/>
      <c r="AJ32" s="15"/>
      <c r="AK32" s="15"/>
      <c r="AL32" s="16" t="str">
        <f t="shared" si="22"/>
        <v/>
      </c>
      <c r="AM32" s="16" t="str">
        <f t="shared" si="23"/>
        <v/>
      </c>
      <c r="AN32" s="16" t="str">
        <f t="shared" si="24"/>
        <v/>
      </c>
      <c r="AO32" s="16" t="str">
        <f t="shared" si="25"/>
        <v/>
      </c>
      <c r="AP32" s="16" t="str">
        <f t="shared" si="26"/>
        <v/>
      </c>
      <c r="AQ32" s="16" t="str">
        <f t="shared" si="27"/>
        <v/>
      </c>
      <c r="AR32" s="17"/>
      <c r="AS32" s="10" t="str">
        <f t="shared" si="28"/>
        <v xml:space="preserve">Menunggu coder</v>
      </c>
      <c r="AT32" s="11" t="str">
        <f t="shared" si="29"/>
        <v/>
      </c>
    </row>
    <row r="33" ht="48" customHeight="1">
      <c r="A33" s="10">
        <v>30</v>
      </c>
      <c r="B33" s="11" t="str">
        <f>IF(INDEX(Korpus!$A:$A,$A33)="","",INDEX(Korpus!$A:$A,$A33))</f>
        <v xml:space="preserve">UU 27 Thn 2022 (PDP)</v>
      </c>
      <c r="C33" s="11" t="str">
        <f>TRIM(INDEX(Korpus!$D:$D,$A33)&amp;" "&amp;INDEX(Korpus!$E:$E,$A33))</f>
        <v xml:space="preserve">Pasal 3</v>
      </c>
      <c r="D33" s="11" t="str">
        <f>IF(INDEX(Korpus!$B:$B,$A33)="","",INDEX(Korpus!$B:$B,$A33))</f>
        <v xml:space="preserve">BAB II
ASAS</v>
      </c>
      <c r="E33" s="11" t="str">
        <f>IF(INDEX(Korpus!$C:$C,$A33)="","",INDEX(Korpus!$C:$C,$A33))</f>
        <v/>
      </c>
      <c r="F33" s="11" t="str">
        <f>IF(INDEX(Korpus!$F:$F,$A33)="","",INDEX(Korpus!$F:$F,$A33))</f>
        <v xml:space="preserve">a. perlindungan; b. kepastian hukum; c. kepentingan umum; d. Kemanfaatan; e. Kehati-hatian; f. Keseimbangan; g. Pertanggungjawaban; dan h. kerahasiaan.</v>
      </c>
      <c r="G33" s="12"/>
      <c r="H33" s="12"/>
      <c r="I33" s="12"/>
      <c r="J33" s="12"/>
      <c r="K33" s="12"/>
      <c r="L33" s="12"/>
      <c r="M33" s="13"/>
      <c r="N33" s="13"/>
      <c r="O33" s="13"/>
      <c r="P33" s="13"/>
      <c r="Q33" s="13"/>
      <c r="R33" s="13"/>
      <c r="S33" s="14"/>
      <c r="T33" s="14"/>
      <c r="U33" s="14"/>
      <c r="V33" s="14"/>
      <c r="W33" s="14"/>
      <c r="X33" s="14"/>
      <c r="Y33" s="10" t="str">
        <f t="shared" si="15"/>
        <v/>
      </c>
      <c r="Z33" s="10" t="str">
        <f t="shared" si="16"/>
        <v/>
      </c>
      <c r="AA33" s="10" t="str">
        <f t="shared" si="17"/>
        <v/>
      </c>
      <c r="AB33" s="10" t="str">
        <f t="shared" si="18"/>
        <v/>
      </c>
      <c r="AC33" s="10" t="str">
        <f t="shared" si="19"/>
        <v/>
      </c>
      <c r="AD33" s="10" t="str">
        <f t="shared" si="20"/>
        <v/>
      </c>
      <c r="AE33" s="10">
        <f t="shared" si="21"/>
        <v>0</v>
      </c>
      <c r="AF33" s="15"/>
      <c r="AG33" s="15"/>
      <c r="AH33" s="15"/>
      <c r="AI33" s="15"/>
      <c r="AJ33" s="15"/>
      <c r="AK33" s="15"/>
      <c r="AL33" s="16" t="str">
        <f t="shared" si="22"/>
        <v/>
      </c>
      <c r="AM33" s="16" t="str">
        <f t="shared" si="23"/>
        <v/>
      </c>
      <c r="AN33" s="16" t="str">
        <f t="shared" si="24"/>
        <v/>
      </c>
      <c r="AO33" s="16" t="str">
        <f t="shared" si="25"/>
        <v/>
      </c>
      <c r="AP33" s="16" t="str">
        <f t="shared" si="26"/>
        <v/>
      </c>
      <c r="AQ33" s="16" t="str">
        <f t="shared" si="27"/>
        <v/>
      </c>
      <c r="AR33" s="17"/>
      <c r="AS33" s="10" t="str">
        <f t="shared" si="28"/>
        <v xml:space="preserve">Menunggu coder</v>
      </c>
      <c r="AT33" s="11" t="str">
        <f t="shared" si="29"/>
        <v/>
      </c>
    </row>
    <row r="34" ht="48" customHeight="1">
      <c r="A34" s="10">
        <v>31</v>
      </c>
      <c r="B34" s="11" t="str">
        <f>IF(INDEX(Korpus!$A:$A,$A34)="","",INDEX(Korpus!$A:$A,$A34))</f>
        <v xml:space="preserve">UU 27 Thn 2022 (PDP)</v>
      </c>
      <c r="C34" s="11" t="str">
        <f>TRIM(INDEX(Korpus!$D:$D,$A34)&amp;" "&amp;INDEX(Korpus!$E:$E,$A34))</f>
        <v xml:space="preserve">Pasal 4</v>
      </c>
      <c r="D34" s="11" t="str">
        <f>IF(INDEX(Korpus!$B:$B,$A34)="","",INDEX(Korpus!$B:$B,$A34))</f>
        <v xml:space="preserve">BAB III
JENIS DATA PRIBADI</v>
      </c>
      <c r="E34" s="11" t="str">
        <f>IF(INDEX(Korpus!$C:$C,$A34)="","",INDEX(Korpus!$C:$C,$A34))</f>
        <v/>
      </c>
      <c r="F34" s="11" t="str">
        <f>IF(INDEX(Korpus!$F:$F,$A34)="","",INDEX(Korpus!$F:$F,$A34))</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G34" s="12"/>
      <c r="H34" s="12"/>
      <c r="I34" s="12"/>
      <c r="J34" s="12"/>
      <c r="K34" s="12"/>
      <c r="L34" s="12"/>
      <c r="M34" s="13"/>
      <c r="N34" s="13"/>
      <c r="O34" s="13"/>
      <c r="P34" s="13"/>
      <c r="Q34" s="13"/>
      <c r="R34" s="13"/>
      <c r="S34" s="14"/>
      <c r="T34" s="14"/>
      <c r="U34" s="14"/>
      <c r="V34" s="14"/>
      <c r="W34" s="14"/>
      <c r="X34" s="14"/>
      <c r="Y34" s="10" t="str">
        <f t="shared" si="15"/>
        <v/>
      </c>
      <c r="Z34" s="10" t="str">
        <f t="shared" si="16"/>
        <v/>
      </c>
      <c r="AA34" s="10" t="str">
        <f t="shared" si="17"/>
        <v/>
      </c>
      <c r="AB34" s="10" t="str">
        <f t="shared" si="18"/>
        <v/>
      </c>
      <c r="AC34" s="10" t="str">
        <f t="shared" si="19"/>
        <v/>
      </c>
      <c r="AD34" s="10" t="str">
        <f t="shared" si="20"/>
        <v/>
      </c>
      <c r="AE34" s="10">
        <f t="shared" si="21"/>
        <v>0</v>
      </c>
      <c r="AF34" s="15"/>
      <c r="AG34" s="15"/>
      <c r="AH34" s="15"/>
      <c r="AI34" s="15"/>
      <c r="AJ34" s="15"/>
      <c r="AK34" s="15"/>
      <c r="AL34" s="16" t="str">
        <f t="shared" si="22"/>
        <v/>
      </c>
      <c r="AM34" s="16" t="str">
        <f t="shared" si="23"/>
        <v/>
      </c>
      <c r="AN34" s="16" t="str">
        <f t="shared" si="24"/>
        <v/>
      </c>
      <c r="AO34" s="16" t="str">
        <f t="shared" si="25"/>
        <v/>
      </c>
      <c r="AP34" s="16" t="str">
        <f t="shared" si="26"/>
        <v/>
      </c>
      <c r="AQ34" s="16" t="str">
        <f t="shared" si="27"/>
        <v/>
      </c>
      <c r="AR34" s="17"/>
      <c r="AS34" s="10" t="str">
        <f t="shared" si="28"/>
        <v xml:space="preserve">Menunggu coder</v>
      </c>
      <c r="AT34" s="11" t="str">
        <f t="shared" si="29"/>
        <v/>
      </c>
    </row>
    <row r="35" ht="48" customHeight="1">
      <c r="A35" s="10">
        <v>32</v>
      </c>
      <c r="B35" s="11" t="str">
        <f>IF(INDEX(Korpus!$A:$A,$A35)="","",INDEX(Korpus!$A:$A,$A35))</f>
        <v xml:space="preserve">UU 27 Thn 2022 (PDP)</v>
      </c>
      <c r="C35" s="11" t="str">
        <f>TRIM(INDEX(Korpus!$D:$D,$A35)&amp;" "&amp;INDEX(Korpus!$E:$E,$A35))</f>
        <v xml:space="preserve">Pasal 5</v>
      </c>
      <c r="D35" s="11" t="str">
        <f>IF(INDEX(Korpus!$B:$B,$A35)="","",INDEX(Korpus!$B:$B,$A35))</f>
        <v xml:space="preserve">BAB IV
HAK SUBJEK DATA PRIBADI</v>
      </c>
      <c r="E35" s="11" t="str">
        <f>IF(INDEX(Korpus!$C:$C,$A35)="","",INDEX(Korpus!$C:$C,$A35))</f>
        <v/>
      </c>
      <c r="F35" s="11" t="str">
        <f>IF(INDEX(Korpus!$F:$F,$A35)="","",INDEX(Korpus!$F:$F,$A35))</f>
        <v xml:space="preserve">Subjek Data Pribadi berhak mendapatkan Informasi tentang kejelasan identitas, dasar kepentingan hukum, tujuan permintaan dan penggunaan Data Pribadi, dan akuntabilitas pihak yang meminta Data Pribadi.</v>
      </c>
      <c r="G35" s="12" t="s">
        <v>96</v>
      </c>
      <c r="H35" s="12" t="s">
        <v>97</v>
      </c>
      <c r="I35" s="12" t="s">
        <v>98</v>
      </c>
      <c r="J35" s="12" t="s">
        <v>99</v>
      </c>
      <c r="K35" s="12" t="s">
        <v>100</v>
      </c>
      <c r="L35" s="12" t="s">
        <v>101</v>
      </c>
      <c r="M35" s="13"/>
      <c r="N35" s="13"/>
      <c r="O35" s="13"/>
      <c r="P35" s="13"/>
      <c r="Q35" s="13"/>
      <c r="R35" s="13"/>
      <c r="S35" s="14"/>
      <c r="T35" s="14"/>
      <c r="U35" s="14"/>
      <c r="V35" s="14"/>
      <c r="W35" s="14"/>
      <c r="X35" s="14"/>
      <c r="Y35" s="10" t="str">
        <f t="shared" si="15"/>
        <v/>
      </c>
      <c r="Z35" s="10" t="str">
        <f t="shared" si="16"/>
        <v/>
      </c>
      <c r="AA35" s="10" t="str">
        <f t="shared" si="17"/>
        <v/>
      </c>
      <c r="AB35" s="10" t="str">
        <f t="shared" si="18"/>
        <v/>
      </c>
      <c r="AC35" s="10" t="str">
        <f t="shared" si="19"/>
        <v/>
      </c>
      <c r="AD35" s="10" t="str">
        <f t="shared" si="20"/>
        <v/>
      </c>
      <c r="AE35" s="10">
        <f t="shared" si="21"/>
        <v>0</v>
      </c>
      <c r="AF35" s="15"/>
      <c r="AG35" s="15"/>
      <c r="AH35" s="15"/>
      <c r="AI35" s="15"/>
      <c r="AJ35" s="15"/>
      <c r="AK35" s="15"/>
      <c r="AL35" s="16" t="str">
        <f t="shared" si="22"/>
        <v/>
      </c>
      <c r="AM35" s="16" t="str">
        <f t="shared" si="23"/>
        <v/>
      </c>
      <c r="AN35" s="16" t="str">
        <f t="shared" si="24"/>
        <v/>
      </c>
      <c r="AO35" s="16" t="str">
        <f t="shared" si="25"/>
        <v/>
      </c>
      <c r="AP35" s="16" t="str">
        <f t="shared" si="26"/>
        <v/>
      </c>
      <c r="AQ35" s="16" t="str">
        <f t="shared" si="27"/>
        <v/>
      </c>
      <c r="AR35" s="17"/>
      <c r="AS35" s="10" t="str">
        <f t="shared" si="28"/>
        <v xml:space="preserve">Menunggu coder</v>
      </c>
      <c r="AT35" s="11" t="str">
        <f t="shared" si="29"/>
        <v/>
      </c>
    </row>
    <row r="36" ht="48" customHeight="1">
      <c r="A36" s="10">
        <v>33</v>
      </c>
      <c r="B36" s="11" t="str">
        <f>IF(INDEX(Korpus!$A:$A,$A36)="","",INDEX(Korpus!$A:$A,$A36))</f>
        <v xml:space="preserve">UU 27 Thn 2022 (PDP)</v>
      </c>
      <c r="C36" s="11" t="str">
        <f>TRIM(INDEX(Korpus!$D:$D,$A36)&amp;" "&amp;INDEX(Korpus!$E:$E,$A36))</f>
        <v xml:space="preserve">Pasal 6</v>
      </c>
      <c r="D36" s="11" t="str">
        <f>IF(INDEX(Korpus!$B:$B,$A36)="","",INDEX(Korpus!$B:$B,$A36))</f>
        <v xml:space="preserve">BAB IV
HAK SUBJEK DATA PRIBADI</v>
      </c>
      <c r="E36" s="11" t="str">
        <f>IF(INDEX(Korpus!$C:$C,$A36)="","",INDEX(Korpus!$C:$C,$A36))</f>
        <v/>
      </c>
      <c r="F36" s="11" t="str">
        <f>IF(INDEX(Korpus!$F:$F,$A36)="","",INDEX(Korpus!$F:$F,$A36))</f>
        <v xml:space="preserve">Subjek Data Pribadi berhak melengkapi, memperbarui, dan/atau memperbaiki kesalahan dan/atau ketidakakuratan Data Pribadi tentang dirinya sesuai dengan tujuan pemrosesan Data Pribadi.</v>
      </c>
      <c r="G36" s="12"/>
      <c r="H36" s="12"/>
      <c r="I36" s="12"/>
      <c r="J36" s="12"/>
      <c r="K36" s="12"/>
      <c r="L36" s="12"/>
      <c r="M36" s="13"/>
      <c r="N36" s="13"/>
      <c r="O36" s="13"/>
      <c r="P36" s="13"/>
      <c r="Q36" s="13"/>
      <c r="R36" s="13"/>
      <c r="S36" s="14"/>
      <c r="T36" s="14"/>
      <c r="U36" s="14"/>
      <c r="V36" s="14"/>
      <c r="W36" s="14"/>
      <c r="X36" s="14"/>
      <c r="Y36" s="10" t="str">
        <f t="shared" si="15"/>
        <v/>
      </c>
      <c r="Z36" s="10" t="str">
        <f t="shared" si="16"/>
        <v/>
      </c>
      <c r="AA36" s="10" t="str">
        <f t="shared" si="17"/>
        <v/>
      </c>
      <c r="AB36" s="10" t="str">
        <f t="shared" si="18"/>
        <v/>
      </c>
      <c r="AC36" s="10" t="str">
        <f t="shared" si="19"/>
        <v/>
      </c>
      <c r="AD36" s="10" t="str">
        <f t="shared" si="20"/>
        <v/>
      </c>
      <c r="AE36" s="10">
        <f t="shared" si="21"/>
        <v>0</v>
      </c>
      <c r="AF36" s="15"/>
      <c r="AG36" s="15"/>
      <c r="AH36" s="15"/>
      <c r="AI36" s="15"/>
      <c r="AJ36" s="15"/>
      <c r="AK36" s="15"/>
      <c r="AL36" s="16" t="str">
        <f t="shared" si="22"/>
        <v/>
      </c>
      <c r="AM36" s="16" t="str">
        <f t="shared" si="23"/>
        <v/>
      </c>
      <c r="AN36" s="16" t="str">
        <f t="shared" si="24"/>
        <v/>
      </c>
      <c r="AO36" s="16" t="str">
        <f t="shared" si="25"/>
        <v/>
      </c>
      <c r="AP36" s="16" t="str">
        <f t="shared" si="26"/>
        <v/>
      </c>
      <c r="AQ36" s="16" t="str">
        <f t="shared" si="27"/>
        <v/>
      </c>
      <c r="AR36" s="17"/>
      <c r="AS36" s="10" t="str">
        <f t="shared" si="28"/>
        <v xml:space="preserve">Menunggu coder</v>
      </c>
      <c r="AT36" s="11" t="str">
        <f t="shared" si="29"/>
        <v/>
      </c>
    </row>
    <row r="37" ht="48" customHeight="1">
      <c r="A37" s="10">
        <v>34</v>
      </c>
      <c r="B37" s="11" t="str">
        <f>IF(INDEX(Korpus!$A:$A,$A37)="","",INDEX(Korpus!$A:$A,$A37))</f>
        <v xml:space="preserve">UU 27 Thn 2022 (PDP)</v>
      </c>
      <c r="C37" s="11" t="str">
        <f>TRIM(INDEX(Korpus!$D:$D,$A37)&amp;" "&amp;INDEX(Korpus!$E:$E,$A37))</f>
        <v xml:space="preserve">Pasal 7</v>
      </c>
      <c r="D37" s="11" t="str">
        <f>IF(INDEX(Korpus!$B:$B,$A37)="","",INDEX(Korpus!$B:$B,$A37))</f>
        <v xml:space="preserve">BAB IV
HAK SUBJEK DATA PRIBADI</v>
      </c>
      <c r="E37" s="11" t="str">
        <f>IF(INDEX(Korpus!$C:$C,$A37)="","",INDEX(Korpus!$C:$C,$A37))</f>
        <v/>
      </c>
      <c r="F37" s="11" t="str">
        <f>IF(INDEX(Korpus!$F:$F,$A37)="","",INDEX(Korpus!$F:$F,$A37))</f>
        <v xml:space="preserve">Subjek Data Pribadi berhak mendapatkan akses dan memperoleh salinan Data Pribadi tentang dirinya sesuai dengan ketentuan peraturan perundang-undangan.</v>
      </c>
      <c r="G37" s="12"/>
      <c r="H37" s="12"/>
      <c r="I37" s="12"/>
      <c r="J37" s="12"/>
      <c r="K37" s="12"/>
      <c r="L37" s="12"/>
      <c r="M37" s="13"/>
      <c r="N37" s="13"/>
      <c r="O37" s="13"/>
      <c r="P37" s="13"/>
      <c r="Q37" s="13"/>
      <c r="R37" s="13"/>
      <c r="S37" s="14"/>
      <c r="T37" s="14"/>
      <c r="U37" s="14"/>
      <c r="V37" s="14"/>
      <c r="W37" s="14"/>
      <c r="X37" s="14"/>
      <c r="Y37" s="10" t="str">
        <f t="shared" si="15"/>
        <v/>
      </c>
      <c r="Z37" s="10" t="str">
        <f t="shared" si="16"/>
        <v/>
      </c>
      <c r="AA37" s="10" t="str">
        <f t="shared" si="17"/>
        <v/>
      </c>
      <c r="AB37" s="10" t="str">
        <f t="shared" si="18"/>
        <v/>
      </c>
      <c r="AC37" s="10" t="str">
        <f t="shared" si="19"/>
        <v/>
      </c>
      <c r="AD37" s="10" t="str">
        <f t="shared" si="20"/>
        <v/>
      </c>
      <c r="AE37" s="10">
        <f t="shared" si="21"/>
        <v>0</v>
      </c>
      <c r="AF37" s="15"/>
      <c r="AG37" s="15"/>
      <c r="AH37" s="15"/>
      <c r="AI37" s="15"/>
      <c r="AJ37" s="15"/>
      <c r="AK37" s="15"/>
      <c r="AL37" s="16" t="str">
        <f t="shared" si="22"/>
        <v/>
      </c>
      <c r="AM37" s="16" t="str">
        <f t="shared" si="23"/>
        <v/>
      </c>
      <c r="AN37" s="16" t="str">
        <f t="shared" si="24"/>
        <v/>
      </c>
      <c r="AO37" s="16" t="str">
        <f t="shared" si="25"/>
        <v/>
      </c>
      <c r="AP37" s="16" t="str">
        <f t="shared" si="26"/>
        <v/>
      </c>
      <c r="AQ37" s="16" t="str">
        <f t="shared" si="27"/>
        <v/>
      </c>
      <c r="AR37" s="17"/>
      <c r="AS37" s="10" t="str">
        <f t="shared" si="28"/>
        <v xml:space="preserve">Menunggu coder</v>
      </c>
      <c r="AT37" s="11" t="str">
        <f t="shared" si="29"/>
        <v/>
      </c>
    </row>
    <row r="38" ht="48" customHeight="1">
      <c r="A38" s="10">
        <v>35</v>
      </c>
      <c r="B38" s="11" t="str">
        <f>IF(INDEX(Korpus!$A:$A,$A38)="","",INDEX(Korpus!$A:$A,$A38))</f>
        <v xml:space="preserve">UU 27 Thn 2022 (PDP)</v>
      </c>
      <c r="C38" s="11" t="str">
        <f>TRIM(INDEX(Korpus!$D:$D,$A38)&amp;" "&amp;INDEX(Korpus!$E:$E,$A38))</f>
        <v xml:space="preserve">Pasal 8</v>
      </c>
      <c r="D38" s="11" t="str">
        <f>IF(INDEX(Korpus!$B:$B,$A38)="","",INDEX(Korpus!$B:$B,$A38))</f>
        <v xml:space="preserve">BAB IV
HAK SUBJEK DATA PRIBADI</v>
      </c>
      <c r="E38" s="11" t="str">
        <f>IF(INDEX(Korpus!$C:$C,$A38)="","",INDEX(Korpus!$C:$C,$A38))</f>
        <v/>
      </c>
      <c r="F38" s="11" t="str">
        <f>IF(INDEX(Korpus!$F:$F,$A38)="","",INDEX(Korpus!$F:$F,$A38))</f>
        <v xml:space="preserve">Subjek Data Pribadi berhak untuk mengakhiri pemrosesan, menghapus, dan/ atau memusnahkan Data Pribadi tentang dirinya sesuai dengan ketentuan peraturan perundang-undangan.</v>
      </c>
      <c r="G38" s="12"/>
      <c r="H38" s="12"/>
      <c r="I38" s="12"/>
      <c r="J38" s="12"/>
      <c r="K38" s="12"/>
      <c r="L38" s="12"/>
      <c r="M38" s="13"/>
      <c r="N38" s="13"/>
      <c r="O38" s="13"/>
      <c r="P38" s="13"/>
      <c r="Q38" s="13"/>
      <c r="R38" s="13"/>
      <c r="S38" s="14"/>
      <c r="T38" s="14"/>
      <c r="U38" s="14"/>
      <c r="V38" s="14"/>
      <c r="W38" s="14"/>
      <c r="X38" s="14"/>
      <c r="Y38" s="10" t="str">
        <f t="shared" si="15"/>
        <v/>
      </c>
      <c r="Z38" s="10" t="str">
        <f t="shared" si="16"/>
        <v/>
      </c>
      <c r="AA38" s="10" t="str">
        <f t="shared" si="17"/>
        <v/>
      </c>
      <c r="AB38" s="10" t="str">
        <f t="shared" si="18"/>
        <v/>
      </c>
      <c r="AC38" s="10" t="str">
        <f t="shared" si="19"/>
        <v/>
      </c>
      <c r="AD38" s="10" t="str">
        <f t="shared" si="20"/>
        <v/>
      </c>
      <c r="AE38" s="10">
        <f t="shared" si="21"/>
        <v>0</v>
      </c>
      <c r="AF38" s="15"/>
      <c r="AG38" s="15"/>
      <c r="AH38" s="15"/>
      <c r="AI38" s="15"/>
      <c r="AJ38" s="15"/>
      <c r="AK38" s="15"/>
      <c r="AL38" s="16" t="str">
        <f t="shared" si="22"/>
        <v/>
      </c>
      <c r="AM38" s="16" t="str">
        <f t="shared" si="23"/>
        <v/>
      </c>
      <c r="AN38" s="16" t="str">
        <f t="shared" si="24"/>
        <v/>
      </c>
      <c r="AO38" s="16" t="str">
        <f t="shared" si="25"/>
        <v/>
      </c>
      <c r="AP38" s="16" t="str">
        <f t="shared" si="26"/>
        <v/>
      </c>
      <c r="AQ38" s="16" t="str">
        <f t="shared" si="27"/>
        <v/>
      </c>
      <c r="AR38" s="17"/>
      <c r="AS38" s="10" t="str">
        <f t="shared" si="28"/>
        <v xml:space="preserve">Menunggu coder</v>
      </c>
      <c r="AT38" s="11" t="str">
        <f t="shared" si="29"/>
        <v/>
      </c>
    </row>
    <row r="39" ht="48" customHeight="1">
      <c r="A39" s="10">
        <v>36</v>
      </c>
      <c r="B39" s="11" t="str">
        <f>IF(INDEX(Korpus!$A:$A,$A39)="","",INDEX(Korpus!$A:$A,$A39))</f>
        <v xml:space="preserve">UU 27 Thn 2022 (PDP)</v>
      </c>
      <c r="C39" s="11" t="str">
        <f>TRIM(INDEX(Korpus!$D:$D,$A39)&amp;" "&amp;INDEX(Korpus!$E:$E,$A39))</f>
        <v xml:space="preserve">Pasal 9</v>
      </c>
      <c r="D39" s="11" t="str">
        <f>IF(INDEX(Korpus!$B:$B,$A39)="","",INDEX(Korpus!$B:$B,$A39))</f>
        <v xml:space="preserve">BAB IV
HAK SUBJEK DATA PRIBADI</v>
      </c>
      <c r="E39" s="11" t="str">
        <f>IF(INDEX(Korpus!$C:$C,$A39)="","",INDEX(Korpus!$C:$C,$A39))</f>
        <v/>
      </c>
      <c r="F39" s="11" t="str">
        <f>IF(INDEX(Korpus!$F:$F,$A39)="","",INDEX(Korpus!$F:$F,$A39))</f>
        <v xml:space="preserve">Subjek Data Pribadi berhak menarik kembali persetujuan pemrosesan Data Pribadi tentang dirinya yang telah diberikan kepada Pengendali Data Pribadi.</v>
      </c>
      <c r="G39" s="12"/>
      <c r="H39" s="12"/>
      <c r="I39" s="12"/>
      <c r="J39" s="12"/>
      <c r="K39" s="12"/>
      <c r="L39" s="12"/>
      <c r="M39" s="13"/>
      <c r="N39" s="13"/>
      <c r="O39" s="13"/>
      <c r="P39" s="13"/>
      <c r="Q39" s="13"/>
      <c r="R39" s="13"/>
      <c r="S39" s="14"/>
      <c r="T39" s="14"/>
      <c r="U39" s="14"/>
      <c r="V39" s="14"/>
      <c r="W39" s="14"/>
      <c r="X39" s="14"/>
      <c r="Y39" s="10" t="str">
        <f t="shared" si="15"/>
        <v/>
      </c>
      <c r="Z39" s="10" t="str">
        <f t="shared" si="16"/>
        <v/>
      </c>
      <c r="AA39" s="10" t="str">
        <f t="shared" si="17"/>
        <v/>
      </c>
      <c r="AB39" s="10" t="str">
        <f t="shared" si="18"/>
        <v/>
      </c>
      <c r="AC39" s="10" t="str">
        <f t="shared" si="19"/>
        <v/>
      </c>
      <c r="AD39" s="10" t="str">
        <f t="shared" si="20"/>
        <v/>
      </c>
      <c r="AE39" s="10">
        <f t="shared" si="21"/>
        <v>0</v>
      </c>
      <c r="AF39" s="15"/>
      <c r="AG39" s="15"/>
      <c r="AH39" s="15"/>
      <c r="AI39" s="15"/>
      <c r="AJ39" s="15"/>
      <c r="AK39" s="15"/>
      <c r="AL39" s="16" t="str">
        <f t="shared" si="22"/>
        <v/>
      </c>
      <c r="AM39" s="16" t="str">
        <f t="shared" si="23"/>
        <v/>
      </c>
      <c r="AN39" s="16" t="str">
        <f t="shared" si="24"/>
        <v/>
      </c>
      <c r="AO39" s="16" t="str">
        <f t="shared" si="25"/>
        <v/>
      </c>
      <c r="AP39" s="16" t="str">
        <f t="shared" si="26"/>
        <v/>
      </c>
      <c r="AQ39" s="16" t="str">
        <f t="shared" si="27"/>
        <v/>
      </c>
      <c r="AR39" s="17"/>
      <c r="AS39" s="10" t="str">
        <f t="shared" si="28"/>
        <v xml:space="preserve">Menunggu coder</v>
      </c>
      <c r="AT39" s="11" t="str">
        <f t="shared" si="29"/>
        <v/>
      </c>
    </row>
    <row r="40" ht="48" customHeight="1">
      <c r="A40" s="10">
        <v>37</v>
      </c>
      <c r="B40" s="11" t="str">
        <f>IF(INDEX(Korpus!$A:$A,$A40)="","",INDEX(Korpus!$A:$A,$A40))</f>
        <v xml:space="preserve">UU 27 Thn 2022 (PDP)</v>
      </c>
      <c r="C40" s="11" t="str">
        <f>TRIM(INDEX(Korpus!$D:$D,$A40)&amp;" "&amp;INDEX(Korpus!$E:$E,$A40))</f>
        <v xml:space="preserve">Pasal 10</v>
      </c>
      <c r="D40" s="11" t="str">
        <f>IF(INDEX(Korpus!$B:$B,$A40)="","",INDEX(Korpus!$B:$B,$A40))</f>
        <v xml:space="preserve">BAB IV
HAK SUBJEK DATA PRIBADI</v>
      </c>
      <c r="E40" s="11" t="str">
        <f>IF(INDEX(Korpus!$C:$C,$A40)="","",INDEX(Korpus!$C:$C,$A40))</f>
        <v/>
      </c>
      <c r="F40" s="11" t="str">
        <f>IF(INDEX(Korpus!$F:$F,$A40)="","",INDEX(Korpus!$F:$F,$A40))</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G40" s="12"/>
      <c r="H40" s="12"/>
      <c r="I40" s="12"/>
      <c r="J40" s="12"/>
      <c r="K40" s="12"/>
      <c r="L40" s="12"/>
      <c r="M40" s="13"/>
      <c r="N40" s="13"/>
      <c r="O40" s="13"/>
      <c r="P40" s="13"/>
      <c r="Q40" s="13"/>
      <c r="R40" s="13"/>
      <c r="S40" s="14"/>
      <c r="T40" s="14"/>
      <c r="U40" s="14"/>
      <c r="V40" s="14"/>
      <c r="W40" s="14"/>
      <c r="X40" s="14"/>
      <c r="Y40" s="10" t="str">
        <f t="shared" si="15"/>
        <v/>
      </c>
      <c r="Z40" s="10" t="str">
        <f t="shared" si="16"/>
        <v/>
      </c>
      <c r="AA40" s="10" t="str">
        <f t="shared" si="17"/>
        <v/>
      </c>
      <c r="AB40" s="10" t="str">
        <f t="shared" si="18"/>
        <v/>
      </c>
      <c r="AC40" s="10" t="str">
        <f t="shared" si="19"/>
        <v/>
      </c>
      <c r="AD40" s="10" t="str">
        <f t="shared" si="20"/>
        <v/>
      </c>
      <c r="AE40" s="10">
        <f t="shared" si="21"/>
        <v>0</v>
      </c>
      <c r="AF40" s="15"/>
      <c r="AG40" s="15"/>
      <c r="AH40" s="15"/>
      <c r="AI40" s="15"/>
      <c r="AJ40" s="15"/>
      <c r="AK40" s="15"/>
      <c r="AL40" s="16" t="str">
        <f t="shared" si="22"/>
        <v/>
      </c>
      <c r="AM40" s="16" t="str">
        <f t="shared" si="23"/>
        <v/>
      </c>
      <c r="AN40" s="16" t="str">
        <f t="shared" si="24"/>
        <v/>
      </c>
      <c r="AO40" s="16" t="str">
        <f t="shared" si="25"/>
        <v/>
      </c>
      <c r="AP40" s="16" t="str">
        <f t="shared" si="26"/>
        <v/>
      </c>
      <c r="AQ40" s="16" t="str">
        <f t="shared" si="27"/>
        <v/>
      </c>
      <c r="AR40" s="17"/>
      <c r="AS40" s="10" t="str">
        <f t="shared" si="28"/>
        <v xml:space="preserve">Menunggu coder</v>
      </c>
      <c r="AT40" s="11" t="str">
        <f t="shared" si="29"/>
        <v/>
      </c>
    </row>
    <row r="41" ht="48" customHeight="1">
      <c r="A41" s="10">
        <v>38</v>
      </c>
      <c r="B41" s="11" t="str">
        <f>IF(INDEX(Korpus!$A:$A,$A41)="","",INDEX(Korpus!$A:$A,$A41))</f>
        <v xml:space="preserve">UU 27 Thn 2022 (PDP)</v>
      </c>
      <c r="C41" s="11" t="str">
        <f>TRIM(INDEX(Korpus!$D:$D,$A41)&amp;" "&amp;INDEX(Korpus!$E:$E,$A41))</f>
        <v xml:space="preserve">Pasal 11</v>
      </c>
      <c r="D41" s="11" t="str">
        <f>IF(INDEX(Korpus!$B:$B,$A41)="","",INDEX(Korpus!$B:$B,$A41))</f>
        <v xml:space="preserve">BAB IV
HAK SUBJEK DATA PRIBADI</v>
      </c>
      <c r="E41" s="11" t="str">
        <f>IF(INDEX(Korpus!$C:$C,$A41)="","",INDEX(Korpus!$C:$C,$A41))</f>
        <v/>
      </c>
      <c r="F41" s="11" t="str">
        <f>IF(INDEX(Korpus!$F:$F,$A41)="","",INDEX(Korpus!$F:$F,$A41))</f>
        <v xml:space="preserve">Subjek Data Pribadi berhak menunda atau membatasi pemrosesan Data Pribadi secara proporsional sesuai dengan tujuan pemrosesan Data Pribadi.</v>
      </c>
      <c r="G41" s="12"/>
      <c r="H41" s="12"/>
      <c r="I41" s="12"/>
      <c r="J41" s="12"/>
      <c r="K41" s="12"/>
      <c r="L41" s="12"/>
      <c r="M41" s="13"/>
      <c r="N41" s="13"/>
      <c r="O41" s="13"/>
      <c r="P41" s="13"/>
      <c r="Q41" s="13"/>
      <c r="R41" s="13"/>
      <c r="S41" s="14"/>
      <c r="T41" s="14"/>
      <c r="U41" s="14"/>
      <c r="V41" s="14"/>
      <c r="W41" s="14"/>
      <c r="X41" s="14"/>
      <c r="Y41" s="10" t="str">
        <f t="shared" si="15"/>
        <v/>
      </c>
      <c r="Z41" s="10" t="str">
        <f t="shared" si="16"/>
        <v/>
      </c>
      <c r="AA41" s="10" t="str">
        <f t="shared" si="17"/>
        <v/>
      </c>
      <c r="AB41" s="10" t="str">
        <f t="shared" si="18"/>
        <v/>
      </c>
      <c r="AC41" s="10" t="str">
        <f t="shared" si="19"/>
        <v/>
      </c>
      <c r="AD41" s="10" t="str">
        <f t="shared" si="20"/>
        <v/>
      </c>
      <c r="AE41" s="10">
        <f t="shared" si="21"/>
        <v>0</v>
      </c>
      <c r="AF41" s="15"/>
      <c r="AG41" s="15"/>
      <c r="AH41" s="15"/>
      <c r="AI41" s="15"/>
      <c r="AJ41" s="15"/>
      <c r="AK41" s="15"/>
      <c r="AL41" s="16" t="str">
        <f t="shared" si="22"/>
        <v/>
      </c>
      <c r="AM41" s="16" t="str">
        <f t="shared" si="23"/>
        <v/>
      </c>
      <c r="AN41" s="16" t="str">
        <f t="shared" si="24"/>
        <v/>
      </c>
      <c r="AO41" s="16" t="str">
        <f t="shared" si="25"/>
        <v/>
      </c>
      <c r="AP41" s="16" t="str">
        <f t="shared" si="26"/>
        <v/>
      </c>
      <c r="AQ41" s="16" t="str">
        <f t="shared" si="27"/>
        <v/>
      </c>
      <c r="AR41" s="17"/>
      <c r="AS41" s="10" t="str">
        <f t="shared" si="28"/>
        <v xml:space="preserve">Menunggu coder</v>
      </c>
      <c r="AT41" s="11" t="str">
        <f t="shared" si="29"/>
        <v/>
      </c>
    </row>
    <row r="42" ht="48" customHeight="1">
      <c r="A42" s="10">
        <v>39</v>
      </c>
      <c r="B42" s="11" t="str">
        <f>IF(INDEX(Korpus!$A:$A,$A42)="","",INDEX(Korpus!$A:$A,$A42))</f>
        <v xml:space="preserve">UU 27 Thn 2022 (PDP)</v>
      </c>
      <c r="C42" s="11" t="str">
        <f>TRIM(INDEX(Korpus!$D:$D,$A42)&amp;" "&amp;INDEX(Korpus!$E:$E,$A42))</f>
        <v xml:space="preserve">Pasal 12</v>
      </c>
      <c r="D42" s="11" t="str">
        <f>IF(INDEX(Korpus!$B:$B,$A42)="","",INDEX(Korpus!$B:$B,$A42))</f>
        <v xml:space="preserve">BAB IV
HAK SUBJEK DATA PRIBADI</v>
      </c>
      <c r="E42" s="11" t="str">
        <f>IF(INDEX(Korpus!$C:$C,$A42)="","",INDEX(Korpus!$C:$C,$A42))</f>
        <v/>
      </c>
      <c r="F42" s="11" t="str">
        <f>IF(INDEX(Korpus!$F:$F,$A42)="","",INDEX(Korpus!$F:$F,$A42))</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G42" s="12"/>
      <c r="H42" s="12"/>
      <c r="I42" s="12"/>
      <c r="J42" s="12"/>
      <c r="K42" s="12"/>
      <c r="L42" s="12"/>
      <c r="M42" s="13"/>
      <c r="N42" s="13"/>
      <c r="O42" s="13"/>
      <c r="P42" s="13"/>
      <c r="Q42" s="13"/>
      <c r="R42" s="13"/>
      <c r="S42" s="14"/>
      <c r="T42" s="14"/>
      <c r="U42" s="14"/>
      <c r="V42" s="14"/>
      <c r="W42" s="14"/>
      <c r="X42" s="14"/>
      <c r="Y42" s="10" t="str">
        <f t="shared" si="15"/>
        <v/>
      </c>
      <c r="Z42" s="10" t="str">
        <f t="shared" si="16"/>
        <v/>
      </c>
      <c r="AA42" s="10" t="str">
        <f t="shared" si="17"/>
        <v/>
      </c>
      <c r="AB42" s="10" t="str">
        <f t="shared" si="18"/>
        <v/>
      </c>
      <c r="AC42" s="10" t="str">
        <f t="shared" si="19"/>
        <v/>
      </c>
      <c r="AD42" s="10" t="str">
        <f t="shared" si="20"/>
        <v/>
      </c>
      <c r="AE42" s="10">
        <f t="shared" si="21"/>
        <v>0</v>
      </c>
      <c r="AF42" s="15"/>
      <c r="AG42" s="15"/>
      <c r="AH42" s="15"/>
      <c r="AI42" s="15"/>
      <c r="AJ42" s="15"/>
      <c r="AK42" s="15"/>
      <c r="AL42" s="16" t="str">
        <f t="shared" si="22"/>
        <v/>
      </c>
      <c r="AM42" s="16" t="str">
        <f t="shared" si="23"/>
        <v/>
      </c>
      <c r="AN42" s="16" t="str">
        <f t="shared" si="24"/>
        <v/>
      </c>
      <c r="AO42" s="16" t="str">
        <f t="shared" si="25"/>
        <v/>
      </c>
      <c r="AP42" s="16" t="str">
        <f t="shared" si="26"/>
        <v/>
      </c>
      <c r="AQ42" s="16" t="str">
        <f t="shared" si="27"/>
        <v/>
      </c>
      <c r="AR42" s="17"/>
      <c r="AS42" s="10" t="str">
        <f t="shared" si="28"/>
        <v xml:space="preserve">Menunggu coder</v>
      </c>
      <c r="AT42" s="11" t="str">
        <f t="shared" si="29"/>
        <v/>
      </c>
    </row>
    <row r="43" ht="48" customHeight="1">
      <c r="A43" s="10">
        <v>40</v>
      </c>
      <c r="B43" s="11" t="str">
        <f>IF(INDEX(Korpus!$A:$A,$A43)="","",INDEX(Korpus!$A:$A,$A43))</f>
        <v xml:space="preserve">UU 27 Thn 2022 (PDP)</v>
      </c>
      <c r="C43" s="11" t="str">
        <f>TRIM(INDEX(Korpus!$D:$D,$A43)&amp;" "&amp;INDEX(Korpus!$E:$E,$A43))</f>
        <v xml:space="preserve">Pasal 13</v>
      </c>
      <c r="D43" s="11" t="str">
        <f>IF(INDEX(Korpus!$B:$B,$A43)="","",INDEX(Korpus!$B:$B,$A43))</f>
        <v xml:space="preserve">BAB IV
HAK SUBJEK DATA PRIBADI</v>
      </c>
      <c r="E43" s="11" t="str">
        <f>IF(INDEX(Korpus!$C:$C,$A43)="","",INDEX(Korpus!$C:$C,$A43))</f>
        <v/>
      </c>
      <c r="F43" s="11" t="str">
        <f>IF(INDEX(Korpus!$F:$F,$A43)="","",INDEX(Korpus!$F:$F,$A43))</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G43" s="12"/>
      <c r="H43" s="12"/>
      <c r="I43" s="12"/>
      <c r="J43" s="12"/>
      <c r="K43" s="12"/>
      <c r="L43" s="12"/>
      <c r="M43" s="13"/>
      <c r="N43" s="13"/>
      <c r="O43" s="13"/>
      <c r="P43" s="13"/>
      <c r="Q43" s="13"/>
      <c r="R43" s="13"/>
      <c r="S43" s="14"/>
      <c r="T43" s="14"/>
      <c r="U43" s="14"/>
      <c r="V43" s="14"/>
      <c r="W43" s="14"/>
      <c r="X43" s="14"/>
      <c r="Y43" s="10" t="str">
        <f t="shared" si="15"/>
        <v/>
      </c>
      <c r="Z43" s="10" t="str">
        <f t="shared" si="16"/>
        <v/>
      </c>
      <c r="AA43" s="10" t="str">
        <f t="shared" si="17"/>
        <v/>
      </c>
      <c r="AB43" s="10" t="str">
        <f t="shared" si="18"/>
        <v/>
      </c>
      <c r="AC43" s="10" t="str">
        <f t="shared" si="19"/>
        <v/>
      </c>
      <c r="AD43" s="10" t="str">
        <f t="shared" si="20"/>
        <v/>
      </c>
      <c r="AE43" s="10">
        <f t="shared" si="21"/>
        <v>0</v>
      </c>
      <c r="AF43" s="15"/>
      <c r="AG43" s="15"/>
      <c r="AH43" s="15"/>
      <c r="AI43" s="15"/>
      <c r="AJ43" s="15"/>
      <c r="AK43" s="15"/>
      <c r="AL43" s="16" t="str">
        <f t="shared" si="22"/>
        <v/>
      </c>
      <c r="AM43" s="16" t="str">
        <f t="shared" si="23"/>
        <v/>
      </c>
      <c r="AN43" s="16" t="str">
        <f t="shared" si="24"/>
        <v/>
      </c>
      <c r="AO43" s="16" t="str">
        <f t="shared" si="25"/>
        <v/>
      </c>
      <c r="AP43" s="16" t="str">
        <f t="shared" si="26"/>
        <v/>
      </c>
      <c r="AQ43" s="16" t="str">
        <f t="shared" si="27"/>
        <v/>
      </c>
      <c r="AR43" s="17"/>
      <c r="AS43" s="10" t="str">
        <f t="shared" si="28"/>
        <v xml:space="preserve">Menunggu coder</v>
      </c>
      <c r="AT43" s="11" t="str">
        <f t="shared" si="29"/>
        <v/>
      </c>
    </row>
    <row r="44" ht="48" customHeight="1">
      <c r="A44" s="10">
        <v>41</v>
      </c>
      <c r="B44" s="11" t="str">
        <f>IF(INDEX(Korpus!$A:$A,$A44)="","",INDEX(Korpus!$A:$A,$A44))</f>
        <v xml:space="preserve">UU 27 Thn 2022 (PDP)</v>
      </c>
      <c r="C44" s="11" t="str">
        <f>TRIM(INDEX(Korpus!$D:$D,$A44)&amp;" "&amp;INDEX(Korpus!$E:$E,$A44))</f>
        <v xml:space="preserve">Pasal 14</v>
      </c>
      <c r="D44" s="11" t="str">
        <f>IF(INDEX(Korpus!$B:$B,$A44)="","",INDEX(Korpus!$B:$B,$A44))</f>
        <v xml:space="preserve">BAB IV
HAK SUBJEK DATA PRIBADI</v>
      </c>
      <c r="E44" s="11" t="str">
        <f>IF(INDEX(Korpus!$C:$C,$A44)="","",INDEX(Korpus!$C:$C,$A44))</f>
        <v/>
      </c>
      <c r="F44" s="11" t="str">
        <f>IF(INDEX(Korpus!$F:$F,$A44)="","",INDEX(Korpus!$F:$F,$A44))</f>
        <v xml:space="preserve">Pelaksanaan hak Subjek Data Pribadi sebagaimana dimaksud dalam Pasal 6 sampai dengan Pasal 11 diajukan melalui permohonan tercatat yang disampaikan secara elektronik atau nonelektronik kepada Pengendali Data Pribadi.</v>
      </c>
      <c r="G44" s="12"/>
      <c r="H44" s="12"/>
      <c r="I44" s="12"/>
      <c r="J44" s="12"/>
      <c r="K44" s="12"/>
      <c r="L44" s="12"/>
      <c r="M44" s="13"/>
      <c r="N44" s="13"/>
      <c r="O44" s="13"/>
      <c r="P44" s="13"/>
      <c r="Q44" s="13"/>
      <c r="R44" s="13"/>
      <c r="S44" s="14"/>
      <c r="T44" s="14"/>
      <c r="U44" s="14"/>
      <c r="V44" s="14"/>
      <c r="W44" s="14"/>
      <c r="X44" s="14"/>
      <c r="Y44" s="10" t="str">
        <f t="shared" si="15"/>
        <v/>
      </c>
      <c r="Z44" s="10" t="str">
        <f t="shared" si="16"/>
        <v/>
      </c>
      <c r="AA44" s="10" t="str">
        <f t="shared" si="17"/>
        <v/>
      </c>
      <c r="AB44" s="10" t="str">
        <f t="shared" si="18"/>
        <v/>
      </c>
      <c r="AC44" s="10" t="str">
        <f t="shared" si="19"/>
        <v/>
      </c>
      <c r="AD44" s="10" t="str">
        <f t="shared" si="20"/>
        <v/>
      </c>
      <c r="AE44" s="10">
        <f t="shared" si="21"/>
        <v>0</v>
      </c>
      <c r="AF44" s="15"/>
      <c r="AG44" s="15"/>
      <c r="AH44" s="15"/>
      <c r="AI44" s="15"/>
      <c r="AJ44" s="15"/>
      <c r="AK44" s="15"/>
      <c r="AL44" s="16" t="str">
        <f t="shared" si="22"/>
        <v/>
      </c>
      <c r="AM44" s="16" t="str">
        <f t="shared" si="23"/>
        <v/>
      </c>
      <c r="AN44" s="16" t="str">
        <f t="shared" si="24"/>
        <v/>
      </c>
      <c r="AO44" s="16" t="str">
        <f t="shared" si="25"/>
        <v/>
      </c>
      <c r="AP44" s="16" t="str">
        <f t="shared" si="26"/>
        <v/>
      </c>
      <c r="AQ44" s="16" t="str">
        <f t="shared" si="27"/>
        <v/>
      </c>
      <c r="AR44" s="17"/>
      <c r="AS44" s="10" t="str">
        <f t="shared" si="28"/>
        <v xml:space="preserve">Menunggu coder</v>
      </c>
      <c r="AT44" s="11" t="str">
        <f t="shared" si="29"/>
        <v/>
      </c>
    </row>
    <row r="45" ht="48" customHeight="1">
      <c r="A45" s="10">
        <v>42</v>
      </c>
      <c r="B45" s="11" t="str">
        <f>IF(INDEX(Korpus!$A:$A,$A45)="","",INDEX(Korpus!$A:$A,$A45))</f>
        <v xml:space="preserve">UU 27 Thn 2022 (PDP)</v>
      </c>
      <c r="C45" s="11" t="str">
        <f>TRIM(INDEX(Korpus!$D:$D,$A45)&amp;" "&amp;INDEX(Korpus!$E:$E,$A45))</f>
        <v xml:space="preserve">Pasal 15</v>
      </c>
      <c r="D45" s="11" t="str">
        <f>IF(INDEX(Korpus!$B:$B,$A45)="","",INDEX(Korpus!$B:$B,$A45))</f>
        <v xml:space="preserve">BAB IV
HAK SUBJEK DATA PRIBADI</v>
      </c>
      <c r="E45" s="11" t="str">
        <f>IF(INDEX(Korpus!$C:$C,$A45)="","",INDEX(Korpus!$C:$C,$A45))</f>
        <v/>
      </c>
      <c r="F45" s="11" t="str">
        <f>IF(INDEX(Korpus!$F:$F,$A45)="","",INDEX(Korpus!$F:$F,$A45))</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G45" s="12"/>
      <c r="H45" s="12"/>
      <c r="I45" s="12"/>
      <c r="J45" s="12"/>
      <c r="K45" s="12"/>
      <c r="L45" s="12"/>
      <c r="M45" s="13"/>
      <c r="N45" s="13"/>
      <c r="O45" s="13"/>
      <c r="P45" s="13"/>
      <c r="Q45" s="13"/>
      <c r="R45" s="13"/>
      <c r="S45" s="14"/>
      <c r="T45" s="14"/>
      <c r="U45" s="14"/>
      <c r="V45" s="14"/>
      <c r="W45" s="14"/>
      <c r="X45" s="14"/>
      <c r="Y45" s="10" t="str">
        <f t="shared" si="15"/>
        <v/>
      </c>
      <c r="Z45" s="10" t="str">
        <f t="shared" si="16"/>
        <v/>
      </c>
      <c r="AA45" s="10" t="str">
        <f t="shared" si="17"/>
        <v/>
      </c>
      <c r="AB45" s="10" t="str">
        <f t="shared" si="18"/>
        <v/>
      </c>
      <c r="AC45" s="10" t="str">
        <f t="shared" si="19"/>
        <v/>
      </c>
      <c r="AD45" s="10" t="str">
        <f t="shared" si="20"/>
        <v/>
      </c>
      <c r="AE45" s="10">
        <f t="shared" si="21"/>
        <v>0</v>
      </c>
      <c r="AF45" s="15"/>
      <c r="AG45" s="15"/>
      <c r="AH45" s="15"/>
      <c r="AI45" s="15"/>
      <c r="AJ45" s="15"/>
      <c r="AK45" s="15"/>
      <c r="AL45" s="16" t="str">
        <f t="shared" si="22"/>
        <v/>
      </c>
      <c r="AM45" s="16" t="str">
        <f t="shared" si="23"/>
        <v/>
      </c>
      <c r="AN45" s="16" t="str">
        <f t="shared" si="24"/>
        <v/>
      </c>
      <c r="AO45" s="16" t="str">
        <f t="shared" si="25"/>
        <v/>
      </c>
      <c r="AP45" s="16" t="str">
        <f t="shared" si="26"/>
        <v/>
      </c>
      <c r="AQ45" s="16" t="str">
        <f t="shared" si="27"/>
        <v/>
      </c>
      <c r="AR45" s="17"/>
      <c r="AS45" s="10" t="str">
        <f t="shared" si="28"/>
        <v xml:space="preserve">Menunggu coder</v>
      </c>
      <c r="AT45" s="11" t="str">
        <f t="shared" si="29"/>
        <v/>
      </c>
    </row>
    <row r="46" ht="48" customHeight="1">
      <c r="A46" s="10">
        <v>43</v>
      </c>
      <c r="B46" s="11" t="str">
        <f>IF(INDEX(Korpus!$A:$A,$A46)="","",INDEX(Korpus!$A:$A,$A46))</f>
        <v xml:space="preserve">UU 27 Thn 2022 (PDP)</v>
      </c>
      <c r="C46" s="11" t="str">
        <f>TRIM(INDEX(Korpus!$D:$D,$A46)&amp;" "&amp;INDEX(Korpus!$E:$E,$A46))</f>
        <v xml:space="preserve">Pasal 16</v>
      </c>
      <c r="D46" s="11" t="str">
        <f>IF(INDEX(Korpus!$B:$B,$A46)="","",INDEX(Korpus!$B:$B,$A46))</f>
        <v xml:space="preserve">BAB V
PEMROSESAN DATA PRIBADI</v>
      </c>
      <c r="E46" s="11" t="str">
        <f>IF(INDEX(Korpus!$C:$C,$A46)="","",INDEX(Korpus!$C:$C,$A46))</f>
        <v/>
      </c>
      <c r="F46" s="11" t="str">
        <f>IF(INDEX(Korpus!$F:$F,$A46)="","",INDEX(Korpus!$F:$F,$A46))</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G46" s="12"/>
      <c r="H46" s="12"/>
      <c r="I46" s="12"/>
      <c r="J46" s="12"/>
      <c r="K46" s="12"/>
      <c r="L46" s="12"/>
      <c r="M46" s="13"/>
      <c r="N46" s="13"/>
      <c r="O46" s="13"/>
      <c r="P46" s="13"/>
      <c r="Q46" s="13"/>
      <c r="R46" s="13"/>
      <c r="S46" s="14"/>
      <c r="T46" s="14"/>
      <c r="U46" s="14"/>
      <c r="V46" s="14"/>
      <c r="W46" s="14"/>
      <c r="X46" s="14"/>
      <c r="Y46" s="10" t="str">
        <f t="shared" si="15"/>
        <v/>
      </c>
      <c r="Z46" s="10" t="str">
        <f t="shared" si="16"/>
        <v/>
      </c>
      <c r="AA46" s="10" t="str">
        <f t="shared" si="17"/>
        <v/>
      </c>
      <c r="AB46" s="10" t="str">
        <f t="shared" si="18"/>
        <v/>
      </c>
      <c r="AC46" s="10" t="str">
        <f t="shared" si="19"/>
        <v/>
      </c>
      <c r="AD46" s="10" t="str">
        <f t="shared" si="20"/>
        <v/>
      </c>
      <c r="AE46" s="10">
        <f t="shared" si="21"/>
        <v>0</v>
      </c>
      <c r="AF46" s="15"/>
      <c r="AG46" s="15"/>
      <c r="AH46" s="15"/>
      <c r="AI46" s="15"/>
      <c r="AJ46" s="15"/>
      <c r="AK46" s="15"/>
      <c r="AL46" s="16" t="str">
        <f t="shared" si="22"/>
        <v/>
      </c>
      <c r="AM46" s="16" t="str">
        <f t="shared" si="23"/>
        <v/>
      </c>
      <c r="AN46" s="16" t="str">
        <f t="shared" si="24"/>
        <v/>
      </c>
      <c r="AO46" s="16" t="str">
        <f t="shared" si="25"/>
        <v/>
      </c>
      <c r="AP46" s="16" t="str">
        <f t="shared" si="26"/>
        <v/>
      </c>
      <c r="AQ46" s="16" t="str">
        <f t="shared" si="27"/>
        <v/>
      </c>
      <c r="AR46" s="17"/>
      <c r="AS46" s="10" t="str">
        <f t="shared" si="28"/>
        <v xml:space="preserve">Menunggu coder</v>
      </c>
      <c r="AT46" s="11" t="str">
        <f t="shared" si="29"/>
        <v/>
      </c>
    </row>
    <row r="47" ht="48" customHeight="1">
      <c r="A47" s="10">
        <v>44</v>
      </c>
      <c r="B47" s="11" t="str">
        <f>IF(INDEX(Korpus!$A:$A,$A47)="","",INDEX(Korpus!$A:$A,$A47))</f>
        <v xml:space="preserve">UU 27 Thn 2022 (PDP)</v>
      </c>
      <c r="C47" s="11" t="str">
        <f>TRIM(INDEX(Korpus!$D:$D,$A47)&amp;" "&amp;INDEX(Korpus!$E:$E,$A47))</f>
        <v xml:space="preserve">Pasal 17</v>
      </c>
      <c r="D47" s="11" t="str">
        <f>IF(INDEX(Korpus!$B:$B,$A47)="","",INDEX(Korpus!$B:$B,$A47))</f>
        <v xml:space="preserve">BAB V
PEMROSESAN DATA PRIBADI</v>
      </c>
      <c r="E47" s="11" t="str">
        <f>IF(INDEX(Korpus!$C:$C,$A47)="","",INDEX(Korpus!$C:$C,$A47))</f>
        <v/>
      </c>
      <c r="F47" s="11" t="str">
        <f>IF(INDEX(Korpus!$F:$F,$A47)="","",INDEX(Korpus!$F:$F,$A47))</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G47" s="12"/>
      <c r="H47" s="12"/>
      <c r="I47" s="12"/>
      <c r="J47" s="12"/>
      <c r="K47" s="12"/>
      <c r="L47" s="12"/>
      <c r="M47" s="13"/>
      <c r="N47" s="13"/>
      <c r="O47" s="13"/>
      <c r="P47" s="13"/>
      <c r="Q47" s="13"/>
      <c r="R47" s="13"/>
      <c r="S47" s="14"/>
      <c r="T47" s="14"/>
      <c r="U47" s="14"/>
      <c r="V47" s="14"/>
      <c r="W47" s="14"/>
      <c r="X47" s="14"/>
      <c r="Y47" s="10" t="str">
        <f t="shared" si="15"/>
        <v/>
      </c>
      <c r="Z47" s="10" t="str">
        <f t="shared" si="16"/>
        <v/>
      </c>
      <c r="AA47" s="10" t="str">
        <f t="shared" si="17"/>
        <v/>
      </c>
      <c r="AB47" s="10" t="str">
        <f t="shared" si="18"/>
        <v/>
      </c>
      <c r="AC47" s="10" t="str">
        <f t="shared" si="19"/>
        <v/>
      </c>
      <c r="AD47" s="10" t="str">
        <f t="shared" si="20"/>
        <v/>
      </c>
      <c r="AE47" s="10">
        <f t="shared" si="21"/>
        <v>0</v>
      </c>
      <c r="AF47" s="15"/>
      <c r="AG47" s="15"/>
      <c r="AH47" s="15"/>
      <c r="AI47" s="15"/>
      <c r="AJ47" s="15"/>
      <c r="AK47" s="15"/>
      <c r="AL47" s="16" t="str">
        <f t="shared" si="22"/>
        <v/>
      </c>
      <c r="AM47" s="16" t="str">
        <f t="shared" si="23"/>
        <v/>
      </c>
      <c r="AN47" s="16" t="str">
        <f t="shared" si="24"/>
        <v/>
      </c>
      <c r="AO47" s="16" t="str">
        <f t="shared" si="25"/>
        <v/>
      </c>
      <c r="AP47" s="16" t="str">
        <f t="shared" si="26"/>
        <v/>
      </c>
      <c r="AQ47" s="16" t="str">
        <f t="shared" si="27"/>
        <v/>
      </c>
      <c r="AR47" s="17"/>
      <c r="AS47" s="10" t="str">
        <f t="shared" si="28"/>
        <v xml:space="preserve">Menunggu coder</v>
      </c>
      <c r="AT47" s="11" t="str">
        <f t="shared" si="29"/>
        <v/>
      </c>
    </row>
    <row r="48" ht="48" customHeight="1">
      <c r="A48" s="10">
        <v>45</v>
      </c>
      <c r="B48" s="11" t="str">
        <f>IF(INDEX(Korpus!$A:$A,$A48)="","",INDEX(Korpus!$A:$A,$A48))</f>
        <v xml:space="preserve">UU 27 Thn 2022 (PDP)</v>
      </c>
      <c r="C48" s="11" t="str">
        <f>TRIM(INDEX(Korpus!$D:$D,$A48)&amp;" "&amp;INDEX(Korpus!$E:$E,$A48))</f>
        <v xml:space="preserve">Pasal 18</v>
      </c>
      <c r="D48" s="11" t="str">
        <f>IF(INDEX(Korpus!$B:$B,$A48)="","",INDEX(Korpus!$B:$B,$A48))</f>
        <v xml:space="preserve">BAB V
PEMROSESAN DATA PRIBADI</v>
      </c>
      <c r="E48" s="11" t="str">
        <f>IF(INDEX(Korpus!$C:$C,$A48)="","",INDEX(Korpus!$C:$C,$A48))</f>
        <v/>
      </c>
      <c r="F48" s="11" t="str">
        <f>IF(INDEX(Korpus!$F:$F,$A48)="","",INDEX(Korpus!$F:$F,$A48))</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G48" s="12"/>
      <c r="H48" s="12"/>
      <c r="I48" s="12"/>
      <c r="J48" s="12"/>
      <c r="K48" s="12"/>
      <c r="L48" s="12"/>
      <c r="M48" s="13"/>
      <c r="N48" s="13"/>
      <c r="O48" s="13"/>
      <c r="P48" s="13"/>
      <c r="Q48" s="13"/>
      <c r="R48" s="13"/>
      <c r="S48" s="14"/>
      <c r="T48" s="14"/>
      <c r="U48" s="14"/>
      <c r="V48" s="14"/>
      <c r="W48" s="14"/>
      <c r="X48" s="14"/>
      <c r="Y48" s="10" t="str">
        <f t="shared" si="15"/>
        <v/>
      </c>
      <c r="Z48" s="10" t="str">
        <f t="shared" si="16"/>
        <v/>
      </c>
      <c r="AA48" s="10" t="str">
        <f t="shared" si="17"/>
        <v/>
      </c>
      <c r="AB48" s="10" t="str">
        <f t="shared" si="18"/>
        <v/>
      </c>
      <c r="AC48" s="10" t="str">
        <f t="shared" si="19"/>
        <v/>
      </c>
      <c r="AD48" s="10" t="str">
        <f t="shared" si="20"/>
        <v/>
      </c>
      <c r="AE48" s="10">
        <f t="shared" si="21"/>
        <v>0</v>
      </c>
      <c r="AF48" s="15"/>
      <c r="AG48" s="15"/>
      <c r="AH48" s="15"/>
      <c r="AI48" s="15"/>
      <c r="AJ48" s="15"/>
      <c r="AK48" s="15"/>
      <c r="AL48" s="16" t="str">
        <f t="shared" si="22"/>
        <v/>
      </c>
      <c r="AM48" s="16" t="str">
        <f t="shared" si="23"/>
        <v/>
      </c>
      <c r="AN48" s="16" t="str">
        <f t="shared" si="24"/>
        <v/>
      </c>
      <c r="AO48" s="16" t="str">
        <f t="shared" si="25"/>
        <v/>
      </c>
      <c r="AP48" s="16" t="str">
        <f t="shared" si="26"/>
        <v/>
      </c>
      <c r="AQ48" s="16" t="str">
        <f t="shared" si="27"/>
        <v/>
      </c>
      <c r="AR48" s="17"/>
      <c r="AS48" s="10" t="str">
        <f t="shared" si="28"/>
        <v xml:space="preserve">Menunggu coder</v>
      </c>
      <c r="AT48" s="11" t="str">
        <f t="shared" si="29"/>
        <v/>
      </c>
    </row>
    <row r="49" ht="48" customHeight="1">
      <c r="A49" s="10">
        <v>46</v>
      </c>
      <c r="B49" s="11" t="str">
        <f>IF(INDEX(Korpus!$A:$A,$A49)="","",INDEX(Korpus!$A:$A,$A49))</f>
        <v xml:space="preserve">UU 27 Thn 2022 (PDP)</v>
      </c>
      <c r="C49" s="11" t="str">
        <f>TRIM(INDEX(Korpus!$D:$D,$A49)&amp;" "&amp;INDEX(Korpus!$E:$E,$A49))</f>
        <v xml:space="preserve">Pasal 19</v>
      </c>
      <c r="D49" s="11" t="str">
        <f>IF(INDEX(Korpus!$B:$B,$A49)="","",INDEX(Korpus!$B:$B,$A49))</f>
        <v xml:space="preserve">BAB VI
KEWAJIBAN PENGENDALI DATA PRIBADI DAN PROSESOR DATA PRIBADI DALAM PEMROSESAN DATA PRIBADI</v>
      </c>
      <c r="E49" s="11" t="str">
        <f>IF(INDEX(Korpus!$C:$C,$A49)="","",INDEX(Korpus!$C:$C,$A49))</f>
        <v xml:space="preserve">Bagian Kesatu
Umum</v>
      </c>
      <c r="F49" s="11" t="str">
        <f>IF(INDEX(Korpus!$F:$F,$A49)="","",INDEX(Korpus!$F:$F,$A49))</f>
        <v xml:space="preserve">Pengendali Data Pribadi dan Prosesor Data Pribadi meliputi: a. Setiap Orang; b. Badan Publik; dan c. Organisasi Internasional.</v>
      </c>
      <c r="G49" s="12"/>
      <c r="H49" s="12"/>
      <c r="I49" s="12"/>
      <c r="J49" s="12"/>
      <c r="K49" s="12"/>
      <c r="L49" s="12"/>
      <c r="M49" s="13"/>
      <c r="N49" s="13"/>
      <c r="O49" s="13"/>
      <c r="P49" s="13"/>
      <c r="Q49" s="13"/>
      <c r="R49" s="13"/>
      <c r="S49" s="14"/>
      <c r="T49" s="14"/>
      <c r="U49" s="14"/>
      <c r="V49" s="14"/>
      <c r="W49" s="14"/>
      <c r="X49" s="14"/>
      <c r="Y49" s="10" t="str">
        <f t="shared" si="15"/>
        <v/>
      </c>
      <c r="Z49" s="10" t="str">
        <f t="shared" si="16"/>
        <v/>
      </c>
      <c r="AA49" s="10" t="str">
        <f t="shared" si="17"/>
        <v/>
      </c>
      <c r="AB49" s="10" t="str">
        <f t="shared" si="18"/>
        <v/>
      </c>
      <c r="AC49" s="10" t="str">
        <f t="shared" si="19"/>
        <v/>
      </c>
      <c r="AD49" s="10" t="str">
        <f t="shared" si="20"/>
        <v/>
      </c>
      <c r="AE49" s="10">
        <f t="shared" si="21"/>
        <v>0</v>
      </c>
      <c r="AF49" s="15"/>
      <c r="AG49" s="15"/>
      <c r="AH49" s="15"/>
      <c r="AI49" s="15"/>
      <c r="AJ49" s="15"/>
      <c r="AK49" s="15"/>
      <c r="AL49" s="16" t="str">
        <f t="shared" si="22"/>
        <v/>
      </c>
      <c r="AM49" s="16" t="str">
        <f t="shared" si="23"/>
        <v/>
      </c>
      <c r="AN49" s="16" t="str">
        <f t="shared" si="24"/>
        <v/>
      </c>
      <c r="AO49" s="16" t="str">
        <f t="shared" si="25"/>
        <v/>
      </c>
      <c r="AP49" s="16" t="str">
        <f t="shared" si="26"/>
        <v/>
      </c>
      <c r="AQ49" s="16" t="str">
        <f t="shared" si="27"/>
        <v/>
      </c>
      <c r="AR49" s="17"/>
      <c r="AS49" s="10" t="str">
        <f t="shared" si="28"/>
        <v xml:space="preserve">Menunggu coder</v>
      </c>
      <c r="AT49" s="11" t="str">
        <f t="shared" si="29"/>
        <v/>
      </c>
    </row>
    <row r="50" ht="48" customHeight="1">
      <c r="A50" s="10">
        <v>47</v>
      </c>
      <c r="B50" s="11" t="str">
        <f>IF(INDEX(Korpus!$A:$A,$A50)="","",INDEX(Korpus!$A:$A,$A50))</f>
        <v xml:space="preserve">UU 27 Thn 2022 (PDP)</v>
      </c>
      <c r="C50" s="11" t="str">
        <f>TRIM(INDEX(Korpus!$D:$D,$A50)&amp;" "&amp;INDEX(Korpus!$E:$E,$A50))</f>
        <v xml:space="preserve">Pasal 20</v>
      </c>
      <c r="D50" s="11" t="str">
        <f>IF(INDEX(Korpus!$B:$B,$A50)="","",INDEX(Korpus!$B:$B,$A50))</f>
        <v xml:space="preserve">BAB VI
KEWAJIBAN PENGENDALI DATA PRIBADI DAN PROSESOR DATA PRIBADI DALAM PEMROSESAN DATA PRIBADI</v>
      </c>
      <c r="E50" s="11" t="str">
        <f>IF(INDEX(Korpus!$C:$C,$A50)="","",INDEX(Korpus!$C:$C,$A50))</f>
        <v xml:space="preserve">Bagian Kedua Kewajiban Pengendali Data Pribadi</v>
      </c>
      <c r="F50" s="11" t="str">
        <f>IF(INDEX(Korpus!$F:$F,$A50)="","",INDEX(Korpus!$F:$F,$A50))</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G50" s="12"/>
      <c r="H50" s="12"/>
      <c r="I50" s="12"/>
      <c r="J50" s="12"/>
      <c r="K50" s="12"/>
      <c r="L50" s="12"/>
      <c r="M50" s="13"/>
      <c r="N50" s="13"/>
      <c r="O50" s="13"/>
      <c r="P50" s="13"/>
      <c r="Q50" s="13"/>
      <c r="R50" s="13"/>
      <c r="S50" s="14"/>
      <c r="T50" s="14"/>
      <c r="U50" s="14"/>
      <c r="V50" s="14"/>
      <c r="W50" s="14"/>
      <c r="X50" s="14"/>
      <c r="Y50" s="10" t="str">
        <f t="shared" si="15"/>
        <v/>
      </c>
      <c r="Z50" s="10" t="str">
        <f t="shared" si="16"/>
        <v/>
      </c>
      <c r="AA50" s="10" t="str">
        <f t="shared" si="17"/>
        <v/>
      </c>
      <c r="AB50" s="10" t="str">
        <f t="shared" si="18"/>
        <v/>
      </c>
      <c r="AC50" s="10" t="str">
        <f t="shared" si="19"/>
        <v/>
      </c>
      <c r="AD50" s="10" t="str">
        <f t="shared" si="20"/>
        <v/>
      </c>
      <c r="AE50" s="10">
        <f t="shared" si="21"/>
        <v>0</v>
      </c>
      <c r="AF50" s="15"/>
      <c r="AG50" s="15"/>
      <c r="AH50" s="15"/>
      <c r="AI50" s="15"/>
      <c r="AJ50" s="15"/>
      <c r="AK50" s="15"/>
      <c r="AL50" s="16" t="str">
        <f t="shared" si="22"/>
        <v/>
      </c>
      <c r="AM50" s="16" t="str">
        <f t="shared" si="23"/>
        <v/>
      </c>
      <c r="AN50" s="16" t="str">
        <f t="shared" si="24"/>
        <v/>
      </c>
      <c r="AO50" s="16" t="str">
        <f t="shared" si="25"/>
        <v/>
      </c>
      <c r="AP50" s="16" t="str">
        <f t="shared" si="26"/>
        <v/>
      </c>
      <c r="AQ50" s="16" t="str">
        <f t="shared" si="27"/>
        <v/>
      </c>
      <c r="AR50" s="17"/>
      <c r="AS50" s="10" t="str">
        <f t="shared" si="28"/>
        <v xml:space="preserve">Menunggu coder</v>
      </c>
      <c r="AT50" s="11" t="str">
        <f t="shared" si="29"/>
        <v/>
      </c>
    </row>
    <row r="51" ht="48" customHeight="1">
      <c r="A51" s="10">
        <v>48</v>
      </c>
      <c r="B51" s="11" t="str">
        <f>IF(INDEX(Korpus!$A:$A,$A51)="","",INDEX(Korpus!$A:$A,$A51))</f>
        <v xml:space="preserve">UU 27 Thn 2022 (PDP)</v>
      </c>
      <c r="C51" s="11" t="str">
        <f>TRIM(INDEX(Korpus!$D:$D,$A51)&amp;" "&amp;INDEX(Korpus!$E:$E,$A51))</f>
        <v xml:space="preserve">Pasal 21</v>
      </c>
      <c r="D51" s="11" t="str">
        <f>IF(INDEX(Korpus!$B:$B,$A51)="","",INDEX(Korpus!$B:$B,$A51))</f>
        <v xml:space="preserve">BAB VI
KEWAJIBAN PENGENDALI DATA PRIBADI DAN PROSESOR DATA PRIBADI DALAM PEMROSESAN DATA PRIBADI</v>
      </c>
      <c r="E51" s="11" t="str">
        <f>IF(INDEX(Korpus!$C:$C,$A51)="","",INDEX(Korpus!$C:$C,$A51))</f>
        <v xml:space="preserve">Bagian Kedua Kewajiban Pengendali Data Pribadi</v>
      </c>
      <c r="F51" s="11" t="str">
        <f>IF(INDEX(Korpus!$F:$F,$A51)="","",INDEX(Korpus!$F:$F,$A51))</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G51" s="12"/>
      <c r="H51" s="12"/>
      <c r="I51" s="12"/>
      <c r="J51" s="12"/>
      <c r="K51" s="12"/>
      <c r="L51" s="12"/>
      <c r="M51" s="13"/>
      <c r="N51" s="13"/>
      <c r="O51" s="13"/>
      <c r="P51" s="13"/>
      <c r="Q51" s="13"/>
      <c r="R51" s="13"/>
      <c r="S51" s="14"/>
      <c r="T51" s="14"/>
      <c r="U51" s="14"/>
      <c r="V51" s="14"/>
      <c r="W51" s="14"/>
      <c r="X51" s="14"/>
      <c r="Y51" s="10" t="str">
        <f t="shared" si="15"/>
        <v/>
      </c>
      <c r="Z51" s="10" t="str">
        <f t="shared" si="16"/>
        <v/>
      </c>
      <c r="AA51" s="10" t="str">
        <f t="shared" si="17"/>
        <v/>
      </c>
      <c r="AB51" s="10" t="str">
        <f t="shared" si="18"/>
        <v/>
      </c>
      <c r="AC51" s="10" t="str">
        <f t="shared" si="19"/>
        <v/>
      </c>
      <c r="AD51" s="10" t="str">
        <f t="shared" si="20"/>
        <v/>
      </c>
      <c r="AE51" s="10">
        <f t="shared" si="21"/>
        <v>0</v>
      </c>
      <c r="AF51" s="15"/>
      <c r="AG51" s="15"/>
      <c r="AH51" s="15"/>
      <c r="AI51" s="15"/>
      <c r="AJ51" s="15"/>
      <c r="AK51" s="15"/>
      <c r="AL51" s="16" t="str">
        <f t="shared" si="22"/>
        <v/>
      </c>
      <c r="AM51" s="16" t="str">
        <f t="shared" si="23"/>
        <v/>
      </c>
      <c r="AN51" s="16" t="str">
        <f t="shared" si="24"/>
        <v/>
      </c>
      <c r="AO51" s="16" t="str">
        <f t="shared" si="25"/>
        <v/>
      </c>
      <c r="AP51" s="16" t="str">
        <f t="shared" si="26"/>
        <v/>
      </c>
      <c r="AQ51" s="16" t="str">
        <f t="shared" si="27"/>
        <v/>
      </c>
      <c r="AR51" s="17"/>
      <c r="AS51" s="10" t="str">
        <f t="shared" si="28"/>
        <v xml:space="preserve">Menunggu coder</v>
      </c>
      <c r="AT51" s="11" t="str">
        <f t="shared" si="29"/>
        <v/>
      </c>
    </row>
    <row r="52" ht="48" customHeight="1">
      <c r="A52" s="10">
        <v>49</v>
      </c>
      <c r="B52" s="11" t="str">
        <f>IF(INDEX(Korpus!$A:$A,$A52)="","",INDEX(Korpus!$A:$A,$A52))</f>
        <v xml:space="preserve">UU 27 Thn 2022 (PDP)</v>
      </c>
      <c r="C52" s="11" t="str">
        <f>TRIM(INDEX(Korpus!$D:$D,$A52)&amp;" "&amp;INDEX(Korpus!$E:$E,$A52))</f>
        <v xml:space="preserve">Pasal 22</v>
      </c>
      <c r="D52" s="11" t="str">
        <f>IF(INDEX(Korpus!$B:$B,$A52)="","",INDEX(Korpus!$B:$B,$A52))</f>
        <v xml:space="preserve">BAB VI
KEWAJIBAN PENGENDALI DATA PRIBADI DAN PROSESOR DATA PRIBADI DALAM PEMROSESAN DATA PRIBADI</v>
      </c>
      <c r="E52" s="11" t="str">
        <f>IF(INDEX(Korpus!$C:$C,$A52)="","",INDEX(Korpus!$C:$C,$A52))</f>
        <v xml:space="preserve">Bagian Kedua Kewajiban Pengendali Data Pribadi</v>
      </c>
      <c r="F52" s="11" t="str">
        <f>IF(INDEX(Korpus!$F:$F,$A52)="","",INDEX(Korpus!$F:$F,$A52))</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G52" s="12" t="s">
        <v>82</v>
      </c>
      <c r="H52" s="12" t="s">
        <v>97</v>
      </c>
      <c r="I52" s="12" t="s">
        <v>102</v>
      </c>
      <c r="J52" s="12" t="s">
        <v>91</v>
      </c>
      <c r="K52" s="12" t="s">
        <v>103</v>
      </c>
      <c r="L52" s="12" t="s">
        <v>101</v>
      </c>
      <c r="M52" s="13"/>
      <c r="N52" s="13"/>
      <c r="O52" s="13"/>
      <c r="P52" s="13"/>
      <c r="Q52" s="13"/>
      <c r="R52" s="13"/>
      <c r="S52" s="14"/>
      <c r="T52" s="14"/>
      <c r="U52" s="14"/>
      <c r="V52" s="14"/>
      <c r="W52" s="14"/>
      <c r="X52" s="14"/>
      <c r="Y52" s="10" t="str">
        <f t="shared" si="15"/>
        <v/>
      </c>
      <c r="Z52" s="10" t="str">
        <f t="shared" si="16"/>
        <v/>
      </c>
      <c r="AA52" s="10" t="str">
        <f t="shared" si="17"/>
        <v/>
      </c>
      <c r="AB52" s="10" t="str">
        <f t="shared" si="18"/>
        <v/>
      </c>
      <c r="AC52" s="10" t="str">
        <f t="shared" si="19"/>
        <v/>
      </c>
      <c r="AD52" s="10" t="str">
        <f t="shared" si="20"/>
        <v/>
      </c>
      <c r="AE52" s="10">
        <f t="shared" si="21"/>
        <v>0</v>
      </c>
      <c r="AF52" s="15"/>
      <c r="AG52" s="15"/>
      <c r="AH52" s="15"/>
      <c r="AI52" s="15"/>
      <c r="AJ52" s="15"/>
      <c r="AK52" s="15"/>
      <c r="AL52" s="16" t="str">
        <f t="shared" si="22"/>
        <v/>
      </c>
      <c r="AM52" s="16" t="str">
        <f t="shared" si="23"/>
        <v/>
      </c>
      <c r="AN52" s="16" t="str">
        <f t="shared" si="24"/>
        <v/>
      </c>
      <c r="AO52" s="16" t="str">
        <f t="shared" si="25"/>
        <v/>
      </c>
      <c r="AP52" s="16" t="str">
        <f t="shared" si="26"/>
        <v/>
      </c>
      <c r="AQ52" s="16" t="str">
        <f t="shared" si="27"/>
        <v/>
      </c>
      <c r="AR52" s="17"/>
      <c r="AS52" s="10" t="str">
        <f t="shared" si="28"/>
        <v xml:space="preserve">Menunggu coder</v>
      </c>
      <c r="AT52" s="11" t="str">
        <f t="shared" si="29"/>
        <v/>
      </c>
    </row>
    <row r="53" ht="48" customHeight="1">
      <c r="A53" s="10">
        <v>50</v>
      </c>
      <c r="B53" s="11" t="str">
        <f>IF(INDEX(Korpus!$A:$A,$A53)="","",INDEX(Korpus!$A:$A,$A53))</f>
        <v xml:space="preserve">UU 27 Thn 2022 (PDP)</v>
      </c>
      <c r="C53" s="11" t="str">
        <f>TRIM(INDEX(Korpus!$D:$D,$A53)&amp;" "&amp;INDEX(Korpus!$E:$E,$A53))</f>
        <v xml:space="preserve">Pasal 23</v>
      </c>
      <c r="D53" s="11" t="str">
        <f>IF(INDEX(Korpus!$B:$B,$A53)="","",INDEX(Korpus!$B:$B,$A53))</f>
        <v xml:space="preserve">BAB VI
KEWAJIBAN PENGENDALI DATA PRIBADI DAN PROSESOR DATA PRIBADI DALAM PEMROSESAN DATA PRIBADI</v>
      </c>
      <c r="E53" s="11" t="str">
        <f>IF(INDEX(Korpus!$C:$C,$A53)="","",INDEX(Korpus!$C:$C,$A53))</f>
        <v xml:space="preserve">Bagian Kedua Kewajiban Pengendali Data Pribadi</v>
      </c>
      <c r="F53" s="11" t="str">
        <f>IF(INDEX(Korpus!$F:$F,$A53)="","",INDEX(Korpus!$F:$F,$A53))</f>
        <v xml:space="preserve">Klausul perjanjian yang di dalamnya terdapat permintaan pemrosesan Data Pribadi yang tidak memuat persetujuan yang sah secara eksplisit dari Subjek Data Pribadi dinyatakan batal demi hukum.</v>
      </c>
      <c r="G53" s="12"/>
      <c r="H53" s="12"/>
      <c r="I53" s="12"/>
      <c r="J53" s="12"/>
      <c r="K53" s="12"/>
      <c r="L53" s="12"/>
      <c r="M53" s="13"/>
      <c r="N53" s="13"/>
      <c r="O53" s="13"/>
      <c r="P53" s="13"/>
      <c r="Q53" s="13"/>
      <c r="R53" s="13"/>
      <c r="S53" s="14"/>
      <c r="T53" s="14"/>
      <c r="U53" s="14"/>
      <c r="V53" s="14"/>
      <c r="W53" s="14"/>
      <c r="X53" s="14"/>
      <c r="Y53" s="10" t="str">
        <f t="shared" si="15"/>
        <v/>
      </c>
      <c r="Z53" s="10" t="str">
        <f t="shared" si="16"/>
        <v/>
      </c>
      <c r="AA53" s="10" t="str">
        <f t="shared" si="17"/>
        <v/>
      </c>
      <c r="AB53" s="10" t="str">
        <f t="shared" si="18"/>
        <v/>
      </c>
      <c r="AC53" s="10" t="str">
        <f t="shared" si="19"/>
        <v/>
      </c>
      <c r="AD53" s="10" t="str">
        <f t="shared" si="20"/>
        <v/>
      </c>
      <c r="AE53" s="10">
        <f t="shared" si="21"/>
        <v>0</v>
      </c>
      <c r="AF53" s="15"/>
      <c r="AG53" s="15"/>
      <c r="AH53" s="15"/>
      <c r="AI53" s="15"/>
      <c r="AJ53" s="15"/>
      <c r="AK53" s="15"/>
      <c r="AL53" s="16" t="str">
        <f t="shared" si="22"/>
        <v/>
      </c>
      <c r="AM53" s="16" t="str">
        <f t="shared" si="23"/>
        <v/>
      </c>
      <c r="AN53" s="16" t="str">
        <f t="shared" si="24"/>
        <v/>
      </c>
      <c r="AO53" s="16" t="str">
        <f t="shared" si="25"/>
        <v/>
      </c>
      <c r="AP53" s="16" t="str">
        <f t="shared" si="26"/>
        <v/>
      </c>
      <c r="AQ53" s="16" t="str">
        <f t="shared" si="27"/>
        <v/>
      </c>
      <c r="AR53" s="17"/>
      <c r="AS53" s="10" t="str">
        <f t="shared" si="28"/>
        <v xml:space="preserve">Menunggu coder</v>
      </c>
      <c r="AT53" s="11" t="str">
        <f t="shared" si="29"/>
        <v/>
      </c>
    </row>
    <row r="54" ht="48" customHeight="1">
      <c r="A54" s="10">
        <v>51</v>
      </c>
      <c r="B54" s="11" t="str">
        <f>IF(INDEX(Korpus!$A:$A,$A54)="","",INDEX(Korpus!$A:$A,$A54))</f>
        <v xml:space="preserve">UU 27 Thn 2022 (PDP)</v>
      </c>
      <c r="C54" s="11" t="str">
        <f>TRIM(INDEX(Korpus!$D:$D,$A54)&amp;" "&amp;INDEX(Korpus!$E:$E,$A54))</f>
        <v xml:space="preserve">Pasal 24</v>
      </c>
      <c r="D54" s="11" t="str">
        <f>IF(INDEX(Korpus!$B:$B,$A54)="","",INDEX(Korpus!$B:$B,$A54))</f>
        <v xml:space="preserve">BAB VI
KEWAJIBAN PENGENDALI DATA PRIBADI DAN PROSESOR DATA PRIBADI DALAM PEMROSESAN DATA PRIBADI</v>
      </c>
      <c r="E54" s="11" t="str">
        <f>IF(INDEX(Korpus!$C:$C,$A54)="","",INDEX(Korpus!$C:$C,$A54))</f>
        <v xml:space="preserve">Bagian Kedua Kewajiban Pengendali Data Pribadi</v>
      </c>
      <c r="F54" s="11" t="str">
        <f>IF(INDEX(Korpus!$F:$F,$A54)="","",INDEX(Korpus!$F:$F,$A54))</f>
        <v xml:space="preserve">Dalam melakukan pemrosesan Data Pribadi, Pengendali Data Pribadi wajib menunjukkan bukti persetujuan yang telah diberikan oleh Subjek Data Pribadi.</v>
      </c>
      <c r="G54" s="12"/>
      <c r="H54" s="12"/>
      <c r="I54" s="12"/>
      <c r="J54" s="12"/>
      <c r="K54" s="12"/>
      <c r="L54" s="12"/>
      <c r="M54" s="13"/>
      <c r="N54" s="13"/>
      <c r="O54" s="13"/>
      <c r="P54" s="13"/>
      <c r="Q54" s="13"/>
      <c r="R54" s="13"/>
      <c r="S54" s="14"/>
      <c r="T54" s="14"/>
      <c r="U54" s="14"/>
      <c r="V54" s="14"/>
      <c r="W54" s="14"/>
      <c r="X54" s="14"/>
      <c r="Y54" s="10" t="str">
        <f t="shared" si="15"/>
        <v/>
      </c>
      <c r="Z54" s="10" t="str">
        <f t="shared" si="16"/>
        <v/>
      </c>
      <c r="AA54" s="10" t="str">
        <f t="shared" si="17"/>
        <v/>
      </c>
      <c r="AB54" s="10" t="str">
        <f t="shared" si="18"/>
        <v/>
      </c>
      <c r="AC54" s="10" t="str">
        <f t="shared" si="19"/>
        <v/>
      </c>
      <c r="AD54" s="10" t="str">
        <f t="shared" si="20"/>
        <v/>
      </c>
      <c r="AE54" s="10">
        <f t="shared" si="21"/>
        <v>0</v>
      </c>
      <c r="AF54" s="15"/>
      <c r="AG54" s="15"/>
      <c r="AH54" s="15"/>
      <c r="AI54" s="15"/>
      <c r="AJ54" s="15"/>
      <c r="AK54" s="15"/>
      <c r="AL54" s="16" t="str">
        <f t="shared" si="22"/>
        <v/>
      </c>
      <c r="AM54" s="16" t="str">
        <f t="shared" si="23"/>
        <v/>
      </c>
      <c r="AN54" s="16" t="str">
        <f t="shared" si="24"/>
        <v/>
      </c>
      <c r="AO54" s="16" t="str">
        <f t="shared" si="25"/>
        <v/>
      </c>
      <c r="AP54" s="16" t="str">
        <f t="shared" si="26"/>
        <v/>
      </c>
      <c r="AQ54" s="16" t="str">
        <f t="shared" si="27"/>
        <v/>
      </c>
      <c r="AR54" s="17"/>
      <c r="AS54" s="10" t="str">
        <f t="shared" si="28"/>
        <v xml:space="preserve">Menunggu coder</v>
      </c>
      <c r="AT54" s="11" t="str">
        <f t="shared" si="29"/>
        <v/>
      </c>
    </row>
    <row r="55" ht="48" customHeight="1">
      <c r="A55" s="10">
        <v>52</v>
      </c>
      <c r="B55" s="11" t="str">
        <f>IF(INDEX(Korpus!$A:$A,$A55)="","",INDEX(Korpus!$A:$A,$A55))</f>
        <v xml:space="preserve">UU 27 Thn 2022 (PDP)</v>
      </c>
      <c r="C55" s="11" t="str">
        <f>TRIM(INDEX(Korpus!$D:$D,$A55)&amp;" "&amp;INDEX(Korpus!$E:$E,$A55))</f>
        <v xml:space="preserve">Pasal 25</v>
      </c>
      <c r="D55" s="11" t="str">
        <f>IF(INDEX(Korpus!$B:$B,$A55)="","",INDEX(Korpus!$B:$B,$A55))</f>
        <v xml:space="preserve">BAB VI
KEWAJIBAN PENGENDALI DATA PRIBADI DAN PROSESOR DATA PRIBADI DALAM PEMROSESAN DATA PRIBADI</v>
      </c>
      <c r="E55" s="11" t="str">
        <f>IF(INDEX(Korpus!$C:$C,$A55)="","",INDEX(Korpus!$C:$C,$A55))</f>
        <v xml:space="preserve">Bagian Kedua Kewajiban Pengendali Data Pribadi</v>
      </c>
      <c r="F55" s="11" t="str">
        <f>IF(INDEX(Korpus!$F:$F,$A55)="","",INDEX(Korpus!$F:$F,$A55))</f>
        <v xml:space="preserve">(1) Pemrosesan Data Pribadi anak secara khusus.(2) Pemrosesan Data Pribadi anak sebagaimana dimaksud pada ayat (1) wajib mendapat persetujuan dari orang tua anak dan/ atau wali anak sesuai dengan ketentuan peraturan perundang-undangan.</v>
      </c>
      <c r="G55" s="12"/>
      <c r="H55" s="12"/>
      <c r="I55" s="12"/>
      <c r="J55" s="12"/>
      <c r="K55" s="12"/>
      <c r="L55" s="12"/>
      <c r="M55" s="13"/>
      <c r="N55" s="13"/>
      <c r="O55" s="13"/>
      <c r="P55" s="13"/>
      <c r="Q55" s="13"/>
      <c r="R55" s="13"/>
      <c r="S55" s="14"/>
      <c r="T55" s="14"/>
      <c r="U55" s="14"/>
      <c r="V55" s="14"/>
      <c r="W55" s="14"/>
      <c r="X55" s="14"/>
      <c r="Y55" s="10" t="str">
        <f t="shared" si="15"/>
        <v/>
      </c>
      <c r="Z55" s="10" t="str">
        <f t="shared" si="16"/>
        <v/>
      </c>
      <c r="AA55" s="10" t="str">
        <f t="shared" si="17"/>
        <v/>
      </c>
      <c r="AB55" s="10" t="str">
        <f t="shared" si="18"/>
        <v/>
      </c>
      <c r="AC55" s="10" t="str">
        <f t="shared" si="19"/>
        <v/>
      </c>
      <c r="AD55" s="10" t="str">
        <f t="shared" si="20"/>
        <v/>
      </c>
      <c r="AE55" s="10">
        <f t="shared" si="21"/>
        <v>0</v>
      </c>
      <c r="AF55" s="15"/>
      <c r="AG55" s="15"/>
      <c r="AH55" s="15"/>
      <c r="AI55" s="15"/>
      <c r="AJ55" s="15"/>
      <c r="AK55" s="15"/>
      <c r="AL55" s="16" t="str">
        <f t="shared" si="22"/>
        <v/>
      </c>
      <c r="AM55" s="16" t="str">
        <f t="shared" si="23"/>
        <v/>
      </c>
      <c r="AN55" s="16" t="str">
        <f t="shared" si="24"/>
        <v/>
      </c>
      <c r="AO55" s="16" t="str">
        <f t="shared" si="25"/>
        <v/>
      </c>
      <c r="AP55" s="16" t="str">
        <f t="shared" si="26"/>
        <v/>
      </c>
      <c r="AQ55" s="16" t="str">
        <f t="shared" si="27"/>
        <v/>
      </c>
      <c r="AR55" s="17"/>
      <c r="AS55" s="10" t="str">
        <f t="shared" si="28"/>
        <v xml:space="preserve">Menunggu coder</v>
      </c>
      <c r="AT55" s="11" t="str">
        <f t="shared" si="29"/>
        <v/>
      </c>
    </row>
    <row r="56" ht="48" customHeight="1">
      <c r="A56" s="10">
        <v>53</v>
      </c>
      <c r="B56" s="11" t="str">
        <f>IF(INDEX(Korpus!$A:$A,$A56)="","",INDEX(Korpus!$A:$A,$A56))</f>
        <v xml:space="preserve">UU 27 Thn 2022 (PDP)</v>
      </c>
      <c r="C56" s="11" t="str">
        <f>TRIM(INDEX(Korpus!$D:$D,$A56)&amp;" "&amp;INDEX(Korpus!$E:$E,$A56))</f>
        <v xml:space="preserve">Pasal 26</v>
      </c>
      <c r="D56" s="11" t="str">
        <f>IF(INDEX(Korpus!$B:$B,$A56)="","",INDEX(Korpus!$B:$B,$A56))</f>
        <v xml:space="preserve">BAB VI
KEWAJIBAN PENGENDALI DATA PRIBADI DAN PROSESOR DATA PRIBADI DALAM PEMROSESAN DATA PRIBADI</v>
      </c>
      <c r="E56" s="11" t="str">
        <f>IF(INDEX(Korpus!$C:$C,$A56)="","",INDEX(Korpus!$C:$C,$A56))</f>
        <v xml:space="preserve">Bagian Kedua Kewajiban Pengendali Data Pribadi</v>
      </c>
      <c r="F56" s="11" t="str">
        <f>IF(INDEX(Korpus!$F:$F,$A56)="","",INDEX(Korpus!$F:$F,$A56))</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G56" s="12"/>
      <c r="H56" s="12"/>
      <c r="I56" s="12"/>
      <c r="J56" s="12"/>
      <c r="K56" s="12"/>
      <c r="L56" s="12"/>
      <c r="M56" s="13"/>
      <c r="N56" s="13"/>
      <c r="O56" s="13"/>
      <c r="P56" s="13"/>
      <c r="Q56" s="13"/>
      <c r="R56" s="13"/>
      <c r="S56" s="14"/>
      <c r="T56" s="14"/>
      <c r="U56" s="14"/>
      <c r="V56" s="14"/>
      <c r="W56" s="14"/>
      <c r="X56" s="14"/>
      <c r="Y56" s="10" t="str">
        <f t="shared" si="15"/>
        <v/>
      </c>
      <c r="Z56" s="10" t="str">
        <f t="shared" si="16"/>
        <v/>
      </c>
      <c r="AA56" s="10" t="str">
        <f t="shared" si="17"/>
        <v/>
      </c>
      <c r="AB56" s="10" t="str">
        <f t="shared" si="18"/>
        <v/>
      </c>
      <c r="AC56" s="10" t="str">
        <f t="shared" si="19"/>
        <v/>
      </c>
      <c r="AD56" s="10" t="str">
        <f t="shared" si="20"/>
        <v/>
      </c>
      <c r="AE56" s="10">
        <f t="shared" si="21"/>
        <v>0</v>
      </c>
      <c r="AF56" s="15"/>
      <c r="AG56" s="15"/>
      <c r="AH56" s="15"/>
      <c r="AI56" s="15"/>
      <c r="AJ56" s="15"/>
      <c r="AK56" s="15"/>
      <c r="AL56" s="16" t="str">
        <f t="shared" si="22"/>
        <v/>
      </c>
      <c r="AM56" s="16" t="str">
        <f t="shared" si="23"/>
        <v/>
      </c>
      <c r="AN56" s="16" t="str">
        <f t="shared" si="24"/>
        <v/>
      </c>
      <c r="AO56" s="16" t="str">
        <f t="shared" si="25"/>
        <v/>
      </c>
      <c r="AP56" s="16" t="str">
        <f t="shared" si="26"/>
        <v/>
      </c>
      <c r="AQ56" s="16" t="str">
        <f t="shared" si="27"/>
        <v/>
      </c>
      <c r="AR56" s="17"/>
      <c r="AS56" s="10" t="str">
        <f t="shared" si="28"/>
        <v xml:space="preserve">Menunggu coder</v>
      </c>
      <c r="AT56" s="11" t="str">
        <f t="shared" si="29"/>
        <v/>
      </c>
    </row>
    <row r="57" ht="48" customHeight="1">
      <c r="A57" s="10">
        <v>54</v>
      </c>
      <c r="B57" s="11" t="str">
        <f>IF(INDEX(Korpus!$A:$A,$A57)="","",INDEX(Korpus!$A:$A,$A57))</f>
        <v xml:space="preserve">UU 27 Thn 2022 (PDP)</v>
      </c>
      <c r="C57" s="11" t="str">
        <f>TRIM(INDEX(Korpus!$D:$D,$A57)&amp;" "&amp;INDEX(Korpus!$E:$E,$A57))</f>
        <v xml:space="preserve">Pasal 27</v>
      </c>
      <c r="D57" s="11" t="str">
        <f>IF(INDEX(Korpus!$B:$B,$A57)="","",INDEX(Korpus!$B:$B,$A57))</f>
        <v xml:space="preserve">BAB VI
KEWAJIBAN PENGENDALI DATA PRIBADI DAN PROSESOR DATA PRIBADI DALAM PEMROSESAN DATA PRIBADI</v>
      </c>
      <c r="E57" s="11" t="str">
        <f>IF(INDEX(Korpus!$C:$C,$A57)="","",INDEX(Korpus!$C:$C,$A57))</f>
        <v xml:space="preserve">Bagian Kedua Kewajiban Pengendali Data Pribadi</v>
      </c>
      <c r="F57" s="11" t="str">
        <f>IF(INDEX(Korpus!$F:$F,$A57)="","",INDEX(Korpus!$F:$F,$A57))</f>
        <v xml:space="preserve">Pengendali Data Pribadi wajib melakukan pemrosesan Data Pribadi secara terbatas dan spesifik, sah secara hukum, dan transparan.</v>
      </c>
      <c r="G57" s="12"/>
      <c r="H57" s="12"/>
      <c r="I57" s="12"/>
      <c r="J57" s="12"/>
      <c r="K57" s="12"/>
      <c r="L57" s="12"/>
      <c r="M57" s="13"/>
      <c r="N57" s="13"/>
      <c r="O57" s="13"/>
      <c r="P57" s="13"/>
      <c r="Q57" s="13"/>
      <c r="R57" s="13"/>
      <c r="S57" s="14"/>
      <c r="T57" s="14"/>
      <c r="U57" s="14"/>
      <c r="V57" s="14"/>
      <c r="W57" s="14"/>
      <c r="X57" s="14"/>
      <c r="Y57" s="10" t="str">
        <f t="shared" si="15"/>
        <v/>
      </c>
      <c r="Z57" s="10" t="str">
        <f t="shared" si="16"/>
        <v/>
      </c>
      <c r="AA57" s="10" t="str">
        <f t="shared" si="17"/>
        <v/>
      </c>
      <c r="AB57" s="10" t="str">
        <f t="shared" si="18"/>
        <v/>
      </c>
      <c r="AC57" s="10" t="str">
        <f t="shared" si="19"/>
        <v/>
      </c>
      <c r="AD57" s="10" t="str">
        <f t="shared" si="20"/>
        <v/>
      </c>
      <c r="AE57" s="10">
        <f t="shared" si="21"/>
        <v>0</v>
      </c>
      <c r="AF57" s="15"/>
      <c r="AG57" s="15"/>
      <c r="AH57" s="15"/>
      <c r="AI57" s="15"/>
      <c r="AJ57" s="15"/>
      <c r="AK57" s="15"/>
      <c r="AL57" s="16" t="str">
        <f t="shared" si="22"/>
        <v/>
      </c>
      <c r="AM57" s="16" t="str">
        <f t="shared" si="23"/>
        <v/>
      </c>
      <c r="AN57" s="16" t="str">
        <f t="shared" si="24"/>
        <v/>
      </c>
      <c r="AO57" s="16" t="str">
        <f t="shared" si="25"/>
        <v/>
      </c>
      <c r="AP57" s="16" t="str">
        <f t="shared" si="26"/>
        <v/>
      </c>
      <c r="AQ57" s="16" t="str">
        <f t="shared" si="27"/>
        <v/>
      </c>
      <c r="AR57" s="17"/>
      <c r="AS57" s="10" t="str">
        <f t="shared" si="28"/>
        <v xml:space="preserve">Menunggu coder</v>
      </c>
      <c r="AT57" s="11" t="str">
        <f t="shared" si="29"/>
        <v/>
      </c>
    </row>
    <row r="58" ht="48" customHeight="1">
      <c r="A58" s="10">
        <v>55</v>
      </c>
      <c r="B58" s="11" t="str">
        <f>IF(INDEX(Korpus!$A:$A,$A58)="","",INDEX(Korpus!$A:$A,$A58))</f>
        <v xml:space="preserve">UU 27 Thn 2022 (PDP)</v>
      </c>
      <c r="C58" s="11" t="str">
        <f>TRIM(INDEX(Korpus!$D:$D,$A58)&amp;" "&amp;INDEX(Korpus!$E:$E,$A58))</f>
        <v xml:space="preserve">Pasal 28</v>
      </c>
      <c r="D58" s="11" t="str">
        <f>IF(INDEX(Korpus!$B:$B,$A58)="","",INDEX(Korpus!$B:$B,$A58))</f>
        <v xml:space="preserve">BAB VI
KEWAJIBAN PENGENDALI DATA PRIBADI DAN PROSESOR DATA PRIBADI DALAM PEMROSESAN DATA PRIBADI</v>
      </c>
      <c r="E58" s="11" t="str">
        <f>IF(INDEX(Korpus!$C:$C,$A58)="","",INDEX(Korpus!$C:$C,$A58))</f>
        <v xml:space="preserve">Bagian Kedua Kewajiban Pengendali Data Pribadi</v>
      </c>
      <c r="F58" s="11" t="str">
        <f>IF(INDEX(Korpus!$F:$F,$A58)="","",INDEX(Korpus!$F:$F,$A58))</f>
        <v xml:space="preserve">Pengendali Data Pribadi wajib melakukan pemrosesan Data Pribadi sesuai dengan tujuan pemrosesan Data Pribadi.</v>
      </c>
      <c r="G58" s="12" t="s">
        <v>104</v>
      </c>
      <c r="H58" s="12" t="s">
        <v>97</v>
      </c>
      <c r="I58" s="12" t="s">
        <v>105</v>
      </c>
      <c r="J58" s="12" t="s">
        <v>91</v>
      </c>
      <c r="K58" s="12" t="s">
        <v>86</v>
      </c>
      <c r="L58" s="12" t="s">
        <v>95</v>
      </c>
      <c r="M58" s="13"/>
      <c r="N58" s="13"/>
      <c r="O58" s="13"/>
      <c r="P58" s="13"/>
      <c r="Q58" s="13"/>
      <c r="R58" s="13"/>
      <c r="S58" s="14"/>
      <c r="T58" s="14"/>
      <c r="U58" s="14"/>
      <c r="V58" s="14"/>
      <c r="W58" s="14"/>
      <c r="X58" s="14"/>
      <c r="Y58" s="10" t="str">
        <f t="shared" si="15"/>
        <v/>
      </c>
      <c r="Z58" s="10" t="str">
        <f t="shared" si="16"/>
        <v/>
      </c>
      <c r="AA58" s="10" t="str">
        <f t="shared" si="17"/>
        <v/>
      </c>
      <c r="AB58" s="10" t="str">
        <f t="shared" si="18"/>
        <v/>
      </c>
      <c r="AC58" s="10" t="str">
        <f t="shared" si="19"/>
        <v/>
      </c>
      <c r="AD58" s="10" t="str">
        <f t="shared" si="20"/>
        <v/>
      </c>
      <c r="AE58" s="10">
        <f t="shared" si="21"/>
        <v>0</v>
      </c>
      <c r="AF58" s="15"/>
      <c r="AG58" s="15"/>
      <c r="AH58" s="15"/>
      <c r="AI58" s="15"/>
      <c r="AJ58" s="15"/>
      <c r="AK58" s="15"/>
      <c r="AL58" s="16" t="str">
        <f t="shared" si="22"/>
        <v/>
      </c>
      <c r="AM58" s="16" t="str">
        <f t="shared" si="23"/>
        <v/>
      </c>
      <c r="AN58" s="16" t="str">
        <f t="shared" si="24"/>
        <v/>
      </c>
      <c r="AO58" s="16" t="str">
        <f t="shared" si="25"/>
        <v/>
      </c>
      <c r="AP58" s="16" t="str">
        <f t="shared" si="26"/>
        <v/>
      </c>
      <c r="AQ58" s="16" t="str">
        <f t="shared" si="27"/>
        <v/>
      </c>
      <c r="AR58" s="17"/>
      <c r="AS58" s="10" t="str">
        <f t="shared" si="28"/>
        <v xml:space="preserve">Menunggu coder</v>
      </c>
      <c r="AT58" s="11" t="str">
        <f t="shared" si="29"/>
        <v/>
      </c>
    </row>
    <row r="59" ht="48" customHeight="1">
      <c r="A59" s="10">
        <v>56</v>
      </c>
      <c r="B59" s="11" t="str">
        <f>IF(INDEX(Korpus!$A:$A,$A59)="","",INDEX(Korpus!$A:$A,$A59))</f>
        <v xml:space="preserve">UU 27 Thn 2022 (PDP)</v>
      </c>
      <c r="C59" s="11" t="str">
        <f>TRIM(INDEX(Korpus!$D:$D,$A59)&amp;" "&amp;INDEX(Korpus!$E:$E,$A59))</f>
        <v xml:space="preserve">Pasal 29</v>
      </c>
      <c r="D59" s="11" t="str">
        <f>IF(INDEX(Korpus!$B:$B,$A59)="","",INDEX(Korpus!$B:$B,$A59))</f>
        <v xml:space="preserve">BAB VI
KEWAJIBAN PENGENDALI DATA PRIBADI DAN PROSESOR DATA PRIBADI DALAM PEMROSESAN DATA PRIBADI</v>
      </c>
      <c r="E59" s="11" t="str">
        <f>IF(INDEX(Korpus!$C:$C,$A59)="","",INDEX(Korpus!$C:$C,$A59))</f>
        <v xml:space="preserve">Bagian Kedua Kewajiban Pengendali Data Pribadi</v>
      </c>
      <c r="F59" s="11" t="str">
        <f>IF(INDEX(Korpus!$F:$F,$A59)="","",INDEX(Korpus!$F:$F,$A59))</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G59" s="12"/>
      <c r="H59" s="12"/>
      <c r="I59" s="12"/>
      <c r="J59" s="12"/>
      <c r="K59" s="12"/>
      <c r="L59" s="12"/>
      <c r="M59" s="13"/>
      <c r="N59" s="13"/>
      <c r="O59" s="13"/>
      <c r="P59" s="13"/>
      <c r="Q59" s="13"/>
      <c r="R59" s="13"/>
      <c r="S59" s="14"/>
      <c r="T59" s="14"/>
      <c r="U59" s="14"/>
      <c r="V59" s="14"/>
      <c r="W59" s="14"/>
      <c r="X59" s="14"/>
      <c r="Y59" s="10" t="str">
        <f t="shared" si="15"/>
        <v/>
      </c>
      <c r="Z59" s="10" t="str">
        <f t="shared" si="16"/>
        <v/>
      </c>
      <c r="AA59" s="10" t="str">
        <f t="shared" si="17"/>
        <v/>
      </c>
      <c r="AB59" s="10" t="str">
        <f t="shared" si="18"/>
        <v/>
      </c>
      <c r="AC59" s="10" t="str">
        <f t="shared" si="19"/>
        <v/>
      </c>
      <c r="AD59" s="10" t="str">
        <f t="shared" si="20"/>
        <v/>
      </c>
      <c r="AE59" s="10">
        <f t="shared" si="21"/>
        <v>0</v>
      </c>
      <c r="AF59" s="15"/>
      <c r="AG59" s="15"/>
      <c r="AH59" s="15"/>
      <c r="AI59" s="15"/>
      <c r="AJ59" s="15"/>
      <c r="AK59" s="15"/>
      <c r="AL59" s="16" t="str">
        <f t="shared" si="22"/>
        <v/>
      </c>
      <c r="AM59" s="16" t="str">
        <f t="shared" si="23"/>
        <v/>
      </c>
      <c r="AN59" s="16" t="str">
        <f t="shared" si="24"/>
        <v/>
      </c>
      <c r="AO59" s="16" t="str">
        <f t="shared" si="25"/>
        <v/>
      </c>
      <c r="AP59" s="16" t="str">
        <f t="shared" si="26"/>
        <v/>
      </c>
      <c r="AQ59" s="16" t="str">
        <f t="shared" si="27"/>
        <v/>
      </c>
      <c r="AR59" s="17"/>
      <c r="AS59" s="10" t="str">
        <f t="shared" si="28"/>
        <v xml:space="preserve">Menunggu coder</v>
      </c>
      <c r="AT59" s="11" t="str">
        <f t="shared" si="29"/>
        <v/>
      </c>
    </row>
    <row r="60" ht="48" customHeight="1">
      <c r="A60" s="10">
        <v>57</v>
      </c>
      <c r="B60" s="11" t="str">
        <f>IF(INDEX(Korpus!$A:$A,$A60)="","",INDEX(Korpus!$A:$A,$A60))</f>
        <v xml:space="preserve">UU 27 Thn 2022 (PDP)</v>
      </c>
      <c r="C60" s="11" t="str">
        <f>TRIM(INDEX(Korpus!$D:$D,$A60)&amp;" "&amp;INDEX(Korpus!$E:$E,$A60))</f>
        <v xml:space="preserve">Pasal 30</v>
      </c>
      <c r="D60" s="11" t="str">
        <f>IF(INDEX(Korpus!$B:$B,$A60)="","",INDEX(Korpus!$B:$B,$A60))</f>
        <v xml:space="preserve">BAB VI
KEWAJIBAN PENGENDALI DATA PRIBADI DAN PROSESOR DATA PRIBADI DALAM PEMROSESAN DATA PRIBADI</v>
      </c>
      <c r="E60" s="11" t="str">
        <f>IF(INDEX(Korpus!$C:$C,$A60)="","",INDEX(Korpus!$C:$C,$A60))</f>
        <v xml:space="preserve">Bagian Kedua Kewajiban Pengendali Data Pribadi</v>
      </c>
      <c r="F60" s="11" t="str">
        <f>IF(INDEX(Korpus!$F:$F,$A60)="","",INDEX(Korpus!$F:$F,$A60))</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G60" s="12"/>
      <c r="H60" s="12"/>
      <c r="I60" s="12"/>
      <c r="J60" s="12"/>
      <c r="K60" s="12"/>
      <c r="L60" s="12"/>
      <c r="M60" s="13"/>
      <c r="N60" s="13"/>
      <c r="O60" s="13"/>
      <c r="P60" s="13"/>
      <c r="Q60" s="13"/>
      <c r="R60" s="13"/>
      <c r="S60" s="14"/>
      <c r="T60" s="14"/>
      <c r="U60" s="14"/>
      <c r="V60" s="14"/>
      <c r="W60" s="14"/>
      <c r="X60" s="14"/>
      <c r="Y60" s="10" t="str">
        <f t="shared" si="15"/>
        <v/>
      </c>
      <c r="Z60" s="10" t="str">
        <f t="shared" si="16"/>
        <v/>
      </c>
      <c r="AA60" s="10" t="str">
        <f t="shared" si="17"/>
        <v/>
      </c>
      <c r="AB60" s="10" t="str">
        <f t="shared" si="18"/>
        <v/>
      </c>
      <c r="AC60" s="10" t="str">
        <f t="shared" si="19"/>
        <v/>
      </c>
      <c r="AD60" s="10" t="str">
        <f t="shared" si="20"/>
        <v/>
      </c>
      <c r="AE60" s="10">
        <f t="shared" si="21"/>
        <v>0</v>
      </c>
      <c r="AF60" s="15"/>
      <c r="AG60" s="15"/>
      <c r="AH60" s="15"/>
      <c r="AI60" s="15"/>
      <c r="AJ60" s="15"/>
      <c r="AK60" s="15"/>
      <c r="AL60" s="16" t="str">
        <f t="shared" si="22"/>
        <v/>
      </c>
      <c r="AM60" s="16" t="str">
        <f t="shared" si="23"/>
        <v/>
      </c>
      <c r="AN60" s="16" t="str">
        <f t="shared" si="24"/>
        <v/>
      </c>
      <c r="AO60" s="16" t="str">
        <f t="shared" si="25"/>
        <v/>
      </c>
      <c r="AP60" s="16" t="str">
        <f t="shared" si="26"/>
        <v/>
      </c>
      <c r="AQ60" s="16" t="str">
        <f t="shared" si="27"/>
        <v/>
      </c>
      <c r="AR60" s="17"/>
      <c r="AS60" s="10" t="str">
        <f t="shared" si="28"/>
        <v xml:space="preserve">Menunggu coder</v>
      </c>
      <c r="AT60" s="11" t="str">
        <f t="shared" si="29"/>
        <v/>
      </c>
    </row>
    <row r="61" ht="48" customHeight="1">
      <c r="A61" s="10">
        <v>58</v>
      </c>
      <c r="B61" s="11" t="str">
        <f>IF(INDEX(Korpus!$A:$A,$A61)="","",INDEX(Korpus!$A:$A,$A61))</f>
        <v xml:space="preserve">UU 27 Thn 2022 (PDP)</v>
      </c>
      <c r="C61" s="11" t="str">
        <f>TRIM(INDEX(Korpus!$D:$D,$A61)&amp;" "&amp;INDEX(Korpus!$E:$E,$A61))</f>
        <v xml:space="preserve">Pasal 31</v>
      </c>
      <c r="D61" s="11" t="str">
        <f>IF(INDEX(Korpus!$B:$B,$A61)="","",INDEX(Korpus!$B:$B,$A61))</f>
        <v xml:space="preserve">BAB VI
KEWAJIBAN PENGENDALI DATA PRIBADI DAN PROSESOR DATA PRIBADI DALAM PEMROSESAN DATA PRIBADI</v>
      </c>
      <c r="E61" s="11" t="str">
        <f>IF(INDEX(Korpus!$C:$C,$A61)="","",INDEX(Korpus!$C:$C,$A61))</f>
        <v xml:space="preserve">Bagian Kedua Kewajiban Pengendali Data Pribadi</v>
      </c>
      <c r="F61" s="11" t="str">
        <f>IF(INDEX(Korpus!$F:$F,$A61)="","",INDEX(Korpus!$F:$F,$A61))</f>
        <v xml:space="preserve">Pengendali Data Pribadi wajib melakukan perekaman terhadap seluruh kegiatan pemrosesan Data Pribadi.</v>
      </c>
      <c r="G61" s="12"/>
      <c r="H61" s="12"/>
      <c r="I61" s="12"/>
      <c r="J61" s="12"/>
      <c r="K61" s="12"/>
      <c r="L61" s="12"/>
      <c r="M61" s="13"/>
      <c r="N61" s="13"/>
      <c r="O61" s="13"/>
      <c r="P61" s="13"/>
      <c r="Q61" s="13"/>
      <c r="R61" s="13"/>
      <c r="S61" s="14"/>
      <c r="T61" s="14"/>
      <c r="U61" s="14"/>
      <c r="V61" s="14"/>
      <c r="W61" s="14"/>
      <c r="X61" s="14"/>
      <c r="Y61" s="10" t="str">
        <f t="shared" si="15"/>
        <v/>
      </c>
      <c r="Z61" s="10" t="str">
        <f t="shared" si="16"/>
        <v/>
      </c>
      <c r="AA61" s="10" t="str">
        <f t="shared" si="17"/>
        <v/>
      </c>
      <c r="AB61" s="10" t="str">
        <f t="shared" si="18"/>
        <v/>
      </c>
      <c r="AC61" s="10" t="str">
        <f t="shared" si="19"/>
        <v/>
      </c>
      <c r="AD61" s="10" t="str">
        <f t="shared" si="20"/>
        <v/>
      </c>
      <c r="AE61" s="10">
        <f t="shared" si="21"/>
        <v>0</v>
      </c>
      <c r="AF61" s="15"/>
      <c r="AG61" s="15"/>
      <c r="AH61" s="15"/>
      <c r="AI61" s="15"/>
      <c r="AJ61" s="15"/>
      <c r="AK61" s="15"/>
      <c r="AL61" s="16" t="str">
        <f t="shared" si="22"/>
        <v/>
      </c>
      <c r="AM61" s="16" t="str">
        <f t="shared" si="23"/>
        <v/>
      </c>
      <c r="AN61" s="16" t="str">
        <f t="shared" si="24"/>
        <v/>
      </c>
      <c r="AO61" s="16" t="str">
        <f t="shared" si="25"/>
        <v/>
      </c>
      <c r="AP61" s="16" t="str">
        <f t="shared" si="26"/>
        <v/>
      </c>
      <c r="AQ61" s="16" t="str">
        <f t="shared" si="27"/>
        <v/>
      </c>
      <c r="AR61" s="17"/>
      <c r="AS61" s="10" t="str">
        <f t="shared" si="28"/>
        <v xml:space="preserve">Menunggu coder</v>
      </c>
      <c r="AT61" s="11" t="str">
        <f t="shared" si="29"/>
        <v/>
      </c>
    </row>
    <row r="62" ht="48" customHeight="1">
      <c r="A62" s="10">
        <v>59</v>
      </c>
      <c r="B62" s="11" t="str">
        <f>IF(INDEX(Korpus!$A:$A,$A62)="","",INDEX(Korpus!$A:$A,$A62))</f>
        <v xml:space="preserve">UU 27 Thn 2022 (PDP)</v>
      </c>
      <c r="C62" s="11" t="str">
        <f>TRIM(INDEX(Korpus!$D:$D,$A62)&amp;" "&amp;INDEX(Korpus!$E:$E,$A62))</f>
        <v xml:space="preserve">Pasal 32</v>
      </c>
      <c r="D62" s="11" t="str">
        <f>IF(INDEX(Korpus!$B:$B,$A62)="","",INDEX(Korpus!$B:$B,$A62))</f>
        <v xml:space="preserve">BAB VI
KEWAJIBAN PENGENDALI DATA PRIBADI DAN PROSESOR DATA PRIBADI DALAM PEMROSESAN DATA PRIBADI</v>
      </c>
      <c r="E62" s="11" t="str">
        <f>IF(INDEX(Korpus!$C:$C,$A62)="","",INDEX(Korpus!$C:$C,$A62))</f>
        <v xml:space="preserve">Bagian Kedua Kewajiban Pengendali Data Pribadi</v>
      </c>
      <c r="F62" s="11" t="str">
        <f>IF(INDEX(Korpus!$F:$F,$A62)="","",INDEX(Korpus!$F:$F,$A62))</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G62" s="12"/>
      <c r="H62" s="12"/>
      <c r="I62" s="12"/>
      <c r="J62" s="12"/>
      <c r="K62" s="12"/>
      <c r="L62" s="12"/>
      <c r="M62" s="13"/>
      <c r="N62" s="13"/>
      <c r="O62" s="13"/>
      <c r="P62" s="13"/>
      <c r="Q62" s="13"/>
      <c r="R62" s="13"/>
      <c r="S62" s="14"/>
      <c r="T62" s="14"/>
      <c r="U62" s="14"/>
      <c r="V62" s="14"/>
      <c r="W62" s="14"/>
      <c r="X62" s="14"/>
      <c r="Y62" s="10" t="str">
        <f t="shared" si="15"/>
        <v/>
      </c>
      <c r="Z62" s="10" t="str">
        <f t="shared" si="16"/>
        <v/>
      </c>
      <c r="AA62" s="10" t="str">
        <f t="shared" si="17"/>
        <v/>
      </c>
      <c r="AB62" s="10" t="str">
        <f t="shared" si="18"/>
        <v/>
      </c>
      <c r="AC62" s="10" t="str">
        <f t="shared" si="19"/>
        <v/>
      </c>
      <c r="AD62" s="10" t="str">
        <f t="shared" si="20"/>
        <v/>
      </c>
      <c r="AE62" s="10">
        <f t="shared" si="21"/>
        <v>0</v>
      </c>
      <c r="AF62" s="15"/>
      <c r="AG62" s="15"/>
      <c r="AH62" s="15"/>
      <c r="AI62" s="15"/>
      <c r="AJ62" s="15"/>
      <c r="AK62" s="15"/>
      <c r="AL62" s="16" t="str">
        <f t="shared" si="22"/>
        <v/>
      </c>
      <c r="AM62" s="16" t="str">
        <f t="shared" si="23"/>
        <v/>
      </c>
      <c r="AN62" s="16" t="str">
        <f t="shared" si="24"/>
        <v/>
      </c>
      <c r="AO62" s="16" t="str">
        <f t="shared" si="25"/>
        <v/>
      </c>
      <c r="AP62" s="16" t="str">
        <f t="shared" si="26"/>
        <v/>
      </c>
      <c r="AQ62" s="16" t="str">
        <f t="shared" si="27"/>
        <v/>
      </c>
      <c r="AR62" s="17"/>
      <c r="AS62" s="10" t="str">
        <f t="shared" si="28"/>
        <v xml:space="preserve">Menunggu coder</v>
      </c>
      <c r="AT62" s="11" t="str">
        <f t="shared" si="29"/>
        <v/>
      </c>
    </row>
    <row r="63" ht="48" customHeight="1">
      <c r="A63" s="10">
        <v>60</v>
      </c>
      <c r="B63" s="11" t="str">
        <f>IF(INDEX(Korpus!$A:$A,$A63)="","",INDEX(Korpus!$A:$A,$A63))</f>
        <v xml:space="preserve">UU 27 Thn 2022 (PDP)</v>
      </c>
      <c r="C63" s="11" t="str">
        <f>TRIM(INDEX(Korpus!$D:$D,$A63)&amp;" "&amp;INDEX(Korpus!$E:$E,$A63))</f>
        <v xml:space="preserve">Pasal 33</v>
      </c>
      <c r="D63" s="11" t="str">
        <f>IF(INDEX(Korpus!$B:$B,$A63)="","",INDEX(Korpus!$B:$B,$A63))</f>
        <v xml:space="preserve">BAB VI
KEWAJIBAN PENGENDALI DATA PRIBADI DAN PROSESOR DATA PRIBADI DALAM PEMROSESAN DATA PRIBADI</v>
      </c>
      <c r="E63" s="11" t="str">
        <f>IF(INDEX(Korpus!$C:$C,$A63)="","",INDEX(Korpus!$C:$C,$A63))</f>
        <v xml:space="preserve">Bagian Kedua Kewajiban Pengendali Data Pribadi</v>
      </c>
      <c r="F63" s="11" t="str">
        <f>IF(INDEX(Korpus!$F:$F,$A63)="","",INDEX(Korpus!$F:$F,$A63))</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G63" s="12"/>
      <c r="H63" s="12"/>
      <c r="I63" s="12"/>
      <c r="J63" s="12"/>
      <c r="K63" s="12"/>
      <c r="L63" s="12"/>
      <c r="M63" s="13"/>
      <c r="N63" s="13"/>
      <c r="O63" s="13"/>
      <c r="P63" s="13"/>
      <c r="Q63" s="13"/>
      <c r="R63" s="13"/>
      <c r="S63" s="14"/>
      <c r="T63" s="14"/>
      <c r="U63" s="14"/>
      <c r="V63" s="14"/>
      <c r="W63" s="14"/>
      <c r="X63" s="14"/>
      <c r="Y63" s="10" t="str">
        <f t="shared" si="15"/>
        <v/>
      </c>
      <c r="Z63" s="10" t="str">
        <f t="shared" si="16"/>
        <v/>
      </c>
      <c r="AA63" s="10" t="str">
        <f t="shared" si="17"/>
        <v/>
      </c>
      <c r="AB63" s="10" t="str">
        <f t="shared" si="18"/>
        <v/>
      </c>
      <c r="AC63" s="10" t="str">
        <f t="shared" si="19"/>
        <v/>
      </c>
      <c r="AD63" s="10" t="str">
        <f t="shared" si="20"/>
        <v/>
      </c>
      <c r="AE63" s="10">
        <f t="shared" si="21"/>
        <v>0</v>
      </c>
      <c r="AF63" s="15"/>
      <c r="AG63" s="15"/>
      <c r="AH63" s="15"/>
      <c r="AI63" s="15"/>
      <c r="AJ63" s="15"/>
      <c r="AK63" s="15"/>
      <c r="AL63" s="16" t="str">
        <f t="shared" si="22"/>
        <v/>
      </c>
      <c r="AM63" s="16" t="str">
        <f t="shared" si="23"/>
        <v/>
      </c>
      <c r="AN63" s="16" t="str">
        <f t="shared" si="24"/>
        <v/>
      </c>
      <c r="AO63" s="16" t="str">
        <f t="shared" si="25"/>
        <v/>
      </c>
      <c r="AP63" s="16" t="str">
        <f t="shared" si="26"/>
        <v/>
      </c>
      <c r="AQ63" s="16" t="str">
        <f t="shared" si="27"/>
        <v/>
      </c>
      <c r="AR63" s="17"/>
      <c r="AS63" s="10" t="str">
        <f t="shared" si="28"/>
        <v xml:space="preserve">Menunggu coder</v>
      </c>
      <c r="AT63" s="11" t="str">
        <f t="shared" si="29"/>
        <v/>
      </c>
    </row>
    <row r="64" ht="48" customHeight="1">
      <c r="A64" s="10">
        <v>61</v>
      </c>
      <c r="B64" s="11" t="str">
        <f>IF(INDEX(Korpus!$A:$A,$A64)="","",INDEX(Korpus!$A:$A,$A64))</f>
        <v xml:space="preserve">UU 27 Thn 2022 (PDP)</v>
      </c>
      <c r="C64" s="11" t="str">
        <f>TRIM(INDEX(Korpus!$D:$D,$A64)&amp;" "&amp;INDEX(Korpus!$E:$E,$A64))</f>
        <v xml:space="preserve">Pasal 34</v>
      </c>
      <c r="D64" s="11" t="str">
        <f>IF(INDEX(Korpus!$B:$B,$A64)="","",INDEX(Korpus!$B:$B,$A64))</f>
        <v xml:space="preserve">BAB VI
KEWAJIBAN PENGENDALI DATA PRIBADI DAN PROSESOR DATA PRIBADI DALAM PEMROSESAN DATA PRIBADI</v>
      </c>
      <c r="E64" s="11" t="str">
        <f>IF(INDEX(Korpus!$C:$C,$A64)="","",INDEX(Korpus!$C:$C,$A64))</f>
        <v xml:space="preserve">Bagian Kedua
Kewajiban Pengendali Data Pribadi</v>
      </c>
      <c r="F64" s="11" t="str">
        <f>IF(INDEX(Korpus!$F:$F,$A64)="","",INDEX(Korpus!$F:$F,$A64))</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G64" s="12"/>
      <c r="H64" s="12"/>
      <c r="I64" s="12"/>
      <c r="J64" s="12"/>
      <c r="K64" s="12"/>
      <c r="L64" s="12"/>
      <c r="M64" s="13"/>
      <c r="N64" s="13"/>
      <c r="O64" s="13"/>
      <c r="P64" s="13"/>
      <c r="Q64" s="13"/>
      <c r="R64" s="13"/>
      <c r="S64" s="14"/>
      <c r="T64" s="14"/>
      <c r="U64" s="14"/>
      <c r="V64" s="14"/>
      <c r="W64" s="14"/>
      <c r="X64" s="14"/>
      <c r="Y64" s="10" t="str">
        <f t="shared" si="15"/>
        <v/>
      </c>
      <c r="Z64" s="10" t="str">
        <f t="shared" si="16"/>
        <v/>
      </c>
      <c r="AA64" s="10" t="str">
        <f t="shared" si="17"/>
        <v/>
      </c>
      <c r="AB64" s="10" t="str">
        <f t="shared" si="18"/>
        <v/>
      </c>
      <c r="AC64" s="10" t="str">
        <f t="shared" si="19"/>
        <v/>
      </c>
      <c r="AD64" s="10" t="str">
        <f t="shared" si="20"/>
        <v/>
      </c>
      <c r="AE64" s="10">
        <f t="shared" si="21"/>
        <v>0</v>
      </c>
      <c r="AF64" s="15"/>
      <c r="AG64" s="15"/>
      <c r="AH64" s="15"/>
      <c r="AI64" s="15"/>
      <c r="AJ64" s="15"/>
      <c r="AK64" s="15"/>
      <c r="AL64" s="16" t="str">
        <f t="shared" si="22"/>
        <v/>
      </c>
      <c r="AM64" s="16" t="str">
        <f t="shared" si="23"/>
        <v/>
      </c>
      <c r="AN64" s="16" t="str">
        <f t="shared" si="24"/>
        <v/>
      </c>
      <c r="AO64" s="16" t="str">
        <f t="shared" si="25"/>
        <v/>
      </c>
      <c r="AP64" s="16" t="str">
        <f t="shared" si="26"/>
        <v/>
      </c>
      <c r="AQ64" s="16" t="str">
        <f t="shared" si="27"/>
        <v/>
      </c>
      <c r="AR64" s="17"/>
      <c r="AS64" s="10" t="str">
        <f t="shared" si="28"/>
        <v xml:space="preserve">Menunggu coder</v>
      </c>
      <c r="AT64" s="11" t="str">
        <f t="shared" si="29"/>
        <v/>
      </c>
    </row>
    <row r="65" ht="48" customHeight="1">
      <c r="A65" s="10">
        <v>62</v>
      </c>
      <c r="B65" s="11" t="str">
        <f>IF(INDEX(Korpus!$A:$A,$A65)="","",INDEX(Korpus!$A:$A,$A65))</f>
        <v xml:space="preserve">UU 27 Thn 2022 (PDP)</v>
      </c>
      <c r="C65" s="11" t="str">
        <f>TRIM(INDEX(Korpus!$D:$D,$A65)&amp;" "&amp;INDEX(Korpus!$E:$E,$A65))</f>
        <v xml:space="preserve">Pasal 35</v>
      </c>
      <c r="D65" s="11" t="str">
        <f>IF(INDEX(Korpus!$B:$B,$A65)="","",INDEX(Korpus!$B:$B,$A65))</f>
        <v xml:space="preserve">BAB VI
KEWAJIBAN PENGENDALI DATA PRIBADI DAN PROSESOR DATA PRIBADI DALAM PEMROSESAN DATA PRIBADI</v>
      </c>
      <c r="E65" s="11" t="str">
        <f>IF(INDEX(Korpus!$C:$C,$A65)="","",INDEX(Korpus!$C:$C,$A65))</f>
        <v xml:space="preserve">Bagian Kedua
Kewajiban Pengendali Data Pribadi</v>
      </c>
      <c r="F65" s="11" t="str">
        <f>IF(INDEX(Korpus!$F:$F,$A65)="","",INDEX(Korpus!$F:$F,$A65))</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G65" s="12" t="s">
        <v>104</v>
      </c>
      <c r="H65" s="12" t="s">
        <v>97</v>
      </c>
      <c r="I65" s="12" t="s">
        <v>90</v>
      </c>
      <c r="J65" s="12" t="s">
        <v>91</v>
      </c>
      <c r="K65" s="12" t="s">
        <v>106</v>
      </c>
      <c r="L65" s="12" t="s">
        <v>92</v>
      </c>
      <c r="M65" s="13"/>
      <c r="N65" s="13"/>
      <c r="O65" s="13"/>
      <c r="P65" s="13"/>
      <c r="Q65" s="13"/>
      <c r="R65" s="13"/>
      <c r="S65" s="14"/>
      <c r="T65" s="14"/>
      <c r="U65" s="14"/>
      <c r="V65" s="14"/>
      <c r="W65" s="14"/>
      <c r="X65" s="14"/>
      <c r="Y65" s="10" t="str">
        <f t="shared" si="15"/>
        <v/>
      </c>
      <c r="Z65" s="10" t="str">
        <f t="shared" si="16"/>
        <v/>
      </c>
      <c r="AA65" s="10" t="str">
        <f t="shared" si="17"/>
        <v/>
      </c>
      <c r="AB65" s="10" t="str">
        <f t="shared" si="18"/>
        <v/>
      </c>
      <c r="AC65" s="10" t="str">
        <f t="shared" si="19"/>
        <v/>
      </c>
      <c r="AD65" s="10" t="str">
        <f t="shared" si="20"/>
        <v/>
      </c>
      <c r="AE65" s="10">
        <f t="shared" si="21"/>
        <v>0</v>
      </c>
      <c r="AF65" s="15"/>
      <c r="AG65" s="15"/>
      <c r="AH65" s="15"/>
      <c r="AI65" s="15"/>
      <c r="AJ65" s="15"/>
      <c r="AK65" s="15"/>
      <c r="AL65" s="16" t="str">
        <f t="shared" si="22"/>
        <v/>
      </c>
      <c r="AM65" s="16" t="str">
        <f t="shared" si="23"/>
        <v/>
      </c>
      <c r="AN65" s="16" t="str">
        <f t="shared" si="24"/>
        <v/>
      </c>
      <c r="AO65" s="16" t="str">
        <f t="shared" si="25"/>
        <v/>
      </c>
      <c r="AP65" s="16" t="str">
        <f t="shared" si="26"/>
        <v/>
      </c>
      <c r="AQ65" s="16" t="str">
        <f t="shared" si="27"/>
        <v/>
      </c>
      <c r="AR65" s="17"/>
      <c r="AS65" s="10" t="str">
        <f t="shared" si="28"/>
        <v xml:space="preserve">Menunggu coder</v>
      </c>
      <c r="AT65" s="11" t="str">
        <f t="shared" si="29"/>
        <v/>
      </c>
    </row>
    <row r="66" ht="48" customHeight="1">
      <c r="A66" s="10">
        <v>63</v>
      </c>
      <c r="B66" s="11" t="str">
        <f>IF(INDEX(Korpus!$A:$A,$A66)="","",INDEX(Korpus!$A:$A,$A66))</f>
        <v xml:space="preserve">UU 27 Thn 2022 (PDP)</v>
      </c>
      <c r="C66" s="11" t="str">
        <f>TRIM(INDEX(Korpus!$D:$D,$A66)&amp;" "&amp;INDEX(Korpus!$E:$E,$A66))</f>
        <v xml:space="preserve">Pasal 36</v>
      </c>
      <c r="D66" s="11" t="str">
        <f>IF(INDEX(Korpus!$B:$B,$A66)="","",INDEX(Korpus!$B:$B,$A66))</f>
        <v xml:space="preserve">BAB VI
KEWAJIBAN PENGENDALI DATA PRIBADI DAN PROSESOR DATA PRIBADI DALAM PEMROSESAN DATA PRIBADI</v>
      </c>
      <c r="E66" s="11" t="str">
        <f>IF(INDEX(Korpus!$C:$C,$A66)="","",INDEX(Korpus!$C:$C,$A66))</f>
        <v xml:space="preserve">Bagian Kedua
Kewajiban Pengendali Data Pribadi</v>
      </c>
      <c r="F66" s="11" t="str">
        <f>IF(INDEX(Korpus!$F:$F,$A66)="","",INDEX(Korpus!$F:$F,$A66))</f>
        <v xml:space="preserve">Dalam melakukan pemrosesan Data Pribadi, Pengendali Data Pribadi wajib menjaga kerahasiaan Data Pribadi.</v>
      </c>
      <c r="G66" s="12"/>
      <c r="H66" s="12"/>
      <c r="I66" s="12"/>
      <c r="J66" s="12"/>
      <c r="K66" s="12"/>
      <c r="L66" s="12"/>
      <c r="M66" s="13"/>
      <c r="N66" s="13"/>
      <c r="O66" s="13"/>
      <c r="P66" s="13"/>
      <c r="Q66" s="13"/>
      <c r="R66" s="13"/>
      <c r="S66" s="14"/>
      <c r="T66" s="14"/>
      <c r="U66" s="14"/>
      <c r="V66" s="14"/>
      <c r="W66" s="14"/>
      <c r="X66" s="14"/>
      <c r="Y66" s="10" t="str">
        <f t="shared" si="15"/>
        <v/>
      </c>
      <c r="Z66" s="10" t="str">
        <f t="shared" si="16"/>
        <v/>
      </c>
      <c r="AA66" s="10" t="str">
        <f t="shared" si="17"/>
        <v/>
      </c>
      <c r="AB66" s="10" t="str">
        <f t="shared" si="18"/>
        <v/>
      </c>
      <c r="AC66" s="10" t="str">
        <f t="shared" si="19"/>
        <v/>
      </c>
      <c r="AD66" s="10" t="str">
        <f t="shared" si="20"/>
        <v/>
      </c>
      <c r="AE66" s="10">
        <f t="shared" si="21"/>
        <v>0</v>
      </c>
      <c r="AF66" s="15"/>
      <c r="AG66" s="15"/>
      <c r="AH66" s="15"/>
      <c r="AI66" s="15"/>
      <c r="AJ66" s="15"/>
      <c r="AK66" s="15"/>
      <c r="AL66" s="16" t="str">
        <f t="shared" si="22"/>
        <v/>
      </c>
      <c r="AM66" s="16" t="str">
        <f t="shared" si="23"/>
        <v/>
      </c>
      <c r="AN66" s="16" t="str">
        <f t="shared" si="24"/>
        <v/>
      </c>
      <c r="AO66" s="16" t="str">
        <f t="shared" si="25"/>
        <v/>
      </c>
      <c r="AP66" s="16" t="str">
        <f t="shared" si="26"/>
        <v/>
      </c>
      <c r="AQ66" s="16" t="str">
        <f t="shared" si="27"/>
        <v/>
      </c>
      <c r="AR66" s="17"/>
      <c r="AS66" s="10" t="str">
        <f t="shared" si="28"/>
        <v xml:space="preserve">Menunggu coder</v>
      </c>
      <c r="AT66" s="11" t="str">
        <f t="shared" si="29"/>
        <v/>
      </c>
    </row>
    <row r="67" ht="48" customHeight="1">
      <c r="A67" s="10">
        <v>64</v>
      </c>
      <c r="B67" s="11" t="str">
        <f>IF(INDEX(Korpus!$A:$A,$A67)="","",INDEX(Korpus!$A:$A,$A67))</f>
        <v xml:space="preserve">UU 27 Thn 2022 (PDP)</v>
      </c>
      <c r="C67" s="11" t="str">
        <f>TRIM(INDEX(Korpus!$D:$D,$A67)&amp;" "&amp;INDEX(Korpus!$E:$E,$A67))</f>
        <v xml:space="preserve">Pasal 37</v>
      </c>
      <c r="D67" s="11" t="str">
        <f>IF(INDEX(Korpus!$B:$B,$A67)="","",INDEX(Korpus!$B:$B,$A67))</f>
        <v xml:space="preserve">BAB VI
KEWAJIBAN PENGENDALI DATA PRIBADI DAN PROSESOR DATA PRIBADI DALAM PEMROSESAN DATA PRIBADI</v>
      </c>
      <c r="E67" s="11" t="str">
        <f>IF(INDEX(Korpus!$C:$C,$A67)="","",INDEX(Korpus!$C:$C,$A67))</f>
        <v xml:space="preserve">Bagian Kedua
Kewajiban Pengendali Data Pribadi</v>
      </c>
      <c r="F67" s="11" t="str">
        <f>IF(INDEX(Korpus!$F:$F,$A67)="","",INDEX(Korpus!$F:$F,$A67))</f>
        <v xml:space="preserve">Pengendali Data Pribadi wajib melakukan pengawasan terhadap setiap pihak yang terlibat dalam pemrosesan Data Pribadi di bawah kendali Pengendali Data Pribadi.</v>
      </c>
      <c r="G67" s="12"/>
      <c r="H67" s="12"/>
      <c r="I67" s="12"/>
      <c r="J67" s="12"/>
      <c r="K67" s="12"/>
      <c r="L67" s="12"/>
      <c r="M67" s="13"/>
      <c r="N67" s="13"/>
      <c r="O67" s="13"/>
      <c r="P67" s="13"/>
      <c r="Q67" s="13"/>
      <c r="R67" s="13"/>
      <c r="S67" s="14"/>
      <c r="T67" s="14"/>
      <c r="U67" s="14"/>
      <c r="V67" s="14"/>
      <c r="W67" s="14"/>
      <c r="X67" s="14"/>
      <c r="Y67" s="10" t="str">
        <f t="shared" si="15"/>
        <v/>
      </c>
      <c r="Z67" s="10" t="str">
        <f t="shared" si="16"/>
        <v/>
      </c>
      <c r="AA67" s="10" t="str">
        <f t="shared" si="17"/>
        <v/>
      </c>
      <c r="AB67" s="10" t="str">
        <f t="shared" si="18"/>
        <v/>
      </c>
      <c r="AC67" s="10" t="str">
        <f t="shared" si="19"/>
        <v/>
      </c>
      <c r="AD67" s="10" t="str">
        <f t="shared" si="20"/>
        <v/>
      </c>
      <c r="AE67" s="10">
        <f t="shared" si="21"/>
        <v>0</v>
      </c>
      <c r="AF67" s="15"/>
      <c r="AG67" s="15"/>
      <c r="AH67" s="15"/>
      <c r="AI67" s="15"/>
      <c r="AJ67" s="15"/>
      <c r="AK67" s="15"/>
      <c r="AL67" s="16" t="str">
        <f t="shared" si="22"/>
        <v/>
      </c>
      <c r="AM67" s="16" t="str">
        <f t="shared" si="23"/>
        <v/>
      </c>
      <c r="AN67" s="16" t="str">
        <f t="shared" si="24"/>
        <v/>
      </c>
      <c r="AO67" s="16" t="str">
        <f t="shared" si="25"/>
        <v/>
      </c>
      <c r="AP67" s="16" t="str">
        <f t="shared" si="26"/>
        <v/>
      </c>
      <c r="AQ67" s="16" t="str">
        <f t="shared" si="27"/>
        <v/>
      </c>
      <c r="AR67" s="17"/>
      <c r="AS67" s="10" t="str">
        <f t="shared" si="28"/>
        <v xml:space="preserve">Menunggu coder</v>
      </c>
      <c r="AT67" s="11" t="str">
        <f t="shared" si="29"/>
        <v/>
      </c>
    </row>
    <row r="68" ht="48" customHeight="1">
      <c r="A68" s="10">
        <v>65</v>
      </c>
      <c r="B68" s="11" t="str">
        <f>IF(INDEX(Korpus!$A:$A,$A68)="","",INDEX(Korpus!$A:$A,$A68))</f>
        <v xml:space="preserve">UU 27 Thn 2022 (PDP)</v>
      </c>
      <c r="C68" s="11" t="str">
        <f>TRIM(INDEX(Korpus!$D:$D,$A68)&amp;" "&amp;INDEX(Korpus!$E:$E,$A68))</f>
        <v xml:space="preserve">Pasal 38</v>
      </c>
      <c r="D68" s="11" t="str">
        <f>IF(INDEX(Korpus!$B:$B,$A68)="","",INDEX(Korpus!$B:$B,$A68))</f>
        <v xml:space="preserve">BAB VI
KEWAJIBAN PENGENDALI DATA PRIBADI DAN PROSESOR DATA PRIBADI DALAM PEMROSESAN DATA PRIBADI</v>
      </c>
      <c r="E68" s="11" t="str">
        <f>IF(INDEX(Korpus!$C:$C,$A68)="","",INDEX(Korpus!$C:$C,$A68))</f>
        <v xml:space="preserve">Bagian Kedua
Kewajiban Pengendali Data Pribadi</v>
      </c>
      <c r="F68" s="11" t="str">
        <f>IF(INDEX(Korpus!$F:$F,$A68)="","",INDEX(Korpus!$F:$F,$A68))</f>
        <v xml:space="preserve">Pengendali Data Pribadi wajib melindungi Data Pribadi dari pemrosesan yang tidak sah.</v>
      </c>
      <c r="G68" s="12"/>
      <c r="H68" s="12"/>
      <c r="I68" s="12"/>
      <c r="J68" s="12"/>
      <c r="K68" s="12"/>
      <c r="L68" s="12"/>
      <c r="M68" s="13"/>
      <c r="N68" s="13"/>
      <c r="O68" s="13"/>
      <c r="P68" s="13"/>
      <c r="Q68" s="13"/>
      <c r="R68" s="13"/>
      <c r="S68" s="14"/>
      <c r="T68" s="14"/>
      <c r="U68" s="14"/>
      <c r="V68" s="14"/>
      <c r="W68" s="14"/>
      <c r="X68" s="14"/>
      <c r="Y68" s="10" t="str">
        <f t="shared" si="15"/>
        <v/>
      </c>
      <c r="Z68" s="10" t="str">
        <f t="shared" si="16"/>
        <v/>
      </c>
      <c r="AA68" s="10" t="str">
        <f t="shared" si="17"/>
        <v/>
      </c>
      <c r="AB68" s="10" t="str">
        <f t="shared" si="18"/>
        <v/>
      </c>
      <c r="AC68" s="10" t="str">
        <f t="shared" si="19"/>
        <v/>
      </c>
      <c r="AD68" s="10" t="str">
        <f t="shared" si="20"/>
        <v/>
      </c>
      <c r="AE68" s="10">
        <f t="shared" si="21"/>
        <v>0</v>
      </c>
      <c r="AF68" s="15"/>
      <c r="AG68" s="15"/>
      <c r="AH68" s="15"/>
      <c r="AI68" s="15"/>
      <c r="AJ68" s="15"/>
      <c r="AK68" s="15"/>
      <c r="AL68" s="16" t="str">
        <f t="shared" si="22"/>
        <v/>
      </c>
      <c r="AM68" s="16" t="str">
        <f t="shared" si="23"/>
        <v/>
      </c>
      <c r="AN68" s="16" t="str">
        <f t="shared" si="24"/>
        <v/>
      </c>
      <c r="AO68" s="16" t="str">
        <f t="shared" si="25"/>
        <v/>
      </c>
      <c r="AP68" s="16" t="str">
        <f t="shared" si="26"/>
        <v/>
      </c>
      <c r="AQ68" s="16" t="str">
        <f t="shared" si="27"/>
        <v/>
      </c>
      <c r="AR68" s="17"/>
      <c r="AS68" s="10" t="str">
        <f t="shared" si="28"/>
        <v xml:space="preserve">Menunggu coder</v>
      </c>
      <c r="AT68" s="11" t="str">
        <f t="shared" si="29"/>
        <v/>
      </c>
    </row>
    <row r="69" ht="48" customHeight="1">
      <c r="A69" s="10">
        <v>66</v>
      </c>
      <c r="B69" s="11" t="str">
        <f>IF(INDEX(Korpus!$A:$A,$A69)="","",INDEX(Korpus!$A:$A,$A69))</f>
        <v xml:space="preserve">UU 27 Thn 2022 (PDP)</v>
      </c>
      <c r="C69" s="11" t="str">
        <f>TRIM(INDEX(Korpus!$D:$D,$A69)&amp;" "&amp;INDEX(Korpus!$E:$E,$A69))</f>
        <v xml:space="preserve">Pasal 39</v>
      </c>
      <c r="D69" s="11" t="str">
        <f>IF(INDEX(Korpus!$B:$B,$A69)="","",INDEX(Korpus!$B:$B,$A69))</f>
        <v xml:space="preserve">BAB VI
KEWAJIBAN PENGENDALI DATA PRIBADI DAN PROSESOR DATA PRIBADI DALAM PEMROSESAN DATA PRIBADI</v>
      </c>
      <c r="E69" s="11" t="str">
        <f>IF(INDEX(Korpus!$C:$C,$A69)="","",INDEX(Korpus!$C:$C,$A69))</f>
        <v xml:space="preserve">Bagian Kedua
Kewajiban Pengendali Data Pribadi</v>
      </c>
      <c r="F69" s="11" t="str">
        <f>IF(INDEX(Korpus!$F:$F,$A69)="","",INDEX(Korpus!$F:$F,$A69))</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G69" s="12"/>
      <c r="H69" s="12"/>
      <c r="I69" s="12"/>
      <c r="J69" s="12"/>
      <c r="K69" s="12"/>
      <c r="L69" s="12"/>
      <c r="M69" s="13"/>
      <c r="N69" s="13"/>
      <c r="O69" s="13"/>
      <c r="P69" s="13"/>
      <c r="Q69" s="13"/>
      <c r="R69" s="13"/>
      <c r="S69" s="14"/>
      <c r="T69" s="14"/>
      <c r="U69" s="14"/>
      <c r="V69" s="14"/>
      <c r="W69" s="14"/>
      <c r="X69" s="14"/>
      <c r="Y69" s="10" t="str">
        <f t="shared" si="15"/>
        <v/>
      </c>
      <c r="Z69" s="10" t="str">
        <f t="shared" si="16"/>
        <v/>
      </c>
      <c r="AA69" s="10" t="str">
        <f t="shared" si="17"/>
        <v/>
      </c>
      <c r="AB69" s="10" t="str">
        <f t="shared" si="18"/>
        <v/>
      </c>
      <c r="AC69" s="10" t="str">
        <f t="shared" si="19"/>
        <v/>
      </c>
      <c r="AD69" s="10" t="str">
        <f t="shared" si="20"/>
        <v/>
      </c>
      <c r="AE69" s="10">
        <f t="shared" si="21"/>
        <v>0</v>
      </c>
      <c r="AF69" s="15"/>
      <c r="AG69" s="15"/>
      <c r="AH69" s="15"/>
      <c r="AI69" s="15"/>
      <c r="AJ69" s="15"/>
      <c r="AK69" s="15"/>
      <c r="AL69" s="16" t="str">
        <f t="shared" si="22"/>
        <v/>
      </c>
      <c r="AM69" s="16" t="str">
        <f t="shared" si="23"/>
        <v/>
      </c>
      <c r="AN69" s="16" t="str">
        <f t="shared" si="24"/>
        <v/>
      </c>
      <c r="AO69" s="16" t="str">
        <f t="shared" si="25"/>
        <v/>
      </c>
      <c r="AP69" s="16" t="str">
        <f t="shared" si="26"/>
        <v/>
      </c>
      <c r="AQ69" s="16" t="str">
        <f t="shared" si="27"/>
        <v/>
      </c>
      <c r="AR69" s="17"/>
      <c r="AS69" s="10" t="str">
        <f t="shared" si="28"/>
        <v xml:space="preserve">Menunggu coder</v>
      </c>
      <c r="AT69" s="11" t="str">
        <f t="shared" si="29"/>
        <v/>
      </c>
    </row>
    <row r="70" ht="48" customHeight="1">
      <c r="A70" s="10">
        <v>67</v>
      </c>
      <c r="B70" s="11" t="str">
        <f>IF(INDEX(Korpus!$A:$A,$A70)="","",INDEX(Korpus!$A:$A,$A70))</f>
        <v xml:space="preserve">UU 27 Thn 2022 (PDP)</v>
      </c>
      <c r="C70" s="11" t="str">
        <f>TRIM(INDEX(Korpus!$D:$D,$A70)&amp;" "&amp;INDEX(Korpus!$E:$E,$A70))</f>
        <v xml:space="preserve">Pasal 40</v>
      </c>
      <c r="D70" s="11" t="str">
        <f>IF(INDEX(Korpus!$B:$B,$A70)="","",INDEX(Korpus!$B:$B,$A70))</f>
        <v xml:space="preserve">BAB VI
KEWAJIBAN PENGENDALI DATA PRIBADI DAN PROSESOR DATA PRIBADI DALAM PEMROSESAN DATA PRIBADI</v>
      </c>
      <c r="E70" s="11" t="str">
        <f>IF(INDEX(Korpus!$C:$C,$A70)="","",INDEX(Korpus!$C:$C,$A70))</f>
        <v xml:space="preserve">Bagian Kedua
Kewajiban Pengendali Data Pribadi</v>
      </c>
      <c r="F70" s="11" t="str">
        <f>IF(INDEX(Korpus!$F:$F,$A70)="","",INDEX(Korpus!$F:$F,$A70))</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G70" s="12" t="s">
        <v>104</v>
      </c>
      <c r="H70" s="12" t="s">
        <v>97</v>
      </c>
      <c r="I70" s="12" t="s">
        <v>107</v>
      </c>
      <c r="J70" s="12" t="s">
        <v>91</v>
      </c>
      <c r="K70" s="12" t="s">
        <v>108</v>
      </c>
      <c r="L70" s="12" t="s">
        <v>101</v>
      </c>
      <c r="M70" s="13"/>
      <c r="N70" s="13"/>
      <c r="O70" s="13"/>
      <c r="P70" s="13"/>
      <c r="Q70" s="13"/>
      <c r="R70" s="13"/>
      <c r="S70" s="14"/>
      <c r="T70" s="14"/>
      <c r="U70" s="14"/>
      <c r="V70" s="14"/>
      <c r="W70" s="14"/>
      <c r="X70" s="14"/>
      <c r="Y70" s="10" t="str">
        <f t="shared" si="15"/>
        <v/>
      </c>
      <c r="Z70" s="10" t="str">
        <f t="shared" si="16"/>
        <v/>
      </c>
      <c r="AA70" s="10" t="str">
        <f t="shared" si="17"/>
        <v/>
      </c>
      <c r="AB70" s="10" t="str">
        <f t="shared" si="18"/>
        <v/>
      </c>
      <c r="AC70" s="10" t="str">
        <f t="shared" si="19"/>
        <v/>
      </c>
      <c r="AD70" s="10" t="str">
        <f t="shared" si="20"/>
        <v/>
      </c>
      <c r="AE70" s="10">
        <f t="shared" si="21"/>
        <v>0</v>
      </c>
      <c r="AF70" s="15"/>
      <c r="AG70" s="15"/>
      <c r="AH70" s="15"/>
      <c r="AI70" s="15"/>
      <c r="AJ70" s="15"/>
      <c r="AK70" s="15"/>
      <c r="AL70" s="16" t="str">
        <f t="shared" si="22"/>
        <v/>
      </c>
      <c r="AM70" s="16" t="str">
        <f t="shared" si="23"/>
        <v/>
      </c>
      <c r="AN70" s="16" t="str">
        <f t="shared" si="24"/>
        <v/>
      </c>
      <c r="AO70" s="16" t="str">
        <f t="shared" si="25"/>
        <v/>
      </c>
      <c r="AP70" s="16" t="str">
        <f t="shared" si="26"/>
        <v/>
      </c>
      <c r="AQ70" s="16" t="str">
        <f t="shared" si="27"/>
        <v/>
      </c>
      <c r="AR70" s="17"/>
      <c r="AS70" s="10" t="str">
        <f t="shared" si="28"/>
        <v xml:space="preserve">Menunggu coder</v>
      </c>
      <c r="AT70" s="11" t="str">
        <f t="shared" si="29"/>
        <v/>
      </c>
    </row>
    <row r="71" ht="48" customHeight="1">
      <c r="A71" s="10">
        <v>68</v>
      </c>
      <c r="B71" s="11" t="str">
        <f>IF(INDEX(Korpus!$A:$A,$A71)="","",INDEX(Korpus!$A:$A,$A71))</f>
        <v xml:space="preserve">UU 27 Thn 2022 (PDP)</v>
      </c>
      <c r="C71" s="11" t="str">
        <f>TRIM(INDEX(Korpus!$D:$D,$A71)&amp;" "&amp;INDEX(Korpus!$E:$E,$A71))</f>
        <v xml:space="preserve">Pasal 41</v>
      </c>
      <c r="D71" s="11" t="str">
        <f>IF(INDEX(Korpus!$B:$B,$A71)="","",INDEX(Korpus!$B:$B,$A71))</f>
        <v xml:space="preserve">BAB VI
KEWAJIBAN PENGENDALI DATA PRIBADI DAN PROSESOR DATA PRIBADI DALAM PEMROSESAN DATA PRIBADI</v>
      </c>
      <c r="E71" s="11" t="str">
        <f>IF(INDEX(Korpus!$C:$C,$A71)="","",INDEX(Korpus!$C:$C,$A71))</f>
        <v xml:space="preserve">Bagian Kedua
Kewajiban Pengendali Data Pribadi</v>
      </c>
      <c r="F71" s="11" t="str">
        <f>IF(INDEX(Korpus!$F:$F,$A71)="","",INDEX(Korpus!$F:$F,$A71))</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G71" s="12"/>
      <c r="H71" s="12"/>
      <c r="I71" s="12"/>
      <c r="J71" s="12"/>
      <c r="K71" s="12"/>
      <c r="L71" s="12"/>
      <c r="M71" s="13"/>
      <c r="N71" s="13"/>
      <c r="O71" s="13"/>
      <c r="P71" s="13"/>
      <c r="Q71" s="13"/>
      <c r="R71" s="13"/>
      <c r="S71" s="14"/>
      <c r="T71" s="14"/>
      <c r="U71" s="14"/>
      <c r="V71" s="14"/>
      <c r="W71" s="14"/>
      <c r="X71" s="14"/>
      <c r="Y71" s="10" t="str">
        <f t="shared" si="15"/>
        <v/>
      </c>
      <c r="Z71" s="10" t="str">
        <f t="shared" si="16"/>
        <v/>
      </c>
      <c r="AA71" s="10" t="str">
        <f t="shared" si="17"/>
        <v/>
      </c>
      <c r="AB71" s="10" t="str">
        <f t="shared" si="18"/>
        <v/>
      </c>
      <c r="AC71" s="10" t="str">
        <f t="shared" si="19"/>
        <v/>
      </c>
      <c r="AD71" s="10" t="str">
        <f t="shared" si="20"/>
        <v/>
      </c>
      <c r="AE71" s="10">
        <f t="shared" si="21"/>
        <v>0</v>
      </c>
      <c r="AF71" s="15"/>
      <c r="AG71" s="15"/>
      <c r="AH71" s="15"/>
      <c r="AI71" s="15"/>
      <c r="AJ71" s="15"/>
      <c r="AK71" s="15"/>
      <c r="AL71" s="16" t="str">
        <f t="shared" si="22"/>
        <v/>
      </c>
      <c r="AM71" s="16" t="str">
        <f t="shared" si="23"/>
        <v/>
      </c>
      <c r="AN71" s="16" t="str">
        <f t="shared" si="24"/>
        <v/>
      </c>
      <c r="AO71" s="16" t="str">
        <f t="shared" si="25"/>
        <v/>
      </c>
      <c r="AP71" s="16" t="str">
        <f t="shared" si="26"/>
        <v/>
      </c>
      <c r="AQ71" s="16" t="str">
        <f t="shared" si="27"/>
        <v/>
      </c>
      <c r="AR71" s="17"/>
      <c r="AS71" s="10" t="str">
        <f t="shared" si="28"/>
        <v xml:space="preserve">Menunggu coder</v>
      </c>
      <c r="AT71" s="11" t="str">
        <f t="shared" si="29"/>
        <v/>
      </c>
    </row>
    <row r="72" ht="48" customHeight="1">
      <c r="A72" s="10">
        <v>69</v>
      </c>
      <c r="B72" s="11" t="str">
        <f>IF(INDEX(Korpus!$A:$A,$A72)="","",INDEX(Korpus!$A:$A,$A72))</f>
        <v xml:space="preserve">UU 27 Thn 2022 (PDP)</v>
      </c>
      <c r="C72" s="11" t="str">
        <f>TRIM(INDEX(Korpus!$D:$D,$A72)&amp;" "&amp;INDEX(Korpus!$E:$E,$A72))</f>
        <v xml:space="preserve">Pasal 42</v>
      </c>
      <c r="D72" s="11" t="str">
        <f>IF(INDEX(Korpus!$B:$B,$A72)="","",INDEX(Korpus!$B:$B,$A72))</f>
        <v xml:space="preserve">BAB VI
KEWAJIBAN PENGENDALI DATA PRIBADI DAN PROSESOR DATA PRIBADI DALAM PEMROSESAN DATA PRIBADI</v>
      </c>
      <c r="E72" s="11" t="str">
        <f>IF(INDEX(Korpus!$C:$C,$A72)="","",INDEX(Korpus!$C:$C,$A72))</f>
        <v xml:space="preserve">Bagian Kedua
Kewajiban Pengendali Data Pribadi</v>
      </c>
      <c r="F72" s="11" t="str">
        <f>IF(INDEX(Korpus!$F:$F,$A72)="","",INDEX(Korpus!$F:$F,$A72))</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G72" s="12"/>
      <c r="H72" s="12"/>
      <c r="I72" s="12"/>
      <c r="J72" s="12"/>
      <c r="K72" s="12"/>
      <c r="L72" s="12"/>
      <c r="M72" s="13"/>
      <c r="N72" s="13"/>
      <c r="O72" s="13"/>
      <c r="P72" s="13"/>
      <c r="Q72" s="13"/>
      <c r="R72" s="13"/>
      <c r="S72" s="14"/>
      <c r="T72" s="14"/>
      <c r="U72" s="14"/>
      <c r="V72" s="14"/>
      <c r="W72" s="14"/>
      <c r="X72" s="14"/>
      <c r="Y72" s="10" t="str">
        <f t="shared" si="15"/>
        <v/>
      </c>
      <c r="Z72" s="10" t="str">
        <f t="shared" si="16"/>
        <v/>
      </c>
      <c r="AA72" s="10" t="str">
        <f t="shared" si="17"/>
        <v/>
      </c>
      <c r="AB72" s="10" t="str">
        <f t="shared" si="18"/>
        <v/>
      </c>
      <c r="AC72" s="10" t="str">
        <f t="shared" si="19"/>
        <v/>
      </c>
      <c r="AD72" s="10" t="str">
        <f t="shared" si="20"/>
        <v/>
      </c>
      <c r="AE72" s="10">
        <f t="shared" si="21"/>
        <v>0</v>
      </c>
      <c r="AF72" s="15"/>
      <c r="AG72" s="15"/>
      <c r="AH72" s="15"/>
      <c r="AI72" s="15"/>
      <c r="AJ72" s="15"/>
      <c r="AK72" s="15"/>
      <c r="AL72" s="16" t="str">
        <f t="shared" si="22"/>
        <v/>
      </c>
      <c r="AM72" s="16" t="str">
        <f t="shared" si="23"/>
        <v/>
      </c>
      <c r="AN72" s="16" t="str">
        <f t="shared" si="24"/>
        <v/>
      </c>
      <c r="AO72" s="16" t="str">
        <f t="shared" si="25"/>
        <v/>
      </c>
      <c r="AP72" s="16" t="str">
        <f t="shared" si="26"/>
        <v/>
      </c>
      <c r="AQ72" s="16" t="str">
        <f t="shared" si="27"/>
        <v/>
      </c>
      <c r="AR72" s="17"/>
      <c r="AS72" s="10" t="str">
        <f t="shared" si="28"/>
        <v xml:space="preserve">Menunggu coder</v>
      </c>
      <c r="AT72" s="11" t="str">
        <f t="shared" si="29"/>
        <v/>
      </c>
    </row>
    <row r="73" ht="48" customHeight="1">
      <c r="A73" s="10">
        <v>70</v>
      </c>
      <c r="B73" s="11" t="str">
        <f>IF(INDEX(Korpus!$A:$A,$A73)="","",INDEX(Korpus!$A:$A,$A73))</f>
        <v xml:space="preserve">UU 27 Thn 2022 (PDP)</v>
      </c>
      <c r="C73" s="11" t="str">
        <f>TRIM(INDEX(Korpus!$D:$D,$A73)&amp;" "&amp;INDEX(Korpus!$E:$E,$A73))</f>
        <v xml:space="preserve">Pasal 43</v>
      </c>
      <c r="D73" s="11" t="str">
        <f>IF(INDEX(Korpus!$B:$B,$A73)="","",INDEX(Korpus!$B:$B,$A73))</f>
        <v xml:space="preserve">BAB VI
KEWAJIBAN PENGENDALI DATA PRIBADI DAN PROSESOR DATA PRIBADI DALAM PEMROSESAN DATA PRIBADI</v>
      </c>
      <c r="E73" s="11" t="str">
        <f>IF(INDEX(Korpus!$C:$C,$A73)="","",INDEX(Korpus!$C:$C,$A73))</f>
        <v xml:space="preserve">Bagian Kedua
Kewajiban Pengendali Data Pribadi</v>
      </c>
      <c r="F73" s="11" t="str">
        <f>IF(INDEX(Korpus!$F:$F,$A73)="","",INDEX(Korpus!$F:$F,$A73))</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G73" s="12"/>
      <c r="H73" s="12"/>
      <c r="I73" s="12"/>
      <c r="J73" s="12"/>
      <c r="K73" s="12"/>
      <c r="L73" s="12"/>
      <c r="M73" s="13"/>
      <c r="N73" s="13"/>
      <c r="O73" s="13"/>
      <c r="P73" s="13"/>
      <c r="Q73" s="13"/>
      <c r="R73" s="13"/>
      <c r="S73" s="14"/>
      <c r="T73" s="14"/>
      <c r="U73" s="14"/>
      <c r="V73" s="14"/>
      <c r="W73" s="14"/>
      <c r="X73" s="14"/>
      <c r="Y73" s="10" t="str">
        <f t="shared" si="15"/>
        <v/>
      </c>
      <c r="Z73" s="10" t="str">
        <f t="shared" si="16"/>
        <v/>
      </c>
      <c r="AA73" s="10" t="str">
        <f t="shared" si="17"/>
        <v/>
      </c>
      <c r="AB73" s="10" t="str">
        <f t="shared" si="18"/>
        <v/>
      </c>
      <c r="AC73" s="10" t="str">
        <f t="shared" si="19"/>
        <v/>
      </c>
      <c r="AD73" s="10" t="str">
        <f t="shared" si="20"/>
        <v/>
      </c>
      <c r="AE73" s="10">
        <f t="shared" si="21"/>
        <v>0</v>
      </c>
      <c r="AF73" s="15"/>
      <c r="AG73" s="15"/>
      <c r="AH73" s="15"/>
      <c r="AI73" s="15"/>
      <c r="AJ73" s="15"/>
      <c r="AK73" s="15"/>
      <c r="AL73" s="16" t="str">
        <f t="shared" si="22"/>
        <v/>
      </c>
      <c r="AM73" s="16" t="str">
        <f t="shared" si="23"/>
        <v/>
      </c>
      <c r="AN73" s="16" t="str">
        <f t="shared" si="24"/>
        <v/>
      </c>
      <c r="AO73" s="16" t="str">
        <f t="shared" si="25"/>
        <v/>
      </c>
      <c r="AP73" s="16" t="str">
        <f t="shared" si="26"/>
        <v/>
      </c>
      <c r="AQ73" s="16" t="str">
        <f t="shared" si="27"/>
        <v/>
      </c>
      <c r="AR73" s="17"/>
      <c r="AS73" s="10" t="str">
        <f t="shared" si="28"/>
        <v xml:space="preserve">Menunggu coder</v>
      </c>
      <c r="AT73" s="11" t="str">
        <f t="shared" si="29"/>
        <v/>
      </c>
    </row>
    <row r="74" ht="48" customHeight="1">
      <c r="A74" s="10">
        <v>71</v>
      </c>
      <c r="B74" s="11" t="str">
        <f>IF(INDEX(Korpus!$A:$A,$A74)="","",INDEX(Korpus!$A:$A,$A74))</f>
        <v xml:space="preserve">UU 27 Thn 2022 (PDP)</v>
      </c>
      <c r="C74" s="11" t="str">
        <f>TRIM(INDEX(Korpus!$D:$D,$A74)&amp;" "&amp;INDEX(Korpus!$E:$E,$A74))</f>
        <v xml:space="preserve">Pasal 44</v>
      </c>
      <c r="D74" s="11" t="str">
        <f>IF(INDEX(Korpus!$B:$B,$A74)="","",INDEX(Korpus!$B:$B,$A74))</f>
        <v xml:space="preserve">BAB VI
KEWAJIBAN PENGENDALI DATA PRIBADI DAN PROSESOR DATA PRIBADI DALAM PEMROSESAN DATA PRIBADI</v>
      </c>
      <c r="E74" s="11" t="str">
        <f>IF(INDEX(Korpus!$C:$C,$A74)="","",INDEX(Korpus!$C:$C,$A74))</f>
        <v xml:space="preserve">Bagian Kedua
Kewajiban Pengendali Data Pribadi</v>
      </c>
      <c r="F74" s="11" t="str">
        <f>IF(INDEX(Korpus!$F:$F,$A74)="","",INDEX(Korpus!$F:$F,$A74))</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G74" s="12"/>
      <c r="H74" s="12"/>
      <c r="I74" s="12"/>
      <c r="J74" s="12"/>
      <c r="K74" s="12"/>
      <c r="L74" s="12"/>
      <c r="M74" s="13"/>
      <c r="N74" s="13"/>
      <c r="O74" s="13"/>
      <c r="P74" s="13"/>
      <c r="Q74" s="13"/>
      <c r="R74" s="13"/>
      <c r="S74" s="14"/>
      <c r="T74" s="14"/>
      <c r="U74" s="14"/>
      <c r="V74" s="14"/>
      <c r="W74" s="14"/>
      <c r="X74" s="14"/>
      <c r="Y74" s="10" t="str">
        <f t="shared" ref="Y74:Y89" si="30">IF(OR(M74="",S74=""),"",IF(M74=S74,"Sama","Beda"))</f>
        <v/>
      </c>
      <c r="Z74" s="10" t="str">
        <f t="shared" ref="Z74:Z89" si="31">IF(OR(N74="",T74=""),"",IF(N74=T74,"Sama","Beda"))</f>
        <v/>
      </c>
      <c r="AA74" s="10" t="str">
        <f t="shared" ref="AA74:AA89" si="32">IF(OR(O74="",U74=""),"",IF(O74=U74,"Sama","Beda"))</f>
        <v/>
      </c>
      <c r="AB74" s="10" t="str">
        <f t="shared" ref="AB74:AB89" si="33">IF(OR(P74="",V74=""),"",IF(P74=V74,"Sama","Beda"))</f>
        <v/>
      </c>
      <c r="AC74" s="10" t="str">
        <f t="shared" ref="AC74:AC89" si="34">IF(OR(Q74="",W74=""),"",IF(Q74=W74,"Sama","Beda"))</f>
        <v/>
      </c>
      <c r="AD74" s="10" t="str">
        <f t="shared" ref="AD74:AD89" si="35">IF(OR(R74="",X74=""),"",IF(R74=X74,"Sama","Beda"))</f>
        <v/>
      </c>
      <c r="AE74" s="10">
        <f t="shared" ref="AE74:AE89" si="36">COUNTIF(Y74:AD74,"Beda")</f>
        <v>0</v>
      </c>
      <c r="AF74" s="15"/>
      <c r="AG74" s="15"/>
      <c r="AH74" s="15"/>
      <c r="AI74" s="15"/>
      <c r="AJ74" s="15"/>
      <c r="AK74" s="15"/>
      <c r="AL74" s="16" t="str">
        <f t="shared" ref="AL74:AL89" si="37">IF(AF74&lt;&gt;"",AF74,IF(AND(M74&lt;&gt;"",M74=S74),M74,""))</f>
        <v/>
      </c>
      <c r="AM74" s="16" t="str">
        <f t="shared" ref="AM74:AM89" si="38">IF(AG74&lt;&gt;"",AG74,IF(AND(N74&lt;&gt;"",N74=T74),N74,""))</f>
        <v/>
      </c>
      <c r="AN74" s="16" t="str">
        <f t="shared" ref="AN74:AN89" si="39">IF(AH74&lt;&gt;"",AH74,IF(AND(O74&lt;&gt;"",O74=U74),O74,""))</f>
        <v/>
      </c>
      <c r="AO74" s="16" t="str">
        <f t="shared" ref="AO74:AO89" si="40">IF(AI74&lt;&gt;"",AI74,IF(AND(P74&lt;&gt;"",P74=V74),P74,""))</f>
        <v/>
      </c>
      <c r="AP74" s="16" t="str">
        <f t="shared" ref="AP74:AP89" si="41">IF(AJ74&lt;&gt;"",AJ74,IF(AND(Q74&lt;&gt;"",Q74=W74),Q74,""))</f>
        <v/>
      </c>
      <c r="AQ74" s="16" t="str">
        <f t="shared" ref="AQ74:AQ89" si="42">IF(AK74&lt;&gt;"",AK74,IF(AND(R74&lt;&gt;"",R74=X74),R74,""))</f>
        <v/>
      </c>
      <c r="AR74" s="17"/>
      <c r="AS74" s="10" t="str">
        <f t="shared" ref="AS74:AS89" si="43">IF(COUNTA(M74:R74)+COUNTA(S74:X74)&lt;12,"Menunggu coder",IF(AE74=0,"Sepakat",IF(SUMPRODUCT((Y74:AD74="Beda")*(AF74:AK74=""))=0,"Selesai adjudikasi","Perlu adjudikasi")))</f>
        <v xml:space="preserve">Menunggu coder</v>
      </c>
      <c r="AT74" s="11" t="str">
        <f t="shared" ref="AT74:AT89" si="44">IF(COUNTIF(AL74:AQ74,"?*")&lt;6,"",IF(IF(AND(LEFT(AM74,2)="R0",LEFT(AQ74,2)&lt;&gt;"K5"),"R0 harus K5; ","")&amp;IF(AND(LEFT(AM74,2)="R1",LEFT(AQ74,2)="K3"),"R1 tidak boleh K3 (fungsional); ","")&amp;IF(AND(LEFT(AM74,2)="R2",LEFT(AQ74,2)="K5"),"R2 tidak boleh K5; ","")&amp;IF(AND(LEFT(AM74,2)="R2",OR(LEFT(AL74,2)="S6",LEFT(AL74,2)="S7",LEFT(AL74,2)="S8")),"R2 tidak boleh S6/S7/S8; ","")&amp;IF(AND(LEFT(AM74,2)="R2",OR(LEFT(AN74,3)="T02",LEFT(AO74,2)="P8")),"T02 atau P8 tidak boleh R2; ","")&amp;IF(AND(LEFT(AN74,3)="T01",LEFT(AO74,2)&lt;&gt;"P6"),"T01 biasanya P6 (periksa); ","")&amp;IF(AND(LEFT(AO74,2)="P1",LEFT(AQ74,2)&lt;&gt;"K4"),"P1 biasanya K4 (periksa); ","")="","OK",IF(AND(LEFT(AM74,2)="R0",LEFT(AQ74,2)&lt;&gt;"K5"),"R0 harus K5; ","")&amp;IF(AND(LEFT(AM74,2)="R1",LEFT(AQ74,2)="K3"),"R1 tidak boleh K3 (fungsional); ","")&amp;IF(AND(LEFT(AM74,2)="R2",LEFT(AQ74,2)="K5"),"R2 tidak boleh K5; ","")&amp;IF(AND(LEFT(AM74,2)="R2",OR(LEFT(AL74,2)="S6",LEFT(AL74,2)="S7",LEFT(AL74,2)="S8")),"R2 tidak boleh S6/S7/S8; ","")&amp;IF(AND(LEFT(AM74,2)="R2",OR(LEFT(AN74,3)="T02",LEFT(AO74,2)="P8")),"T02 atau P8 tidak boleh R2; ","")&amp;IF(AND(LEFT(AN74,3)="T01",LEFT(AO74,2)&lt;&gt;"P6"),"T01 biasanya P6 (periksa); ","")&amp;IF(AND(LEFT(AO74,2)="P1",LEFT(AQ74,2)&lt;&gt;"K4"),"P1 biasanya K4 (periksa); ","")))</f>
        <v/>
      </c>
    </row>
    <row r="75" ht="48" customHeight="1">
      <c r="A75" s="10">
        <v>72</v>
      </c>
      <c r="B75" s="11" t="str">
        <f>IF(INDEX(Korpus!$A:$A,$A75)="","",INDEX(Korpus!$A:$A,$A75))</f>
        <v xml:space="preserve">UU 27 Thn 2022 (PDP)</v>
      </c>
      <c r="C75" s="11" t="str">
        <f>TRIM(INDEX(Korpus!$D:$D,$A75)&amp;" "&amp;INDEX(Korpus!$E:$E,$A75))</f>
        <v xml:space="preserve">Pasal 45</v>
      </c>
      <c r="D75" s="11" t="str">
        <f>IF(INDEX(Korpus!$B:$B,$A75)="","",INDEX(Korpus!$B:$B,$A75))</f>
        <v xml:space="preserve">BAB VI
KEWAJIBAN PENGENDALI DATA PRIBADI DAN PROSESOR DATA PRIBADI DALAM PEMROSESAN DATA PRIBADI</v>
      </c>
      <c r="E75" s="11" t="str">
        <f>IF(INDEX(Korpus!$C:$C,$A75)="","",INDEX(Korpus!$C:$C,$A75))</f>
        <v xml:space="preserve">Bagian Kedua
Kewajiban Pengendali Data Pribadi</v>
      </c>
      <c r="F75" s="11" t="str">
        <f>IF(INDEX(Korpus!$F:$F,$A75)="","",INDEX(Korpus!$F:$F,$A75))</f>
        <v xml:space="preserve">Pengendali Data Pribadi wajib memberitahukan penghapusan dan/atau pemusnahan Data Pribadi kepada Subjek Data Pribadi.</v>
      </c>
      <c r="G75" s="12"/>
      <c r="H75" s="12"/>
      <c r="I75" s="12"/>
      <c r="J75" s="12"/>
      <c r="K75" s="12"/>
      <c r="L75" s="12"/>
      <c r="M75" s="13"/>
      <c r="N75" s="13"/>
      <c r="O75" s="13"/>
      <c r="P75" s="13"/>
      <c r="Q75" s="13"/>
      <c r="R75" s="13"/>
      <c r="S75" s="14"/>
      <c r="T75" s="14"/>
      <c r="U75" s="14"/>
      <c r="V75" s="14"/>
      <c r="W75" s="14"/>
      <c r="X75" s="14"/>
      <c r="Y75" s="10" t="str">
        <f t="shared" si="30"/>
        <v/>
      </c>
      <c r="Z75" s="10" t="str">
        <f t="shared" si="31"/>
        <v/>
      </c>
      <c r="AA75" s="10" t="str">
        <f t="shared" si="32"/>
        <v/>
      </c>
      <c r="AB75" s="10" t="str">
        <f t="shared" si="33"/>
        <v/>
      </c>
      <c r="AC75" s="10" t="str">
        <f t="shared" si="34"/>
        <v/>
      </c>
      <c r="AD75" s="10" t="str">
        <f t="shared" si="35"/>
        <v/>
      </c>
      <c r="AE75" s="10">
        <f t="shared" si="36"/>
        <v>0</v>
      </c>
      <c r="AF75" s="15"/>
      <c r="AG75" s="15"/>
      <c r="AH75" s="15"/>
      <c r="AI75" s="15"/>
      <c r="AJ75" s="15"/>
      <c r="AK75" s="15"/>
      <c r="AL75" s="16" t="str">
        <f t="shared" si="37"/>
        <v/>
      </c>
      <c r="AM75" s="16" t="str">
        <f t="shared" si="38"/>
        <v/>
      </c>
      <c r="AN75" s="16" t="str">
        <f t="shared" si="39"/>
        <v/>
      </c>
      <c r="AO75" s="16" t="str">
        <f t="shared" si="40"/>
        <v/>
      </c>
      <c r="AP75" s="16" t="str">
        <f t="shared" si="41"/>
        <v/>
      </c>
      <c r="AQ75" s="16" t="str">
        <f t="shared" si="42"/>
        <v/>
      </c>
      <c r="AR75" s="17"/>
      <c r="AS75" s="10" t="str">
        <f t="shared" si="43"/>
        <v xml:space="preserve">Menunggu coder</v>
      </c>
      <c r="AT75" s="11" t="str">
        <f t="shared" si="44"/>
        <v/>
      </c>
    </row>
    <row r="76" ht="48" customHeight="1">
      <c r="A76" s="10">
        <v>73</v>
      </c>
      <c r="B76" s="11" t="str">
        <f>IF(INDEX(Korpus!$A:$A,$A76)="","",INDEX(Korpus!$A:$A,$A76))</f>
        <v xml:space="preserve">UU 27 Thn 2022 (PDP)</v>
      </c>
      <c r="C76" s="11" t="str">
        <f>TRIM(INDEX(Korpus!$D:$D,$A76)&amp;" "&amp;INDEX(Korpus!$E:$E,$A76))</f>
        <v xml:space="preserve">Pasal 46</v>
      </c>
      <c r="D76" s="11" t="str">
        <f>IF(INDEX(Korpus!$B:$B,$A76)="","",INDEX(Korpus!$B:$B,$A76))</f>
        <v xml:space="preserve">BAB VI
KEWAJIBAN PENGENDALI DATA PRIBADI DAN PROSESOR DATA PRIBADI DALAM PEMROSESAN DATA PRIBADI</v>
      </c>
      <c r="E76" s="11" t="str">
        <f>IF(INDEX(Korpus!$C:$C,$A76)="","",INDEX(Korpus!$C:$C,$A76))</f>
        <v xml:space="preserve">Bagian Kedua
Kewajiban Pengendali Data Pribadi</v>
      </c>
      <c r="F76" s="11" t="str">
        <f>IF(INDEX(Korpus!$F:$F,$A76)="","",INDEX(Korpus!$F:$F,$A76))</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G76" s="12"/>
      <c r="H76" s="12"/>
      <c r="I76" s="12"/>
      <c r="J76" s="12"/>
      <c r="K76" s="12"/>
      <c r="L76" s="12"/>
      <c r="M76" s="13"/>
      <c r="N76" s="13"/>
      <c r="O76" s="13"/>
      <c r="P76" s="13"/>
      <c r="Q76" s="13"/>
      <c r="R76" s="13"/>
      <c r="S76" s="14"/>
      <c r="T76" s="14"/>
      <c r="U76" s="14"/>
      <c r="V76" s="14"/>
      <c r="W76" s="14"/>
      <c r="X76" s="14"/>
      <c r="Y76" s="10" t="str">
        <f t="shared" si="30"/>
        <v/>
      </c>
      <c r="Z76" s="10" t="str">
        <f t="shared" si="31"/>
        <v/>
      </c>
      <c r="AA76" s="10" t="str">
        <f t="shared" si="32"/>
        <v/>
      </c>
      <c r="AB76" s="10" t="str">
        <f t="shared" si="33"/>
        <v/>
      </c>
      <c r="AC76" s="10" t="str">
        <f t="shared" si="34"/>
        <v/>
      </c>
      <c r="AD76" s="10" t="str">
        <f t="shared" si="35"/>
        <v/>
      </c>
      <c r="AE76" s="10">
        <f t="shared" si="36"/>
        <v>0</v>
      </c>
      <c r="AF76" s="15"/>
      <c r="AG76" s="15"/>
      <c r="AH76" s="15"/>
      <c r="AI76" s="15"/>
      <c r="AJ76" s="15"/>
      <c r="AK76" s="15"/>
      <c r="AL76" s="16" t="str">
        <f t="shared" si="37"/>
        <v/>
      </c>
      <c r="AM76" s="16" t="str">
        <f t="shared" si="38"/>
        <v/>
      </c>
      <c r="AN76" s="16" t="str">
        <f t="shared" si="39"/>
        <v/>
      </c>
      <c r="AO76" s="16" t="str">
        <f t="shared" si="40"/>
        <v/>
      </c>
      <c r="AP76" s="16" t="str">
        <f t="shared" si="41"/>
        <v/>
      </c>
      <c r="AQ76" s="16" t="str">
        <f t="shared" si="42"/>
        <v/>
      </c>
      <c r="AR76" s="17"/>
      <c r="AS76" s="10" t="str">
        <f t="shared" si="43"/>
        <v xml:space="preserve">Menunggu coder</v>
      </c>
      <c r="AT76" s="11" t="str">
        <f t="shared" si="44"/>
        <v/>
      </c>
    </row>
    <row r="77" ht="48" customHeight="1">
      <c r="A77" s="10">
        <v>74</v>
      </c>
      <c r="B77" s="11" t="str">
        <f>IF(INDEX(Korpus!$A:$A,$A77)="","",INDEX(Korpus!$A:$A,$A77))</f>
        <v xml:space="preserve">UU 27 Thn 2022 (PDP)</v>
      </c>
      <c r="C77" s="11" t="str">
        <f>TRIM(INDEX(Korpus!$D:$D,$A77)&amp;" "&amp;INDEX(Korpus!$E:$E,$A77))</f>
        <v xml:space="preserve">Pasal 47</v>
      </c>
      <c r="D77" s="11" t="str">
        <f>IF(INDEX(Korpus!$B:$B,$A77)="","",INDEX(Korpus!$B:$B,$A77))</f>
        <v xml:space="preserve">BAB VI
KEWAJIBAN PENGENDALI DATA PRIBADI DAN PROSESOR DATA PRIBADI DALAM PEMROSESAN DATA PRIBADI</v>
      </c>
      <c r="E77" s="11" t="str">
        <f>IF(INDEX(Korpus!$C:$C,$A77)="","",INDEX(Korpus!$C:$C,$A77))</f>
        <v xml:space="preserve">Bagian Kedua
Kewajiban Pengendali Data Pribadi</v>
      </c>
      <c r="F77" s="11" t="str">
        <f>IF(INDEX(Korpus!$F:$F,$A77)="","",INDEX(Korpus!$F:$F,$A77))</f>
        <v xml:space="preserve">Pengendali Data Pribadi wajib bertanggung jawab atas pemrosesan Data Pribadi dan menunjukkan pertanggungjawaban dalam pemenuhan kewajiban pelaksanaan prinsip Pelindungan Data Pribadi.</v>
      </c>
      <c r="G77" s="12"/>
      <c r="H77" s="12"/>
      <c r="I77" s="12"/>
      <c r="J77" s="12"/>
      <c r="K77" s="12"/>
      <c r="L77" s="12"/>
      <c r="M77" s="13"/>
      <c r="N77" s="13"/>
      <c r="O77" s="13"/>
      <c r="P77" s="13"/>
      <c r="Q77" s="13"/>
      <c r="R77" s="13"/>
      <c r="S77" s="14"/>
      <c r="T77" s="14"/>
      <c r="U77" s="14"/>
      <c r="V77" s="14"/>
      <c r="W77" s="14"/>
      <c r="X77" s="14"/>
      <c r="Y77" s="10" t="str">
        <f t="shared" si="30"/>
        <v/>
      </c>
      <c r="Z77" s="10" t="str">
        <f t="shared" si="31"/>
        <v/>
      </c>
      <c r="AA77" s="10" t="str">
        <f t="shared" si="32"/>
        <v/>
      </c>
      <c r="AB77" s="10" t="str">
        <f t="shared" si="33"/>
        <v/>
      </c>
      <c r="AC77" s="10" t="str">
        <f t="shared" si="34"/>
        <v/>
      </c>
      <c r="AD77" s="10" t="str">
        <f t="shared" si="35"/>
        <v/>
      </c>
      <c r="AE77" s="10">
        <f t="shared" si="36"/>
        <v>0</v>
      </c>
      <c r="AF77" s="15"/>
      <c r="AG77" s="15"/>
      <c r="AH77" s="15"/>
      <c r="AI77" s="15"/>
      <c r="AJ77" s="15"/>
      <c r="AK77" s="15"/>
      <c r="AL77" s="16" t="str">
        <f t="shared" si="37"/>
        <v/>
      </c>
      <c r="AM77" s="16" t="str">
        <f t="shared" si="38"/>
        <v/>
      </c>
      <c r="AN77" s="16" t="str">
        <f t="shared" si="39"/>
        <v/>
      </c>
      <c r="AO77" s="16" t="str">
        <f t="shared" si="40"/>
        <v/>
      </c>
      <c r="AP77" s="16" t="str">
        <f t="shared" si="41"/>
        <v/>
      </c>
      <c r="AQ77" s="16" t="str">
        <f t="shared" si="42"/>
        <v/>
      </c>
      <c r="AR77" s="17"/>
      <c r="AS77" s="10" t="str">
        <f t="shared" si="43"/>
        <v xml:space="preserve">Menunggu coder</v>
      </c>
      <c r="AT77" s="11" t="str">
        <f t="shared" si="44"/>
        <v/>
      </c>
    </row>
    <row r="78" ht="48" customHeight="1">
      <c r="A78" s="10">
        <v>75</v>
      </c>
      <c r="B78" s="11" t="str">
        <f>IF(INDEX(Korpus!$A:$A,$A78)="","",INDEX(Korpus!$A:$A,$A78))</f>
        <v xml:space="preserve">UU 27 Thn 2022 (PDP)</v>
      </c>
      <c r="C78" s="11" t="str">
        <f>TRIM(INDEX(Korpus!$D:$D,$A78)&amp;" "&amp;INDEX(Korpus!$E:$E,$A78))</f>
        <v xml:space="preserve">Pasal 48</v>
      </c>
      <c r="D78" s="11" t="str">
        <f>IF(INDEX(Korpus!$B:$B,$A78)="","",INDEX(Korpus!$B:$B,$A78))</f>
        <v xml:space="preserve">BAB VI
KEWAJIBAN PENGENDALI DATA PRIBADI DAN PROSESOR DATA PRIBADI DALAM PEMROSESAN DATA PRIBADI</v>
      </c>
      <c r="E78" s="11" t="str">
        <f>IF(INDEX(Korpus!$C:$C,$A78)="","",INDEX(Korpus!$C:$C,$A78))</f>
        <v xml:space="preserve">Bagian Kedua
Kewajiban Pengendali Data Pribadi</v>
      </c>
      <c r="F78" s="11" t="str">
        <f>IF(INDEX(Korpus!$F:$F,$A78)="","",INDEX(Korpus!$F:$F,$A78))</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G78" s="12"/>
      <c r="H78" s="12"/>
      <c r="I78" s="12"/>
      <c r="J78" s="12"/>
      <c r="K78" s="12"/>
      <c r="L78" s="12"/>
      <c r="M78" s="13"/>
      <c r="N78" s="13"/>
      <c r="O78" s="13"/>
      <c r="P78" s="13"/>
      <c r="Q78" s="13"/>
      <c r="R78" s="13"/>
      <c r="S78" s="14"/>
      <c r="T78" s="14"/>
      <c r="U78" s="14"/>
      <c r="V78" s="14"/>
      <c r="W78" s="14"/>
      <c r="X78" s="14"/>
      <c r="Y78" s="10" t="str">
        <f t="shared" si="30"/>
        <v/>
      </c>
      <c r="Z78" s="10" t="str">
        <f t="shared" si="31"/>
        <v/>
      </c>
      <c r="AA78" s="10" t="str">
        <f t="shared" si="32"/>
        <v/>
      </c>
      <c r="AB78" s="10" t="str">
        <f t="shared" si="33"/>
        <v/>
      </c>
      <c r="AC78" s="10" t="str">
        <f t="shared" si="34"/>
        <v/>
      </c>
      <c r="AD78" s="10" t="str">
        <f t="shared" si="35"/>
        <v/>
      </c>
      <c r="AE78" s="10">
        <f t="shared" si="36"/>
        <v>0</v>
      </c>
      <c r="AF78" s="15"/>
      <c r="AG78" s="15"/>
      <c r="AH78" s="15"/>
      <c r="AI78" s="15"/>
      <c r="AJ78" s="15"/>
      <c r="AK78" s="15"/>
      <c r="AL78" s="16" t="str">
        <f t="shared" si="37"/>
        <v/>
      </c>
      <c r="AM78" s="16" t="str">
        <f t="shared" si="38"/>
        <v/>
      </c>
      <c r="AN78" s="16" t="str">
        <f t="shared" si="39"/>
        <v/>
      </c>
      <c r="AO78" s="16" t="str">
        <f t="shared" si="40"/>
        <v/>
      </c>
      <c r="AP78" s="16" t="str">
        <f t="shared" si="41"/>
        <v/>
      </c>
      <c r="AQ78" s="16" t="str">
        <f t="shared" si="42"/>
        <v/>
      </c>
      <c r="AR78" s="17"/>
      <c r="AS78" s="10" t="str">
        <f t="shared" si="43"/>
        <v xml:space="preserve">Menunggu coder</v>
      </c>
      <c r="AT78" s="11" t="str">
        <f t="shared" si="44"/>
        <v/>
      </c>
    </row>
    <row r="79" ht="48" customHeight="1">
      <c r="A79" s="10">
        <v>76</v>
      </c>
      <c r="B79" s="11" t="str">
        <f>IF(INDEX(Korpus!$A:$A,$A79)="","",INDEX(Korpus!$A:$A,$A79))</f>
        <v xml:space="preserve">UU 27 Thn 2022 (PDP)</v>
      </c>
      <c r="C79" s="11" t="str">
        <f>TRIM(INDEX(Korpus!$D:$D,$A79)&amp;" "&amp;INDEX(Korpus!$E:$E,$A79))</f>
        <v xml:space="preserve">Pasal 49</v>
      </c>
      <c r="D79" s="11" t="str">
        <f>IF(INDEX(Korpus!$B:$B,$A79)="","",INDEX(Korpus!$B:$B,$A79))</f>
        <v xml:space="preserve">BAB VI
KEWAJIBAN PENGENDALI DATA PRIBADI DAN PROSESOR DATA PRIBADI DALAM PEMROSESAN DATA PRIBADI</v>
      </c>
      <c r="E79" s="11" t="str">
        <f>IF(INDEX(Korpus!$C:$C,$A79)="","",INDEX(Korpus!$C:$C,$A79))</f>
        <v xml:space="preserve">Bagian Kedua
Kewajiban Pengendali Data Pribadi</v>
      </c>
      <c r="F79" s="11" t="str">
        <f>IF(INDEX(Korpus!$F:$F,$A79)="","",INDEX(Korpus!$F:$F,$A79))</f>
        <v xml:space="preserve">Pengendali Data Pribadi dan/ atau Prosesor Data Pribadi wajib melaksanakan perintah lembaga dalam rangka penyelenggaraan Pelindungan Data Pribadi sesuai dengan Undang-Undang ini.</v>
      </c>
      <c r="G79" s="12"/>
      <c r="H79" s="12"/>
      <c r="I79" s="12"/>
      <c r="J79" s="12"/>
      <c r="K79" s="12"/>
      <c r="L79" s="12"/>
      <c r="M79" s="13"/>
      <c r="N79" s="13"/>
      <c r="O79" s="13"/>
      <c r="P79" s="13"/>
      <c r="Q79" s="13"/>
      <c r="R79" s="13"/>
      <c r="S79" s="14"/>
      <c r="T79" s="14"/>
      <c r="U79" s="14"/>
      <c r="V79" s="14"/>
      <c r="W79" s="14"/>
      <c r="X79" s="14"/>
      <c r="Y79" s="10" t="str">
        <f t="shared" si="30"/>
        <v/>
      </c>
      <c r="Z79" s="10" t="str">
        <f t="shared" si="31"/>
        <v/>
      </c>
      <c r="AA79" s="10" t="str">
        <f t="shared" si="32"/>
        <v/>
      </c>
      <c r="AB79" s="10" t="str">
        <f t="shared" si="33"/>
        <v/>
      </c>
      <c r="AC79" s="10" t="str">
        <f t="shared" si="34"/>
        <v/>
      </c>
      <c r="AD79" s="10" t="str">
        <f t="shared" si="35"/>
        <v/>
      </c>
      <c r="AE79" s="10">
        <f t="shared" si="36"/>
        <v>0</v>
      </c>
      <c r="AF79" s="15"/>
      <c r="AG79" s="15"/>
      <c r="AH79" s="15"/>
      <c r="AI79" s="15"/>
      <c r="AJ79" s="15"/>
      <c r="AK79" s="15"/>
      <c r="AL79" s="16" t="str">
        <f t="shared" si="37"/>
        <v/>
      </c>
      <c r="AM79" s="16" t="str">
        <f t="shared" si="38"/>
        <v/>
      </c>
      <c r="AN79" s="16" t="str">
        <f t="shared" si="39"/>
        <v/>
      </c>
      <c r="AO79" s="16" t="str">
        <f t="shared" si="40"/>
        <v/>
      </c>
      <c r="AP79" s="16" t="str">
        <f t="shared" si="41"/>
        <v/>
      </c>
      <c r="AQ79" s="16" t="str">
        <f t="shared" si="42"/>
        <v/>
      </c>
      <c r="AR79" s="17"/>
      <c r="AS79" s="10" t="str">
        <f t="shared" si="43"/>
        <v xml:space="preserve">Menunggu coder</v>
      </c>
      <c r="AT79" s="11" t="str">
        <f t="shared" si="44"/>
        <v/>
      </c>
    </row>
    <row r="80" ht="48" customHeight="1">
      <c r="A80" s="10">
        <v>77</v>
      </c>
      <c r="B80" s="11" t="str">
        <f>IF(INDEX(Korpus!$A:$A,$A80)="","",INDEX(Korpus!$A:$A,$A80))</f>
        <v xml:space="preserve">UU 27 Thn 2022 (PDP)</v>
      </c>
      <c r="C80" s="11" t="str">
        <f>TRIM(INDEX(Korpus!$D:$D,$A80)&amp;" "&amp;INDEX(Korpus!$E:$E,$A80))</f>
        <v xml:space="preserve">Pasal 50</v>
      </c>
      <c r="D80" s="11" t="str">
        <f>IF(INDEX(Korpus!$B:$B,$A80)="","",INDEX(Korpus!$B:$B,$A80))</f>
        <v xml:space="preserve">BAB VI
KEWAJIBAN PENGENDALI DATA PRIBADI DAN PROSESOR DATA PRIBADI DALAM PEMROSESAN DATA PRIBADI</v>
      </c>
      <c r="E80" s="11" t="str">
        <f>IF(INDEX(Korpus!$C:$C,$A80)="","",INDEX(Korpus!$C:$C,$A80))</f>
        <v xml:space="preserve">Bagian Kedua
Kewajiban Pengendali Data Pribadi</v>
      </c>
      <c r="F80" s="11" t="str">
        <f>IF(INDEX(Korpus!$F:$F,$A80)="","",INDEX(Korpus!$F:$F,$A80))</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G80" s="12"/>
      <c r="H80" s="12"/>
      <c r="I80" s="12"/>
      <c r="J80" s="12"/>
      <c r="K80" s="12"/>
      <c r="L80" s="12"/>
      <c r="M80" s="13"/>
      <c r="N80" s="13"/>
      <c r="O80" s="13"/>
      <c r="P80" s="13"/>
      <c r="Q80" s="13"/>
      <c r="R80" s="13"/>
      <c r="S80" s="14"/>
      <c r="T80" s="14"/>
      <c r="U80" s="14"/>
      <c r="V80" s="14"/>
      <c r="W80" s="14"/>
      <c r="X80" s="14"/>
      <c r="Y80" s="10" t="str">
        <f t="shared" si="30"/>
        <v/>
      </c>
      <c r="Z80" s="10" t="str">
        <f t="shared" si="31"/>
        <v/>
      </c>
      <c r="AA80" s="10" t="str">
        <f t="shared" si="32"/>
        <v/>
      </c>
      <c r="AB80" s="10" t="str">
        <f t="shared" si="33"/>
        <v/>
      </c>
      <c r="AC80" s="10" t="str">
        <f t="shared" si="34"/>
        <v/>
      </c>
      <c r="AD80" s="10" t="str">
        <f t="shared" si="35"/>
        <v/>
      </c>
      <c r="AE80" s="10">
        <f t="shared" si="36"/>
        <v>0</v>
      </c>
      <c r="AF80" s="15"/>
      <c r="AG80" s="15"/>
      <c r="AH80" s="15"/>
      <c r="AI80" s="15"/>
      <c r="AJ80" s="15"/>
      <c r="AK80" s="15"/>
      <c r="AL80" s="16" t="str">
        <f t="shared" si="37"/>
        <v/>
      </c>
      <c r="AM80" s="16" t="str">
        <f t="shared" si="38"/>
        <v/>
      </c>
      <c r="AN80" s="16" t="str">
        <f t="shared" si="39"/>
        <v/>
      </c>
      <c r="AO80" s="16" t="str">
        <f t="shared" si="40"/>
        <v/>
      </c>
      <c r="AP80" s="16" t="str">
        <f t="shared" si="41"/>
        <v/>
      </c>
      <c r="AQ80" s="16" t="str">
        <f t="shared" si="42"/>
        <v/>
      </c>
      <c r="AR80" s="17"/>
      <c r="AS80" s="10" t="str">
        <f t="shared" si="43"/>
        <v xml:space="preserve">Menunggu coder</v>
      </c>
      <c r="AT80" s="11" t="str">
        <f t="shared" si="44"/>
        <v/>
      </c>
    </row>
    <row r="81" ht="48" customHeight="1">
      <c r="A81" s="10">
        <v>78</v>
      </c>
      <c r="B81" s="11" t="str">
        <f>IF(INDEX(Korpus!$A:$A,$A81)="","",INDEX(Korpus!$A:$A,$A81))</f>
        <v xml:space="preserve">UU 27 Thn 2022 (PDP)</v>
      </c>
      <c r="C81" s="11" t="str">
        <f>TRIM(INDEX(Korpus!$D:$D,$A81)&amp;" "&amp;INDEX(Korpus!$E:$E,$A81))</f>
        <v xml:space="preserve">Pasal 51</v>
      </c>
      <c r="D81" s="11" t="str">
        <f>IF(INDEX(Korpus!$B:$B,$A81)="","",INDEX(Korpus!$B:$B,$A81))</f>
        <v xml:space="preserve">BAB VI
KEWAJIBAN PENGENDALI DATA PRIBADI DAN PROSESOR DATA PRIBADI DALAM PEMROSESAN DATA PRIBADI</v>
      </c>
      <c r="E81" s="11" t="str">
        <f>IF(INDEX(Korpus!$C:$C,$A81)="","",INDEX(Korpus!$C:$C,$A81))</f>
        <v xml:space="preserve">Bagian Ketiga
Kewajiban Prosesor Data Pribadi</v>
      </c>
      <c r="F81" s="11" t="str">
        <f>IF(INDEX(Korpus!$F:$F,$A81)="","",INDEX(Korpus!$F:$F,$A81))</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G81" s="12"/>
      <c r="H81" s="12"/>
      <c r="I81" s="12"/>
      <c r="J81" s="12"/>
      <c r="K81" s="12"/>
      <c r="L81" s="12"/>
      <c r="M81" s="13"/>
      <c r="N81" s="13"/>
      <c r="O81" s="13"/>
      <c r="P81" s="13"/>
      <c r="Q81" s="13"/>
      <c r="R81" s="13"/>
      <c r="S81" s="14"/>
      <c r="T81" s="14"/>
      <c r="U81" s="14"/>
      <c r="V81" s="14"/>
      <c r="W81" s="14"/>
      <c r="X81" s="14"/>
      <c r="Y81" s="10" t="str">
        <f t="shared" si="30"/>
        <v/>
      </c>
      <c r="Z81" s="10" t="str">
        <f t="shared" si="31"/>
        <v/>
      </c>
      <c r="AA81" s="10" t="str">
        <f t="shared" si="32"/>
        <v/>
      </c>
      <c r="AB81" s="10" t="str">
        <f t="shared" si="33"/>
        <v/>
      </c>
      <c r="AC81" s="10" t="str">
        <f t="shared" si="34"/>
        <v/>
      </c>
      <c r="AD81" s="10" t="str">
        <f t="shared" si="35"/>
        <v/>
      </c>
      <c r="AE81" s="10">
        <f t="shared" si="36"/>
        <v>0</v>
      </c>
      <c r="AF81" s="15"/>
      <c r="AG81" s="15"/>
      <c r="AH81" s="15"/>
      <c r="AI81" s="15"/>
      <c r="AJ81" s="15"/>
      <c r="AK81" s="15"/>
      <c r="AL81" s="16" t="str">
        <f t="shared" si="37"/>
        <v/>
      </c>
      <c r="AM81" s="16" t="str">
        <f t="shared" si="38"/>
        <v/>
      </c>
      <c r="AN81" s="16" t="str">
        <f t="shared" si="39"/>
        <v/>
      </c>
      <c r="AO81" s="16" t="str">
        <f t="shared" si="40"/>
        <v/>
      </c>
      <c r="AP81" s="16" t="str">
        <f t="shared" si="41"/>
        <v/>
      </c>
      <c r="AQ81" s="16" t="str">
        <f t="shared" si="42"/>
        <v/>
      </c>
      <c r="AR81" s="17"/>
      <c r="AS81" s="10" t="str">
        <f t="shared" si="43"/>
        <v xml:space="preserve">Menunggu coder</v>
      </c>
      <c r="AT81" s="11" t="str">
        <f t="shared" si="44"/>
        <v/>
      </c>
    </row>
    <row r="82" ht="48" customHeight="1">
      <c r="A82" s="10">
        <v>79</v>
      </c>
      <c r="B82" s="11" t="str">
        <f>IF(INDEX(Korpus!$A:$A,$A82)="","",INDEX(Korpus!$A:$A,$A82))</f>
        <v xml:space="preserve">UU 27 Thn 2022 (PDP)</v>
      </c>
      <c r="C82" s="11" t="str">
        <f>TRIM(INDEX(Korpus!$D:$D,$A82)&amp;" "&amp;INDEX(Korpus!$E:$E,$A82))</f>
        <v xml:space="preserve">Pasal 52</v>
      </c>
      <c r="D82" s="11" t="str">
        <f>IF(INDEX(Korpus!$B:$B,$A82)="","",INDEX(Korpus!$B:$B,$A82))</f>
        <v xml:space="preserve">BAB VI
KEWAJIBAN PENGENDALI DATA PRIBADI DAN PROSESOR DATA PRIBADI DALAM PEMROSESAN DATA PRIBADI</v>
      </c>
      <c r="E82" s="11" t="str">
        <f>IF(INDEX(Korpus!$C:$C,$A82)="","",INDEX(Korpus!$C:$C,$A82))</f>
        <v xml:space="preserve">Bagian Ketiga
Kewajiban Prosesor Data Pribadi</v>
      </c>
      <c r="F82" s="11" t="str">
        <f>IF(INDEX(Korpus!$F:$F,$A82)="","",INDEX(Korpus!$F:$F,$A82))</f>
        <v xml:space="preserve">Ketentuan mengenai kewajiban Pengendali Data Pribadi sebagaimana dimaksud dalam Pasal 29, Pasal 31, Pasal 35, Pasal 36, Pasal 37, Pasal 38, dan Pasal 39 berlaku juga terhadap Prosesor Data Pribadi.</v>
      </c>
      <c r="G82" s="12"/>
      <c r="H82" s="12"/>
      <c r="I82" s="12"/>
      <c r="J82" s="12"/>
      <c r="K82" s="12"/>
      <c r="L82" s="12"/>
      <c r="M82" s="13"/>
      <c r="N82" s="13"/>
      <c r="O82" s="13"/>
      <c r="P82" s="13"/>
      <c r="Q82" s="13"/>
      <c r="R82" s="13"/>
      <c r="S82" s="14"/>
      <c r="T82" s="14"/>
      <c r="U82" s="14"/>
      <c r="V82" s="14"/>
      <c r="W82" s="14"/>
      <c r="X82" s="14"/>
      <c r="Y82" s="10" t="str">
        <f t="shared" si="30"/>
        <v/>
      </c>
      <c r="Z82" s="10" t="str">
        <f t="shared" si="31"/>
        <v/>
      </c>
      <c r="AA82" s="10" t="str">
        <f t="shared" si="32"/>
        <v/>
      </c>
      <c r="AB82" s="10" t="str">
        <f t="shared" si="33"/>
        <v/>
      </c>
      <c r="AC82" s="10" t="str">
        <f t="shared" si="34"/>
        <v/>
      </c>
      <c r="AD82" s="10" t="str">
        <f t="shared" si="35"/>
        <v/>
      </c>
      <c r="AE82" s="10">
        <f t="shared" si="36"/>
        <v>0</v>
      </c>
      <c r="AF82" s="15"/>
      <c r="AG82" s="15"/>
      <c r="AH82" s="15"/>
      <c r="AI82" s="15"/>
      <c r="AJ82" s="15"/>
      <c r="AK82" s="15"/>
      <c r="AL82" s="16" t="str">
        <f t="shared" si="37"/>
        <v/>
      </c>
      <c r="AM82" s="16" t="str">
        <f t="shared" si="38"/>
        <v/>
      </c>
      <c r="AN82" s="16" t="str">
        <f t="shared" si="39"/>
        <v/>
      </c>
      <c r="AO82" s="16" t="str">
        <f t="shared" si="40"/>
        <v/>
      </c>
      <c r="AP82" s="16" t="str">
        <f t="shared" si="41"/>
        <v/>
      </c>
      <c r="AQ82" s="16" t="str">
        <f t="shared" si="42"/>
        <v/>
      </c>
      <c r="AR82" s="17"/>
      <c r="AS82" s="10" t="str">
        <f t="shared" si="43"/>
        <v xml:space="preserve">Menunggu coder</v>
      </c>
      <c r="AT82" s="11" t="str">
        <f t="shared" si="44"/>
        <v/>
      </c>
    </row>
    <row r="83" ht="48" customHeight="1">
      <c r="A83" s="10">
        <v>80</v>
      </c>
      <c r="B83" s="11" t="str">
        <f>IF(INDEX(Korpus!$A:$A,$A83)="","",INDEX(Korpus!$A:$A,$A83))</f>
        <v xml:space="preserve">UU 27 Thn 2022 (PDP)</v>
      </c>
      <c r="C83" s="11" t="str">
        <f>TRIM(INDEX(Korpus!$D:$D,$A83)&amp;" "&amp;INDEX(Korpus!$E:$E,$A83))</f>
        <v xml:space="preserve">Pasal 53</v>
      </c>
      <c r="D83" s="11" t="str">
        <f>IF(INDEX(Korpus!$B:$B,$A83)="","",INDEX(Korpus!$B:$B,$A83))</f>
        <v xml:space="preserve">BAB VI
KEWAJIBAN PENGENDALI DATA PRIBADI DAN PROSESOR DATA PRIBADI DALAM PEMROSESAN DATA PRIBADI</v>
      </c>
      <c r="E83" s="11" t="str">
        <f>IF(INDEX(Korpus!$C:$C,$A83)="","",INDEX(Korpus!$C:$C,$A83))</f>
        <v xml:space="preserve">Bagian Keempat
Pejabat atau Petugas yang Melaksanakan Fungsi Pelindungan Data Pribadi</v>
      </c>
      <c r="F83" s="11" t="str">
        <f>IF(INDEX(Korpus!$F:$F,$A83)="","",INDEX(Korpus!$F:$F,$A83))</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G83" s="12"/>
      <c r="H83" s="12"/>
      <c r="I83" s="12"/>
      <c r="J83" s="12"/>
      <c r="K83" s="12"/>
      <c r="L83" s="12"/>
      <c r="M83" s="13"/>
      <c r="N83" s="13"/>
      <c r="O83" s="13"/>
      <c r="P83" s="13"/>
      <c r="Q83" s="13"/>
      <c r="R83" s="13"/>
      <c r="S83" s="14"/>
      <c r="T83" s="14"/>
      <c r="U83" s="14"/>
      <c r="V83" s="14"/>
      <c r="W83" s="14"/>
      <c r="X83" s="14"/>
      <c r="Y83" s="10" t="str">
        <f t="shared" si="30"/>
        <v/>
      </c>
      <c r="Z83" s="10" t="str">
        <f t="shared" si="31"/>
        <v/>
      </c>
      <c r="AA83" s="10" t="str">
        <f t="shared" si="32"/>
        <v/>
      </c>
      <c r="AB83" s="10" t="str">
        <f t="shared" si="33"/>
        <v/>
      </c>
      <c r="AC83" s="10" t="str">
        <f t="shared" si="34"/>
        <v/>
      </c>
      <c r="AD83" s="10" t="str">
        <f t="shared" si="35"/>
        <v/>
      </c>
      <c r="AE83" s="10">
        <f t="shared" si="36"/>
        <v>0</v>
      </c>
      <c r="AF83" s="15"/>
      <c r="AG83" s="15"/>
      <c r="AH83" s="15"/>
      <c r="AI83" s="15"/>
      <c r="AJ83" s="15"/>
      <c r="AK83" s="15"/>
      <c r="AL83" s="16" t="str">
        <f t="shared" si="37"/>
        <v/>
      </c>
      <c r="AM83" s="16" t="str">
        <f t="shared" si="38"/>
        <v/>
      </c>
      <c r="AN83" s="16" t="str">
        <f t="shared" si="39"/>
        <v/>
      </c>
      <c r="AO83" s="16" t="str">
        <f t="shared" si="40"/>
        <v/>
      </c>
      <c r="AP83" s="16" t="str">
        <f t="shared" si="41"/>
        <v/>
      </c>
      <c r="AQ83" s="16" t="str">
        <f t="shared" si="42"/>
        <v/>
      </c>
      <c r="AR83" s="17"/>
      <c r="AS83" s="10" t="str">
        <f t="shared" si="43"/>
        <v xml:space="preserve">Menunggu coder</v>
      </c>
      <c r="AT83" s="11" t="str">
        <f t="shared" si="44"/>
        <v/>
      </c>
    </row>
    <row r="84" ht="48" customHeight="1">
      <c r="A84" s="10">
        <v>81</v>
      </c>
      <c r="B84" s="11" t="str">
        <f>IF(INDEX(Korpus!$A:$A,$A84)="","",INDEX(Korpus!$A:$A,$A84))</f>
        <v xml:space="preserve">UU 27 Thn 2022 (PDP)</v>
      </c>
      <c r="C84" s="11" t="str">
        <f>TRIM(INDEX(Korpus!$D:$D,$A84)&amp;" "&amp;INDEX(Korpus!$E:$E,$A84))</f>
        <v xml:space="preserve">Pasal 55</v>
      </c>
      <c r="D84" s="11" t="str">
        <f>IF(INDEX(Korpus!$B:$B,$A84)="","",INDEX(Korpus!$B:$B,$A84))</f>
        <v xml:space="preserve">BAB VII TRANSFER DATA PRIBADI</v>
      </c>
      <c r="E84" s="11" t="str">
        <f>IF(INDEX(Korpus!$C:$C,$A84)="","",INDEX(Korpus!$C:$C,$A84))</f>
        <v xml:space="preserve">Bagian Kesatu
Transfer Data Pribadi Dalam Wilayah Hukum Negara Republik Indonesia</v>
      </c>
      <c r="F84" s="11" t="str">
        <f>IF(INDEX(Korpus!$F:$F,$A84)="","",INDEX(Korpus!$F:$F,$A84))</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G84" s="12"/>
      <c r="H84" s="12"/>
      <c r="I84" s="12"/>
      <c r="J84" s="12"/>
      <c r="K84" s="12"/>
      <c r="L84" s="12"/>
      <c r="M84" s="13"/>
      <c r="N84" s="13"/>
      <c r="O84" s="13"/>
      <c r="P84" s="13"/>
      <c r="Q84" s="13"/>
      <c r="R84" s="13"/>
      <c r="S84" s="14"/>
      <c r="T84" s="14"/>
      <c r="U84" s="14"/>
      <c r="V84" s="14"/>
      <c r="W84" s="14"/>
      <c r="X84" s="14"/>
      <c r="Y84" s="10" t="str">
        <f t="shared" si="30"/>
        <v/>
      </c>
      <c r="Z84" s="10" t="str">
        <f t="shared" si="31"/>
        <v/>
      </c>
      <c r="AA84" s="10" t="str">
        <f t="shared" si="32"/>
        <v/>
      </c>
      <c r="AB84" s="10" t="str">
        <f t="shared" si="33"/>
        <v/>
      </c>
      <c r="AC84" s="10" t="str">
        <f t="shared" si="34"/>
        <v/>
      </c>
      <c r="AD84" s="10" t="str">
        <f t="shared" si="35"/>
        <v/>
      </c>
      <c r="AE84" s="10">
        <f t="shared" si="36"/>
        <v>0</v>
      </c>
      <c r="AF84" s="15"/>
      <c r="AG84" s="15"/>
      <c r="AH84" s="15"/>
      <c r="AI84" s="15"/>
      <c r="AJ84" s="15"/>
      <c r="AK84" s="15"/>
      <c r="AL84" s="16" t="str">
        <f t="shared" si="37"/>
        <v/>
      </c>
      <c r="AM84" s="16" t="str">
        <f t="shared" si="38"/>
        <v/>
      </c>
      <c r="AN84" s="16" t="str">
        <f t="shared" si="39"/>
        <v/>
      </c>
      <c r="AO84" s="16" t="str">
        <f t="shared" si="40"/>
        <v/>
      </c>
      <c r="AP84" s="16" t="str">
        <f t="shared" si="41"/>
        <v/>
      </c>
      <c r="AQ84" s="16" t="str">
        <f t="shared" si="42"/>
        <v/>
      </c>
      <c r="AR84" s="17"/>
      <c r="AS84" s="10" t="str">
        <f t="shared" si="43"/>
        <v xml:space="preserve">Menunggu coder</v>
      </c>
      <c r="AT84" s="11" t="str">
        <f t="shared" si="44"/>
        <v/>
      </c>
    </row>
    <row r="85" ht="48" customHeight="1">
      <c r="A85" s="10">
        <v>82</v>
      </c>
      <c r="B85" s="11" t="str">
        <f>IF(INDEX(Korpus!$A:$A,$A85)="","",INDEX(Korpus!$A:$A,$A85))</f>
        <v xml:space="preserve">UU 27 Thn 2022 (PDP)</v>
      </c>
      <c r="C85" s="11" t="str">
        <f>TRIM(INDEX(Korpus!$D:$D,$A85)&amp;" "&amp;INDEX(Korpus!$E:$E,$A85))</f>
        <v xml:space="preserve">Pasal 56</v>
      </c>
      <c r="D85" s="11" t="str">
        <f>IF(INDEX(Korpus!$B:$B,$A85)="","",INDEX(Korpus!$B:$B,$A85))</f>
        <v xml:space="preserve">BAB VII TRANSFER DATA PRIBADI</v>
      </c>
      <c r="E85" s="11" t="str">
        <f>IF(INDEX(Korpus!$C:$C,$A85)="","",INDEX(Korpus!$C:$C,$A85))</f>
        <v xml:space="preserve">Bagian Kedua</v>
      </c>
      <c r="F85" s="11" t="str">
        <f>IF(INDEX(Korpus!$F:$F,$A85)="","",INDEX(Korpus!$F:$F,$A85))</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G85" s="12"/>
      <c r="H85" s="12"/>
      <c r="I85" s="12"/>
      <c r="J85" s="12"/>
      <c r="K85" s="12"/>
      <c r="L85" s="12"/>
      <c r="M85" s="13"/>
      <c r="N85" s="13"/>
      <c r="O85" s="13"/>
      <c r="P85" s="13"/>
      <c r="Q85" s="13"/>
      <c r="R85" s="13"/>
      <c r="S85" s="14"/>
      <c r="T85" s="14"/>
      <c r="U85" s="14"/>
      <c r="V85" s="14"/>
      <c r="W85" s="14"/>
      <c r="X85" s="14"/>
      <c r="Y85" s="10" t="str">
        <f t="shared" si="30"/>
        <v/>
      </c>
      <c r="Z85" s="10" t="str">
        <f t="shared" si="31"/>
        <v/>
      </c>
      <c r="AA85" s="10" t="str">
        <f t="shared" si="32"/>
        <v/>
      </c>
      <c r="AB85" s="10" t="str">
        <f t="shared" si="33"/>
        <v/>
      </c>
      <c r="AC85" s="10" t="str">
        <f t="shared" si="34"/>
        <v/>
      </c>
      <c r="AD85" s="10" t="str">
        <f t="shared" si="35"/>
        <v/>
      </c>
      <c r="AE85" s="10">
        <f t="shared" si="36"/>
        <v>0</v>
      </c>
      <c r="AF85" s="15"/>
      <c r="AG85" s="15"/>
      <c r="AH85" s="15"/>
      <c r="AI85" s="15"/>
      <c r="AJ85" s="15"/>
      <c r="AK85" s="15"/>
      <c r="AL85" s="16" t="str">
        <f t="shared" si="37"/>
        <v/>
      </c>
      <c r="AM85" s="16" t="str">
        <f t="shared" si="38"/>
        <v/>
      </c>
      <c r="AN85" s="16" t="str">
        <f t="shared" si="39"/>
        <v/>
      </c>
      <c r="AO85" s="16" t="str">
        <f t="shared" si="40"/>
        <v/>
      </c>
      <c r="AP85" s="16" t="str">
        <f t="shared" si="41"/>
        <v/>
      </c>
      <c r="AQ85" s="16" t="str">
        <f t="shared" si="42"/>
        <v/>
      </c>
      <c r="AR85" s="17"/>
      <c r="AS85" s="10" t="str">
        <f t="shared" si="43"/>
        <v xml:space="preserve">Menunggu coder</v>
      </c>
      <c r="AT85" s="11" t="str">
        <f t="shared" si="44"/>
        <v/>
      </c>
    </row>
    <row r="86" ht="48" customHeight="1">
      <c r="A86" s="10">
        <v>83</v>
      </c>
      <c r="B86" s="11" t="str">
        <f>IF(INDEX(Korpus!$A:$A,$A86)="","",INDEX(Korpus!$A:$A,$A86))</f>
        <v xml:space="preserve">UU 27 Thn 2022 (PDP)</v>
      </c>
      <c r="C86" s="11" t="str">
        <f>TRIM(INDEX(Korpus!$D:$D,$A86)&amp;" "&amp;INDEX(Korpus!$E:$E,$A86))</f>
        <v xml:space="preserve">Pasal 65</v>
      </c>
      <c r="D86" s="11" t="str">
        <f>IF(INDEX(Korpus!$B:$B,$A86)="","",INDEX(Korpus!$B:$B,$A86))</f>
        <v xml:space="preserve">BAB XIII
LARANGAN DALAM PENGGUNAAN DATA PRIBADI</v>
      </c>
      <c r="E86" s="11" t="str">
        <f>IF(INDEX(Korpus!$C:$C,$A86)="","",INDEX(Korpus!$C:$C,$A86))</f>
        <v/>
      </c>
      <c r="F86" s="11" t="str">
        <f>IF(INDEX(Korpus!$F:$F,$A86)="","",INDEX(Korpus!$F:$F,$A86))</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G86" s="12" t="s">
        <v>109</v>
      </c>
      <c r="H86" s="12" t="s">
        <v>97</v>
      </c>
      <c r="I86" s="12" t="s">
        <v>110</v>
      </c>
      <c r="J86" s="12" t="s">
        <v>111</v>
      </c>
      <c r="K86" s="12" t="s">
        <v>112</v>
      </c>
      <c r="L86" s="12" t="s">
        <v>95</v>
      </c>
      <c r="M86" s="13"/>
      <c r="N86" s="13"/>
      <c r="O86" s="13"/>
      <c r="P86" s="13"/>
      <c r="Q86" s="13"/>
      <c r="R86" s="13"/>
      <c r="S86" s="14"/>
      <c r="T86" s="14"/>
      <c r="U86" s="14"/>
      <c r="V86" s="14"/>
      <c r="W86" s="14"/>
      <c r="X86" s="14"/>
      <c r="Y86" s="10" t="str">
        <f t="shared" si="30"/>
        <v/>
      </c>
      <c r="Z86" s="10" t="str">
        <f t="shared" si="31"/>
        <v/>
      </c>
      <c r="AA86" s="10" t="str">
        <f t="shared" si="32"/>
        <v/>
      </c>
      <c r="AB86" s="10" t="str">
        <f t="shared" si="33"/>
        <v/>
      </c>
      <c r="AC86" s="10" t="str">
        <f t="shared" si="34"/>
        <v/>
      </c>
      <c r="AD86" s="10" t="str">
        <f t="shared" si="35"/>
        <v/>
      </c>
      <c r="AE86" s="10">
        <f t="shared" si="36"/>
        <v>0</v>
      </c>
      <c r="AF86" s="15"/>
      <c r="AG86" s="15"/>
      <c r="AH86" s="15"/>
      <c r="AI86" s="15"/>
      <c r="AJ86" s="15"/>
      <c r="AK86" s="15"/>
      <c r="AL86" s="16" t="str">
        <f t="shared" si="37"/>
        <v/>
      </c>
      <c r="AM86" s="16" t="str">
        <f t="shared" si="38"/>
        <v/>
      </c>
      <c r="AN86" s="16" t="str">
        <f t="shared" si="39"/>
        <v/>
      </c>
      <c r="AO86" s="16" t="str">
        <f t="shared" si="40"/>
        <v/>
      </c>
      <c r="AP86" s="16" t="str">
        <f t="shared" si="41"/>
        <v/>
      </c>
      <c r="AQ86" s="16" t="str">
        <f t="shared" si="42"/>
        <v/>
      </c>
      <c r="AR86" s="17"/>
      <c r="AS86" s="10" t="str">
        <f t="shared" si="43"/>
        <v xml:space="preserve">Menunggu coder</v>
      </c>
      <c r="AT86" s="11" t="str">
        <f t="shared" si="44"/>
        <v/>
      </c>
    </row>
    <row r="87" ht="48" customHeight="1">
      <c r="A87" s="10">
        <v>84</v>
      </c>
      <c r="B87" s="11" t="str">
        <f>IF(INDEX(Korpus!$A:$A,$A87)="","",INDEX(Korpus!$A:$A,$A87))</f>
        <v xml:space="preserve">UU 27 Thn 2022 (PDP)</v>
      </c>
      <c r="C87" s="11" t="str">
        <f>TRIM(INDEX(Korpus!$D:$D,$A87)&amp;" "&amp;INDEX(Korpus!$E:$E,$A87))</f>
        <v xml:space="preserve">Pasal 66</v>
      </c>
      <c r="D87" s="11" t="str">
        <f>IF(INDEX(Korpus!$B:$B,$A87)="","",INDEX(Korpus!$B:$B,$A87))</f>
        <v xml:space="preserve">BAB XIII
LARANGAN DALAM PENGGUNAAN DATA PRIBADI</v>
      </c>
      <c r="E87" s="11" t="str">
        <f>IF(INDEX(Korpus!$C:$C,$A87)="","",INDEX(Korpus!$C:$C,$A87))</f>
        <v/>
      </c>
      <c r="F87" s="11" t="str">
        <f>IF(INDEX(Korpus!$F:$F,$A87)="","",INDEX(Korpus!$F:$F,$A87))</f>
        <v xml:space="preserve">Setiap Orang dilarang membuat Data Pribadi palsu atau memalsukan Data Pribadi dengan maksud untuk menguntungkan diri sendiri atau orang lain yang dapat mengakibatkan kerugian bagi orang lain.</v>
      </c>
      <c r="G87" s="12"/>
      <c r="H87" s="12"/>
      <c r="I87" s="12"/>
      <c r="J87" s="12"/>
      <c r="K87" s="12"/>
      <c r="L87" s="12"/>
      <c r="M87" s="13"/>
      <c r="N87" s="13"/>
      <c r="O87" s="13"/>
      <c r="P87" s="13"/>
      <c r="Q87" s="13"/>
      <c r="R87" s="13"/>
      <c r="S87" s="14"/>
      <c r="T87" s="14"/>
      <c r="U87" s="14"/>
      <c r="V87" s="14"/>
      <c r="W87" s="14"/>
      <c r="X87" s="14"/>
      <c r="Y87" s="10" t="str">
        <f t="shared" si="30"/>
        <v/>
      </c>
      <c r="Z87" s="10" t="str">
        <f t="shared" si="31"/>
        <v/>
      </c>
      <c r="AA87" s="10" t="str">
        <f t="shared" si="32"/>
        <v/>
      </c>
      <c r="AB87" s="10" t="str">
        <f t="shared" si="33"/>
        <v/>
      </c>
      <c r="AC87" s="10" t="str">
        <f t="shared" si="34"/>
        <v/>
      </c>
      <c r="AD87" s="10" t="str">
        <f t="shared" si="35"/>
        <v/>
      </c>
      <c r="AE87" s="10">
        <f t="shared" si="36"/>
        <v>0</v>
      </c>
      <c r="AF87" s="15"/>
      <c r="AG87" s="15"/>
      <c r="AH87" s="15"/>
      <c r="AI87" s="15"/>
      <c r="AJ87" s="15"/>
      <c r="AK87" s="15"/>
      <c r="AL87" s="16" t="str">
        <f t="shared" si="37"/>
        <v/>
      </c>
      <c r="AM87" s="16" t="str">
        <f t="shared" si="38"/>
        <v/>
      </c>
      <c r="AN87" s="16" t="str">
        <f t="shared" si="39"/>
        <v/>
      </c>
      <c r="AO87" s="16" t="str">
        <f t="shared" si="40"/>
        <v/>
      </c>
      <c r="AP87" s="16" t="str">
        <f t="shared" si="41"/>
        <v/>
      </c>
      <c r="AQ87" s="16" t="str">
        <f t="shared" si="42"/>
        <v/>
      </c>
      <c r="AR87" s="17"/>
      <c r="AS87" s="10" t="str">
        <f t="shared" si="43"/>
        <v xml:space="preserve">Menunggu coder</v>
      </c>
      <c r="AT87" s="11" t="str">
        <f t="shared" si="44"/>
        <v/>
      </c>
    </row>
    <row r="88" ht="48" customHeight="1">
      <c r="A88" s="10">
        <v>85</v>
      </c>
      <c r="B88" s="11" t="str">
        <f>IF(INDEX(Korpus!$A:$A,$A88)="","",INDEX(Korpus!$A:$A,$A88))</f>
        <v xml:space="preserve">Perpres 39 Thn 2019 (Satu Data)</v>
      </c>
      <c r="C88" s="11" t="str">
        <f>TRIM(INDEX(Korpus!$D:$D,$A88)&amp;" "&amp;INDEX(Korpus!$E:$E,$A88))</f>
        <v xml:space="preserve">Pasal 1</v>
      </c>
      <c r="D88" s="11" t="str">
        <f>IF(INDEX(Korpus!$B:$B,$A88)="","",INDEX(Korpus!$B:$B,$A88))</f>
        <v xml:space="preserve">BAB I
KETENTUAN UMUM</v>
      </c>
      <c r="E88" s="11" t="str">
        <f>IF(INDEX(Korpus!$C:$C,$A88)="","",INDEX(Korpus!$C:$C,$A88))</f>
        <v/>
      </c>
      <c r="F88" s="11" t="str">
        <f>IF(INDEX(Korpus!$F:$F,$A88)="","",INDEX(Korpus!$F:$F,$A88))</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G88" s="12"/>
      <c r="H88" s="12"/>
      <c r="I88" s="12"/>
      <c r="J88" s="12"/>
      <c r="K88" s="12"/>
      <c r="L88" s="12"/>
      <c r="M88" s="13"/>
      <c r="N88" s="13"/>
      <c r="O88" s="13"/>
      <c r="P88" s="13"/>
      <c r="Q88" s="13"/>
      <c r="R88" s="13"/>
      <c r="S88" s="14"/>
      <c r="T88" s="14"/>
      <c r="U88" s="14"/>
      <c r="V88" s="14"/>
      <c r="W88" s="14"/>
      <c r="X88" s="14"/>
      <c r="Y88" s="10" t="str">
        <f t="shared" si="30"/>
        <v/>
      </c>
      <c r="Z88" s="10" t="str">
        <f t="shared" si="31"/>
        <v/>
      </c>
      <c r="AA88" s="10" t="str">
        <f t="shared" si="32"/>
        <v/>
      </c>
      <c r="AB88" s="10" t="str">
        <f t="shared" si="33"/>
        <v/>
      </c>
      <c r="AC88" s="10" t="str">
        <f t="shared" si="34"/>
        <v/>
      </c>
      <c r="AD88" s="10" t="str">
        <f t="shared" si="35"/>
        <v/>
      </c>
      <c r="AE88" s="10">
        <f t="shared" si="36"/>
        <v>0</v>
      </c>
      <c r="AF88" s="15"/>
      <c r="AG88" s="15"/>
      <c r="AH88" s="15"/>
      <c r="AI88" s="15"/>
      <c r="AJ88" s="15"/>
      <c r="AK88" s="15"/>
      <c r="AL88" s="16" t="str">
        <f t="shared" si="37"/>
        <v/>
      </c>
      <c r="AM88" s="16" t="str">
        <f t="shared" si="38"/>
        <v/>
      </c>
      <c r="AN88" s="16" t="str">
        <f t="shared" si="39"/>
        <v/>
      </c>
      <c r="AO88" s="16" t="str">
        <f t="shared" si="40"/>
        <v/>
      </c>
      <c r="AP88" s="16" t="str">
        <f t="shared" si="41"/>
        <v/>
      </c>
      <c r="AQ88" s="16" t="str">
        <f t="shared" si="42"/>
        <v/>
      </c>
      <c r="AR88" s="17"/>
      <c r="AS88" s="10" t="str">
        <f t="shared" si="43"/>
        <v xml:space="preserve">Menunggu coder</v>
      </c>
      <c r="AT88" s="11" t="str">
        <f t="shared" si="44"/>
        <v/>
      </c>
    </row>
    <row r="89" ht="48" customHeight="1">
      <c r="A89" s="10">
        <v>86</v>
      </c>
      <c r="B89" s="11" t="str">
        <f>IF(INDEX(Korpus!$A:$A,$A89)="","",INDEX(Korpus!$A:$A,$A89))</f>
        <v xml:space="preserve">Perpres 39 Thn 2019 (Satu Data)</v>
      </c>
      <c r="C89" s="11" t="str">
        <f>TRIM(INDEX(Korpus!$D:$D,$A89)&amp;" "&amp;INDEX(Korpus!$E:$E,$A89))</f>
        <v xml:space="preserve">Pasal 39</v>
      </c>
      <c r="D89" s="11" t="str">
        <f>IF(INDEX(Korpus!$B:$B,$A89)="","",INDEX(Korpus!$B:$B,$A89))</f>
        <v xml:space="preserve">BAB IV
PENYELENGGARAAN SATU DATA INDONESIA</v>
      </c>
      <c r="E89" s="11" t="str">
        <f>IF(INDEX(Korpus!$C:$C,$A89)="","",INDEX(Korpus!$C:$C,$A89))</f>
        <v xml:space="preserve">Bagian Kelima
Penyebarluasan Data</v>
      </c>
      <c r="F89" s="11" t="str">
        <f>IF(INDEX(Korpus!$F:$F,$A89)="","",INDEX(Korpus!$F:$F,$A89))</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G89" s="12" t="s">
        <v>113</v>
      </c>
      <c r="H89" s="12" t="s">
        <v>83</v>
      </c>
      <c r="I89" s="12" t="s">
        <v>114</v>
      </c>
      <c r="J89" s="12" t="s">
        <v>115</v>
      </c>
      <c r="K89" s="12" t="s">
        <v>112</v>
      </c>
      <c r="L89" s="12" t="s">
        <v>95</v>
      </c>
      <c r="M89" s="13"/>
      <c r="N89" s="13"/>
      <c r="O89" s="13"/>
      <c r="P89" s="13"/>
      <c r="Q89" s="13"/>
      <c r="R89" s="13"/>
      <c r="S89" s="14"/>
      <c r="T89" s="14"/>
      <c r="U89" s="14"/>
      <c r="V89" s="14"/>
      <c r="W89" s="14"/>
      <c r="X89" s="14"/>
      <c r="Y89" s="10" t="str">
        <f t="shared" si="30"/>
        <v/>
      </c>
      <c r="Z89" s="10" t="str">
        <f t="shared" si="31"/>
        <v/>
      </c>
      <c r="AA89" s="10" t="str">
        <f t="shared" si="32"/>
        <v/>
      </c>
      <c r="AB89" s="10" t="str">
        <f t="shared" si="33"/>
        <v/>
      </c>
      <c r="AC89" s="10" t="str">
        <f t="shared" si="34"/>
        <v/>
      </c>
      <c r="AD89" s="10" t="str">
        <f t="shared" si="35"/>
        <v/>
      </c>
      <c r="AE89" s="10">
        <f t="shared" si="36"/>
        <v>0</v>
      </c>
      <c r="AF89" s="15"/>
      <c r="AG89" s="15"/>
      <c r="AH89" s="15"/>
      <c r="AI89" s="15"/>
      <c r="AJ89" s="15"/>
      <c r="AK89" s="15"/>
      <c r="AL89" s="16" t="str">
        <f t="shared" si="37"/>
        <v/>
      </c>
      <c r="AM89" s="16" t="str">
        <f t="shared" si="38"/>
        <v/>
      </c>
      <c r="AN89" s="16" t="str">
        <f t="shared" si="39"/>
        <v/>
      </c>
      <c r="AO89" s="16" t="str">
        <f t="shared" si="40"/>
        <v/>
      </c>
      <c r="AP89" s="16" t="str">
        <f t="shared" si="41"/>
        <v/>
      </c>
      <c r="AQ89" s="16" t="str">
        <f t="shared" si="42"/>
        <v/>
      </c>
      <c r="AR89" s="17"/>
      <c r="AS89" s="10" t="str">
        <f t="shared" si="43"/>
        <v xml:space="preserve">Menunggu coder</v>
      </c>
      <c r="AT89" s="11" t="str">
        <f t="shared" si="44"/>
        <v/>
      </c>
    </row>
  </sheetData>
  <autoFilter ref="A4:AT89"/>
  <mergeCells count="7">
    <mergeCell ref="A3:F3"/>
    <mergeCell ref="G3:L3"/>
    <mergeCell ref="M3:R3"/>
    <mergeCell ref="S3:X3"/>
    <mergeCell ref="Y3:AD3"/>
    <mergeCell ref="AF3:AK3"/>
    <mergeCell ref="AL3:AQ3"/>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equal" rank="0" text="">
            <xm:f>"Beda"</xm:f>
            <x14:dxf>
              <font>
                <color rgb="FF9C0006"/>
                <name val="Arial"/>
              </font>
              <fill>
                <patternFill patternType="solid">
                  <fgColor rgb="FFFFC7CE"/>
                  <bgColor rgb="FFFFC7CE"/>
                </patternFill>
              </fill>
            </x14:dxf>
          </x14:cfRule>
          <xm:sqref>Y5:AD89</xm:sqref>
        </x14:conditionalFormatting>
        <x14:conditionalFormatting xmlns:xm="http://schemas.microsoft.com/office/excel/2006/main">
          <x14:cfRule type="expression" priority="3" aboveAverage="0" rank="0" text="">
            <xm:f>AS5="Perlu adjudikasi"</xm:f>
            <x14:dxf>
              <fill>
                <patternFill patternType="solid">
                  <fgColor rgb="FFFFC7CE"/>
                  <bgColor rgb="FFFFC7CE"/>
                </patternFill>
              </fill>
            </x14:dxf>
          </x14:cfRule>
          <xm:sqref>AS5:AS89</xm:sqref>
        </x14:conditionalFormatting>
        <x14:conditionalFormatting xmlns:xm="http://schemas.microsoft.com/office/excel/2006/main">
          <x14:cfRule type="expression" priority="4" aboveAverage="0" rank="0" text="">
            <xm:f>AT5="OK"</xm:f>
            <x14:dxf>
              <font>
                <color rgb="FF006100"/>
                <name val="Arial"/>
              </font>
              <fill>
                <patternFill patternType="solid">
                  <fgColor rgb="FFC6EFCE"/>
                  <bgColor rgb="FFC6EFCE"/>
                </patternFill>
              </fill>
            </x14:dxf>
          </x14:cfRule>
          <xm:sqref>AT5:AT89</xm:sqref>
        </x14:conditionalFormatting>
        <x14:conditionalFormatting xmlns:xm="http://schemas.microsoft.com/office/excel/2006/main">
          <x14:cfRule type="expression" priority="5" aboveAverage="0" rank="0" text="">
            <xm:f>AND(AT5&lt;&gt;"",AT5&lt;&gt;"OK",LEFT(AT5,7)&lt;&gt;"Belum l")</xm:f>
            <x14:dxf>
              <font>
                <color rgb="FF9C5700"/>
                <name val="Arial"/>
              </font>
              <fill>
                <patternFill patternType="solid">
                  <fgColor rgb="FFFFEB9C"/>
                  <bgColor rgb="FFFFEB9C"/>
                </patternFill>
              </fill>
            </x14:dxf>
          </x14:cfRule>
          <xm:sqref>AT5:AT89</xm:sqref>
        </x14:conditionalFormatting>
      </x14:conditionalFormattings>
    </ext>
    <ext xmlns:x14="http://schemas.microsoft.com/office/spreadsheetml/2009/9/main" uri="{CCE6A557-97BC-4b89-ADB6-D9C93CAAB3DF}">
      <x14:dataValidations xmlns:xm="http://schemas.microsoft.com/office/excel/2006/main" count="24" disablePrompts="0">
        <x14:dataValidation xr:uid="{5072AC1E-CDFB-446C-B67D-8A50B8A024DB}"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G5:G89</xm:sqref>
        </x14:dataValidation>
        <x14:dataValidation xr:uid="{0F740217-7064-40FD-BA32-562D09D93A9E}"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H5:H89</xm:sqref>
        </x14:dataValidation>
        <x14:dataValidation xr:uid="{55FE2F2A-DF1A-4E2C-BE0C-9B22921CBB40}"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I5:I89</xm:sqref>
        </x14:dataValidation>
        <x14:dataValidation xr:uid="{63D289D0-DFD9-443C-9E3C-56C68D0E66B1}" type="list" allowBlank="1" error="Pilih kode dari daftar (lihat sheet Daftar Kode)." errorStyle="stop" errorTitle="Kode tidak sah" imeMode="noControl" operator="between" showDropDown="0" showErrorMessage="1" showInputMessage="0">
          <x14:formula1>
            <xm:f>'Daftar Kode'!$D$40:$D$47</xm:f>
          </x14:formula1>
          <x14:formula2>
            <xm:f>0</xm:f>
          </x14:formula2>
          <xm:sqref>J5:J89</xm:sqref>
        </x14:dataValidation>
        <x14:dataValidation xr:uid="{3E1899E9-1E7D-4615-AAE6-B06B13B9444D}" type="list" allowBlank="1" error="Pilih kode dari daftar (lihat sheet Daftar Kode)." errorStyle="stop" errorTitle="Kode tidak sah" imeMode="noControl" operator="between" showDropDown="0" showErrorMessage="1" showInputMessage="0">
          <x14:formula1>
            <xm:f>'Daftar Kode'!$D$50:$D$57</xm:f>
          </x14:formula1>
          <x14:formula2>
            <xm:f>0</xm:f>
          </x14:formula2>
          <xm:sqref>K5:K89</xm:sqref>
        </x14:dataValidation>
        <x14:dataValidation xr:uid="{39DAD557-3C6E-4B68-9384-7B03A60D1F61}" type="list" allowBlank="1" error="Pilih kode dari daftar (lihat sheet Daftar Kode)." errorStyle="stop" errorTitle="Kode tidak sah" imeMode="noControl" operator="between" showDropDown="0" showErrorMessage="1" showInputMessage="0">
          <x14:formula1>
            <xm:f>'Daftar Kode'!$D$60:$D$64</xm:f>
          </x14:formula1>
          <x14:formula2>
            <xm:f>0</xm:f>
          </x14:formula2>
          <xm:sqref>L5:L89</xm:sqref>
        </x14:dataValidation>
        <x14:dataValidation xr:uid="{40BBBD4E-D3EF-4A3A-A18A-2B9050B89EB6}" type="list" allowBlank="1" error="Pilih kode dari daftar (lihat sheet Daftar Kode)." errorStyle="stop" errorTitle="Kode tidak sah" imeMode="noControl" operator="between" showDropDown="0" showErrorMessage="1" showInputMessage="0">
          <x14:formula1>
            <xm:f>'Daftar Kode'!$D$60:$D$64</xm:f>
          </x14:formula1>
          <x14:formula2>
            <xm:f>0</xm:f>
          </x14:formula2>
          <xm:sqref>X5:X89</xm:sqref>
        </x14:dataValidation>
        <x14:dataValidation xr:uid="{1AD6BA69-2B88-4033-A07E-6EE3E9829C2E}"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M5:M89</xm:sqref>
        </x14:dataValidation>
        <x14:dataValidation xr:uid="{115EA9CF-58F4-429C-9537-78173A1E2559}"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N5:N89</xm:sqref>
        </x14:dataValidation>
        <x14:dataValidation xr:uid="{6D97ED80-E173-4048-87BA-FD744B4D2CE9}"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O5:O89</xm:sqref>
        </x14:dataValidation>
        <x14:dataValidation xr:uid="{531D4A03-8196-4571-9A36-14E01AFE62B6}" type="list" allowBlank="1" error="Pilih kode dari daftar (lihat sheet Daftar Kode)." errorStyle="stop" errorTitle="Kode tidak sah" imeMode="noControl" operator="between" showDropDown="0" showErrorMessage="1" showInputMessage="0">
          <x14:formula1>
            <xm:f>'Daftar Kode'!$D$40:$D$47</xm:f>
          </x14:formula1>
          <x14:formula2>
            <xm:f>0</xm:f>
          </x14:formula2>
          <xm:sqref>P5:P89</xm:sqref>
        </x14:dataValidation>
        <x14:dataValidation xr:uid="{7246212C-5331-4FAA-A3C8-6922E0A34105}" type="list" allowBlank="1" error="Pilih kode dari daftar (lihat sheet Daftar Kode)." errorStyle="stop" errorTitle="Kode tidak sah" imeMode="noControl" operator="between" showDropDown="0" showErrorMessage="1" showInputMessage="0">
          <x14:formula1>
            <xm:f>'Daftar Kode'!$D$50:$D$57</xm:f>
          </x14:formula1>
          <x14:formula2>
            <xm:f>0</xm:f>
          </x14:formula2>
          <xm:sqref>Q5:Q89</xm:sqref>
        </x14:dataValidation>
        <x14:dataValidation xr:uid="{0DCE96FD-2CC1-4678-A745-7B75B9C6C2E6}" type="list" allowBlank="1" error="Pilih kode dari daftar (lihat sheet Daftar Kode)." errorStyle="stop" errorTitle="Kode tidak sah" imeMode="noControl" operator="between" showDropDown="0" showErrorMessage="1" showInputMessage="0">
          <x14:formula1>
            <xm:f>'Daftar Kode'!$D$60:$D$64</xm:f>
          </x14:formula1>
          <x14:formula2>
            <xm:f>0</xm:f>
          </x14:formula2>
          <xm:sqref>R5:R89</xm:sqref>
        </x14:dataValidation>
        <x14:dataValidation xr:uid="{4BB5B6B0-4BC5-427C-AC21-FB9001158E63}"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S5:S89</xm:sqref>
        </x14:dataValidation>
        <x14:dataValidation xr:uid="{28FBEFCC-90BA-4495-8F76-83FE9963A1DA}"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T5:T89</xm:sqref>
        </x14:dataValidation>
        <x14:dataValidation xr:uid="{04CCDA68-0E9E-479B-80E0-E416559DDD17}"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U5:U89</xm:sqref>
        </x14:dataValidation>
        <x14:dataValidation xr:uid="{303A1083-5F8D-47DC-82FF-AED790B0ED1E}" type="list" allowBlank="1" error="Pilih kode dari daftar (lihat sheet Daftar Kode)." errorStyle="stop" errorTitle="Kode tidak sah" imeMode="noControl" operator="between" showDropDown="0" showErrorMessage="1" showInputMessage="0">
          <x14:formula1>
            <xm:f>'Daftar Kode'!$D$40:$D$47</xm:f>
          </x14:formula1>
          <x14:formula2>
            <xm:f>0</xm:f>
          </x14:formula2>
          <xm:sqref>V5:V89</xm:sqref>
        </x14:dataValidation>
        <x14:dataValidation xr:uid="{28C5E513-B6B9-47D9-99A8-2F5CA6C8BF48}" type="list" allowBlank="1" error="Pilih kode dari daftar (lihat sheet Daftar Kode)." errorStyle="stop" errorTitle="Kode tidak sah" imeMode="noControl" operator="between" showDropDown="0" showErrorMessage="1" showInputMessage="0">
          <x14:formula1>
            <xm:f>'Daftar Kode'!$D$50:$D$57</xm:f>
          </x14:formula1>
          <x14:formula2>
            <xm:f>0</xm:f>
          </x14:formula2>
          <xm:sqref>W5:W89</xm:sqref>
        </x14:dataValidation>
        <x14:dataValidation xr:uid="{00617CA2-BC27-4CE6-843D-07CA545C6831}"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AF5:AF89</xm:sqref>
        </x14:dataValidation>
        <x14:dataValidation xr:uid="{38395373-22EB-48BE-8B4F-EB6C267B1C13}"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AG5:AG89</xm:sqref>
        </x14:dataValidation>
        <x14:dataValidation xr:uid="{67DD0499-BD30-46CC-9C72-D8FCCE7FC48D}"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AH5:AH89</xm:sqref>
        </x14:dataValidation>
        <x14:dataValidation xr:uid="{01587BC7-0B67-46B4-B8AD-A4BB78F817E0}" type="list" allowBlank="1" error="Pilih kode dari daftar (lihat sheet Daftar Kode)." errorStyle="stop" errorTitle="Kode tidak sah" imeMode="noControl" operator="between" showDropDown="0" showErrorMessage="1" showInputMessage="0">
          <x14:formula1>
            <xm:f>'Daftar Kode'!$D$40:$D$47</xm:f>
          </x14:formula1>
          <x14:formula2>
            <xm:f>0</xm:f>
          </x14:formula2>
          <xm:sqref>AI5:AI89</xm:sqref>
        </x14:dataValidation>
        <x14:dataValidation xr:uid="{5D347929-BE8A-40CB-81E7-D9B654003170}" type="list" allowBlank="1" error="Pilih kode dari daftar (lihat sheet Daftar Kode)." errorStyle="stop" errorTitle="Kode tidak sah" imeMode="noControl" operator="between" showDropDown="0" showErrorMessage="1" showInputMessage="0">
          <x14:formula1>
            <xm:f>'Daftar Kode'!$D$50:$D$57</xm:f>
          </x14:formula1>
          <x14:formula2>
            <xm:f>0</xm:f>
          </x14:formula2>
          <xm:sqref>AJ5:AJ89</xm:sqref>
        </x14:dataValidation>
        <x14:dataValidation xr:uid="{0BF82313-08CB-4BA0-89E0-3D79DC0CF8A0}" type="list" allowBlank="1" error="Pilih kode dari daftar (lihat sheet Daftar Kode)." errorStyle="stop" errorTitle="Kode tidak sah" imeMode="noControl" operator="between" showDropDown="0" showErrorMessage="1" showInputMessage="0">
          <x14:formula1>
            <xm:f>'Daftar Kode'!$D$60:$D$64</xm:f>
          </x14:formula1>
          <x14:formula2>
            <xm:f>0</xm:f>
          </x14:formula2>
          <xm:sqref>AK5:AK89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5" workbookViewId="0">
      <selection activeCell="A1" activeCellId="0" sqref="A1"/>
    </sheetView>
  </sheetViews>
  <sheetFormatPr defaultColWidth="8.6796875" defaultRowHeight="15"/>
  <cols>
    <col customWidth="1" min="1" max="1" style="1" width="26"/>
    <col customWidth="1" min="2" max="2" style="1" width="16"/>
    <col customWidth="1" min="3" max="3" style="1" width="22"/>
    <col customWidth="1" min="4" max="4" style="1" width="14"/>
    <col customWidth="1" min="5" max="5" style="1" width="20"/>
    <col customWidth="1" min="6" max="6" style="1" width="10"/>
    <col customWidth="1" min="7" max="7" style="1" width="24"/>
  </cols>
  <sheetData>
    <row r="1" ht="17.350000000000001">
      <c r="A1" s="2" t="s">
        <v>116</v>
      </c>
    </row>
    <row r="2" ht="15">
      <c r="A2" s="3" t="s">
        <v>117</v>
      </c>
    </row>
    <row r="4" ht="31.5" customHeight="1">
      <c r="A4" s="8" t="s">
        <v>118</v>
      </c>
      <c r="B4" s="8" t="s">
        <v>119</v>
      </c>
      <c r="C4" s="8" t="s">
        <v>120</v>
      </c>
      <c r="D4" s="8" t="s">
        <v>121</v>
      </c>
      <c r="E4" s="8" t="s">
        <v>122</v>
      </c>
      <c r="F4" s="8" t="s">
        <v>16</v>
      </c>
      <c r="G4" s="8" t="s">
        <v>123</v>
      </c>
    </row>
    <row r="5" ht="15">
      <c r="A5" s="18" t="s">
        <v>124</v>
      </c>
      <c r="B5" s="19" t="s">
        <v>125</v>
      </c>
      <c r="C5" s="19">
        <f>SUMPRODUCT(('Kunci Adjudikasi'!$M$5:$M$89&lt;&gt;"")*('Kunci Adjudikasi'!$S$5:$S$89&lt;&gt;""))</f>
        <v>0</v>
      </c>
      <c r="D5" s="19">
        <f>SUMPRODUCT(('Kunci Adjudikasi'!$M$5:$M$89&lt;&gt;"")*('Kunci Adjudikasi'!$S$5:$S$89&lt;&gt;"")*('Kunci Adjudikasi'!$M$5:$M$89&lt;&gt;'Kunci Adjudikasi'!$S$5:$S$89))</f>
        <v>0</v>
      </c>
      <c r="E5" s="19">
        <f t="shared" ref="E5:E9" si="45">2*C5</f>
        <v>0</v>
      </c>
      <c r="F5" s="20" t="str">
        <f>IF(C5=0,"",IF(((E5^2-SUM(C16:C24))/2)=0,"n/a",1-(E5-1)*D5/((E5^2-SUM(C16:C24))/2)))</f>
        <v/>
      </c>
      <c r="G5" s="19" t="str">
        <f t="shared" ref="G5:G9" si="46">IF(OR(F5="",F5="n/a"),"",IF(F5&gt;=0.8,"Dapat diterima",IF(F5&gt;=0.667,"Tentatif","Revisi variabel")))</f>
        <v/>
      </c>
    </row>
    <row r="6" ht="15">
      <c r="A6" s="18" t="s">
        <v>126</v>
      </c>
      <c r="B6" s="19" t="s">
        <v>127</v>
      </c>
      <c r="C6" s="19">
        <f>SUMPRODUCT(('Kunci Adjudikasi'!$N$5:$N$89&lt;&gt;"")*('Kunci Adjudikasi'!$T$5:$T$89&lt;&gt;""))</f>
        <v>0</v>
      </c>
      <c r="D6" s="19">
        <f>SUMPRODUCT(('Kunci Adjudikasi'!$N$5:$N$89&lt;&gt;"")*('Kunci Adjudikasi'!$T$5:$T$89&lt;&gt;"")*('Kunci Adjudikasi'!$N$5:$N$89&lt;&gt;'Kunci Adjudikasi'!$T$5:$T$89))</f>
        <v>0</v>
      </c>
      <c r="E6" s="19">
        <f t="shared" si="45"/>
        <v>0</v>
      </c>
      <c r="F6" s="20" t="str">
        <f>IF(C6=0,"",IF(SUM(D33:D35)=0,"n/a",1-(E6-1)*SUMPRODUCT(B33:B35,C33:C35)/SUM(D33:D35)))</f>
        <v/>
      </c>
      <c r="G6" s="19" t="str">
        <f t="shared" si="46"/>
        <v/>
      </c>
    </row>
    <row r="7" ht="15">
      <c r="A7" s="18" t="s">
        <v>128</v>
      </c>
      <c r="B7" s="19" t="s">
        <v>125</v>
      </c>
      <c r="C7" s="19">
        <f>SUMPRODUCT(('Kunci Adjudikasi'!$O$5:$O$89&lt;&gt;"")*('Kunci Adjudikasi'!$U$5:$U$89&lt;&gt;""))</f>
        <v>0</v>
      </c>
      <c r="D7" s="19">
        <f>SUMPRODUCT(('Kunci Adjudikasi'!$O$5:$O$89&lt;&gt;"")*('Kunci Adjudikasi'!$U$5:$U$89&lt;&gt;"")*('Kunci Adjudikasi'!$O$5:$O$89&lt;&gt;'Kunci Adjudikasi'!$U$5:$U$89))</f>
        <v>0</v>
      </c>
      <c r="E7" s="19">
        <f t="shared" si="45"/>
        <v>0</v>
      </c>
      <c r="F7" s="20" t="str">
        <f>IF(C7=0,"",IF(((E7^2-SUM(C40:C57))/2)=0,"n/a",1-(E7-1)*D7/((E7^2-SUM(C40:C57))/2)))</f>
        <v/>
      </c>
      <c r="G7" s="19" t="str">
        <f t="shared" si="46"/>
        <v/>
      </c>
    </row>
    <row r="8" ht="15">
      <c r="A8" s="18" t="s">
        <v>129</v>
      </c>
      <c r="B8" s="19" t="s">
        <v>125</v>
      </c>
      <c r="C8" s="19">
        <f>SUMPRODUCT(('Kunci Adjudikasi'!$P$5:$P$89&lt;&gt;"")*('Kunci Adjudikasi'!$V$5:$V$89&lt;&gt;""))</f>
        <v>0</v>
      </c>
      <c r="D8" s="19">
        <f>SUMPRODUCT(('Kunci Adjudikasi'!$P$5:$P$89&lt;&gt;"")*('Kunci Adjudikasi'!$V$5:$V$89&lt;&gt;"")*('Kunci Adjudikasi'!$P$5:$P$89&lt;&gt;'Kunci Adjudikasi'!$V$5:$V$89))</f>
        <v>0</v>
      </c>
      <c r="E8" s="19">
        <f t="shared" si="45"/>
        <v>0</v>
      </c>
      <c r="F8" s="20" t="str">
        <f>IF(C8=0,"",IF(((E8^2-SUM(C62:C70))/2)=0,"n/a",1-(E8-1)*D8/((E8^2-SUM(C62:C70))/2)))</f>
        <v/>
      </c>
      <c r="G8" s="19" t="str">
        <f t="shared" si="46"/>
        <v/>
      </c>
    </row>
    <row r="9" ht="15">
      <c r="A9" s="18" t="s">
        <v>130</v>
      </c>
      <c r="B9" s="19" t="s">
        <v>125</v>
      </c>
      <c r="C9" s="19">
        <f>SUMPRODUCT(('Kunci Adjudikasi'!$Q$5:$Q$89&lt;&gt;"")*('Kunci Adjudikasi'!$W$5:$W$89&lt;&gt;""))</f>
        <v>0</v>
      </c>
      <c r="D9" s="19">
        <f>SUMPRODUCT(('Kunci Adjudikasi'!$Q$5:$Q$89&lt;&gt;"")*('Kunci Adjudikasi'!$W$5:$W$89&lt;&gt;"")*('Kunci Adjudikasi'!$Q$5:$Q$89&lt;&gt;'Kunci Adjudikasi'!$W$5:$W$89))</f>
        <v>0</v>
      </c>
      <c r="E9" s="19">
        <f t="shared" si="45"/>
        <v>0</v>
      </c>
      <c r="F9" s="20" t="str">
        <f>IF(C9=0,"",IF(((E9^2-SUM(C75:C82))/2)=0,"n/a",1-(E9-1)*D9/((E9^2-SUM(C75:C82))/2)))</f>
        <v/>
      </c>
      <c r="G9" s="19" t="str">
        <f t="shared" si="46"/>
        <v/>
      </c>
    </row>
    <row r="10" ht="15">
      <c r="A10" s="18" t="s">
        <v>131</v>
      </c>
      <c r="B10" s="19" t="s">
        <v>125</v>
      </c>
      <c r="C10" s="19">
        <f>SUMPRODUCT(('Kunci Adjudikasi'!$R$5:$R$89&lt;&gt;"")*('Kunci Adjudikasi'!$X$5:$X$89&lt;&gt;""))</f>
        <v>0</v>
      </c>
      <c r="D10" s="19">
        <f>SUMPRODUCT(('Kunci Adjudikasi'!$R$5:$R$89&lt;&gt;"")*('Kunci Adjudikasi'!$X$5:$X$89&lt;&gt;"")*('Kunci Adjudikasi'!$R$5:$R$89&lt;&gt;'Kunci Adjudikasi'!$X$5:$X$89))</f>
        <v>0</v>
      </c>
      <c r="E10" s="19">
        <f>2*C10</f>
        <v>0</v>
      </c>
      <c r="F10" s="20" t="str">
        <f>IF(C10=0,"",IF(((E10^2-SUM(C87:C91))/2)=0,"n/a",1-(E10-1)*D10/((E10^2-SUM(C87:C91))/2)))</f>
        <v/>
      </c>
      <c r="G10" s="19" t="str">
        <f>IF(OR(F10="",F10="n/a"),"",IF(F10&gt;=0.8,"Dapat diterima",IF(F10&gt;=0.667,"Tentatif","Revisi variabel")))</f>
        <v/>
      </c>
    </row>
    <row r="12" ht="15">
      <c r="A12" s="3" t="s">
        <v>132</v>
      </c>
    </row>
    <row r="14" ht="15">
      <c r="A14" s="21" t="s">
        <v>133</v>
      </c>
    </row>
    <row r="15" ht="23.850000000000001">
      <c r="A15" s="8" t="s">
        <v>134</v>
      </c>
      <c r="B15" s="8" t="s">
        <v>135</v>
      </c>
      <c r="C15" s="8" t="s">
        <v>136</v>
      </c>
    </row>
    <row r="16" ht="15">
      <c r="A16" s="22" t="s">
        <v>137</v>
      </c>
      <c r="B16" s="18">
        <f>COUNTIFS('Kunci Adjudikasi'!$M$5:$M$89,A16&amp;"*",'Kunci Adjudikasi'!$S$5:$S$89,"&lt;&gt;")+COUNTIFS('Kunci Adjudikasi'!$S$5:$S$89,A16&amp;"*",'Kunci Adjudikasi'!$M$5:$M$89,"&lt;&gt;")</f>
        <v>0</v>
      </c>
      <c r="C16" s="18">
        <f t="shared" ref="C16:C24" si="47">B16^2</f>
        <v>0</v>
      </c>
    </row>
    <row r="17" ht="15">
      <c r="A17" s="22" t="s">
        <v>138</v>
      </c>
      <c r="B17" s="18">
        <f>COUNTIFS('Kunci Adjudikasi'!$M$5:$M$89,A17&amp;"*",'Kunci Adjudikasi'!$S$5:$S$89,"&lt;&gt;")+COUNTIFS('Kunci Adjudikasi'!$S$5:$S$89,A17&amp;"*",'Kunci Adjudikasi'!$M$5:$M$89,"&lt;&gt;")</f>
        <v>0</v>
      </c>
      <c r="C17" s="18">
        <f t="shared" si="47"/>
        <v>0</v>
      </c>
    </row>
    <row r="18" ht="15">
      <c r="A18" s="22" t="s">
        <v>139</v>
      </c>
      <c r="B18" s="18">
        <f>COUNTIFS('Kunci Adjudikasi'!$M$5:$M$89,A18&amp;"*",'Kunci Adjudikasi'!$S$5:$S$89,"&lt;&gt;")+COUNTIFS('Kunci Adjudikasi'!$S$5:$S$89,A18&amp;"*",'Kunci Adjudikasi'!$M$5:$M$89,"&lt;&gt;")</f>
        <v>0</v>
      </c>
      <c r="C18" s="18">
        <f t="shared" si="47"/>
        <v>0</v>
      </c>
    </row>
    <row r="19" ht="15">
      <c r="A19" s="22" t="s">
        <v>140</v>
      </c>
      <c r="B19" s="18">
        <f>COUNTIFS('Kunci Adjudikasi'!$M$5:$M$89,A19&amp;"*",'Kunci Adjudikasi'!$S$5:$S$89,"&lt;&gt;")+COUNTIFS('Kunci Adjudikasi'!$S$5:$S$89,A19&amp;"*",'Kunci Adjudikasi'!$M$5:$M$89,"&lt;&gt;")</f>
        <v>0</v>
      </c>
      <c r="C19" s="18">
        <f t="shared" si="47"/>
        <v>0</v>
      </c>
    </row>
    <row r="20" ht="15">
      <c r="A20" s="22" t="s">
        <v>141</v>
      </c>
      <c r="B20" s="18">
        <f>COUNTIFS('Kunci Adjudikasi'!$M$5:$M$89,A20&amp;"*",'Kunci Adjudikasi'!$S$5:$S$89,"&lt;&gt;")+COUNTIFS('Kunci Adjudikasi'!$S$5:$S$89,A20&amp;"*",'Kunci Adjudikasi'!$M$5:$M$89,"&lt;&gt;")</f>
        <v>0</v>
      </c>
      <c r="C20" s="18">
        <f t="shared" si="47"/>
        <v>0</v>
      </c>
    </row>
    <row r="21" ht="15">
      <c r="A21" s="22" t="s">
        <v>142</v>
      </c>
      <c r="B21" s="18">
        <f>COUNTIFS('Kunci Adjudikasi'!$M$5:$M$89,A21&amp;"*",'Kunci Adjudikasi'!$S$5:$S$89,"&lt;&gt;")+COUNTIFS('Kunci Adjudikasi'!$S$5:$S$89,A21&amp;"*",'Kunci Adjudikasi'!$M$5:$M$89,"&lt;&gt;")</f>
        <v>0</v>
      </c>
      <c r="C21" s="18">
        <f t="shared" si="47"/>
        <v>0</v>
      </c>
    </row>
    <row r="22" ht="15">
      <c r="A22" s="22" t="s">
        <v>143</v>
      </c>
      <c r="B22" s="18">
        <f>COUNTIFS('Kunci Adjudikasi'!$M$5:$M$89,A22&amp;"*",'Kunci Adjudikasi'!$S$5:$S$89,"&lt;&gt;")+COUNTIFS('Kunci Adjudikasi'!$S$5:$S$89,A22&amp;"*",'Kunci Adjudikasi'!$M$5:$M$89,"&lt;&gt;")</f>
        <v>0</v>
      </c>
      <c r="C22" s="18">
        <f t="shared" si="47"/>
        <v>0</v>
      </c>
    </row>
    <row r="23" ht="15">
      <c r="A23" s="22" t="s">
        <v>144</v>
      </c>
      <c r="B23" s="18">
        <f>COUNTIFS('Kunci Adjudikasi'!$M$5:$M$89,A23&amp;"*",'Kunci Adjudikasi'!$S$5:$S$89,"&lt;&gt;")+COUNTIFS('Kunci Adjudikasi'!$S$5:$S$89,A23&amp;"*",'Kunci Adjudikasi'!$M$5:$M$89,"&lt;&gt;")</f>
        <v>0</v>
      </c>
      <c r="C23" s="18">
        <f t="shared" si="47"/>
        <v>0</v>
      </c>
    </row>
    <row r="24" ht="15">
      <c r="A24" s="22" t="s">
        <v>145</v>
      </c>
      <c r="B24" s="18">
        <f>COUNTIFS('Kunci Adjudikasi'!$M$5:$M$89,A24&amp;"*",'Kunci Adjudikasi'!$S$5:$S$89,"&lt;&gt;")+COUNTIFS('Kunci Adjudikasi'!$S$5:$S$89,A24&amp;"*",'Kunci Adjudikasi'!$M$5:$M$89,"&lt;&gt;")</f>
        <v>0</v>
      </c>
      <c r="C24" s="18">
        <f t="shared" si="47"/>
        <v>0</v>
      </c>
    </row>
    <row r="27" ht="15">
      <c r="A27" s="21" t="s">
        <v>146</v>
      </c>
    </row>
    <row r="28" ht="23.850000000000001">
      <c r="A28" s="8" t="s">
        <v>134</v>
      </c>
      <c r="B28" s="8" t="s">
        <v>135</v>
      </c>
      <c r="C28" s="8" t="s">
        <v>147</v>
      </c>
    </row>
    <row r="29" ht="15">
      <c r="A29" s="22" t="s">
        <v>148</v>
      </c>
      <c r="B29" s="18">
        <f>COUNTIFS('Kunci Adjudikasi'!$N$5:$N$89,A29&amp;"*",'Kunci Adjudikasi'!$T$5:$T$89,"&lt;&gt;")+COUNTIFS('Kunci Adjudikasi'!$T$5:$T$89,A29&amp;"*",'Kunci Adjudikasi'!$N$5:$N$89,"&lt;&gt;")</f>
        <v>0</v>
      </c>
      <c r="C29" s="18">
        <f t="shared" ref="C29:C31" si="48">SUM($B$29:B29)</f>
        <v>0</v>
      </c>
    </row>
    <row r="30" ht="15">
      <c r="A30" s="22" t="s">
        <v>149</v>
      </c>
      <c r="B30" s="18">
        <f>COUNTIFS('Kunci Adjudikasi'!$N$5:$N$89,A30&amp;"*",'Kunci Adjudikasi'!$T$5:$T$89,"&lt;&gt;")+COUNTIFS('Kunci Adjudikasi'!$T$5:$T$89,A30&amp;"*",'Kunci Adjudikasi'!$N$5:$N$89,"&lt;&gt;")</f>
        <v>0</v>
      </c>
      <c r="C30" s="18">
        <f t="shared" si="48"/>
        <v>0</v>
      </c>
    </row>
    <row r="31" ht="15">
      <c r="A31" s="22" t="s">
        <v>150</v>
      </c>
      <c r="B31" s="18">
        <f>COUNTIFS('Kunci Adjudikasi'!$N$5:$N$89,A31&amp;"*",'Kunci Adjudikasi'!$T$5:$T$89,"&lt;&gt;")+COUNTIFS('Kunci Adjudikasi'!$T$5:$T$89,A31&amp;"*",'Kunci Adjudikasi'!$N$5:$N$89,"&lt;&gt;")</f>
        <v>0</v>
      </c>
      <c r="C31" s="18">
        <f t="shared" si="48"/>
        <v>0</v>
      </c>
    </row>
    <row r="32" ht="15">
      <c r="A32" s="21" t="s">
        <v>151</v>
      </c>
      <c r="B32" s="21" t="s">
        <v>152</v>
      </c>
      <c r="C32" s="21" t="s">
        <v>153</v>
      </c>
      <c r="D32" s="21" t="s">
        <v>154</v>
      </c>
    </row>
    <row r="33" ht="15">
      <c r="A33" s="18" t="s">
        <v>155</v>
      </c>
      <c r="B33" s="18">
        <f>SUMPRODUCT((LEFT('Kunci Adjudikasi'!$N$5:$N$89,2)="R0")*(LEFT('Kunci Adjudikasi'!$T$5:$T$89,2)="R1")+(LEFT('Kunci Adjudikasi'!$N$5:$N$89,2)="R1")*(LEFT('Kunci Adjudikasi'!$T$5:$T$89,2)="R0"))</f>
        <v>0</v>
      </c>
      <c r="C33" s="18">
        <f t="shared" ref="C33:C34" si="49">((B29+B30)/2)^2</f>
        <v>0</v>
      </c>
      <c r="D33" s="18">
        <f t="shared" ref="D33:D34" si="50">B29*B30*C33</f>
        <v>0</v>
      </c>
    </row>
    <row r="34" ht="15">
      <c r="A34" s="18" t="s">
        <v>156</v>
      </c>
      <c r="B34" s="18">
        <f>SUMPRODUCT((LEFT('Kunci Adjudikasi'!$N$5:$N$89,2)="R1")*(LEFT('Kunci Adjudikasi'!$T$5:$T$89,2)="R2")+(LEFT('Kunci Adjudikasi'!$N$5:$N$89,2)="R2")*(LEFT('Kunci Adjudikasi'!$T$5:$T$89,2)="R1"))</f>
        <v>0</v>
      </c>
      <c r="C34" s="18">
        <f t="shared" si="49"/>
        <v>0</v>
      </c>
      <c r="D34" s="18">
        <f t="shared" si="50"/>
        <v>0</v>
      </c>
    </row>
    <row r="35" ht="15">
      <c r="A35" s="18" t="s">
        <v>157</v>
      </c>
      <c r="B35" s="18">
        <f>SUMPRODUCT((LEFT('Kunci Adjudikasi'!$N$5:$N$89,2)="R0")*(LEFT('Kunci Adjudikasi'!$T$5:$T$89,2)="R2")+(LEFT('Kunci Adjudikasi'!$N$5:$N$89,2)="R2")*(LEFT('Kunci Adjudikasi'!$T$5:$T$89,2)="R0"))</f>
        <v>0</v>
      </c>
      <c r="C35" s="18">
        <f>(B30+(B29+B31)/2)^2</f>
        <v>0</v>
      </c>
      <c r="D35" s="18">
        <f>B29*B31*C35</f>
        <v>0</v>
      </c>
    </row>
    <row r="38" ht="15">
      <c r="A38" s="21" t="s">
        <v>158</v>
      </c>
    </row>
    <row r="39" ht="23.850000000000001">
      <c r="A39" s="8" t="s">
        <v>134</v>
      </c>
      <c r="B39" s="8" t="s">
        <v>135</v>
      </c>
      <c r="C39" s="8" t="s">
        <v>136</v>
      </c>
    </row>
    <row r="40" ht="15">
      <c r="A40" s="22" t="s">
        <v>159</v>
      </c>
      <c r="B40" s="18">
        <f>COUNTIFS('Kunci Adjudikasi'!$O$5:$O$89,A40&amp;"*",'Kunci Adjudikasi'!$U$5:$U$89,"&lt;&gt;")+COUNTIFS('Kunci Adjudikasi'!$U$5:$U$89,A40&amp;"*",'Kunci Adjudikasi'!$O$5:$O$89,"&lt;&gt;")</f>
        <v>0</v>
      </c>
      <c r="C40" s="18">
        <f t="shared" ref="C40:C91" si="51">B40^2</f>
        <v>0</v>
      </c>
    </row>
    <row r="41" ht="15">
      <c r="A41" s="22" t="s">
        <v>160</v>
      </c>
      <c r="B41" s="18">
        <f>COUNTIFS('Kunci Adjudikasi'!$O$5:$O$89,A41&amp;"*",'Kunci Adjudikasi'!$U$5:$U$89,"&lt;&gt;")+COUNTIFS('Kunci Adjudikasi'!$U$5:$U$89,A41&amp;"*",'Kunci Adjudikasi'!$O$5:$O$89,"&lt;&gt;")</f>
        <v>0</v>
      </c>
      <c r="C41" s="18">
        <f t="shared" si="51"/>
        <v>0</v>
      </c>
    </row>
    <row r="42" ht="15">
      <c r="A42" s="22" t="s">
        <v>161</v>
      </c>
      <c r="B42" s="18">
        <f>COUNTIFS('Kunci Adjudikasi'!$O$5:$O$89,A42&amp;"*",'Kunci Adjudikasi'!$U$5:$U$89,"&lt;&gt;")+COUNTIFS('Kunci Adjudikasi'!$U$5:$U$89,A42&amp;"*",'Kunci Adjudikasi'!$O$5:$O$89,"&lt;&gt;")</f>
        <v>0</v>
      </c>
      <c r="C42" s="18">
        <f t="shared" si="51"/>
        <v>0</v>
      </c>
    </row>
    <row r="43" ht="15">
      <c r="A43" s="22" t="s">
        <v>162</v>
      </c>
      <c r="B43" s="18">
        <f>COUNTIFS('Kunci Adjudikasi'!$O$5:$O$89,A43&amp;"*",'Kunci Adjudikasi'!$U$5:$U$89,"&lt;&gt;")+COUNTIFS('Kunci Adjudikasi'!$U$5:$U$89,A43&amp;"*",'Kunci Adjudikasi'!$O$5:$O$89,"&lt;&gt;")</f>
        <v>0</v>
      </c>
      <c r="C43" s="18">
        <f t="shared" si="51"/>
        <v>0</v>
      </c>
    </row>
    <row r="44" ht="15">
      <c r="A44" s="22" t="s">
        <v>163</v>
      </c>
      <c r="B44" s="18">
        <f>COUNTIFS('Kunci Adjudikasi'!$O$5:$O$89,A44&amp;"*",'Kunci Adjudikasi'!$U$5:$U$89,"&lt;&gt;")+COUNTIFS('Kunci Adjudikasi'!$U$5:$U$89,A44&amp;"*",'Kunci Adjudikasi'!$O$5:$O$89,"&lt;&gt;")</f>
        <v>0</v>
      </c>
      <c r="C44" s="18">
        <f t="shared" si="51"/>
        <v>0</v>
      </c>
    </row>
    <row r="45" ht="15">
      <c r="A45" s="22" t="s">
        <v>164</v>
      </c>
      <c r="B45" s="18">
        <f>COUNTIFS('Kunci Adjudikasi'!$O$5:$O$89,A45&amp;"*",'Kunci Adjudikasi'!$U$5:$U$89,"&lt;&gt;")+COUNTIFS('Kunci Adjudikasi'!$U$5:$U$89,A45&amp;"*",'Kunci Adjudikasi'!$O$5:$O$89,"&lt;&gt;")</f>
        <v>0</v>
      </c>
      <c r="C45" s="18">
        <f t="shared" si="51"/>
        <v>0</v>
      </c>
    </row>
    <row r="46" ht="15">
      <c r="A46" s="22" t="s">
        <v>165</v>
      </c>
      <c r="B46" s="18">
        <f>COUNTIFS('Kunci Adjudikasi'!$O$5:$O$89,A46&amp;"*",'Kunci Adjudikasi'!$U$5:$U$89,"&lt;&gt;")+COUNTIFS('Kunci Adjudikasi'!$U$5:$U$89,A46&amp;"*",'Kunci Adjudikasi'!$O$5:$O$89,"&lt;&gt;")</f>
        <v>0</v>
      </c>
      <c r="C46" s="18">
        <f t="shared" si="51"/>
        <v>0</v>
      </c>
    </row>
    <row r="47" ht="15">
      <c r="A47" s="22" t="s">
        <v>166</v>
      </c>
      <c r="B47" s="18">
        <f>COUNTIFS('Kunci Adjudikasi'!$O$5:$O$89,A47&amp;"*",'Kunci Adjudikasi'!$U$5:$U$89,"&lt;&gt;")+COUNTIFS('Kunci Adjudikasi'!$U$5:$U$89,A47&amp;"*",'Kunci Adjudikasi'!$O$5:$O$89,"&lt;&gt;")</f>
        <v>0</v>
      </c>
      <c r="C47" s="18">
        <f t="shared" si="51"/>
        <v>0</v>
      </c>
    </row>
    <row r="48" ht="15">
      <c r="A48" s="22" t="s">
        <v>167</v>
      </c>
      <c r="B48" s="18">
        <f>COUNTIFS('Kunci Adjudikasi'!$O$5:$O$89,A48&amp;"*",'Kunci Adjudikasi'!$U$5:$U$89,"&lt;&gt;")+COUNTIFS('Kunci Adjudikasi'!$U$5:$U$89,A48&amp;"*",'Kunci Adjudikasi'!$O$5:$O$89,"&lt;&gt;")</f>
        <v>0</v>
      </c>
      <c r="C48" s="18">
        <f t="shared" si="51"/>
        <v>0</v>
      </c>
    </row>
    <row r="49" ht="15">
      <c r="A49" s="22" t="s">
        <v>168</v>
      </c>
      <c r="B49" s="18">
        <f>COUNTIFS('Kunci Adjudikasi'!$O$5:$O$89,A49&amp;"*",'Kunci Adjudikasi'!$U$5:$U$89,"&lt;&gt;")+COUNTIFS('Kunci Adjudikasi'!$U$5:$U$89,A49&amp;"*",'Kunci Adjudikasi'!$O$5:$O$89,"&lt;&gt;")</f>
        <v>0</v>
      </c>
      <c r="C49" s="18">
        <f t="shared" si="51"/>
        <v>0</v>
      </c>
    </row>
    <row r="50" ht="15">
      <c r="A50" s="22" t="s">
        <v>169</v>
      </c>
      <c r="B50" s="18">
        <f>COUNTIFS('Kunci Adjudikasi'!$O$5:$O$89,A50&amp;"*",'Kunci Adjudikasi'!$U$5:$U$89,"&lt;&gt;")+COUNTIFS('Kunci Adjudikasi'!$U$5:$U$89,A50&amp;"*",'Kunci Adjudikasi'!$O$5:$O$89,"&lt;&gt;")</f>
        <v>0</v>
      </c>
      <c r="C50" s="18">
        <f t="shared" si="51"/>
        <v>0</v>
      </c>
    </row>
    <row r="51" ht="15">
      <c r="A51" s="22" t="s">
        <v>170</v>
      </c>
      <c r="B51" s="18">
        <f>COUNTIFS('Kunci Adjudikasi'!$O$5:$O$89,A51&amp;"*",'Kunci Adjudikasi'!$U$5:$U$89,"&lt;&gt;")+COUNTIFS('Kunci Adjudikasi'!$U$5:$U$89,A51&amp;"*",'Kunci Adjudikasi'!$O$5:$O$89,"&lt;&gt;")</f>
        <v>0</v>
      </c>
      <c r="C51" s="18">
        <f t="shared" si="51"/>
        <v>0</v>
      </c>
    </row>
    <row r="52" ht="15">
      <c r="A52" s="22" t="s">
        <v>171</v>
      </c>
      <c r="B52" s="18">
        <f>COUNTIFS('Kunci Adjudikasi'!$O$5:$O$89,A52&amp;"*",'Kunci Adjudikasi'!$U$5:$U$89,"&lt;&gt;")+COUNTIFS('Kunci Adjudikasi'!$U$5:$U$89,A52&amp;"*",'Kunci Adjudikasi'!$O$5:$O$89,"&lt;&gt;")</f>
        <v>0</v>
      </c>
      <c r="C52" s="18">
        <f t="shared" si="51"/>
        <v>0</v>
      </c>
    </row>
    <row r="53" ht="15">
      <c r="A53" s="22" t="s">
        <v>172</v>
      </c>
      <c r="B53" s="18">
        <f>COUNTIFS('Kunci Adjudikasi'!$O$5:$O$89,A53&amp;"*",'Kunci Adjudikasi'!$U$5:$U$89,"&lt;&gt;")+COUNTIFS('Kunci Adjudikasi'!$U$5:$U$89,A53&amp;"*",'Kunci Adjudikasi'!$O$5:$O$89,"&lt;&gt;")</f>
        <v>0</v>
      </c>
      <c r="C53" s="18">
        <f t="shared" si="51"/>
        <v>0</v>
      </c>
    </row>
    <row r="54" ht="15">
      <c r="A54" s="22" t="s">
        <v>173</v>
      </c>
      <c r="B54" s="18">
        <f>COUNTIFS('Kunci Adjudikasi'!$O$5:$O$89,A54&amp;"*",'Kunci Adjudikasi'!$U$5:$U$89,"&lt;&gt;")+COUNTIFS('Kunci Adjudikasi'!$U$5:$U$89,A54&amp;"*",'Kunci Adjudikasi'!$O$5:$O$89,"&lt;&gt;")</f>
        <v>0</v>
      </c>
      <c r="C54" s="18">
        <f t="shared" si="51"/>
        <v>0</v>
      </c>
    </row>
    <row r="55" ht="15">
      <c r="A55" s="22" t="s">
        <v>174</v>
      </c>
      <c r="B55" s="18">
        <f>COUNTIFS('Kunci Adjudikasi'!$O$5:$O$89,A55&amp;"*",'Kunci Adjudikasi'!$U$5:$U$89,"&lt;&gt;")+COUNTIFS('Kunci Adjudikasi'!$U$5:$U$89,A55&amp;"*",'Kunci Adjudikasi'!$O$5:$O$89,"&lt;&gt;")</f>
        <v>0</v>
      </c>
      <c r="C55" s="18">
        <f t="shared" si="51"/>
        <v>0</v>
      </c>
    </row>
    <row r="56" ht="15">
      <c r="A56" s="22" t="s">
        <v>175</v>
      </c>
      <c r="B56" s="18">
        <f>COUNTIFS('Kunci Adjudikasi'!$O$5:$O$89,A56&amp;"*",'Kunci Adjudikasi'!$U$5:$U$89,"&lt;&gt;")+COUNTIFS('Kunci Adjudikasi'!$U$5:$U$89,A56&amp;"*",'Kunci Adjudikasi'!$O$5:$O$89,"&lt;&gt;")</f>
        <v>0</v>
      </c>
      <c r="C56" s="18">
        <f t="shared" si="51"/>
        <v>0</v>
      </c>
    </row>
    <row r="57" ht="15">
      <c r="A57" s="22"/>
      <c r="B57" s="18"/>
      <c r="C57" s="18"/>
    </row>
    <row r="60" ht="15">
      <c r="A60" s="21" t="s">
        <v>176</v>
      </c>
    </row>
    <row r="61" ht="23.850000000000001">
      <c r="A61" s="8" t="s">
        <v>134</v>
      </c>
      <c r="B61" s="8" t="s">
        <v>135</v>
      </c>
      <c r="C61" s="8" t="s">
        <v>136</v>
      </c>
    </row>
    <row r="62" ht="15">
      <c r="A62" s="22" t="s">
        <v>177</v>
      </c>
      <c r="B62" s="18">
        <f>COUNTIFS('Kunci Adjudikasi'!$P$5:$P$89,A62&amp;"*",'Kunci Adjudikasi'!$V$5:$V$89,"&lt;&gt;")+COUNTIFS('Kunci Adjudikasi'!$V$5:$V$89,A62&amp;"*",'Kunci Adjudikasi'!$P$5:$P$89,"&lt;&gt;")</f>
        <v>0</v>
      </c>
      <c r="C62" s="18">
        <f t="shared" si="51"/>
        <v>0</v>
      </c>
    </row>
    <row r="63" ht="15">
      <c r="A63" s="22" t="s">
        <v>178</v>
      </c>
      <c r="B63" s="18">
        <f>COUNTIFS('Kunci Adjudikasi'!$P$5:$P$89,A63&amp;"*",'Kunci Adjudikasi'!$V$5:$V$89,"&lt;&gt;")+COUNTIFS('Kunci Adjudikasi'!$V$5:$V$89,A63&amp;"*",'Kunci Adjudikasi'!$P$5:$P$89,"&lt;&gt;")</f>
        <v>0</v>
      </c>
      <c r="C63" s="18">
        <f t="shared" si="51"/>
        <v>0</v>
      </c>
    </row>
    <row r="64" ht="15">
      <c r="A64" s="22" t="s">
        <v>179</v>
      </c>
      <c r="B64" s="18">
        <f>COUNTIFS('Kunci Adjudikasi'!$P$5:$P$89,A64&amp;"*",'Kunci Adjudikasi'!$V$5:$V$89,"&lt;&gt;")+COUNTIFS('Kunci Adjudikasi'!$V$5:$V$89,A64&amp;"*",'Kunci Adjudikasi'!$P$5:$P$89,"&lt;&gt;")</f>
        <v>0</v>
      </c>
      <c r="C64" s="18">
        <f t="shared" si="51"/>
        <v>0</v>
      </c>
    </row>
    <row r="65" ht="15">
      <c r="A65" s="22" t="s">
        <v>180</v>
      </c>
      <c r="B65" s="18">
        <f>COUNTIFS('Kunci Adjudikasi'!$P$5:$P$89,A65&amp;"*",'Kunci Adjudikasi'!$V$5:$V$89,"&lt;&gt;")+COUNTIFS('Kunci Adjudikasi'!$V$5:$V$89,A65&amp;"*",'Kunci Adjudikasi'!$P$5:$P$89,"&lt;&gt;")</f>
        <v>0</v>
      </c>
      <c r="C65" s="18">
        <f t="shared" si="51"/>
        <v>0</v>
      </c>
    </row>
    <row r="66" ht="15">
      <c r="A66" s="22" t="s">
        <v>181</v>
      </c>
      <c r="B66" s="18">
        <f>COUNTIFS('Kunci Adjudikasi'!$P$5:$P$89,A66&amp;"*",'Kunci Adjudikasi'!$V$5:$V$89,"&lt;&gt;")+COUNTIFS('Kunci Adjudikasi'!$V$5:$V$89,A66&amp;"*",'Kunci Adjudikasi'!$P$5:$P$89,"&lt;&gt;")</f>
        <v>0</v>
      </c>
      <c r="C66" s="18">
        <f t="shared" si="51"/>
        <v>0</v>
      </c>
    </row>
    <row r="67" ht="15">
      <c r="A67" s="22" t="s">
        <v>182</v>
      </c>
      <c r="B67" s="18">
        <f>COUNTIFS('Kunci Adjudikasi'!$P$5:$P$89,A67&amp;"*",'Kunci Adjudikasi'!$V$5:$V$89,"&lt;&gt;")+COUNTIFS('Kunci Adjudikasi'!$V$5:$V$89,A67&amp;"*",'Kunci Adjudikasi'!$P$5:$P$89,"&lt;&gt;")</f>
        <v>0</v>
      </c>
      <c r="C67" s="18">
        <f t="shared" si="51"/>
        <v>0</v>
      </c>
    </row>
    <row r="68" ht="15">
      <c r="A68" s="22" t="s">
        <v>183</v>
      </c>
      <c r="B68" s="18">
        <f>COUNTIFS('Kunci Adjudikasi'!$P$5:$P$89,A68&amp;"*",'Kunci Adjudikasi'!$V$5:$V$89,"&lt;&gt;")+COUNTIFS('Kunci Adjudikasi'!$V$5:$V$89,A68&amp;"*",'Kunci Adjudikasi'!$P$5:$P$89,"&lt;&gt;")</f>
        <v>0</v>
      </c>
      <c r="C68" s="18">
        <f t="shared" si="51"/>
        <v>0</v>
      </c>
    </row>
    <row r="69" ht="15">
      <c r="A69" s="22" t="s">
        <v>184</v>
      </c>
      <c r="B69" s="18">
        <f>COUNTIFS('Kunci Adjudikasi'!$P$5:$P$89,A69&amp;"*",'Kunci Adjudikasi'!$V$5:$V$89,"&lt;&gt;")+COUNTIFS('Kunci Adjudikasi'!$V$5:$V$89,A69&amp;"*",'Kunci Adjudikasi'!$P$5:$P$89,"&lt;&gt;")</f>
        <v>0</v>
      </c>
      <c r="C69" s="18">
        <f t="shared" si="51"/>
        <v>0</v>
      </c>
    </row>
    <row r="70" ht="15">
      <c r="A70" s="22"/>
      <c r="B70" s="18"/>
      <c r="C70" s="18"/>
    </row>
    <row r="73" ht="15">
      <c r="A73" s="21" t="s">
        <v>185</v>
      </c>
    </row>
    <row r="74" ht="23.850000000000001">
      <c r="A74" s="8" t="s">
        <v>134</v>
      </c>
      <c r="B74" s="8" t="s">
        <v>135</v>
      </c>
      <c r="C74" s="8" t="s">
        <v>136</v>
      </c>
    </row>
    <row r="75" ht="15">
      <c r="A75" s="22" t="s">
        <v>186</v>
      </c>
      <c r="B75" s="18">
        <f>COUNTIFS('Kunci Adjudikasi'!$Q$5:$Q$89,A75&amp;"*",'Kunci Adjudikasi'!$W$5:$W$89,"&lt;&gt;")+COUNTIFS('Kunci Adjudikasi'!$W$5:$W$89,A75&amp;"*",'Kunci Adjudikasi'!$Q$5:$Q$89,"&lt;&gt;")</f>
        <v>0</v>
      </c>
      <c r="C75" s="18">
        <f t="shared" si="51"/>
        <v>0</v>
      </c>
    </row>
    <row r="76" ht="15">
      <c r="A76" s="22" t="s">
        <v>187</v>
      </c>
      <c r="B76" s="18">
        <f>COUNTIFS('Kunci Adjudikasi'!$Q$5:$Q$89,A76&amp;"*",'Kunci Adjudikasi'!$W$5:$W$89,"&lt;&gt;")+COUNTIFS('Kunci Adjudikasi'!$W$5:$W$89,A76&amp;"*",'Kunci Adjudikasi'!$Q$5:$Q$89,"&lt;&gt;")</f>
        <v>0</v>
      </c>
      <c r="C76" s="18">
        <f t="shared" si="51"/>
        <v>0</v>
      </c>
    </row>
    <row r="77" ht="15">
      <c r="A77" s="22" t="s">
        <v>188</v>
      </c>
      <c r="B77" s="18">
        <f>COUNTIFS('Kunci Adjudikasi'!$Q$5:$Q$89,A77&amp;"*",'Kunci Adjudikasi'!$W$5:$W$89,"&lt;&gt;")+COUNTIFS('Kunci Adjudikasi'!$W$5:$W$89,A77&amp;"*",'Kunci Adjudikasi'!$Q$5:$Q$89,"&lt;&gt;")</f>
        <v>0</v>
      </c>
      <c r="C77" s="18">
        <f t="shared" si="51"/>
        <v>0</v>
      </c>
    </row>
    <row r="78" ht="15">
      <c r="A78" s="22" t="s">
        <v>189</v>
      </c>
      <c r="B78" s="18">
        <f>COUNTIFS('Kunci Adjudikasi'!$Q$5:$Q$89,A78&amp;"*",'Kunci Adjudikasi'!$W$5:$W$89,"&lt;&gt;")+COUNTIFS('Kunci Adjudikasi'!$W$5:$W$89,A78&amp;"*",'Kunci Adjudikasi'!$Q$5:$Q$89,"&lt;&gt;")</f>
        <v>0</v>
      </c>
      <c r="C78" s="18">
        <f t="shared" si="51"/>
        <v>0</v>
      </c>
    </row>
    <row r="79" ht="15">
      <c r="A79" s="22" t="s">
        <v>190</v>
      </c>
      <c r="B79" s="18">
        <f>COUNTIFS('Kunci Adjudikasi'!$Q$5:$Q$89,A79&amp;"*",'Kunci Adjudikasi'!$W$5:$W$89,"&lt;&gt;")+COUNTIFS('Kunci Adjudikasi'!$W$5:$W$89,A79&amp;"*",'Kunci Adjudikasi'!$Q$5:$Q$89,"&lt;&gt;")</f>
        <v>0</v>
      </c>
      <c r="C79" s="18">
        <f t="shared" si="51"/>
        <v>0</v>
      </c>
    </row>
    <row r="80" ht="15">
      <c r="A80" s="22" t="s">
        <v>191</v>
      </c>
      <c r="B80" s="18">
        <f>COUNTIFS('Kunci Adjudikasi'!$Q$5:$Q$89,A80&amp;"*",'Kunci Adjudikasi'!$W$5:$W$89,"&lt;&gt;")+COUNTIFS('Kunci Adjudikasi'!$W$5:$W$89,A80&amp;"*",'Kunci Adjudikasi'!$Q$5:$Q$89,"&lt;&gt;")</f>
        <v>0</v>
      </c>
      <c r="C80" s="18">
        <f t="shared" si="51"/>
        <v>0</v>
      </c>
    </row>
    <row r="81" ht="15">
      <c r="A81" s="22" t="s">
        <v>192</v>
      </c>
      <c r="B81" s="18">
        <f>COUNTIFS('Kunci Adjudikasi'!$Q$5:$Q$89,A81&amp;"*",'Kunci Adjudikasi'!$W$5:$W$89,"&lt;&gt;")+COUNTIFS('Kunci Adjudikasi'!$W$5:$W$89,A81&amp;"*",'Kunci Adjudikasi'!$Q$5:$Q$89,"&lt;&gt;")</f>
        <v>0</v>
      </c>
      <c r="C81" s="18">
        <f t="shared" si="51"/>
        <v>0</v>
      </c>
    </row>
    <row r="82" ht="15">
      <c r="A82" s="22" t="s">
        <v>193</v>
      </c>
      <c r="B82" s="18">
        <f>COUNTIFS('Kunci Adjudikasi'!$Q$5:$Q$89,A82&amp;"*",'Kunci Adjudikasi'!$W$5:$W$89,"&lt;&gt;")+COUNTIFS('Kunci Adjudikasi'!$W$5:$W$89,A82&amp;"*",'Kunci Adjudikasi'!$Q$5:$Q$89,"&lt;&gt;")</f>
        <v>0</v>
      </c>
      <c r="C82" s="18">
        <f t="shared" si="51"/>
        <v>0</v>
      </c>
    </row>
    <row r="85" ht="15">
      <c r="A85" s="21" t="s">
        <v>194</v>
      </c>
    </row>
    <row r="86" ht="23.850000000000001">
      <c r="A86" s="8" t="s">
        <v>134</v>
      </c>
      <c r="B86" s="8" t="s">
        <v>135</v>
      </c>
      <c r="C86" s="8" t="s">
        <v>136</v>
      </c>
    </row>
    <row r="87" ht="15">
      <c r="A87" s="22" t="s">
        <v>195</v>
      </c>
      <c r="B87" s="18">
        <f>COUNTIFS('Kunci Adjudikasi'!$R$5:$R$89,A87&amp;"*",'Kunci Adjudikasi'!$X$5:$X$89,"&lt;&gt;")+COUNTIFS('Kunci Adjudikasi'!$X$5:$X$89,A87&amp;"*",'Kunci Adjudikasi'!$R$5:$R$89,"&lt;&gt;")</f>
        <v>0</v>
      </c>
      <c r="C87" s="18">
        <f t="shared" si="51"/>
        <v>0</v>
      </c>
    </row>
    <row r="88" ht="15">
      <c r="A88" s="22" t="s">
        <v>196</v>
      </c>
      <c r="B88" s="18">
        <f>COUNTIFS('Kunci Adjudikasi'!$R$5:$R$89,A88&amp;"*",'Kunci Adjudikasi'!$X$5:$X$89,"&lt;&gt;")+COUNTIFS('Kunci Adjudikasi'!$X$5:$X$89,A88&amp;"*",'Kunci Adjudikasi'!$R$5:$R$89,"&lt;&gt;")</f>
        <v>0</v>
      </c>
      <c r="C88" s="18">
        <f t="shared" si="51"/>
        <v>0</v>
      </c>
    </row>
    <row r="89" ht="15">
      <c r="A89" s="22" t="s">
        <v>197</v>
      </c>
      <c r="B89" s="18">
        <f>COUNTIFS('Kunci Adjudikasi'!$R$5:$R$89,A89&amp;"*",'Kunci Adjudikasi'!$X$5:$X$89,"&lt;&gt;")+COUNTIFS('Kunci Adjudikasi'!$X$5:$X$89,A89&amp;"*",'Kunci Adjudikasi'!$R$5:$R$89,"&lt;&gt;")</f>
        <v>0</v>
      </c>
      <c r="C89" s="18">
        <f t="shared" si="51"/>
        <v>0</v>
      </c>
    </row>
    <row r="90" ht="15">
      <c r="A90" s="22" t="s">
        <v>198</v>
      </c>
      <c r="B90" s="18">
        <f>COUNTIFS('Kunci Adjudikasi'!$R$5:$R$89,A90&amp;"*",'Kunci Adjudikasi'!$X$5:$X$89,"&lt;&gt;")+COUNTIFS('Kunci Adjudikasi'!$X$5:$X$89,A90&amp;"*",'Kunci Adjudikasi'!$R$5:$R$89,"&lt;&gt;")</f>
        <v>0</v>
      </c>
      <c r="C90" s="18">
        <f t="shared" si="51"/>
        <v>0</v>
      </c>
    </row>
    <row r="91" ht="15">
      <c r="A91" s="22" t="s">
        <v>199</v>
      </c>
      <c r="B91" s="18">
        <f>COUNTIFS('Kunci Adjudikasi'!$R$5:$R$89,A91&amp;"*",'Kunci Adjudikasi'!$X$5:$X$89,"&lt;&gt;")+COUNTIFS('Kunci Adjudikasi'!$X$5:$X$89,A91&amp;"*",'Kunci Adjudikasi'!$R$5:$R$89,"&lt;&gt;")</f>
        <v>0</v>
      </c>
      <c r="C91" s="18">
        <f t="shared" si="51"/>
        <v>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65" workbookViewId="0">
      <pane ySplit="3" topLeftCell="A4" activePane="bottomLeft" state="frozen"/>
      <selection activeCell="I38" activeCellId="0" sqref="I38"/>
    </sheetView>
  </sheetViews>
  <sheetFormatPr defaultColWidth="8.6796875" defaultRowHeight="15"/>
  <cols>
    <col customWidth="1" min="1" max="1" style="24" width="22"/>
    <col customWidth="1" min="2" max="2" style="24" width="8"/>
    <col customWidth="1" min="3" max="3" style="24" width="51.890000000000001"/>
    <col customWidth="1" min="4" max="4" style="24" width="64.859999999999999"/>
    <col customWidth="0" min="5" max="16384" style="23" width="8.6799999999999997"/>
  </cols>
  <sheetData>
    <row r="1" ht="17.350000000000001">
      <c r="A1" s="2" t="s">
        <v>200</v>
      </c>
    </row>
    <row r="2" ht="15">
      <c r="A2" s="3" t="s">
        <v>201</v>
      </c>
    </row>
    <row r="4" ht="15">
      <c r="A4" s="8" t="s">
        <v>118</v>
      </c>
      <c r="B4" s="8" t="s">
        <v>202</v>
      </c>
      <c r="C4" s="8" t="s">
        <v>203</v>
      </c>
      <c r="D4" s="25" t="str">
        <f t="shared" ref="D4:D9" si="52">$B4 &amp; " - " &amp; $C4</f>
        <v xml:space="preserve">Kode - Label</v>
      </c>
    </row>
    <row r="5" ht="15">
      <c r="A5" s="18" t="s">
        <v>124</v>
      </c>
      <c r="B5" s="22" t="s">
        <v>137</v>
      </c>
      <c r="C5" s="18" t="s">
        <v>204</v>
      </c>
      <c r="D5" s="24" t="str">
        <f t="shared" si="52"/>
        <v xml:space="preserve">S1 - Pengendali dan Prosesor</v>
      </c>
    </row>
    <row r="6" ht="15">
      <c r="A6" s="18" t="s">
        <v>124</v>
      </c>
      <c r="B6" s="22" t="s">
        <v>138</v>
      </c>
      <c r="C6" s="18" t="s">
        <v>205</v>
      </c>
      <c r="D6" s="24" t="str">
        <f t="shared" si="52"/>
        <v xml:space="preserve">S2 - Pengendali Data Pribadi</v>
      </c>
    </row>
    <row r="7" ht="15">
      <c r="A7" s="18" t="s">
        <v>124</v>
      </c>
      <c r="B7" s="22" t="s">
        <v>139</v>
      </c>
      <c r="C7" s="18" t="s">
        <v>206</v>
      </c>
      <c r="D7" s="24" t="str">
        <f t="shared" si="52"/>
        <v xml:space="preserve">S3 - Prosesor Data Pribadi</v>
      </c>
    </row>
    <row r="8" ht="15">
      <c r="A8" s="18" t="s">
        <v>124</v>
      </c>
      <c r="B8" s="22" t="s">
        <v>140</v>
      </c>
      <c r="C8" s="18" t="s">
        <v>207</v>
      </c>
      <c r="D8" s="24" t="str">
        <f t="shared" si="52"/>
        <v xml:space="preserve">S4 - Subjek Data Pribadi</v>
      </c>
    </row>
    <row r="9" ht="15">
      <c r="A9" s="18" t="s">
        <v>124</v>
      </c>
      <c r="B9" s="22" t="s">
        <v>141</v>
      </c>
      <c r="C9" s="18" t="s">
        <v>208</v>
      </c>
      <c r="D9" s="24" t="str">
        <f t="shared" si="52"/>
        <v xml:space="preserve">S5 - Setiap Orang atau pihak umum</v>
      </c>
    </row>
    <row r="10" ht="15">
      <c r="A10" s="18" t="s">
        <v>124</v>
      </c>
      <c r="B10" s="22" t="s">
        <v>142</v>
      </c>
      <c r="C10" s="18" t="s">
        <v>209</v>
      </c>
      <c r="D10" s="24" t="str">
        <f t="shared" ref="D10:D64" si="53">$B10 &amp; " - " &amp; $C10</f>
        <v xml:space="preserve">S6 - Instansi atau Badan Publik</v>
      </c>
    </row>
    <row r="11" ht="15">
      <c r="A11" s="18" t="s">
        <v>124</v>
      </c>
      <c r="B11" s="22" t="s">
        <v>143</v>
      </c>
      <c r="C11" s="18" t="s">
        <v>210</v>
      </c>
      <c r="D11" s="24" t="str">
        <f t="shared" si="53"/>
        <v xml:space="preserve">S7 - Otoritas Penetap atau Pengawas Kebijakan</v>
      </c>
    </row>
    <row r="12" ht="15">
      <c r="A12" s="18" t="s">
        <v>124</v>
      </c>
      <c r="B12" s="22" t="s">
        <v>144</v>
      </c>
      <c r="C12" s="18" t="s">
        <v>211</v>
      </c>
      <c r="D12" s="24" t="str">
        <f t="shared" si="53"/>
        <v xml:space="preserve">S8 - Penyelenggara sektor atau pihak lain</v>
      </c>
    </row>
    <row r="13" ht="15">
      <c r="A13" s="18" t="s">
        <v>124</v>
      </c>
      <c r="B13" s="22" t="s">
        <v>145</v>
      </c>
      <c r="C13" s="18" t="s">
        <v>212</v>
      </c>
      <c r="D13" s="24" t="str">
        <f t="shared" si="53"/>
        <v xml:space="preserve">S9 - Tidak ada subjek perorangan atau organisasi eksplisit</v>
      </c>
    </row>
    <row r="15" ht="15">
      <c r="A15" s="8" t="s">
        <v>118</v>
      </c>
      <c r="B15" s="8" t="s">
        <v>202</v>
      </c>
      <c r="C15" s="8" t="s">
        <v>203</v>
      </c>
      <c r="D15" s="25" t="str">
        <f t="shared" si="53"/>
        <v xml:space="preserve">Kode - Label</v>
      </c>
    </row>
    <row r="16" ht="15">
      <c r="A16" s="18" t="s">
        <v>126</v>
      </c>
      <c r="B16" s="22" t="s">
        <v>148</v>
      </c>
      <c r="C16" s="18" t="s">
        <v>213</v>
      </c>
      <c r="D16" s="24" t="str">
        <f t="shared" si="53"/>
        <v xml:space="preserve">R0 - Tidak relevan</v>
      </c>
    </row>
    <row r="17" ht="15">
      <c r="A17" s="18" t="s">
        <v>126</v>
      </c>
      <c r="B17" s="22" t="s">
        <v>149</v>
      </c>
      <c r="C17" s="18" t="s">
        <v>214</v>
      </c>
      <c r="D17" s="24" t="str">
        <f t="shared" si="53"/>
        <v xml:space="preserve">R1 - Relevan tidak langsung</v>
      </c>
    </row>
    <row r="18" ht="15">
      <c r="A18" s="18" t="s">
        <v>126</v>
      </c>
      <c r="B18" s="22" t="s">
        <v>150</v>
      </c>
      <c r="C18" s="18" t="s">
        <v>215</v>
      </c>
      <c r="D18" s="24" t="str">
        <f t="shared" si="53"/>
        <v xml:space="preserve">R2 - Relevan langsung</v>
      </c>
    </row>
    <row r="20" ht="15">
      <c r="A20" s="8" t="s">
        <v>118</v>
      </c>
      <c r="B20" s="8" t="s">
        <v>202</v>
      </c>
      <c r="C20" s="8" t="s">
        <v>203</v>
      </c>
      <c r="D20" s="25" t="str">
        <f t="shared" si="53"/>
        <v xml:space="preserve">Kode - Label</v>
      </c>
    </row>
    <row r="21" ht="15">
      <c r="A21" s="18" t="s">
        <v>128</v>
      </c>
      <c r="B21" s="22" t="s">
        <v>159</v>
      </c>
      <c r="C21" s="18" t="s">
        <v>216</v>
      </c>
      <c r="D21" s="24" t="str">
        <f t="shared" si="53"/>
        <v xml:space="preserve">T01 - Definisi, Istilah, dan Ruang Lingkup</v>
      </c>
    </row>
    <row r="22" ht="15">
      <c r="A22" s="18" t="s">
        <v>128</v>
      </c>
      <c r="B22" s="22" t="s">
        <v>160</v>
      </c>
      <c r="C22" s="18" t="s">
        <v>217</v>
      </c>
      <c r="D22" s="24" t="str">
        <f t="shared" si="53"/>
        <v xml:space="preserve">T02 - Latar Normatif dan Rujukan Non-operasional</v>
      </c>
    </row>
    <row r="23" ht="15">
      <c r="A23" s="18" t="s">
        <v>128</v>
      </c>
      <c r="B23" s="22" t="s">
        <v>161</v>
      </c>
      <c r="C23" s="18" t="s">
        <v>218</v>
      </c>
      <c r="D23" s="24" t="str">
        <f t="shared" si="53"/>
        <v xml:space="preserve">T03 - Larangan dan Perbuatan Melawan Hukum</v>
      </c>
    </row>
    <row r="24" ht="15">
      <c r="A24" s="18" t="s">
        <v>128</v>
      </c>
      <c r="B24" s="22" t="s">
        <v>162</v>
      </c>
      <c r="C24" s="18" t="s">
        <v>219</v>
      </c>
      <c r="D24" s="24" t="str">
        <f t="shared" si="53"/>
        <v xml:space="preserve">T04 - Pengecualian dan Pembatasan</v>
      </c>
    </row>
    <row r="25" ht="15">
      <c r="A25" s="18" t="s">
        <v>128</v>
      </c>
      <c r="B25" s="22" t="s">
        <v>163</v>
      </c>
      <c r="C25" s="18" t="s">
        <v>220</v>
      </c>
      <c r="D25" s="24" t="str">
        <f t="shared" si="53"/>
        <v xml:space="preserve">T05 - Jenis dan Klasifikasi Data Pribadi</v>
      </c>
    </row>
    <row r="26" ht="15">
      <c r="A26" s="18" t="s">
        <v>128</v>
      </c>
      <c r="B26" s="22" t="s">
        <v>164</v>
      </c>
      <c r="C26" s="18" t="s">
        <v>221</v>
      </c>
      <c r="D26" s="24" t="str">
        <f t="shared" si="53"/>
        <v xml:space="preserve">T06 - Data Pribadi Anak dan Kelompok Rentan</v>
      </c>
    </row>
    <row r="27" ht="15">
      <c r="A27" s="18" t="s">
        <v>128</v>
      </c>
      <c r="B27" s="22" t="s">
        <v>165</v>
      </c>
      <c r="C27" s="18" t="s">
        <v>222</v>
      </c>
      <c r="D27" s="24" t="str">
        <f t="shared" si="53"/>
        <v xml:space="preserve">T07 - Hak Subjek Data Pribadi</v>
      </c>
    </row>
    <row r="28" ht="15">
      <c r="A28" s="18" t="s">
        <v>128</v>
      </c>
      <c r="B28" s="22" t="s">
        <v>166</v>
      </c>
      <c r="C28" s="18" t="s">
        <v>223</v>
      </c>
      <c r="D28" s="24" t="str">
        <f t="shared" si="53"/>
        <v xml:space="preserve">T08 - Retensi, Penghentian, Penghapusan, dan Pemusnahan</v>
      </c>
    </row>
    <row r="29" ht="15">
      <c r="A29" s="18" t="s">
        <v>128</v>
      </c>
      <c r="B29" s="22" t="s">
        <v>167</v>
      </c>
      <c r="C29" s="18" t="s">
        <v>224</v>
      </c>
      <c r="D29" s="24" t="str">
        <f t="shared" si="53"/>
        <v xml:space="preserve">T09 - Dasar Pemrosesan dan Persetujuan</v>
      </c>
    </row>
    <row r="30" ht="15">
      <c r="A30" s="18" t="s">
        <v>128</v>
      </c>
      <c r="B30" s="22" t="s">
        <v>168</v>
      </c>
      <c r="C30" s="18" t="s">
        <v>225</v>
      </c>
      <c r="D30" s="24" t="str">
        <f t="shared" si="53"/>
        <v xml:space="preserve">T10 - Transfer dan Pengalihan Data</v>
      </c>
    </row>
    <row r="31" ht="15">
      <c r="A31" s="18" t="s">
        <v>128</v>
      </c>
      <c r="B31" s="22" t="s">
        <v>169</v>
      </c>
      <c r="C31" s="18" t="s">
        <v>226</v>
      </c>
      <c r="D31" s="24" t="str">
        <f t="shared" si="53"/>
        <v xml:space="preserve">T11 - Keamanan, Kerahasiaan, dan Penanganan Insiden</v>
      </c>
    </row>
    <row r="32" ht="15">
      <c r="A32" s="18" t="s">
        <v>128</v>
      </c>
      <c r="B32" s="22" t="s">
        <v>170</v>
      </c>
      <c r="C32" s="18" t="s">
        <v>227</v>
      </c>
      <c r="D32" s="24" t="str">
        <f t="shared" si="53"/>
        <v xml:space="preserve">T12 - Kualitas, Akurasi, dan Pembaruan Data</v>
      </c>
    </row>
    <row r="33" ht="15">
      <c r="A33" s="18" t="s">
        <v>128</v>
      </c>
      <c r="B33" s="22" t="s">
        <v>171</v>
      </c>
      <c r="C33" s="18" t="s">
        <v>228</v>
      </c>
      <c r="D33" s="24" t="str">
        <f t="shared" si="53"/>
        <v xml:space="preserve">T13 - Akuntabilitas, Pencatatan, dan Tata Kelola Kepatuhan</v>
      </c>
    </row>
    <row r="34" ht="15">
      <c r="A34" s="18" t="s">
        <v>128</v>
      </c>
      <c r="B34" s="22" t="s">
        <v>172</v>
      </c>
      <c r="C34" s="18" t="s">
        <v>229</v>
      </c>
      <c r="D34" s="24" t="str">
        <f t="shared" si="53"/>
        <v xml:space="preserve">T14 - Akses dan Pemanfaatan Data Pemerintah</v>
      </c>
    </row>
    <row r="35" ht="15">
      <c r="A35" s="18" t="s">
        <v>128</v>
      </c>
      <c r="B35" s="22" t="s">
        <v>173</v>
      </c>
      <c r="C35" s="18" t="s">
        <v>230</v>
      </c>
      <c r="D35" s="24" t="str">
        <f t="shared" si="53"/>
        <v xml:space="preserve">T15 - Asas dan Prinsip Pemrosesan</v>
      </c>
    </row>
    <row r="36" ht="15">
      <c r="A36" s="18" t="s">
        <v>128</v>
      </c>
      <c r="B36" s="22" t="s">
        <v>174</v>
      </c>
      <c r="C36" s="18" t="s">
        <v>231</v>
      </c>
      <c r="D36" s="24" t="str">
        <f t="shared" si="53"/>
        <v xml:space="preserve">T16 - Aktivitas Pemrosesan dan Pengumpulan</v>
      </c>
    </row>
    <row r="37" ht="15">
      <c r="A37" s="18" t="s">
        <v>128</v>
      </c>
      <c r="B37" s="22" t="s">
        <v>175</v>
      </c>
      <c r="C37" s="18" t="s">
        <v>232</v>
      </c>
      <c r="D37" s="24" t="str">
        <f t="shared" si="53"/>
        <v xml:space="preserve">T99 - Lainnya (wajib jelaskan di V12)</v>
      </c>
    </row>
    <row r="39" ht="15">
      <c r="A39" s="8" t="s">
        <v>118</v>
      </c>
      <c r="B39" s="8" t="s">
        <v>202</v>
      </c>
      <c r="C39" s="8" t="s">
        <v>203</v>
      </c>
      <c r="D39" s="25" t="str">
        <f t="shared" si="53"/>
        <v xml:space="preserve">Kode - Label</v>
      </c>
    </row>
    <row r="40" ht="15">
      <c r="A40" s="18" t="s">
        <v>129</v>
      </c>
      <c r="B40" s="22" t="s">
        <v>177</v>
      </c>
      <c r="C40" s="18" t="s">
        <v>233</v>
      </c>
      <c r="D40" s="24" t="str">
        <f t="shared" si="53"/>
        <v xml:space="preserve">P1 - Larangan</v>
      </c>
    </row>
    <row r="41" ht="15">
      <c r="A41" s="18" t="s">
        <v>129</v>
      </c>
      <c r="B41" s="22" t="s">
        <v>178</v>
      </c>
      <c r="C41" s="18" t="s">
        <v>234</v>
      </c>
      <c r="D41" s="24" t="str">
        <f t="shared" si="53"/>
        <v xml:space="preserve">P2 - Kewajiban</v>
      </c>
    </row>
    <row r="42" ht="15">
      <c r="A42" s="18" t="s">
        <v>129</v>
      </c>
      <c r="B42" s="22" t="s">
        <v>179</v>
      </c>
      <c r="C42" s="18" t="s">
        <v>235</v>
      </c>
      <c r="D42" s="24" t="str">
        <f t="shared" si="53"/>
        <v xml:space="preserve">P3 - Hak</v>
      </c>
    </row>
    <row r="43" ht="15">
      <c r="A43" s="18" t="s">
        <v>129</v>
      </c>
      <c r="B43" s="22" t="s">
        <v>180</v>
      </c>
      <c r="C43" s="18" t="s">
        <v>236</v>
      </c>
      <c r="D43" s="24" t="str">
        <f t="shared" si="53"/>
        <v xml:space="preserve">P4 - Pengecualian atau pembatasan</v>
      </c>
    </row>
    <row r="44" ht="15">
      <c r="A44" s="18" t="s">
        <v>129</v>
      </c>
      <c r="B44" s="22" t="s">
        <v>181</v>
      </c>
      <c r="C44" s="18" t="s">
        <v>237</v>
      </c>
      <c r="D44" s="24" t="str">
        <f t="shared" si="53"/>
        <v xml:space="preserve">P5 - Kebolehan atau kewenangan</v>
      </c>
    </row>
    <row r="45" ht="15">
      <c r="A45" s="18" t="s">
        <v>129</v>
      </c>
      <c r="B45" s="22" t="s">
        <v>182</v>
      </c>
      <c r="C45" s="18" t="s">
        <v>238</v>
      </c>
      <c r="D45" s="24" t="str">
        <f t="shared" si="53"/>
        <v xml:space="preserve">P6 - Definisi, klasifikasi, atau ruang lingkup</v>
      </c>
    </row>
    <row r="46" ht="15">
      <c r="A46" s="18" t="s">
        <v>129</v>
      </c>
      <c r="B46" s="22" t="s">
        <v>183</v>
      </c>
      <c r="C46" s="18" t="s">
        <v>239</v>
      </c>
      <c r="D46" s="24" t="str">
        <f t="shared" si="53"/>
        <v xml:space="preserve">P7 - Asas, prinsip, atau tujuan umum</v>
      </c>
    </row>
    <row r="47" ht="15">
      <c r="A47" s="18" t="s">
        <v>129</v>
      </c>
      <c r="B47" s="22" t="s">
        <v>184</v>
      </c>
      <c r="C47" s="18" t="s">
        <v>240</v>
      </c>
      <c r="D47" s="24" t="str">
        <f t="shared" si="53"/>
        <v xml:space="preserve">P8 - Deskriptif, argumentatif, dan rujukan</v>
      </c>
    </row>
    <row r="49" ht="15">
      <c r="A49" s="8" t="s">
        <v>118</v>
      </c>
      <c r="B49" s="8" t="s">
        <v>202</v>
      </c>
      <c r="C49" s="8" t="s">
        <v>203</v>
      </c>
      <c r="D49" s="25" t="str">
        <f t="shared" si="53"/>
        <v xml:space="preserve">Kode - Label</v>
      </c>
    </row>
    <row r="50" ht="15">
      <c r="A50" s="18" t="s">
        <v>130</v>
      </c>
      <c r="B50" s="22" t="s">
        <v>186</v>
      </c>
      <c r="C50" s="18" t="s">
        <v>241</v>
      </c>
      <c r="D50" s="24" t="str">
        <f t="shared" si="53"/>
        <v xml:space="preserve">F1 - Perencanaan dan dasar pemrosesan</v>
      </c>
    </row>
    <row r="51" ht="15">
      <c r="A51" s="18" t="s">
        <v>130</v>
      </c>
      <c r="B51" s="22" t="s">
        <v>187</v>
      </c>
      <c r="C51" s="18" t="s">
        <v>242</v>
      </c>
      <c r="D51" s="24" t="str">
        <f t="shared" si="53"/>
        <v xml:space="preserve">F2 - Pengumpulan atau akuisisi</v>
      </c>
    </row>
    <row r="52" ht="15">
      <c r="A52" s="18" t="s">
        <v>130</v>
      </c>
      <c r="B52" s="22" t="s">
        <v>188</v>
      </c>
      <c r="C52" s="18" t="s">
        <v>243</v>
      </c>
      <c r="D52" s="24" t="str">
        <f t="shared" si="53"/>
        <v xml:space="preserve">F3 - Pengolahan dan analisis</v>
      </c>
    </row>
    <row r="53" ht="15">
      <c r="A53" s="18" t="s">
        <v>130</v>
      </c>
      <c r="B53" s="22" t="s">
        <v>189</v>
      </c>
      <c r="C53" s="18" t="s">
        <v>244</v>
      </c>
      <c r="D53" s="24" t="str">
        <f t="shared" si="53"/>
        <v xml:space="preserve">F4 - Penyimpanan dan pengamanan</v>
      </c>
    </row>
    <row r="54" ht="15">
      <c r="A54" s="18" t="s">
        <v>130</v>
      </c>
      <c r="B54" s="22" t="s">
        <v>190</v>
      </c>
      <c r="C54" s="18" t="s">
        <v>245</v>
      </c>
      <c r="D54" s="24" t="str">
        <f t="shared" si="53"/>
        <v xml:space="preserve">F5 - Penyebarluasan dan transfer</v>
      </c>
    </row>
    <row r="55" ht="15">
      <c r="A55" s="18" t="s">
        <v>130</v>
      </c>
      <c r="B55" s="22" t="s">
        <v>191</v>
      </c>
      <c r="C55" s="18" t="s">
        <v>246</v>
      </c>
      <c r="D55" s="24" t="str">
        <f t="shared" si="53"/>
        <v xml:space="preserve">F6 - Retensi dan penghapusan</v>
      </c>
    </row>
    <row r="56" ht="15">
      <c r="A56" s="18" t="s">
        <v>130</v>
      </c>
      <c r="B56" s="22" t="s">
        <v>192</v>
      </c>
      <c r="C56" s="18" t="s">
        <v>247</v>
      </c>
      <c r="D56" s="24" t="str">
        <f t="shared" si="53"/>
        <v xml:space="preserve">F7 - Tata kelola dan hak subjek</v>
      </c>
    </row>
    <row r="57" ht="15">
      <c r="A57" s="18" t="s">
        <v>130</v>
      </c>
      <c r="B57" s="22" t="s">
        <v>193</v>
      </c>
      <c r="C57" s="18" t="s">
        <v>248</v>
      </c>
      <c r="D57" s="24" t="str">
        <f t="shared" si="53"/>
        <v xml:space="preserve">F8 - Lintas tahap atau tidak spesifik</v>
      </c>
    </row>
    <row r="59" ht="15">
      <c r="A59" s="8" t="s">
        <v>118</v>
      </c>
      <c r="B59" s="8" t="s">
        <v>202</v>
      </c>
      <c r="C59" s="8" t="s">
        <v>203</v>
      </c>
      <c r="D59" s="25" t="str">
        <f t="shared" si="53"/>
        <v xml:space="preserve">Kode - Label</v>
      </c>
    </row>
    <row r="60" ht="15">
      <c r="A60" s="18" t="s">
        <v>131</v>
      </c>
      <c r="B60" s="22" t="s">
        <v>195</v>
      </c>
      <c r="C60" s="18" t="s">
        <v>249</v>
      </c>
      <c r="D60" s="24" t="str">
        <f t="shared" si="53"/>
        <v xml:space="preserve">K1 - Non-fungsional: keamanan dan kerahasiaan. Apakah inti teks melindungi data dari akses atau gangguan tidak sah?</v>
      </c>
    </row>
    <row r="61" ht="15">
      <c r="A61" s="18" t="s">
        <v>131</v>
      </c>
      <c r="B61" s="22" t="s">
        <v>196</v>
      </c>
      <c r="C61" s="18" t="s">
        <v>250</v>
      </c>
      <c r="D61" s="24" t="str">
        <f t="shared" si="53"/>
        <v xml:space="preserve">K2 - Non-fungsional: mutu data, kepatuhan, dan akuntabilitas. Apakah ini mutu atau bukti yang berlaku untuk seluruh sistem, bukan hanya satu operasi?</v>
      </c>
    </row>
    <row r="62" ht="15">
      <c r="A62" s="18" t="s">
        <v>131</v>
      </c>
      <c r="B62" s="22" t="s">
        <v>197</v>
      </c>
      <c r="C62" s="18" t="s">
        <v>251</v>
      </c>
      <c r="D62" s="24" t="str">
        <f t="shared" si="53"/>
        <v xml:space="preserve">K3 - Fungsional. Dapatkah ditulis "Sistem harus [melakukan X]" dengan hasil hanya lulus atau gagal?</v>
      </c>
    </row>
    <row r="63" ht="15">
      <c r="A63" s="18" t="s">
        <v>131</v>
      </c>
      <c r="B63" s="22" t="s">
        <v>198</v>
      </c>
      <c r="C63" s="18" t="s">
        <v>252</v>
      </c>
      <c r="D63" s="24" t="str">
        <f t="shared" si="53"/>
        <v xml:space="preserve">K4 - Batasan atau aturan bisnis hukum. Apakah teks membatasi apa yang boleh dilakukan sistem, atau apa dan siapa yang tercakup?</v>
      </c>
    </row>
    <row r="64" ht="15">
      <c r="A64" s="18" t="s">
        <v>131</v>
      </c>
      <c r="B64" s="22" t="s">
        <v>199</v>
      </c>
      <c r="C64" s="18" t="s">
        <v>253</v>
      </c>
      <c r="D64" s="24" t="str">
        <f t="shared" si="53"/>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E64" zoomScale="65" workbookViewId="0">
      <selection activeCell="A2" activeCellId="0" sqref="A2:F87"/>
    </sheetView>
  </sheetViews>
  <sheetFormatPr defaultColWidth="8.6796875" defaultRowHeight="15"/>
  <cols>
    <col customWidth="1" min="6" max="6" style="1" width="60"/>
    <col customWidth="1" min="8" max="8" style="1" width="90"/>
  </cols>
  <sheetData>
    <row r="1">
      <c r="A1" s="26" t="s">
        <v>38</v>
      </c>
      <c r="B1" s="26" t="s">
        <v>40</v>
      </c>
      <c r="C1" s="26" t="s">
        <v>41</v>
      </c>
      <c r="D1" s="26" t="s">
        <v>254</v>
      </c>
      <c r="E1" s="26" t="s">
        <v>255</v>
      </c>
      <c r="F1" s="26" t="s">
        <v>42</v>
      </c>
      <c r="H1" s="21" t="s">
        <v>256</v>
      </c>
    </row>
    <row r="2">
      <c r="A2" s="27" t="s">
        <v>257</v>
      </c>
      <c r="B2" s="28" t="s">
        <v>258</v>
      </c>
      <c r="C2" s="28" t="s">
        <v>259</v>
      </c>
      <c r="D2" s="28" t="s">
        <v>260</v>
      </c>
      <c r="E2" s="28" t="s">
        <v>261</v>
      </c>
      <c r="F2" s="28" t="s">
        <v>262</v>
      </c>
      <c r="H2" s="3" t="s">
        <v>263</v>
      </c>
    </row>
    <row r="3">
      <c r="A3" s="27" t="s">
        <v>257</v>
      </c>
      <c r="B3" s="28" t="s">
        <v>258</v>
      </c>
      <c r="C3" s="28" t="s">
        <v>259</v>
      </c>
      <c r="D3" s="28" t="s">
        <v>260</v>
      </c>
      <c r="E3" s="28" t="s">
        <v>264</v>
      </c>
      <c r="F3" s="28" t="s">
        <v>265</v>
      </c>
      <c r="H3" s="3" t="s">
        <v>266</v>
      </c>
    </row>
    <row r="4">
      <c r="A4" s="27" t="s">
        <v>257</v>
      </c>
      <c r="B4" s="28" t="s">
        <v>258</v>
      </c>
      <c r="C4" s="28" t="s">
        <v>259</v>
      </c>
      <c r="D4" s="28" t="s">
        <v>260</v>
      </c>
      <c r="E4" s="28" t="s">
        <v>267</v>
      </c>
      <c r="F4" s="28" t="s">
        <v>268</v>
      </c>
    </row>
    <row r="5">
      <c r="A5" s="27" t="s">
        <v>257</v>
      </c>
      <c r="B5" s="28" t="s">
        <v>258</v>
      </c>
      <c r="C5" s="28" t="s">
        <v>259</v>
      </c>
      <c r="D5" s="28" t="s">
        <v>260</v>
      </c>
      <c r="E5" s="28" t="s">
        <v>269</v>
      </c>
      <c r="F5" s="28" t="s">
        <v>270</v>
      </c>
    </row>
    <row r="6">
      <c r="A6" s="27" t="s">
        <v>257</v>
      </c>
      <c r="B6" s="28" t="s">
        <v>258</v>
      </c>
      <c r="C6" s="28" t="s">
        <v>259</v>
      </c>
      <c r="D6" s="28" t="s">
        <v>260</v>
      </c>
      <c r="E6" s="28" t="s">
        <v>271</v>
      </c>
      <c r="F6" s="28" t="s">
        <v>272</v>
      </c>
    </row>
    <row r="7">
      <c r="A7" s="27" t="s">
        <v>257</v>
      </c>
      <c r="B7" s="28" t="s">
        <v>258</v>
      </c>
      <c r="C7" s="28" t="s">
        <v>259</v>
      </c>
      <c r="D7" s="28" t="s">
        <v>260</v>
      </c>
      <c r="E7" s="28" t="s">
        <v>273</v>
      </c>
      <c r="F7" s="28" t="s">
        <v>274</v>
      </c>
    </row>
    <row r="8">
      <c r="A8" s="27" t="s">
        <v>257</v>
      </c>
      <c r="B8" s="28" t="s">
        <v>258</v>
      </c>
      <c r="C8" s="28" t="s">
        <v>259</v>
      </c>
      <c r="D8" s="28" t="s">
        <v>275</v>
      </c>
      <c r="E8" s="28" t="s">
        <v>261</v>
      </c>
      <c r="F8" s="28" t="s">
        <v>276</v>
      </c>
    </row>
    <row r="9">
      <c r="A9" s="27" t="s">
        <v>257</v>
      </c>
      <c r="B9" s="28" t="s">
        <v>258</v>
      </c>
      <c r="C9" s="28" t="s">
        <v>259</v>
      </c>
      <c r="D9" s="28" t="s">
        <v>275</v>
      </c>
      <c r="E9" s="28" t="s">
        <v>264</v>
      </c>
      <c r="F9" s="28" t="s">
        <v>277</v>
      </c>
    </row>
    <row r="10">
      <c r="A10" s="27" t="s">
        <v>257</v>
      </c>
      <c r="B10" s="28" t="s">
        <v>258</v>
      </c>
      <c r="C10" s="28" t="s">
        <v>259</v>
      </c>
      <c r="D10" s="28" t="s">
        <v>275</v>
      </c>
      <c r="E10" s="28" t="s">
        <v>267</v>
      </c>
      <c r="F10" s="28" t="s">
        <v>278</v>
      </c>
    </row>
    <row r="11">
      <c r="A11" s="27" t="s">
        <v>257</v>
      </c>
      <c r="B11" s="28" t="s">
        <v>258</v>
      </c>
      <c r="C11" s="28" t="s">
        <v>259</v>
      </c>
      <c r="D11" s="28" t="s">
        <v>275</v>
      </c>
      <c r="E11" s="28" t="s">
        <v>269</v>
      </c>
      <c r="F11" s="28" t="s">
        <v>279</v>
      </c>
    </row>
    <row r="12">
      <c r="A12" s="27" t="s">
        <v>257</v>
      </c>
      <c r="B12" s="28" t="s">
        <v>258</v>
      </c>
      <c r="C12" s="28" t="s">
        <v>259</v>
      </c>
      <c r="D12" s="28" t="s">
        <v>280</v>
      </c>
      <c r="E12" s="28" t="s">
        <v>261</v>
      </c>
      <c r="F12" s="28" t="s">
        <v>281</v>
      </c>
    </row>
    <row r="13">
      <c r="A13" s="27" t="s">
        <v>257</v>
      </c>
      <c r="B13" s="28" t="s">
        <v>258</v>
      </c>
      <c r="C13" s="28" t="s">
        <v>259</v>
      </c>
      <c r="D13" s="28" t="s">
        <v>280</v>
      </c>
      <c r="E13" s="28" t="s">
        <v>264</v>
      </c>
      <c r="F13" s="28" t="s">
        <v>282</v>
      </c>
    </row>
    <row r="14">
      <c r="A14" s="27" t="s">
        <v>257</v>
      </c>
      <c r="B14" s="28" t="s">
        <v>258</v>
      </c>
      <c r="C14" s="28" t="s">
        <v>259</v>
      </c>
      <c r="D14" s="28" t="s">
        <v>283</v>
      </c>
      <c r="E14" s="28" t="s">
        <v>261</v>
      </c>
      <c r="F14" s="28" t="s">
        <v>284</v>
      </c>
    </row>
    <row r="15">
      <c r="A15" s="27" t="s">
        <v>257</v>
      </c>
      <c r="B15" s="28" t="s">
        <v>258</v>
      </c>
      <c r="C15" s="28" t="s">
        <v>259</v>
      </c>
      <c r="D15" s="28" t="s">
        <v>283</v>
      </c>
      <c r="E15" s="28" t="s">
        <v>264</v>
      </c>
      <c r="F15" s="28" t="s">
        <v>285</v>
      </c>
    </row>
    <row r="16">
      <c r="A16" s="27" t="s">
        <v>257</v>
      </c>
      <c r="B16" s="28" t="s">
        <v>258</v>
      </c>
      <c r="C16" s="28" t="s">
        <v>259</v>
      </c>
      <c r="D16" s="28" t="s">
        <v>283</v>
      </c>
      <c r="E16" s="28" t="s">
        <v>267</v>
      </c>
      <c r="F16" s="28" t="s">
        <v>286</v>
      </c>
    </row>
    <row r="17">
      <c r="A17" s="27" t="s">
        <v>257</v>
      </c>
      <c r="B17" s="28" t="s">
        <v>258</v>
      </c>
      <c r="C17" s="28" t="s">
        <v>259</v>
      </c>
      <c r="D17" s="28" t="s">
        <v>283</v>
      </c>
      <c r="E17" s="28" t="s">
        <v>287</v>
      </c>
      <c r="F17" s="28" t="s">
        <v>288</v>
      </c>
    </row>
    <row r="18">
      <c r="A18" s="27" t="s">
        <v>257</v>
      </c>
      <c r="B18" s="28" t="s">
        <v>258</v>
      </c>
      <c r="C18" s="28" t="s">
        <v>259</v>
      </c>
      <c r="D18" s="28" t="s">
        <v>283</v>
      </c>
      <c r="E18" s="28" t="s">
        <v>289</v>
      </c>
      <c r="F18" s="28" t="s">
        <v>290</v>
      </c>
    </row>
    <row r="19">
      <c r="A19" s="27" t="s">
        <v>257</v>
      </c>
      <c r="B19" s="28" t="s">
        <v>258</v>
      </c>
      <c r="C19" s="28" t="s">
        <v>259</v>
      </c>
      <c r="D19" s="28" t="s">
        <v>283</v>
      </c>
      <c r="E19" s="28" t="s">
        <v>291</v>
      </c>
      <c r="F19" s="28" t="s">
        <v>292</v>
      </c>
    </row>
    <row r="20">
      <c r="A20" s="27" t="s">
        <v>257</v>
      </c>
      <c r="B20" s="28" t="s">
        <v>258</v>
      </c>
      <c r="C20" s="28" t="s">
        <v>259</v>
      </c>
      <c r="D20" s="28" t="s">
        <v>293</v>
      </c>
      <c r="E20" s="28" t="s">
        <v>264</v>
      </c>
      <c r="F20" s="28" t="s">
        <v>294</v>
      </c>
    </row>
    <row r="21">
      <c r="A21" s="27" t="s">
        <v>257</v>
      </c>
      <c r="B21" s="28" t="s">
        <v>258</v>
      </c>
      <c r="C21" s="28" t="s">
        <v>259</v>
      </c>
      <c r="D21" s="28" t="s">
        <v>293</v>
      </c>
      <c r="E21" s="28" t="s">
        <v>267</v>
      </c>
      <c r="F21" s="28" t="s">
        <v>295</v>
      </c>
    </row>
    <row r="22">
      <c r="A22" s="27" t="s">
        <v>257</v>
      </c>
      <c r="B22" s="28" t="s">
        <v>258</v>
      </c>
      <c r="C22" s="28" t="s">
        <v>259</v>
      </c>
      <c r="D22" s="28" t="s">
        <v>293</v>
      </c>
      <c r="E22" s="28" t="s">
        <v>269</v>
      </c>
      <c r="F22" s="28" t="s">
        <v>296</v>
      </c>
    </row>
    <row r="23">
      <c r="A23" s="27" t="s">
        <v>257</v>
      </c>
      <c r="B23" s="28" t="s">
        <v>258</v>
      </c>
      <c r="C23" s="28" t="s">
        <v>259</v>
      </c>
      <c r="D23" s="28" t="s">
        <v>297</v>
      </c>
      <c r="E23" s="28" t="s">
        <v>261</v>
      </c>
      <c r="F23" s="28" t="s">
        <v>298</v>
      </c>
    </row>
    <row r="24">
      <c r="A24" s="27" t="s">
        <v>257</v>
      </c>
      <c r="B24" s="28" t="s">
        <v>258</v>
      </c>
      <c r="C24" s="28" t="s">
        <v>259</v>
      </c>
      <c r="D24" s="28" t="s">
        <v>297</v>
      </c>
      <c r="E24" s="28" t="s">
        <v>267</v>
      </c>
      <c r="F24" s="28" t="s">
        <v>299</v>
      </c>
    </row>
    <row r="25">
      <c r="A25" s="27" t="s">
        <v>257</v>
      </c>
      <c r="B25" s="28" t="s">
        <v>300</v>
      </c>
      <c r="C25" s="28"/>
      <c r="D25" s="28" t="s">
        <v>301</v>
      </c>
      <c r="E25" s="28" t="s">
        <v>267</v>
      </c>
      <c r="F25" s="28" t="s">
        <v>302</v>
      </c>
    </row>
    <row r="26">
      <c r="A26" s="27" t="s">
        <v>257</v>
      </c>
      <c r="B26" s="28" t="s">
        <v>300</v>
      </c>
      <c r="C26" s="28"/>
      <c r="D26" s="28" t="s">
        <v>301</v>
      </c>
      <c r="E26" s="28" t="s">
        <v>269</v>
      </c>
      <c r="F26" s="28" t="s">
        <v>303</v>
      </c>
    </row>
    <row r="27">
      <c r="A27" s="27" t="s">
        <v>304</v>
      </c>
      <c r="B27" s="28" t="s">
        <v>305</v>
      </c>
      <c r="C27" s="28" t="s">
        <v>306</v>
      </c>
      <c r="D27" s="28"/>
      <c r="E27" s="28" t="s">
        <v>307</v>
      </c>
      <c r="F27" s="28" t="s">
        <v>308</v>
      </c>
    </row>
    <row r="28">
      <c r="A28" s="27" t="s">
        <v>309</v>
      </c>
      <c r="B28" s="28" t="s">
        <v>310</v>
      </c>
      <c r="C28" s="28"/>
      <c r="D28" s="28"/>
      <c r="E28" s="28" t="s">
        <v>311</v>
      </c>
      <c r="F28" s="28" t="s">
        <v>312</v>
      </c>
    </row>
    <row r="29">
      <c r="A29" s="27" t="s">
        <v>309</v>
      </c>
      <c r="B29" s="28" t="s">
        <v>310</v>
      </c>
      <c r="C29" s="28"/>
      <c r="D29" s="28"/>
      <c r="E29" s="28" t="s">
        <v>313</v>
      </c>
      <c r="F29" s="28" t="s">
        <v>314</v>
      </c>
    </row>
    <row r="30">
      <c r="A30" s="27" t="s">
        <v>309</v>
      </c>
      <c r="B30" s="28" t="s">
        <v>315</v>
      </c>
      <c r="C30" s="28"/>
      <c r="D30" s="28"/>
      <c r="E30" s="28" t="s">
        <v>316</v>
      </c>
      <c r="F30" s="28" t="s">
        <v>317</v>
      </c>
    </row>
    <row r="31">
      <c r="A31" s="27" t="s">
        <v>309</v>
      </c>
      <c r="B31" s="28" t="s">
        <v>318</v>
      </c>
      <c r="C31" s="28"/>
      <c r="D31" s="28"/>
      <c r="E31" s="28" t="s">
        <v>319</v>
      </c>
      <c r="F31" s="28" t="s">
        <v>320</v>
      </c>
    </row>
    <row r="32">
      <c r="A32" s="27" t="s">
        <v>309</v>
      </c>
      <c r="B32" s="28" t="s">
        <v>321</v>
      </c>
      <c r="C32" s="28"/>
      <c r="D32" s="28"/>
      <c r="E32" s="28" t="s">
        <v>322</v>
      </c>
      <c r="F32" s="28" t="s">
        <v>323</v>
      </c>
    </row>
    <row r="33">
      <c r="A33" s="27" t="s">
        <v>309</v>
      </c>
      <c r="B33" s="28" t="s">
        <v>321</v>
      </c>
      <c r="C33" s="28"/>
      <c r="D33" s="28"/>
      <c r="E33" s="28" t="s">
        <v>324</v>
      </c>
      <c r="F33" s="28" t="s">
        <v>325</v>
      </c>
    </row>
    <row r="34">
      <c r="A34" s="27" t="s">
        <v>309</v>
      </c>
      <c r="B34" s="28" t="s">
        <v>321</v>
      </c>
      <c r="C34" s="28"/>
      <c r="D34" s="28"/>
      <c r="E34" s="28" t="s">
        <v>326</v>
      </c>
      <c r="F34" s="28" t="s">
        <v>327</v>
      </c>
    </row>
    <row r="35">
      <c r="A35" s="27" t="s">
        <v>309</v>
      </c>
      <c r="B35" s="28" t="s">
        <v>321</v>
      </c>
      <c r="C35" s="28"/>
      <c r="D35" s="28"/>
      <c r="E35" s="28" t="s">
        <v>328</v>
      </c>
      <c r="F35" s="28" t="s">
        <v>329</v>
      </c>
    </row>
    <row r="36">
      <c r="A36" s="27" t="s">
        <v>309</v>
      </c>
      <c r="B36" s="28" t="s">
        <v>321</v>
      </c>
      <c r="C36" s="28"/>
      <c r="D36" s="28"/>
      <c r="E36" s="28" t="s">
        <v>330</v>
      </c>
      <c r="F36" s="28" t="s">
        <v>331</v>
      </c>
    </row>
    <row r="37">
      <c r="A37" s="27" t="s">
        <v>309</v>
      </c>
      <c r="B37" s="28" t="s">
        <v>321</v>
      </c>
      <c r="C37" s="28"/>
      <c r="D37" s="28"/>
      <c r="E37" s="28" t="s">
        <v>332</v>
      </c>
      <c r="F37" s="28" t="s">
        <v>333</v>
      </c>
    </row>
    <row r="38">
      <c r="A38" s="27" t="s">
        <v>309</v>
      </c>
      <c r="B38" s="28" t="s">
        <v>321</v>
      </c>
      <c r="C38" s="28"/>
      <c r="D38" s="28"/>
      <c r="E38" s="28" t="s">
        <v>334</v>
      </c>
      <c r="F38" s="28" t="s">
        <v>335</v>
      </c>
    </row>
    <row r="39">
      <c r="A39" s="27" t="s">
        <v>309</v>
      </c>
      <c r="B39" s="28" t="s">
        <v>321</v>
      </c>
      <c r="C39" s="28"/>
      <c r="D39" s="28"/>
      <c r="E39" s="28" t="s">
        <v>336</v>
      </c>
      <c r="F39" s="28" t="s">
        <v>337</v>
      </c>
    </row>
    <row r="40">
      <c r="A40" s="27" t="s">
        <v>309</v>
      </c>
      <c r="B40" s="28" t="s">
        <v>321</v>
      </c>
      <c r="C40" s="28"/>
      <c r="D40" s="28"/>
      <c r="E40" s="28" t="s">
        <v>338</v>
      </c>
      <c r="F40" s="28" t="s">
        <v>339</v>
      </c>
    </row>
    <row r="41">
      <c r="A41" s="27" t="s">
        <v>309</v>
      </c>
      <c r="B41" s="28" t="s">
        <v>321</v>
      </c>
      <c r="C41" s="28"/>
      <c r="D41" s="28"/>
      <c r="E41" s="28" t="s">
        <v>340</v>
      </c>
      <c r="F41" s="28" t="s">
        <v>341</v>
      </c>
    </row>
    <row r="42">
      <c r="A42" s="27" t="s">
        <v>309</v>
      </c>
      <c r="B42" s="28" t="s">
        <v>321</v>
      </c>
      <c r="C42" s="28"/>
      <c r="D42" s="28"/>
      <c r="E42" s="28" t="s">
        <v>342</v>
      </c>
      <c r="F42" s="28" t="s">
        <v>343</v>
      </c>
    </row>
    <row r="43">
      <c r="A43" s="27" t="s">
        <v>309</v>
      </c>
      <c r="B43" s="28" t="s">
        <v>344</v>
      </c>
      <c r="C43" s="28"/>
      <c r="D43" s="28"/>
      <c r="E43" s="28" t="s">
        <v>345</v>
      </c>
      <c r="F43" s="28" t="s">
        <v>346</v>
      </c>
    </row>
    <row r="44">
      <c r="A44" s="27" t="s">
        <v>309</v>
      </c>
      <c r="B44" s="28" t="s">
        <v>344</v>
      </c>
      <c r="C44" s="28"/>
      <c r="D44" s="28"/>
      <c r="E44" s="28" t="s">
        <v>347</v>
      </c>
      <c r="F44" s="28" t="s">
        <v>348</v>
      </c>
    </row>
    <row r="45">
      <c r="A45" s="27" t="s">
        <v>309</v>
      </c>
      <c r="B45" s="28" t="s">
        <v>344</v>
      </c>
      <c r="C45" s="28"/>
      <c r="D45" s="28"/>
      <c r="E45" s="28" t="s">
        <v>349</v>
      </c>
      <c r="F45" s="28" t="s">
        <v>350</v>
      </c>
    </row>
    <row r="46">
      <c r="A46" s="27" t="s">
        <v>309</v>
      </c>
      <c r="B46" s="28" t="s">
        <v>351</v>
      </c>
      <c r="C46" s="28" t="s">
        <v>352</v>
      </c>
      <c r="D46" s="28"/>
      <c r="E46" s="28" t="s">
        <v>353</v>
      </c>
      <c r="F46" s="28" t="s">
        <v>354</v>
      </c>
    </row>
    <row r="47">
      <c r="A47" s="27" t="s">
        <v>309</v>
      </c>
      <c r="B47" s="28" t="s">
        <v>351</v>
      </c>
      <c r="C47" s="28" t="s">
        <v>355</v>
      </c>
      <c r="D47" s="28"/>
      <c r="E47" s="28" t="s">
        <v>356</v>
      </c>
      <c r="F47" s="28" t="s">
        <v>357</v>
      </c>
    </row>
    <row r="48">
      <c r="A48" s="27" t="s">
        <v>309</v>
      </c>
      <c r="B48" s="28" t="s">
        <v>351</v>
      </c>
      <c r="C48" s="28" t="s">
        <v>355</v>
      </c>
      <c r="D48" s="28"/>
      <c r="E48" s="28" t="s">
        <v>358</v>
      </c>
      <c r="F48" s="28" t="s">
        <v>359</v>
      </c>
    </row>
    <row r="49">
      <c r="A49" s="27" t="s">
        <v>309</v>
      </c>
      <c r="B49" s="28" t="s">
        <v>351</v>
      </c>
      <c r="C49" s="28" t="s">
        <v>355</v>
      </c>
      <c r="D49" s="28"/>
      <c r="E49" s="28" t="s">
        <v>360</v>
      </c>
      <c r="F49" s="28" t="s">
        <v>361</v>
      </c>
    </row>
    <row r="50">
      <c r="A50" s="27" t="s">
        <v>309</v>
      </c>
      <c r="B50" s="28" t="s">
        <v>351</v>
      </c>
      <c r="C50" s="28" t="s">
        <v>355</v>
      </c>
      <c r="D50" s="28"/>
      <c r="E50" s="28" t="s">
        <v>362</v>
      </c>
      <c r="F50" s="28" t="s">
        <v>363</v>
      </c>
    </row>
    <row r="51">
      <c r="A51" s="27" t="s">
        <v>309</v>
      </c>
      <c r="B51" s="28" t="s">
        <v>351</v>
      </c>
      <c r="C51" s="28" t="s">
        <v>355</v>
      </c>
      <c r="D51" s="28"/>
      <c r="E51" s="28" t="s">
        <v>364</v>
      </c>
      <c r="F51" s="28" t="s">
        <v>365</v>
      </c>
    </row>
    <row r="52">
      <c r="A52" s="27" t="s">
        <v>309</v>
      </c>
      <c r="B52" s="28" t="s">
        <v>351</v>
      </c>
      <c r="C52" s="28" t="s">
        <v>355</v>
      </c>
      <c r="D52" s="28"/>
      <c r="E52" s="28" t="s">
        <v>366</v>
      </c>
      <c r="F52" s="28" t="s">
        <v>367</v>
      </c>
    </row>
    <row r="53">
      <c r="A53" s="27" t="s">
        <v>309</v>
      </c>
      <c r="B53" s="28" t="s">
        <v>351</v>
      </c>
      <c r="C53" s="28" t="s">
        <v>355</v>
      </c>
      <c r="D53" s="28"/>
      <c r="E53" s="28" t="s">
        <v>368</v>
      </c>
      <c r="F53" s="28" t="s">
        <v>369</v>
      </c>
    </row>
    <row r="54">
      <c r="A54" s="27" t="s">
        <v>309</v>
      </c>
      <c r="B54" s="28" t="s">
        <v>351</v>
      </c>
      <c r="C54" s="28" t="s">
        <v>355</v>
      </c>
      <c r="D54" s="28"/>
      <c r="E54" s="28" t="s">
        <v>307</v>
      </c>
      <c r="F54" s="28" t="s">
        <v>370</v>
      </c>
    </row>
    <row r="55">
      <c r="A55" s="27" t="s">
        <v>309</v>
      </c>
      <c r="B55" s="28" t="s">
        <v>351</v>
      </c>
      <c r="C55" s="28" t="s">
        <v>355</v>
      </c>
      <c r="D55" s="28"/>
      <c r="E55" s="28" t="s">
        <v>371</v>
      </c>
      <c r="F55" s="28" t="s">
        <v>372</v>
      </c>
    </row>
    <row r="56">
      <c r="A56" s="27" t="s">
        <v>309</v>
      </c>
      <c r="B56" s="28" t="s">
        <v>351</v>
      </c>
      <c r="C56" s="28" t="s">
        <v>355</v>
      </c>
      <c r="D56" s="28"/>
      <c r="E56" s="28" t="s">
        <v>373</v>
      </c>
      <c r="F56" s="28" t="s">
        <v>374</v>
      </c>
    </row>
    <row r="57">
      <c r="A57" s="27" t="s">
        <v>309</v>
      </c>
      <c r="B57" s="28" t="s">
        <v>351</v>
      </c>
      <c r="C57" s="28" t="s">
        <v>355</v>
      </c>
      <c r="D57" s="28"/>
      <c r="E57" s="28" t="s">
        <v>375</v>
      </c>
      <c r="F57" s="28" t="s">
        <v>376</v>
      </c>
    </row>
    <row r="58">
      <c r="A58" s="27" t="s">
        <v>309</v>
      </c>
      <c r="B58" s="28" t="s">
        <v>351</v>
      </c>
      <c r="C58" s="28" t="s">
        <v>355</v>
      </c>
      <c r="D58" s="28"/>
      <c r="E58" s="28" t="s">
        <v>377</v>
      </c>
      <c r="F58" s="28" t="s">
        <v>378</v>
      </c>
    </row>
    <row r="59">
      <c r="A59" s="27" t="s">
        <v>309</v>
      </c>
      <c r="B59" s="28" t="s">
        <v>351</v>
      </c>
      <c r="C59" s="28" t="s">
        <v>355</v>
      </c>
      <c r="D59" s="28"/>
      <c r="E59" s="28" t="s">
        <v>379</v>
      </c>
      <c r="F59" s="28" t="s">
        <v>380</v>
      </c>
    </row>
    <row r="60">
      <c r="A60" s="27" t="s">
        <v>309</v>
      </c>
      <c r="B60" s="28" t="s">
        <v>351</v>
      </c>
      <c r="C60" s="28" t="s">
        <v>355</v>
      </c>
      <c r="D60" s="28"/>
      <c r="E60" s="28" t="s">
        <v>381</v>
      </c>
      <c r="F60" s="28" t="s">
        <v>382</v>
      </c>
    </row>
    <row r="61">
      <c r="A61" s="27" t="s">
        <v>309</v>
      </c>
      <c r="B61" s="28" t="s">
        <v>351</v>
      </c>
      <c r="C61" s="28" t="s">
        <v>383</v>
      </c>
      <c r="D61" s="28"/>
      <c r="E61" s="28" t="s">
        <v>384</v>
      </c>
      <c r="F61" s="28" t="s">
        <v>385</v>
      </c>
    </row>
    <row r="62">
      <c r="A62" s="27" t="s">
        <v>309</v>
      </c>
      <c r="B62" s="28" t="s">
        <v>351</v>
      </c>
      <c r="C62" s="28" t="s">
        <v>383</v>
      </c>
      <c r="D62" s="28"/>
      <c r="E62" s="28" t="s">
        <v>386</v>
      </c>
      <c r="F62" s="28" t="s">
        <v>387</v>
      </c>
    </row>
    <row r="63">
      <c r="A63" s="27" t="s">
        <v>309</v>
      </c>
      <c r="B63" s="28" t="s">
        <v>351</v>
      </c>
      <c r="C63" s="28" t="s">
        <v>383</v>
      </c>
      <c r="D63" s="28"/>
      <c r="E63" s="28" t="s">
        <v>388</v>
      </c>
      <c r="F63" s="28" t="s">
        <v>389</v>
      </c>
    </row>
    <row r="64">
      <c r="A64" s="27" t="s">
        <v>309</v>
      </c>
      <c r="B64" s="28" t="s">
        <v>351</v>
      </c>
      <c r="C64" s="28" t="s">
        <v>383</v>
      </c>
      <c r="D64" s="28"/>
      <c r="E64" s="28" t="s">
        <v>390</v>
      </c>
      <c r="F64" s="28" t="s">
        <v>391</v>
      </c>
    </row>
    <row r="65">
      <c r="A65" s="27" t="s">
        <v>309</v>
      </c>
      <c r="B65" s="28" t="s">
        <v>351</v>
      </c>
      <c r="C65" s="28" t="s">
        <v>383</v>
      </c>
      <c r="D65" s="28"/>
      <c r="E65" s="28" t="s">
        <v>392</v>
      </c>
      <c r="F65" s="28" t="s">
        <v>393</v>
      </c>
    </row>
    <row r="66">
      <c r="A66" s="27" t="s">
        <v>309</v>
      </c>
      <c r="B66" s="28" t="s">
        <v>351</v>
      </c>
      <c r="C66" s="28" t="s">
        <v>383</v>
      </c>
      <c r="D66" s="28"/>
      <c r="E66" s="28" t="s">
        <v>394</v>
      </c>
      <c r="F66" s="28" t="s">
        <v>395</v>
      </c>
    </row>
    <row r="67">
      <c r="A67" s="27" t="s">
        <v>309</v>
      </c>
      <c r="B67" s="28" t="s">
        <v>351</v>
      </c>
      <c r="C67" s="28" t="s">
        <v>383</v>
      </c>
      <c r="D67" s="28"/>
      <c r="E67" s="28" t="s">
        <v>396</v>
      </c>
      <c r="F67" s="28" t="s">
        <v>397</v>
      </c>
    </row>
    <row r="68">
      <c r="A68" s="27" t="s">
        <v>309</v>
      </c>
      <c r="B68" s="28" t="s">
        <v>351</v>
      </c>
      <c r="C68" s="28" t="s">
        <v>383</v>
      </c>
      <c r="D68" s="28"/>
      <c r="E68" s="28" t="s">
        <v>398</v>
      </c>
      <c r="F68" s="28" t="s">
        <v>399</v>
      </c>
    </row>
    <row r="69">
      <c r="A69" s="27" t="s">
        <v>309</v>
      </c>
      <c r="B69" s="28" t="s">
        <v>351</v>
      </c>
      <c r="C69" s="28" t="s">
        <v>383</v>
      </c>
      <c r="D69" s="28"/>
      <c r="E69" s="28" t="s">
        <v>400</v>
      </c>
      <c r="F69" s="28" t="s">
        <v>401</v>
      </c>
    </row>
    <row r="70">
      <c r="A70" s="27" t="s">
        <v>309</v>
      </c>
      <c r="B70" s="28" t="s">
        <v>351</v>
      </c>
      <c r="C70" s="28" t="s">
        <v>383</v>
      </c>
      <c r="D70" s="28"/>
      <c r="E70" s="28" t="s">
        <v>402</v>
      </c>
      <c r="F70" s="28" t="s">
        <v>403</v>
      </c>
    </row>
    <row r="71">
      <c r="A71" s="27" t="s">
        <v>309</v>
      </c>
      <c r="B71" s="28" t="s">
        <v>351</v>
      </c>
      <c r="C71" s="28" t="s">
        <v>383</v>
      </c>
      <c r="D71" s="28"/>
      <c r="E71" s="28" t="s">
        <v>404</v>
      </c>
      <c r="F71" s="28" t="s">
        <v>405</v>
      </c>
    </row>
    <row r="72">
      <c r="A72" s="27" t="s">
        <v>309</v>
      </c>
      <c r="B72" s="28" t="s">
        <v>351</v>
      </c>
      <c r="C72" s="28" t="s">
        <v>383</v>
      </c>
      <c r="D72" s="28"/>
      <c r="E72" s="28" t="s">
        <v>406</v>
      </c>
      <c r="F72" s="28" t="s">
        <v>407</v>
      </c>
    </row>
    <row r="73">
      <c r="A73" s="27" t="s">
        <v>309</v>
      </c>
      <c r="B73" s="28" t="s">
        <v>351</v>
      </c>
      <c r="C73" s="28" t="s">
        <v>383</v>
      </c>
      <c r="D73" s="28"/>
      <c r="E73" s="28" t="s">
        <v>408</v>
      </c>
      <c r="F73" s="28" t="s">
        <v>409</v>
      </c>
    </row>
    <row r="74">
      <c r="A74" s="27" t="s">
        <v>309</v>
      </c>
      <c r="B74" s="28" t="s">
        <v>351</v>
      </c>
      <c r="C74" s="28" t="s">
        <v>383</v>
      </c>
      <c r="D74" s="28"/>
      <c r="E74" s="28" t="s">
        <v>410</v>
      </c>
      <c r="F74" s="28" t="s">
        <v>411</v>
      </c>
    </row>
    <row r="75">
      <c r="A75" s="27" t="s">
        <v>309</v>
      </c>
      <c r="B75" s="28" t="s">
        <v>351</v>
      </c>
      <c r="C75" s="28" t="s">
        <v>383</v>
      </c>
      <c r="D75" s="28"/>
      <c r="E75" s="28" t="s">
        <v>412</v>
      </c>
      <c r="F75" s="28" t="s">
        <v>413</v>
      </c>
    </row>
    <row r="76">
      <c r="A76" s="27" t="s">
        <v>309</v>
      </c>
      <c r="B76" s="28" t="s">
        <v>351</v>
      </c>
      <c r="C76" s="28" t="s">
        <v>383</v>
      </c>
      <c r="D76" s="28"/>
      <c r="E76" s="28" t="s">
        <v>414</v>
      </c>
      <c r="F76" s="28" t="s">
        <v>415</v>
      </c>
    </row>
    <row r="77">
      <c r="A77" s="27" t="s">
        <v>309</v>
      </c>
      <c r="B77" s="28" t="s">
        <v>351</v>
      </c>
      <c r="C77" s="28" t="s">
        <v>383</v>
      </c>
      <c r="D77" s="28"/>
      <c r="E77" s="28" t="s">
        <v>416</v>
      </c>
      <c r="F77" s="28" t="s">
        <v>417</v>
      </c>
    </row>
    <row r="78">
      <c r="A78" s="27" t="s">
        <v>309</v>
      </c>
      <c r="B78" s="28" t="s">
        <v>351</v>
      </c>
      <c r="C78" s="28" t="s">
        <v>418</v>
      </c>
      <c r="D78" s="28"/>
      <c r="E78" s="28" t="s">
        <v>419</v>
      </c>
      <c r="F78" s="28" t="s">
        <v>420</v>
      </c>
    </row>
    <row r="79">
      <c r="A79" s="27" t="s">
        <v>309</v>
      </c>
      <c r="B79" s="28" t="s">
        <v>351</v>
      </c>
      <c r="C79" s="28" t="s">
        <v>418</v>
      </c>
      <c r="D79" s="28"/>
      <c r="E79" s="28" t="s">
        <v>421</v>
      </c>
      <c r="F79" s="28" t="s">
        <v>422</v>
      </c>
    </row>
    <row r="80">
      <c r="A80" s="27" t="s">
        <v>309</v>
      </c>
      <c r="B80" s="28" t="s">
        <v>351</v>
      </c>
      <c r="C80" s="28" t="s">
        <v>423</v>
      </c>
      <c r="D80" s="28"/>
      <c r="E80" s="28" t="s">
        <v>424</v>
      </c>
      <c r="F80" s="28" t="s">
        <v>425</v>
      </c>
    </row>
    <row r="81">
      <c r="A81" s="27" t="s">
        <v>309</v>
      </c>
      <c r="B81" s="28" t="s">
        <v>426</v>
      </c>
      <c r="C81" s="28" t="s">
        <v>427</v>
      </c>
      <c r="D81" s="28"/>
      <c r="E81" s="28" t="s">
        <v>428</v>
      </c>
      <c r="F81" s="28" t="s">
        <v>429</v>
      </c>
    </row>
    <row r="82">
      <c r="A82" s="27" t="s">
        <v>309</v>
      </c>
      <c r="B82" s="28" t="s">
        <v>426</v>
      </c>
      <c r="C82" s="28" t="s">
        <v>430</v>
      </c>
      <c r="D82" s="28"/>
      <c r="E82" s="28" t="s">
        <v>431</v>
      </c>
      <c r="F82" s="28" t="s">
        <v>432</v>
      </c>
    </row>
    <row r="83">
      <c r="A83" s="27" t="s">
        <v>309</v>
      </c>
      <c r="B83" s="28" t="s">
        <v>433</v>
      </c>
      <c r="C83" s="28"/>
      <c r="D83" s="28"/>
      <c r="E83" s="28" t="s">
        <v>434</v>
      </c>
      <c r="F83" s="28" t="s">
        <v>435</v>
      </c>
    </row>
    <row r="84">
      <c r="A84" s="27" t="s">
        <v>309</v>
      </c>
      <c r="B84" s="28" t="s">
        <v>433</v>
      </c>
      <c r="C84" s="28"/>
      <c r="D84" s="28"/>
      <c r="E84" s="28" t="s">
        <v>436</v>
      </c>
      <c r="F84" s="28" t="s">
        <v>437</v>
      </c>
    </row>
    <row r="85">
      <c r="A85" s="27" t="s">
        <v>438</v>
      </c>
      <c r="B85" s="28" t="s">
        <v>310</v>
      </c>
      <c r="C85" s="28"/>
      <c r="D85" s="28"/>
      <c r="E85" s="28" t="s">
        <v>311</v>
      </c>
      <c r="F85" s="28" t="s">
        <v>439</v>
      </c>
    </row>
    <row r="86">
      <c r="A86" s="27" t="s">
        <v>438</v>
      </c>
      <c r="B86" s="28" t="s">
        <v>440</v>
      </c>
      <c r="C86" s="28" t="s">
        <v>441</v>
      </c>
      <c r="D86" s="28"/>
      <c r="E86" s="28" t="s">
        <v>394</v>
      </c>
      <c r="F86" s="28" t="s">
        <v>442</v>
      </c>
    </row>
    <row r="87">
      <c r="A87" s="27" t="s">
        <v>443</v>
      </c>
      <c r="B87" s="28" t="s">
        <v>444</v>
      </c>
      <c r="C87" s="28"/>
      <c r="D87" s="28"/>
      <c r="E87" s="28"/>
      <c r="F87" s="29"/>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4</cp:revision>
  <dcterms:created xsi:type="dcterms:W3CDTF">2026-10-20T02:06:19Z</dcterms:created>
  <dcterms:modified xsi:type="dcterms:W3CDTF">2026-10-27T08:07:36Z</dcterms:modified>
</cp:coreProperties>
</file>