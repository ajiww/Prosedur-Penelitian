
<file path=[Content_Types].xml><?xml version="1.0" encoding="utf-8"?>
<Types xmlns="http://schemas.openxmlformats.org/package/2006/content-types">
  <Default Extension="xml" ContentType="application/xml"/>
  <Default Extension="wmf" ContentType="image/x-wmf"/>
  <Default Extension="bin" ContentType="application/vnd.openxmlformats-officedocument.oleObject"/>
  <Default Extension="rels" ContentType="application/vnd.openxmlformats-package.relationships+xml"/>
  <Default Extension="jpeg" ContentType="image/jpeg"/>
  <Default Extension="png" ContentType="image/png"/>
  <Override PartName="/xl/styles.xml" ContentType="application/vnd.openxmlformats-officedocument.spreadsheetml.styles+xml"/>
  <Override PartName="/xl/worksheets/sheet4.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docProps/app.xml" ContentType="application/vnd.openxmlformats-officedocument.extended-properties+xml"/>
  <Override PartName="/xl/worksheets/sheet2.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0"/>
  <workbookProtection/>
  <bookViews>
    <workbookView xWindow="360" yWindow="15" windowWidth="20955" windowHeight="9720" activeTab="1" showHorizontalScroll="1" showVerticalScroll="1"/>
  </bookViews>
  <sheets>
    <sheet name="Petunjuk" sheetId="1" state="visible" r:id="rId1"/>
    <sheet name="Lembar Coding" sheetId="2" state="visible" r:id="rId2"/>
    <sheet name="Daftar Kode" sheetId="3" state="visible" r:id="rId3"/>
    <sheet name="Korpus" sheetId="4" state="hidden" r:id="rId4"/>
  </sheets>
  <definedNames>
    <definedName name="_xlnm._FilterDatabase" localSheetId="1" hidden="1">'Lembar Coding'!$A$1:$S$86</definedName>
    <definedName name="_xlnm._FilterDatabase" localSheetId="1" hidden="1">'Lembar Coding'!$A$1:$S$86</definedName>
  </definedNames>
  <calcPr fullCalcOnLoad="1" refMode="A1" iterate="0" iterateCount="100" iterateDelta="0.0001"/>
  <extLst>
    <ext xmlns:x15="http://schemas.microsoft.com/office/spreadsheetml/2010/11/main" uri="{D0CA8CA8-9F24-4464-BF8E-62219DCF47F9}"/>
  </extLst>
</workbook>
</file>

<file path=xl/sharedStrings.xml><?xml version="1.0" encoding="utf-8"?>
<sst xmlns="http://schemas.openxmlformats.org/spreadsheetml/2006/main" count="381" uniqueCount="381">
  <si>
    <t xml:space="preserve">Lembar Coding: Analisis Isi Krippendorff</t>
  </si>
  <si>
    <t xml:space="preserve">Codebook versi 1.0.3 (25 Oktober 2026). Panduan Coder untuk Penyusunan SRS Web Scraping yang Mengintegrasikan Aspek Legalitas dan Etika Privasi Data.</t>
  </si>
  <si>
    <t xml:space="preserve">Kode coder (isi satu kali):</t>
  </si>
  <si>
    <t>Afriansyah</t>
  </si>
  <si>
    <t xml:space="preserve">V2 pada Lembar Coding terisi otomatis dari sel ini.</t>
  </si>
  <si>
    <t xml:space="preserve">Prosedur singkat (Bagian 5 codebook)</t>
  </si>
  <si>
    <t>1</t>
  </si>
  <si>
    <t xml:space="preserve">Baca kolom Isi secara utuh, lalu kolom Rujukan. Buka BAB dan Bagian (kolom R dan S, tersembunyi) hanya bila perlu memahami rujukan antarunit.</t>
  </si>
  <si>
    <t>2</t>
  </si>
  <si>
    <t xml:space="preserve">Tentukan V4 Subjek Norma terlebih dahulu (Bagian 7.1), lalu V5 Relevansi dengan Uji Implikasi (Bagian 6 dan 7.2).</t>
  </si>
  <si>
    <t>3</t>
  </si>
  <si>
    <t xml:space="preserve">Tentukan V6 Tema Utama dengan pohon keputusan (Bagian 7.3), lalu V7 (Bagian 7.4), V8 (Bagian 7.5), dan V9 (Bagian 7.6).</t>
  </si>
  <si>
    <t>4</t>
  </si>
  <si>
    <t xml:space="preserve">Untuk unit R2, tulis V11 Draf Kebutuhan satu kalimat (opsional). Catat keraguan di V12. Kode residual T99 hanya bila tidak ada tema yang cocok.</t>
  </si>
  <si>
    <t>5</t>
  </si>
  <si>
    <t xml:space="preserve">Periksa kolom Cek Konsistensi (Q) setiap selesai satu baris (Bagian 9). Bila tidak OK, ulangi coding atau jelaskan di V12.</t>
  </si>
  <si>
    <t>6</t>
  </si>
  <si>
    <t xml:space="preserve">Kodekan setiap unit secara independen. Jangan berdiskusi dengan coder lain sebelum seluruh unit selesai.</t>
  </si>
  <si>
    <t>Legenda</t>
  </si>
  <si>
    <t xml:space="preserve">Sel kuning</t>
  </si>
  <si>
    <t xml:space="preserve">Sel yang diisi coder (V4 sampai V12). Sel V4 sampai V10 memakai daftar pilihan (Kode - Label).</t>
  </si>
  <si>
    <t xml:space="preserve">Sel putih</t>
  </si>
  <si>
    <t xml:space="preserve">Terisi otomatis dari sheet Korpus atau formula. Jangan diubah.</t>
  </si>
  <si>
    <t xml:space="preserve">Kolom Pilot</t>
  </si>
  <si>
    <t xml:space="preserve">Unit bertanda Ya dipakai pada uji coba (pilot): baris 13, 21, 25, 30, 35, 42, 44, 52, 54, 56, 70, 79, 81.</t>
  </si>
  <si>
    <t xml:space="preserve">Variabel dan nilai sah (Bagian 4)</t>
  </si>
  <si>
    <t xml:space="preserve">V1 ID_Unit</t>
  </si>
  <si>
    <t xml:space="preserve">Nomor baris Excel (2 sampai 86), terisi otomatis</t>
  </si>
  <si>
    <t xml:space="preserve">V2 Kode_Coder</t>
  </si>
  <si>
    <t xml:space="preserve">Dari sel C4</t>
  </si>
  <si>
    <t xml:space="preserve">V3 Dokumen</t>
  </si>
  <si>
    <t xml:space="preserve">Salinan kolom Dokumen, terisi otomatis</t>
  </si>
  <si>
    <t xml:space="preserve">V4 Subjek_Norma</t>
  </si>
  <si>
    <t xml:space="preserve">S1 sampai S9</t>
  </si>
  <si>
    <t xml:space="preserve">V5 Relevansi</t>
  </si>
  <si>
    <t xml:space="preserve">R0, R1, R2</t>
  </si>
  <si>
    <t xml:space="preserve">V6 Tema_Utama</t>
  </si>
  <si>
    <t xml:space="preserve">T01 sampai T16, T99</t>
  </si>
  <si>
    <t xml:space="preserve">V7 Jenis_Pernyataan</t>
  </si>
  <si>
    <t xml:space="preserve">P1 sampai P8</t>
  </si>
  <si>
    <t xml:space="preserve">V8 Tahap_Scraping</t>
  </si>
  <si>
    <t xml:space="preserve">F1 sampai F8</t>
  </si>
  <si>
    <t xml:space="preserve">V9 Kebutuhan_SRS</t>
  </si>
  <si>
    <t xml:space="preserve">K1 sampai K5 (K1 keamanan, K2 mutu data dan akuntabilitas, K3 fungsional, K4 batasan hukum, K5 tidak menghasilkan kebutuhan)</t>
  </si>
  <si>
    <t xml:space="preserve">V10 Tema_Sekunder</t>
  </si>
  <si>
    <t xml:space="preserve">T01 sampai T16 (opsional)</t>
  </si>
  <si>
    <t xml:space="preserve">V11 Draf_Kebutuhan</t>
  </si>
  <si>
    <t xml:space="preserve">Teks bebas, satu kalimat "Sistem harus/tidak boleh..." (opsional, untuk R2)</t>
  </si>
  <si>
    <t xml:space="preserve">V12 Catatan</t>
  </si>
  <si>
    <t xml:space="preserve">Teks bebas</t>
  </si>
  <si>
    <t xml:space="preserve">Contoh pengisian satu baris (Bagian 3 dan 10)</t>
  </si>
  <si>
    <t xml:space="preserve">Isi (ringkas)</t>
  </si>
  <si>
    <t xml:space="preserve">Baris 67, Pasal 40 UU 27/2022: wajib menghentikan pemrosesan setelah persetujuan ditarik, paling lambat 3 x 24 jam.</t>
  </si>
  <si>
    <t>Kode</t>
  </si>
  <si>
    <t xml:space="preserve">V4 S1 | V5 R2 | V6 T08 | V7 P2 | V8 F6 | V9 K3. Alasan: kewajiban dengan batas waktu yang dapat diuji.</t>
  </si>
  <si>
    <t xml:space="preserve">Rujukan (Pasal atau Paragraf dan Kalimat)</t>
  </si>
  <si>
    <t>Isi</t>
  </si>
  <si>
    <t>Pilot</t>
  </si>
  <si>
    <t xml:space="preserve">Kelengkapan V4 sampai V9</t>
  </si>
  <si>
    <t xml:space="preserve">Cek Konsistensi (Bagian 9)</t>
  </si>
  <si>
    <t>BAB</t>
  </si>
  <si>
    <t>Bagian</t>
  </si>
  <si>
    <t xml:space="preserve">S5 - Setiap Orang atau pihak umum</t>
  </si>
  <si>
    <t xml:space="preserve">T01 - Definisi, Istilah, dan Ruang Lingkup</t>
  </si>
  <si>
    <t xml:space="preserve">P3 - Hak</t>
  </si>
  <si>
    <t xml:space="preserve">F7 - Tata kelola dan hak subjek</t>
  </si>
  <si>
    <t>Ya</t>
  </si>
  <si>
    <t xml:space="preserve">S7 - Otoritas Penetap atau Pengawas Kebijakan</t>
  </si>
  <si>
    <t xml:space="preserve">P8 - Deskriptif, argumentatif, dan rujukan</t>
  </si>
  <si>
    <t xml:space="preserve">K4 - Batasan atau aturan bisnis hukum. Apakah teks membatasi apa yang boleh dilakukan sistem, atau apa dan siapa yang tercakup?</t>
  </si>
  <si>
    <t xml:space="preserve">S4 - Subjek Data Pribadi</t>
  </si>
  <si>
    <t xml:space="preserve">F6 - Retensi dan penghapusan</t>
  </si>
  <si>
    <t xml:space="preserve">S2 - Prosesor Data Pribadi</t>
  </si>
  <si>
    <t xml:space="preserve">P6 - Definisi, klasifikasi, atau ruang lingkup</t>
  </si>
  <si>
    <t xml:space="preserve">F2 - Pengumpulan atau akuisisi</t>
  </si>
  <si>
    <t xml:space="preserve">T06 - Data Pribadi Anak dan Kelompok Rentan</t>
  </si>
  <si>
    <t xml:space="preserve">P2 - Kewajiban</t>
  </si>
  <si>
    <t xml:space="preserve">S1 - Pengendali Data Pribadi</t>
  </si>
  <si>
    <t xml:space="preserve">F1 - Perencanaan dan dasar pemrosesan</t>
  </si>
  <si>
    <t xml:space="preserve">F3 - Pengolahan dan analisis</t>
  </si>
  <si>
    <t xml:space="preserve">P7 - Asas, prinsip, atau tujuan umum</t>
  </si>
  <si>
    <t xml:space="preserve">F8 - Lintas tahap atau tidak spesifik</t>
  </si>
  <si>
    <t xml:space="preserve">P5 - Kebolehan atau kewenangan</t>
  </si>
  <si>
    <t xml:space="preserve">F5 - Penyebarluasan dan transfer</t>
  </si>
  <si>
    <t xml:space="preserve">Daftar kode sah (Codebook versi 1.0.3)</t>
  </si>
  <si>
    <t xml:space="preserve">Sumber: Bagian 7 codebook (7.1 sampai 7.6). Kolom Kode (B) dipakai oleh daftar pilihan (validasi data) pada lembar coding; kolom D hanya tampilan gabungan kode dan label.</t>
  </si>
  <si>
    <t>Variabel</t>
  </si>
  <si>
    <t>Label</t>
  </si>
  <si>
    <t>S1</t>
  </si>
  <si>
    <t xml:space="preserve">Pengendali Data Pribadi</t>
  </si>
  <si>
    <t>S2</t>
  </si>
  <si>
    <t xml:space="preserve">Prosesor Data Pribadi</t>
  </si>
  <si>
    <t>S3</t>
  </si>
  <si>
    <t xml:space="preserve">Pengendali dan Prosesor</t>
  </si>
  <si>
    <t>S4</t>
  </si>
  <si>
    <t xml:space="preserve">Subjek Data Pribadi</t>
  </si>
  <si>
    <t>S5</t>
  </si>
  <si>
    <t xml:space="preserve">Setiap Orang atau pihak umum</t>
  </si>
  <si>
    <t>S6</t>
  </si>
  <si>
    <t xml:space="preserve">Instansi atau Badan Publik</t>
  </si>
  <si>
    <t>S7</t>
  </si>
  <si>
    <t xml:space="preserve">Otoritas Penetap atau Pengawas Kebijakan</t>
  </si>
  <si>
    <t>S8</t>
  </si>
  <si>
    <t xml:space="preserve">Penyelenggara sektor atau pihak lain</t>
  </si>
  <si>
    <t>S9</t>
  </si>
  <si>
    <t xml:space="preserve">Tidak ada subjek perorangan atau organisasi eksplisit</t>
  </si>
  <si>
    <t>R0</t>
  </si>
  <si>
    <t xml:space="preserve">Tidak relevan</t>
  </si>
  <si>
    <t>R1</t>
  </si>
  <si>
    <t xml:space="preserve">Relevan tidak langsung</t>
  </si>
  <si>
    <t>R2</t>
  </si>
  <si>
    <t xml:space="preserve">Relevan langsung</t>
  </si>
  <si>
    <t>T01</t>
  </si>
  <si>
    <t xml:space="preserve">Definisi, Istilah, dan Ruang Lingkup</t>
  </si>
  <si>
    <t>T02</t>
  </si>
  <si>
    <t xml:space="preserve">Latar Normatif dan Rujukan Non-operasional</t>
  </si>
  <si>
    <t>T03</t>
  </si>
  <si>
    <t xml:space="preserve">Larangan dan Perbuatan Melawan Hukum</t>
  </si>
  <si>
    <t>T04</t>
  </si>
  <si>
    <t xml:space="preserve">Pengecualian dan Pembatasan</t>
  </si>
  <si>
    <t>T05</t>
  </si>
  <si>
    <t xml:space="preserve">Jenis dan Klasifikasi Data Pribadi</t>
  </si>
  <si>
    <t>T06</t>
  </si>
  <si>
    <t xml:space="preserve">Data Pribadi Anak dan Kelompok Rentan</t>
  </si>
  <si>
    <t>T07</t>
  </si>
  <si>
    <t xml:space="preserve">Hak Subjek Data Pribadi</t>
  </si>
  <si>
    <t>T08</t>
  </si>
  <si>
    <t xml:space="preserve">Retensi, Penghentian, Penghapusan, dan Pemusnahan</t>
  </si>
  <si>
    <t>T09</t>
  </si>
  <si>
    <t xml:space="preserve">Dasar Pemrosesan dan Persetujuan</t>
  </si>
  <si>
    <t>T10</t>
  </si>
  <si>
    <t xml:space="preserve">Transfer dan Pengalihan Data</t>
  </si>
  <si>
    <t>T11</t>
  </si>
  <si>
    <t xml:space="preserve">Keamanan, Kerahasiaan, dan Penanganan Insiden</t>
  </si>
  <si>
    <t>T12</t>
  </si>
  <si>
    <t xml:space="preserve">Kualitas, Akurasi, dan Pembaruan Data</t>
  </si>
  <si>
    <t>T13</t>
  </si>
  <si>
    <t xml:space="preserve">Akuntabilitas, Pencatatan, dan Tata Kelola Kepatuhan</t>
  </si>
  <si>
    <t>T14</t>
  </si>
  <si>
    <t xml:space="preserve">Akses dan Pemanfaatan Data Pemerintah</t>
  </si>
  <si>
    <t>T15</t>
  </si>
  <si>
    <t xml:space="preserve">Asas dan Prinsip Pemrosesan</t>
  </si>
  <si>
    <t>T16</t>
  </si>
  <si>
    <t xml:space="preserve">Aktivitas Pemrosesan dan Pengumpulan</t>
  </si>
  <si>
    <t>T99</t>
  </si>
  <si>
    <t xml:space="preserve">Lainnya (wajib jelaskan di V12)</t>
  </si>
  <si>
    <t>P1</t>
  </si>
  <si>
    <t>Larangan</t>
  </si>
  <si>
    <t>P2</t>
  </si>
  <si>
    <t>Kewajiban</t>
  </si>
  <si>
    <t>P3</t>
  </si>
  <si>
    <t>Hak</t>
  </si>
  <si>
    <t>P4</t>
  </si>
  <si>
    <t xml:space="preserve">Pengecualian atau pembatasan</t>
  </si>
  <si>
    <t>P5</t>
  </si>
  <si>
    <t xml:space="preserve">Kebolehan atau kewenangan</t>
  </si>
  <si>
    <t>P6</t>
  </si>
  <si>
    <t xml:space="preserve">Definisi, klasifikasi, atau ruang lingkup</t>
  </si>
  <si>
    <t>P7</t>
  </si>
  <si>
    <t xml:space="preserve">Asas, prinsip, atau tujuan umum</t>
  </si>
  <si>
    <t>P8</t>
  </si>
  <si>
    <t xml:space="preserve">Deskriptif, argumentatif, dan rujukan</t>
  </si>
  <si>
    <t>F1</t>
  </si>
  <si>
    <t xml:space="preserve">Perencanaan dan dasar pemrosesan</t>
  </si>
  <si>
    <t>F2</t>
  </si>
  <si>
    <t xml:space="preserve">Pengumpulan atau akuisisi</t>
  </si>
  <si>
    <t>F3</t>
  </si>
  <si>
    <t xml:space="preserve">Pengolahan dan analisis</t>
  </si>
  <si>
    <t>F4</t>
  </si>
  <si>
    <t xml:space="preserve">Penyimpanan dan pengamanan</t>
  </si>
  <si>
    <t>F5</t>
  </si>
  <si>
    <t xml:space="preserve">Penyebarluasan dan transfer</t>
  </si>
  <si>
    <t>F6</t>
  </si>
  <si>
    <t xml:space="preserve">Retensi dan penghapusan</t>
  </si>
  <si>
    <t>F7</t>
  </si>
  <si>
    <t xml:space="preserve">Tata kelola dan hak subjek</t>
  </si>
  <si>
    <t>F8</t>
  </si>
  <si>
    <t xml:space="preserve">Lintas tahap atau tidak spesifik</t>
  </si>
  <si>
    <t>K1</t>
  </si>
  <si>
    <t xml:space="preserve">Non-fungsional: keamanan dan kerahasiaan. Apakah inti teks melindungi data dari akses atau gangguan tidak sah?</t>
  </si>
  <si>
    <t>K2</t>
  </si>
  <si>
    <t xml:space="preserve">Non-fungsional: mutu data, kepatuhan, dan akuntabilitas. Apakah ini mutu atau bukti yang berlaku untuk seluruh sistem, bukan hanya satu operasi?</t>
  </si>
  <si>
    <t>K3</t>
  </si>
  <si>
    <t xml:space="preserve">Fungsional. Dapatkah ditulis "Sistem harus [melakukan X]" dengan hasil hanya lulus atau gagal?</t>
  </si>
  <si>
    <t>K4</t>
  </si>
  <si>
    <t xml:space="preserve">Batasan atau aturan bisnis hukum. Apakah teks membatasi apa yang boleh dilakukan sistem, atau apa dan siapa yang tercakup?</t>
  </si>
  <si>
    <t>K5</t>
  </si>
  <si>
    <t xml:space="preserve">Tidak menghasilkan kebutuhan. Apakah teks benar-benar tidak dapat diterjemahkan menjadi kalimat "Sistem harus/tidak boleh …"?</t>
  </si>
  <si>
    <t>Dokumen</t>
  </si>
  <si>
    <t>Paragraf</t>
  </si>
  <si>
    <t>Pasal</t>
  </si>
  <si>
    <t>CATATAN</t>
  </si>
  <si>
    <t>2019MHN201</t>
  </si>
  <si>
    <t xml:space="preserve">C. Pembahasan</t>
  </si>
  <si>
    <t xml:space="preserve">5. Pentingnya Perlindungan Data Pribadi</t>
  </si>
  <si>
    <t xml:space="preserve">Paragraf 3</t>
  </si>
  <si>
    <t xml:space="preserve">Kalimat 1</t>
  </si>
  <si>
    <t xml:space="preserve">Melihat banyaknya kasus penyalahgunaan data pribadi, sangat penting untuk memberikan perlindungan data pribadi.</t>
  </si>
  <si>
    <t xml:space="preserve">Tempel seluruh isi sheet Lembar1 dari Korpus_Codebook_1.xlsx (A1:F87) ke sel A1 sheet ini, termasuk baris judul.</t>
  </si>
  <si>
    <t xml:space="preserve">Kalimat 2</t>
  </si>
  <si>
    <t xml:space="preserve">Pentingnya memberikan perlindungan data pribadi mulai menguat seiring dengan meningkatnya jumlah pengguna telepon seluler dan internet.</t>
  </si>
  <si>
    <t xml:space="preserve">Urutan kolom harus: Dokumen, BAB, Bagian, Paragraf, Pasal, Isi. Nomor baris Excel di sini = ID_Unit (V1) pada Lembar Coding.</t>
  </si>
  <si>
    <t xml:space="preserve">Kalimat 3</t>
  </si>
  <si>
    <t xml:space="preserve">Sejumlah kasus yang mencuat, terutama yang memiliki keterkaitan dengan kebocoran data pribadi seseorang dan bermuara kepada aksi penipuan atau tindak kriminal pornografi, menguatkan wacana pentingnya pembuatan aturan hukum untuk melindungi data pribadi.</t>
  </si>
  <si>
    <t xml:space="preserve">Sebelum file dibagikan kepada coder, SEMBUNYIKAN sheet Korpus (klik kanan tab, Hide) agar kolom BAB dan Bagian tidak memengaruhi coding (Bagian 2.2 dan 12.2 codebook).</t>
  </si>
  <si>
    <t xml:space="preserve">Kalimat 4</t>
  </si>
  <si>
    <t xml:space="preserve">Perlindungan data pribadi berhubungan dengan konsep privasi.</t>
  </si>
  <si>
    <t xml:space="preserve">Kalimat 5</t>
  </si>
  <si>
    <t xml:space="preserve">Konsep privasi sendiri adalah gagasan untuk menjaga integritas dan martabat pribadi.</t>
  </si>
  <si>
    <t xml:space="preserve">Kalimat 6</t>
  </si>
  <si>
    <t xml:space="preserve">Hak privasi juga merupakan kemampuan individu untuk menentukan siapa yang memegang informasi tentang mereka dan bagaimana informasi tersebut digunakan.</t>
  </si>
  <si>
    <t xml:space="preserve">Paragraf 4</t>
  </si>
  <si>
    <t xml:space="preserve">Konsep perlindungan data mengisyaratkan bahwa individu memiliki hak untuk menentukan apakah mereka akan membagi atau bertukar data pribadi mereka atau tidak.</t>
  </si>
  <si>
    <t xml:space="preserve">Selain itu, individu juga memiliki hak untuk menentukan syarat-syarat pelaksanaan pemindahan data pribadi tersebut.</t>
  </si>
  <si>
    <t xml:space="preserve">Lebih jauh, perlindungan privasi.</t>
  </si>
  <si>
    <t xml:space="preserve">Hak privasi telah berkembang sehingga dapat digunakan untuk merumuskan hak untuk melindungi data pribadi.</t>
  </si>
  <si>
    <t xml:space="preserve">Paragraf 5</t>
  </si>
  <si>
    <t xml:space="preserve">Perlindungan data pribadi telah diatur di dalam UUD NKRI Tahun 1945.</t>
  </si>
  <si>
    <t xml:space="preserve">Dalam Pasal 28 G ayat (1) disebutkan bahwa “Setiap orang berhak atas perlindungan diri pribadi, data juga berhubungan dengan konsep hak keluarga, kehormatan, martabat, dan harta benda yang di bawah kekuasaannya, serta berhak atas rasa aman dan perlindungan dari ancaman ketakutan untuk berbuat atau tidak berbuat sesuatu yang merupakan hak asasi.”</t>
  </si>
  <si>
    <t xml:space="preserve">Paragraf 6</t>
  </si>
  <si>
    <t xml:space="preserve">Selain itu beberapa peraturan nasional secara umum telah mengatur untuk memberikan perlindungan data pribadi antara lain:</t>
  </si>
  <si>
    <t xml:space="preserve">1) Undang-Undang Nomor 19 Tahun 2016 Tentang Perubahan Atas Undang-Undang Nomor 11 Tahun 2008 Tentang Informasi dan Transaksi Elektronik</t>
  </si>
  <si>
    <t xml:space="preserve">2) Undang-Undang Nomor 11 Tahun 2008 Tentang Informasi dan Transaksi Elektronik</t>
  </si>
  <si>
    <t xml:space="preserve">Kalimat 13</t>
  </si>
  <si>
    <t xml:space="preserve">12) Peraturan Menteri Komunikasi dan Informasi Nomor 20 Tahun 2016 Tentang Perlindungan Data Pribadi Dalam Sistem Elektronik</t>
  </si>
  <si>
    <t xml:space="preserve">Kalimat 14</t>
  </si>
  <si>
    <t xml:space="preserve">13) Peraturan Pemerintah Nomor 82 Tahun 2012 Tentang Penyelenggaraan Sistem dan Transaksi Elektronik</t>
  </si>
  <si>
    <t xml:space="preserve">Kalimat 16</t>
  </si>
  <si>
    <t xml:space="preserve">15) Peraturan Menteri Komunikasi dan Informasi Nomor 4 Tahun 2016 Tentang Sistem Manajemen Pengaman Informasi</t>
  </si>
  <si>
    <t xml:space="preserve">Paragraf 7</t>
  </si>
  <si>
    <t xml:space="preserve">Dalam Pasal 26 huruf a disebutkan bahwa menjaga kerahasiaan, keutuhan, dan ketersediaan data pribadi, data transaksi, dan data keuangan yang dikelolanya sejak data diperoleh hingga data tersebut dimusnahkan.</t>
  </si>
  <si>
    <t xml:space="preserve">Selain itu Peraturan OJK Nomor 13 Tahun 2018 Tentang Inovasi Keuangan Digital di Sektor Keuangan, telah memasukkan poin terkait perlindungan dan kerahasiaan data.</t>
  </si>
  <si>
    <t xml:space="preserve">Pasal 30 ayat (1) menyebutkan bahwa Penyelenggara wajib menjaga kerahasiaan data pribadi, data transaksi, dan data keuangan yang dikelolanya sejak diperoleh hingga data tersebut dimusnahkan.</t>
  </si>
  <si>
    <t xml:space="preserve">Paragraf 8</t>
  </si>
  <si>
    <t xml:space="preserve">Banyaknya peraturan yang mengatur tentang perlindungan data pribadi menunjukkan pentingnya data pribadi untuk dilindungi.</t>
  </si>
  <si>
    <t xml:space="preserve">Oleh karena itu perlu disusun suatu undang-undang yang secara khusus dapat memberikan perlindungan data pribadi.</t>
  </si>
  <si>
    <t xml:space="preserve">D. Penutup</t>
  </si>
  <si>
    <t xml:space="preserve">Paragraf 1</t>
  </si>
  <si>
    <t xml:space="preserve">Selain itu juga sudah ada Peraturan Menteri Nomor 20 Tahun 2016 tentang Perlindungan Data Pribadi namun belum cukup memberikan perlindungan kepada konsumen.</t>
  </si>
  <si>
    <t xml:space="preserve">Oleh karenanya Pemerintah perlu segera memberikan perlindungan data pribadi nasabah agar tidak disalahgunakan.</t>
  </si>
  <si>
    <t xml:space="preserve">UU 23 Thn 2002 (Perlindungan Anak)</t>
  </si>
  <si>
    <t xml:space="preserve">BAB V
KEDUDUKAN ANAK</t>
  </si>
  <si>
    <t xml:space="preserve">Bagian Kesatu
Identitas Anak</t>
  </si>
  <si>
    <t xml:space="preserve">Pasal 27</t>
  </si>
  <si>
    <t xml:space="preserve">(1) Identitas diri setiap anak harus diberikan sejak kelahirannya.(2) Identitas sebagaimana dimaksud dalam ayat (1) dituangkan dalam akta kelahiran.(3) Pembuatan akta kelahiran didasarkan pada surat keterangan dari orang yang menyaksikan dan/atau membantu proses kelahiran. Dalam hal anak yang proses kelahirannya tidak diketahui, dan orang tuanya tidak diketahui keberadaannya, pembuatan akta kelahiran untuk anak tersebut didasarkan pada keterangan orang yang menemukannya.</t>
  </si>
  <si>
    <t xml:space="preserve">UU 27 Thn 2022 (PDP)</t>
  </si>
  <si>
    <t xml:space="preserve">BAB I
KETENTUAN UMUM</t>
  </si>
  <si>
    <t xml:space="preserve">Pasal 1</t>
  </si>
  <si>
    <t xml:space="preserve">Dalam Undang-Undang ini yang dimaksud dengan: 1. Data Pribadi adalah data tentang orang perseorangan yang teridentifikasi atau dapat diidentifikasi secara tersendiri atau dikombinasi dengan informasi lainnya baik secara langsung maupun tidak langsung melalui sistem elektronik atau nonelektronik. 2. Pelindungan Data Pribadi adalah keseluruhan upaya untuk melindungi Data Pribadi dalam rangkaian pemrosesan Data Pribadi guna menjamin hak konstitusional subjek Data Pribadi. 3. Informasi adalah keterangan, pernyataan, gagasan, dan tanda-tanda yang mengandung nilai, makna, dan pesan, baik data, fakta, maupun penjelasannya yang dapat dilihat, didengar, dan dibaca yang disajikan dalam berbagai kemasan dan format sesuai dengan perkembangan teknologi informasi dan komunikasi secara elektronik ataupun nonelektronik. 4. Pengendali Data Pribadi adalah setiap orang, badan publik, dan organisasi internasional yang bertindak sendiri-sendiri atau bersama-sama dalam menentukan tujuan dan melakukan kendali pemrosesan Data Pribadi. 5. Prosesor Data Pribadi adalah setiap orang, badan publik, dan organisasi internasional yang bertindak sendiri-sendiri atau bersama-sama dalam melakukan pemrosesan Data Pribadi atas nama Pengendali Data Pribadi. 6. Subjek Data Pribadi adalah orang perseorangan yang pada dirinya melekat Data Pribadi. 7. Setiap Orang adalah orang perseorangan atau korporasi. 8. Korporasi adalah kumpulan orang dan/ atau kekayaan yang terorganisasi baik yang berbadan hukum maupun tidak berbadan hukum. 9. Badan Publik adalah lembaga eksekutif, legislatif, yudikatif, dan badan lain yang fungsi dan tugas pokoknya berkaitan dengan penyelenggaraan negara, yang sebagian atau seluruh dananya bersumber dari Anggaran Pendapatan dan Belanja Negara dan/ atau Anggaran Pendapatan dan Belanja Daerah, atau organisasi nonpemerintah sepanjang sebagian atau seluruh dananya bersumber dari Anggaran Pendapatan dan Belanja Negara dan/ atau Anggaran. Pendapatan dan Belanja Daerah, sumbangan masyarakat, dan/atau luar negeri. 10. Organisasi Internasional adalah organisasi yang diakui sebagai subjek hukum internasional dan mempunyai kapasitas untuk membuat perjanjian internasional.</t>
  </si>
  <si>
    <t xml:space="preserve">Pasal 2</t>
  </si>
  <si>
    <t xml:space="preserve">(1) Undang-Undang ini berlaku untuk Setiap Orang, Badan Publik, dan Organisasi Internasional yang melakukan perbuatan hukum sebagaimana diatur dalam Undang-Undang ini: a. yang berada di wilayah hukum Negara Republik Indonesia; dan b. di luar wilayah hukum Negara Republik Indonesia, yang memiliki akibat hukum: 1. di wilayah hukum Negara Republik Indonesia; dan/atau 2. bagi Subjek Data Pribadi warga negara Indonesia di luar wilayah hukum Negara Republik Indonesia.(2) Undang-Undang ini tidak berlaku untuk pemrosesan Data Pribadi oleh orang perseorangan dalam kegiatan pribadi atau rumah tangga.</t>
  </si>
  <si>
    <t xml:space="preserve">BAB II
ASAS</t>
  </si>
  <si>
    <t xml:space="preserve">Pasal 3</t>
  </si>
  <si>
    <t xml:space="preserve">a. perlindungan; b. kepastian hukum; c. kepentingan umum; d. Kemanfaatan; e. Kehati-hatian; f. Keseimbangan; g. Pertanggungjawaban; dan h. kerahasiaan.</t>
  </si>
  <si>
    <t xml:space="preserve">BAB III
JENIS DATA PRIBADI</t>
  </si>
  <si>
    <t xml:space="preserve">Pasal 4</t>
  </si>
  <si>
    <t xml:space="preserve">(1) Data Pribadi terdiri atas: a. Data Pribadi yang bersifat spesifik; danb. Data Pribadi yang bersifat umum.(2) Data Pribadi yang bersifat spesifik sebagaimana dimaksud pada ayat (l) huruf a meliputi: a. Data dan informasi kesehatan; b. Data biometrik; c. Data genetika; d. Catatan kejahatan; e. Data anak; f. Data keterangan pribadi; dan/ atau g. Data lainnya sesuai dengan ketentuan peraturan perundang-undangan.(3) Data Pribadi yang bersifat umum sebagaimana dimaksud pada ayat (l) huruf b meliputi: a. Nama lengkap; b. Jenis kelamin; c. Kewarganegaraan; d. Agama; e. Status perkawinan; dan/ atau f. Data Pribadi yang dikombinasikan untuk mengidentifikasi seseorang.</t>
  </si>
  <si>
    <t xml:space="preserve">BAB IV
HAK SUBJEK DATA PRIBADI</t>
  </si>
  <si>
    <t xml:space="preserve">Pasal 5</t>
  </si>
  <si>
    <t xml:space="preserve">Subjek Data Pribadi berhak mendapatkan Informasi tentang kejelasan identitas, dasar kepentingan hukum, tujuan permintaan dan penggunaan Data Pribadi, dan akuntabilitas pihak yang meminta Data Pribadi.</t>
  </si>
  <si>
    <t xml:space="preserve">Pasal 6</t>
  </si>
  <si>
    <t xml:space="preserve">Subjek Data Pribadi berhak melengkapi, memperbarui, dan/atau memperbaiki kesalahan dan/atau ketidakakuratan Data Pribadi tentang dirinya sesuai dengan tujuan pemrosesan Data Pribadi.</t>
  </si>
  <si>
    <t xml:space="preserve">Pasal 7</t>
  </si>
  <si>
    <t xml:space="preserve">Subjek Data Pribadi berhak mendapatkan akses dan memperoleh salinan Data Pribadi tentang dirinya sesuai dengan ketentuan peraturan perundang-undangan.</t>
  </si>
  <si>
    <t xml:space="preserve">Pasal 8</t>
  </si>
  <si>
    <t xml:space="preserve">Subjek Data Pribadi berhak untuk mengakhiri pemrosesan, menghapus, dan/ atau memusnahkan Data Pribadi tentang dirinya sesuai dengan ketentuan peraturan perundang-undangan.</t>
  </si>
  <si>
    <t xml:space="preserve">Pasal 9</t>
  </si>
  <si>
    <t xml:space="preserve">Subjek Data Pribadi berhak menarik kembali persetujuan pemrosesan Data Pribadi tentang dirinya yang telah diberikan kepada Pengendali Data Pribadi.</t>
  </si>
  <si>
    <t xml:space="preserve">Pasal 10</t>
  </si>
  <si>
    <t xml:space="preserve">(1) Subjek Data Pribadi berhak untuk mengajukan keberatan atas tindakan pengambilan keputusan yang hanya didasarkan pada pemrosesan secara otomatis, termasuk pemrofilan, yang menimbulkan akibat hukum atau berdampak signifikan pada Subjek Data Pribadi.(2) Ketentuan lebih lanjut mengenai pengajuan keberatan atas pemrosesan secara otomatis sebagaimana dimaksud pada ayat (l) diatur dalam Peraturan Pemerintah.</t>
  </si>
  <si>
    <t xml:space="preserve">Pasal 11</t>
  </si>
  <si>
    <t xml:space="preserve">Subjek Data Pribadi berhak menunda atau membatasi pemrosesan Data Pribadi secara proporsional sesuai dengan tujuan pemrosesan Data Pribadi.</t>
  </si>
  <si>
    <t xml:space="preserve">Pasal 12</t>
  </si>
  <si>
    <t xml:space="preserve">(1) Subjek Data Pribadi berhak menggugat dan menerima ganti rugi atas pelanggaran pemrosesan Data Pribadi tentang dirinya sesuai dengan ketentuan peraturan perundang-undangan.(2) Ketentuan lebih lanjut mengenai pelanggaran pemrosesan Data Pribadi dan tata cara pengenaan ganti rugi sebagaimana dimaksud pada ayat (1) diatur dalam Peraturan Pemerintah.</t>
  </si>
  <si>
    <t xml:space="preserve">Pasal 13</t>
  </si>
  <si>
    <t xml:space="preserve">(1) Subjek Data Pribadi berhak mendapatkan dan/atau menggunakan Data Pribadi tentang dirinya dari Pengendali Data Pribadi dalam bentuk yang sesuai dengan struktur dan/ atau format yang lazim digunakan atau dapat dibaca oleh sistem elektronik.(2) Subjek Data Pribadi berhak menggunakan dan mengirimkan Data Pribadi tentang dirinya ke Pengendali Data Pribadi lainnya, sepanjang sistem yang digunakan dapat saling berkomunikasi secara aman sesuai dengan prinsip Pelindungan Data Pribadi berdasarkan Undang-Undang ini.(3) Ketentuan lebih lanjut mengenai hak Subjek Data Pribadi untuk menggunakan dan mengirimkan Data Pribadi sebagaimana dimaksud pada ayat (2) diatur dalam Peraturan Pemerintah.</t>
  </si>
  <si>
    <t xml:space="preserve">Pasal 14</t>
  </si>
  <si>
    <t xml:space="preserve">Pelaksanaan hak Subjek Data Pribadi sebagaimana dimaksud dalam Pasal 6 sampai dengan Pasal 11 diajukan melalui permohonan tercatat yang disampaikan secara elektronik atau nonelektronik kepada Pengendali Data Pribadi.</t>
  </si>
  <si>
    <t xml:space="preserve">Pasal 15</t>
  </si>
  <si>
    <t xml:space="preserve">(1) Hak-hak Subjek Data Pribadi sebagaimana dimaksud dalam Pasal 8, Pasal 9, Pasal 10 ayat (1), Pasal 11, dan Pasal 13 ayat (1) dan ayat (2) dikecualikan untuk:a. kepentingan pertahanan dan keamanan nasional; b. kepentingan proses penegakan hukum; c. kepentingan umum dalam rangka penyelenggaraan negara; d. kepentingan pengawasan sektor jasa keuangan, moneter, sistem pembayaran, dan stabilitas sistem keuangan yang dilakukan dalam rangka penyelenggaraan negara; atau e. kepentingan statistik dan penelitian ilmiah. (2) Pengecualian sebagaimana dimaksud pada ayat (1) dilaksanakan hanya dalam rangka pelaksanaan ketentuan Undang-Undang.</t>
  </si>
  <si>
    <t xml:space="preserve">BAB V
PEMROSESAN DATA PRIBADI</t>
  </si>
  <si>
    <t xml:space="preserve">Pasal 16</t>
  </si>
  <si>
    <t xml:space="preserve">(1) Pemrosesan Data Pribadi meliputi: a. pemerolehan dan pengumpulan; b. pengolahan dan penganalisisan; c. Penyimpanan; d. perbaikan dan pembaruan;e. penampilan, pengumuman, transfer, pengungkapan; penyebarluasan, atau dan/ atau f. penghapusan atau pemusnahan.(2) Pemrosesan Data Pribadi sebagaimana dimaksud pada ayat (l) dilakukan sesuai dengan prinsip Pelindungan Data Pribadi meliputi:a. Data Pribadi dilakukan secara terbatas dan spesifik, sah secara hukum, dan transparan; b. pemrosesan Data Pribadi dilakukan sesuai dengan tujuannya; c. pemrosesan Data Pribadi dilakukan dengan menjamin hak Subjek Data Pribadi; d. pemrosesan Data Pribadi dilakukan secara akurat, lengkap, tidak menyesatkan, mutakhir, dan dapat dipertanggungjawabkan; e. pemrosesan Data Pribadi dilakukan dengan melindungi keamanan Data Pribadi dari pengaksesan yang tidak sah, pengungkapan yang tidak sah, pengubahan yang tidak sah, perusakan, dan/atau penghilangan Data Pribadi; f. pemrosesan Data Pribadi dilakukan dengan memberitahukan tujuan dan aktivitas pemrosesan, serta kegagalan Pelindungan Data Pribadi;g. Data Pribadi dimusnahkan dan/atau dihapus setelah masa retensi berakhir atau berdasarkan permintaan Subjek Data Pribadi, kecuali ditentukan lain oleh peraturan perundang-undangan; dan h. pemrosesan Data Pribadi dilakukan secara bertanggung jawab dan dapat dibuktikan secara jelas.(3) Ketentuan lebih lanjut mengenai pelaksanaan pemrosesan Data Pribadi sebagaimana dimaksud pada ayat (1) diatur dalam Peraturan Pemerintah.</t>
  </si>
  <si>
    <t xml:space="preserve">Pasal 17</t>
  </si>
  <si>
    <t xml:space="preserve">(1) Pemasangan alat pemroses atau pengolah data visual di tempat umum dan/ atau pada fasilitas pelayanan publik dilakukan dengan ketentuan: a. untuk tujuan keamanan, pencegahan bencana, lalu lintas atau dan/atau pengumpulan, analisis, dan pengaturan Informasi lalu lintas; b. harus menampilkan Informasi pada area yang telah dipasang alat pemroses atau pengolah data visual; dan c. tidak digunakan untuk seseorang. (2) Ketentuan sebagaimana dimaksud pada ayat (1) huruf b dan huruf c dikecualikan untuk pencegahan tindak pidana dan proses penegakan hukum sesuai dengan ketentuan peraturan perundang-undangan.</t>
  </si>
  <si>
    <t xml:space="preserve">Pasal 18</t>
  </si>
  <si>
    <t xml:space="preserve">(1) Pemrosesan Data Pribadi dapat dilakukan oleh 2 (dua) atau lebih Pengendali Data Pribadi.(2) Dalam hal Pemrosesan Data Pribadi dilakukan oleh 2 (dua) atau lebih Pengendali Data Pribadi harus memenuhi syarat minimal: a. terdapat perjanjian antara para Pengendali Data Pribadi yang memuat peran, tanggung jawab, dan hubungan antar-Pengendali Data Pribadi; b. terdapat tujuan yang saling berkaitan dan cara pemrosesan Data Pribadi yang ditentukan secara bersama; dan c. terdapat narahubung yang ditunjuk secara bersama-sama.</t>
  </si>
  <si>
    <t xml:space="preserve">BAB VI
KEWAJIBAN PENGENDALI DATA PRIBADI DAN PROSESOR DATA PRIBADI DALAM PEMROSESAN DATA PRIBADI</t>
  </si>
  <si>
    <t xml:space="preserve">Bagian Kesatu
Umum</t>
  </si>
  <si>
    <t xml:space="preserve">Pasal 19</t>
  </si>
  <si>
    <t xml:space="preserve">Pengendali Data Pribadi dan Prosesor Data Pribadi meliputi: a. Setiap Orang; b. Badan Publik; dan c. Organisasi Internasional.</t>
  </si>
  <si>
    <t xml:space="preserve">Bagian Kedua Kewajiban Pengendali Data Pribadi</t>
  </si>
  <si>
    <t xml:space="preserve">Pasal 20</t>
  </si>
  <si>
    <t xml:space="preserve">(1) Pengendali Data Pribadi wajib memiliki dasar pemrosesan Data Pribadi. (2) Dasar pemrosesan Data Pribadi sebagaimana dimaksud pada ayat (1) meliputi:a. persetujuan yang sah secara eksplisit dari Subjek Data Pribadi untuk 1 (satu) atau beberapa tujuan tertentu yang telah disampaikan oleh Pengendali Data Pribadi kepada Subjek Data Pribadi; b. pemenuhan kewajiban perjanjian dalam hal Subjek Data Pribadi merupakan salah satu pihak atau untuk memenuhi permintaan Subjek Data Pribadi pada saat akan melakukan perjanjian; c. pemenuhan kewajiban hukum dari Pengendali Data Pribadi sesuai dengan ketentuan peraturan perundang-undangan; d. pemenuhan pelindungan kepentingan vital Subjek Data Pribadi; e. pelaksanaan tugas dalam rangka kepentingan umum, pelayanan publik, atau pelaksanaan kewenangan Pengendali Data Pribadi berdasarkan peraturan perundang-undangan; dan/atau f. pemenuhan kepentingan yang sah lainnya dengan memperhatikan tujuan, kebutuhan, dan keseimbangan kepentingan Pengendali Data Pribadi dan hak Subjek Data Pribadi.</t>
  </si>
  <si>
    <t xml:space="preserve">Pasal 21</t>
  </si>
  <si>
    <t xml:space="preserve">(1) Dalam hal pemrosesan Data Pribadi berdasarkan persetujuan sebagaimana dimaksud dalam Pasal 20 ayat (2) huruf a, Pengendali Data Pribadi wajib menyampaikan Informasi mengenai:a. legalitas dari pemrosesan Data Pribadi; b. tujuan pemrosesan Data Pribadi; c. jenis dan relevansi Data Pribadi yang akan diproses; d. jangka waktu retensi dokumen yang memuat Data Pribadi; e. rincian mengenai Informasi yang dikumpulkan; f. jangka waktu pemrosesan Data Pribadi; dang. hak Subjek Data Pribadi.(2) Dalam hal terdapat perubahan Informasi sebagaimana dimaksud pada ayat (1), Pengendali Data Pribadi wajib memberitahukan kepada Subjek Data Pribadi sebelum terjadi perubahan Informasi.</t>
  </si>
  <si>
    <t xml:space="preserve">Pasal 22</t>
  </si>
  <si>
    <t xml:space="preserve">(1) Persetujuan pemrosesan Data Pribadi dilakukan melalui persetujuan tertulis atau terekam. (2) Persetujuan sebagaimana dimaksud pada ayat (1) dapat disampaikan secara elektronik atau nonelektronik.(3) Persetujuan sebagaimana dimaksud pada ayat (1) mempunyai kekuatan hukum yang sama.(4). Dalam hal persetuluan sebagaimana dimaksud pada ayat (1) memuat tujuan lain, permintaan persetujuan harus memenuhi ketentuan:a. dapat dibedakan secara jelas dengan hal lainnya; b. dibuat dengan format yang dapat dipahami dan mudah diakses; dan c. menggunakan bahasa yang sederhana dan jelas.(5) Persetujuan yang tidak memenuhi ketentuan sebagaimana dimaksud pada ayat (1) dan ayat (4) dinyatakan batal demi hukum.</t>
  </si>
  <si>
    <t xml:space="preserve">Pasal 23</t>
  </si>
  <si>
    <t xml:space="preserve">Klausul perjanjian yang di dalamnya terdapat permintaan pemrosesan Data Pribadi yang tidak memuat persetujuan yang sah secara eksplisit dari Subjek Data Pribadi dinyatakan batal demi hukum.</t>
  </si>
  <si>
    <t xml:space="preserve">Pasal 24</t>
  </si>
  <si>
    <t xml:space="preserve">Dalam melakukan pemrosesan Data Pribadi, Pengendali Data Pribadi wajib menunjukkan bukti persetujuan yang telah diberikan oleh Subjek Data Pribadi.</t>
  </si>
  <si>
    <t xml:space="preserve">Pasal 25</t>
  </si>
  <si>
    <t xml:space="preserve">(1) Pemrosesan Data Pribadi anak secara khusus.(2) Pemrosesan Data Pribadi anak sebagaimana dimaksud pada ayat (1) wajib mendapat persetujuan dari orang tua anak dan/ atau wali anak sesuai dengan ketentuan peraturan perundang-undangan.</t>
  </si>
  <si>
    <t xml:space="preserve">Pasal 26</t>
  </si>
  <si>
    <t xml:space="preserve">(1) Pemrosesan Data Pribadi penyandang disabilitas diselenggarakan secara khusus.(2) Pemrosesan Data Pribadi penyandang disabilitas sebagaimana dimaksud pada ayat (1) dilakukan melalui komunikasi dengan menggunakan cara tertentu sesuai dengan ketentuan perundang-undangan.(3) Pemrosesan Data Pribadi penyandang disabilitas sebagaimana dimaksud pada ayat (2) wajib mendapat persetujuan dari penyandang disabilitas dan/ atau wali penyandang disabilitas sesuai dengan ketentuan peraturan perundang-undangan.</t>
  </si>
  <si>
    <t xml:space="preserve">Pengendali Data Pribadi wajib melakukan pemrosesan Data Pribadi secara terbatas dan spesifik, sah secara hukum, dan transparan.</t>
  </si>
  <si>
    <t xml:space="preserve">Pasal 28</t>
  </si>
  <si>
    <t xml:space="preserve">Pengendali Data Pribadi wajib melakukan pemrosesan Data Pribadi sesuai dengan tujuan pemrosesan Data Pribadi.</t>
  </si>
  <si>
    <t xml:space="preserve">Pasal 29</t>
  </si>
  <si>
    <t xml:space="preserve">(1) Pengendali Data Pribadi wajib memastikan akurasi, kelengkapan, dan konsistensi Data Pribadi sesuai dengan ketentuan peraturan perundang-undangan.(2) Dalam memastikan akurasi, kelengkapan, dan konsistensi Data Pribadi sebagaimana dimaksud pada ayat (1) Pengendali Data Pribadi wajib melakukan verifikasi.</t>
  </si>
  <si>
    <t xml:space="preserve">Pasal 30</t>
  </si>
  <si>
    <t xml:space="preserve">(1) Pengendali Data Pribadi wajib memperbarui dan/ atau memperbaiki kesalahan dan/atau ketidakakuratan Data Pribadi paling lambat 3 x 24 (tiga kali dua puluh empat) jam terhitung sejak Pengendali Data Pribadi menerima permintaan pembaruan dan/atau perbaikan Data Pribadi.(2) Pengendali Data Pribadi wajib memberitahukan hasil pembaruan dan/atau perbaikan Data Pribadi kepada Subjek Data Pribadi.</t>
  </si>
  <si>
    <t xml:space="preserve">Pasal 31</t>
  </si>
  <si>
    <t xml:space="preserve">Pengendali Data Pribadi wajib melakukan perekaman terhadap seluruh kegiatan pemrosesan Data Pribadi.</t>
  </si>
  <si>
    <t xml:space="preserve">Pasal 32</t>
  </si>
  <si>
    <t xml:space="preserve">(1) Pengendali Data Pribadi wajib memberikan akses kepada Subjek Data Pribadi terhadap Data Pribadi yang diproses beserta rekam jejak pemrosesan Data Pribadi sesuai dengan jangka waktu penyimpanan Data Pribadi.(2) Akses sebagaimana dimaksud pada ayat (1) diberikan paling lambat 3 x 24 (tiga kali dua puluh empat) jam terhitung sejak Pengendali Data Pribadi menerima permintaan akses.</t>
  </si>
  <si>
    <t xml:space="preserve">Pasal 33</t>
  </si>
  <si>
    <t xml:space="preserve">Pengendali Data Pribadi wajib menolak memberikan akses perubahan terhadap Data Pribadi kepada Subjek Data Pribadi dalam hal:a. membahayakan keamanan, kesehatan fisik, atau kesehatan mental Subjek Data Pribadi dan/ atau orang lain; b. berdampak pada pengungkapan Data Pribadi milik orang lain; dan/ atau c. bertentangan dengan kepentingan pertahanan dan keamanan nasional.</t>
  </si>
  <si>
    <t xml:space="preserve">Bagian Kedua
Kewajiban Pengendali Data Pribadi</t>
  </si>
  <si>
    <t xml:space="preserve">Pasal 34</t>
  </si>
  <si>
    <t xml:space="preserve">(1) Pengendali Data Pribadi wajib melakukan penilaian dampak Pelindungan Data Pribadi dalam hal pemrosesan Data Pribadi memiliki potensi risiko tinggi terhadap Subjek Data Pribadi.(2) Pemrosesan Data Pribadi memiliki potensi risiko tinggi sebagaimana dimaksud pada ayat (1) meliputi:a. pengambilan keputusan secara otomatis yang memiliki akibat hukum atau dampak yang signifikan terhadap Subjek Data Pribadi; b. pemrosesan atas Data Pribadi yang bersifat spesifik; c. pemrosesan Data Pribadi dalam skala besar; d. pemrosesan Data Pribadi untuk kegiatan evaluasi, penskoran, atau pemantauan yang sistematis terhadap Subjek Data Pribadi; e. pemrosesan Data Pribadi untuk kegiatan pencocokan atau penggabungan sekelompok data; f. penggunaan teknologi baru dalam pemrosesan Data Pribadi; dan/ atau g. pemrosesan Data Pribadi yang membatasi pelaksanaan hak Subjek Data Pribadi.(3) Ketentuan lebih lanjut mengenai penilaian dampak Pelindungan Data Pribadi diatur dalam Peraturan Pemerintah.</t>
  </si>
  <si>
    <t xml:space="preserve">Pasal 35</t>
  </si>
  <si>
    <t xml:space="preserve">Pengendali Data Pribadi wajib melindungi dan memastikan keamanan Data Pribadi yang diprosesnya, dengan melakukan:a. penyusunan dan penerapan langkah teknis operasional untuk melindungi Data Pribadi dari gangguan pemrosesan Data Pribadi yang bertentangan dengan ketentuan peraturan perundang-undangan; dan b. penentuan tingkat keamanan Data Pribadi dengan memperhatikan sifat dan risiko dari Data Pribadi yang harus dilindungi dalam pemrosesan Data Pribadi.</t>
  </si>
  <si>
    <t xml:space="preserve">Pasal 36</t>
  </si>
  <si>
    <t xml:space="preserve">Dalam melakukan pemrosesan Data Pribadi, Pengendali Data Pribadi wajib menjaga kerahasiaan Data Pribadi.</t>
  </si>
  <si>
    <t xml:space="preserve">Pasal 37</t>
  </si>
  <si>
    <t xml:space="preserve">Pengendali Data Pribadi wajib melakukan pengawasan terhadap setiap pihak yang terlibat dalam pemrosesan Data Pribadi di bawah kendali Pengendali Data Pribadi.</t>
  </si>
  <si>
    <t xml:space="preserve">Pasal 38</t>
  </si>
  <si>
    <t xml:space="preserve">Pengendali Data Pribadi wajib melindungi Data Pribadi dari pemrosesan yang tidak sah.</t>
  </si>
  <si>
    <t xml:space="preserve">Pasal 39</t>
  </si>
  <si>
    <t xml:space="preserve">(1) Pengendali Data Pribadi wajib mencegah Data Pribadi diakses secara tidak sah.(2) Pencegahan sebagaimana dimaksud pada ayat (1) dilakukan dengan sistem keamanan terhadap Data Pribadi yang diproses dan/ atau sistem memproses Data Pribadi elektronik secara andal, aman, dan bertanggung jawab.(3) Pencegahan sebagaimana dimaksud pada ayat (2) dilakukan sesuai dengan ketentuan peraturan perundang-undangan.</t>
  </si>
  <si>
    <t xml:space="preserve">Pasal 40</t>
  </si>
  <si>
    <t xml:space="preserve">(1) Pengendali Data Pribadi wajib menghentikan pemrosesan Data Pribadi dalam hal Subjek Data Pribadi menarik kembali persetujuan pemrosesan Data Pribadi.(2) Penghentian pemrosesan Data Pribadi sebagaimana dimaksud pada ayat (1) dilakukan paling lambat 3 x 24 (tiga kali dua puluh empat) jam terhitung sejak Pengendali Data Pribadi menerima permintaan penarikan kembali persetujuan pemrosesan Data Pribadi.</t>
  </si>
  <si>
    <t xml:space="preserve">Pasal 41</t>
  </si>
  <si>
    <t xml:space="preserve">(1) Pengendali Data Pribadi wajib melakukan penundaan dan pembatasan pemrosesan Data Pribadi baik sebagian maupun seluruhnya paling lambat 3 x 24 (tiga kali dua puluh empat) jam terhitung sejak Pengendali Data Pribadi menerima permintaan penundaan dan pembatasan pemrosesan Data Pribadi.(2) Penundaan dan pembatasan pemrosesan Data Pribadi sebagaimana dimaksud pada ayat (1) dikecualikan dalam hal:a terdapat ketentuan peraturan perundang-undangan yang tidak memungkinkan dilakukan penundaan dan pembatasan pemrosesan Data Pribadi; b. dapat membahayakan keselamatan pihak lain; dan/atau c. Subjek Data Pribadi terikat perjanjian tertulis dengan Pengendali Data Pribadi yang tidak memungkinkan dilakukan dan pembatasan pemrosesan Data Pribadi.(3) Pengendali Data Pribadi wajib memberitahukan telah dilaksanakan penundaan dan pembatasan pemrosesan Data Pribadi kepada Subjek Data Pribadi.</t>
  </si>
  <si>
    <t xml:space="preserve">Pasal 42</t>
  </si>
  <si>
    <t xml:space="preserve">(1) Pengendali Data Pribadi wajib mengakhiri pemrosesan Data Pribadi dalam hal: a. telah mencapai masa retensi; b. tujuan pemrosesan Data Pribadi telah tercapai; atau c. terdapat permintaan dari Subjek Data Pribadi.(2) Pengakhiran pemrosesan Data Pribadi sebagaimana dimaksud pada ayat (1) dilakukan sesuai dengan ketentuan peraturan perundang-undangan.</t>
  </si>
  <si>
    <t xml:space="preserve">Pasal 43</t>
  </si>
  <si>
    <t xml:space="preserve">(1) Pengendali Data Pribadi wajib menghapus Data Pribadi dalam hal:a. Data Pribadi tidak lagi diperlukan untuk pencapaian tujuan pemrosesan Data Pribadi; b. Subjek Data Pribadi telah melakukan penarikan kembali persetujuan pemrosesan Data Pribadi; c. terdapat permintaan dari Subjek Data Pribadi; atau d. Data Pribadi diperoleh dan/ atau diproses dengan cara melawan hukum.(2) Data Pribadi sebagaimana dimaksud pada ayat (1) dilakukan sesuai dengan ketentuan peraturan perundang-undangan.</t>
  </si>
  <si>
    <t xml:space="preserve">Pasal 44</t>
  </si>
  <si>
    <t xml:space="preserve">(1) Pengendali Data Pribadi wajib memusnahkan Data Pribadi dalam hal:a. telah habis masa retensinya dan berketerangan dimusnahkan berdasarkan jadwal retensi arsip;b. terdapat permintaan dari Subjek Data Pribadi; c. tidak berkaitan dengan penyelesaian proses hukum suatu perkara; dan/ atau d. Data Pribadi diperoleh dan/ atau diproses dengan cara melawan hukum. (2) Pemusnahan Data Pribadi sebagaimana dimaksud pada ayat (1) dilakukan sesuai dengan ketentuan peraturan perundang-undangan.</t>
  </si>
  <si>
    <t xml:space="preserve">Pasal 45</t>
  </si>
  <si>
    <t xml:space="preserve">Pengendali Data Pribadi wajib memberitahukan penghapusan dan/atau pemusnahan Data Pribadi kepada Subjek Data Pribadi.</t>
  </si>
  <si>
    <t xml:space="preserve">Pasal 46</t>
  </si>
  <si>
    <t xml:space="preserve">(1) Dalam hal terjadi kegagalan Pelindungan Data Pribadi, Pengendali Data Pribadi wajib pemberitahuan secara tertulis paling lambat 3 x 24 (tiga kali dua puluh empat) jam kepada:a. Subjek Data Pribadi; dan b. lembaga.(2) Pemberitahuan tertulis sebagaimana dimaksud pada ayat (1) minimal memuat:a. Data Pribadi yang terungkap; b. kapan dan bagaimana Data Pribadi terungkap; dan c. upaya penanganan dan pemulihan atas terungkapnya Data Pribadi oleh Pengendali Data Pribadi. (3) Dalam hal tertentu, Pengendali Data Pribadi wajib memberitahukan kepada masyarakat mengenai kegagalan Pelindungan Data Pribadi.</t>
  </si>
  <si>
    <t xml:space="preserve">Pasal 47</t>
  </si>
  <si>
    <t xml:space="preserve">Pengendali Data Pribadi wajib bertanggung jawab atas pemrosesan Data Pribadi dan menunjukkan pertanggungjawaban dalam pemenuhan kewajiban pelaksanaan prinsip Pelindungan Data Pribadi.</t>
  </si>
  <si>
    <t xml:space="preserve">Pasal 48</t>
  </si>
  <si>
    <t xml:space="preserve">(1) Pengendali Data Pribadi berbentuk badan hukum yang melakukan penggabungan, pemisahan, pengambilalihan, peleburan, atau pembubaran badan hukum wajib menyampaikan pemberitahuan pengalihan Data Pribadi kepada Subjek Data Pribadi.(2) Pemberitahuan pengalihan Data Pribadi sebagaimana dimaksud pada ayat (1) dilakukan sebelum dan sesudah penggabungan, pemisahan, pengambilalihan, peleburan, atau pembubaran badan hukum.(3) Dalam hal Pengendali Data Pribadi berbentuk badan hukum melakukan pembubaran atau dibubarkan, penyimpanan, pentransferan, penghapusan, atau pemusnahan Data Pribadi dilaksanakan sesuai dengan ketentuan peraturan perundang-undangan.(4) Penyimpanan, pentransferan, penghapusan, atau pemusnahan Data Pribadi sebagaimana dimaksud pada ayat (3) diberitahukan kepada Subjek Data Pribadi.(5) Ketentuan lebih lanjut mengenai tata cara pemberitahuan sebagaimana dimaksud pada ayat (1), ayat (2), dan ayat (4) diatur dalam Peraturan Pemerintah.</t>
  </si>
  <si>
    <t xml:space="preserve">Pasal 49</t>
  </si>
  <si>
    <t xml:space="preserve">Pengendali Data Pribadi dan/ atau Prosesor Data Pribadi wajib melaksanakan perintah lembaga dalam rangka penyelenggaraan Pelindungan Data Pribadi sesuai dengan Undang-Undang ini.</t>
  </si>
  <si>
    <t xml:space="preserve">Pasal 50</t>
  </si>
  <si>
    <t xml:space="preserve">(1) Kewajiban Pengendali Data Pribadi sebagaimana dimaksud dalam Pasal 30, Pasal 32, Pasal 36, Pasal 42, Pasal 43 ayat (1) huruf a sampai dengan huruf c, Pasal 44 ayat (1) huruf b, Pasal 45, dan Pasal 46 ayat (1) huruf a, dikecualikan untuk:a. kepentingan pertahanan dan keamanan nasional; b. kepentingan proses penegakan hukum; c. kepentingan umum dalam rangka negara; atau d. kepentingan pengawasan sektor jasa keuangan, moneter, sistem pembayaran, dan stabilitas sistem keuangan yang dilakukan dalam rangka penyelenggaraan negara. (2) Pengecualian sebagaimana dimaksud pada ayat (1) dilaksanakan hanya dalam rangka pelaksanaan ketentuan Undang-Undang.</t>
  </si>
  <si>
    <t xml:space="preserve">Bagian Ketiga
Kewajiban Prosesor Data Pribadi</t>
  </si>
  <si>
    <t xml:space="preserve">Pasal 51</t>
  </si>
  <si>
    <r>
      <rPr>
        <sz val="10"/>
        <rFont val="FiraCode Nerd Font"/>
      </rPr>
      <t xml:space="preserve">(1) Dalam hal Pengendali Data Pribadi menunjuk Prosesor Data Pribadi, Prosesor Data Pribadi wajib melakukan pemrosesan Data Pribadi berdasarkan perintah Pengendali Data Pribadi.(2) Pemrosesan Data Pribadi sebagaimana dimaksud pada ayat (1), dilaksanakan sesuai ketentuan yang diatur dalam Undang-Undang ini.(3) Pemrosesan Data Pribadi sebagaimana dimaksud pada ayat (1) termasuk dalam tanggung jawab Pengendali Data Pribadi.(4) Prosesor Data Pribadi dapat melibatkan Prosesor Data Pribadi lain dalam melakukan pemrosesan Data Pribadi.(5) Prosesor Data Pribadi wajib mendapatkan perset</t>
    </r>
    <r>
      <rPr>
        <sz val="10"/>
        <rFont val="Linux Libertine G"/>
      </rPr>
      <t>ُ</t>
    </r>
    <r>
      <rPr>
        <sz val="10"/>
        <rFont val="FiraCode Nerd Font"/>
      </rPr>
      <t xml:space="preserve">ujuan tertulis dari Pengendali Data Pribadi sebelum melibatkan Prosesor Data Pribadi lain sebagaimana dimaksud pada ayat (4).(6) Dalam hal Prosesor Data Pribadi melakukan pemrosesan Data Pribadi di luar perintah dan tujuan yang ditetapkan Pengendali Data Pribadi, pemrosesan Data Pribadi menjadi tanggung jawab Prosesor Data Pribadi.</t>
    </r>
  </si>
  <si>
    <t xml:space="preserve">Pasal 52</t>
  </si>
  <si>
    <t xml:space="preserve">Ketentuan mengenai kewajiban Pengendali Data Pribadi sebagaimana dimaksud dalam Pasal 29, Pasal 31, Pasal 35, Pasal 36, Pasal 37, Pasal 38, dan Pasal 39 berlaku juga terhadap Prosesor Data Pribadi.</t>
  </si>
  <si>
    <t xml:space="preserve">Bagian Keempat
Pejabat atau Petugas yang Melaksanakan Fungsi Pelindungan Data Pribadi</t>
  </si>
  <si>
    <t xml:space="preserve">Pasal 53</t>
  </si>
  <si>
    <t xml:space="preserve">(1) Pengendali Data Pribadi dan Prosesor Data Pribadi wajib menunjuk pejabat atau petugas yang melaksanakan fungsi Pelindungan Data Pribadi dalam hal:a. pemrosesan Data Pribadi untuk kepentingan pelayanan publik;b. kegiatan inti Pengendali Data Pribadi memiliki sifat, ruang lingkup, dan/ atau tujuan yang memerlukan pemantauan secara teratur dan sistematis atas Data Pribadi dengan skala besar; danc. kegiatan inti Pengendali Data Pribadi terdiri dari pemrosesan Data Pribadi dalam skala besar untuk Data Pribadi yang bersifat spesifik dan/ atau Data Pribadi yang berkaitan dengan tindak pidana.(2) Pejabat atau petugas yang melaksanakan fungsi Pelindungan Data Pribadi sebagaimana dimaksud pada ayat (1) ditunjuk berdasarkan profesionalitas, pengetahuan mengenai hukum, praktik Pelindungan Data Pribadi, dan kemampuan untuk memenuhi tugas-tugasnya.(3). Pejabat atau petugas yang melaksanakan fungsi Pelindungan Data Pribadi sebagaimana dimaksud pada ayat (2) dapat berasal dari dalam dan/ atau luar Pengendali Data Pribadi atau Prosesor Data Pribadi.</t>
  </si>
  <si>
    <t xml:space="preserve">BAB VII TRANSFER DATA PRIBADI</t>
  </si>
  <si>
    <t xml:space="preserve">Bagian Kesatu
Transfer Data Pribadi Dalam Wilayah Hukum Negara Republik Indonesia</t>
  </si>
  <si>
    <t xml:space="preserve">Pasal 55</t>
  </si>
  <si>
    <t xml:space="preserve">(1) Pengendali Data Pribadi dapat melakukan transfer Data Pribadi kepada Pengendali Data Pribadi lainnya dalam wilayah hukum Negara Republik Indonesia.(2) Pengendali Data Pribadi yang melakukan transfer Data Pribadi dan yang menerima transfer Data Pribadi wajib melakukan Pelindungan Data Pribadi sebagaimana dimaksud dalam Undang-Undang ini.</t>
  </si>
  <si>
    <t xml:space="preserve">Bagian Kedua</t>
  </si>
  <si>
    <t xml:space="preserve">Pasal 56</t>
  </si>
  <si>
    <t xml:space="preserve">(1) Pengendali Data Pribadi dapat melakukan transfer Data Pribadi kepada Pengendali Data Pribadi dan/atau Prosesor Data Pribadi di luar wilayah hukum Negara Republik Indonesia sesuai dengan ketentuan yang diatur dalam Undang- Undang ini.(2) Dalam melakukan transfer Data Pribadi sebagaimana dimaksud pada ayat (l), Pengendali Data Pribadi wajib memastikan negara tempat kedudukan Pengendali Data Pribadi dan/ atau Prosesor Data Pribadi yang menerima transfer Data Pribadi memiliki tingkat Pelindungan Data Pribadi yang setara atau lebih tinggi dari yang diatur dalam Undang-Undang ini.(3) Dalam hal ketentuan sebagaimana dimaksud pada ayat (2) tidak terpenuhi, Pengendali Data Pribadi wajib memastikan terdapat Pelindungan Data Pribadi yang memadai dan bersifat mengikat.(4) Dalam hal ketentuan sebagaimana dimaksud pada ayat (2) dan ayat (3) tidak terpenuhi, Pengendali Data Pribadi wajib mendapatkan persetujuan Subjek Data Pribadi.(5) Ketentuan lebih lanjut mengenai transfer Data Pribadi diatur dalam Peraturan Pemerintah.</t>
  </si>
  <si>
    <t xml:space="preserve">BAB XIII
LARANGAN DALAM PENGGUNAAN DATA PRIBADI</t>
  </si>
  <si>
    <t xml:space="preserve">Pasal 65</t>
  </si>
  <si>
    <t xml:space="preserve">(1) Setiap Orang dilarang secara melawan hukum memperoleh atau mengumpulkan Data Pribadi yang bukan miliknya dengan maksud untuk menguntungkan diri sendiri atau orang lain yang dapat mengakibatkan kerugian Subjek Data Pribadi.(2) Setiap Orang dilarang secara melawan hukum mengungkapkan Data Pribadi yang bukan miliknya.(3) Setiap Orang dilarang secara melawan hukum menggunakan Data Pribadi yang bukan miliknya.</t>
  </si>
  <si>
    <t xml:space="preserve">Pasal 66</t>
  </si>
  <si>
    <t xml:space="preserve">Setiap Orang dilarang membuat Data Pribadi palsu atau memalsukan Data Pribadi dengan maksud untuk menguntungkan diri sendiri atau orang lain yang dapat mengakibatkan kerugian bagi orang lain.</t>
  </si>
  <si>
    <t xml:space="preserve">Perpres 39 Thn 2019 (Satu Data)</t>
  </si>
  <si>
    <t xml:space="preserve">Dalam Peraturan Presiden ini yang dimaksud dengan:1. Satu Data Indonesia adalah kebijakan tata kelola Data pemerintah untuk menghasilkan Data yang akurat, mutakhir, terpadu, dan dapat dipertanggungjawabkan, serta mudah Instansi diakses Pusat dan dibagipakaikan Instansi Daerah antar melalui pemenuhan Standar Data, Metadata, Interoperabilitas Data, dan menggunakan Kode Referensi dan Data Induk.2. Data adalah catatan atas kumpulan fakta atau deskripsi berupa angka, karakter, simbol, gambar, peta, tanda, isyarat, tulisan, suara, dan/atau bunyi, yang merepresentasikan keadaan sebenarnya atau menunjukkan suatu ide, objek, kondisi, atau situasi.3. Data Statistik adalah Data berupa angka tentang karakteristik atau ciri khusus suatu populasi yang diperoleh dengan cara pengumpulan, pengolahan, penyajian, dan analisis.4. Data Geospasial adalah Data tentang lokasi geografis, dimensi atau ukuran, dan/atau karakteristik objek alam dan/atau buatan manusia yang berada di bawah, pada, atau di atas permukaan bumi.5. Data Keuangan Negara Tingkat Pusat adalah Data yang disusun oleh Pemerintah Pusat berdasarkan sistem akuntansi pemerintah yang mencakup semua hak dan kewajiban negara yang dapat dinilai dengan uang, serta segala sesuatu baik berupa uang maupun berupa barang yang dapat dijadikan milik negara berhubung dengan pelaksanaan hak dan kewajiban tersebut.6. Standar Data adalah standar yang mendasari Data tertentu.7. Metadata adalah informasi dalam bentuk struktur dan format yang baku untuk menggambarkan Data, menjelaskan Data, serta memudahkan pencarian, penggunaan, dan pengelolaan informasi Data.8. Interoperabilitas Data adalah kemampuan Data untuk dibagipakaikan antar sistem elektronik yang saling berinteraksi.9. Kode Referensi adalah tanda berisi karakter yang mengandung atau menggambarkan makna, maksud, atau norma tertentu sebagai rujukan identitas Data yang bersifat unik.10. Data Induk adalah Data yang merepresentasikan objek dalam proses bisnis pemerintah yang ditetapkan sesuai dengan ketentuan dalam Peraturan Presiden ini untuk digunakan bersama.11. Data Prioritas adalah Data terpilih yang berasal dari daftar Data yang akan dikumpulkan pada tahun selanjutnya yang disepakati dalam Forum Satu Data Indonesia.12. Forum Satu Data Indonesia adalah wadah komunikasi dan koordinasi Instansi Pusat dan/atau Instansi Daerah untuk penyelenggaraan Satu Data Indonesia.13. Portal Satu Data Indonesia adalah media bagi-pakai Data di tingkat nasional yang dapat diakses melalui pemanfaatan teknologi informasi dan komunikasi.14. Instansi Pusat adalah kementerian, lembaga pemerintah nonkementerian, kesekretariatan lembaga negara, kesekretariatan lembaga nonstruktural, dan lembaga pemerintah lainnya.15. Pemerintah Daerah adalah kepala daerah sebagai unsur penyelenggara pemerintahan daerah yang memimpin pelaksanaan urusan pemerintahan yang menjadi kewenangan daerah otonom.16. Instansi Daerah adalah perangkat daerah provinsi dan perangkatdaerahkabupaten/kotasekretariatdaerah,sekretariat yang dewan meliputi perwakilan rakyat daerah, dinas daerah, dan lembaga teknis daerah.17. Pembina Data adalah Instansi Pusat yang diberi kewenangan melakukan pembinaan terkait Data atau Instansi Daerah yang diberikan penugasan untuk melakukan pembinaan terkait Data, sebagaimana diatur dalam Peraturan Presiden ini.18. Walidata adalah unit pada Instansi Pusat dan Instansi Daerah yang melaksanakan kegiatan pengumpulan, pemeriksaan, dan pengelolaan Data yang disampaikan oleh Produsen Data, serta menyebarluaskan Data.19. Produsen Data adalah unit pada Instansi Pusat dan Instansi Daerah yang menghasilkan Data berdasarkan kewenangan sesuai dengan ketentuan peraturan perundang-undangan.</t>
  </si>
  <si>
    <t xml:space="preserve">BAB IV
PENYELENGGARAAN SATU DATA INDONESIA</t>
  </si>
  <si>
    <t xml:space="preserve">Bagian Kelima
Penyebarluasan Data</t>
  </si>
  <si>
    <t xml:space="preserve">(1) Instansi Pusat dan Instansi Daerah mengakses Data di Portal Satu Data Indonesia tidak dipungut biaya.(2) Instansi Pusat dan Instansi Daerah dalam mengakses Data di Portal Satu Data Indonesia tidak memerlukan dokumen nota kesepahaman, perjanjian kerja sama, dan/atau dokumen surat pernyataan.</t>
  </si>
  <si>
    <t xml:space="preserve">UU 8 Thn 1999 (Perlindungan Konsumen)</t>
  </si>
  <si>
    <t>-</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</si>
</sst>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10">
    <font>
      <sz val="11.000000"/>
      <color theme="1"/>
      <name val="Calibri"/>
    </font>
    <font>
      <sz val="10.000000"/>
      <name val="Arial"/>
    </font>
    <font>
      <sz val="11.000000"/>
      <color theme="1"/>
      <name val="Arial"/>
    </font>
    <font>
      <b/>
      <sz val="14.000000"/>
      <name val="Arial"/>
    </font>
    <font>
      <i/>
      <sz val="9.000000"/>
      <color rgb="FF595959"/>
      <name val="Arial"/>
    </font>
    <font>
      <b/>
      <sz val="10.000000"/>
      <name val="Arial"/>
    </font>
    <font>
      <sz val="10.000000"/>
      <color indexed="4"/>
      <name val="Arial"/>
    </font>
    <font>
      <b/>
      <sz val="10.000000"/>
      <color indexed="65"/>
      <name val="Arial"/>
    </font>
    <font>
      <sz val="10.000000"/>
      <color theme="1"/>
      <name val="Arial"/>
    </font>
    <font>
      <sz val="10.000000"/>
      <name val="FiraCode Nerd Font"/>
    </font>
  </fonts>
  <fills count="5">
    <fill>
      <patternFill patternType="none"/>
    </fill>
    <fill>
      <patternFill patternType="gray125"/>
    </fill>
    <fill>
      <patternFill patternType="solid">
        <fgColor rgb="FFFFF2CC"/>
        <bgColor rgb="FFFFEB9C"/>
      </patternFill>
    </fill>
    <fill>
      <patternFill patternType="solid">
        <fgColor rgb="FF1F3864"/>
        <bgColor indexed="63"/>
      </patternFill>
    </fill>
    <fill>
      <patternFill patternType="solid">
        <fgColor rgb="FF2F5496"/>
        <bgColor rgb="FF1F3864"/>
      </patternFill>
    </fill>
  </fills>
  <borders count="2">
    <border>
      <left style="none"/>
      <right style="none"/>
      <top style="none"/>
      <bottom style="none"/>
      <diagonal style="none"/>
    </border>
    <border>
      <left style="thin">
        <color rgb="FFBFBFBF"/>
      </left>
      <right style="thin">
        <color rgb="FFBFBFBF"/>
      </right>
      <top style="thin">
        <color rgb="FFBFBFBF"/>
      </top>
      <bottom style="thin">
        <color rgb="FFBFBFBF"/>
      </bottom>
      <diagonal style="none"/>
    </border>
  </borders>
  <cellStyleXfs count="6">
    <xf fontId="0" fillId="0" borderId="0" numFmtId="0" applyNumberFormat="1" applyFont="1" applyFill="1" applyBorder="1" applyProtection="1">
      <protection hidden="0" locked="1"/>
    </xf>
    <xf fontId="1" fillId="0" borderId="0" numFmtId="43" applyNumberFormat="1" applyFont="1" applyFill="1" applyBorder="0" applyProtection="0"/>
    <xf fontId="1" fillId="0" borderId="0" numFmtId="41" applyNumberFormat="1" applyFont="1" applyFill="1" applyBorder="0" applyProtection="0"/>
    <xf fontId="1" fillId="0" borderId="0" numFmtId="44" applyNumberFormat="1" applyFont="1" applyFill="1" applyBorder="0" applyProtection="0"/>
    <xf fontId="1" fillId="0" borderId="0" numFmtId="42" applyNumberFormat="1" applyFont="1" applyFill="1" applyBorder="0" applyProtection="0"/>
    <xf fontId="1" fillId="0" borderId="0" numFmtId="9" applyNumberFormat="1" applyFont="1" applyFill="1" applyBorder="0" applyProtection="0"/>
  </cellStyleXfs>
  <cellXfs count="27">
    <xf fontId="0" fillId="0" borderId="0" numFmtId="0" xfId="0" applyProtection="0">
      <protection hidden="0" locked="1"/>
    </xf>
    <xf fontId="2" fillId="0" borderId="0" numFmtId="0" xfId="0" applyFont="1" applyProtection="1">
      <protection hidden="0" locked="1"/>
    </xf>
    <xf fontId="3" fillId="0" borderId="0" numFmtId="0" xfId="0" applyFont="1" applyProtection="1">
      <protection hidden="0" locked="1"/>
    </xf>
    <xf fontId="4" fillId="0" borderId="0" numFmtId="0" xfId="0" applyFont="1" applyProtection="1">
      <protection hidden="0" locked="1"/>
    </xf>
    <xf fontId="5" fillId="0" borderId="0" numFmtId="0" xfId="0" applyFont="1" applyProtection="1">
      <protection hidden="0" locked="1"/>
    </xf>
    <xf fontId="6" fillId="2" borderId="1" numFmtId="0" xfId="0" applyFont="1" applyFill="1" applyBorder="1" applyAlignment="1" applyProtection="1">
      <alignment horizontal="left" vertical="center" wrapText="1"/>
      <protection hidden="0" locked="1"/>
    </xf>
    <xf fontId="7" fillId="3" borderId="0" numFmtId="0" xfId="0" applyFont="1" applyFill="1" applyProtection="1">
      <protection hidden="0" locked="1"/>
    </xf>
    <xf fontId="2" fillId="3" borderId="0" numFmtId="0" xfId="0" applyFont="1" applyFill="1" applyProtection="1">
      <protection hidden="0" locked="1"/>
    </xf>
    <xf fontId="5" fillId="0" borderId="0" numFmtId="0" xfId="0" applyFont="1" applyAlignment="1" applyProtection="1">
      <alignment vertical="top"/>
      <protection hidden="0" locked="1"/>
    </xf>
    <xf fontId="1" fillId="0" borderId="0" numFmtId="0" xfId="0" applyFont="1" applyAlignment="1" applyProtection="1">
      <alignment vertical="top" wrapText="1"/>
      <protection hidden="0" locked="1"/>
    </xf>
    <xf fontId="5" fillId="2" borderId="0" numFmtId="0" xfId="0" applyFont="1" applyFill="1" applyAlignment="1" applyProtection="1">
      <alignment vertical="top"/>
      <protection hidden="0" locked="1"/>
    </xf>
    <xf fontId="0" fillId="0" borderId="0" numFmtId="0" xfId="0" applyProtection="1">
      <protection hidden="0" locked="1"/>
    </xf>
    <xf fontId="0" fillId="0" borderId="0" numFmtId="0" xfId="0" applyAlignment="1" applyProtection="1">
      <alignment wrapText="1"/>
      <protection hidden="0" locked="1"/>
    </xf>
    <xf fontId="0" fillId="0" borderId="0" numFmtId="0" xfId="0" applyAlignment="1" applyProtection="1">
      <alignment horizontal="center"/>
      <protection hidden="0" locked="1"/>
    </xf>
    <xf fontId="7" fillId="3" borderId="1" numFmtId="0" xfId="0" applyFont="1" applyFill="1" applyBorder="1" applyAlignment="1" applyProtection="1">
      <alignment horizontal="center" vertical="center" wrapText="1"/>
      <protection hidden="0" locked="1"/>
    </xf>
    <xf fontId="7" fillId="4" borderId="1" numFmtId="0" xfId="0" applyFont="1" applyFill="1" applyBorder="1" applyAlignment="1" applyProtection="1">
      <alignment horizontal="center" vertical="center" wrapText="1"/>
      <protection hidden="0" locked="1"/>
    </xf>
    <xf fontId="1" fillId="0" borderId="1" numFmtId="0" xfId="0" applyFont="1" applyBorder="1" applyAlignment="1" applyProtection="1">
      <alignment horizontal="center" vertical="top"/>
      <protection hidden="0" locked="1"/>
    </xf>
    <xf fontId="1" fillId="0" borderId="1" numFmtId="0" xfId="0" applyFont="1" applyBorder="1" applyAlignment="1" applyProtection="1">
      <alignment horizontal="center" vertical="top" wrapText="1"/>
      <protection hidden="0" locked="1"/>
    </xf>
    <xf fontId="1" fillId="0" borderId="1" numFmtId="0" xfId="0" applyFont="1" applyBorder="1" applyAlignment="1" applyProtection="1">
      <alignment vertical="top" wrapText="1"/>
      <protection hidden="0" locked="1"/>
    </xf>
    <xf fontId="6" fillId="2" borderId="1" numFmtId="0" xfId="0" applyFont="1" applyFill="1" applyBorder="1" applyAlignment="1" applyProtection="1">
      <alignment horizontal="center" vertical="top" wrapText="1"/>
      <protection hidden="0" locked="1"/>
    </xf>
    <xf fontId="6" fillId="2" borderId="1" numFmtId="0" xfId="0" applyFont="1" applyFill="1" applyBorder="1" applyAlignment="1" applyProtection="1">
      <alignment vertical="top" wrapText="1"/>
      <protection hidden="0" locked="1"/>
    </xf>
    <xf fontId="8" fillId="0" borderId="0" numFmtId="0" xfId="0" applyFont="1" applyProtection="1">
      <protection hidden="0" locked="1"/>
    </xf>
    <xf fontId="7" fillId="3" borderId="0" numFmtId="0" xfId="0" applyFont="1" applyFill="1" applyAlignment="1" applyProtection="1">
      <alignment horizontal="center"/>
      <protection hidden="0" locked="1"/>
    </xf>
    <xf fontId="1" fillId="0" borderId="1" numFmtId="0" xfId="0" applyFont="1" applyBorder="1" applyProtection="1">
      <protection hidden="0" locked="1"/>
    </xf>
    <xf fontId="5" fillId="0" borderId="1" numFmtId="0" xfId="0" applyFont="1" applyBorder="1" applyProtection="1">
      <protection hidden="0" locked="1"/>
    </xf>
    <xf fontId="5" fillId="2" borderId="1" numFmtId="0" xfId="0" applyFont="1" applyFill="1" applyBorder="1" applyProtection="1">
      <protection hidden="0" locked="1"/>
    </xf>
    <xf fontId="9" fillId="0" borderId="0" numFmtId="0" xfId="0" applyFont="1" applyProtection="1">
      <protection hidden="0" locked="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haredStrings" Target="sharedStrings.xml"/><Relationship  Id="rId7" Type="http://schemas.openxmlformats.org/officeDocument/2006/relationships/styles" Target="styles.xml"/></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gradFill>
        <a:gradFill>
          <a:gsLst>
            <a:gs pos="0">
              <a:schemeClr val="phClr">
                <a:shade val="51000"/>
              </a:schemeClr>
            </a:gs>
            <a:gs pos="80000">
              <a:schemeClr val="phClr">
                <a:shade val="93000"/>
              </a:schemeClr>
            </a:gs>
            <a:gs pos="100000">
              <a:schemeClr val="phClr">
                <a:shade val="94000"/>
              </a:schemeClr>
            </a:gs>
          </a:gsLst>
          <a:lin ang="16200000" scaled="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gradFill>
        <a:gradFill>
          <a:gsLst>
            <a:gs pos="0">
              <a:schemeClr val="phClr">
                <a:tint val="80000"/>
              </a:schemeClr>
            </a:gs>
            <a:gs pos="100000">
              <a:schemeClr val="phClr">
                <a:shade val="30000"/>
              </a:schemeClr>
            </a:gs>
          </a:gsLst>
          <a:path path="circle"/>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filterMode="0">
    <outlinePr applyStyles="0" summaryBelow="1" summaryRight="1" showOutlineSymbols="1"/>
    <pageSetUpPr autoPageBreaks="1" fitToPage="0"/>
  </sheetPr>
  <sheetViews>
    <sheetView showFormulas="0" showGridLines="0" showRowColHeaders="1" showZeros="1" rightToLeft="0" view="normal" topLeftCell="C1" zoomScale="85" workbookViewId="0">
      <selection activeCell="C4" activeCellId="0" sqref="C4"/>
    </sheetView>
  </sheetViews>
  <sheetFormatPr defaultColWidth="8.6796875" defaultRowHeight="14.25"/>
  <cols>
    <col customWidth="1" min="1" max="1" style="1" width="3"/>
    <col customWidth="1" min="2" max="2" style="1" width="30"/>
    <col customWidth="1" min="3" max="3" style="1" width="110"/>
    <col customWidth="0" min="4" max="16384" style="1" width="8.6799999999999997"/>
  </cols>
  <sheetData>
    <row r="1" ht="16.5">
      <c r="A1" s="2" t="s">
        <v>0</v>
      </c>
    </row>
    <row r="2" ht="15">
      <c r="A2" s="3" t="s">
        <v>1</v>
      </c>
    </row>
    <row r="4" ht="15">
      <c r="B4" s="4" t="s">
        <v>2</v>
      </c>
      <c r="C4" s="5" t="s">
        <v>3</v>
      </c>
      <c r="D4" s="3" t="s">
        <v>4</v>
      </c>
    </row>
    <row r="6" ht="15">
      <c r="B6" s="6" t="s">
        <v>5</v>
      </c>
      <c r="C6" s="7"/>
    </row>
    <row r="7" ht="25.5">
      <c r="B7" s="8" t="s">
        <v>6</v>
      </c>
      <c r="C7" s="9" t="s">
        <v>7</v>
      </c>
    </row>
    <row r="8" ht="15">
      <c r="B8" s="8" t="s">
        <v>8</v>
      </c>
      <c r="C8" s="9" t="s">
        <v>9</v>
      </c>
    </row>
    <row r="9" ht="15">
      <c r="B9" s="8" t="s">
        <v>10</v>
      </c>
      <c r="C9" s="9" t="s">
        <v>11</v>
      </c>
    </row>
    <row r="10" ht="25.5">
      <c r="B10" s="8" t="s">
        <v>12</v>
      </c>
      <c r="C10" s="9" t="s">
        <v>13</v>
      </c>
    </row>
    <row r="11" ht="15">
      <c r="B11" s="8" t="s">
        <v>14</v>
      </c>
      <c r="C11" s="9" t="s">
        <v>15</v>
      </c>
    </row>
    <row r="12" ht="15">
      <c r="B12" s="8" t="s">
        <v>16</v>
      </c>
      <c r="C12" s="9" t="s">
        <v>17</v>
      </c>
    </row>
    <row r="13" ht="15">
      <c r="B13" s="6" t="s">
        <v>18</v>
      </c>
      <c r="C13" s="7"/>
    </row>
    <row r="14" ht="25.5">
      <c r="B14" s="10" t="s">
        <v>19</v>
      </c>
      <c r="C14" s="9" t="s">
        <v>20</v>
      </c>
    </row>
    <row r="15" ht="15">
      <c r="B15" s="8" t="s">
        <v>21</v>
      </c>
      <c r="C15" s="9" t="s">
        <v>22</v>
      </c>
    </row>
    <row r="16" ht="15">
      <c r="B16" s="8" t="s">
        <v>23</v>
      </c>
      <c r="C16" s="9" t="s">
        <v>24</v>
      </c>
    </row>
    <row r="18" ht="15">
      <c r="B18" s="6" t="s">
        <v>25</v>
      </c>
      <c r="C18" s="7"/>
    </row>
    <row r="19" ht="15">
      <c r="B19" s="4" t="s">
        <v>26</v>
      </c>
      <c r="C19" s="9" t="s">
        <v>27</v>
      </c>
    </row>
    <row r="20" ht="15">
      <c r="B20" s="4" t="s">
        <v>28</v>
      </c>
      <c r="C20" s="9" t="s">
        <v>29</v>
      </c>
    </row>
    <row r="21" ht="15">
      <c r="B21" s="4" t="s">
        <v>30</v>
      </c>
      <c r="C21" s="9" t="s">
        <v>31</v>
      </c>
    </row>
    <row r="22" ht="15">
      <c r="B22" s="4" t="s">
        <v>32</v>
      </c>
      <c r="C22" s="9" t="s">
        <v>33</v>
      </c>
    </row>
    <row r="23" ht="15">
      <c r="B23" s="4" t="s">
        <v>34</v>
      </c>
      <c r="C23" s="9" t="s">
        <v>35</v>
      </c>
    </row>
    <row r="24" ht="15">
      <c r="B24" s="4" t="s">
        <v>36</v>
      </c>
      <c r="C24" s="9" t="s">
        <v>37</v>
      </c>
    </row>
    <row r="25" ht="15">
      <c r="B25" s="4" t="s">
        <v>38</v>
      </c>
      <c r="C25" s="9" t="s">
        <v>39</v>
      </c>
    </row>
    <row r="26" ht="15">
      <c r="B26" s="4" t="s">
        <v>40</v>
      </c>
      <c r="C26" s="9" t="s">
        <v>41</v>
      </c>
    </row>
    <row r="27" ht="25.5">
      <c r="B27" s="4" t="s">
        <v>42</v>
      </c>
      <c r="C27" s="9" t="s">
        <v>43</v>
      </c>
    </row>
    <row r="28" ht="15">
      <c r="B28" s="4" t="s">
        <v>44</v>
      </c>
      <c r="C28" s="9" t="s">
        <v>45</v>
      </c>
    </row>
    <row r="29" ht="15">
      <c r="B29" s="4" t="s">
        <v>46</v>
      </c>
      <c r="C29" s="9" t="s">
        <v>47</v>
      </c>
    </row>
    <row r="30" ht="15">
      <c r="B30" s="4" t="s">
        <v>48</v>
      </c>
      <c r="C30" s="9" t="s">
        <v>49</v>
      </c>
    </row>
    <row r="32" ht="15">
      <c r="B32" s="6" t="s">
        <v>50</v>
      </c>
      <c r="C32" s="7"/>
    </row>
    <row r="33" ht="15">
      <c r="B33" s="4" t="s">
        <v>51</v>
      </c>
      <c r="C33" s="9" t="s">
        <v>52</v>
      </c>
    </row>
    <row r="34" ht="15">
      <c r="B34" s="4" t="s">
        <v>53</v>
      </c>
      <c r="C34" s="9" t="s">
        <v>54</v>
      </c>
    </row>
  </sheetData>
  <printOptions headings="0" gridLines="0" horizontalCentered="0" verticalCentered="0"/>
  <pageMargins left="0.75" right="0.75" top="1" bottom="1" header="0.51181102362204689" footer="0.51181102362204689"/>
  <pageSetup paperSize="9" scale="100" fitToWidth="1" fitToHeight="1" pageOrder="downThenOver" orientation="portrait" usePrinterDefaults="1" blackAndWhite="0" draft="0" cellComments="none" useFirstPageNumber="0" errors="displayed" horizontalDpi="300" verticalDpi="300" copies="1"/>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filterMode="0">
    <outlinePr applyStyles="0" summaryBelow="1" summaryRight="1" showOutlineSymbols="1"/>
    <pageSetUpPr autoPageBreaks="1" fitToPage="0"/>
  </sheetPr>
  <sheetViews>
    <sheetView showFormulas="0" showGridLines="1" showRowColHeaders="1" showZeros="1" rightToLeft="0" view="normal" topLeftCell="E1" zoomScale="85" workbookViewId="0">
      <pane ySplit="1" topLeftCell="A2" activePane="bottomLeft" state="frozen"/>
      <selection activeCell="I2" activeCellId="0" sqref="I2:I86"/>
    </sheetView>
  </sheetViews>
  <sheetFormatPr defaultColWidth="8.6796875" defaultRowHeight="14.25"/>
  <cols>
    <col customWidth="1" min="1" max="1" style="11" width="10.199999999999999"/>
    <col customWidth="1" min="2" max="2" style="12" width="11.24"/>
    <col customWidth="1" min="3" max="4" style="11" width="17.879999999999999"/>
    <col customWidth="1" min="5" max="5" style="11" width="66.400000000000006"/>
    <col customWidth="1" min="6" max="12" style="12" width="11.75"/>
    <col customWidth="1" min="13" max="14" style="12" width="25.539999999999999"/>
    <col customWidth="1" min="15" max="15" style="11" width="7"/>
    <col customWidth="1" min="16" max="16" style="11" width="16"/>
    <col customWidth="1" min="17" max="17" style="11" width="25.539999999999999"/>
    <col customWidth="1" hidden="1" min="18" max="19" style="11" width="18"/>
  </cols>
  <sheetData>
    <row r="1" s="13" customFormat="1" ht="42" customHeight="1">
      <c r="A1" s="14" t="s">
        <v>26</v>
      </c>
      <c r="B1" s="14" t="s">
        <v>28</v>
      </c>
      <c r="C1" s="14" t="s">
        <v>30</v>
      </c>
      <c r="D1" s="14" t="s">
        <v>55</v>
      </c>
      <c r="E1" s="14" t="s">
        <v>56</v>
      </c>
      <c r="F1" s="15" t="s">
        <v>32</v>
      </c>
      <c r="G1" s="15" t="s">
        <v>34</v>
      </c>
      <c r="H1" s="15" t="s">
        <v>36</v>
      </c>
      <c r="I1" s="15" t="s">
        <v>38</v>
      </c>
      <c r="J1" s="15" t="s">
        <v>40</v>
      </c>
      <c r="K1" s="15" t="s">
        <v>42</v>
      </c>
      <c r="L1" s="15" t="s">
        <v>44</v>
      </c>
      <c r="M1" s="15" t="s">
        <v>46</v>
      </c>
      <c r="N1" s="15" t="s">
        <v>48</v>
      </c>
      <c r="O1" s="14" t="s">
        <v>57</v>
      </c>
      <c r="P1" s="14" t="s">
        <v>58</v>
      </c>
      <c r="Q1" s="14" t="s">
        <v>59</v>
      </c>
      <c r="R1" s="14" t="s">
        <v>60</v>
      </c>
      <c r="S1" s="14" t="s">
        <v>61</v>
      </c>
    </row>
    <row r="2" ht="60" hidden="1" customHeight="1">
      <c r="A2" s="16">
        <v>2</v>
      </c>
      <c r="B2" s="17" t="str">
        <f>IF(Petunjuk!$C$4="","",Petunjuk!$C$4)</f>
        <v>Afriansyah</v>
      </c>
      <c r="C2" s="18" t="str">
        <f>IF(INDEX(Korpus!$A:$A,$A2)="","",INDEX(Korpus!$A:$A,$A2))</f>
        <v>2019MHN201</v>
      </c>
      <c r="D2" s="18" t="str">
        <f>TRIM(INDEX(Korpus!$D:$D,$A2)&amp;" "&amp;INDEX(Korpus!$E:$E,$A2))</f>
        <v xml:space="preserve">Paragraf 3 Kalimat 1</v>
      </c>
      <c r="E2" s="18" t="str">
        <f>IF(INDEX(Korpus!$F:$F,$A2)="","",INDEX(Korpus!$F:$F,$A2))</f>
        <v xml:space="preserve">Melihat banyaknya kasus penyalahgunaan data pribadi, sangat penting untuk memberikan perlindungan data pribadi.</v>
      </c>
      <c r="F2" s="19"/>
      <c r="G2" s="19"/>
      <c r="H2" s="19"/>
      <c r="I2" s="19"/>
      <c r="J2" s="19"/>
      <c r="K2" s="19"/>
      <c r="L2" s="19"/>
      <c r="M2" s="20"/>
      <c r="N2" s="20"/>
      <c r="O2" s="16"/>
      <c r="P2" s="18" t="str">
        <f t="shared" ref="P2:P9" si="0">IF(COUNTA(F2:K2)=6,"Lengkap","Belum lengkap ("&amp;(6-COUNTA(F2:K2))&amp;")")</f>
        <v xml:space="preserve">Belum lengkap (6)</v>
      </c>
      <c r="Q2" s="18" t="str">
        <f t="shared" ref="Q2:Q9" si="1">IF(COUNTA(F2:K2)&lt;6,"",IF(IF(AND(LEFT(G2,2)="R0",LEFT(K2,2)&lt;&gt;"K5"),"R0 harus K5; ","")&amp;IF(AND(LEFT(G2,2)="R1",LEFT(K2,2)="K3"),"R1 tidak boleh K3 (fungsional); ","")&amp;IF(AND(LEFT(G2,2)="R2",LEFT(K2,2)="K5"),"R2 tidak boleh K5; ","")&amp;IF(AND(LEFT(G2,2)="R2",OR(LEFT(F2,2)="S6",LEFT(F2,2)="S7",LEFT(F2,2)="S8")),"R2 tidak boleh S6/S7/S8; ","")&amp;IF(AND(LEFT(G2,2)="R2",OR(LEFT(H2,3)="T02",LEFT(I2,2)="P8")),"T02 atau P8 tidak boleh R2; ","")&amp;IF(AND(LEFT(H2,3)="T01",LEFT(I2,2)&lt;&gt;"P6",N2=""),"T01 biasanya P6; jelaskan di V12; ","")&amp;IF(AND(LEFT(I2,2)="P1",LEFT(K2,2)&lt;&gt;"K4",N2=""),"P1 biasanya K4; jelaskan di V12; ","")="","OK",IF(AND(LEFT(G2,2)="R0",LEFT(K2,2)&lt;&gt;"K5"),"R0 harus K5; ","")&amp;IF(AND(LEFT(G2,2)="R1",LEFT(K2,2)="K3"),"R1 tidak boleh K3 (fungsional); ","")&amp;IF(AND(LEFT(G2,2)="R2",LEFT(K2,2)="K5"),"R2 tidak boleh K5; ","")&amp;IF(AND(LEFT(G2,2)="R2",OR(LEFT(F2,2)="S6",LEFT(F2,2)="S7",LEFT(F2,2)="S8")),"R2 tidak boleh S6/S7/S8; ","")&amp;IF(AND(LEFT(G2,2)="R2",OR(LEFT(H2,3)="T02",LEFT(I2,2)="P8")),"T02 atau P8 tidak boleh R2; ","")&amp;IF(AND(LEFT(H2,3)="T01",LEFT(I2,2)&lt;&gt;"P6",N2=""),"T01 biasanya P6; jelaskan di V12; ","")&amp;IF(AND(LEFT(I2,2)="P1",LEFT(K2,2)&lt;&gt;"K4",N2=""),"P1 biasanya K4; jelaskan di V12; ","")))</f>
        <v/>
      </c>
      <c r="R2" s="18" t="str">
        <f>IF(INDEX(Korpus!$B:$B,$A2)="","",INDEX(Korpus!$B:$B,$A2))</f>
        <v xml:space="preserve">C. Pembahasan</v>
      </c>
      <c r="S2" s="18" t="str">
        <f>IF(INDEX(Korpus!$C:$C,$A2)="","",INDEX(Korpus!$C:$C,$A2))</f>
        <v xml:space="preserve">5. Pentingnya Perlindungan Data Pribadi</v>
      </c>
    </row>
    <row r="3" ht="60" hidden="1" customHeight="1">
      <c r="A3" s="16">
        <v>3</v>
      </c>
      <c r="B3" s="17" t="str">
        <f>IF(Petunjuk!$C$4="","",Petunjuk!$C$4)</f>
        <v>Afriansyah</v>
      </c>
      <c r="C3" s="18" t="str">
        <f>IF(INDEX(Korpus!$A:$A,$A3)="","",INDEX(Korpus!$A:$A,$A3))</f>
        <v>2019MHN201</v>
      </c>
      <c r="D3" s="18" t="str">
        <f>TRIM(INDEX(Korpus!$D:$D,$A3)&amp;" "&amp;INDEX(Korpus!$E:$E,$A3))</f>
        <v xml:space="preserve">Paragraf 3 Kalimat 2</v>
      </c>
      <c r="E3" s="18" t="str">
        <f>IF(INDEX(Korpus!$F:$F,$A3)="","",INDEX(Korpus!$F:$F,$A3))</f>
        <v xml:space="preserve">Pentingnya memberikan perlindungan data pribadi mulai menguat seiring dengan meningkatnya jumlah pengguna telepon seluler dan internet.</v>
      </c>
      <c r="F3" s="19"/>
      <c r="G3" s="19"/>
      <c r="H3" s="19"/>
      <c r="I3" s="19"/>
      <c r="J3" s="19"/>
      <c r="K3" s="19"/>
      <c r="L3" s="19"/>
      <c r="M3" s="20"/>
      <c r="N3" s="20"/>
      <c r="O3" s="16"/>
      <c r="P3" s="18" t="str">
        <f t="shared" si="0"/>
        <v xml:space="preserve">Belum lengkap (6)</v>
      </c>
      <c r="Q3" s="18" t="str">
        <f t="shared" si="1"/>
        <v/>
      </c>
      <c r="R3" s="18" t="str">
        <f>IF(INDEX(Korpus!$B:$B,$A3)="","",INDEX(Korpus!$B:$B,$A3))</f>
        <v xml:space="preserve">C. Pembahasan</v>
      </c>
      <c r="S3" s="18" t="str">
        <f>IF(INDEX(Korpus!$C:$C,$A3)="","",INDEX(Korpus!$C:$C,$A3))</f>
        <v xml:space="preserve">5. Pentingnya Perlindungan Data Pribadi</v>
      </c>
    </row>
    <row r="4" ht="60" hidden="1" customHeight="1">
      <c r="A4" s="16">
        <v>4</v>
      </c>
      <c r="B4" s="17" t="str">
        <f>IF(Petunjuk!$C$4="","",Petunjuk!$C$4)</f>
        <v>Afriansyah</v>
      </c>
      <c r="C4" s="18" t="str">
        <f>IF(INDEX(Korpus!$A:$A,$A4)="","",INDEX(Korpus!$A:$A,$A4))</f>
        <v>2019MHN201</v>
      </c>
      <c r="D4" s="18" t="str">
        <f>TRIM(INDEX(Korpus!$D:$D,$A4)&amp;" "&amp;INDEX(Korpus!$E:$E,$A4))</f>
        <v xml:space="preserve">Paragraf 3 Kalimat 3</v>
      </c>
      <c r="E4" s="18" t="str">
        <f>IF(INDEX(Korpus!$F:$F,$A4)="","",INDEX(Korpus!$F:$F,$A4))</f>
        <v xml:space="preserve">Sejumlah kasus yang mencuat, terutama yang memiliki keterkaitan dengan kebocoran data pribadi seseorang dan bermuara kepada aksi penipuan atau tindak kriminal pornografi, menguatkan wacana pentingnya pembuatan aturan hukum untuk melindungi data pribadi.</v>
      </c>
      <c r="F4" s="19"/>
      <c r="G4" s="19"/>
      <c r="H4" s="19"/>
      <c r="I4" s="19"/>
      <c r="J4" s="19"/>
      <c r="K4" s="19"/>
      <c r="L4" s="19"/>
      <c r="M4" s="20"/>
      <c r="N4" s="20"/>
      <c r="O4" s="16"/>
      <c r="P4" s="18" t="str">
        <f t="shared" si="0"/>
        <v xml:space="preserve">Belum lengkap (6)</v>
      </c>
      <c r="Q4" s="18" t="str">
        <f t="shared" si="1"/>
        <v/>
      </c>
      <c r="R4" s="18" t="str">
        <f>IF(INDEX(Korpus!$B:$B,$A4)="","",INDEX(Korpus!$B:$B,$A4))</f>
        <v xml:space="preserve">C. Pembahasan</v>
      </c>
      <c r="S4" s="18" t="str">
        <f>IF(INDEX(Korpus!$C:$C,$A4)="","",INDEX(Korpus!$C:$C,$A4))</f>
        <v xml:space="preserve">5. Pentingnya Perlindungan Data Pribadi</v>
      </c>
    </row>
    <row r="5" ht="60" hidden="1" customHeight="1">
      <c r="A5" s="16">
        <v>5</v>
      </c>
      <c r="B5" s="17" t="str">
        <f>IF(Petunjuk!$C$4="","",Petunjuk!$C$4)</f>
        <v>Afriansyah</v>
      </c>
      <c r="C5" s="18" t="str">
        <f>IF(INDEX(Korpus!$A:$A,$A5)="","",INDEX(Korpus!$A:$A,$A5))</f>
        <v>2019MHN201</v>
      </c>
      <c r="D5" s="18" t="str">
        <f>TRIM(INDEX(Korpus!$D:$D,$A5)&amp;" "&amp;INDEX(Korpus!$E:$E,$A5))</f>
        <v xml:space="preserve">Paragraf 3 Kalimat 4</v>
      </c>
      <c r="E5" s="18" t="str">
        <f>IF(INDEX(Korpus!$F:$F,$A5)="","",INDEX(Korpus!$F:$F,$A5))</f>
        <v xml:space="preserve">Perlindungan data pribadi berhubungan dengan konsep privasi.</v>
      </c>
      <c r="F5" s="19"/>
      <c r="G5" s="19"/>
      <c r="H5" s="19"/>
      <c r="I5" s="19"/>
      <c r="J5" s="19"/>
      <c r="K5" s="19"/>
      <c r="L5" s="19"/>
      <c r="M5" s="20"/>
      <c r="N5" s="20"/>
      <c r="O5" s="16"/>
      <c r="P5" s="18" t="str">
        <f t="shared" si="0"/>
        <v xml:space="preserve">Belum lengkap (6)</v>
      </c>
      <c r="Q5" s="18" t="str">
        <f t="shared" si="1"/>
        <v/>
      </c>
      <c r="R5" s="18" t="str">
        <f>IF(INDEX(Korpus!$B:$B,$A5)="","",INDEX(Korpus!$B:$B,$A5))</f>
        <v xml:space="preserve">C. Pembahasan</v>
      </c>
      <c r="S5" s="18" t="str">
        <f>IF(INDEX(Korpus!$C:$C,$A5)="","",INDEX(Korpus!$C:$C,$A5))</f>
        <v xml:space="preserve">5. Pentingnya Perlindungan Data Pribadi</v>
      </c>
    </row>
    <row r="6" ht="60" hidden="1" customHeight="1">
      <c r="A6" s="16">
        <v>6</v>
      </c>
      <c r="B6" s="17" t="str">
        <f>IF(Petunjuk!$C$4="","",Petunjuk!$C$4)</f>
        <v>Afriansyah</v>
      </c>
      <c r="C6" s="18" t="str">
        <f>IF(INDEX(Korpus!$A:$A,$A6)="","",INDEX(Korpus!$A:$A,$A6))</f>
        <v>2019MHN201</v>
      </c>
      <c r="D6" s="18" t="str">
        <f>TRIM(INDEX(Korpus!$D:$D,$A6)&amp;" "&amp;INDEX(Korpus!$E:$E,$A6))</f>
        <v xml:space="preserve">Paragraf 3 Kalimat 5</v>
      </c>
      <c r="E6" s="18" t="str">
        <f>IF(INDEX(Korpus!$F:$F,$A6)="","",INDEX(Korpus!$F:$F,$A6))</f>
        <v xml:space="preserve">Konsep privasi sendiri adalah gagasan untuk menjaga integritas dan martabat pribadi.</v>
      </c>
      <c r="F6" s="19"/>
      <c r="G6" s="19"/>
      <c r="H6" s="19"/>
      <c r="I6" s="19"/>
      <c r="J6" s="19"/>
      <c r="K6" s="19"/>
      <c r="L6" s="19"/>
      <c r="M6" s="20"/>
      <c r="N6" s="20"/>
      <c r="O6" s="16"/>
      <c r="P6" s="18" t="str">
        <f t="shared" si="0"/>
        <v xml:space="preserve">Belum lengkap (6)</v>
      </c>
      <c r="Q6" s="18" t="str">
        <f t="shared" si="1"/>
        <v/>
      </c>
      <c r="R6" s="18" t="str">
        <f>IF(INDEX(Korpus!$B:$B,$A6)="","",INDEX(Korpus!$B:$B,$A6))</f>
        <v xml:space="preserve">C. Pembahasan</v>
      </c>
      <c r="S6" s="18" t="str">
        <f>IF(INDEX(Korpus!$C:$C,$A6)="","",INDEX(Korpus!$C:$C,$A6))</f>
        <v xml:space="preserve">5. Pentingnya Perlindungan Data Pribadi</v>
      </c>
    </row>
    <row r="7" ht="60" hidden="1" customHeight="1">
      <c r="A7" s="16">
        <v>7</v>
      </c>
      <c r="B7" s="17" t="str">
        <f>IF(Petunjuk!$C$4="","",Petunjuk!$C$4)</f>
        <v>Afriansyah</v>
      </c>
      <c r="C7" s="18" t="str">
        <f>IF(INDEX(Korpus!$A:$A,$A7)="","",INDEX(Korpus!$A:$A,$A7))</f>
        <v>2019MHN201</v>
      </c>
      <c r="D7" s="18" t="str">
        <f>TRIM(INDEX(Korpus!$D:$D,$A7)&amp;" "&amp;INDEX(Korpus!$E:$E,$A7))</f>
        <v xml:space="preserve">Paragraf 3 Kalimat 6</v>
      </c>
      <c r="E7" s="18" t="str">
        <f>IF(INDEX(Korpus!$F:$F,$A7)="","",INDEX(Korpus!$F:$F,$A7))</f>
        <v xml:space="preserve">Hak privasi juga merupakan kemampuan individu untuk menentukan siapa yang memegang informasi tentang mereka dan bagaimana informasi tersebut digunakan.</v>
      </c>
      <c r="F7" s="19"/>
      <c r="G7" s="19"/>
      <c r="H7" s="19"/>
      <c r="I7" s="19"/>
      <c r="J7" s="19"/>
      <c r="K7" s="19"/>
      <c r="L7" s="19"/>
      <c r="M7" s="20"/>
      <c r="N7" s="20"/>
      <c r="O7" s="16"/>
      <c r="P7" s="18" t="str">
        <f t="shared" si="0"/>
        <v xml:space="preserve">Belum lengkap (6)</v>
      </c>
      <c r="Q7" s="18" t="str">
        <f t="shared" si="1"/>
        <v/>
      </c>
      <c r="R7" s="18" t="str">
        <f>IF(INDEX(Korpus!$B:$B,$A7)="","",INDEX(Korpus!$B:$B,$A7))</f>
        <v xml:space="preserve">C. Pembahasan</v>
      </c>
      <c r="S7" s="18" t="str">
        <f>IF(INDEX(Korpus!$C:$C,$A7)="","",INDEX(Korpus!$C:$C,$A7))</f>
        <v xml:space="preserve">5. Pentingnya Perlindungan Data Pribadi</v>
      </c>
    </row>
    <row r="8" ht="60" hidden="1" customHeight="1">
      <c r="A8" s="16">
        <v>8</v>
      </c>
      <c r="B8" s="17" t="str">
        <f>IF(Petunjuk!$C$4="","",Petunjuk!$C$4)</f>
        <v>Afriansyah</v>
      </c>
      <c r="C8" s="18" t="str">
        <f>IF(INDEX(Korpus!$A:$A,$A8)="","",INDEX(Korpus!$A:$A,$A8))</f>
        <v>2019MHN201</v>
      </c>
      <c r="D8" s="18" t="str">
        <f>TRIM(INDEX(Korpus!$D:$D,$A8)&amp;" "&amp;INDEX(Korpus!$E:$E,$A8))</f>
        <v xml:space="preserve">Paragraf 4 Kalimat 1</v>
      </c>
      <c r="E8" s="18" t="str">
        <f>IF(INDEX(Korpus!$F:$F,$A8)="","",INDEX(Korpus!$F:$F,$A8))</f>
        <v xml:space="preserve">Konsep perlindungan data mengisyaratkan bahwa individu memiliki hak untuk menentukan apakah mereka akan membagi atau bertukar data pribadi mereka atau tidak.</v>
      </c>
      <c r="F8" s="19"/>
      <c r="G8" s="19"/>
      <c r="H8" s="19"/>
      <c r="I8" s="19"/>
      <c r="J8" s="19"/>
      <c r="K8" s="19"/>
      <c r="L8" s="19"/>
      <c r="M8" s="20"/>
      <c r="N8" s="20"/>
      <c r="O8" s="16"/>
      <c r="P8" s="18" t="str">
        <f t="shared" si="0"/>
        <v xml:space="preserve">Belum lengkap (6)</v>
      </c>
      <c r="Q8" s="18" t="str">
        <f t="shared" si="1"/>
        <v/>
      </c>
      <c r="R8" s="18" t="str">
        <f>IF(INDEX(Korpus!$B:$B,$A8)="","",INDEX(Korpus!$B:$B,$A8))</f>
        <v xml:space="preserve">C. Pembahasan</v>
      </c>
      <c r="S8" s="18" t="str">
        <f>IF(INDEX(Korpus!$C:$C,$A8)="","",INDEX(Korpus!$C:$C,$A8))</f>
        <v xml:space="preserve">5. Pentingnya Perlindungan Data Pribadi</v>
      </c>
    </row>
    <row r="9" ht="60" hidden="1" customHeight="1">
      <c r="A9" s="16">
        <v>9</v>
      </c>
      <c r="B9" s="17" t="str">
        <f>IF(Petunjuk!$C$4="","",Petunjuk!$C$4)</f>
        <v>Afriansyah</v>
      </c>
      <c r="C9" s="18" t="str">
        <f>IF(INDEX(Korpus!$A:$A,$A9)="","",INDEX(Korpus!$A:$A,$A9))</f>
        <v>2019MHN201</v>
      </c>
      <c r="D9" s="18" t="str">
        <f>TRIM(INDEX(Korpus!$D:$D,$A9)&amp;" "&amp;INDEX(Korpus!$E:$E,$A9))</f>
        <v xml:space="preserve">Paragraf 4 Kalimat 2</v>
      </c>
      <c r="E9" s="18" t="str">
        <f>IF(INDEX(Korpus!$F:$F,$A9)="","",INDEX(Korpus!$F:$F,$A9))</f>
        <v xml:space="preserve">Selain itu, individu juga memiliki hak untuk menentukan syarat-syarat pelaksanaan pemindahan data pribadi tersebut.</v>
      </c>
      <c r="F9" s="19"/>
      <c r="G9" s="19"/>
      <c r="H9" s="19"/>
      <c r="I9" s="19"/>
      <c r="J9" s="19"/>
      <c r="K9" s="19"/>
      <c r="L9" s="19"/>
      <c r="M9" s="20"/>
      <c r="N9" s="20"/>
      <c r="O9" s="16"/>
      <c r="P9" s="18" t="str">
        <f t="shared" si="0"/>
        <v xml:space="preserve">Belum lengkap (6)</v>
      </c>
      <c r="Q9" s="18" t="str">
        <f t="shared" si="1"/>
        <v/>
      </c>
      <c r="R9" s="18" t="str">
        <f>IF(INDEX(Korpus!$B:$B,$A9)="","",INDEX(Korpus!$B:$B,$A9))</f>
        <v xml:space="preserve">C. Pembahasan</v>
      </c>
      <c r="S9" s="18" t="str">
        <f>IF(INDEX(Korpus!$C:$C,$A9)="","",INDEX(Korpus!$C:$C,$A9))</f>
        <v xml:space="preserve">5. Pentingnya Perlindungan Data Pribadi</v>
      </c>
    </row>
    <row r="10" ht="60" hidden="1" customHeight="1">
      <c r="A10" s="16">
        <v>10</v>
      </c>
      <c r="B10" s="17" t="str">
        <f>IF(Petunjuk!$C$4="","",Petunjuk!$C$4)</f>
        <v>Afriansyah</v>
      </c>
      <c r="C10" s="18" t="str">
        <f>IF(INDEX(Korpus!$A:$A,$A10)="","",INDEX(Korpus!$A:$A,$A10))</f>
        <v>2019MHN201</v>
      </c>
      <c r="D10" s="18" t="str">
        <f>TRIM(INDEX(Korpus!$D:$D,$A10)&amp;" "&amp;INDEX(Korpus!$E:$E,$A10))</f>
        <v xml:space="preserve">Paragraf 4 Kalimat 3</v>
      </c>
      <c r="E10" s="18" t="str">
        <f>IF(INDEX(Korpus!$F:$F,$A10)="","",INDEX(Korpus!$F:$F,$A10))</f>
        <v xml:space="preserve">Lebih jauh, perlindungan privasi.</v>
      </c>
      <c r="F10" s="19"/>
      <c r="G10" s="19"/>
      <c r="H10" s="19"/>
      <c r="I10" s="19"/>
      <c r="J10" s="19"/>
      <c r="K10" s="19"/>
      <c r="L10" s="19"/>
      <c r="M10" s="20"/>
      <c r="N10" s="20"/>
      <c r="O10" s="16"/>
      <c r="P10" s="18" t="str">
        <f t="shared" ref="P10:P73" si="2">IF(COUNTA(F10:K10)=6,"Lengkap","Belum lengkap ("&amp;(6-COUNTA(F10:K10))&amp;")")</f>
        <v xml:space="preserve">Belum lengkap (6)</v>
      </c>
      <c r="Q10" s="18" t="str">
        <f t="shared" ref="Q10:Q73" si="3">IF(COUNTA(F10:K10)&lt;6,"",IF(IF(AND(LEFT(G10,2)="R0",LEFT(K10,2)&lt;&gt;"K5"),"R0 harus K5; ","")&amp;IF(AND(LEFT(G10,2)="R1",LEFT(K10,2)="K3"),"R1 tidak boleh K3 (fungsional); ","")&amp;IF(AND(LEFT(G10,2)="R2",LEFT(K10,2)="K5"),"R2 tidak boleh K5; ","")&amp;IF(AND(LEFT(G10,2)="R2",OR(LEFT(F10,2)="S6",LEFT(F10,2)="S7",LEFT(F10,2)="S8")),"R2 tidak boleh S6/S7/S8; ","")&amp;IF(AND(LEFT(G10,2)="R2",OR(LEFT(H10,3)="T02",LEFT(I10,2)="P8")),"T02 atau P8 tidak boleh R2; ","")&amp;IF(AND(LEFT(H10,3)="T01",LEFT(I10,2)&lt;&gt;"P6",N10=""),"T01 biasanya P6; jelaskan di V12; ","")&amp;IF(AND(LEFT(I10,2)="P1",LEFT(K10,2)&lt;&gt;"K4",N10=""),"P1 biasanya K4; jelaskan di V12; ","")="","OK",IF(AND(LEFT(G10,2)="R0",LEFT(K10,2)&lt;&gt;"K5"),"R0 harus K5; ","")&amp;IF(AND(LEFT(G10,2)="R1",LEFT(K10,2)="K3"),"R1 tidak boleh K3 (fungsional); ","")&amp;IF(AND(LEFT(G10,2)="R2",LEFT(K10,2)="K5"),"R2 tidak boleh K5; ","")&amp;IF(AND(LEFT(G10,2)="R2",OR(LEFT(F10,2)="S6",LEFT(F10,2)="S7",LEFT(F10,2)="S8")),"R2 tidak boleh S6/S7/S8; ","")&amp;IF(AND(LEFT(G10,2)="R2",OR(LEFT(H10,3)="T02",LEFT(I10,2)="P8")),"T02 atau P8 tidak boleh R2; ","")&amp;IF(AND(LEFT(H10,3)="T01",LEFT(I10,2)&lt;&gt;"P6",N10=""),"T01 biasanya P6; jelaskan di V12; ","")&amp;IF(AND(LEFT(I10,2)="P1",LEFT(K10,2)&lt;&gt;"K4",N10=""),"P1 biasanya K4; jelaskan di V12; ","")))</f>
        <v/>
      </c>
      <c r="R10" s="18" t="str">
        <f>IF(INDEX(Korpus!$B:$B,$A10)="","",INDEX(Korpus!$B:$B,$A10))</f>
        <v xml:space="preserve">C. Pembahasan</v>
      </c>
      <c r="S10" s="18" t="str">
        <f>IF(INDEX(Korpus!$C:$C,$A10)="","",INDEX(Korpus!$C:$C,$A10))</f>
        <v xml:space="preserve">5. Pentingnya Perlindungan Data Pribadi</v>
      </c>
    </row>
    <row r="11" ht="60" hidden="1" customHeight="1">
      <c r="A11" s="16">
        <v>11</v>
      </c>
      <c r="B11" s="17" t="str">
        <f>IF(Petunjuk!$C$4="","",Petunjuk!$C$4)</f>
        <v>Afriansyah</v>
      </c>
      <c r="C11" s="18" t="str">
        <f>IF(INDEX(Korpus!$A:$A,$A11)="","",INDEX(Korpus!$A:$A,$A11))</f>
        <v>2019MHN201</v>
      </c>
      <c r="D11" s="18" t="str">
        <f>TRIM(INDEX(Korpus!$D:$D,$A11)&amp;" "&amp;INDEX(Korpus!$E:$E,$A11))</f>
        <v xml:space="preserve">Paragraf 4 Kalimat 4</v>
      </c>
      <c r="E11" s="18" t="str">
        <f>IF(INDEX(Korpus!$F:$F,$A11)="","",INDEX(Korpus!$F:$F,$A11))</f>
        <v xml:space="preserve">Hak privasi telah berkembang sehingga dapat digunakan untuk merumuskan hak untuk melindungi data pribadi.</v>
      </c>
      <c r="F11" s="19"/>
      <c r="G11" s="19"/>
      <c r="H11" s="19"/>
      <c r="I11" s="19"/>
      <c r="J11" s="19"/>
      <c r="K11" s="19"/>
      <c r="L11" s="19"/>
      <c r="M11" s="20"/>
      <c r="N11" s="20"/>
      <c r="O11" s="16"/>
      <c r="P11" s="18" t="str">
        <f t="shared" si="2"/>
        <v xml:space="preserve">Belum lengkap (6)</v>
      </c>
      <c r="Q11" s="18" t="str">
        <f t="shared" si="3"/>
        <v/>
      </c>
      <c r="R11" s="18" t="str">
        <f>IF(INDEX(Korpus!$B:$B,$A11)="","",INDEX(Korpus!$B:$B,$A11))</f>
        <v xml:space="preserve">C. Pembahasan</v>
      </c>
      <c r="S11" s="18" t="str">
        <f>IF(INDEX(Korpus!$C:$C,$A11)="","",INDEX(Korpus!$C:$C,$A11))</f>
        <v xml:space="preserve">5. Pentingnya Perlindungan Data Pribadi</v>
      </c>
    </row>
    <row r="12" ht="60" hidden="1" customHeight="1">
      <c r="A12" s="16">
        <v>12</v>
      </c>
      <c r="B12" s="17" t="str">
        <f>IF(Petunjuk!$C$4="","",Petunjuk!$C$4)</f>
        <v>Afriansyah</v>
      </c>
      <c r="C12" s="18" t="str">
        <f>IF(INDEX(Korpus!$A:$A,$A12)="","",INDEX(Korpus!$A:$A,$A12))</f>
        <v>2019MHN201</v>
      </c>
      <c r="D12" s="18" t="str">
        <f>TRIM(INDEX(Korpus!$D:$D,$A12)&amp;" "&amp;INDEX(Korpus!$E:$E,$A12))</f>
        <v xml:space="preserve">Paragraf 5 Kalimat 1</v>
      </c>
      <c r="E12" s="18" t="str">
        <f>IF(INDEX(Korpus!$F:$F,$A12)="","",INDEX(Korpus!$F:$F,$A12))</f>
        <v xml:space="preserve">Perlindungan data pribadi telah diatur di dalam UUD NKRI Tahun 1945.</v>
      </c>
      <c r="F12" s="19"/>
      <c r="G12" s="19"/>
      <c r="H12" s="19"/>
      <c r="I12" s="19"/>
      <c r="J12" s="19"/>
      <c r="K12" s="19"/>
      <c r="L12" s="19"/>
      <c r="M12" s="20"/>
      <c r="N12" s="20"/>
      <c r="O12" s="16"/>
      <c r="P12" s="18" t="str">
        <f t="shared" si="2"/>
        <v xml:space="preserve">Belum lengkap (6)</v>
      </c>
      <c r="Q12" s="18" t="str">
        <f t="shared" si="3"/>
        <v/>
      </c>
      <c r="R12" s="18" t="str">
        <f>IF(INDEX(Korpus!$B:$B,$A12)="","",INDEX(Korpus!$B:$B,$A12))</f>
        <v xml:space="preserve">C. Pembahasan</v>
      </c>
      <c r="S12" s="18" t="str">
        <f>IF(INDEX(Korpus!$C:$C,$A12)="","",INDEX(Korpus!$C:$C,$A12))</f>
        <v xml:space="preserve">5. Pentingnya Perlindungan Data Pribadi</v>
      </c>
    </row>
    <row r="13" ht="60" customHeight="1">
      <c r="A13" s="16">
        <v>13</v>
      </c>
      <c r="B13" s="17" t="str">
        <f>IF(Petunjuk!$C$4="","",Petunjuk!$C$4)</f>
        <v>Afriansyah</v>
      </c>
      <c r="C13" s="18" t="str">
        <f>IF(INDEX(Korpus!$A:$A,$A13)="","",INDEX(Korpus!$A:$A,$A13))</f>
        <v>2019MHN201</v>
      </c>
      <c r="D13" s="18" t="str">
        <f>TRIM(INDEX(Korpus!$D:$D,$A13)&amp;" "&amp;INDEX(Korpus!$E:$E,$A13))</f>
        <v xml:space="preserve">Paragraf 5 Kalimat 2</v>
      </c>
      <c r="E13" s="18" t="str">
        <f>IF(INDEX(Korpus!$F:$F,$A13)="","",INDEX(Korpus!$F:$F,$A13))</f>
        <v xml:space="preserve">Dalam Pasal 28 G ayat (1) disebutkan bahwa “Setiap orang berhak atas perlindungan diri pribadi, data juga berhubungan dengan konsep hak keluarga, kehormatan, martabat, dan harta benda yang di bawah kekuasaannya, serta berhak atas rasa aman dan perlindungan dari ancaman ketakutan untuk berbuat atau tidak berbuat sesuatu yang merupakan hak asasi.”</v>
      </c>
      <c r="F13" s="19" t="s">
        <v>62</v>
      </c>
      <c r="G13" s="19"/>
      <c r="H13" s="19" t="s">
        <v>63</v>
      </c>
      <c r="I13" s="19" t="s">
        <v>64</v>
      </c>
      <c r="J13" s="19" t="s">
        <v>65</v>
      </c>
      <c r="K13" s="19"/>
      <c r="L13" s="19"/>
      <c r="M13" s="20"/>
      <c r="N13" s="20"/>
      <c r="O13" s="16" t="s">
        <v>66</v>
      </c>
      <c r="P13" s="18" t="str">
        <f t="shared" si="2"/>
        <v xml:space="preserve">Belum lengkap (2)</v>
      </c>
      <c r="Q13" s="18" t="str">
        <f t="shared" si="3"/>
        <v/>
      </c>
      <c r="R13" s="18" t="str">
        <f>IF(INDEX(Korpus!$B:$B,$A13)="","",INDEX(Korpus!$B:$B,$A13))</f>
        <v xml:space="preserve">C. Pembahasan</v>
      </c>
      <c r="S13" s="18" t="str">
        <f>IF(INDEX(Korpus!$C:$C,$A13)="","",INDEX(Korpus!$C:$C,$A13))</f>
        <v xml:space="preserve">5. Pentingnya Perlindungan Data Pribadi</v>
      </c>
    </row>
    <row r="14" ht="60" hidden="1" customHeight="1">
      <c r="A14" s="16">
        <v>14</v>
      </c>
      <c r="B14" s="17" t="str">
        <f>IF(Petunjuk!$C$4="","",Petunjuk!$C$4)</f>
        <v>Afriansyah</v>
      </c>
      <c r="C14" s="18" t="str">
        <f>IF(INDEX(Korpus!$A:$A,$A14)="","",INDEX(Korpus!$A:$A,$A14))</f>
        <v>2019MHN201</v>
      </c>
      <c r="D14" s="18" t="str">
        <f>TRIM(INDEX(Korpus!$D:$D,$A14)&amp;" "&amp;INDEX(Korpus!$E:$E,$A14))</f>
        <v xml:space="preserve">Paragraf 6 Kalimat 1</v>
      </c>
      <c r="E14" s="18" t="str">
        <f>IF(INDEX(Korpus!$F:$F,$A14)="","",INDEX(Korpus!$F:$F,$A14))</f>
        <v xml:space="preserve">Selain itu beberapa peraturan nasional secara umum telah mengatur untuk memberikan perlindungan data pribadi antara lain:</v>
      </c>
      <c r="F14" s="19"/>
      <c r="G14" s="19"/>
      <c r="H14" s="19"/>
      <c r="I14" s="19"/>
      <c r="J14" s="19"/>
      <c r="K14" s="19"/>
      <c r="L14" s="19"/>
      <c r="M14" s="20"/>
      <c r="N14" s="20"/>
      <c r="O14" s="16"/>
      <c r="P14" s="18" t="str">
        <f t="shared" si="2"/>
        <v xml:space="preserve">Belum lengkap (6)</v>
      </c>
      <c r="Q14" s="18" t="str">
        <f t="shared" si="3"/>
        <v/>
      </c>
      <c r="R14" s="18" t="str">
        <f>IF(INDEX(Korpus!$B:$B,$A14)="","",INDEX(Korpus!$B:$B,$A14))</f>
        <v xml:space="preserve">C. Pembahasan</v>
      </c>
      <c r="S14" s="18" t="str">
        <f>IF(INDEX(Korpus!$C:$C,$A14)="","",INDEX(Korpus!$C:$C,$A14))</f>
        <v xml:space="preserve">5. Pentingnya Perlindungan Data Pribadi</v>
      </c>
    </row>
    <row r="15" ht="60" hidden="1" customHeight="1">
      <c r="A15" s="16">
        <v>15</v>
      </c>
      <c r="B15" s="17" t="str">
        <f>IF(Petunjuk!$C$4="","",Petunjuk!$C$4)</f>
        <v>Afriansyah</v>
      </c>
      <c r="C15" s="18" t="str">
        <f>IF(INDEX(Korpus!$A:$A,$A15)="","",INDEX(Korpus!$A:$A,$A15))</f>
        <v>2019MHN201</v>
      </c>
      <c r="D15" s="18" t="str">
        <f>TRIM(INDEX(Korpus!$D:$D,$A15)&amp;" "&amp;INDEX(Korpus!$E:$E,$A15))</f>
        <v xml:space="preserve">Paragraf 6 Kalimat 2</v>
      </c>
      <c r="E15" s="18" t="str">
        <f>IF(INDEX(Korpus!$F:$F,$A15)="","",INDEX(Korpus!$F:$F,$A15))</f>
        <v xml:space="preserve">1) Undang-Undang Nomor 19 Tahun 2016 Tentang Perubahan Atas Undang-Undang Nomor 11 Tahun 2008 Tentang Informasi dan Transaksi Elektronik</v>
      </c>
      <c r="F15" s="19"/>
      <c r="G15" s="19"/>
      <c r="H15" s="19"/>
      <c r="I15" s="19"/>
      <c r="J15" s="19"/>
      <c r="K15" s="19"/>
      <c r="L15" s="19"/>
      <c r="M15" s="20"/>
      <c r="N15" s="20"/>
      <c r="O15" s="16"/>
      <c r="P15" s="18" t="str">
        <f t="shared" si="2"/>
        <v xml:space="preserve">Belum lengkap (6)</v>
      </c>
      <c r="Q15" s="18" t="str">
        <f t="shared" si="3"/>
        <v/>
      </c>
      <c r="R15" s="18" t="str">
        <f>IF(INDEX(Korpus!$B:$B,$A15)="","",INDEX(Korpus!$B:$B,$A15))</f>
        <v xml:space="preserve">C. Pembahasan</v>
      </c>
      <c r="S15" s="18" t="str">
        <f>IF(INDEX(Korpus!$C:$C,$A15)="","",INDEX(Korpus!$C:$C,$A15))</f>
        <v xml:space="preserve">5. Pentingnya Perlindungan Data Pribadi</v>
      </c>
    </row>
    <row r="16" ht="60" hidden="1" customHeight="1">
      <c r="A16" s="16">
        <v>16</v>
      </c>
      <c r="B16" s="17" t="str">
        <f>IF(Petunjuk!$C$4="","",Petunjuk!$C$4)</f>
        <v>Afriansyah</v>
      </c>
      <c r="C16" s="18" t="str">
        <f>IF(INDEX(Korpus!$A:$A,$A16)="","",INDEX(Korpus!$A:$A,$A16))</f>
        <v>2019MHN201</v>
      </c>
      <c r="D16" s="18" t="str">
        <f>TRIM(INDEX(Korpus!$D:$D,$A16)&amp;" "&amp;INDEX(Korpus!$E:$E,$A16))</f>
        <v xml:space="preserve">Paragraf 6 Kalimat 3</v>
      </c>
      <c r="E16" s="18" t="str">
        <f>IF(INDEX(Korpus!$F:$F,$A16)="","",INDEX(Korpus!$F:$F,$A16))</f>
        <v xml:space="preserve">2) Undang-Undang Nomor 11 Tahun 2008 Tentang Informasi dan Transaksi Elektronik</v>
      </c>
      <c r="F16" s="19"/>
      <c r="G16" s="19"/>
      <c r="H16" s="19"/>
      <c r="I16" s="19"/>
      <c r="J16" s="19"/>
      <c r="K16" s="19"/>
      <c r="L16" s="19"/>
      <c r="M16" s="20"/>
      <c r="N16" s="20"/>
      <c r="O16" s="16"/>
      <c r="P16" s="18" t="str">
        <f t="shared" si="2"/>
        <v xml:space="preserve">Belum lengkap (6)</v>
      </c>
      <c r="Q16" s="18" t="str">
        <f t="shared" si="3"/>
        <v/>
      </c>
      <c r="R16" s="18" t="str">
        <f>IF(INDEX(Korpus!$B:$B,$A16)="","",INDEX(Korpus!$B:$B,$A16))</f>
        <v xml:space="preserve">C. Pembahasan</v>
      </c>
      <c r="S16" s="18" t="str">
        <f>IF(INDEX(Korpus!$C:$C,$A16)="","",INDEX(Korpus!$C:$C,$A16))</f>
        <v xml:space="preserve">5. Pentingnya Perlindungan Data Pribadi</v>
      </c>
    </row>
    <row r="17" ht="60" hidden="1" customHeight="1">
      <c r="A17" s="16">
        <v>17</v>
      </c>
      <c r="B17" s="17" t="str">
        <f>IF(Petunjuk!$C$4="","",Petunjuk!$C$4)</f>
        <v>Afriansyah</v>
      </c>
      <c r="C17" s="18" t="str">
        <f>IF(INDEX(Korpus!$A:$A,$A17)="","",INDEX(Korpus!$A:$A,$A17))</f>
        <v>2019MHN201</v>
      </c>
      <c r="D17" s="18" t="str">
        <f>TRIM(INDEX(Korpus!$D:$D,$A17)&amp;" "&amp;INDEX(Korpus!$E:$E,$A17))</f>
        <v xml:space="preserve">Paragraf 6 Kalimat 13</v>
      </c>
      <c r="E17" s="18" t="str">
        <f>IF(INDEX(Korpus!$F:$F,$A17)="","",INDEX(Korpus!$F:$F,$A17))</f>
        <v xml:space="preserve">12) Peraturan Menteri Komunikasi dan Informasi Nomor 20 Tahun 2016 Tentang Perlindungan Data Pribadi Dalam Sistem Elektronik</v>
      </c>
      <c r="F17" s="19"/>
      <c r="G17" s="19"/>
      <c r="H17" s="19"/>
      <c r="I17" s="19"/>
      <c r="J17" s="19"/>
      <c r="K17" s="19"/>
      <c r="L17" s="19"/>
      <c r="M17" s="20"/>
      <c r="N17" s="20"/>
      <c r="O17" s="16"/>
      <c r="P17" s="18" t="str">
        <f t="shared" si="2"/>
        <v xml:space="preserve">Belum lengkap (6)</v>
      </c>
      <c r="Q17" s="18" t="str">
        <f t="shared" si="3"/>
        <v/>
      </c>
      <c r="R17" s="18" t="str">
        <f>IF(INDEX(Korpus!$B:$B,$A17)="","",INDEX(Korpus!$B:$B,$A17))</f>
        <v xml:space="preserve">C. Pembahasan</v>
      </c>
      <c r="S17" s="18" t="str">
        <f>IF(INDEX(Korpus!$C:$C,$A17)="","",INDEX(Korpus!$C:$C,$A17))</f>
        <v xml:space="preserve">5. Pentingnya Perlindungan Data Pribadi</v>
      </c>
    </row>
    <row r="18" ht="60" hidden="1" customHeight="1">
      <c r="A18" s="16">
        <v>18</v>
      </c>
      <c r="B18" s="17" t="str">
        <f>IF(Petunjuk!$C$4="","",Petunjuk!$C$4)</f>
        <v>Afriansyah</v>
      </c>
      <c r="C18" s="18" t="str">
        <f>IF(INDEX(Korpus!$A:$A,$A18)="","",INDEX(Korpus!$A:$A,$A18))</f>
        <v>2019MHN201</v>
      </c>
      <c r="D18" s="18" t="str">
        <f>TRIM(INDEX(Korpus!$D:$D,$A18)&amp;" "&amp;INDEX(Korpus!$E:$E,$A18))</f>
        <v xml:space="preserve">Paragraf 6 Kalimat 14</v>
      </c>
      <c r="E18" s="18" t="str">
        <f>IF(INDEX(Korpus!$F:$F,$A18)="","",INDEX(Korpus!$F:$F,$A18))</f>
        <v xml:space="preserve">13) Peraturan Pemerintah Nomor 82 Tahun 2012 Tentang Penyelenggaraan Sistem dan Transaksi Elektronik</v>
      </c>
      <c r="F18" s="19"/>
      <c r="G18" s="19"/>
      <c r="H18" s="19"/>
      <c r="I18" s="19"/>
      <c r="J18" s="19"/>
      <c r="K18" s="19"/>
      <c r="L18" s="19"/>
      <c r="M18" s="20"/>
      <c r="N18" s="20"/>
      <c r="O18" s="16"/>
      <c r="P18" s="18" t="str">
        <f t="shared" si="2"/>
        <v xml:space="preserve">Belum lengkap (6)</v>
      </c>
      <c r="Q18" s="18" t="str">
        <f t="shared" si="3"/>
        <v/>
      </c>
      <c r="R18" s="18" t="str">
        <f>IF(INDEX(Korpus!$B:$B,$A18)="","",INDEX(Korpus!$B:$B,$A18))</f>
        <v xml:space="preserve">C. Pembahasan</v>
      </c>
      <c r="S18" s="18" t="str">
        <f>IF(INDEX(Korpus!$C:$C,$A18)="","",INDEX(Korpus!$C:$C,$A18))</f>
        <v xml:space="preserve">5. Pentingnya Perlindungan Data Pribadi</v>
      </c>
    </row>
    <row r="19" ht="60" hidden="1" customHeight="1">
      <c r="A19" s="16">
        <v>19</v>
      </c>
      <c r="B19" s="17" t="str">
        <f>IF(Petunjuk!$C$4="","",Petunjuk!$C$4)</f>
        <v>Afriansyah</v>
      </c>
      <c r="C19" s="18" t="str">
        <f>IF(INDEX(Korpus!$A:$A,$A19)="","",INDEX(Korpus!$A:$A,$A19))</f>
        <v>2019MHN201</v>
      </c>
      <c r="D19" s="18" t="str">
        <f>TRIM(INDEX(Korpus!$D:$D,$A19)&amp;" "&amp;INDEX(Korpus!$E:$E,$A19))</f>
        <v xml:space="preserve">Paragraf 6 Kalimat 16</v>
      </c>
      <c r="E19" s="18" t="str">
        <f>IF(INDEX(Korpus!$F:$F,$A19)="","",INDEX(Korpus!$F:$F,$A19))</f>
        <v xml:space="preserve">15) Peraturan Menteri Komunikasi dan Informasi Nomor 4 Tahun 2016 Tentang Sistem Manajemen Pengaman Informasi</v>
      </c>
      <c r="F19" s="19"/>
      <c r="G19" s="19"/>
      <c r="H19" s="19"/>
      <c r="I19" s="19"/>
      <c r="J19" s="19"/>
      <c r="K19" s="19"/>
      <c r="L19" s="19"/>
      <c r="M19" s="20"/>
      <c r="N19" s="20"/>
      <c r="O19" s="16"/>
      <c r="P19" s="18" t="str">
        <f t="shared" si="2"/>
        <v xml:space="preserve">Belum lengkap (6)</v>
      </c>
      <c r="Q19" s="18" t="str">
        <f t="shared" si="3"/>
        <v/>
      </c>
      <c r="R19" s="18" t="str">
        <f>IF(INDEX(Korpus!$B:$B,$A19)="","",INDEX(Korpus!$B:$B,$A19))</f>
        <v xml:space="preserve">C. Pembahasan</v>
      </c>
      <c r="S19" s="18" t="str">
        <f>IF(INDEX(Korpus!$C:$C,$A19)="","",INDEX(Korpus!$C:$C,$A19))</f>
        <v xml:space="preserve">5. Pentingnya Perlindungan Data Pribadi</v>
      </c>
    </row>
    <row r="20" ht="60" hidden="1" customHeight="1">
      <c r="A20" s="16">
        <v>20</v>
      </c>
      <c r="B20" s="17" t="str">
        <f>IF(Petunjuk!$C$4="","",Petunjuk!$C$4)</f>
        <v>Afriansyah</v>
      </c>
      <c r="C20" s="18" t="str">
        <f>IF(INDEX(Korpus!$A:$A,$A20)="","",INDEX(Korpus!$A:$A,$A20))</f>
        <v>2019MHN201</v>
      </c>
      <c r="D20" s="18" t="str">
        <f>TRIM(INDEX(Korpus!$D:$D,$A20)&amp;" "&amp;INDEX(Korpus!$E:$E,$A20))</f>
        <v xml:space="preserve">Paragraf 7 Kalimat 2</v>
      </c>
      <c r="E20" s="18" t="str">
        <f>IF(INDEX(Korpus!$F:$F,$A20)="","",INDEX(Korpus!$F:$F,$A20))</f>
        <v xml:space="preserve">Dalam Pasal 26 huruf a disebutkan bahwa menjaga kerahasiaan, keutuhan, dan ketersediaan data pribadi, data transaksi, dan data keuangan yang dikelolanya sejak data diperoleh hingga data tersebut dimusnahkan.</v>
      </c>
      <c r="F20" s="19"/>
      <c r="G20" s="19"/>
      <c r="H20" s="19"/>
      <c r="I20" s="19"/>
      <c r="J20" s="19"/>
      <c r="K20" s="19"/>
      <c r="L20" s="19"/>
      <c r="M20" s="20"/>
      <c r="N20" s="20"/>
      <c r="O20" s="16"/>
      <c r="P20" s="18" t="str">
        <f t="shared" si="2"/>
        <v xml:space="preserve">Belum lengkap (6)</v>
      </c>
      <c r="Q20" s="18" t="str">
        <f t="shared" si="3"/>
        <v/>
      </c>
      <c r="R20" s="18" t="str">
        <f>IF(INDEX(Korpus!$B:$B,$A20)="","",INDEX(Korpus!$B:$B,$A20))</f>
        <v xml:space="preserve">C. Pembahasan</v>
      </c>
      <c r="S20" s="18" t="str">
        <f>IF(INDEX(Korpus!$C:$C,$A20)="","",INDEX(Korpus!$C:$C,$A20))</f>
        <v xml:space="preserve">5. Pentingnya Perlindungan Data Pribadi</v>
      </c>
    </row>
    <row r="21" ht="60" customHeight="1">
      <c r="A21" s="16">
        <v>21</v>
      </c>
      <c r="B21" s="17" t="str">
        <f>IF(Petunjuk!$C$4="","",Petunjuk!$C$4)</f>
        <v>Afriansyah</v>
      </c>
      <c r="C21" s="18" t="str">
        <f>IF(INDEX(Korpus!$A:$A,$A21)="","",INDEX(Korpus!$A:$A,$A21))</f>
        <v>2019MHN201</v>
      </c>
      <c r="D21" s="18" t="str">
        <f>TRIM(INDEX(Korpus!$D:$D,$A21)&amp;" "&amp;INDEX(Korpus!$E:$E,$A21))</f>
        <v xml:space="preserve">Paragraf 7 Kalimat 3</v>
      </c>
      <c r="E21" s="18" t="str">
        <f>IF(INDEX(Korpus!$F:$F,$A21)="","",INDEX(Korpus!$F:$F,$A21))</f>
        <v xml:space="preserve">Selain itu Peraturan OJK Nomor 13 Tahun 2018 Tentang Inovasi Keuangan Digital di Sektor Keuangan, telah memasukkan poin terkait perlindungan dan kerahasiaan data.</v>
      </c>
      <c r="F21" s="19" t="s">
        <v>67</v>
      </c>
      <c r="G21" s="19"/>
      <c r="H21" s="19"/>
      <c r="I21" s="19" t="s">
        <v>68</v>
      </c>
      <c r="J21" s="19" t="s">
        <v>65</v>
      </c>
      <c r="K21" s="19"/>
      <c r="L21" s="19"/>
      <c r="M21" s="20"/>
      <c r="N21" s="20"/>
      <c r="O21" s="16" t="s">
        <v>66</v>
      </c>
      <c r="P21" s="18" t="str">
        <f t="shared" si="2"/>
        <v xml:space="preserve">Belum lengkap (3)</v>
      </c>
      <c r="Q21" s="18" t="str">
        <f t="shared" si="3"/>
        <v/>
      </c>
      <c r="R21" s="18" t="str">
        <f>IF(INDEX(Korpus!$B:$B,$A21)="","",INDEX(Korpus!$B:$B,$A21))</f>
        <v xml:space="preserve">C. Pembahasan</v>
      </c>
      <c r="S21" s="18" t="str">
        <f>IF(INDEX(Korpus!$C:$C,$A21)="","",INDEX(Korpus!$C:$C,$A21))</f>
        <v xml:space="preserve">5. Pentingnya Perlindungan Data Pribadi</v>
      </c>
    </row>
    <row r="22" ht="60" hidden="1" customHeight="1">
      <c r="A22" s="16">
        <v>22</v>
      </c>
      <c r="B22" s="17" t="str">
        <f>IF(Petunjuk!$C$4="","",Petunjuk!$C$4)</f>
        <v>Afriansyah</v>
      </c>
      <c r="C22" s="18" t="str">
        <f>IF(INDEX(Korpus!$A:$A,$A22)="","",INDEX(Korpus!$A:$A,$A22))</f>
        <v>2019MHN201</v>
      </c>
      <c r="D22" s="18" t="str">
        <f>TRIM(INDEX(Korpus!$D:$D,$A22)&amp;" "&amp;INDEX(Korpus!$E:$E,$A22))</f>
        <v xml:space="preserve">Paragraf 7 Kalimat 4</v>
      </c>
      <c r="E22" s="18" t="str">
        <f>IF(INDEX(Korpus!$F:$F,$A22)="","",INDEX(Korpus!$F:$F,$A22))</f>
        <v xml:space="preserve">Pasal 30 ayat (1) menyebutkan bahwa Penyelenggara wajib menjaga kerahasiaan data pribadi, data transaksi, dan data keuangan yang dikelolanya sejak diperoleh hingga data tersebut dimusnahkan.</v>
      </c>
      <c r="F22" s="19"/>
      <c r="G22" s="19"/>
      <c r="H22" s="19"/>
      <c r="I22" s="19"/>
      <c r="J22" s="19"/>
      <c r="K22" s="19"/>
      <c r="L22" s="19"/>
      <c r="M22" s="20"/>
      <c r="N22" s="20"/>
      <c r="O22" s="16"/>
      <c r="P22" s="18" t="str">
        <f t="shared" si="2"/>
        <v xml:space="preserve">Belum lengkap (6)</v>
      </c>
      <c r="Q22" s="18" t="str">
        <f t="shared" si="3"/>
        <v/>
      </c>
      <c r="R22" s="18" t="str">
        <f>IF(INDEX(Korpus!$B:$B,$A22)="","",INDEX(Korpus!$B:$B,$A22))</f>
        <v xml:space="preserve">C. Pembahasan</v>
      </c>
      <c r="S22" s="18" t="str">
        <f>IF(INDEX(Korpus!$C:$C,$A22)="","",INDEX(Korpus!$C:$C,$A22))</f>
        <v xml:space="preserve">5. Pentingnya Perlindungan Data Pribadi</v>
      </c>
    </row>
    <row r="23" ht="60" hidden="1" customHeight="1">
      <c r="A23" s="16">
        <v>23</v>
      </c>
      <c r="B23" s="17" t="str">
        <f>IF(Petunjuk!$C$4="","",Petunjuk!$C$4)</f>
        <v>Afriansyah</v>
      </c>
      <c r="C23" s="18" t="str">
        <f>IF(INDEX(Korpus!$A:$A,$A23)="","",INDEX(Korpus!$A:$A,$A23))</f>
        <v>2019MHN201</v>
      </c>
      <c r="D23" s="18" t="str">
        <f>TRIM(INDEX(Korpus!$D:$D,$A23)&amp;" "&amp;INDEX(Korpus!$E:$E,$A23))</f>
        <v xml:space="preserve">Paragraf 8 Kalimat 1</v>
      </c>
      <c r="E23" s="18" t="str">
        <f>IF(INDEX(Korpus!$F:$F,$A23)="","",INDEX(Korpus!$F:$F,$A23))</f>
        <v xml:space="preserve">Banyaknya peraturan yang mengatur tentang perlindungan data pribadi menunjukkan pentingnya data pribadi untuk dilindungi.</v>
      </c>
      <c r="F23" s="19"/>
      <c r="G23" s="19"/>
      <c r="H23" s="19"/>
      <c r="I23" s="19"/>
      <c r="J23" s="19"/>
      <c r="K23" s="19"/>
      <c r="L23" s="19"/>
      <c r="M23" s="20"/>
      <c r="N23" s="20"/>
      <c r="O23" s="16"/>
      <c r="P23" s="18" t="str">
        <f t="shared" si="2"/>
        <v xml:space="preserve">Belum lengkap (6)</v>
      </c>
      <c r="Q23" s="18" t="str">
        <f t="shared" si="3"/>
        <v/>
      </c>
      <c r="R23" s="18" t="str">
        <f>IF(INDEX(Korpus!$B:$B,$A23)="","",INDEX(Korpus!$B:$B,$A23))</f>
        <v xml:space="preserve">C. Pembahasan</v>
      </c>
      <c r="S23" s="18" t="str">
        <f>IF(INDEX(Korpus!$C:$C,$A23)="","",INDEX(Korpus!$C:$C,$A23))</f>
        <v xml:space="preserve">5. Pentingnya Perlindungan Data Pribadi</v>
      </c>
    </row>
    <row r="24" ht="60" hidden="1" customHeight="1">
      <c r="A24" s="16">
        <v>24</v>
      </c>
      <c r="B24" s="17" t="str">
        <f>IF(Petunjuk!$C$4="","",Petunjuk!$C$4)</f>
        <v>Afriansyah</v>
      </c>
      <c r="C24" s="18" t="str">
        <f>IF(INDEX(Korpus!$A:$A,$A24)="","",INDEX(Korpus!$A:$A,$A24))</f>
        <v>2019MHN201</v>
      </c>
      <c r="D24" s="18" t="str">
        <f>TRIM(INDEX(Korpus!$D:$D,$A24)&amp;" "&amp;INDEX(Korpus!$E:$E,$A24))</f>
        <v xml:space="preserve">Paragraf 8 Kalimat 3</v>
      </c>
      <c r="E24" s="18" t="str">
        <f>IF(INDEX(Korpus!$F:$F,$A24)="","",INDEX(Korpus!$F:$F,$A24))</f>
        <v xml:space="preserve">Oleh karena itu perlu disusun suatu undang-undang yang secara khusus dapat memberikan perlindungan data pribadi.</v>
      </c>
      <c r="F24" s="19"/>
      <c r="G24" s="19"/>
      <c r="H24" s="19"/>
      <c r="I24" s="19"/>
      <c r="J24" s="19"/>
      <c r="K24" s="19"/>
      <c r="L24" s="19"/>
      <c r="M24" s="20"/>
      <c r="N24" s="20"/>
      <c r="O24" s="16"/>
      <c r="P24" s="18" t="str">
        <f t="shared" si="2"/>
        <v xml:space="preserve">Belum lengkap (6)</v>
      </c>
      <c r="Q24" s="18" t="str">
        <f t="shared" si="3"/>
        <v/>
      </c>
      <c r="R24" s="18" t="str">
        <f>IF(INDEX(Korpus!$B:$B,$A24)="","",INDEX(Korpus!$B:$B,$A24))</f>
        <v xml:space="preserve">C. Pembahasan</v>
      </c>
      <c r="S24" s="18" t="str">
        <f>IF(INDEX(Korpus!$C:$C,$A24)="","",INDEX(Korpus!$C:$C,$A24))</f>
        <v xml:space="preserve">5. Pentingnya Perlindungan Data Pribadi</v>
      </c>
    </row>
    <row r="25" ht="60" customHeight="1">
      <c r="A25" s="16">
        <v>25</v>
      </c>
      <c r="B25" s="17" t="str">
        <f>IF(Petunjuk!$C$4="","",Petunjuk!$C$4)</f>
        <v>Afriansyah</v>
      </c>
      <c r="C25" s="18" t="str">
        <f>IF(INDEX(Korpus!$A:$A,$A25)="","",INDEX(Korpus!$A:$A,$A25))</f>
        <v>2019MHN201</v>
      </c>
      <c r="D25" s="18" t="str">
        <f>TRIM(INDEX(Korpus!$D:$D,$A25)&amp;" "&amp;INDEX(Korpus!$E:$E,$A25))</f>
        <v xml:space="preserve">Paragraf 1 Kalimat 3</v>
      </c>
      <c r="E25" s="18" t="str">
        <f>IF(INDEX(Korpus!$F:$F,$A25)="","",INDEX(Korpus!$F:$F,$A25))</f>
        <v xml:space="preserve">Selain itu juga sudah ada Peraturan Menteri Nomor 20 Tahun 2016 tentang Perlindungan Data Pribadi namun belum cukup memberikan perlindungan kepada konsumen.</v>
      </c>
      <c r="F25" s="19" t="s">
        <v>67</v>
      </c>
      <c r="G25" s="19"/>
      <c r="H25" s="19"/>
      <c r="I25" s="19"/>
      <c r="J25" s="19" t="s">
        <v>65</v>
      </c>
      <c r="K25" s="19" t="s">
        <v>69</v>
      </c>
      <c r="L25" s="19"/>
      <c r="M25" s="20"/>
      <c r="N25" s="20"/>
      <c r="O25" s="16" t="s">
        <v>66</v>
      </c>
      <c r="P25" s="18" t="str">
        <f t="shared" si="2"/>
        <v xml:space="preserve">Belum lengkap (3)</v>
      </c>
      <c r="Q25" s="18" t="str">
        <f t="shared" si="3"/>
        <v/>
      </c>
      <c r="R25" s="18" t="str">
        <f>IF(INDEX(Korpus!$B:$B,$A25)="","",INDEX(Korpus!$B:$B,$A25))</f>
        <v xml:space="preserve">D. Penutup</v>
      </c>
      <c r="S25" s="18" t="str">
        <f>IF(INDEX(Korpus!$C:$C,$A25)="","",INDEX(Korpus!$C:$C,$A25))</f>
        <v/>
      </c>
    </row>
    <row r="26" ht="60" hidden="1" customHeight="1">
      <c r="A26" s="16">
        <v>26</v>
      </c>
      <c r="B26" s="17" t="str">
        <f>IF(Petunjuk!$C$4="","",Petunjuk!$C$4)</f>
        <v>Afriansyah</v>
      </c>
      <c r="C26" s="18" t="str">
        <f>IF(INDEX(Korpus!$A:$A,$A26)="","",INDEX(Korpus!$A:$A,$A26))</f>
        <v>2019MHN201</v>
      </c>
      <c r="D26" s="18" t="str">
        <f>TRIM(INDEX(Korpus!$D:$D,$A26)&amp;" "&amp;INDEX(Korpus!$E:$E,$A26))</f>
        <v xml:space="preserve">Paragraf 1 Kalimat 4</v>
      </c>
      <c r="E26" s="18" t="str">
        <f>IF(INDEX(Korpus!$F:$F,$A26)="","",INDEX(Korpus!$F:$F,$A26))</f>
        <v xml:space="preserve">Oleh karenanya Pemerintah perlu segera memberikan perlindungan data pribadi nasabah agar tidak disalahgunakan.</v>
      </c>
      <c r="F26" s="19"/>
      <c r="G26" s="19"/>
      <c r="H26" s="19"/>
      <c r="I26" s="19"/>
      <c r="J26" s="19"/>
      <c r="K26" s="19"/>
      <c r="L26" s="19"/>
      <c r="M26" s="20"/>
      <c r="N26" s="20"/>
      <c r="O26" s="16"/>
      <c r="P26" s="18" t="str">
        <f t="shared" si="2"/>
        <v xml:space="preserve">Belum lengkap (6)</v>
      </c>
      <c r="Q26" s="18" t="str">
        <f t="shared" si="3"/>
        <v/>
      </c>
      <c r="R26" s="18" t="str">
        <f>IF(INDEX(Korpus!$B:$B,$A26)="","",INDEX(Korpus!$B:$B,$A26))</f>
        <v xml:space="preserve">D. Penutup</v>
      </c>
      <c r="S26" s="18" t="str">
        <f>IF(INDEX(Korpus!$C:$C,$A26)="","",INDEX(Korpus!$C:$C,$A26))</f>
        <v/>
      </c>
    </row>
    <row r="27" ht="60" hidden="1" customHeight="1">
      <c r="A27" s="16">
        <v>27</v>
      </c>
      <c r="B27" s="17" t="str">
        <f>IF(Petunjuk!$C$4="","",Petunjuk!$C$4)</f>
        <v>Afriansyah</v>
      </c>
      <c r="C27" s="18" t="str">
        <f>IF(INDEX(Korpus!$A:$A,$A27)="","",INDEX(Korpus!$A:$A,$A27))</f>
        <v xml:space="preserve">UU 23 Thn 2002 (Perlindungan Anak)</v>
      </c>
      <c r="D27" s="18" t="str">
        <f>TRIM(INDEX(Korpus!$D:$D,$A27)&amp;" "&amp;INDEX(Korpus!$E:$E,$A27))</f>
        <v xml:space="preserve">Pasal 27</v>
      </c>
      <c r="E27" s="18" t="str">
        <f>IF(INDEX(Korpus!$F:$F,$A27)="","",INDEX(Korpus!$F:$F,$A27))</f>
        <v xml:space="preserve">(1) Identitas diri setiap anak harus diberikan sejak kelahirannya.(2) Identitas sebagaimana dimaksud dalam ayat (1) dituangkan dalam akta kelahiran.(3) Pembuatan akta kelahiran didasarkan pada surat keterangan dari orang yang menyaksikan dan/atau membantu proses kelahiran. Dalam hal anak yang proses kelahirannya tidak diketahui, dan orang tuanya tidak diketahui keberadaannya, pembuatan akta kelahiran untuk anak tersebut didasarkan pada keterangan orang yang menemukannya.</v>
      </c>
      <c r="F27" s="19"/>
      <c r="G27" s="19"/>
      <c r="H27" s="19"/>
      <c r="I27" s="19"/>
      <c r="J27" s="19"/>
      <c r="K27" s="19"/>
      <c r="L27" s="19"/>
      <c r="M27" s="20"/>
      <c r="N27" s="20"/>
      <c r="O27" s="16"/>
      <c r="P27" s="18" t="str">
        <f t="shared" si="2"/>
        <v xml:space="preserve">Belum lengkap (6)</v>
      </c>
      <c r="Q27" s="18" t="str">
        <f t="shared" si="3"/>
        <v/>
      </c>
      <c r="R27" s="18" t="str">
        <f>IF(INDEX(Korpus!$B:$B,$A27)="","",INDEX(Korpus!$B:$B,$A27))</f>
        <v xml:space="preserve">BAB V
KEDUDUKAN ANAK</v>
      </c>
      <c r="S27" s="18" t="str">
        <f>IF(INDEX(Korpus!$C:$C,$A27)="","",INDEX(Korpus!$C:$C,$A27))</f>
        <v xml:space="preserve">Bagian Kesatu
Identitas Anak</v>
      </c>
    </row>
    <row r="28" ht="60" hidden="1" customHeight="1">
      <c r="A28" s="16">
        <v>28</v>
      </c>
      <c r="B28" s="17" t="str">
        <f>IF(Petunjuk!$C$4="","",Petunjuk!$C$4)</f>
        <v>Afriansyah</v>
      </c>
      <c r="C28" s="18" t="str">
        <f>IF(INDEX(Korpus!$A:$A,$A28)="","",INDEX(Korpus!$A:$A,$A28))</f>
        <v xml:space="preserve">UU 27 Thn 2022 (PDP)</v>
      </c>
      <c r="D28" s="18" t="str">
        <f>TRIM(INDEX(Korpus!$D:$D,$A28)&amp;" "&amp;INDEX(Korpus!$E:$E,$A28))</f>
        <v xml:space="preserve">Pasal 1</v>
      </c>
      <c r="E28" s="18" t="str">
        <f>IF(INDEX(Korpus!$F:$F,$A28)="","",INDEX(Korpus!$F:$F,$A28))</f>
        <v xml:space="preserve">Dalam Undang-Undang ini yang dimaksud dengan: 1. Data Pribadi adalah data tentang orang perseorangan yang teridentifikasi atau dapat diidentifikasi secara tersendiri atau dikombinasi dengan informasi lainnya baik secara langsung maupun tidak langsung melalui sistem elektronik atau nonelektronik. 2. Pelindungan Data Pribadi adalah keseluruhan upaya untuk melindungi Data Pribadi dalam rangkaian pemrosesan Data Pribadi guna menjamin hak konstitusional subjek Data Pribadi. 3. Informasi adalah keterangan, pernyataan, gagasan, dan tanda-tanda yang mengandung nilai, makna, dan pesan, baik data, fakta, maupun penjelasannya yang dapat dilihat, didengar, dan dibaca yang disajikan dalam berbagai kemasan dan format sesuai dengan perkembangan teknologi informasi dan komunikasi secara elektronik ataupun nonelektronik. 4. Pengendali Data Pribadi adalah setiap orang, badan publik, dan organisasi internasional yang bertindak sendiri-sendiri atau bersama-sama dalam menentukan tujuan dan melakukan kendali pemrosesan Data Pribadi. 5. Prosesor Data Pribadi adalah setiap orang, badan publik, dan organisasi internasional yang bertindak sendiri-sendiri atau bersama-sama dalam melakukan pemrosesan Data Pribadi atas nama Pengendali Data Pribadi. 6. Subjek Data Pribadi adalah orang perseorangan yang pada dirinya melekat Data Pribadi. 7. Setiap Orang adalah orang perseorangan atau korporasi. 8. Korporasi adalah kumpulan orang dan/ atau kekayaan yang terorganisasi baik yang berbadan hukum maupun tidak berbadan hukum. 9. Badan Publik adalah lembaga eksekutif, legislatif, yudikatif, dan badan lain yang fungsi dan tugas pokoknya berkaitan dengan penyelenggaraan negara, yang sebagian atau seluruh dananya bersumber dari Anggaran Pendapatan dan Belanja Negara dan/ atau Anggaran Pendapatan dan Belanja Daerah, atau organisasi nonpemerintah sepanjang sebagian atau seluruh dananya bersumber dari Anggaran Pendapatan dan Belanja Negara dan/ atau Anggaran. Pendapatan dan Belanja Daerah, sumbangan masyarakat, dan/atau luar negeri. 10. Organisasi Internasional adalah organisasi yang diakui sebagai subjek hukum internasional dan mempunyai kapasitas untuk membuat perjanjian internasional.</v>
      </c>
      <c r="F28" s="19"/>
      <c r="G28" s="19"/>
      <c r="H28" s="19"/>
      <c r="I28" s="19"/>
      <c r="J28" s="19"/>
      <c r="K28" s="19"/>
      <c r="L28" s="19"/>
      <c r="M28" s="20"/>
      <c r="N28" s="20"/>
      <c r="O28" s="16"/>
      <c r="P28" s="18" t="str">
        <f t="shared" si="2"/>
        <v xml:space="preserve">Belum lengkap (6)</v>
      </c>
      <c r="Q28" s="18" t="str">
        <f t="shared" si="3"/>
        <v/>
      </c>
      <c r="R28" s="18" t="str">
        <f>IF(INDEX(Korpus!$B:$B,$A28)="","",INDEX(Korpus!$B:$B,$A28))</f>
        <v xml:space="preserve">BAB I
KETENTUAN UMUM</v>
      </c>
      <c r="S28" s="18" t="str">
        <f>IF(INDEX(Korpus!$C:$C,$A28)="","",INDEX(Korpus!$C:$C,$A28))</f>
        <v/>
      </c>
    </row>
    <row r="29" ht="60" hidden="1" customHeight="1">
      <c r="A29" s="16">
        <v>29</v>
      </c>
      <c r="B29" s="17" t="str">
        <f>IF(Petunjuk!$C$4="","",Petunjuk!$C$4)</f>
        <v>Afriansyah</v>
      </c>
      <c r="C29" s="18" t="str">
        <f>IF(INDEX(Korpus!$A:$A,$A29)="","",INDEX(Korpus!$A:$A,$A29))</f>
        <v xml:space="preserve">UU 27 Thn 2022 (PDP)</v>
      </c>
      <c r="D29" s="18" t="str">
        <f>TRIM(INDEX(Korpus!$D:$D,$A29)&amp;" "&amp;INDEX(Korpus!$E:$E,$A29))</f>
        <v xml:space="preserve">Pasal 2</v>
      </c>
      <c r="E29" s="18" t="str">
        <f>IF(INDEX(Korpus!$F:$F,$A29)="","",INDEX(Korpus!$F:$F,$A29))</f>
        <v xml:space="preserve">(1) Undang-Undang ini berlaku untuk Setiap Orang, Badan Publik, dan Organisasi Internasional yang melakukan perbuatan hukum sebagaimana diatur dalam Undang-Undang ini: a. yang berada di wilayah hukum Negara Republik Indonesia; dan b. di luar wilayah hukum Negara Republik Indonesia, yang memiliki akibat hukum: 1. di wilayah hukum Negara Republik Indonesia; dan/atau 2. bagi Subjek Data Pribadi warga negara Indonesia di luar wilayah hukum Negara Republik Indonesia.(2) Undang-Undang ini tidak berlaku untuk pemrosesan Data Pribadi oleh orang perseorangan dalam kegiatan pribadi atau rumah tangga.</v>
      </c>
      <c r="F29" s="19"/>
      <c r="G29" s="19"/>
      <c r="H29" s="19"/>
      <c r="I29" s="19"/>
      <c r="J29" s="19"/>
      <c r="K29" s="19"/>
      <c r="L29" s="19"/>
      <c r="M29" s="20"/>
      <c r="N29" s="20"/>
      <c r="O29" s="16"/>
      <c r="P29" s="18" t="str">
        <f t="shared" si="2"/>
        <v xml:space="preserve">Belum lengkap (6)</v>
      </c>
      <c r="Q29" s="18" t="str">
        <f t="shared" si="3"/>
        <v/>
      </c>
      <c r="R29" s="18" t="str">
        <f>IF(INDEX(Korpus!$B:$B,$A29)="","",INDEX(Korpus!$B:$B,$A29))</f>
        <v xml:space="preserve">BAB I
KETENTUAN UMUM</v>
      </c>
      <c r="S29" s="18" t="str">
        <f>IF(INDEX(Korpus!$C:$C,$A29)="","",INDEX(Korpus!$C:$C,$A29))</f>
        <v/>
      </c>
    </row>
    <row r="30" ht="60" customHeight="1">
      <c r="A30" s="16">
        <v>30</v>
      </c>
      <c r="B30" s="17" t="str">
        <f>IF(Petunjuk!$C$4="","",Petunjuk!$C$4)</f>
        <v>Afriansyah</v>
      </c>
      <c r="C30" s="18" t="str">
        <f>IF(INDEX(Korpus!$A:$A,$A30)="","",INDEX(Korpus!$A:$A,$A30))</f>
        <v xml:space="preserve">UU 27 Thn 2022 (PDP)</v>
      </c>
      <c r="D30" s="18" t="str">
        <f>TRIM(INDEX(Korpus!$D:$D,$A30)&amp;" "&amp;INDEX(Korpus!$E:$E,$A30))</f>
        <v xml:space="preserve">Pasal 3</v>
      </c>
      <c r="E30" s="18" t="str">
        <f>IF(INDEX(Korpus!$F:$F,$A30)="","",INDEX(Korpus!$F:$F,$A30))</f>
        <v xml:space="preserve">a. perlindungan; b. kepastian hukum; c. kepentingan umum; d. Kemanfaatan; e. Kehati-hatian; f. Keseimbangan; g. Pertanggungjawaban; dan h. kerahasiaan.</v>
      </c>
      <c r="F30" s="19"/>
      <c r="G30" s="19"/>
      <c r="H30" s="19"/>
      <c r="I30" s="19"/>
      <c r="J30" s="19"/>
      <c r="K30" s="19"/>
      <c r="L30" s="19"/>
      <c r="M30" s="20"/>
      <c r="N30" s="20"/>
      <c r="O30" s="16" t="s">
        <v>66</v>
      </c>
      <c r="P30" s="18" t="str">
        <f t="shared" si="2"/>
        <v xml:space="preserve">Belum lengkap (6)</v>
      </c>
      <c r="Q30" s="18" t="str">
        <f t="shared" si="3"/>
        <v/>
      </c>
      <c r="R30" s="18" t="str">
        <f>IF(INDEX(Korpus!$B:$B,$A30)="","",INDEX(Korpus!$B:$B,$A30))</f>
        <v xml:space="preserve">BAB II
ASAS</v>
      </c>
      <c r="S30" s="18" t="str">
        <f>IF(INDEX(Korpus!$C:$C,$A30)="","",INDEX(Korpus!$C:$C,$A30))</f>
        <v/>
      </c>
    </row>
    <row r="31" ht="60" hidden="1" customHeight="1">
      <c r="A31" s="16">
        <v>31</v>
      </c>
      <c r="B31" s="17" t="str">
        <f>IF(Petunjuk!$C$4="","",Petunjuk!$C$4)</f>
        <v>Afriansyah</v>
      </c>
      <c r="C31" s="18" t="str">
        <f>IF(INDEX(Korpus!$A:$A,$A31)="","",INDEX(Korpus!$A:$A,$A31))</f>
        <v xml:space="preserve">UU 27 Thn 2022 (PDP)</v>
      </c>
      <c r="D31" s="18" t="str">
        <f>TRIM(INDEX(Korpus!$D:$D,$A31)&amp;" "&amp;INDEX(Korpus!$E:$E,$A31))</f>
        <v xml:space="preserve">Pasal 4</v>
      </c>
      <c r="E31" s="18" t="str">
        <f>IF(INDEX(Korpus!$F:$F,$A31)="","",INDEX(Korpus!$F:$F,$A31))</f>
        <v xml:space="preserve">(1) Data Pribadi terdiri atas: a. Data Pribadi yang bersifat spesifik; danb. Data Pribadi yang bersifat umum.(2) Data Pribadi yang bersifat spesifik sebagaimana dimaksud pada ayat (l) huruf a meliputi: a. Data dan informasi kesehatan; b. Data biometrik; c. Data genetika; d. Catatan kejahatan; e. Data anak; f. Data keterangan pribadi; dan/ atau g. Data lainnya sesuai dengan ketentuan peraturan perundang-undangan.(3) Data Pribadi yang bersifat umum sebagaimana dimaksud pada ayat (l) huruf b meliputi: a. Nama lengkap; b. Jenis kelamin; c. Kewarganegaraan; d. Agama; e. Status perkawinan; dan/ atau f. Data Pribadi yang dikombinasikan untuk mengidentifikasi seseorang.</v>
      </c>
      <c r="F31" s="19"/>
      <c r="G31" s="19"/>
      <c r="H31" s="19"/>
      <c r="I31" s="19"/>
      <c r="J31" s="19"/>
      <c r="K31" s="19"/>
      <c r="L31" s="19"/>
      <c r="M31" s="20"/>
      <c r="N31" s="20"/>
      <c r="O31" s="16"/>
      <c r="P31" s="18" t="str">
        <f t="shared" si="2"/>
        <v xml:space="preserve">Belum lengkap (6)</v>
      </c>
      <c r="Q31" s="18" t="str">
        <f t="shared" si="3"/>
        <v/>
      </c>
      <c r="R31" s="18" t="str">
        <f>IF(INDEX(Korpus!$B:$B,$A31)="","",INDEX(Korpus!$B:$B,$A31))</f>
        <v xml:space="preserve">BAB III
JENIS DATA PRIBADI</v>
      </c>
      <c r="S31" s="18" t="str">
        <f>IF(INDEX(Korpus!$C:$C,$A31)="","",INDEX(Korpus!$C:$C,$A31))</f>
        <v/>
      </c>
    </row>
    <row r="32" ht="60" hidden="1" customHeight="1">
      <c r="A32" s="16">
        <v>32</v>
      </c>
      <c r="B32" s="17" t="str">
        <f>IF(Petunjuk!$C$4="","",Petunjuk!$C$4)</f>
        <v>Afriansyah</v>
      </c>
      <c r="C32" s="18" t="str">
        <f>IF(INDEX(Korpus!$A:$A,$A32)="","",INDEX(Korpus!$A:$A,$A32))</f>
        <v xml:space="preserve">UU 27 Thn 2022 (PDP)</v>
      </c>
      <c r="D32" s="18" t="str">
        <f>TRIM(INDEX(Korpus!$D:$D,$A32)&amp;" "&amp;INDEX(Korpus!$E:$E,$A32))</f>
        <v xml:space="preserve">Pasal 5</v>
      </c>
      <c r="E32" s="18" t="str">
        <f>IF(INDEX(Korpus!$F:$F,$A32)="","",INDEX(Korpus!$F:$F,$A32))</f>
        <v xml:space="preserve">Subjek Data Pribadi berhak mendapatkan Informasi tentang kejelasan identitas, dasar kepentingan hukum, tujuan permintaan dan penggunaan Data Pribadi, dan akuntabilitas pihak yang meminta Data Pribadi.</v>
      </c>
      <c r="F32" s="19"/>
      <c r="G32" s="19"/>
      <c r="H32" s="19"/>
      <c r="I32" s="19"/>
      <c r="J32" s="19"/>
      <c r="K32" s="19"/>
      <c r="L32" s="19"/>
      <c r="M32" s="20"/>
      <c r="N32" s="20"/>
      <c r="O32" s="16"/>
      <c r="P32" s="18" t="str">
        <f t="shared" si="2"/>
        <v xml:space="preserve">Belum lengkap (6)</v>
      </c>
      <c r="Q32" s="18" t="str">
        <f t="shared" si="3"/>
        <v/>
      </c>
      <c r="R32" s="18" t="str">
        <f>IF(INDEX(Korpus!$B:$B,$A32)="","",INDEX(Korpus!$B:$B,$A32))</f>
        <v xml:space="preserve">BAB IV
HAK SUBJEK DATA PRIBADI</v>
      </c>
      <c r="S32" s="18" t="str">
        <f>IF(INDEX(Korpus!$C:$C,$A32)="","",INDEX(Korpus!$C:$C,$A32))</f>
        <v/>
      </c>
    </row>
    <row r="33" ht="60" hidden="1" customHeight="1">
      <c r="A33" s="16">
        <v>33</v>
      </c>
      <c r="B33" s="17" t="str">
        <f>IF(Petunjuk!$C$4="","",Petunjuk!$C$4)</f>
        <v>Afriansyah</v>
      </c>
      <c r="C33" s="18" t="str">
        <f>IF(INDEX(Korpus!$A:$A,$A33)="","",INDEX(Korpus!$A:$A,$A33))</f>
        <v xml:space="preserve">UU 27 Thn 2022 (PDP)</v>
      </c>
      <c r="D33" s="18" t="str">
        <f>TRIM(INDEX(Korpus!$D:$D,$A33)&amp;" "&amp;INDEX(Korpus!$E:$E,$A33))</f>
        <v xml:space="preserve">Pasal 6</v>
      </c>
      <c r="E33" s="18" t="str">
        <f>IF(INDEX(Korpus!$F:$F,$A33)="","",INDEX(Korpus!$F:$F,$A33))</f>
        <v xml:space="preserve">Subjek Data Pribadi berhak melengkapi, memperbarui, dan/atau memperbaiki kesalahan dan/atau ketidakakuratan Data Pribadi tentang dirinya sesuai dengan tujuan pemrosesan Data Pribadi.</v>
      </c>
      <c r="F33" s="19"/>
      <c r="G33" s="19"/>
      <c r="H33" s="19"/>
      <c r="I33" s="19"/>
      <c r="J33" s="19"/>
      <c r="K33" s="19"/>
      <c r="L33" s="19"/>
      <c r="M33" s="20"/>
      <c r="N33" s="20"/>
      <c r="O33" s="16"/>
      <c r="P33" s="18" t="str">
        <f t="shared" si="2"/>
        <v xml:space="preserve">Belum lengkap (6)</v>
      </c>
      <c r="Q33" s="18" t="str">
        <f t="shared" si="3"/>
        <v/>
      </c>
      <c r="R33" s="18" t="str">
        <f>IF(INDEX(Korpus!$B:$B,$A33)="","",INDEX(Korpus!$B:$B,$A33))</f>
        <v xml:space="preserve">BAB IV
HAK SUBJEK DATA PRIBADI</v>
      </c>
      <c r="S33" s="18" t="str">
        <f>IF(INDEX(Korpus!$C:$C,$A33)="","",INDEX(Korpus!$C:$C,$A33))</f>
        <v/>
      </c>
    </row>
    <row r="34" ht="60" hidden="1" customHeight="1">
      <c r="A34" s="16">
        <v>34</v>
      </c>
      <c r="B34" s="17" t="str">
        <f>IF(Petunjuk!$C$4="","",Petunjuk!$C$4)</f>
        <v>Afriansyah</v>
      </c>
      <c r="C34" s="18" t="str">
        <f>IF(INDEX(Korpus!$A:$A,$A34)="","",INDEX(Korpus!$A:$A,$A34))</f>
        <v xml:space="preserve">UU 27 Thn 2022 (PDP)</v>
      </c>
      <c r="D34" s="18" t="str">
        <f>TRIM(INDEX(Korpus!$D:$D,$A34)&amp;" "&amp;INDEX(Korpus!$E:$E,$A34))</f>
        <v xml:space="preserve">Pasal 7</v>
      </c>
      <c r="E34" s="18" t="str">
        <f>IF(INDEX(Korpus!$F:$F,$A34)="","",INDEX(Korpus!$F:$F,$A34))</f>
        <v xml:space="preserve">Subjek Data Pribadi berhak mendapatkan akses dan memperoleh salinan Data Pribadi tentang dirinya sesuai dengan ketentuan peraturan perundang-undangan.</v>
      </c>
      <c r="F34" s="19"/>
      <c r="G34" s="19"/>
      <c r="H34" s="19"/>
      <c r="I34" s="19"/>
      <c r="J34" s="19"/>
      <c r="K34" s="19"/>
      <c r="L34" s="19"/>
      <c r="M34" s="20"/>
      <c r="N34" s="20"/>
      <c r="O34" s="16"/>
      <c r="P34" s="18" t="str">
        <f t="shared" si="2"/>
        <v xml:space="preserve">Belum lengkap (6)</v>
      </c>
      <c r="Q34" s="18" t="str">
        <f t="shared" si="3"/>
        <v/>
      </c>
      <c r="R34" s="18" t="str">
        <f>IF(INDEX(Korpus!$B:$B,$A34)="","",INDEX(Korpus!$B:$B,$A34))</f>
        <v xml:space="preserve">BAB IV
HAK SUBJEK DATA PRIBADI</v>
      </c>
      <c r="S34" s="18" t="str">
        <f>IF(INDEX(Korpus!$C:$C,$A34)="","",INDEX(Korpus!$C:$C,$A34))</f>
        <v/>
      </c>
    </row>
    <row r="35" ht="60" customHeight="1">
      <c r="A35" s="16">
        <v>35</v>
      </c>
      <c r="B35" s="17" t="str">
        <f>IF(Petunjuk!$C$4="","",Petunjuk!$C$4)</f>
        <v>Afriansyah</v>
      </c>
      <c r="C35" s="18" t="str">
        <f>IF(INDEX(Korpus!$A:$A,$A35)="","",INDEX(Korpus!$A:$A,$A35))</f>
        <v xml:space="preserve">UU 27 Thn 2022 (PDP)</v>
      </c>
      <c r="D35" s="18" t="str">
        <f>TRIM(INDEX(Korpus!$D:$D,$A35)&amp;" "&amp;INDEX(Korpus!$E:$E,$A35))</f>
        <v xml:space="preserve">Pasal 8</v>
      </c>
      <c r="E35" s="18" t="str">
        <f>IF(INDEX(Korpus!$F:$F,$A35)="","",INDEX(Korpus!$F:$F,$A35))</f>
        <v xml:space="preserve">Subjek Data Pribadi berhak untuk mengakhiri pemrosesan, menghapus, dan/ atau memusnahkan Data Pribadi tentang dirinya sesuai dengan ketentuan peraturan perundang-undangan.</v>
      </c>
      <c r="F35" s="19" t="s">
        <v>70</v>
      </c>
      <c r="G35" s="19"/>
      <c r="H35" s="19"/>
      <c r="I35" s="19" t="s">
        <v>64</v>
      </c>
      <c r="J35" s="19" t="s">
        <v>71</v>
      </c>
      <c r="K35" s="19"/>
      <c r="L35" s="19"/>
      <c r="M35" s="20"/>
      <c r="N35" s="20"/>
      <c r="O35" s="16" t="s">
        <v>66</v>
      </c>
      <c r="P35" s="18" t="str">
        <f t="shared" si="2"/>
        <v xml:space="preserve">Belum lengkap (3)</v>
      </c>
      <c r="Q35" s="18" t="str">
        <f t="shared" si="3"/>
        <v/>
      </c>
      <c r="R35" s="18" t="str">
        <f>IF(INDEX(Korpus!$B:$B,$A35)="","",INDEX(Korpus!$B:$B,$A35))</f>
        <v xml:space="preserve">BAB IV
HAK SUBJEK DATA PRIBADI</v>
      </c>
      <c r="S35" s="18" t="str">
        <f>IF(INDEX(Korpus!$C:$C,$A35)="","",INDEX(Korpus!$C:$C,$A35))</f>
        <v/>
      </c>
    </row>
    <row r="36" ht="60" hidden="1" customHeight="1">
      <c r="A36" s="16">
        <v>36</v>
      </c>
      <c r="B36" s="17" t="str">
        <f>IF(Petunjuk!$C$4="","",Petunjuk!$C$4)</f>
        <v>Afriansyah</v>
      </c>
      <c r="C36" s="18" t="str">
        <f>IF(INDEX(Korpus!$A:$A,$A36)="","",INDEX(Korpus!$A:$A,$A36))</f>
        <v xml:space="preserve">UU 27 Thn 2022 (PDP)</v>
      </c>
      <c r="D36" s="18" t="str">
        <f>TRIM(INDEX(Korpus!$D:$D,$A36)&amp;" "&amp;INDEX(Korpus!$E:$E,$A36))</f>
        <v xml:space="preserve">Pasal 9</v>
      </c>
      <c r="E36" s="18" t="str">
        <f>IF(INDEX(Korpus!$F:$F,$A36)="","",INDEX(Korpus!$F:$F,$A36))</f>
        <v xml:space="preserve">Subjek Data Pribadi berhak menarik kembali persetujuan pemrosesan Data Pribadi tentang dirinya yang telah diberikan kepada Pengendali Data Pribadi.</v>
      </c>
      <c r="F36" s="19"/>
      <c r="G36" s="19"/>
      <c r="H36" s="19"/>
      <c r="I36" s="19"/>
      <c r="J36" s="19"/>
      <c r="K36" s="19"/>
      <c r="L36" s="19"/>
      <c r="M36" s="20"/>
      <c r="N36" s="20"/>
      <c r="O36" s="16"/>
      <c r="P36" s="18" t="str">
        <f t="shared" si="2"/>
        <v xml:space="preserve">Belum lengkap (6)</v>
      </c>
      <c r="Q36" s="18" t="str">
        <f t="shared" si="3"/>
        <v/>
      </c>
      <c r="R36" s="18" t="str">
        <f>IF(INDEX(Korpus!$B:$B,$A36)="","",INDEX(Korpus!$B:$B,$A36))</f>
        <v xml:space="preserve">BAB IV
HAK SUBJEK DATA PRIBADI</v>
      </c>
      <c r="S36" s="18" t="str">
        <f>IF(INDEX(Korpus!$C:$C,$A36)="","",INDEX(Korpus!$C:$C,$A36))</f>
        <v/>
      </c>
    </row>
    <row r="37" ht="60" hidden="1" customHeight="1">
      <c r="A37" s="16">
        <v>37</v>
      </c>
      <c r="B37" s="17" t="str">
        <f>IF(Petunjuk!$C$4="","",Petunjuk!$C$4)</f>
        <v>Afriansyah</v>
      </c>
      <c r="C37" s="18" t="str">
        <f>IF(INDEX(Korpus!$A:$A,$A37)="","",INDEX(Korpus!$A:$A,$A37))</f>
        <v xml:space="preserve">UU 27 Thn 2022 (PDP)</v>
      </c>
      <c r="D37" s="18" t="str">
        <f>TRIM(INDEX(Korpus!$D:$D,$A37)&amp;" "&amp;INDEX(Korpus!$E:$E,$A37))</f>
        <v xml:space="preserve">Pasal 10</v>
      </c>
      <c r="E37" s="18" t="str">
        <f>IF(INDEX(Korpus!$F:$F,$A37)="","",INDEX(Korpus!$F:$F,$A37))</f>
        <v xml:space="preserve">(1) Subjek Data Pribadi berhak untuk mengajukan keberatan atas tindakan pengambilan keputusan yang hanya didasarkan pada pemrosesan secara otomatis, termasuk pemrofilan, yang menimbulkan akibat hukum atau berdampak signifikan pada Subjek Data Pribadi.(2) Ketentuan lebih lanjut mengenai pengajuan keberatan atas pemrosesan secara otomatis sebagaimana dimaksud pada ayat (l) diatur dalam Peraturan Pemerintah.</v>
      </c>
      <c r="F37" s="19"/>
      <c r="G37" s="19"/>
      <c r="H37" s="19"/>
      <c r="I37" s="19"/>
      <c r="J37" s="19"/>
      <c r="K37" s="19"/>
      <c r="L37" s="19"/>
      <c r="M37" s="20"/>
      <c r="N37" s="20"/>
      <c r="O37" s="16"/>
      <c r="P37" s="18" t="str">
        <f t="shared" si="2"/>
        <v xml:space="preserve">Belum lengkap (6)</v>
      </c>
      <c r="Q37" s="18" t="str">
        <f t="shared" si="3"/>
        <v/>
      </c>
      <c r="R37" s="18" t="str">
        <f>IF(INDEX(Korpus!$B:$B,$A37)="","",INDEX(Korpus!$B:$B,$A37))</f>
        <v xml:space="preserve">BAB IV
HAK SUBJEK DATA PRIBADI</v>
      </c>
      <c r="S37" s="18" t="str">
        <f>IF(INDEX(Korpus!$C:$C,$A37)="","",INDEX(Korpus!$C:$C,$A37))</f>
        <v/>
      </c>
    </row>
    <row r="38" ht="60" hidden="1" customHeight="1">
      <c r="A38" s="16">
        <v>38</v>
      </c>
      <c r="B38" s="17" t="str">
        <f>IF(Petunjuk!$C$4="","",Petunjuk!$C$4)</f>
        <v>Afriansyah</v>
      </c>
      <c r="C38" s="18" t="str">
        <f>IF(INDEX(Korpus!$A:$A,$A38)="","",INDEX(Korpus!$A:$A,$A38))</f>
        <v xml:space="preserve">UU 27 Thn 2022 (PDP)</v>
      </c>
      <c r="D38" s="18" t="str">
        <f>TRIM(INDEX(Korpus!$D:$D,$A38)&amp;" "&amp;INDEX(Korpus!$E:$E,$A38))</f>
        <v xml:space="preserve">Pasal 11</v>
      </c>
      <c r="E38" s="18" t="str">
        <f>IF(INDEX(Korpus!$F:$F,$A38)="","",INDEX(Korpus!$F:$F,$A38))</f>
        <v xml:space="preserve">Subjek Data Pribadi berhak menunda atau membatasi pemrosesan Data Pribadi secara proporsional sesuai dengan tujuan pemrosesan Data Pribadi.</v>
      </c>
      <c r="F38" s="19"/>
      <c r="G38" s="19"/>
      <c r="H38" s="19"/>
      <c r="I38" s="19"/>
      <c r="J38" s="19"/>
      <c r="K38" s="19"/>
      <c r="L38" s="19"/>
      <c r="M38" s="20"/>
      <c r="N38" s="20"/>
      <c r="O38" s="16"/>
      <c r="P38" s="18" t="str">
        <f t="shared" si="2"/>
        <v xml:space="preserve">Belum lengkap (6)</v>
      </c>
      <c r="Q38" s="18" t="str">
        <f t="shared" si="3"/>
        <v/>
      </c>
      <c r="R38" s="18" t="str">
        <f>IF(INDEX(Korpus!$B:$B,$A38)="","",INDEX(Korpus!$B:$B,$A38))</f>
        <v xml:space="preserve">BAB IV
HAK SUBJEK DATA PRIBADI</v>
      </c>
      <c r="S38" s="18" t="str">
        <f>IF(INDEX(Korpus!$C:$C,$A38)="","",INDEX(Korpus!$C:$C,$A38))</f>
        <v/>
      </c>
    </row>
    <row r="39" ht="60" hidden="1" customHeight="1">
      <c r="A39" s="16">
        <v>39</v>
      </c>
      <c r="B39" s="17" t="str">
        <f>IF(Petunjuk!$C$4="","",Petunjuk!$C$4)</f>
        <v>Afriansyah</v>
      </c>
      <c r="C39" s="18" t="str">
        <f>IF(INDEX(Korpus!$A:$A,$A39)="","",INDEX(Korpus!$A:$A,$A39))</f>
        <v xml:space="preserve">UU 27 Thn 2022 (PDP)</v>
      </c>
      <c r="D39" s="18" t="str">
        <f>TRIM(INDEX(Korpus!$D:$D,$A39)&amp;" "&amp;INDEX(Korpus!$E:$E,$A39))</f>
        <v xml:space="preserve">Pasal 12</v>
      </c>
      <c r="E39" s="18" t="str">
        <f>IF(INDEX(Korpus!$F:$F,$A39)="","",INDEX(Korpus!$F:$F,$A39))</f>
        <v xml:space="preserve">(1) Subjek Data Pribadi berhak menggugat dan menerima ganti rugi atas pelanggaran pemrosesan Data Pribadi tentang dirinya sesuai dengan ketentuan peraturan perundang-undangan.(2) Ketentuan lebih lanjut mengenai pelanggaran pemrosesan Data Pribadi dan tata cara pengenaan ganti rugi sebagaimana dimaksud pada ayat (1) diatur dalam Peraturan Pemerintah.</v>
      </c>
      <c r="F39" s="19"/>
      <c r="G39" s="19"/>
      <c r="H39" s="19"/>
      <c r="I39" s="19"/>
      <c r="J39" s="19"/>
      <c r="K39" s="19"/>
      <c r="L39" s="19"/>
      <c r="M39" s="20"/>
      <c r="N39" s="20"/>
      <c r="O39" s="16"/>
      <c r="P39" s="18" t="str">
        <f t="shared" si="2"/>
        <v xml:space="preserve">Belum lengkap (6)</v>
      </c>
      <c r="Q39" s="18" t="str">
        <f t="shared" si="3"/>
        <v/>
      </c>
      <c r="R39" s="18" t="str">
        <f>IF(INDEX(Korpus!$B:$B,$A39)="","",INDEX(Korpus!$B:$B,$A39))</f>
        <v xml:space="preserve">BAB IV
HAK SUBJEK DATA PRIBADI</v>
      </c>
      <c r="S39" s="18" t="str">
        <f>IF(INDEX(Korpus!$C:$C,$A39)="","",INDEX(Korpus!$C:$C,$A39))</f>
        <v/>
      </c>
    </row>
    <row r="40" ht="60" hidden="1" customHeight="1">
      <c r="A40" s="16">
        <v>40</v>
      </c>
      <c r="B40" s="17" t="str">
        <f>IF(Petunjuk!$C$4="","",Petunjuk!$C$4)</f>
        <v>Afriansyah</v>
      </c>
      <c r="C40" s="18" t="str">
        <f>IF(INDEX(Korpus!$A:$A,$A40)="","",INDEX(Korpus!$A:$A,$A40))</f>
        <v xml:space="preserve">UU 27 Thn 2022 (PDP)</v>
      </c>
      <c r="D40" s="18" t="str">
        <f>TRIM(INDEX(Korpus!$D:$D,$A40)&amp;" "&amp;INDEX(Korpus!$E:$E,$A40))</f>
        <v xml:space="preserve">Pasal 13</v>
      </c>
      <c r="E40" s="18" t="str">
        <f>IF(INDEX(Korpus!$F:$F,$A40)="","",INDEX(Korpus!$F:$F,$A40))</f>
        <v xml:space="preserve">(1) Subjek Data Pribadi berhak mendapatkan dan/atau menggunakan Data Pribadi tentang dirinya dari Pengendali Data Pribadi dalam bentuk yang sesuai dengan struktur dan/ atau format yang lazim digunakan atau dapat dibaca oleh sistem elektronik.(2) Subjek Data Pribadi berhak menggunakan dan mengirimkan Data Pribadi tentang dirinya ke Pengendali Data Pribadi lainnya, sepanjang sistem yang digunakan dapat saling berkomunikasi secara aman sesuai dengan prinsip Pelindungan Data Pribadi berdasarkan Undang-Undang ini.(3) Ketentuan lebih lanjut mengenai hak Subjek Data Pribadi untuk menggunakan dan mengirimkan Data Pribadi sebagaimana dimaksud pada ayat (2) diatur dalam Peraturan Pemerintah.</v>
      </c>
      <c r="F40" s="19"/>
      <c r="G40" s="19"/>
      <c r="H40" s="19"/>
      <c r="I40" s="19"/>
      <c r="J40" s="19"/>
      <c r="K40" s="19"/>
      <c r="L40" s="19"/>
      <c r="M40" s="20"/>
      <c r="N40" s="20"/>
      <c r="O40" s="16"/>
      <c r="P40" s="18" t="str">
        <f t="shared" si="2"/>
        <v xml:space="preserve">Belum lengkap (6)</v>
      </c>
      <c r="Q40" s="18" t="str">
        <f t="shared" si="3"/>
        <v/>
      </c>
      <c r="R40" s="18" t="str">
        <f>IF(INDEX(Korpus!$B:$B,$A40)="","",INDEX(Korpus!$B:$B,$A40))</f>
        <v xml:space="preserve">BAB IV
HAK SUBJEK DATA PRIBADI</v>
      </c>
      <c r="S40" s="18" t="str">
        <f>IF(INDEX(Korpus!$C:$C,$A40)="","",INDEX(Korpus!$C:$C,$A40))</f>
        <v/>
      </c>
    </row>
    <row r="41" ht="60" hidden="1" customHeight="1">
      <c r="A41" s="16">
        <v>41</v>
      </c>
      <c r="B41" s="17" t="str">
        <f>IF(Petunjuk!$C$4="","",Petunjuk!$C$4)</f>
        <v>Afriansyah</v>
      </c>
      <c r="C41" s="18" t="str">
        <f>IF(INDEX(Korpus!$A:$A,$A41)="","",INDEX(Korpus!$A:$A,$A41))</f>
        <v xml:space="preserve">UU 27 Thn 2022 (PDP)</v>
      </c>
      <c r="D41" s="18" t="str">
        <f>TRIM(INDEX(Korpus!$D:$D,$A41)&amp;" "&amp;INDEX(Korpus!$E:$E,$A41))</f>
        <v xml:space="preserve">Pasal 14</v>
      </c>
      <c r="E41" s="18" t="str">
        <f>IF(INDEX(Korpus!$F:$F,$A41)="","",INDEX(Korpus!$F:$F,$A41))</f>
        <v xml:space="preserve">Pelaksanaan hak Subjek Data Pribadi sebagaimana dimaksud dalam Pasal 6 sampai dengan Pasal 11 diajukan melalui permohonan tercatat yang disampaikan secara elektronik atau nonelektronik kepada Pengendali Data Pribadi.</v>
      </c>
      <c r="F41" s="19"/>
      <c r="G41" s="19"/>
      <c r="H41" s="19"/>
      <c r="I41" s="19"/>
      <c r="J41" s="19"/>
      <c r="K41" s="19"/>
      <c r="L41" s="19"/>
      <c r="M41" s="20"/>
      <c r="N41" s="20"/>
      <c r="O41" s="16"/>
      <c r="P41" s="18" t="str">
        <f t="shared" si="2"/>
        <v xml:space="preserve">Belum lengkap (6)</v>
      </c>
      <c r="Q41" s="18" t="str">
        <f t="shared" si="3"/>
        <v/>
      </c>
      <c r="R41" s="18" t="str">
        <f>IF(INDEX(Korpus!$B:$B,$A41)="","",INDEX(Korpus!$B:$B,$A41))</f>
        <v xml:space="preserve">BAB IV
HAK SUBJEK DATA PRIBADI</v>
      </c>
      <c r="S41" s="18" t="str">
        <f>IF(INDEX(Korpus!$C:$C,$A41)="","",INDEX(Korpus!$C:$C,$A41))</f>
        <v/>
      </c>
    </row>
    <row r="42" ht="60" customHeight="1">
      <c r="A42" s="16">
        <v>42</v>
      </c>
      <c r="B42" s="17" t="str">
        <f>IF(Petunjuk!$C$4="","",Petunjuk!$C$4)</f>
        <v>Afriansyah</v>
      </c>
      <c r="C42" s="18" t="str">
        <f>IF(INDEX(Korpus!$A:$A,$A42)="","",INDEX(Korpus!$A:$A,$A42))</f>
        <v xml:space="preserve">UU 27 Thn 2022 (PDP)</v>
      </c>
      <c r="D42" s="18" t="str">
        <f>TRIM(INDEX(Korpus!$D:$D,$A42)&amp;" "&amp;INDEX(Korpus!$E:$E,$A42))</f>
        <v xml:space="preserve">Pasal 15</v>
      </c>
      <c r="E42" s="18" t="str">
        <f>IF(INDEX(Korpus!$F:$F,$A42)="","",INDEX(Korpus!$F:$F,$A42))</f>
        <v xml:space="preserve">(1) Hak-hak Subjek Data Pribadi sebagaimana dimaksud dalam Pasal 8, Pasal 9, Pasal 10 ayat (1), Pasal 11, dan Pasal 13 ayat (1) dan ayat (2) dikecualikan untuk:a. kepentingan pertahanan dan keamanan nasional; b. kepentingan proses penegakan hukum; c. kepentingan umum dalam rangka penyelenggaraan negara; d. kepentingan pengawasan sektor jasa keuangan, moneter, sistem pembayaran, dan stabilitas sistem keuangan yang dilakukan dalam rangka penyelenggaraan negara; atau e. kepentingan statistik dan penelitian ilmiah. (2) Pengecualian sebagaimana dimaksud pada ayat (1) dilaksanakan hanya dalam rangka pelaksanaan ketentuan Undang-Undang.</v>
      </c>
      <c r="F42" s="19" t="s">
        <v>70</v>
      </c>
      <c r="G42" s="19"/>
      <c r="H42" s="19"/>
      <c r="I42" s="19" t="s">
        <v>64</v>
      </c>
      <c r="J42" s="19" t="s">
        <v>65</v>
      </c>
      <c r="K42" s="19" t="s">
        <v>69</v>
      </c>
      <c r="L42" s="19"/>
      <c r="M42" s="20"/>
      <c r="N42" s="20"/>
      <c r="O42" s="16" t="s">
        <v>66</v>
      </c>
      <c r="P42" s="18" t="str">
        <f t="shared" si="2"/>
        <v xml:space="preserve">Belum lengkap (2)</v>
      </c>
      <c r="Q42" s="18" t="str">
        <f t="shared" si="3"/>
        <v/>
      </c>
      <c r="R42" s="18" t="str">
        <f>IF(INDEX(Korpus!$B:$B,$A42)="","",INDEX(Korpus!$B:$B,$A42))</f>
        <v xml:space="preserve">BAB IV
HAK SUBJEK DATA PRIBADI</v>
      </c>
      <c r="S42" s="18" t="str">
        <f>IF(INDEX(Korpus!$C:$C,$A42)="","",INDEX(Korpus!$C:$C,$A42))</f>
        <v/>
      </c>
    </row>
    <row r="43" ht="60" hidden="1" customHeight="1">
      <c r="A43" s="16">
        <v>43</v>
      </c>
      <c r="B43" s="17" t="str">
        <f>IF(Petunjuk!$C$4="","",Petunjuk!$C$4)</f>
        <v>Afriansyah</v>
      </c>
      <c r="C43" s="18" t="str">
        <f>IF(INDEX(Korpus!$A:$A,$A43)="","",INDEX(Korpus!$A:$A,$A43))</f>
        <v xml:space="preserve">UU 27 Thn 2022 (PDP)</v>
      </c>
      <c r="D43" s="18" t="str">
        <f>TRIM(INDEX(Korpus!$D:$D,$A43)&amp;" "&amp;INDEX(Korpus!$E:$E,$A43))</f>
        <v xml:space="preserve">Pasal 16</v>
      </c>
      <c r="E43" s="18" t="str">
        <f>IF(INDEX(Korpus!$F:$F,$A43)="","",INDEX(Korpus!$F:$F,$A43))</f>
        <v xml:space="preserve">(1) Pemrosesan Data Pribadi meliputi: a. pemerolehan dan pengumpulan; b. pengolahan dan penganalisisan; c. Penyimpanan; d. perbaikan dan pembaruan;e. penampilan, pengumuman, transfer, pengungkapan; penyebarluasan, atau dan/ atau f. penghapusan atau pemusnahan.(2) Pemrosesan Data Pribadi sebagaimana dimaksud pada ayat (l) dilakukan sesuai dengan prinsip Pelindungan Data Pribadi meliputi:a. Data Pribadi dilakukan secara terbatas dan spesifik, sah secara hukum, dan transparan; b. pemrosesan Data Pribadi dilakukan sesuai dengan tujuannya; c. pemrosesan Data Pribadi dilakukan dengan menjamin hak Subjek Data Pribadi; d. pemrosesan Data Pribadi dilakukan secara akurat, lengkap, tidak menyesatkan, mutakhir, dan dapat dipertanggungjawabkan; e. pemrosesan Data Pribadi dilakukan dengan melindungi keamanan Data Pribadi dari pengaksesan yang tidak sah, pengungkapan yang tidak sah, pengubahan yang tidak sah, perusakan, dan/atau penghilangan Data Pribadi; f. pemrosesan Data Pribadi dilakukan dengan memberitahukan tujuan dan aktivitas pemrosesan, serta kegagalan Pelindungan Data Pribadi;g. Data Pribadi dimusnahkan dan/atau dihapus setelah masa retensi berakhir atau berdasarkan permintaan Subjek Data Pribadi, kecuali ditentukan lain oleh peraturan perundang-undangan; dan h. pemrosesan Data Pribadi dilakukan secara bertanggung jawab dan dapat dibuktikan secara jelas.(3) Ketentuan lebih lanjut mengenai pelaksanaan pemrosesan Data Pribadi sebagaimana dimaksud pada ayat (1) diatur dalam Peraturan Pemerintah.</v>
      </c>
      <c r="F43" s="19"/>
      <c r="G43" s="19"/>
      <c r="H43" s="19"/>
      <c r="I43" s="19"/>
      <c r="J43" s="19"/>
      <c r="K43" s="19"/>
      <c r="L43" s="19"/>
      <c r="M43" s="20"/>
      <c r="N43" s="20"/>
      <c r="O43" s="16"/>
      <c r="P43" s="18" t="str">
        <f t="shared" si="2"/>
        <v xml:space="preserve">Belum lengkap (6)</v>
      </c>
      <c r="Q43" s="18" t="str">
        <f t="shared" si="3"/>
        <v/>
      </c>
      <c r="R43" s="18" t="str">
        <f>IF(INDEX(Korpus!$B:$B,$A43)="","",INDEX(Korpus!$B:$B,$A43))</f>
        <v xml:space="preserve">BAB V
PEMROSESAN DATA PRIBADI</v>
      </c>
      <c r="S43" s="18" t="str">
        <f>IF(INDEX(Korpus!$C:$C,$A43)="","",INDEX(Korpus!$C:$C,$A43))</f>
        <v/>
      </c>
    </row>
    <row r="44" ht="60" customHeight="1">
      <c r="A44" s="16">
        <v>44</v>
      </c>
      <c r="B44" s="17" t="str">
        <f>IF(Petunjuk!$C$4="","",Petunjuk!$C$4)</f>
        <v>Afriansyah</v>
      </c>
      <c r="C44" s="18" t="str">
        <f>IF(INDEX(Korpus!$A:$A,$A44)="","",INDEX(Korpus!$A:$A,$A44))</f>
        <v xml:space="preserve">UU 27 Thn 2022 (PDP)</v>
      </c>
      <c r="D44" s="18" t="str">
        <f>TRIM(INDEX(Korpus!$D:$D,$A44)&amp;" "&amp;INDEX(Korpus!$E:$E,$A44))</f>
        <v xml:space="preserve">Pasal 17</v>
      </c>
      <c r="E44" s="18" t="str">
        <f>IF(INDEX(Korpus!$F:$F,$A44)="","",INDEX(Korpus!$F:$F,$A44))</f>
        <v xml:space="preserve">(1) Pemasangan alat pemroses atau pengolah data visual di tempat umum dan/ atau pada fasilitas pelayanan publik dilakukan dengan ketentuan: a. untuk tujuan keamanan, pencegahan bencana, lalu lintas atau dan/atau pengumpulan, analisis, dan pengaturan Informasi lalu lintas; b. harus menampilkan Informasi pada area yang telah dipasang alat pemroses atau pengolah data visual; dan c. tidak digunakan untuk seseorang. (2) Ketentuan sebagaimana dimaksud pada ayat (1) huruf b dan huruf c dikecualikan untuk pencegahan tindak pidana dan proses penegakan hukum sesuai dengan ketentuan peraturan perundang-undangan.</v>
      </c>
      <c r="F44" s="19" t="s">
        <v>72</v>
      </c>
      <c r="G44" s="19"/>
      <c r="H44" s="19"/>
      <c r="I44" s="19" t="s">
        <v>73</v>
      </c>
      <c r="J44" s="19" t="s">
        <v>74</v>
      </c>
      <c r="K44" s="19" t="s">
        <v>69</v>
      </c>
      <c r="L44" s="19"/>
      <c r="M44" s="20"/>
      <c r="N44" s="20"/>
      <c r="O44" s="16" t="s">
        <v>66</v>
      </c>
      <c r="P44" s="18" t="str">
        <f t="shared" si="2"/>
        <v xml:space="preserve">Belum lengkap (2)</v>
      </c>
      <c r="Q44" s="18" t="str">
        <f t="shared" si="3"/>
        <v/>
      </c>
      <c r="R44" s="18" t="str">
        <f>IF(INDEX(Korpus!$B:$B,$A44)="","",INDEX(Korpus!$B:$B,$A44))</f>
        <v xml:space="preserve">BAB V
PEMROSESAN DATA PRIBADI</v>
      </c>
      <c r="S44" s="18" t="str">
        <f>IF(INDEX(Korpus!$C:$C,$A44)="","",INDEX(Korpus!$C:$C,$A44))</f>
        <v/>
      </c>
    </row>
    <row r="45" ht="60" hidden="1" customHeight="1">
      <c r="A45" s="16">
        <v>45</v>
      </c>
      <c r="B45" s="17" t="str">
        <f>IF(Petunjuk!$C$4="","",Petunjuk!$C$4)</f>
        <v>Afriansyah</v>
      </c>
      <c r="C45" s="18" t="str">
        <f>IF(INDEX(Korpus!$A:$A,$A45)="","",INDEX(Korpus!$A:$A,$A45))</f>
        <v xml:space="preserve">UU 27 Thn 2022 (PDP)</v>
      </c>
      <c r="D45" s="18" t="str">
        <f>TRIM(INDEX(Korpus!$D:$D,$A45)&amp;" "&amp;INDEX(Korpus!$E:$E,$A45))</f>
        <v xml:space="preserve">Pasal 18</v>
      </c>
      <c r="E45" s="18" t="str">
        <f>IF(INDEX(Korpus!$F:$F,$A45)="","",INDEX(Korpus!$F:$F,$A45))</f>
        <v xml:space="preserve">(1) Pemrosesan Data Pribadi dapat dilakukan oleh 2 (dua) atau lebih Pengendali Data Pribadi.(2) Dalam hal Pemrosesan Data Pribadi dilakukan oleh 2 (dua) atau lebih Pengendali Data Pribadi harus memenuhi syarat minimal: a. terdapat perjanjian antara para Pengendali Data Pribadi yang memuat peran, tanggung jawab, dan hubungan antar-Pengendali Data Pribadi; b. terdapat tujuan yang saling berkaitan dan cara pemrosesan Data Pribadi yang ditentukan secara bersama; dan c. terdapat narahubung yang ditunjuk secara bersama-sama.</v>
      </c>
      <c r="F45" s="19"/>
      <c r="G45" s="19"/>
      <c r="H45" s="19"/>
      <c r="I45" s="19"/>
      <c r="J45" s="19"/>
      <c r="K45" s="19"/>
      <c r="L45" s="19"/>
      <c r="M45" s="20"/>
      <c r="N45" s="20"/>
      <c r="O45" s="16"/>
      <c r="P45" s="18" t="str">
        <f t="shared" si="2"/>
        <v xml:space="preserve">Belum lengkap (6)</v>
      </c>
      <c r="Q45" s="18" t="str">
        <f t="shared" si="3"/>
        <v/>
      </c>
      <c r="R45" s="18" t="str">
        <f>IF(INDEX(Korpus!$B:$B,$A45)="","",INDEX(Korpus!$B:$B,$A45))</f>
        <v xml:space="preserve">BAB V
PEMROSESAN DATA PRIBADI</v>
      </c>
      <c r="S45" s="18" t="str">
        <f>IF(INDEX(Korpus!$C:$C,$A45)="","",INDEX(Korpus!$C:$C,$A45))</f>
        <v/>
      </c>
    </row>
    <row r="46" ht="60" hidden="1" customHeight="1">
      <c r="A46" s="16">
        <v>46</v>
      </c>
      <c r="B46" s="17" t="str">
        <f>IF(Petunjuk!$C$4="","",Petunjuk!$C$4)</f>
        <v>Afriansyah</v>
      </c>
      <c r="C46" s="18" t="str">
        <f>IF(INDEX(Korpus!$A:$A,$A46)="","",INDEX(Korpus!$A:$A,$A46))</f>
        <v xml:space="preserve">UU 27 Thn 2022 (PDP)</v>
      </c>
      <c r="D46" s="18" t="str">
        <f>TRIM(INDEX(Korpus!$D:$D,$A46)&amp;" "&amp;INDEX(Korpus!$E:$E,$A46))</f>
        <v xml:space="preserve">Pasal 19</v>
      </c>
      <c r="E46" s="18" t="str">
        <f>IF(INDEX(Korpus!$F:$F,$A46)="","",INDEX(Korpus!$F:$F,$A46))</f>
        <v xml:space="preserve">Pengendali Data Pribadi dan Prosesor Data Pribadi meliputi: a. Setiap Orang; b. Badan Publik; dan c. Organisasi Internasional.</v>
      </c>
      <c r="F46" s="19"/>
      <c r="G46" s="19"/>
      <c r="H46" s="19"/>
      <c r="I46" s="19"/>
      <c r="J46" s="19"/>
      <c r="K46" s="19"/>
      <c r="L46" s="19"/>
      <c r="M46" s="20"/>
      <c r="N46" s="20"/>
      <c r="O46" s="16"/>
      <c r="P46" s="18" t="str">
        <f t="shared" si="2"/>
        <v xml:space="preserve">Belum lengkap (6)</v>
      </c>
      <c r="Q46" s="18" t="str">
        <f t="shared" si="3"/>
        <v/>
      </c>
      <c r="R46" s="18" t="str">
        <f>IF(INDEX(Korpus!$B:$B,$A46)="","",INDEX(Korpus!$B:$B,$A46))</f>
        <v xml:space="preserve">BAB VI
KEWAJIBAN PENGENDALI DATA PRIBADI DAN PROSESOR DATA PRIBADI DALAM PEMROSESAN DATA PRIBADI</v>
      </c>
      <c r="S46" s="18" t="str">
        <f>IF(INDEX(Korpus!$C:$C,$A46)="","",INDEX(Korpus!$C:$C,$A46))</f>
        <v xml:space="preserve">Bagian Kesatu
Umum</v>
      </c>
    </row>
    <row r="47" ht="60" hidden="1" customHeight="1">
      <c r="A47" s="16">
        <v>47</v>
      </c>
      <c r="B47" s="17" t="str">
        <f>IF(Petunjuk!$C$4="","",Petunjuk!$C$4)</f>
        <v>Afriansyah</v>
      </c>
      <c r="C47" s="18" t="str">
        <f>IF(INDEX(Korpus!$A:$A,$A47)="","",INDEX(Korpus!$A:$A,$A47))</f>
        <v xml:space="preserve">UU 27 Thn 2022 (PDP)</v>
      </c>
      <c r="D47" s="18" t="str">
        <f>TRIM(INDEX(Korpus!$D:$D,$A47)&amp;" "&amp;INDEX(Korpus!$E:$E,$A47))</f>
        <v xml:space="preserve">Pasal 20</v>
      </c>
      <c r="E47" s="18" t="str">
        <f>IF(INDEX(Korpus!$F:$F,$A47)="","",INDEX(Korpus!$F:$F,$A47))</f>
        <v xml:space="preserve">(1) Pengendali Data Pribadi wajib memiliki dasar pemrosesan Data Pribadi. (2) Dasar pemrosesan Data Pribadi sebagaimana dimaksud pada ayat (1) meliputi:a. persetujuan yang sah secara eksplisit dari Subjek Data Pribadi untuk 1 (satu) atau beberapa tujuan tertentu yang telah disampaikan oleh Pengendali Data Pribadi kepada Subjek Data Pribadi; b. pemenuhan kewajiban perjanjian dalam hal Subjek Data Pribadi merupakan salah satu pihak atau untuk memenuhi permintaan Subjek Data Pribadi pada saat akan melakukan perjanjian; c. pemenuhan kewajiban hukum dari Pengendali Data Pribadi sesuai dengan ketentuan peraturan perundang-undangan; d. pemenuhan pelindungan kepentingan vital Subjek Data Pribadi; e. pelaksanaan tugas dalam rangka kepentingan umum, pelayanan publik, atau pelaksanaan kewenangan Pengendali Data Pribadi berdasarkan peraturan perundang-undangan; dan/atau f. pemenuhan kepentingan yang sah lainnya dengan memperhatikan tujuan, kebutuhan, dan keseimbangan kepentingan Pengendali Data Pribadi dan hak Subjek Data Pribadi.</v>
      </c>
      <c r="F47" s="19"/>
      <c r="G47" s="19"/>
      <c r="H47" s="19"/>
      <c r="I47" s="19"/>
      <c r="J47" s="19"/>
      <c r="K47" s="19"/>
      <c r="L47" s="19"/>
      <c r="M47" s="20"/>
      <c r="N47" s="20"/>
      <c r="O47" s="16"/>
      <c r="P47" s="18" t="str">
        <f t="shared" si="2"/>
        <v xml:space="preserve">Belum lengkap (6)</v>
      </c>
      <c r="Q47" s="18" t="str">
        <f t="shared" si="3"/>
        <v/>
      </c>
      <c r="R47" s="18" t="str">
        <f>IF(INDEX(Korpus!$B:$B,$A47)="","",INDEX(Korpus!$B:$B,$A47))</f>
        <v xml:space="preserve">BAB VI
KEWAJIBAN PENGENDALI DATA PRIBADI DAN PROSESOR DATA PRIBADI DALAM PEMROSESAN DATA PRIBADI</v>
      </c>
      <c r="S47" s="18" t="str">
        <f>IF(INDEX(Korpus!$C:$C,$A47)="","",INDEX(Korpus!$C:$C,$A47))</f>
        <v xml:space="preserve">Bagian Kedua Kewajiban Pengendali Data Pribadi</v>
      </c>
    </row>
    <row r="48" ht="60" hidden="1" customHeight="1">
      <c r="A48" s="16">
        <v>48</v>
      </c>
      <c r="B48" s="17" t="str">
        <f>IF(Petunjuk!$C$4="","",Petunjuk!$C$4)</f>
        <v>Afriansyah</v>
      </c>
      <c r="C48" s="18" t="str">
        <f>IF(INDEX(Korpus!$A:$A,$A48)="","",INDEX(Korpus!$A:$A,$A48))</f>
        <v xml:space="preserve">UU 27 Thn 2022 (PDP)</v>
      </c>
      <c r="D48" s="18" t="str">
        <f>TRIM(INDEX(Korpus!$D:$D,$A48)&amp;" "&amp;INDEX(Korpus!$E:$E,$A48))</f>
        <v xml:space="preserve">Pasal 21</v>
      </c>
      <c r="E48" s="18" t="str">
        <f>IF(INDEX(Korpus!$F:$F,$A48)="","",INDEX(Korpus!$F:$F,$A48))</f>
        <v xml:space="preserve">(1) Dalam hal pemrosesan Data Pribadi berdasarkan persetujuan sebagaimana dimaksud dalam Pasal 20 ayat (2) huruf a, Pengendali Data Pribadi wajib menyampaikan Informasi mengenai:a. legalitas dari pemrosesan Data Pribadi; b. tujuan pemrosesan Data Pribadi; c. jenis dan relevansi Data Pribadi yang akan diproses; d. jangka waktu retensi dokumen yang memuat Data Pribadi; e. rincian mengenai Informasi yang dikumpulkan; f. jangka waktu pemrosesan Data Pribadi; dang. hak Subjek Data Pribadi.(2) Dalam hal terdapat perubahan Informasi sebagaimana dimaksud pada ayat (1), Pengendali Data Pribadi wajib memberitahukan kepada Subjek Data Pribadi sebelum terjadi perubahan Informasi.</v>
      </c>
      <c r="F48" s="19"/>
      <c r="G48" s="19"/>
      <c r="H48" s="19"/>
      <c r="I48" s="19"/>
      <c r="J48" s="19"/>
      <c r="K48" s="19"/>
      <c r="L48" s="19"/>
      <c r="M48" s="20"/>
      <c r="N48" s="20"/>
      <c r="O48" s="16"/>
      <c r="P48" s="18" t="str">
        <f t="shared" si="2"/>
        <v xml:space="preserve">Belum lengkap (6)</v>
      </c>
      <c r="Q48" s="18" t="str">
        <f t="shared" si="3"/>
        <v/>
      </c>
      <c r="R48" s="18" t="str">
        <f>IF(INDEX(Korpus!$B:$B,$A48)="","",INDEX(Korpus!$B:$B,$A48))</f>
        <v xml:space="preserve">BAB VI
KEWAJIBAN PENGENDALI DATA PRIBADI DAN PROSESOR DATA PRIBADI DALAM PEMROSESAN DATA PRIBADI</v>
      </c>
      <c r="S48" s="18" t="str">
        <f>IF(INDEX(Korpus!$C:$C,$A48)="","",INDEX(Korpus!$C:$C,$A48))</f>
        <v xml:space="preserve">Bagian Kedua Kewajiban Pengendali Data Pribadi</v>
      </c>
    </row>
    <row r="49" ht="60" hidden="1" customHeight="1">
      <c r="A49" s="16">
        <v>49</v>
      </c>
      <c r="B49" s="17" t="str">
        <f>IF(Petunjuk!$C$4="","",Petunjuk!$C$4)</f>
        <v>Afriansyah</v>
      </c>
      <c r="C49" s="18" t="str">
        <f>IF(INDEX(Korpus!$A:$A,$A49)="","",INDEX(Korpus!$A:$A,$A49))</f>
        <v xml:space="preserve">UU 27 Thn 2022 (PDP)</v>
      </c>
      <c r="D49" s="18" t="str">
        <f>TRIM(INDEX(Korpus!$D:$D,$A49)&amp;" "&amp;INDEX(Korpus!$E:$E,$A49))</f>
        <v xml:space="preserve">Pasal 22</v>
      </c>
      <c r="E49" s="18" t="str">
        <f>IF(INDEX(Korpus!$F:$F,$A49)="","",INDEX(Korpus!$F:$F,$A49))</f>
        <v xml:space="preserve">(1) Persetujuan pemrosesan Data Pribadi dilakukan melalui persetujuan tertulis atau terekam. (2) Persetujuan sebagaimana dimaksud pada ayat (1) dapat disampaikan secara elektronik atau nonelektronik.(3) Persetujuan sebagaimana dimaksud pada ayat (1) mempunyai kekuatan hukum yang sama.(4). Dalam hal persetuluan sebagaimana dimaksud pada ayat (1) memuat tujuan lain, permintaan persetujuan harus memenuhi ketentuan:a. dapat dibedakan secara jelas dengan hal lainnya; b. dibuat dengan format yang dapat dipahami dan mudah diakses; dan c. menggunakan bahasa yang sederhana dan jelas.(5) Persetujuan yang tidak memenuhi ketentuan sebagaimana dimaksud pada ayat (1) dan ayat (4) dinyatakan batal demi hukum.</v>
      </c>
      <c r="F49" s="19"/>
      <c r="G49" s="19"/>
      <c r="H49" s="19"/>
      <c r="I49" s="19"/>
      <c r="J49" s="19"/>
      <c r="K49" s="19"/>
      <c r="L49" s="19"/>
      <c r="M49" s="20"/>
      <c r="N49" s="20"/>
      <c r="O49" s="16"/>
      <c r="P49" s="18" t="str">
        <f t="shared" si="2"/>
        <v xml:space="preserve">Belum lengkap (6)</v>
      </c>
      <c r="Q49" s="18" t="str">
        <f t="shared" si="3"/>
        <v/>
      </c>
      <c r="R49" s="18" t="str">
        <f>IF(INDEX(Korpus!$B:$B,$A49)="","",INDEX(Korpus!$B:$B,$A49))</f>
        <v xml:space="preserve">BAB VI
KEWAJIBAN PENGENDALI DATA PRIBADI DAN PROSESOR DATA PRIBADI DALAM PEMROSESAN DATA PRIBADI</v>
      </c>
      <c r="S49" s="18" t="str">
        <f>IF(INDEX(Korpus!$C:$C,$A49)="","",INDEX(Korpus!$C:$C,$A49))</f>
        <v xml:space="preserve">Bagian Kedua Kewajiban Pengendali Data Pribadi</v>
      </c>
    </row>
    <row r="50" ht="60" hidden="1" customHeight="1">
      <c r="A50" s="16">
        <v>50</v>
      </c>
      <c r="B50" s="17" t="str">
        <f>IF(Petunjuk!$C$4="","",Petunjuk!$C$4)</f>
        <v>Afriansyah</v>
      </c>
      <c r="C50" s="18" t="str">
        <f>IF(INDEX(Korpus!$A:$A,$A50)="","",INDEX(Korpus!$A:$A,$A50))</f>
        <v xml:space="preserve">UU 27 Thn 2022 (PDP)</v>
      </c>
      <c r="D50" s="18" t="str">
        <f>TRIM(INDEX(Korpus!$D:$D,$A50)&amp;" "&amp;INDEX(Korpus!$E:$E,$A50))</f>
        <v xml:space="preserve">Pasal 23</v>
      </c>
      <c r="E50" s="18" t="str">
        <f>IF(INDEX(Korpus!$F:$F,$A50)="","",INDEX(Korpus!$F:$F,$A50))</f>
        <v xml:space="preserve">Klausul perjanjian yang di dalamnya terdapat permintaan pemrosesan Data Pribadi yang tidak memuat persetujuan yang sah secara eksplisit dari Subjek Data Pribadi dinyatakan batal demi hukum.</v>
      </c>
      <c r="F50" s="19"/>
      <c r="G50" s="19"/>
      <c r="H50" s="19"/>
      <c r="I50" s="19"/>
      <c r="J50" s="19"/>
      <c r="K50" s="19"/>
      <c r="L50" s="19"/>
      <c r="M50" s="20"/>
      <c r="N50" s="20"/>
      <c r="O50" s="16"/>
      <c r="P50" s="18" t="str">
        <f t="shared" si="2"/>
        <v xml:space="preserve">Belum lengkap (6)</v>
      </c>
      <c r="Q50" s="18" t="str">
        <f t="shared" si="3"/>
        <v/>
      </c>
      <c r="R50" s="18" t="str">
        <f>IF(INDEX(Korpus!$B:$B,$A50)="","",INDEX(Korpus!$B:$B,$A50))</f>
        <v xml:space="preserve">BAB VI
KEWAJIBAN PENGENDALI DATA PRIBADI DAN PROSESOR DATA PRIBADI DALAM PEMROSESAN DATA PRIBADI</v>
      </c>
      <c r="S50" s="18" t="str">
        <f>IF(INDEX(Korpus!$C:$C,$A50)="","",INDEX(Korpus!$C:$C,$A50))</f>
        <v xml:space="preserve">Bagian Kedua Kewajiban Pengendali Data Pribadi</v>
      </c>
    </row>
    <row r="51" ht="60" hidden="1" customHeight="1">
      <c r="A51" s="16">
        <v>51</v>
      </c>
      <c r="B51" s="17" t="str">
        <f>IF(Petunjuk!$C$4="","",Petunjuk!$C$4)</f>
        <v>Afriansyah</v>
      </c>
      <c r="C51" s="18" t="str">
        <f>IF(INDEX(Korpus!$A:$A,$A51)="","",INDEX(Korpus!$A:$A,$A51))</f>
        <v xml:space="preserve">UU 27 Thn 2022 (PDP)</v>
      </c>
      <c r="D51" s="18" t="str">
        <f>TRIM(INDEX(Korpus!$D:$D,$A51)&amp;" "&amp;INDEX(Korpus!$E:$E,$A51))</f>
        <v xml:space="preserve">Pasal 24</v>
      </c>
      <c r="E51" s="18" t="str">
        <f>IF(INDEX(Korpus!$F:$F,$A51)="","",INDEX(Korpus!$F:$F,$A51))</f>
        <v xml:space="preserve">Dalam melakukan pemrosesan Data Pribadi, Pengendali Data Pribadi wajib menunjukkan bukti persetujuan yang telah diberikan oleh Subjek Data Pribadi.</v>
      </c>
      <c r="F51" s="19"/>
      <c r="G51" s="19"/>
      <c r="H51" s="19"/>
      <c r="I51" s="19"/>
      <c r="J51" s="19"/>
      <c r="K51" s="19"/>
      <c r="L51" s="19"/>
      <c r="M51" s="20"/>
      <c r="N51" s="20"/>
      <c r="O51" s="16"/>
      <c r="P51" s="18" t="str">
        <f t="shared" si="2"/>
        <v xml:space="preserve">Belum lengkap (6)</v>
      </c>
      <c r="Q51" s="18" t="str">
        <f t="shared" si="3"/>
        <v/>
      </c>
      <c r="R51" s="18" t="str">
        <f>IF(INDEX(Korpus!$B:$B,$A51)="","",INDEX(Korpus!$B:$B,$A51))</f>
        <v xml:space="preserve">BAB VI
KEWAJIBAN PENGENDALI DATA PRIBADI DAN PROSESOR DATA PRIBADI DALAM PEMROSESAN DATA PRIBADI</v>
      </c>
      <c r="S51" s="18" t="str">
        <f>IF(INDEX(Korpus!$C:$C,$A51)="","",INDEX(Korpus!$C:$C,$A51))</f>
        <v xml:space="preserve">Bagian Kedua Kewajiban Pengendali Data Pribadi</v>
      </c>
    </row>
    <row r="52" ht="60" customHeight="1">
      <c r="A52" s="16">
        <v>52</v>
      </c>
      <c r="B52" s="17" t="str">
        <f>IF(Petunjuk!$C$4="","",Petunjuk!$C$4)</f>
        <v>Afriansyah</v>
      </c>
      <c r="C52" s="18" t="str">
        <f>IF(INDEX(Korpus!$A:$A,$A52)="","",INDEX(Korpus!$A:$A,$A52))</f>
        <v xml:space="preserve">UU 27 Thn 2022 (PDP)</v>
      </c>
      <c r="D52" s="18" t="str">
        <f>TRIM(INDEX(Korpus!$D:$D,$A52)&amp;" "&amp;INDEX(Korpus!$E:$E,$A52))</f>
        <v xml:space="preserve">Pasal 25</v>
      </c>
      <c r="E52" s="18" t="str">
        <f>IF(INDEX(Korpus!$F:$F,$A52)="","",INDEX(Korpus!$F:$F,$A52))</f>
        <v xml:space="preserve">(1) Pemrosesan Data Pribadi anak secara khusus.(2) Pemrosesan Data Pribadi anak sebagaimana dimaksud pada ayat (1) wajib mendapat persetujuan dari orang tua anak dan/ atau wali anak sesuai dengan ketentuan peraturan perundang-undangan.</v>
      </c>
      <c r="F52" s="19" t="s">
        <v>72</v>
      </c>
      <c r="G52" s="19"/>
      <c r="H52" s="19" t="s">
        <v>75</v>
      </c>
      <c r="I52" s="19" t="s">
        <v>76</v>
      </c>
      <c r="J52" s="19" t="s">
        <v>74</v>
      </c>
      <c r="K52" s="19" t="s">
        <v>69</v>
      </c>
      <c r="L52" s="19"/>
      <c r="M52" s="20"/>
      <c r="N52" s="20"/>
      <c r="O52" s="16" t="s">
        <v>66</v>
      </c>
      <c r="P52" s="18" t="str">
        <f t="shared" si="2"/>
        <v xml:space="preserve">Belum lengkap (1)</v>
      </c>
      <c r="Q52" s="18" t="str">
        <f t="shared" si="3"/>
        <v/>
      </c>
      <c r="R52" s="18" t="str">
        <f>IF(INDEX(Korpus!$B:$B,$A52)="","",INDEX(Korpus!$B:$B,$A52))</f>
        <v xml:space="preserve">BAB VI
KEWAJIBAN PENGENDALI DATA PRIBADI DAN PROSESOR DATA PRIBADI DALAM PEMROSESAN DATA PRIBADI</v>
      </c>
      <c r="S52" s="18" t="str">
        <f>IF(INDEX(Korpus!$C:$C,$A52)="","",INDEX(Korpus!$C:$C,$A52))</f>
        <v xml:space="preserve">Bagian Kedua Kewajiban Pengendali Data Pribadi</v>
      </c>
    </row>
    <row r="53" ht="60" hidden="1" customHeight="1">
      <c r="A53" s="16">
        <v>53</v>
      </c>
      <c r="B53" s="17" t="str">
        <f>IF(Petunjuk!$C$4="","",Petunjuk!$C$4)</f>
        <v>Afriansyah</v>
      </c>
      <c r="C53" s="18" t="str">
        <f>IF(INDEX(Korpus!$A:$A,$A53)="","",INDEX(Korpus!$A:$A,$A53))</f>
        <v xml:space="preserve">UU 27 Thn 2022 (PDP)</v>
      </c>
      <c r="D53" s="18" t="str">
        <f>TRIM(INDEX(Korpus!$D:$D,$A53)&amp;" "&amp;INDEX(Korpus!$E:$E,$A53))</f>
        <v xml:space="preserve">Pasal 26</v>
      </c>
      <c r="E53" s="18" t="str">
        <f>IF(INDEX(Korpus!$F:$F,$A53)="","",INDEX(Korpus!$F:$F,$A53))</f>
        <v xml:space="preserve">(1) Pemrosesan Data Pribadi penyandang disabilitas diselenggarakan secara khusus.(2) Pemrosesan Data Pribadi penyandang disabilitas sebagaimana dimaksud pada ayat (1) dilakukan melalui komunikasi dengan menggunakan cara tertentu sesuai dengan ketentuan perundang-undangan.(3) Pemrosesan Data Pribadi penyandang disabilitas sebagaimana dimaksud pada ayat (2) wajib mendapat persetujuan dari penyandang disabilitas dan/ atau wali penyandang disabilitas sesuai dengan ketentuan peraturan perundang-undangan.</v>
      </c>
      <c r="F53" s="19"/>
      <c r="G53" s="19"/>
      <c r="H53" s="19"/>
      <c r="I53" s="19"/>
      <c r="J53" s="19"/>
      <c r="K53" s="19"/>
      <c r="L53" s="19"/>
      <c r="M53" s="20"/>
      <c r="N53" s="20"/>
      <c r="O53" s="16"/>
      <c r="P53" s="18" t="str">
        <f t="shared" si="2"/>
        <v xml:space="preserve">Belum lengkap (6)</v>
      </c>
      <c r="Q53" s="18" t="str">
        <f t="shared" si="3"/>
        <v/>
      </c>
      <c r="R53" s="18" t="str">
        <f>IF(INDEX(Korpus!$B:$B,$A53)="","",INDEX(Korpus!$B:$B,$A53))</f>
        <v xml:space="preserve">BAB VI
KEWAJIBAN PENGENDALI DATA PRIBADI DAN PROSESOR DATA PRIBADI DALAM PEMROSESAN DATA PRIBADI</v>
      </c>
      <c r="S53" s="18" t="str">
        <f>IF(INDEX(Korpus!$C:$C,$A53)="","",INDEX(Korpus!$C:$C,$A53))</f>
        <v xml:space="preserve">Bagian Kedua Kewajiban Pengendali Data Pribadi</v>
      </c>
    </row>
    <row r="54" ht="60" customHeight="1">
      <c r="A54" s="16">
        <v>54</v>
      </c>
      <c r="B54" s="17" t="str">
        <f>IF(Petunjuk!$C$4="","",Petunjuk!$C$4)</f>
        <v>Afriansyah</v>
      </c>
      <c r="C54" s="18" t="str">
        <f>IF(INDEX(Korpus!$A:$A,$A54)="","",INDEX(Korpus!$A:$A,$A54))</f>
        <v xml:space="preserve">UU 27 Thn 2022 (PDP)</v>
      </c>
      <c r="D54" s="18" t="str">
        <f>TRIM(INDEX(Korpus!$D:$D,$A54)&amp;" "&amp;INDEX(Korpus!$E:$E,$A54))</f>
        <v xml:space="preserve">Pasal 27</v>
      </c>
      <c r="E54" s="18" t="str">
        <f>IF(INDEX(Korpus!$F:$F,$A54)="","",INDEX(Korpus!$F:$F,$A54))</f>
        <v xml:space="preserve">Pengendali Data Pribadi wajib melakukan pemrosesan Data Pribadi secara terbatas dan spesifik, sah secara hukum, dan transparan.</v>
      </c>
      <c r="F54" s="19" t="s">
        <v>77</v>
      </c>
      <c r="G54" s="19"/>
      <c r="H54" s="19"/>
      <c r="I54" s="19" t="s">
        <v>76</v>
      </c>
      <c r="J54" s="19" t="s">
        <v>78</v>
      </c>
      <c r="K54" s="19" t="s">
        <v>69</v>
      </c>
      <c r="L54" s="19"/>
      <c r="M54" s="20"/>
      <c r="N54" s="20"/>
      <c r="O54" s="16" t="s">
        <v>66</v>
      </c>
      <c r="P54" s="18" t="str">
        <f t="shared" si="2"/>
        <v xml:space="preserve">Belum lengkap (2)</v>
      </c>
      <c r="Q54" s="18" t="str">
        <f t="shared" si="3"/>
        <v/>
      </c>
      <c r="R54" s="18" t="str">
        <f>IF(INDEX(Korpus!$B:$B,$A54)="","",INDEX(Korpus!$B:$B,$A54))</f>
        <v xml:space="preserve">BAB VI
KEWAJIBAN PENGENDALI DATA PRIBADI DAN PROSESOR DATA PRIBADI DALAM PEMROSESAN DATA PRIBADI</v>
      </c>
      <c r="S54" s="18" t="str">
        <f>IF(INDEX(Korpus!$C:$C,$A54)="","",INDEX(Korpus!$C:$C,$A54))</f>
        <v xml:space="preserve">Bagian Kedua Kewajiban Pengendali Data Pribadi</v>
      </c>
    </row>
    <row r="55" ht="60" hidden="1" customHeight="1">
      <c r="A55" s="16">
        <v>55</v>
      </c>
      <c r="B55" s="17" t="str">
        <f>IF(Petunjuk!$C$4="","",Petunjuk!$C$4)</f>
        <v>Afriansyah</v>
      </c>
      <c r="C55" s="18" t="str">
        <f>IF(INDEX(Korpus!$A:$A,$A55)="","",INDEX(Korpus!$A:$A,$A55))</f>
        <v xml:space="preserve">UU 27 Thn 2022 (PDP)</v>
      </c>
      <c r="D55" s="18" t="str">
        <f>TRIM(INDEX(Korpus!$D:$D,$A55)&amp;" "&amp;INDEX(Korpus!$E:$E,$A55))</f>
        <v xml:space="preserve">Pasal 28</v>
      </c>
      <c r="E55" s="18" t="str">
        <f>IF(INDEX(Korpus!$F:$F,$A55)="","",INDEX(Korpus!$F:$F,$A55))</f>
        <v xml:space="preserve">Pengendali Data Pribadi wajib melakukan pemrosesan Data Pribadi sesuai dengan tujuan pemrosesan Data Pribadi.</v>
      </c>
      <c r="F55" s="19"/>
      <c r="G55" s="19"/>
      <c r="H55" s="19"/>
      <c r="I55" s="19"/>
      <c r="J55" s="19"/>
      <c r="K55" s="19"/>
      <c r="L55" s="19"/>
      <c r="M55" s="20"/>
      <c r="N55" s="20"/>
      <c r="O55" s="16"/>
      <c r="P55" s="18" t="str">
        <f t="shared" si="2"/>
        <v xml:space="preserve">Belum lengkap (6)</v>
      </c>
      <c r="Q55" s="18" t="str">
        <f t="shared" si="3"/>
        <v/>
      </c>
      <c r="R55" s="18" t="str">
        <f>IF(INDEX(Korpus!$B:$B,$A55)="","",INDEX(Korpus!$B:$B,$A55))</f>
        <v xml:space="preserve">BAB VI
KEWAJIBAN PENGENDALI DATA PRIBADI DAN PROSESOR DATA PRIBADI DALAM PEMROSESAN DATA PRIBADI</v>
      </c>
      <c r="S55" s="18" t="str">
        <f>IF(INDEX(Korpus!$C:$C,$A55)="","",INDEX(Korpus!$C:$C,$A55))</f>
        <v xml:space="preserve">Bagian Kedua Kewajiban Pengendali Data Pribadi</v>
      </c>
    </row>
    <row r="56" ht="60" customHeight="1">
      <c r="A56" s="16">
        <v>56</v>
      </c>
      <c r="B56" s="17" t="str">
        <f>IF(Petunjuk!$C$4="","",Petunjuk!$C$4)</f>
        <v>Afriansyah</v>
      </c>
      <c r="C56" s="18" t="str">
        <f>IF(INDEX(Korpus!$A:$A,$A56)="","",INDEX(Korpus!$A:$A,$A56))</f>
        <v xml:space="preserve">UU 27 Thn 2022 (PDP)</v>
      </c>
      <c r="D56" s="18" t="str">
        <f>TRIM(INDEX(Korpus!$D:$D,$A56)&amp;" "&amp;INDEX(Korpus!$E:$E,$A56))</f>
        <v xml:space="preserve">Pasal 29</v>
      </c>
      <c r="E56" s="18" t="str">
        <f>IF(INDEX(Korpus!$F:$F,$A56)="","",INDEX(Korpus!$F:$F,$A56))</f>
        <v xml:space="preserve">(1) Pengendali Data Pribadi wajib memastikan akurasi, kelengkapan, dan konsistensi Data Pribadi sesuai dengan ketentuan peraturan perundang-undangan.(2) Dalam memastikan akurasi, kelengkapan, dan konsistensi Data Pribadi sebagaimana dimaksud pada ayat (1) Pengendali Data Pribadi wajib melakukan verifikasi.</v>
      </c>
      <c r="F56" s="19" t="s">
        <v>77</v>
      </c>
      <c r="G56" s="19"/>
      <c r="H56" s="19"/>
      <c r="I56" s="19" t="s">
        <v>76</v>
      </c>
      <c r="J56" s="19" t="s">
        <v>79</v>
      </c>
      <c r="K56" s="19"/>
      <c r="L56" s="19"/>
      <c r="M56" s="20"/>
      <c r="N56" s="20"/>
      <c r="O56" s="16" t="s">
        <v>66</v>
      </c>
      <c r="P56" s="18" t="str">
        <f t="shared" si="2"/>
        <v xml:space="preserve">Belum lengkap (3)</v>
      </c>
      <c r="Q56" s="18" t="str">
        <f t="shared" si="3"/>
        <v/>
      </c>
      <c r="R56" s="18" t="str">
        <f>IF(INDEX(Korpus!$B:$B,$A56)="","",INDEX(Korpus!$B:$B,$A56))</f>
        <v xml:space="preserve">BAB VI
KEWAJIBAN PENGENDALI DATA PRIBADI DAN PROSESOR DATA PRIBADI DALAM PEMROSESAN DATA PRIBADI</v>
      </c>
      <c r="S56" s="18" t="str">
        <f>IF(INDEX(Korpus!$C:$C,$A56)="","",INDEX(Korpus!$C:$C,$A56))</f>
        <v xml:space="preserve">Bagian Kedua Kewajiban Pengendali Data Pribadi</v>
      </c>
    </row>
    <row r="57" ht="60" hidden="1" customHeight="1">
      <c r="A57" s="16">
        <v>57</v>
      </c>
      <c r="B57" s="17" t="str">
        <f>IF(Petunjuk!$C$4="","",Petunjuk!$C$4)</f>
        <v>Afriansyah</v>
      </c>
      <c r="C57" s="18" t="str">
        <f>IF(INDEX(Korpus!$A:$A,$A57)="","",INDEX(Korpus!$A:$A,$A57))</f>
        <v xml:space="preserve">UU 27 Thn 2022 (PDP)</v>
      </c>
      <c r="D57" s="18" t="str">
        <f>TRIM(INDEX(Korpus!$D:$D,$A57)&amp;" "&amp;INDEX(Korpus!$E:$E,$A57))</f>
        <v xml:space="preserve">Pasal 30</v>
      </c>
      <c r="E57" s="18" t="str">
        <f>IF(INDEX(Korpus!$F:$F,$A57)="","",INDEX(Korpus!$F:$F,$A57))</f>
        <v xml:space="preserve">(1) Pengendali Data Pribadi wajib memperbarui dan/ atau memperbaiki kesalahan dan/atau ketidakakuratan Data Pribadi paling lambat 3 x 24 (tiga kali dua puluh empat) jam terhitung sejak Pengendali Data Pribadi menerima permintaan pembaruan dan/atau perbaikan Data Pribadi.(2) Pengendali Data Pribadi wajib memberitahukan hasil pembaruan dan/atau perbaikan Data Pribadi kepada Subjek Data Pribadi.</v>
      </c>
      <c r="F57" s="19"/>
      <c r="G57" s="19"/>
      <c r="H57" s="19"/>
      <c r="I57" s="19"/>
      <c r="J57" s="19"/>
      <c r="K57" s="19"/>
      <c r="L57" s="19"/>
      <c r="M57" s="20"/>
      <c r="N57" s="20"/>
      <c r="O57" s="16"/>
      <c r="P57" s="18" t="str">
        <f t="shared" si="2"/>
        <v xml:space="preserve">Belum lengkap (6)</v>
      </c>
      <c r="Q57" s="18" t="str">
        <f t="shared" si="3"/>
        <v/>
      </c>
      <c r="R57" s="18" t="str">
        <f>IF(INDEX(Korpus!$B:$B,$A57)="","",INDEX(Korpus!$B:$B,$A57))</f>
        <v xml:space="preserve">BAB VI
KEWAJIBAN PENGENDALI DATA PRIBADI DAN PROSESOR DATA PRIBADI DALAM PEMROSESAN DATA PRIBADI</v>
      </c>
      <c r="S57" s="18" t="str">
        <f>IF(INDEX(Korpus!$C:$C,$A57)="","",INDEX(Korpus!$C:$C,$A57))</f>
        <v xml:space="preserve">Bagian Kedua Kewajiban Pengendali Data Pribadi</v>
      </c>
    </row>
    <row r="58" ht="60" hidden="1" customHeight="1">
      <c r="A58" s="16">
        <v>58</v>
      </c>
      <c r="B58" s="17" t="str">
        <f>IF(Petunjuk!$C$4="","",Petunjuk!$C$4)</f>
        <v>Afriansyah</v>
      </c>
      <c r="C58" s="18" t="str">
        <f>IF(INDEX(Korpus!$A:$A,$A58)="","",INDEX(Korpus!$A:$A,$A58))</f>
        <v xml:space="preserve">UU 27 Thn 2022 (PDP)</v>
      </c>
      <c r="D58" s="18" t="str">
        <f>TRIM(INDEX(Korpus!$D:$D,$A58)&amp;" "&amp;INDEX(Korpus!$E:$E,$A58))</f>
        <v xml:space="preserve">Pasal 31</v>
      </c>
      <c r="E58" s="18" t="str">
        <f>IF(INDEX(Korpus!$F:$F,$A58)="","",INDEX(Korpus!$F:$F,$A58))</f>
        <v xml:space="preserve">Pengendali Data Pribadi wajib melakukan perekaman terhadap seluruh kegiatan pemrosesan Data Pribadi.</v>
      </c>
      <c r="F58" s="19"/>
      <c r="G58" s="19"/>
      <c r="H58" s="19"/>
      <c r="I58" s="19"/>
      <c r="J58" s="19"/>
      <c r="K58" s="19"/>
      <c r="L58" s="19"/>
      <c r="M58" s="20"/>
      <c r="N58" s="20"/>
      <c r="O58" s="16"/>
      <c r="P58" s="18" t="str">
        <f t="shared" si="2"/>
        <v xml:space="preserve">Belum lengkap (6)</v>
      </c>
      <c r="Q58" s="18" t="str">
        <f t="shared" si="3"/>
        <v/>
      </c>
      <c r="R58" s="18" t="str">
        <f>IF(INDEX(Korpus!$B:$B,$A58)="","",INDEX(Korpus!$B:$B,$A58))</f>
        <v xml:space="preserve">BAB VI
KEWAJIBAN PENGENDALI DATA PRIBADI DAN PROSESOR DATA PRIBADI DALAM PEMROSESAN DATA PRIBADI</v>
      </c>
      <c r="S58" s="18" t="str">
        <f>IF(INDEX(Korpus!$C:$C,$A58)="","",INDEX(Korpus!$C:$C,$A58))</f>
        <v xml:space="preserve">Bagian Kedua Kewajiban Pengendali Data Pribadi</v>
      </c>
    </row>
    <row r="59" ht="60" hidden="1" customHeight="1">
      <c r="A59" s="16">
        <v>59</v>
      </c>
      <c r="B59" s="17" t="str">
        <f>IF(Petunjuk!$C$4="","",Petunjuk!$C$4)</f>
        <v>Afriansyah</v>
      </c>
      <c r="C59" s="18" t="str">
        <f>IF(INDEX(Korpus!$A:$A,$A59)="","",INDEX(Korpus!$A:$A,$A59))</f>
        <v xml:space="preserve">UU 27 Thn 2022 (PDP)</v>
      </c>
      <c r="D59" s="18" t="str">
        <f>TRIM(INDEX(Korpus!$D:$D,$A59)&amp;" "&amp;INDEX(Korpus!$E:$E,$A59))</f>
        <v xml:space="preserve">Pasal 32</v>
      </c>
      <c r="E59" s="18" t="str">
        <f>IF(INDEX(Korpus!$F:$F,$A59)="","",INDEX(Korpus!$F:$F,$A59))</f>
        <v xml:space="preserve">(1) Pengendali Data Pribadi wajib memberikan akses kepada Subjek Data Pribadi terhadap Data Pribadi yang diproses beserta rekam jejak pemrosesan Data Pribadi sesuai dengan jangka waktu penyimpanan Data Pribadi.(2) Akses sebagaimana dimaksud pada ayat (1) diberikan paling lambat 3 x 24 (tiga kali dua puluh empat) jam terhitung sejak Pengendali Data Pribadi menerima permintaan akses.</v>
      </c>
      <c r="F59" s="19"/>
      <c r="G59" s="19"/>
      <c r="H59" s="19"/>
      <c r="I59" s="19"/>
      <c r="J59" s="19"/>
      <c r="K59" s="19"/>
      <c r="L59" s="19"/>
      <c r="M59" s="20"/>
      <c r="N59" s="20"/>
      <c r="O59" s="16"/>
      <c r="P59" s="18" t="str">
        <f t="shared" si="2"/>
        <v xml:space="preserve">Belum lengkap (6)</v>
      </c>
      <c r="Q59" s="18" t="str">
        <f t="shared" si="3"/>
        <v/>
      </c>
      <c r="R59" s="18" t="str">
        <f>IF(INDEX(Korpus!$B:$B,$A59)="","",INDEX(Korpus!$B:$B,$A59))</f>
        <v xml:space="preserve">BAB VI
KEWAJIBAN PENGENDALI DATA PRIBADI DAN PROSESOR DATA PRIBADI DALAM PEMROSESAN DATA PRIBADI</v>
      </c>
      <c r="S59" s="18" t="str">
        <f>IF(INDEX(Korpus!$C:$C,$A59)="","",INDEX(Korpus!$C:$C,$A59))</f>
        <v xml:space="preserve">Bagian Kedua Kewajiban Pengendali Data Pribadi</v>
      </c>
    </row>
    <row r="60" ht="60" hidden="1" customHeight="1">
      <c r="A60" s="16">
        <v>60</v>
      </c>
      <c r="B60" s="17" t="str">
        <f>IF(Petunjuk!$C$4="","",Petunjuk!$C$4)</f>
        <v>Afriansyah</v>
      </c>
      <c r="C60" s="18" t="str">
        <f>IF(INDEX(Korpus!$A:$A,$A60)="","",INDEX(Korpus!$A:$A,$A60))</f>
        <v xml:space="preserve">UU 27 Thn 2022 (PDP)</v>
      </c>
      <c r="D60" s="18" t="str">
        <f>TRIM(INDEX(Korpus!$D:$D,$A60)&amp;" "&amp;INDEX(Korpus!$E:$E,$A60))</f>
        <v xml:space="preserve">Pasal 33</v>
      </c>
      <c r="E60" s="18" t="str">
        <f>IF(INDEX(Korpus!$F:$F,$A60)="","",INDEX(Korpus!$F:$F,$A60))</f>
        <v xml:space="preserve">Pengendali Data Pribadi wajib menolak memberikan akses perubahan terhadap Data Pribadi kepada Subjek Data Pribadi dalam hal:a. membahayakan keamanan, kesehatan fisik, atau kesehatan mental Subjek Data Pribadi dan/ atau orang lain; b. berdampak pada pengungkapan Data Pribadi milik orang lain; dan/ atau c. bertentangan dengan kepentingan pertahanan dan keamanan nasional.</v>
      </c>
      <c r="F60" s="19"/>
      <c r="G60" s="19"/>
      <c r="H60" s="19"/>
      <c r="I60" s="19"/>
      <c r="J60" s="19"/>
      <c r="K60" s="19"/>
      <c r="L60" s="19"/>
      <c r="M60" s="20"/>
      <c r="N60" s="20"/>
      <c r="O60" s="16"/>
      <c r="P60" s="18" t="str">
        <f t="shared" si="2"/>
        <v xml:space="preserve">Belum lengkap (6)</v>
      </c>
      <c r="Q60" s="18" t="str">
        <f t="shared" si="3"/>
        <v/>
      </c>
      <c r="R60" s="18" t="str">
        <f>IF(INDEX(Korpus!$B:$B,$A60)="","",INDEX(Korpus!$B:$B,$A60))</f>
        <v xml:space="preserve">BAB VI
KEWAJIBAN PENGENDALI DATA PRIBADI DAN PROSESOR DATA PRIBADI DALAM PEMROSESAN DATA PRIBADI</v>
      </c>
      <c r="S60" s="18" t="str">
        <f>IF(INDEX(Korpus!$C:$C,$A60)="","",INDEX(Korpus!$C:$C,$A60))</f>
        <v xml:space="preserve">Bagian Kedua Kewajiban Pengendali Data Pribadi</v>
      </c>
    </row>
    <row r="61" ht="60" hidden="1" customHeight="1">
      <c r="A61" s="16">
        <v>61</v>
      </c>
      <c r="B61" s="17" t="str">
        <f>IF(Petunjuk!$C$4="","",Petunjuk!$C$4)</f>
        <v>Afriansyah</v>
      </c>
      <c r="C61" s="18" t="str">
        <f>IF(INDEX(Korpus!$A:$A,$A61)="","",INDEX(Korpus!$A:$A,$A61))</f>
        <v xml:space="preserve">UU 27 Thn 2022 (PDP)</v>
      </c>
      <c r="D61" s="18" t="str">
        <f>TRIM(INDEX(Korpus!$D:$D,$A61)&amp;" "&amp;INDEX(Korpus!$E:$E,$A61))</f>
        <v xml:space="preserve">Pasal 34</v>
      </c>
      <c r="E61" s="18" t="str">
        <f>IF(INDEX(Korpus!$F:$F,$A61)="","",INDEX(Korpus!$F:$F,$A61))</f>
        <v xml:space="preserve">(1) Pengendali Data Pribadi wajib melakukan penilaian dampak Pelindungan Data Pribadi dalam hal pemrosesan Data Pribadi memiliki potensi risiko tinggi terhadap Subjek Data Pribadi.(2) Pemrosesan Data Pribadi memiliki potensi risiko tinggi sebagaimana dimaksud pada ayat (1) meliputi:a. pengambilan keputusan secara otomatis yang memiliki akibat hukum atau dampak yang signifikan terhadap Subjek Data Pribadi; b. pemrosesan atas Data Pribadi yang bersifat spesifik; c. pemrosesan Data Pribadi dalam skala besar; d. pemrosesan Data Pribadi untuk kegiatan evaluasi, penskoran, atau pemantauan yang sistematis terhadap Subjek Data Pribadi; e. pemrosesan Data Pribadi untuk kegiatan pencocokan atau penggabungan sekelompok data; f. penggunaan teknologi baru dalam pemrosesan Data Pribadi; dan/ atau g. pemrosesan Data Pribadi yang membatasi pelaksanaan hak Subjek Data Pribadi.(3) Ketentuan lebih lanjut mengenai penilaian dampak Pelindungan Data Pribadi diatur dalam Peraturan Pemerintah.</v>
      </c>
      <c r="F61" s="19"/>
      <c r="G61" s="19"/>
      <c r="H61" s="19"/>
      <c r="I61" s="19"/>
      <c r="J61" s="19"/>
      <c r="K61" s="19"/>
      <c r="L61" s="19"/>
      <c r="M61" s="20"/>
      <c r="N61" s="20"/>
      <c r="O61" s="16"/>
      <c r="P61" s="18" t="str">
        <f t="shared" si="2"/>
        <v xml:space="preserve">Belum lengkap (6)</v>
      </c>
      <c r="Q61" s="18" t="str">
        <f t="shared" si="3"/>
        <v/>
      </c>
      <c r="R61" s="18" t="str">
        <f>IF(INDEX(Korpus!$B:$B,$A61)="","",INDEX(Korpus!$B:$B,$A61))</f>
        <v xml:space="preserve">BAB VI
KEWAJIBAN PENGENDALI DATA PRIBADI DAN PROSESOR DATA PRIBADI DALAM PEMROSESAN DATA PRIBADI</v>
      </c>
      <c r="S61" s="18" t="str">
        <f>IF(INDEX(Korpus!$C:$C,$A61)="","",INDEX(Korpus!$C:$C,$A61))</f>
        <v xml:space="preserve">Bagian Kedua
Kewajiban Pengendali Data Pribadi</v>
      </c>
    </row>
    <row r="62" ht="60" hidden="1" customHeight="1">
      <c r="A62" s="16">
        <v>62</v>
      </c>
      <c r="B62" s="17" t="str">
        <f>IF(Petunjuk!$C$4="","",Petunjuk!$C$4)</f>
        <v>Afriansyah</v>
      </c>
      <c r="C62" s="18" t="str">
        <f>IF(INDEX(Korpus!$A:$A,$A62)="","",INDEX(Korpus!$A:$A,$A62))</f>
        <v xml:space="preserve">UU 27 Thn 2022 (PDP)</v>
      </c>
      <c r="D62" s="18" t="str">
        <f>TRIM(INDEX(Korpus!$D:$D,$A62)&amp;" "&amp;INDEX(Korpus!$E:$E,$A62))</f>
        <v xml:space="preserve">Pasal 35</v>
      </c>
      <c r="E62" s="18" t="str">
        <f>IF(INDEX(Korpus!$F:$F,$A62)="","",INDEX(Korpus!$F:$F,$A62))</f>
        <v xml:space="preserve">Pengendali Data Pribadi wajib melindungi dan memastikan keamanan Data Pribadi yang diprosesnya, dengan melakukan:a. penyusunan dan penerapan langkah teknis operasional untuk melindungi Data Pribadi dari gangguan pemrosesan Data Pribadi yang bertentangan dengan ketentuan peraturan perundang-undangan; dan b. penentuan tingkat keamanan Data Pribadi dengan memperhatikan sifat dan risiko dari Data Pribadi yang harus dilindungi dalam pemrosesan Data Pribadi.</v>
      </c>
      <c r="F62" s="19"/>
      <c r="G62" s="19"/>
      <c r="H62" s="19"/>
      <c r="I62" s="19"/>
      <c r="J62" s="19"/>
      <c r="K62" s="19"/>
      <c r="L62" s="19"/>
      <c r="M62" s="20"/>
      <c r="N62" s="20"/>
      <c r="O62" s="16"/>
      <c r="P62" s="18" t="str">
        <f t="shared" si="2"/>
        <v xml:space="preserve">Belum lengkap (6)</v>
      </c>
      <c r="Q62" s="18" t="str">
        <f t="shared" si="3"/>
        <v/>
      </c>
      <c r="R62" s="18" t="str">
        <f>IF(INDEX(Korpus!$B:$B,$A62)="","",INDEX(Korpus!$B:$B,$A62))</f>
        <v xml:space="preserve">BAB VI
KEWAJIBAN PENGENDALI DATA PRIBADI DAN PROSESOR DATA PRIBADI DALAM PEMROSESAN DATA PRIBADI</v>
      </c>
      <c r="S62" s="18" t="str">
        <f>IF(INDEX(Korpus!$C:$C,$A62)="","",INDEX(Korpus!$C:$C,$A62))</f>
        <v xml:space="preserve">Bagian Kedua
Kewajiban Pengendali Data Pribadi</v>
      </c>
    </row>
    <row r="63" ht="60" hidden="1" customHeight="1">
      <c r="A63" s="16">
        <v>63</v>
      </c>
      <c r="B63" s="17" t="str">
        <f>IF(Petunjuk!$C$4="","",Petunjuk!$C$4)</f>
        <v>Afriansyah</v>
      </c>
      <c r="C63" s="18" t="str">
        <f>IF(INDEX(Korpus!$A:$A,$A63)="","",INDEX(Korpus!$A:$A,$A63))</f>
        <v xml:space="preserve">UU 27 Thn 2022 (PDP)</v>
      </c>
      <c r="D63" s="18" t="str">
        <f>TRIM(INDEX(Korpus!$D:$D,$A63)&amp;" "&amp;INDEX(Korpus!$E:$E,$A63))</f>
        <v xml:space="preserve">Pasal 36</v>
      </c>
      <c r="E63" s="18" t="str">
        <f>IF(INDEX(Korpus!$F:$F,$A63)="","",INDEX(Korpus!$F:$F,$A63))</f>
        <v xml:space="preserve">Dalam melakukan pemrosesan Data Pribadi, Pengendali Data Pribadi wajib menjaga kerahasiaan Data Pribadi.</v>
      </c>
      <c r="F63" s="19"/>
      <c r="G63" s="19"/>
      <c r="H63" s="19"/>
      <c r="I63" s="19"/>
      <c r="J63" s="19"/>
      <c r="K63" s="19"/>
      <c r="L63" s="19"/>
      <c r="M63" s="20"/>
      <c r="N63" s="20"/>
      <c r="O63" s="16"/>
      <c r="P63" s="18" t="str">
        <f t="shared" si="2"/>
        <v xml:space="preserve">Belum lengkap (6)</v>
      </c>
      <c r="Q63" s="18" t="str">
        <f t="shared" si="3"/>
        <v/>
      </c>
      <c r="R63" s="18" t="str">
        <f>IF(INDEX(Korpus!$B:$B,$A63)="","",INDEX(Korpus!$B:$B,$A63))</f>
        <v xml:space="preserve">BAB VI
KEWAJIBAN PENGENDALI DATA PRIBADI DAN PROSESOR DATA PRIBADI DALAM PEMROSESAN DATA PRIBADI</v>
      </c>
      <c r="S63" s="18" t="str">
        <f>IF(INDEX(Korpus!$C:$C,$A63)="","",INDEX(Korpus!$C:$C,$A63))</f>
        <v xml:space="preserve">Bagian Kedua
Kewajiban Pengendali Data Pribadi</v>
      </c>
    </row>
    <row r="64" ht="60" hidden="1" customHeight="1">
      <c r="A64" s="16">
        <v>64</v>
      </c>
      <c r="B64" s="17" t="str">
        <f>IF(Petunjuk!$C$4="","",Petunjuk!$C$4)</f>
        <v>Afriansyah</v>
      </c>
      <c r="C64" s="18" t="str">
        <f>IF(INDEX(Korpus!$A:$A,$A64)="","",INDEX(Korpus!$A:$A,$A64))</f>
        <v xml:space="preserve">UU 27 Thn 2022 (PDP)</v>
      </c>
      <c r="D64" s="18" t="str">
        <f>TRIM(INDEX(Korpus!$D:$D,$A64)&amp;" "&amp;INDEX(Korpus!$E:$E,$A64))</f>
        <v xml:space="preserve">Pasal 37</v>
      </c>
      <c r="E64" s="18" t="str">
        <f>IF(INDEX(Korpus!$F:$F,$A64)="","",INDEX(Korpus!$F:$F,$A64))</f>
        <v xml:space="preserve">Pengendali Data Pribadi wajib melakukan pengawasan terhadap setiap pihak yang terlibat dalam pemrosesan Data Pribadi di bawah kendali Pengendali Data Pribadi.</v>
      </c>
      <c r="F64" s="19"/>
      <c r="G64" s="19"/>
      <c r="H64" s="19"/>
      <c r="I64" s="19"/>
      <c r="J64" s="19"/>
      <c r="K64" s="19"/>
      <c r="L64" s="19"/>
      <c r="M64" s="20"/>
      <c r="N64" s="20"/>
      <c r="O64" s="16"/>
      <c r="P64" s="18" t="str">
        <f t="shared" si="2"/>
        <v xml:space="preserve">Belum lengkap (6)</v>
      </c>
      <c r="Q64" s="18" t="str">
        <f t="shared" si="3"/>
        <v/>
      </c>
      <c r="R64" s="18" t="str">
        <f>IF(INDEX(Korpus!$B:$B,$A64)="","",INDEX(Korpus!$B:$B,$A64))</f>
        <v xml:space="preserve">BAB VI
KEWAJIBAN PENGENDALI DATA PRIBADI DAN PROSESOR DATA PRIBADI DALAM PEMROSESAN DATA PRIBADI</v>
      </c>
      <c r="S64" s="18" t="str">
        <f>IF(INDEX(Korpus!$C:$C,$A64)="","",INDEX(Korpus!$C:$C,$A64))</f>
        <v xml:space="preserve">Bagian Kedua
Kewajiban Pengendali Data Pribadi</v>
      </c>
    </row>
    <row r="65" ht="60" hidden="1" customHeight="1">
      <c r="A65" s="16">
        <v>65</v>
      </c>
      <c r="B65" s="17" t="str">
        <f>IF(Petunjuk!$C$4="","",Petunjuk!$C$4)</f>
        <v>Afriansyah</v>
      </c>
      <c r="C65" s="18" t="str">
        <f>IF(INDEX(Korpus!$A:$A,$A65)="","",INDEX(Korpus!$A:$A,$A65))</f>
        <v xml:space="preserve">UU 27 Thn 2022 (PDP)</v>
      </c>
      <c r="D65" s="18" t="str">
        <f>TRIM(INDEX(Korpus!$D:$D,$A65)&amp;" "&amp;INDEX(Korpus!$E:$E,$A65))</f>
        <v xml:space="preserve">Pasal 38</v>
      </c>
      <c r="E65" s="18" t="str">
        <f>IF(INDEX(Korpus!$F:$F,$A65)="","",INDEX(Korpus!$F:$F,$A65))</f>
        <v xml:space="preserve">Pengendali Data Pribadi wajib melindungi Data Pribadi dari pemrosesan yang tidak sah.</v>
      </c>
      <c r="F65" s="19"/>
      <c r="G65" s="19"/>
      <c r="H65" s="19"/>
      <c r="I65" s="19"/>
      <c r="J65" s="19"/>
      <c r="K65" s="19"/>
      <c r="L65" s="19"/>
      <c r="M65" s="20"/>
      <c r="N65" s="20"/>
      <c r="O65" s="16"/>
      <c r="P65" s="18" t="str">
        <f t="shared" si="2"/>
        <v xml:space="preserve">Belum lengkap (6)</v>
      </c>
      <c r="Q65" s="18" t="str">
        <f t="shared" si="3"/>
        <v/>
      </c>
      <c r="R65" s="18" t="str">
        <f>IF(INDEX(Korpus!$B:$B,$A65)="","",INDEX(Korpus!$B:$B,$A65))</f>
        <v xml:space="preserve">BAB VI
KEWAJIBAN PENGENDALI DATA PRIBADI DAN PROSESOR DATA PRIBADI DALAM PEMROSESAN DATA PRIBADI</v>
      </c>
      <c r="S65" s="18" t="str">
        <f>IF(INDEX(Korpus!$C:$C,$A65)="","",INDEX(Korpus!$C:$C,$A65))</f>
        <v xml:space="preserve">Bagian Kedua
Kewajiban Pengendali Data Pribadi</v>
      </c>
    </row>
    <row r="66" ht="60" hidden="1" customHeight="1">
      <c r="A66" s="16">
        <v>66</v>
      </c>
      <c r="B66" s="17" t="str">
        <f>IF(Petunjuk!$C$4="","",Petunjuk!$C$4)</f>
        <v>Afriansyah</v>
      </c>
      <c r="C66" s="18" t="str">
        <f>IF(INDEX(Korpus!$A:$A,$A66)="","",INDEX(Korpus!$A:$A,$A66))</f>
        <v xml:space="preserve">UU 27 Thn 2022 (PDP)</v>
      </c>
      <c r="D66" s="18" t="str">
        <f>TRIM(INDEX(Korpus!$D:$D,$A66)&amp;" "&amp;INDEX(Korpus!$E:$E,$A66))</f>
        <v xml:space="preserve">Pasal 39</v>
      </c>
      <c r="E66" s="18" t="str">
        <f>IF(INDEX(Korpus!$F:$F,$A66)="","",INDEX(Korpus!$F:$F,$A66))</f>
        <v xml:space="preserve">(1) Pengendali Data Pribadi wajib mencegah Data Pribadi diakses secara tidak sah.(2) Pencegahan sebagaimana dimaksud pada ayat (1) dilakukan dengan sistem keamanan terhadap Data Pribadi yang diproses dan/ atau sistem memproses Data Pribadi elektronik secara andal, aman, dan bertanggung jawab.(3) Pencegahan sebagaimana dimaksud pada ayat (2) dilakukan sesuai dengan ketentuan peraturan perundang-undangan.</v>
      </c>
      <c r="F66" s="19"/>
      <c r="G66" s="19"/>
      <c r="H66" s="19"/>
      <c r="I66" s="19"/>
      <c r="J66" s="19"/>
      <c r="K66" s="19"/>
      <c r="L66" s="19"/>
      <c r="M66" s="20"/>
      <c r="N66" s="20"/>
      <c r="O66" s="16"/>
      <c r="P66" s="18" t="str">
        <f t="shared" si="2"/>
        <v xml:space="preserve">Belum lengkap (6)</v>
      </c>
      <c r="Q66" s="18" t="str">
        <f t="shared" si="3"/>
        <v/>
      </c>
      <c r="R66" s="18" t="str">
        <f>IF(INDEX(Korpus!$B:$B,$A66)="","",INDEX(Korpus!$B:$B,$A66))</f>
        <v xml:space="preserve">BAB VI
KEWAJIBAN PENGENDALI DATA PRIBADI DAN PROSESOR DATA PRIBADI DALAM PEMROSESAN DATA PRIBADI</v>
      </c>
      <c r="S66" s="18" t="str">
        <f>IF(INDEX(Korpus!$C:$C,$A66)="","",INDEX(Korpus!$C:$C,$A66))</f>
        <v xml:space="preserve">Bagian Kedua
Kewajiban Pengendali Data Pribadi</v>
      </c>
    </row>
    <row r="67" ht="60" hidden="1" customHeight="1">
      <c r="A67" s="16">
        <v>67</v>
      </c>
      <c r="B67" s="17" t="str">
        <f>IF(Petunjuk!$C$4="","",Petunjuk!$C$4)</f>
        <v>Afriansyah</v>
      </c>
      <c r="C67" s="18" t="str">
        <f>IF(INDEX(Korpus!$A:$A,$A67)="","",INDEX(Korpus!$A:$A,$A67))</f>
        <v xml:space="preserve">UU 27 Thn 2022 (PDP)</v>
      </c>
      <c r="D67" s="18" t="str">
        <f>TRIM(INDEX(Korpus!$D:$D,$A67)&amp;" "&amp;INDEX(Korpus!$E:$E,$A67))</f>
        <v xml:space="preserve">Pasal 40</v>
      </c>
      <c r="E67" s="18" t="str">
        <f>IF(INDEX(Korpus!$F:$F,$A67)="","",INDEX(Korpus!$F:$F,$A67))</f>
        <v xml:space="preserve">(1) Pengendali Data Pribadi wajib menghentikan pemrosesan Data Pribadi dalam hal Subjek Data Pribadi menarik kembali persetujuan pemrosesan Data Pribadi.(2) Penghentian pemrosesan Data Pribadi sebagaimana dimaksud pada ayat (1) dilakukan paling lambat 3 x 24 (tiga kali dua puluh empat) jam terhitung sejak Pengendali Data Pribadi menerima permintaan penarikan kembali persetujuan pemrosesan Data Pribadi.</v>
      </c>
      <c r="F67" s="19"/>
      <c r="G67" s="19"/>
      <c r="H67" s="19"/>
      <c r="I67" s="19"/>
      <c r="J67" s="19"/>
      <c r="K67" s="19"/>
      <c r="L67" s="19"/>
      <c r="M67" s="20"/>
      <c r="N67" s="20"/>
      <c r="O67" s="16"/>
      <c r="P67" s="18" t="str">
        <f t="shared" si="2"/>
        <v xml:space="preserve">Belum lengkap (6)</v>
      </c>
      <c r="Q67" s="18" t="str">
        <f t="shared" si="3"/>
        <v/>
      </c>
      <c r="R67" s="18" t="str">
        <f>IF(INDEX(Korpus!$B:$B,$A67)="","",INDEX(Korpus!$B:$B,$A67))</f>
        <v xml:space="preserve">BAB VI
KEWAJIBAN PENGENDALI DATA PRIBADI DAN PROSESOR DATA PRIBADI DALAM PEMROSESAN DATA PRIBADI</v>
      </c>
      <c r="S67" s="18" t="str">
        <f>IF(INDEX(Korpus!$C:$C,$A67)="","",INDEX(Korpus!$C:$C,$A67))</f>
        <v xml:space="preserve">Bagian Kedua
Kewajiban Pengendali Data Pribadi</v>
      </c>
    </row>
    <row r="68" ht="60" hidden="1" customHeight="1">
      <c r="A68" s="16">
        <v>68</v>
      </c>
      <c r="B68" s="17" t="str">
        <f>IF(Petunjuk!$C$4="","",Petunjuk!$C$4)</f>
        <v>Afriansyah</v>
      </c>
      <c r="C68" s="18" t="str">
        <f>IF(INDEX(Korpus!$A:$A,$A68)="","",INDEX(Korpus!$A:$A,$A68))</f>
        <v xml:space="preserve">UU 27 Thn 2022 (PDP)</v>
      </c>
      <c r="D68" s="18" t="str">
        <f>TRIM(INDEX(Korpus!$D:$D,$A68)&amp;" "&amp;INDEX(Korpus!$E:$E,$A68))</f>
        <v xml:space="preserve">Pasal 41</v>
      </c>
      <c r="E68" s="18" t="str">
        <f>IF(INDEX(Korpus!$F:$F,$A68)="","",INDEX(Korpus!$F:$F,$A68))</f>
        <v xml:space="preserve">(1) Pengendali Data Pribadi wajib melakukan penundaan dan pembatasan pemrosesan Data Pribadi baik sebagian maupun seluruhnya paling lambat 3 x 24 (tiga kali dua puluh empat) jam terhitung sejak Pengendali Data Pribadi menerima permintaan penundaan dan pembatasan pemrosesan Data Pribadi.(2) Penundaan dan pembatasan pemrosesan Data Pribadi sebagaimana dimaksud pada ayat (1) dikecualikan dalam hal:a terdapat ketentuan peraturan perundang-undangan yang tidak memungkinkan dilakukan penundaan dan pembatasan pemrosesan Data Pribadi; b. dapat membahayakan keselamatan pihak lain; dan/atau c. Subjek Data Pribadi terikat perjanjian tertulis dengan Pengendali Data Pribadi yang tidak memungkinkan dilakukan dan pembatasan pemrosesan Data Pribadi.(3) Pengendali Data Pribadi wajib memberitahukan telah dilaksanakan penundaan dan pembatasan pemrosesan Data Pribadi kepada Subjek Data Pribadi.</v>
      </c>
      <c r="F68" s="19"/>
      <c r="G68" s="19"/>
      <c r="H68" s="19"/>
      <c r="I68" s="19"/>
      <c r="J68" s="19"/>
      <c r="K68" s="19"/>
      <c r="L68" s="19"/>
      <c r="M68" s="20"/>
      <c r="N68" s="20"/>
      <c r="O68" s="16"/>
      <c r="P68" s="18" t="str">
        <f t="shared" si="2"/>
        <v xml:space="preserve">Belum lengkap (6)</v>
      </c>
      <c r="Q68" s="18" t="str">
        <f t="shared" si="3"/>
        <v/>
      </c>
      <c r="R68" s="18" t="str">
        <f>IF(INDEX(Korpus!$B:$B,$A68)="","",INDEX(Korpus!$B:$B,$A68))</f>
        <v xml:space="preserve">BAB VI
KEWAJIBAN PENGENDALI DATA PRIBADI DAN PROSESOR DATA PRIBADI DALAM PEMROSESAN DATA PRIBADI</v>
      </c>
      <c r="S68" s="18" t="str">
        <f>IF(INDEX(Korpus!$C:$C,$A68)="","",INDEX(Korpus!$C:$C,$A68))</f>
        <v xml:space="preserve">Bagian Kedua
Kewajiban Pengendali Data Pribadi</v>
      </c>
    </row>
    <row r="69" ht="60" hidden="1" customHeight="1">
      <c r="A69" s="16">
        <v>69</v>
      </c>
      <c r="B69" s="17" t="str">
        <f>IF(Petunjuk!$C$4="","",Petunjuk!$C$4)</f>
        <v>Afriansyah</v>
      </c>
      <c r="C69" s="18" t="str">
        <f>IF(INDEX(Korpus!$A:$A,$A69)="","",INDEX(Korpus!$A:$A,$A69))</f>
        <v xml:space="preserve">UU 27 Thn 2022 (PDP)</v>
      </c>
      <c r="D69" s="18" t="str">
        <f>TRIM(INDEX(Korpus!$D:$D,$A69)&amp;" "&amp;INDEX(Korpus!$E:$E,$A69))</f>
        <v xml:space="preserve">Pasal 42</v>
      </c>
      <c r="E69" s="18" t="str">
        <f>IF(INDEX(Korpus!$F:$F,$A69)="","",INDEX(Korpus!$F:$F,$A69))</f>
        <v xml:space="preserve">(1) Pengendali Data Pribadi wajib mengakhiri pemrosesan Data Pribadi dalam hal: a. telah mencapai masa retensi; b. tujuan pemrosesan Data Pribadi telah tercapai; atau c. terdapat permintaan dari Subjek Data Pribadi.(2) Pengakhiran pemrosesan Data Pribadi sebagaimana dimaksud pada ayat (1) dilakukan sesuai dengan ketentuan peraturan perundang-undangan.</v>
      </c>
      <c r="F69" s="19"/>
      <c r="G69" s="19"/>
      <c r="H69" s="19"/>
      <c r="I69" s="19"/>
      <c r="J69" s="19"/>
      <c r="K69" s="19"/>
      <c r="L69" s="19"/>
      <c r="M69" s="20"/>
      <c r="N69" s="20"/>
      <c r="O69" s="16"/>
      <c r="P69" s="18" t="str">
        <f t="shared" si="2"/>
        <v xml:space="preserve">Belum lengkap (6)</v>
      </c>
      <c r="Q69" s="18" t="str">
        <f t="shared" si="3"/>
        <v/>
      </c>
      <c r="R69" s="18" t="str">
        <f>IF(INDEX(Korpus!$B:$B,$A69)="","",INDEX(Korpus!$B:$B,$A69))</f>
        <v xml:space="preserve">BAB VI
KEWAJIBAN PENGENDALI DATA PRIBADI DAN PROSESOR DATA PRIBADI DALAM PEMROSESAN DATA PRIBADI</v>
      </c>
      <c r="S69" s="18" t="str">
        <f>IF(INDEX(Korpus!$C:$C,$A69)="","",INDEX(Korpus!$C:$C,$A69))</f>
        <v xml:space="preserve">Bagian Kedua
Kewajiban Pengendali Data Pribadi</v>
      </c>
    </row>
    <row r="70" ht="60" customHeight="1">
      <c r="A70" s="16">
        <v>70</v>
      </c>
      <c r="B70" s="17" t="str">
        <f>IF(Petunjuk!$C$4="","",Petunjuk!$C$4)</f>
        <v>Afriansyah</v>
      </c>
      <c r="C70" s="18" t="str">
        <f>IF(INDEX(Korpus!$A:$A,$A70)="","",INDEX(Korpus!$A:$A,$A70))</f>
        <v xml:space="preserve">UU 27 Thn 2022 (PDP)</v>
      </c>
      <c r="D70" s="18" t="str">
        <f>TRIM(INDEX(Korpus!$D:$D,$A70)&amp;" "&amp;INDEX(Korpus!$E:$E,$A70))</f>
        <v xml:space="preserve">Pasal 43</v>
      </c>
      <c r="E70" s="18" t="str">
        <f>IF(INDEX(Korpus!$F:$F,$A70)="","",INDEX(Korpus!$F:$F,$A70))</f>
        <v xml:space="preserve">(1) Pengendali Data Pribadi wajib menghapus Data Pribadi dalam hal:a. Data Pribadi tidak lagi diperlukan untuk pencapaian tujuan pemrosesan Data Pribadi; b. Subjek Data Pribadi telah melakukan penarikan kembali persetujuan pemrosesan Data Pribadi; c. terdapat permintaan dari Subjek Data Pribadi; atau d. Data Pribadi diperoleh dan/ atau diproses dengan cara melawan hukum.(2) Data Pribadi sebagaimana dimaksud pada ayat (1) dilakukan sesuai dengan ketentuan peraturan perundang-undangan.</v>
      </c>
      <c r="F70" s="19" t="s">
        <v>77</v>
      </c>
      <c r="G70" s="19"/>
      <c r="H70" s="19"/>
      <c r="I70" s="19" t="s">
        <v>76</v>
      </c>
      <c r="J70" s="19" t="s">
        <v>71</v>
      </c>
      <c r="K70" s="19"/>
      <c r="L70" s="19"/>
      <c r="M70" s="20"/>
      <c r="N70" s="20"/>
      <c r="O70" s="16" t="s">
        <v>66</v>
      </c>
      <c r="P70" s="18" t="str">
        <f t="shared" si="2"/>
        <v xml:space="preserve">Belum lengkap (3)</v>
      </c>
      <c r="Q70" s="18" t="str">
        <f t="shared" si="3"/>
        <v/>
      </c>
      <c r="R70" s="18" t="str">
        <f>IF(INDEX(Korpus!$B:$B,$A70)="","",INDEX(Korpus!$B:$B,$A70))</f>
        <v xml:space="preserve">BAB VI
KEWAJIBAN PENGENDALI DATA PRIBADI DAN PROSESOR DATA PRIBADI DALAM PEMROSESAN DATA PRIBADI</v>
      </c>
      <c r="S70" s="18" t="str">
        <f>IF(INDEX(Korpus!$C:$C,$A70)="","",INDEX(Korpus!$C:$C,$A70))</f>
        <v xml:space="preserve">Bagian Kedua
Kewajiban Pengendali Data Pribadi</v>
      </c>
    </row>
    <row r="71" ht="60" hidden="1" customHeight="1">
      <c r="A71" s="16">
        <v>71</v>
      </c>
      <c r="B71" s="17" t="str">
        <f>IF(Petunjuk!$C$4="","",Petunjuk!$C$4)</f>
        <v>Afriansyah</v>
      </c>
      <c r="C71" s="18" t="str">
        <f>IF(INDEX(Korpus!$A:$A,$A71)="","",INDEX(Korpus!$A:$A,$A71))</f>
        <v xml:space="preserve">UU 27 Thn 2022 (PDP)</v>
      </c>
      <c r="D71" s="18" t="str">
        <f>TRIM(INDEX(Korpus!$D:$D,$A71)&amp;" "&amp;INDEX(Korpus!$E:$E,$A71))</f>
        <v xml:space="preserve">Pasal 44</v>
      </c>
      <c r="E71" s="18" t="str">
        <f>IF(INDEX(Korpus!$F:$F,$A71)="","",INDEX(Korpus!$F:$F,$A71))</f>
        <v xml:space="preserve">(1) Pengendali Data Pribadi wajib memusnahkan Data Pribadi dalam hal:a. telah habis masa retensinya dan berketerangan dimusnahkan berdasarkan jadwal retensi arsip;b. terdapat permintaan dari Subjek Data Pribadi; c. tidak berkaitan dengan penyelesaian proses hukum suatu perkara; dan/ atau d. Data Pribadi diperoleh dan/ atau diproses dengan cara melawan hukum. (2) Pemusnahan Data Pribadi sebagaimana dimaksud pada ayat (1) dilakukan sesuai dengan ketentuan peraturan perundang-undangan.</v>
      </c>
      <c r="F71" s="19"/>
      <c r="G71" s="19"/>
      <c r="H71" s="19"/>
      <c r="I71" s="19"/>
      <c r="J71" s="19"/>
      <c r="K71" s="19"/>
      <c r="L71" s="19"/>
      <c r="M71" s="20"/>
      <c r="N71" s="20"/>
      <c r="O71" s="16"/>
      <c r="P71" s="18" t="str">
        <f t="shared" si="2"/>
        <v xml:space="preserve">Belum lengkap (6)</v>
      </c>
      <c r="Q71" s="18" t="str">
        <f t="shared" si="3"/>
        <v/>
      </c>
      <c r="R71" s="18" t="str">
        <f>IF(INDEX(Korpus!$B:$B,$A71)="","",INDEX(Korpus!$B:$B,$A71))</f>
        <v xml:space="preserve">BAB VI
KEWAJIBAN PENGENDALI DATA PRIBADI DAN PROSESOR DATA PRIBADI DALAM PEMROSESAN DATA PRIBADI</v>
      </c>
      <c r="S71" s="18" t="str">
        <f>IF(INDEX(Korpus!$C:$C,$A71)="","",INDEX(Korpus!$C:$C,$A71))</f>
        <v xml:space="preserve">Bagian Kedua
Kewajiban Pengendali Data Pribadi</v>
      </c>
    </row>
    <row r="72" ht="60" hidden="1" customHeight="1">
      <c r="A72" s="16">
        <v>72</v>
      </c>
      <c r="B72" s="17" t="str">
        <f>IF(Petunjuk!$C$4="","",Petunjuk!$C$4)</f>
        <v>Afriansyah</v>
      </c>
      <c r="C72" s="18" t="str">
        <f>IF(INDEX(Korpus!$A:$A,$A72)="","",INDEX(Korpus!$A:$A,$A72))</f>
        <v xml:space="preserve">UU 27 Thn 2022 (PDP)</v>
      </c>
      <c r="D72" s="18" t="str">
        <f>TRIM(INDEX(Korpus!$D:$D,$A72)&amp;" "&amp;INDEX(Korpus!$E:$E,$A72))</f>
        <v xml:space="preserve">Pasal 45</v>
      </c>
      <c r="E72" s="18" t="str">
        <f>IF(INDEX(Korpus!$F:$F,$A72)="","",INDEX(Korpus!$F:$F,$A72))</f>
        <v xml:space="preserve">Pengendali Data Pribadi wajib memberitahukan penghapusan dan/atau pemusnahan Data Pribadi kepada Subjek Data Pribadi.</v>
      </c>
      <c r="F72" s="19"/>
      <c r="G72" s="19"/>
      <c r="H72" s="19"/>
      <c r="I72" s="19"/>
      <c r="J72" s="19"/>
      <c r="K72" s="19"/>
      <c r="L72" s="19"/>
      <c r="M72" s="20"/>
      <c r="N72" s="20"/>
      <c r="O72" s="16"/>
      <c r="P72" s="18" t="str">
        <f t="shared" si="2"/>
        <v xml:space="preserve">Belum lengkap (6)</v>
      </c>
      <c r="Q72" s="18" t="str">
        <f t="shared" si="3"/>
        <v/>
      </c>
      <c r="R72" s="18" t="str">
        <f>IF(INDEX(Korpus!$B:$B,$A72)="","",INDEX(Korpus!$B:$B,$A72))</f>
        <v xml:space="preserve">BAB VI
KEWAJIBAN PENGENDALI DATA PRIBADI DAN PROSESOR DATA PRIBADI DALAM PEMROSESAN DATA PRIBADI</v>
      </c>
      <c r="S72" s="18" t="str">
        <f>IF(INDEX(Korpus!$C:$C,$A72)="","",INDEX(Korpus!$C:$C,$A72))</f>
        <v xml:space="preserve">Bagian Kedua
Kewajiban Pengendali Data Pribadi</v>
      </c>
    </row>
    <row r="73" ht="60" hidden="1" customHeight="1">
      <c r="A73" s="16">
        <v>73</v>
      </c>
      <c r="B73" s="17" t="str">
        <f>IF(Petunjuk!$C$4="","",Petunjuk!$C$4)</f>
        <v>Afriansyah</v>
      </c>
      <c r="C73" s="18" t="str">
        <f>IF(INDEX(Korpus!$A:$A,$A73)="","",INDEX(Korpus!$A:$A,$A73))</f>
        <v xml:space="preserve">UU 27 Thn 2022 (PDP)</v>
      </c>
      <c r="D73" s="18" t="str">
        <f>TRIM(INDEX(Korpus!$D:$D,$A73)&amp;" "&amp;INDEX(Korpus!$E:$E,$A73))</f>
        <v xml:space="preserve">Pasal 46</v>
      </c>
      <c r="E73" s="18" t="str">
        <f>IF(INDEX(Korpus!$F:$F,$A73)="","",INDEX(Korpus!$F:$F,$A73))</f>
        <v xml:space="preserve">(1) Dalam hal terjadi kegagalan Pelindungan Data Pribadi, Pengendali Data Pribadi wajib pemberitahuan secara tertulis paling lambat 3 x 24 (tiga kali dua puluh empat) jam kepada:a. Subjek Data Pribadi; dan b. lembaga.(2) Pemberitahuan tertulis sebagaimana dimaksud pada ayat (1) minimal memuat:a. Data Pribadi yang terungkap; b. kapan dan bagaimana Data Pribadi terungkap; dan c. upaya penanganan dan pemulihan atas terungkapnya Data Pribadi oleh Pengendali Data Pribadi. (3) Dalam hal tertentu, Pengendali Data Pribadi wajib memberitahukan kepada masyarakat mengenai kegagalan Pelindungan Data Pribadi.</v>
      </c>
      <c r="F73" s="19"/>
      <c r="G73" s="19"/>
      <c r="H73" s="19"/>
      <c r="I73" s="19"/>
      <c r="J73" s="19"/>
      <c r="K73" s="19"/>
      <c r="L73" s="19"/>
      <c r="M73" s="20"/>
      <c r="N73" s="20"/>
      <c r="O73" s="16"/>
      <c r="P73" s="18" t="str">
        <f t="shared" si="2"/>
        <v xml:space="preserve">Belum lengkap (6)</v>
      </c>
      <c r="Q73" s="18" t="str">
        <f t="shared" si="3"/>
        <v/>
      </c>
      <c r="R73" s="18" t="str">
        <f>IF(INDEX(Korpus!$B:$B,$A73)="","",INDEX(Korpus!$B:$B,$A73))</f>
        <v xml:space="preserve">BAB VI
KEWAJIBAN PENGENDALI DATA PRIBADI DAN PROSESOR DATA PRIBADI DALAM PEMROSESAN DATA PRIBADI</v>
      </c>
      <c r="S73" s="18" t="str">
        <f>IF(INDEX(Korpus!$C:$C,$A73)="","",INDEX(Korpus!$C:$C,$A73))</f>
        <v xml:space="preserve">Bagian Kedua
Kewajiban Pengendali Data Pribadi</v>
      </c>
    </row>
    <row r="74" ht="60" hidden="1" customHeight="1">
      <c r="A74" s="16">
        <v>74</v>
      </c>
      <c r="B74" s="17" t="str">
        <f>IF(Petunjuk!$C$4="","",Petunjuk!$C$4)</f>
        <v>Afriansyah</v>
      </c>
      <c r="C74" s="18" t="str">
        <f>IF(INDEX(Korpus!$A:$A,$A74)="","",INDEX(Korpus!$A:$A,$A74))</f>
        <v xml:space="preserve">UU 27 Thn 2022 (PDP)</v>
      </c>
      <c r="D74" s="18" t="str">
        <f>TRIM(INDEX(Korpus!$D:$D,$A74)&amp;" "&amp;INDEX(Korpus!$E:$E,$A74))</f>
        <v xml:space="preserve">Pasal 47</v>
      </c>
      <c r="E74" s="18" t="str">
        <f>IF(INDEX(Korpus!$F:$F,$A74)="","",INDEX(Korpus!$F:$F,$A74))</f>
        <v xml:space="preserve">Pengendali Data Pribadi wajib bertanggung jawab atas pemrosesan Data Pribadi dan menunjukkan pertanggungjawaban dalam pemenuhan kewajiban pelaksanaan prinsip Pelindungan Data Pribadi.</v>
      </c>
      <c r="F74" s="19"/>
      <c r="G74" s="19"/>
      <c r="H74" s="19"/>
      <c r="I74" s="19"/>
      <c r="J74" s="19"/>
      <c r="K74" s="19"/>
      <c r="L74" s="19"/>
      <c r="M74" s="20"/>
      <c r="N74" s="20"/>
      <c r="O74" s="16"/>
      <c r="P74" s="18" t="str">
        <f t="shared" ref="P74:P86" si="4">IF(COUNTA(F74:K74)=6,"Lengkap","Belum lengkap ("&amp;(6-COUNTA(F74:K74))&amp;")")</f>
        <v xml:space="preserve">Belum lengkap (6)</v>
      </c>
      <c r="Q74" s="18" t="str">
        <f t="shared" ref="Q74:Q86" si="5">IF(COUNTA(F74:K74)&lt;6,"",IF(IF(AND(LEFT(G74,2)="R0",LEFT(K74,2)&lt;&gt;"K5"),"R0 harus K5; ","")&amp;IF(AND(LEFT(G74,2)="R1",LEFT(K74,2)="K3"),"R1 tidak boleh K3 (fungsional); ","")&amp;IF(AND(LEFT(G74,2)="R2",LEFT(K74,2)="K5"),"R2 tidak boleh K5; ","")&amp;IF(AND(LEFT(G74,2)="R2",OR(LEFT(F74,2)="S6",LEFT(F74,2)="S7",LEFT(F74,2)="S8")),"R2 tidak boleh S6/S7/S8; ","")&amp;IF(AND(LEFT(G74,2)="R2",OR(LEFT(H74,3)="T02",LEFT(I74,2)="P8")),"T02 atau P8 tidak boleh R2; ","")&amp;IF(AND(LEFT(H74,3)="T01",LEFT(I74,2)&lt;&gt;"P6",N74=""),"T01 biasanya P6; jelaskan di V12; ","")&amp;IF(AND(LEFT(I74,2)="P1",LEFT(K74,2)&lt;&gt;"K4",N74=""),"P1 biasanya K4; jelaskan di V12; ","")="","OK",IF(AND(LEFT(G74,2)="R0",LEFT(K74,2)&lt;&gt;"K5"),"R0 harus K5; ","")&amp;IF(AND(LEFT(G74,2)="R1",LEFT(K74,2)="K3"),"R1 tidak boleh K3 (fungsional); ","")&amp;IF(AND(LEFT(G74,2)="R2",LEFT(K74,2)="K5"),"R2 tidak boleh K5; ","")&amp;IF(AND(LEFT(G74,2)="R2",OR(LEFT(F74,2)="S6",LEFT(F74,2)="S7",LEFT(F74,2)="S8")),"R2 tidak boleh S6/S7/S8; ","")&amp;IF(AND(LEFT(G74,2)="R2",OR(LEFT(H74,3)="T02",LEFT(I74,2)="P8")),"T02 atau P8 tidak boleh R2; ","")&amp;IF(AND(LEFT(H74,3)="T01",LEFT(I74,2)&lt;&gt;"P6",N74=""),"T01 biasanya P6; jelaskan di V12; ","")&amp;IF(AND(LEFT(I74,2)="P1",LEFT(K74,2)&lt;&gt;"K4",N74=""),"P1 biasanya K4; jelaskan di V12; ","")))</f>
        <v/>
      </c>
      <c r="R74" s="18" t="str">
        <f>IF(INDEX(Korpus!$B:$B,$A74)="","",INDEX(Korpus!$B:$B,$A74))</f>
        <v xml:space="preserve">BAB VI
KEWAJIBAN PENGENDALI DATA PRIBADI DAN PROSESOR DATA PRIBADI DALAM PEMROSESAN DATA PRIBADI</v>
      </c>
      <c r="S74" s="18" t="str">
        <f>IF(INDEX(Korpus!$C:$C,$A74)="","",INDEX(Korpus!$C:$C,$A74))</f>
        <v xml:space="preserve">Bagian Kedua
Kewajiban Pengendali Data Pribadi</v>
      </c>
    </row>
    <row r="75" ht="60" hidden="1" customHeight="1">
      <c r="A75" s="16">
        <v>75</v>
      </c>
      <c r="B75" s="17" t="str">
        <f>IF(Petunjuk!$C$4="","",Petunjuk!$C$4)</f>
        <v>Afriansyah</v>
      </c>
      <c r="C75" s="18" t="str">
        <f>IF(INDEX(Korpus!$A:$A,$A75)="","",INDEX(Korpus!$A:$A,$A75))</f>
        <v xml:space="preserve">UU 27 Thn 2022 (PDP)</v>
      </c>
      <c r="D75" s="18" t="str">
        <f>TRIM(INDEX(Korpus!$D:$D,$A75)&amp;" "&amp;INDEX(Korpus!$E:$E,$A75))</f>
        <v xml:space="preserve">Pasal 48</v>
      </c>
      <c r="E75" s="18" t="str">
        <f>IF(INDEX(Korpus!$F:$F,$A75)="","",INDEX(Korpus!$F:$F,$A75))</f>
        <v xml:space="preserve">(1) Pengendali Data Pribadi berbentuk badan hukum yang melakukan penggabungan, pemisahan, pengambilalihan, peleburan, atau pembubaran badan hukum wajib menyampaikan pemberitahuan pengalihan Data Pribadi kepada Subjek Data Pribadi.(2) Pemberitahuan pengalihan Data Pribadi sebagaimana dimaksud pada ayat (1) dilakukan sebelum dan sesudah penggabungan, pemisahan, pengambilalihan, peleburan, atau pembubaran badan hukum.(3) Dalam hal Pengendali Data Pribadi berbentuk badan hukum melakukan pembubaran atau dibubarkan, penyimpanan, pentransferan, penghapusan, atau pemusnahan Data Pribadi dilaksanakan sesuai dengan ketentuan peraturan perundang-undangan.(4) Penyimpanan, pentransferan, penghapusan, atau pemusnahan Data Pribadi sebagaimana dimaksud pada ayat (3) diberitahukan kepada Subjek Data Pribadi.(5) Ketentuan lebih lanjut mengenai tata cara pemberitahuan sebagaimana dimaksud pada ayat (1), ayat (2), dan ayat (4) diatur dalam Peraturan Pemerintah.</v>
      </c>
      <c r="F75" s="19"/>
      <c r="G75" s="19"/>
      <c r="H75" s="19"/>
      <c r="I75" s="19"/>
      <c r="J75" s="19"/>
      <c r="K75" s="19"/>
      <c r="L75" s="19"/>
      <c r="M75" s="20"/>
      <c r="N75" s="20"/>
      <c r="O75" s="16"/>
      <c r="P75" s="18" t="str">
        <f t="shared" si="4"/>
        <v xml:space="preserve">Belum lengkap (6)</v>
      </c>
      <c r="Q75" s="18" t="str">
        <f t="shared" si="5"/>
        <v/>
      </c>
      <c r="R75" s="18" t="str">
        <f>IF(INDEX(Korpus!$B:$B,$A75)="","",INDEX(Korpus!$B:$B,$A75))</f>
        <v xml:space="preserve">BAB VI
KEWAJIBAN PENGENDALI DATA PRIBADI DAN PROSESOR DATA PRIBADI DALAM PEMROSESAN DATA PRIBADI</v>
      </c>
      <c r="S75" s="18" t="str">
        <f>IF(INDEX(Korpus!$C:$C,$A75)="","",INDEX(Korpus!$C:$C,$A75))</f>
        <v xml:space="preserve">Bagian Kedua
Kewajiban Pengendali Data Pribadi</v>
      </c>
    </row>
    <row r="76" ht="60" hidden="1" customHeight="1">
      <c r="A76" s="16">
        <v>76</v>
      </c>
      <c r="B76" s="17" t="str">
        <f>IF(Petunjuk!$C$4="","",Petunjuk!$C$4)</f>
        <v>Afriansyah</v>
      </c>
      <c r="C76" s="18" t="str">
        <f>IF(INDEX(Korpus!$A:$A,$A76)="","",INDEX(Korpus!$A:$A,$A76))</f>
        <v xml:space="preserve">UU 27 Thn 2022 (PDP)</v>
      </c>
      <c r="D76" s="18" t="str">
        <f>TRIM(INDEX(Korpus!$D:$D,$A76)&amp;" "&amp;INDEX(Korpus!$E:$E,$A76))</f>
        <v xml:space="preserve">Pasal 49</v>
      </c>
      <c r="E76" s="18" t="str">
        <f>IF(INDEX(Korpus!$F:$F,$A76)="","",INDEX(Korpus!$F:$F,$A76))</f>
        <v xml:space="preserve">Pengendali Data Pribadi dan/ atau Prosesor Data Pribadi wajib melaksanakan perintah lembaga dalam rangka penyelenggaraan Pelindungan Data Pribadi sesuai dengan Undang-Undang ini.</v>
      </c>
      <c r="F76" s="19"/>
      <c r="G76" s="19"/>
      <c r="H76" s="19"/>
      <c r="I76" s="19"/>
      <c r="J76" s="19"/>
      <c r="K76" s="19"/>
      <c r="L76" s="19"/>
      <c r="M76" s="20"/>
      <c r="N76" s="20"/>
      <c r="O76" s="16"/>
      <c r="P76" s="18" t="str">
        <f t="shared" si="4"/>
        <v xml:space="preserve">Belum lengkap (6)</v>
      </c>
      <c r="Q76" s="18" t="str">
        <f t="shared" si="5"/>
        <v/>
      </c>
      <c r="R76" s="18" t="str">
        <f>IF(INDEX(Korpus!$B:$B,$A76)="","",INDEX(Korpus!$B:$B,$A76))</f>
        <v xml:space="preserve">BAB VI
KEWAJIBAN PENGENDALI DATA PRIBADI DAN PROSESOR DATA PRIBADI DALAM PEMROSESAN DATA PRIBADI</v>
      </c>
      <c r="S76" s="18" t="str">
        <f>IF(INDEX(Korpus!$C:$C,$A76)="","",INDEX(Korpus!$C:$C,$A76))</f>
        <v xml:space="preserve">Bagian Kedua
Kewajiban Pengendali Data Pribadi</v>
      </c>
    </row>
    <row r="77" ht="60" hidden="1" customHeight="1">
      <c r="A77" s="16">
        <v>77</v>
      </c>
      <c r="B77" s="17" t="str">
        <f>IF(Petunjuk!$C$4="","",Petunjuk!$C$4)</f>
        <v>Afriansyah</v>
      </c>
      <c r="C77" s="18" t="str">
        <f>IF(INDEX(Korpus!$A:$A,$A77)="","",INDEX(Korpus!$A:$A,$A77))</f>
        <v xml:space="preserve">UU 27 Thn 2022 (PDP)</v>
      </c>
      <c r="D77" s="18" t="str">
        <f>TRIM(INDEX(Korpus!$D:$D,$A77)&amp;" "&amp;INDEX(Korpus!$E:$E,$A77))</f>
        <v xml:space="preserve">Pasal 50</v>
      </c>
      <c r="E77" s="18" t="str">
        <f>IF(INDEX(Korpus!$F:$F,$A77)="","",INDEX(Korpus!$F:$F,$A77))</f>
        <v xml:space="preserve">(1) Kewajiban Pengendali Data Pribadi sebagaimana dimaksud dalam Pasal 30, Pasal 32, Pasal 36, Pasal 42, Pasal 43 ayat (1) huruf a sampai dengan huruf c, Pasal 44 ayat (1) huruf b, Pasal 45, dan Pasal 46 ayat (1) huruf a, dikecualikan untuk:a. kepentingan pertahanan dan keamanan nasional; b. kepentingan proses penegakan hukum; c. kepentingan umum dalam rangka negara; atau d. kepentingan pengawasan sektor jasa keuangan, moneter, sistem pembayaran, dan stabilitas sistem keuangan yang dilakukan dalam rangka penyelenggaraan negara. (2) Pengecualian sebagaimana dimaksud pada ayat (1) dilaksanakan hanya dalam rangka pelaksanaan ketentuan Undang-Undang.</v>
      </c>
      <c r="F77" s="19"/>
      <c r="G77" s="19"/>
      <c r="H77" s="19"/>
      <c r="I77" s="19"/>
      <c r="J77" s="19"/>
      <c r="K77" s="19"/>
      <c r="L77" s="19"/>
      <c r="M77" s="20"/>
      <c r="N77" s="20"/>
      <c r="O77" s="16"/>
      <c r="P77" s="18" t="str">
        <f t="shared" si="4"/>
        <v xml:space="preserve">Belum lengkap (6)</v>
      </c>
      <c r="Q77" s="18" t="str">
        <f t="shared" si="5"/>
        <v/>
      </c>
      <c r="R77" s="18" t="str">
        <f>IF(INDEX(Korpus!$B:$B,$A77)="","",INDEX(Korpus!$B:$B,$A77))</f>
        <v xml:space="preserve">BAB VI
KEWAJIBAN PENGENDALI DATA PRIBADI DAN PROSESOR DATA PRIBADI DALAM PEMROSESAN DATA PRIBADI</v>
      </c>
      <c r="S77" s="18" t="str">
        <f>IF(INDEX(Korpus!$C:$C,$A77)="","",INDEX(Korpus!$C:$C,$A77))</f>
        <v xml:space="preserve">Bagian Kedua
Kewajiban Pengendali Data Pribadi</v>
      </c>
    </row>
    <row r="78" ht="60" hidden="1" customHeight="1">
      <c r="A78" s="16">
        <v>78</v>
      </c>
      <c r="B78" s="17" t="str">
        <f>IF(Petunjuk!$C$4="","",Petunjuk!$C$4)</f>
        <v>Afriansyah</v>
      </c>
      <c r="C78" s="18" t="str">
        <f>IF(INDEX(Korpus!$A:$A,$A78)="","",INDEX(Korpus!$A:$A,$A78))</f>
        <v xml:space="preserve">UU 27 Thn 2022 (PDP)</v>
      </c>
      <c r="D78" s="18" t="str">
        <f>TRIM(INDEX(Korpus!$D:$D,$A78)&amp;" "&amp;INDEX(Korpus!$E:$E,$A78))</f>
        <v xml:space="preserve">Pasal 51</v>
      </c>
      <c r="E78" s="18" t="str">
        <f>IF(INDEX(Korpus!$F:$F,$A78)="","",INDEX(Korpus!$F:$F,$A78))</f>
        <v xml:space="preserve">(1) Dalam hal Pengendali Data Pribadi menunjuk Prosesor Data Pribadi, Prosesor Data Pribadi wajib melakukan pemrosesan Data Pribadi berdasarkan perintah Pengendali Data Pribadi.(2) Pemrosesan Data Pribadi sebagaimana dimaksud pada ayat (1), dilaksanakan sesuai ketentuan yang diatur dalam Undang-Undang ini.(3) Pemrosesan Data Pribadi sebagaimana dimaksud pada ayat (1) termasuk dalam tanggung jawab Pengendali Data Pribadi.(4) Prosesor Data Pribadi dapat melibatkan Prosesor Data Pribadi lain dalam melakukan pemrosesan Data Pribadi.(5) Prosesor Data Pribadi wajib mendapatkan persetُujuan tertulis dari Pengendali Data Pribadi sebelum melibatkan Prosesor Data Pribadi lain sebagaimana dimaksud pada ayat (4).(6) Dalam hal Prosesor Data Pribadi melakukan pemrosesan Data Pribadi di luar perintah dan tujuan yang ditetapkan Pengendali Data Pribadi, pemrosesan Data Pribadi menjadi tanggung jawab Prosesor Data Pribadi.</v>
      </c>
      <c r="F78" s="19"/>
      <c r="G78" s="19"/>
      <c r="H78" s="19"/>
      <c r="I78" s="19"/>
      <c r="J78" s="19"/>
      <c r="K78" s="19"/>
      <c r="L78" s="19"/>
      <c r="M78" s="20"/>
      <c r="N78" s="20"/>
      <c r="O78" s="16"/>
      <c r="P78" s="18" t="str">
        <f t="shared" si="4"/>
        <v xml:space="preserve">Belum lengkap (6)</v>
      </c>
      <c r="Q78" s="18" t="str">
        <f t="shared" si="5"/>
        <v/>
      </c>
      <c r="R78" s="18" t="str">
        <f>IF(INDEX(Korpus!$B:$B,$A78)="","",INDEX(Korpus!$B:$B,$A78))</f>
        <v xml:space="preserve">BAB VI
KEWAJIBAN PENGENDALI DATA PRIBADI DAN PROSESOR DATA PRIBADI DALAM PEMROSESAN DATA PRIBADI</v>
      </c>
      <c r="S78" s="18" t="str">
        <f>IF(INDEX(Korpus!$C:$C,$A78)="","",INDEX(Korpus!$C:$C,$A78))</f>
        <v xml:space="preserve">Bagian Ketiga
Kewajiban Prosesor Data Pribadi</v>
      </c>
    </row>
    <row r="79" ht="60" customHeight="1">
      <c r="A79" s="16">
        <v>79</v>
      </c>
      <c r="B79" s="17" t="str">
        <f>IF(Petunjuk!$C$4="","",Petunjuk!$C$4)</f>
        <v>Afriansyah</v>
      </c>
      <c r="C79" s="18" t="str">
        <f>IF(INDEX(Korpus!$A:$A,$A79)="","",INDEX(Korpus!$A:$A,$A79))</f>
        <v xml:space="preserve">UU 27 Thn 2022 (PDP)</v>
      </c>
      <c r="D79" s="18" t="str">
        <f>TRIM(INDEX(Korpus!$D:$D,$A79)&amp;" "&amp;INDEX(Korpus!$E:$E,$A79))</f>
        <v xml:space="preserve">Pasal 52</v>
      </c>
      <c r="E79" s="18" t="str">
        <f>IF(INDEX(Korpus!$F:$F,$A79)="","",INDEX(Korpus!$F:$F,$A79))</f>
        <v xml:space="preserve">Ketentuan mengenai kewajiban Pengendali Data Pribadi sebagaimana dimaksud dalam Pasal 29, Pasal 31, Pasal 35, Pasal 36, Pasal 37, Pasal 38, dan Pasal 39 berlaku juga terhadap Prosesor Data Pribadi.</v>
      </c>
      <c r="F79" s="19" t="s">
        <v>72</v>
      </c>
      <c r="G79" s="19"/>
      <c r="H79" s="19"/>
      <c r="I79" s="19" t="s">
        <v>80</v>
      </c>
      <c r="J79" s="19" t="s">
        <v>81</v>
      </c>
      <c r="K79" s="19" t="s">
        <v>69</v>
      </c>
      <c r="L79" s="19"/>
      <c r="M79" s="20"/>
      <c r="N79" s="20"/>
      <c r="O79" s="16" t="s">
        <v>66</v>
      </c>
      <c r="P79" s="18" t="str">
        <f t="shared" si="4"/>
        <v xml:space="preserve">Belum lengkap (2)</v>
      </c>
      <c r="Q79" s="18" t="str">
        <f t="shared" si="5"/>
        <v/>
      </c>
      <c r="R79" s="18" t="str">
        <f>IF(INDEX(Korpus!$B:$B,$A79)="","",INDEX(Korpus!$B:$B,$A79))</f>
        <v xml:space="preserve">BAB VI
KEWAJIBAN PENGENDALI DATA PRIBADI DAN PROSESOR DATA PRIBADI DALAM PEMROSESAN DATA PRIBADI</v>
      </c>
      <c r="S79" s="18" t="str">
        <f>IF(INDEX(Korpus!$C:$C,$A79)="","",INDEX(Korpus!$C:$C,$A79))</f>
        <v xml:space="preserve">Bagian Ketiga
Kewajiban Prosesor Data Pribadi</v>
      </c>
    </row>
    <row r="80" ht="60" hidden="1" customHeight="1">
      <c r="A80" s="16">
        <v>80</v>
      </c>
      <c r="B80" s="17" t="str">
        <f>IF(Petunjuk!$C$4="","",Petunjuk!$C$4)</f>
        <v>Afriansyah</v>
      </c>
      <c r="C80" s="18" t="str">
        <f>IF(INDEX(Korpus!$A:$A,$A80)="","",INDEX(Korpus!$A:$A,$A80))</f>
        <v xml:space="preserve">UU 27 Thn 2022 (PDP)</v>
      </c>
      <c r="D80" s="18" t="str">
        <f>TRIM(INDEX(Korpus!$D:$D,$A80)&amp;" "&amp;INDEX(Korpus!$E:$E,$A80))</f>
        <v xml:space="preserve">Pasal 53</v>
      </c>
      <c r="E80" s="18" t="str">
        <f>IF(INDEX(Korpus!$F:$F,$A80)="","",INDEX(Korpus!$F:$F,$A80))</f>
        <v xml:space="preserve">(1) Pengendali Data Pribadi dan Prosesor Data Pribadi wajib menunjuk pejabat atau petugas yang melaksanakan fungsi Pelindungan Data Pribadi dalam hal:a. pemrosesan Data Pribadi untuk kepentingan pelayanan publik;b. kegiatan inti Pengendali Data Pribadi memiliki sifat, ruang lingkup, dan/ atau tujuan yang memerlukan pemantauan secara teratur dan sistematis atas Data Pribadi dengan skala besar; danc. kegiatan inti Pengendali Data Pribadi terdiri dari pemrosesan Data Pribadi dalam skala besar untuk Data Pribadi yang bersifat spesifik dan/ atau Data Pribadi yang berkaitan dengan tindak pidana.(2) Pejabat atau petugas yang melaksanakan fungsi Pelindungan Data Pribadi sebagaimana dimaksud pada ayat (1) ditunjuk berdasarkan profesionalitas, pengetahuan mengenai hukum, praktik Pelindungan Data Pribadi, dan kemampuan untuk memenuhi tugas-tugasnya.(3). Pejabat atau petugas yang melaksanakan fungsi Pelindungan Data Pribadi sebagaimana dimaksud pada ayat (2) dapat berasal dari dalam dan/ atau luar Pengendali Data Pribadi atau Prosesor Data Pribadi.</v>
      </c>
      <c r="F80" s="19"/>
      <c r="G80" s="19"/>
      <c r="H80" s="19"/>
      <c r="I80" s="19"/>
      <c r="J80" s="19"/>
      <c r="K80" s="19"/>
      <c r="L80" s="19"/>
      <c r="M80" s="20"/>
      <c r="N80" s="20"/>
      <c r="O80" s="16"/>
      <c r="P80" s="18" t="str">
        <f t="shared" si="4"/>
        <v xml:space="preserve">Belum lengkap (6)</v>
      </c>
      <c r="Q80" s="18" t="str">
        <f t="shared" si="5"/>
        <v/>
      </c>
      <c r="R80" s="18" t="str">
        <f>IF(INDEX(Korpus!$B:$B,$A80)="","",INDEX(Korpus!$B:$B,$A80))</f>
        <v xml:space="preserve">BAB VI
KEWAJIBAN PENGENDALI DATA PRIBADI DAN PROSESOR DATA PRIBADI DALAM PEMROSESAN DATA PRIBADI</v>
      </c>
      <c r="S80" s="18" t="str">
        <f>IF(INDEX(Korpus!$C:$C,$A80)="","",INDEX(Korpus!$C:$C,$A80))</f>
        <v xml:space="preserve">Bagian Keempat
Pejabat atau Petugas yang Melaksanakan Fungsi Pelindungan Data Pribadi</v>
      </c>
    </row>
    <row r="81" ht="60" customHeight="1">
      <c r="A81" s="16">
        <v>81</v>
      </c>
      <c r="B81" s="17" t="str">
        <f>IF(Petunjuk!$C$4="","",Petunjuk!$C$4)</f>
        <v>Afriansyah</v>
      </c>
      <c r="C81" s="18" t="str">
        <f>IF(INDEX(Korpus!$A:$A,$A81)="","",INDEX(Korpus!$A:$A,$A81))</f>
        <v xml:space="preserve">UU 27 Thn 2022 (PDP)</v>
      </c>
      <c r="D81" s="18" t="str">
        <f>TRIM(INDEX(Korpus!$D:$D,$A81)&amp;" "&amp;INDEX(Korpus!$E:$E,$A81))</f>
        <v xml:space="preserve">Pasal 55</v>
      </c>
      <c r="E81" s="18" t="str">
        <f>IF(INDEX(Korpus!$F:$F,$A81)="","",INDEX(Korpus!$F:$F,$A81))</f>
        <v xml:space="preserve">(1) Pengendali Data Pribadi dapat melakukan transfer Data Pribadi kepada Pengendali Data Pribadi lainnya dalam wilayah hukum Negara Republik Indonesia.(2) Pengendali Data Pribadi yang melakukan transfer Data Pribadi dan yang menerima transfer Data Pribadi wajib melakukan Pelindungan Data Pribadi sebagaimana dimaksud dalam Undang-Undang ini.</v>
      </c>
      <c r="F81" s="19" t="s">
        <v>77</v>
      </c>
      <c r="G81" s="19"/>
      <c r="H81" s="19"/>
      <c r="I81" s="19" t="s">
        <v>82</v>
      </c>
      <c r="J81" s="19" t="s">
        <v>83</v>
      </c>
      <c r="K81" s="19" t="s">
        <v>69</v>
      </c>
      <c r="L81" s="19"/>
      <c r="M81" s="20"/>
      <c r="N81" s="20"/>
      <c r="O81" s="16" t="s">
        <v>66</v>
      </c>
      <c r="P81" s="18" t="str">
        <f t="shared" si="4"/>
        <v xml:space="preserve">Belum lengkap (2)</v>
      </c>
      <c r="Q81" s="18" t="str">
        <f t="shared" si="5"/>
        <v/>
      </c>
      <c r="R81" s="18" t="str">
        <f>IF(INDEX(Korpus!$B:$B,$A81)="","",INDEX(Korpus!$B:$B,$A81))</f>
        <v xml:space="preserve">BAB VII TRANSFER DATA PRIBADI</v>
      </c>
      <c r="S81" s="18" t="str">
        <f>IF(INDEX(Korpus!$C:$C,$A81)="","",INDEX(Korpus!$C:$C,$A81))</f>
        <v xml:space="preserve">Bagian Kesatu
Transfer Data Pribadi Dalam Wilayah Hukum Negara Republik Indonesia</v>
      </c>
    </row>
    <row r="82" ht="60" hidden="1" customHeight="1">
      <c r="A82" s="16">
        <v>82</v>
      </c>
      <c r="B82" s="17" t="str">
        <f>IF(Petunjuk!$C$4="","",Petunjuk!$C$4)</f>
        <v>Afriansyah</v>
      </c>
      <c r="C82" s="18" t="str">
        <f>IF(INDEX(Korpus!$A:$A,$A82)="","",INDEX(Korpus!$A:$A,$A82))</f>
        <v xml:space="preserve">UU 27 Thn 2022 (PDP)</v>
      </c>
      <c r="D82" s="18" t="str">
        <f>TRIM(INDEX(Korpus!$D:$D,$A82)&amp;" "&amp;INDEX(Korpus!$E:$E,$A82))</f>
        <v xml:space="preserve">Pasal 56</v>
      </c>
      <c r="E82" s="18" t="str">
        <f>IF(INDEX(Korpus!$F:$F,$A82)="","",INDEX(Korpus!$F:$F,$A82))</f>
        <v xml:space="preserve">(1) Pengendali Data Pribadi dapat melakukan transfer Data Pribadi kepada Pengendali Data Pribadi dan/atau Prosesor Data Pribadi di luar wilayah hukum Negara Republik Indonesia sesuai dengan ketentuan yang diatur dalam Undang- Undang ini.(2) Dalam melakukan transfer Data Pribadi sebagaimana dimaksud pada ayat (l), Pengendali Data Pribadi wajib memastikan negara tempat kedudukan Pengendali Data Pribadi dan/ atau Prosesor Data Pribadi yang menerima transfer Data Pribadi memiliki tingkat Pelindungan Data Pribadi yang setara atau lebih tinggi dari yang diatur dalam Undang-Undang ini.(3) Dalam hal ketentuan sebagaimana dimaksud pada ayat (2) tidak terpenuhi, Pengendali Data Pribadi wajib memastikan terdapat Pelindungan Data Pribadi yang memadai dan bersifat mengikat.(4) Dalam hal ketentuan sebagaimana dimaksud pada ayat (2) dan ayat (3) tidak terpenuhi, Pengendali Data Pribadi wajib mendapatkan persetujuan Subjek Data Pribadi.(5) Ketentuan lebih lanjut mengenai transfer Data Pribadi diatur dalam Peraturan Pemerintah.</v>
      </c>
      <c r="F82" s="19"/>
      <c r="G82" s="19"/>
      <c r="H82" s="19"/>
      <c r="I82" s="19"/>
      <c r="J82" s="19"/>
      <c r="K82" s="19"/>
      <c r="L82" s="19"/>
      <c r="M82" s="20"/>
      <c r="N82" s="20"/>
      <c r="O82" s="16"/>
      <c r="P82" s="18" t="str">
        <f t="shared" si="4"/>
        <v xml:space="preserve">Belum lengkap (6)</v>
      </c>
      <c r="Q82" s="18" t="str">
        <f t="shared" si="5"/>
        <v/>
      </c>
      <c r="R82" s="18" t="str">
        <f>IF(INDEX(Korpus!$B:$B,$A82)="","",INDEX(Korpus!$B:$B,$A82))</f>
        <v xml:space="preserve">BAB VII TRANSFER DATA PRIBADI</v>
      </c>
      <c r="S82" s="18" t="str">
        <f>IF(INDEX(Korpus!$C:$C,$A82)="","",INDEX(Korpus!$C:$C,$A82))</f>
        <v xml:space="preserve">Bagian Kedua</v>
      </c>
    </row>
    <row r="83" ht="60" hidden="1" customHeight="1">
      <c r="A83" s="16">
        <v>83</v>
      </c>
      <c r="B83" s="17" t="str">
        <f>IF(Petunjuk!$C$4="","",Petunjuk!$C$4)</f>
        <v>Afriansyah</v>
      </c>
      <c r="C83" s="18" t="str">
        <f>IF(INDEX(Korpus!$A:$A,$A83)="","",INDEX(Korpus!$A:$A,$A83))</f>
        <v xml:space="preserve">UU 27 Thn 2022 (PDP)</v>
      </c>
      <c r="D83" s="18" t="str">
        <f>TRIM(INDEX(Korpus!$D:$D,$A83)&amp;" "&amp;INDEX(Korpus!$E:$E,$A83))</f>
        <v xml:space="preserve">Pasal 65</v>
      </c>
      <c r="E83" s="18" t="str">
        <f>IF(INDEX(Korpus!$F:$F,$A83)="","",INDEX(Korpus!$F:$F,$A83))</f>
        <v xml:space="preserve">(1) Setiap Orang dilarang secara melawan hukum memperoleh atau mengumpulkan Data Pribadi yang bukan miliknya dengan maksud untuk menguntungkan diri sendiri atau orang lain yang dapat mengakibatkan kerugian Subjek Data Pribadi.(2) Setiap Orang dilarang secara melawan hukum mengungkapkan Data Pribadi yang bukan miliknya.(3) Setiap Orang dilarang secara melawan hukum menggunakan Data Pribadi yang bukan miliknya.</v>
      </c>
      <c r="F83" s="19"/>
      <c r="G83" s="19"/>
      <c r="H83" s="19"/>
      <c r="I83" s="19"/>
      <c r="J83" s="19"/>
      <c r="K83" s="19"/>
      <c r="L83" s="19"/>
      <c r="M83" s="20"/>
      <c r="N83" s="20"/>
      <c r="O83" s="16"/>
      <c r="P83" s="18" t="str">
        <f t="shared" si="4"/>
        <v xml:space="preserve">Belum lengkap (6)</v>
      </c>
      <c r="Q83" s="18" t="str">
        <f t="shared" si="5"/>
        <v/>
      </c>
      <c r="R83" s="18" t="str">
        <f>IF(INDEX(Korpus!$B:$B,$A83)="","",INDEX(Korpus!$B:$B,$A83))</f>
        <v xml:space="preserve">BAB XIII
LARANGAN DALAM PENGGUNAAN DATA PRIBADI</v>
      </c>
      <c r="S83" s="18" t="str">
        <f>IF(INDEX(Korpus!$C:$C,$A83)="","",INDEX(Korpus!$C:$C,$A83))</f>
        <v/>
      </c>
    </row>
    <row r="84" ht="60" hidden="1" customHeight="1">
      <c r="A84" s="16">
        <v>84</v>
      </c>
      <c r="B84" s="17" t="str">
        <f>IF(Petunjuk!$C$4="","",Petunjuk!$C$4)</f>
        <v>Afriansyah</v>
      </c>
      <c r="C84" s="18" t="str">
        <f>IF(INDEX(Korpus!$A:$A,$A84)="","",INDEX(Korpus!$A:$A,$A84))</f>
        <v xml:space="preserve">UU 27 Thn 2022 (PDP)</v>
      </c>
      <c r="D84" s="18" t="str">
        <f>TRIM(INDEX(Korpus!$D:$D,$A84)&amp;" "&amp;INDEX(Korpus!$E:$E,$A84))</f>
        <v xml:space="preserve">Pasal 66</v>
      </c>
      <c r="E84" s="18" t="str">
        <f>IF(INDEX(Korpus!$F:$F,$A84)="","",INDEX(Korpus!$F:$F,$A84))</f>
        <v xml:space="preserve">Setiap Orang dilarang membuat Data Pribadi palsu atau memalsukan Data Pribadi dengan maksud untuk menguntungkan diri sendiri atau orang lain yang dapat mengakibatkan kerugian bagi orang lain.</v>
      </c>
      <c r="F84" s="19"/>
      <c r="G84" s="19"/>
      <c r="H84" s="19"/>
      <c r="I84" s="19"/>
      <c r="J84" s="19"/>
      <c r="K84" s="19"/>
      <c r="L84" s="19"/>
      <c r="M84" s="20"/>
      <c r="N84" s="20"/>
      <c r="O84" s="16"/>
      <c r="P84" s="18" t="str">
        <f t="shared" si="4"/>
        <v xml:space="preserve">Belum lengkap (6)</v>
      </c>
      <c r="Q84" s="18" t="str">
        <f t="shared" si="5"/>
        <v/>
      </c>
      <c r="R84" s="18" t="str">
        <f>IF(INDEX(Korpus!$B:$B,$A84)="","",INDEX(Korpus!$B:$B,$A84))</f>
        <v xml:space="preserve">BAB XIII
LARANGAN DALAM PENGGUNAAN DATA PRIBADI</v>
      </c>
      <c r="S84" s="18" t="str">
        <f>IF(INDEX(Korpus!$C:$C,$A84)="","",INDEX(Korpus!$C:$C,$A84))</f>
        <v/>
      </c>
    </row>
    <row r="85" ht="60" hidden="1" customHeight="1">
      <c r="A85" s="16">
        <v>85</v>
      </c>
      <c r="B85" s="17" t="str">
        <f>IF(Petunjuk!$C$4="","",Petunjuk!$C$4)</f>
        <v>Afriansyah</v>
      </c>
      <c r="C85" s="18" t="str">
        <f>IF(INDEX(Korpus!$A:$A,$A85)="","",INDEX(Korpus!$A:$A,$A85))</f>
        <v xml:space="preserve">Perpres 39 Thn 2019 (Satu Data)</v>
      </c>
      <c r="D85" s="18" t="str">
        <f>TRIM(INDEX(Korpus!$D:$D,$A85)&amp;" "&amp;INDEX(Korpus!$E:$E,$A85))</f>
        <v xml:space="preserve">Pasal 1</v>
      </c>
      <c r="E85" s="18" t="str">
        <f>IF(INDEX(Korpus!$F:$F,$A85)="","",INDEX(Korpus!$F:$F,$A85))</f>
        <v xml:space="preserve">Dalam Peraturan Presiden ini yang dimaksud dengan:1. Satu Data Indonesia adalah kebijakan tata kelola Data pemerintah untuk menghasilkan Data yang akurat, mutakhir, terpadu, dan dapat dipertanggungjawabkan, serta mudah Instansi diakses Pusat dan dibagipakaikan Instansi Daerah antar melalui pemenuhan Standar Data, Metadata, Interoperabilitas Data, dan menggunakan Kode Referensi dan Data Induk.2. Data adalah catatan atas kumpulan fakta atau deskripsi berupa angka, karakter, simbol, gambar, peta, tanda, isyarat, tulisan, suara, dan/atau bunyi, yang merepresentasikan keadaan sebenarnya atau menunjukkan suatu ide, objek, kondisi, atau situasi.3. Data Statistik adalah Data berupa angka tentang karakteristik atau ciri khusus suatu populasi yang diperoleh dengan cara pengumpulan, pengolahan, penyajian, dan analisis.4. Data Geospasial adalah Data tentang lokasi geografis, dimensi atau ukuran, dan/atau karakteristik objek alam dan/atau buatan manusia yang berada di bawah, pada, atau di atas permukaan bumi.5. Data Keuangan Negara Tingkat Pusat adalah Data yang disusun oleh Pemerintah Pusat berdasarkan sistem akuntansi pemerintah yang mencakup semua hak dan kewajiban negara yang dapat dinilai dengan uang, serta segala sesuatu baik berupa uang maupun berupa barang yang dapat dijadikan milik negara berhubung dengan pelaksanaan hak dan kewajiban tersebut.6. Standar Data adalah standar yang mendasari Data tertentu.7. Metadata adalah informasi dalam bentuk struktur dan format yang baku untuk menggambarkan Data, menjelaskan Data, serta memudahkan pencarian, penggunaan, dan pengelolaan informasi Data.8. Interoperabilitas Data adalah kemampuan Data untuk dibagipakaikan antar sistem elektronik yang saling berinteraksi.9. Kode Referensi adalah tanda berisi karakter yang mengandung atau menggambarkan makna, maksud, atau norma tertentu sebagai rujukan identitas Data yang bersifat unik.10. Data Induk adalah Data yang merepresentasikan objek dalam proses bisnis pemerintah yang ditetapkan sesuai dengan ketentuan dalam Peraturan Presiden ini untuk digunakan bersama.11. Data Prioritas adalah Data terpilih yang berasal dari daftar Data yang akan dikumpulkan pada tahun selanjutnya yang disepakati dalam Forum Satu Data Indonesia.12. Forum Satu Data Indonesia adalah wadah komunikasi dan koordinasi Instansi Pusat dan/atau Instansi Daerah untuk penyelenggaraan Satu Data Indonesia.13. Portal Satu Data Indonesia adalah media bagi-pakai Data di tingkat nasional yang dapat diakses melalui pemanfaatan teknologi informasi dan komunikasi.14. Instansi Pusat adalah kementerian, lembaga pemerintah nonkementerian, kesekretariatan lembaga negara, kesekretariatan lembaga nonstruktural, dan lembaga pemerintah lainnya.15. Pemerintah Daerah adalah kepala daerah sebagai unsur penyelenggara pemerintahan daerah yang memimpin pelaksanaan urusan pemerintahan yang menjadi kewenangan daerah otonom.16. Instansi Daerah adalah perangkat daerah provinsi dan perangkatdaerahkabupaten/kotasekretariatdaerah,sekretariat yang dewan meliputi perwakilan rakyat daerah, dinas daerah, dan lembaga teknis daerah.17. Pembina Data adalah Instansi Pusat yang diberi kewenangan melakukan pembinaan terkait Data atau Instansi Daerah yang diberikan penugasan untuk melakukan pembinaan terkait Data, sebagaimana diatur dalam Peraturan Presiden ini.18. Walidata adalah unit pada Instansi Pusat dan Instansi Daerah yang melaksanakan kegiatan pengumpulan, pemeriksaan, dan pengelolaan Data yang disampaikan oleh Produsen Data, serta menyebarluaskan Data.19. Produsen Data adalah unit pada Instansi Pusat dan Instansi Daerah yang menghasilkan Data berdasarkan kewenangan sesuai dengan ketentuan peraturan perundang-undangan.</v>
      </c>
      <c r="F85" s="19"/>
      <c r="G85" s="19"/>
      <c r="H85" s="19"/>
      <c r="I85" s="19"/>
      <c r="J85" s="19"/>
      <c r="K85" s="19"/>
      <c r="L85" s="19"/>
      <c r="M85" s="20"/>
      <c r="N85" s="20"/>
      <c r="O85" s="16"/>
      <c r="P85" s="18" t="str">
        <f t="shared" si="4"/>
        <v xml:space="preserve">Belum lengkap (6)</v>
      </c>
      <c r="Q85" s="18" t="str">
        <f t="shared" si="5"/>
        <v/>
      </c>
      <c r="R85" s="18" t="str">
        <f>IF(INDEX(Korpus!$B:$B,$A85)="","",INDEX(Korpus!$B:$B,$A85))</f>
        <v xml:space="preserve">BAB I
KETENTUAN UMUM</v>
      </c>
      <c r="S85" s="18" t="str">
        <f>IF(INDEX(Korpus!$C:$C,$A85)="","",INDEX(Korpus!$C:$C,$A85))</f>
        <v/>
      </c>
    </row>
    <row r="86" ht="60" hidden="1" customHeight="1">
      <c r="A86" s="16">
        <v>86</v>
      </c>
      <c r="B86" s="17" t="str">
        <f>IF(Petunjuk!$C$4="","",Petunjuk!$C$4)</f>
        <v>Afriansyah</v>
      </c>
      <c r="C86" s="18" t="str">
        <f>IF(INDEX(Korpus!$A:$A,$A86)="","",INDEX(Korpus!$A:$A,$A86))</f>
        <v xml:space="preserve">Perpres 39 Thn 2019 (Satu Data)</v>
      </c>
      <c r="D86" s="18" t="str">
        <f>TRIM(INDEX(Korpus!$D:$D,$A86)&amp;" "&amp;INDEX(Korpus!$E:$E,$A86))</f>
        <v xml:space="preserve">Pasal 39</v>
      </c>
      <c r="E86" s="18" t="str">
        <f>IF(INDEX(Korpus!$F:$F,$A86)="","",INDEX(Korpus!$F:$F,$A86))</f>
        <v xml:space="preserve">(1) Instansi Pusat dan Instansi Daerah mengakses Data di Portal Satu Data Indonesia tidak dipungut biaya.(2) Instansi Pusat dan Instansi Daerah dalam mengakses Data di Portal Satu Data Indonesia tidak memerlukan dokumen nota kesepahaman, perjanjian kerja sama, dan/atau dokumen surat pernyataan.</v>
      </c>
      <c r="F86" s="19"/>
      <c r="G86" s="19"/>
      <c r="H86" s="19"/>
      <c r="I86" s="19"/>
      <c r="J86" s="19"/>
      <c r="K86" s="19"/>
      <c r="L86" s="19"/>
      <c r="M86" s="20"/>
      <c r="N86" s="20"/>
      <c r="O86" s="16"/>
      <c r="P86" s="18" t="str">
        <f t="shared" si="4"/>
        <v xml:space="preserve">Belum lengkap (6)</v>
      </c>
      <c r="Q86" s="18" t="str">
        <f t="shared" si="5"/>
        <v/>
      </c>
      <c r="R86" s="18" t="str">
        <f>IF(INDEX(Korpus!$B:$B,$A86)="","",INDEX(Korpus!$B:$B,$A86))</f>
        <v xml:space="preserve">BAB IV
PENYELENGGARAAN SATU DATA INDONESIA</v>
      </c>
      <c r="S86" s="18" t="str">
        <f>IF(INDEX(Korpus!$C:$C,$A86)="","",INDEX(Korpus!$C:$C,$A86))</f>
        <v xml:space="preserve">Bagian Kelima
Penyebarluasan Data</v>
      </c>
    </row>
  </sheetData>
  <autoFilter ref="A1:S86">
    <filterColumn colId="14">
      <customFilters and="1">
        <customFilter operator="notEqual" val=" "/>
      </customFilters>
    </filterColumn>
  </autoFilter>
  <dataValidations count="2" disablePrompts="0">
    <dataValidation sqref="M2:M86" type="none" allowBlank="1" errorStyle="stop" imeMode="noControl" operator="between" prompt="Teks bebas, satu kalimat &quot;Sistem harus …&quot; atau “Sistem tidak boleh ...” (opsional, untuk R2)" promptTitle="" showDropDown="0" showErrorMessage="1" showInputMessage="1"/>
    <dataValidation sqref="N2:N86" type="none" allowBlank="1" errorStyle="stop" imeMode="noControl" operator="between" prompt="Digunakan untuk alasan T99, adanya keraguan, salah ketik atau teks terpotong, dan penjelasan lain bila aturan konsistensi tidak terpenuhi (Bagian 5.1 dan 9.1)." promptTitle="" showDropDown="0" showErrorMessage="1" showInputMessage="1"/>
  </dataValidations>
  <printOptions headings="0" gridLines="0" horizontalCentered="0" verticalCentered="0"/>
  <pageMargins left="0.75" right="0.75" top="1" bottom="1" header="0.51181102362204689" footer="0.51181102362204689"/>
  <pageSetup paperSize="9" scale="100" fitToWidth="1" fitToHeight="1" pageOrder="downThenOver" orientation="portrait" usePrinterDefaults="1" blackAndWhite="0" draft="0" cellComments="none" useFirstPageNumber="0" errors="displayed" horizontalDpi="300" verticalDpi="300" copies="1"/>
  <headerFooter/>
  <extLst>
    <ext xmlns:x14="http://schemas.microsoft.com/office/spreadsheetml/2009/9/main" uri="{78C0D931-6437-407d-A8EE-F0AAD7539E65}">
      <x14:conditionalFormattings>
        <x14:conditionalFormatting xmlns:xm="http://schemas.microsoft.com/office/excel/2006/main">
          <x14:cfRule type="expression" priority="2" aboveAverage="0" rank="0" text="">
            <xm:f>Q2="OK"</xm:f>
            <x14:dxf>
              <font>
                <color rgb="FF006100"/>
                <name val="Arial"/>
              </font>
              <fill>
                <patternFill patternType="solid">
                  <fgColor rgb="FFC6EFCE"/>
                  <bgColor rgb="FFC6EFCE"/>
                </patternFill>
              </fill>
            </x14:dxf>
          </x14:cfRule>
          <xm:sqref>Q2:Q86</xm:sqref>
        </x14:conditionalFormatting>
        <x14:conditionalFormatting xmlns:xm="http://schemas.microsoft.com/office/excel/2006/main">
          <x14:cfRule type="expression" priority="3" aboveAverage="0" rank="0" text="">
            <xm:f>AND(Q2&lt;&gt;"",Q2&lt;&gt;"OK",LEFT(Q2,7)&lt;&gt;"Belum l")</xm:f>
            <x14:dxf>
              <font>
                <color rgb="FF9C5700"/>
                <name val="Arial"/>
              </font>
              <fill>
                <patternFill patternType="solid">
                  <fgColor rgb="FFFFEB9C"/>
                  <bgColor rgb="FFFFEB9C"/>
                </patternFill>
              </fill>
            </x14:dxf>
          </x14:cfRule>
          <xm:sqref>Q2:Q86</xm:sqref>
        </x14:conditionalFormatting>
        <x14:conditionalFormatting xmlns:xm="http://schemas.microsoft.com/office/excel/2006/main">
          <x14:cfRule type="expression" priority="4" aboveAverage="0" rank="0" text="">
            <xm:f>P2="Lengkap"</xm:f>
            <x14:dxf>
              <font>
                <color rgb="FF006100"/>
                <name val="Arial"/>
              </font>
            </x14:dxf>
          </x14:cfRule>
          <xm:sqref>P2:P86</xm:sqref>
        </x14:conditionalFormatting>
      </x14:conditionalFormattings>
    </ext>
    <ext xmlns:x14="http://schemas.microsoft.com/office/spreadsheetml/2009/9/main" uri="{CCE6A557-97BC-4b89-ADB6-D9C93CAAB3DF}">
      <x14:dataValidations xmlns:xm="http://schemas.microsoft.com/office/excel/2006/main" count="8" disablePrompts="0">
        <x14:dataValidation xr:uid="{4C3F58AB-9808-43EF-BF23-2169D2C70299}" type="list" allowBlank="1" error="Pilih kode dari daftar (lihat sheet Daftar Kode)." errorStyle="stop" errorTitle="Kode tidak sah" imeMode="noControl" operator="between" prompt="Kodekan pihak yang secara eksplisit menjadi subjek tata bahasa norma utama pada kolom “Isi”. Jangan menyimpulkan subjek dari judul BAB.&#10;Detail lihat Bagian 7.1" promptTitle="" showDropDown="0" showErrorMessage="1" showInputMessage="1">
          <x14:formula1>
            <xm:f>'Daftar Kode'!$D$5:$D$13</xm:f>
          </x14:formula1>
          <x14:formula2>
            <xm:f>"""0"""</xm:f>
          </x14:formula2>
          <xm:sqref>F3:F86</xm:sqref>
        </x14:dataValidation>
        <x14:dataValidation xr:uid="{5922C192-F2D4-4C66-A9EB-C84BB639CA3E}" type="list" allowBlank="1" error="Pilih kode dari daftar (lihat sheet Daftar Kode)." errorStyle="stop" errorTitle="Kode tidak sah" imeMode="noControl" operator="between" prompt="Tentukan dengan Uji Implikasi Bagian 6.&#10;Detail lainnya lihat Bagian 7.2" promptTitle="" showDropDown="0" showErrorMessage="1" showInputMessage="1">
          <x14:formula1>
            <xm:f>'Daftar Kode'!$D$16:$D$18</xm:f>
          </x14:formula1>
          <x14:formula2>
            <xm:f>"""0"""</xm:f>
          </x14:formula2>
          <xm:sqref>G2:G86</xm:sqref>
        </x14:dataValidation>
        <x14:dataValidation xr:uid="{5E522288-BC85-4382-B81F-8C02903B5A43}" type="list" allowBlank="1" error="Pilih kode dari daftar (lihat sheet Daftar Kode)." errorStyle="stop" errorTitle="Kode tidak sah" imeMode="noControl" operator="between" prompt="Pilih satu tema dominan dari pohon keputusan Bagian 7.3. Pemilihan T99 wajib dijelaskan di V12." showDropDown="0" showErrorMessage="1" showInputMessage="1">
          <x14:formula1>
            <xm:f>'Daftar Kode'!$D$21:$D$37</xm:f>
          </x14:formula1>
          <x14:formula2>
            <xm:f>"""0"""</xm:f>
          </x14:formula2>
          <xm:sqref>H2:H86</xm:sqref>
        </x14:dataValidation>
        <x14:dataValidation xr:uid="{18509EE5-9805-474B-92D5-286C3EFA3440}" type="list" allowBlank="1" error="Pilih kode dari daftar (lihat sheet Daftar Kode)." errorStyle="stop" errorTitle="Kode tidak sah" imeMode="noControl" operator="between" prompt="Detail lihat Bagian 7.4" promptTitle="" showDropDown="0" showErrorMessage="1" showInputMessage="1">
          <x14:formula1>
            <xm:f>'Daftar Kode'!$D$40:$D$47</xm:f>
          </x14:formula1>
          <x14:formula2>
            <xm:f>"""0"""</xm:f>
          </x14:formula2>
          <xm:sqref>I2:I86</xm:sqref>
        </x14:dataValidation>
        <x14:dataValidation xr:uid="{5A0CD193-FEC6-4215-ADF9-B1DD4467170E}" type="list" allowBlank="1" error="Pilih kode dari daftar (lihat sheet Daftar Kode)." errorStyle="stop" errorTitle="Kode tidak sah" imeMode="noControl" operator="between" prompt="Tahap siklus data yang terkait dari awal hingga akhir.&#10;Detail lihat Bagian 7.5" promptTitle="" showDropDown="0" showErrorMessage="1" showInputMessage="1">
          <x14:formula1>
            <xm:f>'Daftar Kode'!$D$50:$D$57</xm:f>
          </x14:formula1>
          <x14:formula2>
            <xm:f>"""0"""</xm:f>
          </x14:formula2>
          <xm:sqref>J2:J86</xm:sqref>
        </x14:dataValidation>
        <x14:dataValidation xr:uid="{04D8E2A5-939F-4A94-A628-BF202A4F5C84}" type="list" allowBlank="1" error="Pilih kode dari daftar (lihat sheet Daftar Kode)." errorStyle="stop" errorTitle="Kode tidak sah" imeMode="noControl" operator="between" prompt="Kandidat jenis kebutuhan SRS diperiksa berurutan K1 -&gt; K2 -&gt; K3 -&gt; K4 -&gt; K5.&#10;Detail lihat Bagian 7.6" promptTitle="" showDropDown="0" showErrorMessage="1" showInputMessage="1">
          <x14:formula1>
            <xm:f>'Daftar Kode'!$D$60:$D$64</xm:f>
          </x14:formula1>
          <x14:formula2>
            <xm:f>"""0"""</xm:f>
          </x14:formula2>
          <xm:sqref>K2:K86</xm:sqref>
        </x14:dataValidation>
        <x14:dataValidation xr:uid="{6D8F4892-D741-4689-BFDE-16B14A55AB7E}" type="list" allowBlank="1" error="Pilih kode dari daftar (lihat sheet Daftar Kode)." errorStyle="stop" errorTitle="Kode tidak sah" imeMode="noControl" operator="between" prompt="Tema kedua bila unit memuat dua tema (gunakan kode dari Bagian 7.3). T99 tidak digunakan di sini." promptTitle="Opsional" showDropDown="0" showErrorMessage="1" showInputMessage="1">
          <x14:formula1>
            <xm:f>'Daftar Kode'!$D$21:$D$36</xm:f>
          </x14:formula1>
          <x14:formula2>
            <xm:f>"""0"""</xm:f>
          </x14:formula2>
          <xm:sqref>L2:L86</xm:sqref>
        </x14:dataValidation>
        <x14:dataValidation xr:uid="{402B7895-FA3E-4444-AAAA-37F5887B5D9F}" type="list" allowBlank="1" error="Pilih kode dari daftar (lihat sheet Daftar Kode)." errorStyle="stop" errorTitle="Kode tidak sah" imeMode="noControl" operator="between" prompt="Kodekan pihak yang secara eksplisit menjadi subjek tata bahasa norma utama pada kolom “Isi”. Jangan menyimpulkan subjek dari judul BAB." promptTitle="" showDropDown="0" showErrorMessage="1" showInputMessage="1">
          <x14:formula1>
            <xm:f>'Daftar Kode'!$D$5:$D$13</xm:f>
          </x14:formula1>
          <x14:formula2>
            <xm:f>"""0"""</xm:f>
          </x14:formula2>
          <xm:sqref>F2</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filterMode="0">
    <outlinePr applyStyles="0" summaryBelow="1" summaryRight="1" showOutlineSymbols="1"/>
    <pageSetUpPr autoPageBreaks="1" fitToPage="0"/>
  </sheetPr>
  <sheetViews>
    <sheetView showFormulas="0" showGridLines="1" showRowColHeaders="1" showZeros="1" rightToLeft="0" view="normal" zoomScale="85" workbookViewId="0">
      <pane ySplit="3" topLeftCell="A4" activePane="bottomLeft" state="frozen"/>
      <selection activeCell="C64" activeCellId="0" sqref="C64"/>
    </sheetView>
  </sheetViews>
  <sheetFormatPr defaultColWidth="8.6796875" defaultRowHeight="14.25"/>
  <cols>
    <col customWidth="1" min="1" max="1" style="1" width="22"/>
    <col customWidth="1" min="2" max="2" style="1" width="8"/>
    <col customWidth="1" min="3" max="3" style="1" width="51.890000000000001"/>
    <col customWidth="1" min="4" max="4" style="21" width="58.380000000000003"/>
    <col customWidth="0" min="5" max="16384" style="1" width="8.6799999999999997"/>
  </cols>
  <sheetData>
    <row r="1" ht="16.5">
      <c r="A1" s="2" t="s">
        <v>84</v>
      </c>
    </row>
    <row r="2" ht="15">
      <c r="A2" s="3" t="s">
        <v>85</v>
      </c>
    </row>
    <row r="4" ht="15">
      <c r="A4" s="14" t="s">
        <v>86</v>
      </c>
      <c r="B4" s="14" t="s">
        <v>53</v>
      </c>
      <c r="C4" s="14" t="s">
        <v>87</v>
      </c>
      <c r="D4" s="22" t="str">
        <f t="shared" ref="D4:D9" si="6">$B4 &amp; " - " &amp; $C4</f>
        <v xml:space="preserve">Kode - Label</v>
      </c>
    </row>
    <row r="5" ht="15">
      <c r="A5" s="23" t="s">
        <v>32</v>
      </c>
      <c r="B5" s="24" t="s">
        <v>88</v>
      </c>
      <c r="C5" s="23" t="s">
        <v>89</v>
      </c>
      <c r="D5" s="21" t="str">
        <f t="shared" si="6"/>
        <v xml:space="preserve">S1 - Pengendali Data Pribadi</v>
      </c>
    </row>
    <row r="6" ht="15">
      <c r="A6" s="23" t="s">
        <v>32</v>
      </c>
      <c r="B6" s="24" t="s">
        <v>90</v>
      </c>
      <c r="C6" s="23" t="s">
        <v>91</v>
      </c>
      <c r="D6" s="21" t="str">
        <f t="shared" si="6"/>
        <v xml:space="preserve">S2 - Prosesor Data Pribadi</v>
      </c>
    </row>
    <row r="7" ht="15">
      <c r="A7" s="23" t="s">
        <v>32</v>
      </c>
      <c r="B7" s="24" t="s">
        <v>92</v>
      </c>
      <c r="C7" s="23" t="s">
        <v>93</v>
      </c>
      <c r="D7" s="21" t="str">
        <f t="shared" si="6"/>
        <v xml:space="preserve">S3 - Pengendali dan Prosesor</v>
      </c>
    </row>
    <row r="8" ht="15">
      <c r="A8" s="23" t="s">
        <v>32</v>
      </c>
      <c r="B8" s="24" t="s">
        <v>94</v>
      </c>
      <c r="C8" s="23" t="s">
        <v>95</v>
      </c>
      <c r="D8" s="21" t="str">
        <f t="shared" si="6"/>
        <v xml:space="preserve">S4 - Subjek Data Pribadi</v>
      </c>
    </row>
    <row r="9" ht="15">
      <c r="A9" s="23" t="s">
        <v>32</v>
      </c>
      <c r="B9" s="24" t="s">
        <v>96</v>
      </c>
      <c r="C9" s="23" t="s">
        <v>97</v>
      </c>
      <c r="D9" s="21" t="str">
        <f t="shared" si="6"/>
        <v xml:space="preserve">S5 - Setiap Orang atau pihak umum</v>
      </c>
    </row>
    <row r="10" ht="15">
      <c r="A10" s="23" t="s">
        <v>32</v>
      </c>
      <c r="B10" s="24" t="s">
        <v>98</v>
      </c>
      <c r="C10" s="23" t="s">
        <v>99</v>
      </c>
      <c r="D10" s="21" t="str">
        <f t="shared" ref="D10:D64" si="7">$B10 &amp; " - " &amp; $C10</f>
        <v xml:space="preserve">S6 - Instansi atau Badan Publik</v>
      </c>
    </row>
    <row r="11" ht="15">
      <c r="A11" s="23" t="s">
        <v>32</v>
      </c>
      <c r="B11" s="24" t="s">
        <v>100</v>
      </c>
      <c r="C11" s="23" t="s">
        <v>101</v>
      </c>
      <c r="D11" s="21" t="str">
        <f t="shared" si="7"/>
        <v xml:space="preserve">S7 - Otoritas Penetap atau Pengawas Kebijakan</v>
      </c>
    </row>
    <row r="12" ht="15">
      <c r="A12" s="23" t="s">
        <v>32</v>
      </c>
      <c r="B12" s="24" t="s">
        <v>102</v>
      </c>
      <c r="C12" s="23" t="s">
        <v>103</v>
      </c>
      <c r="D12" s="21" t="str">
        <f t="shared" si="7"/>
        <v xml:space="preserve">S8 - Penyelenggara sektor atau pihak lain</v>
      </c>
    </row>
    <row r="13" ht="15">
      <c r="A13" s="23" t="s">
        <v>32</v>
      </c>
      <c r="B13" s="24" t="s">
        <v>104</v>
      </c>
      <c r="C13" s="23" t="s">
        <v>105</v>
      </c>
      <c r="D13" s="21" t="str">
        <f t="shared" si="7"/>
        <v xml:space="preserve">S9 - Tidak ada subjek perorangan atau organisasi eksplisit</v>
      </c>
    </row>
    <row r="15" ht="15">
      <c r="A15" s="14" t="s">
        <v>86</v>
      </c>
      <c r="B15" s="14" t="s">
        <v>53</v>
      </c>
      <c r="C15" s="14" t="s">
        <v>87</v>
      </c>
      <c r="D15" s="22" t="str">
        <f t="shared" si="7"/>
        <v xml:space="preserve">Kode - Label</v>
      </c>
    </row>
    <row r="16" ht="15">
      <c r="A16" s="23" t="s">
        <v>34</v>
      </c>
      <c r="B16" s="24" t="s">
        <v>106</v>
      </c>
      <c r="C16" s="23" t="s">
        <v>107</v>
      </c>
      <c r="D16" s="21" t="str">
        <f t="shared" si="7"/>
        <v xml:space="preserve">R0 - Tidak relevan</v>
      </c>
    </row>
    <row r="17" ht="15">
      <c r="A17" s="23" t="s">
        <v>34</v>
      </c>
      <c r="B17" s="24" t="s">
        <v>108</v>
      </c>
      <c r="C17" s="23" t="s">
        <v>109</v>
      </c>
      <c r="D17" s="21" t="str">
        <f t="shared" si="7"/>
        <v xml:space="preserve">R1 - Relevan tidak langsung</v>
      </c>
    </row>
    <row r="18" ht="15">
      <c r="A18" s="23" t="s">
        <v>34</v>
      </c>
      <c r="B18" s="24" t="s">
        <v>110</v>
      </c>
      <c r="C18" s="23" t="s">
        <v>111</v>
      </c>
      <c r="D18" s="21" t="str">
        <f t="shared" si="7"/>
        <v xml:space="preserve">R2 - Relevan langsung</v>
      </c>
    </row>
    <row r="20" ht="15">
      <c r="A20" s="14" t="s">
        <v>86</v>
      </c>
      <c r="B20" s="14" t="s">
        <v>53</v>
      </c>
      <c r="C20" s="14" t="s">
        <v>87</v>
      </c>
      <c r="D20" s="22" t="str">
        <f t="shared" si="7"/>
        <v xml:space="preserve">Kode - Label</v>
      </c>
    </row>
    <row r="21" ht="15">
      <c r="A21" s="23" t="s">
        <v>36</v>
      </c>
      <c r="B21" s="24" t="s">
        <v>112</v>
      </c>
      <c r="C21" s="23" t="s">
        <v>113</v>
      </c>
      <c r="D21" s="21" t="str">
        <f t="shared" si="7"/>
        <v xml:space="preserve">T01 - Definisi, Istilah, dan Ruang Lingkup</v>
      </c>
    </row>
    <row r="22" ht="15">
      <c r="A22" s="23" t="s">
        <v>36</v>
      </c>
      <c r="B22" s="24" t="s">
        <v>114</v>
      </c>
      <c r="C22" s="23" t="s">
        <v>115</v>
      </c>
      <c r="D22" s="21" t="str">
        <f t="shared" si="7"/>
        <v xml:space="preserve">T02 - Latar Normatif dan Rujukan Non-operasional</v>
      </c>
    </row>
    <row r="23" ht="15">
      <c r="A23" s="23" t="s">
        <v>36</v>
      </c>
      <c r="B23" s="24" t="s">
        <v>116</v>
      </c>
      <c r="C23" s="23" t="s">
        <v>117</v>
      </c>
      <c r="D23" s="21" t="str">
        <f t="shared" si="7"/>
        <v xml:space="preserve">T03 - Larangan dan Perbuatan Melawan Hukum</v>
      </c>
    </row>
    <row r="24" ht="15">
      <c r="A24" s="23" t="s">
        <v>36</v>
      </c>
      <c r="B24" s="24" t="s">
        <v>118</v>
      </c>
      <c r="C24" s="23" t="s">
        <v>119</v>
      </c>
      <c r="D24" s="21" t="str">
        <f t="shared" si="7"/>
        <v xml:space="preserve">T04 - Pengecualian dan Pembatasan</v>
      </c>
    </row>
    <row r="25" ht="15">
      <c r="A25" s="23" t="s">
        <v>36</v>
      </c>
      <c r="B25" s="24" t="s">
        <v>120</v>
      </c>
      <c r="C25" s="23" t="s">
        <v>121</v>
      </c>
      <c r="D25" s="21" t="str">
        <f t="shared" si="7"/>
        <v xml:space="preserve">T05 - Jenis dan Klasifikasi Data Pribadi</v>
      </c>
    </row>
    <row r="26" ht="15">
      <c r="A26" s="23" t="s">
        <v>36</v>
      </c>
      <c r="B26" s="24" t="s">
        <v>122</v>
      </c>
      <c r="C26" s="23" t="s">
        <v>123</v>
      </c>
      <c r="D26" s="21" t="str">
        <f t="shared" si="7"/>
        <v xml:space="preserve">T06 - Data Pribadi Anak dan Kelompok Rentan</v>
      </c>
    </row>
    <row r="27" ht="15">
      <c r="A27" s="23" t="s">
        <v>36</v>
      </c>
      <c r="B27" s="24" t="s">
        <v>124</v>
      </c>
      <c r="C27" s="23" t="s">
        <v>125</v>
      </c>
      <c r="D27" s="21" t="str">
        <f t="shared" si="7"/>
        <v xml:space="preserve">T07 - Hak Subjek Data Pribadi</v>
      </c>
    </row>
    <row r="28" ht="15">
      <c r="A28" s="23" t="s">
        <v>36</v>
      </c>
      <c r="B28" s="24" t="s">
        <v>126</v>
      </c>
      <c r="C28" s="23" t="s">
        <v>127</v>
      </c>
      <c r="D28" s="21" t="str">
        <f t="shared" si="7"/>
        <v xml:space="preserve">T08 - Retensi, Penghentian, Penghapusan, dan Pemusnahan</v>
      </c>
    </row>
    <row r="29" ht="15">
      <c r="A29" s="23" t="s">
        <v>36</v>
      </c>
      <c r="B29" s="24" t="s">
        <v>128</v>
      </c>
      <c r="C29" s="23" t="s">
        <v>129</v>
      </c>
      <c r="D29" s="21" t="str">
        <f t="shared" si="7"/>
        <v xml:space="preserve">T09 - Dasar Pemrosesan dan Persetujuan</v>
      </c>
    </row>
    <row r="30" ht="15">
      <c r="A30" s="23" t="s">
        <v>36</v>
      </c>
      <c r="B30" s="24" t="s">
        <v>130</v>
      </c>
      <c r="C30" s="23" t="s">
        <v>131</v>
      </c>
      <c r="D30" s="21" t="str">
        <f t="shared" si="7"/>
        <v xml:space="preserve">T10 - Transfer dan Pengalihan Data</v>
      </c>
    </row>
    <row r="31" ht="15">
      <c r="A31" s="23" t="s">
        <v>36</v>
      </c>
      <c r="B31" s="24" t="s">
        <v>132</v>
      </c>
      <c r="C31" s="23" t="s">
        <v>133</v>
      </c>
      <c r="D31" s="21" t="str">
        <f t="shared" si="7"/>
        <v xml:space="preserve">T11 - Keamanan, Kerahasiaan, dan Penanganan Insiden</v>
      </c>
    </row>
    <row r="32" ht="15">
      <c r="A32" s="23" t="s">
        <v>36</v>
      </c>
      <c r="B32" s="24" t="s">
        <v>134</v>
      </c>
      <c r="C32" s="23" t="s">
        <v>135</v>
      </c>
      <c r="D32" s="21" t="str">
        <f t="shared" si="7"/>
        <v xml:space="preserve">T12 - Kualitas, Akurasi, dan Pembaruan Data</v>
      </c>
    </row>
    <row r="33" ht="15">
      <c r="A33" s="23" t="s">
        <v>36</v>
      </c>
      <c r="B33" s="24" t="s">
        <v>136</v>
      </c>
      <c r="C33" s="23" t="s">
        <v>137</v>
      </c>
      <c r="D33" s="21" t="str">
        <f t="shared" si="7"/>
        <v xml:space="preserve">T13 - Akuntabilitas, Pencatatan, dan Tata Kelola Kepatuhan</v>
      </c>
    </row>
    <row r="34" ht="15">
      <c r="A34" s="23" t="s">
        <v>36</v>
      </c>
      <c r="B34" s="24" t="s">
        <v>138</v>
      </c>
      <c r="C34" s="23" t="s">
        <v>139</v>
      </c>
      <c r="D34" s="21" t="str">
        <f t="shared" si="7"/>
        <v xml:space="preserve">T14 - Akses dan Pemanfaatan Data Pemerintah</v>
      </c>
    </row>
    <row r="35" ht="15">
      <c r="A35" s="23" t="s">
        <v>36</v>
      </c>
      <c r="B35" s="24" t="s">
        <v>140</v>
      </c>
      <c r="C35" s="23" t="s">
        <v>141</v>
      </c>
      <c r="D35" s="21" t="str">
        <f t="shared" si="7"/>
        <v xml:space="preserve">T15 - Asas dan Prinsip Pemrosesan</v>
      </c>
    </row>
    <row r="36" ht="15">
      <c r="A36" s="23" t="s">
        <v>36</v>
      </c>
      <c r="B36" s="24" t="s">
        <v>142</v>
      </c>
      <c r="C36" s="23" t="s">
        <v>143</v>
      </c>
      <c r="D36" s="21" t="str">
        <f t="shared" si="7"/>
        <v xml:space="preserve">T16 - Aktivitas Pemrosesan dan Pengumpulan</v>
      </c>
    </row>
    <row r="37" ht="15">
      <c r="A37" s="23" t="s">
        <v>36</v>
      </c>
      <c r="B37" s="24" t="s">
        <v>144</v>
      </c>
      <c r="C37" s="23" t="s">
        <v>145</v>
      </c>
      <c r="D37" s="21" t="str">
        <f t="shared" si="7"/>
        <v xml:space="preserve">T99 - Lainnya (wajib jelaskan di V12)</v>
      </c>
    </row>
    <row r="39" ht="15">
      <c r="A39" s="14" t="s">
        <v>86</v>
      </c>
      <c r="B39" s="14" t="s">
        <v>53</v>
      </c>
      <c r="C39" s="14" t="s">
        <v>87</v>
      </c>
      <c r="D39" s="22" t="str">
        <f t="shared" si="7"/>
        <v xml:space="preserve">Kode - Label</v>
      </c>
    </row>
    <row r="40" ht="15">
      <c r="A40" s="23" t="s">
        <v>38</v>
      </c>
      <c r="B40" s="24" t="s">
        <v>146</v>
      </c>
      <c r="C40" s="23" t="s">
        <v>147</v>
      </c>
      <c r="D40" s="21" t="str">
        <f t="shared" si="7"/>
        <v xml:space="preserve">P1 - Larangan</v>
      </c>
    </row>
    <row r="41" ht="15">
      <c r="A41" s="23" t="s">
        <v>38</v>
      </c>
      <c r="B41" s="24" t="s">
        <v>148</v>
      </c>
      <c r="C41" s="23" t="s">
        <v>149</v>
      </c>
      <c r="D41" s="21" t="str">
        <f t="shared" si="7"/>
        <v xml:space="preserve">P2 - Kewajiban</v>
      </c>
    </row>
    <row r="42" ht="15">
      <c r="A42" s="23" t="s">
        <v>38</v>
      </c>
      <c r="B42" s="24" t="s">
        <v>150</v>
      </c>
      <c r="C42" s="23" t="s">
        <v>151</v>
      </c>
      <c r="D42" s="21" t="str">
        <f t="shared" si="7"/>
        <v xml:space="preserve">P3 - Hak</v>
      </c>
    </row>
    <row r="43" ht="15">
      <c r="A43" s="23" t="s">
        <v>38</v>
      </c>
      <c r="B43" s="24" t="s">
        <v>152</v>
      </c>
      <c r="C43" s="23" t="s">
        <v>153</v>
      </c>
      <c r="D43" s="21" t="str">
        <f t="shared" si="7"/>
        <v xml:space="preserve">P4 - Pengecualian atau pembatasan</v>
      </c>
    </row>
    <row r="44" ht="15">
      <c r="A44" s="23" t="s">
        <v>38</v>
      </c>
      <c r="B44" s="24" t="s">
        <v>154</v>
      </c>
      <c r="C44" s="23" t="s">
        <v>155</v>
      </c>
      <c r="D44" s="21" t="str">
        <f t="shared" si="7"/>
        <v xml:space="preserve">P5 - Kebolehan atau kewenangan</v>
      </c>
    </row>
    <row r="45" ht="15">
      <c r="A45" s="23" t="s">
        <v>38</v>
      </c>
      <c r="B45" s="24" t="s">
        <v>156</v>
      </c>
      <c r="C45" s="23" t="s">
        <v>157</v>
      </c>
      <c r="D45" s="21" t="str">
        <f t="shared" si="7"/>
        <v xml:space="preserve">P6 - Definisi, klasifikasi, atau ruang lingkup</v>
      </c>
    </row>
    <row r="46" ht="15">
      <c r="A46" s="23" t="s">
        <v>38</v>
      </c>
      <c r="B46" s="24" t="s">
        <v>158</v>
      </c>
      <c r="C46" s="23" t="s">
        <v>159</v>
      </c>
      <c r="D46" s="21" t="str">
        <f t="shared" si="7"/>
        <v xml:space="preserve">P7 - Asas, prinsip, atau tujuan umum</v>
      </c>
    </row>
    <row r="47" ht="15">
      <c r="A47" s="23" t="s">
        <v>38</v>
      </c>
      <c r="B47" s="24" t="s">
        <v>160</v>
      </c>
      <c r="C47" s="23" t="s">
        <v>161</v>
      </c>
      <c r="D47" s="21" t="str">
        <f t="shared" si="7"/>
        <v xml:space="preserve">P8 - Deskriptif, argumentatif, dan rujukan</v>
      </c>
    </row>
    <row r="49" ht="15">
      <c r="A49" s="14" t="s">
        <v>86</v>
      </c>
      <c r="B49" s="14" t="s">
        <v>53</v>
      </c>
      <c r="C49" s="14" t="s">
        <v>87</v>
      </c>
      <c r="D49" s="22" t="str">
        <f t="shared" si="7"/>
        <v xml:space="preserve">Kode - Label</v>
      </c>
    </row>
    <row r="50" ht="15">
      <c r="A50" s="23" t="s">
        <v>40</v>
      </c>
      <c r="B50" s="24" t="s">
        <v>162</v>
      </c>
      <c r="C50" s="23" t="s">
        <v>163</v>
      </c>
      <c r="D50" s="21" t="str">
        <f t="shared" si="7"/>
        <v xml:space="preserve">F1 - Perencanaan dan dasar pemrosesan</v>
      </c>
    </row>
    <row r="51" ht="15">
      <c r="A51" s="23" t="s">
        <v>40</v>
      </c>
      <c r="B51" s="24" t="s">
        <v>164</v>
      </c>
      <c r="C51" s="23" t="s">
        <v>165</v>
      </c>
      <c r="D51" s="21" t="str">
        <f t="shared" si="7"/>
        <v xml:space="preserve">F2 - Pengumpulan atau akuisisi</v>
      </c>
    </row>
    <row r="52" ht="15">
      <c r="A52" s="23" t="s">
        <v>40</v>
      </c>
      <c r="B52" s="24" t="s">
        <v>166</v>
      </c>
      <c r="C52" s="23" t="s">
        <v>167</v>
      </c>
      <c r="D52" s="21" t="str">
        <f t="shared" si="7"/>
        <v xml:space="preserve">F3 - Pengolahan dan analisis</v>
      </c>
    </row>
    <row r="53" ht="15">
      <c r="A53" s="23" t="s">
        <v>40</v>
      </c>
      <c r="B53" s="24" t="s">
        <v>168</v>
      </c>
      <c r="C53" s="23" t="s">
        <v>169</v>
      </c>
      <c r="D53" s="21" t="str">
        <f t="shared" si="7"/>
        <v xml:space="preserve">F4 - Penyimpanan dan pengamanan</v>
      </c>
    </row>
    <row r="54" ht="15">
      <c r="A54" s="23" t="s">
        <v>40</v>
      </c>
      <c r="B54" s="24" t="s">
        <v>170</v>
      </c>
      <c r="C54" s="23" t="s">
        <v>171</v>
      </c>
      <c r="D54" s="21" t="str">
        <f t="shared" si="7"/>
        <v xml:space="preserve">F5 - Penyebarluasan dan transfer</v>
      </c>
    </row>
    <row r="55" ht="15">
      <c r="A55" s="23" t="s">
        <v>40</v>
      </c>
      <c r="B55" s="24" t="s">
        <v>172</v>
      </c>
      <c r="C55" s="23" t="s">
        <v>173</v>
      </c>
      <c r="D55" s="21" t="str">
        <f t="shared" si="7"/>
        <v xml:space="preserve">F6 - Retensi dan penghapusan</v>
      </c>
    </row>
    <row r="56" ht="15">
      <c r="A56" s="23" t="s">
        <v>40</v>
      </c>
      <c r="B56" s="24" t="s">
        <v>174</v>
      </c>
      <c r="C56" s="23" t="s">
        <v>175</v>
      </c>
      <c r="D56" s="21" t="str">
        <f t="shared" si="7"/>
        <v xml:space="preserve">F7 - Tata kelola dan hak subjek</v>
      </c>
    </row>
    <row r="57" ht="15">
      <c r="A57" s="23" t="s">
        <v>40</v>
      </c>
      <c r="B57" s="24" t="s">
        <v>176</v>
      </c>
      <c r="C57" s="23" t="s">
        <v>177</v>
      </c>
      <c r="D57" s="21" t="str">
        <f t="shared" si="7"/>
        <v xml:space="preserve">F8 - Lintas tahap atau tidak spesifik</v>
      </c>
    </row>
    <row r="59" ht="15">
      <c r="A59" s="14" t="s">
        <v>86</v>
      </c>
      <c r="B59" s="14" t="s">
        <v>53</v>
      </c>
      <c r="C59" s="14" t="s">
        <v>87</v>
      </c>
      <c r="D59" s="22" t="str">
        <f t="shared" si="7"/>
        <v xml:space="preserve">Kode - Label</v>
      </c>
    </row>
    <row r="60" ht="15">
      <c r="A60" s="23" t="s">
        <v>42</v>
      </c>
      <c r="B60" s="24" t="s">
        <v>178</v>
      </c>
      <c r="C60" s="23" t="s">
        <v>179</v>
      </c>
      <c r="D60" s="21" t="str">
        <f t="shared" si="7"/>
        <v xml:space="preserve">K1 - Non-fungsional: keamanan dan kerahasiaan. Apakah inti teks melindungi data dari akses atau gangguan tidak sah?</v>
      </c>
    </row>
    <row r="61" ht="15">
      <c r="A61" s="23" t="s">
        <v>42</v>
      </c>
      <c r="B61" s="24" t="s">
        <v>180</v>
      </c>
      <c r="C61" s="23" t="s">
        <v>181</v>
      </c>
      <c r="D61" s="21" t="str">
        <f t="shared" si="7"/>
        <v xml:space="preserve">K2 - Non-fungsional: mutu data, kepatuhan, dan akuntabilitas. Apakah ini mutu atau bukti yang berlaku untuk seluruh sistem, bukan hanya satu operasi?</v>
      </c>
    </row>
    <row r="62" ht="15">
      <c r="A62" s="23" t="s">
        <v>42</v>
      </c>
      <c r="B62" s="24" t="s">
        <v>182</v>
      </c>
      <c r="C62" s="23" t="s">
        <v>183</v>
      </c>
      <c r="D62" s="21" t="str">
        <f t="shared" si="7"/>
        <v xml:space="preserve">K3 - Fungsional. Dapatkah ditulis "Sistem harus [melakukan X]" dengan hasil hanya lulus atau gagal?</v>
      </c>
    </row>
    <row r="63" ht="15">
      <c r="A63" s="23" t="s">
        <v>42</v>
      </c>
      <c r="B63" s="24" t="s">
        <v>184</v>
      </c>
      <c r="C63" s="23" t="s">
        <v>185</v>
      </c>
      <c r="D63" s="21" t="str">
        <f t="shared" si="7"/>
        <v xml:space="preserve">K4 - Batasan atau aturan bisnis hukum. Apakah teks membatasi apa yang boleh dilakukan sistem, atau apa dan siapa yang tercakup?</v>
      </c>
    </row>
    <row r="64" ht="15">
      <c r="A64" s="23" t="s">
        <v>42</v>
      </c>
      <c r="B64" s="24" t="s">
        <v>186</v>
      </c>
      <c r="C64" s="23" t="s">
        <v>187</v>
      </c>
      <c r="D64" s="21" t="str">
        <f t="shared" si="7"/>
        <v xml:space="preserve">K5 - Tidak menghasilkan kebutuhan. Apakah teks benar-benar tidak dapat diterjemahkan menjadi kalimat "Sistem harus/tidak boleh …"?</v>
      </c>
    </row>
  </sheetData>
  <printOptions headings="0" gridLines="0" horizontalCentered="0" verticalCentered="0"/>
  <pageMargins left="0.75" right="0.75" top="1" bottom="1" header="0.51181102362204689" footer="0.51181102362204689"/>
  <pageSetup paperSize="9" scale="100" fitToWidth="1" fitToHeight="1" pageOrder="downThenOver" orientation="portrait" usePrinterDefaults="1" blackAndWhite="0" draft="0" cellComments="none" useFirstPageNumber="0" errors="displayed" horizontalDpi="300" verticalDpi="300" copies="1"/>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filterMode="0">
    <tabColor rgb="FF7F7F7F"/>
    <outlinePr applyStyles="0" summaryBelow="1" summaryRight="1" showOutlineSymbols="1"/>
    <pageSetUpPr autoPageBreaks="1" fitToPage="0"/>
  </sheetPr>
  <sheetViews>
    <sheetView showFormulas="0" showGridLines="1" showRowColHeaders="1" showZeros="1" rightToLeft="0" view="normal" topLeftCell="A1" zoomScale="85" workbookViewId="0">
      <selection activeCell="C27" activeCellId="0" sqref="C27"/>
    </sheetView>
  </sheetViews>
  <sheetFormatPr defaultColWidth="8.6796875" defaultRowHeight="15"/>
  <cols>
    <col customWidth="1" min="6" max="6" style="11" width="60"/>
    <col customWidth="1" min="8" max="8" style="11" width="90"/>
  </cols>
  <sheetData>
    <row r="1" ht="15">
      <c r="A1" s="25" t="s">
        <v>188</v>
      </c>
      <c r="B1" s="25" t="s">
        <v>60</v>
      </c>
      <c r="C1" s="25" t="s">
        <v>61</v>
      </c>
      <c r="D1" s="25" t="s">
        <v>189</v>
      </c>
      <c r="E1" s="25" t="s">
        <v>190</v>
      </c>
      <c r="F1" s="25" t="s">
        <v>56</v>
      </c>
      <c r="H1" s="4" t="s">
        <v>191</v>
      </c>
    </row>
    <row r="2" ht="15">
      <c r="A2" s="11" t="s">
        <v>192</v>
      </c>
      <c r="B2" s="11" t="s">
        <v>193</v>
      </c>
      <c r="C2" s="11" t="s">
        <v>194</v>
      </c>
      <c r="D2" s="11" t="s">
        <v>195</v>
      </c>
      <c r="E2" s="11" t="s">
        <v>196</v>
      </c>
      <c r="F2" s="11" t="s">
        <v>197</v>
      </c>
      <c r="H2" s="3" t="s">
        <v>198</v>
      </c>
    </row>
    <row r="3" ht="15">
      <c r="A3" s="11" t="s">
        <v>192</v>
      </c>
      <c r="B3" s="11" t="s">
        <v>193</v>
      </c>
      <c r="C3" s="11" t="s">
        <v>194</v>
      </c>
      <c r="D3" s="11" t="s">
        <v>195</v>
      </c>
      <c r="E3" s="11" t="s">
        <v>199</v>
      </c>
      <c r="F3" s="11" t="s">
        <v>200</v>
      </c>
      <c r="H3" s="3" t="s">
        <v>201</v>
      </c>
    </row>
    <row r="4" ht="15">
      <c r="A4" s="11" t="s">
        <v>192</v>
      </c>
      <c r="B4" s="11" t="s">
        <v>193</v>
      </c>
      <c r="C4" s="11" t="s">
        <v>194</v>
      </c>
      <c r="D4" s="11" t="s">
        <v>195</v>
      </c>
      <c r="E4" s="11" t="s">
        <v>202</v>
      </c>
      <c r="F4" s="11" t="s">
        <v>203</v>
      </c>
      <c r="H4" s="3" t="s">
        <v>204</v>
      </c>
    </row>
    <row r="5" ht="15">
      <c r="A5" s="11" t="s">
        <v>192</v>
      </c>
      <c r="B5" s="11" t="s">
        <v>193</v>
      </c>
      <c r="C5" s="11" t="s">
        <v>194</v>
      </c>
      <c r="D5" s="11" t="s">
        <v>195</v>
      </c>
      <c r="E5" s="11" t="s">
        <v>205</v>
      </c>
      <c r="F5" s="11" t="s">
        <v>206</v>
      </c>
    </row>
    <row r="6" ht="15">
      <c r="A6" s="11" t="s">
        <v>192</v>
      </c>
      <c r="B6" s="11" t="s">
        <v>193</v>
      </c>
      <c r="C6" s="11" t="s">
        <v>194</v>
      </c>
      <c r="D6" s="11" t="s">
        <v>195</v>
      </c>
      <c r="E6" s="11" t="s">
        <v>207</v>
      </c>
      <c r="F6" s="11" t="s">
        <v>208</v>
      </c>
    </row>
    <row r="7" ht="15">
      <c r="A7" s="11" t="s">
        <v>192</v>
      </c>
      <c r="B7" s="11" t="s">
        <v>193</v>
      </c>
      <c r="C7" s="11" t="s">
        <v>194</v>
      </c>
      <c r="D7" s="11" t="s">
        <v>195</v>
      </c>
      <c r="E7" s="11" t="s">
        <v>209</v>
      </c>
      <c r="F7" s="11" t="s">
        <v>210</v>
      </c>
    </row>
    <row r="8" ht="15">
      <c r="A8" s="11" t="s">
        <v>192</v>
      </c>
      <c r="B8" s="11" t="s">
        <v>193</v>
      </c>
      <c r="C8" s="11" t="s">
        <v>194</v>
      </c>
      <c r="D8" s="11" t="s">
        <v>211</v>
      </c>
      <c r="E8" s="11" t="s">
        <v>196</v>
      </c>
      <c r="F8" s="11" t="s">
        <v>212</v>
      </c>
    </row>
    <row r="9" ht="15">
      <c r="A9" s="11" t="s">
        <v>192</v>
      </c>
      <c r="B9" s="11" t="s">
        <v>193</v>
      </c>
      <c r="C9" s="11" t="s">
        <v>194</v>
      </c>
      <c r="D9" s="11" t="s">
        <v>211</v>
      </c>
      <c r="E9" s="11" t="s">
        <v>199</v>
      </c>
      <c r="F9" s="11" t="s">
        <v>213</v>
      </c>
    </row>
    <row r="10" ht="15">
      <c r="A10" s="11" t="s">
        <v>192</v>
      </c>
      <c r="B10" s="11" t="s">
        <v>193</v>
      </c>
      <c r="C10" s="11" t="s">
        <v>194</v>
      </c>
      <c r="D10" s="11" t="s">
        <v>211</v>
      </c>
      <c r="E10" s="11" t="s">
        <v>202</v>
      </c>
      <c r="F10" s="11" t="s">
        <v>214</v>
      </c>
    </row>
    <row r="11" ht="15">
      <c r="A11" s="11" t="s">
        <v>192</v>
      </c>
      <c r="B11" s="11" t="s">
        <v>193</v>
      </c>
      <c r="C11" s="11" t="s">
        <v>194</v>
      </c>
      <c r="D11" s="11" t="s">
        <v>211</v>
      </c>
      <c r="E11" s="11" t="s">
        <v>205</v>
      </c>
      <c r="F11" s="11" t="s">
        <v>215</v>
      </c>
    </row>
    <row r="12" ht="15">
      <c r="A12" s="11" t="s">
        <v>192</v>
      </c>
      <c r="B12" s="11" t="s">
        <v>193</v>
      </c>
      <c r="C12" s="11" t="s">
        <v>194</v>
      </c>
      <c r="D12" s="11" t="s">
        <v>216</v>
      </c>
      <c r="E12" s="11" t="s">
        <v>196</v>
      </c>
      <c r="F12" s="11" t="s">
        <v>217</v>
      </c>
    </row>
    <row r="13" ht="15">
      <c r="A13" s="11" t="s">
        <v>192</v>
      </c>
      <c r="B13" s="11" t="s">
        <v>193</v>
      </c>
      <c r="C13" s="11" t="s">
        <v>194</v>
      </c>
      <c r="D13" s="11" t="s">
        <v>216</v>
      </c>
      <c r="E13" s="11" t="s">
        <v>199</v>
      </c>
      <c r="F13" s="11" t="s">
        <v>218</v>
      </c>
    </row>
    <row r="14" ht="15">
      <c r="A14" s="11" t="s">
        <v>192</v>
      </c>
      <c r="B14" s="11" t="s">
        <v>193</v>
      </c>
      <c r="C14" s="11" t="s">
        <v>194</v>
      </c>
      <c r="D14" s="11" t="s">
        <v>219</v>
      </c>
      <c r="E14" s="11" t="s">
        <v>196</v>
      </c>
      <c r="F14" s="11" t="s">
        <v>220</v>
      </c>
    </row>
    <row r="15" ht="15">
      <c r="A15" s="11" t="s">
        <v>192</v>
      </c>
      <c r="B15" s="11" t="s">
        <v>193</v>
      </c>
      <c r="C15" s="11" t="s">
        <v>194</v>
      </c>
      <c r="D15" s="11" t="s">
        <v>219</v>
      </c>
      <c r="E15" s="11" t="s">
        <v>199</v>
      </c>
      <c r="F15" s="11" t="s">
        <v>221</v>
      </c>
    </row>
    <row r="16" ht="15">
      <c r="A16" s="11" t="s">
        <v>192</v>
      </c>
      <c r="B16" s="11" t="s">
        <v>193</v>
      </c>
      <c r="C16" s="11" t="s">
        <v>194</v>
      </c>
      <c r="D16" s="11" t="s">
        <v>219</v>
      </c>
      <c r="E16" s="11" t="s">
        <v>202</v>
      </c>
      <c r="F16" s="11" t="s">
        <v>222</v>
      </c>
    </row>
    <row r="17" ht="15">
      <c r="A17" s="11" t="s">
        <v>192</v>
      </c>
      <c r="B17" s="11" t="s">
        <v>193</v>
      </c>
      <c r="C17" s="11" t="s">
        <v>194</v>
      </c>
      <c r="D17" s="11" t="s">
        <v>219</v>
      </c>
      <c r="E17" s="11" t="s">
        <v>223</v>
      </c>
      <c r="F17" s="11" t="s">
        <v>224</v>
      </c>
    </row>
    <row r="18" ht="15">
      <c r="A18" s="11" t="s">
        <v>192</v>
      </c>
      <c r="B18" s="11" t="s">
        <v>193</v>
      </c>
      <c r="C18" s="11" t="s">
        <v>194</v>
      </c>
      <c r="D18" s="11" t="s">
        <v>219</v>
      </c>
      <c r="E18" s="11" t="s">
        <v>225</v>
      </c>
      <c r="F18" s="11" t="s">
        <v>226</v>
      </c>
    </row>
    <row r="19" ht="15">
      <c r="A19" s="11" t="s">
        <v>192</v>
      </c>
      <c r="B19" s="11" t="s">
        <v>193</v>
      </c>
      <c r="C19" s="11" t="s">
        <v>194</v>
      </c>
      <c r="D19" s="11" t="s">
        <v>219</v>
      </c>
      <c r="E19" s="11" t="s">
        <v>227</v>
      </c>
      <c r="F19" s="11" t="s">
        <v>228</v>
      </c>
    </row>
    <row r="20" ht="15">
      <c r="A20" s="11" t="s">
        <v>192</v>
      </c>
      <c r="B20" s="11" t="s">
        <v>193</v>
      </c>
      <c r="C20" s="11" t="s">
        <v>194</v>
      </c>
      <c r="D20" s="11" t="s">
        <v>229</v>
      </c>
      <c r="E20" s="11" t="s">
        <v>199</v>
      </c>
      <c r="F20" s="11" t="s">
        <v>230</v>
      </c>
    </row>
    <row r="21" ht="15">
      <c r="A21" s="11" t="s">
        <v>192</v>
      </c>
      <c r="B21" s="11" t="s">
        <v>193</v>
      </c>
      <c r="C21" s="11" t="s">
        <v>194</v>
      </c>
      <c r="D21" s="11" t="s">
        <v>229</v>
      </c>
      <c r="E21" s="11" t="s">
        <v>202</v>
      </c>
      <c r="F21" s="11" t="s">
        <v>231</v>
      </c>
    </row>
    <row r="22" ht="15">
      <c r="A22" s="11" t="s">
        <v>192</v>
      </c>
      <c r="B22" s="11" t="s">
        <v>193</v>
      </c>
      <c r="C22" s="11" t="s">
        <v>194</v>
      </c>
      <c r="D22" s="11" t="s">
        <v>229</v>
      </c>
      <c r="E22" s="11" t="s">
        <v>205</v>
      </c>
      <c r="F22" s="11" t="s">
        <v>232</v>
      </c>
    </row>
    <row r="23" ht="15">
      <c r="A23" s="11" t="s">
        <v>192</v>
      </c>
      <c r="B23" s="11" t="s">
        <v>193</v>
      </c>
      <c r="C23" s="11" t="s">
        <v>194</v>
      </c>
      <c r="D23" s="11" t="s">
        <v>233</v>
      </c>
      <c r="E23" s="11" t="s">
        <v>196</v>
      </c>
      <c r="F23" s="11" t="s">
        <v>234</v>
      </c>
    </row>
    <row r="24" ht="15">
      <c r="A24" s="11" t="s">
        <v>192</v>
      </c>
      <c r="B24" s="11" t="s">
        <v>193</v>
      </c>
      <c r="C24" s="11" t="s">
        <v>194</v>
      </c>
      <c r="D24" s="11" t="s">
        <v>233</v>
      </c>
      <c r="E24" s="11" t="s">
        <v>202</v>
      </c>
      <c r="F24" s="11" t="s">
        <v>235</v>
      </c>
    </row>
    <row r="25" ht="15">
      <c r="A25" s="11" t="s">
        <v>192</v>
      </c>
      <c r="B25" s="11" t="s">
        <v>236</v>
      </c>
      <c r="D25" s="11" t="s">
        <v>237</v>
      </c>
      <c r="E25" s="11" t="s">
        <v>202</v>
      </c>
      <c r="F25" s="11" t="s">
        <v>238</v>
      </c>
    </row>
    <row r="26" ht="15">
      <c r="A26" s="11" t="s">
        <v>192</v>
      </c>
      <c r="B26" s="11" t="s">
        <v>236</v>
      </c>
      <c r="D26" s="11" t="s">
        <v>237</v>
      </c>
      <c r="E26" s="11" t="s">
        <v>205</v>
      </c>
      <c r="F26" s="11" t="s">
        <v>239</v>
      </c>
    </row>
    <row r="27" ht="55.200000000000003">
      <c r="A27" s="11" t="s">
        <v>240</v>
      </c>
      <c r="B27" s="12" t="s">
        <v>241</v>
      </c>
      <c r="C27" s="12" t="s">
        <v>242</v>
      </c>
      <c r="E27" s="11" t="s">
        <v>243</v>
      </c>
      <c r="F27" s="11" t="s">
        <v>244</v>
      </c>
    </row>
    <row r="28" ht="55.200000000000003">
      <c r="A28" s="11" t="s">
        <v>245</v>
      </c>
      <c r="B28" s="12" t="s">
        <v>246</v>
      </c>
      <c r="E28" s="11" t="s">
        <v>247</v>
      </c>
      <c r="F28" s="11" t="s">
        <v>248</v>
      </c>
    </row>
    <row r="29" ht="55.200000000000003">
      <c r="A29" s="11" t="s">
        <v>245</v>
      </c>
      <c r="B29" s="12" t="s">
        <v>246</v>
      </c>
      <c r="E29" s="11" t="s">
        <v>249</v>
      </c>
      <c r="F29" s="11" t="s">
        <v>250</v>
      </c>
    </row>
    <row r="30" ht="28.350000000000001">
      <c r="A30" s="11" t="s">
        <v>245</v>
      </c>
      <c r="B30" s="12" t="s">
        <v>251</v>
      </c>
      <c r="E30" s="11" t="s">
        <v>252</v>
      </c>
      <c r="F30" s="11" t="s">
        <v>253</v>
      </c>
    </row>
    <row r="31" ht="55.200000000000003">
      <c r="A31" s="11" t="s">
        <v>245</v>
      </c>
      <c r="B31" s="12" t="s">
        <v>254</v>
      </c>
      <c r="E31" s="11" t="s">
        <v>255</v>
      </c>
      <c r="F31" s="11" t="s">
        <v>256</v>
      </c>
    </row>
    <row r="32" ht="68.650000000000006">
      <c r="A32" s="11" t="s">
        <v>245</v>
      </c>
      <c r="B32" s="12" t="s">
        <v>257</v>
      </c>
      <c r="E32" s="11" t="s">
        <v>258</v>
      </c>
      <c r="F32" s="11" t="s">
        <v>259</v>
      </c>
    </row>
    <row r="33" ht="68.650000000000006">
      <c r="A33" s="11" t="s">
        <v>245</v>
      </c>
      <c r="B33" s="12" t="s">
        <v>257</v>
      </c>
      <c r="E33" s="11" t="s">
        <v>260</v>
      </c>
      <c r="F33" s="11" t="s">
        <v>261</v>
      </c>
    </row>
    <row r="34" ht="68.650000000000006">
      <c r="A34" s="11" t="s">
        <v>245</v>
      </c>
      <c r="B34" s="12" t="s">
        <v>257</v>
      </c>
      <c r="E34" s="11" t="s">
        <v>262</v>
      </c>
      <c r="F34" s="11" t="s">
        <v>263</v>
      </c>
    </row>
    <row r="35" ht="68.650000000000006">
      <c r="A35" s="11" t="s">
        <v>245</v>
      </c>
      <c r="B35" s="12" t="s">
        <v>257</v>
      </c>
      <c r="E35" s="11" t="s">
        <v>264</v>
      </c>
      <c r="F35" s="11" t="s">
        <v>265</v>
      </c>
    </row>
    <row r="36" ht="68.650000000000006">
      <c r="A36" s="11" t="s">
        <v>245</v>
      </c>
      <c r="B36" s="12" t="s">
        <v>257</v>
      </c>
      <c r="E36" s="11" t="s">
        <v>266</v>
      </c>
      <c r="F36" s="11" t="s">
        <v>267</v>
      </c>
    </row>
    <row r="37" ht="68.650000000000006">
      <c r="A37" s="11" t="s">
        <v>245</v>
      </c>
      <c r="B37" s="12" t="s">
        <v>257</v>
      </c>
      <c r="E37" s="11" t="s">
        <v>268</v>
      </c>
      <c r="F37" s="11" t="s">
        <v>269</v>
      </c>
    </row>
    <row r="38" ht="68.650000000000006">
      <c r="A38" s="11" t="s">
        <v>245</v>
      </c>
      <c r="B38" s="12" t="s">
        <v>257</v>
      </c>
      <c r="E38" s="11" t="s">
        <v>270</v>
      </c>
      <c r="F38" s="11" t="s">
        <v>271</v>
      </c>
    </row>
    <row r="39" ht="68.650000000000006">
      <c r="A39" s="11" t="s">
        <v>245</v>
      </c>
      <c r="B39" s="12" t="s">
        <v>257</v>
      </c>
      <c r="E39" s="11" t="s">
        <v>272</v>
      </c>
      <c r="F39" s="11" t="s">
        <v>273</v>
      </c>
    </row>
    <row r="40" ht="68.650000000000006">
      <c r="A40" s="11" t="s">
        <v>245</v>
      </c>
      <c r="B40" s="12" t="s">
        <v>257</v>
      </c>
      <c r="E40" s="11" t="s">
        <v>274</v>
      </c>
      <c r="F40" s="11" t="s">
        <v>275</v>
      </c>
    </row>
    <row r="41" ht="68.650000000000006">
      <c r="A41" s="11" t="s">
        <v>245</v>
      </c>
      <c r="B41" s="12" t="s">
        <v>257</v>
      </c>
      <c r="E41" s="11" t="s">
        <v>276</v>
      </c>
      <c r="F41" s="11" t="s">
        <v>277</v>
      </c>
    </row>
    <row r="42" ht="68.650000000000006">
      <c r="A42" s="11" t="s">
        <v>245</v>
      </c>
      <c r="B42" s="12" t="s">
        <v>257</v>
      </c>
      <c r="E42" s="11" t="s">
        <v>278</v>
      </c>
      <c r="F42" s="11" t="s">
        <v>279</v>
      </c>
    </row>
    <row r="43" ht="68.650000000000006">
      <c r="A43" s="11" t="s">
        <v>245</v>
      </c>
      <c r="B43" s="12" t="s">
        <v>280</v>
      </c>
      <c r="E43" s="11" t="s">
        <v>281</v>
      </c>
      <c r="F43" s="11" t="s">
        <v>282</v>
      </c>
    </row>
    <row r="44" ht="68.650000000000006">
      <c r="A44" s="11" t="s">
        <v>245</v>
      </c>
      <c r="B44" s="12" t="s">
        <v>280</v>
      </c>
      <c r="E44" s="11" t="s">
        <v>283</v>
      </c>
      <c r="F44" s="11" t="s">
        <v>284</v>
      </c>
    </row>
    <row r="45" ht="68.650000000000006">
      <c r="A45" s="11" t="s">
        <v>245</v>
      </c>
      <c r="B45" s="12" t="s">
        <v>280</v>
      </c>
      <c r="E45" s="11" t="s">
        <v>285</v>
      </c>
      <c r="F45" s="11" t="s">
        <v>286</v>
      </c>
    </row>
    <row r="46" ht="216.40000000000001">
      <c r="A46" s="11" t="s">
        <v>245</v>
      </c>
      <c r="B46" s="12" t="s">
        <v>287</v>
      </c>
      <c r="C46" s="12" t="s">
        <v>288</v>
      </c>
      <c r="E46" s="11" t="s">
        <v>289</v>
      </c>
      <c r="F46" s="11" t="s">
        <v>290</v>
      </c>
    </row>
    <row r="47" ht="216.40000000000001">
      <c r="A47" s="11" t="s">
        <v>245</v>
      </c>
      <c r="B47" s="12" t="s">
        <v>287</v>
      </c>
      <c r="C47" s="11" t="s">
        <v>291</v>
      </c>
      <c r="E47" s="11" t="s">
        <v>292</v>
      </c>
      <c r="F47" s="11" t="s">
        <v>293</v>
      </c>
    </row>
    <row r="48" ht="216.40000000000001">
      <c r="A48" s="11" t="s">
        <v>245</v>
      </c>
      <c r="B48" s="12" t="s">
        <v>287</v>
      </c>
      <c r="C48" s="11" t="s">
        <v>291</v>
      </c>
      <c r="E48" s="11" t="s">
        <v>294</v>
      </c>
      <c r="F48" s="11" t="s">
        <v>295</v>
      </c>
    </row>
    <row r="49" ht="216.40000000000001">
      <c r="A49" s="11" t="s">
        <v>245</v>
      </c>
      <c r="B49" s="12" t="s">
        <v>287</v>
      </c>
      <c r="C49" s="11" t="s">
        <v>291</v>
      </c>
      <c r="E49" s="11" t="s">
        <v>296</v>
      </c>
      <c r="F49" s="11" t="s">
        <v>297</v>
      </c>
    </row>
    <row r="50" ht="216.40000000000001">
      <c r="A50" s="11" t="s">
        <v>245</v>
      </c>
      <c r="B50" s="12" t="s">
        <v>287</v>
      </c>
      <c r="C50" s="11" t="s">
        <v>291</v>
      </c>
      <c r="E50" s="11" t="s">
        <v>298</v>
      </c>
      <c r="F50" s="11" t="s">
        <v>299</v>
      </c>
    </row>
    <row r="51" ht="216.40000000000001">
      <c r="A51" s="11" t="s">
        <v>245</v>
      </c>
      <c r="B51" s="12" t="s">
        <v>287</v>
      </c>
      <c r="C51" s="11" t="s">
        <v>291</v>
      </c>
      <c r="E51" s="11" t="s">
        <v>300</v>
      </c>
      <c r="F51" s="11" t="s">
        <v>301</v>
      </c>
    </row>
    <row r="52" ht="216.40000000000001">
      <c r="A52" s="11" t="s">
        <v>245</v>
      </c>
      <c r="B52" s="12" t="s">
        <v>287</v>
      </c>
      <c r="C52" s="11" t="s">
        <v>291</v>
      </c>
      <c r="E52" s="11" t="s">
        <v>302</v>
      </c>
      <c r="F52" s="11" t="s">
        <v>303</v>
      </c>
    </row>
    <row r="53" ht="216.40000000000001">
      <c r="A53" s="11" t="s">
        <v>245</v>
      </c>
      <c r="B53" s="12" t="s">
        <v>287</v>
      </c>
      <c r="C53" s="11" t="s">
        <v>291</v>
      </c>
      <c r="E53" s="11" t="s">
        <v>304</v>
      </c>
      <c r="F53" s="11" t="s">
        <v>305</v>
      </c>
    </row>
    <row r="54" ht="216.40000000000001">
      <c r="A54" s="11" t="s">
        <v>245</v>
      </c>
      <c r="B54" s="12" t="s">
        <v>287</v>
      </c>
      <c r="C54" s="11" t="s">
        <v>291</v>
      </c>
      <c r="E54" s="11" t="s">
        <v>243</v>
      </c>
      <c r="F54" s="11" t="s">
        <v>306</v>
      </c>
    </row>
    <row r="55" ht="216.40000000000001">
      <c r="A55" s="11" t="s">
        <v>245</v>
      </c>
      <c r="B55" s="12" t="s">
        <v>287</v>
      </c>
      <c r="C55" s="11" t="s">
        <v>291</v>
      </c>
      <c r="E55" s="11" t="s">
        <v>307</v>
      </c>
      <c r="F55" s="11" t="s">
        <v>308</v>
      </c>
    </row>
    <row r="56" ht="216.40000000000001">
      <c r="A56" s="11" t="s">
        <v>245</v>
      </c>
      <c r="B56" s="12" t="s">
        <v>287</v>
      </c>
      <c r="C56" s="11" t="s">
        <v>291</v>
      </c>
      <c r="E56" s="11" t="s">
        <v>309</v>
      </c>
      <c r="F56" s="11" t="s">
        <v>310</v>
      </c>
    </row>
    <row r="57" ht="216.40000000000001">
      <c r="A57" s="11" t="s">
        <v>245</v>
      </c>
      <c r="B57" s="12" t="s">
        <v>287</v>
      </c>
      <c r="C57" s="11" t="s">
        <v>291</v>
      </c>
      <c r="E57" s="11" t="s">
        <v>311</v>
      </c>
      <c r="F57" s="11" t="s">
        <v>312</v>
      </c>
    </row>
    <row r="58" ht="216.40000000000001">
      <c r="A58" s="11" t="s">
        <v>245</v>
      </c>
      <c r="B58" s="12" t="s">
        <v>287</v>
      </c>
      <c r="C58" s="11" t="s">
        <v>291</v>
      </c>
      <c r="E58" s="11" t="s">
        <v>313</v>
      </c>
      <c r="F58" s="11" t="s">
        <v>314</v>
      </c>
    </row>
    <row r="59" ht="216.40000000000001">
      <c r="A59" s="11" t="s">
        <v>245</v>
      </c>
      <c r="B59" s="12" t="s">
        <v>287</v>
      </c>
      <c r="C59" s="11" t="s">
        <v>291</v>
      </c>
      <c r="E59" s="11" t="s">
        <v>315</v>
      </c>
      <c r="F59" s="11" t="s">
        <v>316</v>
      </c>
    </row>
    <row r="60" ht="216.40000000000001">
      <c r="A60" s="11" t="s">
        <v>245</v>
      </c>
      <c r="B60" s="12" t="s">
        <v>287</v>
      </c>
      <c r="C60" s="11" t="s">
        <v>291</v>
      </c>
      <c r="E60" s="11" t="s">
        <v>317</v>
      </c>
      <c r="F60" s="11" t="s">
        <v>318</v>
      </c>
    </row>
    <row r="61" ht="216.40000000000001">
      <c r="A61" s="11" t="s">
        <v>245</v>
      </c>
      <c r="B61" s="12" t="s">
        <v>287</v>
      </c>
      <c r="C61" s="12" t="s">
        <v>319</v>
      </c>
      <c r="E61" s="11" t="s">
        <v>320</v>
      </c>
      <c r="F61" s="11" t="s">
        <v>321</v>
      </c>
    </row>
    <row r="62" ht="216.40000000000001">
      <c r="A62" s="11" t="s">
        <v>245</v>
      </c>
      <c r="B62" s="12" t="s">
        <v>287</v>
      </c>
      <c r="C62" s="12" t="s">
        <v>319</v>
      </c>
      <c r="E62" s="11" t="s">
        <v>322</v>
      </c>
      <c r="F62" s="11" t="s">
        <v>323</v>
      </c>
    </row>
    <row r="63" ht="216.40000000000001">
      <c r="A63" s="11" t="s">
        <v>245</v>
      </c>
      <c r="B63" s="12" t="s">
        <v>287</v>
      </c>
      <c r="C63" s="12" t="s">
        <v>319</v>
      </c>
      <c r="E63" s="11" t="s">
        <v>324</v>
      </c>
      <c r="F63" s="11" t="s">
        <v>325</v>
      </c>
    </row>
    <row r="64" ht="216.40000000000001">
      <c r="A64" s="11" t="s">
        <v>245</v>
      </c>
      <c r="B64" s="12" t="s">
        <v>287</v>
      </c>
      <c r="C64" s="12" t="s">
        <v>319</v>
      </c>
      <c r="E64" s="11" t="s">
        <v>326</v>
      </c>
      <c r="F64" s="11" t="s">
        <v>327</v>
      </c>
    </row>
    <row r="65" ht="216.40000000000001">
      <c r="A65" s="11" t="s">
        <v>245</v>
      </c>
      <c r="B65" s="12" t="s">
        <v>287</v>
      </c>
      <c r="C65" s="12" t="s">
        <v>319</v>
      </c>
      <c r="E65" s="11" t="s">
        <v>328</v>
      </c>
      <c r="F65" s="11" t="s">
        <v>329</v>
      </c>
    </row>
    <row r="66" ht="216.40000000000001">
      <c r="A66" s="11" t="s">
        <v>245</v>
      </c>
      <c r="B66" s="12" t="s">
        <v>287</v>
      </c>
      <c r="C66" s="12" t="s">
        <v>319</v>
      </c>
      <c r="E66" s="11" t="s">
        <v>330</v>
      </c>
      <c r="F66" s="11" t="s">
        <v>331</v>
      </c>
    </row>
    <row r="67" ht="216.40000000000001">
      <c r="A67" s="11" t="s">
        <v>245</v>
      </c>
      <c r="B67" s="12" t="s">
        <v>287</v>
      </c>
      <c r="C67" s="12" t="s">
        <v>319</v>
      </c>
      <c r="E67" s="11" t="s">
        <v>332</v>
      </c>
      <c r="F67" s="11" t="s">
        <v>333</v>
      </c>
    </row>
    <row r="68" ht="216.40000000000001">
      <c r="A68" s="11" t="s">
        <v>245</v>
      </c>
      <c r="B68" s="12" t="s">
        <v>287</v>
      </c>
      <c r="C68" s="12" t="s">
        <v>319</v>
      </c>
      <c r="E68" s="11" t="s">
        <v>334</v>
      </c>
      <c r="F68" s="11" t="s">
        <v>335</v>
      </c>
    </row>
    <row r="69" ht="216.40000000000001">
      <c r="A69" s="11" t="s">
        <v>245</v>
      </c>
      <c r="B69" s="12" t="s">
        <v>287</v>
      </c>
      <c r="C69" s="12" t="s">
        <v>319</v>
      </c>
      <c r="E69" s="11" t="s">
        <v>336</v>
      </c>
      <c r="F69" s="11" t="s">
        <v>337</v>
      </c>
    </row>
    <row r="70" ht="216.40000000000001">
      <c r="A70" s="11" t="s">
        <v>245</v>
      </c>
      <c r="B70" s="12" t="s">
        <v>287</v>
      </c>
      <c r="C70" s="12" t="s">
        <v>319</v>
      </c>
      <c r="E70" s="11" t="s">
        <v>338</v>
      </c>
      <c r="F70" s="11" t="s">
        <v>339</v>
      </c>
    </row>
    <row r="71" ht="216.40000000000001">
      <c r="A71" s="11" t="s">
        <v>245</v>
      </c>
      <c r="B71" s="12" t="s">
        <v>287</v>
      </c>
      <c r="C71" s="12" t="s">
        <v>319</v>
      </c>
      <c r="E71" s="11" t="s">
        <v>340</v>
      </c>
      <c r="F71" s="11" t="s">
        <v>341</v>
      </c>
    </row>
    <row r="72" ht="216.40000000000001">
      <c r="A72" s="11" t="s">
        <v>245</v>
      </c>
      <c r="B72" s="12" t="s">
        <v>287</v>
      </c>
      <c r="C72" s="12" t="s">
        <v>319</v>
      </c>
      <c r="E72" s="11" t="s">
        <v>342</v>
      </c>
      <c r="F72" s="11" t="s">
        <v>343</v>
      </c>
    </row>
    <row r="73" ht="216.40000000000001">
      <c r="A73" s="11" t="s">
        <v>245</v>
      </c>
      <c r="B73" s="12" t="s">
        <v>287</v>
      </c>
      <c r="C73" s="12" t="s">
        <v>319</v>
      </c>
      <c r="E73" s="11" t="s">
        <v>344</v>
      </c>
      <c r="F73" s="11" t="s">
        <v>345</v>
      </c>
    </row>
    <row r="74" ht="216.40000000000001">
      <c r="A74" s="11" t="s">
        <v>245</v>
      </c>
      <c r="B74" s="12" t="s">
        <v>287</v>
      </c>
      <c r="C74" s="12" t="s">
        <v>319</v>
      </c>
      <c r="E74" s="11" t="s">
        <v>346</v>
      </c>
      <c r="F74" s="11" t="s">
        <v>347</v>
      </c>
    </row>
    <row r="75" ht="216.40000000000001">
      <c r="A75" s="11" t="s">
        <v>245</v>
      </c>
      <c r="B75" s="12" t="s">
        <v>287</v>
      </c>
      <c r="C75" s="12" t="s">
        <v>319</v>
      </c>
      <c r="E75" s="11" t="s">
        <v>348</v>
      </c>
      <c r="F75" s="11" t="s">
        <v>349</v>
      </c>
    </row>
    <row r="76" ht="216.40000000000001">
      <c r="A76" s="11" t="s">
        <v>245</v>
      </c>
      <c r="B76" s="12" t="s">
        <v>287</v>
      </c>
      <c r="C76" s="12" t="s">
        <v>319</v>
      </c>
      <c r="E76" s="11" t="s">
        <v>350</v>
      </c>
      <c r="F76" s="11" t="s">
        <v>351</v>
      </c>
    </row>
    <row r="77" ht="216.40000000000001">
      <c r="A77" s="11" t="s">
        <v>245</v>
      </c>
      <c r="B77" s="12" t="s">
        <v>287</v>
      </c>
      <c r="C77" s="12" t="s">
        <v>319</v>
      </c>
      <c r="E77" s="11" t="s">
        <v>352</v>
      </c>
      <c r="F77" s="11" t="s">
        <v>353</v>
      </c>
    </row>
    <row r="78" ht="216.40000000000001">
      <c r="A78" s="11" t="s">
        <v>245</v>
      </c>
      <c r="B78" s="12" t="s">
        <v>287</v>
      </c>
      <c r="C78" s="12" t="s">
        <v>354</v>
      </c>
      <c r="E78" s="11" t="s">
        <v>355</v>
      </c>
      <c r="F78" s="26" t="s">
        <v>356</v>
      </c>
    </row>
    <row r="79" ht="216.40000000000001">
      <c r="A79" s="11" t="s">
        <v>245</v>
      </c>
      <c r="B79" s="12" t="s">
        <v>287</v>
      </c>
      <c r="C79" s="12" t="s">
        <v>354</v>
      </c>
      <c r="E79" s="11" t="s">
        <v>357</v>
      </c>
      <c r="F79" s="11" t="s">
        <v>358</v>
      </c>
    </row>
    <row r="80" ht="216.40000000000001">
      <c r="A80" s="11" t="s">
        <v>245</v>
      </c>
      <c r="B80" s="12" t="s">
        <v>287</v>
      </c>
      <c r="C80" s="12" t="s">
        <v>359</v>
      </c>
      <c r="E80" s="11" t="s">
        <v>360</v>
      </c>
      <c r="F80" s="11" t="s">
        <v>361</v>
      </c>
    </row>
    <row r="81" ht="162.65000000000001">
      <c r="A81" s="11" t="s">
        <v>245</v>
      </c>
      <c r="B81" s="11" t="s">
        <v>362</v>
      </c>
      <c r="C81" s="12" t="s">
        <v>363</v>
      </c>
      <c r="E81" s="11" t="s">
        <v>364</v>
      </c>
      <c r="F81" s="11" t="s">
        <v>365</v>
      </c>
    </row>
    <row r="82" ht="15">
      <c r="A82" s="11" t="s">
        <v>245</v>
      </c>
      <c r="B82" s="11" t="s">
        <v>362</v>
      </c>
      <c r="C82" s="11" t="s">
        <v>366</v>
      </c>
      <c r="E82" s="11" t="s">
        <v>367</v>
      </c>
      <c r="F82" s="11" t="s">
        <v>368</v>
      </c>
    </row>
    <row r="83" ht="108.95">
      <c r="A83" s="11" t="s">
        <v>245</v>
      </c>
      <c r="B83" s="12" t="s">
        <v>369</v>
      </c>
      <c r="E83" s="11" t="s">
        <v>370</v>
      </c>
      <c r="F83" s="11" t="s">
        <v>371</v>
      </c>
    </row>
    <row r="84" ht="108.95">
      <c r="A84" s="11" t="s">
        <v>245</v>
      </c>
      <c r="B84" s="12" t="s">
        <v>369</v>
      </c>
      <c r="E84" s="11" t="s">
        <v>372</v>
      </c>
      <c r="F84" s="11" t="s">
        <v>373</v>
      </c>
    </row>
    <row r="85" ht="55.200000000000003">
      <c r="A85" s="11" t="s">
        <v>374</v>
      </c>
      <c r="B85" s="12" t="s">
        <v>246</v>
      </c>
      <c r="E85" s="11" t="s">
        <v>247</v>
      </c>
      <c r="F85" s="11" t="s">
        <v>375</v>
      </c>
    </row>
    <row r="86" ht="95.5">
      <c r="A86" s="11" t="s">
        <v>374</v>
      </c>
      <c r="B86" s="12" t="s">
        <v>376</v>
      </c>
      <c r="C86" s="12" t="s">
        <v>377</v>
      </c>
      <c r="E86" s="11" t="s">
        <v>330</v>
      </c>
      <c r="F86" s="11" t="s">
        <v>378</v>
      </c>
    </row>
    <row r="87" ht="15">
      <c r="A87" s="11" t="s">
        <v>379</v>
      </c>
      <c r="B87" s="11" t="s">
        <v>380</v>
      </c>
    </row>
  </sheetData>
  <printOptions headings="0" gridLines="0" horizontalCentered="0" verticalCentered="0"/>
  <pageMargins left="0.75" right="0.75" top="1" bottom="1" header="0.51181102362204689" footer="0.51181102362204689"/>
  <pageSetup paperSize="9" scale="100" fitToWidth="1" fitToHeight="1" pageOrder="downThenOver" orientation="portrait" usePrinterDefaults="1" blackAndWhite="0" draft="0" cellComments="none" useFirstPageNumber="0" errors="displayed" horizontalDpi="300" verticalDpi="300" copies="1"/>
  <headerFooter/>
</worksheet>
</file>

<file path=docProps/app.xml><?xml version="1.0" encoding="utf-8"?>
<Properties xmlns="http://schemas.openxmlformats.org/officeDocument/2006/extended-properties" xmlns:vt="http://schemas.openxmlformats.org/officeDocument/2006/docPropsVTypes">
  <Template/>
  <Application>ONLYOFFICE/10.0.0.169</Application>
  <HeadingPairs>
    <vt:vector size="0" baseType="variant"/>
  </HeadingPairs>
  <TitlesOfParts>
    <vt:vector size="0" baseType="lpst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dc:language>en-US</dc:language>
  <cp:revision>21</cp:revision>
  <dcterms:created xsi:type="dcterms:W3CDTF">2026-10-20T02:06:18Z</dcterms:created>
  <dcterms:modified xsi:type="dcterms:W3CDTF">2026-10-26T08:30:27Z</dcterms:modified>
</cp:coreProperties>
</file>