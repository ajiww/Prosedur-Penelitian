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1" showHorizontalScroll="1" showVerticalScroll="1"/>
  </bookViews>
  <sheets>
    <sheet name="Petunjuk" sheetId="1" state="visible" r:id="rId1"/>
    <sheet name="Lembar Coding" sheetId="2" state="visible" r:id="rId2"/>
    <sheet name="Daftar Kode" sheetId="3" state="visible" r:id="rId3"/>
    <sheet name="Korpus" sheetId="4" state="hidden" r:id="rId4"/>
  </sheets>
  <definedNames>
    <definedName name="_xlnm._FilterDatabase" localSheetId="1" hidden="1">'Lembar Coding'!$A$1:$S$86</definedName>
    <definedName name="_xlnm._FilterDatabase" localSheetId="1" hidden="1">'Lembar Coding'!$A$1:$S$86</definedName>
  </definedNames>
  <calcPr fullCalcOnLoad="1"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<sst xmlns="http://schemas.openxmlformats.org/spreadsheetml/2006/main" count="379" uniqueCount="379">
  <si>
    <t xml:space="preserve">Lembar Coding: Analisis Isi Krippendorff</t>
  </si>
  <si>
    <t xml:space="preserve">Codebook versi 1.0.3 (25 Oktober 2026). Panduan Coder untuk Penyusunan SRS Web Scraping yang Mengintegrasikan Aspek Legalitas dan Etika Privasi Data.</t>
  </si>
  <si>
    <t xml:space="preserve">Kode coder (isi satu kali):</t>
  </si>
  <si>
    <t>Fenny</t>
  </si>
  <si>
    <t xml:space="preserve">V2 pada Lembar Coding terisi otomatis dari sel ini.</t>
  </si>
  <si>
    <t xml:space="preserve">Prosedur singkat (Bagian 5 codebook)</t>
  </si>
  <si>
    <t>1</t>
  </si>
  <si>
    <t xml:space="preserve">Baca kolom Isi secara utuh, lalu kolom Rujukan. Buka BAB dan Bagian (kolom R dan S, tersembunyi) hanya bila perlu memahami rujukan antarunit.</t>
  </si>
  <si>
    <t>2</t>
  </si>
  <si>
    <t xml:space="preserve">Tentukan V4 Subjek Norma terlebih dahulu (Bagian 7.1), lalu V5 Relevansi dengan Uji Implikasi (Bagian 6 dan 7.2).</t>
  </si>
  <si>
    <t>3</t>
  </si>
  <si>
    <t xml:space="preserve">Tentukan V6 Tema Utama dengan pohon keputusan (Bagian 7.3), lalu V7 (Bagian 7.4), V8 (Bagian 7.5), dan V9 (Bagian 7.6).</t>
  </si>
  <si>
    <t>4</t>
  </si>
  <si>
    <t xml:space="preserve">Untuk unit R2, tulis V11 Draf Kebutuhan satu kalimat (opsional). Catat keraguan di V12. Kode residual T99 hanya bila tidak ada tema yang cocok.</t>
  </si>
  <si>
    <t>5</t>
  </si>
  <si>
    <t xml:space="preserve">Periksa kolom Cek Konsistensi (Q) setiap selesai satu baris (Bagian 9).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</si>
  <si>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</si>
  <si>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</si>
  <si>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</si>
  <si>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</si>
  <si>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V10 memakai daftar pilihan (Kode - Label).</t>
  </si>
  <si>
    <t xml:space="preserve">Sel putih</t>
  </si>
  <si>
    <t xml:space="preserve">Terisi otomatis dari sheet Korpus atau formula. Jangan diubah.</t>
  </si>
  <si>
    <t xml:space="preserve">Kolom Pilot</t>
  </si>
  <si>
    <t xml:space="preserve">Unit bertanda Ya dipakai pada uji coba (pilot): baris 13, 21, 25, 30, 35, 42, 44, 52, 54, 56, 70, 79, 81.</t>
  </si>
  <si>
    <t xml:space="preserve">Variabel dan nilai sah (Bagian 4)</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</si>
  <si>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</si>
  <si>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</si>
  <si>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</si>
  <si>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</si>
  <si>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</si>
  <si>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</si>
  <si>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</si>
  <si>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</si>
  <si>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</si>
  <si>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</si>
  <si>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</si>
  <si>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T16, T99</t>
  </si>
  <si>
    <t xml:space="preserve">V7 Jenis_Pernyataan</t>
  </si>
  <si>
    <t xml:space="preserve">P1 sampai P8</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</si>
  <si>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</si>
  <si>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</si>
  <si>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</si>
  <si>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</si>
  <si>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</si>
  <si>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T16 (opsional)</t>
  </si>
  <si>
    <t xml:space="preserve">V11 Draf_Kebutuhan</t>
  </si>
  <si>
    <t xml:space="preserve">Teks bebas, satu kalimat "Sistem harus/tidak boleh..." (opsional, untuk R2)</t>
  </si>
  <si>
    <t xml:space="preserve">V12 Catatan</t>
  </si>
  <si>
    <t xml:space="preserve">Teks bebas</t>
  </si>
  <si>
    <t xml:space="preserve">Contoh pengisian satu baris (Bagian 3 dan 10)</t>
  </si>
  <si>
    <t xml:space="preserve">Isi (ringkas)</t>
  </si>
  <si>
    <t xml:space="preserve">Baris 67, Pasal 40 UU 27/2022: wajib menghentikan pemrosesan setelah persetujuan ditarik, paling lambat 3 x 24 jam.</t>
  </si>
  <si>
    <t>Kode</t>
  </si>
  <si>
    <t xml:space="preserve">V4 S1 | V5 R2 | V6 T08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</si>
  <si>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</si>
  <si>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</si>
  <si>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</si>
  <si>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</si>
  <si>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</si>
  <si>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</si>
  <si>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</si>
  <si>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 xml:space="preserve">S4 - Subjek Data Pribadi</t>
  </si>
  <si>
    <t xml:space="preserve">P3 - Hak</t>
  </si>
  <si>
    <t xml:space="preserve">F4 - Penyimpanan dan pengamanan</t>
  </si>
  <si>
    <t>Ya</t>
  </si>
  <si>
    <t xml:space="preserve">P2 - Kewajiban</t>
  </si>
  <si>
    <t xml:space="preserve">S3 - Pengendali dan Prosesor</t>
  </si>
  <si>
    <t xml:space="preserve">F2 - Pengumpulan atau akuisisi</t>
  </si>
  <si>
    <t xml:space="preserve">K5 - Tidak menghasilkan kebutuhan. Apakah teks benar-benar tidak dapat diterjemahkan menjadi kalimat "Sistem harus/tidak boleh …"?</t>
  </si>
  <si>
    <t xml:space="preserve">S5 - Setiap Orang atau pihak umum</t>
  </si>
  <si>
    <t xml:space="preserve">F6 - Retensi dan penghapusan</t>
  </si>
  <si>
    <t xml:space="preserve">K4 - Batasan atau aturan bisnis hukum. Apakah teks membatasi apa yang boleh dilakukan sistem, atau apa dan siapa yang tercakup?</t>
  </si>
  <si>
    <t xml:space="preserve">P7 - Asas, prinsip, atau tujuan umum</t>
  </si>
  <si>
    <t xml:space="preserve">F1 - Perencanaan dan dasar pemrosesan</t>
  </si>
  <si>
    <t xml:space="preserve">S9 - Tidak ada subjek perorangan atau organisasi eksplisit</t>
  </si>
  <si>
    <t xml:space="preserve">S1 - Pengendali Data Pribadi</t>
  </si>
  <si>
    <t xml:space="preserve">F7 - Tata kelola dan hak subjek</t>
  </si>
  <si>
    <t xml:space="preserve">F3 - Pengolahan dan analisis</t>
  </si>
  <si>
    <t xml:space="preserve">F8 - Lintas tahap atau tidak spesifik</t>
  </si>
  <si>
    <t xml:space="preserve">T01 - Definisi, Istilah, dan Ruang Lingkup</t>
  </si>
  <si>
    <t xml:space="preserve">P6 - Definisi, klasifikasi, atau ruang lingkup</t>
  </si>
  <si>
    <t xml:space="preserve">Daftar kode sah (Codebook versi 1.0.3)</t>
  </si>
  <si>
    <t xml:space="preserve">Sumber: Bagian 7 codebook (7.1 sampai 7.6). Kolom Kode (B) dipakai oleh daftar pilihan (validasi data) pada lembar coding; kolom D hanya tampilan gabungan kode dan label.</t>
  </si>
  <si>
    <t>Variabel</t>
  </si>
  <si>
    <t>Label</t>
  </si>
  <si>
    <t>S1</t>
  </si>
  <si>
    <t xml:space="preserve">Pengendali Data Pribadi</t>
  </si>
  <si>
    <t>S2</t>
  </si>
  <si>
    <t xml:space="preserve">Prosesor Data Pribadi</t>
  </si>
  <si>
    <t>S3</t>
  </si>
  <si>
    <t xml:space="preserve">Pengendali dan Prosesor</t>
  </si>
  <si>
    <t>S4</t>
  </si>
  <si>
    <t xml:space="preserve">Subjek Data Pribadi</t>
  </si>
  <si>
    <t>S5</t>
  </si>
  <si>
    <t xml:space="preserve">Setiap Orang atau pihak umum</t>
  </si>
  <si>
    <t>S6</t>
  </si>
  <si>
    <t xml:space="preserve">Instansi atau Badan Publik</t>
  </si>
  <si>
    <t>S7</t>
  </si>
  <si>
    <t xml:space="preserve">Otoritas Penetap atau Pengawas Kebijakan</t>
  </si>
  <si>
    <t>S8</t>
  </si>
  <si>
    <t xml:space="preserve">Penyelenggara sektor atau pihak lain</t>
  </si>
  <si>
    <t>S9</t>
  </si>
  <si>
    <t xml:space="preserve">Tidak ada subjek perorangan atau organisasi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</si>
  <si>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</si>
  <si>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</si>
  <si>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</si>
  <si>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</si>
  <si>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</si>
  <si>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</si>
  <si>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</si>
  <si>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</si>
  <si>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</si>
  <si>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Latar Normatif dan Rujukan Non-operasional</t>
  </si>
  <si>
    <t>T03</t>
  </si>
  <si>
    <t xml:space="preserve">Larangan dan Perbuatan Melawan Hukum</t>
  </si>
  <si>
    <t>T04</t>
  </si>
  <si>
    <t xml:space="preserve">Pengecualian dan Pembatasan</t>
  </si>
  <si>
    <t>T05</t>
  </si>
  <si>
    <t xml:space="preserve">Jenis dan Klasifikasi Data Pribadi</t>
  </si>
  <si>
    <t>T06</t>
  </si>
  <si>
    <t xml:space="preserve">Data Pribadi Anak dan Kelompok Rentan</t>
  </si>
  <si>
    <t>T07</t>
  </si>
  <si>
    <t xml:space="preserve">Hak Subjek Data Pribadi</t>
  </si>
  <si>
    <t>T08</t>
  </si>
  <si>
    <t xml:space="preserve">Retensi, Penghentian, Penghapusan, dan Pemusnahan</t>
  </si>
  <si>
    <t>T09</t>
  </si>
  <si>
    <t xml:space="preserve">Dasar Pemrosesan dan Persetujuan</t>
  </si>
  <si>
    <t>T10</t>
  </si>
  <si>
    <t xml:space="preserve">Transfer dan Pengalihan Data</t>
  </si>
  <si>
    <t>T11</t>
  </si>
  <si>
    <t xml:space="preserve">Keamanan, Kerahasiaan, dan Penanganan Insiden</t>
  </si>
  <si>
    <t>T12</t>
  </si>
  <si>
    <t xml:space="preserve">Kualitas, Akurasi, dan Pembaruan Data</t>
  </si>
  <si>
    <t>T13</t>
  </si>
  <si>
    <t xml:space="preserve">Akuntabilitas, Pencatatan, dan Tata Kelola Kepatuhan</t>
  </si>
  <si>
    <t>T14</t>
  </si>
  <si>
    <t xml:space="preserve">Akses dan Pemanfaatan Data Pemerintah</t>
  </si>
  <si>
    <t>T15</t>
  </si>
  <si>
    <t xml:space="preserve">Asas dan Prinsip Pemrosesan</t>
  </si>
  <si>
    <t>T16</t>
  </si>
  <si>
    <t xml:space="preserve">Aktivitas Pemrosesan dan Pengumpulan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</si>
  <si>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</si>
  <si>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</si>
  <si>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</si>
  <si>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</si>
  <si>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</si>
  <si>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</si>
  <si>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</si>
  <si>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</si>
  <si>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</si>
  <si>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</si>
  <si>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</si>
  <si>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</si>
  <si>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</si>
  <si>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</si>
  <si>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</si>
  <si>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</si>
  <si>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</si>
  <si>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dan rujukan</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</si>
  <si>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</si>
  <si>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</si>
  <si>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</si>
  <si>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</si>
  <si>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</si>
  <si>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</si>
  <si>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</si>
  <si>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</si>
  <si>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</si>
  <si>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</si>
  <si>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</si>
  <si>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</si>
  <si>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</si>
  <si>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</si>
  <si>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</si>
  <si>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</si>
  <si>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</si>
  <si>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 Apakah inti teks melindungi data dari akses atau gangguan tidak sah?</t>
  </si>
  <si>
    <t>K2</t>
  </si>
  <si>
    <t xml:space="preserve">Non-fungsional: mutu data, kepatuhan, dan akuntabilitas. Apakah ini mutu atau bukti yang berlaku untuk seluruh sistem, bukan hanya satu operasi?</t>
  </si>
  <si>
    <t>K3</t>
  </si>
  <si>
    <t xml:space="preserve">Fungsional. Dapatkah ditulis "Sistem harus [melakukan X]" dengan hasil hanya lulus atau gagal?</t>
  </si>
  <si>
    <t>K4</t>
  </si>
  <si>
    <t xml:space="preserve">Batasan atau aturan bisnis hukum. Apakah teks membatasi apa yang boleh dilakukan sistem, atau apa dan siapa yang tercakup?</t>
  </si>
  <si>
    <t>K5</t>
  </si>
  <si>
    <t xml:space="preserve">Tidak menghasilkan kebutuhan. Apakah teks benar-benar tidak dapat diterjemahkan menjadi kalimat "Sistem harus/tidak boleh …"?</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</si>
  <si>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</si>
  <si>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</si>
  <si>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</si>
  <si>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</si>
  <si>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</si>
  <si>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</si>
  <si>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</si>
  <si>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</si>
  <si>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</si>
  <si>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</si>
  <si>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Korpus_Codebook_1.xlsx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</si>
  <si>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</si>
  <si>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</si>
  <si>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</si>
  <si>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</si>
  <si>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</si>
  <si>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12.2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</si>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</sst>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0.000000"/>
      <name val="Arial"/>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color theme="1"/>
      <name val="Arial"/>
    </font>
    <font>
      <sz val="10.000000"/>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7">
    <xf fontId="0" fillId="0" borderId="0" numFmtId="0" xfId="0" applyProtection="0">
      <protection hidden="0" locked="1"/>
    </xf>
    <xf fontId="2" fillId="0" borderId="0" numFmtId="0" xfId="0" applyFont="1" applyProtection="1">
      <protection hidden="0" locked="1"/>
    </xf>
    <xf fontId="3" fillId="0" borderId="0" numFmtId="0" xfId="0" applyFont="1" applyProtection="1">
      <protection hidden="0" locked="1"/>
    </xf>
    <xf fontId="4" fillId="0" borderId="0" numFmtId="0" xfId="0" applyFont="1" applyProtection="1">
      <protection hidden="0" locked="1"/>
    </xf>
    <xf fontId="5" fillId="0" borderId="0" numFmtId="0" xfId="0" applyFont="1" applyProtection="1">
      <protection hidden="0" locked="1"/>
    </xf>
    <xf fontId="6" fillId="2" borderId="1" numFmtId="0" xfId="0" applyFont="1" applyFill="1" applyBorder="1" applyAlignment="1" applyProtection="1">
      <alignment horizontal="left" vertical="center" wrapText="1"/>
      <protection hidden="0" locked="1"/>
    </xf>
    <xf fontId="7" fillId="3" borderId="0" numFmtId="0" xfId="0" applyFont="1" applyFill="1" applyProtection="1">
      <protection hidden="0" locked="1"/>
    </xf>
    <xf fontId="2" fillId="3" borderId="0" numFmtId="0" xfId="0" applyFont="1" applyFill="1" applyProtection="1">
      <protection hidden="0" locked="1"/>
    </xf>
    <xf fontId="5" fillId="0" borderId="0" numFmtId="0" xfId="0" applyFont="1" applyAlignment="1" applyProtection="1">
      <alignment vertical="top"/>
      <protection hidden="0" locked="1"/>
    </xf>
    <xf fontId="1" fillId="0" borderId="0" numFmtId="0" xfId="0" applyFont="1" applyAlignment="1" applyProtection="1">
      <alignment vertical="top" wrapText="1"/>
      <protection hidden="0" locked="1"/>
    </xf>
    <xf fontId="5" fillId="2" borderId="0" numFmtId="0" xfId="0" applyFont="1" applyFill="1" applyAlignment="1" applyProtection="1">
      <alignment vertical="top"/>
      <protection hidden="0" locked="1"/>
    </xf>
    <xf fontId="0" fillId="0" borderId="0" numFmtId="0" xfId="0" applyProtection="1">
      <protection hidden="0" locked="1"/>
    </xf>
    <xf fontId="0" fillId="0" borderId="0" numFmtId="0" xfId="0" applyAlignment="1" applyProtection="1">
      <alignment wrapText="1"/>
      <protection hidden="0" locked="1"/>
    </xf>
    <xf fontId="0" fillId="0" borderId="0" numFmtId="0" xfId="0" applyAlignment="1" applyProtection="1">
      <alignment horizontal="center"/>
      <protection hidden="0" locked="1"/>
    </xf>
    <xf fontId="7" fillId="3" borderId="1" numFmtId="0" xfId="0" applyFont="1" applyFill="1" applyBorder="1" applyAlignment="1" applyProtection="1">
      <alignment horizontal="center" vertical="center" wrapText="1"/>
      <protection hidden="0" locked="1"/>
    </xf>
    <xf fontId="7" fillId="4" borderId="1" numFmtId="0" xfId="0" applyFont="1" applyFill="1" applyBorder="1" applyAlignment="1" applyProtection="1">
      <alignment horizontal="center" vertical="center" wrapText="1"/>
      <protection hidden="0" locked="1"/>
    </xf>
    <xf fontId="1" fillId="0" borderId="1" numFmtId="0" xfId="0" applyFont="1" applyBorder="1" applyAlignment="1" applyProtection="1">
      <alignment horizontal="center" vertical="top"/>
      <protection hidden="0" locked="1"/>
    </xf>
    <xf fontId="1" fillId="0" borderId="1" numFmtId="0" xfId="0" applyFont="1" applyBorder="1" applyAlignment="1" applyProtection="1">
      <alignment horizontal="center" vertical="top" wrapText="1"/>
      <protection hidden="0" locked="1"/>
    </xf>
    <xf fontId="1" fillId="0" borderId="1" numFmtId="0" xfId="0" applyFont="1" applyBorder="1" applyAlignment="1" applyProtection="1">
      <alignment vertical="top" wrapText="1"/>
      <protection hidden="0" locked="1"/>
    </xf>
    <xf fontId="6" fillId="2" borderId="1" numFmtId="0" xfId="0" applyFont="1" applyFill="1" applyBorder="1" applyAlignment="1" applyProtection="1">
      <alignment horizontal="center" vertical="top" wrapText="1"/>
      <protection hidden="0" locked="1"/>
    </xf>
    <xf fontId="6" fillId="2" borderId="1" numFmtId="0" xfId="0" applyFont="1" applyFill="1" applyBorder="1" applyAlignment="1" applyProtection="1">
      <alignment vertical="top" wrapText="1"/>
      <protection hidden="0" locked="1"/>
    </xf>
    <xf fontId="8" fillId="0" borderId="0" numFmtId="0" xfId="0" applyFont="1" applyProtection="1">
      <protection hidden="0" locked="1"/>
    </xf>
    <xf fontId="7" fillId="3" borderId="0" numFmtId="0" xfId="0" applyFont="1" applyFill="1" applyAlignment="1" applyProtection="1">
      <alignment horizontal="center"/>
      <protection hidden="0" locked="1"/>
    </xf>
    <xf fontId="1" fillId="0" borderId="1" numFmtId="0" xfId="0" applyFont="1" applyBorder="1" applyProtection="1">
      <protection hidden="0" locked="1"/>
    </xf>
    <xf fontId="5" fillId="0" borderId="1" numFmtId="0" xfId="0" applyFont="1" applyBorder="1" applyProtection="1">
      <protection hidden="0" locked="1"/>
    </xf>
    <xf fontId="5" fillId="2" borderId="1" numFmtId="0" xfId="0" applyFont="1" applyFill="1" applyBorder="1" applyProtection="1">
      <protection hidden="0" locked="1"/>
    </xf>
    <xf fontId="9" fillId="0" borderId="0" numFmtId="0" xfId="0" applyFont="1" applyProtection="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topLeftCell="C1" zoomScale="85" workbookViewId="0">
      <selection activeCell="C4" activeCellId="0" sqref="C4"/>
    </sheetView>
  </sheetViews>
  <sheetFormatPr defaultColWidth="8.6796875" defaultRowHeight="14.25"/>
  <cols>
    <col customWidth="1" min="1" max="1" style="1" width="3"/>
    <col customWidth="1" min="2" max="2" style="1" width="30"/>
    <col customWidth="1" min="3" max="3" style="1" width="110"/>
    <col customWidth="0" min="4" max="16384" style="1" width="8.6799999999999997"/>
  </cols>
  <sheetData>
    <row r="1" ht="16.5">
      <c r="A1" s="2" t="s">
        <v>0</v>
      </c>
    </row>
    <row r="2" ht="15">
      <c r="A2" s="3" t="s">
        <v>1</v>
      </c>
    </row>
    <row r="4" ht="15">
      <c r="B4" s="4" t="s">
        <v>2</v>
      </c>
      <c r="C4" s="5" t="s">
        <v>3</v>
      </c>
      <c r="D4" s="3" t="s">
        <v>4</v>
      </c>
    </row>
    <row r="6" ht="15">
      <c r="B6" s="6" t="s">
        <v>5</v>
      </c>
      <c r="C6" s="7"/>
    </row>
    <row r="7" ht="25.5">
      <c r="B7" s="8" t="s">
        <v>6</v>
      </c>
      <c r="C7" s="9" t="s">
        <v>7</v>
      </c>
    </row>
    <row r="8" ht="15">
      <c r="B8" s="8" t="s">
        <v>8</v>
      </c>
      <c r="C8" s="9" t="s">
        <v>9</v>
      </c>
    </row>
    <row r="9" ht="15">
      <c r="B9" s="8" t="s">
        <v>10</v>
      </c>
      <c r="C9" s="9" t="s">
        <v>11</v>
      </c>
    </row>
    <row r="10" ht="25.5">
      <c r="B10" s="8" t="s">
        <v>12</v>
      </c>
      <c r="C10" s="9" t="s">
        <v>13</v>
      </c>
    </row>
    <row r="11" ht="15">
      <c r="B11" s="8" t="s">
        <v>14</v>
      </c>
      <c r="C11" s="9" t="s">
        <v>15</v>
      </c>
    </row>
    <row r="12" ht="15">
      <c r="B12" s="8" t="s">
        <v>16</v>
      </c>
      <c r="C12" s="9" t="s">
        <v>17</v>
      </c>
    </row>
    <row r="13" ht="15">
      <c r="B13" s="6" t="s">
        <v>18</v>
      </c>
      <c r="C13" s="7"/>
    </row>
    <row r="14" ht="25.5">
      <c r="B14" s="10" t="s">
        <v>19</v>
      </c>
      <c r="C14" s="9" t="s">
        <v>20</v>
      </c>
    </row>
    <row r="15" ht="15">
      <c r="B15" s="8" t="s">
        <v>21</v>
      </c>
      <c r="C15" s="9" t="s">
        <v>22</v>
      </c>
    </row>
    <row r="16" ht="15">
      <c r="B16" s="8" t="s">
        <v>23</v>
      </c>
      <c r="C16" s="9" t="s">
        <v>24</v>
      </c>
    </row>
    <row r="18" ht="15">
      <c r="B18" s="6" t="s">
        <v>25</v>
      </c>
      <c r="C18" s="7"/>
    </row>
    <row r="19" ht="15">
      <c r="B19" s="4" t="s">
        <v>26</v>
      </c>
      <c r="C19" s="9" t="s">
        <v>27</v>
      </c>
    </row>
    <row r="20" ht="15">
      <c r="B20" s="4" t="s">
        <v>28</v>
      </c>
      <c r="C20" s="9" t="s">
        <v>29</v>
      </c>
    </row>
    <row r="21" ht="15">
      <c r="B21" s="4" t="s">
        <v>30</v>
      </c>
      <c r="C21" s="9" t="s">
        <v>31</v>
      </c>
    </row>
    <row r="22" ht="15">
      <c r="B22" s="4" t="s">
        <v>32</v>
      </c>
      <c r="C22" s="9" t="s">
        <v>33</v>
      </c>
    </row>
    <row r="23" ht="15">
      <c r="B23" s="4" t="s">
        <v>34</v>
      </c>
      <c r="C23" s="9" t="s">
        <v>35</v>
      </c>
    </row>
    <row r="24" ht="15">
      <c r="B24" s="4" t="s">
        <v>36</v>
      </c>
      <c r="C24" s="9" t="s">
        <v>37</v>
      </c>
    </row>
    <row r="25" ht="15">
      <c r="B25" s="4" t="s">
        <v>38</v>
      </c>
      <c r="C25" s="9" t="s">
        <v>39</v>
      </c>
    </row>
    <row r="26" ht="15">
      <c r="B26" s="4" t="s">
        <v>40</v>
      </c>
      <c r="C26" s="9" t="s">
        <v>41</v>
      </c>
    </row>
    <row r="27" ht="25.5">
      <c r="B27" s="4" t="s">
        <v>42</v>
      </c>
      <c r="C27" s="9" t="s">
        <v>43</v>
      </c>
    </row>
    <row r="28" ht="15">
      <c r="B28" s="4" t="s">
        <v>44</v>
      </c>
      <c r="C28" s="9" t="s">
        <v>45</v>
      </c>
    </row>
    <row r="29" ht="15">
      <c r="B29" s="4" t="s">
        <v>46</v>
      </c>
      <c r="C29" s="9" t="s">
        <v>47</v>
      </c>
    </row>
    <row r="30" ht="15">
      <c r="B30" s="4" t="s">
        <v>48</v>
      </c>
      <c r="C30" s="9" t="s">
        <v>49</v>
      </c>
    </row>
    <row r="32" ht="15">
      <c r="B32" s="6" t="s">
        <v>50</v>
      </c>
      <c r="C32" s="7"/>
    </row>
    <row r="33" ht="15">
      <c r="B33" s="4" t="s">
        <v>51</v>
      </c>
      <c r="C33" s="9" t="s">
        <v>52</v>
      </c>
    </row>
    <row r="34" ht="15">
      <c r="B34" s="4" t="s">
        <v>53</v>
      </c>
      <c r="C34" s="9" t="s">
        <v>54</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E1" zoomScale="85" workbookViewId="0">
      <pane ySplit="1" topLeftCell="A2" activePane="bottomLeft" state="frozen"/>
      <selection activeCell="H21" activeCellId="0" sqref="H21"/>
    </sheetView>
  </sheetViews>
  <sheetFormatPr defaultColWidth="8.6796875" defaultRowHeight="14.25"/>
  <cols>
    <col customWidth="1" min="1" max="1" style="11" width="10.199999999999999"/>
    <col customWidth="1" min="2" max="2" style="12" width="11.24"/>
    <col customWidth="1" min="3" max="4" style="11" width="17.879999999999999"/>
    <col customWidth="1" min="5" max="5" style="11" width="66.400000000000006"/>
    <col customWidth="1" min="6" max="12" style="12" width="11.75"/>
    <col customWidth="1" min="13" max="14" style="12" width="25.539999999999999"/>
    <col customWidth="1" min="15" max="15" style="11" width="7"/>
    <col customWidth="1" min="16" max="16" style="11" width="16"/>
    <col customWidth="1" min="17" max="17" style="11" width="25.539999999999999"/>
    <col customWidth="1" hidden="1" min="18" max="19" style="11" width="18"/>
  </cols>
  <sheetData>
    <row r="1" s="13" customFormat="1" ht="42" customHeight="1">
      <c r="A1" s="14" t="s">
        <v>26</v>
      </c>
      <c r="B1" s="14" t="s">
        <v>28</v>
      </c>
      <c r="C1" s="14" t="s">
        <v>30</v>
      </c>
      <c r="D1" s="14" t="s">
        <v>55</v>
      </c>
      <c r="E1" s="14" t="s">
        <v>56</v>
      </c>
      <c r="F1" s="15" t="s">
        <v>32</v>
      </c>
      <c r="G1" s="15" t="s">
        <v>34</v>
      </c>
      <c r="H1" s="15" t="s">
        <v>36</v>
      </c>
      <c r="I1" s="15" t="s">
        <v>38</v>
      </c>
      <c r="J1" s="15" t="s">
        <v>40</v>
      </c>
      <c r="K1" s="15" t="s">
        <v>42</v>
      </c>
      <c r="L1" s="15" t="s">
        <v>44</v>
      </c>
      <c r="M1" s="15" t="s">
        <v>46</v>
      </c>
      <c r="N1" s="15" t="s">
        <v>48</v>
      </c>
      <c r="O1" s="14" t="s">
        <v>57</v>
      </c>
      <c r="P1" s="14" t="s">
        <v>58</v>
      </c>
      <c r="Q1" s="14" t="s">
        <v>59</v>
      </c>
      <c r="R1" s="14" t="s">
        <v>60</v>
      </c>
      <c r="S1" s="14" t="s">
        <v>61</v>
      </c>
    </row>
    <row r="2" ht="60" hidden="1" customHeight="1">
      <c r="A2" s="16">
        <v>2</v>
      </c>
      <c r="B2" s="17" t="str">
        <f>IF(Petunjuk!$C$4="","",Petunjuk!$C$4)</f>
        <v>Fenny</v>
      </c>
      <c r="C2" s="18" t="str">
        <f>IF(INDEX(Korpus!$A:$A,$A2)="","",INDEX(Korpus!$A:$A,$A2))</f>
        <v>2019MHN201</v>
      </c>
      <c r="D2" s="18" t="str">
        <f>TRIM(INDEX(Korpus!$D:$D,$A2)&amp;" "&amp;INDEX(Korpus!$E:$E,$A2))</f>
        <v xml:space="preserve">Paragraf 3 Kalimat 1</v>
      </c>
      <c r="E2" s="18" t="str">
        <f>IF(INDEX(Korpus!$F:$F,$A2)="","",INDEX(Korpus!$F:$F,$A2))</f>
        <v xml:space="preserve">Melihat banyaknya kasus penyalahgunaan data pribadi, sangat penting untuk memberikan perlindungan data pribadi.</v>
      </c>
      <c r="F2" s="19"/>
      <c r="G2" s="19"/>
      <c r="H2" s="19"/>
      <c r="I2" s="19"/>
      <c r="J2" s="19"/>
      <c r="K2" s="19"/>
      <c r="L2" s="19"/>
      <c r="M2" s="20"/>
      <c r="N2" s="20"/>
      <c r="O2" s="16"/>
      <c r="P2" s="18" t="str">
        <f t="shared" ref="P2:P9" si="0">IF(COUNTA(F2:K2)=6,"Lengkap","Belum lengkap ("&amp;(6-COUNTA(F2:K2))&amp;")")</f>
        <v xml:space="preserve">Belum lengkap (6)</v>
      </c>
      <c r="Q2" s="18" t="str">
        <f t="shared" ref="Q2:Q9" si="1">IF(COUNTA(F2:K2)&lt;6,"",IF(IF(AND(LEFT(G2,2)="R0",LEFT(K2,2)&lt;&gt;"K5"),"R0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","")="","OK",IF(AND(LEFT(G2,2)="R0",LEFT(K2,2)&lt;&gt;"K5"),"R0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f>
        <v/>
      </c>
      <c r="R2" s="18" t="str">
        <f>IF(INDEX(Korpus!$B:$B,$A2)="","",INDEX(Korpus!$B:$B,$A2))</f>
        <v xml:space="preserve">C. Pembahasan</v>
      </c>
      <c r="S2" s="18" t="str">
        <f>IF(INDEX(Korpus!$C:$C,$A2)="","",INDEX(Korpus!$C:$C,$A2))</f>
        <v xml:space="preserve">5. Pentingnya Perlindungan Data Pribadi</v>
      </c>
    </row>
    <row r="3" ht="60" hidden="1" customHeight="1">
      <c r="A3" s="16">
        <v>3</v>
      </c>
      <c r="B3" s="17" t="str">
        <f>IF(Petunjuk!$C$4="","",Petunjuk!$C$4)</f>
        <v>Fenny</v>
      </c>
      <c r="C3" s="18" t="str">
        <f>IF(INDEX(Korpus!$A:$A,$A3)="","",INDEX(Korpus!$A:$A,$A3))</f>
        <v>2019MHN201</v>
      </c>
      <c r="D3" s="18" t="str">
        <f>TRIM(INDEX(Korpus!$D:$D,$A3)&amp;" "&amp;INDEX(Korpus!$E:$E,$A3))</f>
        <v xml:space="preserve">Paragraf 3 Kalimat 2</v>
      </c>
      <c r="E3" s="18" t="str">
        <f>IF(INDEX(Korpus!$F:$F,$A3)="","",INDEX(Korpus!$F:$F,$A3))</f>
        <v xml:space="preserve">Pentingnya memberikan perlindungan data pribadi mulai menguat seiring dengan meningkatnya jumlah pengguna telepon seluler dan internet.</v>
      </c>
      <c r="F3" s="19"/>
      <c r="G3" s="19"/>
      <c r="H3" s="19"/>
      <c r="I3" s="19"/>
      <c r="J3" s="19"/>
      <c r="K3" s="19"/>
      <c r="L3" s="19"/>
      <c r="M3" s="20"/>
      <c r="N3" s="20"/>
      <c r="O3" s="16"/>
      <c r="P3" s="18" t="str">
        <f t="shared" si="0"/>
        <v xml:space="preserve">Belum lengkap (6)</v>
      </c>
      <c r="Q3" s="18" t="str">
        <f t="shared" si="1"/>
        <v/>
      </c>
      <c r="R3" s="18" t="str">
        <f>IF(INDEX(Korpus!$B:$B,$A3)="","",INDEX(Korpus!$B:$B,$A3))</f>
        <v xml:space="preserve">C. Pembahasan</v>
      </c>
      <c r="S3" s="18" t="str">
        <f>IF(INDEX(Korpus!$C:$C,$A3)="","",INDEX(Korpus!$C:$C,$A3))</f>
        <v xml:space="preserve">5. Pentingnya Perlindungan Data Pribadi</v>
      </c>
    </row>
    <row r="4" ht="60" hidden="1" customHeight="1">
      <c r="A4" s="16">
        <v>4</v>
      </c>
      <c r="B4" s="17" t="str">
        <f>IF(Petunjuk!$C$4="","",Petunjuk!$C$4)</f>
        <v>Fenny</v>
      </c>
      <c r="C4" s="18" t="str">
        <f>IF(INDEX(Korpus!$A:$A,$A4)="","",INDEX(Korpus!$A:$A,$A4))</f>
        <v>2019MHN201</v>
      </c>
      <c r="D4" s="18" t="str">
        <f>TRIM(INDEX(Korpus!$D:$D,$A4)&amp;" "&amp;INDEX(Korpus!$E:$E,$A4))</f>
        <v xml:space="preserve">Paragraf 3 Kalimat 3</v>
      </c>
      <c r="E4" s="18"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9"/>
      <c r="G4" s="19"/>
      <c r="H4" s="19"/>
      <c r="I4" s="19"/>
      <c r="J4" s="19"/>
      <c r="K4" s="19"/>
      <c r="L4" s="19"/>
      <c r="M4" s="20"/>
      <c r="N4" s="20"/>
      <c r="O4" s="16"/>
      <c r="P4" s="18" t="str">
        <f t="shared" si="0"/>
        <v xml:space="preserve">Belum lengkap (6)</v>
      </c>
      <c r="Q4" s="18" t="str">
        <f t="shared" si="1"/>
        <v/>
      </c>
      <c r="R4" s="18" t="str">
        <f>IF(INDEX(Korpus!$B:$B,$A4)="","",INDEX(Korpus!$B:$B,$A4))</f>
        <v xml:space="preserve">C. Pembahasan</v>
      </c>
      <c r="S4" s="18" t="str">
        <f>IF(INDEX(Korpus!$C:$C,$A4)="","",INDEX(Korpus!$C:$C,$A4))</f>
        <v xml:space="preserve">5. Pentingnya Perlindungan Data Pribadi</v>
      </c>
    </row>
    <row r="5" ht="60" hidden="1" customHeight="1">
      <c r="A5" s="16">
        <v>5</v>
      </c>
      <c r="B5" s="17" t="str">
        <f>IF(Petunjuk!$C$4="","",Petunjuk!$C$4)</f>
        <v>Fenny</v>
      </c>
      <c r="C5" s="18" t="str">
        <f>IF(INDEX(Korpus!$A:$A,$A5)="","",INDEX(Korpus!$A:$A,$A5))</f>
        <v>2019MHN201</v>
      </c>
      <c r="D5" s="18" t="str">
        <f>TRIM(INDEX(Korpus!$D:$D,$A5)&amp;" "&amp;INDEX(Korpus!$E:$E,$A5))</f>
        <v xml:space="preserve">Paragraf 3 Kalimat 4</v>
      </c>
      <c r="E5" s="18" t="str">
        <f>IF(INDEX(Korpus!$F:$F,$A5)="","",INDEX(Korpus!$F:$F,$A5))</f>
        <v xml:space="preserve">Perlindungan data pribadi berhubungan dengan konsep privasi.</v>
      </c>
      <c r="F5" s="19"/>
      <c r="G5" s="19"/>
      <c r="H5" s="19"/>
      <c r="I5" s="19"/>
      <c r="J5" s="19"/>
      <c r="K5" s="19"/>
      <c r="L5" s="19"/>
      <c r="M5" s="20"/>
      <c r="N5" s="20"/>
      <c r="O5" s="16"/>
      <c r="P5" s="18" t="str">
        <f t="shared" si="0"/>
        <v xml:space="preserve">Belum lengkap (6)</v>
      </c>
      <c r="Q5" s="18" t="str">
        <f t="shared" si="1"/>
        <v/>
      </c>
      <c r="R5" s="18" t="str">
        <f>IF(INDEX(Korpus!$B:$B,$A5)="","",INDEX(Korpus!$B:$B,$A5))</f>
        <v xml:space="preserve">C. Pembahasan</v>
      </c>
      <c r="S5" s="18" t="str">
        <f>IF(INDEX(Korpus!$C:$C,$A5)="","",INDEX(Korpus!$C:$C,$A5))</f>
        <v xml:space="preserve">5. Pentingnya Perlindungan Data Pribadi</v>
      </c>
    </row>
    <row r="6" ht="60" hidden="1" customHeight="1">
      <c r="A6" s="16">
        <v>6</v>
      </c>
      <c r="B6" s="17" t="str">
        <f>IF(Petunjuk!$C$4="","",Petunjuk!$C$4)</f>
        <v>Fenny</v>
      </c>
      <c r="C6" s="18" t="str">
        <f>IF(INDEX(Korpus!$A:$A,$A6)="","",INDEX(Korpus!$A:$A,$A6))</f>
        <v>2019MHN201</v>
      </c>
      <c r="D6" s="18" t="str">
        <f>TRIM(INDEX(Korpus!$D:$D,$A6)&amp;" "&amp;INDEX(Korpus!$E:$E,$A6))</f>
        <v xml:space="preserve">Paragraf 3 Kalimat 5</v>
      </c>
      <c r="E6" s="18" t="str">
        <f>IF(INDEX(Korpus!$F:$F,$A6)="","",INDEX(Korpus!$F:$F,$A6))</f>
        <v xml:space="preserve">Konsep privasi sendiri adalah gagasan untuk menjaga integritas dan martabat pribadi.</v>
      </c>
      <c r="F6" s="19"/>
      <c r="G6" s="19"/>
      <c r="H6" s="19"/>
      <c r="I6" s="19"/>
      <c r="J6" s="19"/>
      <c r="K6" s="19"/>
      <c r="L6" s="19"/>
      <c r="M6" s="20"/>
      <c r="N6" s="20"/>
      <c r="O6" s="16"/>
      <c r="P6" s="18" t="str">
        <f t="shared" si="0"/>
        <v xml:space="preserve">Belum lengkap (6)</v>
      </c>
      <c r="Q6" s="18" t="str">
        <f t="shared" si="1"/>
        <v/>
      </c>
      <c r="R6" s="18" t="str">
        <f>IF(INDEX(Korpus!$B:$B,$A6)="","",INDEX(Korpus!$B:$B,$A6))</f>
        <v xml:space="preserve">C. Pembahasan</v>
      </c>
      <c r="S6" s="18" t="str">
        <f>IF(INDEX(Korpus!$C:$C,$A6)="","",INDEX(Korpus!$C:$C,$A6))</f>
        <v xml:space="preserve">5. Pentingnya Perlindungan Data Pribadi</v>
      </c>
    </row>
    <row r="7" ht="60" hidden="1" customHeight="1">
      <c r="A7" s="16">
        <v>7</v>
      </c>
      <c r="B7" s="17" t="str">
        <f>IF(Petunjuk!$C$4="","",Petunjuk!$C$4)</f>
        <v>Fenny</v>
      </c>
      <c r="C7" s="18" t="str">
        <f>IF(INDEX(Korpus!$A:$A,$A7)="","",INDEX(Korpus!$A:$A,$A7))</f>
        <v>2019MHN201</v>
      </c>
      <c r="D7" s="18" t="str">
        <f>TRIM(INDEX(Korpus!$D:$D,$A7)&amp;" "&amp;INDEX(Korpus!$E:$E,$A7))</f>
        <v xml:space="preserve">Paragraf 3 Kalimat 6</v>
      </c>
      <c r="E7" s="18" t="str">
        <f>IF(INDEX(Korpus!$F:$F,$A7)="","",INDEX(Korpus!$F:$F,$A7))</f>
        <v xml:space="preserve">Hak privasi juga merupakan kemampuan individu untuk menentukan siapa yang memegang informasi tentang mereka dan bagaimana informasi tersebut digunakan.</v>
      </c>
      <c r="F7" s="19"/>
      <c r="G7" s="19"/>
      <c r="H7" s="19"/>
      <c r="I7" s="19"/>
      <c r="J7" s="19"/>
      <c r="K7" s="19"/>
      <c r="L7" s="19"/>
      <c r="M7" s="20"/>
      <c r="N7" s="20"/>
      <c r="O7" s="16"/>
      <c r="P7" s="18" t="str">
        <f t="shared" si="0"/>
        <v xml:space="preserve">Belum lengkap (6)</v>
      </c>
      <c r="Q7" s="18" t="str">
        <f t="shared" si="1"/>
        <v/>
      </c>
      <c r="R7" s="18" t="str">
        <f>IF(INDEX(Korpus!$B:$B,$A7)="","",INDEX(Korpus!$B:$B,$A7))</f>
        <v xml:space="preserve">C. Pembahasan</v>
      </c>
      <c r="S7" s="18" t="str">
        <f>IF(INDEX(Korpus!$C:$C,$A7)="","",INDEX(Korpus!$C:$C,$A7))</f>
        <v xml:space="preserve">5. Pentingnya Perlindungan Data Pribadi</v>
      </c>
    </row>
    <row r="8" ht="60" hidden="1" customHeight="1">
      <c r="A8" s="16">
        <v>8</v>
      </c>
      <c r="B8" s="17" t="str">
        <f>IF(Petunjuk!$C$4="","",Petunjuk!$C$4)</f>
        <v>Fenny</v>
      </c>
      <c r="C8" s="18" t="str">
        <f>IF(INDEX(Korpus!$A:$A,$A8)="","",INDEX(Korpus!$A:$A,$A8))</f>
        <v>2019MHN201</v>
      </c>
      <c r="D8" s="18" t="str">
        <f>TRIM(INDEX(Korpus!$D:$D,$A8)&amp;" "&amp;INDEX(Korpus!$E:$E,$A8))</f>
        <v xml:space="preserve">Paragraf 4 Kalimat 1</v>
      </c>
      <c r="E8" s="18" t="str">
        <f>IF(INDEX(Korpus!$F:$F,$A8)="","",INDEX(Korpus!$F:$F,$A8))</f>
        <v xml:space="preserve">Konsep perlindungan data mengisyaratkan bahwa individu memiliki hak untuk menentukan apakah mereka akan membagi atau bertukar data pribadi mereka atau tidak.</v>
      </c>
      <c r="F8" s="19"/>
      <c r="G8" s="19"/>
      <c r="H8" s="19"/>
      <c r="I8" s="19"/>
      <c r="J8" s="19"/>
      <c r="K8" s="19"/>
      <c r="L8" s="19"/>
      <c r="M8" s="20"/>
      <c r="N8" s="20"/>
      <c r="O8" s="16"/>
      <c r="P8" s="18" t="str">
        <f t="shared" si="0"/>
        <v xml:space="preserve">Belum lengkap (6)</v>
      </c>
      <c r="Q8" s="18" t="str">
        <f t="shared" si="1"/>
        <v/>
      </c>
      <c r="R8" s="18" t="str">
        <f>IF(INDEX(Korpus!$B:$B,$A8)="","",INDEX(Korpus!$B:$B,$A8))</f>
        <v xml:space="preserve">C. Pembahasan</v>
      </c>
      <c r="S8" s="18" t="str">
        <f>IF(INDEX(Korpus!$C:$C,$A8)="","",INDEX(Korpus!$C:$C,$A8))</f>
        <v xml:space="preserve">5. Pentingnya Perlindungan Data Pribadi</v>
      </c>
    </row>
    <row r="9" ht="60" hidden="1" customHeight="1">
      <c r="A9" s="16">
        <v>9</v>
      </c>
      <c r="B9" s="17" t="str">
        <f>IF(Petunjuk!$C$4="","",Petunjuk!$C$4)</f>
        <v>Fenny</v>
      </c>
      <c r="C9" s="18" t="str">
        <f>IF(INDEX(Korpus!$A:$A,$A9)="","",INDEX(Korpus!$A:$A,$A9))</f>
        <v>2019MHN201</v>
      </c>
      <c r="D9" s="18" t="str">
        <f>TRIM(INDEX(Korpus!$D:$D,$A9)&amp;" "&amp;INDEX(Korpus!$E:$E,$A9))</f>
        <v xml:space="preserve">Paragraf 4 Kalimat 2</v>
      </c>
      <c r="E9" s="18" t="str">
        <f>IF(INDEX(Korpus!$F:$F,$A9)="","",INDEX(Korpus!$F:$F,$A9))</f>
        <v xml:space="preserve">Selain itu, individu juga memiliki hak untuk menentukan syarat-syarat pelaksanaan pemindahan data pribadi tersebut.</v>
      </c>
      <c r="F9" s="19"/>
      <c r="G9" s="19"/>
      <c r="H9" s="19"/>
      <c r="I9" s="19"/>
      <c r="J9" s="19"/>
      <c r="K9" s="19"/>
      <c r="L9" s="19"/>
      <c r="M9" s="20"/>
      <c r="N9" s="20"/>
      <c r="O9" s="16"/>
      <c r="P9" s="18" t="str">
        <f t="shared" si="0"/>
        <v xml:space="preserve">Belum lengkap (6)</v>
      </c>
      <c r="Q9" s="18" t="str">
        <f t="shared" si="1"/>
        <v/>
      </c>
      <c r="R9" s="18" t="str">
        <f>IF(INDEX(Korpus!$B:$B,$A9)="","",INDEX(Korpus!$B:$B,$A9))</f>
        <v xml:space="preserve">C. Pembahasan</v>
      </c>
      <c r="S9" s="18" t="str">
        <f>IF(INDEX(Korpus!$C:$C,$A9)="","",INDEX(Korpus!$C:$C,$A9))</f>
        <v xml:space="preserve">5. Pentingnya Perlindungan Data Pribadi</v>
      </c>
    </row>
    <row r="10" ht="60" hidden="1" customHeight="1">
      <c r="A10" s="16">
        <v>10</v>
      </c>
      <c r="B10" s="17" t="str">
        <f>IF(Petunjuk!$C$4="","",Petunjuk!$C$4)</f>
        <v>Fenny</v>
      </c>
      <c r="C10" s="18" t="str">
        <f>IF(INDEX(Korpus!$A:$A,$A10)="","",INDEX(Korpus!$A:$A,$A10))</f>
        <v>2019MHN201</v>
      </c>
      <c r="D10" s="18" t="str">
        <f>TRIM(INDEX(Korpus!$D:$D,$A10)&amp;" "&amp;INDEX(Korpus!$E:$E,$A10))</f>
        <v xml:space="preserve">Paragraf 4 Kalimat 3</v>
      </c>
      <c r="E10" s="18" t="str">
        <f>IF(INDEX(Korpus!$F:$F,$A10)="","",INDEX(Korpus!$F:$F,$A10))</f>
        <v xml:space="preserve">Lebih jauh, perlindungan privasi.</v>
      </c>
      <c r="F10" s="19"/>
      <c r="G10" s="19"/>
      <c r="H10" s="19"/>
      <c r="I10" s="19"/>
      <c r="J10" s="19"/>
      <c r="K10" s="19"/>
      <c r="L10" s="19"/>
      <c r="M10" s="20"/>
      <c r="N10" s="20"/>
      <c r="O10" s="16"/>
      <c r="P10" s="18" t="str">
        <f t="shared" ref="P10:P73" si="2">IF(COUNTA(F10:K10)=6,"Lengkap","Belum lengkap ("&amp;(6-COUNTA(F10:K10))&amp;")")</f>
        <v xml:space="preserve">Belum lengkap (6)</v>
      </c>
      <c r="Q10" s="18" t="str">
        <f t="shared" ref="Q10:Q73" si="3">IF(COUNTA(F10:K10)&lt;6,"",IF(IF(AND(LEFT(G10,2)="R0",LEFT(K10,2)&lt;&gt;"K5"),"R0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","")="","OK",IF(AND(LEFT(G10,2)="R0",LEFT(K10,2)&lt;&gt;"K5"),"R0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f>
        <v/>
      </c>
      <c r="R10" s="18" t="str">
        <f>IF(INDEX(Korpus!$B:$B,$A10)="","",INDEX(Korpus!$B:$B,$A10))</f>
        <v xml:space="preserve">C. Pembahasan</v>
      </c>
      <c r="S10" s="18" t="str">
        <f>IF(INDEX(Korpus!$C:$C,$A10)="","",INDEX(Korpus!$C:$C,$A10))</f>
        <v xml:space="preserve">5. Pentingnya Perlindungan Data Pribadi</v>
      </c>
    </row>
    <row r="11" ht="60" hidden="1" customHeight="1">
      <c r="A11" s="16">
        <v>11</v>
      </c>
      <c r="B11" s="17" t="str">
        <f>IF(Petunjuk!$C$4="","",Petunjuk!$C$4)</f>
        <v>Fenny</v>
      </c>
      <c r="C11" s="18" t="str">
        <f>IF(INDEX(Korpus!$A:$A,$A11)="","",INDEX(Korpus!$A:$A,$A11))</f>
        <v>2019MHN201</v>
      </c>
      <c r="D11" s="18" t="str">
        <f>TRIM(INDEX(Korpus!$D:$D,$A11)&amp;" "&amp;INDEX(Korpus!$E:$E,$A11))</f>
        <v xml:space="preserve">Paragraf 4 Kalimat 4</v>
      </c>
      <c r="E11" s="18" t="str">
        <f>IF(INDEX(Korpus!$F:$F,$A11)="","",INDEX(Korpus!$F:$F,$A11))</f>
        <v xml:space="preserve">Hak privasi telah berkembang sehingga dapat digunakan untuk merumuskan hak untuk melindungi data pribadi.</v>
      </c>
      <c r="F11" s="19"/>
      <c r="G11" s="19"/>
      <c r="H11" s="19"/>
      <c r="I11" s="19"/>
      <c r="J11" s="19"/>
      <c r="K11" s="19"/>
      <c r="L11" s="19"/>
      <c r="M11" s="20"/>
      <c r="N11" s="20"/>
      <c r="O11" s="16"/>
      <c r="P11" s="18" t="str">
        <f t="shared" si="2"/>
        <v xml:space="preserve">Belum lengkap (6)</v>
      </c>
      <c r="Q11" s="18" t="str">
        <f t="shared" si="3"/>
        <v/>
      </c>
      <c r="R11" s="18" t="str">
        <f>IF(INDEX(Korpus!$B:$B,$A11)="","",INDEX(Korpus!$B:$B,$A11))</f>
        <v xml:space="preserve">C. Pembahasan</v>
      </c>
      <c r="S11" s="18" t="str">
        <f>IF(INDEX(Korpus!$C:$C,$A11)="","",INDEX(Korpus!$C:$C,$A11))</f>
        <v xml:space="preserve">5. Pentingnya Perlindungan Data Pribadi</v>
      </c>
    </row>
    <row r="12" ht="60" hidden="1" customHeight="1">
      <c r="A12" s="16">
        <v>12</v>
      </c>
      <c r="B12" s="17" t="str">
        <f>IF(Petunjuk!$C$4="","",Petunjuk!$C$4)</f>
        <v>Fenny</v>
      </c>
      <c r="C12" s="18" t="str">
        <f>IF(INDEX(Korpus!$A:$A,$A12)="","",INDEX(Korpus!$A:$A,$A12))</f>
        <v>2019MHN201</v>
      </c>
      <c r="D12" s="18" t="str">
        <f>TRIM(INDEX(Korpus!$D:$D,$A12)&amp;" "&amp;INDEX(Korpus!$E:$E,$A12))</f>
        <v xml:space="preserve">Paragraf 5 Kalimat 1</v>
      </c>
      <c r="E12" s="18" t="str">
        <f>IF(INDEX(Korpus!$F:$F,$A12)="","",INDEX(Korpus!$F:$F,$A12))</f>
        <v xml:space="preserve">Perlindungan data pribadi telah diatur di dalam UUD NKRI Tahun 1945.</v>
      </c>
      <c r="F12" s="19"/>
      <c r="G12" s="19"/>
      <c r="H12" s="19"/>
      <c r="I12" s="19"/>
      <c r="J12" s="19"/>
      <c r="K12" s="19"/>
      <c r="L12" s="19"/>
      <c r="M12" s="20"/>
      <c r="N12" s="20"/>
      <c r="O12" s="16"/>
      <c r="P12" s="18" t="str">
        <f t="shared" si="2"/>
        <v xml:space="preserve">Belum lengkap (6)</v>
      </c>
      <c r="Q12" s="18" t="str">
        <f t="shared" si="3"/>
        <v/>
      </c>
      <c r="R12" s="18" t="str">
        <f>IF(INDEX(Korpus!$B:$B,$A12)="","",INDEX(Korpus!$B:$B,$A12))</f>
        <v xml:space="preserve">C. Pembahasan</v>
      </c>
      <c r="S12" s="18" t="str">
        <f>IF(INDEX(Korpus!$C:$C,$A12)="","",INDEX(Korpus!$C:$C,$A12))</f>
        <v xml:space="preserve">5. Pentingnya Perlindungan Data Pribadi</v>
      </c>
    </row>
    <row r="13" ht="60" customHeight="1">
      <c r="A13" s="16">
        <v>13</v>
      </c>
      <c r="B13" s="17" t="str">
        <f>IF(Petunjuk!$C$4="","",Petunjuk!$C$4)</f>
        <v>Fenny</v>
      </c>
      <c r="C13" s="18" t="str">
        <f>IF(INDEX(Korpus!$A:$A,$A13)="","",INDEX(Korpus!$A:$A,$A13))</f>
        <v>2019MHN201</v>
      </c>
      <c r="D13" s="18" t="str">
        <f>TRIM(INDEX(Korpus!$D:$D,$A13)&amp;" "&amp;INDEX(Korpus!$E:$E,$A13))</f>
        <v xml:space="preserve">Paragraf 5 Kalimat 2</v>
      </c>
      <c r="E13" s="18"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9" t="s">
        <v>62</v>
      </c>
      <c r="G13" s="19"/>
      <c r="H13" s="19"/>
      <c r="I13" s="19" t="s">
        <v>63</v>
      </c>
      <c r="J13" s="19" t="s">
        <v>64</v>
      </c>
      <c r="K13" s="19"/>
      <c r="L13" s="19"/>
      <c r="M13" s="20"/>
      <c r="N13" s="20"/>
      <c r="O13" s="16" t="s">
        <v>65</v>
      </c>
      <c r="P13" s="18" t="str">
        <f t="shared" si="2"/>
        <v xml:space="preserve">Belum lengkap (3)</v>
      </c>
      <c r="Q13" s="18" t="str">
        <f t="shared" si="3"/>
        <v/>
      </c>
      <c r="R13" s="18" t="str">
        <f>IF(INDEX(Korpus!$B:$B,$A13)="","",INDEX(Korpus!$B:$B,$A13))</f>
        <v xml:space="preserve">C. Pembahasan</v>
      </c>
      <c r="S13" s="18" t="str">
        <f>IF(INDEX(Korpus!$C:$C,$A13)="","",INDEX(Korpus!$C:$C,$A13))</f>
        <v xml:space="preserve">5. Pentingnya Perlindungan Data Pribadi</v>
      </c>
    </row>
    <row r="14" ht="60" hidden="1" customHeight="1">
      <c r="A14" s="16">
        <v>14</v>
      </c>
      <c r="B14" s="17" t="str">
        <f>IF(Petunjuk!$C$4="","",Petunjuk!$C$4)</f>
        <v>Fenny</v>
      </c>
      <c r="C14" s="18" t="str">
        <f>IF(INDEX(Korpus!$A:$A,$A14)="","",INDEX(Korpus!$A:$A,$A14))</f>
        <v>2019MHN201</v>
      </c>
      <c r="D14" s="18" t="str">
        <f>TRIM(INDEX(Korpus!$D:$D,$A14)&amp;" "&amp;INDEX(Korpus!$E:$E,$A14))</f>
        <v xml:space="preserve">Paragraf 6 Kalimat 1</v>
      </c>
      <c r="E14" s="18" t="str">
        <f>IF(INDEX(Korpus!$F:$F,$A14)="","",INDEX(Korpus!$F:$F,$A14))</f>
        <v xml:space="preserve">Selain itu beberapa peraturan nasional secara umum telah mengatur untuk memberikan perlindungan data pribadi antara lain:</v>
      </c>
      <c r="F14" s="19"/>
      <c r="G14" s="19"/>
      <c r="H14" s="19"/>
      <c r="I14" s="19"/>
      <c r="J14" s="19"/>
      <c r="K14" s="19"/>
      <c r="L14" s="19"/>
      <c r="M14" s="20"/>
      <c r="N14" s="20"/>
      <c r="O14" s="16"/>
      <c r="P14" s="18" t="str">
        <f t="shared" si="2"/>
        <v xml:space="preserve">Belum lengkap (6)</v>
      </c>
      <c r="Q14" s="18" t="str">
        <f t="shared" si="3"/>
        <v/>
      </c>
      <c r="R14" s="18" t="str">
        <f>IF(INDEX(Korpus!$B:$B,$A14)="","",INDEX(Korpus!$B:$B,$A14))</f>
        <v xml:space="preserve">C. Pembahasan</v>
      </c>
      <c r="S14" s="18" t="str">
        <f>IF(INDEX(Korpus!$C:$C,$A14)="","",INDEX(Korpus!$C:$C,$A14))</f>
        <v xml:space="preserve">5. Pentingnya Perlindungan Data Pribadi</v>
      </c>
    </row>
    <row r="15" ht="60" hidden="1" customHeight="1">
      <c r="A15" s="16">
        <v>15</v>
      </c>
      <c r="B15" s="17" t="str">
        <f>IF(Petunjuk!$C$4="","",Petunjuk!$C$4)</f>
        <v>Fenny</v>
      </c>
      <c r="C15" s="18" t="str">
        <f>IF(INDEX(Korpus!$A:$A,$A15)="","",INDEX(Korpus!$A:$A,$A15))</f>
        <v>2019MHN201</v>
      </c>
      <c r="D15" s="18" t="str">
        <f>TRIM(INDEX(Korpus!$D:$D,$A15)&amp;" "&amp;INDEX(Korpus!$E:$E,$A15))</f>
        <v xml:space="preserve">Paragraf 6 Kalimat 2</v>
      </c>
      <c r="E15" s="18" t="str">
        <f>IF(INDEX(Korpus!$F:$F,$A15)="","",INDEX(Korpus!$F:$F,$A15))</f>
        <v xml:space="preserve">1) Undang-Undang Nomor 19 Tahun 2016 Tentang Perubahan Atas Undang-Undang Nomor 11 Tahun 2008 Tentang Informasi dan Transaksi Elektronik</v>
      </c>
      <c r="F15" s="19"/>
      <c r="G15" s="19"/>
      <c r="H15" s="19"/>
      <c r="I15" s="19"/>
      <c r="J15" s="19"/>
      <c r="K15" s="19"/>
      <c r="L15" s="19"/>
      <c r="M15" s="20"/>
      <c r="N15" s="20"/>
      <c r="O15" s="16"/>
      <c r="P15" s="18" t="str">
        <f t="shared" si="2"/>
        <v xml:space="preserve">Belum lengkap (6)</v>
      </c>
      <c r="Q15" s="18" t="str">
        <f t="shared" si="3"/>
        <v/>
      </c>
      <c r="R15" s="18" t="str">
        <f>IF(INDEX(Korpus!$B:$B,$A15)="","",INDEX(Korpus!$B:$B,$A15))</f>
        <v xml:space="preserve">C. Pembahasan</v>
      </c>
      <c r="S15" s="18" t="str">
        <f>IF(INDEX(Korpus!$C:$C,$A15)="","",INDEX(Korpus!$C:$C,$A15))</f>
        <v xml:space="preserve">5. Pentingnya Perlindungan Data Pribadi</v>
      </c>
    </row>
    <row r="16" ht="60" hidden="1" customHeight="1">
      <c r="A16" s="16">
        <v>16</v>
      </c>
      <c r="B16" s="17" t="str">
        <f>IF(Petunjuk!$C$4="","",Petunjuk!$C$4)</f>
        <v>Fenny</v>
      </c>
      <c r="C16" s="18" t="str">
        <f>IF(INDEX(Korpus!$A:$A,$A16)="","",INDEX(Korpus!$A:$A,$A16))</f>
        <v>2019MHN201</v>
      </c>
      <c r="D16" s="18" t="str">
        <f>TRIM(INDEX(Korpus!$D:$D,$A16)&amp;" "&amp;INDEX(Korpus!$E:$E,$A16))</f>
        <v xml:space="preserve">Paragraf 6 Kalimat 3</v>
      </c>
      <c r="E16" s="18" t="str">
        <f>IF(INDEX(Korpus!$F:$F,$A16)="","",INDEX(Korpus!$F:$F,$A16))</f>
        <v xml:space="preserve">2) Undang-Undang Nomor 11 Tahun 2008 Tentang Informasi dan Transaksi Elektronik</v>
      </c>
      <c r="F16" s="19"/>
      <c r="G16" s="19"/>
      <c r="H16" s="19"/>
      <c r="I16" s="19"/>
      <c r="J16" s="19"/>
      <c r="K16" s="19"/>
      <c r="L16" s="19"/>
      <c r="M16" s="20"/>
      <c r="N16" s="20"/>
      <c r="O16" s="16"/>
      <c r="P16" s="18" t="str">
        <f t="shared" si="2"/>
        <v xml:space="preserve">Belum lengkap (6)</v>
      </c>
      <c r="Q16" s="18" t="str">
        <f t="shared" si="3"/>
        <v/>
      </c>
      <c r="R16" s="18" t="str">
        <f>IF(INDEX(Korpus!$B:$B,$A16)="","",INDEX(Korpus!$B:$B,$A16))</f>
        <v xml:space="preserve">C. Pembahasan</v>
      </c>
      <c r="S16" s="18" t="str">
        <f>IF(INDEX(Korpus!$C:$C,$A16)="","",INDEX(Korpus!$C:$C,$A16))</f>
        <v xml:space="preserve">5. Pentingnya Perlindungan Data Pribadi</v>
      </c>
    </row>
    <row r="17" ht="60" hidden="1" customHeight="1">
      <c r="A17" s="16">
        <v>17</v>
      </c>
      <c r="B17" s="17" t="str">
        <f>IF(Petunjuk!$C$4="","",Petunjuk!$C$4)</f>
        <v>Fenny</v>
      </c>
      <c r="C17" s="18" t="str">
        <f>IF(INDEX(Korpus!$A:$A,$A17)="","",INDEX(Korpus!$A:$A,$A17))</f>
        <v>2019MHN201</v>
      </c>
      <c r="D17" s="18" t="str">
        <f>TRIM(INDEX(Korpus!$D:$D,$A17)&amp;" "&amp;INDEX(Korpus!$E:$E,$A17))</f>
        <v xml:space="preserve">Paragraf 6 Kalimat 13</v>
      </c>
      <c r="E17" s="18" t="str">
        <f>IF(INDEX(Korpus!$F:$F,$A17)="","",INDEX(Korpus!$F:$F,$A17))</f>
        <v xml:space="preserve">12) Peraturan Menteri Komunikasi dan Informasi Nomor 20 Tahun 2016 Tentang Perlindungan Data Pribadi Dalam Sistem Elektronik</v>
      </c>
      <c r="F17" s="19"/>
      <c r="G17" s="19"/>
      <c r="H17" s="19"/>
      <c r="I17" s="19"/>
      <c r="J17" s="19"/>
      <c r="K17" s="19"/>
      <c r="L17" s="19"/>
      <c r="M17" s="20"/>
      <c r="N17" s="20"/>
      <c r="O17" s="16"/>
      <c r="P17" s="18" t="str">
        <f t="shared" si="2"/>
        <v xml:space="preserve">Belum lengkap (6)</v>
      </c>
      <c r="Q17" s="18" t="str">
        <f t="shared" si="3"/>
        <v/>
      </c>
      <c r="R17" s="18" t="str">
        <f>IF(INDEX(Korpus!$B:$B,$A17)="","",INDEX(Korpus!$B:$B,$A17))</f>
        <v xml:space="preserve">C. Pembahasan</v>
      </c>
      <c r="S17" s="18" t="str">
        <f>IF(INDEX(Korpus!$C:$C,$A17)="","",INDEX(Korpus!$C:$C,$A17))</f>
        <v xml:space="preserve">5. Pentingnya Perlindungan Data Pribadi</v>
      </c>
    </row>
    <row r="18" ht="60" hidden="1" customHeight="1">
      <c r="A18" s="16">
        <v>18</v>
      </c>
      <c r="B18" s="17" t="str">
        <f>IF(Petunjuk!$C$4="","",Petunjuk!$C$4)</f>
        <v>Fenny</v>
      </c>
      <c r="C18" s="18" t="str">
        <f>IF(INDEX(Korpus!$A:$A,$A18)="","",INDEX(Korpus!$A:$A,$A18))</f>
        <v>2019MHN201</v>
      </c>
      <c r="D18" s="18" t="str">
        <f>TRIM(INDEX(Korpus!$D:$D,$A18)&amp;" "&amp;INDEX(Korpus!$E:$E,$A18))</f>
        <v xml:space="preserve">Paragraf 6 Kalimat 14</v>
      </c>
      <c r="E18" s="18" t="str">
        <f>IF(INDEX(Korpus!$F:$F,$A18)="","",INDEX(Korpus!$F:$F,$A18))</f>
        <v xml:space="preserve">13) Peraturan Pemerintah Nomor 82 Tahun 2012 Tentang Penyelenggaraan Sistem dan Transaksi Elektronik</v>
      </c>
      <c r="F18" s="19"/>
      <c r="G18" s="19"/>
      <c r="H18" s="19"/>
      <c r="I18" s="19"/>
      <c r="J18" s="19"/>
      <c r="K18" s="19"/>
      <c r="L18" s="19"/>
      <c r="M18" s="20"/>
      <c r="N18" s="20"/>
      <c r="O18" s="16"/>
      <c r="P18" s="18" t="str">
        <f t="shared" si="2"/>
        <v xml:space="preserve">Belum lengkap (6)</v>
      </c>
      <c r="Q18" s="18" t="str">
        <f t="shared" si="3"/>
        <v/>
      </c>
      <c r="R18" s="18" t="str">
        <f>IF(INDEX(Korpus!$B:$B,$A18)="","",INDEX(Korpus!$B:$B,$A18))</f>
        <v xml:space="preserve">C. Pembahasan</v>
      </c>
      <c r="S18" s="18" t="str">
        <f>IF(INDEX(Korpus!$C:$C,$A18)="","",INDEX(Korpus!$C:$C,$A18))</f>
        <v xml:space="preserve">5. Pentingnya Perlindungan Data Pribadi</v>
      </c>
    </row>
    <row r="19" ht="60" hidden="1" customHeight="1">
      <c r="A19" s="16">
        <v>19</v>
      </c>
      <c r="B19" s="17" t="str">
        <f>IF(Petunjuk!$C$4="","",Petunjuk!$C$4)</f>
        <v>Fenny</v>
      </c>
      <c r="C19" s="18" t="str">
        <f>IF(INDEX(Korpus!$A:$A,$A19)="","",INDEX(Korpus!$A:$A,$A19))</f>
        <v>2019MHN201</v>
      </c>
      <c r="D19" s="18" t="str">
        <f>TRIM(INDEX(Korpus!$D:$D,$A19)&amp;" "&amp;INDEX(Korpus!$E:$E,$A19))</f>
        <v xml:space="preserve">Paragraf 6 Kalimat 16</v>
      </c>
      <c r="E19" s="18" t="str">
        <f>IF(INDEX(Korpus!$F:$F,$A19)="","",INDEX(Korpus!$F:$F,$A19))</f>
        <v xml:space="preserve">15) Peraturan Menteri Komunikasi dan Informasi Nomor 4 Tahun 2016 Tentang Sistem Manajemen Pengaman Informasi</v>
      </c>
      <c r="F19" s="19"/>
      <c r="G19" s="19"/>
      <c r="H19" s="19"/>
      <c r="I19" s="19"/>
      <c r="J19" s="19"/>
      <c r="K19" s="19"/>
      <c r="L19" s="19"/>
      <c r="M19" s="20"/>
      <c r="N19" s="20"/>
      <c r="O19" s="16"/>
      <c r="P19" s="18" t="str">
        <f t="shared" si="2"/>
        <v xml:space="preserve">Belum lengkap (6)</v>
      </c>
      <c r="Q19" s="18" t="str">
        <f t="shared" si="3"/>
        <v/>
      </c>
      <c r="R19" s="18" t="str">
        <f>IF(INDEX(Korpus!$B:$B,$A19)="","",INDEX(Korpus!$B:$B,$A19))</f>
        <v xml:space="preserve">C. Pembahasan</v>
      </c>
      <c r="S19" s="18" t="str">
        <f>IF(INDEX(Korpus!$C:$C,$A19)="","",INDEX(Korpus!$C:$C,$A19))</f>
        <v xml:space="preserve">5. Pentingnya Perlindungan Data Pribadi</v>
      </c>
    </row>
    <row r="20" ht="60" hidden="1" customHeight="1">
      <c r="A20" s="16">
        <v>20</v>
      </c>
      <c r="B20" s="17" t="str">
        <f>IF(Petunjuk!$C$4="","",Petunjuk!$C$4)</f>
        <v>Fenny</v>
      </c>
      <c r="C20" s="18" t="str">
        <f>IF(INDEX(Korpus!$A:$A,$A20)="","",INDEX(Korpus!$A:$A,$A20))</f>
        <v>2019MHN201</v>
      </c>
      <c r="D20" s="18" t="str">
        <f>TRIM(INDEX(Korpus!$D:$D,$A20)&amp;" "&amp;INDEX(Korpus!$E:$E,$A20))</f>
        <v xml:space="preserve">Paragraf 7 Kalimat 2</v>
      </c>
      <c r="E20" s="18" t="str">
        <f>IF(INDEX(Korpus!$F:$F,$A20)="","",INDEX(Korpus!$F:$F,$A20))</f>
        <v xml:space="preserve">Dalam Pasal 26 huruf a disebutkan bahwa menjaga kerahasiaan, keutuhan, dan ketersediaan data pribadi, data transaksi, dan data keuangan yang dikelolanya sejak data diperoleh hingga data tersebut dimusnahkan.</v>
      </c>
      <c r="F20" s="19"/>
      <c r="G20" s="19"/>
      <c r="H20" s="19"/>
      <c r="I20" s="19"/>
      <c r="J20" s="19"/>
      <c r="K20" s="19"/>
      <c r="L20" s="19"/>
      <c r="M20" s="20"/>
      <c r="N20" s="20"/>
      <c r="O20" s="16"/>
      <c r="P20" s="18" t="str">
        <f t="shared" si="2"/>
        <v xml:space="preserve">Belum lengkap (6)</v>
      </c>
      <c r="Q20" s="18" t="str">
        <f t="shared" si="3"/>
        <v/>
      </c>
      <c r="R20" s="18" t="str">
        <f>IF(INDEX(Korpus!$B:$B,$A20)="","",INDEX(Korpus!$B:$B,$A20))</f>
        <v xml:space="preserve">C. Pembahasan</v>
      </c>
      <c r="S20" s="18" t="str">
        <f>IF(INDEX(Korpus!$C:$C,$A20)="","",INDEX(Korpus!$C:$C,$A20))</f>
        <v xml:space="preserve">5. Pentingnya Perlindungan Data Pribadi</v>
      </c>
    </row>
    <row r="21" ht="60" customHeight="1">
      <c r="A21" s="16">
        <v>21</v>
      </c>
      <c r="B21" s="17" t="str">
        <f>IF(Petunjuk!$C$4="","",Petunjuk!$C$4)</f>
        <v>Fenny</v>
      </c>
      <c r="C21" s="18" t="str">
        <f>IF(INDEX(Korpus!$A:$A,$A21)="","",INDEX(Korpus!$A:$A,$A21))</f>
        <v>2019MHN201</v>
      </c>
      <c r="D21" s="18" t="str">
        <f>TRIM(INDEX(Korpus!$D:$D,$A21)&amp;" "&amp;INDEX(Korpus!$E:$E,$A21))</f>
        <v xml:space="preserve">Paragraf 7 Kalimat 3</v>
      </c>
      <c r="E21" s="18" t="str">
        <f>IF(INDEX(Korpus!$F:$F,$A21)="","",INDEX(Korpus!$F:$F,$A21))</f>
        <v xml:space="preserve">Selain itu Peraturan OJK Nomor 13 Tahun 2018 Tentang Inovasi Keuangan Digital di Sektor Keuangan, telah memasukkan poin terkait perlindungan dan kerahasiaan data.</v>
      </c>
      <c r="F21" s="19" t="s">
        <v>62</v>
      </c>
      <c r="G21" s="19"/>
      <c r="H21" s="19"/>
      <c r="I21" s="19" t="s">
        <v>66</v>
      </c>
      <c r="J21" s="19" t="s">
        <v>64</v>
      </c>
      <c r="K21" s="19"/>
      <c r="L21" s="19"/>
      <c r="M21" s="20"/>
      <c r="N21" s="20"/>
      <c r="O21" s="16" t="s">
        <v>65</v>
      </c>
      <c r="P21" s="18" t="str">
        <f t="shared" si="2"/>
        <v xml:space="preserve">Belum lengkap (3)</v>
      </c>
      <c r="Q21" s="18" t="str">
        <f t="shared" si="3"/>
        <v/>
      </c>
      <c r="R21" s="18" t="str">
        <f>IF(INDEX(Korpus!$B:$B,$A21)="","",INDEX(Korpus!$B:$B,$A21))</f>
        <v xml:space="preserve">C. Pembahasan</v>
      </c>
      <c r="S21" s="18" t="str">
        <f>IF(INDEX(Korpus!$C:$C,$A21)="","",INDEX(Korpus!$C:$C,$A21))</f>
        <v xml:space="preserve">5. Pentingnya Perlindungan Data Pribadi</v>
      </c>
    </row>
    <row r="22" ht="60" hidden="1" customHeight="1">
      <c r="A22" s="16">
        <v>22</v>
      </c>
      <c r="B22" s="17" t="str">
        <f>IF(Petunjuk!$C$4="","",Petunjuk!$C$4)</f>
        <v>Fenny</v>
      </c>
      <c r="C22" s="18" t="str">
        <f>IF(INDEX(Korpus!$A:$A,$A22)="","",INDEX(Korpus!$A:$A,$A22))</f>
        <v>2019MHN201</v>
      </c>
      <c r="D22" s="18" t="str">
        <f>TRIM(INDEX(Korpus!$D:$D,$A22)&amp;" "&amp;INDEX(Korpus!$E:$E,$A22))</f>
        <v xml:space="preserve">Paragraf 7 Kalimat 4</v>
      </c>
      <c r="E22" s="18" t="str">
        <f>IF(INDEX(Korpus!$F:$F,$A22)="","",INDEX(Korpus!$F:$F,$A22))</f>
        <v xml:space="preserve">Pasal 30 ayat (1) menyebutkan bahwa Penyelenggara wajib menjaga kerahasiaan data pribadi, data transaksi, dan data keuangan yang dikelolanya sejak diperoleh hingga data tersebut dimusnahkan.</v>
      </c>
      <c r="F22" s="19"/>
      <c r="G22" s="19"/>
      <c r="H22" s="19"/>
      <c r="I22" s="19"/>
      <c r="J22" s="19"/>
      <c r="K22" s="19"/>
      <c r="L22" s="19"/>
      <c r="M22" s="20"/>
      <c r="N22" s="20"/>
      <c r="O22" s="16"/>
      <c r="P22" s="18" t="str">
        <f t="shared" si="2"/>
        <v xml:space="preserve">Belum lengkap (6)</v>
      </c>
      <c r="Q22" s="18" t="str">
        <f t="shared" si="3"/>
        <v/>
      </c>
      <c r="R22" s="18" t="str">
        <f>IF(INDEX(Korpus!$B:$B,$A22)="","",INDEX(Korpus!$B:$B,$A22))</f>
        <v xml:space="preserve">C. Pembahasan</v>
      </c>
      <c r="S22" s="18" t="str">
        <f>IF(INDEX(Korpus!$C:$C,$A22)="","",INDEX(Korpus!$C:$C,$A22))</f>
        <v xml:space="preserve">5. Pentingnya Perlindungan Data Pribadi</v>
      </c>
    </row>
    <row r="23" ht="60" hidden="1" customHeight="1">
      <c r="A23" s="16">
        <v>23</v>
      </c>
      <c r="B23" s="17" t="str">
        <f>IF(Petunjuk!$C$4="","",Petunjuk!$C$4)</f>
        <v>Fenny</v>
      </c>
      <c r="C23" s="18" t="str">
        <f>IF(INDEX(Korpus!$A:$A,$A23)="","",INDEX(Korpus!$A:$A,$A23))</f>
        <v>2019MHN201</v>
      </c>
      <c r="D23" s="18" t="str">
        <f>TRIM(INDEX(Korpus!$D:$D,$A23)&amp;" "&amp;INDEX(Korpus!$E:$E,$A23))</f>
        <v xml:space="preserve">Paragraf 8 Kalimat 1</v>
      </c>
      <c r="E23" s="18" t="str">
        <f>IF(INDEX(Korpus!$F:$F,$A23)="","",INDEX(Korpus!$F:$F,$A23))</f>
        <v xml:space="preserve">Banyaknya peraturan yang mengatur tentang perlindungan data pribadi menunjukkan pentingnya data pribadi untuk dilindungi.</v>
      </c>
      <c r="F23" s="19"/>
      <c r="G23" s="19"/>
      <c r="H23" s="19"/>
      <c r="I23" s="19"/>
      <c r="J23" s="19"/>
      <c r="K23" s="19"/>
      <c r="L23" s="19"/>
      <c r="M23" s="20"/>
      <c r="N23" s="20"/>
      <c r="O23" s="16"/>
      <c r="P23" s="18" t="str">
        <f t="shared" si="2"/>
        <v xml:space="preserve">Belum lengkap (6)</v>
      </c>
      <c r="Q23" s="18" t="str">
        <f t="shared" si="3"/>
        <v/>
      </c>
      <c r="R23" s="18" t="str">
        <f>IF(INDEX(Korpus!$B:$B,$A23)="","",INDEX(Korpus!$B:$B,$A23))</f>
        <v xml:space="preserve">C. Pembahasan</v>
      </c>
      <c r="S23" s="18" t="str">
        <f>IF(INDEX(Korpus!$C:$C,$A23)="","",INDEX(Korpus!$C:$C,$A23))</f>
        <v xml:space="preserve">5. Pentingnya Perlindungan Data Pribadi</v>
      </c>
    </row>
    <row r="24" ht="60" hidden="1" customHeight="1">
      <c r="A24" s="16">
        <v>24</v>
      </c>
      <c r="B24" s="17" t="str">
        <f>IF(Petunjuk!$C$4="","",Petunjuk!$C$4)</f>
        <v>Fenny</v>
      </c>
      <c r="C24" s="18" t="str">
        <f>IF(INDEX(Korpus!$A:$A,$A24)="","",INDEX(Korpus!$A:$A,$A24))</f>
        <v>2019MHN201</v>
      </c>
      <c r="D24" s="18" t="str">
        <f>TRIM(INDEX(Korpus!$D:$D,$A24)&amp;" "&amp;INDEX(Korpus!$E:$E,$A24))</f>
        <v xml:space="preserve">Paragraf 8 Kalimat 3</v>
      </c>
      <c r="E24" s="18" t="str">
        <f>IF(INDEX(Korpus!$F:$F,$A24)="","",INDEX(Korpus!$F:$F,$A24))</f>
        <v xml:space="preserve">Oleh karena itu perlu disusun suatu undang-undang yang secara khusus dapat memberikan perlindungan data pribadi.</v>
      </c>
      <c r="F24" s="19"/>
      <c r="G24" s="19"/>
      <c r="H24" s="19"/>
      <c r="I24" s="19"/>
      <c r="J24" s="19"/>
      <c r="K24" s="19"/>
      <c r="L24" s="19"/>
      <c r="M24" s="20"/>
      <c r="N24" s="20"/>
      <c r="O24" s="16"/>
      <c r="P24" s="18" t="str">
        <f t="shared" si="2"/>
        <v xml:space="preserve">Belum lengkap (6)</v>
      </c>
      <c r="Q24" s="18" t="str">
        <f t="shared" si="3"/>
        <v/>
      </c>
      <c r="R24" s="18" t="str">
        <f>IF(INDEX(Korpus!$B:$B,$A24)="","",INDEX(Korpus!$B:$B,$A24))</f>
        <v xml:space="preserve">C. Pembahasan</v>
      </c>
      <c r="S24" s="18" t="str">
        <f>IF(INDEX(Korpus!$C:$C,$A24)="","",INDEX(Korpus!$C:$C,$A24))</f>
        <v xml:space="preserve">5. Pentingnya Perlindungan Data Pribadi</v>
      </c>
    </row>
    <row r="25" ht="60" customHeight="1">
      <c r="A25" s="16">
        <v>25</v>
      </c>
      <c r="B25" s="17" t="str">
        <f>IF(Petunjuk!$C$4="","",Petunjuk!$C$4)</f>
        <v>Fenny</v>
      </c>
      <c r="C25" s="18" t="str">
        <f>IF(INDEX(Korpus!$A:$A,$A25)="","",INDEX(Korpus!$A:$A,$A25))</f>
        <v>2019MHN201</v>
      </c>
      <c r="D25" s="18" t="str">
        <f>TRIM(INDEX(Korpus!$D:$D,$A25)&amp;" "&amp;INDEX(Korpus!$E:$E,$A25))</f>
        <v xml:space="preserve">Paragraf 1 Kalimat 3</v>
      </c>
      <c r="E25" s="18" t="str">
        <f>IF(INDEX(Korpus!$F:$F,$A25)="","",INDEX(Korpus!$F:$F,$A25))</f>
        <v xml:space="preserve">Selain itu juga sudah ada Peraturan Menteri Nomor 20 Tahun 2016 tentang Perlindungan Data Pribadi namun belum cukup memberikan perlindungan kepada konsumen.</v>
      </c>
      <c r="F25" s="19" t="s">
        <v>67</v>
      </c>
      <c r="G25" s="19"/>
      <c r="H25" s="19"/>
      <c r="I25" s="19"/>
      <c r="J25" s="19" t="s">
        <v>68</v>
      </c>
      <c r="K25" s="19" t="s">
        <v>69</v>
      </c>
      <c r="L25" s="19"/>
      <c r="M25" s="20"/>
      <c r="N25" s="20"/>
      <c r="O25" s="16" t="s">
        <v>65</v>
      </c>
      <c r="P25" s="18" t="str">
        <f t="shared" si="2"/>
        <v xml:space="preserve">Belum lengkap (3)</v>
      </c>
      <c r="Q25" s="18" t="str">
        <f t="shared" si="3"/>
        <v/>
      </c>
      <c r="R25" s="18" t="str">
        <f>IF(INDEX(Korpus!$B:$B,$A25)="","",INDEX(Korpus!$B:$B,$A25))</f>
        <v xml:space="preserve">D. Penutup</v>
      </c>
      <c r="S25" s="18" t="str">
        <f>IF(INDEX(Korpus!$C:$C,$A25)="","",INDEX(Korpus!$C:$C,$A25))</f>
        <v/>
      </c>
    </row>
    <row r="26" ht="60" hidden="1" customHeight="1">
      <c r="A26" s="16">
        <v>26</v>
      </c>
      <c r="B26" s="17" t="str">
        <f>IF(Petunjuk!$C$4="","",Petunjuk!$C$4)</f>
        <v>Fenny</v>
      </c>
      <c r="C26" s="18" t="str">
        <f>IF(INDEX(Korpus!$A:$A,$A26)="","",INDEX(Korpus!$A:$A,$A26))</f>
        <v>2019MHN201</v>
      </c>
      <c r="D26" s="18" t="str">
        <f>TRIM(INDEX(Korpus!$D:$D,$A26)&amp;" "&amp;INDEX(Korpus!$E:$E,$A26))</f>
        <v xml:space="preserve">Paragraf 1 Kalimat 4</v>
      </c>
      <c r="E26" s="18" t="str">
        <f>IF(INDEX(Korpus!$F:$F,$A26)="","",INDEX(Korpus!$F:$F,$A26))</f>
        <v xml:space="preserve">Oleh karenanya Pemerintah perlu segera memberikan perlindungan data pribadi nasabah agar tidak disalahgunakan.</v>
      </c>
      <c r="F26" s="19"/>
      <c r="G26" s="19"/>
      <c r="H26" s="19"/>
      <c r="I26" s="19"/>
      <c r="J26" s="19"/>
      <c r="K26" s="19"/>
      <c r="L26" s="19"/>
      <c r="M26" s="20"/>
      <c r="N26" s="20"/>
      <c r="O26" s="16"/>
      <c r="P26" s="18" t="str">
        <f t="shared" si="2"/>
        <v xml:space="preserve">Belum lengkap (6)</v>
      </c>
      <c r="Q26" s="18" t="str">
        <f t="shared" si="3"/>
        <v/>
      </c>
      <c r="R26" s="18" t="str">
        <f>IF(INDEX(Korpus!$B:$B,$A26)="","",INDEX(Korpus!$B:$B,$A26))</f>
        <v xml:space="preserve">D. Penutup</v>
      </c>
      <c r="S26" s="18" t="str">
        <f>IF(INDEX(Korpus!$C:$C,$A26)="","",INDEX(Korpus!$C:$C,$A26))</f>
        <v/>
      </c>
    </row>
    <row r="27" ht="60" hidden="1" customHeight="1">
      <c r="A27" s="16">
        <v>27</v>
      </c>
      <c r="B27" s="17" t="str">
        <f>IF(Petunjuk!$C$4="","",Petunjuk!$C$4)</f>
        <v>Fenny</v>
      </c>
      <c r="C27" s="18" t="str">
        <f>IF(INDEX(Korpus!$A:$A,$A27)="","",INDEX(Korpus!$A:$A,$A27))</f>
        <v xml:space="preserve">UU 23 Thn 2002 (Perlindungan Anak)</v>
      </c>
      <c r="D27" s="18" t="str">
        <f>TRIM(INDEX(Korpus!$D:$D,$A27)&amp;" "&amp;INDEX(Korpus!$E:$E,$A27))</f>
        <v xml:space="preserve">Pasal 27</v>
      </c>
      <c r="E27" s="18"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9"/>
      <c r="G27" s="19"/>
      <c r="H27" s="19"/>
      <c r="I27" s="19"/>
      <c r="J27" s="19"/>
      <c r="K27" s="19"/>
      <c r="L27" s="19"/>
      <c r="M27" s="20"/>
      <c r="N27" s="20"/>
      <c r="O27" s="16"/>
      <c r="P27" s="18" t="str">
        <f t="shared" si="2"/>
        <v xml:space="preserve">Belum lengkap (6)</v>
      </c>
      <c r="Q27" s="18" t="str">
        <f t="shared" si="3"/>
        <v/>
      </c>
      <c r="R27" s="18" t="str">
        <f>IF(INDEX(Korpus!$B:$B,$A27)="","",INDEX(Korpus!$B:$B,$A27))</f>
        <v xml:space="preserve">BAB V
KEDUDUKAN ANAK</v>
      </c>
      <c r="S27" s="18" t="str">
        <f>IF(INDEX(Korpus!$C:$C,$A27)="","",INDEX(Korpus!$C:$C,$A27))</f>
        <v xml:space="preserve">Bagian Kesatu
Identitas Anak</v>
      </c>
    </row>
    <row r="28" ht="60" hidden="1" customHeight="1">
      <c r="A28" s="16">
        <v>28</v>
      </c>
      <c r="B28" s="17" t="str">
        <f>IF(Petunjuk!$C$4="","",Petunjuk!$C$4)</f>
        <v>Fenny</v>
      </c>
      <c r="C28" s="18" t="str">
        <f>IF(INDEX(Korpus!$A:$A,$A28)="","",INDEX(Korpus!$A:$A,$A28))</f>
        <v xml:space="preserve">UU 27 Thn 2022 (PDP)</v>
      </c>
      <c r="D28" s="18" t="str">
        <f>TRIM(INDEX(Korpus!$D:$D,$A28)&amp;" "&amp;INDEX(Korpus!$E:$E,$A28))</f>
        <v xml:space="preserve">Pasal 1</v>
      </c>
      <c r="E28" s="18"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9"/>
      <c r="G28" s="19"/>
      <c r="H28" s="19"/>
      <c r="I28" s="19"/>
      <c r="J28" s="19"/>
      <c r="K28" s="19"/>
      <c r="L28" s="19"/>
      <c r="M28" s="20"/>
      <c r="N28" s="20"/>
      <c r="O28" s="16"/>
      <c r="P28" s="18" t="str">
        <f t="shared" si="2"/>
        <v xml:space="preserve">Belum lengkap (6)</v>
      </c>
      <c r="Q28" s="18" t="str">
        <f t="shared" si="3"/>
        <v/>
      </c>
      <c r="R28" s="18" t="str">
        <f>IF(INDEX(Korpus!$B:$B,$A28)="","",INDEX(Korpus!$B:$B,$A28))</f>
        <v xml:space="preserve">BAB I
KETENTUAN UMUM</v>
      </c>
      <c r="S28" s="18" t="str">
        <f>IF(INDEX(Korpus!$C:$C,$A28)="","",INDEX(Korpus!$C:$C,$A28))</f>
        <v/>
      </c>
    </row>
    <row r="29" ht="60" hidden="1" customHeight="1">
      <c r="A29" s="16">
        <v>29</v>
      </c>
      <c r="B29" s="17" t="str">
        <f>IF(Petunjuk!$C$4="","",Petunjuk!$C$4)</f>
        <v>Fenny</v>
      </c>
      <c r="C29" s="18" t="str">
        <f>IF(INDEX(Korpus!$A:$A,$A29)="","",INDEX(Korpus!$A:$A,$A29))</f>
        <v xml:space="preserve">UU 27 Thn 2022 (PDP)</v>
      </c>
      <c r="D29" s="18" t="str">
        <f>TRIM(INDEX(Korpus!$D:$D,$A29)&amp;" "&amp;INDEX(Korpus!$E:$E,$A29))</f>
        <v xml:space="preserve">Pasal 2</v>
      </c>
      <c r="E29" s="18"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9"/>
      <c r="G29" s="19"/>
      <c r="H29" s="19"/>
      <c r="I29" s="19"/>
      <c r="J29" s="19"/>
      <c r="K29" s="19"/>
      <c r="L29" s="19"/>
      <c r="M29" s="20"/>
      <c r="N29" s="20"/>
      <c r="O29" s="16"/>
      <c r="P29" s="18" t="str">
        <f t="shared" si="2"/>
        <v xml:space="preserve">Belum lengkap (6)</v>
      </c>
      <c r="Q29" s="18" t="str">
        <f t="shared" si="3"/>
        <v/>
      </c>
      <c r="R29" s="18" t="str">
        <f>IF(INDEX(Korpus!$B:$B,$A29)="","",INDEX(Korpus!$B:$B,$A29))</f>
        <v xml:space="preserve">BAB I
KETENTUAN UMUM</v>
      </c>
      <c r="S29" s="18" t="str">
        <f>IF(INDEX(Korpus!$C:$C,$A29)="","",INDEX(Korpus!$C:$C,$A29))</f>
        <v/>
      </c>
    </row>
    <row r="30" ht="60" customHeight="1">
      <c r="A30" s="16">
        <v>30</v>
      </c>
      <c r="B30" s="17" t="str">
        <f>IF(Petunjuk!$C$4="","",Petunjuk!$C$4)</f>
        <v>Fenny</v>
      </c>
      <c r="C30" s="18" t="str">
        <f>IF(INDEX(Korpus!$A:$A,$A30)="","",INDEX(Korpus!$A:$A,$A30))</f>
        <v xml:space="preserve">UU 27 Thn 2022 (PDP)</v>
      </c>
      <c r="D30" s="18" t="str">
        <f>TRIM(INDEX(Korpus!$D:$D,$A30)&amp;" "&amp;INDEX(Korpus!$E:$E,$A30))</f>
        <v xml:space="preserve">Pasal 3</v>
      </c>
      <c r="E30" s="18" t="str">
        <f>IF(INDEX(Korpus!$F:$F,$A30)="","",INDEX(Korpus!$F:$F,$A30))</f>
        <v xml:space="preserve">a. perlindungan; b. kepastian hukum; c. kepentingan umum; d. Kemanfaatan; e. Kehati-hatian; f. Keseimbangan; g. Pertanggungjawaban; dan h. kerahasiaan.</v>
      </c>
      <c r="F30" s="19"/>
      <c r="G30" s="19"/>
      <c r="H30" s="19"/>
      <c r="I30" s="19"/>
      <c r="J30" s="19"/>
      <c r="K30" s="19"/>
      <c r="L30" s="19"/>
      <c r="M30" s="20"/>
      <c r="N30" s="20"/>
      <c r="O30" s="16" t="s">
        <v>65</v>
      </c>
      <c r="P30" s="18" t="str">
        <f t="shared" si="2"/>
        <v xml:space="preserve">Belum lengkap (6)</v>
      </c>
      <c r="Q30" s="18" t="str">
        <f t="shared" si="3"/>
        <v/>
      </c>
      <c r="R30" s="18" t="str">
        <f>IF(INDEX(Korpus!$B:$B,$A30)="","",INDEX(Korpus!$B:$B,$A30))</f>
        <v xml:space="preserve">BAB II
ASAS</v>
      </c>
      <c r="S30" s="18" t="str">
        <f>IF(INDEX(Korpus!$C:$C,$A30)="","",INDEX(Korpus!$C:$C,$A30))</f>
        <v/>
      </c>
    </row>
    <row r="31" ht="60" hidden="1" customHeight="1">
      <c r="A31" s="16">
        <v>31</v>
      </c>
      <c r="B31" s="17" t="str">
        <f>IF(Petunjuk!$C$4="","",Petunjuk!$C$4)</f>
        <v>Fenny</v>
      </c>
      <c r="C31" s="18" t="str">
        <f>IF(INDEX(Korpus!$A:$A,$A31)="","",INDEX(Korpus!$A:$A,$A31))</f>
        <v xml:space="preserve">UU 27 Thn 2022 (PDP)</v>
      </c>
      <c r="D31" s="18" t="str">
        <f>TRIM(INDEX(Korpus!$D:$D,$A31)&amp;" "&amp;INDEX(Korpus!$E:$E,$A31))</f>
        <v xml:space="preserve">Pasal 4</v>
      </c>
      <c r="E31" s="18"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9"/>
      <c r="G31" s="19"/>
      <c r="H31" s="19"/>
      <c r="I31" s="19"/>
      <c r="J31" s="19"/>
      <c r="K31" s="19"/>
      <c r="L31" s="19"/>
      <c r="M31" s="20"/>
      <c r="N31" s="20"/>
      <c r="O31" s="16"/>
      <c r="P31" s="18" t="str">
        <f t="shared" si="2"/>
        <v xml:space="preserve">Belum lengkap (6)</v>
      </c>
      <c r="Q31" s="18" t="str">
        <f t="shared" si="3"/>
        <v/>
      </c>
      <c r="R31" s="18" t="str">
        <f>IF(INDEX(Korpus!$B:$B,$A31)="","",INDEX(Korpus!$B:$B,$A31))</f>
        <v xml:space="preserve">BAB III
JENIS DATA PRIBADI</v>
      </c>
      <c r="S31" s="18" t="str">
        <f>IF(INDEX(Korpus!$C:$C,$A31)="","",INDEX(Korpus!$C:$C,$A31))</f>
        <v/>
      </c>
    </row>
    <row r="32" ht="60" hidden="1" customHeight="1">
      <c r="A32" s="16">
        <v>32</v>
      </c>
      <c r="B32" s="17" t="str">
        <f>IF(Petunjuk!$C$4="","",Petunjuk!$C$4)</f>
        <v>Fenny</v>
      </c>
      <c r="C32" s="18" t="str">
        <f>IF(INDEX(Korpus!$A:$A,$A32)="","",INDEX(Korpus!$A:$A,$A32))</f>
        <v xml:space="preserve">UU 27 Thn 2022 (PDP)</v>
      </c>
      <c r="D32" s="18" t="str">
        <f>TRIM(INDEX(Korpus!$D:$D,$A32)&amp;" "&amp;INDEX(Korpus!$E:$E,$A32))</f>
        <v xml:space="preserve">Pasal 5</v>
      </c>
      <c r="E32" s="18" t="str">
        <f>IF(INDEX(Korpus!$F:$F,$A32)="","",INDEX(Korpus!$F:$F,$A32))</f>
        <v xml:space="preserve">Subjek Data Pribadi berhak mendapatkan Informasi tentang kejelasan identitas, dasar kepentingan hukum, tujuan permintaan dan penggunaan Data Pribadi, dan akuntabilitas pihak yang meminta Data Pribadi.</v>
      </c>
      <c r="F32" s="19"/>
      <c r="G32" s="19"/>
      <c r="H32" s="19"/>
      <c r="I32" s="19"/>
      <c r="J32" s="19"/>
      <c r="K32" s="19"/>
      <c r="L32" s="19"/>
      <c r="M32" s="20"/>
      <c r="N32" s="20"/>
      <c r="O32" s="16"/>
      <c r="P32" s="18" t="str">
        <f t="shared" si="2"/>
        <v xml:space="preserve">Belum lengkap (6)</v>
      </c>
      <c r="Q32" s="18" t="str">
        <f t="shared" si="3"/>
        <v/>
      </c>
      <c r="R32" s="18" t="str">
        <f>IF(INDEX(Korpus!$B:$B,$A32)="","",INDEX(Korpus!$B:$B,$A32))</f>
        <v xml:space="preserve">BAB IV
HAK SUBJEK DATA PRIBADI</v>
      </c>
      <c r="S32" s="18" t="str">
        <f>IF(INDEX(Korpus!$C:$C,$A32)="","",INDEX(Korpus!$C:$C,$A32))</f>
        <v/>
      </c>
    </row>
    <row r="33" ht="60" hidden="1" customHeight="1">
      <c r="A33" s="16">
        <v>33</v>
      </c>
      <c r="B33" s="17" t="str">
        <f>IF(Petunjuk!$C$4="","",Petunjuk!$C$4)</f>
        <v>Fenny</v>
      </c>
      <c r="C33" s="18" t="str">
        <f>IF(INDEX(Korpus!$A:$A,$A33)="","",INDEX(Korpus!$A:$A,$A33))</f>
        <v xml:space="preserve">UU 27 Thn 2022 (PDP)</v>
      </c>
      <c r="D33" s="18" t="str">
        <f>TRIM(INDEX(Korpus!$D:$D,$A33)&amp;" "&amp;INDEX(Korpus!$E:$E,$A33))</f>
        <v xml:space="preserve">Pasal 6</v>
      </c>
      <c r="E33" s="18" t="str">
        <f>IF(INDEX(Korpus!$F:$F,$A33)="","",INDEX(Korpus!$F:$F,$A33))</f>
        <v xml:space="preserve">Subjek Data Pribadi berhak melengkapi, memperbarui, dan/atau memperbaiki kesalahan dan/atau ketidakakuratan Data Pribadi tentang dirinya sesuai dengan tujuan pemrosesan Data Pribadi.</v>
      </c>
      <c r="F33" s="19"/>
      <c r="G33" s="19"/>
      <c r="H33" s="19"/>
      <c r="I33" s="19"/>
      <c r="J33" s="19"/>
      <c r="K33" s="19"/>
      <c r="L33" s="19"/>
      <c r="M33" s="20"/>
      <c r="N33" s="20"/>
      <c r="O33" s="16"/>
      <c r="P33" s="18" t="str">
        <f t="shared" si="2"/>
        <v xml:space="preserve">Belum lengkap (6)</v>
      </c>
      <c r="Q33" s="18" t="str">
        <f t="shared" si="3"/>
        <v/>
      </c>
      <c r="R33" s="18" t="str">
        <f>IF(INDEX(Korpus!$B:$B,$A33)="","",INDEX(Korpus!$B:$B,$A33))</f>
        <v xml:space="preserve">BAB IV
HAK SUBJEK DATA PRIBADI</v>
      </c>
      <c r="S33" s="18" t="str">
        <f>IF(INDEX(Korpus!$C:$C,$A33)="","",INDEX(Korpus!$C:$C,$A33))</f>
        <v/>
      </c>
    </row>
    <row r="34" ht="60" hidden="1" customHeight="1">
      <c r="A34" s="16">
        <v>34</v>
      </c>
      <c r="B34" s="17" t="str">
        <f>IF(Petunjuk!$C$4="","",Petunjuk!$C$4)</f>
        <v>Fenny</v>
      </c>
      <c r="C34" s="18" t="str">
        <f>IF(INDEX(Korpus!$A:$A,$A34)="","",INDEX(Korpus!$A:$A,$A34))</f>
        <v xml:space="preserve">UU 27 Thn 2022 (PDP)</v>
      </c>
      <c r="D34" s="18" t="str">
        <f>TRIM(INDEX(Korpus!$D:$D,$A34)&amp;" "&amp;INDEX(Korpus!$E:$E,$A34))</f>
        <v xml:space="preserve">Pasal 7</v>
      </c>
      <c r="E34" s="18" t="str">
        <f>IF(INDEX(Korpus!$F:$F,$A34)="","",INDEX(Korpus!$F:$F,$A34))</f>
        <v xml:space="preserve">Subjek Data Pribadi berhak mendapatkan akses dan memperoleh salinan Data Pribadi tentang dirinya sesuai dengan ketentuan peraturan perundang-undangan.</v>
      </c>
      <c r="F34" s="19"/>
      <c r="G34" s="19"/>
      <c r="H34" s="19"/>
      <c r="I34" s="19"/>
      <c r="J34" s="19"/>
      <c r="K34" s="19"/>
      <c r="L34" s="19"/>
      <c r="M34" s="20"/>
      <c r="N34" s="20"/>
      <c r="O34" s="16"/>
      <c r="P34" s="18" t="str">
        <f t="shared" si="2"/>
        <v xml:space="preserve">Belum lengkap (6)</v>
      </c>
      <c r="Q34" s="18" t="str">
        <f t="shared" si="3"/>
        <v/>
      </c>
      <c r="R34" s="18" t="str">
        <f>IF(INDEX(Korpus!$B:$B,$A34)="","",INDEX(Korpus!$B:$B,$A34))</f>
        <v xml:space="preserve">BAB IV
HAK SUBJEK DATA PRIBADI</v>
      </c>
      <c r="S34" s="18" t="str">
        <f>IF(INDEX(Korpus!$C:$C,$A34)="","",INDEX(Korpus!$C:$C,$A34))</f>
        <v/>
      </c>
    </row>
    <row r="35" ht="60" customHeight="1">
      <c r="A35" s="16">
        <v>35</v>
      </c>
      <c r="B35" s="17" t="str">
        <f>IF(Petunjuk!$C$4="","",Petunjuk!$C$4)</f>
        <v>Fenny</v>
      </c>
      <c r="C35" s="18" t="str">
        <f>IF(INDEX(Korpus!$A:$A,$A35)="","",INDEX(Korpus!$A:$A,$A35))</f>
        <v xml:space="preserve">UU 27 Thn 2022 (PDP)</v>
      </c>
      <c r="D35" s="18" t="str">
        <f>TRIM(INDEX(Korpus!$D:$D,$A35)&amp;" "&amp;INDEX(Korpus!$E:$E,$A35))</f>
        <v xml:space="preserve">Pasal 8</v>
      </c>
      <c r="E35" s="18" t="str">
        <f>IF(INDEX(Korpus!$F:$F,$A35)="","",INDEX(Korpus!$F:$F,$A35))</f>
        <v xml:space="preserve">Subjek Data Pribadi berhak untuk mengakhiri pemrosesan, menghapus, dan/ atau memusnahkan Data Pribadi tentang dirinya sesuai dengan ketentuan peraturan perundang-undangan.</v>
      </c>
      <c r="F35" s="19" t="s">
        <v>70</v>
      </c>
      <c r="G35" s="19"/>
      <c r="H35" s="19"/>
      <c r="I35" s="19" t="s">
        <v>63</v>
      </c>
      <c r="J35" s="19" t="s">
        <v>71</v>
      </c>
      <c r="K35" s="19" t="s">
        <v>72</v>
      </c>
      <c r="L35" s="19"/>
      <c r="M35" s="20"/>
      <c r="N35" s="20"/>
      <c r="O35" s="16" t="s">
        <v>65</v>
      </c>
      <c r="P35" s="18" t="str">
        <f t="shared" si="2"/>
        <v xml:space="preserve">Belum lengkap (2)</v>
      </c>
      <c r="Q35" s="18" t="str">
        <f t="shared" si="3"/>
        <v/>
      </c>
      <c r="R35" s="18" t="str">
        <f>IF(INDEX(Korpus!$B:$B,$A35)="","",INDEX(Korpus!$B:$B,$A35))</f>
        <v xml:space="preserve">BAB IV
HAK SUBJEK DATA PRIBADI</v>
      </c>
      <c r="S35" s="18" t="str">
        <f>IF(INDEX(Korpus!$C:$C,$A35)="","",INDEX(Korpus!$C:$C,$A35))</f>
        <v/>
      </c>
    </row>
    <row r="36" ht="60" hidden="1" customHeight="1">
      <c r="A36" s="16">
        <v>36</v>
      </c>
      <c r="B36" s="17" t="str">
        <f>IF(Petunjuk!$C$4="","",Petunjuk!$C$4)</f>
        <v>Fenny</v>
      </c>
      <c r="C36" s="18" t="str">
        <f>IF(INDEX(Korpus!$A:$A,$A36)="","",INDEX(Korpus!$A:$A,$A36))</f>
        <v xml:space="preserve">UU 27 Thn 2022 (PDP)</v>
      </c>
      <c r="D36" s="18" t="str">
        <f>TRIM(INDEX(Korpus!$D:$D,$A36)&amp;" "&amp;INDEX(Korpus!$E:$E,$A36))</f>
        <v xml:space="preserve">Pasal 9</v>
      </c>
      <c r="E36" s="18" t="str">
        <f>IF(INDEX(Korpus!$F:$F,$A36)="","",INDEX(Korpus!$F:$F,$A36))</f>
        <v xml:space="preserve">Subjek Data Pribadi berhak menarik kembali persetujuan pemrosesan Data Pribadi tentang dirinya yang telah diberikan kepada Pengendali Data Pribadi.</v>
      </c>
      <c r="F36" s="19"/>
      <c r="G36" s="19"/>
      <c r="H36" s="19"/>
      <c r="I36" s="19"/>
      <c r="J36" s="19"/>
      <c r="K36" s="19"/>
      <c r="L36" s="19"/>
      <c r="M36" s="20"/>
      <c r="N36" s="20"/>
      <c r="O36" s="16"/>
      <c r="P36" s="18" t="str">
        <f t="shared" si="2"/>
        <v xml:space="preserve">Belum lengkap (6)</v>
      </c>
      <c r="Q36" s="18" t="str">
        <f t="shared" si="3"/>
        <v/>
      </c>
      <c r="R36" s="18" t="str">
        <f>IF(INDEX(Korpus!$B:$B,$A36)="","",INDEX(Korpus!$B:$B,$A36))</f>
        <v xml:space="preserve">BAB IV
HAK SUBJEK DATA PRIBADI</v>
      </c>
      <c r="S36" s="18" t="str">
        <f>IF(INDEX(Korpus!$C:$C,$A36)="","",INDEX(Korpus!$C:$C,$A36))</f>
        <v/>
      </c>
    </row>
    <row r="37" ht="60" hidden="1" customHeight="1">
      <c r="A37" s="16">
        <v>37</v>
      </c>
      <c r="B37" s="17" t="str">
        <f>IF(Petunjuk!$C$4="","",Petunjuk!$C$4)</f>
        <v>Fenny</v>
      </c>
      <c r="C37" s="18" t="str">
        <f>IF(INDEX(Korpus!$A:$A,$A37)="","",INDEX(Korpus!$A:$A,$A37))</f>
        <v xml:space="preserve">UU 27 Thn 2022 (PDP)</v>
      </c>
      <c r="D37" s="18" t="str">
        <f>TRIM(INDEX(Korpus!$D:$D,$A37)&amp;" "&amp;INDEX(Korpus!$E:$E,$A37))</f>
        <v xml:space="preserve">Pasal 10</v>
      </c>
      <c r="E37" s="18"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9"/>
      <c r="G37" s="19"/>
      <c r="H37" s="19"/>
      <c r="I37" s="19"/>
      <c r="J37" s="19"/>
      <c r="K37" s="19"/>
      <c r="L37" s="19"/>
      <c r="M37" s="20"/>
      <c r="N37" s="20"/>
      <c r="O37" s="16"/>
      <c r="P37" s="18" t="str">
        <f t="shared" si="2"/>
        <v xml:space="preserve">Belum lengkap (6)</v>
      </c>
      <c r="Q37" s="18" t="str">
        <f t="shared" si="3"/>
        <v/>
      </c>
      <c r="R37" s="18" t="str">
        <f>IF(INDEX(Korpus!$B:$B,$A37)="","",INDEX(Korpus!$B:$B,$A37))</f>
        <v xml:space="preserve">BAB IV
HAK SUBJEK DATA PRIBADI</v>
      </c>
      <c r="S37" s="18" t="str">
        <f>IF(INDEX(Korpus!$C:$C,$A37)="","",INDEX(Korpus!$C:$C,$A37))</f>
        <v/>
      </c>
    </row>
    <row r="38" ht="60" hidden="1" customHeight="1">
      <c r="A38" s="16">
        <v>38</v>
      </c>
      <c r="B38" s="17" t="str">
        <f>IF(Petunjuk!$C$4="","",Petunjuk!$C$4)</f>
        <v>Fenny</v>
      </c>
      <c r="C38" s="18" t="str">
        <f>IF(INDEX(Korpus!$A:$A,$A38)="","",INDEX(Korpus!$A:$A,$A38))</f>
        <v xml:space="preserve">UU 27 Thn 2022 (PDP)</v>
      </c>
      <c r="D38" s="18" t="str">
        <f>TRIM(INDEX(Korpus!$D:$D,$A38)&amp;" "&amp;INDEX(Korpus!$E:$E,$A38))</f>
        <v xml:space="preserve">Pasal 11</v>
      </c>
      <c r="E38" s="18" t="str">
        <f>IF(INDEX(Korpus!$F:$F,$A38)="","",INDEX(Korpus!$F:$F,$A38))</f>
        <v xml:space="preserve">Subjek Data Pribadi berhak menunda atau membatasi pemrosesan Data Pribadi secara proporsional sesuai dengan tujuan pemrosesan Data Pribadi.</v>
      </c>
      <c r="F38" s="19"/>
      <c r="G38" s="19"/>
      <c r="H38" s="19"/>
      <c r="I38" s="19"/>
      <c r="J38" s="19"/>
      <c r="K38" s="19"/>
      <c r="L38" s="19"/>
      <c r="M38" s="20"/>
      <c r="N38" s="20"/>
      <c r="O38" s="16"/>
      <c r="P38" s="18" t="str">
        <f t="shared" si="2"/>
        <v xml:space="preserve">Belum lengkap (6)</v>
      </c>
      <c r="Q38" s="18" t="str">
        <f t="shared" si="3"/>
        <v/>
      </c>
      <c r="R38" s="18" t="str">
        <f>IF(INDEX(Korpus!$B:$B,$A38)="","",INDEX(Korpus!$B:$B,$A38))</f>
        <v xml:space="preserve">BAB IV
HAK SUBJEK DATA PRIBADI</v>
      </c>
      <c r="S38" s="18" t="str">
        <f>IF(INDEX(Korpus!$C:$C,$A38)="","",INDEX(Korpus!$C:$C,$A38))</f>
        <v/>
      </c>
    </row>
    <row r="39" ht="60" hidden="1" customHeight="1">
      <c r="A39" s="16">
        <v>39</v>
      </c>
      <c r="B39" s="17" t="str">
        <f>IF(Petunjuk!$C$4="","",Petunjuk!$C$4)</f>
        <v>Fenny</v>
      </c>
      <c r="C39" s="18" t="str">
        <f>IF(INDEX(Korpus!$A:$A,$A39)="","",INDEX(Korpus!$A:$A,$A39))</f>
        <v xml:space="preserve">UU 27 Thn 2022 (PDP)</v>
      </c>
      <c r="D39" s="18" t="str">
        <f>TRIM(INDEX(Korpus!$D:$D,$A39)&amp;" "&amp;INDEX(Korpus!$E:$E,$A39))</f>
        <v xml:space="preserve">Pasal 12</v>
      </c>
      <c r="E39" s="18"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9"/>
      <c r="G39" s="19"/>
      <c r="H39" s="19"/>
      <c r="I39" s="19"/>
      <c r="J39" s="19"/>
      <c r="K39" s="19"/>
      <c r="L39" s="19"/>
      <c r="M39" s="20"/>
      <c r="N39" s="20"/>
      <c r="O39" s="16"/>
      <c r="P39" s="18" t="str">
        <f t="shared" si="2"/>
        <v xml:space="preserve">Belum lengkap (6)</v>
      </c>
      <c r="Q39" s="18" t="str">
        <f t="shared" si="3"/>
        <v/>
      </c>
      <c r="R39" s="18" t="str">
        <f>IF(INDEX(Korpus!$B:$B,$A39)="","",INDEX(Korpus!$B:$B,$A39))</f>
        <v xml:space="preserve">BAB IV
HAK SUBJEK DATA PRIBADI</v>
      </c>
      <c r="S39" s="18" t="str">
        <f>IF(INDEX(Korpus!$C:$C,$A39)="","",INDEX(Korpus!$C:$C,$A39))</f>
        <v/>
      </c>
    </row>
    <row r="40" ht="60" hidden="1" customHeight="1">
      <c r="A40" s="16">
        <v>40</v>
      </c>
      <c r="B40" s="17" t="str">
        <f>IF(Petunjuk!$C$4="","",Petunjuk!$C$4)</f>
        <v>Fenny</v>
      </c>
      <c r="C40" s="18" t="str">
        <f>IF(INDEX(Korpus!$A:$A,$A40)="","",INDEX(Korpus!$A:$A,$A40))</f>
        <v xml:space="preserve">UU 27 Thn 2022 (PDP)</v>
      </c>
      <c r="D40" s="18" t="str">
        <f>TRIM(INDEX(Korpus!$D:$D,$A40)&amp;" "&amp;INDEX(Korpus!$E:$E,$A40))</f>
        <v xml:space="preserve">Pasal 13</v>
      </c>
      <c r="E40" s="18"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9"/>
      <c r="G40" s="19"/>
      <c r="H40" s="19"/>
      <c r="I40" s="19"/>
      <c r="J40" s="19"/>
      <c r="K40" s="19"/>
      <c r="L40" s="19"/>
      <c r="M40" s="20"/>
      <c r="N40" s="20"/>
      <c r="O40" s="16"/>
      <c r="P40" s="18" t="str">
        <f t="shared" si="2"/>
        <v xml:space="preserve">Belum lengkap (6)</v>
      </c>
      <c r="Q40" s="18" t="str">
        <f t="shared" si="3"/>
        <v/>
      </c>
      <c r="R40" s="18" t="str">
        <f>IF(INDEX(Korpus!$B:$B,$A40)="","",INDEX(Korpus!$B:$B,$A40))</f>
        <v xml:space="preserve">BAB IV
HAK SUBJEK DATA PRIBADI</v>
      </c>
      <c r="S40" s="18" t="str">
        <f>IF(INDEX(Korpus!$C:$C,$A40)="","",INDEX(Korpus!$C:$C,$A40))</f>
        <v/>
      </c>
    </row>
    <row r="41" ht="60" hidden="1" customHeight="1">
      <c r="A41" s="16">
        <v>41</v>
      </c>
      <c r="B41" s="17" t="str">
        <f>IF(Petunjuk!$C$4="","",Petunjuk!$C$4)</f>
        <v>Fenny</v>
      </c>
      <c r="C41" s="18" t="str">
        <f>IF(INDEX(Korpus!$A:$A,$A41)="","",INDEX(Korpus!$A:$A,$A41))</f>
        <v xml:space="preserve">UU 27 Thn 2022 (PDP)</v>
      </c>
      <c r="D41" s="18" t="str">
        <f>TRIM(INDEX(Korpus!$D:$D,$A41)&amp;" "&amp;INDEX(Korpus!$E:$E,$A41))</f>
        <v xml:space="preserve">Pasal 14</v>
      </c>
      <c r="E41" s="18"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9"/>
      <c r="G41" s="19"/>
      <c r="H41" s="19"/>
      <c r="I41" s="19"/>
      <c r="J41" s="19"/>
      <c r="K41" s="19"/>
      <c r="L41" s="19"/>
      <c r="M41" s="20"/>
      <c r="N41" s="20"/>
      <c r="O41" s="16"/>
      <c r="P41" s="18" t="str">
        <f t="shared" si="2"/>
        <v xml:space="preserve">Belum lengkap (6)</v>
      </c>
      <c r="Q41" s="18" t="str">
        <f t="shared" si="3"/>
        <v/>
      </c>
      <c r="R41" s="18" t="str">
        <f>IF(INDEX(Korpus!$B:$B,$A41)="","",INDEX(Korpus!$B:$B,$A41))</f>
        <v xml:space="preserve">BAB IV
HAK SUBJEK DATA PRIBADI</v>
      </c>
      <c r="S41" s="18" t="str">
        <f>IF(INDEX(Korpus!$C:$C,$A41)="","",INDEX(Korpus!$C:$C,$A41))</f>
        <v/>
      </c>
    </row>
    <row r="42" ht="60" customHeight="1">
      <c r="A42" s="16">
        <v>42</v>
      </c>
      <c r="B42" s="17" t="str">
        <f>IF(Petunjuk!$C$4="","",Petunjuk!$C$4)</f>
        <v>Fenny</v>
      </c>
      <c r="C42" s="18" t="str">
        <f>IF(INDEX(Korpus!$A:$A,$A42)="","",INDEX(Korpus!$A:$A,$A42))</f>
        <v xml:space="preserve">UU 27 Thn 2022 (PDP)</v>
      </c>
      <c r="D42" s="18" t="str">
        <f>TRIM(INDEX(Korpus!$D:$D,$A42)&amp;" "&amp;INDEX(Korpus!$E:$E,$A42))</f>
        <v xml:space="preserve">Pasal 15</v>
      </c>
      <c r="E42" s="18"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9" t="s">
        <v>62</v>
      </c>
      <c r="G42" s="19"/>
      <c r="H42" s="19"/>
      <c r="I42" s="19" t="s">
        <v>73</v>
      </c>
      <c r="J42" s="19" t="s">
        <v>74</v>
      </c>
      <c r="K42" s="19"/>
      <c r="L42" s="19"/>
      <c r="M42" s="20"/>
      <c r="N42" s="20"/>
      <c r="O42" s="16" t="s">
        <v>65</v>
      </c>
      <c r="P42" s="18" t="str">
        <f t="shared" si="2"/>
        <v xml:space="preserve">Belum lengkap (3)</v>
      </c>
      <c r="Q42" s="18" t="str">
        <f t="shared" si="3"/>
        <v/>
      </c>
      <c r="R42" s="18" t="str">
        <f>IF(INDEX(Korpus!$B:$B,$A42)="","",INDEX(Korpus!$B:$B,$A42))</f>
        <v xml:space="preserve">BAB IV
HAK SUBJEK DATA PRIBADI</v>
      </c>
      <c r="S42" s="18" t="str">
        <f>IF(INDEX(Korpus!$C:$C,$A42)="","",INDEX(Korpus!$C:$C,$A42))</f>
        <v/>
      </c>
    </row>
    <row r="43" ht="60" hidden="1" customHeight="1">
      <c r="A43" s="16">
        <v>43</v>
      </c>
      <c r="B43" s="17" t="str">
        <f>IF(Petunjuk!$C$4="","",Petunjuk!$C$4)</f>
        <v>Fenny</v>
      </c>
      <c r="C43" s="18" t="str">
        <f>IF(INDEX(Korpus!$A:$A,$A43)="","",INDEX(Korpus!$A:$A,$A43))</f>
        <v xml:space="preserve">UU 27 Thn 2022 (PDP)</v>
      </c>
      <c r="D43" s="18" t="str">
        <f>TRIM(INDEX(Korpus!$D:$D,$A43)&amp;" "&amp;INDEX(Korpus!$E:$E,$A43))</f>
        <v xml:space="preserve">Pasal 16</v>
      </c>
      <c r="E43" s="18"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9"/>
      <c r="G43" s="19"/>
      <c r="H43" s="19"/>
      <c r="I43" s="19"/>
      <c r="J43" s="19"/>
      <c r="K43" s="19"/>
      <c r="L43" s="19"/>
      <c r="M43" s="20"/>
      <c r="N43" s="20"/>
      <c r="O43" s="16"/>
      <c r="P43" s="18" t="str">
        <f t="shared" si="2"/>
        <v xml:space="preserve">Belum lengkap (6)</v>
      </c>
      <c r="Q43" s="18" t="str">
        <f t="shared" si="3"/>
        <v/>
      </c>
      <c r="R43" s="18" t="str">
        <f>IF(INDEX(Korpus!$B:$B,$A43)="","",INDEX(Korpus!$B:$B,$A43))</f>
        <v xml:space="preserve">BAB V
PEMROSESAN DATA PRIBADI</v>
      </c>
      <c r="S43" s="18" t="str">
        <f>IF(INDEX(Korpus!$C:$C,$A43)="","",INDEX(Korpus!$C:$C,$A43))</f>
        <v/>
      </c>
    </row>
    <row r="44" ht="60" customHeight="1">
      <c r="A44" s="16">
        <v>44</v>
      </c>
      <c r="B44" s="17" t="str">
        <f>IF(Petunjuk!$C$4="","",Petunjuk!$C$4)</f>
        <v>Fenny</v>
      </c>
      <c r="C44" s="18" t="str">
        <f>IF(INDEX(Korpus!$A:$A,$A44)="","",INDEX(Korpus!$A:$A,$A44))</f>
        <v xml:space="preserve">UU 27 Thn 2022 (PDP)</v>
      </c>
      <c r="D44" s="18" t="str">
        <f>TRIM(INDEX(Korpus!$D:$D,$A44)&amp;" "&amp;INDEX(Korpus!$E:$E,$A44))</f>
        <v xml:space="preserve">Pasal 17</v>
      </c>
      <c r="E44" s="18"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9" t="s">
        <v>75</v>
      </c>
      <c r="G44" s="19"/>
      <c r="H44" s="19"/>
      <c r="I44" s="19"/>
      <c r="J44" s="19" t="s">
        <v>74</v>
      </c>
      <c r="K44" s="19" t="s">
        <v>69</v>
      </c>
      <c r="L44" s="19"/>
      <c r="M44" s="20"/>
      <c r="N44" s="20"/>
      <c r="O44" s="16" t="s">
        <v>65</v>
      </c>
      <c r="P44" s="18" t="str">
        <f t="shared" si="2"/>
        <v xml:space="preserve">Belum lengkap (3)</v>
      </c>
      <c r="Q44" s="18" t="str">
        <f t="shared" si="3"/>
        <v/>
      </c>
      <c r="R44" s="18" t="str">
        <f>IF(INDEX(Korpus!$B:$B,$A44)="","",INDEX(Korpus!$B:$B,$A44))</f>
        <v xml:space="preserve">BAB V
PEMROSESAN DATA PRIBADI</v>
      </c>
      <c r="S44" s="18" t="str">
        <f>IF(INDEX(Korpus!$C:$C,$A44)="","",INDEX(Korpus!$C:$C,$A44))</f>
        <v/>
      </c>
    </row>
    <row r="45" ht="60" hidden="1" customHeight="1">
      <c r="A45" s="16">
        <v>45</v>
      </c>
      <c r="B45" s="17" t="str">
        <f>IF(Petunjuk!$C$4="","",Petunjuk!$C$4)</f>
        <v>Fenny</v>
      </c>
      <c r="C45" s="18" t="str">
        <f>IF(INDEX(Korpus!$A:$A,$A45)="","",INDEX(Korpus!$A:$A,$A45))</f>
        <v xml:space="preserve">UU 27 Thn 2022 (PDP)</v>
      </c>
      <c r="D45" s="18" t="str">
        <f>TRIM(INDEX(Korpus!$D:$D,$A45)&amp;" "&amp;INDEX(Korpus!$E:$E,$A45))</f>
        <v xml:space="preserve">Pasal 18</v>
      </c>
      <c r="E45" s="18"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9"/>
      <c r="G45" s="19"/>
      <c r="H45" s="19"/>
      <c r="I45" s="19"/>
      <c r="J45" s="19"/>
      <c r="K45" s="19"/>
      <c r="L45" s="19"/>
      <c r="M45" s="20"/>
      <c r="N45" s="20"/>
      <c r="O45" s="16"/>
      <c r="P45" s="18" t="str">
        <f t="shared" si="2"/>
        <v xml:space="preserve">Belum lengkap (6)</v>
      </c>
      <c r="Q45" s="18" t="str">
        <f t="shared" si="3"/>
        <v/>
      </c>
      <c r="R45" s="18" t="str">
        <f>IF(INDEX(Korpus!$B:$B,$A45)="","",INDEX(Korpus!$B:$B,$A45))</f>
        <v xml:space="preserve">BAB V
PEMROSESAN DATA PRIBADI</v>
      </c>
      <c r="S45" s="18" t="str">
        <f>IF(INDEX(Korpus!$C:$C,$A45)="","",INDEX(Korpus!$C:$C,$A45))</f>
        <v/>
      </c>
    </row>
    <row r="46" ht="60" hidden="1" customHeight="1">
      <c r="A46" s="16">
        <v>46</v>
      </c>
      <c r="B46" s="17" t="str">
        <f>IF(Petunjuk!$C$4="","",Petunjuk!$C$4)</f>
        <v>Fenny</v>
      </c>
      <c r="C46" s="18" t="str">
        <f>IF(INDEX(Korpus!$A:$A,$A46)="","",INDEX(Korpus!$A:$A,$A46))</f>
        <v xml:space="preserve">UU 27 Thn 2022 (PDP)</v>
      </c>
      <c r="D46" s="18" t="str">
        <f>TRIM(INDEX(Korpus!$D:$D,$A46)&amp;" "&amp;INDEX(Korpus!$E:$E,$A46))</f>
        <v xml:space="preserve">Pasal 19</v>
      </c>
      <c r="E46" s="18" t="str">
        <f>IF(INDEX(Korpus!$F:$F,$A46)="","",INDEX(Korpus!$F:$F,$A46))</f>
        <v xml:space="preserve">Pengendali Data Pribadi dan Prosesor Data Pribadi meliputi: a. Setiap Orang; b. Badan Publik; dan c. Organisasi Internasional.</v>
      </c>
      <c r="F46" s="19"/>
      <c r="G46" s="19"/>
      <c r="H46" s="19"/>
      <c r="I46" s="19"/>
      <c r="J46" s="19"/>
      <c r="K46" s="19"/>
      <c r="L46" s="19"/>
      <c r="M46" s="20"/>
      <c r="N46" s="20"/>
      <c r="O46" s="16"/>
      <c r="P46" s="18" t="str">
        <f t="shared" si="2"/>
        <v xml:space="preserve">Belum lengkap (6)</v>
      </c>
      <c r="Q46" s="18" t="str">
        <f t="shared" si="3"/>
        <v/>
      </c>
      <c r="R46" s="18" t="str">
        <f>IF(INDEX(Korpus!$B:$B,$A46)="","",INDEX(Korpus!$B:$B,$A46))</f>
        <v xml:space="preserve">BAB VI
KEWAJIBAN PENGENDALI DATA PRIBADI DAN PROSESOR DATA PRIBADI DALAM PEMROSESAN DATA PRIBADI</v>
      </c>
      <c r="S46" s="18" t="str">
        <f>IF(INDEX(Korpus!$C:$C,$A46)="","",INDEX(Korpus!$C:$C,$A46))</f>
        <v xml:space="preserve">Bagian Kesatu
Umum</v>
      </c>
    </row>
    <row r="47" ht="60" hidden="1" customHeight="1">
      <c r="A47" s="16">
        <v>47</v>
      </c>
      <c r="B47" s="17" t="str">
        <f>IF(Petunjuk!$C$4="","",Petunjuk!$C$4)</f>
        <v>Fenny</v>
      </c>
      <c r="C47" s="18" t="str">
        <f>IF(INDEX(Korpus!$A:$A,$A47)="","",INDEX(Korpus!$A:$A,$A47))</f>
        <v xml:space="preserve">UU 27 Thn 2022 (PDP)</v>
      </c>
      <c r="D47" s="18" t="str">
        <f>TRIM(INDEX(Korpus!$D:$D,$A47)&amp;" "&amp;INDEX(Korpus!$E:$E,$A47))</f>
        <v xml:space="preserve">Pasal 20</v>
      </c>
      <c r="E47" s="18"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9"/>
      <c r="G47" s="19"/>
      <c r="H47" s="19"/>
      <c r="I47" s="19"/>
      <c r="J47" s="19"/>
      <c r="K47" s="19"/>
      <c r="L47" s="19"/>
      <c r="M47" s="20"/>
      <c r="N47" s="20"/>
      <c r="O47" s="16"/>
      <c r="P47" s="18" t="str">
        <f t="shared" si="2"/>
        <v xml:space="preserve">Belum lengkap (6)</v>
      </c>
      <c r="Q47" s="18" t="str">
        <f t="shared" si="3"/>
        <v/>
      </c>
      <c r="R47" s="18" t="str">
        <f>IF(INDEX(Korpus!$B:$B,$A47)="","",INDEX(Korpus!$B:$B,$A47))</f>
        <v xml:space="preserve">BAB VI
KEWAJIBAN PENGENDALI DATA PRIBADI DAN PROSESOR DATA PRIBADI DALAM PEMROSESAN DATA PRIBADI</v>
      </c>
      <c r="S47" s="18" t="str">
        <f>IF(INDEX(Korpus!$C:$C,$A47)="","",INDEX(Korpus!$C:$C,$A47))</f>
        <v xml:space="preserve">Bagian Kedua Kewajiban Pengendali Data Pribadi</v>
      </c>
    </row>
    <row r="48" ht="60" hidden="1" customHeight="1">
      <c r="A48" s="16">
        <v>48</v>
      </c>
      <c r="B48" s="17" t="str">
        <f>IF(Petunjuk!$C$4="","",Petunjuk!$C$4)</f>
        <v>Fenny</v>
      </c>
      <c r="C48" s="18" t="str">
        <f>IF(INDEX(Korpus!$A:$A,$A48)="","",INDEX(Korpus!$A:$A,$A48))</f>
        <v xml:space="preserve">UU 27 Thn 2022 (PDP)</v>
      </c>
      <c r="D48" s="18" t="str">
        <f>TRIM(INDEX(Korpus!$D:$D,$A48)&amp;" "&amp;INDEX(Korpus!$E:$E,$A48))</f>
        <v xml:space="preserve">Pasal 21</v>
      </c>
      <c r="E48" s="18"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9"/>
      <c r="G48" s="19"/>
      <c r="H48" s="19"/>
      <c r="I48" s="19"/>
      <c r="J48" s="19"/>
      <c r="K48" s="19"/>
      <c r="L48" s="19"/>
      <c r="M48" s="20"/>
      <c r="N48" s="20"/>
      <c r="O48" s="16"/>
      <c r="P48" s="18" t="str">
        <f t="shared" si="2"/>
        <v xml:space="preserve">Belum lengkap (6)</v>
      </c>
      <c r="Q48" s="18" t="str">
        <f t="shared" si="3"/>
        <v/>
      </c>
      <c r="R48" s="18" t="str">
        <f>IF(INDEX(Korpus!$B:$B,$A48)="","",INDEX(Korpus!$B:$B,$A48))</f>
        <v xml:space="preserve">BAB VI
KEWAJIBAN PENGENDALI DATA PRIBADI DAN PROSESOR DATA PRIBADI DALAM PEMROSESAN DATA PRIBADI</v>
      </c>
      <c r="S48" s="18" t="str">
        <f>IF(INDEX(Korpus!$C:$C,$A48)="","",INDEX(Korpus!$C:$C,$A48))</f>
        <v xml:space="preserve">Bagian Kedua Kewajiban Pengendali Data Pribadi</v>
      </c>
    </row>
    <row r="49" ht="60" hidden="1" customHeight="1">
      <c r="A49" s="16">
        <v>49</v>
      </c>
      <c r="B49" s="17" t="str">
        <f>IF(Petunjuk!$C$4="","",Petunjuk!$C$4)</f>
        <v>Fenny</v>
      </c>
      <c r="C49" s="18" t="str">
        <f>IF(INDEX(Korpus!$A:$A,$A49)="","",INDEX(Korpus!$A:$A,$A49))</f>
        <v xml:space="preserve">UU 27 Thn 2022 (PDP)</v>
      </c>
      <c r="D49" s="18" t="str">
        <f>TRIM(INDEX(Korpus!$D:$D,$A49)&amp;" "&amp;INDEX(Korpus!$E:$E,$A49))</f>
        <v xml:space="preserve">Pasal 22</v>
      </c>
      <c r="E49" s="18"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9"/>
      <c r="G49" s="19"/>
      <c r="H49" s="19"/>
      <c r="I49" s="19"/>
      <c r="J49" s="19"/>
      <c r="K49" s="19"/>
      <c r="L49" s="19"/>
      <c r="M49" s="20"/>
      <c r="N49" s="20"/>
      <c r="O49" s="16"/>
      <c r="P49" s="18" t="str">
        <f t="shared" si="2"/>
        <v xml:space="preserve">Belum lengkap (6)</v>
      </c>
      <c r="Q49" s="18" t="str">
        <f t="shared" si="3"/>
        <v/>
      </c>
      <c r="R49" s="18" t="str">
        <f>IF(INDEX(Korpus!$B:$B,$A49)="","",INDEX(Korpus!$B:$B,$A49))</f>
        <v xml:space="preserve">BAB VI
KEWAJIBAN PENGENDALI DATA PRIBADI DAN PROSESOR DATA PRIBADI DALAM PEMROSESAN DATA PRIBADI</v>
      </c>
      <c r="S49" s="18" t="str">
        <f>IF(INDEX(Korpus!$C:$C,$A49)="","",INDEX(Korpus!$C:$C,$A49))</f>
        <v xml:space="preserve">Bagian Kedua Kewajiban Pengendali Data Pribadi</v>
      </c>
    </row>
    <row r="50" ht="60" hidden="1" customHeight="1">
      <c r="A50" s="16">
        <v>50</v>
      </c>
      <c r="B50" s="17" t="str">
        <f>IF(Petunjuk!$C$4="","",Petunjuk!$C$4)</f>
        <v>Fenny</v>
      </c>
      <c r="C50" s="18" t="str">
        <f>IF(INDEX(Korpus!$A:$A,$A50)="","",INDEX(Korpus!$A:$A,$A50))</f>
        <v xml:space="preserve">UU 27 Thn 2022 (PDP)</v>
      </c>
      <c r="D50" s="18" t="str">
        <f>TRIM(INDEX(Korpus!$D:$D,$A50)&amp;" "&amp;INDEX(Korpus!$E:$E,$A50))</f>
        <v xml:space="preserve">Pasal 23</v>
      </c>
      <c r="E50" s="18" t="str">
        <f>IF(INDEX(Korpus!$F:$F,$A50)="","",INDEX(Korpus!$F:$F,$A50))</f>
        <v xml:space="preserve">Klausul perjanjian yang di dalamnya terdapat permintaan pemrosesan Data Pribadi yang tidak memuat persetujuan yang sah secara eksplisit dari Subjek Data Pribadi dinyatakan batal demi hukum.</v>
      </c>
      <c r="F50" s="19"/>
      <c r="G50" s="19"/>
      <c r="H50" s="19"/>
      <c r="I50" s="19"/>
      <c r="J50" s="19"/>
      <c r="K50" s="19"/>
      <c r="L50" s="19"/>
      <c r="M50" s="20"/>
      <c r="N50" s="20"/>
      <c r="O50" s="16"/>
      <c r="P50" s="18" t="str">
        <f t="shared" si="2"/>
        <v xml:space="preserve">Belum lengkap (6)</v>
      </c>
      <c r="Q50" s="18" t="str">
        <f t="shared" si="3"/>
        <v/>
      </c>
      <c r="R50" s="18" t="str">
        <f>IF(INDEX(Korpus!$B:$B,$A50)="","",INDEX(Korpus!$B:$B,$A50))</f>
        <v xml:space="preserve">BAB VI
KEWAJIBAN PENGENDALI DATA PRIBADI DAN PROSESOR DATA PRIBADI DALAM PEMROSESAN DATA PRIBADI</v>
      </c>
      <c r="S50" s="18" t="str">
        <f>IF(INDEX(Korpus!$C:$C,$A50)="","",INDEX(Korpus!$C:$C,$A50))</f>
        <v xml:space="preserve">Bagian Kedua Kewajiban Pengendali Data Pribadi</v>
      </c>
    </row>
    <row r="51" ht="60" hidden="1" customHeight="1">
      <c r="A51" s="16">
        <v>51</v>
      </c>
      <c r="B51" s="17" t="str">
        <f>IF(Petunjuk!$C$4="","",Petunjuk!$C$4)</f>
        <v>Fenny</v>
      </c>
      <c r="C51" s="18" t="str">
        <f>IF(INDEX(Korpus!$A:$A,$A51)="","",INDEX(Korpus!$A:$A,$A51))</f>
        <v xml:space="preserve">UU 27 Thn 2022 (PDP)</v>
      </c>
      <c r="D51" s="18" t="str">
        <f>TRIM(INDEX(Korpus!$D:$D,$A51)&amp;" "&amp;INDEX(Korpus!$E:$E,$A51))</f>
        <v xml:space="preserve">Pasal 24</v>
      </c>
      <c r="E51" s="18" t="str">
        <f>IF(INDEX(Korpus!$F:$F,$A51)="","",INDEX(Korpus!$F:$F,$A51))</f>
        <v xml:space="preserve">Dalam melakukan pemrosesan Data Pribadi, Pengendali Data Pribadi wajib menunjukkan bukti persetujuan yang telah diberikan oleh Subjek Data Pribadi.</v>
      </c>
      <c r="F51" s="19"/>
      <c r="G51" s="19"/>
      <c r="H51" s="19"/>
      <c r="I51" s="19"/>
      <c r="J51" s="19"/>
      <c r="K51" s="19"/>
      <c r="L51" s="19"/>
      <c r="M51" s="20"/>
      <c r="N51" s="20"/>
      <c r="O51" s="16"/>
      <c r="P51" s="18" t="str">
        <f t="shared" si="2"/>
        <v xml:space="preserve">Belum lengkap (6)</v>
      </c>
      <c r="Q51" s="18" t="str">
        <f t="shared" si="3"/>
        <v/>
      </c>
      <c r="R51" s="18" t="str">
        <f>IF(INDEX(Korpus!$B:$B,$A51)="","",INDEX(Korpus!$B:$B,$A51))</f>
        <v xml:space="preserve">BAB VI
KEWAJIBAN PENGENDALI DATA PRIBADI DAN PROSESOR DATA PRIBADI DALAM PEMROSESAN DATA PRIBADI</v>
      </c>
      <c r="S51" s="18" t="str">
        <f>IF(INDEX(Korpus!$C:$C,$A51)="","",INDEX(Korpus!$C:$C,$A51))</f>
        <v xml:space="preserve">Bagian Kedua Kewajiban Pengendali Data Pribadi</v>
      </c>
    </row>
    <row r="52" ht="60" customHeight="1">
      <c r="A52" s="16">
        <v>52</v>
      </c>
      <c r="B52" s="17" t="str">
        <f>IF(Petunjuk!$C$4="","",Petunjuk!$C$4)</f>
        <v>Fenny</v>
      </c>
      <c r="C52" s="18" t="str">
        <f>IF(INDEX(Korpus!$A:$A,$A52)="","",INDEX(Korpus!$A:$A,$A52))</f>
        <v xml:space="preserve">UU 27 Thn 2022 (PDP)</v>
      </c>
      <c r="D52" s="18" t="str">
        <f>TRIM(INDEX(Korpus!$D:$D,$A52)&amp;" "&amp;INDEX(Korpus!$E:$E,$A52))</f>
        <v xml:space="preserve">Pasal 25</v>
      </c>
      <c r="E52" s="18"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19" t="s">
        <v>76</v>
      </c>
      <c r="G52" s="19"/>
      <c r="H52" s="19"/>
      <c r="I52" s="19" t="s">
        <v>66</v>
      </c>
      <c r="J52" s="19" t="s">
        <v>68</v>
      </c>
      <c r="K52" s="19"/>
      <c r="L52" s="19"/>
      <c r="M52" s="20"/>
      <c r="N52" s="20"/>
      <c r="O52" s="16" t="s">
        <v>65</v>
      </c>
      <c r="P52" s="18" t="str">
        <f t="shared" si="2"/>
        <v xml:space="preserve">Belum lengkap (3)</v>
      </c>
      <c r="Q52" s="18" t="str">
        <f t="shared" si="3"/>
        <v/>
      </c>
      <c r="R52" s="18" t="str">
        <f>IF(INDEX(Korpus!$B:$B,$A52)="","",INDEX(Korpus!$B:$B,$A52))</f>
        <v xml:space="preserve">BAB VI
KEWAJIBAN PENGENDALI DATA PRIBADI DAN PROSESOR DATA PRIBADI DALAM PEMROSESAN DATA PRIBADI</v>
      </c>
      <c r="S52" s="18" t="str">
        <f>IF(INDEX(Korpus!$C:$C,$A52)="","",INDEX(Korpus!$C:$C,$A52))</f>
        <v xml:space="preserve">Bagian Kedua Kewajiban Pengendali Data Pribadi</v>
      </c>
    </row>
    <row r="53" ht="60" hidden="1" customHeight="1">
      <c r="A53" s="16">
        <v>53</v>
      </c>
      <c r="B53" s="17" t="str">
        <f>IF(Petunjuk!$C$4="","",Petunjuk!$C$4)</f>
        <v>Fenny</v>
      </c>
      <c r="C53" s="18" t="str">
        <f>IF(INDEX(Korpus!$A:$A,$A53)="","",INDEX(Korpus!$A:$A,$A53))</f>
        <v xml:space="preserve">UU 27 Thn 2022 (PDP)</v>
      </c>
      <c r="D53" s="18" t="str">
        <f>TRIM(INDEX(Korpus!$D:$D,$A53)&amp;" "&amp;INDEX(Korpus!$E:$E,$A53))</f>
        <v xml:space="preserve">Pasal 26</v>
      </c>
      <c r="E53" s="18"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9"/>
      <c r="G53" s="19"/>
      <c r="H53" s="19"/>
      <c r="I53" s="19"/>
      <c r="J53" s="19"/>
      <c r="K53" s="19"/>
      <c r="L53" s="19"/>
      <c r="M53" s="20"/>
      <c r="N53" s="20"/>
      <c r="O53" s="16"/>
      <c r="P53" s="18" t="str">
        <f t="shared" si="2"/>
        <v xml:space="preserve">Belum lengkap (6)</v>
      </c>
      <c r="Q53" s="18" t="str">
        <f t="shared" si="3"/>
        <v/>
      </c>
      <c r="R53" s="18" t="str">
        <f>IF(INDEX(Korpus!$B:$B,$A53)="","",INDEX(Korpus!$B:$B,$A53))</f>
        <v xml:space="preserve">BAB VI
KEWAJIBAN PENGENDALI DATA PRIBADI DAN PROSESOR DATA PRIBADI DALAM PEMROSESAN DATA PRIBADI</v>
      </c>
      <c r="S53" s="18" t="str">
        <f>IF(INDEX(Korpus!$C:$C,$A53)="","",INDEX(Korpus!$C:$C,$A53))</f>
        <v xml:space="preserve">Bagian Kedua Kewajiban Pengendali Data Pribadi</v>
      </c>
    </row>
    <row r="54" ht="60" customHeight="1">
      <c r="A54" s="16">
        <v>54</v>
      </c>
      <c r="B54" s="17" t="str">
        <f>IF(Petunjuk!$C$4="","",Petunjuk!$C$4)</f>
        <v>Fenny</v>
      </c>
      <c r="C54" s="18" t="str">
        <f>IF(INDEX(Korpus!$A:$A,$A54)="","",INDEX(Korpus!$A:$A,$A54))</f>
        <v xml:space="preserve">UU 27 Thn 2022 (PDP)</v>
      </c>
      <c r="D54" s="18" t="str">
        <f>TRIM(INDEX(Korpus!$D:$D,$A54)&amp;" "&amp;INDEX(Korpus!$E:$E,$A54))</f>
        <v xml:space="preserve">Pasal 27</v>
      </c>
      <c r="E54" s="18" t="str">
        <f>IF(INDEX(Korpus!$F:$F,$A54)="","",INDEX(Korpus!$F:$F,$A54))</f>
        <v xml:space="preserve">Pengendali Data Pribadi wajib melakukan pemrosesan Data Pribadi secara terbatas dan spesifik, sah secara hukum, dan transparan.</v>
      </c>
      <c r="F54" s="19" t="s">
        <v>76</v>
      </c>
      <c r="G54" s="19"/>
      <c r="H54" s="19"/>
      <c r="I54" s="19" t="s">
        <v>66</v>
      </c>
      <c r="J54" s="19" t="s">
        <v>77</v>
      </c>
      <c r="K54" s="19"/>
      <c r="L54" s="19"/>
      <c r="M54" s="20"/>
      <c r="N54" s="20"/>
      <c r="O54" s="16" t="s">
        <v>65</v>
      </c>
      <c r="P54" s="18" t="str">
        <f t="shared" si="2"/>
        <v xml:space="preserve">Belum lengkap (3)</v>
      </c>
      <c r="Q54" s="18" t="str">
        <f t="shared" si="3"/>
        <v/>
      </c>
      <c r="R54" s="18" t="str">
        <f>IF(INDEX(Korpus!$B:$B,$A54)="","",INDEX(Korpus!$B:$B,$A54))</f>
        <v xml:space="preserve">BAB VI
KEWAJIBAN PENGENDALI DATA PRIBADI DAN PROSESOR DATA PRIBADI DALAM PEMROSESAN DATA PRIBADI</v>
      </c>
      <c r="S54" s="18" t="str">
        <f>IF(INDEX(Korpus!$C:$C,$A54)="","",INDEX(Korpus!$C:$C,$A54))</f>
        <v xml:space="preserve">Bagian Kedua Kewajiban Pengendali Data Pribadi</v>
      </c>
    </row>
    <row r="55" ht="60" hidden="1" customHeight="1">
      <c r="A55" s="16">
        <v>55</v>
      </c>
      <c r="B55" s="17" t="str">
        <f>IF(Petunjuk!$C$4="","",Petunjuk!$C$4)</f>
        <v>Fenny</v>
      </c>
      <c r="C55" s="18" t="str">
        <f>IF(INDEX(Korpus!$A:$A,$A55)="","",INDEX(Korpus!$A:$A,$A55))</f>
        <v xml:space="preserve">UU 27 Thn 2022 (PDP)</v>
      </c>
      <c r="D55" s="18" t="str">
        <f>TRIM(INDEX(Korpus!$D:$D,$A55)&amp;" "&amp;INDEX(Korpus!$E:$E,$A55))</f>
        <v xml:space="preserve">Pasal 28</v>
      </c>
      <c r="E55" s="18" t="str">
        <f>IF(INDEX(Korpus!$F:$F,$A55)="","",INDEX(Korpus!$F:$F,$A55))</f>
        <v xml:space="preserve">Pengendali Data Pribadi wajib melakukan pemrosesan Data Pribadi sesuai dengan tujuan pemrosesan Data Pribadi.</v>
      </c>
      <c r="F55" s="19"/>
      <c r="G55" s="19"/>
      <c r="H55" s="19"/>
      <c r="I55" s="19"/>
      <c r="J55" s="19"/>
      <c r="K55" s="19"/>
      <c r="L55" s="19"/>
      <c r="M55" s="20"/>
      <c r="N55" s="20"/>
      <c r="O55" s="16"/>
      <c r="P55" s="18" t="str">
        <f t="shared" si="2"/>
        <v xml:space="preserve">Belum lengkap (6)</v>
      </c>
      <c r="Q55" s="18" t="str">
        <f t="shared" si="3"/>
        <v/>
      </c>
      <c r="R55" s="18" t="str">
        <f>IF(INDEX(Korpus!$B:$B,$A55)="","",INDEX(Korpus!$B:$B,$A55))</f>
        <v xml:space="preserve">BAB VI
KEWAJIBAN PENGENDALI DATA PRIBADI DAN PROSESOR DATA PRIBADI DALAM PEMROSESAN DATA PRIBADI</v>
      </c>
      <c r="S55" s="18" t="str">
        <f>IF(INDEX(Korpus!$C:$C,$A55)="","",INDEX(Korpus!$C:$C,$A55))</f>
        <v xml:space="preserve">Bagian Kedua Kewajiban Pengendali Data Pribadi</v>
      </c>
    </row>
    <row r="56" ht="60" customHeight="1">
      <c r="A56" s="16">
        <v>56</v>
      </c>
      <c r="B56" s="17" t="str">
        <f>IF(Petunjuk!$C$4="","",Petunjuk!$C$4)</f>
        <v>Fenny</v>
      </c>
      <c r="C56" s="18" t="str">
        <f>IF(INDEX(Korpus!$A:$A,$A56)="","",INDEX(Korpus!$A:$A,$A56))</f>
        <v xml:space="preserve">UU 27 Thn 2022 (PDP)</v>
      </c>
      <c r="D56" s="18" t="str">
        <f>TRIM(INDEX(Korpus!$D:$D,$A56)&amp;" "&amp;INDEX(Korpus!$E:$E,$A56))</f>
        <v xml:space="preserve">Pasal 29</v>
      </c>
      <c r="E56" s="18"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9" t="s">
        <v>62</v>
      </c>
      <c r="G56" s="19"/>
      <c r="H56" s="19"/>
      <c r="I56" s="19"/>
      <c r="J56" s="19" t="s">
        <v>78</v>
      </c>
      <c r="K56" s="19" t="s">
        <v>72</v>
      </c>
      <c r="L56" s="19"/>
      <c r="M56" s="20"/>
      <c r="N56" s="20"/>
      <c r="O56" s="16" t="s">
        <v>65</v>
      </c>
      <c r="P56" s="18" t="str">
        <f t="shared" si="2"/>
        <v xml:space="preserve">Belum lengkap (3)</v>
      </c>
      <c r="Q56" s="18" t="str">
        <f t="shared" si="3"/>
        <v/>
      </c>
      <c r="R56" s="18" t="str">
        <f>IF(INDEX(Korpus!$B:$B,$A56)="","",INDEX(Korpus!$B:$B,$A56))</f>
        <v xml:space="preserve">BAB VI
KEWAJIBAN PENGENDALI DATA PRIBADI DAN PROSESOR DATA PRIBADI DALAM PEMROSESAN DATA PRIBADI</v>
      </c>
      <c r="S56" s="18" t="str">
        <f>IF(INDEX(Korpus!$C:$C,$A56)="","",INDEX(Korpus!$C:$C,$A56))</f>
        <v xml:space="preserve">Bagian Kedua Kewajiban Pengendali Data Pribadi</v>
      </c>
    </row>
    <row r="57" ht="60" hidden="1" customHeight="1">
      <c r="A57" s="16">
        <v>57</v>
      </c>
      <c r="B57" s="17" t="str">
        <f>IF(Petunjuk!$C$4="","",Petunjuk!$C$4)</f>
        <v>Fenny</v>
      </c>
      <c r="C57" s="18" t="str">
        <f>IF(INDEX(Korpus!$A:$A,$A57)="","",INDEX(Korpus!$A:$A,$A57))</f>
        <v xml:space="preserve">UU 27 Thn 2022 (PDP)</v>
      </c>
      <c r="D57" s="18" t="str">
        <f>TRIM(INDEX(Korpus!$D:$D,$A57)&amp;" "&amp;INDEX(Korpus!$E:$E,$A57))</f>
        <v xml:space="preserve">Pasal 30</v>
      </c>
      <c r="E57" s="18"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9"/>
      <c r="G57" s="19"/>
      <c r="H57" s="19"/>
      <c r="I57" s="19"/>
      <c r="J57" s="19"/>
      <c r="K57" s="19"/>
      <c r="L57" s="19"/>
      <c r="M57" s="20"/>
      <c r="N57" s="20"/>
      <c r="O57" s="16"/>
      <c r="P57" s="18" t="str">
        <f t="shared" si="2"/>
        <v xml:space="preserve">Belum lengkap (6)</v>
      </c>
      <c r="Q57" s="18" t="str">
        <f t="shared" si="3"/>
        <v/>
      </c>
      <c r="R57" s="18" t="str">
        <f>IF(INDEX(Korpus!$B:$B,$A57)="","",INDEX(Korpus!$B:$B,$A57))</f>
        <v xml:space="preserve">BAB VI
KEWAJIBAN PENGENDALI DATA PRIBADI DAN PROSESOR DATA PRIBADI DALAM PEMROSESAN DATA PRIBADI</v>
      </c>
      <c r="S57" s="18" t="str">
        <f>IF(INDEX(Korpus!$C:$C,$A57)="","",INDEX(Korpus!$C:$C,$A57))</f>
        <v xml:space="preserve">Bagian Kedua Kewajiban Pengendali Data Pribadi</v>
      </c>
    </row>
    <row r="58" ht="60" hidden="1" customHeight="1">
      <c r="A58" s="16">
        <v>58</v>
      </c>
      <c r="B58" s="17" t="str">
        <f>IF(Petunjuk!$C$4="","",Petunjuk!$C$4)</f>
        <v>Fenny</v>
      </c>
      <c r="C58" s="18" t="str">
        <f>IF(INDEX(Korpus!$A:$A,$A58)="","",INDEX(Korpus!$A:$A,$A58))</f>
        <v xml:space="preserve">UU 27 Thn 2022 (PDP)</v>
      </c>
      <c r="D58" s="18" t="str">
        <f>TRIM(INDEX(Korpus!$D:$D,$A58)&amp;" "&amp;INDEX(Korpus!$E:$E,$A58))</f>
        <v xml:space="preserve">Pasal 31</v>
      </c>
      <c r="E58" s="18" t="str">
        <f>IF(INDEX(Korpus!$F:$F,$A58)="","",INDEX(Korpus!$F:$F,$A58))</f>
        <v xml:space="preserve">Pengendali Data Pribadi wajib melakukan perekaman terhadap seluruh kegiatan pemrosesan Data Pribadi.</v>
      </c>
      <c r="F58" s="19"/>
      <c r="G58" s="19"/>
      <c r="H58" s="19"/>
      <c r="I58" s="19"/>
      <c r="J58" s="19"/>
      <c r="K58" s="19"/>
      <c r="L58" s="19"/>
      <c r="M58" s="20"/>
      <c r="N58" s="20"/>
      <c r="O58" s="16"/>
      <c r="P58" s="18" t="str">
        <f t="shared" si="2"/>
        <v xml:space="preserve">Belum lengkap (6)</v>
      </c>
      <c r="Q58" s="18" t="str">
        <f t="shared" si="3"/>
        <v/>
      </c>
      <c r="R58" s="18" t="str">
        <f>IF(INDEX(Korpus!$B:$B,$A58)="","",INDEX(Korpus!$B:$B,$A58))</f>
        <v xml:space="preserve">BAB VI
KEWAJIBAN PENGENDALI DATA PRIBADI DAN PROSESOR DATA PRIBADI DALAM PEMROSESAN DATA PRIBADI</v>
      </c>
      <c r="S58" s="18" t="str">
        <f>IF(INDEX(Korpus!$C:$C,$A58)="","",INDEX(Korpus!$C:$C,$A58))</f>
        <v xml:space="preserve">Bagian Kedua Kewajiban Pengendali Data Pribadi</v>
      </c>
    </row>
    <row r="59" ht="60" hidden="1" customHeight="1">
      <c r="A59" s="16">
        <v>59</v>
      </c>
      <c r="B59" s="17" t="str">
        <f>IF(Petunjuk!$C$4="","",Petunjuk!$C$4)</f>
        <v>Fenny</v>
      </c>
      <c r="C59" s="18" t="str">
        <f>IF(INDEX(Korpus!$A:$A,$A59)="","",INDEX(Korpus!$A:$A,$A59))</f>
        <v xml:space="preserve">UU 27 Thn 2022 (PDP)</v>
      </c>
      <c r="D59" s="18" t="str">
        <f>TRIM(INDEX(Korpus!$D:$D,$A59)&amp;" "&amp;INDEX(Korpus!$E:$E,$A59))</f>
        <v xml:space="preserve">Pasal 32</v>
      </c>
      <c r="E59" s="18"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9"/>
      <c r="G59" s="19"/>
      <c r="H59" s="19"/>
      <c r="I59" s="19"/>
      <c r="J59" s="19"/>
      <c r="K59" s="19"/>
      <c r="L59" s="19"/>
      <c r="M59" s="20"/>
      <c r="N59" s="20"/>
      <c r="O59" s="16"/>
      <c r="P59" s="18" t="str">
        <f t="shared" si="2"/>
        <v xml:space="preserve">Belum lengkap (6)</v>
      </c>
      <c r="Q59" s="18" t="str">
        <f t="shared" si="3"/>
        <v/>
      </c>
      <c r="R59" s="18" t="str">
        <f>IF(INDEX(Korpus!$B:$B,$A59)="","",INDEX(Korpus!$B:$B,$A59))</f>
        <v xml:space="preserve">BAB VI
KEWAJIBAN PENGENDALI DATA PRIBADI DAN PROSESOR DATA PRIBADI DALAM PEMROSESAN DATA PRIBADI</v>
      </c>
      <c r="S59" s="18" t="str">
        <f>IF(INDEX(Korpus!$C:$C,$A59)="","",INDEX(Korpus!$C:$C,$A59))</f>
        <v xml:space="preserve">Bagian Kedua Kewajiban Pengendali Data Pribadi</v>
      </c>
    </row>
    <row r="60" ht="60" hidden="1" customHeight="1">
      <c r="A60" s="16">
        <v>60</v>
      </c>
      <c r="B60" s="17" t="str">
        <f>IF(Petunjuk!$C$4="","",Petunjuk!$C$4)</f>
        <v>Fenny</v>
      </c>
      <c r="C60" s="18" t="str">
        <f>IF(INDEX(Korpus!$A:$A,$A60)="","",INDEX(Korpus!$A:$A,$A60))</f>
        <v xml:space="preserve">UU 27 Thn 2022 (PDP)</v>
      </c>
      <c r="D60" s="18" t="str">
        <f>TRIM(INDEX(Korpus!$D:$D,$A60)&amp;" "&amp;INDEX(Korpus!$E:$E,$A60))</f>
        <v xml:space="preserve">Pasal 33</v>
      </c>
      <c r="E60" s="18"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9"/>
      <c r="G60" s="19"/>
      <c r="H60" s="19"/>
      <c r="I60" s="19"/>
      <c r="J60" s="19"/>
      <c r="K60" s="19"/>
      <c r="L60" s="19"/>
      <c r="M60" s="20"/>
      <c r="N60" s="20"/>
      <c r="O60" s="16"/>
      <c r="P60" s="18" t="str">
        <f t="shared" si="2"/>
        <v xml:space="preserve">Belum lengkap (6)</v>
      </c>
      <c r="Q60" s="18" t="str">
        <f t="shared" si="3"/>
        <v/>
      </c>
      <c r="R60" s="18" t="str">
        <f>IF(INDEX(Korpus!$B:$B,$A60)="","",INDEX(Korpus!$B:$B,$A60))</f>
        <v xml:space="preserve">BAB VI
KEWAJIBAN PENGENDALI DATA PRIBADI DAN PROSESOR DATA PRIBADI DALAM PEMROSESAN DATA PRIBADI</v>
      </c>
      <c r="S60" s="18" t="str">
        <f>IF(INDEX(Korpus!$C:$C,$A60)="","",INDEX(Korpus!$C:$C,$A60))</f>
        <v xml:space="preserve">Bagian Kedua Kewajiban Pengendali Data Pribadi</v>
      </c>
    </row>
    <row r="61" ht="60" hidden="1" customHeight="1">
      <c r="A61" s="16">
        <v>61</v>
      </c>
      <c r="B61" s="17" t="str">
        <f>IF(Petunjuk!$C$4="","",Petunjuk!$C$4)</f>
        <v>Fenny</v>
      </c>
      <c r="C61" s="18" t="str">
        <f>IF(INDEX(Korpus!$A:$A,$A61)="","",INDEX(Korpus!$A:$A,$A61))</f>
        <v xml:space="preserve">UU 27 Thn 2022 (PDP)</v>
      </c>
      <c r="D61" s="18" t="str">
        <f>TRIM(INDEX(Korpus!$D:$D,$A61)&amp;" "&amp;INDEX(Korpus!$E:$E,$A61))</f>
        <v xml:space="preserve">Pasal 34</v>
      </c>
      <c r="E61" s="18"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9"/>
      <c r="G61" s="19"/>
      <c r="H61" s="19"/>
      <c r="I61" s="19"/>
      <c r="J61" s="19"/>
      <c r="K61" s="19"/>
      <c r="L61" s="19"/>
      <c r="M61" s="20"/>
      <c r="N61" s="20"/>
      <c r="O61" s="16"/>
      <c r="P61" s="18" t="str">
        <f t="shared" si="2"/>
        <v xml:space="preserve">Belum lengkap (6)</v>
      </c>
      <c r="Q61" s="18" t="str">
        <f t="shared" si="3"/>
        <v/>
      </c>
      <c r="R61" s="18" t="str">
        <f>IF(INDEX(Korpus!$B:$B,$A61)="","",INDEX(Korpus!$B:$B,$A61))</f>
        <v xml:space="preserve">BAB VI
KEWAJIBAN PENGENDALI DATA PRIBADI DAN PROSESOR DATA PRIBADI DALAM PEMROSESAN DATA PRIBADI</v>
      </c>
      <c r="S61" s="18" t="str">
        <f>IF(INDEX(Korpus!$C:$C,$A61)="","",INDEX(Korpus!$C:$C,$A61))</f>
        <v xml:space="preserve">Bagian Kedua
Kewajiban Pengendali Data Pribadi</v>
      </c>
    </row>
    <row r="62" ht="60" hidden="1" customHeight="1">
      <c r="A62" s="16">
        <v>62</v>
      </c>
      <c r="B62" s="17" t="str">
        <f>IF(Petunjuk!$C$4="","",Petunjuk!$C$4)</f>
        <v>Fenny</v>
      </c>
      <c r="C62" s="18" t="str">
        <f>IF(INDEX(Korpus!$A:$A,$A62)="","",INDEX(Korpus!$A:$A,$A62))</f>
        <v xml:space="preserve">UU 27 Thn 2022 (PDP)</v>
      </c>
      <c r="D62" s="18" t="str">
        <f>TRIM(INDEX(Korpus!$D:$D,$A62)&amp;" "&amp;INDEX(Korpus!$E:$E,$A62))</f>
        <v xml:space="preserve">Pasal 35</v>
      </c>
      <c r="E62" s="18"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9"/>
      <c r="G62" s="19"/>
      <c r="H62" s="19"/>
      <c r="I62" s="19"/>
      <c r="J62" s="19"/>
      <c r="K62" s="19"/>
      <c r="L62" s="19"/>
      <c r="M62" s="20"/>
      <c r="N62" s="20"/>
      <c r="O62" s="16"/>
      <c r="P62" s="18" t="str">
        <f t="shared" si="2"/>
        <v xml:space="preserve">Belum lengkap (6)</v>
      </c>
      <c r="Q62" s="18" t="str">
        <f t="shared" si="3"/>
        <v/>
      </c>
      <c r="R62" s="18" t="str">
        <f>IF(INDEX(Korpus!$B:$B,$A62)="","",INDEX(Korpus!$B:$B,$A62))</f>
        <v xml:space="preserve">BAB VI
KEWAJIBAN PENGENDALI DATA PRIBADI DAN PROSESOR DATA PRIBADI DALAM PEMROSESAN DATA PRIBADI</v>
      </c>
      <c r="S62" s="18" t="str">
        <f>IF(INDEX(Korpus!$C:$C,$A62)="","",INDEX(Korpus!$C:$C,$A62))</f>
        <v xml:space="preserve">Bagian Kedua
Kewajiban Pengendali Data Pribadi</v>
      </c>
    </row>
    <row r="63" ht="60" hidden="1" customHeight="1">
      <c r="A63" s="16">
        <v>63</v>
      </c>
      <c r="B63" s="17" t="str">
        <f>IF(Petunjuk!$C$4="","",Petunjuk!$C$4)</f>
        <v>Fenny</v>
      </c>
      <c r="C63" s="18" t="str">
        <f>IF(INDEX(Korpus!$A:$A,$A63)="","",INDEX(Korpus!$A:$A,$A63))</f>
        <v xml:space="preserve">UU 27 Thn 2022 (PDP)</v>
      </c>
      <c r="D63" s="18" t="str">
        <f>TRIM(INDEX(Korpus!$D:$D,$A63)&amp;" "&amp;INDEX(Korpus!$E:$E,$A63))</f>
        <v xml:space="preserve">Pasal 36</v>
      </c>
      <c r="E63" s="18" t="str">
        <f>IF(INDEX(Korpus!$F:$F,$A63)="","",INDEX(Korpus!$F:$F,$A63))</f>
        <v xml:space="preserve">Dalam melakukan pemrosesan Data Pribadi, Pengendali Data Pribadi wajib menjaga kerahasiaan Data Pribadi.</v>
      </c>
      <c r="F63" s="19"/>
      <c r="G63" s="19"/>
      <c r="H63" s="19"/>
      <c r="I63" s="19"/>
      <c r="J63" s="19"/>
      <c r="K63" s="19"/>
      <c r="L63" s="19"/>
      <c r="M63" s="20"/>
      <c r="N63" s="20"/>
      <c r="O63" s="16"/>
      <c r="P63" s="18" t="str">
        <f t="shared" si="2"/>
        <v xml:space="preserve">Belum lengkap (6)</v>
      </c>
      <c r="Q63" s="18" t="str">
        <f t="shared" si="3"/>
        <v/>
      </c>
      <c r="R63" s="18" t="str">
        <f>IF(INDEX(Korpus!$B:$B,$A63)="","",INDEX(Korpus!$B:$B,$A63))</f>
        <v xml:space="preserve">BAB VI
KEWAJIBAN PENGENDALI DATA PRIBADI DAN PROSESOR DATA PRIBADI DALAM PEMROSESAN DATA PRIBADI</v>
      </c>
      <c r="S63" s="18" t="str">
        <f>IF(INDEX(Korpus!$C:$C,$A63)="","",INDEX(Korpus!$C:$C,$A63))</f>
        <v xml:space="preserve">Bagian Kedua
Kewajiban Pengendali Data Pribadi</v>
      </c>
    </row>
    <row r="64" ht="60" hidden="1" customHeight="1">
      <c r="A64" s="16">
        <v>64</v>
      </c>
      <c r="B64" s="17" t="str">
        <f>IF(Petunjuk!$C$4="","",Petunjuk!$C$4)</f>
        <v>Fenny</v>
      </c>
      <c r="C64" s="18" t="str">
        <f>IF(INDEX(Korpus!$A:$A,$A64)="","",INDEX(Korpus!$A:$A,$A64))</f>
        <v xml:space="preserve">UU 27 Thn 2022 (PDP)</v>
      </c>
      <c r="D64" s="18" t="str">
        <f>TRIM(INDEX(Korpus!$D:$D,$A64)&amp;" "&amp;INDEX(Korpus!$E:$E,$A64))</f>
        <v xml:space="preserve">Pasal 37</v>
      </c>
      <c r="E64" s="18" t="str">
        <f>IF(INDEX(Korpus!$F:$F,$A64)="","",INDEX(Korpus!$F:$F,$A64))</f>
        <v xml:space="preserve">Pengendali Data Pribadi wajib melakukan pengawasan terhadap setiap pihak yang terlibat dalam pemrosesan Data Pribadi di bawah kendali Pengendali Data Pribadi.</v>
      </c>
      <c r="F64" s="19"/>
      <c r="G64" s="19"/>
      <c r="H64" s="19"/>
      <c r="I64" s="19"/>
      <c r="J64" s="19"/>
      <c r="K64" s="19"/>
      <c r="L64" s="19"/>
      <c r="M64" s="20"/>
      <c r="N64" s="20"/>
      <c r="O64" s="16"/>
      <c r="P64" s="18" t="str">
        <f t="shared" si="2"/>
        <v xml:space="preserve">Belum lengkap (6)</v>
      </c>
      <c r="Q64" s="18" t="str">
        <f t="shared" si="3"/>
        <v/>
      </c>
      <c r="R64" s="18" t="str">
        <f>IF(INDEX(Korpus!$B:$B,$A64)="","",INDEX(Korpus!$B:$B,$A64))</f>
        <v xml:space="preserve">BAB VI
KEWAJIBAN PENGENDALI DATA PRIBADI DAN PROSESOR DATA PRIBADI DALAM PEMROSESAN DATA PRIBADI</v>
      </c>
      <c r="S64" s="18" t="str">
        <f>IF(INDEX(Korpus!$C:$C,$A64)="","",INDEX(Korpus!$C:$C,$A64))</f>
        <v xml:space="preserve">Bagian Kedua
Kewajiban Pengendali Data Pribadi</v>
      </c>
    </row>
    <row r="65" ht="60" hidden="1" customHeight="1">
      <c r="A65" s="16">
        <v>65</v>
      </c>
      <c r="B65" s="17" t="str">
        <f>IF(Petunjuk!$C$4="","",Petunjuk!$C$4)</f>
        <v>Fenny</v>
      </c>
      <c r="C65" s="18" t="str">
        <f>IF(INDEX(Korpus!$A:$A,$A65)="","",INDEX(Korpus!$A:$A,$A65))</f>
        <v xml:space="preserve">UU 27 Thn 2022 (PDP)</v>
      </c>
      <c r="D65" s="18" t="str">
        <f>TRIM(INDEX(Korpus!$D:$D,$A65)&amp;" "&amp;INDEX(Korpus!$E:$E,$A65))</f>
        <v xml:space="preserve">Pasal 38</v>
      </c>
      <c r="E65" s="18" t="str">
        <f>IF(INDEX(Korpus!$F:$F,$A65)="","",INDEX(Korpus!$F:$F,$A65))</f>
        <v xml:space="preserve">Pengendali Data Pribadi wajib melindungi Data Pribadi dari pemrosesan yang tidak sah.</v>
      </c>
      <c r="F65" s="19"/>
      <c r="G65" s="19"/>
      <c r="H65" s="19"/>
      <c r="I65" s="19"/>
      <c r="J65" s="19"/>
      <c r="K65" s="19"/>
      <c r="L65" s="19"/>
      <c r="M65" s="20"/>
      <c r="N65" s="20"/>
      <c r="O65" s="16"/>
      <c r="P65" s="18" t="str">
        <f t="shared" si="2"/>
        <v xml:space="preserve">Belum lengkap (6)</v>
      </c>
      <c r="Q65" s="18" t="str">
        <f t="shared" si="3"/>
        <v/>
      </c>
      <c r="R65" s="18" t="str">
        <f>IF(INDEX(Korpus!$B:$B,$A65)="","",INDEX(Korpus!$B:$B,$A65))</f>
        <v xml:space="preserve">BAB VI
KEWAJIBAN PENGENDALI DATA PRIBADI DAN PROSESOR DATA PRIBADI DALAM PEMROSESAN DATA PRIBADI</v>
      </c>
      <c r="S65" s="18" t="str">
        <f>IF(INDEX(Korpus!$C:$C,$A65)="","",INDEX(Korpus!$C:$C,$A65))</f>
        <v xml:space="preserve">Bagian Kedua
Kewajiban Pengendali Data Pribadi</v>
      </c>
    </row>
    <row r="66" ht="60" hidden="1" customHeight="1">
      <c r="A66" s="16">
        <v>66</v>
      </c>
      <c r="B66" s="17" t="str">
        <f>IF(Petunjuk!$C$4="","",Petunjuk!$C$4)</f>
        <v>Fenny</v>
      </c>
      <c r="C66" s="18" t="str">
        <f>IF(INDEX(Korpus!$A:$A,$A66)="","",INDEX(Korpus!$A:$A,$A66))</f>
        <v xml:space="preserve">UU 27 Thn 2022 (PDP)</v>
      </c>
      <c r="D66" s="18" t="str">
        <f>TRIM(INDEX(Korpus!$D:$D,$A66)&amp;" "&amp;INDEX(Korpus!$E:$E,$A66))</f>
        <v xml:space="preserve">Pasal 39</v>
      </c>
      <c r="E66" s="18"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9"/>
      <c r="G66" s="19"/>
      <c r="H66" s="19"/>
      <c r="I66" s="19"/>
      <c r="J66" s="19"/>
      <c r="K66" s="19"/>
      <c r="L66" s="19"/>
      <c r="M66" s="20"/>
      <c r="N66" s="20"/>
      <c r="O66" s="16"/>
      <c r="P66" s="18" t="str">
        <f t="shared" si="2"/>
        <v xml:space="preserve">Belum lengkap (6)</v>
      </c>
      <c r="Q66" s="18" t="str">
        <f t="shared" si="3"/>
        <v/>
      </c>
      <c r="R66" s="18" t="str">
        <f>IF(INDEX(Korpus!$B:$B,$A66)="","",INDEX(Korpus!$B:$B,$A66))</f>
        <v xml:space="preserve">BAB VI
KEWAJIBAN PENGENDALI DATA PRIBADI DAN PROSESOR DATA PRIBADI DALAM PEMROSESAN DATA PRIBADI</v>
      </c>
      <c r="S66" s="18" t="str">
        <f>IF(INDEX(Korpus!$C:$C,$A66)="","",INDEX(Korpus!$C:$C,$A66))</f>
        <v xml:space="preserve">Bagian Kedua
Kewajiban Pengendali Data Pribadi</v>
      </c>
    </row>
    <row r="67" ht="60" hidden="1" customHeight="1">
      <c r="A67" s="16">
        <v>67</v>
      </c>
      <c r="B67" s="17" t="str">
        <f>IF(Petunjuk!$C$4="","",Petunjuk!$C$4)</f>
        <v>Fenny</v>
      </c>
      <c r="C67" s="18" t="str">
        <f>IF(INDEX(Korpus!$A:$A,$A67)="","",INDEX(Korpus!$A:$A,$A67))</f>
        <v xml:space="preserve">UU 27 Thn 2022 (PDP)</v>
      </c>
      <c r="D67" s="18" t="str">
        <f>TRIM(INDEX(Korpus!$D:$D,$A67)&amp;" "&amp;INDEX(Korpus!$E:$E,$A67))</f>
        <v xml:space="preserve">Pasal 40</v>
      </c>
      <c r="E67" s="18"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9"/>
      <c r="G67" s="19"/>
      <c r="H67" s="19"/>
      <c r="I67" s="19"/>
      <c r="J67" s="19"/>
      <c r="K67" s="19"/>
      <c r="L67" s="19"/>
      <c r="M67" s="20"/>
      <c r="N67" s="20"/>
      <c r="O67" s="16"/>
      <c r="P67" s="18" t="str">
        <f t="shared" si="2"/>
        <v xml:space="preserve">Belum lengkap (6)</v>
      </c>
      <c r="Q67" s="18" t="str">
        <f t="shared" si="3"/>
        <v/>
      </c>
      <c r="R67" s="18" t="str">
        <f>IF(INDEX(Korpus!$B:$B,$A67)="","",INDEX(Korpus!$B:$B,$A67))</f>
        <v xml:space="preserve">BAB VI
KEWAJIBAN PENGENDALI DATA PRIBADI DAN PROSESOR DATA PRIBADI DALAM PEMROSESAN DATA PRIBADI</v>
      </c>
      <c r="S67" s="18" t="str">
        <f>IF(INDEX(Korpus!$C:$C,$A67)="","",INDEX(Korpus!$C:$C,$A67))</f>
        <v xml:space="preserve">Bagian Kedua
Kewajiban Pengendali Data Pribadi</v>
      </c>
    </row>
    <row r="68" ht="60" hidden="1" customHeight="1">
      <c r="A68" s="16">
        <v>68</v>
      </c>
      <c r="B68" s="17" t="str">
        <f>IF(Petunjuk!$C$4="","",Petunjuk!$C$4)</f>
        <v>Fenny</v>
      </c>
      <c r="C68" s="18" t="str">
        <f>IF(INDEX(Korpus!$A:$A,$A68)="","",INDEX(Korpus!$A:$A,$A68))</f>
        <v xml:space="preserve">UU 27 Thn 2022 (PDP)</v>
      </c>
      <c r="D68" s="18" t="str">
        <f>TRIM(INDEX(Korpus!$D:$D,$A68)&amp;" "&amp;INDEX(Korpus!$E:$E,$A68))</f>
        <v xml:space="preserve">Pasal 41</v>
      </c>
      <c r="E68" s="18"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9"/>
      <c r="G68" s="19"/>
      <c r="H68" s="19"/>
      <c r="I68" s="19"/>
      <c r="J68" s="19"/>
      <c r="K68" s="19"/>
      <c r="L68" s="19"/>
      <c r="M68" s="20"/>
      <c r="N68" s="20"/>
      <c r="O68" s="16"/>
      <c r="P68" s="18" t="str">
        <f t="shared" si="2"/>
        <v xml:space="preserve">Belum lengkap (6)</v>
      </c>
      <c r="Q68" s="18" t="str">
        <f t="shared" si="3"/>
        <v/>
      </c>
      <c r="R68" s="18" t="str">
        <f>IF(INDEX(Korpus!$B:$B,$A68)="","",INDEX(Korpus!$B:$B,$A68))</f>
        <v xml:space="preserve">BAB VI
KEWAJIBAN PENGENDALI DATA PRIBADI DAN PROSESOR DATA PRIBADI DALAM PEMROSESAN DATA PRIBADI</v>
      </c>
      <c r="S68" s="18" t="str">
        <f>IF(INDEX(Korpus!$C:$C,$A68)="","",INDEX(Korpus!$C:$C,$A68))</f>
        <v xml:space="preserve">Bagian Kedua
Kewajiban Pengendali Data Pribadi</v>
      </c>
    </row>
    <row r="69" ht="60" hidden="1" customHeight="1">
      <c r="A69" s="16">
        <v>69</v>
      </c>
      <c r="B69" s="17" t="str">
        <f>IF(Petunjuk!$C$4="","",Petunjuk!$C$4)</f>
        <v>Fenny</v>
      </c>
      <c r="C69" s="18" t="str">
        <f>IF(INDEX(Korpus!$A:$A,$A69)="","",INDEX(Korpus!$A:$A,$A69))</f>
        <v xml:space="preserve">UU 27 Thn 2022 (PDP)</v>
      </c>
      <c r="D69" s="18" t="str">
        <f>TRIM(INDEX(Korpus!$D:$D,$A69)&amp;" "&amp;INDEX(Korpus!$E:$E,$A69))</f>
        <v xml:space="preserve">Pasal 42</v>
      </c>
      <c r="E69" s="18"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9"/>
      <c r="G69" s="19"/>
      <c r="H69" s="19"/>
      <c r="I69" s="19"/>
      <c r="J69" s="19"/>
      <c r="K69" s="19"/>
      <c r="L69" s="19"/>
      <c r="M69" s="20"/>
      <c r="N69" s="20"/>
      <c r="O69" s="16"/>
      <c r="P69" s="18" t="str">
        <f t="shared" si="2"/>
        <v xml:space="preserve">Belum lengkap (6)</v>
      </c>
      <c r="Q69" s="18" t="str">
        <f t="shared" si="3"/>
        <v/>
      </c>
      <c r="R69" s="18" t="str">
        <f>IF(INDEX(Korpus!$B:$B,$A69)="","",INDEX(Korpus!$B:$B,$A69))</f>
        <v xml:space="preserve">BAB VI
KEWAJIBAN PENGENDALI DATA PRIBADI DAN PROSESOR DATA PRIBADI DALAM PEMROSESAN DATA PRIBADI</v>
      </c>
      <c r="S69" s="18" t="str">
        <f>IF(INDEX(Korpus!$C:$C,$A69)="","",INDEX(Korpus!$C:$C,$A69))</f>
        <v xml:space="preserve">Bagian Kedua
Kewajiban Pengendali Data Pribadi</v>
      </c>
    </row>
    <row r="70" ht="60" customHeight="1">
      <c r="A70" s="16">
        <v>70</v>
      </c>
      <c r="B70" s="17" t="str">
        <f>IF(Petunjuk!$C$4="","",Petunjuk!$C$4)</f>
        <v>Fenny</v>
      </c>
      <c r="C70" s="18" t="str">
        <f>IF(INDEX(Korpus!$A:$A,$A70)="","",INDEX(Korpus!$A:$A,$A70))</f>
        <v xml:space="preserve">UU 27 Thn 2022 (PDP)</v>
      </c>
      <c r="D70" s="18" t="str">
        <f>TRIM(INDEX(Korpus!$D:$D,$A70)&amp;" "&amp;INDEX(Korpus!$E:$E,$A70))</f>
        <v xml:space="preserve">Pasal 43</v>
      </c>
      <c r="E70" s="18"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9" t="s">
        <v>62</v>
      </c>
      <c r="G70" s="19"/>
      <c r="H70" s="19"/>
      <c r="I70" s="19"/>
      <c r="J70" s="19" t="s">
        <v>74</v>
      </c>
      <c r="K70" s="19" t="s">
        <v>72</v>
      </c>
      <c r="L70" s="19"/>
      <c r="M70" s="20"/>
      <c r="N70" s="20"/>
      <c r="O70" s="16" t="s">
        <v>65</v>
      </c>
      <c r="P70" s="18" t="str">
        <f t="shared" si="2"/>
        <v xml:space="preserve">Belum lengkap (3)</v>
      </c>
      <c r="Q70" s="18" t="str">
        <f t="shared" si="3"/>
        <v/>
      </c>
      <c r="R70" s="18" t="str">
        <f>IF(INDEX(Korpus!$B:$B,$A70)="","",INDEX(Korpus!$B:$B,$A70))</f>
        <v xml:space="preserve">BAB VI
KEWAJIBAN PENGENDALI DATA PRIBADI DAN PROSESOR DATA PRIBADI DALAM PEMROSESAN DATA PRIBADI</v>
      </c>
      <c r="S70" s="18" t="str">
        <f>IF(INDEX(Korpus!$C:$C,$A70)="","",INDEX(Korpus!$C:$C,$A70))</f>
        <v xml:space="preserve">Bagian Kedua
Kewajiban Pengendali Data Pribadi</v>
      </c>
    </row>
    <row r="71" ht="60" hidden="1" customHeight="1">
      <c r="A71" s="16">
        <v>71</v>
      </c>
      <c r="B71" s="17" t="str">
        <f>IF(Petunjuk!$C$4="","",Petunjuk!$C$4)</f>
        <v>Fenny</v>
      </c>
      <c r="C71" s="18" t="str">
        <f>IF(INDEX(Korpus!$A:$A,$A71)="","",INDEX(Korpus!$A:$A,$A71))</f>
        <v xml:space="preserve">UU 27 Thn 2022 (PDP)</v>
      </c>
      <c r="D71" s="18" t="str">
        <f>TRIM(INDEX(Korpus!$D:$D,$A71)&amp;" "&amp;INDEX(Korpus!$E:$E,$A71))</f>
        <v xml:space="preserve">Pasal 44</v>
      </c>
      <c r="E71" s="18"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9"/>
      <c r="G71" s="19"/>
      <c r="H71" s="19"/>
      <c r="I71" s="19"/>
      <c r="J71" s="19"/>
      <c r="K71" s="19"/>
      <c r="L71" s="19"/>
      <c r="M71" s="20"/>
      <c r="N71" s="20"/>
      <c r="O71" s="16"/>
      <c r="P71" s="18" t="str">
        <f t="shared" si="2"/>
        <v xml:space="preserve">Belum lengkap (6)</v>
      </c>
      <c r="Q71" s="18" t="str">
        <f t="shared" si="3"/>
        <v/>
      </c>
      <c r="R71" s="18" t="str">
        <f>IF(INDEX(Korpus!$B:$B,$A71)="","",INDEX(Korpus!$B:$B,$A71))</f>
        <v xml:space="preserve">BAB VI
KEWAJIBAN PENGENDALI DATA PRIBADI DAN PROSESOR DATA PRIBADI DALAM PEMROSESAN DATA PRIBADI</v>
      </c>
      <c r="S71" s="18" t="str">
        <f>IF(INDEX(Korpus!$C:$C,$A71)="","",INDEX(Korpus!$C:$C,$A71))</f>
        <v xml:space="preserve">Bagian Kedua
Kewajiban Pengendali Data Pribadi</v>
      </c>
    </row>
    <row r="72" ht="60" hidden="1" customHeight="1">
      <c r="A72" s="16">
        <v>72</v>
      </c>
      <c r="B72" s="17" t="str">
        <f>IF(Petunjuk!$C$4="","",Petunjuk!$C$4)</f>
        <v>Fenny</v>
      </c>
      <c r="C72" s="18" t="str">
        <f>IF(INDEX(Korpus!$A:$A,$A72)="","",INDEX(Korpus!$A:$A,$A72))</f>
        <v xml:space="preserve">UU 27 Thn 2022 (PDP)</v>
      </c>
      <c r="D72" s="18" t="str">
        <f>TRIM(INDEX(Korpus!$D:$D,$A72)&amp;" "&amp;INDEX(Korpus!$E:$E,$A72))</f>
        <v xml:space="preserve">Pasal 45</v>
      </c>
      <c r="E72" s="18" t="str">
        <f>IF(INDEX(Korpus!$F:$F,$A72)="","",INDEX(Korpus!$F:$F,$A72))</f>
        <v xml:space="preserve">Pengendali Data Pribadi wajib memberitahukan penghapusan dan/atau pemusnahan Data Pribadi kepada Subjek Data Pribadi.</v>
      </c>
      <c r="F72" s="19"/>
      <c r="G72" s="19"/>
      <c r="H72" s="19"/>
      <c r="I72" s="19"/>
      <c r="J72" s="19"/>
      <c r="K72" s="19"/>
      <c r="L72" s="19"/>
      <c r="M72" s="20"/>
      <c r="N72" s="20"/>
      <c r="O72" s="16"/>
      <c r="P72" s="18" t="str">
        <f t="shared" si="2"/>
        <v xml:space="preserve">Belum lengkap (6)</v>
      </c>
      <c r="Q72" s="18" t="str">
        <f t="shared" si="3"/>
        <v/>
      </c>
      <c r="R72" s="18" t="str">
        <f>IF(INDEX(Korpus!$B:$B,$A72)="","",INDEX(Korpus!$B:$B,$A72))</f>
        <v xml:space="preserve">BAB VI
KEWAJIBAN PENGENDALI DATA PRIBADI DAN PROSESOR DATA PRIBADI DALAM PEMROSESAN DATA PRIBADI</v>
      </c>
      <c r="S72" s="18" t="str">
        <f>IF(INDEX(Korpus!$C:$C,$A72)="","",INDEX(Korpus!$C:$C,$A72))</f>
        <v xml:space="preserve">Bagian Kedua
Kewajiban Pengendali Data Pribadi</v>
      </c>
    </row>
    <row r="73" ht="60" hidden="1" customHeight="1">
      <c r="A73" s="16">
        <v>73</v>
      </c>
      <c r="B73" s="17" t="str">
        <f>IF(Petunjuk!$C$4="","",Petunjuk!$C$4)</f>
        <v>Fenny</v>
      </c>
      <c r="C73" s="18" t="str">
        <f>IF(INDEX(Korpus!$A:$A,$A73)="","",INDEX(Korpus!$A:$A,$A73))</f>
        <v xml:space="preserve">UU 27 Thn 2022 (PDP)</v>
      </c>
      <c r="D73" s="18" t="str">
        <f>TRIM(INDEX(Korpus!$D:$D,$A73)&amp;" "&amp;INDEX(Korpus!$E:$E,$A73))</f>
        <v xml:space="preserve">Pasal 46</v>
      </c>
      <c r="E73" s="18"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9"/>
      <c r="G73" s="19"/>
      <c r="H73" s="19"/>
      <c r="I73" s="19"/>
      <c r="J73" s="19"/>
      <c r="K73" s="19"/>
      <c r="L73" s="19"/>
      <c r="M73" s="20"/>
      <c r="N73" s="20"/>
      <c r="O73" s="16"/>
      <c r="P73" s="18" t="str">
        <f t="shared" si="2"/>
        <v xml:space="preserve">Belum lengkap (6)</v>
      </c>
      <c r="Q73" s="18" t="str">
        <f t="shared" si="3"/>
        <v/>
      </c>
      <c r="R73" s="18" t="str">
        <f>IF(INDEX(Korpus!$B:$B,$A73)="","",INDEX(Korpus!$B:$B,$A73))</f>
        <v xml:space="preserve">BAB VI
KEWAJIBAN PENGENDALI DATA PRIBADI DAN PROSESOR DATA PRIBADI DALAM PEMROSESAN DATA PRIBADI</v>
      </c>
      <c r="S73" s="18" t="str">
        <f>IF(INDEX(Korpus!$C:$C,$A73)="","",INDEX(Korpus!$C:$C,$A73))</f>
        <v xml:space="preserve">Bagian Kedua
Kewajiban Pengendali Data Pribadi</v>
      </c>
    </row>
    <row r="74" ht="60" hidden="1" customHeight="1">
      <c r="A74" s="16">
        <v>74</v>
      </c>
      <c r="B74" s="17" t="str">
        <f>IF(Petunjuk!$C$4="","",Petunjuk!$C$4)</f>
        <v>Fenny</v>
      </c>
      <c r="C74" s="18" t="str">
        <f>IF(INDEX(Korpus!$A:$A,$A74)="","",INDEX(Korpus!$A:$A,$A74))</f>
        <v xml:space="preserve">UU 27 Thn 2022 (PDP)</v>
      </c>
      <c r="D74" s="18" t="str">
        <f>TRIM(INDEX(Korpus!$D:$D,$A74)&amp;" "&amp;INDEX(Korpus!$E:$E,$A74))</f>
        <v xml:space="preserve">Pasal 47</v>
      </c>
      <c r="E74" s="18" t="str">
        <f>IF(INDEX(Korpus!$F:$F,$A74)="","",INDEX(Korpus!$F:$F,$A74))</f>
        <v xml:space="preserve">Pengendali Data Pribadi wajib bertanggung jawab atas pemrosesan Data Pribadi dan menunjukkan pertanggungjawaban dalam pemenuhan kewajiban pelaksanaan prinsip Pelindungan Data Pribadi.</v>
      </c>
      <c r="F74" s="19"/>
      <c r="G74" s="19"/>
      <c r="H74" s="19"/>
      <c r="I74" s="19"/>
      <c r="J74" s="19"/>
      <c r="K74" s="19"/>
      <c r="L74" s="19"/>
      <c r="M74" s="20"/>
      <c r="N74" s="20"/>
      <c r="O74" s="16"/>
      <c r="P74" s="18" t="str">
        <f t="shared" ref="P74:P86" si="4">IF(COUNTA(F74:K74)=6,"Lengkap","Belum lengkap ("&amp;(6-COUNTA(F74:K74))&amp;")")</f>
        <v xml:space="preserve">Belum lengkap (6)</v>
      </c>
      <c r="Q74" s="18" t="str">
        <f t="shared" ref="Q74:Q86" si="5">IF(COUNTA(F74:K74)&lt;6,"",IF(IF(AND(LEFT(G74,2)="R0",LEFT(K74,2)&lt;&gt;"K5"),"R0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","")="","OK",IF(AND(LEFT(G74,2)="R0",LEFT(K74,2)&lt;&gt;"K5"),"R0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f>
        <v/>
      </c>
      <c r="R74" s="18" t="str">
        <f>IF(INDEX(Korpus!$B:$B,$A74)="","",INDEX(Korpus!$B:$B,$A74))</f>
        <v xml:space="preserve">BAB VI
KEWAJIBAN PENGENDALI DATA PRIBADI DAN PROSESOR DATA PRIBADI DALAM PEMROSESAN DATA PRIBADI</v>
      </c>
      <c r="S74" s="18" t="str">
        <f>IF(INDEX(Korpus!$C:$C,$A74)="","",INDEX(Korpus!$C:$C,$A74))</f>
        <v xml:space="preserve">Bagian Kedua
Kewajiban Pengendali Data Pribadi</v>
      </c>
    </row>
    <row r="75" ht="60" hidden="1" customHeight="1">
      <c r="A75" s="16">
        <v>75</v>
      </c>
      <c r="B75" s="17" t="str">
        <f>IF(Petunjuk!$C$4="","",Petunjuk!$C$4)</f>
        <v>Fenny</v>
      </c>
      <c r="C75" s="18" t="str">
        <f>IF(INDEX(Korpus!$A:$A,$A75)="","",INDEX(Korpus!$A:$A,$A75))</f>
        <v xml:space="preserve">UU 27 Thn 2022 (PDP)</v>
      </c>
      <c r="D75" s="18" t="str">
        <f>TRIM(INDEX(Korpus!$D:$D,$A75)&amp;" "&amp;INDEX(Korpus!$E:$E,$A75))</f>
        <v xml:space="preserve">Pasal 48</v>
      </c>
      <c r="E75" s="18"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9"/>
      <c r="G75" s="19"/>
      <c r="H75" s="19"/>
      <c r="I75" s="19"/>
      <c r="J75" s="19"/>
      <c r="K75" s="19"/>
      <c r="L75" s="19"/>
      <c r="M75" s="20"/>
      <c r="N75" s="20"/>
      <c r="O75" s="16"/>
      <c r="P75" s="18" t="str">
        <f t="shared" si="4"/>
        <v xml:space="preserve">Belum lengkap (6)</v>
      </c>
      <c r="Q75" s="18" t="str">
        <f t="shared" si="5"/>
        <v/>
      </c>
      <c r="R75" s="18" t="str">
        <f>IF(INDEX(Korpus!$B:$B,$A75)="","",INDEX(Korpus!$B:$B,$A75))</f>
        <v xml:space="preserve">BAB VI
KEWAJIBAN PENGENDALI DATA PRIBADI DAN PROSESOR DATA PRIBADI DALAM PEMROSESAN DATA PRIBADI</v>
      </c>
      <c r="S75" s="18" t="str">
        <f>IF(INDEX(Korpus!$C:$C,$A75)="","",INDEX(Korpus!$C:$C,$A75))</f>
        <v xml:space="preserve">Bagian Kedua
Kewajiban Pengendali Data Pribadi</v>
      </c>
    </row>
    <row r="76" ht="60" hidden="1" customHeight="1">
      <c r="A76" s="16">
        <v>76</v>
      </c>
      <c r="B76" s="17" t="str">
        <f>IF(Petunjuk!$C$4="","",Petunjuk!$C$4)</f>
        <v>Fenny</v>
      </c>
      <c r="C76" s="18" t="str">
        <f>IF(INDEX(Korpus!$A:$A,$A76)="","",INDEX(Korpus!$A:$A,$A76))</f>
        <v xml:space="preserve">UU 27 Thn 2022 (PDP)</v>
      </c>
      <c r="D76" s="18" t="str">
        <f>TRIM(INDEX(Korpus!$D:$D,$A76)&amp;" "&amp;INDEX(Korpus!$E:$E,$A76))</f>
        <v xml:space="preserve">Pasal 49</v>
      </c>
      <c r="E76" s="18" t="str">
        <f>IF(INDEX(Korpus!$F:$F,$A76)="","",INDEX(Korpus!$F:$F,$A76))</f>
        <v xml:space="preserve">Pengendali Data Pribadi dan/ atau Prosesor Data Pribadi wajib melaksanakan perintah lembaga dalam rangka penyelenggaraan Pelindungan Data Pribadi sesuai dengan Undang-Undang ini.</v>
      </c>
      <c r="F76" s="19"/>
      <c r="G76" s="19"/>
      <c r="H76" s="19"/>
      <c r="I76" s="19"/>
      <c r="J76" s="19"/>
      <c r="K76" s="19"/>
      <c r="L76" s="19"/>
      <c r="M76" s="20"/>
      <c r="N76" s="20"/>
      <c r="O76" s="16"/>
      <c r="P76" s="18" t="str">
        <f t="shared" si="4"/>
        <v xml:space="preserve">Belum lengkap (6)</v>
      </c>
      <c r="Q76" s="18" t="str">
        <f t="shared" si="5"/>
        <v/>
      </c>
      <c r="R76" s="18" t="str">
        <f>IF(INDEX(Korpus!$B:$B,$A76)="","",INDEX(Korpus!$B:$B,$A76))</f>
        <v xml:space="preserve">BAB VI
KEWAJIBAN PENGENDALI DATA PRIBADI DAN PROSESOR DATA PRIBADI DALAM PEMROSESAN DATA PRIBADI</v>
      </c>
      <c r="S76" s="18" t="str">
        <f>IF(INDEX(Korpus!$C:$C,$A76)="","",INDEX(Korpus!$C:$C,$A76))</f>
        <v xml:space="preserve">Bagian Kedua
Kewajiban Pengendali Data Pribadi</v>
      </c>
    </row>
    <row r="77" ht="60" hidden="1" customHeight="1">
      <c r="A77" s="16">
        <v>77</v>
      </c>
      <c r="B77" s="17" t="str">
        <f>IF(Petunjuk!$C$4="","",Petunjuk!$C$4)</f>
        <v>Fenny</v>
      </c>
      <c r="C77" s="18" t="str">
        <f>IF(INDEX(Korpus!$A:$A,$A77)="","",INDEX(Korpus!$A:$A,$A77))</f>
        <v xml:space="preserve">UU 27 Thn 2022 (PDP)</v>
      </c>
      <c r="D77" s="18" t="str">
        <f>TRIM(INDEX(Korpus!$D:$D,$A77)&amp;" "&amp;INDEX(Korpus!$E:$E,$A77))</f>
        <v xml:space="preserve">Pasal 50</v>
      </c>
      <c r="E77" s="18"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9"/>
      <c r="G77" s="19"/>
      <c r="H77" s="19"/>
      <c r="I77" s="19"/>
      <c r="J77" s="19"/>
      <c r="K77" s="19"/>
      <c r="L77" s="19"/>
      <c r="M77" s="20"/>
      <c r="N77" s="20"/>
      <c r="O77" s="16"/>
      <c r="P77" s="18" t="str">
        <f t="shared" si="4"/>
        <v xml:space="preserve">Belum lengkap (6)</v>
      </c>
      <c r="Q77" s="18" t="str">
        <f t="shared" si="5"/>
        <v/>
      </c>
      <c r="R77" s="18" t="str">
        <f>IF(INDEX(Korpus!$B:$B,$A77)="","",INDEX(Korpus!$B:$B,$A77))</f>
        <v xml:space="preserve">BAB VI
KEWAJIBAN PENGENDALI DATA PRIBADI DAN PROSESOR DATA PRIBADI DALAM PEMROSESAN DATA PRIBADI</v>
      </c>
      <c r="S77" s="18" t="str">
        <f>IF(INDEX(Korpus!$C:$C,$A77)="","",INDEX(Korpus!$C:$C,$A77))</f>
        <v xml:space="preserve">Bagian Kedua
Kewajiban Pengendali Data Pribadi</v>
      </c>
    </row>
    <row r="78" ht="60" hidden="1" customHeight="1">
      <c r="A78" s="16">
        <v>78</v>
      </c>
      <c r="B78" s="17" t="str">
        <f>IF(Petunjuk!$C$4="","",Petunjuk!$C$4)</f>
        <v>Fenny</v>
      </c>
      <c r="C78" s="18" t="str">
        <f>IF(INDEX(Korpus!$A:$A,$A78)="","",INDEX(Korpus!$A:$A,$A78))</f>
        <v xml:space="preserve">UU 27 Thn 2022 (PDP)</v>
      </c>
      <c r="D78" s="18" t="str">
        <f>TRIM(INDEX(Korpus!$D:$D,$A78)&amp;" "&amp;INDEX(Korpus!$E:$E,$A78))</f>
        <v xml:space="preserve">Pasal 51</v>
      </c>
      <c r="E78" s="18"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9"/>
      <c r="G78" s="19"/>
      <c r="H78" s="19"/>
      <c r="I78" s="19"/>
      <c r="J78" s="19"/>
      <c r="K78" s="19"/>
      <c r="L78" s="19"/>
      <c r="M78" s="20"/>
      <c r="N78" s="20"/>
      <c r="O78" s="16"/>
      <c r="P78" s="18" t="str">
        <f t="shared" si="4"/>
        <v xml:space="preserve">Belum lengkap (6)</v>
      </c>
      <c r="Q78" s="18" t="str">
        <f t="shared" si="5"/>
        <v/>
      </c>
      <c r="R78" s="18" t="str">
        <f>IF(INDEX(Korpus!$B:$B,$A78)="","",INDEX(Korpus!$B:$B,$A78))</f>
        <v xml:space="preserve">BAB VI
KEWAJIBAN PENGENDALI DATA PRIBADI DAN PROSESOR DATA PRIBADI DALAM PEMROSESAN DATA PRIBADI</v>
      </c>
      <c r="S78" s="18" t="str">
        <f>IF(INDEX(Korpus!$C:$C,$A78)="","",INDEX(Korpus!$C:$C,$A78))</f>
        <v xml:space="preserve">Bagian Ketiga
Kewajiban Prosesor Data Pribadi</v>
      </c>
    </row>
    <row r="79" ht="60" customHeight="1">
      <c r="A79" s="16">
        <v>79</v>
      </c>
      <c r="B79" s="17" t="str">
        <f>IF(Petunjuk!$C$4="","",Petunjuk!$C$4)</f>
        <v>Fenny</v>
      </c>
      <c r="C79" s="18" t="str">
        <f>IF(INDEX(Korpus!$A:$A,$A79)="","",INDEX(Korpus!$A:$A,$A79))</f>
        <v xml:space="preserve">UU 27 Thn 2022 (PDP)</v>
      </c>
      <c r="D79" s="18" t="str">
        <f>TRIM(INDEX(Korpus!$D:$D,$A79)&amp;" "&amp;INDEX(Korpus!$E:$E,$A79))</f>
        <v xml:space="preserve">Pasal 52</v>
      </c>
      <c r="E79" s="18" t="str">
        <f>IF(INDEX(Korpus!$F:$F,$A79)="","",INDEX(Korpus!$F:$F,$A79))</f>
        <v xml:space="preserve">Ketentuan mengenai kewajiban Pengendali Data Pribadi sebagaimana dimaksud dalam Pasal 29, Pasal 31, Pasal 35, Pasal 36, Pasal 37, Pasal 38, dan Pasal 39 berlaku juga terhadap Prosesor Data Pribadi.</v>
      </c>
      <c r="F79" s="19" t="s">
        <v>75</v>
      </c>
      <c r="G79" s="19"/>
      <c r="H79" s="19"/>
      <c r="I79" s="19"/>
      <c r="J79" s="19" t="s">
        <v>79</v>
      </c>
      <c r="K79" s="19" t="s">
        <v>69</v>
      </c>
      <c r="L79" s="19"/>
      <c r="M79" s="20"/>
      <c r="N79" s="20"/>
      <c r="O79" s="16" t="s">
        <v>65</v>
      </c>
      <c r="P79" s="18" t="str">
        <f t="shared" si="4"/>
        <v xml:space="preserve">Belum lengkap (3)</v>
      </c>
      <c r="Q79" s="18" t="str">
        <f t="shared" si="5"/>
        <v/>
      </c>
      <c r="R79" s="18" t="str">
        <f>IF(INDEX(Korpus!$B:$B,$A79)="","",INDEX(Korpus!$B:$B,$A79))</f>
        <v xml:space="preserve">BAB VI
KEWAJIBAN PENGENDALI DATA PRIBADI DAN PROSESOR DATA PRIBADI DALAM PEMROSESAN DATA PRIBADI</v>
      </c>
      <c r="S79" s="18" t="str">
        <f>IF(INDEX(Korpus!$C:$C,$A79)="","",INDEX(Korpus!$C:$C,$A79))</f>
        <v xml:space="preserve">Bagian Ketiga
Kewajiban Prosesor Data Pribadi</v>
      </c>
    </row>
    <row r="80" ht="60" hidden="1" customHeight="1">
      <c r="A80" s="16">
        <v>80</v>
      </c>
      <c r="B80" s="17" t="str">
        <f>IF(Petunjuk!$C$4="","",Petunjuk!$C$4)</f>
        <v>Fenny</v>
      </c>
      <c r="C80" s="18" t="str">
        <f>IF(INDEX(Korpus!$A:$A,$A80)="","",INDEX(Korpus!$A:$A,$A80))</f>
        <v xml:space="preserve">UU 27 Thn 2022 (PDP)</v>
      </c>
      <c r="D80" s="18" t="str">
        <f>TRIM(INDEX(Korpus!$D:$D,$A80)&amp;" "&amp;INDEX(Korpus!$E:$E,$A80))</f>
        <v xml:space="preserve">Pasal 53</v>
      </c>
      <c r="E80" s="18"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9"/>
      <c r="G80" s="19"/>
      <c r="H80" s="19"/>
      <c r="I80" s="19"/>
      <c r="J80" s="19"/>
      <c r="K80" s="19"/>
      <c r="L80" s="19"/>
      <c r="M80" s="20"/>
      <c r="N80" s="20"/>
      <c r="O80" s="16"/>
      <c r="P80" s="18" t="str">
        <f t="shared" si="4"/>
        <v xml:space="preserve">Belum lengkap (6)</v>
      </c>
      <c r="Q80" s="18" t="str">
        <f t="shared" si="5"/>
        <v/>
      </c>
      <c r="R80" s="18" t="str">
        <f>IF(INDEX(Korpus!$B:$B,$A80)="","",INDEX(Korpus!$B:$B,$A80))</f>
        <v xml:space="preserve">BAB VI
KEWAJIBAN PENGENDALI DATA PRIBADI DAN PROSESOR DATA PRIBADI DALAM PEMROSESAN DATA PRIBADI</v>
      </c>
      <c r="S80" s="18" t="str">
        <f>IF(INDEX(Korpus!$C:$C,$A80)="","",INDEX(Korpus!$C:$C,$A80))</f>
        <v xml:space="preserve">Bagian Keempat
Pejabat atau Petugas yang Melaksanakan Fungsi Pelindungan Data Pribadi</v>
      </c>
    </row>
    <row r="81" ht="60" customHeight="1">
      <c r="A81" s="16">
        <v>81</v>
      </c>
      <c r="B81" s="17" t="str">
        <f>IF(Petunjuk!$C$4="","",Petunjuk!$C$4)</f>
        <v>Fenny</v>
      </c>
      <c r="C81" s="18" t="str">
        <f>IF(INDEX(Korpus!$A:$A,$A81)="","",INDEX(Korpus!$A:$A,$A81))</f>
        <v xml:space="preserve">UU 27 Thn 2022 (PDP)</v>
      </c>
      <c r="D81" s="18" t="str">
        <f>TRIM(INDEX(Korpus!$D:$D,$A81)&amp;" "&amp;INDEX(Korpus!$E:$E,$A81))</f>
        <v xml:space="preserve">Pasal 55</v>
      </c>
      <c r="E81" s="18"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9" t="s">
        <v>76</v>
      </c>
      <c r="G81" s="19"/>
      <c r="H81" s="19" t="s">
        <v>80</v>
      </c>
      <c r="I81" s="19" t="s">
        <v>81</v>
      </c>
      <c r="J81" s="19" t="s">
        <v>74</v>
      </c>
      <c r="K81" s="19"/>
      <c r="L81" s="19"/>
      <c r="M81" s="20"/>
      <c r="N81" s="20"/>
      <c r="O81" s="16" t="s">
        <v>65</v>
      </c>
      <c r="P81" s="18" t="str">
        <f t="shared" si="4"/>
        <v xml:space="preserve">Belum lengkap (2)</v>
      </c>
      <c r="Q81" s="18" t="str">
        <f t="shared" si="5"/>
        <v/>
      </c>
      <c r="R81" s="18" t="str">
        <f>IF(INDEX(Korpus!$B:$B,$A81)="","",INDEX(Korpus!$B:$B,$A81))</f>
        <v xml:space="preserve">BAB VII TRANSFER DATA PRIBADI</v>
      </c>
      <c r="S81" s="18" t="str">
        <f>IF(INDEX(Korpus!$C:$C,$A81)="","",INDEX(Korpus!$C:$C,$A81))</f>
        <v xml:space="preserve">Bagian Kesatu
Transfer Data Pribadi Dalam Wilayah Hukum Negara Republik Indonesia</v>
      </c>
    </row>
    <row r="82" ht="60" hidden="1" customHeight="1">
      <c r="A82" s="16">
        <v>82</v>
      </c>
      <c r="B82" s="17" t="str">
        <f>IF(Petunjuk!$C$4="","",Petunjuk!$C$4)</f>
        <v>Fenny</v>
      </c>
      <c r="C82" s="18" t="str">
        <f>IF(INDEX(Korpus!$A:$A,$A82)="","",INDEX(Korpus!$A:$A,$A82))</f>
        <v xml:space="preserve">UU 27 Thn 2022 (PDP)</v>
      </c>
      <c r="D82" s="18" t="str">
        <f>TRIM(INDEX(Korpus!$D:$D,$A82)&amp;" "&amp;INDEX(Korpus!$E:$E,$A82))</f>
        <v xml:space="preserve">Pasal 56</v>
      </c>
      <c r="E82" s="18"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9"/>
      <c r="G82" s="19"/>
      <c r="H82" s="19"/>
      <c r="I82" s="19"/>
      <c r="J82" s="19"/>
      <c r="K82" s="19"/>
      <c r="L82" s="19"/>
      <c r="M82" s="20"/>
      <c r="N82" s="20"/>
      <c r="O82" s="16"/>
      <c r="P82" s="18" t="str">
        <f t="shared" si="4"/>
        <v xml:space="preserve">Belum lengkap (6)</v>
      </c>
      <c r="Q82" s="18" t="str">
        <f t="shared" si="5"/>
        <v/>
      </c>
      <c r="R82" s="18" t="str">
        <f>IF(INDEX(Korpus!$B:$B,$A82)="","",INDEX(Korpus!$B:$B,$A82))</f>
        <v xml:space="preserve">BAB VII TRANSFER DATA PRIBADI</v>
      </c>
      <c r="S82" s="18" t="str">
        <f>IF(INDEX(Korpus!$C:$C,$A82)="","",INDEX(Korpus!$C:$C,$A82))</f>
        <v xml:space="preserve">Bagian Kedua</v>
      </c>
    </row>
    <row r="83" ht="60" hidden="1" customHeight="1">
      <c r="A83" s="16">
        <v>83</v>
      </c>
      <c r="B83" s="17" t="str">
        <f>IF(Petunjuk!$C$4="","",Petunjuk!$C$4)</f>
        <v>Fenny</v>
      </c>
      <c r="C83" s="18" t="str">
        <f>IF(INDEX(Korpus!$A:$A,$A83)="","",INDEX(Korpus!$A:$A,$A83))</f>
        <v xml:space="preserve">UU 27 Thn 2022 (PDP)</v>
      </c>
      <c r="D83" s="18" t="str">
        <f>TRIM(INDEX(Korpus!$D:$D,$A83)&amp;" "&amp;INDEX(Korpus!$E:$E,$A83))</f>
        <v xml:space="preserve">Pasal 65</v>
      </c>
      <c r="E83" s="18"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9"/>
      <c r="G83" s="19"/>
      <c r="H83" s="19"/>
      <c r="I83" s="19"/>
      <c r="J83" s="19"/>
      <c r="K83" s="19"/>
      <c r="L83" s="19"/>
      <c r="M83" s="20"/>
      <c r="N83" s="20"/>
      <c r="O83" s="16"/>
      <c r="P83" s="18" t="str">
        <f t="shared" si="4"/>
        <v xml:space="preserve">Belum lengkap (6)</v>
      </c>
      <c r="Q83" s="18" t="str">
        <f t="shared" si="5"/>
        <v/>
      </c>
      <c r="R83" s="18" t="str">
        <f>IF(INDEX(Korpus!$B:$B,$A83)="","",INDEX(Korpus!$B:$B,$A83))</f>
        <v xml:space="preserve">BAB XIII
LARANGAN DALAM PENGGUNAAN DATA PRIBADI</v>
      </c>
      <c r="S83" s="18" t="str">
        <f>IF(INDEX(Korpus!$C:$C,$A83)="","",INDEX(Korpus!$C:$C,$A83))</f>
        <v/>
      </c>
    </row>
    <row r="84" ht="60" hidden="1" customHeight="1">
      <c r="A84" s="16">
        <v>84</v>
      </c>
      <c r="B84" s="17" t="str">
        <f>IF(Petunjuk!$C$4="","",Petunjuk!$C$4)</f>
        <v>Fenny</v>
      </c>
      <c r="C84" s="18" t="str">
        <f>IF(INDEX(Korpus!$A:$A,$A84)="","",INDEX(Korpus!$A:$A,$A84))</f>
        <v xml:space="preserve">UU 27 Thn 2022 (PDP)</v>
      </c>
      <c r="D84" s="18" t="str">
        <f>TRIM(INDEX(Korpus!$D:$D,$A84)&amp;" "&amp;INDEX(Korpus!$E:$E,$A84))</f>
        <v xml:space="preserve">Pasal 66</v>
      </c>
      <c r="E84" s="18" t="str">
        <f>IF(INDEX(Korpus!$F:$F,$A84)="","",INDEX(Korpus!$F:$F,$A84))</f>
        <v xml:space="preserve">Setiap Orang dilarang membuat Data Pribadi palsu atau memalsukan Data Pribadi dengan maksud untuk menguntungkan diri sendiri atau orang lain yang dapat mengakibatkan kerugian bagi orang lain.</v>
      </c>
      <c r="F84" s="19"/>
      <c r="G84" s="19"/>
      <c r="H84" s="19"/>
      <c r="I84" s="19"/>
      <c r="J84" s="19"/>
      <c r="K84" s="19"/>
      <c r="L84" s="19"/>
      <c r="M84" s="20"/>
      <c r="N84" s="20"/>
      <c r="O84" s="16"/>
      <c r="P84" s="18" t="str">
        <f t="shared" si="4"/>
        <v xml:space="preserve">Belum lengkap (6)</v>
      </c>
      <c r="Q84" s="18" t="str">
        <f t="shared" si="5"/>
        <v/>
      </c>
      <c r="R84" s="18" t="str">
        <f>IF(INDEX(Korpus!$B:$B,$A84)="","",INDEX(Korpus!$B:$B,$A84))</f>
        <v xml:space="preserve">BAB XIII
LARANGAN DALAM PENGGUNAAN DATA PRIBADI</v>
      </c>
      <c r="S84" s="18" t="str">
        <f>IF(INDEX(Korpus!$C:$C,$A84)="","",INDEX(Korpus!$C:$C,$A84))</f>
        <v/>
      </c>
    </row>
    <row r="85" ht="60" hidden="1" customHeight="1">
      <c r="A85" s="16">
        <v>85</v>
      </c>
      <c r="B85" s="17" t="str">
        <f>IF(Petunjuk!$C$4="","",Petunjuk!$C$4)</f>
        <v>Fenny</v>
      </c>
      <c r="C85" s="18" t="str">
        <f>IF(INDEX(Korpus!$A:$A,$A85)="","",INDEX(Korpus!$A:$A,$A85))</f>
        <v xml:space="preserve">Perpres 39 Thn 2019 (Satu Data)</v>
      </c>
      <c r="D85" s="18" t="str">
        <f>TRIM(INDEX(Korpus!$D:$D,$A85)&amp;" "&amp;INDEX(Korpus!$E:$E,$A85))</f>
        <v xml:space="preserve">Pasal 1</v>
      </c>
      <c r="E85" s="18"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9"/>
      <c r="G85" s="19"/>
      <c r="H85" s="19"/>
      <c r="I85" s="19"/>
      <c r="J85" s="19"/>
      <c r="K85" s="19"/>
      <c r="L85" s="19"/>
      <c r="M85" s="20"/>
      <c r="N85" s="20"/>
      <c r="O85" s="16"/>
      <c r="P85" s="18" t="str">
        <f t="shared" si="4"/>
        <v xml:space="preserve">Belum lengkap (6)</v>
      </c>
      <c r="Q85" s="18" t="str">
        <f t="shared" si="5"/>
        <v/>
      </c>
      <c r="R85" s="18" t="str">
        <f>IF(INDEX(Korpus!$B:$B,$A85)="","",INDEX(Korpus!$B:$B,$A85))</f>
        <v xml:space="preserve">BAB I
KETENTUAN UMUM</v>
      </c>
      <c r="S85" s="18" t="str">
        <f>IF(INDEX(Korpus!$C:$C,$A85)="","",INDEX(Korpus!$C:$C,$A85))</f>
        <v/>
      </c>
    </row>
    <row r="86" ht="60" hidden="1" customHeight="1">
      <c r="A86" s="16">
        <v>86</v>
      </c>
      <c r="B86" s="17" t="str">
        <f>IF(Petunjuk!$C$4="","",Petunjuk!$C$4)</f>
        <v>Fenny</v>
      </c>
      <c r="C86" s="18" t="str">
        <f>IF(INDEX(Korpus!$A:$A,$A86)="","",INDEX(Korpus!$A:$A,$A86))</f>
        <v xml:space="preserve">Perpres 39 Thn 2019 (Satu Data)</v>
      </c>
      <c r="D86" s="18" t="str">
        <f>TRIM(INDEX(Korpus!$D:$D,$A86)&amp;" "&amp;INDEX(Korpus!$E:$E,$A86))</f>
        <v xml:space="preserve">Pasal 39</v>
      </c>
      <c r="E86" s="18"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9"/>
      <c r="G86" s="19"/>
      <c r="H86" s="19"/>
      <c r="I86" s="19"/>
      <c r="J86" s="19"/>
      <c r="K86" s="19"/>
      <c r="L86" s="19"/>
      <c r="M86" s="20"/>
      <c r="N86" s="20"/>
      <c r="O86" s="16"/>
      <c r="P86" s="18" t="str">
        <f t="shared" si="4"/>
        <v xml:space="preserve">Belum lengkap (6)</v>
      </c>
      <c r="Q86" s="18" t="str">
        <f t="shared" si="5"/>
        <v/>
      </c>
      <c r="R86" s="18" t="str">
        <f>IF(INDEX(Korpus!$B:$B,$A86)="","",INDEX(Korpus!$B:$B,$A86))</f>
        <v xml:space="preserve">BAB IV
PENYELENGGARAAN SATU DATA INDONESIA</v>
      </c>
      <c r="S86" s="18" t="str">
        <f>IF(INDEX(Korpus!$C:$C,$A86)="","",INDEX(Korpus!$C:$C,$A86))</f>
        <v xml:space="preserve">Bagian Kelima
Penyebarluasan Data</v>
      </c>
    </row>
  </sheetData>
  <autoFilter ref="A1:S86">
    <filterColumn colId="14">
      <customFilters and="1">
        <customFilter operator="notEqual" val=" "/>
      </customFilters>
    </filterColumn>
  </autoFilter>
  <dataValidations count="2" disablePrompts="0">
    <dataValidation sqref="M2:M86" type="none" allowBlank="1" errorStyle="stop" imeMode="noControl" operator="between" prompt="Teks bebas, satu kalimat &quot;Sistem harus …&quot; atau “Sistem tidak boleh ...” (opsional, untuk R2)" promptTitle="" showDropDown="0" showErrorMessage="1" showInputMessage="1"/>
    <dataValidation sqref="N2:N86" type="none" allowBlank="1" errorStyle="stop" imeMode="noControl" operator="between" prompt="Digunakan untuk alasan T99, adanya keraguan, salah ketik atau teks terpotong, dan penjelasan lain bila aturan konsistensi tidak terpenuhi (Bagian 5.1 dan 9.1)." promptTitle="" showDropDown="0" showErrorMessage="1" showInputMessage="1"/>
  </dataValidations>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aboveAverage="0" rank="0" text="">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aboveAverage="0" rank="0" text="">
            <xm:f>AND(Q2&lt;&gt;"",Q2&lt;&gt;"OK",LEFT(Q2,7)&lt;&gt;"Belum l")</xm:f>
            <x14:dxf>
              <font>
                <color rgb="FF9C5700"/>
                <name val="Arial"/>
              </font>
              <fill>
                <patternFill patternType="solid">
                  <fgColor rgb="FFFFEB9C"/>
                  <bgColor rgb="FFFFEB9C"/>
                </patternFill>
              </fill>
            </x14:dxf>
          </x14:cfRule>
          <xm:sqref>Q2:Q86</xm:sqref>
        </x14:conditionalFormatting>
        <x14:conditionalFormatting xmlns:xm="http://schemas.microsoft.com/office/excel/2006/main">
          <x14:cfRule type="expression" priority="4" aboveAverage="0" rank="0" text="">
            <xm:f>P2="Lengkap"</xm:f>
            <x14:dxf>
              <font>
                <color rgb="FF006100"/>
                <name val="Arial"/>
              </font>
            </x14:dxf>
          </x14:cfRule>
          <xm:sqref>P2:P86</xm:sqref>
        </x14:conditionalFormatting>
      </x14:conditionalFormattings>
    </ext>
    <ext xmlns:x14="http://schemas.microsoft.com/office/spreadsheetml/2009/9/main" uri="{CCE6A557-97BC-4b89-ADB6-D9C93CAAB3DF}">
      <x14:dataValidations xmlns:xm="http://schemas.microsoft.com/office/excel/2006/main" count="8" disablePrompts="0">
        <x14:dataValidation xr:uid="{11D84B1A-53D9-43D1-BDE8-F8F8091999F8}" type="list" allowBlank="1" error="Pilih kode dari daftar (lihat sheet Daftar Kode)." errorStyle="stop" errorTitle="Kode tidak sah" imeMode="noControl" operator="between" prompt="Kodekan pihak yang secara eksplisit menjadi subjek tata bahasa norma utama pada kolom “Isi”. Jangan menyimpulkan subjek dari judul BAB." showDropDown="0" showErrorMessage="1" showInputMessage="1">
          <x14:formula1>
            <xm:f>'Daftar Kode'!$D$5:$D$13</xm:f>
          </x14:formula1>
          <x14:formula2>
            <xm:f>"""0"""</xm:f>
          </x14:formula2>
          <xm:sqref>F3:F86</xm:sqref>
        </x14:dataValidation>
        <x14:dataValidation xr:uid="{3A822079-5C00-48A5-B249-8BA2BFB0419C}" type="list" allowBlank="1" error="Pilih kode dari daftar (lihat sheet Daftar Kode)." errorStyle="stop" errorTitle="Kode tidak sah" imeMode="noControl" operator="between" prompt="Tentukan dengan Uji Implikasi Bagian 6." showDropDown="0" showErrorMessage="1" showInputMessage="1">
          <x14:formula1>
            <xm:f>'Daftar Kode'!$D$16:$D$18</xm:f>
          </x14:formula1>
          <x14:formula2>
            <xm:f>"""0"""</xm:f>
          </x14:formula2>
          <xm:sqref>G2:G86</xm:sqref>
        </x14:dataValidation>
        <x14:dataValidation xr:uid="{4A9B9434-5EB4-4035-B589-CAC59BD6B96E}" type="list" allowBlank="1" error="Pilih kode dari daftar (lihat sheet Daftar Kode)." errorStyle="stop" errorTitle="Kode tidak sah" imeMode="noControl" operator="between" prompt="Pilih satu tema dominan dari pohon keputusan Bagian 7.3. Pemilihan T99 wajib dijelaskan di V12." showDropDown="0" showErrorMessage="1" showInputMessage="1">
          <x14:formula1>
            <xm:f>'Daftar Kode'!$D$21:$D$37</xm:f>
          </x14:formula1>
          <x14:formula2>
            <xm:f>"""0"""</xm:f>
          </x14:formula2>
          <xm:sqref>H2:H86</xm:sqref>
        </x14:dataValidation>
        <x14:dataValidation xr:uid="{1ACDF0A2-5ED3-4147-A473-BB3F6BC45904}" type="list" allowBlank="1" error="Pilih kode dari daftar (lihat sheet Daftar Kode)." errorStyle="stop" errorTitle="Kode tidak sah" imeMode="noControl" operator="between" prompt="Lihat Bagian 7.4" promptTitle="" showDropDown="0" showErrorMessage="1" showInputMessage="1">
          <x14:formula1>
            <xm:f>'Daftar Kode'!$D$40:$D$47</xm:f>
          </x14:formula1>
          <x14:formula2>
            <xm:f>"""0"""</xm:f>
          </x14:formula2>
          <xm:sqref>I2:I86</xm:sqref>
        </x14:dataValidation>
        <x14:dataValidation xr:uid="{59C62BBC-0BD2-4305-8462-1C9004DB4145}" type="list" allowBlank="1" error="Pilih kode dari daftar (lihat sheet Daftar Kode)." errorStyle="stop" errorTitle="Kode tidak sah" imeMode="noControl" operator="between" prompt="Tahap siklus data yang terkait dari awal hingga akhir. Lihat Bagian 7.5" promptTitle="" showDropDown="0" showErrorMessage="1" showInputMessage="1">
          <x14:formula1>
            <xm:f>'Daftar Kode'!$D$50:$D$57</xm:f>
          </x14:formula1>
          <x14:formula2>
            <xm:f>"""0"""</xm:f>
          </x14:formula2>
          <xm:sqref>J2:J86</xm:sqref>
        </x14:dataValidation>
        <x14:dataValidation xr:uid="{32000177-DF75-47FA-A1AC-FEC4719A9A2B}" type="list" allowBlank="1" error="Pilih kode dari daftar (lihat sheet Daftar Kode)." errorStyle="stop" errorTitle="Kode tidak sah" imeMode="noControl" operator="between" prompt="Kandidat jenis kebutuhan SRS diperiksa berurutan K1 -&gt; K2 -&gt; K3 -&gt; K4 -&gt; K5. Lihat Bagian 7.6" promptTitle="" showDropDown="0" showErrorMessage="1" showInputMessage="1">
          <x14:formula1>
            <xm:f>'Daftar Kode'!$D$60:$D$64</xm:f>
          </x14:formula1>
          <x14:formula2>
            <xm:f>"""0"""</xm:f>
          </x14:formula2>
          <xm:sqref>K2:K86</xm:sqref>
        </x14:dataValidation>
        <x14:dataValidation xr:uid="{3F5D4908-FD3C-4AFE-AA50-AFBA8F1B7EE8}" type="list" allowBlank="1" error="Pilih kode dari daftar (lihat sheet Daftar Kode)." errorStyle="stop" errorTitle="Kode tidak sah" imeMode="noControl" operator="between" prompt="Tema kedua bila unit memuat dua tema (gunakan kode dari Bagian 7.3). T99 tidak digunakan di sini." promptTitle="Opsional" showDropDown="0" showErrorMessage="1" showInputMessage="1">
          <x14:formula1>
            <xm:f>'Daftar Kode'!$D$21:$D$36</xm:f>
          </x14:formula1>
          <x14:formula2>
            <xm:f>"""0"""</xm:f>
          </x14:formula2>
          <xm:sqref>L2:L86</xm:sqref>
        </x14:dataValidation>
        <x14:dataValidation xr:uid="{0F9E9F1F-9D3B-45BB-8224-9DD7B5A1B2F6}" type="list" allowBlank="1" error="Pilih kode dari daftar (lihat sheet Daftar Kode)." errorStyle="stop" errorTitle="Kode tidak sah" imeMode="noControl" operator="between" prompt="Kodekan pihak yang secara eksplisit menjadi subjek tata bahasa norma utama pada kolom “Isi”. Jangan menyimpulkan subjek dari judul BAB." promptTitle="" showDropDown="0" showErrorMessage="1" showInputMessage="1">
          <x14:formula1>
            <xm:f>'Daftar Kode'!$D$5:$D$13</xm:f>
          </x14:formula1>
          <x14:formula2>
            <xm:f>"""0"""</xm:f>
          </x14:formula2>
          <xm:sqref>F2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85" workbookViewId="0">
      <pane ySplit="3" topLeftCell="A4" activePane="bottomLeft" state="frozen"/>
      <selection activeCell="C64" activeCellId="0" sqref="C64"/>
    </sheetView>
  </sheetViews>
  <sheetFormatPr defaultColWidth="8.6796875" defaultRowHeight="14.25"/>
  <cols>
    <col customWidth="1" min="1" max="1" style="1" width="22"/>
    <col customWidth="1" min="2" max="2" style="1" width="8"/>
    <col customWidth="1" min="3" max="3" style="1" width="51.890000000000001"/>
    <col customWidth="1" min="4" max="4" style="21" width="58.380000000000003"/>
    <col customWidth="0" min="5" max="16384" style="1" width="8.6799999999999997"/>
  </cols>
  <sheetData>
    <row r="1" ht="16.5">
      <c r="A1" s="2" t="s">
        <v>82</v>
      </c>
    </row>
    <row r="2" ht="15">
      <c r="A2" s="3" t="s">
        <v>83</v>
      </c>
    </row>
    <row r="4" ht="15">
      <c r="A4" s="14" t="s">
        <v>84</v>
      </c>
      <c r="B4" s="14" t="s">
        <v>53</v>
      </c>
      <c r="C4" s="14" t="s">
        <v>85</v>
      </c>
      <c r="D4" s="22" t="str">
        <f t="shared" ref="D4:D9" si="6">$B4 &amp; " - " &amp; $C4</f>
        <v xml:space="preserve">Kode - Label</v>
      </c>
    </row>
    <row r="5" ht="15">
      <c r="A5" s="23" t="s">
        <v>32</v>
      </c>
      <c r="B5" s="24" t="s">
        <v>86</v>
      </c>
      <c r="C5" s="23" t="s">
        <v>87</v>
      </c>
      <c r="D5" s="21" t="str">
        <f t="shared" si="6"/>
        <v xml:space="preserve">S1 - Pengendali Data Pribadi</v>
      </c>
    </row>
    <row r="6" ht="15">
      <c r="A6" s="23" t="s">
        <v>32</v>
      </c>
      <c r="B6" s="24" t="s">
        <v>88</v>
      </c>
      <c r="C6" s="23" t="s">
        <v>89</v>
      </c>
      <c r="D6" s="21" t="str">
        <f t="shared" si="6"/>
        <v xml:space="preserve">S2 - Prosesor Data Pribadi</v>
      </c>
    </row>
    <row r="7" ht="15">
      <c r="A7" s="23" t="s">
        <v>32</v>
      </c>
      <c r="B7" s="24" t="s">
        <v>90</v>
      </c>
      <c r="C7" s="23" t="s">
        <v>91</v>
      </c>
      <c r="D7" s="21" t="str">
        <f t="shared" si="6"/>
        <v xml:space="preserve">S3 - Pengendali dan Prosesor</v>
      </c>
    </row>
    <row r="8" ht="15">
      <c r="A8" s="23" t="s">
        <v>32</v>
      </c>
      <c r="B8" s="24" t="s">
        <v>92</v>
      </c>
      <c r="C8" s="23" t="s">
        <v>93</v>
      </c>
      <c r="D8" s="21" t="str">
        <f t="shared" si="6"/>
        <v xml:space="preserve">S4 - Subjek Data Pribadi</v>
      </c>
    </row>
    <row r="9" ht="15">
      <c r="A9" s="23" t="s">
        <v>32</v>
      </c>
      <c r="B9" s="24" t="s">
        <v>94</v>
      </c>
      <c r="C9" s="23" t="s">
        <v>95</v>
      </c>
      <c r="D9" s="21" t="str">
        <f t="shared" si="6"/>
        <v xml:space="preserve">S5 - Setiap Orang atau pihak umum</v>
      </c>
    </row>
    <row r="10" ht="15">
      <c r="A10" s="23" t="s">
        <v>32</v>
      </c>
      <c r="B10" s="24" t="s">
        <v>96</v>
      </c>
      <c r="C10" s="23" t="s">
        <v>97</v>
      </c>
      <c r="D10" s="21" t="str">
        <f t="shared" ref="D10:D64" si="7">$B10 &amp; " - " &amp; $C10</f>
        <v xml:space="preserve">S6 - Instansi atau Badan Publik</v>
      </c>
    </row>
    <row r="11" ht="15">
      <c r="A11" s="23" t="s">
        <v>32</v>
      </c>
      <c r="B11" s="24" t="s">
        <v>98</v>
      </c>
      <c r="C11" s="23" t="s">
        <v>99</v>
      </c>
      <c r="D11" s="21" t="str">
        <f t="shared" si="7"/>
        <v xml:space="preserve">S7 - Otoritas Penetap atau Pengawas Kebijakan</v>
      </c>
    </row>
    <row r="12" ht="15">
      <c r="A12" s="23" t="s">
        <v>32</v>
      </c>
      <c r="B12" s="24" t="s">
        <v>100</v>
      </c>
      <c r="C12" s="23" t="s">
        <v>101</v>
      </c>
      <c r="D12" s="21" t="str">
        <f t="shared" si="7"/>
        <v xml:space="preserve">S8 - Penyelenggara sektor atau pihak lain</v>
      </c>
    </row>
    <row r="13" ht="15">
      <c r="A13" s="23" t="s">
        <v>32</v>
      </c>
      <c r="B13" s="24" t="s">
        <v>102</v>
      </c>
      <c r="C13" s="23" t="s">
        <v>103</v>
      </c>
      <c r="D13" s="21" t="str">
        <f t="shared" si="7"/>
        <v xml:space="preserve">S9 - Tidak ada subjek perorangan atau organisasi eksplisit</v>
      </c>
    </row>
    <row r="15" ht="15">
      <c r="A15" s="14" t="s">
        <v>84</v>
      </c>
      <c r="B15" s="14" t="s">
        <v>53</v>
      </c>
      <c r="C15" s="14" t="s">
        <v>85</v>
      </c>
      <c r="D15" s="22" t="str">
        <f t="shared" si="7"/>
        <v xml:space="preserve">Kode - Label</v>
      </c>
    </row>
    <row r="16" ht="15">
      <c r="A16" s="23" t="s">
        <v>34</v>
      </c>
      <c r="B16" s="24" t="s">
        <v>104</v>
      </c>
      <c r="C16" s="23" t="s">
        <v>105</v>
      </c>
      <c r="D16" s="21" t="str">
        <f t="shared" si="7"/>
        <v xml:space="preserve">R0 - Tidak relevan</v>
      </c>
    </row>
    <row r="17" ht="15">
      <c r="A17" s="23" t="s">
        <v>34</v>
      </c>
      <c r="B17" s="24" t="s">
        <v>106</v>
      </c>
      <c r="C17" s="23" t="s">
        <v>107</v>
      </c>
      <c r="D17" s="21" t="str">
        <f t="shared" si="7"/>
        <v xml:space="preserve">R1 - Relevan tidak langsung</v>
      </c>
    </row>
    <row r="18" ht="15">
      <c r="A18" s="23" t="s">
        <v>34</v>
      </c>
      <c r="B18" s="24" t="s">
        <v>108</v>
      </c>
      <c r="C18" s="23" t="s">
        <v>109</v>
      </c>
      <c r="D18" s="21" t="str">
        <f t="shared" si="7"/>
        <v xml:space="preserve">R2 - Relevan langsung</v>
      </c>
    </row>
    <row r="20" ht="15">
      <c r="A20" s="14" t="s">
        <v>84</v>
      </c>
      <c r="B20" s="14" t="s">
        <v>53</v>
      </c>
      <c r="C20" s="14" t="s">
        <v>85</v>
      </c>
      <c r="D20" s="22" t="str">
        <f t="shared" si="7"/>
        <v xml:space="preserve">Kode - Label</v>
      </c>
    </row>
    <row r="21" ht="15">
      <c r="A21" s="23" t="s">
        <v>36</v>
      </c>
      <c r="B21" s="24" t="s">
        <v>110</v>
      </c>
      <c r="C21" s="23" t="s">
        <v>111</v>
      </c>
      <c r="D21" s="21" t="str">
        <f t="shared" si="7"/>
        <v xml:space="preserve">T01 - Definisi, Istilah, dan Ruang Lingkup</v>
      </c>
    </row>
    <row r="22" ht="15">
      <c r="A22" s="23" t="s">
        <v>36</v>
      </c>
      <c r="B22" s="24" t="s">
        <v>112</v>
      </c>
      <c r="C22" s="23" t="s">
        <v>113</v>
      </c>
      <c r="D22" s="21" t="str">
        <f t="shared" si="7"/>
        <v xml:space="preserve">T02 - Latar Normatif dan Rujukan Non-operasional</v>
      </c>
    </row>
    <row r="23" ht="15">
      <c r="A23" s="23" t="s">
        <v>36</v>
      </c>
      <c r="B23" s="24" t="s">
        <v>114</v>
      </c>
      <c r="C23" s="23" t="s">
        <v>115</v>
      </c>
      <c r="D23" s="21" t="str">
        <f t="shared" si="7"/>
        <v xml:space="preserve">T03 - Larangan dan Perbuatan Melawan Hukum</v>
      </c>
    </row>
    <row r="24" ht="15">
      <c r="A24" s="23" t="s">
        <v>36</v>
      </c>
      <c r="B24" s="24" t="s">
        <v>116</v>
      </c>
      <c r="C24" s="23" t="s">
        <v>117</v>
      </c>
      <c r="D24" s="21" t="str">
        <f t="shared" si="7"/>
        <v xml:space="preserve">T04 - Pengecualian dan Pembatasan</v>
      </c>
    </row>
    <row r="25" ht="15">
      <c r="A25" s="23" t="s">
        <v>36</v>
      </c>
      <c r="B25" s="24" t="s">
        <v>118</v>
      </c>
      <c r="C25" s="23" t="s">
        <v>119</v>
      </c>
      <c r="D25" s="21" t="str">
        <f t="shared" si="7"/>
        <v xml:space="preserve">T05 - Jenis dan Klasifikasi Data Pribadi</v>
      </c>
    </row>
    <row r="26" ht="15">
      <c r="A26" s="23" t="s">
        <v>36</v>
      </c>
      <c r="B26" s="24" t="s">
        <v>120</v>
      </c>
      <c r="C26" s="23" t="s">
        <v>121</v>
      </c>
      <c r="D26" s="21" t="str">
        <f t="shared" si="7"/>
        <v xml:space="preserve">T06 - Data Pribadi Anak dan Kelompok Rentan</v>
      </c>
    </row>
    <row r="27" ht="15">
      <c r="A27" s="23" t="s">
        <v>36</v>
      </c>
      <c r="B27" s="24" t="s">
        <v>122</v>
      </c>
      <c r="C27" s="23" t="s">
        <v>123</v>
      </c>
      <c r="D27" s="21" t="str">
        <f t="shared" si="7"/>
        <v xml:space="preserve">T07 - Hak Subjek Data Pribadi</v>
      </c>
    </row>
    <row r="28" ht="15">
      <c r="A28" s="23" t="s">
        <v>36</v>
      </c>
      <c r="B28" s="24" t="s">
        <v>124</v>
      </c>
      <c r="C28" s="23" t="s">
        <v>125</v>
      </c>
      <c r="D28" s="21" t="str">
        <f t="shared" si="7"/>
        <v xml:space="preserve">T08 - Retensi, Penghentian, Penghapusan, dan Pemusnahan</v>
      </c>
    </row>
    <row r="29" ht="15">
      <c r="A29" s="23" t="s">
        <v>36</v>
      </c>
      <c r="B29" s="24" t="s">
        <v>126</v>
      </c>
      <c r="C29" s="23" t="s">
        <v>127</v>
      </c>
      <c r="D29" s="21" t="str">
        <f t="shared" si="7"/>
        <v xml:space="preserve">T09 - Dasar Pemrosesan dan Persetujuan</v>
      </c>
    </row>
    <row r="30" ht="15">
      <c r="A30" s="23" t="s">
        <v>36</v>
      </c>
      <c r="B30" s="24" t="s">
        <v>128</v>
      </c>
      <c r="C30" s="23" t="s">
        <v>129</v>
      </c>
      <c r="D30" s="21" t="str">
        <f t="shared" si="7"/>
        <v xml:space="preserve">T10 - Transfer dan Pengalihan Data</v>
      </c>
    </row>
    <row r="31" ht="15">
      <c r="A31" s="23" t="s">
        <v>36</v>
      </c>
      <c r="B31" s="24" t="s">
        <v>130</v>
      </c>
      <c r="C31" s="23" t="s">
        <v>131</v>
      </c>
      <c r="D31" s="21" t="str">
        <f t="shared" si="7"/>
        <v xml:space="preserve">T11 - Keamanan, Kerahasiaan, dan Penanganan Insiden</v>
      </c>
    </row>
    <row r="32" ht="15">
      <c r="A32" s="23" t="s">
        <v>36</v>
      </c>
      <c r="B32" s="24" t="s">
        <v>132</v>
      </c>
      <c r="C32" s="23" t="s">
        <v>133</v>
      </c>
      <c r="D32" s="21" t="str">
        <f t="shared" si="7"/>
        <v xml:space="preserve">T12 - Kualitas, Akurasi, dan Pembaruan Data</v>
      </c>
    </row>
    <row r="33" ht="15">
      <c r="A33" s="23" t="s">
        <v>36</v>
      </c>
      <c r="B33" s="24" t="s">
        <v>134</v>
      </c>
      <c r="C33" s="23" t="s">
        <v>135</v>
      </c>
      <c r="D33" s="21" t="str">
        <f t="shared" si="7"/>
        <v xml:space="preserve">T13 - Akuntabilitas, Pencatatan, dan Tata Kelola Kepatuhan</v>
      </c>
    </row>
    <row r="34" ht="15">
      <c r="A34" s="23" t="s">
        <v>36</v>
      </c>
      <c r="B34" s="24" t="s">
        <v>136</v>
      </c>
      <c r="C34" s="23" t="s">
        <v>137</v>
      </c>
      <c r="D34" s="21" t="str">
        <f t="shared" si="7"/>
        <v xml:space="preserve">T14 - Akses dan Pemanfaatan Data Pemerintah</v>
      </c>
    </row>
    <row r="35" ht="15">
      <c r="A35" s="23" t="s">
        <v>36</v>
      </c>
      <c r="B35" s="24" t="s">
        <v>138</v>
      </c>
      <c r="C35" s="23" t="s">
        <v>139</v>
      </c>
      <c r="D35" s="21" t="str">
        <f t="shared" si="7"/>
        <v xml:space="preserve">T15 - Asas dan Prinsip Pemrosesan</v>
      </c>
    </row>
    <row r="36" ht="15">
      <c r="A36" s="23" t="s">
        <v>36</v>
      </c>
      <c r="B36" s="24" t="s">
        <v>140</v>
      </c>
      <c r="C36" s="23" t="s">
        <v>141</v>
      </c>
      <c r="D36" s="21" t="str">
        <f t="shared" si="7"/>
        <v xml:space="preserve">T16 - Aktivitas Pemrosesan dan Pengumpulan</v>
      </c>
    </row>
    <row r="37" ht="15">
      <c r="A37" s="23" t="s">
        <v>36</v>
      </c>
      <c r="B37" s="24" t="s">
        <v>142</v>
      </c>
      <c r="C37" s="23" t="s">
        <v>143</v>
      </c>
      <c r="D37" s="21" t="str">
        <f t="shared" si="7"/>
        <v xml:space="preserve">T99 - Lainnya (wajib jelaskan di V12)</v>
      </c>
    </row>
    <row r="39" ht="15">
      <c r="A39" s="14" t="s">
        <v>84</v>
      </c>
      <c r="B39" s="14" t="s">
        <v>53</v>
      </c>
      <c r="C39" s="14" t="s">
        <v>85</v>
      </c>
      <c r="D39" s="22" t="str">
        <f t="shared" si="7"/>
        <v xml:space="preserve">Kode - Label</v>
      </c>
    </row>
    <row r="40" ht="15">
      <c r="A40" s="23" t="s">
        <v>38</v>
      </c>
      <c r="B40" s="24" t="s">
        <v>144</v>
      </c>
      <c r="C40" s="23" t="s">
        <v>145</v>
      </c>
      <c r="D40" s="21" t="str">
        <f t="shared" si="7"/>
        <v xml:space="preserve">P1 - Larangan</v>
      </c>
    </row>
    <row r="41" ht="15">
      <c r="A41" s="23" t="s">
        <v>38</v>
      </c>
      <c r="B41" s="24" t="s">
        <v>146</v>
      </c>
      <c r="C41" s="23" t="s">
        <v>147</v>
      </c>
      <c r="D41" s="21" t="str">
        <f t="shared" si="7"/>
        <v xml:space="preserve">P2 - Kewajiban</v>
      </c>
    </row>
    <row r="42" ht="15">
      <c r="A42" s="23" t="s">
        <v>38</v>
      </c>
      <c r="B42" s="24" t="s">
        <v>148</v>
      </c>
      <c r="C42" s="23" t="s">
        <v>149</v>
      </c>
      <c r="D42" s="21" t="str">
        <f t="shared" si="7"/>
        <v xml:space="preserve">P3 - Hak</v>
      </c>
    </row>
    <row r="43" ht="15">
      <c r="A43" s="23" t="s">
        <v>38</v>
      </c>
      <c r="B43" s="24" t="s">
        <v>150</v>
      </c>
      <c r="C43" s="23" t="s">
        <v>151</v>
      </c>
      <c r="D43" s="21" t="str">
        <f t="shared" si="7"/>
        <v xml:space="preserve">P4 - Pengecualian atau pembatasan</v>
      </c>
    </row>
    <row r="44" ht="15">
      <c r="A44" s="23" t="s">
        <v>38</v>
      </c>
      <c r="B44" s="24" t="s">
        <v>152</v>
      </c>
      <c r="C44" s="23" t="s">
        <v>153</v>
      </c>
      <c r="D44" s="21" t="str">
        <f t="shared" si="7"/>
        <v xml:space="preserve">P5 - Kebolehan atau kewenangan</v>
      </c>
    </row>
    <row r="45" ht="15">
      <c r="A45" s="23" t="s">
        <v>38</v>
      </c>
      <c r="B45" s="24" t="s">
        <v>154</v>
      </c>
      <c r="C45" s="23" t="s">
        <v>155</v>
      </c>
      <c r="D45" s="21" t="str">
        <f t="shared" si="7"/>
        <v xml:space="preserve">P6 - Definisi, klasifikasi, atau ruang lingkup</v>
      </c>
    </row>
    <row r="46" ht="15">
      <c r="A46" s="23" t="s">
        <v>38</v>
      </c>
      <c r="B46" s="24" t="s">
        <v>156</v>
      </c>
      <c r="C46" s="23" t="s">
        <v>157</v>
      </c>
      <c r="D46" s="21" t="str">
        <f t="shared" si="7"/>
        <v xml:space="preserve">P7 - Asas, prinsip, atau tujuan umum</v>
      </c>
    </row>
    <row r="47" ht="15">
      <c r="A47" s="23" t="s">
        <v>38</v>
      </c>
      <c r="B47" s="24" t="s">
        <v>158</v>
      </c>
      <c r="C47" s="23" t="s">
        <v>159</v>
      </c>
      <c r="D47" s="21" t="str">
        <f t="shared" si="7"/>
        <v xml:space="preserve">P8 - Deskriptif, argumentatif, dan rujukan</v>
      </c>
    </row>
    <row r="49" ht="15">
      <c r="A49" s="14" t="s">
        <v>84</v>
      </c>
      <c r="B49" s="14" t="s">
        <v>53</v>
      </c>
      <c r="C49" s="14" t="s">
        <v>85</v>
      </c>
      <c r="D49" s="22" t="str">
        <f t="shared" si="7"/>
        <v xml:space="preserve">Kode - Label</v>
      </c>
    </row>
    <row r="50" ht="15">
      <c r="A50" s="23" t="s">
        <v>40</v>
      </c>
      <c r="B50" s="24" t="s">
        <v>160</v>
      </c>
      <c r="C50" s="23" t="s">
        <v>161</v>
      </c>
      <c r="D50" s="21" t="str">
        <f t="shared" si="7"/>
        <v xml:space="preserve">F1 - Perencanaan dan dasar pemrosesan</v>
      </c>
    </row>
    <row r="51" ht="15">
      <c r="A51" s="23" t="s">
        <v>40</v>
      </c>
      <c r="B51" s="24" t="s">
        <v>162</v>
      </c>
      <c r="C51" s="23" t="s">
        <v>163</v>
      </c>
      <c r="D51" s="21" t="str">
        <f t="shared" si="7"/>
        <v xml:space="preserve">F2 - Pengumpulan atau akuisisi</v>
      </c>
    </row>
    <row r="52" ht="15">
      <c r="A52" s="23" t="s">
        <v>40</v>
      </c>
      <c r="B52" s="24" t="s">
        <v>164</v>
      </c>
      <c r="C52" s="23" t="s">
        <v>165</v>
      </c>
      <c r="D52" s="21" t="str">
        <f t="shared" si="7"/>
        <v xml:space="preserve">F3 - Pengolahan dan analisis</v>
      </c>
    </row>
    <row r="53" ht="15">
      <c r="A53" s="23" t="s">
        <v>40</v>
      </c>
      <c r="B53" s="24" t="s">
        <v>166</v>
      </c>
      <c r="C53" s="23" t="s">
        <v>167</v>
      </c>
      <c r="D53" s="21" t="str">
        <f t="shared" si="7"/>
        <v xml:space="preserve">F4 - Penyimpanan dan pengamanan</v>
      </c>
    </row>
    <row r="54" ht="15">
      <c r="A54" s="23" t="s">
        <v>40</v>
      </c>
      <c r="B54" s="24" t="s">
        <v>168</v>
      </c>
      <c r="C54" s="23" t="s">
        <v>169</v>
      </c>
      <c r="D54" s="21" t="str">
        <f t="shared" si="7"/>
        <v xml:space="preserve">F5 - Penyebarluasan dan transfer</v>
      </c>
    </row>
    <row r="55" ht="15">
      <c r="A55" s="23" t="s">
        <v>40</v>
      </c>
      <c r="B55" s="24" t="s">
        <v>170</v>
      </c>
      <c r="C55" s="23" t="s">
        <v>171</v>
      </c>
      <c r="D55" s="21" t="str">
        <f t="shared" si="7"/>
        <v xml:space="preserve">F6 - Retensi dan penghapusan</v>
      </c>
    </row>
    <row r="56" ht="15">
      <c r="A56" s="23" t="s">
        <v>40</v>
      </c>
      <c r="B56" s="24" t="s">
        <v>172</v>
      </c>
      <c r="C56" s="23" t="s">
        <v>173</v>
      </c>
      <c r="D56" s="21" t="str">
        <f t="shared" si="7"/>
        <v xml:space="preserve">F7 - Tata kelola dan hak subjek</v>
      </c>
    </row>
    <row r="57" ht="15">
      <c r="A57" s="23" t="s">
        <v>40</v>
      </c>
      <c r="B57" s="24" t="s">
        <v>174</v>
      </c>
      <c r="C57" s="23" t="s">
        <v>175</v>
      </c>
      <c r="D57" s="21" t="str">
        <f t="shared" si="7"/>
        <v xml:space="preserve">F8 - Lintas tahap atau tidak spesifik</v>
      </c>
    </row>
    <row r="59" ht="15">
      <c r="A59" s="14" t="s">
        <v>84</v>
      </c>
      <c r="B59" s="14" t="s">
        <v>53</v>
      </c>
      <c r="C59" s="14" t="s">
        <v>85</v>
      </c>
      <c r="D59" s="22" t="str">
        <f t="shared" si="7"/>
        <v xml:space="preserve">Kode - Label</v>
      </c>
    </row>
    <row r="60" ht="15">
      <c r="A60" s="23" t="s">
        <v>42</v>
      </c>
      <c r="B60" s="24" t="s">
        <v>176</v>
      </c>
      <c r="C60" s="23" t="s">
        <v>177</v>
      </c>
      <c r="D60" s="21" t="str">
        <f t="shared" si="7"/>
        <v xml:space="preserve">K1 - Non-fungsional: keamanan dan kerahasiaan. Apakah inti teks melindungi data dari akses atau gangguan tidak sah?</v>
      </c>
    </row>
    <row r="61" ht="15">
      <c r="A61" s="23" t="s">
        <v>42</v>
      </c>
      <c r="B61" s="24" t="s">
        <v>178</v>
      </c>
      <c r="C61" s="23" t="s">
        <v>179</v>
      </c>
      <c r="D61" s="21" t="str">
        <f t="shared" si="7"/>
        <v xml:space="preserve">K2 - Non-fungsional: mutu data, kepatuhan, dan akuntabilitas. Apakah ini mutu atau bukti yang berlaku untuk seluruh sistem, bukan hanya satu operasi?</v>
      </c>
    </row>
    <row r="62" ht="15">
      <c r="A62" s="23" t="s">
        <v>42</v>
      </c>
      <c r="B62" s="24" t="s">
        <v>180</v>
      </c>
      <c r="C62" s="23" t="s">
        <v>181</v>
      </c>
      <c r="D62" s="21" t="str">
        <f t="shared" si="7"/>
        <v xml:space="preserve">K3 - Fungsional. Dapatkah ditulis "Sistem harus [melakukan X]" dengan hasil hanya lulus atau gagal?</v>
      </c>
    </row>
    <row r="63" ht="15">
      <c r="A63" s="23" t="s">
        <v>42</v>
      </c>
      <c r="B63" s="24" t="s">
        <v>182</v>
      </c>
      <c r="C63" s="23" t="s">
        <v>183</v>
      </c>
      <c r="D63" s="21" t="str">
        <f t="shared" si="7"/>
        <v xml:space="preserve">K4 - Batasan atau aturan bisnis hukum. Apakah teks membatasi apa yang boleh dilakukan sistem, atau apa dan siapa yang tercakup?</v>
      </c>
    </row>
    <row r="64" ht="15">
      <c r="A64" s="23" t="s">
        <v>42</v>
      </c>
      <c r="B64" s="24" t="s">
        <v>184</v>
      </c>
      <c r="C64" s="23" t="s">
        <v>185</v>
      </c>
      <c r="D64" s="21" t="str">
        <f t="shared" si="7"/>
        <v xml:space="preserve">K5 - Tidak menghasilkan kebutuhan. Apakah teks benar-benar tidak dapat diterjemahkan menjadi kalimat "Sistem harus/tidak boleh …"?</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A1" zoomScale="85" workbookViewId="0">
      <selection activeCell="C27" activeCellId="0" sqref="C27"/>
    </sheetView>
  </sheetViews>
  <sheetFormatPr defaultColWidth="8.6796875" defaultRowHeight="15"/>
  <cols>
    <col customWidth="1" min="6" max="6" style="11" width="60"/>
    <col customWidth="1" min="8" max="8" style="11" width="90"/>
  </cols>
  <sheetData>
    <row r="1" ht="15">
      <c r="A1" s="25" t="s">
        <v>186</v>
      </c>
      <c r="B1" s="25" t="s">
        <v>60</v>
      </c>
      <c r="C1" s="25" t="s">
        <v>61</v>
      </c>
      <c r="D1" s="25" t="s">
        <v>187</v>
      </c>
      <c r="E1" s="25" t="s">
        <v>188</v>
      </c>
      <c r="F1" s="25" t="s">
        <v>56</v>
      </c>
      <c r="H1" s="4" t="s">
        <v>189</v>
      </c>
    </row>
    <row r="2" ht="15">
      <c r="A2" s="11" t="s">
        <v>190</v>
      </c>
      <c r="B2" s="11" t="s">
        <v>191</v>
      </c>
      <c r="C2" s="11" t="s">
        <v>192</v>
      </c>
      <c r="D2" s="11" t="s">
        <v>193</v>
      </c>
      <c r="E2" s="11" t="s">
        <v>194</v>
      </c>
      <c r="F2" s="11" t="s">
        <v>195</v>
      </c>
      <c r="H2" s="3" t="s">
        <v>196</v>
      </c>
    </row>
    <row r="3" ht="15">
      <c r="A3" s="11" t="s">
        <v>190</v>
      </c>
      <c r="B3" s="11" t="s">
        <v>191</v>
      </c>
      <c r="C3" s="11" t="s">
        <v>192</v>
      </c>
      <c r="D3" s="11" t="s">
        <v>193</v>
      </c>
      <c r="E3" s="11" t="s">
        <v>197</v>
      </c>
      <c r="F3" s="11" t="s">
        <v>198</v>
      </c>
      <c r="H3" s="3" t="s">
        <v>199</v>
      </c>
    </row>
    <row r="4" ht="15">
      <c r="A4" s="11" t="s">
        <v>190</v>
      </c>
      <c r="B4" s="11" t="s">
        <v>191</v>
      </c>
      <c r="C4" s="11" t="s">
        <v>192</v>
      </c>
      <c r="D4" s="11" t="s">
        <v>193</v>
      </c>
      <c r="E4" s="11" t="s">
        <v>200</v>
      </c>
      <c r="F4" s="11" t="s">
        <v>201</v>
      </c>
      <c r="H4" s="3" t="s">
        <v>202</v>
      </c>
    </row>
    <row r="5" ht="15">
      <c r="A5" s="11" t="s">
        <v>190</v>
      </c>
      <c r="B5" s="11" t="s">
        <v>191</v>
      </c>
      <c r="C5" s="11" t="s">
        <v>192</v>
      </c>
      <c r="D5" s="11" t="s">
        <v>193</v>
      </c>
      <c r="E5" s="11" t="s">
        <v>203</v>
      </c>
      <c r="F5" s="11" t="s">
        <v>204</v>
      </c>
    </row>
    <row r="6" ht="15">
      <c r="A6" s="11" t="s">
        <v>190</v>
      </c>
      <c r="B6" s="11" t="s">
        <v>191</v>
      </c>
      <c r="C6" s="11" t="s">
        <v>192</v>
      </c>
      <c r="D6" s="11" t="s">
        <v>193</v>
      </c>
      <c r="E6" s="11" t="s">
        <v>205</v>
      </c>
      <c r="F6" s="11" t="s">
        <v>206</v>
      </c>
    </row>
    <row r="7" ht="15">
      <c r="A7" s="11" t="s">
        <v>190</v>
      </c>
      <c r="B7" s="11" t="s">
        <v>191</v>
      </c>
      <c r="C7" s="11" t="s">
        <v>192</v>
      </c>
      <c r="D7" s="11" t="s">
        <v>193</v>
      </c>
      <c r="E7" s="11" t="s">
        <v>207</v>
      </c>
      <c r="F7" s="11" t="s">
        <v>208</v>
      </c>
    </row>
    <row r="8" ht="15">
      <c r="A8" s="11" t="s">
        <v>190</v>
      </c>
      <c r="B8" s="11" t="s">
        <v>191</v>
      </c>
      <c r="C8" s="11" t="s">
        <v>192</v>
      </c>
      <c r="D8" s="11" t="s">
        <v>209</v>
      </c>
      <c r="E8" s="11" t="s">
        <v>194</v>
      </c>
      <c r="F8" s="11" t="s">
        <v>210</v>
      </c>
    </row>
    <row r="9" ht="15">
      <c r="A9" s="11" t="s">
        <v>190</v>
      </c>
      <c r="B9" s="11" t="s">
        <v>191</v>
      </c>
      <c r="C9" s="11" t="s">
        <v>192</v>
      </c>
      <c r="D9" s="11" t="s">
        <v>209</v>
      </c>
      <c r="E9" s="11" t="s">
        <v>197</v>
      </c>
      <c r="F9" s="11" t="s">
        <v>211</v>
      </c>
    </row>
    <row r="10" ht="15">
      <c r="A10" s="11" t="s">
        <v>190</v>
      </c>
      <c r="B10" s="11" t="s">
        <v>191</v>
      </c>
      <c r="C10" s="11" t="s">
        <v>192</v>
      </c>
      <c r="D10" s="11" t="s">
        <v>209</v>
      </c>
      <c r="E10" s="11" t="s">
        <v>200</v>
      </c>
      <c r="F10" s="11" t="s">
        <v>212</v>
      </c>
    </row>
    <row r="11" ht="15">
      <c r="A11" s="11" t="s">
        <v>190</v>
      </c>
      <c r="B11" s="11" t="s">
        <v>191</v>
      </c>
      <c r="C11" s="11" t="s">
        <v>192</v>
      </c>
      <c r="D11" s="11" t="s">
        <v>209</v>
      </c>
      <c r="E11" s="11" t="s">
        <v>203</v>
      </c>
      <c r="F11" s="11" t="s">
        <v>213</v>
      </c>
    </row>
    <row r="12" ht="15">
      <c r="A12" s="11" t="s">
        <v>190</v>
      </c>
      <c r="B12" s="11" t="s">
        <v>191</v>
      </c>
      <c r="C12" s="11" t="s">
        <v>192</v>
      </c>
      <c r="D12" s="11" t="s">
        <v>214</v>
      </c>
      <c r="E12" s="11" t="s">
        <v>194</v>
      </c>
      <c r="F12" s="11" t="s">
        <v>215</v>
      </c>
    </row>
    <row r="13" ht="15">
      <c r="A13" s="11" t="s">
        <v>190</v>
      </c>
      <c r="B13" s="11" t="s">
        <v>191</v>
      </c>
      <c r="C13" s="11" t="s">
        <v>192</v>
      </c>
      <c r="D13" s="11" t="s">
        <v>214</v>
      </c>
      <c r="E13" s="11" t="s">
        <v>197</v>
      </c>
      <c r="F13" s="11" t="s">
        <v>216</v>
      </c>
    </row>
    <row r="14" ht="15">
      <c r="A14" s="11" t="s">
        <v>190</v>
      </c>
      <c r="B14" s="11" t="s">
        <v>191</v>
      </c>
      <c r="C14" s="11" t="s">
        <v>192</v>
      </c>
      <c r="D14" s="11" t="s">
        <v>217</v>
      </c>
      <c r="E14" s="11" t="s">
        <v>194</v>
      </c>
      <c r="F14" s="11" t="s">
        <v>218</v>
      </c>
    </row>
    <row r="15" ht="15">
      <c r="A15" s="11" t="s">
        <v>190</v>
      </c>
      <c r="B15" s="11" t="s">
        <v>191</v>
      </c>
      <c r="C15" s="11" t="s">
        <v>192</v>
      </c>
      <c r="D15" s="11" t="s">
        <v>217</v>
      </c>
      <c r="E15" s="11" t="s">
        <v>197</v>
      </c>
      <c r="F15" s="11" t="s">
        <v>219</v>
      </c>
    </row>
    <row r="16" ht="15">
      <c r="A16" s="11" t="s">
        <v>190</v>
      </c>
      <c r="B16" s="11" t="s">
        <v>191</v>
      </c>
      <c r="C16" s="11" t="s">
        <v>192</v>
      </c>
      <c r="D16" s="11" t="s">
        <v>217</v>
      </c>
      <c r="E16" s="11" t="s">
        <v>200</v>
      </c>
      <c r="F16" s="11" t="s">
        <v>220</v>
      </c>
    </row>
    <row r="17" ht="15">
      <c r="A17" s="11" t="s">
        <v>190</v>
      </c>
      <c r="B17" s="11" t="s">
        <v>191</v>
      </c>
      <c r="C17" s="11" t="s">
        <v>192</v>
      </c>
      <c r="D17" s="11" t="s">
        <v>217</v>
      </c>
      <c r="E17" s="11" t="s">
        <v>221</v>
      </c>
      <c r="F17" s="11" t="s">
        <v>222</v>
      </c>
    </row>
    <row r="18" ht="15">
      <c r="A18" s="11" t="s">
        <v>190</v>
      </c>
      <c r="B18" s="11" t="s">
        <v>191</v>
      </c>
      <c r="C18" s="11" t="s">
        <v>192</v>
      </c>
      <c r="D18" s="11" t="s">
        <v>217</v>
      </c>
      <c r="E18" s="11" t="s">
        <v>223</v>
      </c>
      <c r="F18" s="11" t="s">
        <v>224</v>
      </c>
    </row>
    <row r="19" ht="15">
      <c r="A19" s="11" t="s">
        <v>190</v>
      </c>
      <c r="B19" s="11" t="s">
        <v>191</v>
      </c>
      <c r="C19" s="11" t="s">
        <v>192</v>
      </c>
      <c r="D19" s="11" t="s">
        <v>217</v>
      </c>
      <c r="E19" s="11" t="s">
        <v>225</v>
      </c>
      <c r="F19" s="11" t="s">
        <v>226</v>
      </c>
    </row>
    <row r="20" ht="15">
      <c r="A20" s="11" t="s">
        <v>190</v>
      </c>
      <c r="B20" s="11" t="s">
        <v>191</v>
      </c>
      <c r="C20" s="11" t="s">
        <v>192</v>
      </c>
      <c r="D20" s="11" t="s">
        <v>227</v>
      </c>
      <c r="E20" s="11" t="s">
        <v>197</v>
      </c>
      <c r="F20" s="11" t="s">
        <v>228</v>
      </c>
    </row>
    <row r="21" ht="15">
      <c r="A21" s="11" t="s">
        <v>190</v>
      </c>
      <c r="B21" s="11" t="s">
        <v>191</v>
      </c>
      <c r="C21" s="11" t="s">
        <v>192</v>
      </c>
      <c r="D21" s="11" t="s">
        <v>227</v>
      </c>
      <c r="E21" s="11" t="s">
        <v>200</v>
      </c>
      <c r="F21" s="11" t="s">
        <v>229</v>
      </c>
    </row>
    <row r="22" ht="15">
      <c r="A22" s="11" t="s">
        <v>190</v>
      </c>
      <c r="B22" s="11" t="s">
        <v>191</v>
      </c>
      <c r="C22" s="11" t="s">
        <v>192</v>
      </c>
      <c r="D22" s="11" t="s">
        <v>227</v>
      </c>
      <c r="E22" s="11" t="s">
        <v>203</v>
      </c>
      <c r="F22" s="11" t="s">
        <v>230</v>
      </c>
    </row>
    <row r="23" ht="15">
      <c r="A23" s="11" t="s">
        <v>190</v>
      </c>
      <c r="B23" s="11" t="s">
        <v>191</v>
      </c>
      <c r="C23" s="11" t="s">
        <v>192</v>
      </c>
      <c r="D23" s="11" t="s">
        <v>231</v>
      </c>
      <c r="E23" s="11" t="s">
        <v>194</v>
      </c>
      <c r="F23" s="11" t="s">
        <v>232</v>
      </c>
    </row>
    <row r="24" ht="15">
      <c r="A24" s="11" t="s">
        <v>190</v>
      </c>
      <c r="B24" s="11" t="s">
        <v>191</v>
      </c>
      <c r="C24" s="11" t="s">
        <v>192</v>
      </c>
      <c r="D24" s="11" t="s">
        <v>231</v>
      </c>
      <c r="E24" s="11" t="s">
        <v>200</v>
      </c>
      <c r="F24" s="11" t="s">
        <v>233</v>
      </c>
    </row>
    <row r="25" ht="15">
      <c r="A25" s="11" t="s">
        <v>190</v>
      </c>
      <c r="B25" s="11" t="s">
        <v>234</v>
      </c>
      <c r="D25" s="11" t="s">
        <v>235</v>
      </c>
      <c r="E25" s="11" t="s">
        <v>200</v>
      </c>
      <c r="F25" s="11" t="s">
        <v>236</v>
      </c>
    </row>
    <row r="26" ht="15">
      <c r="A26" s="11" t="s">
        <v>190</v>
      </c>
      <c r="B26" s="11" t="s">
        <v>234</v>
      </c>
      <c r="D26" s="11" t="s">
        <v>235</v>
      </c>
      <c r="E26" s="11" t="s">
        <v>203</v>
      </c>
      <c r="F26" s="11" t="s">
        <v>237</v>
      </c>
    </row>
    <row r="27" ht="55.200000000000003">
      <c r="A27" s="11" t="s">
        <v>238</v>
      </c>
      <c r="B27" s="12" t="s">
        <v>239</v>
      </c>
      <c r="C27" s="12" t="s">
        <v>240</v>
      </c>
      <c r="E27" s="11" t="s">
        <v>241</v>
      </c>
      <c r="F27" s="11" t="s">
        <v>242</v>
      </c>
    </row>
    <row r="28" ht="55.200000000000003">
      <c r="A28" s="11" t="s">
        <v>243</v>
      </c>
      <c r="B28" s="12" t="s">
        <v>244</v>
      </c>
      <c r="E28" s="11" t="s">
        <v>245</v>
      </c>
      <c r="F28" s="11" t="s">
        <v>246</v>
      </c>
    </row>
    <row r="29" ht="55.200000000000003">
      <c r="A29" s="11" t="s">
        <v>243</v>
      </c>
      <c r="B29" s="12" t="s">
        <v>244</v>
      </c>
      <c r="E29" s="11" t="s">
        <v>247</v>
      </c>
      <c r="F29" s="11" t="s">
        <v>248</v>
      </c>
    </row>
    <row r="30" ht="28.350000000000001">
      <c r="A30" s="11" t="s">
        <v>243</v>
      </c>
      <c r="B30" s="12" t="s">
        <v>249</v>
      </c>
      <c r="E30" s="11" t="s">
        <v>250</v>
      </c>
      <c r="F30" s="11" t="s">
        <v>251</v>
      </c>
    </row>
    <row r="31" ht="55.200000000000003">
      <c r="A31" s="11" t="s">
        <v>243</v>
      </c>
      <c r="B31" s="12" t="s">
        <v>252</v>
      </c>
      <c r="E31" s="11" t="s">
        <v>253</v>
      </c>
      <c r="F31" s="11" t="s">
        <v>254</v>
      </c>
    </row>
    <row r="32" ht="68.650000000000006">
      <c r="A32" s="11" t="s">
        <v>243</v>
      </c>
      <c r="B32" s="12" t="s">
        <v>255</v>
      </c>
      <c r="E32" s="11" t="s">
        <v>256</v>
      </c>
      <c r="F32" s="11" t="s">
        <v>257</v>
      </c>
    </row>
    <row r="33" ht="68.650000000000006">
      <c r="A33" s="11" t="s">
        <v>243</v>
      </c>
      <c r="B33" s="12" t="s">
        <v>255</v>
      </c>
      <c r="E33" s="11" t="s">
        <v>258</v>
      </c>
      <c r="F33" s="11" t="s">
        <v>259</v>
      </c>
    </row>
    <row r="34" ht="68.650000000000006">
      <c r="A34" s="11" t="s">
        <v>243</v>
      </c>
      <c r="B34" s="12" t="s">
        <v>255</v>
      </c>
      <c r="E34" s="11" t="s">
        <v>260</v>
      </c>
      <c r="F34" s="11" t="s">
        <v>261</v>
      </c>
    </row>
    <row r="35" ht="68.650000000000006">
      <c r="A35" s="11" t="s">
        <v>243</v>
      </c>
      <c r="B35" s="12" t="s">
        <v>255</v>
      </c>
      <c r="E35" s="11" t="s">
        <v>262</v>
      </c>
      <c r="F35" s="11" t="s">
        <v>263</v>
      </c>
    </row>
    <row r="36" ht="68.650000000000006">
      <c r="A36" s="11" t="s">
        <v>243</v>
      </c>
      <c r="B36" s="12" t="s">
        <v>255</v>
      </c>
      <c r="E36" s="11" t="s">
        <v>264</v>
      </c>
      <c r="F36" s="11" t="s">
        <v>265</v>
      </c>
    </row>
    <row r="37" ht="68.650000000000006">
      <c r="A37" s="11" t="s">
        <v>243</v>
      </c>
      <c r="B37" s="12" t="s">
        <v>255</v>
      </c>
      <c r="E37" s="11" t="s">
        <v>266</v>
      </c>
      <c r="F37" s="11" t="s">
        <v>267</v>
      </c>
    </row>
    <row r="38" ht="68.650000000000006">
      <c r="A38" s="11" t="s">
        <v>243</v>
      </c>
      <c r="B38" s="12" t="s">
        <v>255</v>
      </c>
      <c r="E38" s="11" t="s">
        <v>268</v>
      </c>
      <c r="F38" s="11" t="s">
        <v>269</v>
      </c>
    </row>
    <row r="39" ht="68.650000000000006">
      <c r="A39" s="11" t="s">
        <v>243</v>
      </c>
      <c r="B39" s="12" t="s">
        <v>255</v>
      </c>
      <c r="E39" s="11" t="s">
        <v>270</v>
      </c>
      <c r="F39" s="11" t="s">
        <v>271</v>
      </c>
    </row>
    <row r="40" ht="68.650000000000006">
      <c r="A40" s="11" t="s">
        <v>243</v>
      </c>
      <c r="B40" s="12" t="s">
        <v>255</v>
      </c>
      <c r="E40" s="11" t="s">
        <v>272</v>
      </c>
      <c r="F40" s="11" t="s">
        <v>273</v>
      </c>
    </row>
    <row r="41" ht="68.650000000000006">
      <c r="A41" s="11" t="s">
        <v>243</v>
      </c>
      <c r="B41" s="12" t="s">
        <v>255</v>
      </c>
      <c r="E41" s="11" t="s">
        <v>274</v>
      </c>
      <c r="F41" s="11" t="s">
        <v>275</v>
      </c>
    </row>
    <row r="42" ht="68.650000000000006">
      <c r="A42" s="11" t="s">
        <v>243</v>
      </c>
      <c r="B42" s="12" t="s">
        <v>255</v>
      </c>
      <c r="E42" s="11" t="s">
        <v>276</v>
      </c>
      <c r="F42" s="11" t="s">
        <v>277</v>
      </c>
    </row>
    <row r="43" ht="68.650000000000006">
      <c r="A43" s="11" t="s">
        <v>243</v>
      </c>
      <c r="B43" s="12" t="s">
        <v>278</v>
      </c>
      <c r="E43" s="11" t="s">
        <v>279</v>
      </c>
      <c r="F43" s="11" t="s">
        <v>280</v>
      </c>
    </row>
    <row r="44" ht="68.650000000000006">
      <c r="A44" s="11" t="s">
        <v>243</v>
      </c>
      <c r="B44" s="12" t="s">
        <v>278</v>
      </c>
      <c r="E44" s="11" t="s">
        <v>281</v>
      </c>
      <c r="F44" s="11" t="s">
        <v>282</v>
      </c>
    </row>
    <row r="45" ht="68.650000000000006">
      <c r="A45" s="11" t="s">
        <v>243</v>
      </c>
      <c r="B45" s="12" t="s">
        <v>278</v>
      </c>
      <c r="E45" s="11" t="s">
        <v>283</v>
      </c>
      <c r="F45" s="11" t="s">
        <v>284</v>
      </c>
    </row>
    <row r="46" ht="216.40000000000001">
      <c r="A46" s="11" t="s">
        <v>243</v>
      </c>
      <c r="B46" s="12" t="s">
        <v>285</v>
      </c>
      <c r="C46" s="12" t="s">
        <v>286</v>
      </c>
      <c r="E46" s="11" t="s">
        <v>287</v>
      </c>
      <c r="F46" s="11" t="s">
        <v>288</v>
      </c>
    </row>
    <row r="47" ht="216.40000000000001">
      <c r="A47" s="11" t="s">
        <v>243</v>
      </c>
      <c r="B47" s="12" t="s">
        <v>285</v>
      </c>
      <c r="C47" s="11" t="s">
        <v>289</v>
      </c>
      <c r="E47" s="11" t="s">
        <v>290</v>
      </c>
      <c r="F47" s="11" t="s">
        <v>291</v>
      </c>
    </row>
    <row r="48" ht="216.40000000000001">
      <c r="A48" s="11" t="s">
        <v>243</v>
      </c>
      <c r="B48" s="12" t="s">
        <v>285</v>
      </c>
      <c r="C48" s="11" t="s">
        <v>289</v>
      </c>
      <c r="E48" s="11" t="s">
        <v>292</v>
      </c>
      <c r="F48" s="11" t="s">
        <v>293</v>
      </c>
    </row>
    <row r="49" ht="216.40000000000001">
      <c r="A49" s="11" t="s">
        <v>243</v>
      </c>
      <c r="B49" s="12" t="s">
        <v>285</v>
      </c>
      <c r="C49" s="11" t="s">
        <v>289</v>
      </c>
      <c r="E49" s="11" t="s">
        <v>294</v>
      </c>
      <c r="F49" s="11" t="s">
        <v>295</v>
      </c>
    </row>
    <row r="50" ht="216.40000000000001">
      <c r="A50" s="11" t="s">
        <v>243</v>
      </c>
      <c r="B50" s="12" t="s">
        <v>285</v>
      </c>
      <c r="C50" s="11" t="s">
        <v>289</v>
      </c>
      <c r="E50" s="11" t="s">
        <v>296</v>
      </c>
      <c r="F50" s="11" t="s">
        <v>297</v>
      </c>
    </row>
    <row r="51" ht="216.40000000000001">
      <c r="A51" s="11" t="s">
        <v>243</v>
      </c>
      <c r="B51" s="12" t="s">
        <v>285</v>
      </c>
      <c r="C51" s="11" t="s">
        <v>289</v>
      </c>
      <c r="E51" s="11" t="s">
        <v>298</v>
      </c>
      <c r="F51" s="11" t="s">
        <v>299</v>
      </c>
    </row>
    <row r="52" ht="216.40000000000001">
      <c r="A52" s="11" t="s">
        <v>243</v>
      </c>
      <c r="B52" s="12" t="s">
        <v>285</v>
      </c>
      <c r="C52" s="11" t="s">
        <v>289</v>
      </c>
      <c r="E52" s="11" t="s">
        <v>300</v>
      </c>
      <c r="F52" s="11" t="s">
        <v>301</v>
      </c>
    </row>
    <row r="53" ht="216.40000000000001">
      <c r="A53" s="11" t="s">
        <v>243</v>
      </c>
      <c r="B53" s="12" t="s">
        <v>285</v>
      </c>
      <c r="C53" s="11" t="s">
        <v>289</v>
      </c>
      <c r="E53" s="11" t="s">
        <v>302</v>
      </c>
      <c r="F53" s="11" t="s">
        <v>303</v>
      </c>
    </row>
    <row r="54" ht="216.40000000000001">
      <c r="A54" s="11" t="s">
        <v>243</v>
      </c>
      <c r="B54" s="12" t="s">
        <v>285</v>
      </c>
      <c r="C54" s="11" t="s">
        <v>289</v>
      </c>
      <c r="E54" s="11" t="s">
        <v>241</v>
      </c>
      <c r="F54" s="11" t="s">
        <v>304</v>
      </c>
    </row>
    <row r="55" ht="216.40000000000001">
      <c r="A55" s="11" t="s">
        <v>243</v>
      </c>
      <c r="B55" s="12" t="s">
        <v>285</v>
      </c>
      <c r="C55" s="11" t="s">
        <v>289</v>
      </c>
      <c r="E55" s="11" t="s">
        <v>305</v>
      </c>
      <c r="F55" s="11" t="s">
        <v>306</v>
      </c>
    </row>
    <row r="56" ht="216.40000000000001">
      <c r="A56" s="11" t="s">
        <v>243</v>
      </c>
      <c r="B56" s="12" t="s">
        <v>285</v>
      </c>
      <c r="C56" s="11" t="s">
        <v>289</v>
      </c>
      <c r="E56" s="11" t="s">
        <v>307</v>
      </c>
      <c r="F56" s="11" t="s">
        <v>308</v>
      </c>
    </row>
    <row r="57" ht="216.40000000000001">
      <c r="A57" s="11" t="s">
        <v>243</v>
      </c>
      <c r="B57" s="12" t="s">
        <v>285</v>
      </c>
      <c r="C57" s="11" t="s">
        <v>289</v>
      </c>
      <c r="E57" s="11" t="s">
        <v>309</v>
      </c>
      <c r="F57" s="11" t="s">
        <v>310</v>
      </c>
    </row>
    <row r="58" ht="216.40000000000001">
      <c r="A58" s="11" t="s">
        <v>243</v>
      </c>
      <c r="B58" s="12" t="s">
        <v>285</v>
      </c>
      <c r="C58" s="11" t="s">
        <v>289</v>
      </c>
      <c r="E58" s="11" t="s">
        <v>311</v>
      </c>
      <c r="F58" s="11" t="s">
        <v>312</v>
      </c>
    </row>
    <row r="59" ht="216.40000000000001">
      <c r="A59" s="11" t="s">
        <v>243</v>
      </c>
      <c r="B59" s="12" t="s">
        <v>285</v>
      </c>
      <c r="C59" s="11" t="s">
        <v>289</v>
      </c>
      <c r="E59" s="11" t="s">
        <v>313</v>
      </c>
      <c r="F59" s="11" t="s">
        <v>314</v>
      </c>
    </row>
    <row r="60" ht="216.40000000000001">
      <c r="A60" s="11" t="s">
        <v>243</v>
      </c>
      <c r="B60" s="12" t="s">
        <v>285</v>
      </c>
      <c r="C60" s="11" t="s">
        <v>289</v>
      </c>
      <c r="E60" s="11" t="s">
        <v>315</v>
      </c>
      <c r="F60" s="11" t="s">
        <v>316</v>
      </c>
    </row>
    <row r="61" ht="216.40000000000001">
      <c r="A61" s="11" t="s">
        <v>243</v>
      </c>
      <c r="B61" s="12" t="s">
        <v>285</v>
      </c>
      <c r="C61" s="12" t="s">
        <v>317</v>
      </c>
      <c r="E61" s="11" t="s">
        <v>318</v>
      </c>
      <c r="F61" s="11" t="s">
        <v>319</v>
      </c>
    </row>
    <row r="62" ht="216.40000000000001">
      <c r="A62" s="11" t="s">
        <v>243</v>
      </c>
      <c r="B62" s="12" t="s">
        <v>285</v>
      </c>
      <c r="C62" s="12" t="s">
        <v>317</v>
      </c>
      <c r="E62" s="11" t="s">
        <v>320</v>
      </c>
      <c r="F62" s="11" t="s">
        <v>321</v>
      </c>
    </row>
    <row r="63" ht="216.40000000000001">
      <c r="A63" s="11" t="s">
        <v>243</v>
      </c>
      <c r="B63" s="12" t="s">
        <v>285</v>
      </c>
      <c r="C63" s="12" t="s">
        <v>317</v>
      </c>
      <c r="E63" s="11" t="s">
        <v>322</v>
      </c>
      <c r="F63" s="11" t="s">
        <v>323</v>
      </c>
    </row>
    <row r="64" ht="216.40000000000001">
      <c r="A64" s="11" t="s">
        <v>243</v>
      </c>
      <c r="B64" s="12" t="s">
        <v>285</v>
      </c>
      <c r="C64" s="12" t="s">
        <v>317</v>
      </c>
      <c r="E64" s="11" t="s">
        <v>324</v>
      </c>
      <c r="F64" s="11" t="s">
        <v>325</v>
      </c>
    </row>
    <row r="65" ht="216.40000000000001">
      <c r="A65" s="11" t="s">
        <v>243</v>
      </c>
      <c r="B65" s="12" t="s">
        <v>285</v>
      </c>
      <c r="C65" s="12" t="s">
        <v>317</v>
      </c>
      <c r="E65" s="11" t="s">
        <v>326</v>
      </c>
      <c r="F65" s="11" t="s">
        <v>327</v>
      </c>
    </row>
    <row r="66" ht="216.40000000000001">
      <c r="A66" s="11" t="s">
        <v>243</v>
      </c>
      <c r="B66" s="12" t="s">
        <v>285</v>
      </c>
      <c r="C66" s="12" t="s">
        <v>317</v>
      </c>
      <c r="E66" s="11" t="s">
        <v>328</v>
      </c>
      <c r="F66" s="11" t="s">
        <v>329</v>
      </c>
    </row>
    <row r="67" ht="216.40000000000001">
      <c r="A67" s="11" t="s">
        <v>243</v>
      </c>
      <c r="B67" s="12" t="s">
        <v>285</v>
      </c>
      <c r="C67" s="12" t="s">
        <v>317</v>
      </c>
      <c r="E67" s="11" t="s">
        <v>330</v>
      </c>
      <c r="F67" s="11" t="s">
        <v>331</v>
      </c>
    </row>
    <row r="68" ht="216.40000000000001">
      <c r="A68" s="11" t="s">
        <v>243</v>
      </c>
      <c r="B68" s="12" t="s">
        <v>285</v>
      </c>
      <c r="C68" s="12" t="s">
        <v>317</v>
      </c>
      <c r="E68" s="11" t="s">
        <v>332</v>
      </c>
      <c r="F68" s="11" t="s">
        <v>333</v>
      </c>
    </row>
    <row r="69" ht="216.40000000000001">
      <c r="A69" s="11" t="s">
        <v>243</v>
      </c>
      <c r="B69" s="12" t="s">
        <v>285</v>
      </c>
      <c r="C69" s="12" t="s">
        <v>317</v>
      </c>
      <c r="E69" s="11" t="s">
        <v>334</v>
      </c>
      <c r="F69" s="11" t="s">
        <v>335</v>
      </c>
    </row>
    <row r="70" ht="216.40000000000001">
      <c r="A70" s="11" t="s">
        <v>243</v>
      </c>
      <c r="B70" s="12" t="s">
        <v>285</v>
      </c>
      <c r="C70" s="12" t="s">
        <v>317</v>
      </c>
      <c r="E70" s="11" t="s">
        <v>336</v>
      </c>
      <c r="F70" s="11" t="s">
        <v>337</v>
      </c>
    </row>
    <row r="71" ht="216.40000000000001">
      <c r="A71" s="11" t="s">
        <v>243</v>
      </c>
      <c r="B71" s="12" t="s">
        <v>285</v>
      </c>
      <c r="C71" s="12" t="s">
        <v>317</v>
      </c>
      <c r="E71" s="11" t="s">
        <v>338</v>
      </c>
      <c r="F71" s="11" t="s">
        <v>339</v>
      </c>
    </row>
    <row r="72" ht="216.40000000000001">
      <c r="A72" s="11" t="s">
        <v>243</v>
      </c>
      <c r="B72" s="12" t="s">
        <v>285</v>
      </c>
      <c r="C72" s="12" t="s">
        <v>317</v>
      </c>
      <c r="E72" s="11" t="s">
        <v>340</v>
      </c>
      <c r="F72" s="11" t="s">
        <v>341</v>
      </c>
    </row>
    <row r="73" ht="216.40000000000001">
      <c r="A73" s="11" t="s">
        <v>243</v>
      </c>
      <c r="B73" s="12" t="s">
        <v>285</v>
      </c>
      <c r="C73" s="12" t="s">
        <v>317</v>
      </c>
      <c r="E73" s="11" t="s">
        <v>342</v>
      </c>
      <c r="F73" s="11" t="s">
        <v>343</v>
      </c>
    </row>
    <row r="74" ht="216.40000000000001">
      <c r="A74" s="11" t="s">
        <v>243</v>
      </c>
      <c r="B74" s="12" t="s">
        <v>285</v>
      </c>
      <c r="C74" s="12" t="s">
        <v>317</v>
      </c>
      <c r="E74" s="11" t="s">
        <v>344</v>
      </c>
      <c r="F74" s="11" t="s">
        <v>345</v>
      </c>
    </row>
    <row r="75" ht="216.40000000000001">
      <c r="A75" s="11" t="s">
        <v>243</v>
      </c>
      <c r="B75" s="12" t="s">
        <v>285</v>
      </c>
      <c r="C75" s="12" t="s">
        <v>317</v>
      </c>
      <c r="E75" s="11" t="s">
        <v>346</v>
      </c>
      <c r="F75" s="11" t="s">
        <v>347</v>
      </c>
    </row>
    <row r="76" ht="216.40000000000001">
      <c r="A76" s="11" t="s">
        <v>243</v>
      </c>
      <c r="B76" s="12" t="s">
        <v>285</v>
      </c>
      <c r="C76" s="12" t="s">
        <v>317</v>
      </c>
      <c r="E76" s="11" t="s">
        <v>348</v>
      </c>
      <c r="F76" s="11" t="s">
        <v>349</v>
      </c>
    </row>
    <row r="77" ht="216.40000000000001">
      <c r="A77" s="11" t="s">
        <v>243</v>
      </c>
      <c r="B77" s="12" t="s">
        <v>285</v>
      </c>
      <c r="C77" s="12" t="s">
        <v>317</v>
      </c>
      <c r="E77" s="11" t="s">
        <v>350</v>
      </c>
      <c r="F77" s="11" t="s">
        <v>351</v>
      </c>
    </row>
    <row r="78" ht="216.40000000000001">
      <c r="A78" s="11" t="s">
        <v>243</v>
      </c>
      <c r="B78" s="12" t="s">
        <v>285</v>
      </c>
      <c r="C78" s="12" t="s">
        <v>352</v>
      </c>
      <c r="E78" s="11" t="s">
        <v>353</v>
      </c>
      <c r="F78" s="26" t="s">
        <v>354</v>
      </c>
    </row>
    <row r="79" ht="216.40000000000001">
      <c r="A79" s="11" t="s">
        <v>243</v>
      </c>
      <c r="B79" s="12" t="s">
        <v>285</v>
      </c>
      <c r="C79" s="12" t="s">
        <v>352</v>
      </c>
      <c r="E79" s="11" t="s">
        <v>355</v>
      </c>
      <c r="F79" s="11" t="s">
        <v>356</v>
      </c>
    </row>
    <row r="80" ht="216.40000000000001">
      <c r="A80" s="11" t="s">
        <v>243</v>
      </c>
      <c r="B80" s="12" t="s">
        <v>285</v>
      </c>
      <c r="C80" s="12" t="s">
        <v>357</v>
      </c>
      <c r="E80" s="11" t="s">
        <v>358</v>
      </c>
      <c r="F80" s="11" t="s">
        <v>359</v>
      </c>
    </row>
    <row r="81" ht="162.65000000000001">
      <c r="A81" s="11" t="s">
        <v>243</v>
      </c>
      <c r="B81" s="11" t="s">
        <v>360</v>
      </c>
      <c r="C81" s="12" t="s">
        <v>361</v>
      </c>
      <c r="E81" s="11" t="s">
        <v>362</v>
      </c>
      <c r="F81" s="11" t="s">
        <v>363</v>
      </c>
    </row>
    <row r="82" ht="15">
      <c r="A82" s="11" t="s">
        <v>243</v>
      </c>
      <c r="B82" s="11" t="s">
        <v>360</v>
      </c>
      <c r="C82" s="11" t="s">
        <v>364</v>
      </c>
      <c r="E82" s="11" t="s">
        <v>365</v>
      </c>
      <c r="F82" s="11" t="s">
        <v>366</v>
      </c>
    </row>
    <row r="83" ht="108.95">
      <c r="A83" s="11" t="s">
        <v>243</v>
      </c>
      <c r="B83" s="12" t="s">
        <v>367</v>
      </c>
      <c r="E83" s="11" t="s">
        <v>368</v>
      </c>
      <c r="F83" s="11" t="s">
        <v>369</v>
      </c>
    </row>
    <row r="84" ht="108.95">
      <c r="A84" s="11" t="s">
        <v>243</v>
      </c>
      <c r="B84" s="12" t="s">
        <v>367</v>
      </c>
      <c r="E84" s="11" t="s">
        <v>370</v>
      </c>
      <c r="F84" s="11" t="s">
        <v>371</v>
      </c>
    </row>
    <row r="85" ht="55.200000000000003">
      <c r="A85" s="11" t="s">
        <v>372</v>
      </c>
      <c r="B85" s="12" t="s">
        <v>244</v>
      </c>
      <c r="E85" s="11" t="s">
        <v>245</v>
      </c>
      <c r="F85" s="11" t="s">
        <v>373</v>
      </c>
    </row>
    <row r="86" ht="95.5">
      <c r="A86" s="11" t="s">
        <v>372</v>
      </c>
      <c r="B86" s="12" t="s">
        <v>374</v>
      </c>
      <c r="C86" s="12" t="s">
        <v>375</v>
      </c>
      <c r="E86" s="11" t="s">
        <v>328</v>
      </c>
      <c r="F86" s="11" t="s">
        <v>376</v>
      </c>
    </row>
    <row r="87" ht="15">
      <c r="A87" s="11" t="s">
        <v>377</v>
      </c>
      <c r="B87" s="11" t="s">
        <v>378</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21</cp:revision>
  <dcterms:created xsi:type="dcterms:W3CDTF">2026-10-20T02:06:18Z</dcterms:created>
  <dcterms:modified xsi:type="dcterms:W3CDTF">2026-10-26T04:19:03Z</dcterms:modified>
</cp:coreProperties>
</file>